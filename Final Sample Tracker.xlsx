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owmy\Downloads\"/>
    </mc:Choice>
  </mc:AlternateContent>
  <xr:revisionPtr revIDLastSave="0" documentId="13_ncr:1_{E048D500-830E-4649-89F0-6F603E3775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STER" sheetId="1" r:id="rId1"/>
    <sheet name="CDI" sheetId="2" r:id="rId2"/>
    <sheet name="NIH" sheetId="3" r:id="rId3"/>
    <sheet name="Max Planck" sheetId="4" r:id="rId4"/>
    <sheet name="CRYOVIAL" sheetId="5" r:id="rId5"/>
    <sheet name="SETUP" sheetId="6" state="hidden" r:id="rId6"/>
  </sheets>
  <calcPr calcId="191028" iterate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J1944" i="1"/>
  <c r="I1944" i="1"/>
  <c r="H1944" i="1"/>
  <c r="A1944" i="1"/>
  <c r="L1944" i="1" s="1"/>
  <c r="J1943" i="1"/>
  <c r="I1943" i="1"/>
  <c r="H1943" i="1"/>
  <c r="A1943" i="1"/>
  <c r="L1943" i="1" s="1"/>
  <c r="J1942" i="1"/>
  <c r="I1942" i="1"/>
  <c r="H1942" i="1"/>
  <c r="A1942" i="1"/>
  <c r="L1942" i="1" s="1"/>
  <c r="J1941" i="1"/>
  <c r="I1941" i="1"/>
  <c r="H1941" i="1"/>
  <c r="A1941" i="1"/>
  <c r="L1941" i="1" s="1"/>
  <c r="J1940" i="1"/>
  <c r="I1940" i="1"/>
  <c r="H1940" i="1"/>
  <c r="A1940" i="1"/>
  <c r="L1940" i="1" s="1"/>
  <c r="J1939" i="1"/>
  <c r="I1939" i="1"/>
  <c r="H1939" i="1"/>
  <c r="A1939" i="1"/>
  <c r="L1939" i="1" s="1"/>
  <c r="J1938" i="1"/>
  <c r="I1938" i="1"/>
  <c r="H1938" i="1"/>
  <c r="A1938" i="1"/>
  <c r="L1938" i="1" s="1"/>
  <c r="J1937" i="1"/>
  <c r="I1937" i="1"/>
  <c r="H1937" i="1"/>
  <c r="A1937" i="1"/>
  <c r="L1937" i="1" s="1"/>
  <c r="J1936" i="1"/>
  <c r="I1936" i="1"/>
  <c r="H1936" i="1"/>
  <c r="A1936" i="1"/>
  <c r="L1936" i="1" s="1"/>
  <c r="J1935" i="1"/>
  <c r="I1935" i="1"/>
  <c r="H1935" i="1"/>
  <c r="A1935" i="1"/>
  <c r="L1935" i="1" s="1"/>
  <c r="J1934" i="1"/>
  <c r="I1934" i="1"/>
  <c r="H1934" i="1"/>
  <c r="A1934" i="1"/>
  <c r="L1934" i="1" s="1"/>
  <c r="J1933" i="1"/>
  <c r="I1933" i="1"/>
  <c r="H1933" i="1"/>
  <c r="A1933" i="1"/>
  <c r="L1933" i="1" s="1"/>
  <c r="J1932" i="1"/>
  <c r="I1932" i="1"/>
  <c r="H1932" i="1"/>
  <c r="A1932" i="1"/>
  <c r="L1932" i="1" s="1"/>
  <c r="J1931" i="1"/>
  <c r="I1931" i="1"/>
  <c r="H1931" i="1"/>
  <c r="A1931" i="1"/>
  <c r="L1931" i="1" s="1"/>
  <c r="J1930" i="1"/>
  <c r="I1930" i="1"/>
  <c r="H1930" i="1"/>
  <c r="A1930" i="1"/>
  <c r="L1930" i="1" s="1"/>
  <c r="J1929" i="1"/>
  <c r="I1929" i="1"/>
  <c r="H1929" i="1"/>
  <c r="A1929" i="1"/>
  <c r="L1929" i="1" s="1"/>
  <c r="J1928" i="1"/>
  <c r="I1928" i="1"/>
  <c r="H1928" i="1"/>
  <c r="A1928" i="1"/>
  <c r="L1928" i="1" s="1"/>
  <c r="J1927" i="1"/>
  <c r="I1927" i="1"/>
  <c r="H1927" i="1"/>
  <c r="A1927" i="1"/>
  <c r="L1927" i="1" s="1"/>
  <c r="J1926" i="1"/>
  <c r="I1926" i="1"/>
  <c r="H1926" i="1"/>
  <c r="A1926" i="1"/>
  <c r="L1926" i="1" s="1"/>
  <c r="J1925" i="1"/>
  <c r="I1925" i="1"/>
  <c r="H1925" i="1"/>
  <c r="A1925" i="1"/>
  <c r="L1925" i="1" s="1"/>
  <c r="J1924" i="1"/>
  <c r="I1924" i="1"/>
  <c r="H1924" i="1"/>
  <c r="A1924" i="1"/>
  <c r="L1924" i="1" s="1"/>
  <c r="J1923" i="1"/>
  <c r="I1923" i="1"/>
  <c r="H1923" i="1"/>
  <c r="A1923" i="1"/>
  <c r="L1923" i="1" s="1"/>
  <c r="J1922" i="1"/>
  <c r="I1922" i="1"/>
  <c r="H1922" i="1"/>
  <c r="A1922" i="1"/>
  <c r="L1922" i="1" s="1"/>
  <c r="J1921" i="1"/>
  <c r="I1921" i="1"/>
  <c r="H1921" i="1"/>
  <c r="A1921" i="1"/>
  <c r="L1921" i="1" s="1"/>
  <c r="J1920" i="1"/>
  <c r="I1920" i="1"/>
  <c r="H1920" i="1"/>
  <c r="A1920" i="1"/>
  <c r="L1920" i="1" s="1"/>
  <c r="J1919" i="1"/>
  <c r="I1919" i="1"/>
  <c r="H1919" i="1"/>
  <c r="A1919" i="1"/>
  <c r="L1919" i="1" s="1"/>
  <c r="J1918" i="1"/>
  <c r="I1918" i="1"/>
  <c r="H1918" i="1"/>
  <c r="A1918" i="1"/>
  <c r="L1918" i="1" s="1"/>
  <c r="J1917" i="1"/>
  <c r="I1917" i="1"/>
  <c r="H1917" i="1"/>
  <c r="A1917" i="1"/>
  <c r="L1917" i="1" s="1"/>
  <c r="J1916" i="1"/>
  <c r="I1916" i="1"/>
  <c r="H1916" i="1"/>
  <c r="A1916" i="1"/>
  <c r="L1916" i="1" s="1"/>
  <c r="J1915" i="1"/>
  <c r="I1915" i="1"/>
  <c r="H1915" i="1"/>
  <c r="A1915" i="1"/>
  <c r="L1915" i="1" s="1"/>
  <c r="J1914" i="1"/>
  <c r="I1914" i="1"/>
  <c r="H1914" i="1"/>
  <c r="A1914" i="1"/>
  <c r="L1914" i="1" s="1"/>
  <c r="J1913" i="1"/>
  <c r="I1913" i="1"/>
  <c r="H1913" i="1"/>
  <c r="A1913" i="1"/>
  <c r="L1913" i="1" s="1"/>
  <c r="J1912" i="1"/>
  <c r="I1912" i="1"/>
  <c r="H1912" i="1"/>
  <c r="A1912" i="1"/>
  <c r="L1912" i="1" s="1"/>
  <c r="J1911" i="1"/>
  <c r="I1911" i="1"/>
  <c r="H1911" i="1"/>
  <c r="A1911" i="1"/>
  <c r="L1911" i="1" s="1"/>
  <c r="J1910" i="1"/>
  <c r="I1910" i="1"/>
  <c r="H1910" i="1"/>
  <c r="A1910" i="1"/>
  <c r="L1910" i="1" s="1"/>
  <c r="J1909" i="1"/>
  <c r="I1909" i="1"/>
  <c r="H1909" i="1"/>
  <c r="A1909" i="1"/>
  <c r="L1909" i="1" s="1"/>
  <c r="J1908" i="1"/>
  <c r="I1908" i="1"/>
  <c r="H1908" i="1"/>
  <c r="A1908" i="1"/>
  <c r="L1908" i="1" s="1"/>
  <c r="J1907" i="1"/>
  <c r="I1907" i="1"/>
  <c r="H1907" i="1"/>
  <c r="A1907" i="1"/>
  <c r="L1907" i="1" s="1"/>
  <c r="J1906" i="1"/>
  <c r="I1906" i="1"/>
  <c r="H1906" i="1"/>
  <c r="A1906" i="1"/>
  <c r="L1906" i="1" s="1"/>
  <c r="J1905" i="1"/>
  <c r="I1905" i="1"/>
  <c r="H1905" i="1"/>
  <c r="A1905" i="1"/>
  <c r="L1905" i="1" s="1"/>
  <c r="J1904" i="1"/>
  <c r="I1904" i="1"/>
  <c r="H1904" i="1"/>
  <c r="A1904" i="1"/>
  <c r="L1904" i="1" s="1"/>
  <c r="J1903" i="1"/>
  <c r="I1903" i="1"/>
  <c r="H1903" i="1"/>
  <c r="A1903" i="1"/>
  <c r="L1903" i="1" s="1"/>
  <c r="J1902" i="1"/>
  <c r="I1902" i="1"/>
  <c r="H1902" i="1"/>
  <c r="A1902" i="1"/>
  <c r="L1902" i="1" s="1"/>
  <c r="J1901" i="1"/>
  <c r="I1901" i="1"/>
  <c r="H1901" i="1"/>
  <c r="A1901" i="1"/>
  <c r="L1901" i="1" s="1"/>
  <c r="J1900" i="1"/>
  <c r="I1900" i="1"/>
  <c r="H1900" i="1"/>
  <c r="A1900" i="1"/>
  <c r="L1900" i="1" s="1"/>
  <c r="J1899" i="1"/>
  <c r="I1899" i="1"/>
  <c r="H1899" i="1"/>
  <c r="A1899" i="1"/>
  <c r="L1899" i="1" s="1"/>
  <c r="J1898" i="1"/>
  <c r="I1898" i="1"/>
  <c r="H1898" i="1"/>
  <c r="A1898" i="1"/>
  <c r="L1898" i="1" s="1"/>
  <c r="J1897" i="1"/>
  <c r="I1897" i="1"/>
  <c r="H1897" i="1"/>
  <c r="A1897" i="1"/>
  <c r="L1897" i="1" s="1"/>
  <c r="J1896" i="1"/>
  <c r="I1896" i="1"/>
  <c r="H1896" i="1"/>
  <c r="A1896" i="1"/>
  <c r="L1896" i="1" s="1"/>
  <c r="J1895" i="1"/>
  <c r="I1895" i="1"/>
  <c r="H1895" i="1"/>
  <c r="A1895" i="1"/>
  <c r="L1895" i="1" s="1"/>
  <c r="J1894" i="1"/>
  <c r="I1894" i="1"/>
  <c r="H1894" i="1"/>
  <c r="A1894" i="1"/>
  <c r="L1894" i="1" s="1"/>
  <c r="J1893" i="1"/>
  <c r="I1893" i="1"/>
  <c r="H1893" i="1"/>
  <c r="A1893" i="1"/>
  <c r="L1893" i="1" s="1"/>
  <c r="J1892" i="1"/>
  <c r="I1892" i="1"/>
  <c r="H1892" i="1"/>
  <c r="A1892" i="1"/>
  <c r="L1892" i="1" s="1"/>
  <c r="J1891" i="1"/>
  <c r="I1891" i="1"/>
  <c r="H1891" i="1"/>
  <c r="A1891" i="1"/>
  <c r="L1891" i="1" s="1"/>
  <c r="J1890" i="1"/>
  <c r="I1890" i="1"/>
  <c r="H1890" i="1"/>
  <c r="A1890" i="1"/>
  <c r="L1890" i="1" s="1"/>
  <c r="J1889" i="1"/>
  <c r="I1889" i="1"/>
  <c r="H1889" i="1"/>
  <c r="A1889" i="1"/>
  <c r="L1889" i="1" s="1"/>
  <c r="J1888" i="1"/>
  <c r="I1888" i="1"/>
  <c r="H1888" i="1"/>
  <c r="A1888" i="1"/>
  <c r="L1888" i="1" s="1"/>
  <c r="J1887" i="1"/>
  <c r="I1887" i="1"/>
  <c r="H1887" i="1"/>
  <c r="A1887" i="1"/>
  <c r="L1887" i="1" s="1"/>
  <c r="J1886" i="1"/>
  <c r="I1886" i="1"/>
  <c r="H1886" i="1"/>
  <c r="A1886" i="1"/>
  <c r="L1886" i="1" s="1"/>
  <c r="J1885" i="1"/>
  <c r="I1885" i="1"/>
  <c r="H1885" i="1"/>
  <c r="A1885" i="1"/>
  <c r="L1885" i="1" s="1"/>
  <c r="J1884" i="1"/>
  <c r="I1884" i="1"/>
  <c r="H1884" i="1"/>
  <c r="A1884" i="1"/>
  <c r="L1884" i="1" s="1"/>
  <c r="J1883" i="1"/>
  <c r="I1883" i="1"/>
  <c r="H1883" i="1"/>
  <c r="A1883" i="1"/>
  <c r="L1883" i="1" s="1"/>
  <c r="J1882" i="1"/>
  <c r="I1882" i="1"/>
  <c r="H1882" i="1"/>
  <c r="A1882" i="1"/>
  <c r="L1882" i="1" s="1"/>
  <c r="J1881" i="1"/>
  <c r="I1881" i="1"/>
  <c r="H1881" i="1"/>
  <c r="A1881" i="1"/>
  <c r="L1881" i="1" s="1"/>
  <c r="J1880" i="1"/>
  <c r="I1880" i="1"/>
  <c r="H1880" i="1"/>
  <c r="A1880" i="1"/>
  <c r="L1880" i="1" s="1"/>
  <c r="J1879" i="1"/>
  <c r="I1879" i="1"/>
  <c r="H1879" i="1"/>
  <c r="A1879" i="1"/>
  <c r="L1879" i="1" s="1"/>
  <c r="J1878" i="1"/>
  <c r="I1878" i="1"/>
  <c r="H1878" i="1"/>
  <c r="A1878" i="1"/>
  <c r="L1878" i="1" s="1"/>
  <c r="J1877" i="1"/>
  <c r="I1877" i="1"/>
  <c r="H1877" i="1"/>
  <c r="A1877" i="1"/>
  <c r="L1877" i="1" s="1"/>
  <c r="J1876" i="1"/>
  <c r="I1876" i="1"/>
  <c r="H1876" i="1"/>
  <c r="A1876" i="1"/>
  <c r="L1876" i="1" s="1"/>
  <c r="J1875" i="1"/>
  <c r="I1875" i="1"/>
  <c r="H1875" i="1"/>
  <c r="A1875" i="1"/>
  <c r="L1875" i="1" s="1"/>
  <c r="J1874" i="1"/>
  <c r="I1874" i="1"/>
  <c r="H1874" i="1"/>
  <c r="A1874" i="1"/>
  <c r="L1874" i="1" s="1"/>
  <c r="J1873" i="1"/>
  <c r="I1873" i="1"/>
  <c r="H1873" i="1"/>
  <c r="A1873" i="1"/>
  <c r="L1873" i="1" s="1"/>
  <c r="J1872" i="1"/>
  <c r="I1872" i="1"/>
  <c r="H1872" i="1"/>
  <c r="A1872" i="1"/>
  <c r="L1872" i="1" s="1"/>
  <c r="J1871" i="1"/>
  <c r="I1871" i="1"/>
  <c r="H1871" i="1"/>
  <c r="A1871" i="1"/>
  <c r="L1871" i="1" s="1"/>
  <c r="J1870" i="1"/>
  <c r="I1870" i="1"/>
  <c r="H1870" i="1"/>
  <c r="A1870" i="1"/>
  <c r="L1870" i="1" s="1"/>
  <c r="J1869" i="1"/>
  <c r="I1869" i="1"/>
  <c r="H1869" i="1"/>
  <c r="A1869" i="1"/>
  <c r="L1869" i="1" s="1"/>
  <c r="J1868" i="1"/>
  <c r="I1868" i="1"/>
  <c r="H1868" i="1"/>
  <c r="A1868" i="1"/>
  <c r="L1868" i="1" s="1"/>
  <c r="J1867" i="1"/>
  <c r="I1867" i="1"/>
  <c r="H1867" i="1"/>
  <c r="A1867" i="1"/>
  <c r="L1867" i="1" s="1"/>
  <c r="J1866" i="1"/>
  <c r="I1866" i="1"/>
  <c r="H1866" i="1"/>
  <c r="A1866" i="1"/>
  <c r="L1866" i="1" s="1"/>
  <c r="J1865" i="1"/>
  <c r="I1865" i="1"/>
  <c r="H1865" i="1"/>
  <c r="A1865" i="1"/>
  <c r="L1865" i="1" s="1"/>
  <c r="J1864" i="1"/>
  <c r="I1864" i="1"/>
  <c r="H1864" i="1"/>
  <c r="A1864" i="1"/>
  <c r="L1864" i="1" s="1"/>
  <c r="J1863" i="1"/>
  <c r="I1863" i="1"/>
  <c r="H1863" i="1"/>
  <c r="A1863" i="1"/>
  <c r="L1863" i="1" s="1"/>
  <c r="J1862" i="1"/>
  <c r="I1862" i="1"/>
  <c r="H1862" i="1"/>
  <c r="A1862" i="1"/>
  <c r="L1862" i="1" s="1"/>
  <c r="J1861" i="1"/>
  <c r="I1861" i="1"/>
  <c r="H1861" i="1"/>
  <c r="A1861" i="1"/>
  <c r="L1861" i="1" s="1"/>
  <c r="J1860" i="1"/>
  <c r="I1860" i="1"/>
  <c r="H1860" i="1"/>
  <c r="A1860" i="1"/>
  <c r="L1860" i="1" s="1"/>
  <c r="J1859" i="1"/>
  <c r="I1859" i="1"/>
  <c r="H1859" i="1"/>
  <c r="A1859" i="1"/>
  <c r="L1859" i="1" s="1"/>
  <c r="J1858" i="1"/>
  <c r="I1858" i="1"/>
  <c r="H1858" i="1"/>
  <c r="A1858" i="1"/>
  <c r="L1858" i="1" s="1"/>
  <c r="J1857" i="1"/>
  <c r="I1857" i="1"/>
  <c r="H1857" i="1"/>
  <c r="A1857" i="1"/>
  <c r="L1857" i="1" s="1"/>
  <c r="J1856" i="1"/>
  <c r="I1856" i="1"/>
  <c r="H1856" i="1"/>
  <c r="A1856" i="1"/>
  <c r="L1856" i="1" s="1"/>
  <c r="J1855" i="1"/>
  <c r="I1855" i="1"/>
  <c r="H1855" i="1"/>
  <c r="A1855" i="1"/>
  <c r="L1855" i="1" s="1"/>
  <c r="J1854" i="1"/>
  <c r="I1854" i="1"/>
  <c r="H1854" i="1"/>
  <c r="A1854" i="1"/>
  <c r="L1854" i="1" s="1"/>
  <c r="J1853" i="1"/>
  <c r="I1853" i="1"/>
  <c r="H1853" i="1"/>
  <c r="A1853" i="1"/>
  <c r="L1853" i="1" s="1"/>
  <c r="J1852" i="1"/>
  <c r="I1852" i="1"/>
  <c r="H1852" i="1"/>
  <c r="A1852" i="1"/>
  <c r="L1852" i="1" s="1"/>
  <c r="J1851" i="1"/>
  <c r="I1851" i="1"/>
  <c r="H1851" i="1"/>
  <c r="A1851" i="1"/>
  <c r="L1851" i="1" s="1"/>
  <c r="J1850" i="1"/>
  <c r="I1850" i="1"/>
  <c r="H1850" i="1"/>
  <c r="A1850" i="1"/>
  <c r="L1850" i="1" s="1"/>
  <c r="J1849" i="1"/>
  <c r="I1849" i="1"/>
  <c r="H1849" i="1"/>
  <c r="A1849" i="1"/>
  <c r="L1849" i="1" s="1"/>
  <c r="J1848" i="1"/>
  <c r="I1848" i="1"/>
  <c r="H1848" i="1"/>
  <c r="A1848" i="1"/>
  <c r="L1848" i="1" s="1"/>
  <c r="J1847" i="1"/>
  <c r="I1847" i="1"/>
  <c r="H1847" i="1"/>
  <c r="A1847" i="1"/>
  <c r="L1847" i="1" s="1"/>
  <c r="J1846" i="1"/>
  <c r="I1846" i="1"/>
  <c r="H1846" i="1"/>
  <c r="A1846" i="1"/>
  <c r="L1846" i="1" s="1"/>
  <c r="J1845" i="1"/>
  <c r="I1845" i="1"/>
  <c r="H1845" i="1"/>
  <c r="A1845" i="1"/>
  <c r="L1845" i="1" s="1"/>
  <c r="J1844" i="1"/>
  <c r="I1844" i="1"/>
  <c r="H1844" i="1"/>
  <c r="A1844" i="1"/>
  <c r="L1844" i="1" s="1"/>
  <c r="J1843" i="1"/>
  <c r="I1843" i="1"/>
  <c r="H1843" i="1"/>
  <c r="A1843" i="1"/>
  <c r="L1843" i="1" s="1"/>
  <c r="J1842" i="1"/>
  <c r="I1842" i="1"/>
  <c r="H1842" i="1"/>
  <c r="A1842" i="1"/>
  <c r="L1842" i="1" s="1"/>
  <c r="J1841" i="1"/>
  <c r="I1841" i="1"/>
  <c r="H1841" i="1"/>
  <c r="A1841" i="1"/>
  <c r="L1841" i="1" s="1"/>
  <c r="J1840" i="1"/>
  <c r="I1840" i="1"/>
  <c r="H1840" i="1"/>
  <c r="A1840" i="1"/>
  <c r="L1840" i="1" s="1"/>
  <c r="J1839" i="1"/>
  <c r="I1839" i="1"/>
  <c r="H1839" i="1"/>
  <c r="A1839" i="1"/>
  <c r="L1839" i="1" s="1"/>
  <c r="J1838" i="1"/>
  <c r="I1838" i="1"/>
  <c r="H1838" i="1"/>
  <c r="A1838" i="1"/>
  <c r="L1838" i="1" s="1"/>
  <c r="J1837" i="1"/>
  <c r="I1837" i="1"/>
  <c r="H1837" i="1"/>
  <c r="A1837" i="1"/>
  <c r="L1837" i="1" s="1"/>
  <c r="J1836" i="1"/>
  <c r="I1836" i="1"/>
  <c r="H1836" i="1"/>
  <c r="A1836" i="1"/>
  <c r="L1836" i="1" s="1"/>
  <c r="J1835" i="1"/>
  <c r="I1835" i="1"/>
  <c r="H1835" i="1"/>
  <c r="A1835" i="1"/>
  <c r="L1835" i="1" s="1"/>
  <c r="J1834" i="1"/>
  <c r="I1834" i="1"/>
  <c r="H1834" i="1"/>
  <c r="A1834" i="1"/>
  <c r="L1834" i="1" s="1"/>
  <c r="J1833" i="1"/>
  <c r="I1833" i="1"/>
  <c r="H1833" i="1"/>
  <c r="A1833" i="1"/>
  <c r="L1833" i="1" s="1"/>
  <c r="J1832" i="1"/>
  <c r="I1832" i="1"/>
  <c r="H1832" i="1"/>
  <c r="A1832" i="1"/>
  <c r="L1832" i="1" s="1"/>
  <c r="J1831" i="1"/>
  <c r="I1831" i="1"/>
  <c r="H1831" i="1"/>
  <c r="A1831" i="1"/>
  <c r="L1831" i="1" s="1"/>
  <c r="J1830" i="1"/>
  <c r="I1830" i="1"/>
  <c r="H1830" i="1"/>
  <c r="A1830" i="1"/>
  <c r="L1830" i="1" s="1"/>
  <c r="J1829" i="1"/>
  <c r="I1829" i="1"/>
  <c r="H1829" i="1"/>
  <c r="A1829" i="1"/>
  <c r="L1829" i="1" s="1"/>
  <c r="J1828" i="1"/>
  <c r="I1828" i="1"/>
  <c r="H1828" i="1"/>
  <c r="A1828" i="1"/>
  <c r="L1828" i="1" s="1"/>
  <c r="J1827" i="1"/>
  <c r="I1827" i="1"/>
  <c r="H1827" i="1"/>
  <c r="A1827" i="1"/>
  <c r="L1827" i="1" s="1"/>
  <c r="J1826" i="1"/>
  <c r="I1826" i="1"/>
  <c r="H1826" i="1"/>
  <c r="A1826" i="1"/>
  <c r="L1826" i="1" s="1"/>
  <c r="J1825" i="1"/>
  <c r="I1825" i="1"/>
  <c r="H1825" i="1"/>
  <c r="A1825" i="1"/>
  <c r="L1825" i="1" s="1"/>
  <c r="J1824" i="1"/>
  <c r="I1824" i="1"/>
  <c r="H1824" i="1"/>
  <c r="A1824" i="1"/>
  <c r="L1824" i="1" s="1"/>
  <c r="J1823" i="1"/>
  <c r="I1823" i="1"/>
  <c r="H1823" i="1"/>
  <c r="A1823" i="1"/>
  <c r="L1823" i="1" s="1"/>
  <c r="J1822" i="1"/>
  <c r="I1822" i="1"/>
  <c r="H1822" i="1"/>
  <c r="A1822" i="1"/>
  <c r="L1822" i="1" s="1"/>
  <c r="J1821" i="1"/>
  <c r="I1821" i="1"/>
  <c r="H1821" i="1"/>
  <c r="A1821" i="1"/>
  <c r="L1821" i="1" s="1"/>
  <c r="J1820" i="1"/>
  <c r="I1820" i="1"/>
  <c r="H1820" i="1"/>
  <c r="A1820" i="1"/>
  <c r="L1820" i="1" s="1"/>
  <c r="J1819" i="1"/>
  <c r="I1819" i="1"/>
  <c r="H1819" i="1"/>
  <c r="A1819" i="1"/>
  <c r="L1819" i="1" s="1"/>
  <c r="J1818" i="1"/>
  <c r="I1818" i="1"/>
  <c r="H1818" i="1"/>
  <c r="A1818" i="1"/>
  <c r="L1818" i="1" s="1"/>
  <c r="J1817" i="1"/>
  <c r="I1817" i="1"/>
  <c r="H1817" i="1"/>
  <c r="A1817" i="1"/>
  <c r="L1817" i="1" s="1"/>
  <c r="J1816" i="1"/>
  <c r="I1816" i="1"/>
  <c r="H1816" i="1"/>
  <c r="A1816" i="1"/>
  <c r="L1816" i="1" s="1"/>
  <c r="J1815" i="1"/>
  <c r="I1815" i="1"/>
  <c r="H1815" i="1"/>
  <c r="A1815" i="1"/>
  <c r="L1815" i="1" s="1"/>
  <c r="J1814" i="1"/>
  <c r="I1814" i="1"/>
  <c r="H1814" i="1"/>
  <c r="A1814" i="1"/>
  <c r="L1814" i="1" s="1"/>
  <c r="J1813" i="1"/>
  <c r="I1813" i="1"/>
  <c r="H1813" i="1"/>
  <c r="A1813" i="1"/>
  <c r="L1813" i="1" s="1"/>
  <c r="J1812" i="1"/>
  <c r="I1812" i="1"/>
  <c r="H1812" i="1"/>
  <c r="A1812" i="1"/>
  <c r="L1812" i="1" s="1"/>
  <c r="J1811" i="1"/>
  <c r="I1811" i="1"/>
  <c r="H1811" i="1"/>
  <c r="A1811" i="1"/>
  <c r="L1811" i="1" s="1"/>
  <c r="J1810" i="1"/>
  <c r="I1810" i="1"/>
  <c r="H1810" i="1"/>
  <c r="A1810" i="1"/>
  <c r="L1810" i="1" s="1"/>
  <c r="J1809" i="1"/>
  <c r="I1809" i="1"/>
  <c r="H1809" i="1"/>
  <c r="A1809" i="1"/>
  <c r="L1809" i="1" s="1"/>
  <c r="J1808" i="1"/>
  <c r="I1808" i="1"/>
  <c r="H1808" i="1"/>
  <c r="A1808" i="1"/>
  <c r="L1808" i="1" s="1"/>
  <c r="J1807" i="1"/>
  <c r="I1807" i="1"/>
  <c r="H1807" i="1"/>
  <c r="A1807" i="1"/>
  <c r="L1807" i="1" s="1"/>
  <c r="J1806" i="1"/>
  <c r="I1806" i="1"/>
  <c r="H1806" i="1"/>
  <c r="A1806" i="1"/>
  <c r="L1806" i="1" s="1"/>
  <c r="J1805" i="1"/>
  <c r="I1805" i="1"/>
  <c r="H1805" i="1"/>
  <c r="A1805" i="1"/>
  <c r="L1805" i="1" s="1"/>
  <c r="J1804" i="1"/>
  <c r="I1804" i="1"/>
  <c r="H1804" i="1"/>
  <c r="A1804" i="1"/>
  <c r="L1804" i="1" s="1"/>
  <c r="J1803" i="1"/>
  <c r="I1803" i="1"/>
  <c r="H1803" i="1"/>
  <c r="A1803" i="1"/>
  <c r="L1803" i="1" s="1"/>
  <c r="J1802" i="1"/>
  <c r="I1802" i="1"/>
  <c r="H1802" i="1"/>
  <c r="A1802" i="1"/>
  <c r="L1802" i="1" s="1"/>
  <c r="J1801" i="1"/>
  <c r="I1801" i="1"/>
  <c r="H1801" i="1"/>
  <c r="A1801" i="1"/>
  <c r="L1801" i="1" s="1"/>
  <c r="J1800" i="1"/>
  <c r="I1800" i="1"/>
  <c r="H1800" i="1"/>
  <c r="A1800" i="1"/>
  <c r="L1800" i="1" s="1"/>
  <c r="J1799" i="1"/>
  <c r="I1799" i="1"/>
  <c r="H1799" i="1"/>
  <c r="A1799" i="1"/>
  <c r="L1799" i="1" s="1"/>
  <c r="J1798" i="1"/>
  <c r="I1798" i="1"/>
  <c r="H1798" i="1"/>
  <c r="A1798" i="1"/>
  <c r="L1798" i="1" s="1"/>
  <c r="J1797" i="1"/>
  <c r="I1797" i="1"/>
  <c r="H1797" i="1"/>
  <c r="A1797" i="1"/>
  <c r="L1797" i="1" s="1"/>
  <c r="J1796" i="1"/>
  <c r="I1796" i="1"/>
  <c r="H1796" i="1"/>
  <c r="A1796" i="1"/>
  <c r="L1796" i="1" s="1"/>
  <c r="J1795" i="1"/>
  <c r="I1795" i="1"/>
  <c r="H1795" i="1"/>
  <c r="A1795" i="1"/>
  <c r="L1795" i="1" s="1"/>
  <c r="J1794" i="1"/>
  <c r="I1794" i="1"/>
  <c r="H1794" i="1"/>
  <c r="A1794" i="1"/>
  <c r="L1794" i="1" s="1"/>
  <c r="J1793" i="1"/>
  <c r="I1793" i="1"/>
  <c r="H1793" i="1"/>
  <c r="A1793" i="1"/>
  <c r="L1793" i="1" s="1"/>
  <c r="J1792" i="1"/>
  <c r="I1792" i="1"/>
  <c r="H1792" i="1"/>
  <c r="A1792" i="1"/>
  <c r="L1792" i="1" s="1"/>
  <c r="J1791" i="1"/>
  <c r="I1791" i="1"/>
  <c r="H1791" i="1"/>
  <c r="A1791" i="1"/>
  <c r="L1791" i="1" s="1"/>
  <c r="J1790" i="1"/>
  <c r="I1790" i="1"/>
  <c r="H1790" i="1"/>
  <c r="A1790" i="1"/>
  <c r="L1790" i="1" s="1"/>
  <c r="J1789" i="1"/>
  <c r="I1789" i="1"/>
  <c r="H1789" i="1"/>
  <c r="A1789" i="1"/>
  <c r="L1789" i="1" s="1"/>
  <c r="J1788" i="1"/>
  <c r="I1788" i="1"/>
  <c r="H1788" i="1"/>
  <c r="A1788" i="1"/>
  <c r="L1788" i="1" s="1"/>
  <c r="J1787" i="1"/>
  <c r="I1787" i="1"/>
  <c r="H1787" i="1"/>
  <c r="A1787" i="1"/>
  <c r="L1787" i="1" s="1"/>
  <c r="J1786" i="1"/>
  <c r="I1786" i="1"/>
  <c r="H1786" i="1"/>
  <c r="A1786" i="1"/>
  <c r="L1786" i="1" s="1"/>
  <c r="J1785" i="1"/>
  <c r="I1785" i="1"/>
  <c r="H1785" i="1"/>
  <c r="A1785" i="1"/>
  <c r="L1785" i="1" s="1"/>
  <c r="J1784" i="1"/>
  <c r="I1784" i="1"/>
  <c r="H1784" i="1"/>
  <c r="A1784" i="1"/>
  <c r="L1784" i="1" s="1"/>
  <c r="J1783" i="1"/>
  <c r="I1783" i="1"/>
  <c r="H1783" i="1"/>
  <c r="A1783" i="1"/>
  <c r="L1783" i="1" s="1"/>
  <c r="J1782" i="1"/>
  <c r="I1782" i="1"/>
  <c r="H1782" i="1"/>
  <c r="A1782" i="1"/>
  <c r="L1782" i="1" s="1"/>
  <c r="J1781" i="1"/>
  <c r="I1781" i="1"/>
  <c r="H1781" i="1"/>
  <c r="A1781" i="1"/>
  <c r="L1781" i="1" s="1"/>
  <c r="J1780" i="1"/>
  <c r="I1780" i="1"/>
  <c r="H1780" i="1"/>
  <c r="A1780" i="1"/>
  <c r="L1780" i="1" s="1"/>
  <c r="J1779" i="1"/>
  <c r="I1779" i="1"/>
  <c r="H1779" i="1"/>
  <c r="A1779" i="1"/>
  <c r="L1779" i="1" s="1"/>
  <c r="J1778" i="1"/>
  <c r="I1778" i="1"/>
  <c r="H1778" i="1"/>
  <c r="A1778" i="1"/>
  <c r="L1778" i="1" s="1"/>
  <c r="J1777" i="1"/>
  <c r="I1777" i="1"/>
  <c r="H1777" i="1"/>
  <c r="A1777" i="1"/>
  <c r="L1777" i="1" s="1"/>
  <c r="J1776" i="1"/>
  <c r="I1776" i="1"/>
  <c r="H1776" i="1"/>
  <c r="A1776" i="1"/>
  <c r="L1776" i="1" s="1"/>
  <c r="J1775" i="1"/>
  <c r="I1775" i="1"/>
  <c r="H1775" i="1"/>
  <c r="A1775" i="1"/>
  <c r="L1775" i="1" s="1"/>
  <c r="J1774" i="1"/>
  <c r="I1774" i="1"/>
  <c r="H1774" i="1"/>
  <c r="A1774" i="1"/>
  <c r="L1774" i="1" s="1"/>
  <c r="J1773" i="1"/>
  <c r="I1773" i="1"/>
  <c r="H1773" i="1"/>
  <c r="A1773" i="1"/>
  <c r="L1773" i="1" s="1"/>
  <c r="J1772" i="1"/>
  <c r="I1772" i="1"/>
  <c r="H1772" i="1"/>
  <c r="A1772" i="1"/>
  <c r="L1772" i="1" s="1"/>
  <c r="J1771" i="1"/>
  <c r="I1771" i="1"/>
  <c r="H1771" i="1"/>
  <c r="A1771" i="1"/>
  <c r="L1771" i="1" s="1"/>
  <c r="J1770" i="1"/>
  <c r="I1770" i="1"/>
  <c r="H1770" i="1"/>
  <c r="A1770" i="1"/>
  <c r="L1770" i="1" s="1"/>
  <c r="J1769" i="1"/>
  <c r="I1769" i="1"/>
  <c r="H1769" i="1"/>
  <c r="A1769" i="1"/>
  <c r="L1769" i="1" s="1"/>
  <c r="J1768" i="1"/>
  <c r="I1768" i="1"/>
  <c r="H1768" i="1"/>
  <c r="A1768" i="1"/>
  <c r="L1768" i="1" s="1"/>
  <c r="J1767" i="1"/>
  <c r="I1767" i="1"/>
  <c r="H1767" i="1"/>
  <c r="A1767" i="1"/>
  <c r="L1767" i="1" s="1"/>
  <c r="J1766" i="1"/>
  <c r="I1766" i="1"/>
  <c r="H1766" i="1"/>
  <c r="A1766" i="1"/>
  <c r="L1766" i="1" s="1"/>
  <c r="J1765" i="1"/>
  <c r="I1765" i="1"/>
  <c r="H1765" i="1"/>
  <c r="A1765" i="1"/>
  <c r="L1765" i="1" s="1"/>
  <c r="J1764" i="1"/>
  <c r="I1764" i="1"/>
  <c r="H1764" i="1"/>
  <c r="A1764" i="1"/>
  <c r="L1764" i="1" s="1"/>
  <c r="J1763" i="1"/>
  <c r="I1763" i="1"/>
  <c r="H1763" i="1"/>
  <c r="A1763" i="1"/>
  <c r="L1763" i="1" s="1"/>
  <c r="J1762" i="1"/>
  <c r="I1762" i="1"/>
  <c r="H1762" i="1"/>
  <c r="A1762" i="1"/>
  <c r="L1762" i="1" s="1"/>
  <c r="J1761" i="1"/>
  <c r="I1761" i="1"/>
  <c r="H1761" i="1"/>
  <c r="A1761" i="1"/>
  <c r="L1761" i="1" s="1"/>
  <c r="J1760" i="1"/>
  <c r="I1760" i="1"/>
  <c r="H1760" i="1"/>
  <c r="A1760" i="1"/>
  <c r="L1760" i="1" s="1"/>
  <c r="J1759" i="1"/>
  <c r="I1759" i="1"/>
  <c r="H1759" i="1"/>
  <c r="A1759" i="1"/>
  <c r="L1759" i="1" s="1"/>
  <c r="J1758" i="1"/>
  <c r="I1758" i="1"/>
  <c r="H1758" i="1"/>
  <c r="A1758" i="1"/>
  <c r="L1758" i="1" s="1"/>
  <c r="J1757" i="1"/>
  <c r="I1757" i="1"/>
  <c r="H1757" i="1"/>
  <c r="A1757" i="1"/>
  <c r="L1757" i="1" s="1"/>
  <c r="J1756" i="1"/>
  <c r="I1756" i="1"/>
  <c r="H1756" i="1"/>
  <c r="A1756" i="1"/>
  <c r="L1756" i="1" s="1"/>
  <c r="J1755" i="1"/>
  <c r="I1755" i="1"/>
  <c r="H1755" i="1"/>
  <c r="A1755" i="1"/>
  <c r="L1755" i="1" s="1"/>
  <c r="J1754" i="1"/>
  <c r="I1754" i="1"/>
  <c r="H1754" i="1"/>
  <c r="A1754" i="1"/>
  <c r="L1754" i="1" s="1"/>
  <c r="J1753" i="1"/>
  <c r="I1753" i="1"/>
  <c r="H1753" i="1"/>
  <c r="A1753" i="1"/>
  <c r="L1753" i="1" s="1"/>
  <c r="J1752" i="1"/>
  <c r="I1752" i="1"/>
  <c r="H1752" i="1"/>
  <c r="A1752" i="1"/>
  <c r="L1752" i="1" s="1"/>
  <c r="J1751" i="1"/>
  <c r="I1751" i="1"/>
  <c r="H1751" i="1"/>
  <c r="A1751" i="1"/>
  <c r="L1751" i="1" s="1"/>
  <c r="J1750" i="1"/>
  <c r="I1750" i="1"/>
  <c r="H1750" i="1"/>
  <c r="A1750" i="1"/>
  <c r="L1750" i="1" s="1"/>
  <c r="J1749" i="1"/>
  <c r="I1749" i="1"/>
  <c r="H1749" i="1"/>
  <c r="A1749" i="1"/>
  <c r="L1749" i="1" s="1"/>
  <c r="J1748" i="1"/>
  <c r="I1748" i="1"/>
  <c r="H1748" i="1"/>
  <c r="A1748" i="1"/>
  <c r="L1748" i="1" s="1"/>
  <c r="J1747" i="1"/>
  <c r="I1747" i="1"/>
  <c r="H1747" i="1"/>
  <c r="A1747" i="1"/>
  <c r="L1747" i="1" s="1"/>
  <c r="J1746" i="1"/>
  <c r="I1746" i="1"/>
  <c r="H1746" i="1"/>
  <c r="A1746" i="1"/>
  <c r="L1746" i="1" s="1"/>
  <c r="J1745" i="1"/>
  <c r="I1745" i="1"/>
  <c r="H1745" i="1"/>
  <c r="A1745" i="1"/>
  <c r="L1745" i="1" s="1"/>
  <c r="J1744" i="1"/>
  <c r="I1744" i="1"/>
  <c r="H1744" i="1"/>
  <c r="A1744" i="1"/>
  <c r="L1744" i="1" s="1"/>
  <c r="J1743" i="1"/>
  <c r="I1743" i="1"/>
  <c r="H1743" i="1"/>
  <c r="A1743" i="1"/>
  <c r="L1743" i="1" s="1"/>
  <c r="J1742" i="1"/>
  <c r="I1742" i="1"/>
  <c r="H1742" i="1"/>
  <c r="A1742" i="1"/>
  <c r="L1742" i="1" s="1"/>
  <c r="J1741" i="1"/>
  <c r="I1741" i="1"/>
  <c r="H1741" i="1"/>
  <c r="A1741" i="1"/>
  <c r="L1741" i="1" s="1"/>
  <c r="J1740" i="1"/>
  <c r="I1740" i="1"/>
  <c r="H1740" i="1"/>
  <c r="A1740" i="1"/>
  <c r="L1740" i="1" s="1"/>
  <c r="J1739" i="1"/>
  <c r="I1739" i="1"/>
  <c r="H1739" i="1"/>
  <c r="A1739" i="1"/>
  <c r="L1739" i="1" s="1"/>
  <c r="J1738" i="1"/>
  <c r="I1738" i="1"/>
  <c r="H1738" i="1"/>
  <c r="A1738" i="1"/>
  <c r="L1738" i="1" s="1"/>
  <c r="J1737" i="1"/>
  <c r="I1737" i="1"/>
  <c r="H1737" i="1"/>
  <c r="A1737" i="1"/>
  <c r="L1737" i="1" s="1"/>
  <c r="J1736" i="1"/>
  <c r="I1736" i="1"/>
  <c r="H1736" i="1"/>
  <c r="A1736" i="1"/>
  <c r="L1736" i="1" s="1"/>
  <c r="J1735" i="1"/>
  <c r="I1735" i="1"/>
  <c r="H1735" i="1"/>
  <c r="A1735" i="1"/>
  <c r="L1735" i="1" s="1"/>
  <c r="J1734" i="1"/>
  <c r="I1734" i="1"/>
  <c r="H1734" i="1"/>
  <c r="A1734" i="1"/>
  <c r="L1734" i="1" s="1"/>
  <c r="J1733" i="1"/>
  <c r="I1733" i="1"/>
  <c r="H1733" i="1"/>
  <c r="A1733" i="1"/>
  <c r="L1733" i="1" s="1"/>
  <c r="J1732" i="1"/>
  <c r="I1732" i="1"/>
  <c r="H1732" i="1"/>
  <c r="A1732" i="1"/>
  <c r="L1732" i="1" s="1"/>
  <c r="J1731" i="1"/>
  <c r="I1731" i="1"/>
  <c r="H1731" i="1"/>
  <c r="A1731" i="1"/>
  <c r="L1731" i="1" s="1"/>
  <c r="J1730" i="1"/>
  <c r="I1730" i="1"/>
  <c r="H1730" i="1"/>
  <c r="A1730" i="1"/>
  <c r="L1730" i="1" s="1"/>
  <c r="J1729" i="1"/>
  <c r="I1729" i="1"/>
  <c r="H1729" i="1"/>
  <c r="A1729" i="1"/>
  <c r="L1729" i="1" s="1"/>
  <c r="J1728" i="1"/>
  <c r="I1728" i="1"/>
  <c r="H1728" i="1"/>
  <c r="A1728" i="1"/>
  <c r="L1728" i="1" s="1"/>
  <c r="J1727" i="1"/>
  <c r="I1727" i="1"/>
  <c r="H1727" i="1"/>
  <c r="A1727" i="1"/>
  <c r="L1727" i="1" s="1"/>
  <c r="J1726" i="1"/>
  <c r="I1726" i="1"/>
  <c r="H1726" i="1"/>
  <c r="A1726" i="1"/>
  <c r="L1726" i="1" s="1"/>
  <c r="J1725" i="1"/>
  <c r="I1725" i="1"/>
  <c r="H1725" i="1"/>
  <c r="A1725" i="1"/>
  <c r="L1725" i="1" s="1"/>
  <c r="J1724" i="1"/>
  <c r="I1724" i="1"/>
  <c r="H1724" i="1"/>
  <c r="A1724" i="1"/>
  <c r="L1724" i="1" s="1"/>
  <c r="J1723" i="1"/>
  <c r="I1723" i="1"/>
  <c r="H1723" i="1"/>
  <c r="A1723" i="1"/>
  <c r="L1723" i="1" s="1"/>
  <c r="J1722" i="1"/>
  <c r="I1722" i="1"/>
  <c r="H1722" i="1"/>
  <c r="A1722" i="1"/>
  <c r="L1722" i="1" s="1"/>
  <c r="J1721" i="1"/>
  <c r="I1721" i="1"/>
  <c r="H1721" i="1"/>
  <c r="A1721" i="1"/>
  <c r="L1721" i="1" s="1"/>
  <c r="J1720" i="1"/>
  <c r="I1720" i="1"/>
  <c r="H1720" i="1"/>
  <c r="A1720" i="1"/>
  <c r="L1720" i="1" s="1"/>
  <c r="J1719" i="1"/>
  <c r="I1719" i="1"/>
  <c r="H1719" i="1"/>
  <c r="A1719" i="1"/>
  <c r="L1719" i="1" s="1"/>
  <c r="J1718" i="1"/>
  <c r="I1718" i="1"/>
  <c r="H1718" i="1"/>
  <c r="A1718" i="1"/>
  <c r="L1718" i="1" s="1"/>
  <c r="J1717" i="1"/>
  <c r="I1717" i="1"/>
  <c r="H1717" i="1"/>
  <c r="A1717" i="1"/>
  <c r="L1717" i="1" s="1"/>
  <c r="J1716" i="1"/>
  <c r="I1716" i="1"/>
  <c r="H1716" i="1"/>
  <c r="A1716" i="1"/>
  <c r="L1716" i="1" s="1"/>
  <c r="J1715" i="1"/>
  <c r="I1715" i="1"/>
  <c r="H1715" i="1"/>
  <c r="A1715" i="1"/>
  <c r="L1715" i="1" s="1"/>
  <c r="J1714" i="1"/>
  <c r="I1714" i="1"/>
  <c r="H1714" i="1"/>
  <c r="A1714" i="1"/>
  <c r="L1714" i="1" s="1"/>
  <c r="J1713" i="1"/>
  <c r="I1713" i="1"/>
  <c r="H1713" i="1"/>
  <c r="A1713" i="1"/>
  <c r="L1713" i="1" s="1"/>
  <c r="J1712" i="1"/>
  <c r="I1712" i="1"/>
  <c r="H1712" i="1"/>
  <c r="A1712" i="1"/>
  <c r="L1712" i="1" s="1"/>
  <c r="J1711" i="1"/>
  <c r="I1711" i="1"/>
  <c r="H1711" i="1"/>
  <c r="A1711" i="1"/>
  <c r="L1711" i="1" s="1"/>
  <c r="J1710" i="1"/>
  <c r="I1710" i="1"/>
  <c r="H1710" i="1"/>
  <c r="A1710" i="1"/>
  <c r="L1710" i="1" s="1"/>
  <c r="J1709" i="1"/>
  <c r="I1709" i="1"/>
  <c r="H1709" i="1"/>
  <c r="A1709" i="1"/>
  <c r="L1709" i="1" s="1"/>
  <c r="J1708" i="1"/>
  <c r="I1708" i="1"/>
  <c r="H1708" i="1"/>
  <c r="A1708" i="1"/>
  <c r="L1708" i="1" s="1"/>
  <c r="J1707" i="1"/>
  <c r="I1707" i="1"/>
  <c r="H1707" i="1"/>
  <c r="A1707" i="1"/>
  <c r="L1707" i="1" s="1"/>
  <c r="J1706" i="1"/>
  <c r="I1706" i="1"/>
  <c r="H1706" i="1"/>
  <c r="A1706" i="1"/>
  <c r="L1706" i="1" s="1"/>
  <c r="J1705" i="1"/>
  <c r="I1705" i="1"/>
  <c r="H1705" i="1"/>
  <c r="A1705" i="1"/>
  <c r="L1705" i="1" s="1"/>
  <c r="J1704" i="1"/>
  <c r="I1704" i="1"/>
  <c r="H1704" i="1"/>
  <c r="A1704" i="1"/>
  <c r="L1704" i="1" s="1"/>
  <c r="J1703" i="1"/>
  <c r="I1703" i="1"/>
  <c r="H1703" i="1"/>
  <c r="A1703" i="1"/>
  <c r="L1703" i="1" s="1"/>
  <c r="J1702" i="1"/>
  <c r="I1702" i="1"/>
  <c r="H1702" i="1"/>
  <c r="A1702" i="1"/>
  <c r="L1702" i="1" s="1"/>
  <c r="J1701" i="1"/>
  <c r="I1701" i="1"/>
  <c r="H1701" i="1"/>
  <c r="A1701" i="1"/>
  <c r="L1701" i="1" s="1"/>
  <c r="J1700" i="1"/>
  <c r="I1700" i="1"/>
  <c r="H1700" i="1"/>
  <c r="A1700" i="1"/>
  <c r="L1700" i="1" s="1"/>
  <c r="J1699" i="1"/>
  <c r="I1699" i="1"/>
  <c r="H1699" i="1"/>
  <c r="A1699" i="1"/>
  <c r="L1699" i="1" s="1"/>
  <c r="J1698" i="1"/>
  <c r="I1698" i="1"/>
  <c r="H1698" i="1"/>
  <c r="A1698" i="1"/>
  <c r="L1698" i="1" s="1"/>
  <c r="J1697" i="1"/>
  <c r="I1697" i="1"/>
  <c r="H1697" i="1"/>
  <c r="A1697" i="1"/>
  <c r="L1697" i="1" s="1"/>
  <c r="J1696" i="1"/>
  <c r="I1696" i="1"/>
  <c r="H1696" i="1"/>
  <c r="A1696" i="1"/>
  <c r="L1696" i="1" s="1"/>
  <c r="J1695" i="1"/>
  <c r="I1695" i="1"/>
  <c r="H1695" i="1"/>
  <c r="A1695" i="1"/>
  <c r="L1695" i="1" s="1"/>
  <c r="J1694" i="1"/>
  <c r="I1694" i="1"/>
  <c r="H1694" i="1"/>
  <c r="A1694" i="1"/>
  <c r="L1694" i="1" s="1"/>
  <c r="J1693" i="1"/>
  <c r="I1693" i="1"/>
  <c r="H1693" i="1"/>
  <c r="A1693" i="1"/>
  <c r="L1693" i="1" s="1"/>
  <c r="J1692" i="1"/>
  <c r="I1692" i="1"/>
  <c r="H1692" i="1"/>
  <c r="A1692" i="1"/>
  <c r="L1692" i="1" s="1"/>
  <c r="J1691" i="1"/>
  <c r="I1691" i="1"/>
  <c r="H1691" i="1"/>
  <c r="A1691" i="1"/>
  <c r="L1691" i="1" s="1"/>
  <c r="J1690" i="1"/>
  <c r="I1690" i="1"/>
  <c r="H1690" i="1"/>
  <c r="A1690" i="1"/>
  <c r="L1690" i="1" s="1"/>
  <c r="J1689" i="1"/>
  <c r="I1689" i="1"/>
  <c r="H1689" i="1"/>
  <c r="A1689" i="1"/>
  <c r="L1689" i="1" s="1"/>
  <c r="J1688" i="1"/>
  <c r="I1688" i="1"/>
  <c r="H1688" i="1"/>
  <c r="A1688" i="1"/>
  <c r="L1688" i="1" s="1"/>
  <c r="J1687" i="1"/>
  <c r="I1687" i="1"/>
  <c r="H1687" i="1"/>
  <c r="A1687" i="1"/>
  <c r="L1687" i="1" s="1"/>
  <c r="J1686" i="1"/>
  <c r="I1686" i="1"/>
  <c r="H1686" i="1"/>
  <c r="A1686" i="1"/>
  <c r="L1686" i="1" s="1"/>
  <c r="J1685" i="1"/>
  <c r="I1685" i="1"/>
  <c r="H1685" i="1"/>
  <c r="A1685" i="1"/>
  <c r="L1685" i="1" s="1"/>
  <c r="J1684" i="1"/>
  <c r="I1684" i="1"/>
  <c r="H1684" i="1"/>
  <c r="A1684" i="1"/>
  <c r="L1684" i="1" s="1"/>
  <c r="J1683" i="1"/>
  <c r="I1683" i="1"/>
  <c r="H1683" i="1"/>
  <c r="A1683" i="1"/>
  <c r="L1683" i="1" s="1"/>
  <c r="J1682" i="1"/>
  <c r="I1682" i="1"/>
  <c r="H1682" i="1"/>
  <c r="A1682" i="1"/>
  <c r="L1682" i="1" s="1"/>
  <c r="J1681" i="1"/>
  <c r="I1681" i="1"/>
  <c r="H1681" i="1"/>
  <c r="A1681" i="1"/>
  <c r="L1681" i="1" s="1"/>
  <c r="J1680" i="1"/>
  <c r="I1680" i="1"/>
  <c r="H1680" i="1"/>
  <c r="A1680" i="1"/>
  <c r="L1680" i="1" s="1"/>
  <c r="J1679" i="1"/>
  <c r="I1679" i="1"/>
  <c r="H1679" i="1"/>
  <c r="A1679" i="1"/>
  <c r="L1679" i="1" s="1"/>
  <c r="J1678" i="1"/>
  <c r="I1678" i="1"/>
  <c r="H1678" i="1"/>
  <c r="A1678" i="1"/>
  <c r="L1678" i="1" s="1"/>
  <c r="J1677" i="1"/>
  <c r="I1677" i="1"/>
  <c r="H1677" i="1"/>
  <c r="A1677" i="1"/>
  <c r="L1677" i="1" s="1"/>
  <c r="J1676" i="1"/>
  <c r="I1676" i="1"/>
  <c r="H1676" i="1"/>
  <c r="A1676" i="1"/>
  <c r="L1676" i="1" s="1"/>
  <c r="J1675" i="1"/>
  <c r="I1675" i="1"/>
  <c r="H1675" i="1"/>
  <c r="A1675" i="1"/>
  <c r="L1675" i="1" s="1"/>
  <c r="J1674" i="1"/>
  <c r="I1674" i="1"/>
  <c r="H1674" i="1"/>
  <c r="A1674" i="1"/>
  <c r="L1674" i="1" s="1"/>
  <c r="J1673" i="1"/>
  <c r="I1673" i="1"/>
  <c r="H1673" i="1"/>
  <c r="A1673" i="1"/>
  <c r="L1673" i="1" s="1"/>
  <c r="J1672" i="1"/>
  <c r="I1672" i="1"/>
  <c r="H1672" i="1"/>
  <c r="A1672" i="1"/>
  <c r="L1672" i="1" s="1"/>
  <c r="J1671" i="1"/>
  <c r="I1671" i="1"/>
  <c r="H1671" i="1"/>
  <c r="A1671" i="1"/>
  <c r="L1671" i="1" s="1"/>
  <c r="J1670" i="1"/>
  <c r="I1670" i="1"/>
  <c r="H1670" i="1"/>
  <c r="A1670" i="1"/>
  <c r="L1670" i="1" s="1"/>
  <c r="J1669" i="1"/>
  <c r="I1669" i="1"/>
  <c r="H1669" i="1"/>
  <c r="A1669" i="1"/>
  <c r="L1669" i="1" s="1"/>
  <c r="J1668" i="1"/>
  <c r="I1668" i="1"/>
  <c r="H1668" i="1"/>
  <c r="A1668" i="1"/>
  <c r="L1668" i="1" s="1"/>
  <c r="J1667" i="1"/>
  <c r="I1667" i="1"/>
  <c r="H1667" i="1"/>
  <c r="A1667" i="1"/>
  <c r="L1667" i="1" s="1"/>
  <c r="J1666" i="1"/>
  <c r="I1666" i="1"/>
  <c r="H1666" i="1"/>
  <c r="A1666" i="1"/>
  <c r="L1666" i="1" s="1"/>
  <c r="J1665" i="1"/>
  <c r="I1665" i="1"/>
  <c r="H1665" i="1"/>
  <c r="A1665" i="1"/>
  <c r="L1665" i="1" s="1"/>
  <c r="J1664" i="1"/>
  <c r="I1664" i="1"/>
  <c r="H1664" i="1"/>
  <c r="A1664" i="1"/>
  <c r="L1664" i="1" s="1"/>
  <c r="J1663" i="1"/>
  <c r="I1663" i="1"/>
  <c r="H1663" i="1"/>
  <c r="A1663" i="1"/>
  <c r="L1663" i="1" s="1"/>
  <c r="J1662" i="1"/>
  <c r="I1662" i="1"/>
  <c r="H1662" i="1"/>
  <c r="A1662" i="1"/>
  <c r="L1662" i="1" s="1"/>
  <c r="J1661" i="1"/>
  <c r="I1661" i="1"/>
  <c r="H1661" i="1"/>
  <c r="A1661" i="1"/>
  <c r="L1661" i="1" s="1"/>
  <c r="J1660" i="1"/>
  <c r="I1660" i="1"/>
  <c r="H1660" i="1"/>
  <c r="A1660" i="1"/>
  <c r="L1660" i="1" s="1"/>
  <c r="J1659" i="1"/>
  <c r="I1659" i="1"/>
  <c r="H1659" i="1"/>
  <c r="A1659" i="1"/>
  <c r="L1659" i="1" s="1"/>
  <c r="J1658" i="1"/>
  <c r="I1658" i="1"/>
  <c r="H1658" i="1"/>
  <c r="A1658" i="1"/>
  <c r="L1658" i="1" s="1"/>
  <c r="J1657" i="1"/>
  <c r="I1657" i="1"/>
  <c r="H1657" i="1"/>
  <c r="A1657" i="1"/>
  <c r="L1657" i="1" s="1"/>
  <c r="J1656" i="1"/>
  <c r="I1656" i="1"/>
  <c r="H1656" i="1"/>
  <c r="A1656" i="1"/>
  <c r="L1656" i="1" s="1"/>
  <c r="J1655" i="1"/>
  <c r="I1655" i="1"/>
  <c r="H1655" i="1"/>
  <c r="A1655" i="1"/>
  <c r="L1655" i="1" s="1"/>
  <c r="J1654" i="1"/>
  <c r="I1654" i="1"/>
  <c r="H1654" i="1"/>
  <c r="A1654" i="1"/>
  <c r="L1654" i="1" s="1"/>
  <c r="J1653" i="1"/>
  <c r="I1653" i="1"/>
  <c r="H1653" i="1"/>
  <c r="A1653" i="1"/>
  <c r="L1653" i="1" s="1"/>
  <c r="J1652" i="1"/>
  <c r="I1652" i="1"/>
  <c r="H1652" i="1"/>
  <c r="A1652" i="1"/>
  <c r="L1652" i="1" s="1"/>
  <c r="J1651" i="1"/>
  <c r="I1651" i="1"/>
  <c r="H1651" i="1"/>
  <c r="A1651" i="1"/>
  <c r="L1651" i="1" s="1"/>
  <c r="J1650" i="1"/>
  <c r="I1650" i="1"/>
  <c r="H1650" i="1"/>
  <c r="A1650" i="1"/>
  <c r="L1650" i="1" s="1"/>
  <c r="J1649" i="1"/>
  <c r="I1649" i="1"/>
  <c r="H1649" i="1"/>
  <c r="A1649" i="1"/>
  <c r="L1649" i="1" s="1"/>
  <c r="J1648" i="1"/>
  <c r="I1648" i="1"/>
  <c r="H1648" i="1"/>
  <c r="A1648" i="1"/>
  <c r="L1648" i="1" s="1"/>
  <c r="J1647" i="1"/>
  <c r="I1647" i="1"/>
  <c r="H1647" i="1"/>
  <c r="A1647" i="1"/>
  <c r="L1647" i="1" s="1"/>
  <c r="J1646" i="1"/>
  <c r="I1646" i="1"/>
  <c r="H1646" i="1"/>
  <c r="A1646" i="1"/>
  <c r="L1646" i="1" s="1"/>
  <c r="J1645" i="1"/>
  <c r="I1645" i="1"/>
  <c r="H1645" i="1"/>
  <c r="A1645" i="1"/>
  <c r="L1645" i="1" s="1"/>
  <c r="J1644" i="1"/>
  <c r="I1644" i="1"/>
  <c r="H1644" i="1"/>
  <c r="A1644" i="1"/>
  <c r="L1644" i="1" s="1"/>
  <c r="J1643" i="1"/>
  <c r="I1643" i="1"/>
  <c r="H1643" i="1"/>
  <c r="A1643" i="1"/>
  <c r="L1643" i="1" s="1"/>
  <c r="J1642" i="1"/>
  <c r="I1642" i="1"/>
  <c r="H1642" i="1"/>
  <c r="A1642" i="1"/>
  <c r="L1642" i="1" s="1"/>
  <c r="J1641" i="1"/>
  <c r="I1641" i="1"/>
  <c r="H1641" i="1"/>
  <c r="A1641" i="1"/>
  <c r="L1641" i="1" s="1"/>
  <c r="J1640" i="1"/>
  <c r="I1640" i="1"/>
  <c r="H1640" i="1"/>
  <c r="A1640" i="1"/>
  <c r="L1640" i="1" s="1"/>
  <c r="J1639" i="1"/>
  <c r="I1639" i="1"/>
  <c r="H1639" i="1"/>
  <c r="A1639" i="1"/>
  <c r="L1639" i="1" s="1"/>
  <c r="J1638" i="1"/>
  <c r="I1638" i="1"/>
  <c r="H1638" i="1"/>
  <c r="A1638" i="1"/>
  <c r="L1638" i="1" s="1"/>
  <c r="J1637" i="1"/>
  <c r="I1637" i="1"/>
  <c r="H1637" i="1"/>
  <c r="A1637" i="1"/>
  <c r="L1637" i="1" s="1"/>
  <c r="J1636" i="1"/>
  <c r="I1636" i="1"/>
  <c r="H1636" i="1"/>
  <c r="A1636" i="1"/>
  <c r="L1636" i="1" s="1"/>
  <c r="J1635" i="1"/>
  <c r="I1635" i="1"/>
  <c r="H1635" i="1"/>
  <c r="A1635" i="1"/>
  <c r="L1635" i="1" s="1"/>
  <c r="J1634" i="1"/>
  <c r="I1634" i="1"/>
  <c r="H1634" i="1"/>
  <c r="A1634" i="1"/>
  <c r="L1634" i="1" s="1"/>
  <c r="J1633" i="1"/>
  <c r="I1633" i="1"/>
  <c r="H1633" i="1"/>
  <c r="A1633" i="1"/>
  <c r="L1633" i="1" s="1"/>
  <c r="J1632" i="1"/>
  <c r="I1632" i="1"/>
  <c r="H1632" i="1"/>
  <c r="A1632" i="1"/>
  <c r="L1632" i="1" s="1"/>
  <c r="J1631" i="1"/>
  <c r="I1631" i="1"/>
  <c r="H1631" i="1"/>
  <c r="A1631" i="1"/>
  <c r="L1631" i="1" s="1"/>
  <c r="J1630" i="1"/>
  <c r="I1630" i="1"/>
  <c r="H1630" i="1"/>
  <c r="A1630" i="1"/>
  <c r="L1630" i="1" s="1"/>
  <c r="J1629" i="1"/>
  <c r="I1629" i="1"/>
  <c r="H1629" i="1"/>
  <c r="A1629" i="1"/>
  <c r="L1629" i="1" s="1"/>
  <c r="J1628" i="1"/>
  <c r="I1628" i="1"/>
  <c r="H1628" i="1"/>
  <c r="A1628" i="1"/>
  <c r="L1628" i="1" s="1"/>
  <c r="J1627" i="1"/>
  <c r="I1627" i="1"/>
  <c r="H1627" i="1"/>
  <c r="A1627" i="1"/>
  <c r="L1627" i="1" s="1"/>
  <c r="J1626" i="1"/>
  <c r="I1626" i="1"/>
  <c r="H1626" i="1"/>
  <c r="A1626" i="1"/>
  <c r="L1626" i="1" s="1"/>
  <c r="J1625" i="1"/>
  <c r="I1625" i="1"/>
  <c r="H1625" i="1"/>
  <c r="A1625" i="1"/>
  <c r="L1625" i="1" s="1"/>
  <c r="J1624" i="1"/>
  <c r="I1624" i="1"/>
  <c r="H1624" i="1"/>
  <c r="A1624" i="1"/>
  <c r="L1624" i="1" s="1"/>
  <c r="J1623" i="1"/>
  <c r="I1623" i="1"/>
  <c r="H1623" i="1"/>
  <c r="A1623" i="1"/>
  <c r="L1623" i="1" s="1"/>
  <c r="J1622" i="1"/>
  <c r="I1622" i="1"/>
  <c r="H1622" i="1"/>
  <c r="A1622" i="1"/>
  <c r="L1622" i="1" s="1"/>
  <c r="J1621" i="1"/>
  <c r="I1621" i="1"/>
  <c r="H1621" i="1"/>
  <c r="A1621" i="1"/>
  <c r="L1621" i="1" s="1"/>
  <c r="J1620" i="1"/>
  <c r="I1620" i="1"/>
  <c r="H1620" i="1"/>
  <c r="A1620" i="1"/>
  <c r="L1620" i="1" s="1"/>
  <c r="J1619" i="1"/>
  <c r="I1619" i="1"/>
  <c r="H1619" i="1"/>
  <c r="A1619" i="1"/>
  <c r="L1619" i="1" s="1"/>
  <c r="J1618" i="1"/>
  <c r="I1618" i="1"/>
  <c r="H1618" i="1"/>
  <c r="A1618" i="1"/>
  <c r="L1618" i="1" s="1"/>
  <c r="J1617" i="1"/>
  <c r="I1617" i="1"/>
  <c r="H1617" i="1"/>
  <c r="A1617" i="1"/>
  <c r="L1617" i="1" s="1"/>
  <c r="J1616" i="1"/>
  <c r="I1616" i="1"/>
  <c r="H1616" i="1"/>
  <c r="A1616" i="1"/>
  <c r="L1616" i="1" s="1"/>
  <c r="J1615" i="1"/>
  <c r="I1615" i="1"/>
  <c r="H1615" i="1"/>
  <c r="A1615" i="1"/>
  <c r="L1615" i="1" s="1"/>
  <c r="J1614" i="1"/>
  <c r="I1614" i="1"/>
  <c r="H1614" i="1"/>
  <c r="A1614" i="1"/>
  <c r="L1614" i="1" s="1"/>
  <c r="J1613" i="1"/>
  <c r="I1613" i="1"/>
  <c r="H1613" i="1"/>
  <c r="A1613" i="1"/>
  <c r="L1613" i="1" s="1"/>
  <c r="J1612" i="1"/>
  <c r="I1612" i="1"/>
  <c r="H1612" i="1"/>
  <c r="A1612" i="1"/>
  <c r="L1612" i="1" s="1"/>
  <c r="J1611" i="1"/>
  <c r="I1611" i="1"/>
  <c r="H1611" i="1"/>
  <c r="A1611" i="1"/>
  <c r="L1611" i="1" s="1"/>
  <c r="J1610" i="1"/>
  <c r="I1610" i="1"/>
  <c r="H1610" i="1"/>
  <c r="A1610" i="1"/>
  <c r="L1610" i="1" s="1"/>
  <c r="J1609" i="1"/>
  <c r="I1609" i="1"/>
  <c r="H1609" i="1"/>
  <c r="A1609" i="1"/>
  <c r="L1609" i="1" s="1"/>
  <c r="J1608" i="1"/>
  <c r="I1608" i="1"/>
  <c r="H1608" i="1"/>
  <c r="A1608" i="1"/>
  <c r="L1608" i="1" s="1"/>
  <c r="J1607" i="1"/>
  <c r="I1607" i="1"/>
  <c r="H1607" i="1"/>
  <c r="A1607" i="1"/>
  <c r="L1607" i="1" s="1"/>
  <c r="J1606" i="1"/>
  <c r="I1606" i="1"/>
  <c r="H1606" i="1"/>
  <c r="A1606" i="1"/>
  <c r="L1606" i="1" s="1"/>
  <c r="J1605" i="1"/>
  <c r="I1605" i="1"/>
  <c r="H1605" i="1"/>
  <c r="A1605" i="1"/>
  <c r="L1605" i="1" s="1"/>
  <c r="J1604" i="1"/>
  <c r="I1604" i="1"/>
  <c r="H1604" i="1"/>
  <c r="A1604" i="1"/>
  <c r="L1604" i="1" s="1"/>
  <c r="J1603" i="1"/>
  <c r="I1603" i="1"/>
  <c r="H1603" i="1"/>
  <c r="A1603" i="1"/>
  <c r="L1603" i="1" s="1"/>
  <c r="J1602" i="1"/>
  <c r="I1602" i="1"/>
  <c r="H1602" i="1"/>
  <c r="A1602" i="1"/>
  <c r="L1602" i="1" s="1"/>
  <c r="J1601" i="1"/>
  <c r="I1601" i="1"/>
  <c r="H1601" i="1"/>
  <c r="A1601" i="1"/>
  <c r="L1601" i="1" s="1"/>
  <c r="J1600" i="1"/>
  <c r="I1600" i="1"/>
  <c r="H1600" i="1"/>
  <c r="A1600" i="1"/>
  <c r="L1600" i="1" s="1"/>
  <c r="J1599" i="1"/>
  <c r="I1599" i="1"/>
  <c r="H1599" i="1"/>
  <c r="A1599" i="1"/>
  <c r="L1599" i="1" s="1"/>
  <c r="J1598" i="1"/>
  <c r="I1598" i="1"/>
  <c r="H1598" i="1"/>
  <c r="A1598" i="1"/>
  <c r="L1598" i="1" s="1"/>
  <c r="J1597" i="1"/>
  <c r="I1597" i="1"/>
  <c r="H1597" i="1"/>
  <c r="A1597" i="1"/>
  <c r="L1597" i="1" s="1"/>
  <c r="J1596" i="1"/>
  <c r="I1596" i="1"/>
  <c r="H1596" i="1"/>
  <c r="A1596" i="1"/>
  <c r="L1596" i="1" s="1"/>
  <c r="J1595" i="1"/>
  <c r="I1595" i="1"/>
  <c r="H1595" i="1"/>
  <c r="A1595" i="1"/>
  <c r="L1595" i="1" s="1"/>
  <c r="J1594" i="1"/>
  <c r="I1594" i="1"/>
  <c r="H1594" i="1"/>
  <c r="A1594" i="1"/>
  <c r="L1594" i="1" s="1"/>
  <c r="J1593" i="1"/>
  <c r="I1593" i="1"/>
  <c r="H1593" i="1"/>
  <c r="A1593" i="1"/>
  <c r="L1593" i="1" s="1"/>
  <c r="J1592" i="1"/>
  <c r="I1592" i="1"/>
  <c r="H1592" i="1"/>
  <c r="A1592" i="1"/>
  <c r="L1592" i="1" s="1"/>
  <c r="J1591" i="1"/>
  <c r="I1591" i="1"/>
  <c r="H1591" i="1"/>
  <c r="A1591" i="1"/>
  <c r="L1591" i="1" s="1"/>
  <c r="J1590" i="1"/>
  <c r="I1590" i="1"/>
  <c r="H1590" i="1"/>
  <c r="A1590" i="1"/>
  <c r="L1590" i="1" s="1"/>
  <c r="J1589" i="1"/>
  <c r="I1589" i="1"/>
  <c r="H1589" i="1"/>
  <c r="A1589" i="1"/>
  <c r="L1589" i="1" s="1"/>
  <c r="J1588" i="1"/>
  <c r="I1588" i="1"/>
  <c r="H1588" i="1"/>
  <c r="A1588" i="1"/>
  <c r="L1588" i="1" s="1"/>
  <c r="J1587" i="1"/>
  <c r="I1587" i="1"/>
  <c r="H1587" i="1"/>
  <c r="A1587" i="1"/>
  <c r="L1587" i="1" s="1"/>
  <c r="J1586" i="1"/>
  <c r="I1586" i="1"/>
  <c r="H1586" i="1"/>
  <c r="A1586" i="1"/>
  <c r="L1586" i="1" s="1"/>
  <c r="J1585" i="1"/>
  <c r="I1585" i="1"/>
  <c r="H1585" i="1"/>
  <c r="A1585" i="1"/>
  <c r="L1585" i="1" s="1"/>
  <c r="J1584" i="1"/>
  <c r="I1584" i="1"/>
  <c r="H1584" i="1"/>
  <c r="A1584" i="1"/>
  <c r="L1584" i="1" s="1"/>
  <c r="J1583" i="1"/>
  <c r="I1583" i="1"/>
  <c r="H1583" i="1"/>
  <c r="A1583" i="1"/>
  <c r="L1583" i="1" s="1"/>
  <c r="J1582" i="1"/>
  <c r="I1582" i="1"/>
  <c r="H1582" i="1"/>
  <c r="A1582" i="1"/>
  <c r="L1582" i="1" s="1"/>
  <c r="J1581" i="1"/>
  <c r="I1581" i="1"/>
  <c r="H1581" i="1"/>
  <c r="A1581" i="1"/>
  <c r="L1581" i="1" s="1"/>
  <c r="J1580" i="1"/>
  <c r="I1580" i="1"/>
  <c r="H1580" i="1"/>
  <c r="A1580" i="1"/>
  <c r="L1580" i="1" s="1"/>
  <c r="J1579" i="1"/>
  <c r="I1579" i="1"/>
  <c r="H1579" i="1"/>
  <c r="A1579" i="1"/>
  <c r="L1579" i="1" s="1"/>
  <c r="J1578" i="1"/>
  <c r="I1578" i="1"/>
  <c r="H1578" i="1"/>
  <c r="A1578" i="1"/>
  <c r="L1578" i="1" s="1"/>
  <c r="J1577" i="1"/>
  <c r="I1577" i="1"/>
  <c r="H1577" i="1"/>
  <c r="A1577" i="1"/>
  <c r="L1577" i="1" s="1"/>
  <c r="J1576" i="1"/>
  <c r="I1576" i="1"/>
  <c r="H1576" i="1"/>
  <c r="A1576" i="1"/>
  <c r="L1576" i="1" s="1"/>
  <c r="J1575" i="1"/>
  <c r="I1575" i="1"/>
  <c r="H1575" i="1"/>
  <c r="A1575" i="1"/>
  <c r="L1575" i="1" s="1"/>
  <c r="J1574" i="1"/>
  <c r="I1574" i="1"/>
  <c r="H1574" i="1"/>
  <c r="A1574" i="1"/>
  <c r="L1574" i="1" s="1"/>
  <c r="J1573" i="1"/>
  <c r="I1573" i="1"/>
  <c r="H1573" i="1"/>
  <c r="A1573" i="1"/>
  <c r="L1573" i="1" s="1"/>
  <c r="J1572" i="1"/>
  <c r="I1572" i="1"/>
  <c r="H1572" i="1"/>
  <c r="A1572" i="1"/>
  <c r="L1572" i="1" s="1"/>
  <c r="J1571" i="1"/>
  <c r="I1571" i="1"/>
  <c r="H1571" i="1"/>
  <c r="A1571" i="1"/>
  <c r="L1571" i="1" s="1"/>
  <c r="J1570" i="1"/>
  <c r="I1570" i="1"/>
  <c r="H1570" i="1"/>
  <c r="A1570" i="1"/>
  <c r="L1570" i="1" s="1"/>
  <c r="J1569" i="1"/>
  <c r="I1569" i="1"/>
  <c r="H1569" i="1"/>
  <c r="A1569" i="1"/>
  <c r="L1569" i="1" s="1"/>
  <c r="J1568" i="1"/>
  <c r="I1568" i="1"/>
  <c r="H1568" i="1"/>
  <c r="A1568" i="1"/>
  <c r="L1568" i="1" s="1"/>
  <c r="J1567" i="1"/>
  <c r="I1567" i="1"/>
  <c r="H1567" i="1"/>
  <c r="A1567" i="1"/>
  <c r="J1566" i="1"/>
  <c r="I1566" i="1"/>
  <c r="H1566" i="1"/>
  <c r="A1566" i="1"/>
  <c r="L1566" i="1" s="1"/>
  <c r="J1565" i="1"/>
  <c r="I1565" i="1"/>
  <c r="H1565" i="1"/>
  <c r="A1565" i="1"/>
  <c r="L1565" i="1" s="1"/>
  <c r="J1564" i="1"/>
  <c r="I1564" i="1"/>
  <c r="H1564" i="1"/>
  <c r="A1564" i="1"/>
  <c r="L1564" i="1" s="1"/>
  <c r="J1563" i="1"/>
  <c r="I1563" i="1"/>
  <c r="H1563" i="1"/>
  <c r="A1563" i="1"/>
  <c r="L1563" i="1" s="1"/>
  <c r="J1562" i="1"/>
  <c r="I1562" i="1"/>
  <c r="H1562" i="1"/>
  <c r="A1562" i="1"/>
  <c r="L1562" i="1" s="1"/>
  <c r="J1561" i="1"/>
  <c r="I1561" i="1"/>
  <c r="H1561" i="1"/>
  <c r="A1561" i="1"/>
  <c r="L1561" i="1" s="1"/>
  <c r="J1560" i="1"/>
  <c r="I1560" i="1"/>
  <c r="H1560" i="1"/>
  <c r="A1560" i="1"/>
  <c r="L1560" i="1" s="1"/>
  <c r="J1559" i="1"/>
  <c r="I1559" i="1"/>
  <c r="H1559" i="1"/>
  <c r="A1559" i="1"/>
  <c r="L1559" i="1" s="1"/>
  <c r="J1558" i="1"/>
  <c r="I1558" i="1"/>
  <c r="H1558" i="1"/>
  <c r="A1558" i="1"/>
  <c r="L1558" i="1" s="1"/>
  <c r="J1557" i="1"/>
  <c r="I1557" i="1"/>
  <c r="H1557" i="1"/>
  <c r="A1557" i="1"/>
  <c r="L1557" i="1" s="1"/>
  <c r="J1556" i="1"/>
  <c r="I1556" i="1"/>
  <c r="H1556" i="1"/>
  <c r="A1556" i="1"/>
  <c r="L1556" i="1" s="1"/>
  <c r="J1555" i="1"/>
  <c r="I1555" i="1"/>
  <c r="H1555" i="1"/>
  <c r="A1555" i="1"/>
  <c r="L1555" i="1" s="1"/>
  <c r="J1554" i="1"/>
  <c r="I1554" i="1"/>
  <c r="H1554" i="1"/>
  <c r="A1554" i="1"/>
  <c r="L1554" i="1" s="1"/>
  <c r="J1553" i="1"/>
  <c r="I1553" i="1"/>
  <c r="H1553" i="1"/>
  <c r="A1553" i="1"/>
  <c r="L1553" i="1" s="1"/>
  <c r="J1552" i="1"/>
  <c r="I1552" i="1"/>
  <c r="H1552" i="1"/>
  <c r="A1552" i="1"/>
  <c r="L1552" i="1" s="1"/>
  <c r="J1551" i="1"/>
  <c r="I1551" i="1"/>
  <c r="H1551" i="1"/>
  <c r="A1551" i="1"/>
  <c r="L1551" i="1" s="1"/>
  <c r="J1550" i="1"/>
  <c r="I1550" i="1"/>
  <c r="H1550" i="1"/>
  <c r="A1550" i="1"/>
  <c r="L1550" i="1" s="1"/>
  <c r="J1549" i="1"/>
  <c r="I1549" i="1"/>
  <c r="H1549" i="1"/>
  <c r="A1549" i="1"/>
  <c r="L1549" i="1" s="1"/>
  <c r="J1548" i="1"/>
  <c r="I1548" i="1"/>
  <c r="H1548" i="1"/>
  <c r="A1548" i="1"/>
  <c r="L1548" i="1" s="1"/>
  <c r="J1547" i="1"/>
  <c r="I1547" i="1"/>
  <c r="H1547" i="1"/>
  <c r="A1547" i="1"/>
  <c r="L1547" i="1" s="1"/>
  <c r="J1546" i="1"/>
  <c r="I1546" i="1"/>
  <c r="H1546" i="1"/>
  <c r="A1546" i="1"/>
  <c r="L1546" i="1" s="1"/>
  <c r="J1545" i="1"/>
  <c r="I1545" i="1"/>
  <c r="H1545" i="1"/>
  <c r="A1545" i="1"/>
  <c r="L1545" i="1" s="1"/>
  <c r="J1544" i="1"/>
  <c r="I1544" i="1"/>
  <c r="H1544" i="1"/>
  <c r="A1544" i="1"/>
  <c r="L1544" i="1" s="1"/>
  <c r="J1543" i="1"/>
  <c r="I1543" i="1"/>
  <c r="H1543" i="1"/>
  <c r="A1543" i="1"/>
  <c r="L1543" i="1" s="1"/>
  <c r="J1542" i="1"/>
  <c r="I1542" i="1"/>
  <c r="H1542" i="1"/>
  <c r="A1542" i="1"/>
  <c r="L1542" i="1" s="1"/>
  <c r="J1541" i="1"/>
  <c r="I1541" i="1"/>
  <c r="H1541" i="1"/>
  <c r="A1541" i="1"/>
  <c r="L1541" i="1" s="1"/>
  <c r="J1540" i="1"/>
  <c r="I1540" i="1"/>
  <c r="H1540" i="1"/>
  <c r="A1540" i="1"/>
  <c r="L1540" i="1" s="1"/>
  <c r="J1539" i="1"/>
  <c r="I1539" i="1"/>
  <c r="H1539" i="1"/>
  <c r="A1539" i="1"/>
  <c r="L1539" i="1" s="1"/>
  <c r="J1538" i="1"/>
  <c r="I1538" i="1"/>
  <c r="H1538" i="1"/>
  <c r="A1538" i="1"/>
  <c r="L1538" i="1" s="1"/>
  <c r="J1537" i="1"/>
  <c r="I1537" i="1"/>
  <c r="H1537" i="1"/>
  <c r="A1537" i="1"/>
  <c r="L1537" i="1" s="1"/>
  <c r="J1536" i="1"/>
  <c r="I1536" i="1"/>
  <c r="H1536" i="1"/>
  <c r="A1536" i="1"/>
  <c r="L1536" i="1" s="1"/>
  <c r="J1535" i="1"/>
  <c r="I1535" i="1"/>
  <c r="H1535" i="1"/>
  <c r="A1535" i="1"/>
  <c r="L1535" i="1" s="1"/>
  <c r="J1534" i="1"/>
  <c r="I1534" i="1"/>
  <c r="H1534" i="1"/>
  <c r="A1534" i="1"/>
  <c r="L1534" i="1" s="1"/>
  <c r="J1533" i="1"/>
  <c r="I1533" i="1"/>
  <c r="H1533" i="1"/>
  <c r="A1533" i="1"/>
  <c r="L1533" i="1" s="1"/>
  <c r="J1532" i="1"/>
  <c r="I1532" i="1"/>
  <c r="H1532" i="1"/>
  <c r="A1532" i="1"/>
  <c r="L1532" i="1" s="1"/>
  <c r="J1531" i="1"/>
  <c r="I1531" i="1"/>
  <c r="H1531" i="1"/>
  <c r="A1531" i="1"/>
  <c r="L1531" i="1" s="1"/>
  <c r="J1530" i="1"/>
  <c r="I1530" i="1"/>
  <c r="H1530" i="1"/>
  <c r="A1530" i="1"/>
  <c r="L1530" i="1" s="1"/>
  <c r="J1529" i="1"/>
  <c r="I1529" i="1"/>
  <c r="H1529" i="1"/>
  <c r="A1529" i="1"/>
  <c r="L1529" i="1" s="1"/>
  <c r="J1528" i="1"/>
  <c r="I1528" i="1"/>
  <c r="H1528" i="1"/>
  <c r="A1528" i="1"/>
  <c r="L1528" i="1" s="1"/>
  <c r="J1527" i="1"/>
  <c r="I1527" i="1"/>
  <c r="H1527" i="1"/>
  <c r="A1527" i="1"/>
  <c r="L1527" i="1" s="1"/>
  <c r="J1526" i="1"/>
  <c r="I1526" i="1"/>
  <c r="H1526" i="1"/>
  <c r="A1526" i="1"/>
  <c r="L1526" i="1" s="1"/>
  <c r="J1525" i="1"/>
  <c r="I1525" i="1"/>
  <c r="H1525" i="1"/>
  <c r="A1525" i="1"/>
  <c r="L1525" i="1" s="1"/>
  <c r="J1524" i="1"/>
  <c r="I1524" i="1"/>
  <c r="H1524" i="1"/>
  <c r="A1524" i="1"/>
  <c r="L1524" i="1" s="1"/>
  <c r="J1523" i="1"/>
  <c r="I1523" i="1"/>
  <c r="H1523" i="1"/>
  <c r="A1523" i="1"/>
  <c r="L1523" i="1" s="1"/>
  <c r="J1522" i="1"/>
  <c r="I1522" i="1"/>
  <c r="H1522" i="1"/>
  <c r="A1522" i="1"/>
  <c r="L1522" i="1" s="1"/>
  <c r="J1521" i="1"/>
  <c r="I1521" i="1"/>
  <c r="H1521" i="1"/>
  <c r="A1521" i="1"/>
  <c r="L1521" i="1" s="1"/>
  <c r="J1520" i="1"/>
  <c r="I1520" i="1"/>
  <c r="H1520" i="1"/>
  <c r="A1520" i="1"/>
  <c r="L1520" i="1" s="1"/>
  <c r="J1519" i="1"/>
  <c r="I1519" i="1"/>
  <c r="H1519" i="1"/>
  <c r="A1519" i="1"/>
  <c r="L1519" i="1" s="1"/>
  <c r="J1518" i="1"/>
  <c r="I1518" i="1"/>
  <c r="H1518" i="1"/>
  <c r="A1518" i="1"/>
  <c r="L1518" i="1" s="1"/>
  <c r="J1517" i="1"/>
  <c r="I1517" i="1"/>
  <c r="H1517" i="1"/>
  <c r="A1517" i="1"/>
  <c r="L1517" i="1" s="1"/>
  <c r="J1516" i="1"/>
  <c r="I1516" i="1"/>
  <c r="H1516" i="1"/>
  <c r="A1516" i="1"/>
  <c r="L1516" i="1" s="1"/>
  <c r="J1515" i="1"/>
  <c r="I1515" i="1"/>
  <c r="H1515" i="1"/>
  <c r="A1515" i="1"/>
  <c r="L1515" i="1" s="1"/>
  <c r="J1514" i="1"/>
  <c r="I1514" i="1"/>
  <c r="H1514" i="1"/>
  <c r="A1514" i="1"/>
  <c r="L1514" i="1" s="1"/>
  <c r="J1513" i="1"/>
  <c r="I1513" i="1"/>
  <c r="H1513" i="1"/>
  <c r="A1513" i="1"/>
  <c r="L1513" i="1" s="1"/>
  <c r="J1512" i="1"/>
  <c r="I1512" i="1"/>
  <c r="H1512" i="1"/>
  <c r="A1512" i="1"/>
  <c r="L1512" i="1" s="1"/>
  <c r="J1511" i="1"/>
  <c r="I1511" i="1"/>
  <c r="H1511" i="1"/>
  <c r="A1511" i="1"/>
  <c r="L1511" i="1" s="1"/>
  <c r="J1510" i="1"/>
  <c r="I1510" i="1"/>
  <c r="H1510" i="1"/>
  <c r="A1510" i="1"/>
  <c r="L1510" i="1" s="1"/>
  <c r="J1509" i="1"/>
  <c r="I1509" i="1"/>
  <c r="H1509" i="1"/>
  <c r="A1509" i="1"/>
  <c r="L1509" i="1" s="1"/>
  <c r="J1508" i="1"/>
  <c r="I1508" i="1"/>
  <c r="H1508" i="1"/>
  <c r="A1508" i="1"/>
  <c r="L1508" i="1" s="1"/>
  <c r="J1507" i="1"/>
  <c r="I1507" i="1"/>
  <c r="H1507" i="1"/>
  <c r="A1507" i="1"/>
  <c r="L1507" i="1" s="1"/>
  <c r="J1506" i="1"/>
  <c r="I1506" i="1"/>
  <c r="H1506" i="1"/>
  <c r="A1506" i="1"/>
  <c r="L1506" i="1" s="1"/>
  <c r="J1505" i="1"/>
  <c r="I1505" i="1"/>
  <c r="H1505" i="1"/>
  <c r="A1505" i="1"/>
  <c r="L1505" i="1" s="1"/>
  <c r="J1504" i="1"/>
  <c r="I1504" i="1"/>
  <c r="H1504" i="1"/>
  <c r="A1504" i="1"/>
  <c r="L1504" i="1" s="1"/>
  <c r="J1503" i="1"/>
  <c r="I1503" i="1"/>
  <c r="H1503" i="1"/>
  <c r="A1503" i="1"/>
  <c r="L1503" i="1" s="1"/>
  <c r="J1502" i="1"/>
  <c r="I1502" i="1"/>
  <c r="H1502" i="1"/>
  <c r="A1502" i="1"/>
  <c r="L1502" i="1" s="1"/>
  <c r="J1501" i="1"/>
  <c r="I1501" i="1"/>
  <c r="H1501" i="1"/>
  <c r="A1501" i="1"/>
  <c r="L1501" i="1" s="1"/>
  <c r="J1500" i="1"/>
  <c r="I1500" i="1"/>
  <c r="H1500" i="1"/>
  <c r="A1500" i="1"/>
  <c r="L1500" i="1" s="1"/>
  <c r="J1499" i="1"/>
  <c r="I1499" i="1"/>
  <c r="H1499" i="1"/>
  <c r="A1499" i="1"/>
  <c r="L1499" i="1" s="1"/>
  <c r="J1498" i="1"/>
  <c r="I1498" i="1"/>
  <c r="H1498" i="1"/>
  <c r="A1498" i="1"/>
  <c r="L1498" i="1" s="1"/>
  <c r="J1497" i="1"/>
  <c r="I1497" i="1"/>
  <c r="H1497" i="1"/>
  <c r="A1497" i="1"/>
  <c r="L1497" i="1" s="1"/>
  <c r="J1496" i="1"/>
  <c r="I1496" i="1"/>
  <c r="H1496" i="1"/>
  <c r="A1496" i="1"/>
  <c r="L1496" i="1" s="1"/>
  <c r="J1495" i="1"/>
  <c r="I1495" i="1"/>
  <c r="H1495" i="1"/>
  <c r="A1495" i="1"/>
  <c r="L1495" i="1" s="1"/>
  <c r="J1494" i="1"/>
  <c r="I1494" i="1"/>
  <c r="H1494" i="1"/>
  <c r="A1494" i="1"/>
  <c r="L1494" i="1" s="1"/>
  <c r="J1493" i="1"/>
  <c r="I1493" i="1"/>
  <c r="H1493" i="1"/>
  <c r="A1493" i="1"/>
  <c r="L1493" i="1" s="1"/>
  <c r="J1492" i="1"/>
  <c r="I1492" i="1"/>
  <c r="H1492" i="1"/>
  <c r="A1492" i="1"/>
  <c r="L1492" i="1" s="1"/>
  <c r="J1491" i="1"/>
  <c r="I1491" i="1"/>
  <c r="H1491" i="1"/>
  <c r="A1491" i="1"/>
  <c r="L1491" i="1" s="1"/>
  <c r="J1490" i="1"/>
  <c r="I1490" i="1"/>
  <c r="H1490" i="1"/>
  <c r="A1490" i="1"/>
  <c r="L1490" i="1" s="1"/>
  <c r="J1489" i="1"/>
  <c r="I1489" i="1"/>
  <c r="H1489" i="1"/>
  <c r="A1489" i="1"/>
  <c r="L1489" i="1" s="1"/>
  <c r="J1488" i="1"/>
  <c r="I1488" i="1"/>
  <c r="H1488" i="1"/>
  <c r="A1488" i="1"/>
  <c r="L1488" i="1" s="1"/>
  <c r="J1487" i="1"/>
  <c r="I1487" i="1"/>
  <c r="H1487" i="1"/>
  <c r="A1487" i="1"/>
  <c r="L1487" i="1" s="1"/>
  <c r="J1486" i="1"/>
  <c r="I1486" i="1"/>
  <c r="H1486" i="1"/>
  <c r="A1486" i="1"/>
  <c r="L1486" i="1" s="1"/>
  <c r="J1485" i="1"/>
  <c r="I1485" i="1"/>
  <c r="H1485" i="1"/>
  <c r="A1485" i="1"/>
  <c r="L1485" i="1" s="1"/>
  <c r="J1484" i="1"/>
  <c r="I1484" i="1"/>
  <c r="H1484" i="1"/>
  <c r="A1484" i="1"/>
  <c r="L1484" i="1" s="1"/>
  <c r="J1483" i="1"/>
  <c r="I1483" i="1"/>
  <c r="H1483" i="1"/>
  <c r="A1483" i="1"/>
  <c r="L1483" i="1" s="1"/>
  <c r="J1482" i="1"/>
  <c r="I1482" i="1"/>
  <c r="H1482" i="1"/>
  <c r="A1482" i="1"/>
  <c r="L1482" i="1" s="1"/>
  <c r="J1481" i="1"/>
  <c r="I1481" i="1"/>
  <c r="H1481" i="1"/>
  <c r="A1481" i="1"/>
  <c r="L1481" i="1" s="1"/>
  <c r="J1480" i="1"/>
  <c r="I1480" i="1"/>
  <c r="H1480" i="1"/>
  <c r="A1480" i="1"/>
  <c r="L1480" i="1" s="1"/>
  <c r="J1479" i="1"/>
  <c r="I1479" i="1"/>
  <c r="H1479" i="1"/>
  <c r="A1479" i="1"/>
  <c r="L1479" i="1" s="1"/>
  <c r="J1478" i="1"/>
  <c r="I1478" i="1"/>
  <c r="H1478" i="1"/>
  <c r="A1478" i="1"/>
  <c r="L1478" i="1" s="1"/>
  <c r="J1477" i="1"/>
  <c r="I1477" i="1"/>
  <c r="H1477" i="1"/>
  <c r="A1477" i="1"/>
  <c r="L1477" i="1" s="1"/>
  <c r="J1476" i="1"/>
  <c r="I1476" i="1"/>
  <c r="H1476" i="1"/>
  <c r="A1476" i="1"/>
  <c r="L1476" i="1" s="1"/>
  <c r="J1475" i="1"/>
  <c r="I1475" i="1"/>
  <c r="H1475" i="1"/>
  <c r="A1475" i="1"/>
  <c r="L1475" i="1" s="1"/>
  <c r="J1474" i="1"/>
  <c r="I1474" i="1"/>
  <c r="H1474" i="1"/>
  <c r="A1474" i="1"/>
  <c r="L1474" i="1" s="1"/>
  <c r="J1473" i="1"/>
  <c r="I1473" i="1"/>
  <c r="H1473" i="1"/>
  <c r="A1473" i="1"/>
  <c r="L1473" i="1" s="1"/>
  <c r="J1472" i="1"/>
  <c r="I1472" i="1"/>
  <c r="H1472" i="1"/>
  <c r="A1472" i="1"/>
  <c r="L1472" i="1" s="1"/>
  <c r="J1471" i="1"/>
  <c r="I1471" i="1"/>
  <c r="H1471" i="1"/>
  <c r="A1471" i="1"/>
  <c r="L1471" i="1" s="1"/>
  <c r="J1470" i="1"/>
  <c r="I1470" i="1"/>
  <c r="H1470" i="1"/>
  <c r="A1470" i="1"/>
  <c r="L1470" i="1" s="1"/>
  <c r="J1469" i="1"/>
  <c r="I1469" i="1"/>
  <c r="H1469" i="1"/>
  <c r="A1469" i="1"/>
  <c r="L1469" i="1" s="1"/>
  <c r="J1468" i="1"/>
  <c r="I1468" i="1"/>
  <c r="H1468" i="1"/>
  <c r="A1468" i="1"/>
  <c r="L1468" i="1" s="1"/>
  <c r="J1467" i="1"/>
  <c r="I1467" i="1"/>
  <c r="H1467" i="1"/>
  <c r="A1467" i="1"/>
  <c r="L1467" i="1" s="1"/>
  <c r="J1466" i="1"/>
  <c r="I1466" i="1"/>
  <c r="H1466" i="1"/>
  <c r="A1466" i="1"/>
  <c r="L1466" i="1" s="1"/>
  <c r="J1465" i="1"/>
  <c r="I1465" i="1"/>
  <c r="H1465" i="1"/>
  <c r="A1465" i="1"/>
  <c r="L1465" i="1" s="1"/>
  <c r="J1464" i="1"/>
  <c r="I1464" i="1"/>
  <c r="H1464" i="1"/>
  <c r="A1464" i="1"/>
  <c r="L1464" i="1" s="1"/>
  <c r="J1463" i="1"/>
  <c r="I1463" i="1"/>
  <c r="H1463" i="1"/>
  <c r="A1463" i="1"/>
  <c r="L1463" i="1" s="1"/>
  <c r="J1462" i="1"/>
  <c r="I1462" i="1"/>
  <c r="H1462" i="1"/>
  <c r="A1462" i="1"/>
  <c r="L1462" i="1" s="1"/>
  <c r="J1461" i="1"/>
  <c r="I1461" i="1"/>
  <c r="H1461" i="1"/>
  <c r="A1461" i="1"/>
  <c r="L1461" i="1" s="1"/>
  <c r="J1460" i="1"/>
  <c r="I1460" i="1"/>
  <c r="H1460" i="1"/>
  <c r="A1460" i="1"/>
  <c r="L1460" i="1" s="1"/>
  <c r="J1459" i="1"/>
  <c r="I1459" i="1"/>
  <c r="H1459" i="1"/>
  <c r="A1459" i="1"/>
  <c r="L1459" i="1" s="1"/>
  <c r="J1458" i="1"/>
  <c r="I1458" i="1"/>
  <c r="H1458" i="1"/>
  <c r="A1458" i="1"/>
  <c r="L1458" i="1" s="1"/>
  <c r="J1457" i="1"/>
  <c r="I1457" i="1"/>
  <c r="H1457" i="1"/>
  <c r="A1457" i="1"/>
  <c r="L1457" i="1" s="1"/>
  <c r="J1456" i="1"/>
  <c r="I1456" i="1"/>
  <c r="H1456" i="1"/>
  <c r="A1456" i="1"/>
  <c r="L1456" i="1" s="1"/>
  <c r="J1455" i="1"/>
  <c r="I1455" i="1"/>
  <c r="H1455" i="1"/>
  <c r="A1455" i="1"/>
  <c r="L1455" i="1" s="1"/>
  <c r="J1454" i="1"/>
  <c r="I1454" i="1"/>
  <c r="H1454" i="1"/>
  <c r="A1454" i="1"/>
  <c r="L1454" i="1" s="1"/>
  <c r="J1453" i="1"/>
  <c r="I1453" i="1"/>
  <c r="H1453" i="1"/>
  <c r="A1453" i="1"/>
  <c r="L1453" i="1" s="1"/>
  <c r="J1452" i="1"/>
  <c r="I1452" i="1"/>
  <c r="H1452" i="1"/>
  <c r="A1452" i="1"/>
  <c r="L1452" i="1" s="1"/>
  <c r="J1451" i="1"/>
  <c r="I1451" i="1"/>
  <c r="H1451" i="1"/>
  <c r="A1451" i="1"/>
  <c r="L1451" i="1" s="1"/>
  <c r="J1450" i="1"/>
  <c r="I1450" i="1"/>
  <c r="H1450" i="1"/>
  <c r="A1450" i="1"/>
  <c r="L1450" i="1" s="1"/>
  <c r="J1449" i="1"/>
  <c r="I1449" i="1"/>
  <c r="H1449" i="1"/>
  <c r="A1449" i="1"/>
  <c r="L1449" i="1" s="1"/>
  <c r="J1448" i="1"/>
  <c r="I1448" i="1"/>
  <c r="H1448" i="1"/>
  <c r="A1448" i="1"/>
  <c r="L1448" i="1" s="1"/>
  <c r="J1447" i="1"/>
  <c r="I1447" i="1"/>
  <c r="H1447" i="1"/>
  <c r="A1447" i="1"/>
  <c r="L1447" i="1" s="1"/>
  <c r="J1446" i="1"/>
  <c r="I1446" i="1"/>
  <c r="H1446" i="1"/>
  <c r="A1446" i="1"/>
  <c r="L1446" i="1" s="1"/>
  <c r="J1445" i="1"/>
  <c r="I1445" i="1"/>
  <c r="H1445" i="1"/>
  <c r="A1445" i="1"/>
  <c r="L1445" i="1" s="1"/>
  <c r="J1444" i="1"/>
  <c r="I1444" i="1"/>
  <c r="H1444" i="1"/>
  <c r="A1444" i="1"/>
  <c r="L1444" i="1" s="1"/>
  <c r="J1443" i="1"/>
  <c r="I1443" i="1"/>
  <c r="H1443" i="1"/>
  <c r="A1443" i="1"/>
  <c r="L1443" i="1" s="1"/>
  <c r="J1442" i="1"/>
  <c r="I1442" i="1"/>
  <c r="H1442" i="1"/>
  <c r="A1442" i="1"/>
  <c r="L1442" i="1" s="1"/>
  <c r="J1441" i="1"/>
  <c r="I1441" i="1"/>
  <c r="H1441" i="1"/>
  <c r="A1441" i="1"/>
  <c r="L1441" i="1" s="1"/>
  <c r="J1440" i="1"/>
  <c r="I1440" i="1"/>
  <c r="H1440" i="1"/>
  <c r="A1440" i="1"/>
  <c r="L1440" i="1" s="1"/>
  <c r="J1439" i="1"/>
  <c r="I1439" i="1"/>
  <c r="H1439" i="1"/>
  <c r="A1439" i="1"/>
  <c r="L1439" i="1" s="1"/>
  <c r="J1438" i="1"/>
  <c r="I1438" i="1"/>
  <c r="H1438" i="1"/>
  <c r="A1438" i="1"/>
  <c r="L1438" i="1" s="1"/>
  <c r="J1437" i="1"/>
  <c r="I1437" i="1"/>
  <c r="H1437" i="1"/>
  <c r="A1437" i="1"/>
  <c r="L1437" i="1" s="1"/>
  <c r="J1436" i="1"/>
  <c r="I1436" i="1"/>
  <c r="H1436" i="1"/>
  <c r="A1436" i="1"/>
  <c r="L1436" i="1" s="1"/>
  <c r="J1435" i="1"/>
  <c r="I1435" i="1"/>
  <c r="H1435" i="1"/>
  <c r="A1435" i="1"/>
  <c r="L1435" i="1" s="1"/>
  <c r="J1434" i="1"/>
  <c r="I1434" i="1"/>
  <c r="H1434" i="1"/>
  <c r="A1434" i="1"/>
  <c r="L1434" i="1" s="1"/>
  <c r="J1433" i="1"/>
  <c r="I1433" i="1"/>
  <c r="H1433" i="1"/>
  <c r="A1433" i="1"/>
  <c r="L1433" i="1" s="1"/>
  <c r="J1432" i="1"/>
  <c r="I1432" i="1"/>
  <c r="H1432" i="1"/>
  <c r="A1432" i="1"/>
  <c r="L1432" i="1" s="1"/>
  <c r="J1431" i="1"/>
  <c r="I1431" i="1"/>
  <c r="H1431" i="1"/>
  <c r="A1431" i="1"/>
  <c r="L1431" i="1" s="1"/>
  <c r="J1430" i="1"/>
  <c r="I1430" i="1"/>
  <c r="H1430" i="1"/>
  <c r="A1430" i="1"/>
  <c r="L1430" i="1" s="1"/>
  <c r="J1429" i="1"/>
  <c r="I1429" i="1"/>
  <c r="H1429" i="1"/>
  <c r="A1429" i="1"/>
  <c r="L1429" i="1" s="1"/>
  <c r="J1428" i="1"/>
  <c r="I1428" i="1"/>
  <c r="H1428" i="1"/>
  <c r="A1428" i="1"/>
  <c r="L1428" i="1" s="1"/>
  <c r="J1427" i="1"/>
  <c r="I1427" i="1"/>
  <c r="H1427" i="1"/>
  <c r="A1427" i="1"/>
  <c r="L1427" i="1" s="1"/>
  <c r="J1426" i="1"/>
  <c r="I1426" i="1"/>
  <c r="H1426" i="1"/>
  <c r="A1426" i="1"/>
  <c r="L1426" i="1" s="1"/>
  <c r="J1425" i="1"/>
  <c r="I1425" i="1"/>
  <c r="H1425" i="1"/>
  <c r="A1425" i="1"/>
  <c r="L1425" i="1" s="1"/>
  <c r="J1424" i="1"/>
  <c r="I1424" i="1"/>
  <c r="H1424" i="1"/>
  <c r="A1424" i="1"/>
  <c r="L1424" i="1" s="1"/>
  <c r="J1423" i="1"/>
  <c r="I1423" i="1"/>
  <c r="H1423" i="1"/>
  <c r="A1423" i="1"/>
  <c r="L1423" i="1" s="1"/>
  <c r="J1422" i="1"/>
  <c r="I1422" i="1"/>
  <c r="H1422" i="1"/>
  <c r="A1422" i="1"/>
  <c r="L1422" i="1" s="1"/>
  <c r="J1421" i="1"/>
  <c r="I1421" i="1"/>
  <c r="H1421" i="1"/>
  <c r="A1421" i="1"/>
  <c r="L1421" i="1" s="1"/>
  <c r="J1420" i="1"/>
  <c r="I1420" i="1"/>
  <c r="H1420" i="1"/>
  <c r="A1420" i="1"/>
  <c r="L1420" i="1" s="1"/>
  <c r="J1419" i="1"/>
  <c r="I1419" i="1"/>
  <c r="H1419" i="1"/>
  <c r="A1419" i="1"/>
  <c r="L1419" i="1" s="1"/>
  <c r="J1418" i="1"/>
  <c r="I1418" i="1"/>
  <c r="H1418" i="1"/>
  <c r="A1418" i="1"/>
  <c r="L1418" i="1" s="1"/>
  <c r="J1417" i="1"/>
  <c r="I1417" i="1"/>
  <c r="H1417" i="1"/>
  <c r="A1417" i="1"/>
  <c r="L1417" i="1" s="1"/>
  <c r="J1416" i="1"/>
  <c r="I1416" i="1"/>
  <c r="H1416" i="1"/>
  <c r="A1416" i="1"/>
  <c r="L1416" i="1" s="1"/>
  <c r="J1415" i="1"/>
  <c r="I1415" i="1"/>
  <c r="H1415" i="1"/>
  <c r="A1415" i="1"/>
  <c r="L1415" i="1" s="1"/>
  <c r="J1414" i="1"/>
  <c r="I1414" i="1"/>
  <c r="H1414" i="1"/>
  <c r="A1414" i="1"/>
  <c r="L1414" i="1" s="1"/>
  <c r="J1413" i="1"/>
  <c r="I1413" i="1"/>
  <c r="H1413" i="1"/>
  <c r="A1413" i="1"/>
  <c r="L1413" i="1" s="1"/>
  <c r="J1412" i="1"/>
  <c r="I1412" i="1"/>
  <c r="H1412" i="1"/>
  <c r="A1412" i="1"/>
  <c r="L1412" i="1" s="1"/>
  <c r="J1411" i="1"/>
  <c r="I1411" i="1"/>
  <c r="H1411" i="1"/>
  <c r="A1411" i="1"/>
  <c r="L1411" i="1" s="1"/>
  <c r="J1410" i="1"/>
  <c r="I1410" i="1"/>
  <c r="H1410" i="1"/>
  <c r="A1410" i="1"/>
  <c r="L1410" i="1" s="1"/>
  <c r="J1409" i="1"/>
  <c r="I1409" i="1"/>
  <c r="H1409" i="1"/>
  <c r="A1409" i="1"/>
  <c r="L1409" i="1" s="1"/>
  <c r="J1408" i="1"/>
  <c r="I1408" i="1"/>
  <c r="H1408" i="1"/>
  <c r="A1408" i="1"/>
  <c r="L1408" i="1" s="1"/>
  <c r="J1407" i="1"/>
  <c r="I1407" i="1"/>
  <c r="H1407" i="1"/>
  <c r="A1407" i="1"/>
  <c r="L1407" i="1" s="1"/>
  <c r="J1406" i="1"/>
  <c r="I1406" i="1"/>
  <c r="H1406" i="1"/>
  <c r="A1406" i="1"/>
  <c r="L1406" i="1" s="1"/>
  <c r="J1405" i="1"/>
  <c r="I1405" i="1"/>
  <c r="H1405" i="1"/>
  <c r="A1405" i="1"/>
  <c r="L1405" i="1" s="1"/>
  <c r="J1404" i="1"/>
  <c r="I1404" i="1"/>
  <c r="H1404" i="1"/>
  <c r="A1404" i="1"/>
  <c r="L1404" i="1" s="1"/>
  <c r="J1403" i="1"/>
  <c r="I1403" i="1"/>
  <c r="H1403" i="1"/>
  <c r="A1403" i="1"/>
  <c r="L1403" i="1" s="1"/>
  <c r="J1402" i="1"/>
  <c r="I1402" i="1"/>
  <c r="H1402" i="1"/>
  <c r="A1402" i="1"/>
  <c r="L1402" i="1" s="1"/>
  <c r="J1401" i="1"/>
  <c r="I1401" i="1"/>
  <c r="H1401" i="1"/>
  <c r="A1401" i="1"/>
  <c r="L1401" i="1" s="1"/>
  <c r="J1400" i="1"/>
  <c r="I1400" i="1"/>
  <c r="H1400" i="1"/>
  <c r="A1400" i="1"/>
  <c r="L1400" i="1" s="1"/>
  <c r="J1399" i="1"/>
  <c r="I1399" i="1"/>
  <c r="H1399" i="1"/>
  <c r="A1399" i="1"/>
  <c r="L1399" i="1" s="1"/>
  <c r="J1398" i="1"/>
  <c r="I1398" i="1"/>
  <c r="H1398" i="1"/>
  <c r="A1398" i="1"/>
  <c r="L1398" i="1" s="1"/>
  <c r="J1397" i="1"/>
  <c r="I1397" i="1"/>
  <c r="H1397" i="1"/>
  <c r="A1397" i="1"/>
  <c r="L1397" i="1" s="1"/>
  <c r="J1396" i="1"/>
  <c r="I1396" i="1"/>
  <c r="H1396" i="1"/>
  <c r="A1396" i="1"/>
  <c r="L1396" i="1" s="1"/>
  <c r="J1395" i="1"/>
  <c r="I1395" i="1"/>
  <c r="H1395" i="1"/>
  <c r="A1395" i="1"/>
  <c r="L1395" i="1" s="1"/>
  <c r="J1394" i="1"/>
  <c r="I1394" i="1"/>
  <c r="H1394" i="1"/>
  <c r="A1394" i="1"/>
  <c r="L1394" i="1" s="1"/>
  <c r="J1393" i="1"/>
  <c r="I1393" i="1"/>
  <c r="H1393" i="1"/>
  <c r="A1393" i="1"/>
  <c r="L1393" i="1" s="1"/>
  <c r="J1392" i="1"/>
  <c r="I1392" i="1"/>
  <c r="H1392" i="1"/>
  <c r="A1392" i="1"/>
  <c r="L1392" i="1" s="1"/>
  <c r="J1391" i="1"/>
  <c r="I1391" i="1"/>
  <c r="H1391" i="1"/>
  <c r="A1391" i="1"/>
  <c r="L1391" i="1" s="1"/>
  <c r="J1390" i="1"/>
  <c r="I1390" i="1"/>
  <c r="H1390" i="1"/>
  <c r="A1390" i="1"/>
  <c r="L1390" i="1" s="1"/>
  <c r="J1389" i="1"/>
  <c r="I1389" i="1"/>
  <c r="H1389" i="1"/>
  <c r="A1389" i="1"/>
  <c r="L1389" i="1" s="1"/>
  <c r="J1388" i="1"/>
  <c r="I1388" i="1"/>
  <c r="H1388" i="1"/>
  <c r="A1388" i="1"/>
  <c r="L1388" i="1" s="1"/>
  <c r="J1387" i="1"/>
  <c r="I1387" i="1"/>
  <c r="H1387" i="1"/>
  <c r="A1387" i="1"/>
  <c r="L1387" i="1" s="1"/>
  <c r="J1386" i="1"/>
  <c r="I1386" i="1"/>
  <c r="H1386" i="1"/>
  <c r="A1386" i="1"/>
  <c r="L1386" i="1" s="1"/>
  <c r="J1385" i="1"/>
  <c r="I1385" i="1"/>
  <c r="H1385" i="1"/>
  <c r="A1385" i="1"/>
  <c r="L1385" i="1" s="1"/>
  <c r="J1384" i="1"/>
  <c r="I1384" i="1"/>
  <c r="H1384" i="1"/>
  <c r="A1384" i="1"/>
  <c r="L1384" i="1" s="1"/>
  <c r="J1383" i="1"/>
  <c r="I1383" i="1"/>
  <c r="H1383" i="1"/>
  <c r="A1383" i="1"/>
  <c r="L1383" i="1" s="1"/>
  <c r="J1382" i="1"/>
  <c r="I1382" i="1"/>
  <c r="H1382" i="1"/>
  <c r="A1382" i="1"/>
  <c r="L1382" i="1" s="1"/>
  <c r="J1381" i="1"/>
  <c r="I1381" i="1"/>
  <c r="H1381" i="1"/>
  <c r="A1381" i="1"/>
  <c r="L1381" i="1" s="1"/>
  <c r="J1380" i="1"/>
  <c r="I1380" i="1"/>
  <c r="H1380" i="1"/>
  <c r="A1380" i="1"/>
  <c r="L1380" i="1" s="1"/>
  <c r="J1379" i="1"/>
  <c r="I1379" i="1"/>
  <c r="H1379" i="1"/>
  <c r="A1379" i="1"/>
  <c r="L1379" i="1" s="1"/>
  <c r="J1378" i="1"/>
  <c r="I1378" i="1"/>
  <c r="H1378" i="1"/>
  <c r="A1378" i="1"/>
  <c r="L1378" i="1" s="1"/>
  <c r="J1377" i="1"/>
  <c r="I1377" i="1"/>
  <c r="H1377" i="1"/>
  <c r="A1377" i="1"/>
  <c r="L1377" i="1" s="1"/>
  <c r="J1376" i="1"/>
  <c r="I1376" i="1"/>
  <c r="H1376" i="1"/>
  <c r="A1376" i="1"/>
  <c r="L1376" i="1" s="1"/>
  <c r="J1375" i="1"/>
  <c r="I1375" i="1"/>
  <c r="H1375" i="1"/>
  <c r="A1375" i="1"/>
  <c r="L1375" i="1" s="1"/>
  <c r="J1374" i="1"/>
  <c r="I1374" i="1"/>
  <c r="H1374" i="1"/>
  <c r="A1374" i="1"/>
  <c r="L1374" i="1" s="1"/>
  <c r="J1373" i="1"/>
  <c r="I1373" i="1"/>
  <c r="H1373" i="1"/>
  <c r="A1373" i="1"/>
  <c r="L1373" i="1" s="1"/>
  <c r="J1372" i="1"/>
  <c r="I1372" i="1"/>
  <c r="H1372" i="1"/>
  <c r="A1372" i="1"/>
  <c r="L1372" i="1" s="1"/>
  <c r="J1371" i="1"/>
  <c r="I1371" i="1"/>
  <c r="H1371" i="1"/>
  <c r="A1371" i="1"/>
  <c r="L1371" i="1" s="1"/>
  <c r="J1370" i="1"/>
  <c r="I1370" i="1"/>
  <c r="H1370" i="1"/>
  <c r="A1370" i="1"/>
  <c r="L1370" i="1" s="1"/>
  <c r="J1369" i="1"/>
  <c r="I1369" i="1"/>
  <c r="H1369" i="1"/>
  <c r="A1369" i="1"/>
  <c r="L1369" i="1" s="1"/>
  <c r="J1368" i="1"/>
  <c r="I1368" i="1"/>
  <c r="H1368" i="1"/>
  <c r="A1368" i="1"/>
  <c r="L1368" i="1" s="1"/>
  <c r="J1367" i="1"/>
  <c r="I1367" i="1"/>
  <c r="H1367" i="1"/>
  <c r="A1367" i="1"/>
  <c r="L1367" i="1" s="1"/>
  <c r="J1366" i="1"/>
  <c r="I1366" i="1"/>
  <c r="H1366" i="1"/>
  <c r="A1366" i="1"/>
  <c r="L1366" i="1" s="1"/>
  <c r="J1365" i="1"/>
  <c r="I1365" i="1"/>
  <c r="H1365" i="1"/>
  <c r="A1365" i="1"/>
  <c r="L1365" i="1" s="1"/>
  <c r="J1364" i="1"/>
  <c r="I1364" i="1"/>
  <c r="H1364" i="1"/>
  <c r="A1364" i="1"/>
  <c r="L1364" i="1" s="1"/>
  <c r="J1363" i="1"/>
  <c r="I1363" i="1"/>
  <c r="H1363" i="1"/>
  <c r="A1363" i="1"/>
  <c r="L1363" i="1" s="1"/>
  <c r="J1362" i="1"/>
  <c r="I1362" i="1"/>
  <c r="H1362" i="1"/>
  <c r="A1362" i="1"/>
  <c r="L1362" i="1" s="1"/>
  <c r="J1361" i="1"/>
  <c r="I1361" i="1"/>
  <c r="H1361" i="1"/>
  <c r="A1361" i="1"/>
  <c r="L1361" i="1" s="1"/>
  <c r="J1360" i="1"/>
  <c r="I1360" i="1"/>
  <c r="H1360" i="1"/>
  <c r="A1360" i="1"/>
  <c r="L1360" i="1" s="1"/>
  <c r="J1359" i="1"/>
  <c r="I1359" i="1"/>
  <c r="H1359" i="1"/>
  <c r="A1359" i="1"/>
  <c r="L1359" i="1" s="1"/>
  <c r="J1358" i="1"/>
  <c r="I1358" i="1"/>
  <c r="H1358" i="1"/>
  <c r="A1358" i="1"/>
  <c r="L1358" i="1" s="1"/>
  <c r="J1357" i="1"/>
  <c r="I1357" i="1"/>
  <c r="H1357" i="1"/>
  <c r="A1357" i="1"/>
  <c r="L1357" i="1" s="1"/>
  <c r="J1356" i="1"/>
  <c r="I1356" i="1"/>
  <c r="H1356" i="1"/>
  <c r="A1356" i="1"/>
  <c r="L1356" i="1" s="1"/>
  <c r="J1355" i="1"/>
  <c r="I1355" i="1"/>
  <c r="H1355" i="1"/>
  <c r="A1355" i="1"/>
  <c r="L1355" i="1" s="1"/>
  <c r="J1354" i="1"/>
  <c r="I1354" i="1"/>
  <c r="H1354" i="1"/>
  <c r="A1354" i="1"/>
  <c r="L1354" i="1" s="1"/>
  <c r="J1353" i="1"/>
  <c r="I1353" i="1"/>
  <c r="H1353" i="1"/>
  <c r="A1353" i="1"/>
  <c r="L1353" i="1" s="1"/>
  <c r="J1352" i="1"/>
  <c r="I1352" i="1"/>
  <c r="H1352" i="1"/>
  <c r="A1352" i="1"/>
  <c r="L1352" i="1" s="1"/>
  <c r="J1351" i="1"/>
  <c r="I1351" i="1"/>
  <c r="H1351" i="1"/>
  <c r="A1351" i="1"/>
  <c r="L1351" i="1" s="1"/>
  <c r="J1350" i="1"/>
  <c r="I1350" i="1"/>
  <c r="H1350" i="1"/>
  <c r="A1350" i="1"/>
  <c r="L1350" i="1" s="1"/>
  <c r="J1349" i="1"/>
  <c r="I1349" i="1"/>
  <c r="H1349" i="1"/>
  <c r="A1349" i="1"/>
  <c r="L1349" i="1" s="1"/>
  <c r="J1348" i="1"/>
  <c r="I1348" i="1"/>
  <c r="H1348" i="1"/>
  <c r="A1348" i="1"/>
  <c r="L1348" i="1" s="1"/>
  <c r="J1347" i="1"/>
  <c r="I1347" i="1"/>
  <c r="H1347" i="1"/>
  <c r="A1347" i="1"/>
  <c r="L1347" i="1" s="1"/>
  <c r="J1346" i="1"/>
  <c r="I1346" i="1"/>
  <c r="H1346" i="1"/>
  <c r="A1346" i="1"/>
  <c r="L1346" i="1" s="1"/>
  <c r="J1345" i="1"/>
  <c r="I1345" i="1"/>
  <c r="H1345" i="1"/>
  <c r="A1345" i="1"/>
  <c r="L1345" i="1" s="1"/>
  <c r="J1344" i="1"/>
  <c r="I1344" i="1"/>
  <c r="H1344" i="1"/>
  <c r="A1344" i="1"/>
  <c r="L1344" i="1" s="1"/>
  <c r="J1343" i="1"/>
  <c r="I1343" i="1"/>
  <c r="H1343" i="1"/>
  <c r="A1343" i="1"/>
  <c r="L1343" i="1" s="1"/>
  <c r="J1342" i="1"/>
  <c r="I1342" i="1"/>
  <c r="H1342" i="1"/>
  <c r="A1342" i="1"/>
  <c r="L1342" i="1" s="1"/>
  <c r="J1341" i="1"/>
  <c r="I1341" i="1"/>
  <c r="H1341" i="1"/>
  <c r="A1341" i="1"/>
  <c r="L1341" i="1" s="1"/>
  <c r="J1340" i="1"/>
  <c r="I1340" i="1"/>
  <c r="H1340" i="1"/>
  <c r="A1340" i="1"/>
  <c r="L1340" i="1" s="1"/>
  <c r="J1339" i="1"/>
  <c r="I1339" i="1"/>
  <c r="H1339" i="1"/>
  <c r="A1339" i="1"/>
  <c r="L1339" i="1" s="1"/>
  <c r="J1338" i="1"/>
  <c r="I1338" i="1"/>
  <c r="H1338" i="1"/>
  <c r="A1338" i="1"/>
  <c r="L1338" i="1" s="1"/>
  <c r="J1337" i="1"/>
  <c r="I1337" i="1"/>
  <c r="H1337" i="1"/>
  <c r="A1337" i="1"/>
  <c r="L1337" i="1" s="1"/>
  <c r="J1336" i="1"/>
  <c r="I1336" i="1"/>
  <c r="H1336" i="1"/>
  <c r="A1336" i="1"/>
  <c r="L1336" i="1" s="1"/>
  <c r="J1335" i="1"/>
  <c r="I1335" i="1"/>
  <c r="H1335" i="1"/>
  <c r="A1335" i="1"/>
  <c r="L1335" i="1" s="1"/>
  <c r="J1334" i="1"/>
  <c r="I1334" i="1"/>
  <c r="H1334" i="1"/>
  <c r="A1334" i="1"/>
  <c r="L1334" i="1" s="1"/>
  <c r="J1333" i="1"/>
  <c r="I1333" i="1"/>
  <c r="H1333" i="1"/>
  <c r="A1333" i="1"/>
  <c r="L1333" i="1" s="1"/>
  <c r="J1332" i="1"/>
  <c r="I1332" i="1"/>
  <c r="H1332" i="1"/>
  <c r="A1332" i="1"/>
  <c r="L1332" i="1" s="1"/>
  <c r="J1331" i="1"/>
  <c r="I1331" i="1"/>
  <c r="H1331" i="1"/>
  <c r="A1331" i="1"/>
  <c r="L1331" i="1" s="1"/>
  <c r="J1330" i="1"/>
  <c r="I1330" i="1"/>
  <c r="H1330" i="1"/>
  <c r="A1330" i="1"/>
  <c r="L1330" i="1" s="1"/>
  <c r="J1329" i="1"/>
  <c r="I1329" i="1"/>
  <c r="H1329" i="1"/>
  <c r="A1329" i="1"/>
  <c r="L1329" i="1" s="1"/>
  <c r="J1328" i="1"/>
  <c r="I1328" i="1"/>
  <c r="H1328" i="1"/>
  <c r="A1328" i="1"/>
  <c r="L1328" i="1" s="1"/>
  <c r="J1327" i="1"/>
  <c r="I1327" i="1"/>
  <c r="H1327" i="1"/>
  <c r="A1327" i="1"/>
  <c r="L1327" i="1" s="1"/>
  <c r="J1326" i="1"/>
  <c r="I1326" i="1"/>
  <c r="H1326" i="1"/>
  <c r="A1326" i="1"/>
  <c r="L1326" i="1" s="1"/>
  <c r="J1325" i="1"/>
  <c r="I1325" i="1"/>
  <c r="H1325" i="1"/>
  <c r="A1325" i="1"/>
  <c r="L1325" i="1" s="1"/>
  <c r="J1324" i="1"/>
  <c r="I1324" i="1"/>
  <c r="H1324" i="1"/>
  <c r="A1324" i="1"/>
  <c r="L1324" i="1" s="1"/>
  <c r="J1323" i="1"/>
  <c r="I1323" i="1"/>
  <c r="H1323" i="1"/>
  <c r="A1323" i="1"/>
  <c r="L1323" i="1" s="1"/>
  <c r="J1322" i="1"/>
  <c r="I1322" i="1"/>
  <c r="H1322" i="1"/>
  <c r="A1322" i="1"/>
  <c r="L1322" i="1" s="1"/>
  <c r="J1321" i="1"/>
  <c r="I1321" i="1"/>
  <c r="H1321" i="1"/>
  <c r="A1321" i="1"/>
  <c r="L1321" i="1" s="1"/>
  <c r="J1320" i="1"/>
  <c r="I1320" i="1"/>
  <c r="H1320" i="1"/>
  <c r="A1320" i="1"/>
  <c r="L1320" i="1" s="1"/>
  <c r="J1319" i="1"/>
  <c r="I1319" i="1"/>
  <c r="H1319" i="1"/>
  <c r="A1319" i="1"/>
  <c r="L1319" i="1" s="1"/>
  <c r="J1318" i="1"/>
  <c r="I1318" i="1"/>
  <c r="H1318" i="1"/>
  <c r="A1318" i="1"/>
  <c r="L1318" i="1" s="1"/>
  <c r="J1317" i="1"/>
  <c r="I1317" i="1"/>
  <c r="H1317" i="1"/>
  <c r="A1317" i="1"/>
  <c r="L1317" i="1" s="1"/>
  <c r="J1316" i="1"/>
  <c r="I1316" i="1"/>
  <c r="H1316" i="1"/>
  <c r="A1316" i="1"/>
  <c r="L1316" i="1" s="1"/>
  <c r="J1315" i="1"/>
  <c r="I1315" i="1"/>
  <c r="H1315" i="1"/>
  <c r="A1315" i="1"/>
  <c r="L1315" i="1" s="1"/>
  <c r="J1314" i="1"/>
  <c r="I1314" i="1"/>
  <c r="H1314" i="1"/>
  <c r="A1314" i="1"/>
  <c r="L1314" i="1" s="1"/>
  <c r="J1313" i="1"/>
  <c r="I1313" i="1"/>
  <c r="H1313" i="1"/>
  <c r="A1313" i="1"/>
  <c r="L1313" i="1" s="1"/>
  <c r="J1312" i="1"/>
  <c r="I1312" i="1"/>
  <c r="H1312" i="1"/>
  <c r="A1312" i="1"/>
  <c r="L1312" i="1" s="1"/>
  <c r="J1311" i="1"/>
  <c r="I1311" i="1"/>
  <c r="H1311" i="1"/>
  <c r="A1311" i="1"/>
  <c r="L1311" i="1" s="1"/>
  <c r="J1310" i="1"/>
  <c r="I1310" i="1"/>
  <c r="H1310" i="1"/>
  <c r="A1310" i="1"/>
  <c r="L1310" i="1" s="1"/>
  <c r="J1309" i="1"/>
  <c r="I1309" i="1"/>
  <c r="H1309" i="1"/>
  <c r="A1309" i="1"/>
  <c r="L1309" i="1" s="1"/>
  <c r="J1308" i="1"/>
  <c r="I1308" i="1"/>
  <c r="H1308" i="1"/>
  <c r="A1308" i="1"/>
  <c r="L1308" i="1" s="1"/>
  <c r="J1307" i="1"/>
  <c r="I1307" i="1"/>
  <c r="H1307" i="1"/>
  <c r="A1307" i="1"/>
  <c r="L1307" i="1" s="1"/>
  <c r="J1306" i="1"/>
  <c r="I1306" i="1"/>
  <c r="H1306" i="1"/>
  <c r="A1306" i="1"/>
  <c r="L1306" i="1" s="1"/>
  <c r="J1305" i="1"/>
  <c r="I1305" i="1"/>
  <c r="H1305" i="1"/>
  <c r="A1305" i="1"/>
  <c r="L1305" i="1" s="1"/>
  <c r="J1304" i="1"/>
  <c r="I1304" i="1"/>
  <c r="H1304" i="1"/>
  <c r="A1304" i="1"/>
  <c r="L1304" i="1" s="1"/>
  <c r="J1303" i="1"/>
  <c r="I1303" i="1"/>
  <c r="H1303" i="1"/>
  <c r="A1303" i="1"/>
  <c r="L1303" i="1" s="1"/>
  <c r="J1302" i="1"/>
  <c r="I1302" i="1"/>
  <c r="H1302" i="1"/>
  <c r="A1302" i="1"/>
  <c r="L1302" i="1" s="1"/>
  <c r="J1301" i="1"/>
  <c r="I1301" i="1"/>
  <c r="H1301" i="1"/>
  <c r="A1301" i="1"/>
  <c r="L1301" i="1" s="1"/>
  <c r="J1300" i="1"/>
  <c r="I1300" i="1"/>
  <c r="H1300" i="1"/>
  <c r="A1300" i="1"/>
  <c r="L1300" i="1" s="1"/>
  <c r="J1299" i="1"/>
  <c r="I1299" i="1"/>
  <c r="H1299" i="1"/>
  <c r="A1299" i="1"/>
  <c r="L1299" i="1" s="1"/>
  <c r="J1298" i="1"/>
  <c r="I1298" i="1"/>
  <c r="H1298" i="1"/>
  <c r="A1298" i="1"/>
  <c r="L1298" i="1" s="1"/>
  <c r="J1297" i="1"/>
  <c r="I1297" i="1"/>
  <c r="H1297" i="1"/>
  <c r="A1297" i="1"/>
  <c r="L1297" i="1" s="1"/>
  <c r="J1296" i="1"/>
  <c r="I1296" i="1"/>
  <c r="H1296" i="1"/>
  <c r="A1296" i="1"/>
  <c r="L1296" i="1" s="1"/>
  <c r="J1295" i="1"/>
  <c r="I1295" i="1"/>
  <c r="H1295" i="1"/>
  <c r="A1295" i="1"/>
  <c r="L1295" i="1" s="1"/>
  <c r="J1294" i="1"/>
  <c r="I1294" i="1"/>
  <c r="H1294" i="1"/>
  <c r="A1294" i="1"/>
  <c r="L1294" i="1" s="1"/>
  <c r="J1293" i="1"/>
  <c r="I1293" i="1"/>
  <c r="H1293" i="1"/>
  <c r="A1293" i="1"/>
  <c r="L1293" i="1" s="1"/>
  <c r="J1292" i="1"/>
  <c r="I1292" i="1"/>
  <c r="H1292" i="1"/>
  <c r="A1292" i="1"/>
  <c r="L1292" i="1" s="1"/>
  <c r="J1291" i="1"/>
  <c r="I1291" i="1"/>
  <c r="H1291" i="1"/>
  <c r="A1291" i="1"/>
  <c r="L1291" i="1" s="1"/>
  <c r="J1290" i="1"/>
  <c r="I1290" i="1"/>
  <c r="H1290" i="1"/>
  <c r="A1290" i="1"/>
  <c r="L1290" i="1" s="1"/>
  <c r="J1289" i="1"/>
  <c r="I1289" i="1"/>
  <c r="H1289" i="1"/>
  <c r="A1289" i="1"/>
  <c r="L1289" i="1" s="1"/>
  <c r="J1288" i="1"/>
  <c r="I1288" i="1"/>
  <c r="H1288" i="1"/>
  <c r="A1288" i="1"/>
  <c r="L1288" i="1" s="1"/>
  <c r="J1287" i="1"/>
  <c r="I1287" i="1"/>
  <c r="H1287" i="1"/>
  <c r="A1287" i="1"/>
  <c r="L1287" i="1" s="1"/>
  <c r="J1286" i="1"/>
  <c r="I1286" i="1"/>
  <c r="H1286" i="1"/>
  <c r="A1286" i="1"/>
  <c r="L1286" i="1" s="1"/>
  <c r="J1285" i="1"/>
  <c r="I1285" i="1"/>
  <c r="H1285" i="1"/>
  <c r="A1285" i="1"/>
  <c r="L1285" i="1" s="1"/>
  <c r="J1284" i="1"/>
  <c r="I1284" i="1"/>
  <c r="H1284" i="1"/>
  <c r="A1284" i="1"/>
  <c r="L1284" i="1" s="1"/>
  <c r="J1283" i="1"/>
  <c r="I1283" i="1"/>
  <c r="H1283" i="1"/>
  <c r="A1283" i="1"/>
  <c r="L1283" i="1" s="1"/>
  <c r="J1282" i="1"/>
  <c r="I1282" i="1"/>
  <c r="H1282" i="1"/>
  <c r="A1282" i="1"/>
  <c r="L1282" i="1" s="1"/>
  <c r="J1281" i="1"/>
  <c r="I1281" i="1"/>
  <c r="H1281" i="1"/>
  <c r="A1281" i="1"/>
  <c r="L1281" i="1" s="1"/>
  <c r="J1280" i="1"/>
  <c r="I1280" i="1"/>
  <c r="H1280" i="1"/>
  <c r="A1280" i="1"/>
  <c r="L1280" i="1" s="1"/>
  <c r="J1279" i="1"/>
  <c r="I1279" i="1"/>
  <c r="H1279" i="1"/>
  <c r="A1279" i="1"/>
  <c r="L1279" i="1" s="1"/>
  <c r="J1278" i="1"/>
  <c r="I1278" i="1"/>
  <c r="H1278" i="1"/>
  <c r="A1278" i="1"/>
  <c r="L1278" i="1" s="1"/>
  <c r="J1277" i="1"/>
  <c r="I1277" i="1"/>
  <c r="H1277" i="1"/>
  <c r="A1277" i="1"/>
  <c r="L1277" i="1" s="1"/>
  <c r="J1276" i="1"/>
  <c r="I1276" i="1"/>
  <c r="H1276" i="1"/>
  <c r="A1276" i="1"/>
  <c r="L1276" i="1" s="1"/>
  <c r="J1275" i="1"/>
  <c r="I1275" i="1"/>
  <c r="H1275" i="1"/>
  <c r="A1275" i="1"/>
  <c r="L1275" i="1" s="1"/>
  <c r="J1274" i="1"/>
  <c r="I1274" i="1"/>
  <c r="H1274" i="1"/>
  <c r="A1274" i="1"/>
  <c r="L1274" i="1" s="1"/>
  <c r="J1273" i="1"/>
  <c r="I1273" i="1"/>
  <c r="H1273" i="1"/>
  <c r="A1273" i="1"/>
  <c r="L1273" i="1" s="1"/>
  <c r="J1272" i="1"/>
  <c r="I1272" i="1"/>
  <c r="H1272" i="1"/>
  <c r="A1272" i="1"/>
  <c r="L1272" i="1" s="1"/>
  <c r="J1271" i="1"/>
  <c r="I1271" i="1"/>
  <c r="H1271" i="1"/>
  <c r="A1271" i="1"/>
  <c r="L1271" i="1" s="1"/>
  <c r="J1270" i="1"/>
  <c r="I1270" i="1"/>
  <c r="H1270" i="1"/>
  <c r="A1270" i="1"/>
  <c r="L1270" i="1" s="1"/>
  <c r="J1269" i="1"/>
  <c r="I1269" i="1"/>
  <c r="H1269" i="1"/>
  <c r="A1269" i="1"/>
  <c r="L1269" i="1" s="1"/>
  <c r="J1268" i="1"/>
  <c r="I1268" i="1"/>
  <c r="H1268" i="1"/>
  <c r="A1268" i="1"/>
  <c r="L1268" i="1" s="1"/>
  <c r="J1267" i="1"/>
  <c r="I1267" i="1"/>
  <c r="H1267" i="1"/>
  <c r="A1267" i="1"/>
  <c r="L1267" i="1" s="1"/>
  <c r="J1266" i="1"/>
  <c r="I1266" i="1"/>
  <c r="H1266" i="1"/>
  <c r="A1266" i="1"/>
  <c r="L1266" i="1" s="1"/>
  <c r="J1265" i="1"/>
  <c r="I1265" i="1"/>
  <c r="H1265" i="1"/>
  <c r="A1265" i="1"/>
  <c r="L1265" i="1" s="1"/>
  <c r="J1264" i="1"/>
  <c r="I1264" i="1"/>
  <c r="H1264" i="1"/>
  <c r="A1264" i="1"/>
  <c r="L1264" i="1" s="1"/>
  <c r="J1263" i="1"/>
  <c r="I1263" i="1"/>
  <c r="H1263" i="1"/>
  <c r="A1263" i="1"/>
  <c r="L1263" i="1" s="1"/>
  <c r="J1262" i="1"/>
  <c r="I1262" i="1"/>
  <c r="H1262" i="1"/>
  <c r="A1262" i="1"/>
  <c r="L1262" i="1" s="1"/>
  <c r="J1261" i="1"/>
  <c r="I1261" i="1"/>
  <c r="H1261" i="1"/>
  <c r="A1261" i="1"/>
  <c r="L1261" i="1" s="1"/>
  <c r="J1260" i="1"/>
  <c r="I1260" i="1"/>
  <c r="H1260" i="1"/>
  <c r="A1260" i="1"/>
  <c r="L1260" i="1" s="1"/>
  <c r="J1259" i="1"/>
  <c r="I1259" i="1"/>
  <c r="H1259" i="1"/>
  <c r="A1259" i="1"/>
  <c r="L1259" i="1" s="1"/>
  <c r="J1258" i="1"/>
  <c r="I1258" i="1"/>
  <c r="H1258" i="1"/>
  <c r="A1258" i="1"/>
  <c r="L1258" i="1" s="1"/>
  <c r="J1257" i="1"/>
  <c r="I1257" i="1"/>
  <c r="H1257" i="1"/>
  <c r="A1257" i="1"/>
  <c r="L1257" i="1" s="1"/>
  <c r="J1256" i="1"/>
  <c r="I1256" i="1"/>
  <c r="H1256" i="1"/>
  <c r="A1256" i="1"/>
  <c r="L1256" i="1" s="1"/>
  <c r="J1255" i="1"/>
  <c r="I1255" i="1"/>
  <c r="H1255" i="1"/>
  <c r="A1255" i="1"/>
  <c r="L1255" i="1" s="1"/>
  <c r="J1254" i="1"/>
  <c r="I1254" i="1"/>
  <c r="H1254" i="1"/>
  <c r="A1254" i="1"/>
  <c r="L1254" i="1" s="1"/>
  <c r="J1253" i="1"/>
  <c r="I1253" i="1"/>
  <c r="H1253" i="1"/>
  <c r="A1253" i="1"/>
  <c r="L1253" i="1" s="1"/>
  <c r="J1252" i="1"/>
  <c r="I1252" i="1"/>
  <c r="H1252" i="1"/>
  <c r="A1252" i="1"/>
  <c r="L1252" i="1" s="1"/>
  <c r="J1251" i="1"/>
  <c r="I1251" i="1"/>
  <c r="H1251" i="1"/>
  <c r="A1251" i="1"/>
  <c r="L1251" i="1" s="1"/>
  <c r="J1250" i="1"/>
  <c r="I1250" i="1"/>
  <c r="H1250" i="1"/>
  <c r="A1250" i="1"/>
  <c r="L1250" i="1" s="1"/>
  <c r="J1249" i="1"/>
  <c r="I1249" i="1"/>
  <c r="H1249" i="1"/>
  <c r="A1249" i="1"/>
  <c r="L1249" i="1" s="1"/>
  <c r="J1248" i="1"/>
  <c r="I1248" i="1"/>
  <c r="H1248" i="1"/>
  <c r="A1248" i="1"/>
  <c r="L1248" i="1" s="1"/>
  <c r="J1247" i="1"/>
  <c r="I1247" i="1"/>
  <c r="H1247" i="1"/>
  <c r="A1247" i="1"/>
  <c r="L1247" i="1" s="1"/>
  <c r="J1246" i="1"/>
  <c r="I1246" i="1"/>
  <c r="H1246" i="1"/>
  <c r="A1246" i="1"/>
  <c r="L1246" i="1" s="1"/>
  <c r="J1245" i="1"/>
  <c r="I1245" i="1"/>
  <c r="H1245" i="1"/>
  <c r="A1245" i="1"/>
  <c r="L1245" i="1" s="1"/>
  <c r="J1244" i="1"/>
  <c r="I1244" i="1"/>
  <c r="H1244" i="1"/>
  <c r="A1244" i="1"/>
  <c r="L1244" i="1" s="1"/>
  <c r="J1243" i="1"/>
  <c r="I1243" i="1"/>
  <c r="H1243" i="1"/>
  <c r="A1243" i="1"/>
  <c r="L1243" i="1" s="1"/>
  <c r="J1242" i="1"/>
  <c r="I1242" i="1"/>
  <c r="H1242" i="1"/>
  <c r="A1242" i="1"/>
  <c r="L1242" i="1" s="1"/>
  <c r="J1241" i="1"/>
  <c r="I1241" i="1"/>
  <c r="H1241" i="1"/>
  <c r="A1241" i="1"/>
  <c r="L1241" i="1" s="1"/>
  <c r="J1240" i="1"/>
  <c r="I1240" i="1"/>
  <c r="H1240" i="1"/>
  <c r="A1240" i="1"/>
  <c r="L1240" i="1" s="1"/>
  <c r="J1239" i="1"/>
  <c r="I1239" i="1"/>
  <c r="H1239" i="1"/>
  <c r="A1239" i="1"/>
  <c r="L1239" i="1" s="1"/>
  <c r="J1238" i="1"/>
  <c r="I1238" i="1"/>
  <c r="H1238" i="1"/>
  <c r="A1238" i="1"/>
  <c r="L1238" i="1" s="1"/>
  <c r="J1237" i="1"/>
  <c r="I1237" i="1"/>
  <c r="H1237" i="1"/>
  <c r="A1237" i="1"/>
  <c r="L1237" i="1" s="1"/>
  <c r="J1236" i="1"/>
  <c r="I1236" i="1"/>
  <c r="H1236" i="1"/>
  <c r="A1236" i="1"/>
  <c r="L1236" i="1" s="1"/>
  <c r="J1235" i="1"/>
  <c r="I1235" i="1"/>
  <c r="H1235" i="1"/>
  <c r="A1235" i="1"/>
  <c r="L1235" i="1" s="1"/>
  <c r="J1234" i="1"/>
  <c r="I1234" i="1"/>
  <c r="H1234" i="1"/>
  <c r="A1234" i="1"/>
  <c r="L1234" i="1" s="1"/>
  <c r="J1233" i="1"/>
  <c r="I1233" i="1"/>
  <c r="H1233" i="1"/>
  <c r="A1233" i="1"/>
  <c r="L1233" i="1" s="1"/>
  <c r="J1232" i="1"/>
  <c r="I1232" i="1"/>
  <c r="H1232" i="1"/>
  <c r="A1232" i="1"/>
  <c r="L1232" i="1" s="1"/>
  <c r="J1231" i="1"/>
  <c r="I1231" i="1"/>
  <c r="H1231" i="1"/>
  <c r="A1231" i="1"/>
  <c r="L1231" i="1" s="1"/>
  <c r="J1230" i="1"/>
  <c r="I1230" i="1"/>
  <c r="H1230" i="1"/>
  <c r="A1230" i="1"/>
  <c r="L1230" i="1" s="1"/>
  <c r="J1229" i="1"/>
  <c r="I1229" i="1"/>
  <c r="H1229" i="1"/>
  <c r="A1229" i="1"/>
  <c r="L1229" i="1" s="1"/>
  <c r="J1228" i="1"/>
  <c r="I1228" i="1"/>
  <c r="H1228" i="1"/>
  <c r="A1228" i="1"/>
  <c r="L1228" i="1" s="1"/>
  <c r="J1227" i="1"/>
  <c r="I1227" i="1"/>
  <c r="H1227" i="1"/>
  <c r="A1227" i="1"/>
  <c r="L1227" i="1" s="1"/>
  <c r="J1226" i="1"/>
  <c r="I1226" i="1"/>
  <c r="H1226" i="1"/>
  <c r="A1226" i="1"/>
  <c r="L1226" i="1" s="1"/>
  <c r="J1225" i="1"/>
  <c r="I1225" i="1"/>
  <c r="H1225" i="1"/>
  <c r="A1225" i="1"/>
  <c r="L1225" i="1" s="1"/>
  <c r="J1224" i="1"/>
  <c r="I1224" i="1"/>
  <c r="H1224" i="1"/>
  <c r="A1224" i="1"/>
  <c r="L1224" i="1" s="1"/>
  <c r="J1223" i="1"/>
  <c r="I1223" i="1"/>
  <c r="H1223" i="1"/>
  <c r="A1223" i="1"/>
  <c r="L1223" i="1" s="1"/>
  <c r="J1222" i="1"/>
  <c r="I1222" i="1"/>
  <c r="H1222" i="1"/>
  <c r="A1222" i="1"/>
  <c r="L1222" i="1" s="1"/>
  <c r="J1221" i="1"/>
  <c r="I1221" i="1"/>
  <c r="H1221" i="1"/>
  <c r="A1221" i="1"/>
  <c r="L1221" i="1" s="1"/>
  <c r="J1220" i="1"/>
  <c r="I1220" i="1"/>
  <c r="H1220" i="1"/>
  <c r="A1220" i="1"/>
  <c r="L1220" i="1" s="1"/>
  <c r="J1219" i="1"/>
  <c r="I1219" i="1"/>
  <c r="H1219" i="1"/>
  <c r="A1219" i="1"/>
  <c r="L1219" i="1" s="1"/>
  <c r="J1218" i="1"/>
  <c r="I1218" i="1"/>
  <c r="H1218" i="1"/>
  <c r="A1218" i="1"/>
  <c r="L1218" i="1" s="1"/>
  <c r="J1217" i="1"/>
  <c r="I1217" i="1"/>
  <c r="H1217" i="1"/>
  <c r="A1217" i="1"/>
  <c r="L1217" i="1" s="1"/>
  <c r="J1216" i="1"/>
  <c r="I1216" i="1"/>
  <c r="H1216" i="1"/>
  <c r="A1216" i="1"/>
  <c r="L1216" i="1" s="1"/>
  <c r="J1215" i="1"/>
  <c r="I1215" i="1"/>
  <c r="H1215" i="1"/>
  <c r="A1215" i="1"/>
  <c r="L1215" i="1" s="1"/>
  <c r="J1214" i="1"/>
  <c r="I1214" i="1"/>
  <c r="H1214" i="1"/>
  <c r="A1214" i="1"/>
  <c r="L1214" i="1" s="1"/>
  <c r="J1213" i="1"/>
  <c r="I1213" i="1"/>
  <c r="H1213" i="1"/>
  <c r="A1213" i="1"/>
  <c r="L1213" i="1" s="1"/>
  <c r="J1212" i="1"/>
  <c r="I1212" i="1"/>
  <c r="H1212" i="1"/>
  <c r="A1212" i="1"/>
  <c r="L1212" i="1" s="1"/>
  <c r="J1211" i="1"/>
  <c r="I1211" i="1"/>
  <c r="H1211" i="1"/>
  <c r="A1211" i="1"/>
  <c r="L1211" i="1" s="1"/>
  <c r="J1210" i="1"/>
  <c r="I1210" i="1"/>
  <c r="H1210" i="1"/>
  <c r="A1210" i="1"/>
  <c r="L1210" i="1" s="1"/>
  <c r="J1209" i="1"/>
  <c r="I1209" i="1"/>
  <c r="H1209" i="1"/>
  <c r="A1209" i="1"/>
  <c r="L1209" i="1" s="1"/>
  <c r="J1208" i="1"/>
  <c r="I1208" i="1"/>
  <c r="H1208" i="1"/>
  <c r="A1208" i="1"/>
  <c r="L1208" i="1" s="1"/>
  <c r="J1207" i="1"/>
  <c r="I1207" i="1"/>
  <c r="H1207" i="1"/>
  <c r="A1207" i="1"/>
  <c r="L1207" i="1" s="1"/>
  <c r="J1206" i="1"/>
  <c r="I1206" i="1"/>
  <c r="H1206" i="1"/>
  <c r="A1206" i="1"/>
  <c r="L1206" i="1" s="1"/>
  <c r="J1205" i="1"/>
  <c r="I1205" i="1"/>
  <c r="H1205" i="1"/>
  <c r="A1205" i="1"/>
  <c r="L1205" i="1" s="1"/>
  <c r="J1204" i="1"/>
  <c r="I1204" i="1"/>
  <c r="H1204" i="1"/>
  <c r="A1204" i="1"/>
  <c r="L1204" i="1" s="1"/>
  <c r="J1203" i="1"/>
  <c r="I1203" i="1"/>
  <c r="H1203" i="1"/>
  <c r="A1203" i="1"/>
  <c r="L1203" i="1" s="1"/>
  <c r="J1202" i="1"/>
  <c r="I1202" i="1"/>
  <c r="H1202" i="1"/>
  <c r="A1202" i="1"/>
  <c r="L1202" i="1" s="1"/>
  <c r="J1201" i="1"/>
  <c r="I1201" i="1"/>
  <c r="H1201" i="1"/>
  <c r="A1201" i="1"/>
  <c r="L1201" i="1" s="1"/>
  <c r="J1200" i="1"/>
  <c r="I1200" i="1"/>
  <c r="H1200" i="1"/>
  <c r="A1200" i="1"/>
  <c r="L1200" i="1" s="1"/>
  <c r="J1199" i="1"/>
  <c r="I1199" i="1"/>
  <c r="H1199" i="1"/>
  <c r="A1199" i="1"/>
  <c r="L1199" i="1" s="1"/>
  <c r="J1198" i="1"/>
  <c r="I1198" i="1"/>
  <c r="H1198" i="1"/>
  <c r="A1198" i="1"/>
  <c r="L1198" i="1" s="1"/>
  <c r="J1197" i="1"/>
  <c r="I1197" i="1"/>
  <c r="H1197" i="1"/>
  <c r="A1197" i="1"/>
  <c r="L1197" i="1" s="1"/>
  <c r="J1196" i="1"/>
  <c r="I1196" i="1"/>
  <c r="H1196" i="1"/>
  <c r="A1196" i="1"/>
  <c r="L1196" i="1" s="1"/>
  <c r="J1195" i="1"/>
  <c r="I1195" i="1"/>
  <c r="H1195" i="1"/>
  <c r="A1195" i="1"/>
  <c r="L1195" i="1" s="1"/>
  <c r="J1194" i="1"/>
  <c r="I1194" i="1"/>
  <c r="H1194" i="1"/>
  <c r="A1194" i="1"/>
  <c r="L1194" i="1" s="1"/>
  <c r="J1193" i="1"/>
  <c r="I1193" i="1"/>
  <c r="H1193" i="1"/>
  <c r="A1193" i="1"/>
  <c r="L1193" i="1" s="1"/>
  <c r="J1192" i="1"/>
  <c r="I1192" i="1"/>
  <c r="H1192" i="1"/>
  <c r="A1192" i="1"/>
  <c r="L1192" i="1" s="1"/>
  <c r="J1191" i="1"/>
  <c r="I1191" i="1"/>
  <c r="H1191" i="1"/>
  <c r="A1191" i="1"/>
  <c r="L1191" i="1" s="1"/>
  <c r="J1190" i="1"/>
  <c r="I1190" i="1"/>
  <c r="H1190" i="1"/>
  <c r="A1190" i="1"/>
  <c r="L1190" i="1" s="1"/>
  <c r="J1189" i="1"/>
  <c r="I1189" i="1"/>
  <c r="H1189" i="1"/>
  <c r="A1189" i="1"/>
  <c r="L1189" i="1" s="1"/>
  <c r="J1188" i="1"/>
  <c r="I1188" i="1"/>
  <c r="H1188" i="1"/>
  <c r="A1188" i="1"/>
  <c r="L1188" i="1" s="1"/>
  <c r="J1187" i="1"/>
  <c r="I1187" i="1"/>
  <c r="H1187" i="1"/>
  <c r="A1187" i="1"/>
  <c r="L1187" i="1" s="1"/>
  <c r="J1186" i="1"/>
  <c r="I1186" i="1"/>
  <c r="H1186" i="1"/>
  <c r="A1186" i="1"/>
  <c r="L1186" i="1" s="1"/>
  <c r="J1185" i="1"/>
  <c r="I1185" i="1"/>
  <c r="H1185" i="1"/>
  <c r="A1185" i="1"/>
  <c r="L1185" i="1" s="1"/>
  <c r="J1184" i="1"/>
  <c r="I1184" i="1"/>
  <c r="H1184" i="1"/>
  <c r="A1184" i="1"/>
  <c r="L1184" i="1" s="1"/>
  <c r="J1183" i="1"/>
  <c r="I1183" i="1"/>
  <c r="H1183" i="1"/>
  <c r="A1183" i="1"/>
  <c r="L1183" i="1" s="1"/>
  <c r="J1182" i="1"/>
  <c r="I1182" i="1"/>
  <c r="H1182" i="1"/>
  <c r="A1182" i="1"/>
  <c r="L1182" i="1" s="1"/>
  <c r="J1181" i="1"/>
  <c r="I1181" i="1"/>
  <c r="H1181" i="1"/>
  <c r="A1181" i="1"/>
  <c r="L1181" i="1" s="1"/>
  <c r="J1180" i="1"/>
  <c r="I1180" i="1"/>
  <c r="H1180" i="1"/>
  <c r="A1180" i="1"/>
  <c r="L1180" i="1" s="1"/>
  <c r="J1179" i="1"/>
  <c r="I1179" i="1"/>
  <c r="H1179" i="1"/>
  <c r="A1179" i="1"/>
  <c r="L1179" i="1" s="1"/>
  <c r="J1178" i="1"/>
  <c r="I1178" i="1"/>
  <c r="H1178" i="1"/>
  <c r="A1178" i="1"/>
  <c r="L1178" i="1" s="1"/>
  <c r="J1177" i="1"/>
  <c r="I1177" i="1"/>
  <c r="H1177" i="1"/>
  <c r="A1177" i="1"/>
  <c r="L1177" i="1" s="1"/>
  <c r="J1176" i="1"/>
  <c r="I1176" i="1"/>
  <c r="H1176" i="1"/>
  <c r="A1176" i="1"/>
  <c r="L1176" i="1" s="1"/>
  <c r="J1175" i="1"/>
  <c r="I1175" i="1"/>
  <c r="H1175" i="1"/>
  <c r="A1175" i="1"/>
  <c r="L1175" i="1" s="1"/>
  <c r="J1174" i="1"/>
  <c r="I1174" i="1"/>
  <c r="H1174" i="1"/>
  <c r="A1174" i="1"/>
  <c r="L1174" i="1" s="1"/>
  <c r="J1173" i="1"/>
  <c r="I1173" i="1"/>
  <c r="H1173" i="1"/>
  <c r="A1173" i="1"/>
  <c r="L1173" i="1" s="1"/>
  <c r="J1172" i="1"/>
  <c r="I1172" i="1"/>
  <c r="H1172" i="1"/>
  <c r="A1172" i="1"/>
  <c r="L1172" i="1" s="1"/>
  <c r="J1171" i="1"/>
  <c r="I1171" i="1"/>
  <c r="H1171" i="1"/>
  <c r="A1171" i="1"/>
  <c r="L1171" i="1" s="1"/>
  <c r="J1170" i="1"/>
  <c r="I1170" i="1"/>
  <c r="H1170" i="1"/>
  <c r="A1170" i="1"/>
  <c r="L1170" i="1" s="1"/>
  <c r="J1169" i="1"/>
  <c r="I1169" i="1"/>
  <c r="H1169" i="1"/>
  <c r="A1169" i="1"/>
  <c r="L1169" i="1" s="1"/>
  <c r="J1168" i="1"/>
  <c r="I1168" i="1"/>
  <c r="H1168" i="1"/>
  <c r="A1168" i="1"/>
  <c r="L1168" i="1" s="1"/>
  <c r="J1167" i="1"/>
  <c r="I1167" i="1"/>
  <c r="H1167" i="1"/>
  <c r="A1167" i="1"/>
  <c r="L1167" i="1" s="1"/>
  <c r="J1166" i="1"/>
  <c r="I1166" i="1"/>
  <c r="H1166" i="1"/>
  <c r="A1166" i="1"/>
  <c r="L1166" i="1" s="1"/>
  <c r="J1165" i="1"/>
  <c r="I1165" i="1"/>
  <c r="H1165" i="1"/>
  <c r="A1165" i="1"/>
  <c r="L1165" i="1" s="1"/>
  <c r="J1164" i="1"/>
  <c r="I1164" i="1"/>
  <c r="H1164" i="1"/>
  <c r="A1164" i="1"/>
  <c r="L1164" i="1" s="1"/>
  <c r="J1163" i="1"/>
  <c r="I1163" i="1"/>
  <c r="H1163" i="1"/>
  <c r="A1163" i="1"/>
  <c r="L1163" i="1" s="1"/>
  <c r="J1162" i="1"/>
  <c r="I1162" i="1"/>
  <c r="H1162" i="1"/>
  <c r="A1162" i="1"/>
  <c r="L1162" i="1" s="1"/>
  <c r="J1161" i="1"/>
  <c r="I1161" i="1"/>
  <c r="H1161" i="1"/>
  <c r="A1161" i="1"/>
  <c r="L1161" i="1" s="1"/>
  <c r="J1160" i="1"/>
  <c r="I1160" i="1"/>
  <c r="H1160" i="1"/>
  <c r="A1160" i="1"/>
  <c r="L1160" i="1" s="1"/>
  <c r="J1159" i="1"/>
  <c r="I1159" i="1"/>
  <c r="H1159" i="1"/>
  <c r="A1159" i="1"/>
  <c r="L1159" i="1" s="1"/>
  <c r="J1158" i="1"/>
  <c r="I1158" i="1"/>
  <c r="H1158" i="1"/>
  <c r="A1158" i="1"/>
  <c r="L1158" i="1" s="1"/>
  <c r="J1157" i="1"/>
  <c r="I1157" i="1"/>
  <c r="H1157" i="1"/>
  <c r="A1157" i="1"/>
  <c r="L1157" i="1" s="1"/>
  <c r="J1156" i="1"/>
  <c r="I1156" i="1"/>
  <c r="H1156" i="1"/>
  <c r="A1156" i="1"/>
  <c r="L1156" i="1" s="1"/>
  <c r="J1155" i="1"/>
  <c r="I1155" i="1"/>
  <c r="H1155" i="1"/>
  <c r="A1155" i="1"/>
  <c r="L1155" i="1" s="1"/>
  <c r="J1154" i="1"/>
  <c r="I1154" i="1"/>
  <c r="H1154" i="1"/>
  <c r="A1154" i="1"/>
  <c r="L1154" i="1" s="1"/>
  <c r="J1153" i="1"/>
  <c r="I1153" i="1"/>
  <c r="H1153" i="1"/>
  <c r="A1153" i="1"/>
  <c r="L1153" i="1" s="1"/>
  <c r="J1152" i="1"/>
  <c r="I1152" i="1"/>
  <c r="H1152" i="1"/>
  <c r="A1152" i="1"/>
  <c r="L1152" i="1" s="1"/>
  <c r="J1151" i="1"/>
  <c r="I1151" i="1"/>
  <c r="H1151" i="1"/>
  <c r="A1151" i="1"/>
  <c r="L1151" i="1" s="1"/>
  <c r="J1150" i="1"/>
  <c r="I1150" i="1"/>
  <c r="H1150" i="1"/>
  <c r="A1150" i="1"/>
  <c r="L1150" i="1" s="1"/>
  <c r="J1149" i="1"/>
  <c r="I1149" i="1"/>
  <c r="H1149" i="1"/>
  <c r="A1149" i="1"/>
  <c r="L1149" i="1" s="1"/>
  <c r="J1148" i="1"/>
  <c r="I1148" i="1"/>
  <c r="H1148" i="1"/>
  <c r="A1148" i="1"/>
  <c r="L1148" i="1" s="1"/>
  <c r="J1147" i="1"/>
  <c r="I1147" i="1"/>
  <c r="H1147" i="1"/>
  <c r="A1147" i="1"/>
  <c r="L1147" i="1" s="1"/>
  <c r="J1146" i="1"/>
  <c r="I1146" i="1"/>
  <c r="H1146" i="1"/>
  <c r="A1146" i="1"/>
  <c r="L1146" i="1" s="1"/>
  <c r="J1145" i="1"/>
  <c r="I1145" i="1"/>
  <c r="H1145" i="1"/>
  <c r="A1145" i="1"/>
  <c r="L1145" i="1" s="1"/>
  <c r="J1144" i="1"/>
  <c r="I1144" i="1"/>
  <c r="H1144" i="1"/>
  <c r="A1144" i="1"/>
  <c r="L1144" i="1" s="1"/>
  <c r="J1143" i="1"/>
  <c r="I1143" i="1"/>
  <c r="H1143" i="1"/>
  <c r="A1143" i="1"/>
  <c r="L1143" i="1" s="1"/>
  <c r="J1142" i="1"/>
  <c r="I1142" i="1"/>
  <c r="H1142" i="1"/>
  <c r="A1142" i="1"/>
  <c r="L1142" i="1" s="1"/>
  <c r="J1141" i="1"/>
  <c r="I1141" i="1"/>
  <c r="H1141" i="1"/>
  <c r="A1141" i="1"/>
  <c r="L1141" i="1" s="1"/>
  <c r="J1140" i="1"/>
  <c r="I1140" i="1"/>
  <c r="H1140" i="1"/>
  <c r="A1140" i="1"/>
  <c r="L1140" i="1" s="1"/>
  <c r="J1139" i="1"/>
  <c r="I1139" i="1"/>
  <c r="H1139" i="1"/>
  <c r="A1139" i="1"/>
  <c r="L1139" i="1" s="1"/>
  <c r="J1138" i="1"/>
  <c r="I1138" i="1"/>
  <c r="H1138" i="1"/>
  <c r="A1138" i="1"/>
  <c r="L1138" i="1" s="1"/>
  <c r="J1137" i="1"/>
  <c r="I1137" i="1"/>
  <c r="H1137" i="1"/>
  <c r="A1137" i="1"/>
  <c r="L1137" i="1" s="1"/>
  <c r="J1136" i="1"/>
  <c r="I1136" i="1"/>
  <c r="H1136" i="1"/>
  <c r="A1136" i="1"/>
  <c r="L1136" i="1" s="1"/>
  <c r="J1135" i="1"/>
  <c r="I1135" i="1"/>
  <c r="H1135" i="1"/>
  <c r="A1135" i="1"/>
  <c r="L1135" i="1" s="1"/>
  <c r="J1134" i="1"/>
  <c r="I1134" i="1"/>
  <c r="H1134" i="1"/>
  <c r="A1134" i="1"/>
  <c r="L1134" i="1" s="1"/>
  <c r="J1133" i="1"/>
  <c r="I1133" i="1"/>
  <c r="H1133" i="1"/>
  <c r="A1133" i="1"/>
  <c r="L1133" i="1" s="1"/>
  <c r="J1132" i="1"/>
  <c r="I1132" i="1"/>
  <c r="H1132" i="1"/>
  <c r="A1132" i="1"/>
  <c r="L1132" i="1" s="1"/>
  <c r="J1131" i="1"/>
  <c r="I1131" i="1"/>
  <c r="H1131" i="1"/>
  <c r="A1131" i="1"/>
  <c r="L1131" i="1" s="1"/>
  <c r="J1130" i="1"/>
  <c r="I1130" i="1"/>
  <c r="H1130" i="1"/>
  <c r="A1130" i="1"/>
  <c r="L1130" i="1" s="1"/>
  <c r="J1129" i="1"/>
  <c r="I1129" i="1"/>
  <c r="H1129" i="1"/>
  <c r="A1129" i="1"/>
  <c r="L1129" i="1" s="1"/>
  <c r="J1128" i="1"/>
  <c r="I1128" i="1"/>
  <c r="H1128" i="1"/>
  <c r="A1128" i="1"/>
  <c r="L1128" i="1" s="1"/>
  <c r="J1127" i="1"/>
  <c r="I1127" i="1"/>
  <c r="H1127" i="1"/>
  <c r="A1127" i="1"/>
  <c r="L1127" i="1" s="1"/>
  <c r="J1126" i="1"/>
  <c r="I1126" i="1"/>
  <c r="H1126" i="1"/>
  <c r="A1126" i="1"/>
  <c r="L1126" i="1" s="1"/>
  <c r="J1125" i="1"/>
  <c r="I1125" i="1"/>
  <c r="H1125" i="1"/>
  <c r="A1125" i="1"/>
  <c r="L1125" i="1" s="1"/>
  <c r="J1124" i="1"/>
  <c r="I1124" i="1"/>
  <c r="H1124" i="1"/>
  <c r="A1124" i="1"/>
  <c r="L1124" i="1" s="1"/>
  <c r="J1123" i="1"/>
  <c r="I1123" i="1"/>
  <c r="H1123" i="1"/>
  <c r="A1123" i="1"/>
  <c r="L1123" i="1" s="1"/>
  <c r="J1122" i="1"/>
  <c r="I1122" i="1"/>
  <c r="H1122" i="1"/>
  <c r="A1122" i="1"/>
  <c r="L1122" i="1" s="1"/>
  <c r="J1121" i="1"/>
  <c r="I1121" i="1"/>
  <c r="H1121" i="1"/>
  <c r="A1121" i="1"/>
  <c r="L1121" i="1" s="1"/>
  <c r="J1120" i="1"/>
  <c r="I1120" i="1"/>
  <c r="H1120" i="1"/>
  <c r="A1120" i="1"/>
  <c r="L1120" i="1" s="1"/>
  <c r="J1119" i="1"/>
  <c r="I1119" i="1"/>
  <c r="H1119" i="1"/>
  <c r="A1119" i="1"/>
  <c r="L1119" i="1" s="1"/>
  <c r="J1118" i="1"/>
  <c r="I1118" i="1"/>
  <c r="H1118" i="1"/>
  <c r="A1118" i="1"/>
  <c r="L1118" i="1" s="1"/>
  <c r="J1117" i="1"/>
  <c r="I1117" i="1"/>
  <c r="H1117" i="1"/>
  <c r="A1117" i="1"/>
  <c r="L1117" i="1" s="1"/>
  <c r="J1116" i="1"/>
  <c r="I1116" i="1"/>
  <c r="H1116" i="1"/>
  <c r="A1116" i="1"/>
  <c r="L1116" i="1" s="1"/>
  <c r="J1115" i="1"/>
  <c r="I1115" i="1"/>
  <c r="H1115" i="1"/>
  <c r="A1115" i="1"/>
  <c r="L1115" i="1" s="1"/>
  <c r="J1114" i="1"/>
  <c r="I1114" i="1"/>
  <c r="H1114" i="1"/>
  <c r="A1114" i="1"/>
  <c r="L1114" i="1" s="1"/>
  <c r="J1113" i="1"/>
  <c r="I1113" i="1"/>
  <c r="H1113" i="1"/>
  <c r="A1113" i="1"/>
  <c r="L1113" i="1" s="1"/>
  <c r="J1112" i="1"/>
  <c r="I1112" i="1"/>
  <c r="H1112" i="1"/>
  <c r="A1112" i="1"/>
  <c r="L1112" i="1" s="1"/>
  <c r="J1111" i="1"/>
  <c r="I1111" i="1"/>
  <c r="H1111" i="1"/>
  <c r="A1111" i="1"/>
  <c r="L1111" i="1" s="1"/>
  <c r="J1110" i="1"/>
  <c r="I1110" i="1"/>
  <c r="H1110" i="1"/>
  <c r="A1110" i="1"/>
  <c r="L1110" i="1" s="1"/>
  <c r="J1109" i="1"/>
  <c r="I1109" i="1"/>
  <c r="H1109" i="1"/>
  <c r="A1109" i="1"/>
  <c r="L1109" i="1" s="1"/>
  <c r="J1108" i="1"/>
  <c r="I1108" i="1"/>
  <c r="H1108" i="1"/>
  <c r="A1108" i="1"/>
  <c r="L1108" i="1" s="1"/>
  <c r="J1107" i="1"/>
  <c r="I1107" i="1"/>
  <c r="H1107" i="1"/>
  <c r="A1107" i="1"/>
  <c r="L1107" i="1" s="1"/>
  <c r="J1106" i="1"/>
  <c r="I1106" i="1"/>
  <c r="H1106" i="1"/>
  <c r="A1106" i="1"/>
  <c r="L1106" i="1" s="1"/>
  <c r="J1105" i="1"/>
  <c r="I1105" i="1"/>
  <c r="H1105" i="1"/>
  <c r="A1105" i="1"/>
  <c r="L1105" i="1" s="1"/>
  <c r="J1104" i="1"/>
  <c r="I1104" i="1"/>
  <c r="H1104" i="1"/>
  <c r="A1104" i="1"/>
  <c r="L1104" i="1" s="1"/>
  <c r="J1103" i="1"/>
  <c r="I1103" i="1"/>
  <c r="H1103" i="1"/>
  <c r="A1103" i="1"/>
  <c r="L1103" i="1" s="1"/>
  <c r="J1102" i="1"/>
  <c r="I1102" i="1"/>
  <c r="H1102" i="1"/>
  <c r="A1102" i="1"/>
  <c r="L1102" i="1" s="1"/>
  <c r="J1101" i="1"/>
  <c r="I1101" i="1"/>
  <c r="H1101" i="1"/>
  <c r="A1101" i="1"/>
  <c r="L1101" i="1" s="1"/>
  <c r="J1100" i="1"/>
  <c r="I1100" i="1"/>
  <c r="H1100" i="1"/>
  <c r="A1100" i="1"/>
  <c r="L1100" i="1" s="1"/>
  <c r="J1099" i="1"/>
  <c r="I1099" i="1"/>
  <c r="H1099" i="1"/>
  <c r="A1099" i="1"/>
  <c r="L1099" i="1" s="1"/>
  <c r="J1098" i="1"/>
  <c r="I1098" i="1"/>
  <c r="H1098" i="1"/>
  <c r="A1098" i="1"/>
  <c r="L1098" i="1" s="1"/>
  <c r="J1097" i="1"/>
  <c r="I1097" i="1"/>
  <c r="H1097" i="1"/>
  <c r="A1097" i="1"/>
  <c r="L1097" i="1" s="1"/>
  <c r="J1096" i="1"/>
  <c r="I1096" i="1"/>
  <c r="H1096" i="1"/>
  <c r="A1096" i="1"/>
  <c r="L1096" i="1" s="1"/>
  <c r="J1095" i="1"/>
  <c r="I1095" i="1"/>
  <c r="H1095" i="1"/>
  <c r="A1095" i="1"/>
  <c r="L1095" i="1" s="1"/>
  <c r="J1094" i="1"/>
  <c r="I1094" i="1"/>
  <c r="H1094" i="1"/>
  <c r="A1094" i="1"/>
  <c r="L1094" i="1" s="1"/>
  <c r="J1093" i="1"/>
  <c r="I1093" i="1"/>
  <c r="H1093" i="1"/>
  <c r="A1093" i="1"/>
  <c r="L1093" i="1" s="1"/>
  <c r="J1092" i="1"/>
  <c r="I1092" i="1"/>
  <c r="H1092" i="1"/>
  <c r="A1092" i="1"/>
  <c r="L1092" i="1" s="1"/>
  <c r="J1091" i="1"/>
  <c r="I1091" i="1"/>
  <c r="H1091" i="1"/>
  <c r="A1091" i="1"/>
  <c r="L1091" i="1" s="1"/>
  <c r="J1090" i="1"/>
  <c r="I1090" i="1"/>
  <c r="H1090" i="1"/>
  <c r="A1090" i="1"/>
  <c r="L1090" i="1" s="1"/>
  <c r="J1089" i="1"/>
  <c r="I1089" i="1"/>
  <c r="H1089" i="1"/>
  <c r="A1089" i="1"/>
  <c r="L1089" i="1" s="1"/>
  <c r="J1088" i="1"/>
  <c r="I1088" i="1"/>
  <c r="H1088" i="1"/>
  <c r="A1088" i="1"/>
  <c r="L1088" i="1" s="1"/>
  <c r="J1087" i="1"/>
  <c r="I1087" i="1"/>
  <c r="H1087" i="1"/>
  <c r="A1087" i="1"/>
  <c r="L1087" i="1" s="1"/>
  <c r="J1086" i="1"/>
  <c r="I1086" i="1"/>
  <c r="H1086" i="1"/>
  <c r="A1086" i="1"/>
  <c r="L1086" i="1" s="1"/>
  <c r="J1085" i="1"/>
  <c r="I1085" i="1"/>
  <c r="H1085" i="1"/>
  <c r="A1085" i="1"/>
  <c r="L1085" i="1" s="1"/>
  <c r="J1084" i="1"/>
  <c r="I1084" i="1"/>
  <c r="H1084" i="1"/>
  <c r="A1084" i="1"/>
  <c r="L1084" i="1" s="1"/>
  <c r="J1083" i="1"/>
  <c r="I1083" i="1"/>
  <c r="H1083" i="1"/>
  <c r="A1083" i="1"/>
  <c r="L1083" i="1" s="1"/>
  <c r="J1082" i="1"/>
  <c r="I1082" i="1"/>
  <c r="H1082" i="1"/>
  <c r="A1082" i="1"/>
  <c r="L1082" i="1" s="1"/>
  <c r="J1081" i="1"/>
  <c r="I1081" i="1"/>
  <c r="H1081" i="1"/>
  <c r="A1081" i="1"/>
  <c r="L1081" i="1" s="1"/>
  <c r="J1080" i="1"/>
  <c r="I1080" i="1"/>
  <c r="H1080" i="1"/>
  <c r="A1080" i="1"/>
  <c r="L1080" i="1" s="1"/>
  <c r="J1079" i="1"/>
  <c r="I1079" i="1"/>
  <c r="H1079" i="1"/>
  <c r="A1079" i="1"/>
  <c r="L1079" i="1" s="1"/>
  <c r="J1078" i="1"/>
  <c r="I1078" i="1"/>
  <c r="H1078" i="1"/>
  <c r="A1078" i="1"/>
  <c r="L1078" i="1" s="1"/>
  <c r="J1077" i="1"/>
  <c r="I1077" i="1"/>
  <c r="H1077" i="1"/>
  <c r="A1077" i="1"/>
  <c r="L1077" i="1" s="1"/>
  <c r="J1076" i="1"/>
  <c r="I1076" i="1"/>
  <c r="H1076" i="1"/>
  <c r="A1076" i="1"/>
  <c r="L1076" i="1" s="1"/>
  <c r="J1075" i="1"/>
  <c r="I1075" i="1"/>
  <c r="H1075" i="1"/>
  <c r="A1075" i="1"/>
  <c r="L1075" i="1" s="1"/>
  <c r="J1074" i="1"/>
  <c r="I1074" i="1"/>
  <c r="H1074" i="1"/>
  <c r="A1074" i="1"/>
  <c r="L1074" i="1" s="1"/>
  <c r="J1073" i="1"/>
  <c r="I1073" i="1"/>
  <c r="H1073" i="1"/>
  <c r="A1073" i="1"/>
  <c r="L1073" i="1" s="1"/>
  <c r="J1072" i="1"/>
  <c r="I1072" i="1"/>
  <c r="H1072" i="1"/>
  <c r="A1072" i="1"/>
  <c r="L1072" i="1" s="1"/>
  <c r="J1071" i="1"/>
  <c r="I1071" i="1"/>
  <c r="H1071" i="1"/>
  <c r="A1071" i="1"/>
  <c r="L1071" i="1" s="1"/>
  <c r="J1070" i="1"/>
  <c r="I1070" i="1"/>
  <c r="H1070" i="1"/>
  <c r="A1070" i="1"/>
  <c r="L1070" i="1" s="1"/>
  <c r="J1069" i="1"/>
  <c r="I1069" i="1"/>
  <c r="H1069" i="1"/>
  <c r="A1069" i="1"/>
  <c r="L1069" i="1" s="1"/>
  <c r="J1068" i="1"/>
  <c r="I1068" i="1"/>
  <c r="H1068" i="1"/>
  <c r="A1068" i="1"/>
  <c r="L1068" i="1" s="1"/>
  <c r="J1067" i="1"/>
  <c r="I1067" i="1"/>
  <c r="H1067" i="1"/>
  <c r="A1067" i="1"/>
  <c r="L1067" i="1" s="1"/>
  <c r="J1066" i="1"/>
  <c r="I1066" i="1"/>
  <c r="H1066" i="1"/>
  <c r="A1066" i="1"/>
  <c r="L1066" i="1" s="1"/>
  <c r="J1065" i="1"/>
  <c r="I1065" i="1"/>
  <c r="H1065" i="1"/>
  <c r="A1065" i="1"/>
  <c r="L1065" i="1" s="1"/>
  <c r="J1064" i="1"/>
  <c r="I1064" i="1"/>
  <c r="H1064" i="1"/>
  <c r="A1064" i="1"/>
  <c r="L1064" i="1" s="1"/>
  <c r="J1063" i="1"/>
  <c r="I1063" i="1"/>
  <c r="H1063" i="1"/>
  <c r="A1063" i="1"/>
  <c r="L1063" i="1" s="1"/>
  <c r="J1062" i="1"/>
  <c r="I1062" i="1"/>
  <c r="H1062" i="1"/>
  <c r="A1062" i="1"/>
  <c r="L1062" i="1" s="1"/>
  <c r="J1061" i="1"/>
  <c r="I1061" i="1"/>
  <c r="H1061" i="1"/>
  <c r="A1061" i="1"/>
  <c r="L1061" i="1" s="1"/>
  <c r="J1060" i="1"/>
  <c r="I1060" i="1"/>
  <c r="H1060" i="1"/>
  <c r="A1060" i="1"/>
  <c r="L1060" i="1" s="1"/>
  <c r="J1059" i="1"/>
  <c r="I1059" i="1"/>
  <c r="H1059" i="1"/>
  <c r="A1059" i="1"/>
  <c r="L1059" i="1" s="1"/>
  <c r="J1058" i="1"/>
  <c r="I1058" i="1"/>
  <c r="H1058" i="1"/>
  <c r="A1058" i="1"/>
  <c r="L1058" i="1" s="1"/>
  <c r="J1057" i="1"/>
  <c r="I1057" i="1"/>
  <c r="H1057" i="1"/>
  <c r="A1057" i="1"/>
  <c r="L1057" i="1" s="1"/>
  <c r="J1056" i="1"/>
  <c r="I1056" i="1"/>
  <c r="H1056" i="1"/>
  <c r="A1056" i="1"/>
  <c r="L1056" i="1" s="1"/>
  <c r="J1055" i="1"/>
  <c r="I1055" i="1"/>
  <c r="H1055" i="1"/>
  <c r="A1055" i="1"/>
  <c r="L1055" i="1" s="1"/>
  <c r="J1054" i="1"/>
  <c r="I1054" i="1"/>
  <c r="H1054" i="1"/>
  <c r="A1054" i="1"/>
  <c r="L1054" i="1" s="1"/>
  <c r="J1053" i="1"/>
  <c r="I1053" i="1"/>
  <c r="H1053" i="1"/>
  <c r="A1053" i="1"/>
  <c r="L1053" i="1" s="1"/>
  <c r="J1052" i="1"/>
  <c r="I1052" i="1"/>
  <c r="H1052" i="1"/>
  <c r="A1052" i="1"/>
  <c r="L1052" i="1" s="1"/>
  <c r="J1051" i="1"/>
  <c r="I1051" i="1"/>
  <c r="H1051" i="1"/>
  <c r="A1051" i="1"/>
  <c r="L1051" i="1" s="1"/>
  <c r="J1050" i="1"/>
  <c r="I1050" i="1"/>
  <c r="H1050" i="1"/>
  <c r="A1050" i="1"/>
  <c r="L1050" i="1" s="1"/>
  <c r="J1049" i="1"/>
  <c r="I1049" i="1"/>
  <c r="H1049" i="1"/>
  <c r="A1049" i="1"/>
  <c r="L1049" i="1" s="1"/>
  <c r="J1048" i="1"/>
  <c r="I1048" i="1"/>
  <c r="H1048" i="1"/>
  <c r="A1048" i="1"/>
  <c r="L1048" i="1" s="1"/>
  <c r="J1047" i="1"/>
  <c r="I1047" i="1"/>
  <c r="H1047" i="1"/>
  <c r="A1047" i="1"/>
  <c r="L1047" i="1" s="1"/>
  <c r="J1046" i="1"/>
  <c r="I1046" i="1"/>
  <c r="H1046" i="1"/>
  <c r="A1046" i="1"/>
  <c r="L1046" i="1" s="1"/>
  <c r="J1045" i="1"/>
  <c r="I1045" i="1"/>
  <c r="H1045" i="1"/>
  <c r="A1045" i="1"/>
  <c r="L1045" i="1" s="1"/>
  <c r="J1044" i="1"/>
  <c r="I1044" i="1"/>
  <c r="H1044" i="1"/>
  <c r="A1044" i="1"/>
  <c r="L1044" i="1" s="1"/>
  <c r="J1043" i="1"/>
  <c r="I1043" i="1"/>
  <c r="H1043" i="1"/>
  <c r="A1043" i="1"/>
  <c r="L1043" i="1" s="1"/>
  <c r="J1042" i="1"/>
  <c r="I1042" i="1"/>
  <c r="H1042" i="1"/>
  <c r="A1042" i="1"/>
  <c r="L1042" i="1" s="1"/>
  <c r="J1041" i="1"/>
  <c r="I1041" i="1"/>
  <c r="H1041" i="1"/>
  <c r="A1041" i="1"/>
  <c r="L1041" i="1" s="1"/>
  <c r="J1040" i="1"/>
  <c r="I1040" i="1"/>
  <c r="H1040" i="1"/>
  <c r="A1040" i="1"/>
  <c r="L1040" i="1" s="1"/>
  <c r="J1039" i="1"/>
  <c r="I1039" i="1"/>
  <c r="H1039" i="1"/>
  <c r="A1039" i="1"/>
  <c r="L1039" i="1" s="1"/>
  <c r="J1038" i="1"/>
  <c r="I1038" i="1"/>
  <c r="H1038" i="1"/>
  <c r="A1038" i="1"/>
  <c r="L1038" i="1" s="1"/>
  <c r="J1037" i="1"/>
  <c r="I1037" i="1"/>
  <c r="H1037" i="1"/>
  <c r="A1037" i="1"/>
  <c r="L1037" i="1" s="1"/>
  <c r="J1036" i="1"/>
  <c r="I1036" i="1"/>
  <c r="H1036" i="1"/>
  <c r="A1036" i="1"/>
  <c r="L1036" i="1" s="1"/>
  <c r="J1035" i="1"/>
  <c r="I1035" i="1"/>
  <c r="H1035" i="1"/>
  <c r="A1035" i="1"/>
  <c r="L1035" i="1" s="1"/>
  <c r="J1034" i="1"/>
  <c r="I1034" i="1"/>
  <c r="H1034" i="1"/>
  <c r="A1034" i="1"/>
  <c r="L1034" i="1" s="1"/>
  <c r="J1033" i="1"/>
  <c r="I1033" i="1"/>
  <c r="H1033" i="1"/>
  <c r="A1033" i="1"/>
  <c r="L1033" i="1" s="1"/>
  <c r="J1032" i="1"/>
  <c r="I1032" i="1"/>
  <c r="H1032" i="1"/>
  <c r="A1032" i="1"/>
  <c r="L1032" i="1" s="1"/>
  <c r="J1031" i="1"/>
  <c r="I1031" i="1"/>
  <c r="H1031" i="1"/>
  <c r="A1031" i="1"/>
  <c r="L1031" i="1" s="1"/>
  <c r="J1030" i="1"/>
  <c r="I1030" i="1"/>
  <c r="H1030" i="1"/>
  <c r="A1030" i="1"/>
  <c r="L1030" i="1" s="1"/>
  <c r="J1029" i="1"/>
  <c r="I1029" i="1"/>
  <c r="H1029" i="1"/>
  <c r="A1029" i="1"/>
  <c r="L1029" i="1" s="1"/>
  <c r="J1028" i="1"/>
  <c r="I1028" i="1"/>
  <c r="H1028" i="1"/>
  <c r="A1028" i="1"/>
  <c r="L1028" i="1" s="1"/>
  <c r="J1027" i="1"/>
  <c r="I1027" i="1"/>
  <c r="H1027" i="1"/>
  <c r="A1027" i="1"/>
  <c r="L1027" i="1" s="1"/>
  <c r="J1026" i="1"/>
  <c r="I1026" i="1"/>
  <c r="H1026" i="1"/>
  <c r="A1026" i="1"/>
  <c r="L1026" i="1" s="1"/>
  <c r="J1025" i="1"/>
  <c r="I1025" i="1"/>
  <c r="H1025" i="1"/>
  <c r="A1025" i="1"/>
  <c r="L1025" i="1" s="1"/>
  <c r="J1024" i="1"/>
  <c r="I1024" i="1"/>
  <c r="H1024" i="1"/>
  <c r="A1024" i="1"/>
  <c r="L1024" i="1" s="1"/>
  <c r="J1023" i="1"/>
  <c r="I1023" i="1"/>
  <c r="H1023" i="1"/>
  <c r="A1023" i="1"/>
  <c r="L1023" i="1" s="1"/>
  <c r="J1022" i="1"/>
  <c r="I1022" i="1"/>
  <c r="H1022" i="1"/>
  <c r="A1022" i="1"/>
  <c r="L1022" i="1" s="1"/>
  <c r="J1021" i="1"/>
  <c r="I1021" i="1"/>
  <c r="H1021" i="1"/>
  <c r="A1021" i="1"/>
  <c r="L1021" i="1" s="1"/>
  <c r="J1020" i="1"/>
  <c r="I1020" i="1"/>
  <c r="H1020" i="1"/>
  <c r="A1020" i="1"/>
  <c r="L1020" i="1" s="1"/>
  <c r="J1019" i="1"/>
  <c r="I1019" i="1"/>
  <c r="H1019" i="1"/>
  <c r="A1019" i="1"/>
  <c r="L1019" i="1" s="1"/>
  <c r="J1018" i="1"/>
  <c r="I1018" i="1"/>
  <c r="H1018" i="1"/>
  <c r="A1018" i="1"/>
  <c r="L1018" i="1" s="1"/>
  <c r="J1017" i="1"/>
  <c r="I1017" i="1"/>
  <c r="H1017" i="1"/>
  <c r="A1017" i="1"/>
  <c r="L1017" i="1" s="1"/>
  <c r="J1016" i="1"/>
  <c r="I1016" i="1"/>
  <c r="H1016" i="1"/>
  <c r="A1016" i="1"/>
  <c r="L1016" i="1" s="1"/>
  <c r="J1015" i="1"/>
  <c r="I1015" i="1"/>
  <c r="H1015" i="1"/>
  <c r="A1015" i="1"/>
  <c r="L1015" i="1" s="1"/>
  <c r="J1014" i="1"/>
  <c r="I1014" i="1"/>
  <c r="H1014" i="1"/>
  <c r="A1014" i="1"/>
  <c r="L1014" i="1" s="1"/>
  <c r="J1013" i="1"/>
  <c r="I1013" i="1"/>
  <c r="H1013" i="1"/>
  <c r="A1013" i="1"/>
  <c r="L1013" i="1" s="1"/>
  <c r="J1012" i="1"/>
  <c r="I1012" i="1"/>
  <c r="H1012" i="1"/>
  <c r="A1012" i="1"/>
  <c r="L1012" i="1" s="1"/>
  <c r="J1011" i="1"/>
  <c r="I1011" i="1"/>
  <c r="H1011" i="1"/>
  <c r="A1011" i="1"/>
  <c r="L1011" i="1" s="1"/>
  <c r="J1010" i="1"/>
  <c r="I1010" i="1"/>
  <c r="H1010" i="1"/>
  <c r="A1010" i="1"/>
  <c r="L1010" i="1" s="1"/>
  <c r="J1009" i="1"/>
  <c r="I1009" i="1"/>
  <c r="H1009" i="1"/>
  <c r="A1009" i="1"/>
  <c r="L1009" i="1" s="1"/>
  <c r="J1008" i="1"/>
  <c r="I1008" i="1"/>
  <c r="H1008" i="1"/>
  <c r="A1008" i="1"/>
  <c r="L1008" i="1" s="1"/>
  <c r="J1007" i="1"/>
  <c r="I1007" i="1"/>
  <c r="H1007" i="1"/>
  <c r="A1007" i="1"/>
  <c r="L1007" i="1" s="1"/>
  <c r="J1006" i="1"/>
  <c r="I1006" i="1"/>
  <c r="H1006" i="1"/>
  <c r="A1006" i="1"/>
  <c r="L1006" i="1" s="1"/>
  <c r="J1005" i="1"/>
  <c r="I1005" i="1"/>
  <c r="H1005" i="1"/>
  <c r="A1005" i="1"/>
  <c r="L1005" i="1" s="1"/>
  <c r="J1004" i="1"/>
  <c r="I1004" i="1"/>
  <c r="H1004" i="1"/>
  <c r="A1004" i="1"/>
  <c r="L1004" i="1" s="1"/>
  <c r="J1003" i="1"/>
  <c r="I1003" i="1"/>
  <c r="H1003" i="1"/>
  <c r="A1003" i="1"/>
  <c r="L1003" i="1" s="1"/>
  <c r="J1002" i="1"/>
  <c r="I1002" i="1"/>
  <c r="H1002" i="1"/>
  <c r="A1002" i="1"/>
  <c r="L1002" i="1" s="1"/>
  <c r="J1001" i="1"/>
  <c r="I1001" i="1"/>
  <c r="H1001" i="1"/>
  <c r="A1001" i="1"/>
  <c r="L1001" i="1" s="1"/>
  <c r="J1000" i="1"/>
  <c r="I1000" i="1"/>
  <c r="H1000" i="1"/>
  <c r="A1000" i="1"/>
  <c r="L1000" i="1" s="1"/>
  <c r="J999" i="1"/>
  <c r="I999" i="1"/>
  <c r="H999" i="1"/>
  <c r="A999" i="1"/>
  <c r="L999" i="1" s="1"/>
  <c r="J998" i="1"/>
  <c r="I998" i="1"/>
  <c r="H998" i="1"/>
  <c r="A998" i="1"/>
  <c r="L998" i="1" s="1"/>
  <c r="J997" i="1"/>
  <c r="I997" i="1"/>
  <c r="H997" i="1"/>
  <c r="A997" i="1"/>
  <c r="L997" i="1" s="1"/>
  <c r="J996" i="1"/>
  <c r="I996" i="1"/>
  <c r="H996" i="1"/>
  <c r="A996" i="1"/>
  <c r="L996" i="1" s="1"/>
  <c r="J995" i="1"/>
  <c r="I995" i="1"/>
  <c r="H995" i="1"/>
  <c r="A995" i="1"/>
  <c r="L995" i="1" s="1"/>
  <c r="J994" i="1"/>
  <c r="I994" i="1"/>
  <c r="H994" i="1"/>
  <c r="A994" i="1"/>
  <c r="L994" i="1" s="1"/>
  <c r="J993" i="1"/>
  <c r="I993" i="1"/>
  <c r="H993" i="1"/>
  <c r="A993" i="1"/>
  <c r="L993" i="1" s="1"/>
  <c r="J992" i="1"/>
  <c r="I992" i="1"/>
  <c r="H992" i="1"/>
  <c r="A992" i="1"/>
  <c r="L992" i="1" s="1"/>
  <c r="J991" i="1"/>
  <c r="I991" i="1"/>
  <c r="H991" i="1"/>
  <c r="A991" i="1"/>
  <c r="L991" i="1" s="1"/>
  <c r="J990" i="1"/>
  <c r="I990" i="1"/>
  <c r="H990" i="1"/>
  <c r="A990" i="1"/>
  <c r="L990" i="1" s="1"/>
  <c r="J989" i="1"/>
  <c r="I989" i="1"/>
  <c r="H989" i="1"/>
  <c r="A989" i="1"/>
  <c r="L989" i="1" s="1"/>
  <c r="J988" i="1"/>
  <c r="I988" i="1"/>
  <c r="H988" i="1"/>
  <c r="A988" i="1"/>
  <c r="L988" i="1" s="1"/>
  <c r="J987" i="1"/>
  <c r="I987" i="1"/>
  <c r="H987" i="1"/>
  <c r="A987" i="1"/>
  <c r="L987" i="1" s="1"/>
  <c r="J986" i="1"/>
  <c r="I986" i="1"/>
  <c r="H986" i="1"/>
  <c r="A986" i="1"/>
  <c r="L986" i="1" s="1"/>
  <c r="J985" i="1"/>
  <c r="I985" i="1"/>
  <c r="H985" i="1"/>
  <c r="A985" i="1"/>
  <c r="L985" i="1" s="1"/>
  <c r="J984" i="1"/>
  <c r="I984" i="1"/>
  <c r="H984" i="1"/>
  <c r="A984" i="1"/>
  <c r="L984" i="1" s="1"/>
  <c r="J983" i="1"/>
  <c r="I983" i="1"/>
  <c r="H983" i="1"/>
  <c r="A983" i="1"/>
  <c r="L983" i="1" s="1"/>
  <c r="J982" i="1"/>
  <c r="I982" i="1"/>
  <c r="H982" i="1"/>
  <c r="A982" i="1"/>
  <c r="L982" i="1" s="1"/>
  <c r="J981" i="1"/>
  <c r="I981" i="1"/>
  <c r="H981" i="1"/>
  <c r="A981" i="1"/>
  <c r="L981" i="1" s="1"/>
  <c r="J980" i="1"/>
  <c r="I980" i="1"/>
  <c r="H980" i="1"/>
  <c r="A980" i="1"/>
  <c r="L980" i="1" s="1"/>
  <c r="J979" i="1"/>
  <c r="I979" i="1"/>
  <c r="H979" i="1"/>
  <c r="A979" i="1"/>
  <c r="L979" i="1" s="1"/>
  <c r="J978" i="1"/>
  <c r="I978" i="1"/>
  <c r="H978" i="1"/>
  <c r="A978" i="1"/>
  <c r="L978" i="1" s="1"/>
  <c r="J977" i="1"/>
  <c r="I977" i="1"/>
  <c r="H977" i="1"/>
  <c r="A977" i="1"/>
  <c r="L977" i="1" s="1"/>
  <c r="J976" i="1"/>
  <c r="I976" i="1"/>
  <c r="H976" i="1"/>
  <c r="A976" i="1"/>
  <c r="L976" i="1" s="1"/>
  <c r="J975" i="1"/>
  <c r="I975" i="1"/>
  <c r="H975" i="1"/>
  <c r="A975" i="1"/>
  <c r="L975" i="1" s="1"/>
  <c r="J974" i="1"/>
  <c r="I974" i="1"/>
  <c r="H974" i="1"/>
  <c r="A974" i="1"/>
  <c r="L974" i="1" s="1"/>
  <c r="J973" i="1"/>
  <c r="I973" i="1"/>
  <c r="H973" i="1"/>
  <c r="A973" i="1"/>
  <c r="L973" i="1" s="1"/>
  <c r="J972" i="1"/>
  <c r="I972" i="1"/>
  <c r="H972" i="1"/>
  <c r="A972" i="1"/>
  <c r="L972" i="1" s="1"/>
  <c r="J971" i="1"/>
  <c r="I971" i="1"/>
  <c r="H971" i="1"/>
  <c r="A971" i="1"/>
  <c r="L971" i="1" s="1"/>
  <c r="J970" i="1"/>
  <c r="I970" i="1"/>
  <c r="H970" i="1"/>
  <c r="A970" i="1"/>
  <c r="L970" i="1" s="1"/>
  <c r="J969" i="1"/>
  <c r="I969" i="1"/>
  <c r="H969" i="1"/>
  <c r="A969" i="1"/>
  <c r="L969" i="1" s="1"/>
  <c r="J968" i="1"/>
  <c r="I968" i="1"/>
  <c r="H968" i="1"/>
  <c r="A968" i="1"/>
  <c r="L968" i="1" s="1"/>
  <c r="J967" i="1"/>
  <c r="I967" i="1"/>
  <c r="H967" i="1"/>
  <c r="A967" i="1"/>
  <c r="L967" i="1" s="1"/>
  <c r="J966" i="1"/>
  <c r="I966" i="1"/>
  <c r="H966" i="1"/>
  <c r="A966" i="1"/>
  <c r="L966" i="1" s="1"/>
  <c r="J965" i="1"/>
  <c r="I965" i="1"/>
  <c r="H965" i="1"/>
  <c r="A965" i="1"/>
  <c r="L965" i="1" s="1"/>
  <c r="J964" i="1"/>
  <c r="I964" i="1"/>
  <c r="H964" i="1"/>
  <c r="A964" i="1"/>
  <c r="L964" i="1" s="1"/>
  <c r="J963" i="1"/>
  <c r="I963" i="1"/>
  <c r="H963" i="1"/>
  <c r="A963" i="1"/>
  <c r="L963" i="1" s="1"/>
  <c r="J962" i="1"/>
  <c r="I962" i="1"/>
  <c r="H962" i="1"/>
  <c r="A962" i="1"/>
  <c r="L962" i="1" s="1"/>
  <c r="J961" i="1"/>
  <c r="I961" i="1"/>
  <c r="H961" i="1"/>
  <c r="A961" i="1"/>
  <c r="L961" i="1" s="1"/>
  <c r="J960" i="1"/>
  <c r="I960" i="1"/>
  <c r="H960" i="1"/>
  <c r="A960" i="1"/>
  <c r="L960" i="1" s="1"/>
  <c r="J959" i="1"/>
  <c r="I959" i="1"/>
  <c r="H959" i="1"/>
  <c r="A959" i="1"/>
  <c r="L959" i="1" s="1"/>
  <c r="J958" i="1"/>
  <c r="I958" i="1"/>
  <c r="H958" i="1"/>
  <c r="A958" i="1"/>
  <c r="L958" i="1" s="1"/>
  <c r="J957" i="1"/>
  <c r="I957" i="1"/>
  <c r="H957" i="1"/>
  <c r="A957" i="1"/>
  <c r="L957" i="1" s="1"/>
  <c r="J956" i="1"/>
  <c r="I956" i="1"/>
  <c r="H956" i="1"/>
  <c r="A956" i="1"/>
  <c r="L956" i="1" s="1"/>
  <c r="J955" i="1"/>
  <c r="I955" i="1"/>
  <c r="H955" i="1"/>
  <c r="A955" i="1"/>
  <c r="L955" i="1" s="1"/>
  <c r="J954" i="1"/>
  <c r="I954" i="1"/>
  <c r="H954" i="1"/>
  <c r="A954" i="1"/>
  <c r="L954" i="1" s="1"/>
  <c r="J953" i="1"/>
  <c r="I953" i="1"/>
  <c r="H953" i="1"/>
  <c r="A953" i="1"/>
  <c r="L953" i="1" s="1"/>
  <c r="J952" i="1"/>
  <c r="I952" i="1"/>
  <c r="H952" i="1"/>
  <c r="A952" i="1"/>
  <c r="L952" i="1" s="1"/>
  <c r="J951" i="1"/>
  <c r="I951" i="1"/>
  <c r="H951" i="1"/>
  <c r="A951" i="1"/>
  <c r="L951" i="1" s="1"/>
  <c r="J950" i="1"/>
  <c r="I950" i="1"/>
  <c r="H950" i="1"/>
  <c r="A950" i="1"/>
  <c r="L950" i="1" s="1"/>
  <c r="J949" i="1"/>
  <c r="I949" i="1"/>
  <c r="H949" i="1"/>
  <c r="A949" i="1"/>
  <c r="L949" i="1" s="1"/>
  <c r="J948" i="1"/>
  <c r="I948" i="1"/>
  <c r="H948" i="1"/>
  <c r="A948" i="1"/>
  <c r="L948" i="1" s="1"/>
  <c r="J947" i="1"/>
  <c r="I947" i="1"/>
  <c r="H947" i="1"/>
  <c r="A947" i="1"/>
  <c r="L947" i="1" s="1"/>
  <c r="J946" i="1"/>
  <c r="I946" i="1"/>
  <c r="H946" i="1"/>
  <c r="A946" i="1"/>
  <c r="L946" i="1" s="1"/>
  <c r="J945" i="1"/>
  <c r="I945" i="1"/>
  <c r="H945" i="1"/>
  <c r="A945" i="1"/>
  <c r="L945" i="1" s="1"/>
  <c r="J944" i="1"/>
  <c r="I944" i="1"/>
  <c r="H944" i="1"/>
  <c r="A944" i="1"/>
  <c r="L944" i="1" s="1"/>
  <c r="J943" i="1"/>
  <c r="I943" i="1"/>
  <c r="H943" i="1"/>
  <c r="A943" i="1"/>
  <c r="L943" i="1" s="1"/>
  <c r="J942" i="1"/>
  <c r="I942" i="1"/>
  <c r="H942" i="1"/>
  <c r="A942" i="1"/>
  <c r="L942" i="1" s="1"/>
  <c r="J941" i="1"/>
  <c r="I941" i="1"/>
  <c r="H941" i="1"/>
  <c r="A941" i="1"/>
  <c r="L941" i="1" s="1"/>
  <c r="J940" i="1"/>
  <c r="I940" i="1"/>
  <c r="H940" i="1"/>
  <c r="A940" i="1"/>
  <c r="L940" i="1" s="1"/>
  <c r="J939" i="1"/>
  <c r="I939" i="1"/>
  <c r="H939" i="1"/>
  <c r="A939" i="1"/>
  <c r="L939" i="1" s="1"/>
  <c r="J938" i="1"/>
  <c r="I938" i="1"/>
  <c r="H938" i="1"/>
  <c r="A938" i="1"/>
  <c r="L938" i="1" s="1"/>
  <c r="J937" i="1"/>
  <c r="I937" i="1"/>
  <c r="H937" i="1"/>
  <c r="A937" i="1"/>
  <c r="L937" i="1" s="1"/>
  <c r="J936" i="1"/>
  <c r="I936" i="1"/>
  <c r="H936" i="1"/>
  <c r="A936" i="1"/>
  <c r="L936" i="1" s="1"/>
  <c r="J935" i="1"/>
  <c r="I935" i="1"/>
  <c r="H935" i="1"/>
  <c r="A935" i="1"/>
  <c r="L935" i="1" s="1"/>
  <c r="J934" i="1"/>
  <c r="I934" i="1"/>
  <c r="H934" i="1"/>
  <c r="A934" i="1"/>
  <c r="L934" i="1" s="1"/>
  <c r="J933" i="1"/>
  <c r="I933" i="1"/>
  <c r="H933" i="1"/>
  <c r="A933" i="1"/>
  <c r="L933" i="1" s="1"/>
  <c r="J932" i="1"/>
  <c r="I932" i="1"/>
  <c r="H932" i="1"/>
  <c r="A932" i="1"/>
  <c r="L932" i="1" s="1"/>
  <c r="J931" i="1"/>
  <c r="I931" i="1"/>
  <c r="H931" i="1"/>
  <c r="A931" i="1"/>
  <c r="L931" i="1" s="1"/>
  <c r="J930" i="1"/>
  <c r="I930" i="1"/>
  <c r="H930" i="1"/>
  <c r="A930" i="1"/>
  <c r="L930" i="1" s="1"/>
  <c r="J929" i="1"/>
  <c r="I929" i="1"/>
  <c r="H929" i="1"/>
  <c r="A929" i="1"/>
  <c r="L929" i="1" s="1"/>
  <c r="J928" i="1"/>
  <c r="I928" i="1"/>
  <c r="H928" i="1"/>
  <c r="A928" i="1"/>
  <c r="L928" i="1" s="1"/>
  <c r="J927" i="1"/>
  <c r="I927" i="1"/>
  <c r="H927" i="1"/>
  <c r="A927" i="1"/>
  <c r="L927" i="1" s="1"/>
  <c r="J926" i="1"/>
  <c r="I926" i="1"/>
  <c r="H926" i="1"/>
  <c r="A926" i="1"/>
  <c r="L926" i="1" s="1"/>
  <c r="J925" i="1"/>
  <c r="I925" i="1"/>
  <c r="H925" i="1"/>
  <c r="A925" i="1"/>
  <c r="L925" i="1" s="1"/>
  <c r="J924" i="1"/>
  <c r="I924" i="1"/>
  <c r="H924" i="1"/>
  <c r="A924" i="1"/>
  <c r="L924" i="1" s="1"/>
  <c r="J923" i="1"/>
  <c r="I923" i="1"/>
  <c r="H923" i="1"/>
  <c r="A923" i="1"/>
  <c r="L923" i="1" s="1"/>
  <c r="J922" i="1"/>
  <c r="I922" i="1"/>
  <c r="H922" i="1"/>
  <c r="A922" i="1"/>
  <c r="L922" i="1" s="1"/>
  <c r="J921" i="1"/>
  <c r="I921" i="1"/>
  <c r="H921" i="1"/>
  <c r="A921" i="1"/>
  <c r="L921" i="1" s="1"/>
  <c r="J920" i="1"/>
  <c r="I920" i="1"/>
  <c r="H920" i="1"/>
  <c r="A920" i="1"/>
  <c r="L920" i="1" s="1"/>
  <c r="J919" i="1"/>
  <c r="I919" i="1"/>
  <c r="H919" i="1"/>
  <c r="A919" i="1"/>
  <c r="L919" i="1" s="1"/>
  <c r="J918" i="1"/>
  <c r="I918" i="1"/>
  <c r="H918" i="1"/>
  <c r="A918" i="1"/>
  <c r="L918" i="1" s="1"/>
  <c r="J917" i="1"/>
  <c r="I917" i="1"/>
  <c r="H917" i="1"/>
  <c r="A917" i="1"/>
  <c r="L917" i="1" s="1"/>
  <c r="J916" i="1"/>
  <c r="I916" i="1"/>
  <c r="H916" i="1"/>
  <c r="A916" i="1"/>
  <c r="L916" i="1" s="1"/>
  <c r="J915" i="1"/>
  <c r="I915" i="1"/>
  <c r="H915" i="1"/>
  <c r="A915" i="1"/>
  <c r="L915" i="1" s="1"/>
  <c r="J914" i="1"/>
  <c r="I914" i="1"/>
  <c r="H914" i="1"/>
  <c r="A914" i="1"/>
  <c r="L914" i="1" s="1"/>
  <c r="J913" i="1"/>
  <c r="I913" i="1"/>
  <c r="H913" i="1"/>
  <c r="A913" i="1"/>
  <c r="L913" i="1" s="1"/>
  <c r="J912" i="1"/>
  <c r="I912" i="1"/>
  <c r="H912" i="1"/>
  <c r="A912" i="1"/>
  <c r="L912" i="1" s="1"/>
  <c r="J911" i="1"/>
  <c r="I911" i="1"/>
  <c r="H911" i="1"/>
  <c r="A911" i="1"/>
  <c r="L911" i="1" s="1"/>
  <c r="J910" i="1"/>
  <c r="I910" i="1"/>
  <c r="H910" i="1"/>
  <c r="A910" i="1"/>
  <c r="L910" i="1" s="1"/>
  <c r="J909" i="1"/>
  <c r="I909" i="1"/>
  <c r="H909" i="1"/>
  <c r="A909" i="1"/>
  <c r="L909" i="1" s="1"/>
  <c r="J908" i="1"/>
  <c r="I908" i="1"/>
  <c r="H908" i="1"/>
  <c r="A908" i="1"/>
  <c r="L908" i="1" s="1"/>
  <c r="J907" i="1"/>
  <c r="I907" i="1"/>
  <c r="H907" i="1"/>
  <c r="A907" i="1"/>
  <c r="L907" i="1" s="1"/>
  <c r="J906" i="1"/>
  <c r="I906" i="1"/>
  <c r="H906" i="1"/>
  <c r="A906" i="1"/>
  <c r="L906" i="1" s="1"/>
  <c r="J905" i="1"/>
  <c r="I905" i="1"/>
  <c r="H905" i="1"/>
  <c r="A905" i="1"/>
  <c r="L905" i="1" s="1"/>
  <c r="J904" i="1"/>
  <c r="I904" i="1"/>
  <c r="H904" i="1"/>
  <c r="A904" i="1"/>
  <c r="L904" i="1" s="1"/>
  <c r="J903" i="1"/>
  <c r="I903" i="1"/>
  <c r="H903" i="1"/>
  <c r="A903" i="1"/>
  <c r="L903" i="1" s="1"/>
  <c r="J902" i="1"/>
  <c r="I902" i="1"/>
  <c r="H902" i="1"/>
  <c r="A902" i="1"/>
  <c r="L902" i="1" s="1"/>
  <c r="J901" i="1"/>
  <c r="I901" i="1"/>
  <c r="H901" i="1"/>
  <c r="A901" i="1"/>
  <c r="L901" i="1" s="1"/>
  <c r="J900" i="1"/>
  <c r="I900" i="1"/>
  <c r="H900" i="1"/>
  <c r="A900" i="1"/>
  <c r="L900" i="1" s="1"/>
  <c r="J899" i="1"/>
  <c r="I899" i="1"/>
  <c r="H899" i="1"/>
  <c r="A899" i="1"/>
  <c r="L899" i="1" s="1"/>
  <c r="J898" i="1"/>
  <c r="I898" i="1"/>
  <c r="H898" i="1"/>
  <c r="A898" i="1"/>
  <c r="L898" i="1" s="1"/>
  <c r="J897" i="1"/>
  <c r="I897" i="1"/>
  <c r="H897" i="1"/>
  <c r="A897" i="1"/>
  <c r="L897" i="1" s="1"/>
  <c r="J896" i="1"/>
  <c r="I896" i="1"/>
  <c r="H896" i="1"/>
  <c r="A896" i="1"/>
  <c r="L896" i="1" s="1"/>
  <c r="J895" i="1"/>
  <c r="I895" i="1"/>
  <c r="H895" i="1"/>
  <c r="A895" i="1"/>
  <c r="L895" i="1" s="1"/>
  <c r="J894" i="1"/>
  <c r="I894" i="1"/>
  <c r="H894" i="1"/>
  <c r="A894" i="1"/>
  <c r="L894" i="1" s="1"/>
  <c r="J893" i="1"/>
  <c r="I893" i="1"/>
  <c r="H893" i="1"/>
  <c r="A893" i="1"/>
  <c r="L893" i="1" s="1"/>
  <c r="J892" i="1"/>
  <c r="I892" i="1"/>
  <c r="H892" i="1"/>
  <c r="A892" i="1"/>
  <c r="L892" i="1" s="1"/>
  <c r="J891" i="1"/>
  <c r="I891" i="1"/>
  <c r="H891" i="1"/>
  <c r="A891" i="1"/>
  <c r="L891" i="1" s="1"/>
  <c r="J890" i="1"/>
  <c r="I890" i="1"/>
  <c r="H890" i="1"/>
  <c r="A890" i="1"/>
  <c r="L890" i="1" s="1"/>
  <c r="J889" i="1"/>
  <c r="I889" i="1"/>
  <c r="H889" i="1"/>
  <c r="A889" i="1"/>
  <c r="L889" i="1" s="1"/>
  <c r="J888" i="1"/>
  <c r="I888" i="1"/>
  <c r="H888" i="1"/>
  <c r="A888" i="1"/>
  <c r="L888" i="1" s="1"/>
  <c r="J887" i="1"/>
  <c r="I887" i="1"/>
  <c r="H887" i="1"/>
  <c r="A887" i="1"/>
  <c r="L887" i="1" s="1"/>
  <c r="J886" i="1"/>
  <c r="I886" i="1"/>
  <c r="H886" i="1"/>
  <c r="A886" i="1"/>
  <c r="L886" i="1" s="1"/>
  <c r="J885" i="1"/>
  <c r="I885" i="1"/>
  <c r="H885" i="1"/>
  <c r="A885" i="1"/>
  <c r="L885" i="1" s="1"/>
  <c r="J884" i="1"/>
  <c r="I884" i="1"/>
  <c r="H884" i="1"/>
  <c r="A884" i="1"/>
  <c r="L884" i="1" s="1"/>
  <c r="J883" i="1"/>
  <c r="I883" i="1"/>
  <c r="H883" i="1"/>
  <c r="A883" i="1"/>
  <c r="L883" i="1" s="1"/>
  <c r="J882" i="1"/>
  <c r="I882" i="1"/>
  <c r="H882" i="1"/>
  <c r="A882" i="1"/>
  <c r="L882" i="1" s="1"/>
  <c r="J881" i="1"/>
  <c r="I881" i="1"/>
  <c r="H881" i="1"/>
  <c r="A881" i="1"/>
  <c r="L881" i="1" s="1"/>
  <c r="J880" i="1"/>
  <c r="I880" i="1"/>
  <c r="H880" i="1"/>
  <c r="A880" i="1"/>
  <c r="L880" i="1" s="1"/>
  <c r="J879" i="1"/>
  <c r="I879" i="1"/>
  <c r="H879" i="1"/>
  <c r="A879" i="1"/>
  <c r="L879" i="1" s="1"/>
  <c r="J878" i="1"/>
  <c r="I878" i="1"/>
  <c r="H878" i="1"/>
  <c r="A878" i="1"/>
  <c r="L878" i="1" s="1"/>
  <c r="J877" i="1"/>
  <c r="I877" i="1"/>
  <c r="H877" i="1"/>
  <c r="A877" i="1"/>
  <c r="L877" i="1" s="1"/>
  <c r="J876" i="1"/>
  <c r="I876" i="1"/>
  <c r="H876" i="1"/>
  <c r="A876" i="1"/>
  <c r="L876" i="1" s="1"/>
  <c r="J875" i="1"/>
  <c r="I875" i="1"/>
  <c r="H875" i="1"/>
  <c r="A875" i="1"/>
  <c r="L875" i="1" s="1"/>
  <c r="J874" i="1"/>
  <c r="I874" i="1"/>
  <c r="H874" i="1"/>
  <c r="A874" i="1"/>
  <c r="L874" i="1" s="1"/>
  <c r="J873" i="1"/>
  <c r="I873" i="1"/>
  <c r="H873" i="1"/>
  <c r="A873" i="1"/>
  <c r="L873" i="1" s="1"/>
  <c r="J872" i="1"/>
  <c r="I872" i="1"/>
  <c r="H872" i="1"/>
  <c r="A872" i="1"/>
  <c r="L872" i="1" s="1"/>
  <c r="J871" i="1"/>
  <c r="I871" i="1"/>
  <c r="H871" i="1"/>
  <c r="A871" i="1"/>
  <c r="L871" i="1" s="1"/>
  <c r="J870" i="1"/>
  <c r="I870" i="1"/>
  <c r="H870" i="1"/>
  <c r="A870" i="1"/>
  <c r="L870" i="1" s="1"/>
  <c r="J869" i="1"/>
  <c r="I869" i="1"/>
  <c r="H869" i="1"/>
  <c r="A869" i="1"/>
  <c r="L869" i="1" s="1"/>
  <c r="J868" i="1"/>
  <c r="I868" i="1"/>
  <c r="H868" i="1"/>
  <c r="A868" i="1"/>
  <c r="L868" i="1" s="1"/>
  <c r="J867" i="1"/>
  <c r="I867" i="1"/>
  <c r="H867" i="1"/>
  <c r="A867" i="1"/>
  <c r="L867" i="1" s="1"/>
  <c r="J866" i="1"/>
  <c r="I866" i="1"/>
  <c r="H866" i="1"/>
  <c r="A866" i="1"/>
  <c r="L866" i="1" s="1"/>
  <c r="J865" i="1"/>
  <c r="I865" i="1"/>
  <c r="H865" i="1"/>
  <c r="A865" i="1"/>
  <c r="L865" i="1" s="1"/>
  <c r="J864" i="1"/>
  <c r="I864" i="1"/>
  <c r="H864" i="1"/>
  <c r="A864" i="1"/>
  <c r="L864" i="1" s="1"/>
  <c r="J863" i="1"/>
  <c r="I863" i="1"/>
  <c r="H863" i="1"/>
  <c r="A863" i="1"/>
  <c r="L863" i="1" s="1"/>
  <c r="J862" i="1"/>
  <c r="I862" i="1"/>
  <c r="H862" i="1"/>
  <c r="A862" i="1"/>
  <c r="L862" i="1" s="1"/>
  <c r="J861" i="1"/>
  <c r="I861" i="1"/>
  <c r="H861" i="1"/>
  <c r="A861" i="1"/>
  <c r="L861" i="1" s="1"/>
  <c r="J860" i="1"/>
  <c r="I860" i="1"/>
  <c r="H860" i="1"/>
  <c r="A860" i="1"/>
  <c r="L860" i="1" s="1"/>
  <c r="J859" i="1"/>
  <c r="I859" i="1"/>
  <c r="H859" i="1"/>
  <c r="A859" i="1"/>
  <c r="L859" i="1" s="1"/>
  <c r="J858" i="1"/>
  <c r="I858" i="1"/>
  <c r="H858" i="1"/>
  <c r="A858" i="1"/>
  <c r="L858" i="1" s="1"/>
  <c r="J857" i="1"/>
  <c r="I857" i="1"/>
  <c r="H857" i="1"/>
  <c r="A857" i="1"/>
  <c r="L857" i="1" s="1"/>
  <c r="J856" i="1"/>
  <c r="I856" i="1"/>
  <c r="H856" i="1"/>
  <c r="A856" i="1"/>
  <c r="L856" i="1" s="1"/>
  <c r="J855" i="1"/>
  <c r="I855" i="1"/>
  <c r="H855" i="1"/>
  <c r="A855" i="1"/>
  <c r="L855" i="1" s="1"/>
  <c r="J854" i="1"/>
  <c r="I854" i="1"/>
  <c r="H854" i="1"/>
  <c r="A854" i="1"/>
  <c r="L854" i="1" s="1"/>
  <c r="J853" i="1"/>
  <c r="I853" i="1"/>
  <c r="H853" i="1"/>
  <c r="A853" i="1"/>
  <c r="L853" i="1" s="1"/>
  <c r="J852" i="1"/>
  <c r="I852" i="1"/>
  <c r="H852" i="1"/>
  <c r="A852" i="1"/>
  <c r="L852" i="1" s="1"/>
  <c r="J851" i="1"/>
  <c r="I851" i="1"/>
  <c r="H851" i="1"/>
  <c r="A851" i="1"/>
  <c r="L851" i="1" s="1"/>
  <c r="J850" i="1"/>
  <c r="I850" i="1"/>
  <c r="H850" i="1"/>
  <c r="A850" i="1"/>
  <c r="L850" i="1" s="1"/>
  <c r="J849" i="1"/>
  <c r="I849" i="1"/>
  <c r="H849" i="1"/>
  <c r="A849" i="1"/>
  <c r="L849" i="1" s="1"/>
  <c r="J848" i="1"/>
  <c r="I848" i="1"/>
  <c r="H848" i="1"/>
  <c r="A848" i="1"/>
  <c r="L848" i="1" s="1"/>
  <c r="J847" i="1"/>
  <c r="I847" i="1"/>
  <c r="H847" i="1"/>
  <c r="A847" i="1"/>
  <c r="L847" i="1" s="1"/>
  <c r="J846" i="1"/>
  <c r="I846" i="1"/>
  <c r="H846" i="1"/>
  <c r="A846" i="1"/>
  <c r="L846" i="1" s="1"/>
  <c r="J845" i="1"/>
  <c r="I845" i="1"/>
  <c r="H845" i="1"/>
  <c r="A845" i="1"/>
  <c r="L845" i="1" s="1"/>
  <c r="J844" i="1"/>
  <c r="I844" i="1"/>
  <c r="H844" i="1"/>
  <c r="A844" i="1"/>
  <c r="L844" i="1" s="1"/>
  <c r="J843" i="1"/>
  <c r="I843" i="1"/>
  <c r="H843" i="1"/>
  <c r="A843" i="1"/>
  <c r="L843" i="1" s="1"/>
  <c r="J842" i="1"/>
  <c r="I842" i="1"/>
  <c r="H842" i="1"/>
  <c r="A842" i="1"/>
  <c r="L842" i="1" s="1"/>
  <c r="J841" i="1"/>
  <c r="I841" i="1"/>
  <c r="H841" i="1"/>
  <c r="A841" i="1"/>
  <c r="L841" i="1" s="1"/>
  <c r="J840" i="1"/>
  <c r="I840" i="1"/>
  <c r="H840" i="1"/>
  <c r="A840" i="1"/>
  <c r="L840" i="1" s="1"/>
  <c r="J839" i="1"/>
  <c r="I839" i="1"/>
  <c r="H839" i="1"/>
  <c r="A839" i="1"/>
  <c r="L839" i="1" s="1"/>
  <c r="J838" i="1"/>
  <c r="I838" i="1"/>
  <c r="H838" i="1"/>
  <c r="A838" i="1"/>
  <c r="L838" i="1" s="1"/>
  <c r="J837" i="1"/>
  <c r="I837" i="1"/>
  <c r="H837" i="1"/>
  <c r="A837" i="1"/>
  <c r="L837" i="1" s="1"/>
  <c r="J836" i="1"/>
  <c r="I836" i="1"/>
  <c r="H836" i="1"/>
  <c r="A836" i="1"/>
  <c r="L836" i="1" s="1"/>
  <c r="J835" i="1"/>
  <c r="I835" i="1"/>
  <c r="H835" i="1"/>
  <c r="A835" i="1"/>
  <c r="L835" i="1" s="1"/>
  <c r="J834" i="1"/>
  <c r="I834" i="1"/>
  <c r="H834" i="1"/>
  <c r="A834" i="1"/>
  <c r="L834" i="1" s="1"/>
  <c r="J833" i="1"/>
  <c r="I833" i="1"/>
  <c r="H833" i="1"/>
  <c r="A833" i="1"/>
  <c r="L833" i="1" s="1"/>
  <c r="J832" i="1"/>
  <c r="I832" i="1"/>
  <c r="H832" i="1"/>
  <c r="A832" i="1"/>
  <c r="L832" i="1" s="1"/>
  <c r="J831" i="1"/>
  <c r="I831" i="1"/>
  <c r="H831" i="1"/>
  <c r="A831" i="1"/>
  <c r="L831" i="1" s="1"/>
  <c r="J830" i="1"/>
  <c r="I830" i="1"/>
  <c r="H830" i="1"/>
  <c r="A830" i="1"/>
  <c r="L830" i="1" s="1"/>
  <c r="J829" i="1"/>
  <c r="I829" i="1"/>
  <c r="H829" i="1"/>
  <c r="A829" i="1"/>
  <c r="L829" i="1" s="1"/>
  <c r="J828" i="1"/>
  <c r="I828" i="1"/>
  <c r="H828" i="1"/>
  <c r="A828" i="1"/>
  <c r="L828" i="1" s="1"/>
  <c r="J827" i="1"/>
  <c r="I827" i="1"/>
  <c r="H827" i="1"/>
  <c r="A827" i="1"/>
  <c r="L827" i="1" s="1"/>
  <c r="J826" i="1"/>
  <c r="I826" i="1"/>
  <c r="H826" i="1"/>
  <c r="A826" i="1"/>
  <c r="L826" i="1" s="1"/>
  <c r="J825" i="1"/>
  <c r="I825" i="1"/>
  <c r="H825" i="1"/>
  <c r="A825" i="1"/>
  <c r="L825" i="1" s="1"/>
  <c r="J824" i="1"/>
  <c r="I824" i="1"/>
  <c r="H824" i="1"/>
  <c r="A824" i="1"/>
  <c r="L824" i="1" s="1"/>
  <c r="J823" i="1"/>
  <c r="I823" i="1"/>
  <c r="H823" i="1"/>
  <c r="A823" i="1"/>
  <c r="L823" i="1" s="1"/>
  <c r="J822" i="1"/>
  <c r="I822" i="1"/>
  <c r="H822" i="1"/>
  <c r="A822" i="1"/>
  <c r="L822" i="1" s="1"/>
  <c r="J821" i="1"/>
  <c r="I821" i="1"/>
  <c r="H821" i="1"/>
  <c r="A821" i="1"/>
  <c r="L821" i="1" s="1"/>
  <c r="J820" i="1"/>
  <c r="I820" i="1"/>
  <c r="H820" i="1"/>
  <c r="A820" i="1"/>
  <c r="L820" i="1" s="1"/>
  <c r="J819" i="1"/>
  <c r="I819" i="1"/>
  <c r="H819" i="1"/>
  <c r="A819" i="1"/>
  <c r="L819" i="1" s="1"/>
  <c r="J818" i="1"/>
  <c r="I818" i="1"/>
  <c r="H818" i="1"/>
  <c r="A818" i="1"/>
  <c r="L818" i="1" s="1"/>
  <c r="J817" i="1"/>
  <c r="I817" i="1"/>
  <c r="H817" i="1"/>
  <c r="A817" i="1"/>
  <c r="L817" i="1" s="1"/>
  <c r="J816" i="1"/>
  <c r="I816" i="1"/>
  <c r="H816" i="1"/>
  <c r="A816" i="1"/>
  <c r="L816" i="1" s="1"/>
  <c r="J815" i="1"/>
  <c r="I815" i="1"/>
  <c r="H815" i="1"/>
  <c r="A815" i="1"/>
  <c r="L815" i="1" s="1"/>
  <c r="J814" i="1"/>
  <c r="I814" i="1"/>
  <c r="H814" i="1"/>
  <c r="A814" i="1"/>
  <c r="L814" i="1" s="1"/>
  <c r="J813" i="1"/>
  <c r="I813" i="1"/>
  <c r="H813" i="1"/>
  <c r="A813" i="1"/>
  <c r="L813" i="1" s="1"/>
  <c r="J812" i="1"/>
  <c r="I812" i="1"/>
  <c r="H812" i="1"/>
  <c r="A812" i="1"/>
  <c r="L812" i="1" s="1"/>
  <c r="J811" i="1"/>
  <c r="I811" i="1"/>
  <c r="H811" i="1"/>
  <c r="A811" i="1"/>
  <c r="L811" i="1" s="1"/>
  <c r="J810" i="1"/>
  <c r="I810" i="1"/>
  <c r="H810" i="1"/>
  <c r="A810" i="1"/>
  <c r="L810" i="1" s="1"/>
  <c r="J809" i="1"/>
  <c r="I809" i="1"/>
  <c r="H809" i="1"/>
  <c r="A809" i="1"/>
  <c r="L809" i="1" s="1"/>
  <c r="J808" i="1"/>
  <c r="I808" i="1"/>
  <c r="H808" i="1"/>
  <c r="A808" i="1"/>
  <c r="L808" i="1" s="1"/>
  <c r="J807" i="1"/>
  <c r="I807" i="1"/>
  <c r="H807" i="1"/>
  <c r="A807" i="1"/>
  <c r="L807" i="1" s="1"/>
  <c r="J806" i="1"/>
  <c r="I806" i="1"/>
  <c r="H806" i="1"/>
  <c r="A806" i="1"/>
  <c r="L806" i="1" s="1"/>
  <c r="J805" i="1"/>
  <c r="I805" i="1"/>
  <c r="H805" i="1"/>
  <c r="A805" i="1"/>
  <c r="L805" i="1" s="1"/>
  <c r="J804" i="1"/>
  <c r="I804" i="1"/>
  <c r="H804" i="1"/>
  <c r="A804" i="1"/>
  <c r="L804" i="1" s="1"/>
  <c r="J803" i="1"/>
  <c r="I803" i="1"/>
  <c r="H803" i="1"/>
  <c r="A803" i="1"/>
  <c r="L803" i="1" s="1"/>
  <c r="J802" i="1"/>
  <c r="I802" i="1"/>
  <c r="H802" i="1"/>
  <c r="A802" i="1"/>
  <c r="L802" i="1" s="1"/>
  <c r="J801" i="1"/>
  <c r="I801" i="1"/>
  <c r="H801" i="1"/>
  <c r="A801" i="1"/>
  <c r="L801" i="1" s="1"/>
  <c r="J800" i="1"/>
  <c r="I800" i="1"/>
  <c r="H800" i="1"/>
  <c r="A800" i="1"/>
  <c r="L800" i="1" s="1"/>
  <c r="J799" i="1"/>
  <c r="I799" i="1"/>
  <c r="H799" i="1"/>
  <c r="A799" i="1"/>
  <c r="L799" i="1" s="1"/>
  <c r="J798" i="1"/>
  <c r="I798" i="1"/>
  <c r="H798" i="1"/>
  <c r="A798" i="1"/>
  <c r="L798" i="1" s="1"/>
  <c r="J797" i="1"/>
  <c r="I797" i="1"/>
  <c r="H797" i="1"/>
  <c r="A797" i="1"/>
  <c r="L797" i="1" s="1"/>
  <c r="J796" i="1"/>
  <c r="I796" i="1"/>
  <c r="H796" i="1"/>
  <c r="A796" i="1"/>
  <c r="L796" i="1" s="1"/>
  <c r="J795" i="1"/>
  <c r="I795" i="1"/>
  <c r="H795" i="1"/>
  <c r="A795" i="1"/>
  <c r="L795" i="1" s="1"/>
  <c r="J794" i="1"/>
  <c r="I794" i="1"/>
  <c r="H794" i="1"/>
  <c r="A794" i="1"/>
  <c r="L794" i="1" s="1"/>
  <c r="J793" i="1"/>
  <c r="I793" i="1"/>
  <c r="H793" i="1"/>
  <c r="A793" i="1"/>
  <c r="L793" i="1" s="1"/>
  <c r="J792" i="1"/>
  <c r="I792" i="1"/>
  <c r="H792" i="1"/>
  <c r="A792" i="1"/>
  <c r="L792" i="1" s="1"/>
  <c r="J791" i="1"/>
  <c r="I791" i="1"/>
  <c r="H791" i="1"/>
  <c r="A791" i="1"/>
  <c r="L791" i="1" s="1"/>
  <c r="J790" i="1"/>
  <c r="I790" i="1"/>
  <c r="H790" i="1"/>
  <c r="A790" i="1"/>
  <c r="L790" i="1" s="1"/>
  <c r="J789" i="1"/>
  <c r="I789" i="1"/>
  <c r="H789" i="1"/>
  <c r="A789" i="1"/>
  <c r="L789" i="1" s="1"/>
  <c r="J788" i="1"/>
  <c r="I788" i="1"/>
  <c r="H788" i="1"/>
  <c r="A788" i="1"/>
  <c r="L788" i="1" s="1"/>
  <c r="J787" i="1"/>
  <c r="I787" i="1"/>
  <c r="H787" i="1"/>
  <c r="A787" i="1"/>
  <c r="L787" i="1" s="1"/>
  <c r="J786" i="1"/>
  <c r="I786" i="1"/>
  <c r="H786" i="1"/>
  <c r="A786" i="1"/>
  <c r="L786" i="1" s="1"/>
  <c r="J785" i="1"/>
  <c r="I785" i="1"/>
  <c r="H785" i="1"/>
  <c r="A785" i="1"/>
  <c r="L785" i="1" s="1"/>
  <c r="J784" i="1"/>
  <c r="I784" i="1"/>
  <c r="H784" i="1"/>
  <c r="A784" i="1"/>
  <c r="L784" i="1" s="1"/>
  <c r="J783" i="1"/>
  <c r="I783" i="1"/>
  <c r="H783" i="1"/>
  <c r="A783" i="1"/>
  <c r="L783" i="1" s="1"/>
  <c r="J782" i="1"/>
  <c r="I782" i="1"/>
  <c r="H782" i="1"/>
  <c r="A782" i="1"/>
  <c r="L782" i="1" s="1"/>
  <c r="J781" i="1"/>
  <c r="I781" i="1"/>
  <c r="H781" i="1"/>
  <c r="A781" i="1"/>
  <c r="L781" i="1" s="1"/>
  <c r="J780" i="1"/>
  <c r="I780" i="1"/>
  <c r="H780" i="1"/>
  <c r="A780" i="1"/>
  <c r="L780" i="1" s="1"/>
  <c r="J779" i="1"/>
  <c r="I779" i="1"/>
  <c r="H779" i="1"/>
  <c r="A779" i="1"/>
  <c r="L779" i="1" s="1"/>
  <c r="J778" i="1"/>
  <c r="I778" i="1"/>
  <c r="H778" i="1"/>
  <c r="A778" i="1"/>
  <c r="L778" i="1" s="1"/>
  <c r="J777" i="1"/>
  <c r="I777" i="1"/>
  <c r="H777" i="1"/>
  <c r="A777" i="1"/>
  <c r="L777" i="1" s="1"/>
  <c r="J776" i="1"/>
  <c r="I776" i="1"/>
  <c r="H776" i="1"/>
  <c r="A776" i="1"/>
  <c r="L776" i="1" s="1"/>
  <c r="J775" i="1"/>
  <c r="I775" i="1"/>
  <c r="H775" i="1"/>
  <c r="A775" i="1"/>
  <c r="L775" i="1" s="1"/>
  <c r="J774" i="1"/>
  <c r="I774" i="1"/>
  <c r="H774" i="1"/>
  <c r="A774" i="1"/>
  <c r="L774" i="1" s="1"/>
  <c r="J773" i="1"/>
  <c r="I773" i="1"/>
  <c r="H773" i="1"/>
  <c r="A773" i="1"/>
  <c r="L773" i="1" s="1"/>
  <c r="J772" i="1"/>
  <c r="I772" i="1"/>
  <c r="H772" i="1"/>
  <c r="A772" i="1"/>
  <c r="L772" i="1" s="1"/>
  <c r="J771" i="1"/>
  <c r="I771" i="1"/>
  <c r="H771" i="1"/>
  <c r="A771" i="1"/>
  <c r="L771" i="1" s="1"/>
  <c r="J770" i="1"/>
  <c r="I770" i="1"/>
  <c r="H770" i="1"/>
  <c r="A770" i="1"/>
  <c r="L770" i="1" s="1"/>
  <c r="J769" i="1"/>
  <c r="I769" i="1"/>
  <c r="H769" i="1"/>
  <c r="A769" i="1"/>
  <c r="L769" i="1" s="1"/>
  <c r="J768" i="1"/>
  <c r="I768" i="1"/>
  <c r="H768" i="1"/>
  <c r="A768" i="1"/>
  <c r="L768" i="1" s="1"/>
  <c r="J767" i="1"/>
  <c r="I767" i="1"/>
  <c r="H767" i="1"/>
  <c r="A767" i="1"/>
  <c r="L767" i="1" s="1"/>
  <c r="J766" i="1"/>
  <c r="I766" i="1"/>
  <c r="H766" i="1"/>
  <c r="A766" i="1"/>
  <c r="L766" i="1" s="1"/>
  <c r="J765" i="1"/>
  <c r="I765" i="1"/>
  <c r="H765" i="1"/>
  <c r="A765" i="1"/>
  <c r="L765" i="1" s="1"/>
  <c r="J764" i="1"/>
  <c r="I764" i="1"/>
  <c r="H764" i="1"/>
  <c r="A764" i="1"/>
  <c r="L764" i="1" s="1"/>
  <c r="J763" i="1"/>
  <c r="I763" i="1"/>
  <c r="H763" i="1"/>
  <c r="A763" i="1"/>
  <c r="L763" i="1" s="1"/>
  <c r="J762" i="1"/>
  <c r="I762" i="1"/>
  <c r="H762" i="1"/>
  <c r="A762" i="1"/>
  <c r="L762" i="1" s="1"/>
  <c r="J761" i="1"/>
  <c r="I761" i="1"/>
  <c r="H761" i="1"/>
  <c r="A761" i="1"/>
  <c r="L761" i="1" s="1"/>
  <c r="J760" i="1"/>
  <c r="I760" i="1"/>
  <c r="H760" i="1"/>
  <c r="A760" i="1"/>
  <c r="L760" i="1" s="1"/>
  <c r="J759" i="1"/>
  <c r="I759" i="1"/>
  <c r="H759" i="1"/>
  <c r="A759" i="1"/>
  <c r="L759" i="1" s="1"/>
  <c r="J758" i="1"/>
  <c r="I758" i="1"/>
  <c r="H758" i="1"/>
  <c r="A758" i="1"/>
  <c r="L758" i="1" s="1"/>
  <c r="J757" i="1"/>
  <c r="I757" i="1"/>
  <c r="H757" i="1"/>
  <c r="A757" i="1"/>
  <c r="L757" i="1" s="1"/>
  <c r="J756" i="1"/>
  <c r="I756" i="1"/>
  <c r="H756" i="1"/>
  <c r="A756" i="1"/>
  <c r="L756" i="1" s="1"/>
  <c r="J755" i="1"/>
  <c r="I755" i="1"/>
  <c r="H755" i="1"/>
  <c r="A755" i="1"/>
  <c r="L755" i="1" s="1"/>
  <c r="J754" i="1"/>
  <c r="I754" i="1"/>
  <c r="H754" i="1"/>
  <c r="A754" i="1"/>
  <c r="L754" i="1" s="1"/>
  <c r="J753" i="1"/>
  <c r="I753" i="1"/>
  <c r="H753" i="1"/>
  <c r="A753" i="1"/>
  <c r="L753" i="1" s="1"/>
  <c r="J752" i="1"/>
  <c r="I752" i="1"/>
  <c r="H752" i="1"/>
  <c r="A752" i="1"/>
  <c r="L752" i="1" s="1"/>
  <c r="J751" i="1"/>
  <c r="I751" i="1"/>
  <c r="H751" i="1"/>
  <c r="A751" i="1"/>
  <c r="L751" i="1" s="1"/>
  <c r="J750" i="1"/>
  <c r="I750" i="1"/>
  <c r="H750" i="1"/>
  <c r="A750" i="1"/>
  <c r="L750" i="1" s="1"/>
  <c r="J749" i="1"/>
  <c r="I749" i="1"/>
  <c r="H749" i="1"/>
  <c r="A749" i="1"/>
  <c r="L749" i="1" s="1"/>
  <c r="J748" i="1"/>
  <c r="I748" i="1"/>
  <c r="H748" i="1"/>
  <c r="A748" i="1"/>
  <c r="L748" i="1" s="1"/>
  <c r="J747" i="1"/>
  <c r="I747" i="1"/>
  <c r="H747" i="1"/>
  <c r="A747" i="1"/>
  <c r="L747" i="1" s="1"/>
  <c r="J746" i="1"/>
  <c r="I746" i="1"/>
  <c r="H746" i="1"/>
  <c r="A746" i="1"/>
  <c r="L746" i="1" s="1"/>
  <c r="J745" i="1"/>
  <c r="I745" i="1"/>
  <c r="H745" i="1"/>
  <c r="A745" i="1"/>
  <c r="L745" i="1" s="1"/>
  <c r="J744" i="1"/>
  <c r="I744" i="1"/>
  <c r="H744" i="1"/>
  <c r="A744" i="1"/>
  <c r="L744" i="1" s="1"/>
  <c r="J743" i="1"/>
  <c r="I743" i="1"/>
  <c r="H743" i="1"/>
  <c r="A743" i="1"/>
  <c r="L743" i="1" s="1"/>
  <c r="J742" i="1"/>
  <c r="I742" i="1"/>
  <c r="H742" i="1"/>
  <c r="A742" i="1"/>
  <c r="L742" i="1" s="1"/>
  <c r="J741" i="1"/>
  <c r="I741" i="1"/>
  <c r="H741" i="1"/>
  <c r="A741" i="1"/>
  <c r="L741" i="1" s="1"/>
  <c r="J740" i="1"/>
  <c r="I740" i="1"/>
  <c r="H740" i="1"/>
  <c r="A740" i="1"/>
  <c r="L740" i="1" s="1"/>
  <c r="J739" i="1"/>
  <c r="I739" i="1"/>
  <c r="H739" i="1"/>
  <c r="A739" i="1"/>
  <c r="L739" i="1" s="1"/>
  <c r="J738" i="1"/>
  <c r="I738" i="1"/>
  <c r="H738" i="1"/>
  <c r="A738" i="1"/>
  <c r="L738" i="1" s="1"/>
  <c r="J737" i="1"/>
  <c r="I737" i="1"/>
  <c r="H737" i="1"/>
  <c r="A737" i="1"/>
  <c r="L737" i="1" s="1"/>
  <c r="J736" i="1"/>
  <c r="I736" i="1"/>
  <c r="H736" i="1"/>
  <c r="A736" i="1"/>
  <c r="L736" i="1" s="1"/>
  <c r="J735" i="1"/>
  <c r="I735" i="1"/>
  <c r="H735" i="1"/>
  <c r="A735" i="1"/>
  <c r="L735" i="1" s="1"/>
  <c r="J734" i="1"/>
  <c r="I734" i="1"/>
  <c r="H734" i="1"/>
  <c r="A734" i="1"/>
  <c r="L734" i="1" s="1"/>
  <c r="J733" i="1"/>
  <c r="I733" i="1"/>
  <c r="H733" i="1"/>
  <c r="A733" i="1"/>
  <c r="L733" i="1" s="1"/>
  <c r="J732" i="1"/>
  <c r="I732" i="1"/>
  <c r="H732" i="1"/>
  <c r="A732" i="1"/>
  <c r="L732" i="1" s="1"/>
  <c r="J731" i="1"/>
  <c r="I731" i="1"/>
  <c r="H731" i="1"/>
  <c r="A731" i="1"/>
  <c r="L731" i="1" s="1"/>
  <c r="J730" i="1"/>
  <c r="I730" i="1"/>
  <c r="H730" i="1"/>
  <c r="A730" i="1"/>
  <c r="L730" i="1" s="1"/>
  <c r="J729" i="1"/>
  <c r="I729" i="1"/>
  <c r="H729" i="1"/>
  <c r="A729" i="1"/>
  <c r="L729" i="1" s="1"/>
  <c r="J728" i="1"/>
  <c r="I728" i="1"/>
  <c r="H728" i="1"/>
  <c r="A728" i="1"/>
  <c r="L728" i="1" s="1"/>
  <c r="J727" i="1"/>
  <c r="I727" i="1"/>
  <c r="H727" i="1"/>
  <c r="A727" i="1"/>
  <c r="L727" i="1" s="1"/>
  <c r="J726" i="1"/>
  <c r="I726" i="1"/>
  <c r="H726" i="1"/>
  <c r="A726" i="1"/>
  <c r="L726" i="1" s="1"/>
  <c r="J725" i="1"/>
  <c r="I725" i="1"/>
  <c r="H725" i="1"/>
  <c r="A725" i="1"/>
  <c r="L725" i="1" s="1"/>
  <c r="J724" i="1"/>
  <c r="I724" i="1"/>
  <c r="H724" i="1"/>
  <c r="A724" i="1"/>
  <c r="L724" i="1" s="1"/>
  <c r="J723" i="1"/>
  <c r="I723" i="1"/>
  <c r="H723" i="1"/>
  <c r="A723" i="1"/>
  <c r="L723" i="1" s="1"/>
  <c r="J722" i="1"/>
  <c r="I722" i="1"/>
  <c r="H722" i="1"/>
  <c r="A722" i="1"/>
  <c r="L722" i="1" s="1"/>
  <c r="J721" i="1"/>
  <c r="I721" i="1"/>
  <c r="H721" i="1"/>
  <c r="A721" i="1"/>
  <c r="L721" i="1" s="1"/>
  <c r="J720" i="1"/>
  <c r="I720" i="1"/>
  <c r="H720" i="1"/>
  <c r="A720" i="1"/>
  <c r="L720" i="1" s="1"/>
  <c r="J719" i="1"/>
  <c r="I719" i="1"/>
  <c r="H719" i="1"/>
  <c r="A719" i="1"/>
  <c r="L719" i="1" s="1"/>
  <c r="J718" i="1"/>
  <c r="I718" i="1"/>
  <c r="H718" i="1"/>
  <c r="A718" i="1"/>
  <c r="L718" i="1" s="1"/>
  <c r="J717" i="1"/>
  <c r="I717" i="1"/>
  <c r="H717" i="1"/>
  <c r="A717" i="1"/>
  <c r="L717" i="1" s="1"/>
  <c r="J716" i="1"/>
  <c r="I716" i="1"/>
  <c r="H716" i="1"/>
  <c r="A716" i="1"/>
  <c r="L716" i="1" s="1"/>
  <c r="J715" i="1"/>
  <c r="I715" i="1"/>
  <c r="H715" i="1"/>
  <c r="A715" i="1"/>
  <c r="L715" i="1" s="1"/>
  <c r="J714" i="1"/>
  <c r="I714" i="1"/>
  <c r="H714" i="1"/>
  <c r="A714" i="1"/>
  <c r="L714" i="1" s="1"/>
  <c r="J713" i="1"/>
  <c r="I713" i="1"/>
  <c r="H713" i="1"/>
  <c r="A713" i="1"/>
  <c r="L713" i="1" s="1"/>
  <c r="J712" i="1"/>
  <c r="I712" i="1"/>
  <c r="H712" i="1"/>
  <c r="A712" i="1"/>
  <c r="L712" i="1" s="1"/>
  <c r="J711" i="1"/>
  <c r="I711" i="1"/>
  <c r="H711" i="1"/>
  <c r="A711" i="1"/>
  <c r="L711" i="1" s="1"/>
  <c r="J710" i="1"/>
  <c r="I710" i="1"/>
  <c r="H710" i="1"/>
  <c r="A710" i="1"/>
  <c r="L710" i="1" s="1"/>
  <c r="J709" i="1"/>
  <c r="I709" i="1"/>
  <c r="H709" i="1"/>
  <c r="A709" i="1"/>
  <c r="L709" i="1" s="1"/>
  <c r="J708" i="1"/>
  <c r="I708" i="1"/>
  <c r="H708" i="1"/>
  <c r="A708" i="1"/>
  <c r="L708" i="1" s="1"/>
  <c r="J707" i="1"/>
  <c r="I707" i="1"/>
  <c r="H707" i="1"/>
  <c r="A707" i="1"/>
  <c r="L707" i="1" s="1"/>
  <c r="J706" i="1"/>
  <c r="I706" i="1"/>
  <c r="H706" i="1"/>
  <c r="A706" i="1"/>
  <c r="L706" i="1" s="1"/>
  <c r="J705" i="1"/>
  <c r="I705" i="1"/>
  <c r="H705" i="1"/>
  <c r="A705" i="1"/>
  <c r="L705" i="1" s="1"/>
  <c r="J704" i="1"/>
  <c r="I704" i="1"/>
  <c r="H704" i="1"/>
  <c r="A704" i="1"/>
  <c r="L704" i="1" s="1"/>
  <c r="J703" i="1"/>
  <c r="I703" i="1"/>
  <c r="H703" i="1"/>
  <c r="A703" i="1"/>
  <c r="L703" i="1" s="1"/>
  <c r="J702" i="1"/>
  <c r="I702" i="1"/>
  <c r="H702" i="1"/>
  <c r="A702" i="1"/>
  <c r="L702" i="1" s="1"/>
  <c r="J701" i="1"/>
  <c r="I701" i="1"/>
  <c r="H701" i="1"/>
  <c r="A701" i="1"/>
  <c r="L701" i="1" s="1"/>
  <c r="J700" i="1"/>
  <c r="I700" i="1"/>
  <c r="H700" i="1"/>
  <c r="A700" i="1"/>
  <c r="L700" i="1" s="1"/>
  <c r="J699" i="1"/>
  <c r="I699" i="1"/>
  <c r="H699" i="1"/>
  <c r="A699" i="1"/>
  <c r="L699" i="1" s="1"/>
  <c r="J698" i="1"/>
  <c r="I698" i="1"/>
  <c r="H698" i="1"/>
  <c r="A698" i="1"/>
  <c r="L698" i="1" s="1"/>
  <c r="J697" i="1"/>
  <c r="I697" i="1"/>
  <c r="H697" i="1"/>
  <c r="A697" i="1"/>
  <c r="L697" i="1" s="1"/>
  <c r="J696" i="1"/>
  <c r="I696" i="1"/>
  <c r="H696" i="1"/>
  <c r="A696" i="1"/>
  <c r="L696" i="1" s="1"/>
  <c r="J695" i="1"/>
  <c r="I695" i="1"/>
  <c r="H695" i="1"/>
  <c r="A695" i="1"/>
  <c r="L695" i="1" s="1"/>
  <c r="J694" i="1"/>
  <c r="I694" i="1"/>
  <c r="H694" i="1"/>
  <c r="A694" i="1"/>
  <c r="L694" i="1" s="1"/>
  <c r="J693" i="1"/>
  <c r="I693" i="1"/>
  <c r="H693" i="1"/>
  <c r="A693" i="1"/>
  <c r="L693" i="1" s="1"/>
  <c r="J692" i="1"/>
  <c r="I692" i="1"/>
  <c r="H692" i="1"/>
  <c r="A692" i="1"/>
  <c r="L692" i="1" s="1"/>
  <c r="J691" i="1"/>
  <c r="I691" i="1"/>
  <c r="H691" i="1"/>
  <c r="A691" i="1"/>
  <c r="L691" i="1" s="1"/>
  <c r="J690" i="1"/>
  <c r="I690" i="1"/>
  <c r="H690" i="1"/>
  <c r="A690" i="1"/>
  <c r="L690" i="1" s="1"/>
  <c r="J689" i="1"/>
  <c r="I689" i="1"/>
  <c r="H689" i="1"/>
  <c r="A689" i="1"/>
  <c r="L689" i="1" s="1"/>
  <c r="J688" i="1"/>
  <c r="I688" i="1"/>
  <c r="H688" i="1"/>
  <c r="A688" i="1"/>
  <c r="L688" i="1" s="1"/>
  <c r="J687" i="1"/>
  <c r="I687" i="1"/>
  <c r="H687" i="1"/>
  <c r="A687" i="1"/>
  <c r="L687" i="1" s="1"/>
  <c r="J686" i="1"/>
  <c r="I686" i="1"/>
  <c r="H686" i="1"/>
  <c r="A686" i="1"/>
  <c r="L686" i="1" s="1"/>
  <c r="J685" i="1"/>
  <c r="I685" i="1"/>
  <c r="H685" i="1"/>
  <c r="A685" i="1"/>
  <c r="L685" i="1" s="1"/>
  <c r="J684" i="1"/>
  <c r="I684" i="1"/>
  <c r="H684" i="1"/>
  <c r="A684" i="1"/>
  <c r="L684" i="1" s="1"/>
  <c r="J683" i="1"/>
  <c r="I683" i="1"/>
  <c r="H683" i="1"/>
  <c r="A683" i="1"/>
  <c r="L683" i="1" s="1"/>
  <c r="J682" i="1"/>
  <c r="I682" i="1"/>
  <c r="H682" i="1"/>
  <c r="A682" i="1"/>
  <c r="L682" i="1" s="1"/>
  <c r="J681" i="1"/>
  <c r="I681" i="1"/>
  <c r="H681" i="1"/>
  <c r="A681" i="1"/>
  <c r="L681" i="1" s="1"/>
  <c r="J680" i="1"/>
  <c r="I680" i="1"/>
  <c r="H680" i="1"/>
  <c r="A680" i="1"/>
  <c r="L680" i="1" s="1"/>
  <c r="J679" i="1"/>
  <c r="I679" i="1"/>
  <c r="H679" i="1"/>
  <c r="A679" i="1"/>
  <c r="L679" i="1" s="1"/>
  <c r="J678" i="1"/>
  <c r="I678" i="1"/>
  <c r="H678" i="1"/>
  <c r="A678" i="1"/>
  <c r="L678" i="1" s="1"/>
  <c r="J677" i="1"/>
  <c r="I677" i="1"/>
  <c r="H677" i="1"/>
  <c r="A677" i="1"/>
  <c r="L677" i="1" s="1"/>
  <c r="J676" i="1"/>
  <c r="I676" i="1"/>
  <c r="H676" i="1"/>
  <c r="A676" i="1"/>
  <c r="L676" i="1" s="1"/>
  <c r="J675" i="1"/>
  <c r="I675" i="1"/>
  <c r="H675" i="1"/>
  <c r="A675" i="1"/>
  <c r="L675" i="1" s="1"/>
  <c r="J674" i="1"/>
  <c r="I674" i="1"/>
  <c r="H674" i="1"/>
  <c r="A674" i="1"/>
  <c r="L674" i="1" s="1"/>
  <c r="J673" i="1"/>
  <c r="I673" i="1"/>
  <c r="H673" i="1"/>
  <c r="A673" i="1"/>
  <c r="L673" i="1" s="1"/>
  <c r="J672" i="1"/>
  <c r="I672" i="1"/>
  <c r="H672" i="1"/>
  <c r="A672" i="1"/>
  <c r="L672" i="1" s="1"/>
  <c r="J671" i="1"/>
  <c r="I671" i="1"/>
  <c r="H671" i="1"/>
  <c r="A671" i="1"/>
  <c r="L671" i="1" s="1"/>
  <c r="J670" i="1"/>
  <c r="I670" i="1"/>
  <c r="H670" i="1"/>
  <c r="A670" i="1"/>
  <c r="L670" i="1" s="1"/>
  <c r="J669" i="1"/>
  <c r="I669" i="1"/>
  <c r="H669" i="1"/>
  <c r="A669" i="1"/>
  <c r="L669" i="1" s="1"/>
  <c r="J668" i="1"/>
  <c r="I668" i="1"/>
  <c r="H668" i="1"/>
  <c r="A668" i="1"/>
  <c r="L668" i="1" s="1"/>
  <c r="J667" i="1"/>
  <c r="I667" i="1"/>
  <c r="H667" i="1"/>
  <c r="A667" i="1"/>
  <c r="L667" i="1" s="1"/>
  <c r="J666" i="1"/>
  <c r="I666" i="1"/>
  <c r="H666" i="1"/>
  <c r="A666" i="1"/>
  <c r="L666" i="1" s="1"/>
  <c r="J665" i="1"/>
  <c r="I665" i="1"/>
  <c r="H665" i="1"/>
  <c r="A665" i="1"/>
  <c r="L665" i="1" s="1"/>
  <c r="J664" i="1"/>
  <c r="I664" i="1"/>
  <c r="H664" i="1"/>
  <c r="A664" i="1"/>
  <c r="L664" i="1" s="1"/>
  <c r="J663" i="1"/>
  <c r="I663" i="1"/>
  <c r="H663" i="1"/>
  <c r="A663" i="1"/>
  <c r="L663" i="1" s="1"/>
  <c r="J662" i="1"/>
  <c r="I662" i="1"/>
  <c r="H662" i="1"/>
  <c r="A662" i="1"/>
  <c r="L662" i="1" s="1"/>
  <c r="J661" i="1"/>
  <c r="I661" i="1"/>
  <c r="H661" i="1"/>
  <c r="A661" i="1"/>
  <c r="L661" i="1" s="1"/>
  <c r="J660" i="1"/>
  <c r="I660" i="1"/>
  <c r="H660" i="1"/>
  <c r="A660" i="1"/>
  <c r="L660" i="1" s="1"/>
  <c r="J659" i="1"/>
  <c r="I659" i="1"/>
  <c r="H659" i="1"/>
  <c r="A659" i="1"/>
  <c r="L659" i="1" s="1"/>
  <c r="J658" i="1"/>
  <c r="I658" i="1"/>
  <c r="H658" i="1"/>
  <c r="A658" i="1"/>
  <c r="L658" i="1" s="1"/>
  <c r="J657" i="1"/>
  <c r="I657" i="1"/>
  <c r="H657" i="1"/>
  <c r="A657" i="1"/>
  <c r="L657" i="1" s="1"/>
  <c r="J656" i="1"/>
  <c r="I656" i="1"/>
  <c r="H656" i="1"/>
  <c r="A656" i="1"/>
  <c r="L656" i="1" s="1"/>
  <c r="J655" i="1"/>
  <c r="I655" i="1"/>
  <c r="H655" i="1"/>
  <c r="A655" i="1"/>
  <c r="L655" i="1" s="1"/>
  <c r="J654" i="1"/>
  <c r="I654" i="1"/>
  <c r="H654" i="1"/>
  <c r="A654" i="1"/>
  <c r="L654" i="1" s="1"/>
  <c r="J653" i="1"/>
  <c r="I653" i="1"/>
  <c r="H653" i="1"/>
  <c r="A653" i="1"/>
  <c r="L653" i="1" s="1"/>
  <c r="J652" i="1"/>
  <c r="I652" i="1"/>
  <c r="H652" i="1"/>
  <c r="A652" i="1"/>
  <c r="L652" i="1" s="1"/>
  <c r="J651" i="1"/>
  <c r="I651" i="1"/>
  <c r="H651" i="1"/>
  <c r="A651" i="1"/>
  <c r="L651" i="1" s="1"/>
  <c r="J650" i="1"/>
  <c r="I650" i="1"/>
  <c r="H650" i="1"/>
  <c r="A650" i="1"/>
  <c r="L650" i="1" s="1"/>
  <c r="J649" i="1"/>
  <c r="I649" i="1"/>
  <c r="H649" i="1"/>
  <c r="A649" i="1"/>
  <c r="L649" i="1" s="1"/>
  <c r="J648" i="1"/>
  <c r="I648" i="1"/>
  <c r="H648" i="1"/>
  <c r="A648" i="1"/>
  <c r="L648" i="1" s="1"/>
  <c r="J647" i="1"/>
  <c r="I647" i="1"/>
  <c r="H647" i="1"/>
  <c r="A647" i="1"/>
  <c r="L647" i="1" s="1"/>
  <c r="J646" i="1"/>
  <c r="I646" i="1"/>
  <c r="H646" i="1"/>
  <c r="A646" i="1"/>
  <c r="L646" i="1" s="1"/>
  <c r="J645" i="1"/>
  <c r="I645" i="1"/>
  <c r="H645" i="1"/>
  <c r="A645" i="1"/>
  <c r="L645" i="1" s="1"/>
  <c r="J644" i="1"/>
  <c r="I644" i="1"/>
  <c r="H644" i="1"/>
  <c r="A644" i="1"/>
  <c r="L644" i="1" s="1"/>
  <c r="J643" i="1"/>
  <c r="I643" i="1"/>
  <c r="H643" i="1"/>
  <c r="A643" i="1"/>
  <c r="L643" i="1" s="1"/>
  <c r="J642" i="1"/>
  <c r="I642" i="1"/>
  <c r="H642" i="1"/>
  <c r="A642" i="1"/>
  <c r="L642" i="1" s="1"/>
  <c r="J641" i="1"/>
  <c r="I641" i="1"/>
  <c r="H641" i="1"/>
  <c r="A641" i="1"/>
  <c r="L641" i="1" s="1"/>
  <c r="J640" i="1"/>
  <c r="I640" i="1"/>
  <c r="H640" i="1"/>
  <c r="A640" i="1"/>
  <c r="L640" i="1" s="1"/>
  <c r="J639" i="1"/>
  <c r="I639" i="1"/>
  <c r="H639" i="1"/>
  <c r="A639" i="1"/>
  <c r="L639" i="1" s="1"/>
  <c r="J638" i="1"/>
  <c r="I638" i="1"/>
  <c r="H638" i="1"/>
  <c r="A638" i="1"/>
  <c r="L638" i="1" s="1"/>
  <c r="J637" i="1"/>
  <c r="I637" i="1"/>
  <c r="H637" i="1"/>
  <c r="A637" i="1"/>
  <c r="L637" i="1" s="1"/>
  <c r="J636" i="1"/>
  <c r="I636" i="1"/>
  <c r="H636" i="1"/>
  <c r="A636" i="1"/>
  <c r="L636" i="1" s="1"/>
  <c r="J635" i="1"/>
  <c r="I635" i="1"/>
  <c r="H635" i="1"/>
  <c r="A635" i="1"/>
  <c r="L635" i="1" s="1"/>
  <c r="J634" i="1"/>
  <c r="I634" i="1"/>
  <c r="H634" i="1"/>
  <c r="A634" i="1"/>
  <c r="L634" i="1" s="1"/>
  <c r="J633" i="1"/>
  <c r="I633" i="1"/>
  <c r="H633" i="1"/>
  <c r="A633" i="1"/>
  <c r="L633" i="1" s="1"/>
  <c r="J632" i="1"/>
  <c r="I632" i="1"/>
  <c r="H632" i="1"/>
  <c r="A632" i="1"/>
  <c r="L632" i="1" s="1"/>
  <c r="J631" i="1"/>
  <c r="I631" i="1"/>
  <c r="H631" i="1"/>
  <c r="A631" i="1"/>
  <c r="L631" i="1" s="1"/>
  <c r="J630" i="1"/>
  <c r="I630" i="1"/>
  <c r="H630" i="1"/>
  <c r="A630" i="1"/>
  <c r="L630" i="1" s="1"/>
  <c r="J629" i="1"/>
  <c r="I629" i="1"/>
  <c r="H629" i="1"/>
  <c r="A629" i="1"/>
  <c r="L629" i="1" s="1"/>
  <c r="J628" i="1"/>
  <c r="I628" i="1"/>
  <c r="H628" i="1"/>
  <c r="A628" i="1"/>
  <c r="L628" i="1" s="1"/>
  <c r="J627" i="1"/>
  <c r="I627" i="1"/>
  <c r="H627" i="1"/>
  <c r="A627" i="1"/>
  <c r="L627" i="1" s="1"/>
  <c r="J626" i="1"/>
  <c r="I626" i="1"/>
  <c r="H626" i="1"/>
  <c r="A626" i="1"/>
  <c r="L626" i="1" s="1"/>
  <c r="J625" i="1"/>
  <c r="I625" i="1"/>
  <c r="H625" i="1"/>
  <c r="A625" i="1"/>
  <c r="L625" i="1" s="1"/>
  <c r="J624" i="1"/>
  <c r="I624" i="1"/>
  <c r="H624" i="1"/>
  <c r="A624" i="1"/>
  <c r="L624" i="1" s="1"/>
  <c r="J623" i="1"/>
  <c r="I623" i="1"/>
  <c r="H623" i="1"/>
  <c r="A623" i="1"/>
  <c r="L623" i="1" s="1"/>
  <c r="J622" i="1"/>
  <c r="I622" i="1"/>
  <c r="H622" i="1"/>
  <c r="A622" i="1"/>
  <c r="L622" i="1" s="1"/>
  <c r="J621" i="1"/>
  <c r="I621" i="1"/>
  <c r="H621" i="1"/>
  <c r="A621" i="1"/>
  <c r="L621" i="1" s="1"/>
  <c r="J620" i="1"/>
  <c r="I620" i="1"/>
  <c r="H620" i="1"/>
  <c r="A620" i="1"/>
  <c r="L620" i="1" s="1"/>
  <c r="J619" i="1"/>
  <c r="I619" i="1"/>
  <c r="H619" i="1"/>
  <c r="A619" i="1"/>
  <c r="L619" i="1" s="1"/>
  <c r="J618" i="1"/>
  <c r="I618" i="1"/>
  <c r="H618" i="1"/>
  <c r="A618" i="1"/>
  <c r="L618" i="1" s="1"/>
  <c r="J617" i="1"/>
  <c r="I617" i="1"/>
  <c r="H617" i="1"/>
  <c r="A617" i="1"/>
  <c r="L617" i="1" s="1"/>
  <c r="J616" i="1"/>
  <c r="I616" i="1"/>
  <c r="H616" i="1"/>
  <c r="A616" i="1"/>
  <c r="L616" i="1" s="1"/>
  <c r="J615" i="1"/>
  <c r="I615" i="1"/>
  <c r="H615" i="1"/>
  <c r="A615" i="1"/>
  <c r="L615" i="1" s="1"/>
  <c r="J614" i="1"/>
  <c r="I614" i="1"/>
  <c r="H614" i="1"/>
  <c r="A614" i="1"/>
  <c r="L614" i="1" s="1"/>
  <c r="J613" i="1"/>
  <c r="I613" i="1"/>
  <c r="H613" i="1"/>
  <c r="A613" i="1"/>
  <c r="L613" i="1" s="1"/>
  <c r="J612" i="1"/>
  <c r="I612" i="1"/>
  <c r="H612" i="1"/>
  <c r="A612" i="1"/>
  <c r="L612" i="1" s="1"/>
  <c r="J611" i="1"/>
  <c r="I611" i="1"/>
  <c r="H611" i="1"/>
  <c r="A611" i="1"/>
  <c r="L611" i="1" s="1"/>
  <c r="J610" i="1"/>
  <c r="I610" i="1"/>
  <c r="H610" i="1"/>
  <c r="A610" i="1"/>
  <c r="L610" i="1" s="1"/>
  <c r="J609" i="1"/>
  <c r="I609" i="1"/>
  <c r="H609" i="1"/>
  <c r="A609" i="1"/>
  <c r="L609" i="1" s="1"/>
  <c r="J608" i="1"/>
  <c r="I608" i="1"/>
  <c r="H608" i="1"/>
  <c r="A608" i="1"/>
  <c r="L608" i="1" s="1"/>
  <c r="J607" i="1"/>
  <c r="I607" i="1"/>
  <c r="H607" i="1"/>
  <c r="A607" i="1"/>
  <c r="L607" i="1" s="1"/>
  <c r="J606" i="1"/>
  <c r="I606" i="1"/>
  <c r="H606" i="1"/>
  <c r="A606" i="1"/>
  <c r="L606" i="1" s="1"/>
  <c r="J605" i="1"/>
  <c r="I605" i="1"/>
  <c r="H605" i="1"/>
  <c r="A605" i="1"/>
  <c r="L605" i="1" s="1"/>
  <c r="J604" i="1"/>
  <c r="I604" i="1"/>
  <c r="H604" i="1"/>
  <c r="A604" i="1"/>
  <c r="L604" i="1" s="1"/>
  <c r="J603" i="1"/>
  <c r="I603" i="1"/>
  <c r="H603" i="1"/>
  <c r="A603" i="1"/>
  <c r="L603" i="1" s="1"/>
  <c r="J602" i="1"/>
  <c r="I602" i="1"/>
  <c r="H602" i="1"/>
  <c r="A602" i="1"/>
  <c r="L602" i="1" s="1"/>
  <c r="J601" i="1"/>
  <c r="I601" i="1"/>
  <c r="H601" i="1"/>
  <c r="A601" i="1"/>
  <c r="L601" i="1" s="1"/>
  <c r="J600" i="1"/>
  <c r="I600" i="1"/>
  <c r="H600" i="1"/>
  <c r="A600" i="1"/>
  <c r="L600" i="1" s="1"/>
  <c r="J599" i="1"/>
  <c r="I599" i="1"/>
  <c r="H599" i="1"/>
  <c r="A599" i="1"/>
  <c r="L599" i="1" s="1"/>
  <c r="J598" i="1"/>
  <c r="I598" i="1"/>
  <c r="H598" i="1"/>
  <c r="A598" i="1"/>
  <c r="L598" i="1" s="1"/>
  <c r="J597" i="1"/>
  <c r="I597" i="1"/>
  <c r="H597" i="1"/>
  <c r="A597" i="1"/>
  <c r="L597" i="1" s="1"/>
  <c r="J596" i="1"/>
  <c r="I596" i="1"/>
  <c r="H596" i="1"/>
  <c r="A596" i="1"/>
  <c r="L596" i="1" s="1"/>
  <c r="J595" i="1"/>
  <c r="I595" i="1"/>
  <c r="H595" i="1"/>
  <c r="A595" i="1"/>
  <c r="L595" i="1" s="1"/>
  <c r="J594" i="1"/>
  <c r="I594" i="1"/>
  <c r="H594" i="1"/>
  <c r="A594" i="1"/>
  <c r="L594" i="1" s="1"/>
  <c r="J593" i="1"/>
  <c r="I593" i="1"/>
  <c r="H593" i="1"/>
  <c r="A593" i="1"/>
  <c r="L593" i="1" s="1"/>
  <c r="J592" i="1"/>
  <c r="I592" i="1"/>
  <c r="H592" i="1"/>
  <c r="A592" i="1"/>
  <c r="L592" i="1" s="1"/>
  <c r="J591" i="1"/>
  <c r="I591" i="1"/>
  <c r="H591" i="1"/>
  <c r="A591" i="1"/>
  <c r="L591" i="1" s="1"/>
  <c r="J590" i="1"/>
  <c r="I590" i="1"/>
  <c r="H590" i="1"/>
  <c r="A590" i="1"/>
  <c r="L590" i="1" s="1"/>
  <c r="J589" i="1"/>
  <c r="I589" i="1"/>
  <c r="H589" i="1"/>
  <c r="A589" i="1"/>
  <c r="L589" i="1" s="1"/>
  <c r="J588" i="1"/>
  <c r="I588" i="1"/>
  <c r="H588" i="1"/>
  <c r="A588" i="1"/>
  <c r="L588" i="1" s="1"/>
  <c r="J587" i="1"/>
  <c r="I587" i="1"/>
  <c r="H587" i="1"/>
  <c r="A587" i="1"/>
  <c r="L587" i="1" s="1"/>
  <c r="J586" i="1"/>
  <c r="I586" i="1"/>
  <c r="H586" i="1"/>
  <c r="A586" i="1"/>
  <c r="L586" i="1" s="1"/>
  <c r="J585" i="1"/>
  <c r="I585" i="1"/>
  <c r="H585" i="1"/>
  <c r="A585" i="1"/>
  <c r="L585" i="1" s="1"/>
  <c r="J584" i="1"/>
  <c r="I584" i="1"/>
  <c r="H584" i="1"/>
  <c r="A584" i="1"/>
  <c r="L584" i="1" s="1"/>
  <c r="J583" i="1"/>
  <c r="I583" i="1"/>
  <c r="H583" i="1"/>
  <c r="A583" i="1"/>
  <c r="L583" i="1" s="1"/>
  <c r="J582" i="1"/>
  <c r="I582" i="1"/>
  <c r="H582" i="1"/>
  <c r="A582" i="1"/>
  <c r="L582" i="1" s="1"/>
  <c r="J581" i="1"/>
  <c r="I581" i="1"/>
  <c r="H581" i="1"/>
  <c r="A581" i="1"/>
  <c r="L581" i="1" s="1"/>
  <c r="J580" i="1"/>
  <c r="I580" i="1"/>
  <c r="H580" i="1"/>
  <c r="A580" i="1"/>
  <c r="L580" i="1" s="1"/>
  <c r="J579" i="1"/>
  <c r="I579" i="1"/>
  <c r="H579" i="1"/>
  <c r="A579" i="1"/>
  <c r="L579" i="1" s="1"/>
  <c r="J578" i="1"/>
  <c r="I578" i="1"/>
  <c r="H578" i="1"/>
  <c r="A578" i="1"/>
  <c r="L578" i="1" s="1"/>
  <c r="J577" i="1"/>
  <c r="I577" i="1"/>
  <c r="H577" i="1"/>
  <c r="A577" i="1"/>
  <c r="L577" i="1" s="1"/>
  <c r="J576" i="1"/>
  <c r="I576" i="1"/>
  <c r="H576" i="1"/>
  <c r="A576" i="1"/>
  <c r="L576" i="1" s="1"/>
  <c r="J575" i="1"/>
  <c r="I575" i="1"/>
  <c r="H575" i="1"/>
  <c r="A575" i="1"/>
  <c r="L575" i="1" s="1"/>
  <c r="J574" i="1"/>
  <c r="I574" i="1"/>
  <c r="H574" i="1"/>
  <c r="A574" i="1"/>
  <c r="L574" i="1" s="1"/>
  <c r="J573" i="1"/>
  <c r="I573" i="1"/>
  <c r="H573" i="1"/>
  <c r="A573" i="1"/>
  <c r="L573" i="1" s="1"/>
  <c r="J572" i="1"/>
  <c r="I572" i="1"/>
  <c r="H572" i="1"/>
  <c r="A572" i="1"/>
  <c r="L572" i="1" s="1"/>
  <c r="J571" i="1"/>
  <c r="I571" i="1"/>
  <c r="H571" i="1"/>
  <c r="A571" i="1"/>
  <c r="L571" i="1" s="1"/>
  <c r="J570" i="1"/>
  <c r="I570" i="1"/>
  <c r="H570" i="1"/>
  <c r="A570" i="1"/>
  <c r="L570" i="1" s="1"/>
  <c r="J569" i="1"/>
  <c r="I569" i="1"/>
  <c r="H569" i="1"/>
  <c r="A569" i="1"/>
  <c r="L569" i="1" s="1"/>
  <c r="J568" i="1"/>
  <c r="I568" i="1"/>
  <c r="H568" i="1"/>
  <c r="A568" i="1"/>
  <c r="L568" i="1" s="1"/>
  <c r="J567" i="1"/>
  <c r="I567" i="1"/>
  <c r="H567" i="1"/>
  <c r="A567" i="1"/>
  <c r="L567" i="1" s="1"/>
  <c r="J566" i="1"/>
  <c r="I566" i="1"/>
  <c r="H566" i="1"/>
  <c r="A566" i="1"/>
  <c r="L566" i="1" s="1"/>
  <c r="J565" i="1"/>
  <c r="I565" i="1"/>
  <c r="H565" i="1"/>
  <c r="A565" i="1"/>
  <c r="L565" i="1" s="1"/>
  <c r="J564" i="1"/>
  <c r="I564" i="1"/>
  <c r="H564" i="1"/>
  <c r="A564" i="1"/>
  <c r="L564" i="1" s="1"/>
  <c r="J563" i="1"/>
  <c r="I563" i="1"/>
  <c r="H563" i="1"/>
  <c r="A563" i="1"/>
  <c r="L563" i="1" s="1"/>
  <c r="J562" i="1"/>
  <c r="I562" i="1"/>
  <c r="H562" i="1"/>
  <c r="A562" i="1"/>
  <c r="L562" i="1" s="1"/>
  <c r="J561" i="1"/>
  <c r="I561" i="1"/>
  <c r="H561" i="1"/>
  <c r="A561" i="1"/>
  <c r="L561" i="1" s="1"/>
  <c r="J560" i="1"/>
  <c r="I560" i="1"/>
  <c r="H560" i="1"/>
  <c r="A560" i="1"/>
  <c r="L560" i="1" s="1"/>
  <c r="J559" i="1"/>
  <c r="I559" i="1"/>
  <c r="H559" i="1"/>
  <c r="A559" i="1"/>
  <c r="L559" i="1" s="1"/>
  <c r="J558" i="1"/>
  <c r="I558" i="1"/>
  <c r="H558" i="1"/>
  <c r="A558" i="1"/>
  <c r="L558" i="1" s="1"/>
  <c r="J557" i="1"/>
  <c r="I557" i="1"/>
  <c r="H557" i="1"/>
  <c r="A557" i="1"/>
  <c r="L557" i="1" s="1"/>
  <c r="J556" i="1"/>
  <c r="I556" i="1"/>
  <c r="H556" i="1"/>
  <c r="A556" i="1"/>
  <c r="L556" i="1" s="1"/>
  <c r="J555" i="1"/>
  <c r="I555" i="1"/>
  <c r="H555" i="1"/>
  <c r="A555" i="1"/>
  <c r="L555" i="1" s="1"/>
  <c r="J554" i="1"/>
  <c r="I554" i="1"/>
  <c r="H554" i="1"/>
  <c r="A554" i="1"/>
  <c r="L554" i="1" s="1"/>
  <c r="J553" i="1"/>
  <c r="I553" i="1"/>
  <c r="H553" i="1"/>
  <c r="A553" i="1"/>
  <c r="L553" i="1" s="1"/>
  <c r="J552" i="1"/>
  <c r="I552" i="1"/>
  <c r="H552" i="1"/>
  <c r="A552" i="1"/>
  <c r="L552" i="1" s="1"/>
  <c r="J551" i="1"/>
  <c r="I551" i="1"/>
  <c r="H551" i="1"/>
  <c r="A551" i="1"/>
  <c r="L551" i="1" s="1"/>
  <c r="J550" i="1"/>
  <c r="I550" i="1"/>
  <c r="H550" i="1"/>
  <c r="A550" i="1"/>
  <c r="L550" i="1" s="1"/>
  <c r="J549" i="1"/>
  <c r="I549" i="1"/>
  <c r="H549" i="1"/>
  <c r="A549" i="1"/>
  <c r="L549" i="1" s="1"/>
  <c r="J548" i="1"/>
  <c r="I548" i="1"/>
  <c r="H548" i="1"/>
  <c r="A548" i="1"/>
  <c r="L548" i="1" s="1"/>
  <c r="J547" i="1"/>
  <c r="I547" i="1"/>
  <c r="H547" i="1"/>
  <c r="A547" i="1"/>
  <c r="L547" i="1" s="1"/>
  <c r="J546" i="1"/>
  <c r="I546" i="1"/>
  <c r="H546" i="1"/>
  <c r="A546" i="1"/>
  <c r="L546" i="1" s="1"/>
  <c r="J545" i="1"/>
  <c r="I545" i="1"/>
  <c r="H545" i="1"/>
  <c r="A545" i="1"/>
  <c r="L545" i="1" s="1"/>
  <c r="J544" i="1"/>
  <c r="I544" i="1"/>
  <c r="H544" i="1"/>
  <c r="A544" i="1"/>
  <c r="L544" i="1" s="1"/>
  <c r="J543" i="1"/>
  <c r="I543" i="1"/>
  <c r="H543" i="1"/>
  <c r="A543" i="1"/>
  <c r="L543" i="1" s="1"/>
  <c r="J542" i="1"/>
  <c r="I542" i="1"/>
  <c r="H542" i="1"/>
  <c r="A542" i="1"/>
  <c r="L542" i="1" s="1"/>
  <c r="J541" i="1"/>
  <c r="I541" i="1"/>
  <c r="H541" i="1"/>
  <c r="A541" i="1"/>
  <c r="L541" i="1" s="1"/>
  <c r="J540" i="1"/>
  <c r="I540" i="1"/>
  <c r="H540" i="1"/>
  <c r="A540" i="1"/>
  <c r="L540" i="1" s="1"/>
  <c r="J539" i="1"/>
  <c r="I539" i="1"/>
  <c r="H539" i="1"/>
  <c r="A539" i="1"/>
  <c r="L539" i="1" s="1"/>
  <c r="J538" i="1"/>
  <c r="I538" i="1"/>
  <c r="H538" i="1"/>
  <c r="A538" i="1"/>
  <c r="L538" i="1" s="1"/>
  <c r="J537" i="1"/>
  <c r="I537" i="1"/>
  <c r="H537" i="1"/>
  <c r="A537" i="1"/>
  <c r="L537" i="1" s="1"/>
  <c r="J536" i="1"/>
  <c r="I536" i="1"/>
  <c r="H536" i="1"/>
  <c r="A536" i="1"/>
  <c r="L536" i="1" s="1"/>
  <c r="J535" i="1"/>
  <c r="I535" i="1"/>
  <c r="H535" i="1"/>
  <c r="A535" i="1"/>
  <c r="L535" i="1" s="1"/>
  <c r="J534" i="1"/>
  <c r="I534" i="1"/>
  <c r="H534" i="1"/>
  <c r="A534" i="1"/>
  <c r="L534" i="1" s="1"/>
  <c r="J533" i="1"/>
  <c r="I533" i="1"/>
  <c r="H533" i="1"/>
  <c r="A533" i="1"/>
  <c r="L533" i="1" s="1"/>
  <c r="J532" i="1"/>
  <c r="I532" i="1"/>
  <c r="H532" i="1"/>
  <c r="A532" i="1"/>
  <c r="L532" i="1" s="1"/>
  <c r="J531" i="1"/>
  <c r="I531" i="1"/>
  <c r="H531" i="1"/>
  <c r="A531" i="1"/>
  <c r="L531" i="1" s="1"/>
  <c r="J530" i="1"/>
  <c r="I530" i="1"/>
  <c r="H530" i="1"/>
  <c r="A530" i="1"/>
  <c r="L530" i="1" s="1"/>
  <c r="J529" i="1"/>
  <c r="I529" i="1"/>
  <c r="H529" i="1"/>
  <c r="A529" i="1"/>
  <c r="L529" i="1" s="1"/>
  <c r="J528" i="1"/>
  <c r="I528" i="1"/>
  <c r="H528" i="1"/>
  <c r="A528" i="1"/>
  <c r="L528" i="1" s="1"/>
  <c r="J527" i="1"/>
  <c r="I527" i="1"/>
  <c r="H527" i="1"/>
  <c r="A527" i="1"/>
  <c r="L527" i="1" s="1"/>
  <c r="J526" i="1"/>
  <c r="I526" i="1"/>
  <c r="H526" i="1"/>
  <c r="A526" i="1"/>
  <c r="L526" i="1" s="1"/>
  <c r="J525" i="1"/>
  <c r="I525" i="1"/>
  <c r="H525" i="1"/>
  <c r="A525" i="1"/>
  <c r="L525" i="1" s="1"/>
  <c r="J524" i="1"/>
  <c r="I524" i="1"/>
  <c r="H524" i="1"/>
  <c r="A524" i="1"/>
  <c r="L524" i="1" s="1"/>
  <c r="J523" i="1"/>
  <c r="I523" i="1"/>
  <c r="H523" i="1"/>
  <c r="A523" i="1"/>
  <c r="L523" i="1" s="1"/>
  <c r="J522" i="1"/>
  <c r="I522" i="1"/>
  <c r="H522" i="1"/>
  <c r="A522" i="1"/>
  <c r="L522" i="1" s="1"/>
  <c r="J521" i="1"/>
  <c r="I521" i="1"/>
  <c r="H521" i="1"/>
  <c r="A521" i="1"/>
  <c r="L521" i="1" s="1"/>
  <c r="J520" i="1"/>
  <c r="I520" i="1"/>
  <c r="H520" i="1"/>
  <c r="A520" i="1"/>
  <c r="L520" i="1" s="1"/>
  <c r="J519" i="1"/>
  <c r="I519" i="1"/>
  <c r="H519" i="1"/>
  <c r="A519" i="1"/>
  <c r="L519" i="1" s="1"/>
  <c r="J518" i="1"/>
  <c r="I518" i="1"/>
  <c r="H518" i="1"/>
  <c r="A518" i="1"/>
  <c r="L518" i="1" s="1"/>
  <c r="J517" i="1"/>
  <c r="I517" i="1"/>
  <c r="H517" i="1"/>
  <c r="A517" i="1"/>
  <c r="L517" i="1" s="1"/>
  <c r="J516" i="1"/>
  <c r="I516" i="1"/>
  <c r="H516" i="1"/>
  <c r="A516" i="1"/>
  <c r="L516" i="1" s="1"/>
  <c r="J515" i="1"/>
  <c r="I515" i="1"/>
  <c r="H515" i="1"/>
  <c r="A515" i="1"/>
  <c r="L515" i="1" s="1"/>
  <c r="J514" i="1"/>
  <c r="I514" i="1"/>
  <c r="H514" i="1"/>
  <c r="A514" i="1"/>
  <c r="L514" i="1" s="1"/>
  <c r="J513" i="1"/>
  <c r="I513" i="1"/>
  <c r="H513" i="1"/>
  <c r="A513" i="1"/>
  <c r="L513" i="1" s="1"/>
  <c r="J512" i="1"/>
  <c r="I512" i="1"/>
  <c r="H512" i="1"/>
  <c r="A512" i="1"/>
  <c r="L512" i="1" s="1"/>
  <c r="J511" i="1"/>
  <c r="I511" i="1"/>
  <c r="H511" i="1"/>
  <c r="A511" i="1"/>
  <c r="L511" i="1" s="1"/>
  <c r="J510" i="1"/>
  <c r="I510" i="1"/>
  <c r="H510" i="1"/>
  <c r="A510" i="1"/>
  <c r="L510" i="1" s="1"/>
  <c r="J509" i="1"/>
  <c r="I509" i="1"/>
  <c r="H509" i="1"/>
  <c r="A509" i="1"/>
  <c r="L509" i="1" s="1"/>
  <c r="J508" i="1"/>
  <c r="I508" i="1"/>
  <c r="H508" i="1"/>
  <c r="A508" i="1"/>
  <c r="L508" i="1" s="1"/>
  <c r="J507" i="1"/>
  <c r="I507" i="1"/>
  <c r="H507" i="1"/>
  <c r="A507" i="1"/>
  <c r="L507" i="1" s="1"/>
  <c r="J506" i="1"/>
  <c r="I506" i="1"/>
  <c r="H506" i="1"/>
  <c r="A506" i="1"/>
  <c r="L506" i="1" s="1"/>
  <c r="J505" i="1"/>
  <c r="I505" i="1"/>
  <c r="H505" i="1"/>
  <c r="A505" i="1"/>
  <c r="L505" i="1" s="1"/>
  <c r="J504" i="1"/>
  <c r="I504" i="1"/>
  <c r="H504" i="1"/>
  <c r="A504" i="1"/>
  <c r="L504" i="1" s="1"/>
  <c r="J503" i="1"/>
  <c r="I503" i="1"/>
  <c r="H503" i="1"/>
  <c r="A503" i="1"/>
  <c r="L503" i="1" s="1"/>
  <c r="J502" i="1"/>
  <c r="I502" i="1"/>
  <c r="H502" i="1"/>
  <c r="A502" i="1"/>
  <c r="L502" i="1" s="1"/>
  <c r="J501" i="1"/>
  <c r="I501" i="1"/>
  <c r="H501" i="1"/>
  <c r="A501" i="1"/>
  <c r="L501" i="1" s="1"/>
  <c r="J500" i="1"/>
  <c r="I500" i="1"/>
  <c r="H500" i="1"/>
  <c r="A500" i="1"/>
  <c r="L500" i="1" s="1"/>
  <c r="J499" i="1"/>
  <c r="I499" i="1"/>
  <c r="H499" i="1"/>
  <c r="A499" i="1"/>
  <c r="L499" i="1" s="1"/>
  <c r="J498" i="1"/>
  <c r="I498" i="1"/>
  <c r="H498" i="1"/>
  <c r="A498" i="1"/>
  <c r="L498" i="1" s="1"/>
  <c r="J497" i="1"/>
  <c r="I497" i="1"/>
  <c r="H497" i="1"/>
  <c r="A497" i="1"/>
  <c r="L497" i="1" s="1"/>
  <c r="J496" i="1"/>
  <c r="I496" i="1"/>
  <c r="H496" i="1"/>
  <c r="A496" i="1"/>
  <c r="L496" i="1" s="1"/>
  <c r="J495" i="1"/>
  <c r="I495" i="1"/>
  <c r="H495" i="1"/>
  <c r="A495" i="1"/>
  <c r="L495" i="1" s="1"/>
  <c r="J494" i="1"/>
  <c r="I494" i="1"/>
  <c r="H494" i="1"/>
  <c r="A494" i="1"/>
  <c r="L494" i="1" s="1"/>
  <c r="J493" i="1"/>
  <c r="I493" i="1"/>
  <c r="H493" i="1"/>
  <c r="A493" i="1"/>
  <c r="L493" i="1" s="1"/>
  <c r="J492" i="1"/>
  <c r="I492" i="1"/>
  <c r="H492" i="1"/>
  <c r="A492" i="1"/>
  <c r="L492" i="1" s="1"/>
  <c r="J491" i="1"/>
  <c r="I491" i="1"/>
  <c r="H491" i="1"/>
  <c r="A491" i="1"/>
  <c r="L491" i="1" s="1"/>
  <c r="J490" i="1"/>
  <c r="I490" i="1"/>
  <c r="H490" i="1"/>
  <c r="A490" i="1"/>
  <c r="L490" i="1" s="1"/>
  <c r="J489" i="1"/>
  <c r="I489" i="1"/>
  <c r="H489" i="1"/>
  <c r="A489" i="1"/>
  <c r="L489" i="1" s="1"/>
  <c r="J488" i="1"/>
  <c r="I488" i="1"/>
  <c r="H488" i="1"/>
  <c r="A488" i="1"/>
  <c r="L488" i="1" s="1"/>
  <c r="J487" i="1"/>
  <c r="I487" i="1"/>
  <c r="H487" i="1"/>
  <c r="A487" i="1"/>
  <c r="L487" i="1" s="1"/>
  <c r="J486" i="1"/>
  <c r="I486" i="1"/>
  <c r="H486" i="1"/>
  <c r="A486" i="1"/>
  <c r="L486" i="1" s="1"/>
  <c r="J485" i="1"/>
  <c r="I485" i="1"/>
  <c r="H485" i="1"/>
  <c r="A485" i="1"/>
  <c r="L485" i="1" s="1"/>
  <c r="J484" i="1"/>
  <c r="I484" i="1"/>
  <c r="H484" i="1"/>
  <c r="A484" i="1"/>
  <c r="L484" i="1" s="1"/>
  <c r="J483" i="1"/>
  <c r="I483" i="1"/>
  <c r="H483" i="1"/>
  <c r="A483" i="1"/>
  <c r="L483" i="1" s="1"/>
  <c r="J482" i="1"/>
  <c r="I482" i="1"/>
  <c r="H482" i="1"/>
  <c r="A482" i="1"/>
  <c r="L482" i="1" s="1"/>
  <c r="J481" i="1"/>
  <c r="I481" i="1"/>
  <c r="H481" i="1"/>
  <c r="A481" i="1"/>
  <c r="L481" i="1" s="1"/>
  <c r="J480" i="1"/>
  <c r="I480" i="1"/>
  <c r="H480" i="1"/>
  <c r="A480" i="1"/>
  <c r="L480" i="1" s="1"/>
  <c r="J479" i="1"/>
  <c r="I479" i="1"/>
  <c r="H479" i="1"/>
  <c r="A479" i="1"/>
  <c r="L479" i="1" s="1"/>
  <c r="J478" i="1"/>
  <c r="I478" i="1"/>
  <c r="H478" i="1"/>
  <c r="A478" i="1"/>
  <c r="L478" i="1" s="1"/>
  <c r="J477" i="1"/>
  <c r="I477" i="1"/>
  <c r="H477" i="1"/>
  <c r="A477" i="1"/>
  <c r="L477" i="1" s="1"/>
  <c r="J476" i="1"/>
  <c r="I476" i="1"/>
  <c r="H476" i="1"/>
  <c r="A476" i="1"/>
  <c r="L476" i="1" s="1"/>
  <c r="J475" i="1"/>
  <c r="I475" i="1"/>
  <c r="H475" i="1"/>
  <c r="A475" i="1"/>
  <c r="L475" i="1" s="1"/>
  <c r="J474" i="1"/>
  <c r="I474" i="1"/>
  <c r="H474" i="1"/>
  <c r="A474" i="1"/>
  <c r="L474" i="1" s="1"/>
  <c r="J473" i="1"/>
  <c r="I473" i="1"/>
  <c r="H473" i="1"/>
  <c r="A473" i="1"/>
  <c r="L473" i="1" s="1"/>
  <c r="J472" i="1"/>
  <c r="I472" i="1"/>
  <c r="H472" i="1"/>
  <c r="A472" i="1"/>
  <c r="L472" i="1" s="1"/>
  <c r="J471" i="1"/>
  <c r="I471" i="1"/>
  <c r="H471" i="1"/>
  <c r="A471" i="1"/>
  <c r="L471" i="1" s="1"/>
  <c r="J470" i="1"/>
  <c r="I470" i="1"/>
  <c r="H470" i="1"/>
  <c r="A470" i="1"/>
  <c r="L470" i="1" s="1"/>
  <c r="J469" i="1"/>
  <c r="I469" i="1"/>
  <c r="H469" i="1"/>
  <c r="A469" i="1"/>
  <c r="L469" i="1" s="1"/>
  <c r="J468" i="1"/>
  <c r="I468" i="1"/>
  <c r="H468" i="1"/>
  <c r="A468" i="1"/>
  <c r="L468" i="1" s="1"/>
  <c r="J467" i="1"/>
  <c r="I467" i="1"/>
  <c r="H467" i="1"/>
  <c r="A467" i="1"/>
  <c r="L467" i="1" s="1"/>
  <c r="J466" i="1"/>
  <c r="I466" i="1"/>
  <c r="H466" i="1"/>
  <c r="A466" i="1"/>
  <c r="L466" i="1" s="1"/>
  <c r="J465" i="1"/>
  <c r="I465" i="1"/>
  <c r="H465" i="1"/>
  <c r="A465" i="1"/>
  <c r="L465" i="1" s="1"/>
  <c r="J464" i="1"/>
  <c r="I464" i="1"/>
  <c r="H464" i="1"/>
  <c r="A464" i="1"/>
  <c r="L464" i="1" s="1"/>
  <c r="J463" i="1"/>
  <c r="I463" i="1"/>
  <c r="H463" i="1"/>
  <c r="A463" i="1"/>
  <c r="L463" i="1" s="1"/>
  <c r="J462" i="1"/>
  <c r="I462" i="1"/>
  <c r="H462" i="1"/>
  <c r="A462" i="1"/>
  <c r="L462" i="1" s="1"/>
  <c r="J461" i="1"/>
  <c r="I461" i="1"/>
  <c r="H461" i="1"/>
  <c r="A461" i="1"/>
  <c r="L461" i="1" s="1"/>
  <c r="J460" i="1"/>
  <c r="I460" i="1"/>
  <c r="H460" i="1"/>
  <c r="A460" i="1"/>
  <c r="L460" i="1" s="1"/>
  <c r="J459" i="1"/>
  <c r="I459" i="1"/>
  <c r="H459" i="1"/>
  <c r="A459" i="1"/>
  <c r="L459" i="1" s="1"/>
  <c r="J458" i="1"/>
  <c r="I458" i="1"/>
  <c r="H458" i="1"/>
  <c r="A458" i="1"/>
  <c r="L458" i="1" s="1"/>
  <c r="J457" i="1"/>
  <c r="I457" i="1"/>
  <c r="H457" i="1"/>
  <c r="A457" i="1"/>
  <c r="L457" i="1" s="1"/>
  <c r="J456" i="1"/>
  <c r="I456" i="1"/>
  <c r="H456" i="1"/>
  <c r="A456" i="1"/>
  <c r="L456" i="1" s="1"/>
  <c r="J455" i="1"/>
  <c r="I455" i="1"/>
  <c r="H455" i="1"/>
  <c r="A455" i="1"/>
  <c r="L455" i="1" s="1"/>
  <c r="J454" i="1"/>
  <c r="I454" i="1"/>
  <c r="H454" i="1"/>
  <c r="A454" i="1"/>
  <c r="L454" i="1" s="1"/>
  <c r="J453" i="1"/>
  <c r="I453" i="1"/>
  <c r="H453" i="1"/>
  <c r="A453" i="1"/>
  <c r="L453" i="1" s="1"/>
  <c r="J452" i="1"/>
  <c r="I452" i="1"/>
  <c r="H452" i="1"/>
  <c r="A452" i="1"/>
  <c r="L452" i="1" s="1"/>
  <c r="J451" i="1"/>
  <c r="I451" i="1"/>
  <c r="H451" i="1"/>
  <c r="A451" i="1"/>
  <c r="L451" i="1" s="1"/>
  <c r="J450" i="1"/>
  <c r="I450" i="1"/>
  <c r="H450" i="1"/>
  <c r="A450" i="1"/>
  <c r="L450" i="1" s="1"/>
  <c r="J449" i="1"/>
  <c r="I449" i="1"/>
  <c r="H449" i="1"/>
  <c r="A449" i="1"/>
  <c r="L449" i="1" s="1"/>
  <c r="J448" i="1"/>
  <c r="I448" i="1"/>
  <c r="H448" i="1"/>
  <c r="A448" i="1"/>
  <c r="L448" i="1" s="1"/>
  <c r="J447" i="1"/>
  <c r="I447" i="1"/>
  <c r="H447" i="1"/>
  <c r="A447" i="1"/>
  <c r="L447" i="1" s="1"/>
  <c r="J446" i="1"/>
  <c r="I446" i="1"/>
  <c r="H446" i="1"/>
  <c r="A446" i="1"/>
  <c r="L446" i="1" s="1"/>
  <c r="J445" i="1"/>
  <c r="I445" i="1"/>
  <c r="H445" i="1"/>
  <c r="A445" i="1"/>
  <c r="L445" i="1" s="1"/>
  <c r="J444" i="1"/>
  <c r="I444" i="1"/>
  <c r="H444" i="1"/>
  <c r="A444" i="1"/>
  <c r="L444" i="1" s="1"/>
  <c r="J443" i="1"/>
  <c r="I443" i="1"/>
  <c r="H443" i="1"/>
  <c r="A443" i="1"/>
  <c r="L443" i="1" s="1"/>
  <c r="J442" i="1"/>
  <c r="I442" i="1"/>
  <c r="H442" i="1"/>
  <c r="A442" i="1"/>
  <c r="L442" i="1" s="1"/>
  <c r="J441" i="1"/>
  <c r="I441" i="1"/>
  <c r="H441" i="1"/>
  <c r="A441" i="1"/>
  <c r="L441" i="1" s="1"/>
  <c r="J440" i="1"/>
  <c r="I440" i="1"/>
  <c r="H440" i="1"/>
  <c r="A440" i="1"/>
  <c r="L440" i="1" s="1"/>
  <c r="J439" i="1"/>
  <c r="I439" i="1"/>
  <c r="H439" i="1"/>
  <c r="A439" i="1"/>
  <c r="L439" i="1" s="1"/>
  <c r="J438" i="1"/>
  <c r="I438" i="1"/>
  <c r="H438" i="1"/>
  <c r="A438" i="1"/>
  <c r="L438" i="1" s="1"/>
  <c r="J437" i="1"/>
  <c r="I437" i="1"/>
  <c r="H437" i="1"/>
  <c r="A437" i="1"/>
  <c r="L437" i="1" s="1"/>
  <c r="J436" i="1"/>
  <c r="I436" i="1"/>
  <c r="H436" i="1"/>
  <c r="A436" i="1"/>
  <c r="L436" i="1" s="1"/>
  <c r="J435" i="1"/>
  <c r="I435" i="1"/>
  <c r="H435" i="1"/>
  <c r="A435" i="1"/>
  <c r="L435" i="1" s="1"/>
  <c r="J434" i="1"/>
  <c r="I434" i="1"/>
  <c r="H434" i="1"/>
  <c r="A434" i="1"/>
  <c r="L434" i="1" s="1"/>
  <c r="J433" i="1"/>
  <c r="I433" i="1"/>
  <c r="H433" i="1"/>
  <c r="A433" i="1"/>
  <c r="L433" i="1" s="1"/>
  <c r="J432" i="1"/>
  <c r="I432" i="1"/>
  <c r="H432" i="1"/>
  <c r="A432" i="1"/>
  <c r="L432" i="1" s="1"/>
  <c r="J431" i="1"/>
  <c r="I431" i="1"/>
  <c r="H431" i="1"/>
  <c r="A431" i="1"/>
  <c r="L431" i="1" s="1"/>
  <c r="J430" i="1"/>
  <c r="I430" i="1"/>
  <c r="H430" i="1"/>
  <c r="A430" i="1"/>
  <c r="L430" i="1" s="1"/>
  <c r="J429" i="1"/>
  <c r="I429" i="1"/>
  <c r="H429" i="1"/>
  <c r="A429" i="1"/>
  <c r="L429" i="1" s="1"/>
  <c r="J428" i="1"/>
  <c r="I428" i="1"/>
  <c r="H428" i="1"/>
  <c r="A428" i="1"/>
  <c r="L428" i="1" s="1"/>
  <c r="J427" i="1"/>
  <c r="I427" i="1"/>
  <c r="H427" i="1"/>
  <c r="A427" i="1"/>
  <c r="L427" i="1" s="1"/>
  <c r="J426" i="1"/>
  <c r="I426" i="1"/>
  <c r="H426" i="1"/>
  <c r="A426" i="1"/>
  <c r="L426" i="1" s="1"/>
  <c r="J425" i="1"/>
  <c r="I425" i="1"/>
  <c r="H425" i="1"/>
  <c r="A425" i="1"/>
  <c r="L425" i="1" s="1"/>
  <c r="J424" i="1"/>
  <c r="I424" i="1"/>
  <c r="H424" i="1"/>
  <c r="A424" i="1"/>
  <c r="L424" i="1" s="1"/>
  <c r="J423" i="1"/>
  <c r="I423" i="1"/>
  <c r="H423" i="1"/>
  <c r="A423" i="1"/>
  <c r="L423" i="1" s="1"/>
  <c r="J422" i="1"/>
  <c r="I422" i="1"/>
  <c r="H422" i="1"/>
  <c r="A422" i="1"/>
  <c r="L422" i="1" s="1"/>
  <c r="J421" i="1"/>
  <c r="I421" i="1"/>
  <c r="H421" i="1"/>
  <c r="A421" i="1"/>
  <c r="L421" i="1" s="1"/>
  <c r="J420" i="1"/>
  <c r="I420" i="1"/>
  <c r="H420" i="1"/>
  <c r="A420" i="1"/>
  <c r="L420" i="1" s="1"/>
  <c r="J419" i="1"/>
  <c r="I419" i="1"/>
  <c r="H419" i="1"/>
  <c r="A419" i="1"/>
  <c r="L419" i="1" s="1"/>
  <c r="J418" i="1"/>
  <c r="I418" i="1"/>
  <c r="H418" i="1"/>
  <c r="A418" i="1"/>
  <c r="L418" i="1" s="1"/>
  <c r="J417" i="1"/>
  <c r="I417" i="1"/>
  <c r="H417" i="1"/>
  <c r="A417" i="1"/>
  <c r="L417" i="1" s="1"/>
  <c r="J416" i="1"/>
  <c r="I416" i="1"/>
  <c r="H416" i="1"/>
  <c r="A416" i="1"/>
  <c r="L416" i="1" s="1"/>
  <c r="J415" i="1"/>
  <c r="I415" i="1"/>
  <c r="H415" i="1"/>
  <c r="A415" i="1"/>
  <c r="L415" i="1" s="1"/>
  <c r="J414" i="1"/>
  <c r="I414" i="1"/>
  <c r="H414" i="1"/>
  <c r="A414" i="1"/>
  <c r="L414" i="1" s="1"/>
  <c r="J413" i="1"/>
  <c r="I413" i="1"/>
  <c r="H413" i="1"/>
  <c r="A413" i="1"/>
  <c r="L413" i="1" s="1"/>
  <c r="J412" i="1"/>
  <c r="I412" i="1"/>
  <c r="H412" i="1"/>
  <c r="A412" i="1"/>
  <c r="L412" i="1" s="1"/>
  <c r="J411" i="1"/>
  <c r="I411" i="1"/>
  <c r="H411" i="1"/>
  <c r="A411" i="1"/>
  <c r="L411" i="1" s="1"/>
  <c r="J410" i="1"/>
  <c r="I410" i="1"/>
  <c r="H410" i="1"/>
  <c r="A410" i="1"/>
  <c r="L410" i="1" s="1"/>
  <c r="J409" i="1"/>
  <c r="I409" i="1"/>
  <c r="H409" i="1"/>
  <c r="A409" i="1"/>
  <c r="L409" i="1" s="1"/>
  <c r="J408" i="1"/>
  <c r="I408" i="1"/>
  <c r="H408" i="1"/>
  <c r="A408" i="1"/>
  <c r="L408" i="1" s="1"/>
  <c r="J407" i="1"/>
  <c r="I407" i="1"/>
  <c r="H407" i="1"/>
  <c r="A407" i="1"/>
  <c r="L407" i="1" s="1"/>
  <c r="J406" i="1"/>
  <c r="I406" i="1"/>
  <c r="H406" i="1"/>
  <c r="A406" i="1"/>
  <c r="L406" i="1" s="1"/>
  <c r="J405" i="1"/>
  <c r="I405" i="1"/>
  <c r="H405" i="1"/>
  <c r="A405" i="1"/>
  <c r="L405" i="1" s="1"/>
  <c r="J404" i="1"/>
  <c r="I404" i="1"/>
  <c r="H404" i="1"/>
  <c r="A404" i="1"/>
  <c r="L404" i="1" s="1"/>
  <c r="J403" i="1"/>
  <c r="I403" i="1"/>
  <c r="H403" i="1"/>
  <c r="A403" i="1"/>
  <c r="L403" i="1" s="1"/>
  <c r="J402" i="1"/>
  <c r="I402" i="1"/>
  <c r="H402" i="1"/>
  <c r="A402" i="1"/>
  <c r="L402" i="1" s="1"/>
  <c r="J401" i="1"/>
  <c r="I401" i="1"/>
  <c r="H401" i="1"/>
  <c r="A401" i="1"/>
  <c r="L401" i="1" s="1"/>
  <c r="J400" i="1"/>
  <c r="I400" i="1"/>
  <c r="H400" i="1"/>
  <c r="A400" i="1"/>
  <c r="L400" i="1" s="1"/>
  <c r="J399" i="1"/>
  <c r="I399" i="1"/>
  <c r="H399" i="1"/>
  <c r="A399" i="1"/>
  <c r="L399" i="1" s="1"/>
  <c r="J398" i="1"/>
  <c r="I398" i="1"/>
  <c r="H398" i="1"/>
  <c r="A398" i="1"/>
  <c r="L398" i="1" s="1"/>
  <c r="J397" i="1"/>
  <c r="I397" i="1"/>
  <c r="H397" i="1"/>
  <c r="A397" i="1"/>
  <c r="L397" i="1" s="1"/>
  <c r="J396" i="1"/>
  <c r="I396" i="1"/>
  <c r="H396" i="1"/>
  <c r="A396" i="1"/>
  <c r="L396" i="1" s="1"/>
  <c r="J395" i="1"/>
  <c r="I395" i="1"/>
  <c r="H395" i="1"/>
  <c r="A395" i="1"/>
  <c r="L395" i="1" s="1"/>
  <c r="J394" i="1"/>
  <c r="I394" i="1"/>
  <c r="H394" i="1"/>
  <c r="A394" i="1"/>
  <c r="L394" i="1" s="1"/>
  <c r="J393" i="1"/>
  <c r="I393" i="1"/>
  <c r="H393" i="1"/>
  <c r="A393" i="1"/>
  <c r="L393" i="1" s="1"/>
  <c r="J392" i="1"/>
  <c r="I392" i="1"/>
  <c r="H392" i="1"/>
  <c r="A392" i="1"/>
  <c r="L392" i="1" s="1"/>
  <c r="J391" i="1"/>
  <c r="I391" i="1"/>
  <c r="H391" i="1"/>
  <c r="A391" i="1"/>
  <c r="L391" i="1" s="1"/>
  <c r="J390" i="1"/>
  <c r="I390" i="1"/>
  <c r="H390" i="1"/>
  <c r="A390" i="1"/>
  <c r="L390" i="1" s="1"/>
  <c r="J389" i="1"/>
  <c r="I389" i="1"/>
  <c r="H389" i="1"/>
  <c r="A389" i="1"/>
  <c r="L389" i="1" s="1"/>
  <c r="J388" i="1"/>
  <c r="I388" i="1"/>
  <c r="H388" i="1"/>
  <c r="A388" i="1"/>
  <c r="L388" i="1" s="1"/>
  <c r="J387" i="1"/>
  <c r="I387" i="1"/>
  <c r="H387" i="1"/>
  <c r="A387" i="1"/>
  <c r="L387" i="1" s="1"/>
  <c r="J386" i="1"/>
  <c r="I386" i="1"/>
  <c r="H386" i="1"/>
  <c r="A386" i="1"/>
  <c r="L386" i="1" s="1"/>
  <c r="J385" i="1"/>
  <c r="I385" i="1"/>
  <c r="H385" i="1"/>
  <c r="A385" i="1"/>
  <c r="L385" i="1" s="1"/>
  <c r="J384" i="1"/>
  <c r="I384" i="1"/>
  <c r="H384" i="1"/>
  <c r="A384" i="1"/>
  <c r="L384" i="1" s="1"/>
  <c r="J383" i="1"/>
  <c r="I383" i="1"/>
  <c r="H383" i="1"/>
  <c r="A383" i="1"/>
  <c r="L383" i="1" s="1"/>
  <c r="J382" i="1"/>
  <c r="I382" i="1"/>
  <c r="H382" i="1"/>
  <c r="A382" i="1"/>
  <c r="L382" i="1" s="1"/>
  <c r="J381" i="1"/>
  <c r="I381" i="1"/>
  <c r="H381" i="1"/>
  <c r="A381" i="1"/>
  <c r="L381" i="1" s="1"/>
  <c r="J380" i="1"/>
  <c r="I380" i="1"/>
  <c r="H380" i="1"/>
  <c r="A380" i="1"/>
  <c r="L380" i="1" s="1"/>
  <c r="J379" i="1"/>
  <c r="I379" i="1"/>
  <c r="H379" i="1"/>
  <c r="A379" i="1"/>
  <c r="L379" i="1" s="1"/>
  <c r="J378" i="1"/>
  <c r="I378" i="1"/>
  <c r="H378" i="1"/>
  <c r="A378" i="1"/>
  <c r="L378" i="1" s="1"/>
  <c r="J377" i="1"/>
  <c r="I377" i="1"/>
  <c r="H377" i="1"/>
  <c r="A377" i="1"/>
  <c r="L377" i="1" s="1"/>
  <c r="J376" i="1"/>
  <c r="I376" i="1"/>
  <c r="H376" i="1"/>
  <c r="A376" i="1"/>
  <c r="L376" i="1" s="1"/>
  <c r="J375" i="1"/>
  <c r="I375" i="1"/>
  <c r="H375" i="1"/>
  <c r="A375" i="1"/>
  <c r="L375" i="1" s="1"/>
  <c r="J374" i="1"/>
  <c r="I374" i="1"/>
  <c r="H374" i="1"/>
  <c r="A374" i="1"/>
  <c r="L374" i="1" s="1"/>
  <c r="J373" i="1"/>
  <c r="I373" i="1"/>
  <c r="H373" i="1"/>
  <c r="A373" i="1"/>
  <c r="L373" i="1" s="1"/>
  <c r="J372" i="1"/>
  <c r="I372" i="1"/>
  <c r="H372" i="1"/>
  <c r="A372" i="1"/>
  <c r="L372" i="1" s="1"/>
  <c r="J371" i="1"/>
  <c r="I371" i="1"/>
  <c r="H371" i="1"/>
  <c r="A371" i="1"/>
  <c r="L371" i="1" s="1"/>
  <c r="J370" i="1"/>
  <c r="I370" i="1"/>
  <c r="H370" i="1"/>
  <c r="A370" i="1"/>
  <c r="L370" i="1" s="1"/>
  <c r="J369" i="1"/>
  <c r="I369" i="1"/>
  <c r="H369" i="1"/>
  <c r="A369" i="1"/>
  <c r="L369" i="1" s="1"/>
  <c r="J368" i="1"/>
  <c r="I368" i="1"/>
  <c r="H368" i="1"/>
  <c r="A368" i="1"/>
  <c r="L368" i="1" s="1"/>
  <c r="J367" i="1"/>
  <c r="I367" i="1"/>
  <c r="H367" i="1"/>
  <c r="A367" i="1"/>
  <c r="L367" i="1" s="1"/>
  <c r="J366" i="1"/>
  <c r="I366" i="1"/>
  <c r="H366" i="1"/>
  <c r="A366" i="1"/>
  <c r="L366" i="1" s="1"/>
  <c r="J365" i="1"/>
  <c r="I365" i="1"/>
  <c r="H365" i="1"/>
  <c r="A365" i="1"/>
  <c r="L365" i="1" s="1"/>
  <c r="J364" i="1"/>
  <c r="I364" i="1"/>
  <c r="H364" i="1"/>
  <c r="A364" i="1"/>
  <c r="L364" i="1" s="1"/>
  <c r="J363" i="1"/>
  <c r="I363" i="1"/>
  <c r="H363" i="1"/>
  <c r="A363" i="1"/>
  <c r="L363" i="1" s="1"/>
  <c r="J362" i="1"/>
  <c r="I362" i="1"/>
  <c r="H362" i="1"/>
  <c r="A362" i="1"/>
  <c r="L362" i="1" s="1"/>
  <c r="J361" i="1"/>
  <c r="I361" i="1"/>
  <c r="H361" i="1"/>
  <c r="A361" i="1"/>
  <c r="L361" i="1" s="1"/>
  <c r="J360" i="1"/>
  <c r="I360" i="1"/>
  <c r="H360" i="1"/>
  <c r="A360" i="1"/>
  <c r="L360" i="1" s="1"/>
  <c r="J359" i="1"/>
  <c r="I359" i="1"/>
  <c r="H359" i="1"/>
  <c r="A359" i="1"/>
  <c r="L359" i="1" s="1"/>
  <c r="J358" i="1"/>
  <c r="I358" i="1"/>
  <c r="H358" i="1"/>
  <c r="A358" i="1"/>
  <c r="L358" i="1" s="1"/>
  <c r="J357" i="1"/>
  <c r="I357" i="1"/>
  <c r="H357" i="1"/>
  <c r="A357" i="1"/>
  <c r="L357" i="1" s="1"/>
  <c r="J356" i="1"/>
  <c r="I356" i="1"/>
  <c r="H356" i="1"/>
  <c r="A356" i="1"/>
  <c r="L356" i="1" s="1"/>
  <c r="J355" i="1"/>
  <c r="I355" i="1"/>
  <c r="H355" i="1"/>
  <c r="A355" i="1"/>
  <c r="L355" i="1" s="1"/>
  <c r="J354" i="1"/>
  <c r="I354" i="1"/>
  <c r="H354" i="1"/>
  <c r="A354" i="1"/>
  <c r="L354" i="1" s="1"/>
  <c r="J353" i="1"/>
  <c r="I353" i="1"/>
  <c r="H353" i="1"/>
  <c r="A353" i="1"/>
  <c r="L353" i="1" s="1"/>
  <c r="J352" i="1"/>
  <c r="I352" i="1"/>
  <c r="H352" i="1"/>
  <c r="A352" i="1"/>
  <c r="L352" i="1" s="1"/>
  <c r="J351" i="1"/>
  <c r="I351" i="1"/>
  <c r="H351" i="1"/>
  <c r="A351" i="1"/>
  <c r="L351" i="1" s="1"/>
  <c r="J350" i="1"/>
  <c r="I350" i="1"/>
  <c r="H350" i="1"/>
  <c r="A350" i="1"/>
  <c r="L350" i="1" s="1"/>
  <c r="J349" i="1"/>
  <c r="I349" i="1"/>
  <c r="H349" i="1"/>
  <c r="A349" i="1"/>
  <c r="L349" i="1" s="1"/>
  <c r="J348" i="1"/>
  <c r="I348" i="1"/>
  <c r="H348" i="1"/>
  <c r="A348" i="1"/>
  <c r="L348" i="1" s="1"/>
  <c r="J347" i="1"/>
  <c r="I347" i="1"/>
  <c r="H347" i="1"/>
  <c r="A347" i="1"/>
  <c r="L347" i="1" s="1"/>
  <c r="J346" i="1"/>
  <c r="I346" i="1"/>
  <c r="H346" i="1"/>
  <c r="A346" i="1"/>
  <c r="L346" i="1" s="1"/>
  <c r="J345" i="1"/>
  <c r="I345" i="1"/>
  <c r="H345" i="1"/>
  <c r="A345" i="1"/>
  <c r="L345" i="1" s="1"/>
  <c r="J344" i="1"/>
  <c r="I344" i="1"/>
  <c r="H344" i="1"/>
  <c r="A344" i="1"/>
  <c r="L344" i="1" s="1"/>
  <c r="J343" i="1"/>
  <c r="I343" i="1"/>
  <c r="H343" i="1"/>
  <c r="A343" i="1"/>
  <c r="L343" i="1" s="1"/>
  <c r="J342" i="1"/>
  <c r="I342" i="1"/>
  <c r="H342" i="1"/>
  <c r="A342" i="1"/>
  <c r="L342" i="1" s="1"/>
  <c r="J341" i="1"/>
  <c r="I341" i="1"/>
  <c r="H341" i="1"/>
  <c r="A341" i="1"/>
  <c r="L341" i="1" s="1"/>
  <c r="J340" i="1"/>
  <c r="I340" i="1"/>
  <c r="H340" i="1"/>
  <c r="A340" i="1"/>
  <c r="L340" i="1" s="1"/>
  <c r="J339" i="1"/>
  <c r="I339" i="1"/>
  <c r="H339" i="1"/>
  <c r="A339" i="1"/>
  <c r="L339" i="1" s="1"/>
  <c r="J338" i="1"/>
  <c r="I338" i="1"/>
  <c r="H338" i="1"/>
  <c r="A338" i="1"/>
  <c r="L338" i="1" s="1"/>
  <c r="J337" i="1"/>
  <c r="I337" i="1"/>
  <c r="H337" i="1"/>
  <c r="A337" i="1"/>
  <c r="L337" i="1" s="1"/>
  <c r="J336" i="1"/>
  <c r="I336" i="1"/>
  <c r="H336" i="1"/>
  <c r="A336" i="1"/>
  <c r="L336" i="1" s="1"/>
  <c r="J335" i="1"/>
  <c r="I335" i="1"/>
  <c r="H335" i="1"/>
  <c r="A335" i="1"/>
  <c r="L335" i="1" s="1"/>
  <c r="J334" i="1"/>
  <c r="I334" i="1"/>
  <c r="H334" i="1"/>
  <c r="A334" i="1"/>
  <c r="L334" i="1" s="1"/>
  <c r="J333" i="1"/>
  <c r="I333" i="1"/>
  <c r="H333" i="1"/>
  <c r="A333" i="1"/>
  <c r="L333" i="1" s="1"/>
  <c r="J332" i="1"/>
  <c r="I332" i="1"/>
  <c r="H332" i="1"/>
  <c r="A332" i="1"/>
  <c r="L332" i="1" s="1"/>
  <c r="J331" i="1"/>
  <c r="I331" i="1"/>
  <c r="H331" i="1"/>
  <c r="A331" i="1"/>
  <c r="L331" i="1" s="1"/>
  <c r="J330" i="1"/>
  <c r="I330" i="1"/>
  <c r="H330" i="1"/>
  <c r="A330" i="1"/>
  <c r="L330" i="1" s="1"/>
  <c r="J329" i="1"/>
  <c r="I329" i="1"/>
  <c r="H329" i="1"/>
  <c r="A329" i="1"/>
  <c r="L329" i="1" s="1"/>
  <c r="J328" i="1"/>
  <c r="I328" i="1"/>
  <c r="H328" i="1"/>
  <c r="A328" i="1"/>
  <c r="L328" i="1" s="1"/>
  <c r="J327" i="1"/>
  <c r="I327" i="1"/>
  <c r="H327" i="1"/>
  <c r="A327" i="1"/>
  <c r="L327" i="1" s="1"/>
  <c r="J326" i="1"/>
  <c r="I326" i="1"/>
  <c r="H326" i="1"/>
  <c r="A326" i="1"/>
  <c r="L326" i="1" s="1"/>
  <c r="J325" i="1"/>
  <c r="I325" i="1"/>
  <c r="H325" i="1"/>
  <c r="A325" i="1"/>
  <c r="L325" i="1" s="1"/>
  <c r="J324" i="1"/>
  <c r="I324" i="1"/>
  <c r="H324" i="1"/>
  <c r="A324" i="1"/>
  <c r="L324" i="1" s="1"/>
  <c r="J323" i="1"/>
  <c r="I323" i="1"/>
  <c r="H323" i="1"/>
  <c r="A323" i="1"/>
  <c r="L323" i="1" s="1"/>
  <c r="J322" i="1"/>
  <c r="I322" i="1"/>
  <c r="H322" i="1"/>
  <c r="A322" i="1"/>
  <c r="L322" i="1" s="1"/>
  <c r="J321" i="1"/>
  <c r="I321" i="1"/>
  <c r="H321" i="1"/>
  <c r="A321" i="1"/>
  <c r="L321" i="1" s="1"/>
  <c r="J320" i="1"/>
  <c r="I320" i="1"/>
  <c r="H320" i="1"/>
  <c r="A320" i="1"/>
  <c r="L320" i="1" s="1"/>
  <c r="J319" i="1"/>
  <c r="I319" i="1"/>
  <c r="H319" i="1"/>
  <c r="A319" i="1"/>
  <c r="L319" i="1" s="1"/>
  <c r="J318" i="1"/>
  <c r="I318" i="1"/>
  <c r="H318" i="1"/>
  <c r="A318" i="1"/>
  <c r="L318" i="1" s="1"/>
  <c r="J317" i="1"/>
  <c r="I317" i="1"/>
  <c r="H317" i="1"/>
  <c r="A317" i="1"/>
  <c r="L317" i="1" s="1"/>
  <c r="J316" i="1"/>
  <c r="I316" i="1"/>
  <c r="H316" i="1"/>
  <c r="A316" i="1"/>
  <c r="L316" i="1" s="1"/>
  <c r="J315" i="1"/>
  <c r="I315" i="1"/>
  <c r="H315" i="1"/>
  <c r="A315" i="1"/>
  <c r="L315" i="1" s="1"/>
  <c r="J314" i="1"/>
  <c r="I314" i="1"/>
  <c r="H314" i="1"/>
  <c r="A314" i="1"/>
  <c r="L314" i="1" s="1"/>
  <c r="J313" i="1"/>
  <c r="I313" i="1"/>
  <c r="H313" i="1"/>
  <c r="A313" i="1"/>
  <c r="L313" i="1" s="1"/>
  <c r="J312" i="1"/>
  <c r="I312" i="1"/>
  <c r="H312" i="1"/>
  <c r="A312" i="1"/>
  <c r="L312" i="1" s="1"/>
  <c r="J311" i="1"/>
  <c r="I311" i="1"/>
  <c r="H311" i="1"/>
  <c r="A311" i="1"/>
  <c r="L311" i="1" s="1"/>
  <c r="J310" i="1"/>
  <c r="I310" i="1"/>
  <c r="H310" i="1"/>
  <c r="A310" i="1"/>
  <c r="L310" i="1" s="1"/>
  <c r="J309" i="1"/>
  <c r="I309" i="1"/>
  <c r="H309" i="1"/>
  <c r="A309" i="1"/>
  <c r="L309" i="1" s="1"/>
  <c r="J308" i="1"/>
  <c r="I308" i="1"/>
  <c r="H308" i="1"/>
  <c r="A308" i="1"/>
  <c r="L308" i="1" s="1"/>
  <c r="J307" i="1"/>
  <c r="I307" i="1"/>
  <c r="H307" i="1"/>
  <c r="A307" i="1"/>
  <c r="L307" i="1" s="1"/>
  <c r="J306" i="1"/>
  <c r="I306" i="1"/>
  <c r="H306" i="1"/>
  <c r="A306" i="1"/>
  <c r="L306" i="1" s="1"/>
  <c r="J305" i="1"/>
  <c r="I305" i="1"/>
  <c r="H305" i="1"/>
  <c r="A305" i="1"/>
  <c r="L305" i="1" s="1"/>
  <c r="J304" i="1"/>
  <c r="I304" i="1"/>
  <c r="H304" i="1"/>
  <c r="A304" i="1"/>
  <c r="L304" i="1" s="1"/>
  <c r="J303" i="1"/>
  <c r="I303" i="1"/>
  <c r="H303" i="1"/>
  <c r="A303" i="1"/>
  <c r="L303" i="1" s="1"/>
  <c r="J302" i="1"/>
  <c r="I302" i="1"/>
  <c r="H302" i="1"/>
  <c r="A302" i="1"/>
  <c r="L302" i="1" s="1"/>
  <c r="J301" i="1"/>
  <c r="I301" i="1"/>
  <c r="H301" i="1"/>
  <c r="A301" i="1"/>
  <c r="L301" i="1" s="1"/>
  <c r="J300" i="1"/>
  <c r="I300" i="1"/>
  <c r="H300" i="1"/>
  <c r="A300" i="1"/>
  <c r="L300" i="1" s="1"/>
  <c r="J299" i="1"/>
  <c r="I299" i="1"/>
  <c r="H299" i="1"/>
  <c r="A299" i="1"/>
  <c r="L299" i="1" s="1"/>
  <c r="J298" i="1"/>
  <c r="I298" i="1"/>
  <c r="H298" i="1"/>
  <c r="A298" i="1"/>
  <c r="L298" i="1" s="1"/>
  <c r="J297" i="1"/>
  <c r="I297" i="1"/>
  <c r="H297" i="1"/>
  <c r="A297" i="1"/>
  <c r="L297" i="1" s="1"/>
  <c r="J296" i="1"/>
  <c r="I296" i="1"/>
  <c r="H296" i="1"/>
  <c r="A296" i="1"/>
  <c r="L296" i="1" s="1"/>
  <c r="J295" i="1"/>
  <c r="I295" i="1"/>
  <c r="H295" i="1"/>
  <c r="A295" i="1"/>
  <c r="L295" i="1" s="1"/>
  <c r="J294" i="1"/>
  <c r="I294" i="1"/>
  <c r="H294" i="1"/>
  <c r="A294" i="1"/>
  <c r="L294" i="1" s="1"/>
  <c r="J293" i="1"/>
  <c r="I293" i="1"/>
  <c r="H293" i="1"/>
  <c r="A293" i="1"/>
  <c r="L293" i="1" s="1"/>
  <c r="J292" i="1"/>
  <c r="I292" i="1"/>
  <c r="H292" i="1"/>
  <c r="A292" i="1"/>
  <c r="L292" i="1" s="1"/>
  <c r="J291" i="1"/>
  <c r="I291" i="1"/>
  <c r="H291" i="1"/>
  <c r="A291" i="1"/>
  <c r="L291" i="1" s="1"/>
  <c r="J290" i="1"/>
  <c r="I290" i="1"/>
  <c r="H290" i="1"/>
  <c r="A290" i="1"/>
  <c r="L290" i="1" s="1"/>
  <c r="J289" i="1"/>
  <c r="I289" i="1"/>
  <c r="H289" i="1"/>
  <c r="A289" i="1"/>
  <c r="L289" i="1" s="1"/>
  <c r="J288" i="1"/>
  <c r="I288" i="1"/>
  <c r="H288" i="1"/>
  <c r="A288" i="1"/>
  <c r="L288" i="1" s="1"/>
  <c r="J287" i="1"/>
  <c r="I287" i="1"/>
  <c r="H287" i="1"/>
  <c r="A287" i="1"/>
  <c r="L287" i="1" s="1"/>
  <c r="J286" i="1"/>
  <c r="I286" i="1"/>
  <c r="H286" i="1"/>
  <c r="A286" i="1"/>
  <c r="L286" i="1" s="1"/>
  <c r="J285" i="1"/>
  <c r="I285" i="1"/>
  <c r="H285" i="1"/>
  <c r="A285" i="1"/>
  <c r="L285" i="1" s="1"/>
  <c r="J284" i="1"/>
  <c r="I284" i="1"/>
  <c r="H284" i="1"/>
  <c r="A284" i="1"/>
  <c r="L284" i="1" s="1"/>
  <c r="J283" i="1"/>
  <c r="I283" i="1"/>
  <c r="H283" i="1"/>
  <c r="A283" i="1"/>
  <c r="L283" i="1" s="1"/>
  <c r="J282" i="1"/>
  <c r="I282" i="1"/>
  <c r="H282" i="1"/>
  <c r="A282" i="1"/>
  <c r="L282" i="1" s="1"/>
  <c r="J281" i="1"/>
  <c r="I281" i="1"/>
  <c r="H281" i="1"/>
  <c r="A281" i="1"/>
  <c r="L281" i="1" s="1"/>
  <c r="J280" i="1"/>
  <c r="I280" i="1"/>
  <c r="H280" i="1"/>
  <c r="A280" i="1"/>
  <c r="L280" i="1" s="1"/>
  <c r="J279" i="1"/>
  <c r="I279" i="1"/>
  <c r="H279" i="1"/>
  <c r="A279" i="1"/>
  <c r="L279" i="1" s="1"/>
  <c r="J278" i="1"/>
  <c r="I278" i="1"/>
  <c r="H278" i="1"/>
  <c r="A278" i="1"/>
  <c r="L278" i="1" s="1"/>
  <c r="J277" i="1"/>
  <c r="I277" i="1"/>
  <c r="H277" i="1"/>
  <c r="A277" i="1"/>
  <c r="L277" i="1" s="1"/>
  <c r="J276" i="1"/>
  <c r="I276" i="1"/>
  <c r="H276" i="1"/>
  <c r="A276" i="1"/>
  <c r="L276" i="1" s="1"/>
  <c r="J275" i="1"/>
  <c r="I275" i="1"/>
  <c r="H275" i="1"/>
  <c r="A275" i="1"/>
  <c r="L275" i="1" s="1"/>
  <c r="J274" i="1"/>
  <c r="I274" i="1"/>
  <c r="H274" i="1"/>
  <c r="A274" i="1"/>
  <c r="L274" i="1" s="1"/>
  <c r="J273" i="1"/>
  <c r="I273" i="1"/>
  <c r="H273" i="1"/>
  <c r="A273" i="1"/>
  <c r="L273" i="1" s="1"/>
  <c r="J272" i="1"/>
  <c r="I272" i="1"/>
  <c r="H272" i="1"/>
  <c r="A272" i="1"/>
  <c r="L272" i="1" s="1"/>
  <c r="J271" i="1"/>
  <c r="I271" i="1"/>
  <c r="H271" i="1"/>
  <c r="A271" i="1"/>
  <c r="L271" i="1" s="1"/>
  <c r="J270" i="1"/>
  <c r="I270" i="1"/>
  <c r="H270" i="1"/>
  <c r="A270" i="1"/>
  <c r="L270" i="1" s="1"/>
  <c r="J269" i="1"/>
  <c r="I269" i="1"/>
  <c r="H269" i="1"/>
  <c r="A269" i="1"/>
  <c r="L269" i="1" s="1"/>
  <c r="J268" i="1"/>
  <c r="I268" i="1"/>
  <c r="H268" i="1"/>
  <c r="A268" i="1"/>
  <c r="L268" i="1" s="1"/>
  <c r="J267" i="1"/>
  <c r="I267" i="1"/>
  <c r="H267" i="1"/>
  <c r="A267" i="1"/>
  <c r="L267" i="1" s="1"/>
  <c r="J266" i="1"/>
  <c r="I266" i="1"/>
  <c r="H266" i="1"/>
  <c r="A266" i="1"/>
  <c r="L266" i="1" s="1"/>
  <c r="J265" i="1"/>
  <c r="I265" i="1"/>
  <c r="H265" i="1"/>
  <c r="A265" i="1"/>
  <c r="L265" i="1" s="1"/>
  <c r="J264" i="1"/>
  <c r="I264" i="1"/>
  <c r="H264" i="1"/>
  <c r="A264" i="1"/>
  <c r="L264" i="1" s="1"/>
  <c r="J263" i="1"/>
  <c r="I263" i="1"/>
  <c r="H263" i="1"/>
  <c r="A263" i="1"/>
  <c r="L263" i="1" s="1"/>
  <c r="J262" i="1"/>
  <c r="I262" i="1"/>
  <c r="H262" i="1"/>
  <c r="A262" i="1"/>
  <c r="L262" i="1" s="1"/>
  <c r="J261" i="1"/>
  <c r="I261" i="1"/>
  <c r="H261" i="1"/>
  <c r="A261" i="1"/>
  <c r="L261" i="1" s="1"/>
  <c r="J260" i="1"/>
  <c r="I260" i="1"/>
  <c r="H260" i="1"/>
  <c r="A260" i="1"/>
  <c r="L260" i="1" s="1"/>
  <c r="J259" i="1"/>
  <c r="I259" i="1"/>
  <c r="H259" i="1"/>
  <c r="A259" i="1"/>
  <c r="L259" i="1" s="1"/>
  <c r="J258" i="1"/>
  <c r="I258" i="1"/>
  <c r="H258" i="1"/>
  <c r="A258" i="1"/>
  <c r="L258" i="1" s="1"/>
  <c r="J257" i="1"/>
  <c r="I257" i="1"/>
  <c r="H257" i="1"/>
  <c r="A257" i="1"/>
  <c r="L257" i="1" s="1"/>
  <c r="J256" i="1"/>
  <c r="I256" i="1"/>
  <c r="H256" i="1"/>
  <c r="A256" i="1"/>
  <c r="L256" i="1" s="1"/>
  <c r="J255" i="1"/>
  <c r="I255" i="1"/>
  <c r="H255" i="1"/>
  <c r="A255" i="1"/>
  <c r="L255" i="1" s="1"/>
  <c r="J254" i="1"/>
  <c r="I254" i="1"/>
  <c r="H254" i="1"/>
  <c r="A254" i="1"/>
  <c r="L254" i="1" s="1"/>
  <c r="J253" i="1"/>
  <c r="I253" i="1"/>
  <c r="H253" i="1"/>
  <c r="A253" i="1"/>
  <c r="L253" i="1" s="1"/>
  <c r="J252" i="1"/>
  <c r="I252" i="1"/>
  <c r="H252" i="1"/>
  <c r="A252" i="1"/>
  <c r="L252" i="1" s="1"/>
  <c r="J251" i="1"/>
  <c r="I251" i="1"/>
  <c r="H251" i="1"/>
  <c r="A251" i="1"/>
  <c r="L251" i="1" s="1"/>
  <c r="J250" i="1"/>
  <c r="I250" i="1"/>
  <c r="H250" i="1"/>
  <c r="A250" i="1"/>
  <c r="L250" i="1" s="1"/>
  <c r="J249" i="1"/>
  <c r="I249" i="1"/>
  <c r="H249" i="1"/>
  <c r="A249" i="1"/>
  <c r="L249" i="1" s="1"/>
  <c r="J248" i="1"/>
  <c r="I248" i="1"/>
  <c r="H248" i="1"/>
  <c r="A248" i="1"/>
  <c r="L248" i="1" s="1"/>
  <c r="J247" i="1"/>
  <c r="I247" i="1"/>
  <c r="H247" i="1"/>
  <c r="A247" i="1"/>
  <c r="L247" i="1" s="1"/>
  <c r="J246" i="1"/>
  <c r="I246" i="1"/>
  <c r="H246" i="1"/>
  <c r="A246" i="1"/>
  <c r="L246" i="1" s="1"/>
  <c r="J245" i="1"/>
  <c r="I245" i="1"/>
  <c r="H245" i="1"/>
  <c r="A245" i="1"/>
  <c r="L245" i="1" s="1"/>
  <c r="J244" i="1"/>
  <c r="I244" i="1"/>
  <c r="H244" i="1"/>
  <c r="A244" i="1"/>
  <c r="L244" i="1" s="1"/>
  <c r="J243" i="1"/>
  <c r="I243" i="1"/>
  <c r="H243" i="1"/>
  <c r="A243" i="1"/>
  <c r="L243" i="1" s="1"/>
  <c r="J242" i="1"/>
  <c r="I242" i="1"/>
  <c r="H242" i="1"/>
  <c r="A242" i="1"/>
  <c r="L242" i="1" s="1"/>
  <c r="J241" i="1"/>
  <c r="I241" i="1"/>
  <c r="H241" i="1"/>
  <c r="A241" i="1"/>
  <c r="L241" i="1" s="1"/>
  <c r="J240" i="1"/>
  <c r="I240" i="1"/>
  <c r="H240" i="1"/>
  <c r="A240" i="1"/>
  <c r="L240" i="1" s="1"/>
  <c r="J239" i="1"/>
  <c r="I239" i="1"/>
  <c r="H239" i="1"/>
  <c r="A239" i="1"/>
  <c r="L239" i="1" s="1"/>
  <c r="J238" i="1"/>
  <c r="I238" i="1"/>
  <c r="H238" i="1"/>
  <c r="A238" i="1"/>
  <c r="L238" i="1" s="1"/>
  <c r="J237" i="1"/>
  <c r="I237" i="1"/>
  <c r="H237" i="1"/>
  <c r="A237" i="1"/>
  <c r="L237" i="1" s="1"/>
  <c r="J236" i="1"/>
  <c r="I236" i="1"/>
  <c r="H236" i="1"/>
  <c r="A236" i="1"/>
  <c r="L236" i="1" s="1"/>
  <c r="J235" i="1"/>
  <c r="I235" i="1"/>
  <c r="H235" i="1"/>
  <c r="A235" i="1"/>
  <c r="L235" i="1" s="1"/>
  <c r="J234" i="1"/>
  <c r="I234" i="1"/>
  <c r="H234" i="1"/>
  <c r="A234" i="1"/>
  <c r="L234" i="1" s="1"/>
  <c r="J233" i="1"/>
  <c r="I233" i="1"/>
  <c r="H233" i="1"/>
  <c r="A233" i="1"/>
  <c r="L233" i="1" s="1"/>
  <c r="J232" i="1"/>
  <c r="I232" i="1"/>
  <c r="H232" i="1"/>
  <c r="A232" i="1"/>
  <c r="L232" i="1" s="1"/>
  <c r="J231" i="1"/>
  <c r="I231" i="1"/>
  <c r="H231" i="1"/>
  <c r="A231" i="1"/>
  <c r="L231" i="1" s="1"/>
  <c r="J230" i="1"/>
  <c r="I230" i="1"/>
  <c r="H230" i="1"/>
  <c r="A230" i="1"/>
  <c r="L230" i="1" s="1"/>
  <c r="J229" i="1"/>
  <c r="I229" i="1"/>
  <c r="H229" i="1"/>
  <c r="A229" i="1"/>
  <c r="L229" i="1" s="1"/>
  <c r="J228" i="1"/>
  <c r="I228" i="1"/>
  <c r="H228" i="1"/>
  <c r="A228" i="1"/>
  <c r="L228" i="1" s="1"/>
  <c r="J227" i="1"/>
  <c r="I227" i="1"/>
  <c r="H227" i="1"/>
  <c r="A227" i="1"/>
  <c r="L227" i="1" s="1"/>
  <c r="J226" i="1"/>
  <c r="I226" i="1"/>
  <c r="H226" i="1"/>
  <c r="A226" i="1"/>
  <c r="L226" i="1" s="1"/>
  <c r="J225" i="1"/>
  <c r="I225" i="1"/>
  <c r="H225" i="1"/>
  <c r="A225" i="1"/>
  <c r="L225" i="1" s="1"/>
  <c r="J224" i="1"/>
  <c r="I224" i="1"/>
  <c r="H224" i="1"/>
  <c r="A224" i="1"/>
  <c r="L224" i="1" s="1"/>
  <c r="J223" i="1"/>
  <c r="I223" i="1"/>
  <c r="H223" i="1"/>
  <c r="A223" i="1"/>
  <c r="L223" i="1" s="1"/>
  <c r="J222" i="1"/>
  <c r="I222" i="1"/>
  <c r="H222" i="1"/>
  <c r="A222" i="1"/>
  <c r="L222" i="1" s="1"/>
  <c r="J221" i="1"/>
  <c r="I221" i="1"/>
  <c r="H221" i="1"/>
  <c r="A221" i="1"/>
  <c r="L221" i="1" s="1"/>
  <c r="J220" i="1"/>
  <c r="I220" i="1"/>
  <c r="H220" i="1"/>
  <c r="A220" i="1"/>
  <c r="L220" i="1" s="1"/>
  <c r="J219" i="1"/>
  <c r="I219" i="1"/>
  <c r="H219" i="1"/>
  <c r="A219" i="1"/>
  <c r="L219" i="1" s="1"/>
  <c r="J218" i="1"/>
  <c r="I218" i="1"/>
  <c r="H218" i="1"/>
  <c r="A218" i="1"/>
  <c r="L218" i="1" s="1"/>
  <c r="J217" i="1"/>
  <c r="I217" i="1"/>
  <c r="H217" i="1"/>
  <c r="A217" i="1"/>
  <c r="L217" i="1" s="1"/>
  <c r="J216" i="1"/>
  <c r="I216" i="1"/>
  <c r="H216" i="1"/>
  <c r="A216" i="1"/>
  <c r="L216" i="1" s="1"/>
  <c r="J215" i="1"/>
  <c r="I215" i="1"/>
  <c r="H215" i="1"/>
  <c r="A215" i="1"/>
  <c r="L215" i="1" s="1"/>
  <c r="J214" i="1"/>
  <c r="I214" i="1"/>
  <c r="H214" i="1"/>
  <c r="A214" i="1"/>
  <c r="L214" i="1" s="1"/>
  <c r="J213" i="1"/>
  <c r="I213" i="1"/>
  <c r="H213" i="1"/>
  <c r="A213" i="1"/>
  <c r="L213" i="1" s="1"/>
  <c r="J212" i="1"/>
  <c r="I212" i="1"/>
  <c r="H212" i="1"/>
  <c r="A212" i="1"/>
  <c r="L212" i="1" s="1"/>
  <c r="J211" i="1"/>
  <c r="I211" i="1"/>
  <c r="H211" i="1"/>
  <c r="A211" i="1"/>
  <c r="L211" i="1" s="1"/>
  <c r="J210" i="1"/>
  <c r="I210" i="1"/>
  <c r="H210" i="1"/>
  <c r="A210" i="1"/>
  <c r="L210" i="1" s="1"/>
  <c r="J209" i="1"/>
  <c r="I209" i="1"/>
  <c r="H209" i="1"/>
  <c r="A209" i="1"/>
  <c r="L209" i="1" s="1"/>
  <c r="J208" i="1"/>
  <c r="I208" i="1"/>
  <c r="H208" i="1"/>
  <c r="A208" i="1"/>
  <c r="L208" i="1" s="1"/>
  <c r="J207" i="1"/>
  <c r="I207" i="1"/>
  <c r="H207" i="1"/>
  <c r="A207" i="1"/>
  <c r="L207" i="1" s="1"/>
  <c r="J206" i="1"/>
  <c r="I206" i="1"/>
  <c r="H206" i="1"/>
  <c r="A206" i="1"/>
  <c r="L206" i="1" s="1"/>
  <c r="J205" i="1"/>
  <c r="I205" i="1"/>
  <c r="H205" i="1"/>
  <c r="A205" i="1"/>
  <c r="L205" i="1" s="1"/>
  <c r="J204" i="1"/>
  <c r="I204" i="1"/>
  <c r="H204" i="1"/>
  <c r="A204" i="1"/>
  <c r="L204" i="1" s="1"/>
  <c r="J203" i="1"/>
  <c r="I203" i="1"/>
  <c r="H203" i="1"/>
  <c r="A203" i="1"/>
  <c r="L203" i="1" s="1"/>
  <c r="J202" i="1"/>
  <c r="I202" i="1"/>
  <c r="H202" i="1"/>
  <c r="A202" i="1"/>
  <c r="L202" i="1" s="1"/>
  <c r="J201" i="1"/>
  <c r="I201" i="1"/>
  <c r="H201" i="1"/>
  <c r="A201" i="1"/>
  <c r="L201" i="1" s="1"/>
  <c r="J200" i="1"/>
  <c r="I200" i="1"/>
  <c r="H200" i="1"/>
  <c r="A200" i="1"/>
  <c r="L200" i="1" s="1"/>
  <c r="J199" i="1"/>
  <c r="I199" i="1"/>
  <c r="H199" i="1"/>
  <c r="A199" i="1"/>
  <c r="L199" i="1" s="1"/>
  <c r="J198" i="1"/>
  <c r="I198" i="1"/>
  <c r="H198" i="1"/>
  <c r="A198" i="1"/>
  <c r="L198" i="1" s="1"/>
  <c r="J197" i="1"/>
  <c r="I197" i="1"/>
  <c r="H197" i="1"/>
  <c r="A197" i="1"/>
  <c r="L197" i="1" s="1"/>
  <c r="J196" i="1"/>
  <c r="I196" i="1"/>
  <c r="H196" i="1"/>
  <c r="A196" i="1"/>
  <c r="L196" i="1" s="1"/>
  <c r="J195" i="1"/>
  <c r="I195" i="1"/>
  <c r="H195" i="1"/>
  <c r="A195" i="1"/>
  <c r="L195" i="1" s="1"/>
  <c r="J194" i="1"/>
  <c r="I194" i="1"/>
  <c r="H194" i="1"/>
  <c r="A194" i="1"/>
  <c r="L194" i="1" s="1"/>
  <c r="J193" i="1"/>
  <c r="I193" i="1"/>
  <c r="H193" i="1"/>
  <c r="A193" i="1"/>
  <c r="L193" i="1" s="1"/>
  <c r="J192" i="1"/>
  <c r="I192" i="1"/>
  <c r="H192" i="1"/>
  <c r="A192" i="1"/>
  <c r="L192" i="1" s="1"/>
  <c r="J191" i="1"/>
  <c r="I191" i="1"/>
  <c r="H191" i="1"/>
  <c r="A191" i="1"/>
  <c r="L191" i="1" s="1"/>
  <c r="J190" i="1"/>
  <c r="I190" i="1"/>
  <c r="H190" i="1"/>
  <c r="A190" i="1"/>
  <c r="L190" i="1" s="1"/>
  <c r="J189" i="1"/>
  <c r="I189" i="1"/>
  <c r="H189" i="1"/>
  <c r="A189" i="1"/>
  <c r="L189" i="1" s="1"/>
  <c r="J188" i="1"/>
  <c r="I188" i="1"/>
  <c r="H188" i="1"/>
  <c r="A188" i="1"/>
  <c r="L188" i="1" s="1"/>
  <c r="J187" i="1"/>
  <c r="I187" i="1"/>
  <c r="H187" i="1"/>
  <c r="A187" i="1"/>
  <c r="L187" i="1" s="1"/>
  <c r="J186" i="1"/>
  <c r="I186" i="1"/>
  <c r="H186" i="1"/>
  <c r="A186" i="1"/>
  <c r="L186" i="1" s="1"/>
  <c r="J185" i="1"/>
  <c r="I185" i="1"/>
  <c r="H185" i="1"/>
  <c r="A185" i="1"/>
  <c r="L185" i="1" s="1"/>
  <c r="J184" i="1"/>
  <c r="I184" i="1"/>
  <c r="H184" i="1"/>
  <c r="A184" i="1"/>
  <c r="L184" i="1" s="1"/>
  <c r="J183" i="1"/>
  <c r="I183" i="1"/>
  <c r="H183" i="1"/>
  <c r="A183" i="1"/>
  <c r="L183" i="1" s="1"/>
  <c r="J182" i="1"/>
  <c r="I182" i="1"/>
  <c r="H182" i="1"/>
  <c r="A182" i="1"/>
  <c r="L182" i="1" s="1"/>
  <c r="J181" i="1"/>
  <c r="I181" i="1"/>
  <c r="H181" i="1"/>
  <c r="A181" i="1"/>
  <c r="L181" i="1" s="1"/>
  <c r="J180" i="1"/>
  <c r="I180" i="1"/>
  <c r="H180" i="1"/>
  <c r="A180" i="1"/>
  <c r="L180" i="1" s="1"/>
  <c r="J179" i="1"/>
  <c r="I179" i="1"/>
  <c r="H179" i="1"/>
  <c r="A179" i="1"/>
  <c r="L179" i="1" s="1"/>
  <c r="J178" i="1"/>
  <c r="I178" i="1"/>
  <c r="H178" i="1"/>
  <c r="A178" i="1"/>
  <c r="L178" i="1" s="1"/>
  <c r="J177" i="1"/>
  <c r="I177" i="1"/>
  <c r="H177" i="1"/>
  <c r="A177" i="1"/>
  <c r="L177" i="1" s="1"/>
  <c r="J176" i="1"/>
  <c r="I176" i="1"/>
  <c r="H176" i="1"/>
  <c r="A176" i="1"/>
  <c r="L176" i="1" s="1"/>
  <c r="J175" i="1"/>
  <c r="I175" i="1"/>
  <c r="H175" i="1"/>
  <c r="A175" i="1"/>
  <c r="L175" i="1" s="1"/>
  <c r="J174" i="1"/>
  <c r="I174" i="1"/>
  <c r="H174" i="1"/>
  <c r="A174" i="1"/>
  <c r="L174" i="1" s="1"/>
  <c r="J173" i="1"/>
  <c r="I173" i="1"/>
  <c r="H173" i="1"/>
  <c r="A173" i="1"/>
  <c r="L173" i="1" s="1"/>
  <c r="J172" i="1"/>
  <c r="I172" i="1"/>
  <c r="H172" i="1"/>
  <c r="A172" i="1"/>
  <c r="L172" i="1" s="1"/>
  <c r="J171" i="1"/>
  <c r="I171" i="1"/>
  <c r="H171" i="1"/>
  <c r="A171" i="1"/>
  <c r="L171" i="1" s="1"/>
  <c r="J170" i="1"/>
  <c r="I170" i="1"/>
  <c r="H170" i="1"/>
  <c r="A170" i="1"/>
  <c r="L170" i="1" s="1"/>
  <c r="J169" i="1"/>
  <c r="I169" i="1"/>
  <c r="H169" i="1"/>
  <c r="A169" i="1"/>
  <c r="L169" i="1" s="1"/>
  <c r="J168" i="1"/>
  <c r="I168" i="1"/>
  <c r="H168" i="1"/>
  <c r="A168" i="1"/>
  <c r="L168" i="1" s="1"/>
  <c r="J167" i="1"/>
  <c r="I167" i="1"/>
  <c r="H167" i="1"/>
  <c r="A167" i="1"/>
  <c r="L167" i="1" s="1"/>
  <c r="J166" i="1"/>
  <c r="I166" i="1"/>
  <c r="H166" i="1"/>
  <c r="A166" i="1"/>
  <c r="L166" i="1" s="1"/>
  <c r="J165" i="1"/>
  <c r="I165" i="1"/>
  <c r="H165" i="1"/>
  <c r="A165" i="1"/>
  <c r="L165" i="1" s="1"/>
  <c r="J164" i="1"/>
  <c r="I164" i="1"/>
  <c r="H164" i="1"/>
  <c r="A164" i="1"/>
  <c r="L164" i="1" s="1"/>
  <c r="J163" i="1"/>
  <c r="I163" i="1"/>
  <c r="H163" i="1"/>
  <c r="A163" i="1"/>
  <c r="L163" i="1" s="1"/>
  <c r="J162" i="1"/>
  <c r="I162" i="1"/>
  <c r="H162" i="1"/>
  <c r="A162" i="1"/>
  <c r="L162" i="1" s="1"/>
  <c r="J161" i="1"/>
  <c r="I161" i="1"/>
  <c r="H161" i="1"/>
  <c r="A161" i="1"/>
  <c r="L161" i="1" s="1"/>
  <c r="J160" i="1"/>
  <c r="I160" i="1"/>
  <c r="H160" i="1"/>
  <c r="A160" i="1"/>
  <c r="L160" i="1" s="1"/>
  <c r="J159" i="1"/>
  <c r="I159" i="1"/>
  <c r="H159" i="1"/>
  <c r="A159" i="1"/>
  <c r="L159" i="1" s="1"/>
  <c r="J158" i="1"/>
  <c r="I158" i="1"/>
  <c r="H158" i="1"/>
  <c r="A158" i="1"/>
  <c r="L158" i="1" s="1"/>
  <c r="J157" i="1"/>
  <c r="I157" i="1"/>
  <c r="H157" i="1"/>
  <c r="A157" i="1"/>
  <c r="L157" i="1" s="1"/>
  <c r="J156" i="1"/>
  <c r="I156" i="1"/>
  <c r="H156" i="1"/>
  <c r="A156" i="1"/>
  <c r="L156" i="1" s="1"/>
  <c r="J155" i="1"/>
  <c r="I155" i="1"/>
  <c r="H155" i="1"/>
  <c r="A155" i="1"/>
  <c r="L155" i="1" s="1"/>
  <c r="J154" i="1"/>
  <c r="I154" i="1"/>
  <c r="H154" i="1"/>
  <c r="A154" i="1"/>
  <c r="L154" i="1" s="1"/>
  <c r="J153" i="1"/>
  <c r="I153" i="1"/>
  <c r="H153" i="1"/>
  <c r="A153" i="1"/>
  <c r="L153" i="1" s="1"/>
  <c r="J152" i="1"/>
  <c r="I152" i="1"/>
  <c r="H152" i="1"/>
  <c r="A152" i="1"/>
  <c r="L152" i="1" s="1"/>
  <c r="J151" i="1"/>
  <c r="I151" i="1"/>
  <c r="H151" i="1"/>
  <c r="A151" i="1"/>
  <c r="L151" i="1" s="1"/>
  <c r="J150" i="1"/>
  <c r="I150" i="1"/>
  <c r="H150" i="1"/>
  <c r="A150" i="1"/>
  <c r="L150" i="1" s="1"/>
  <c r="J149" i="1"/>
  <c r="I149" i="1"/>
  <c r="H149" i="1"/>
  <c r="A149" i="1"/>
  <c r="L149" i="1" s="1"/>
  <c r="J148" i="1"/>
  <c r="I148" i="1"/>
  <c r="H148" i="1"/>
  <c r="A148" i="1"/>
  <c r="L148" i="1" s="1"/>
  <c r="J147" i="1"/>
  <c r="I147" i="1"/>
  <c r="H147" i="1"/>
  <c r="A147" i="1"/>
  <c r="L147" i="1" s="1"/>
  <c r="J146" i="1"/>
  <c r="I146" i="1"/>
  <c r="H146" i="1"/>
  <c r="A146" i="1"/>
  <c r="L146" i="1" s="1"/>
  <c r="J145" i="1"/>
  <c r="I145" i="1"/>
  <c r="H145" i="1"/>
  <c r="A145" i="1"/>
  <c r="L145" i="1" s="1"/>
  <c r="J144" i="1"/>
  <c r="I144" i="1"/>
  <c r="H144" i="1"/>
  <c r="A144" i="1"/>
  <c r="L144" i="1" s="1"/>
  <c r="J143" i="1"/>
  <c r="I143" i="1"/>
  <c r="H143" i="1"/>
  <c r="A143" i="1"/>
  <c r="L143" i="1" s="1"/>
  <c r="J142" i="1"/>
  <c r="I142" i="1"/>
  <c r="H142" i="1"/>
  <c r="A142" i="1"/>
  <c r="L142" i="1" s="1"/>
  <c r="J141" i="1"/>
  <c r="I141" i="1"/>
  <c r="H141" i="1"/>
  <c r="A141" i="1"/>
  <c r="L141" i="1" s="1"/>
  <c r="J140" i="1"/>
  <c r="I140" i="1"/>
  <c r="H140" i="1"/>
  <c r="A140" i="1"/>
  <c r="L140" i="1" s="1"/>
  <c r="J139" i="1"/>
  <c r="I139" i="1"/>
  <c r="H139" i="1"/>
  <c r="A139" i="1"/>
  <c r="L139" i="1" s="1"/>
  <c r="J138" i="1"/>
  <c r="I138" i="1"/>
  <c r="H138" i="1"/>
  <c r="A138" i="1"/>
  <c r="L138" i="1" s="1"/>
  <c r="J137" i="1"/>
  <c r="I137" i="1"/>
  <c r="H137" i="1"/>
  <c r="A137" i="1"/>
  <c r="L137" i="1" s="1"/>
  <c r="J136" i="1"/>
  <c r="I136" i="1"/>
  <c r="H136" i="1"/>
  <c r="A136" i="1"/>
  <c r="L136" i="1" s="1"/>
  <c r="J135" i="1"/>
  <c r="I135" i="1"/>
  <c r="H135" i="1"/>
  <c r="A135" i="1"/>
  <c r="L135" i="1" s="1"/>
  <c r="J134" i="1"/>
  <c r="I134" i="1"/>
  <c r="H134" i="1"/>
  <c r="A134" i="1"/>
  <c r="L134" i="1" s="1"/>
  <c r="J133" i="1"/>
  <c r="I133" i="1"/>
  <c r="H133" i="1"/>
  <c r="A133" i="1"/>
  <c r="L133" i="1" s="1"/>
  <c r="J132" i="1"/>
  <c r="I132" i="1"/>
  <c r="H132" i="1"/>
  <c r="A132" i="1"/>
  <c r="L132" i="1" s="1"/>
  <c r="J131" i="1"/>
  <c r="I131" i="1"/>
  <c r="H131" i="1"/>
  <c r="A131" i="1"/>
  <c r="L131" i="1" s="1"/>
  <c r="J130" i="1"/>
  <c r="I130" i="1"/>
  <c r="H130" i="1"/>
  <c r="A130" i="1"/>
  <c r="L130" i="1" s="1"/>
  <c r="J129" i="1"/>
  <c r="I129" i="1"/>
  <c r="H129" i="1"/>
  <c r="A129" i="1"/>
  <c r="L129" i="1" s="1"/>
  <c r="J128" i="1"/>
  <c r="I128" i="1"/>
  <c r="H128" i="1"/>
  <c r="A128" i="1"/>
  <c r="L128" i="1" s="1"/>
  <c r="J127" i="1"/>
  <c r="I127" i="1"/>
  <c r="H127" i="1"/>
  <c r="A127" i="1"/>
  <c r="L127" i="1" s="1"/>
  <c r="J126" i="1"/>
  <c r="I126" i="1"/>
  <c r="H126" i="1"/>
  <c r="A126" i="1"/>
  <c r="L126" i="1" s="1"/>
  <c r="J125" i="1"/>
  <c r="I125" i="1"/>
  <c r="H125" i="1"/>
  <c r="A125" i="1"/>
  <c r="L125" i="1" s="1"/>
  <c r="J124" i="1"/>
  <c r="I124" i="1"/>
  <c r="H124" i="1"/>
  <c r="A124" i="1"/>
  <c r="L124" i="1" s="1"/>
  <c r="J123" i="1"/>
  <c r="I123" i="1"/>
  <c r="H123" i="1"/>
  <c r="A123" i="1"/>
  <c r="L123" i="1" s="1"/>
  <c r="J122" i="1"/>
  <c r="I122" i="1"/>
  <c r="H122" i="1"/>
  <c r="A122" i="1"/>
  <c r="L122" i="1" s="1"/>
  <c r="J121" i="1"/>
  <c r="I121" i="1"/>
  <c r="H121" i="1"/>
  <c r="A121" i="1"/>
  <c r="L121" i="1" s="1"/>
  <c r="J120" i="1"/>
  <c r="I120" i="1"/>
  <c r="H120" i="1"/>
  <c r="A120" i="1"/>
  <c r="L120" i="1" s="1"/>
  <c r="J119" i="1"/>
  <c r="I119" i="1"/>
  <c r="H119" i="1"/>
  <c r="A119" i="1"/>
  <c r="L119" i="1" s="1"/>
  <c r="J118" i="1"/>
  <c r="I118" i="1"/>
  <c r="H118" i="1"/>
  <c r="A118" i="1"/>
  <c r="L118" i="1" s="1"/>
  <c r="J117" i="1"/>
  <c r="I117" i="1"/>
  <c r="H117" i="1"/>
  <c r="A117" i="1"/>
  <c r="L117" i="1" s="1"/>
  <c r="J116" i="1"/>
  <c r="I116" i="1"/>
  <c r="H116" i="1"/>
  <c r="A116" i="1"/>
  <c r="L116" i="1" s="1"/>
  <c r="J115" i="1"/>
  <c r="I115" i="1"/>
  <c r="H115" i="1"/>
  <c r="A115" i="1"/>
  <c r="L115" i="1" s="1"/>
  <c r="J114" i="1"/>
  <c r="I114" i="1"/>
  <c r="H114" i="1"/>
  <c r="A114" i="1"/>
  <c r="L114" i="1" s="1"/>
  <c r="I113" i="1"/>
  <c r="H113" i="1"/>
  <c r="A113" i="1"/>
  <c r="L113" i="1" s="1"/>
  <c r="J112" i="1"/>
  <c r="I112" i="1"/>
  <c r="H112" i="1"/>
  <c r="A112" i="1"/>
  <c r="L112" i="1" s="1"/>
  <c r="J111" i="1"/>
  <c r="I111" i="1"/>
  <c r="H111" i="1"/>
  <c r="A111" i="1"/>
  <c r="L111" i="1" s="1"/>
  <c r="J110" i="1"/>
  <c r="I110" i="1"/>
  <c r="H110" i="1"/>
  <c r="A110" i="1"/>
  <c r="L110" i="1" s="1"/>
  <c r="J109" i="1"/>
  <c r="I109" i="1"/>
  <c r="H109" i="1"/>
  <c r="A109" i="1"/>
  <c r="L109" i="1" s="1"/>
  <c r="J108" i="1"/>
  <c r="I108" i="1"/>
  <c r="H108" i="1"/>
  <c r="A108" i="1"/>
  <c r="L108" i="1" s="1"/>
  <c r="I107" i="1"/>
  <c r="H107" i="1"/>
  <c r="A107" i="1"/>
  <c r="L107" i="1" s="1"/>
  <c r="J106" i="1"/>
  <c r="I106" i="1"/>
  <c r="H106" i="1"/>
  <c r="A106" i="1"/>
  <c r="L106" i="1" s="1"/>
  <c r="J105" i="1"/>
  <c r="I105" i="1"/>
  <c r="H105" i="1"/>
  <c r="A105" i="1"/>
  <c r="L105" i="1" s="1"/>
  <c r="J104" i="1"/>
  <c r="H104" i="1"/>
  <c r="A104" i="1"/>
  <c r="L104" i="1" s="1"/>
  <c r="J103" i="1"/>
  <c r="I103" i="1"/>
  <c r="H103" i="1"/>
  <c r="A103" i="1"/>
  <c r="L103" i="1" s="1"/>
  <c r="J102" i="1"/>
  <c r="I102" i="1"/>
  <c r="H102" i="1"/>
  <c r="A102" i="1"/>
  <c r="L102" i="1" s="1"/>
  <c r="J101" i="1"/>
  <c r="I101" i="1"/>
  <c r="H101" i="1"/>
  <c r="A101" i="1"/>
  <c r="L101" i="1" s="1"/>
  <c r="J100" i="1"/>
  <c r="I100" i="1"/>
  <c r="H100" i="1"/>
  <c r="A100" i="1"/>
  <c r="L100" i="1" s="1"/>
  <c r="J99" i="1"/>
  <c r="I99" i="1"/>
  <c r="H99" i="1"/>
  <c r="A99" i="1"/>
  <c r="L99" i="1" s="1"/>
  <c r="J98" i="1"/>
  <c r="I98" i="1"/>
  <c r="H98" i="1"/>
  <c r="A98" i="1"/>
  <c r="L98" i="1" s="1"/>
  <c r="J97" i="1"/>
  <c r="I97" i="1"/>
  <c r="H97" i="1"/>
  <c r="A97" i="1"/>
  <c r="L97" i="1" s="1"/>
  <c r="J96" i="1"/>
  <c r="I96" i="1"/>
  <c r="H96" i="1"/>
  <c r="A96" i="1"/>
  <c r="L96" i="1" s="1"/>
  <c r="J95" i="1"/>
  <c r="I95" i="1"/>
  <c r="H95" i="1"/>
  <c r="A95" i="1"/>
  <c r="L95" i="1" s="1"/>
  <c r="J94" i="1"/>
  <c r="I94" i="1"/>
  <c r="H94" i="1"/>
  <c r="A94" i="1"/>
  <c r="L94" i="1" s="1"/>
  <c r="J93" i="1"/>
  <c r="I93" i="1"/>
  <c r="H93" i="1"/>
  <c r="A93" i="1"/>
  <c r="L93" i="1" s="1"/>
  <c r="J92" i="1"/>
  <c r="I92" i="1"/>
  <c r="H92" i="1"/>
  <c r="A92" i="1"/>
  <c r="L92" i="1" s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L91" i="1" l="1"/>
  <c r="I91" i="1"/>
  <c r="J91" i="1"/>
  <c r="H91" i="1"/>
  <c r="L90" i="1"/>
  <c r="H90" i="1"/>
  <c r="I90" i="1"/>
  <c r="J90" i="1"/>
  <c r="J89" i="1"/>
  <c r="H89" i="1"/>
  <c r="I89" i="1"/>
  <c r="H88" i="1"/>
  <c r="I88" i="1"/>
  <c r="J88" i="1"/>
  <c r="I87" i="1"/>
  <c r="H87" i="1"/>
  <c r="J87" i="1"/>
  <c r="J86" i="1"/>
  <c r="I86" i="1"/>
  <c r="H86" i="1"/>
  <c r="J85" i="1"/>
  <c r="I85" i="1"/>
  <c r="H85" i="1"/>
  <c r="H84" i="1"/>
  <c r="I84" i="1"/>
  <c r="J84" i="1"/>
  <c r="H83" i="1"/>
  <c r="I83" i="1"/>
  <c r="J83" i="1"/>
  <c r="J82" i="1"/>
  <c r="H82" i="1"/>
  <c r="I82" i="1"/>
  <c r="J81" i="1"/>
  <c r="H81" i="1"/>
  <c r="I81" i="1"/>
  <c r="J80" i="1"/>
  <c r="I80" i="1"/>
  <c r="H80" i="1"/>
  <c r="H79" i="1"/>
  <c r="J79" i="1"/>
  <c r="I79" i="1"/>
  <c r="H78" i="1"/>
  <c r="J78" i="1"/>
  <c r="I78" i="1"/>
  <c r="H77" i="1"/>
  <c r="J77" i="1"/>
  <c r="I77" i="1"/>
  <c r="J76" i="1"/>
  <c r="I76" i="1"/>
  <c r="H76" i="1"/>
  <c r="J75" i="1"/>
  <c r="H75" i="1"/>
  <c r="I75" i="1"/>
  <c r="H74" i="1"/>
  <c r="I74" i="1"/>
  <c r="J74" i="1"/>
  <c r="H73" i="1"/>
  <c r="I73" i="1"/>
  <c r="J73" i="1"/>
  <c r="I72" i="1"/>
  <c r="H72" i="1"/>
  <c r="J72" i="1"/>
  <c r="I71" i="1"/>
  <c r="H71" i="1"/>
  <c r="J71" i="1"/>
  <c r="I70" i="1"/>
  <c r="H70" i="1"/>
  <c r="J70" i="1"/>
  <c r="J69" i="1"/>
  <c r="I69" i="1"/>
  <c r="H69" i="1"/>
  <c r="J68" i="1"/>
  <c r="H68" i="1"/>
  <c r="I68" i="1"/>
  <c r="I67" i="1"/>
  <c r="J67" i="1"/>
  <c r="H67" i="1"/>
  <c r="J66" i="1"/>
  <c r="I66" i="1"/>
  <c r="H66" i="1"/>
  <c r="I65" i="1"/>
  <c r="J65" i="1"/>
  <c r="H65" i="1"/>
  <c r="J64" i="1"/>
  <c r="H64" i="1"/>
  <c r="I64" i="1"/>
  <c r="H63" i="1"/>
  <c r="I63" i="1"/>
  <c r="J63" i="1"/>
  <c r="I62" i="1"/>
  <c r="H62" i="1"/>
  <c r="J62" i="1"/>
  <c r="H61" i="1"/>
  <c r="I61" i="1"/>
  <c r="J61" i="1"/>
  <c r="J60" i="1"/>
  <c r="I60" i="1"/>
  <c r="H60" i="1"/>
  <c r="H59" i="1"/>
  <c r="I59" i="1"/>
  <c r="J59" i="1"/>
  <c r="H58" i="1"/>
  <c r="J58" i="1"/>
  <c r="I58" i="1"/>
  <c r="H57" i="1"/>
  <c r="J57" i="1"/>
  <c r="I57" i="1"/>
  <c r="I56" i="1"/>
  <c r="J56" i="1"/>
  <c r="H56" i="1"/>
  <c r="I55" i="1"/>
  <c r="H55" i="1"/>
  <c r="J55" i="1"/>
  <c r="J54" i="1"/>
  <c r="H54" i="1"/>
  <c r="I54" i="1"/>
  <c r="H53" i="1"/>
  <c r="J53" i="1"/>
  <c r="I53" i="1"/>
  <c r="H52" i="1"/>
  <c r="J52" i="1"/>
  <c r="I52" i="1"/>
  <c r="J51" i="1"/>
  <c r="H51" i="1"/>
  <c r="H50" i="1"/>
  <c r="I50" i="1"/>
  <c r="J50" i="1"/>
  <c r="I49" i="1"/>
  <c r="J49" i="1"/>
  <c r="H49" i="1"/>
  <c r="J48" i="1"/>
  <c r="I48" i="1"/>
  <c r="H48" i="1"/>
  <c r="H47" i="1"/>
  <c r="I47" i="1"/>
  <c r="J47" i="1"/>
  <c r="I46" i="1"/>
  <c r="J46" i="1"/>
  <c r="J45" i="1"/>
  <c r="I45" i="1"/>
  <c r="H45" i="1"/>
  <c r="J44" i="1"/>
  <c r="H44" i="1"/>
  <c r="I44" i="1"/>
  <c r="J43" i="1"/>
  <c r="I43" i="1"/>
  <c r="H43" i="1"/>
  <c r="J42" i="1"/>
  <c r="H42" i="1"/>
  <c r="I42" i="1"/>
  <c r="I41" i="1"/>
  <c r="H41" i="1"/>
  <c r="J41" i="1"/>
  <c r="J40" i="1"/>
  <c r="I40" i="1"/>
  <c r="H40" i="1"/>
  <c r="H39" i="1"/>
  <c r="I39" i="1"/>
  <c r="J39" i="1"/>
  <c r="J38" i="1"/>
  <c r="I38" i="1"/>
  <c r="H38" i="1"/>
  <c r="J37" i="1"/>
  <c r="I37" i="1"/>
  <c r="H37" i="1"/>
  <c r="H36" i="1"/>
  <c r="I36" i="1"/>
  <c r="J36" i="1"/>
  <c r="I35" i="1"/>
  <c r="H35" i="1"/>
  <c r="J35" i="1"/>
  <c r="J34" i="1"/>
  <c r="H34" i="1"/>
  <c r="I34" i="1"/>
  <c r="J33" i="1"/>
  <c r="I33" i="1"/>
  <c r="H33" i="1"/>
  <c r="H32" i="1"/>
  <c r="I32" i="1"/>
  <c r="J32" i="1"/>
  <c r="I31" i="1"/>
  <c r="H31" i="1"/>
  <c r="J31" i="1"/>
  <c r="I30" i="1"/>
  <c r="H30" i="1"/>
  <c r="J30" i="1"/>
  <c r="I29" i="1"/>
  <c r="H29" i="1"/>
  <c r="J29" i="1"/>
  <c r="H28" i="1"/>
  <c r="I28" i="1"/>
  <c r="J28" i="1"/>
  <c r="I27" i="1"/>
  <c r="J27" i="1"/>
  <c r="H27" i="1"/>
  <c r="H26" i="1"/>
  <c r="I26" i="1"/>
  <c r="J26" i="1"/>
  <c r="J25" i="1"/>
  <c r="I25" i="1"/>
  <c r="H25" i="1"/>
  <c r="I24" i="1"/>
  <c r="J24" i="1"/>
  <c r="H24" i="1"/>
  <c r="I23" i="1"/>
  <c r="J23" i="1"/>
  <c r="H23" i="1"/>
  <c r="I22" i="1"/>
  <c r="H22" i="1"/>
  <c r="J22" i="1"/>
  <c r="I21" i="1"/>
  <c r="J21" i="1"/>
  <c r="H21" i="1"/>
  <c r="J20" i="1"/>
  <c r="I20" i="1"/>
  <c r="H20" i="1"/>
  <c r="J19" i="1"/>
  <c r="I19" i="1"/>
  <c r="H19" i="1"/>
  <c r="I18" i="1"/>
  <c r="H18" i="1"/>
  <c r="J18" i="1"/>
  <c r="H17" i="1"/>
  <c r="J17" i="1"/>
  <c r="I17" i="1"/>
  <c r="H16" i="1"/>
  <c r="I16" i="1"/>
  <c r="H15" i="1"/>
  <c r="I15" i="1"/>
  <c r="J15" i="1"/>
  <c r="I14" i="1"/>
  <c r="J14" i="1"/>
  <c r="H14" i="1"/>
  <c r="J13" i="1"/>
  <c r="H13" i="1"/>
  <c r="I13" i="1"/>
  <c r="H12" i="1"/>
  <c r="I12" i="1"/>
  <c r="J12" i="1"/>
  <c r="H11" i="1"/>
  <c r="I11" i="1"/>
  <c r="J11" i="1"/>
  <c r="I10" i="1"/>
  <c r="H10" i="1"/>
  <c r="J10" i="1"/>
  <c r="I9" i="1"/>
  <c r="H9" i="1"/>
  <c r="J9" i="1"/>
  <c r="J8" i="1"/>
  <c r="I8" i="1"/>
  <c r="H8" i="1"/>
  <c r="J7" i="1"/>
  <c r="I7" i="1"/>
  <c r="H7" i="1"/>
  <c r="H6" i="1"/>
  <c r="J6" i="1"/>
  <c r="I6" i="1"/>
  <c r="J5" i="1"/>
  <c r="I5" i="1"/>
  <c r="H5" i="1"/>
  <c r="I4" i="1"/>
  <c r="H4" i="1"/>
  <c r="J4" i="1"/>
  <c r="J3" i="1"/>
  <c r="I3" i="1"/>
  <c r="H3" i="1"/>
  <c r="H2" i="1"/>
  <c r="I2" i="1"/>
  <c r="J2" i="1"/>
  <c r="G138" i="6"/>
  <c r="G137" i="6"/>
  <c r="G136" i="6"/>
  <c r="G135" i="6"/>
  <c r="G134" i="6"/>
  <c r="G133" i="6"/>
  <c r="G132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1" i="6"/>
  <c r="G269" i="6"/>
  <c r="G268" i="6"/>
  <c r="G267" i="6"/>
  <c r="G266" i="6"/>
  <c r="G265" i="6"/>
  <c r="G264" i="6"/>
  <c r="G262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1" i="6"/>
  <c r="G893" i="6"/>
  <c r="G892" i="6"/>
  <c r="G891" i="6"/>
  <c r="G890" i="6"/>
  <c r="G889" i="6"/>
  <c r="G888" i="6"/>
  <c r="G887" i="6"/>
  <c r="G885" i="6"/>
  <c r="G884" i="6"/>
  <c r="G883" i="6"/>
  <c r="G882" i="6"/>
  <c r="G881" i="6"/>
  <c r="G880" i="6"/>
  <c r="G879" i="6"/>
  <c r="G878" i="6"/>
  <c r="G877" i="6"/>
  <c r="G876" i="6"/>
  <c r="G875" i="6"/>
  <c r="G874" i="6"/>
  <c r="G873" i="6"/>
  <c r="G872" i="6"/>
  <c r="G871" i="6"/>
  <c r="G870" i="6"/>
  <c r="G869" i="6"/>
  <c r="G868" i="6"/>
  <c r="G867" i="6"/>
  <c r="G866" i="6"/>
  <c r="G865" i="6"/>
  <c r="G864" i="6"/>
  <c r="G863" i="6"/>
  <c r="G862" i="6"/>
  <c r="G861" i="6"/>
  <c r="G860" i="6"/>
  <c r="G859" i="6"/>
  <c r="G858" i="6"/>
  <c r="G857" i="6"/>
  <c r="G856" i="6"/>
  <c r="G855" i="6"/>
  <c r="G854" i="6"/>
  <c r="G853" i="6"/>
  <c r="G852" i="6"/>
  <c r="G851" i="6"/>
  <c r="G850" i="6"/>
  <c r="G849" i="6"/>
  <c r="G848" i="6"/>
  <c r="G847" i="6"/>
  <c r="G846" i="6"/>
  <c r="G845" i="6"/>
  <c r="G844" i="6"/>
  <c r="G843" i="6"/>
  <c r="G842" i="6"/>
  <c r="G841" i="6"/>
  <c r="G840" i="6"/>
  <c r="G839" i="6"/>
  <c r="G838" i="6"/>
  <c r="G837" i="6"/>
  <c r="G836" i="6"/>
  <c r="G835" i="6"/>
  <c r="G834" i="6"/>
  <c r="G833" i="6"/>
  <c r="G832" i="6"/>
  <c r="G831" i="6"/>
  <c r="G830" i="6"/>
  <c r="G829" i="6"/>
  <c r="G828" i="6"/>
  <c r="G827" i="6"/>
  <c r="G826" i="6"/>
  <c r="G825" i="6"/>
  <c r="G824" i="6"/>
  <c r="G823" i="6"/>
  <c r="G822" i="6"/>
  <c r="G821" i="6"/>
  <c r="G820" i="6"/>
  <c r="G819" i="6"/>
  <c r="G818" i="6"/>
  <c r="G817" i="6"/>
  <c r="G816" i="6"/>
  <c r="G815" i="6"/>
  <c r="G814" i="6"/>
  <c r="G813" i="6"/>
  <c r="G812" i="6"/>
  <c r="G811" i="6"/>
  <c r="G810" i="6"/>
  <c r="G809" i="6"/>
  <c r="G808" i="6"/>
  <c r="G807" i="6"/>
  <c r="G806" i="6"/>
  <c r="G805" i="6"/>
  <c r="G804" i="6"/>
  <c r="G803" i="6"/>
  <c r="G802" i="6"/>
  <c r="G801" i="6"/>
  <c r="G800" i="6"/>
  <c r="G799" i="6"/>
  <c r="G798" i="6"/>
  <c r="G797" i="6"/>
  <c r="G796" i="6"/>
  <c r="G795" i="6"/>
  <c r="G794" i="6"/>
  <c r="G793" i="6"/>
  <c r="G792" i="6"/>
  <c r="G791" i="6"/>
  <c r="G790" i="6"/>
  <c r="G789" i="6"/>
  <c r="G788" i="6"/>
  <c r="G787" i="6"/>
  <c r="G786" i="6"/>
  <c r="G785" i="6"/>
  <c r="G784" i="6"/>
  <c r="G783" i="6"/>
  <c r="G782" i="6"/>
  <c r="G781" i="6"/>
  <c r="G780" i="6"/>
  <c r="G779" i="6"/>
  <c r="G778" i="6"/>
  <c r="G777" i="6"/>
  <c r="G776" i="6"/>
  <c r="G775" i="6"/>
  <c r="G774" i="6"/>
  <c r="G773" i="6"/>
  <c r="G772" i="6"/>
  <c r="G771" i="6"/>
  <c r="G770" i="6"/>
  <c r="G769" i="6"/>
  <c r="G768" i="6"/>
  <c r="G767" i="6"/>
  <c r="G766" i="6"/>
  <c r="G765" i="6"/>
  <c r="G764" i="6"/>
  <c r="G763" i="6"/>
  <c r="G762" i="6"/>
  <c r="G761" i="6"/>
  <c r="G760" i="6"/>
  <c r="G759" i="6"/>
  <c r="G758" i="6"/>
  <c r="G757" i="6"/>
  <c r="G756" i="6"/>
  <c r="G755" i="6"/>
  <c r="G754" i="6"/>
  <c r="G753" i="6"/>
  <c r="G752" i="6"/>
  <c r="G751" i="6"/>
  <c r="G750" i="6"/>
  <c r="G749" i="6"/>
  <c r="G748" i="6"/>
  <c r="G747" i="6"/>
  <c r="G746" i="6"/>
  <c r="G745" i="6"/>
  <c r="G744" i="6"/>
  <c r="G743" i="6"/>
  <c r="G742" i="6"/>
  <c r="G741" i="6"/>
  <c r="G740" i="6"/>
  <c r="G739" i="6"/>
  <c r="G738" i="6"/>
  <c r="G737" i="6"/>
  <c r="G736" i="6"/>
  <c r="G735" i="6"/>
  <c r="G734" i="6"/>
  <c r="G733" i="6"/>
  <c r="G732" i="6"/>
  <c r="G731" i="6"/>
  <c r="G730" i="6"/>
  <c r="G729" i="6"/>
  <c r="G728" i="6"/>
  <c r="G727" i="6"/>
  <c r="G726" i="6"/>
  <c r="G725" i="6"/>
  <c r="G724" i="6"/>
  <c r="G723" i="6"/>
  <c r="G722" i="6"/>
  <c r="G721" i="6"/>
  <c r="G720" i="6"/>
  <c r="G719" i="6"/>
  <c r="G718" i="6"/>
  <c r="G717" i="6"/>
  <c r="G716" i="6"/>
  <c r="G715" i="6"/>
  <c r="G714" i="6"/>
  <c r="G713" i="6"/>
  <c r="G712" i="6"/>
  <c r="G711" i="6"/>
  <c r="G710" i="6"/>
  <c r="G709" i="6"/>
  <c r="G708" i="6"/>
  <c r="G707" i="6"/>
  <c r="G706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3" i="6"/>
  <c r="G261" i="6"/>
  <c r="G260" i="6"/>
  <c r="G999" i="6"/>
  <c r="G998" i="6"/>
  <c r="G997" i="6"/>
  <c r="G994" i="6"/>
  <c r="G993" i="6"/>
  <c r="G992" i="6"/>
  <c r="G991" i="6"/>
  <c r="G990" i="6"/>
  <c r="G989" i="6"/>
  <c r="G988" i="6"/>
  <c r="G987" i="6"/>
  <c r="G986" i="6"/>
  <c r="G985" i="6"/>
  <c r="G984" i="6"/>
  <c r="G983" i="6"/>
  <c r="G982" i="6"/>
  <c r="G981" i="6"/>
  <c r="G980" i="6"/>
  <c r="G979" i="6"/>
  <c r="G978" i="6"/>
  <c r="G977" i="6"/>
  <c r="G976" i="6"/>
  <c r="G975" i="6"/>
  <c r="G974" i="6"/>
  <c r="G973" i="6"/>
  <c r="G972" i="6"/>
  <c r="G971" i="6"/>
  <c r="G970" i="6"/>
  <c r="G969" i="6"/>
  <c r="G968" i="6"/>
  <c r="G967" i="6"/>
  <c r="G966" i="6"/>
  <c r="G965" i="6"/>
  <c r="G964" i="6"/>
  <c r="G963" i="6"/>
  <c r="G962" i="6"/>
  <c r="G961" i="6"/>
  <c r="G960" i="6"/>
  <c r="G959" i="6"/>
  <c r="G958" i="6"/>
  <c r="G957" i="6"/>
  <c r="G956" i="6"/>
  <c r="G955" i="6"/>
  <c r="G954" i="6"/>
  <c r="G953" i="6"/>
  <c r="G952" i="6"/>
  <c r="G951" i="6"/>
  <c r="G950" i="6"/>
  <c r="G949" i="6"/>
  <c r="G948" i="6"/>
  <c r="G947" i="6"/>
  <c r="G946" i="6"/>
  <c r="G945" i="6"/>
  <c r="G944" i="6"/>
  <c r="G943" i="6"/>
  <c r="G942" i="6"/>
  <c r="G941" i="6"/>
  <c r="G940" i="6"/>
  <c r="G939" i="6"/>
  <c r="G938" i="6"/>
  <c r="G937" i="6"/>
  <c r="G936" i="6"/>
  <c r="G935" i="6"/>
  <c r="G934" i="6"/>
  <c r="G933" i="6"/>
  <c r="G932" i="6"/>
  <c r="G931" i="6"/>
  <c r="G930" i="6"/>
  <c r="G929" i="6"/>
  <c r="G928" i="6"/>
  <c r="G927" i="6"/>
  <c r="G926" i="6"/>
  <c r="G925" i="6"/>
  <c r="G924" i="6"/>
  <c r="G923" i="6"/>
  <c r="G922" i="6"/>
  <c r="G921" i="6"/>
  <c r="G920" i="6"/>
  <c r="G919" i="6"/>
  <c r="G918" i="6"/>
  <c r="G917" i="6"/>
  <c r="G916" i="6"/>
  <c r="G915" i="6"/>
  <c r="G914" i="6"/>
  <c r="G913" i="6"/>
  <c r="G912" i="6"/>
  <c r="G911" i="6"/>
  <c r="G910" i="6"/>
  <c r="G909" i="6"/>
  <c r="G908" i="6"/>
  <c r="G907" i="6"/>
  <c r="G906" i="6"/>
  <c r="G905" i="6"/>
  <c r="G904" i="6"/>
  <c r="G903" i="6"/>
  <c r="G902" i="6"/>
  <c r="G901" i="6"/>
  <c r="G900" i="6"/>
  <c r="G899" i="6"/>
  <c r="G898" i="6"/>
  <c r="G897" i="6"/>
  <c r="G896" i="6"/>
  <c r="G895" i="6"/>
  <c r="G894" i="6"/>
  <c r="G886" i="6"/>
  <c r="G1135" i="6"/>
  <c r="G1134" i="6"/>
  <c r="G1132" i="6"/>
  <c r="G1131" i="6"/>
  <c r="G1128" i="6"/>
  <c r="G1127" i="6"/>
  <c r="G1126" i="6"/>
  <c r="G1125" i="6"/>
  <c r="G1124" i="6"/>
  <c r="G1123" i="6"/>
  <c r="G1122" i="6"/>
  <c r="G1121" i="6"/>
  <c r="G1120" i="6"/>
  <c r="G1119" i="6"/>
  <c r="G1118" i="6"/>
  <c r="G1117" i="6"/>
  <c r="G1116" i="6"/>
  <c r="G1115" i="6"/>
  <c r="G1114" i="6"/>
  <c r="G1113" i="6"/>
  <c r="G1112" i="6"/>
  <c r="G1111" i="6"/>
  <c r="G1110" i="6"/>
  <c r="G1109" i="6"/>
  <c r="G1108" i="6"/>
  <c r="G1107" i="6"/>
  <c r="G1106" i="6"/>
  <c r="G1105" i="6"/>
  <c r="G1104" i="6"/>
  <c r="G1103" i="6"/>
  <c r="G1102" i="6"/>
  <c r="G1101" i="6"/>
  <c r="G1100" i="6"/>
  <c r="G1099" i="6"/>
  <c r="G1098" i="6"/>
  <c r="G1097" i="6"/>
  <c r="G1096" i="6"/>
  <c r="G1095" i="6"/>
  <c r="G1094" i="6"/>
  <c r="G1093" i="6"/>
  <c r="G1092" i="6"/>
  <c r="G1091" i="6"/>
  <c r="G1090" i="6"/>
  <c r="G1089" i="6"/>
  <c r="G1088" i="6"/>
  <c r="G1087" i="6"/>
  <c r="G1086" i="6"/>
  <c r="G1085" i="6"/>
  <c r="G1084" i="6"/>
  <c r="G1083" i="6"/>
  <c r="G1082" i="6"/>
  <c r="G1081" i="6"/>
  <c r="G1080" i="6"/>
  <c r="G1079" i="6"/>
  <c r="G1078" i="6"/>
  <c r="G1077" i="6"/>
  <c r="G1076" i="6"/>
  <c r="G1075" i="6"/>
  <c r="G1074" i="6"/>
  <c r="G1073" i="6"/>
  <c r="G1072" i="6"/>
  <c r="G1071" i="6"/>
  <c r="G1070" i="6"/>
  <c r="G1069" i="6"/>
  <c r="G1068" i="6"/>
  <c r="G1067" i="6"/>
  <c r="G1066" i="6"/>
  <c r="G1065" i="6"/>
  <c r="G1064" i="6"/>
  <c r="G1063" i="6"/>
  <c r="G1062" i="6"/>
  <c r="G1061" i="6"/>
  <c r="G1060" i="6"/>
  <c r="G1059" i="6"/>
  <c r="G1058" i="6"/>
  <c r="G1057" i="6"/>
  <c r="G1056" i="6"/>
  <c r="G1055" i="6"/>
  <c r="G1054" i="6"/>
  <c r="G1053" i="6"/>
  <c r="G1052" i="6"/>
  <c r="G1051" i="6"/>
  <c r="G1050" i="6"/>
  <c r="G1049" i="6"/>
  <c r="G1048" i="6"/>
  <c r="G1047" i="6"/>
  <c r="G1046" i="6"/>
  <c r="G1045" i="6"/>
  <c r="G1044" i="6"/>
  <c r="G1043" i="6"/>
  <c r="G1042" i="6"/>
  <c r="G1041" i="6"/>
  <c r="G1040" i="6"/>
  <c r="G1039" i="6"/>
  <c r="G1038" i="6"/>
  <c r="G1037" i="6"/>
  <c r="G1036" i="6"/>
  <c r="G1035" i="6"/>
  <c r="G1034" i="6"/>
  <c r="G1033" i="6"/>
  <c r="G1032" i="6"/>
  <c r="G1031" i="6"/>
  <c r="G1030" i="6"/>
  <c r="G1029" i="6"/>
  <c r="G1028" i="6"/>
  <c r="G1027" i="6"/>
  <c r="G1026" i="6"/>
  <c r="G1025" i="6"/>
  <c r="G1024" i="6"/>
  <c r="G1023" i="6"/>
  <c r="G1022" i="6"/>
  <c r="G1021" i="6"/>
  <c r="G1020" i="6"/>
  <c r="G1019" i="6"/>
  <c r="G1018" i="6"/>
  <c r="G1017" i="6"/>
  <c r="G1016" i="6"/>
  <c r="G1015" i="6"/>
  <c r="G1014" i="6"/>
  <c r="G1013" i="6"/>
  <c r="G1012" i="6"/>
  <c r="G1011" i="6"/>
  <c r="G1010" i="6"/>
  <c r="G1009" i="6"/>
  <c r="G1008" i="6"/>
  <c r="G1007" i="6"/>
  <c r="G1006" i="6"/>
  <c r="G1005" i="6"/>
  <c r="G1004" i="6"/>
  <c r="G1003" i="6"/>
  <c r="G1002" i="6"/>
  <c r="G1001" i="6"/>
  <c r="G1000" i="6"/>
  <c r="G996" i="6"/>
  <c r="G995" i="6"/>
  <c r="G1429" i="6"/>
  <c r="G1428" i="6"/>
  <c r="G1427" i="6"/>
  <c r="G1426" i="6"/>
  <c r="G1425" i="6"/>
  <c r="G1424" i="6"/>
  <c r="G1423" i="6"/>
  <c r="G1422" i="6"/>
  <c r="G1421" i="6"/>
  <c r="G1420" i="6"/>
  <c r="G1419" i="6"/>
  <c r="G1418" i="6"/>
  <c r="G1417" i="6"/>
  <c r="G1416" i="6"/>
  <c r="G1415" i="6"/>
  <c r="G1414" i="6"/>
  <c r="G1413" i="6"/>
  <c r="G1412" i="6"/>
  <c r="G1411" i="6"/>
  <c r="G1410" i="6"/>
  <c r="G1409" i="6"/>
  <c r="G1408" i="6"/>
  <c r="G1407" i="6"/>
  <c r="G1406" i="6"/>
  <c r="G1405" i="6"/>
  <c r="G1404" i="6"/>
  <c r="G1403" i="6"/>
  <c r="G1402" i="6"/>
  <c r="G1401" i="6"/>
  <c r="G1400" i="6"/>
  <c r="G1399" i="6"/>
  <c r="G1398" i="6"/>
  <c r="G1397" i="6"/>
  <c r="G1396" i="6"/>
  <c r="G1395" i="6"/>
  <c r="G1394" i="6"/>
  <c r="G1393" i="6"/>
  <c r="G1392" i="6"/>
  <c r="G1391" i="6"/>
  <c r="G1390" i="6"/>
  <c r="G1389" i="6"/>
  <c r="G1388" i="6"/>
  <c r="G1387" i="6"/>
  <c r="G1386" i="6"/>
  <c r="G1385" i="6"/>
  <c r="G1384" i="6"/>
  <c r="G1383" i="6"/>
  <c r="G1382" i="6"/>
  <c r="G1381" i="6"/>
  <c r="G1380" i="6"/>
  <c r="G1379" i="6"/>
  <c r="G1378" i="6"/>
  <c r="G1377" i="6"/>
  <c r="G1376" i="6"/>
  <c r="G1375" i="6"/>
  <c r="G1374" i="6"/>
  <c r="G1373" i="6"/>
  <c r="G1372" i="6"/>
  <c r="G1371" i="6"/>
  <c r="G1370" i="6"/>
  <c r="G1369" i="6"/>
  <c r="G1368" i="6"/>
  <c r="G1367" i="6"/>
  <c r="G1366" i="6"/>
  <c r="G1365" i="6"/>
  <c r="G1364" i="6"/>
  <c r="G1363" i="6"/>
  <c r="G1362" i="6"/>
  <c r="G1361" i="6"/>
  <c r="G1360" i="6"/>
  <c r="G1359" i="6"/>
  <c r="G1358" i="6"/>
  <c r="G1357" i="6"/>
  <c r="G1356" i="6"/>
  <c r="G1355" i="6"/>
  <c r="G1354" i="6"/>
  <c r="G1353" i="6"/>
  <c r="G1352" i="6"/>
  <c r="G1351" i="6"/>
  <c r="G1350" i="6"/>
  <c r="G1349" i="6"/>
  <c r="G1348" i="6"/>
  <c r="G1347" i="6"/>
  <c r="G1346" i="6"/>
  <c r="G1345" i="6"/>
  <c r="G1344" i="6"/>
  <c r="G1343" i="6"/>
  <c r="G1342" i="6"/>
  <c r="G1341" i="6"/>
  <c r="G1340" i="6"/>
  <c r="G1339" i="6"/>
  <c r="G1338" i="6"/>
  <c r="G1337" i="6"/>
  <c r="G1336" i="6"/>
  <c r="G1335" i="6"/>
  <c r="G1334" i="6"/>
  <c r="G1333" i="6"/>
  <c r="G1332" i="6"/>
  <c r="G1331" i="6"/>
  <c r="G1330" i="6"/>
  <c r="G1329" i="6"/>
  <c r="G1328" i="6"/>
  <c r="G1327" i="6"/>
  <c r="G1326" i="6"/>
  <c r="G1325" i="6"/>
  <c r="G1324" i="6"/>
  <c r="G1323" i="6"/>
  <c r="G1322" i="6"/>
  <c r="G1321" i="6"/>
  <c r="G1320" i="6"/>
  <c r="G1319" i="6"/>
  <c r="G1318" i="6"/>
  <c r="G1317" i="6"/>
  <c r="G1316" i="6"/>
  <c r="G1315" i="6"/>
  <c r="G1314" i="6"/>
  <c r="G1313" i="6"/>
  <c r="G1312" i="6"/>
  <c r="G1311" i="6"/>
  <c r="G1310" i="6"/>
  <c r="G1309" i="6"/>
  <c r="G1308" i="6"/>
  <c r="G1307" i="6"/>
  <c r="G1306" i="6"/>
  <c r="G1305" i="6"/>
  <c r="G1304" i="6"/>
  <c r="G1303" i="6"/>
  <c r="G1302" i="6"/>
  <c r="G1301" i="6"/>
  <c r="G1300" i="6"/>
  <c r="G1299" i="6"/>
  <c r="G1298" i="6"/>
  <c r="G1297" i="6"/>
  <c r="G1296" i="6"/>
  <c r="G1295" i="6"/>
  <c r="G1294" i="6"/>
  <c r="G1293" i="6"/>
  <c r="G1292" i="6"/>
  <c r="G1291" i="6"/>
  <c r="G1290" i="6"/>
  <c r="G1289" i="6"/>
  <c r="G1288" i="6"/>
  <c r="G1287" i="6"/>
  <c r="G1286" i="6"/>
  <c r="G1285" i="6"/>
  <c r="G1284" i="6"/>
  <c r="G1283" i="6"/>
  <c r="G1282" i="6"/>
  <c r="G1281" i="6"/>
  <c r="G1280" i="6"/>
  <c r="G1279" i="6"/>
  <c r="G1278" i="6"/>
  <c r="G1277" i="6"/>
  <c r="G1276" i="6"/>
  <c r="G1275" i="6"/>
  <c r="G1274" i="6"/>
  <c r="G1273" i="6"/>
  <c r="G1272" i="6"/>
  <c r="G1271" i="6"/>
  <c r="G1270" i="6"/>
  <c r="G1269" i="6"/>
  <c r="G1268" i="6"/>
  <c r="G1267" i="6"/>
  <c r="G1266" i="6"/>
  <c r="G1265" i="6"/>
  <c r="G1264" i="6"/>
  <c r="G1263" i="6"/>
  <c r="G1262" i="6"/>
  <c r="G1261" i="6"/>
  <c r="G1260" i="6"/>
  <c r="G1259" i="6"/>
  <c r="G1258" i="6"/>
  <c r="G1257" i="6"/>
  <c r="G1256" i="6"/>
  <c r="G1255" i="6"/>
  <c r="G1254" i="6"/>
  <c r="G1253" i="6"/>
  <c r="G1252" i="6"/>
  <c r="G1251" i="6"/>
  <c r="G1250" i="6"/>
  <c r="G1249" i="6"/>
  <c r="G1248" i="6"/>
  <c r="G1247" i="6"/>
  <c r="G1246" i="6"/>
  <c r="G1245" i="6"/>
  <c r="G1244" i="6"/>
  <c r="G1243" i="6"/>
  <c r="G1242" i="6"/>
  <c r="G1241" i="6"/>
  <c r="G1240" i="6"/>
  <c r="G1239" i="6"/>
  <c r="G1238" i="6"/>
  <c r="G1237" i="6"/>
  <c r="G1236" i="6"/>
  <c r="G1235" i="6"/>
  <c r="G1234" i="6"/>
  <c r="G1233" i="6"/>
  <c r="G1232" i="6"/>
  <c r="G1231" i="6"/>
  <c r="G1230" i="6"/>
  <c r="G1229" i="6"/>
  <c r="G1228" i="6"/>
  <c r="G1227" i="6"/>
  <c r="G1226" i="6"/>
  <c r="G1225" i="6"/>
  <c r="G1224" i="6"/>
  <c r="G1223" i="6"/>
  <c r="G1222" i="6"/>
  <c r="G1221" i="6"/>
  <c r="G1220" i="6"/>
  <c r="G1219" i="6"/>
  <c r="G1218" i="6"/>
  <c r="G1217" i="6"/>
  <c r="G1216" i="6"/>
  <c r="G1215" i="6"/>
  <c r="G1214" i="6"/>
  <c r="G1213" i="6"/>
  <c r="G1212" i="6"/>
  <c r="G1211" i="6"/>
  <c r="G1210" i="6"/>
  <c r="G1209" i="6"/>
  <c r="G1208" i="6"/>
  <c r="G1207" i="6"/>
  <c r="G1206" i="6"/>
  <c r="G1999" i="6"/>
  <c r="G1204" i="6"/>
  <c r="G1203" i="6"/>
  <c r="G1202" i="6"/>
  <c r="G1201" i="6"/>
  <c r="G1200" i="6"/>
  <c r="G1199" i="6"/>
  <c r="G1198" i="6"/>
  <c r="G1197" i="6"/>
  <c r="G1196" i="6"/>
  <c r="G1195" i="6"/>
  <c r="G1194" i="6"/>
  <c r="G1193" i="6"/>
  <c r="G1192" i="6"/>
  <c r="G1191" i="6"/>
  <c r="G1190" i="6"/>
  <c r="G1189" i="6"/>
  <c r="G1188" i="6"/>
  <c r="G1187" i="6"/>
  <c r="G1186" i="6"/>
  <c r="G1185" i="6"/>
  <c r="G1184" i="6"/>
  <c r="G1183" i="6"/>
  <c r="G1182" i="6"/>
  <c r="G1181" i="6"/>
  <c r="G1180" i="6"/>
  <c r="G1179" i="6"/>
  <c r="G1178" i="6"/>
  <c r="G1177" i="6"/>
  <c r="G1176" i="6"/>
  <c r="G1175" i="6"/>
  <c r="G1174" i="6"/>
  <c r="G1173" i="6"/>
  <c r="G1172" i="6"/>
  <c r="G1171" i="6"/>
  <c r="G1170" i="6"/>
  <c r="G1169" i="6"/>
  <c r="G1168" i="6"/>
  <c r="G1205" i="6"/>
  <c r="G1166" i="6"/>
  <c r="G1165" i="6"/>
  <c r="G1164" i="6"/>
  <c r="G1163" i="6"/>
  <c r="G1162" i="6"/>
  <c r="G1161" i="6"/>
  <c r="G1160" i="6"/>
  <c r="G1159" i="6"/>
  <c r="G1158" i="6"/>
  <c r="G1157" i="6"/>
  <c r="G1156" i="6"/>
  <c r="G1155" i="6"/>
  <c r="G1154" i="6"/>
  <c r="G1153" i="6"/>
  <c r="G1152" i="6"/>
  <c r="G1151" i="6"/>
  <c r="G1150" i="6"/>
  <c r="G1149" i="6"/>
  <c r="G1148" i="6"/>
  <c r="G1147" i="6"/>
  <c r="G1146" i="6"/>
  <c r="G1145" i="6"/>
  <c r="G1144" i="6"/>
  <c r="G1143" i="6"/>
  <c r="G1142" i="6"/>
  <c r="G1141" i="6"/>
  <c r="G1140" i="6"/>
  <c r="G1139" i="6"/>
  <c r="G1138" i="6"/>
  <c r="G1137" i="6"/>
  <c r="G1136" i="6"/>
  <c r="G1133" i="6"/>
  <c r="G1130" i="6"/>
  <c r="G1129" i="6"/>
  <c r="G1433" i="6"/>
  <c r="G1431" i="6"/>
  <c r="G1430" i="6"/>
  <c r="G1167" i="6"/>
  <c r="G481" i="6"/>
  <c r="G1891" i="6"/>
  <c r="G1895" i="6"/>
  <c r="G1899" i="6"/>
  <c r="G1904" i="6"/>
  <c r="G1908" i="6"/>
  <c r="G1916" i="6"/>
  <c r="G1923" i="6"/>
  <c r="G1927" i="6"/>
  <c r="G1931" i="6"/>
  <c r="G1935" i="6"/>
  <c r="G1939" i="6"/>
  <c r="G1941" i="6"/>
  <c r="G1946" i="6"/>
  <c r="G1450" i="6"/>
  <c r="G1439" i="6"/>
  <c r="G1434" i="6"/>
  <c r="G1449" i="6"/>
  <c r="G1456" i="6"/>
  <c r="G1470" i="6"/>
  <c r="G1478" i="6"/>
  <c r="G1483" i="6"/>
  <c r="G1490" i="6"/>
  <c r="G1496" i="6"/>
  <c r="G1502" i="6"/>
  <c r="G1512" i="6"/>
  <c r="G1517" i="6"/>
  <c r="G1522" i="6"/>
  <c r="G1528" i="6"/>
  <c r="G1537" i="6"/>
  <c r="G1542" i="6"/>
  <c r="G1548" i="6"/>
  <c r="G1553" i="6"/>
  <c r="G1561" i="6"/>
  <c r="G1566" i="6"/>
  <c r="G1571" i="6"/>
  <c r="G1576" i="6"/>
  <c r="G1583" i="6"/>
  <c r="G1591" i="6"/>
  <c r="G1599" i="6"/>
  <c r="G1607" i="6"/>
  <c r="G1615" i="6"/>
  <c r="G1639" i="6"/>
  <c r="G1645" i="6"/>
  <c r="G1650" i="6"/>
  <c r="G1656" i="6"/>
  <c r="G1663" i="6"/>
  <c r="G1673" i="6"/>
  <c r="G1678" i="6"/>
  <c r="G1686" i="6"/>
  <c r="G1694" i="6"/>
  <c r="G1719" i="6"/>
  <c r="G1724" i="6"/>
  <c r="G1734" i="6"/>
  <c r="G1748" i="6"/>
  <c r="G1754" i="6"/>
  <c r="G1761" i="6"/>
  <c r="G1767" i="6"/>
  <c r="G1772" i="6"/>
  <c r="G1778" i="6"/>
  <c r="G1784" i="6"/>
  <c r="G1789" i="6"/>
  <c r="G1796" i="6"/>
  <c r="G1803" i="6"/>
  <c r="G1816" i="6"/>
  <c r="G1826" i="6"/>
  <c r="G1832" i="6"/>
  <c r="G1839" i="6"/>
  <c r="G1847" i="6"/>
  <c r="G1853" i="6"/>
  <c r="G1873" i="6"/>
  <c r="G1876" i="6"/>
  <c r="G1880" i="6"/>
  <c r="G1886" i="6"/>
  <c r="G1893" i="6"/>
  <c r="G1910" i="6"/>
  <c r="G1914" i="6"/>
  <c r="G1919" i="6"/>
  <c r="G1925" i="6"/>
  <c r="G1929" i="6"/>
  <c r="G1933" i="6"/>
  <c r="G1937" i="6"/>
  <c r="G1947" i="6"/>
  <c r="G1950" i="6"/>
  <c r="G1953" i="6"/>
  <c r="G1957" i="6"/>
  <c r="G1962" i="6"/>
  <c r="G1967" i="6"/>
  <c r="G1982" i="6"/>
  <c r="G1984" i="6"/>
  <c r="G1988" i="6"/>
  <c r="G1991" i="6"/>
  <c r="G1996" i="6"/>
  <c r="G1887" i="6"/>
  <c r="G1884" i="6"/>
  <c r="G1878" i="6"/>
  <c r="G1874" i="6"/>
  <c r="G1870" i="6"/>
  <c r="G1862" i="6"/>
  <c r="G1856" i="6"/>
  <c r="G1851" i="6"/>
  <c r="G1842" i="6"/>
  <c r="G1836" i="6"/>
  <c r="G1824" i="6"/>
  <c r="G1819" i="6"/>
  <c r="G1811" i="6"/>
  <c r="G1804" i="6"/>
  <c r="G1793" i="6"/>
  <c r="G1768" i="6"/>
  <c r="G1763" i="6"/>
  <c r="G1758" i="6"/>
  <c r="G1746" i="6"/>
  <c r="G1740" i="6"/>
  <c r="G1731" i="6"/>
  <c r="G1725" i="6"/>
  <c r="G1717" i="6"/>
  <c r="G1707" i="6"/>
  <c r="G1701" i="6"/>
  <c r="G1696" i="6"/>
  <c r="G1689" i="6"/>
  <c r="G1680" i="6"/>
  <c r="G1675" i="6"/>
  <c r="G1667" i="6"/>
  <c r="G1660" i="6"/>
  <c r="G1643" i="6"/>
  <c r="G1637" i="6"/>
  <c r="G1630" i="6"/>
  <c r="G1625" i="6"/>
  <c r="G1618" i="6"/>
  <c r="G1613" i="6"/>
  <c r="G1608" i="6"/>
  <c r="G1601" i="6"/>
  <c r="G1592" i="6"/>
  <c r="G1586" i="6"/>
  <c r="G1580" i="6"/>
  <c r="G1575" i="6"/>
  <c r="G1567" i="6"/>
  <c r="G1563" i="6"/>
  <c r="G1555" i="6"/>
  <c r="G1546" i="6"/>
  <c r="G1520" i="6"/>
  <c r="G1515" i="6"/>
  <c r="G1508" i="6"/>
  <c r="G1499" i="6"/>
  <c r="G1494" i="6"/>
  <c r="G1487" i="6"/>
  <c r="G1481" i="6"/>
  <c r="G1474" i="6"/>
  <c r="G1468" i="6"/>
  <c r="G1463" i="6"/>
  <c r="G1437" i="6"/>
  <c r="G1507" i="6"/>
  <c r="L1567" i="1"/>
  <c r="G1882" i="6"/>
  <c r="G1875" i="6"/>
  <c r="G1868" i="6"/>
  <c r="G1863" i="6"/>
  <c r="G1858" i="6"/>
  <c r="G1850" i="6"/>
  <c r="G1843" i="6"/>
  <c r="G1837" i="6"/>
  <c r="G1812" i="6"/>
  <c r="G1806" i="6"/>
  <c r="G1798" i="6"/>
  <c r="G1790" i="6"/>
  <c r="G1781" i="6"/>
  <c r="G1775" i="6"/>
  <c r="G1770" i="6"/>
  <c r="G1759" i="6"/>
  <c r="G1752" i="6"/>
  <c r="G1747" i="6"/>
  <c r="G1739" i="6"/>
  <c r="G1733" i="6"/>
  <c r="G1727" i="6"/>
  <c r="G1721" i="6"/>
  <c r="G1715" i="6"/>
  <c r="G1709" i="6"/>
  <c r="G1704" i="6"/>
  <c r="G1692" i="6"/>
  <c r="G1687" i="6"/>
  <c r="G1682" i="6"/>
  <c r="G1671" i="6"/>
  <c r="G1664" i="6"/>
  <c r="G1658" i="6"/>
  <c r="G1652" i="6"/>
  <c r="G1647" i="6"/>
  <c r="G1641" i="6"/>
  <c r="G1636" i="6"/>
  <c r="G1629" i="6"/>
  <c r="G1624" i="6"/>
  <c r="G1614" i="6"/>
  <c r="G1605" i="6"/>
  <c r="G1596" i="6"/>
  <c r="G1587" i="6"/>
  <c r="G1579" i="6"/>
  <c r="G1573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18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1845" i="6"/>
  <c r="G1833" i="6"/>
  <c r="G1829" i="6"/>
  <c r="G1822" i="6"/>
  <c r="G1818" i="6"/>
  <c r="G1814" i="6"/>
  <c r="G1809" i="6"/>
  <c r="G1805" i="6"/>
  <c r="G1800" i="6"/>
  <c r="G1794" i="6"/>
  <c r="G1787" i="6"/>
  <c r="G1783" i="6"/>
  <c r="G1777" i="6"/>
  <c r="G1774" i="6"/>
  <c r="G1757" i="6"/>
  <c r="G1755" i="6"/>
  <c r="G1751" i="6"/>
  <c r="G1743" i="6"/>
  <c r="G1738" i="6"/>
  <c r="G1732" i="6"/>
  <c r="G1728" i="6"/>
  <c r="G1723" i="6"/>
  <c r="G1720" i="6"/>
  <c r="G1716" i="6"/>
  <c r="G1712" i="6"/>
  <c r="G1708" i="6"/>
  <c r="G1700" i="6"/>
  <c r="G1697" i="6"/>
  <c r="G1693" i="6"/>
  <c r="G1690" i="6"/>
  <c r="G1684" i="6"/>
  <c r="G1681" i="6"/>
  <c r="G1676" i="6"/>
  <c r="G1672" i="6"/>
  <c r="G1668" i="6"/>
  <c r="G1659" i="6"/>
  <c r="G1653" i="6"/>
  <c r="G1635" i="6"/>
  <c r="G1631" i="6"/>
  <c r="G1627" i="6"/>
  <c r="G1623" i="6"/>
  <c r="G1620" i="6"/>
  <c r="G1602" i="6"/>
  <c r="G1597" i="6"/>
  <c r="G1593" i="6"/>
  <c r="G1588" i="6"/>
  <c r="G1582" i="6"/>
  <c r="G1577" i="6"/>
  <c r="G1572" i="6"/>
  <c r="G1569" i="6"/>
  <c r="G1565" i="6"/>
  <c r="G1559" i="6"/>
  <c r="G1557" i="6"/>
  <c r="G1551" i="6"/>
  <c r="G1547" i="6"/>
  <c r="G1544" i="6"/>
  <c r="G1540" i="6"/>
  <c r="G1534" i="6"/>
  <c r="G1530" i="6"/>
  <c r="G1525" i="6"/>
  <c r="G1521" i="6"/>
  <c r="G1518" i="6"/>
  <c r="G1514" i="6"/>
  <c r="G1511" i="6"/>
  <c r="G1504" i="6"/>
  <c r="G1501" i="6"/>
  <c r="G1497" i="6"/>
  <c r="G1491" i="6"/>
  <c r="G1488" i="6"/>
  <c r="G1484" i="6"/>
  <c r="G1480" i="6"/>
  <c r="G1477" i="6"/>
  <c r="G1472" i="6"/>
  <c r="G1464" i="6"/>
  <c r="G1460" i="6"/>
  <c r="G1453" i="6"/>
  <c r="G1448" i="6"/>
  <c r="G1445" i="6"/>
  <c r="G1440" i="6"/>
  <c r="G1568" i="6"/>
  <c r="G1771" i="6"/>
  <c r="G1562" i="6"/>
  <c r="G1554" i="6"/>
  <c r="G1550" i="6"/>
  <c r="G1545" i="6"/>
  <c r="G1539" i="6"/>
  <c r="G1531" i="6"/>
  <c r="G1524" i="6"/>
  <c r="G1510" i="6"/>
  <c r="G1505" i="6"/>
  <c r="G1498" i="6"/>
  <c r="G1493" i="6"/>
  <c r="G1486" i="6"/>
  <c r="G1479" i="6"/>
  <c r="G1457" i="6"/>
  <c r="G1451" i="6"/>
  <c r="G1446" i="6"/>
  <c r="G1435" i="6"/>
  <c r="G1997" i="6"/>
  <c r="G1994" i="6"/>
  <c r="G1992" i="6"/>
  <c r="G1989" i="6"/>
  <c r="G1986" i="6"/>
  <c r="G1980" i="6"/>
  <c r="G1979" i="6"/>
  <c r="G1977" i="6"/>
  <c r="G1975" i="6"/>
  <c r="G1974" i="6"/>
  <c r="G1972" i="6"/>
  <c r="G1968" i="6"/>
  <c r="G1965" i="6"/>
  <c r="G1963" i="6"/>
  <c r="G1960" i="6"/>
  <c r="G1958" i="6"/>
  <c r="G1955" i="6"/>
  <c r="G1949" i="6"/>
  <c r="G1948" i="6"/>
  <c r="G1945" i="6"/>
  <c r="G1944" i="6"/>
  <c r="G1943" i="6"/>
  <c r="G1936" i="6"/>
  <c r="G1934" i="6"/>
  <c r="G1932" i="6"/>
  <c r="G1930" i="6"/>
  <c r="G1922" i="6"/>
  <c r="G1920" i="6"/>
  <c r="G1917" i="6"/>
  <c r="G1913" i="6"/>
  <c r="G1911" i="6"/>
  <c r="G1907" i="6"/>
  <c r="G1905" i="6"/>
  <c r="G1902" i="6"/>
  <c r="G1900" i="6"/>
  <c r="G1898" i="6"/>
  <c r="G1896" i="6"/>
  <c r="G1894" i="6"/>
  <c r="G1892" i="6"/>
  <c r="G1890" i="6"/>
  <c r="G1889" i="6"/>
  <c r="G1879" i="6"/>
  <c r="G1877" i="6"/>
  <c r="G1872" i="6"/>
  <c r="G1869" i="6"/>
  <c r="G1866" i="6"/>
  <c r="G1864" i="6"/>
  <c r="G1860" i="6"/>
  <c r="G1859" i="6"/>
  <c r="G1855" i="6"/>
  <c r="G1852" i="6"/>
  <c r="G1849" i="6"/>
  <c r="G1846" i="6"/>
  <c r="G1841" i="6"/>
  <c r="G1838" i="6"/>
  <c r="G1834" i="6"/>
  <c r="G1831" i="6"/>
  <c r="G1828" i="6"/>
  <c r="G1825" i="6"/>
  <c r="G1821" i="6"/>
  <c r="G1817" i="6"/>
  <c r="G1815" i="6"/>
  <c r="G1810" i="6"/>
  <c r="G1807" i="6"/>
  <c r="G1802" i="6"/>
  <c r="G1799" i="6"/>
  <c r="G1795" i="6"/>
  <c r="G1792" i="6"/>
  <c r="G1788" i="6"/>
  <c r="G1785" i="6"/>
  <c r="G1780" i="6"/>
  <c r="G1776" i="6"/>
  <c r="G1773" i="6"/>
  <c r="G1769" i="6"/>
  <c r="G1766" i="6"/>
  <c r="G1764" i="6"/>
  <c r="G1760" i="6"/>
  <c r="G1749" i="6"/>
  <c r="G1744" i="6"/>
  <c r="G1742" i="6"/>
  <c r="G1737" i="6"/>
  <c r="G1735" i="6"/>
  <c r="G1729" i="6"/>
  <c r="G1713" i="6"/>
  <c r="G1711" i="6"/>
  <c r="G1705" i="6"/>
  <c r="G1703" i="6"/>
  <c r="G1699" i="6"/>
  <c r="G1685" i="6"/>
  <c r="G1683" i="6"/>
  <c r="G1679" i="6"/>
  <c r="G1677" i="6"/>
  <c r="G1674" i="6"/>
  <c r="G1669" i="6"/>
  <c r="G1666" i="6"/>
  <c r="G1662" i="6"/>
  <c r="G1657" i="6"/>
  <c r="G1654" i="6"/>
  <c r="G1651" i="6"/>
  <c r="G1648" i="6"/>
  <c r="G1644" i="6"/>
  <c r="G1640" i="6"/>
  <c r="G1638" i="6"/>
  <c r="G1634" i="6"/>
  <c r="G1632" i="6"/>
  <c r="G1628" i="6"/>
  <c r="G1622" i="6"/>
  <c r="G1619" i="6"/>
  <c r="G1616" i="6"/>
  <c r="G1612" i="6"/>
  <c r="G1610" i="6"/>
  <c r="G1606" i="6"/>
  <c r="G1603" i="6"/>
  <c r="G1600" i="6"/>
  <c r="G1595" i="6"/>
  <c r="G1590" i="6"/>
  <c r="G1585" i="6"/>
  <c r="G1581" i="6"/>
  <c r="G1578" i="6"/>
  <c r="G1574" i="6"/>
  <c r="G1570" i="6"/>
  <c r="G1558" i="6"/>
  <c r="G1543" i="6"/>
  <c r="G1538" i="6"/>
  <c r="G1535" i="6"/>
  <c r="G1532" i="6"/>
  <c r="G1529" i="6"/>
  <c r="G1526" i="6"/>
  <c r="G1523" i="6"/>
  <c r="G1519" i="6"/>
  <c r="G1516" i="6"/>
  <c r="G1513" i="6"/>
  <c r="G1500" i="6"/>
  <c r="G1495" i="6"/>
  <c r="G1492" i="6"/>
  <c r="G1489" i="6"/>
  <c r="G1476" i="6"/>
  <c r="G1473" i="6"/>
  <c r="G1467" i="6"/>
  <c r="G1465" i="6"/>
  <c r="G1461" i="6"/>
  <c r="G1459" i="6"/>
  <c r="G1455" i="6"/>
  <c r="G1452" i="6"/>
  <c r="G1447" i="6"/>
  <c r="G1443" i="6"/>
  <c r="G1441" i="6"/>
  <c r="G1438" i="6"/>
  <c r="G1432" i="6"/>
  <c r="G1444" i="6"/>
  <c r="G1436" i="6"/>
  <c r="G1442" i="6"/>
  <c r="G1998" i="6"/>
  <c r="G1995" i="6"/>
  <c r="G1993" i="6"/>
  <c r="G1990" i="6"/>
  <c r="G1987" i="6"/>
  <c r="G1985" i="6"/>
  <c r="G1983" i="6"/>
  <c r="G1981" i="6"/>
  <c r="G1978" i="6"/>
  <c r="G1976" i="6"/>
  <c r="G1973" i="6"/>
  <c r="G1971" i="6"/>
  <c r="G1970" i="6"/>
  <c r="G1969" i="6"/>
  <c r="G1966" i="6"/>
  <c r="G1964" i="6"/>
  <c r="G1961" i="6"/>
  <c r="G1959" i="6"/>
  <c r="G1956" i="6"/>
  <c r="G1954" i="6"/>
  <c r="G1952" i="6"/>
  <c r="G1951" i="6"/>
  <c r="G1942" i="6"/>
  <c r="G1940" i="6"/>
  <c r="G1938" i="6"/>
  <c r="G1928" i="6"/>
  <c r="G1926" i="6"/>
  <c r="G1924" i="6"/>
  <c r="G1921" i="6"/>
  <c r="G1918" i="6"/>
  <c r="G1915" i="6"/>
  <c r="G1912" i="6"/>
  <c r="G1909" i="6"/>
  <c r="G1906" i="6"/>
  <c r="G1903" i="6"/>
  <c r="G1901" i="6"/>
  <c r="G1897" i="6"/>
  <c r="G1888" i="6"/>
  <c r="G1885" i="6"/>
  <c r="G1883" i="6"/>
  <c r="G1871" i="6"/>
  <c r="G1867" i="6"/>
  <c r="G1865" i="6"/>
  <c r="G1861" i="6"/>
  <c r="G1857" i="6"/>
  <c r="G1854" i="6"/>
  <c r="G1848" i="6"/>
  <c r="G1844" i="6"/>
  <c r="G1840" i="6"/>
  <c r="G1835" i="6"/>
  <c r="G1830" i="6"/>
  <c r="G1827" i="6"/>
  <c r="G1823" i="6"/>
  <c r="G1820" i="6"/>
  <c r="G1813" i="6"/>
  <c r="G1808" i="6"/>
  <c r="G1801" i="6"/>
  <c r="G1797" i="6"/>
  <c r="G1791" i="6"/>
  <c r="G1786" i="6"/>
  <c r="G1782" i="6"/>
  <c r="G1779" i="6"/>
  <c r="G1765" i="6"/>
  <c r="G1762" i="6"/>
  <c r="G1756" i="6"/>
  <c r="G1753" i="6"/>
  <c r="G1750" i="6"/>
  <c r="G1745" i="6"/>
  <c r="G1741" i="6"/>
  <c r="G1736" i="6"/>
  <c r="G1730" i="6"/>
  <c r="G1726" i="6"/>
  <c r="G1722" i="6"/>
  <c r="G1718" i="6"/>
  <c r="G1714" i="6"/>
  <c r="G1710" i="6"/>
  <c r="G1706" i="6"/>
  <c r="G1702" i="6"/>
  <c r="G1698" i="6"/>
  <c r="G1695" i="6"/>
  <c r="G1691" i="6"/>
  <c r="G1688" i="6"/>
  <c r="G1670" i="6"/>
  <c r="G1665" i="6"/>
  <c r="G1661" i="6"/>
  <c r="G1655" i="6"/>
  <c r="G1649" i="6"/>
  <c r="G1646" i="6"/>
  <c r="G1642" i="6"/>
  <c r="G1633" i="6"/>
  <c r="G1626" i="6"/>
  <c r="G1621" i="6"/>
  <c r="G1617" i="6"/>
  <c r="G1611" i="6"/>
  <c r="G1609" i="6"/>
  <c r="G1604" i="6"/>
  <c r="G1598" i="6"/>
  <c r="G1594" i="6"/>
  <c r="G1589" i="6"/>
  <c r="G1584" i="6"/>
  <c r="G1564" i="6"/>
  <c r="G1560" i="6"/>
  <c r="G1556" i="6"/>
  <c r="G1552" i="6"/>
  <c r="G1549" i="6"/>
  <c r="G1541" i="6"/>
  <c r="G1536" i="6"/>
  <c r="G1533" i="6"/>
  <c r="G1527" i="6"/>
  <c r="G1509" i="6"/>
  <c r="G1506" i="6"/>
  <c r="G1503" i="6"/>
  <c r="G1485" i="6"/>
  <c r="G1482" i="6"/>
  <c r="G1475" i="6"/>
  <c r="G1471" i="6"/>
  <c r="G1469" i="6"/>
  <c r="G1466" i="6"/>
  <c r="G1462" i="6"/>
  <c r="G1458" i="6"/>
  <c r="G1454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704" i="6"/>
  <c r="G703" i="6"/>
  <c r="G702" i="6"/>
  <c r="G701" i="6"/>
  <c r="G700" i="6"/>
  <c r="G699" i="6"/>
  <c r="G698" i="6"/>
  <c r="G697" i="6"/>
  <c r="G696" i="6"/>
  <c r="G695" i="6"/>
  <c r="G694" i="6"/>
  <c r="G693" i="6"/>
  <c r="G692" i="6"/>
  <c r="G691" i="6"/>
  <c r="G690" i="6"/>
  <c r="G689" i="6"/>
  <c r="G688" i="6"/>
  <c r="G687" i="6"/>
  <c r="G686" i="6"/>
  <c r="G685" i="6"/>
  <c r="G684" i="6"/>
  <c r="G683" i="6"/>
  <c r="G682" i="6"/>
  <c r="G681" i="6"/>
  <c r="G680" i="6"/>
  <c r="G679" i="6"/>
  <c r="G678" i="6"/>
  <c r="G677" i="6"/>
  <c r="G676" i="6"/>
  <c r="G675" i="6"/>
  <c r="G674" i="6"/>
  <c r="G673" i="6"/>
  <c r="G672" i="6"/>
  <c r="G671" i="6"/>
  <c r="G670" i="6"/>
  <c r="G669" i="6"/>
  <c r="G668" i="6"/>
  <c r="G667" i="6"/>
  <c r="G666" i="6"/>
  <c r="G665" i="6"/>
  <c r="G664" i="6"/>
  <c r="G663" i="6"/>
  <c r="G662" i="6"/>
  <c r="G661" i="6"/>
  <c r="G660" i="6"/>
  <c r="G659" i="6"/>
  <c r="G658" i="6"/>
  <c r="G657" i="6"/>
  <c r="G656" i="6"/>
  <c r="G655" i="6"/>
  <c r="G654" i="6"/>
  <c r="G653" i="6"/>
  <c r="G652" i="6"/>
  <c r="G651" i="6"/>
  <c r="G650" i="6"/>
  <c r="G649" i="6"/>
  <c r="G648" i="6"/>
  <c r="G647" i="6"/>
  <c r="G646" i="6"/>
  <c r="G645" i="6"/>
  <c r="G644" i="6"/>
  <c r="G643" i="6"/>
  <c r="G642" i="6"/>
  <c r="G705" i="6"/>
  <c r="G640" i="6"/>
  <c r="G639" i="6"/>
  <c r="G638" i="6"/>
  <c r="G637" i="6"/>
  <c r="G636" i="6"/>
  <c r="G635" i="6"/>
  <c r="G634" i="6"/>
  <c r="G641" i="6"/>
  <c r="G633" i="6"/>
  <c r="G632" i="6"/>
  <c r="G631" i="6"/>
  <c r="G630" i="6"/>
  <c r="G629" i="6"/>
  <c r="G628" i="6"/>
  <c r="G627" i="6"/>
  <c r="G626" i="6"/>
  <c r="G625" i="6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B129" i="2" l="1"/>
  <c r="C129" i="2"/>
  <c r="D129" i="2"/>
  <c r="E129" i="2"/>
  <c r="F129" i="2"/>
  <c r="G129" i="2"/>
  <c r="H129" i="2"/>
  <c r="I129" i="2"/>
  <c r="J129" i="2"/>
  <c r="K129" i="2"/>
  <c r="L129" i="2"/>
  <c r="M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B3" i="2"/>
  <c r="C3" i="2"/>
  <c r="D3" i="2"/>
  <c r="E3" i="2"/>
  <c r="F3" i="2"/>
  <c r="G3" i="2"/>
  <c r="H3" i="2"/>
  <c r="I3" i="2"/>
  <c r="J3" i="2"/>
  <c r="K3" i="2"/>
  <c r="L3" i="2"/>
  <c r="M3" i="2"/>
  <c r="B4" i="2"/>
  <c r="C4" i="2"/>
  <c r="D4" i="2"/>
  <c r="E4" i="2"/>
  <c r="F4" i="2"/>
  <c r="G4" i="2"/>
  <c r="H4" i="2"/>
  <c r="I4" i="2"/>
  <c r="J4" i="2"/>
  <c r="K4" i="2"/>
  <c r="L4" i="2"/>
  <c r="M4" i="2"/>
  <c r="B5" i="2"/>
  <c r="C5" i="2"/>
  <c r="D5" i="2"/>
  <c r="E5" i="2"/>
  <c r="F5" i="2"/>
  <c r="G5" i="2"/>
  <c r="H5" i="2"/>
  <c r="I5" i="2"/>
  <c r="J5" i="2"/>
  <c r="K5" i="2"/>
  <c r="L5" i="2"/>
  <c r="M5" i="2"/>
  <c r="B6" i="2"/>
  <c r="C6" i="2"/>
  <c r="D6" i="2"/>
  <c r="E6" i="2"/>
  <c r="F6" i="2"/>
  <c r="G6" i="2"/>
  <c r="H6" i="2"/>
  <c r="I6" i="2"/>
  <c r="J6" i="2"/>
  <c r="K6" i="2"/>
  <c r="L6" i="2"/>
  <c r="M6" i="2"/>
  <c r="B7" i="2"/>
  <c r="C7" i="2"/>
  <c r="D7" i="2"/>
  <c r="E7" i="2"/>
  <c r="F7" i="2"/>
  <c r="G7" i="2"/>
  <c r="H7" i="2"/>
  <c r="I7" i="2"/>
  <c r="J7" i="2"/>
  <c r="K7" i="2"/>
  <c r="L7" i="2"/>
  <c r="M7" i="2"/>
  <c r="B8" i="2"/>
  <c r="C8" i="2"/>
  <c r="D8" i="2"/>
  <c r="E8" i="2"/>
  <c r="F8" i="2"/>
  <c r="G8" i="2"/>
  <c r="H8" i="2"/>
  <c r="I8" i="2"/>
  <c r="J8" i="2"/>
  <c r="K8" i="2"/>
  <c r="L8" i="2"/>
  <c r="M8" i="2"/>
  <c r="B9" i="2"/>
  <c r="C9" i="2"/>
  <c r="D9" i="2"/>
  <c r="E9" i="2"/>
  <c r="F9" i="2"/>
  <c r="G9" i="2"/>
  <c r="H9" i="2"/>
  <c r="I9" i="2"/>
  <c r="J9" i="2"/>
  <c r="K9" i="2"/>
  <c r="L9" i="2"/>
  <c r="M9" i="2"/>
  <c r="B10" i="2"/>
  <c r="C10" i="2"/>
  <c r="D10" i="2"/>
  <c r="E10" i="2"/>
  <c r="F10" i="2"/>
  <c r="G10" i="2"/>
  <c r="H10" i="2"/>
  <c r="I10" i="2"/>
  <c r="J10" i="2"/>
  <c r="K10" i="2"/>
  <c r="L10" i="2"/>
  <c r="M10" i="2"/>
  <c r="B14" i="2"/>
  <c r="C14" i="2"/>
  <c r="D14" i="2"/>
  <c r="E14" i="2"/>
  <c r="F14" i="2"/>
  <c r="G14" i="2"/>
  <c r="H14" i="2"/>
  <c r="I14" i="2"/>
  <c r="J14" i="2"/>
  <c r="K14" i="2"/>
  <c r="L14" i="2"/>
  <c r="M14" i="2"/>
  <c r="B15" i="2"/>
  <c r="C15" i="2"/>
  <c r="D15" i="2"/>
  <c r="E15" i="2"/>
  <c r="F15" i="2"/>
  <c r="G15" i="2"/>
  <c r="H15" i="2"/>
  <c r="I15" i="2"/>
  <c r="J15" i="2"/>
  <c r="K15" i="2"/>
  <c r="L15" i="2"/>
  <c r="M15" i="2"/>
  <c r="B16" i="2"/>
  <c r="C16" i="2"/>
  <c r="D16" i="2"/>
  <c r="E16" i="2"/>
  <c r="F16" i="2"/>
  <c r="G16" i="2"/>
  <c r="H16" i="2"/>
  <c r="I16" i="2"/>
  <c r="J16" i="2"/>
  <c r="K16" i="2"/>
  <c r="L16" i="2"/>
  <c r="M16" i="2"/>
  <c r="B17" i="2"/>
  <c r="C17" i="2"/>
  <c r="D17" i="2"/>
  <c r="E17" i="2"/>
  <c r="F17" i="2"/>
  <c r="G17" i="2"/>
  <c r="H17" i="2"/>
  <c r="I17" i="2"/>
  <c r="J17" i="2"/>
  <c r="K17" i="2"/>
  <c r="L17" i="2"/>
  <c r="M17" i="2"/>
  <c r="B18" i="2"/>
  <c r="C18" i="2"/>
  <c r="D18" i="2"/>
  <c r="E18" i="2"/>
  <c r="F18" i="2"/>
  <c r="G18" i="2"/>
  <c r="H18" i="2"/>
  <c r="I18" i="2"/>
  <c r="J18" i="2"/>
  <c r="K18" i="2"/>
  <c r="L18" i="2"/>
  <c r="M18" i="2"/>
  <c r="B19" i="2"/>
  <c r="C19" i="2"/>
  <c r="D19" i="2"/>
  <c r="E19" i="2"/>
  <c r="F19" i="2"/>
  <c r="G19" i="2"/>
  <c r="H19" i="2"/>
  <c r="I19" i="2"/>
  <c r="J19" i="2"/>
  <c r="K19" i="2"/>
  <c r="L19" i="2"/>
  <c r="M19" i="2"/>
  <c r="B20" i="2"/>
  <c r="C20" i="2"/>
  <c r="D20" i="2"/>
  <c r="E20" i="2"/>
  <c r="F20" i="2"/>
  <c r="G20" i="2"/>
  <c r="H20" i="2"/>
  <c r="I20" i="2"/>
  <c r="J20" i="2"/>
  <c r="K20" i="2"/>
  <c r="L20" i="2"/>
  <c r="M20" i="2"/>
  <c r="B21" i="2"/>
  <c r="C21" i="2"/>
  <c r="D21" i="2"/>
  <c r="E21" i="2"/>
  <c r="F21" i="2"/>
  <c r="G21" i="2"/>
  <c r="H21" i="2"/>
  <c r="I21" i="2"/>
  <c r="J21" i="2"/>
  <c r="K21" i="2"/>
  <c r="L21" i="2"/>
  <c r="M21" i="2"/>
  <c r="B25" i="2"/>
  <c r="C25" i="2"/>
  <c r="D25" i="2"/>
  <c r="E25" i="2"/>
  <c r="F25" i="2"/>
  <c r="G25" i="2"/>
  <c r="H25" i="2"/>
  <c r="I25" i="2"/>
  <c r="J25" i="2"/>
  <c r="K25" i="2"/>
  <c r="L25" i="2"/>
  <c r="M25" i="2"/>
  <c r="B26" i="2"/>
  <c r="C26" i="2"/>
  <c r="D26" i="2"/>
  <c r="E26" i="2"/>
  <c r="F26" i="2"/>
  <c r="G26" i="2"/>
  <c r="H26" i="2"/>
  <c r="I26" i="2"/>
  <c r="J26" i="2"/>
  <c r="K26" i="2"/>
  <c r="L26" i="2"/>
  <c r="M26" i="2"/>
  <c r="B27" i="2"/>
  <c r="C27" i="2"/>
  <c r="D27" i="2"/>
  <c r="E27" i="2"/>
  <c r="F27" i="2"/>
  <c r="G27" i="2"/>
  <c r="H27" i="2"/>
  <c r="I27" i="2"/>
  <c r="J27" i="2"/>
  <c r="K27" i="2"/>
  <c r="L27" i="2"/>
  <c r="M27" i="2"/>
  <c r="B28" i="2"/>
  <c r="C28" i="2"/>
  <c r="D28" i="2"/>
  <c r="E28" i="2"/>
  <c r="F28" i="2"/>
  <c r="G28" i="2"/>
  <c r="H28" i="2"/>
  <c r="I28" i="2"/>
  <c r="J28" i="2"/>
  <c r="K28" i="2"/>
  <c r="L28" i="2"/>
  <c r="M28" i="2"/>
  <c r="B29" i="2"/>
  <c r="C29" i="2"/>
  <c r="D29" i="2"/>
  <c r="E29" i="2"/>
  <c r="F29" i="2"/>
  <c r="G29" i="2"/>
  <c r="H29" i="2"/>
  <c r="I29" i="2"/>
  <c r="J29" i="2"/>
  <c r="K29" i="2"/>
  <c r="L29" i="2"/>
  <c r="M29" i="2"/>
  <c r="B30" i="2"/>
  <c r="C30" i="2"/>
  <c r="D30" i="2"/>
  <c r="E30" i="2"/>
  <c r="F30" i="2"/>
  <c r="G30" i="2"/>
  <c r="H30" i="2"/>
  <c r="I30" i="2"/>
  <c r="J30" i="2"/>
  <c r="K30" i="2"/>
  <c r="L30" i="2"/>
  <c r="M30" i="2"/>
  <c r="B31" i="2"/>
  <c r="C31" i="2"/>
  <c r="D31" i="2"/>
  <c r="E31" i="2"/>
  <c r="F31" i="2"/>
  <c r="G31" i="2"/>
  <c r="H31" i="2"/>
  <c r="I31" i="2"/>
  <c r="J31" i="2"/>
  <c r="K31" i="2"/>
  <c r="L31" i="2"/>
  <c r="M31" i="2"/>
  <c r="B32" i="2"/>
  <c r="C32" i="2"/>
  <c r="D32" i="2"/>
  <c r="E32" i="2"/>
  <c r="F32" i="2"/>
  <c r="G32" i="2"/>
  <c r="H32" i="2"/>
  <c r="I32" i="2"/>
  <c r="J32" i="2"/>
  <c r="K32" i="2"/>
  <c r="L32" i="2"/>
  <c r="M32" i="2"/>
  <c r="B36" i="2"/>
  <c r="C36" i="2"/>
  <c r="D36" i="2"/>
  <c r="E36" i="2"/>
  <c r="F36" i="2"/>
  <c r="G36" i="2"/>
  <c r="H36" i="2"/>
  <c r="I36" i="2"/>
  <c r="J36" i="2"/>
  <c r="K36" i="2"/>
  <c r="L36" i="2"/>
  <c r="M36" i="2"/>
  <c r="B37" i="2"/>
  <c r="C37" i="2"/>
  <c r="D37" i="2"/>
  <c r="E37" i="2"/>
  <c r="F37" i="2"/>
  <c r="G37" i="2"/>
  <c r="H37" i="2"/>
  <c r="I37" i="2"/>
  <c r="J37" i="2"/>
  <c r="K37" i="2"/>
  <c r="L37" i="2"/>
  <c r="M37" i="2"/>
  <c r="B38" i="2"/>
  <c r="C38" i="2"/>
  <c r="D38" i="2"/>
  <c r="E38" i="2"/>
  <c r="F38" i="2"/>
  <c r="G38" i="2"/>
  <c r="H38" i="2"/>
  <c r="I38" i="2"/>
  <c r="J38" i="2"/>
  <c r="K38" i="2"/>
  <c r="L38" i="2"/>
  <c r="M38" i="2"/>
  <c r="B39" i="2"/>
  <c r="C39" i="2"/>
  <c r="D39" i="2"/>
  <c r="E39" i="2"/>
  <c r="F39" i="2"/>
  <c r="G39" i="2"/>
  <c r="H39" i="2"/>
  <c r="I39" i="2"/>
  <c r="J39" i="2"/>
  <c r="K39" i="2"/>
  <c r="L39" i="2"/>
  <c r="M39" i="2"/>
  <c r="B40" i="2"/>
  <c r="C40" i="2"/>
  <c r="D40" i="2"/>
  <c r="E40" i="2"/>
  <c r="F40" i="2"/>
  <c r="G40" i="2"/>
  <c r="H40" i="2"/>
  <c r="I40" i="2"/>
  <c r="J40" i="2"/>
  <c r="K40" i="2"/>
  <c r="L40" i="2"/>
  <c r="M40" i="2"/>
  <c r="B41" i="2"/>
  <c r="C41" i="2"/>
  <c r="D41" i="2"/>
  <c r="E41" i="2"/>
  <c r="F41" i="2"/>
  <c r="G41" i="2"/>
  <c r="H41" i="2"/>
  <c r="I41" i="2"/>
  <c r="J41" i="2"/>
  <c r="K41" i="2"/>
  <c r="L41" i="2"/>
  <c r="M41" i="2"/>
  <c r="B42" i="2"/>
  <c r="C42" i="2"/>
  <c r="D42" i="2"/>
  <c r="E42" i="2"/>
  <c r="F42" i="2"/>
  <c r="G42" i="2"/>
  <c r="H42" i="2"/>
  <c r="I42" i="2"/>
  <c r="J42" i="2"/>
  <c r="K42" i="2"/>
  <c r="L42" i="2"/>
  <c r="M42" i="2"/>
  <c r="B43" i="2"/>
  <c r="C43" i="2"/>
  <c r="D43" i="2"/>
  <c r="E43" i="2"/>
  <c r="F43" i="2"/>
  <c r="G43" i="2"/>
  <c r="H43" i="2"/>
  <c r="I43" i="2"/>
  <c r="J43" i="2"/>
  <c r="K43" i="2"/>
  <c r="L43" i="2"/>
  <c r="M43" i="2"/>
  <c r="B47" i="2"/>
  <c r="C47" i="2"/>
  <c r="D47" i="2"/>
  <c r="E47" i="2"/>
  <c r="F47" i="2"/>
  <c r="G47" i="2"/>
  <c r="H47" i="2"/>
  <c r="I47" i="2"/>
  <c r="J47" i="2"/>
  <c r="K47" i="2"/>
  <c r="L47" i="2"/>
  <c r="M47" i="2"/>
  <c r="B48" i="2"/>
  <c r="C48" i="2"/>
  <c r="D48" i="2"/>
  <c r="E48" i="2"/>
  <c r="F48" i="2"/>
  <c r="G48" i="2"/>
  <c r="H48" i="2"/>
  <c r="I48" i="2"/>
  <c r="J48" i="2"/>
  <c r="K48" i="2"/>
  <c r="L48" i="2"/>
  <c r="M48" i="2"/>
  <c r="B49" i="2"/>
  <c r="C49" i="2"/>
  <c r="D49" i="2"/>
  <c r="E49" i="2"/>
  <c r="F49" i="2"/>
  <c r="G49" i="2"/>
  <c r="H49" i="2"/>
  <c r="I49" i="2"/>
  <c r="J49" i="2"/>
  <c r="K49" i="2"/>
  <c r="L49" i="2"/>
  <c r="M49" i="2"/>
  <c r="B50" i="2"/>
  <c r="C50" i="2"/>
  <c r="D50" i="2"/>
  <c r="E50" i="2"/>
  <c r="F50" i="2"/>
  <c r="G50" i="2"/>
  <c r="H50" i="2"/>
  <c r="I50" i="2"/>
  <c r="J50" i="2"/>
  <c r="K50" i="2"/>
  <c r="L50" i="2"/>
  <c r="M50" i="2"/>
  <c r="B51" i="2"/>
  <c r="C51" i="2"/>
  <c r="D51" i="2"/>
  <c r="E51" i="2"/>
  <c r="F51" i="2"/>
  <c r="G51" i="2"/>
  <c r="H51" i="2"/>
  <c r="I51" i="2"/>
  <c r="J51" i="2"/>
  <c r="K51" i="2"/>
  <c r="L51" i="2"/>
  <c r="M51" i="2"/>
  <c r="B52" i="2"/>
  <c r="C52" i="2"/>
  <c r="D52" i="2"/>
  <c r="E52" i="2"/>
  <c r="F52" i="2"/>
  <c r="G52" i="2"/>
  <c r="H52" i="2"/>
  <c r="I52" i="2"/>
  <c r="J52" i="2"/>
  <c r="K52" i="2"/>
  <c r="L52" i="2"/>
  <c r="M52" i="2"/>
  <c r="B53" i="2"/>
  <c r="C53" i="2"/>
  <c r="D53" i="2"/>
  <c r="E53" i="2"/>
  <c r="F53" i="2"/>
  <c r="G53" i="2"/>
  <c r="H53" i="2"/>
  <c r="I53" i="2"/>
  <c r="J53" i="2"/>
  <c r="K53" i="2"/>
  <c r="L53" i="2"/>
  <c r="M53" i="2"/>
  <c r="B54" i="2"/>
  <c r="C54" i="2"/>
  <c r="D54" i="2"/>
  <c r="E54" i="2"/>
  <c r="F54" i="2"/>
  <c r="G54" i="2"/>
  <c r="H54" i="2"/>
  <c r="I54" i="2"/>
  <c r="J54" i="2"/>
  <c r="K54" i="2"/>
  <c r="L54" i="2"/>
  <c r="M54" i="2"/>
  <c r="B58" i="2"/>
  <c r="C58" i="2"/>
  <c r="D58" i="2"/>
  <c r="E58" i="2"/>
  <c r="F58" i="2"/>
  <c r="G58" i="2"/>
  <c r="H58" i="2"/>
  <c r="I58" i="2"/>
  <c r="J58" i="2"/>
  <c r="K58" i="2"/>
  <c r="L58" i="2"/>
  <c r="M58" i="2"/>
  <c r="B59" i="2"/>
  <c r="C59" i="2"/>
  <c r="D59" i="2"/>
  <c r="E59" i="2"/>
  <c r="F59" i="2"/>
  <c r="G59" i="2"/>
  <c r="H59" i="2"/>
  <c r="I59" i="2"/>
  <c r="J59" i="2"/>
  <c r="K59" i="2"/>
  <c r="L59" i="2"/>
  <c r="M59" i="2"/>
  <c r="B60" i="2"/>
  <c r="C60" i="2"/>
  <c r="D60" i="2"/>
  <c r="E60" i="2"/>
  <c r="F60" i="2"/>
  <c r="G60" i="2"/>
  <c r="H60" i="2"/>
  <c r="I60" i="2"/>
  <c r="J60" i="2"/>
  <c r="K60" i="2"/>
  <c r="L60" i="2"/>
  <c r="M60" i="2"/>
  <c r="B61" i="2"/>
  <c r="C61" i="2"/>
  <c r="D61" i="2"/>
  <c r="E61" i="2"/>
  <c r="F61" i="2"/>
  <c r="G61" i="2"/>
  <c r="H61" i="2"/>
  <c r="I61" i="2"/>
  <c r="J61" i="2"/>
  <c r="K61" i="2"/>
  <c r="L61" i="2"/>
  <c r="M61" i="2"/>
  <c r="B62" i="2"/>
  <c r="C62" i="2"/>
  <c r="D62" i="2"/>
  <c r="E62" i="2"/>
  <c r="F62" i="2"/>
  <c r="G62" i="2"/>
  <c r="H62" i="2"/>
  <c r="I62" i="2"/>
  <c r="J62" i="2"/>
  <c r="K62" i="2"/>
  <c r="L62" i="2"/>
  <c r="M62" i="2"/>
  <c r="B63" i="2"/>
  <c r="C63" i="2"/>
  <c r="D63" i="2"/>
  <c r="E63" i="2"/>
  <c r="F63" i="2"/>
  <c r="G63" i="2"/>
  <c r="H63" i="2"/>
  <c r="I63" i="2"/>
  <c r="J63" i="2"/>
  <c r="K63" i="2"/>
  <c r="L63" i="2"/>
  <c r="M63" i="2"/>
  <c r="B64" i="2"/>
  <c r="C64" i="2"/>
  <c r="D64" i="2"/>
  <c r="E64" i="2"/>
  <c r="F64" i="2"/>
  <c r="G64" i="2"/>
  <c r="H64" i="2"/>
  <c r="I64" i="2"/>
  <c r="J64" i="2"/>
  <c r="K64" i="2"/>
  <c r="L64" i="2"/>
  <c r="M64" i="2"/>
  <c r="B65" i="2"/>
  <c r="C65" i="2"/>
  <c r="D65" i="2"/>
  <c r="E65" i="2"/>
  <c r="F65" i="2"/>
  <c r="G65" i="2"/>
  <c r="H65" i="2"/>
  <c r="I65" i="2"/>
  <c r="J65" i="2"/>
  <c r="K65" i="2"/>
  <c r="L65" i="2"/>
  <c r="M65" i="2"/>
  <c r="B69" i="2"/>
  <c r="C69" i="2"/>
  <c r="D69" i="2"/>
  <c r="E69" i="2"/>
  <c r="F69" i="2"/>
  <c r="G69" i="2"/>
  <c r="H69" i="2"/>
  <c r="I69" i="2"/>
  <c r="J69" i="2"/>
  <c r="K69" i="2"/>
  <c r="L69" i="2"/>
  <c r="M69" i="2"/>
  <c r="B70" i="2"/>
  <c r="C70" i="2"/>
  <c r="D70" i="2"/>
  <c r="E70" i="2"/>
  <c r="F70" i="2"/>
  <c r="G70" i="2"/>
  <c r="H70" i="2"/>
  <c r="I70" i="2"/>
  <c r="J70" i="2"/>
  <c r="K70" i="2"/>
  <c r="L70" i="2"/>
  <c r="M70" i="2"/>
  <c r="B71" i="2"/>
  <c r="C71" i="2"/>
  <c r="D71" i="2"/>
  <c r="E71" i="2"/>
  <c r="F71" i="2"/>
  <c r="G71" i="2"/>
  <c r="H71" i="2"/>
  <c r="I71" i="2"/>
  <c r="J71" i="2"/>
  <c r="K71" i="2"/>
  <c r="L71" i="2"/>
  <c r="M71" i="2"/>
  <c r="B72" i="2"/>
  <c r="C72" i="2"/>
  <c r="D72" i="2"/>
  <c r="E72" i="2"/>
  <c r="F72" i="2"/>
  <c r="G72" i="2"/>
  <c r="H72" i="2"/>
  <c r="I72" i="2"/>
  <c r="J72" i="2"/>
  <c r="K72" i="2"/>
  <c r="L72" i="2"/>
  <c r="M72" i="2"/>
  <c r="B73" i="2"/>
  <c r="C73" i="2"/>
  <c r="D73" i="2"/>
  <c r="E73" i="2"/>
  <c r="F73" i="2"/>
  <c r="G73" i="2"/>
  <c r="H73" i="2"/>
  <c r="I73" i="2"/>
  <c r="J73" i="2"/>
  <c r="K73" i="2"/>
  <c r="L73" i="2"/>
  <c r="M73" i="2"/>
  <c r="B74" i="2"/>
  <c r="C74" i="2"/>
  <c r="D74" i="2"/>
  <c r="E74" i="2"/>
  <c r="F74" i="2"/>
  <c r="G74" i="2"/>
  <c r="H74" i="2"/>
  <c r="I74" i="2"/>
  <c r="J74" i="2"/>
  <c r="K74" i="2"/>
  <c r="L74" i="2"/>
  <c r="M74" i="2"/>
  <c r="B75" i="2"/>
  <c r="C75" i="2"/>
  <c r="D75" i="2"/>
  <c r="E75" i="2"/>
  <c r="F75" i="2"/>
  <c r="G75" i="2"/>
  <c r="H75" i="2"/>
  <c r="I75" i="2"/>
  <c r="J75" i="2"/>
  <c r="K75" i="2"/>
  <c r="L75" i="2"/>
  <c r="M75" i="2"/>
  <c r="B76" i="2"/>
  <c r="C76" i="2"/>
  <c r="D76" i="2"/>
  <c r="E76" i="2"/>
  <c r="F76" i="2"/>
  <c r="G76" i="2"/>
  <c r="H76" i="2"/>
  <c r="I76" i="2"/>
  <c r="J76" i="2"/>
  <c r="K76" i="2"/>
  <c r="L76" i="2"/>
  <c r="M76" i="2"/>
  <c r="B80" i="2"/>
  <c r="C80" i="2"/>
  <c r="D80" i="2"/>
  <c r="E80" i="2"/>
  <c r="F80" i="2"/>
  <c r="G80" i="2"/>
  <c r="H80" i="2"/>
  <c r="I80" i="2"/>
  <c r="J80" i="2"/>
  <c r="K80" i="2"/>
  <c r="L80" i="2"/>
  <c r="M80" i="2"/>
  <c r="B81" i="2"/>
  <c r="C81" i="2"/>
  <c r="D81" i="2"/>
  <c r="E81" i="2"/>
  <c r="F81" i="2"/>
  <c r="G81" i="2"/>
  <c r="H81" i="2"/>
  <c r="I81" i="2"/>
  <c r="J81" i="2"/>
  <c r="K81" i="2"/>
  <c r="L81" i="2"/>
  <c r="M81" i="2"/>
  <c r="B82" i="2"/>
  <c r="C82" i="2"/>
  <c r="D82" i="2"/>
  <c r="E82" i="2"/>
  <c r="F82" i="2"/>
  <c r="G82" i="2"/>
  <c r="H82" i="2"/>
  <c r="I82" i="2"/>
  <c r="J82" i="2"/>
  <c r="K82" i="2"/>
  <c r="L82" i="2"/>
  <c r="M82" i="2"/>
  <c r="B83" i="2"/>
  <c r="C83" i="2"/>
  <c r="D83" i="2"/>
  <c r="E83" i="2"/>
  <c r="F83" i="2"/>
  <c r="G83" i="2"/>
  <c r="H83" i="2"/>
  <c r="I83" i="2"/>
  <c r="J83" i="2"/>
  <c r="K83" i="2"/>
  <c r="L83" i="2"/>
  <c r="M83" i="2"/>
  <c r="B84" i="2"/>
  <c r="C84" i="2"/>
  <c r="D84" i="2"/>
  <c r="E84" i="2"/>
  <c r="F84" i="2"/>
  <c r="G84" i="2"/>
  <c r="H84" i="2"/>
  <c r="I84" i="2"/>
  <c r="J84" i="2"/>
  <c r="K84" i="2"/>
  <c r="L84" i="2"/>
  <c r="M84" i="2"/>
  <c r="B85" i="2"/>
  <c r="C85" i="2"/>
  <c r="D85" i="2"/>
  <c r="E85" i="2"/>
  <c r="F85" i="2"/>
  <c r="G85" i="2"/>
  <c r="H85" i="2"/>
  <c r="I85" i="2"/>
  <c r="J85" i="2"/>
  <c r="K85" i="2"/>
  <c r="L85" i="2"/>
  <c r="M85" i="2"/>
  <c r="B86" i="2"/>
  <c r="C86" i="2"/>
  <c r="D86" i="2"/>
  <c r="E86" i="2"/>
  <c r="F86" i="2"/>
  <c r="G86" i="2"/>
  <c r="H86" i="2"/>
  <c r="I86" i="2"/>
  <c r="J86" i="2"/>
  <c r="K86" i="2"/>
  <c r="L86" i="2"/>
  <c r="M86" i="2"/>
  <c r="B87" i="2"/>
  <c r="C87" i="2"/>
  <c r="D87" i="2"/>
  <c r="E87" i="2"/>
  <c r="F87" i="2"/>
  <c r="G87" i="2"/>
  <c r="H87" i="2"/>
  <c r="I87" i="2"/>
  <c r="J87" i="2"/>
  <c r="K87" i="2"/>
  <c r="L87" i="2"/>
  <c r="M87" i="2"/>
  <c r="B91" i="2"/>
  <c r="C91" i="2"/>
  <c r="D91" i="2"/>
  <c r="E91" i="2"/>
  <c r="F91" i="2"/>
  <c r="G91" i="2"/>
  <c r="H91" i="2"/>
  <c r="I91" i="2"/>
  <c r="J91" i="2"/>
  <c r="K91" i="2"/>
  <c r="L91" i="2"/>
  <c r="M91" i="2"/>
  <c r="B92" i="2"/>
  <c r="C92" i="2"/>
  <c r="D92" i="2"/>
  <c r="E92" i="2"/>
  <c r="F92" i="2"/>
  <c r="G92" i="2"/>
  <c r="H92" i="2"/>
  <c r="I92" i="2"/>
  <c r="J92" i="2"/>
  <c r="K92" i="2"/>
  <c r="L92" i="2"/>
  <c r="M92" i="2"/>
  <c r="B93" i="2"/>
  <c r="C93" i="2"/>
  <c r="D93" i="2"/>
  <c r="E93" i="2"/>
  <c r="F93" i="2"/>
  <c r="G93" i="2"/>
  <c r="H93" i="2"/>
  <c r="I93" i="2"/>
  <c r="J93" i="2"/>
  <c r="K93" i="2"/>
  <c r="L93" i="2"/>
  <c r="M93" i="2"/>
  <c r="B94" i="2"/>
  <c r="C94" i="2"/>
  <c r="D94" i="2"/>
  <c r="E94" i="2"/>
  <c r="F94" i="2"/>
  <c r="G94" i="2"/>
  <c r="H94" i="2"/>
  <c r="I94" i="2"/>
  <c r="J94" i="2"/>
  <c r="K94" i="2"/>
  <c r="L94" i="2"/>
  <c r="M94" i="2"/>
  <c r="B95" i="2"/>
  <c r="C95" i="2"/>
  <c r="D95" i="2"/>
  <c r="E95" i="2"/>
  <c r="F95" i="2"/>
  <c r="G95" i="2"/>
  <c r="H95" i="2"/>
  <c r="I95" i="2"/>
  <c r="J95" i="2"/>
  <c r="K95" i="2"/>
  <c r="L95" i="2"/>
  <c r="M95" i="2"/>
  <c r="B96" i="2"/>
  <c r="C96" i="2"/>
  <c r="D96" i="2"/>
  <c r="E96" i="2"/>
  <c r="F96" i="2"/>
  <c r="G96" i="2"/>
  <c r="H96" i="2"/>
  <c r="I96" i="2"/>
  <c r="J96" i="2"/>
  <c r="K96" i="2"/>
  <c r="L96" i="2"/>
  <c r="M96" i="2"/>
  <c r="B97" i="2"/>
  <c r="C97" i="2"/>
  <c r="D97" i="2"/>
  <c r="E97" i="2"/>
  <c r="F97" i="2"/>
  <c r="G97" i="2"/>
  <c r="H97" i="2"/>
  <c r="I97" i="2"/>
  <c r="J97" i="2"/>
  <c r="K97" i="2"/>
  <c r="L97" i="2"/>
  <c r="M97" i="2"/>
  <c r="B98" i="2"/>
  <c r="C98" i="2"/>
  <c r="D98" i="2"/>
  <c r="E98" i="2"/>
  <c r="F98" i="2"/>
  <c r="G98" i="2"/>
  <c r="H98" i="2"/>
  <c r="I98" i="2"/>
  <c r="J98" i="2"/>
  <c r="K98" i="2"/>
  <c r="L98" i="2"/>
  <c r="M98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B3" i="3"/>
  <c r="C3" i="3"/>
  <c r="D3" i="3"/>
  <c r="E3" i="3"/>
  <c r="F3" i="3"/>
  <c r="G3" i="3"/>
  <c r="H3" i="3"/>
  <c r="I3" i="3"/>
  <c r="J3" i="3"/>
  <c r="K3" i="3"/>
  <c r="L3" i="3"/>
  <c r="M3" i="3"/>
  <c r="B4" i="3"/>
  <c r="C4" i="3"/>
  <c r="D4" i="3"/>
  <c r="E4" i="3"/>
  <c r="F4" i="3"/>
  <c r="G4" i="3"/>
  <c r="H4" i="3"/>
  <c r="I4" i="3"/>
  <c r="J4" i="3"/>
  <c r="K4" i="3"/>
  <c r="L4" i="3"/>
  <c r="M4" i="3"/>
  <c r="B5" i="3"/>
  <c r="C5" i="3"/>
  <c r="D5" i="3"/>
  <c r="E5" i="3"/>
  <c r="F5" i="3"/>
  <c r="G5" i="3"/>
  <c r="H5" i="3"/>
  <c r="I5" i="3"/>
  <c r="J5" i="3"/>
  <c r="K5" i="3"/>
  <c r="L5" i="3"/>
  <c r="M5" i="3"/>
  <c r="B6" i="3"/>
  <c r="C6" i="3"/>
  <c r="D6" i="3"/>
  <c r="E6" i="3"/>
  <c r="F6" i="3"/>
  <c r="G6" i="3"/>
  <c r="H6" i="3"/>
  <c r="I6" i="3"/>
  <c r="J6" i="3"/>
  <c r="K6" i="3"/>
  <c r="L6" i="3"/>
  <c r="M6" i="3"/>
  <c r="B7" i="3"/>
  <c r="C7" i="3"/>
  <c r="D7" i="3"/>
  <c r="E7" i="3"/>
  <c r="F7" i="3"/>
  <c r="G7" i="3"/>
  <c r="H7" i="3"/>
  <c r="I7" i="3"/>
  <c r="J7" i="3"/>
  <c r="K7" i="3"/>
  <c r="L7" i="3"/>
  <c r="M7" i="3"/>
  <c r="B8" i="3"/>
  <c r="C8" i="3"/>
  <c r="D8" i="3"/>
  <c r="E8" i="3"/>
  <c r="F8" i="3"/>
  <c r="G8" i="3"/>
  <c r="H8" i="3"/>
  <c r="I8" i="3"/>
  <c r="J8" i="3"/>
  <c r="K8" i="3"/>
  <c r="L8" i="3"/>
  <c r="M8" i="3"/>
  <c r="B9" i="3"/>
  <c r="C9" i="3"/>
  <c r="D9" i="3"/>
  <c r="E9" i="3"/>
  <c r="F9" i="3"/>
  <c r="G9" i="3"/>
  <c r="H9" i="3"/>
  <c r="I9" i="3"/>
  <c r="J9" i="3"/>
  <c r="K9" i="3"/>
  <c r="L9" i="3"/>
  <c r="M9" i="3"/>
  <c r="B10" i="3"/>
  <c r="C10" i="3"/>
  <c r="D10" i="3"/>
  <c r="E10" i="3"/>
  <c r="F10" i="3"/>
  <c r="G10" i="3"/>
  <c r="H10" i="3"/>
  <c r="I10" i="3"/>
  <c r="J10" i="3"/>
  <c r="K10" i="3"/>
  <c r="L10" i="3"/>
  <c r="M10" i="3"/>
  <c r="B14" i="3"/>
  <c r="C14" i="3"/>
  <c r="D14" i="3"/>
  <c r="E14" i="3"/>
  <c r="F14" i="3"/>
  <c r="G14" i="3"/>
  <c r="H14" i="3"/>
  <c r="I14" i="3"/>
  <c r="J14" i="3"/>
  <c r="K14" i="3"/>
  <c r="L14" i="3"/>
  <c r="M14" i="3"/>
  <c r="B15" i="3"/>
  <c r="C15" i="3"/>
  <c r="D15" i="3"/>
  <c r="E15" i="3"/>
  <c r="F15" i="3"/>
  <c r="G15" i="3"/>
  <c r="H15" i="3"/>
  <c r="I15" i="3"/>
  <c r="J15" i="3"/>
  <c r="K15" i="3"/>
  <c r="L15" i="3"/>
  <c r="M15" i="3"/>
  <c r="B16" i="3"/>
  <c r="C16" i="3"/>
  <c r="D16" i="3"/>
  <c r="E16" i="3"/>
  <c r="F16" i="3"/>
  <c r="G16" i="3"/>
  <c r="H16" i="3"/>
  <c r="I16" i="3"/>
  <c r="J16" i="3"/>
  <c r="K16" i="3"/>
  <c r="L16" i="3"/>
  <c r="M16" i="3"/>
  <c r="B17" i="3"/>
  <c r="C17" i="3"/>
  <c r="D17" i="3"/>
  <c r="E17" i="3"/>
  <c r="F17" i="3"/>
  <c r="G17" i="3"/>
  <c r="H17" i="3"/>
  <c r="I17" i="3"/>
  <c r="J17" i="3"/>
  <c r="K17" i="3"/>
  <c r="L17" i="3"/>
  <c r="M17" i="3"/>
  <c r="B18" i="3"/>
  <c r="C18" i="3"/>
  <c r="D18" i="3"/>
  <c r="E18" i="3"/>
  <c r="F18" i="3"/>
  <c r="G18" i="3"/>
  <c r="H18" i="3"/>
  <c r="I18" i="3"/>
  <c r="J18" i="3"/>
  <c r="K18" i="3"/>
  <c r="L18" i="3"/>
  <c r="M18" i="3"/>
  <c r="B19" i="3"/>
  <c r="C19" i="3"/>
  <c r="D19" i="3"/>
  <c r="E19" i="3"/>
  <c r="F19" i="3"/>
  <c r="G19" i="3"/>
  <c r="H19" i="3"/>
  <c r="I19" i="3"/>
  <c r="J19" i="3"/>
  <c r="K19" i="3"/>
  <c r="L19" i="3"/>
  <c r="M19" i="3"/>
  <c r="B20" i="3"/>
  <c r="C20" i="3"/>
  <c r="D20" i="3"/>
  <c r="E20" i="3"/>
  <c r="F20" i="3"/>
  <c r="G20" i="3"/>
  <c r="H20" i="3"/>
  <c r="I20" i="3"/>
  <c r="J20" i="3"/>
  <c r="K20" i="3"/>
  <c r="L20" i="3"/>
  <c r="M20" i="3"/>
  <c r="B21" i="3"/>
  <c r="C21" i="3"/>
  <c r="D21" i="3"/>
  <c r="E21" i="3"/>
  <c r="F21" i="3"/>
  <c r="G21" i="3"/>
  <c r="H21" i="3"/>
  <c r="I21" i="3"/>
  <c r="J21" i="3"/>
  <c r="K21" i="3"/>
  <c r="L21" i="3"/>
  <c r="M21" i="3"/>
  <c r="B25" i="3"/>
  <c r="C25" i="3"/>
  <c r="D25" i="3"/>
  <c r="E25" i="3"/>
  <c r="F25" i="3"/>
  <c r="G25" i="3"/>
  <c r="H25" i="3"/>
  <c r="I25" i="3"/>
  <c r="J25" i="3"/>
  <c r="K25" i="3"/>
  <c r="L25" i="3"/>
  <c r="M25" i="3"/>
  <c r="B26" i="3"/>
  <c r="C26" i="3"/>
  <c r="D26" i="3"/>
  <c r="E26" i="3"/>
  <c r="F26" i="3"/>
  <c r="G26" i="3"/>
  <c r="H26" i="3"/>
  <c r="I26" i="3"/>
  <c r="J26" i="3"/>
  <c r="K26" i="3"/>
  <c r="L26" i="3"/>
  <c r="M26" i="3"/>
  <c r="B27" i="3"/>
  <c r="C27" i="3"/>
  <c r="D27" i="3"/>
  <c r="E27" i="3"/>
  <c r="F27" i="3"/>
  <c r="G27" i="3"/>
  <c r="H27" i="3"/>
  <c r="I27" i="3"/>
  <c r="J27" i="3"/>
  <c r="K27" i="3"/>
  <c r="L27" i="3"/>
  <c r="M27" i="3"/>
  <c r="B28" i="3"/>
  <c r="C28" i="3"/>
  <c r="D28" i="3"/>
  <c r="E28" i="3"/>
  <c r="F28" i="3"/>
  <c r="G28" i="3"/>
  <c r="H28" i="3"/>
  <c r="I28" i="3"/>
  <c r="J28" i="3"/>
  <c r="K28" i="3"/>
  <c r="L28" i="3"/>
  <c r="M28" i="3"/>
  <c r="B29" i="3"/>
  <c r="C29" i="3"/>
  <c r="D29" i="3"/>
  <c r="E29" i="3"/>
  <c r="F29" i="3"/>
  <c r="G29" i="3"/>
  <c r="H29" i="3"/>
  <c r="I29" i="3"/>
  <c r="J29" i="3"/>
  <c r="K29" i="3"/>
  <c r="L29" i="3"/>
  <c r="M29" i="3"/>
  <c r="B30" i="3"/>
  <c r="C30" i="3"/>
  <c r="D30" i="3"/>
  <c r="E30" i="3"/>
  <c r="F30" i="3"/>
  <c r="G30" i="3"/>
  <c r="H30" i="3"/>
  <c r="I30" i="3"/>
  <c r="J30" i="3"/>
  <c r="K30" i="3"/>
  <c r="L30" i="3"/>
  <c r="M30" i="3"/>
  <c r="B31" i="3"/>
  <c r="C31" i="3"/>
  <c r="D31" i="3"/>
  <c r="E31" i="3"/>
  <c r="F31" i="3"/>
  <c r="G31" i="3"/>
  <c r="H31" i="3"/>
  <c r="I31" i="3"/>
  <c r="J31" i="3"/>
  <c r="K31" i="3"/>
  <c r="L31" i="3"/>
  <c r="M31" i="3"/>
  <c r="B32" i="3"/>
  <c r="C32" i="3"/>
  <c r="D32" i="3"/>
  <c r="E32" i="3"/>
  <c r="F32" i="3"/>
  <c r="G32" i="3"/>
  <c r="H32" i="3"/>
  <c r="I32" i="3"/>
  <c r="J32" i="3"/>
  <c r="K32" i="3"/>
  <c r="L32" i="3"/>
  <c r="M32" i="3"/>
  <c r="B36" i="3"/>
  <c r="C36" i="3"/>
  <c r="D36" i="3"/>
  <c r="E36" i="3"/>
  <c r="F36" i="3"/>
  <c r="G36" i="3"/>
  <c r="H36" i="3"/>
  <c r="I36" i="3"/>
  <c r="J36" i="3"/>
  <c r="K36" i="3"/>
  <c r="L36" i="3"/>
  <c r="M36" i="3"/>
  <c r="B37" i="3"/>
  <c r="C37" i="3"/>
  <c r="D37" i="3"/>
  <c r="E37" i="3"/>
  <c r="F37" i="3"/>
  <c r="G37" i="3"/>
  <c r="H37" i="3"/>
  <c r="I37" i="3"/>
  <c r="J37" i="3"/>
  <c r="K37" i="3"/>
  <c r="L37" i="3"/>
  <c r="M37" i="3"/>
  <c r="B38" i="3"/>
  <c r="C38" i="3"/>
  <c r="D38" i="3"/>
  <c r="E38" i="3"/>
  <c r="F38" i="3"/>
  <c r="G38" i="3"/>
  <c r="H38" i="3"/>
  <c r="I38" i="3"/>
  <c r="J38" i="3"/>
  <c r="K38" i="3"/>
  <c r="L38" i="3"/>
  <c r="M38" i="3"/>
  <c r="B39" i="3"/>
  <c r="C39" i="3"/>
  <c r="D39" i="3"/>
  <c r="E39" i="3"/>
  <c r="F39" i="3"/>
  <c r="G39" i="3"/>
  <c r="H39" i="3"/>
  <c r="I39" i="3"/>
  <c r="J39" i="3"/>
  <c r="K39" i="3"/>
  <c r="L39" i="3"/>
  <c r="M39" i="3"/>
  <c r="B40" i="3"/>
  <c r="C40" i="3"/>
  <c r="D40" i="3"/>
  <c r="E40" i="3"/>
  <c r="F40" i="3"/>
  <c r="G40" i="3"/>
  <c r="H40" i="3"/>
  <c r="I40" i="3"/>
  <c r="J40" i="3"/>
  <c r="K40" i="3"/>
  <c r="L40" i="3"/>
  <c r="M40" i="3"/>
  <c r="B41" i="3"/>
  <c r="C41" i="3"/>
  <c r="D41" i="3"/>
  <c r="E41" i="3"/>
  <c r="F41" i="3"/>
  <c r="G41" i="3"/>
  <c r="H41" i="3"/>
  <c r="I41" i="3"/>
  <c r="J41" i="3"/>
  <c r="K41" i="3"/>
  <c r="L41" i="3"/>
  <c r="M41" i="3"/>
  <c r="B42" i="3"/>
  <c r="C42" i="3"/>
  <c r="D42" i="3"/>
  <c r="E42" i="3"/>
  <c r="F42" i="3"/>
  <c r="G42" i="3"/>
  <c r="H42" i="3"/>
  <c r="I42" i="3"/>
  <c r="J42" i="3"/>
  <c r="K42" i="3"/>
  <c r="L42" i="3"/>
  <c r="M42" i="3"/>
  <c r="B43" i="3"/>
  <c r="C43" i="3"/>
  <c r="D43" i="3"/>
  <c r="E43" i="3"/>
  <c r="F43" i="3"/>
  <c r="G43" i="3"/>
  <c r="H43" i="3"/>
  <c r="I43" i="3"/>
  <c r="J43" i="3"/>
  <c r="K43" i="3"/>
  <c r="L43" i="3"/>
  <c r="M43" i="3"/>
  <c r="B47" i="3"/>
  <c r="C47" i="3"/>
  <c r="D47" i="3"/>
  <c r="E47" i="3"/>
  <c r="F47" i="3"/>
  <c r="G47" i="3"/>
  <c r="H47" i="3"/>
  <c r="I47" i="3"/>
  <c r="J47" i="3"/>
  <c r="K47" i="3"/>
  <c r="L47" i="3"/>
  <c r="M47" i="3"/>
  <c r="B48" i="3"/>
  <c r="C48" i="3"/>
  <c r="D48" i="3"/>
  <c r="E48" i="3"/>
  <c r="F48" i="3"/>
  <c r="G48" i="3"/>
  <c r="H48" i="3"/>
  <c r="I48" i="3"/>
  <c r="J48" i="3"/>
  <c r="K48" i="3"/>
  <c r="L48" i="3"/>
  <c r="M48" i="3"/>
  <c r="B49" i="3"/>
  <c r="C49" i="3"/>
  <c r="D49" i="3"/>
  <c r="E49" i="3"/>
  <c r="F49" i="3"/>
  <c r="G49" i="3"/>
  <c r="H49" i="3"/>
  <c r="I49" i="3"/>
  <c r="J49" i="3"/>
  <c r="K49" i="3"/>
  <c r="L49" i="3"/>
  <c r="M49" i="3"/>
  <c r="B50" i="3"/>
  <c r="C50" i="3"/>
  <c r="D50" i="3"/>
  <c r="E50" i="3"/>
  <c r="F50" i="3"/>
  <c r="G50" i="3"/>
  <c r="H50" i="3"/>
  <c r="I50" i="3"/>
  <c r="J50" i="3"/>
  <c r="K50" i="3"/>
  <c r="L50" i="3"/>
  <c r="M50" i="3"/>
  <c r="B51" i="3"/>
  <c r="C51" i="3"/>
  <c r="D51" i="3"/>
  <c r="E51" i="3"/>
  <c r="F51" i="3"/>
  <c r="G51" i="3"/>
  <c r="H51" i="3"/>
  <c r="I51" i="3"/>
  <c r="J51" i="3"/>
  <c r="K51" i="3"/>
  <c r="L51" i="3"/>
  <c r="M51" i="3"/>
  <c r="B52" i="3"/>
  <c r="C52" i="3"/>
  <c r="D52" i="3"/>
  <c r="E52" i="3"/>
  <c r="F52" i="3"/>
  <c r="G52" i="3"/>
  <c r="H52" i="3"/>
  <c r="I52" i="3"/>
  <c r="J52" i="3"/>
  <c r="K52" i="3"/>
  <c r="L52" i="3"/>
  <c r="M52" i="3"/>
  <c r="B53" i="3"/>
  <c r="C53" i="3"/>
  <c r="D53" i="3"/>
  <c r="E53" i="3"/>
  <c r="F53" i="3"/>
  <c r="G53" i="3"/>
  <c r="H53" i="3"/>
  <c r="I53" i="3"/>
  <c r="J53" i="3"/>
  <c r="K53" i="3"/>
  <c r="L53" i="3"/>
  <c r="M53" i="3"/>
  <c r="B54" i="3"/>
  <c r="C54" i="3"/>
  <c r="D54" i="3"/>
  <c r="E54" i="3"/>
  <c r="F54" i="3"/>
  <c r="G54" i="3"/>
  <c r="H54" i="3"/>
  <c r="I54" i="3"/>
  <c r="J54" i="3"/>
  <c r="K54" i="3"/>
  <c r="L54" i="3"/>
  <c r="M54" i="3"/>
  <c r="B58" i="3"/>
  <c r="C58" i="3"/>
  <c r="D58" i="3"/>
  <c r="E58" i="3"/>
  <c r="F58" i="3"/>
  <c r="G58" i="3"/>
  <c r="H58" i="3"/>
  <c r="I58" i="3"/>
  <c r="J58" i="3"/>
  <c r="K58" i="3"/>
  <c r="L58" i="3"/>
  <c r="M58" i="3"/>
  <c r="B59" i="3"/>
  <c r="C59" i="3"/>
  <c r="D59" i="3"/>
  <c r="E59" i="3"/>
  <c r="F59" i="3"/>
  <c r="G59" i="3"/>
  <c r="H59" i="3"/>
  <c r="I59" i="3"/>
  <c r="J59" i="3"/>
  <c r="K59" i="3"/>
  <c r="L59" i="3"/>
  <c r="M59" i="3"/>
  <c r="B60" i="3"/>
  <c r="C60" i="3"/>
  <c r="D60" i="3"/>
  <c r="E60" i="3"/>
  <c r="F60" i="3"/>
  <c r="G60" i="3"/>
  <c r="H60" i="3"/>
  <c r="I60" i="3"/>
  <c r="J60" i="3"/>
  <c r="K60" i="3"/>
  <c r="L60" i="3"/>
  <c r="M60" i="3"/>
  <c r="B61" i="3"/>
  <c r="C61" i="3"/>
  <c r="D61" i="3"/>
  <c r="E61" i="3"/>
  <c r="F61" i="3"/>
  <c r="G61" i="3"/>
  <c r="H61" i="3"/>
  <c r="I61" i="3"/>
  <c r="J61" i="3"/>
  <c r="K61" i="3"/>
  <c r="L61" i="3"/>
  <c r="M61" i="3"/>
  <c r="B62" i="3"/>
  <c r="C62" i="3"/>
  <c r="D62" i="3"/>
  <c r="E62" i="3"/>
  <c r="F62" i="3"/>
  <c r="G62" i="3"/>
  <c r="H62" i="3"/>
  <c r="I62" i="3"/>
  <c r="J62" i="3"/>
  <c r="K62" i="3"/>
  <c r="L62" i="3"/>
  <c r="M62" i="3"/>
  <c r="B63" i="3"/>
  <c r="C63" i="3"/>
  <c r="D63" i="3"/>
  <c r="E63" i="3"/>
  <c r="F63" i="3"/>
  <c r="G63" i="3"/>
  <c r="H63" i="3"/>
  <c r="I63" i="3"/>
  <c r="J63" i="3"/>
  <c r="K63" i="3"/>
  <c r="L63" i="3"/>
  <c r="M63" i="3"/>
  <c r="B64" i="3"/>
  <c r="C64" i="3"/>
  <c r="D64" i="3"/>
  <c r="E64" i="3"/>
  <c r="F64" i="3"/>
  <c r="G64" i="3"/>
  <c r="H64" i="3"/>
  <c r="I64" i="3"/>
  <c r="J64" i="3"/>
  <c r="K64" i="3"/>
  <c r="L64" i="3"/>
  <c r="M64" i="3"/>
  <c r="B65" i="3"/>
  <c r="C65" i="3"/>
  <c r="D65" i="3"/>
  <c r="E65" i="3"/>
  <c r="F65" i="3"/>
  <c r="G65" i="3"/>
  <c r="H65" i="3"/>
  <c r="I65" i="3"/>
  <c r="J65" i="3"/>
  <c r="K65" i="3"/>
  <c r="L65" i="3"/>
  <c r="M65" i="3"/>
  <c r="B69" i="3"/>
  <c r="C69" i="3"/>
  <c r="D69" i="3"/>
  <c r="E69" i="3"/>
  <c r="F69" i="3"/>
  <c r="G69" i="3"/>
  <c r="H69" i="3"/>
  <c r="I69" i="3"/>
  <c r="J69" i="3"/>
  <c r="K69" i="3"/>
  <c r="L69" i="3"/>
  <c r="M69" i="3"/>
  <c r="B70" i="3"/>
  <c r="C70" i="3"/>
  <c r="D70" i="3"/>
  <c r="E70" i="3"/>
  <c r="F70" i="3"/>
  <c r="G70" i="3"/>
  <c r="H70" i="3"/>
  <c r="I70" i="3"/>
  <c r="J70" i="3"/>
  <c r="K70" i="3"/>
  <c r="L70" i="3"/>
  <c r="M70" i="3"/>
  <c r="B71" i="3"/>
  <c r="C71" i="3"/>
  <c r="D71" i="3"/>
  <c r="E71" i="3"/>
  <c r="F71" i="3"/>
  <c r="G71" i="3"/>
  <c r="H71" i="3"/>
  <c r="I71" i="3"/>
  <c r="J71" i="3"/>
  <c r="K71" i="3"/>
  <c r="L71" i="3"/>
  <c r="M71" i="3"/>
  <c r="B72" i="3"/>
  <c r="C72" i="3"/>
  <c r="D72" i="3"/>
  <c r="E72" i="3"/>
  <c r="F72" i="3"/>
  <c r="G72" i="3"/>
  <c r="H72" i="3"/>
  <c r="I72" i="3"/>
  <c r="J72" i="3"/>
  <c r="K72" i="3"/>
  <c r="L72" i="3"/>
  <c r="M72" i="3"/>
  <c r="B73" i="3"/>
  <c r="C73" i="3"/>
  <c r="D73" i="3"/>
  <c r="E73" i="3"/>
  <c r="F73" i="3"/>
  <c r="G73" i="3"/>
  <c r="H73" i="3"/>
  <c r="I73" i="3"/>
  <c r="J73" i="3"/>
  <c r="K73" i="3"/>
  <c r="L73" i="3"/>
  <c r="M73" i="3"/>
  <c r="B74" i="3"/>
  <c r="C74" i="3"/>
  <c r="D74" i="3"/>
  <c r="E74" i="3"/>
  <c r="F74" i="3"/>
  <c r="G74" i="3"/>
  <c r="H74" i="3"/>
  <c r="I74" i="3"/>
  <c r="J74" i="3"/>
  <c r="K74" i="3"/>
  <c r="L74" i="3"/>
  <c r="M74" i="3"/>
  <c r="B75" i="3"/>
  <c r="C75" i="3"/>
  <c r="D75" i="3"/>
  <c r="E75" i="3"/>
  <c r="F75" i="3"/>
  <c r="G75" i="3"/>
  <c r="H75" i="3"/>
  <c r="I75" i="3"/>
  <c r="J75" i="3"/>
  <c r="K75" i="3"/>
  <c r="L75" i="3"/>
  <c r="M75" i="3"/>
  <c r="B76" i="3"/>
  <c r="C76" i="3"/>
  <c r="D76" i="3"/>
  <c r="E76" i="3"/>
  <c r="F76" i="3"/>
  <c r="G76" i="3"/>
  <c r="H76" i="3"/>
  <c r="I76" i="3"/>
  <c r="J76" i="3"/>
  <c r="K76" i="3"/>
  <c r="L76" i="3"/>
  <c r="M76" i="3"/>
  <c r="B80" i="3"/>
  <c r="C80" i="3"/>
  <c r="D80" i="3"/>
  <c r="E80" i="3"/>
  <c r="F80" i="3"/>
  <c r="G80" i="3"/>
  <c r="H80" i="3"/>
  <c r="I80" i="3"/>
  <c r="J80" i="3"/>
  <c r="K80" i="3"/>
  <c r="L80" i="3"/>
  <c r="M80" i="3"/>
  <c r="B81" i="3"/>
  <c r="C81" i="3"/>
  <c r="D81" i="3"/>
  <c r="E81" i="3"/>
  <c r="F81" i="3"/>
  <c r="G81" i="3"/>
  <c r="H81" i="3"/>
  <c r="I81" i="3"/>
  <c r="J81" i="3"/>
  <c r="K81" i="3"/>
  <c r="L81" i="3"/>
  <c r="M81" i="3"/>
  <c r="B82" i="3"/>
  <c r="C82" i="3"/>
  <c r="D82" i="3"/>
  <c r="E82" i="3"/>
  <c r="F82" i="3"/>
  <c r="G82" i="3"/>
  <c r="H82" i="3"/>
  <c r="I82" i="3"/>
  <c r="J82" i="3"/>
  <c r="K82" i="3"/>
  <c r="L82" i="3"/>
  <c r="M82" i="3"/>
  <c r="B83" i="3"/>
  <c r="C83" i="3"/>
  <c r="D83" i="3"/>
  <c r="E83" i="3"/>
  <c r="F83" i="3"/>
  <c r="G83" i="3"/>
  <c r="H83" i="3"/>
  <c r="I83" i="3"/>
  <c r="J83" i="3"/>
  <c r="K83" i="3"/>
  <c r="L83" i="3"/>
  <c r="M83" i="3"/>
  <c r="B84" i="3"/>
  <c r="C84" i="3"/>
  <c r="D84" i="3"/>
  <c r="E84" i="3"/>
  <c r="F84" i="3"/>
  <c r="G84" i="3"/>
  <c r="H84" i="3"/>
  <c r="I84" i="3"/>
  <c r="J84" i="3"/>
  <c r="K84" i="3"/>
  <c r="L84" i="3"/>
  <c r="M84" i="3"/>
  <c r="B85" i="3"/>
  <c r="C85" i="3"/>
  <c r="D85" i="3"/>
  <c r="E85" i="3"/>
  <c r="F85" i="3"/>
  <c r="G85" i="3"/>
  <c r="H85" i="3"/>
  <c r="I85" i="3"/>
  <c r="J85" i="3"/>
  <c r="K85" i="3"/>
  <c r="L85" i="3"/>
  <c r="M85" i="3"/>
  <c r="B86" i="3"/>
  <c r="C86" i="3"/>
  <c r="D86" i="3"/>
  <c r="E86" i="3"/>
  <c r="F86" i="3"/>
  <c r="G86" i="3"/>
  <c r="H86" i="3"/>
  <c r="I86" i="3"/>
  <c r="J86" i="3"/>
  <c r="K86" i="3"/>
  <c r="L86" i="3"/>
  <c r="M86" i="3"/>
  <c r="B87" i="3"/>
  <c r="C87" i="3"/>
  <c r="D87" i="3"/>
  <c r="E87" i="3"/>
  <c r="F87" i="3"/>
  <c r="G87" i="3"/>
  <c r="H87" i="3"/>
  <c r="I87" i="3"/>
  <c r="J87" i="3"/>
  <c r="K87" i="3"/>
  <c r="L87" i="3"/>
  <c r="M87" i="3"/>
  <c r="B91" i="3"/>
  <c r="C91" i="3"/>
  <c r="D91" i="3"/>
  <c r="E91" i="3"/>
  <c r="F91" i="3"/>
  <c r="G91" i="3"/>
  <c r="H91" i="3"/>
  <c r="I91" i="3"/>
  <c r="J91" i="3"/>
  <c r="K91" i="3"/>
  <c r="L91" i="3"/>
  <c r="M91" i="3"/>
  <c r="B92" i="3"/>
  <c r="C92" i="3"/>
  <c r="D92" i="3"/>
  <c r="E92" i="3"/>
  <c r="F92" i="3"/>
  <c r="G92" i="3"/>
  <c r="H92" i="3"/>
  <c r="I92" i="3"/>
  <c r="J92" i="3"/>
  <c r="K92" i="3"/>
  <c r="L92" i="3"/>
  <c r="M92" i="3"/>
  <c r="B93" i="3"/>
  <c r="C93" i="3"/>
  <c r="D93" i="3"/>
  <c r="E93" i="3"/>
  <c r="F93" i="3"/>
  <c r="G93" i="3"/>
  <c r="H93" i="3"/>
  <c r="I93" i="3"/>
  <c r="J93" i="3"/>
  <c r="K93" i="3"/>
  <c r="L93" i="3"/>
  <c r="M93" i="3"/>
  <c r="B94" i="3"/>
  <c r="C94" i="3"/>
  <c r="D94" i="3"/>
  <c r="E94" i="3"/>
  <c r="F94" i="3"/>
  <c r="G94" i="3"/>
  <c r="H94" i="3"/>
  <c r="I94" i="3"/>
  <c r="J94" i="3"/>
  <c r="K94" i="3"/>
  <c r="L94" i="3"/>
  <c r="M94" i="3"/>
  <c r="B95" i="3"/>
  <c r="C95" i="3"/>
  <c r="D95" i="3"/>
  <c r="E95" i="3"/>
  <c r="F95" i="3"/>
  <c r="G95" i="3"/>
  <c r="H95" i="3"/>
  <c r="I95" i="3"/>
  <c r="J95" i="3"/>
  <c r="K95" i="3"/>
  <c r="L95" i="3"/>
  <c r="M95" i="3"/>
  <c r="B96" i="3"/>
  <c r="C96" i="3"/>
  <c r="D96" i="3"/>
  <c r="E96" i="3"/>
  <c r="F96" i="3"/>
  <c r="G96" i="3"/>
  <c r="H96" i="3"/>
  <c r="I96" i="3"/>
  <c r="J96" i="3"/>
  <c r="K96" i="3"/>
  <c r="L96" i="3"/>
  <c r="M96" i="3"/>
  <c r="B97" i="3"/>
  <c r="C97" i="3"/>
  <c r="D97" i="3"/>
  <c r="E97" i="3"/>
  <c r="F97" i="3"/>
  <c r="G97" i="3"/>
  <c r="H97" i="3"/>
  <c r="I97" i="3"/>
  <c r="J97" i="3"/>
  <c r="K97" i="3"/>
  <c r="L97" i="3"/>
  <c r="M97" i="3"/>
  <c r="B98" i="3"/>
  <c r="C98" i="3"/>
  <c r="D98" i="3"/>
  <c r="E98" i="3"/>
  <c r="F98" i="3"/>
  <c r="G98" i="3"/>
  <c r="H98" i="3"/>
  <c r="I98" i="3"/>
  <c r="J98" i="3"/>
  <c r="K98" i="3"/>
  <c r="L98" i="3"/>
  <c r="M98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D130" i="4" a="1"/>
  <c r="D130" i="4" s="1"/>
  <c r="B3" i="4" a="1"/>
  <c r="B3" i="4" s="1"/>
  <c r="C3" i="4" a="1"/>
  <c r="C3" i="4" s="1"/>
  <c r="D3" i="4" a="1"/>
  <c r="D3" i="4" s="1"/>
  <c r="E3" i="4" a="1"/>
  <c r="E3" i="4" s="1"/>
  <c r="F3" i="4" a="1"/>
  <c r="F3" i="4" s="1"/>
  <c r="G3" i="4" a="1"/>
  <c r="G3" i="4" s="1"/>
  <c r="H3" i="4" a="1"/>
  <c r="H3" i="4" s="1"/>
  <c r="I3" i="4" a="1"/>
  <c r="I3" i="4" s="1"/>
  <c r="J3" i="4" a="1"/>
  <c r="J3" i="4" s="1"/>
  <c r="K3" i="4" a="1"/>
  <c r="K3" i="4" s="1"/>
  <c r="L3" i="4" a="1"/>
  <c r="L3" i="4" s="1"/>
  <c r="M3" i="4" a="1"/>
  <c r="M3" i="4" s="1"/>
  <c r="B4" i="4" a="1"/>
  <c r="B4" i="4" s="1"/>
  <c r="C4" i="4" a="1"/>
  <c r="C4" i="4" s="1"/>
  <c r="D4" i="4" a="1"/>
  <c r="D4" i="4" s="1"/>
  <c r="E4" i="4" a="1"/>
  <c r="E4" i="4" s="1"/>
  <c r="F4" i="4" a="1"/>
  <c r="F4" i="4" s="1"/>
  <c r="G4" i="4" a="1"/>
  <c r="G4" i="4" s="1"/>
  <c r="H4" i="4" a="1"/>
  <c r="H4" i="4" s="1"/>
  <c r="I4" i="4" a="1"/>
  <c r="I4" i="4" s="1"/>
  <c r="J4" i="4" a="1"/>
  <c r="J4" i="4" s="1"/>
  <c r="K4" i="4" a="1"/>
  <c r="K4" i="4" s="1"/>
  <c r="L4" i="4" a="1"/>
  <c r="L4" i="4" s="1"/>
  <c r="M4" i="4" a="1"/>
  <c r="M4" i="4" s="1"/>
  <c r="B5" i="4" a="1"/>
  <c r="B5" i="4" s="1"/>
  <c r="C5" i="4" a="1"/>
  <c r="C5" i="4" s="1"/>
  <c r="D5" i="4" a="1"/>
  <c r="D5" i="4" s="1"/>
  <c r="E5" i="4" a="1"/>
  <c r="E5" i="4" s="1"/>
  <c r="F5" i="4" a="1"/>
  <c r="F5" i="4" s="1"/>
  <c r="G5" i="4" a="1"/>
  <c r="G5" i="4" s="1"/>
  <c r="H5" i="4" a="1"/>
  <c r="H5" i="4" s="1"/>
  <c r="I5" i="4" a="1"/>
  <c r="I5" i="4" s="1"/>
  <c r="J5" i="4" a="1"/>
  <c r="J5" i="4" s="1"/>
  <c r="K5" i="4" a="1"/>
  <c r="K5" i="4" s="1"/>
  <c r="L5" i="4" a="1"/>
  <c r="L5" i="4" s="1"/>
  <c r="M5" i="4" a="1"/>
  <c r="M5" i="4" s="1"/>
  <c r="B6" i="4" a="1"/>
  <c r="B6" i="4" s="1"/>
  <c r="C6" i="4" a="1"/>
  <c r="C6" i="4" s="1"/>
  <c r="D6" i="4" a="1"/>
  <c r="D6" i="4" s="1"/>
  <c r="E6" i="4" a="1"/>
  <c r="E6" i="4" s="1"/>
  <c r="F6" i="4" a="1"/>
  <c r="F6" i="4" s="1"/>
  <c r="G6" i="4" a="1"/>
  <c r="G6" i="4" s="1"/>
  <c r="H6" i="4" a="1"/>
  <c r="H6" i="4" s="1"/>
  <c r="I6" i="4" a="1"/>
  <c r="I6" i="4" s="1"/>
  <c r="J6" i="4" a="1"/>
  <c r="J6" i="4" s="1"/>
  <c r="K6" i="4" a="1"/>
  <c r="K6" i="4" s="1"/>
  <c r="L6" i="4" a="1"/>
  <c r="L6" i="4" s="1"/>
  <c r="M6" i="4" a="1"/>
  <c r="M6" i="4" s="1"/>
  <c r="B7" i="4" a="1"/>
  <c r="B7" i="4" s="1"/>
  <c r="C7" i="4" a="1"/>
  <c r="C7" i="4" s="1"/>
  <c r="D7" i="4" a="1"/>
  <c r="D7" i="4" s="1"/>
  <c r="E7" i="4" a="1"/>
  <c r="E7" i="4" s="1"/>
  <c r="F7" i="4" a="1"/>
  <c r="F7" i="4" s="1"/>
  <c r="G7" i="4" a="1"/>
  <c r="G7" i="4" s="1"/>
  <c r="H7" i="4" a="1"/>
  <c r="H7" i="4" s="1"/>
  <c r="I7" i="4" a="1"/>
  <c r="I7" i="4" s="1"/>
  <c r="J7" i="4" a="1"/>
  <c r="J7" i="4" s="1"/>
  <c r="K7" i="4" a="1"/>
  <c r="K7" i="4" s="1"/>
  <c r="L7" i="4" a="1"/>
  <c r="L7" i="4" s="1"/>
  <c r="M7" i="4" a="1"/>
  <c r="M7" i="4" s="1"/>
  <c r="B8" i="4" a="1"/>
  <c r="B8" i="4" s="1"/>
  <c r="C8" i="4" a="1"/>
  <c r="C8" i="4" s="1"/>
  <c r="D8" i="4" a="1"/>
  <c r="D8" i="4" s="1"/>
  <c r="E8" i="4" a="1"/>
  <c r="E8" i="4" s="1"/>
  <c r="F8" i="4" a="1"/>
  <c r="F8" i="4" s="1"/>
  <c r="G8" i="4" a="1"/>
  <c r="G8" i="4" s="1"/>
  <c r="H8" i="4" a="1"/>
  <c r="H8" i="4" s="1"/>
  <c r="I8" i="4" a="1"/>
  <c r="I8" i="4" s="1"/>
  <c r="J8" i="4" a="1"/>
  <c r="J8" i="4" s="1"/>
  <c r="K8" i="4" a="1"/>
  <c r="K8" i="4" s="1"/>
  <c r="L8" i="4" a="1"/>
  <c r="L8" i="4" s="1"/>
  <c r="M8" i="4" a="1"/>
  <c r="M8" i="4" s="1"/>
  <c r="B9" i="4" a="1"/>
  <c r="B9" i="4" s="1"/>
  <c r="C9" i="4" a="1"/>
  <c r="C9" i="4" s="1"/>
  <c r="D9" i="4" a="1"/>
  <c r="D9" i="4" s="1"/>
  <c r="E9" i="4" a="1"/>
  <c r="E9" i="4" s="1"/>
  <c r="F9" i="4" a="1"/>
  <c r="F9" i="4" s="1"/>
  <c r="G9" i="4" a="1"/>
  <c r="G9" i="4" s="1"/>
  <c r="H9" i="4" a="1"/>
  <c r="H9" i="4" s="1"/>
  <c r="I9" i="4" a="1"/>
  <c r="I9" i="4" s="1"/>
  <c r="J9" i="4" a="1"/>
  <c r="J9" i="4" s="1"/>
  <c r="K9" i="4" a="1"/>
  <c r="K9" i="4" s="1"/>
  <c r="L9" i="4" a="1"/>
  <c r="L9" i="4" s="1"/>
  <c r="M9" i="4" a="1"/>
  <c r="M9" i="4" s="1"/>
  <c r="B10" i="4" a="1"/>
  <c r="B10" i="4" s="1"/>
  <c r="C10" i="4" a="1"/>
  <c r="C10" i="4" s="1"/>
  <c r="D10" i="4" a="1"/>
  <c r="D10" i="4" s="1"/>
  <c r="E10" i="4" a="1"/>
  <c r="E10" i="4" s="1"/>
  <c r="F10" i="4" a="1"/>
  <c r="F10" i="4" s="1"/>
  <c r="G10" i="4" a="1"/>
  <c r="G10" i="4" s="1"/>
  <c r="H10" i="4" a="1"/>
  <c r="H10" i="4" s="1"/>
  <c r="I10" i="4" a="1"/>
  <c r="I10" i="4" s="1"/>
  <c r="J10" i="4" a="1"/>
  <c r="J10" i="4" s="1"/>
  <c r="K10" i="4" a="1"/>
  <c r="K10" i="4" s="1"/>
  <c r="L10" i="4" a="1"/>
  <c r="L10" i="4" s="1"/>
  <c r="M10" i="4" a="1"/>
  <c r="M10" i="4" s="1"/>
  <c r="B14" i="4" a="1"/>
  <c r="B14" i="4" s="1"/>
  <c r="C14" i="4" a="1"/>
  <c r="C14" i="4" s="1"/>
  <c r="D14" i="4" a="1"/>
  <c r="D14" i="4" s="1"/>
  <c r="E14" i="4" a="1"/>
  <c r="E14" i="4" s="1"/>
  <c r="F14" i="4" a="1"/>
  <c r="F14" i="4" s="1"/>
  <c r="G14" i="4" a="1"/>
  <c r="G14" i="4" s="1"/>
  <c r="H14" i="4" a="1"/>
  <c r="H14" i="4" s="1"/>
  <c r="I14" i="4" a="1"/>
  <c r="I14" i="4" s="1"/>
  <c r="J14" i="4" a="1"/>
  <c r="J14" i="4" s="1"/>
  <c r="K14" i="4" a="1"/>
  <c r="K14" i="4" s="1"/>
  <c r="L14" i="4" a="1"/>
  <c r="L14" i="4" s="1"/>
  <c r="M14" i="4" a="1"/>
  <c r="M14" i="4" s="1"/>
  <c r="B15" i="4" a="1"/>
  <c r="B15" i="4" s="1"/>
  <c r="C15" i="4" a="1"/>
  <c r="C15" i="4" s="1"/>
  <c r="D15" i="4" a="1"/>
  <c r="D15" i="4" s="1"/>
  <c r="E15" i="4" a="1"/>
  <c r="E15" i="4" s="1"/>
  <c r="F15" i="4" a="1"/>
  <c r="F15" i="4" s="1"/>
  <c r="G15" i="4" a="1"/>
  <c r="G15" i="4" s="1"/>
  <c r="H15" i="4" a="1"/>
  <c r="H15" i="4" s="1"/>
  <c r="I15" i="4" a="1"/>
  <c r="I15" i="4" s="1"/>
  <c r="J15" i="4" a="1"/>
  <c r="J15" i="4" s="1"/>
  <c r="K15" i="4" a="1"/>
  <c r="K15" i="4" s="1"/>
  <c r="L15" i="4" a="1"/>
  <c r="L15" i="4" s="1"/>
  <c r="M15" i="4" a="1"/>
  <c r="M15" i="4" s="1"/>
  <c r="B16" i="4" a="1"/>
  <c r="B16" i="4" s="1"/>
  <c r="C16" i="4" a="1"/>
  <c r="C16" i="4" s="1"/>
  <c r="D16" i="4" a="1"/>
  <c r="D16" i="4" s="1"/>
  <c r="E16" i="4" a="1"/>
  <c r="E16" i="4" s="1"/>
  <c r="F16" i="4" a="1"/>
  <c r="F16" i="4" s="1"/>
  <c r="G16" i="4" a="1"/>
  <c r="G16" i="4" s="1"/>
  <c r="H16" i="4" a="1"/>
  <c r="H16" i="4" s="1"/>
  <c r="I16" i="4" a="1"/>
  <c r="I16" i="4" s="1"/>
  <c r="J16" i="4" a="1"/>
  <c r="J16" i="4" s="1"/>
  <c r="K16" i="4" a="1"/>
  <c r="K16" i="4" s="1"/>
  <c r="L16" i="4" a="1"/>
  <c r="L16" i="4" s="1"/>
  <c r="M16" i="4" a="1"/>
  <c r="M16" i="4" s="1"/>
  <c r="B17" i="4" a="1"/>
  <c r="B17" i="4" s="1"/>
  <c r="C17" i="4" a="1"/>
  <c r="C17" i="4" s="1"/>
  <c r="D17" i="4" a="1"/>
  <c r="D17" i="4" s="1"/>
  <c r="E17" i="4" a="1"/>
  <c r="E17" i="4" s="1"/>
  <c r="F17" i="4" a="1"/>
  <c r="F17" i="4" s="1"/>
  <c r="G17" i="4" a="1"/>
  <c r="G17" i="4" s="1"/>
  <c r="H17" i="4" a="1"/>
  <c r="H17" i="4" s="1"/>
  <c r="I17" i="4" a="1"/>
  <c r="I17" i="4" s="1"/>
  <c r="J17" i="4" a="1"/>
  <c r="J17" i="4" s="1"/>
  <c r="K17" i="4" a="1"/>
  <c r="K17" i="4" s="1"/>
  <c r="L17" i="4" a="1"/>
  <c r="L17" i="4" s="1"/>
  <c r="M17" i="4" a="1"/>
  <c r="M17" i="4" s="1"/>
  <c r="B18" i="4" a="1"/>
  <c r="B18" i="4" s="1"/>
  <c r="C18" i="4" a="1"/>
  <c r="C18" i="4" s="1"/>
  <c r="D18" i="4" a="1"/>
  <c r="D18" i="4" s="1"/>
  <c r="E18" i="4" a="1"/>
  <c r="E18" i="4" s="1"/>
  <c r="F18" i="4" a="1"/>
  <c r="F18" i="4" s="1"/>
  <c r="G18" i="4" a="1"/>
  <c r="G18" i="4" s="1"/>
  <c r="H18" i="4" a="1"/>
  <c r="H18" i="4" s="1"/>
  <c r="I18" i="4" a="1"/>
  <c r="I18" i="4" s="1"/>
  <c r="J18" i="4" a="1"/>
  <c r="J18" i="4" s="1"/>
  <c r="K18" i="4" a="1"/>
  <c r="K18" i="4" s="1"/>
  <c r="L18" i="4" a="1"/>
  <c r="L18" i="4" s="1"/>
  <c r="M18" i="4" a="1"/>
  <c r="M18" i="4" s="1"/>
  <c r="B19" i="4" a="1"/>
  <c r="B19" i="4" s="1"/>
  <c r="C19" i="4" a="1"/>
  <c r="C19" i="4" s="1"/>
  <c r="D19" i="4" a="1"/>
  <c r="D19" i="4" s="1"/>
  <c r="E19" i="4" a="1"/>
  <c r="E19" i="4" s="1"/>
  <c r="F19" i="4" a="1"/>
  <c r="F19" i="4" s="1"/>
  <c r="G19" i="4" a="1"/>
  <c r="G19" i="4" s="1"/>
  <c r="H19" i="4" a="1"/>
  <c r="H19" i="4" s="1"/>
  <c r="I19" i="4" a="1"/>
  <c r="I19" i="4" s="1"/>
  <c r="J19" i="4" a="1"/>
  <c r="J19" i="4" s="1"/>
  <c r="K19" i="4" a="1"/>
  <c r="K19" i="4" s="1"/>
  <c r="L19" i="4" a="1"/>
  <c r="L19" i="4" s="1"/>
  <c r="M19" i="4" a="1"/>
  <c r="M19" i="4" s="1"/>
  <c r="B20" i="4" a="1"/>
  <c r="B20" i="4" s="1"/>
  <c r="C20" i="4" a="1"/>
  <c r="C20" i="4" s="1"/>
  <c r="D20" i="4" a="1"/>
  <c r="D20" i="4" s="1"/>
  <c r="E20" i="4" a="1"/>
  <c r="E20" i="4" s="1"/>
  <c r="F20" i="4" a="1"/>
  <c r="F20" i="4" s="1"/>
  <c r="G20" i="4" a="1"/>
  <c r="G20" i="4" s="1"/>
  <c r="H20" i="4" a="1"/>
  <c r="H20" i="4" s="1"/>
  <c r="I20" i="4" a="1"/>
  <c r="I20" i="4" s="1"/>
  <c r="J20" i="4" a="1"/>
  <c r="J20" i="4" s="1"/>
  <c r="K20" i="4" a="1"/>
  <c r="K20" i="4" s="1"/>
  <c r="L20" i="4" a="1"/>
  <c r="L20" i="4" s="1"/>
  <c r="M20" i="4" a="1"/>
  <c r="M20" i="4" s="1"/>
  <c r="B21" i="4" a="1"/>
  <c r="B21" i="4" s="1"/>
  <c r="C21" i="4" a="1"/>
  <c r="C21" i="4" s="1"/>
  <c r="D21" i="4" a="1"/>
  <c r="D21" i="4" s="1"/>
  <c r="E21" i="4" a="1"/>
  <c r="E21" i="4" s="1"/>
  <c r="F21" i="4" a="1"/>
  <c r="F21" i="4" s="1"/>
  <c r="G21" i="4" a="1"/>
  <c r="G21" i="4" s="1"/>
  <c r="H21" i="4" a="1"/>
  <c r="H21" i="4" s="1"/>
  <c r="I21" i="4" a="1"/>
  <c r="I21" i="4" s="1"/>
  <c r="J21" i="4" a="1"/>
  <c r="J21" i="4" s="1"/>
  <c r="K21" i="4" a="1"/>
  <c r="K21" i="4" s="1"/>
  <c r="L21" i="4" a="1"/>
  <c r="L21" i="4" s="1"/>
  <c r="M21" i="4" a="1"/>
  <c r="M21" i="4" s="1"/>
  <c r="B25" i="4" a="1"/>
  <c r="B25" i="4" s="1"/>
  <c r="C25" i="4" a="1"/>
  <c r="C25" i="4" s="1"/>
  <c r="D25" i="4" a="1"/>
  <c r="D25" i="4" s="1"/>
  <c r="E25" i="4" a="1"/>
  <c r="E25" i="4" s="1"/>
  <c r="F25" i="4" a="1"/>
  <c r="F25" i="4" s="1"/>
  <c r="G25" i="4" a="1"/>
  <c r="G25" i="4" s="1"/>
  <c r="H25" i="4" a="1"/>
  <c r="H25" i="4" s="1"/>
  <c r="I25" i="4" a="1"/>
  <c r="I25" i="4" s="1"/>
  <c r="J25" i="4" a="1"/>
  <c r="J25" i="4" s="1"/>
  <c r="K25" i="4" a="1"/>
  <c r="K25" i="4" s="1"/>
  <c r="L25" i="4" a="1"/>
  <c r="L25" i="4" s="1"/>
  <c r="M25" i="4" a="1"/>
  <c r="M25" i="4" s="1"/>
  <c r="B26" i="4" a="1"/>
  <c r="B26" i="4" s="1"/>
  <c r="C26" i="4" a="1"/>
  <c r="C26" i="4" s="1"/>
  <c r="D26" i="4" a="1"/>
  <c r="D26" i="4" s="1"/>
  <c r="E26" i="4" a="1"/>
  <c r="E26" i="4" s="1"/>
  <c r="F26" i="4" a="1"/>
  <c r="F26" i="4" s="1"/>
  <c r="G26" i="4" a="1"/>
  <c r="G26" i="4" s="1"/>
  <c r="H26" i="4" a="1"/>
  <c r="H26" i="4" s="1"/>
  <c r="I26" i="4" a="1"/>
  <c r="I26" i="4" s="1"/>
  <c r="J26" i="4" a="1"/>
  <c r="J26" i="4" s="1"/>
  <c r="K26" i="4" a="1"/>
  <c r="K26" i="4" s="1"/>
  <c r="L26" i="4" a="1"/>
  <c r="L26" i="4" s="1"/>
  <c r="M26" i="4" a="1"/>
  <c r="M26" i="4" s="1"/>
  <c r="B27" i="4" a="1"/>
  <c r="B27" i="4" s="1"/>
  <c r="C27" i="4" a="1"/>
  <c r="C27" i="4" s="1"/>
  <c r="D27" i="4" a="1"/>
  <c r="D27" i="4" s="1"/>
  <c r="E27" i="4" a="1"/>
  <c r="E27" i="4" s="1"/>
  <c r="F27" i="4" a="1"/>
  <c r="F27" i="4" s="1"/>
  <c r="G27" i="4" a="1"/>
  <c r="G27" i="4" s="1"/>
  <c r="H27" i="4" a="1"/>
  <c r="H27" i="4" s="1"/>
  <c r="I27" i="4" a="1"/>
  <c r="I27" i="4" s="1"/>
  <c r="J27" i="4" a="1"/>
  <c r="J27" i="4" s="1"/>
  <c r="K27" i="4" a="1"/>
  <c r="K27" i="4" s="1"/>
  <c r="L27" i="4" a="1"/>
  <c r="L27" i="4" s="1"/>
  <c r="M27" i="4" a="1"/>
  <c r="M27" i="4" s="1"/>
  <c r="B28" i="4" a="1"/>
  <c r="B28" i="4" s="1"/>
  <c r="C28" i="4" a="1"/>
  <c r="C28" i="4" s="1"/>
  <c r="D28" i="4" a="1"/>
  <c r="D28" i="4" s="1"/>
  <c r="E28" i="4" a="1"/>
  <c r="E28" i="4" s="1"/>
  <c r="F28" i="4" a="1"/>
  <c r="F28" i="4" s="1"/>
  <c r="G28" i="4" a="1"/>
  <c r="G28" i="4" s="1"/>
  <c r="H28" i="4" a="1"/>
  <c r="H28" i="4" s="1"/>
  <c r="I28" i="4" a="1"/>
  <c r="I28" i="4" s="1"/>
  <c r="J28" i="4" a="1"/>
  <c r="J28" i="4" s="1"/>
  <c r="K28" i="4" a="1"/>
  <c r="K28" i="4" s="1"/>
  <c r="L28" i="4" a="1"/>
  <c r="L28" i="4" s="1"/>
  <c r="M28" i="4" a="1"/>
  <c r="M28" i="4" s="1"/>
  <c r="B29" i="4" a="1"/>
  <c r="B29" i="4" s="1"/>
  <c r="C29" i="4" a="1"/>
  <c r="C29" i="4" s="1"/>
  <c r="D29" i="4" a="1"/>
  <c r="D29" i="4" s="1"/>
  <c r="E29" i="4" a="1"/>
  <c r="E29" i="4" s="1"/>
  <c r="F29" i="4" a="1"/>
  <c r="F29" i="4" s="1"/>
  <c r="G29" i="4" a="1"/>
  <c r="G29" i="4" s="1"/>
  <c r="H29" i="4" a="1"/>
  <c r="H29" i="4" s="1"/>
  <c r="I29" i="4" a="1"/>
  <c r="I29" i="4" s="1"/>
  <c r="J29" i="4" a="1"/>
  <c r="J29" i="4" s="1"/>
  <c r="K29" i="4" a="1"/>
  <c r="K29" i="4" s="1"/>
  <c r="L29" i="4" a="1"/>
  <c r="L29" i="4" s="1"/>
  <c r="M29" i="4" a="1"/>
  <c r="M29" i="4" s="1"/>
  <c r="B30" i="4" a="1"/>
  <c r="B30" i="4" s="1"/>
  <c r="C30" i="4" a="1"/>
  <c r="C30" i="4" s="1"/>
  <c r="D30" i="4" a="1"/>
  <c r="D30" i="4" s="1"/>
  <c r="E30" i="4" a="1"/>
  <c r="E30" i="4" s="1"/>
  <c r="F30" i="4" a="1"/>
  <c r="F30" i="4" s="1"/>
  <c r="G30" i="4" a="1"/>
  <c r="G30" i="4" s="1"/>
  <c r="H30" i="4" a="1"/>
  <c r="H30" i="4" s="1"/>
  <c r="I30" i="4" a="1"/>
  <c r="I30" i="4" s="1"/>
  <c r="J30" i="4" a="1"/>
  <c r="J30" i="4" s="1"/>
  <c r="K30" i="4" a="1"/>
  <c r="K30" i="4" s="1"/>
  <c r="L30" i="4" a="1"/>
  <c r="L30" i="4" s="1"/>
  <c r="M30" i="4" a="1"/>
  <c r="M30" i="4" s="1"/>
  <c r="B31" i="4" a="1"/>
  <c r="B31" i="4" s="1"/>
  <c r="C31" i="4" a="1"/>
  <c r="C31" i="4" s="1"/>
  <c r="D31" i="4" a="1"/>
  <c r="D31" i="4" s="1"/>
  <c r="E31" i="4" a="1"/>
  <c r="E31" i="4" s="1"/>
  <c r="F31" i="4" a="1"/>
  <c r="F31" i="4" s="1"/>
  <c r="G31" i="4" a="1"/>
  <c r="G31" i="4" s="1"/>
  <c r="H31" i="4" a="1"/>
  <c r="H31" i="4" s="1"/>
  <c r="I31" i="4" a="1"/>
  <c r="I31" i="4" s="1"/>
  <c r="J31" i="4" a="1"/>
  <c r="J31" i="4" s="1"/>
  <c r="K31" i="4" a="1"/>
  <c r="K31" i="4" s="1"/>
  <c r="L31" i="4" a="1"/>
  <c r="L31" i="4" s="1"/>
  <c r="M31" i="4" a="1"/>
  <c r="M31" i="4" s="1"/>
  <c r="B32" i="4" a="1"/>
  <c r="B32" i="4" s="1"/>
  <c r="C32" i="4" a="1"/>
  <c r="C32" i="4" s="1"/>
  <c r="D32" i="4" a="1"/>
  <c r="D32" i="4" s="1"/>
  <c r="E32" i="4" a="1"/>
  <c r="E32" i="4" s="1"/>
  <c r="F32" i="4" a="1"/>
  <c r="F32" i="4" s="1"/>
  <c r="G32" i="4" a="1"/>
  <c r="G32" i="4" s="1"/>
  <c r="H32" i="4" a="1"/>
  <c r="H32" i="4" s="1"/>
  <c r="I32" i="4" a="1"/>
  <c r="I32" i="4" s="1"/>
  <c r="J32" i="4" a="1"/>
  <c r="J32" i="4" s="1"/>
  <c r="K32" i="4" a="1"/>
  <c r="K32" i="4" s="1"/>
  <c r="L32" i="4" a="1"/>
  <c r="L32" i="4" s="1"/>
  <c r="M32" i="4" a="1"/>
  <c r="M32" i="4" s="1"/>
  <c r="B36" i="4" a="1"/>
  <c r="B36" i="4" s="1"/>
  <c r="C36" i="4" a="1"/>
  <c r="C36" i="4" s="1"/>
  <c r="D36" i="4" a="1"/>
  <c r="D36" i="4" s="1"/>
  <c r="E36" i="4" a="1"/>
  <c r="E36" i="4" s="1"/>
  <c r="F36" i="4" a="1"/>
  <c r="F36" i="4" s="1"/>
  <c r="G36" i="4" a="1"/>
  <c r="G36" i="4" s="1"/>
  <c r="H36" i="4" a="1"/>
  <c r="H36" i="4" s="1"/>
  <c r="I36" i="4" a="1"/>
  <c r="I36" i="4" s="1"/>
  <c r="J36" i="4" a="1"/>
  <c r="J36" i="4" s="1"/>
  <c r="K36" i="4" a="1"/>
  <c r="K36" i="4" s="1"/>
  <c r="L36" i="4" a="1"/>
  <c r="L36" i="4" s="1"/>
  <c r="M36" i="4" a="1"/>
  <c r="M36" i="4" s="1"/>
  <c r="B37" i="4" a="1"/>
  <c r="B37" i="4" s="1"/>
  <c r="C37" i="4" a="1"/>
  <c r="C37" i="4" s="1"/>
  <c r="D37" i="4" a="1"/>
  <c r="D37" i="4" s="1"/>
  <c r="E37" i="4" a="1"/>
  <c r="E37" i="4" s="1"/>
  <c r="F37" i="4" a="1"/>
  <c r="F37" i="4" s="1"/>
  <c r="G37" i="4" a="1"/>
  <c r="G37" i="4" s="1"/>
  <c r="H37" i="4" a="1"/>
  <c r="H37" i="4" s="1"/>
  <c r="I37" i="4" a="1"/>
  <c r="I37" i="4" s="1"/>
  <c r="J37" i="4" a="1"/>
  <c r="J37" i="4" s="1"/>
  <c r="K37" i="4" a="1"/>
  <c r="K37" i="4" s="1"/>
  <c r="L37" i="4" a="1"/>
  <c r="L37" i="4" s="1"/>
  <c r="M37" i="4" a="1"/>
  <c r="M37" i="4" s="1"/>
  <c r="B38" i="4" a="1"/>
  <c r="B38" i="4" s="1"/>
  <c r="C38" i="4" a="1"/>
  <c r="C38" i="4" s="1"/>
  <c r="D38" i="4" a="1"/>
  <c r="D38" i="4" s="1"/>
  <c r="E38" i="4" a="1"/>
  <c r="E38" i="4" s="1"/>
  <c r="F38" i="4" a="1"/>
  <c r="F38" i="4" s="1"/>
  <c r="G38" i="4" a="1"/>
  <c r="G38" i="4" s="1"/>
  <c r="H38" i="4" a="1"/>
  <c r="H38" i="4" s="1"/>
  <c r="I38" i="4" a="1"/>
  <c r="I38" i="4" s="1"/>
  <c r="J38" i="4" a="1"/>
  <c r="J38" i="4" s="1"/>
  <c r="K38" i="4" a="1"/>
  <c r="K38" i="4" s="1"/>
  <c r="L38" i="4" a="1"/>
  <c r="L38" i="4" s="1"/>
  <c r="M38" i="4" a="1"/>
  <c r="M38" i="4" s="1"/>
  <c r="B39" i="4" a="1"/>
  <c r="B39" i="4" s="1"/>
  <c r="C39" i="4" a="1"/>
  <c r="C39" i="4" s="1"/>
  <c r="D39" i="4" a="1"/>
  <c r="D39" i="4" s="1"/>
  <c r="E39" i="4" a="1"/>
  <c r="E39" i="4" s="1"/>
  <c r="F39" i="4" a="1"/>
  <c r="F39" i="4" s="1"/>
  <c r="G39" i="4" a="1"/>
  <c r="G39" i="4" s="1"/>
  <c r="H39" i="4" a="1"/>
  <c r="H39" i="4" s="1"/>
  <c r="I39" i="4" a="1"/>
  <c r="I39" i="4" s="1"/>
  <c r="J39" i="4" a="1"/>
  <c r="J39" i="4" s="1"/>
  <c r="K39" i="4" a="1"/>
  <c r="K39" i="4" s="1"/>
  <c r="L39" i="4" a="1"/>
  <c r="L39" i="4" s="1"/>
  <c r="M39" i="4" a="1"/>
  <c r="M39" i="4" s="1"/>
  <c r="B40" i="4" a="1"/>
  <c r="B40" i="4" s="1"/>
  <c r="C40" i="4" a="1"/>
  <c r="C40" i="4" s="1"/>
  <c r="D40" i="4" a="1"/>
  <c r="D40" i="4" s="1"/>
  <c r="E40" i="4" a="1"/>
  <c r="E40" i="4" s="1"/>
  <c r="F40" i="4" a="1"/>
  <c r="F40" i="4" s="1"/>
  <c r="G40" i="4" a="1"/>
  <c r="G40" i="4" s="1"/>
  <c r="H40" i="4" a="1"/>
  <c r="H40" i="4" s="1"/>
  <c r="I40" i="4" a="1"/>
  <c r="I40" i="4" s="1"/>
  <c r="J40" i="4" a="1"/>
  <c r="J40" i="4" s="1"/>
  <c r="K40" i="4" a="1"/>
  <c r="K40" i="4" s="1"/>
  <c r="L40" i="4" a="1"/>
  <c r="L40" i="4" s="1"/>
  <c r="M40" i="4" a="1"/>
  <c r="M40" i="4" s="1"/>
  <c r="B41" i="4" a="1"/>
  <c r="B41" i="4" s="1"/>
  <c r="C41" i="4" a="1"/>
  <c r="C41" i="4" s="1"/>
  <c r="D41" i="4" a="1"/>
  <c r="D41" i="4" s="1"/>
  <c r="E41" i="4" a="1"/>
  <c r="E41" i="4" s="1"/>
  <c r="F41" i="4" a="1"/>
  <c r="F41" i="4" s="1"/>
  <c r="G41" i="4" a="1"/>
  <c r="G41" i="4" s="1"/>
  <c r="H41" i="4" a="1"/>
  <c r="H41" i="4" s="1"/>
  <c r="I41" i="4" a="1"/>
  <c r="I41" i="4" s="1"/>
  <c r="J41" i="4" a="1"/>
  <c r="J41" i="4" s="1"/>
  <c r="K41" i="4" a="1"/>
  <c r="K41" i="4" s="1"/>
  <c r="L41" i="4" a="1"/>
  <c r="L41" i="4" s="1"/>
  <c r="M41" i="4" a="1"/>
  <c r="M41" i="4" s="1"/>
  <c r="B42" i="4" a="1"/>
  <c r="B42" i="4" s="1"/>
  <c r="C42" i="4" a="1"/>
  <c r="C42" i="4" s="1"/>
  <c r="D42" i="4" a="1"/>
  <c r="D42" i="4" s="1"/>
  <c r="E42" i="4" a="1"/>
  <c r="E42" i="4" s="1"/>
  <c r="F42" i="4" a="1"/>
  <c r="F42" i="4" s="1"/>
  <c r="G42" i="4" a="1"/>
  <c r="G42" i="4" s="1"/>
  <c r="H42" i="4" a="1"/>
  <c r="H42" i="4" s="1"/>
  <c r="I42" i="4" a="1"/>
  <c r="I42" i="4" s="1"/>
  <c r="J42" i="4" a="1"/>
  <c r="J42" i="4" s="1"/>
  <c r="K42" i="4" a="1"/>
  <c r="K42" i="4" s="1"/>
  <c r="L42" i="4" a="1"/>
  <c r="L42" i="4" s="1"/>
  <c r="M42" i="4" a="1"/>
  <c r="M42" i="4" s="1"/>
  <c r="B43" i="4" a="1"/>
  <c r="B43" i="4" s="1"/>
  <c r="C43" i="4" a="1"/>
  <c r="C43" i="4" s="1"/>
  <c r="D43" i="4" a="1"/>
  <c r="D43" i="4" s="1"/>
  <c r="E43" i="4" a="1"/>
  <c r="E43" i="4" s="1"/>
  <c r="F43" i="4" a="1"/>
  <c r="F43" i="4" s="1"/>
  <c r="G43" i="4" a="1"/>
  <c r="G43" i="4" s="1"/>
  <c r="H43" i="4" a="1"/>
  <c r="H43" i="4" s="1"/>
  <c r="I43" i="4" a="1"/>
  <c r="I43" i="4" s="1"/>
  <c r="J43" i="4" a="1"/>
  <c r="J43" i="4" s="1"/>
  <c r="K43" i="4" a="1"/>
  <c r="K43" i="4" s="1"/>
  <c r="L43" i="4" a="1"/>
  <c r="L43" i="4" s="1"/>
  <c r="M43" i="4" a="1"/>
  <c r="M43" i="4" s="1"/>
  <c r="B47" i="4" a="1"/>
  <c r="B47" i="4" s="1"/>
  <c r="C47" i="4" a="1"/>
  <c r="C47" i="4" s="1"/>
  <c r="D47" i="4" a="1"/>
  <c r="D47" i="4" s="1"/>
  <c r="E47" i="4" a="1"/>
  <c r="E47" i="4" s="1"/>
  <c r="F47" i="4" a="1"/>
  <c r="F47" i="4" s="1"/>
  <c r="G47" i="4" a="1"/>
  <c r="G47" i="4" s="1"/>
  <c r="H47" i="4" a="1"/>
  <c r="H47" i="4" s="1"/>
  <c r="I47" i="4" a="1"/>
  <c r="I47" i="4" s="1"/>
  <c r="J47" i="4" a="1"/>
  <c r="J47" i="4" s="1"/>
  <c r="K47" i="4" a="1"/>
  <c r="K47" i="4" s="1"/>
  <c r="L47" i="4" a="1"/>
  <c r="L47" i="4" s="1"/>
  <c r="M47" i="4" a="1"/>
  <c r="M47" i="4" s="1"/>
  <c r="B48" i="4" a="1"/>
  <c r="B48" i="4" s="1"/>
  <c r="C48" i="4" a="1"/>
  <c r="C48" i="4" s="1"/>
  <c r="D48" i="4" a="1"/>
  <c r="D48" i="4" s="1"/>
  <c r="E48" i="4" a="1"/>
  <c r="E48" i="4" s="1"/>
  <c r="F48" i="4" a="1"/>
  <c r="F48" i="4" s="1"/>
  <c r="G48" i="4" a="1"/>
  <c r="G48" i="4" s="1"/>
  <c r="H48" i="4" a="1"/>
  <c r="H48" i="4" s="1"/>
  <c r="I48" i="4" a="1"/>
  <c r="I48" i="4" s="1"/>
  <c r="J48" i="4" a="1"/>
  <c r="J48" i="4" s="1"/>
  <c r="K48" i="4" a="1"/>
  <c r="K48" i="4" s="1"/>
  <c r="L48" i="4" a="1"/>
  <c r="L48" i="4" s="1"/>
  <c r="M48" i="4" a="1"/>
  <c r="M48" i="4" s="1"/>
  <c r="B49" i="4" a="1"/>
  <c r="B49" i="4" s="1"/>
  <c r="C49" i="4" a="1"/>
  <c r="C49" i="4" s="1"/>
  <c r="D49" i="4" a="1"/>
  <c r="D49" i="4" s="1"/>
  <c r="E49" i="4" a="1"/>
  <c r="E49" i="4" s="1"/>
  <c r="F49" i="4" a="1"/>
  <c r="F49" i="4" s="1"/>
  <c r="G49" i="4" a="1"/>
  <c r="G49" i="4" s="1"/>
  <c r="H49" i="4" a="1"/>
  <c r="H49" i="4" s="1"/>
  <c r="I49" i="4" a="1"/>
  <c r="I49" i="4" s="1"/>
  <c r="J49" i="4" a="1"/>
  <c r="J49" i="4" s="1"/>
  <c r="K49" i="4" a="1"/>
  <c r="K49" i="4" s="1"/>
  <c r="L49" i="4" a="1"/>
  <c r="L49" i="4" s="1"/>
  <c r="M49" i="4" a="1"/>
  <c r="M49" i="4" s="1"/>
  <c r="B50" i="4" a="1"/>
  <c r="B50" i="4" s="1"/>
  <c r="C50" i="4" a="1"/>
  <c r="C50" i="4" s="1"/>
  <c r="D50" i="4" a="1"/>
  <c r="D50" i="4" s="1"/>
  <c r="E50" i="4" a="1"/>
  <c r="E50" i="4" s="1"/>
  <c r="F50" i="4" a="1"/>
  <c r="F50" i="4" s="1"/>
  <c r="G50" i="4" a="1"/>
  <c r="G50" i="4" s="1"/>
  <c r="H50" i="4" a="1"/>
  <c r="H50" i="4" s="1"/>
  <c r="I50" i="4" a="1"/>
  <c r="I50" i="4" s="1"/>
  <c r="J50" i="4" a="1"/>
  <c r="J50" i="4" s="1"/>
  <c r="K50" i="4" a="1"/>
  <c r="K50" i="4" s="1"/>
  <c r="L50" i="4" a="1"/>
  <c r="L50" i="4" s="1"/>
  <c r="M50" i="4" a="1"/>
  <c r="M50" i="4" s="1"/>
  <c r="B51" i="4" a="1"/>
  <c r="B51" i="4" s="1"/>
  <c r="C51" i="4" a="1"/>
  <c r="C51" i="4" s="1"/>
  <c r="D51" i="4" a="1"/>
  <c r="D51" i="4" s="1"/>
  <c r="E51" i="4" a="1"/>
  <c r="E51" i="4" s="1"/>
  <c r="F51" i="4" a="1"/>
  <c r="F51" i="4" s="1"/>
  <c r="G51" i="4" a="1"/>
  <c r="G51" i="4" s="1"/>
  <c r="H51" i="4" a="1"/>
  <c r="H51" i="4" s="1"/>
  <c r="I51" i="4" a="1"/>
  <c r="I51" i="4" s="1"/>
  <c r="J51" i="4" a="1"/>
  <c r="J51" i="4" s="1"/>
  <c r="K51" i="4" a="1"/>
  <c r="K51" i="4" s="1"/>
  <c r="L51" i="4" a="1"/>
  <c r="L51" i="4" s="1"/>
  <c r="M51" i="4" a="1"/>
  <c r="M51" i="4" s="1"/>
  <c r="B52" i="4" a="1"/>
  <c r="B52" i="4" s="1"/>
  <c r="C52" i="4" a="1"/>
  <c r="C52" i="4" s="1"/>
  <c r="D52" i="4" a="1"/>
  <c r="D52" i="4" s="1"/>
  <c r="E52" i="4" a="1"/>
  <c r="E52" i="4" s="1"/>
  <c r="F52" i="4" a="1"/>
  <c r="F52" i="4" s="1"/>
  <c r="G52" i="4" a="1"/>
  <c r="G52" i="4" s="1"/>
  <c r="H52" i="4" a="1"/>
  <c r="H52" i="4" s="1"/>
  <c r="I52" i="4" a="1"/>
  <c r="I52" i="4" s="1"/>
  <c r="J52" i="4" a="1"/>
  <c r="J52" i="4" s="1"/>
  <c r="K52" i="4" a="1"/>
  <c r="K52" i="4" s="1"/>
  <c r="L52" i="4" a="1"/>
  <c r="L52" i="4" s="1"/>
  <c r="M52" i="4" a="1"/>
  <c r="M52" i="4" s="1"/>
  <c r="B53" i="4" a="1"/>
  <c r="B53" i="4" s="1"/>
  <c r="C53" i="4" a="1"/>
  <c r="C53" i="4" s="1"/>
  <c r="D53" i="4" a="1"/>
  <c r="D53" i="4" s="1"/>
  <c r="E53" i="4" a="1"/>
  <c r="E53" i="4" s="1"/>
  <c r="F53" i="4" a="1"/>
  <c r="F53" i="4" s="1"/>
  <c r="G53" i="4" a="1"/>
  <c r="G53" i="4" s="1"/>
  <c r="H53" i="4" a="1"/>
  <c r="H53" i="4" s="1"/>
  <c r="I53" i="4" a="1"/>
  <c r="I53" i="4" s="1"/>
  <c r="J53" i="4" a="1"/>
  <c r="J53" i="4" s="1"/>
  <c r="K53" i="4" a="1"/>
  <c r="K53" i="4" s="1"/>
  <c r="L53" i="4" a="1"/>
  <c r="L53" i="4" s="1"/>
  <c r="M53" i="4" a="1"/>
  <c r="M53" i="4" s="1"/>
  <c r="B54" i="4" a="1"/>
  <c r="B54" i="4" s="1"/>
  <c r="C54" i="4" a="1"/>
  <c r="C54" i="4" s="1"/>
  <c r="D54" i="4" a="1"/>
  <c r="D54" i="4" s="1"/>
  <c r="E54" i="4" a="1"/>
  <c r="E54" i="4" s="1"/>
  <c r="F54" i="4" a="1"/>
  <c r="F54" i="4" s="1"/>
  <c r="G54" i="4" a="1"/>
  <c r="G54" i="4" s="1"/>
  <c r="H54" i="4" a="1"/>
  <c r="H54" i="4" s="1"/>
  <c r="I54" i="4" a="1"/>
  <c r="I54" i="4" s="1"/>
  <c r="J54" i="4" a="1"/>
  <c r="J54" i="4" s="1"/>
  <c r="K54" i="4" a="1"/>
  <c r="K54" i="4" s="1"/>
  <c r="L54" i="4" a="1"/>
  <c r="L54" i="4" s="1"/>
  <c r="M54" i="4" a="1"/>
  <c r="M54" i="4" s="1"/>
  <c r="B58" i="4" a="1"/>
  <c r="B58" i="4" s="1"/>
  <c r="C58" i="4" a="1"/>
  <c r="C58" i="4" s="1"/>
  <c r="D58" i="4" a="1"/>
  <c r="D58" i="4" s="1"/>
  <c r="E58" i="4" a="1"/>
  <c r="E58" i="4" s="1"/>
  <c r="F58" i="4" a="1"/>
  <c r="F58" i="4" s="1"/>
  <c r="G58" i="4" a="1"/>
  <c r="G58" i="4" s="1"/>
  <c r="H58" i="4" a="1"/>
  <c r="H58" i="4" s="1"/>
  <c r="I58" i="4" a="1"/>
  <c r="I58" i="4" s="1"/>
  <c r="J58" i="4" a="1"/>
  <c r="J58" i="4" s="1"/>
  <c r="K58" i="4" a="1"/>
  <c r="K58" i="4" s="1"/>
  <c r="L58" i="4" a="1"/>
  <c r="L58" i="4" s="1"/>
  <c r="M58" i="4" a="1"/>
  <c r="M58" i="4" s="1"/>
  <c r="B59" i="4" a="1"/>
  <c r="B59" i="4" s="1"/>
  <c r="C59" i="4" a="1"/>
  <c r="C59" i="4" s="1"/>
  <c r="D59" i="4" a="1"/>
  <c r="D59" i="4" s="1"/>
  <c r="E59" i="4" a="1"/>
  <c r="E59" i="4" s="1"/>
  <c r="F59" i="4" a="1"/>
  <c r="F59" i="4" s="1"/>
  <c r="G59" i="4" a="1"/>
  <c r="G59" i="4" s="1"/>
  <c r="H59" i="4" a="1"/>
  <c r="H59" i="4" s="1"/>
  <c r="I59" i="4" a="1"/>
  <c r="I59" i="4" s="1"/>
  <c r="J59" i="4" a="1"/>
  <c r="J59" i="4" s="1"/>
  <c r="K59" i="4" a="1"/>
  <c r="K59" i="4" s="1"/>
  <c r="L59" i="4" a="1"/>
  <c r="L59" i="4" s="1"/>
  <c r="M59" i="4" a="1"/>
  <c r="M59" i="4" s="1"/>
  <c r="B60" i="4" a="1"/>
  <c r="B60" i="4" s="1"/>
  <c r="C60" i="4" a="1"/>
  <c r="C60" i="4" s="1"/>
  <c r="D60" i="4" a="1"/>
  <c r="D60" i="4" s="1"/>
  <c r="E60" i="4" a="1"/>
  <c r="E60" i="4" s="1"/>
  <c r="F60" i="4" a="1"/>
  <c r="F60" i="4" s="1"/>
  <c r="G60" i="4" a="1"/>
  <c r="G60" i="4" s="1"/>
  <c r="H60" i="4" a="1"/>
  <c r="H60" i="4" s="1"/>
  <c r="I60" i="4" a="1"/>
  <c r="I60" i="4" s="1"/>
  <c r="J60" i="4" a="1"/>
  <c r="J60" i="4" s="1"/>
  <c r="K60" i="4" a="1"/>
  <c r="K60" i="4" s="1"/>
  <c r="L60" i="4" a="1"/>
  <c r="L60" i="4" s="1"/>
  <c r="M60" i="4" a="1"/>
  <c r="M60" i="4" s="1"/>
  <c r="B61" i="4" a="1"/>
  <c r="B61" i="4" s="1"/>
  <c r="C61" i="4" a="1"/>
  <c r="C61" i="4" s="1"/>
  <c r="D61" i="4" a="1"/>
  <c r="D61" i="4" s="1"/>
  <c r="E61" i="4" a="1"/>
  <c r="E61" i="4" s="1"/>
  <c r="F61" i="4" a="1"/>
  <c r="F61" i="4" s="1"/>
  <c r="G61" i="4" a="1"/>
  <c r="G61" i="4" s="1"/>
  <c r="H61" i="4" a="1"/>
  <c r="H61" i="4" s="1"/>
  <c r="I61" i="4" a="1"/>
  <c r="I61" i="4" s="1"/>
  <c r="J61" i="4" a="1"/>
  <c r="J61" i="4" s="1"/>
  <c r="K61" i="4" a="1"/>
  <c r="K61" i="4" s="1"/>
  <c r="L61" i="4" a="1"/>
  <c r="L61" i="4" s="1"/>
  <c r="M61" i="4" a="1"/>
  <c r="M61" i="4" s="1"/>
  <c r="B62" i="4" a="1"/>
  <c r="B62" i="4" s="1"/>
  <c r="C62" i="4" a="1"/>
  <c r="C62" i="4" s="1"/>
  <c r="D62" i="4" a="1"/>
  <c r="D62" i="4" s="1"/>
  <c r="E62" i="4" a="1"/>
  <c r="E62" i="4" s="1"/>
  <c r="F62" i="4" a="1"/>
  <c r="F62" i="4" s="1"/>
  <c r="G62" i="4" a="1"/>
  <c r="G62" i="4" s="1"/>
  <c r="H62" i="4" a="1"/>
  <c r="H62" i="4" s="1"/>
  <c r="I62" i="4" a="1"/>
  <c r="I62" i="4" s="1"/>
  <c r="J62" i="4" a="1"/>
  <c r="J62" i="4" s="1"/>
  <c r="K62" i="4" a="1"/>
  <c r="K62" i="4" s="1"/>
  <c r="L62" i="4" a="1"/>
  <c r="L62" i="4" s="1"/>
  <c r="M62" i="4" a="1"/>
  <c r="M62" i="4" s="1"/>
  <c r="B63" i="4" a="1"/>
  <c r="B63" i="4" s="1"/>
  <c r="C63" i="4" a="1"/>
  <c r="C63" i="4" s="1"/>
  <c r="D63" i="4" a="1"/>
  <c r="D63" i="4" s="1"/>
  <c r="E63" i="4" a="1"/>
  <c r="E63" i="4" s="1"/>
  <c r="F63" i="4" a="1"/>
  <c r="F63" i="4" s="1"/>
  <c r="G63" i="4" a="1"/>
  <c r="G63" i="4" s="1"/>
  <c r="H63" i="4" a="1"/>
  <c r="H63" i="4" s="1"/>
  <c r="I63" i="4" a="1"/>
  <c r="I63" i="4" s="1"/>
  <c r="J63" i="4" a="1"/>
  <c r="J63" i="4" s="1"/>
  <c r="K63" i="4" a="1"/>
  <c r="K63" i="4" s="1"/>
  <c r="L63" i="4" a="1"/>
  <c r="L63" i="4" s="1"/>
  <c r="M63" i="4" a="1"/>
  <c r="M63" i="4" s="1"/>
  <c r="B64" i="4" a="1"/>
  <c r="B64" i="4" s="1"/>
  <c r="C64" i="4" a="1"/>
  <c r="C64" i="4" s="1"/>
  <c r="D64" i="4" a="1"/>
  <c r="D64" i="4" s="1"/>
  <c r="E64" i="4" a="1"/>
  <c r="E64" i="4" s="1"/>
  <c r="F64" i="4" a="1"/>
  <c r="F64" i="4" s="1"/>
  <c r="G64" i="4" a="1"/>
  <c r="G64" i="4" s="1"/>
  <c r="H64" i="4" a="1"/>
  <c r="H64" i="4" s="1"/>
  <c r="I64" i="4" a="1"/>
  <c r="I64" i="4" s="1"/>
  <c r="J64" i="4" a="1"/>
  <c r="J64" i="4" s="1"/>
  <c r="K64" i="4" a="1"/>
  <c r="K64" i="4" s="1"/>
  <c r="L64" i="4" a="1"/>
  <c r="L64" i="4" s="1"/>
  <c r="M64" i="4" a="1"/>
  <c r="M64" i="4" s="1"/>
  <c r="B65" i="4" a="1"/>
  <c r="B65" i="4" s="1"/>
  <c r="C65" i="4" a="1"/>
  <c r="C65" i="4" s="1"/>
  <c r="D65" i="4" a="1"/>
  <c r="D65" i="4" s="1"/>
  <c r="E65" i="4" a="1"/>
  <c r="E65" i="4" s="1"/>
  <c r="F65" i="4" a="1"/>
  <c r="F65" i="4" s="1"/>
  <c r="G65" i="4" a="1"/>
  <c r="G65" i="4" s="1"/>
  <c r="H65" i="4" a="1"/>
  <c r="H65" i="4" s="1"/>
  <c r="I65" i="4" a="1"/>
  <c r="I65" i="4" s="1"/>
  <c r="J65" i="4" a="1"/>
  <c r="J65" i="4" s="1"/>
  <c r="K65" i="4" a="1"/>
  <c r="K65" i="4" s="1"/>
  <c r="L65" i="4" a="1"/>
  <c r="L65" i="4" s="1"/>
  <c r="M65" i="4" a="1"/>
  <c r="M65" i="4" s="1"/>
  <c r="B69" i="4" a="1"/>
  <c r="B69" i="4" s="1"/>
  <c r="C69" i="4" a="1"/>
  <c r="C69" i="4" s="1"/>
  <c r="D69" i="4" a="1"/>
  <c r="D69" i="4" s="1"/>
  <c r="E69" i="4" a="1"/>
  <c r="E69" i="4" s="1"/>
  <c r="F69" i="4" a="1"/>
  <c r="F69" i="4" s="1"/>
  <c r="G69" i="4" a="1"/>
  <c r="G69" i="4" s="1"/>
  <c r="H69" i="4" a="1"/>
  <c r="H69" i="4" s="1"/>
  <c r="I69" i="4" a="1"/>
  <c r="I69" i="4" s="1"/>
  <c r="J69" i="4" a="1"/>
  <c r="J69" i="4" s="1"/>
  <c r="K69" i="4" a="1"/>
  <c r="K69" i="4" s="1"/>
  <c r="L69" i="4" a="1"/>
  <c r="L69" i="4" s="1"/>
  <c r="M69" i="4" a="1"/>
  <c r="M69" i="4" s="1"/>
  <c r="B70" i="4" a="1"/>
  <c r="B70" i="4" s="1"/>
  <c r="C70" i="4" a="1"/>
  <c r="C70" i="4" s="1"/>
  <c r="D70" i="4" a="1"/>
  <c r="D70" i="4" s="1"/>
  <c r="E70" i="4" a="1"/>
  <c r="E70" i="4" s="1"/>
  <c r="F70" i="4" a="1"/>
  <c r="F70" i="4" s="1"/>
  <c r="G70" i="4" a="1"/>
  <c r="G70" i="4" s="1"/>
  <c r="H70" i="4" a="1"/>
  <c r="H70" i="4" s="1"/>
  <c r="I70" i="4" a="1"/>
  <c r="I70" i="4" s="1"/>
  <c r="J70" i="4" a="1"/>
  <c r="J70" i="4" s="1"/>
  <c r="K70" i="4" a="1"/>
  <c r="K70" i="4" s="1"/>
  <c r="L70" i="4" a="1"/>
  <c r="L70" i="4" s="1"/>
  <c r="M70" i="4" a="1"/>
  <c r="M70" i="4" s="1"/>
  <c r="B71" i="4" a="1"/>
  <c r="B71" i="4" s="1"/>
  <c r="C71" i="4" a="1"/>
  <c r="C71" i="4" s="1"/>
  <c r="D71" i="4" a="1"/>
  <c r="D71" i="4" s="1"/>
  <c r="E71" i="4" a="1"/>
  <c r="E71" i="4" s="1"/>
  <c r="F71" i="4" a="1"/>
  <c r="F71" i="4" s="1"/>
  <c r="G71" i="4" a="1"/>
  <c r="G71" i="4" s="1"/>
  <c r="H71" i="4" a="1"/>
  <c r="H71" i="4" s="1"/>
  <c r="I71" i="4" a="1"/>
  <c r="I71" i="4" s="1"/>
  <c r="J71" i="4" a="1"/>
  <c r="J71" i="4" s="1"/>
  <c r="K71" i="4" a="1"/>
  <c r="K71" i="4" s="1"/>
  <c r="L71" i="4" a="1"/>
  <c r="L71" i="4" s="1"/>
  <c r="M71" i="4" a="1"/>
  <c r="M71" i="4" s="1"/>
  <c r="B72" i="4" a="1"/>
  <c r="B72" i="4" s="1"/>
  <c r="C72" i="4" a="1"/>
  <c r="C72" i="4" s="1"/>
  <c r="D72" i="4" a="1"/>
  <c r="D72" i="4" s="1"/>
  <c r="E72" i="4" a="1"/>
  <c r="E72" i="4" s="1"/>
  <c r="F72" i="4" a="1"/>
  <c r="F72" i="4" s="1"/>
  <c r="G72" i="4" a="1"/>
  <c r="G72" i="4" s="1"/>
  <c r="H72" i="4" a="1"/>
  <c r="H72" i="4" s="1"/>
  <c r="I72" i="4" a="1"/>
  <c r="I72" i="4" s="1"/>
  <c r="J72" i="4" a="1"/>
  <c r="J72" i="4" s="1"/>
  <c r="K72" i="4" a="1"/>
  <c r="K72" i="4" s="1"/>
  <c r="L72" i="4" a="1"/>
  <c r="L72" i="4" s="1"/>
  <c r="M72" i="4" a="1"/>
  <c r="M72" i="4" s="1"/>
  <c r="B73" i="4" a="1"/>
  <c r="B73" i="4" s="1"/>
  <c r="C73" i="4" a="1"/>
  <c r="C73" i="4" s="1"/>
  <c r="D73" i="4" a="1"/>
  <c r="D73" i="4" s="1"/>
  <c r="E73" i="4" a="1"/>
  <c r="E73" i="4" s="1"/>
  <c r="F73" i="4" a="1"/>
  <c r="F73" i="4" s="1"/>
  <c r="G73" i="4" a="1"/>
  <c r="G73" i="4" s="1"/>
  <c r="H73" i="4" a="1"/>
  <c r="H73" i="4" s="1"/>
  <c r="I73" i="4" a="1"/>
  <c r="I73" i="4" s="1"/>
  <c r="J73" i="4" a="1"/>
  <c r="J73" i="4" s="1"/>
  <c r="K73" i="4" a="1"/>
  <c r="K73" i="4" s="1"/>
  <c r="L73" i="4" a="1"/>
  <c r="L73" i="4" s="1"/>
  <c r="M73" i="4" a="1"/>
  <c r="M73" i="4" s="1"/>
  <c r="B74" i="4" a="1"/>
  <c r="B74" i="4" s="1"/>
  <c r="C74" i="4" a="1"/>
  <c r="C74" i="4" s="1"/>
  <c r="D74" i="4" a="1"/>
  <c r="D74" i="4" s="1"/>
  <c r="E74" i="4" a="1"/>
  <c r="E74" i="4" s="1"/>
  <c r="F74" i="4" a="1"/>
  <c r="F74" i="4" s="1"/>
  <c r="G74" i="4" a="1"/>
  <c r="G74" i="4" s="1"/>
  <c r="H74" i="4" a="1"/>
  <c r="H74" i="4" s="1"/>
  <c r="I74" i="4" a="1"/>
  <c r="I74" i="4" s="1"/>
  <c r="J74" i="4" a="1"/>
  <c r="J74" i="4" s="1"/>
  <c r="K74" i="4" a="1"/>
  <c r="K74" i="4" s="1"/>
  <c r="L74" i="4" a="1"/>
  <c r="L74" i="4" s="1"/>
  <c r="M74" i="4" a="1"/>
  <c r="M74" i="4" s="1"/>
  <c r="B75" i="4" a="1"/>
  <c r="B75" i="4" s="1"/>
  <c r="C75" i="4" a="1"/>
  <c r="C75" i="4" s="1"/>
  <c r="D75" i="4" a="1"/>
  <c r="D75" i="4" s="1"/>
  <c r="E75" i="4" a="1"/>
  <c r="E75" i="4" s="1"/>
  <c r="F75" i="4" a="1"/>
  <c r="F75" i="4" s="1"/>
  <c r="G75" i="4" a="1"/>
  <c r="G75" i="4" s="1"/>
  <c r="H75" i="4" a="1"/>
  <c r="H75" i="4" s="1"/>
  <c r="I75" i="4" a="1"/>
  <c r="I75" i="4" s="1"/>
  <c r="J75" i="4" a="1"/>
  <c r="J75" i="4" s="1"/>
  <c r="K75" i="4" a="1"/>
  <c r="K75" i="4" s="1"/>
  <c r="L75" i="4" a="1"/>
  <c r="L75" i="4" s="1"/>
  <c r="M75" i="4" a="1"/>
  <c r="M75" i="4" s="1"/>
  <c r="B76" i="4" a="1"/>
  <c r="B76" i="4" s="1"/>
  <c r="C76" i="4" a="1"/>
  <c r="C76" i="4" s="1"/>
  <c r="D76" i="4" a="1"/>
  <c r="D76" i="4" s="1"/>
  <c r="E76" i="4" a="1"/>
  <c r="E76" i="4" s="1"/>
  <c r="F76" i="4" a="1"/>
  <c r="F76" i="4" s="1"/>
  <c r="G76" i="4" a="1"/>
  <c r="G76" i="4" s="1"/>
  <c r="H76" i="4" a="1"/>
  <c r="H76" i="4" s="1"/>
  <c r="I76" i="4" a="1"/>
  <c r="I76" i="4" s="1"/>
  <c r="J76" i="4" a="1"/>
  <c r="J76" i="4" s="1"/>
  <c r="K76" i="4" a="1"/>
  <c r="K76" i="4" s="1"/>
  <c r="L76" i="4" a="1"/>
  <c r="L76" i="4" s="1"/>
  <c r="M76" i="4" a="1"/>
  <c r="M76" i="4" s="1"/>
  <c r="B80" i="4" a="1"/>
  <c r="B80" i="4" s="1"/>
  <c r="C80" i="4" a="1"/>
  <c r="C80" i="4" s="1"/>
  <c r="D80" i="4" a="1"/>
  <c r="D80" i="4" s="1"/>
  <c r="E80" i="4" a="1"/>
  <c r="E80" i="4" s="1"/>
  <c r="F80" i="4" a="1"/>
  <c r="F80" i="4" s="1"/>
  <c r="G80" i="4" a="1"/>
  <c r="G80" i="4" s="1"/>
  <c r="H80" i="4" a="1"/>
  <c r="H80" i="4" s="1"/>
  <c r="I80" i="4" a="1"/>
  <c r="I80" i="4" s="1"/>
  <c r="J80" i="4" a="1"/>
  <c r="J80" i="4" s="1"/>
  <c r="K80" i="4" a="1"/>
  <c r="K80" i="4" s="1"/>
  <c r="L80" i="4" a="1"/>
  <c r="L80" i="4" s="1"/>
  <c r="M80" i="4" a="1"/>
  <c r="M80" i="4" s="1"/>
  <c r="B81" i="4" a="1"/>
  <c r="B81" i="4" s="1"/>
  <c r="C81" i="4" a="1"/>
  <c r="C81" i="4" s="1"/>
  <c r="D81" i="4" a="1"/>
  <c r="D81" i="4" s="1"/>
  <c r="E81" i="4" a="1"/>
  <c r="E81" i="4" s="1"/>
  <c r="F81" i="4" a="1"/>
  <c r="F81" i="4" s="1"/>
  <c r="G81" i="4" a="1"/>
  <c r="G81" i="4" s="1"/>
  <c r="H81" i="4" a="1"/>
  <c r="H81" i="4" s="1"/>
  <c r="I81" i="4" a="1"/>
  <c r="I81" i="4" s="1"/>
  <c r="J81" i="4" a="1"/>
  <c r="J81" i="4" s="1"/>
  <c r="K81" i="4" a="1"/>
  <c r="K81" i="4" s="1"/>
  <c r="L81" i="4" a="1"/>
  <c r="L81" i="4" s="1"/>
  <c r="M81" i="4" a="1"/>
  <c r="M81" i="4" s="1"/>
  <c r="B82" i="4" a="1"/>
  <c r="B82" i="4" s="1"/>
  <c r="C82" i="4" a="1"/>
  <c r="C82" i="4" s="1"/>
  <c r="D82" i="4" a="1"/>
  <c r="D82" i="4" s="1"/>
  <c r="E82" i="4" a="1"/>
  <c r="E82" i="4" s="1"/>
  <c r="F82" i="4" a="1"/>
  <c r="F82" i="4" s="1"/>
  <c r="G82" i="4" a="1"/>
  <c r="G82" i="4" s="1"/>
  <c r="H82" i="4" a="1"/>
  <c r="H82" i="4" s="1"/>
  <c r="I82" i="4" a="1"/>
  <c r="I82" i="4" s="1"/>
  <c r="J82" i="4" a="1"/>
  <c r="J82" i="4" s="1"/>
  <c r="K82" i="4" a="1"/>
  <c r="K82" i="4" s="1"/>
  <c r="L82" i="4" a="1"/>
  <c r="L82" i="4" s="1"/>
  <c r="M82" i="4" a="1"/>
  <c r="M82" i="4" s="1"/>
  <c r="B83" i="4" a="1"/>
  <c r="B83" i="4" s="1"/>
  <c r="C83" i="4" a="1"/>
  <c r="C83" i="4" s="1"/>
  <c r="D83" i="4" a="1"/>
  <c r="D83" i="4" s="1"/>
  <c r="E83" i="4" a="1"/>
  <c r="E83" i="4" s="1"/>
  <c r="F83" i="4" a="1"/>
  <c r="F83" i="4" s="1"/>
  <c r="G83" i="4" a="1"/>
  <c r="G83" i="4" s="1"/>
  <c r="H83" i="4" a="1"/>
  <c r="H83" i="4" s="1"/>
  <c r="I83" i="4" a="1"/>
  <c r="I83" i="4" s="1"/>
  <c r="J83" i="4" a="1"/>
  <c r="J83" i="4" s="1"/>
  <c r="K83" i="4" a="1"/>
  <c r="K83" i="4" s="1"/>
  <c r="L83" i="4" a="1"/>
  <c r="L83" i="4" s="1"/>
  <c r="M83" i="4" a="1"/>
  <c r="M83" i="4" s="1"/>
  <c r="B84" i="4" a="1"/>
  <c r="B84" i="4" s="1"/>
  <c r="C84" i="4" a="1"/>
  <c r="C84" i="4" s="1"/>
  <c r="D84" i="4" a="1"/>
  <c r="D84" i="4" s="1"/>
  <c r="E84" i="4" a="1"/>
  <c r="E84" i="4" s="1"/>
  <c r="F84" i="4" a="1"/>
  <c r="F84" i="4" s="1"/>
  <c r="G84" i="4" a="1"/>
  <c r="G84" i="4" s="1"/>
  <c r="H84" i="4" a="1"/>
  <c r="H84" i="4" s="1"/>
  <c r="I84" i="4" a="1"/>
  <c r="I84" i="4" s="1"/>
  <c r="J84" i="4" a="1"/>
  <c r="J84" i="4" s="1"/>
  <c r="K84" i="4" a="1"/>
  <c r="K84" i="4" s="1"/>
  <c r="L84" i="4" a="1"/>
  <c r="L84" i="4" s="1"/>
  <c r="M84" i="4" a="1"/>
  <c r="M84" i="4" s="1"/>
  <c r="B85" i="4" a="1"/>
  <c r="B85" i="4" s="1"/>
  <c r="C85" i="4" a="1"/>
  <c r="C85" i="4" s="1"/>
  <c r="D85" i="4" a="1"/>
  <c r="D85" i="4" s="1"/>
  <c r="E85" i="4" a="1"/>
  <c r="E85" i="4" s="1"/>
  <c r="F85" i="4" a="1"/>
  <c r="F85" i="4" s="1"/>
  <c r="G85" i="4" a="1"/>
  <c r="G85" i="4" s="1"/>
  <c r="H85" i="4" a="1"/>
  <c r="H85" i="4" s="1"/>
  <c r="I85" i="4" a="1"/>
  <c r="I85" i="4" s="1"/>
  <c r="J85" i="4" a="1"/>
  <c r="J85" i="4" s="1"/>
  <c r="K85" i="4" a="1"/>
  <c r="K85" i="4" s="1"/>
  <c r="L85" i="4" a="1"/>
  <c r="L85" i="4" s="1"/>
  <c r="M85" i="4" a="1"/>
  <c r="M85" i="4" s="1"/>
  <c r="B86" i="4" a="1"/>
  <c r="B86" i="4" s="1"/>
  <c r="C86" i="4" a="1"/>
  <c r="C86" i="4" s="1"/>
  <c r="D86" i="4" a="1"/>
  <c r="D86" i="4" s="1"/>
  <c r="E86" i="4" a="1"/>
  <c r="E86" i="4" s="1"/>
  <c r="F86" i="4" a="1"/>
  <c r="F86" i="4" s="1"/>
  <c r="G86" i="4" a="1"/>
  <c r="G86" i="4" s="1"/>
  <c r="H86" i="4" a="1"/>
  <c r="H86" i="4" s="1"/>
  <c r="I86" i="4" a="1"/>
  <c r="I86" i="4" s="1"/>
  <c r="J86" i="4" a="1"/>
  <c r="J86" i="4" s="1"/>
  <c r="K86" i="4" a="1"/>
  <c r="K86" i="4" s="1"/>
  <c r="L86" i="4" a="1"/>
  <c r="L86" i="4" s="1"/>
  <c r="M86" i="4" a="1"/>
  <c r="M86" i="4" s="1"/>
  <c r="B87" i="4" a="1"/>
  <c r="B87" i="4" s="1"/>
  <c r="C87" i="4" a="1"/>
  <c r="C87" i="4" s="1"/>
  <c r="D87" i="4" a="1"/>
  <c r="D87" i="4" s="1"/>
  <c r="E87" i="4" a="1"/>
  <c r="E87" i="4" s="1"/>
  <c r="F87" i="4" a="1"/>
  <c r="F87" i="4" s="1"/>
  <c r="G87" i="4" a="1"/>
  <c r="G87" i="4" s="1"/>
  <c r="H87" i="4" a="1"/>
  <c r="H87" i="4" s="1"/>
  <c r="I87" i="4" a="1"/>
  <c r="I87" i="4" s="1"/>
  <c r="J87" i="4" a="1"/>
  <c r="J87" i="4" s="1"/>
  <c r="K87" i="4" a="1"/>
  <c r="K87" i="4" s="1"/>
  <c r="L87" i="4" a="1"/>
  <c r="L87" i="4" s="1"/>
  <c r="M87" i="4" a="1"/>
  <c r="M87" i="4" s="1"/>
  <c r="B91" i="4" a="1"/>
  <c r="B91" i="4" s="1"/>
  <c r="C91" i="4" a="1"/>
  <c r="C91" i="4" s="1"/>
  <c r="D91" i="4" a="1"/>
  <c r="D91" i="4" s="1"/>
  <c r="E91" i="4" a="1"/>
  <c r="E91" i="4" s="1"/>
  <c r="F91" i="4" a="1"/>
  <c r="F91" i="4" s="1"/>
  <c r="G91" i="4" a="1"/>
  <c r="G91" i="4" s="1"/>
  <c r="H91" i="4" a="1"/>
  <c r="H91" i="4" s="1"/>
  <c r="I91" i="4" a="1"/>
  <c r="I91" i="4" s="1"/>
  <c r="J91" i="4" a="1"/>
  <c r="J91" i="4" s="1"/>
  <c r="K91" i="4" a="1"/>
  <c r="K91" i="4" s="1"/>
  <c r="L91" i="4" a="1"/>
  <c r="L91" i="4" s="1"/>
  <c r="M91" i="4" a="1"/>
  <c r="M91" i="4" s="1"/>
  <c r="B92" i="4" a="1"/>
  <c r="B92" i="4" s="1"/>
  <c r="C92" i="4" a="1"/>
  <c r="C92" i="4" s="1"/>
  <c r="D92" i="4" a="1"/>
  <c r="D92" i="4" s="1"/>
  <c r="E92" i="4" a="1"/>
  <c r="E92" i="4" s="1"/>
  <c r="F92" i="4" a="1"/>
  <c r="F92" i="4" s="1"/>
  <c r="G92" i="4" a="1"/>
  <c r="G92" i="4" s="1"/>
  <c r="H92" i="4" a="1"/>
  <c r="H92" i="4" s="1"/>
  <c r="I92" i="4" a="1"/>
  <c r="I92" i="4" s="1"/>
  <c r="J92" i="4" a="1"/>
  <c r="J92" i="4" s="1"/>
  <c r="K92" i="4" a="1"/>
  <c r="K92" i="4" s="1"/>
  <c r="L92" i="4" a="1"/>
  <c r="L92" i="4" s="1"/>
  <c r="M92" i="4" a="1"/>
  <c r="M92" i="4" s="1"/>
  <c r="B93" i="4" a="1"/>
  <c r="B93" i="4" s="1"/>
  <c r="C93" i="4" a="1"/>
  <c r="C93" i="4" s="1"/>
  <c r="D93" i="4" a="1"/>
  <c r="D93" i="4" s="1"/>
  <c r="E93" i="4" a="1"/>
  <c r="E93" i="4" s="1"/>
  <c r="F93" i="4" a="1"/>
  <c r="F93" i="4" s="1"/>
  <c r="G93" i="4" a="1"/>
  <c r="G93" i="4" s="1"/>
  <c r="H93" i="4" a="1"/>
  <c r="H93" i="4" s="1"/>
  <c r="I93" i="4" a="1"/>
  <c r="I93" i="4" s="1"/>
  <c r="J93" i="4" a="1"/>
  <c r="J93" i="4" s="1"/>
  <c r="K93" i="4" a="1"/>
  <c r="K93" i="4" s="1"/>
  <c r="L93" i="4" a="1"/>
  <c r="L93" i="4" s="1"/>
  <c r="M93" i="4" a="1"/>
  <c r="M93" i="4" s="1"/>
  <c r="B94" i="4" a="1"/>
  <c r="B94" i="4" s="1"/>
  <c r="C94" i="4" a="1"/>
  <c r="C94" i="4" s="1"/>
  <c r="D94" i="4" a="1"/>
  <c r="D94" i="4" s="1"/>
  <c r="E94" i="4" a="1"/>
  <c r="E94" i="4" s="1"/>
  <c r="F94" i="4" a="1"/>
  <c r="F94" i="4" s="1"/>
  <c r="G94" i="4" a="1"/>
  <c r="G94" i="4" s="1"/>
  <c r="H94" i="4" a="1"/>
  <c r="H94" i="4" s="1"/>
  <c r="I94" i="4" a="1"/>
  <c r="I94" i="4" s="1"/>
  <c r="J94" i="4" a="1"/>
  <c r="J94" i="4" s="1"/>
  <c r="K94" i="4" a="1"/>
  <c r="K94" i="4" s="1"/>
  <c r="L94" i="4" a="1"/>
  <c r="L94" i="4" s="1"/>
  <c r="M94" i="4" a="1"/>
  <c r="M94" i="4" s="1"/>
  <c r="B95" i="4" a="1"/>
  <c r="B95" i="4" s="1"/>
  <c r="C95" i="4" a="1"/>
  <c r="C95" i="4" s="1"/>
  <c r="D95" i="4" a="1"/>
  <c r="D95" i="4" s="1"/>
  <c r="E95" i="4" a="1"/>
  <c r="E95" i="4" s="1"/>
  <c r="F95" i="4" a="1"/>
  <c r="F95" i="4" s="1"/>
  <c r="G95" i="4" a="1"/>
  <c r="G95" i="4" s="1"/>
  <c r="H95" i="4" a="1"/>
  <c r="H95" i="4" s="1"/>
  <c r="I95" i="4" a="1"/>
  <c r="I95" i="4" s="1"/>
  <c r="J95" i="4" a="1"/>
  <c r="J95" i="4" s="1"/>
  <c r="K95" i="4" a="1"/>
  <c r="K95" i="4" s="1"/>
  <c r="L95" i="4" a="1"/>
  <c r="L95" i="4" s="1"/>
  <c r="M95" i="4" a="1"/>
  <c r="M95" i="4" s="1"/>
  <c r="B96" i="4" a="1"/>
  <c r="B96" i="4" s="1"/>
  <c r="C96" i="4" a="1"/>
  <c r="C96" i="4" s="1"/>
  <c r="D96" i="4" a="1"/>
  <c r="D96" i="4" s="1"/>
  <c r="E96" i="4" a="1"/>
  <c r="E96" i="4" s="1"/>
  <c r="F96" i="4" a="1"/>
  <c r="F96" i="4" s="1"/>
  <c r="G96" i="4" a="1"/>
  <c r="G96" i="4" s="1"/>
  <c r="H96" i="4" a="1"/>
  <c r="H96" i="4" s="1"/>
  <c r="I96" i="4" a="1"/>
  <c r="I96" i="4" s="1"/>
  <c r="J96" i="4" a="1"/>
  <c r="J96" i="4" s="1"/>
  <c r="K96" i="4" a="1"/>
  <c r="K96" i="4" s="1"/>
  <c r="L96" i="4" a="1"/>
  <c r="L96" i="4" s="1"/>
  <c r="M96" i="4" a="1"/>
  <c r="M96" i="4" s="1"/>
  <c r="B97" i="4" a="1"/>
  <c r="B97" i="4" s="1"/>
  <c r="C97" i="4" a="1"/>
  <c r="C97" i="4" s="1"/>
  <c r="D97" i="4" a="1"/>
  <c r="D97" i="4" s="1"/>
  <c r="E97" i="4" a="1"/>
  <c r="E97" i="4" s="1"/>
  <c r="F97" i="4" a="1"/>
  <c r="F97" i="4" s="1"/>
  <c r="G97" i="4" a="1"/>
  <c r="G97" i="4" s="1"/>
  <c r="H97" i="4" a="1"/>
  <c r="H97" i="4" s="1"/>
  <c r="I97" i="4" a="1"/>
  <c r="I97" i="4" s="1"/>
  <c r="J97" i="4" a="1"/>
  <c r="J97" i="4" s="1"/>
  <c r="K97" i="4" a="1"/>
  <c r="K97" i="4" s="1"/>
  <c r="L97" i="4" a="1"/>
  <c r="L97" i="4" s="1"/>
  <c r="M97" i="4" a="1"/>
  <c r="M97" i="4" s="1"/>
  <c r="B98" i="4" a="1"/>
  <c r="B98" i="4" s="1"/>
  <c r="C98" i="4" a="1"/>
  <c r="C98" i="4" s="1"/>
  <c r="D98" i="4" a="1"/>
  <c r="D98" i="4" s="1"/>
  <c r="E98" i="4" a="1"/>
  <c r="E98" i="4" s="1"/>
  <c r="F98" i="4" a="1"/>
  <c r="F98" i="4" s="1"/>
  <c r="G98" i="4" a="1"/>
  <c r="G98" i="4" s="1"/>
  <c r="H98" i="4" a="1"/>
  <c r="H98" i="4" s="1"/>
  <c r="I98" i="4" a="1"/>
  <c r="I98" i="4" s="1"/>
  <c r="J98" i="4" a="1"/>
  <c r="J98" i="4" s="1"/>
  <c r="K98" i="4" a="1"/>
  <c r="K98" i="4" s="1"/>
  <c r="L98" i="4" a="1"/>
  <c r="L98" i="4" s="1"/>
  <c r="M98" i="4" a="1"/>
  <c r="M98" i="4" s="1"/>
  <c r="B102" i="4" a="1"/>
  <c r="B102" i="4" s="1"/>
  <c r="C102" i="4" a="1"/>
  <c r="C102" i="4" s="1"/>
  <c r="D102" i="4" a="1"/>
  <c r="D102" i="4" s="1"/>
  <c r="E102" i="4" a="1"/>
  <c r="E102" i="4" s="1"/>
  <c r="F102" i="4" a="1"/>
  <c r="F102" i="4" s="1"/>
  <c r="G102" i="4" a="1"/>
  <c r="G102" i="4" s="1"/>
  <c r="H102" i="4" a="1"/>
  <c r="H102" i="4" s="1"/>
  <c r="I102" i="4" a="1"/>
  <c r="I102" i="4" s="1"/>
  <c r="J102" i="4" a="1"/>
  <c r="J102" i="4" s="1"/>
  <c r="K102" i="4" a="1"/>
  <c r="K102" i="4" s="1"/>
  <c r="L102" i="4" a="1"/>
  <c r="L102" i="4" s="1"/>
  <c r="M102" i="4" a="1"/>
  <c r="M102" i="4" s="1"/>
  <c r="B103" i="4" a="1"/>
  <c r="B103" i="4" s="1"/>
  <c r="C103" i="4" a="1"/>
  <c r="C103" i="4" s="1"/>
  <c r="D103" i="4" a="1"/>
  <c r="D103" i="4" s="1"/>
  <c r="E103" i="4" a="1"/>
  <c r="E103" i="4" s="1"/>
  <c r="F103" i="4" a="1"/>
  <c r="F103" i="4" s="1"/>
  <c r="G103" i="4" a="1"/>
  <c r="G103" i="4" s="1"/>
  <c r="H103" i="4" a="1"/>
  <c r="H103" i="4" s="1"/>
  <c r="I103" i="4" a="1"/>
  <c r="I103" i="4" s="1"/>
  <c r="J103" i="4" a="1"/>
  <c r="J103" i="4" s="1"/>
  <c r="K103" i="4" a="1"/>
  <c r="K103" i="4" s="1"/>
  <c r="L103" i="4" a="1"/>
  <c r="L103" i="4" s="1"/>
  <c r="M103" i="4" a="1"/>
  <c r="M103" i="4" s="1"/>
  <c r="B104" i="4" a="1"/>
  <c r="B104" i="4" s="1"/>
  <c r="C104" i="4" a="1"/>
  <c r="C104" i="4" s="1"/>
  <c r="D104" i="4" a="1"/>
  <c r="D104" i="4" s="1"/>
  <c r="E104" i="4" a="1"/>
  <c r="E104" i="4" s="1"/>
  <c r="F104" i="4" a="1"/>
  <c r="F104" i="4" s="1"/>
  <c r="G104" i="4" a="1"/>
  <c r="G104" i="4" s="1"/>
  <c r="H104" i="4" a="1"/>
  <c r="H104" i="4" s="1"/>
  <c r="I104" i="4" a="1"/>
  <c r="I104" i="4" s="1"/>
  <c r="J104" i="4" a="1"/>
  <c r="J104" i="4" s="1"/>
  <c r="K104" i="4" a="1"/>
  <c r="K104" i="4" s="1"/>
  <c r="L104" i="4" a="1"/>
  <c r="L104" i="4" s="1"/>
  <c r="M104" i="4" a="1"/>
  <c r="M104" i="4" s="1"/>
  <c r="B105" i="4" a="1"/>
  <c r="B105" i="4" s="1"/>
  <c r="C105" i="4" a="1"/>
  <c r="C105" i="4" s="1"/>
  <c r="D105" i="4" a="1"/>
  <c r="D105" i="4" s="1"/>
  <c r="E105" i="4" a="1"/>
  <c r="E105" i="4" s="1"/>
  <c r="F105" i="4" a="1"/>
  <c r="F105" i="4" s="1"/>
  <c r="G105" i="4" a="1"/>
  <c r="G105" i="4" s="1"/>
  <c r="H105" i="4" a="1"/>
  <c r="H105" i="4" s="1"/>
  <c r="I105" i="4" a="1"/>
  <c r="I105" i="4" s="1"/>
  <c r="J105" i="4" a="1"/>
  <c r="J105" i="4" s="1"/>
  <c r="K105" i="4" a="1"/>
  <c r="K105" i="4" s="1"/>
  <c r="L105" i="4" a="1"/>
  <c r="L105" i="4" s="1"/>
  <c r="M105" i="4" a="1"/>
  <c r="M105" i="4" s="1"/>
  <c r="B106" i="4" a="1"/>
  <c r="B106" i="4" s="1"/>
  <c r="C106" i="4" a="1"/>
  <c r="C106" i="4" s="1"/>
  <c r="D106" i="4" a="1"/>
  <c r="D106" i="4" s="1"/>
  <c r="E106" i="4" a="1"/>
  <c r="E106" i="4" s="1"/>
  <c r="F106" i="4" a="1"/>
  <c r="F106" i="4" s="1"/>
  <c r="G106" i="4" a="1"/>
  <c r="G106" i="4" s="1"/>
  <c r="H106" i="4" a="1"/>
  <c r="H106" i="4" s="1"/>
  <c r="I106" i="4" a="1"/>
  <c r="I106" i="4" s="1"/>
  <c r="J106" i="4" a="1"/>
  <c r="J106" i="4" s="1"/>
  <c r="K106" i="4" a="1"/>
  <c r="K106" i="4" s="1"/>
  <c r="L106" i="4" a="1"/>
  <c r="L106" i="4" s="1"/>
  <c r="M106" i="4" a="1"/>
  <c r="M106" i="4" s="1"/>
  <c r="B107" i="4" a="1"/>
  <c r="B107" i="4" s="1"/>
  <c r="C107" i="4" a="1"/>
  <c r="C107" i="4" s="1"/>
  <c r="D107" i="4" a="1"/>
  <c r="D107" i="4" s="1"/>
  <c r="E107" i="4" a="1"/>
  <c r="E107" i="4" s="1"/>
  <c r="F107" i="4" a="1"/>
  <c r="F107" i="4" s="1"/>
  <c r="G107" i="4" a="1"/>
  <c r="G107" i="4" s="1"/>
  <c r="H107" i="4" a="1"/>
  <c r="H107" i="4" s="1"/>
  <c r="I107" i="4" a="1"/>
  <c r="I107" i="4" s="1"/>
  <c r="J107" i="4" a="1"/>
  <c r="J107" i="4" s="1"/>
  <c r="K107" i="4" a="1"/>
  <c r="K107" i="4" s="1"/>
  <c r="L107" i="4" a="1"/>
  <c r="L107" i="4" s="1"/>
  <c r="M107" i="4" a="1"/>
  <c r="M107" i="4" s="1"/>
  <c r="B108" i="4" a="1"/>
  <c r="B108" i="4" s="1"/>
  <c r="C108" i="4" a="1"/>
  <c r="C108" i="4" s="1"/>
  <c r="D108" i="4" a="1"/>
  <c r="D108" i="4" s="1"/>
  <c r="E108" i="4" a="1"/>
  <c r="E108" i="4" s="1"/>
  <c r="F108" i="4" a="1"/>
  <c r="F108" i="4" s="1"/>
  <c r="G108" i="4" a="1"/>
  <c r="G108" i="4" s="1"/>
  <c r="H108" i="4" a="1"/>
  <c r="H108" i="4" s="1"/>
  <c r="I108" i="4" a="1"/>
  <c r="I108" i="4" s="1"/>
  <c r="J108" i="4" a="1"/>
  <c r="J108" i="4" s="1"/>
  <c r="K108" i="4" a="1"/>
  <c r="K108" i="4" s="1"/>
  <c r="L108" i="4" a="1"/>
  <c r="L108" i="4" s="1"/>
  <c r="M108" i="4" a="1"/>
  <c r="M108" i="4" s="1"/>
  <c r="B109" i="4" a="1"/>
  <c r="B109" i="4" s="1"/>
  <c r="C109" i="4" a="1"/>
  <c r="C109" i="4" s="1"/>
  <c r="D109" i="4" a="1"/>
  <c r="D109" i="4" s="1"/>
  <c r="E109" i="4" a="1"/>
  <c r="E109" i="4" s="1"/>
  <c r="F109" i="4" a="1"/>
  <c r="F109" i="4" s="1"/>
  <c r="G109" i="4" a="1"/>
  <c r="G109" i="4" s="1"/>
  <c r="H109" i="4" a="1"/>
  <c r="H109" i="4" s="1"/>
  <c r="I109" i="4" a="1"/>
  <c r="I109" i="4" s="1"/>
  <c r="J109" i="4" a="1"/>
  <c r="J109" i="4" s="1"/>
  <c r="K109" i="4" a="1"/>
  <c r="K109" i="4" s="1"/>
  <c r="L109" i="4" a="1"/>
  <c r="L109" i="4" s="1"/>
  <c r="M109" i="4" a="1"/>
  <c r="M109" i="4" s="1"/>
  <c r="B113" i="4" a="1"/>
  <c r="B113" i="4" s="1"/>
  <c r="C113" i="4" a="1"/>
  <c r="C113" i="4" s="1"/>
  <c r="D113" i="4" a="1"/>
  <c r="D113" i="4" s="1"/>
  <c r="E113" i="4" a="1"/>
  <c r="E113" i="4" s="1"/>
  <c r="F113" i="4" a="1"/>
  <c r="F113" i="4" s="1"/>
  <c r="G113" i="4" a="1"/>
  <c r="G113" i="4" s="1"/>
  <c r="H113" i="4" a="1"/>
  <c r="H113" i="4" s="1"/>
  <c r="I113" i="4" a="1"/>
  <c r="I113" i="4" s="1"/>
  <c r="J113" i="4" a="1"/>
  <c r="J113" i="4" s="1"/>
  <c r="K113" i="4" a="1"/>
  <c r="K113" i="4" s="1"/>
  <c r="L113" i="4" a="1"/>
  <c r="L113" i="4" s="1"/>
  <c r="M113" i="4" a="1"/>
  <c r="M113" i="4" s="1"/>
  <c r="B114" i="4" a="1"/>
  <c r="B114" i="4" s="1"/>
  <c r="C114" i="4" a="1"/>
  <c r="C114" i="4" s="1"/>
  <c r="D114" i="4" a="1"/>
  <c r="D114" i="4" s="1"/>
  <c r="E114" i="4" a="1"/>
  <c r="E114" i="4" s="1"/>
  <c r="F114" i="4" a="1"/>
  <c r="F114" i="4" s="1"/>
  <c r="G114" i="4" a="1"/>
  <c r="G114" i="4" s="1"/>
  <c r="H114" i="4" a="1"/>
  <c r="H114" i="4" s="1"/>
  <c r="I114" i="4" a="1"/>
  <c r="I114" i="4" s="1"/>
  <c r="J114" i="4" a="1"/>
  <c r="J114" i="4" s="1"/>
  <c r="K114" i="4" a="1"/>
  <c r="K114" i="4" s="1"/>
  <c r="L114" i="4" a="1"/>
  <c r="L114" i="4" s="1"/>
  <c r="M114" i="4" a="1"/>
  <c r="M114" i="4" s="1"/>
  <c r="B115" i="4" a="1"/>
  <c r="B115" i="4" s="1"/>
  <c r="C115" i="4" a="1"/>
  <c r="C115" i="4" s="1"/>
  <c r="D115" i="4" a="1"/>
  <c r="D115" i="4" s="1"/>
  <c r="E115" i="4" a="1"/>
  <c r="E115" i="4" s="1"/>
  <c r="F115" i="4" a="1"/>
  <c r="F115" i="4" s="1"/>
  <c r="G115" i="4" a="1"/>
  <c r="G115" i="4" s="1"/>
  <c r="H115" i="4" a="1"/>
  <c r="H115" i="4" s="1"/>
  <c r="I115" i="4" a="1"/>
  <c r="I115" i="4" s="1"/>
  <c r="J115" i="4" a="1"/>
  <c r="J115" i="4" s="1"/>
  <c r="K115" i="4" a="1"/>
  <c r="K115" i="4" s="1"/>
  <c r="L115" i="4" a="1"/>
  <c r="L115" i="4" s="1"/>
  <c r="M115" i="4" a="1"/>
  <c r="M115" i="4" s="1"/>
  <c r="B116" i="4" a="1"/>
  <c r="B116" i="4" s="1"/>
  <c r="C116" i="4" a="1"/>
  <c r="C116" i="4" s="1"/>
  <c r="D116" i="4" a="1"/>
  <c r="D116" i="4" s="1"/>
  <c r="E116" i="4" a="1"/>
  <c r="E116" i="4" s="1"/>
  <c r="F116" i="4" a="1"/>
  <c r="F116" i="4" s="1"/>
  <c r="G116" i="4" a="1"/>
  <c r="G116" i="4" s="1"/>
  <c r="H116" i="4" a="1"/>
  <c r="H116" i="4" s="1"/>
  <c r="I116" i="4" a="1"/>
  <c r="I116" i="4" s="1"/>
  <c r="J116" i="4" a="1"/>
  <c r="J116" i="4" s="1"/>
  <c r="K116" i="4" a="1"/>
  <c r="K116" i="4" s="1"/>
  <c r="L116" i="4" a="1"/>
  <c r="L116" i="4" s="1"/>
  <c r="M116" i="4" a="1"/>
  <c r="M116" i="4" s="1"/>
  <c r="B117" i="4" a="1"/>
  <c r="B117" i="4" s="1"/>
  <c r="C117" i="4" a="1"/>
  <c r="C117" i="4" s="1"/>
  <c r="D117" i="4" a="1"/>
  <c r="D117" i="4" s="1"/>
  <c r="E117" i="4" a="1"/>
  <c r="E117" i="4" s="1"/>
  <c r="F117" i="4" a="1"/>
  <c r="F117" i="4" s="1"/>
  <c r="G117" i="4" a="1"/>
  <c r="G117" i="4" s="1"/>
  <c r="H117" i="4" a="1"/>
  <c r="H117" i="4" s="1"/>
  <c r="I117" i="4" a="1"/>
  <c r="I117" i="4" s="1"/>
  <c r="J117" i="4" a="1"/>
  <c r="J117" i="4" s="1"/>
  <c r="K117" i="4" a="1"/>
  <c r="K117" i="4" s="1"/>
  <c r="L117" i="4" a="1"/>
  <c r="L117" i="4" s="1"/>
  <c r="M117" i="4" a="1"/>
  <c r="M117" i="4" s="1"/>
  <c r="B118" i="4" a="1"/>
  <c r="B118" i="4" s="1"/>
  <c r="C118" i="4" a="1"/>
  <c r="C118" i="4" s="1"/>
  <c r="D118" i="4" a="1"/>
  <c r="D118" i="4" s="1"/>
  <c r="E118" i="4" a="1"/>
  <c r="E118" i="4" s="1"/>
  <c r="F118" i="4" a="1"/>
  <c r="F118" i="4" s="1"/>
  <c r="G118" i="4" a="1"/>
  <c r="G118" i="4" s="1"/>
  <c r="H118" i="4" a="1"/>
  <c r="H118" i="4" s="1"/>
  <c r="I118" i="4" a="1"/>
  <c r="I118" i="4" s="1"/>
  <c r="J118" i="4" a="1"/>
  <c r="J118" i="4" s="1"/>
  <c r="K118" i="4" a="1"/>
  <c r="K118" i="4" s="1"/>
  <c r="L118" i="4" a="1"/>
  <c r="L118" i="4" s="1"/>
  <c r="M118" i="4" a="1"/>
  <c r="M118" i="4" s="1"/>
  <c r="B119" i="4" a="1"/>
  <c r="B119" i="4" s="1"/>
  <c r="C119" i="4" a="1"/>
  <c r="C119" i="4" s="1"/>
  <c r="D119" i="4" a="1"/>
  <c r="D119" i="4" s="1"/>
  <c r="E119" i="4" a="1"/>
  <c r="E119" i="4" s="1"/>
  <c r="F119" i="4" a="1"/>
  <c r="F119" i="4" s="1"/>
  <c r="G119" i="4" a="1"/>
  <c r="G119" i="4" s="1"/>
  <c r="H119" i="4" a="1"/>
  <c r="H119" i="4" s="1"/>
  <c r="I119" i="4" a="1"/>
  <c r="I119" i="4" s="1"/>
  <c r="J119" i="4" a="1"/>
  <c r="J119" i="4" s="1"/>
  <c r="K119" i="4" a="1"/>
  <c r="K119" i="4" s="1"/>
  <c r="L119" i="4" a="1"/>
  <c r="L119" i="4" s="1"/>
  <c r="M119" i="4" a="1"/>
  <c r="M119" i="4" s="1"/>
  <c r="B120" i="4" a="1"/>
  <c r="B120" i="4" s="1"/>
  <c r="C120" i="4" a="1"/>
  <c r="C120" i="4" s="1"/>
  <c r="D120" i="4" a="1"/>
  <c r="D120" i="4" s="1"/>
  <c r="E120" i="4" a="1"/>
  <c r="E120" i="4" s="1"/>
  <c r="F120" i="4" a="1"/>
  <c r="F120" i="4" s="1"/>
  <c r="G120" i="4" a="1"/>
  <c r="G120" i="4" s="1"/>
  <c r="H120" i="4" a="1"/>
  <c r="H120" i="4" s="1"/>
  <c r="I120" i="4" a="1"/>
  <c r="I120" i="4" s="1"/>
  <c r="J120" i="4" a="1"/>
  <c r="J120" i="4" s="1"/>
  <c r="K120" i="4" a="1"/>
  <c r="K120" i="4" s="1"/>
  <c r="L120" i="4" a="1"/>
  <c r="L120" i="4" s="1"/>
  <c r="M120" i="4" a="1"/>
  <c r="M120" i="4" s="1"/>
  <c r="B124" i="4" a="1"/>
  <c r="B124" i="4" s="1"/>
  <c r="C124" i="4" a="1"/>
  <c r="C124" i="4" s="1"/>
  <c r="D124" i="4" a="1"/>
  <c r="D124" i="4" s="1"/>
  <c r="E124" i="4" a="1"/>
  <c r="E124" i="4" s="1"/>
  <c r="F124" i="4" a="1"/>
  <c r="F124" i="4" s="1"/>
  <c r="G124" i="4" a="1"/>
  <c r="G124" i="4" s="1"/>
  <c r="H124" i="4" a="1"/>
  <c r="H124" i="4" s="1"/>
  <c r="I124" i="4" a="1"/>
  <c r="I124" i="4" s="1"/>
  <c r="J124" i="4" a="1"/>
  <c r="J124" i="4" s="1"/>
  <c r="K124" i="4" a="1"/>
  <c r="K124" i="4" s="1"/>
  <c r="L124" i="4" a="1"/>
  <c r="L124" i="4" s="1"/>
  <c r="M124" i="4" a="1"/>
  <c r="M124" i="4" s="1"/>
  <c r="B125" i="4" a="1"/>
  <c r="B125" i="4" s="1"/>
  <c r="C125" i="4" a="1"/>
  <c r="C125" i="4" s="1"/>
  <c r="D125" i="4" a="1"/>
  <c r="D125" i="4" s="1"/>
  <c r="E125" i="4" a="1"/>
  <c r="E125" i="4" s="1"/>
  <c r="F125" i="4" a="1"/>
  <c r="F125" i="4" s="1"/>
  <c r="G125" i="4" a="1"/>
  <c r="G125" i="4" s="1"/>
  <c r="H125" i="4" a="1"/>
  <c r="H125" i="4" s="1"/>
  <c r="I125" i="4" a="1"/>
  <c r="I125" i="4" s="1"/>
  <c r="J125" i="4" a="1"/>
  <c r="J125" i="4" s="1"/>
  <c r="K125" i="4" a="1"/>
  <c r="K125" i="4" s="1"/>
  <c r="L125" i="4" a="1"/>
  <c r="L125" i="4" s="1"/>
  <c r="M125" i="4" a="1"/>
  <c r="M125" i="4" s="1"/>
  <c r="B126" i="4" a="1"/>
  <c r="B126" i="4" s="1"/>
  <c r="C126" i="4" a="1"/>
  <c r="C126" i="4" s="1"/>
  <c r="D126" i="4" a="1"/>
  <c r="D126" i="4" s="1"/>
  <c r="E126" i="4" a="1"/>
  <c r="E126" i="4" s="1"/>
  <c r="F126" i="4" a="1"/>
  <c r="F126" i="4" s="1"/>
  <c r="G126" i="4" a="1"/>
  <c r="G126" i="4" s="1"/>
  <c r="H126" i="4" a="1"/>
  <c r="H126" i="4" s="1"/>
  <c r="I126" i="4" a="1"/>
  <c r="I126" i="4" s="1"/>
  <c r="J126" i="4" a="1"/>
  <c r="J126" i="4" s="1"/>
  <c r="K126" i="4" a="1"/>
  <c r="K126" i="4" s="1"/>
  <c r="L126" i="4" a="1"/>
  <c r="L126" i="4" s="1"/>
  <c r="M126" i="4" a="1"/>
  <c r="M126" i="4" s="1"/>
  <c r="B127" i="4" a="1"/>
  <c r="B127" i="4" s="1"/>
  <c r="C127" i="4" a="1"/>
  <c r="C127" i="4" s="1"/>
  <c r="D127" i="4" a="1"/>
  <c r="D127" i="4" s="1"/>
  <c r="E127" i="4" a="1"/>
  <c r="E127" i="4" s="1"/>
  <c r="F127" i="4" a="1"/>
  <c r="F127" i="4" s="1"/>
  <c r="G127" i="4" a="1"/>
  <c r="G127" i="4" s="1"/>
  <c r="H127" i="4" a="1"/>
  <c r="H127" i="4" s="1"/>
  <c r="I127" i="4" a="1"/>
  <c r="I127" i="4" s="1"/>
  <c r="J127" i="4" a="1"/>
  <c r="J127" i="4" s="1"/>
  <c r="K127" i="4" a="1"/>
  <c r="K127" i="4" s="1"/>
  <c r="L127" i="4" a="1"/>
  <c r="L127" i="4" s="1"/>
  <c r="M127" i="4" a="1"/>
  <c r="M127" i="4" s="1"/>
  <c r="B128" i="4" a="1"/>
  <c r="B128" i="4" s="1"/>
  <c r="C128" i="4" a="1"/>
  <c r="C128" i="4" s="1"/>
  <c r="D128" i="4" a="1"/>
  <c r="D128" i="4" s="1"/>
  <c r="E128" i="4" a="1"/>
  <c r="E128" i="4" s="1"/>
  <c r="F128" i="4" a="1"/>
  <c r="F128" i="4" s="1"/>
  <c r="G128" i="4" a="1"/>
  <c r="G128" i="4" s="1"/>
  <c r="H128" i="4" a="1"/>
  <c r="H128" i="4" s="1"/>
  <c r="I128" i="4" a="1"/>
  <c r="I128" i="4" s="1"/>
  <c r="J128" i="4" a="1"/>
  <c r="J128" i="4" s="1"/>
  <c r="K128" i="4" a="1"/>
  <c r="K128" i="4" s="1"/>
  <c r="L128" i="4" a="1"/>
  <c r="L128" i="4" s="1"/>
  <c r="M128" i="4" a="1"/>
  <c r="M128" i="4" s="1"/>
  <c r="B129" i="4" a="1"/>
  <c r="B129" i="4" s="1"/>
  <c r="C129" i="4" a="1"/>
  <c r="C129" i="4" s="1"/>
  <c r="D129" i="4" a="1"/>
  <c r="D129" i="4" s="1"/>
  <c r="E129" i="4" a="1"/>
  <c r="E129" i="4" s="1"/>
  <c r="F129" i="4" a="1"/>
  <c r="F129" i="4" s="1"/>
  <c r="G129" i="4" a="1"/>
  <c r="G129" i="4" s="1"/>
  <c r="H129" i="4" a="1"/>
  <c r="H129" i="4" s="1"/>
  <c r="I129" i="4" a="1"/>
  <c r="I129" i="4" s="1"/>
  <c r="J129" i="4" a="1"/>
  <c r="J129" i="4" s="1"/>
  <c r="K129" i="4" a="1"/>
  <c r="K129" i="4" s="1"/>
  <c r="L129" i="4" a="1"/>
  <c r="L129" i="4" s="1"/>
  <c r="M129" i="4" a="1"/>
  <c r="M129" i="4" s="1"/>
  <c r="B130" i="4" a="1"/>
  <c r="B130" i="4" s="1"/>
  <c r="C130" i="4" a="1"/>
  <c r="C130" i="4" s="1"/>
  <c r="E130" i="4" a="1"/>
  <c r="E130" i="4" s="1"/>
  <c r="F130" i="4" a="1"/>
  <c r="F130" i="4" s="1"/>
  <c r="G130" i="4" a="1"/>
  <c r="G130" i="4" s="1"/>
  <c r="H130" i="4" a="1"/>
  <c r="H130" i="4" s="1"/>
  <c r="I130" i="4" a="1"/>
  <c r="I130" i="4" s="1"/>
  <c r="J130" i="4" a="1"/>
  <c r="J130" i="4" s="1"/>
  <c r="K130" i="4" a="1"/>
  <c r="K130" i="4" s="1"/>
  <c r="L130" i="4" a="1"/>
  <c r="L130" i="4" s="1"/>
  <c r="M130" i="4" a="1"/>
  <c r="M130" i="4" s="1"/>
  <c r="B131" i="4" a="1"/>
  <c r="B131" i="4" s="1"/>
  <c r="C131" i="4" a="1"/>
  <c r="C131" i="4" s="1"/>
  <c r="D131" i="4" a="1"/>
  <c r="D131" i="4" s="1"/>
  <c r="E131" i="4" a="1"/>
  <c r="E131" i="4" s="1"/>
  <c r="F131" i="4" a="1"/>
  <c r="F131" i="4" s="1"/>
  <c r="G131" i="4" a="1"/>
  <c r="G131" i="4" s="1"/>
  <c r="H131" i="4" a="1"/>
  <c r="H131" i="4" s="1"/>
  <c r="I131" i="4" a="1"/>
  <c r="I131" i="4" s="1"/>
  <c r="J131" i="4" a="1"/>
  <c r="J131" i="4" s="1"/>
  <c r="K131" i="4" a="1"/>
  <c r="K131" i="4" s="1"/>
  <c r="L131" i="4" a="1"/>
  <c r="L131" i="4" s="1"/>
  <c r="M131" i="4" a="1"/>
  <c r="M131" i="4" s="1"/>
  <c r="B135" i="4" a="1"/>
  <c r="B135" i="4" s="1"/>
  <c r="C135" i="4" a="1"/>
  <c r="C135" i="4" s="1"/>
  <c r="D135" i="4" a="1"/>
  <c r="D135" i="4" s="1"/>
  <c r="E135" i="4" a="1"/>
  <c r="E135" i="4" s="1"/>
  <c r="F135" i="4" a="1"/>
  <c r="F135" i="4" s="1"/>
  <c r="G135" i="4" a="1"/>
  <c r="G135" i="4" s="1"/>
  <c r="H135" i="4" a="1"/>
  <c r="H135" i="4" s="1"/>
  <c r="I135" i="4" a="1"/>
  <c r="I135" i="4" s="1"/>
  <c r="J135" i="4" a="1"/>
  <c r="J135" i="4" s="1"/>
  <c r="K135" i="4" a="1"/>
  <c r="K135" i="4" s="1"/>
  <c r="L135" i="4" a="1"/>
  <c r="L135" i="4" s="1"/>
  <c r="M135" i="4" a="1"/>
  <c r="M135" i="4" s="1"/>
  <c r="B136" i="4" a="1"/>
  <c r="B136" i="4" s="1"/>
  <c r="C136" i="4" a="1"/>
  <c r="C136" i="4" s="1"/>
  <c r="D136" i="4" a="1"/>
  <c r="D136" i="4" s="1"/>
  <c r="E136" i="4" a="1"/>
  <c r="E136" i="4" s="1"/>
  <c r="F136" i="4" a="1"/>
  <c r="F136" i="4" s="1"/>
  <c r="G136" i="4" a="1"/>
  <c r="G136" i="4" s="1"/>
  <c r="H136" i="4" a="1"/>
  <c r="H136" i="4" s="1"/>
  <c r="I136" i="4" a="1"/>
  <c r="I136" i="4" s="1"/>
  <c r="J136" i="4" a="1"/>
  <c r="J136" i="4" s="1"/>
  <c r="K136" i="4" a="1"/>
  <c r="K136" i="4" s="1"/>
  <c r="L136" i="4" a="1"/>
  <c r="L136" i="4" s="1"/>
  <c r="M136" i="4" a="1"/>
  <c r="M136" i="4" s="1"/>
  <c r="B137" i="4" a="1"/>
  <c r="B137" i="4" s="1"/>
  <c r="C137" i="4" a="1"/>
  <c r="C137" i="4" s="1"/>
  <c r="D137" i="4" a="1"/>
  <c r="D137" i="4" s="1"/>
  <c r="E137" i="4" a="1"/>
  <c r="E137" i="4" s="1"/>
  <c r="F137" i="4" a="1"/>
  <c r="F137" i="4" s="1"/>
  <c r="G137" i="4" a="1"/>
  <c r="G137" i="4" s="1"/>
  <c r="H137" i="4" a="1"/>
  <c r="H137" i="4" s="1"/>
  <c r="I137" i="4" a="1"/>
  <c r="I137" i="4" s="1"/>
  <c r="J137" i="4" a="1"/>
  <c r="J137" i="4" s="1"/>
  <c r="K137" i="4" a="1"/>
  <c r="K137" i="4" s="1"/>
  <c r="L137" i="4" a="1"/>
  <c r="L137" i="4" s="1"/>
  <c r="M137" i="4" a="1"/>
  <c r="M137" i="4" s="1"/>
  <c r="B138" i="4" a="1"/>
  <c r="B138" i="4" s="1"/>
  <c r="C138" i="4" a="1"/>
  <c r="C138" i="4" s="1"/>
  <c r="D138" i="4" a="1"/>
  <c r="D138" i="4" s="1"/>
  <c r="E138" i="4" a="1"/>
  <c r="E138" i="4" s="1"/>
  <c r="F138" i="4" a="1"/>
  <c r="F138" i="4" s="1"/>
  <c r="G138" i="4" a="1"/>
  <c r="G138" i="4" s="1"/>
  <c r="H138" i="4" a="1"/>
  <c r="H138" i="4" s="1"/>
  <c r="I138" i="4" a="1"/>
  <c r="I138" i="4" s="1"/>
  <c r="J138" i="4" a="1"/>
  <c r="J138" i="4" s="1"/>
  <c r="K138" i="4" a="1"/>
  <c r="K138" i="4" s="1"/>
  <c r="L138" i="4" a="1"/>
  <c r="L138" i="4" s="1"/>
  <c r="M138" i="4" a="1"/>
  <c r="M138" i="4" s="1"/>
  <c r="B139" i="4" a="1"/>
  <c r="B139" i="4" s="1"/>
  <c r="C139" i="4" a="1"/>
  <c r="C139" i="4" s="1"/>
  <c r="D139" i="4" a="1"/>
  <c r="D139" i="4" s="1"/>
  <c r="E139" i="4" a="1"/>
  <c r="E139" i="4" s="1"/>
  <c r="F139" i="4" a="1"/>
  <c r="F139" i="4" s="1"/>
  <c r="G139" i="4" a="1"/>
  <c r="G139" i="4" s="1"/>
  <c r="H139" i="4" a="1"/>
  <c r="H139" i="4" s="1"/>
  <c r="I139" i="4" a="1"/>
  <c r="I139" i="4" s="1"/>
  <c r="J139" i="4" a="1"/>
  <c r="J139" i="4" s="1"/>
  <c r="K139" i="4" a="1"/>
  <c r="K139" i="4" s="1"/>
  <c r="L139" i="4" a="1"/>
  <c r="L139" i="4" s="1"/>
  <c r="M139" i="4" a="1"/>
  <c r="M139" i="4" s="1"/>
  <c r="B140" i="4" a="1"/>
  <c r="B140" i="4" s="1"/>
  <c r="C140" i="4" a="1"/>
  <c r="C140" i="4" s="1"/>
  <c r="D140" i="4" a="1"/>
  <c r="D140" i="4" s="1"/>
  <c r="E140" i="4" a="1"/>
  <c r="E140" i="4" s="1"/>
  <c r="F140" i="4" a="1"/>
  <c r="F140" i="4" s="1"/>
  <c r="G140" i="4" a="1"/>
  <c r="G140" i="4" s="1"/>
  <c r="H140" i="4" a="1"/>
  <c r="H140" i="4" s="1"/>
  <c r="I140" i="4" a="1"/>
  <c r="I140" i="4" s="1"/>
  <c r="J140" i="4" a="1"/>
  <c r="J140" i="4" s="1"/>
  <c r="K140" i="4" a="1"/>
  <c r="K140" i="4" s="1"/>
  <c r="L140" i="4" a="1"/>
  <c r="L140" i="4" s="1"/>
  <c r="M140" i="4" a="1"/>
  <c r="M140" i="4" s="1"/>
  <c r="B141" i="4" a="1"/>
  <c r="B141" i="4" s="1"/>
  <c r="C141" i="4" a="1"/>
  <c r="C141" i="4" s="1"/>
  <c r="D141" i="4" a="1"/>
  <c r="D141" i="4" s="1"/>
  <c r="E141" i="4" a="1"/>
  <c r="E141" i="4" s="1"/>
  <c r="F141" i="4" a="1"/>
  <c r="F141" i="4" s="1"/>
  <c r="G141" i="4" a="1"/>
  <c r="G141" i="4" s="1"/>
  <c r="H141" i="4" a="1"/>
  <c r="H141" i="4" s="1"/>
  <c r="I141" i="4" a="1"/>
  <c r="I141" i="4" s="1"/>
  <c r="J141" i="4" a="1"/>
  <c r="J141" i="4" s="1"/>
  <c r="K141" i="4" a="1"/>
  <c r="K141" i="4" s="1"/>
  <c r="L141" i="4" a="1"/>
  <c r="L141" i="4" s="1"/>
  <c r="M141" i="4" a="1"/>
  <c r="M141" i="4" s="1"/>
  <c r="B142" i="4" a="1"/>
  <c r="B142" i="4" s="1"/>
  <c r="C142" i="4" a="1"/>
  <c r="C142" i="4" s="1"/>
  <c r="D142" i="4" a="1"/>
  <c r="D142" i="4" s="1"/>
  <c r="E142" i="4" a="1"/>
  <c r="E142" i="4" s="1"/>
  <c r="F142" i="4" a="1"/>
  <c r="F142" i="4" s="1"/>
  <c r="G142" i="4" a="1"/>
  <c r="G142" i="4" s="1"/>
  <c r="H142" i="4" a="1"/>
  <c r="H142" i="4" s="1"/>
  <c r="I142" i="4" a="1"/>
  <c r="I142" i="4" s="1"/>
  <c r="J142" i="4" a="1"/>
  <c r="J142" i="4" s="1"/>
  <c r="K142" i="4" a="1"/>
  <c r="K142" i="4" s="1"/>
  <c r="L142" i="4" a="1"/>
  <c r="L142" i="4" s="1"/>
  <c r="M142" i="4" a="1"/>
  <c r="M142" i="4" s="1"/>
  <c r="B146" i="4" a="1"/>
  <c r="B146" i="4" s="1"/>
  <c r="C146" i="4" a="1"/>
  <c r="C146" i="4" s="1"/>
  <c r="D146" i="4" a="1"/>
  <c r="D146" i="4" s="1"/>
  <c r="E146" i="4" a="1"/>
  <c r="E146" i="4" s="1"/>
  <c r="F146" i="4" a="1"/>
  <c r="F146" i="4" s="1"/>
  <c r="G146" i="4" a="1"/>
  <c r="G146" i="4" s="1"/>
  <c r="H146" i="4" a="1"/>
  <c r="H146" i="4" s="1"/>
  <c r="I146" i="4" a="1"/>
  <c r="I146" i="4" s="1"/>
  <c r="J146" i="4" a="1"/>
  <c r="J146" i="4" s="1"/>
  <c r="K146" i="4" a="1"/>
  <c r="K146" i="4" s="1"/>
  <c r="L146" i="4" a="1"/>
  <c r="L146" i="4" s="1"/>
  <c r="M146" i="4" a="1"/>
  <c r="M146" i="4" s="1"/>
  <c r="B147" i="4" a="1"/>
  <c r="B147" i="4" s="1"/>
  <c r="C147" i="4" a="1"/>
  <c r="C147" i="4" s="1"/>
  <c r="D147" i="4" a="1"/>
  <c r="D147" i="4" s="1"/>
  <c r="E147" i="4" a="1"/>
  <c r="E147" i="4" s="1"/>
  <c r="F147" i="4" a="1"/>
  <c r="F147" i="4" s="1"/>
  <c r="G147" i="4" a="1"/>
  <c r="G147" i="4" s="1"/>
  <c r="H147" i="4" a="1"/>
  <c r="H147" i="4" s="1"/>
  <c r="I147" i="4" a="1"/>
  <c r="I147" i="4" s="1"/>
  <c r="J147" i="4" a="1"/>
  <c r="J147" i="4" s="1"/>
  <c r="K147" i="4" a="1"/>
  <c r="K147" i="4" s="1"/>
  <c r="L147" i="4" a="1"/>
  <c r="L147" i="4" s="1"/>
  <c r="M147" i="4" a="1"/>
  <c r="M147" i="4" s="1"/>
  <c r="B148" i="4" a="1"/>
  <c r="B148" i="4" s="1"/>
  <c r="C148" i="4" a="1"/>
  <c r="C148" i="4" s="1"/>
  <c r="D148" i="4" a="1"/>
  <c r="D148" i="4" s="1"/>
  <c r="E148" i="4" a="1"/>
  <c r="E148" i="4" s="1"/>
  <c r="F148" i="4" a="1"/>
  <c r="F148" i="4" s="1"/>
  <c r="G148" i="4" a="1"/>
  <c r="G148" i="4" s="1"/>
  <c r="H148" i="4" a="1"/>
  <c r="H148" i="4" s="1"/>
  <c r="I148" i="4" a="1"/>
  <c r="I148" i="4" s="1"/>
  <c r="J148" i="4" a="1"/>
  <c r="J148" i="4" s="1"/>
  <c r="K148" i="4" a="1"/>
  <c r="K148" i="4" s="1"/>
  <c r="L148" i="4" a="1"/>
  <c r="L148" i="4" s="1"/>
  <c r="M148" i="4" a="1"/>
  <c r="M148" i="4" s="1"/>
  <c r="B149" i="4" a="1"/>
  <c r="B149" i="4" s="1"/>
  <c r="C149" i="4" a="1"/>
  <c r="C149" i="4" s="1"/>
  <c r="D149" i="4" a="1"/>
  <c r="D149" i="4" s="1"/>
  <c r="E149" i="4" a="1"/>
  <c r="E149" i="4" s="1"/>
  <c r="F149" i="4" a="1"/>
  <c r="F149" i="4" s="1"/>
  <c r="G149" i="4" a="1"/>
  <c r="G149" i="4" s="1"/>
  <c r="H149" i="4" a="1"/>
  <c r="H149" i="4" s="1"/>
  <c r="I149" i="4" a="1"/>
  <c r="I149" i="4" s="1"/>
  <c r="J149" i="4" a="1"/>
  <c r="J149" i="4" s="1"/>
  <c r="K149" i="4" a="1"/>
  <c r="K149" i="4" s="1"/>
  <c r="L149" i="4" a="1"/>
  <c r="L149" i="4" s="1"/>
  <c r="M149" i="4" a="1"/>
  <c r="M149" i="4" s="1"/>
  <c r="B150" i="4" a="1"/>
  <c r="B150" i="4" s="1"/>
  <c r="C150" i="4" a="1"/>
  <c r="C150" i="4" s="1"/>
  <c r="D150" i="4" a="1"/>
  <c r="D150" i="4" s="1"/>
  <c r="E150" i="4" a="1"/>
  <c r="E150" i="4" s="1"/>
  <c r="F150" i="4" a="1"/>
  <c r="F150" i="4" s="1"/>
  <c r="G150" i="4" a="1"/>
  <c r="G150" i="4" s="1"/>
  <c r="H150" i="4" a="1"/>
  <c r="H150" i="4" s="1"/>
  <c r="I150" i="4" a="1"/>
  <c r="I150" i="4" s="1"/>
  <c r="J150" i="4" a="1"/>
  <c r="J150" i="4" s="1"/>
  <c r="K150" i="4" a="1"/>
  <c r="K150" i="4" s="1"/>
  <c r="L150" i="4" a="1"/>
  <c r="L150" i="4" s="1"/>
  <c r="M150" i="4" a="1"/>
  <c r="M150" i="4" s="1"/>
  <c r="B151" i="4" a="1"/>
  <c r="B151" i="4" s="1"/>
  <c r="C151" i="4" a="1"/>
  <c r="C151" i="4" s="1"/>
  <c r="D151" i="4" a="1"/>
  <c r="D151" i="4" s="1"/>
  <c r="E151" i="4" a="1"/>
  <c r="E151" i="4" s="1"/>
  <c r="F151" i="4" a="1"/>
  <c r="F151" i="4" s="1"/>
  <c r="G151" i="4" a="1"/>
  <c r="G151" i="4" s="1"/>
  <c r="H151" i="4" a="1"/>
  <c r="H151" i="4" s="1"/>
  <c r="I151" i="4" a="1"/>
  <c r="I151" i="4" s="1"/>
  <c r="J151" i="4" a="1"/>
  <c r="J151" i="4" s="1"/>
  <c r="K151" i="4" a="1"/>
  <c r="K151" i="4" s="1"/>
  <c r="L151" i="4" a="1"/>
  <c r="L151" i="4" s="1"/>
  <c r="M151" i="4" a="1"/>
  <c r="M151" i="4" s="1"/>
  <c r="B152" i="4" a="1"/>
  <c r="B152" i="4" s="1"/>
  <c r="C152" i="4" a="1"/>
  <c r="C152" i="4" s="1"/>
  <c r="D152" i="4" a="1"/>
  <c r="D152" i="4" s="1"/>
  <c r="E152" i="4" a="1"/>
  <c r="E152" i="4" s="1"/>
  <c r="F152" i="4" a="1"/>
  <c r="F152" i="4" s="1"/>
  <c r="G152" i="4" a="1"/>
  <c r="G152" i="4" s="1"/>
  <c r="H152" i="4" a="1"/>
  <c r="H152" i="4" s="1"/>
  <c r="I152" i="4" a="1"/>
  <c r="I152" i="4" s="1"/>
  <c r="J152" i="4" a="1"/>
  <c r="J152" i="4" s="1"/>
  <c r="K152" i="4" a="1"/>
  <c r="K152" i="4" s="1"/>
  <c r="L152" i="4" a="1"/>
  <c r="L152" i="4" s="1"/>
  <c r="M152" i="4" a="1"/>
  <c r="M152" i="4" s="1"/>
  <c r="B153" i="4" a="1"/>
  <c r="B153" i="4" s="1"/>
  <c r="C153" i="4" a="1"/>
  <c r="C153" i="4" s="1"/>
  <c r="D153" i="4" a="1"/>
  <c r="D153" i="4" s="1"/>
  <c r="E153" i="4" a="1"/>
  <c r="E153" i="4" s="1"/>
  <c r="F153" i="4" a="1"/>
  <c r="F153" i="4" s="1"/>
  <c r="G153" i="4" a="1"/>
  <c r="G153" i="4" s="1"/>
  <c r="H153" i="4" a="1"/>
  <c r="H153" i="4" s="1"/>
  <c r="I153" i="4" a="1"/>
  <c r="I153" i="4" s="1"/>
  <c r="J153" i="4" a="1"/>
  <c r="J153" i="4" s="1"/>
  <c r="K153" i="4" a="1"/>
  <c r="K153" i="4" s="1"/>
  <c r="L153" i="4" a="1"/>
  <c r="L153" i="4" s="1"/>
  <c r="M153" i="4" a="1"/>
  <c r="M153" i="4" s="1"/>
  <c r="B157" i="4" a="1"/>
  <c r="B157" i="4" s="1"/>
  <c r="C157" i="4" a="1"/>
  <c r="C157" i="4" s="1"/>
  <c r="D157" i="4" a="1"/>
  <c r="D157" i="4" s="1"/>
  <c r="E157" i="4" a="1"/>
  <c r="E157" i="4" s="1"/>
  <c r="F157" i="4" a="1"/>
  <c r="F157" i="4" s="1"/>
  <c r="G157" i="4" a="1"/>
  <c r="G157" i="4" s="1"/>
  <c r="H157" i="4" a="1"/>
  <c r="H157" i="4" s="1"/>
  <c r="I157" i="4" a="1"/>
  <c r="I157" i="4" s="1"/>
  <c r="J157" i="4" a="1"/>
  <c r="J157" i="4" s="1"/>
  <c r="K157" i="4" a="1"/>
  <c r="K157" i="4" s="1"/>
  <c r="L157" i="4" a="1"/>
  <c r="L157" i="4" s="1"/>
  <c r="M157" i="4" a="1"/>
  <c r="M157" i="4" s="1"/>
  <c r="B158" i="4" a="1"/>
  <c r="B158" i="4" s="1"/>
  <c r="C158" i="4" a="1"/>
  <c r="C158" i="4" s="1"/>
  <c r="D158" i="4" a="1"/>
  <c r="D158" i="4" s="1"/>
  <c r="E158" i="4" a="1"/>
  <c r="E158" i="4" s="1"/>
  <c r="F158" i="4" a="1"/>
  <c r="F158" i="4" s="1"/>
  <c r="G158" i="4" a="1"/>
  <c r="G158" i="4" s="1"/>
  <c r="H158" i="4" a="1"/>
  <c r="H158" i="4" s="1"/>
  <c r="I158" i="4" a="1"/>
  <c r="I158" i="4" s="1"/>
  <c r="J158" i="4" a="1"/>
  <c r="J158" i="4" s="1"/>
  <c r="K158" i="4" a="1"/>
  <c r="K158" i="4" s="1"/>
  <c r="L158" i="4" a="1"/>
  <c r="L158" i="4" s="1"/>
  <c r="M158" i="4" a="1"/>
  <c r="M158" i="4" s="1"/>
  <c r="B159" i="4" a="1"/>
  <c r="B159" i="4" s="1"/>
  <c r="C159" i="4" a="1"/>
  <c r="C159" i="4" s="1"/>
  <c r="D159" i="4" a="1"/>
  <c r="D159" i="4" s="1"/>
  <c r="E159" i="4" a="1"/>
  <c r="E159" i="4" s="1"/>
  <c r="F159" i="4" a="1"/>
  <c r="F159" i="4" s="1"/>
  <c r="G159" i="4" a="1"/>
  <c r="G159" i="4" s="1"/>
  <c r="H159" i="4" a="1"/>
  <c r="H159" i="4" s="1"/>
  <c r="I159" i="4" a="1"/>
  <c r="I159" i="4" s="1"/>
  <c r="J159" i="4" a="1"/>
  <c r="J159" i="4" s="1"/>
  <c r="K159" i="4" a="1"/>
  <c r="K159" i="4" s="1"/>
  <c r="L159" i="4" a="1"/>
  <c r="L159" i="4" s="1"/>
  <c r="M159" i="4" a="1"/>
  <c r="M159" i="4" s="1"/>
  <c r="B160" i="4" a="1"/>
  <c r="B160" i="4" s="1"/>
  <c r="C160" i="4" a="1"/>
  <c r="C160" i="4" s="1"/>
  <c r="D160" i="4" a="1"/>
  <c r="D160" i="4" s="1"/>
  <c r="E160" i="4" a="1"/>
  <c r="E160" i="4" s="1"/>
  <c r="F160" i="4" a="1"/>
  <c r="F160" i="4" s="1"/>
  <c r="G160" i="4" a="1"/>
  <c r="G160" i="4" s="1"/>
  <c r="H160" i="4" a="1"/>
  <c r="H160" i="4" s="1"/>
  <c r="I160" i="4" a="1"/>
  <c r="I160" i="4" s="1"/>
  <c r="J160" i="4" a="1"/>
  <c r="J160" i="4" s="1"/>
  <c r="K160" i="4" a="1"/>
  <c r="K160" i="4" s="1"/>
  <c r="L160" i="4" a="1"/>
  <c r="L160" i="4" s="1"/>
  <c r="M160" i="4" a="1"/>
  <c r="M160" i="4" s="1"/>
  <c r="B161" i="4" a="1"/>
  <c r="B161" i="4" s="1"/>
  <c r="C161" i="4" a="1"/>
  <c r="C161" i="4" s="1"/>
  <c r="D161" i="4" a="1"/>
  <c r="D161" i="4" s="1"/>
  <c r="E161" i="4" a="1"/>
  <c r="E161" i="4" s="1"/>
  <c r="F161" i="4" a="1"/>
  <c r="F161" i="4" s="1"/>
  <c r="G161" i="4" a="1"/>
  <c r="G161" i="4" s="1"/>
  <c r="H161" i="4" a="1"/>
  <c r="H161" i="4" s="1"/>
  <c r="I161" i="4" a="1"/>
  <c r="I161" i="4" s="1"/>
  <c r="J161" i="4" a="1"/>
  <c r="J161" i="4" s="1"/>
  <c r="K161" i="4" a="1"/>
  <c r="K161" i="4" s="1"/>
  <c r="L161" i="4" a="1"/>
  <c r="L161" i="4" s="1"/>
  <c r="M161" i="4" a="1"/>
  <c r="M161" i="4" s="1"/>
  <c r="B162" i="4" a="1"/>
  <c r="B162" i="4" s="1"/>
  <c r="C162" i="4" a="1"/>
  <c r="C162" i="4" s="1"/>
  <c r="D162" i="4" a="1"/>
  <c r="D162" i="4" s="1"/>
  <c r="E162" i="4" a="1"/>
  <c r="E162" i="4" s="1"/>
  <c r="F162" i="4" a="1"/>
  <c r="F162" i="4" s="1"/>
  <c r="G162" i="4" a="1"/>
  <c r="G162" i="4" s="1"/>
  <c r="H162" i="4" a="1"/>
  <c r="H162" i="4" s="1"/>
  <c r="I162" i="4" a="1"/>
  <c r="I162" i="4" s="1"/>
  <c r="J162" i="4" a="1"/>
  <c r="J162" i="4" s="1"/>
  <c r="K162" i="4" a="1"/>
  <c r="K162" i="4" s="1"/>
  <c r="L162" i="4" a="1"/>
  <c r="L162" i="4" s="1"/>
  <c r="M162" i="4" a="1"/>
  <c r="M162" i="4" s="1"/>
  <c r="B163" i="4" a="1"/>
  <c r="B163" i="4" s="1"/>
  <c r="C163" i="4" a="1"/>
  <c r="C163" i="4" s="1"/>
  <c r="D163" i="4" a="1"/>
  <c r="D163" i="4" s="1"/>
  <c r="E163" i="4" a="1"/>
  <c r="E163" i="4" s="1"/>
  <c r="F163" i="4" a="1"/>
  <c r="F163" i="4" s="1"/>
  <c r="G163" i="4" a="1"/>
  <c r="G163" i="4" s="1"/>
  <c r="H163" i="4" a="1"/>
  <c r="H163" i="4" s="1"/>
  <c r="I163" i="4" a="1"/>
  <c r="I163" i="4" s="1"/>
  <c r="J163" i="4" a="1"/>
  <c r="J163" i="4" s="1"/>
  <c r="K163" i="4" a="1"/>
  <c r="K163" i="4" s="1"/>
  <c r="L163" i="4" a="1"/>
  <c r="L163" i="4" s="1"/>
  <c r="M163" i="4" a="1"/>
  <c r="M163" i="4" s="1"/>
  <c r="B164" i="4" a="1"/>
  <c r="B164" i="4" s="1"/>
  <c r="C164" i="4" a="1"/>
  <c r="C164" i="4" s="1"/>
  <c r="D164" i="4" a="1"/>
  <c r="D164" i="4" s="1"/>
  <c r="E164" i="4" a="1"/>
  <c r="E164" i="4" s="1"/>
  <c r="F164" i="4" a="1"/>
  <c r="F164" i="4" s="1"/>
  <c r="G164" i="4" a="1"/>
  <c r="G164" i="4" s="1"/>
  <c r="H164" i="4" a="1"/>
  <c r="H164" i="4" s="1"/>
  <c r="I164" i="4" a="1"/>
  <c r="I164" i="4" s="1"/>
  <c r="J164" i="4" a="1"/>
  <c r="J164" i="4" s="1"/>
  <c r="K164" i="4" a="1"/>
  <c r="K164" i="4" s="1"/>
  <c r="L164" i="4" a="1"/>
  <c r="L164" i="4" s="1"/>
  <c r="M164" i="4" a="1"/>
  <c r="M164" i="4" s="1"/>
  <c r="B168" i="4" a="1"/>
  <c r="B168" i="4" s="1"/>
  <c r="C168" i="4" a="1"/>
  <c r="C168" i="4" s="1"/>
  <c r="D168" i="4" a="1"/>
  <c r="D168" i="4" s="1"/>
  <c r="E168" i="4" a="1"/>
  <c r="E168" i="4" s="1"/>
  <c r="F168" i="4" a="1"/>
  <c r="F168" i="4" s="1"/>
  <c r="G168" i="4" a="1"/>
  <c r="G168" i="4" s="1"/>
  <c r="H168" i="4" a="1"/>
  <c r="H168" i="4" s="1"/>
  <c r="I168" i="4" a="1"/>
  <c r="I168" i="4" s="1"/>
  <c r="J168" i="4" a="1"/>
  <c r="J168" i="4" s="1"/>
  <c r="K168" i="4" a="1"/>
  <c r="K168" i="4" s="1"/>
  <c r="L168" i="4" a="1"/>
  <c r="L168" i="4" s="1"/>
  <c r="M168" i="4" a="1"/>
  <c r="M168" i="4" s="1"/>
  <c r="B169" i="4" a="1"/>
  <c r="B169" i="4" s="1"/>
  <c r="C169" i="4" a="1"/>
  <c r="C169" i="4" s="1"/>
  <c r="D169" i="4" a="1"/>
  <c r="D169" i="4" s="1"/>
  <c r="E169" i="4" a="1"/>
  <c r="E169" i="4" s="1"/>
  <c r="F169" i="4" a="1"/>
  <c r="F169" i="4" s="1"/>
  <c r="G169" i="4" a="1"/>
  <c r="G169" i="4" s="1"/>
  <c r="H169" i="4" a="1"/>
  <c r="H169" i="4" s="1"/>
  <c r="I169" i="4" a="1"/>
  <c r="I169" i="4" s="1"/>
  <c r="J169" i="4" a="1"/>
  <c r="J169" i="4" s="1"/>
  <c r="K169" i="4" a="1"/>
  <c r="K169" i="4" s="1"/>
  <c r="L169" i="4" a="1"/>
  <c r="L169" i="4" s="1"/>
  <c r="M169" i="4" a="1"/>
  <c r="M169" i="4" s="1"/>
  <c r="B170" i="4" a="1"/>
  <c r="B170" i="4" s="1"/>
  <c r="C170" i="4" a="1"/>
  <c r="C170" i="4" s="1"/>
  <c r="D170" i="4" a="1"/>
  <c r="D170" i="4" s="1"/>
  <c r="E170" i="4" a="1"/>
  <c r="E170" i="4" s="1"/>
  <c r="F170" i="4" a="1"/>
  <c r="F170" i="4" s="1"/>
  <c r="G170" i="4" a="1"/>
  <c r="G170" i="4" s="1"/>
  <c r="H170" i="4" a="1"/>
  <c r="H170" i="4" s="1"/>
  <c r="I170" i="4" a="1"/>
  <c r="I170" i="4" s="1"/>
  <c r="J170" i="4" a="1"/>
  <c r="J170" i="4" s="1"/>
  <c r="K170" i="4" a="1"/>
  <c r="K170" i="4" s="1"/>
  <c r="L170" i="4" a="1"/>
  <c r="L170" i="4" s="1"/>
  <c r="M170" i="4" a="1"/>
  <c r="M170" i="4" s="1"/>
  <c r="B171" i="4" a="1"/>
  <c r="B171" i="4" s="1"/>
  <c r="C171" i="4" a="1"/>
  <c r="C171" i="4" s="1"/>
  <c r="D171" i="4" a="1"/>
  <c r="D171" i="4" s="1"/>
  <c r="E171" i="4" a="1"/>
  <c r="E171" i="4" s="1"/>
  <c r="F171" i="4" a="1"/>
  <c r="F171" i="4" s="1"/>
  <c r="G171" i="4" a="1"/>
  <c r="G171" i="4" s="1"/>
  <c r="H171" i="4" a="1"/>
  <c r="H171" i="4" s="1"/>
  <c r="I171" i="4" a="1"/>
  <c r="I171" i="4" s="1"/>
  <c r="J171" i="4" a="1"/>
  <c r="J171" i="4" s="1"/>
  <c r="K171" i="4" a="1"/>
  <c r="K171" i="4" s="1"/>
  <c r="L171" i="4" a="1"/>
  <c r="L171" i="4" s="1"/>
  <c r="M171" i="4" a="1"/>
  <c r="M171" i="4" s="1"/>
  <c r="B172" i="4" a="1"/>
  <c r="B172" i="4" s="1"/>
  <c r="C172" i="4" a="1"/>
  <c r="C172" i="4" s="1"/>
  <c r="D172" i="4" a="1"/>
  <c r="D172" i="4" s="1"/>
  <c r="E172" i="4" a="1"/>
  <c r="E172" i="4" s="1"/>
  <c r="F172" i="4" a="1"/>
  <c r="F172" i="4" s="1"/>
  <c r="G172" i="4" a="1"/>
  <c r="G172" i="4" s="1"/>
  <c r="H172" i="4" a="1"/>
  <c r="H172" i="4" s="1"/>
  <c r="I172" i="4" a="1"/>
  <c r="I172" i="4" s="1"/>
  <c r="J172" i="4" a="1"/>
  <c r="J172" i="4" s="1"/>
  <c r="K172" i="4" a="1"/>
  <c r="K172" i="4" s="1"/>
  <c r="L172" i="4" a="1"/>
  <c r="L172" i="4" s="1"/>
  <c r="M172" i="4" a="1"/>
  <c r="M172" i="4" s="1"/>
  <c r="B173" i="4" a="1"/>
  <c r="B173" i="4" s="1"/>
  <c r="C173" i="4" a="1"/>
  <c r="C173" i="4" s="1"/>
  <c r="D173" i="4" a="1"/>
  <c r="D173" i="4" s="1"/>
  <c r="E173" i="4" a="1"/>
  <c r="E173" i="4" s="1"/>
  <c r="F173" i="4" a="1"/>
  <c r="F173" i="4" s="1"/>
  <c r="G173" i="4" a="1"/>
  <c r="G173" i="4" s="1"/>
  <c r="H173" i="4" a="1"/>
  <c r="H173" i="4" s="1"/>
  <c r="I173" i="4" a="1"/>
  <c r="I173" i="4" s="1"/>
  <c r="J173" i="4" a="1"/>
  <c r="J173" i="4" s="1"/>
  <c r="K173" i="4" a="1"/>
  <c r="K173" i="4" s="1"/>
  <c r="L173" i="4" a="1"/>
  <c r="L173" i="4" s="1"/>
  <c r="M173" i="4" a="1"/>
  <c r="M173" i="4" s="1"/>
  <c r="B174" i="4" a="1"/>
  <c r="B174" i="4" s="1"/>
  <c r="C174" i="4" a="1"/>
  <c r="C174" i="4" s="1"/>
  <c r="D174" i="4" a="1"/>
  <c r="D174" i="4" s="1"/>
  <c r="E174" i="4" a="1"/>
  <c r="E174" i="4" s="1"/>
  <c r="F174" i="4" a="1"/>
  <c r="F174" i="4" s="1"/>
  <c r="G174" i="4" a="1"/>
  <c r="G174" i="4" s="1"/>
  <c r="H174" i="4" a="1"/>
  <c r="H174" i="4" s="1"/>
  <c r="I174" i="4" a="1"/>
  <c r="I174" i="4" s="1"/>
  <c r="J174" i="4" a="1"/>
  <c r="J174" i="4" s="1"/>
  <c r="K174" i="4" a="1"/>
  <c r="K174" i="4" s="1"/>
  <c r="L174" i="4" a="1"/>
  <c r="L174" i="4" s="1"/>
  <c r="M174" i="4" a="1"/>
  <c r="M174" i="4" s="1"/>
  <c r="B175" i="4" a="1"/>
  <c r="B175" i="4" s="1"/>
  <c r="C175" i="4" a="1"/>
  <c r="C175" i="4" s="1"/>
  <c r="D175" i="4" a="1"/>
  <c r="D175" i="4" s="1"/>
  <c r="E175" i="4" a="1"/>
  <c r="E175" i="4" s="1"/>
  <c r="F175" i="4" a="1"/>
  <c r="F175" i="4" s="1"/>
  <c r="G175" i="4" a="1"/>
  <c r="G175" i="4" s="1"/>
  <c r="H175" i="4" a="1"/>
  <c r="H175" i="4" s="1"/>
  <c r="I175" i="4" a="1"/>
  <c r="I175" i="4" s="1"/>
  <c r="J175" i="4" a="1"/>
  <c r="J175" i="4" s="1"/>
  <c r="K175" i="4" a="1"/>
  <c r="K175" i="4" s="1"/>
  <c r="L175" i="4" a="1"/>
  <c r="L175" i="4" s="1"/>
  <c r="M175" i="4" a="1"/>
  <c r="M175" i="4" s="1"/>
  <c r="B179" i="4" a="1"/>
  <c r="B179" i="4" s="1"/>
  <c r="C179" i="4" a="1"/>
  <c r="C179" i="4" s="1"/>
  <c r="D179" i="4" a="1"/>
  <c r="D179" i="4" s="1"/>
  <c r="E179" i="4" a="1"/>
  <c r="E179" i="4" s="1"/>
  <c r="F179" i="4" a="1"/>
  <c r="F179" i="4" s="1"/>
  <c r="G179" i="4" a="1"/>
  <c r="G179" i="4" s="1"/>
  <c r="H179" i="4" a="1"/>
  <c r="H179" i="4" s="1"/>
  <c r="I179" i="4" a="1"/>
  <c r="I179" i="4" s="1"/>
  <c r="J179" i="4" a="1"/>
  <c r="J179" i="4" s="1"/>
  <c r="K179" i="4" a="1"/>
  <c r="K179" i="4" s="1"/>
  <c r="L179" i="4" a="1"/>
  <c r="L179" i="4" s="1"/>
  <c r="M179" i="4" a="1"/>
  <c r="M179" i="4" s="1"/>
  <c r="B180" i="4" a="1"/>
  <c r="B180" i="4" s="1"/>
  <c r="C180" i="4" a="1"/>
  <c r="C180" i="4" s="1"/>
  <c r="D180" i="4" a="1"/>
  <c r="D180" i="4" s="1"/>
  <c r="E180" i="4" a="1"/>
  <c r="E180" i="4" s="1"/>
  <c r="F180" i="4" a="1"/>
  <c r="F180" i="4" s="1"/>
  <c r="G180" i="4" a="1"/>
  <c r="G180" i="4" s="1"/>
  <c r="H180" i="4" a="1"/>
  <c r="H180" i="4" s="1"/>
  <c r="I180" i="4" a="1"/>
  <c r="I180" i="4" s="1"/>
  <c r="J180" i="4" a="1"/>
  <c r="J180" i="4" s="1"/>
  <c r="K180" i="4" a="1"/>
  <c r="K180" i="4" s="1"/>
  <c r="L180" i="4" a="1"/>
  <c r="L180" i="4" s="1"/>
  <c r="M180" i="4" a="1"/>
  <c r="M180" i="4" s="1"/>
  <c r="B181" i="4" a="1"/>
  <c r="B181" i="4" s="1"/>
  <c r="C181" i="4" a="1"/>
  <c r="C181" i="4" s="1"/>
  <c r="D181" i="4" a="1"/>
  <c r="D181" i="4" s="1"/>
  <c r="E181" i="4" a="1"/>
  <c r="E181" i="4" s="1"/>
  <c r="F181" i="4" a="1"/>
  <c r="F181" i="4" s="1"/>
  <c r="G181" i="4" a="1"/>
  <c r="G181" i="4" s="1"/>
  <c r="H181" i="4" a="1"/>
  <c r="H181" i="4" s="1"/>
  <c r="I181" i="4" a="1"/>
  <c r="I181" i="4" s="1"/>
  <c r="J181" i="4" a="1"/>
  <c r="J181" i="4" s="1"/>
  <c r="K181" i="4" a="1"/>
  <c r="K181" i="4" s="1"/>
  <c r="L181" i="4" a="1"/>
  <c r="L181" i="4" s="1"/>
  <c r="M181" i="4" a="1"/>
  <c r="M181" i="4" s="1"/>
  <c r="B182" i="4" a="1"/>
  <c r="B182" i="4" s="1"/>
  <c r="C182" i="4" a="1"/>
  <c r="C182" i="4" s="1"/>
  <c r="D182" i="4" a="1"/>
  <c r="D182" i="4" s="1"/>
  <c r="E182" i="4" a="1"/>
  <c r="E182" i="4" s="1"/>
  <c r="F182" i="4" a="1"/>
  <c r="F182" i="4" s="1"/>
  <c r="G182" i="4" a="1"/>
  <c r="G182" i="4" s="1"/>
  <c r="H182" i="4" a="1"/>
  <c r="H182" i="4" s="1"/>
  <c r="I182" i="4" a="1"/>
  <c r="I182" i="4" s="1"/>
  <c r="J182" i="4" a="1"/>
  <c r="J182" i="4" s="1"/>
  <c r="K182" i="4" a="1"/>
  <c r="K182" i="4" s="1"/>
  <c r="L182" i="4" a="1"/>
  <c r="L182" i="4" s="1"/>
  <c r="M182" i="4" a="1"/>
  <c r="M182" i="4" s="1"/>
  <c r="B183" i="4" a="1"/>
  <c r="B183" i="4" s="1"/>
  <c r="C183" i="4" a="1"/>
  <c r="C183" i="4" s="1"/>
  <c r="D183" i="4" a="1"/>
  <c r="D183" i="4" s="1"/>
  <c r="E183" i="4" a="1"/>
  <c r="E183" i="4" s="1"/>
  <c r="F183" i="4" a="1"/>
  <c r="F183" i="4" s="1"/>
  <c r="G183" i="4" a="1"/>
  <c r="G183" i="4" s="1"/>
  <c r="H183" i="4" a="1"/>
  <c r="H183" i="4" s="1"/>
  <c r="I183" i="4" a="1"/>
  <c r="I183" i="4" s="1"/>
  <c r="J183" i="4" a="1"/>
  <c r="J183" i="4" s="1"/>
  <c r="K183" i="4" a="1"/>
  <c r="K183" i="4" s="1"/>
  <c r="L183" i="4" a="1"/>
  <c r="L183" i="4" s="1"/>
  <c r="M183" i="4" a="1"/>
  <c r="M183" i="4" s="1"/>
  <c r="B184" i="4" a="1"/>
  <c r="B184" i="4" s="1"/>
  <c r="C184" i="4" a="1"/>
  <c r="C184" i="4" s="1"/>
  <c r="D184" i="4" a="1"/>
  <c r="D184" i="4" s="1"/>
  <c r="E184" i="4" a="1"/>
  <c r="E184" i="4" s="1"/>
  <c r="F184" i="4" a="1"/>
  <c r="F184" i="4" s="1"/>
  <c r="G184" i="4" a="1"/>
  <c r="G184" i="4" s="1"/>
  <c r="H184" i="4" a="1"/>
  <c r="H184" i="4" s="1"/>
  <c r="I184" i="4" a="1"/>
  <c r="I184" i="4" s="1"/>
  <c r="J184" i="4" a="1"/>
  <c r="J184" i="4" s="1"/>
  <c r="K184" i="4" a="1"/>
  <c r="K184" i="4" s="1"/>
  <c r="L184" i="4" a="1"/>
  <c r="L184" i="4" s="1"/>
  <c r="M184" i="4" a="1"/>
  <c r="M184" i="4" s="1"/>
  <c r="B185" i="4" a="1"/>
  <c r="B185" i="4" s="1"/>
  <c r="C185" i="4" a="1"/>
  <c r="C185" i="4" s="1"/>
  <c r="D185" i="4" a="1"/>
  <c r="D185" i="4" s="1"/>
  <c r="E185" i="4" a="1"/>
  <c r="E185" i="4" s="1"/>
  <c r="F185" i="4" a="1"/>
  <c r="F185" i="4" s="1"/>
  <c r="G185" i="4" a="1"/>
  <c r="G185" i="4" s="1"/>
  <c r="H185" i="4" a="1"/>
  <c r="H185" i="4" s="1"/>
  <c r="I185" i="4" a="1"/>
  <c r="I185" i="4" s="1"/>
  <c r="J185" i="4" a="1"/>
  <c r="J185" i="4" s="1"/>
  <c r="K185" i="4" a="1"/>
  <c r="K185" i="4" s="1"/>
  <c r="L185" i="4" a="1"/>
  <c r="L185" i="4" s="1"/>
  <c r="M185" i="4" a="1"/>
  <c r="M185" i="4" s="1"/>
  <c r="B186" i="4" a="1"/>
  <c r="B186" i="4" s="1"/>
  <c r="C186" i="4" a="1"/>
  <c r="C186" i="4" s="1"/>
  <c r="D186" i="4" a="1"/>
  <c r="D186" i="4" s="1"/>
  <c r="E186" i="4" a="1"/>
  <c r="E186" i="4" s="1"/>
  <c r="F186" i="4" a="1"/>
  <c r="F186" i="4" s="1"/>
  <c r="G186" i="4" a="1"/>
  <c r="G186" i="4" s="1"/>
  <c r="H186" i="4" a="1"/>
  <c r="H186" i="4" s="1"/>
  <c r="I186" i="4" a="1"/>
  <c r="I186" i="4" s="1"/>
  <c r="J186" i="4" a="1"/>
  <c r="J186" i="4" s="1"/>
  <c r="K186" i="4" a="1"/>
  <c r="K186" i="4" s="1"/>
  <c r="L186" i="4" a="1"/>
  <c r="L186" i="4" s="1"/>
  <c r="M186" i="4" a="1"/>
  <c r="M186" i="4" s="1"/>
  <c r="B190" i="4" a="1"/>
  <c r="B190" i="4" s="1"/>
  <c r="C190" i="4" a="1"/>
  <c r="C190" i="4" s="1"/>
  <c r="D190" i="4" a="1"/>
  <c r="D190" i="4" s="1"/>
  <c r="E190" i="4" a="1"/>
  <c r="E190" i="4" s="1"/>
  <c r="F190" i="4" a="1"/>
  <c r="F190" i="4" s="1"/>
  <c r="G190" i="4" a="1"/>
  <c r="G190" i="4" s="1"/>
  <c r="H190" i="4" a="1"/>
  <c r="H190" i="4" s="1"/>
  <c r="I190" i="4" a="1"/>
  <c r="I190" i="4" s="1"/>
  <c r="J190" i="4" a="1"/>
  <c r="J190" i="4" s="1"/>
  <c r="K190" i="4" a="1"/>
  <c r="K190" i="4" s="1"/>
  <c r="L190" i="4" a="1"/>
  <c r="L190" i="4" s="1"/>
  <c r="M190" i="4" a="1"/>
  <c r="M190" i="4" s="1"/>
  <c r="B191" i="4" a="1"/>
  <c r="B191" i="4" s="1"/>
  <c r="C191" i="4" a="1"/>
  <c r="C191" i="4" s="1"/>
  <c r="D191" i="4" a="1"/>
  <c r="D191" i="4" s="1"/>
  <c r="E191" i="4" a="1"/>
  <c r="E191" i="4" s="1"/>
  <c r="F191" i="4" a="1"/>
  <c r="F191" i="4" s="1"/>
  <c r="G191" i="4" a="1"/>
  <c r="G191" i="4" s="1"/>
  <c r="H191" i="4" a="1"/>
  <c r="H191" i="4" s="1"/>
  <c r="I191" i="4" a="1"/>
  <c r="I191" i="4" s="1"/>
  <c r="J191" i="4" a="1"/>
  <c r="J191" i="4" s="1"/>
  <c r="K191" i="4" a="1"/>
  <c r="K191" i="4" s="1"/>
  <c r="L191" i="4" a="1"/>
  <c r="L191" i="4" s="1"/>
  <c r="M191" i="4" a="1"/>
  <c r="M191" i="4" s="1"/>
  <c r="B192" i="4" a="1"/>
  <c r="B192" i="4" s="1"/>
  <c r="C192" i="4" a="1"/>
  <c r="C192" i="4" s="1"/>
  <c r="D192" i="4" a="1"/>
  <c r="D192" i="4" s="1"/>
  <c r="E192" i="4" a="1"/>
  <c r="E192" i="4" s="1"/>
  <c r="F192" i="4" a="1"/>
  <c r="F192" i="4" s="1"/>
  <c r="G192" i="4" a="1"/>
  <c r="G192" i="4" s="1"/>
  <c r="H192" i="4" a="1"/>
  <c r="H192" i="4" s="1"/>
  <c r="I192" i="4" a="1"/>
  <c r="I192" i="4" s="1"/>
  <c r="J192" i="4" a="1"/>
  <c r="J192" i="4" s="1"/>
  <c r="K192" i="4" a="1"/>
  <c r="K192" i="4" s="1"/>
  <c r="L192" i="4" a="1"/>
  <c r="L192" i="4" s="1"/>
  <c r="M192" i="4" a="1"/>
  <c r="M192" i="4" s="1"/>
  <c r="B193" i="4" a="1"/>
  <c r="B193" i="4" s="1"/>
  <c r="C193" i="4" a="1"/>
  <c r="C193" i="4" s="1"/>
  <c r="D193" i="4" a="1"/>
  <c r="D193" i="4" s="1"/>
  <c r="E193" i="4" a="1"/>
  <c r="E193" i="4" s="1"/>
  <c r="F193" i="4" a="1"/>
  <c r="F193" i="4" s="1"/>
  <c r="G193" i="4" a="1"/>
  <c r="G193" i="4" s="1"/>
  <c r="H193" i="4" a="1"/>
  <c r="H193" i="4" s="1"/>
  <c r="I193" i="4" a="1"/>
  <c r="I193" i="4" s="1"/>
  <c r="J193" i="4" a="1"/>
  <c r="J193" i="4" s="1"/>
  <c r="K193" i="4" a="1"/>
  <c r="K193" i="4" s="1"/>
  <c r="L193" i="4" a="1"/>
  <c r="L193" i="4" s="1"/>
  <c r="M193" i="4" a="1"/>
  <c r="M193" i="4" s="1"/>
  <c r="B194" i="4" a="1"/>
  <c r="B194" i="4" s="1"/>
  <c r="C194" i="4" a="1"/>
  <c r="C194" i="4" s="1"/>
  <c r="D194" i="4" a="1"/>
  <c r="D194" i="4" s="1"/>
  <c r="E194" i="4" a="1"/>
  <c r="E194" i="4" s="1"/>
  <c r="F194" i="4" a="1"/>
  <c r="F194" i="4" s="1"/>
  <c r="G194" i="4" a="1"/>
  <c r="G194" i="4" s="1"/>
  <c r="H194" i="4" a="1"/>
  <c r="H194" i="4" s="1"/>
  <c r="I194" i="4" a="1"/>
  <c r="I194" i="4" s="1"/>
  <c r="J194" i="4" a="1"/>
  <c r="J194" i="4" s="1"/>
  <c r="K194" i="4" a="1"/>
  <c r="K194" i="4" s="1"/>
  <c r="L194" i="4" a="1"/>
  <c r="L194" i="4" s="1"/>
  <c r="M194" i="4" a="1"/>
  <c r="M194" i="4" s="1"/>
  <c r="B195" i="4" a="1"/>
  <c r="B195" i="4" s="1"/>
  <c r="C195" i="4" a="1"/>
  <c r="C195" i="4" s="1"/>
  <c r="D195" i="4" a="1"/>
  <c r="D195" i="4" s="1"/>
  <c r="E195" i="4" a="1"/>
  <c r="E195" i="4" s="1"/>
  <c r="F195" i="4" a="1"/>
  <c r="F195" i="4" s="1"/>
  <c r="G195" i="4" a="1"/>
  <c r="G195" i="4" s="1"/>
  <c r="H195" i="4" a="1"/>
  <c r="H195" i="4" s="1"/>
  <c r="I195" i="4" a="1"/>
  <c r="I195" i="4" s="1"/>
  <c r="J195" i="4" a="1"/>
  <c r="J195" i="4" s="1"/>
  <c r="K195" i="4" a="1"/>
  <c r="K195" i="4" s="1"/>
  <c r="L195" i="4" a="1"/>
  <c r="L195" i="4" s="1"/>
  <c r="M195" i="4" a="1"/>
  <c r="M195" i="4" s="1"/>
  <c r="B196" i="4" a="1"/>
  <c r="B196" i="4" s="1"/>
  <c r="C196" i="4" a="1"/>
  <c r="C196" i="4" s="1"/>
  <c r="D196" i="4" a="1"/>
  <c r="D196" i="4" s="1"/>
  <c r="E196" i="4" a="1"/>
  <c r="E196" i="4" s="1"/>
  <c r="F196" i="4" a="1"/>
  <c r="F196" i="4" s="1"/>
  <c r="G196" i="4" a="1"/>
  <c r="G196" i="4" s="1"/>
  <c r="H196" i="4" a="1"/>
  <c r="H196" i="4" s="1"/>
  <c r="I196" i="4" a="1"/>
  <c r="I196" i="4" s="1"/>
  <c r="J196" i="4" a="1"/>
  <c r="J196" i="4" s="1"/>
  <c r="K196" i="4" a="1"/>
  <c r="K196" i="4" s="1"/>
  <c r="L196" i="4" a="1"/>
  <c r="L196" i="4" s="1"/>
  <c r="M196" i="4" a="1"/>
  <c r="M196" i="4" s="1"/>
  <c r="B197" i="4" a="1"/>
  <c r="B197" i="4" s="1"/>
  <c r="C197" i="4" a="1"/>
  <c r="C197" i="4" s="1"/>
  <c r="D197" i="4" a="1"/>
  <c r="D197" i="4" s="1"/>
  <c r="E197" i="4" a="1"/>
  <c r="E197" i="4" s="1"/>
  <c r="F197" i="4" a="1"/>
  <c r="F197" i="4" s="1"/>
  <c r="G197" i="4" a="1"/>
  <c r="G197" i="4" s="1"/>
  <c r="H197" i="4" a="1"/>
  <c r="H197" i="4" s="1"/>
  <c r="I197" i="4" a="1"/>
  <c r="I197" i="4" s="1"/>
  <c r="J197" i="4" a="1"/>
  <c r="J197" i="4" s="1"/>
  <c r="K197" i="4" a="1"/>
  <c r="K197" i="4" s="1"/>
  <c r="L197" i="4" a="1"/>
  <c r="L197" i="4" s="1"/>
  <c r="M197" i="4" a="1"/>
  <c r="M197" i="4" s="1"/>
  <c r="B201" i="4" a="1"/>
  <c r="B201" i="4" s="1"/>
  <c r="C201" i="4" a="1"/>
  <c r="C201" i="4" s="1"/>
  <c r="D201" i="4" a="1"/>
  <c r="D201" i="4" s="1"/>
  <c r="E201" i="4" a="1"/>
  <c r="E201" i="4" s="1"/>
  <c r="F201" i="4" a="1"/>
  <c r="F201" i="4" s="1"/>
  <c r="G201" i="4" a="1"/>
  <c r="G201" i="4" s="1"/>
  <c r="H201" i="4" a="1"/>
  <c r="H201" i="4" s="1"/>
  <c r="I201" i="4" a="1"/>
  <c r="I201" i="4" s="1"/>
  <c r="J201" i="4" a="1"/>
  <c r="J201" i="4" s="1"/>
  <c r="K201" i="4" a="1"/>
  <c r="K201" i="4" s="1"/>
  <c r="L201" i="4" a="1"/>
  <c r="L201" i="4" s="1"/>
  <c r="M201" i="4" a="1"/>
  <c r="M201" i="4" s="1"/>
  <c r="B202" i="4" a="1"/>
  <c r="B202" i="4" s="1"/>
  <c r="C202" i="4" a="1"/>
  <c r="C202" i="4" s="1"/>
  <c r="D202" i="4" a="1"/>
  <c r="D202" i="4" s="1"/>
  <c r="E202" i="4" a="1"/>
  <c r="E202" i="4" s="1"/>
  <c r="F202" i="4" a="1"/>
  <c r="F202" i="4" s="1"/>
  <c r="G202" i="4" a="1"/>
  <c r="G202" i="4" s="1"/>
  <c r="H202" i="4" a="1"/>
  <c r="H202" i="4" s="1"/>
  <c r="I202" i="4" a="1"/>
  <c r="I202" i="4" s="1"/>
  <c r="J202" i="4" a="1"/>
  <c r="J202" i="4" s="1"/>
  <c r="K202" i="4" a="1"/>
  <c r="K202" i="4" s="1"/>
  <c r="L202" i="4" a="1"/>
  <c r="L202" i="4" s="1"/>
  <c r="M202" i="4" a="1"/>
  <c r="M202" i="4" s="1"/>
  <c r="B203" i="4" a="1"/>
  <c r="B203" i="4" s="1"/>
  <c r="C203" i="4" a="1"/>
  <c r="C203" i="4" s="1"/>
  <c r="D203" i="4" a="1"/>
  <c r="D203" i="4" s="1"/>
  <c r="E203" i="4" a="1"/>
  <c r="E203" i="4" s="1"/>
  <c r="F203" i="4" a="1"/>
  <c r="F203" i="4" s="1"/>
  <c r="G203" i="4" a="1"/>
  <c r="G203" i="4" s="1"/>
  <c r="H203" i="4" a="1"/>
  <c r="H203" i="4" s="1"/>
  <c r="I203" i="4" a="1"/>
  <c r="I203" i="4" s="1"/>
  <c r="J203" i="4" a="1"/>
  <c r="J203" i="4" s="1"/>
  <c r="K203" i="4" a="1"/>
  <c r="K203" i="4" s="1"/>
  <c r="L203" i="4" a="1"/>
  <c r="L203" i="4" s="1"/>
  <c r="M203" i="4" a="1"/>
  <c r="M203" i="4" s="1"/>
  <c r="B204" i="4" a="1"/>
  <c r="B204" i="4" s="1"/>
  <c r="C204" i="4" a="1"/>
  <c r="C204" i="4" s="1"/>
  <c r="D204" i="4" a="1"/>
  <c r="D204" i="4" s="1"/>
  <c r="E204" i="4" a="1"/>
  <c r="E204" i="4" s="1"/>
  <c r="F204" i="4" a="1"/>
  <c r="F204" i="4" s="1"/>
  <c r="G204" i="4" a="1"/>
  <c r="G204" i="4" s="1"/>
  <c r="H204" i="4" a="1"/>
  <c r="H204" i="4" s="1"/>
  <c r="I204" i="4" a="1"/>
  <c r="I204" i="4" s="1"/>
  <c r="J204" i="4" a="1"/>
  <c r="J204" i="4" s="1"/>
  <c r="K204" i="4" a="1"/>
  <c r="K204" i="4" s="1"/>
  <c r="L204" i="4" a="1"/>
  <c r="L204" i="4" s="1"/>
  <c r="M204" i="4" a="1"/>
  <c r="M204" i="4" s="1"/>
  <c r="B205" i="4" a="1"/>
  <c r="B205" i="4" s="1"/>
  <c r="C205" i="4" a="1"/>
  <c r="C205" i="4" s="1"/>
  <c r="D205" i="4" a="1"/>
  <c r="D205" i="4" s="1"/>
  <c r="E205" i="4" a="1"/>
  <c r="E205" i="4" s="1"/>
  <c r="F205" i="4" a="1"/>
  <c r="F205" i="4" s="1"/>
  <c r="G205" i="4" a="1"/>
  <c r="G205" i="4" s="1"/>
  <c r="H205" i="4" a="1"/>
  <c r="H205" i="4" s="1"/>
  <c r="I205" i="4" a="1"/>
  <c r="I205" i="4" s="1"/>
  <c r="J205" i="4" a="1"/>
  <c r="J205" i="4" s="1"/>
  <c r="K205" i="4" a="1"/>
  <c r="K205" i="4" s="1"/>
  <c r="L205" i="4" a="1"/>
  <c r="L205" i="4" s="1"/>
  <c r="M205" i="4" a="1"/>
  <c r="M205" i="4" s="1"/>
  <c r="B206" i="4" a="1"/>
  <c r="B206" i="4" s="1"/>
  <c r="C206" i="4" a="1"/>
  <c r="C206" i="4" s="1"/>
  <c r="D206" i="4" a="1"/>
  <c r="D206" i="4" s="1"/>
  <c r="E206" i="4" a="1"/>
  <c r="E206" i="4" s="1"/>
  <c r="F206" i="4" a="1"/>
  <c r="F206" i="4" s="1"/>
  <c r="G206" i="4" a="1"/>
  <c r="G206" i="4" s="1"/>
  <c r="H206" i="4" a="1"/>
  <c r="H206" i="4" s="1"/>
  <c r="I206" i="4" a="1"/>
  <c r="I206" i="4" s="1"/>
  <c r="J206" i="4" a="1"/>
  <c r="J206" i="4" s="1"/>
  <c r="K206" i="4" a="1"/>
  <c r="K206" i="4" s="1"/>
  <c r="L206" i="4" a="1"/>
  <c r="L206" i="4" s="1"/>
  <c r="M206" i="4" a="1"/>
  <c r="M206" i="4" s="1"/>
  <c r="B207" i="4" a="1"/>
  <c r="B207" i="4" s="1"/>
  <c r="C207" i="4" a="1"/>
  <c r="C207" i="4" s="1"/>
  <c r="D207" i="4" a="1"/>
  <c r="D207" i="4" s="1"/>
  <c r="E207" i="4" a="1"/>
  <c r="E207" i="4" s="1"/>
  <c r="F207" i="4" a="1"/>
  <c r="F207" i="4" s="1"/>
  <c r="G207" i="4" a="1"/>
  <c r="G207" i="4" s="1"/>
  <c r="H207" i="4" a="1"/>
  <c r="H207" i="4" s="1"/>
  <c r="I207" i="4" a="1"/>
  <c r="I207" i="4" s="1"/>
  <c r="J207" i="4" a="1"/>
  <c r="J207" i="4" s="1"/>
  <c r="K207" i="4" a="1"/>
  <c r="K207" i="4" s="1"/>
  <c r="L207" i="4" a="1"/>
  <c r="L207" i="4" s="1"/>
  <c r="M207" i="4" a="1"/>
  <c r="M207" i="4" s="1"/>
  <c r="B208" i="4" a="1"/>
  <c r="B208" i="4" s="1"/>
  <c r="C208" i="4" a="1"/>
  <c r="C208" i="4" s="1"/>
  <c r="D208" i="4" a="1"/>
  <c r="D208" i="4" s="1"/>
  <c r="E208" i="4" a="1"/>
  <c r="E208" i="4" s="1"/>
  <c r="F208" i="4" a="1"/>
  <c r="F208" i="4" s="1"/>
  <c r="G208" i="4" a="1"/>
  <c r="G208" i="4" s="1"/>
  <c r="H208" i="4" a="1"/>
  <c r="H208" i="4" s="1"/>
  <c r="I208" i="4" a="1"/>
  <c r="I208" i="4" s="1"/>
  <c r="J208" i="4" a="1"/>
  <c r="J208" i="4" s="1"/>
  <c r="K208" i="4" a="1"/>
  <c r="K208" i="4" s="1"/>
  <c r="L208" i="4" a="1"/>
  <c r="L208" i="4" s="1"/>
  <c r="M208" i="4" a="1"/>
  <c r="M208" i="4" s="1"/>
  <c r="B212" i="4" a="1"/>
  <c r="B212" i="4" s="1"/>
  <c r="C212" i="4" a="1"/>
  <c r="C212" i="4" s="1"/>
  <c r="D212" i="4" a="1"/>
  <c r="D212" i="4" s="1"/>
  <c r="E212" i="4" a="1"/>
  <c r="E212" i="4" s="1"/>
  <c r="F212" i="4" a="1"/>
  <c r="F212" i="4" s="1"/>
  <c r="G212" i="4" a="1"/>
  <c r="G212" i="4" s="1"/>
  <c r="H212" i="4" a="1"/>
  <c r="H212" i="4" s="1"/>
  <c r="I212" i="4" a="1"/>
  <c r="I212" i="4" s="1"/>
  <c r="J212" i="4" a="1"/>
  <c r="J212" i="4" s="1"/>
  <c r="K212" i="4" a="1"/>
  <c r="K212" i="4" s="1"/>
  <c r="L212" i="4" a="1"/>
  <c r="L212" i="4" s="1"/>
  <c r="M212" i="4" a="1"/>
  <c r="M212" i="4" s="1"/>
  <c r="B213" i="4" a="1"/>
  <c r="B213" i="4" s="1"/>
  <c r="C213" i="4" a="1"/>
  <c r="C213" i="4" s="1"/>
  <c r="D213" i="4" a="1"/>
  <c r="D213" i="4" s="1"/>
  <c r="E213" i="4" a="1"/>
  <c r="E213" i="4" s="1"/>
  <c r="F213" i="4" a="1"/>
  <c r="F213" i="4" s="1"/>
  <c r="G213" i="4" a="1"/>
  <c r="G213" i="4" s="1"/>
  <c r="H213" i="4" a="1"/>
  <c r="H213" i="4" s="1"/>
  <c r="I213" i="4" a="1"/>
  <c r="I213" i="4" s="1"/>
  <c r="J213" i="4" a="1"/>
  <c r="J213" i="4" s="1"/>
  <c r="K213" i="4" a="1"/>
  <c r="K213" i="4" s="1"/>
  <c r="L213" i="4" a="1"/>
  <c r="L213" i="4" s="1"/>
  <c r="M213" i="4" a="1"/>
  <c r="M213" i="4" s="1"/>
  <c r="B214" i="4" a="1"/>
  <c r="B214" i="4" s="1"/>
  <c r="C214" i="4" a="1"/>
  <c r="C214" i="4" s="1"/>
  <c r="D214" i="4" a="1"/>
  <c r="D214" i="4" s="1"/>
  <c r="E214" i="4" a="1"/>
  <c r="E214" i="4" s="1"/>
  <c r="F214" i="4" a="1"/>
  <c r="F214" i="4" s="1"/>
  <c r="G214" i="4" a="1"/>
  <c r="G214" i="4" s="1"/>
  <c r="H214" i="4" a="1"/>
  <c r="H214" i="4" s="1"/>
  <c r="I214" i="4" a="1"/>
  <c r="I214" i="4" s="1"/>
  <c r="J214" i="4" a="1"/>
  <c r="J214" i="4" s="1"/>
  <c r="K214" i="4" a="1"/>
  <c r="K214" i="4" s="1"/>
  <c r="L214" i="4" a="1"/>
  <c r="L214" i="4" s="1"/>
  <c r="M214" i="4" a="1"/>
  <c r="M214" i="4" s="1"/>
  <c r="B215" i="4" a="1"/>
  <c r="B215" i="4" s="1"/>
  <c r="C215" i="4" a="1"/>
  <c r="C215" i="4" s="1"/>
  <c r="D215" i="4" a="1"/>
  <c r="D215" i="4" s="1"/>
  <c r="E215" i="4" a="1"/>
  <c r="E215" i="4" s="1"/>
  <c r="F215" i="4" a="1"/>
  <c r="F215" i="4" s="1"/>
  <c r="G215" i="4" a="1"/>
  <c r="G215" i="4" s="1"/>
  <c r="H215" i="4" a="1"/>
  <c r="H215" i="4" s="1"/>
  <c r="I215" i="4" a="1"/>
  <c r="I215" i="4" s="1"/>
  <c r="J215" i="4" a="1"/>
  <c r="J215" i="4" s="1"/>
  <c r="K215" i="4" a="1"/>
  <c r="K215" i="4" s="1"/>
  <c r="L215" i="4" a="1"/>
  <c r="L215" i="4" s="1"/>
  <c r="M215" i="4" a="1"/>
  <c r="M215" i="4" s="1"/>
  <c r="B216" i="4" a="1"/>
  <c r="B216" i="4" s="1"/>
  <c r="C216" i="4" a="1"/>
  <c r="C216" i="4" s="1"/>
  <c r="D216" i="4" a="1"/>
  <c r="D216" i="4" s="1"/>
  <c r="E216" i="4" a="1"/>
  <c r="E216" i="4" s="1"/>
  <c r="F216" i="4" a="1"/>
  <c r="F216" i="4" s="1"/>
  <c r="G216" i="4" a="1"/>
  <c r="G216" i="4" s="1"/>
  <c r="H216" i="4" a="1"/>
  <c r="H216" i="4" s="1"/>
  <c r="I216" i="4" a="1"/>
  <c r="I216" i="4" s="1"/>
  <c r="J216" i="4" a="1"/>
  <c r="J216" i="4" s="1"/>
  <c r="K216" i="4" a="1"/>
  <c r="K216" i="4" s="1"/>
  <c r="L216" i="4" a="1"/>
  <c r="L216" i="4" s="1"/>
  <c r="M216" i="4" a="1"/>
  <c r="M216" i="4" s="1"/>
  <c r="B217" i="4" a="1"/>
  <c r="B217" i="4" s="1"/>
  <c r="C217" i="4" a="1"/>
  <c r="C217" i="4" s="1"/>
  <c r="D217" i="4" a="1"/>
  <c r="D217" i="4" s="1"/>
  <c r="E217" i="4" a="1"/>
  <c r="E217" i="4" s="1"/>
  <c r="F217" i="4" a="1"/>
  <c r="F217" i="4" s="1"/>
  <c r="G217" i="4" a="1"/>
  <c r="G217" i="4" s="1"/>
  <c r="H217" i="4" a="1"/>
  <c r="H217" i="4" s="1"/>
  <c r="I217" i="4" a="1"/>
  <c r="I217" i="4" s="1"/>
  <c r="J217" i="4" a="1"/>
  <c r="J217" i="4" s="1"/>
  <c r="K217" i="4" a="1"/>
  <c r="K217" i="4" s="1"/>
  <c r="L217" i="4" a="1"/>
  <c r="L217" i="4" s="1"/>
  <c r="M217" i="4" a="1"/>
  <c r="M217" i="4" s="1"/>
  <c r="B218" i="4" a="1"/>
  <c r="B218" i="4" s="1"/>
  <c r="C218" i="4" a="1"/>
  <c r="C218" i="4" s="1"/>
  <c r="D218" i="4" a="1"/>
  <c r="D218" i="4" s="1"/>
  <c r="E218" i="4" a="1"/>
  <c r="E218" i="4" s="1"/>
  <c r="F218" i="4" a="1"/>
  <c r="F218" i="4" s="1"/>
  <c r="G218" i="4" a="1"/>
  <c r="G218" i="4" s="1"/>
  <c r="H218" i="4" a="1"/>
  <c r="H218" i="4" s="1"/>
  <c r="I218" i="4" a="1"/>
  <c r="I218" i="4" s="1"/>
  <c r="J218" i="4" a="1"/>
  <c r="J218" i="4" s="1"/>
  <c r="K218" i="4" a="1"/>
  <c r="K218" i="4" s="1"/>
  <c r="L218" i="4" a="1"/>
  <c r="L218" i="4" s="1"/>
  <c r="M218" i="4" a="1"/>
  <c r="M218" i="4" s="1"/>
  <c r="B219" i="4" a="1"/>
  <c r="B219" i="4" s="1"/>
  <c r="C219" i="4" a="1"/>
  <c r="C219" i="4" s="1"/>
  <c r="D219" i="4" a="1"/>
  <c r="D219" i="4" s="1"/>
  <c r="E219" i="4" a="1"/>
  <c r="E219" i="4" s="1"/>
  <c r="F219" i="4" a="1"/>
  <c r="F219" i="4" s="1"/>
  <c r="G219" i="4" a="1"/>
  <c r="G219" i="4" s="1"/>
  <c r="H219" i="4" a="1"/>
  <c r="H219" i="4" s="1"/>
  <c r="I219" i="4" a="1"/>
  <c r="I219" i="4" s="1"/>
  <c r="J219" i="4" a="1"/>
  <c r="J219" i="4" s="1"/>
  <c r="K219" i="4" a="1"/>
  <c r="K219" i="4" s="1"/>
  <c r="L219" i="4" a="1"/>
  <c r="L219" i="4" s="1"/>
  <c r="M219" i="4" a="1"/>
  <c r="M219" i="4" s="1"/>
  <c r="B223" i="4" a="1"/>
  <c r="B223" i="4" s="1"/>
  <c r="C223" i="4" a="1"/>
  <c r="C223" i="4" s="1"/>
  <c r="D223" i="4" a="1"/>
  <c r="D223" i="4" s="1"/>
  <c r="E223" i="4" a="1"/>
  <c r="E223" i="4" s="1"/>
  <c r="F223" i="4" a="1"/>
  <c r="F223" i="4" s="1"/>
  <c r="G223" i="4" a="1"/>
  <c r="G223" i="4" s="1"/>
  <c r="H223" i="4" a="1"/>
  <c r="H223" i="4" s="1"/>
  <c r="I223" i="4" a="1"/>
  <c r="I223" i="4" s="1"/>
  <c r="J223" i="4" a="1"/>
  <c r="J223" i="4" s="1"/>
  <c r="K223" i="4" a="1"/>
  <c r="K223" i="4" s="1"/>
  <c r="L223" i="4" a="1"/>
  <c r="L223" i="4" s="1"/>
  <c r="M223" i="4" a="1"/>
  <c r="M223" i="4" s="1"/>
  <c r="B224" i="4" a="1"/>
  <c r="B224" i="4" s="1"/>
  <c r="C224" i="4" a="1"/>
  <c r="C224" i="4" s="1"/>
  <c r="D224" i="4" a="1"/>
  <c r="D224" i="4" s="1"/>
  <c r="E224" i="4" a="1"/>
  <c r="E224" i="4" s="1"/>
  <c r="F224" i="4" a="1"/>
  <c r="F224" i="4" s="1"/>
  <c r="G224" i="4" a="1"/>
  <c r="G224" i="4" s="1"/>
  <c r="H224" i="4" a="1"/>
  <c r="H224" i="4" s="1"/>
  <c r="I224" i="4" a="1"/>
  <c r="I224" i="4" s="1"/>
  <c r="J224" i="4" a="1"/>
  <c r="J224" i="4" s="1"/>
  <c r="K224" i="4" a="1"/>
  <c r="K224" i="4" s="1"/>
  <c r="L224" i="4" a="1"/>
  <c r="L224" i="4" s="1"/>
  <c r="M224" i="4" a="1"/>
  <c r="M224" i="4" s="1"/>
  <c r="B225" i="4" a="1"/>
  <c r="B225" i="4" s="1"/>
  <c r="C225" i="4" a="1"/>
  <c r="C225" i="4" s="1"/>
  <c r="D225" i="4" a="1"/>
  <c r="D225" i="4" s="1"/>
  <c r="E225" i="4" a="1"/>
  <c r="E225" i="4" s="1"/>
  <c r="F225" i="4" a="1"/>
  <c r="F225" i="4" s="1"/>
  <c r="G225" i="4" a="1"/>
  <c r="G225" i="4" s="1"/>
  <c r="H225" i="4" a="1"/>
  <c r="H225" i="4" s="1"/>
  <c r="I225" i="4" a="1"/>
  <c r="I225" i="4" s="1"/>
  <c r="J225" i="4" a="1"/>
  <c r="J225" i="4" s="1"/>
  <c r="K225" i="4" a="1"/>
  <c r="K225" i="4" s="1"/>
  <c r="L225" i="4" a="1"/>
  <c r="L225" i="4" s="1"/>
  <c r="M225" i="4" a="1"/>
  <c r="M225" i="4" s="1"/>
  <c r="B226" i="4" a="1"/>
  <c r="B226" i="4" s="1"/>
  <c r="C226" i="4" a="1"/>
  <c r="C226" i="4" s="1"/>
  <c r="D226" i="4" a="1"/>
  <c r="D226" i="4" s="1"/>
  <c r="E226" i="4" a="1"/>
  <c r="E226" i="4" s="1"/>
  <c r="F226" i="4" a="1"/>
  <c r="F226" i="4" s="1"/>
  <c r="G226" i="4" a="1"/>
  <c r="G226" i="4" s="1"/>
  <c r="H226" i="4" a="1"/>
  <c r="H226" i="4" s="1"/>
  <c r="I226" i="4" a="1"/>
  <c r="I226" i="4" s="1"/>
  <c r="J226" i="4" a="1"/>
  <c r="J226" i="4" s="1"/>
  <c r="K226" i="4" a="1"/>
  <c r="K226" i="4" s="1"/>
  <c r="L226" i="4" a="1"/>
  <c r="L226" i="4" s="1"/>
  <c r="M226" i="4" a="1"/>
  <c r="M226" i="4" s="1"/>
  <c r="B227" i="4" a="1"/>
  <c r="B227" i="4" s="1"/>
  <c r="C227" i="4" a="1"/>
  <c r="C227" i="4" s="1"/>
  <c r="D227" i="4" a="1"/>
  <c r="D227" i="4" s="1"/>
  <c r="E227" i="4" a="1"/>
  <c r="E227" i="4" s="1"/>
  <c r="F227" i="4" a="1"/>
  <c r="F227" i="4" s="1"/>
  <c r="G227" i="4" a="1"/>
  <c r="G227" i="4" s="1"/>
  <c r="H227" i="4" a="1"/>
  <c r="H227" i="4" s="1"/>
  <c r="I227" i="4" a="1"/>
  <c r="I227" i="4" s="1"/>
  <c r="J227" i="4" a="1"/>
  <c r="J227" i="4" s="1"/>
  <c r="K227" i="4" a="1"/>
  <c r="K227" i="4" s="1"/>
  <c r="L227" i="4" a="1"/>
  <c r="L227" i="4" s="1"/>
  <c r="M227" i="4" a="1"/>
  <c r="M227" i="4" s="1"/>
  <c r="B228" i="4" a="1"/>
  <c r="B228" i="4" s="1"/>
  <c r="C228" i="4" a="1"/>
  <c r="C228" i="4" s="1"/>
  <c r="D228" i="4" a="1"/>
  <c r="D228" i="4" s="1"/>
  <c r="E228" i="4" a="1"/>
  <c r="E228" i="4" s="1"/>
  <c r="F228" i="4" a="1"/>
  <c r="F228" i="4" s="1"/>
  <c r="G228" i="4" a="1"/>
  <c r="G228" i="4" s="1"/>
  <c r="H228" i="4" a="1"/>
  <c r="H228" i="4" s="1"/>
  <c r="I228" i="4" a="1"/>
  <c r="I228" i="4" s="1"/>
  <c r="J228" i="4" a="1"/>
  <c r="J228" i="4" s="1"/>
  <c r="K228" i="4" a="1"/>
  <c r="K228" i="4" s="1"/>
  <c r="L228" i="4" a="1"/>
  <c r="L228" i="4" s="1"/>
  <c r="M228" i="4" a="1"/>
  <c r="M228" i="4" s="1"/>
  <c r="B229" i="4" a="1"/>
  <c r="B229" i="4" s="1"/>
  <c r="C229" i="4" a="1"/>
  <c r="C229" i="4" s="1"/>
  <c r="D229" i="4" a="1"/>
  <c r="D229" i="4" s="1"/>
  <c r="E229" i="4" a="1"/>
  <c r="E229" i="4" s="1"/>
  <c r="F229" i="4" a="1"/>
  <c r="F229" i="4" s="1"/>
  <c r="G229" i="4" a="1"/>
  <c r="G229" i="4" s="1"/>
  <c r="H229" i="4" a="1"/>
  <c r="H229" i="4" s="1"/>
  <c r="I229" i="4" a="1"/>
  <c r="I229" i="4" s="1"/>
  <c r="J229" i="4" a="1"/>
  <c r="J229" i="4" s="1"/>
  <c r="K229" i="4" a="1"/>
  <c r="K229" i="4" s="1"/>
  <c r="L229" i="4" a="1"/>
  <c r="L229" i="4" s="1"/>
  <c r="M229" i="4" a="1"/>
  <c r="M229" i="4" s="1"/>
  <c r="B230" i="4" a="1"/>
  <c r="B230" i="4" s="1"/>
  <c r="C230" i="4" a="1"/>
  <c r="C230" i="4" s="1"/>
  <c r="D230" i="4" a="1"/>
  <c r="D230" i="4" s="1"/>
  <c r="E230" i="4" a="1"/>
  <c r="E230" i="4" s="1"/>
  <c r="F230" i="4" a="1"/>
  <c r="F230" i="4" s="1"/>
  <c r="G230" i="4" a="1"/>
  <c r="G230" i="4" s="1"/>
  <c r="H230" i="4" a="1"/>
  <c r="H230" i="4" s="1"/>
  <c r="I230" i="4" a="1"/>
  <c r="I230" i="4" s="1"/>
  <c r="J230" i="4" a="1"/>
  <c r="J230" i="4" s="1"/>
  <c r="K230" i="4" a="1"/>
  <c r="K230" i="4" s="1"/>
  <c r="L230" i="4" a="1"/>
  <c r="L230" i="4" s="1"/>
  <c r="M230" i="4" a="1"/>
  <c r="M230" i="4" s="1"/>
  <c r="L2" i="1"/>
  <c r="L3" i="1"/>
  <c r="L4" i="1"/>
  <c r="L5" i="1"/>
  <c r="L6" i="1"/>
  <c r="L7" i="1"/>
  <c r="J420" i="6" s="1"/>
  <c r="L8" i="1"/>
  <c r="J1226" i="6" s="1"/>
  <c r="L9" i="1"/>
  <c r="J1598" i="6" s="1"/>
  <c r="L10" i="1"/>
  <c r="J1722" i="6" s="1"/>
  <c r="L11" i="1"/>
  <c r="J1824" i="6" s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J1926" i="6"/>
  <c r="J628" i="6" l="1"/>
  <c r="J1596" i="6"/>
  <c r="J1807" i="6"/>
  <c r="J1925" i="6"/>
  <c r="J1910" i="6"/>
  <c r="J1572" i="6"/>
  <c r="J1079" i="6"/>
  <c r="F239" i="5"/>
  <c r="J1573" i="6"/>
  <c r="J1893" i="6"/>
  <c r="I126" i="5"/>
  <c r="J1719" i="6"/>
  <c r="J264" i="6"/>
  <c r="J1128" i="6"/>
  <c r="J1806" i="6"/>
  <c r="J1701" i="6"/>
  <c r="J1991" i="6"/>
  <c r="J1791" i="6"/>
  <c r="J1684" i="6"/>
  <c r="J1543" i="6"/>
  <c r="J1026" i="6"/>
  <c r="J192" i="5"/>
  <c r="J1989" i="6"/>
  <c r="J1892" i="6"/>
  <c r="J1789" i="6"/>
  <c r="J1683" i="6"/>
  <c r="J1513" i="6"/>
  <c r="J973" i="6"/>
  <c r="I150" i="5"/>
  <c r="D3" i="5"/>
  <c r="J1703" i="6"/>
  <c r="J1875" i="6"/>
  <c r="H94" i="5"/>
  <c r="J1823" i="6"/>
  <c r="J1178" i="6"/>
  <c r="J71" i="6"/>
  <c r="J1909" i="6"/>
  <c r="J1976" i="6"/>
  <c r="J1771" i="6"/>
  <c r="J1661" i="6"/>
  <c r="J1472" i="6"/>
  <c r="J921" i="6"/>
  <c r="G56" i="5"/>
  <c r="J1974" i="6"/>
  <c r="J1874" i="6"/>
  <c r="J1770" i="6"/>
  <c r="J1659" i="6"/>
  <c r="J1433" i="6"/>
  <c r="J864" i="6"/>
  <c r="I33" i="5"/>
  <c r="J1960" i="6"/>
  <c r="J783" i="6"/>
  <c r="J1859" i="6"/>
  <c r="J1755" i="6"/>
  <c r="J1639" i="6"/>
  <c r="J1393" i="6"/>
  <c r="J1959" i="6"/>
  <c r="J1857" i="6"/>
  <c r="J1754" i="6"/>
  <c r="J1638" i="6"/>
  <c r="J1350" i="6"/>
  <c r="J705" i="6"/>
  <c r="E133" i="5"/>
  <c r="I257" i="5"/>
  <c r="J486" i="6"/>
  <c r="J837" i="6"/>
  <c r="J1107" i="6"/>
  <c r="J1251" i="6"/>
  <c r="J1377" i="6"/>
  <c r="J1457" i="6"/>
  <c r="J1568" i="6"/>
  <c r="J1635" i="6"/>
  <c r="J1716" i="6"/>
  <c r="J1767" i="6"/>
  <c r="J1818" i="6"/>
  <c r="J1854" i="6"/>
  <c r="J1938" i="6"/>
  <c r="J1971" i="6"/>
  <c r="J2000" i="6"/>
  <c r="J1508" i="6"/>
  <c r="J899" i="6"/>
  <c r="J1335" i="6"/>
  <c r="J1536" i="6"/>
  <c r="J1653" i="6"/>
  <c r="J1783" i="6"/>
  <c r="J1871" i="6"/>
  <c r="J1986" i="6"/>
  <c r="J1542" i="6"/>
  <c r="E220" i="5"/>
  <c r="J597" i="6"/>
  <c r="J1003" i="6"/>
  <c r="J1698" i="6"/>
  <c r="J1887" i="6"/>
  <c r="J1349" i="6"/>
  <c r="B81" i="5"/>
  <c r="J363" i="6"/>
  <c r="J953" i="6"/>
  <c r="J1206" i="6"/>
  <c r="J1751" i="6"/>
  <c r="J1922" i="6"/>
  <c r="J1428" i="6"/>
  <c r="I9" i="5"/>
  <c r="D178" i="5"/>
  <c r="J224" i="6"/>
  <c r="J681" i="6"/>
  <c r="J764" i="6"/>
  <c r="J1058" i="6"/>
  <c r="J1156" i="6"/>
  <c r="J1295" i="6"/>
  <c r="J1421" i="6"/>
  <c r="J1497" i="6"/>
  <c r="J1591" i="6"/>
  <c r="J1611" i="6"/>
  <c r="J1674" i="6"/>
  <c r="J1732" i="6"/>
  <c r="J1802" i="6"/>
  <c r="J1835" i="6"/>
  <c r="J1905" i="6"/>
  <c r="J1955" i="6"/>
  <c r="J1385" i="6"/>
  <c r="J781" i="6"/>
  <c r="J846" i="6"/>
  <c r="J907" i="6"/>
  <c r="J961" i="6"/>
  <c r="J1015" i="6"/>
  <c r="J1065" i="6"/>
  <c r="J1115" i="6"/>
  <c r="J1165" i="6"/>
  <c r="J1213" i="6"/>
  <c r="J1262" i="6"/>
  <c r="J1304" i="6"/>
  <c r="J1471" i="6"/>
  <c r="J69" i="6"/>
  <c r="J1945" i="6"/>
  <c r="J1842" i="6"/>
  <c r="J1739" i="6"/>
  <c r="J1621" i="6"/>
  <c r="J1307" i="6"/>
  <c r="J1941" i="6"/>
  <c r="J1841" i="6"/>
  <c r="J1737" i="6"/>
  <c r="J1620" i="6"/>
  <c r="J1263" i="6"/>
  <c r="J527" i="6"/>
  <c r="K189" i="5"/>
  <c r="K90" i="5"/>
  <c r="J1988" i="6"/>
  <c r="J1973" i="6"/>
  <c r="J1958" i="6"/>
  <c r="J1940" i="6"/>
  <c r="J1924" i="6"/>
  <c r="J1908" i="6"/>
  <c r="J1889" i="6"/>
  <c r="J1873" i="6"/>
  <c r="J1856" i="6"/>
  <c r="J1840" i="6"/>
  <c r="J1821" i="6"/>
  <c r="J1804" i="6"/>
  <c r="J1788" i="6"/>
  <c r="J1769" i="6"/>
  <c r="J1753" i="6"/>
  <c r="J1736" i="6"/>
  <c r="J1718" i="6"/>
  <c r="J1700" i="6"/>
  <c r="J1677" i="6"/>
  <c r="J1658" i="6"/>
  <c r="J1637" i="6"/>
  <c r="J1614" i="6"/>
  <c r="J1595" i="6"/>
  <c r="J1571" i="6"/>
  <c r="J1539" i="6"/>
  <c r="J1501" i="6"/>
  <c r="J1470" i="6"/>
  <c r="J1427" i="6"/>
  <c r="J1383" i="6"/>
  <c r="J1343" i="6"/>
  <c r="J1300" i="6"/>
  <c r="J1256" i="6"/>
  <c r="J1212" i="6"/>
  <c r="J1164" i="6"/>
  <c r="J1113" i="6"/>
  <c r="J1064" i="6"/>
  <c r="J1010" i="6"/>
  <c r="J957" i="6"/>
  <c r="J906" i="6"/>
  <c r="J844" i="6"/>
  <c r="J771" i="6"/>
  <c r="J702" i="6"/>
  <c r="J607" i="6"/>
  <c r="J511" i="6"/>
  <c r="J382" i="6"/>
  <c r="J243" i="6"/>
  <c r="J48" i="6"/>
  <c r="H228" i="5"/>
  <c r="J189" i="5"/>
  <c r="J137" i="5"/>
  <c r="I84" i="5"/>
  <c r="E24" i="5"/>
  <c r="J704" i="6"/>
  <c r="J608" i="6"/>
  <c r="J512" i="6"/>
  <c r="J413" i="6"/>
  <c r="J262" i="6"/>
  <c r="C230" i="5"/>
  <c r="H148" i="5"/>
  <c r="F31" i="5"/>
  <c r="J1987" i="6"/>
  <c r="J1972" i="6"/>
  <c r="J1957" i="6"/>
  <c r="J1939" i="6"/>
  <c r="J1923" i="6"/>
  <c r="J1907" i="6"/>
  <c r="J1888" i="6"/>
  <c r="J1872" i="6"/>
  <c r="J1855" i="6"/>
  <c r="J1837" i="6"/>
  <c r="J1819" i="6"/>
  <c r="J1803" i="6"/>
  <c r="J1784" i="6"/>
  <c r="J1768" i="6"/>
  <c r="J1752" i="6"/>
  <c r="J1735" i="6"/>
  <c r="J1717" i="6"/>
  <c r="J1699" i="6"/>
  <c r="J1676" i="6"/>
  <c r="J1657" i="6"/>
  <c r="J1636" i="6"/>
  <c r="J1613" i="6"/>
  <c r="J1592" i="6"/>
  <c r="J1569" i="6"/>
  <c r="J1537" i="6"/>
  <c r="J1500" i="6"/>
  <c r="J1466" i="6"/>
  <c r="J1422" i="6"/>
  <c r="J1379" i="6"/>
  <c r="J1336" i="6"/>
  <c r="J1299" i="6"/>
  <c r="J1255" i="6"/>
  <c r="J1207" i="6"/>
  <c r="J1157" i="6"/>
  <c r="J1108" i="6"/>
  <c r="J1062" i="6"/>
  <c r="J1008" i="6"/>
  <c r="J955" i="6"/>
  <c r="J901" i="6"/>
  <c r="J839" i="6"/>
  <c r="J770" i="6"/>
  <c r="J685" i="6"/>
  <c r="J600" i="6"/>
  <c r="J504" i="6"/>
  <c r="J380" i="6"/>
  <c r="J241" i="6"/>
  <c r="C259" i="5"/>
  <c r="F225" i="5"/>
  <c r="I185" i="5"/>
  <c r="C135" i="5"/>
  <c r="E83" i="5"/>
  <c r="F16" i="5"/>
  <c r="J194" i="6"/>
  <c r="E175" i="5"/>
  <c r="E3" i="5"/>
  <c r="J1562" i="6"/>
  <c r="J1452" i="6"/>
  <c r="J1285" i="6"/>
  <c r="J1200" i="6"/>
  <c r="J1105" i="6"/>
  <c r="J829" i="6"/>
  <c r="J350" i="6"/>
  <c r="H253" i="5"/>
  <c r="G64" i="5"/>
  <c r="J1997" i="6"/>
  <c r="J1983" i="6"/>
  <c r="J1967" i="6"/>
  <c r="J1951" i="6"/>
  <c r="J1935" i="6"/>
  <c r="J1919" i="6"/>
  <c r="J1900" i="6"/>
  <c r="J1883" i="6"/>
  <c r="J1866" i="6"/>
  <c r="J1848" i="6"/>
  <c r="J1831" i="6"/>
  <c r="J1815" i="6"/>
  <c r="J1796" i="6"/>
  <c r="J1780" i="6"/>
  <c r="J1764" i="6"/>
  <c r="J1745" i="6"/>
  <c r="J1729" i="6"/>
  <c r="J1710" i="6"/>
  <c r="J1689" i="6"/>
  <c r="J1671" i="6"/>
  <c r="J1650" i="6"/>
  <c r="J1626" i="6"/>
  <c r="J1608" i="6"/>
  <c r="J1586" i="6"/>
  <c r="J1557" i="6"/>
  <c r="J1523" i="6"/>
  <c r="J1492" i="6"/>
  <c r="J1451" i="6"/>
  <c r="J1407" i="6"/>
  <c r="J1369" i="6"/>
  <c r="J1326" i="6"/>
  <c r="J1280" i="6"/>
  <c r="J1237" i="6"/>
  <c r="J1191" i="6"/>
  <c r="J1141" i="6"/>
  <c r="J1092" i="6"/>
  <c r="J1040" i="6"/>
  <c r="J987" i="6"/>
  <c r="J932" i="6"/>
  <c r="J878" i="6"/>
  <c r="J817" i="6"/>
  <c r="J739" i="6"/>
  <c r="J665" i="6"/>
  <c r="J566" i="6"/>
  <c r="J463" i="6"/>
  <c r="J319" i="6"/>
  <c r="J159" i="6"/>
  <c r="E253" i="5"/>
  <c r="J211" i="5"/>
  <c r="E167" i="5"/>
  <c r="B114" i="5"/>
  <c r="B58" i="5"/>
  <c r="C3" i="5"/>
  <c r="I16" i="5"/>
  <c r="J1999" i="6"/>
  <c r="J1921" i="6"/>
  <c r="J1833" i="6"/>
  <c r="J1749" i="6"/>
  <c r="J1632" i="6"/>
  <c r="J1535" i="6"/>
  <c r="J1328" i="6"/>
  <c r="J1106" i="6"/>
  <c r="J836" i="6"/>
  <c r="J479" i="6"/>
  <c r="J64" i="5"/>
  <c r="J1998" i="6"/>
  <c r="J1936" i="6"/>
  <c r="J1849" i="6"/>
  <c r="J1765" i="6"/>
  <c r="J1692" i="6"/>
  <c r="J1587" i="6"/>
  <c r="J1327" i="6"/>
  <c r="J1001" i="6"/>
  <c r="J180" i="6"/>
  <c r="J1996" i="6"/>
  <c r="J1981" i="6"/>
  <c r="J1965" i="6"/>
  <c r="J1950" i="6"/>
  <c r="J1934" i="6"/>
  <c r="J1915" i="6"/>
  <c r="J1898" i="6"/>
  <c r="J1881" i="6"/>
  <c r="J1863" i="6"/>
  <c r="J1847" i="6"/>
  <c r="J1830" i="6"/>
  <c r="J1814" i="6"/>
  <c r="J1795" i="6"/>
  <c r="J1779" i="6"/>
  <c r="J1763" i="6"/>
  <c r="J1744" i="6"/>
  <c r="J1728" i="6"/>
  <c r="J1709" i="6"/>
  <c r="J1688" i="6"/>
  <c r="J1670" i="6"/>
  <c r="J1647" i="6"/>
  <c r="J1625" i="6"/>
  <c r="J1607" i="6"/>
  <c r="J1583" i="6"/>
  <c r="J1556" i="6"/>
  <c r="J1521" i="6"/>
  <c r="J1487" i="6"/>
  <c r="J1448" i="6"/>
  <c r="J1405" i="6"/>
  <c r="J1362" i="6"/>
  <c r="J1323" i="6"/>
  <c r="J1278" i="6"/>
  <c r="J1236" i="6"/>
  <c r="J1185" i="6"/>
  <c r="J1137" i="6"/>
  <c r="J1091" i="6"/>
  <c r="J1038" i="6"/>
  <c r="J986" i="6"/>
  <c r="J931" i="6"/>
  <c r="J877" i="6"/>
  <c r="J810" i="6"/>
  <c r="J734" i="6"/>
  <c r="J645" i="6"/>
  <c r="J556" i="6"/>
  <c r="J462" i="6"/>
  <c r="J317" i="6"/>
  <c r="J158" i="6"/>
  <c r="E244" i="5"/>
  <c r="I204" i="5"/>
  <c r="J166" i="5"/>
  <c r="H113" i="5"/>
  <c r="H56" i="5"/>
  <c r="J1985" i="6"/>
  <c r="J1902" i="6"/>
  <c r="J1817" i="6"/>
  <c r="J1715" i="6"/>
  <c r="J1610" i="6"/>
  <c r="J1494" i="6"/>
  <c r="J1286" i="6"/>
  <c r="J1056" i="6"/>
  <c r="J673" i="6"/>
  <c r="E219" i="5"/>
  <c r="J1968" i="6"/>
  <c r="J1885" i="6"/>
  <c r="J1797" i="6"/>
  <c r="J1713" i="6"/>
  <c r="J1631" i="6"/>
  <c r="J1408" i="6"/>
  <c r="J1055" i="6"/>
  <c r="J666" i="6"/>
  <c r="H126" i="5"/>
  <c r="J1994" i="6"/>
  <c r="J1949" i="6"/>
  <c r="J1913" i="6"/>
  <c r="J1880" i="6"/>
  <c r="J1845" i="6"/>
  <c r="J1811" i="6"/>
  <c r="J1794" i="6"/>
  <c r="J1778" i="6"/>
  <c r="J1761" i="6"/>
  <c r="J1743" i="6"/>
  <c r="J1725" i="6"/>
  <c r="J1706" i="6"/>
  <c r="J1687" i="6"/>
  <c r="J1667" i="6"/>
  <c r="J1646" i="6"/>
  <c r="J1624" i="6"/>
  <c r="J1605" i="6"/>
  <c r="J1579" i="6"/>
  <c r="J1555" i="6"/>
  <c r="J1519" i="6"/>
  <c r="J1480" i="6"/>
  <c r="J1447" i="6"/>
  <c r="J1400" i="6"/>
  <c r="J1357" i="6"/>
  <c r="J1321" i="6"/>
  <c r="J1277" i="6"/>
  <c r="J1233" i="6"/>
  <c r="J1183" i="6"/>
  <c r="J1134" i="6"/>
  <c r="J1085" i="6"/>
  <c r="J1034" i="6"/>
  <c r="J979" i="6"/>
  <c r="J927" i="6"/>
  <c r="J875" i="6"/>
  <c r="J803" i="6"/>
  <c r="J733" i="6"/>
  <c r="J642" i="6"/>
  <c r="J554" i="6"/>
  <c r="J437" i="6"/>
  <c r="J301" i="6"/>
  <c r="J153" i="6"/>
  <c r="J243" i="5"/>
  <c r="F204" i="5"/>
  <c r="H159" i="5"/>
  <c r="J108" i="5"/>
  <c r="J1937" i="6"/>
  <c r="J1850" i="6"/>
  <c r="J1766" i="6"/>
  <c r="J1673" i="6"/>
  <c r="J1590" i="6"/>
  <c r="J1419" i="6"/>
  <c r="J1205" i="6"/>
  <c r="J948" i="6"/>
  <c r="J588" i="6"/>
  <c r="I256" i="5"/>
  <c r="J1920" i="6"/>
  <c r="J1832" i="6"/>
  <c r="J1748" i="6"/>
  <c r="J1651" i="6"/>
  <c r="J1530" i="6"/>
  <c r="J1248" i="6"/>
  <c r="J893" i="6"/>
  <c r="J573" i="6"/>
  <c r="F172" i="5"/>
  <c r="J818" i="6"/>
  <c r="J849" i="6"/>
  <c r="J882" i="6"/>
  <c r="J908" i="6"/>
  <c r="J937" i="6"/>
  <c r="J962" i="6"/>
  <c r="J988" i="6"/>
  <c r="J1016" i="6"/>
  <c r="J1041" i="6"/>
  <c r="J1069" i="6"/>
  <c r="J1093" i="6"/>
  <c r="J1119" i="6"/>
  <c r="J1142" i="6"/>
  <c r="J1166" i="6"/>
  <c r="J1192" i="6"/>
  <c r="J1215" i="6"/>
  <c r="J1241" i="6"/>
  <c r="J1264" i="6"/>
  <c r="J1290" i="6"/>
  <c r="J1313" i="6"/>
  <c r="J1337" i="6"/>
  <c r="J1363" i="6"/>
  <c r="J1386" i="6"/>
  <c r="J1412" i="6"/>
  <c r="J1435" i="6"/>
  <c r="J1461" i="6"/>
  <c r="J1483" i="6"/>
  <c r="J1505" i="6"/>
  <c r="J1526" i="6"/>
  <c r="J1544" i="6"/>
  <c r="J1564" i="6"/>
  <c r="J1584" i="6"/>
  <c r="J1600" i="6"/>
  <c r="J1617" i="6"/>
  <c r="J1633" i="6"/>
  <c r="J1648" i="6"/>
  <c r="J1663" i="6"/>
  <c r="J1679" i="6"/>
  <c r="J1696" i="6"/>
  <c r="J1711" i="6"/>
  <c r="J1727" i="6"/>
  <c r="J1742" i="6"/>
  <c r="J1757" i="6"/>
  <c r="J1775" i="6"/>
  <c r="J1790" i="6"/>
  <c r="J1805" i="6"/>
  <c r="J1820" i="6"/>
  <c r="J1836" i="6"/>
  <c r="J1853" i="6"/>
  <c r="J1868" i="6"/>
  <c r="J1884" i="6"/>
  <c r="J1899" i="6"/>
  <c r="J1914" i="6"/>
  <c r="J1932" i="6"/>
  <c r="J1947" i="6"/>
  <c r="J1961" i="6"/>
  <c r="J1975" i="6"/>
  <c r="J1019" i="6"/>
  <c r="J1047" i="6"/>
  <c r="J1071" i="6"/>
  <c r="J1094" i="6"/>
  <c r="J1120" i="6"/>
  <c r="J1143" i="6"/>
  <c r="J1169" i="6"/>
  <c r="J1193" i="6"/>
  <c r="J1219" i="6"/>
  <c r="J1242" i="6"/>
  <c r="J1265" i="6"/>
  <c r="J1291" i="6"/>
  <c r="J1314" i="6"/>
  <c r="J1340" i="6"/>
  <c r="J1364" i="6"/>
  <c r="J1391" i="6"/>
  <c r="J1413" i="6"/>
  <c r="J1437" i="6"/>
  <c r="J1464" i="6"/>
  <c r="J1484" i="6"/>
  <c r="J1506" i="6"/>
  <c r="J1527" i="6"/>
  <c r="J1548" i="6"/>
  <c r="J1565" i="6"/>
  <c r="J1585" i="6"/>
  <c r="J1601" i="6"/>
  <c r="J1619" i="6"/>
  <c r="J1634" i="6"/>
  <c r="J1649" i="6"/>
  <c r="J1664" i="6"/>
  <c r="J1680" i="6"/>
  <c r="J1697" i="6"/>
  <c r="J1712" i="6"/>
  <c r="J724" i="6"/>
  <c r="J759" i="6"/>
  <c r="J789" i="6"/>
  <c r="J822" i="6"/>
  <c r="J856" i="6"/>
  <c r="J885" i="6"/>
  <c r="J915" i="6"/>
  <c r="J941" i="6"/>
  <c r="J969" i="6"/>
  <c r="J993" i="6"/>
  <c r="J1020" i="6"/>
  <c r="J1048" i="6"/>
  <c r="J1072" i="6"/>
  <c r="J1098" i="6"/>
  <c r="J1121" i="6"/>
  <c r="J1147" i="6"/>
  <c r="J1170" i="6"/>
  <c r="J1194" i="6"/>
  <c r="J1220" i="6"/>
  <c r="J1243" i="6"/>
  <c r="J1269" i="6"/>
  <c r="J1293" i="6"/>
  <c r="J1320" i="6"/>
  <c r="J1341" i="6"/>
  <c r="J1365" i="6"/>
  <c r="J1392" i="6"/>
  <c r="J1415" i="6"/>
  <c r="J1441" i="6"/>
  <c r="J1465" i="6"/>
  <c r="J1485" i="6"/>
  <c r="J1507" i="6"/>
  <c r="J1529" i="6"/>
  <c r="J1549" i="6"/>
  <c r="J695" i="6"/>
  <c r="J726" i="6"/>
  <c r="J762" i="6"/>
  <c r="J791" i="6"/>
  <c r="J825" i="6"/>
  <c r="J857" i="6"/>
  <c r="J891" i="6"/>
  <c r="J916" i="6"/>
  <c r="J942" i="6"/>
  <c r="J971" i="6"/>
  <c r="J995" i="6"/>
  <c r="J1023" i="6"/>
  <c r="J1049" i="6"/>
  <c r="J1076" i="6"/>
  <c r="J1099" i="6"/>
  <c r="J1123" i="6"/>
  <c r="J1149" i="6"/>
  <c r="J1171" i="6"/>
  <c r="J1197" i="6"/>
  <c r="J1221" i="6"/>
  <c r="B3" i="5"/>
  <c r="B23" i="5"/>
  <c r="B50" i="5"/>
  <c r="J77" i="5"/>
  <c r="G100" i="5"/>
  <c r="G125" i="5"/>
  <c r="B147" i="5"/>
  <c r="H166" i="5"/>
  <c r="F185" i="5"/>
  <c r="E202" i="5"/>
  <c r="D219" i="5"/>
  <c r="D237" i="5"/>
  <c r="D253" i="5"/>
  <c r="J47" i="6"/>
  <c r="J148" i="6"/>
  <c r="J222" i="6"/>
  <c r="J285" i="6"/>
  <c r="J349" i="6"/>
  <c r="J405" i="6"/>
  <c r="J460" i="6"/>
  <c r="J503" i="6"/>
  <c r="J551" i="6"/>
  <c r="J587" i="6"/>
  <c r="J624" i="6"/>
  <c r="J663" i="6"/>
  <c r="J697" i="6"/>
  <c r="J732" i="6"/>
  <c r="J763" i="6"/>
  <c r="J798" i="6"/>
  <c r="J828" i="6"/>
  <c r="J859" i="6"/>
  <c r="J892" i="6"/>
  <c r="J917" i="6"/>
  <c r="J945" i="6"/>
  <c r="J972" i="6"/>
  <c r="J1000" i="6"/>
  <c r="J1024" i="6"/>
  <c r="J1050" i="6"/>
  <c r="J1077" i="6"/>
  <c r="J1100" i="6"/>
  <c r="J1127" i="6"/>
  <c r="J1151" i="6"/>
  <c r="J1177" i="6"/>
  <c r="J1199" i="6"/>
  <c r="J1223" i="6"/>
  <c r="J1249" i="6"/>
  <c r="J1272" i="6"/>
  <c r="J1298" i="6"/>
  <c r="J1322" i="6"/>
  <c r="J1348" i="6"/>
  <c r="J1370" i="6"/>
  <c r="J1394" i="6"/>
  <c r="J1420" i="6"/>
  <c r="J1443" i="6"/>
  <c r="J1469" i="6"/>
  <c r="J1491" i="6"/>
  <c r="J1512" i="6"/>
  <c r="J1533" i="6"/>
  <c r="J1551" i="6"/>
  <c r="J246" i="6"/>
  <c r="J315" i="6"/>
  <c r="J367" i="6"/>
  <c r="J422" i="6"/>
  <c r="J473" i="6"/>
  <c r="J513" i="6"/>
  <c r="J559" i="6"/>
  <c r="J601" i="6"/>
  <c r="J640" i="6"/>
  <c r="J674" i="6"/>
  <c r="J707" i="6"/>
  <c r="J741" i="6"/>
  <c r="J772" i="6"/>
  <c r="J807" i="6"/>
  <c r="J985" i="6"/>
  <c r="J1009" i="6"/>
  <c r="J1035" i="6"/>
  <c r="J1063" i="6"/>
  <c r="J1086" i="6"/>
  <c r="J1112" i="6"/>
  <c r="J1136" i="6"/>
  <c r="J1163" i="6"/>
  <c r="J1184" i="6"/>
  <c r="J1208" i="6"/>
  <c r="J1235" i="6"/>
  <c r="J1257" i="6"/>
  <c r="J1284" i="6"/>
  <c r="J1308" i="6"/>
  <c r="J1334" i="6"/>
  <c r="J1356" i="6"/>
  <c r="J1380" i="6"/>
  <c r="J1406" i="6"/>
  <c r="J1429" i="6"/>
  <c r="J1455" i="6"/>
  <c r="J1478" i="6"/>
  <c r="J1499" i="6"/>
  <c r="J1520" i="6"/>
  <c r="J1540" i="6"/>
  <c r="J1559" i="6"/>
  <c r="J1578" i="6"/>
  <c r="J1597" i="6"/>
  <c r="J1612" i="6"/>
  <c r="J1627" i="6"/>
  <c r="J1645" i="6"/>
  <c r="J1660" i="6"/>
  <c r="J1675" i="6"/>
  <c r="J1691" i="6"/>
  <c r="J1964" i="6"/>
  <c r="J1933" i="6"/>
  <c r="J1897" i="6"/>
  <c r="J1862" i="6"/>
  <c r="J1829" i="6"/>
  <c r="J1993" i="6"/>
  <c r="J1979" i="6"/>
  <c r="J1963" i="6"/>
  <c r="J1948" i="6"/>
  <c r="J1928" i="6"/>
  <c r="J1912" i="6"/>
  <c r="J1896" i="6"/>
  <c r="J1879" i="6"/>
  <c r="J1861" i="6"/>
  <c r="J1844" i="6"/>
  <c r="J1828" i="6"/>
  <c r="J1809" i="6"/>
  <c r="J1793" i="6"/>
  <c r="J1777" i="6"/>
  <c r="J1758" i="6"/>
  <c r="J1741" i="6"/>
  <c r="J1724" i="6"/>
  <c r="J1705" i="6"/>
  <c r="J1686" i="6"/>
  <c r="J1665" i="6"/>
  <c r="J1644" i="6"/>
  <c r="J1623" i="6"/>
  <c r="J1604" i="6"/>
  <c r="J1577" i="6"/>
  <c r="J1553" i="6"/>
  <c r="J1516" i="6"/>
  <c r="J1479" i="6"/>
  <c r="J1442" i="6"/>
  <c r="J1399" i="6"/>
  <c r="J1355" i="6"/>
  <c r="J1312" i="6"/>
  <c r="J1276" i="6"/>
  <c r="J1229" i="6"/>
  <c r="J1180" i="6"/>
  <c r="J1133" i="6"/>
  <c r="J1084" i="6"/>
  <c r="J1033" i="6"/>
  <c r="J977" i="6"/>
  <c r="J924" i="6"/>
  <c r="J868" i="6"/>
  <c r="J801" i="6"/>
  <c r="J715" i="6"/>
  <c r="J633" i="6"/>
  <c r="J552" i="6"/>
  <c r="J433" i="6"/>
  <c r="J296" i="6"/>
  <c r="J104" i="6"/>
  <c r="H240" i="5"/>
  <c r="B204" i="5"/>
  <c r="E159" i="5"/>
  <c r="G108" i="5"/>
  <c r="C38" i="5"/>
  <c r="J1970" i="6"/>
  <c r="J1953" i="6"/>
  <c r="J1886" i="6"/>
  <c r="J1869" i="6"/>
  <c r="J1801" i="6"/>
  <c r="J1782" i="6"/>
  <c r="J1731" i="6"/>
  <c r="J1693" i="6"/>
  <c r="J1652" i="6"/>
  <c r="J1563" i="6"/>
  <c r="J1456" i="6"/>
  <c r="J1376" i="6"/>
  <c r="J1250" i="6"/>
  <c r="J1155" i="6"/>
  <c r="J1002" i="6"/>
  <c r="J894" i="6"/>
  <c r="J750" i="6"/>
  <c r="J356" i="6"/>
  <c r="J1984" i="6"/>
  <c r="J1952" i="6"/>
  <c r="J1901" i="6"/>
  <c r="J1867" i="6"/>
  <c r="J1816" i="6"/>
  <c r="J1781" i="6"/>
  <c r="J1730" i="6"/>
  <c r="J1672" i="6"/>
  <c r="J1609" i="6"/>
  <c r="J1493" i="6"/>
  <c r="J1372" i="6"/>
  <c r="J1152" i="6"/>
  <c r="J947" i="6"/>
  <c r="J746" i="6"/>
  <c r="J472" i="6"/>
  <c r="C212" i="5"/>
  <c r="J1980" i="6"/>
  <c r="J1992" i="6"/>
  <c r="J1977" i="6"/>
  <c r="J1962" i="6"/>
  <c r="J1946" i="6"/>
  <c r="J1927" i="6"/>
  <c r="J1911" i="6"/>
  <c r="J1895" i="6"/>
  <c r="J1876" i="6"/>
  <c r="J1860" i="6"/>
  <c r="J1843" i="6"/>
  <c r="J1827" i="6"/>
  <c r="J1808" i="6"/>
  <c r="J1792" i="6"/>
  <c r="J1776" i="6"/>
  <c r="J1756" i="6"/>
  <c r="J1740" i="6"/>
  <c r="J1723" i="6"/>
  <c r="J1704" i="6"/>
  <c r="J1685" i="6"/>
  <c r="J1662" i="6"/>
  <c r="J1640" i="6"/>
  <c r="J1622" i="6"/>
  <c r="J1599" i="6"/>
  <c r="J1576" i="6"/>
  <c r="J1550" i="6"/>
  <c r="J1514" i="6"/>
  <c r="J1477" i="6"/>
  <c r="J1434" i="6"/>
  <c r="J1398" i="6"/>
  <c r="J1351" i="6"/>
  <c r="J1309" i="6"/>
  <c r="J1271" i="6"/>
  <c r="J1228" i="6"/>
  <c r="J1179" i="6"/>
  <c r="J1129" i="6"/>
  <c r="J1080" i="6"/>
  <c r="J1032" i="6"/>
  <c r="J976" i="6"/>
  <c r="J923" i="6"/>
  <c r="J867" i="6"/>
  <c r="J799" i="6"/>
  <c r="J713" i="6"/>
  <c r="J629" i="6"/>
  <c r="J528" i="6"/>
  <c r="J421" i="6"/>
  <c r="J295" i="6"/>
  <c r="J103" i="6"/>
  <c r="I239" i="5"/>
  <c r="F194" i="5"/>
  <c r="J151" i="5"/>
  <c r="D108" i="5"/>
  <c r="K37" i="5"/>
  <c r="J956" i="6"/>
  <c r="J930" i="6"/>
  <c r="J902" i="6"/>
  <c r="J876" i="6"/>
  <c r="J841" i="6"/>
  <c r="J809" i="6"/>
  <c r="J779" i="6"/>
  <c r="J745" i="6"/>
  <c r="J712" i="6"/>
  <c r="J676" i="6"/>
  <c r="J641" i="6"/>
  <c r="J602" i="6"/>
  <c r="J565" i="6"/>
  <c r="J521" i="6"/>
  <c r="J475" i="6"/>
  <c r="J429" i="6"/>
  <c r="J368" i="6"/>
  <c r="J316" i="6"/>
  <c r="J252" i="6"/>
  <c r="J171" i="6"/>
  <c r="J93" i="6"/>
  <c r="H257" i="5"/>
  <c r="D243" i="5"/>
  <c r="B226" i="5"/>
  <c r="H211" i="5"/>
  <c r="B191" i="5"/>
  <c r="D174" i="5"/>
  <c r="K154" i="5"/>
  <c r="K134" i="5"/>
  <c r="J111" i="5"/>
  <c r="H86" i="5"/>
  <c r="F64" i="5"/>
  <c r="B34" i="5"/>
  <c r="C9" i="5"/>
  <c r="J170" i="6"/>
  <c r="J72" i="6"/>
  <c r="J256" i="5"/>
  <c r="J241" i="5"/>
  <c r="K225" i="5"/>
  <c r="E207" i="5"/>
  <c r="F190" i="5"/>
  <c r="J172" i="5"/>
  <c r="B152" i="5"/>
  <c r="I134" i="5"/>
  <c r="C110" i="5"/>
  <c r="G86" i="5"/>
  <c r="F61" i="5"/>
  <c r="K33" i="5"/>
  <c r="E7" i="5"/>
  <c r="J661" i="6"/>
  <c r="J621" i="6"/>
  <c r="J585" i="6"/>
  <c r="J541" i="6"/>
  <c r="J498" i="6"/>
  <c r="J450" i="6"/>
  <c r="J400" i="6"/>
  <c r="J348" i="6"/>
  <c r="J284" i="6"/>
  <c r="J220" i="6"/>
  <c r="J132" i="6"/>
  <c r="J35" i="6"/>
  <c r="B251" i="5"/>
  <c r="J232" i="5"/>
  <c r="G218" i="5"/>
  <c r="K201" i="5"/>
  <c r="E185" i="5"/>
  <c r="K163" i="5"/>
  <c r="F146" i="5"/>
  <c r="E123" i="5"/>
  <c r="E100" i="5"/>
  <c r="E77" i="5"/>
  <c r="B49" i="5"/>
  <c r="K22" i="5"/>
  <c r="J693" i="6"/>
  <c r="J654" i="6"/>
  <c r="J620" i="6"/>
  <c r="J580" i="6"/>
  <c r="J539" i="6"/>
  <c r="J495" i="6"/>
  <c r="J448" i="6"/>
  <c r="J398" i="6"/>
  <c r="J336" i="6"/>
  <c r="J283" i="6"/>
  <c r="J201" i="6"/>
  <c r="J127" i="6"/>
  <c r="J28" i="6"/>
  <c r="I250" i="5"/>
  <c r="I232" i="5"/>
  <c r="J215" i="5"/>
  <c r="I200" i="5"/>
  <c r="I179" i="5"/>
  <c r="E162" i="5"/>
  <c r="J142" i="5"/>
  <c r="D123" i="5"/>
  <c r="D100" i="5"/>
  <c r="I73" i="5"/>
  <c r="G47" i="5"/>
  <c r="D20" i="5"/>
  <c r="J992" i="6"/>
  <c r="J963" i="6"/>
  <c r="J938" i="6"/>
  <c r="J909" i="6"/>
  <c r="J883" i="6"/>
  <c r="J855" i="6"/>
  <c r="J820" i="6"/>
  <c r="J788" i="6"/>
  <c r="J752" i="6"/>
  <c r="J723" i="6"/>
  <c r="J687" i="6"/>
  <c r="J653" i="6"/>
  <c r="J619" i="6"/>
  <c r="J579" i="6"/>
  <c r="J534" i="6"/>
  <c r="J488" i="6"/>
  <c r="J447" i="6"/>
  <c r="J389" i="6"/>
  <c r="J330" i="6"/>
  <c r="J279" i="6"/>
  <c r="J200" i="6"/>
  <c r="J126" i="6"/>
  <c r="J11" i="6"/>
  <c r="J246" i="5"/>
  <c r="G230" i="5"/>
  <c r="G214" i="5"/>
  <c r="B200" i="5"/>
  <c r="G179" i="5"/>
  <c r="D162" i="5"/>
  <c r="I139" i="5"/>
  <c r="I120" i="5"/>
  <c r="J96" i="5"/>
  <c r="H71" i="5"/>
  <c r="C47" i="5"/>
  <c r="F19" i="5"/>
  <c r="J784" i="6"/>
  <c r="J751" i="6"/>
  <c r="J721" i="6"/>
  <c r="J686" i="6"/>
  <c r="J650" i="6"/>
  <c r="J611" i="6"/>
  <c r="J575" i="6"/>
  <c r="J529" i="6"/>
  <c r="J487" i="6"/>
  <c r="J446" i="6"/>
  <c r="J388" i="6"/>
  <c r="J328" i="6"/>
  <c r="J265" i="6"/>
  <c r="J199" i="6"/>
  <c r="J107" i="6"/>
  <c r="J6" i="6"/>
  <c r="I246" i="5"/>
  <c r="D230" i="5"/>
  <c r="F214" i="5"/>
  <c r="E198" i="5"/>
  <c r="E178" i="5"/>
  <c r="J159" i="5"/>
  <c r="E138" i="5"/>
  <c r="C120" i="5"/>
  <c r="I96" i="5"/>
  <c r="G71" i="5"/>
  <c r="K42" i="5"/>
  <c r="F3" i="5"/>
  <c r="H4" i="5"/>
  <c r="J5" i="5"/>
  <c r="B7" i="5"/>
  <c r="D8" i="5"/>
  <c r="F9" i="5"/>
  <c r="H10" i="5"/>
  <c r="J11" i="5"/>
  <c r="B16" i="5"/>
  <c r="D17" i="5"/>
  <c r="F18" i="5"/>
  <c r="H19" i="5"/>
  <c r="J20" i="5"/>
  <c r="B22" i="5"/>
  <c r="D23" i="5"/>
  <c r="F24" i="5"/>
  <c r="H25" i="5"/>
  <c r="J29" i="5"/>
  <c r="B31" i="5"/>
  <c r="D32" i="5"/>
  <c r="F33" i="5"/>
  <c r="H34" i="5"/>
  <c r="J35" i="5"/>
  <c r="B37" i="5"/>
  <c r="D38" i="5"/>
  <c r="F42" i="5"/>
  <c r="H43" i="5"/>
  <c r="J44" i="5"/>
  <c r="B46" i="5"/>
  <c r="D47" i="5"/>
  <c r="F48" i="5"/>
  <c r="H49" i="5"/>
  <c r="J50" i="5"/>
  <c r="B55" i="5"/>
  <c r="D56" i="5"/>
  <c r="F57" i="5"/>
  <c r="H58" i="5"/>
  <c r="J59" i="5"/>
  <c r="B61" i="5"/>
  <c r="D62" i="5"/>
  <c r="F63" i="5"/>
  <c r="H64" i="5"/>
  <c r="J68" i="5"/>
  <c r="B70" i="5"/>
  <c r="D71" i="5"/>
  <c r="F72" i="5"/>
  <c r="H73" i="5"/>
  <c r="J74" i="5"/>
  <c r="B76" i="5"/>
  <c r="D77" i="5"/>
  <c r="F81" i="5"/>
  <c r="H82" i="5"/>
  <c r="J83" i="5"/>
  <c r="B85" i="5"/>
  <c r="D86" i="5"/>
  <c r="F87" i="5"/>
  <c r="H88" i="5"/>
  <c r="J89" i="5"/>
  <c r="B94" i="5"/>
  <c r="D95" i="5"/>
  <c r="F96" i="5"/>
  <c r="H97" i="5"/>
  <c r="J98" i="5"/>
  <c r="B100" i="5"/>
  <c r="D101" i="5"/>
  <c r="F102" i="5"/>
  <c r="H103" i="5"/>
  <c r="J107" i="5"/>
  <c r="B109" i="5"/>
  <c r="D110" i="5"/>
  <c r="F111" i="5"/>
  <c r="H112" i="5"/>
  <c r="J113" i="5"/>
  <c r="B115" i="5"/>
  <c r="D116" i="5"/>
  <c r="F120" i="5"/>
  <c r="H121" i="5"/>
  <c r="J122" i="5"/>
  <c r="B124" i="5"/>
  <c r="D125" i="5"/>
  <c r="F126" i="5"/>
  <c r="H127" i="5"/>
  <c r="J128" i="5"/>
  <c r="B133" i="5"/>
  <c r="D134" i="5"/>
  <c r="G3" i="5"/>
  <c r="J4" i="5"/>
  <c r="C6" i="5"/>
  <c r="F7" i="5"/>
  <c r="I8" i="5"/>
  <c r="B10" i="5"/>
  <c r="E11" i="5"/>
  <c r="H12" i="5"/>
  <c r="K16" i="5"/>
  <c r="D18" i="5"/>
  <c r="G19" i="5"/>
  <c r="K20" i="5"/>
  <c r="D22" i="5"/>
  <c r="G23" i="5"/>
  <c r="J24" i="5"/>
  <c r="C29" i="5"/>
  <c r="F30" i="5"/>
  <c r="I31" i="5"/>
  <c r="B33" i="5"/>
  <c r="E34" i="5"/>
  <c r="H35" i="5"/>
  <c r="K36" i="5"/>
  <c r="E38" i="5"/>
  <c r="H42" i="5"/>
  <c r="K43" i="5"/>
  <c r="D45" i="5"/>
  <c r="G46" i="5"/>
  <c r="J47" i="5"/>
  <c r="C49" i="5"/>
  <c r="F50" i="5"/>
  <c r="I51" i="5"/>
  <c r="B56" i="5"/>
  <c r="E57" i="5"/>
  <c r="I58" i="5"/>
  <c r="B60" i="5"/>
  <c r="E61" i="5"/>
  <c r="H62" i="5"/>
  <c r="K63" i="5"/>
  <c r="D68" i="5"/>
  <c r="G69" i="5"/>
  <c r="J70" i="5"/>
  <c r="C72" i="5"/>
  <c r="F73" i="5"/>
  <c r="I74" i="5"/>
  <c r="C76" i="5"/>
  <c r="F77" i="5"/>
  <c r="I81" i="5"/>
  <c r="B83" i="5"/>
  <c r="E84" i="5"/>
  <c r="H85" i="5"/>
  <c r="K86" i="5"/>
  <c r="D88" i="5"/>
  <c r="G89" i="5"/>
  <c r="J90" i="5"/>
  <c r="C95" i="5"/>
  <c r="G96" i="5"/>
  <c r="J97" i="5"/>
  <c r="C99" i="5"/>
  <c r="F100" i="5"/>
  <c r="I101" i="5"/>
  <c r="B103" i="5"/>
  <c r="E107" i="5"/>
  <c r="H108" i="5"/>
  <c r="K109" i="5"/>
  <c r="D111" i="5"/>
  <c r="G112" i="5"/>
  <c r="K113" i="5"/>
  <c r="D115" i="5"/>
  <c r="G116" i="5"/>
  <c r="J120" i="5"/>
  <c r="C122" i="5"/>
  <c r="F123" i="5"/>
  <c r="I124" i="5"/>
  <c r="B126" i="5"/>
  <c r="E127" i="5"/>
  <c r="H128" i="5"/>
  <c r="K129" i="5"/>
  <c r="E134" i="5"/>
  <c r="G135" i="5"/>
  <c r="I136" i="5"/>
  <c r="K137" i="5"/>
  <c r="C139" i="5"/>
  <c r="E140" i="5"/>
  <c r="G141" i="5"/>
  <c r="I142" i="5"/>
  <c r="K146" i="5"/>
  <c r="C148" i="5"/>
  <c r="E149" i="5"/>
  <c r="G150" i="5"/>
  <c r="I151" i="5"/>
  <c r="K152" i="5"/>
  <c r="C154" i="5"/>
  <c r="E155" i="5"/>
  <c r="G159" i="5"/>
  <c r="I160" i="5"/>
  <c r="K161" i="5"/>
  <c r="C163" i="5"/>
  <c r="E164" i="5"/>
  <c r="G165" i="5"/>
  <c r="I166" i="5"/>
  <c r="K167" i="5"/>
  <c r="C172" i="5"/>
  <c r="E173" i="5"/>
  <c r="G174" i="5"/>
  <c r="I175" i="5"/>
  <c r="K176" i="5"/>
  <c r="C178" i="5"/>
  <c r="E179" i="5"/>
  <c r="G180" i="5"/>
  <c r="I181" i="5"/>
  <c r="K185" i="5"/>
  <c r="C187" i="5"/>
  <c r="E188" i="5"/>
  <c r="G189" i="5"/>
  <c r="I190" i="5"/>
  <c r="K191" i="5"/>
  <c r="C193" i="5"/>
  <c r="E194" i="5"/>
  <c r="G198" i="5"/>
  <c r="I199" i="5"/>
  <c r="K200" i="5"/>
  <c r="C202" i="5"/>
  <c r="E203" i="5"/>
  <c r="G204" i="5"/>
  <c r="I205" i="5"/>
  <c r="K206" i="5"/>
  <c r="C211" i="5"/>
  <c r="E212" i="5"/>
  <c r="G213" i="5"/>
  <c r="I214" i="5"/>
  <c r="K215" i="5"/>
  <c r="C217" i="5"/>
  <c r="E218" i="5"/>
  <c r="G219" i="5"/>
  <c r="I220" i="5"/>
  <c r="K224" i="5"/>
  <c r="C226" i="5"/>
  <c r="E227" i="5"/>
  <c r="G228" i="5"/>
  <c r="I229" i="5"/>
  <c r="K230" i="5"/>
  <c r="C232" i="5"/>
  <c r="E233" i="5"/>
  <c r="G237" i="5"/>
  <c r="I238" i="5"/>
  <c r="K239" i="5"/>
  <c r="C241" i="5"/>
  <c r="E242" i="5"/>
  <c r="G243" i="5"/>
  <c r="I244" i="5"/>
  <c r="K245" i="5"/>
  <c r="C250" i="5"/>
  <c r="E251" i="5"/>
  <c r="G252" i="5"/>
  <c r="I253" i="5"/>
  <c r="K254" i="5"/>
  <c r="C256" i="5"/>
  <c r="E257" i="5"/>
  <c r="G258" i="5"/>
  <c r="I259" i="5"/>
  <c r="J10" i="6"/>
  <c r="J22" i="6"/>
  <c r="J34" i="6"/>
  <c r="J46" i="6"/>
  <c r="J58" i="6"/>
  <c r="J70" i="6"/>
  <c r="J82" i="6"/>
  <c r="J94" i="6"/>
  <c r="J106" i="6"/>
  <c r="J118" i="6"/>
  <c r="C4" i="5"/>
  <c r="G5" i="5"/>
  <c r="K6" i="5"/>
  <c r="F8" i="5"/>
  <c r="J9" i="5"/>
  <c r="D11" i="5"/>
  <c r="I12" i="5"/>
  <c r="C17" i="5"/>
  <c r="H18" i="5"/>
  <c r="B20" i="5"/>
  <c r="F21" i="5"/>
  <c r="J22" i="5"/>
  <c r="D24" i="5"/>
  <c r="I25" i="5"/>
  <c r="C30" i="5"/>
  <c r="G31" i="5"/>
  <c r="K32" i="5"/>
  <c r="F34" i="5"/>
  <c r="K35" i="5"/>
  <c r="E37" i="5"/>
  <c r="I38" i="5"/>
  <c r="C43" i="5"/>
  <c r="G44" i="5"/>
  <c r="K45" i="5"/>
  <c r="F47" i="5"/>
  <c r="J48" i="5"/>
  <c r="D50" i="5"/>
  <c r="H51" i="5"/>
  <c r="C56" i="5"/>
  <c r="H57" i="5"/>
  <c r="B59" i="5"/>
  <c r="F60" i="5"/>
  <c r="J61" i="5"/>
  <c r="D63" i="5"/>
  <c r="I64" i="5"/>
  <c r="C69" i="5"/>
  <c r="G70" i="5"/>
  <c r="K71" i="5"/>
  <c r="E73" i="5"/>
  <c r="K74" i="5"/>
  <c r="E76" i="5"/>
  <c r="I77" i="5"/>
  <c r="C82" i="5"/>
  <c r="G83" i="5"/>
  <c r="K84" i="5"/>
  <c r="F86" i="5"/>
  <c r="J87" i="5"/>
  <c r="D89" i="5"/>
  <c r="H90" i="5"/>
  <c r="B95" i="5"/>
  <c r="H96" i="5"/>
  <c r="B98" i="5"/>
  <c r="F99" i="5"/>
  <c r="J100" i="5"/>
  <c r="D102" i="5"/>
  <c r="I103" i="5"/>
  <c r="C108" i="5"/>
  <c r="G109" i="5"/>
  <c r="K110" i="5"/>
  <c r="E112" i="5"/>
  <c r="I113" i="5"/>
  <c r="E115" i="5"/>
  <c r="I116" i="5"/>
  <c r="C121" i="5"/>
  <c r="G122" i="5"/>
  <c r="K123" i="5"/>
  <c r="F125" i="5"/>
  <c r="J126" i="5"/>
  <c r="D128" i="5"/>
  <c r="H129" i="5"/>
  <c r="B134" i="5"/>
  <c r="F135" i="5"/>
  <c r="J136" i="5"/>
  <c r="C138" i="5"/>
  <c r="F139" i="5"/>
  <c r="I140" i="5"/>
  <c r="B142" i="5"/>
  <c r="E146" i="5"/>
  <c r="H147" i="5"/>
  <c r="K148" i="5"/>
  <c r="D150" i="5"/>
  <c r="G151" i="5"/>
  <c r="J152" i="5"/>
  <c r="D154" i="5"/>
  <c r="G155" i="5"/>
  <c r="H3" i="5"/>
  <c r="B5" i="5"/>
  <c r="F6" i="5"/>
  <c r="J7" i="5"/>
  <c r="D9" i="5"/>
  <c r="I10" i="5"/>
  <c r="C12" i="5"/>
  <c r="G16" i="5"/>
  <c r="K17" i="5"/>
  <c r="E19" i="5"/>
  <c r="I20" i="5"/>
  <c r="E22" i="5"/>
  <c r="I23" i="5"/>
  <c r="C25" i="5"/>
  <c r="G29" i="5"/>
  <c r="K30" i="5"/>
  <c r="F32" i="5"/>
  <c r="J33" i="5"/>
  <c r="D35" i="5"/>
  <c r="H36" i="5"/>
  <c r="B38" i="5"/>
  <c r="G42" i="5"/>
  <c r="B44" i="5"/>
  <c r="F45" i="5"/>
  <c r="J46" i="5"/>
  <c r="D48" i="5"/>
  <c r="I49" i="5"/>
  <c r="C51" i="5"/>
  <c r="G55" i="5"/>
  <c r="K56" i="5"/>
  <c r="E58" i="5"/>
  <c r="I59" i="5"/>
  <c r="D61" i="5"/>
  <c r="I62" i="5"/>
  <c r="C64" i="5"/>
  <c r="G68" i="5"/>
  <c r="K69" i="5"/>
  <c r="F71" i="5"/>
  <c r="J72" i="5"/>
  <c r="D74" i="5"/>
  <c r="H75" i="5"/>
  <c r="E4" i="5"/>
  <c r="B6" i="5"/>
  <c r="I7" i="5"/>
  <c r="G9" i="5"/>
  <c r="C11" i="5"/>
  <c r="K12" i="5"/>
  <c r="H17" i="5"/>
  <c r="D19" i="5"/>
  <c r="C21" i="5"/>
  <c r="I22" i="5"/>
  <c r="G24" i="5"/>
  <c r="D29" i="5"/>
  <c r="J30" i="5"/>
  <c r="H32" i="5"/>
  <c r="D34" i="5"/>
  <c r="C36" i="5"/>
  <c r="I37" i="5"/>
  <c r="E42" i="5"/>
  <c r="D44" i="5"/>
  <c r="J45" i="5"/>
  <c r="H47" i="5"/>
  <c r="E49" i="5"/>
  <c r="B51" i="5"/>
  <c r="I55" i="5"/>
  <c r="G57" i="5"/>
  <c r="D59" i="5"/>
  <c r="J60" i="5"/>
  <c r="G62" i="5"/>
  <c r="E64" i="5"/>
  <c r="B69" i="5"/>
  <c r="I70" i="5"/>
  <c r="G72" i="5"/>
  <c r="C74" i="5"/>
  <c r="J75" i="5"/>
  <c r="G77" i="5"/>
  <c r="B82" i="5"/>
  <c r="H83" i="5"/>
  <c r="D85" i="5"/>
  <c r="I86" i="5"/>
  <c r="E88" i="5"/>
  <c r="K89" i="5"/>
  <c r="F94" i="5"/>
  <c r="K95" i="5"/>
  <c r="F97" i="5"/>
  <c r="B99" i="5"/>
  <c r="H100" i="5"/>
  <c r="C102" i="5"/>
  <c r="J103" i="5"/>
  <c r="E108" i="5"/>
  <c r="J109" i="5"/>
  <c r="G111" i="5"/>
  <c r="B113" i="5"/>
  <c r="G114" i="5"/>
  <c r="B116" i="5"/>
  <c r="H120" i="5"/>
  <c r="D122" i="5"/>
  <c r="I123" i="5"/>
  <c r="E125" i="5"/>
  <c r="K126" i="5"/>
  <c r="F128" i="5"/>
  <c r="C133" i="5"/>
  <c r="H134" i="5"/>
  <c r="B136" i="5"/>
  <c r="F137" i="5"/>
  <c r="J138" i="5"/>
  <c r="D140" i="5"/>
  <c r="I141" i="5"/>
  <c r="C146" i="5"/>
  <c r="G147" i="5"/>
  <c r="B149" i="5"/>
  <c r="F150" i="5"/>
  <c r="K151" i="5"/>
  <c r="E153" i="5"/>
  <c r="I154" i="5"/>
  <c r="C159" i="5"/>
  <c r="F160" i="5"/>
  <c r="I161" i="5"/>
  <c r="B163" i="5"/>
  <c r="F164" i="5"/>
  <c r="I165" i="5"/>
  <c r="B167" i="5"/>
  <c r="E168" i="5"/>
  <c r="H172" i="5"/>
  <c r="K173" i="5"/>
  <c r="D175" i="5"/>
  <c r="G176" i="5"/>
  <c r="J177" i="5"/>
  <c r="C179" i="5"/>
  <c r="F180" i="5"/>
  <c r="J181" i="5"/>
  <c r="C186" i="5"/>
  <c r="F187" i="5"/>
  <c r="I188" i="5"/>
  <c r="B190" i="5"/>
  <c r="E191" i="5"/>
  <c r="H192" i="5"/>
  <c r="K193" i="5"/>
  <c r="D198" i="5"/>
  <c r="G199" i="5"/>
  <c r="J200" i="5"/>
  <c r="D202" i="5"/>
  <c r="G203" i="5"/>
  <c r="J204" i="5"/>
  <c r="C206" i="5"/>
  <c r="F207" i="5"/>
  <c r="I211" i="5"/>
  <c r="B213" i="5"/>
  <c r="E214" i="5"/>
  <c r="H215" i="5"/>
  <c r="K216" i="5"/>
  <c r="D218" i="5"/>
  <c r="H219" i="5"/>
  <c r="K220" i="5"/>
  <c r="D225" i="5"/>
  <c r="G226" i="5"/>
  <c r="J227" i="5"/>
  <c r="C229" i="5"/>
  <c r="F230" i="5"/>
  <c r="I231" i="5"/>
  <c r="B233" i="5"/>
  <c r="E237" i="5"/>
  <c r="H238" i="5"/>
  <c r="B240" i="5"/>
  <c r="E241" i="5"/>
  <c r="H242" i="5"/>
  <c r="K243" i="5"/>
  <c r="D245" i="5"/>
  <c r="G246" i="5"/>
  <c r="J250" i="5"/>
  <c r="C252" i="5"/>
  <c r="F253" i="5"/>
  <c r="I254" i="5"/>
  <c r="B256" i="5"/>
  <c r="F257" i="5"/>
  <c r="I258" i="5"/>
  <c r="J1" i="6"/>
  <c r="J14" i="6"/>
  <c r="J27" i="6"/>
  <c r="J40" i="6"/>
  <c r="J53" i="6"/>
  <c r="J66" i="6"/>
  <c r="J79" i="6"/>
  <c r="J92" i="6"/>
  <c r="J105" i="6"/>
  <c r="J119" i="6"/>
  <c r="J131" i="6"/>
  <c r="J143" i="6"/>
  <c r="J155" i="6"/>
  <c r="J167" i="6"/>
  <c r="J179" i="6"/>
  <c r="J191" i="6"/>
  <c r="J203" i="6"/>
  <c r="J215" i="6"/>
  <c r="J227" i="6"/>
  <c r="J239" i="6"/>
  <c r="J251" i="6"/>
  <c r="J263" i="6"/>
  <c r="J275" i="6"/>
  <c r="J287" i="6"/>
  <c r="J299" i="6"/>
  <c r="J311" i="6"/>
  <c r="J323" i="6"/>
  <c r="J335" i="6"/>
  <c r="J347" i="6"/>
  <c r="J359" i="6"/>
  <c r="J371" i="6"/>
  <c r="J383" i="6"/>
  <c r="J395" i="6"/>
  <c r="J407" i="6"/>
  <c r="J419" i="6"/>
  <c r="I3" i="5"/>
  <c r="E5" i="5"/>
  <c r="C7" i="5"/>
  <c r="J8" i="5"/>
  <c r="F10" i="5"/>
  <c r="D12" i="5"/>
  <c r="J16" i="5"/>
  <c r="I18" i="5"/>
  <c r="E20" i="5"/>
  <c r="K21" i="5"/>
  <c r="J23" i="5"/>
  <c r="F25" i="5"/>
  <c r="D30" i="5"/>
  <c r="K31" i="5"/>
  <c r="H33" i="5"/>
  <c r="E35" i="5"/>
  <c r="C37" i="5"/>
  <c r="J38" i="5"/>
  <c r="F43" i="5"/>
  <c r="C45" i="5"/>
  <c r="K46" i="5"/>
  <c r="H48" i="5"/>
  <c r="E50" i="5"/>
  <c r="C55" i="5"/>
  <c r="I56" i="5"/>
  <c r="F58" i="5"/>
  <c r="D60" i="5"/>
  <c r="K61" i="5"/>
  <c r="H63" i="5"/>
  <c r="E68" i="5"/>
  <c r="C70" i="5"/>
  <c r="I71" i="5"/>
  <c r="G73" i="5"/>
  <c r="D75" i="5"/>
  <c r="J76" i="5"/>
  <c r="E81" i="5"/>
  <c r="K82" i="5"/>
  <c r="G84" i="5"/>
  <c r="B86" i="5"/>
  <c r="H87" i="5"/>
  <c r="C89" i="5"/>
  <c r="I90" i="5"/>
  <c r="F95" i="5"/>
  <c r="K96" i="5"/>
  <c r="F98" i="5"/>
  <c r="G4" i="5"/>
  <c r="H6" i="5"/>
  <c r="H8" i="5"/>
  <c r="J10" i="5"/>
  <c r="J12" i="5"/>
  <c r="J17" i="5"/>
  <c r="K19" i="5"/>
  <c r="J21" i="5"/>
  <c r="B24" i="5"/>
  <c r="B29" i="5"/>
  <c r="D31" i="5"/>
  <c r="D33" i="5"/>
  <c r="C35" i="5"/>
  <c r="F37" i="5"/>
  <c r="D42" i="5"/>
  <c r="F44" i="5"/>
  <c r="F46" i="5"/>
  <c r="G48" i="5"/>
  <c r="H50" i="5"/>
  <c r="H55" i="5"/>
  <c r="J57" i="5"/>
  <c r="H59" i="5"/>
  <c r="I61" i="5"/>
  <c r="J63" i="5"/>
  <c r="K68" i="5"/>
  <c r="B71" i="5"/>
  <c r="B73" i="5"/>
  <c r="C75" i="5"/>
  <c r="B77" i="5"/>
  <c r="K81" i="5"/>
  <c r="K83" i="5"/>
  <c r="I85" i="5"/>
  <c r="G87" i="5"/>
  <c r="F89" i="5"/>
  <c r="E94" i="5"/>
  <c r="C96" i="5"/>
  <c r="C98" i="5"/>
  <c r="J99" i="5"/>
  <c r="G101" i="5"/>
  <c r="D103" i="5"/>
  <c r="K107" i="5"/>
  <c r="H109" i="5"/>
  <c r="E111" i="5"/>
  <c r="C113" i="5"/>
  <c r="I114" i="5"/>
  <c r="F116" i="5"/>
  <c r="D121" i="5"/>
  <c r="K122" i="5"/>
  <c r="G124" i="5"/>
  <c r="D126" i="5"/>
  <c r="K127" i="5"/>
  <c r="G129" i="5"/>
  <c r="F134" i="5"/>
  <c r="K135" i="5"/>
  <c r="G137" i="5"/>
  <c r="B139" i="5"/>
  <c r="H140" i="5"/>
  <c r="D142" i="5"/>
  <c r="I146" i="5"/>
  <c r="E148" i="5"/>
  <c r="J149" i="5"/>
  <c r="E151" i="5"/>
  <c r="B153" i="5"/>
  <c r="G154" i="5"/>
  <c r="B159" i="5"/>
  <c r="G160" i="5"/>
  <c r="B162" i="5"/>
  <c r="F163" i="5"/>
  <c r="J164" i="5"/>
  <c r="D166" i="5"/>
  <c r="H167" i="5"/>
  <c r="B172" i="5"/>
  <c r="G173" i="5"/>
  <c r="K174" i="5"/>
  <c r="E176" i="5"/>
  <c r="I177" i="5"/>
  <c r="D179" i="5"/>
  <c r="I180" i="5"/>
  <c r="C185" i="5"/>
  <c r="G186" i="5"/>
  <c r="K187" i="5"/>
  <c r="E189" i="5"/>
  <c r="J190" i="5"/>
  <c r="D192" i="5"/>
  <c r="H193" i="5"/>
  <c r="B198" i="5"/>
  <c r="F199" i="5"/>
  <c r="B201" i="5"/>
  <c r="F202" i="5"/>
  <c r="J203" i="5"/>
  <c r="D205" i="5"/>
  <c r="H206" i="5"/>
  <c r="B211" i="5"/>
  <c r="G212" i="5"/>
  <c r="K213" i="5"/>
  <c r="E215" i="5"/>
  <c r="I216" i="5"/>
  <c r="C218" i="5"/>
  <c r="I219" i="5"/>
  <c r="C224" i="5"/>
  <c r="G225" i="5"/>
  <c r="K226" i="5"/>
  <c r="E228" i="5"/>
  <c r="J229" i="5"/>
  <c r="D231" i="5"/>
  <c r="H232" i="5"/>
  <c r="B237" i="5"/>
  <c r="F238" i="5"/>
  <c r="J239" i="5"/>
  <c r="F241" i="5"/>
  <c r="J242" i="5"/>
  <c r="D244" i="5"/>
  <c r="H245" i="5"/>
  <c r="B250" i="5"/>
  <c r="G251" i="5"/>
  <c r="K252" i="5"/>
  <c r="E254" i="5"/>
  <c r="I255" i="5"/>
  <c r="C257" i="5"/>
  <c r="H258" i="5"/>
  <c r="J2" i="6"/>
  <c r="J16" i="6"/>
  <c r="J30" i="6"/>
  <c r="J44" i="6"/>
  <c r="J59" i="6"/>
  <c r="J73" i="6"/>
  <c r="J87" i="6"/>
  <c r="J101" i="6"/>
  <c r="J115" i="6"/>
  <c r="J129" i="6"/>
  <c r="J142" i="6"/>
  <c r="J156" i="6"/>
  <c r="J169" i="6"/>
  <c r="J182" i="6"/>
  <c r="J195" i="6"/>
  <c r="J208" i="6"/>
  <c r="J221" i="6"/>
  <c r="J234" i="6"/>
  <c r="J247" i="6"/>
  <c r="J260" i="6"/>
  <c r="J273" i="6"/>
  <c r="J286" i="6"/>
  <c r="J300" i="6"/>
  <c r="J313" i="6"/>
  <c r="J326" i="6"/>
  <c r="J339" i="6"/>
  <c r="J352" i="6"/>
  <c r="J365" i="6"/>
  <c r="J378" i="6"/>
  <c r="J391" i="6"/>
  <c r="J404" i="6"/>
  <c r="J417" i="6"/>
  <c r="J430" i="6"/>
  <c r="J442" i="6"/>
  <c r="J454" i="6"/>
  <c r="J466" i="6"/>
  <c r="J478" i="6"/>
  <c r="J490" i="6"/>
  <c r="J502" i="6"/>
  <c r="J514" i="6"/>
  <c r="J526" i="6"/>
  <c r="J538" i="6"/>
  <c r="J550" i="6"/>
  <c r="J562" i="6"/>
  <c r="J574" i="6"/>
  <c r="J586" i="6"/>
  <c r="J598" i="6"/>
  <c r="J610" i="6"/>
  <c r="J622" i="6"/>
  <c r="J634" i="6"/>
  <c r="J646" i="6"/>
  <c r="J658" i="6"/>
  <c r="J670" i="6"/>
  <c r="J682" i="6"/>
  <c r="J694" i="6"/>
  <c r="J706" i="6"/>
  <c r="J718" i="6"/>
  <c r="J730" i="6"/>
  <c r="J742" i="6"/>
  <c r="J754" i="6"/>
  <c r="J766" i="6"/>
  <c r="J778" i="6"/>
  <c r="J790" i="6"/>
  <c r="J802" i="6"/>
  <c r="J814" i="6"/>
  <c r="J826" i="6"/>
  <c r="J838" i="6"/>
  <c r="J850" i="6"/>
  <c r="J862" i="6"/>
  <c r="J874" i="6"/>
  <c r="J886" i="6"/>
  <c r="J898" i="6"/>
  <c r="J910" i="6"/>
  <c r="J922" i="6"/>
  <c r="J934" i="6"/>
  <c r="J946" i="6"/>
  <c r="J958" i="6"/>
  <c r="J970" i="6"/>
  <c r="J982" i="6"/>
  <c r="J994" i="6"/>
  <c r="J1006" i="6"/>
  <c r="J1018" i="6"/>
  <c r="J1030" i="6"/>
  <c r="J1042" i="6"/>
  <c r="J1054" i="6"/>
  <c r="J1066" i="6"/>
  <c r="J1078" i="6"/>
  <c r="J1090" i="6"/>
  <c r="J1102" i="6"/>
  <c r="J1114" i="6"/>
  <c r="J1126" i="6"/>
  <c r="J1138" i="6"/>
  <c r="J1150" i="6"/>
  <c r="J1162" i="6"/>
  <c r="J1174" i="6"/>
  <c r="J1186" i="6"/>
  <c r="J1198" i="6"/>
  <c r="J1210" i="6"/>
  <c r="J1222" i="6"/>
  <c r="J1234" i="6"/>
  <c r="J1246" i="6"/>
  <c r="J1258" i="6"/>
  <c r="J1270" i="6"/>
  <c r="J1282" i="6"/>
  <c r="J1294" i="6"/>
  <c r="J1306" i="6"/>
  <c r="J1318" i="6"/>
  <c r="J1330" i="6"/>
  <c r="J1342" i="6"/>
  <c r="J1354" i="6"/>
  <c r="J1366" i="6"/>
  <c r="J1378" i="6"/>
  <c r="J1390" i="6"/>
  <c r="J1402" i="6"/>
  <c r="J1414" i="6"/>
  <c r="J1426" i="6"/>
  <c r="J1438" i="6"/>
  <c r="J1450" i="6"/>
  <c r="J1462" i="6"/>
  <c r="J1474" i="6"/>
  <c r="J1486" i="6"/>
  <c r="J1498" i="6"/>
  <c r="J1510" i="6"/>
  <c r="J1522" i="6"/>
  <c r="J1534" i="6"/>
  <c r="J1546" i="6"/>
  <c r="J1558" i="6"/>
  <c r="J1570" i="6"/>
  <c r="J1582" i="6"/>
  <c r="J1594" i="6"/>
  <c r="J1606" i="6"/>
  <c r="J1618" i="6"/>
  <c r="J1630" i="6"/>
  <c r="J1642" i="6"/>
  <c r="J1654" i="6"/>
  <c r="J1666" i="6"/>
  <c r="J1678" i="6"/>
  <c r="J1690" i="6"/>
  <c r="J1702" i="6"/>
  <c r="J1714" i="6"/>
  <c r="J1726" i="6"/>
  <c r="J1738" i="6"/>
  <c r="J1750" i="6"/>
  <c r="J1762" i="6"/>
  <c r="J1774" i="6"/>
  <c r="J1786" i="6"/>
  <c r="J1798" i="6"/>
  <c r="J1810" i="6"/>
  <c r="J1822" i="6"/>
  <c r="J1834" i="6"/>
  <c r="J1846" i="6"/>
  <c r="J1858" i="6"/>
  <c r="J1870" i="6"/>
  <c r="J1882" i="6"/>
  <c r="J1894" i="6"/>
  <c r="J1906" i="6"/>
  <c r="J1918" i="6"/>
  <c r="J1930" i="6"/>
  <c r="J1942" i="6"/>
  <c r="J1954" i="6"/>
  <c r="J1966" i="6"/>
  <c r="J1978" i="6"/>
  <c r="J1990" i="6"/>
  <c r="J3" i="5"/>
  <c r="I5" i="5"/>
  <c r="K7" i="5"/>
  <c r="K9" i="5"/>
  <c r="K11" i="5"/>
  <c r="B17" i="5"/>
  <c r="B19" i="5"/>
  <c r="D21" i="5"/>
  <c r="C23" i="5"/>
  <c r="D25" i="5"/>
  <c r="E30" i="5"/>
  <c r="E32" i="5"/>
  <c r="G34" i="5"/>
  <c r="F36" i="5"/>
  <c r="G38" i="5"/>
  <c r="G43" i="5"/>
  <c r="H45" i="5"/>
  <c r="I47" i="5"/>
  <c r="J49" i="5"/>
  <c r="J51" i="5"/>
  <c r="J56" i="5"/>
  <c r="K58" i="5"/>
  <c r="K60" i="5"/>
  <c r="B63" i="5"/>
  <c r="B68" i="5"/>
  <c r="D70" i="5"/>
  <c r="D72" i="5"/>
  <c r="E74" i="5"/>
  <c r="F76" i="5"/>
  <c r="C81" i="5"/>
  <c r="C83" i="5"/>
  <c r="J84" i="5"/>
  <c r="J86" i="5"/>
  <c r="I88" i="5"/>
  <c r="F90" i="5"/>
  <c r="G95" i="5"/>
  <c r="D97" i="5"/>
  <c r="D99" i="5"/>
  <c r="K100" i="5"/>
  <c r="H102" i="5"/>
  <c r="D107" i="5"/>
  <c r="K108" i="5"/>
  <c r="H110" i="5"/>
  <c r="D112" i="5"/>
  <c r="C114" i="5"/>
  <c r="I115" i="5"/>
  <c r="E120" i="5"/>
  <c r="B122" i="5"/>
  <c r="J123" i="5"/>
  <c r="H125" i="5"/>
  <c r="D127" i="5"/>
  <c r="B129" i="5"/>
  <c r="H133" i="5"/>
  <c r="D135" i="5"/>
  <c r="K136" i="5"/>
  <c r="F138" i="5"/>
  <c r="K139" i="5"/>
  <c r="F141" i="5"/>
  <c r="B146" i="5"/>
  <c r="I147" i="5"/>
  <c r="D149" i="5"/>
  <c r="J150" i="5"/>
  <c r="E152" i="5"/>
  <c r="J153" i="5"/>
  <c r="F155" i="5"/>
  <c r="K159" i="5"/>
  <c r="E161" i="5"/>
  <c r="I162" i="5"/>
  <c r="C164" i="5"/>
  <c r="H165" i="5"/>
  <c r="C167" i="5"/>
  <c r="G168" i="5"/>
  <c r="K172" i="5"/>
  <c r="E174" i="5"/>
  <c r="J175" i="5"/>
  <c r="D177" i="5"/>
  <c r="H178" i="5"/>
  <c r="B180" i="5"/>
  <c r="F181" i="5"/>
  <c r="J185" i="5"/>
  <c r="E187" i="5"/>
  <c r="J188" i="5"/>
  <c r="D190" i="5"/>
  <c r="H191" i="5"/>
  <c r="B193" i="5"/>
  <c r="G194" i="5"/>
  <c r="K198" i="5"/>
  <c r="E200" i="5"/>
  <c r="I201" i="5"/>
  <c r="C203" i="5"/>
  <c r="H204" i="5"/>
  <c r="B206" i="5"/>
  <c r="G207" i="5"/>
  <c r="K211" i="5"/>
  <c r="E213" i="5"/>
  <c r="J214" i="5"/>
  <c r="D216" i="5"/>
  <c r="H217" i="5"/>
  <c r="B219" i="5"/>
  <c r="F220" i="5"/>
  <c r="J224" i="5"/>
  <c r="E226" i="5"/>
  <c r="I227" i="5"/>
  <c r="D229" i="5"/>
  <c r="H230" i="5"/>
  <c r="B232" i="5"/>
  <c r="G233" i="5"/>
  <c r="K237" i="5"/>
  <c r="E239" i="5"/>
  <c r="I240" i="5"/>
  <c r="C242" i="5"/>
  <c r="H243" i="5"/>
  <c r="B245" i="5"/>
  <c r="F246" i="5"/>
  <c r="K250" i="5"/>
  <c r="E252" i="5"/>
  <c r="J253" i="5"/>
  <c r="D255" i="5"/>
  <c r="H256" i="5"/>
  <c r="B258" i="5"/>
  <c r="F259" i="5"/>
  <c r="J9" i="6"/>
  <c r="J24" i="6"/>
  <c r="J38" i="6"/>
  <c r="J52" i="6"/>
  <c r="J67" i="6"/>
  <c r="J81" i="6"/>
  <c r="J96" i="6"/>
  <c r="J110" i="6"/>
  <c r="J124" i="6"/>
  <c r="J137" i="6"/>
  <c r="J150" i="6"/>
  <c r="J163" i="6"/>
  <c r="J176" i="6"/>
  <c r="J189" i="6"/>
  <c r="J202" i="6"/>
  <c r="J216" i="6"/>
  <c r="J229" i="6"/>
  <c r="J242" i="6"/>
  <c r="J255" i="6"/>
  <c r="J268" i="6"/>
  <c r="J281" i="6"/>
  <c r="J294" i="6"/>
  <c r="J307" i="6"/>
  <c r="J320" i="6"/>
  <c r="J333" i="6"/>
  <c r="J346" i="6"/>
  <c r="J360" i="6"/>
  <c r="J373" i="6"/>
  <c r="J386" i="6"/>
  <c r="J399" i="6"/>
  <c r="J412" i="6"/>
  <c r="K3" i="5"/>
  <c r="K5" i="5"/>
  <c r="B8" i="5"/>
  <c r="C10" i="5"/>
  <c r="B12" i="5"/>
  <c r="E17" i="5"/>
  <c r="C19" i="5"/>
  <c r="E21" i="5"/>
  <c r="E23" i="5"/>
  <c r="E25" i="5"/>
  <c r="G30" i="5"/>
  <c r="G32" i="5"/>
  <c r="I34" i="5"/>
  <c r="G36" i="5"/>
  <c r="H38" i="5"/>
  <c r="I43" i="5"/>
  <c r="I45" i="5"/>
  <c r="K47" i="5"/>
  <c r="K49" i="5"/>
  <c r="K51" i="5"/>
  <c r="B57" i="5"/>
  <c r="C59" i="5"/>
  <c r="C61" i="5"/>
  <c r="C63" i="5"/>
  <c r="C68" i="5"/>
  <c r="E70" i="5"/>
  <c r="E72" i="5"/>
  <c r="F74" i="5"/>
  <c r="G76" i="5"/>
  <c r="D81" i="5"/>
  <c r="D83" i="5"/>
  <c r="C85" i="5"/>
  <c r="B87" i="5"/>
  <c r="J88" i="5"/>
  <c r="G90" i="5"/>
  <c r="H95" i="5"/>
  <c r="E97" i="5"/>
  <c r="E99" i="5"/>
  <c r="B101" i="5"/>
  <c r="I102" i="5"/>
  <c r="F107" i="5"/>
  <c r="C109" i="5"/>
  <c r="I110" i="5"/>
  <c r="F112" i="5"/>
  <c r="D114" i="5"/>
  <c r="J115" i="5"/>
  <c r="G120" i="5"/>
  <c r="E122" i="5"/>
  <c r="C124" i="5"/>
  <c r="I125" i="5"/>
  <c r="F127" i="5"/>
  <c r="C129" i="5"/>
  <c r="I133" i="5"/>
  <c r="E135" i="5"/>
  <c r="B137" i="5"/>
  <c r="G138" i="5"/>
  <c r="B140" i="5"/>
  <c r="H141" i="5"/>
  <c r="D146" i="5"/>
  <c r="J147" i="5"/>
  <c r="F149" i="5"/>
  <c r="K150" i="5"/>
  <c r="F152" i="5"/>
  <c r="K153" i="5"/>
  <c r="H155" i="5"/>
  <c r="B160" i="5"/>
  <c r="F161" i="5"/>
  <c r="J162" i="5"/>
  <c r="D164" i="5"/>
  <c r="J165" i="5"/>
  <c r="D167" i="5"/>
  <c r="H168" i="5"/>
  <c r="B173" i="5"/>
  <c r="F174" i="5"/>
  <c r="K175" i="5"/>
  <c r="E177" i="5"/>
  <c r="I178" i="5"/>
  <c r="C180" i="5"/>
  <c r="G181" i="5"/>
  <c r="B186" i="5"/>
  <c r="G187" i="5"/>
  <c r="K188" i="5"/>
  <c r="E190" i="5"/>
  <c r="I191" i="5"/>
  <c r="D193" i="5"/>
  <c r="C5" i="5"/>
  <c r="H7" i="5"/>
  <c r="G10" i="5"/>
  <c r="E16" i="5"/>
  <c r="K18" i="5"/>
  <c r="I21" i="5"/>
  <c r="H24" i="5"/>
  <c r="B30" i="5"/>
  <c r="C33" i="5"/>
  <c r="I35" i="5"/>
  <c r="F38" i="5"/>
  <c r="E44" i="5"/>
  <c r="B47" i="5"/>
  <c r="G49" i="5"/>
  <c r="F55" i="5"/>
  <c r="C58" i="5"/>
  <c r="I60" i="5"/>
  <c r="I63" i="5"/>
  <c r="F69" i="5"/>
  <c r="B72" i="5"/>
  <c r="B75" i="5"/>
  <c r="H77" i="5"/>
  <c r="J82" i="5"/>
  <c r="G85" i="5"/>
  <c r="B88" i="5"/>
  <c r="E90" i="5"/>
  <c r="B96" i="5"/>
  <c r="G98" i="5"/>
  <c r="I100" i="5"/>
  <c r="C103" i="5"/>
  <c r="F108" i="5"/>
  <c r="G110" i="5"/>
  <c r="K112" i="5"/>
  <c r="C115" i="5"/>
  <c r="D120" i="5"/>
  <c r="I122" i="5"/>
  <c r="K124" i="5"/>
  <c r="C127" i="5"/>
  <c r="F129" i="5"/>
  <c r="J134" i="5"/>
  <c r="H136" i="5"/>
  <c r="K138" i="5"/>
  <c r="B141" i="5"/>
  <c r="K142" i="5"/>
  <c r="D148" i="5"/>
  <c r="C150" i="5"/>
  <c r="D152" i="5"/>
  <c r="F154" i="5"/>
  <c r="F159" i="5"/>
  <c r="D161" i="5"/>
  <c r="E163" i="5"/>
  <c r="C165" i="5"/>
  <c r="K166" i="5"/>
  <c r="K168" i="5"/>
  <c r="J173" i="5"/>
  <c r="H175" i="5"/>
  <c r="H177" i="5"/>
  <c r="H179" i="5"/>
  <c r="E181" i="5"/>
  <c r="F186" i="5"/>
  <c r="D188" i="5"/>
  <c r="C190" i="5"/>
  <c r="C192" i="5"/>
  <c r="B194" i="5"/>
  <c r="I198" i="5"/>
  <c r="F200" i="5"/>
  <c r="B202" i="5"/>
  <c r="K203" i="5"/>
  <c r="G205" i="5"/>
  <c r="D207" i="5"/>
  <c r="B212" i="5"/>
  <c r="I213" i="5"/>
  <c r="F215" i="5"/>
  <c r="D217" i="5"/>
  <c r="J218" i="5"/>
  <c r="G220" i="5"/>
  <c r="E225" i="5"/>
  <c r="B227" i="5"/>
  <c r="I228" i="5"/>
  <c r="E230" i="5"/>
  <c r="D232" i="5"/>
  <c r="J233" i="5"/>
  <c r="G238" i="5"/>
  <c r="E240" i="5"/>
  <c r="K241" i="5"/>
  <c r="I243" i="5"/>
  <c r="F245" i="5"/>
  <c r="D250" i="5"/>
  <c r="J251" i="5"/>
  <c r="G253" i="5"/>
  <c r="E255" i="5"/>
  <c r="K256" i="5"/>
  <c r="J258" i="5"/>
  <c r="J5" i="6"/>
  <c r="J21" i="6"/>
  <c r="J39" i="6"/>
  <c r="J56" i="6"/>
  <c r="J74" i="6"/>
  <c r="J90" i="6"/>
  <c r="J108" i="6"/>
  <c r="J125" i="6"/>
  <c r="J140" i="6"/>
  <c r="J157" i="6"/>
  <c r="J172" i="6"/>
  <c r="J187" i="6"/>
  <c r="J204" i="6"/>
  <c r="J219" i="6"/>
  <c r="J235" i="6"/>
  <c r="J250" i="6"/>
  <c r="J266" i="6"/>
  <c r="J282" i="6"/>
  <c r="J297" i="6"/>
  <c r="J314" i="6"/>
  <c r="J329" i="6"/>
  <c r="J344" i="6"/>
  <c r="J361" i="6"/>
  <c r="J376" i="6"/>
  <c r="J392" i="6"/>
  <c r="J408" i="6"/>
  <c r="J423" i="6"/>
  <c r="J436" i="6"/>
  <c r="J449" i="6"/>
  <c r="F5" i="5"/>
  <c r="E8" i="5"/>
  <c r="B11" i="5"/>
  <c r="H16" i="5"/>
  <c r="I19" i="5"/>
  <c r="F22" i="5"/>
  <c r="K24" i="5"/>
  <c r="I30" i="5"/>
  <c r="G33" i="5"/>
  <c r="D36" i="5"/>
  <c r="B42" i="5"/>
  <c r="I44" i="5"/>
  <c r="E47" i="5"/>
  <c r="C50" i="5"/>
  <c r="K55" i="5"/>
  <c r="G58" i="5"/>
  <c r="G61" i="5"/>
  <c r="D64" i="5"/>
  <c r="I69" i="5"/>
  <c r="I72" i="5"/>
  <c r="F75" i="5"/>
  <c r="K77" i="5"/>
  <c r="F83" i="5"/>
  <c r="K85" i="5"/>
  <c r="F88" i="5"/>
  <c r="C94" i="5"/>
  <c r="E96" i="5"/>
  <c r="I98" i="5"/>
  <c r="E101" i="5"/>
  <c r="F103" i="5"/>
  <c r="I108" i="5"/>
  <c r="B111" i="5"/>
  <c r="E113" i="5"/>
  <c r="G115" i="5"/>
  <c r="K120" i="5"/>
  <c r="C123" i="5"/>
  <c r="C125" i="5"/>
  <c r="I127" i="5"/>
  <c r="J129" i="5"/>
  <c r="B135" i="5"/>
  <c r="D137" i="5"/>
  <c r="E139" i="5"/>
  <c r="D141" i="5"/>
  <c r="G146" i="5"/>
  <c r="G148" i="5"/>
  <c r="H150" i="5"/>
  <c r="H152" i="5"/>
  <c r="J154" i="5"/>
  <c r="I159" i="5"/>
  <c r="H161" i="5"/>
  <c r="H163" i="5"/>
  <c r="E165" i="5"/>
  <c r="F167" i="5"/>
  <c r="E172" i="5"/>
  <c r="C174" i="5"/>
  <c r="C176" i="5"/>
  <c r="B178" i="5"/>
  <c r="J179" i="5"/>
  <c r="K181" i="5"/>
  <c r="I186" i="5"/>
  <c r="G188" i="5"/>
  <c r="G190" i="5"/>
  <c r="F192" i="5"/>
  <c r="D194" i="5"/>
  <c r="B199" i="5"/>
  <c r="H200" i="5"/>
  <c r="G202" i="5"/>
  <c r="C204" i="5"/>
  <c r="J205" i="5"/>
  <c r="H207" i="5"/>
  <c r="D212" i="5"/>
  <c r="B214" i="5"/>
  <c r="I215" i="5"/>
  <c r="F217" i="5"/>
  <c r="C219" i="5"/>
  <c r="J220" i="5"/>
  <c r="H225" i="5"/>
  <c r="D227" i="5"/>
  <c r="K228" i="5"/>
  <c r="I230" i="5"/>
  <c r="F232" i="5"/>
  <c r="C237" i="5"/>
  <c r="K238" i="5"/>
  <c r="G240" i="5"/>
  <c r="D242" i="5"/>
  <c r="B4" i="5"/>
  <c r="I6" i="5"/>
  <c r="E9" i="5"/>
  <c r="E12" i="5"/>
  <c r="B18" i="5"/>
  <c r="G20" i="5"/>
  <c r="F23" i="5"/>
  <c r="E29" i="5"/>
  <c r="J31" i="5"/>
  <c r="J34" i="5"/>
  <c r="G37" i="5"/>
  <c r="B43" i="5"/>
  <c r="C46" i="5"/>
  <c r="I48" i="5"/>
  <c r="E51" i="5"/>
  <c r="C57" i="5"/>
  <c r="K59" i="5"/>
  <c r="F62" i="5"/>
  <c r="F68" i="5"/>
  <c r="C71" i="5"/>
  <c r="J73" i="5"/>
  <c r="H76" i="5"/>
  <c r="D82" i="5"/>
  <c r="F84" i="5"/>
  <c r="C87" i="5"/>
  <c r="H89" i="5"/>
  <c r="J94" i="5"/>
  <c r="G97" i="5"/>
  <c r="K99" i="5"/>
  <c r="B102" i="5"/>
  <c r="G107" i="5"/>
  <c r="I109" i="5"/>
  <c r="K111" i="5"/>
  <c r="E114" i="5"/>
  <c r="H116" i="5"/>
  <c r="I121" i="5"/>
  <c r="D124" i="5"/>
  <c r="E126" i="5"/>
  <c r="G128" i="5"/>
  <c r="J133" i="5"/>
  <c r="C136" i="5"/>
  <c r="B138" i="5"/>
  <c r="C140" i="5"/>
  <c r="E142" i="5"/>
  <c r="D147" i="5"/>
  <c r="G149" i="5"/>
  <c r="F151" i="5"/>
  <c r="G153" i="5"/>
  <c r="I155" i="5"/>
  <c r="H160" i="5"/>
  <c r="F162" i="5"/>
  <c r="G164" i="5"/>
  <c r="E166" i="5"/>
  <c r="C168" i="5"/>
  <c r="C173" i="5"/>
  <c r="B175" i="5"/>
  <c r="J176" i="5"/>
  <c r="J178" i="5"/>
  <c r="J180" i="5"/>
  <c r="G185" i="5"/>
  <c r="H187" i="5"/>
  <c r="F189" i="5"/>
  <c r="D191" i="5"/>
  <c r="E193" i="5"/>
  <c r="K194" i="5"/>
  <c r="J199" i="5"/>
  <c r="F201" i="5"/>
  <c r="B203" i="5"/>
  <c r="K204" i="5"/>
  <c r="G206" i="5"/>
  <c r="E211" i="5"/>
  <c r="K212" i="5"/>
  <c r="H214" i="5"/>
  <c r="F216" i="5"/>
  <c r="B218" i="5"/>
  <c r="K219" i="5"/>
  <c r="G224" i="5"/>
  <c r="D226" i="5"/>
  <c r="B228" i="5"/>
  <c r="H229" i="5"/>
  <c r="F231" i="5"/>
  <c r="C233" i="5"/>
  <c r="J237" i="5"/>
  <c r="G239" i="5"/>
  <c r="D241" i="5"/>
  <c r="B243" i="5"/>
  <c r="H244" i="5"/>
  <c r="E246" i="5"/>
  <c r="C251" i="5"/>
  <c r="J252" i="5"/>
  <c r="G254" i="5"/>
  <c r="E256" i="5"/>
  <c r="K257" i="5"/>
  <c r="H259" i="5"/>
  <c r="J15" i="6"/>
  <c r="J32" i="6"/>
  <c r="J49" i="6"/>
  <c r="J65" i="6"/>
  <c r="J84" i="6"/>
  <c r="J100" i="6"/>
  <c r="J117" i="6"/>
  <c r="J134" i="6"/>
  <c r="J149" i="6"/>
  <c r="J165" i="6"/>
  <c r="J181" i="6"/>
  <c r="J197" i="6"/>
  <c r="J212" i="6"/>
  <c r="J228" i="6"/>
  <c r="J244" i="6"/>
  <c r="J259" i="6"/>
  <c r="J276" i="6"/>
  <c r="J291" i="6"/>
  <c r="J306" i="6"/>
  <c r="J322" i="6"/>
  <c r="J338" i="6"/>
  <c r="J354" i="6"/>
  <c r="J369" i="6"/>
  <c r="J385" i="6"/>
  <c r="J401" i="6"/>
  <c r="J416" i="6"/>
  <c r="J431" i="6"/>
  <c r="J444" i="6"/>
  <c r="J457" i="6"/>
  <c r="J470" i="6"/>
  <c r="J483" i="6"/>
  <c r="J496" i="6"/>
  <c r="J509" i="6"/>
  <c r="J522" i="6"/>
  <c r="J535" i="6"/>
  <c r="J548" i="6"/>
  <c r="J561" i="6"/>
  <c r="D4" i="5"/>
  <c r="J6" i="5"/>
  <c r="H9" i="5"/>
  <c r="F12" i="5"/>
  <c r="C18" i="5"/>
  <c r="H20" i="5"/>
  <c r="H23" i="5"/>
  <c r="F29" i="5"/>
  <c r="B32" i="5"/>
  <c r="K34" i="5"/>
  <c r="H37" i="5"/>
  <c r="D43" i="5"/>
  <c r="D46" i="5"/>
  <c r="K48" i="5"/>
  <c r="F51" i="5"/>
  <c r="D57" i="5"/>
  <c r="C60" i="5"/>
  <c r="J62" i="5"/>
  <c r="H68" i="5"/>
  <c r="E71" i="5"/>
  <c r="K73" i="5"/>
  <c r="I76" i="5"/>
  <c r="E82" i="5"/>
  <c r="H84" i="5"/>
  <c r="D87" i="5"/>
  <c r="I89" i="5"/>
  <c r="K94" i="5"/>
  <c r="I97" i="5"/>
  <c r="C100" i="5"/>
  <c r="E102" i="5"/>
  <c r="H107" i="5"/>
  <c r="B110" i="5"/>
  <c r="B112" i="5"/>
  <c r="F114" i="5"/>
  <c r="J116" i="5"/>
  <c r="J121" i="5"/>
  <c r="E124" i="5"/>
  <c r="G126" i="5"/>
  <c r="I128" i="5"/>
  <c r="K133" i="5"/>
  <c r="D136" i="5"/>
  <c r="D138" i="5"/>
  <c r="F140" i="5"/>
  <c r="F142" i="5"/>
  <c r="E147" i="5"/>
  <c r="H149" i="5"/>
  <c r="H151" i="5"/>
  <c r="H153" i="5"/>
  <c r="J155" i="5"/>
  <c r="J160" i="5"/>
  <c r="G162" i="5"/>
  <c r="H164" i="5"/>
  <c r="F166" i="5"/>
  <c r="D168" i="5"/>
  <c r="D173" i="5"/>
  <c r="C175" i="5"/>
  <c r="B177" i="5"/>
  <c r="K178" i="5"/>
  <c r="K180" i="5"/>
  <c r="H185" i="5"/>
  <c r="I187" i="5"/>
  <c r="H189" i="5"/>
  <c r="F191" i="5"/>
  <c r="F193" i="5"/>
  <c r="C198" i="5"/>
  <c r="K199" i="5"/>
  <c r="G201" i="5"/>
  <c r="D203" i="5"/>
  <c r="B205" i="5"/>
  <c r="I206" i="5"/>
  <c r="F211" i="5"/>
  <c r="C213" i="5"/>
  <c r="K214" i="5"/>
  <c r="G216" i="5"/>
  <c r="F218" i="5"/>
  <c r="B220" i="5"/>
  <c r="H224" i="5"/>
  <c r="F226" i="5"/>
  <c r="C228" i="5"/>
  <c r="K229" i="5"/>
  <c r="G231" i="5"/>
  <c r="D233" i="5"/>
  <c r="B238" i="5"/>
  <c r="H239" i="5"/>
  <c r="G241" i="5"/>
  <c r="C243" i="5"/>
  <c r="J244" i="5"/>
  <c r="H246" i="5"/>
  <c r="D251" i="5"/>
  <c r="B253" i="5"/>
  <c r="H254" i="5"/>
  <c r="F256" i="5"/>
  <c r="C258" i="5"/>
  <c r="J259" i="5"/>
  <c r="J17" i="6"/>
  <c r="J33" i="6"/>
  <c r="J50" i="6"/>
  <c r="J68" i="6"/>
  <c r="J85" i="6"/>
  <c r="J102" i="6"/>
  <c r="J120" i="6"/>
  <c r="J135" i="6"/>
  <c r="J151" i="6"/>
  <c r="J166" i="6"/>
  <c r="J183" i="6"/>
  <c r="J198" i="6"/>
  <c r="J213" i="6"/>
  <c r="J230" i="6"/>
  <c r="J245" i="6"/>
  <c r="J261" i="6"/>
  <c r="J277" i="6"/>
  <c r="J292" i="6"/>
  <c r="J308" i="6"/>
  <c r="J324" i="6"/>
  <c r="J340" i="6"/>
  <c r="J355" i="6"/>
  <c r="J370" i="6"/>
  <c r="J387" i="6"/>
  <c r="J402" i="6"/>
  <c r="J418" i="6"/>
  <c r="J432" i="6"/>
  <c r="J445" i="6"/>
  <c r="J458" i="6"/>
  <c r="J471" i="6"/>
  <c r="J484" i="6"/>
  <c r="J497" i="6"/>
  <c r="J510" i="6"/>
  <c r="J523" i="6"/>
  <c r="J536" i="6"/>
  <c r="J549" i="6"/>
  <c r="J563" i="6"/>
  <c r="J576" i="6"/>
  <c r="J589" i="6"/>
  <c r="D6" i="5"/>
  <c r="D10" i="5"/>
  <c r="F17" i="5"/>
  <c r="G21" i="5"/>
  <c r="G25" i="5"/>
  <c r="I32" i="5"/>
  <c r="I36" i="5"/>
  <c r="J43" i="5"/>
  <c r="B48" i="5"/>
  <c r="D55" i="5"/>
  <c r="E59" i="5"/>
  <c r="E63" i="5"/>
  <c r="F70" i="5"/>
  <c r="G74" i="5"/>
  <c r="G81" i="5"/>
  <c r="E85" i="5"/>
  <c r="K88" i="5"/>
  <c r="I95" i="5"/>
  <c r="G99" i="5"/>
  <c r="J102" i="5"/>
  <c r="D109" i="5"/>
  <c r="I112" i="5"/>
  <c r="K115" i="5"/>
  <c r="F122" i="5"/>
  <c r="J125" i="5"/>
  <c r="D129" i="5"/>
  <c r="H135" i="5"/>
  <c r="H138" i="5"/>
  <c r="J141" i="5"/>
  <c r="K147" i="5"/>
  <c r="B151" i="5"/>
  <c r="B154" i="5"/>
  <c r="C160" i="5"/>
  <c r="K162" i="5"/>
  <c r="K165" i="5"/>
  <c r="I168" i="5"/>
  <c r="H174" i="5"/>
  <c r="F177" i="5"/>
  <c r="D180" i="5"/>
  <c r="D186" i="5"/>
  <c r="B189" i="5"/>
  <c r="J191" i="5"/>
  <c r="H194" i="5"/>
  <c r="C200" i="5"/>
  <c r="I202" i="5"/>
  <c r="E205" i="5"/>
  <c r="J207" i="5"/>
  <c r="F213" i="5"/>
  <c r="B216" i="5"/>
  <c r="H218" i="5"/>
  <c r="D224" i="5"/>
  <c r="I226" i="5"/>
  <c r="E229" i="5"/>
  <c r="J231" i="5"/>
  <c r="F237" i="5"/>
  <c r="C240" i="5"/>
  <c r="G242" i="5"/>
  <c r="K244" i="5"/>
  <c r="E250" i="5"/>
  <c r="F252" i="5"/>
  <c r="J254" i="5"/>
  <c r="B257" i="5"/>
  <c r="D259" i="5"/>
  <c r="J18" i="6"/>
  <c r="J41" i="6"/>
  <c r="J62" i="6"/>
  <c r="J86" i="6"/>
  <c r="J109" i="6"/>
  <c r="J130" i="6"/>
  <c r="J152" i="6"/>
  <c r="J173" i="6"/>
  <c r="J193" i="6"/>
  <c r="J214" i="6"/>
  <c r="J236" i="6"/>
  <c r="J256" i="6"/>
  <c r="J278" i="6"/>
  <c r="J298" i="6"/>
  <c r="J318" i="6"/>
  <c r="J341" i="6"/>
  <c r="J362" i="6"/>
  <c r="J381" i="6"/>
  <c r="J403" i="6"/>
  <c r="J424" i="6"/>
  <c r="J440" i="6"/>
  <c r="J459" i="6"/>
  <c r="J474" i="6"/>
  <c r="J489" i="6"/>
  <c r="J505" i="6"/>
  <c r="J520" i="6"/>
  <c r="J537" i="6"/>
  <c r="J553" i="6"/>
  <c r="J568" i="6"/>
  <c r="J582" i="6"/>
  <c r="J596" i="6"/>
  <c r="J609" i="6"/>
  <c r="J623" i="6"/>
  <c r="J636" i="6"/>
  <c r="J649" i="6"/>
  <c r="J662" i="6"/>
  <c r="J675" i="6"/>
  <c r="J688" i="6"/>
  <c r="J701" i="6"/>
  <c r="J714" i="6"/>
  <c r="J727" i="6"/>
  <c r="J740" i="6"/>
  <c r="J753" i="6"/>
  <c r="J767" i="6"/>
  <c r="J780" i="6"/>
  <c r="J793" i="6"/>
  <c r="J806" i="6"/>
  <c r="J819" i="6"/>
  <c r="J832" i="6"/>
  <c r="J845" i="6"/>
  <c r="J858" i="6"/>
  <c r="J871" i="6"/>
  <c r="J884" i="6"/>
  <c r="E6" i="5"/>
  <c r="E10" i="5"/>
  <c r="G17" i="5"/>
  <c r="H21" i="5"/>
  <c r="J25" i="5"/>
  <c r="J32" i="5"/>
  <c r="J36" i="5"/>
  <c r="C44" i="5"/>
  <c r="C48" i="5"/>
  <c r="E55" i="5"/>
  <c r="F59" i="5"/>
  <c r="G63" i="5"/>
  <c r="H70" i="5"/>
  <c r="H74" i="5"/>
  <c r="H81" i="5"/>
  <c r="F85" i="5"/>
  <c r="B89" i="5"/>
  <c r="J95" i="5"/>
  <c r="H99" i="5"/>
  <c r="K102" i="5"/>
  <c r="E109" i="5"/>
  <c r="J112" i="5"/>
  <c r="C116" i="5"/>
  <c r="H122" i="5"/>
  <c r="K125" i="5"/>
  <c r="E129" i="5"/>
  <c r="I135" i="5"/>
  <c r="I138" i="5"/>
  <c r="K141" i="5"/>
  <c r="B148" i="5"/>
  <c r="C151" i="5"/>
  <c r="E154" i="5"/>
  <c r="D160" i="5"/>
  <c r="D163" i="5"/>
  <c r="B166" i="5"/>
  <c r="J168" i="5"/>
  <c r="I174" i="5"/>
  <c r="G177" i="5"/>
  <c r="E180" i="5"/>
  <c r="E186" i="5"/>
  <c r="C189" i="5"/>
  <c r="B192" i="5"/>
  <c r="I194" i="5"/>
  <c r="D200" i="5"/>
  <c r="J202" i="5"/>
  <c r="F205" i="5"/>
  <c r="K207" i="5"/>
  <c r="H213" i="5"/>
  <c r="C216" i="5"/>
  <c r="I218" i="5"/>
  <c r="E224" i="5"/>
  <c r="J226" i="5"/>
  <c r="F229" i="5"/>
  <c r="K231" i="5"/>
  <c r="H237" i="5"/>
  <c r="D240" i="5"/>
  <c r="I242" i="5"/>
  <c r="C245" i="5"/>
  <c r="F250" i="5"/>
  <c r="H252" i="5"/>
  <c r="B255" i="5"/>
  <c r="D257" i="5"/>
  <c r="E259" i="5"/>
  <c r="J19" i="6"/>
  <c r="J42" i="6"/>
  <c r="J63" i="6"/>
  <c r="G6" i="5"/>
  <c r="K10" i="5"/>
  <c r="I17" i="5"/>
  <c r="C22" i="5"/>
  <c r="K25" i="5"/>
  <c r="E33" i="5"/>
  <c r="D37" i="5"/>
  <c r="H44" i="5"/>
  <c r="E48" i="5"/>
  <c r="J55" i="5"/>
  <c r="G59" i="5"/>
  <c r="B64" i="5"/>
  <c r="K70" i="5"/>
  <c r="E75" i="5"/>
  <c r="J81" i="5"/>
  <c r="J85" i="5"/>
  <c r="E89" i="5"/>
  <c r="D96" i="5"/>
  <c r="I99" i="5"/>
  <c r="E103" i="5"/>
  <c r="F109" i="5"/>
  <c r="D113" i="5"/>
  <c r="E116" i="5"/>
  <c r="B123" i="5"/>
  <c r="C126" i="5"/>
  <c r="I129" i="5"/>
  <c r="J135" i="5"/>
  <c r="D139" i="5"/>
  <c r="C142" i="5"/>
  <c r="F148" i="5"/>
  <c r="D151" i="5"/>
  <c r="H154" i="5"/>
  <c r="E160" i="5"/>
  <c r="G163" i="5"/>
  <c r="C166" i="5"/>
  <c r="D172" i="5"/>
  <c r="J174" i="5"/>
  <c r="K177" i="5"/>
  <c r="H180" i="5"/>
  <c r="H186" i="5"/>
  <c r="D189" i="5"/>
  <c r="E192" i="5"/>
  <c r="J194" i="5"/>
  <c r="G200" i="5"/>
  <c r="K202" i="5"/>
  <c r="H205" i="5"/>
  <c r="D211" i="5"/>
  <c r="J213" i="5"/>
  <c r="E216" i="5"/>
  <c r="K218" i="5"/>
  <c r="F224" i="5"/>
  <c r="C227" i="5"/>
  <c r="G229" i="5"/>
  <c r="E232" i="5"/>
  <c r="I237" i="5"/>
  <c r="F240" i="5"/>
  <c r="K242" i="5"/>
  <c r="E245" i="5"/>
  <c r="G250" i="5"/>
  <c r="I252" i="5"/>
  <c r="C255" i="5"/>
  <c r="G257" i="5"/>
  <c r="G259" i="5"/>
  <c r="J20" i="6"/>
  <c r="J43" i="6"/>
  <c r="J64" i="6"/>
  <c r="J89" i="6"/>
  <c r="J112" i="6"/>
  <c r="J133" i="6"/>
  <c r="J154" i="6"/>
  <c r="J175" i="6"/>
  <c r="J196" i="6"/>
  <c r="J218" i="6"/>
  <c r="J238" i="6"/>
  <c r="J258" i="6"/>
  <c r="J280" i="6"/>
  <c r="J302" i="6"/>
  <c r="J321" i="6"/>
  <c r="J343" i="6"/>
  <c r="J364" i="6"/>
  <c r="J384" i="6"/>
  <c r="J406" i="6"/>
  <c r="J426" i="6"/>
  <c r="J443" i="6"/>
  <c r="J461" i="6"/>
  <c r="J476" i="6"/>
  <c r="J492" i="6"/>
  <c r="J507" i="6"/>
  <c r="J524" i="6"/>
  <c r="J540" i="6"/>
  <c r="J555" i="6"/>
  <c r="J570" i="6"/>
  <c r="J584" i="6"/>
  <c r="J599" i="6"/>
  <c r="J612" i="6"/>
  <c r="J625" i="6"/>
  <c r="J638" i="6"/>
  <c r="J651" i="6"/>
  <c r="J664" i="6"/>
  <c r="J677" i="6"/>
  <c r="J690" i="6"/>
  <c r="J703" i="6"/>
  <c r="J716" i="6"/>
  <c r="J729" i="6"/>
  <c r="J743" i="6"/>
  <c r="J756" i="6"/>
  <c r="J769" i="6"/>
  <c r="J782" i="6"/>
  <c r="J795" i="6"/>
  <c r="J808" i="6"/>
  <c r="J821" i="6"/>
  <c r="J834" i="6"/>
  <c r="J847" i="6"/>
  <c r="J860" i="6"/>
  <c r="J873" i="6"/>
  <c r="J887" i="6"/>
  <c r="J900" i="6"/>
  <c r="J913" i="6"/>
  <c r="J926" i="6"/>
  <c r="J939" i="6"/>
  <c r="J952" i="6"/>
  <c r="J965" i="6"/>
  <c r="J978" i="6"/>
  <c r="J991" i="6"/>
  <c r="J1004" i="6"/>
  <c r="J1017" i="6"/>
  <c r="J1031" i="6"/>
  <c r="J1044" i="6"/>
  <c r="J1057" i="6"/>
  <c r="J1070" i="6"/>
  <c r="J1083" i="6"/>
  <c r="J1096" i="6"/>
  <c r="J1109" i="6"/>
  <c r="J1122" i="6"/>
  <c r="J1135" i="6"/>
  <c r="J1148" i="6"/>
  <c r="J1161" i="6"/>
  <c r="J1175" i="6"/>
  <c r="J1188" i="6"/>
  <c r="J1201" i="6"/>
  <c r="J1214" i="6"/>
  <c r="J1227" i="6"/>
  <c r="J1240" i="6"/>
  <c r="J1253" i="6"/>
  <c r="J1266" i="6"/>
  <c r="J1279" i="6"/>
  <c r="J1292" i="6"/>
  <c r="J1305" i="6"/>
  <c r="J1319" i="6"/>
  <c r="J1332" i="6"/>
  <c r="J1345" i="6"/>
  <c r="J1358" i="6"/>
  <c r="J1371" i="6"/>
  <c r="J1384" i="6"/>
  <c r="J1397" i="6"/>
  <c r="J1410" i="6"/>
  <c r="J1423" i="6"/>
  <c r="J1436" i="6"/>
  <c r="J1449" i="6"/>
  <c r="J1463" i="6"/>
  <c r="J1476" i="6"/>
  <c r="J1489" i="6"/>
  <c r="J1502" i="6"/>
  <c r="J1515" i="6"/>
  <c r="J1528" i="6"/>
  <c r="J1541" i="6"/>
  <c r="J1554" i="6"/>
  <c r="J1567" i="6"/>
  <c r="J1580" i="6"/>
  <c r="J1593" i="6"/>
  <c r="F4" i="5"/>
  <c r="G8" i="5"/>
  <c r="G12" i="5"/>
  <c r="J19" i="5"/>
  <c r="K23" i="5"/>
  <c r="C31" i="5"/>
  <c r="B35" i="5"/>
  <c r="C42" i="5"/>
  <c r="E46" i="5"/>
  <c r="G50" i="5"/>
  <c r="I57" i="5"/>
  <c r="H61" i="5"/>
  <c r="I68" i="5"/>
  <c r="K72" i="5"/>
  <c r="K76" i="5"/>
  <c r="I83" i="5"/>
  <c r="E87" i="5"/>
  <c r="D94" i="5"/>
  <c r="K97" i="5"/>
  <c r="F101" i="5"/>
  <c r="I107" i="5"/>
  <c r="C111" i="5"/>
  <c r="H114" i="5"/>
  <c r="B121" i="5"/>
  <c r="F124" i="5"/>
  <c r="J127" i="5"/>
  <c r="C134" i="5"/>
  <c r="E137" i="5"/>
  <c r="G140" i="5"/>
  <c r="H146" i="5"/>
  <c r="I149" i="5"/>
  <c r="I152" i="5"/>
  <c r="K155" i="5"/>
  <c r="J161" i="5"/>
  <c r="I164" i="5"/>
  <c r="G167" i="5"/>
  <c r="F173" i="5"/>
  <c r="D176" i="5"/>
  <c r="B179" i="5"/>
  <c r="B185" i="5"/>
  <c r="J187" i="5"/>
  <c r="H190" i="5"/>
  <c r="G193" i="5"/>
  <c r="C199" i="5"/>
  <c r="H201" i="5"/>
  <c r="D204" i="5"/>
  <c r="J206" i="5"/>
  <c r="F212" i="5"/>
  <c r="B215" i="5"/>
  <c r="G217" i="5"/>
  <c r="C220" i="5"/>
  <c r="I225" i="5"/>
  <c r="D228" i="5"/>
  <c r="J230" i="5"/>
  <c r="F233" i="5"/>
  <c r="B239" i="5"/>
  <c r="H241" i="5"/>
  <c r="B244" i="5"/>
  <c r="C246" i="5"/>
  <c r="H251" i="5"/>
  <c r="K253" i="5"/>
  <c r="K255" i="5"/>
  <c r="E258" i="5"/>
  <c r="J7" i="6"/>
  <c r="J29" i="6"/>
  <c r="J54" i="6"/>
  <c r="J76" i="6"/>
  <c r="J98" i="6"/>
  <c r="J122" i="6"/>
  <c r="J144" i="6"/>
  <c r="J162" i="6"/>
  <c r="J185" i="6"/>
  <c r="J206" i="6"/>
  <c r="J225" i="6"/>
  <c r="J248" i="6"/>
  <c r="J269" i="6"/>
  <c r="J289" i="6"/>
  <c r="J310" i="6"/>
  <c r="J331" i="6"/>
  <c r="J351" i="6"/>
  <c r="J374" i="6"/>
  <c r="J394" i="6"/>
  <c r="J414" i="6"/>
  <c r="J434" i="6"/>
  <c r="J451" i="6"/>
  <c r="J467" i="6"/>
  <c r="J482" i="6"/>
  <c r="J499" i="6"/>
  <c r="J515" i="6"/>
  <c r="J530" i="6"/>
  <c r="J545" i="6"/>
  <c r="J560" i="6"/>
  <c r="J577" i="6"/>
  <c r="J591" i="6"/>
  <c r="J604" i="6"/>
  <c r="J617" i="6"/>
  <c r="J630" i="6"/>
  <c r="J643" i="6"/>
  <c r="J656" i="6"/>
  <c r="J669" i="6"/>
  <c r="J683" i="6"/>
  <c r="J696" i="6"/>
  <c r="J709" i="6"/>
  <c r="J722" i="6"/>
  <c r="J735" i="6"/>
  <c r="J748" i="6"/>
  <c r="J761" i="6"/>
  <c r="J774" i="6"/>
  <c r="J787" i="6"/>
  <c r="J800" i="6"/>
  <c r="J813" i="6"/>
  <c r="J827" i="6"/>
  <c r="J840" i="6"/>
  <c r="J853" i="6"/>
  <c r="J866" i="6"/>
  <c r="I4" i="5"/>
  <c r="K8" i="5"/>
  <c r="C16" i="5"/>
  <c r="C20" i="5"/>
  <c r="C24" i="5"/>
  <c r="E31" i="5"/>
  <c r="F35" i="5"/>
  <c r="I42" i="5"/>
  <c r="H46" i="5"/>
  <c r="I50" i="5"/>
  <c r="K57" i="5"/>
  <c r="B62" i="5"/>
  <c r="D69" i="5"/>
  <c r="C73" i="5"/>
  <c r="C77" i="5"/>
  <c r="B84" i="5"/>
  <c r="I87" i="5"/>
  <c r="G94" i="5"/>
  <c r="D98" i="5"/>
  <c r="H101" i="5"/>
  <c r="B108" i="5"/>
  <c r="H111" i="5"/>
  <c r="J114" i="5"/>
  <c r="E121" i="5"/>
  <c r="H124" i="5"/>
  <c r="B128" i="5"/>
  <c r="G134" i="5"/>
  <c r="H137" i="5"/>
  <c r="J140" i="5"/>
  <c r="J146" i="5"/>
  <c r="K149" i="5"/>
  <c r="C153" i="5"/>
  <c r="D159" i="5"/>
  <c r="C162" i="5"/>
  <c r="K164" i="5"/>
  <c r="I167" i="5"/>
  <c r="H173" i="5"/>
  <c r="F176" i="5"/>
  <c r="F179" i="5"/>
  <c r="D185" i="5"/>
  <c r="B188" i="5"/>
  <c r="K190" i="5"/>
  <c r="I193" i="5"/>
  <c r="D199" i="5"/>
  <c r="J201" i="5"/>
  <c r="E204" i="5"/>
  <c r="B207" i="5"/>
  <c r="H212" i="5"/>
  <c r="C215" i="5"/>
  <c r="I217" i="5"/>
  <c r="D220" i="5"/>
  <c r="J225" i="5"/>
  <c r="F228" i="5"/>
  <c r="B231" i="5"/>
  <c r="H233" i="5"/>
  <c r="C239" i="5"/>
  <c r="I241" i="5"/>
  <c r="C244" i="5"/>
  <c r="D246" i="5"/>
  <c r="I251" i="5"/>
  <c r="B254" i="5"/>
  <c r="D256" i="5"/>
  <c r="F258" i="5"/>
  <c r="J8" i="6"/>
  <c r="J31" i="6"/>
  <c r="J55" i="6"/>
  <c r="J77" i="6"/>
  <c r="J99" i="6"/>
  <c r="J123" i="6"/>
  <c r="J145" i="6"/>
  <c r="J164" i="6"/>
  <c r="J186" i="6"/>
  <c r="J207" i="6"/>
  <c r="J226" i="6"/>
  <c r="J249" i="6"/>
  <c r="J270" i="6"/>
  <c r="J290" i="6"/>
  <c r="J312" i="6"/>
  <c r="J332" i="6"/>
  <c r="J353" i="6"/>
  <c r="J375" i="6"/>
  <c r="J396" i="6"/>
  <c r="J415" i="6"/>
  <c r="J435" i="6"/>
  <c r="J452" i="6"/>
  <c r="J468" i="6"/>
  <c r="J485" i="6"/>
  <c r="J500" i="6"/>
  <c r="J516" i="6"/>
  <c r="J531" i="6"/>
  <c r="J546" i="6"/>
  <c r="J564" i="6"/>
  <c r="J578" i="6"/>
  <c r="J592" i="6"/>
  <c r="J605" i="6"/>
  <c r="J618" i="6"/>
  <c r="J631" i="6"/>
  <c r="J644" i="6"/>
  <c r="J657" i="6"/>
  <c r="J671" i="6"/>
  <c r="J684" i="6"/>
  <c r="G7" i="5"/>
  <c r="E18" i="5"/>
  <c r="I24" i="5"/>
  <c r="C34" i="5"/>
  <c r="B45" i="5"/>
  <c r="G51" i="5"/>
  <c r="C62" i="5"/>
  <c r="J71" i="5"/>
  <c r="F82" i="5"/>
  <c r="C88" i="5"/>
  <c r="C97" i="5"/>
  <c r="K103" i="5"/>
  <c r="C112" i="5"/>
  <c r="F121" i="5"/>
  <c r="B127" i="5"/>
  <c r="E136" i="5"/>
  <c r="C141" i="5"/>
  <c r="C149" i="5"/>
  <c r="B155" i="5"/>
  <c r="H162" i="5"/>
  <c r="J167" i="5"/>
  <c r="G175" i="5"/>
  <c r="B181" i="5"/>
  <c r="F188" i="5"/>
  <c r="K192" i="5"/>
  <c r="C201" i="5"/>
  <c r="C205" i="5"/>
  <c r="I212" i="5"/>
  <c r="B217" i="5"/>
  <c r="I224" i="5"/>
  <c r="J228" i="5"/>
  <c r="K232" i="5"/>
  <c r="J240" i="5"/>
  <c r="G244" i="5"/>
  <c r="K251" i="5"/>
  <c r="H255" i="5"/>
  <c r="K259" i="5"/>
  <c r="J36" i="6"/>
  <c r="J75" i="6"/>
  <c r="J111" i="6"/>
  <c r="J141" i="6"/>
  <c r="J174" i="6"/>
  <c r="J205" i="6"/>
  <c r="J237" i="6"/>
  <c r="C8" i="5"/>
  <c r="G18" i="5"/>
  <c r="B25" i="5"/>
  <c r="G35" i="5"/>
  <c r="E45" i="5"/>
  <c r="E56" i="5"/>
  <c r="E62" i="5"/>
  <c r="H72" i="5"/>
  <c r="G82" i="5"/>
  <c r="G88" i="5"/>
  <c r="E98" i="5"/>
  <c r="B107" i="5"/>
  <c r="F113" i="5"/>
  <c r="G121" i="5"/>
  <c r="G127" i="5"/>
  <c r="F136" i="5"/>
  <c r="E141" i="5"/>
  <c r="B150" i="5"/>
  <c r="C155" i="5"/>
  <c r="I163" i="5"/>
  <c r="B168" i="5"/>
  <c r="B176" i="5"/>
  <c r="C181" i="5"/>
  <c r="H188" i="5"/>
  <c r="J193" i="5"/>
  <c r="D201" i="5"/>
  <c r="K205" i="5"/>
  <c r="J212" i="5"/>
  <c r="E217" i="5"/>
  <c r="B225" i="5"/>
  <c r="B229" i="5"/>
  <c r="I233" i="5"/>
  <c r="K240" i="5"/>
  <c r="G245" i="5"/>
  <c r="B252" i="5"/>
  <c r="J255" i="5"/>
  <c r="J3" i="6"/>
  <c r="J37" i="6"/>
  <c r="J78" i="6"/>
  <c r="J113" i="6"/>
  <c r="J146" i="6"/>
  <c r="J177" i="6"/>
  <c r="J209" i="6"/>
  <c r="J240" i="6"/>
  <c r="J271" i="6"/>
  <c r="J303" i="6"/>
  <c r="J334" i="6"/>
  <c r="J366" i="6"/>
  <c r="J397" i="6"/>
  <c r="J427" i="6"/>
  <c r="J453" i="6"/>
  <c r="J477" i="6"/>
  <c r="J501" i="6"/>
  <c r="J525" i="6"/>
  <c r="J547" i="6"/>
  <c r="J571" i="6"/>
  <c r="J593" i="6"/>
  <c r="J613" i="6"/>
  <c r="J632" i="6"/>
  <c r="J652" i="6"/>
  <c r="J672" i="6"/>
  <c r="J691" i="6"/>
  <c r="J708" i="6"/>
  <c r="J725" i="6"/>
  <c r="J744" i="6"/>
  <c r="J760" i="6"/>
  <c r="J777" i="6"/>
  <c r="J796" i="6"/>
  <c r="J812" i="6"/>
  <c r="J830" i="6"/>
  <c r="J848" i="6"/>
  <c r="J865" i="6"/>
  <c r="J881" i="6"/>
  <c r="J896" i="6"/>
  <c r="J911" i="6"/>
  <c r="J925" i="6"/>
  <c r="J940" i="6"/>
  <c r="J954" i="6"/>
  <c r="J968" i="6"/>
  <c r="J983" i="6"/>
  <c r="J997" i="6"/>
  <c r="J1011" i="6"/>
  <c r="J1025" i="6"/>
  <c r="J1039" i="6"/>
  <c r="J1053" i="6"/>
  <c r="B9" i="5"/>
  <c r="J18" i="5"/>
  <c r="H29" i="5"/>
  <c r="B36" i="5"/>
  <c r="G45" i="5"/>
  <c r="F56" i="5"/>
  <c r="K62" i="5"/>
  <c r="D73" i="5"/>
  <c r="I82" i="5"/>
  <c r="B90" i="5"/>
  <c r="H98" i="5"/>
  <c r="C107" i="5"/>
  <c r="G113" i="5"/>
  <c r="K121" i="5"/>
  <c r="C128" i="5"/>
  <c r="G136" i="5"/>
  <c r="G142" i="5"/>
  <c r="E150" i="5"/>
  <c r="D155" i="5"/>
  <c r="J163" i="5"/>
  <c r="F168" i="5"/>
  <c r="H176" i="5"/>
  <c r="D181" i="5"/>
  <c r="I189" i="5"/>
  <c r="C194" i="5"/>
  <c r="E201" i="5"/>
  <c r="D206" i="5"/>
  <c r="D213" i="5"/>
  <c r="J217" i="5"/>
  <c r="C225" i="5"/>
  <c r="B230" i="5"/>
  <c r="K233" i="5"/>
  <c r="B241" i="5"/>
  <c r="I245" i="5"/>
  <c r="D252" i="5"/>
  <c r="G256" i="5"/>
  <c r="J4" i="6"/>
  <c r="J45" i="6"/>
  <c r="J80" i="6"/>
  <c r="J114" i="6"/>
  <c r="J147" i="6"/>
  <c r="J178" i="6"/>
  <c r="J210" i="6"/>
  <c r="K4" i="5"/>
  <c r="H11" i="5"/>
  <c r="G22" i="5"/>
  <c r="H31" i="5"/>
  <c r="K38" i="5"/>
  <c r="D49" i="5"/>
  <c r="J58" i="5"/>
  <c r="E69" i="5"/>
  <c r="K75" i="5"/>
  <c r="C86" i="5"/>
  <c r="I94" i="5"/>
  <c r="C101" i="5"/>
  <c r="E110" i="5"/>
  <c r="H115" i="5"/>
  <c r="J124" i="5"/>
  <c r="F133" i="5"/>
  <c r="G139" i="5"/>
  <c r="C147" i="5"/>
  <c r="G152" i="5"/>
  <c r="B161" i="5"/>
  <c r="F165" i="5"/>
  <c r="I173" i="5"/>
  <c r="F178" i="5"/>
  <c r="J186" i="5"/>
  <c r="C191" i="5"/>
  <c r="J198" i="5"/>
  <c r="H203" i="5"/>
  <c r="I207" i="5"/>
  <c r="D215" i="5"/>
  <c r="F219" i="5"/>
  <c r="F227" i="5"/>
  <c r="E231" i="5"/>
  <c r="J238" i="5"/>
  <c r="E243" i="5"/>
  <c r="K246" i="5"/>
  <c r="C254" i="5"/>
  <c r="J257" i="5"/>
  <c r="J23" i="6"/>
  <c r="J60" i="6"/>
  <c r="J95" i="6"/>
  <c r="J128" i="6"/>
  <c r="J160" i="6"/>
  <c r="J192" i="6"/>
  <c r="J223" i="6"/>
  <c r="J254" i="6"/>
  <c r="D5" i="5"/>
  <c r="I11" i="5"/>
  <c r="H22" i="5"/>
  <c r="C32" i="5"/>
  <c r="J42" i="5"/>
  <c r="F49" i="5"/>
  <c r="E60" i="5"/>
  <c r="H69" i="5"/>
  <c r="D76" i="5"/>
  <c r="E86" i="5"/>
  <c r="E95" i="5"/>
  <c r="J101" i="5"/>
  <c r="F110" i="5"/>
  <c r="K116" i="5"/>
  <c r="B125" i="5"/>
  <c r="G133" i="5"/>
  <c r="H139" i="5"/>
  <c r="F147" i="5"/>
  <c r="D153" i="5"/>
  <c r="C161" i="5"/>
  <c r="G166" i="5"/>
  <c r="B174" i="5"/>
  <c r="G178" i="5"/>
  <c r="K186" i="5"/>
  <c r="G191" i="5"/>
  <c r="E199" i="5"/>
  <c r="I203" i="5"/>
  <c r="G211" i="5"/>
  <c r="G215" i="5"/>
  <c r="J219" i="5"/>
  <c r="G227" i="5"/>
  <c r="H231" i="5"/>
  <c r="D239" i="5"/>
  <c r="F243" i="5"/>
  <c r="H250" i="5"/>
  <c r="D254" i="5"/>
  <c r="D258" i="5"/>
  <c r="J25" i="6"/>
  <c r="J61" i="6"/>
  <c r="J97" i="6"/>
  <c r="F11" i="5"/>
  <c r="I29" i="5"/>
  <c r="E43" i="5"/>
  <c r="D58" i="5"/>
  <c r="B74" i="5"/>
  <c r="K87" i="5"/>
  <c r="K101" i="5"/>
  <c r="K114" i="5"/>
  <c r="E128" i="5"/>
  <c r="J139" i="5"/>
  <c r="C152" i="5"/>
  <c r="B164" i="5"/>
  <c r="F175" i="5"/>
  <c r="B187" i="5"/>
  <c r="F198" i="5"/>
  <c r="E206" i="5"/>
  <c r="H216" i="5"/>
  <c r="H226" i="5"/>
  <c r="C238" i="5"/>
  <c r="F244" i="5"/>
  <c r="F254" i="5"/>
  <c r="J12" i="6"/>
  <c r="J83" i="6"/>
  <c r="J136" i="6"/>
  <c r="J184" i="6"/>
  <c r="J231" i="6"/>
  <c r="J267" i="6"/>
  <c r="J304" i="6"/>
  <c r="J337" i="6"/>
  <c r="J372" i="6"/>
  <c r="J409" i="6"/>
  <c r="J438" i="6"/>
  <c r="J464" i="6"/>
  <c r="J491" i="6"/>
  <c r="J517" i="6"/>
  <c r="J542" i="6"/>
  <c r="J567" i="6"/>
  <c r="J590" i="6"/>
  <c r="J614" i="6"/>
  <c r="J635" i="6"/>
  <c r="J655" i="6"/>
  <c r="J678" i="6"/>
  <c r="J698" i="6"/>
  <c r="J717" i="6"/>
  <c r="J736" i="6"/>
  <c r="J755" i="6"/>
  <c r="J773" i="6"/>
  <c r="J792" i="6"/>
  <c r="J811" i="6"/>
  <c r="J831" i="6"/>
  <c r="J851" i="6"/>
  <c r="J869" i="6"/>
  <c r="J888" i="6"/>
  <c r="J903" i="6"/>
  <c r="J918" i="6"/>
  <c r="J933" i="6"/>
  <c r="J949" i="6"/>
  <c r="J964" i="6"/>
  <c r="J980" i="6"/>
  <c r="J996" i="6"/>
  <c r="J1012" i="6"/>
  <c r="J1027" i="6"/>
  <c r="J1043" i="6"/>
  <c r="J1059" i="6"/>
  <c r="J1073" i="6"/>
  <c r="J1087" i="6"/>
  <c r="J1101" i="6"/>
  <c r="J1116" i="6"/>
  <c r="J1130" i="6"/>
  <c r="J1144" i="6"/>
  <c r="J1158" i="6"/>
  <c r="J1172" i="6"/>
  <c r="J1187" i="6"/>
  <c r="J1202" i="6"/>
  <c r="J1216" i="6"/>
  <c r="J1230" i="6"/>
  <c r="J1244" i="6"/>
  <c r="J1259" i="6"/>
  <c r="J1273" i="6"/>
  <c r="J1287" i="6"/>
  <c r="J1301" i="6"/>
  <c r="J1315" i="6"/>
  <c r="J1329" i="6"/>
  <c r="J1344" i="6"/>
  <c r="J1359" i="6"/>
  <c r="J1373" i="6"/>
  <c r="J1387" i="6"/>
  <c r="J1401" i="6"/>
  <c r="J1416" i="6"/>
  <c r="J1430" i="6"/>
  <c r="J1444" i="6"/>
  <c r="J1458" i="6"/>
  <c r="G11" i="5"/>
  <c r="K29" i="5"/>
  <c r="K44" i="5"/>
  <c r="G60" i="5"/>
  <c r="G75" i="5"/>
  <c r="C90" i="5"/>
  <c r="G102" i="5"/>
  <c r="F115" i="5"/>
  <c r="K128" i="5"/>
  <c r="K140" i="5"/>
  <c r="F153" i="5"/>
  <c r="B165" i="5"/>
  <c r="I176" i="5"/>
  <c r="D187" i="5"/>
  <c r="H198" i="5"/>
  <c r="F206" i="5"/>
  <c r="J216" i="5"/>
  <c r="H227" i="5"/>
  <c r="D238" i="5"/>
  <c r="J245" i="5"/>
  <c r="F255" i="5"/>
  <c r="J13" i="6"/>
  <c r="J88" i="6"/>
  <c r="J138" i="6"/>
  <c r="J188" i="6"/>
  <c r="J232" i="6"/>
  <c r="J272" i="6"/>
  <c r="J305" i="6"/>
  <c r="J342" i="6"/>
  <c r="J377" i="6"/>
  <c r="J410" i="6"/>
  <c r="J439" i="6"/>
  <c r="J465" i="6"/>
  <c r="J493" i="6"/>
  <c r="J518" i="6"/>
  <c r="J543" i="6"/>
  <c r="J569" i="6"/>
  <c r="J594" i="6"/>
  <c r="J615" i="6"/>
  <c r="J637" i="6"/>
  <c r="J659" i="6"/>
  <c r="J679" i="6"/>
  <c r="J699" i="6"/>
  <c r="J719" i="6"/>
  <c r="J737" i="6"/>
  <c r="J757" i="6"/>
  <c r="J775" i="6"/>
  <c r="J794" i="6"/>
  <c r="J815" i="6"/>
  <c r="J833" i="6"/>
  <c r="J852" i="6"/>
  <c r="J870" i="6"/>
  <c r="J889" i="6"/>
  <c r="J904" i="6"/>
  <c r="J919" i="6"/>
  <c r="J935" i="6"/>
  <c r="J950" i="6"/>
  <c r="J966" i="6"/>
  <c r="J981" i="6"/>
  <c r="J998" i="6"/>
  <c r="J1013" i="6"/>
  <c r="J1028" i="6"/>
  <c r="J1045" i="6"/>
  <c r="J1060" i="6"/>
  <c r="J1074" i="6"/>
  <c r="J1088" i="6"/>
  <c r="J1103" i="6"/>
  <c r="J1117" i="6"/>
  <c r="J1131" i="6"/>
  <c r="J1145" i="6"/>
  <c r="J1159" i="6"/>
  <c r="J1173" i="6"/>
  <c r="J1189" i="6"/>
  <c r="J1203" i="6"/>
  <c r="J1217" i="6"/>
  <c r="J1231" i="6"/>
  <c r="J1245" i="6"/>
  <c r="J1260" i="6"/>
  <c r="J1274" i="6"/>
  <c r="J1288" i="6"/>
  <c r="J1302" i="6"/>
  <c r="J1316" i="6"/>
  <c r="J1331" i="6"/>
  <c r="J1346" i="6"/>
  <c r="J1360" i="6"/>
  <c r="J1374" i="6"/>
  <c r="J1388" i="6"/>
  <c r="J1403" i="6"/>
  <c r="J1417" i="6"/>
  <c r="J1431" i="6"/>
  <c r="J1445" i="6"/>
  <c r="J1459" i="6"/>
  <c r="J1473" i="6"/>
  <c r="J1488" i="6"/>
  <c r="J1503" i="6"/>
  <c r="J1517" i="6"/>
  <c r="J1531" i="6"/>
  <c r="J1545" i="6"/>
  <c r="J1560" i="6"/>
  <c r="J1574" i="6"/>
  <c r="J1588" i="6"/>
  <c r="J1602" i="6"/>
  <c r="J1615" i="6"/>
  <c r="J1628" i="6"/>
  <c r="J1641" i="6"/>
  <c r="J1655" i="6"/>
  <c r="J1668" i="6"/>
  <c r="J1681" i="6"/>
  <c r="J1694" i="6"/>
  <c r="J1707" i="6"/>
  <c r="J1720" i="6"/>
  <c r="J1733" i="6"/>
  <c r="J1746" i="6"/>
  <c r="J1759" i="6"/>
  <c r="J1772" i="6"/>
  <c r="J1785" i="6"/>
  <c r="J1799" i="6"/>
  <c r="J1812" i="6"/>
  <c r="J1825" i="6"/>
  <c r="J1838" i="6"/>
  <c r="J1851" i="6"/>
  <c r="J1864" i="6"/>
  <c r="J1877" i="6"/>
  <c r="J1890" i="6"/>
  <c r="J1903" i="6"/>
  <c r="J1916" i="6"/>
  <c r="J1929" i="6"/>
  <c r="J1943" i="6"/>
  <c r="J1956" i="6"/>
  <c r="J1969" i="6"/>
  <c r="J1982" i="6"/>
  <c r="J1995" i="6"/>
  <c r="J1190" i="6"/>
  <c r="J1232" i="6"/>
  <c r="J1247" i="6"/>
  <c r="J1275" i="6"/>
  <c r="J1289" i="6"/>
  <c r="J1303" i="6"/>
  <c r="J1317" i="6"/>
  <c r="J1333" i="6"/>
  <c r="J1361" i="6"/>
  <c r="J1375" i="6"/>
  <c r="J1418" i="6"/>
  <c r="J1432" i="6"/>
  <c r="J1460" i="6"/>
  <c r="J1475" i="6"/>
  <c r="J1518" i="6"/>
  <c r="J1532" i="6"/>
  <c r="J1547" i="6"/>
  <c r="J1575" i="6"/>
  <c r="J1589" i="6"/>
  <c r="J1616" i="6"/>
  <c r="J1629" i="6"/>
  <c r="J1643" i="6"/>
  <c r="J1656" i="6"/>
  <c r="J1695" i="6"/>
  <c r="J1708" i="6"/>
  <c r="J1721" i="6"/>
  <c r="J1747" i="6"/>
  <c r="J1760" i="6"/>
  <c r="J1773" i="6"/>
  <c r="J1787" i="6"/>
  <c r="J1813" i="6"/>
  <c r="J1826" i="6"/>
  <c r="J1852" i="6"/>
  <c r="J1865" i="6"/>
  <c r="J1878" i="6"/>
  <c r="J1904" i="6"/>
  <c r="J1917" i="6"/>
  <c r="J1944" i="6"/>
  <c r="D16" i="5"/>
  <c r="H30" i="5"/>
  <c r="I46" i="5"/>
  <c r="H60" i="5"/>
  <c r="I75" i="5"/>
  <c r="D90" i="5"/>
  <c r="G103" i="5"/>
  <c r="B120" i="5"/>
  <c r="D133" i="5"/>
  <c r="H142" i="5"/>
  <c r="I153" i="5"/>
  <c r="D165" i="5"/>
  <c r="C177" i="5"/>
  <c r="C188" i="5"/>
  <c r="H199" i="5"/>
  <c r="C207" i="5"/>
  <c r="K217" i="5"/>
  <c r="K227" i="5"/>
  <c r="E238" i="5"/>
  <c r="B246" i="5"/>
  <c r="G255" i="5"/>
  <c r="J26" i="6"/>
  <c r="J91" i="6"/>
  <c r="J139" i="6"/>
  <c r="J190" i="6"/>
  <c r="J233" i="6"/>
  <c r="J274" i="6"/>
  <c r="J309" i="6"/>
  <c r="J345" i="6"/>
  <c r="J379" i="6"/>
  <c r="J411" i="6"/>
  <c r="J441" i="6"/>
  <c r="J469" i="6"/>
  <c r="J494" i="6"/>
  <c r="J519" i="6"/>
  <c r="J544" i="6"/>
  <c r="J572" i="6"/>
  <c r="J595" i="6"/>
  <c r="J616" i="6"/>
  <c r="J639" i="6"/>
  <c r="J660" i="6"/>
  <c r="J680" i="6"/>
  <c r="J700" i="6"/>
  <c r="J720" i="6"/>
  <c r="J738" i="6"/>
  <c r="J758" i="6"/>
  <c r="J776" i="6"/>
  <c r="J797" i="6"/>
  <c r="J816" i="6"/>
  <c r="J835" i="6"/>
  <c r="J854" i="6"/>
  <c r="J872" i="6"/>
  <c r="J890" i="6"/>
  <c r="J905" i="6"/>
  <c r="J920" i="6"/>
  <c r="J936" i="6"/>
  <c r="J951" i="6"/>
  <c r="J967" i="6"/>
  <c r="J984" i="6"/>
  <c r="J999" i="6"/>
  <c r="J1014" i="6"/>
  <c r="J1029" i="6"/>
  <c r="J1046" i="6"/>
  <c r="J1061" i="6"/>
  <c r="J1075" i="6"/>
  <c r="J1089" i="6"/>
  <c r="J1104" i="6"/>
  <c r="J1118" i="6"/>
  <c r="J1132" i="6"/>
  <c r="J1146" i="6"/>
  <c r="J1160" i="6"/>
  <c r="J1176" i="6"/>
  <c r="J1204" i="6"/>
  <c r="J1218" i="6"/>
  <c r="J1261" i="6"/>
  <c r="J1347" i="6"/>
  <c r="J1389" i="6"/>
  <c r="J1404" i="6"/>
  <c r="J1446" i="6"/>
  <c r="J1490" i="6"/>
  <c r="J1504" i="6"/>
  <c r="J1561" i="6"/>
  <c r="J1603" i="6"/>
  <c r="J1669" i="6"/>
  <c r="J1682" i="6"/>
  <c r="J1734" i="6"/>
  <c r="J1800" i="6"/>
  <c r="J1839" i="6"/>
  <c r="J1891" i="6"/>
  <c r="J1931" i="6"/>
  <c r="H5" i="5"/>
  <c r="F20" i="5"/>
  <c r="E36" i="5"/>
  <c r="K50" i="5"/>
  <c r="K64" i="5"/>
  <c r="C84" i="5"/>
  <c r="B97" i="5"/>
  <c r="J110" i="5"/>
  <c r="G123" i="5"/>
  <c r="C137" i="5"/>
  <c r="I148" i="5"/>
  <c r="K160" i="5"/>
  <c r="G172" i="5"/>
  <c r="K179" i="5"/>
  <c r="G192" i="5"/>
  <c r="H202" i="5"/>
  <c r="C214" i="5"/>
  <c r="H220" i="5"/>
  <c r="C231" i="5"/>
  <c r="B242" i="5"/>
  <c r="F251" i="5"/>
  <c r="K258" i="5"/>
  <c r="J51" i="6"/>
  <c r="J116" i="6"/>
  <c r="J161" i="6"/>
  <c r="J211" i="6"/>
  <c r="J253" i="6"/>
  <c r="J288" i="6"/>
  <c r="J325" i="6"/>
  <c r="J357" i="6"/>
  <c r="J390" i="6"/>
  <c r="J425" i="6"/>
  <c r="J455" i="6"/>
  <c r="J480" i="6"/>
  <c r="J506" i="6"/>
  <c r="J532" i="6"/>
  <c r="J557" i="6"/>
  <c r="J581" i="6"/>
  <c r="J603" i="6"/>
  <c r="J626" i="6"/>
  <c r="J647" i="6"/>
  <c r="J667" i="6"/>
  <c r="J689" i="6"/>
  <c r="J710" i="6"/>
  <c r="J728" i="6"/>
  <c r="J747" i="6"/>
  <c r="J765" i="6"/>
  <c r="J785" i="6"/>
  <c r="J804" i="6"/>
  <c r="J823" i="6"/>
  <c r="J842" i="6"/>
  <c r="J861" i="6"/>
  <c r="J879" i="6"/>
  <c r="J895" i="6"/>
  <c r="J912" i="6"/>
  <c r="J928" i="6"/>
  <c r="J943" i="6"/>
  <c r="J959" i="6"/>
  <c r="J974" i="6"/>
  <c r="J989" i="6"/>
  <c r="J1005" i="6"/>
  <c r="J1021" i="6"/>
  <c r="J1036" i="6"/>
  <c r="J1051" i="6"/>
  <c r="J1067" i="6"/>
  <c r="J1081" i="6"/>
  <c r="J1095" i="6"/>
  <c r="J1110" i="6"/>
  <c r="J1124" i="6"/>
  <c r="J1139" i="6"/>
  <c r="J1153" i="6"/>
  <c r="J1167" i="6"/>
  <c r="J1181" i="6"/>
  <c r="J1195" i="6"/>
  <c r="J1209" i="6"/>
  <c r="J1224" i="6"/>
  <c r="J1238" i="6"/>
  <c r="J1252" i="6"/>
  <c r="J1267" i="6"/>
  <c r="J1281" i="6"/>
  <c r="J1296" i="6"/>
  <c r="J1310" i="6"/>
  <c r="J1324" i="6"/>
  <c r="J1338" i="6"/>
  <c r="J1352" i="6"/>
  <c r="J1367" i="6"/>
  <c r="J1381" i="6"/>
  <c r="J1395" i="6"/>
  <c r="J1409" i="6"/>
  <c r="J1424" i="6"/>
  <c r="J1439" i="6"/>
  <c r="J1453" i="6"/>
  <c r="J1467" i="6"/>
  <c r="J1481" i="6"/>
  <c r="J1495" i="6"/>
  <c r="J1509" i="6"/>
  <c r="J1524" i="6"/>
  <c r="J1538" i="6"/>
  <c r="J1552" i="6"/>
  <c r="J1566" i="6"/>
  <c r="J1581" i="6"/>
  <c r="D7" i="5"/>
  <c r="B21" i="5"/>
  <c r="J37" i="5"/>
  <c r="D51" i="5"/>
  <c r="J69" i="5"/>
  <c r="D84" i="5"/>
  <c r="K98" i="5"/>
  <c r="I111" i="5"/>
  <c r="H123" i="5"/>
  <c r="I137" i="5"/>
  <c r="J148" i="5"/>
  <c r="G161" i="5"/>
  <c r="I172" i="5"/>
  <c r="H181" i="5"/>
  <c r="I192" i="5"/>
  <c r="F203" i="5"/>
  <c r="D214" i="5"/>
  <c r="B224" i="5"/>
  <c r="G232" i="5"/>
  <c r="F242" i="5"/>
  <c r="C253" i="5"/>
  <c r="B259" i="5"/>
  <c r="J57" i="6"/>
  <c r="J121" i="6"/>
  <c r="J168" i="6"/>
  <c r="J217" i="6"/>
  <c r="J257" i="6"/>
  <c r="J293" i="6"/>
  <c r="J327" i="6"/>
  <c r="J358" i="6"/>
  <c r="J393" i="6"/>
  <c r="J428" i="6"/>
  <c r="J456" i="6"/>
  <c r="J481" i="6"/>
  <c r="J508" i="6"/>
  <c r="J533" i="6"/>
  <c r="J558" i="6"/>
  <c r="J583" i="6"/>
  <c r="J606" i="6"/>
  <c r="J627" i="6"/>
  <c r="J648" i="6"/>
  <c r="J668" i="6"/>
  <c r="J692" i="6"/>
  <c r="J711" i="6"/>
  <c r="J731" i="6"/>
  <c r="J749" i="6"/>
  <c r="J768" i="6"/>
  <c r="J786" i="6"/>
  <c r="J805" i="6"/>
  <c r="J824" i="6"/>
  <c r="J843" i="6"/>
  <c r="J863" i="6"/>
  <c r="J880" i="6"/>
  <c r="J897" i="6"/>
  <c r="J914" i="6"/>
  <c r="J929" i="6"/>
  <c r="J944" i="6"/>
  <c r="J960" i="6"/>
  <c r="J975" i="6"/>
  <c r="J990" i="6"/>
  <c r="J1007" i="6"/>
  <c r="J1022" i="6"/>
  <c r="J1037" i="6"/>
  <c r="J1052" i="6"/>
  <c r="J1068" i="6"/>
  <c r="J1082" i="6"/>
  <c r="J1097" i="6"/>
  <c r="J1111" i="6"/>
  <c r="J1125" i="6"/>
  <c r="J1140" i="6"/>
  <c r="J1154" i="6"/>
  <c r="J1168" i="6"/>
  <c r="J1182" i="6"/>
  <c r="J1196" i="6"/>
  <c r="J1211" i="6"/>
  <c r="J1225" i="6"/>
  <c r="J1239" i="6"/>
  <c r="J1254" i="6"/>
  <c r="J1268" i="6"/>
  <c r="J1283" i="6"/>
  <c r="J1297" i="6"/>
  <c r="J1311" i="6"/>
  <c r="J1325" i="6"/>
  <c r="J1339" i="6"/>
  <c r="J1353" i="6"/>
  <c r="J1368" i="6"/>
  <c r="J1382" i="6"/>
  <c r="J1396" i="6"/>
  <c r="J1411" i="6"/>
  <c r="J1425" i="6"/>
  <c r="J1440" i="6"/>
  <c r="J1454" i="6"/>
  <c r="J1468" i="6"/>
  <c r="J1482" i="6"/>
  <c r="J1496" i="6"/>
  <c r="J1511" i="6"/>
  <c r="J1525" i="6"/>
</calcChain>
</file>

<file path=xl/sharedStrings.xml><?xml version="1.0" encoding="utf-8"?>
<sst xmlns="http://schemas.openxmlformats.org/spreadsheetml/2006/main" count="4819" uniqueCount="4124">
  <si>
    <t>Study Code</t>
  </si>
  <si>
    <t>Age Range</t>
  </si>
  <si>
    <t>Gender</t>
  </si>
  <si>
    <t>Ancestry</t>
  </si>
  <si>
    <t>Collection Date</t>
  </si>
  <si>
    <t>Freeze Date</t>
  </si>
  <si>
    <t>Freeze time</t>
  </si>
  <si>
    <t>CDI Location</t>
  </si>
  <si>
    <t>NIH Location</t>
  </si>
  <si>
    <t>Max Planck Location</t>
  </si>
  <si>
    <t>Additional Cryovial?</t>
  </si>
  <si>
    <t>Cryovial Location (10x10)</t>
  </si>
  <si>
    <t>Estimated Volume Remaining (mL)</t>
  </si>
  <si>
    <t>Additional Comments</t>
  </si>
  <si>
    <t>35-44</t>
  </si>
  <si>
    <t>F</t>
  </si>
  <si>
    <t>African American</t>
  </si>
  <si>
    <t>Yes</t>
  </si>
  <si>
    <t>10-17</t>
  </si>
  <si>
    <t>M</t>
  </si>
  <si>
    <t>White</t>
  </si>
  <si>
    <t>55-64</t>
  </si>
  <si>
    <t>Hispanic</t>
  </si>
  <si>
    <t>65-74</t>
  </si>
  <si>
    <t>Asian</t>
  </si>
  <si>
    <t>18-24</t>
  </si>
  <si>
    <t>Other</t>
  </si>
  <si>
    <t>75-89</t>
  </si>
  <si>
    <t>No</t>
  </si>
  <si>
    <t>CDI plate 1</t>
  </si>
  <si>
    <t>A</t>
  </si>
  <si>
    <t>B</t>
  </si>
  <si>
    <t>C</t>
  </si>
  <si>
    <t>D</t>
  </si>
  <si>
    <t>E</t>
  </si>
  <si>
    <t>G</t>
  </si>
  <si>
    <t>H</t>
  </si>
  <si>
    <t>CDI plate 2</t>
  </si>
  <si>
    <t>CDI plate 3</t>
  </si>
  <si>
    <t>CDI plate 4</t>
  </si>
  <si>
    <t>CDI plate 5</t>
  </si>
  <si>
    <t>CDI plate 6</t>
  </si>
  <si>
    <t>CDI plate 7</t>
  </si>
  <si>
    <t>CDI plate 8</t>
  </si>
  <si>
    <t>CDI plate 9</t>
  </si>
  <si>
    <t>CDI plate 10</t>
  </si>
  <si>
    <t>CDI plate 11</t>
  </si>
  <si>
    <t>CDI plate 12</t>
  </si>
  <si>
    <t>CDI plate 13</t>
  </si>
  <si>
    <t>CDI plate 14</t>
  </si>
  <si>
    <t>CDI plate 15</t>
  </si>
  <si>
    <t>CDI plate 16</t>
  </si>
  <si>
    <t>CDI plate 17</t>
  </si>
  <si>
    <t>CDI plate 18</t>
  </si>
  <si>
    <t>CDI plate 19</t>
  </si>
  <si>
    <t>CDI plate 20</t>
  </si>
  <si>
    <t>CDI plate 21</t>
  </si>
  <si>
    <t>NIH plate 1</t>
  </si>
  <si>
    <t>NIH plate 2</t>
  </si>
  <si>
    <t>NIH plate 3</t>
  </si>
  <si>
    <t>NIH plate 4</t>
  </si>
  <si>
    <t>NIH plate 5</t>
  </si>
  <si>
    <t>NIH plate 6</t>
  </si>
  <si>
    <t>NIH plate 7</t>
  </si>
  <si>
    <t>NIH plate 8</t>
  </si>
  <si>
    <t>NIH plate 9</t>
  </si>
  <si>
    <t>NIH plate 10</t>
  </si>
  <si>
    <t>NIH plate 11</t>
  </si>
  <si>
    <t>NIH plate 12</t>
  </si>
  <si>
    <t>NIH plate 13</t>
  </si>
  <si>
    <t>NIH plate 14</t>
  </si>
  <si>
    <t>NIH plate 15</t>
  </si>
  <si>
    <t>NIH plate 16</t>
  </si>
  <si>
    <t>NIH plate 17</t>
  </si>
  <si>
    <t>NIH plate 18</t>
  </si>
  <si>
    <t>NIH plate 19</t>
  </si>
  <si>
    <t>NIH plate 20</t>
  </si>
  <si>
    <t>NIH plate 21</t>
  </si>
  <si>
    <t>Max Planck plate 1</t>
  </si>
  <si>
    <t>Max Planck plate 2</t>
  </si>
  <si>
    <t>Max Planck plate 3</t>
  </si>
  <si>
    <t>Max Planck plate 4</t>
  </si>
  <si>
    <t>Max Planck plate 5</t>
  </si>
  <si>
    <t>Max Planck plate 6</t>
  </si>
  <si>
    <t>Max Planck plate 7</t>
  </si>
  <si>
    <t>Max Planck plate 8</t>
  </si>
  <si>
    <t>Max Planck plate 9</t>
  </si>
  <si>
    <t>Max Planck plate 10</t>
  </si>
  <si>
    <t>Max Planck plate 11</t>
  </si>
  <si>
    <t>Max Planck plate 12</t>
  </si>
  <si>
    <t>Max Planck plate 13</t>
  </si>
  <si>
    <t>Max Planck plate 14</t>
  </si>
  <si>
    <t>Max Planck plate 15</t>
  </si>
  <si>
    <t>Max Planck plate 16</t>
  </si>
  <si>
    <t>Max Planck plate 17</t>
  </si>
  <si>
    <t>Max Planck plate 18</t>
  </si>
  <si>
    <t>Max Planck plate 19</t>
  </si>
  <si>
    <t>Max Planck plate 20</t>
  </si>
  <si>
    <t>Max Planck plate 21</t>
  </si>
  <si>
    <t>Cryovial box 1</t>
  </si>
  <si>
    <t>I</t>
  </si>
  <si>
    <t>J</t>
  </si>
  <si>
    <t>Cryovial box 2</t>
  </si>
  <si>
    <t>Cryovial box 3</t>
  </si>
  <si>
    <t>Cryovial box 4</t>
  </si>
  <si>
    <t>Cryovial box 5</t>
  </si>
  <si>
    <t>Cryovial box 6</t>
  </si>
  <si>
    <t>Cryovial box 7</t>
  </si>
  <si>
    <t>Cryovial box 8</t>
  </si>
  <si>
    <t>Cryovial box 9</t>
  </si>
  <si>
    <t>Cryovial box 10</t>
  </si>
  <si>
    <t>Cryovial box 11</t>
  </si>
  <si>
    <t>Cryovial box 12</t>
  </si>
  <si>
    <t>Cryovial box 13</t>
  </si>
  <si>
    <t>Cryovial box 14</t>
  </si>
  <si>
    <t>Cryovial box 15</t>
  </si>
  <si>
    <t>Cryovial box 16</t>
  </si>
  <si>
    <t>Cryovial box 17</t>
  </si>
  <si>
    <t>Cryovial box 18</t>
  </si>
  <si>
    <t>Cryovial box 19</t>
  </si>
  <si>
    <t>Cryovial box 20</t>
  </si>
  <si>
    <t>0-9</t>
  </si>
  <si>
    <t>TXS00001</t>
  </si>
  <si>
    <t>Cryovial box 1: A1</t>
  </si>
  <si>
    <t>TXS00002</t>
  </si>
  <si>
    <t>Cryovial box 1: A2</t>
  </si>
  <si>
    <t>TXS00003</t>
  </si>
  <si>
    <t>Cryovial box 1: A3</t>
  </si>
  <si>
    <t>25-34</t>
  </si>
  <si>
    <t>TXS00004</t>
  </si>
  <si>
    <t>Cryovial box 1: A4</t>
  </si>
  <si>
    <t>American Indian or Alaska Native</t>
  </si>
  <si>
    <t>TXS00005</t>
  </si>
  <si>
    <t>Cryovial box 1: A5</t>
  </si>
  <si>
    <t>45-54</t>
  </si>
  <si>
    <t>TXS00006</t>
  </si>
  <si>
    <t>Cryovial box 1: A6</t>
  </si>
  <si>
    <t>TXS00007</t>
  </si>
  <si>
    <t>Cryovial box 1: A7</t>
  </si>
  <si>
    <t>TXS00008</t>
  </si>
  <si>
    <t>Cryovial box 1: A8</t>
  </si>
  <si>
    <t>TXS00009</t>
  </si>
  <si>
    <t>Cryovial box 1: A9</t>
  </si>
  <si>
    <t>TXS00010</t>
  </si>
  <si>
    <t>Cryovial box 1: A10</t>
  </si>
  <si>
    <t>TXS00011</t>
  </si>
  <si>
    <t>Cryovial box 1: B1</t>
  </si>
  <si>
    <t>TXS00012</t>
  </si>
  <si>
    <t>Cryovial box 1: B2</t>
  </si>
  <si>
    <t>TXS00013</t>
  </si>
  <si>
    <t>Cryovial box 1: B3</t>
  </si>
  <si>
    <t>TXS00014</t>
  </si>
  <si>
    <t>Cryovial box 1: B4</t>
  </si>
  <si>
    <t>TXS00015</t>
  </si>
  <si>
    <t>Cryovial box 1: B5</t>
  </si>
  <si>
    <t>TXS00016</t>
  </si>
  <si>
    <t>Cryovial box 1: B6</t>
  </si>
  <si>
    <t>TXS00017</t>
  </si>
  <si>
    <t>Cryovial box 1: B7</t>
  </si>
  <si>
    <t>TXS00018</t>
  </si>
  <si>
    <t>Cryovial box 1: B8</t>
  </si>
  <si>
    <t>TXS00019</t>
  </si>
  <si>
    <t>Cryovial box 1: B9</t>
  </si>
  <si>
    <t>TXS00020</t>
  </si>
  <si>
    <t>Cryovial box 1: B10</t>
  </si>
  <si>
    <t>TXS00021</t>
  </si>
  <si>
    <t>Cryovial box 1: C1</t>
  </si>
  <si>
    <t>TXS00022</t>
  </si>
  <si>
    <t>Cryovial box 1: C2</t>
  </si>
  <si>
    <t>TXS00023</t>
  </si>
  <si>
    <t>Cryovial box 1: C3</t>
  </si>
  <si>
    <t>TXS00024</t>
  </si>
  <si>
    <t>Cryovial box 1: C4</t>
  </si>
  <si>
    <t>TXS00025</t>
  </si>
  <si>
    <t>Cryovial box 1: C5</t>
  </si>
  <si>
    <t>TXS00026</t>
  </si>
  <si>
    <t>Cryovial box 1: C6</t>
  </si>
  <si>
    <t>TXS00027</t>
  </si>
  <si>
    <t>Cryovial box 1: C7</t>
  </si>
  <si>
    <t>TXS00028</t>
  </si>
  <si>
    <t>Cryovial box 1: C8</t>
  </si>
  <si>
    <t>TXS00029</t>
  </si>
  <si>
    <t>Cryovial box 1: C9</t>
  </si>
  <si>
    <t>TXS00030</t>
  </si>
  <si>
    <t>Cryovial box 1: C10</t>
  </si>
  <si>
    <t>TXS00031</t>
  </si>
  <si>
    <t>Cryovial box 1: D1</t>
  </si>
  <si>
    <t>TXS00032</t>
  </si>
  <si>
    <t>Cryovial box 1: D2</t>
  </si>
  <si>
    <t>TXS00033</t>
  </si>
  <si>
    <t>Cryovial box 1: D3</t>
  </si>
  <si>
    <t>TXS00034</t>
  </si>
  <si>
    <t>Cryovial box 1: D4</t>
  </si>
  <si>
    <t>TXS00035</t>
  </si>
  <si>
    <t>Cryovial box 1: D5</t>
  </si>
  <si>
    <t>TXS00036</t>
  </si>
  <si>
    <t>Cryovial box 1: D6</t>
  </si>
  <si>
    <t>TXS00037</t>
  </si>
  <si>
    <t>Cryovial box 1: D7</t>
  </si>
  <si>
    <t>TXS00038</t>
  </si>
  <si>
    <t>Cryovial box 1: D8</t>
  </si>
  <si>
    <t>TXS00039</t>
  </si>
  <si>
    <t>Cryovial box 1: D9</t>
  </si>
  <si>
    <t>TXS00040</t>
  </si>
  <si>
    <t>Cryovial box 1: D10</t>
  </si>
  <si>
    <t>TXS00041</t>
  </si>
  <si>
    <t>Cryovial box 1: E1</t>
  </si>
  <si>
    <t>TXS00042</t>
  </si>
  <si>
    <t>Cryovial box 1: E2</t>
  </si>
  <si>
    <t>TXS00043</t>
  </si>
  <si>
    <t>Cryovial box 1: E3</t>
  </si>
  <si>
    <t>TXS00044</t>
  </si>
  <si>
    <t>Cryovial box 1: E4</t>
  </si>
  <si>
    <t>TXS00045</t>
  </si>
  <si>
    <t>Cryovial box 1: E5</t>
  </si>
  <si>
    <t>TXS00046</t>
  </si>
  <si>
    <t>Cryovial box 1: E6</t>
  </si>
  <si>
    <t>TXS00047</t>
  </si>
  <si>
    <t>Cryovial box 1: E7</t>
  </si>
  <si>
    <t>TXS00048</t>
  </si>
  <si>
    <t>Cryovial box 1: E8</t>
  </si>
  <si>
    <t>TXS00049</t>
  </si>
  <si>
    <t>Cryovial box 1: E9</t>
  </si>
  <si>
    <t>TXS00050</t>
  </si>
  <si>
    <t>Cryovial box 1: E10</t>
  </si>
  <si>
    <t>TXS00051</t>
  </si>
  <si>
    <t>Cryovial box 1: F1</t>
  </si>
  <si>
    <t>TXS00052</t>
  </si>
  <si>
    <t>Cryovial box 1: F2</t>
  </si>
  <si>
    <t>TXS00053</t>
  </si>
  <si>
    <t>Cryovial box 1: F3</t>
  </si>
  <si>
    <t>TXS00054</t>
  </si>
  <si>
    <t>Cryovial box 1: F4</t>
  </si>
  <si>
    <t>TXS00055</t>
  </si>
  <si>
    <t>Cryovial box 1: F5</t>
  </si>
  <si>
    <t>TXS00056</t>
  </si>
  <si>
    <t>Cryovial box 1: F6</t>
  </si>
  <si>
    <t>TXS00057</t>
  </si>
  <si>
    <t>Cryovial box 1: F7</t>
  </si>
  <si>
    <t>TXS00058</t>
  </si>
  <si>
    <t>Cryovial box 1: F8</t>
  </si>
  <si>
    <t>TXS00059</t>
  </si>
  <si>
    <t>Cryovial box 1: F9</t>
  </si>
  <si>
    <t>TXS00060</t>
  </si>
  <si>
    <t>Cryovial box 1: F10</t>
  </si>
  <si>
    <t>TXS00061</t>
  </si>
  <si>
    <t>Cryovial box 1: G1</t>
  </si>
  <si>
    <t>TXS00062</t>
  </si>
  <si>
    <t>Cryovial box 1: G2</t>
  </si>
  <si>
    <t>TXS00063</t>
  </si>
  <si>
    <t>Cryovial box 1: G3</t>
  </si>
  <si>
    <t>TXS00064</t>
  </si>
  <si>
    <t>Cryovial box 1: G4</t>
  </si>
  <si>
    <t>TXS00065</t>
  </si>
  <si>
    <t>Cryovial box 1: G5</t>
  </si>
  <si>
    <t>TXS00066</t>
  </si>
  <si>
    <t>Cryovial box 1: G6</t>
  </si>
  <si>
    <t>TXS00067</t>
  </si>
  <si>
    <t>Cryovial box 1: G7</t>
  </si>
  <si>
    <t>TXS00068</t>
  </si>
  <si>
    <t>Cryovial box 1: G8</t>
  </si>
  <si>
    <t>TXS00069</t>
  </si>
  <si>
    <t>Cryovial box 1: G9</t>
  </si>
  <si>
    <t>TXS00070</t>
  </si>
  <si>
    <t>Cryovial box 1: G10</t>
  </si>
  <si>
    <t>TXS00071</t>
  </si>
  <si>
    <t>Cryovial box 1: H1</t>
  </si>
  <si>
    <t>TXS00072</t>
  </si>
  <si>
    <t>Cryovial box 1: H2</t>
  </si>
  <si>
    <t>TXS00073</t>
  </si>
  <si>
    <t>Cryovial box 1: H3</t>
  </si>
  <si>
    <t>TXS00074</t>
  </si>
  <si>
    <t>Cryovial box 1: H4</t>
  </si>
  <si>
    <t>TXS00075</t>
  </si>
  <si>
    <t>Cryovial box 1: H5</t>
  </si>
  <si>
    <t>TXS00076</t>
  </si>
  <si>
    <t>Cryovial box 1: H6</t>
  </si>
  <si>
    <t>TXS00077</t>
  </si>
  <si>
    <t>Cryovial box 1: H7</t>
  </si>
  <si>
    <t>TXS00078</t>
  </si>
  <si>
    <t>Cryovial box 1: H8</t>
  </si>
  <si>
    <t>TXS00079</t>
  </si>
  <si>
    <t>Cryovial box 1: H9</t>
  </si>
  <si>
    <t>TXS00080</t>
  </si>
  <si>
    <t>Cryovial box 1: H10</t>
  </si>
  <si>
    <t>TXS00081</t>
  </si>
  <si>
    <t>Cryovial box 1: I1</t>
  </si>
  <si>
    <t>TXS00082</t>
  </si>
  <si>
    <t>Cryovial box 1: I2</t>
  </si>
  <si>
    <t>TXS00083</t>
  </si>
  <si>
    <t>Cryovial box 1: I3</t>
  </si>
  <si>
    <t>TXS00084</t>
  </si>
  <si>
    <t>Cryovial box 1: I4</t>
  </si>
  <si>
    <t>TXS00085</t>
  </si>
  <si>
    <t>Cryovial box 1: I5</t>
  </si>
  <si>
    <t>TXS00086</t>
  </si>
  <si>
    <t>Cryovial box 1: I6</t>
  </si>
  <si>
    <t>TXS00087</t>
  </si>
  <si>
    <t>Cryovial box 1: I7</t>
  </si>
  <si>
    <t>TXS00088</t>
  </si>
  <si>
    <t>Cryovial box 1: I8</t>
  </si>
  <si>
    <t>TXS00089</t>
  </si>
  <si>
    <t>Cryovial box 1: I9</t>
  </si>
  <si>
    <t>TXS00090</t>
  </si>
  <si>
    <t>Cryovial box 1: I10</t>
  </si>
  <si>
    <t>TXS00091</t>
  </si>
  <si>
    <t>Cryovial box 1: J1</t>
  </si>
  <si>
    <t>TXS00092</t>
  </si>
  <si>
    <t>Cryovial box 1: J2</t>
  </si>
  <si>
    <t>TXS00093</t>
  </si>
  <si>
    <t>Cryovial box 1: J3</t>
  </si>
  <si>
    <t>TXS00094</t>
  </si>
  <si>
    <t>Cryovial box 1: J4</t>
  </si>
  <si>
    <t>TXS00095</t>
  </si>
  <si>
    <t>Cryovial box 1: J5</t>
  </si>
  <si>
    <t>TXS00096</t>
  </si>
  <si>
    <t>Cryovial box 1: J6</t>
  </si>
  <si>
    <t>TXS00097</t>
  </si>
  <si>
    <t>Cryovial box 1: J7</t>
  </si>
  <si>
    <t>TXS00098</t>
  </si>
  <si>
    <t>Cryovial box 1: J8</t>
  </si>
  <si>
    <t>TXS00099</t>
  </si>
  <si>
    <t>Cryovial box 1: J9</t>
  </si>
  <si>
    <t>TXS00100</t>
  </si>
  <si>
    <t>Cryovial box 1: J10</t>
  </si>
  <si>
    <t>TXS00101</t>
  </si>
  <si>
    <t>Cryovial box 2: A1</t>
  </si>
  <si>
    <t>TXS00102</t>
  </si>
  <si>
    <t>Cryovial box 2: A2</t>
  </si>
  <si>
    <t>TXS00103</t>
  </si>
  <si>
    <t>Cryovial box 2: A3</t>
  </si>
  <si>
    <t>TXS00104</t>
  </si>
  <si>
    <t>Cryovial box 2: A4</t>
  </si>
  <si>
    <t>TXS00105</t>
  </si>
  <si>
    <t>Cryovial box 2: A5</t>
  </si>
  <si>
    <t>TXS00106</t>
  </si>
  <si>
    <t>Cryovial box 2: A6</t>
  </si>
  <si>
    <t>TXS00107</t>
  </si>
  <si>
    <t>Cryovial box 2: A7</t>
  </si>
  <si>
    <t>TXS00108</t>
  </si>
  <si>
    <t>Cryovial box 2: A8</t>
  </si>
  <si>
    <t>TXS00109</t>
  </si>
  <si>
    <t>Cryovial box 2: A9</t>
  </si>
  <si>
    <t>TXS00110</t>
  </si>
  <si>
    <t>Cryovial box 2: A10</t>
  </si>
  <si>
    <t>TXS00111</t>
  </si>
  <si>
    <t>Cryovial box 2: B1</t>
  </si>
  <si>
    <t>TXS00112</t>
  </si>
  <si>
    <t>Cryovial box 2: B2</t>
  </si>
  <si>
    <t>TXS00113</t>
  </si>
  <si>
    <t>Cryovial box 2: B3</t>
  </si>
  <si>
    <t>TXS00114</t>
  </si>
  <si>
    <t>Cryovial box 2: B4</t>
  </si>
  <si>
    <t>TXS00115</t>
  </si>
  <si>
    <t>Cryovial box 2: B5</t>
  </si>
  <si>
    <t>TXS00116</t>
  </si>
  <si>
    <t>Cryovial box 2: B6</t>
  </si>
  <si>
    <t>TXS00117</t>
  </si>
  <si>
    <t>Cryovial box 2: B7</t>
  </si>
  <si>
    <t>TXS00118</t>
  </si>
  <si>
    <t>Cryovial box 2: B8</t>
  </si>
  <si>
    <t>TXS00119</t>
  </si>
  <si>
    <t>Cryovial box 2: B9</t>
  </si>
  <si>
    <t>TXS00120</t>
  </si>
  <si>
    <t>Cryovial box 2: B10</t>
  </si>
  <si>
    <t>TXS00121</t>
  </si>
  <si>
    <t>Cryovial box 2: C1</t>
  </si>
  <si>
    <t>TXS00122</t>
  </si>
  <si>
    <t>Cryovial box 2: C2</t>
  </si>
  <si>
    <t>TXS00123</t>
  </si>
  <si>
    <t>Cryovial box 2: C3</t>
  </si>
  <si>
    <t>TXS00124</t>
  </si>
  <si>
    <t>Cryovial box 2: C4</t>
  </si>
  <si>
    <t>TXS00125</t>
  </si>
  <si>
    <t>Cryovial box 2: C5</t>
  </si>
  <si>
    <t>TXS00126</t>
  </si>
  <si>
    <t>Cryovial box 2: C6</t>
  </si>
  <si>
    <t>TXS00127</t>
  </si>
  <si>
    <t>Cryovial box 2: C7</t>
  </si>
  <si>
    <t>TXS00128</t>
  </si>
  <si>
    <t>Cryovial box 2: C8</t>
  </si>
  <si>
    <t>TXS00129</t>
  </si>
  <si>
    <t>Cryovial box 2: C9</t>
  </si>
  <si>
    <t>TXS00130</t>
  </si>
  <si>
    <t>Cryovial box 2: C10</t>
  </si>
  <si>
    <t>TXS00131</t>
  </si>
  <si>
    <t>Cryovial box 2: D1</t>
  </si>
  <si>
    <t>TXS00132</t>
  </si>
  <si>
    <t>Cryovial box 2: D2</t>
  </si>
  <si>
    <t>TXS00133</t>
  </si>
  <si>
    <t>Cryovial box 2: D3</t>
  </si>
  <si>
    <t>TXS00134</t>
  </si>
  <si>
    <t>Cryovial box 2: D4</t>
  </si>
  <si>
    <t>TXS00135</t>
  </si>
  <si>
    <t>Cryovial box 2: D5</t>
  </si>
  <si>
    <t>TXS00136</t>
  </si>
  <si>
    <t>Cryovial box 2: D6</t>
  </si>
  <si>
    <t>TXS00137</t>
  </si>
  <si>
    <t>Cryovial box 2: D7</t>
  </si>
  <si>
    <t>TXS00138</t>
  </si>
  <si>
    <t>Cryovial box 2: D8</t>
  </si>
  <si>
    <t>TXS00139</t>
  </si>
  <si>
    <t>Cryovial box 2: D9</t>
  </si>
  <si>
    <t>TXS00140</t>
  </si>
  <si>
    <t>Cryovial box 2: D10</t>
  </si>
  <si>
    <t>TXS00141</t>
  </si>
  <si>
    <t>Cryovial box 2: E1</t>
  </si>
  <si>
    <t>TXS00142</t>
  </si>
  <si>
    <t>Cryovial box 2: E2</t>
  </si>
  <si>
    <t>TXS00143</t>
  </si>
  <si>
    <t>Cryovial box 2: E3</t>
  </si>
  <si>
    <t>TXS00144</t>
  </si>
  <si>
    <t>Cryovial box 2: E4</t>
  </si>
  <si>
    <t>TXS00145</t>
  </si>
  <si>
    <t>Cryovial box 2: E5</t>
  </si>
  <si>
    <t>TXS00146</t>
  </si>
  <si>
    <t>Cryovial box 2: E6</t>
  </si>
  <si>
    <t>TXS00147</t>
  </si>
  <si>
    <t>Cryovial box 2: E7</t>
  </si>
  <si>
    <t>TXS00148</t>
  </si>
  <si>
    <t>Cryovial box 2: E8</t>
  </si>
  <si>
    <t>TXS00149</t>
  </si>
  <si>
    <t>Cryovial box 2: E9</t>
  </si>
  <si>
    <t>TXS00150</t>
  </si>
  <si>
    <t>Cryovial box 2: E10</t>
  </si>
  <si>
    <t>TXS00151</t>
  </si>
  <si>
    <t>Cryovial box 2: F1</t>
  </si>
  <si>
    <t>TXS00152</t>
  </si>
  <si>
    <t>Cryovial box 2: F2</t>
  </si>
  <si>
    <t>TXS00153</t>
  </si>
  <si>
    <t>Cryovial box 2: F3</t>
  </si>
  <si>
    <t>TXS00154</t>
  </si>
  <si>
    <t>Cryovial box 2: F4</t>
  </si>
  <si>
    <t>TXS00155</t>
  </si>
  <si>
    <t>Cryovial box 2: F5</t>
  </si>
  <si>
    <t>TXS00156</t>
  </si>
  <si>
    <t>Cryovial box 2: F6</t>
  </si>
  <si>
    <t>TXS00157</t>
  </si>
  <si>
    <t>Cryovial box 2: F7</t>
  </si>
  <si>
    <t>TXS00158</t>
  </si>
  <si>
    <t>Cryovial box 2: F8</t>
  </si>
  <si>
    <t>TXS00159</t>
  </si>
  <si>
    <t>Cryovial box 2: F9</t>
  </si>
  <si>
    <t>TXS00160</t>
  </si>
  <si>
    <t>Cryovial box 2: F10</t>
  </si>
  <si>
    <t>TXS00161</t>
  </si>
  <si>
    <t>Cryovial box 2: G1</t>
  </si>
  <si>
    <t>TXS00162</t>
  </si>
  <si>
    <t>Cryovial box 2: G2</t>
  </si>
  <si>
    <t>TXS00163</t>
  </si>
  <si>
    <t>Cryovial box 2: G3</t>
  </si>
  <si>
    <t>TXS00164</t>
  </si>
  <si>
    <t>Cryovial box 2: G4</t>
  </si>
  <si>
    <t>TXS00165</t>
  </si>
  <si>
    <t>Cryovial box 2: G5</t>
  </si>
  <si>
    <t>TXS00166</t>
  </si>
  <si>
    <t>Cryovial box 2: G6</t>
  </si>
  <si>
    <t>TXS00167</t>
  </si>
  <si>
    <t>Cryovial box 2: G7</t>
  </si>
  <si>
    <t>TXS00168</t>
  </si>
  <si>
    <t>Cryovial box 2: G8</t>
  </si>
  <si>
    <t>TXS00169</t>
  </si>
  <si>
    <t>Cryovial box 2: G9</t>
  </si>
  <si>
    <t>TXS00170</t>
  </si>
  <si>
    <t>Cryovial box 2: G10</t>
  </si>
  <si>
    <t>TXS00171</t>
  </si>
  <si>
    <t>Cryovial box 2: H1</t>
  </si>
  <si>
    <t>TXS00172</t>
  </si>
  <si>
    <t>Cryovial box 2: H2</t>
  </si>
  <si>
    <t>TXS00173</t>
  </si>
  <si>
    <t>Cryovial box 2: H3</t>
  </si>
  <si>
    <t>TXS00174</t>
  </si>
  <si>
    <t>Cryovial box 2: H4</t>
  </si>
  <si>
    <t>TXS00175</t>
  </si>
  <si>
    <t>Cryovial box 2: H5</t>
  </si>
  <si>
    <t>TXS00176</t>
  </si>
  <si>
    <t>Cryovial box 2: H6</t>
  </si>
  <si>
    <t>TXS00177</t>
  </si>
  <si>
    <t>Cryovial box 2: H7</t>
  </si>
  <si>
    <t>TXS00178</t>
  </si>
  <si>
    <t>Cryovial box 2: H8</t>
  </si>
  <si>
    <t>TXS00179</t>
  </si>
  <si>
    <t>Cryovial box 2: H9</t>
  </si>
  <si>
    <t>TXS00180</t>
  </si>
  <si>
    <t>Cryovial box 2: H10</t>
  </si>
  <si>
    <t>TXS00181</t>
  </si>
  <si>
    <t>Cryovial box 2: I1</t>
  </si>
  <si>
    <t>TXS00182</t>
  </si>
  <si>
    <t>Cryovial box 2: I2</t>
  </si>
  <si>
    <t>TXS00183</t>
  </si>
  <si>
    <t>Cryovial box 2: I3</t>
  </si>
  <si>
    <t>TXS00184</t>
  </si>
  <si>
    <t>Cryovial box 2: I4</t>
  </si>
  <si>
    <t>TXS00185</t>
  </si>
  <si>
    <t>Cryovial box 2: I5</t>
  </si>
  <si>
    <t>TXS00186</t>
  </si>
  <si>
    <t>Cryovial box 2: I6</t>
  </si>
  <si>
    <t>TXS00187</t>
  </si>
  <si>
    <t>Cryovial box 2: I7</t>
  </si>
  <si>
    <t>TXS00188</t>
  </si>
  <si>
    <t>Cryovial box 2: I8</t>
  </si>
  <si>
    <t>TXS00189</t>
  </si>
  <si>
    <t>Cryovial box 2: I9</t>
  </si>
  <si>
    <t>TXS00190</t>
  </si>
  <si>
    <t>Cryovial box 2: I10</t>
  </si>
  <si>
    <t>TXS00191</t>
  </si>
  <si>
    <t>Cryovial box 2: J1</t>
  </si>
  <si>
    <t>TXS00192</t>
  </si>
  <si>
    <t>Cryovial box 2: J2</t>
  </si>
  <si>
    <t>TXS00193</t>
  </si>
  <si>
    <t>Cryovial box 2: J3</t>
  </si>
  <si>
    <t>TXS00194</t>
  </si>
  <si>
    <t>Cryovial box 2: J4</t>
  </si>
  <si>
    <t>TXS00195</t>
  </si>
  <si>
    <t>Cryovial box 2: J5</t>
  </si>
  <si>
    <t>TXS00196</t>
  </si>
  <si>
    <t>Cryovial box 2: J6</t>
  </si>
  <si>
    <t>TXS00197</t>
  </si>
  <si>
    <t>Cryovial box 2: J7</t>
  </si>
  <si>
    <t>TXS00198</t>
  </si>
  <si>
    <t>Cryovial box 2: J8</t>
  </si>
  <si>
    <t>TXS00199</t>
  </si>
  <si>
    <t>Cryovial box 2: J9</t>
  </si>
  <si>
    <t>TXS00200</t>
  </si>
  <si>
    <t>Cryovial box 2: J10</t>
  </si>
  <si>
    <t>TXS00201</t>
  </si>
  <si>
    <t>Cryovial box 3: A1</t>
  </si>
  <si>
    <t>TXS00202</t>
  </si>
  <si>
    <t>Cryovial box 3: A2</t>
  </si>
  <si>
    <t>TXS00203</t>
  </si>
  <si>
    <t>Cryovial box 3: A3</t>
  </si>
  <si>
    <t>TXS00204</t>
  </si>
  <si>
    <t>Cryovial box 3: A4</t>
  </si>
  <si>
    <t>TXS00205</t>
  </si>
  <si>
    <t>Cryovial box 3: A5</t>
  </si>
  <si>
    <t>TXS00206</t>
  </si>
  <si>
    <t>Cryovial box 3: A6</t>
  </si>
  <si>
    <t>TXS00207</t>
  </si>
  <si>
    <t>Cryovial box 3: A7</t>
  </si>
  <si>
    <t>TXS00208</t>
  </si>
  <si>
    <t>Cryovial box 3: A8</t>
  </si>
  <si>
    <t>TXS00209</t>
  </si>
  <si>
    <t>Cryovial box 3: A9</t>
  </si>
  <si>
    <t>TXS00210</t>
  </si>
  <si>
    <t>Cryovial box 3: A10</t>
  </si>
  <si>
    <t>TXS00211</t>
  </si>
  <si>
    <t>Cryovial box 3: B1</t>
  </si>
  <si>
    <t>TXS00212</t>
  </si>
  <si>
    <t>Cryovial box 3: B2</t>
  </si>
  <si>
    <t>TXS00213</t>
  </si>
  <si>
    <t>Cryovial box 3: B3</t>
  </si>
  <si>
    <t>TXS00214</t>
  </si>
  <si>
    <t>Cryovial box 3: B4</t>
  </si>
  <si>
    <t>TXS00215</t>
  </si>
  <si>
    <t>Cryovial box 3: B5</t>
  </si>
  <si>
    <t>TXS00216</t>
  </si>
  <si>
    <t>Cryovial box 3: B6</t>
  </si>
  <si>
    <t>TXS00217</t>
  </si>
  <si>
    <t>Cryovial box 3: B7</t>
  </si>
  <si>
    <t>TXS00218</t>
  </si>
  <si>
    <t>Cryovial box 3: B8</t>
  </si>
  <si>
    <t>TXS00219</t>
  </si>
  <si>
    <t>Cryovial box 3: B9</t>
  </si>
  <si>
    <t>TXS00220</t>
  </si>
  <si>
    <t>Cryovial box 3: B10</t>
  </si>
  <si>
    <t>TXS00221</t>
  </si>
  <si>
    <t>Cryovial box 3: C1</t>
  </si>
  <si>
    <t>TXS00222</t>
  </si>
  <si>
    <t>Cryovial box 3: C2</t>
  </si>
  <si>
    <t>TXS00223</t>
  </si>
  <si>
    <t>Cryovial box 3: C3</t>
  </si>
  <si>
    <t>TXS00224</t>
  </si>
  <si>
    <t>Cryovial box 3: C4</t>
  </si>
  <si>
    <t>TXS00225</t>
  </si>
  <si>
    <t>Cryovial box 3: C5</t>
  </si>
  <si>
    <t>TXS00226</t>
  </si>
  <si>
    <t>Cryovial box 3: C6</t>
  </si>
  <si>
    <t>TXS00227</t>
  </si>
  <si>
    <t>Cryovial box 3: C7</t>
  </si>
  <si>
    <t>TXS00228</t>
  </si>
  <si>
    <t>Cryovial box 3: C8</t>
  </si>
  <si>
    <t>TXS00229</t>
  </si>
  <si>
    <t>Cryovial box 3: C9</t>
  </si>
  <si>
    <t>TXS00230</t>
  </si>
  <si>
    <t>Cryovial box 3: C10</t>
  </si>
  <si>
    <t>TXS00231</t>
  </si>
  <si>
    <t>Cryovial box 3: D1</t>
  </si>
  <si>
    <t>TXS00232</t>
  </si>
  <si>
    <t>Cryovial box 3: D2</t>
  </si>
  <si>
    <t>TXS00233</t>
  </si>
  <si>
    <t>Cryovial box 3: D3</t>
  </si>
  <si>
    <t>TXS00234</t>
  </si>
  <si>
    <t>Cryovial box 3: D4</t>
  </si>
  <si>
    <t>TXS00235</t>
  </si>
  <si>
    <t>Cryovial box 3: D5</t>
  </si>
  <si>
    <t>TXS00236</t>
  </si>
  <si>
    <t>Cryovial box 3: D6</t>
  </si>
  <si>
    <t>TXS00237</t>
  </si>
  <si>
    <t>Cryovial box 3: D7</t>
  </si>
  <si>
    <t>TXS00238</t>
  </si>
  <si>
    <t>Cryovial box 3: D8</t>
  </si>
  <si>
    <t>TXS00239</t>
  </si>
  <si>
    <t>Cryovial box 3: D9</t>
  </si>
  <si>
    <t>TXS00240</t>
  </si>
  <si>
    <t>Cryovial box 3: D10</t>
  </si>
  <si>
    <t>TXS00241</t>
  </si>
  <si>
    <t>Cryovial box 3: E1</t>
  </si>
  <si>
    <t>TXS00242</t>
  </si>
  <si>
    <t>Cryovial box 3: E2</t>
  </si>
  <si>
    <t>TXS00243</t>
  </si>
  <si>
    <t>Cryovial box 3: E3</t>
  </si>
  <si>
    <t>TXS00244</t>
  </si>
  <si>
    <t>Cryovial box 3: E4</t>
  </si>
  <si>
    <t>TXS00245</t>
  </si>
  <si>
    <t>Cryovial box 3: E5</t>
  </si>
  <si>
    <t>TXS00246</t>
  </si>
  <si>
    <t>Cryovial box 3: E6</t>
  </si>
  <si>
    <t>TXS00247</t>
  </si>
  <si>
    <t>Cryovial box 3: E7</t>
  </si>
  <si>
    <t>TXS00248</t>
  </si>
  <si>
    <t>Cryovial box 3: E8</t>
  </si>
  <si>
    <t>TXS00249</t>
  </si>
  <si>
    <t>Cryovial box 3: E9</t>
  </si>
  <si>
    <t>TXS00250</t>
  </si>
  <si>
    <t>Cryovial box 3: E10</t>
  </si>
  <si>
    <t>TXS00251</t>
  </si>
  <si>
    <t>Cryovial box 3: F1</t>
  </si>
  <si>
    <t>TXS00252</t>
  </si>
  <si>
    <t>Cryovial box 3: F2</t>
  </si>
  <si>
    <t>TXS00253</t>
  </si>
  <si>
    <t>Cryovial box 3: F3</t>
  </si>
  <si>
    <t>TXS00254</t>
  </si>
  <si>
    <t>Cryovial box 3: F4</t>
  </si>
  <si>
    <t>TXS00255</t>
  </si>
  <si>
    <t>Cryovial box 3: F5</t>
  </si>
  <si>
    <t>TXS00256</t>
  </si>
  <si>
    <t>Cryovial box 3: F6</t>
  </si>
  <si>
    <t>TXS00257</t>
  </si>
  <si>
    <t>Cryovial box 3: F7</t>
  </si>
  <si>
    <t>TXS00258</t>
  </si>
  <si>
    <t>Cryovial box 3: F8</t>
  </si>
  <si>
    <t>TXS00259</t>
  </si>
  <si>
    <t>Cryovial box 3: F9</t>
  </si>
  <si>
    <t>TXS00260</t>
  </si>
  <si>
    <t>Cryovial box 3: F10</t>
  </si>
  <si>
    <t>TXS00261</t>
  </si>
  <si>
    <t>Cryovial box 3: G1</t>
  </si>
  <si>
    <t>TXS00262</t>
  </si>
  <si>
    <t>Cryovial box 3: G2</t>
  </si>
  <si>
    <t>TXS00263</t>
  </si>
  <si>
    <t>Cryovial box 3: G3</t>
  </si>
  <si>
    <t>TXS00264</t>
  </si>
  <si>
    <t>Cryovial box 3: G4</t>
  </si>
  <si>
    <t>TXS00265</t>
  </si>
  <si>
    <t>Cryovial box 3: G5</t>
  </si>
  <si>
    <t>TXS00266</t>
  </si>
  <si>
    <t>Cryovial box 3: G6</t>
  </si>
  <si>
    <t>TXS00267</t>
  </si>
  <si>
    <t>Cryovial box 3: G7</t>
  </si>
  <si>
    <t>TXS00268</t>
  </si>
  <si>
    <t>Cryovial box 3: G8</t>
  </si>
  <si>
    <t>TXS00269</t>
  </si>
  <si>
    <t>Cryovial box 3: G9</t>
  </si>
  <si>
    <t>TXS00270</t>
  </si>
  <si>
    <t>Cryovial box 3: G10</t>
  </si>
  <si>
    <t>TXS00271</t>
  </si>
  <si>
    <t>Cryovial box 3: H1</t>
  </si>
  <si>
    <t>TXS00272</t>
  </si>
  <si>
    <t>Cryovial box 3: H2</t>
  </si>
  <si>
    <t>TXS00273</t>
  </si>
  <si>
    <t>Cryovial box 3: H3</t>
  </si>
  <si>
    <t>TXS00274</t>
  </si>
  <si>
    <t>Cryovial box 3: H4</t>
  </si>
  <si>
    <t>TXS00275</t>
  </si>
  <si>
    <t>Cryovial box 3: H5</t>
  </si>
  <si>
    <t>TXS00276</t>
  </si>
  <si>
    <t>Cryovial box 3: H6</t>
  </si>
  <si>
    <t>TXS00277</t>
  </si>
  <si>
    <t>Cryovial box 3: H7</t>
  </si>
  <si>
    <t>TXS00278</t>
  </si>
  <si>
    <t>Cryovial box 3: H8</t>
  </si>
  <si>
    <t>TXS00279</t>
  </si>
  <si>
    <t>Cryovial box 3: H9</t>
  </si>
  <si>
    <t>TXS00280</t>
  </si>
  <si>
    <t>Cryovial box 3: H10</t>
  </si>
  <si>
    <t>TXS00281</t>
  </si>
  <si>
    <t>Cryovial box 3: I1</t>
  </si>
  <si>
    <t>TXS00282</t>
  </si>
  <si>
    <t>Cryovial box 3: I2</t>
  </si>
  <si>
    <t>TXS00283</t>
  </si>
  <si>
    <t>Cryovial box 3: I3</t>
  </si>
  <si>
    <t>TXS00284</t>
  </si>
  <si>
    <t>Cryovial box 3: I4</t>
  </si>
  <si>
    <t>TXS00285</t>
  </si>
  <si>
    <t>Cryovial box 3: I5</t>
  </si>
  <si>
    <t>TXS00286</t>
  </si>
  <si>
    <t>Cryovial box 3: I6</t>
  </si>
  <si>
    <t>TXS00287</t>
  </si>
  <si>
    <t>Cryovial box 3: I7</t>
  </si>
  <si>
    <t>TXS00288</t>
  </si>
  <si>
    <t>Cryovial box 3: I8</t>
  </si>
  <si>
    <t>TXS00289</t>
  </si>
  <si>
    <t>Cryovial box 3: I9</t>
  </si>
  <si>
    <t>TXS00290</t>
  </si>
  <si>
    <t>Cryovial box 3: I10</t>
  </si>
  <si>
    <t>TXS00291</t>
  </si>
  <si>
    <t>Cryovial box 3: J1</t>
  </si>
  <si>
    <t>TXS00292</t>
  </si>
  <si>
    <t>Cryovial box 3: J2</t>
  </si>
  <si>
    <t>TXS00293</t>
  </si>
  <si>
    <t>Cryovial box 3: J3</t>
  </si>
  <si>
    <t>TXS00294</t>
  </si>
  <si>
    <t>Cryovial box 3: J4</t>
  </si>
  <si>
    <t>TXS00295</t>
  </si>
  <si>
    <t>Cryovial box 3: J5</t>
  </si>
  <si>
    <t>TXS00296</t>
  </si>
  <si>
    <t>Cryovial box 3: J6</t>
  </si>
  <si>
    <t>TXS00297</t>
  </si>
  <si>
    <t>Cryovial box 3: J7</t>
  </si>
  <si>
    <t>TXS00298</t>
  </si>
  <si>
    <t>Cryovial box 3: J8</t>
  </si>
  <si>
    <t>TXS00299</t>
  </si>
  <si>
    <t>Cryovial box 3: J9</t>
  </si>
  <si>
    <t>TXS00300</t>
  </si>
  <si>
    <t>Cryovial box 3: J10</t>
  </si>
  <si>
    <t>TXS00301</t>
  </si>
  <si>
    <t>Cryovial box 4: A1</t>
  </si>
  <si>
    <t>TXS00302</t>
  </si>
  <si>
    <t>Cryovial box 4: A2</t>
  </si>
  <si>
    <t>TXS00303</t>
  </si>
  <si>
    <t>Cryovial box 4: A3</t>
  </si>
  <si>
    <t>TXS00304</t>
  </si>
  <si>
    <t>Cryovial box 4: A4</t>
  </si>
  <si>
    <t>TXS00305</t>
  </si>
  <si>
    <t>Cryovial box 4: A5</t>
  </si>
  <si>
    <t>TXS00306</t>
  </si>
  <si>
    <t>Cryovial box 4: A6</t>
  </si>
  <si>
    <t>TXS00307</t>
  </si>
  <si>
    <t>Cryovial box 4: A7</t>
  </si>
  <si>
    <t>TXS00308</t>
  </si>
  <si>
    <t>Cryovial box 4: A8</t>
  </si>
  <si>
    <t>TXS00309</t>
  </si>
  <si>
    <t>Cryovial box 4: A9</t>
  </si>
  <si>
    <t>TXS00310</t>
  </si>
  <si>
    <t>Cryovial box 4: A10</t>
  </si>
  <si>
    <t>TXS00311</t>
  </si>
  <si>
    <t>Cryovial box 4: B1</t>
  </si>
  <si>
    <t>TXS00312</t>
  </si>
  <si>
    <t>Cryovial box 4: B2</t>
  </si>
  <si>
    <t>TXS00313</t>
  </si>
  <si>
    <t>Cryovial box 4: B3</t>
  </si>
  <si>
    <t>TXS00314</t>
  </si>
  <si>
    <t>Cryovial box 4: B4</t>
  </si>
  <si>
    <t>TXS00315</t>
  </si>
  <si>
    <t>Cryovial box 4: B5</t>
  </si>
  <si>
    <t>TXS00316</t>
  </si>
  <si>
    <t>Cryovial box 4: B6</t>
  </si>
  <si>
    <t>TXS00317</t>
  </si>
  <si>
    <t>Cryovial box 4: B7</t>
  </si>
  <si>
    <t>TXS00318</t>
  </si>
  <si>
    <t>Cryovial box 4: B8</t>
  </si>
  <si>
    <t>TXS00319</t>
  </si>
  <si>
    <t>Cryovial box 4: B9</t>
  </si>
  <si>
    <t>TXS00320</t>
  </si>
  <si>
    <t>Cryovial box 4: B10</t>
  </si>
  <si>
    <t>TXS00321</t>
  </si>
  <si>
    <t>Cryovial box 4: C1</t>
  </si>
  <si>
    <t>TXS00322</t>
  </si>
  <si>
    <t>Cryovial box 4: C2</t>
  </si>
  <si>
    <t>TXS00323</t>
  </si>
  <si>
    <t>Cryovial box 4: C3</t>
  </si>
  <si>
    <t>TXS00324</t>
  </si>
  <si>
    <t>Cryovial box 4: C4</t>
  </si>
  <si>
    <t>TXS00325</t>
  </si>
  <si>
    <t>Cryovial box 4: C5</t>
  </si>
  <si>
    <t>TXS00326</t>
  </si>
  <si>
    <t>Cryovial box 4: C6</t>
  </si>
  <si>
    <t>TXS00327</t>
  </si>
  <si>
    <t>Cryovial box 4: C7</t>
  </si>
  <si>
    <t>TXS00328</t>
  </si>
  <si>
    <t>Cryovial box 4: C8</t>
  </si>
  <si>
    <t>TXS00329</t>
  </si>
  <si>
    <t>Cryovial box 4: C9</t>
  </si>
  <si>
    <t>TXS00330</t>
  </si>
  <si>
    <t>Cryovial box 4: C10</t>
  </si>
  <si>
    <t>TXS00331</t>
  </si>
  <si>
    <t>Cryovial box 4: D1</t>
  </si>
  <si>
    <t>TXS00332</t>
  </si>
  <si>
    <t>Cryovial box 4: D2</t>
  </si>
  <si>
    <t>TXS00333</t>
  </si>
  <si>
    <t>Cryovial box 4: D3</t>
  </si>
  <si>
    <t>TXS00334</t>
  </si>
  <si>
    <t>Cryovial box 4: D4</t>
  </si>
  <si>
    <t>TXS00335</t>
  </si>
  <si>
    <t>Cryovial box 4: D5</t>
  </si>
  <si>
    <t>TXS00336</t>
  </si>
  <si>
    <t>Cryovial box 4: D6</t>
  </si>
  <si>
    <t>TXS00337</t>
  </si>
  <si>
    <t>Cryovial box 4: D7</t>
  </si>
  <si>
    <t>TXS00338</t>
  </si>
  <si>
    <t>Cryovial box 4: D8</t>
  </si>
  <si>
    <t>TXS00339</t>
  </si>
  <si>
    <t>Cryovial box 4: D9</t>
  </si>
  <si>
    <t>TXS00340</t>
  </si>
  <si>
    <t>Cryovial box 4: D10</t>
  </si>
  <si>
    <t>TXS00341</t>
  </si>
  <si>
    <t>Cryovial box 4: E1</t>
  </si>
  <si>
    <t>TXS00342</t>
  </si>
  <si>
    <t>Cryovial box 4: E2</t>
  </si>
  <si>
    <t>TXS00343</t>
  </si>
  <si>
    <t>Cryovial box 4: E3</t>
  </si>
  <si>
    <t>TXS00344</t>
  </si>
  <si>
    <t>Cryovial box 4: E4</t>
  </si>
  <si>
    <t>TXS00345</t>
  </si>
  <si>
    <t>Cryovial box 4: E5</t>
  </si>
  <si>
    <t>TXS00346</t>
  </si>
  <si>
    <t>Cryovial box 4: E6</t>
  </si>
  <si>
    <t>TXS00347</t>
  </si>
  <si>
    <t>Cryovial box 4: E7</t>
  </si>
  <si>
    <t>TXS00348</t>
  </si>
  <si>
    <t>Cryovial box 4: E8</t>
  </si>
  <si>
    <t>TXS00349</t>
  </si>
  <si>
    <t>Cryovial box 4: E9</t>
  </si>
  <si>
    <t>TXS00350</t>
  </si>
  <si>
    <t>Cryovial box 4: E10</t>
  </si>
  <si>
    <t>TXS00351</t>
  </si>
  <si>
    <t>Cryovial box 4: F1</t>
  </si>
  <si>
    <t>TXS00352</t>
  </si>
  <si>
    <t>Cryovial box 4: F2</t>
  </si>
  <si>
    <t>TXS00353</t>
  </si>
  <si>
    <t>Cryovial box 4: F3</t>
  </si>
  <si>
    <t>TXS00354</t>
  </si>
  <si>
    <t>Cryovial box 4: F4</t>
  </si>
  <si>
    <t>TXS00355</t>
  </si>
  <si>
    <t>Cryovial box 4: F5</t>
  </si>
  <si>
    <t>TXS00356</t>
  </si>
  <si>
    <t>Cryovial box 4: F6</t>
  </si>
  <si>
    <t>TXS00357</t>
  </si>
  <si>
    <t>Cryovial box 4: F7</t>
  </si>
  <si>
    <t>TXS00358</t>
  </si>
  <si>
    <t>Cryovial box 4: F8</t>
  </si>
  <si>
    <t>TXS00359</t>
  </si>
  <si>
    <t>Cryovial box 4: F9</t>
  </si>
  <si>
    <t>TXS00360</t>
  </si>
  <si>
    <t>Cryovial box 4: F10</t>
  </si>
  <si>
    <t>TXS00361</t>
  </si>
  <si>
    <t>Cryovial box 4: G1</t>
  </si>
  <si>
    <t>TXS00362</t>
  </si>
  <si>
    <t>Cryovial box 4: G2</t>
  </si>
  <si>
    <t>TXS00363</t>
  </si>
  <si>
    <t>Cryovial box 4: G3</t>
  </si>
  <si>
    <t>TXS00364</t>
  </si>
  <si>
    <t>Cryovial box 4: G4</t>
  </si>
  <si>
    <t>TXS00365</t>
  </si>
  <si>
    <t>Cryovial box 4: G5</t>
  </si>
  <si>
    <t>TXS00366</t>
  </si>
  <si>
    <t>Cryovial box 4: G6</t>
  </si>
  <si>
    <t>TXS00367</t>
  </si>
  <si>
    <t>Cryovial box 4: G7</t>
  </si>
  <si>
    <t>TXS00368</t>
  </si>
  <si>
    <t>Cryovial box 4: G8</t>
  </si>
  <si>
    <t>TXS00369</t>
  </si>
  <si>
    <t>Cryovial box 4: G9</t>
  </si>
  <si>
    <t>TXS00370</t>
  </si>
  <si>
    <t>Cryovial box 4: G10</t>
  </si>
  <si>
    <t>TXS00371</t>
  </si>
  <si>
    <t>Cryovial box 4: H1</t>
  </si>
  <si>
    <t>TXS00372</t>
  </si>
  <si>
    <t>Cryovial box 4: H2</t>
  </si>
  <si>
    <t>TXS00373</t>
  </si>
  <si>
    <t>Cryovial box 4: H3</t>
  </si>
  <si>
    <t>TXS00374</t>
  </si>
  <si>
    <t>Cryovial box 4: H4</t>
  </si>
  <si>
    <t>TXS00375</t>
  </si>
  <si>
    <t>Cryovial box 4: H5</t>
  </si>
  <si>
    <t>TXS00376</t>
  </si>
  <si>
    <t>Cryovial box 4: H6</t>
  </si>
  <si>
    <t>TXS00377</t>
  </si>
  <si>
    <t>Cryovial box 4: H7</t>
  </si>
  <si>
    <t>TXS00378</t>
  </si>
  <si>
    <t>Cryovial box 4: H8</t>
  </si>
  <si>
    <t>TXS00379</t>
  </si>
  <si>
    <t>Cryovial box 4: H9</t>
  </si>
  <si>
    <t>TXS00380</t>
  </si>
  <si>
    <t>Cryovial box 4: H10</t>
  </si>
  <si>
    <t>TXS00381</t>
  </si>
  <si>
    <t>Cryovial box 4: I1</t>
  </si>
  <si>
    <t>TXS00382</t>
  </si>
  <si>
    <t>Cryovial box 4: I2</t>
  </si>
  <si>
    <t>TXS00383</t>
  </si>
  <si>
    <t>Cryovial box 4: I3</t>
  </si>
  <si>
    <t>TXS00384</t>
  </si>
  <si>
    <t>Cryovial box 4: I4</t>
  </si>
  <si>
    <t>TXS00385</t>
  </si>
  <si>
    <t>Cryovial box 4: I5</t>
  </si>
  <si>
    <t>TXS00386</t>
  </si>
  <si>
    <t>Cryovial box 4: I6</t>
  </si>
  <si>
    <t>TXS00387</t>
  </si>
  <si>
    <t>Cryovial box 4: I7</t>
  </si>
  <si>
    <t>TXS00388</t>
  </si>
  <si>
    <t>Cryovial box 4: I8</t>
  </si>
  <si>
    <t>TXS00389</t>
  </si>
  <si>
    <t>Cryovial box 4: I9</t>
  </si>
  <si>
    <t>TXS00390</t>
  </si>
  <si>
    <t>Cryovial box 4: I10</t>
  </si>
  <si>
    <t>TXS00391</t>
  </si>
  <si>
    <t>Cryovial box 4: J1</t>
  </si>
  <si>
    <t>TXS00392</t>
  </si>
  <si>
    <t>Cryovial box 4: J2</t>
  </si>
  <si>
    <t>TXS00393</t>
  </si>
  <si>
    <t>Cryovial box 4: J3</t>
  </si>
  <si>
    <t>TXS00394</t>
  </si>
  <si>
    <t>Cryovial box 4: J4</t>
  </si>
  <si>
    <t>TXS00395</t>
  </si>
  <si>
    <t>Cryovial box 4: J5</t>
  </si>
  <si>
    <t>TXS00396</t>
  </si>
  <si>
    <t>Cryovial box 4: J6</t>
  </si>
  <si>
    <t>TXS00397</t>
  </si>
  <si>
    <t>Cryovial box 4: J7</t>
  </si>
  <si>
    <t>TXS00398</t>
  </si>
  <si>
    <t>Cryovial box 4: J8</t>
  </si>
  <si>
    <t>TXS00399</t>
  </si>
  <si>
    <t>Cryovial box 4: J9</t>
  </si>
  <si>
    <t>TXS00400</t>
  </si>
  <si>
    <t>Cryovial box 4: J10</t>
  </si>
  <si>
    <t>TXS00401</t>
  </si>
  <si>
    <t>Cryovial box 5: A1</t>
  </si>
  <si>
    <t>TXS00402</t>
  </si>
  <si>
    <t>Cryovial box 5: A2</t>
  </si>
  <si>
    <t>TXS00403</t>
  </si>
  <si>
    <t>Cryovial box 5: A3</t>
  </si>
  <si>
    <t>TXS00404</t>
  </si>
  <si>
    <t>Cryovial box 5: A4</t>
  </si>
  <si>
    <t>TXS00405</t>
  </si>
  <si>
    <t>Cryovial box 5: A5</t>
  </si>
  <si>
    <t>TXS00406</t>
  </si>
  <si>
    <t>Cryovial box 5: A6</t>
  </si>
  <si>
    <t>TXS00407</t>
  </si>
  <si>
    <t>Cryovial box 5: A7</t>
  </si>
  <si>
    <t>TXS00408</t>
  </si>
  <si>
    <t>Cryovial box 5: A8</t>
  </si>
  <si>
    <t>TXS00409</t>
  </si>
  <si>
    <t>Cryovial box 5: A9</t>
  </si>
  <si>
    <t>TXS00410</t>
  </si>
  <si>
    <t>Cryovial box 5: A10</t>
  </si>
  <si>
    <t>TXS00411</t>
  </si>
  <si>
    <t>Cryovial box 5: B1</t>
  </si>
  <si>
    <t>TXS00412</t>
  </si>
  <si>
    <t>Cryovial box 5: B2</t>
  </si>
  <si>
    <t>TXS00413</t>
  </si>
  <si>
    <t>Cryovial box 5: B3</t>
  </si>
  <si>
    <t>TXS00414</t>
  </si>
  <si>
    <t>Cryovial box 5: B4</t>
  </si>
  <si>
    <t>TXS00415</t>
  </si>
  <si>
    <t>Cryovial box 5: B5</t>
  </si>
  <si>
    <t>TXS00416</t>
  </si>
  <si>
    <t>Cryovial box 5: B6</t>
  </si>
  <si>
    <t>TXS00417</t>
  </si>
  <si>
    <t>Cryovial box 5: B7</t>
  </si>
  <si>
    <t>TXS00418</t>
  </si>
  <si>
    <t>Cryovial box 5: B8</t>
  </si>
  <si>
    <t>TXS00419</t>
  </si>
  <si>
    <t>Cryovial box 5: B9</t>
  </si>
  <si>
    <t>TXS00420</t>
  </si>
  <si>
    <t>Cryovial box 5: B10</t>
  </si>
  <si>
    <t>TXS00421</t>
  </si>
  <si>
    <t>Cryovial box 5: C1</t>
  </si>
  <si>
    <t>TXS00422</t>
  </si>
  <si>
    <t>Cryovial box 5: C2</t>
  </si>
  <si>
    <t>TXS00423</t>
  </si>
  <si>
    <t>Cryovial box 5: C3</t>
  </si>
  <si>
    <t>TXS00424</t>
  </si>
  <si>
    <t>Cryovial box 5: C4</t>
  </si>
  <si>
    <t>TXS00425</t>
  </si>
  <si>
    <t>Cryovial box 5: C5</t>
  </si>
  <si>
    <t>TXS00426</t>
  </si>
  <si>
    <t>Cryovial box 5: C6</t>
  </si>
  <si>
    <t>TXS00427</t>
  </si>
  <si>
    <t>Cryovial box 5: C7</t>
  </si>
  <si>
    <t>TXS00428</t>
  </si>
  <si>
    <t>Cryovial box 5: C8</t>
  </si>
  <si>
    <t>TXS00429</t>
  </si>
  <si>
    <t>Cryovial box 5: C9</t>
  </si>
  <si>
    <t>TXS00430</t>
  </si>
  <si>
    <t>Cryovial box 5: C10</t>
  </si>
  <si>
    <t>TXS00431</t>
  </si>
  <si>
    <t>Cryovial box 5: D1</t>
  </si>
  <si>
    <t>TXS00432</t>
  </si>
  <si>
    <t>Cryovial box 5: D2</t>
  </si>
  <si>
    <t>TXS00433</t>
  </si>
  <si>
    <t>Cryovial box 5: D3</t>
  </si>
  <si>
    <t>TXS00434</t>
  </si>
  <si>
    <t>Cryovial box 5: D4</t>
  </si>
  <si>
    <t>TXS00435</t>
  </si>
  <si>
    <t>Cryovial box 5: D5</t>
  </si>
  <si>
    <t>TXS00436</t>
  </si>
  <si>
    <t>Cryovial box 5: D6</t>
  </si>
  <si>
    <t>TXS00437</t>
  </si>
  <si>
    <t>Cryovial box 5: D7</t>
  </si>
  <si>
    <t>TXS00438</t>
  </si>
  <si>
    <t>Cryovial box 5: D8</t>
  </si>
  <si>
    <t>TXS00439</t>
  </si>
  <si>
    <t>Cryovial box 5: D9</t>
  </si>
  <si>
    <t>TXS00440</t>
  </si>
  <si>
    <t>Cryovial box 5: D10</t>
  </si>
  <si>
    <t>TXS00441</t>
  </si>
  <si>
    <t>Cryovial box 5: E1</t>
  </si>
  <si>
    <t>TXS00442</t>
  </si>
  <si>
    <t>Cryovial box 5: E2</t>
  </si>
  <si>
    <t>TXS00443</t>
  </si>
  <si>
    <t>Cryovial box 5: E3</t>
  </si>
  <si>
    <t>TXS00444</t>
  </si>
  <si>
    <t>Cryovial box 5: E4</t>
  </si>
  <si>
    <t>TXS00445</t>
  </si>
  <si>
    <t>Cryovial box 5: E5</t>
  </si>
  <si>
    <t>TXS00446</t>
  </si>
  <si>
    <t>Cryovial box 5: E6</t>
  </si>
  <si>
    <t>TXS00447</t>
  </si>
  <si>
    <t>Cryovial box 5: E7</t>
  </si>
  <si>
    <t>TXS00448</t>
  </si>
  <si>
    <t>Cryovial box 5: E8</t>
  </si>
  <si>
    <t>TXS00449</t>
  </si>
  <si>
    <t>Cryovial box 5: E9</t>
  </si>
  <si>
    <t>TXS00450</t>
  </si>
  <si>
    <t>Cryovial box 5: E10</t>
  </si>
  <si>
    <t>TXS00451</t>
  </si>
  <si>
    <t>Cryovial box 5: F1</t>
  </si>
  <si>
    <t>TXS00452</t>
  </si>
  <si>
    <t>Cryovial box 5: F2</t>
  </si>
  <si>
    <t>TXS00453</t>
  </si>
  <si>
    <t>Cryovial box 5: F3</t>
  </si>
  <si>
    <t>TXS00454</t>
  </si>
  <si>
    <t>Cryovial box 5: F4</t>
  </si>
  <si>
    <t>TXS00455</t>
  </si>
  <si>
    <t>Cryovial box 5: F5</t>
  </si>
  <si>
    <t>TXS00456</t>
  </si>
  <si>
    <t>Cryovial box 5: F6</t>
  </si>
  <si>
    <t>TXS00457</t>
  </si>
  <si>
    <t>Cryovial box 5: F7</t>
  </si>
  <si>
    <t>TXS00458</t>
  </si>
  <si>
    <t>Cryovial box 5: F8</t>
  </si>
  <si>
    <t>TXS00459</t>
  </si>
  <si>
    <t>Cryovial box 5: F9</t>
  </si>
  <si>
    <t>TXS00460</t>
  </si>
  <si>
    <t>Cryovial box 5: F10</t>
  </si>
  <si>
    <t>TXS00461</t>
  </si>
  <si>
    <t>Cryovial box 5: G1</t>
  </si>
  <si>
    <t>TXS00462</t>
  </si>
  <si>
    <t>Cryovial box 5: G2</t>
  </si>
  <si>
    <t>TXS00463</t>
  </si>
  <si>
    <t>Cryovial box 5: G3</t>
  </si>
  <si>
    <t>TXS00464</t>
  </si>
  <si>
    <t>Cryovial box 5: G4</t>
  </si>
  <si>
    <t>TXS00465</t>
  </si>
  <si>
    <t>Cryovial box 5: G5</t>
  </si>
  <si>
    <t>TXS00466</t>
  </si>
  <si>
    <t>Cryovial box 5: G6</t>
  </si>
  <si>
    <t>TXS00467</t>
  </si>
  <si>
    <t>Cryovial box 5: G7</t>
  </si>
  <si>
    <t>TXS00468</t>
  </si>
  <si>
    <t>Cryovial box 5: G8</t>
  </si>
  <si>
    <t>TXS00469</t>
  </si>
  <si>
    <t>Cryovial box 5: G9</t>
  </si>
  <si>
    <t>TXS00470</t>
  </si>
  <si>
    <t>Cryovial box 5: G10</t>
  </si>
  <si>
    <t>TXS00471</t>
  </si>
  <si>
    <t>Cryovial box 5: H1</t>
  </si>
  <si>
    <t>TXS00472</t>
  </si>
  <si>
    <t>Cryovial box 5: H2</t>
  </si>
  <si>
    <t>TXS00473</t>
  </si>
  <si>
    <t>Cryovial box 5: H3</t>
  </si>
  <si>
    <t>TXS00474</t>
  </si>
  <si>
    <t>Cryovial box 5: H4</t>
  </si>
  <si>
    <t>TXS00475</t>
  </si>
  <si>
    <t>Cryovial box 5: H5</t>
  </si>
  <si>
    <t>TXS00476</t>
  </si>
  <si>
    <t>Cryovial box 5: H6</t>
  </si>
  <si>
    <t>TXS00477</t>
  </si>
  <si>
    <t>Cryovial box 5: H7</t>
  </si>
  <si>
    <t>TXS00478</t>
  </si>
  <si>
    <t>Cryovial box 5: H8</t>
  </si>
  <si>
    <t>TXS00479</t>
  </si>
  <si>
    <t>Cryovial box 5: H9</t>
  </si>
  <si>
    <t>TXS00480</t>
  </si>
  <si>
    <t>Cryovial box 5: H10</t>
  </si>
  <si>
    <t>TXS00481</t>
  </si>
  <si>
    <t>Cryovial box 5: I1</t>
  </si>
  <si>
    <t>TXS00482</t>
  </si>
  <si>
    <t>Cryovial box 5: I2</t>
  </si>
  <si>
    <t>TXS00483</t>
  </si>
  <si>
    <t>Cryovial box 5: I3</t>
  </si>
  <si>
    <t>TXS00484</t>
  </si>
  <si>
    <t>Cryovial box 5: I4</t>
  </si>
  <si>
    <t>TXS00485</t>
  </si>
  <si>
    <t>Cryovial box 5: I5</t>
  </si>
  <si>
    <t>TXS00486</t>
  </si>
  <si>
    <t>Cryovial box 5: I6</t>
  </si>
  <si>
    <t>TXS00487</t>
  </si>
  <si>
    <t>Cryovial box 5: I7</t>
  </si>
  <si>
    <t>TXS00488</t>
  </si>
  <si>
    <t>Cryovial box 5: I8</t>
  </si>
  <si>
    <t>TXS00489</t>
  </si>
  <si>
    <t>Cryovial box 5: I9</t>
  </si>
  <si>
    <t>TXS00490</t>
  </si>
  <si>
    <t>Cryovial box 5: I10</t>
  </si>
  <si>
    <t>TXS00491</t>
  </si>
  <si>
    <t>Cryovial box 5: J1</t>
  </si>
  <si>
    <t>TXS00492</t>
  </si>
  <si>
    <t>Cryovial box 5: J2</t>
  </si>
  <si>
    <t>TXS00493</t>
  </si>
  <si>
    <t>Cryovial box 5: J3</t>
  </si>
  <si>
    <t>TXS00494</t>
  </si>
  <si>
    <t>Cryovial box 5: J4</t>
  </si>
  <si>
    <t>TXS00495</t>
  </si>
  <si>
    <t>Cryovial box 5: J5</t>
  </si>
  <si>
    <t>TXS00496</t>
  </si>
  <si>
    <t>Cryovial box 5: J6</t>
  </si>
  <si>
    <t>TXS00497</t>
  </si>
  <si>
    <t>Cryovial box 5: J7</t>
  </si>
  <si>
    <t>TXS00498</t>
  </si>
  <si>
    <t>Cryovial box 5: J8</t>
  </si>
  <si>
    <t>TXS00499</t>
  </si>
  <si>
    <t>Cryovial box 5: J9</t>
  </si>
  <si>
    <t>TXS00500</t>
  </si>
  <si>
    <t>Cryovial box 5: J10</t>
  </si>
  <si>
    <t>TXS00501</t>
  </si>
  <si>
    <t>Cryovial box 6: A1</t>
  </si>
  <si>
    <t>TXS00502</t>
  </si>
  <si>
    <t>Cryovial box 6: A2</t>
  </si>
  <si>
    <t>TXS00503</t>
  </si>
  <si>
    <t>Cryovial box 6: A3</t>
  </si>
  <si>
    <t>TXS00504</t>
  </si>
  <si>
    <t>Cryovial box 6: A4</t>
  </si>
  <si>
    <t>TXS00505</t>
  </si>
  <si>
    <t>Cryovial box 6: A5</t>
  </si>
  <si>
    <t>TXS00506</t>
  </si>
  <si>
    <t>Cryovial box 6: A6</t>
  </si>
  <si>
    <t>TXS00507</t>
  </si>
  <si>
    <t>Cryovial box 6: A7</t>
  </si>
  <si>
    <t>TXS00508</t>
  </si>
  <si>
    <t>Cryovial box 6: A8</t>
  </si>
  <si>
    <t>TXS00509</t>
  </si>
  <si>
    <t>Cryovial box 6: A9</t>
  </si>
  <si>
    <t>TXS00510</t>
  </si>
  <si>
    <t>Cryovial box 6: A10</t>
  </si>
  <si>
    <t>TXS00511</t>
  </si>
  <si>
    <t>Cryovial box 6: B1</t>
  </si>
  <si>
    <t>TXS00512</t>
  </si>
  <si>
    <t>Cryovial box 6: B2</t>
  </si>
  <si>
    <t>TXS00513</t>
  </si>
  <si>
    <t>Cryovial box 6: B3</t>
  </si>
  <si>
    <t>TXS00514</t>
  </si>
  <si>
    <t>Cryovial box 6: B4</t>
  </si>
  <si>
    <t>TXS00515</t>
  </si>
  <si>
    <t>Cryovial box 6: B5</t>
  </si>
  <si>
    <t>TXS00516</t>
  </si>
  <si>
    <t>Cryovial box 6: B6</t>
  </si>
  <si>
    <t>TXS00517</t>
  </si>
  <si>
    <t>Cryovial box 6: B7</t>
  </si>
  <si>
    <t>TXS00518</t>
  </si>
  <si>
    <t>Cryovial box 6: B8</t>
  </si>
  <si>
    <t>TXS00519</t>
  </si>
  <si>
    <t>Cryovial box 6: B9</t>
  </si>
  <si>
    <t>TXS00520</t>
  </si>
  <si>
    <t>Cryovial box 6: B10</t>
  </si>
  <si>
    <t>TXS00521</t>
  </si>
  <si>
    <t>Cryovial box 6: C1</t>
  </si>
  <si>
    <t>TXS00522</t>
  </si>
  <si>
    <t>Cryovial box 6: C2</t>
  </si>
  <si>
    <t>TXS00523</t>
  </si>
  <si>
    <t>Cryovial box 6: C3</t>
  </si>
  <si>
    <t>TXS00524</t>
  </si>
  <si>
    <t>Cryovial box 6: C4</t>
  </si>
  <si>
    <t>TXS00525</t>
  </si>
  <si>
    <t>Cryovial box 6: C5</t>
  </si>
  <si>
    <t>TXS00526</t>
  </si>
  <si>
    <t>Cryovial box 6: C6</t>
  </si>
  <si>
    <t>TXS00527</t>
  </si>
  <si>
    <t>Cryovial box 6: C7</t>
  </si>
  <si>
    <t>TXS00528</t>
  </si>
  <si>
    <t>Cryovial box 6: C8</t>
  </si>
  <si>
    <t>TXS00529</t>
  </si>
  <si>
    <t>Cryovial box 6: C9</t>
  </si>
  <si>
    <t>TXS00530</t>
  </si>
  <si>
    <t>Cryovial box 6: C10</t>
  </si>
  <si>
    <t>TXS00531</t>
  </si>
  <si>
    <t>Cryovial box 6: D1</t>
  </si>
  <si>
    <t>TXS00532</t>
  </si>
  <si>
    <t>Cryovial box 6: D2</t>
  </si>
  <si>
    <t>TXS00533</t>
  </si>
  <si>
    <t>Cryovial box 6: D3</t>
  </si>
  <si>
    <t>TXS00534</t>
  </si>
  <si>
    <t>Cryovial box 6: D4</t>
  </si>
  <si>
    <t>TXS00535</t>
  </si>
  <si>
    <t>Cryovial box 6: D5</t>
  </si>
  <si>
    <t>TXS00536</t>
  </si>
  <si>
    <t>Cryovial box 6: D6</t>
  </si>
  <si>
    <t>TXS00537</t>
  </si>
  <si>
    <t>Cryovial box 6: D7</t>
  </si>
  <si>
    <t>TXS00538</t>
  </si>
  <si>
    <t>Cryovial box 6: D8</t>
  </si>
  <si>
    <t>TXS00539</t>
  </si>
  <si>
    <t>Cryovial box 6: D9</t>
  </si>
  <si>
    <t>TXS00540</t>
  </si>
  <si>
    <t>Cryovial box 6: D10</t>
  </si>
  <si>
    <t>TXS00541</t>
  </si>
  <si>
    <t>Cryovial box 6: E1</t>
  </si>
  <si>
    <t>TXS00542</t>
  </si>
  <si>
    <t>Cryovial box 6: E2</t>
  </si>
  <si>
    <t>TXS00543</t>
  </si>
  <si>
    <t>Cryovial box 6: E3</t>
  </si>
  <si>
    <t>TXS00544</t>
  </si>
  <si>
    <t>Cryovial box 6: E4</t>
  </si>
  <si>
    <t>TXS00545</t>
  </si>
  <si>
    <t>Cryovial box 6: E5</t>
  </si>
  <si>
    <t>TXS00546</t>
  </si>
  <si>
    <t>Cryovial box 6: E6</t>
  </si>
  <si>
    <t>TXS00547</t>
  </si>
  <si>
    <t>Cryovial box 6: E7</t>
  </si>
  <si>
    <t>TXS00548</t>
  </si>
  <si>
    <t>Cryovial box 6: E8</t>
  </si>
  <si>
    <t>TXS00549</t>
  </si>
  <si>
    <t>Cryovial box 6: E9</t>
  </si>
  <si>
    <t>TXS00550</t>
  </si>
  <si>
    <t>Cryovial box 6: E10</t>
  </si>
  <si>
    <t>TXS00551</t>
  </si>
  <si>
    <t>Cryovial box 6: F1</t>
  </si>
  <si>
    <t>TXS00552</t>
  </si>
  <si>
    <t>Cryovial box 6: F2</t>
  </si>
  <si>
    <t>TXS00553</t>
  </si>
  <si>
    <t>Cryovial box 6: F3</t>
  </si>
  <si>
    <t>TXS00554</t>
  </si>
  <si>
    <t>Cryovial box 6: F4</t>
  </si>
  <si>
    <t>TXS00555</t>
  </si>
  <si>
    <t>Cryovial box 6: F5</t>
  </si>
  <si>
    <t>TXS00556</t>
  </si>
  <si>
    <t>Cryovial box 6: F6</t>
  </si>
  <si>
    <t>TXS00557</t>
  </si>
  <si>
    <t>Cryovial box 6: F7</t>
  </si>
  <si>
    <t>TXS00558</t>
  </si>
  <si>
    <t>Cryovial box 6: F8</t>
  </si>
  <si>
    <t>TXS00559</t>
  </si>
  <si>
    <t>Cryovial box 6: F9</t>
  </si>
  <si>
    <t>TXS00560</t>
  </si>
  <si>
    <t>Cryovial box 6: F10</t>
  </si>
  <si>
    <t>TXS00561</t>
  </si>
  <si>
    <t>Cryovial box 6: G1</t>
  </si>
  <si>
    <t>TXS00562</t>
  </si>
  <si>
    <t>Cryovial box 6: G2</t>
  </si>
  <si>
    <t>TXS00563</t>
  </si>
  <si>
    <t>Cryovial box 6: G3</t>
  </si>
  <si>
    <t>TXS00564</t>
  </si>
  <si>
    <t>Cryovial box 6: G4</t>
  </si>
  <si>
    <t>TXS00565</t>
  </si>
  <si>
    <t>Cryovial box 6: G5</t>
  </si>
  <si>
    <t>TXS00566</t>
  </si>
  <si>
    <t>Cryovial box 6: G6</t>
  </si>
  <si>
    <t>TXS00567</t>
  </si>
  <si>
    <t>Cryovial box 6: G7</t>
  </si>
  <si>
    <t>TXS00568</t>
  </si>
  <si>
    <t>Cryovial box 6: G8</t>
  </si>
  <si>
    <t>TXS00569</t>
  </si>
  <si>
    <t>Cryovial box 6: G9</t>
  </si>
  <si>
    <t>TXS00570</t>
  </si>
  <si>
    <t>Cryovial box 6: G10</t>
  </si>
  <si>
    <t>TXS00571</t>
  </si>
  <si>
    <t>Cryovial box 6: H1</t>
  </si>
  <si>
    <t>TXS00572</t>
  </si>
  <si>
    <t>Cryovial box 6: H2</t>
  </si>
  <si>
    <t>TXS00573</t>
  </si>
  <si>
    <t>Cryovial box 6: H3</t>
  </si>
  <si>
    <t>TXS00574</t>
  </si>
  <si>
    <t>Cryovial box 6: H4</t>
  </si>
  <si>
    <t>TXS00575</t>
  </si>
  <si>
    <t>Cryovial box 6: H5</t>
  </si>
  <si>
    <t>TXS00576</t>
  </si>
  <si>
    <t>Cryovial box 6: H6</t>
  </si>
  <si>
    <t>TXS00577</t>
  </si>
  <si>
    <t>Cryovial box 6: H7</t>
  </si>
  <si>
    <t>TXS00578</t>
  </si>
  <si>
    <t>Cryovial box 6: H8</t>
  </si>
  <si>
    <t>TXS00579</t>
  </si>
  <si>
    <t>Cryovial box 6: H9</t>
  </si>
  <si>
    <t>TXS00580</t>
  </si>
  <si>
    <t>Cryovial box 6: H10</t>
  </si>
  <si>
    <t>TXS00581</t>
  </si>
  <si>
    <t>Cryovial box 6: I1</t>
  </si>
  <si>
    <t>TXS00582</t>
  </si>
  <si>
    <t>Cryovial box 6: I2</t>
  </si>
  <si>
    <t>TXS00583</t>
  </si>
  <si>
    <t>Cryovial box 6: I3</t>
  </si>
  <si>
    <t>TXS00584</t>
  </si>
  <si>
    <t>Cryovial box 6: I4</t>
  </si>
  <si>
    <t>TXS00585</t>
  </si>
  <si>
    <t>Cryovial box 6: I5</t>
  </si>
  <si>
    <t>TXS00586</t>
  </si>
  <si>
    <t>Cryovial box 6: I6</t>
  </si>
  <si>
    <t>TXS00587</t>
  </si>
  <si>
    <t>Cryovial box 6: I7</t>
  </si>
  <si>
    <t>TXS00588</t>
  </si>
  <si>
    <t>Cryovial box 6: I8</t>
  </si>
  <si>
    <t>TXS00589</t>
  </si>
  <si>
    <t>Cryovial box 6: I9</t>
  </si>
  <si>
    <t>TXS00590</t>
  </si>
  <si>
    <t>Cryovial box 6: I10</t>
  </si>
  <si>
    <t>TXS00591</t>
  </si>
  <si>
    <t>Cryovial box 6: J1</t>
  </si>
  <si>
    <t>TXS00592</t>
  </si>
  <si>
    <t>Cryovial box 6: J2</t>
  </si>
  <si>
    <t>TXS00593</t>
  </si>
  <si>
    <t>Cryovial box 6: J3</t>
  </si>
  <si>
    <t>TXS00594</t>
  </si>
  <si>
    <t>Cryovial box 6: J4</t>
  </si>
  <si>
    <t>TXS00595</t>
  </si>
  <si>
    <t>Cryovial box 6: J5</t>
  </si>
  <si>
    <t>TXS00596</t>
  </si>
  <si>
    <t>Cryovial box 6: J6</t>
  </si>
  <si>
    <t>TXS00597</t>
  </si>
  <si>
    <t>Cryovial box 6: J7</t>
  </si>
  <si>
    <t>TXS00598</t>
  </si>
  <si>
    <t>Cryovial box 6: J8</t>
  </si>
  <si>
    <t>TXS00599</t>
  </si>
  <si>
    <t>Cryovial box 6: J9</t>
  </si>
  <si>
    <t>TXS00600</t>
  </si>
  <si>
    <t>Cryovial box 6: J10</t>
  </si>
  <si>
    <t>TXS00601</t>
  </si>
  <si>
    <t>Cryovial box 7: A1</t>
  </si>
  <si>
    <t>TXS00602</t>
  </si>
  <si>
    <t>Cryovial box 7: A2</t>
  </si>
  <si>
    <t>TXS00603</t>
  </si>
  <si>
    <t>Cryovial box 7: A3</t>
  </si>
  <si>
    <t>TXS00604</t>
  </si>
  <si>
    <t>Cryovial box 7: A4</t>
  </si>
  <si>
    <t>TXS00605</t>
  </si>
  <si>
    <t>Cryovial box 7: A5</t>
  </si>
  <si>
    <t>TXS00606</t>
  </si>
  <si>
    <t>Cryovial box 7: A6</t>
  </si>
  <si>
    <t>TXS00607</t>
  </si>
  <si>
    <t>Cryovial box 7: A7</t>
  </si>
  <si>
    <t>TXS00608</t>
  </si>
  <si>
    <t>Cryovial box 7: A8</t>
  </si>
  <si>
    <t>TXS00609</t>
  </si>
  <si>
    <t>Cryovial box 7: A9</t>
  </si>
  <si>
    <t>TXS00610</t>
  </si>
  <si>
    <t>Cryovial box 7: A10</t>
  </si>
  <si>
    <t>TXS00611</t>
  </si>
  <si>
    <t>Cryovial box 7: B1</t>
  </si>
  <si>
    <t>TXS00612</t>
  </si>
  <si>
    <t>Cryovial box 7: B2</t>
  </si>
  <si>
    <t>TXS00613</t>
  </si>
  <si>
    <t>Cryovial box 7: B3</t>
  </si>
  <si>
    <t>TXS00614</t>
  </si>
  <si>
    <t>Cryovial box 7: B4</t>
  </si>
  <si>
    <t>TXS00615</t>
  </si>
  <si>
    <t>Cryovial box 7: B5</t>
  </si>
  <si>
    <t>TXS00616</t>
  </si>
  <si>
    <t>Cryovial box 7: B6</t>
  </si>
  <si>
    <t>TXS00617</t>
  </si>
  <si>
    <t>Cryovial box 7: B7</t>
  </si>
  <si>
    <t>TXS00618</t>
  </si>
  <si>
    <t>Cryovial box 7: B8</t>
  </si>
  <si>
    <t>TXS00619</t>
  </si>
  <si>
    <t>Cryovial box 7: B9</t>
  </si>
  <si>
    <t>TXS00620</t>
  </si>
  <si>
    <t>Cryovial box 7: B10</t>
  </si>
  <si>
    <t>TXS00621</t>
  </si>
  <si>
    <t>Cryovial box 7: C1</t>
  </si>
  <si>
    <t>TXS00622</t>
  </si>
  <si>
    <t>Cryovial box 7: C2</t>
  </si>
  <si>
    <t>TXS00623</t>
  </si>
  <si>
    <t>Cryovial box 7: C3</t>
  </si>
  <si>
    <t>TXS00624</t>
  </si>
  <si>
    <t>Cryovial box 7: C4</t>
  </si>
  <si>
    <t>TXS00625</t>
  </si>
  <si>
    <t>Cryovial box 7: C5</t>
  </si>
  <si>
    <t>TXS00626</t>
  </si>
  <si>
    <t>Cryovial box 7: C6</t>
  </si>
  <si>
    <t>TXS00627</t>
  </si>
  <si>
    <t>Cryovial box 7: C7</t>
  </si>
  <si>
    <t>TXS00628</t>
  </si>
  <si>
    <t>Cryovial box 7: C8</t>
  </si>
  <si>
    <t>TXS00629</t>
  </si>
  <si>
    <t>Cryovial box 7: C9</t>
  </si>
  <si>
    <t>TXS00630</t>
  </si>
  <si>
    <t>Cryovial box 7: C10</t>
  </si>
  <si>
    <t>TXS00631</t>
  </si>
  <si>
    <t>Cryovial box 7: D1</t>
  </si>
  <si>
    <t>TXS00632</t>
  </si>
  <si>
    <t>Cryovial box 7: D2</t>
  </si>
  <si>
    <t>TXS00633</t>
  </si>
  <si>
    <t>Cryovial box 7: D3</t>
  </si>
  <si>
    <t>TXS00634</t>
  </si>
  <si>
    <t>Cryovial box 7: D4</t>
  </si>
  <si>
    <t>TXS00635</t>
  </si>
  <si>
    <t>Cryovial box 7: D5</t>
  </si>
  <si>
    <t>TXS00636</t>
  </si>
  <si>
    <t>Cryovial box 7: D6</t>
  </si>
  <si>
    <t>TXS00637</t>
  </si>
  <si>
    <t>Cryovial box 7: D7</t>
  </si>
  <si>
    <t>TXS00638</t>
  </si>
  <si>
    <t>Cryovial box 7: D8</t>
  </si>
  <si>
    <t>TXS00639</t>
  </si>
  <si>
    <t>Cryovial box 7: D9</t>
  </si>
  <si>
    <t>TXS00640</t>
  </si>
  <si>
    <t>Cryovial box 7: D10</t>
  </si>
  <si>
    <t>TXS00641</t>
  </si>
  <si>
    <t>Cryovial box 7: E1</t>
  </si>
  <si>
    <t>TXS00642</t>
  </si>
  <si>
    <t>Cryovial box 7: E2</t>
  </si>
  <si>
    <t>TXS00643</t>
  </si>
  <si>
    <t>Cryovial box 7: E3</t>
  </si>
  <si>
    <t>TXS00644</t>
  </si>
  <si>
    <t>Cryovial box 7: E4</t>
  </si>
  <si>
    <t>TXS00645</t>
  </si>
  <si>
    <t>Cryovial box 7: E5</t>
  </si>
  <si>
    <t>TXS00646</t>
  </si>
  <si>
    <t>Cryovial box 7: E6</t>
  </si>
  <si>
    <t>TXS00647</t>
  </si>
  <si>
    <t>Cryovial box 7: E7</t>
  </si>
  <si>
    <t>TXS00648</t>
  </si>
  <si>
    <t>Cryovial box 7: E8</t>
  </si>
  <si>
    <t>TXS00649</t>
  </si>
  <si>
    <t>Cryovial box 7: E9</t>
  </si>
  <si>
    <t>TXS00650</t>
  </si>
  <si>
    <t>Cryovial box 7: E10</t>
  </si>
  <si>
    <t>TXS00651</t>
  </si>
  <si>
    <t>Cryovial box 7: F1</t>
  </si>
  <si>
    <t>TXS00652</t>
  </si>
  <si>
    <t>Cryovial box 7: F2</t>
  </si>
  <si>
    <t>TXS00653</t>
  </si>
  <si>
    <t>Cryovial box 7: F3</t>
  </si>
  <si>
    <t>TXS00654</t>
  </si>
  <si>
    <t>Cryovial box 7: F4</t>
  </si>
  <si>
    <t>TXS00655</t>
  </si>
  <si>
    <t>Cryovial box 7: F5</t>
  </si>
  <si>
    <t>TXS00656</t>
  </si>
  <si>
    <t>Cryovial box 7: F6</t>
  </si>
  <si>
    <t>TXS00657</t>
  </si>
  <si>
    <t>Cryovial box 7: F7</t>
  </si>
  <si>
    <t>TXS00658</t>
  </si>
  <si>
    <t>Cryovial box 7: F8</t>
  </si>
  <si>
    <t>TXS00659</t>
  </si>
  <si>
    <t>Cryovial box 7: F9</t>
  </si>
  <si>
    <t>TXS00660</t>
  </si>
  <si>
    <t>Cryovial box 7: F10</t>
  </si>
  <si>
    <t>TXS00661</t>
  </si>
  <si>
    <t>Cryovial box 7: G1</t>
  </si>
  <si>
    <t>TXS00662</t>
  </si>
  <si>
    <t>Cryovial box 7: G2</t>
  </si>
  <si>
    <t>TXS00663</t>
  </si>
  <si>
    <t>Cryovial box 7: G3</t>
  </si>
  <si>
    <t>TXS00664</t>
  </si>
  <si>
    <t>Cryovial box 7: G4</t>
  </si>
  <si>
    <t>TXS00665</t>
  </si>
  <si>
    <t>Cryovial box 7: G5</t>
  </si>
  <si>
    <t>TXS00666</t>
  </si>
  <si>
    <t>Cryovial box 7: G6</t>
  </si>
  <si>
    <t>TXS00667</t>
  </si>
  <si>
    <t>Cryovial box 7: G7</t>
  </si>
  <si>
    <t>TXS00668</t>
  </si>
  <si>
    <t>Cryovial box 7: G8</t>
  </si>
  <si>
    <t>TXS00669</t>
  </si>
  <si>
    <t>Cryovial box 7: G9</t>
  </si>
  <si>
    <t>TXS00670</t>
  </si>
  <si>
    <t>Cryovial box 7: G10</t>
  </si>
  <si>
    <t>TXS00671</t>
  </si>
  <si>
    <t>Cryovial box 7: H1</t>
  </si>
  <si>
    <t>TXS00672</t>
  </si>
  <si>
    <t>Cryovial box 7: H2</t>
  </si>
  <si>
    <t>TXS00673</t>
  </si>
  <si>
    <t>Cryovial box 7: H3</t>
  </si>
  <si>
    <t>TXS00674</t>
  </si>
  <si>
    <t>Cryovial box 7: H4</t>
  </si>
  <si>
    <t>TXS00675</t>
  </si>
  <si>
    <t>Cryovial box 7: H5</t>
  </si>
  <si>
    <t>TXS00676</t>
  </si>
  <si>
    <t>Cryovial box 7: H6</t>
  </si>
  <si>
    <t>TXS00677</t>
  </si>
  <si>
    <t>Cryovial box 7: H7</t>
  </si>
  <si>
    <t>TXS00678</t>
  </si>
  <si>
    <t>Cryovial box 7: H8</t>
  </si>
  <si>
    <t>TXS00679</t>
  </si>
  <si>
    <t>Cryovial box 7: H9</t>
  </si>
  <si>
    <t>TXS00680</t>
  </si>
  <si>
    <t>Cryovial box 7: H10</t>
  </si>
  <si>
    <t>TXS00681</t>
  </si>
  <si>
    <t>Cryovial box 7: I1</t>
  </si>
  <si>
    <t>TXS00682</t>
  </si>
  <si>
    <t>Cryovial box 7: I2</t>
  </si>
  <si>
    <t>TXS00683</t>
  </si>
  <si>
    <t>Cryovial box 7: I3</t>
  </si>
  <si>
    <t>TXS00684</t>
  </si>
  <si>
    <t>Cryovial box 7: I4</t>
  </si>
  <si>
    <t>TXS00685</t>
  </si>
  <si>
    <t>Cryovial box 7: I5</t>
  </si>
  <si>
    <t>TXS00686</t>
  </si>
  <si>
    <t>Cryovial box 7: I6</t>
  </si>
  <si>
    <t>TXS00687</t>
  </si>
  <si>
    <t>Cryovial box 7: I7</t>
  </si>
  <si>
    <t>TXS00688</t>
  </si>
  <si>
    <t>Cryovial box 7: I8</t>
  </si>
  <si>
    <t>TXS00689</t>
  </si>
  <si>
    <t>Cryovial box 7: I9</t>
  </si>
  <si>
    <t>TXS00690</t>
  </si>
  <si>
    <t>Cryovial box 7: I10</t>
  </si>
  <si>
    <t>TXS00691</t>
  </si>
  <si>
    <t>Cryovial box 7: J1</t>
  </si>
  <si>
    <t>TXS00692</t>
  </si>
  <si>
    <t>Cryovial box 7: J2</t>
  </si>
  <si>
    <t>TXS00693</t>
  </si>
  <si>
    <t>Cryovial box 7: J3</t>
  </si>
  <si>
    <t>TXS00694</t>
  </si>
  <si>
    <t>Cryovial box 7: J4</t>
  </si>
  <si>
    <t>TXS00695</t>
  </si>
  <si>
    <t>Cryovial box 7: J5</t>
  </si>
  <si>
    <t>TXS00696</t>
  </si>
  <si>
    <t>Cryovial box 7: J6</t>
  </si>
  <si>
    <t>TXS00697</t>
  </si>
  <si>
    <t>Cryovial box 7: J7</t>
  </si>
  <si>
    <t>TXS00698</t>
  </si>
  <si>
    <t>Cryovial box 7: J8</t>
  </si>
  <si>
    <t>TXS00699</t>
  </si>
  <si>
    <t>Cryovial box 7: J9</t>
  </si>
  <si>
    <t>TXS00700</t>
  </si>
  <si>
    <t>Cryovial box 7: J10</t>
  </si>
  <si>
    <t>TXS00701</t>
  </si>
  <si>
    <t>Cryovial box 8: A1</t>
  </si>
  <si>
    <t>TXS00702</t>
  </si>
  <si>
    <t>Cryovial box 8: A2</t>
  </si>
  <si>
    <t>TXS00703</t>
  </si>
  <si>
    <t>Cryovial box 8: A3</t>
  </si>
  <si>
    <t>TXS00704</t>
  </si>
  <si>
    <t>Cryovial box 8: A4</t>
  </si>
  <si>
    <t>TXS00705</t>
  </si>
  <si>
    <t>Cryovial box 8: A5</t>
  </si>
  <si>
    <t>TXS00706</t>
  </si>
  <si>
    <t>Cryovial box 8: A6</t>
  </si>
  <si>
    <t>TXS00707</t>
  </si>
  <si>
    <t>Cryovial box 8: A7</t>
  </si>
  <si>
    <t>TXS00708</t>
  </si>
  <si>
    <t>Cryovial box 8: A8</t>
  </si>
  <si>
    <t>TXS00709</t>
  </si>
  <si>
    <t>Cryovial box 8: A9</t>
  </si>
  <si>
    <t>TXS00710</t>
  </si>
  <si>
    <t>Cryovial box 8: A10</t>
  </si>
  <si>
    <t>TXS00711</t>
  </si>
  <si>
    <t>Cryovial box 8: B1</t>
  </si>
  <si>
    <t>TXS00712</t>
  </si>
  <si>
    <t>Cryovial box 8: B2</t>
  </si>
  <si>
    <t>TXS00713</t>
  </si>
  <si>
    <t>Cryovial box 8: B3</t>
  </si>
  <si>
    <t>TXS00714</t>
  </si>
  <si>
    <t>Cryovial box 8: B4</t>
  </si>
  <si>
    <t>TXS00715</t>
  </si>
  <si>
    <t>Cryovial box 8: B5</t>
  </si>
  <si>
    <t>TXS00716</t>
  </si>
  <si>
    <t>Cryovial box 8: B6</t>
  </si>
  <si>
    <t>TXS00717</t>
  </si>
  <si>
    <t>Cryovial box 8: B7</t>
  </si>
  <si>
    <t>TXS00718</t>
  </si>
  <si>
    <t>Cryovial box 8: B8</t>
  </si>
  <si>
    <t>TXS00719</t>
  </si>
  <si>
    <t>Cryovial box 8: B9</t>
  </si>
  <si>
    <t>TXS00720</t>
  </si>
  <si>
    <t>Cryovial box 8: B10</t>
  </si>
  <si>
    <t>TXS00721</t>
  </si>
  <si>
    <t>Cryovial box 8: C1</t>
  </si>
  <si>
    <t>TXS00722</t>
  </si>
  <si>
    <t>Cryovial box 8: C2</t>
  </si>
  <si>
    <t>TXS00723</t>
  </si>
  <si>
    <t>Cryovial box 8: C3</t>
  </si>
  <si>
    <t>TXS00724</t>
  </si>
  <si>
    <t>Cryovial box 8: C4</t>
  </si>
  <si>
    <t>TXS00725</t>
  </si>
  <si>
    <t>Cryovial box 8: C5</t>
  </si>
  <si>
    <t>TXS00726</t>
  </si>
  <si>
    <t>Cryovial box 8: C6</t>
  </si>
  <si>
    <t>TXS00727</t>
  </si>
  <si>
    <t>Cryovial box 8: C7</t>
  </si>
  <si>
    <t>TXS00728</t>
  </si>
  <si>
    <t>Cryovial box 8: C8</t>
  </si>
  <si>
    <t>TXS00729</t>
  </si>
  <si>
    <t>Cryovial box 8: C9</t>
  </si>
  <si>
    <t>TXS00730</t>
  </si>
  <si>
    <t>Cryovial box 8: C10</t>
  </si>
  <si>
    <t>TXS00731</t>
  </si>
  <si>
    <t>Cryovial box 8: D1</t>
  </si>
  <si>
    <t>TXS00732</t>
  </si>
  <si>
    <t>Cryovial box 8: D2</t>
  </si>
  <si>
    <t>TXS00733</t>
  </si>
  <si>
    <t>Cryovial box 8: D3</t>
  </si>
  <si>
    <t>TXS00734</t>
  </si>
  <si>
    <t>Cryovial box 8: D4</t>
  </si>
  <si>
    <t>TXS00735</t>
  </si>
  <si>
    <t>Cryovial box 8: D5</t>
  </si>
  <si>
    <t>TXS00736</t>
  </si>
  <si>
    <t>Cryovial box 8: D6</t>
  </si>
  <si>
    <t>TXS00737</t>
  </si>
  <si>
    <t>Cryovial box 8: D7</t>
  </si>
  <si>
    <t>TXS00738</t>
  </si>
  <si>
    <t>Cryovial box 8: D8</t>
  </si>
  <si>
    <t>TXS00739</t>
  </si>
  <si>
    <t>Cryovial box 8: D9</t>
  </si>
  <si>
    <t>TXS00740</t>
  </si>
  <si>
    <t>Cryovial box 8: D10</t>
  </si>
  <si>
    <t>TXS00741</t>
  </si>
  <si>
    <t>Cryovial box 8: E1</t>
  </si>
  <si>
    <t>TXS00742</t>
  </si>
  <si>
    <t>Cryovial box 8: E2</t>
  </si>
  <si>
    <t>TXS00743</t>
  </si>
  <si>
    <t>Cryovial box 8: E3</t>
  </si>
  <si>
    <t>TXS00744</t>
  </si>
  <si>
    <t>Cryovial box 8: E4</t>
  </si>
  <si>
    <t>TXS00745</t>
  </si>
  <si>
    <t>Cryovial box 8: E5</t>
  </si>
  <si>
    <t>TXS00746</t>
  </si>
  <si>
    <t>Cryovial box 8: E6</t>
  </si>
  <si>
    <t>TXS00747</t>
  </si>
  <si>
    <t>Cryovial box 8: E7</t>
  </si>
  <si>
    <t>TXS00748</t>
  </si>
  <si>
    <t>Cryovial box 8: E8</t>
  </si>
  <si>
    <t>TXS00749</t>
  </si>
  <si>
    <t>Cryovial box 8: E9</t>
  </si>
  <si>
    <t>TXS00750</t>
  </si>
  <si>
    <t>Cryovial box 8: E10</t>
  </si>
  <si>
    <t>TXS00751</t>
  </si>
  <si>
    <t>Cryovial box 8: F1</t>
  </si>
  <si>
    <t>TXS00752</t>
  </si>
  <si>
    <t>Cryovial box 8: F2</t>
  </si>
  <si>
    <t>TXS00753</t>
  </si>
  <si>
    <t>Cryovial box 8: F3</t>
  </si>
  <si>
    <t>TXS00754</t>
  </si>
  <si>
    <t>Cryovial box 8: F4</t>
  </si>
  <si>
    <t>TXS00755</t>
  </si>
  <si>
    <t>Cryovial box 8: F5</t>
  </si>
  <si>
    <t>TXS00756</t>
  </si>
  <si>
    <t>Cryovial box 8: F6</t>
  </si>
  <si>
    <t>TXS00757</t>
  </si>
  <si>
    <t>Cryovial box 8: F7</t>
  </si>
  <si>
    <t>TXS00758</t>
  </si>
  <si>
    <t>Cryovial box 8: F8</t>
  </si>
  <si>
    <t>TXS00759</t>
  </si>
  <si>
    <t>Cryovial box 8: F9</t>
  </si>
  <si>
    <t>TXS00760</t>
  </si>
  <si>
    <t>Cryovial box 8: F10</t>
  </si>
  <si>
    <t>TXS00761</t>
  </si>
  <si>
    <t>Cryovial box 8: G1</t>
  </si>
  <si>
    <t>TXS00762</t>
  </si>
  <si>
    <t>Cryovial box 8: G2</t>
  </si>
  <si>
    <t>TXS00763</t>
  </si>
  <si>
    <t>Cryovial box 8: G3</t>
  </si>
  <si>
    <t>TXS00764</t>
  </si>
  <si>
    <t>Cryovial box 8: G4</t>
  </si>
  <si>
    <t>TXS00765</t>
  </si>
  <si>
    <t>Cryovial box 8: G5</t>
  </si>
  <si>
    <t>TXS00766</t>
  </si>
  <si>
    <t>Cryovial box 8: G6</t>
  </si>
  <si>
    <t>TXS00767</t>
  </si>
  <si>
    <t>Cryovial box 8: G7</t>
  </si>
  <si>
    <t>TXS00768</t>
  </si>
  <si>
    <t>Cryovial box 8: G8</t>
  </si>
  <si>
    <t>TXS00769</t>
  </si>
  <si>
    <t>Cryovial box 8: G9</t>
  </si>
  <si>
    <t>TXS00770</t>
  </si>
  <si>
    <t>Cryovial box 8: G10</t>
  </si>
  <si>
    <t>TXS00771</t>
  </si>
  <si>
    <t>Cryovial box 8: H1</t>
  </si>
  <si>
    <t>TXS00772</t>
  </si>
  <si>
    <t>Cryovial box 8: H2</t>
  </si>
  <si>
    <t>TXS00773</t>
  </si>
  <si>
    <t>Cryovial box 8: H3</t>
  </si>
  <si>
    <t>TXS00774</t>
  </si>
  <si>
    <t>Cryovial box 8: H4</t>
  </si>
  <si>
    <t>TXS00775</t>
  </si>
  <si>
    <t>Cryovial box 8: H5</t>
  </si>
  <si>
    <t>TXS00776</t>
  </si>
  <si>
    <t>Cryovial box 8: H6</t>
  </si>
  <si>
    <t>TXS00777</t>
  </si>
  <si>
    <t>Cryovial box 8: H7</t>
  </si>
  <si>
    <t>TXS00778</t>
  </si>
  <si>
    <t>Cryovial box 8: H8</t>
  </si>
  <si>
    <t>TXS00779</t>
  </si>
  <si>
    <t>Cryovial box 8: H9</t>
  </si>
  <si>
    <t>TXS00780</t>
  </si>
  <si>
    <t>Cryovial box 8: H10</t>
  </si>
  <si>
    <t>TXS00781</t>
  </si>
  <si>
    <t>Cryovial box 8: I1</t>
  </si>
  <si>
    <t>TXS00782</t>
  </si>
  <si>
    <t>Cryovial box 8: I2</t>
  </si>
  <si>
    <t>TXS00783</t>
  </si>
  <si>
    <t>Cryovial box 8: I3</t>
  </si>
  <si>
    <t>TXS00784</t>
  </si>
  <si>
    <t>Cryovial box 8: I4</t>
  </si>
  <si>
    <t>TXS00785</t>
  </si>
  <si>
    <t>Cryovial box 8: I5</t>
  </si>
  <si>
    <t>TXS00786</t>
  </si>
  <si>
    <t>Cryovial box 8: I6</t>
  </si>
  <si>
    <t>TXS00787</t>
  </si>
  <si>
    <t>Cryovial box 8: I7</t>
  </si>
  <si>
    <t>TXS00788</t>
  </si>
  <si>
    <t>Cryovial box 8: I8</t>
  </si>
  <si>
    <t>TXS00789</t>
  </si>
  <si>
    <t>Cryovial box 8: I9</t>
  </si>
  <si>
    <t>TXS00790</t>
  </si>
  <si>
    <t>Cryovial box 8: I10</t>
  </si>
  <si>
    <t>TXS00791</t>
  </si>
  <si>
    <t>Cryovial box 8: J1</t>
  </si>
  <si>
    <t>TXS00792</t>
  </si>
  <si>
    <t>Cryovial box 8: J2</t>
  </si>
  <si>
    <t>TXS00793</t>
  </si>
  <si>
    <t>Cryovial box 8: J3</t>
  </si>
  <si>
    <t>TXS00794</t>
  </si>
  <si>
    <t>Cryovial box 8: J4</t>
  </si>
  <si>
    <t>TXS00795</t>
  </si>
  <si>
    <t>Cryovial box 8: J5</t>
  </si>
  <si>
    <t>TXS00796</t>
  </si>
  <si>
    <t>Cryovial box 8: J6</t>
  </si>
  <si>
    <t>TXS00797</t>
  </si>
  <si>
    <t>Cryovial box 8: J7</t>
  </si>
  <si>
    <t>TXS00798</t>
  </si>
  <si>
    <t>Cryovial box 8: J8</t>
  </si>
  <si>
    <t>TXS00799</t>
  </si>
  <si>
    <t>Cryovial box 8: J9</t>
  </si>
  <si>
    <t>TXS00800</t>
  </si>
  <si>
    <t>Cryovial box 8: J10</t>
  </si>
  <si>
    <t>TXS00801</t>
  </si>
  <si>
    <t>Cryovial box 9: A1</t>
  </si>
  <si>
    <t>TXS00802</t>
  </si>
  <si>
    <t>Cryovial box 9: A2</t>
  </si>
  <si>
    <t>TXS00803</t>
  </si>
  <si>
    <t>Cryovial box 9: A3</t>
  </si>
  <si>
    <t>TXS00804</t>
  </si>
  <si>
    <t>Cryovial box 9: A4</t>
  </si>
  <si>
    <t>TXS00805</t>
  </si>
  <si>
    <t>Cryovial box 9: A5</t>
  </si>
  <si>
    <t>TXS00806</t>
  </si>
  <si>
    <t>Cryovial box 9: A6</t>
  </si>
  <si>
    <t>TXS00807</t>
  </si>
  <si>
    <t>Cryovial box 9: A7</t>
  </si>
  <si>
    <t>TXS00808</t>
  </si>
  <si>
    <t>Cryovial box 9: A8</t>
  </si>
  <si>
    <t>TXS00809</t>
  </si>
  <si>
    <t>Cryovial box 9: A9</t>
  </si>
  <si>
    <t>TXS00810</t>
  </si>
  <si>
    <t>Cryovial box 9: A10</t>
  </si>
  <si>
    <t>TXS00811</t>
  </si>
  <si>
    <t>Cryovial box 9: B1</t>
  </si>
  <si>
    <t>TXS00812</t>
  </si>
  <si>
    <t>Cryovial box 9: B2</t>
  </si>
  <si>
    <t>TXS00813</t>
  </si>
  <si>
    <t>Cryovial box 9: B3</t>
  </si>
  <si>
    <t>TXS00814</t>
  </si>
  <si>
    <t>Cryovial box 9: B4</t>
  </si>
  <si>
    <t>TXS00815</t>
  </si>
  <si>
    <t>Cryovial box 9: B5</t>
  </si>
  <si>
    <t>TXS00816</t>
  </si>
  <si>
    <t>Cryovial box 9: B6</t>
  </si>
  <si>
    <t>TXS00817</t>
  </si>
  <si>
    <t>Cryovial box 9: B7</t>
  </si>
  <si>
    <t>TXS00818</t>
  </si>
  <si>
    <t>Cryovial box 9: B8</t>
  </si>
  <si>
    <t>TXS00819</t>
  </si>
  <si>
    <t>Cryovial box 9: B9</t>
  </si>
  <si>
    <t>TXS00820</t>
  </si>
  <si>
    <t>Cryovial box 9: B10</t>
  </si>
  <si>
    <t>TXS00821</t>
  </si>
  <si>
    <t>Cryovial box 9: C1</t>
  </si>
  <si>
    <t>TXS00822</t>
  </si>
  <si>
    <t>Cryovial box 9: C2</t>
  </si>
  <si>
    <t>TXS00823</t>
  </si>
  <si>
    <t>Cryovial box 9: C3</t>
  </si>
  <si>
    <t>TXS00824</t>
  </si>
  <si>
    <t>Cryovial box 9: C4</t>
  </si>
  <si>
    <t>TXS00825</t>
  </si>
  <si>
    <t>Cryovial box 9: C5</t>
  </si>
  <si>
    <t>TXS00826</t>
  </si>
  <si>
    <t>Cryovial box 9: C6</t>
  </si>
  <si>
    <t>TXS00827</t>
  </si>
  <si>
    <t>Cryovial box 9: C7</t>
  </si>
  <si>
    <t>TXS00828</t>
  </si>
  <si>
    <t>Cryovial box 9: C8</t>
  </si>
  <si>
    <t>TXS00829</t>
  </si>
  <si>
    <t>Cryovial box 9: C9</t>
  </si>
  <si>
    <t>TXS00830</t>
  </si>
  <si>
    <t>Cryovial box 9: C10</t>
  </si>
  <si>
    <t>TXS00831</t>
  </si>
  <si>
    <t>Cryovial box 9: D1</t>
  </si>
  <si>
    <t>TXS00832</t>
  </si>
  <si>
    <t>Cryovial box 9: D2</t>
  </si>
  <si>
    <t>TXS00833</t>
  </si>
  <si>
    <t>Cryovial box 9: D3</t>
  </si>
  <si>
    <t>TXS00834</t>
  </si>
  <si>
    <t>Cryovial box 9: D4</t>
  </si>
  <si>
    <t>TXS00835</t>
  </si>
  <si>
    <t>Cryovial box 9: D5</t>
  </si>
  <si>
    <t>TXS00836</t>
  </si>
  <si>
    <t>Cryovial box 9: D6</t>
  </si>
  <si>
    <t>TXS00837</t>
  </si>
  <si>
    <t>Cryovial box 9: D7</t>
  </si>
  <si>
    <t>TXS00838</t>
  </si>
  <si>
    <t>Cryovial box 9: D8</t>
  </si>
  <si>
    <t>TXS00839</t>
  </si>
  <si>
    <t>Cryovial box 9: D9</t>
  </si>
  <si>
    <t>TXS00840</t>
  </si>
  <si>
    <t>Cryovial box 9: D10</t>
  </si>
  <si>
    <t>TXS00841</t>
  </si>
  <si>
    <t>Cryovial box 9: E1</t>
  </si>
  <si>
    <t>TXS00842</t>
  </si>
  <si>
    <t>Cryovial box 9: E2</t>
  </si>
  <si>
    <t>TXS00843</t>
  </si>
  <si>
    <t>Cryovial box 9: E3</t>
  </si>
  <si>
    <t>TXS00844</t>
  </si>
  <si>
    <t>Cryovial box 9: E4</t>
  </si>
  <si>
    <t>TXS00845</t>
  </si>
  <si>
    <t>Cryovial box 9: E5</t>
  </si>
  <si>
    <t>TXS00846</t>
  </si>
  <si>
    <t>Cryovial box 9: E6</t>
  </si>
  <si>
    <t>TXS00847</t>
  </si>
  <si>
    <t>Cryovial box 9: E7</t>
  </si>
  <si>
    <t>TXS00848</t>
  </si>
  <si>
    <t>Cryovial box 9: E8</t>
  </si>
  <si>
    <t>TXS00849</t>
  </si>
  <si>
    <t>Cryovial box 9: E9</t>
  </si>
  <si>
    <t>TXS00850</t>
  </si>
  <si>
    <t>Cryovial box 9: E10</t>
  </si>
  <si>
    <t>TXS00851</t>
  </si>
  <si>
    <t>Cryovial box 9: F1</t>
  </si>
  <si>
    <t>TXS00852</t>
  </si>
  <si>
    <t>Cryovial box 9: F2</t>
  </si>
  <si>
    <t>TXS00853</t>
  </si>
  <si>
    <t>Cryovial box 9: F3</t>
  </si>
  <si>
    <t>TXS00854</t>
  </si>
  <si>
    <t>Cryovial box 9: F4</t>
  </si>
  <si>
    <t>TXS00855</t>
  </si>
  <si>
    <t>Cryovial box 9: F5</t>
  </si>
  <si>
    <t>TXS00856</t>
  </si>
  <si>
    <t>Cryovial box 9: F6</t>
  </si>
  <si>
    <t>TXS00857</t>
  </si>
  <si>
    <t>Cryovial box 9: F7</t>
  </si>
  <si>
    <t>TXS00858</t>
  </si>
  <si>
    <t>Cryovial box 9: F8</t>
  </si>
  <si>
    <t>TXS00859</t>
  </si>
  <si>
    <t>Cryovial box 9: F9</t>
  </si>
  <si>
    <t>TXS00860</t>
  </si>
  <si>
    <t>Cryovial box 9: F10</t>
  </si>
  <si>
    <t>TXS00861</t>
  </si>
  <si>
    <t>Cryovial box 9: G1</t>
  </si>
  <si>
    <t>TXS00862</t>
  </si>
  <si>
    <t>Cryovial box 9: G2</t>
  </si>
  <si>
    <t>TXS00863</t>
  </si>
  <si>
    <t>Cryovial box 9: G3</t>
  </si>
  <si>
    <t>TXS00864</t>
  </si>
  <si>
    <t>Cryovial box 9: G4</t>
  </si>
  <si>
    <t>TXS00865</t>
  </si>
  <si>
    <t>Cryovial box 9: G5</t>
  </si>
  <si>
    <t>TXS00866</t>
  </si>
  <si>
    <t>Cryovial box 9: G6</t>
  </si>
  <si>
    <t>TXS00867</t>
  </si>
  <si>
    <t>Cryovial box 9: G7</t>
  </si>
  <si>
    <t>TXS00868</t>
  </si>
  <si>
    <t>Cryovial box 9: G8</t>
  </si>
  <si>
    <t>TXS00869</t>
  </si>
  <si>
    <t>Cryovial box 9: G9</t>
  </si>
  <si>
    <t>TXS00870</t>
  </si>
  <si>
    <t>Cryovial box 9: G10</t>
  </si>
  <si>
    <t>TXS00871</t>
  </si>
  <si>
    <t>Cryovial box 9: H1</t>
  </si>
  <si>
    <t>TXS00872</t>
  </si>
  <si>
    <t>Cryovial box 9: H2</t>
  </si>
  <si>
    <t>TXS00873</t>
  </si>
  <si>
    <t>Cryovial box 9: H3</t>
  </si>
  <si>
    <t>TXS00874</t>
  </si>
  <si>
    <t>Cryovial box 9: H4</t>
  </si>
  <si>
    <t>TXS00875</t>
  </si>
  <si>
    <t>Cryovial box 9: H5</t>
  </si>
  <si>
    <t>TXS00876</t>
  </si>
  <si>
    <t>Cryovial box 9: H6</t>
  </si>
  <si>
    <t>TXS00877</t>
  </si>
  <si>
    <t>Cryovial box 9: H7</t>
  </si>
  <si>
    <t>TXS00878</t>
  </si>
  <si>
    <t>Cryovial box 9: H8</t>
  </si>
  <si>
    <t>TXS00879</t>
  </si>
  <si>
    <t>Cryovial box 9: H9</t>
  </si>
  <si>
    <t>TXS00880</t>
  </si>
  <si>
    <t>Cryovial box 9: H10</t>
  </si>
  <si>
    <t>TXS00881</t>
  </si>
  <si>
    <t>Cryovial box 9: I1</t>
  </si>
  <si>
    <t>TXS00882</t>
  </si>
  <si>
    <t>Cryovial box 9: I2</t>
  </si>
  <si>
    <t>TXS00883</t>
  </si>
  <si>
    <t>Cryovial box 9: I3</t>
  </si>
  <si>
    <t>TXS00884</t>
  </si>
  <si>
    <t>Cryovial box 9: I4</t>
  </si>
  <si>
    <t>TXS00885</t>
  </si>
  <si>
    <t>Cryovial box 9: I5</t>
  </si>
  <si>
    <t>TXS00886</t>
  </si>
  <si>
    <t>Cryovial box 9: I6</t>
  </si>
  <si>
    <t>TXS00887</t>
  </si>
  <si>
    <t>Cryovial box 9: I7</t>
  </si>
  <si>
    <t>TXS00888</t>
  </si>
  <si>
    <t>Cryovial box 9: I8</t>
  </si>
  <si>
    <t>TXS00889</t>
  </si>
  <si>
    <t>Cryovial box 9: I9</t>
  </si>
  <si>
    <t>TXS00890</t>
  </si>
  <si>
    <t>Cryovial box 9: I10</t>
  </si>
  <si>
    <t>TXS00891</t>
  </si>
  <si>
    <t>Cryovial box 9: J1</t>
  </si>
  <si>
    <t>TXS00892</t>
  </si>
  <si>
    <t>Cryovial box 9: J2</t>
  </si>
  <si>
    <t>TXS00893</t>
  </si>
  <si>
    <t>Cryovial box 9: J3</t>
  </si>
  <si>
    <t>TXS00894</t>
  </si>
  <si>
    <t>Cryovial box 9: J4</t>
  </si>
  <si>
    <t>TXS00895</t>
  </si>
  <si>
    <t>Cryovial box 9: J5</t>
  </si>
  <si>
    <t>TXS00896</t>
  </si>
  <si>
    <t>Cryovial box 9: J6</t>
  </si>
  <si>
    <t>TXS00897</t>
  </si>
  <si>
    <t>Cryovial box 9: J7</t>
  </si>
  <si>
    <t>TXS00898</t>
  </si>
  <si>
    <t>Cryovial box 9: J8</t>
  </si>
  <si>
    <t>TXS00899</t>
  </si>
  <si>
    <t>Cryovial box 9: J9</t>
  </si>
  <si>
    <t>TXS00900</t>
  </si>
  <si>
    <t>Cryovial box 9: J10</t>
  </si>
  <si>
    <t>TXS00901</t>
  </si>
  <si>
    <t>Cryovial box 10: A1</t>
  </si>
  <si>
    <t>TXS00902</t>
  </si>
  <si>
    <t>Cryovial box 10: A2</t>
  </si>
  <si>
    <t>TXS00903</t>
  </si>
  <si>
    <t>Cryovial box 10: A3</t>
  </si>
  <si>
    <t>TXS00904</t>
  </si>
  <si>
    <t>Cryovial box 10: A4</t>
  </si>
  <si>
    <t>TXS00905</t>
  </si>
  <si>
    <t>Cryovial box 10: A5</t>
  </si>
  <si>
    <t>TXS00906</t>
  </si>
  <si>
    <t>Cryovial box 10: A6</t>
  </si>
  <si>
    <t>TXS00907</t>
  </si>
  <si>
    <t>Cryovial box 10: A7</t>
  </si>
  <si>
    <t>TXS00908</t>
  </si>
  <si>
    <t>Cryovial box 10: A8</t>
  </si>
  <si>
    <t>TXS00909</t>
  </si>
  <si>
    <t>Cryovial box 10: A9</t>
  </si>
  <si>
    <t>TXS00910</t>
  </si>
  <si>
    <t>Cryovial box 10: A10</t>
  </si>
  <si>
    <t>TXS00911</t>
  </si>
  <si>
    <t>Cryovial box 10: B1</t>
  </si>
  <si>
    <t>TXS00912</t>
  </si>
  <si>
    <t>Cryovial box 10: B2</t>
  </si>
  <si>
    <t>TXS00913</t>
  </si>
  <si>
    <t>Cryovial box 10: B3</t>
  </si>
  <si>
    <t>TXS00914</t>
  </si>
  <si>
    <t>Cryovial box 10: B4</t>
  </si>
  <si>
    <t>TXS00915</t>
  </si>
  <si>
    <t>Cryovial box 10: B5</t>
  </si>
  <si>
    <t>TXS00916</t>
  </si>
  <si>
    <t>Cryovial box 10: B6</t>
  </si>
  <si>
    <t>TXS00917</t>
  </si>
  <si>
    <t>Cryovial box 10: B7</t>
  </si>
  <si>
    <t>TXS00918</t>
  </si>
  <si>
    <t>Cryovial box 10: B8</t>
  </si>
  <si>
    <t>TXS00919</t>
  </si>
  <si>
    <t>Cryovial box 10: B9</t>
  </si>
  <si>
    <t>TXS00920</t>
  </si>
  <si>
    <t>Cryovial box 10: B10</t>
  </si>
  <si>
    <t>TXS00921</t>
  </si>
  <si>
    <t>Cryovial box 10: C1</t>
  </si>
  <si>
    <t>TXS00922</t>
  </si>
  <si>
    <t>Cryovial box 10: C2</t>
  </si>
  <si>
    <t>TXS00923</t>
  </si>
  <si>
    <t>Cryovial box 10: C3</t>
  </si>
  <si>
    <t>TXS00924</t>
  </si>
  <si>
    <t>Cryovial box 10: C4</t>
  </si>
  <si>
    <t>TXS00925</t>
  </si>
  <si>
    <t>Cryovial box 10: C5</t>
  </si>
  <si>
    <t>TXS00926</t>
  </si>
  <si>
    <t>Cryovial box 10: C6</t>
  </si>
  <si>
    <t>TXS00927</t>
  </si>
  <si>
    <t>Cryovial box 10: C7</t>
  </si>
  <si>
    <t>TXS00928</t>
  </si>
  <si>
    <t>Cryovial box 10: C8</t>
  </si>
  <si>
    <t>TXS00929</t>
  </si>
  <si>
    <t>Cryovial box 10: C9</t>
  </si>
  <si>
    <t>TXS00930</t>
  </si>
  <si>
    <t>Cryovial box 10: C10</t>
  </si>
  <si>
    <t>TXS00931</t>
  </si>
  <si>
    <t>Cryovial box 10: D1</t>
  </si>
  <si>
    <t>TXS00932</t>
  </si>
  <si>
    <t>Cryovial box 10: D2</t>
  </si>
  <si>
    <t>TXS00933</t>
  </si>
  <si>
    <t>Cryovial box 10: D3</t>
  </si>
  <si>
    <t>TXS00934</t>
  </si>
  <si>
    <t>Cryovial box 10: D4</t>
  </si>
  <si>
    <t>TXS00935</t>
  </si>
  <si>
    <t>Cryovial box 10: D5</t>
  </si>
  <si>
    <t>TXS00936</t>
  </si>
  <si>
    <t>Cryovial box 10: D6</t>
  </si>
  <si>
    <t>TXS00937</t>
  </si>
  <si>
    <t>Cryovial box 10: D7</t>
  </si>
  <si>
    <t>TXS00938</t>
  </si>
  <si>
    <t>Cryovial box 10: D8</t>
  </si>
  <si>
    <t>TXS00939</t>
  </si>
  <si>
    <t>Cryovial box 10: D9</t>
  </si>
  <si>
    <t>TXS00940</t>
  </si>
  <si>
    <t>Cryovial box 10: D10</t>
  </si>
  <si>
    <t>TXS00941</t>
  </si>
  <si>
    <t>Cryovial box 10: E1</t>
  </si>
  <si>
    <t>TXS00942</t>
  </si>
  <si>
    <t>Cryovial box 10: E2</t>
  </si>
  <si>
    <t>TXS00943</t>
  </si>
  <si>
    <t>Cryovial box 10: E3</t>
  </si>
  <si>
    <t>TXS00944</t>
  </si>
  <si>
    <t>Cryovial box 10: E4</t>
  </si>
  <si>
    <t>TXS00945</t>
  </si>
  <si>
    <t>Cryovial box 10: E5</t>
  </si>
  <si>
    <t>TXS00946</t>
  </si>
  <si>
    <t>Cryovial box 10: E6</t>
  </si>
  <si>
    <t>TXS00947</t>
  </si>
  <si>
    <t>Cryovial box 10: E7</t>
  </si>
  <si>
    <t>TXS00948</t>
  </si>
  <si>
    <t>Cryovial box 10: E8</t>
  </si>
  <si>
    <t>TXS00949</t>
  </si>
  <si>
    <t>Cryovial box 10: E9</t>
  </si>
  <si>
    <t>TXS00950</t>
  </si>
  <si>
    <t>Cryovial box 10: E10</t>
  </si>
  <si>
    <t>TXS00951</t>
  </si>
  <si>
    <t>Cryovial box 10: F1</t>
  </si>
  <si>
    <t>TXS00952</t>
  </si>
  <si>
    <t>Cryovial box 10: F2</t>
  </si>
  <si>
    <t>TXS00953</t>
  </si>
  <si>
    <t>Cryovial box 10: F3</t>
  </si>
  <si>
    <t>TXS00954</t>
  </si>
  <si>
    <t>Cryovial box 10: F4</t>
  </si>
  <si>
    <t>TXS00955</t>
  </si>
  <si>
    <t>Cryovial box 10: F5</t>
  </si>
  <si>
    <t>TXS00956</t>
  </si>
  <si>
    <t>Cryovial box 10: F6</t>
  </si>
  <si>
    <t>TXS00957</t>
  </si>
  <si>
    <t>Cryovial box 10: F7</t>
  </si>
  <si>
    <t>TXS00958</t>
  </si>
  <si>
    <t>Cryovial box 10: F8</t>
  </si>
  <si>
    <t>TXS00959</t>
  </si>
  <si>
    <t>Cryovial box 10: F9</t>
  </si>
  <si>
    <t>TXS00960</t>
  </si>
  <si>
    <t>Cryovial box 10: F10</t>
  </si>
  <si>
    <t>TXS00961</t>
  </si>
  <si>
    <t>Cryovial box 10: G1</t>
  </si>
  <si>
    <t>TXS00962</t>
  </si>
  <si>
    <t>Cryovial box 10: G2</t>
  </si>
  <si>
    <t>TXS00963</t>
  </si>
  <si>
    <t>Cryovial box 10: G3</t>
  </si>
  <si>
    <t>TXS00964</t>
  </si>
  <si>
    <t>Cryovial box 10: G4</t>
  </si>
  <si>
    <t>TXS00965</t>
  </si>
  <si>
    <t>Cryovial box 10: G5</t>
  </si>
  <si>
    <t>TXS00966</t>
  </si>
  <si>
    <t>Cryovial box 10: G6</t>
  </si>
  <si>
    <t>TXS00967</t>
  </si>
  <si>
    <t>Cryovial box 10: G7</t>
  </si>
  <si>
    <t>TXS00968</t>
  </si>
  <si>
    <t>Cryovial box 10: G8</t>
  </si>
  <si>
    <t>TXS00969</t>
  </si>
  <si>
    <t>Cryovial box 10: G9</t>
  </si>
  <si>
    <t>TXS00970</t>
  </si>
  <si>
    <t>Cryovial box 10: G10</t>
  </si>
  <si>
    <t>TXS00971</t>
  </si>
  <si>
    <t>Cryovial box 10: H1</t>
  </si>
  <si>
    <t>TXS00972</t>
  </si>
  <si>
    <t>Cryovial box 10: H2</t>
  </si>
  <si>
    <t>TXS00973</t>
  </si>
  <si>
    <t>Cryovial box 10: H3</t>
  </si>
  <si>
    <t>TXS00974</t>
  </si>
  <si>
    <t>Cryovial box 10: H4</t>
  </si>
  <si>
    <t>TXS00975</t>
  </si>
  <si>
    <t>Cryovial box 10: H5</t>
  </si>
  <si>
    <t>TXS00976</t>
  </si>
  <si>
    <t>Cryovial box 10: H6</t>
  </si>
  <si>
    <t>TXS00977</t>
  </si>
  <si>
    <t>Cryovial box 10: H7</t>
  </si>
  <si>
    <t>TXS00978</t>
  </si>
  <si>
    <t>Cryovial box 10: H8</t>
  </si>
  <si>
    <t>TXS00979</t>
  </si>
  <si>
    <t>Cryovial box 10: H9</t>
  </si>
  <si>
    <t>TXS00980</t>
  </si>
  <si>
    <t>Cryovial box 10: H10</t>
  </si>
  <si>
    <t>TXS00981</t>
  </si>
  <si>
    <t>Cryovial box 10: I1</t>
  </si>
  <si>
    <t>TXS00982</t>
  </si>
  <si>
    <t>Cryovial box 10: I2</t>
  </si>
  <si>
    <t>TXS00983</t>
  </si>
  <si>
    <t>Cryovial box 10: I3</t>
  </si>
  <si>
    <t>TXS00984</t>
  </si>
  <si>
    <t>Cryovial box 10: I4</t>
  </si>
  <si>
    <t>TXS00985</t>
  </si>
  <si>
    <t>Cryovial box 10: I5</t>
  </si>
  <si>
    <t>TXS00986</t>
  </si>
  <si>
    <t>Cryovial box 10: I6</t>
  </si>
  <si>
    <t>TXS00987</t>
  </si>
  <si>
    <t>Cryovial box 10: I7</t>
  </si>
  <si>
    <t>TXS00988</t>
  </si>
  <si>
    <t>Cryovial box 10: I8</t>
  </si>
  <si>
    <t>TXS00989</t>
  </si>
  <si>
    <t>Cryovial box 10: I9</t>
  </si>
  <si>
    <t>TXS00990</t>
  </si>
  <si>
    <t>Cryovial box 10: I10</t>
  </si>
  <si>
    <t>TXS00991</t>
  </si>
  <si>
    <t>Cryovial box 10: J1</t>
  </si>
  <si>
    <t>TXS00992</t>
  </si>
  <si>
    <t>Cryovial box 10: J2</t>
  </si>
  <si>
    <t>TXS00993</t>
  </si>
  <si>
    <t>Cryovial box 10: J3</t>
  </si>
  <si>
    <t>TXS00994</t>
  </si>
  <si>
    <t>Cryovial box 10: J4</t>
  </si>
  <si>
    <t>TXS00995</t>
  </si>
  <si>
    <t>Cryovial box 10: J5</t>
  </si>
  <si>
    <t>TXS00996</t>
  </si>
  <si>
    <t>Cryovial box 10: J6</t>
  </si>
  <si>
    <t>TXS00997</t>
  </si>
  <si>
    <t>Cryovial box 10: J7</t>
  </si>
  <si>
    <t>TXS00998</t>
  </si>
  <si>
    <t>Cryovial box 10: J8</t>
  </si>
  <si>
    <t>TXS00999</t>
  </si>
  <si>
    <t>Cryovial box 10: J9</t>
  </si>
  <si>
    <t>TXS01000</t>
  </si>
  <si>
    <t>Cryovial box 10: J10</t>
  </si>
  <si>
    <t>TXS01001</t>
  </si>
  <si>
    <t>Cryovial box 11: A1</t>
  </si>
  <si>
    <t>TXS01002</t>
  </si>
  <si>
    <t>Cryovial box 11: A2</t>
  </si>
  <si>
    <t>TXS01003</t>
  </si>
  <si>
    <t>Cryovial box 11: A3</t>
  </si>
  <si>
    <t>TXS01004</t>
  </si>
  <si>
    <t>Cryovial box 11: A4</t>
  </si>
  <si>
    <t>TXS01005</t>
  </si>
  <si>
    <t>Cryovial box 11: A5</t>
  </si>
  <si>
    <t>TXS01006</t>
  </si>
  <si>
    <t>Cryovial box 11: A6</t>
  </si>
  <si>
    <t>TXS01007</t>
  </si>
  <si>
    <t>Cryovial box 11: A7</t>
  </si>
  <si>
    <t>TXS01008</t>
  </si>
  <si>
    <t>Cryovial box 11: A8</t>
  </si>
  <si>
    <t>TXS01009</t>
  </si>
  <si>
    <t>Cryovial box 11: A9</t>
  </si>
  <si>
    <t>TXS01010</t>
  </si>
  <si>
    <t>Cryovial box 11: A10</t>
  </si>
  <si>
    <t>TXS01011</t>
  </si>
  <si>
    <t>Cryovial box 11: B1</t>
  </si>
  <si>
    <t>TXS01012</t>
  </si>
  <si>
    <t>Cryovial box 11: B2</t>
  </si>
  <si>
    <t>TXS01013</t>
  </si>
  <si>
    <t>Cryovial box 11: B3</t>
  </si>
  <si>
    <t>TXS01014</t>
  </si>
  <si>
    <t>Cryovial box 11: B4</t>
  </si>
  <si>
    <t>TXS01015</t>
  </si>
  <si>
    <t>Cryovial box 11: B5</t>
  </si>
  <si>
    <t>TXS01016</t>
  </si>
  <si>
    <t>Cryovial box 11: B6</t>
  </si>
  <si>
    <t>TXS01017</t>
  </si>
  <si>
    <t>Cryovial box 11: B7</t>
  </si>
  <si>
    <t>TXS01018</t>
  </si>
  <si>
    <t>Cryovial box 11: B8</t>
  </si>
  <si>
    <t>TXS01019</t>
  </si>
  <si>
    <t>Cryovial box 11: B9</t>
  </si>
  <si>
    <t>TXS01020</t>
  </si>
  <si>
    <t>Cryovial box 11: B10</t>
  </si>
  <si>
    <t>TXS01021</t>
  </si>
  <si>
    <t>Cryovial box 11: C1</t>
  </si>
  <si>
    <t>TXS01022</t>
  </si>
  <si>
    <t>Cryovial box 11: C2</t>
  </si>
  <si>
    <t>TXS01023</t>
  </si>
  <si>
    <t>Cryovial box 11: C3</t>
  </si>
  <si>
    <t>TXS01024</t>
  </si>
  <si>
    <t>Cryovial box 11: C4</t>
  </si>
  <si>
    <t>TXS01025</t>
  </si>
  <si>
    <t>Cryovial box 11: C5</t>
  </si>
  <si>
    <t>TXS01026</t>
  </si>
  <si>
    <t>Cryovial box 11: C6</t>
  </si>
  <si>
    <t>TXS01027</t>
  </si>
  <si>
    <t>Cryovial box 11: C7</t>
  </si>
  <si>
    <t>TXS01028</t>
  </si>
  <si>
    <t>Cryovial box 11: C8</t>
  </si>
  <si>
    <t>TXS01029</t>
  </si>
  <si>
    <t>Cryovial box 11: C9</t>
  </si>
  <si>
    <t>TXS01030</t>
  </si>
  <si>
    <t>Cryovial box 11: C10</t>
  </si>
  <si>
    <t>TXS01031</t>
  </si>
  <si>
    <t>Cryovial box 11: D1</t>
  </si>
  <si>
    <t>TXS01032</t>
  </si>
  <si>
    <t>Cryovial box 11: D2</t>
  </si>
  <si>
    <t>TXS01033</t>
  </si>
  <si>
    <t>Cryovial box 11: D3</t>
  </si>
  <si>
    <t>TXS01034</t>
  </si>
  <si>
    <t>Cryovial box 11: D4</t>
  </si>
  <si>
    <t>TXS01035</t>
  </si>
  <si>
    <t>Cryovial box 11: D5</t>
  </si>
  <si>
    <t>TXS01036</t>
  </si>
  <si>
    <t>Cryovial box 11: D6</t>
  </si>
  <si>
    <t>TXS01037</t>
  </si>
  <si>
    <t>Cryovial box 11: D7</t>
  </si>
  <si>
    <t>TXS01038</t>
  </si>
  <si>
    <t>Cryovial box 11: D8</t>
  </si>
  <si>
    <t>TXS01039</t>
  </si>
  <si>
    <t>Cryovial box 11: D9</t>
  </si>
  <si>
    <t>TXS01040</t>
  </si>
  <si>
    <t>Cryovial box 11: D10</t>
  </si>
  <si>
    <t>TXS01041</t>
  </si>
  <si>
    <t>Cryovial box 11: E1</t>
  </si>
  <si>
    <t>TXS01042</t>
  </si>
  <si>
    <t>Cryovial box 11: E2</t>
  </si>
  <si>
    <t>TXS01043</t>
  </si>
  <si>
    <t>Cryovial box 11: E3</t>
  </si>
  <si>
    <t>TXS01044</t>
  </si>
  <si>
    <t>Cryovial box 11: E4</t>
  </si>
  <si>
    <t>TXS01045</t>
  </si>
  <si>
    <t>Cryovial box 11: E5</t>
  </si>
  <si>
    <t>TXS01046</t>
  </si>
  <si>
    <t>Cryovial box 11: E6</t>
  </si>
  <si>
    <t>TXS01047</t>
  </si>
  <si>
    <t>Cryovial box 11: E7</t>
  </si>
  <si>
    <t>TXS01048</t>
  </si>
  <si>
    <t>Cryovial box 11: E8</t>
  </si>
  <si>
    <t>TXS01049</t>
  </si>
  <si>
    <t>Cryovial box 11: E9</t>
  </si>
  <si>
    <t>TXS01050</t>
  </si>
  <si>
    <t>Cryovial box 11: E10</t>
  </si>
  <si>
    <t>TXS01051</t>
  </si>
  <si>
    <t>Cryovial box 11: F1</t>
  </si>
  <si>
    <t>TXS01052</t>
  </si>
  <si>
    <t>Cryovial box 11: F2</t>
  </si>
  <si>
    <t>TXS01053</t>
  </si>
  <si>
    <t>Cryovial box 11: F3</t>
  </si>
  <si>
    <t>TXS01054</t>
  </si>
  <si>
    <t>Cryovial box 11: F4</t>
  </si>
  <si>
    <t>TXS01055</t>
  </si>
  <si>
    <t>Cryovial box 11: F5</t>
  </si>
  <si>
    <t>TXS01056</t>
  </si>
  <si>
    <t>Cryovial box 11: F6</t>
  </si>
  <si>
    <t>TXS01057</t>
  </si>
  <si>
    <t>Cryovial box 11: F7</t>
  </si>
  <si>
    <t>TXS01058</t>
  </si>
  <si>
    <t>Cryovial box 11: F8</t>
  </si>
  <si>
    <t>TXS01059</t>
  </si>
  <si>
    <t>Cryovial box 11: F9</t>
  </si>
  <si>
    <t>TXS01060</t>
  </si>
  <si>
    <t>Cryovial box 11: F10</t>
  </si>
  <si>
    <t>TXS01061</t>
  </si>
  <si>
    <t>Cryovial box 11: G1</t>
  </si>
  <si>
    <t>TXS01062</t>
  </si>
  <si>
    <t>Cryovial box 11: G2</t>
  </si>
  <si>
    <t>TXS01063</t>
  </si>
  <si>
    <t>Cryovial box 11: G3</t>
  </si>
  <si>
    <t>TXS01064</t>
  </si>
  <si>
    <t>Cryovial box 11: G4</t>
  </si>
  <si>
    <t>TXS01065</t>
  </si>
  <si>
    <t>Cryovial box 11: G5</t>
  </si>
  <si>
    <t>TXS01066</t>
  </si>
  <si>
    <t>Cryovial box 11: G6</t>
  </si>
  <si>
    <t>TXS01067</t>
  </si>
  <si>
    <t>Cryovial box 11: G7</t>
  </si>
  <si>
    <t>TXS01068</t>
  </si>
  <si>
    <t>Cryovial box 11: G8</t>
  </si>
  <si>
    <t>TXS01069</t>
  </si>
  <si>
    <t>Cryovial box 11: G9</t>
  </si>
  <si>
    <t>TXS01070</t>
  </si>
  <si>
    <t>Cryovial box 11: G10</t>
  </si>
  <si>
    <t>TXS01071</t>
  </si>
  <si>
    <t>Cryovial box 11: H1</t>
  </si>
  <si>
    <t>TXS01072</t>
  </si>
  <si>
    <t>Cryovial box 11: H2</t>
  </si>
  <si>
    <t>TXS01073</t>
  </si>
  <si>
    <t>Cryovial box 11: H3</t>
  </si>
  <si>
    <t>TXS01074</t>
  </si>
  <si>
    <t>Cryovial box 11: H4</t>
  </si>
  <si>
    <t>TXS01075</t>
  </si>
  <si>
    <t>Cryovial box 11: H5</t>
  </si>
  <si>
    <t>TXS01076</t>
  </si>
  <si>
    <t>Cryovial box 11: H6</t>
  </si>
  <si>
    <t>TXS01077</t>
  </si>
  <si>
    <t>Cryovial box 11: H7</t>
  </si>
  <si>
    <t>TXS01078</t>
  </si>
  <si>
    <t>Cryovial box 11: H8</t>
  </si>
  <si>
    <t>TXS01079</t>
  </si>
  <si>
    <t>Cryovial box 11: H9</t>
  </si>
  <si>
    <t>TXS01080</t>
  </si>
  <si>
    <t>Cryovial box 11: H10</t>
  </si>
  <si>
    <t>TXS01081</t>
  </si>
  <si>
    <t>Cryovial box 11: I1</t>
  </si>
  <si>
    <t>TXS01082</t>
  </si>
  <si>
    <t>Cryovial box 11: I2</t>
  </si>
  <si>
    <t>TXS01083</t>
  </si>
  <si>
    <t>Cryovial box 11: I3</t>
  </si>
  <si>
    <t>TXS01084</t>
  </si>
  <si>
    <t>Cryovial box 11: I4</t>
  </si>
  <si>
    <t>TXS01085</t>
  </si>
  <si>
    <t>Cryovial box 11: I5</t>
  </si>
  <si>
    <t>TXS01086</t>
  </si>
  <si>
    <t>Cryovial box 11: I6</t>
  </si>
  <si>
    <t>TXS01087</t>
  </si>
  <si>
    <t>Cryovial box 11: I7</t>
  </si>
  <si>
    <t>TXS01088</t>
  </si>
  <si>
    <t>Cryovial box 11: I8</t>
  </si>
  <si>
    <t>TXS01089</t>
  </si>
  <si>
    <t>Cryovial box 11: I9</t>
  </si>
  <si>
    <t>TXS01090</t>
  </si>
  <si>
    <t>Cryovial box 11: I10</t>
  </si>
  <si>
    <t>TXS01091</t>
  </si>
  <si>
    <t>Cryovial box 11: J1</t>
  </si>
  <si>
    <t>TXS01092</t>
  </si>
  <si>
    <t>Cryovial box 11: J2</t>
  </si>
  <si>
    <t>TXS01093</t>
  </si>
  <si>
    <t>Cryovial box 11: J3</t>
  </si>
  <si>
    <t>TXS01094</t>
  </si>
  <si>
    <t>Cryovial box 11: J4</t>
  </si>
  <si>
    <t>TXS01095</t>
  </si>
  <si>
    <t>Cryovial box 11: J5</t>
  </si>
  <si>
    <t>TXS01096</t>
  </si>
  <si>
    <t>Cryovial box 11: J6</t>
  </si>
  <si>
    <t>TXS01097</t>
  </si>
  <si>
    <t>Cryovial box 11: J7</t>
  </si>
  <si>
    <t>TXS01098</t>
  </si>
  <si>
    <t>Cryovial box 11: J8</t>
  </si>
  <si>
    <t>TXS01099</t>
  </si>
  <si>
    <t>Cryovial box 11: J9</t>
  </si>
  <si>
    <t>TXS01100</t>
  </si>
  <si>
    <t>Cryovial box 11: J10</t>
  </si>
  <si>
    <t>TXS01101</t>
  </si>
  <si>
    <t>Cryovial box 12: A1</t>
  </si>
  <si>
    <t>TXS01102</t>
  </si>
  <si>
    <t>Cryovial box 12: A2</t>
  </si>
  <si>
    <t>TXS01103</t>
  </si>
  <si>
    <t>Cryovial box 12: A3</t>
  </si>
  <si>
    <t>TXS01104</t>
  </si>
  <si>
    <t>Cryovial box 12: A4</t>
  </si>
  <si>
    <t>TXS01105</t>
  </si>
  <si>
    <t>Cryovial box 12: A5</t>
  </si>
  <si>
    <t>TXS01106</t>
  </si>
  <si>
    <t>Cryovial box 12: A6</t>
  </si>
  <si>
    <t>TXS01107</t>
  </si>
  <si>
    <t>Cryovial box 12: A7</t>
  </si>
  <si>
    <t>TXS01108</t>
  </si>
  <si>
    <t>Cryovial box 12: A8</t>
  </si>
  <si>
    <t>TXS01109</t>
  </si>
  <si>
    <t>Cryovial box 12: A9</t>
  </si>
  <si>
    <t>TXS01110</t>
  </si>
  <si>
    <t>Cryovial box 12: A10</t>
  </si>
  <si>
    <t>TXS01111</t>
  </si>
  <si>
    <t>Cryovial box 12: B1</t>
  </si>
  <si>
    <t>TXS01112</t>
  </si>
  <si>
    <t>Cryovial box 12: B2</t>
  </si>
  <si>
    <t>TXS01113</t>
  </si>
  <si>
    <t>Cryovial box 12: B3</t>
  </si>
  <si>
    <t>TXS01114</t>
  </si>
  <si>
    <t>Cryovial box 12: B4</t>
  </si>
  <si>
    <t>TXS01115</t>
  </si>
  <si>
    <t>Cryovial box 12: B5</t>
  </si>
  <si>
    <t>TXS01116</t>
  </si>
  <si>
    <t>Cryovial box 12: B6</t>
  </si>
  <si>
    <t>TXS01117</t>
  </si>
  <si>
    <t>Cryovial box 12: B7</t>
  </si>
  <si>
    <t>TXS01118</t>
  </si>
  <si>
    <t>Cryovial box 12: B8</t>
  </si>
  <si>
    <t>TXS01119</t>
  </si>
  <si>
    <t>Cryovial box 12: B9</t>
  </si>
  <si>
    <t>TXS01120</t>
  </si>
  <si>
    <t>Cryovial box 12: B10</t>
  </si>
  <si>
    <t>TXS01121</t>
  </si>
  <si>
    <t>Cryovial box 12: C1</t>
  </si>
  <si>
    <t>TXS01122</t>
  </si>
  <si>
    <t>Cryovial box 12: C2</t>
  </si>
  <si>
    <t>TXS01123</t>
  </si>
  <si>
    <t>Cryovial box 12: C3</t>
  </si>
  <si>
    <t>TXS01124</t>
  </si>
  <si>
    <t>Cryovial box 12: C4</t>
  </si>
  <si>
    <t>TXS01125</t>
  </si>
  <si>
    <t>Cryovial box 12: C5</t>
  </si>
  <si>
    <t>TXS01126</t>
  </si>
  <si>
    <t>Cryovial box 12: C6</t>
  </si>
  <si>
    <t>TXS01127</t>
  </si>
  <si>
    <t>Cryovial box 12: C7</t>
  </si>
  <si>
    <t>TXS01128</t>
  </si>
  <si>
    <t>Cryovial box 12: C8</t>
  </si>
  <si>
    <t>TXS01129</t>
  </si>
  <si>
    <t>Cryovial box 12: C9</t>
  </si>
  <si>
    <t>TXS01130</t>
  </si>
  <si>
    <t>Cryovial box 12: C10</t>
  </si>
  <si>
    <t>TXS01131</t>
  </si>
  <si>
    <t>Cryovial box 12: D1</t>
  </si>
  <si>
    <t>TXS01132</t>
  </si>
  <si>
    <t>Cryovial box 12: D2</t>
  </si>
  <si>
    <t>TXS01133</t>
  </si>
  <si>
    <t>Cryovial box 12: D3</t>
  </si>
  <si>
    <t>TXS01134</t>
  </si>
  <si>
    <t>Cryovial box 12: D4</t>
  </si>
  <si>
    <t>TXS01135</t>
  </si>
  <si>
    <t>Cryovial box 12: D5</t>
  </si>
  <si>
    <t>TXS01136</t>
  </si>
  <si>
    <t>Cryovial box 12: D6</t>
  </si>
  <si>
    <t>TXS01137</t>
  </si>
  <si>
    <t>Cryovial box 12: D7</t>
  </si>
  <si>
    <t>TXS01138</t>
  </si>
  <si>
    <t>Cryovial box 12: D8</t>
  </si>
  <si>
    <t>TXS01139</t>
  </si>
  <si>
    <t>Cryovial box 12: D9</t>
  </si>
  <si>
    <t>TXS01140</t>
  </si>
  <si>
    <t>Cryovial box 12: D10</t>
  </si>
  <si>
    <t>TXS01141</t>
  </si>
  <si>
    <t>Cryovial box 12: E1</t>
  </si>
  <si>
    <t>TXS01142</t>
  </si>
  <si>
    <t>Cryovial box 12: E2</t>
  </si>
  <si>
    <t>TXS01143</t>
  </si>
  <si>
    <t>Cryovial box 12: E3</t>
  </si>
  <si>
    <t>TXS01144</t>
  </si>
  <si>
    <t>Cryovial box 12: E4</t>
  </si>
  <si>
    <t>TXS01145</t>
  </si>
  <si>
    <t>Cryovial box 12: E5</t>
  </si>
  <si>
    <t>TXS01146</t>
  </si>
  <si>
    <t>Cryovial box 12: E6</t>
  </si>
  <si>
    <t>TXS01147</t>
  </si>
  <si>
    <t>Cryovial box 12: E7</t>
  </si>
  <si>
    <t>TXS01148</t>
  </si>
  <si>
    <t>Cryovial box 12: E8</t>
  </si>
  <si>
    <t>TXS01149</t>
  </si>
  <si>
    <t>Cryovial box 12: E9</t>
  </si>
  <si>
    <t>TXS01150</t>
  </si>
  <si>
    <t>Cryovial box 12: E10</t>
  </si>
  <si>
    <t>TXS01151</t>
  </si>
  <si>
    <t>Cryovial box 12: F1</t>
  </si>
  <si>
    <t>TXS01152</t>
  </si>
  <si>
    <t>Cryovial box 12: F2</t>
  </si>
  <si>
    <t>TXS01153</t>
  </si>
  <si>
    <t>Cryovial box 12: F3</t>
  </si>
  <si>
    <t>TXS01154</t>
  </si>
  <si>
    <t>Cryovial box 12: F4</t>
  </si>
  <si>
    <t>TXS01155</t>
  </si>
  <si>
    <t>Cryovial box 12: F5</t>
  </si>
  <si>
    <t>TXS01156</t>
  </si>
  <si>
    <t>Cryovial box 12: F6</t>
  </si>
  <si>
    <t>TXS01157</t>
  </si>
  <si>
    <t>Cryovial box 12: F7</t>
  </si>
  <si>
    <t>TXS01158</t>
  </si>
  <si>
    <t>Cryovial box 12: F8</t>
  </si>
  <si>
    <t>TXS01159</t>
  </si>
  <si>
    <t>Cryovial box 12: F9</t>
  </si>
  <si>
    <t>TXS01160</t>
  </si>
  <si>
    <t>Cryovial box 12: F10</t>
  </si>
  <si>
    <t>TXS01161</t>
  </si>
  <si>
    <t>Cryovial box 12: G1</t>
  </si>
  <si>
    <t>TXS01162</t>
  </si>
  <si>
    <t>Cryovial box 12: G2</t>
  </si>
  <si>
    <t>TXS01163</t>
  </si>
  <si>
    <t>Cryovial box 12: G3</t>
  </si>
  <si>
    <t>TXS01164</t>
  </si>
  <si>
    <t>Cryovial box 12: G4</t>
  </si>
  <si>
    <t>TXS01165</t>
  </si>
  <si>
    <t>Cryovial box 12: G5</t>
  </si>
  <si>
    <t>TXS01166</t>
  </si>
  <si>
    <t>Cryovial box 12: G6</t>
  </si>
  <si>
    <t>TXS01167</t>
  </si>
  <si>
    <t>Cryovial box 12: G7</t>
  </si>
  <si>
    <t>TXS01168</t>
  </si>
  <si>
    <t>Cryovial box 12: G8</t>
  </si>
  <si>
    <t>TXS01169</t>
  </si>
  <si>
    <t>Cryovial box 12: G9</t>
  </si>
  <si>
    <t>TXS01170</t>
  </si>
  <si>
    <t>Cryovial box 12: G10</t>
  </si>
  <si>
    <t>TXS01171</t>
  </si>
  <si>
    <t>Cryovial box 12: H1</t>
  </si>
  <si>
    <t>TXS01172</t>
  </si>
  <si>
    <t>Cryovial box 12: H2</t>
  </si>
  <si>
    <t>TXS01173</t>
  </si>
  <si>
    <t>Cryovial box 12: H3</t>
  </si>
  <si>
    <t>TXS01174</t>
  </si>
  <si>
    <t>Cryovial box 12: H4</t>
  </si>
  <si>
    <t>TXS01175</t>
  </si>
  <si>
    <t>Cryovial box 12: H5</t>
  </si>
  <si>
    <t>TXS01176</t>
  </si>
  <si>
    <t>Cryovial box 12: H6</t>
  </si>
  <si>
    <t>TXS01177</t>
  </si>
  <si>
    <t>Cryovial box 12: H7</t>
  </si>
  <si>
    <t>TXS01178</t>
  </si>
  <si>
    <t>Cryovial box 12: H8</t>
  </si>
  <si>
    <t>TXS01179</t>
  </si>
  <si>
    <t>Cryovial box 12: H9</t>
  </si>
  <si>
    <t>TXS01180</t>
  </si>
  <si>
    <t>Cryovial box 12: H10</t>
  </si>
  <si>
    <t>TXS01181</t>
  </si>
  <si>
    <t>Cryovial box 12: I1</t>
  </si>
  <si>
    <t>TXS01182</t>
  </si>
  <si>
    <t>Cryovial box 12: I2</t>
  </si>
  <si>
    <t>TXS01183</t>
  </si>
  <si>
    <t>Cryovial box 12: I3</t>
  </si>
  <si>
    <t>TXS01184</t>
  </si>
  <si>
    <t>Cryovial box 12: I4</t>
  </si>
  <si>
    <t>TXS01185</t>
  </si>
  <si>
    <t>Cryovial box 12: I5</t>
  </si>
  <si>
    <t>TXS01186</t>
  </si>
  <si>
    <t>Cryovial box 12: I6</t>
  </si>
  <si>
    <t>TXS01187</t>
  </si>
  <si>
    <t>Cryovial box 12: I7</t>
  </si>
  <si>
    <t>TXS01188</t>
  </si>
  <si>
    <t>Cryovial box 12: I8</t>
  </si>
  <si>
    <t>TXS01189</t>
  </si>
  <si>
    <t>Cryovial box 12: I9</t>
  </si>
  <si>
    <t>TXS01190</t>
  </si>
  <si>
    <t>Cryovial box 12: I10</t>
  </si>
  <si>
    <t>TXS01191</t>
  </si>
  <si>
    <t>Cryovial box 12: J1</t>
  </si>
  <si>
    <t>TXS01192</t>
  </si>
  <si>
    <t>Cryovial box 12: J2</t>
  </si>
  <si>
    <t>TXS01193</t>
  </si>
  <si>
    <t>Cryovial box 12: J3</t>
  </si>
  <si>
    <t>TXS01194</t>
  </si>
  <si>
    <t>Cryovial box 12: J4</t>
  </si>
  <si>
    <t>TXS01195</t>
  </si>
  <si>
    <t>Cryovial box 12: J5</t>
  </si>
  <si>
    <t>TXS01196</t>
  </si>
  <si>
    <t>Cryovial box 12: J6</t>
  </si>
  <si>
    <t>TXS01197</t>
  </si>
  <si>
    <t>Cryovial box 12: J7</t>
  </si>
  <si>
    <t>TXS01198</t>
  </si>
  <si>
    <t>Cryovial box 12: J8</t>
  </si>
  <si>
    <t>TXS01199</t>
  </si>
  <si>
    <t>Cryovial box 12: J9</t>
  </si>
  <si>
    <t>TXS01200</t>
  </si>
  <si>
    <t>Cryovial box 12: J10</t>
  </si>
  <si>
    <t>TXS01201</t>
  </si>
  <si>
    <t>Cryovial box 13: A1</t>
  </si>
  <si>
    <t>TXS01202</t>
  </si>
  <si>
    <t>Cryovial box 13: A2</t>
  </si>
  <si>
    <t>TXS01203</t>
  </si>
  <si>
    <t>Cryovial box 13: A3</t>
  </si>
  <si>
    <t>TXS01204</t>
  </si>
  <si>
    <t>Cryovial box 13: A4</t>
  </si>
  <si>
    <t>TXS01205</t>
  </si>
  <si>
    <t>Cryovial box 13: A5</t>
  </si>
  <si>
    <t>TXS01206</t>
  </si>
  <si>
    <t>Cryovial box 13: A6</t>
  </si>
  <si>
    <t>TXS01207</t>
  </si>
  <si>
    <t>Cryovial box 13: A7</t>
  </si>
  <si>
    <t>TXS01208</t>
  </si>
  <si>
    <t>Cryovial box 13: A8</t>
  </si>
  <si>
    <t>TXS01209</t>
  </si>
  <si>
    <t>Cryovial box 13: A9</t>
  </si>
  <si>
    <t>TXS01210</t>
  </si>
  <si>
    <t>Cryovial box 13: A10</t>
  </si>
  <si>
    <t>TXS01211</t>
  </si>
  <si>
    <t>Cryovial box 13: B1</t>
  </si>
  <si>
    <t>TXS01212</t>
  </si>
  <si>
    <t>Cryovial box 13: B2</t>
  </si>
  <si>
    <t>TXS01213</t>
  </si>
  <si>
    <t>Cryovial box 13: B3</t>
  </si>
  <si>
    <t>TXS01214</t>
  </si>
  <si>
    <t>Cryovial box 13: B4</t>
  </si>
  <si>
    <t>TXS01215</t>
  </si>
  <si>
    <t>Cryovial box 13: B5</t>
  </si>
  <si>
    <t>TXS01216</t>
  </si>
  <si>
    <t>Cryovial box 13: B6</t>
  </si>
  <si>
    <t>TXS01217</t>
  </si>
  <si>
    <t>Cryovial box 13: B7</t>
  </si>
  <si>
    <t>TXS01218</t>
  </si>
  <si>
    <t>Cryovial box 13: B8</t>
  </si>
  <si>
    <t>TXS01219</t>
  </si>
  <si>
    <t>Cryovial box 13: B9</t>
  </si>
  <si>
    <t>TXS01220</t>
  </si>
  <si>
    <t>Cryovial box 13: B10</t>
  </si>
  <si>
    <t>TXS01221</t>
  </si>
  <si>
    <t>Cryovial box 13: C1</t>
  </si>
  <si>
    <t>TXS01222</t>
  </si>
  <si>
    <t>Cryovial box 13: C2</t>
  </si>
  <si>
    <t>TXS01223</t>
  </si>
  <si>
    <t>Cryovial box 13: C3</t>
  </si>
  <si>
    <t>TXS01224</t>
  </si>
  <si>
    <t>Cryovial box 13: C4</t>
  </si>
  <si>
    <t>TXS01225</t>
  </si>
  <si>
    <t>Cryovial box 13: C5</t>
  </si>
  <si>
    <t>TXS01226</t>
  </si>
  <si>
    <t>Cryovial box 13: C6</t>
  </si>
  <si>
    <t>TXS01227</t>
  </si>
  <si>
    <t>Cryovial box 13: C7</t>
  </si>
  <si>
    <t>TXS01228</t>
  </si>
  <si>
    <t>Cryovial box 13: C8</t>
  </si>
  <si>
    <t>TXS01229</t>
  </si>
  <si>
    <t>Cryovial box 13: C9</t>
  </si>
  <si>
    <t>TXS01230</t>
  </si>
  <si>
    <t>Cryovial box 13: C10</t>
  </si>
  <si>
    <t>TXS01231</t>
  </si>
  <si>
    <t>Cryovial box 13: D1</t>
  </si>
  <si>
    <t>TXS01232</t>
  </si>
  <si>
    <t>Cryovial box 13: D2</t>
  </si>
  <si>
    <t>TXS01233</t>
  </si>
  <si>
    <t>Cryovial box 13: D3</t>
  </si>
  <si>
    <t>TXS01234</t>
  </si>
  <si>
    <t>Cryovial box 13: D4</t>
  </si>
  <si>
    <t>TXS01235</t>
  </si>
  <si>
    <t>Cryovial box 13: D5</t>
  </si>
  <si>
    <t>TXS01236</t>
  </si>
  <si>
    <t>Cryovial box 13: D6</t>
  </si>
  <si>
    <t>TXS01237</t>
  </si>
  <si>
    <t>Cryovial box 13: D7</t>
  </si>
  <si>
    <t>TXS01238</t>
  </si>
  <si>
    <t>Cryovial box 13: D8</t>
  </si>
  <si>
    <t>TXS01239</t>
  </si>
  <si>
    <t>Cryovial box 13: D9</t>
  </si>
  <si>
    <t>TXS01240</t>
  </si>
  <si>
    <t>Cryovial box 13: D10</t>
  </si>
  <si>
    <t>TXS01241</t>
  </si>
  <si>
    <t>Cryovial box 13: E1</t>
  </si>
  <si>
    <t>TXS01242</t>
  </si>
  <si>
    <t>Cryovial box 13: E2</t>
  </si>
  <si>
    <t>TXS01243</t>
  </si>
  <si>
    <t>Cryovial box 13: E3</t>
  </si>
  <si>
    <t>TXS01244</t>
  </si>
  <si>
    <t>Cryovial box 13: E4</t>
  </si>
  <si>
    <t>TXS01245</t>
  </si>
  <si>
    <t>Cryovial box 13: E5</t>
  </si>
  <si>
    <t>TXS01246</t>
  </si>
  <si>
    <t>Cryovial box 13: E6</t>
  </si>
  <si>
    <t>TXS01247</t>
  </si>
  <si>
    <t>Cryovial box 13: E7</t>
  </si>
  <si>
    <t>TXS01248</t>
  </si>
  <si>
    <t>Cryovial box 13: E8</t>
  </si>
  <si>
    <t>TXS01249</t>
  </si>
  <si>
    <t>Cryovial box 13: E9</t>
  </si>
  <si>
    <t>TXS01250</t>
  </si>
  <si>
    <t>Cryovial box 13: E10</t>
  </si>
  <si>
    <t>TXS01251</t>
  </si>
  <si>
    <t>Cryovial box 13: F1</t>
  </si>
  <si>
    <t>TXS01252</t>
  </si>
  <si>
    <t>Cryovial box 13: F2</t>
  </si>
  <si>
    <t>TXS01253</t>
  </si>
  <si>
    <t>Cryovial box 13: F3</t>
  </si>
  <si>
    <t>TXS01254</t>
  </si>
  <si>
    <t>Cryovial box 13: F4</t>
  </si>
  <si>
    <t>TXS01255</t>
  </si>
  <si>
    <t>Cryovial box 13: F5</t>
  </si>
  <si>
    <t>TXS01256</t>
  </si>
  <si>
    <t>Cryovial box 13: F6</t>
  </si>
  <si>
    <t>TXS01257</t>
  </si>
  <si>
    <t>Cryovial box 13: F7</t>
  </si>
  <si>
    <t>TXS01258</t>
  </si>
  <si>
    <t>Cryovial box 13: F8</t>
  </si>
  <si>
    <t>TXS01259</t>
  </si>
  <si>
    <t>Cryovial box 13: F9</t>
  </si>
  <si>
    <t>TXS01260</t>
  </si>
  <si>
    <t>Cryovial box 13: F10</t>
  </si>
  <si>
    <t>TXS01261</t>
  </si>
  <si>
    <t>Cryovial box 13: G1</t>
  </si>
  <si>
    <t>TXS01262</t>
  </si>
  <si>
    <t>Cryovial box 13: G2</t>
  </si>
  <si>
    <t>TXS01263</t>
  </si>
  <si>
    <t>Cryovial box 13: G3</t>
  </si>
  <si>
    <t>TXS01264</t>
  </si>
  <si>
    <t>Cryovial box 13: G4</t>
  </si>
  <si>
    <t>TXS01265</t>
  </si>
  <si>
    <t>Cryovial box 13: G5</t>
  </si>
  <si>
    <t>TXS01266</t>
  </si>
  <si>
    <t>Cryovial box 13: G6</t>
  </si>
  <si>
    <t>TXS01267</t>
  </si>
  <si>
    <t>Cryovial box 13: G7</t>
  </si>
  <si>
    <t>TXS01268</t>
  </si>
  <si>
    <t>Cryovial box 13: G8</t>
  </si>
  <si>
    <t>TXS01269</t>
  </si>
  <si>
    <t>Cryovial box 13: G9</t>
  </si>
  <si>
    <t>TXS01270</t>
  </si>
  <si>
    <t>Cryovial box 13: G10</t>
  </si>
  <si>
    <t>TXS01271</t>
  </si>
  <si>
    <t>Cryovial box 13: H1</t>
  </si>
  <si>
    <t>TXS01272</t>
  </si>
  <si>
    <t>Cryovial box 13: H2</t>
  </si>
  <si>
    <t>TXS01273</t>
  </si>
  <si>
    <t>Cryovial box 13: H3</t>
  </si>
  <si>
    <t>TXS01274</t>
  </si>
  <si>
    <t>Cryovial box 13: H4</t>
  </si>
  <si>
    <t>TXS01275</t>
  </si>
  <si>
    <t>Cryovial box 13: H5</t>
  </si>
  <si>
    <t>TXS01276</t>
  </si>
  <si>
    <t>Cryovial box 13: H6</t>
  </si>
  <si>
    <t>TXS01277</t>
  </si>
  <si>
    <t>Cryovial box 13: H7</t>
  </si>
  <si>
    <t>TXS01278</t>
  </si>
  <si>
    <t>Cryovial box 13: H8</t>
  </si>
  <si>
    <t>TXS01279</t>
  </si>
  <si>
    <t>Cryovial box 13: H9</t>
  </si>
  <si>
    <t>TXS01280</t>
  </si>
  <si>
    <t>Cryovial box 13: H10</t>
  </si>
  <si>
    <t>TXS01281</t>
  </si>
  <si>
    <t>Cryovial box 13: I1</t>
  </si>
  <si>
    <t>TXS01282</t>
  </si>
  <si>
    <t>Cryovial box 13: I2</t>
  </si>
  <si>
    <t>TXS01283</t>
  </si>
  <si>
    <t>Cryovial box 13: I3</t>
  </si>
  <si>
    <t>TXS01284</t>
  </si>
  <si>
    <t>Cryovial box 13: I4</t>
  </si>
  <si>
    <t>TXS01285</t>
  </si>
  <si>
    <t>Cryovial box 13: I5</t>
  </si>
  <si>
    <t>TXS01286</t>
  </si>
  <si>
    <t>Cryovial box 13: I6</t>
  </si>
  <si>
    <t>TXS01287</t>
  </si>
  <si>
    <t>Cryovial box 13: I7</t>
  </si>
  <si>
    <t>TXS01288</t>
  </si>
  <si>
    <t>Cryovial box 13: I8</t>
  </si>
  <si>
    <t>TXS01289</t>
  </si>
  <si>
    <t>Cryovial box 13: I9</t>
  </si>
  <si>
    <t>TXS01290</t>
  </si>
  <si>
    <t>Cryovial box 13: I10</t>
  </si>
  <si>
    <t>TXS01291</t>
  </si>
  <si>
    <t>Cryovial box 13: J1</t>
  </si>
  <si>
    <t>TXS01292</t>
  </si>
  <si>
    <t>Cryovial box 13: J2</t>
  </si>
  <si>
    <t>TXS01293</t>
  </si>
  <si>
    <t>Cryovial box 13: J3</t>
  </si>
  <si>
    <t>TXS01294</t>
  </si>
  <si>
    <t>Cryovial box 13: J4</t>
  </si>
  <si>
    <t>TXS01295</t>
  </si>
  <si>
    <t>Cryovial box 13: J5</t>
  </si>
  <si>
    <t>TXS01296</t>
  </si>
  <si>
    <t>Cryovial box 13: J6</t>
  </si>
  <si>
    <t>TXS01297</t>
  </si>
  <si>
    <t>Cryovial box 13: J7</t>
  </si>
  <si>
    <t>TXS01298</t>
  </si>
  <si>
    <t>Cryovial box 13: J8</t>
  </si>
  <si>
    <t>TXS01299</t>
  </si>
  <si>
    <t>Cryovial box 13: J9</t>
  </si>
  <si>
    <t>TXS01300</t>
  </si>
  <si>
    <t>Cryovial box 13: J10</t>
  </si>
  <si>
    <t>TXS01301</t>
  </si>
  <si>
    <t>Cryovial box 14: A1</t>
  </si>
  <si>
    <t>TXS01302</t>
  </si>
  <si>
    <t>Cryovial box 14: A2</t>
  </si>
  <si>
    <t>TXS01303</t>
  </si>
  <si>
    <t>Cryovial box 14: A3</t>
  </si>
  <si>
    <t>TXS01304</t>
  </si>
  <si>
    <t>Cryovial box 14: A4</t>
  </si>
  <si>
    <t>TXS01305</t>
  </si>
  <si>
    <t>Cryovial box 14: A5</t>
  </si>
  <si>
    <t>TXS01306</t>
  </si>
  <si>
    <t>Cryovial box 14: A6</t>
  </si>
  <si>
    <t>TXS01307</t>
  </si>
  <si>
    <t>Cryovial box 14: A7</t>
  </si>
  <si>
    <t>TXS01308</t>
  </si>
  <si>
    <t>Cryovial box 14: A8</t>
  </si>
  <si>
    <t>TXS01309</t>
  </si>
  <si>
    <t>Cryovial box 14: A9</t>
  </si>
  <si>
    <t>TXS01310</t>
  </si>
  <si>
    <t>Cryovial box 14: A10</t>
  </si>
  <si>
    <t>TXS01311</t>
  </si>
  <si>
    <t>Cryovial box 14: B1</t>
  </si>
  <si>
    <t>TXS01312</t>
  </si>
  <si>
    <t>Cryovial box 14: B2</t>
  </si>
  <si>
    <t>TXS01313</t>
  </si>
  <si>
    <t>Cryovial box 14: B3</t>
  </si>
  <si>
    <t>TXS01314</t>
  </si>
  <si>
    <t>Cryovial box 14: B4</t>
  </si>
  <si>
    <t>TXS01315</t>
  </si>
  <si>
    <t>Cryovial box 14: B5</t>
  </si>
  <si>
    <t>TXS01316</t>
  </si>
  <si>
    <t>Cryovial box 14: B6</t>
  </si>
  <si>
    <t>TXS01317</t>
  </si>
  <si>
    <t>Cryovial box 14: B7</t>
  </si>
  <si>
    <t>TXS01318</t>
  </si>
  <si>
    <t>Cryovial box 14: B8</t>
  </si>
  <si>
    <t>TXS01319</t>
  </si>
  <si>
    <t>Cryovial box 14: B9</t>
  </si>
  <si>
    <t>TXS01320</t>
  </si>
  <si>
    <t>Cryovial box 14: B10</t>
  </si>
  <si>
    <t>TXS01321</t>
  </si>
  <si>
    <t>Cryovial box 14: C1</t>
  </si>
  <si>
    <t>TXS01322</t>
  </si>
  <si>
    <t>Cryovial box 14: C2</t>
  </si>
  <si>
    <t>TXS01323</t>
  </si>
  <si>
    <t>Cryovial box 14: C3</t>
  </si>
  <si>
    <t>TXS01324</t>
  </si>
  <si>
    <t>Cryovial box 14: C4</t>
  </si>
  <si>
    <t>TXS01325</t>
  </si>
  <si>
    <t>Cryovial box 14: C5</t>
  </si>
  <si>
    <t>TXS01326</t>
  </si>
  <si>
    <t>Cryovial box 14: C6</t>
  </si>
  <si>
    <t>TXS01327</t>
  </si>
  <si>
    <t>Cryovial box 14: C7</t>
  </si>
  <si>
    <t>TXS01328</t>
  </si>
  <si>
    <t>Cryovial box 14: C8</t>
  </si>
  <si>
    <t>TXS01329</t>
  </si>
  <si>
    <t>Cryovial box 14: C9</t>
  </si>
  <si>
    <t>TXS01330</t>
  </si>
  <si>
    <t>Cryovial box 14: C10</t>
  </si>
  <si>
    <t>TXS01331</t>
  </si>
  <si>
    <t>Cryovial box 14: D1</t>
  </si>
  <si>
    <t>TXS01332</t>
  </si>
  <si>
    <t>Cryovial box 14: D2</t>
  </si>
  <si>
    <t>TXS01333</t>
  </si>
  <si>
    <t>Cryovial box 14: D3</t>
  </si>
  <si>
    <t>TXS01334</t>
  </si>
  <si>
    <t>Cryovial box 14: D4</t>
  </si>
  <si>
    <t>TXS01335</t>
  </si>
  <si>
    <t>Cryovial box 14: D5</t>
  </si>
  <si>
    <t>TXS01336</t>
  </si>
  <si>
    <t>Cryovial box 14: D6</t>
  </si>
  <si>
    <t>TXS01337</t>
  </si>
  <si>
    <t>Cryovial box 14: D7</t>
  </si>
  <si>
    <t>TXS01338</t>
  </si>
  <si>
    <t>Cryovial box 14: D8</t>
  </si>
  <si>
    <t>TXS01339</t>
  </si>
  <si>
    <t>Cryovial box 14: D9</t>
  </si>
  <si>
    <t>TXS01340</t>
  </si>
  <si>
    <t>Cryovial box 14: D10</t>
  </si>
  <si>
    <t>TXS01341</t>
  </si>
  <si>
    <t>Cryovial box 14: E1</t>
  </si>
  <si>
    <t>TXS01342</t>
  </si>
  <si>
    <t>Cryovial box 14: E2</t>
  </si>
  <si>
    <t>TXS01343</t>
  </si>
  <si>
    <t>Cryovial box 14: E3</t>
  </si>
  <si>
    <t>TXS01344</t>
  </si>
  <si>
    <t>Cryovial box 14: E4</t>
  </si>
  <si>
    <t>TXS01345</t>
  </si>
  <si>
    <t>Cryovial box 14: E5</t>
  </si>
  <si>
    <t>TXS01346</t>
  </si>
  <si>
    <t>Cryovial box 14: E6</t>
  </si>
  <si>
    <t>TXS01347</t>
  </si>
  <si>
    <t>Cryovial box 14: E7</t>
  </si>
  <si>
    <t>TXS01348</t>
  </si>
  <si>
    <t>Cryovial box 14: E8</t>
  </si>
  <si>
    <t>TXS01349</t>
  </si>
  <si>
    <t>Cryovial box 14: E9</t>
  </si>
  <si>
    <t>TXS01350</t>
  </si>
  <si>
    <t>Cryovial box 14: E10</t>
  </si>
  <si>
    <t>TXS01351</t>
  </si>
  <si>
    <t>Cryovial box 14: F1</t>
  </si>
  <si>
    <t>TXS01352</t>
  </si>
  <si>
    <t>Cryovial box 14: F2</t>
  </si>
  <si>
    <t>TXS01353</t>
  </si>
  <si>
    <t>Cryovial box 14: F3</t>
  </si>
  <si>
    <t>TXS01354</t>
  </si>
  <si>
    <t>Cryovial box 14: F4</t>
  </si>
  <si>
    <t>TXS01355</t>
  </si>
  <si>
    <t>Cryovial box 14: F5</t>
  </si>
  <si>
    <t>TXS01356</t>
  </si>
  <si>
    <t>Cryovial box 14: F6</t>
  </si>
  <si>
    <t>TXS01357</t>
  </si>
  <si>
    <t>Cryovial box 14: F7</t>
  </si>
  <si>
    <t>TXS01358</t>
  </si>
  <si>
    <t>Cryovial box 14: F8</t>
  </si>
  <si>
    <t>TXS01359</t>
  </si>
  <si>
    <t>Cryovial box 14: F9</t>
  </si>
  <si>
    <t>TXS01360</t>
  </si>
  <si>
    <t>Cryovial box 14: F10</t>
  </si>
  <si>
    <t>TXS01361</t>
  </si>
  <si>
    <t>Cryovial box 14: G1</t>
  </si>
  <si>
    <t>TXS01362</t>
  </si>
  <si>
    <t>Cryovial box 14: G2</t>
  </si>
  <si>
    <t>TXS01363</t>
  </si>
  <si>
    <t>Cryovial box 14: G3</t>
  </si>
  <si>
    <t>TXS01364</t>
  </si>
  <si>
    <t>Cryovial box 14: G4</t>
  </si>
  <si>
    <t>TXS01365</t>
  </si>
  <si>
    <t>Cryovial box 14: G5</t>
  </si>
  <si>
    <t>TXS01366</t>
  </si>
  <si>
    <t>Cryovial box 14: G6</t>
  </si>
  <si>
    <t>TXS01367</t>
  </si>
  <si>
    <t>Cryovial box 14: G7</t>
  </si>
  <si>
    <t>TXS01368</t>
  </si>
  <si>
    <t>Cryovial box 14: G8</t>
  </si>
  <si>
    <t>TXS01369</t>
  </si>
  <si>
    <t>Cryovial box 14: G9</t>
  </si>
  <si>
    <t>TXS01370</t>
  </si>
  <si>
    <t>Cryovial box 14: G10</t>
  </si>
  <si>
    <t>TXS01371</t>
  </si>
  <si>
    <t>Cryovial box 14: H1</t>
  </si>
  <si>
    <t>TXS01372</t>
  </si>
  <si>
    <t>Cryovial box 14: H2</t>
  </si>
  <si>
    <t>TXS01373</t>
  </si>
  <si>
    <t>Cryovial box 14: H3</t>
  </si>
  <si>
    <t>TXS01374</t>
  </si>
  <si>
    <t>Cryovial box 14: H4</t>
  </si>
  <si>
    <t>TXS01375</t>
  </si>
  <si>
    <t>Cryovial box 14: H5</t>
  </si>
  <si>
    <t>TXS01376</t>
  </si>
  <si>
    <t>Cryovial box 14: H6</t>
  </si>
  <si>
    <t>TXS01377</t>
  </si>
  <si>
    <t>Cryovial box 14: H7</t>
  </si>
  <si>
    <t>TXS01378</t>
  </si>
  <si>
    <t>Cryovial box 14: H8</t>
  </si>
  <si>
    <t>TXS01379</t>
  </si>
  <si>
    <t>Cryovial box 14: H9</t>
  </si>
  <si>
    <t>TXS01380</t>
  </si>
  <si>
    <t>Cryovial box 14: H10</t>
  </si>
  <si>
    <t>TXS01381</t>
  </si>
  <si>
    <t>Cryovial box 14: I1</t>
  </si>
  <si>
    <t>TXS01382</t>
  </si>
  <si>
    <t>Cryovial box 14: I2</t>
  </si>
  <si>
    <t>TXS01383</t>
  </si>
  <si>
    <t>Cryovial box 14: I3</t>
  </si>
  <si>
    <t>TXS01384</t>
  </si>
  <si>
    <t>Cryovial box 14: I4</t>
  </si>
  <si>
    <t>TXS01385</t>
  </si>
  <si>
    <t>Cryovial box 14: I5</t>
  </si>
  <si>
    <t>TXS01386</t>
  </si>
  <si>
    <t>Cryovial box 14: I6</t>
  </si>
  <si>
    <t>TXS01387</t>
  </si>
  <si>
    <t>Cryovial box 14: I7</t>
  </si>
  <si>
    <t>TXS01388</t>
  </si>
  <si>
    <t>Cryovial box 14: I8</t>
  </si>
  <si>
    <t>TXS01389</t>
  </si>
  <si>
    <t>Cryovial box 14: I9</t>
  </si>
  <si>
    <t>TXS01390</t>
  </si>
  <si>
    <t>Cryovial box 14: I10</t>
  </si>
  <si>
    <t>TXS01391</t>
  </si>
  <si>
    <t>Cryovial box 14: J1</t>
  </si>
  <si>
    <t>TXS01392</t>
  </si>
  <si>
    <t>Cryovial box 14: J2</t>
  </si>
  <si>
    <t>TXS01393</t>
  </si>
  <si>
    <t>Cryovial box 14: J3</t>
  </si>
  <si>
    <t>TXS01394</t>
  </si>
  <si>
    <t>Cryovial box 14: J4</t>
  </si>
  <si>
    <t>TXS01395</t>
  </si>
  <si>
    <t>Cryovial box 14: J5</t>
  </si>
  <si>
    <t>TXS01396</t>
  </si>
  <si>
    <t>Cryovial box 14: J6</t>
  </si>
  <si>
    <t>TXS01397</t>
  </si>
  <si>
    <t>Cryovial box 14: J7</t>
  </si>
  <si>
    <t>TXS01398</t>
  </si>
  <si>
    <t>Cryovial box 14: J8</t>
  </si>
  <si>
    <t>TXS01399</t>
  </si>
  <si>
    <t>Cryovial box 14: J9</t>
  </si>
  <si>
    <t>TXS01400</t>
  </si>
  <si>
    <t>Cryovial box 14: J10</t>
  </si>
  <si>
    <t>TXS01401</t>
  </si>
  <si>
    <t>Cryovial box 15: A1</t>
  </si>
  <si>
    <t>TXS01402</t>
  </si>
  <si>
    <t>Cryovial box 15: A2</t>
  </si>
  <si>
    <t>TXS01403</t>
  </si>
  <si>
    <t>Cryovial box 15: A3</t>
  </si>
  <si>
    <t>TXS01404</t>
  </si>
  <si>
    <t>Cryovial box 15: A4</t>
  </si>
  <si>
    <t>TXS01405</t>
  </si>
  <si>
    <t>Cryovial box 15: A5</t>
  </si>
  <si>
    <t>TXS01406</t>
  </si>
  <si>
    <t>Cryovial box 15: A6</t>
  </si>
  <si>
    <t>TXS01407</t>
  </si>
  <si>
    <t>Cryovial box 15: A7</t>
  </si>
  <si>
    <t>TXS01408</t>
  </si>
  <si>
    <t>Cryovial box 15: A8</t>
  </si>
  <si>
    <t>TXS01409</t>
  </si>
  <si>
    <t>Cryovial box 15: A9</t>
  </si>
  <si>
    <t>TXS01410</t>
  </si>
  <si>
    <t>Cryovial box 15: A10</t>
  </si>
  <si>
    <t>TXS01411</t>
  </si>
  <si>
    <t>Cryovial box 15: B1</t>
  </si>
  <si>
    <t>TXS01412</t>
  </si>
  <si>
    <t>Cryovial box 15: B2</t>
  </si>
  <si>
    <t>TXS01413</t>
  </si>
  <si>
    <t>Cryovial box 15: B3</t>
  </si>
  <si>
    <t>TXS01414</t>
  </si>
  <si>
    <t>Cryovial box 15: B4</t>
  </si>
  <si>
    <t>TXS01415</t>
  </si>
  <si>
    <t>Cryovial box 15: B5</t>
  </si>
  <si>
    <t>TXS01416</t>
  </si>
  <si>
    <t>Cryovial box 15: B6</t>
  </si>
  <si>
    <t>TXS01417</t>
  </si>
  <si>
    <t>Cryovial box 15: B7</t>
  </si>
  <si>
    <t>TXS01418</t>
  </si>
  <si>
    <t>Cryovial box 15: B8</t>
  </si>
  <si>
    <t>TXS01419</t>
  </si>
  <si>
    <t>Cryovial box 15: B9</t>
  </si>
  <si>
    <t>TXS01420</t>
  </si>
  <si>
    <t>Cryovial box 15: B10</t>
  </si>
  <si>
    <t>TXS01421</t>
  </si>
  <si>
    <t>Cryovial box 15: C1</t>
  </si>
  <si>
    <t>TXS01422</t>
  </si>
  <si>
    <t>Cryovial box 15: C2</t>
  </si>
  <si>
    <t>TXS01423</t>
  </si>
  <si>
    <t>Cryovial box 15: C3</t>
  </si>
  <si>
    <t>TXS01424</t>
  </si>
  <si>
    <t>Cryovial box 15: C4</t>
  </si>
  <si>
    <t>TXS01425</t>
  </si>
  <si>
    <t>Cryovial box 15: C5</t>
  </si>
  <si>
    <t>TXS01426</t>
  </si>
  <si>
    <t>Cryovial box 15: C6</t>
  </si>
  <si>
    <t>TXS01427</t>
  </si>
  <si>
    <t>Cryovial box 15: C7</t>
  </si>
  <si>
    <t>TXS01428</t>
  </si>
  <si>
    <t>Cryovial box 15: C8</t>
  </si>
  <si>
    <t>TXS01429</t>
  </si>
  <si>
    <t>Cryovial box 15: C9</t>
  </si>
  <si>
    <t>TXS01430</t>
  </si>
  <si>
    <t>Cryovial box 15: C10</t>
  </si>
  <si>
    <t>TXS01431</t>
  </si>
  <si>
    <t>Cryovial box 15: D1</t>
  </si>
  <si>
    <t>TXS01432</t>
  </si>
  <si>
    <t>Cryovial box 15: D2</t>
  </si>
  <si>
    <t>TXS01433</t>
  </si>
  <si>
    <t>Cryovial box 15: D3</t>
  </si>
  <si>
    <t>TXS01434</t>
  </si>
  <si>
    <t>Cryovial box 15: D4</t>
  </si>
  <si>
    <t>TXS01435</t>
  </si>
  <si>
    <t>Cryovial box 15: D5</t>
  </si>
  <si>
    <t>TXS01436</t>
  </si>
  <si>
    <t>Cryovial box 15: D6</t>
  </si>
  <si>
    <t>TXS01437</t>
  </si>
  <si>
    <t>Cryovial box 15: D7</t>
  </si>
  <si>
    <t>TXS01438</t>
  </si>
  <si>
    <t>Cryovial box 15: D8</t>
  </si>
  <si>
    <t>TXS01439</t>
  </si>
  <si>
    <t>Cryovial box 15: D9</t>
  </si>
  <si>
    <t>TXS01440</t>
  </si>
  <si>
    <t>Cryovial box 15: D10</t>
  </si>
  <si>
    <t>TXS01441</t>
  </si>
  <si>
    <t>Cryovial box 15: E1</t>
  </si>
  <si>
    <t>TXS01442</t>
  </si>
  <si>
    <t>Cryovial box 15: E2</t>
  </si>
  <si>
    <t>TXS01443</t>
  </si>
  <si>
    <t>Cryovial box 15: E3</t>
  </si>
  <si>
    <t>TXS01444</t>
  </si>
  <si>
    <t>Cryovial box 15: E4</t>
  </si>
  <si>
    <t>TXS01445</t>
  </si>
  <si>
    <t>Cryovial box 15: E5</t>
  </si>
  <si>
    <t>TXS01446</t>
  </si>
  <si>
    <t>Cryovial box 15: E6</t>
  </si>
  <si>
    <t>TXS01447</t>
  </si>
  <si>
    <t>Cryovial box 15: E7</t>
  </si>
  <si>
    <t>TXS01448</t>
  </si>
  <si>
    <t>Cryovial box 15: E8</t>
  </si>
  <si>
    <t>TXS01449</t>
  </si>
  <si>
    <t>Cryovial box 15: E9</t>
  </si>
  <si>
    <t>TXS01450</t>
  </si>
  <si>
    <t>Cryovial box 15: E10</t>
  </si>
  <si>
    <t>TXS01451</t>
  </si>
  <si>
    <t>Cryovial box 15: F1</t>
  </si>
  <si>
    <t>TXS01452</t>
  </si>
  <si>
    <t>Cryovial box 15: F2</t>
  </si>
  <si>
    <t>TXS01453</t>
  </si>
  <si>
    <t>Cryovial box 15: F3</t>
  </si>
  <si>
    <t>TXS01454</t>
  </si>
  <si>
    <t>Cryovial box 15: F4</t>
  </si>
  <si>
    <t>TXS01455</t>
  </si>
  <si>
    <t>Cryovial box 15: F5</t>
  </si>
  <si>
    <t>TXS01456</t>
  </si>
  <si>
    <t>Cryovial box 15: F6</t>
  </si>
  <si>
    <t>TXS01457</t>
  </si>
  <si>
    <t>Cryovial box 15: F7</t>
  </si>
  <si>
    <t>TXS01458</t>
  </si>
  <si>
    <t>Cryovial box 15: F8</t>
  </si>
  <si>
    <t>TXS01459</t>
  </si>
  <si>
    <t>Cryovial box 15: F9</t>
  </si>
  <si>
    <t>TXS01460</t>
  </si>
  <si>
    <t>Cryovial box 15: F10</t>
  </si>
  <si>
    <t>TXS01461</t>
  </si>
  <si>
    <t>Cryovial box 15: G1</t>
  </si>
  <si>
    <t>TXS01462</t>
  </si>
  <si>
    <t>Cryovial box 15: G2</t>
  </si>
  <si>
    <t>TXS01463</t>
  </si>
  <si>
    <t>Cryovial box 15: G3</t>
  </si>
  <si>
    <t>TXS01464</t>
  </si>
  <si>
    <t>Cryovial box 15: G4</t>
  </si>
  <si>
    <t>TXS01465</t>
  </si>
  <si>
    <t>Cryovial box 15: G5</t>
  </si>
  <si>
    <t>TXS01466</t>
  </si>
  <si>
    <t>Cryovial box 15: G6</t>
  </si>
  <si>
    <t>TXS01467</t>
  </si>
  <si>
    <t>Cryovial box 15: G7</t>
  </si>
  <si>
    <t>TXS01468</t>
  </si>
  <si>
    <t>Cryovial box 15: G8</t>
  </si>
  <si>
    <t>TXS01469</t>
  </si>
  <si>
    <t>Cryovial box 15: G9</t>
  </si>
  <si>
    <t>TXS01470</t>
  </si>
  <si>
    <t>Cryovial box 15: G10</t>
  </si>
  <si>
    <t>TXS01471</t>
  </si>
  <si>
    <t>Cryovial box 15: H1</t>
  </si>
  <si>
    <t>TXS01472</t>
  </si>
  <si>
    <t>Cryovial box 15: H2</t>
  </si>
  <si>
    <t>TXS01473</t>
  </si>
  <si>
    <t>Cryovial box 15: H3</t>
  </si>
  <si>
    <t>TXS01474</t>
  </si>
  <si>
    <t>Cryovial box 15: H4</t>
  </si>
  <si>
    <t>TXS01475</t>
  </si>
  <si>
    <t>Cryovial box 15: H5</t>
  </si>
  <si>
    <t>TXS01476</t>
  </si>
  <si>
    <t>Cryovial box 15: H6</t>
  </si>
  <si>
    <t>TXS01477</t>
  </si>
  <si>
    <t>Cryovial box 15: H7</t>
  </si>
  <si>
    <t>TXS01478</t>
  </si>
  <si>
    <t>Cryovial box 15: H8</t>
  </si>
  <si>
    <t>TXS01479</t>
  </si>
  <si>
    <t>Cryovial box 15: H9</t>
  </si>
  <si>
    <t>TXS01480</t>
  </si>
  <si>
    <t>Cryovial box 15: H10</t>
  </si>
  <si>
    <t>TXS01481</t>
  </si>
  <si>
    <t>Cryovial box 15: I1</t>
  </si>
  <si>
    <t>TXS01482</t>
  </si>
  <si>
    <t>Cryovial box 15: I2</t>
  </si>
  <si>
    <t>TXS01483</t>
  </si>
  <si>
    <t>Cryovial box 15: I3</t>
  </si>
  <si>
    <t>TXS01484</t>
  </si>
  <si>
    <t>Cryovial box 15: I4</t>
  </si>
  <si>
    <t>TXS01485</t>
  </si>
  <si>
    <t>Cryovial box 15: I5</t>
  </si>
  <si>
    <t>TXS01486</t>
  </si>
  <si>
    <t>Cryovial box 15: I6</t>
  </si>
  <si>
    <t>TXS01487</t>
  </si>
  <si>
    <t>Cryovial box 15: I7</t>
  </si>
  <si>
    <t>TXS01488</t>
  </si>
  <si>
    <t>Cryovial box 15: I8</t>
  </si>
  <si>
    <t>TXS01489</t>
  </si>
  <si>
    <t>Cryovial box 15: I9</t>
  </si>
  <si>
    <t>TXS01490</t>
  </si>
  <si>
    <t>Cryovial box 15: I10</t>
  </si>
  <si>
    <t>TXS01491</t>
  </si>
  <si>
    <t>Cryovial box 15: J1</t>
  </si>
  <si>
    <t>TXS01492</t>
  </si>
  <si>
    <t>Cryovial box 15: J2</t>
  </si>
  <si>
    <t>TXS01493</t>
  </si>
  <si>
    <t>Cryovial box 15: J3</t>
  </si>
  <si>
    <t>TXS01494</t>
  </si>
  <si>
    <t>Cryovial box 15: J4</t>
  </si>
  <si>
    <t>TXS01495</t>
  </si>
  <si>
    <t>Cryovial box 15: J5</t>
  </si>
  <si>
    <t>TXS01496</t>
  </si>
  <si>
    <t>Cryovial box 15: J6</t>
  </si>
  <si>
    <t>TXS01497</t>
  </si>
  <si>
    <t>Cryovial box 15: J7</t>
  </si>
  <si>
    <t>TXS01498</t>
  </si>
  <si>
    <t>Cryovial box 15: J8</t>
  </si>
  <si>
    <t>TXS01499</t>
  </si>
  <si>
    <t>Cryovial box 15: J9</t>
  </si>
  <si>
    <t>TXS01500</t>
  </si>
  <si>
    <t>Cryovial box 15: J10</t>
  </si>
  <si>
    <t>TXS01501</t>
  </si>
  <si>
    <t>Cryovial box 16: A1</t>
  </si>
  <si>
    <t>TXS01502</t>
  </si>
  <si>
    <t>Cryovial box 16: A2</t>
  </si>
  <si>
    <t>TXS01503</t>
  </si>
  <si>
    <t>Cryovial box 16: A3</t>
  </si>
  <si>
    <t>TXS01504</t>
  </si>
  <si>
    <t>Cryovial box 16: A4</t>
  </si>
  <si>
    <t>TXS01505</t>
  </si>
  <si>
    <t>Cryovial box 16: A5</t>
  </si>
  <si>
    <t>TXS01506</t>
  </si>
  <si>
    <t>Cryovial box 16: A6</t>
  </si>
  <si>
    <t>TXS01507</t>
  </si>
  <si>
    <t>Cryovial box 16: A7</t>
  </si>
  <si>
    <t>TXS01508</t>
  </si>
  <si>
    <t>Cryovial box 16: A8</t>
  </si>
  <si>
    <t>TXS01509</t>
  </si>
  <si>
    <t>Cryovial box 16: A9</t>
  </si>
  <si>
    <t>TXS01510</t>
  </si>
  <si>
    <t>Cryovial box 16: A10</t>
  </si>
  <si>
    <t>TXS01511</t>
  </si>
  <si>
    <t>Cryovial box 16: B1</t>
  </si>
  <si>
    <t>TXS01512</t>
  </si>
  <si>
    <t>Cryovial box 16: B2</t>
  </si>
  <si>
    <t>TXS01513</t>
  </si>
  <si>
    <t>Cryovial box 16: B3</t>
  </si>
  <si>
    <t>TXS01514</t>
  </si>
  <si>
    <t>Cryovial box 16: B4</t>
  </si>
  <si>
    <t>TXS01515</t>
  </si>
  <si>
    <t>Cryovial box 16: B5</t>
  </si>
  <si>
    <t>TXS01516</t>
  </si>
  <si>
    <t>Cryovial box 16: B6</t>
  </si>
  <si>
    <t>TXS01517</t>
  </si>
  <si>
    <t>Cryovial box 16: B7</t>
  </si>
  <si>
    <t>TXS01518</t>
  </si>
  <si>
    <t>Cryovial box 16: B8</t>
  </si>
  <si>
    <t>TXS01519</t>
  </si>
  <si>
    <t>Cryovial box 16: B9</t>
  </si>
  <si>
    <t>TXS01520</t>
  </si>
  <si>
    <t>Cryovial box 16: B10</t>
  </si>
  <si>
    <t>TXS01521</t>
  </si>
  <si>
    <t>Cryovial box 16: C1</t>
  </si>
  <si>
    <t>TXS01522</t>
  </si>
  <si>
    <t>Cryovial box 16: C2</t>
  </si>
  <si>
    <t>TXS01523</t>
  </si>
  <si>
    <t>Cryovial box 16: C3</t>
  </si>
  <si>
    <t>TXS01524</t>
  </si>
  <si>
    <t>Cryovial box 16: C4</t>
  </si>
  <si>
    <t>TXS01525</t>
  </si>
  <si>
    <t>Cryovial box 16: C5</t>
  </si>
  <si>
    <t>TXS01526</t>
  </si>
  <si>
    <t>Cryovial box 16: C6</t>
  </si>
  <si>
    <t>TXS01527</t>
  </si>
  <si>
    <t>Cryovial box 16: C7</t>
  </si>
  <si>
    <t>TXS01528</t>
  </si>
  <si>
    <t>Cryovial box 16: C8</t>
  </si>
  <si>
    <t>TXS01529</t>
  </si>
  <si>
    <t>Cryovial box 16: C9</t>
  </si>
  <si>
    <t>TXS01530</t>
  </si>
  <si>
    <t>Cryovial box 16: C10</t>
  </si>
  <si>
    <t>TXS01531</t>
  </si>
  <si>
    <t>Cryovial box 16: D1</t>
  </si>
  <si>
    <t>TXS01532</t>
  </si>
  <si>
    <t>Cryovial box 16: D2</t>
  </si>
  <si>
    <t>TXS01533</t>
  </si>
  <si>
    <t>Cryovial box 16: D3</t>
  </si>
  <si>
    <t>TXS01534</t>
  </si>
  <si>
    <t>Cryovial box 16: D4</t>
  </si>
  <si>
    <t>TXS01535</t>
  </si>
  <si>
    <t>Cryovial box 16: D5</t>
  </si>
  <si>
    <t>TXS01536</t>
  </si>
  <si>
    <t>Cryovial box 16: D6</t>
  </si>
  <si>
    <t>TXS01537</t>
  </si>
  <si>
    <t>Cryovial box 16: D7</t>
  </si>
  <si>
    <t>TXS01538</t>
  </si>
  <si>
    <t>Cryovial box 16: D8</t>
  </si>
  <si>
    <t>TXS01539</t>
  </si>
  <si>
    <t>Cryovial box 16: D9</t>
  </si>
  <si>
    <t>TXS01540</t>
  </si>
  <si>
    <t>Cryovial box 16: D10</t>
  </si>
  <si>
    <t>TXS01541</t>
  </si>
  <si>
    <t>Cryovial box 16: E1</t>
  </si>
  <si>
    <t>TXS01542</t>
  </si>
  <si>
    <t>Cryovial box 16: E2</t>
  </si>
  <si>
    <t>TXS01543</t>
  </si>
  <si>
    <t>Cryovial box 16: E3</t>
  </si>
  <si>
    <t>TXS01544</t>
  </si>
  <si>
    <t>Cryovial box 16: E4</t>
  </si>
  <si>
    <t>TXS01545</t>
  </si>
  <si>
    <t>Cryovial box 16: E5</t>
  </si>
  <si>
    <t>TXS01546</t>
  </si>
  <si>
    <t>Cryovial box 16: E6</t>
  </si>
  <si>
    <t>TXS01547</t>
  </si>
  <si>
    <t>Cryovial box 16: E7</t>
  </si>
  <si>
    <t>TXS01548</t>
  </si>
  <si>
    <t>Cryovial box 16: E8</t>
  </si>
  <si>
    <t>TXS01549</t>
  </si>
  <si>
    <t>Cryovial box 16: E9</t>
  </si>
  <si>
    <t>TXS01550</t>
  </si>
  <si>
    <t>Cryovial box 16: E10</t>
  </si>
  <si>
    <t>TXS01551</t>
  </si>
  <si>
    <t>Cryovial box 16: F1</t>
  </si>
  <si>
    <t>TXS01552</t>
  </si>
  <si>
    <t>Cryovial box 16: F2</t>
  </si>
  <si>
    <t>TXS01553</t>
  </si>
  <si>
    <t>Cryovial box 16: F3</t>
  </si>
  <si>
    <t>TXS01554</t>
  </si>
  <si>
    <t>Cryovial box 16: F4</t>
  </si>
  <si>
    <t>TXS01555</t>
  </si>
  <si>
    <t>Cryovial box 16: F5</t>
  </si>
  <si>
    <t>TXS01556</t>
  </si>
  <si>
    <t>Cryovial box 16: F6</t>
  </si>
  <si>
    <t>TXS01557</t>
  </si>
  <si>
    <t>Cryovial box 16: F7</t>
  </si>
  <si>
    <t>TXS01558</t>
  </si>
  <si>
    <t>Cryovial box 16: F8</t>
  </si>
  <si>
    <t>TXS01559</t>
  </si>
  <si>
    <t>Cryovial box 16: F9</t>
  </si>
  <si>
    <t>TXS01560</t>
  </si>
  <si>
    <t>Cryovial box 16: F10</t>
  </si>
  <si>
    <t>TXS01561</t>
  </si>
  <si>
    <t>Cryovial box 16: G1</t>
  </si>
  <si>
    <t>TXS01562</t>
  </si>
  <si>
    <t>Cryovial box 16: G2</t>
  </si>
  <si>
    <t>TXS01563</t>
  </si>
  <si>
    <t>Cryovial box 16: G3</t>
  </si>
  <si>
    <t>TXS01564</t>
  </si>
  <si>
    <t>Cryovial box 16: G4</t>
  </si>
  <si>
    <t>TXS01565</t>
  </si>
  <si>
    <t>Cryovial box 16: G5</t>
  </si>
  <si>
    <t>TXS01566</t>
  </si>
  <si>
    <t>Cryovial box 16: G6</t>
  </si>
  <si>
    <t>TXS01567</t>
  </si>
  <si>
    <t>Cryovial box 16: G7</t>
  </si>
  <si>
    <t>TXS01568</t>
  </si>
  <si>
    <t>Cryovial box 16: G8</t>
  </si>
  <si>
    <t>TXS01569</t>
  </si>
  <si>
    <t>Cryovial box 16: G9</t>
  </si>
  <si>
    <t>TXS01570</t>
  </si>
  <si>
    <t>Cryovial box 16: G10</t>
  </si>
  <si>
    <t>TXS01571</t>
  </si>
  <si>
    <t>Cryovial box 16: H1</t>
  </si>
  <si>
    <t>TXS01572</t>
  </si>
  <si>
    <t>Cryovial box 16: H2</t>
  </si>
  <si>
    <t>TXS01573</t>
  </si>
  <si>
    <t>Cryovial box 16: H3</t>
  </si>
  <si>
    <t>TXS01574</t>
  </si>
  <si>
    <t>Cryovial box 16: H4</t>
  </si>
  <si>
    <t>TXS01575</t>
  </si>
  <si>
    <t>Cryovial box 16: H5</t>
  </si>
  <si>
    <t>TXS01576</t>
  </si>
  <si>
    <t>Cryovial box 16: H6</t>
  </si>
  <si>
    <t>TXS01577</t>
  </si>
  <si>
    <t>Cryovial box 16: H7</t>
  </si>
  <si>
    <t>TXS01578</t>
  </si>
  <si>
    <t>Cryovial box 16: H8</t>
  </si>
  <si>
    <t>TXS01579</t>
  </si>
  <si>
    <t>Cryovial box 16: H9</t>
  </si>
  <si>
    <t>TXS01580</t>
  </si>
  <si>
    <t>Cryovial box 16: H10</t>
  </si>
  <si>
    <t>TXS01581</t>
  </si>
  <si>
    <t>Cryovial box 16: I1</t>
  </si>
  <si>
    <t>TXS01582</t>
  </si>
  <si>
    <t>Cryovial box 16: I2</t>
  </si>
  <si>
    <t>TXS01583</t>
  </si>
  <si>
    <t>Cryovial box 16: I3</t>
  </si>
  <si>
    <t>TXS01584</t>
  </si>
  <si>
    <t>Cryovial box 16: I4</t>
  </si>
  <si>
    <t>TXS01585</t>
  </si>
  <si>
    <t>Cryovial box 16: I5</t>
  </si>
  <si>
    <t>TXS01586</t>
  </si>
  <si>
    <t>Cryovial box 16: I6</t>
  </si>
  <si>
    <t>TXS01587</t>
  </si>
  <si>
    <t>Cryovial box 16: I7</t>
  </si>
  <si>
    <t>TXS01588</t>
  </si>
  <si>
    <t>Cryovial box 16: I8</t>
  </si>
  <si>
    <t>TXS01589</t>
  </si>
  <si>
    <t>Cryovial box 16: I9</t>
  </si>
  <si>
    <t>TXS01590</t>
  </si>
  <si>
    <t>Cryovial box 16: I10</t>
  </si>
  <si>
    <t>TXS01591</t>
  </si>
  <si>
    <t>Cryovial box 16: J1</t>
  </si>
  <si>
    <t>TXS01592</t>
  </si>
  <si>
    <t>Cryovial box 16: J2</t>
  </si>
  <si>
    <t>TXS01593</t>
  </si>
  <si>
    <t>Cryovial box 16: J3</t>
  </si>
  <si>
    <t>TXS01594</t>
  </si>
  <si>
    <t>Cryovial box 16: J4</t>
  </si>
  <si>
    <t>TXS01595</t>
  </si>
  <si>
    <t>Cryovial box 16: J5</t>
  </si>
  <si>
    <t>TXS01596</t>
  </si>
  <si>
    <t>Cryovial box 16: J6</t>
  </si>
  <si>
    <t>TXS01597</t>
  </si>
  <si>
    <t>Cryovial box 16: J7</t>
  </si>
  <si>
    <t>TXS01598</t>
  </si>
  <si>
    <t>Cryovial box 16: J8</t>
  </si>
  <si>
    <t>TXS01599</t>
  </si>
  <si>
    <t>Cryovial box 16: J9</t>
  </si>
  <si>
    <t>TXS01600</t>
  </si>
  <si>
    <t>Cryovial box 16: J10</t>
  </si>
  <si>
    <t>TXS01601</t>
  </si>
  <si>
    <t>Cryovial box 17: A1</t>
  </si>
  <si>
    <t>TXS01602</t>
  </si>
  <si>
    <t>Cryovial box 17: A2</t>
  </si>
  <si>
    <t>TXS01603</t>
  </si>
  <si>
    <t>Cryovial box 17: A3</t>
  </si>
  <si>
    <t>TXS01604</t>
  </si>
  <si>
    <t>Cryovial box 17: A4</t>
  </si>
  <si>
    <t>TXS01605</t>
  </si>
  <si>
    <t>Cryovial box 17: A5</t>
  </si>
  <si>
    <t>TXS01606</t>
  </si>
  <si>
    <t>Cryovial box 17: A6</t>
  </si>
  <si>
    <t>TXS01607</t>
  </si>
  <si>
    <t>Cryovial box 17: A7</t>
  </si>
  <si>
    <t>TXS01608</t>
  </si>
  <si>
    <t>Cryovial box 17: A8</t>
  </si>
  <si>
    <t>TXS01609</t>
  </si>
  <si>
    <t>Cryovial box 17: A9</t>
  </si>
  <si>
    <t>TXS01610</t>
  </si>
  <si>
    <t>Cryovial box 17: A10</t>
  </si>
  <si>
    <t>TXS01611</t>
  </si>
  <si>
    <t>Cryovial box 17: B1</t>
  </si>
  <si>
    <t>TXS01612</t>
  </si>
  <si>
    <t>Cryovial box 17: B2</t>
  </si>
  <si>
    <t>TXS01613</t>
  </si>
  <si>
    <t>Cryovial box 17: B3</t>
  </si>
  <si>
    <t>TXS01614</t>
  </si>
  <si>
    <t>Cryovial box 17: B4</t>
  </si>
  <si>
    <t>TXS01615</t>
  </si>
  <si>
    <t>Cryovial box 17: B5</t>
  </si>
  <si>
    <t>TXS01616</t>
  </si>
  <si>
    <t>Cryovial box 17: B6</t>
  </si>
  <si>
    <t>TXS01617</t>
  </si>
  <si>
    <t>Cryovial box 17: B7</t>
  </si>
  <si>
    <t>TXS01618</t>
  </si>
  <si>
    <t>Cryovial box 17: B8</t>
  </si>
  <si>
    <t>TXS01619</t>
  </si>
  <si>
    <t>Cryovial box 17: B9</t>
  </si>
  <si>
    <t>TXS01620</t>
  </si>
  <si>
    <t>Cryovial box 17: B10</t>
  </si>
  <si>
    <t>TXS01621</t>
  </si>
  <si>
    <t>Cryovial box 17: C1</t>
  </si>
  <si>
    <t>TXS01622</t>
  </si>
  <si>
    <t>Cryovial box 17: C2</t>
  </si>
  <si>
    <t>TXS01623</t>
  </si>
  <si>
    <t>Cryovial box 17: C3</t>
  </si>
  <si>
    <t>TXS01624</t>
  </si>
  <si>
    <t>Cryovial box 17: C4</t>
  </si>
  <si>
    <t>TXS01625</t>
  </si>
  <si>
    <t>Cryovial box 17: C5</t>
  </si>
  <si>
    <t>TXS01626</t>
  </si>
  <si>
    <t>Cryovial box 17: C6</t>
  </si>
  <si>
    <t>TXS01627</t>
  </si>
  <si>
    <t>Cryovial box 17: C7</t>
  </si>
  <si>
    <t>TXS01628</t>
  </si>
  <si>
    <t>Cryovial box 17: C8</t>
  </si>
  <si>
    <t>TXS01629</t>
  </si>
  <si>
    <t>Cryovial box 17: C9</t>
  </si>
  <si>
    <t>TXS01630</t>
  </si>
  <si>
    <t>Cryovial box 17: C10</t>
  </si>
  <si>
    <t>TXS01631</t>
  </si>
  <si>
    <t>Cryovial box 17: D1</t>
  </si>
  <si>
    <t>TXS01632</t>
  </si>
  <si>
    <t>Cryovial box 17: D2</t>
  </si>
  <si>
    <t>TXS01633</t>
  </si>
  <si>
    <t>Cryovial box 17: D3</t>
  </si>
  <si>
    <t>TXS01634</t>
  </si>
  <si>
    <t>Cryovial box 17: D4</t>
  </si>
  <si>
    <t>TXS01635</t>
  </si>
  <si>
    <t>Cryovial box 17: D5</t>
  </si>
  <si>
    <t>TXS01636</t>
  </si>
  <si>
    <t>Cryovial box 17: D6</t>
  </si>
  <si>
    <t>TXS01637</t>
  </si>
  <si>
    <t>Cryovial box 17: D7</t>
  </si>
  <si>
    <t>TXS01638</t>
  </si>
  <si>
    <t>Cryovial box 17: D8</t>
  </si>
  <si>
    <t>TXS01639</t>
  </si>
  <si>
    <t>Cryovial box 17: D9</t>
  </si>
  <si>
    <t>TXS01640</t>
  </si>
  <si>
    <t>Cryovial box 17: D10</t>
  </si>
  <si>
    <t>TXS01641</t>
  </si>
  <si>
    <t>Cryovial box 17: E1</t>
  </si>
  <si>
    <t>TXS01642</t>
  </si>
  <si>
    <t>Cryovial box 17: E2</t>
  </si>
  <si>
    <t>TXS01643</t>
  </si>
  <si>
    <t>Cryovial box 17: E3</t>
  </si>
  <si>
    <t>TXS01644</t>
  </si>
  <si>
    <t>Cryovial box 17: E4</t>
  </si>
  <si>
    <t>TXS01645</t>
  </si>
  <si>
    <t>Cryovial box 17: E5</t>
  </si>
  <si>
    <t>TXS01646</t>
  </si>
  <si>
    <t>Cryovial box 17: E6</t>
  </si>
  <si>
    <t>TXS01647</t>
  </si>
  <si>
    <t>Cryovial box 17: E7</t>
  </si>
  <si>
    <t>TXS01648</t>
  </si>
  <si>
    <t>Cryovial box 17: E8</t>
  </si>
  <si>
    <t>TXS01649</t>
  </si>
  <si>
    <t>Cryovial box 17: E9</t>
  </si>
  <si>
    <t>TXS01650</t>
  </si>
  <si>
    <t>Cryovial box 17: E10</t>
  </si>
  <si>
    <t>TXS01651</t>
  </si>
  <si>
    <t>Cryovial box 17: F1</t>
  </si>
  <si>
    <t>TXS01652</t>
  </si>
  <si>
    <t>Cryovial box 17: F2</t>
  </si>
  <si>
    <t>TXS01653</t>
  </si>
  <si>
    <t>Cryovial box 17: F3</t>
  </si>
  <si>
    <t>TXS01654</t>
  </si>
  <si>
    <t>Cryovial box 17: F4</t>
  </si>
  <si>
    <t>TXS01655</t>
  </si>
  <si>
    <t>Cryovial box 17: F5</t>
  </si>
  <si>
    <t>TXS01656</t>
  </si>
  <si>
    <t>Cryovial box 17: F6</t>
  </si>
  <si>
    <t>TXS01657</t>
  </si>
  <si>
    <t>Cryovial box 17: F7</t>
  </si>
  <si>
    <t>TXS01658</t>
  </si>
  <si>
    <t>Cryovial box 17: F8</t>
  </si>
  <si>
    <t>TXS01659</t>
  </si>
  <si>
    <t>Cryovial box 17: F9</t>
  </si>
  <si>
    <t>TXS01660</t>
  </si>
  <si>
    <t>Cryovial box 17: F10</t>
  </si>
  <si>
    <t>TXS01661</t>
  </si>
  <si>
    <t>Cryovial box 17: G1</t>
  </si>
  <si>
    <t>TXS01662</t>
  </si>
  <si>
    <t>Cryovial box 17: G2</t>
  </si>
  <si>
    <t>TXS01663</t>
  </si>
  <si>
    <t>Cryovial box 17: G3</t>
  </si>
  <si>
    <t>TXS01664</t>
  </si>
  <si>
    <t>Cryovial box 17: G4</t>
  </si>
  <si>
    <t>TXS01665</t>
  </si>
  <si>
    <t>Cryovial box 17: G5</t>
  </si>
  <si>
    <t>TXS01666</t>
  </si>
  <si>
    <t>Cryovial box 17: G6</t>
  </si>
  <si>
    <t>TXS01667</t>
  </si>
  <si>
    <t>Cryovial box 17: G7</t>
  </si>
  <si>
    <t>TXS01668</t>
  </si>
  <si>
    <t>Cryovial box 17: G8</t>
  </si>
  <si>
    <t>TXS01669</t>
  </si>
  <si>
    <t>Cryovial box 17: G9</t>
  </si>
  <si>
    <t>TXS01670</t>
  </si>
  <si>
    <t>Cryovial box 17: G10</t>
  </si>
  <si>
    <t>TXS01671</t>
  </si>
  <si>
    <t>Cryovial box 17: H1</t>
  </si>
  <si>
    <t>TXS01672</t>
  </si>
  <si>
    <t>Cryovial box 17: H2</t>
  </si>
  <si>
    <t>TXS01673</t>
  </si>
  <si>
    <t>Cryovial box 17: H3</t>
  </si>
  <si>
    <t>TXS01674</t>
  </si>
  <si>
    <t>Cryovial box 17: H4</t>
  </si>
  <si>
    <t>TXS01675</t>
  </si>
  <si>
    <t>Cryovial box 17: H5</t>
  </si>
  <si>
    <t>TXS01676</t>
  </si>
  <si>
    <t>Cryovial box 17: H6</t>
  </si>
  <si>
    <t>TXS01677</t>
  </si>
  <si>
    <t>Cryovial box 17: H7</t>
  </si>
  <si>
    <t>TXS01678</t>
  </si>
  <si>
    <t>Cryovial box 17: H8</t>
  </si>
  <si>
    <t>TXS01679</t>
  </si>
  <si>
    <t>Cryovial box 17: H9</t>
  </si>
  <si>
    <t>TXS01680</t>
  </si>
  <si>
    <t>Cryovial box 17: H10</t>
  </si>
  <si>
    <t>TXS01681</t>
  </si>
  <si>
    <t>Cryovial box 17: I1</t>
  </si>
  <si>
    <t>TXS01682</t>
  </si>
  <si>
    <t>Cryovial box 17: I2</t>
  </si>
  <si>
    <t>TXS01683</t>
  </si>
  <si>
    <t>Cryovial box 17: I3</t>
  </si>
  <si>
    <t>TXS01684</t>
  </si>
  <si>
    <t>Cryovial box 17: I4</t>
  </si>
  <si>
    <t>TXS01685</t>
  </si>
  <si>
    <t>Cryovial box 17: I5</t>
  </si>
  <si>
    <t>TXS01686</t>
  </si>
  <si>
    <t>Cryovial box 17: I6</t>
  </si>
  <si>
    <t>TXS01687</t>
  </si>
  <si>
    <t>Cryovial box 17: I7</t>
  </si>
  <si>
    <t>TXS01688</t>
  </si>
  <si>
    <t>Cryovial box 17: I8</t>
  </si>
  <si>
    <t>TXS01689</t>
  </si>
  <si>
    <t>Cryovial box 17: I9</t>
  </si>
  <si>
    <t>TXS01690</t>
  </si>
  <si>
    <t>Cryovial box 17: I10</t>
  </si>
  <si>
    <t>TXS01691</t>
  </si>
  <si>
    <t>Cryovial box 17: J1</t>
  </si>
  <si>
    <t>TXS01692</t>
  </si>
  <si>
    <t>Cryovial box 17: J2</t>
  </si>
  <si>
    <t>TXS01693</t>
  </si>
  <si>
    <t>Cryovial box 17: J3</t>
  </si>
  <si>
    <t>TXS01694</t>
  </si>
  <si>
    <t>Cryovial box 17: J4</t>
  </si>
  <si>
    <t>TXS01695</t>
  </si>
  <si>
    <t>Cryovial box 17: J5</t>
  </si>
  <si>
    <t>TXS01696</t>
  </si>
  <si>
    <t>Cryovial box 17: J6</t>
  </si>
  <si>
    <t>TXS01697</t>
  </si>
  <si>
    <t>Cryovial box 17: J7</t>
  </si>
  <si>
    <t>TXS01698</t>
  </si>
  <si>
    <t>Cryovial box 17: J8</t>
  </si>
  <si>
    <t>TXS01699</t>
  </si>
  <si>
    <t>Cryovial box 17: J9</t>
  </si>
  <si>
    <t>TXS01700</t>
  </si>
  <si>
    <t>Cryovial box 17: J10</t>
  </si>
  <si>
    <t>TXS01701</t>
  </si>
  <si>
    <t>Cryovial box 18: A1</t>
  </si>
  <si>
    <t>TXS01702</t>
  </si>
  <si>
    <t>Cryovial box 18: A2</t>
  </si>
  <si>
    <t>TXS01703</t>
  </si>
  <si>
    <t>Cryovial box 18: A3</t>
  </si>
  <si>
    <t>TXS01704</t>
  </si>
  <si>
    <t>Cryovial box 18: A4</t>
  </si>
  <si>
    <t>TXS01705</t>
  </si>
  <si>
    <t>Cryovial box 18: A5</t>
  </si>
  <si>
    <t>TXS01706</t>
  </si>
  <si>
    <t>Cryovial box 18: A6</t>
  </si>
  <si>
    <t>TXS01707</t>
  </si>
  <si>
    <t>Cryovial box 18: A7</t>
  </si>
  <si>
    <t>TXS01708</t>
  </si>
  <si>
    <t>Cryovial box 18: A8</t>
  </si>
  <si>
    <t>TXS01709</t>
  </si>
  <si>
    <t>Cryovial box 18: A9</t>
  </si>
  <si>
    <t>TXS01710</t>
  </si>
  <si>
    <t>Cryovial box 18: A10</t>
  </si>
  <si>
    <t>TXS01711</t>
  </si>
  <si>
    <t>Cryovial box 18: B1</t>
  </si>
  <si>
    <t>TXS01712</t>
  </si>
  <si>
    <t>Cryovial box 18: B2</t>
  </si>
  <si>
    <t>TXS01713</t>
  </si>
  <si>
    <t>Cryovial box 18: B3</t>
  </si>
  <si>
    <t>TXS01714</t>
  </si>
  <si>
    <t>Cryovial box 18: B4</t>
  </si>
  <si>
    <t>TXS01715</t>
  </si>
  <si>
    <t>Cryovial box 18: B5</t>
  </si>
  <si>
    <t>TXS01716</t>
  </si>
  <si>
    <t>Cryovial box 18: B6</t>
  </si>
  <si>
    <t>TXS01717</t>
  </si>
  <si>
    <t>Cryovial box 18: B7</t>
  </si>
  <si>
    <t>TXS01718</t>
  </si>
  <si>
    <t>Cryovial box 18: B8</t>
  </si>
  <si>
    <t>TXS01719</t>
  </si>
  <si>
    <t>Cryovial box 18: B9</t>
  </si>
  <si>
    <t>TXS01720</t>
  </si>
  <si>
    <t>Cryovial box 18: B10</t>
  </si>
  <si>
    <t>TXS01721</t>
  </si>
  <si>
    <t>Cryovial box 18: C1</t>
  </si>
  <si>
    <t>TXS01722</t>
  </si>
  <si>
    <t>Cryovial box 18: C2</t>
  </si>
  <si>
    <t>TXS01723</t>
  </si>
  <si>
    <t>Cryovial box 18: C3</t>
  </si>
  <si>
    <t>TXS01724</t>
  </si>
  <si>
    <t>Cryovial box 18: C4</t>
  </si>
  <si>
    <t>TXS01725</t>
  </si>
  <si>
    <t>Cryovial box 18: C5</t>
  </si>
  <si>
    <t>TXS01726</t>
  </si>
  <si>
    <t>Cryovial box 18: C6</t>
  </si>
  <si>
    <t>TXS01727</t>
  </si>
  <si>
    <t>Cryovial box 18: C7</t>
  </si>
  <si>
    <t>TXS01728</t>
  </si>
  <si>
    <t>Cryovial box 18: C8</t>
  </si>
  <si>
    <t>TXS01729</t>
  </si>
  <si>
    <t>Cryovial box 18: C9</t>
  </si>
  <si>
    <t>TXS01730</t>
  </si>
  <si>
    <t>Cryovial box 18: C10</t>
  </si>
  <si>
    <t>TXS01731</t>
  </si>
  <si>
    <t>Cryovial box 18: D1</t>
  </si>
  <si>
    <t>TXS01732</t>
  </si>
  <si>
    <t>Cryovial box 18: D2</t>
  </si>
  <si>
    <t>TXS01733</t>
  </si>
  <si>
    <t>Cryovial box 18: D3</t>
  </si>
  <si>
    <t>TXS01734</t>
  </si>
  <si>
    <t>Cryovial box 18: D4</t>
  </si>
  <si>
    <t>TXS01735</t>
  </si>
  <si>
    <t>Cryovial box 18: D5</t>
  </si>
  <si>
    <t>TXS01736</t>
  </si>
  <si>
    <t>Cryovial box 18: D6</t>
  </si>
  <si>
    <t>TXS01737</t>
  </si>
  <si>
    <t>Cryovial box 18: D7</t>
  </si>
  <si>
    <t>TXS01738</t>
  </si>
  <si>
    <t>Cryovial box 18: D8</t>
  </si>
  <si>
    <t>TXS01739</t>
  </si>
  <si>
    <t>Cryovial box 18: D9</t>
  </si>
  <si>
    <t>TXS01740</t>
  </si>
  <si>
    <t>Cryovial box 18: D10</t>
  </si>
  <si>
    <t>TXS01741</t>
  </si>
  <si>
    <t>Cryovial box 18: E1</t>
  </si>
  <si>
    <t>TXS01742</t>
  </si>
  <si>
    <t>Cryovial box 18: E2</t>
  </si>
  <si>
    <t>TXS01743</t>
  </si>
  <si>
    <t>Cryovial box 18: E3</t>
  </si>
  <si>
    <t>TXS01744</t>
  </si>
  <si>
    <t>Cryovial box 18: E4</t>
  </si>
  <si>
    <t>TXS01745</t>
  </si>
  <si>
    <t>Cryovial box 18: E5</t>
  </si>
  <si>
    <t>TXS01746</t>
  </si>
  <si>
    <t>Cryovial box 18: E6</t>
  </si>
  <si>
    <t>TXS01747</t>
  </si>
  <si>
    <t>Cryovial box 18: E7</t>
  </si>
  <si>
    <t>TXS01748</t>
  </si>
  <si>
    <t>Cryovial box 18: E8</t>
  </si>
  <si>
    <t>TXS01749</t>
  </si>
  <si>
    <t>Cryovial box 18: E9</t>
  </si>
  <si>
    <t>TXS01750</t>
  </si>
  <si>
    <t>Cryovial box 18: E10</t>
  </si>
  <si>
    <t>TXS01751</t>
  </si>
  <si>
    <t>Cryovial box 18: F1</t>
  </si>
  <si>
    <t>TXS01752</t>
  </si>
  <si>
    <t>Cryovial box 18: F2</t>
  </si>
  <si>
    <t>TXS01753</t>
  </si>
  <si>
    <t>Cryovial box 18: F3</t>
  </si>
  <si>
    <t>TXS01754</t>
  </si>
  <si>
    <t>Cryovial box 18: F4</t>
  </si>
  <si>
    <t>TXS01755</t>
  </si>
  <si>
    <t>Cryovial box 18: F5</t>
  </si>
  <si>
    <t>TXS01756</t>
  </si>
  <si>
    <t>Cryovial box 18: F6</t>
  </si>
  <si>
    <t>TXS01757</t>
  </si>
  <si>
    <t>Cryovial box 18: F7</t>
  </si>
  <si>
    <t>TXS01758</t>
  </si>
  <si>
    <t>Cryovial box 18: F8</t>
  </si>
  <si>
    <t>TXS01759</t>
  </si>
  <si>
    <t>Cryovial box 18: F9</t>
  </si>
  <si>
    <t>TXS01760</t>
  </si>
  <si>
    <t>Cryovial box 18: F10</t>
  </si>
  <si>
    <t>TXS01761</t>
  </si>
  <si>
    <t>Cryovial box 18: G1</t>
  </si>
  <si>
    <t>TXS01762</t>
  </si>
  <si>
    <t>Cryovial box 18: G2</t>
  </si>
  <si>
    <t>TXS01763</t>
  </si>
  <si>
    <t>Cryovial box 18: G3</t>
  </si>
  <si>
    <t>TXS01764</t>
  </si>
  <si>
    <t>Cryovial box 18: G4</t>
  </si>
  <si>
    <t>TXS01765</t>
  </si>
  <si>
    <t>Cryovial box 18: G5</t>
  </si>
  <si>
    <t>TXS01766</t>
  </si>
  <si>
    <t>Cryovial box 18: G6</t>
  </si>
  <si>
    <t>TXS01767</t>
  </si>
  <si>
    <t>Cryovial box 18: G7</t>
  </si>
  <si>
    <t>TXS01768</t>
  </si>
  <si>
    <t>Cryovial box 18: G8</t>
  </si>
  <si>
    <t>TXS01769</t>
  </si>
  <si>
    <t>Cryovial box 18: G9</t>
  </si>
  <si>
    <t>TXS01770</t>
  </si>
  <si>
    <t>Cryovial box 18: G10</t>
  </si>
  <si>
    <t>TXS01771</t>
  </si>
  <si>
    <t>Cryovial box 18: H1</t>
  </si>
  <si>
    <t>TXS01772</t>
  </si>
  <si>
    <t>Cryovial box 18: H2</t>
  </si>
  <si>
    <t>TXS01773</t>
  </si>
  <si>
    <t>Cryovial box 18: H3</t>
  </si>
  <si>
    <t>TXS01774</t>
  </si>
  <si>
    <t>Cryovial box 18: H4</t>
  </si>
  <si>
    <t>TXS01775</t>
  </si>
  <si>
    <t>Cryovial box 18: H5</t>
  </si>
  <si>
    <t>TXS01776</t>
  </si>
  <si>
    <t>Cryovial box 18: H6</t>
  </si>
  <si>
    <t>TXS01777</t>
  </si>
  <si>
    <t>Cryovial box 18: H7</t>
  </si>
  <si>
    <t>TXS01778</t>
  </si>
  <si>
    <t>Cryovial box 18: H8</t>
  </si>
  <si>
    <t>TXS01779</t>
  </si>
  <si>
    <t>Cryovial box 18: H9</t>
  </si>
  <si>
    <t>TXS01780</t>
  </si>
  <si>
    <t>Cryovial box 18: H10</t>
  </si>
  <si>
    <t>TXS01781</t>
  </si>
  <si>
    <t>Cryovial box 18: I1</t>
  </si>
  <si>
    <t>TXS01782</t>
  </si>
  <si>
    <t>Cryovial box 18: I2</t>
  </si>
  <si>
    <t>TXS01783</t>
  </si>
  <si>
    <t>Cryovial box 18: I3</t>
  </si>
  <si>
    <t>TXS01784</t>
  </si>
  <si>
    <t>Cryovial box 18: I4</t>
  </si>
  <si>
    <t>TXS01785</t>
  </si>
  <si>
    <t>Cryovial box 18: I5</t>
  </si>
  <si>
    <t>TXS01786</t>
  </si>
  <si>
    <t>Cryovial box 18: I6</t>
  </si>
  <si>
    <t>TXS01787</t>
  </si>
  <si>
    <t>Cryovial box 18: I7</t>
  </si>
  <si>
    <t>TXS01788</t>
  </si>
  <si>
    <t>Cryovial box 18: I8</t>
  </si>
  <si>
    <t>TXS01789</t>
  </si>
  <si>
    <t>Cryovial box 18: I9</t>
  </si>
  <si>
    <t>TXS01790</t>
  </si>
  <si>
    <t>Cryovial box 18: I10</t>
  </si>
  <si>
    <t>TXS01791</t>
  </si>
  <si>
    <t>Cryovial box 18: J1</t>
  </si>
  <si>
    <t>TXS01792</t>
  </si>
  <si>
    <t>Cryovial box 18: J2</t>
  </si>
  <si>
    <t>TXS01793</t>
  </si>
  <si>
    <t>Cryovial box 18: J3</t>
  </si>
  <si>
    <t>TXS01794</t>
  </si>
  <si>
    <t>Cryovial box 18: J4</t>
  </si>
  <si>
    <t>TXS01795</t>
  </si>
  <si>
    <t>Cryovial box 18: J5</t>
  </si>
  <si>
    <t>TXS01796</t>
  </si>
  <si>
    <t>Cryovial box 18: J6</t>
  </si>
  <si>
    <t>TXS01797</t>
  </si>
  <si>
    <t>Cryovial box 18: J7</t>
  </si>
  <si>
    <t>TXS01798</t>
  </si>
  <si>
    <t>Cryovial box 18: J8</t>
  </si>
  <si>
    <t>TXS01799</t>
  </si>
  <si>
    <t>Cryovial box 18: J9</t>
  </si>
  <si>
    <t>TXS01800</t>
  </si>
  <si>
    <t>Cryovial box 18: J10</t>
  </si>
  <si>
    <t>TXS01801</t>
  </si>
  <si>
    <t>Cryovial box 19: A1</t>
  </si>
  <si>
    <t>TXS01802</t>
  </si>
  <si>
    <t>Cryovial box 19: A2</t>
  </si>
  <si>
    <t>TXS01803</t>
  </si>
  <si>
    <t>Cryovial box 19: A3</t>
  </si>
  <si>
    <t>TXS01804</t>
  </si>
  <si>
    <t>Cryovial box 19: A4</t>
  </si>
  <si>
    <t>TXS01805</t>
  </si>
  <si>
    <t>Cryovial box 19: A5</t>
  </si>
  <si>
    <t>TXS01806</t>
  </si>
  <si>
    <t>Cryovial box 19: A6</t>
  </si>
  <si>
    <t>TXS01807</t>
  </si>
  <si>
    <t>Cryovial box 19: A7</t>
  </si>
  <si>
    <t>TXS01808</t>
  </si>
  <si>
    <t>Cryovial box 19: A8</t>
  </si>
  <si>
    <t>TXS01809</t>
  </si>
  <si>
    <t>Cryovial box 19: A9</t>
  </si>
  <si>
    <t>TXS01810</t>
  </si>
  <si>
    <t>Cryovial box 19: A10</t>
  </si>
  <si>
    <t>TXS01811</t>
  </si>
  <si>
    <t>Cryovial box 19: B1</t>
  </si>
  <si>
    <t>TXS01812</t>
  </si>
  <si>
    <t>Cryovial box 19: B2</t>
  </si>
  <si>
    <t>TXS01813</t>
  </si>
  <si>
    <t>Cryovial box 19: B3</t>
  </si>
  <si>
    <t>TXS01814</t>
  </si>
  <si>
    <t>Cryovial box 19: B4</t>
  </si>
  <si>
    <t>TXS01815</t>
  </si>
  <si>
    <t>Cryovial box 19: B5</t>
  </si>
  <si>
    <t>TXS01816</t>
  </si>
  <si>
    <t>Cryovial box 19: B6</t>
  </si>
  <si>
    <t>TXS01817</t>
  </si>
  <si>
    <t>Cryovial box 19: B7</t>
  </si>
  <si>
    <t>TXS01818</t>
  </si>
  <si>
    <t>Cryovial box 19: B8</t>
  </si>
  <si>
    <t>TXS01819</t>
  </si>
  <si>
    <t>Cryovial box 19: B9</t>
  </si>
  <si>
    <t>TXS01820</t>
  </si>
  <si>
    <t>Cryovial box 19: B10</t>
  </si>
  <si>
    <t>TXS01821</t>
  </si>
  <si>
    <t>Cryovial box 19: C1</t>
  </si>
  <si>
    <t>TXS01822</t>
  </si>
  <si>
    <t>Cryovial box 19: C2</t>
  </si>
  <si>
    <t>TXS01823</t>
  </si>
  <si>
    <t>Cryovial box 19: C3</t>
  </si>
  <si>
    <t>TXS01824</t>
  </si>
  <si>
    <t>Cryovial box 19: C4</t>
  </si>
  <si>
    <t>TXS01825</t>
  </si>
  <si>
    <t>Cryovial box 19: C5</t>
  </si>
  <si>
    <t>TXS01826</t>
  </si>
  <si>
    <t>Cryovial box 19: C6</t>
  </si>
  <si>
    <t>TXS01827</t>
  </si>
  <si>
    <t>Cryovial box 19: C7</t>
  </si>
  <si>
    <t>TXS01828</t>
  </si>
  <si>
    <t>Cryovial box 19: C8</t>
  </si>
  <si>
    <t>TXS01829</t>
  </si>
  <si>
    <t>Cryovial box 19: C9</t>
  </si>
  <si>
    <t>TXS01830</t>
  </si>
  <si>
    <t>Cryovial box 19: C10</t>
  </si>
  <si>
    <t>TXS01831</t>
  </si>
  <si>
    <t>Cryovial box 19: D1</t>
  </si>
  <si>
    <t>TXS01832</t>
  </si>
  <si>
    <t>Cryovial box 19: D2</t>
  </si>
  <si>
    <t>TXS01833</t>
  </si>
  <si>
    <t>Cryovial box 19: D3</t>
  </si>
  <si>
    <t>TXS01834</t>
  </si>
  <si>
    <t>Cryovial box 19: D4</t>
  </si>
  <si>
    <t>TXS01835</t>
  </si>
  <si>
    <t>Cryovial box 19: D5</t>
  </si>
  <si>
    <t>TXS01836</t>
  </si>
  <si>
    <t>Cryovial box 19: D6</t>
  </si>
  <si>
    <t>TXS01837</t>
  </si>
  <si>
    <t>Cryovial box 19: D7</t>
  </si>
  <si>
    <t>TXS01838</t>
  </si>
  <si>
    <t>Cryovial box 19: D8</t>
  </si>
  <si>
    <t>TXS01839</t>
  </si>
  <si>
    <t>Cryovial box 19: D9</t>
  </si>
  <si>
    <t>TXS01840</t>
  </si>
  <si>
    <t>Cryovial box 19: D10</t>
  </si>
  <si>
    <t>TXS01841</t>
  </si>
  <si>
    <t>Cryovial box 19: E1</t>
  </si>
  <si>
    <t>TXS01842</t>
  </si>
  <si>
    <t>Cryovial box 19: E2</t>
  </si>
  <si>
    <t>TXS01843</t>
  </si>
  <si>
    <t>Cryovial box 19: E3</t>
  </si>
  <si>
    <t>TXS01844</t>
  </si>
  <si>
    <t>Cryovial box 19: E4</t>
  </si>
  <si>
    <t>TXS01845</t>
  </si>
  <si>
    <t>Cryovial box 19: E5</t>
  </si>
  <si>
    <t>TXS01846</t>
  </si>
  <si>
    <t>Cryovial box 19: E6</t>
  </si>
  <si>
    <t>TXS01847</t>
  </si>
  <si>
    <t>Cryovial box 19: E7</t>
  </si>
  <si>
    <t>TXS01848</t>
  </si>
  <si>
    <t>Cryovial box 19: E8</t>
  </si>
  <si>
    <t>TXS01849</t>
  </si>
  <si>
    <t>Cryovial box 19: E9</t>
  </si>
  <si>
    <t>TXS01850</t>
  </si>
  <si>
    <t>Cryovial box 19: E10</t>
  </si>
  <si>
    <t>TXS01851</t>
  </si>
  <si>
    <t>Cryovial box 19: F1</t>
  </si>
  <si>
    <t>TXS01852</t>
  </si>
  <si>
    <t>Cryovial box 19: F2</t>
  </si>
  <si>
    <t>TXS01853</t>
  </si>
  <si>
    <t>Cryovial box 19: F3</t>
  </si>
  <si>
    <t>TXS01854</t>
  </si>
  <si>
    <t>Cryovial box 19: F4</t>
  </si>
  <si>
    <t>TXS01855</t>
  </si>
  <si>
    <t>Cryovial box 19: F5</t>
  </si>
  <si>
    <t>TXS01856</t>
  </si>
  <si>
    <t>Cryovial box 19: F6</t>
  </si>
  <si>
    <t>TXS01857</t>
  </si>
  <si>
    <t>Cryovial box 19: F7</t>
  </si>
  <si>
    <t>TXS01858</t>
  </si>
  <si>
    <t>Cryovial box 19: F8</t>
  </si>
  <si>
    <t>TXS01859</t>
  </si>
  <si>
    <t>Cryovial box 19: F9</t>
  </si>
  <si>
    <t>TXS01860</t>
  </si>
  <si>
    <t>Cryovial box 19: F10</t>
  </si>
  <si>
    <t>TXS01861</t>
  </si>
  <si>
    <t>Cryovial box 19: G1</t>
  </si>
  <si>
    <t>TXS01862</t>
  </si>
  <si>
    <t>Cryovial box 19: G2</t>
  </si>
  <si>
    <t>TXS01863</t>
  </si>
  <si>
    <t>Cryovial box 19: G3</t>
  </si>
  <si>
    <t>TXS01864</t>
  </si>
  <si>
    <t>Cryovial box 19: G4</t>
  </si>
  <si>
    <t>TXS01865</t>
  </si>
  <si>
    <t>Cryovial box 19: G5</t>
  </si>
  <si>
    <t>TXS01866</t>
  </si>
  <si>
    <t>Cryovial box 19: G6</t>
  </si>
  <si>
    <t>TXS01867</t>
  </si>
  <si>
    <t>Cryovial box 19: G7</t>
  </si>
  <si>
    <t>TXS01868</t>
  </si>
  <si>
    <t>Cryovial box 19: G8</t>
  </si>
  <si>
    <t>TXS01869</t>
  </si>
  <si>
    <t>Cryovial box 19: G9</t>
  </si>
  <si>
    <t>TXS01870</t>
  </si>
  <si>
    <t>Cryovial box 19: G10</t>
  </si>
  <si>
    <t>TXS01871</t>
  </si>
  <si>
    <t>Cryovial box 19: H1</t>
  </si>
  <si>
    <t>TXS01872</t>
  </si>
  <si>
    <t>Cryovial box 19: H2</t>
  </si>
  <si>
    <t>TXS01873</t>
  </si>
  <si>
    <t>Cryovial box 19: H3</t>
  </si>
  <si>
    <t>TXS01874</t>
  </si>
  <si>
    <t>Cryovial box 19: H4</t>
  </si>
  <si>
    <t>TXS01875</t>
  </si>
  <si>
    <t>Cryovial box 19: H5</t>
  </si>
  <si>
    <t>TXS01876</t>
  </si>
  <si>
    <t>Cryovial box 19: H6</t>
  </si>
  <si>
    <t>TXS01877</t>
  </si>
  <si>
    <t>Cryovial box 19: H7</t>
  </si>
  <si>
    <t>TXS01878</t>
  </si>
  <si>
    <t>Cryovial box 19: H8</t>
  </si>
  <si>
    <t>TXS01879</t>
  </si>
  <si>
    <t>Cryovial box 19: H9</t>
  </si>
  <si>
    <t>TXS01880</t>
  </si>
  <si>
    <t>Cryovial box 19: H10</t>
  </si>
  <si>
    <t>TXS01881</t>
  </si>
  <si>
    <t>Cryovial box 19: I1</t>
  </si>
  <si>
    <t>TXS01882</t>
  </si>
  <si>
    <t>Cryovial box 19: I2</t>
  </si>
  <si>
    <t>TXS01883</t>
  </si>
  <si>
    <t>Cryovial box 19: I3</t>
  </si>
  <si>
    <t>TXS01884</t>
  </si>
  <si>
    <t>Cryovial box 19: I4</t>
  </si>
  <si>
    <t>TXS01885</t>
  </si>
  <si>
    <t>Cryovial box 19: I5</t>
  </si>
  <si>
    <t>TXS01886</t>
  </si>
  <si>
    <t>Cryovial box 19: I6</t>
  </si>
  <si>
    <t>TXS01887</t>
  </si>
  <si>
    <t>Cryovial box 19: I7</t>
  </si>
  <si>
    <t>TXS01888</t>
  </si>
  <si>
    <t>Cryovial box 19: I8</t>
  </si>
  <si>
    <t>TXS01889</t>
  </si>
  <si>
    <t>Cryovial box 19: I9</t>
  </si>
  <si>
    <t>TXS01890</t>
  </si>
  <si>
    <t>Cryovial box 19: I10</t>
  </si>
  <si>
    <t>TXS01891</t>
  </si>
  <si>
    <t>Cryovial box 19: J1</t>
  </si>
  <si>
    <t>TXS01892</t>
  </si>
  <si>
    <t>Cryovial box 19: J2</t>
  </si>
  <si>
    <t>TXS01893</t>
  </si>
  <si>
    <t>Cryovial box 19: J3</t>
  </si>
  <si>
    <t>TXS01894</t>
  </si>
  <si>
    <t>Cryovial box 19: J4</t>
  </si>
  <si>
    <t>TXS01895</t>
  </si>
  <si>
    <t>Cryovial box 19: J5</t>
  </si>
  <si>
    <t>TXS01896</t>
  </si>
  <si>
    <t>Cryovial box 19: J6</t>
  </si>
  <si>
    <t>TXS01897</t>
  </si>
  <si>
    <t>Cryovial box 19: J7</t>
  </si>
  <si>
    <t>TXS01898</t>
  </si>
  <si>
    <t>Cryovial box 19: J8</t>
  </si>
  <si>
    <t>TXS01899</t>
  </si>
  <si>
    <t>Cryovial box 19: J9</t>
  </si>
  <si>
    <t>TXS01900</t>
  </si>
  <si>
    <t>Cryovial box 19: J10</t>
  </si>
  <si>
    <t>TXS01901</t>
  </si>
  <si>
    <t>Cryovial box 20: A1</t>
  </si>
  <si>
    <t>TXS01902</t>
  </si>
  <si>
    <t>Cryovial box 20: A2</t>
  </si>
  <si>
    <t>TXS01903</t>
  </si>
  <si>
    <t>Cryovial box 20: A3</t>
  </si>
  <si>
    <t>TXS01904</t>
  </si>
  <si>
    <t>Cryovial box 20: A4</t>
  </si>
  <si>
    <t>TXS01905</t>
  </si>
  <si>
    <t>Cryovial box 20: A5</t>
  </si>
  <si>
    <t>TXS01906</t>
  </si>
  <si>
    <t>Cryovial box 20: A6</t>
  </si>
  <si>
    <t>TXS01907</t>
  </si>
  <si>
    <t>Cryovial box 20: A7</t>
  </si>
  <si>
    <t>TXS01908</t>
  </si>
  <si>
    <t>Cryovial box 20: A8</t>
  </si>
  <si>
    <t>TXS01909</t>
  </si>
  <si>
    <t>Cryovial box 20: A9</t>
  </si>
  <si>
    <t>TXS01910</t>
  </si>
  <si>
    <t>Cryovial box 20: A10</t>
  </si>
  <si>
    <t>TXS01911</t>
  </si>
  <si>
    <t>Cryovial box 20: B1</t>
  </si>
  <si>
    <t>TXS01912</t>
  </si>
  <si>
    <t>Cryovial box 20: B2</t>
  </si>
  <si>
    <t>TXS01913</t>
  </si>
  <si>
    <t>Cryovial box 20: B3</t>
  </si>
  <si>
    <t>TXS01914</t>
  </si>
  <si>
    <t>Cryovial box 20: B4</t>
  </si>
  <si>
    <t>TXS01915</t>
  </si>
  <si>
    <t>Cryovial box 20: B5</t>
  </si>
  <si>
    <t>TXS01916</t>
  </si>
  <si>
    <t>Cryovial box 20: B6</t>
  </si>
  <si>
    <t>TXS01917</t>
  </si>
  <si>
    <t>Cryovial box 20: B7</t>
  </si>
  <si>
    <t>TXS01918</t>
  </si>
  <si>
    <t>Cryovial box 20: B8</t>
  </si>
  <si>
    <t>TXS01919</t>
  </si>
  <si>
    <t>Cryovial box 20: B9</t>
  </si>
  <si>
    <t>TXS01920</t>
  </si>
  <si>
    <t>Cryovial box 20: B10</t>
  </si>
  <si>
    <t>TXS01921</t>
  </si>
  <si>
    <t>Cryovial box 20: C1</t>
  </si>
  <si>
    <t>TXS01922</t>
  </si>
  <si>
    <t>Cryovial box 20: C2</t>
  </si>
  <si>
    <t>TXS01923</t>
  </si>
  <si>
    <t>Cryovial box 20: C3</t>
  </si>
  <si>
    <t>TXS01924</t>
  </si>
  <si>
    <t>Cryovial box 20: C4</t>
  </si>
  <si>
    <t>TXS01925</t>
  </si>
  <si>
    <t>Cryovial box 20: C5</t>
  </si>
  <si>
    <t>TXS01926</t>
  </si>
  <si>
    <t>Cryovial box 20: C6</t>
  </si>
  <si>
    <t>TXS01927</t>
  </si>
  <si>
    <t>Cryovial box 20: C7</t>
  </si>
  <si>
    <t>TXS01928</t>
  </si>
  <si>
    <t>Cryovial box 20: C8</t>
  </si>
  <si>
    <t>TXS01929</t>
  </si>
  <si>
    <t>Cryovial box 20: C9</t>
  </si>
  <si>
    <t>TXS01930</t>
  </si>
  <si>
    <t>Cryovial box 20: C10</t>
  </si>
  <si>
    <t>TXS01931</t>
  </si>
  <si>
    <t>Cryovial box 20: D1</t>
  </si>
  <si>
    <t>TXS01932</t>
  </si>
  <si>
    <t>Cryovial box 20: D2</t>
  </si>
  <si>
    <t>TXS01933</t>
  </si>
  <si>
    <t>Cryovial box 20: D3</t>
  </si>
  <si>
    <t>TXS01934</t>
  </si>
  <si>
    <t>Cryovial box 20: D4</t>
  </si>
  <si>
    <t>TXS01935</t>
  </si>
  <si>
    <t>Cryovial box 20: D5</t>
  </si>
  <si>
    <t>TXS01936</t>
  </si>
  <si>
    <t>Cryovial box 20: D6</t>
  </si>
  <si>
    <t>TXS01937</t>
  </si>
  <si>
    <t>Cryovial box 20: D7</t>
  </si>
  <si>
    <t>TXS01938</t>
  </si>
  <si>
    <t>Cryovial box 20: D8</t>
  </si>
  <si>
    <t>TXS01939</t>
  </si>
  <si>
    <t>Cryovial box 20: D9</t>
  </si>
  <si>
    <t>TXS01940</t>
  </si>
  <si>
    <t>Cryovial box 20: D10</t>
  </si>
  <si>
    <t>TXS01941</t>
  </si>
  <si>
    <t>Cryovial box 20: E1</t>
  </si>
  <si>
    <t>TXS01942</t>
  </si>
  <si>
    <t>Cryovial box 20: E2</t>
  </si>
  <si>
    <t>TXS01943</t>
  </si>
  <si>
    <t>Cryovial box 20: E3</t>
  </si>
  <si>
    <t>TXS01944</t>
  </si>
  <si>
    <t>Cryovial box 20: E4</t>
  </si>
  <si>
    <t>TXS01945</t>
  </si>
  <si>
    <t>Cryovial box 20: E5</t>
  </si>
  <si>
    <t>TXS01946</t>
  </si>
  <si>
    <t>Cryovial box 20: E6</t>
  </si>
  <si>
    <t>TXS01947</t>
  </si>
  <si>
    <t>Cryovial box 20: E7</t>
  </si>
  <si>
    <t>TXS01948</t>
  </si>
  <si>
    <t>Cryovial box 20: E8</t>
  </si>
  <si>
    <t>TXS01949</t>
  </si>
  <si>
    <t>Cryovial box 20: E9</t>
  </si>
  <si>
    <t>TXS01950</t>
  </si>
  <si>
    <t>Cryovial box 20: E10</t>
  </si>
  <si>
    <t>TXS01951</t>
  </si>
  <si>
    <t>Cryovial box 20: F1</t>
  </si>
  <si>
    <t>TXS01952</t>
  </si>
  <si>
    <t>Cryovial box 20: F2</t>
  </si>
  <si>
    <t>TXS01953</t>
  </si>
  <si>
    <t>Cryovial box 20: F3</t>
  </si>
  <si>
    <t>TXS01954</t>
  </si>
  <si>
    <t>Cryovial box 20: F4</t>
  </si>
  <si>
    <t>TXS01955</t>
  </si>
  <si>
    <t>Cryovial box 20: F5</t>
  </si>
  <si>
    <t>TXS01956</t>
  </si>
  <si>
    <t>Cryovial box 20: F6</t>
  </si>
  <si>
    <t>TXS01957</t>
  </si>
  <si>
    <t>Cryovial box 20: F7</t>
  </si>
  <si>
    <t>TXS01958</t>
  </si>
  <si>
    <t>Cryovial box 20: F8</t>
  </si>
  <si>
    <t>TXS01959</t>
  </si>
  <si>
    <t>Cryovial box 20: F9</t>
  </si>
  <si>
    <t>TXS01960</t>
  </si>
  <si>
    <t>Cryovial box 20: F10</t>
  </si>
  <si>
    <t>TXS01961</t>
  </si>
  <si>
    <t>Cryovial box 20: G1</t>
  </si>
  <si>
    <t>TXS01962</t>
  </si>
  <si>
    <t>Cryovial box 20: G2</t>
  </si>
  <si>
    <t>TXS01963</t>
  </si>
  <si>
    <t>Cryovial box 20: G3</t>
  </si>
  <si>
    <t>TXS01964</t>
  </si>
  <si>
    <t>Cryovial box 20: G4</t>
  </si>
  <si>
    <t>TXS01965</t>
  </si>
  <si>
    <t>Cryovial box 20: G5</t>
  </si>
  <si>
    <t>TXS01966</t>
  </si>
  <si>
    <t>Cryovial box 20: G6</t>
  </si>
  <si>
    <t>TXS01967</t>
  </si>
  <si>
    <t>Cryovial box 20: G7</t>
  </si>
  <si>
    <t>TXS01968</t>
  </si>
  <si>
    <t>Cryovial box 20: G8</t>
  </si>
  <si>
    <t>TXS01969</t>
  </si>
  <si>
    <t>Cryovial box 20: G9</t>
  </si>
  <si>
    <t>TXS01970</t>
  </si>
  <si>
    <t>Cryovial box 20: G10</t>
  </si>
  <si>
    <t>TXS01971</t>
  </si>
  <si>
    <t>Cryovial box 20: H1</t>
  </si>
  <si>
    <t>TXS01972</t>
  </si>
  <si>
    <t>Cryovial box 20: H2</t>
  </si>
  <si>
    <t>TXS01973</t>
  </si>
  <si>
    <t>Cryovial box 20: H3</t>
  </si>
  <si>
    <t>TXS01974</t>
  </si>
  <si>
    <t>Cryovial box 20: H4</t>
  </si>
  <si>
    <t>TXS01975</t>
  </si>
  <si>
    <t>Cryovial box 20: H5</t>
  </si>
  <si>
    <t>TXS01976</t>
  </si>
  <si>
    <t>Cryovial box 20: H6</t>
  </si>
  <si>
    <t>TXS01977</t>
  </si>
  <si>
    <t>Cryovial box 20: H7</t>
  </si>
  <si>
    <t>TXS01978</t>
  </si>
  <si>
    <t>Cryovial box 20: H8</t>
  </si>
  <si>
    <t>TXS01979</t>
  </si>
  <si>
    <t>Cryovial box 20: H9</t>
  </si>
  <si>
    <t>TXS01980</t>
  </si>
  <si>
    <t>Cryovial box 20: H10</t>
  </si>
  <si>
    <t>TXS01981</t>
  </si>
  <si>
    <t>Cryovial box 20: I1</t>
  </si>
  <si>
    <t>TXS01982</t>
  </si>
  <si>
    <t>Cryovial box 20: I2</t>
  </si>
  <si>
    <t>TXS01983</t>
  </si>
  <si>
    <t>Cryovial box 20: I3</t>
  </si>
  <si>
    <t>TXS01984</t>
  </si>
  <si>
    <t>Cryovial box 20: I4</t>
  </si>
  <si>
    <t>TXS01985</t>
  </si>
  <si>
    <t>Cryovial box 20: I5</t>
  </si>
  <si>
    <t>TXS01986</t>
  </si>
  <si>
    <t>Cryovial box 20: I6</t>
  </si>
  <si>
    <t>TXS01987</t>
  </si>
  <si>
    <t>Cryovial box 20: I7</t>
  </si>
  <si>
    <t>TXS01988</t>
  </si>
  <si>
    <t>Cryovial box 20: I8</t>
  </si>
  <si>
    <t>TXS01989</t>
  </si>
  <si>
    <t>Cryovial box 20: I9</t>
  </si>
  <si>
    <t>TXS01990</t>
  </si>
  <si>
    <t>Cryovial box 20: I10</t>
  </si>
  <si>
    <t>TXS01991</t>
  </si>
  <si>
    <t>Cryovial box 20: J1</t>
  </si>
  <si>
    <t>TXS01992</t>
  </si>
  <si>
    <t>Cryovial box 20: J2</t>
  </si>
  <si>
    <t>TXS01993</t>
  </si>
  <si>
    <t>Cryovial box 20: J3</t>
  </si>
  <si>
    <t>TXS01994</t>
  </si>
  <si>
    <t>Cryovial box 20: J4</t>
  </si>
  <si>
    <t>TXS01995</t>
  </si>
  <si>
    <t>Cryovial box 20: J5</t>
  </si>
  <si>
    <t>TXS01996</t>
  </si>
  <si>
    <t>Cryovial box 20: J6</t>
  </si>
  <si>
    <t>TXS01997</t>
  </si>
  <si>
    <t>Cryovial box 20: J7</t>
  </si>
  <si>
    <t>TXS01998</t>
  </si>
  <si>
    <t>Cryovial box 20: J8</t>
  </si>
  <si>
    <t>TXS01999</t>
  </si>
  <si>
    <t>Cryovial box 20: J9</t>
  </si>
  <si>
    <t>Cryovial box 20: J10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</si>
</sst>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[$-409]h:mm\ AM/PM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</font>
    <font>
      <sz val="11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1"/>
  </cellStyleXfs>
  <cellXfs count="38">
    <xf numFmtId="0" fontId="0" fillId="0" borderId="0" xfId="0" applyBorder="1"/>
    <xf numFmtId="0" fontId="1" fillId="0" borderId="0" xfId="0" applyFont="1" applyBorder="1"/>
    <xf numFmtId="0" fontId="0" fillId="0" borderId="1" xfId="0"/>
    <xf numFmtId="0" fontId="1" fillId="0" borderId="1" xfId="0" applyFont="1"/>
    <xf numFmtId="0" fontId="3" fillId="0" borderId="2" xfId="0" applyFont="1" applyBorder="1" applyAlignment="1">
      <alignment horizontal="center" vertical="center"/>
    </xf>
    <xf numFmtId="0" fontId="3" fillId="0" borderId="1" xfId="0" applyFont="1"/>
    <xf numFmtId="0" fontId="4" fillId="4" borderId="2" xfId="0" applyFont="1" applyFill="1" applyBorder="1" applyAlignment="1">
      <alignment horizontal="center" vertical="center"/>
    </xf>
    <xf numFmtId="0" fontId="3" fillId="0" borderId="1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14" fontId="5" fillId="2" borderId="6" xfId="0" applyNumberFormat="1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 applyAlignment="1">
      <alignment vertical="center"/>
    </xf>
    <xf numFmtId="49" fontId="6" fillId="5" borderId="1" xfId="0" applyNumberFormat="1" applyFont="1" applyFill="1" applyAlignment="1" applyProtection="1">
      <alignment vertical="center"/>
      <protection locked="0"/>
    </xf>
    <xf numFmtId="0" fontId="6" fillId="5" borderId="1" xfId="0" applyFont="1" applyFill="1" applyAlignment="1" applyProtection="1">
      <alignment vertical="center"/>
      <protection locked="0"/>
    </xf>
    <xf numFmtId="164" fontId="6" fillId="5" borderId="1" xfId="0" applyNumberFormat="1" applyFont="1" applyFill="1" applyAlignment="1" applyProtection="1">
      <alignment horizontal="center" vertical="center"/>
      <protection locked="0"/>
    </xf>
    <xf numFmtId="0" fontId="6" fillId="0" borderId="1" xfId="0" applyFont="1" applyAlignment="1">
      <alignment horizontal="center"/>
    </xf>
    <xf numFmtId="0" fontId="6" fillId="5" borderId="1" xfId="0" applyFont="1" applyFill="1" applyProtection="1">
      <protection locked="0"/>
    </xf>
    <xf numFmtId="0" fontId="6" fillId="0" borderId="1" xfId="0" applyFont="1"/>
    <xf numFmtId="0" fontId="6" fillId="5" borderId="1" xfId="0" applyFont="1" applyFill="1" applyAlignment="1">
      <alignment horizontal="center" vertical="center"/>
    </xf>
    <xf numFmtId="164" fontId="6" fillId="5" borderId="1" xfId="0" applyNumberFormat="1" applyFont="1" applyFill="1" applyProtection="1">
      <protection locked="0"/>
    </xf>
    <xf numFmtId="0" fontId="6" fillId="5" borderId="1" xfId="0" applyFont="1" applyFill="1"/>
    <xf numFmtId="14" fontId="6" fillId="5" borderId="1" xfId="0" applyNumberFormat="1" applyFont="1" applyFill="1" applyAlignment="1">
      <alignment horizontal="center"/>
    </xf>
    <xf numFmtId="0" fontId="6" fillId="5" borderId="1" xfId="0" applyFont="1" applyFill="1" applyAlignment="1">
      <alignment horizontal="center"/>
    </xf>
    <xf numFmtId="49" fontId="6" fillId="5" borderId="1" xfId="0" applyNumberFormat="1" applyFont="1" applyFill="1"/>
    <xf numFmtId="0" fontId="6" fillId="0" borderId="7" xfId="0" applyFont="1" applyBorder="1"/>
    <xf numFmtId="165" fontId="5" fillId="2" borderId="6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0" borderId="1" xfId="0" applyFont="1"/>
    <xf numFmtId="0" fontId="1" fillId="0" borderId="1" xfId="0" applyFont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11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74"/>
  <sheetViews>
    <sheetView tabSelected="1" zoomScale="91" zoomScaleNormal="100" workbookViewId="0">
      <pane ySplit="1" topLeftCell="A2" activePane="bottomLeft" state="frozen"/>
      <selection pane="bottomLeft" activeCell="A2" sqref="A2:XFD17"/>
    </sheetView>
  </sheetViews>
  <sheetFormatPr defaultColWidth="8.7265625" defaultRowHeight="14" x14ac:dyDescent="0.3"/>
  <cols>
    <col min="1" max="1" width="18" style="28" customWidth="1"/>
    <col min="2" max="2" width="18" style="27" customWidth="1"/>
    <col min="3" max="3" width="15.1796875" style="24" customWidth="1"/>
    <col min="4" max="4" width="16.81640625" style="24" customWidth="1"/>
    <col min="5" max="6" width="14" style="25" customWidth="1"/>
    <col min="7" max="7" width="14" style="30" customWidth="1"/>
    <col min="8" max="8" width="15" style="19" bestFit="1" customWidth="1"/>
    <col min="9" max="9" width="22" style="19" customWidth="1"/>
    <col min="10" max="10" width="28" style="19" customWidth="1"/>
    <col min="11" max="11" width="21.81640625" style="22" customWidth="1"/>
    <col min="12" max="12" width="22.7265625" style="26" customWidth="1"/>
    <col min="13" max="13" width="19.453125" style="22" customWidth="1"/>
    <col min="14" max="14" width="31.1796875" style="21" customWidth="1"/>
    <col min="15" max="15" width="8.7265625" style="21" customWidth="1"/>
    <col min="16" max="16384" width="8.7265625" style="21"/>
  </cols>
  <sheetData>
    <row r="1" spans="1:14" s="14" customFormat="1" ht="28" customHeight="1" x14ac:dyDescent="0.3">
      <c r="A1" s="10" t="s">
        <v>0</v>
      </c>
      <c r="B1" s="11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29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</row>
    <row r="2" spans="1:14" x14ac:dyDescent="0.3">
      <c r="A2" s="15" t="str">
        <f>IF(COUNTA($B2:$E2,$K2)=0,"",IF(AND($B2&lt;&gt;"",$C2&lt;&gt;"",$D2&lt;&gt;"",$E2&lt;&gt;""),"TXS"&amp;TEXT(COUNTIFS($B$2:$B2,"&lt;&gt;",$C$2:$C2,"&lt;&gt;",$D$2:$D2,"&lt;&gt;",$E$2:$E2,"&lt;&gt;"),"00000"),""))</f>
        <v/>
      </c>
      <c r="B2" s="16"/>
      <c r="C2" s="17"/>
      <c r="D2" s="17"/>
      <c r="E2" s="18"/>
      <c r="H2" s="19" t="str">
        <f t="shared" ref="H2:H27" si="0">IF(NOT(AND($B2&lt;&gt;"",$C2&lt;&gt;"",$D2&lt;&gt;"",$E2&lt;&gt;"")),"",IF($A2="","","CDI plate "&amp;INT((VALUE(RIGHT($A2,5))-1)/96)+1&amp;": "&amp;CHAR(65+INT(MOD(VALUE(RIGHT($A2,5))-1,96)/12))&amp;(MOD(VALUE(RIGHT($A2,5))-1,12)+1)))</f>
        <v/>
      </c>
      <c r="I2" s="19" t="str">
        <f t="shared" ref="I2:I27" si="1">IF(NOT(AND($B2&lt;&gt;"",$C2&lt;&gt;"",$D2&lt;&gt;"",$E2&lt;&gt;"")),"",IF($A2="","","NIH plate "&amp;INT((VALUE(RIGHT($A2,5))-1)/96)+1&amp;": "&amp;CHAR(65+INT(MOD(VALUE(RIGHT($A2,5))-1,96)/12))&amp;(MOD(VALUE(RIGHT($A2,5))-1,12)+1)))</f>
        <v/>
      </c>
      <c r="J2" s="19" t="str">
        <f t="shared" ref="J2:J27" si="2">IF(NOT(AND($B2&lt;&gt;"",$C2&lt;&gt;"",$D2&lt;&gt;"",$E2&lt;&gt;"")),"",IF($A2="","","Max Planck plate "&amp;INT((VALUE(RIGHT($A2,5))-1)/96)+1&amp;": "&amp;CHAR(65+INT(MOD(VALUE(RIGHT($A2,5))-1,96)/12))&amp;(MOD(VALUE(RIGHT($A2,5))-1,12)+1)))</f>
        <v/>
      </c>
      <c r="K2" s="20"/>
      <c r="L2" s="21" t="str">
        <f>IF(OR(NOT(AND($B2&lt;&gt;"",$C2&lt;&gt;"",$D2&lt;&gt;"",$E2&lt;&gt;"")),$A2="",$K2&lt;&gt;"Yes"),"",IF($L2&lt;&gt;"",$L2,INDEX(SETUP!$I$1:$I$2000,MATCH(TRUE,SETUP!$J$1:$J$2000,0)+COUNTIFS($A$2:$A2,"&lt;&gt;",$K$2:$K2,"Yes",$L$2:$L2,"")-1)))</f>
        <v/>
      </c>
      <c r="N2" s="22"/>
    </row>
    <row r="3" spans="1:14" x14ac:dyDescent="0.3">
      <c r="A3" s="15" t="str">
        <f>IF(COUNTA($B3:$E3,$K3)=0,"",IF(AND($B3&lt;&gt;"",$C3&lt;&gt;"",$D3&lt;&gt;"",$E3&lt;&gt;""),"TXS"&amp;TEXT(COUNTIFS($B$2:$B3,"&lt;&gt;",$C$2:$C3,"&lt;&gt;",$D$2:$D3,"&lt;&gt;",$E$2:$E3,"&lt;&gt;"),"00000"),""))</f>
        <v/>
      </c>
      <c r="B3" s="16"/>
      <c r="C3" s="17"/>
      <c r="D3" s="17"/>
      <c r="E3" s="18"/>
      <c r="H3" s="19" t="str">
        <f t="shared" si="0"/>
        <v/>
      </c>
      <c r="I3" s="19" t="str">
        <f t="shared" si="1"/>
        <v/>
      </c>
      <c r="J3" s="19" t="str">
        <f t="shared" si="2"/>
        <v/>
      </c>
      <c r="K3" s="20"/>
      <c r="L3" s="21" t="str">
        <f>IF(OR(NOT(AND($B3&lt;&gt;"",$C3&lt;&gt;"",$D3&lt;&gt;"",$E3&lt;&gt;"")),$A3="",$K3&lt;&gt;"Yes"),"",IF($L3&lt;&gt;"",$L3,INDEX(SETUP!$I$1:$I$2000,MATCH(TRUE,SETUP!$J$1:$J$2000,0)+COUNTIFS($A$2:$A3,"&lt;&gt;",$K$2:$K3,"Yes",$L$2:$L3,"")-1)))</f>
        <v/>
      </c>
      <c r="N3" s="22"/>
    </row>
    <row r="4" spans="1:14" x14ac:dyDescent="0.3">
      <c r="A4" s="15" t="str">
        <f>IF(COUNTA($B4:$E4,$K4)=0,"",IF(AND($B4&lt;&gt;"",$C4&lt;&gt;"",$D4&lt;&gt;"",$E4&lt;&gt;""),"TXS"&amp;TEXT(COUNTIFS($B$2:$B4,"&lt;&gt;",$C$2:$C4,"&lt;&gt;",$D$2:$D4,"&lt;&gt;",$E$2:$E4,"&lt;&gt;"),"00000"),""))</f>
        <v/>
      </c>
      <c r="B4" s="16"/>
      <c r="C4" s="17"/>
      <c r="D4" s="17"/>
      <c r="E4" s="18"/>
      <c r="H4" s="19" t="str">
        <f t="shared" si="0"/>
        <v/>
      </c>
      <c r="I4" s="19" t="str">
        <f t="shared" si="1"/>
        <v/>
      </c>
      <c r="J4" s="19" t="str">
        <f t="shared" si="2"/>
        <v/>
      </c>
      <c r="K4" s="20"/>
      <c r="L4" s="21" t="str">
        <f>IF(OR(NOT(AND($B4&lt;&gt;"",$C4&lt;&gt;"",$D4&lt;&gt;"",$E4&lt;&gt;"")),$A4="",$K4&lt;&gt;"Yes"),"",IF($L4&lt;&gt;"",$L4,INDEX(SETUP!$I$1:$I$2000,MATCH(TRUE,SETUP!$J$1:$J$2000,0)+COUNTIFS($A$2:$A4,"&lt;&gt;",$K$2:$K4,"Yes",$L$2:$L4,"")-1)))</f>
        <v/>
      </c>
      <c r="N4" s="22"/>
    </row>
    <row r="5" spans="1:14" x14ac:dyDescent="0.3">
      <c r="A5" s="15" t="str">
        <f>IF(COUNTA($B5:$E5,$K5)=0,"",IF(AND($B5&lt;&gt;"",$C5&lt;&gt;"",$D5&lt;&gt;"",$E5&lt;&gt;""),"TXS"&amp;TEXT(COUNTIFS($B$2:$B5,"&lt;&gt;",$C$2:$C5,"&lt;&gt;",$D$2:$D5,"&lt;&gt;",$E$2:$E5,"&lt;&gt;"),"00000"),""))</f>
        <v/>
      </c>
      <c r="B5" s="16"/>
      <c r="C5" s="17"/>
      <c r="D5" s="17"/>
      <c r="E5" s="18"/>
      <c r="H5" s="19" t="str">
        <f t="shared" si="0"/>
        <v/>
      </c>
      <c r="I5" s="19" t="str">
        <f t="shared" si="1"/>
        <v/>
      </c>
      <c r="J5" s="19" t="str">
        <f t="shared" si="2"/>
        <v/>
      </c>
      <c r="K5" s="20"/>
      <c r="L5" s="21" t="str">
        <f>IF(OR(NOT(AND($B5&lt;&gt;"",$C5&lt;&gt;"",$D5&lt;&gt;"",$E5&lt;&gt;"")),$A5="",$K5&lt;&gt;"Yes"),"",IF($L5&lt;&gt;"",$L5,INDEX(SETUP!$I$1:$I$2000,MATCH(TRUE,SETUP!$J$1:$J$2000,0)+COUNTIFS($A$2:$A5,"&lt;&gt;",$K$2:$K5,"Yes",$L$2:$L5,"")-1)))</f>
        <v/>
      </c>
      <c r="N5" s="22"/>
    </row>
    <row r="6" spans="1:14" x14ac:dyDescent="0.3">
      <c r="A6" s="15" t="str">
        <f>IF(COUNTA($B6:$E6,$K6)=0,"",IF(AND($B6&lt;&gt;"",$C6&lt;&gt;"",$D6&lt;&gt;"",$E6&lt;&gt;""),"TXS"&amp;TEXT(COUNTIFS($B$2:$B6,"&lt;&gt;",$C$2:$C6,"&lt;&gt;",$D$2:$D6,"&lt;&gt;",$E$2:$E6,"&lt;&gt;"),"00000"),""))</f>
        <v/>
      </c>
      <c r="B6" s="16"/>
      <c r="C6" s="17"/>
      <c r="D6" s="17"/>
      <c r="E6" s="18"/>
      <c r="H6" s="19" t="str">
        <f t="shared" si="0"/>
        <v/>
      </c>
      <c r="I6" s="19" t="str">
        <f t="shared" si="1"/>
        <v/>
      </c>
      <c r="J6" s="19" t="str">
        <f t="shared" si="2"/>
        <v/>
      </c>
      <c r="K6" s="20"/>
      <c r="L6" s="21" t="str">
        <f>IF(OR(NOT(AND($B6&lt;&gt;"",$C6&lt;&gt;"",$D6&lt;&gt;"",$E6&lt;&gt;"")),$A6="",$K6&lt;&gt;"Yes"),"",IF($L6&lt;&gt;"",$L6,INDEX(SETUP!$I$1:$I$2000,MATCH(TRUE,SETUP!$J$1:$J$2000,0)+COUNTIFS($A$2:$A6,"&lt;&gt;",$K$2:$K6,"Yes",$L$2:$L6,"")-1)))</f>
        <v/>
      </c>
      <c r="N6" s="22"/>
    </row>
    <row r="7" spans="1:14" x14ac:dyDescent="0.3">
      <c r="A7" s="15" t="str">
        <f>IF(COUNTA($B7:$E7,$K7)=0,"",IF(AND($B7&lt;&gt;"",$C7&lt;&gt;"",$D7&lt;&gt;"",$E7&lt;&gt;""),"TXS"&amp;TEXT(COUNTIFS($B$2:$B7,"&lt;&gt;",$C$2:$C7,"&lt;&gt;",$D$2:$D7,"&lt;&gt;",$E$2:$E7,"&lt;&gt;"),"00000"),""))</f>
        <v/>
      </c>
      <c r="B7" s="16"/>
      <c r="C7" s="17"/>
      <c r="D7" s="17"/>
      <c r="E7" s="18"/>
      <c r="H7" s="19" t="str">
        <f t="shared" si="0"/>
        <v/>
      </c>
      <c r="I7" s="19" t="str">
        <f t="shared" si="1"/>
        <v/>
      </c>
      <c r="J7" s="19" t="str">
        <f t="shared" si="2"/>
        <v/>
      </c>
      <c r="K7" s="20"/>
      <c r="L7" s="21" t="str">
        <f>IF(OR(NOT(AND($B7&lt;&gt;"",$C7&lt;&gt;"",$D7&lt;&gt;"",$E7&lt;&gt;"")),$A7="",$K7&lt;&gt;"Yes"),"",IF($L7&lt;&gt;"",$L7,INDEX(SETUP!$I$1:$I$2000,MATCH(TRUE,SETUP!$J$1:$J$2000,0)+COUNTIFS($A$2:$A7,"&lt;&gt;",$K$2:$K7,"Yes",$L$2:$L7,"")-1)))</f>
        <v/>
      </c>
      <c r="N7" s="22"/>
    </row>
    <row r="8" spans="1:14" x14ac:dyDescent="0.3">
      <c r="A8" s="15" t="str">
        <f>IF(COUNTA($B8:$E8,$K8)=0,"",IF(AND($B8&lt;&gt;"",$C8&lt;&gt;"",$D8&lt;&gt;"",$E8&lt;&gt;""),"TXS"&amp;TEXT(COUNTIFS($B$2:$B8,"&lt;&gt;",$C$2:$C8,"&lt;&gt;",$D$2:$D8,"&lt;&gt;",$E$2:$E8,"&lt;&gt;"),"00000"),""))</f>
        <v/>
      </c>
      <c r="B8" s="16"/>
      <c r="C8" s="17"/>
      <c r="D8" s="17"/>
      <c r="E8" s="18"/>
      <c r="H8" s="19" t="str">
        <f t="shared" si="0"/>
        <v/>
      </c>
      <c r="I8" s="19" t="str">
        <f t="shared" si="1"/>
        <v/>
      </c>
      <c r="J8" s="19" t="str">
        <f t="shared" si="2"/>
        <v/>
      </c>
      <c r="K8" s="20"/>
      <c r="L8" s="21" t="str">
        <f>IF(OR(NOT(AND($B8&lt;&gt;"",$C8&lt;&gt;"",$D8&lt;&gt;"",$E8&lt;&gt;"")),$A8="",$K8&lt;&gt;"Yes"),"",IF($L8&lt;&gt;"",$L8,INDEX(SETUP!$I$1:$I$2000,MATCH(TRUE,SETUP!$J$1:$J$2000,0)+COUNTIFS($A$2:$A8,"&lt;&gt;",$K$2:$K8,"Yes",$L$2:$L8,"")-1)))</f>
        <v/>
      </c>
      <c r="N8" s="22"/>
    </row>
    <row r="9" spans="1:14" x14ac:dyDescent="0.3">
      <c r="A9" s="15" t="str">
        <f>IF(COUNTA($B9:$E9,$K9)=0,"",IF(AND($B9&lt;&gt;"",$C9&lt;&gt;"",$D9&lt;&gt;"",$E9&lt;&gt;""),"TXS"&amp;TEXT(COUNTIFS($B$2:$B9,"&lt;&gt;",$C$2:$C9,"&lt;&gt;",$D$2:$D9,"&lt;&gt;",$E$2:$E9,"&lt;&gt;"),"00000"),""))</f>
        <v/>
      </c>
      <c r="B9" s="16"/>
      <c r="C9" s="17"/>
      <c r="D9" s="17"/>
      <c r="E9" s="18"/>
      <c r="H9" s="19" t="str">
        <f t="shared" si="0"/>
        <v/>
      </c>
      <c r="I9" s="19" t="str">
        <f t="shared" si="1"/>
        <v/>
      </c>
      <c r="J9" s="19" t="str">
        <f t="shared" si="2"/>
        <v/>
      </c>
      <c r="K9" s="20"/>
      <c r="L9" s="21" t="str">
        <f>IF(OR(NOT(AND($B9&lt;&gt;"",$C9&lt;&gt;"",$D9&lt;&gt;"",$E9&lt;&gt;"")),$A9="",$K9&lt;&gt;"Yes"),"",IF($L9&lt;&gt;"",$L9,INDEX(SETUP!$I$1:$I$2000,MATCH(TRUE,SETUP!$J$1:$J$2000,0)+COUNTIFS($A$2:$A9,"&lt;&gt;",$K$2:$K9,"Yes",$L$2:$L9,"")-1)))</f>
        <v/>
      </c>
      <c r="N9" s="22"/>
    </row>
    <row r="10" spans="1:14" x14ac:dyDescent="0.3">
      <c r="A10" s="15" t="str">
        <f>IF(COUNTA($B10:$E10,$K10)=0,"",IF(AND($B10&lt;&gt;"",$C10&lt;&gt;"",$D10&lt;&gt;"",$E10&lt;&gt;""),"TXS"&amp;TEXT(COUNTIFS($B$2:$B10,"&lt;&gt;",$C$2:$C10,"&lt;&gt;",$D$2:$D10,"&lt;&gt;",$E$2:$E10,"&lt;&gt;"),"00000"),""))</f>
        <v/>
      </c>
      <c r="B10" s="16"/>
      <c r="C10" s="17"/>
      <c r="D10" s="17"/>
      <c r="E10" s="18"/>
      <c r="H10" s="19" t="str">
        <f t="shared" si="0"/>
        <v/>
      </c>
      <c r="I10" s="19" t="str">
        <f t="shared" si="1"/>
        <v/>
      </c>
      <c r="J10" s="19" t="str">
        <f t="shared" si="2"/>
        <v/>
      </c>
      <c r="K10" s="20"/>
      <c r="L10" s="21" t="str">
        <f>IF(OR(NOT(AND($B10&lt;&gt;"",$C10&lt;&gt;"",$D10&lt;&gt;"",$E10&lt;&gt;"")),$A10="",$K10&lt;&gt;"Yes"),"",IF($L10&lt;&gt;"",$L10,INDEX(SETUP!$I$1:$I$2000,MATCH(TRUE,SETUP!$J$1:$J$2000,0)+COUNTIFS($A$2:$A10,"&lt;&gt;",$K$2:$K10,"Yes",$L$2:$L10,"")-1)))</f>
        <v/>
      </c>
      <c r="N10" s="22"/>
    </row>
    <row r="11" spans="1:14" x14ac:dyDescent="0.3">
      <c r="A11" s="15" t="str">
        <f>IF(COUNTA($B11:$E11,$K11)=0,"",IF(AND($B11&lt;&gt;"",$C11&lt;&gt;"",$D11&lt;&gt;"",$E11&lt;&gt;""),"TXS"&amp;TEXT(COUNTIFS($B$2:$B11,"&lt;&gt;",$C$2:$C11,"&lt;&gt;",$D$2:$D11,"&lt;&gt;",$E$2:$E11,"&lt;&gt;"),"00000"),""))</f>
        <v/>
      </c>
      <c r="B11" s="16"/>
      <c r="C11" s="17"/>
      <c r="D11" s="17"/>
      <c r="E11" s="18"/>
      <c r="H11" s="19" t="str">
        <f t="shared" si="0"/>
        <v/>
      </c>
      <c r="I11" s="19" t="str">
        <f t="shared" si="1"/>
        <v/>
      </c>
      <c r="J11" s="19" t="str">
        <f t="shared" si="2"/>
        <v/>
      </c>
      <c r="K11" s="20"/>
      <c r="L11" s="21" t="str">
        <f>IF(OR(NOT(AND($B11&lt;&gt;"",$C11&lt;&gt;"",$D11&lt;&gt;"",$E11&lt;&gt;"")),$A11="",$K11&lt;&gt;"Yes"),"",IF($L11&lt;&gt;"",$L11,INDEX(SETUP!$I$1:$I$2000,MATCH(TRUE,SETUP!$J$1:$J$2000,0)+COUNTIFS($A$2:$A11,"&lt;&gt;",$K$2:$K11,"Yes",$L$2:$L11,"")-1)))</f>
        <v/>
      </c>
      <c r="N11" s="22"/>
    </row>
    <row r="12" spans="1:14" x14ac:dyDescent="0.3">
      <c r="A12" s="15" t="str">
        <f>IF(COUNTA($B12:$E12,$K12)=0,"",IF(AND($B12&lt;&gt;"",$C12&lt;&gt;"",$D12&lt;&gt;"",$E12&lt;&gt;""),"TXS"&amp;TEXT(COUNTIFS($B$2:$B12,"&lt;&gt;",$C$2:$C12,"&lt;&gt;",$D$2:$D12,"&lt;&gt;",$E$2:$E12,"&lt;&gt;"),"00000"),""))</f>
        <v/>
      </c>
      <c r="B12" s="16"/>
      <c r="C12" s="17"/>
      <c r="D12" s="17"/>
      <c r="E12" s="18"/>
      <c r="H12" s="19" t="str">
        <f t="shared" si="0"/>
        <v/>
      </c>
      <c r="I12" s="19" t="str">
        <f t="shared" si="1"/>
        <v/>
      </c>
      <c r="J12" s="19" t="str">
        <f t="shared" si="2"/>
        <v/>
      </c>
      <c r="K12" s="20"/>
      <c r="L12" s="21" t="str">
        <f>IF(OR(NOT(AND($B12&lt;&gt;"",$C12&lt;&gt;"",$D12&lt;&gt;"",$E12&lt;&gt;"")),$A12="",$K12&lt;&gt;"Yes"),"",IF($L12&lt;&gt;"",$L12,INDEX(SETUP!$I$1:$I$2000,MATCH(TRUE,SETUP!$J$1:$J$2000,0)+COUNTIFS($A$2:$A12,"&lt;&gt;",$K$2:$K12,"Yes",$L$2:$L12,"")-1)))</f>
        <v/>
      </c>
      <c r="N12" s="22"/>
    </row>
    <row r="13" spans="1:14" x14ac:dyDescent="0.3">
      <c r="A13" s="15" t="str">
        <f>IF(COUNTA($B13:$E13,$K13)=0,"",IF(AND($B13&lt;&gt;"",$C13&lt;&gt;"",$D13&lt;&gt;"",$E13&lt;&gt;""),"TXS"&amp;TEXT(COUNTIFS($B$2:$B13,"&lt;&gt;",$C$2:$C13,"&lt;&gt;",$D$2:$D13,"&lt;&gt;",$E$2:$E13,"&lt;&gt;"),"00000"),""))</f>
        <v/>
      </c>
      <c r="B13" s="16"/>
      <c r="C13" s="17"/>
      <c r="D13" s="17"/>
      <c r="E13" s="18"/>
      <c r="H13" s="19" t="str">
        <f t="shared" si="0"/>
        <v/>
      </c>
      <c r="I13" s="19" t="str">
        <f t="shared" si="1"/>
        <v/>
      </c>
      <c r="J13" s="19" t="str">
        <f t="shared" si="2"/>
        <v/>
      </c>
      <c r="K13" s="20"/>
      <c r="L13" s="21" t="str">
        <f>IF(OR(NOT(AND($B13&lt;&gt;"",$C13&lt;&gt;"",$D13&lt;&gt;"",$E13&lt;&gt;"")),$A13="",$K13&lt;&gt;"Yes"),"",IF($L13&lt;&gt;"",$L13,INDEX(SETUP!$I$1:$I$2000,MATCH(TRUE,SETUP!$J$1:$J$2000,0)+COUNTIFS($A$2:$A13,"&lt;&gt;",$K$2:$K13,"Yes",$L$2:$L13,"")-1)))</f>
        <v/>
      </c>
      <c r="N13" s="22"/>
    </row>
    <row r="14" spans="1:14" x14ac:dyDescent="0.3">
      <c r="A14" s="15" t="str">
        <f>IF(COUNTA($B14:$E14,$K14)=0,"",IF(AND($B14&lt;&gt;"",$C14&lt;&gt;"",$D14&lt;&gt;"",$E14&lt;&gt;""),"TXS"&amp;TEXT(COUNTIFS($B$2:$B14,"&lt;&gt;",$C$2:$C14,"&lt;&gt;",$D$2:$D14,"&lt;&gt;",$E$2:$E14,"&lt;&gt;"),"00000"),""))</f>
        <v/>
      </c>
      <c r="B14" s="16"/>
      <c r="C14" s="17"/>
      <c r="D14" s="17"/>
      <c r="E14" s="18"/>
      <c r="H14" s="19" t="str">
        <f t="shared" si="0"/>
        <v/>
      </c>
      <c r="I14" s="19" t="str">
        <f t="shared" si="1"/>
        <v/>
      </c>
      <c r="J14" s="19" t="str">
        <f t="shared" si="2"/>
        <v/>
      </c>
      <c r="K14" s="20"/>
      <c r="L14" s="21" t="str">
        <f>IF(OR(NOT(AND($B14&lt;&gt;"",$C14&lt;&gt;"",$D14&lt;&gt;"",$E14&lt;&gt;"")),$A14="",$K14&lt;&gt;"Yes"),"",IF($L14&lt;&gt;"",$L14,INDEX(SETUP!$I$1:$I$2000,MATCH(TRUE,SETUP!$J$1:$J$2000,0)+COUNTIFS($A$2:$A14,"&lt;&gt;",$K$2:$K14,"Yes",$L$2:$L14,"")-1)))</f>
        <v/>
      </c>
      <c r="N14" s="22"/>
    </row>
    <row r="15" spans="1:14" x14ac:dyDescent="0.3">
      <c r="A15" s="15" t="str">
        <f>IF(COUNTA($B15:$E15,$K15)=0,"",IF(AND($B15&lt;&gt;"",$C15&lt;&gt;"",$D15&lt;&gt;"",$E15&lt;&gt;""),"TXS"&amp;TEXT(COUNTIFS($B$2:$B15,"&lt;&gt;",$C$2:$C15,"&lt;&gt;",$D$2:$D15,"&lt;&gt;",$E$2:$E15,"&lt;&gt;"),"00000"),""))</f>
        <v/>
      </c>
      <c r="B15" s="16"/>
      <c r="C15" s="17"/>
      <c r="D15" s="17"/>
      <c r="E15" s="18"/>
      <c r="H15" s="19" t="str">
        <f t="shared" si="0"/>
        <v/>
      </c>
      <c r="I15" s="19" t="str">
        <f t="shared" si="1"/>
        <v/>
      </c>
      <c r="J15" s="19" t="str">
        <f t="shared" si="2"/>
        <v/>
      </c>
      <c r="K15" s="20"/>
      <c r="L15" s="21" t="str">
        <f>IF(OR(NOT(AND($B15&lt;&gt;"",$C15&lt;&gt;"",$D15&lt;&gt;"",$E15&lt;&gt;"")),$A15="",$K15&lt;&gt;"Yes"),"",IF($L15&lt;&gt;"",$L15,INDEX(SETUP!$I$1:$I$2000,MATCH(TRUE,SETUP!$J$1:$J$2000,0)+COUNTIFS($A$2:$A15,"&lt;&gt;",$K$2:$K15,"Yes",$L$2:$L15,"")-1)))</f>
        <v/>
      </c>
      <c r="N15" s="22"/>
    </row>
    <row r="16" spans="1:14" x14ac:dyDescent="0.3">
      <c r="A16" s="15" t="str">
        <f>IF(COUNTA($B16:$E16,$K16)=0,"",IF(AND($B16&lt;&gt;"",$C16&lt;&gt;"",$D16&lt;&gt;"",$E16&lt;&gt;""),"TXS"&amp;TEXT(COUNTIFS($B$2:$B16,"&lt;&gt;",$C$2:$C16,"&lt;&gt;",$D$2:$D16,"&lt;&gt;",$E$2:$E16,"&lt;&gt;"),"00000"),""))</f>
        <v/>
      </c>
      <c r="B16" s="16"/>
      <c r="C16" s="17"/>
      <c r="D16" s="17"/>
      <c r="E16" s="18"/>
      <c r="H16" s="19" t="str">
        <f t="shared" si="0"/>
        <v/>
      </c>
      <c r="I16" s="19" t="str">
        <f t="shared" si="1"/>
        <v/>
      </c>
      <c r="J16" s="19" t="str">
        <f>IF(NOT(AND($B16&lt;&gt;"",$C16&lt;&gt;"",$D16&lt;&gt;"",$E16&lt;&gt;"")),"",IF($A16="","","Max Planck plate "&amp;INT((VALUE(RIGHT($A16,5))-1)/96)+1&amp;": "&amp;CHAR(65+INT(MOD(VALUE(RIGHT($A16,5))-1,96)/12))&amp;(MOD(VALUE(RIGHT($A16,5))-1,12)+1)))</f>
        <v/>
      </c>
      <c r="K16" s="20"/>
      <c r="L16" s="21" t="str">
        <f>IF(OR(NOT(AND($B16&lt;&gt;"",$C16&lt;&gt;"",$D16&lt;&gt;"",$E16&lt;&gt;"")),$A16="",$K16&lt;&gt;"Yes"),"",IF($L16&lt;&gt;"",$L16,INDEX(SETUP!$I$1:$I$2000,MATCH(TRUE,SETUP!$J$1:$J$2000,0)+COUNTIFS($A$2:$A16,"&lt;&gt;",$K$2:$K16,"Yes",$L$2:$L16,"")-1)))</f>
        <v/>
      </c>
      <c r="N16" s="22"/>
    </row>
    <row r="17" spans="1:14" x14ac:dyDescent="0.3">
      <c r="A17" s="15" t="str">
        <f>IF(COUNTA($B17:$E17,$K17)=0,"",IF(AND($B17&lt;&gt;"",$C17&lt;&gt;"",$D17&lt;&gt;"",$E17&lt;&gt;""),"TXS"&amp;TEXT(COUNTIFS($B$2:$B17,"&lt;&gt;",$C$2:$C17,"&lt;&gt;",$D$2:$D17,"&lt;&gt;",$E$2:$E17,"&lt;&gt;"),"00000"),""))</f>
        <v/>
      </c>
      <c r="B17" s="16"/>
      <c r="C17" s="17"/>
      <c r="D17" s="17"/>
      <c r="E17" s="18"/>
      <c r="H17" s="19" t="str">
        <f t="shared" si="0"/>
        <v/>
      </c>
      <c r="I17" s="19" t="str">
        <f t="shared" si="1"/>
        <v/>
      </c>
      <c r="J17" s="19" t="str">
        <f t="shared" si="2"/>
        <v/>
      </c>
      <c r="K17" s="20"/>
      <c r="L17" s="21" t="str">
        <f>IF(OR(NOT(AND($B17&lt;&gt;"",$C17&lt;&gt;"",$D17&lt;&gt;"",$E17&lt;&gt;"")),$A17="",$K17&lt;&gt;"Yes"),"",IF($L17&lt;&gt;"",$L17,INDEX(SETUP!$I$1:$I$2000,MATCH(TRUE,SETUP!$J$1:$J$2000,0)+COUNTIFS($A$2:$A17,"&lt;&gt;",$K$2:$K17,"Yes",$L$2:$L17,"")-1)))</f>
        <v/>
      </c>
      <c r="N17" s="22"/>
    </row>
    <row r="18" spans="1:14" x14ac:dyDescent="0.3">
      <c r="A18" s="15" t="str">
        <f>IF(COUNTA($B18:$E18,$K18)=0,"",IF(AND($B18&lt;&gt;"",$C18&lt;&gt;"",$D18&lt;&gt;"",$E18&lt;&gt;""),"TXS"&amp;TEXT(COUNTIFS($B$2:$B18,"&lt;&gt;",$C$2:$C18,"&lt;&gt;",$D$2:$D18,"&lt;&gt;",$E$2:$E18,"&lt;&gt;"),"00000"),""))</f>
        <v/>
      </c>
      <c r="B18" s="16"/>
      <c r="C18" s="17"/>
      <c r="D18" s="17"/>
      <c r="E18" s="18"/>
      <c r="H18" s="19" t="str">
        <f t="shared" si="0"/>
        <v/>
      </c>
      <c r="I18" s="19" t="str">
        <f t="shared" si="1"/>
        <v/>
      </c>
      <c r="J18" s="19" t="str">
        <f t="shared" si="2"/>
        <v/>
      </c>
      <c r="K18" s="20"/>
      <c r="L18" s="21" t="str">
        <f>IF(OR(NOT(AND($B18&lt;&gt;"",$C18&lt;&gt;"",$D18&lt;&gt;"",$E18&lt;&gt;"")),$A18="",$K18&lt;&gt;"Yes"),"",IF($L18&lt;&gt;"",$L18,INDEX(SETUP!$I$1:$I$2000,MATCH(TRUE,SETUP!$J$1:$J$2000,0)+COUNTIFS($A$2:$A18,"&lt;&gt;",$K$2:$K18,"Yes",$L$2:$L18,"")-1)))</f>
        <v/>
      </c>
      <c r="N18" s="22"/>
    </row>
    <row r="19" spans="1:14" x14ac:dyDescent="0.3">
      <c r="A19" s="15" t="str">
        <f>IF(COUNTA($B19:$E19,$K19)=0,"",IF(AND($B19&lt;&gt;"",$C19&lt;&gt;"",$D19&lt;&gt;"",$E19&lt;&gt;""),"TXS"&amp;TEXT(COUNTIFS($B$2:$B19,"&lt;&gt;",$C$2:$C19,"&lt;&gt;",$D$2:$D19,"&lt;&gt;",$E$2:$E19,"&lt;&gt;"),"00000"),""))</f>
        <v/>
      </c>
      <c r="B19" s="16"/>
      <c r="C19" s="17"/>
      <c r="D19" s="17"/>
      <c r="E19" s="18"/>
      <c r="H19" s="19" t="str">
        <f t="shared" si="0"/>
        <v/>
      </c>
      <c r="I19" s="19" t="str">
        <f t="shared" si="1"/>
        <v/>
      </c>
      <c r="J19" s="19" t="str">
        <f t="shared" si="2"/>
        <v/>
      </c>
      <c r="K19" s="20"/>
      <c r="L19" s="21" t="str">
        <f>IF(OR(NOT(AND($B19&lt;&gt;"",$C19&lt;&gt;"",$D19&lt;&gt;"",$E19&lt;&gt;"")),$A19="",$K19&lt;&gt;"Yes"),"",IF($L19&lt;&gt;"",$L19,INDEX(SETUP!$I$1:$I$2000,MATCH(TRUE,SETUP!$J$1:$J$2000,0)+COUNTIFS($A$2:$A19,"&lt;&gt;",$K$2:$K19,"Yes",$L$2:$L19,"")-1)))</f>
        <v/>
      </c>
      <c r="N19" s="22"/>
    </row>
    <row r="20" spans="1:14" x14ac:dyDescent="0.3">
      <c r="A20" s="15" t="str">
        <f>IF(COUNTA($B20:$E20,$K20)=0,"",IF(AND($B20&lt;&gt;"",$C20&lt;&gt;"",$D20&lt;&gt;"",$E20&lt;&gt;""),"TXS"&amp;TEXT(COUNTIFS($B$2:$B20,"&lt;&gt;",$C$2:$C20,"&lt;&gt;",$D$2:$D20,"&lt;&gt;",$E$2:$E20,"&lt;&gt;"),"00000"),""))</f>
        <v/>
      </c>
      <c r="B20" s="16"/>
      <c r="C20" s="17"/>
      <c r="D20" s="17"/>
      <c r="E20" s="18"/>
      <c r="H20" s="19" t="str">
        <f t="shared" si="0"/>
        <v/>
      </c>
      <c r="I20" s="19" t="str">
        <f t="shared" si="1"/>
        <v/>
      </c>
      <c r="J20" s="19" t="str">
        <f t="shared" si="2"/>
        <v/>
      </c>
      <c r="K20" s="20"/>
      <c r="L20" s="21" t="str">
        <f>IF(OR(NOT(AND($B20&lt;&gt;"",$C20&lt;&gt;"",$D20&lt;&gt;"",$E20&lt;&gt;"")),$A20="",$K20&lt;&gt;"Yes"),"",IF($L20&lt;&gt;"",$L20,INDEX(SETUP!$I$1:$I$2000,MATCH(TRUE,SETUP!$J$1:$J$2000,0)+COUNTIFS($A$2:$A20,"&lt;&gt;",$K$2:$K20,"Yes",$L$2:$L20,"")-1)))</f>
        <v/>
      </c>
      <c r="N20" s="22"/>
    </row>
    <row r="21" spans="1:14" x14ac:dyDescent="0.3">
      <c r="A21" s="15" t="str">
        <f>IF(COUNTA($B21:$E21,$K21)=0,"",IF(AND($B21&lt;&gt;"",$C21&lt;&gt;"",$D21&lt;&gt;"",$E21&lt;&gt;""),"TXS"&amp;TEXT(COUNTIFS($B$2:$B21,"&lt;&gt;",$C$2:$C21,"&lt;&gt;",$D$2:$D21,"&lt;&gt;",$E$2:$E21,"&lt;&gt;"),"00000"),""))</f>
        <v/>
      </c>
      <c r="B21" s="16"/>
      <c r="C21" s="17"/>
      <c r="D21" s="17"/>
      <c r="E21" s="18"/>
      <c r="H21" s="19" t="str">
        <f t="shared" si="0"/>
        <v/>
      </c>
      <c r="I21" s="19" t="str">
        <f t="shared" si="1"/>
        <v/>
      </c>
      <c r="J21" s="19" t="str">
        <f t="shared" si="2"/>
        <v/>
      </c>
      <c r="K21" s="20"/>
      <c r="L21" s="21" t="str">
        <f>IF(OR(NOT(AND($B21&lt;&gt;"",$C21&lt;&gt;"",$D21&lt;&gt;"",$E21&lt;&gt;"")),$A21="",$K21&lt;&gt;"Yes"),"",IF($L21&lt;&gt;"",$L21,INDEX(SETUP!$I$1:$I$2000,MATCH(TRUE,SETUP!$J$1:$J$2000,0)+COUNTIFS($A$2:$A21,"&lt;&gt;",$K$2:$K21,"Yes",$L$2:$L21,"")-1)))</f>
        <v/>
      </c>
      <c r="N21" s="22"/>
    </row>
    <row r="22" spans="1:14" x14ac:dyDescent="0.3">
      <c r="A22" s="15" t="str">
        <f>IF(COUNTA($B22:$E22,$K22)=0,"",IF(AND($B22&lt;&gt;"",$C22&lt;&gt;"",$D22&lt;&gt;"",$E22&lt;&gt;""),"TXS"&amp;TEXT(COUNTIFS($B$2:$B22,"&lt;&gt;",$C$2:$C22,"&lt;&gt;",$D$2:$D22,"&lt;&gt;",$E$2:$E22,"&lt;&gt;"),"00000"),""))</f>
        <v/>
      </c>
      <c r="B22" s="16"/>
      <c r="C22" s="17"/>
      <c r="D22" s="17"/>
      <c r="E22" s="18"/>
      <c r="H22" s="19" t="str">
        <f t="shared" si="0"/>
        <v/>
      </c>
      <c r="I22" s="19" t="str">
        <f t="shared" si="1"/>
        <v/>
      </c>
      <c r="J22" s="19" t="str">
        <f t="shared" si="2"/>
        <v/>
      </c>
      <c r="K22" s="20"/>
      <c r="L22" s="21" t="str">
        <f>IF(OR(NOT(AND($B22&lt;&gt;"",$C22&lt;&gt;"",$D22&lt;&gt;"",$E22&lt;&gt;"")),$A22="",$K22&lt;&gt;"Yes"),"",IF($L22&lt;&gt;"",$L22,INDEX(SETUP!$I$1:$I$2000,MATCH(TRUE,SETUP!$J$1:$J$2000,0)+COUNTIFS($A$2:$A22,"&lt;&gt;",$K$2:$K22,"Yes",$L$2:$L22,"")-1)))</f>
        <v/>
      </c>
      <c r="N22" s="22"/>
    </row>
    <row r="23" spans="1:14" x14ac:dyDescent="0.3">
      <c r="A23" s="15" t="str">
        <f>IF(COUNTA($B23:$E23,$K23)=0,"",IF(AND($B23&lt;&gt;"",$C23&lt;&gt;"",$D23&lt;&gt;"",$E23&lt;&gt;""),"TXS"&amp;TEXT(COUNTIFS($B$2:$B23,"&lt;&gt;",$C$2:$C23,"&lt;&gt;",$D$2:$D23,"&lt;&gt;",$E$2:$E23,"&lt;&gt;"),"00000"),""))</f>
        <v/>
      </c>
      <c r="B23" s="16"/>
      <c r="C23" s="17"/>
      <c r="D23" s="17"/>
      <c r="E23" s="18"/>
      <c r="H23" s="19" t="str">
        <f t="shared" si="0"/>
        <v/>
      </c>
      <c r="I23" s="19" t="str">
        <f t="shared" si="1"/>
        <v/>
      </c>
      <c r="J23" s="19" t="str">
        <f t="shared" si="2"/>
        <v/>
      </c>
      <c r="K23" s="20"/>
      <c r="L23" s="21" t="str">
        <f>IF(OR(NOT(AND($B23&lt;&gt;"",$C23&lt;&gt;"",$D23&lt;&gt;"",$E23&lt;&gt;"")),$A23="",$K23&lt;&gt;"Yes"),"",IF($L23&lt;&gt;"",$L23,INDEX(SETUP!$I$1:$I$2000,MATCH(TRUE,SETUP!$J$1:$J$2000,0)+COUNTIFS($A$2:$A23,"&lt;&gt;",$K$2:$K23,"Yes",$L$2:$L23,"")-1)))</f>
        <v/>
      </c>
      <c r="N23" s="22"/>
    </row>
    <row r="24" spans="1:14" x14ac:dyDescent="0.3">
      <c r="A24" s="15" t="str">
        <f>IF(COUNTA($B24:$E24,$K24)=0,"",IF(AND($B24&lt;&gt;"",$C24&lt;&gt;"",$D24&lt;&gt;"",$E24&lt;&gt;""),"TXS"&amp;TEXT(COUNTIFS($B$2:$B24,"&lt;&gt;",$C$2:$C24,"&lt;&gt;",$D$2:$D24,"&lt;&gt;",$E$2:$E24,"&lt;&gt;"),"00000"),""))</f>
        <v/>
      </c>
      <c r="B24" s="16"/>
      <c r="C24" s="17"/>
      <c r="D24" s="17"/>
      <c r="E24" s="18"/>
      <c r="H24" s="19" t="str">
        <f t="shared" si="0"/>
        <v/>
      </c>
      <c r="I24" s="19" t="str">
        <f t="shared" si="1"/>
        <v/>
      </c>
      <c r="J24" s="19" t="str">
        <f t="shared" si="2"/>
        <v/>
      </c>
      <c r="K24" s="20"/>
      <c r="L24" s="21" t="str">
        <f>IF(OR(NOT(AND($B24&lt;&gt;"",$C24&lt;&gt;"",$D24&lt;&gt;"",$E24&lt;&gt;"")),$A24="",$K24&lt;&gt;"Yes"),"",IF($L24&lt;&gt;"",$L24,INDEX(SETUP!$I$1:$I$2000,MATCH(TRUE,SETUP!$J$1:$J$2000,0)+COUNTIFS($A$2:$A24,"&lt;&gt;",$K$2:$K24,"Yes",$L$2:$L24,"")-1)))</f>
        <v/>
      </c>
      <c r="N24" s="22"/>
    </row>
    <row r="25" spans="1:14" x14ac:dyDescent="0.3">
      <c r="A25" s="15" t="str">
        <f>IF(COUNTA($B25:$E25,$K25)=0,"",IF(AND($B25&lt;&gt;"",$C25&lt;&gt;"",$D25&lt;&gt;"",$E25&lt;&gt;""),"TXS"&amp;TEXT(COUNTIFS($B$2:$B25,"&lt;&gt;",$C$2:$C25,"&lt;&gt;",$D$2:$D25,"&lt;&gt;",$E$2:$E25,"&lt;&gt;"),"00000"),""))</f>
        <v/>
      </c>
      <c r="B25" s="16"/>
      <c r="C25" s="17"/>
      <c r="D25" s="17"/>
      <c r="E25" s="18"/>
      <c r="H25" s="19" t="str">
        <f t="shared" si="0"/>
        <v/>
      </c>
      <c r="I25" s="19" t="str">
        <f t="shared" si="1"/>
        <v/>
      </c>
      <c r="J25" s="19" t="str">
        <f t="shared" si="2"/>
        <v/>
      </c>
      <c r="K25" s="20"/>
      <c r="L25" s="21" t="str">
        <f>IF(OR(NOT(AND($B25&lt;&gt;"",$C25&lt;&gt;"",$D25&lt;&gt;"",$E25&lt;&gt;"")),$A25="",$K25&lt;&gt;"Yes"),"",IF($L25&lt;&gt;"",$L25,INDEX(SETUP!$I$1:$I$2000,MATCH(TRUE,SETUP!$J$1:$J$2000,0)+COUNTIFS($A$2:$A25,"&lt;&gt;",$K$2:$K25,"Yes",$L$2:$L25,"")-1)))</f>
        <v/>
      </c>
      <c r="N25" s="22"/>
    </row>
    <row r="26" spans="1:14" x14ac:dyDescent="0.3">
      <c r="A26" s="15" t="str">
        <f>IF(COUNTA($B26:$E26,$K26)=0,"",IF(AND($B26&lt;&gt;"",$C26&lt;&gt;"",$D26&lt;&gt;"",$E26&lt;&gt;""),"TXS"&amp;TEXT(COUNTIFS($B$2:$B26,"&lt;&gt;",$C$2:$C26,"&lt;&gt;",$D$2:$D26,"&lt;&gt;",$E$2:$E26,"&lt;&gt;"),"00000"),""))</f>
        <v/>
      </c>
      <c r="B26" s="16"/>
      <c r="C26" s="17"/>
      <c r="D26" s="17"/>
      <c r="E26" s="18"/>
      <c r="H26" s="19" t="str">
        <f t="shared" si="0"/>
        <v/>
      </c>
      <c r="I26" s="19" t="str">
        <f t="shared" si="1"/>
        <v/>
      </c>
      <c r="J26" s="19" t="str">
        <f t="shared" si="2"/>
        <v/>
      </c>
      <c r="K26" s="20"/>
      <c r="L26" s="21" t="str">
        <f>IF(OR(NOT(AND($B26&lt;&gt;"",$C26&lt;&gt;"",$D26&lt;&gt;"",$E26&lt;&gt;"")),$A26="",$K26&lt;&gt;"Yes"),"",IF($L26&lt;&gt;"",$L26,INDEX(SETUP!$I$1:$I$2000,MATCH(TRUE,SETUP!$J$1:$J$2000,0)+COUNTIFS($A$2:$A26,"&lt;&gt;",$K$2:$K26,"Yes",$L$2:$L26,"")-1)))</f>
        <v/>
      </c>
      <c r="N26" s="22"/>
    </row>
    <row r="27" spans="1:14" x14ac:dyDescent="0.3">
      <c r="A27" s="15" t="str">
        <f>IF(COUNTA($B27:$E27,$K27)=0,"",IF(AND($B27&lt;&gt;"",$C27&lt;&gt;"",$D27&lt;&gt;"",$E27&lt;&gt;""),"TXS"&amp;TEXT(COUNTIFS($B$2:$B27,"&lt;&gt;",$C$2:$C27,"&lt;&gt;",$D$2:$D27,"&lt;&gt;",$E$2:$E27,"&lt;&gt;"),"00000"),""))</f>
        <v/>
      </c>
      <c r="B27" s="16"/>
      <c r="C27" s="17"/>
      <c r="D27" s="17"/>
      <c r="E27" s="18"/>
      <c r="H27" s="19" t="str">
        <f t="shared" si="0"/>
        <v/>
      </c>
      <c r="I27" s="19" t="str">
        <f t="shared" si="1"/>
        <v/>
      </c>
      <c r="J27" s="19" t="str">
        <f t="shared" si="2"/>
        <v/>
      </c>
      <c r="K27" s="20"/>
      <c r="L27" s="21" t="str">
        <f>IF(OR(NOT(AND($B27&lt;&gt;"",$C27&lt;&gt;"",$D27&lt;&gt;"",$E27&lt;&gt;"")),$A27="",$K27&lt;&gt;"Yes"),"",IF($L27&lt;&gt;"",$L27,INDEX(SETUP!$I$1:$I$2000,MATCH(TRUE,SETUP!$J$1:$J$2000,0)+COUNTIFS($A$2:$A27,"&lt;&gt;",$K$2:$K27,"Yes",$L$2:$L27,"")-1)))</f>
        <v/>
      </c>
      <c r="N27" s="22"/>
    </row>
    <row r="28" spans="1:14" x14ac:dyDescent="0.3">
      <c r="A28" s="15" t="str">
        <f>IF(COUNTA($B28:$E28,$K28)=0,"",IF(AND($B28&lt;&gt;"",$C28&lt;&gt;"",$D28&lt;&gt;"",$E28&lt;&gt;""),"TXS"&amp;TEXT(COUNTIFS($B$2:$B28,"&lt;&gt;",$C$2:$C28,"&lt;&gt;",$D$2:$D28,"&lt;&gt;",$E$2:$E28,"&lt;&gt;"),"00000"),""))</f>
        <v/>
      </c>
      <c r="B28" s="16"/>
      <c r="C28" s="17"/>
      <c r="D28" s="17"/>
      <c r="E28" s="18"/>
      <c r="H28" s="19" t="str">
        <f t="shared" ref="H28:H45" si="3">IF(NOT(AND($B28&lt;&gt;"",$C28&lt;&gt;"",$D28&lt;&gt;"",$E28&lt;&gt;"")),"",IF($A28="","","CDI plate "&amp;INT((VALUE(RIGHT($A28,5))-1)/96)+1&amp;": "&amp;CHAR(65+INT(MOD(VALUE(RIGHT($A28,5))-1,96)/12))&amp;(MOD(VALUE(RIGHT($A28,5))-1,12)+1)))</f>
        <v/>
      </c>
      <c r="I28" s="19" t="str">
        <f t="shared" ref="I28:I50" si="4">IF(NOT(AND($B28&lt;&gt;"",$C28&lt;&gt;"",$D28&lt;&gt;"",$E28&lt;&gt;"")),"",IF($A28="","","NIH plate "&amp;INT((VALUE(RIGHT($A28,5))-1)/96)+1&amp;": "&amp;CHAR(65+INT(MOD(VALUE(RIGHT($A28,5))-1,96)/12))&amp;(MOD(VALUE(RIGHT($A28,5))-1,12)+1)))</f>
        <v/>
      </c>
      <c r="J28" s="19" t="str">
        <f t="shared" ref="J28:J59" si="5">IF(NOT(AND($B28&lt;&gt;"",$C28&lt;&gt;"",$D28&lt;&gt;"",$E28&lt;&gt;"")),"",IF($A28="","","Max Planck plate "&amp;INT((VALUE(RIGHT($A28,5))-1)/96)+1&amp;": "&amp;CHAR(65+INT(MOD(VALUE(RIGHT($A28,5))-1,96)/12))&amp;(MOD(VALUE(RIGHT($A28,5))-1,12)+1)))</f>
        <v/>
      </c>
      <c r="K28" s="20"/>
      <c r="L28" s="21" t="str">
        <f>IF(OR(NOT(AND($B28&lt;&gt;"",$C28&lt;&gt;"",$D28&lt;&gt;"",$E28&lt;&gt;"")),$A28="",$K28&lt;&gt;"Yes"),"",IF($L28&lt;&gt;"",$L28,INDEX(SETUP!$I$1:$I$2000,MATCH(TRUE,SETUP!$J$1:$J$2000,0)+COUNTIFS($A$2:$A28,"&lt;&gt;",$K$2:$K28,"Yes",$L$2:$L28,"")-1)))</f>
        <v/>
      </c>
      <c r="N28" s="22"/>
    </row>
    <row r="29" spans="1:14" x14ac:dyDescent="0.3">
      <c r="A29" s="15" t="str">
        <f>IF(COUNTA($B29:$E29,$K29)=0,"",IF(AND($B29&lt;&gt;"",$C29&lt;&gt;"",$D29&lt;&gt;"",$E29&lt;&gt;""),"TXS"&amp;TEXT(COUNTIFS($B$2:$B29,"&lt;&gt;",$C$2:$C29,"&lt;&gt;",$D$2:$D29,"&lt;&gt;",$E$2:$E29,"&lt;&gt;"),"00000"),""))</f>
        <v/>
      </c>
      <c r="B29" s="16"/>
      <c r="C29" s="17"/>
      <c r="D29" s="17"/>
      <c r="E29" s="18"/>
      <c r="H29" s="19" t="str">
        <f t="shared" si="3"/>
        <v/>
      </c>
      <c r="I29" s="19" t="str">
        <f t="shared" si="4"/>
        <v/>
      </c>
      <c r="J29" s="19" t="str">
        <f t="shared" si="5"/>
        <v/>
      </c>
      <c r="K29" s="20"/>
      <c r="L29" s="21" t="str">
        <f>IF(OR(NOT(AND($B29&lt;&gt;"",$C29&lt;&gt;"",$D29&lt;&gt;"",$E29&lt;&gt;"")),$A29="",$K29&lt;&gt;"Yes"),"",IF($L29&lt;&gt;"",$L29,INDEX(SETUP!$I$1:$I$2000,MATCH(TRUE,SETUP!$J$1:$J$2000,0)+COUNTIFS($A$2:$A29,"&lt;&gt;",$K$2:$K29,"Yes",$L$2:$L29,"")-1)))</f>
        <v/>
      </c>
      <c r="N29" s="22"/>
    </row>
    <row r="30" spans="1:14" x14ac:dyDescent="0.3">
      <c r="A30" s="15" t="str">
        <f>IF(COUNTA($B30:$E30,$K30)=0,"",IF(AND($B30&lt;&gt;"",$C30&lt;&gt;"",$D30&lt;&gt;"",$E30&lt;&gt;""),"TXS"&amp;TEXT(COUNTIFS($B$2:$B30,"&lt;&gt;",$C$2:$C30,"&lt;&gt;",$D$2:$D30,"&lt;&gt;",$E$2:$E30,"&lt;&gt;"),"00000"),""))</f>
        <v/>
      </c>
      <c r="B30" s="16"/>
      <c r="C30" s="17"/>
      <c r="D30" s="17"/>
      <c r="E30" s="18"/>
      <c r="H30" s="19" t="str">
        <f t="shared" si="3"/>
        <v/>
      </c>
      <c r="I30" s="19" t="str">
        <f t="shared" si="4"/>
        <v/>
      </c>
      <c r="J30" s="19" t="str">
        <f t="shared" si="5"/>
        <v/>
      </c>
      <c r="K30" s="20"/>
      <c r="L30" s="21" t="str">
        <f>IF(OR(NOT(AND($B30&lt;&gt;"",$C30&lt;&gt;"",$D30&lt;&gt;"",$E30&lt;&gt;"")),$A30="",$K30&lt;&gt;"Yes"),"",IF($L30&lt;&gt;"",$L30,INDEX(SETUP!$I$1:$I$2000,MATCH(TRUE,SETUP!$J$1:$J$2000,0)+COUNTIFS($A$2:$A30,"&lt;&gt;",$K$2:$K30,"Yes",$L$2:$L30,"")-1)))</f>
        <v/>
      </c>
      <c r="N30" s="22"/>
    </row>
    <row r="31" spans="1:14" x14ac:dyDescent="0.3">
      <c r="A31" s="15" t="str">
        <f>IF(COUNTA($B31:$E31,$K31)=0,"",IF(AND($B31&lt;&gt;"",$C31&lt;&gt;"",$D31&lt;&gt;"",$E31&lt;&gt;""),"TXS"&amp;TEXT(COUNTIFS($B$2:$B31,"&lt;&gt;",$C$2:$C31,"&lt;&gt;",$D$2:$D31,"&lt;&gt;",$E$2:$E31,"&lt;&gt;"),"00000"),""))</f>
        <v/>
      </c>
      <c r="B31" s="16"/>
      <c r="C31" s="17"/>
      <c r="D31" s="17"/>
      <c r="E31" s="18"/>
      <c r="H31" s="19" t="str">
        <f t="shared" si="3"/>
        <v/>
      </c>
      <c r="I31" s="19" t="str">
        <f t="shared" si="4"/>
        <v/>
      </c>
      <c r="J31" s="19" t="str">
        <f t="shared" si="5"/>
        <v/>
      </c>
      <c r="K31" s="20"/>
      <c r="L31" s="21" t="str">
        <f>IF(OR(NOT(AND($B31&lt;&gt;"",$C31&lt;&gt;"",$D31&lt;&gt;"",$E31&lt;&gt;"")),$A31="",$K31&lt;&gt;"Yes"),"",IF($L31&lt;&gt;"",$L31,INDEX(SETUP!$I$1:$I$2000,MATCH(TRUE,SETUP!$J$1:$J$2000,0)+COUNTIFS($A$2:$A31,"&lt;&gt;",$K$2:$K31,"Yes",$L$2:$L31,"")-1)))</f>
        <v/>
      </c>
      <c r="N31" s="22"/>
    </row>
    <row r="32" spans="1:14" x14ac:dyDescent="0.3">
      <c r="A32" s="15" t="str">
        <f>IF(COUNTA($B32:$E32,$K32)=0,"",IF(AND($B32&lt;&gt;"",$C32&lt;&gt;"",$D32&lt;&gt;"",$E32&lt;&gt;""),"TXS"&amp;TEXT(COUNTIFS($B$2:$B32,"&lt;&gt;",$C$2:$C32,"&lt;&gt;",$D$2:$D32,"&lt;&gt;",$E$2:$E32,"&lt;&gt;"),"00000"),""))</f>
        <v/>
      </c>
      <c r="B32" s="16"/>
      <c r="C32" s="17"/>
      <c r="D32" s="17"/>
      <c r="E32" s="18"/>
      <c r="H32" s="19" t="str">
        <f t="shared" si="3"/>
        <v/>
      </c>
      <c r="I32" s="19" t="str">
        <f t="shared" si="4"/>
        <v/>
      </c>
      <c r="J32" s="19" t="str">
        <f t="shared" si="5"/>
        <v/>
      </c>
      <c r="K32" s="20"/>
      <c r="L32" s="21" t="str">
        <f>IF(OR(NOT(AND($B32&lt;&gt;"",$C32&lt;&gt;"",$D32&lt;&gt;"",$E32&lt;&gt;"")),$A32="",$K32&lt;&gt;"Yes"),"",IF($L32&lt;&gt;"",$L32,INDEX(SETUP!$I$1:$I$2000,MATCH(TRUE,SETUP!$J$1:$J$2000,0)+COUNTIFS($A$2:$A32,"&lt;&gt;",$K$2:$K32,"Yes",$L$2:$L32,"")-1)))</f>
        <v/>
      </c>
      <c r="N32" s="22"/>
    </row>
    <row r="33" spans="1:14" x14ac:dyDescent="0.3">
      <c r="A33" s="15" t="str">
        <f>IF(COUNTA($B33:$E33,$K33)=0,"",IF(AND($B33&lt;&gt;"",$C33&lt;&gt;"",$D33&lt;&gt;"",$E33&lt;&gt;""),"TXS"&amp;TEXT(COUNTIFS($B$2:$B33,"&lt;&gt;",$C$2:$C33,"&lt;&gt;",$D$2:$D33,"&lt;&gt;",$E$2:$E33,"&lt;&gt;"),"00000"),""))</f>
        <v/>
      </c>
      <c r="B33" s="16"/>
      <c r="C33" s="17"/>
      <c r="D33" s="17"/>
      <c r="E33" s="18"/>
      <c r="H33" s="19" t="str">
        <f t="shared" si="3"/>
        <v/>
      </c>
      <c r="I33" s="19" t="str">
        <f t="shared" si="4"/>
        <v/>
      </c>
      <c r="J33" s="19" t="str">
        <f t="shared" si="5"/>
        <v/>
      </c>
      <c r="K33" s="20"/>
      <c r="L33" s="21" t="str">
        <f>IF(OR(NOT(AND($B33&lt;&gt;"",$C33&lt;&gt;"",$D33&lt;&gt;"",$E33&lt;&gt;"")),$A33="",$K33&lt;&gt;"Yes"),"",IF($L33&lt;&gt;"",$L33,INDEX(SETUP!$I$1:$I$2000,MATCH(TRUE,SETUP!$J$1:$J$2000,0)+COUNTIFS($A$2:$A33,"&lt;&gt;",$K$2:$K33,"Yes",$L$2:$L33,"")-1)))</f>
        <v/>
      </c>
      <c r="N33" s="22"/>
    </row>
    <row r="34" spans="1:14" x14ac:dyDescent="0.3">
      <c r="A34" s="15" t="str">
        <f>IF(COUNTA($B34:$E34,$K34)=0,"",IF(AND($B34&lt;&gt;"",$C34&lt;&gt;"",$D34&lt;&gt;"",$E34&lt;&gt;""),"TXS"&amp;TEXT(COUNTIFS($B$2:$B34,"&lt;&gt;",$C$2:$C34,"&lt;&gt;",$D$2:$D34,"&lt;&gt;",$E$2:$E34,"&lt;&gt;"),"00000"),""))</f>
        <v/>
      </c>
      <c r="B34" s="16"/>
      <c r="C34" s="17"/>
      <c r="D34" s="17"/>
      <c r="E34" s="18"/>
      <c r="H34" s="19" t="str">
        <f t="shared" si="3"/>
        <v/>
      </c>
      <c r="I34" s="19" t="str">
        <f t="shared" si="4"/>
        <v/>
      </c>
      <c r="J34" s="19" t="str">
        <f t="shared" si="5"/>
        <v/>
      </c>
      <c r="K34" s="20"/>
      <c r="L34" s="21" t="str">
        <f>IF(OR(NOT(AND($B34&lt;&gt;"",$C34&lt;&gt;"",$D34&lt;&gt;"",$E34&lt;&gt;"")),$A34="",$K34&lt;&gt;"Yes"),"",IF($L34&lt;&gt;"",$L34,INDEX(SETUP!$I$1:$I$2000,MATCH(TRUE,SETUP!$J$1:$J$2000,0)+COUNTIFS($A$2:$A34,"&lt;&gt;",$K$2:$K34,"Yes",$L$2:$L34,"")-1)))</f>
        <v/>
      </c>
      <c r="N34" s="22"/>
    </row>
    <row r="35" spans="1:14" x14ac:dyDescent="0.3">
      <c r="A35" s="15" t="str">
        <f>IF(COUNTA($B35:$E35,$K35)=0,"",IF(AND($B35&lt;&gt;"",$C35&lt;&gt;"",$D35&lt;&gt;"",$E35&lt;&gt;""),"TXS"&amp;TEXT(COUNTIFS($B$2:$B35,"&lt;&gt;",$C$2:$C35,"&lt;&gt;",$D$2:$D35,"&lt;&gt;",$E$2:$E35,"&lt;&gt;"),"00000"),""))</f>
        <v/>
      </c>
      <c r="B35" s="16"/>
      <c r="C35" s="17"/>
      <c r="D35" s="17"/>
      <c r="E35" s="18"/>
      <c r="H35" s="19" t="str">
        <f t="shared" si="3"/>
        <v/>
      </c>
      <c r="I35" s="19" t="str">
        <f t="shared" si="4"/>
        <v/>
      </c>
      <c r="J35" s="19" t="str">
        <f t="shared" si="5"/>
        <v/>
      </c>
      <c r="K35" s="20"/>
      <c r="L35" s="21" t="str">
        <f>IF(OR(NOT(AND($B35&lt;&gt;"",$C35&lt;&gt;"",$D35&lt;&gt;"",$E35&lt;&gt;"")),$A35="",$K35&lt;&gt;"Yes"),"",IF($L35&lt;&gt;"",$L35,INDEX(SETUP!$I$1:$I$2000,MATCH(TRUE,SETUP!$J$1:$J$2000,0)+COUNTIFS($A$2:$A35,"&lt;&gt;",$K$2:$K35,"Yes",$L$2:$L35,"")-1)))</f>
        <v/>
      </c>
      <c r="N35" s="22"/>
    </row>
    <row r="36" spans="1:14" x14ac:dyDescent="0.3">
      <c r="A36" s="15" t="str">
        <f>IF(COUNTA($B36:$E36,$K36)=0,"",IF(AND($B36&lt;&gt;"",$C36&lt;&gt;"",$D36&lt;&gt;"",$E36&lt;&gt;""),"TXS"&amp;TEXT(COUNTIFS($B$2:$B36,"&lt;&gt;",$C$2:$C36,"&lt;&gt;",$D$2:$D36,"&lt;&gt;",$E$2:$E36,"&lt;&gt;"),"00000"),""))</f>
        <v/>
      </c>
      <c r="B36" s="16"/>
      <c r="C36" s="17"/>
      <c r="D36" s="17"/>
      <c r="E36" s="18"/>
      <c r="H36" s="19" t="str">
        <f t="shared" si="3"/>
        <v/>
      </c>
      <c r="I36" s="19" t="str">
        <f t="shared" si="4"/>
        <v/>
      </c>
      <c r="J36" s="19" t="str">
        <f t="shared" si="5"/>
        <v/>
      </c>
      <c r="K36" s="20"/>
      <c r="L36" s="21" t="str">
        <f>IF(OR(NOT(AND($B36&lt;&gt;"",$C36&lt;&gt;"",$D36&lt;&gt;"",$E36&lt;&gt;"")),$A36="",$K36&lt;&gt;"Yes"),"",IF($L36&lt;&gt;"",$L36,INDEX(SETUP!$I$1:$I$2000,MATCH(TRUE,SETUP!$J$1:$J$2000,0)+COUNTIFS($A$2:$A36,"&lt;&gt;",$K$2:$K36,"Yes",$L$2:$L36,"")-1)))</f>
        <v/>
      </c>
      <c r="N36" s="22"/>
    </row>
    <row r="37" spans="1:14" x14ac:dyDescent="0.3">
      <c r="A37" s="15" t="str">
        <f>IF(COUNTA($B37:$E37,$K37)=0,"",IF(AND($B37&lt;&gt;"",$C37&lt;&gt;"",$D37&lt;&gt;"",$E37&lt;&gt;""),"TXS"&amp;TEXT(COUNTIFS($B$2:$B37,"&lt;&gt;",$C$2:$C37,"&lt;&gt;",$D$2:$D37,"&lt;&gt;",$E$2:$E37,"&lt;&gt;"),"00000"),""))</f>
        <v/>
      </c>
      <c r="B37" s="16"/>
      <c r="C37" s="17"/>
      <c r="D37" s="17"/>
      <c r="E37" s="18"/>
      <c r="H37" s="19" t="str">
        <f t="shared" si="3"/>
        <v/>
      </c>
      <c r="I37" s="19" t="str">
        <f t="shared" si="4"/>
        <v/>
      </c>
      <c r="J37" s="19" t="str">
        <f t="shared" si="5"/>
        <v/>
      </c>
      <c r="K37" s="20"/>
      <c r="L37" s="21" t="str">
        <f>IF(OR(NOT(AND($B37&lt;&gt;"",$C37&lt;&gt;"",$D37&lt;&gt;"",$E37&lt;&gt;"")),$A37="",$K37&lt;&gt;"Yes"),"",IF($L37&lt;&gt;"",$L37,INDEX(SETUP!$I$1:$I$2000,MATCH(TRUE,SETUP!$J$1:$J$2000,0)+COUNTIFS($A$2:$A37,"&lt;&gt;",$K$2:$K37,"Yes",$L$2:$L37,"")-1)))</f>
        <v/>
      </c>
      <c r="N37" s="22"/>
    </row>
    <row r="38" spans="1:14" x14ac:dyDescent="0.3">
      <c r="A38" s="15" t="str">
        <f>IF(COUNTA($B38:$E38,$K38)=0,"",IF(AND($B38&lt;&gt;"",$C38&lt;&gt;"",$D38&lt;&gt;"",$E38&lt;&gt;""),"TXS"&amp;TEXT(COUNTIFS($B$2:$B38,"&lt;&gt;",$C$2:$C38,"&lt;&gt;",$D$2:$D38,"&lt;&gt;",$E$2:$E38,"&lt;&gt;"),"00000"),""))</f>
        <v/>
      </c>
      <c r="B38" s="16"/>
      <c r="C38" s="17"/>
      <c r="D38" s="17"/>
      <c r="E38" s="18"/>
      <c r="H38" s="19" t="str">
        <f t="shared" si="3"/>
        <v/>
      </c>
      <c r="I38" s="19" t="str">
        <f t="shared" si="4"/>
        <v/>
      </c>
      <c r="J38" s="19" t="str">
        <f t="shared" si="5"/>
        <v/>
      </c>
      <c r="K38" s="20"/>
      <c r="L38" s="21" t="str">
        <f>IF(OR(NOT(AND($B38&lt;&gt;"",$C38&lt;&gt;"",$D38&lt;&gt;"",$E38&lt;&gt;"")),$A38="",$K38&lt;&gt;"Yes"),"",IF($L38&lt;&gt;"",$L38,INDEX(SETUP!$I$1:$I$2000,MATCH(TRUE,SETUP!$J$1:$J$2000,0)+COUNTIFS($A$2:$A38,"&lt;&gt;",$K$2:$K38,"Yes",$L$2:$L38,"")-1)))</f>
        <v/>
      </c>
      <c r="N38" s="22"/>
    </row>
    <row r="39" spans="1:14" x14ac:dyDescent="0.3">
      <c r="A39" s="15" t="str">
        <f>IF(COUNTA($B39:$E39,$K39)=0,"",IF(AND($B39&lt;&gt;"",$C39&lt;&gt;"",$D39&lt;&gt;"",$E39&lt;&gt;""),"TXS"&amp;TEXT(COUNTIFS($B$2:$B39,"&lt;&gt;",$C$2:$C39,"&lt;&gt;",$D$2:$D39,"&lt;&gt;",$E$2:$E39,"&lt;&gt;"),"00000"),""))</f>
        <v/>
      </c>
      <c r="B39" s="16"/>
      <c r="C39" s="17"/>
      <c r="D39" s="17"/>
      <c r="E39" s="18"/>
      <c r="H39" s="19" t="str">
        <f t="shared" si="3"/>
        <v/>
      </c>
      <c r="I39" s="19" t="str">
        <f t="shared" si="4"/>
        <v/>
      </c>
      <c r="J39" s="19" t="str">
        <f t="shared" si="5"/>
        <v/>
      </c>
      <c r="K39" s="20"/>
      <c r="L39" s="21" t="str">
        <f>IF(OR(NOT(AND($B39&lt;&gt;"",$C39&lt;&gt;"",$D39&lt;&gt;"",$E39&lt;&gt;"")),$A39="",$K39&lt;&gt;"Yes"),"",IF($L39&lt;&gt;"",$L39,INDEX(SETUP!$I$1:$I$2000,MATCH(TRUE,SETUP!$J$1:$J$2000,0)+COUNTIFS($A$2:$A39,"&lt;&gt;",$K$2:$K39,"Yes",$L$2:$L39,"")-1)))</f>
        <v/>
      </c>
      <c r="N39" s="22"/>
    </row>
    <row r="40" spans="1:14" x14ac:dyDescent="0.3">
      <c r="A40" s="15" t="str">
        <f>IF(COUNTA($B40:$E40,$K40)=0,"",IF(AND($B40&lt;&gt;"",$C40&lt;&gt;"",$D40&lt;&gt;"",$E40&lt;&gt;""),"TXS"&amp;TEXT(COUNTIFS($B$2:$B40,"&lt;&gt;",$C$2:$C40,"&lt;&gt;",$D$2:$D40,"&lt;&gt;",$E$2:$E40,"&lt;&gt;"),"00000"),""))</f>
        <v/>
      </c>
      <c r="B40" s="16"/>
      <c r="C40" s="17"/>
      <c r="D40" s="17"/>
      <c r="E40" s="18"/>
      <c r="H40" s="19" t="str">
        <f t="shared" si="3"/>
        <v/>
      </c>
      <c r="I40" s="19" t="str">
        <f t="shared" si="4"/>
        <v/>
      </c>
      <c r="J40" s="19" t="str">
        <f t="shared" si="5"/>
        <v/>
      </c>
      <c r="K40" s="20"/>
      <c r="L40" s="21" t="str">
        <f>IF(OR(NOT(AND($B40&lt;&gt;"",$C40&lt;&gt;"",$D40&lt;&gt;"",$E40&lt;&gt;"")),$A40="",$K40&lt;&gt;"Yes"),"",IF($L40&lt;&gt;"",$L40,INDEX(SETUP!$I$1:$I$2000,MATCH(TRUE,SETUP!$J$1:$J$2000,0)+COUNTIFS($A$2:$A40,"&lt;&gt;",$K$2:$K40,"Yes",$L$2:$L40,"")-1)))</f>
        <v/>
      </c>
      <c r="N40" s="22"/>
    </row>
    <row r="41" spans="1:14" x14ac:dyDescent="0.3">
      <c r="A41" s="15" t="str">
        <f>IF(COUNTA($B41:$E41,$K41)=0,"",IF(AND($B41&lt;&gt;"",$C41&lt;&gt;"",$D41&lt;&gt;"",$E41&lt;&gt;""),"TXS"&amp;TEXT(COUNTIFS($B$2:$B41,"&lt;&gt;",$C$2:$C41,"&lt;&gt;",$D$2:$D41,"&lt;&gt;",$E$2:$E41,"&lt;&gt;"),"00000"),""))</f>
        <v/>
      </c>
      <c r="B41" s="16"/>
      <c r="C41" s="17"/>
      <c r="D41" s="17"/>
      <c r="E41" s="18"/>
      <c r="H41" s="19" t="str">
        <f t="shared" si="3"/>
        <v/>
      </c>
      <c r="I41" s="19" t="str">
        <f t="shared" si="4"/>
        <v/>
      </c>
      <c r="J41" s="19" t="str">
        <f t="shared" si="5"/>
        <v/>
      </c>
      <c r="K41" s="20"/>
      <c r="L41" s="21" t="str">
        <f>IF(OR(NOT(AND($B41&lt;&gt;"",$C41&lt;&gt;"",$D41&lt;&gt;"",$E41&lt;&gt;"")),$A41="",$K41&lt;&gt;"Yes"),"",IF($L41&lt;&gt;"",$L41,INDEX(SETUP!$I$1:$I$2000,MATCH(TRUE,SETUP!$J$1:$J$2000,0)+COUNTIFS($A$2:$A41,"&lt;&gt;",$K$2:$K41,"Yes",$L$2:$L41,"")-1)))</f>
        <v/>
      </c>
      <c r="N41" s="22"/>
    </row>
    <row r="42" spans="1:14" x14ac:dyDescent="0.3">
      <c r="A42" s="15" t="str">
        <f>IF(COUNTA($B42:$E42,$K42)=0,"",IF(AND($B42&lt;&gt;"",$C42&lt;&gt;"",$D42&lt;&gt;"",$E42&lt;&gt;""),"TXS"&amp;TEXT(COUNTIFS($B$2:$B42,"&lt;&gt;",$C$2:$C42,"&lt;&gt;",$D$2:$D42,"&lt;&gt;",$E$2:$E42,"&lt;&gt;"),"00000"),""))</f>
        <v/>
      </c>
      <c r="B42" s="16"/>
      <c r="C42" s="17"/>
      <c r="D42" s="17"/>
      <c r="E42" s="18"/>
      <c r="H42" s="19" t="str">
        <f t="shared" si="3"/>
        <v/>
      </c>
      <c r="I42" s="19" t="str">
        <f t="shared" si="4"/>
        <v/>
      </c>
      <c r="J42" s="19" t="str">
        <f t="shared" si="5"/>
        <v/>
      </c>
      <c r="K42" s="20"/>
      <c r="L42" s="21" t="str">
        <f>IF(OR(NOT(AND($B42&lt;&gt;"",$C42&lt;&gt;"",$D42&lt;&gt;"",$E42&lt;&gt;"")),$A42="",$K42&lt;&gt;"Yes"),"",IF($L42&lt;&gt;"",$L42,INDEX(SETUP!$I$1:$I$2000,MATCH(TRUE,SETUP!$J$1:$J$2000,0)+COUNTIFS($A$2:$A42,"&lt;&gt;",$K$2:$K42,"Yes",$L$2:$L42,"")-1)))</f>
        <v/>
      </c>
      <c r="N42" s="22"/>
    </row>
    <row r="43" spans="1:14" x14ac:dyDescent="0.3">
      <c r="A43" s="15" t="str">
        <f>IF(COUNTA($B43:$E43,$K43)=0,"",IF(AND($B43&lt;&gt;"",$C43&lt;&gt;"",$D43&lt;&gt;"",$E43&lt;&gt;""),"TXS"&amp;TEXT(COUNTIFS($B$2:$B43,"&lt;&gt;",$C$2:$C43,"&lt;&gt;",$D$2:$D43,"&lt;&gt;",$E$2:$E43,"&lt;&gt;"),"00000"),""))</f>
        <v/>
      </c>
      <c r="B43" s="16"/>
      <c r="C43" s="17"/>
      <c r="D43" s="17"/>
      <c r="E43" s="18"/>
      <c r="H43" s="19" t="str">
        <f t="shared" si="3"/>
        <v/>
      </c>
      <c r="I43" s="19" t="str">
        <f t="shared" si="4"/>
        <v/>
      </c>
      <c r="J43" s="19" t="str">
        <f t="shared" si="5"/>
        <v/>
      </c>
      <c r="K43" s="20"/>
      <c r="L43" s="21" t="str">
        <f>IF(OR(NOT(AND($B43&lt;&gt;"",$C43&lt;&gt;"",$D43&lt;&gt;"",$E43&lt;&gt;"")),$A43="",$K43&lt;&gt;"Yes"),"",IF($L43&lt;&gt;"",$L43,INDEX(SETUP!$I$1:$I$2000,MATCH(TRUE,SETUP!$J$1:$J$2000,0)+COUNTIFS($A$2:$A43,"&lt;&gt;",$K$2:$K43,"Yes",$L$2:$L43,"")-1)))</f>
        <v/>
      </c>
      <c r="N43" s="22"/>
    </row>
    <row r="44" spans="1:14" x14ac:dyDescent="0.3">
      <c r="A44" s="15" t="str">
        <f>IF(COUNTA($B44:$E44,$K44)=0,"",IF(AND($B44&lt;&gt;"",$C44&lt;&gt;"",$D44&lt;&gt;"",$E44&lt;&gt;""),"TXS"&amp;TEXT(COUNTIFS($B$2:$B44,"&lt;&gt;",$C$2:$C44,"&lt;&gt;",$D$2:$D44,"&lt;&gt;",$E$2:$E44,"&lt;&gt;"),"00000"),""))</f>
        <v/>
      </c>
      <c r="B44" s="16"/>
      <c r="C44" s="17"/>
      <c r="D44" s="17"/>
      <c r="E44" s="18"/>
      <c r="H44" s="19" t="str">
        <f t="shared" si="3"/>
        <v/>
      </c>
      <c r="I44" s="19" t="str">
        <f t="shared" si="4"/>
        <v/>
      </c>
      <c r="J44" s="19" t="str">
        <f t="shared" si="5"/>
        <v/>
      </c>
      <c r="K44" s="20"/>
      <c r="L44" s="21" t="str">
        <f>IF(OR(NOT(AND($B44&lt;&gt;"",$C44&lt;&gt;"",$D44&lt;&gt;"",$E44&lt;&gt;"")),$A44="",$K44&lt;&gt;"Yes"),"",IF($L44&lt;&gt;"",$L44,INDEX(SETUP!$I$1:$I$2000,MATCH(TRUE,SETUP!$J$1:$J$2000,0)+COUNTIFS($A$2:$A44,"&lt;&gt;",$K$2:$K44,"Yes",$L$2:$L44,"")-1)))</f>
        <v/>
      </c>
      <c r="N44" s="22"/>
    </row>
    <row r="45" spans="1:14" x14ac:dyDescent="0.3">
      <c r="A45" s="15" t="str">
        <f>IF(COUNTA($B45:$E45,$K45)=0,"",IF(AND($B45&lt;&gt;"",$C45&lt;&gt;"",$D45&lt;&gt;"",$E45&lt;&gt;""),"TXS"&amp;TEXT(COUNTIFS($B$2:$B45,"&lt;&gt;",$C$2:$C45,"&lt;&gt;",$D$2:$D45,"&lt;&gt;",$E$2:$E45,"&lt;&gt;"),"00000"),""))</f>
        <v/>
      </c>
      <c r="B45" s="16"/>
      <c r="C45" s="17"/>
      <c r="D45" s="17"/>
      <c r="E45" s="18"/>
      <c r="H45" s="19" t="str">
        <f t="shared" si="3"/>
        <v/>
      </c>
      <c r="I45" s="19" t="str">
        <f t="shared" si="4"/>
        <v/>
      </c>
      <c r="J45" s="19" t="str">
        <f t="shared" si="5"/>
        <v/>
      </c>
      <c r="K45" s="20"/>
      <c r="L45" s="21" t="str">
        <f>IF(OR(NOT(AND($B45&lt;&gt;"",$C45&lt;&gt;"",$D45&lt;&gt;"",$E45&lt;&gt;"")),$A45="",$K45&lt;&gt;"Yes"),"",IF($L45&lt;&gt;"",$L45,INDEX(SETUP!$I$1:$I$2000,MATCH(TRUE,SETUP!$J$1:$J$2000,0)+COUNTIFS($A$2:$A45,"&lt;&gt;",$K$2:$K45,"Yes",$L$2:$L45,"")-1)))</f>
        <v/>
      </c>
      <c r="N45" s="22"/>
    </row>
    <row r="46" spans="1:14" x14ac:dyDescent="0.3">
      <c r="A46" s="15" t="str">
        <f>IF(COUNTA($B46:$E46,$K46)=0,"",IF(AND($B46&lt;&gt;"",$C46&lt;&gt;"",$D46&lt;&gt;"",$E46&lt;&gt;""),"TXS"&amp;TEXT(COUNTIFS($B$2:$B46,"&lt;&gt;",$C$2:$C46,"&lt;&gt;",$D$2:$D46,"&lt;&gt;",$E$2:$E46,"&lt;&gt;"),"00000"),""))</f>
        <v/>
      </c>
      <c r="B46" s="16"/>
      <c r="C46" s="17"/>
      <c r="D46" s="17"/>
      <c r="E46" s="18"/>
      <c r="I46" s="19" t="str">
        <f t="shared" si="4"/>
        <v/>
      </c>
      <c r="J46" s="19" t="str">
        <f t="shared" si="5"/>
        <v/>
      </c>
      <c r="K46" s="20"/>
      <c r="L46" s="21" t="str">
        <f>IF(OR(NOT(AND($B46&lt;&gt;"",$C46&lt;&gt;"",$D46&lt;&gt;"",$E46&lt;&gt;"")),$A46="",$K46&lt;&gt;"Yes"),"",IF($L46&lt;&gt;"",$L46,INDEX(SETUP!$I$1:$I$2000,MATCH(TRUE,SETUP!$J$1:$J$2000,0)+COUNTIFS($A$2:$A46,"&lt;&gt;",$K$2:$K46,"Yes",$L$2:$L46,"")-1)))</f>
        <v/>
      </c>
      <c r="N46" s="22"/>
    </row>
    <row r="47" spans="1:14" x14ac:dyDescent="0.3">
      <c r="A47" s="15" t="str">
        <f>IF(COUNTA($B47:$E47,$K47)=0,"",IF(AND($B47&lt;&gt;"",$C47&lt;&gt;"",$D47&lt;&gt;"",$E47&lt;&gt;""),"TXS"&amp;TEXT(COUNTIFS($B$2:$B47,"&lt;&gt;",$C$2:$C47,"&lt;&gt;",$D$2:$D47,"&lt;&gt;",$E$2:$E47,"&lt;&gt;"),"00000"),""))</f>
        <v/>
      </c>
      <c r="B47" s="16"/>
      <c r="C47" s="17"/>
      <c r="D47" s="17"/>
      <c r="E47" s="18"/>
      <c r="H47" s="19" t="str">
        <f t="shared" ref="H47:H110" si="6">IF(NOT(AND($B47&lt;&gt;"",$C47&lt;&gt;"",$D47&lt;&gt;"",$E47&lt;&gt;"")),"",IF($A47="","","CDI plate "&amp;INT((VALUE(RIGHT($A47,5))-1)/96)+1&amp;": "&amp;CHAR(65+INT(MOD(VALUE(RIGHT($A47,5))-1,96)/12))&amp;(MOD(VALUE(RIGHT($A47,5))-1,12)+1)))</f>
        <v/>
      </c>
      <c r="I47" s="19" t="str">
        <f t="shared" si="4"/>
        <v/>
      </c>
      <c r="J47" s="19" t="str">
        <f t="shared" si="5"/>
        <v/>
      </c>
      <c r="K47" s="20"/>
      <c r="L47" s="21" t="str">
        <f>IF(OR(NOT(AND($B47&lt;&gt;"",$C47&lt;&gt;"",$D47&lt;&gt;"",$E47&lt;&gt;"")),$A47="",$K47&lt;&gt;"Yes"),"",IF($L47&lt;&gt;"",$L47,INDEX(SETUP!$I$1:$I$2000,MATCH(TRUE,SETUP!$J$1:$J$2000,0)+COUNTIFS($A$2:$A47,"&lt;&gt;",$K$2:$K47,"Yes",$L$2:$L47,"")-1)))</f>
        <v/>
      </c>
      <c r="N47" s="22"/>
    </row>
    <row r="48" spans="1:14" x14ac:dyDescent="0.3">
      <c r="A48" s="15" t="str">
        <f>IF(COUNTA($B48:$E48,$K48)=0,"",IF(AND($B48&lt;&gt;"",$C48&lt;&gt;"",$D48&lt;&gt;"",$E48&lt;&gt;""),"TXS"&amp;TEXT(COUNTIFS($B$2:$B48,"&lt;&gt;",$C$2:$C48,"&lt;&gt;",$D$2:$D48,"&lt;&gt;",$E$2:$E48,"&lt;&gt;"),"00000"),""))</f>
        <v/>
      </c>
      <c r="B48" s="16"/>
      <c r="C48" s="17"/>
      <c r="D48" s="17"/>
      <c r="E48" s="18"/>
      <c r="H48" s="19" t="str">
        <f t="shared" si="6"/>
        <v/>
      </c>
      <c r="I48" s="19" t="str">
        <f t="shared" si="4"/>
        <v/>
      </c>
      <c r="J48" s="19" t="str">
        <f t="shared" si="5"/>
        <v/>
      </c>
      <c r="K48" s="20"/>
      <c r="L48" s="21" t="str">
        <f>IF(OR(NOT(AND($B48&lt;&gt;"",$C48&lt;&gt;"",$D48&lt;&gt;"",$E48&lt;&gt;"")),$A48="",$K48&lt;&gt;"Yes"),"",IF($L48&lt;&gt;"",$L48,INDEX(SETUP!$I$1:$I$2000,MATCH(TRUE,SETUP!$J$1:$J$2000,0)+COUNTIFS($A$2:$A48,"&lt;&gt;",$K$2:$K48,"Yes",$L$2:$L48,"")-1)))</f>
        <v/>
      </c>
      <c r="N48" s="22"/>
    </row>
    <row r="49" spans="1:14" x14ac:dyDescent="0.3">
      <c r="A49" s="15" t="str">
        <f>IF(COUNTA($B49:$E49,$K49)=0,"",IF(AND($B49&lt;&gt;"",$C49&lt;&gt;"",$D49&lt;&gt;"",$E49&lt;&gt;""),"TXS"&amp;TEXT(COUNTIFS($B$2:$B49,"&lt;&gt;",$C$2:$C49,"&lt;&gt;",$D$2:$D49,"&lt;&gt;",$E$2:$E49,"&lt;&gt;"),"00000"),""))</f>
        <v/>
      </c>
      <c r="B49" s="16"/>
      <c r="C49" s="17"/>
      <c r="D49" s="17"/>
      <c r="E49" s="18"/>
      <c r="H49" s="19" t="str">
        <f t="shared" si="6"/>
        <v/>
      </c>
      <c r="I49" s="19" t="str">
        <f t="shared" si="4"/>
        <v/>
      </c>
      <c r="J49" s="19" t="str">
        <f t="shared" si="5"/>
        <v/>
      </c>
      <c r="K49" s="20"/>
      <c r="L49" s="21" t="str">
        <f>IF(OR(NOT(AND($B49&lt;&gt;"",$C49&lt;&gt;"",$D49&lt;&gt;"",$E49&lt;&gt;"")),$A49="",$K49&lt;&gt;"Yes"),"",IF($L49&lt;&gt;"",$L49,INDEX(SETUP!$I$1:$I$2000,MATCH(TRUE,SETUP!$J$1:$J$2000,0)+COUNTIFS($A$2:$A49,"&lt;&gt;",$K$2:$K49,"Yes",$L$2:$L49,"")-1)))</f>
        <v/>
      </c>
      <c r="N49" s="22"/>
    </row>
    <row r="50" spans="1:14" x14ac:dyDescent="0.3">
      <c r="A50" s="15" t="str">
        <f>IF(COUNTA($B50:$E50,$K50)=0,"",IF(AND($B50&lt;&gt;"",$C50&lt;&gt;"",$D50&lt;&gt;"",$E50&lt;&gt;""),"TXS"&amp;TEXT(COUNTIFS($B$2:$B50,"&lt;&gt;",$C$2:$C50,"&lt;&gt;",$D$2:$D50,"&lt;&gt;",$E$2:$E50,"&lt;&gt;"),"00000"),""))</f>
        <v/>
      </c>
      <c r="B50" s="16"/>
      <c r="C50" s="17"/>
      <c r="D50" s="17"/>
      <c r="E50" s="18"/>
      <c r="H50" s="19" t="str">
        <f t="shared" si="6"/>
        <v/>
      </c>
      <c r="I50" s="19" t="str">
        <f t="shared" si="4"/>
        <v/>
      </c>
      <c r="J50" s="19" t="str">
        <f t="shared" si="5"/>
        <v/>
      </c>
      <c r="K50" s="20"/>
      <c r="L50" s="21" t="str">
        <f>IF(OR(NOT(AND($B50&lt;&gt;"",$C50&lt;&gt;"",$D50&lt;&gt;"",$E50&lt;&gt;"")),$A50="",$K50&lt;&gt;"Yes"),"",IF($L50&lt;&gt;"",$L50,INDEX(SETUP!$I$1:$I$2000,MATCH(TRUE,SETUP!$J$1:$J$2000,0)+COUNTIFS($A$2:$A50,"&lt;&gt;",$K$2:$K50,"Yes",$L$2:$L50,"")-1)))</f>
        <v/>
      </c>
      <c r="N50" s="22"/>
    </row>
    <row r="51" spans="1:14" x14ac:dyDescent="0.3">
      <c r="A51" s="15" t="str">
        <f>IF(COUNTA($B51:$E51,$K51)=0,"",IF(AND($B51&lt;&gt;"",$C51&lt;&gt;"",$D51&lt;&gt;"",$E51&lt;&gt;""),"TXS"&amp;TEXT(COUNTIFS($B$2:$B51,"&lt;&gt;",$C$2:$C51,"&lt;&gt;",$D$2:$D51,"&lt;&gt;",$E$2:$E51,"&lt;&gt;"),"00000"),""))</f>
        <v/>
      </c>
      <c r="B51" s="16"/>
      <c r="C51" s="17"/>
      <c r="D51" s="17"/>
      <c r="E51" s="18"/>
      <c r="H51" s="19" t="str">
        <f t="shared" si="6"/>
        <v/>
      </c>
      <c r="J51" s="19" t="str">
        <f t="shared" si="5"/>
        <v/>
      </c>
      <c r="K51" s="20"/>
      <c r="L51" s="21" t="str">
        <f>IF(OR(NOT(AND($B51&lt;&gt;"",$C51&lt;&gt;"",$D51&lt;&gt;"",$E51&lt;&gt;"")),$A51="",$K51&lt;&gt;"Yes"),"",IF($L51&lt;&gt;"",$L51,INDEX(SETUP!$I$1:$I$2000,MATCH(TRUE,SETUP!$J$1:$J$2000,0)+COUNTIFS($A$2:$A51,"&lt;&gt;",$K$2:$K51,"Yes",$L$2:$L51,"")-1)))</f>
        <v/>
      </c>
      <c r="N51" s="22"/>
    </row>
    <row r="52" spans="1:14" x14ac:dyDescent="0.3">
      <c r="A52" s="15" t="str">
        <f>IF(COUNTA($B52:$E52,$K52)=0,"",IF(AND($B52&lt;&gt;"",$C52&lt;&gt;"",$D52&lt;&gt;"",$E52&lt;&gt;""),"TXS"&amp;TEXT(COUNTIFS($B$2:$B52,"&lt;&gt;",$C$2:$C52,"&lt;&gt;",$D$2:$D52,"&lt;&gt;",$E$2:$E52,"&lt;&gt;"),"00000"),""))</f>
        <v/>
      </c>
      <c r="B52" s="16"/>
      <c r="C52" s="17"/>
      <c r="D52" s="17"/>
      <c r="E52" s="18"/>
      <c r="H52" s="19" t="str">
        <f t="shared" si="6"/>
        <v/>
      </c>
      <c r="I52" s="19" t="str">
        <f t="shared" ref="I52:I83" si="7">IF(NOT(AND($B52&lt;&gt;"",$C52&lt;&gt;"",$D52&lt;&gt;"",$E52&lt;&gt;"")),"",IF($A52="","","NIH plate "&amp;INT((VALUE(RIGHT($A52,5))-1)/96)+1&amp;": "&amp;CHAR(65+INT(MOD(VALUE(RIGHT($A52,5))-1,96)/12))&amp;(MOD(VALUE(RIGHT($A52,5))-1,12)+1)))</f>
        <v/>
      </c>
      <c r="J52" s="19" t="str">
        <f t="shared" si="5"/>
        <v/>
      </c>
      <c r="K52" s="20"/>
      <c r="L52" s="21" t="str">
        <f>IF(OR(NOT(AND($B52&lt;&gt;"",$C52&lt;&gt;"",$D52&lt;&gt;"",$E52&lt;&gt;"")),$A52="",$K52&lt;&gt;"Yes"),"",IF($L52&lt;&gt;"",$L52,INDEX(SETUP!$I$1:$I$2000,MATCH(TRUE,SETUP!$J$1:$J$2000,0)+COUNTIFS($A$2:$A52,"&lt;&gt;",$K$2:$K52,"Yes",$L$2:$L52,"")-1)))</f>
        <v/>
      </c>
      <c r="N52" s="22"/>
    </row>
    <row r="53" spans="1:14" x14ac:dyDescent="0.3">
      <c r="A53" s="15" t="str">
        <f>IF(COUNTA($B53:$E53,$K53)=0,"",IF(AND($B53&lt;&gt;"",$C53&lt;&gt;"",$D53&lt;&gt;"",$E53&lt;&gt;""),"TXS"&amp;TEXT(COUNTIFS($B$2:$B53,"&lt;&gt;",$C$2:$C53,"&lt;&gt;",$D$2:$D53,"&lt;&gt;",$E$2:$E53,"&lt;&gt;"),"00000"),""))</f>
        <v/>
      </c>
      <c r="B53" s="16"/>
      <c r="C53" s="17"/>
      <c r="D53" s="17"/>
      <c r="E53" s="18"/>
      <c r="H53" s="19" t="str">
        <f t="shared" si="6"/>
        <v/>
      </c>
      <c r="I53" s="19" t="str">
        <f t="shared" si="7"/>
        <v/>
      </c>
      <c r="J53" s="19" t="str">
        <f t="shared" si="5"/>
        <v/>
      </c>
      <c r="K53" s="20"/>
      <c r="L53" s="21" t="str">
        <f>IF(OR(NOT(AND($B53&lt;&gt;"",$C53&lt;&gt;"",$D53&lt;&gt;"",$E53&lt;&gt;"")),$A53="",$K53&lt;&gt;"Yes"),"",IF($L53&lt;&gt;"",$L53,INDEX(SETUP!$I$1:$I$2000,MATCH(TRUE,SETUP!$J$1:$J$2000,0)+COUNTIFS($A$2:$A53,"&lt;&gt;",$K$2:$K53,"Yes",$L$2:$L53,"")-1)))</f>
        <v/>
      </c>
      <c r="N53" s="22"/>
    </row>
    <row r="54" spans="1:14" x14ac:dyDescent="0.3">
      <c r="A54" s="15" t="str">
        <f>IF(COUNTA($B54:$E54,$K54)=0,"",IF(AND($B54&lt;&gt;"",$C54&lt;&gt;"",$D54&lt;&gt;"",$E54&lt;&gt;""),"TXS"&amp;TEXT(COUNTIFS($B$2:$B54,"&lt;&gt;",$C$2:$C54,"&lt;&gt;",$D$2:$D54,"&lt;&gt;",$E$2:$E54,"&lt;&gt;"),"00000"),""))</f>
        <v/>
      </c>
      <c r="B54" s="16"/>
      <c r="C54" s="17"/>
      <c r="D54" s="17"/>
      <c r="E54" s="18"/>
      <c r="H54" s="19" t="str">
        <f t="shared" si="6"/>
        <v/>
      </c>
      <c r="I54" s="19" t="str">
        <f t="shared" si="7"/>
        <v/>
      </c>
      <c r="J54" s="19" t="str">
        <f t="shared" si="5"/>
        <v/>
      </c>
      <c r="K54" s="20"/>
      <c r="L54" s="21" t="str">
        <f>IF(OR(NOT(AND($B54&lt;&gt;"",$C54&lt;&gt;"",$D54&lt;&gt;"",$E54&lt;&gt;"")),$A54="",$K54&lt;&gt;"Yes"),"",IF($L54&lt;&gt;"",$L54,INDEX(SETUP!$I$1:$I$2000,MATCH(TRUE,SETUP!$J$1:$J$2000,0)+COUNTIFS($A$2:$A54,"&lt;&gt;",$K$2:$K54,"Yes",$L$2:$L54,"")-1)))</f>
        <v/>
      </c>
      <c r="N54" s="22"/>
    </row>
    <row r="55" spans="1:14" x14ac:dyDescent="0.3">
      <c r="A55" s="15" t="str">
        <f>IF(COUNTA($B55:$E55,$K55)=0,"",IF(AND($B55&lt;&gt;"",$C55&lt;&gt;"",$D55&lt;&gt;"",$E55&lt;&gt;""),"TXS"&amp;TEXT(COUNTIFS($B$2:$B55,"&lt;&gt;",$C$2:$C55,"&lt;&gt;",$D$2:$D55,"&lt;&gt;",$E$2:$E55,"&lt;&gt;"),"00000"),""))</f>
        <v/>
      </c>
      <c r="B55" s="16"/>
      <c r="C55" s="17"/>
      <c r="D55" s="17"/>
      <c r="E55" s="18"/>
      <c r="H55" s="19" t="str">
        <f t="shared" si="6"/>
        <v/>
      </c>
      <c r="I55" s="19" t="str">
        <f t="shared" si="7"/>
        <v/>
      </c>
      <c r="J55" s="19" t="str">
        <f t="shared" si="5"/>
        <v/>
      </c>
      <c r="K55" s="20"/>
      <c r="L55" s="21" t="str">
        <f>IF(OR(NOT(AND($B55&lt;&gt;"",$C55&lt;&gt;"",$D55&lt;&gt;"",$E55&lt;&gt;"")),$A55="",$K55&lt;&gt;"Yes"),"",IF($L55&lt;&gt;"",$L55,INDEX(SETUP!$I$1:$I$2000,MATCH(TRUE,SETUP!$J$1:$J$2000,0)+COUNTIFS($A$2:$A55,"&lt;&gt;",$K$2:$K55,"Yes",$L$2:$L55,"")-1)))</f>
        <v/>
      </c>
      <c r="N55" s="22"/>
    </row>
    <row r="56" spans="1:14" x14ac:dyDescent="0.3">
      <c r="A56" s="15" t="str">
        <f>IF(COUNTA($B56:$E56,$K56)=0,"",IF(AND($B56&lt;&gt;"",$C56&lt;&gt;"",$D56&lt;&gt;"",$E56&lt;&gt;""),"TXS"&amp;TEXT(COUNTIFS($B$2:$B56,"&lt;&gt;",$C$2:$C56,"&lt;&gt;",$D$2:$D56,"&lt;&gt;",$E$2:$E56,"&lt;&gt;"),"00000"),""))</f>
        <v/>
      </c>
      <c r="B56" s="16"/>
      <c r="C56" s="17"/>
      <c r="D56" s="17"/>
      <c r="E56" s="18"/>
      <c r="H56" s="19" t="str">
        <f t="shared" si="6"/>
        <v/>
      </c>
      <c r="I56" s="19" t="str">
        <f t="shared" si="7"/>
        <v/>
      </c>
      <c r="J56" s="19" t="str">
        <f t="shared" si="5"/>
        <v/>
      </c>
      <c r="K56" s="20"/>
      <c r="L56" s="21" t="str">
        <f>IF(OR(NOT(AND($B56&lt;&gt;"",$C56&lt;&gt;"",$D56&lt;&gt;"",$E56&lt;&gt;"")),$A56="",$K56&lt;&gt;"Yes"),"",IF($L56&lt;&gt;"",$L56,INDEX(SETUP!$I$1:$I$2000,MATCH(TRUE,SETUP!$J$1:$J$2000,0)+COUNTIFS($A$2:$A56,"&lt;&gt;",$K$2:$K56,"Yes",$L$2:$L56,"")-1)))</f>
        <v/>
      </c>
      <c r="N56" s="22"/>
    </row>
    <row r="57" spans="1:14" x14ac:dyDescent="0.3">
      <c r="A57" s="15" t="str">
        <f>IF(COUNTA($B57:$E57,$K57)=0,"",IF(AND($B57&lt;&gt;"",$C57&lt;&gt;"",$D57&lt;&gt;"",$E57&lt;&gt;""),"TXS"&amp;TEXT(COUNTIFS($B$2:$B57,"&lt;&gt;",$C$2:$C57,"&lt;&gt;",$D$2:$D57,"&lt;&gt;",$E$2:$E57,"&lt;&gt;"),"00000"),""))</f>
        <v/>
      </c>
      <c r="B57" s="16"/>
      <c r="C57" s="17"/>
      <c r="D57" s="17"/>
      <c r="E57" s="18"/>
      <c r="H57" s="19" t="str">
        <f t="shared" si="6"/>
        <v/>
      </c>
      <c r="I57" s="19" t="str">
        <f t="shared" si="7"/>
        <v/>
      </c>
      <c r="J57" s="19" t="str">
        <f t="shared" si="5"/>
        <v/>
      </c>
      <c r="K57" s="20"/>
      <c r="L57" s="21" t="str">
        <f>IF(OR(NOT(AND($B57&lt;&gt;"",$C57&lt;&gt;"",$D57&lt;&gt;"",$E57&lt;&gt;"")),$A57="",$K57&lt;&gt;"Yes"),"",IF($L57&lt;&gt;"",$L57,INDEX(SETUP!$I$1:$I$2000,MATCH(TRUE,SETUP!$J$1:$J$2000,0)+COUNTIFS($A$2:$A57,"&lt;&gt;",$K$2:$K57,"Yes",$L$2:$L57,"")-1)))</f>
        <v/>
      </c>
      <c r="N57" s="22"/>
    </row>
    <row r="58" spans="1:14" x14ac:dyDescent="0.3">
      <c r="A58" s="15" t="str">
        <f>IF(COUNTA($B58:$E58,$K58)=0,"",IF(AND($B58&lt;&gt;"",$C58&lt;&gt;"",$D58&lt;&gt;"",$E58&lt;&gt;""),"TXS"&amp;TEXT(COUNTIFS($B$2:$B58,"&lt;&gt;",$C$2:$C58,"&lt;&gt;",$D$2:$D58,"&lt;&gt;",$E$2:$E58,"&lt;&gt;"),"00000"),""))</f>
        <v/>
      </c>
      <c r="B58" s="16"/>
      <c r="C58" s="17"/>
      <c r="D58" s="17"/>
      <c r="E58" s="18"/>
      <c r="H58" s="19" t="str">
        <f t="shared" si="6"/>
        <v/>
      </c>
      <c r="I58" s="19" t="str">
        <f t="shared" si="7"/>
        <v/>
      </c>
      <c r="J58" s="19" t="str">
        <f t="shared" si="5"/>
        <v/>
      </c>
      <c r="K58" s="20"/>
      <c r="L58" s="21" t="str">
        <f>IF(OR(NOT(AND($B58&lt;&gt;"",$C58&lt;&gt;"",$D58&lt;&gt;"",$E58&lt;&gt;"")),$A58="",$K58&lt;&gt;"Yes"),"",IF($L58&lt;&gt;"",$L58,INDEX(SETUP!$I$1:$I$2000,MATCH(TRUE,SETUP!$J$1:$J$2000,0)+COUNTIFS($A$2:$A58,"&lt;&gt;",$K$2:$K58,"Yes",$L$2:$L58,"")-1)))</f>
        <v/>
      </c>
      <c r="N58" s="22"/>
    </row>
    <row r="59" spans="1:14" x14ac:dyDescent="0.3">
      <c r="A59" s="15" t="str">
        <f>IF(COUNTA($B59:$E59,$K59)=0,"",IF(AND($B59&lt;&gt;"",$C59&lt;&gt;"",$D59&lt;&gt;"",$E59&lt;&gt;""),"TXS"&amp;TEXT(COUNTIFS($B$2:$B59,"&lt;&gt;",$C$2:$C59,"&lt;&gt;",$D$2:$D59,"&lt;&gt;",$E$2:$E59,"&lt;&gt;"),"00000"),""))</f>
        <v/>
      </c>
      <c r="B59" s="16"/>
      <c r="C59" s="17"/>
      <c r="D59" s="17"/>
      <c r="E59" s="18"/>
      <c r="H59" s="19" t="str">
        <f t="shared" si="6"/>
        <v/>
      </c>
      <c r="I59" s="19" t="str">
        <f t="shared" si="7"/>
        <v/>
      </c>
      <c r="J59" s="19" t="str">
        <f t="shared" si="5"/>
        <v/>
      </c>
      <c r="K59" s="20"/>
      <c r="L59" s="21" t="str">
        <f>IF(OR(NOT(AND($B59&lt;&gt;"",$C59&lt;&gt;"",$D59&lt;&gt;"",$E59&lt;&gt;"")),$A59="",$K59&lt;&gt;"Yes"),"",IF($L59&lt;&gt;"",$L59,INDEX(SETUP!$I$1:$I$2000,MATCH(TRUE,SETUP!$J$1:$J$2000,0)+COUNTIFS($A$2:$A59,"&lt;&gt;",$K$2:$K59,"Yes",$L$2:$L59,"")-1)))</f>
        <v/>
      </c>
      <c r="N59" s="22"/>
    </row>
    <row r="60" spans="1:14" x14ac:dyDescent="0.3">
      <c r="A60" s="15" t="str">
        <f>IF(COUNTA($B60:$E60,$K60)=0,"",IF(AND($B60&lt;&gt;"",$C60&lt;&gt;"",$D60&lt;&gt;"",$E60&lt;&gt;""),"TXS"&amp;TEXT(COUNTIFS($B$2:$B60,"&lt;&gt;",$C$2:$C60,"&lt;&gt;",$D$2:$D60,"&lt;&gt;",$E$2:$E60,"&lt;&gt;"),"00000"),""))</f>
        <v/>
      </c>
      <c r="B60" s="16"/>
      <c r="C60" s="17"/>
      <c r="D60" s="17"/>
      <c r="E60" s="18"/>
      <c r="H60" s="19" t="str">
        <f t="shared" si="6"/>
        <v/>
      </c>
      <c r="I60" s="19" t="str">
        <f t="shared" si="7"/>
        <v/>
      </c>
      <c r="J60" s="19" t="str">
        <f t="shared" ref="J60:J91" si="8">IF(NOT(AND($B60&lt;&gt;"",$C60&lt;&gt;"",$D60&lt;&gt;"",$E60&lt;&gt;"")),"",IF($A60="","","Max Planck plate "&amp;INT((VALUE(RIGHT($A60,5))-1)/96)+1&amp;": "&amp;CHAR(65+INT(MOD(VALUE(RIGHT($A60,5))-1,96)/12))&amp;(MOD(VALUE(RIGHT($A60,5))-1,12)+1)))</f>
        <v/>
      </c>
      <c r="K60" s="20"/>
      <c r="L60" s="21" t="str">
        <f>IF(OR(NOT(AND($B60&lt;&gt;"",$C60&lt;&gt;"",$D60&lt;&gt;"",$E60&lt;&gt;"")),$A60="",$K60&lt;&gt;"Yes"),"",IF($L60&lt;&gt;"",$L60,INDEX(SETUP!$I$1:$I$2000,MATCH(TRUE,SETUP!$J$1:$J$2000,0)+COUNTIFS($A$2:$A60,"&lt;&gt;",$K$2:$K60,"Yes",$L$2:$L60,"")-1)))</f>
        <v/>
      </c>
      <c r="N60" s="22"/>
    </row>
    <row r="61" spans="1:14" x14ac:dyDescent="0.3">
      <c r="A61" s="15" t="str">
        <f>IF(COUNTA($B61:$E61,$K61)=0,"",IF(AND($B61&lt;&gt;"",$C61&lt;&gt;"",$D61&lt;&gt;"",$E61&lt;&gt;""),"TXS"&amp;TEXT(COUNTIFS($B$2:$B61,"&lt;&gt;",$C$2:$C61,"&lt;&gt;",$D$2:$D61,"&lt;&gt;",$E$2:$E61,"&lt;&gt;"),"00000"),""))</f>
        <v/>
      </c>
      <c r="B61" s="16"/>
      <c r="C61" s="17"/>
      <c r="D61" s="17"/>
      <c r="E61" s="18"/>
      <c r="H61" s="19" t="str">
        <f t="shared" si="6"/>
        <v/>
      </c>
      <c r="I61" s="19" t="str">
        <f t="shared" si="7"/>
        <v/>
      </c>
      <c r="J61" s="19" t="str">
        <f t="shared" si="8"/>
        <v/>
      </c>
      <c r="K61" s="20"/>
      <c r="L61" s="21" t="str">
        <f>IF(OR(NOT(AND($B61&lt;&gt;"",$C61&lt;&gt;"",$D61&lt;&gt;"",$E61&lt;&gt;"")),$A61="",$K61&lt;&gt;"Yes"),"",IF($L61&lt;&gt;"",$L61,INDEX(SETUP!$I$1:$I$2000,MATCH(TRUE,SETUP!$J$1:$J$2000,0)+COUNTIFS($A$2:$A61,"&lt;&gt;",$K$2:$K61,"Yes",$L$2:$L61,"")-1)))</f>
        <v/>
      </c>
      <c r="N61" s="22"/>
    </row>
    <row r="62" spans="1:14" x14ac:dyDescent="0.3">
      <c r="A62" s="15" t="str">
        <f>IF(COUNTA($B62:$E62,$K62)=0,"",IF(AND($B62&lt;&gt;"",$C62&lt;&gt;"",$D62&lt;&gt;"",$E62&lt;&gt;""),"TXS"&amp;TEXT(COUNTIFS($B$2:$B62,"&lt;&gt;",$C$2:$C62,"&lt;&gt;",$D$2:$D62,"&lt;&gt;",$E$2:$E62,"&lt;&gt;"),"00000"),""))</f>
        <v/>
      </c>
      <c r="B62" s="16"/>
      <c r="C62" s="17"/>
      <c r="D62" s="17"/>
      <c r="E62" s="18"/>
      <c r="H62" s="19" t="str">
        <f t="shared" si="6"/>
        <v/>
      </c>
      <c r="I62" s="19" t="str">
        <f t="shared" si="7"/>
        <v/>
      </c>
      <c r="J62" s="19" t="str">
        <f t="shared" si="8"/>
        <v/>
      </c>
      <c r="K62" s="20"/>
      <c r="L62" s="21" t="str">
        <f>IF(OR(NOT(AND($B62&lt;&gt;"",$C62&lt;&gt;"",$D62&lt;&gt;"",$E62&lt;&gt;"")),$A62="",$K62&lt;&gt;"Yes"),"",IF($L62&lt;&gt;"",$L62,INDEX(SETUP!$I$1:$I$2000,MATCH(TRUE,SETUP!$J$1:$J$2000,0)+COUNTIFS($A$2:$A62,"&lt;&gt;",$K$2:$K62,"Yes",$L$2:$L62,"")-1)))</f>
        <v/>
      </c>
      <c r="N62" s="22"/>
    </row>
    <row r="63" spans="1:14" x14ac:dyDescent="0.3">
      <c r="A63" s="15" t="str">
        <f>IF(COUNTA($B63:$E63,$K63)=0,"",IF(AND($B63&lt;&gt;"",$C63&lt;&gt;"",$D63&lt;&gt;"",$E63&lt;&gt;""),"TXS"&amp;TEXT(COUNTIFS($B$2:$B63,"&lt;&gt;",$C$2:$C63,"&lt;&gt;",$D$2:$D63,"&lt;&gt;",$E$2:$E63,"&lt;&gt;"),"00000"),""))</f>
        <v/>
      </c>
      <c r="B63" s="16"/>
      <c r="C63" s="17"/>
      <c r="D63" s="17"/>
      <c r="E63" s="18"/>
      <c r="H63" s="19" t="str">
        <f t="shared" si="6"/>
        <v/>
      </c>
      <c r="I63" s="19" t="str">
        <f t="shared" si="7"/>
        <v/>
      </c>
      <c r="J63" s="19" t="str">
        <f t="shared" si="8"/>
        <v/>
      </c>
      <c r="K63" s="20"/>
      <c r="L63" s="21" t="str">
        <f>IF(OR(NOT(AND($B63&lt;&gt;"",$C63&lt;&gt;"",$D63&lt;&gt;"",$E63&lt;&gt;"")),$A63="",$K63&lt;&gt;"Yes"),"",IF($L63&lt;&gt;"",$L63,INDEX(SETUP!$I$1:$I$2000,MATCH(TRUE,SETUP!$J$1:$J$2000,0)+COUNTIFS($A$2:$A63,"&lt;&gt;",$K$2:$K63,"Yes",$L$2:$L63,"")-1)))</f>
        <v/>
      </c>
      <c r="N63" s="22"/>
    </row>
    <row r="64" spans="1:14" x14ac:dyDescent="0.3">
      <c r="A64" s="15" t="str">
        <f>IF(COUNTA($B64:$E64,$K64)=0,"",IF(AND($B64&lt;&gt;"",$C64&lt;&gt;"",$D64&lt;&gt;"",$E64&lt;&gt;""),"TXS"&amp;TEXT(COUNTIFS($B$2:$B64,"&lt;&gt;",$C$2:$C64,"&lt;&gt;",$D$2:$D64,"&lt;&gt;",$E$2:$E64,"&lt;&gt;"),"00000"),""))</f>
        <v/>
      </c>
      <c r="B64" s="16"/>
      <c r="C64" s="17"/>
      <c r="D64" s="17"/>
      <c r="E64" s="18"/>
      <c r="H64" s="19" t="str">
        <f t="shared" si="6"/>
        <v/>
      </c>
      <c r="I64" s="19" t="str">
        <f t="shared" si="7"/>
        <v/>
      </c>
      <c r="J64" s="19" t="str">
        <f t="shared" si="8"/>
        <v/>
      </c>
      <c r="K64" s="20"/>
      <c r="L64" s="21" t="str">
        <f>IF(OR(NOT(AND($B64&lt;&gt;"",$C64&lt;&gt;"",$D64&lt;&gt;"",$E64&lt;&gt;"")),$A64="",$K64&lt;&gt;"Yes"),"",IF($L64&lt;&gt;"",$L64,INDEX(SETUP!$I$1:$I$2000,MATCH(TRUE,SETUP!$J$1:$J$2000,0)+COUNTIFS($A$2:$A64,"&lt;&gt;",$K$2:$K64,"Yes",$L$2:$L64,"")-1)))</f>
        <v/>
      </c>
      <c r="N64" s="22"/>
    </row>
    <row r="65" spans="1:14" x14ac:dyDescent="0.3">
      <c r="A65" s="15" t="str">
        <f>IF(COUNTA($B65:$E65,$K65)=0,"",IF(AND($B65&lt;&gt;"",$C65&lt;&gt;"",$D65&lt;&gt;"",$E65&lt;&gt;""),"TXS"&amp;TEXT(COUNTIFS($B$2:$B65,"&lt;&gt;",$C$2:$C65,"&lt;&gt;",$D$2:$D65,"&lt;&gt;",$E$2:$E65,"&lt;&gt;"),"00000"),""))</f>
        <v/>
      </c>
      <c r="B65" s="16"/>
      <c r="C65" s="17"/>
      <c r="D65" s="17"/>
      <c r="E65" s="18"/>
      <c r="H65" s="19" t="str">
        <f t="shared" si="6"/>
        <v/>
      </c>
      <c r="I65" s="19" t="str">
        <f t="shared" si="7"/>
        <v/>
      </c>
      <c r="J65" s="19" t="str">
        <f t="shared" si="8"/>
        <v/>
      </c>
      <c r="K65" s="20"/>
      <c r="L65" s="21" t="str">
        <f>IF(OR(NOT(AND($B65&lt;&gt;"",$C65&lt;&gt;"",$D65&lt;&gt;"",$E65&lt;&gt;"")),$A65="",$K65&lt;&gt;"Yes"),"",IF($L65&lt;&gt;"",$L65,INDEX(SETUP!$I$1:$I$2000,MATCH(TRUE,SETUP!$J$1:$J$2000,0)+COUNTIFS($A$2:$A65,"&lt;&gt;",$K$2:$K65,"Yes",$L$2:$L65,"")-1)))</f>
        <v/>
      </c>
      <c r="N65" s="22"/>
    </row>
    <row r="66" spans="1:14" x14ac:dyDescent="0.3">
      <c r="A66" s="15" t="str">
        <f>IF(COUNTA($B66:$E66,$K66)=0,"",IF(AND($B66&lt;&gt;"",$C66&lt;&gt;"",$D66&lt;&gt;"",$E66&lt;&gt;""),"TXS"&amp;TEXT(COUNTIFS($B$2:$B66,"&lt;&gt;",$C$2:$C66,"&lt;&gt;",$D$2:$D66,"&lt;&gt;",$E$2:$E66,"&lt;&gt;"),"00000"),""))</f>
        <v/>
      </c>
      <c r="B66" s="16"/>
      <c r="C66" s="17"/>
      <c r="D66" s="17"/>
      <c r="E66" s="18"/>
      <c r="H66" s="19" t="str">
        <f t="shared" si="6"/>
        <v/>
      </c>
      <c r="I66" s="19" t="str">
        <f t="shared" si="7"/>
        <v/>
      </c>
      <c r="J66" s="19" t="str">
        <f t="shared" si="8"/>
        <v/>
      </c>
      <c r="K66" s="20"/>
      <c r="L66" s="21" t="str">
        <f>IF(OR(NOT(AND($B66&lt;&gt;"",$C66&lt;&gt;"",$D66&lt;&gt;"",$E66&lt;&gt;"")),$A66="",$K66&lt;&gt;"Yes"),"",IF($L66&lt;&gt;"",$L66,INDEX(SETUP!$I$1:$I$2000,MATCH(TRUE,SETUP!$J$1:$J$2000,0)+COUNTIFS($A$2:$A66,"&lt;&gt;",$K$2:$K66,"Yes",$L$2:$L66,"")-1)))</f>
        <v/>
      </c>
      <c r="N66" s="22"/>
    </row>
    <row r="67" spans="1:14" x14ac:dyDescent="0.3">
      <c r="A67" s="15" t="str">
        <f>IF(COUNTA($B67:$E67,$K67)=0,"",IF(AND($B67&lt;&gt;"",$C67&lt;&gt;"",$D67&lt;&gt;"",$E67&lt;&gt;""),"TXS"&amp;TEXT(COUNTIFS($B$2:$B67,"&lt;&gt;",$C$2:$C67,"&lt;&gt;",$D$2:$D67,"&lt;&gt;",$E$2:$E67,"&lt;&gt;"),"00000"),""))</f>
        <v/>
      </c>
      <c r="B67" s="16"/>
      <c r="C67" s="17"/>
      <c r="D67" s="17"/>
      <c r="E67" s="18"/>
      <c r="H67" s="19" t="str">
        <f t="shared" si="6"/>
        <v/>
      </c>
      <c r="I67" s="19" t="str">
        <f t="shared" si="7"/>
        <v/>
      </c>
      <c r="J67" s="19" t="str">
        <f t="shared" si="8"/>
        <v/>
      </c>
      <c r="K67" s="20"/>
      <c r="L67" s="21" t="str">
        <f>IF(OR(NOT(AND($B67&lt;&gt;"",$C67&lt;&gt;"",$D67&lt;&gt;"",$E67&lt;&gt;"")),$A67="",$K67&lt;&gt;"Yes"),"",IF($L67&lt;&gt;"",$L67,INDEX(SETUP!$I$1:$I$2000,MATCH(TRUE,SETUP!$J$1:$J$2000,0)+COUNTIFS($A$2:$A67,"&lt;&gt;",$K$2:$K67,"Yes",$L$2:$L67,"")-1)))</f>
        <v/>
      </c>
      <c r="N67" s="22"/>
    </row>
    <row r="68" spans="1:14" x14ac:dyDescent="0.3">
      <c r="A68" s="15" t="str">
        <f>IF(COUNTA($B68:$E68,$K68)=0,"",IF(AND($B68&lt;&gt;"",$C68&lt;&gt;"",$D68&lt;&gt;"",$E68&lt;&gt;""),"TXS"&amp;TEXT(COUNTIFS($B$2:$B68,"&lt;&gt;",$C$2:$C68,"&lt;&gt;",$D$2:$D68,"&lt;&gt;",$E$2:$E68,"&lt;&gt;"),"00000"),""))</f>
        <v/>
      </c>
      <c r="B68" s="16"/>
      <c r="C68" s="17"/>
      <c r="D68" s="17"/>
      <c r="E68" s="18"/>
      <c r="H68" s="19" t="str">
        <f t="shared" si="6"/>
        <v/>
      </c>
      <c r="I68" s="19" t="str">
        <f t="shared" si="7"/>
        <v/>
      </c>
      <c r="J68" s="19" t="str">
        <f t="shared" si="8"/>
        <v/>
      </c>
      <c r="K68" s="20"/>
      <c r="L68" s="21" t="str">
        <f>IF(OR(NOT(AND($B68&lt;&gt;"",$C68&lt;&gt;"",$D68&lt;&gt;"",$E68&lt;&gt;"")),$A68="",$K68&lt;&gt;"Yes"),"",IF($L68&lt;&gt;"",$L68,INDEX(SETUP!$I$1:$I$2000,MATCH(TRUE,SETUP!$J$1:$J$2000,0)+COUNTIFS($A$2:$A68,"&lt;&gt;",$K$2:$K68,"Yes",$L$2:$L68,"")-1)))</f>
        <v/>
      </c>
      <c r="N68" s="22"/>
    </row>
    <row r="69" spans="1:14" x14ac:dyDescent="0.3">
      <c r="A69" s="15" t="str">
        <f>IF(COUNTA($B69:$E69,$K69)=0,"",IF(AND($B69&lt;&gt;"",$C69&lt;&gt;"",$D69&lt;&gt;"",$E69&lt;&gt;""),"TXS"&amp;TEXT(COUNTIFS($B$2:$B69,"&lt;&gt;",$C$2:$C69,"&lt;&gt;",$D$2:$D69,"&lt;&gt;",$E$2:$E69,"&lt;&gt;"),"00000"),""))</f>
        <v/>
      </c>
      <c r="B69" s="16"/>
      <c r="C69" s="17"/>
      <c r="D69" s="17"/>
      <c r="E69" s="18"/>
      <c r="H69" s="19" t="str">
        <f t="shared" si="6"/>
        <v/>
      </c>
      <c r="I69" s="19" t="str">
        <f t="shared" si="7"/>
        <v/>
      </c>
      <c r="J69" s="19" t="str">
        <f t="shared" si="8"/>
        <v/>
      </c>
      <c r="K69" s="20"/>
      <c r="L69" s="21" t="str">
        <f>IF(OR(NOT(AND($B69&lt;&gt;"",$C69&lt;&gt;"",$D69&lt;&gt;"",$E69&lt;&gt;"")),$A69="",$K69&lt;&gt;"Yes"),"",IF($L69&lt;&gt;"",$L69,INDEX(SETUP!$I$1:$I$2000,MATCH(TRUE,SETUP!$J$1:$J$2000,0)+COUNTIFS($A$2:$A69,"&lt;&gt;",$K$2:$K69,"Yes",$L$2:$L69,"")-1)))</f>
        <v/>
      </c>
      <c r="N69" s="22"/>
    </row>
    <row r="70" spans="1:14" x14ac:dyDescent="0.3">
      <c r="A70" s="15" t="str">
        <f>IF(COUNTA($B70:$E70,$K70)=0,"",IF(AND($B70&lt;&gt;"",$C70&lt;&gt;"",$D70&lt;&gt;"",$E70&lt;&gt;""),"TXS"&amp;TEXT(COUNTIFS($B$2:$B70,"&lt;&gt;",$C$2:$C70,"&lt;&gt;",$D$2:$D70,"&lt;&gt;",$E$2:$E70,"&lt;&gt;"),"00000"),""))</f>
        <v/>
      </c>
      <c r="B70" s="16"/>
      <c r="C70" s="17"/>
      <c r="D70" s="17"/>
      <c r="E70" s="18"/>
      <c r="H70" s="19" t="str">
        <f t="shared" si="6"/>
        <v/>
      </c>
      <c r="I70" s="19" t="str">
        <f t="shared" si="7"/>
        <v/>
      </c>
      <c r="J70" s="19" t="str">
        <f t="shared" si="8"/>
        <v/>
      </c>
      <c r="K70" s="20"/>
      <c r="L70" s="21" t="str">
        <f>IF(OR(NOT(AND($B70&lt;&gt;"",$C70&lt;&gt;"",$D70&lt;&gt;"",$E70&lt;&gt;"")),$A70="",$K70&lt;&gt;"Yes"),"",IF($L70&lt;&gt;"",$L70,INDEX(SETUP!$I$1:$I$2000,MATCH(TRUE,SETUP!$J$1:$J$2000,0)+COUNTIFS($A$2:$A70,"&lt;&gt;",$K$2:$K70,"Yes",$L$2:$L70,"")-1)))</f>
        <v/>
      </c>
      <c r="N70" s="22"/>
    </row>
    <row r="71" spans="1:14" x14ac:dyDescent="0.3">
      <c r="A71" s="15" t="str">
        <f>IF(COUNTA($B71:$E71,$K71)=0,"",IF(AND($B71&lt;&gt;"",$C71&lt;&gt;"",$D71&lt;&gt;"",$E71&lt;&gt;""),"TXS"&amp;TEXT(COUNTIFS($B$2:$B71,"&lt;&gt;",$C$2:$C71,"&lt;&gt;",$D$2:$D71,"&lt;&gt;",$E$2:$E71,"&lt;&gt;"),"00000"),""))</f>
        <v/>
      </c>
      <c r="B71" s="16"/>
      <c r="C71" s="17"/>
      <c r="D71" s="17"/>
      <c r="E71" s="18"/>
      <c r="H71" s="19" t="str">
        <f t="shared" si="6"/>
        <v/>
      </c>
      <c r="I71" s="19" t="str">
        <f t="shared" si="7"/>
        <v/>
      </c>
      <c r="J71" s="19" t="str">
        <f t="shared" si="8"/>
        <v/>
      </c>
      <c r="K71" s="20"/>
      <c r="L71" s="21" t="str">
        <f>IF(OR(NOT(AND($B71&lt;&gt;"",$C71&lt;&gt;"",$D71&lt;&gt;"",$E71&lt;&gt;"")),$A71="",$K71&lt;&gt;"Yes"),"",IF($L71&lt;&gt;"",$L71,INDEX(SETUP!$I$1:$I$2000,MATCH(TRUE,SETUP!$J$1:$J$2000,0)+COUNTIFS($A$2:$A71,"&lt;&gt;",$K$2:$K71,"Yes",$L$2:$L71,"")-1)))</f>
        <v/>
      </c>
      <c r="N71" s="22"/>
    </row>
    <row r="72" spans="1:14" x14ac:dyDescent="0.3">
      <c r="A72" s="15" t="str">
        <f>IF(COUNTA($B72:$E72,$K72)=0,"",IF(AND($B72&lt;&gt;"",$C72&lt;&gt;"",$D72&lt;&gt;"",$E72&lt;&gt;""),"TXS"&amp;TEXT(COUNTIFS($B$2:$B72,"&lt;&gt;",$C$2:$C72,"&lt;&gt;",$D$2:$D72,"&lt;&gt;",$E$2:$E72,"&lt;&gt;"),"00000"),""))</f>
        <v/>
      </c>
      <c r="B72" s="16"/>
      <c r="C72" s="17"/>
      <c r="D72" s="17"/>
      <c r="E72" s="18"/>
      <c r="H72" s="19" t="str">
        <f t="shared" si="6"/>
        <v/>
      </c>
      <c r="I72" s="19" t="str">
        <f t="shared" si="7"/>
        <v/>
      </c>
      <c r="J72" s="19" t="str">
        <f t="shared" si="8"/>
        <v/>
      </c>
      <c r="K72" s="20"/>
      <c r="L72" s="21" t="str">
        <f>IF(OR(NOT(AND($B72&lt;&gt;"",$C72&lt;&gt;"",$D72&lt;&gt;"",$E72&lt;&gt;"")),$A72="",$K72&lt;&gt;"Yes"),"",IF($L72&lt;&gt;"",$L72,INDEX(SETUP!$I$1:$I$2000,MATCH(TRUE,SETUP!$J$1:$J$2000,0)+COUNTIFS($A$2:$A72,"&lt;&gt;",$K$2:$K72,"Yes",$L$2:$L72,"")-1)))</f>
        <v/>
      </c>
      <c r="N72" s="22"/>
    </row>
    <row r="73" spans="1:14" x14ac:dyDescent="0.3">
      <c r="A73" s="15" t="str">
        <f>IF(COUNTA($B73:$E73,$K73)=0,"",IF(AND($B73&lt;&gt;"",$C73&lt;&gt;"",$D73&lt;&gt;"",$E73&lt;&gt;""),"TXS"&amp;TEXT(COUNTIFS($B$2:$B73,"&lt;&gt;",$C$2:$C73,"&lt;&gt;",$D$2:$D73,"&lt;&gt;",$E$2:$E73,"&lt;&gt;"),"00000"),""))</f>
        <v/>
      </c>
      <c r="B73" s="16"/>
      <c r="C73" s="17"/>
      <c r="D73" s="17"/>
      <c r="E73" s="18"/>
      <c r="H73" s="19" t="str">
        <f t="shared" si="6"/>
        <v/>
      </c>
      <c r="I73" s="19" t="str">
        <f t="shared" si="7"/>
        <v/>
      </c>
      <c r="J73" s="19" t="str">
        <f t="shared" si="8"/>
        <v/>
      </c>
      <c r="K73" s="20"/>
      <c r="L73" s="21" t="str">
        <f>IF(OR(NOT(AND($B73&lt;&gt;"",$C73&lt;&gt;"",$D73&lt;&gt;"",$E73&lt;&gt;"")),$A73="",$K73&lt;&gt;"Yes"),"",IF($L73&lt;&gt;"",$L73,INDEX(SETUP!$I$1:$I$2000,MATCH(TRUE,SETUP!$J$1:$J$2000,0)+COUNTIFS($A$2:$A73,"&lt;&gt;",$K$2:$K73,"Yes",$L$2:$L73,"")-1)))</f>
        <v/>
      </c>
      <c r="N73" s="22"/>
    </row>
    <row r="74" spans="1:14" x14ac:dyDescent="0.3">
      <c r="A74" s="15" t="str">
        <f>IF(COUNTA($B74:$E74,$K74)=0,"",IF(AND($B74&lt;&gt;"",$C74&lt;&gt;"",$D74&lt;&gt;"",$E74&lt;&gt;""),"TXS"&amp;TEXT(COUNTIFS($B$2:$B74,"&lt;&gt;",$C$2:$C74,"&lt;&gt;",$D$2:$D74,"&lt;&gt;",$E$2:$E74,"&lt;&gt;"),"00000"),""))</f>
        <v/>
      </c>
      <c r="B74" s="16"/>
      <c r="C74" s="17"/>
      <c r="D74" s="17"/>
      <c r="E74" s="18"/>
      <c r="H74" s="19" t="str">
        <f t="shared" si="6"/>
        <v/>
      </c>
      <c r="I74" s="19" t="str">
        <f t="shared" si="7"/>
        <v/>
      </c>
      <c r="J74" s="19" t="str">
        <f t="shared" si="8"/>
        <v/>
      </c>
      <c r="K74" s="20"/>
      <c r="L74" s="21" t="str">
        <f>IF(OR(NOT(AND($B74&lt;&gt;"",$C74&lt;&gt;"",$D74&lt;&gt;"",$E74&lt;&gt;"")),$A74="",$K74&lt;&gt;"Yes"),"",IF($L74&lt;&gt;"",$L74,INDEX(SETUP!$I$1:$I$2000,MATCH(TRUE,SETUP!$J$1:$J$2000,0)+COUNTIFS($A$2:$A74,"&lt;&gt;",$K$2:$K74,"Yes",$L$2:$L74,"")-1)))</f>
        <v/>
      </c>
      <c r="N74" s="22"/>
    </row>
    <row r="75" spans="1:14" x14ac:dyDescent="0.3">
      <c r="A75" s="15" t="str">
        <f>IF(COUNTA($B75:$E75,$K75)=0,"",IF(AND($B75&lt;&gt;"",$C75&lt;&gt;"",$D75&lt;&gt;"",$E75&lt;&gt;""),"TXS"&amp;TEXT(COUNTIFS($B$2:$B75,"&lt;&gt;",$C$2:$C75,"&lt;&gt;",$D$2:$D75,"&lt;&gt;",$E$2:$E75,"&lt;&gt;"),"00000"),""))</f>
        <v/>
      </c>
      <c r="B75" s="16"/>
      <c r="C75" s="17"/>
      <c r="D75" s="17"/>
      <c r="E75" s="18"/>
      <c r="H75" s="19" t="str">
        <f t="shared" si="6"/>
        <v/>
      </c>
      <c r="I75" s="19" t="str">
        <f t="shared" si="7"/>
        <v/>
      </c>
      <c r="J75" s="19" t="str">
        <f t="shared" si="8"/>
        <v/>
      </c>
      <c r="K75" s="20"/>
      <c r="L75" s="21" t="str">
        <f>IF(OR(NOT(AND($B75&lt;&gt;"",$C75&lt;&gt;"",$D75&lt;&gt;"",$E75&lt;&gt;"")),$A75="",$K75&lt;&gt;"Yes"),"",IF($L75&lt;&gt;"",$L75,INDEX(SETUP!$I$1:$I$2000,MATCH(TRUE,SETUP!$J$1:$J$2000,0)+COUNTIFS($A$2:$A75,"&lt;&gt;",$K$2:$K75,"Yes",$L$2:$L75,"")-1)))</f>
        <v/>
      </c>
      <c r="N75" s="22"/>
    </row>
    <row r="76" spans="1:14" x14ac:dyDescent="0.3">
      <c r="A76" s="15" t="str">
        <f>IF(COUNTA($B76:$E76,$K76)=0,"",IF(AND($B76&lt;&gt;"",$C76&lt;&gt;"",$D76&lt;&gt;"",$E76&lt;&gt;""),"TXS"&amp;TEXT(COUNTIFS($B$2:$B76,"&lt;&gt;",$C$2:$C76,"&lt;&gt;",$D$2:$D76,"&lt;&gt;",$E$2:$E76,"&lt;&gt;"),"00000"),""))</f>
        <v/>
      </c>
      <c r="B76" s="16"/>
      <c r="C76" s="17"/>
      <c r="D76" s="17"/>
      <c r="E76" s="18"/>
      <c r="H76" s="19" t="str">
        <f t="shared" si="6"/>
        <v/>
      </c>
      <c r="I76" s="19" t="str">
        <f t="shared" si="7"/>
        <v/>
      </c>
      <c r="J76" s="19" t="str">
        <f t="shared" si="8"/>
        <v/>
      </c>
      <c r="K76" s="20"/>
      <c r="L76" s="21" t="str">
        <f>IF(OR(NOT(AND($B76&lt;&gt;"",$C76&lt;&gt;"",$D76&lt;&gt;"",$E76&lt;&gt;"")),$A76="",$K76&lt;&gt;"Yes"),"",IF($L76&lt;&gt;"",$L76,INDEX(SETUP!$I$1:$I$2000,MATCH(TRUE,SETUP!$J$1:$J$2000,0)+COUNTIFS($A$2:$A76,"&lt;&gt;",$K$2:$K76,"Yes",$L$2:$L76,"")-1)))</f>
        <v/>
      </c>
      <c r="N76" s="22"/>
    </row>
    <row r="77" spans="1:14" x14ac:dyDescent="0.3">
      <c r="A77" s="15" t="str">
        <f>IF(COUNTA($B77:$E77,$K77)=0,"",IF(AND($B77&lt;&gt;"",$C77&lt;&gt;"",$D77&lt;&gt;"",$E77&lt;&gt;""),"TXS"&amp;TEXT(COUNTIFS($B$2:$B77,"&lt;&gt;",$C$2:$C77,"&lt;&gt;",$D$2:$D77,"&lt;&gt;",$E$2:$E77,"&lt;&gt;"),"00000"),""))</f>
        <v/>
      </c>
      <c r="B77" s="16"/>
      <c r="C77" s="17"/>
      <c r="D77" s="17"/>
      <c r="E77" s="18"/>
      <c r="H77" s="19" t="str">
        <f t="shared" si="6"/>
        <v/>
      </c>
      <c r="I77" s="19" t="str">
        <f t="shared" si="7"/>
        <v/>
      </c>
      <c r="J77" s="19" t="str">
        <f t="shared" si="8"/>
        <v/>
      </c>
      <c r="K77" s="20"/>
      <c r="L77" s="21" t="str">
        <f>IF(OR(NOT(AND($B77&lt;&gt;"",$C77&lt;&gt;"",$D77&lt;&gt;"",$E77&lt;&gt;"")),$A77="",$K77&lt;&gt;"Yes"),"",IF($L77&lt;&gt;"",$L77,INDEX(SETUP!$I$1:$I$2000,MATCH(TRUE,SETUP!$J$1:$J$2000,0)+COUNTIFS($A$2:$A77,"&lt;&gt;",$K$2:$K77,"Yes",$L$2:$L77,"")-1)))</f>
        <v/>
      </c>
      <c r="N77" s="22"/>
    </row>
    <row r="78" spans="1:14" x14ac:dyDescent="0.3">
      <c r="A78" s="15" t="str">
        <f>IF(COUNTA($B78:$E78,$K78)=0,"",IF(AND($B78&lt;&gt;"",$C78&lt;&gt;"",$D78&lt;&gt;"",$E78&lt;&gt;""),"TXS"&amp;TEXT(COUNTIFS($B$2:$B78,"&lt;&gt;",$C$2:$C78,"&lt;&gt;",$D$2:$D78,"&lt;&gt;",$E$2:$E78,"&lt;&gt;"),"00000"),""))</f>
        <v/>
      </c>
      <c r="B78" s="16"/>
      <c r="C78" s="17"/>
      <c r="D78" s="17"/>
      <c r="E78" s="18"/>
      <c r="H78" s="19" t="str">
        <f t="shared" si="6"/>
        <v/>
      </c>
      <c r="I78" s="19" t="str">
        <f t="shared" si="7"/>
        <v/>
      </c>
      <c r="J78" s="19" t="str">
        <f t="shared" si="8"/>
        <v/>
      </c>
      <c r="K78" s="20"/>
      <c r="L78" s="21" t="str">
        <f>IF(OR(NOT(AND($B78&lt;&gt;"",$C78&lt;&gt;"",$D78&lt;&gt;"",$E78&lt;&gt;"")),$A78="",$K78&lt;&gt;"Yes"),"",IF($L78&lt;&gt;"",$L78,INDEX(SETUP!$I$1:$I$2000,MATCH(TRUE,SETUP!$J$1:$J$2000,0)+COUNTIFS($A$2:$A78,"&lt;&gt;",$K$2:$K78,"Yes",$L$2:$L78,"")-1)))</f>
        <v/>
      </c>
      <c r="N78" s="22"/>
    </row>
    <row r="79" spans="1:14" x14ac:dyDescent="0.3">
      <c r="A79" s="15" t="str">
        <f>IF(COUNTA($B79:$E79,$K79)=0,"",IF(AND($B79&lt;&gt;"",$C79&lt;&gt;"",$D79&lt;&gt;"",$E79&lt;&gt;""),"TXS"&amp;TEXT(COUNTIFS($B$2:$B79,"&lt;&gt;",$C$2:$C79,"&lt;&gt;",$D$2:$D79,"&lt;&gt;",$E$2:$E79,"&lt;&gt;"),"00000"),""))</f>
        <v/>
      </c>
      <c r="B79" s="16"/>
      <c r="C79" s="17"/>
      <c r="D79" s="17"/>
      <c r="E79" s="18"/>
      <c r="H79" s="19" t="str">
        <f t="shared" si="6"/>
        <v/>
      </c>
      <c r="I79" s="19" t="str">
        <f t="shared" si="7"/>
        <v/>
      </c>
      <c r="J79" s="19" t="str">
        <f t="shared" si="8"/>
        <v/>
      </c>
      <c r="K79" s="20"/>
      <c r="L79" s="21" t="str">
        <f>IF(OR(NOT(AND($B79&lt;&gt;"",$C79&lt;&gt;"",$D79&lt;&gt;"",$E79&lt;&gt;"")),$A79="",$K79&lt;&gt;"Yes"),"",IF($L79&lt;&gt;"",$L79,INDEX(SETUP!$I$1:$I$2000,MATCH(TRUE,SETUP!$J$1:$J$2000,0)+COUNTIFS($A$2:$A79,"&lt;&gt;",$K$2:$K79,"Yes",$L$2:$L79,"")-1)))</f>
        <v/>
      </c>
      <c r="N79" s="22"/>
    </row>
    <row r="80" spans="1:14" x14ac:dyDescent="0.3">
      <c r="A80" s="15" t="str">
        <f>IF(COUNTA($B80:$E80,$K80)=0,"",IF(AND($B80&lt;&gt;"",$C80&lt;&gt;"",$D80&lt;&gt;"",$E80&lt;&gt;""),"TXS"&amp;TEXT(COUNTIFS($B$2:$B80,"&lt;&gt;",$C$2:$C80,"&lt;&gt;",$D$2:$D80,"&lt;&gt;",$E$2:$E80,"&lt;&gt;"),"00000"),""))</f>
        <v/>
      </c>
      <c r="B80" s="16"/>
      <c r="C80" s="17"/>
      <c r="D80" s="17"/>
      <c r="E80" s="18"/>
      <c r="H80" s="19" t="str">
        <f t="shared" si="6"/>
        <v/>
      </c>
      <c r="I80" s="19" t="str">
        <f t="shared" si="7"/>
        <v/>
      </c>
      <c r="J80" s="19" t="str">
        <f t="shared" si="8"/>
        <v/>
      </c>
      <c r="K80" s="20"/>
      <c r="L80" s="21" t="str">
        <f>IF(OR(NOT(AND($B80&lt;&gt;"",$C80&lt;&gt;"",$D80&lt;&gt;"",$E80&lt;&gt;"")),$A80="",$K80&lt;&gt;"Yes"),"",IF($L80&lt;&gt;"",$L80,INDEX(SETUP!$I$1:$I$2000,MATCH(TRUE,SETUP!$J$1:$J$2000,0)+COUNTIFS($A$2:$A80,"&lt;&gt;",$K$2:$K80,"Yes",$L$2:$L80,"")-1)))</f>
        <v/>
      </c>
      <c r="N80" s="22"/>
    </row>
    <row r="81" spans="1:14" x14ac:dyDescent="0.3">
      <c r="A81" s="15" t="str">
        <f>IF(COUNTA($B81:$E81,$K81)=0,"",IF(AND($B81&lt;&gt;"",$C81&lt;&gt;"",$D81&lt;&gt;"",$E81&lt;&gt;""),"TXS"&amp;TEXT(COUNTIFS($B$2:$B81,"&lt;&gt;",$C$2:$C81,"&lt;&gt;",$D$2:$D81,"&lt;&gt;",$E$2:$E81,"&lt;&gt;"),"00000"),""))</f>
        <v/>
      </c>
      <c r="B81" s="16"/>
      <c r="C81" s="17"/>
      <c r="D81" s="17"/>
      <c r="E81" s="18"/>
      <c r="H81" s="19" t="str">
        <f t="shared" si="6"/>
        <v/>
      </c>
      <c r="I81" s="19" t="str">
        <f t="shared" si="7"/>
        <v/>
      </c>
      <c r="J81" s="19" t="str">
        <f t="shared" si="8"/>
        <v/>
      </c>
      <c r="K81" s="20"/>
      <c r="L81" s="21" t="str">
        <f>IF(OR(NOT(AND($B81&lt;&gt;"",$C81&lt;&gt;"",$D81&lt;&gt;"",$E81&lt;&gt;"")),$A81="",$K81&lt;&gt;"Yes"),"",IF($L81&lt;&gt;"",$L81,INDEX(SETUP!$I$1:$I$2000,MATCH(TRUE,SETUP!$J$1:$J$2000,0)+COUNTIFS($A$2:$A81,"&lt;&gt;",$K$2:$K81,"Yes",$L$2:$L81,"")-1)))</f>
        <v/>
      </c>
      <c r="N81" s="22"/>
    </row>
    <row r="82" spans="1:14" x14ac:dyDescent="0.3">
      <c r="A82" s="15" t="str">
        <f>IF(COUNTA($B82:$E82,$K82)=0,"",IF(AND($B82&lt;&gt;"",$C82&lt;&gt;"",$D82&lt;&gt;"",$E82&lt;&gt;""),"TXS"&amp;TEXT(COUNTIFS($B$2:$B82,"&lt;&gt;",$C$2:$C82,"&lt;&gt;",$D$2:$D82,"&lt;&gt;",$E$2:$E82,"&lt;&gt;"),"00000"),""))</f>
        <v/>
      </c>
      <c r="B82" s="16"/>
      <c r="C82" s="17"/>
      <c r="D82" s="17"/>
      <c r="E82" s="18"/>
      <c r="H82" s="19" t="str">
        <f t="shared" si="6"/>
        <v/>
      </c>
      <c r="I82" s="19" t="str">
        <f t="shared" si="7"/>
        <v/>
      </c>
      <c r="J82" s="19" t="str">
        <f t="shared" si="8"/>
        <v/>
      </c>
      <c r="K82" s="20"/>
      <c r="L82" s="21" t="str">
        <f>IF(OR(NOT(AND($B82&lt;&gt;"",$C82&lt;&gt;"",$D82&lt;&gt;"",$E82&lt;&gt;"")),$A82="",$K82&lt;&gt;"Yes"),"",IF($L82&lt;&gt;"",$L82,INDEX(SETUP!$I$1:$I$2000,MATCH(TRUE,SETUP!$J$1:$J$2000,0)+COUNTIFS($A$2:$A82,"&lt;&gt;",$K$2:$K82,"Yes",$L$2:$L82,"")-1)))</f>
        <v/>
      </c>
      <c r="N82" s="22"/>
    </row>
    <row r="83" spans="1:14" x14ac:dyDescent="0.3">
      <c r="A83" s="15" t="str">
        <f>IF(COUNTA($B83:$E83,$K83)=0,"",IF(AND($B83&lt;&gt;"",$C83&lt;&gt;"",$D83&lt;&gt;"",$E83&lt;&gt;""),"TXS"&amp;TEXT(COUNTIFS($B$2:$B83,"&lt;&gt;",$C$2:$C83,"&lt;&gt;",$D$2:$D83,"&lt;&gt;",$E$2:$E83,"&lt;&gt;"),"00000"),""))</f>
        <v/>
      </c>
      <c r="B83" s="16"/>
      <c r="C83" s="17"/>
      <c r="D83" s="17"/>
      <c r="E83" s="18"/>
      <c r="H83" s="19" t="str">
        <f t="shared" si="6"/>
        <v/>
      </c>
      <c r="I83" s="19" t="str">
        <f t="shared" si="7"/>
        <v/>
      </c>
      <c r="J83" s="19" t="str">
        <f t="shared" si="8"/>
        <v/>
      </c>
      <c r="K83" s="20"/>
      <c r="L83" s="21" t="str">
        <f>IF(OR(NOT(AND($B83&lt;&gt;"",$C83&lt;&gt;"",$D83&lt;&gt;"",$E83&lt;&gt;"")),$A83="",$K83&lt;&gt;"Yes"),"",IF($L83&lt;&gt;"",$L83,INDEX(SETUP!$I$1:$I$2000,MATCH(TRUE,SETUP!$J$1:$J$2000,0)+COUNTIFS($A$2:$A83,"&lt;&gt;",$K$2:$K83,"Yes",$L$2:$L83,"")-1)))</f>
        <v/>
      </c>
      <c r="N83" s="22"/>
    </row>
    <row r="84" spans="1:14" x14ac:dyDescent="0.3">
      <c r="A84" s="15" t="str">
        <f>IF(COUNTA($B84:$E84,$K84)=0,"",IF(AND($B84&lt;&gt;"",$C84&lt;&gt;"",$D84&lt;&gt;"",$E84&lt;&gt;""),"TXS"&amp;TEXT(COUNTIFS($B$2:$B84,"&lt;&gt;",$C$2:$C84,"&lt;&gt;",$D$2:$D84,"&lt;&gt;",$E$2:$E84,"&lt;&gt;"),"00000"),""))</f>
        <v/>
      </c>
      <c r="B84" s="16"/>
      <c r="C84" s="17"/>
      <c r="D84" s="17"/>
      <c r="E84" s="18"/>
      <c r="H84" s="19" t="str">
        <f t="shared" si="6"/>
        <v/>
      </c>
      <c r="I84" s="19" t="str">
        <f t="shared" ref="I84:I103" si="9">IF(NOT(AND($B84&lt;&gt;"",$C84&lt;&gt;"",$D84&lt;&gt;"",$E84&lt;&gt;"")),"",IF($A84="","","NIH plate "&amp;INT((VALUE(RIGHT($A84,5))-1)/96)+1&amp;": "&amp;CHAR(65+INT(MOD(VALUE(RIGHT($A84,5))-1,96)/12))&amp;(MOD(VALUE(RIGHT($A84,5))-1,12)+1)))</f>
        <v/>
      </c>
      <c r="J84" s="19" t="str">
        <f t="shared" si="8"/>
        <v/>
      </c>
      <c r="K84" s="20"/>
      <c r="L84" s="21" t="str">
        <f>IF(OR(NOT(AND($B84&lt;&gt;"",$C84&lt;&gt;"",$D84&lt;&gt;"",$E84&lt;&gt;"")),$A84="",$K84&lt;&gt;"Yes"),"",IF($L84&lt;&gt;"",$L84,INDEX(SETUP!$I$1:$I$2000,MATCH(TRUE,SETUP!$J$1:$J$2000,0)+COUNTIFS($A$2:$A84,"&lt;&gt;",$K$2:$K84,"Yes",$L$2:$L84,"")-1)))</f>
        <v/>
      </c>
      <c r="N84" s="22"/>
    </row>
    <row r="85" spans="1:14" x14ac:dyDescent="0.3">
      <c r="A85" s="15" t="str">
        <f>IF(COUNTA($B85:$E85,$K85)=0,"",IF(AND($B85&lt;&gt;"",$C85&lt;&gt;"",$D85&lt;&gt;"",$E85&lt;&gt;""),"TXS"&amp;TEXT(COUNTIFS($B$2:$B85,"&lt;&gt;",$C$2:$C85,"&lt;&gt;",$D$2:$D85,"&lt;&gt;",$E$2:$E85,"&lt;&gt;"),"00000"),""))</f>
        <v/>
      </c>
      <c r="B85" s="16"/>
      <c r="C85" s="17"/>
      <c r="D85" s="17"/>
      <c r="E85" s="18"/>
      <c r="H85" s="19" t="str">
        <f t="shared" si="6"/>
        <v/>
      </c>
      <c r="I85" s="19" t="str">
        <f t="shared" si="9"/>
        <v/>
      </c>
      <c r="J85" s="19" t="str">
        <f t="shared" si="8"/>
        <v/>
      </c>
      <c r="K85" s="20"/>
      <c r="L85" s="21" t="str">
        <f>IF(OR(NOT(AND($B85&lt;&gt;"",$C85&lt;&gt;"",$D85&lt;&gt;"",$E85&lt;&gt;"")),$A85="",$K85&lt;&gt;"Yes"),"",IF($L85&lt;&gt;"",$L85,INDEX(SETUP!$I$1:$I$2000,MATCH(TRUE,SETUP!$J$1:$J$2000,0)+COUNTIFS($A$2:$A85,"&lt;&gt;",$K$2:$K85,"Yes",$L$2:$L85,"")-1)))</f>
        <v/>
      </c>
      <c r="N85" s="22"/>
    </row>
    <row r="86" spans="1:14" x14ac:dyDescent="0.3">
      <c r="A86" s="15" t="str">
        <f>IF(COUNTA($B86:$E86,$K86)=0,"",IF(AND($B86&lt;&gt;"",$C86&lt;&gt;"",$D86&lt;&gt;"",$E86&lt;&gt;""),"TXS"&amp;TEXT(COUNTIFS($B$2:$B86,"&lt;&gt;",$C$2:$C86,"&lt;&gt;",$D$2:$D86,"&lt;&gt;",$E$2:$E86,"&lt;&gt;"),"00000"),""))</f>
        <v/>
      </c>
      <c r="B86" s="16"/>
      <c r="C86" s="17"/>
      <c r="D86" s="17"/>
      <c r="E86" s="18"/>
      <c r="H86" s="19" t="str">
        <f t="shared" si="6"/>
        <v/>
      </c>
      <c r="I86" s="19" t="str">
        <f t="shared" si="9"/>
        <v/>
      </c>
      <c r="J86" s="19" t="str">
        <f t="shared" si="8"/>
        <v/>
      </c>
      <c r="K86" s="20"/>
      <c r="L86" s="21" t="str">
        <f>IF(OR(NOT(AND($B86&lt;&gt;"",$C86&lt;&gt;"",$D86&lt;&gt;"",$E86&lt;&gt;"")),$A86="",$K86&lt;&gt;"Yes"),"",IF($L86&lt;&gt;"",$L86,INDEX(SETUP!$I$1:$I$2000,MATCH(TRUE,SETUP!$J$1:$J$2000,0)+COUNTIFS($A$2:$A86,"&lt;&gt;",$K$2:$K86,"Yes",$L$2:$L86,"")-1)))</f>
        <v/>
      </c>
      <c r="N86" s="22"/>
    </row>
    <row r="87" spans="1:14" x14ac:dyDescent="0.3">
      <c r="A87" s="15" t="str">
        <f>IF(COUNTA($B87:$E87,$K87)=0,"",IF(AND($B87&lt;&gt;"",$C87&lt;&gt;"",$D87&lt;&gt;"",$E87&lt;&gt;""),"TXS"&amp;TEXT(COUNTIFS($B$2:$B87,"&lt;&gt;",$C$2:$C87,"&lt;&gt;",$D$2:$D87,"&lt;&gt;",$E$2:$E87,"&lt;&gt;"),"00000"),""))</f>
        <v/>
      </c>
      <c r="B87" s="16"/>
      <c r="C87" s="17"/>
      <c r="D87" s="17"/>
      <c r="E87" s="18"/>
      <c r="H87" s="19" t="str">
        <f t="shared" si="6"/>
        <v/>
      </c>
      <c r="I87" s="19" t="str">
        <f t="shared" si="9"/>
        <v/>
      </c>
      <c r="J87" s="19" t="str">
        <f t="shared" si="8"/>
        <v/>
      </c>
      <c r="K87" s="20"/>
      <c r="L87" s="21" t="str">
        <f>IF(OR(NOT(AND($B87&lt;&gt;"",$C87&lt;&gt;"",$D87&lt;&gt;"",$E87&lt;&gt;"")),$A87="",$K87&lt;&gt;"Yes"),"",IF($L87&lt;&gt;"",$L87,INDEX(SETUP!$I$1:$I$2000,MATCH(TRUE,SETUP!$J$1:$J$2000,0)+COUNTIFS($A$2:$A87,"&lt;&gt;",$K$2:$K87,"Yes",$L$2:$L87,"")-1)))</f>
        <v/>
      </c>
      <c r="N87" s="22"/>
    </row>
    <row r="88" spans="1:14" x14ac:dyDescent="0.3">
      <c r="A88" s="15" t="str">
        <f>IF(COUNTA($B88:$E88,$K88)=0,"",IF(AND($B88&lt;&gt;"",$C88&lt;&gt;"",$D88&lt;&gt;"",$E88&lt;&gt;""),"TXS"&amp;TEXT(COUNTIFS($B$2:$B88,"&lt;&gt;",$C$2:$C88,"&lt;&gt;",$D$2:$D88,"&lt;&gt;",$E$2:$E88,"&lt;&gt;"),"00000"),""))</f>
        <v/>
      </c>
      <c r="B88" s="16"/>
      <c r="C88" s="17"/>
      <c r="D88" s="17"/>
      <c r="E88" s="18"/>
      <c r="H88" s="19" t="str">
        <f t="shared" si="6"/>
        <v/>
      </c>
      <c r="I88" s="19" t="str">
        <f t="shared" si="9"/>
        <v/>
      </c>
      <c r="J88" s="19" t="str">
        <f t="shared" si="8"/>
        <v/>
      </c>
      <c r="K88" s="20"/>
      <c r="L88" s="21" t="str">
        <f>IF(OR(NOT(AND($B88&lt;&gt;"",$C88&lt;&gt;"",$D88&lt;&gt;"",$E88&lt;&gt;"")),$A88="",$K88&lt;&gt;"Yes"),"",IF($L88&lt;&gt;"",$L88,INDEX(SETUP!$I$1:$I$2000,MATCH(TRUE,SETUP!$J$1:$J$2000,0)+COUNTIFS($A$2:$A88,"&lt;&gt;",$K$2:$K88,"Yes",$L$2:$L88,"")-1)))</f>
        <v/>
      </c>
      <c r="N88" s="22"/>
    </row>
    <row r="89" spans="1:14" x14ac:dyDescent="0.3">
      <c r="A89" s="15" t="str">
        <f>IF(COUNTA($B89:$E89,$K89)=0,"",IF(AND($B89&lt;&gt;"",$C89&lt;&gt;"",$D89&lt;&gt;"",$E89&lt;&gt;""),"TXS"&amp;TEXT(COUNTIFS($B$2:$B89,"&lt;&gt;",$C$2:$C89,"&lt;&gt;",$D$2:$D89,"&lt;&gt;",$E$2:$E89,"&lt;&gt;"),"00000"),""))</f>
        <v/>
      </c>
      <c r="B89" s="16"/>
      <c r="C89" s="17"/>
      <c r="D89" s="17"/>
      <c r="E89" s="18"/>
      <c r="H89" s="19" t="str">
        <f t="shared" si="6"/>
        <v/>
      </c>
      <c r="I89" s="19" t="str">
        <f t="shared" si="9"/>
        <v/>
      </c>
      <c r="J89" s="19" t="str">
        <f t="shared" si="8"/>
        <v/>
      </c>
      <c r="K89" s="20"/>
      <c r="L89" s="21" t="str">
        <f>IF(OR(NOT(AND($B89&lt;&gt;"",$C89&lt;&gt;"",$D89&lt;&gt;"",$E89&lt;&gt;"")),$A89="",$K89&lt;&gt;"Yes"),"",IF($L89&lt;&gt;"",$L89,INDEX(SETUP!$I$1:$I$2000,MATCH(TRUE,SETUP!$J$1:$J$2000,0)+COUNTIFS($A$2:$A89,"&lt;&gt;",$K$2:$K89,"Yes",$L$2:$L89,"")-1)))</f>
        <v/>
      </c>
      <c r="N89" s="22"/>
    </row>
    <row r="90" spans="1:14" x14ac:dyDescent="0.3">
      <c r="A90" s="15" t="str">
        <f>IF(COUNTA($B90:$E90,$K90)=0,"",IF(AND($B90&lt;&gt;"",$C90&lt;&gt;"",$D90&lt;&gt;"",$E90&lt;&gt;""),"TXS"&amp;TEXT(COUNTIFS($B$2:$B90,"&lt;&gt;",$C$2:$C90,"&lt;&gt;",$D$2:$D90,"&lt;&gt;",$E$2:$E90,"&lt;&gt;"),"00000"),""))</f>
        <v/>
      </c>
      <c r="B90" s="16"/>
      <c r="C90" s="17"/>
      <c r="D90" s="17"/>
      <c r="E90" s="18"/>
      <c r="H90" s="19" t="str">
        <f t="shared" si="6"/>
        <v/>
      </c>
      <c r="I90" s="19" t="str">
        <f t="shared" si="9"/>
        <v/>
      </c>
      <c r="J90" s="19" t="str">
        <f t="shared" si="8"/>
        <v/>
      </c>
      <c r="K90" s="20"/>
      <c r="L90" s="21" t="str">
        <f>IF(OR(NOT(AND($B90&lt;&gt;"",$C90&lt;&gt;"",$D90&lt;&gt;"",$E90&lt;&gt;"")),$A90="",$K90&lt;&gt;"Yes"),"",IF($L90&lt;&gt;"",$L90,INDEX(SETUP!$I$1:$I$2000,MATCH(TRUE,SETUP!$J$1:$J$2000,0)+COUNTIFS($A$2:$A90,"&lt;&gt;",$K$2:$K90,"Yes",$L$2:$L90,"")-1)))</f>
        <v/>
      </c>
      <c r="N90" s="22"/>
    </row>
    <row r="91" spans="1:14" x14ac:dyDescent="0.3">
      <c r="A91" s="15" t="str">
        <f>IF(COUNTA($B91:$E91,$K91)=0,"",IF(AND($B91&lt;&gt;"",$C91&lt;&gt;"",$D91&lt;&gt;"",$E91&lt;&gt;""),"TXS"&amp;TEXT(COUNTIFS($B$2:$B91,"&lt;&gt;",$C$2:$C91,"&lt;&gt;",$D$2:$D91,"&lt;&gt;",$E$2:$E91,"&lt;&gt;"),"00000"),""))</f>
        <v/>
      </c>
      <c r="B91" s="16"/>
      <c r="C91" s="17"/>
      <c r="D91" s="17"/>
      <c r="E91" s="18"/>
      <c r="H91" s="19" t="str">
        <f t="shared" si="6"/>
        <v/>
      </c>
      <c r="I91" s="19" t="str">
        <f t="shared" si="9"/>
        <v/>
      </c>
      <c r="J91" s="19" t="str">
        <f t="shared" si="8"/>
        <v/>
      </c>
      <c r="K91" s="20"/>
      <c r="L91" s="21" t="str">
        <f>IF(OR(NOT(AND($B91&lt;&gt;"",$C91&lt;&gt;"",$D91&lt;&gt;"",$E91&lt;&gt;"")),$A91="",$K91&lt;&gt;"Yes"),"",IF($L91&lt;&gt;"",$L91,INDEX(SETUP!$I$1:$I$2000,MATCH(TRUE,SETUP!$J$1:$J$2000,0)+COUNTIFS($A$2:$A91,"&lt;&gt;",$K$2:$K91,"Yes",$L$2:$L91,"")-1)))</f>
        <v/>
      </c>
      <c r="N91" s="22"/>
    </row>
    <row r="92" spans="1:14" x14ac:dyDescent="0.3">
      <c r="A92" s="15" t="str">
        <f>IF(COUNTA($B92:$E92,$K92)=0,"",IF(AND($B92&lt;&gt;"",$C92&lt;&gt;"",$D92&lt;&gt;"",$E92&lt;&gt;""),"TXS"&amp;TEXT(COUNTIFS($B$2:$B92,"&lt;&gt;",$C$2:$C92,"&lt;&gt;",$D$2:$D92,"&lt;&gt;",$E$2:$E92,"&lt;&gt;"),"00000"),""))</f>
        <v/>
      </c>
      <c r="B92" s="16"/>
      <c r="C92" s="17"/>
      <c r="D92" s="17"/>
      <c r="E92" s="18"/>
      <c r="H92" s="19" t="str">
        <f t="shared" si="6"/>
        <v/>
      </c>
      <c r="I92" s="19" t="str">
        <f t="shared" si="9"/>
        <v/>
      </c>
      <c r="J92" s="19" t="str">
        <f t="shared" ref="J92:J106" si="10">IF(NOT(AND($B92&lt;&gt;"",$C92&lt;&gt;"",$D92&lt;&gt;"",$E92&lt;&gt;"")),"",IF($A92="","","Max Planck plate "&amp;INT((VALUE(RIGHT($A92,5))-1)/96)+1&amp;": "&amp;CHAR(65+INT(MOD(VALUE(RIGHT($A92,5))-1,96)/12))&amp;(MOD(VALUE(RIGHT($A92,5))-1,12)+1)))</f>
        <v/>
      </c>
      <c r="K92" s="20"/>
      <c r="L92" s="21" t="str">
        <f>IF(OR(NOT(AND($B92&lt;&gt;"",$C92&lt;&gt;"",$D92&lt;&gt;"",$E92&lt;&gt;"")),$A92="",$K92&lt;&gt;"Yes"),"",IF($L92&lt;&gt;"",$L92,INDEX(SETUP!$I$1:$I$2000,MATCH(TRUE,SETUP!$J$1:$J$2000,0)+COUNTIFS($A$2:$A92,"&lt;&gt;",$K$2:$K92,"Yes",$L$2:$L92,"")-1)))</f>
        <v/>
      </c>
      <c r="N92" s="22"/>
    </row>
    <row r="93" spans="1:14" x14ac:dyDescent="0.3">
      <c r="A93" s="15" t="str">
        <f>IF(COUNTA($B93:$E93,$K93)=0,"",IF(AND($B93&lt;&gt;"",$C93&lt;&gt;"",$D93&lt;&gt;"",$E93&lt;&gt;""),"TXS"&amp;TEXT(COUNTIFS($B$2:$B93,"&lt;&gt;",$C$2:$C93,"&lt;&gt;",$D$2:$D93,"&lt;&gt;",$E$2:$E93,"&lt;&gt;"),"00000"),""))</f>
        <v/>
      </c>
      <c r="B93" s="16"/>
      <c r="C93" s="17"/>
      <c r="D93" s="17"/>
      <c r="E93" s="18"/>
      <c r="H93" s="19" t="str">
        <f t="shared" si="6"/>
        <v/>
      </c>
      <c r="I93" s="19" t="str">
        <f t="shared" si="9"/>
        <v/>
      </c>
      <c r="J93" s="19" t="str">
        <f t="shared" si="10"/>
        <v/>
      </c>
      <c r="K93" s="20"/>
      <c r="L93" s="21" t="str">
        <f>IF(OR(NOT(AND($B93&lt;&gt;"",$C93&lt;&gt;"",$D93&lt;&gt;"",$E93&lt;&gt;"")),$A93="",$K93&lt;&gt;"Yes"),"",IF($L93&lt;&gt;"",$L93,INDEX(SETUP!$I$1:$I$2000,MATCH(TRUE,SETUP!$J$1:$J$2000,0)+COUNTIFS($A$2:$A93,"&lt;&gt;",$K$2:$K93,"Yes",$L$2:$L93,"")-1)))</f>
        <v/>
      </c>
      <c r="N93" s="22"/>
    </row>
    <row r="94" spans="1:14" x14ac:dyDescent="0.3">
      <c r="A94" s="15" t="str">
        <f>IF(COUNTA($B94:$E94,$K94)=0,"",IF(AND($B94&lt;&gt;"",$C94&lt;&gt;"",$D94&lt;&gt;"",$E94&lt;&gt;""),"TXS"&amp;TEXT(COUNTIFS($B$2:$B94,"&lt;&gt;",$C$2:$C94,"&lt;&gt;",$D$2:$D94,"&lt;&gt;",$E$2:$E94,"&lt;&gt;"),"00000"),""))</f>
        <v/>
      </c>
      <c r="B94" s="16"/>
      <c r="C94" s="17"/>
      <c r="D94" s="17"/>
      <c r="E94" s="18"/>
      <c r="H94" s="19" t="str">
        <f t="shared" si="6"/>
        <v/>
      </c>
      <c r="I94" s="19" t="str">
        <f t="shared" si="9"/>
        <v/>
      </c>
      <c r="J94" s="19" t="str">
        <f t="shared" si="10"/>
        <v/>
      </c>
      <c r="K94" s="20"/>
      <c r="L94" s="21" t="str">
        <f>IF(OR(NOT(AND($B94&lt;&gt;"",$C94&lt;&gt;"",$D94&lt;&gt;"",$E94&lt;&gt;"")),$A94="",$K94&lt;&gt;"Yes"),"",IF($L94&lt;&gt;"",$L94,INDEX(SETUP!$I$1:$I$2000,MATCH(TRUE,SETUP!$J$1:$J$2000,0)+COUNTIFS($A$2:$A94,"&lt;&gt;",$K$2:$K94,"Yes",$L$2:$L94,"")-1)))</f>
        <v/>
      </c>
      <c r="N94" s="22"/>
    </row>
    <row r="95" spans="1:14" x14ac:dyDescent="0.3">
      <c r="A95" s="15" t="str">
        <f>IF(COUNTA($B95:$E95,$K95)=0,"",IF(AND($B95&lt;&gt;"",$C95&lt;&gt;"",$D95&lt;&gt;"",$E95&lt;&gt;""),"TXS"&amp;TEXT(COUNTIFS($B$2:$B95,"&lt;&gt;",$C$2:$C95,"&lt;&gt;",$D$2:$D95,"&lt;&gt;",$E$2:$E95,"&lt;&gt;"),"00000"),""))</f>
        <v/>
      </c>
      <c r="B95" s="16"/>
      <c r="C95" s="17"/>
      <c r="D95" s="17"/>
      <c r="E95" s="18"/>
      <c r="H95" s="19" t="str">
        <f t="shared" si="6"/>
        <v/>
      </c>
      <c r="I95" s="19" t="str">
        <f t="shared" si="9"/>
        <v/>
      </c>
      <c r="J95" s="19" t="str">
        <f t="shared" si="10"/>
        <v/>
      </c>
      <c r="K95" s="20"/>
      <c r="L95" s="21" t="str">
        <f>IF(OR(NOT(AND($B95&lt;&gt;"",$C95&lt;&gt;"",$D95&lt;&gt;"",$E95&lt;&gt;"")),$A95="",$K95&lt;&gt;"Yes"),"",IF($L95&lt;&gt;"",$L95,INDEX(SETUP!$I$1:$I$2000,MATCH(TRUE,SETUP!$J$1:$J$2000,0)+COUNTIFS($A$2:$A95,"&lt;&gt;",$K$2:$K95,"Yes",$L$2:$L95,"")-1)))</f>
        <v/>
      </c>
      <c r="N95" s="22"/>
    </row>
    <row r="96" spans="1:14" x14ac:dyDescent="0.3">
      <c r="A96" s="15" t="str">
        <f>IF(COUNTA($B96:$E96,$K96)=0,"",IF(AND($B96&lt;&gt;"",$C96&lt;&gt;"",$D96&lt;&gt;"",$E96&lt;&gt;""),"TXS"&amp;TEXT(COUNTIFS($B$2:$B96,"&lt;&gt;",$C$2:$C96,"&lt;&gt;",$D$2:$D96,"&lt;&gt;",$E$2:$E96,"&lt;&gt;"),"00000"),""))</f>
        <v/>
      </c>
      <c r="B96" s="16"/>
      <c r="C96" s="17"/>
      <c r="D96" s="17"/>
      <c r="E96" s="18"/>
      <c r="H96" s="19" t="str">
        <f t="shared" si="6"/>
        <v/>
      </c>
      <c r="I96" s="19" t="str">
        <f t="shared" si="9"/>
        <v/>
      </c>
      <c r="J96" s="19" t="str">
        <f t="shared" si="10"/>
        <v/>
      </c>
      <c r="K96" s="20"/>
      <c r="L96" s="21" t="str">
        <f>IF(OR(NOT(AND($B96&lt;&gt;"",$C96&lt;&gt;"",$D96&lt;&gt;"",$E96&lt;&gt;"")),$A96="",$K96&lt;&gt;"Yes"),"",IF($L96&lt;&gt;"",$L96,INDEX(SETUP!$I$1:$I$2000,MATCH(TRUE,SETUP!$J$1:$J$2000,0)+COUNTIFS($A$2:$A96,"&lt;&gt;",$K$2:$K96,"Yes",$L$2:$L96,"")-1)))</f>
        <v/>
      </c>
      <c r="N96" s="22"/>
    </row>
    <row r="97" spans="1:14" x14ac:dyDescent="0.3">
      <c r="A97" s="15" t="str">
        <f>IF(COUNTA($B97:$E97,$K97)=0,"",IF(AND($B97&lt;&gt;"",$C97&lt;&gt;"",$D97&lt;&gt;"",$E97&lt;&gt;""),"TXS"&amp;TEXT(COUNTIFS($B$2:$B97,"&lt;&gt;",$C$2:$C97,"&lt;&gt;",$D$2:$D97,"&lt;&gt;",$E$2:$E97,"&lt;&gt;"),"00000"),""))</f>
        <v/>
      </c>
      <c r="B97" s="16"/>
      <c r="C97" s="17"/>
      <c r="D97" s="17"/>
      <c r="E97" s="18"/>
      <c r="H97" s="19" t="str">
        <f t="shared" si="6"/>
        <v/>
      </c>
      <c r="I97" s="19" t="str">
        <f t="shared" si="9"/>
        <v/>
      </c>
      <c r="J97" s="19" t="str">
        <f t="shared" si="10"/>
        <v/>
      </c>
      <c r="K97" s="20"/>
      <c r="L97" s="21" t="str">
        <f>IF(OR(NOT(AND($B97&lt;&gt;"",$C97&lt;&gt;"",$D97&lt;&gt;"",$E97&lt;&gt;"")),$A97="",$K97&lt;&gt;"Yes"),"",IF($L97&lt;&gt;"",$L97,INDEX(SETUP!$I$1:$I$2000,MATCH(TRUE,SETUP!$J$1:$J$2000,0)+COUNTIFS($A$2:$A97,"&lt;&gt;",$K$2:$K97,"Yes",$L$2:$L97,"")-1)))</f>
        <v/>
      </c>
      <c r="N97" s="22"/>
    </row>
    <row r="98" spans="1:14" x14ac:dyDescent="0.3">
      <c r="A98" s="15" t="str">
        <f>IF(COUNTA($B98:$E98,$K98)=0,"",IF(AND($B98&lt;&gt;"",$C98&lt;&gt;"",$D98&lt;&gt;"",$E98&lt;&gt;""),"TXS"&amp;TEXT(COUNTIFS($B$2:$B98,"&lt;&gt;",$C$2:$C98,"&lt;&gt;",$D$2:$D98,"&lt;&gt;",$E$2:$E98,"&lt;&gt;"),"00000"),""))</f>
        <v/>
      </c>
      <c r="B98" s="16"/>
      <c r="C98" s="17"/>
      <c r="D98" s="17"/>
      <c r="E98" s="18"/>
      <c r="H98" s="19" t="str">
        <f t="shared" si="6"/>
        <v/>
      </c>
      <c r="I98" s="19" t="str">
        <f t="shared" si="9"/>
        <v/>
      </c>
      <c r="J98" s="19" t="str">
        <f t="shared" si="10"/>
        <v/>
      </c>
      <c r="K98" s="20"/>
      <c r="L98" s="21" t="str">
        <f>IF(OR(NOT(AND($B98&lt;&gt;"",$C98&lt;&gt;"",$D98&lt;&gt;"",$E98&lt;&gt;"")),$A98="",$K98&lt;&gt;"Yes"),"",IF($L98&lt;&gt;"",$L98,INDEX(SETUP!$I$1:$I$2000,MATCH(TRUE,SETUP!$J$1:$J$2000,0)+COUNTIFS($A$2:$A98,"&lt;&gt;",$K$2:$K98,"Yes",$L$2:$L98,"")-1)))</f>
        <v/>
      </c>
      <c r="N98" s="22"/>
    </row>
    <row r="99" spans="1:14" x14ac:dyDescent="0.3">
      <c r="A99" s="15" t="str">
        <f>IF(COUNTA($B99:$E99,$K99)=0,"",IF(AND($B99&lt;&gt;"",$C99&lt;&gt;"",$D99&lt;&gt;"",$E99&lt;&gt;""),"TXS"&amp;TEXT(COUNTIFS($B$2:$B99,"&lt;&gt;",$C$2:$C99,"&lt;&gt;",$D$2:$D99,"&lt;&gt;",$E$2:$E99,"&lt;&gt;"),"00000"),""))</f>
        <v/>
      </c>
      <c r="B99" s="16"/>
      <c r="C99" s="17"/>
      <c r="D99" s="17"/>
      <c r="E99" s="18"/>
      <c r="H99" s="19" t="str">
        <f t="shared" si="6"/>
        <v/>
      </c>
      <c r="I99" s="19" t="str">
        <f t="shared" si="9"/>
        <v/>
      </c>
      <c r="J99" s="19" t="str">
        <f t="shared" si="10"/>
        <v/>
      </c>
      <c r="K99" s="20"/>
      <c r="L99" s="21" t="str">
        <f>IF(OR(NOT(AND($B99&lt;&gt;"",$C99&lt;&gt;"",$D99&lt;&gt;"",$E99&lt;&gt;"")),$A99="",$K99&lt;&gt;"Yes"),"",IF($L99&lt;&gt;"",$L99,INDEX(SETUP!$I$1:$I$2000,MATCH(TRUE,SETUP!$J$1:$J$2000,0)+COUNTIFS($A$2:$A99,"&lt;&gt;",$K$2:$K99,"Yes",$L$2:$L99,"")-1)))</f>
        <v/>
      </c>
      <c r="N99" s="22"/>
    </row>
    <row r="100" spans="1:14" x14ac:dyDescent="0.3">
      <c r="A100" s="15" t="str">
        <f>IF(COUNTA($B100:$E100,$K100)=0,"",IF(AND($B100&lt;&gt;"",$C100&lt;&gt;"",$D100&lt;&gt;"",$E100&lt;&gt;""),"TXS"&amp;TEXT(COUNTIFS($B$2:$B100,"&lt;&gt;",$C$2:$C100,"&lt;&gt;",$D$2:$D100,"&lt;&gt;",$E$2:$E100,"&lt;&gt;"),"00000"),""))</f>
        <v/>
      </c>
      <c r="B100" s="16"/>
      <c r="C100" s="17"/>
      <c r="D100" s="17"/>
      <c r="E100" s="18"/>
      <c r="H100" s="19" t="str">
        <f t="shared" si="6"/>
        <v/>
      </c>
      <c r="I100" s="19" t="str">
        <f t="shared" si="9"/>
        <v/>
      </c>
      <c r="J100" s="19" t="str">
        <f t="shared" si="10"/>
        <v/>
      </c>
      <c r="K100" s="20"/>
      <c r="L100" s="21" t="str">
        <f>IF(OR(NOT(AND($B100&lt;&gt;"",$C100&lt;&gt;"",$D100&lt;&gt;"",$E100&lt;&gt;"")),$A100="",$K100&lt;&gt;"Yes"),"",IF($L100&lt;&gt;"",$L100,INDEX(SETUP!$I$1:$I$2000,MATCH(TRUE,SETUP!$J$1:$J$2000,0)+COUNTIFS($A$2:$A100,"&lt;&gt;",$K$2:$K100,"Yes",$L$2:$L100,"")-1)))</f>
        <v/>
      </c>
      <c r="N100" s="22"/>
    </row>
    <row r="101" spans="1:14" x14ac:dyDescent="0.3">
      <c r="A101" s="15" t="str">
        <f>IF(COUNTA($B101:$E101,$K101)=0,"",IF(AND($B101&lt;&gt;"",$C101&lt;&gt;"",$D101&lt;&gt;"",$E101&lt;&gt;""),"TXS"&amp;TEXT(COUNTIFS($B$2:$B101,"&lt;&gt;",$C$2:$C101,"&lt;&gt;",$D$2:$D101,"&lt;&gt;",$E$2:$E101,"&lt;&gt;"),"00000"),""))</f>
        <v/>
      </c>
      <c r="B101" s="16"/>
      <c r="C101" s="17"/>
      <c r="D101" s="17"/>
      <c r="E101" s="18"/>
      <c r="H101" s="19" t="str">
        <f t="shared" si="6"/>
        <v/>
      </c>
      <c r="I101" s="19" t="str">
        <f t="shared" si="9"/>
        <v/>
      </c>
      <c r="J101" s="19" t="str">
        <f t="shared" si="10"/>
        <v/>
      </c>
      <c r="K101" s="20"/>
      <c r="L101" s="21" t="str">
        <f>IF(OR(NOT(AND($B101&lt;&gt;"",$C101&lt;&gt;"",$D101&lt;&gt;"",$E101&lt;&gt;"")),$A101="",$K101&lt;&gt;"Yes"),"",IF($L101&lt;&gt;"",$L101,INDEX(SETUP!$I$1:$I$2000,MATCH(TRUE,SETUP!$J$1:$J$2000,0)+COUNTIFS($A$2:$A101,"&lt;&gt;",$K$2:$K101,"Yes",$L$2:$L101,"")-1)))</f>
        <v/>
      </c>
      <c r="N101" s="22"/>
    </row>
    <row r="102" spans="1:14" x14ac:dyDescent="0.3">
      <c r="A102" s="15" t="str">
        <f>IF(COUNTA($B102:$E102,$K102)=0,"",IF(AND($B102&lt;&gt;"",$C102&lt;&gt;"",$D102&lt;&gt;"",$E102&lt;&gt;""),"TXS"&amp;TEXT(COUNTIFS($B$2:$B102,"&lt;&gt;",$C$2:$C102,"&lt;&gt;",$D$2:$D102,"&lt;&gt;",$E$2:$E102,"&lt;&gt;"),"00000"),""))</f>
        <v/>
      </c>
      <c r="B102" s="16"/>
      <c r="C102" s="17"/>
      <c r="D102" s="17"/>
      <c r="E102" s="18"/>
      <c r="H102" s="19" t="str">
        <f t="shared" si="6"/>
        <v/>
      </c>
      <c r="I102" s="19" t="str">
        <f t="shared" si="9"/>
        <v/>
      </c>
      <c r="J102" s="19" t="str">
        <f t="shared" si="10"/>
        <v/>
      </c>
      <c r="K102" s="20"/>
      <c r="L102" s="21" t="str">
        <f>IF(OR(NOT(AND($B102&lt;&gt;"",$C102&lt;&gt;"",$D102&lt;&gt;"",$E102&lt;&gt;"")),$A102="",$K102&lt;&gt;"Yes"),"",IF($L102&lt;&gt;"",$L102,INDEX(SETUP!$I$1:$I$2000,MATCH(TRUE,SETUP!$J$1:$J$2000,0)+COUNTIFS($A$2:$A102,"&lt;&gt;",$K$2:$K102,"Yes",$L$2:$L102,"")-1)))</f>
        <v/>
      </c>
      <c r="N102" s="22"/>
    </row>
    <row r="103" spans="1:14" x14ac:dyDescent="0.3">
      <c r="A103" s="15" t="str">
        <f>IF(COUNTA($B103:$E103,$K103)=0,"",IF(AND($B103&lt;&gt;"",$C103&lt;&gt;"",$D103&lt;&gt;"",$E103&lt;&gt;""),"TXS"&amp;TEXT(COUNTIFS($B$2:$B103,"&lt;&gt;",$C$2:$C103,"&lt;&gt;",$D$2:$D103,"&lt;&gt;",$E$2:$E103,"&lt;&gt;"),"00000"),""))</f>
        <v/>
      </c>
      <c r="B103" s="16"/>
      <c r="C103" s="17"/>
      <c r="D103" s="17"/>
      <c r="E103" s="18"/>
      <c r="H103" s="19" t="str">
        <f t="shared" si="6"/>
        <v/>
      </c>
      <c r="I103" s="19" t="str">
        <f t="shared" si="9"/>
        <v/>
      </c>
      <c r="J103" s="19" t="str">
        <f t="shared" si="10"/>
        <v/>
      </c>
      <c r="K103" s="20"/>
      <c r="L103" s="21" t="str">
        <f>IF(OR(NOT(AND($B103&lt;&gt;"",$C103&lt;&gt;"",$D103&lt;&gt;"",$E103&lt;&gt;"")),$A103="",$K103&lt;&gt;"Yes"),"",IF($L103&lt;&gt;"",$L103,INDEX(SETUP!$I$1:$I$2000,MATCH(TRUE,SETUP!$J$1:$J$2000,0)+COUNTIFS($A$2:$A103,"&lt;&gt;",$K$2:$K103,"Yes",$L$2:$L103,"")-1)))</f>
        <v/>
      </c>
      <c r="N103" s="22"/>
    </row>
    <row r="104" spans="1:14" x14ac:dyDescent="0.3">
      <c r="A104" s="15" t="str">
        <f>IF(COUNTA($B104:$E104,$K104)=0,"",IF(AND($B104&lt;&gt;"",$C104&lt;&gt;"",$D104&lt;&gt;"",$E104&lt;&gt;""),"TXS"&amp;TEXT(COUNTIFS($B$2:$B104,"&lt;&gt;",$C$2:$C104,"&lt;&gt;",$D$2:$D104,"&lt;&gt;",$E$2:$E104,"&lt;&gt;"),"00000"),""))</f>
        <v/>
      </c>
      <c r="B104" s="16"/>
      <c r="C104" s="17"/>
      <c r="D104" s="17"/>
      <c r="E104" s="18"/>
      <c r="H104" s="19" t="str">
        <f t="shared" si="6"/>
        <v/>
      </c>
      <c r="J104" s="19" t="str">
        <f t="shared" si="10"/>
        <v/>
      </c>
      <c r="K104" s="20"/>
      <c r="L104" s="21" t="str">
        <f>IF(OR(NOT(AND($B104&lt;&gt;"",$C104&lt;&gt;"",$D104&lt;&gt;"",$E104&lt;&gt;"")),$A104="",$K104&lt;&gt;"Yes"),"",IF($L104&lt;&gt;"",$L104,INDEX(SETUP!$I$1:$I$2000,MATCH(TRUE,SETUP!$J$1:$J$2000,0)+COUNTIFS($A$2:$A104,"&lt;&gt;",$K$2:$K104,"Yes",$L$2:$L104,"")-1)))</f>
        <v/>
      </c>
      <c r="N104" s="22"/>
    </row>
    <row r="105" spans="1:14" x14ac:dyDescent="0.3">
      <c r="A105" s="15" t="str">
        <f>IF(COUNTA($B105:$E105,$K105)=0,"",IF(AND($B105&lt;&gt;"",$C105&lt;&gt;"",$D105&lt;&gt;"",$E105&lt;&gt;""),"TXS"&amp;TEXT(COUNTIFS($B$2:$B105,"&lt;&gt;",$C$2:$C105,"&lt;&gt;",$D$2:$D105,"&lt;&gt;",$E$2:$E105,"&lt;&gt;"),"00000"),""))</f>
        <v/>
      </c>
      <c r="B105" s="16"/>
      <c r="C105" s="17"/>
      <c r="D105" s="17"/>
      <c r="E105" s="18"/>
      <c r="H105" s="19" t="str">
        <f t="shared" si="6"/>
        <v/>
      </c>
      <c r="I105" s="19" t="str">
        <f t="shared" ref="I105:I168" si="11">IF(NOT(AND($B105&lt;&gt;"",$C105&lt;&gt;"",$D105&lt;&gt;"",$E105&lt;&gt;"")),"",IF($A105="","","NIH plate "&amp;INT((VALUE(RIGHT($A105,5))-1)/96)+1&amp;": "&amp;CHAR(65+INT(MOD(VALUE(RIGHT($A105,5))-1,96)/12))&amp;(MOD(VALUE(RIGHT($A105,5))-1,12)+1)))</f>
        <v/>
      </c>
      <c r="J105" s="19" t="str">
        <f t="shared" si="10"/>
        <v/>
      </c>
      <c r="K105" s="20"/>
      <c r="L105" s="21" t="str">
        <f>IF(OR(NOT(AND($B105&lt;&gt;"",$C105&lt;&gt;"",$D105&lt;&gt;"",$E105&lt;&gt;"")),$A105="",$K105&lt;&gt;"Yes"),"",IF($L105&lt;&gt;"",$L105,INDEX(SETUP!$I$1:$I$2000,MATCH(TRUE,SETUP!$J$1:$J$2000,0)+COUNTIFS($A$2:$A105,"&lt;&gt;",$K$2:$K105,"Yes",$L$2:$L105,"")-1)))</f>
        <v/>
      </c>
      <c r="N105" s="22"/>
    </row>
    <row r="106" spans="1:14" x14ac:dyDescent="0.3">
      <c r="A106" s="15" t="str">
        <f>IF(COUNTA($B106:$E106,$K106)=0,"",IF(AND($B106&lt;&gt;"",$C106&lt;&gt;"",$D106&lt;&gt;"",$E106&lt;&gt;""),"TXS"&amp;TEXT(COUNTIFS($B$2:$B106,"&lt;&gt;",$C$2:$C106,"&lt;&gt;",$D$2:$D106,"&lt;&gt;",$E$2:$E106,"&lt;&gt;"),"00000"),""))</f>
        <v/>
      </c>
      <c r="B106" s="16"/>
      <c r="C106" s="17"/>
      <c r="D106" s="17"/>
      <c r="E106" s="18"/>
      <c r="H106" s="19" t="str">
        <f t="shared" si="6"/>
        <v/>
      </c>
      <c r="I106" s="19" t="str">
        <f t="shared" si="11"/>
        <v/>
      </c>
      <c r="J106" s="19" t="str">
        <f t="shared" si="10"/>
        <v/>
      </c>
      <c r="K106" s="20"/>
      <c r="L106" s="21" t="str">
        <f>IF(OR(NOT(AND($B106&lt;&gt;"",$C106&lt;&gt;"",$D106&lt;&gt;"",$E106&lt;&gt;"")),$A106="",$K106&lt;&gt;"Yes"),"",IF($L106&lt;&gt;"",$L106,INDEX(SETUP!$I$1:$I$2000,MATCH(TRUE,SETUP!$J$1:$J$2000,0)+COUNTIFS($A$2:$A106,"&lt;&gt;",$K$2:$K106,"Yes",$L$2:$L106,"")-1)))</f>
        <v/>
      </c>
      <c r="N106" s="22"/>
    </row>
    <row r="107" spans="1:14" x14ac:dyDescent="0.3">
      <c r="A107" s="15" t="str">
        <f>IF(COUNTA($B107:$E107,$K107)=0,"",IF(AND($B107&lt;&gt;"",$C107&lt;&gt;"",$D107&lt;&gt;"",$E107&lt;&gt;""),"TXS"&amp;TEXT(COUNTIFS($B$2:$B107,"&lt;&gt;",$C$2:$C107,"&lt;&gt;",$D$2:$D107,"&lt;&gt;",$E$2:$E107,"&lt;&gt;"),"00000"),""))</f>
        <v/>
      </c>
      <c r="B107" s="16"/>
      <c r="C107" s="17"/>
      <c r="D107" s="17"/>
      <c r="E107" s="18"/>
      <c r="H107" s="19" t="str">
        <f t="shared" si="6"/>
        <v/>
      </c>
      <c r="I107" s="19" t="str">
        <f t="shared" si="11"/>
        <v/>
      </c>
      <c r="K107" s="20"/>
      <c r="L107" s="21" t="str">
        <f>IF(OR(NOT(AND($B107&lt;&gt;"",$C107&lt;&gt;"",$D107&lt;&gt;"",$E107&lt;&gt;"")),$A107="",$K107&lt;&gt;"Yes"),"",IF($L107&lt;&gt;"",$L107,INDEX(SETUP!$I$1:$I$2000,MATCH(TRUE,SETUP!$J$1:$J$2000,0)+COUNTIFS($A$2:$A107,"&lt;&gt;",$K$2:$K107,"Yes",$L$2:$L107,"")-1)))</f>
        <v/>
      </c>
      <c r="N107" s="22"/>
    </row>
    <row r="108" spans="1:14" x14ac:dyDescent="0.3">
      <c r="A108" s="15" t="str">
        <f>IF(COUNTA($B108:$E108,$K108)=0,"",IF(AND($B108&lt;&gt;"",$C108&lt;&gt;"",$D108&lt;&gt;"",$E108&lt;&gt;""),"TXS"&amp;TEXT(COUNTIFS($B$2:$B108,"&lt;&gt;",$C$2:$C108,"&lt;&gt;",$D$2:$D108,"&lt;&gt;",$E$2:$E108,"&lt;&gt;"),"00000"),""))</f>
        <v/>
      </c>
      <c r="B108" s="16"/>
      <c r="C108" s="17"/>
      <c r="D108" s="17"/>
      <c r="E108" s="18"/>
      <c r="H108" s="19" t="str">
        <f t="shared" si="6"/>
        <v/>
      </c>
      <c r="I108" s="19" t="str">
        <f t="shared" si="11"/>
        <v/>
      </c>
      <c r="J108" s="19" t="str">
        <f>IF(NOT(AND($B108&lt;&gt;"",$C108&lt;&gt;"",$D108&lt;&gt;"",$E108&lt;&gt;"")),"",IF($A108="","","Max Planck plate "&amp;INT((VALUE(RIGHT($A108,5))-1)/96)+1&amp;": "&amp;CHAR(65+INT(MOD(VALUE(RIGHT($A108,5))-1,96)/12))&amp;(MOD(VALUE(RIGHT($A108,5))-1,12)+1)))</f>
        <v/>
      </c>
      <c r="K108" s="20"/>
      <c r="L108" s="21" t="str">
        <f>IF(OR(NOT(AND($B108&lt;&gt;"",$C108&lt;&gt;"",$D108&lt;&gt;"",$E108&lt;&gt;"")),$A108="",$K108&lt;&gt;"Yes"),"",IF($L108&lt;&gt;"",$L108,INDEX(SETUP!$I$1:$I$2000,MATCH(TRUE,SETUP!$J$1:$J$2000,0)+COUNTIFS($A$2:$A108,"&lt;&gt;",$K$2:$K108,"Yes",$L$2:$L108,"")-1)))</f>
        <v/>
      </c>
      <c r="N108" s="22"/>
    </row>
    <row r="109" spans="1:14" x14ac:dyDescent="0.3">
      <c r="A109" s="15" t="str">
        <f>IF(COUNTA($B109:$E109,$K109)=0,"",IF(AND($B109&lt;&gt;"",$C109&lt;&gt;"",$D109&lt;&gt;"",$E109&lt;&gt;""),"TXS"&amp;TEXT(COUNTIFS($B$2:$B109,"&lt;&gt;",$C$2:$C109,"&lt;&gt;",$D$2:$D109,"&lt;&gt;",$E$2:$E109,"&lt;&gt;"),"00000"),""))</f>
        <v/>
      </c>
      <c r="B109" s="16"/>
      <c r="C109" s="17"/>
      <c r="D109" s="17"/>
      <c r="E109" s="18"/>
      <c r="H109" s="19" t="str">
        <f t="shared" si="6"/>
        <v/>
      </c>
      <c r="I109" s="19" t="str">
        <f t="shared" si="11"/>
        <v/>
      </c>
      <c r="J109" s="19" t="str">
        <f>IF(NOT(AND($B109&lt;&gt;"",$C109&lt;&gt;"",$D109&lt;&gt;"",$E109&lt;&gt;"")),"",IF($A109="","","Max Planck plate "&amp;INT((VALUE(RIGHT($A109,5))-1)/96)+1&amp;": "&amp;CHAR(65+INT(MOD(VALUE(RIGHT($A109,5))-1,96)/12))&amp;(MOD(VALUE(RIGHT($A109,5))-1,12)+1)))</f>
        <v/>
      </c>
      <c r="K109" s="20"/>
      <c r="L109" s="21" t="str">
        <f>IF(OR(NOT(AND($B109&lt;&gt;"",$C109&lt;&gt;"",$D109&lt;&gt;"",$E109&lt;&gt;"")),$A109="",$K109&lt;&gt;"Yes"),"",IF($L109&lt;&gt;"",$L109,INDEX(SETUP!$I$1:$I$2000,MATCH(TRUE,SETUP!$J$1:$J$2000,0)+COUNTIFS($A$2:$A109,"&lt;&gt;",$K$2:$K109,"Yes",$L$2:$L109,"")-1)))</f>
        <v/>
      </c>
      <c r="N109" s="22"/>
    </row>
    <row r="110" spans="1:14" x14ac:dyDescent="0.3">
      <c r="A110" s="15" t="str">
        <f>IF(COUNTA($B110:$E110,$K110)=0,"",IF(AND($B110&lt;&gt;"",$C110&lt;&gt;"",$D110&lt;&gt;"",$E110&lt;&gt;""),"TXS"&amp;TEXT(COUNTIFS($B$2:$B110,"&lt;&gt;",$C$2:$C110,"&lt;&gt;",$D$2:$D110,"&lt;&gt;",$E$2:$E110,"&lt;&gt;"),"00000"),""))</f>
        <v/>
      </c>
      <c r="B110" s="16"/>
      <c r="C110" s="17"/>
      <c r="D110" s="17"/>
      <c r="E110" s="18"/>
      <c r="H110" s="19" t="str">
        <f t="shared" si="6"/>
        <v/>
      </c>
      <c r="I110" s="19" t="str">
        <f t="shared" si="11"/>
        <v/>
      </c>
      <c r="J110" s="19" t="str">
        <f>IF(NOT(AND($B110&lt;&gt;"",$C110&lt;&gt;"",$D110&lt;&gt;"",$E110&lt;&gt;"")),"",IF($A110="","","Max Planck plate "&amp;INT((VALUE(RIGHT($A110,5))-1)/96)+1&amp;": "&amp;CHAR(65+INT(MOD(VALUE(RIGHT($A110,5))-1,96)/12))&amp;(MOD(VALUE(RIGHT($A110,5))-1,12)+1)))</f>
        <v/>
      </c>
      <c r="K110" s="20"/>
      <c r="L110" s="21" t="str">
        <f>IF(OR(NOT(AND($B110&lt;&gt;"",$C110&lt;&gt;"",$D110&lt;&gt;"",$E110&lt;&gt;"")),$A110="",$K110&lt;&gt;"Yes"),"",IF($L110&lt;&gt;"",$L110,INDEX(SETUP!$I$1:$I$2000,MATCH(TRUE,SETUP!$J$1:$J$2000,0)+COUNTIFS($A$2:$A110,"&lt;&gt;",$K$2:$K110,"Yes",$L$2:$L110,"")-1)))</f>
        <v/>
      </c>
      <c r="N110" s="22"/>
    </row>
    <row r="111" spans="1:14" x14ac:dyDescent="0.3">
      <c r="A111" s="15" t="str">
        <f>IF(COUNTA($B111:$E111,$K111)=0,"",IF(AND($B111&lt;&gt;"",$C111&lt;&gt;"",$D111&lt;&gt;"",$E111&lt;&gt;""),"TXS"&amp;TEXT(COUNTIFS($B$2:$B111,"&lt;&gt;",$C$2:$C111,"&lt;&gt;",$D$2:$D111,"&lt;&gt;",$E$2:$E111,"&lt;&gt;"),"00000"),""))</f>
        <v/>
      </c>
      <c r="B111" s="16"/>
      <c r="C111" s="17"/>
      <c r="D111" s="17"/>
      <c r="E111" s="18"/>
      <c r="H111" s="19" t="str">
        <f t="shared" ref="H111:H174" si="12">IF(NOT(AND($B111&lt;&gt;"",$C111&lt;&gt;"",$D111&lt;&gt;"",$E111&lt;&gt;"")),"",IF($A111="","","CDI plate "&amp;INT((VALUE(RIGHT($A111,5))-1)/96)+1&amp;": "&amp;CHAR(65+INT(MOD(VALUE(RIGHT($A111,5))-1,96)/12))&amp;(MOD(VALUE(RIGHT($A111,5))-1,12)+1)))</f>
        <v/>
      </c>
      <c r="I111" s="19" t="str">
        <f t="shared" si="11"/>
        <v/>
      </c>
      <c r="J111" s="19" t="str">
        <f>IF(NOT(AND($B111&lt;&gt;"",$C111&lt;&gt;"",$D111&lt;&gt;"",$E111&lt;&gt;"")),"",IF($A111="","","Max Planck plate "&amp;INT((VALUE(RIGHT($A111,5))-1)/96)+1&amp;": "&amp;CHAR(65+INT(MOD(VALUE(RIGHT($A111,5))-1,96)/12))&amp;(MOD(VALUE(RIGHT($A111,5))-1,12)+1)))</f>
        <v/>
      </c>
      <c r="K111" s="20"/>
      <c r="L111" s="21" t="str">
        <f>IF(OR(NOT(AND($B111&lt;&gt;"",$C111&lt;&gt;"",$D111&lt;&gt;"",$E111&lt;&gt;"")),$A111="",$K111&lt;&gt;"Yes"),"",IF($L111&lt;&gt;"",$L111,INDEX(SETUP!$I$1:$I$2000,MATCH(TRUE,SETUP!$J$1:$J$2000,0)+COUNTIFS($A$2:$A111,"&lt;&gt;",$K$2:$K111,"Yes",$L$2:$L111,"")-1)))</f>
        <v/>
      </c>
      <c r="N111" s="22"/>
    </row>
    <row r="112" spans="1:14" x14ac:dyDescent="0.3">
      <c r="A112" s="15" t="str">
        <f>IF(COUNTA($B112:$E112,$K112)=0,"",IF(AND($B112&lt;&gt;"",$C112&lt;&gt;"",$D112&lt;&gt;"",$E112&lt;&gt;""),"TXS"&amp;TEXT(COUNTIFS($B$2:$B112,"&lt;&gt;",$C$2:$C112,"&lt;&gt;",$D$2:$D112,"&lt;&gt;",$E$2:$E112,"&lt;&gt;"),"00000"),""))</f>
        <v/>
      </c>
      <c r="B112" s="16"/>
      <c r="C112" s="17"/>
      <c r="D112" s="17"/>
      <c r="E112" s="18"/>
      <c r="H112" s="19" t="str">
        <f t="shared" si="12"/>
        <v/>
      </c>
      <c r="I112" s="19" t="str">
        <f t="shared" si="11"/>
        <v/>
      </c>
      <c r="J112" s="19" t="str">
        <f>IF(NOT(AND($B112&lt;&gt;"",$C112&lt;&gt;"",$D112&lt;&gt;"",$E112&lt;&gt;"")),"",IF($A112="","","Max Planck plate "&amp;INT((VALUE(RIGHT($A112,5))-1)/96)+1&amp;": "&amp;CHAR(65+INT(MOD(VALUE(RIGHT($A112,5))-1,96)/12))&amp;(MOD(VALUE(RIGHT($A112,5))-1,12)+1)))</f>
        <v/>
      </c>
      <c r="K112" s="20"/>
      <c r="L112" s="21" t="str">
        <f>IF(OR(NOT(AND($B112&lt;&gt;"",$C112&lt;&gt;"",$D112&lt;&gt;"",$E112&lt;&gt;"")),$A112="",$K112&lt;&gt;"Yes"),"",IF($L112&lt;&gt;"",$L112,INDEX(SETUP!$I$1:$I$2000,MATCH(TRUE,SETUP!$J$1:$J$2000,0)+COUNTIFS($A$2:$A112,"&lt;&gt;",$K$2:$K112,"Yes",$L$2:$L112,"")-1)))</f>
        <v/>
      </c>
      <c r="N112" s="22"/>
    </row>
    <row r="113" spans="1:14" x14ac:dyDescent="0.3">
      <c r="A113" s="15" t="str">
        <f>IF(COUNTA($B113:$E113,$K113)=0,"",IF(AND($B113&lt;&gt;"",$C113&lt;&gt;"",$D113&lt;&gt;"",$E113&lt;&gt;""),"TXS"&amp;TEXT(COUNTIFS($B$2:$B113,"&lt;&gt;",$C$2:$C113,"&lt;&gt;",$D$2:$D113,"&lt;&gt;",$E$2:$E113,"&lt;&gt;"),"00000"),""))</f>
        <v/>
      </c>
      <c r="B113" s="16"/>
      <c r="C113" s="17"/>
      <c r="D113" s="17"/>
      <c r="E113" s="18"/>
      <c r="H113" s="19" t="str">
        <f t="shared" si="12"/>
        <v/>
      </c>
      <c r="I113" s="19" t="str">
        <f t="shared" si="11"/>
        <v/>
      </c>
      <c r="K113" s="20"/>
      <c r="L113" s="21" t="str">
        <f>IF(OR(NOT(AND($B113&lt;&gt;"",$C113&lt;&gt;"",$D113&lt;&gt;"",$E113&lt;&gt;"")),$A113="",$K113&lt;&gt;"Yes"),"",IF($L113&lt;&gt;"",$L113,INDEX(SETUP!$I$1:$I$2000,MATCH(TRUE,SETUP!$J$1:$J$2000,0)+COUNTIFS($A$2:$A113,"&lt;&gt;",$K$2:$K113,"Yes",$L$2:$L113,"")-1)))</f>
        <v/>
      </c>
      <c r="N113" s="22"/>
    </row>
    <row r="114" spans="1:14" x14ac:dyDescent="0.3">
      <c r="A114" s="15" t="str">
        <f>IF(COUNTA($B114:$E114,$K114)=0,"",IF(AND($B114&lt;&gt;"",$C114&lt;&gt;"",$D114&lt;&gt;"",$E114&lt;&gt;""),"TXS"&amp;TEXT(COUNTIFS($B$2:$B114,"&lt;&gt;",$C$2:$C114,"&lt;&gt;",$D$2:$D114,"&lt;&gt;",$E$2:$E114,"&lt;&gt;"),"00000"),""))</f>
        <v/>
      </c>
      <c r="B114" s="16"/>
      <c r="C114" s="17"/>
      <c r="D114" s="17"/>
      <c r="E114" s="18"/>
      <c r="H114" s="19" t="str">
        <f t="shared" si="12"/>
        <v/>
      </c>
      <c r="I114" s="19" t="str">
        <f t="shared" si="11"/>
        <v/>
      </c>
      <c r="J114" s="19" t="str">
        <f t="shared" ref="J114:J177" si="13">IF(NOT(AND($B114&lt;&gt;"",$C114&lt;&gt;"",$D114&lt;&gt;"",$E114&lt;&gt;"")),"",IF($A114="","","Max Planck plate "&amp;INT((VALUE(RIGHT($A114,5))-1)/96)+1&amp;": "&amp;CHAR(65+INT(MOD(VALUE(RIGHT($A114,5))-1,96)/12))&amp;(MOD(VALUE(RIGHT($A114,5))-1,12)+1)))</f>
        <v/>
      </c>
      <c r="K114" s="20"/>
      <c r="L114" s="21" t="str">
        <f>IF(OR(NOT(AND($B114&lt;&gt;"",$C114&lt;&gt;"",$D114&lt;&gt;"",$E114&lt;&gt;"")),$A114="",$K114&lt;&gt;"Yes"),"",IF($L114&lt;&gt;"",$L114,INDEX(SETUP!$I$1:$I$2000,MATCH(TRUE,SETUP!$J$1:$J$2000,0)+COUNTIFS($A$2:$A114,"&lt;&gt;",$K$2:$K114,"Yes",$L$2:$L114,"")-1)))</f>
        <v/>
      </c>
      <c r="N114" s="22"/>
    </row>
    <row r="115" spans="1:14" x14ac:dyDescent="0.3">
      <c r="A115" s="15" t="str">
        <f>IF(COUNTA($B115:$E115,$K115)=0,"",IF(AND($B115&lt;&gt;"",$C115&lt;&gt;"",$D115&lt;&gt;"",$E115&lt;&gt;""),"TXS"&amp;TEXT(COUNTIFS($B$2:$B115,"&lt;&gt;",$C$2:$C115,"&lt;&gt;",$D$2:$D115,"&lt;&gt;",$E$2:$E115,"&lt;&gt;"),"00000"),""))</f>
        <v/>
      </c>
      <c r="B115" s="16"/>
      <c r="C115" s="17"/>
      <c r="D115" s="17"/>
      <c r="E115" s="18"/>
      <c r="H115" s="19" t="str">
        <f t="shared" si="12"/>
        <v/>
      </c>
      <c r="I115" s="19" t="str">
        <f t="shared" si="11"/>
        <v/>
      </c>
      <c r="J115" s="19" t="str">
        <f t="shared" si="13"/>
        <v/>
      </c>
      <c r="K115" s="20"/>
      <c r="L115" s="21" t="str">
        <f>IF(OR(NOT(AND($B115&lt;&gt;"",$C115&lt;&gt;"",$D115&lt;&gt;"",$E115&lt;&gt;"")),$A115="",$K115&lt;&gt;"Yes"),"",IF($L115&lt;&gt;"",$L115,INDEX(SETUP!$I$1:$I$2000,MATCH(TRUE,SETUP!$J$1:$J$2000,0)+COUNTIFS($A$2:$A115,"&lt;&gt;",$K$2:$K115,"Yes",$L$2:$L115,"")-1)))</f>
        <v/>
      </c>
      <c r="N115" s="22"/>
    </row>
    <row r="116" spans="1:14" x14ac:dyDescent="0.3">
      <c r="A116" s="15" t="str">
        <f>IF(COUNTA($B116:$E116,$K116)=0,"",IF(AND($B116&lt;&gt;"",$C116&lt;&gt;"",$D116&lt;&gt;"",$E116&lt;&gt;""),"TXS"&amp;TEXT(COUNTIFS($B$2:$B116,"&lt;&gt;",$C$2:$C116,"&lt;&gt;",$D$2:$D116,"&lt;&gt;",$E$2:$E116,"&lt;&gt;"),"00000"),""))</f>
        <v/>
      </c>
      <c r="B116" s="16"/>
      <c r="C116" s="17"/>
      <c r="D116" s="17"/>
      <c r="E116" s="18"/>
      <c r="H116" s="19" t="str">
        <f t="shared" si="12"/>
        <v/>
      </c>
      <c r="I116" s="19" t="str">
        <f t="shared" si="11"/>
        <v/>
      </c>
      <c r="J116" s="19" t="str">
        <f t="shared" si="13"/>
        <v/>
      </c>
      <c r="K116" s="20"/>
      <c r="L116" s="21" t="str">
        <f>IF(OR(NOT(AND($B116&lt;&gt;"",$C116&lt;&gt;"",$D116&lt;&gt;"",$E116&lt;&gt;"")),$A116="",$K116&lt;&gt;"Yes"),"",IF($L116&lt;&gt;"",$L116,INDEX(SETUP!$I$1:$I$2000,MATCH(TRUE,SETUP!$J$1:$J$2000,0)+COUNTIFS($A$2:$A116,"&lt;&gt;",$K$2:$K116,"Yes",$L$2:$L116,"")-1)))</f>
        <v/>
      </c>
      <c r="N116" s="22"/>
    </row>
    <row r="117" spans="1:14" x14ac:dyDescent="0.3">
      <c r="A117" s="15" t="str">
        <f>IF(COUNTA($B117:$E117,$K117)=0,"",IF(AND($B117&lt;&gt;"",$C117&lt;&gt;"",$D117&lt;&gt;"",$E117&lt;&gt;""),"TXS"&amp;TEXT(COUNTIFS($B$2:$B117,"&lt;&gt;",$C$2:$C117,"&lt;&gt;",$D$2:$D117,"&lt;&gt;",$E$2:$E117,"&lt;&gt;"),"00000"),""))</f>
        <v/>
      </c>
      <c r="B117" s="16"/>
      <c r="C117" s="17"/>
      <c r="D117" s="17"/>
      <c r="E117" s="18"/>
      <c r="H117" s="19" t="str">
        <f t="shared" si="12"/>
        <v/>
      </c>
      <c r="I117" s="19" t="str">
        <f t="shared" si="11"/>
        <v/>
      </c>
      <c r="J117" s="19" t="str">
        <f t="shared" si="13"/>
        <v/>
      </c>
      <c r="K117" s="20"/>
      <c r="L117" s="21" t="str">
        <f>IF(OR(NOT(AND($B117&lt;&gt;"",$C117&lt;&gt;"",$D117&lt;&gt;"",$E117&lt;&gt;"")),$A117="",$K117&lt;&gt;"Yes"),"",IF($L117&lt;&gt;"",$L117,INDEX(SETUP!$I$1:$I$2000,MATCH(TRUE,SETUP!$J$1:$J$2000,0)+COUNTIFS($A$2:$A117,"&lt;&gt;",$K$2:$K117,"Yes",$L$2:$L117,"")-1)))</f>
        <v/>
      </c>
      <c r="N117" s="22"/>
    </row>
    <row r="118" spans="1:14" x14ac:dyDescent="0.3">
      <c r="A118" s="15" t="str">
        <f>IF(COUNTA($B118:$E118,$K118)=0,"",IF(AND($B118&lt;&gt;"",$C118&lt;&gt;"",$D118&lt;&gt;"",$E118&lt;&gt;""),"TXS"&amp;TEXT(COUNTIFS($B$2:$B118,"&lt;&gt;",$C$2:$C118,"&lt;&gt;",$D$2:$D118,"&lt;&gt;",$E$2:$E118,"&lt;&gt;"),"00000"),""))</f>
        <v/>
      </c>
      <c r="B118" s="16"/>
      <c r="C118" s="17"/>
      <c r="D118" s="17"/>
      <c r="E118" s="18"/>
      <c r="H118" s="19" t="str">
        <f t="shared" si="12"/>
        <v/>
      </c>
      <c r="I118" s="19" t="str">
        <f t="shared" si="11"/>
        <v/>
      </c>
      <c r="J118" s="19" t="str">
        <f t="shared" si="13"/>
        <v/>
      </c>
      <c r="K118" s="20"/>
      <c r="L118" s="21" t="str">
        <f>IF(OR(NOT(AND($B118&lt;&gt;"",$C118&lt;&gt;"",$D118&lt;&gt;"",$E118&lt;&gt;"")),$A118="",$K118&lt;&gt;"Yes"),"",IF($L118&lt;&gt;"",$L118,INDEX(SETUP!$I$1:$I$2000,MATCH(TRUE,SETUP!$J$1:$J$2000,0)+COUNTIFS($A$2:$A118,"&lt;&gt;",$K$2:$K118,"Yes",$L$2:$L118,"")-1)))</f>
        <v/>
      </c>
      <c r="N118" s="22"/>
    </row>
    <row r="119" spans="1:14" x14ac:dyDescent="0.3">
      <c r="A119" s="15" t="str">
        <f>IF(COUNTA($B119:$E119,$K119)=0,"",IF(AND($B119&lt;&gt;"",$C119&lt;&gt;"",$D119&lt;&gt;"",$E119&lt;&gt;""),"TXS"&amp;TEXT(COUNTIFS($B$2:$B119,"&lt;&gt;",$C$2:$C119,"&lt;&gt;",$D$2:$D119,"&lt;&gt;",$E$2:$E119,"&lt;&gt;"),"00000"),""))</f>
        <v/>
      </c>
      <c r="B119" s="16"/>
      <c r="C119" s="17"/>
      <c r="D119" s="17"/>
      <c r="E119" s="18"/>
      <c r="H119" s="19" t="str">
        <f t="shared" si="12"/>
        <v/>
      </c>
      <c r="I119" s="19" t="str">
        <f t="shared" si="11"/>
        <v/>
      </c>
      <c r="J119" s="19" t="str">
        <f t="shared" si="13"/>
        <v/>
      </c>
      <c r="K119" s="20"/>
      <c r="L119" s="21" t="str">
        <f>IF(OR(NOT(AND($B119&lt;&gt;"",$C119&lt;&gt;"",$D119&lt;&gt;"",$E119&lt;&gt;"")),$A119="",$K119&lt;&gt;"Yes"),"",IF($L119&lt;&gt;"",$L119,INDEX(SETUP!$I$1:$I$2000,MATCH(TRUE,SETUP!$J$1:$J$2000,0)+COUNTIFS($A$2:$A119,"&lt;&gt;",$K$2:$K119,"Yes",$L$2:$L119,"")-1)))</f>
        <v/>
      </c>
      <c r="N119" s="22"/>
    </row>
    <row r="120" spans="1:14" x14ac:dyDescent="0.3">
      <c r="A120" s="15" t="str">
        <f>IF(COUNTA($B120:$E120,$K120)=0,"",IF(AND($B120&lt;&gt;"",$C120&lt;&gt;"",$D120&lt;&gt;"",$E120&lt;&gt;""),"TXS"&amp;TEXT(COUNTIFS($B$2:$B120,"&lt;&gt;",$C$2:$C120,"&lt;&gt;",$D$2:$D120,"&lt;&gt;",$E$2:$E120,"&lt;&gt;"),"00000"),""))</f>
        <v/>
      </c>
      <c r="B120" s="16"/>
      <c r="C120" s="17"/>
      <c r="D120" s="17"/>
      <c r="E120" s="18"/>
      <c r="H120" s="19" t="str">
        <f t="shared" si="12"/>
        <v/>
      </c>
      <c r="I120" s="19" t="str">
        <f t="shared" si="11"/>
        <v/>
      </c>
      <c r="J120" s="19" t="str">
        <f t="shared" si="13"/>
        <v/>
      </c>
      <c r="K120" s="20"/>
      <c r="L120" s="21" t="str">
        <f>IF(OR(NOT(AND($B120&lt;&gt;"",$C120&lt;&gt;"",$D120&lt;&gt;"",$E120&lt;&gt;"")),$A120="",$K120&lt;&gt;"Yes"),"",IF($L120&lt;&gt;"",$L120,INDEX(SETUP!$I$1:$I$2000,MATCH(TRUE,SETUP!$J$1:$J$2000,0)+COUNTIFS($A$2:$A120,"&lt;&gt;",$K$2:$K120,"Yes",$L$2:$L120,"")-1)))</f>
        <v/>
      </c>
      <c r="N120" s="22"/>
    </row>
    <row r="121" spans="1:14" x14ac:dyDescent="0.3">
      <c r="A121" s="15" t="str">
        <f>IF(COUNTA($B121:$E121,$K121)=0,"",IF(AND($B121&lt;&gt;"",$C121&lt;&gt;"",$D121&lt;&gt;"",$E121&lt;&gt;""),"TXS"&amp;TEXT(COUNTIFS($B$2:$B121,"&lt;&gt;",$C$2:$C121,"&lt;&gt;",$D$2:$D121,"&lt;&gt;",$E$2:$E121,"&lt;&gt;"),"00000"),""))</f>
        <v/>
      </c>
      <c r="B121" s="16"/>
      <c r="C121" s="20"/>
      <c r="D121" s="20"/>
      <c r="E121" s="23"/>
      <c r="H121" s="19" t="str">
        <f t="shared" si="12"/>
        <v/>
      </c>
      <c r="I121" s="19" t="str">
        <f t="shared" si="11"/>
        <v/>
      </c>
      <c r="J121" s="19" t="str">
        <f t="shared" si="13"/>
        <v/>
      </c>
      <c r="K121" s="20"/>
      <c r="L121" s="21" t="str">
        <f>IF(OR(NOT(AND($B121&lt;&gt;"",$C121&lt;&gt;"",$D121&lt;&gt;"",$E121&lt;&gt;"")),$A121="",$K121&lt;&gt;"Yes"),"",IF($L121&lt;&gt;"",$L121,INDEX(SETUP!$I$1:$I$2000,MATCH(TRUE,SETUP!$J$1:$J$2000,0)+COUNTIFS($A$2:$A121,"&lt;&gt;",$K$2:$K121,"Yes",$L$2:$L121,"")-1)))</f>
        <v/>
      </c>
      <c r="N121" s="22"/>
    </row>
    <row r="122" spans="1:14" x14ac:dyDescent="0.3">
      <c r="A122" s="15" t="str">
        <f>IF(COUNTA($B122:$E122,$K122)=0,"",IF(AND($B122&lt;&gt;"",$C122&lt;&gt;"",$D122&lt;&gt;"",$E122&lt;&gt;""),"TXS"&amp;TEXT(COUNTIFS($B$2:$B122,"&lt;&gt;",$C$2:$C122,"&lt;&gt;",$D$2:$D122,"&lt;&gt;",$E$2:$E122,"&lt;&gt;"),"00000"),""))</f>
        <v/>
      </c>
      <c r="B122" s="16"/>
      <c r="C122" s="20"/>
      <c r="D122" s="20"/>
      <c r="E122" s="23"/>
      <c r="H122" s="19" t="str">
        <f t="shared" si="12"/>
        <v/>
      </c>
      <c r="I122" s="19" t="str">
        <f t="shared" si="11"/>
        <v/>
      </c>
      <c r="J122" s="19" t="str">
        <f t="shared" si="13"/>
        <v/>
      </c>
      <c r="K122" s="20"/>
      <c r="L122" s="21" t="str">
        <f>IF(OR(NOT(AND($B122&lt;&gt;"",$C122&lt;&gt;"",$D122&lt;&gt;"",$E122&lt;&gt;"")),$A122="",$K122&lt;&gt;"Yes"),"",IF($L122&lt;&gt;"",$L122,INDEX(SETUP!$I$1:$I$2000,MATCH(TRUE,SETUP!$J$1:$J$2000,0)+COUNTIFS($A$2:$A122,"&lt;&gt;",$K$2:$K122,"Yes",$L$2:$L122,"")-1)))</f>
        <v/>
      </c>
      <c r="N122" s="22"/>
    </row>
    <row r="123" spans="1:14" x14ac:dyDescent="0.3">
      <c r="A123" s="15" t="str">
        <f>IF(COUNTA($B123:$E123,$K123)=0,"",IF(AND($B123&lt;&gt;"",$C123&lt;&gt;"",$D123&lt;&gt;"",$E123&lt;&gt;""),"TXS"&amp;TEXT(COUNTIFS($B$2:$B123,"&lt;&gt;",$C$2:$C123,"&lt;&gt;",$D$2:$D123,"&lt;&gt;",$E$2:$E123,"&lt;&gt;"),"00000"),""))</f>
        <v/>
      </c>
      <c r="B123" s="16"/>
      <c r="C123" s="20"/>
      <c r="D123" s="20"/>
      <c r="E123" s="23"/>
      <c r="H123" s="19" t="str">
        <f t="shared" si="12"/>
        <v/>
      </c>
      <c r="I123" s="19" t="str">
        <f t="shared" si="11"/>
        <v/>
      </c>
      <c r="J123" s="19" t="str">
        <f t="shared" si="13"/>
        <v/>
      </c>
      <c r="K123" s="20"/>
      <c r="L123" s="21" t="str">
        <f>IF(OR(NOT(AND($B123&lt;&gt;"",$C123&lt;&gt;"",$D123&lt;&gt;"",$E123&lt;&gt;"")),$A123="",$K123&lt;&gt;"Yes"),"",IF($L123&lt;&gt;"",$L123,INDEX(SETUP!$I$1:$I$2000,MATCH(TRUE,SETUP!$J$1:$J$2000,0)+COUNTIFS($A$2:$A123,"&lt;&gt;",$K$2:$K123,"Yes",$L$2:$L123,"")-1)))</f>
        <v/>
      </c>
      <c r="N123" s="22"/>
    </row>
    <row r="124" spans="1:14" x14ac:dyDescent="0.3">
      <c r="A124" s="15" t="str">
        <f>IF(COUNTA($B124:$E124,$K124)=0,"",IF(AND($B124&lt;&gt;"",$C124&lt;&gt;"",$D124&lt;&gt;"",$E124&lt;&gt;""),"TXS"&amp;TEXT(COUNTIFS($B$2:$B124,"&lt;&gt;",$C$2:$C124,"&lt;&gt;",$D$2:$D124,"&lt;&gt;",$E$2:$E124,"&lt;&gt;"),"00000"),""))</f>
        <v/>
      </c>
      <c r="B124" s="16"/>
      <c r="C124" s="20"/>
      <c r="D124" s="20"/>
      <c r="E124" s="23"/>
      <c r="H124" s="19" t="str">
        <f t="shared" si="12"/>
        <v/>
      </c>
      <c r="I124" s="19" t="str">
        <f t="shared" si="11"/>
        <v/>
      </c>
      <c r="J124" s="19" t="str">
        <f t="shared" si="13"/>
        <v/>
      </c>
      <c r="K124" s="20"/>
      <c r="L124" s="21" t="str">
        <f>IF(OR(NOT(AND($B124&lt;&gt;"",$C124&lt;&gt;"",$D124&lt;&gt;"",$E124&lt;&gt;"")),$A124="",$K124&lt;&gt;"Yes"),"",IF($L124&lt;&gt;"",$L124,INDEX(SETUP!$I$1:$I$2000,MATCH(TRUE,SETUP!$J$1:$J$2000,0)+COUNTIFS($A$2:$A124,"&lt;&gt;",$K$2:$K124,"Yes",$L$2:$L124,"")-1)))</f>
        <v/>
      </c>
      <c r="N124" s="22"/>
    </row>
    <row r="125" spans="1:14" x14ac:dyDescent="0.3">
      <c r="A125" s="15" t="str">
        <f>IF(COUNTA($B125:$E125,$K125)=0,"",IF(AND($B125&lt;&gt;"",$C125&lt;&gt;"",$D125&lt;&gt;"",$E125&lt;&gt;""),"TXS"&amp;TEXT(COUNTIFS($B$2:$B125,"&lt;&gt;",$C$2:$C125,"&lt;&gt;",$D$2:$D125,"&lt;&gt;",$E$2:$E125,"&lt;&gt;"),"00000"),""))</f>
        <v/>
      </c>
      <c r="B125" s="16"/>
      <c r="C125" s="20"/>
      <c r="D125" s="20"/>
      <c r="E125" s="23"/>
      <c r="H125" s="19" t="str">
        <f t="shared" si="12"/>
        <v/>
      </c>
      <c r="I125" s="19" t="str">
        <f t="shared" si="11"/>
        <v/>
      </c>
      <c r="J125" s="19" t="str">
        <f t="shared" si="13"/>
        <v/>
      </c>
      <c r="K125" s="20"/>
      <c r="L125" s="21" t="str">
        <f>IF(OR(NOT(AND($B125&lt;&gt;"",$C125&lt;&gt;"",$D125&lt;&gt;"",$E125&lt;&gt;"")),$A125="",$K125&lt;&gt;"Yes"),"",IF($L125&lt;&gt;"",$L125,INDEX(SETUP!$I$1:$I$2000,MATCH(TRUE,SETUP!$J$1:$J$2000,0)+COUNTIFS($A$2:$A125,"&lt;&gt;",$K$2:$K125,"Yes",$L$2:$L125,"")-1)))</f>
        <v/>
      </c>
      <c r="N125" s="22"/>
    </row>
    <row r="126" spans="1:14" x14ac:dyDescent="0.3">
      <c r="A126" s="15" t="str">
        <f>IF(COUNTA($B126:$E126,$K126)=0,"",IF(AND($B126&lt;&gt;"",$C126&lt;&gt;"",$D126&lt;&gt;"",$E126&lt;&gt;""),"TXS"&amp;TEXT(COUNTIFS($B$2:$B126,"&lt;&gt;",$C$2:$C126,"&lt;&gt;",$D$2:$D126,"&lt;&gt;",$E$2:$E126,"&lt;&gt;"),"00000"),""))</f>
        <v/>
      </c>
      <c r="B126" s="16"/>
      <c r="C126" s="20"/>
      <c r="D126" s="20"/>
      <c r="E126" s="23"/>
      <c r="H126" s="19" t="str">
        <f t="shared" si="12"/>
        <v/>
      </c>
      <c r="I126" s="19" t="str">
        <f t="shared" si="11"/>
        <v/>
      </c>
      <c r="J126" s="19" t="str">
        <f t="shared" si="13"/>
        <v/>
      </c>
      <c r="K126" s="20"/>
      <c r="L126" s="21" t="str">
        <f>IF(OR(NOT(AND($B126&lt;&gt;"",$C126&lt;&gt;"",$D126&lt;&gt;"",$E126&lt;&gt;"")),$A126="",$K126&lt;&gt;"Yes"),"",IF($L126&lt;&gt;"",$L126,INDEX(SETUP!$I$1:$I$2000,MATCH(TRUE,SETUP!$J$1:$J$2000,0)+COUNTIFS($A$2:$A126,"&lt;&gt;",$K$2:$K126,"Yes",$L$2:$L126,"")-1)))</f>
        <v/>
      </c>
      <c r="N126" s="22"/>
    </row>
    <row r="127" spans="1:14" x14ac:dyDescent="0.3">
      <c r="A127" s="15" t="str">
        <f>IF(COUNTA($B127:$E127,$K127)=0,"",IF(AND($B127&lt;&gt;"",$C127&lt;&gt;"",$D127&lt;&gt;"",$E127&lt;&gt;""),"TXS"&amp;TEXT(COUNTIFS($B$2:$B127,"&lt;&gt;",$C$2:$C127,"&lt;&gt;",$D$2:$D127,"&lt;&gt;",$E$2:$E127,"&lt;&gt;"),"00000"),""))</f>
        <v/>
      </c>
      <c r="B127" s="16"/>
      <c r="C127" s="20"/>
      <c r="D127" s="20"/>
      <c r="E127" s="23"/>
      <c r="H127" s="19" t="str">
        <f t="shared" si="12"/>
        <v/>
      </c>
      <c r="I127" s="19" t="str">
        <f t="shared" si="11"/>
        <v/>
      </c>
      <c r="J127" s="19" t="str">
        <f t="shared" si="13"/>
        <v/>
      </c>
      <c r="K127" s="20"/>
      <c r="L127" s="21" t="str">
        <f>IF(OR(NOT(AND($B127&lt;&gt;"",$C127&lt;&gt;"",$D127&lt;&gt;"",$E127&lt;&gt;"")),$A127="",$K127&lt;&gt;"Yes"),"",IF($L127&lt;&gt;"",$L127,INDEX(SETUP!$I$1:$I$2000,MATCH(TRUE,SETUP!$J$1:$J$2000,0)+COUNTIFS($A$2:$A127,"&lt;&gt;",$K$2:$K127,"Yes",$L$2:$L127,"")-1)))</f>
        <v/>
      </c>
      <c r="N127" s="22"/>
    </row>
    <row r="128" spans="1:14" x14ac:dyDescent="0.3">
      <c r="A128" s="15" t="str">
        <f>IF(COUNTA($B128:$E128,$K128)=0,"",IF(AND($B128&lt;&gt;"",$C128&lt;&gt;"",$D128&lt;&gt;"",$E128&lt;&gt;""),"TXS"&amp;TEXT(COUNTIFS($B$2:$B128,"&lt;&gt;",$C$2:$C128,"&lt;&gt;",$D$2:$D128,"&lt;&gt;",$E$2:$E128,"&lt;&gt;"),"00000"),""))</f>
        <v/>
      </c>
      <c r="B128" s="16"/>
      <c r="C128" s="20"/>
      <c r="D128" s="20"/>
      <c r="E128" s="23"/>
      <c r="H128" s="19" t="str">
        <f t="shared" si="12"/>
        <v/>
      </c>
      <c r="I128" s="19" t="str">
        <f t="shared" si="11"/>
        <v/>
      </c>
      <c r="J128" s="19" t="str">
        <f t="shared" si="13"/>
        <v/>
      </c>
      <c r="K128" s="20"/>
      <c r="L128" s="21" t="str">
        <f>IF(OR(NOT(AND($B128&lt;&gt;"",$C128&lt;&gt;"",$D128&lt;&gt;"",$E128&lt;&gt;"")),$A128="",$K128&lt;&gt;"Yes"),"",IF($L128&lt;&gt;"",$L128,INDEX(SETUP!$I$1:$I$2000,MATCH(TRUE,SETUP!$J$1:$J$2000,0)+COUNTIFS($A$2:$A128,"&lt;&gt;",$K$2:$K128,"Yes",$L$2:$L128,"")-1)))</f>
        <v/>
      </c>
      <c r="N128" s="22"/>
    </row>
    <row r="129" spans="1:14" x14ac:dyDescent="0.3">
      <c r="A129" s="15" t="str">
        <f>IF(COUNTA($B129:$E129,$K129)=0,"",IF(AND($B129&lt;&gt;"",$C129&lt;&gt;"",$D129&lt;&gt;"",$E129&lt;&gt;""),"TXS"&amp;TEXT(COUNTIFS($B$2:$B129,"&lt;&gt;",$C$2:$C129,"&lt;&gt;",$D$2:$D129,"&lt;&gt;",$E$2:$E129,"&lt;&gt;"),"00000"),""))</f>
        <v/>
      </c>
      <c r="B129" s="16"/>
      <c r="C129" s="20"/>
      <c r="D129" s="20"/>
      <c r="E129" s="23"/>
      <c r="H129" s="19" t="str">
        <f t="shared" si="12"/>
        <v/>
      </c>
      <c r="I129" s="19" t="str">
        <f t="shared" si="11"/>
        <v/>
      </c>
      <c r="J129" s="19" t="str">
        <f t="shared" si="13"/>
        <v/>
      </c>
      <c r="K129" s="20"/>
      <c r="L129" s="21" t="str">
        <f>IF(OR(NOT(AND($B129&lt;&gt;"",$C129&lt;&gt;"",$D129&lt;&gt;"",$E129&lt;&gt;"")),$A129="",$K129&lt;&gt;"Yes"),"",IF($L129&lt;&gt;"",$L129,INDEX(SETUP!$I$1:$I$2000,MATCH(TRUE,SETUP!$J$1:$J$2000,0)+COUNTIFS($A$2:$A129,"&lt;&gt;",$K$2:$K129,"Yes",$L$2:$L129,"")-1)))</f>
        <v/>
      </c>
      <c r="N129" s="22"/>
    </row>
    <row r="130" spans="1:14" x14ac:dyDescent="0.3">
      <c r="A130" s="15" t="str">
        <f>IF(COUNTA($B130:$E130,$K130)=0,"",IF(AND($B130&lt;&gt;"",$C130&lt;&gt;"",$D130&lt;&gt;"",$E130&lt;&gt;""),"TXS"&amp;TEXT(COUNTIFS($B$2:$B130,"&lt;&gt;",$C$2:$C130,"&lt;&gt;",$D$2:$D130,"&lt;&gt;",$E$2:$E130,"&lt;&gt;"),"00000"),""))</f>
        <v/>
      </c>
      <c r="B130" s="16"/>
      <c r="C130" s="20"/>
      <c r="D130" s="20"/>
      <c r="E130" s="23"/>
      <c r="H130" s="19" t="str">
        <f t="shared" si="12"/>
        <v/>
      </c>
      <c r="I130" s="19" t="str">
        <f t="shared" si="11"/>
        <v/>
      </c>
      <c r="J130" s="19" t="str">
        <f t="shared" si="13"/>
        <v/>
      </c>
      <c r="K130" s="20"/>
      <c r="L130" s="21" t="str">
        <f>IF(OR(NOT(AND($B130&lt;&gt;"",$C130&lt;&gt;"",$D130&lt;&gt;"",$E130&lt;&gt;"")),$A130="",$K130&lt;&gt;"Yes"),"",IF($L130&lt;&gt;"",$L130,INDEX(SETUP!$I$1:$I$2000,MATCH(TRUE,SETUP!$J$1:$J$2000,0)+COUNTIFS($A$2:$A130,"&lt;&gt;",$K$2:$K130,"Yes",$L$2:$L130,"")-1)))</f>
        <v/>
      </c>
      <c r="N130" s="22"/>
    </row>
    <row r="131" spans="1:14" x14ac:dyDescent="0.3">
      <c r="A131" s="15" t="str">
        <f>IF(COUNTA($B131:$E131,$K131)=0,"",IF(AND($B131&lt;&gt;"",$C131&lt;&gt;"",$D131&lt;&gt;"",$E131&lt;&gt;""),"TXS"&amp;TEXT(COUNTIFS($B$2:$B131,"&lt;&gt;",$C$2:$C131,"&lt;&gt;",$D$2:$D131,"&lt;&gt;",$E$2:$E131,"&lt;&gt;"),"00000"),""))</f>
        <v/>
      </c>
      <c r="B131" s="16"/>
      <c r="C131" s="20"/>
      <c r="D131" s="20"/>
      <c r="E131" s="23"/>
      <c r="H131" s="19" t="str">
        <f t="shared" si="12"/>
        <v/>
      </c>
      <c r="I131" s="19" t="str">
        <f t="shared" si="11"/>
        <v/>
      </c>
      <c r="J131" s="19" t="str">
        <f t="shared" si="13"/>
        <v/>
      </c>
      <c r="K131" s="20"/>
      <c r="L131" s="21" t="str">
        <f>IF(OR(NOT(AND($B131&lt;&gt;"",$C131&lt;&gt;"",$D131&lt;&gt;"",$E131&lt;&gt;"")),$A131="",$K131&lt;&gt;"Yes"),"",IF($L131&lt;&gt;"",$L131,INDEX(SETUP!$I$1:$I$2000,MATCH(TRUE,SETUP!$J$1:$J$2000,0)+COUNTIFS($A$2:$A131,"&lt;&gt;",$K$2:$K131,"Yes",$L$2:$L131,"")-1)))</f>
        <v/>
      </c>
      <c r="N131" s="22"/>
    </row>
    <row r="132" spans="1:14" x14ac:dyDescent="0.3">
      <c r="A132" s="15" t="str">
        <f>IF(COUNTA($B132:$E132,$K132)=0,"",IF(AND($B132&lt;&gt;"",$C132&lt;&gt;"",$D132&lt;&gt;"",$E132&lt;&gt;""),"TXS"&amp;TEXT(COUNTIFS($B$2:$B132,"&lt;&gt;",$C$2:$C132,"&lt;&gt;",$D$2:$D132,"&lt;&gt;",$E$2:$E132,"&lt;&gt;"),"00000"),""))</f>
        <v/>
      </c>
      <c r="B132" s="16"/>
      <c r="C132" s="20"/>
      <c r="D132" s="20"/>
      <c r="E132" s="23"/>
      <c r="H132" s="19" t="str">
        <f t="shared" si="12"/>
        <v/>
      </c>
      <c r="I132" s="19" t="str">
        <f t="shared" si="11"/>
        <v/>
      </c>
      <c r="J132" s="19" t="str">
        <f t="shared" si="13"/>
        <v/>
      </c>
      <c r="K132" s="20"/>
      <c r="L132" s="21" t="str">
        <f>IF(OR(NOT(AND($B132&lt;&gt;"",$C132&lt;&gt;"",$D132&lt;&gt;"",$E132&lt;&gt;"")),$A132="",$K132&lt;&gt;"Yes"),"",IF($L132&lt;&gt;"",$L132,INDEX(SETUP!$I$1:$I$2000,MATCH(TRUE,SETUP!$J$1:$J$2000,0)+COUNTIFS($A$2:$A132,"&lt;&gt;",$K$2:$K132,"Yes",$L$2:$L132,"")-1)))</f>
        <v/>
      </c>
      <c r="N132" s="22"/>
    </row>
    <row r="133" spans="1:14" x14ac:dyDescent="0.3">
      <c r="A133" s="15" t="str">
        <f>IF(COUNTA($B133:$E133,$K133)=0,"",IF(AND($B133&lt;&gt;"",$C133&lt;&gt;"",$D133&lt;&gt;"",$E133&lt;&gt;""),"TXS"&amp;TEXT(COUNTIFS($B$2:$B133,"&lt;&gt;",$C$2:$C133,"&lt;&gt;",$D$2:$D133,"&lt;&gt;",$E$2:$E133,"&lt;&gt;"),"00000"),""))</f>
        <v/>
      </c>
      <c r="B133" s="16"/>
      <c r="C133" s="20"/>
      <c r="D133" s="20"/>
      <c r="E133" s="23"/>
      <c r="H133" s="19" t="str">
        <f t="shared" si="12"/>
        <v/>
      </c>
      <c r="I133" s="19" t="str">
        <f t="shared" si="11"/>
        <v/>
      </c>
      <c r="J133" s="19" t="str">
        <f t="shared" si="13"/>
        <v/>
      </c>
      <c r="K133" s="20"/>
      <c r="L133" s="21" t="str">
        <f>IF(OR(NOT(AND($B133&lt;&gt;"",$C133&lt;&gt;"",$D133&lt;&gt;"",$E133&lt;&gt;"")),$A133="",$K133&lt;&gt;"Yes"),"",IF($L133&lt;&gt;"",$L133,INDEX(SETUP!$I$1:$I$2000,MATCH(TRUE,SETUP!$J$1:$J$2000,0)+COUNTIFS($A$2:$A133,"&lt;&gt;",$K$2:$K133,"Yes",$L$2:$L133,"")-1)))</f>
        <v/>
      </c>
      <c r="N133" s="22"/>
    </row>
    <row r="134" spans="1:14" x14ac:dyDescent="0.3">
      <c r="A134" s="15" t="str">
        <f>IF(COUNTA($B134:$E134,$K134)=0,"",IF(AND($B134&lt;&gt;"",$C134&lt;&gt;"",$D134&lt;&gt;"",$E134&lt;&gt;""),"TXS"&amp;TEXT(COUNTIFS($B$2:$B134,"&lt;&gt;",$C$2:$C134,"&lt;&gt;",$D$2:$D134,"&lt;&gt;",$E$2:$E134,"&lt;&gt;"),"00000"),""))</f>
        <v/>
      </c>
      <c r="B134" s="16"/>
      <c r="C134" s="20"/>
      <c r="D134" s="20"/>
      <c r="E134" s="23"/>
      <c r="H134" s="19" t="str">
        <f t="shared" si="12"/>
        <v/>
      </c>
      <c r="I134" s="19" t="str">
        <f t="shared" si="11"/>
        <v/>
      </c>
      <c r="J134" s="19" t="str">
        <f t="shared" si="13"/>
        <v/>
      </c>
      <c r="K134" s="20"/>
      <c r="L134" s="21" t="str">
        <f>IF(OR(NOT(AND($B134&lt;&gt;"",$C134&lt;&gt;"",$D134&lt;&gt;"",$E134&lt;&gt;"")),$A134="",$K134&lt;&gt;"Yes"),"",IF($L134&lt;&gt;"",$L134,INDEX(SETUP!$I$1:$I$2000,MATCH(TRUE,SETUP!$J$1:$J$2000,0)+COUNTIFS($A$2:$A134,"&lt;&gt;",$K$2:$K134,"Yes",$L$2:$L134,"")-1)))</f>
        <v/>
      </c>
      <c r="N134" s="22"/>
    </row>
    <row r="135" spans="1:14" x14ac:dyDescent="0.3">
      <c r="A135" s="15" t="str">
        <f>IF(COUNTA($B135:$E135,$K135)=0,"",IF(AND($B135&lt;&gt;"",$C135&lt;&gt;"",$D135&lt;&gt;"",$E135&lt;&gt;""),"TXS"&amp;TEXT(COUNTIFS($B$2:$B135,"&lt;&gt;",$C$2:$C135,"&lt;&gt;",$D$2:$D135,"&lt;&gt;",$E$2:$E135,"&lt;&gt;"),"00000"),""))</f>
        <v/>
      </c>
      <c r="B135" s="16"/>
      <c r="C135" s="20"/>
      <c r="D135" s="20"/>
      <c r="E135" s="23"/>
      <c r="H135" s="19" t="str">
        <f t="shared" si="12"/>
        <v/>
      </c>
      <c r="I135" s="19" t="str">
        <f t="shared" si="11"/>
        <v/>
      </c>
      <c r="J135" s="19" t="str">
        <f t="shared" si="13"/>
        <v/>
      </c>
      <c r="K135" s="20"/>
      <c r="L135" s="21" t="str">
        <f>IF(OR(NOT(AND($B135&lt;&gt;"",$C135&lt;&gt;"",$D135&lt;&gt;"",$E135&lt;&gt;"")),$A135="",$K135&lt;&gt;"Yes"),"",IF($L135&lt;&gt;"",$L135,INDEX(SETUP!$I$1:$I$2000,MATCH(TRUE,SETUP!$J$1:$J$2000,0)+COUNTIFS($A$2:$A135,"&lt;&gt;",$K$2:$K135,"Yes",$L$2:$L135,"")-1)))</f>
        <v/>
      </c>
      <c r="N135" s="22"/>
    </row>
    <row r="136" spans="1:14" x14ac:dyDescent="0.3">
      <c r="A136" s="15" t="str">
        <f>IF(COUNTA($B136:$E136,$K136)=0,"",IF(AND($B136&lt;&gt;"",$C136&lt;&gt;"",$D136&lt;&gt;"",$E136&lt;&gt;""),"TXS"&amp;TEXT(COUNTIFS($B$2:$B136,"&lt;&gt;",$C$2:$C136,"&lt;&gt;",$D$2:$D136,"&lt;&gt;",$E$2:$E136,"&lt;&gt;"),"00000"),""))</f>
        <v/>
      </c>
      <c r="B136" s="16"/>
      <c r="C136" s="20"/>
      <c r="D136" s="20"/>
      <c r="E136" s="23"/>
      <c r="H136" s="19" t="str">
        <f t="shared" si="12"/>
        <v/>
      </c>
      <c r="I136" s="19" t="str">
        <f t="shared" si="11"/>
        <v/>
      </c>
      <c r="J136" s="19" t="str">
        <f t="shared" si="13"/>
        <v/>
      </c>
      <c r="K136" s="20"/>
      <c r="L136" s="21" t="str">
        <f>IF(OR(NOT(AND($B136&lt;&gt;"",$C136&lt;&gt;"",$D136&lt;&gt;"",$E136&lt;&gt;"")),$A136="",$K136&lt;&gt;"Yes"),"",IF($L136&lt;&gt;"",$L136,INDEX(SETUP!$I$1:$I$2000,MATCH(TRUE,SETUP!$J$1:$J$2000,0)+COUNTIFS($A$2:$A136,"&lt;&gt;",$K$2:$K136,"Yes",$L$2:$L136,"")-1)))</f>
        <v/>
      </c>
      <c r="N136" s="22"/>
    </row>
    <row r="137" spans="1:14" x14ac:dyDescent="0.3">
      <c r="A137" s="15" t="str">
        <f>IF(COUNTA($B137:$E137,$K137)=0,"",IF(AND($B137&lt;&gt;"",$C137&lt;&gt;"",$D137&lt;&gt;"",$E137&lt;&gt;""),"TXS"&amp;TEXT(COUNTIFS($B$2:$B137,"&lt;&gt;",$C$2:$C137,"&lt;&gt;",$D$2:$D137,"&lt;&gt;",$E$2:$E137,"&lt;&gt;"),"00000"),""))</f>
        <v/>
      </c>
      <c r="B137" s="16"/>
      <c r="C137" s="20"/>
      <c r="D137" s="20"/>
      <c r="E137" s="23"/>
      <c r="H137" s="19" t="str">
        <f t="shared" si="12"/>
        <v/>
      </c>
      <c r="I137" s="19" t="str">
        <f t="shared" si="11"/>
        <v/>
      </c>
      <c r="J137" s="19" t="str">
        <f t="shared" si="13"/>
        <v/>
      </c>
      <c r="K137" s="20"/>
      <c r="L137" s="21" t="str">
        <f>IF(OR(NOT(AND($B137&lt;&gt;"",$C137&lt;&gt;"",$D137&lt;&gt;"",$E137&lt;&gt;"")),$A137="",$K137&lt;&gt;"Yes"),"",IF($L137&lt;&gt;"",$L137,INDEX(SETUP!$I$1:$I$2000,MATCH(TRUE,SETUP!$J$1:$J$2000,0)+COUNTIFS($A$2:$A137,"&lt;&gt;",$K$2:$K137,"Yes",$L$2:$L137,"")-1)))</f>
        <v/>
      </c>
      <c r="N137" s="22"/>
    </row>
    <row r="138" spans="1:14" x14ac:dyDescent="0.3">
      <c r="A138" s="15" t="str">
        <f>IF(COUNTA($B138:$E138,$K138)=0,"",IF(AND($B138&lt;&gt;"",$C138&lt;&gt;"",$D138&lt;&gt;"",$E138&lt;&gt;""),"TXS"&amp;TEXT(COUNTIFS($B$2:$B138,"&lt;&gt;",$C$2:$C138,"&lt;&gt;",$D$2:$D138,"&lt;&gt;",$E$2:$E138,"&lt;&gt;"),"00000"),""))</f>
        <v/>
      </c>
      <c r="B138" s="16"/>
      <c r="C138" s="20"/>
      <c r="D138" s="20"/>
      <c r="E138" s="23"/>
      <c r="H138" s="19" t="str">
        <f t="shared" si="12"/>
        <v/>
      </c>
      <c r="I138" s="19" t="str">
        <f t="shared" si="11"/>
        <v/>
      </c>
      <c r="J138" s="19" t="str">
        <f t="shared" si="13"/>
        <v/>
      </c>
      <c r="K138" s="20"/>
      <c r="L138" s="21" t="str">
        <f>IF(OR(NOT(AND($B138&lt;&gt;"",$C138&lt;&gt;"",$D138&lt;&gt;"",$E138&lt;&gt;"")),$A138="",$K138&lt;&gt;"Yes"),"",IF($L138&lt;&gt;"",$L138,INDEX(SETUP!$I$1:$I$2000,MATCH(TRUE,SETUP!$J$1:$J$2000,0)+COUNTIFS($A$2:$A138,"&lt;&gt;",$K$2:$K138,"Yes",$L$2:$L138,"")-1)))</f>
        <v/>
      </c>
      <c r="N138" s="22"/>
    </row>
    <row r="139" spans="1:14" x14ac:dyDescent="0.3">
      <c r="A139" s="15" t="str">
        <f>IF(COUNTA($B139:$E139,$K139)=0,"",IF(AND($B139&lt;&gt;"",$C139&lt;&gt;"",$D139&lt;&gt;"",$E139&lt;&gt;""),"TXS"&amp;TEXT(COUNTIFS($B$2:$B139,"&lt;&gt;",$C$2:$C139,"&lt;&gt;",$D$2:$D139,"&lt;&gt;",$E$2:$E139,"&lt;&gt;"),"00000"),""))</f>
        <v/>
      </c>
      <c r="B139" s="16"/>
      <c r="C139" s="20"/>
      <c r="D139" s="20"/>
      <c r="E139" s="23"/>
      <c r="H139" s="19" t="str">
        <f t="shared" si="12"/>
        <v/>
      </c>
      <c r="I139" s="19" t="str">
        <f t="shared" si="11"/>
        <v/>
      </c>
      <c r="J139" s="19" t="str">
        <f t="shared" si="13"/>
        <v/>
      </c>
      <c r="K139" s="20"/>
      <c r="L139" s="21" t="str">
        <f>IF(OR(NOT(AND($B139&lt;&gt;"",$C139&lt;&gt;"",$D139&lt;&gt;"",$E139&lt;&gt;"")),$A139="",$K139&lt;&gt;"Yes"),"",IF($L139&lt;&gt;"",$L139,INDEX(SETUP!$I$1:$I$2000,MATCH(TRUE,SETUP!$J$1:$J$2000,0)+COUNTIFS($A$2:$A139,"&lt;&gt;",$K$2:$K139,"Yes",$L$2:$L139,"")-1)))</f>
        <v/>
      </c>
      <c r="N139" s="22"/>
    </row>
    <row r="140" spans="1:14" x14ac:dyDescent="0.3">
      <c r="A140" s="15" t="str">
        <f>IF(COUNTA($B140:$E140,$K140)=0,"",IF(AND($B140&lt;&gt;"",$C140&lt;&gt;"",$D140&lt;&gt;"",$E140&lt;&gt;""),"TXS"&amp;TEXT(COUNTIFS($B$2:$B140,"&lt;&gt;",$C$2:$C140,"&lt;&gt;",$D$2:$D140,"&lt;&gt;",$E$2:$E140,"&lt;&gt;"),"00000"),""))</f>
        <v/>
      </c>
      <c r="B140" s="16"/>
      <c r="C140" s="20"/>
      <c r="D140" s="20"/>
      <c r="E140" s="23"/>
      <c r="H140" s="19" t="str">
        <f t="shared" si="12"/>
        <v/>
      </c>
      <c r="I140" s="19" t="str">
        <f t="shared" si="11"/>
        <v/>
      </c>
      <c r="J140" s="19" t="str">
        <f t="shared" si="13"/>
        <v/>
      </c>
      <c r="K140" s="20"/>
      <c r="L140" s="21" t="str">
        <f>IF(OR(NOT(AND($B140&lt;&gt;"",$C140&lt;&gt;"",$D140&lt;&gt;"",$E140&lt;&gt;"")),$A140="",$K140&lt;&gt;"Yes"),"",IF($L140&lt;&gt;"",$L140,INDEX(SETUP!$I$1:$I$2000,MATCH(TRUE,SETUP!$J$1:$J$2000,0)+COUNTIFS($A$2:$A140,"&lt;&gt;",$K$2:$K140,"Yes",$L$2:$L140,"")-1)))</f>
        <v/>
      </c>
      <c r="N140" s="22"/>
    </row>
    <row r="141" spans="1:14" x14ac:dyDescent="0.3">
      <c r="A141" s="15" t="str">
        <f>IF(COUNTA($B141:$E141,$K141)=0,"",IF(AND($B141&lt;&gt;"",$C141&lt;&gt;"",$D141&lt;&gt;"",$E141&lt;&gt;""),"TXS"&amp;TEXT(COUNTIFS($B$2:$B141,"&lt;&gt;",$C$2:$C141,"&lt;&gt;",$D$2:$D141,"&lt;&gt;",$E$2:$E141,"&lt;&gt;"),"00000"),""))</f>
        <v/>
      </c>
      <c r="B141" s="16"/>
      <c r="C141" s="20"/>
      <c r="D141" s="20"/>
      <c r="E141" s="23"/>
      <c r="H141" s="19" t="str">
        <f t="shared" si="12"/>
        <v/>
      </c>
      <c r="I141" s="19" t="str">
        <f t="shared" si="11"/>
        <v/>
      </c>
      <c r="J141" s="19" t="str">
        <f t="shared" si="13"/>
        <v/>
      </c>
      <c r="K141" s="20"/>
      <c r="L141" s="21" t="str">
        <f>IF(OR(NOT(AND($B141&lt;&gt;"",$C141&lt;&gt;"",$D141&lt;&gt;"",$E141&lt;&gt;"")),$A141="",$K141&lt;&gt;"Yes"),"",IF($L141&lt;&gt;"",$L141,INDEX(SETUP!$I$1:$I$2000,MATCH(TRUE,SETUP!$J$1:$J$2000,0)+COUNTIFS($A$2:$A141,"&lt;&gt;",$K$2:$K141,"Yes",$L$2:$L141,"")-1)))</f>
        <v/>
      </c>
      <c r="N141" s="22"/>
    </row>
    <row r="142" spans="1:14" x14ac:dyDescent="0.3">
      <c r="A142" s="15" t="str">
        <f>IF(COUNTA($B142:$E142,$K142)=0,"",IF(AND($B142&lt;&gt;"",$C142&lt;&gt;"",$D142&lt;&gt;"",$E142&lt;&gt;""),"TXS"&amp;TEXT(COUNTIFS($B$2:$B142,"&lt;&gt;",$C$2:$C142,"&lt;&gt;",$D$2:$D142,"&lt;&gt;",$E$2:$E142,"&lt;&gt;"),"00000"),""))</f>
        <v/>
      </c>
      <c r="B142" s="16"/>
      <c r="C142" s="20"/>
      <c r="D142" s="20"/>
      <c r="E142" s="23"/>
      <c r="H142" s="19" t="str">
        <f t="shared" si="12"/>
        <v/>
      </c>
      <c r="I142" s="19" t="str">
        <f t="shared" si="11"/>
        <v/>
      </c>
      <c r="J142" s="19" t="str">
        <f t="shared" si="13"/>
        <v/>
      </c>
      <c r="K142" s="20"/>
      <c r="L142" s="21" t="str">
        <f>IF(OR(NOT(AND($B142&lt;&gt;"",$C142&lt;&gt;"",$D142&lt;&gt;"",$E142&lt;&gt;"")),$A142="",$K142&lt;&gt;"Yes"),"",IF($L142&lt;&gt;"",$L142,INDEX(SETUP!$I$1:$I$2000,MATCH(TRUE,SETUP!$J$1:$J$2000,0)+COUNTIFS($A$2:$A142,"&lt;&gt;",$K$2:$K142,"Yes",$L$2:$L142,"")-1)))</f>
        <v/>
      </c>
      <c r="N142" s="22"/>
    </row>
    <row r="143" spans="1:14" x14ac:dyDescent="0.3">
      <c r="A143" s="15" t="str">
        <f>IF(COUNTA($B143:$E143,$K143)=0,"",IF(AND($B143&lt;&gt;"",$C143&lt;&gt;"",$D143&lt;&gt;"",$E143&lt;&gt;""),"TXS"&amp;TEXT(COUNTIFS($B$2:$B143,"&lt;&gt;",$C$2:$C143,"&lt;&gt;",$D$2:$D143,"&lt;&gt;",$E$2:$E143,"&lt;&gt;"),"00000"),""))</f>
        <v/>
      </c>
      <c r="B143" s="16"/>
      <c r="C143" s="20"/>
      <c r="D143" s="20"/>
      <c r="E143" s="23"/>
      <c r="H143" s="19" t="str">
        <f t="shared" si="12"/>
        <v/>
      </c>
      <c r="I143" s="19" t="str">
        <f t="shared" si="11"/>
        <v/>
      </c>
      <c r="J143" s="19" t="str">
        <f t="shared" si="13"/>
        <v/>
      </c>
      <c r="K143" s="20"/>
      <c r="L143" s="21" t="str">
        <f>IF(OR(NOT(AND($B143&lt;&gt;"",$C143&lt;&gt;"",$D143&lt;&gt;"",$E143&lt;&gt;"")),$A143="",$K143&lt;&gt;"Yes"),"",IF($L143&lt;&gt;"",$L143,INDEX(SETUP!$I$1:$I$2000,MATCH(TRUE,SETUP!$J$1:$J$2000,0)+COUNTIFS($A$2:$A143,"&lt;&gt;",$K$2:$K143,"Yes",$L$2:$L143,"")-1)))</f>
        <v/>
      </c>
      <c r="N143" s="22"/>
    </row>
    <row r="144" spans="1:14" x14ac:dyDescent="0.3">
      <c r="A144" s="15" t="str">
        <f>IF(COUNTA($B144:$E144,$K144)=0,"",IF(AND($B144&lt;&gt;"",$C144&lt;&gt;"",$D144&lt;&gt;"",$E144&lt;&gt;""),"TXS"&amp;TEXT(COUNTIFS($B$2:$B144,"&lt;&gt;",$C$2:$C144,"&lt;&gt;",$D$2:$D144,"&lt;&gt;",$E$2:$E144,"&lt;&gt;"),"00000"),""))</f>
        <v/>
      </c>
      <c r="B144" s="16"/>
      <c r="C144" s="20"/>
      <c r="D144" s="20"/>
      <c r="E144" s="23"/>
      <c r="H144" s="19" t="str">
        <f t="shared" si="12"/>
        <v/>
      </c>
      <c r="I144" s="19" t="str">
        <f t="shared" si="11"/>
        <v/>
      </c>
      <c r="J144" s="19" t="str">
        <f t="shared" si="13"/>
        <v/>
      </c>
      <c r="K144" s="20"/>
      <c r="L144" s="21" t="str">
        <f>IF(OR(NOT(AND($B144&lt;&gt;"",$C144&lt;&gt;"",$D144&lt;&gt;"",$E144&lt;&gt;"")),$A144="",$K144&lt;&gt;"Yes"),"",IF($L144&lt;&gt;"",$L144,INDEX(SETUP!$I$1:$I$2000,MATCH(TRUE,SETUP!$J$1:$J$2000,0)+COUNTIFS($A$2:$A144,"&lt;&gt;",$K$2:$K144,"Yes",$L$2:$L144,"")-1)))</f>
        <v/>
      </c>
      <c r="N144" s="22"/>
    </row>
    <row r="145" spans="1:14" x14ac:dyDescent="0.3">
      <c r="A145" s="15" t="str">
        <f>IF(COUNTA($B145:$E145,$K145)=0,"",IF(AND($B145&lt;&gt;"",$C145&lt;&gt;"",$D145&lt;&gt;"",$E145&lt;&gt;""),"TXS"&amp;TEXT(COUNTIFS($B$2:$B145,"&lt;&gt;",$C$2:$C145,"&lt;&gt;",$D$2:$D145,"&lt;&gt;",$E$2:$E145,"&lt;&gt;"),"00000"),""))</f>
        <v/>
      </c>
      <c r="B145" s="16"/>
      <c r="C145" s="20"/>
      <c r="D145" s="20"/>
      <c r="E145" s="23"/>
      <c r="H145" s="19" t="str">
        <f t="shared" si="12"/>
        <v/>
      </c>
      <c r="I145" s="19" t="str">
        <f t="shared" si="11"/>
        <v/>
      </c>
      <c r="J145" s="19" t="str">
        <f t="shared" si="13"/>
        <v/>
      </c>
      <c r="K145" s="20"/>
      <c r="L145" s="21" t="str">
        <f>IF(OR(NOT(AND($B145&lt;&gt;"",$C145&lt;&gt;"",$D145&lt;&gt;"",$E145&lt;&gt;"")),$A145="",$K145&lt;&gt;"Yes"),"",IF($L145&lt;&gt;"",$L145,INDEX(SETUP!$I$1:$I$2000,MATCH(TRUE,SETUP!$J$1:$J$2000,0)+COUNTIFS($A$2:$A145,"&lt;&gt;",$K$2:$K145,"Yes",$L$2:$L145,"")-1)))</f>
        <v/>
      </c>
      <c r="N145" s="22"/>
    </row>
    <row r="146" spans="1:14" x14ac:dyDescent="0.3">
      <c r="A146" s="15" t="str">
        <f>IF(COUNTA($B146:$E146,$K146)=0,"",IF(AND($B146&lt;&gt;"",$C146&lt;&gt;"",$D146&lt;&gt;"",$E146&lt;&gt;""),"TXS"&amp;TEXT(COUNTIFS($B$2:$B146,"&lt;&gt;",$C$2:$C146,"&lt;&gt;",$D$2:$D146,"&lt;&gt;",$E$2:$E146,"&lt;&gt;"),"00000"),""))</f>
        <v/>
      </c>
      <c r="B146" s="16"/>
      <c r="C146" s="20"/>
      <c r="D146" s="20"/>
      <c r="E146" s="23"/>
      <c r="H146" s="19" t="str">
        <f t="shared" si="12"/>
        <v/>
      </c>
      <c r="I146" s="19" t="str">
        <f t="shared" si="11"/>
        <v/>
      </c>
      <c r="J146" s="19" t="str">
        <f t="shared" si="13"/>
        <v/>
      </c>
      <c r="K146" s="20"/>
      <c r="L146" s="21" t="str">
        <f>IF(OR(NOT(AND($B146&lt;&gt;"",$C146&lt;&gt;"",$D146&lt;&gt;"",$E146&lt;&gt;"")),$A146="",$K146&lt;&gt;"Yes"),"",IF($L146&lt;&gt;"",$L146,INDEX(SETUP!$I$1:$I$2000,MATCH(TRUE,SETUP!$J$1:$J$2000,0)+COUNTIFS($A$2:$A146,"&lt;&gt;",$K$2:$K146,"Yes",$L$2:$L146,"")-1)))</f>
        <v/>
      </c>
      <c r="N146" s="22"/>
    </row>
    <row r="147" spans="1:14" x14ac:dyDescent="0.3">
      <c r="A147" s="15" t="str">
        <f>IF(COUNTA($B147:$E147,$K147)=0,"",IF(AND($B147&lt;&gt;"",$C147&lt;&gt;"",$D147&lt;&gt;"",$E147&lt;&gt;""),"TXS"&amp;TEXT(COUNTIFS($B$2:$B147,"&lt;&gt;",$C$2:$C147,"&lt;&gt;",$D$2:$D147,"&lt;&gt;",$E$2:$E147,"&lt;&gt;"),"00000"),""))</f>
        <v/>
      </c>
      <c r="B147" s="16"/>
      <c r="C147" s="20"/>
      <c r="D147" s="20"/>
      <c r="E147" s="23"/>
      <c r="H147" s="19" t="str">
        <f t="shared" si="12"/>
        <v/>
      </c>
      <c r="I147" s="19" t="str">
        <f t="shared" si="11"/>
        <v/>
      </c>
      <c r="J147" s="19" t="str">
        <f t="shared" si="13"/>
        <v/>
      </c>
      <c r="K147" s="20"/>
      <c r="L147" s="21" t="str">
        <f>IF(OR(NOT(AND($B147&lt;&gt;"",$C147&lt;&gt;"",$D147&lt;&gt;"",$E147&lt;&gt;"")),$A147="",$K147&lt;&gt;"Yes"),"",IF($L147&lt;&gt;"",$L147,INDEX(SETUP!$I$1:$I$2000,MATCH(TRUE,SETUP!$J$1:$J$2000,0)+COUNTIFS($A$2:$A147,"&lt;&gt;",$K$2:$K147,"Yes",$L$2:$L147,"")-1)))</f>
        <v/>
      </c>
      <c r="N147" s="22"/>
    </row>
    <row r="148" spans="1:14" x14ac:dyDescent="0.3">
      <c r="A148" s="15" t="str">
        <f>IF(COUNTA($B148:$E148,$K148)=0,"",IF(AND($B148&lt;&gt;"",$C148&lt;&gt;"",$D148&lt;&gt;"",$E148&lt;&gt;""),"TXS"&amp;TEXT(COUNTIFS($B$2:$B148,"&lt;&gt;",$C$2:$C148,"&lt;&gt;",$D$2:$D148,"&lt;&gt;",$E$2:$E148,"&lt;&gt;"),"00000"),""))</f>
        <v/>
      </c>
      <c r="B148" s="16"/>
      <c r="C148" s="20"/>
      <c r="D148" s="20"/>
      <c r="E148" s="23"/>
      <c r="H148" s="19" t="str">
        <f t="shared" si="12"/>
        <v/>
      </c>
      <c r="I148" s="19" t="str">
        <f t="shared" si="11"/>
        <v/>
      </c>
      <c r="J148" s="19" t="str">
        <f t="shared" si="13"/>
        <v/>
      </c>
      <c r="K148" s="20"/>
      <c r="L148" s="21" t="str">
        <f>IF(OR(NOT(AND($B148&lt;&gt;"",$C148&lt;&gt;"",$D148&lt;&gt;"",$E148&lt;&gt;"")),$A148="",$K148&lt;&gt;"Yes"),"",IF($L148&lt;&gt;"",$L148,INDEX(SETUP!$I$1:$I$2000,MATCH(TRUE,SETUP!$J$1:$J$2000,0)+COUNTIFS($A$2:$A148,"&lt;&gt;",$K$2:$K148,"Yes",$L$2:$L148,"")-1)))</f>
        <v/>
      </c>
      <c r="N148" s="22"/>
    </row>
    <row r="149" spans="1:14" x14ac:dyDescent="0.3">
      <c r="A149" s="15" t="str">
        <f>IF(COUNTA($B149:$E149,$K149)=0,"",IF(AND($B149&lt;&gt;"",$C149&lt;&gt;"",$D149&lt;&gt;"",$E149&lt;&gt;""),"TXS"&amp;TEXT(COUNTIFS($B$2:$B149,"&lt;&gt;",$C$2:$C149,"&lt;&gt;",$D$2:$D149,"&lt;&gt;",$E$2:$E149,"&lt;&gt;"),"00000"),""))</f>
        <v/>
      </c>
      <c r="B149" s="16"/>
      <c r="C149" s="20"/>
      <c r="D149" s="20"/>
      <c r="E149" s="23"/>
      <c r="H149" s="19" t="str">
        <f t="shared" si="12"/>
        <v/>
      </c>
      <c r="I149" s="19" t="str">
        <f t="shared" si="11"/>
        <v/>
      </c>
      <c r="J149" s="19" t="str">
        <f t="shared" si="13"/>
        <v/>
      </c>
      <c r="K149" s="20"/>
      <c r="L149" s="21" t="str">
        <f>IF(OR(NOT(AND($B149&lt;&gt;"",$C149&lt;&gt;"",$D149&lt;&gt;"",$E149&lt;&gt;"")),$A149="",$K149&lt;&gt;"Yes"),"",IF($L149&lt;&gt;"",$L149,INDEX(SETUP!$I$1:$I$2000,MATCH(TRUE,SETUP!$J$1:$J$2000,0)+COUNTIFS($A$2:$A149,"&lt;&gt;",$K$2:$K149,"Yes",$L$2:$L149,"")-1)))</f>
        <v/>
      </c>
      <c r="N149" s="22"/>
    </row>
    <row r="150" spans="1:14" x14ac:dyDescent="0.3">
      <c r="A150" s="15" t="str">
        <f>IF(COUNTA($B150:$E150,$K150)=0,"",IF(AND($B150&lt;&gt;"",$C150&lt;&gt;"",$D150&lt;&gt;"",$E150&lt;&gt;""),"TXS"&amp;TEXT(COUNTIFS($B$2:$B150,"&lt;&gt;",$C$2:$C150,"&lt;&gt;",$D$2:$D150,"&lt;&gt;",$E$2:$E150,"&lt;&gt;"),"00000"),""))</f>
        <v/>
      </c>
      <c r="B150" s="16"/>
      <c r="C150" s="20"/>
      <c r="D150" s="20"/>
      <c r="E150" s="23"/>
      <c r="H150" s="19" t="str">
        <f t="shared" si="12"/>
        <v/>
      </c>
      <c r="I150" s="19" t="str">
        <f t="shared" si="11"/>
        <v/>
      </c>
      <c r="J150" s="19" t="str">
        <f t="shared" si="13"/>
        <v/>
      </c>
      <c r="K150" s="20"/>
      <c r="L150" s="21" t="str">
        <f>IF(OR(NOT(AND($B150&lt;&gt;"",$C150&lt;&gt;"",$D150&lt;&gt;"",$E150&lt;&gt;"")),$A150="",$K150&lt;&gt;"Yes"),"",IF($L150&lt;&gt;"",$L150,INDEX(SETUP!$I$1:$I$2000,MATCH(TRUE,SETUP!$J$1:$J$2000,0)+COUNTIFS($A$2:$A150,"&lt;&gt;",$K$2:$K150,"Yes",$L$2:$L150,"")-1)))</f>
        <v/>
      </c>
      <c r="N150" s="22"/>
    </row>
    <row r="151" spans="1:14" x14ac:dyDescent="0.3">
      <c r="A151" s="15" t="str">
        <f>IF(COUNTA($B151:$E151,$K151)=0,"",IF(AND($B151&lt;&gt;"",$C151&lt;&gt;"",$D151&lt;&gt;"",$E151&lt;&gt;""),"TXS"&amp;TEXT(COUNTIFS($B$2:$B151,"&lt;&gt;",$C$2:$C151,"&lt;&gt;",$D$2:$D151,"&lt;&gt;",$E$2:$E151,"&lt;&gt;"),"00000"),""))</f>
        <v/>
      </c>
      <c r="B151" s="16"/>
      <c r="C151" s="20"/>
      <c r="D151" s="20"/>
      <c r="E151" s="23"/>
      <c r="H151" s="19" t="str">
        <f t="shared" si="12"/>
        <v/>
      </c>
      <c r="I151" s="19" t="str">
        <f t="shared" si="11"/>
        <v/>
      </c>
      <c r="J151" s="19" t="str">
        <f t="shared" si="13"/>
        <v/>
      </c>
      <c r="K151" s="20"/>
      <c r="L151" s="21" t="str">
        <f>IF(OR(NOT(AND($B151&lt;&gt;"",$C151&lt;&gt;"",$D151&lt;&gt;"",$E151&lt;&gt;"")),$A151="",$K151&lt;&gt;"Yes"),"",IF($L151&lt;&gt;"",$L151,INDEX(SETUP!$I$1:$I$2000,MATCH(TRUE,SETUP!$J$1:$J$2000,0)+COUNTIFS($A$2:$A151,"&lt;&gt;",$K$2:$K151,"Yes",$L$2:$L151,"")-1)))</f>
        <v/>
      </c>
      <c r="N151" s="22"/>
    </row>
    <row r="152" spans="1:14" x14ac:dyDescent="0.3">
      <c r="A152" s="15" t="str">
        <f>IF(COUNTA($B152:$E152,$K152)=0,"",IF(AND($B152&lt;&gt;"",$C152&lt;&gt;"",$D152&lt;&gt;"",$E152&lt;&gt;""),"TXS"&amp;TEXT(COUNTIFS($B$2:$B152,"&lt;&gt;",$C$2:$C152,"&lt;&gt;",$D$2:$D152,"&lt;&gt;",$E$2:$E152,"&lt;&gt;"),"00000"),""))</f>
        <v/>
      </c>
      <c r="B152" s="16"/>
      <c r="C152" s="20"/>
      <c r="D152" s="20"/>
      <c r="E152" s="23"/>
      <c r="H152" s="19" t="str">
        <f t="shared" si="12"/>
        <v/>
      </c>
      <c r="I152" s="19" t="str">
        <f t="shared" si="11"/>
        <v/>
      </c>
      <c r="J152" s="19" t="str">
        <f t="shared" si="13"/>
        <v/>
      </c>
      <c r="K152" s="20"/>
      <c r="L152" s="21" t="str">
        <f>IF(OR(NOT(AND($B152&lt;&gt;"",$C152&lt;&gt;"",$D152&lt;&gt;"",$E152&lt;&gt;"")),$A152="",$K152&lt;&gt;"Yes"),"",IF($L152&lt;&gt;"",$L152,INDEX(SETUP!$I$1:$I$2000,MATCH(TRUE,SETUP!$J$1:$J$2000,0)+COUNTIFS($A$2:$A152,"&lt;&gt;",$K$2:$K152,"Yes",$L$2:$L152,"")-1)))</f>
        <v/>
      </c>
      <c r="N152" s="22"/>
    </row>
    <row r="153" spans="1:14" x14ac:dyDescent="0.3">
      <c r="A153" s="15" t="str">
        <f>IF(COUNTA($B153:$E153,$K153)=0,"",IF(AND($B153&lt;&gt;"",$C153&lt;&gt;"",$D153&lt;&gt;"",$E153&lt;&gt;""),"TXS"&amp;TEXT(COUNTIFS($B$2:$B153,"&lt;&gt;",$C$2:$C153,"&lt;&gt;",$D$2:$D153,"&lt;&gt;",$E$2:$E153,"&lt;&gt;"),"00000"),""))</f>
        <v/>
      </c>
      <c r="B153" s="16"/>
      <c r="C153" s="20"/>
      <c r="D153" s="20"/>
      <c r="E153" s="23"/>
      <c r="H153" s="19" t="str">
        <f t="shared" si="12"/>
        <v/>
      </c>
      <c r="I153" s="19" t="str">
        <f t="shared" si="11"/>
        <v/>
      </c>
      <c r="J153" s="19" t="str">
        <f t="shared" si="13"/>
        <v/>
      </c>
      <c r="K153" s="20"/>
      <c r="L153" s="21" t="str">
        <f>IF(OR(NOT(AND($B153&lt;&gt;"",$C153&lt;&gt;"",$D153&lt;&gt;"",$E153&lt;&gt;"")),$A153="",$K153&lt;&gt;"Yes"),"",IF($L153&lt;&gt;"",$L153,INDEX(SETUP!$I$1:$I$2000,MATCH(TRUE,SETUP!$J$1:$J$2000,0)+COUNTIFS($A$2:$A153,"&lt;&gt;",$K$2:$K153,"Yes",$L$2:$L153,"")-1)))</f>
        <v/>
      </c>
      <c r="N153" s="22"/>
    </row>
    <row r="154" spans="1:14" x14ac:dyDescent="0.3">
      <c r="A154" s="15" t="str">
        <f>IF(COUNTA($B154:$E154,$K154)=0,"",IF(AND($B154&lt;&gt;"",$C154&lt;&gt;"",$D154&lt;&gt;"",$E154&lt;&gt;""),"TXS"&amp;TEXT(COUNTIFS($B$2:$B154,"&lt;&gt;",$C$2:$C154,"&lt;&gt;",$D$2:$D154,"&lt;&gt;",$E$2:$E154,"&lt;&gt;"),"00000"),""))</f>
        <v/>
      </c>
      <c r="B154" s="16"/>
      <c r="C154" s="20"/>
      <c r="D154" s="20"/>
      <c r="E154" s="23"/>
      <c r="H154" s="19" t="str">
        <f t="shared" si="12"/>
        <v/>
      </c>
      <c r="I154" s="19" t="str">
        <f t="shared" si="11"/>
        <v/>
      </c>
      <c r="J154" s="19" t="str">
        <f t="shared" si="13"/>
        <v/>
      </c>
      <c r="K154" s="20"/>
      <c r="L154" s="21" t="str">
        <f>IF(OR(NOT(AND($B154&lt;&gt;"",$C154&lt;&gt;"",$D154&lt;&gt;"",$E154&lt;&gt;"")),$A154="",$K154&lt;&gt;"Yes"),"",IF($L154&lt;&gt;"",$L154,INDEX(SETUP!$I$1:$I$2000,MATCH(TRUE,SETUP!$J$1:$J$2000,0)+COUNTIFS($A$2:$A154,"&lt;&gt;",$K$2:$K154,"Yes",$L$2:$L154,"")-1)))</f>
        <v/>
      </c>
      <c r="N154" s="22"/>
    </row>
    <row r="155" spans="1:14" x14ac:dyDescent="0.3">
      <c r="A155" s="15" t="str">
        <f>IF(COUNTA($B155:$E155,$K155)=0,"",IF(AND($B155&lt;&gt;"",$C155&lt;&gt;"",$D155&lt;&gt;"",$E155&lt;&gt;""),"TXS"&amp;TEXT(COUNTIFS($B$2:$B155,"&lt;&gt;",$C$2:$C155,"&lt;&gt;",$D$2:$D155,"&lt;&gt;",$E$2:$E155,"&lt;&gt;"),"00000"),""))</f>
        <v/>
      </c>
      <c r="B155" s="16"/>
      <c r="C155" s="20"/>
      <c r="D155" s="20"/>
      <c r="E155" s="23"/>
      <c r="H155" s="19" t="str">
        <f t="shared" si="12"/>
        <v/>
      </c>
      <c r="I155" s="19" t="str">
        <f t="shared" si="11"/>
        <v/>
      </c>
      <c r="J155" s="19" t="str">
        <f t="shared" si="13"/>
        <v/>
      </c>
      <c r="K155" s="20"/>
      <c r="L155" s="21" t="str">
        <f>IF(OR(NOT(AND($B155&lt;&gt;"",$C155&lt;&gt;"",$D155&lt;&gt;"",$E155&lt;&gt;"")),$A155="",$K155&lt;&gt;"Yes"),"",IF($L155&lt;&gt;"",$L155,INDEX(SETUP!$I$1:$I$2000,MATCH(TRUE,SETUP!$J$1:$J$2000,0)+COUNTIFS($A$2:$A155,"&lt;&gt;",$K$2:$K155,"Yes",$L$2:$L155,"")-1)))</f>
        <v/>
      </c>
      <c r="N155" s="22"/>
    </row>
    <row r="156" spans="1:14" x14ac:dyDescent="0.3">
      <c r="A156" s="15" t="str">
        <f>IF(COUNTA($B156:$E156,$K156)=0,"",IF(AND($B156&lt;&gt;"",$C156&lt;&gt;"",$D156&lt;&gt;"",$E156&lt;&gt;""),"TXS"&amp;TEXT(COUNTIFS($B$2:$B156,"&lt;&gt;",$C$2:$C156,"&lt;&gt;",$D$2:$D156,"&lt;&gt;",$E$2:$E156,"&lt;&gt;"),"00000"),""))</f>
        <v/>
      </c>
      <c r="B156" s="16"/>
      <c r="C156" s="20"/>
      <c r="D156" s="20"/>
      <c r="E156" s="23"/>
      <c r="H156" s="19" t="str">
        <f t="shared" si="12"/>
        <v/>
      </c>
      <c r="I156" s="19" t="str">
        <f t="shared" si="11"/>
        <v/>
      </c>
      <c r="J156" s="19" t="str">
        <f t="shared" si="13"/>
        <v/>
      </c>
      <c r="K156" s="20"/>
      <c r="L156" s="21" t="str">
        <f>IF(OR(NOT(AND($B156&lt;&gt;"",$C156&lt;&gt;"",$D156&lt;&gt;"",$E156&lt;&gt;"")),$A156="",$K156&lt;&gt;"Yes"),"",IF($L156&lt;&gt;"",$L156,INDEX(SETUP!$I$1:$I$2000,MATCH(TRUE,SETUP!$J$1:$J$2000,0)+COUNTIFS($A$2:$A156,"&lt;&gt;",$K$2:$K156,"Yes",$L$2:$L156,"")-1)))</f>
        <v/>
      </c>
      <c r="N156" s="22"/>
    </row>
    <row r="157" spans="1:14" x14ac:dyDescent="0.3">
      <c r="A157" s="15" t="str">
        <f>IF(COUNTA($B157:$E157,$K157)=0,"",IF(AND($B157&lt;&gt;"",$C157&lt;&gt;"",$D157&lt;&gt;"",$E157&lt;&gt;""),"TXS"&amp;TEXT(COUNTIFS($B$2:$B157,"&lt;&gt;",$C$2:$C157,"&lt;&gt;",$D$2:$D157,"&lt;&gt;",$E$2:$E157,"&lt;&gt;"),"00000"),""))</f>
        <v/>
      </c>
      <c r="B157" s="16"/>
      <c r="C157" s="20"/>
      <c r="D157" s="20"/>
      <c r="E157" s="23"/>
      <c r="H157" s="19" t="str">
        <f t="shared" si="12"/>
        <v/>
      </c>
      <c r="I157" s="19" t="str">
        <f t="shared" si="11"/>
        <v/>
      </c>
      <c r="J157" s="19" t="str">
        <f t="shared" si="13"/>
        <v/>
      </c>
      <c r="K157" s="20"/>
      <c r="L157" s="21" t="str">
        <f>IF(OR(NOT(AND($B157&lt;&gt;"",$C157&lt;&gt;"",$D157&lt;&gt;"",$E157&lt;&gt;"")),$A157="",$K157&lt;&gt;"Yes"),"",IF($L157&lt;&gt;"",$L157,INDEX(SETUP!$I$1:$I$2000,MATCH(TRUE,SETUP!$J$1:$J$2000,0)+COUNTIFS($A$2:$A157,"&lt;&gt;",$K$2:$K157,"Yes",$L$2:$L157,"")-1)))</f>
        <v/>
      </c>
      <c r="N157" s="22"/>
    </row>
    <row r="158" spans="1:14" x14ac:dyDescent="0.3">
      <c r="A158" s="15" t="str">
        <f>IF(COUNTA($B158:$E158,$K158)=0,"",IF(AND($B158&lt;&gt;"",$C158&lt;&gt;"",$D158&lt;&gt;"",$E158&lt;&gt;""),"TXS"&amp;TEXT(COUNTIFS($B$2:$B158,"&lt;&gt;",$C$2:$C158,"&lt;&gt;",$D$2:$D158,"&lt;&gt;",$E$2:$E158,"&lt;&gt;"),"00000"),""))</f>
        <v/>
      </c>
      <c r="B158" s="16"/>
      <c r="C158" s="20"/>
      <c r="D158" s="20"/>
      <c r="E158" s="23"/>
      <c r="H158" s="19" t="str">
        <f t="shared" si="12"/>
        <v/>
      </c>
      <c r="I158" s="19" t="str">
        <f t="shared" si="11"/>
        <v/>
      </c>
      <c r="J158" s="19" t="str">
        <f t="shared" si="13"/>
        <v/>
      </c>
      <c r="K158" s="20"/>
      <c r="L158" s="21" t="str">
        <f>IF(OR(NOT(AND($B158&lt;&gt;"",$C158&lt;&gt;"",$D158&lt;&gt;"",$E158&lt;&gt;"")),$A158="",$K158&lt;&gt;"Yes"),"",IF($L158&lt;&gt;"",$L158,INDEX(SETUP!$I$1:$I$2000,MATCH(TRUE,SETUP!$J$1:$J$2000,0)+COUNTIFS($A$2:$A158,"&lt;&gt;",$K$2:$K158,"Yes",$L$2:$L158,"")-1)))</f>
        <v/>
      </c>
      <c r="N158" s="22"/>
    </row>
    <row r="159" spans="1:14" x14ac:dyDescent="0.3">
      <c r="A159" s="15" t="str">
        <f>IF(COUNTA($B159:$E159,$K159)=0,"",IF(AND($B159&lt;&gt;"",$C159&lt;&gt;"",$D159&lt;&gt;"",$E159&lt;&gt;""),"TXS"&amp;TEXT(COUNTIFS($B$2:$B159,"&lt;&gt;",$C$2:$C159,"&lt;&gt;",$D$2:$D159,"&lt;&gt;",$E$2:$E159,"&lt;&gt;"),"00000"),""))</f>
        <v/>
      </c>
      <c r="B159" s="16"/>
      <c r="C159" s="20"/>
      <c r="D159" s="20"/>
      <c r="E159" s="23"/>
      <c r="H159" s="19" t="str">
        <f t="shared" si="12"/>
        <v/>
      </c>
      <c r="I159" s="19" t="str">
        <f t="shared" si="11"/>
        <v/>
      </c>
      <c r="J159" s="19" t="str">
        <f t="shared" si="13"/>
        <v/>
      </c>
      <c r="K159" s="20"/>
      <c r="L159" s="21" t="str">
        <f>IF(OR(NOT(AND($B159&lt;&gt;"",$C159&lt;&gt;"",$D159&lt;&gt;"",$E159&lt;&gt;"")),$A159="",$K159&lt;&gt;"Yes"),"",IF($L159&lt;&gt;"",$L159,INDEX(SETUP!$I$1:$I$2000,MATCH(TRUE,SETUP!$J$1:$J$2000,0)+COUNTIFS($A$2:$A159,"&lt;&gt;",$K$2:$K159,"Yes",$L$2:$L159,"")-1)))</f>
        <v/>
      </c>
      <c r="N159" s="22"/>
    </row>
    <row r="160" spans="1:14" x14ac:dyDescent="0.3">
      <c r="A160" s="15" t="str">
        <f>IF(COUNTA($B160:$E160,$K160)=0,"",IF(AND($B160&lt;&gt;"",$C160&lt;&gt;"",$D160&lt;&gt;"",$E160&lt;&gt;""),"TXS"&amp;TEXT(COUNTIFS($B$2:$B160,"&lt;&gt;",$C$2:$C160,"&lt;&gt;",$D$2:$D160,"&lt;&gt;",$E$2:$E160,"&lt;&gt;"),"00000"),""))</f>
        <v/>
      </c>
      <c r="B160" s="16"/>
      <c r="C160" s="20"/>
      <c r="D160" s="20"/>
      <c r="E160" s="23"/>
      <c r="H160" s="19" t="str">
        <f t="shared" si="12"/>
        <v/>
      </c>
      <c r="I160" s="19" t="str">
        <f t="shared" si="11"/>
        <v/>
      </c>
      <c r="J160" s="19" t="str">
        <f t="shared" si="13"/>
        <v/>
      </c>
      <c r="K160" s="20"/>
      <c r="L160" s="21" t="str">
        <f>IF(OR(NOT(AND($B160&lt;&gt;"",$C160&lt;&gt;"",$D160&lt;&gt;"",$E160&lt;&gt;"")),$A160="",$K160&lt;&gt;"Yes"),"",IF($L160&lt;&gt;"",$L160,INDEX(SETUP!$I$1:$I$2000,MATCH(TRUE,SETUP!$J$1:$J$2000,0)+COUNTIFS($A$2:$A160,"&lt;&gt;",$K$2:$K160,"Yes",$L$2:$L160,"")-1)))</f>
        <v/>
      </c>
      <c r="N160" s="22"/>
    </row>
    <row r="161" spans="1:14" x14ac:dyDescent="0.3">
      <c r="A161" s="15" t="str">
        <f>IF(COUNTA($B161:$E161,$K161)=0,"",IF(AND($B161&lt;&gt;"",$C161&lt;&gt;"",$D161&lt;&gt;"",$E161&lt;&gt;""),"TXS"&amp;TEXT(COUNTIFS($B$2:$B161,"&lt;&gt;",$C$2:$C161,"&lt;&gt;",$D$2:$D161,"&lt;&gt;",$E$2:$E161,"&lt;&gt;"),"00000"),""))</f>
        <v/>
      </c>
      <c r="B161" s="16"/>
      <c r="C161" s="20"/>
      <c r="D161" s="20"/>
      <c r="E161" s="23"/>
      <c r="H161" s="19" t="str">
        <f t="shared" si="12"/>
        <v/>
      </c>
      <c r="I161" s="19" t="str">
        <f t="shared" si="11"/>
        <v/>
      </c>
      <c r="J161" s="19" t="str">
        <f t="shared" si="13"/>
        <v/>
      </c>
      <c r="K161" s="20"/>
      <c r="L161" s="21" t="str">
        <f>IF(OR(NOT(AND($B161&lt;&gt;"",$C161&lt;&gt;"",$D161&lt;&gt;"",$E161&lt;&gt;"")),$A161="",$K161&lt;&gt;"Yes"),"",IF($L161&lt;&gt;"",$L161,INDEX(SETUP!$I$1:$I$2000,MATCH(TRUE,SETUP!$J$1:$J$2000,0)+COUNTIFS($A$2:$A161,"&lt;&gt;",$K$2:$K161,"Yes",$L$2:$L161,"")-1)))</f>
        <v/>
      </c>
      <c r="N161" s="22"/>
    </row>
    <row r="162" spans="1:14" x14ac:dyDescent="0.3">
      <c r="A162" s="15" t="str">
        <f>IF(COUNTA($B162:$E162,$K162)=0,"",IF(AND($B162&lt;&gt;"",$C162&lt;&gt;"",$D162&lt;&gt;"",$E162&lt;&gt;""),"TXS"&amp;TEXT(COUNTIFS($B$2:$B162,"&lt;&gt;",$C$2:$C162,"&lt;&gt;",$D$2:$D162,"&lt;&gt;",$E$2:$E162,"&lt;&gt;"),"00000"),""))</f>
        <v/>
      </c>
      <c r="B162" s="16"/>
      <c r="C162" s="20"/>
      <c r="D162" s="20"/>
      <c r="E162" s="23"/>
      <c r="H162" s="19" t="str">
        <f t="shared" si="12"/>
        <v/>
      </c>
      <c r="I162" s="19" t="str">
        <f t="shared" si="11"/>
        <v/>
      </c>
      <c r="J162" s="19" t="str">
        <f t="shared" si="13"/>
        <v/>
      </c>
      <c r="K162" s="20"/>
      <c r="L162" s="21" t="str">
        <f>IF(OR(NOT(AND($B162&lt;&gt;"",$C162&lt;&gt;"",$D162&lt;&gt;"",$E162&lt;&gt;"")),$A162="",$K162&lt;&gt;"Yes"),"",IF($L162&lt;&gt;"",$L162,INDEX(SETUP!$I$1:$I$2000,MATCH(TRUE,SETUP!$J$1:$J$2000,0)+COUNTIFS($A$2:$A162,"&lt;&gt;",$K$2:$K162,"Yes",$L$2:$L162,"")-1)))</f>
        <v/>
      </c>
      <c r="N162" s="22"/>
    </row>
    <row r="163" spans="1:14" x14ac:dyDescent="0.3">
      <c r="A163" s="15" t="str">
        <f>IF(COUNTA($B163:$E163,$K163)=0,"",IF(AND($B163&lt;&gt;"",$C163&lt;&gt;"",$D163&lt;&gt;"",$E163&lt;&gt;""),"TXS"&amp;TEXT(COUNTIFS($B$2:$B163,"&lt;&gt;",$C$2:$C163,"&lt;&gt;",$D$2:$D163,"&lt;&gt;",$E$2:$E163,"&lt;&gt;"),"00000"),""))</f>
        <v/>
      </c>
      <c r="B163" s="16"/>
      <c r="C163" s="20"/>
      <c r="D163" s="20"/>
      <c r="E163" s="23"/>
      <c r="H163" s="19" t="str">
        <f t="shared" si="12"/>
        <v/>
      </c>
      <c r="I163" s="19" t="str">
        <f t="shared" si="11"/>
        <v/>
      </c>
      <c r="J163" s="19" t="str">
        <f t="shared" si="13"/>
        <v/>
      </c>
      <c r="K163" s="20"/>
      <c r="L163" s="21" t="str">
        <f>IF(OR(NOT(AND($B163&lt;&gt;"",$C163&lt;&gt;"",$D163&lt;&gt;"",$E163&lt;&gt;"")),$A163="",$K163&lt;&gt;"Yes"),"",IF($L163&lt;&gt;"",$L163,INDEX(SETUP!$I$1:$I$2000,MATCH(TRUE,SETUP!$J$1:$J$2000,0)+COUNTIFS($A$2:$A163,"&lt;&gt;",$K$2:$K163,"Yes",$L$2:$L163,"")-1)))</f>
        <v/>
      </c>
      <c r="N163" s="22"/>
    </row>
    <row r="164" spans="1:14" x14ac:dyDescent="0.3">
      <c r="A164" s="15" t="str">
        <f>IF(COUNTA($B164:$E164,$K164)=0,"",IF(AND($B164&lt;&gt;"",$C164&lt;&gt;"",$D164&lt;&gt;"",$E164&lt;&gt;""),"TXS"&amp;TEXT(COUNTIFS($B$2:$B164,"&lt;&gt;",$C$2:$C164,"&lt;&gt;",$D$2:$D164,"&lt;&gt;",$E$2:$E164,"&lt;&gt;"),"00000"),""))</f>
        <v/>
      </c>
      <c r="B164" s="16"/>
      <c r="C164" s="20"/>
      <c r="D164" s="20"/>
      <c r="E164" s="23"/>
      <c r="H164" s="19" t="str">
        <f t="shared" si="12"/>
        <v/>
      </c>
      <c r="I164" s="19" t="str">
        <f t="shared" si="11"/>
        <v/>
      </c>
      <c r="J164" s="19" t="str">
        <f t="shared" si="13"/>
        <v/>
      </c>
      <c r="K164" s="20"/>
      <c r="L164" s="21" t="str">
        <f>IF(OR(NOT(AND($B164&lt;&gt;"",$C164&lt;&gt;"",$D164&lt;&gt;"",$E164&lt;&gt;"")),$A164="",$K164&lt;&gt;"Yes"),"",IF($L164&lt;&gt;"",$L164,INDEX(SETUP!$I$1:$I$2000,MATCH(TRUE,SETUP!$J$1:$J$2000,0)+COUNTIFS($A$2:$A164,"&lt;&gt;",$K$2:$K164,"Yes",$L$2:$L164,"")-1)))</f>
        <v/>
      </c>
      <c r="N164" s="22"/>
    </row>
    <row r="165" spans="1:14" x14ac:dyDescent="0.3">
      <c r="A165" s="15" t="str">
        <f>IF(COUNTA($B165:$E165,$K165)=0,"",IF(AND($B165&lt;&gt;"",$C165&lt;&gt;"",$D165&lt;&gt;"",$E165&lt;&gt;""),"TXS"&amp;TEXT(COUNTIFS($B$2:$B165,"&lt;&gt;",$C$2:$C165,"&lt;&gt;",$D$2:$D165,"&lt;&gt;",$E$2:$E165,"&lt;&gt;"),"00000"),""))</f>
        <v/>
      </c>
      <c r="B165" s="16"/>
      <c r="C165" s="20"/>
      <c r="D165" s="20"/>
      <c r="E165" s="23"/>
      <c r="H165" s="19" t="str">
        <f t="shared" si="12"/>
        <v/>
      </c>
      <c r="I165" s="19" t="str">
        <f t="shared" si="11"/>
        <v/>
      </c>
      <c r="J165" s="19" t="str">
        <f t="shared" si="13"/>
        <v/>
      </c>
      <c r="K165" s="20"/>
      <c r="L165" s="21" t="str">
        <f>IF(OR(NOT(AND($B165&lt;&gt;"",$C165&lt;&gt;"",$D165&lt;&gt;"",$E165&lt;&gt;"")),$A165="",$K165&lt;&gt;"Yes"),"",IF($L165&lt;&gt;"",$L165,INDEX(SETUP!$I$1:$I$2000,MATCH(TRUE,SETUP!$J$1:$J$2000,0)+COUNTIFS($A$2:$A165,"&lt;&gt;",$K$2:$K165,"Yes",$L$2:$L165,"")-1)))</f>
        <v/>
      </c>
      <c r="N165" s="22"/>
    </row>
    <row r="166" spans="1:14" x14ac:dyDescent="0.3">
      <c r="A166" s="15" t="str">
        <f>IF(COUNTA($B166:$E166,$K166)=0,"",IF(AND($B166&lt;&gt;"",$C166&lt;&gt;"",$D166&lt;&gt;"",$E166&lt;&gt;""),"TXS"&amp;TEXT(COUNTIFS($B$2:$B166,"&lt;&gt;",$C$2:$C166,"&lt;&gt;",$D$2:$D166,"&lt;&gt;",$E$2:$E166,"&lt;&gt;"),"00000"),""))</f>
        <v/>
      </c>
      <c r="B166" s="16"/>
      <c r="C166" s="20"/>
      <c r="D166" s="20"/>
      <c r="E166" s="23"/>
      <c r="H166" s="19" t="str">
        <f t="shared" si="12"/>
        <v/>
      </c>
      <c r="I166" s="19" t="str">
        <f t="shared" si="11"/>
        <v/>
      </c>
      <c r="J166" s="19" t="str">
        <f t="shared" si="13"/>
        <v/>
      </c>
      <c r="K166" s="20"/>
      <c r="L166" s="21" t="str">
        <f>IF(OR(NOT(AND($B166&lt;&gt;"",$C166&lt;&gt;"",$D166&lt;&gt;"",$E166&lt;&gt;"")),$A166="",$K166&lt;&gt;"Yes"),"",IF($L166&lt;&gt;"",$L166,INDEX(SETUP!$I$1:$I$2000,MATCH(TRUE,SETUP!$J$1:$J$2000,0)+COUNTIFS($A$2:$A166,"&lt;&gt;",$K$2:$K166,"Yes",$L$2:$L166,"")-1)))</f>
        <v/>
      </c>
      <c r="N166" s="22"/>
    </row>
    <row r="167" spans="1:14" x14ac:dyDescent="0.3">
      <c r="A167" s="15" t="str">
        <f>IF(COUNTA($B167:$E167,$K167)=0,"",IF(AND($B167&lt;&gt;"",$C167&lt;&gt;"",$D167&lt;&gt;"",$E167&lt;&gt;""),"TXS"&amp;TEXT(COUNTIFS($B$2:$B167,"&lt;&gt;",$C$2:$C167,"&lt;&gt;",$D$2:$D167,"&lt;&gt;",$E$2:$E167,"&lt;&gt;"),"00000"),""))</f>
        <v/>
      </c>
      <c r="B167" s="16"/>
      <c r="C167" s="20"/>
      <c r="D167" s="20"/>
      <c r="E167" s="23"/>
      <c r="H167" s="19" t="str">
        <f t="shared" si="12"/>
        <v/>
      </c>
      <c r="I167" s="19" t="str">
        <f t="shared" si="11"/>
        <v/>
      </c>
      <c r="J167" s="19" t="str">
        <f t="shared" si="13"/>
        <v/>
      </c>
      <c r="K167" s="20"/>
      <c r="L167" s="21" t="str">
        <f>IF(OR(NOT(AND($B167&lt;&gt;"",$C167&lt;&gt;"",$D167&lt;&gt;"",$E167&lt;&gt;"")),$A167="",$K167&lt;&gt;"Yes"),"",IF($L167&lt;&gt;"",$L167,INDEX(SETUP!$I$1:$I$2000,MATCH(TRUE,SETUP!$J$1:$J$2000,0)+COUNTIFS($A$2:$A167,"&lt;&gt;",$K$2:$K167,"Yes",$L$2:$L167,"")-1)))</f>
        <v/>
      </c>
      <c r="N167" s="22"/>
    </row>
    <row r="168" spans="1:14" x14ac:dyDescent="0.3">
      <c r="A168" s="15" t="str">
        <f>IF(COUNTA($B168:$E168,$K168)=0,"",IF(AND($B168&lt;&gt;"",$C168&lt;&gt;"",$D168&lt;&gt;"",$E168&lt;&gt;""),"TXS"&amp;TEXT(COUNTIFS($B$2:$B168,"&lt;&gt;",$C$2:$C168,"&lt;&gt;",$D$2:$D168,"&lt;&gt;",$E$2:$E168,"&lt;&gt;"),"00000"),""))</f>
        <v/>
      </c>
      <c r="B168" s="16"/>
      <c r="C168" s="20"/>
      <c r="D168" s="20"/>
      <c r="E168" s="23"/>
      <c r="H168" s="19" t="str">
        <f t="shared" si="12"/>
        <v/>
      </c>
      <c r="I168" s="19" t="str">
        <f t="shared" si="11"/>
        <v/>
      </c>
      <c r="J168" s="19" t="str">
        <f t="shared" si="13"/>
        <v/>
      </c>
      <c r="K168" s="20"/>
      <c r="L168" s="21" t="str">
        <f>IF(OR(NOT(AND($B168&lt;&gt;"",$C168&lt;&gt;"",$D168&lt;&gt;"",$E168&lt;&gt;"")),$A168="",$K168&lt;&gt;"Yes"),"",IF($L168&lt;&gt;"",$L168,INDEX(SETUP!$I$1:$I$2000,MATCH(TRUE,SETUP!$J$1:$J$2000,0)+COUNTIFS($A$2:$A168,"&lt;&gt;",$K$2:$K168,"Yes",$L$2:$L168,"")-1)))</f>
        <v/>
      </c>
      <c r="N168" s="22"/>
    </row>
    <row r="169" spans="1:14" x14ac:dyDescent="0.3">
      <c r="A169" s="15" t="str">
        <f>IF(COUNTA($B169:$E169,$K169)=0,"",IF(AND($B169&lt;&gt;"",$C169&lt;&gt;"",$D169&lt;&gt;"",$E169&lt;&gt;""),"TXS"&amp;TEXT(COUNTIFS($B$2:$B169,"&lt;&gt;",$C$2:$C169,"&lt;&gt;",$D$2:$D169,"&lt;&gt;",$E$2:$E169,"&lt;&gt;"),"00000"),""))</f>
        <v/>
      </c>
      <c r="B169" s="16"/>
      <c r="C169" s="20"/>
      <c r="D169" s="20"/>
      <c r="E169" s="23"/>
      <c r="H169" s="19" t="str">
        <f t="shared" si="12"/>
        <v/>
      </c>
      <c r="I169" s="19" t="str">
        <f t="shared" ref="I169:I232" si="14">IF(NOT(AND($B169&lt;&gt;"",$C169&lt;&gt;"",$D169&lt;&gt;"",$E169&lt;&gt;"")),"",IF($A169="","","NIH plate "&amp;INT((VALUE(RIGHT($A169,5))-1)/96)+1&amp;": "&amp;CHAR(65+INT(MOD(VALUE(RIGHT($A169,5))-1,96)/12))&amp;(MOD(VALUE(RIGHT($A169,5))-1,12)+1)))</f>
        <v/>
      </c>
      <c r="J169" s="19" t="str">
        <f t="shared" si="13"/>
        <v/>
      </c>
      <c r="K169" s="20"/>
      <c r="L169" s="21" t="str">
        <f>IF(OR(NOT(AND($B169&lt;&gt;"",$C169&lt;&gt;"",$D169&lt;&gt;"",$E169&lt;&gt;"")),$A169="",$K169&lt;&gt;"Yes"),"",IF($L169&lt;&gt;"",$L169,INDEX(SETUP!$I$1:$I$2000,MATCH(TRUE,SETUP!$J$1:$J$2000,0)+COUNTIFS($A$2:$A169,"&lt;&gt;",$K$2:$K169,"Yes",$L$2:$L169,"")-1)))</f>
        <v/>
      </c>
      <c r="N169" s="22"/>
    </row>
    <row r="170" spans="1:14" x14ac:dyDescent="0.3">
      <c r="A170" s="15" t="str">
        <f>IF(COUNTA($B170:$E170,$K170)=0,"",IF(AND($B170&lt;&gt;"",$C170&lt;&gt;"",$D170&lt;&gt;"",$E170&lt;&gt;""),"TXS"&amp;TEXT(COUNTIFS($B$2:$B170,"&lt;&gt;",$C$2:$C170,"&lt;&gt;",$D$2:$D170,"&lt;&gt;",$E$2:$E170,"&lt;&gt;"),"00000"),""))</f>
        <v/>
      </c>
      <c r="B170" s="16"/>
      <c r="C170" s="20"/>
      <c r="D170" s="20"/>
      <c r="E170" s="23"/>
      <c r="H170" s="19" t="str">
        <f t="shared" si="12"/>
        <v/>
      </c>
      <c r="I170" s="19" t="str">
        <f t="shared" si="14"/>
        <v/>
      </c>
      <c r="J170" s="19" t="str">
        <f t="shared" si="13"/>
        <v/>
      </c>
      <c r="K170" s="20"/>
      <c r="L170" s="21" t="str">
        <f>IF(OR(NOT(AND($B170&lt;&gt;"",$C170&lt;&gt;"",$D170&lt;&gt;"",$E170&lt;&gt;"")),$A170="",$K170&lt;&gt;"Yes"),"",IF($L170&lt;&gt;"",$L170,INDEX(SETUP!$I$1:$I$2000,MATCH(TRUE,SETUP!$J$1:$J$2000,0)+COUNTIFS($A$2:$A170,"&lt;&gt;",$K$2:$K170,"Yes",$L$2:$L170,"")-1)))</f>
        <v/>
      </c>
      <c r="N170" s="22"/>
    </row>
    <row r="171" spans="1:14" x14ac:dyDescent="0.3">
      <c r="A171" s="15" t="str">
        <f>IF(COUNTA($B171:$E171,$K171)=0,"",IF(AND($B171&lt;&gt;"",$C171&lt;&gt;"",$D171&lt;&gt;"",$E171&lt;&gt;""),"TXS"&amp;TEXT(COUNTIFS($B$2:$B171,"&lt;&gt;",$C$2:$C171,"&lt;&gt;",$D$2:$D171,"&lt;&gt;",$E$2:$E171,"&lt;&gt;"),"00000"),""))</f>
        <v/>
      </c>
      <c r="B171" s="16"/>
      <c r="C171" s="20"/>
      <c r="D171" s="20"/>
      <c r="E171" s="23"/>
      <c r="H171" s="19" t="str">
        <f t="shared" si="12"/>
        <v/>
      </c>
      <c r="I171" s="19" t="str">
        <f t="shared" si="14"/>
        <v/>
      </c>
      <c r="J171" s="19" t="str">
        <f t="shared" si="13"/>
        <v/>
      </c>
      <c r="K171" s="20"/>
      <c r="L171" s="21" t="str">
        <f>IF(OR(NOT(AND($B171&lt;&gt;"",$C171&lt;&gt;"",$D171&lt;&gt;"",$E171&lt;&gt;"")),$A171="",$K171&lt;&gt;"Yes"),"",IF($L171&lt;&gt;"",$L171,INDEX(SETUP!$I$1:$I$2000,MATCH(TRUE,SETUP!$J$1:$J$2000,0)+COUNTIFS($A$2:$A171,"&lt;&gt;",$K$2:$K171,"Yes",$L$2:$L171,"")-1)))</f>
        <v/>
      </c>
      <c r="N171" s="22"/>
    </row>
    <row r="172" spans="1:14" x14ac:dyDescent="0.3">
      <c r="A172" s="15" t="str">
        <f>IF(COUNTA($B172:$E172,$K172)=0,"",IF(AND($B172&lt;&gt;"",$C172&lt;&gt;"",$D172&lt;&gt;"",$E172&lt;&gt;""),"TXS"&amp;TEXT(COUNTIFS($B$2:$B172,"&lt;&gt;",$C$2:$C172,"&lt;&gt;",$D$2:$D172,"&lt;&gt;",$E$2:$E172,"&lt;&gt;"),"00000"),""))</f>
        <v/>
      </c>
      <c r="B172" s="16"/>
      <c r="C172" s="20"/>
      <c r="D172" s="20"/>
      <c r="E172" s="23"/>
      <c r="H172" s="19" t="str">
        <f t="shared" si="12"/>
        <v/>
      </c>
      <c r="I172" s="19" t="str">
        <f t="shared" si="14"/>
        <v/>
      </c>
      <c r="J172" s="19" t="str">
        <f t="shared" si="13"/>
        <v/>
      </c>
      <c r="K172" s="20"/>
      <c r="L172" s="21" t="str">
        <f>IF(OR(NOT(AND($B172&lt;&gt;"",$C172&lt;&gt;"",$D172&lt;&gt;"",$E172&lt;&gt;"")),$A172="",$K172&lt;&gt;"Yes"),"",IF($L172&lt;&gt;"",$L172,INDEX(SETUP!$I$1:$I$2000,MATCH(TRUE,SETUP!$J$1:$J$2000,0)+COUNTIFS($A$2:$A172,"&lt;&gt;",$K$2:$K172,"Yes",$L$2:$L172,"")-1)))</f>
        <v/>
      </c>
      <c r="N172" s="22"/>
    </row>
    <row r="173" spans="1:14" x14ac:dyDescent="0.3">
      <c r="A173" s="15" t="str">
        <f>IF(COUNTA($B173:$E173,$K173)=0,"",IF(AND($B173&lt;&gt;"",$C173&lt;&gt;"",$D173&lt;&gt;"",$E173&lt;&gt;""),"TXS"&amp;TEXT(COUNTIFS($B$2:$B173,"&lt;&gt;",$C$2:$C173,"&lt;&gt;",$D$2:$D173,"&lt;&gt;",$E$2:$E173,"&lt;&gt;"),"00000"),""))</f>
        <v/>
      </c>
      <c r="B173" s="16"/>
      <c r="C173" s="20"/>
      <c r="D173" s="20"/>
      <c r="E173" s="23"/>
      <c r="H173" s="19" t="str">
        <f t="shared" si="12"/>
        <v/>
      </c>
      <c r="I173" s="19" t="str">
        <f t="shared" si="14"/>
        <v/>
      </c>
      <c r="J173" s="19" t="str">
        <f t="shared" si="13"/>
        <v/>
      </c>
      <c r="K173" s="20"/>
      <c r="L173" s="21" t="str">
        <f>IF(OR(NOT(AND($B173&lt;&gt;"",$C173&lt;&gt;"",$D173&lt;&gt;"",$E173&lt;&gt;"")),$A173="",$K173&lt;&gt;"Yes"),"",IF($L173&lt;&gt;"",$L173,INDEX(SETUP!$I$1:$I$2000,MATCH(TRUE,SETUP!$J$1:$J$2000,0)+COUNTIFS($A$2:$A173,"&lt;&gt;",$K$2:$K173,"Yes",$L$2:$L173,"")-1)))</f>
        <v/>
      </c>
      <c r="N173" s="22"/>
    </row>
    <row r="174" spans="1:14" x14ac:dyDescent="0.3">
      <c r="A174" s="15" t="str">
        <f>IF(COUNTA($B174:$E174,$K174)=0,"",IF(AND($B174&lt;&gt;"",$C174&lt;&gt;"",$D174&lt;&gt;"",$E174&lt;&gt;""),"TXS"&amp;TEXT(COUNTIFS($B$2:$B174,"&lt;&gt;",$C$2:$C174,"&lt;&gt;",$D$2:$D174,"&lt;&gt;",$E$2:$E174,"&lt;&gt;"),"00000"),""))</f>
        <v/>
      </c>
      <c r="B174" s="16"/>
      <c r="C174" s="20"/>
      <c r="D174" s="20"/>
      <c r="E174" s="23"/>
      <c r="H174" s="19" t="str">
        <f t="shared" si="12"/>
        <v/>
      </c>
      <c r="I174" s="19" t="str">
        <f t="shared" si="14"/>
        <v/>
      </c>
      <c r="J174" s="19" t="str">
        <f t="shared" si="13"/>
        <v/>
      </c>
      <c r="K174" s="20"/>
      <c r="L174" s="21" t="str">
        <f>IF(OR(NOT(AND($B174&lt;&gt;"",$C174&lt;&gt;"",$D174&lt;&gt;"",$E174&lt;&gt;"")),$A174="",$K174&lt;&gt;"Yes"),"",IF($L174&lt;&gt;"",$L174,INDEX(SETUP!$I$1:$I$2000,MATCH(TRUE,SETUP!$J$1:$J$2000,0)+COUNTIFS($A$2:$A174,"&lt;&gt;",$K$2:$K174,"Yes",$L$2:$L174,"")-1)))</f>
        <v/>
      </c>
      <c r="N174" s="22"/>
    </row>
    <row r="175" spans="1:14" x14ac:dyDescent="0.3">
      <c r="A175" s="15" t="str">
        <f>IF(COUNTA($B175:$E175,$K175)=0,"",IF(AND($B175&lt;&gt;"",$C175&lt;&gt;"",$D175&lt;&gt;"",$E175&lt;&gt;""),"TXS"&amp;TEXT(COUNTIFS($B$2:$B175,"&lt;&gt;",$C$2:$C175,"&lt;&gt;",$D$2:$D175,"&lt;&gt;",$E$2:$E175,"&lt;&gt;"),"00000"),""))</f>
        <v/>
      </c>
      <c r="B175" s="16"/>
      <c r="C175" s="20"/>
      <c r="D175" s="20"/>
      <c r="E175" s="23"/>
      <c r="H175" s="19" t="str">
        <f t="shared" ref="H175:H238" si="15">IF(NOT(AND($B175&lt;&gt;"",$C175&lt;&gt;"",$D175&lt;&gt;"",$E175&lt;&gt;"")),"",IF($A175="","","CDI plate "&amp;INT((VALUE(RIGHT($A175,5))-1)/96)+1&amp;": "&amp;CHAR(65+INT(MOD(VALUE(RIGHT($A175,5))-1,96)/12))&amp;(MOD(VALUE(RIGHT($A175,5))-1,12)+1)))</f>
        <v/>
      </c>
      <c r="I175" s="19" t="str">
        <f t="shared" si="14"/>
        <v/>
      </c>
      <c r="J175" s="19" t="str">
        <f t="shared" si="13"/>
        <v/>
      </c>
      <c r="K175" s="20"/>
      <c r="L175" s="21" t="str">
        <f>IF(OR(NOT(AND($B175&lt;&gt;"",$C175&lt;&gt;"",$D175&lt;&gt;"",$E175&lt;&gt;"")),$A175="",$K175&lt;&gt;"Yes"),"",IF($L175&lt;&gt;"",$L175,INDEX(SETUP!$I$1:$I$2000,MATCH(TRUE,SETUP!$J$1:$J$2000,0)+COUNTIFS($A$2:$A175,"&lt;&gt;",$K$2:$K175,"Yes",$L$2:$L175,"")-1)))</f>
        <v/>
      </c>
      <c r="N175" s="22"/>
    </row>
    <row r="176" spans="1:14" x14ac:dyDescent="0.3">
      <c r="A176" s="15" t="str">
        <f>IF(COUNTA($B176:$E176,$K176)=0,"",IF(AND($B176&lt;&gt;"",$C176&lt;&gt;"",$D176&lt;&gt;"",$E176&lt;&gt;""),"TXS"&amp;TEXT(COUNTIFS($B$2:$B176,"&lt;&gt;",$C$2:$C176,"&lt;&gt;",$D$2:$D176,"&lt;&gt;",$E$2:$E176,"&lt;&gt;"),"00000"),""))</f>
        <v/>
      </c>
      <c r="B176" s="16"/>
      <c r="C176" s="20"/>
      <c r="D176" s="20"/>
      <c r="E176" s="23"/>
      <c r="H176" s="19" t="str">
        <f t="shared" si="15"/>
        <v/>
      </c>
      <c r="I176" s="19" t="str">
        <f t="shared" si="14"/>
        <v/>
      </c>
      <c r="J176" s="19" t="str">
        <f t="shared" si="13"/>
        <v/>
      </c>
      <c r="K176" s="20"/>
      <c r="L176" s="21" t="str">
        <f>IF(OR(NOT(AND($B176&lt;&gt;"",$C176&lt;&gt;"",$D176&lt;&gt;"",$E176&lt;&gt;"")),$A176="",$K176&lt;&gt;"Yes"),"",IF($L176&lt;&gt;"",$L176,INDEX(SETUP!$I$1:$I$2000,MATCH(TRUE,SETUP!$J$1:$J$2000,0)+COUNTIFS($A$2:$A176,"&lt;&gt;",$K$2:$K176,"Yes",$L$2:$L176,"")-1)))</f>
        <v/>
      </c>
      <c r="N176" s="22"/>
    </row>
    <row r="177" spans="1:14" x14ac:dyDescent="0.3">
      <c r="A177" s="15" t="str">
        <f>IF(COUNTA($B177:$E177,$K177)=0,"",IF(AND($B177&lt;&gt;"",$C177&lt;&gt;"",$D177&lt;&gt;"",$E177&lt;&gt;""),"TXS"&amp;TEXT(COUNTIFS($B$2:$B177,"&lt;&gt;",$C$2:$C177,"&lt;&gt;",$D$2:$D177,"&lt;&gt;",$E$2:$E177,"&lt;&gt;"),"00000"),""))</f>
        <v/>
      </c>
      <c r="B177" s="16"/>
      <c r="C177" s="20"/>
      <c r="D177" s="20"/>
      <c r="E177" s="23"/>
      <c r="H177" s="19" t="str">
        <f t="shared" si="15"/>
        <v/>
      </c>
      <c r="I177" s="19" t="str">
        <f t="shared" si="14"/>
        <v/>
      </c>
      <c r="J177" s="19" t="str">
        <f t="shared" si="13"/>
        <v/>
      </c>
      <c r="K177" s="20"/>
      <c r="L177" s="21" t="str">
        <f>IF(OR(NOT(AND($B177&lt;&gt;"",$C177&lt;&gt;"",$D177&lt;&gt;"",$E177&lt;&gt;"")),$A177="",$K177&lt;&gt;"Yes"),"",IF($L177&lt;&gt;"",$L177,INDEX(SETUP!$I$1:$I$2000,MATCH(TRUE,SETUP!$J$1:$J$2000,0)+COUNTIFS($A$2:$A177,"&lt;&gt;",$K$2:$K177,"Yes",$L$2:$L177,"")-1)))</f>
        <v/>
      </c>
      <c r="N177" s="22"/>
    </row>
    <row r="178" spans="1:14" x14ac:dyDescent="0.3">
      <c r="A178" s="15" t="str">
        <f>IF(COUNTA($B178:$E178,$K178)=0,"",IF(AND($B178&lt;&gt;"",$C178&lt;&gt;"",$D178&lt;&gt;"",$E178&lt;&gt;""),"TXS"&amp;TEXT(COUNTIFS($B$2:$B178,"&lt;&gt;",$C$2:$C178,"&lt;&gt;",$D$2:$D178,"&lt;&gt;",$E$2:$E178,"&lt;&gt;"),"00000"),""))</f>
        <v/>
      </c>
      <c r="B178" s="16"/>
      <c r="C178" s="20"/>
      <c r="D178" s="20"/>
      <c r="E178" s="23"/>
      <c r="H178" s="19" t="str">
        <f t="shared" si="15"/>
        <v/>
      </c>
      <c r="I178" s="19" t="str">
        <f t="shared" si="14"/>
        <v/>
      </c>
      <c r="J178" s="19" t="str">
        <f t="shared" ref="J178:J241" si="16">IF(NOT(AND($B178&lt;&gt;"",$C178&lt;&gt;"",$D178&lt;&gt;"",$E178&lt;&gt;"")),"",IF($A178="","","Max Planck plate "&amp;INT((VALUE(RIGHT($A178,5))-1)/96)+1&amp;": "&amp;CHAR(65+INT(MOD(VALUE(RIGHT($A178,5))-1,96)/12))&amp;(MOD(VALUE(RIGHT($A178,5))-1,12)+1)))</f>
        <v/>
      </c>
      <c r="K178" s="20"/>
      <c r="L178" s="21" t="str">
        <f>IF(OR(NOT(AND($B178&lt;&gt;"",$C178&lt;&gt;"",$D178&lt;&gt;"",$E178&lt;&gt;"")),$A178="",$K178&lt;&gt;"Yes"),"",IF($L178&lt;&gt;"",$L178,INDEX(SETUP!$I$1:$I$2000,MATCH(TRUE,SETUP!$J$1:$J$2000,0)+COUNTIFS($A$2:$A178,"&lt;&gt;",$K$2:$K178,"Yes",$L$2:$L178,"")-1)))</f>
        <v/>
      </c>
      <c r="N178" s="22"/>
    </row>
    <row r="179" spans="1:14" x14ac:dyDescent="0.3">
      <c r="A179" s="15" t="str">
        <f>IF(COUNTA($B179:$E179,$K179)=0,"",IF(AND($B179&lt;&gt;"",$C179&lt;&gt;"",$D179&lt;&gt;"",$E179&lt;&gt;""),"TXS"&amp;TEXT(COUNTIFS($B$2:$B179,"&lt;&gt;",$C$2:$C179,"&lt;&gt;",$D$2:$D179,"&lt;&gt;",$E$2:$E179,"&lt;&gt;"),"00000"),""))</f>
        <v/>
      </c>
      <c r="B179" s="16"/>
      <c r="C179" s="20"/>
      <c r="D179" s="20"/>
      <c r="E179" s="23"/>
      <c r="H179" s="19" t="str">
        <f t="shared" si="15"/>
        <v/>
      </c>
      <c r="I179" s="19" t="str">
        <f t="shared" si="14"/>
        <v/>
      </c>
      <c r="J179" s="19" t="str">
        <f t="shared" si="16"/>
        <v/>
      </c>
      <c r="K179" s="20"/>
      <c r="L179" s="21" t="str">
        <f>IF(OR(NOT(AND($B179&lt;&gt;"",$C179&lt;&gt;"",$D179&lt;&gt;"",$E179&lt;&gt;"")),$A179="",$K179&lt;&gt;"Yes"),"",IF($L179&lt;&gt;"",$L179,INDEX(SETUP!$I$1:$I$2000,MATCH(TRUE,SETUP!$J$1:$J$2000,0)+COUNTIFS($A$2:$A179,"&lt;&gt;",$K$2:$K179,"Yes",$L$2:$L179,"")-1)))</f>
        <v/>
      </c>
      <c r="N179" s="22"/>
    </row>
    <row r="180" spans="1:14" x14ac:dyDescent="0.3">
      <c r="A180" s="15" t="str">
        <f>IF(COUNTA($B180:$E180,$K180)=0,"",IF(AND($B180&lt;&gt;"",$C180&lt;&gt;"",$D180&lt;&gt;"",$E180&lt;&gt;""),"TXS"&amp;TEXT(COUNTIFS($B$2:$B180,"&lt;&gt;",$C$2:$C180,"&lt;&gt;",$D$2:$D180,"&lt;&gt;",$E$2:$E180,"&lt;&gt;"),"00000"),""))</f>
        <v/>
      </c>
      <c r="B180" s="16"/>
      <c r="C180" s="20"/>
      <c r="D180" s="20"/>
      <c r="E180" s="23"/>
      <c r="H180" s="19" t="str">
        <f t="shared" si="15"/>
        <v/>
      </c>
      <c r="I180" s="19" t="str">
        <f t="shared" si="14"/>
        <v/>
      </c>
      <c r="J180" s="19" t="str">
        <f t="shared" si="16"/>
        <v/>
      </c>
      <c r="K180" s="20"/>
      <c r="L180" s="21" t="str">
        <f>IF(OR(NOT(AND($B180&lt;&gt;"",$C180&lt;&gt;"",$D180&lt;&gt;"",$E180&lt;&gt;"")),$A180="",$K180&lt;&gt;"Yes"),"",IF($L180&lt;&gt;"",$L180,INDEX(SETUP!$I$1:$I$2000,MATCH(TRUE,SETUP!$J$1:$J$2000,0)+COUNTIFS($A$2:$A180,"&lt;&gt;",$K$2:$K180,"Yes",$L$2:$L180,"")-1)))</f>
        <v/>
      </c>
      <c r="N180" s="22"/>
    </row>
    <row r="181" spans="1:14" x14ac:dyDescent="0.3">
      <c r="A181" s="15" t="str">
        <f>IF(COUNTA($B181:$E181,$K181)=0,"",IF(AND($B181&lt;&gt;"",$C181&lt;&gt;"",$D181&lt;&gt;"",$E181&lt;&gt;""),"TXS"&amp;TEXT(COUNTIFS($B$2:$B181,"&lt;&gt;",$C$2:$C181,"&lt;&gt;",$D$2:$D181,"&lt;&gt;",$E$2:$E181,"&lt;&gt;"),"00000"),""))</f>
        <v/>
      </c>
      <c r="B181" s="16"/>
      <c r="C181" s="20"/>
      <c r="D181" s="20"/>
      <c r="E181" s="23"/>
      <c r="H181" s="19" t="str">
        <f t="shared" si="15"/>
        <v/>
      </c>
      <c r="I181" s="19" t="str">
        <f t="shared" si="14"/>
        <v/>
      </c>
      <c r="J181" s="19" t="str">
        <f t="shared" si="16"/>
        <v/>
      </c>
      <c r="K181" s="20"/>
      <c r="L181" s="21" t="str">
        <f>IF(OR(NOT(AND($B181&lt;&gt;"",$C181&lt;&gt;"",$D181&lt;&gt;"",$E181&lt;&gt;"")),$A181="",$K181&lt;&gt;"Yes"),"",IF($L181&lt;&gt;"",$L181,INDEX(SETUP!$I$1:$I$2000,MATCH(TRUE,SETUP!$J$1:$J$2000,0)+COUNTIFS($A$2:$A181,"&lt;&gt;",$K$2:$K181,"Yes",$L$2:$L181,"")-1)))</f>
        <v/>
      </c>
      <c r="N181" s="22"/>
    </row>
    <row r="182" spans="1:14" x14ac:dyDescent="0.3">
      <c r="A182" s="15" t="str">
        <f>IF(COUNTA($B182:$E182,$K182)=0,"",IF(AND($B182&lt;&gt;"",$C182&lt;&gt;"",$D182&lt;&gt;"",$E182&lt;&gt;""),"TXS"&amp;TEXT(COUNTIFS($B$2:$B182,"&lt;&gt;",$C$2:$C182,"&lt;&gt;",$D$2:$D182,"&lt;&gt;",$E$2:$E182,"&lt;&gt;"),"00000"),""))</f>
        <v/>
      </c>
      <c r="B182" s="16"/>
      <c r="C182" s="20"/>
      <c r="D182" s="20"/>
      <c r="E182" s="23"/>
      <c r="H182" s="19" t="str">
        <f t="shared" si="15"/>
        <v/>
      </c>
      <c r="I182" s="19" t="str">
        <f t="shared" si="14"/>
        <v/>
      </c>
      <c r="J182" s="19" t="str">
        <f t="shared" si="16"/>
        <v/>
      </c>
      <c r="K182" s="20"/>
      <c r="L182" s="21" t="str">
        <f>IF(OR(NOT(AND($B182&lt;&gt;"",$C182&lt;&gt;"",$D182&lt;&gt;"",$E182&lt;&gt;"")),$A182="",$K182&lt;&gt;"Yes"),"",IF($L182&lt;&gt;"",$L182,INDEX(SETUP!$I$1:$I$2000,MATCH(TRUE,SETUP!$J$1:$J$2000,0)+COUNTIFS($A$2:$A182,"&lt;&gt;",$K$2:$K182,"Yes",$L$2:$L182,"")-1)))</f>
        <v/>
      </c>
      <c r="N182" s="22"/>
    </row>
    <row r="183" spans="1:14" x14ac:dyDescent="0.3">
      <c r="A183" s="15" t="str">
        <f>IF(COUNTA($B183:$E183,$K183)=0,"",IF(AND($B183&lt;&gt;"",$C183&lt;&gt;"",$D183&lt;&gt;"",$E183&lt;&gt;""),"TXS"&amp;TEXT(COUNTIFS($B$2:$B183,"&lt;&gt;",$C$2:$C183,"&lt;&gt;",$D$2:$D183,"&lt;&gt;",$E$2:$E183,"&lt;&gt;"),"00000"),""))</f>
        <v/>
      </c>
      <c r="B183" s="16"/>
      <c r="C183" s="20"/>
      <c r="D183" s="20"/>
      <c r="E183" s="23"/>
      <c r="H183" s="19" t="str">
        <f t="shared" si="15"/>
        <v/>
      </c>
      <c r="I183" s="19" t="str">
        <f t="shared" si="14"/>
        <v/>
      </c>
      <c r="J183" s="19" t="str">
        <f t="shared" si="16"/>
        <v/>
      </c>
      <c r="K183" s="20"/>
      <c r="L183" s="21" t="str">
        <f>IF(OR(NOT(AND($B183&lt;&gt;"",$C183&lt;&gt;"",$D183&lt;&gt;"",$E183&lt;&gt;"")),$A183="",$K183&lt;&gt;"Yes"),"",IF($L183&lt;&gt;"",$L183,INDEX(SETUP!$I$1:$I$2000,MATCH(TRUE,SETUP!$J$1:$J$2000,0)+COUNTIFS($A$2:$A183,"&lt;&gt;",$K$2:$K183,"Yes",$L$2:$L183,"")-1)))</f>
        <v/>
      </c>
      <c r="N183" s="22"/>
    </row>
    <row r="184" spans="1:14" x14ac:dyDescent="0.3">
      <c r="A184" s="15" t="str">
        <f>IF(COUNTA($B184:$E184,$K184)=0,"",IF(AND($B184&lt;&gt;"",$C184&lt;&gt;"",$D184&lt;&gt;"",$E184&lt;&gt;""),"TXS"&amp;TEXT(COUNTIFS($B$2:$B184,"&lt;&gt;",$C$2:$C184,"&lt;&gt;",$D$2:$D184,"&lt;&gt;",$E$2:$E184,"&lt;&gt;"),"00000"),""))</f>
        <v/>
      </c>
      <c r="B184" s="16"/>
      <c r="C184" s="20"/>
      <c r="D184" s="20"/>
      <c r="E184" s="23"/>
      <c r="H184" s="19" t="str">
        <f t="shared" si="15"/>
        <v/>
      </c>
      <c r="I184" s="19" t="str">
        <f t="shared" si="14"/>
        <v/>
      </c>
      <c r="J184" s="19" t="str">
        <f t="shared" si="16"/>
        <v/>
      </c>
      <c r="K184" s="20"/>
      <c r="L184" s="21" t="str">
        <f>IF(OR(NOT(AND($B184&lt;&gt;"",$C184&lt;&gt;"",$D184&lt;&gt;"",$E184&lt;&gt;"")),$A184="",$K184&lt;&gt;"Yes"),"",IF($L184&lt;&gt;"",$L184,INDEX(SETUP!$I$1:$I$2000,MATCH(TRUE,SETUP!$J$1:$J$2000,0)+COUNTIFS($A$2:$A184,"&lt;&gt;",$K$2:$K184,"Yes",$L$2:$L184,"")-1)))</f>
        <v/>
      </c>
      <c r="N184" s="22"/>
    </row>
    <row r="185" spans="1:14" x14ac:dyDescent="0.3">
      <c r="A185" s="15" t="str">
        <f>IF(COUNTA($B185:$E185,$K185)=0,"",IF(AND($B185&lt;&gt;"",$C185&lt;&gt;"",$D185&lt;&gt;"",$E185&lt;&gt;""),"TXS"&amp;TEXT(COUNTIFS($B$2:$B185,"&lt;&gt;",$C$2:$C185,"&lt;&gt;",$D$2:$D185,"&lt;&gt;",$E$2:$E185,"&lt;&gt;"),"00000"),""))</f>
        <v/>
      </c>
      <c r="B185" s="16"/>
      <c r="C185" s="20"/>
      <c r="D185" s="20"/>
      <c r="E185" s="23"/>
      <c r="H185" s="19" t="str">
        <f t="shared" si="15"/>
        <v/>
      </c>
      <c r="I185" s="19" t="str">
        <f t="shared" si="14"/>
        <v/>
      </c>
      <c r="J185" s="19" t="str">
        <f t="shared" si="16"/>
        <v/>
      </c>
      <c r="K185" s="20"/>
      <c r="L185" s="21" t="str">
        <f>IF(OR(NOT(AND($B185&lt;&gt;"",$C185&lt;&gt;"",$D185&lt;&gt;"",$E185&lt;&gt;"")),$A185="",$K185&lt;&gt;"Yes"),"",IF($L185&lt;&gt;"",$L185,INDEX(SETUP!$I$1:$I$2000,MATCH(TRUE,SETUP!$J$1:$J$2000,0)+COUNTIFS($A$2:$A185,"&lt;&gt;",$K$2:$K185,"Yes",$L$2:$L185,"")-1)))</f>
        <v/>
      </c>
      <c r="N185" s="22"/>
    </row>
    <row r="186" spans="1:14" x14ac:dyDescent="0.3">
      <c r="A186" s="15" t="str">
        <f>IF(COUNTA($B186:$E186,$K186)=0,"",IF(AND($B186&lt;&gt;"",$C186&lt;&gt;"",$D186&lt;&gt;"",$E186&lt;&gt;""),"TXS"&amp;TEXT(COUNTIFS($B$2:$B186,"&lt;&gt;",$C$2:$C186,"&lt;&gt;",$D$2:$D186,"&lt;&gt;",$E$2:$E186,"&lt;&gt;"),"00000"),""))</f>
        <v/>
      </c>
      <c r="B186" s="16"/>
      <c r="C186" s="20"/>
      <c r="D186" s="20"/>
      <c r="E186" s="23"/>
      <c r="H186" s="19" t="str">
        <f t="shared" si="15"/>
        <v/>
      </c>
      <c r="I186" s="19" t="str">
        <f t="shared" si="14"/>
        <v/>
      </c>
      <c r="J186" s="19" t="str">
        <f t="shared" si="16"/>
        <v/>
      </c>
      <c r="K186" s="20"/>
      <c r="L186" s="21" t="str">
        <f>IF(OR(NOT(AND($B186&lt;&gt;"",$C186&lt;&gt;"",$D186&lt;&gt;"",$E186&lt;&gt;"")),$A186="",$K186&lt;&gt;"Yes"),"",IF($L186&lt;&gt;"",$L186,INDEX(SETUP!$I$1:$I$2000,MATCH(TRUE,SETUP!$J$1:$J$2000,0)+COUNTIFS($A$2:$A186,"&lt;&gt;",$K$2:$K186,"Yes",$L$2:$L186,"")-1)))</f>
        <v/>
      </c>
      <c r="N186" s="22"/>
    </row>
    <row r="187" spans="1:14" x14ac:dyDescent="0.3">
      <c r="A187" s="15" t="str">
        <f>IF(COUNTA($B187:$E187,$K187)=0,"",IF(AND($B187&lt;&gt;"",$C187&lt;&gt;"",$D187&lt;&gt;"",$E187&lt;&gt;""),"TXS"&amp;TEXT(COUNTIFS($B$2:$B187,"&lt;&gt;",$C$2:$C187,"&lt;&gt;",$D$2:$D187,"&lt;&gt;",$E$2:$E187,"&lt;&gt;"),"00000"),""))</f>
        <v/>
      </c>
      <c r="B187" s="16"/>
      <c r="C187" s="20"/>
      <c r="D187" s="20"/>
      <c r="E187" s="23"/>
      <c r="H187" s="19" t="str">
        <f t="shared" si="15"/>
        <v/>
      </c>
      <c r="I187" s="19" t="str">
        <f t="shared" si="14"/>
        <v/>
      </c>
      <c r="J187" s="19" t="str">
        <f t="shared" si="16"/>
        <v/>
      </c>
      <c r="K187" s="20"/>
      <c r="L187" s="21" t="str">
        <f>IF(OR(NOT(AND($B187&lt;&gt;"",$C187&lt;&gt;"",$D187&lt;&gt;"",$E187&lt;&gt;"")),$A187="",$K187&lt;&gt;"Yes"),"",IF($L187&lt;&gt;"",$L187,INDEX(SETUP!$I$1:$I$2000,MATCH(TRUE,SETUP!$J$1:$J$2000,0)+COUNTIFS($A$2:$A187,"&lt;&gt;",$K$2:$K187,"Yes",$L$2:$L187,"")-1)))</f>
        <v/>
      </c>
      <c r="N187" s="22"/>
    </row>
    <row r="188" spans="1:14" x14ac:dyDescent="0.3">
      <c r="A188" s="15" t="str">
        <f>IF(COUNTA($B188:$E188,$K188)=0,"",IF(AND($B188&lt;&gt;"",$C188&lt;&gt;"",$D188&lt;&gt;"",$E188&lt;&gt;""),"TXS"&amp;TEXT(COUNTIFS($B$2:$B188,"&lt;&gt;",$C$2:$C188,"&lt;&gt;",$D$2:$D188,"&lt;&gt;",$E$2:$E188,"&lt;&gt;"),"00000"),""))</f>
        <v/>
      </c>
      <c r="B188" s="16"/>
      <c r="C188" s="20"/>
      <c r="D188" s="20"/>
      <c r="E188" s="23"/>
      <c r="H188" s="19" t="str">
        <f t="shared" si="15"/>
        <v/>
      </c>
      <c r="I188" s="19" t="str">
        <f t="shared" si="14"/>
        <v/>
      </c>
      <c r="J188" s="19" t="str">
        <f t="shared" si="16"/>
        <v/>
      </c>
      <c r="K188" s="20"/>
      <c r="L188" s="21" t="str">
        <f>IF(OR(NOT(AND($B188&lt;&gt;"",$C188&lt;&gt;"",$D188&lt;&gt;"",$E188&lt;&gt;"")),$A188="",$K188&lt;&gt;"Yes"),"",IF($L188&lt;&gt;"",$L188,INDEX(SETUP!$I$1:$I$2000,MATCH(TRUE,SETUP!$J$1:$J$2000,0)+COUNTIFS($A$2:$A188,"&lt;&gt;",$K$2:$K188,"Yes",$L$2:$L188,"")-1)))</f>
        <v/>
      </c>
      <c r="N188" s="22"/>
    </row>
    <row r="189" spans="1:14" x14ac:dyDescent="0.3">
      <c r="A189" s="15" t="str">
        <f>IF(COUNTA($B189:$E189,$K189)=0,"",IF(AND($B189&lt;&gt;"",$C189&lt;&gt;"",$D189&lt;&gt;"",$E189&lt;&gt;""),"TXS"&amp;TEXT(COUNTIFS($B$2:$B189,"&lt;&gt;",$C$2:$C189,"&lt;&gt;",$D$2:$D189,"&lt;&gt;",$E$2:$E189,"&lt;&gt;"),"00000"),""))</f>
        <v/>
      </c>
      <c r="B189" s="16"/>
      <c r="C189" s="20"/>
      <c r="D189" s="20"/>
      <c r="E189" s="23"/>
      <c r="H189" s="19" t="str">
        <f t="shared" si="15"/>
        <v/>
      </c>
      <c r="I189" s="19" t="str">
        <f t="shared" si="14"/>
        <v/>
      </c>
      <c r="J189" s="19" t="str">
        <f t="shared" si="16"/>
        <v/>
      </c>
      <c r="K189" s="20"/>
      <c r="L189" s="21" t="str">
        <f>IF(OR(NOT(AND($B189&lt;&gt;"",$C189&lt;&gt;"",$D189&lt;&gt;"",$E189&lt;&gt;"")),$A189="",$K189&lt;&gt;"Yes"),"",IF($L189&lt;&gt;"",$L189,INDEX(SETUP!$I$1:$I$2000,MATCH(TRUE,SETUP!$J$1:$J$2000,0)+COUNTIFS($A$2:$A189,"&lt;&gt;",$K$2:$K189,"Yes",$L$2:$L189,"")-1)))</f>
        <v/>
      </c>
      <c r="N189" s="22"/>
    </row>
    <row r="190" spans="1:14" x14ac:dyDescent="0.3">
      <c r="A190" s="15" t="str">
        <f>IF(COUNTA($B190:$E190,$K190)=0,"",IF(AND($B190&lt;&gt;"",$C190&lt;&gt;"",$D190&lt;&gt;"",$E190&lt;&gt;""),"TXS"&amp;TEXT(COUNTIFS($B$2:$B190,"&lt;&gt;",$C$2:$C190,"&lt;&gt;",$D$2:$D190,"&lt;&gt;",$E$2:$E190,"&lt;&gt;"),"00000"),""))</f>
        <v/>
      </c>
      <c r="B190" s="16"/>
      <c r="C190" s="20"/>
      <c r="D190" s="20"/>
      <c r="E190" s="23"/>
      <c r="H190" s="19" t="str">
        <f t="shared" si="15"/>
        <v/>
      </c>
      <c r="I190" s="19" t="str">
        <f t="shared" si="14"/>
        <v/>
      </c>
      <c r="J190" s="19" t="str">
        <f t="shared" si="16"/>
        <v/>
      </c>
      <c r="K190" s="20"/>
      <c r="L190" s="21" t="str">
        <f>IF(OR(NOT(AND($B190&lt;&gt;"",$C190&lt;&gt;"",$D190&lt;&gt;"",$E190&lt;&gt;"")),$A190="",$K190&lt;&gt;"Yes"),"",IF($L190&lt;&gt;"",$L190,INDEX(SETUP!$I$1:$I$2000,MATCH(TRUE,SETUP!$J$1:$J$2000,0)+COUNTIFS($A$2:$A190,"&lt;&gt;",$K$2:$K190,"Yes",$L$2:$L190,"")-1)))</f>
        <v/>
      </c>
      <c r="N190" s="22"/>
    </row>
    <row r="191" spans="1:14" x14ac:dyDescent="0.3">
      <c r="A191" s="15" t="str">
        <f>IF(COUNTA($B191:$E191,$K191)=0,"",IF(AND($B191&lt;&gt;"",$C191&lt;&gt;"",$D191&lt;&gt;"",$E191&lt;&gt;""),"TXS"&amp;TEXT(COUNTIFS($B$2:$B191,"&lt;&gt;",$C$2:$C191,"&lt;&gt;",$D$2:$D191,"&lt;&gt;",$E$2:$E191,"&lt;&gt;"),"00000"),""))</f>
        <v/>
      </c>
      <c r="B191" s="16"/>
      <c r="C191" s="20"/>
      <c r="D191" s="20"/>
      <c r="E191" s="23"/>
      <c r="H191" s="19" t="str">
        <f t="shared" si="15"/>
        <v/>
      </c>
      <c r="I191" s="19" t="str">
        <f t="shared" si="14"/>
        <v/>
      </c>
      <c r="J191" s="19" t="str">
        <f t="shared" si="16"/>
        <v/>
      </c>
      <c r="K191" s="20"/>
      <c r="L191" s="21" t="str">
        <f>IF(OR(NOT(AND($B191&lt;&gt;"",$C191&lt;&gt;"",$D191&lt;&gt;"",$E191&lt;&gt;"")),$A191="",$K191&lt;&gt;"Yes"),"",IF($L191&lt;&gt;"",$L191,INDEX(SETUP!$I$1:$I$2000,MATCH(TRUE,SETUP!$J$1:$J$2000,0)+COUNTIFS($A$2:$A191,"&lt;&gt;",$K$2:$K191,"Yes",$L$2:$L191,"")-1)))</f>
        <v/>
      </c>
      <c r="N191" s="22"/>
    </row>
    <row r="192" spans="1:14" x14ac:dyDescent="0.3">
      <c r="A192" s="15" t="str">
        <f>IF(COUNTA($B192:$E192,$K192)=0,"",IF(AND($B192&lt;&gt;"",$C192&lt;&gt;"",$D192&lt;&gt;"",$E192&lt;&gt;""),"TXS"&amp;TEXT(COUNTIFS($B$2:$B192,"&lt;&gt;",$C$2:$C192,"&lt;&gt;",$D$2:$D192,"&lt;&gt;",$E$2:$E192,"&lt;&gt;"),"00000"),""))</f>
        <v/>
      </c>
      <c r="B192" s="16"/>
      <c r="C192" s="20"/>
      <c r="D192" s="20"/>
      <c r="E192" s="23"/>
      <c r="H192" s="19" t="str">
        <f t="shared" si="15"/>
        <v/>
      </c>
      <c r="I192" s="19" t="str">
        <f t="shared" si="14"/>
        <v/>
      </c>
      <c r="J192" s="19" t="str">
        <f t="shared" si="16"/>
        <v/>
      </c>
      <c r="K192" s="20"/>
      <c r="L192" s="21" t="str">
        <f>IF(OR(NOT(AND($B192&lt;&gt;"",$C192&lt;&gt;"",$D192&lt;&gt;"",$E192&lt;&gt;"")),$A192="",$K192&lt;&gt;"Yes"),"",IF($L192&lt;&gt;"",$L192,INDEX(SETUP!$I$1:$I$2000,MATCH(TRUE,SETUP!$J$1:$J$2000,0)+COUNTIFS($A$2:$A192,"&lt;&gt;",$K$2:$K192,"Yes",$L$2:$L192,"")-1)))</f>
        <v/>
      </c>
      <c r="N192" s="22"/>
    </row>
    <row r="193" spans="1:14" x14ac:dyDescent="0.3">
      <c r="A193" s="15" t="str">
        <f>IF(COUNTA($B193:$E193,$K193)=0,"",IF(AND($B193&lt;&gt;"",$C193&lt;&gt;"",$D193&lt;&gt;"",$E193&lt;&gt;""),"TXS"&amp;TEXT(COUNTIFS($B$2:$B193,"&lt;&gt;",$C$2:$C193,"&lt;&gt;",$D$2:$D193,"&lt;&gt;",$E$2:$E193,"&lt;&gt;"),"00000"),""))</f>
        <v/>
      </c>
      <c r="B193" s="16"/>
      <c r="C193" s="20"/>
      <c r="D193" s="20"/>
      <c r="E193" s="23"/>
      <c r="H193" s="19" t="str">
        <f t="shared" si="15"/>
        <v/>
      </c>
      <c r="I193" s="19" t="str">
        <f t="shared" si="14"/>
        <v/>
      </c>
      <c r="J193" s="19" t="str">
        <f t="shared" si="16"/>
        <v/>
      </c>
      <c r="K193" s="20"/>
      <c r="L193" s="21" t="str">
        <f>IF(OR(NOT(AND($B193&lt;&gt;"",$C193&lt;&gt;"",$D193&lt;&gt;"",$E193&lt;&gt;"")),$A193="",$K193&lt;&gt;"Yes"),"",IF($L193&lt;&gt;"",$L193,INDEX(SETUP!$I$1:$I$2000,MATCH(TRUE,SETUP!$J$1:$J$2000,0)+COUNTIFS($A$2:$A193,"&lt;&gt;",$K$2:$K193,"Yes",$L$2:$L193,"")-1)))</f>
        <v/>
      </c>
      <c r="N193" s="22"/>
    </row>
    <row r="194" spans="1:14" x14ac:dyDescent="0.3">
      <c r="A194" s="15" t="str">
        <f>IF(COUNTA($B194:$E194,$K194)=0,"",IF(AND($B194&lt;&gt;"",$C194&lt;&gt;"",$D194&lt;&gt;"",$E194&lt;&gt;""),"TXS"&amp;TEXT(COUNTIFS($B$2:$B194,"&lt;&gt;",$C$2:$C194,"&lt;&gt;",$D$2:$D194,"&lt;&gt;",$E$2:$E194,"&lt;&gt;"),"00000"),""))</f>
        <v/>
      </c>
      <c r="B194" s="16"/>
      <c r="C194" s="20"/>
      <c r="D194" s="20"/>
      <c r="E194" s="23"/>
      <c r="H194" s="19" t="str">
        <f t="shared" si="15"/>
        <v/>
      </c>
      <c r="I194" s="19" t="str">
        <f t="shared" si="14"/>
        <v/>
      </c>
      <c r="J194" s="19" t="str">
        <f t="shared" si="16"/>
        <v/>
      </c>
      <c r="K194" s="20"/>
      <c r="L194" s="21" t="str">
        <f>IF(OR(NOT(AND($B194&lt;&gt;"",$C194&lt;&gt;"",$D194&lt;&gt;"",$E194&lt;&gt;"")),$A194="",$K194&lt;&gt;"Yes"),"",IF($L194&lt;&gt;"",$L194,INDEX(SETUP!$I$1:$I$2000,MATCH(TRUE,SETUP!$J$1:$J$2000,0)+COUNTIFS($A$2:$A194,"&lt;&gt;",$K$2:$K194,"Yes",$L$2:$L194,"")-1)))</f>
        <v/>
      </c>
      <c r="N194" s="22"/>
    </row>
    <row r="195" spans="1:14" x14ac:dyDescent="0.3">
      <c r="A195" s="15" t="str">
        <f>IF(COUNTA($B195:$E195,$K195)=0,"",IF(AND($B195&lt;&gt;"",$C195&lt;&gt;"",$D195&lt;&gt;"",$E195&lt;&gt;""),"TXS"&amp;TEXT(COUNTIFS($B$2:$B195,"&lt;&gt;",$C$2:$C195,"&lt;&gt;",$D$2:$D195,"&lt;&gt;",$E$2:$E195,"&lt;&gt;"),"00000"),""))</f>
        <v/>
      </c>
      <c r="B195" s="16"/>
      <c r="C195" s="20"/>
      <c r="D195" s="20"/>
      <c r="E195" s="23"/>
      <c r="H195" s="19" t="str">
        <f t="shared" si="15"/>
        <v/>
      </c>
      <c r="I195" s="19" t="str">
        <f t="shared" si="14"/>
        <v/>
      </c>
      <c r="J195" s="19" t="str">
        <f t="shared" si="16"/>
        <v/>
      </c>
      <c r="K195" s="20"/>
      <c r="L195" s="21" t="str">
        <f>IF(OR(NOT(AND($B195&lt;&gt;"",$C195&lt;&gt;"",$D195&lt;&gt;"",$E195&lt;&gt;"")),$A195="",$K195&lt;&gt;"Yes"),"",IF($L195&lt;&gt;"",$L195,INDEX(SETUP!$I$1:$I$2000,MATCH(TRUE,SETUP!$J$1:$J$2000,0)+COUNTIFS($A$2:$A195,"&lt;&gt;",$K$2:$K195,"Yes",$L$2:$L195,"")-1)))</f>
        <v/>
      </c>
      <c r="N195" s="22"/>
    </row>
    <row r="196" spans="1:14" x14ac:dyDescent="0.3">
      <c r="A196" s="15" t="str">
        <f>IF(COUNTA($B196:$E196,$K196)=0,"",IF(AND($B196&lt;&gt;"",$C196&lt;&gt;"",$D196&lt;&gt;"",$E196&lt;&gt;""),"TXS"&amp;TEXT(COUNTIFS($B$2:$B196,"&lt;&gt;",$C$2:$C196,"&lt;&gt;",$D$2:$D196,"&lt;&gt;",$E$2:$E196,"&lt;&gt;"),"00000"),""))</f>
        <v/>
      </c>
      <c r="B196" s="16"/>
      <c r="C196" s="20"/>
      <c r="D196" s="20"/>
      <c r="E196" s="23"/>
      <c r="H196" s="19" t="str">
        <f t="shared" si="15"/>
        <v/>
      </c>
      <c r="I196" s="19" t="str">
        <f t="shared" si="14"/>
        <v/>
      </c>
      <c r="J196" s="19" t="str">
        <f t="shared" si="16"/>
        <v/>
      </c>
      <c r="K196" s="20"/>
      <c r="L196" s="21" t="str">
        <f>IF(OR(NOT(AND($B196&lt;&gt;"",$C196&lt;&gt;"",$D196&lt;&gt;"",$E196&lt;&gt;"")),$A196="",$K196&lt;&gt;"Yes"),"",IF($L196&lt;&gt;"",$L196,INDEX(SETUP!$I$1:$I$2000,MATCH(TRUE,SETUP!$J$1:$J$2000,0)+COUNTIFS($A$2:$A196,"&lt;&gt;",$K$2:$K196,"Yes",$L$2:$L196,"")-1)))</f>
        <v/>
      </c>
      <c r="N196" s="22"/>
    </row>
    <row r="197" spans="1:14" x14ac:dyDescent="0.3">
      <c r="A197" s="15" t="str">
        <f>IF(COUNTA($B197:$E197,$K197)=0,"",IF(AND($B197&lt;&gt;"",$C197&lt;&gt;"",$D197&lt;&gt;"",$E197&lt;&gt;""),"TXS"&amp;TEXT(COUNTIFS($B$2:$B197,"&lt;&gt;",$C$2:$C197,"&lt;&gt;",$D$2:$D197,"&lt;&gt;",$E$2:$E197,"&lt;&gt;"),"00000"),""))</f>
        <v/>
      </c>
      <c r="B197" s="16"/>
      <c r="C197" s="20"/>
      <c r="D197" s="20"/>
      <c r="E197" s="23"/>
      <c r="H197" s="19" t="str">
        <f t="shared" si="15"/>
        <v/>
      </c>
      <c r="I197" s="19" t="str">
        <f t="shared" si="14"/>
        <v/>
      </c>
      <c r="J197" s="19" t="str">
        <f t="shared" si="16"/>
        <v/>
      </c>
      <c r="K197" s="20"/>
      <c r="L197" s="21" t="str">
        <f>IF(OR(NOT(AND($B197&lt;&gt;"",$C197&lt;&gt;"",$D197&lt;&gt;"",$E197&lt;&gt;"")),$A197="",$K197&lt;&gt;"Yes"),"",IF($L197&lt;&gt;"",$L197,INDEX(SETUP!$I$1:$I$2000,MATCH(TRUE,SETUP!$J$1:$J$2000,0)+COUNTIFS($A$2:$A197,"&lt;&gt;",$K$2:$K197,"Yes",$L$2:$L197,"")-1)))</f>
        <v/>
      </c>
      <c r="N197" s="22"/>
    </row>
    <row r="198" spans="1:14" x14ac:dyDescent="0.3">
      <c r="A198" s="15" t="str">
        <f>IF(COUNTA($B198:$E198,$K198)=0,"",IF(AND($B198&lt;&gt;"",$C198&lt;&gt;"",$D198&lt;&gt;"",$E198&lt;&gt;""),"TXS"&amp;TEXT(COUNTIFS($B$2:$B198,"&lt;&gt;",$C$2:$C198,"&lt;&gt;",$D$2:$D198,"&lt;&gt;",$E$2:$E198,"&lt;&gt;"),"00000"),""))</f>
        <v/>
      </c>
      <c r="B198" s="16"/>
      <c r="C198" s="20"/>
      <c r="D198" s="20"/>
      <c r="E198" s="23"/>
      <c r="H198" s="19" t="str">
        <f t="shared" si="15"/>
        <v/>
      </c>
      <c r="I198" s="19" t="str">
        <f t="shared" si="14"/>
        <v/>
      </c>
      <c r="J198" s="19" t="str">
        <f t="shared" si="16"/>
        <v/>
      </c>
      <c r="K198" s="20"/>
      <c r="L198" s="21" t="str">
        <f>IF(OR(NOT(AND($B198&lt;&gt;"",$C198&lt;&gt;"",$D198&lt;&gt;"",$E198&lt;&gt;"")),$A198="",$K198&lt;&gt;"Yes"),"",IF($L198&lt;&gt;"",$L198,INDEX(SETUP!$I$1:$I$2000,MATCH(TRUE,SETUP!$J$1:$J$2000,0)+COUNTIFS($A$2:$A198,"&lt;&gt;",$K$2:$K198,"Yes",$L$2:$L198,"")-1)))</f>
        <v/>
      </c>
      <c r="N198" s="22"/>
    </row>
    <row r="199" spans="1:14" x14ac:dyDescent="0.3">
      <c r="A199" s="15" t="str">
        <f>IF(COUNTA($B199:$E199,$K199)=0,"",IF(AND($B199&lt;&gt;"",$C199&lt;&gt;"",$D199&lt;&gt;"",$E199&lt;&gt;""),"TXS"&amp;TEXT(COUNTIFS($B$2:$B199,"&lt;&gt;",$C$2:$C199,"&lt;&gt;",$D$2:$D199,"&lt;&gt;",$E$2:$E199,"&lt;&gt;"),"00000"),""))</f>
        <v/>
      </c>
      <c r="B199" s="16"/>
      <c r="C199" s="20"/>
      <c r="D199" s="20"/>
      <c r="E199" s="23"/>
      <c r="H199" s="19" t="str">
        <f t="shared" si="15"/>
        <v/>
      </c>
      <c r="I199" s="19" t="str">
        <f t="shared" si="14"/>
        <v/>
      </c>
      <c r="J199" s="19" t="str">
        <f t="shared" si="16"/>
        <v/>
      </c>
      <c r="K199" s="20"/>
      <c r="L199" s="21" t="str">
        <f>IF(OR(NOT(AND($B199&lt;&gt;"",$C199&lt;&gt;"",$D199&lt;&gt;"",$E199&lt;&gt;"")),$A199="",$K199&lt;&gt;"Yes"),"",IF($L199&lt;&gt;"",$L199,INDEX(SETUP!$I$1:$I$2000,MATCH(TRUE,SETUP!$J$1:$J$2000,0)+COUNTIFS($A$2:$A199,"&lt;&gt;",$K$2:$K199,"Yes",$L$2:$L199,"")-1)))</f>
        <v/>
      </c>
      <c r="N199" s="22"/>
    </row>
    <row r="200" spans="1:14" x14ac:dyDescent="0.3">
      <c r="A200" s="15" t="str">
        <f>IF(COUNTA($B200:$E200,$K200)=0,"",IF(AND($B200&lt;&gt;"",$C200&lt;&gt;"",$D200&lt;&gt;"",$E200&lt;&gt;""),"TXS"&amp;TEXT(COUNTIFS($B$2:$B200,"&lt;&gt;",$C$2:$C200,"&lt;&gt;",$D$2:$D200,"&lt;&gt;",$E$2:$E200,"&lt;&gt;"),"00000"),""))</f>
        <v/>
      </c>
      <c r="B200" s="16"/>
      <c r="C200" s="20"/>
      <c r="D200" s="20"/>
      <c r="E200" s="23"/>
      <c r="H200" s="19" t="str">
        <f t="shared" si="15"/>
        <v/>
      </c>
      <c r="I200" s="19" t="str">
        <f t="shared" si="14"/>
        <v/>
      </c>
      <c r="J200" s="19" t="str">
        <f t="shared" si="16"/>
        <v/>
      </c>
      <c r="K200" s="20"/>
      <c r="L200" s="21" t="str">
        <f>IF(OR(NOT(AND($B200&lt;&gt;"",$C200&lt;&gt;"",$D200&lt;&gt;"",$E200&lt;&gt;"")),$A200="",$K200&lt;&gt;"Yes"),"",IF($L200&lt;&gt;"",$L200,INDEX(SETUP!$I$1:$I$2000,MATCH(TRUE,SETUP!$J$1:$J$2000,0)+COUNTIFS($A$2:$A200,"&lt;&gt;",$K$2:$K200,"Yes",$L$2:$L200,"")-1)))</f>
        <v/>
      </c>
      <c r="N200" s="22"/>
    </row>
    <row r="201" spans="1:14" x14ac:dyDescent="0.3">
      <c r="A201" s="15" t="str">
        <f>IF(COUNTA($B201:$E201,$K201)=0,"",IF(AND($B201&lt;&gt;"",$C201&lt;&gt;"",$D201&lt;&gt;"",$E201&lt;&gt;""),"TXS"&amp;TEXT(COUNTIFS($B$2:$B201,"&lt;&gt;",$C$2:$C201,"&lt;&gt;",$D$2:$D201,"&lt;&gt;",$E$2:$E201,"&lt;&gt;"),"00000"),""))</f>
        <v/>
      </c>
      <c r="B201" s="16"/>
      <c r="C201" s="20"/>
      <c r="D201" s="20"/>
      <c r="E201" s="23"/>
      <c r="H201" s="19" t="str">
        <f t="shared" si="15"/>
        <v/>
      </c>
      <c r="I201" s="19" t="str">
        <f t="shared" si="14"/>
        <v/>
      </c>
      <c r="J201" s="19" t="str">
        <f t="shared" si="16"/>
        <v/>
      </c>
      <c r="K201" s="20"/>
      <c r="L201" s="21" t="str">
        <f>IF(OR(NOT(AND($B201&lt;&gt;"",$C201&lt;&gt;"",$D201&lt;&gt;"",$E201&lt;&gt;"")),$A201="",$K201&lt;&gt;"Yes"),"",IF($L201&lt;&gt;"",$L201,INDEX(SETUP!$I$1:$I$2000,MATCH(TRUE,SETUP!$J$1:$J$2000,0)+COUNTIFS($A$2:$A201,"&lt;&gt;",$K$2:$K201,"Yes",$L$2:$L201,"")-1)))</f>
        <v/>
      </c>
      <c r="N201" s="22"/>
    </row>
    <row r="202" spans="1:14" x14ac:dyDescent="0.3">
      <c r="A202" s="15" t="str">
        <f>IF(COUNTA($B202:$E202,$K202)=0,"",IF(AND($B202&lt;&gt;"",$C202&lt;&gt;"",$D202&lt;&gt;"",$E202&lt;&gt;""),"TXS"&amp;TEXT(COUNTIFS($B$2:$B202,"&lt;&gt;",$C$2:$C202,"&lt;&gt;",$D$2:$D202,"&lt;&gt;",$E$2:$E202,"&lt;&gt;"),"00000"),""))</f>
        <v/>
      </c>
      <c r="B202" s="16"/>
      <c r="C202" s="20"/>
      <c r="D202" s="20"/>
      <c r="E202" s="23"/>
      <c r="H202" s="19" t="str">
        <f t="shared" si="15"/>
        <v/>
      </c>
      <c r="I202" s="19" t="str">
        <f t="shared" si="14"/>
        <v/>
      </c>
      <c r="J202" s="19" t="str">
        <f t="shared" si="16"/>
        <v/>
      </c>
      <c r="K202" s="20"/>
      <c r="L202" s="21" t="str">
        <f>IF(OR(NOT(AND($B202&lt;&gt;"",$C202&lt;&gt;"",$D202&lt;&gt;"",$E202&lt;&gt;"")),$A202="",$K202&lt;&gt;"Yes"),"",IF($L202&lt;&gt;"",$L202,INDEX(SETUP!$I$1:$I$2000,MATCH(TRUE,SETUP!$J$1:$J$2000,0)+COUNTIFS($A$2:$A202,"&lt;&gt;",$K$2:$K202,"Yes",$L$2:$L202,"")-1)))</f>
        <v/>
      </c>
      <c r="N202" s="22"/>
    </row>
    <row r="203" spans="1:14" x14ac:dyDescent="0.3">
      <c r="A203" s="15" t="str">
        <f>IF(COUNTA($B203:$E203,$K203)=0,"",IF(AND($B203&lt;&gt;"",$C203&lt;&gt;"",$D203&lt;&gt;"",$E203&lt;&gt;""),"TXS"&amp;TEXT(COUNTIFS($B$2:$B203,"&lt;&gt;",$C$2:$C203,"&lt;&gt;",$D$2:$D203,"&lt;&gt;",$E$2:$E203,"&lt;&gt;"),"00000"),""))</f>
        <v/>
      </c>
      <c r="B203" s="16"/>
      <c r="C203" s="20"/>
      <c r="D203" s="20"/>
      <c r="E203" s="23"/>
      <c r="H203" s="19" t="str">
        <f t="shared" si="15"/>
        <v/>
      </c>
      <c r="I203" s="19" t="str">
        <f t="shared" si="14"/>
        <v/>
      </c>
      <c r="J203" s="19" t="str">
        <f t="shared" si="16"/>
        <v/>
      </c>
      <c r="K203" s="20"/>
      <c r="L203" s="21" t="str">
        <f>IF(OR(NOT(AND($B203&lt;&gt;"",$C203&lt;&gt;"",$D203&lt;&gt;"",$E203&lt;&gt;"")),$A203="",$K203&lt;&gt;"Yes"),"",IF($L203&lt;&gt;"",$L203,INDEX(SETUP!$I$1:$I$2000,MATCH(TRUE,SETUP!$J$1:$J$2000,0)+COUNTIFS($A$2:$A203,"&lt;&gt;",$K$2:$K203,"Yes",$L$2:$L203,"")-1)))</f>
        <v/>
      </c>
      <c r="N203" s="22"/>
    </row>
    <row r="204" spans="1:14" x14ac:dyDescent="0.3">
      <c r="A204" s="15" t="str">
        <f>IF(COUNTA($B204:$E204,$K204)=0,"",IF(AND($B204&lt;&gt;"",$C204&lt;&gt;"",$D204&lt;&gt;"",$E204&lt;&gt;""),"TXS"&amp;TEXT(COUNTIFS($B$2:$B204,"&lt;&gt;",$C$2:$C204,"&lt;&gt;",$D$2:$D204,"&lt;&gt;",$E$2:$E204,"&lt;&gt;"),"00000"),""))</f>
        <v/>
      </c>
      <c r="B204" s="16"/>
      <c r="C204" s="20"/>
      <c r="D204" s="20"/>
      <c r="E204" s="23"/>
      <c r="H204" s="19" t="str">
        <f t="shared" si="15"/>
        <v/>
      </c>
      <c r="I204" s="19" t="str">
        <f t="shared" si="14"/>
        <v/>
      </c>
      <c r="J204" s="19" t="str">
        <f t="shared" si="16"/>
        <v/>
      </c>
      <c r="K204" s="20"/>
      <c r="L204" s="21" t="str">
        <f>IF(OR(NOT(AND($B204&lt;&gt;"",$C204&lt;&gt;"",$D204&lt;&gt;"",$E204&lt;&gt;"")),$A204="",$K204&lt;&gt;"Yes"),"",IF($L204&lt;&gt;"",$L204,INDEX(SETUP!$I$1:$I$2000,MATCH(TRUE,SETUP!$J$1:$J$2000,0)+COUNTIFS($A$2:$A204,"&lt;&gt;",$K$2:$K204,"Yes",$L$2:$L204,"")-1)))</f>
        <v/>
      </c>
      <c r="N204" s="22"/>
    </row>
    <row r="205" spans="1:14" x14ac:dyDescent="0.3">
      <c r="A205" s="15" t="str">
        <f>IF(COUNTA($B205:$E205,$K205)=0,"",IF(AND($B205&lt;&gt;"",$C205&lt;&gt;"",$D205&lt;&gt;"",$E205&lt;&gt;""),"TXS"&amp;TEXT(COUNTIFS($B$2:$B205,"&lt;&gt;",$C$2:$C205,"&lt;&gt;",$D$2:$D205,"&lt;&gt;",$E$2:$E205,"&lt;&gt;"),"00000"),""))</f>
        <v/>
      </c>
      <c r="B205" s="16"/>
      <c r="C205" s="20"/>
      <c r="D205" s="20"/>
      <c r="E205" s="23"/>
      <c r="H205" s="19" t="str">
        <f t="shared" si="15"/>
        <v/>
      </c>
      <c r="I205" s="19" t="str">
        <f t="shared" si="14"/>
        <v/>
      </c>
      <c r="J205" s="19" t="str">
        <f t="shared" si="16"/>
        <v/>
      </c>
      <c r="K205" s="20"/>
      <c r="L205" s="21" t="str">
        <f>IF(OR(NOT(AND($B205&lt;&gt;"",$C205&lt;&gt;"",$D205&lt;&gt;"",$E205&lt;&gt;"")),$A205="",$K205&lt;&gt;"Yes"),"",IF($L205&lt;&gt;"",$L205,INDEX(SETUP!$I$1:$I$2000,MATCH(TRUE,SETUP!$J$1:$J$2000,0)+COUNTIFS($A$2:$A205,"&lt;&gt;",$K$2:$K205,"Yes",$L$2:$L205,"")-1)))</f>
        <v/>
      </c>
      <c r="N205" s="22"/>
    </row>
    <row r="206" spans="1:14" x14ac:dyDescent="0.3">
      <c r="A206" s="15" t="str">
        <f>IF(COUNTA($B206:$E206,$K206)=0,"",IF(AND($B206&lt;&gt;"",$C206&lt;&gt;"",$D206&lt;&gt;"",$E206&lt;&gt;""),"TXS"&amp;TEXT(COUNTIFS($B$2:$B206,"&lt;&gt;",$C$2:$C206,"&lt;&gt;",$D$2:$D206,"&lt;&gt;",$E$2:$E206,"&lt;&gt;"),"00000"),""))</f>
        <v/>
      </c>
      <c r="B206" s="16"/>
      <c r="C206" s="20"/>
      <c r="D206" s="20"/>
      <c r="E206" s="23"/>
      <c r="H206" s="19" t="str">
        <f t="shared" si="15"/>
        <v/>
      </c>
      <c r="I206" s="19" t="str">
        <f t="shared" si="14"/>
        <v/>
      </c>
      <c r="J206" s="19" t="str">
        <f t="shared" si="16"/>
        <v/>
      </c>
      <c r="K206" s="20"/>
      <c r="L206" s="21" t="str">
        <f>IF(OR(NOT(AND($B206&lt;&gt;"",$C206&lt;&gt;"",$D206&lt;&gt;"",$E206&lt;&gt;"")),$A206="",$K206&lt;&gt;"Yes"),"",IF($L206&lt;&gt;"",$L206,INDEX(SETUP!$I$1:$I$2000,MATCH(TRUE,SETUP!$J$1:$J$2000,0)+COUNTIFS($A$2:$A206,"&lt;&gt;",$K$2:$K206,"Yes",$L$2:$L206,"")-1)))</f>
        <v/>
      </c>
      <c r="N206" s="22"/>
    </row>
    <row r="207" spans="1:14" x14ac:dyDescent="0.3">
      <c r="A207" s="15" t="str">
        <f>IF(COUNTA($B207:$E207,$K207)=0,"",IF(AND($B207&lt;&gt;"",$C207&lt;&gt;"",$D207&lt;&gt;"",$E207&lt;&gt;""),"TXS"&amp;TEXT(COUNTIFS($B$2:$B207,"&lt;&gt;",$C$2:$C207,"&lt;&gt;",$D$2:$D207,"&lt;&gt;",$E$2:$E207,"&lt;&gt;"),"00000"),""))</f>
        <v/>
      </c>
      <c r="B207" s="16"/>
      <c r="C207" s="20"/>
      <c r="D207" s="20"/>
      <c r="E207" s="23"/>
      <c r="H207" s="19" t="str">
        <f t="shared" si="15"/>
        <v/>
      </c>
      <c r="I207" s="19" t="str">
        <f t="shared" si="14"/>
        <v/>
      </c>
      <c r="J207" s="19" t="str">
        <f t="shared" si="16"/>
        <v/>
      </c>
      <c r="K207" s="20"/>
      <c r="L207" s="21" t="str">
        <f>IF(OR(NOT(AND($B207&lt;&gt;"",$C207&lt;&gt;"",$D207&lt;&gt;"",$E207&lt;&gt;"")),$A207="",$K207&lt;&gt;"Yes"),"",IF($L207&lt;&gt;"",$L207,INDEX(SETUP!$I$1:$I$2000,MATCH(TRUE,SETUP!$J$1:$J$2000,0)+COUNTIFS($A$2:$A207,"&lt;&gt;",$K$2:$K207,"Yes",$L$2:$L207,"")-1)))</f>
        <v/>
      </c>
      <c r="N207" s="22"/>
    </row>
    <row r="208" spans="1:14" x14ac:dyDescent="0.3">
      <c r="A208" s="15" t="str">
        <f>IF(COUNTA($B208:$E208,$K208)=0,"",IF(AND($B208&lt;&gt;"",$C208&lt;&gt;"",$D208&lt;&gt;"",$E208&lt;&gt;""),"TXS"&amp;TEXT(COUNTIFS($B$2:$B208,"&lt;&gt;",$C$2:$C208,"&lt;&gt;",$D$2:$D208,"&lt;&gt;",$E$2:$E208,"&lt;&gt;"),"00000"),""))</f>
        <v/>
      </c>
      <c r="B208" s="16"/>
      <c r="C208" s="20"/>
      <c r="D208" s="20"/>
      <c r="E208" s="23"/>
      <c r="H208" s="19" t="str">
        <f t="shared" si="15"/>
        <v/>
      </c>
      <c r="I208" s="19" t="str">
        <f t="shared" si="14"/>
        <v/>
      </c>
      <c r="J208" s="19" t="str">
        <f t="shared" si="16"/>
        <v/>
      </c>
      <c r="K208" s="20"/>
      <c r="L208" s="21" t="str">
        <f>IF(OR(NOT(AND($B208&lt;&gt;"",$C208&lt;&gt;"",$D208&lt;&gt;"",$E208&lt;&gt;"")),$A208="",$K208&lt;&gt;"Yes"),"",IF($L208&lt;&gt;"",$L208,INDEX(SETUP!$I$1:$I$2000,MATCH(TRUE,SETUP!$J$1:$J$2000,0)+COUNTIFS($A$2:$A208,"&lt;&gt;",$K$2:$K208,"Yes",$L$2:$L208,"")-1)))</f>
        <v/>
      </c>
      <c r="N208" s="22"/>
    </row>
    <row r="209" spans="1:14" x14ac:dyDescent="0.3">
      <c r="A209" s="15" t="str">
        <f>IF(COUNTA($B209:$E209,$K209)=0,"",IF(AND($B209&lt;&gt;"",$C209&lt;&gt;"",$D209&lt;&gt;"",$E209&lt;&gt;""),"TXS"&amp;TEXT(COUNTIFS($B$2:$B209,"&lt;&gt;",$C$2:$C209,"&lt;&gt;",$D$2:$D209,"&lt;&gt;",$E$2:$E209,"&lt;&gt;"),"00000"),""))</f>
        <v/>
      </c>
      <c r="B209" s="16"/>
      <c r="C209" s="20"/>
      <c r="D209" s="20"/>
      <c r="E209" s="23"/>
      <c r="H209" s="19" t="str">
        <f t="shared" si="15"/>
        <v/>
      </c>
      <c r="I209" s="19" t="str">
        <f t="shared" si="14"/>
        <v/>
      </c>
      <c r="J209" s="19" t="str">
        <f t="shared" si="16"/>
        <v/>
      </c>
      <c r="K209" s="20"/>
      <c r="L209" s="21" t="str">
        <f>IF(OR(NOT(AND($B209&lt;&gt;"",$C209&lt;&gt;"",$D209&lt;&gt;"",$E209&lt;&gt;"")),$A209="",$K209&lt;&gt;"Yes"),"",IF($L209&lt;&gt;"",$L209,INDEX(SETUP!$I$1:$I$2000,MATCH(TRUE,SETUP!$J$1:$J$2000,0)+COUNTIFS($A$2:$A209,"&lt;&gt;",$K$2:$K209,"Yes",$L$2:$L209,"")-1)))</f>
        <v/>
      </c>
      <c r="N209" s="22"/>
    </row>
    <row r="210" spans="1:14" x14ac:dyDescent="0.3">
      <c r="A210" s="15" t="str">
        <f>IF(COUNTA($B210:$E210,$K210)=0,"",IF(AND($B210&lt;&gt;"",$C210&lt;&gt;"",$D210&lt;&gt;"",$E210&lt;&gt;""),"TXS"&amp;TEXT(COUNTIFS($B$2:$B210,"&lt;&gt;",$C$2:$C210,"&lt;&gt;",$D$2:$D210,"&lt;&gt;",$E$2:$E210,"&lt;&gt;"),"00000"),""))</f>
        <v/>
      </c>
      <c r="B210" s="16"/>
      <c r="C210" s="20"/>
      <c r="D210" s="20"/>
      <c r="E210" s="23"/>
      <c r="H210" s="19" t="str">
        <f t="shared" si="15"/>
        <v/>
      </c>
      <c r="I210" s="19" t="str">
        <f t="shared" si="14"/>
        <v/>
      </c>
      <c r="J210" s="19" t="str">
        <f t="shared" si="16"/>
        <v/>
      </c>
      <c r="K210" s="20"/>
      <c r="L210" s="21" t="str">
        <f>IF(OR(NOT(AND($B210&lt;&gt;"",$C210&lt;&gt;"",$D210&lt;&gt;"",$E210&lt;&gt;"")),$A210="",$K210&lt;&gt;"Yes"),"",IF($L210&lt;&gt;"",$L210,INDEX(SETUP!$I$1:$I$2000,MATCH(TRUE,SETUP!$J$1:$J$2000,0)+COUNTIFS($A$2:$A210,"&lt;&gt;",$K$2:$K210,"Yes",$L$2:$L210,"")-1)))</f>
        <v/>
      </c>
      <c r="N210" s="22"/>
    </row>
    <row r="211" spans="1:14" x14ac:dyDescent="0.3">
      <c r="A211" s="15" t="str">
        <f>IF(COUNTA($B211:$E211,$K211)=0,"",IF(AND($B211&lt;&gt;"",$C211&lt;&gt;"",$D211&lt;&gt;"",$E211&lt;&gt;""),"TXS"&amp;TEXT(COUNTIFS($B$2:$B211,"&lt;&gt;",$C$2:$C211,"&lt;&gt;",$D$2:$D211,"&lt;&gt;",$E$2:$E211,"&lt;&gt;"),"00000"),""))</f>
        <v/>
      </c>
      <c r="B211" s="16"/>
      <c r="C211" s="20"/>
      <c r="D211" s="20"/>
      <c r="E211" s="23"/>
      <c r="H211" s="19" t="str">
        <f t="shared" si="15"/>
        <v/>
      </c>
      <c r="I211" s="19" t="str">
        <f t="shared" si="14"/>
        <v/>
      </c>
      <c r="J211" s="19" t="str">
        <f t="shared" si="16"/>
        <v/>
      </c>
      <c r="K211" s="20"/>
      <c r="L211" s="21" t="str">
        <f>IF(OR(NOT(AND($B211&lt;&gt;"",$C211&lt;&gt;"",$D211&lt;&gt;"",$E211&lt;&gt;"")),$A211="",$K211&lt;&gt;"Yes"),"",IF($L211&lt;&gt;"",$L211,INDEX(SETUP!$I$1:$I$2000,MATCH(TRUE,SETUP!$J$1:$J$2000,0)+COUNTIFS($A$2:$A211,"&lt;&gt;",$K$2:$K211,"Yes",$L$2:$L211,"")-1)))</f>
        <v/>
      </c>
      <c r="N211" s="22"/>
    </row>
    <row r="212" spans="1:14" x14ac:dyDescent="0.3">
      <c r="A212" s="15" t="str">
        <f>IF(COUNTA($B212:$E212,$K212)=0,"",IF(AND($B212&lt;&gt;"",$C212&lt;&gt;"",$D212&lt;&gt;"",$E212&lt;&gt;""),"TXS"&amp;TEXT(COUNTIFS($B$2:$B212,"&lt;&gt;",$C$2:$C212,"&lt;&gt;",$D$2:$D212,"&lt;&gt;",$E$2:$E212,"&lt;&gt;"),"00000"),""))</f>
        <v/>
      </c>
      <c r="B212" s="16"/>
      <c r="C212" s="20"/>
      <c r="D212" s="20"/>
      <c r="E212" s="23"/>
      <c r="H212" s="19" t="str">
        <f t="shared" si="15"/>
        <v/>
      </c>
      <c r="I212" s="19" t="str">
        <f t="shared" si="14"/>
        <v/>
      </c>
      <c r="J212" s="19" t="str">
        <f t="shared" si="16"/>
        <v/>
      </c>
      <c r="K212" s="20"/>
      <c r="L212" s="21" t="str">
        <f>IF(OR(NOT(AND($B212&lt;&gt;"",$C212&lt;&gt;"",$D212&lt;&gt;"",$E212&lt;&gt;"")),$A212="",$K212&lt;&gt;"Yes"),"",IF($L212&lt;&gt;"",$L212,INDEX(SETUP!$I$1:$I$2000,MATCH(TRUE,SETUP!$J$1:$J$2000,0)+COUNTIFS($A$2:$A212,"&lt;&gt;",$K$2:$K212,"Yes",$L$2:$L212,"")-1)))</f>
        <v/>
      </c>
      <c r="N212" s="22"/>
    </row>
    <row r="213" spans="1:14" x14ac:dyDescent="0.3">
      <c r="A213" s="15" t="str">
        <f>IF(COUNTA($B213:$E213,$K213)=0,"",IF(AND($B213&lt;&gt;"",$C213&lt;&gt;"",$D213&lt;&gt;"",$E213&lt;&gt;""),"TXS"&amp;TEXT(COUNTIFS($B$2:$B213,"&lt;&gt;",$C$2:$C213,"&lt;&gt;",$D$2:$D213,"&lt;&gt;",$E$2:$E213,"&lt;&gt;"),"00000"),""))</f>
        <v/>
      </c>
      <c r="B213" s="16"/>
      <c r="C213" s="20"/>
      <c r="D213" s="20"/>
      <c r="E213" s="23"/>
      <c r="H213" s="19" t="str">
        <f t="shared" si="15"/>
        <v/>
      </c>
      <c r="I213" s="19" t="str">
        <f t="shared" si="14"/>
        <v/>
      </c>
      <c r="J213" s="19" t="str">
        <f t="shared" si="16"/>
        <v/>
      </c>
      <c r="K213" s="20"/>
      <c r="L213" s="21" t="str">
        <f>IF(OR(NOT(AND($B213&lt;&gt;"",$C213&lt;&gt;"",$D213&lt;&gt;"",$E213&lt;&gt;"")),$A213="",$K213&lt;&gt;"Yes"),"",IF($L213&lt;&gt;"",$L213,INDEX(SETUP!$I$1:$I$2000,MATCH(TRUE,SETUP!$J$1:$J$2000,0)+COUNTIFS($A$2:$A213,"&lt;&gt;",$K$2:$K213,"Yes",$L$2:$L213,"")-1)))</f>
        <v/>
      </c>
      <c r="N213" s="22"/>
    </row>
    <row r="214" spans="1:14" x14ac:dyDescent="0.3">
      <c r="A214" s="15" t="str">
        <f>IF(COUNTA($B214:$E214,$K214)=0,"",IF(AND($B214&lt;&gt;"",$C214&lt;&gt;"",$D214&lt;&gt;"",$E214&lt;&gt;""),"TXS"&amp;TEXT(COUNTIFS($B$2:$B214,"&lt;&gt;",$C$2:$C214,"&lt;&gt;",$D$2:$D214,"&lt;&gt;",$E$2:$E214,"&lt;&gt;"),"00000"),""))</f>
        <v/>
      </c>
      <c r="B214" s="16"/>
      <c r="C214" s="20"/>
      <c r="D214" s="20"/>
      <c r="E214" s="23"/>
      <c r="H214" s="19" t="str">
        <f t="shared" si="15"/>
        <v/>
      </c>
      <c r="I214" s="19" t="str">
        <f t="shared" si="14"/>
        <v/>
      </c>
      <c r="J214" s="19" t="str">
        <f t="shared" si="16"/>
        <v/>
      </c>
      <c r="K214" s="20"/>
      <c r="L214" s="21" t="str">
        <f>IF(OR(NOT(AND($B214&lt;&gt;"",$C214&lt;&gt;"",$D214&lt;&gt;"",$E214&lt;&gt;"")),$A214="",$K214&lt;&gt;"Yes"),"",IF($L214&lt;&gt;"",$L214,INDEX(SETUP!$I$1:$I$2000,MATCH(TRUE,SETUP!$J$1:$J$2000,0)+COUNTIFS($A$2:$A214,"&lt;&gt;",$K$2:$K214,"Yes",$L$2:$L214,"")-1)))</f>
        <v/>
      </c>
      <c r="N214" s="22"/>
    </row>
    <row r="215" spans="1:14" x14ac:dyDescent="0.3">
      <c r="A215" s="15" t="str">
        <f>IF(COUNTA($B215:$E215,$K215)=0,"",IF(AND($B215&lt;&gt;"",$C215&lt;&gt;"",$D215&lt;&gt;"",$E215&lt;&gt;""),"TXS"&amp;TEXT(COUNTIFS($B$2:$B215,"&lt;&gt;",$C$2:$C215,"&lt;&gt;",$D$2:$D215,"&lt;&gt;",$E$2:$E215,"&lt;&gt;"),"00000"),""))</f>
        <v/>
      </c>
      <c r="B215" s="16"/>
      <c r="C215" s="20"/>
      <c r="D215" s="20"/>
      <c r="E215" s="23"/>
      <c r="H215" s="19" t="str">
        <f t="shared" si="15"/>
        <v/>
      </c>
      <c r="I215" s="19" t="str">
        <f t="shared" si="14"/>
        <v/>
      </c>
      <c r="J215" s="19" t="str">
        <f t="shared" si="16"/>
        <v/>
      </c>
      <c r="K215" s="20"/>
      <c r="L215" s="21" t="str">
        <f>IF(OR(NOT(AND($B215&lt;&gt;"",$C215&lt;&gt;"",$D215&lt;&gt;"",$E215&lt;&gt;"")),$A215="",$K215&lt;&gt;"Yes"),"",IF($L215&lt;&gt;"",$L215,INDEX(SETUP!$I$1:$I$2000,MATCH(TRUE,SETUP!$J$1:$J$2000,0)+COUNTIFS($A$2:$A215,"&lt;&gt;",$K$2:$K215,"Yes",$L$2:$L215,"")-1)))</f>
        <v/>
      </c>
      <c r="N215" s="22"/>
    </row>
    <row r="216" spans="1:14" x14ac:dyDescent="0.3">
      <c r="A216" s="15" t="str">
        <f>IF(COUNTA($B216:$E216,$K216)=0,"",IF(AND($B216&lt;&gt;"",$C216&lt;&gt;"",$D216&lt;&gt;"",$E216&lt;&gt;""),"TXS"&amp;TEXT(COUNTIFS($B$2:$B216,"&lt;&gt;",$C$2:$C216,"&lt;&gt;",$D$2:$D216,"&lt;&gt;",$E$2:$E216,"&lt;&gt;"),"00000"),""))</f>
        <v/>
      </c>
      <c r="B216" s="16"/>
      <c r="C216" s="20"/>
      <c r="D216" s="20"/>
      <c r="E216" s="23"/>
      <c r="H216" s="19" t="str">
        <f t="shared" si="15"/>
        <v/>
      </c>
      <c r="I216" s="19" t="str">
        <f t="shared" si="14"/>
        <v/>
      </c>
      <c r="J216" s="19" t="str">
        <f t="shared" si="16"/>
        <v/>
      </c>
      <c r="K216" s="20"/>
      <c r="L216" s="21" t="str">
        <f>IF(OR(NOT(AND($B216&lt;&gt;"",$C216&lt;&gt;"",$D216&lt;&gt;"",$E216&lt;&gt;"")),$A216="",$K216&lt;&gt;"Yes"),"",IF($L216&lt;&gt;"",$L216,INDEX(SETUP!$I$1:$I$2000,MATCH(TRUE,SETUP!$J$1:$J$2000,0)+COUNTIFS($A$2:$A216,"&lt;&gt;",$K$2:$K216,"Yes",$L$2:$L216,"")-1)))</f>
        <v/>
      </c>
      <c r="N216" s="22"/>
    </row>
    <row r="217" spans="1:14" x14ac:dyDescent="0.3">
      <c r="A217" s="15" t="str">
        <f>IF(COUNTA($B217:$E217,$K217)=0,"",IF(AND($B217&lt;&gt;"",$C217&lt;&gt;"",$D217&lt;&gt;"",$E217&lt;&gt;""),"TXS"&amp;TEXT(COUNTIFS($B$2:$B217,"&lt;&gt;",$C$2:$C217,"&lt;&gt;",$D$2:$D217,"&lt;&gt;",$E$2:$E217,"&lt;&gt;"),"00000"),""))</f>
        <v/>
      </c>
      <c r="B217" s="16"/>
      <c r="C217" s="20"/>
      <c r="D217" s="20"/>
      <c r="E217" s="23"/>
      <c r="H217" s="19" t="str">
        <f t="shared" si="15"/>
        <v/>
      </c>
      <c r="I217" s="19" t="str">
        <f t="shared" si="14"/>
        <v/>
      </c>
      <c r="J217" s="19" t="str">
        <f t="shared" si="16"/>
        <v/>
      </c>
      <c r="K217" s="20"/>
      <c r="L217" s="21" t="str">
        <f>IF(OR(NOT(AND($B217&lt;&gt;"",$C217&lt;&gt;"",$D217&lt;&gt;"",$E217&lt;&gt;"")),$A217="",$K217&lt;&gt;"Yes"),"",IF($L217&lt;&gt;"",$L217,INDEX(SETUP!$I$1:$I$2000,MATCH(TRUE,SETUP!$J$1:$J$2000,0)+COUNTIFS($A$2:$A217,"&lt;&gt;",$K$2:$K217,"Yes",$L$2:$L217,"")-1)))</f>
        <v/>
      </c>
      <c r="N217" s="22"/>
    </row>
    <row r="218" spans="1:14" x14ac:dyDescent="0.3">
      <c r="A218" s="15" t="str">
        <f>IF(COUNTA($B218:$E218,$K218)=0,"",IF(AND($B218&lt;&gt;"",$C218&lt;&gt;"",$D218&lt;&gt;"",$E218&lt;&gt;""),"TXS"&amp;TEXT(COUNTIFS($B$2:$B218,"&lt;&gt;",$C$2:$C218,"&lt;&gt;",$D$2:$D218,"&lt;&gt;",$E$2:$E218,"&lt;&gt;"),"00000"),""))</f>
        <v/>
      </c>
      <c r="B218" s="16"/>
      <c r="C218" s="20"/>
      <c r="D218" s="20"/>
      <c r="E218" s="23"/>
      <c r="H218" s="19" t="str">
        <f t="shared" si="15"/>
        <v/>
      </c>
      <c r="I218" s="19" t="str">
        <f t="shared" si="14"/>
        <v/>
      </c>
      <c r="J218" s="19" t="str">
        <f t="shared" si="16"/>
        <v/>
      </c>
      <c r="K218" s="20"/>
      <c r="L218" s="21" t="str">
        <f>IF(OR(NOT(AND($B218&lt;&gt;"",$C218&lt;&gt;"",$D218&lt;&gt;"",$E218&lt;&gt;"")),$A218="",$K218&lt;&gt;"Yes"),"",IF($L218&lt;&gt;"",$L218,INDEX(SETUP!$I$1:$I$2000,MATCH(TRUE,SETUP!$J$1:$J$2000,0)+COUNTIFS($A$2:$A218,"&lt;&gt;",$K$2:$K218,"Yes",$L$2:$L218,"")-1)))</f>
        <v/>
      </c>
      <c r="N218" s="22"/>
    </row>
    <row r="219" spans="1:14" x14ac:dyDescent="0.3">
      <c r="A219" s="15" t="str">
        <f>IF(COUNTA($B219:$E219,$K219)=0,"",IF(AND($B219&lt;&gt;"",$C219&lt;&gt;"",$D219&lt;&gt;"",$E219&lt;&gt;""),"TXS"&amp;TEXT(COUNTIFS($B$2:$B219,"&lt;&gt;",$C$2:$C219,"&lt;&gt;",$D$2:$D219,"&lt;&gt;",$E$2:$E219,"&lt;&gt;"),"00000"),""))</f>
        <v/>
      </c>
      <c r="B219" s="16"/>
      <c r="C219" s="20"/>
      <c r="D219" s="20"/>
      <c r="E219" s="23"/>
      <c r="H219" s="19" t="str">
        <f t="shared" si="15"/>
        <v/>
      </c>
      <c r="I219" s="19" t="str">
        <f t="shared" si="14"/>
        <v/>
      </c>
      <c r="J219" s="19" t="str">
        <f t="shared" si="16"/>
        <v/>
      </c>
      <c r="K219" s="20"/>
      <c r="L219" s="21" t="str">
        <f>IF(OR(NOT(AND($B219&lt;&gt;"",$C219&lt;&gt;"",$D219&lt;&gt;"",$E219&lt;&gt;"")),$A219="",$K219&lt;&gt;"Yes"),"",IF($L219&lt;&gt;"",$L219,INDEX(SETUP!$I$1:$I$2000,MATCH(TRUE,SETUP!$J$1:$J$2000,0)+COUNTIFS($A$2:$A219,"&lt;&gt;",$K$2:$K219,"Yes",$L$2:$L219,"")-1)))</f>
        <v/>
      </c>
      <c r="N219" s="22"/>
    </row>
    <row r="220" spans="1:14" x14ac:dyDescent="0.3">
      <c r="A220" s="15" t="str">
        <f>IF(COUNTA($B220:$E220,$K220)=0,"",IF(AND($B220&lt;&gt;"",$C220&lt;&gt;"",$D220&lt;&gt;"",$E220&lt;&gt;""),"TXS"&amp;TEXT(COUNTIFS($B$2:$B220,"&lt;&gt;",$C$2:$C220,"&lt;&gt;",$D$2:$D220,"&lt;&gt;",$E$2:$E220,"&lt;&gt;"),"00000"),""))</f>
        <v/>
      </c>
      <c r="B220" s="16"/>
      <c r="C220" s="20"/>
      <c r="D220" s="20"/>
      <c r="E220" s="23"/>
      <c r="H220" s="19" t="str">
        <f t="shared" si="15"/>
        <v/>
      </c>
      <c r="I220" s="19" t="str">
        <f t="shared" si="14"/>
        <v/>
      </c>
      <c r="J220" s="19" t="str">
        <f t="shared" si="16"/>
        <v/>
      </c>
      <c r="K220" s="20"/>
      <c r="L220" s="21" t="str">
        <f>IF(OR(NOT(AND($B220&lt;&gt;"",$C220&lt;&gt;"",$D220&lt;&gt;"",$E220&lt;&gt;"")),$A220="",$K220&lt;&gt;"Yes"),"",IF($L220&lt;&gt;"",$L220,INDEX(SETUP!$I$1:$I$2000,MATCH(TRUE,SETUP!$J$1:$J$2000,0)+COUNTIFS($A$2:$A220,"&lt;&gt;",$K$2:$K220,"Yes",$L$2:$L220,"")-1)))</f>
        <v/>
      </c>
      <c r="N220" s="22"/>
    </row>
    <row r="221" spans="1:14" x14ac:dyDescent="0.3">
      <c r="A221" s="15" t="str">
        <f>IF(COUNTA($B221:$E221,$K221)=0,"",IF(AND($B221&lt;&gt;"",$C221&lt;&gt;"",$D221&lt;&gt;"",$E221&lt;&gt;""),"TXS"&amp;TEXT(COUNTIFS($B$2:$B221,"&lt;&gt;",$C$2:$C221,"&lt;&gt;",$D$2:$D221,"&lt;&gt;",$E$2:$E221,"&lt;&gt;"),"00000"),""))</f>
        <v/>
      </c>
      <c r="B221" s="16"/>
      <c r="C221" s="20"/>
      <c r="D221" s="20"/>
      <c r="E221" s="23"/>
      <c r="H221" s="19" t="str">
        <f t="shared" si="15"/>
        <v/>
      </c>
      <c r="I221" s="19" t="str">
        <f t="shared" si="14"/>
        <v/>
      </c>
      <c r="J221" s="19" t="str">
        <f t="shared" si="16"/>
        <v/>
      </c>
      <c r="K221" s="20"/>
      <c r="L221" s="21" t="str">
        <f>IF(OR(NOT(AND($B221&lt;&gt;"",$C221&lt;&gt;"",$D221&lt;&gt;"",$E221&lt;&gt;"")),$A221="",$K221&lt;&gt;"Yes"),"",IF($L221&lt;&gt;"",$L221,INDEX(SETUP!$I$1:$I$2000,MATCH(TRUE,SETUP!$J$1:$J$2000,0)+COUNTIFS($A$2:$A221,"&lt;&gt;",$K$2:$K221,"Yes",$L$2:$L221,"")-1)))</f>
        <v/>
      </c>
      <c r="N221" s="22"/>
    </row>
    <row r="222" spans="1:14" x14ac:dyDescent="0.3">
      <c r="A222" s="15" t="str">
        <f>IF(COUNTA($B222:$E222,$K222)=0,"",IF(AND($B222&lt;&gt;"",$C222&lt;&gt;"",$D222&lt;&gt;"",$E222&lt;&gt;""),"TXS"&amp;TEXT(COUNTIFS($B$2:$B222,"&lt;&gt;",$C$2:$C222,"&lt;&gt;",$D$2:$D222,"&lt;&gt;",$E$2:$E222,"&lt;&gt;"),"00000"),""))</f>
        <v/>
      </c>
      <c r="B222" s="16"/>
      <c r="C222" s="20"/>
      <c r="D222" s="20"/>
      <c r="E222" s="23"/>
      <c r="H222" s="19" t="str">
        <f t="shared" si="15"/>
        <v/>
      </c>
      <c r="I222" s="19" t="str">
        <f t="shared" si="14"/>
        <v/>
      </c>
      <c r="J222" s="19" t="str">
        <f t="shared" si="16"/>
        <v/>
      </c>
      <c r="K222" s="20"/>
      <c r="L222" s="21" t="str">
        <f>IF(OR(NOT(AND($B222&lt;&gt;"",$C222&lt;&gt;"",$D222&lt;&gt;"",$E222&lt;&gt;"")),$A222="",$K222&lt;&gt;"Yes"),"",IF($L222&lt;&gt;"",$L222,INDEX(SETUP!$I$1:$I$2000,MATCH(TRUE,SETUP!$J$1:$J$2000,0)+COUNTIFS($A$2:$A222,"&lt;&gt;",$K$2:$K222,"Yes",$L$2:$L222,"")-1)))</f>
        <v/>
      </c>
      <c r="N222" s="22"/>
    </row>
    <row r="223" spans="1:14" x14ac:dyDescent="0.3">
      <c r="A223" s="15" t="str">
        <f>IF(COUNTA($B223:$E223,$K223)=0,"",IF(AND($B223&lt;&gt;"",$C223&lt;&gt;"",$D223&lt;&gt;"",$E223&lt;&gt;""),"TXS"&amp;TEXT(COUNTIFS($B$2:$B223,"&lt;&gt;",$C$2:$C223,"&lt;&gt;",$D$2:$D223,"&lt;&gt;",$E$2:$E223,"&lt;&gt;"),"00000"),""))</f>
        <v/>
      </c>
      <c r="B223" s="16"/>
      <c r="C223" s="20"/>
      <c r="D223" s="20"/>
      <c r="E223" s="23"/>
      <c r="H223" s="19" t="str">
        <f t="shared" si="15"/>
        <v/>
      </c>
      <c r="I223" s="19" t="str">
        <f t="shared" si="14"/>
        <v/>
      </c>
      <c r="J223" s="19" t="str">
        <f t="shared" si="16"/>
        <v/>
      </c>
      <c r="K223" s="20"/>
      <c r="L223" s="21" t="str">
        <f>IF(OR(NOT(AND($B223&lt;&gt;"",$C223&lt;&gt;"",$D223&lt;&gt;"",$E223&lt;&gt;"")),$A223="",$K223&lt;&gt;"Yes"),"",IF($L223&lt;&gt;"",$L223,INDEX(SETUP!$I$1:$I$2000,MATCH(TRUE,SETUP!$J$1:$J$2000,0)+COUNTIFS($A$2:$A223,"&lt;&gt;",$K$2:$K223,"Yes",$L$2:$L223,"")-1)))</f>
        <v/>
      </c>
      <c r="N223" s="22"/>
    </row>
    <row r="224" spans="1:14" x14ac:dyDescent="0.3">
      <c r="A224" s="15" t="str">
        <f>IF(COUNTA($B224:$E224,$K224)=0,"",IF(AND($B224&lt;&gt;"",$C224&lt;&gt;"",$D224&lt;&gt;"",$E224&lt;&gt;""),"TXS"&amp;TEXT(COUNTIFS($B$2:$B224,"&lt;&gt;",$C$2:$C224,"&lt;&gt;",$D$2:$D224,"&lt;&gt;",$E$2:$E224,"&lt;&gt;"),"00000"),""))</f>
        <v/>
      </c>
      <c r="B224" s="16"/>
      <c r="C224" s="20"/>
      <c r="D224" s="20"/>
      <c r="E224" s="23"/>
      <c r="H224" s="19" t="str">
        <f t="shared" si="15"/>
        <v/>
      </c>
      <c r="I224" s="19" t="str">
        <f t="shared" si="14"/>
        <v/>
      </c>
      <c r="J224" s="19" t="str">
        <f t="shared" si="16"/>
        <v/>
      </c>
      <c r="K224" s="20"/>
      <c r="L224" s="21" t="str">
        <f>IF(OR(NOT(AND($B224&lt;&gt;"",$C224&lt;&gt;"",$D224&lt;&gt;"",$E224&lt;&gt;"")),$A224="",$K224&lt;&gt;"Yes"),"",IF($L224&lt;&gt;"",$L224,INDEX(SETUP!$I$1:$I$2000,MATCH(TRUE,SETUP!$J$1:$J$2000,0)+COUNTIFS($A$2:$A224,"&lt;&gt;",$K$2:$K224,"Yes",$L$2:$L224,"")-1)))</f>
        <v/>
      </c>
      <c r="N224" s="22"/>
    </row>
    <row r="225" spans="1:14" x14ac:dyDescent="0.3">
      <c r="A225" s="15" t="str">
        <f>IF(COUNTA($B225:$E225,$K225)=0,"",IF(AND($B225&lt;&gt;"",$C225&lt;&gt;"",$D225&lt;&gt;"",$E225&lt;&gt;""),"TXS"&amp;TEXT(COUNTIFS($B$2:$B225,"&lt;&gt;",$C$2:$C225,"&lt;&gt;",$D$2:$D225,"&lt;&gt;",$E$2:$E225,"&lt;&gt;"),"00000"),""))</f>
        <v/>
      </c>
      <c r="B225" s="16"/>
      <c r="C225" s="20"/>
      <c r="D225" s="20"/>
      <c r="E225" s="23"/>
      <c r="H225" s="19" t="str">
        <f t="shared" si="15"/>
        <v/>
      </c>
      <c r="I225" s="19" t="str">
        <f t="shared" si="14"/>
        <v/>
      </c>
      <c r="J225" s="19" t="str">
        <f t="shared" si="16"/>
        <v/>
      </c>
      <c r="K225" s="20"/>
      <c r="L225" s="21" t="str">
        <f>IF(OR(NOT(AND($B225&lt;&gt;"",$C225&lt;&gt;"",$D225&lt;&gt;"",$E225&lt;&gt;"")),$A225="",$K225&lt;&gt;"Yes"),"",IF($L225&lt;&gt;"",$L225,INDEX(SETUP!$I$1:$I$2000,MATCH(TRUE,SETUP!$J$1:$J$2000,0)+COUNTIFS($A$2:$A225,"&lt;&gt;",$K$2:$K225,"Yes",$L$2:$L225,"")-1)))</f>
        <v/>
      </c>
      <c r="N225" s="22"/>
    </row>
    <row r="226" spans="1:14" x14ac:dyDescent="0.3">
      <c r="A226" s="15" t="str">
        <f>IF(COUNTA($B226:$E226,$K226)=0,"",IF(AND($B226&lt;&gt;"",$C226&lt;&gt;"",$D226&lt;&gt;"",$E226&lt;&gt;""),"TXS"&amp;TEXT(COUNTIFS($B$2:$B226,"&lt;&gt;",$C$2:$C226,"&lt;&gt;",$D$2:$D226,"&lt;&gt;",$E$2:$E226,"&lt;&gt;"),"00000"),""))</f>
        <v/>
      </c>
      <c r="B226" s="16"/>
      <c r="C226" s="20"/>
      <c r="D226" s="20"/>
      <c r="E226" s="23"/>
      <c r="H226" s="19" t="str">
        <f t="shared" si="15"/>
        <v/>
      </c>
      <c r="I226" s="19" t="str">
        <f t="shared" si="14"/>
        <v/>
      </c>
      <c r="J226" s="19" t="str">
        <f t="shared" si="16"/>
        <v/>
      </c>
      <c r="K226" s="20"/>
      <c r="L226" s="21" t="str">
        <f>IF(OR(NOT(AND($B226&lt;&gt;"",$C226&lt;&gt;"",$D226&lt;&gt;"",$E226&lt;&gt;"")),$A226="",$K226&lt;&gt;"Yes"),"",IF($L226&lt;&gt;"",$L226,INDEX(SETUP!$I$1:$I$2000,MATCH(TRUE,SETUP!$J$1:$J$2000,0)+COUNTIFS($A$2:$A226,"&lt;&gt;",$K$2:$K226,"Yes",$L$2:$L226,"")-1)))</f>
        <v/>
      </c>
      <c r="N226" s="22"/>
    </row>
    <row r="227" spans="1:14" x14ac:dyDescent="0.3">
      <c r="A227" s="15" t="str">
        <f>IF(COUNTA($B227:$E227,$K227)=0,"",IF(AND($B227&lt;&gt;"",$C227&lt;&gt;"",$D227&lt;&gt;"",$E227&lt;&gt;""),"TXS"&amp;TEXT(COUNTIFS($B$2:$B227,"&lt;&gt;",$C$2:$C227,"&lt;&gt;",$D$2:$D227,"&lt;&gt;",$E$2:$E227,"&lt;&gt;"),"00000"),""))</f>
        <v/>
      </c>
      <c r="B227" s="16"/>
      <c r="C227" s="20"/>
      <c r="D227" s="20"/>
      <c r="E227" s="23"/>
      <c r="H227" s="19" t="str">
        <f t="shared" si="15"/>
        <v/>
      </c>
      <c r="I227" s="19" t="str">
        <f t="shared" si="14"/>
        <v/>
      </c>
      <c r="J227" s="19" t="str">
        <f t="shared" si="16"/>
        <v/>
      </c>
      <c r="K227" s="20"/>
      <c r="L227" s="21" t="str">
        <f>IF(OR(NOT(AND($B227&lt;&gt;"",$C227&lt;&gt;"",$D227&lt;&gt;"",$E227&lt;&gt;"")),$A227="",$K227&lt;&gt;"Yes"),"",IF($L227&lt;&gt;"",$L227,INDEX(SETUP!$I$1:$I$2000,MATCH(TRUE,SETUP!$J$1:$J$2000,0)+COUNTIFS($A$2:$A227,"&lt;&gt;",$K$2:$K227,"Yes",$L$2:$L227,"")-1)))</f>
        <v/>
      </c>
      <c r="N227" s="22"/>
    </row>
    <row r="228" spans="1:14" x14ac:dyDescent="0.3">
      <c r="A228" s="15" t="str">
        <f>IF(COUNTA($B228:$E228,$K228)=0,"",IF(AND($B228&lt;&gt;"",$C228&lt;&gt;"",$D228&lt;&gt;"",$E228&lt;&gt;""),"TXS"&amp;TEXT(COUNTIFS($B$2:$B228,"&lt;&gt;",$C$2:$C228,"&lt;&gt;",$D$2:$D228,"&lt;&gt;",$E$2:$E228,"&lt;&gt;"),"00000"),""))</f>
        <v/>
      </c>
      <c r="B228" s="16"/>
      <c r="C228" s="20"/>
      <c r="D228" s="20"/>
      <c r="E228" s="23"/>
      <c r="H228" s="19" t="str">
        <f t="shared" si="15"/>
        <v/>
      </c>
      <c r="I228" s="19" t="str">
        <f t="shared" si="14"/>
        <v/>
      </c>
      <c r="J228" s="19" t="str">
        <f t="shared" si="16"/>
        <v/>
      </c>
      <c r="K228" s="20"/>
      <c r="L228" s="21" t="str">
        <f>IF(OR(NOT(AND($B228&lt;&gt;"",$C228&lt;&gt;"",$D228&lt;&gt;"",$E228&lt;&gt;"")),$A228="",$K228&lt;&gt;"Yes"),"",IF($L228&lt;&gt;"",$L228,INDEX(SETUP!$I$1:$I$2000,MATCH(TRUE,SETUP!$J$1:$J$2000,0)+COUNTIFS($A$2:$A228,"&lt;&gt;",$K$2:$K228,"Yes",$L$2:$L228,"")-1)))</f>
        <v/>
      </c>
      <c r="N228" s="22"/>
    </row>
    <row r="229" spans="1:14" x14ac:dyDescent="0.3">
      <c r="A229" s="15" t="str">
        <f>IF(COUNTA($B229:$E229,$K229)=0,"",IF(AND($B229&lt;&gt;"",$C229&lt;&gt;"",$D229&lt;&gt;"",$E229&lt;&gt;""),"TXS"&amp;TEXT(COUNTIFS($B$2:$B229,"&lt;&gt;",$C$2:$C229,"&lt;&gt;",$D$2:$D229,"&lt;&gt;",$E$2:$E229,"&lt;&gt;"),"00000"),""))</f>
        <v/>
      </c>
      <c r="B229" s="16"/>
      <c r="C229" s="20"/>
      <c r="D229" s="20"/>
      <c r="E229" s="23"/>
      <c r="H229" s="19" t="str">
        <f t="shared" si="15"/>
        <v/>
      </c>
      <c r="I229" s="19" t="str">
        <f t="shared" si="14"/>
        <v/>
      </c>
      <c r="J229" s="19" t="str">
        <f t="shared" si="16"/>
        <v/>
      </c>
      <c r="K229" s="20"/>
      <c r="L229" s="21" t="str">
        <f>IF(OR(NOT(AND($B229&lt;&gt;"",$C229&lt;&gt;"",$D229&lt;&gt;"",$E229&lt;&gt;"")),$A229="",$K229&lt;&gt;"Yes"),"",IF($L229&lt;&gt;"",$L229,INDEX(SETUP!$I$1:$I$2000,MATCH(TRUE,SETUP!$J$1:$J$2000,0)+COUNTIFS($A$2:$A229,"&lt;&gt;",$K$2:$K229,"Yes",$L$2:$L229,"")-1)))</f>
        <v/>
      </c>
      <c r="N229" s="22"/>
    </row>
    <row r="230" spans="1:14" x14ac:dyDescent="0.3">
      <c r="A230" s="15" t="str">
        <f>IF(COUNTA($B230:$E230,$K230)=0,"",IF(AND($B230&lt;&gt;"",$C230&lt;&gt;"",$D230&lt;&gt;"",$E230&lt;&gt;""),"TXS"&amp;TEXT(COUNTIFS($B$2:$B230,"&lt;&gt;",$C$2:$C230,"&lt;&gt;",$D$2:$D230,"&lt;&gt;",$E$2:$E230,"&lt;&gt;"),"00000"),""))</f>
        <v/>
      </c>
      <c r="B230" s="16"/>
      <c r="C230" s="20"/>
      <c r="D230" s="20"/>
      <c r="E230" s="23"/>
      <c r="H230" s="19" t="str">
        <f t="shared" si="15"/>
        <v/>
      </c>
      <c r="I230" s="19" t="str">
        <f t="shared" si="14"/>
        <v/>
      </c>
      <c r="J230" s="19" t="str">
        <f t="shared" si="16"/>
        <v/>
      </c>
      <c r="K230" s="20"/>
      <c r="L230" s="21" t="str">
        <f>IF(OR(NOT(AND($B230&lt;&gt;"",$C230&lt;&gt;"",$D230&lt;&gt;"",$E230&lt;&gt;"")),$A230="",$K230&lt;&gt;"Yes"),"",IF($L230&lt;&gt;"",$L230,INDEX(SETUP!$I$1:$I$2000,MATCH(TRUE,SETUP!$J$1:$J$2000,0)+COUNTIFS($A$2:$A230,"&lt;&gt;",$K$2:$K230,"Yes",$L$2:$L230,"")-1)))</f>
        <v/>
      </c>
      <c r="N230" s="22"/>
    </row>
    <row r="231" spans="1:14" x14ac:dyDescent="0.3">
      <c r="A231" s="15" t="str">
        <f>IF(COUNTA($B231:$E231,$K231)=0,"",IF(AND($B231&lt;&gt;"",$C231&lt;&gt;"",$D231&lt;&gt;"",$E231&lt;&gt;""),"TXS"&amp;TEXT(COUNTIFS($B$2:$B231,"&lt;&gt;",$C$2:$C231,"&lt;&gt;",$D$2:$D231,"&lt;&gt;",$E$2:$E231,"&lt;&gt;"),"00000"),""))</f>
        <v/>
      </c>
      <c r="B231" s="16"/>
      <c r="C231" s="20"/>
      <c r="D231" s="20"/>
      <c r="E231" s="23"/>
      <c r="H231" s="19" t="str">
        <f t="shared" si="15"/>
        <v/>
      </c>
      <c r="I231" s="19" t="str">
        <f t="shared" si="14"/>
        <v/>
      </c>
      <c r="J231" s="19" t="str">
        <f t="shared" si="16"/>
        <v/>
      </c>
      <c r="K231" s="20"/>
      <c r="L231" s="21" t="str">
        <f>IF(OR(NOT(AND($B231&lt;&gt;"",$C231&lt;&gt;"",$D231&lt;&gt;"",$E231&lt;&gt;"")),$A231="",$K231&lt;&gt;"Yes"),"",IF($L231&lt;&gt;"",$L231,INDEX(SETUP!$I$1:$I$2000,MATCH(TRUE,SETUP!$J$1:$J$2000,0)+COUNTIFS($A$2:$A231,"&lt;&gt;",$K$2:$K231,"Yes",$L$2:$L231,"")-1)))</f>
        <v/>
      </c>
      <c r="N231" s="22"/>
    </row>
    <row r="232" spans="1:14" x14ac:dyDescent="0.3">
      <c r="A232" s="15" t="str">
        <f>IF(COUNTA($B232:$E232,$K232)=0,"",IF(AND($B232&lt;&gt;"",$C232&lt;&gt;"",$D232&lt;&gt;"",$E232&lt;&gt;""),"TXS"&amp;TEXT(COUNTIFS($B$2:$B232,"&lt;&gt;",$C$2:$C232,"&lt;&gt;",$D$2:$D232,"&lt;&gt;",$E$2:$E232,"&lt;&gt;"),"00000"),""))</f>
        <v/>
      </c>
      <c r="B232" s="16"/>
      <c r="C232" s="20"/>
      <c r="D232" s="20"/>
      <c r="E232" s="23"/>
      <c r="H232" s="19" t="str">
        <f t="shared" si="15"/>
        <v/>
      </c>
      <c r="I232" s="19" t="str">
        <f t="shared" si="14"/>
        <v/>
      </c>
      <c r="J232" s="19" t="str">
        <f t="shared" si="16"/>
        <v/>
      </c>
      <c r="K232" s="20"/>
      <c r="L232" s="21" t="str">
        <f>IF(OR(NOT(AND($B232&lt;&gt;"",$C232&lt;&gt;"",$D232&lt;&gt;"",$E232&lt;&gt;"")),$A232="",$K232&lt;&gt;"Yes"),"",IF($L232&lt;&gt;"",$L232,INDEX(SETUP!$I$1:$I$2000,MATCH(TRUE,SETUP!$J$1:$J$2000,0)+COUNTIFS($A$2:$A232,"&lt;&gt;",$K$2:$K232,"Yes",$L$2:$L232,"")-1)))</f>
        <v/>
      </c>
      <c r="N232" s="22"/>
    </row>
    <row r="233" spans="1:14" x14ac:dyDescent="0.3">
      <c r="A233" s="15" t="str">
        <f>IF(COUNTA($B233:$E233,$K233)=0,"",IF(AND($B233&lt;&gt;"",$C233&lt;&gt;"",$D233&lt;&gt;"",$E233&lt;&gt;""),"TXS"&amp;TEXT(COUNTIFS($B$2:$B233,"&lt;&gt;",$C$2:$C233,"&lt;&gt;",$D$2:$D233,"&lt;&gt;",$E$2:$E233,"&lt;&gt;"),"00000"),""))</f>
        <v/>
      </c>
      <c r="B233" s="16"/>
      <c r="C233" s="20"/>
      <c r="D233" s="20"/>
      <c r="E233" s="23"/>
      <c r="H233" s="19" t="str">
        <f t="shared" si="15"/>
        <v/>
      </c>
      <c r="I233" s="19" t="str">
        <f t="shared" ref="I233:I296" si="17">IF(NOT(AND($B233&lt;&gt;"",$C233&lt;&gt;"",$D233&lt;&gt;"",$E233&lt;&gt;"")),"",IF($A233="","","NIH plate "&amp;INT((VALUE(RIGHT($A233,5))-1)/96)+1&amp;": "&amp;CHAR(65+INT(MOD(VALUE(RIGHT($A233,5))-1,96)/12))&amp;(MOD(VALUE(RIGHT($A233,5))-1,12)+1)))</f>
        <v/>
      </c>
      <c r="J233" s="19" t="str">
        <f t="shared" si="16"/>
        <v/>
      </c>
      <c r="K233" s="20"/>
      <c r="L233" s="21" t="str">
        <f>IF(OR(NOT(AND($B233&lt;&gt;"",$C233&lt;&gt;"",$D233&lt;&gt;"",$E233&lt;&gt;"")),$A233="",$K233&lt;&gt;"Yes"),"",IF($L233&lt;&gt;"",$L233,INDEX(SETUP!$I$1:$I$2000,MATCH(TRUE,SETUP!$J$1:$J$2000,0)+COUNTIFS($A$2:$A233,"&lt;&gt;",$K$2:$K233,"Yes",$L$2:$L233,"")-1)))</f>
        <v/>
      </c>
      <c r="N233" s="22"/>
    </row>
    <row r="234" spans="1:14" x14ac:dyDescent="0.3">
      <c r="A234" s="15" t="str">
        <f>IF(COUNTA($B234:$E234,$K234)=0,"",IF(AND($B234&lt;&gt;"",$C234&lt;&gt;"",$D234&lt;&gt;"",$E234&lt;&gt;""),"TXS"&amp;TEXT(COUNTIFS($B$2:$B234,"&lt;&gt;",$C$2:$C234,"&lt;&gt;",$D$2:$D234,"&lt;&gt;",$E$2:$E234,"&lt;&gt;"),"00000"),""))</f>
        <v/>
      </c>
      <c r="B234" s="16"/>
      <c r="C234" s="20"/>
      <c r="D234" s="20"/>
      <c r="E234" s="23"/>
      <c r="H234" s="19" t="str">
        <f t="shared" si="15"/>
        <v/>
      </c>
      <c r="I234" s="19" t="str">
        <f t="shared" si="17"/>
        <v/>
      </c>
      <c r="J234" s="19" t="str">
        <f t="shared" si="16"/>
        <v/>
      </c>
      <c r="K234" s="20"/>
      <c r="L234" s="21" t="str">
        <f>IF(OR(NOT(AND($B234&lt;&gt;"",$C234&lt;&gt;"",$D234&lt;&gt;"",$E234&lt;&gt;"")),$A234="",$K234&lt;&gt;"Yes"),"",IF($L234&lt;&gt;"",$L234,INDEX(SETUP!$I$1:$I$2000,MATCH(TRUE,SETUP!$J$1:$J$2000,0)+COUNTIFS($A$2:$A234,"&lt;&gt;",$K$2:$K234,"Yes",$L$2:$L234,"")-1)))</f>
        <v/>
      </c>
      <c r="N234" s="22"/>
    </row>
    <row r="235" spans="1:14" x14ac:dyDescent="0.3">
      <c r="A235" s="15" t="str">
        <f>IF(COUNTA($B235:$E235,$K235)=0,"",IF(AND($B235&lt;&gt;"",$C235&lt;&gt;"",$D235&lt;&gt;"",$E235&lt;&gt;""),"TXS"&amp;TEXT(COUNTIFS($B$2:$B235,"&lt;&gt;",$C$2:$C235,"&lt;&gt;",$D$2:$D235,"&lt;&gt;",$E$2:$E235,"&lt;&gt;"),"00000"),""))</f>
        <v/>
      </c>
      <c r="B235" s="16"/>
      <c r="C235" s="20"/>
      <c r="D235" s="20"/>
      <c r="E235" s="23"/>
      <c r="H235" s="19" t="str">
        <f t="shared" si="15"/>
        <v/>
      </c>
      <c r="I235" s="19" t="str">
        <f t="shared" si="17"/>
        <v/>
      </c>
      <c r="J235" s="19" t="str">
        <f t="shared" si="16"/>
        <v/>
      </c>
      <c r="K235" s="20"/>
      <c r="L235" s="21" t="str">
        <f>IF(OR(NOT(AND($B235&lt;&gt;"",$C235&lt;&gt;"",$D235&lt;&gt;"",$E235&lt;&gt;"")),$A235="",$K235&lt;&gt;"Yes"),"",IF($L235&lt;&gt;"",$L235,INDEX(SETUP!$I$1:$I$2000,MATCH(TRUE,SETUP!$J$1:$J$2000,0)+COUNTIFS($A$2:$A235,"&lt;&gt;",$K$2:$K235,"Yes",$L$2:$L235,"")-1)))</f>
        <v/>
      </c>
      <c r="N235" s="22"/>
    </row>
    <row r="236" spans="1:14" x14ac:dyDescent="0.3">
      <c r="A236" s="15" t="str">
        <f>IF(COUNTA($B236:$E236,$K236)=0,"",IF(AND($B236&lt;&gt;"",$C236&lt;&gt;"",$D236&lt;&gt;"",$E236&lt;&gt;""),"TXS"&amp;TEXT(COUNTIFS($B$2:$B236,"&lt;&gt;",$C$2:$C236,"&lt;&gt;",$D$2:$D236,"&lt;&gt;",$E$2:$E236,"&lt;&gt;"),"00000"),""))</f>
        <v/>
      </c>
      <c r="B236" s="16"/>
      <c r="C236" s="20"/>
      <c r="D236" s="20"/>
      <c r="E236" s="23"/>
      <c r="H236" s="19" t="str">
        <f t="shared" si="15"/>
        <v/>
      </c>
      <c r="I236" s="19" t="str">
        <f t="shared" si="17"/>
        <v/>
      </c>
      <c r="J236" s="19" t="str">
        <f t="shared" si="16"/>
        <v/>
      </c>
      <c r="K236" s="20"/>
      <c r="L236" s="21" t="str">
        <f>IF(OR(NOT(AND($B236&lt;&gt;"",$C236&lt;&gt;"",$D236&lt;&gt;"",$E236&lt;&gt;"")),$A236="",$K236&lt;&gt;"Yes"),"",IF($L236&lt;&gt;"",$L236,INDEX(SETUP!$I$1:$I$2000,MATCH(TRUE,SETUP!$J$1:$J$2000,0)+COUNTIFS($A$2:$A236,"&lt;&gt;",$K$2:$K236,"Yes",$L$2:$L236,"")-1)))</f>
        <v/>
      </c>
      <c r="N236" s="22"/>
    </row>
    <row r="237" spans="1:14" x14ac:dyDescent="0.3">
      <c r="A237" s="15" t="str">
        <f>IF(COUNTA($B237:$E237,$K237)=0,"",IF(AND($B237&lt;&gt;"",$C237&lt;&gt;"",$D237&lt;&gt;"",$E237&lt;&gt;""),"TXS"&amp;TEXT(COUNTIFS($B$2:$B237,"&lt;&gt;",$C$2:$C237,"&lt;&gt;",$D$2:$D237,"&lt;&gt;",$E$2:$E237,"&lt;&gt;"),"00000"),""))</f>
        <v/>
      </c>
      <c r="B237" s="16"/>
      <c r="C237" s="20"/>
      <c r="D237" s="20"/>
      <c r="E237" s="23"/>
      <c r="H237" s="19" t="str">
        <f t="shared" si="15"/>
        <v/>
      </c>
      <c r="I237" s="19" t="str">
        <f t="shared" si="17"/>
        <v/>
      </c>
      <c r="J237" s="19" t="str">
        <f t="shared" si="16"/>
        <v/>
      </c>
      <c r="K237" s="20"/>
      <c r="L237" s="21" t="str">
        <f>IF(OR(NOT(AND($B237&lt;&gt;"",$C237&lt;&gt;"",$D237&lt;&gt;"",$E237&lt;&gt;"")),$A237="",$K237&lt;&gt;"Yes"),"",IF($L237&lt;&gt;"",$L237,INDEX(SETUP!$I$1:$I$2000,MATCH(TRUE,SETUP!$J$1:$J$2000,0)+COUNTIFS($A$2:$A237,"&lt;&gt;",$K$2:$K237,"Yes",$L$2:$L237,"")-1)))</f>
        <v/>
      </c>
      <c r="N237" s="22"/>
    </row>
    <row r="238" spans="1:14" x14ac:dyDescent="0.3">
      <c r="A238" s="15" t="str">
        <f>IF(COUNTA($B238:$E238,$K238)=0,"",IF(AND($B238&lt;&gt;"",$C238&lt;&gt;"",$D238&lt;&gt;"",$E238&lt;&gt;""),"TXS"&amp;TEXT(COUNTIFS($B$2:$B238,"&lt;&gt;",$C$2:$C238,"&lt;&gt;",$D$2:$D238,"&lt;&gt;",$E$2:$E238,"&lt;&gt;"),"00000"),""))</f>
        <v/>
      </c>
      <c r="B238" s="16"/>
      <c r="C238" s="20"/>
      <c r="D238" s="20"/>
      <c r="E238" s="23"/>
      <c r="H238" s="19" t="str">
        <f t="shared" si="15"/>
        <v/>
      </c>
      <c r="I238" s="19" t="str">
        <f t="shared" si="17"/>
        <v/>
      </c>
      <c r="J238" s="19" t="str">
        <f t="shared" si="16"/>
        <v/>
      </c>
      <c r="K238" s="20"/>
      <c r="L238" s="21" t="str">
        <f>IF(OR(NOT(AND($B238&lt;&gt;"",$C238&lt;&gt;"",$D238&lt;&gt;"",$E238&lt;&gt;"")),$A238="",$K238&lt;&gt;"Yes"),"",IF($L238&lt;&gt;"",$L238,INDEX(SETUP!$I$1:$I$2000,MATCH(TRUE,SETUP!$J$1:$J$2000,0)+COUNTIFS($A$2:$A238,"&lt;&gt;",$K$2:$K238,"Yes",$L$2:$L238,"")-1)))</f>
        <v/>
      </c>
      <c r="N238" s="22"/>
    </row>
    <row r="239" spans="1:14" x14ac:dyDescent="0.3">
      <c r="A239" s="15" t="str">
        <f>IF(COUNTA($B239:$E239,$K239)=0,"",IF(AND($B239&lt;&gt;"",$C239&lt;&gt;"",$D239&lt;&gt;"",$E239&lt;&gt;""),"TXS"&amp;TEXT(COUNTIFS($B$2:$B239,"&lt;&gt;",$C$2:$C239,"&lt;&gt;",$D$2:$D239,"&lt;&gt;",$E$2:$E239,"&lt;&gt;"),"00000"),""))</f>
        <v/>
      </c>
      <c r="B239" s="16"/>
      <c r="C239" s="20"/>
      <c r="D239" s="20"/>
      <c r="E239" s="23"/>
      <c r="H239" s="19" t="str">
        <f t="shared" ref="H239:H302" si="18">IF(NOT(AND($B239&lt;&gt;"",$C239&lt;&gt;"",$D239&lt;&gt;"",$E239&lt;&gt;"")),"",IF($A239="","","CDI plate "&amp;INT((VALUE(RIGHT($A239,5))-1)/96)+1&amp;": "&amp;CHAR(65+INT(MOD(VALUE(RIGHT($A239,5))-1,96)/12))&amp;(MOD(VALUE(RIGHT($A239,5))-1,12)+1)))</f>
        <v/>
      </c>
      <c r="I239" s="19" t="str">
        <f t="shared" si="17"/>
        <v/>
      </c>
      <c r="J239" s="19" t="str">
        <f t="shared" si="16"/>
        <v/>
      </c>
      <c r="K239" s="20"/>
      <c r="L239" s="21" t="str">
        <f>IF(OR(NOT(AND($B239&lt;&gt;"",$C239&lt;&gt;"",$D239&lt;&gt;"",$E239&lt;&gt;"")),$A239="",$K239&lt;&gt;"Yes"),"",IF($L239&lt;&gt;"",$L239,INDEX(SETUP!$I$1:$I$2000,MATCH(TRUE,SETUP!$J$1:$J$2000,0)+COUNTIFS($A$2:$A239,"&lt;&gt;",$K$2:$K239,"Yes",$L$2:$L239,"")-1)))</f>
        <v/>
      </c>
      <c r="N239" s="22"/>
    </row>
    <row r="240" spans="1:14" x14ac:dyDescent="0.3">
      <c r="A240" s="15" t="str">
        <f>IF(COUNTA($B240:$E240,$K240)=0,"",IF(AND($B240&lt;&gt;"",$C240&lt;&gt;"",$D240&lt;&gt;"",$E240&lt;&gt;""),"TXS"&amp;TEXT(COUNTIFS($B$2:$B240,"&lt;&gt;",$C$2:$C240,"&lt;&gt;",$D$2:$D240,"&lt;&gt;",$E$2:$E240,"&lt;&gt;"),"00000"),""))</f>
        <v/>
      </c>
      <c r="B240" s="16"/>
      <c r="C240" s="20"/>
      <c r="D240" s="20"/>
      <c r="E240" s="23"/>
      <c r="H240" s="19" t="str">
        <f t="shared" si="18"/>
        <v/>
      </c>
      <c r="I240" s="19" t="str">
        <f t="shared" si="17"/>
        <v/>
      </c>
      <c r="J240" s="19" t="str">
        <f t="shared" si="16"/>
        <v/>
      </c>
      <c r="K240" s="20"/>
      <c r="L240" s="21" t="str">
        <f>IF(OR(NOT(AND($B240&lt;&gt;"",$C240&lt;&gt;"",$D240&lt;&gt;"",$E240&lt;&gt;"")),$A240="",$K240&lt;&gt;"Yes"),"",IF($L240&lt;&gt;"",$L240,INDEX(SETUP!$I$1:$I$2000,MATCH(TRUE,SETUP!$J$1:$J$2000,0)+COUNTIFS($A$2:$A240,"&lt;&gt;",$K$2:$K240,"Yes",$L$2:$L240,"")-1)))</f>
        <v/>
      </c>
      <c r="N240" s="22"/>
    </row>
    <row r="241" spans="1:14" x14ac:dyDescent="0.3">
      <c r="A241" s="15" t="str">
        <f>IF(COUNTA($B241:$E241,$K241)=0,"",IF(AND($B241&lt;&gt;"",$C241&lt;&gt;"",$D241&lt;&gt;"",$E241&lt;&gt;""),"TXS"&amp;TEXT(COUNTIFS($B$2:$B241,"&lt;&gt;",$C$2:$C241,"&lt;&gt;",$D$2:$D241,"&lt;&gt;",$E$2:$E241,"&lt;&gt;"),"00000"),""))</f>
        <v/>
      </c>
      <c r="B241" s="16"/>
      <c r="C241" s="20"/>
      <c r="D241" s="20"/>
      <c r="E241" s="23"/>
      <c r="H241" s="19" t="str">
        <f t="shared" si="18"/>
        <v/>
      </c>
      <c r="I241" s="19" t="str">
        <f t="shared" si="17"/>
        <v/>
      </c>
      <c r="J241" s="19" t="str">
        <f t="shared" si="16"/>
        <v/>
      </c>
      <c r="K241" s="20"/>
      <c r="L241" s="21" t="str">
        <f>IF(OR(NOT(AND($B241&lt;&gt;"",$C241&lt;&gt;"",$D241&lt;&gt;"",$E241&lt;&gt;"")),$A241="",$K241&lt;&gt;"Yes"),"",IF($L241&lt;&gt;"",$L241,INDEX(SETUP!$I$1:$I$2000,MATCH(TRUE,SETUP!$J$1:$J$2000,0)+COUNTIFS($A$2:$A241,"&lt;&gt;",$K$2:$K241,"Yes",$L$2:$L241,"")-1)))</f>
        <v/>
      </c>
      <c r="N241" s="22"/>
    </row>
    <row r="242" spans="1:14" x14ac:dyDescent="0.3">
      <c r="A242" s="15" t="str">
        <f>IF(COUNTA($B242:$E242,$K242)=0,"",IF(AND($B242&lt;&gt;"",$C242&lt;&gt;"",$D242&lt;&gt;"",$E242&lt;&gt;""),"TXS"&amp;TEXT(COUNTIFS($B$2:$B242,"&lt;&gt;",$C$2:$C242,"&lt;&gt;",$D$2:$D242,"&lt;&gt;",$E$2:$E242,"&lt;&gt;"),"00000"),""))</f>
        <v/>
      </c>
      <c r="B242" s="16"/>
      <c r="C242" s="20"/>
      <c r="D242" s="20"/>
      <c r="E242" s="23"/>
      <c r="H242" s="19" t="str">
        <f t="shared" si="18"/>
        <v/>
      </c>
      <c r="I242" s="19" t="str">
        <f t="shared" si="17"/>
        <v/>
      </c>
      <c r="J242" s="19" t="str">
        <f t="shared" ref="J242:J305" si="19">IF(NOT(AND($B242&lt;&gt;"",$C242&lt;&gt;"",$D242&lt;&gt;"",$E242&lt;&gt;"")),"",IF($A242="","","Max Planck plate "&amp;INT((VALUE(RIGHT($A242,5))-1)/96)+1&amp;": "&amp;CHAR(65+INT(MOD(VALUE(RIGHT($A242,5))-1,96)/12))&amp;(MOD(VALUE(RIGHT($A242,5))-1,12)+1)))</f>
        <v/>
      </c>
      <c r="K242" s="20"/>
      <c r="L242" s="21" t="str">
        <f>IF(OR(NOT(AND($B242&lt;&gt;"",$C242&lt;&gt;"",$D242&lt;&gt;"",$E242&lt;&gt;"")),$A242="",$K242&lt;&gt;"Yes"),"",IF($L242&lt;&gt;"",$L242,INDEX(SETUP!$I$1:$I$2000,MATCH(TRUE,SETUP!$J$1:$J$2000,0)+COUNTIFS($A$2:$A242,"&lt;&gt;",$K$2:$K242,"Yes",$L$2:$L242,"")-1)))</f>
        <v/>
      </c>
      <c r="N242" s="22"/>
    </row>
    <row r="243" spans="1:14" x14ac:dyDescent="0.3">
      <c r="A243" s="15" t="str">
        <f>IF(COUNTA($B243:$E243,$K243)=0,"",IF(AND($B243&lt;&gt;"",$C243&lt;&gt;"",$D243&lt;&gt;"",$E243&lt;&gt;""),"TXS"&amp;TEXT(COUNTIFS($B$2:$B243,"&lt;&gt;",$C$2:$C243,"&lt;&gt;",$D$2:$D243,"&lt;&gt;",$E$2:$E243,"&lt;&gt;"),"00000"),""))</f>
        <v/>
      </c>
      <c r="B243" s="16"/>
      <c r="C243" s="20"/>
      <c r="D243" s="20"/>
      <c r="E243" s="23"/>
      <c r="H243" s="19" t="str">
        <f t="shared" si="18"/>
        <v/>
      </c>
      <c r="I243" s="19" t="str">
        <f t="shared" si="17"/>
        <v/>
      </c>
      <c r="J243" s="19" t="str">
        <f t="shared" si="19"/>
        <v/>
      </c>
      <c r="K243" s="20"/>
      <c r="L243" s="21" t="str">
        <f>IF(OR(NOT(AND($B243&lt;&gt;"",$C243&lt;&gt;"",$D243&lt;&gt;"",$E243&lt;&gt;"")),$A243="",$K243&lt;&gt;"Yes"),"",IF($L243&lt;&gt;"",$L243,INDEX(SETUP!$I$1:$I$2000,MATCH(TRUE,SETUP!$J$1:$J$2000,0)+COUNTIFS($A$2:$A243,"&lt;&gt;",$K$2:$K243,"Yes",$L$2:$L243,"")-1)))</f>
        <v/>
      </c>
      <c r="N243" s="22"/>
    </row>
    <row r="244" spans="1:14" x14ac:dyDescent="0.3">
      <c r="A244" s="15" t="str">
        <f>IF(COUNTA($B244:$E244,$K244)=0,"",IF(AND($B244&lt;&gt;"",$C244&lt;&gt;"",$D244&lt;&gt;"",$E244&lt;&gt;""),"TXS"&amp;TEXT(COUNTIFS($B$2:$B244,"&lt;&gt;",$C$2:$C244,"&lt;&gt;",$D$2:$D244,"&lt;&gt;",$E$2:$E244,"&lt;&gt;"),"00000"),""))</f>
        <v/>
      </c>
      <c r="B244" s="16"/>
      <c r="C244" s="20"/>
      <c r="D244" s="20"/>
      <c r="E244" s="23"/>
      <c r="H244" s="19" t="str">
        <f t="shared" si="18"/>
        <v/>
      </c>
      <c r="I244" s="19" t="str">
        <f t="shared" si="17"/>
        <v/>
      </c>
      <c r="J244" s="19" t="str">
        <f t="shared" si="19"/>
        <v/>
      </c>
      <c r="K244" s="20"/>
      <c r="L244" s="21" t="str">
        <f>IF(OR(NOT(AND($B244&lt;&gt;"",$C244&lt;&gt;"",$D244&lt;&gt;"",$E244&lt;&gt;"")),$A244="",$K244&lt;&gt;"Yes"),"",IF($L244&lt;&gt;"",$L244,INDEX(SETUP!$I$1:$I$2000,MATCH(TRUE,SETUP!$J$1:$J$2000,0)+COUNTIFS($A$2:$A244,"&lt;&gt;",$K$2:$K244,"Yes",$L$2:$L244,"")-1)))</f>
        <v/>
      </c>
      <c r="N244" s="22"/>
    </row>
    <row r="245" spans="1:14" x14ac:dyDescent="0.3">
      <c r="A245" s="15" t="str">
        <f>IF(COUNTA($B245:$E245,$K245)=0,"",IF(AND($B245&lt;&gt;"",$C245&lt;&gt;"",$D245&lt;&gt;"",$E245&lt;&gt;""),"TXS"&amp;TEXT(COUNTIFS($B$2:$B245,"&lt;&gt;",$C$2:$C245,"&lt;&gt;",$D$2:$D245,"&lt;&gt;",$E$2:$E245,"&lt;&gt;"),"00000"),""))</f>
        <v/>
      </c>
      <c r="B245" s="16"/>
      <c r="C245" s="20"/>
      <c r="D245" s="20"/>
      <c r="E245" s="23"/>
      <c r="H245" s="19" t="str">
        <f t="shared" si="18"/>
        <v/>
      </c>
      <c r="I245" s="19" t="str">
        <f t="shared" si="17"/>
        <v/>
      </c>
      <c r="J245" s="19" t="str">
        <f t="shared" si="19"/>
        <v/>
      </c>
      <c r="K245" s="20"/>
      <c r="L245" s="21" t="str">
        <f>IF(OR(NOT(AND($B245&lt;&gt;"",$C245&lt;&gt;"",$D245&lt;&gt;"",$E245&lt;&gt;"")),$A245="",$K245&lt;&gt;"Yes"),"",IF($L245&lt;&gt;"",$L245,INDEX(SETUP!$I$1:$I$2000,MATCH(TRUE,SETUP!$J$1:$J$2000,0)+COUNTIFS($A$2:$A245,"&lt;&gt;",$K$2:$K245,"Yes",$L$2:$L245,"")-1)))</f>
        <v/>
      </c>
      <c r="N245" s="22"/>
    </row>
    <row r="246" spans="1:14" x14ac:dyDescent="0.3">
      <c r="A246" s="15" t="str">
        <f>IF(COUNTA($B246:$E246,$K246)=0,"",IF(AND($B246&lt;&gt;"",$C246&lt;&gt;"",$D246&lt;&gt;"",$E246&lt;&gt;""),"TXS"&amp;TEXT(COUNTIFS($B$2:$B246,"&lt;&gt;",$C$2:$C246,"&lt;&gt;",$D$2:$D246,"&lt;&gt;",$E$2:$E246,"&lt;&gt;"),"00000"),""))</f>
        <v/>
      </c>
      <c r="B246" s="16"/>
      <c r="C246" s="20"/>
      <c r="D246" s="20"/>
      <c r="E246" s="23"/>
      <c r="H246" s="19" t="str">
        <f t="shared" si="18"/>
        <v/>
      </c>
      <c r="I246" s="19" t="str">
        <f t="shared" si="17"/>
        <v/>
      </c>
      <c r="J246" s="19" t="str">
        <f t="shared" si="19"/>
        <v/>
      </c>
      <c r="K246" s="20"/>
      <c r="L246" s="21" t="str">
        <f>IF(OR(NOT(AND($B246&lt;&gt;"",$C246&lt;&gt;"",$D246&lt;&gt;"",$E246&lt;&gt;"")),$A246="",$K246&lt;&gt;"Yes"),"",IF($L246&lt;&gt;"",$L246,INDEX(SETUP!$I$1:$I$2000,MATCH(TRUE,SETUP!$J$1:$J$2000,0)+COUNTIFS($A$2:$A246,"&lt;&gt;",$K$2:$K246,"Yes",$L$2:$L246,"")-1)))</f>
        <v/>
      </c>
      <c r="N246" s="22"/>
    </row>
    <row r="247" spans="1:14" x14ac:dyDescent="0.3">
      <c r="A247" s="15" t="str">
        <f>IF(COUNTA($B247:$E247,$K247)=0,"",IF(AND($B247&lt;&gt;"",$C247&lt;&gt;"",$D247&lt;&gt;"",$E247&lt;&gt;""),"TXS"&amp;TEXT(COUNTIFS($B$2:$B247,"&lt;&gt;",$C$2:$C247,"&lt;&gt;",$D$2:$D247,"&lt;&gt;",$E$2:$E247,"&lt;&gt;"),"00000"),""))</f>
        <v/>
      </c>
      <c r="B247" s="16"/>
      <c r="C247" s="20"/>
      <c r="D247" s="20"/>
      <c r="E247" s="23"/>
      <c r="H247" s="19" t="str">
        <f t="shared" si="18"/>
        <v/>
      </c>
      <c r="I247" s="19" t="str">
        <f t="shared" si="17"/>
        <v/>
      </c>
      <c r="J247" s="19" t="str">
        <f t="shared" si="19"/>
        <v/>
      </c>
      <c r="K247" s="20"/>
      <c r="L247" s="21" t="str">
        <f>IF(OR(NOT(AND($B247&lt;&gt;"",$C247&lt;&gt;"",$D247&lt;&gt;"",$E247&lt;&gt;"")),$A247="",$K247&lt;&gt;"Yes"),"",IF($L247&lt;&gt;"",$L247,INDEX(SETUP!$I$1:$I$2000,MATCH(TRUE,SETUP!$J$1:$J$2000,0)+COUNTIFS($A$2:$A247,"&lt;&gt;",$K$2:$K247,"Yes",$L$2:$L247,"")-1)))</f>
        <v/>
      </c>
      <c r="N247" s="22"/>
    </row>
    <row r="248" spans="1:14" x14ac:dyDescent="0.3">
      <c r="A248" s="15" t="str">
        <f>IF(COUNTA($B248:$E248,$K248)=0,"",IF(AND($B248&lt;&gt;"",$C248&lt;&gt;"",$D248&lt;&gt;"",$E248&lt;&gt;""),"TXS"&amp;TEXT(COUNTIFS($B$2:$B248,"&lt;&gt;",$C$2:$C248,"&lt;&gt;",$D$2:$D248,"&lt;&gt;",$E$2:$E248,"&lt;&gt;"),"00000"),""))</f>
        <v/>
      </c>
      <c r="B248" s="16"/>
      <c r="C248" s="20"/>
      <c r="D248" s="20"/>
      <c r="E248" s="23"/>
      <c r="H248" s="19" t="str">
        <f t="shared" si="18"/>
        <v/>
      </c>
      <c r="I248" s="19" t="str">
        <f t="shared" si="17"/>
        <v/>
      </c>
      <c r="J248" s="19" t="str">
        <f t="shared" si="19"/>
        <v/>
      </c>
      <c r="K248" s="20"/>
      <c r="L248" s="21" t="str">
        <f>IF(OR(NOT(AND($B248&lt;&gt;"",$C248&lt;&gt;"",$D248&lt;&gt;"",$E248&lt;&gt;"")),$A248="",$K248&lt;&gt;"Yes"),"",IF($L248&lt;&gt;"",$L248,INDEX(SETUP!$I$1:$I$2000,MATCH(TRUE,SETUP!$J$1:$J$2000,0)+COUNTIFS($A$2:$A248,"&lt;&gt;",$K$2:$K248,"Yes",$L$2:$L248,"")-1)))</f>
        <v/>
      </c>
      <c r="N248" s="22"/>
    </row>
    <row r="249" spans="1:14" x14ac:dyDescent="0.3">
      <c r="A249" s="15" t="str">
        <f>IF(COUNTA($B249:$E249,$K249)=0,"",IF(AND($B249&lt;&gt;"",$C249&lt;&gt;"",$D249&lt;&gt;"",$E249&lt;&gt;""),"TXS"&amp;TEXT(COUNTIFS($B$2:$B249,"&lt;&gt;",$C$2:$C249,"&lt;&gt;",$D$2:$D249,"&lt;&gt;",$E$2:$E249,"&lt;&gt;"),"00000"),""))</f>
        <v/>
      </c>
      <c r="B249" s="16"/>
      <c r="C249" s="20"/>
      <c r="D249" s="20"/>
      <c r="E249" s="23"/>
      <c r="H249" s="19" t="str">
        <f t="shared" si="18"/>
        <v/>
      </c>
      <c r="I249" s="19" t="str">
        <f t="shared" si="17"/>
        <v/>
      </c>
      <c r="J249" s="19" t="str">
        <f t="shared" si="19"/>
        <v/>
      </c>
      <c r="K249" s="20"/>
      <c r="L249" s="21" t="str">
        <f>IF(OR(NOT(AND($B249&lt;&gt;"",$C249&lt;&gt;"",$D249&lt;&gt;"",$E249&lt;&gt;"")),$A249="",$K249&lt;&gt;"Yes"),"",IF($L249&lt;&gt;"",$L249,INDEX(SETUP!$I$1:$I$2000,MATCH(TRUE,SETUP!$J$1:$J$2000,0)+COUNTIFS($A$2:$A249,"&lt;&gt;",$K$2:$K249,"Yes",$L$2:$L249,"")-1)))</f>
        <v/>
      </c>
      <c r="N249" s="22"/>
    </row>
    <row r="250" spans="1:14" x14ac:dyDescent="0.3">
      <c r="A250" s="15" t="str">
        <f>IF(COUNTA($B250:$E250,$K250)=0,"",IF(AND($B250&lt;&gt;"",$C250&lt;&gt;"",$D250&lt;&gt;"",$E250&lt;&gt;""),"TXS"&amp;TEXT(COUNTIFS($B$2:$B250,"&lt;&gt;",$C$2:$C250,"&lt;&gt;",$D$2:$D250,"&lt;&gt;",$E$2:$E250,"&lt;&gt;"),"00000"),""))</f>
        <v/>
      </c>
      <c r="B250" s="16"/>
      <c r="C250" s="20"/>
      <c r="D250" s="20"/>
      <c r="E250" s="23"/>
      <c r="H250" s="19" t="str">
        <f t="shared" si="18"/>
        <v/>
      </c>
      <c r="I250" s="19" t="str">
        <f t="shared" si="17"/>
        <v/>
      </c>
      <c r="J250" s="19" t="str">
        <f t="shared" si="19"/>
        <v/>
      </c>
      <c r="K250" s="20"/>
      <c r="L250" s="21" t="str">
        <f>IF(OR(NOT(AND($B250&lt;&gt;"",$C250&lt;&gt;"",$D250&lt;&gt;"",$E250&lt;&gt;"")),$A250="",$K250&lt;&gt;"Yes"),"",IF($L250&lt;&gt;"",$L250,INDEX(SETUP!$I$1:$I$2000,MATCH(TRUE,SETUP!$J$1:$J$2000,0)+COUNTIFS($A$2:$A250,"&lt;&gt;",$K$2:$K250,"Yes",$L$2:$L250,"")-1)))</f>
        <v/>
      </c>
      <c r="N250" s="22"/>
    </row>
    <row r="251" spans="1:14" x14ac:dyDescent="0.3">
      <c r="A251" s="15" t="str">
        <f>IF(COUNTA($B251:$E251,$K251)=0,"",IF(AND($B251&lt;&gt;"",$C251&lt;&gt;"",$D251&lt;&gt;"",$E251&lt;&gt;""),"TXS"&amp;TEXT(COUNTIFS($B$2:$B251,"&lt;&gt;",$C$2:$C251,"&lt;&gt;",$D$2:$D251,"&lt;&gt;",$E$2:$E251,"&lt;&gt;"),"00000"),""))</f>
        <v/>
      </c>
      <c r="B251" s="16"/>
      <c r="C251" s="20"/>
      <c r="D251" s="20"/>
      <c r="E251" s="23"/>
      <c r="H251" s="19" t="str">
        <f t="shared" si="18"/>
        <v/>
      </c>
      <c r="I251" s="19" t="str">
        <f t="shared" si="17"/>
        <v/>
      </c>
      <c r="J251" s="19" t="str">
        <f t="shared" si="19"/>
        <v/>
      </c>
      <c r="K251" s="20"/>
      <c r="L251" s="21" t="str">
        <f>IF(OR(NOT(AND($B251&lt;&gt;"",$C251&lt;&gt;"",$D251&lt;&gt;"",$E251&lt;&gt;"")),$A251="",$K251&lt;&gt;"Yes"),"",IF($L251&lt;&gt;"",$L251,INDEX(SETUP!$I$1:$I$2000,MATCH(TRUE,SETUP!$J$1:$J$2000,0)+COUNTIFS($A$2:$A251,"&lt;&gt;",$K$2:$K251,"Yes",$L$2:$L251,"")-1)))</f>
        <v/>
      </c>
      <c r="N251" s="22"/>
    </row>
    <row r="252" spans="1:14" x14ac:dyDescent="0.3">
      <c r="A252" s="15" t="str">
        <f>IF(COUNTA($B252:$E252,$K252)=0,"",IF(AND($B252&lt;&gt;"",$C252&lt;&gt;"",$D252&lt;&gt;"",$E252&lt;&gt;""),"TXS"&amp;TEXT(COUNTIFS($B$2:$B252,"&lt;&gt;",$C$2:$C252,"&lt;&gt;",$D$2:$D252,"&lt;&gt;",$E$2:$E252,"&lt;&gt;"),"00000"),""))</f>
        <v/>
      </c>
      <c r="B252" s="16"/>
      <c r="C252" s="20"/>
      <c r="D252" s="20"/>
      <c r="E252" s="23"/>
      <c r="H252" s="19" t="str">
        <f t="shared" si="18"/>
        <v/>
      </c>
      <c r="I252" s="19" t="str">
        <f t="shared" si="17"/>
        <v/>
      </c>
      <c r="J252" s="19" t="str">
        <f t="shared" si="19"/>
        <v/>
      </c>
      <c r="K252" s="20"/>
      <c r="L252" s="21" t="str">
        <f>IF(OR(NOT(AND($B252&lt;&gt;"",$C252&lt;&gt;"",$D252&lt;&gt;"",$E252&lt;&gt;"")),$A252="",$K252&lt;&gt;"Yes"),"",IF($L252&lt;&gt;"",$L252,INDEX(SETUP!$I$1:$I$2000,MATCH(TRUE,SETUP!$J$1:$J$2000,0)+COUNTIFS($A$2:$A252,"&lt;&gt;",$K$2:$K252,"Yes",$L$2:$L252,"")-1)))</f>
        <v/>
      </c>
      <c r="N252" s="22"/>
    </row>
    <row r="253" spans="1:14" x14ac:dyDescent="0.3">
      <c r="A253" s="15" t="str">
        <f>IF(COUNTA($B253:$E253,$K253)=0,"",IF(AND($B253&lt;&gt;"",$C253&lt;&gt;"",$D253&lt;&gt;"",$E253&lt;&gt;""),"TXS"&amp;TEXT(COUNTIFS($B$2:$B253,"&lt;&gt;",$C$2:$C253,"&lt;&gt;",$D$2:$D253,"&lt;&gt;",$E$2:$E253,"&lt;&gt;"),"00000"),""))</f>
        <v/>
      </c>
      <c r="B253" s="16"/>
      <c r="C253" s="20"/>
      <c r="D253" s="20"/>
      <c r="E253" s="23"/>
      <c r="H253" s="19" t="str">
        <f t="shared" si="18"/>
        <v/>
      </c>
      <c r="I253" s="19" t="str">
        <f t="shared" si="17"/>
        <v/>
      </c>
      <c r="J253" s="19" t="str">
        <f t="shared" si="19"/>
        <v/>
      </c>
      <c r="K253" s="20"/>
      <c r="L253" s="21" t="str">
        <f>IF(OR(NOT(AND($B253&lt;&gt;"",$C253&lt;&gt;"",$D253&lt;&gt;"",$E253&lt;&gt;"")),$A253="",$K253&lt;&gt;"Yes"),"",IF($L253&lt;&gt;"",$L253,INDEX(SETUP!$I$1:$I$2000,MATCH(TRUE,SETUP!$J$1:$J$2000,0)+COUNTIFS($A$2:$A253,"&lt;&gt;",$K$2:$K253,"Yes",$L$2:$L253,"")-1)))</f>
        <v/>
      </c>
      <c r="N253" s="22"/>
    </row>
    <row r="254" spans="1:14" x14ac:dyDescent="0.3">
      <c r="A254" s="15" t="str">
        <f>IF(COUNTA($B254:$E254,$K254)=0,"",IF(AND($B254&lt;&gt;"",$C254&lt;&gt;"",$D254&lt;&gt;"",$E254&lt;&gt;""),"TXS"&amp;TEXT(COUNTIFS($B$2:$B254,"&lt;&gt;",$C$2:$C254,"&lt;&gt;",$D$2:$D254,"&lt;&gt;",$E$2:$E254,"&lt;&gt;"),"00000"),""))</f>
        <v/>
      </c>
      <c r="B254" s="16"/>
      <c r="C254" s="20"/>
      <c r="D254" s="20"/>
      <c r="E254" s="23"/>
      <c r="H254" s="19" t="str">
        <f t="shared" si="18"/>
        <v/>
      </c>
      <c r="I254" s="19" t="str">
        <f t="shared" si="17"/>
        <v/>
      </c>
      <c r="J254" s="19" t="str">
        <f t="shared" si="19"/>
        <v/>
      </c>
      <c r="K254" s="20"/>
      <c r="L254" s="21" t="str">
        <f>IF(OR(NOT(AND($B254&lt;&gt;"",$C254&lt;&gt;"",$D254&lt;&gt;"",$E254&lt;&gt;"")),$A254="",$K254&lt;&gt;"Yes"),"",IF($L254&lt;&gt;"",$L254,INDEX(SETUP!$I$1:$I$2000,MATCH(TRUE,SETUP!$J$1:$J$2000,0)+COUNTIFS($A$2:$A254,"&lt;&gt;",$K$2:$K254,"Yes",$L$2:$L254,"")-1)))</f>
        <v/>
      </c>
      <c r="N254" s="22"/>
    </row>
    <row r="255" spans="1:14" x14ac:dyDescent="0.3">
      <c r="A255" s="15" t="str">
        <f>IF(COUNTA($B255:$E255,$K255)=0,"",IF(AND($B255&lt;&gt;"",$C255&lt;&gt;"",$D255&lt;&gt;"",$E255&lt;&gt;""),"TXS"&amp;TEXT(COUNTIFS($B$2:$B255,"&lt;&gt;",$C$2:$C255,"&lt;&gt;",$D$2:$D255,"&lt;&gt;",$E$2:$E255,"&lt;&gt;"),"00000"),""))</f>
        <v/>
      </c>
      <c r="B255" s="16"/>
      <c r="C255" s="20"/>
      <c r="D255" s="20"/>
      <c r="E255" s="23"/>
      <c r="H255" s="19" t="str">
        <f t="shared" si="18"/>
        <v/>
      </c>
      <c r="I255" s="19" t="str">
        <f t="shared" si="17"/>
        <v/>
      </c>
      <c r="J255" s="19" t="str">
        <f t="shared" si="19"/>
        <v/>
      </c>
      <c r="K255" s="20"/>
      <c r="L255" s="21" t="str">
        <f>IF(OR(NOT(AND($B255&lt;&gt;"",$C255&lt;&gt;"",$D255&lt;&gt;"",$E255&lt;&gt;"")),$A255="",$K255&lt;&gt;"Yes"),"",IF($L255&lt;&gt;"",$L255,INDEX(SETUP!$I$1:$I$2000,MATCH(TRUE,SETUP!$J$1:$J$2000,0)+COUNTIFS($A$2:$A255,"&lt;&gt;",$K$2:$K255,"Yes",$L$2:$L255,"")-1)))</f>
        <v/>
      </c>
      <c r="N255" s="22"/>
    </row>
    <row r="256" spans="1:14" x14ac:dyDescent="0.3">
      <c r="A256" s="15" t="str">
        <f>IF(COUNTA($B256:$E256,$K256)=0,"",IF(AND($B256&lt;&gt;"",$C256&lt;&gt;"",$D256&lt;&gt;"",$E256&lt;&gt;""),"TXS"&amp;TEXT(COUNTIFS($B$2:$B256,"&lt;&gt;",$C$2:$C256,"&lt;&gt;",$D$2:$D256,"&lt;&gt;",$E$2:$E256,"&lt;&gt;"),"00000"),""))</f>
        <v/>
      </c>
      <c r="B256" s="16"/>
      <c r="C256" s="20"/>
      <c r="D256" s="20"/>
      <c r="E256" s="23"/>
      <c r="H256" s="19" t="str">
        <f t="shared" si="18"/>
        <v/>
      </c>
      <c r="I256" s="19" t="str">
        <f t="shared" si="17"/>
        <v/>
      </c>
      <c r="J256" s="19" t="str">
        <f t="shared" si="19"/>
        <v/>
      </c>
      <c r="K256" s="20"/>
      <c r="L256" s="21" t="str">
        <f>IF(OR(NOT(AND($B256&lt;&gt;"",$C256&lt;&gt;"",$D256&lt;&gt;"",$E256&lt;&gt;"")),$A256="",$K256&lt;&gt;"Yes"),"",IF($L256&lt;&gt;"",$L256,INDEX(SETUP!$I$1:$I$2000,MATCH(TRUE,SETUP!$J$1:$J$2000,0)+COUNTIFS($A$2:$A256,"&lt;&gt;",$K$2:$K256,"Yes",$L$2:$L256,"")-1)))</f>
        <v/>
      </c>
      <c r="N256" s="22"/>
    </row>
    <row r="257" spans="1:14" x14ac:dyDescent="0.3">
      <c r="A257" s="15" t="str">
        <f>IF(COUNTA($B257:$E257,$K257)=0,"",IF(AND($B257&lt;&gt;"",$C257&lt;&gt;"",$D257&lt;&gt;"",$E257&lt;&gt;""),"TXS"&amp;TEXT(COUNTIFS($B$2:$B257,"&lt;&gt;",$C$2:$C257,"&lt;&gt;",$D$2:$D257,"&lt;&gt;",$E$2:$E257,"&lt;&gt;"),"00000"),""))</f>
        <v/>
      </c>
      <c r="B257" s="16"/>
      <c r="C257" s="20"/>
      <c r="D257" s="20"/>
      <c r="E257" s="23"/>
      <c r="H257" s="19" t="str">
        <f t="shared" si="18"/>
        <v/>
      </c>
      <c r="I257" s="19" t="str">
        <f t="shared" si="17"/>
        <v/>
      </c>
      <c r="J257" s="19" t="str">
        <f t="shared" si="19"/>
        <v/>
      </c>
      <c r="K257" s="20"/>
      <c r="L257" s="21" t="str">
        <f>IF(OR(NOT(AND($B257&lt;&gt;"",$C257&lt;&gt;"",$D257&lt;&gt;"",$E257&lt;&gt;"")),$A257="",$K257&lt;&gt;"Yes"),"",IF($L257&lt;&gt;"",$L257,INDEX(SETUP!$I$1:$I$2000,MATCH(TRUE,SETUP!$J$1:$J$2000,0)+COUNTIFS($A$2:$A257,"&lt;&gt;",$K$2:$K257,"Yes",$L$2:$L257,"")-1)))</f>
        <v/>
      </c>
      <c r="N257" s="22"/>
    </row>
    <row r="258" spans="1:14" x14ac:dyDescent="0.3">
      <c r="A258" s="15" t="str">
        <f>IF(COUNTA($B258:$E258,$K258)=0,"",IF(AND($B258&lt;&gt;"",$C258&lt;&gt;"",$D258&lt;&gt;"",$E258&lt;&gt;""),"TXS"&amp;TEXT(COUNTIFS($B$2:$B258,"&lt;&gt;",$C$2:$C258,"&lt;&gt;",$D$2:$D258,"&lt;&gt;",$E$2:$E258,"&lt;&gt;"),"00000"),""))</f>
        <v/>
      </c>
      <c r="B258" s="16"/>
      <c r="C258" s="20"/>
      <c r="D258" s="20"/>
      <c r="E258" s="23"/>
      <c r="H258" s="19" t="str">
        <f t="shared" si="18"/>
        <v/>
      </c>
      <c r="I258" s="19" t="str">
        <f t="shared" si="17"/>
        <v/>
      </c>
      <c r="J258" s="19" t="str">
        <f t="shared" si="19"/>
        <v/>
      </c>
      <c r="K258" s="20"/>
      <c r="L258" s="21" t="str">
        <f>IF(OR(NOT(AND($B258&lt;&gt;"",$C258&lt;&gt;"",$D258&lt;&gt;"",$E258&lt;&gt;"")),$A258="",$K258&lt;&gt;"Yes"),"",IF($L258&lt;&gt;"",$L258,INDEX(SETUP!$I$1:$I$2000,MATCH(TRUE,SETUP!$J$1:$J$2000,0)+COUNTIFS($A$2:$A258,"&lt;&gt;",$K$2:$K258,"Yes",$L$2:$L258,"")-1)))</f>
        <v/>
      </c>
      <c r="N258" s="22"/>
    </row>
    <row r="259" spans="1:14" x14ac:dyDescent="0.3">
      <c r="A259" s="15" t="str">
        <f>IF(COUNTA($B259:$E259,$K259)=0,"",IF(AND($B259&lt;&gt;"",$C259&lt;&gt;"",$D259&lt;&gt;"",$E259&lt;&gt;""),"TXS"&amp;TEXT(COUNTIFS($B$2:$B259,"&lt;&gt;",$C$2:$C259,"&lt;&gt;",$D$2:$D259,"&lt;&gt;",$E$2:$E259,"&lt;&gt;"),"00000"),""))</f>
        <v/>
      </c>
      <c r="B259" s="16"/>
      <c r="C259" s="20"/>
      <c r="D259" s="20"/>
      <c r="E259" s="23"/>
      <c r="H259" s="19" t="str">
        <f t="shared" si="18"/>
        <v/>
      </c>
      <c r="I259" s="19" t="str">
        <f t="shared" si="17"/>
        <v/>
      </c>
      <c r="J259" s="19" t="str">
        <f t="shared" si="19"/>
        <v/>
      </c>
      <c r="K259" s="20"/>
      <c r="L259" s="21" t="str">
        <f>IF(OR(NOT(AND($B259&lt;&gt;"",$C259&lt;&gt;"",$D259&lt;&gt;"",$E259&lt;&gt;"")),$A259="",$K259&lt;&gt;"Yes"),"",IF($L259&lt;&gt;"",$L259,INDEX(SETUP!$I$1:$I$2000,MATCH(TRUE,SETUP!$J$1:$J$2000,0)+COUNTIFS($A$2:$A259,"&lt;&gt;",$K$2:$K259,"Yes",$L$2:$L259,"")-1)))</f>
        <v/>
      </c>
      <c r="N259" s="22"/>
    </row>
    <row r="260" spans="1:14" x14ac:dyDescent="0.3">
      <c r="A260" s="15" t="str">
        <f>IF(COUNTA($B260:$E260,$K260)=0,"",IF(AND($B260&lt;&gt;"",$C260&lt;&gt;"",$D260&lt;&gt;"",$E260&lt;&gt;""),"TXS"&amp;TEXT(COUNTIFS($B$2:$B260,"&lt;&gt;",$C$2:$C260,"&lt;&gt;",$D$2:$D260,"&lt;&gt;",$E$2:$E260,"&lt;&gt;"),"00000"),""))</f>
        <v/>
      </c>
      <c r="B260" s="16"/>
      <c r="C260" s="20"/>
      <c r="D260" s="20"/>
      <c r="E260" s="23"/>
      <c r="H260" s="19" t="str">
        <f t="shared" si="18"/>
        <v/>
      </c>
      <c r="I260" s="19" t="str">
        <f t="shared" si="17"/>
        <v/>
      </c>
      <c r="J260" s="19" t="str">
        <f t="shared" si="19"/>
        <v/>
      </c>
      <c r="K260" s="20"/>
      <c r="L260" s="21" t="str">
        <f>IF(OR(NOT(AND($B260&lt;&gt;"",$C260&lt;&gt;"",$D260&lt;&gt;"",$E260&lt;&gt;"")),$A260="",$K260&lt;&gt;"Yes"),"",IF($L260&lt;&gt;"",$L260,INDEX(SETUP!$I$1:$I$2000,MATCH(TRUE,SETUP!$J$1:$J$2000,0)+COUNTIFS($A$2:$A260,"&lt;&gt;",$K$2:$K260,"Yes",$L$2:$L260,"")-1)))</f>
        <v/>
      </c>
      <c r="N260" s="22"/>
    </row>
    <row r="261" spans="1:14" x14ac:dyDescent="0.3">
      <c r="A261" s="15" t="str">
        <f>IF(COUNTA($B261:$E261,$K261)=0,"",IF(AND($B261&lt;&gt;"",$C261&lt;&gt;"",$D261&lt;&gt;"",$E261&lt;&gt;""),"TXS"&amp;TEXT(COUNTIFS($B$2:$B261,"&lt;&gt;",$C$2:$C261,"&lt;&gt;",$D$2:$D261,"&lt;&gt;",$E$2:$E261,"&lt;&gt;"),"00000"),""))</f>
        <v/>
      </c>
      <c r="B261" s="16"/>
      <c r="C261" s="20"/>
      <c r="D261" s="20"/>
      <c r="E261" s="23"/>
      <c r="H261" s="19" t="str">
        <f t="shared" si="18"/>
        <v/>
      </c>
      <c r="I261" s="19" t="str">
        <f t="shared" si="17"/>
        <v/>
      </c>
      <c r="J261" s="19" t="str">
        <f t="shared" si="19"/>
        <v/>
      </c>
      <c r="K261" s="20"/>
      <c r="L261" s="21" t="str">
        <f>IF(OR(NOT(AND($B261&lt;&gt;"",$C261&lt;&gt;"",$D261&lt;&gt;"",$E261&lt;&gt;"")),$A261="",$K261&lt;&gt;"Yes"),"",IF($L261&lt;&gt;"",$L261,INDEX(SETUP!$I$1:$I$2000,MATCH(TRUE,SETUP!$J$1:$J$2000,0)+COUNTIFS($A$2:$A261,"&lt;&gt;",$K$2:$K261,"Yes",$L$2:$L261,"")-1)))</f>
        <v/>
      </c>
      <c r="N261" s="22"/>
    </row>
    <row r="262" spans="1:14" x14ac:dyDescent="0.3">
      <c r="A262" s="15" t="str">
        <f>IF(COUNTA($B262:$E262,$K262)=0,"",IF(AND($B262&lt;&gt;"",$C262&lt;&gt;"",$D262&lt;&gt;"",$E262&lt;&gt;""),"TXS"&amp;TEXT(COUNTIFS($B$2:$B262,"&lt;&gt;",$C$2:$C262,"&lt;&gt;",$D$2:$D262,"&lt;&gt;",$E$2:$E262,"&lt;&gt;"),"00000"),""))</f>
        <v/>
      </c>
      <c r="B262" s="16"/>
      <c r="C262" s="20"/>
      <c r="D262" s="20"/>
      <c r="E262" s="23"/>
      <c r="H262" s="19" t="str">
        <f t="shared" si="18"/>
        <v/>
      </c>
      <c r="I262" s="19" t="str">
        <f t="shared" si="17"/>
        <v/>
      </c>
      <c r="J262" s="19" t="str">
        <f t="shared" si="19"/>
        <v/>
      </c>
      <c r="K262" s="20"/>
      <c r="L262" s="21" t="str">
        <f>IF(OR(NOT(AND($B262&lt;&gt;"",$C262&lt;&gt;"",$D262&lt;&gt;"",$E262&lt;&gt;"")),$A262="",$K262&lt;&gt;"Yes"),"",IF($L262&lt;&gt;"",$L262,INDEX(SETUP!$I$1:$I$2000,MATCH(TRUE,SETUP!$J$1:$J$2000,0)+COUNTIFS($A$2:$A262,"&lt;&gt;",$K$2:$K262,"Yes",$L$2:$L262,"")-1)))</f>
        <v/>
      </c>
      <c r="N262" s="22"/>
    </row>
    <row r="263" spans="1:14" x14ac:dyDescent="0.3">
      <c r="A263" s="15" t="str">
        <f>IF(COUNTA($B263:$E263,$K263)=0,"",IF(AND($B263&lt;&gt;"",$C263&lt;&gt;"",$D263&lt;&gt;"",$E263&lt;&gt;""),"TXS"&amp;TEXT(COUNTIFS($B$2:$B263,"&lt;&gt;",$C$2:$C263,"&lt;&gt;",$D$2:$D263,"&lt;&gt;",$E$2:$E263,"&lt;&gt;"),"00000"),""))</f>
        <v/>
      </c>
      <c r="B263" s="16"/>
      <c r="C263" s="20"/>
      <c r="D263" s="20"/>
      <c r="E263" s="23"/>
      <c r="H263" s="19" t="str">
        <f t="shared" si="18"/>
        <v/>
      </c>
      <c r="I263" s="19" t="str">
        <f t="shared" si="17"/>
        <v/>
      </c>
      <c r="J263" s="19" t="str">
        <f t="shared" si="19"/>
        <v/>
      </c>
      <c r="K263" s="20"/>
      <c r="L263" s="21" t="str">
        <f>IF(OR(NOT(AND($B263&lt;&gt;"",$C263&lt;&gt;"",$D263&lt;&gt;"",$E263&lt;&gt;"")),$A263="",$K263&lt;&gt;"Yes"),"",IF($L263&lt;&gt;"",$L263,INDEX(SETUP!$I$1:$I$2000,MATCH(TRUE,SETUP!$J$1:$J$2000,0)+COUNTIFS($A$2:$A263,"&lt;&gt;",$K$2:$K263,"Yes",$L$2:$L263,"")-1)))</f>
        <v/>
      </c>
      <c r="N263" s="22"/>
    </row>
    <row r="264" spans="1:14" x14ac:dyDescent="0.3">
      <c r="A264" s="15" t="str">
        <f>IF(COUNTA($B264:$E264,$K264)=0,"",IF(AND($B264&lt;&gt;"",$C264&lt;&gt;"",$D264&lt;&gt;"",$E264&lt;&gt;""),"TXS"&amp;TEXT(COUNTIFS($B$2:$B264,"&lt;&gt;",$C$2:$C264,"&lt;&gt;",$D$2:$D264,"&lt;&gt;",$E$2:$E264,"&lt;&gt;"),"00000"),""))</f>
        <v/>
      </c>
      <c r="B264" s="16"/>
      <c r="C264" s="20"/>
      <c r="D264" s="20"/>
      <c r="E264" s="23"/>
      <c r="H264" s="19" t="str">
        <f t="shared" si="18"/>
        <v/>
      </c>
      <c r="I264" s="19" t="str">
        <f t="shared" si="17"/>
        <v/>
      </c>
      <c r="J264" s="19" t="str">
        <f t="shared" si="19"/>
        <v/>
      </c>
      <c r="K264" s="20"/>
      <c r="L264" s="21" t="str">
        <f>IF(OR(NOT(AND($B264&lt;&gt;"",$C264&lt;&gt;"",$D264&lt;&gt;"",$E264&lt;&gt;"")),$A264="",$K264&lt;&gt;"Yes"),"",IF($L264&lt;&gt;"",$L264,INDEX(SETUP!$I$1:$I$2000,MATCH(TRUE,SETUP!$J$1:$J$2000,0)+COUNTIFS($A$2:$A264,"&lt;&gt;",$K$2:$K264,"Yes",$L$2:$L264,"")-1)))</f>
        <v/>
      </c>
      <c r="N264" s="22"/>
    </row>
    <row r="265" spans="1:14" x14ac:dyDescent="0.3">
      <c r="A265" s="15" t="str">
        <f>IF(COUNTA($B265:$E265,$K265)=0,"",IF(AND($B265&lt;&gt;"",$C265&lt;&gt;"",$D265&lt;&gt;"",$E265&lt;&gt;""),"TXS"&amp;TEXT(COUNTIFS($B$2:$B265,"&lt;&gt;",$C$2:$C265,"&lt;&gt;",$D$2:$D265,"&lt;&gt;",$E$2:$E265,"&lt;&gt;"),"00000"),""))</f>
        <v/>
      </c>
      <c r="B265" s="16"/>
      <c r="C265" s="20"/>
      <c r="D265" s="20"/>
      <c r="E265" s="23"/>
      <c r="H265" s="19" t="str">
        <f t="shared" si="18"/>
        <v/>
      </c>
      <c r="I265" s="19" t="str">
        <f t="shared" si="17"/>
        <v/>
      </c>
      <c r="J265" s="19" t="str">
        <f t="shared" si="19"/>
        <v/>
      </c>
      <c r="K265" s="20"/>
      <c r="L265" s="21" t="str">
        <f>IF(OR(NOT(AND($B265&lt;&gt;"",$C265&lt;&gt;"",$D265&lt;&gt;"",$E265&lt;&gt;"")),$A265="",$K265&lt;&gt;"Yes"),"",IF($L265&lt;&gt;"",$L265,INDEX(SETUP!$I$1:$I$2000,MATCH(TRUE,SETUP!$J$1:$J$2000,0)+COUNTIFS($A$2:$A265,"&lt;&gt;",$K$2:$K265,"Yes",$L$2:$L265,"")-1)))</f>
        <v/>
      </c>
      <c r="N265" s="22"/>
    </row>
    <row r="266" spans="1:14" x14ac:dyDescent="0.3">
      <c r="A266" s="15" t="str">
        <f>IF(COUNTA($B266:$E266,$K266)=0,"",IF(AND($B266&lt;&gt;"",$C266&lt;&gt;"",$D266&lt;&gt;"",$E266&lt;&gt;""),"TXS"&amp;TEXT(COUNTIFS($B$2:$B266,"&lt;&gt;",$C$2:$C266,"&lt;&gt;",$D$2:$D266,"&lt;&gt;",$E$2:$E266,"&lt;&gt;"),"00000"),""))</f>
        <v/>
      </c>
      <c r="B266" s="16"/>
      <c r="C266" s="20"/>
      <c r="D266" s="20"/>
      <c r="E266" s="23"/>
      <c r="H266" s="19" t="str">
        <f t="shared" si="18"/>
        <v/>
      </c>
      <c r="I266" s="19" t="str">
        <f t="shared" si="17"/>
        <v/>
      </c>
      <c r="J266" s="19" t="str">
        <f t="shared" si="19"/>
        <v/>
      </c>
      <c r="K266" s="20"/>
      <c r="L266" s="21" t="str">
        <f>IF(OR(NOT(AND($B266&lt;&gt;"",$C266&lt;&gt;"",$D266&lt;&gt;"",$E266&lt;&gt;"")),$A266="",$K266&lt;&gt;"Yes"),"",IF($L266&lt;&gt;"",$L266,INDEX(SETUP!$I$1:$I$2000,MATCH(TRUE,SETUP!$J$1:$J$2000,0)+COUNTIFS($A$2:$A266,"&lt;&gt;",$K$2:$K266,"Yes",$L$2:$L266,"")-1)))</f>
        <v/>
      </c>
      <c r="N266" s="22"/>
    </row>
    <row r="267" spans="1:14" x14ac:dyDescent="0.3">
      <c r="A267" s="15" t="str">
        <f>IF(COUNTA($B267:$E267,$K267)=0,"",IF(AND($B267&lt;&gt;"",$C267&lt;&gt;"",$D267&lt;&gt;"",$E267&lt;&gt;""),"TXS"&amp;TEXT(COUNTIFS($B$2:$B267,"&lt;&gt;",$C$2:$C267,"&lt;&gt;",$D$2:$D267,"&lt;&gt;",$E$2:$E267,"&lt;&gt;"),"00000"),""))</f>
        <v/>
      </c>
      <c r="B267" s="16"/>
      <c r="C267" s="20"/>
      <c r="D267" s="20"/>
      <c r="E267" s="23"/>
      <c r="H267" s="19" t="str">
        <f t="shared" si="18"/>
        <v/>
      </c>
      <c r="I267" s="19" t="str">
        <f t="shared" si="17"/>
        <v/>
      </c>
      <c r="J267" s="19" t="str">
        <f t="shared" si="19"/>
        <v/>
      </c>
      <c r="K267" s="20"/>
      <c r="L267" s="21" t="str">
        <f>IF(OR(NOT(AND($B267&lt;&gt;"",$C267&lt;&gt;"",$D267&lt;&gt;"",$E267&lt;&gt;"")),$A267="",$K267&lt;&gt;"Yes"),"",IF($L267&lt;&gt;"",$L267,INDEX(SETUP!$I$1:$I$2000,MATCH(TRUE,SETUP!$J$1:$J$2000,0)+COUNTIFS($A$2:$A267,"&lt;&gt;",$K$2:$K267,"Yes",$L$2:$L267,"")-1)))</f>
        <v/>
      </c>
      <c r="N267" s="22"/>
    </row>
    <row r="268" spans="1:14" x14ac:dyDescent="0.3">
      <c r="A268" s="15" t="str">
        <f>IF(COUNTA($B268:$E268,$K268)=0,"",IF(AND($B268&lt;&gt;"",$C268&lt;&gt;"",$D268&lt;&gt;"",$E268&lt;&gt;""),"TXS"&amp;TEXT(COUNTIFS($B$2:$B268,"&lt;&gt;",$C$2:$C268,"&lt;&gt;",$D$2:$D268,"&lt;&gt;",$E$2:$E268,"&lt;&gt;"),"00000"),""))</f>
        <v/>
      </c>
      <c r="B268" s="16"/>
      <c r="C268" s="20"/>
      <c r="D268" s="20"/>
      <c r="E268" s="23"/>
      <c r="H268" s="19" t="str">
        <f t="shared" si="18"/>
        <v/>
      </c>
      <c r="I268" s="19" t="str">
        <f t="shared" si="17"/>
        <v/>
      </c>
      <c r="J268" s="19" t="str">
        <f t="shared" si="19"/>
        <v/>
      </c>
      <c r="K268" s="20"/>
      <c r="L268" s="21" t="str">
        <f>IF(OR(NOT(AND($B268&lt;&gt;"",$C268&lt;&gt;"",$D268&lt;&gt;"",$E268&lt;&gt;"")),$A268="",$K268&lt;&gt;"Yes"),"",IF($L268&lt;&gt;"",$L268,INDEX(SETUP!$I$1:$I$2000,MATCH(TRUE,SETUP!$J$1:$J$2000,0)+COUNTIFS($A$2:$A268,"&lt;&gt;",$K$2:$K268,"Yes",$L$2:$L268,"")-1)))</f>
        <v/>
      </c>
      <c r="N268" s="22"/>
    </row>
    <row r="269" spans="1:14" x14ac:dyDescent="0.3">
      <c r="A269" s="15" t="str">
        <f>IF(COUNTA($B269:$E269,$K269)=0,"",IF(AND($B269&lt;&gt;"",$C269&lt;&gt;"",$D269&lt;&gt;"",$E269&lt;&gt;""),"TXS"&amp;TEXT(COUNTIFS($B$2:$B269,"&lt;&gt;",$C$2:$C269,"&lt;&gt;",$D$2:$D269,"&lt;&gt;",$E$2:$E269,"&lt;&gt;"),"00000"),""))</f>
        <v/>
      </c>
      <c r="B269" s="16"/>
      <c r="C269" s="20"/>
      <c r="D269" s="20"/>
      <c r="E269" s="23"/>
      <c r="H269" s="19" t="str">
        <f t="shared" si="18"/>
        <v/>
      </c>
      <c r="I269" s="19" t="str">
        <f t="shared" si="17"/>
        <v/>
      </c>
      <c r="J269" s="19" t="str">
        <f t="shared" si="19"/>
        <v/>
      </c>
      <c r="K269" s="20"/>
      <c r="L269" s="21" t="str">
        <f>IF(OR(NOT(AND($B269&lt;&gt;"",$C269&lt;&gt;"",$D269&lt;&gt;"",$E269&lt;&gt;"")),$A269="",$K269&lt;&gt;"Yes"),"",IF($L269&lt;&gt;"",$L269,INDEX(SETUP!$I$1:$I$2000,MATCH(TRUE,SETUP!$J$1:$J$2000,0)+COUNTIFS($A$2:$A269,"&lt;&gt;",$K$2:$K269,"Yes",$L$2:$L269,"")-1)))</f>
        <v/>
      </c>
      <c r="N269" s="22"/>
    </row>
    <row r="270" spans="1:14" x14ac:dyDescent="0.3">
      <c r="A270" s="15" t="str">
        <f>IF(COUNTA($B270:$E270,$K270)=0,"",IF(AND($B270&lt;&gt;"",$C270&lt;&gt;"",$D270&lt;&gt;"",$E270&lt;&gt;""),"TXS"&amp;TEXT(COUNTIFS($B$2:$B270,"&lt;&gt;",$C$2:$C270,"&lt;&gt;",$D$2:$D270,"&lt;&gt;",$E$2:$E270,"&lt;&gt;"),"00000"),""))</f>
        <v/>
      </c>
      <c r="B270" s="16"/>
      <c r="C270" s="20"/>
      <c r="D270" s="20"/>
      <c r="E270" s="23"/>
      <c r="H270" s="19" t="str">
        <f t="shared" si="18"/>
        <v/>
      </c>
      <c r="I270" s="19" t="str">
        <f t="shared" si="17"/>
        <v/>
      </c>
      <c r="J270" s="19" t="str">
        <f t="shared" si="19"/>
        <v/>
      </c>
      <c r="K270" s="20"/>
      <c r="L270" s="21" t="str">
        <f>IF(OR(NOT(AND($B270&lt;&gt;"",$C270&lt;&gt;"",$D270&lt;&gt;"",$E270&lt;&gt;"")),$A270="",$K270&lt;&gt;"Yes"),"",IF($L270&lt;&gt;"",$L270,INDEX(SETUP!$I$1:$I$2000,MATCH(TRUE,SETUP!$J$1:$J$2000,0)+COUNTIFS($A$2:$A270,"&lt;&gt;",$K$2:$K270,"Yes",$L$2:$L270,"")-1)))</f>
        <v/>
      </c>
      <c r="N270" s="22"/>
    </row>
    <row r="271" spans="1:14" x14ac:dyDescent="0.3">
      <c r="A271" s="15" t="str">
        <f>IF(COUNTA($B271:$E271,$K271)=0,"",IF(AND($B271&lt;&gt;"",$C271&lt;&gt;"",$D271&lt;&gt;"",$E271&lt;&gt;""),"TXS"&amp;TEXT(COUNTIFS($B$2:$B271,"&lt;&gt;",$C$2:$C271,"&lt;&gt;",$D$2:$D271,"&lt;&gt;",$E$2:$E271,"&lt;&gt;"),"00000"),""))</f>
        <v/>
      </c>
      <c r="B271" s="16"/>
      <c r="C271" s="20"/>
      <c r="D271" s="20"/>
      <c r="E271" s="23"/>
      <c r="H271" s="19" t="str">
        <f t="shared" si="18"/>
        <v/>
      </c>
      <c r="I271" s="19" t="str">
        <f t="shared" si="17"/>
        <v/>
      </c>
      <c r="J271" s="19" t="str">
        <f t="shared" si="19"/>
        <v/>
      </c>
      <c r="K271" s="20"/>
      <c r="L271" s="21" t="str">
        <f>IF(OR(NOT(AND($B271&lt;&gt;"",$C271&lt;&gt;"",$D271&lt;&gt;"",$E271&lt;&gt;"")),$A271="",$K271&lt;&gt;"Yes"),"",IF($L271&lt;&gt;"",$L271,INDEX(SETUP!$I$1:$I$2000,MATCH(TRUE,SETUP!$J$1:$J$2000,0)+COUNTIFS($A$2:$A271,"&lt;&gt;",$K$2:$K271,"Yes",$L$2:$L271,"")-1)))</f>
        <v/>
      </c>
      <c r="N271" s="22"/>
    </row>
    <row r="272" spans="1:14" x14ac:dyDescent="0.3">
      <c r="A272" s="15" t="str">
        <f>IF(COUNTA($B272:$E272,$K272)=0,"",IF(AND($B272&lt;&gt;"",$C272&lt;&gt;"",$D272&lt;&gt;"",$E272&lt;&gt;""),"TXS"&amp;TEXT(COUNTIFS($B$2:$B272,"&lt;&gt;",$C$2:$C272,"&lt;&gt;",$D$2:$D272,"&lt;&gt;",$E$2:$E272,"&lt;&gt;"),"00000"),""))</f>
        <v/>
      </c>
      <c r="B272" s="16"/>
      <c r="C272" s="20"/>
      <c r="D272" s="20"/>
      <c r="E272" s="23"/>
      <c r="H272" s="19" t="str">
        <f t="shared" si="18"/>
        <v/>
      </c>
      <c r="I272" s="19" t="str">
        <f t="shared" si="17"/>
        <v/>
      </c>
      <c r="J272" s="19" t="str">
        <f t="shared" si="19"/>
        <v/>
      </c>
      <c r="K272" s="20"/>
      <c r="L272" s="21" t="str">
        <f>IF(OR(NOT(AND($B272&lt;&gt;"",$C272&lt;&gt;"",$D272&lt;&gt;"",$E272&lt;&gt;"")),$A272="",$K272&lt;&gt;"Yes"),"",IF($L272&lt;&gt;"",$L272,INDEX(SETUP!$I$1:$I$2000,MATCH(TRUE,SETUP!$J$1:$J$2000,0)+COUNTIFS($A$2:$A272,"&lt;&gt;",$K$2:$K272,"Yes",$L$2:$L272,"")-1)))</f>
        <v/>
      </c>
      <c r="N272" s="22"/>
    </row>
    <row r="273" spans="1:14" x14ac:dyDescent="0.3">
      <c r="A273" s="15" t="str">
        <f>IF(COUNTA($B273:$E273,$K273)=0,"",IF(AND($B273&lt;&gt;"",$C273&lt;&gt;"",$D273&lt;&gt;"",$E273&lt;&gt;""),"TXS"&amp;TEXT(COUNTIFS($B$2:$B273,"&lt;&gt;",$C$2:$C273,"&lt;&gt;",$D$2:$D273,"&lt;&gt;",$E$2:$E273,"&lt;&gt;"),"00000"),""))</f>
        <v/>
      </c>
      <c r="B273" s="16"/>
      <c r="C273" s="20"/>
      <c r="D273" s="20"/>
      <c r="E273" s="23"/>
      <c r="H273" s="19" t="str">
        <f t="shared" si="18"/>
        <v/>
      </c>
      <c r="I273" s="19" t="str">
        <f t="shared" si="17"/>
        <v/>
      </c>
      <c r="J273" s="19" t="str">
        <f t="shared" si="19"/>
        <v/>
      </c>
      <c r="K273" s="20"/>
      <c r="L273" s="21" t="str">
        <f>IF(OR(NOT(AND($B273&lt;&gt;"",$C273&lt;&gt;"",$D273&lt;&gt;"",$E273&lt;&gt;"")),$A273="",$K273&lt;&gt;"Yes"),"",IF($L273&lt;&gt;"",$L273,INDEX(SETUP!$I$1:$I$2000,MATCH(TRUE,SETUP!$J$1:$J$2000,0)+COUNTIFS($A$2:$A273,"&lt;&gt;",$K$2:$K273,"Yes",$L$2:$L273,"")-1)))</f>
        <v/>
      </c>
      <c r="N273" s="22"/>
    </row>
    <row r="274" spans="1:14" x14ac:dyDescent="0.3">
      <c r="A274" s="15" t="str">
        <f>IF(COUNTA($B274:$E274,$K274)=0,"",IF(AND($B274&lt;&gt;"",$C274&lt;&gt;"",$D274&lt;&gt;"",$E274&lt;&gt;""),"TXS"&amp;TEXT(COUNTIFS($B$2:$B274,"&lt;&gt;",$C$2:$C274,"&lt;&gt;",$D$2:$D274,"&lt;&gt;",$E$2:$E274,"&lt;&gt;"),"00000"),""))</f>
        <v/>
      </c>
      <c r="B274" s="16"/>
      <c r="C274" s="20"/>
      <c r="D274" s="20"/>
      <c r="E274" s="23"/>
      <c r="H274" s="19" t="str">
        <f t="shared" si="18"/>
        <v/>
      </c>
      <c r="I274" s="19" t="str">
        <f t="shared" si="17"/>
        <v/>
      </c>
      <c r="J274" s="19" t="str">
        <f t="shared" si="19"/>
        <v/>
      </c>
      <c r="K274" s="20"/>
      <c r="L274" s="21" t="str">
        <f>IF(OR(NOT(AND($B274&lt;&gt;"",$C274&lt;&gt;"",$D274&lt;&gt;"",$E274&lt;&gt;"")),$A274="",$K274&lt;&gt;"Yes"),"",IF($L274&lt;&gt;"",$L274,INDEX(SETUP!$I$1:$I$2000,MATCH(TRUE,SETUP!$J$1:$J$2000,0)+COUNTIFS($A$2:$A274,"&lt;&gt;",$K$2:$K274,"Yes",$L$2:$L274,"")-1)))</f>
        <v/>
      </c>
      <c r="N274" s="22"/>
    </row>
    <row r="275" spans="1:14" x14ac:dyDescent="0.3">
      <c r="A275" s="15" t="str">
        <f>IF(COUNTA($B275:$E275,$K275)=0,"",IF(AND($B275&lt;&gt;"",$C275&lt;&gt;"",$D275&lt;&gt;"",$E275&lt;&gt;""),"TXS"&amp;TEXT(COUNTIFS($B$2:$B275,"&lt;&gt;",$C$2:$C275,"&lt;&gt;",$D$2:$D275,"&lt;&gt;",$E$2:$E275,"&lt;&gt;"),"00000"),""))</f>
        <v/>
      </c>
      <c r="B275" s="16"/>
      <c r="C275" s="20"/>
      <c r="D275" s="20"/>
      <c r="E275" s="23"/>
      <c r="H275" s="19" t="str">
        <f t="shared" si="18"/>
        <v/>
      </c>
      <c r="I275" s="19" t="str">
        <f t="shared" si="17"/>
        <v/>
      </c>
      <c r="J275" s="19" t="str">
        <f t="shared" si="19"/>
        <v/>
      </c>
      <c r="K275" s="20"/>
      <c r="L275" s="21" t="str">
        <f>IF(OR(NOT(AND($B275&lt;&gt;"",$C275&lt;&gt;"",$D275&lt;&gt;"",$E275&lt;&gt;"")),$A275="",$K275&lt;&gt;"Yes"),"",IF($L275&lt;&gt;"",$L275,INDEX(SETUP!$I$1:$I$2000,MATCH(TRUE,SETUP!$J$1:$J$2000,0)+COUNTIFS($A$2:$A275,"&lt;&gt;",$K$2:$K275,"Yes",$L$2:$L275,"")-1)))</f>
        <v/>
      </c>
      <c r="N275" s="22"/>
    </row>
    <row r="276" spans="1:14" x14ac:dyDescent="0.3">
      <c r="A276" s="15" t="str">
        <f>IF(COUNTA($B276:$E276,$K276)=0,"",IF(AND($B276&lt;&gt;"",$C276&lt;&gt;"",$D276&lt;&gt;"",$E276&lt;&gt;""),"TXS"&amp;TEXT(COUNTIFS($B$2:$B276,"&lt;&gt;",$C$2:$C276,"&lt;&gt;",$D$2:$D276,"&lt;&gt;",$E$2:$E276,"&lt;&gt;"),"00000"),""))</f>
        <v/>
      </c>
      <c r="B276" s="16"/>
      <c r="C276" s="20"/>
      <c r="D276" s="20"/>
      <c r="E276" s="23"/>
      <c r="H276" s="19" t="str">
        <f t="shared" si="18"/>
        <v/>
      </c>
      <c r="I276" s="19" t="str">
        <f t="shared" si="17"/>
        <v/>
      </c>
      <c r="J276" s="19" t="str">
        <f t="shared" si="19"/>
        <v/>
      </c>
      <c r="K276" s="20"/>
      <c r="L276" s="21" t="str">
        <f>IF(OR(NOT(AND($B276&lt;&gt;"",$C276&lt;&gt;"",$D276&lt;&gt;"",$E276&lt;&gt;"")),$A276="",$K276&lt;&gt;"Yes"),"",IF($L276&lt;&gt;"",$L276,INDEX(SETUP!$I$1:$I$2000,MATCH(TRUE,SETUP!$J$1:$J$2000,0)+COUNTIFS($A$2:$A276,"&lt;&gt;",$K$2:$K276,"Yes",$L$2:$L276,"")-1)))</f>
        <v/>
      </c>
      <c r="N276" s="22"/>
    </row>
    <row r="277" spans="1:14" x14ac:dyDescent="0.3">
      <c r="A277" s="15" t="str">
        <f>IF(COUNTA($B277:$E277,$K277)=0,"",IF(AND($B277&lt;&gt;"",$C277&lt;&gt;"",$D277&lt;&gt;"",$E277&lt;&gt;""),"TXS"&amp;TEXT(COUNTIFS($B$2:$B277,"&lt;&gt;",$C$2:$C277,"&lt;&gt;",$D$2:$D277,"&lt;&gt;",$E$2:$E277,"&lt;&gt;"),"00000"),""))</f>
        <v/>
      </c>
      <c r="B277" s="16"/>
      <c r="C277" s="20"/>
      <c r="D277" s="20"/>
      <c r="E277" s="23"/>
      <c r="H277" s="19" t="str">
        <f t="shared" si="18"/>
        <v/>
      </c>
      <c r="I277" s="19" t="str">
        <f t="shared" si="17"/>
        <v/>
      </c>
      <c r="J277" s="19" t="str">
        <f t="shared" si="19"/>
        <v/>
      </c>
      <c r="K277" s="20"/>
      <c r="L277" s="21" t="str">
        <f>IF(OR(NOT(AND($B277&lt;&gt;"",$C277&lt;&gt;"",$D277&lt;&gt;"",$E277&lt;&gt;"")),$A277="",$K277&lt;&gt;"Yes"),"",IF($L277&lt;&gt;"",$L277,INDEX(SETUP!$I$1:$I$2000,MATCH(TRUE,SETUP!$J$1:$J$2000,0)+COUNTIFS($A$2:$A277,"&lt;&gt;",$K$2:$K277,"Yes",$L$2:$L277,"")-1)))</f>
        <v/>
      </c>
      <c r="N277" s="22"/>
    </row>
    <row r="278" spans="1:14" x14ac:dyDescent="0.3">
      <c r="A278" s="15" t="str">
        <f>IF(COUNTA($B278:$E278,$K278)=0,"",IF(AND($B278&lt;&gt;"",$C278&lt;&gt;"",$D278&lt;&gt;"",$E278&lt;&gt;""),"TXS"&amp;TEXT(COUNTIFS($B$2:$B278,"&lt;&gt;",$C$2:$C278,"&lt;&gt;",$D$2:$D278,"&lt;&gt;",$E$2:$E278,"&lt;&gt;"),"00000"),""))</f>
        <v/>
      </c>
      <c r="B278" s="16"/>
      <c r="C278" s="20"/>
      <c r="D278" s="20"/>
      <c r="E278" s="23"/>
      <c r="H278" s="19" t="str">
        <f t="shared" si="18"/>
        <v/>
      </c>
      <c r="I278" s="19" t="str">
        <f t="shared" si="17"/>
        <v/>
      </c>
      <c r="J278" s="19" t="str">
        <f t="shared" si="19"/>
        <v/>
      </c>
      <c r="K278" s="20"/>
      <c r="L278" s="21" t="str">
        <f>IF(OR(NOT(AND($B278&lt;&gt;"",$C278&lt;&gt;"",$D278&lt;&gt;"",$E278&lt;&gt;"")),$A278="",$K278&lt;&gt;"Yes"),"",IF($L278&lt;&gt;"",$L278,INDEX(SETUP!$I$1:$I$2000,MATCH(TRUE,SETUP!$J$1:$J$2000,0)+COUNTIFS($A$2:$A278,"&lt;&gt;",$K$2:$K278,"Yes",$L$2:$L278,"")-1)))</f>
        <v/>
      </c>
      <c r="N278" s="22"/>
    </row>
    <row r="279" spans="1:14" x14ac:dyDescent="0.3">
      <c r="A279" s="15" t="str">
        <f>IF(COUNTA($B279:$E279,$K279)=0,"",IF(AND($B279&lt;&gt;"",$C279&lt;&gt;"",$D279&lt;&gt;"",$E279&lt;&gt;""),"TXS"&amp;TEXT(COUNTIFS($B$2:$B279,"&lt;&gt;",$C$2:$C279,"&lt;&gt;",$D$2:$D279,"&lt;&gt;",$E$2:$E279,"&lt;&gt;"),"00000"),""))</f>
        <v/>
      </c>
      <c r="B279" s="16"/>
      <c r="C279" s="20"/>
      <c r="D279" s="20"/>
      <c r="E279" s="23"/>
      <c r="H279" s="19" t="str">
        <f t="shared" si="18"/>
        <v/>
      </c>
      <c r="I279" s="19" t="str">
        <f t="shared" si="17"/>
        <v/>
      </c>
      <c r="J279" s="19" t="str">
        <f t="shared" si="19"/>
        <v/>
      </c>
      <c r="K279" s="20"/>
      <c r="L279" s="21" t="str">
        <f>IF(OR(NOT(AND($B279&lt;&gt;"",$C279&lt;&gt;"",$D279&lt;&gt;"",$E279&lt;&gt;"")),$A279="",$K279&lt;&gt;"Yes"),"",IF($L279&lt;&gt;"",$L279,INDEX(SETUP!$I$1:$I$2000,MATCH(TRUE,SETUP!$J$1:$J$2000,0)+COUNTIFS($A$2:$A279,"&lt;&gt;",$K$2:$K279,"Yes",$L$2:$L279,"")-1)))</f>
        <v/>
      </c>
      <c r="N279" s="22"/>
    </row>
    <row r="280" spans="1:14" x14ac:dyDescent="0.3">
      <c r="A280" s="15" t="str">
        <f>IF(COUNTA($B280:$E280,$K280)=0,"",IF(AND($B280&lt;&gt;"",$C280&lt;&gt;"",$D280&lt;&gt;"",$E280&lt;&gt;""),"TXS"&amp;TEXT(COUNTIFS($B$2:$B280,"&lt;&gt;",$C$2:$C280,"&lt;&gt;",$D$2:$D280,"&lt;&gt;",$E$2:$E280,"&lt;&gt;"),"00000"),""))</f>
        <v/>
      </c>
      <c r="B280" s="16"/>
      <c r="C280" s="20"/>
      <c r="D280" s="20"/>
      <c r="E280" s="23"/>
      <c r="H280" s="19" t="str">
        <f t="shared" si="18"/>
        <v/>
      </c>
      <c r="I280" s="19" t="str">
        <f t="shared" si="17"/>
        <v/>
      </c>
      <c r="J280" s="19" t="str">
        <f t="shared" si="19"/>
        <v/>
      </c>
      <c r="K280" s="20"/>
      <c r="L280" s="21" t="str">
        <f>IF(OR(NOT(AND($B280&lt;&gt;"",$C280&lt;&gt;"",$D280&lt;&gt;"",$E280&lt;&gt;"")),$A280="",$K280&lt;&gt;"Yes"),"",IF($L280&lt;&gt;"",$L280,INDEX(SETUP!$I$1:$I$2000,MATCH(TRUE,SETUP!$J$1:$J$2000,0)+COUNTIFS($A$2:$A280,"&lt;&gt;",$K$2:$K280,"Yes",$L$2:$L280,"")-1)))</f>
        <v/>
      </c>
      <c r="N280" s="22"/>
    </row>
    <row r="281" spans="1:14" x14ac:dyDescent="0.3">
      <c r="A281" s="15" t="str">
        <f>IF(COUNTA($B281:$E281,$K281)=0,"",IF(AND($B281&lt;&gt;"",$C281&lt;&gt;"",$D281&lt;&gt;"",$E281&lt;&gt;""),"TXS"&amp;TEXT(COUNTIFS($B$2:$B281,"&lt;&gt;",$C$2:$C281,"&lt;&gt;",$D$2:$D281,"&lt;&gt;",$E$2:$E281,"&lt;&gt;"),"00000"),""))</f>
        <v/>
      </c>
      <c r="B281" s="16"/>
      <c r="C281" s="20"/>
      <c r="D281" s="20"/>
      <c r="E281" s="23"/>
      <c r="H281" s="19" t="str">
        <f t="shared" si="18"/>
        <v/>
      </c>
      <c r="I281" s="19" t="str">
        <f t="shared" si="17"/>
        <v/>
      </c>
      <c r="J281" s="19" t="str">
        <f t="shared" si="19"/>
        <v/>
      </c>
      <c r="K281" s="20"/>
      <c r="L281" s="21" t="str">
        <f>IF(OR(NOT(AND($B281&lt;&gt;"",$C281&lt;&gt;"",$D281&lt;&gt;"",$E281&lt;&gt;"")),$A281="",$K281&lt;&gt;"Yes"),"",IF($L281&lt;&gt;"",$L281,INDEX(SETUP!$I$1:$I$2000,MATCH(TRUE,SETUP!$J$1:$J$2000,0)+COUNTIFS($A$2:$A281,"&lt;&gt;",$K$2:$K281,"Yes",$L$2:$L281,"")-1)))</f>
        <v/>
      </c>
      <c r="N281" s="22"/>
    </row>
    <row r="282" spans="1:14" x14ac:dyDescent="0.3">
      <c r="A282" s="15" t="str">
        <f>IF(COUNTA($B282:$E282,$K282)=0,"",IF(AND($B282&lt;&gt;"",$C282&lt;&gt;"",$D282&lt;&gt;"",$E282&lt;&gt;""),"TXS"&amp;TEXT(COUNTIFS($B$2:$B282,"&lt;&gt;",$C$2:$C282,"&lt;&gt;",$D$2:$D282,"&lt;&gt;",$E$2:$E282,"&lt;&gt;"),"00000"),""))</f>
        <v/>
      </c>
      <c r="B282" s="16"/>
      <c r="C282" s="20"/>
      <c r="D282" s="20"/>
      <c r="E282" s="23"/>
      <c r="H282" s="19" t="str">
        <f t="shared" si="18"/>
        <v/>
      </c>
      <c r="I282" s="19" t="str">
        <f t="shared" si="17"/>
        <v/>
      </c>
      <c r="J282" s="19" t="str">
        <f t="shared" si="19"/>
        <v/>
      </c>
      <c r="K282" s="20"/>
      <c r="L282" s="21" t="str">
        <f>IF(OR(NOT(AND($B282&lt;&gt;"",$C282&lt;&gt;"",$D282&lt;&gt;"",$E282&lt;&gt;"")),$A282="",$K282&lt;&gt;"Yes"),"",IF($L282&lt;&gt;"",$L282,INDEX(SETUP!$I$1:$I$2000,MATCH(TRUE,SETUP!$J$1:$J$2000,0)+COUNTIFS($A$2:$A282,"&lt;&gt;",$K$2:$K282,"Yes",$L$2:$L282,"")-1)))</f>
        <v/>
      </c>
      <c r="N282" s="22"/>
    </row>
    <row r="283" spans="1:14" x14ac:dyDescent="0.3">
      <c r="A283" s="15" t="str">
        <f>IF(COUNTA($B283:$E283,$K283)=0,"",IF(AND($B283&lt;&gt;"",$C283&lt;&gt;"",$D283&lt;&gt;"",$E283&lt;&gt;""),"TXS"&amp;TEXT(COUNTIFS($B$2:$B283,"&lt;&gt;",$C$2:$C283,"&lt;&gt;",$D$2:$D283,"&lt;&gt;",$E$2:$E283,"&lt;&gt;"),"00000"),""))</f>
        <v/>
      </c>
      <c r="B283" s="16"/>
      <c r="C283" s="20"/>
      <c r="D283" s="20"/>
      <c r="E283" s="23"/>
      <c r="H283" s="19" t="str">
        <f t="shared" si="18"/>
        <v/>
      </c>
      <c r="I283" s="19" t="str">
        <f t="shared" si="17"/>
        <v/>
      </c>
      <c r="J283" s="19" t="str">
        <f t="shared" si="19"/>
        <v/>
      </c>
      <c r="K283" s="20"/>
      <c r="L283" s="21" t="str">
        <f>IF(OR(NOT(AND($B283&lt;&gt;"",$C283&lt;&gt;"",$D283&lt;&gt;"",$E283&lt;&gt;"")),$A283="",$K283&lt;&gt;"Yes"),"",IF($L283&lt;&gt;"",$L283,INDEX(SETUP!$I$1:$I$2000,MATCH(TRUE,SETUP!$J$1:$J$2000,0)+COUNTIFS($A$2:$A283,"&lt;&gt;",$K$2:$K283,"Yes",$L$2:$L283,"")-1)))</f>
        <v/>
      </c>
      <c r="N283" s="22"/>
    </row>
    <row r="284" spans="1:14" x14ac:dyDescent="0.3">
      <c r="A284" s="15" t="str">
        <f>IF(COUNTA($B284:$E284,$K284)=0,"",IF(AND($B284&lt;&gt;"",$C284&lt;&gt;"",$D284&lt;&gt;"",$E284&lt;&gt;""),"TXS"&amp;TEXT(COUNTIFS($B$2:$B284,"&lt;&gt;",$C$2:$C284,"&lt;&gt;",$D$2:$D284,"&lt;&gt;",$E$2:$E284,"&lt;&gt;"),"00000"),""))</f>
        <v/>
      </c>
      <c r="B284" s="16"/>
      <c r="C284" s="20"/>
      <c r="D284" s="20"/>
      <c r="E284" s="23"/>
      <c r="H284" s="19" t="str">
        <f t="shared" si="18"/>
        <v/>
      </c>
      <c r="I284" s="19" t="str">
        <f t="shared" si="17"/>
        <v/>
      </c>
      <c r="J284" s="19" t="str">
        <f t="shared" si="19"/>
        <v/>
      </c>
      <c r="K284" s="20"/>
      <c r="L284" s="21" t="str">
        <f>IF(OR(NOT(AND($B284&lt;&gt;"",$C284&lt;&gt;"",$D284&lt;&gt;"",$E284&lt;&gt;"")),$A284="",$K284&lt;&gt;"Yes"),"",IF($L284&lt;&gt;"",$L284,INDEX(SETUP!$I$1:$I$2000,MATCH(TRUE,SETUP!$J$1:$J$2000,0)+COUNTIFS($A$2:$A284,"&lt;&gt;",$K$2:$K284,"Yes",$L$2:$L284,"")-1)))</f>
        <v/>
      </c>
      <c r="N284" s="22"/>
    </row>
    <row r="285" spans="1:14" x14ac:dyDescent="0.3">
      <c r="A285" s="15" t="str">
        <f>IF(COUNTA($B285:$E285,$K285)=0,"",IF(AND($B285&lt;&gt;"",$C285&lt;&gt;"",$D285&lt;&gt;"",$E285&lt;&gt;""),"TXS"&amp;TEXT(COUNTIFS($B$2:$B285,"&lt;&gt;",$C$2:$C285,"&lt;&gt;",$D$2:$D285,"&lt;&gt;",$E$2:$E285,"&lt;&gt;"),"00000"),""))</f>
        <v/>
      </c>
      <c r="B285" s="16"/>
      <c r="C285" s="20"/>
      <c r="D285" s="20"/>
      <c r="E285" s="23"/>
      <c r="H285" s="19" t="str">
        <f t="shared" si="18"/>
        <v/>
      </c>
      <c r="I285" s="19" t="str">
        <f t="shared" si="17"/>
        <v/>
      </c>
      <c r="J285" s="19" t="str">
        <f t="shared" si="19"/>
        <v/>
      </c>
      <c r="K285" s="20"/>
      <c r="L285" s="21" t="str">
        <f>IF(OR(NOT(AND($B285&lt;&gt;"",$C285&lt;&gt;"",$D285&lt;&gt;"",$E285&lt;&gt;"")),$A285="",$K285&lt;&gt;"Yes"),"",IF($L285&lt;&gt;"",$L285,INDEX(SETUP!$I$1:$I$2000,MATCH(TRUE,SETUP!$J$1:$J$2000,0)+COUNTIFS($A$2:$A285,"&lt;&gt;",$K$2:$K285,"Yes",$L$2:$L285,"")-1)))</f>
        <v/>
      </c>
      <c r="N285" s="22"/>
    </row>
    <row r="286" spans="1:14" x14ac:dyDescent="0.3">
      <c r="A286" s="15" t="str">
        <f>IF(COUNTA($B286:$E286,$K286)=0,"",IF(AND($B286&lt;&gt;"",$C286&lt;&gt;"",$D286&lt;&gt;"",$E286&lt;&gt;""),"TXS"&amp;TEXT(COUNTIFS($B$2:$B286,"&lt;&gt;",$C$2:$C286,"&lt;&gt;",$D$2:$D286,"&lt;&gt;",$E$2:$E286,"&lt;&gt;"),"00000"),""))</f>
        <v/>
      </c>
      <c r="B286" s="16"/>
      <c r="C286" s="20"/>
      <c r="D286" s="20"/>
      <c r="E286" s="23"/>
      <c r="H286" s="19" t="str">
        <f t="shared" si="18"/>
        <v/>
      </c>
      <c r="I286" s="19" t="str">
        <f t="shared" si="17"/>
        <v/>
      </c>
      <c r="J286" s="19" t="str">
        <f t="shared" si="19"/>
        <v/>
      </c>
      <c r="K286" s="20"/>
      <c r="L286" s="21" t="str">
        <f>IF(OR(NOT(AND($B286&lt;&gt;"",$C286&lt;&gt;"",$D286&lt;&gt;"",$E286&lt;&gt;"")),$A286="",$K286&lt;&gt;"Yes"),"",IF($L286&lt;&gt;"",$L286,INDEX(SETUP!$I$1:$I$2000,MATCH(TRUE,SETUP!$J$1:$J$2000,0)+COUNTIFS($A$2:$A286,"&lt;&gt;",$K$2:$K286,"Yes",$L$2:$L286,"")-1)))</f>
        <v/>
      </c>
      <c r="N286" s="22"/>
    </row>
    <row r="287" spans="1:14" x14ac:dyDescent="0.3">
      <c r="A287" s="15" t="str">
        <f>IF(COUNTA($B287:$E287,$K287)=0,"",IF(AND($B287&lt;&gt;"",$C287&lt;&gt;"",$D287&lt;&gt;"",$E287&lt;&gt;""),"TXS"&amp;TEXT(COUNTIFS($B$2:$B287,"&lt;&gt;",$C$2:$C287,"&lt;&gt;",$D$2:$D287,"&lt;&gt;",$E$2:$E287,"&lt;&gt;"),"00000"),""))</f>
        <v/>
      </c>
      <c r="B287" s="16"/>
      <c r="C287" s="20"/>
      <c r="D287" s="20"/>
      <c r="E287" s="23"/>
      <c r="H287" s="19" t="str">
        <f t="shared" si="18"/>
        <v/>
      </c>
      <c r="I287" s="19" t="str">
        <f t="shared" si="17"/>
        <v/>
      </c>
      <c r="J287" s="19" t="str">
        <f t="shared" si="19"/>
        <v/>
      </c>
      <c r="K287" s="20"/>
      <c r="L287" s="21" t="str">
        <f>IF(OR(NOT(AND($B287&lt;&gt;"",$C287&lt;&gt;"",$D287&lt;&gt;"",$E287&lt;&gt;"")),$A287="",$K287&lt;&gt;"Yes"),"",IF($L287&lt;&gt;"",$L287,INDEX(SETUP!$I$1:$I$2000,MATCH(TRUE,SETUP!$J$1:$J$2000,0)+COUNTIFS($A$2:$A287,"&lt;&gt;",$K$2:$K287,"Yes",$L$2:$L287,"")-1)))</f>
        <v/>
      </c>
      <c r="N287" s="22"/>
    </row>
    <row r="288" spans="1:14" x14ac:dyDescent="0.3">
      <c r="A288" s="15" t="str">
        <f>IF(COUNTA($B288:$E288,$K288)=0,"",IF(AND($B288&lt;&gt;"",$C288&lt;&gt;"",$D288&lt;&gt;"",$E288&lt;&gt;""),"TXS"&amp;TEXT(COUNTIFS($B$2:$B288,"&lt;&gt;",$C$2:$C288,"&lt;&gt;",$D$2:$D288,"&lt;&gt;",$E$2:$E288,"&lt;&gt;"),"00000"),""))</f>
        <v/>
      </c>
      <c r="B288" s="16"/>
      <c r="C288" s="20"/>
      <c r="D288" s="20"/>
      <c r="E288" s="23"/>
      <c r="H288" s="19" t="str">
        <f t="shared" si="18"/>
        <v/>
      </c>
      <c r="I288" s="19" t="str">
        <f t="shared" si="17"/>
        <v/>
      </c>
      <c r="J288" s="19" t="str">
        <f t="shared" si="19"/>
        <v/>
      </c>
      <c r="K288" s="20"/>
      <c r="L288" s="21" t="str">
        <f>IF(OR(NOT(AND($B288&lt;&gt;"",$C288&lt;&gt;"",$D288&lt;&gt;"",$E288&lt;&gt;"")),$A288="",$K288&lt;&gt;"Yes"),"",IF($L288&lt;&gt;"",$L288,INDEX(SETUP!$I$1:$I$2000,MATCH(TRUE,SETUP!$J$1:$J$2000,0)+COUNTIFS($A$2:$A288,"&lt;&gt;",$K$2:$K288,"Yes",$L$2:$L288,"")-1)))</f>
        <v/>
      </c>
      <c r="N288" s="22"/>
    </row>
    <row r="289" spans="1:14" x14ac:dyDescent="0.3">
      <c r="A289" s="15" t="str">
        <f>IF(COUNTA($B289:$E289,$K289)=0,"",IF(AND($B289&lt;&gt;"",$C289&lt;&gt;"",$D289&lt;&gt;"",$E289&lt;&gt;""),"TXS"&amp;TEXT(COUNTIFS($B$2:$B289,"&lt;&gt;",$C$2:$C289,"&lt;&gt;",$D$2:$D289,"&lt;&gt;",$E$2:$E289,"&lt;&gt;"),"00000"),""))</f>
        <v/>
      </c>
      <c r="B289" s="16"/>
      <c r="C289" s="20"/>
      <c r="D289" s="20"/>
      <c r="E289" s="23"/>
      <c r="H289" s="19" t="str">
        <f t="shared" si="18"/>
        <v/>
      </c>
      <c r="I289" s="19" t="str">
        <f t="shared" si="17"/>
        <v/>
      </c>
      <c r="J289" s="19" t="str">
        <f t="shared" si="19"/>
        <v/>
      </c>
      <c r="K289" s="20"/>
      <c r="L289" s="21" t="str">
        <f>IF(OR(NOT(AND($B289&lt;&gt;"",$C289&lt;&gt;"",$D289&lt;&gt;"",$E289&lt;&gt;"")),$A289="",$K289&lt;&gt;"Yes"),"",IF($L289&lt;&gt;"",$L289,INDEX(SETUP!$I$1:$I$2000,MATCH(TRUE,SETUP!$J$1:$J$2000,0)+COUNTIFS($A$2:$A289,"&lt;&gt;",$K$2:$K289,"Yes",$L$2:$L289,"")-1)))</f>
        <v/>
      </c>
      <c r="N289" s="22"/>
    </row>
    <row r="290" spans="1:14" x14ac:dyDescent="0.3">
      <c r="A290" s="15" t="str">
        <f>IF(COUNTA($B290:$E290,$K290)=0,"",IF(AND($B290&lt;&gt;"",$C290&lt;&gt;"",$D290&lt;&gt;"",$E290&lt;&gt;""),"TXS"&amp;TEXT(COUNTIFS($B$2:$B290,"&lt;&gt;",$C$2:$C290,"&lt;&gt;",$D$2:$D290,"&lt;&gt;",$E$2:$E290,"&lt;&gt;"),"00000"),""))</f>
        <v/>
      </c>
      <c r="B290" s="16"/>
      <c r="C290" s="20"/>
      <c r="D290" s="20"/>
      <c r="E290" s="23"/>
      <c r="H290" s="19" t="str">
        <f t="shared" si="18"/>
        <v/>
      </c>
      <c r="I290" s="19" t="str">
        <f t="shared" si="17"/>
        <v/>
      </c>
      <c r="J290" s="19" t="str">
        <f t="shared" si="19"/>
        <v/>
      </c>
      <c r="K290" s="20"/>
      <c r="L290" s="21" t="str">
        <f>IF(OR(NOT(AND($B290&lt;&gt;"",$C290&lt;&gt;"",$D290&lt;&gt;"",$E290&lt;&gt;"")),$A290="",$K290&lt;&gt;"Yes"),"",IF($L290&lt;&gt;"",$L290,INDEX(SETUP!$I$1:$I$2000,MATCH(TRUE,SETUP!$J$1:$J$2000,0)+COUNTIFS($A$2:$A290,"&lt;&gt;",$K$2:$K290,"Yes",$L$2:$L290,"")-1)))</f>
        <v/>
      </c>
      <c r="N290" s="22"/>
    </row>
    <row r="291" spans="1:14" x14ac:dyDescent="0.3">
      <c r="A291" s="15" t="str">
        <f>IF(COUNTA($B291:$E291,$K291)=0,"",IF(AND($B291&lt;&gt;"",$C291&lt;&gt;"",$D291&lt;&gt;"",$E291&lt;&gt;""),"TXS"&amp;TEXT(COUNTIFS($B$2:$B291,"&lt;&gt;",$C$2:$C291,"&lt;&gt;",$D$2:$D291,"&lt;&gt;",$E$2:$E291,"&lt;&gt;"),"00000"),""))</f>
        <v/>
      </c>
      <c r="B291" s="16"/>
      <c r="C291" s="20"/>
      <c r="D291" s="20"/>
      <c r="E291" s="23"/>
      <c r="H291" s="19" t="str">
        <f t="shared" si="18"/>
        <v/>
      </c>
      <c r="I291" s="19" t="str">
        <f t="shared" si="17"/>
        <v/>
      </c>
      <c r="J291" s="19" t="str">
        <f t="shared" si="19"/>
        <v/>
      </c>
      <c r="K291" s="20"/>
      <c r="L291" s="21" t="str">
        <f>IF(OR(NOT(AND($B291&lt;&gt;"",$C291&lt;&gt;"",$D291&lt;&gt;"",$E291&lt;&gt;"")),$A291="",$K291&lt;&gt;"Yes"),"",IF($L291&lt;&gt;"",$L291,INDEX(SETUP!$I$1:$I$2000,MATCH(TRUE,SETUP!$J$1:$J$2000,0)+COUNTIFS($A$2:$A291,"&lt;&gt;",$K$2:$K291,"Yes",$L$2:$L291,"")-1)))</f>
        <v/>
      </c>
      <c r="N291" s="22"/>
    </row>
    <row r="292" spans="1:14" x14ac:dyDescent="0.3">
      <c r="A292" s="15" t="str">
        <f>IF(COUNTA($B292:$E292,$K292)=0,"",IF(AND($B292&lt;&gt;"",$C292&lt;&gt;"",$D292&lt;&gt;"",$E292&lt;&gt;""),"TXS"&amp;TEXT(COUNTIFS($B$2:$B292,"&lt;&gt;",$C$2:$C292,"&lt;&gt;",$D$2:$D292,"&lt;&gt;",$E$2:$E292,"&lt;&gt;"),"00000"),""))</f>
        <v/>
      </c>
      <c r="B292" s="16"/>
      <c r="C292" s="20"/>
      <c r="D292" s="20"/>
      <c r="E292" s="23"/>
      <c r="H292" s="19" t="str">
        <f t="shared" si="18"/>
        <v/>
      </c>
      <c r="I292" s="19" t="str">
        <f t="shared" si="17"/>
        <v/>
      </c>
      <c r="J292" s="19" t="str">
        <f t="shared" si="19"/>
        <v/>
      </c>
      <c r="K292" s="20"/>
      <c r="L292" s="21" t="str">
        <f>IF(OR(NOT(AND($B292&lt;&gt;"",$C292&lt;&gt;"",$D292&lt;&gt;"",$E292&lt;&gt;"")),$A292="",$K292&lt;&gt;"Yes"),"",IF($L292&lt;&gt;"",$L292,INDEX(SETUP!$I$1:$I$2000,MATCH(TRUE,SETUP!$J$1:$J$2000,0)+COUNTIFS($A$2:$A292,"&lt;&gt;",$K$2:$K292,"Yes",$L$2:$L292,"")-1)))</f>
        <v/>
      </c>
      <c r="N292" s="22"/>
    </row>
    <row r="293" spans="1:14" x14ac:dyDescent="0.3">
      <c r="A293" s="15" t="str">
        <f>IF(COUNTA($B293:$E293,$K293)=0,"",IF(AND($B293&lt;&gt;"",$C293&lt;&gt;"",$D293&lt;&gt;"",$E293&lt;&gt;""),"TXS"&amp;TEXT(COUNTIFS($B$2:$B293,"&lt;&gt;",$C$2:$C293,"&lt;&gt;",$D$2:$D293,"&lt;&gt;",$E$2:$E293,"&lt;&gt;"),"00000"),""))</f>
        <v/>
      </c>
      <c r="B293" s="16"/>
      <c r="C293" s="20"/>
      <c r="D293" s="20"/>
      <c r="E293" s="23"/>
      <c r="H293" s="19" t="str">
        <f t="shared" si="18"/>
        <v/>
      </c>
      <c r="I293" s="19" t="str">
        <f t="shared" si="17"/>
        <v/>
      </c>
      <c r="J293" s="19" t="str">
        <f t="shared" si="19"/>
        <v/>
      </c>
      <c r="K293" s="20"/>
      <c r="L293" s="21" t="str">
        <f>IF(OR(NOT(AND($B293&lt;&gt;"",$C293&lt;&gt;"",$D293&lt;&gt;"",$E293&lt;&gt;"")),$A293="",$K293&lt;&gt;"Yes"),"",IF($L293&lt;&gt;"",$L293,INDEX(SETUP!$I$1:$I$2000,MATCH(TRUE,SETUP!$J$1:$J$2000,0)+COUNTIFS($A$2:$A293,"&lt;&gt;",$K$2:$K293,"Yes",$L$2:$L293,"")-1)))</f>
        <v/>
      </c>
      <c r="N293" s="22"/>
    </row>
    <row r="294" spans="1:14" x14ac:dyDescent="0.3">
      <c r="A294" s="15" t="str">
        <f>IF(COUNTA($B294:$E294,$K294)=0,"",IF(AND($B294&lt;&gt;"",$C294&lt;&gt;"",$D294&lt;&gt;"",$E294&lt;&gt;""),"TXS"&amp;TEXT(COUNTIFS($B$2:$B294,"&lt;&gt;",$C$2:$C294,"&lt;&gt;",$D$2:$D294,"&lt;&gt;",$E$2:$E294,"&lt;&gt;"),"00000"),""))</f>
        <v/>
      </c>
      <c r="B294" s="16"/>
      <c r="C294" s="20"/>
      <c r="D294" s="20"/>
      <c r="E294" s="23"/>
      <c r="H294" s="19" t="str">
        <f t="shared" si="18"/>
        <v/>
      </c>
      <c r="I294" s="19" t="str">
        <f t="shared" si="17"/>
        <v/>
      </c>
      <c r="J294" s="19" t="str">
        <f t="shared" si="19"/>
        <v/>
      </c>
      <c r="K294" s="20"/>
      <c r="L294" s="21" t="str">
        <f>IF(OR(NOT(AND($B294&lt;&gt;"",$C294&lt;&gt;"",$D294&lt;&gt;"",$E294&lt;&gt;"")),$A294="",$K294&lt;&gt;"Yes"),"",IF($L294&lt;&gt;"",$L294,INDEX(SETUP!$I$1:$I$2000,MATCH(TRUE,SETUP!$J$1:$J$2000,0)+COUNTIFS($A$2:$A294,"&lt;&gt;",$K$2:$K294,"Yes",$L$2:$L294,"")-1)))</f>
        <v/>
      </c>
      <c r="N294" s="22"/>
    </row>
    <row r="295" spans="1:14" x14ac:dyDescent="0.3">
      <c r="A295" s="15" t="str">
        <f>IF(COUNTA($B295:$E295,$K295)=0,"",IF(AND($B295&lt;&gt;"",$C295&lt;&gt;"",$D295&lt;&gt;"",$E295&lt;&gt;""),"TXS"&amp;TEXT(COUNTIFS($B$2:$B295,"&lt;&gt;",$C$2:$C295,"&lt;&gt;",$D$2:$D295,"&lt;&gt;",$E$2:$E295,"&lt;&gt;"),"00000"),""))</f>
        <v/>
      </c>
      <c r="B295" s="16"/>
      <c r="C295" s="20"/>
      <c r="D295" s="20"/>
      <c r="E295" s="23"/>
      <c r="H295" s="19" t="str">
        <f t="shared" si="18"/>
        <v/>
      </c>
      <c r="I295" s="19" t="str">
        <f t="shared" si="17"/>
        <v/>
      </c>
      <c r="J295" s="19" t="str">
        <f t="shared" si="19"/>
        <v/>
      </c>
      <c r="K295" s="20"/>
      <c r="L295" s="21" t="str">
        <f>IF(OR(NOT(AND($B295&lt;&gt;"",$C295&lt;&gt;"",$D295&lt;&gt;"",$E295&lt;&gt;"")),$A295="",$K295&lt;&gt;"Yes"),"",IF($L295&lt;&gt;"",$L295,INDEX(SETUP!$I$1:$I$2000,MATCH(TRUE,SETUP!$J$1:$J$2000,0)+COUNTIFS($A$2:$A295,"&lt;&gt;",$K$2:$K295,"Yes",$L$2:$L295,"")-1)))</f>
        <v/>
      </c>
      <c r="N295" s="22"/>
    </row>
    <row r="296" spans="1:14" x14ac:dyDescent="0.3">
      <c r="A296" s="15" t="str">
        <f>IF(COUNTA($B296:$E296,$K296)=0,"",IF(AND($B296&lt;&gt;"",$C296&lt;&gt;"",$D296&lt;&gt;"",$E296&lt;&gt;""),"TXS"&amp;TEXT(COUNTIFS($B$2:$B296,"&lt;&gt;",$C$2:$C296,"&lt;&gt;",$D$2:$D296,"&lt;&gt;",$E$2:$E296,"&lt;&gt;"),"00000"),""))</f>
        <v/>
      </c>
      <c r="B296" s="16"/>
      <c r="C296" s="20"/>
      <c r="D296" s="20"/>
      <c r="E296" s="23"/>
      <c r="H296" s="19" t="str">
        <f t="shared" si="18"/>
        <v/>
      </c>
      <c r="I296" s="19" t="str">
        <f t="shared" si="17"/>
        <v/>
      </c>
      <c r="J296" s="19" t="str">
        <f t="shared" si="19"/>
        <v/>
      </c>
      <c r="K296" s="20"/>
      <c r="L296" s="21" t="str">
        <f>IF(OR(NOT(AND($B296&lt;&gt;"",$C296&lt;&gt;"",$D296&lt;&gt;"",$E296&lt;&gt;"")),$A296="",$K296&lt;&gt;"Yes"),"",IF($L296&lt;&gt;"",$L296,INDEX(SETUP!$I$1:$I$2000,MATCH(TRUE,SETUP!$J$1:$J$2000,0)+COUNTIFS($A$2:$A296,"&lt;&gt;",$K$2:$K296,"Yes",$L$2:$L296,"")-1)))</f>
        <v/>
      </c>
      <c r="N296" s="22"/>
    </row>
    <row r="297" spans="1:14" x14ac:dyDescent="0.3">
      <c r="A297" s="15" t="str">
        <f>IF(COUNTA($B297:$E297,$K297)=0,"",IF(AND($B297&lt;&gt;"",$C297&lt;&gt;"",$D297&lt;&gt;"",$E297&lt;&gt;""),"TXS"&amp;TEXT(COUNTIFS($B$2:$B297,"&lt;&gt;",$C$2:$C297,"&lt;&gt;",$D$2:$D297,"&lt;&gt;",$E$2:$E297,"&lt;&gt;"),"00000"),""))</f>
        <v/>
      </c>
      <c r="B297" s="16"/>
      <c r="C297" s="20"/>
      <c r="D297" s="20"/>
      <c r="E297" s="23"/>
      <c r="H297" s="19" t="str">
        <f t="shared" si="18"/>
        <v/>
      </c>
      <c r="I297" s="19" t="str">
        <f t="shared" ref="I297:I360" si="20">IF(NOT(AND($B297&lt;&gt;"",$C297&lt;&gt;"",$D297&lt;&gt;"",$E297&lt;&gt;"")),"",IF($A297="","","NIH plate "&amp;INT((VALUE(RIGHT($A297,5))-1)/96)+1&amp;": "&amp;CHAR(65+INT(MOD(VALUE(RIGHT($A297,5))-1,96)/12))&amp;(MOD(VALUE(RIGHT($A297,5))-1,12)+1)))</f>
        <v/>
      </c>
      <c r="J297" s="19" t="str">
        <f t="shared" si="19"/>
        <v/>
      </c>
      <c r="K297" s="20"/>
      <c r="L297" s="21" t="str">
        <f>IF(OR(NOT(AND($B297&lt;&gt;"",$C297&lt;&gt;"",$D297&lt;&gt;"",$E297&lt;&gt;"")),$A297="",$K297&lt;&gt;"Yes"),"",IF($L297&lt;&gt;"",$L297,INDEX(SETUP!$I$1:$I$2000,MATCH(TRUE,SETUP!$J$1:$J$2000,0)+COUNTIFS($A$2:$A297,"&lt;&gt;",$K$2:$K297,"Yes",$L$2:$L297,"")-1)))</f>
        <v/>
      </c>
      <c r="N297" s="22"/>
    </row>
    <row r="298" spans="1:14" x14ac:dyDescent="0.3">
      <c r="A298" s="15" t="str">
        <f>IF(COUNTA($B298:$E298,$K298)=0,"",IF(AND($B298&lt;&gt;"",$C298&lt;&gt;"",$D298&lt;&gt;"",$E298&lt;&gt;""),"TXS"&amp;TEXT(COUNTIFS($B$2:$B298,"&lt;&gt;",$C$2:$C298,"&lt;&gt;",$D$2:$D298,"&lt;&gt;",$E$2:$E298,"&lt;&gt;"),"00000"),""))</f>
        <v/>
      </c>
      <c r="B298" s="16"/>
      <c r="C298" s="20"/>
      <c r="D298" s="20"/>
      <c r="E298" s="23"/>
      <c r="H298" s="19" t="str">
        <f t="shared" si="18"/>
        <v/>
      </c>
      <c r="I298" s="19" t="str">
        <f t="shared" si="20"/>
        <v/>
      </c>
      <c r="J298" s="19" t="str">
        <f t="shared" si="19"/>
        <v/>
      </c>
      <c r="K298" s="20"/>
      <c r="L298" s="21" t="str">
        <f>IF(OR(NOT(AND($B298&lt;&gt;"",$C298&lt;&gt;"",$D298&lt;&gt;"",$E298&lt;&gt;"")),$A298="",$K298&lt;&gt;"Yes"),"",IF($L298&lt;&gt;"",$L298,INDEX(SETUP!$I$1:$I$2000,MATCH(TRUE,SETUP!$J$1:$J$2000,0)+COUNTIFS($A$2:$A298,"&lt;&gt;",$K$2:$K298,"Yes",$L$2:$L298,"")-1)))</f>
        <v/>
      </c>
      <c r="N298" s="22"/>
    </row>
    <row r="299" spans="1:14" x14ac:dyDescent="0.3">
      <c r="A299" s="15" t="str">
        <f>IF(COUNTA($B299:$E299,$K299)=0,"",IF(AND($B299&lt;&gt;"",$C299&lt;&gt;"",$D299&lt;&gt;"",$E299&lt;&gt;""),"TXS"&amp;TEXT(COUNTIFS($B$2:$B299,"&lt;&gt;",$C$2:$C299,"&lt;&gt;",$D$2:$D299,"&lt;&gt;",$E$2:$E299,"&lt;&gt;"),"00000"),""))</f>
        <v/>
      </c>
      <c r="B299" s="16"/>
      <c r="C299" s="20"/>
      <c r="D299" s="20"/>
      <c r="E299" s="23"/>
      <c r="H299" s="19" t="str">
        <f t="shared" si="18"/>
        <v/>
      </c>
      <c r="I299" s="19" t="str">
        <f t="shared" si="20"/>
        <v/>
      </c>
      <c r="J299" s="19" t="str">
        <f t="shared" si="19"/>
        <v/>
      </c>
      <c r="K299" s="20"/>
      <c r="L299" s="21" t="str">
        <f>IF(OR(NOT(AND($B299&lt;&gt;"",$C299&lt;&gt;"",$D299&lt;&gt;"",$E299&lt;&gt;"")),$A299="",$K299&lt;&gt;"Yes"),"",IF($L299&lt;&gt;"",$L299,INDEX(SETUP!$I$1:$I$2000,MATCH(TRUE,SETUP!$J$1:$J$2000,0)+COUNTIFS($A$2:$A299,"&lt;&gt;",$K$2:$K299,"Yes",$L$2:$L299,"")-1)))</f>
        <v/>
      </c>
      <c r="N299" s="22"/>
    </row>
    <row r="300" spans="1:14" x14ac:dyDescent="0.3">
      <c r="A300" s="15" t="str">
        <f>IF(COUNTA($B300:$E300,$K300)=0,"",IF(AND($B300&lt;&gt;"",$C300&lt;&gt;"",$D300&lt;&gt;"",$E300&lt;&gt;""),"TXS"&amp;TEXT(COUNTIFS($B$2:$B300,"&lt;&gt;",$C$2:$C300,"&lt;&gt;",$D$2:$D300,"&lt;&gt;",$E$2:$E300,"&lt;&gt;"),"00000"),""))</f>
        <v/>
      </c>
      <c r="B300" s="16"/>
      <c r="C300" s="20"/>
      <c r="D300" s="20"/>
      <c r="E300" s="23"/>
      <c r="H300" s="19" t="str">
        <f t="shared" si="18"/>
        <v/>
      </c>
      <c r="I300" s="19" t="str">
        <f t="shared" si="20"/>
        <v/>
      </c>
      <c r="J300" s="19" t="str">
        <f t="shared" si="19"/>
        <v/>
      </c>
      <c r="K300" s="20"/>
      <c r="L300" s="21" t="str">
        <f>IF(OR(NOT(AND($B300&lt;&gt;"",$C300&lt;&gt;"",$D300&lt;&gt;"",$E300&lt;&gt;"")),$A300="",$K300&lt;&gt;"Yes"),"",IF($L300&lt;&gt;"",$L300,INDEX(SETUP!$I$1:$I$2000,MATCH(TRUE,SETUP!$J$1:$J$2000,0)+COUNTIFS($A$2:$A300,"&lt;&gt;",$K$2:$K300,"Yes",$L$2:$L300,"")-1)))</f>
        <v/>
      </c>
      <c r="N300" s="22"/>
    </row>
    <row r="301" spans="1:14" x14ac:dyDescent="0.3">
      <c r="A301" s="15" t="str">
        <f>IF(COUNTA($B301:$E301,$K301)=0,"",IF(AND($B301&lt;&gt;"",$C301&lt;&gt;"",$D301&lt;&gt;"",$E301&lt;&gt;""),"TXS"&amp;TEXT(COUNTIFS($B$2:$B301,"&lt;&gt;",$C$2:$C301,"&lt;&gt;",$D$2:$D301,"&lt;&gt;",$E$2:$E301,"&lt;&gt;"),"00000"),""))</f>
        <v/>
      </c>
      <c r="B301" s="16"/>
      <c r="C301" s="20"/>
      <c r="D301" s="20"/>
      <c r="E301" s="23"/>
      <c r="H301" s="19" t="str">
        <f t="shared" si="18"/>
        <v/>
      </c>
      <c r="I301" s="19" t="str">
        <f t="shared" si="20"/>
        <v/>
      </c>
      <c r="J301" s="19" t="str">
        <f t="shared" si="19"/>
        <v/>
      </c>
      <c r="K301" s="20"/>
      <c r="L301" s="21" t="str">
        <f>IF(OR(NOT(AND($B301&lt;&gt;"",$C301&lt;&gt;"",$D301&lt;&gt;"",$E301&lt;&gt;"")),$A301="",$K301&lt;&gt;"Yes"),"",IF($L301&lt;&gt;"",$L301,INDEX(SETUP!$I$1:$I$2000,MATCH(TRUE,SETUP!$J$1:$J$2000,0)+COUNTIFS($A$2:$A301,"&lt;&gt;",$K$2:$K301,"Yes",$L$2:$L301,"")-1)))</f>
        <v/>
      </c>
      <c r="N301" s="22"/>
    </row>
    <row r="302" spans="1:14" x14ac:dyDescent="0.3">
      <c r="A302" s="15" t="str">
        <f>IF(COUNTA($B302:$E302,$K302)=0,"",IF(AND($B302&lt;&gt;"",$C302&lt;&gt;"",$D302&lt;&gt;"",$E302&lt;&gt;""),"TXS"&amp;TEXT(COUNTIFS($B$2:$B302,"&lt;&gt;",$C$2:$C302,"&lt;&gt;",$D$2:$D302,"&lt;&gt;",$E$2:$E302,"&lt;&gt;"),"00000"),""))</f>
        <v/>
      </c>
      <c r="B302" s="16"/>
      <c r="C302" s="20"/>
      <c r="D302" s="20"/>
      <c r="E302" s="23"/>
      <c r="H302" s="19" t="str">
        <f t="shared" si="18"/>
        <v/>
      </c>
      <c r="I302" s="19" t="str">
        <f t="shared" si="20"/>
        <v/>
      </c>
      <c r="J302" s="19" t="str">
        <f t="shared" si="19"/>
        <v/>
      </c>
      <c r="K302" s="20"/>
      <c r="L302" s="21" t="str">
        <f>IF(OR(NOT(AND($B302&lt;&gt;"",$C302&lt;&gt;"",$D302&lt;&gt;"",$E302&lt;&gt;"")),$A302="",$K302&lt;&gt;"Yes"),"",IF($L302&lt;&gt;"",$L302,INDEX(SETUP!$I$1:$I$2000,MATCH(TRUE,SETUP!$J$1:$J$2000,0)+COUNTIFS($A$2:$A302,"&lt;&gt;",$K$2:$K302,"Yes",$L$2:$L302,"")-1)))</f>
        <v/>
      </c>
      <c r="N302" s="22"/>
    </row>
    <row r="303" spans="1:14" x14ac:dyDescent="0.3">
      <c r="A303" s="15" t="str">
        <f>IF(COUNTA($B303:$E303,$K303)=0,"",IF(AND($B303&lt;&gt;"",$C303&lt;&gt;"",$D303&lt;&gt;"",$E303&lt;&gt;""),"TXS"&amp;TEXT(COUNTIFS($B$2:$B303,"&lt;&gt;",$C$2:$C303,"&lt;&gt;",$D$2:$D303,"&lt;&gt;",$E$2:$E303,"&lt;&gt;"),"00000"),""))</f>
        <v/>
      </c>
      <c r="B303" s="16"/>
      <c r="C303" s="20"/>
      <c r="D303" s="20"/>
      <c r="E303" s="23"/>
      <c r="H303" s="19" t="str">
        <f t="shared" ref="H303:H366" si="21">IF(NOT(AND($B303&lt;&gt;"",$C303&lt;&gt;"",$D303&lt;&gt;"",$E303&lt;&gt;"")),"",IF($A303="","","CDI plate "&amp;INT((VALUE(RIGHT($A303,5))-1)/96)+1&amp;": "&amp;CHAR(65+INT(MOD(VALUE(RIGHT($A303,5))-1,96)/12))&amp;(MOD(VALUE(RIGHT($A303,5))-1,12)+1)))</f>
        <v/>
      </c>
      <c r="I303" s="19" t="str">
        <f t="shared" si="20"/>
        <v/>
      </c>
      <c r="J303" s="19" t="str">
        <f t="shared" si="19"/>
        <v/>
      </c>
      <c r="K303" s="20"/>
      <c r="L303" s="21" t="str">
        <f>IF(OR(NOT(AND($B303&lt;&gt;"",$C303&lt;&gt;"",$D303&lt;&gt;"",$E303&lt;&gt;"")),$A303="",$K303&lt;&gt;"Yes"),"",IF($L303&lt;&gt;"",$L303,INDEX(SETUP!$I$1:$I$2000,MATCH(TRUE,SETUP!$J$1:$J$2000,0)+COUNTIFS($A$2:$A303,"&lt;&gt;",$K$2:$K303,"Yes",$L$2:$L303,"")-1)))</f>
        <v/>
      </c>
      <c r="N303" s="22"/>
    </row>
    <row r="304" spans="1:14" x14ac:dyDescent="0.3">
      <c r="A304" s="15" t="str">
        <f>IF(COUNTA($B304:$E304,$K304)=0,"",IF(AND($B304&lt;&gt;"",$C304&lt;&gt;"",$D304&lt;&gt;"",$E304&lt;&gt;""),"TXS"&amp;TEXT(COUNTIFS($B$2:$B304,"&lt;&gt;",$C$2:$C304,"&lt;&gt;",$D$2:$D304,"&lt;&gt;",$E$2:$E304,"&lt;&gt;"),"00000"),""))</f>
        <v/>
      </c>
      <c r="B304" s="16"/>
      <c r="C304" s="20"/>
      <c r="D304" s="20"/>
      <c r="E304" s="23"/>
      <c r="H304" s="19" t="str">
        <f t="shared" si="21"/>
        <v/>
      </c>
      <c r="I304" s="19" t="str">
        <f t="shared" si="20"/>
        <v/>
      </c>
      <c r="J304" s="19" t="str">
        <f t="shared" si="19"/>
        <v/>
      </c>
      <c r="K304" s="20"/>
      <c r="L304" s="21" t="str">
        <f>IF(OR(NOT(AND($B304&lt;&gt;"",$C304&lt;&gt;"",$D304&lt;&gt;"",$E304&lt;&gt;"")),$A304="",$K304&lt;&gt;"Yes"),"",IF($L304&lt;&gt;"",$L304,INDEX(SETUP!$I$1:$I$2000,MATCH(TRUE,SETUP!$J$1:$J$2000,0)+COUNTIFS($A$2:$A304,"&lt;&gt;",$K$2:$K304,"Yes",$L$2:$L304,"")-1)))</f>
        <v/>
      </c>
      <c r="N304" s="22"/>
    </row>
    <row r="305" spans="1:14" x14ac:dyDescent="0.3">
      <c r="A305" s="15" t="str">
        <f>IF(COUNTA($B305:$E305,$K305)=0,"",IF(AND($B305&lt;&gt;"",$C305&lt;&gt;"",$D305&lt;&gt;"",$E305&lt;&gt;""),"TXS"&amp;TEXT(COUNTIFS($B$2:$B305,"&lt;&gt;",$C$2:$C305,"&lt;&gt;",$D$2:$D305,"&lt;&gt;",$E$2:$E305,"&lt;&gt;"),"00000"),""))</f>
        <v/>
      </c>
      <c r="B305" s="16"/>
      <c r="C305" s="20"/>
      <c r="D305" s="20"/>
      <c r="E305" s="23"/>
      <c r="H305" s="19" t="str">
        <f t="shared" si="21"/>
        <v/>
      </c>
      <c r="I305" s="19" t="str">
        <f t="shared" si="20"/>
        <v/>
      </c>
      <c r="J305" s="19" t="str">
        <f t="shared" si="19"/>
        <v/>
      </c>
      <c r="K305" s="20"/>
      <c r="L305" s="21" t="str">
        <f>IF(OR(NOT(AND($B305&lt;&gt;"",$C305&lt;&gt;"",$D305&lt;&gt;"",$E305&lt;&gt;"")),$A305="",$K305&lt;&gt;"Yes"),"",IF($L305&lt;&gt;"",$L305,INDEX(SETUP!$I$1:$I$2000,MATCH(TRUE,SETUP!$J$1:$J$2000,0)+COUNTIFS($A$2:$A305,"&lt;&gt;",$K$2:$K305,"Yes",$L$2:$L305,"")-1)))</f>
        <v/>
      </c>
      <c r="N305" s="22"/>
    </row>
    <row r="306" spans="1:14" x14ac:dyDescent="0.3">
      <c r="A306" s="15" t="str">
        <f>IF(COUNTA($B306:$E306,$K306)=0,"",IF(AND($B306&lt;&gt;"",$C306&lt;&gt;"",$D306&lt;&gt;"",$E306&lt;&gt;""),"TXS"&amp;TEXT(COUNTIFS($B$2:$B306,"&lt;&gt;",$C$2:$C306,"&lt;&gt;",$D$2:$D306,"&lt;&gt;",$E$2:$E306,"&lt;&gt;"),"00000"),""))</f>
        <v/>
      </c>
      <c r="B306" s="16"/>
      <c r="C306" s="20"/>
      <c r="D306" s="20"/>
      <c r="E306" s="23"/>
      <c r="H306" s="19" t="str">
        <f t="shared" si="21"/>
        <v/>
      </c>
      <c r="I306" s="19" t="str">
        <f t="shared" si="20"/>
        <v/>
      </c>
      <c r="J306" s="19" t="str">
        <f t="shared" ref="J306:J369" si="22">IF(NOT(AND($B306&lt;&gt;"",$C306&lt;&gt;"",$D306&lt;&gt;"",$E306&lt;&gt;"")),"",IF($A306="","","Max Planck plate "&amp;INT((VALUE(RIGHT($A306,5))-1)/96)+1&amp;": "&amp;CHAR(65+INT(MOD(VALUE(RIGHT($A306,5))-1,96)/12))&amp;(MOD(VALUE(RIGHT($A306,5))-1,12)+1)))</f>
        <v/>
      </c>
      <c r="K306" s="20"/>
      <c r="L306" s="21" t="str">
        <f>IF(OR(NOT(AND($B306&lt;&gt;"",$C306&lt;&gt;"",$D306&lt;&gt;"",$E306&lt;&gt;"")),$A306="",$K306&lt;&gt;"Yes"),"",IF($L306&lt;&gt;"",$L306,INDEX(SETUP!$I$1:$I$2000,MATCH(TRUE,SETUP!$J$1:$J$2000,0)+COUNTIFS($A$2:$A306,"&lt;&gt;",$K$2:$K306,"Yes",$L$2:$L306,"")-1)))</f>
        <v/>
      </c>
      <c r="N306" s="22"/>
    </row>
    <row r="307" spans="1:14" x14ac:dyDescent="0.3">
      <c r="A307" s="15" t="str">
        <f>IF(COUNTA($B307:$E307,$K307)=0,"",IF(AND($B307&lt;&gt;"",$C307&lt;&gt;"",$D307&lt;&gt;"",$E307&lt;&gt;""),"TXS"&amp;TEXT(COUNTIFS($B$2:$B307,"&lt;&gt;",$C$2:$C307,"&lt;&gt;",$D$2:$D307,"&lt;&gt;",$E$2:$E307,"&lt;&gt;"),"00000"),""))</f>
        <v/>
      </c>
      <c r="B307" s="16"/>
      <c r="C307" s="20"/>
      <c r="D307" s="20"/>
      <c r="E307" s="23"/>
      <c r="H307" s="19" t="str">
        <f t="shared" si="21"/>
        <v/>
      </c>
      <c r="I307" s="19" t="str">
        <f t="shared" si="20"/>
        <v/>
      </c>
      <c r="J307" s="19" t="str">
        <f t="shared" si="22"/>
        <v/>
      </c>
      <c r="K307" s="20"/>
      <c r="L307" s="21" t="str">
        <f>IF(OR(NOT(AND($B307&lt;&gt;"",$C307&lt;&gt;"",$D307&lt;&gt;"",$E307&lt;&gt;"")),$A307="",$K307&lt;&gt;"Yes"),"",IF($L307&lt;&gt;"",$L307,INDEX(SETUP!$I$1:$I$2000,MATCH(TRUE,SETUP!$J$1:$J$2000,0)+COUNTIFS($A$2:$A307,"&lt;&gt;",$K$2:$K307,"Yes",$L$2:$L307,"")-1)))</f>
        <v/>
      </c>
      <c r="N307" s="22"/>
    </row>
    <row r="308" spans="1:14" x14ac:dyDescent="0.3">
      <c r="A308" s="15" t="str">
        <f>IF(COUNTA($B308:$E308,$K308)=0,"",IF(AND($B308&lt;&gt;"",$C308&lt;&gt;"",$D308&lt;&gt;"",$E308&lt;&gt;""),"TXS"&amp;TEXT(COUNTIFS($B$2:$B308,"&lt;&gt;",$C$2:$C308,"&lt;&gt;",$D$2:$D308,"&lt;&gt;",$E$2:$E308,"&lt;&gt;"),"00000"),""))</f>
        <v/>
      </c>
      <c r="B308" s="16"/>
      <c r="C308" s="20"/>
      <c r="D308" s="20"/>
      <c r="E308" s="23"/>
      <c r="H308" s="19" t="str">
        <f t="shared" si="21"/>
        <v/>
      </c>
      <c r="I308" s="19" t="str">
        <f t="shared" si="20"/>
        <v/>
      </c>
      <c r="J308" s="19" t="str">
        <f t="shared" si="22"/>
        <v/>
      </c>
      <c r="K308" s="20"/>
      <c r="L308" s="21" t="str">
        <f>IF(OR(NOT(AND($B308&lt;&gt;"",$C308&lt;&gt;"",$D308&lt;&gt;"",$E308&lt;&gt;"")),$A308="",$K308&lt;&gt;"Yes"),"",IF($L308&lt;&gt;"",$L308,INDEX(SETUP!$I$1:$I$2000,MATCH(TRUE,SETUP!$J$1:$J$2000,0)+COUNTIFS($A$2:$A308,"&lt;&gt;",$K$2:$K308,"Yes",$L$2:$L308,"")-1)))</f>
        <v/>
      </c>
      <c r="N308" s="22"/>
    </row>
    <row r="309" spans="1:14" x14ac:dyDescent="0.3">
      <c r="A309" s="15" t="str">
        <f>IF(COUNTA($B309:$E309,$K309)=0,"",IF(AND($B309&lt;&gt;"",$C309&lt;&gt;"",$D309&lt;&gt;"",$E309&lt;&gt;""),"TXS"&amp;TEXT(COUNTIFS($B$2:$B309,"&lt;&gt;",$C$2:$C309,"&lt;&gt;",$D$2:$D309,"&lt;&gt;",$E$2:$E309,"&lt;&gt;"),"00000"),""))</f>
        <v/>
      </c>
      <c r="B309" s="16"/>
      <c r="C309" s="20"/>
      <c r="D309" s="20"/>
      <c r="E309" s="23"/>
      <c r="H309" s="19" t="str">
        <f t="shared" si="21"/>
        <v/>
      </c>
      <c r="I309" s="19" t="str">
        <f t="shared" si="20"/>
        <v/>
      </c>
      <c r="J309" s="19" t="str">
        <f t="shared" si="22"/>
        <v/>
      </c>
      <c r="K309" s="20"/>
      <c r="L309" s="21" t="str">
        <f>IF(OR(NOT(AND($B309&lt;&gt;"",$C309&lt;&gt;"",$D309&lt;&gt;"",$E309&lt;&gt;"")),$A309="",$K309&lt;&gt;"Yes"),"",IF($L309&lt;&gt;"",$L309,INDEX(SETUP!$I$1:$I$2000,MATCH(TRUE,SETUP!$J$1:$J$2000,0)+COUNTIFS($A$2:$A309,"&lt;&gt;",$K$2:$K309,"Yes",$L$2:$L309,"")-1)))</f>
        <v/>
      </c>
      <c r="N309" s="22"/>
    </row>
    <row r="310" spans="1:14" x14ac:dyDescent="0.3">
      <c r="A310" s="15" t="str">
        <f>IF(COUNTA($B310:$E310,$K310)=0,"",IF(AND($B310&lt;&gt;"",$C310&lt;&gt;"",$D310&lt;&gt;"",$E310&lt;&gt;""),"TXS"&amp;TEXT(COUNTIFS($B$2:$B310,"&lt;&gt;",$C$2:$C310,"&lt;&gt;",$D$2:$D310,"&lt;&gt;",$E$2:$E310,"&lt;&gt;"),"00000"),""))</f>
        <v/>
      </c>
      <c r="B310" s="16"/>
      <c r="C310" s="20"/>
      <c r="D310" s="20"/>
      <c r="E310" s="23"/>
      <c r="H310" s="19" t="str">
        <f t="shared" si="21"/>
        <v/>
      </c>
      <c r="I310" s="19" t="str">
        <f t="shared" si="20"/>
        <v/>
      </c>
      <c r="J310" s="19" t="str">
        <f t="shared" si="22"/>
        <v/>
      </c>
      <c r="K310" s="20"/>
      <c r="L310" s="21" t="str">
        <f>IF(OR(NOT(AND($B310&lt;&gt;"",$C310&lt;&gt;"",$D310&lt;&gt;"",$E310&lt;&gt;"")),$A310="",$K310&lt;&gt;"Yes"),"",IF($L310&lt;&gt;"",$L310,INDEX(SETUP!$I$1:$I$2000,MATCH(TRUE,SETUP!$J$1:$J$2000,0)+COUNTIFS($A$2:$A310,"&lt;&gt;",$K$2:$K310,"Yes",$L$2:$L310,"")-1)))</f>
        <v/>
      </c>
      <c r="N310" s="22"/>
    </row>
    <row r="311" spans="1:14" x14ac:dyDescent="0.3">
      <c r="A311" s="15" t="str">
        <f>IF(COUNTA($B311:$E311,$K311)=0,"",IF(AND($B311&lt;&gt;"",$C311&lt;&gt;"",$D311&lt;&gt;"",$E311&lt;&gt;""),"TXS"&amp;TEXT(COUNTIFS($B$2:$B311,"&lt;&gt;",$C$2:$C311,"&lt;&gt;",$D$2:$D311,"&lt;&gt;",$E$2:$E311,"&lt;&gt;"),"00000"),""))</f>
        <v/>
      </c>
      <c r="B311" s="16"/>
      <c r="C311" s="20"/>
      <c r="D311" s="20"/>
      <c r="E311" s="23"/>
      <c r="H311" s="19" t="str">
        <f t="shared" si="21"/>
        <v/>
      </c>
      <c r="I311" s="19" t="str">
        <f t="shared" si="20"/>
        <v/>
      </c>
      <c r="J311" s="19" t="str">
        <f t="shared" si="22"/>
        <v/>
      </c>
      <c r="K311" s="20"/>
      <c r="L311" s="21" t="str">
        <f>IF(OR(NOT(AND($B311&lt;&gt;"",$C311&lt;&gt;"",$D311&lt;&gt;"",$E311&lt;&gt;"")),$A311="",$K311&lt;&gt;"Yes"),"",IF($L311&lt;&gt;"",$L311,INDEX(SETUP!$I$1:$I$2000,MATCH(TRUE,SETUP!$J$1:$J$2000,0)+COUNTIFS($A$2:$A311,"&lt;&gt;",$K$2:$K311,"Yes",$L$2:$L311,"")-1)))</f>
        <v/>
      </c>
      <c r="N311" s="22"/>
    </row>
    <row r="312" spans="1:14" x14ac:dyDescent="0.3">
      <c r="A312" s="15" t="str">
        <f>IF(COUNTA($B312:$E312,$K312)=0,"",IF(AND($B312&lt;&gt;"",$C312&lt;&gt;"",$D312&lt;&gt;"",$E312&lt;&gt;""),"TXS"&amp;TEXT(COUNTIFS($B$2:$B312,"&lt;&gt;",$C$2:$C312,"&lt;&gt;",$D$2:$D312,"&lt;&gt;",$E$2:$E312,"&lt;&gt;"),"00000"),""))</f>
        <v/>
      </c>
      <c r="B312" s="16"/>
      <c r="C312" s="20"/>
      <c r="D312" s="20"/>
      <c r="E312" s="23"/>
      <c r="H312" s="19" t="str">
        <f t="shared" si="21"/>
        <v/>
      </c>
      <c r="I312" s="19" t="str">
        <f t="shared" si="20"/>
        <v/>
      </c>
      <c r="J312" s="19" t="str">
        <f t="shared" si="22"/>
        <v/>
      </c>
      <c r="K312" s="20"/>
      <c r="L312" s="21" t="str">
        <f>IF(OR(NOT(AND($B312&lt;&gt;"",$C312&lt;&gt;"",$D312&lt;&gt;"",$E312&lt;&gt;"")),$A312="",$K312&lt;&gt;"Yes"),"",IF($L312&lt;&gt;"",$L312,INDEX(SETUP!$I$1:$I$2000,MATCH(TRUE,SETUP!$J$1:$J$2000,0)+COUNTIFS($A$2:$A312,"&lt;&gt;",$K$2:$K312,"Yes",$L$2:$L312,"")-1)))</f>
        <v/>
      </c>
      <c r="N312" s="22"/>
    </row>
    <row r="313" spans="1:14" x14ac:dyDescent="0.3">
      <c r="A313" s="15" t="str">
        <f>IF(COUNTA($B313:$E313,$K313)=0,"",IF(AND($B313&lt;&gt;"",$C313&lt;&gt;"",$D313&lt;&gt;"",$E313&lt;&gt;""),"TXS"&amp;TEXT(COUNTIFS($B$2:$B313,"&lt;&gt;",$C$2:$C313,"&lt;&gt;",$D$2:$D313,"&lt;&gt;",$E$2:$E313,"&lt;&gt;"),"00000"),""))</f>
        <v/>
      </c>
      <c r="B313" s="16"/>
      <c r="C313" s="20"/>
      <c r="D313" s="20"/>
      <c r="E313" s="23"/>
      <c r="H313" s="19" t="str">
        <f t="shared" si="21"/>
        <v/>
      </c>
      <c r="I313" s="19" t="str">
        <f t="shared" si="20"/>
        <v/>
      </c>
      <c r="J313" s="19" t="str">
        <f t="shared" si="22"/>
        <v/>
      </c>
      <c r="K313" s="20"/>
      <c r="L313" s="21" t="str">
        <f>IF(OR(NOT(AND($B313&lt;&gt;"",$C313&lt;&gt;"",$D313&lt;&gt;"",$E313&lt;&gt;"")),$A313="",$K313&lt;&gt;"Yes"),"",IF($L313&lt;&gt;"",$L313,INDEX(SETUP!$I$1:$I$2000,MATCH(TRUE,SETUP!$J$1:$J$2000,0)+COUNTIFS($A$2:$A313,"&lt;&gt;",$K$2:$K313,"Yes",$L$2:$L313,"")-1)))</f>
        <v/>
      </c>
      <c r="N313" s="22"/>
    </row>
    <row r="314" spans="1:14" x14ac:dyDescent="0.3">
      <c r="A314" s="15" t="str">
        <f>IF(COUNTA($B314:$E314,$K314)=0,"",IF(AND($B314&lt;&gt;"",$C314&lt;&gt;"",$D314&lt;&gt;"",$E314&lt;&gt;""),"TXS"&amp;TEXT(COUNTIFS($B$2:$B314,"&lt;&gt;",$C$2:$C314,"&lt;&gt;",$D$2:$D314,"&lt;&gt;",$E$2:$E314,"&lt;&gt;"),"00000"),""))</f>
        <v/>
      </c>
      <c r="B314" s="16"/>
      <c r="C314" s="20"/>
      <c r="D314" s="20"/>
      <c r="E314" s="23"/>
      <c r="H314" s="19" t="str">
        <f t="shared" si="21"/>
        <v/>
      </c>
      <c r="I314" s="19" t="str">
        <f t="shared" si="20"/>
        <v/>
      </c>
      <c r="J314" s="19" t="str">
        <f t="shared" si="22"/>
        <v/>
      </c>
      <c r="K314" s="20"/>
      <c r="L314" s="21" t="str">
        <f>IF(OR(NOT(AND($B314&lt;&gt;"",$C314&lt;&gt;"",$D314&lt;&gt;"",$E314&lt;&gt;"")),$A314="",$K314&lt;&gt;"Yes"),"",IF($L314&lt;&gt;"",$L314,INDEX(SETUP!$I$1:$I$2000,MATCH(TRUE,SETUP!$J$1:$J$2000,0)+COUNTIFS($A$2:$A314,"&lt;&gt;",$K$2:$K314,"Yes",$L$2:$L314,"")-1)))</f>
        <v/>
      </c>
      <c r="N314" s="22"/>
    </row>
    <row r="315" spans="1:14" x14ac:dyDescent="0.3">
      <c r="A315" s="15" t="str">
        <f>IF(COUNTA($B315:$E315,$K315)=0,"",IF(AND($B315&lt;&gt;"",$C315&lt;&gt;"",$D315&lt;&gt;"",$E315&lt;&gt;""),"TXS"&amp;TEXT(COUNTIFS($B$2:$B315,"&lt;&gt;",$C$2:$C315,"&lt;&gt;",$D$2:$D315,"&lt;&gt;",$E$2:$E315,"&lt;&gt;"),"00000"),""))</f>
        <v/>
      </c>
      <c r="B315" s="16"/>
      <c r="C315" s="20"/>
      <c r="D315" s="20"/>
      <c r="E315" s="23"/>
      <c r="H315" s="19" t="str">
        <f t="shared" si="21"/>
        <v/>
      </c>
      <c r="I315" s="19" t="str">
        <f t="shared" si="20"/>
        <v/>
      </c>
      <c r="J315" s="19" t="str">
        <f t="shared" si="22"/>
        <v/>
      </c>
      <c r="K315" s="20"/>
      <c r="L315" s="21" t="str">
        <f>IF(OR(NOT(AND($B315&lt;&gt;"",$C315&lt;&gt;"",$D315&lt;&gt;"",$E315&lt;&gt;"")),$A315="",$K315&lt;&gt;"Yes"),"",IF($L315&lt;&gt;"",$L315,INDEX(SETUP!$I$1:$I$2000,MATCH(TRUE,SETUP!$J$1:$J$2000,0)+COUNTIFS($A$2:$A315,"&lt;&gt;",$K$2:$K315,"Yes",$L$2:$L315,"")-1)))</f>
        <v/>
      </c>
      <c r="N315" s="22"/>
    </row>
    <row r="316" spans="1:14" x14ac:dyDescent="0.3">
      <c r="A316" s="15" t="str">
        <f>IF(COUNTA($B316:$E316,$K316)=0,"",IF(AND($B316&lt;&gt;"",$C316&lt;&gt;"",$D316&lt;&gt;"",$E316&lt;&gt;""),"TXS"&amp;TEXT(COUNTIFS($B$2:$B316,"&lt;&gt;",$C$2:$C316,"&lt;&gt;",$D$2:$D316,"&lt;&gt;",$E$2:$E316,"&lt;&gt;"),"00000"),""))</f>
        <v/>
      </c>
      <c r="B316" s="16"/>
      <c r="C316" s="20"/>
      <c r="D316" s="20"/>
      <c r="E316" s="23"/>
      <c r="H316" s="19" t="str">
        <f t="shared" si="21"/>
        <v/>
      </c>
      <c r="I316" s="19" t="str">
        <f t="shared" si="20"/>
        <v/>
      </c>
      <c r="J316" s="19" t="str">
        <f t="shared" si="22"/>
        <v/>
      </c>
      <c r="K316" s="20"/>
      <c r="L316" s="21" t="str">
        <f>IF(OR(NOT(AND($B316&lt;&gt;"",$C316&lt;&gt;"",$D316&lt;&gt;"",$E316&lt;&gt;"")),$A316="",$K316&lt;&gt;"Yes"),"",IF($L316&lt;&gt;"",$L316,INDEX(SETUP!$I$1:$I$2000,MATCH(TRUE,SETUP!$J$1:$J$2000,0)+COUNTIFS($A$2:$A316,"&lt;&gt;",$K$2:$K316,"Yes",$L$2:$L316,"")-1)))</f>
        <v/>
      </c>
      <c r="N316" s="22"/>
    </row>
    <row r="317" spans="1:14" x14ac:dyDescent="0.3">
      <c r="A317" s="15" t="str">
        <f>IF(COUNTA($B317:$E317,$K317)=0,"",IF(AND($B317&lt;&gt;"",$C317&lt;&gt;"",$D317&lt;&gt;"",$E317&lt;&gt;""),"TXS"&amp;TEXT(COUNTIFS($B$2:$B317,"&lt;&gt;",$C$2:$C317,"&lt;&gt;",$D$2:$D317,"&lt;&gt;",$E$2:$E317,"&lt;&gt;"),"00000"),""))</f>
        <v/>
      </c>
      <c r="B317" s="16"/>
      <c r="C317" s="20"/>
      <c r="D317" s="20"/>
      <c r="E317" s="23"/>
      <c r="H317" s="19" t="str">
        <f t="shared" si="21"/>
        <v/>
      </c>
      <c r="I317" s="19" t="str">
        <f t="shared" si="20"/>
        <v/>
      </c>
      <c r="J317" s="19" t="str">
        <f t="shared" si="22"/>
        <v/>
      </c>
      <c r="K317" s="20"/>
      <c r="L317" s="21" t="str">
        <f>IF(OR(NOT(AND($B317&lt;&gt;"",$C317&lt;&gt;"",$D317&lt;&gt;"",$E317&lt;&gt;"")),$A317="",$K317&lt;&gt;"Yes"),"",IF($L317&lt;&gt;"",$L317,INDEX(SETUP!$I$1:$I$2000,MATCH(TRUE,SETUP!$J$1:$J$2000,0)+COUNTIFS($A$2:$A317,"&lt;&gt;",$K$2:$K317,"Yes",$L$2:$L317,"")-1)))</f>
        <v/>
      </c>
      <c r="N317" s="22"/>
    </row>
    <row r="318" spans="1:14" x14ac:dyDescent="0.3">
      <c r="A318" s="15" t="str">
        <f>IF(COUNTA($B318:$E318,$K318)=0,"",IF(AND($B318&lt;&gt;"",$C318&lt;&gt;"",$D318&lt;&gt;"",$E318&lt;&gt;""),"TXS"&amp;TEXT(COUNTIFS($B$2:$B318,"&lt;&gt;",$C$2:$C318,"&lt;&gt;",$D$2:$D318,"&lt;&gt;",$E$2:$E318,"&lt;&gt;"),"00000"),""))</f>
        <v/>
      </c>
      <c r="B318" s="16"/>
      <c r="C318" s="20"/>
      <c r="D318" s="20"/>
      <c r="E318" s="23"/>
      <c r="H318" s="19" t="str">
        <f t="shared" si="21"/>
        <v/>
      </c>
      <c r="I318" s="19" t="str">
        <f t="shared" si="20"/>
        <v/>
      </c>
      <c r="J318" s="19" t="str">
        <f t="shared" si="22"/>
        <v/>
      </c>
      <c r="K318" s="20"/>
      <c r="L318" s="21" t="str">
        <f>IF(OR(NOT(AND($B318&lt;&gt;"",$C318&lt;&gt;"",$D318&lt;&gt;"",$E318&lt;&gt;"")),$A318="",$K318&lt;&gt;"Yes"),"",IF($L318&lt;&gt;"",$L318,INDEX(SETUP!$I$1:$I$2000,MATCH(TRUE,SETUP!$J$1:$J$2000,0)+COUNTIFS($A$2:$A318,"&lt;&gt;",$K$2:$K318,"Yes",$L$2:$L318,"")-1)))</f>
        <v/>
      </c>
      <c r="N318" s="22"/>
    </row>
    <row r="319" spans="1:14" x14ac:dyDescent="0.3">
      <c r="A319" s="15" t="str">
        <f>IF(COUNTA($B319:$E319,$K319)=0,"",IF(AND($B319&lt;&gt;"",$C319&lt;&gt;"",$D319&lt;&gt;"",$E319&lt;&gt;""),"TXS"&amp;TEXT(COUNTIFS($B$2:$B319,"&lt;&gt;",$C$2:$C319,"&lt;&gt;",$D$2:$D319,"&lt;&gt;",$E$2:$E319,"&lt;&gt;"),"00000"),""))</f>
        <v/>
      </c>
      <c r="B319" s="16"/>
      <c r="C319" s="20"/>
      <c r="D319" s="20"/>
      <c r="E319" s="23"/>
      <c r="H319" s="19" t="str">
        <f t="shared" si="21"/>
        <v/>
      </c>
      <c r="I319" s="19" t="str">
        <f t="shared" si="20"/>
        <v/>
      </c>
      <c r="J319" s="19" t="str">
        <f t="shared" si="22"/>
        <v/>
      </c>
      <c r="K319" s="20"/>
      <c r="L319" s="21" t="str">
        <f>IF(OR(NOT(AND($B319&lt;&gt;"",$C319&lt;&gt;"",$D319&lt;&gt;"",$E319&lt;&gt;"")),$A319="",$K319&lt;&gt;"Yes"),"",IF($L319&lt;&gt;"",$L319,INDEX(SETUP!$I$1:$I$2000,MATCH(TRUE,SETUP!$J$1:$J$2000,0)+COUNTIFS($A$2:$A319,"&lt;&gt;",$K$2:$K319,"Yes",$L$2:$L319,"")-1)))</f>
        <v/>
      </c>
      <c r="N319" s="22"/>
    </row>
    <row r="320" spans="1:14" x14ac:dyDescent="0.3">
      <c r="A320" s="15" t="str">
        <f>IF(COUNTA($B320:$E320,$K320)=0,"",IF(AND($B320&lt;&gt;"",$C320&lt;&gt;"",$D320&lt;&gt;"",$E320&lt;&gt;""),"TXS"&amp;TEXT(COUNTIFS($B$2:$B320,"&lt;&gt;",$C$2:$C320,"&lt;&gt;",$D$2:$D320,"&lt;&gt;",$E$2:$E320,"&lt;&gt;"),"00000"),""))</f>
        <v/>
      </c>
      <c r="B320" s="16"/>
      <c r="C320" s="20"/>
      <c r="D320" s="20"/>
      <c r="E320" s="23"/>
      <c r="H320" s="19" t="str">
        <f t="shared" si="21"/>
        <v/>
      </c>
      <c r="I320" s="19" t="str">
        <f t="shared" si="20"/>
        <v/>
      </c>
      <c r="J320" s="19" t="str">
        <f t="shared" si="22"/>
        <v/>
      </c>
      <c r="K320" s="20"/>
      <c r="L320" s="21" t="str">
        <f>IF(OR(NOT(AND($B320&lt;&gt;"",$C320&lt;&gt;"",$D320&lt;&gt;"",$E320&lt;&gt;"")),$A320="",$K320&lt;&gt;"Yes"),"",IF($L320&lt;&gt;"",$L320,INDEX(SETUP!$I$1:$I$2000,MATCH(TRUE,SETUP!$J$1:$J$2000,0)+COUNTIFS($A$2:$A320,"&lt;&gt;",$K$2:$K320,"Yes",$L$2:$L320,"")-1)))</f>
        <v/>
      </c>
      <c r="N320" s="22"/>
    </row>
    <row r="321" spans="1:14" x14ac:dyDescent="0.3">
      <c r="A321" s="15" t="str">
        <f>IF(COUNTA($B321:$E321,$K321)=0,"",IF(AND($B321&lt;&gt;"",$C321&lt;&gt;"",$D321&lt;&gt;"",$E321&lt;&gt;""),"TXS"&amp;TEXT(COUNTIFS($B$2:$B321,"&lt;&gt;",$C$2:$C321,"&lt;&gt;",$D$2:$D321,"&lt;&gt;",$E$2:$E321,"&lt;&gt;"),"00000"),""))</f>
        <v/>
      </c>
      <c r="B321" s="16"/>
      <c r="C321" s="20"/>
      <c r="D321" s="20"/>
      <c r="E321" s="23"/>
      <c r="H321" s="19" t="str">
        <f t="shared" si="21"/>
        <v/>
      </c>
      <c r="I321" s="19" t="str">
        <f t="shared" si="20"/>
        <v/>
      </c>
      <c r="J321" s="19" t="str">
        <f t="shared" si="22"/>
        <v/>
      </c>
      <c r="K321" s="20"/>
      <c r="L321" s="21" t="str">
        <f>IF(OR(NOT(AND($B321&lt;&gt;"",$C321&lt;&gt;"",$D321&lt;&gt;"",$E321&lt;&gt;"")),$A321="",$K321&lt;&gt;"Yes"),"",IF($L321&lt;&gt;"",$L321,INDEX(SETUP!$I$1:$I$2000,MATCH(TRUE,SETUP!$J$1:$J$2000,0)+COUNTIFS($A$2:$A321,"&lt;&gt;",$K$2:$K321,"Yes",$L$2:$L321,"")-1)))</f>
        <v/>
      </c>
      <c r="N321" s="22"/>
    </row>
    <row r="322" spans="1:14" x14ac:dyDescent="0.3">
      <c r="A322" s="15" t="str">
        <f>IF(COUNTA($B322:$E322,$K322)=0,"",IF(AND($B322&lt;&gt;"",$C322&lt;&gt;"",$D322&lt;&gt;"",$E322&lt;&gt;""),"TXS"&amp;TEXT(COUNTIFS($B$2:$B322,"&lt;&gt;",$C$2:$C322,"&lt;&gt;",$D$2:$D322,"&lt;&gt;",$E$2:$E322,"&lt;&gt;"),"00000"),""))</f>
        <v/>
      </c>
      <c r="B322" s="16"/>
      <c r="C322" s="20"/>
      <c r="D322" s="20"/>
      <c r="E322" s="23"/>
      <c r="H322" s="19" t="str">
        <f t="shared" si="21"/>
        <v/>
      </c>
      <c r="I322" s="19" t="str">
        <f t="shared" si="20"/>
        <v/>
      </c>
      <c r="J322" s="19" t="str">
        <f t="shared" si="22"/>
        <v/>
      </c>
      <c r="K322" s="20"/>
      <c r="L322" s="21" t="str">
        <f>IF(OR(NOT(AND($B322&lt;&gt;"",$C322&lt;&gt;"",$D322&lt;&gt;"",$E322&lt;&gt;"")),$A322="",$K322&lt;&gt;"Yes"),"",IF($L322&lt;&gt;"",$L322,INDEX(SETUP!$I$1:$I$2000,MATCH(TRUE,SETUP!$J$1:$J$2000,0)+COUNTIFS($A$2:$A322,"&lt;&gt;",$K$2:$K322,"Yes",$L$2:$L322,"")-1)))</f>
        <v/>
      </c>
      <c r="N322" s="22"/>
    </row>
    <row r="323" spans="1:14" x14ac:dyDescent="0.3">
      <c r="A323" s="15" t="str">
        <f>IF(COUNTA($B323:$E323,$K323)=0,"",IF(AND($B323&lt;&gt;"",$C323&lt;&gt;"",$D323&lt;&gt;"",$E323&lt;&gt;""),"TXS"&amp;TEXT(COUNTIFS($B$2:$B323,"&lt;&gt;",$C$2:$C323,"&lt;&gt;",$D$2:$D323,"&lt;&gt;",$E$2:$E323,"&lt;&gt;"),"00000"),""))</f>
        <v/>
      </c>
      <c r="B323" s="16"/>
      <c r="C323" s="20"/>
      <c r="D323" s="20"/>
      <c r="E323" s="23"/>
      <c r="H323" s="19" t="str">
        <f t="shared" si="21"/>
        <v/>
      </c>
      <c r="I323" s="19" t="str">
        <f t="shared" si="20"/>
        <v/>
      </c>
      <c r="J323" s="19" t="str">
        <f t="shared" si="22"/>
        <v/>
      </c>
      <c r="K323" s="20"/>
      <c r="L323" s="21" t="str">
        <f>IF(OR(NOT(AND($B323&lt;&gt;"",$C323&lt;&gt;"",$D323&lt;&gt;"",$E323&lt;&gt;"")),$A323="",$K323&lt;&gt;"Yes"),"",IF($L323&lt;&gt;"",$L323,INDEX(SETUP!$I$1:$I$2000,MATCH(TRUE,SETUP!$J$1:$J$2000,0)+COUNTIFS($A$2:$A323,"&lt;&gt;",$K$2:$K323,"Yes",$L$2:$L323,"")-1)))</f>
        <v/>
      </c>
      <c r="N323" s="22"/>
    </row>
    <row r="324" spans="1:14" x14ac:dyDescent="0.3">
      <c r="A324" s="15" t="str">
        <f>IF(COUNTA($B324:$E324,$K324)=0,"",IF(AND($B324&lt;&gt;"",$C324&lt;&gt;"",$D324&lt;&gt;"",$E324&lt;&gt;""),"TXS"&amp;TEXT(COUNTIFS($B$2:$B324,"&lt;&gt;",$C$2:$C324,"&lt;&gt;",$D$2:$D324,"&lt;&gt;",$E$2:$E324,"&lt;&gt;"),"00000"),""))</f>
        <v/>
      </c>
      <c r="B324" s="16"/>
      <c r="C324" s="20"/>
      <c r="D324" s="20"/>
      <c r="E324" s="23"/>
      <c r="H324" s="19" t="str">
        <f t="shared" si="21"/>
        <v/>
      </c>
      <c r="I324" s="19" t="str">
        <f t="shared" si="20"/>
        <v/>
      </c>
      <c r="J324" s="19" t="str">
        <f t="shared" si="22"/>
        <v/>
      </c>
      <c r="K324" s="20"/>
      <c r="L324" s="21" t="str">
        <f>IF(OR(NOT(AND($B324&lt;&gt;"",$C324&lt;&gt;"",$D324&lt;&gt;"",$E324&lt;&gt;"")),$A324="",$K324&lt;&gt;"Yes"),"",IF($L324&lt;&gt;"",$L324,INDEX(SETUP!$I$1:$I$2000,MATCH(TRUE,SETUP!$J$1:$J$2000,0)+COUNTIFS($A$2:$A324,"&lt;&gt;",$K$2:$K324,"Yes",$L$2:$L324,"")-1)))</f>
        <v/>
      </c>
      <c r="N324" s="22"/>
    </row>
    <row r="325" spans="1:14" x14ac:dyDescent="0.3">
      <c r="A325" s="15" t="str">
        <f>IF(COUNTA($B325:$E325,$K325)=0,"",IF(AND($B325&lt;&gt;"",$C325&lt;&gt;"",$D325&lt;&gt;"",$E325&lt;&gt;""),"TXS"&amp;TEXT(COUNTIFS($B$2:$B325,"&lt;&gt;",$C$2:$C325,"&lt;&gt;",$D$2:$D325,"&lt;&gt;",$E$2:$E325,"&lt;&gt;"),"00000"),""))</f>
        <v/>
      </c>
      <c r="B325" s="16"/>
      <c r="C325" s="20"/>
      <c r="D325" s="20"/>
      <c r="E325" s="23"/>
      <c r="H325" s="19" t="str">
        <f t="shared" si="21"/>
        <v/>
      </c>
      <c r="I325" s="19" t="str">
        <f t="shared" si="20"/>
        <v/>
      </c>
      <c r="J325" s="19" t="str">
        <f t="shared" si="22"/>
        <v/>
      </c>
      <c r="K325" s="20"/>
      <c r="L325" s="21" t="str">
        <f>IF(OR(NOT(AND($B325&lt;&gt;"",$C325&lt;&gt;"",$D325&lt;&gt;"",$E325&lt;&gt;"")),$A325="",$K325&lt;&gt;"Yes"),"",IF($L325&lt;&gt;"",$L325,INDEX(SETUP!$I$1:$I$2000,MATCH(TRUE,SETUP!$J$1:$J$2000,0)+COUNTIFS($A$2:$A325,"&lt;&gt;",$K$2:$K325,"Yes",$L$2:$L325,"")-1)))</f>
        <v/>
      </c>
      <c r="N325" s="22"/>
    </row>
    <row r="326" spans="1:14" x14ac:dyDescent="0.3">
      <c r="A326" s="15" t="str">
        <f>IF(COUNTA($B326:$E326,$K326)=0,"",IF(AND($B326&lt;&gt;"",$C326&lt;&gt;"",$D326&lt;&gt;"",$E326&lt;&gt;""),"TXS"&amp;TEXT(COUNTIFS($B$2:$B326,"&lt;&gt;",$C$2:$C326,"&lt;&gt;",$D$2:$D326,"&lt;&gt;",$E$2:$E326,"&lt;&gt;"),"00000"),""))</f>
        <v/>
      </c>
      <c r="B326" s="16"/>
      <c r="C326" s="20"/>
      <c r="D326" s="20"/>
      <c r="E326" s="23"/>
      <c r="H326" s="19" t="str">
        <f t="shared" si="21"/>
        <v/>
      </c>
      <c r="I326" s="19" t="str">
        <f t="shared" si="20"/>
        <v/>
      </c>
      <c r="J326" s="19" t="str">
        <f t="shared" si="22"/>
        <v/>
      </c>
      <c r="K326" s="20"/>
      <c r="L326" s="21" t="str">
        <f>IF(OR(NOT(AND($B326&lt;&gt;"",$C326&lt;&gt;"",$D326&lt;&gt;"",$E326&lt;&gt;"")),$A326="",$K326&lt;&gt;"Yes"),"",IF($L326&lt;&gt;"",$L326,INDEX(SETUP!$I$1:$I$2000,MATCH(TRUE,SETUP!$J$1:$J$2000,0)+COUNTIFS($A$2:$A326,"&lt;&gt;",$K$2:$K326,"Yes",$L$2:$L326,"")-1)))</f>
        <v/>
      </c>
      <c r="N326" s="22"/>
    </row>
    <row r="327" spans="1:14" x14ac:dyDescent="0.3">
      <c r="A327" s="15" t="str">
        <f>IF(COUNTA($B327:$E327,$K327)=0,"",IF(AND($B327&lt;&gt;"",$C327&lt;&gt;"",$D327&lt;&gt;"",$E327&lt;&gt;""),"TXS"&amp;TEXT(COUNTIFS($B$2:$B327,"&lt;&gt;",$C$2:$C327,"&lt;&gt;",$D$2:$D327,"&lt;&gt;",$E$2:$E327,"&lt;&gt;"),"00000"),""))</f>
        <v/>
      </c>
      <c r="B327" s="16"/>
      <c r="C327" s="20"/>
      <c r="D327" s="20"/>
      <c r="E327" s="23"/>
      <c r="H327" s="19" t="str">
        <f t="shared" si="21"/>
        <v/>
      </c>
      <c r="I327" s="19" t="str">
        <f t="shared" si="20"/>
        <v/>
      </c>
      <c r="J327" s="19" t="str">
        <f t="shared" si="22"/>
        <v/>
      </c>
      <c r="K327" s="20"/>
      <c r="L327" s="21" t="str">
        <f>IF(OR(NOT(AND($B327&lt;&gt;"",$C327&lt;&gt;"",$D327&lt;&gt;"",$E327&lt;&gt;"")),$A327="",$K327&lt;&gt;"Yes"),"",IF($L327&lt;&gt;"",$L327,INDEX(SETUP!$I$1:$I$2000,MATCH(TRUE,SETUP!$J$1:$J$2000,0)+COUNTIFS($A$2:$A327,"&lt;&gt;",$K$2:$K327,"Yes",$L$2:$L327,"")-1)))</f>
        <v/>
      </c>
      <c r="N327" s="22"/>
    </row>
    <row r="328" spans="1:14" x14ac:dyDescent="0.3">
      <c r="A328" s="15" t="str">
        <f>IF(COUNTA($B328:$E328,$K328)=0,"",IF(AND($B328&lt;&gt;"",$C328&lt;&gt;"",$D328&lt;&gt;"",$E328&lt;&gt;""),"TXS"&amp;TEXT(COUNTIFS($B$2:$B328,"&lt;&gt;",$C$2:$C328,"&lt;&gt;",$D$2:$D328,"&lt;&gt;",$E$2:$E328,"&lt;&gt;"),"00000"),""))</f>
        <v/>
      </c>
      <c r="B328" s="16"/>
      <c r="C328" s="20"/>
      <c r="D328" s="20"/>
      <c r="E328" s="23"/>
      <c r="H328" s="19" t="str">
        <f t="shared" si="21"/>
        <v/>
      </c>
      <c r="I328" s="19" t="str">
        <f t="shared" si="20"/>
        <v/>
      </c>
      <c r="J328" s="19" t="str">
        <f t="shared" si="22"/>
        <v/>
      </c>
      <c r="K328" s="20"/>
      <c r="L328" s="21" t="str">
        <f>IF(OR(NOT(AND($B328&lt;&gt;"",$C328&lt;&gt;"",$D328&lt;&gt;"",$E328&lt;&gt;"")),$A328="",$K328&lt;&gt;"Yes"),"",IF($L328&lt;&gt;"",$L328,INDEX(SETUP!$I$1:$I$2000,MATCH(TRUE,SETUP!$J$1:$J$2000,0)+COUNTIFS($A$2:$A328,"&lt;&gt;",$K$2:$K328,"Yes",$L$2:$L328,"")-1)))</f>
        <v/>
      </c>
      <c r="N328" s="22"/>
    </row>
    <row r="329" spans="1:14" x14ac:dyDescent="0.3">
      <c r="A329" s="15" t="str">
        <f>IF(COUNTA($B329:$E329,$K329)=0,"",IF(AND($B329&lt;&gt;"",$C329&lt;&gt;"",$D329&lt;&gt;"",$E329&lt;&gt;""),"TXS"&amp;TEXT(COUNTIFS($B$2:$B329,"&lt;&gt;",$C$2:$C329,"&lt;&gt;",$D$2:$D329,"&lt;&gt;",$E$2:$E329,"&lt;&gt;"),"00000"),""))</f>
        <v/>
      </c>
      <c r="B329" s="16"/>
      <c r="C329" s="20"/>
      <c r="D329" s="20"/>
      <c r="E329" s="23"/>
      <c r="H329" s="19" t="str">
        <f t="shared" si="21"/>
        <v/>
      </c>
      <c r="I329" s="19" t="str">
        <f t="shared" si="20"/>
        <v/>
      </c>
      <c r="J329" s="19" t="str">
        <f t="shared" si="22"/>
        <v/>
      </c>
      <c r="K329" s="20"/>
      <c r="L329" s="21" t="str">
        <f>IF(OR(NOT(AND($B329&lt;&gt;"",$C329&lt;&gt;"",$D329&lt;&gt;"",$E329&lt;&gt;"")),$A329="",$K329&lt;&gt;"Yes"),"",IF($L329&lt;&gt;"",$L329,INDEX(SETUP!$I$1:$I$2000,MATCH(TRUE,SETUP!$J$1:$J$2000,0)+COUNTIFS($A$2:$A329,"&lt;&gt;",$K$2:$K329,"Yes",$L$2:$L329,"")-1)))</f>
        <v/>
      </c>
      <c r="N329" s="22"/>
    </row>
    <row r="330" spans="1:14" x14ac:dyDescent="0.3">
      <c r="A330" s="15" t="str">
        <f>IF(COUNTA($B330:$E330,$K330)=0,"",IF(AND($B330&lt;&gt;"",$C330&lt;&gt;"",$D330&lt;&gt;"",$E330&lt;&gt;""),"TXS"&amp;TEXT(COUNTIFS($B$2:$B330,"&lt;&gt;",$C$2:$C330,"&lt;&gt;",$D$2:$D330,"&lt;&gt;",$E$2:$E330,"&lt;&gt;"),"00000"),""))</f>
        <v/>
      </c>
      <c r="B330" s="16"/>
      <c r="C330" s="20"/>
      <c r="D330" s="20"/>
      <c r="E330" s="23"/>
      <c r="H330" s="19" t="str">
        <f t="shared" si="21"/>
        <v/>
      </c>
      <c r="I330" s="19" t="str">
        <f t="shared" si="20"/>
        <v/>
      </c>
      <c r="J330" s="19" t="str">
        <f t="shared" si="22"/>
        <v/>
      </c>
      <c r="K330" s="20"/>
      <c r="L330" s="21" t="str">
        <f>IF(OR(NOT(AND($B330&lt;&gt;"",$C330&lt;&gt;"",$D330&lt;&gt;"",$E330&lt;&gt;"")),$A330="",$K330&lt;&gt;"Yes"),"",IF($L330&lt;&gt;"",$L330,INDEX(SETUP!$I$1:$I$2000,MATCH(TRUE,SETUP!$J$1:$J$2000,0)+COUNTIFS($A$2:$A330,"&lt;&gt;",$K$2:$K330,"Yes",$L$2:$L330,"")-1)))</f>
        <v/>
      </c>
      <c r="N330" s="22"/>
    </row>
    <row r="331" spans="1:14" x14ac:dyDescent="0.3">
      <c r="A331" s="15" t="str">
        <f>IF(COUNTA($B331:$E331,$K331)=0,"",IF(AND($B331&lt;&gt;"",$C331&lt;&gt;"",$D331&lt;&gt;"",$E331&lt;&gt;""),"TXS"&amp;TEXT(COUNTIFS($B$2:$B331,"&lt;&gt;",$C$2:$C331,"&lt;&gt;",$D$2:$D331,"&lt;&gt;",$E$2:$E331,"&lt;&gt;"),"00000"),""))</f>
        <v/>
      </c>
      <c r="B331" s="16"/>
      <c r="C331" s="20"/>
      <c r="D331" s="20"/>
      <c r="E331" s="23"/>
      <c r="H331" s="19" t="str">
        <f t="shared" si="21"/>
        <v/>
      </c>
      <c r="I331" s="19" t="str">
        <f t="shared" si="20"/>
        <v/>
      </c>
      <c r="J331" s="19" t="str">
        <f t="shared" si="22"/>
        <v/>
      </c>
      <c r="K331" s="20"/>
      <c r="L331" s="21" t="str">
        <f>IF(OR(NOT(AND($B331&lt;&gt;"",$C331&lt;&gt;"",$D331&lt;&gt;"",$E331&lt;&gt;"")),$A331="",$K331&lt;&gt;"Yes"),"",IF($L331&lt;&gt;"",$L331,INDEX(SETUP!$I$1:$I$2000,MATCH(TRUE,SETUP!$J$1:$J$2000,0)+COUNTIFS($A$2:$A331,"&lt;&gt;",$K$2:$K331,"Yes",$L$2:$L331,"")-1)))</f>
        <v/>
      </c>
      <c r="N331" s="22"/>
    </row>
    <row r="332" spans="1:14" x14ac:dyDescent="0.3">
      <c r="A332" s="15" t="str">
        <f>IF(COUNTA($B332:$E332,$K332)=0,"",IF(AND($B332&lt;&gt;"",$C332&lt;&gt;"",$D332&lt;&gt;"",$E332&lt;&gt;""),"TXS"&amp;TEXT(COUNTIFS($B$2:$B332,"&lt;&gt;",$C$2:$C332,"&lt;&gt;",$D$2:$D332,"&lt;&gt;",$E$2:$E332,"&lt;&gt;"),"00000"),""))</f>
        <v/>
      </c>
      <c r="B332" s="16"/>
      <c r="C332" s="20"/>
      <c r="D332" s="20"/>
      <c r="E332" s="23"/>
      <c r="H332" s="19" t="str">
        <f t="shared" si="21"/>
        <v/>
      </c>
      <c r="I332" s="19" t="str">
        <f t="shared" si="20"/>
        <v/>
      </c>
      <c r="J332" s="19" t="str">
        <f t="shared" si="22"/>
        <v/>
      </c>
      <c r="K332" s="20"/>
      <c r="L332" s="21" t="str">
        <f>IF(OR(NOT(AND($B332&lt;&gt;"",$C332&lt;&gt;"",$D332&lt;&gt;"",$E332&lt;&gt;"")),$A332="",$K332&lt;&gt;"Yes"),"",IF($L332&lt;&gt;"",$L332,INDEX(SETUP!$I$1:$I$2000,MATCH(TRUE,SETUP!$J$1:$J$2000,0)+COUNTIFS($A$2:$A332,"&lt;&gt;",$K$2:$K332,"Yes",$L$2:$L332,"")-1)))</f>
        <v/>
      </c>
      <c r="N332" s="22"/>
    </row>
    <row r="333" spans="1:14" x14ac:dyDescent="0.3">
      <c r="A333" s="15" t="str">
        <f>IF(COUNTA($B333:$E333,$K333)=0,"",IF(AND($B333&lt;&gt;"",$C333&lt;&gt;"",$D333&lt;&gt;"",$E333&lt;&gt;""),"TXS"&amp;TEXT(COUNTIFS($B$2:$B333,"&lt;&gt;",$C$2:$C333,"&lt;&gt;",$D$2:$D333,"&lt;&gt;",$E$2:$E333,"&lt;&gt;"),"00000"),""))</f>
        <v/>
      </c>
      <c r="B333" s="16"/>
      <c r="C333" s="20"/>
      <c r="D333" s="20"/>
      <c r="E333" s="23"/>
      <c r="H333" s="19" t="str">
        <f t="shared" si="21"/>
        <v/>
      </c>
      <c r="I333" s="19" t="str">
        <f t="shared" si="20"/>
        <v/>
      </c>
      <c r="J333" s="19" t="str">
        <f t="shared" si="22"/>
        <v/>
      </c>
      <c r="K333" s="20"/>
      <c r="L333" s="21" t="str">
        <f>IF(OR(NOT(AND($B333&lt;&gt;"",$C333&lt;&gt;"",$D333&lt;&gt;"",$E333&lt;&gt;"")),$A333="",$K333&lt;&gt;"Yes"),"",IF($L333&lt;&gt;"",$L333,INDEX(SETUP!$I$1:$I$2000,MATCH(TRUE,SETUP!$J$1:$J$2000,0)+COUNTIFS($A$2:$A333,"&lt;&gt;",$K$2:$K333,"Yes",$L$2:$L333,"")-1)))</f>
        <v/>
      </c>
      <c r="N333" s="22"/>
    </row>
    <row r="334" spans="1:14" x14ac:dyDescent="0.3">
      <c r="A334" s="15" t="str">
        <f>IF(COUNTA($B334:$E334,$K334)=0,"",IF(AND($B334&lt;&gt;"",$C334&lt;&gt;"",$D334&lt;&gt;"",$E334&lt;&gt;""),"TXS"&amp;TEXT(COUNTIFS($B$2:$B334,"&lt;&gt;",$C$2:$C334,"&lt;&gt;",$D$2:$D334,"&lt;&gt;",$E$2:$E334,"&lt;&gt;"),"00000"),""))</f>
        <v/>
      </c>
      <c r="B334" s="16"/>
      <c r="C334" s="20"/>
      <c r="D334" s="20"/>
      <c r="E334" s="23"/>
      <c r="H334" s="19" t="str">
        <f t="shared" si="21"/>
        <v/>
      </c>
      <c r="I334" s="19" t="str">
        <f t="shared" si="20"/>
        <v/>
      </c>
      <c r="J334" s="19" t="str">
        <f t="shared" si="22"/>
        <v/>
      </c>
      <c r="K334" s="20"/>
      <c r="L334" s="21" t="str">
        <f>IF(OR(NOT(AND($B334&lt;&gt;"",$C334&lt;&gt;"",$D334&lt;&gt;"",$E334&lt;&gt;"")),$A334="",$K334&lt;&gt;"Yes"),"",IF($L334&lt;&gt;"",$L334,INDEX(SETUP!$I$1:$I$2000,MATCH(TRUE,SETUP!$J$1:$J$2000,0)+COUNTIFS($A$2:$A334,"&lt;&gt;",$K$2:$K334,"Yes",$L$2:$L334,"")-1)))</f>
        <v/>
      </c>
      <c r="N334" s="22"/>
    </row>
    <row r="335" spans="1:14" x14ac:dyDescent="0.3">
      <c r="A335" s="15" t="str">
        <f>IF(COUNTA($B335:$E335,$K335)=0,"",IF(AND($B335&lt;&gt;"",$C335&lt;&gt;"",$D335&lt;&gt;"",$E335&lt;&gt;""),"TXS"&amp;TEXT(COUNTIFS($B$2:$B335,"&lt;&gt;",$C$2:$C335,"&lt;&gt;",$D$2:$D335,"&lt;&gt;",$E$2:$E335,"&lt;&gt;"),"00000"),""))</f>
        <v/>
      </c>
      <c r="B335" s="16"/>
      <c r="C335" s="20"/>
      <c r="D335" s="20"/>
      <c r="E335" s="23"/>
      <c r="H335" s="19" t="str">
        <f t="shared" si="21"/>
        <v/>
      </c>
      <c r="I335" s="19" t="str">
        <f t="shared" si="20"/>
        <v/>
      </c>
      <c r="J335" s="19" t="str">
        <f t="shared" si="22"/>
        <v/>
      </c>
      <c r="K335" s="20"/>
      <c r="L335" s="21" t="str">
        <f>IF(OR(NOT(AND($B335&lt;&gt;"",$C335&lt;&gt;"",$D335&lt;&gt;"",$E335&lt;&gt;"")),$A335="",$K335&lt;&gt;"Yes"),"",IF($L335&lt;&gt;"",$L335,INDEX(SETUP!$I$1:$I$2000,MATCH(TRUE,SETUP!$J$1:$J$2000,0)+COUNTIFS($A$2:$A335,"&lt;&gt;",$K$2:$K335,"Yes",$L$2:$L335,"")-1)))</f>
        <v/>
      </c>
      <c r="N335" s="22"/>
    </row>
    <row r="336" spans="1:14" x14ac:dyDescent="0.3">
      <c r="A336" s="15" t="str">
        <f>IF(COUNTA($B336:$E336,$K336)=0,"",IF(AND($B336&lt;&gt;"",$C336&lt;&gt;"",$D336&lt;&gt;"",$E336&lt;&gt;""),"TXS"&amp;TEXT(COUNTIFS($B$2:$B336,"&lt;&gt;",$C$2:$C336,"&lt;&gt;",$D$2:$D336,"&lt;&gt;",$E$2:$E336,"&lt;&gt;"),"00000"),""))</f>
        <v/>
      </c>
      <c r="B336" s="16"/>
      <c r="C336" s="20"/>
      <c r="D336" s="20"/>
      <c r="E336" s="23"/>
      <c r="H336" s="19" t="str">
        <f t="shared" si="21"/>
        <v/>
      </c>
      <c r="I336" s="19" t="str">
        <f t="shared" si="20"/>
        <v/>
      </c>
      <c r="J336" s="19" t="str">
        <f t="shared" si="22"/>
        <v/>
      </c>
      <c r="K336" s="20"/>
      <c r="L336" s="21" t="str">
        <f>IF(OR(NOT(AND($B336&lt;&gt;"",$C336&lt;&gt;"",$D336&lt;&gt;"",$E336&lt;&gt;"")),$A336="",$K336&lt;&gt;"Yes"),"",IF($L336&lt;&gt;"",$L336,INDEX(SETUP!$I$1:$I$2000,MATCH(TRUE,SETUP!$J$1:$J$2000,0)+COUNTIFS($A$2:$A336,"&lt;&gt;",$K$2:$K336,"Yes",$L$2:$L336,"")-1)))</f>
        <v/>
      </c>
      <c r="N336" s="22"/>
    </row>
    <row r="337" spans="1:14" x14ac:dyDescent="0.3">
      <c r="A337" s="15" t="str">
        <f>IF(COUNTA($B337:$E337,$K337)=0,"",IF(AND($B337&lt;&gt;"",$C337&lt;&gt;"",$D337&lt;&gt;"",$E337&lt;&gt;""),"TXS"&amp;TEXT(COUNTIFS($B$2:$B337,"&lt;&gt;",$C$2:$C337,"&lt;&gt;",$D$2:$D337,"&lt;&gt;",$E$2:$E337,"&lt;&gt;"),"00000"),""))</f>
        <v/>
      </c>
      <c r="B337" s="16"/>
      <c r="C337" s="20"/>
      <c r="D337" s="20"/>
      <c r="E337" s="23"/>
      <c r="H337" s="19" t="str">
        <f t="shared" si="21"/>
        <v/>
      </c>
      <c r="I337" s="19" t="str">
        <f t="shared" si="20"/>
        <v/>
      </c>
      <c r="J337" s="19" t="str">
        <f t="shared" si="22"/>
        <v/>
      </c>
      <c r="K337" s="20"/>
      <c r="L337" s="21" t="str">
        <f>IF(OR(NOT(AND($B337&lt;&gt;"",$C337&lt;&gt;"",$D337&lt;&gt;"",$E337&lt;&gt;"")),$A337="",$K337&lt;&gt;"Yes"),"",IF($L337&lt;&gt;"",$L337,INDEX(SETUP!$I$1:$I$2000,MATCH(TRUE,SETUP!$J$1:$J$2000,0)+COUNTIFS($A$2:$A337,"&lt;&gt;",$K$2:$K337,"Yes",$L$2:$L337,"")-1)))</f>
        <v/>
      </c>
      <c r="N337" s="22"/>
    </row>
    <row r="338" spans="1:14" x14ac:dyDescent="0.3">
      <c r="A338" s="15" t="str">
        <f>IF(COUNTA($B338:$E338,$K338)=0,"",IF(AND($B338&lt;&gt;"",$C338&lt;&gt;"",$D338&lt;&gt;"",$E338&lt;&gt;""),"TXS"&amp;TEXT(COUNTIFS($B$2:$B338,"&lt;&gt;",$C$2:$C338,"&lt;&gt;",$D$2:$D338,"&lt;&gt;",$E$2:$E338,"&lt;&gt;"),"00000"),""))</f>
        <v/>
      </c>
      <c r="B338" s="16"/>
      <c r="C338" s="20"/>
      <c r="D338" s="20"/>
      <c r="E338" s="23"/>
      <c r="H338" s="19" t="str">
        <f t="shared" si="21"/>
        <v/>
      </c>
      <c r="I338" s="19" t="str">
        <f t="shared" si="20"/>
        <v/>
      </c>
      <c r="J338" s="19" t="str">
        <f t="shared" si="22"/>
        <v/>
      </c>
      <c r="K338" s="20"/>
      <c r="L338" s="21" t="str">
        <f>IF(OR(NOT(AND($B338&lt;&gt;"",$C338&lt;&gt;"",$D338&lt;&gt;"",$E338&lt;&gt;"")),$A338="",$K338&lt;&gt;"Yes"),"",IF($L338&lt;&gt;"",$L338,INDEX(SETUP!$I$1:$I$2000,MATCH(TRUE,SETUP!$J$1:$J$2000,0)+COUNTIFS($A$2:$A338,"&lt;&gt;",$K$2:$K338,"Yes",$L$2:$L338,"")-1)))</f>
        <v/>
      </c>
      <c r="N338" s="22"/>
    </row>
    <row r="339" spans="1:14" x14ac:dyDescent="0.3">
      <c r="A339" s="15" t="str">
        <f>IF(COUNTA($B339:$E339,$K339)=0,"",IF(AND($B339&lt;&gt;"",$C339&lt;&gt;"",$D339&lt;&gt;"",$E339&lt;&gt;""),"TXS"&amp;TEXT(COUNTIFS($B$2:$B339,"&lt;&gt;",$C$2:$C339,"&lt;&gt;",$D$2:$D339,"&lt;&gt;",$E$2:$E339,"&lt;&gt;"),"00000"),""))</f>
        <v/>
      </c>
      <c r="B339" s="16"/>
      <c r="C339" s="20"/>
      <c r="D339" s="20"/>
      <c r="E339" s="23"/>
      <c r="H339" s="19" t="str">
        <f t="shared" si="21"/>
        <v/>
      </c>
      <c r="I339" s="19" t="str">
        <f t="shared" si="20"/>
        <v/>
      </c>
      <c r="J339" s="19" t="str">
        <f t="shared" si="22"/>
        <v/>
      </c>
      <c r="K339" s="20"/>
      <c r="L339" s="21" t="str">
        <f>IF(OR(NOT(AND($B339&lt;&gt;"",$C339&lt;&gt;"",$D339&lt;&gt;"",$E339&lt;&gt;"")),$A339="",$K339&lt;&gt;"Yes"),"",IF($L339&lt;&gt;"",$L339,INDEX(SETUP!$I$1:$I$2000,MATCH(TRUE,SETUP!$J$1:$J$2000,0)+COUNTIFS($A$2:$A339,"&lt;&gt;",$K$2:$K339,"Yes",$L$2:$L339,"")-1)))</f>
        <v/>
      </c>
      <c r="N339" s="22"/>
    </row>
    <row r="340" spans="1:14" x14ac:dyDescent="0.3">
      <c r="A340" s="15" t="str">
        <f>IF(COUNTA($B340:$E340,$K340)=0,"",IF(AND($B340&lt;&gt;"",$C340&lt;&gt;"",$D340&lt;&gt;"",$E340&lt;&gt;""),"TXS"&amp;TEXT(COUNTIFS($B$2:$B340,"&lt;&gt;",$C$2:$C340,"&lt;&gt;",$D$2:$D340,"&lt;&gt;",$E$2:$E340,"&lt;&gt;"),"00000"),""))</f>
        <v/>
      </c>
      <c r="B340" s="16"/>
      <c r="C340" s="20"/>
      <c r="D340" s="20"/>
      <c r="E340" s="23"/>
      <c r="H340" s="19" t="str">
        <f t="shared" si="21"/>
        <v/>
      </c>
      <c r="I340" s="19" t="str">
        <f t="shared" si="20"/>
        <v/>
      </c>
      <c r="J340" s="19" t="str">
        <f t="shared" si="22"/>
        <v/>
      </c>
      <c r="K340" s="20"/>
      <c r="L340" s="21" t="str">
        <f>IF(OR(NOT(AND($B340&lt;&gt;"",$C340&lt;&gt;"",$D340&lt;&gt;"",$E340&lt;&gt;"")),$A340="",$K340&lt;&gt;"Yes"),"",IF($L340&lt;&gt;"",$L340,INDEX(SETUP!$I$1:$I$2000,MATCH(TRUE,SETUP!$J$1:$J$2000,0)+COUNTIFS($A$2:$A340,"&lt;&gt;",$K$2:$K340,"Yes",$L$2:$L340,"")-1)))</f>
        <v/>
      </c>
      <c r="N340" s="22"/>
    </row>
    <row r="341" spans="1:14" x14ac:dyDescent="0.3">
      <c r="A341" s="15" t="str">
        <f>IF(COUNTA($B341:$E341,$K341)=0,"",IF(AND($B341&lt;&gt;"",$C341&lt;&gt;"",$D341&lt;&gt;"",$E341&lt;&gt;""),"TXS"&amp;TEXT(COUNTIFS($B$2:$B341,"&lt;&gt;",$C$2:$C341,"&lt;&gt;",$D$2:$D341,"&lt;&gt;",$E$2:$E341,"&lt;&gt;"),"00000"),""))</f>
        <v/>
      </c>
      <c r="B341" s="16"/>
      <c r="C341" s="20"/>
      <c r="D341" s="20"/>
      <c r="E341" s="23"/>
      <c r="H341" s="19" t="str">
        <f t="shared" si="21"/>
        <v/>
      </c>
      <c r="I341" s="19" t="str">
        <f t="shared" si="20"/>
        <v/>
      </c>
      <c r="J341" s="19" t="str">
        <f t="shared" si="22"/>
        <v/>
      </c>
      <c r="K341" s="20"/>
      <c r="L341" s="21" t="str">
        <f>IF(OR(NOT(AND($B341&lt;&gt;"",$C341&lt;&gt;"",$D341&lt;&gt;"",$E341&lt;&gt;"")),$A341="",$K341&lt;&gt;"Yes"),"",IF($L341&lt;&gt;"",$L341,INDEX(SETUP!$I$1:$I$2000,MATCH(TRUE,SETUP!$J$1:$J$2000,0)+COUNTIFS($A$2:$A341,"&lt;&gt;",$K$2:$K341,"Yes",$L$2:$L341,"")-1)))</f>
        <v/>
      </c>
      <c r="N341" s="22"/>
    </row>
    <row r="342" spans="1:14" x14ac:dyDescent="0.3">
      <c r="A342" s="15" t="str">
        <f>IF(COUNTA($B342:$E342,$K342)=0,"",IF(AND($B342&lt;&gt;"",$C342&lt;&gt;"",$D342&lt;&gt;"",$E342&lt;&gt;""),"TXS"&amp;TEXT(COUNTIFS($B$2:$B342,"&lt;&gt;",$C$2:$C342,"&lt;&gt;",$D$2:$D342,"&lt;&gt;",$E$2:$E342,"&lt;&gt;"),"00000"),""))</f>
        <v/>
      </c>
      <c r="B342" s="16"/>
      <c r="C342" s="20"/>
      <c r="D342" s="20"/>
      <c r="E342" s="23"/>
      <c r="H342" s="19" t="str">
        <f t="shared" si="21"/>
        <v/>
      </c>
      <c r="I342" s="19" t="str">
        <f t="shared" si="20"/>
        <v/>
      </c>
      <c r="J342" s="19" t="str">
        <f t="shared" si="22"/>
        <v/>
      </c>
      <c r="K342" s="20"/>
      <c r="L342" s="21" t="str">
        <f>IF(OR(NOT(AND($B342&lt;&gt;"",$C342&lt;&gt;"",$D342&lt;&gt;"",$E342&lt;&gt;"")),$A342="",$K342&lt;&gt;"Yes"),"",IF($L342&lt;&gt;"",$L342,INDEX(SETUP!$I$1:$I$2000,MATCH(TRUE,SETUP!$J$1:$J$2000,0)+COUNTIFS($A$2:$A342,"&lt;&gt;",$K$2:$K342,"Yes",$L$2:$L342,"")-1)))</f>
        <v/>
      </c>
      <c r="N342" s="22"/>
    </row>
    <row r="343" spans="1:14" x14ac:dyDescent="0.3">
      <c r="A343" s="15" t="str">
        <f>IF(COUNTA($B343:$E343,$K343)=0,"",IF(AND($B343&lt;&gt;"",$C343&lt;&gt;"",$D343&lt;&gt;"",$E343&lt;&gt;""),"TXS"&amp;TEXT(COUNTIFS($B$2:$B343,"&lt;&gt;",$C$2:$C343,"&lt;&gt;",$D$2:$D343,"&lt;&gt;",$E$2:$E343,"&lt;&gt;"),"00000"),""))</f>
        <v/>
      </c>
      <c r="B343" s="16"/>
      <c r="C343" s="20"/>
      <c r="D343" s="20"/>
      <c r="E343" s="23"/>
      <c r="H343" s="19" t="str">
        <f t="shared" si="21"/>
        <v/>
      </c>
      <c r="I343" s="19" t="str">
        <f t="shared" si="20"/>
        <v/>
      </c>
      <c r="J343" s="19" t="str">
        <f t="shared" si="22"/>
        <v/>
      </c>
      <c r="K343" s="20"/>
      <c r="L343" s="21" t="str">
        <f>IF(OR(NOT(AND($B343&lt;&gt;"",$C343&lt;&gt;"",$D343&lt;&gt;"",$E343&lt;&gt;"")),$A343="",$K343&lt;&gt;"Yes"),"",IF($L343&lt;&gt;"",$L343,INDEX(SETUP!$I$1:$I$2000,MATCH(TRUE,SETUP!$J$1:$J$2000,0)+COUNTIFS($A$2:$A343,"&lt;&gt;",$K$2:$K343,"Yes",$L$2:$L343,"")-1)))</f>
        <v/>
      </c>
      <c r="N343" s="22"/>
    </row>
    <row r="344" spans="1:14" x14ac:dyDescent="0.3">
      <c r="A344" s="15" t="str">
        <f>IF(COUNTA($B344:$E344,$K344)=0,"",IF(AND($B344&lt;&gt;"",$C344&lt;&gt;"",$D344&lt;&gt;"",$E344&lt;&gt;""),"TXS"&amp;TEXT(COUNTIFS($B$2:$B344,"&lt;&gt;",$C$2:$C344,"&lt;&gt;",$D$2:$D344,"&lt;&gt;",$E$2:$E344,"&lt;&gt;"),"00000"),""))</f>
        <v/>
      </c>
      <c r="B344" s="16"/>
      <c r="C344" s="20"/>
      <c r="D344" s="20"/>
      <c r="E344" s="23"/>
      <c r="H344" s="19" t="str">
        <f t="shared" si="21"/>
        <v/>
      </c>
      <c r="I344" s="19" t="str">
        <f t="shared" si="20"/>
        <v/>
      </c>
      <c r="J344" s="19" t="str">
        <f t="shared" si="22"/>
        <v/>
      </c>
      <c r="K344" s="20"/>
      <c r="L344" s="21" t="str">
        <f>IF(OR(NOT(AND($B344&lt;&gt;"",$C344&lt;&gt;"",$D344&lt;&gt;"",$E344&lt;&gt;"")),$A344="",$K344&lt;&gt;"Yes"),"",IF($L344&lt;&gt;"",$L344,INDEX(SETUP!$I$1:$I$2000,MATCH(TRUE,SETUP!$J$1:$J$2000,0)+COUNTIFS($A$2:$A344,"&lt;&gt;",$K$2:$K344,"Yes",$L$2:$L344,"")-1)))</f>
        <v/>
      </c>
      <c r="N344" s="22"/>
    </row>
    <row r="345" spans="1:14" x14ac:dyDescent="0.3">
      <c r="A345" s="15" t="str">
        <f>IF(COUNTA($B345:$E345,$K345)=0,"",IF(AND($B345&lt;&gt;"",$C345&lt;&gt;"",$D345&lt;&gt;"",$E345&lt;&gt;""),"TXS"&amp;TEXT(COUNTIFS($B$2:$B345,"&lt;&gt;",$C$2:$C345,"&lt;&gt;",$D$2:$D345,"&lt;&gt;",$E$2:$E345,"&lt;&gt;"),"00000"),""))</f>
        <v/>
      </c>
      <c r="B345" s="16"/>
      <c r="C345" s="20"/>
      <c r="D345" s="20"/>
      <c r="E345" s="23"/>
      <c r="H345" s="19" t="str">
        <f t="shared" si="21"/>
        <v/>
      </c>
      <c r="I345" s="19" t="str">
        <f t="shared" si="20"/>
        <v/>
      </c>
      <c r="J345" s="19" t="str">
        <f t="shared" si="22"/>
        <v/>
      </c>
      <c r="K345" s="20"/>
      <c r="L345" s="21" t="str">
        <f>IF(OR(NOT(AND($B345&lt;&gt;"",$C345&lt;&gt;"",$D345&lt;&gt;"",$E345&lt;&gt;"")),$A345="",$K345&lt;&gt;"Yes"),"",IF($L345&lt;&gt;"",$L345,INDEX(SETUP!$I$1:$I$2000,MATCH(TRUE,SETUP!$J$1:$J$2000,0)+COUNTIFS($A$2:$A345,"&lt;&gt;",$K$2:$K345,"Yes",$L$2:$L345,"")-1)))</f>
        <v/>
      </c>
      <c r="N345" s="22"/>
    </row>
    <row r="346" spans="1:14" x14ac:dyDescent="0.3">
      <c r="A346" s="15" t="str">
        <f>IF(COUNTA($B346:$E346,$K346)=0,"",IF(AND($B346&lt;&gt;"",$C346&lt;&gt;"",$D346&lt;&gt;"",$E346&lt;&gt;""),"TXS"&amp;TEXT(COUNTIFS($B$2:$B346,"&lt;&gt;",$C$2:$C346,"&lt;&gt;",$D$2:$D346,"&lt;&gt;",$E$2:$E346,"&lt;&gt;"),"00000"),""))</f>
        <v/>
      </c>
      <c r="B346" s="16"/>
      <c r="C346" s="20"/>
      <c r="D346" s="20"/>
      <c r="E346" s="23"/>
      <c r="H346" s="19" t="str">
        <f t="shared" si="21"/>
        <v/>
      </c>
      <c r="I346" s="19" t="str">
        <f t="shared" si="20"/>
        <v/>
      </c>
      <c r="J346" s="19" t="str">
        <f t="shared" si="22"/>
        <v/>
      </c>
      <c r="K346" s="20"/>
      <c r="L346" s="21" t="str">
        <f>IF(OR(NOT(AND($B346&lt;&gt;"",$C346&lt;&gt;"",$D346&lt;&gt;"",$E346&lt;&gt;"")),$A346="",$K346&lt;&gt;"Yes"),"",IF($L346&lt;&gt;"",$L346,INDEX(SETUP!$I$1:$I$2000,MATCH(TRUE,SETUP!$J$1:$J$2000,0)+COUNTIFS($A$2:$A346,"&lt;&gt;",$K$2:$K346,"Yes",$L$2:$L346,"")-1)))</f>
        <v/>
      </c>
      <c r="N346" s="22"/>
    </row>
    <row r="347" spans="1:14" x14ac:dyDescent="0.3">
      <c r="A347" s="15" t="str">
        <f>IF(COUNTA($B347:$E347,$K347)=0,"",IF(AND($B347&lt;&gt;"",$C347&lt;&gt;"",$D347&lt;&gt;"",$E347&lt;&gt;""),"TXS"&amp;TEXT(COUNTIFS($B$2:$B347,"&lt;&gt;",$C$2:$C347,"&lt;&gt;",$D$2:$D347,"&lt;&gt;",$E$2:$E347,"&lt;&gt;"),"00000"),""))</f>
        <v/>
      </c>
      <c r="B347" s="16"/>
      <c r="C347" s="20"/>
      <c r="D347" s="20"/>
      <c r="E347" s="23"/>
      <c r="H347" s="19" t="str">
        <f t="shared" si="21"/>
        <v/>
      </c>
      <c r="I347" s="19" t="str">
        <f t="shared" si="20"/>
        <v/>
      </c>
      <c r="J347" s="19" t="str">
        <f t="shared" si="22"/>
        <v/>
      </c>
      <c r="K347" s="20"/>
      <c r="L347" s="21" t="str">
        <f>IF(OR(NOT(AND($B347&lt;&gt;"",$C347&lt;&gt;"",$D347&lt;&gt;"",$E347&lt;&gt;"")),$A347="",$K347&lt;&gt;"Yes"),"",IF($L347&lt;&gt;"",$L347,INDEX(SETUP!$I$1:$I$2000,MATCH(TRUE,SETUP!$J$1:$J$2000,0)+COUNTIFS($A$2:$A347,"&lt;&gt;",$K$2:$K347,"Yes",$L$2:$L347,"")-1)))</f>
        <v/>
      </c>
      <c r="N347" s="22"/>
    </row>
    <row r="348" spans="1:14" x14ac:dyDescent="0.3">
      <c r="A348" s="15" t="str">
        <f>IF(COUNTA($B348:$E348,$K348)=0,"",IF(AND($B348&lt;&gt;"",$C348&lt;&gt;"",$D348&lt;&gt;"",$E348&lt;&gt;""),"TXS"&amp;TEXT(COUNTIFS($B$2:$B348,"&lt;&gt;",$C$2:$C348,"&lt;&gt;",$D$2:$D348,"&lt;&gt;",$E$2:$E348,"&lt;&gt;"),"00000"),""))</f>
        <v/>
      </c>
      <c r="B348" s="16"/>
      <c r="C348" s="20"/>
      <c r="D348" s="20"/>
      <c r="E348" s="23"/>
      <c r="H348" s="19" t="str">
        <f t="shared" si="21"/>
        <v/>
      </c>
      <c r="I348" s="19" t="str">
        <f t="shared" si="20"/>
        <v/>
      </c>
      <c r="J348" s="19" t="str">
        <f t="shared" si="22"/>
        <v/>
      </c>
      <c r="K348" s="20"/>
      <c r="L348" s="21" t="str">
        <f>IF(OR(NOT(AND($B348&lt;&gt;"",$C348&lt;&gt;"",$D348&lt;&gt;"",$E348&lt;&gt;"")),$A348="",$K348&lt;&gt;"Yes"),"",IF($L348&lt;&gt;"",$L348,INDEX(SETUP!$I$1:$I$2000,MATCH(TRUE,SETUP!$J$1:$J$2000,0)+COUNTIFS($A$2:$A348,"&lt;&gt;",$K$2:$K348,"Yes",$L$2:$L348,"")-1)))</f>
        <v/>
      </c>
      <c r="N348" s="22"/>
    </row>
    <row r="349" spans="1:14" x14ac:dyDescent="0.3">
      <c r="A349" s="15" t="str">
        <f>IF(COUNTA($B349:$E349,$K349)=0,"",IF(AND($B349&lt;&gt;"",$C349&lt;&gt;"",$D349&lt;&gt;"",$E349&lt;&gt;""),"TXS"&amp;TEXT(COUNTIFS($B$2:$B349,"&lt;&gt;",$C$2:$C349,"&lt;&gt;",$D$2:$D349,"&lt;&gt;",$E$2:$E349,"&lt;&gt;"),"00000"),""))</f>
        <v/>
      </c>
      <c r="B349" s="16"/>
      <c r="C349" s="20"/>
      <c r="D349" s="20"/>
      <c r="E349" s="23"/>
      <c r="H349" s="19" t="str">
        <f t="shared" si="21"/>
        <v/>
      </c>
      <c r="I349" s="19" t="str">
        <f t="shared" si="20"/>
        <v/>
      </c>
      <c r="J349" s="19" t="str">
        <f t="shared" si="22"/>
        <v/>
      </c>
      <c r="K349" s="20"/>
      <c r="L349" s="21" t="str">
        <f>IF(OR(NOT(AND($B349&lt;&gt;"",$C349&lt;&gt;"",$D349&lt;&gt;"",$E349&lt;&gt;"")),$A349="",$K349&lt;&gt;"Yes"),"",IF($L349&lt;&gt;"",$L349,INDEX(SETUP!$I$1:$I$2000,MATCH(TRUE,SETUP!$J$1:$J$2000,0)+COUNTIFS($A$2:$A349,"&lt;&gt;",$K$2:$K349,"Yes",$L$2:$L349,"")-1)))</f>
        <v/>
      </c>
      <c r="N349" s="22"/>
    </row>
    <row r="350" spans="1:14" x14ac:dyDescent="0.3">
      <c r="A350" s="15" t="str">
        <f>IF(COUNTA($B350:$E350,$K350)=0,"",IF(AND($B350&lt;&gt;"",$C350&lt;&gt;"",$D350&lt;&gt;"",$E350&lt;&gt;""),"TXS"&amp;TEXT(COUNTIFS($B$2:$B350,"&lt;&gt;",$C$2:$C350,"&lt;&gt;",$D$2:$D350,"&lt;&gt;",$E$2:$E350,"&lt;&gt;"),"00000"),""))</f>
        <v/>
      </c>
      <c r="B350" s="16"/>
      <c r="C350" s="20"/>
      <c r="D350" s="20"/>
      <c r="E350" s="23"/>
      <c r="H350" s="19" t="str">
        <f t="shared" si="21"/>
        <v/>
      </c>
      <c r="I350" s="19" t="str">
        <f t="shared" si="20"/>
        <v/>
      </c>
      <c r="J350" s="19" t="str">
        <f t="shared" si="22"/>
        <v/>
      </c>
      <c r="K350" s="20"/>
      <c r="L350" s="21" t="str">
        <f>IF(OR(NOT(AND($B350&lt;&gt;"",$C350&lt;&gt;"",$D350&lt;&gt;"",$E350&lt;&gt;"")),$A350="",$K350&lt;&gt;"Yes"),"",IF($L350&lt;&gt;"",$L350,INDEX(SETUP!$I$1:$I$2000,MATCH(TRUE,SETUP!$J$1:$J$2000,0)+COUNTIFS($A$2:$A350,"&lt;&gt;",$K$2:$K350,"Yes",$L$2:$L350,"")-1)))</f>
        <v/>
      </c>
      <c r="N350" s="22"/>
    </row>
    <row r="351" spans="1:14" x14ac:dyDescent="0.3">
      <c r="A351" s="15" t="str">
        <f>IF(COUNTA($B351:$E351,$K351)=0,"",IF(AND($B351&lt;&gt;"",$C351&lt;&gt;"",$D351&lt;&gt;"",$E351&lt;&gt;""),"TXS"&amp;TEXT(COUNTIFS($B$2:$B351,"&lt;&gt;",$C$2:$C351,"&lt;&gt;",$D$2:$D351,"&lt;&gt;",$E$2:$E351,"&lt;&gt;"),"00000"),""))</f>
        <v/>
      </c>
      <c r="B351" s="16"/>
      <c r="C351" s="20"/>
      <c r="D351" s="20"/>
      <c r="E351" s="23"/>
      <c r="H351" s="19" t="str">
        <f t="shared" si="21"/>
        <v/>
      </c>
      <c r="I351" s="19" t="str">
        <f t="shared" si="20"/>
        <v/>
      </c>
      <c r="J351" s="19" t="str">
        <f t="shared" si="22"/>
        <v/>
      </c>
      <c r="K351" s="20"/>
      <c r="L351" s="21" t="str">
        <f>IF(OR(NOT(AND($B351&lt;&gt;"",$C351&lt;&gt;"",$D351&lt;&gt;"",$E351&lt;&gt;"")),$A351="",$K351&lt;&gt;"Yes"),"",IF($L351&lt;&gt;"",$L351,INDEX(SETUP!$I$1:$I$2000,MATCH(TRUE,SETUP!$J$1:$J$2000,0)+COUNTIFS($A$2:$A351,"&lt;&gt;",$K$2:$K351,"Yes",$L$2:$L351,"")-1)))</f>
        <v/>
      </c>
      <c r="N351" s="22"/>
    </row>
    <row r="352" spans="1:14" x14ac:dyDescent="0.3">
      <c r="A352" s="15" t="str">
        <f>IF(COUNTA($B352:$E352,$K352)=0,"",IF(AND($B352&lt;&gt;"",$C352&lt;&gt;"",$D352&lt;&gt;"",$E352&lt;&gt;""),"TXS"&amp;TEXT(COUNTIFS($B$2:$B352,"&lt;&gt;",$C$2:$C352,"&lt;&gt;",$D$2:$D352,"&lt;&gt;",$E$2:$E352,"&lt;&gt;"),"00000"),""))</f>
        <v/>
      </c>
      <c r="B352" s="16"/>
      <c r="C352" s="20"/>
      <c r="D352" s="20"/>
      <c r="E352" s="23"/>
      <c r="H352" s="19" t="str">
        <f t="shared" si="21"/>
        <v/>
      </c>
      <c r="I352" s="19" t="str">
        <f t="shared" si="20"/>
        <v/>
      </c>
      <c r="J352" s="19" t="str">
        <f t="shared" si="22"/>
        <v/>
      </c>
      <c r="K352" s="20"/>
      <c r="L352" s="21" t="str">
        <f>IF(OR(NOT(AND($B352&lt;&gt;"",$C352&lt;&gt;"",$D352&lt;&gt;"",$E352&lt;&gt;"")),$A352="",$K352&lt;&gt;"Yes"),"",IF($L352&lt;&gt;"",$L352,INDEX(SETUP!$I$1:$I$2000,MATCH(TRUE,SETUP!$J$1:$J$2000,0)+COUNTIFS($A$2:$A352,"&lt;&gt;",$K$2:$K352,"Yes",$L$2:$L352,"")-1)))</f>
        <v/>
      </c>
      <c r="N352" s="22"/>
    </row>
    <row r="353" spans="1:14" x14ac:dyDescent="0.3">
      <c r="A353" s="15" t="str">
        <f>IF(COUNTA($B353:$E353,$K353)=0,"",IF(AND($B353&lt;&gt;"",$C353&lt;&gt;"",$D353&lt;&gt;"",$E353&lt;&gt;""),"TXS"&amp;TEXT(COUNTIFS($B$2:$B353,"&lt;&gt;",$C$2:$C353,"&lt;&gt;",$D$2:$D353,"&lt;&gt;",$E$2:$E353,"&lt;&gt;"),"00000"),""))</f>
        <v/>
      </c>
      <c r="B353" s="16"/>
      <c r="C353" s="20"/>
      <c r="D353" s="20"/>
      <c r="E353" s="23"/>
      <c r="H353" s="19" t="str">
        <f t="shared" si="21"/>
        <v/>
      </c>
      <c r="I353" s="19" t="str">
        <f t="shared" si="20"/>
        <v/>
      </c>
      <c r="J353" s="19" t="str">
        <f t="shared" si="22"/>
        <v/>
      </c>
      <c r="K353" s="20"/>
      <c r="L353" s="21" t="str">
        <f>IF(OR(NOT(AND($B353&lt;&gt;"",$C353&lt;&gt;"",$D353&lt;&gt;"",$E353&lt;&gt;"")),$A353="",$K353&lt;&gt;"Yes"),"",IF($L353&lt;&gt;"",$L353,INDEX(SETUP!$I$1:$I$2000,MATCH(TRUE,SETUP!$J$1:$J$2000,0)+COUNTIFS($A$2:$A353,"&lt;&gt;",$K$2:$K353,"Yes",$L$2:$L353,"")-1)))</f>
        <v/>
      </c>
      <c r="N353" s="22"/>
    </row>
    <row r="354" spans="1:14" x14ac:dyDescent="0.3">
      <c r="A354" s="15" t="str">
        <f>IF(COUNTA($B354:$E354,$K354)=0,"",IF(AND($B354&lt;&gt;"",$C354&lt;&gt;"",$D354&lt;&gt;"",$E354&lt;&gt;""),"TXS"&amp;TEXT(COUNTIFS($B$2:$B354,"&lt;&gt;",$C$2:$C354,"&lt;&gt;",$D$2:$D354,"&lt;&gt;",$E$2:$E354,"&lt;&gt;"),"00000"),""))</f>
        <v/>
      </c>
      <c r="B354" s="16"/>
      <c r="C354" s="20"/>
      <c r="D354" s="20"/>
      <c r="E354" s="23"/>
      <c r="H354" s="19" t="str">
        <f t="shared" si="21"/>
        <v/>
      </c>
      <c r="I354" s="19" t="str">
        <f t="shared" si="20"/>
        <v/>
      </c>
      <c r="J354" s="19" t="str">
        <f t="shared" si="22"/>
        <v/>
      </c>
      <c r="K354" s="20"/>
      <c r="L354" s="21" t="str">
        <f>IF(OR(NOT(AND($B354&lt;&gt;"",$C354&lt;&gt;"",$D354&lt;&gt;"",$E354&lt;&gt;"")),$A354="",$K354&lt;&gt;"Yes"),"",IF($L354&lt;&gt;"",$L354,INDEX(SETUP!$I$1:$I$2000,MATCH(TRUE,SETUP!$J$1:$J$2000,0)+COUNTIFS($A$2:$A354,"&lt;&gt;",$K$2:$K354,"Yes",$L$2:$L354,"")-1)))</f>
        <v/>
      </c>
      <c r="N354" s="22"/>
    </row>
    <row r="355" spans="1:14" x14ac:dyDescent="0.3">
      <c r="A355" s="15" t="str">
        <f>IF(COUNTA($B355:$E355,$K355)=0,"",IF(AND($B355&lt;&gt;"",$C355&lt;&gt;"",$D355&lt;&gt;"",$E355&lt;&gt;""),"TXS"&amp;TEXT(COUNTIFS($B$2:$B355,"&lt;&gt;",$C$2:$C355,"&lt;&gt;",$D$2:$D355,"&lt;&gt;",$E$2:$E355,"&lt;&gt;"),"00000"),""))</f>
        <v/>
      </c>
      <c r="B355" s="16"/>
      <c r="C355" s="20"/>
      <c r="D355" s="20"/>
      <c r="E355" s="23"/>
      <c r="H355" s="19" t="str">
        <f t="shared" si="21"/>
        <v/>
      </c>
      <c r="I355" s="19" t="str">
        <f t="shared" si="20"/>
        <v/>
      </c>
      <c r="J355" s="19" t="str">
        <f t="shared" si="22"/>
        <v/>
      </c>
      <c r="K355" s="20"/>
      <c r="L355" s="21" t="str">
        <f>IF(OR(NOT(AND($B355&lt;&gt;"",$C355&lt;&gt;"",$D355&lt;&gt;"",$E355&lt;&gt;"")),$A355="",$K355&lt;&gt;"Yes"),"",IF($L355&lt;&gt;"",$L355,INDEX(SETUP!$I$1:$I$2000,MATCH(TRUE,SETUP!$J$1:$J$2000,0)+COUNTIFS($A$2:$A355,"&lt;&gt;",$K$2:$K355,"Yes",$L$2:$L355,"")-1)))</f>
        <v/>
      </c>
      <c r="N355" s="22"/>
    </row>
    <row r="356" spans="1:14" x14ac:dyDescent="0.3">
      <c r="A356" s="15" t="str">
        <f>IF(COUNTA($B356:$E356,$K356)=0,"",IF(AND($B356&lt;&gt;"",$C356&lt;&gt;"",$D356&lt;&gt;"",$E356&lt;&gt;""),"TXS"&amp;TEXT(COUNTIFS($B$2:$B356,"&lt;&gt;",$C$2:$C356,"&lt;&gt;",$D$2:$D356,"&lt;&gt;",$E$2:$E356,"&lt;&gt;"),"00000"),""))</f>
        <v/>
      </c>
      <c r="B356" s="16"/>
      <c r="C356" s="20"/>
      <c r="D356" s="20"/>
      <c r="E356" s="23"/>
      <c r="H356" s="19" t="str">
        <f t="shared" si="21"/>
        <v/>
      </c>
      <c r="I356" s="19" t="str">
        <f t="shared" si="20"/>
        <v/>
      </c>
      <c r="J356" s="19" t="str">
        <f t="shared" si="22"/>
        <v/>
      </c>
      <c r="K356" s="20"/>
      <c r="L356" s="21" t="str">
        <f>IF(OR(NOT(AND($B356&lt;&gt;"",$C356&lt;&gt;"",$D356&lt;&gt;"",$E356&lt;&gt;"")),$A356="",$K356&lt;&gt;"Yes"),"",IF($L356&lt;&gt;"",$L356,INDEX(SETUP!$I$1:$I$2000,MATCH(TRUE,SETUP!$J$1:$J$2000,0)+COUNTIFS($A$2:$A356,"&lt;&gt;",$K$2:$K356,"Yes",$L$2:$L356,"")-1)))</f>
        <v/>
      </c>
      <c r="N356" s="22"/>
    </row>
    <row r="357" spans="1:14" x14ac:dyDescent="0.3">
      <c r="A357" s="15" t="str">
        <f>IF(COUNTA($B357:$E357,$K357)=0,"",IF(AND($B357&lt;&gt;"",$C357&lt;&gt;"",$D357&lt;&gt;"",$E357&lt;&gt;""),"TXS"&amp;TEXT(COUNTIFS($B$2:$B357,"&lt;&gt;",$C$2:$C357,"&lt;&gt;",$D$2:$D357,"&lt;&gt;",$E$2:$E357,"&lt;&gt;"),"00000"),""))</f>
        <v/>
      </c>
      <c r="B357" s="16"/>
      <c r="C357" s="20"/>
      <c r="D357" s="20"/>
      <c r="E357" s="23"/>
      <c r="H357" s="19" t="str">
        <f t="shared" si="21"/>
        <v/>
      </c>
      <c r="I357" s="19" t="str">
        <f t="shared" si="20"/>
        <v/>
      </c>
      <c r="J357" s="19" t="str">
        <f t="shared" si="22"/>
        <v/>
      </c>
      <c r="K357" s="20"/>
      <c r="L357" s="21" t="str">
        <f>IF(OR(NOT(AND($B357&lt;&gt;"",$C357&lt;&gt;"",$D357&lt;&gt;"",$E357&lt;&gt;"")),$A357="",$K357&lt;&gt;"Yes"),"",IF($L357&lt;&gt;"",$L357,INDEX(SETUP!$I$1:$I$2000,MATCH(TRUE,SETUP!$J$1:$J$2000,0)+COUNTIFS($A$2:$A357,"&lt;&gt;",$K$2:$K357,"Yes",$L$2:$L357,"")-1)))</f>
        <v/>
      </c>
      <c r="N357" s="22"/>
    </row>
    <row r="358" spans="1:14" x14ac:dyDescent="0.3">
      <c r="A358" s="15" t="str">
        <f>IF(COUNTA($B358:$E358,$K358)=0,"",IF(AND($B358&lt;&gt;"",$C358&lt;&gt;"",$D358&lt;&gt;"",$E358&lt;&gt;""),"TXS"&amp;TEXT(COUNTIFS($B$2:$B358,"&lt;&gt;",$C$2:$C358,"&lt;&gt;",$D$2:$D358,"&lt;&gt;",$E$2:$E358,"&lt;&gt;"),"00000"),""))</f>
        <v/>
      </c>
      <c r="B358" s="16"/>
      <c r="C358" s="20"/>
      <c r="D358" s="20"/>
      <c r="E358" s="23"/>
      <c r="H358" s="19" t="str">
        <f t="shared" si="21"/>
        <v/>
      </c>
      <c r="I358" s="19" t="str">
        <f t="shared" si="20"/>
        <v/>
      </c>
      <c r="J358" s="19" t="str">
        <f t="shared" si="22"/>
        <v/>
      </c>
      <c r="K358" s="20"/>
      <c r="L358" s="21" t="str">
        <f>IF(OR(NOT(AND($B358&lt;&gt;"",$C358&lt;&gt;"",$D358&lt;&gt;"",$E358&lt;&gt;"")),$A358="",$K358&lt;&gt;"Yes"),"",IF($L358&lt;&gt;"",$L358,INDEX(SETUP!$I$1:$I$2000,MATCH(TRUE,SETUP!$J$1:$J$2000,0)+COUNTIFS($A$2:$A358,"&lt;&gt;",$K$2:$K358,"Yes",$L$2:$L358,"")-1)))</f>
        <v/>
      </c>
      <c r="N358" s="22"/>
    </row>
    <row r="359" spans="1:14" x14ac:dyDescent="0.3">
      <c r="A359" s="15" t="str">
        <f>IF(COUNTA($B359:$E359,$K359)=0,"",IF(AND($B359&lt;&gt;"",$C359&lt;&gt;"",$D359&lt;&gt;"",$E359&lt;&gt;""),"TXS"&amp;TEXT(COUNTIFS($B$2:$B359,"&lt;&gt;",$C$2:$C359,"&lt;&gt;",$D$2:$D359,"&lt;&gt;",$E$2:$E359,"&lt;&gt;"),"00000"),""))</f>
        <v/>
      </c>
      <c r="B359" s="16"/>
      <c r="C359" s="20"/>
      <c r="D359" s="20"/>
      <c r="E359" s="23"/>
      <c r="H359" s="19" t="str">
        <f t="shared" si="21"/>
        <v/>
      </c>
      <c r="I359" s="19" t="str">
        <f t="shared" si="20"/>
        <v/>
      </c>
      <c r="J359" s="19" t="str">
        <f t="shared" si="22"/>
        <v/>
      </c>
      <c r="K359" s="20"/>
      <c r="L359" s="21" t="str">
        <f>IF(OR(NOT(AND($B359&lt;&gt;"",$C359&lt;&gt;"",$D359&lt;&gt;"",$E359&lt;&gt;"")),$A359="",$K359&lt;&gt;"Yes"),"",IF($L359&lt;&gt;"",$L359,INDEX(SETUP!$I$1:$I$2000,MATCH(TRUE,SETUP!$J$1:$J$2000,0)+COUNTIFS($A$2:$A359,"&lt;&gt;",$K$2:$K359,"Yes",$L$2:$L359,"")-1)))</f>
        <v/>
      </c>
      <c r="N359" s="22"/>
    </row>
    <row r="360" spans="1:14" x14ac:dyDescent="0.3">
      <c r="A360" s="15" t="str">
        <f>IF(COUNTA($B360:$E360,$K360)=0,"",IF(AND($B360&lt;&gt;"",$C360&lt;&gt;"",$D360&lt;&gt;"",$E360&lt;&gt;""),"TXS"&amp;TEXT(COUNTIFS($B$2:$B360,"&lt;&gt;",$C$2:$C360,"&lt;&gt;",$D$2:$D360,"&lt;&gt;",$E$2:$E360,"&lt;&gt;"),"00000"),""))</f>
        <v/>
      </c>
      <c r="B360" s="16"/>
      <c r="C360" s="20"/>
      <c r="D360" s="20"/>
      <c r="E360" s="23"/>
      <c r="H360" s="19" t="str">
        <f t="shared" si="21"/>
        <v/>
      </c>
      <c r="I360" s="19" t="str">
        <f t="shared" si="20"/>
        <v/>
      </c>
      <c r="J360" s="19" t="str">
        <f t="shared" si="22"/>
        <v/>
      </c>
      <c r="K360" s="20"/>
      <c r="L360" s="21" t="str">
        <f>IF(OR(NOT(AND($B360&lt;&gt;"",$C360&lt;&gt;"",$D360&lt;&gt;"",$E360&lt;&gt;"")),$A360="",$K360&lt;&gt;"Yes"),"",IF($L360&lt;&gt;"",$L360,INDEX(SETUP!$I$1:$I$2000,MATCH(TRUE,SETUP!$J$1:$J$2000,0)+COUNTIFS($A$2:$A360,"&lt;&gt;",$K$2:$K360,"Yes",$L$2:$L360,"")-1)))</f>
        <v/>
      </c>
      <c r="N360" s="22"/>
    </row>
    <row r="361" spans="1:14" x14ac:dyDescent="0.3">
      <c r="A361" s="15" t="str">
        <f>IF(COUNTA($B361:$E361,$K361)=0,"",IF(AND($B361&lt;&gt;"",$C361&lt;&gt;"",$D361&lt;&gt;"",$E361&lt;&gt;""),"TXS"&amp;TEXT(COUNTIFS($B$2:$B361,"&lt;&gt;",$C$2:$C361,"&lt;&gt;",$D$2:$D361,"&lt;&gt;",$E$2:$E361,"&lt;&gt;"),"00000"),""))</f>
        <v/>
      </c>
      <c r="B361" s="16"/>
      <c r="C361" s="20"/>
      <c r="D361" s="20"/>
      <c r="E361" s="23"/>
      <c r="H361" s="19" t="str">
        <f t="shared" si="21"/>
        <v/>
      </c>
      <c r="I361" s="19" t="str">
        <f t="shared" ref="I361:I424" si="23">IF(NOT(AND($B361&lt;&gt;"",$C361&lt;&gt;"",$D361&lt;&gt;"",$E361&lt;&gt;"")),"",IF($A361="","","NIH plate "&amp;INT((VALUE(RIGHT($A361,5))-1)/96)+1&amp;": "&amp;CHAR(65+INT(MOD(VALUE(RIGHT($A361,5))-1,96)/12))&amp;(MOD(VALUE(RIGHT($A361,5))-1,12)+1)))</f>
        <v/>
      </c>
      <c r="J361" s="19" t="str">
        <f t="shared" si="22"/>
        <v/>
      </c>
      <c r="K361" s="20"/>
      <c r="L361" s="21" t="str">
        <f>IF(OR(NOT(AND($B361&lt;&gt;"",$C361&lt;&gt;"",$D361&lt;&gt;"",$E361&lt;&gt;"")),$A361="",$K361&lt;&gt;"Yes"),"",IF($L361&lt;&gt;"",$L361,INDEX(SETUP!$I$1:$I$2000,MATCH(TRUE,SETUP!$J$1:$J$2000,0)+COUNTIFS($A$2:$A361,"&lt;&gt;",$K$2:$K361,"Yes",$L$2:$L361,"")-1)))</f>
        <v/>
      </c>
      <c r="N361" s="22"/>
    </row>
    <row r="362" spans="1:14" x14ac:dyDescent="0.3">
      <c r="A362" s="15" t="str">
        <f>IF(COUNTA($B362:$E362,$K362)=0,"",IF(AND($B362&lt;&gt;"",$C362&lt;&gt;"",$D362&lt;&gt;"",$E362&lt;&gt;""),"TXS"&amp;TEXT(COUNTIFS($B$2:$B362,"&lt;&gt;",$C$2:$C362,"&lt;&gt;",$D$2:$D362,"&lt;&gt;",$E$2:$E362,"&lt;&gt;"),"00000"),""))</f>
        <v/>
      </c>
      <c r="B362" s="16"/>
      <c r="C362" s="20"/>
      <c r="D362" s="20"/>
      <c r="E362" s="23"/>
      <c r="H362" s="19" t="str">
        <f t="shared" si="21"/>
        <v/>
      </c>
      <c r="I362" s="19" t="str">
        <f t="shared" si="23"/>
        <v/>
      </c>
      <c r="J362" s="19" t="str">
        <f t="shared" si="22"/>
        <v/>
      </c>
      <c r="K362" s="20"/>
      <c r="L362" s="21" t="str">
        <f>IF(OR(NOT(AND($B362&lt;&gt;"",$C362&lt;&gt;"",$D362&lt;&gt;"",$E362&lt;&gt;"")),$A362="",$K362&lt;&gt;"Yes"),"",IF($L362&lt;&gt;"",$L362,INDEX(SETUP!$I$1:$I$2000,MATCH(TRUE,SETUP!$J$1:$J$2000,0)+COUNTIFS($A$2:$A362,"&lt;&gt;",$K$2:$K362,"Yes",$L$2:$L362,"")-1)))</f>
        <v/>
      </c>
      <c r="N362" s="22"/>
    </row>
    <row r="363" spans="1:14" x14ac:dyDescent="0.3">
      <c r="A363" s="15" t="str">
        <f>IF(COUNTA($B363:$E363,$K363)=0,"",IF(AND($B363&lt;&gt;"",$C363&lt;&gt;"",$D363&lt;&gt;"",$E363&lt;&gt;""),"TXS"&amp;TEXT(COUNTIFS($B$2:$B363,"&lt;&gt;",$C$2:$C363,"&lt;&gt;",$D$2:$D363,"&lt;&gt;",$E$2:$E363,"&lt;&gt;"),"00000"),""))</f>
        <v/>
      </c>
      <c r="B363" s="16"/>
      <c r="C363" s="20"/>
      <c r="D363" s="20"/>
      <c r="E363" s="23"/>
      <c r="H363" s="19" t="str">
        <f t="shared" si="21"/>
        <v/>
      </c>
      <c r="I363" s="19" t="str">
        <f t="shared" si="23"/>
        <v/>
      </c>
      <c r="J363" s="19" t="str">
        <f t="shared" si="22"/>
        <v/>
      </c>
      <c r="K363" s="20"/>
      <c r="L363" s="21" t="str">
        <f>IF(OR(NOT(AND($B363&lt;&gt;"",$C363&lt;&gt;"",$D363&lt;&gt;"",$E363&lt;&gt;"")),$A363="",$K363&lt;&gt;"Yes"),"",IF($L363&lt;&gt;"",$L363,INDEX(SETUP!$I$1:$I$2000,MATCH(TRUE,SETUP!$J$1:$J$2000,0)+COUNTIFS($A$2:$A363,"&lt;&gt;",$K$2:$K363,"Yes",$L$2:$L363,"")-1)))</f>
        <v/>
      </c>
      <c r="N363" s="22"/>
    </row>
    <row r="364" spans="1:14" x14ac:dyDescent="0.3">
      <c r="A364" s="15" t="str">
        <f>IF(COUNTA($B364:$E364,$K364)=0,"",IF(AND($B364&lt;&gt;"",$C364&lt;&gt;"",$D364&lt;&gt;"",$E364&lt;&gt;""),"TXS"&amp;TEXT(COUNTIFS($B$2:$B364,"&lt;&gt;",$C$2:$C364,"&lt;&gt;",$D$2:$D364,"&lt;&gt;",$E$2:$E364,"&lt;&gt;"),"00000"),""))</f>
        <v/>
      </c>
      <c r="B364" s="16"/>
      <c r="C364" s="20"/>
      <c r="D364" s="20"/>
      <c r="E364" s="23"/>
      <c r="H364" s="19" t="str">
        <f t="shared" si="21"/>
        <v/>
      </c>
      <c r="I364" s="19" t="str">
        <f t="shared" si="23"/>
        <v/>
      </c>
      <c r="J364" s="19" t="str">
        <f t="shared" si="22"/>
        <v/>
      </c>
      <c r="K364" s="20"/>
      <c r="L364" s="21" t="str">
        <f>IF(OR(NOT(AND($B364&lt;&gt;"",$C364&lt;&gt;"",$D364&lt;&gt;"",$E364&lt;&gt;"")),$A364="",$K364&lt;&gt;"Yes"),"",IF($L364&lt;&gt;"",$L364,INDEX(SETUP!$I$1:$I$2000,MATCH(TRUE,SETUP!$J$1:$J$2000,0)+COUNTIFS($A$2:$A364,"&lt;&gt;",$K$2:$K364,"Yes",$L$2:$L364,"")-1)))</f>
        <v/>
      </c>
      <c r="N364" s="22"/>
    </row>
    <row r="365" spans="1:14" x14ac:dyDescent="0.3">
      <c r="A365" s="15" t="str">
        <f>IF(COUNTA($B365:$E365,$K365)=0,"",IF(AND($B365&lt;&gt;"",$C365&lt;&gt;"",$D365&lt;&gt;"",$E365&lt;&gt;""),"TXS"&amp;TEXT(COUNTIFS($B$2:$B365,"&lt;&gt;",$C$2:$C365,"&lt;&gt;",$D$2:$D365,"&lt;&gt;",$E$2:$E365,"&lt;&gt;"),"00000"),""))</f>
        <v/>
      </c>
      <c r="B365" s="16"/>
      <c r="C365" s="20"/>
      <c r="D365" s="20"/>
      <c r="E365" s="23"/>
      <c r="H365" s="19" t="str">
        <f t="shared" si="21"/>
        <v/>
      </c>
      <c r="I365" s="19" t="str">
        <f t="shared" si="23"/>
        <v/>
      </c>
      <c r="J365" s="19" t="str">
        <f t="shared" si="22"/>
        <v/>
      </c>
      <c r="K365" s="20"/>
      <c r="L365" s="21" t="str">
        <f>IF(OR(NOT(AND($B365&lt;&gt;"",$C365&lt;&gt;"",$D365&lt;&gt;"",$E365&lt;&gt;"")),$A365="",$K365&lt;&gt;"Yes"),"",IF($L365&lt;&gt;"",$L365,INDEX(SETUP!$I$1:$I$2000,MATCH(TRUE,SETUP!$J$1:$J$2000,0)+COUNTIFS($A$2:$A365,"&lt;&gt;",$K$2:$K365,"Yes",$L$2:$L365,"")-1)))</f>
        <v/>
      </c>
      <c r="N365" s="22"/>
    </row>
    <row r="366" spans="1:14" x14ac:dyDescent="0.3">
      <c r="A366" s="15" t="str">
        <f>IF(COUNTA($B366:$E366,$K366)=0,"",IF(AND($B366&lt;&gt;"",$C366&lt;&gt;"",$D366&lt;&gt;"",$E366&lt;&gt;""),"TXS"&amp;TEXT(COUNTIFS($B$2:$B366,"&lt;&gt;",$C$2:$C366,"&lt;&gt;",$D$2:$D366,"&lt;&gt;",$E$2:$E366,"&lt;&gt;"),"00000"),""))</f>
        <v/>
      </c>
      <c r="B366" s="16"/>
      <c r="C366" s="20"/>
      <c r="D366" s="20"/>
      <c r="E366" s="23"/>
      <c r="H366" s="19" t="str">
        <f t="shared" si="21"/>
        <v/>
      </c>
      <c r="I366" s="19" t="str">
        <f t="shared" si="23"/>
        <v/>
      </c>
      <c r="J366" s="19" t="str">
        <f t="shared" si="22"/>
        <v/>
      </c>
      <c r="K366" s="20"/>
      <c r="L366" s="21" t="str">
        <f>IF(OR(NOT(AND($B366&lt;&gt;"",$C366&lt;&gt;"",$D366&lt;&gt;"",$E366&lt;&gt;"")),$A366="",$K366&lt;&gt;"Yes"),"",IF($L366&lt;&gt;"",$L366,INDEX(SETUP!$I$1:$I$2000,MATCH(TRUE,SETUP!$J$1:$J$2000,0)+COUNTIFS($A$2:$A366,"&lt;&gt;",$K$2:$K366,"Yes",$L$2:$L366,"")-1)))</f>
        <v/>
      </c>
      <c r="N366" s="22"/>
    </row>
    <row r="367" spans="1:14" x14ac:dyDescent="0.3">
      <c r="A367" s="15" t="str">
        <f>IF(COUNTA($B367:$E367,$K367)=0,"",IF(AND($B367&lt;&gt;"",$C367&lt;&gt;"",$D367&lt;&gt;"",$E367&lt;&gt;""),"TXS"&amp;TEXT(COUNTIFS($B$2:$B367,"&lt;&gt;",$C$2:$C367,"&lt;&gt;",$D$2:$D367,"&lt;&gt;",$E$2:$E367,"&lt;&gt;"),"00000"),""))</f>
        <v/>
      </c>
      <c r="B367" s="16"/>
      <c r="C367" s="20"/>
      <c r="D367" s="20"/>
      <c r="E367" s="23"/>
      <c r="H367" s="19" t="str">
        <f t="shared" ref="H367:H430" si="24">IF(NOT(AND($B367&lt;&gt;"",$C367&lt;&gt;"",$D367&lt;&gt;"",$E367&lt;&gt;"")),"",IF($A367="","","CDI plate "&amp;INT((VALUE(RIGHT($A367,5))-1)/96)+1&amp;": "&amp;CHAR(65+INT(MOD(VALUE(RIGHT($A367,5))-1,96)/12))&amp;(MOD(VALUE(RIGHT($A367,5))-1,12)+1)))</f>
        <v/>
      </c>
      <c r="I367" s="19" t="str">
        <f t="shared" si="23"/>
        <v/>
      </c>
      <c r="J367" s="19" t="str">
        <f t="shared" si="22"/>
        <v/>
      </c>
      <c r="K367" s="20"/>
      <c r="L367" s="21" t="str">
        <f>IF(OR(NOT(AND($B367&lt;&gt;"",$C367&lt;&gt;"",$D367&lt;&gt;"",$E367&lt;&gt;"")),$A367="",$K367&lt;&gt;"Yes"),"",IF($L367&lt;&gt;"",$L367,INDEX(SETUP!$I$1:$I$2000,MATCH(TRUE,SETUP!$J$1:$J$2000,0)+COUNTIFS($A$2:$A367,"&lt;&gt;",$K$2:$K367,"Yes",$L$2:$L367,"")-1)))</f>
        <v/>
      </c>
      <c r="N367" s="22"/>
    </row>
    <row r="368" spans="1:14" x14ac:dyDescent="0.3">
      <c r="A368" s="15" t="str">
        <f>IF(COUNTA($B368:$E368,$K368)=0,"",IF(AND($B368&lt;&gt;"",$C368&lt;&gt;"",$D368&lt;&gt;"",$E368&lt;&gt;""),"TXS"&amp;TEXT(COUNTIFS($B$2:$B368,"&lt;&gt;",$C$2:$C368,"&lt;&gt;",$D$2:$D368,"&lt;&gt;",$E$2:$E368,"&lt;&gt;"),"00000"),""))</f>
        <v/>
      </c>
      <c r="B368" s="16"/>
      <c r="C368" s="20"/>
      <c r="D368" s="20"/>
      <c r="E368" s="23"/>
      <c r="H368" s="19" t="str">
        <f t="shared" si="24"/>
        <v/>
      </c>
      <c r="I368" s="19" t="str">
        <f t="shared" si="23"/>
        <v/>
      </c>
      <c r="J368" s="19" t="str">
        <f t="shared" si="22"/>
        <v/>
      </c>
      <c r="K368" s="20"/>
      <c r="L368" s="21" t="str">
        <f>IF(OR(NOT(AND($B368&lt;&gt;"",$C368&lt;&gt;"",$D368&lt;&gt;"",$E368&lt;&gt;"")),$A368="",$K368&lt;&gt;"Yes"),"",IF($L368&lt;&gt;"",$L368,INDEX(SETUP!$I$1:$I$2000,MATCH(TRUE,SETUP!$J$1:$J$2000,0)+COUNTIFS($A$2:$A368,"&lt;&gt;",$K$2:$K368,"Yes",$L$2:$L368,"")-1)))</f>
        <v/>
      </c>
      <c r="N368" s="22"/>
    </row>
    <row r="369" spans="1:14" x14ac:dyDescent="0.3">
      <c r="A369" s="15" t="str">
        <f>IF(COUNTA($B369:$E369,$K369)=0,"",IF(AND($B369&lt;&gt;"",$C369&lt;&gt;"",$D369&lt;&gt;"",$E369&lt;&gt;""),"TXS"&amp;TEXT(COUNTIFS($B$2:$B369,"&lt;&gt;",$C$2:$C369,"&lt;&gt;",$D$2:$D369,"&lt;&gt;",$E$2:$E369,"&lt;&gt;"),"00000"),""))</f>
        <v/>
      </c>
      <c r="B369" s="16"/>
      <c r="C369" s="20"/>
      <c r="D369" s="20"/>
      <c r="E369" s="23"/>
      <c r="H369" s="19" t="str">
        <f t="shared" si="24"/>
        <v/>
      </c>
      <c r="I369" s="19" t="str">
        <f t="shared" si="23"/>
        <v/>
      </c>
      <c r="J369" s="19" t="str">
        <f t="shared" si="22"/>
        <v/>
      </c>
      <c r="K369" s="20"/>
      <c r="L369" s="21" t="str">
        <f>IF(OR(NOT(AND($B369&lt;&gt;"",$C369&lt;&gt;"",$D369&lt;&gt;"",$E369&lt;&gt;"")),$A369="",$K369&lt;&gt;"Yes"),"",IF($L369&lt;&gt;"",$L369,INDEX(SETUP!$I$1:$I$2000,MATCH(TRUE,SETUP!$J$1:$J$2000,0)+COUNTIFS($A$2:$A369,"&lt;&gt;",$K$2:$K369,"Yes",$L$2:$L369,"")-1)))</f>
        <v/>
      </c>
      <c r="N369" s="22"/>
    </row>
    <row r="370" spans="1:14" x14ac:dyDescent="0.3">
      <c r="A370" s="15" t="str">
        <f>IF(COUNTA($B370:$E370,$K370)=0,"",IF(AND($B370&lt;&gt;"",$C370&lt;&gt;"",$D370&lt;&gt;"",$E370&lt;&gt;""),"TXS"&amp;TEXT(COUNTIFS($B$2:$B370,"&lt;&gt;",$C$2:$C370,"&lt;&gt;",$D$2:$D370,"&lt;&gt;",$E$2:$E370,"&lt;&gt;"),"00000"),""))</f>
        <v/>
      </c>
      <c r="B370" s="16"/>
      <c r="C370" s="20"/>
      <c r="D370" s="20"/>
      <c r="E370" s="23"/>
      <c r="H370" s="19" t="str">
        <f t="shared" si="24"/>
        <v/>
      </c>
      <c r="I370" s="19" t="str">
        <f t="shared" si="23"/>
        <v/>
      </c>
      <c r="J370" s="19" t="str">
        <f t="shared" ref="J370:J433" si="25">IF(NOT(AND($B370&lt;&gt;"",$C370&lt;&gt;"",$D370&lt;&gt;"",$E370&lt;&gt;"")),"",IF($A370="","","Max Planck plate "&amp;INT((VALUE(RIGHT($A370,5))-1)/96)+1&amp;": "&amp;CHAR(65+INT(MOD(VALUE(RIGHT($A370,5))-1,96)/12))&amp;(MOD(VALUE(RIGHT($A370,5))-1,12)+1)))</f>
        <v/>
      </c>
      <c r="K370" s="20"/>
      <c r="L370" s="21" t="str">
        <f>IF(OR(NOT(AND($B370&lt;&gt;"",$C370&lt;&gt;"",$D370&lt;&gt;"",$E370&lt;&gt;"")),$A370="",$K370&lt;&gt;"Yes"),"",IF($L370&lt;&gt;"",$L370,INDEX(SETUP!$I$1:$I$2000,MATCH(TRUE,SETUP!$J$1:$J$2000,0)+COUNTIFS($A$2:$A370,"&lt;&gt;",$K$2:$K370,"Yes",$L$2:$L370,"")-1)))</f>
        <v/>
      </c>
      <c r="N370" s="22"/>
    </row>
    <row r="371" spans="1:14" x14ac:dyDescent="0.3">
      <c r="A371" s="15" t="str">
        <f>IF(COUNTA($B371:$E371,$K371)=0,"",IF(AND($B371&lt;&gt;"",$C371&lt;&gt;"",$D371&lt;&gt;"",$E371&lt;&gt;""),"TXS"&amp;TEXT(COUNTIFS($B$2:$B371,"&lt;&gt;",$C$2:$C371,"&lt;&gt;",$D$2:$D371,"&lt;&gt;",$E$2:$E371,"&lt;&gt;"),"00000"),""))</f>
        <v/>
      </c>
      <c r="B371" s="16"/>
      <c r="C371" s="20"/>
      <c r="D371" s="20"/>
      <c r="E371" s="23"/>
      <c r="H371" s="19" t="str">
        <f t="shared" si="24"/>
        <v/>
      </c>
      <c r="I371" s="19" t="str">
        <f t="shared" si="23"/>
        <v/>
      </c>
      <c r="J371" s="19" t="str">
        <f t="shared" si="25"/>
        <v/>
      </c>
      <c r="K371" s="20"/>
      <c r="L371" s="21" t="str">
        <f>IF(OR(NOT(AND($B371&lt;&gt;"",$C371&lt;&gt;"",$D371&lt;&gt;"",$E371&lt;&gt;"")),$A371="",$K371&lt;&gt;"Yes"),"",IF($L371&lt;&gt;"",$L371,INDEX(SETUP!$I$1:$I$2000,MATCH(TRUE,SETUP!$J$1:$J$2000,0)+COUNTIFS($A$2:$A371,"&lt;&gt;",$K$2:$K371,"Yes",$L$2:$L371,"")-1)))</f>
        <v/>
      </c>
      <c r="N371" s="22"/>
    </row>
    <row r="372" spans="1:14" x14ac:dyDescent="0.3">
      <c r="A372" s="15" t="str">
        <f>IF(COUNTA($B372:$E372,$K372)=0,"",IF(AND($B372&lt;&gt;"",$C372&lt;&gt;"",$D372&lt;&gt;"",$E372&lt;&gt;""),"TXS"&amp;TEXT(COUNTIFS($B$2:$B372,"&lt;&gt;",$C$2:$C372,"&lt;&gt;",$D$2:$D372,"&lt;&gt;",$E$2:$E372,"&lt;&gt;"),"00000"),""))</f>
        <v/>
      </c>
      <c r="B372" s="16"/>
      <c r="C372" s="20"/>
      <c r="D372" s="20"/>
      <c r="E372" s="23"/>
      <c r="H372" s="19" t="str">
        <f t="shared" si="24"/>
        <v/>
      </c>
      <c r="I372" s="19" t="str">
        <f t="shared" si="23"/>
        <v/>
      </c>
      <c r="J372" s="19" t="str">
        <f t="shared" si="25"/>
        <v/>
      </c>
      <c r="K372" s="20"/>
      <c r="L372" s="21" t="str">
        <f>IF(OR(NOT(AND($B372&lt;&gt;"",$C372&lt;&gt;"",$D372&lt;&gt;"",$E372&lt;&gt;"")),$A372="",$K372&lt;&gt;"Yes"),"",IF($L372&lt;&gt;"",$L372,INDEX(SETUP!$I$1:$I$2000,MATCH(TRUE,SETUP!$J$1:$J$2000,0)+COUNTIFS($A$2:$A372,"&lt;&gt;",$K$2:$K372,"Yes",$L$2:$L372,"")-1)))</f>
        <v/>
      </c>
      <c r="N372" s="22"/>
    </row>
    <row r="373" spans="1:14" x14ac:dyDescent="0.3">
      <c r="A373" s="15" t="str">
        <f>IF(COUNTA($B373:$E373,$K373)=0,"",IF(AND($B373&lt;&gt;"",$C373&lt;&gt;"",$D373&lt;&gt;"",$E373&lt;&gt;""),"TXS"&amp;TEXT(COUNTIFS($B$2:$B373,"&lt;&gt;",$C$2:$C373,"&lt;&gt;",$D$2:$D373,"&lt;&gt;",$E$2:$E373,"&lt;&gt;"),"00000"),""))</f>
        <v/>
      </c>
      <c r="B373" s="16"/>
      <c r="C373" s="20"/>
      <c r="D373" s="20"/>
      <c r="E373" s="23"/>
      <c r="H373" s="19" t="str">
        <f t="shared" si="24"/>
        <v/>
      </c>
      <c r="I373" s="19" t="str">
        <f t="shared" si="23"/>
        <v/>
      </c>
      <c r="J373" s="19" t="str">
        <f t="shared" si="25"/>
        <v/>
      </c>
      <c r="K373" s="20"/>
      <c r="L373" s="21" t="str">
        <f>IF(OR(NOT(AND($B373&lt;&gt;"",$C373&lt;&gt;"",$D373&lt;&gt;"",$E373&lt;&gt;"")),$A373="",$K373&lt;&gt;"Yes"),"",IF($L373&lt;&gt;"",$L373,INDEX(SETUP!$I$1:$I$2000,MATCH(TRUE,SETUP!$J$1:$J$2000,0)+COUNTIFS($A$2:$A373,"&lt;&gt;",$K$2:$K373,"Yes",$L$2:$L373,"")-1)))</f>
        <v/>
      </c>
      <c r="N373" s="22"/>
    </row>
    <row r="374" spans="1:14" x14ac:dyDescent="0.3">
      <c r="A374" s="15" t="str">
        <f>IF(COUNTA($B374:$E374,$K374)=0,"",IF(AND($B374&lt;&gt;"",$C374&lt;&gt;"",$D374&lt;&gt;"",$E374&lt;&gt;""),"TXS"&amp;TEXT(COUNTIFS($B$2:$B374,"&lt;&gt;",$C$2:$C374,"&lt;&gt;",$D$2:$D374,"&lt;&gt;",$E$2:$E374,"&lt;&gt;"),"00000"),""))</f>
        <v/>
      </c>
      <c r="B374" s="16"/>
      <c r="C374" s="20"/>
      <c r="D374" s="20"/>
      <c r="E374" s="23"/>
      <c r="H374" s="19" t="str">
        <f t="shared" si="24"/>
        <v/>
      </c>
      <c r="I374" s="19" t="str">
        <f t="shared" si="23"/>
        <v/>
      </c>
      <c r="J374" s="19" t="str">
        <f t="shared" si="25"/>
        <v/>
      </c>
      <c r="K374" s="20"/>
      <c r="L374" s="21" t="str">
        <f>IF(OR(NOT(AND($B374&lt;&gt;"",$C374&lt;&gt;"",$D374&lt;&gt;"",$E374&lt;&gt;"")),$A374="",$K374&lt;&gt;"Yes"),"",IF($L374&lt;&gt;"",$L374,INDEX(SETUP!$I$1:$I$2000,MATCH(TRUE,SETUP!$J$1:$J$2000,0)+COUNTIFS($A$2:$A374,"&lt;&gt;",$K$2:$K374,"Yes",$L$2:$L374,"")-1)))</f>
        <v/>
      </c>
      <c r="N374" s="22"/>
    </row>
    <row r="375" spans="1:14" x14ac:dyDescent="0.3">
      <c r="A375" s="15" t="str">
        <f>IF(COUNTA($B375:$E375,$K375)=0,"",IF(AND($B375&lt;&gt;"",$C375&lt;&gt;"",$D375&lt;&gt;"",$E375&lt;&gt;""),"TXS"&amp;TEXT(COUNTIFS($B$2:$B375,"&lt;&gt;",$C$2:$C375,"&lt;&gt;",$D$2:$D375,"&lt;&gt;",$E$2:$E375,"&lt;&gt;"),"00000"),""))</f>
        <v/>
      </c>
      <c r="B375" s="16"/>
      <c r="C375" s="20"/>
      <c r="D375" s="20"/>
      <c r="E375" s="23"/>
      <c r="H375" s="19" t="str">
        <f t="shared" si="24"/>
        <v/>
      </c>
      <c r="I375" s="19" t="str">
        <f t="shared" si="23"/>
        <v/>
      </c>
      <c r="J375" s="19" t="str">
        <f t="shared" si="25"/>
        <v/>
      </c>
      <c r="K375" s="20"/>
      <c r="L375" s="21" t="str">
        <f>IF(OR(NOT(AND($B375&lt;&gt;"",$C375&lt;&gt;"",$D375&lt;&gt;"",$E375&lt;&gt;"")),$A375="",$K375&lt;&gt;"Yes"),"",IF($L375&lt;&gt;"",$L375,INDEX(SETUP!$I$1:$I$2000,MATCH(TRUE,SETUP!$J$1:$J$2000,0)+COUNTIFS($A$2:$A375,"&lt;&gt;",$K$2:$K375,"Yes",$L$2:$L375,"")-1)))</f>
        <v/>
      </c>
      <c r="N375" s="22"/>
    </row>
    <row r="376" spans="1:14" x14ac:dyDescent="0.3">
      <c r="A376" s="15" t="str">
        <f>IF(COUNTA($B376:$E376,$K376)=0,"",IF(AND($B376&lt;&gt;"",$C376&lt;&gt;"",$D376&lt;&gt;"",$E376&lt;&gt;""),"TXS"&amp;TEXT(COUNTIFS($B$2:$B376,"&lt;&gt;",$C$2:$C376,"&lt;&gt;",$D$2:$D376,"&lt;&gt;",$E$2:$E376,"&lt;&gt;"),"00000"),""))</f>
        <v/>
      </c>
      <c r="B376" s="16"/>
      <c r="C376" s="20"/>
      <c r="D376" s="20"/>
      <c r="E376" s="23"/>
      <c r="H376" s="19" t="str">
        <f t="shared" si="24"/>
        <v/>
      </c>
      <c r="I376" s="19" t="str">
        <f t="shared" si="23"/>
        <v/>
      </c>
      <c r="J376" s="19" t="str">
        <f t="shared" si="25"/>
        <v/>
      </c>
      <c r="K376" s="20"/>
      <c r="L376" s="21" t="str">
        <f>IF(OR(NOT(AND($B376&lt;&gt;"",$C376&lt;&gt;"",$D376&lt;&gt;"",$E376&lt;&gt;"")),$A376="",$K376&lt;&gt;"Yes"),"",IF($L376&lt;&gt;"",$L376,INDEX(SETUP!$I$1:$I$2000,MATCH(TRUE,SETUP!$J$1:$J$2000,0)+COUNTIFS($A$2:$A376,"&lt;&gt;",$K$2:$K376,"Yes",$L$2:$L376,"")-1)))</f>
        <v/>
      </c>
      <c r="N376" s="22"/>
    </row>
    <row r="377" spans="1:14" x14ac:dyDescent="0.3">
      <c r="A377" s="15" t="str">
        <f>IF(COUNTA($B377:$E377,$K377)=0,"",IF(AND($B377&lt;&gt;"",$C377&lt;&gt;"",$D377&lt;&gt;"",$E377&lt;&gt;""),"TXS"&amp;TEXT(COUNTIFS($B$2:$B377,"&lt;&gt;",$C$2:$C377,"&lt;&gt;",$D$2:$D377,"&lt;&gt;",$E$2:$E377,"&lt;&gt;"),"00000"),""))</f>
        <v/>
      </c>
      <c r="B377" s="16"/>
      <c r="C377" s="20"/>
      <c r="D377" s="20"/>
      <c r="E377" s="23"/>
      <c r="H377" s="19" t="str">
        <f t="shared" si="24"/>
        <v/>
      </c>
      <c r="I377" s="19" t="str">
        <f t="shared" si="23"/>
        <v/>
      </c>
      <c r="J377" s="19" t="str">
        <f t="shared" si="25"/>
        <v/>
      </c>
      <c r="K377" s="20"/>
      <c r="L377" s="21" t="str">
        <f>IF(OR(NOT(AND($B377&lt;&gt;"",$C377&lt;&gt;"",$D377&lt;&gt;"",$E377&lt;&gt;"")),$A377="",$K377&lt;&gt;"Yes"),"",IF($L377&lt;&gt;"",$L377,INDEX(SETUP!$I$1:$I$2000,MATCH(TRUE,SETUP!$J$1:$J$2000,0)+COUNTIFS($A$2:$A377,"&lt;&gt;",$K$2:$K377,"Yes",$L$2:$L377,"")-1)))</f>
        <v/>
      </c>
      <c r="N377" s="22"/>
    </row>
    <row r="378" spans="1:14" x14ac:dyDescent="0.3">
      <c r="A378" s="15" t="str">
        <f>IF(COUNTA($B378:$E378,$K378)=0,"",IF(AND($B378&lt;&gt;"",$C378&lt;&gt;"",$D378&lt;&gt;"",$E378&lt;&gt;""),"TXS"&amp;TEXT(COUNTIFS($B$2:$B378,"&lt;&gt;",$C$2:$C378,"&lt;&gt;",$D$2:$D378,"&lt;&gt;",$E$2:$E378,"&lt;&gt;"),"00000"),""))</f>
        <v/>
      </c>
      <c r="B378" s="16"/>
      <c r="C378" s="20"/>
      <c r="D378" s="20"/>
      <c r="E378" s="23"/>
      <c r="H378" s="19" t="str">
        <f t="shared" si="24"/>
        <v/>
      </c>
      <c r="I378" s="19" t="str">
        <f t="shared" si="23"/>
        <v/>
      </c>
      <c r="J378" s="19" t="str">
        <f t="shared" si="25"/>
        <v/>
      </c>
      <c r="K378" s="20"/>
      <c r="L378" s="21" t="str">
        <f>IF(OR(NOT(AND($B378&lt;&gt;"",$C378&lt;&gt;"",$D378&lt;&gt;"",$E378&lt;&gt;"")),$A378="",$K378&lt;&gt;"Yes"),"",IF($L378&lt;&gt;"",$L378,INDEX(SETUP!$I$1:$I$2000,MATCH(TRUE,SETUP!$J$1:$J$2000,0)+COUNTIFS($A$2:$A378,"&lt;&gt;",$K$2:$K378,"Yes",$L$2:$L378,"")-1)))</f>
        <v/>
      </c>
      <c r="N378" s="22"/>
    </row>
    <row r="379" spans="1:14" x14ac:dyDescent="0.3">
      <c r="A379" s="15" t="str">
        <f>IF(COUNTA($B379:$E379,$K379)=0,"",IF(AND($B379&lt;&gt;"",$C379&lt;&gt;"",$D379&lt;&gt;"",$E379&lt;&gt;""),"TXS"&amp;TEXT(COUNTIFS($B$2:$B379,"&lt;&gt;",$C$2:$C379,"&lt;&gt;",$D$2:$D379,"&lt;&gt;",$E$2:$E379,"&lt;&gt;"),"00000"),""))</f>
        <v/>
      </c>
      <c r="B379" s="16"/>
      <c r="C379" s="20"/>
      <c r="D379" s="20"/>
      <c r="E379" s="23"/>
      <c r="H379" s="19" t="str">
        <f t="shared" si="24"/>
        <v/>
      </c>
      <c r="I379" s="19" t="str">
        <f t="shared" si="23"/>
        <v/>
      </c>
      <c r="J379" s="19" t="str">
        <f t="shared" si="25"/>
        <v/>
      </c>
      <c r="K379" s="20"/>
      <c r="L379" s="21" t="str">
        <f>IF(OR(NOT(AND($B379&lt;&gt;"",$C379&lt;&gt;"",$D379&lt;&gt;"",$E379&lt;&gt;"")),$A379="",$K379&lt;&gt;"Yes"),"",IF($L379&lt;&gt;"",$L379,INDEX(SETUP!$I$1:$I$2000,MATCH(TRUE,SETUP!$J$1:$J$2000,0)+COUNTIFS($A$2:$A379,"&lt;&gt;",$K$2:$K379,"Yes",$L$2:$L379,"")-1)))</f>
        <v/>
      </c>
      <c r="N379" s="22"/>
    </row>
    <row r="380" spans="1:14" x14ac:dyDescent="0.3">
      <c r="A380" s="15" t="str">
        <f>IF(COUNTA($B380:$E380,$K380)=0,"",IF(AND($B380&lt;&gt;"",$C380&lt;&gt;"",$D380&lt;&gt;"",$E380&lt;&gt;""),"TXS"&amp;TEXT(COUNTIFS($B$2:$B380,"&lt;&gt;",$C$2:$C380,"&lt;&gt;",$D$2:$D380,"&lt;&gt;",$E$2:$E380,"&lt;&gt;"),"00000"),""))</f>
        <v/>
      </c>
      <c r="B380" s="16"/>
      <c r="C380" s="20"/>
      <c r="D380" s="20"/>
      <c r="E380" s="23"/>
      <c r="H380" s="19" t="str">
        <f t="shared" si="24"/>
        <v/>
      </c>
      <c r="I380" s="19" t="str">
        <f t="shared" si="23"/>
        <v/>
      </c>
      <c r="J380" s="19" t="str">
        <f t="shared" si="25"/>
        <v/>
      </c>
      <c r="K380" s="20"/>
      <c r="L380" s="21" t="str">
        <f>IF(OR(NOT(AND($B380&lt;&gt;"",$C380&lt;&gt;"",$D380&lt;&gt;"",$E380&lt;&gt;"")),$A380="",$K380&lt;&gt;"Yes"),"",IF($L380&lt;&gt;"",$L380,INDEX(SETUP!$I$1:$I$2000,MATCH(TRUE,SETUP!$J$1:$J$2000,0)+COUNTIFS($A$2:$A380,"&lt;&gt;",$K$2:$K380,"Yes",$L$2:$L380,"")-1)))</f>
        <v/>
      </c>
      <c r="N380" s="22"/>
    </row>
    <row r="381" spans="1:14" x14ac:dyDescent="0.3">
      <c r="A381" s="15" t="str">
        <f>IF(COUNTA($B381:$E381,$K381)=0,"",IF(AND($B381&lt;&gt;"",$C381&lt;&gt;"",$D381&lt;&gt;"",$E381&lt;&gt;""),"TXS"&amp;TEXT(COUNTIFS($B$2:$B381,"&lt;&gt;",$C$2:$C381,"&lt;&gt;",$D$2:$D381,"&lt;&gt;",$E$2:$E381,"&lt;&gt;"),"00000"),""))</f>
        <v/>
      </c>
      <c r="B381" s="16"/>
      <c r="C381" s="20"/>
      <c r="D381" s="20"/>
      <c r="E381" s="23"/>
      <c r="H381" s="19" t="str">
        <f t="shared" si="24"/>
        <v/>
      </c>
      <c r="I381" s="19" t="str">
        <f t="shared" si="23"/>
        <v/>
      </c>
      <c r="J381" s="19" t="str">
        <f t="shared" si="25"/>
        <v/>
      </c>
      <c r="K381" s="20"/>
      <c r="L381" s="21" t="str">
        <f>IF(OR(NOT(AND($B381&lt;&gt;"",$C381&lt;&gt;"",$D381&lt;&gt;"",$E381&lt;&gt;"")),$A381="",$K381&lt;&gt;"Yes"),"",IF($L381&lt;&gt;"",$L381,INDEX(SETUP!$I$1:$I$2000,MATCH(TRUE,SETUP!$J$1:$J$2000,0)+COUNTIFS($A$2:$A381,"&lt;&gt;",$K$2:$K381,"Yes",$L$2:$L381,"")-1)))</f>
        <v/>
      </c>
      <c r="N381" s="22"/>
    </row>
    <row r="382" spans="1:14" x14ac:dyDescent="0.3">
      <c r="A382" s="15" t="str">
        <f>IF(COUNTA($B382:$E382,$K382)=0,"",IF(AND($B382&lt;&gt;"",$C382&lt;&gt;"",$D382&lt;&gt;"",$E382&lt;&gt;""),"TXS"&amp;TEXT(COUNTIFS($B$2:$B382,"&lt;&gt;",$C$2:$C382,"&lt;&gt;",$D$2:$D382,"&lt;&gt;",$E$2:$E382,"&lt;&gt;"),"00000"),""))</f>
        <v/>
      </c>
      <c r="B382" s="16"/>
      <c r="C382" s="20"/>
      <c r="D382" s="20"/>
      <c r="E382" s="23"/>
      <c r="H382" s="19" t="str">
        <f t="shared" si="24"/>
        <v/>
      </c>
      <c r="I382" s="19" t="str">
        <f t="shared" si="23"/>
        <v/>
      </c>
      <c r="J382" s="19" t="str">
        <f t="shared" si="25"/>
        <v/>
      </c>
      <c r="K382" s="20"/>
      <c r="L382" s="21" t="str">
        <f>IF(OR(NOT(AND($B382&lt;&gt;"",$C382&lt;&gt;"",$D382&lt;&gt;"",$E382&lt;&gt;"")),$A382="",$K382&lt;&gt;"Yes"),"",IF($L382&lt;&gt;"",$L382,INDEX(SETUP!$I$1:$I$2000,MATCH(TRUE,SETUP!$J$1:$J$2000,0)+COUNTIFS($A$2:$A382,"&lt;&gt;",$K$2:$K382,"Yes",$L$2:$L382,"")-1)))</f>
        <v/>
      </c>
      <c r="N382" s="22"/>
    </row>
    <row r="383" spans="1:14" x14ac:dyDescent="0.3">
      <c r="A383" s="15" t="str">
        <f>IF(COUNTA($B383:$E383,$K383)=0,"",IF(AND($B383&lt;&gt;"",$C383&lt;&gt;"",$D383&lt;&gt;"",$E383&lt;&gt;""),"TXS"&amp;TEXT(COUNTIFS($B$2:$B383,"&lt;&gt;",$C$2:$C383,"&lt;&gt;",$D$2:$D383,"&lt;&gt;",$E$2:$E383,"&lt;&gt;"),"00000"),""))</f>
        <v/>
      </c>
      <c r="B383" s="16"/>
      <c r="C383" s="20"/>
      <c r="D383" s="20"/>
      <c r="E383" s="23"/>
      <c r="H383" s="19" t="str">
        <f t="shared" si="24"/>
        <v/>
      </c>
      <c r="I383" s="19" t="str">
        <f t="shared" si="23"/>
        <v/>
      </c>
      <c r="J383" s="19" t="str">
        <f t="shared" si="25"/>
        <v/>
      </c>
      <c r="K383" s="20"/>
      <c r="L383" s="21" t="str">
        <f>IF(OR(NOT(AND($B383&lt;&gt;"",$C383&lt;&gt;"",$D383&lt;&gt;"",$E383&lt;&gt;"")),$A383="",$K383&lt;&gt;"Yes"),"",IF($L383&lt;&gt;"",$L383,INDEX(SETUP!$I$1:$I$2000,MATCH(TRUE,SETUP!$J$1:$J$2000,0)+COUNTIFS($A$2:$A383,"&lt;&gt;",$K$2:$K383,"Yes",$L$2:$L383,"")-1)))</f>
        <v/>
      </c>
      <c r="N383" s="22"/>
    </row>
    <row r="384" spans="1:14" x14ac:dyDescent="0.3">
      <c r="A384" s="15" t="str">
        <f>IF(COUNTA($B384:$E384,$K384)=0,"",IF(AND($B384&lt;&gt;"",$C384&lt;&gt;"",$D384&lt;&gt;"",$E384&lt;&gt;""),"TXS"&amp;TEXT(COUNTIFS($B$2:$B384,"&lt;&gt;",$C$2:$C384,"&lt;&gt;",$D$2:$D384,"&lt;&gt;",$E$2:$E384,"&lt;&gt;"),"00000"),""))</f>
        <v/>
      </c>
      <c r="B384" s="16"/>
      <c r="C384" s="20"/>
      <c r="D384" s="20"/>
      <c r="E384" s="23"/>
      <c r="H384" s="19" t="str">
        <f t="shared" si="24"/>
        <v/>
      </c>
      <c r="I384" s="19" t="str">
        <f t="shared" si="23"/>
        <v/>
      </c>
      <c r="J384" s="19" t="str">
        <f t="shared" si="25"/>
        <v/>
      </c>
      <c r="K384" s="20"/>
      <c r="L384" s="21" t="str">
        <f>IF(OR(NOT(AND($B384&lt;&gt;"",$C384&lt;&gt;"",$D384&lt;&gt;"",$E384&lt;&gt;"")),$A384="",$K384&lt;&gt;"Yes"),"",IF($L384&lt;&gt;"",$L384,INDEX(SETUP!$I$1:$I$2000,MATCH(TRUE,SETUP!$J$1:$J$2000,0)+COUNTIFS($A$2:$A384,"&lt;&gt;",$K$2:$K384,"Yes",$L$2:$L384,"")-1)))</f>
        <v/>
      </c>
      <c r="N384" s="22"/>
    </row>
    <row r="385" spans="1:14" x14ac:dyDescent="0.3">
      <c r="A385" s="15" t="str">
        <f>IF(COUNTA($B385:$E385,$K385)=0,"",IF(AND($B385&lt;&gt;"",$C385&lt;&gt;"",$D385&lt;&gt;"",$E385&lt;&gt;""),"TXS"&amp;TEXT(COUNTIFS($B$2:$B385,"&lt;&gt;",$C$2:$C385,"&lt;&gt;",$D$2:$D385,"&lt;&gt;",$E$2:$E385,"&lt;&gt;"),"00000"),""))</f>
        <v/>
      </c>
      <c r="B385" s="16"/>
      <c r="C385" s="20"/>
      <c r="D385" s="20"/>
      <c r="E385" s="23"/>
      <c r="H385" s="19" t="str">
        <f t="shared" si="24"/>
        <v/>
      </c>
      <c r="I385" s="19" t="str">
        <f t="shared" si="23"/>
        <v/>
      </c>
      <c r="J385" s="19" t="str">
        <f t="shared" si="25"/>
        <v/>
      </c>
      <c r="K385" s="20"/>
      <c r="L385" s="21" t="str">
        <f>IF(OR(NOT(AND($B385&lt;&gt;"",$C385&lt;&gt;"",$D385&lt;&gt;"",$E385&lt;&gt;"")),$A385="",$K385&lt;&gt;"Yes"),"",IF($L385&lt;&gt;"",$L385,INDEX(SETUP!$I$1:$I$2000,MATCH(TRUE,SETUP!$J$1:$J$2000,0)+COUNTIFS($A$2:$A385,"&lt;&gt;",$K$2:$K385,"Yes",$L$2:$L385,"")-1)))</f>
        <v/>
      </c>
      <c r="N385" s="22"/>
    </row>
    <row r="386" spans="1:14" x14ac:dyDescent="0.3">
      <c r="A386" s="15" t="str">
        <f>IF(COUNTA($B386:$E386,$K386)=0,"",IF(AND($B386&lt;&gt;"",$C386&lt;&gt;"",$D386&lt;&gt;"",$E386&lt;&gt;""),"TXS"&amp;TEXT(COUNTIFS($B$2:$B386,"&lt;&gt;",$C$2:$C386,"&lt;&gt;",$D$2:$D386,"&lt;&gt;",$E$2:$E386,"&lt;&gt;"),"00000"),""))</f>
        <v/>
      </c>
      <c r="B386" s="16"/>
      <c r="C386" s="20"/>
      <c r="D386" s="20"/>
      <c r="E386" s="23"/>
      <c r="H386" s="19" t="str">
        <f t="shared" si="24"/>
        <v/>
      </c>
      <c r="I386" s="19" t="str">
        <f t="shared" si="23"/>
        <v/>
      </c>
      <c r="J386" s="19" t="str">
        <f t="shared" si="25"/>
        <v/>
      </c>
      <c r="K386" s="20"/>
      <c r="L386" s="21" t="str">
        <f>IF(OR(NOT(AND($B386&lt;&gt;"",$C386&lt;&gt;"",$D386&lt;&gt;"",$E386&lt;&gt;"")),$A386="",$K386&lt;&gt;"Yes"),"",IF($L386&lt;&gt;"",$L386,INDEX(SETUP!$I$1:$I$2000,MATCH(TRUE,SETUP!$J$1:$J$2000,0)+COUNTIFS($A$2:$A386,"&lt;&gt;",$K$2:$K386,"Yes",$L$2:$L386,"")-1)))</f>
        <v/>
      </c>
      <c r="N386" s="22"/>
    </row>
    <row r="387" spans="1:14" x14ac:dyDescent="0.3">
      <c r="A387" s="15" t="str">
        <f>IF(COUNTA($B387:$E387,$K387)=0,"",IF(AND($B387&lt;&gt;"",$C387&lt;&gt;"",$D387&lt;&gt;"",$E387&lt;&gt;""),"TXS"&amp;TEXT(COUNTIFS($B$2:$B387,"&lt;&gt;",$C$2:$C387,"&lt;&gt;",$D$2:$D387,"&lt;&gt;",$E$2:$E387,"&lt;&gt;"),"00000"),""))</f>
        <v/>
      </c>
      <c r="B387" s="16"/>
      <c r="C387" s="20"/>
      <c r="D387" s="20"/>
      <c r="E387" s="23"/>
      <c r="H387" s="19" t="str">
        <f t="shared" si="24"/>
        <v/>
      </c>
      <c r="I387" s="19" t="str">
        <f t="shared" si="23"/>
        <v/>
      </c>
      <c r="J387" s="19" t="str">
        <f t="shared" si="25"/>
        <v/>
      </c>
      <c r="K387" s="20"/>
      <c r="L387" s="21" t="str">
        <f>IF(OR(NOT(AND($B387&lt;&gt;"",$C387&lt;&gt;"",$D387&lt;&gt;"",$E387&lt;&gt;"")),$A387="",$K387&lt;&gt;"Yes"),"",IF($L387&lt;&gt;"",$L387,INDEX(SETUP!$I$1:$I$2000,MATCH(TRUE,SETUP!$J$1:$J$2000,0)+COUNTIFS($A$2:$A387,"&lt;&gt;",$K$2:$K387,"Yes",$L$2:$L387,"")-1)))</f>
        <v/>
      </c>
      <c r="N387" s="22"/>
    </row>
    <row r="388" spans="1:14" x14ac:dyDescent="0.3">
      <c r="A388" s="15" t="str">
        <f>IF(COUNTA($B388:$E388,$K388)=0,"",IF(AND($B388&lt;&gt;"",$C388&lt;&gt;"",$D388&lt;&gt;"",$E388&lt;&gt;""),"TXS"&amp;TEXT(COUNTIFS($B$2:$B388,"&lt;&gt;",$C$2:$C388,"&lt;&gt;",$D$2:$D388,"&lt;&gt;",$E$2:$E388,"&lt;&gt;"),"00000"),""))</f>
        <v/>
      </c>
      <c r="B388" s="16"/>
      <c r="C388" s="20"/>
      <c r="D388" s="20"/>
      <c r="E388" s="23"/>
      <c r="H388" s="19" t="str">
        <f t="shared" si="24"/>
        <v/>
      </c>
      <c r="I388" s="19" t="str">
        <f t="shared" si="23"/>
        <v/>
      </c>
      <c r="J388" s="19" t="str">
        <f t="shared" si="25"/>
        <v/>
      </c>
      <c r="K388" s="20"/>
      <c r="L388" s="21" t="str">
        <f>IF(OR(NOT(AND($B388&lt;&gt;"",$C388&lt;&gt;"",$D388&lt;&gt;"",$E388&lt;&gt;"")),$A388="",$K388&lt;&gt;"Yes"),"",IF($L388&lt;&gt;"",$L388,INDEX(SETUP!$I$1:$I$2000,MATCH(TRUE,SETUP!$J$1:$J$2000,0)+COUNTIFS($A$2:$A388,"&lt;&gt;",$K$2:$K388,"Yes",$L$2:$L388,"")-1)))</f>
        <v/>
      </c>
      <c r="N388" s="22"/>
    </row>
    <row r="389" spans="1:14" x14ac:dyDescent="0.3">
      <c r="A389" s="15" t="str">
        <f>IF(COUNTA($B389:$E389,$K389)=0,"",IF(AND($B389&lt;&gt;"",$C389&lt;&gt;"",$D389&lt;&gt;"",$E389&lt;&gt;""),"TXS"&amp;TEXT(COUNTIFS($B$2:$B389,"&lt;&gt;",$C$2:$C389,"&lt;&gt;",$D$2:$D389,"&lt;&gt;",$E$2:$E389,"&lt;&gt;"),"00000"),""))</f>
        <v/>
      </c>
      <c r="B389" s="16"/>
      <c r="C389" s="20"/>
      <c r="D389" s="20"/>
      <c r="E389" s="23"/>
      <c r="H389" s="19" t="str">
        <f t="shared" si="24"/>
        <v/>
      </c>
      <c r="I389" s="19" t="str">
        <f t="shared" si="23"/>
        <v/>
      </c>
      <c r="J389" s="19" t="str">
        <f t="shared" si="25"/>
        <v/>
      </c>
      <c r="K389" s="20"/>
      <c r="L389" s="21" t="str">
        <f>IF(OR(NOT(AND($B389&lt;&gt;"",$C389&lt;&gt;"",$D389&lt;&gt;"",$E389&lt;&gt;"")),$A389="",$K389&lt;&gt;"Yes"),"",IF($L389&lt;&gt;"",$L389,INDEX(SETUP!$I$1:$I$2000,MATCH(TRUE,SETUP!$J$1:$J$2000,0)+COUNTIFS($A$2:$A389,"&lt;&gt;",$K$2:$K389,"Yes",$L$2:$L389,"")-1)))</f>
        <v/>
      </c>
      <c r="N389" s="22"/>
    </row>
    <row r="390" spans="1:14" x14ac:dyDescent="0.3">
      <c r="A390" s="15" t="str">
        <f>IF(COUNTA($B390:$E390,$K390)=0,"",IF(AND($B390&lt;&gt;"",$C390&lt;&gt;"",$D390&lt;&gt;"",$E390&lt;&gt;""),"TXS"&amp;TEXT(COUNTIFS($B$2:$B390,"&lt;&gt;",$C$2:$C390,"&lt;&gt;",$D$2:$D390,"&lt;&gt;",$E$2:$E390,"&lt;&gt;"),"00000"),""))</f>
        <v/>
      </c>
      <c r="B390" s="16"/>
      <c r="C390" s="20"/>
      <c r="D390" s="20"/>
      <c r="E390" s="23"/>
      <c r="H390" s="19" t="str">
        <f t="shared" si="24"/>
        <v/>
      </c>
      <c r="I390" s="19" t="str">
        <f t="shared" si="23"/>
        <v/>
      </c>
      <c r="J390" s="19" t="str">
        <f t="shared" si="25"/>
        <v/>
      </c>
      <c r="K390" s="20"/>
      <c r="L390" s="21" t="str">
        <f>IF(OR(NOT(AND($B390&lt;&gt;"",$C390&lt;&gt;"",$D390&lt;&gt;"",$E390&lt;&gt;"")),$A390="",$K390&lt;&gt;"Yes"),"",IF($L390&lt;&gt;"",$L390,INDEX(SETUP!$I$1:$I$2000,MATCH(TRUE,SETUP!$J$1:$J$2000,0)+COUNTIFS($A$2:$A390,"&lt;&gt;",$K$2:$K390,"Yes",$L$2:$L390,"")-1)))</f>
        <v/>
      </c>
      <c r="N390" s="22"/>
    </row>
    <row r="391" spans="1:14" x14ac:dyDescent="0.3">
      <c r="A391" s="15" t="str">
        <f>IF(COUNTA($B391:$E391,$K391)=0,"",IF(AND($B391&lt;&gt;"",$C391&lt;&gt;"",$D391&lt;&gt;"",$E391&lt;&gt;""),"TXS"&amp;TEXT(COUNTIFS($B$2:$B391,"&lt;&gt;",$C$2:$C391,"&lt;&gt;",$D$2:$D391,"&lt;&gt;",$E$2:$E391,"&lt;&gt;"),"00000"),""))</f>
        <v/>
      </c>
      <c r="B391" s="16"/>
      <c r="C391" s="20"/>
      <c r="D391" s="20"/>
      <c r="E391" s="23"/>
      <c r="H391" s="19" t="str">
        <f t="shared" si="24"/>
        <v/>
      </c>
      <c r="I391" s="19" t="str">
        <f t="shared" si="23"/>
        <v/>
      </c>
      <c r="J391" s="19" t="str">
        <f t="shared" si="25"/>
        <v/>
      </c>
      <c r="K391" s="20"/>
      <c r="L391" s="21" t="str">
        <f>IF(OR(NOT(AND($B391&lt;&gt;"",$C391&lt;&gt;"",$D391&lt;&gt;"",$E391&lt;&gt;"")),$A391="",$K391&lt;&gt;"Yes"),"",IF($L391&lt;&gt;"",$L391,INDEX(SETUP!$I$1:$I$2000,MATCH(TRUE,SETUP!$J$1:$J$2000,0)+COUNTIFS($A$2:$A391,"&lt;&gt;",$K$2:$K391,"Yes",$L$2:$L391,"")-1)))</f>
        <v/>
      </c>
      <c r="N391" s="22"/>
    </row>
    <row r="392" spans="1:14" x14ac:dyDescent="0.3">
      <c r="A392" s="15" t="str">
        <f>IF(COUNTA($B392:$E392,$K392)=0,"",IF(AND($B392&lt;&gt;"",$C392&lt;&gt;"",$D392&lt;&gt;"",$E392&lt;&gt;""),"TXS"&amp;TEXT(COUNTIFS($B$2:$B392,"&lt;&gt;",$C$2:$C392,"&lt;&gt;",$D$2:$D392,"&lt;&gt;",$E$2:$E392,"&lt;&gt;"),"00000"),""))</f>
        <v/>
      </c>
      <c r="B392" s="16"/>
      <c r="C392" s="20"/>
      <c r="D392" s="20"/>
      <c r="E392" s="23"/>
      <c r="H392" s="19" t="str">
        <f t="shared" si="24"/>
        <v/>
      </c>
      <c r="I392" s="19" t="str">
        <f t="shared" si="23"/>
        <v/>
      </c>
      <c r="J392" s="19" t="str">
        <f t="shared" si="25"/>
        <v/>
      </c>
      <c r="K392" s="20"/>
      <c r="L392" s="21" t="str">
        <f>IF(OR(NOT(AND($B392&lt;&gt;"",$C392&lt;&gt;"",$D392&lt;&gt;"",$E392&lt;&gt;"")),$A392="",$K392&lt;&gt;"Yes"),"",IF($L392&lt;&gt;"",$L392,INDEX(SETUP!$I$1:$I$2000,MATCH(TRUE,SETUP!$J$1:$J$2000,0)+COUNTIFS($A$2:$A392,"&lt;&gt;",$K$2:$K392,"Yes",$L$2:$L392,"")-1)))</f>
        <v/>
      </c>
      <c r="N392" s="22"/>
    </row>
    <row r="393" spans="1:14" x14ac:dyDescent="0.3">
      <c r="A393" s="15" t="str">
        <f>IF(COUNTA($B393:$E393,$K393)=0,"",IF(AND($B393&lt;&gt;"",$C393&lt;&gt;"",$D393&lt;&gt;"",$E393&lt;&gt;""),"TXS"&amp;TEXT(COUNTIFS($B$2:$B393,"&lt;&gt;",$C$2:$C393,"&lt;&gt;",$D$2:$D393,"&lt;&gt;",$E$2:$E393,"&lt;&gt;"),"00000"),""))</f>
        <v/>
      </c>
      <c r="B393" s="16"/>
      <c r="C393" s="20"/>
      <c r="D393" s="20"/>
      <c r="E393" s="23"/>
      <c r="H393" s="19" t="str">
        <f t="shared" si="24"/>
        <v/>
      </c>
      <c r="I393" s="19" t="str">
        <f t="shared" si="23"/>
        <v/>
      </c>
      <c r="J393" s="19" t="str">
        <f t="shared" si="25"/>
        <v/>
      </c>
      <c r="K393" s="20"/>
      <c r="L393" s="21" t="str">
        <f>IF(OR(NOT(AND($B393&lt;&gt;"",$C393&lt;&gt;"",$D393&lt;&gt;"",$E393&lt;&gt;"")),$A393="",$K393&lt;&gt;"Yes"),"",IF($L393&lt;&gt;"",$L393,INDEX(SETUP!$I$1:$I$2000,MATCH(TRUE,SETUP!$J$1:$J$2000,0)+COUNTIFS($A$2:$A393,"&lt;&gt;",$K$2:$K393,"Yes",$L$2:$L393,"")-1)))</f>
        <v/>
      </c>
      <c r="N393" s="22"/>
    </row>
    <row r="394" spans="1:14" x14ac:dyDescent="0.3">
      <c r="A394" s="15" t="str">
        <f>IF(COUNTA($B394:$E394,$K394)=0,"",IF(AND($B394&lt;&gt;"",$C394&lt;&gt;"",$D394&lt;&gt;"",$E394&lt;&gt;""),"TXS"&amp;TEXT(COUNTIFS($B$2:$B394,"&lt;&gt;",$C$2:$C394,"&lt;&gt;",$D$2:$D394,"&lt;&gt;",$E$2:$E394,"&lt;&gt;"),"00000"),""))</f>
        <v/>
      </c>
      <c r="B394" s="16"/>
      <c r="C394" s="20"/>
      <c r="D394" s="20"/>
      <c r="E394" s="23"/>
      <c r="H394" s="19" t="str">
        <f t="shared" si="24"/>
        <v/>
      </c>
      <c r="I394" s="19" t="str">
        <f t="shared" si="23"/>
        <v/>
      </c>
      <c r="J394" s="19" t="str">
        <f t="shared" si="25"/>
        <v/>
      </c>
      <c r="K394" s="20"/>
      <c r="L394" s="21" t="str">
        <f>IF(OR(NOT(AND($B394&lt;&gt;"",$C394&lt;&gt;"",$D394&lt;&gt;"",$E394&lt;&gt;"")),$A394="",$K394&lt;&gt;"Yes"),"",IF($L394&lt;&gt;"",$L394,INDEX(SETUP!$I$1:$I$2000,MATCH(TRUE,SETUP!$J$1:$J$2000,0)+COUNTIFS($A$2:$A394,"&lt;&gt;",$K$2:$K394,"Yes",$L$2:$L394,"")-1)))</f>
        <v/>
      </c>
      <c r="N394" s="22"/>
    </row>
    <row r="395" spans="1:14" x14ac:dyDescent="0.3">
      <c r="A395" s="15" t="str">
        <f>IF(COUNTA($B395:$E395,$K395)=0,"",IF(AND($B395&lt;&gt;"",$C395&lt;&gt;"",$D395&lt;&gt;"",$E395&lt;&gt;""),"TXS"&amp;TEXT(COUNTIFS($B$2:$B395,"&lt;&gt;",$C$2:$C395,"&lt;&gt;",$D$2:$D395,"&lt;&gt;",$E$2:$E395,"&lt;&gt;"),"00000"),""))</f>
        <v/>
      </c>
      <c r="B395" s="16"/>
      <c r="C395" s="20"/>
      <c r="D395" s="20"/>
      <c r="E395" s="23"/>
      <c r="H395" s="19" t="str">
        <f t="shared" si="24"/>
        <v/>
      </c>
      <c r="I395" s="19" t="str">
        <f t="shared" si="23"/>
        <v/>
      </c>
      <c r="J395" s="19" t="str">
        <f t="shared" si="25"/>
        <v/>
      </c>
      <c r="K395" s="20"/>
      <c r="L395" s="21" t="str">
        <f>IF(OR(NOT(AND($B395&lt;&gt;"",$C395&lt;&gt;"",$D395&lt;&gt;"",$E395&lt;&gt;"")),$A395="",$K395&lt;&gt;"Yes"),"",IF($L395&lt;&gt;"",$L395,INDEX(SETUP!$I$1:$I$2000,MATCH(TRUE,SETUP!$J$1:$J$2000,0)+COUNTIFS($A$2:$A395,"&lt;&gt;",$K$2:$K395,"Yes",$L$2:$L395,"")-1)))</f>
        <v/>
      </c>
      <c r="N395" s="22"/>
    </row>
    <row r="396" spans="1:14" x14ac:dyDescent="0.3">
      <c r="A396" s="15" t="str">
        <f>IF(COUNTA($B396:$E396,$K396)=0,"",IF(AND($B396&lt;&gt;"",$C396&lt;&gt;"",$D396&lt;&gt;"",$E396&lt;&gt;""),"TXS"&amp;TEXT(COUNTIFS($B$2:$B396,"&lt;&gt;",$C$2:$C396,"&lt;&gt;",$D$2:$D396,"&lt;&gt;",$E$2:$E396,"&lt;&gt;"),"00000"),""))</f>
        <v/>
      </c>
      <c r="B396" s="16"/>
      <c r="C396" s="20"/>
      <c r="D396" s="20"/>
      <c r="E396" s="23"/>
      <c r="H396" s="19" t="str">
        <f t="shared" si="24"/>
        <v/>
      </c>
      <c r="I396" s="19" t="str">
        <f t="shared" si="23"/>
        <v/>
      </c>
      <c r="J396" s="19" t="str">
        <f t="shared" si="25"/>
        <v/>
      </c>
      <c r="K396" s="20"/>
      <c r="L396" s="21" t="str">
        <f>IF(OR(NOT(AND($B396&lt;&gt;"",$C396&lt;&gt;"",$D396&lt;&gt;"",$E396&lt;&gt;"")),$A396="",$K396&lt;&gt;"Yes"),"",IF($L396&lt;&gt;"",$L396,INDEX(SETUP!$I$1:$I$2000,MATCH(TRUE,SETUP!$J$1:$J$2000,0)+COUNTIFS($A$2:$A396,"&lt;&gt;",$K$2:$K396,"Yes",$L$2:$L396,"")-1)))</f>
        <v/>
      </c>
      <c r="N396" s="22"/>
    </row>
    <row r="397" spans="1:14" x14ac:dyDescent="0.3">
      <c r="A397" s="15" t="str">
        <f>IF(COUNTA($B397:$E397,$K397)=0,"",IF(AND($B397&lt;&gt;"",$C397&lt;&gt;"",$D397&lt;&gt;"",$E397&lt;&gt;""),"TXS"&amp;TEXT(COUNTIFS($B$2:$B397,"&lt;&gt;",$C$2:$C397,"&lt;&gt;",$D$2:$D397,"&lt;&gt;",$E$2:$E397,"&lt;&gt;"),"00000"),""))</f>
        <v/>
      </c>
      <c r="B397" s="16"/>
      <c r="C397" s="20"/>
      <c r="D397" s="20"/>
      <c r="E397" s="23"/>
      <c r="H397" s="19" t="str">
        <f t="shared" si="24"/>
        <v/>
      </c>
      <c r="I397" s="19" t="str">
        <f t="shared" si="23"/>
        <v/>
      </c>
      <c r="J397" s="19" t="str">
        <f t="shared" si="25"/>
        <v/>
      </c>
      <c r="K397" s="20"/>
      <c r="L397" s="21" t="str">
        <f>IF(OR(NOT(AND($B397&lt;&gt;"",$C397&lt;&gt;"",$D397&lt;&gt;"",$E397&lt;&gt;"")),$A397="",$K397&lt;&gt;"Yes"),"",IF($L397&lt;&gt;"",$L397,INDEX(SETUP!$I$1:$I$2000,MATCH(TRUE,SETUP!$J$1:$J$2000,0)+COUNTIFS($A$2:$A397,"&lt;&gt;",$K$2:$K397,"Yes",$L$2:$L397,"")-1)))</f>
        <v/>
      </c>
      <c r="N397" s="22"/>
    </row>
    <row r="398" spans="1:14" x14ac:dyDescent="0.3">
      <c r="A398" s="15" t="str">
        <f>IF(COUNTA($B398:$E398,$K398)=0,"",IF(AND($B398&lt;&gt;"",$C398&lt;&gt;"",$D398&lt;&gt;"",$E398&lt;&gt;""),"TXS"&amp;TEXT(COUNTIFS($B$2:$B398,"&lt;&gt;",$C$2:$C398,"&lt;&gt;",$D$2:$D398,"&lt;&gt;",$E$2:$E398,"&lt;&gt;"),"00000"),""))</f>
        <v/>
      </c>
      <c r="B398" s="16"/>
      <c r="C398" s="20"/>
      <c r="D398" s="20"/>
      <c r="E398" s="23"/>
      <c r="H398" s="19" t="str">
        <f t="shared" si="24"/>
        <v/>
      </c>
      <c r="I398" s="19" t="str">
        <f t="shared" si="23"/>
        <v/>
      </c>
      <c r="J398" s="19" t="str">
        <f t="shared" si="25"/>
        <v/>
      </c>
      <c r="K398" s="20"/>
      <c r="L398" s="21" t="str">
        <f>IF(OR(NOT(AND($B398&lt;&gt;"",$C398&lt;&gt;"",$D398&lt;&gt;"",$E398&lt;&gt;"")),$A398="",$K398&lt;&gt;"Yes"),"",IF($L398&lt;&gt;"",$L398,INDEX(SETUP!$I$1:$I$2000,MATCH(TRUE,SETUP!$J$1:$J$2000,0)+COUNTIFS($A$2:$A398,"&lt;&gt;",$K$2:$K398,"Yes",$L$2:$L398,"")-1)))</f>
        <v/>
      </c>
      <c r="N398" s="22"/>
    </row>
    <row r="399" spans="1:14" x14ac:dyDescent="0.3">
      <c r="A399" s="15" t="str">
        <f>IF(COUNTA($B399:$E399,$K399)=0,"",IF(AND($B399&lt;&gt;"",$C399&lt;&gt;"",$D399&lt;&gt;"",$E399&lt;&gt;""),"TXS"&amp;TEXT(COUNTIFS($B$2:$B399,"&lt;&gt;",$C$2:$C399,"&lt;&gt;",$D$2:$D399,"&lt;&gt;",$E$2:$E399,"&lt;&gt;"),"00000"),""))</f>
        <v/>
      </c>
      <c r="B399" s="16"/>
      <c r="C399" s="20"/>
      <c r="D399" s="20"/>
      <c r="E399" s="23"/>
      <c r="H399" s="19" t="str">
        <f t="shared" si="24"/>
        <v/>
      </c>
      <c r="I399" s="19" t="str">
        <f t="shared" si="23"/>
        <v/>
      </c>
      <c r="J399" s="19" t="str">
        <f t="shared" si="25"/>
        <v/>
      </c>
      <c r="K399" s="20"/>
      <c r="L399" s="21" t="str">
        <f>IF(OR(NOT(AND($B399&lt;&gt;"",$C399&lt;&gt;"",$D399&lt;&gt;"",$E399&lt;&gt;"")),$A399="",$K399&lt;&gt;"Yes"),"",IF($L399&lt;&gt;"",$L399,INDEX(SETUP!$I$1:$I$2000,MATCH(TRUE,SETUP!$J$1:$J$2000,0)+COUNTIFS($A$2:$A399,"&lt;&gt;",$K$2:$K399,"Yes",$L$2:$L399,"")-1)))</f>
        <v/>
      </c>
      <c r="N399" s="22"/>
    </row>
    <row r="400" spans="1:14" x14ac:dyDescent="0.3">
      <c r="A400" s="15" t="str">
        <f>IF(COUNTA($B400:$E400,$K400)=0,"",IF(AND($B400&lt;&gt;"",$C400&lt;&gt;"",$D400&lt;&gt;"",$E400&lt;&gt;""),"TXS"&amp;TEXT(COUNTIFS($B$2:$B400,"&lt;&gt;",$C$2:$C400,"&lt;&gt;",$D$2:$D400,"&lt;&gt;",$E$2:$E400,"&lt;&gt;"),"00000"),""))</f>
        <v/>
      </c>
      <c r="B400" s="16"/>
      <c r="C400" s="20"/>
      <c r="D400" s="20"/>
      <c r="E400" s="23"/>
      <c r="H400" s="19" t="str">
        <f t="shared" si="24"/>
        <v/>
      </c>
      <c r="I400" s="19" t="str">
        <f t="shared" si="23"/>
        <v/>
      </c>
      <c r="J400" s="19" t="str">
        <f t="shared" si="25"/>
        <v/>
      </c>
      <c r="K400" s="20"/>
      <c r="L400" s="21" t="str">
        <f>IF(OR(NOT(AND($B400&lt;&gt;"",$C400&lt;&gt;"",$D400&lt;&gt;"",$E400&lt;&gt;"")),$A400="",$K400&lt;&gt;"Yes"),"",IF($L400&lt;&gt;"",$L400,INDEX(SETUP!$I$1:$I$2000,MATCH(TRUE,SETUP!$J$1:$J$2000,0)+COUNTIFS($A$2:$A400,"&lt;&gt;",$K$2:$K400,"Yes",$L$2:$L400,"")-1)))</f>
        <v/>
      </c>
      <c r="N400" s="22"/>
    </row>
    <row r="401" spans="1:14" x14ac:dyDescent="0.3">
      <c r="A401" s="15" t="str">
        <f>IF(COUNTA($B401:$E401,$K401)=0,"",IF(AND($B401&lt;&gt;"",$C401&lt;&gt;"",$D401&lt;&gt;"",$E401&lt;&gt;""),"TXS"&amp;TEXT(COUNTIFS($B$2:$B401,"&lt;&gt;",$C$2:$C401,"&lt;&gt;",$D$2:$D401,"&lt;&gt;",$E$2:$E401,"&lt;&gt;"),"00000"),""))</f>
        <v/>
      </c>
      <c r="B401" s="16"/>
      <c r="C401" s="20"/>
      <c r="D401" s="20"/>
      <c r="E401" s="23"/>
      <c r="H401" s="19" t="str">
        <f t="shared" si="24"/>
        <v/>
      </c>
      <c r="I401" s="19" t="str">
        <f t="shared" si="23"/>
        <v/>
      </c>
      <c r="J401" s="19" t="str">
        <f t="shared" si="25"/>
        <v/>
      </c>
      <c r="K401" s="20"/>
      <c r="L401" s="21" t="str">
        <f>IF(OR(NOT(AND($B401&lt;&gt;"",$C401&lt;&gt;"",$D401&lt;&gt;"",$E401&lt;&gt;"")),$A401="",$K401&lt;&gt;"Yes"),"",IF($L401&lt;&gt;"",$L401,INDEX(SETUP!$I$1:$I$2000,MATCH(TRUE,SETUP!$J$1:$J$2000,0)+COUNTIFS($A$2:$A401,"&lt;&gt;",$K$2:$K401,"Yes",$L$2:$L401,"")-1)))</f>
        <v/>
      </c>
      <c r="N401" s="22"/>
    </row>
    <row r="402" spans="1:14" x14ac:dyDescent="0.3">
      <c r="A402" s="15" t="str">
        <f>IF(COUNTA($B402:$E402,$K402)=0,"",IF(AND($B402&lt;&gt;"",$C402&lt;&gt;"",$D402&lt;&gt;"",$E402&lt;&gt;""),"TXS"&amp;TEXT(COUNTIFS($B$2:$B402,"&lt;&gt;",$C$2:$C402,"&lt;&gt;",$D$2:$D402,"&lt;&gt;",$E$2:$E402,"&lt;&gt;"),"00000"),""))</f>
        <v/>
      </c>
      <c r="B402" s="16"/>
      <c r="C402" s="20"/>
      <c r="D402" s="20"/>
      <c r="E402" s="23"/>
      <c r="H402" s="19" t="str">
        <f t="shared" si="24"/>
        <v/>
      </c>
      <c r="I402" s="19" t="str">
        <f t="shared" si="23"/>
        <v/>
      </c>
      <c r="J402" s="19" t="str">
        <f t="shared" si="25"/>
        <v/>
      </c>
      <c r="K402" s="20"/>
      <c r="L402" s="21" t="str">
        <f>IF(OR(NOT(AND($B402&lt;&gt;"",$C402&lt;&gt;"",$D402&lt;&gt;"",$E402&lt;&gt;"")),$A402="",$K402&lt;&gt;"Yes"),"",IF($L402&lt;&gt;"",$L402,INDEX(SETUP!$I$1:$I$2000,MATCH(TRUE,SETUP!$J$1:$J$2000,0)+COUNTIFS($A$2:$A402,"&lt;&gt;",$K$2:$K402,"Yes",$L$2:$L402,"")-1)))</f>
        <v/>
      </c>
      <c r="N402" s="22"/>
    </row>
    <row r="403" spans="1:14" x14ac:dyDescent="0.3">
      <c r="A403" s="15" t="str">
        <f>IF(COUNTA($B403:$E403,$K403)=0,"",IF(AND($B403&lt;&gt;"",$C403&lt;&gt;"",$D403&lt;&gt;"",$E403&lt;&gt;""),"TXS"&amp;TEXT(COUNTIFS($B$2:$B403,"&lt;&gt;",$C$2:$C403,"&lt;&gt;",$D$2:$D403,"&lt;&gt;",$E$2:$E403,"&lt;&gt;"),"00000"),""))</f>
        <v/>
      </c>
      <c r="B403" s="16"/>
      <c r="C403" s="20"/>
      <c r="D403" s="20"/>
      <c r="E403" s="23"/>
      <c r="H403" s="19" t="str">
        <f t="shared" si="24"/>
        <v/>
      </c>
      <c r="I403" s="19" t="str">
        <f t="shared" si="23"/>
        <v/>
      </c>
      <c r="J403" s="19" t="str">
        <f t="shared" si="25"/>
        <v/>
      </c>
      <c r="K403" s="20"/>
      <c r="L403" s="21" t="str">
        <f>IF(OR(NOT(AND($B403&lt;&gt;"",$C403&lt;&gt;"",$D403&lt;&gt;"",$E403&lt;&gt;"")),$A403="",$K403&lt;&gt;"Yes"),"",IF($L403&lt;&gt;"",$L403,INDEX(SETUP!$I$1:$I$2000,MATCH(TRUE,SETUP!$J$1:$J$2000,0)+COUNTIFS($A$2:$A403,"&lt;&gt;",$K$2:$K403,"Yes",$L$2:$L403,"")-1)))</f>
        <v/>
      </c>
      <c r="N403" s="22"/>
    </row>
    <row r="404" spans="1:14" x14ac:dyDescent="0.3">
      <c r="A404" s="15" t="str">
        <f>IF(COUNTA($B404:$E404,$K404)=0,"",IF(AND($B404&lt;&gt;"",$C404&lt;&gt;"",$D404&lt;&gt;"",$E404&lt;&gt;""),"TXS"&amp;TEXT(COUNTIFS($B$2:$B404,"&lt;&gt;",$C$2:$C404,"&lt;&gt;",$D$2:$D404,"&lt;&gt;",$E$2:$E404,"&lt;&gt;"),"00000"),""))</f>
        <v/>
      </c>
      <c r="B404" s="16"/>
      <c r="C404" s="20"/>
      <c r="D404" s="20"/>
      <c r="E404" s="23"/>
      <c r="H404" s="19" t="str">
        <f t="shared" si="24"/>
        <v/>
      </c>
      <c r="I404" s="19" t="str">
        <f t="shared" si="23"/>
        <v/>
      </c>
      <c r="J404" s="19" t="str">
        <f t="shared" si="25"/>
        <v/>
      </c>
      <c r="K404" s="20"/>
      <c r="L404" s="21" t="str">
        <f>IF(OR(NOT(AND($B404&lt;&gt;"",$C404&lt;&gt;"",$D404&lt;&gt;"",$E404&lt;&gt;"")),$A404="",$K404&lt;&gt;"Yes"),"",IF($L404&lt;&gt;"",$L404,INDEX(SETUP!$I$1:$I$2000,MATCH(TRUE,SETUP!$J$1:$J$2000,0)+COUNTIFS($A$2:$A404,"&lt;&gt;",$K$2:$K404,"Yes",$L$2:$L404,"")-1)))</f>
        <v/>
      </c>
      <c r="N404" s="22"/>
    </row>
    <row r="405" spans="1:14" x14ac:dyDescent="0.3">
      <c r="A405" s="15" t="str">
        <f>IF(COUNTA($B405:$E405,$K405)=0,"",IF(AND($B405&lt;&gt;"",$C405&lt;&gt;"",$D405&lt;&gt;"",$E405&lt;&gt;""),"TXS"&amp;TEXT(COUNTIFS($B$2:$B405,"&lt;&gt;",$C$2:$C405,"&lt;&gt;",$D$2:$D405,"&lt;&gt;",$E$2:$E405,"&lt;&gt;"),"00000"),""))</f>
        <v/>
      </c>
      <c r="B405" s="16"/>
      <c r="C405" s="20"/>
      <c r="D405" s="20"/>
      <c r="E405" s="23"/>
      <c r="H405" s="19" t="str">
        <f t="shared" si="24"/>
        <v/>
      </c>
      <c r="I405" s="19" t="str">
        <f t="shared" si="23"/>
        <v/>
      </c>
      <c r="J405" s="19" t="str">
        <f t="shared" si="25"/>
        <v/>
      </c>
      <c r="K405" s="20"/>
      <c r="L405" s="21" t="str">
        <f>IF(OR(NOT(AND($B405&lt;&gt;"",$C405&lt;&gt;"",$D405&lt;&gt;"",$E405&lt;&gt;"")),$A405="",$K405&lt;&gt;"Yes"),"",IF($L405&lt;&gt;"",$L405,INDEX(SETUP!$I$1:$I$2000,MATCH(TRUE,SETUP!$J$1:$J$2000,0)+COUNTIFS($A$2:$A405,"&lt;&gt;",$K$2:$K405,"Yes",$L$2:$L405,"")-1)))</f>
        <v/>
      </c>
      <c r="N405" s="22"/>
    </row>
    <row r="406" spans="1:14" x14ac:dyDescent="0.3">
      <c r="A406" s="15" t="str">
        <f>IF(COUNTA($B406:$E406,$K406)=0,"",IF(AND($B406&lt;&gt;"",$C406&lt;&gt;"",$D406&lt;&gt;"",$E406&lt;&gt;""),"TXS"&amp;TEXT(COUNTIFS($B$2:$B406,"&lt;&gt;",$C$2:$C406,"&lt;&gt;",$D$2:$D406,"&lt;&gt;",$E$2:$E406,"&lt;&gt;"),"00000"),""))</f>
        <v/>
      </c>
      <c r="B406" s="16"/>
      <c r="C406" s="20"/>
      <c r="D406" s="20"/>
      <c r="E406" s="23"/>
      <c r="H406" s="19" t="str">
        <f t="shared" si="24"/>
        <v/>
      </c>
      <c r="I406" s="19" t="str">
        <f t="shared" si="23"/>
        <v/>
      </c>
      <c r="J406" s="19" t="str">
        <f t="shared" si="25"/>
        <v/>
      </c>
      <c r="K406" s="20"/>
      <c r="L406" s="21" t="str">
        <f>IF(OR(NOT(AND($B406&lt;&gt;"",$C406&lt;&gt;"",$D406&lt;&gt;"",$E406&lt;&gt;"")),$A406="",$K406&lt;&gt;"Yes"),"",IF($L406&lt;&gt;"",$L406,INDEX(SETUP!$I$1:$I$2000,MATCH(TRUE,SETUP!$J$1:$J$2000,0)+COUNTIFS($A$2:$A406,"&lt;&gt;",$K$2:$K406,"Yes",$L$2:$L406,"")-1)))</f>
        <v/>
      </c>
      <c r="N406" s="22"/>
    </row>
    <row r="407" spans="1:14" x14ac:dyDescent="0.3">
      <c r="A407" s="15" t="str">
        <f>IF(COUNTA($B407:$E407,$K407)=0,"",IF(AND($B407&lt;&gt;"",$C407&lt;&gt;"",$D407&lt;&gt;"",$E407&lt;&gt;""),"TXS"&amp;TEXT(COUNTIFS($B$2:$B407,"&lt;&gt;",$C$2:$C407,"&lt;&gt;",$D$2:$D407,"&lt;&gt;",$E$2:$E407,"&lt;&gt;"),"00000"),""))</f>
        <v/>
      </c>
      <c r="B407" s="16"/>
      <c r="C407" s="20"/>
      <c r="D407" s="20"/>
      <c r="E407" s="23"/>
      <c r="H407" s="19" t="str">
        <f t="shared" si="24"/>
        <v/>
      </c>
      <c r="I407" s="19" t="str">
        <f t="shared" si="23"/>
        <v/>
      </c>
      <c r="J407" s="19" t="str">
        <f t="shared" si="25"/>
        <v/>
      </c>
      <c r="K407" s="20"/>
      <c r="L407" s="21" t="str">
        <f>IF(OR(NOT(AND($B407&lt;&gt;"",$C407&lt;&gt;"",$D407&lt;&gt;"",$E407&lt;&gt;"")),$A407="",$K407&lt;&gt;"Yes"),"",IF($L407&lt;&gt;"",$L407,INDEX(SETUP!$I$1:$I$2000,MATCH(TRUE,SETUP!$J$1:$J$2000,0)+COUNTIFS($A$2:$A407,"&lt;&gt;",$K$2:$K407,"Yes",$L$2:$L407,"")-1)))</f>
        <v/>
      </c>
      <c r="N407" s="22"/>
    </row>
    <row r="408" spans="1:14" x14ac:dyDescent="0.3">
      <c r="A408" s="15" t="str">
        <f>IF(COUNTA($B408:$E408,$K408)=0,"",IF(AND($B408&lt;&gt;"",$C408&lt;&gt;"",$D408&lt;&gt;"",$E408&lt;&gt;""),"TXS"&amp;TEXT(COUNTIFS($B$2:$B408,"&lt;&gt;",$C$2:$C408,"&lt;&gt;",$D$2:$D408,"&lt;&gt;",$E$2:$E408,"&lt;&gt;"),"00000"),""))</f>
        <v/>
      </c>
      <c r="B408" s="16"/>
      <c r="C408" s="20"/>
      <c r="D408" s="20"/>
      <c r="E408" s="23"/>
      <c r="H408" s="19" t="str">
        <f t="shared" si="24"/>
        <v/>
      </c>
      <c r="I408" s="19" t="str">
        <f t="shared" si="23"/>
        <v/>
      </c>
      <c r="J408" s="19" t="str">
        <f t="shared" si="25"/>
        <v/>
      </c>
      <c r="K408" s="20"/>
      <c r="L408" s="21" t="str">
        <f>IF(OR(NOT(AND($B408&lt;&gt;"",$C408&lt;&gt;"",$D408&lt;&gt;"",$E408&lt;&gt;"")),$A408="",$K408&lt;&gt;"Yes"),"",IF($L408&lt;&gt;"",$L408,INDEX(SETUP!$I$1:$I$2000,MATCH(TRUE,SETUP!$J$1:$J$2000,0)+COUNTIFS($A$2:$A408,"&lt;&gt;",$K$2:$K408,"Yes",$L$2:$L408,"")-1)))</f>
        <v/>
      </c>
      <c r="N408" s="22"/>
    </row>
    <row r="409" spans="1:14" x14ac:dyDescent="0.3">
      <c r="A409" s="15" t="str">
        <f>IF(COUNTA($B409:$E409,$K409)=0,"",IF(AND($B409&lt;&gt;"",$C409&lt;&gt;"",$D409&lt;&gt;"",$E409&lt;&gt;""),"TXS"&amp;TEXT(COUNTIFS($B$2:$B409,"&lt;&gt;",$C$2:$C409,"&lt;&gt;",$D$2:$D409,"&lt;&gt;",$E$2:$E409,"&lt;&gt;"),"00000"),""))</f>
        <v/>
      </c>
      <c r="B409" s="16"/>
      <c r="C409" s="20"/>
      <c r="D409" s="20"/>
      <c r="E409" s="23"/>
      <c r="H409" s="19" t="str">
        <f t="shared" si="24"/>
        <v/>
      </c>
      <c r="I409" s="19" t="str">
        <f t="shared" si="23"/>
        <v/>
      </c>
      <c r="J409" s="19" t="str">
        <f t="shared" si="25"/>
        <v/>
      </c>
      <c r="K409" s="20"/>
      <c r="L409" s="21" t="str">
        <f>IF(OR(NOT(AND($B409&lt;&gt;"",$C409&lt;&gt;"",$D409&lt;&gt;"",$E409&lt;&gt;"")),$A409="",$K409&lt;&gt;"Yes"),"",IF($L409&lt;&gt;"",$L409,INDEX(SETUP!$I$1:$I$2000,MATCH(TRUE,SETUP!$J$1:$J$2000,0)+COUNTIFS($A$2:$A409,"&lt;&gt;",$K$2:$K409,"Yes",$L$2:$L409,"")-1)))</f>
        <v/>
      </c>
      <c r="N409" s="22"/>
    </row>
    <row r="410" spans="1:14" x14ac:dyDescent="0.3">
      <c r="A410" s="15" t="str">
        <f>IF(COUNTA($B410:$E410,$K410)=0,"",IF(AND($B410&lt;&gt;"",$C410&lt;&gt;"",$D410&lt;&gt;"",$E410&lt;&gt;""),"TXS"&amp;TEXT(COUNTIFS($B$2:$B410,"&lt;&gt;",$C$2:$C410,"&lt;&gt;",$D$2:$D410,"&lt;&gt;",$E$2:$E410,"&lt;&gt;"),"00000"),""))</f>
        <v/>
      </c>
      <c r="B410" s="16"/>
      <c r="C410" s="20"/>
      <c r="D410" s="20"/>
      <c r="E410" s="23"/>
      <c r="H410" s="19" t="str">
        <f t="shared" si="24"/>
        <v/>
      </c>
      <c r="I410" s="19" t="str">
        <f t="shared" si="23"/>
        <v/>
      </c>
      <c r="J410" s="19" t="str">
        <f t="shared" si="25"/>
        <v/>
      </c>
      <c r="K410" s="20"/>
      <c r="L410" s="21" t="str">
        <f>IF(OR(NOT(AND($B410&lt;&gt;"",$C410&lt;&gt;"",$D410&lt;&gt;"",$E410&lt;&gt;"")),$A410="",$K410&lt;&gt;"Yes"),"",IF($L410&lt;&gt;"",$L410,INDEX(SETUP!$I$1:$I$2000,MATCH(TRUE,SETUP!$J$1:$J$2000,0)+COUNTIFS($A$2:$A410,"&lt;&gt;",$K$2:$K410,"Yes",$L$2:$L410,"")-1)))</f>
        <v/>
      </c>
      <c r="N410" s="22"/>
    </row>
    <row r="411" spans="1:14" x14ac:dyDescent="0.3">
      <c r="A411" s="15" t="str">
        <f>IF(COUNTA($B411:$E411,$K411)=0,"",IF(AND($B411&lt;&gt;"",$C411&lt;&gt;"",$D411&lt;&gt;"",$E411&lt;&gt;""),"TXS"&amp;TEXT(COUNTIFS($B$2:$B411,"&lt;&gt;",$C$2:$C411,"&lt;&gt;",$D$2:$D411,"&lt;&gt;",$E$2:$E411,"&lt;&gt;"),"00000"),""))</f>
        <v/>
      </c>
      <c r="B411" s="16"/>
      <c r="C411" s="20"/>
      <c r="D411" s="20"/>
      <c r="E411" s="23"/>
      <c r="H411" s="19" t="str">
        <f t="shared" si="24"/>
        <v/>
      </c>
      <c r="I411" s="19" t="str">
        <f t="shared" si="23"/>
        <v/>
      </c>
      <c r="J411" s="19" t="str">
        <f t="shared" si="25"/>
        <v/>
      </c>
      <c r="K411" s="20"/>
      <c r="L411" s="21" t="str">
        <f>IF(OR(NOT(AND($B411&lt;&gt;"",$C411&lt;&gt;"",$D411&lt;&gt;"",$E411&lt;&gt;"")),$A411="",$K411&lt;&gt;"Yes"),"",IF($L411&lt;&gt;"",$L411,INDEX(SETUP!$I$1:$I$2000,MATCH(TRUE,SETUP!$J$1:$J$2000,0)+COUNTIFS($A$2:$A411,"&lt;&gt;",$K$2:$K411,"Yes",$L$2:$L411,"")-1)))</f>
        <v/>
      </c>
      <c r="N411" s="22"/>
    </row>
    <row r="412" spans="1:14" x14ac:dyDescent="0.3">
      <c r="A412" s="15" t="str">
        <f>IF(COUNTA($B412:$E412,$K412)=0,"",IF(AND($B412&lt;&gt;"",$C412&lt;&gt;"",$D412&lt;&gt;"",$E412&lt;&gt;""),"TXS"&amp;TEXT(COUNTIFS($B$2:$B412,"&lt;&gt;",$C$2:$C412,"&lt;&gt;",$D$2:$D412,"&lt;&gt;",$E$2:$E412,"&lt;&gt;"),"00000"),""))</f>
        <v/>
      </c>
      <c r="B412" s="16"/>
      <c r="C412" s="20"/>
      <c r="D412" s="20"/>
      <c r="E412" s="23"/>
      <c r="H412" s="19" t="str">
        <f t="shared" si="24"/>
        <v/>
      </c>
      <c r="I412" s="19" t="str">
        <f t="shared" si="23"/>
        <v/>
      </c>
      <c r="J412" s="19" t="str">
        <f t="shared" si="25"/>
        <v/>
      </c>
      <c r="K412" s="20"/>
      <c r="L412" s="21" t="str">
        <f>IF(OR(NOT(AND($B412&lt;&gt;"",$C412&lt;&gt;"",$D412&lt;&gt;"",$E412&lt;&gt;"")),$A412="",$K412&lt;&gt;"Yes"),"",IF($L412&lt;&gt;"",$L412,INDEX(SETUP!$I$1:$I$2000,MATCH(TRUE,SETUP!$J$1:$J$2000,0)+COUNTIFS($A$2:$A412,"&lt;&gt;",$K$2:$K412,"Yes",$L$2:$L412,"")-1)))</f>
        <v/>
      </c>
      <c r="N412" s="22"/>
    </row>
    <row r="413" spans="1:14" x14ac:dyDescent="0.3">
      <c r="A413" s="15" t="str">
        <f>IF(COUNTA($B413:$E413,$K413)=0,"",IF(AND($B413&lt;&gt;"",$C413&lt;&gt;"",$D413&lt;&gt;"",$E413&lt;&gt;""),"TXS"&amp;TEXT(COUNTIFS($B$2:$B413,"&lt;&gt;",$C$2:$C413,"&lt;&gt;",$D$2:$D413,"&lt;&gt;",$E$2:$E413,"&lt;&gt;"),"00000"),""))</f>
        <v/>
      </c>
      <c r="B413" s="16"/>
      <c r="C413" s="20"/>
      <c r="D413" s="20"/>
      <c r="E413" s="23"/>
      <c r="H413" s="19" t="str">
        <f t="shared" si="24"/>
        <v/>
      </c>
      <c r="I413" s="19" t="str">
        <f t="shared" si="23"/>
        <v/>
      </c>
      <c r="J413" s="19" t="str">
        <f t="shared" si="25"/>
        <v/>
      </c>
      <c r="K413" s="20"/>
      <c r="L413" s="21" t="str">
        <f>IF(OR(NOT(AND($B413&lt;&gt;"",$C413&lt;&gt;"",$D413&lt;&gt;"",$E413&lt;&gt;"")),$A413="",$K413&lt;&gt;"Yes"),"",IF($L413&lt;&gt;"",$L413,INDEX(SETUP!$I$1:$I$2000,MATCH(TRUE,SETUP!$J$1:$J$2000,0)+COUNTIFS($A$2:$A413,"&lt;&gt;",$K$2:$K413,"Yes",$L$2:$L413,"")-1)))</f>
        <v/>
      </c>
      <c r="N413" s="22"/>
    </row>
    <row r="414" spans="1:14" x14ac:dyDescent="0.3">
      <c r="A414" s="15" t="str">
        <f>IF(COUNTA($B414:$E414,$K414)=0,"",IF(AND($B414&lt;&gt;"",$C414&lt;&gt;"",$D414&lt;&gt;"",$E414&lt;&gt;""),"TXS"&amp;TEXT(COUNTIFS($B$2:$B414,"&lt;&gt;",$C$2:$C414,"&lt;&gt;",$D$2:$D414,"&lt;&gt;",$E$2:$E414,"&lt;&gt;"),"00000"),""))</f>
        <v/>
      </c>
      <c r="B414" s="16"/>
      <c r="C414" s="20"/>
      <c r="D414" s="20"/>
      <c r="E414" s="23"/>
      <c r="H414" s="19" t="str">
        <f t="shared" si="24"/>
        <v/>
      </c>
      <c r="I414" s="19" t="str">
        <f t="shared" si="23"/>
        <v/>
      </c>
      <c r="J414" s="19" t="str">
        <f t="shared" si="25"/>
        <v/>
      </c>
      <c r="K414" s="20"/>
      <c r="L414" s="21" t="str">
        <f>IF(OR(NOT(AND($B414&lt;&gt;"",$C414&lt;&gt;"",$D414&lt;&gt;"",$E414&lt;&gt;"")),$A414="",$K414&lt;&gt;"Yes"),"",IF($L414&lt;&gt;"",$L414,INDEX(SETUP!$I$1:$I$2000,MATCH(TRUE,SETUP!$J$1:$J$2000,0)+COUNTIFS($A$2:$A414,"&lt;&gt;",$K$2:$K414,"Yes",$L$2:$L414,"")-1)))</f>
        <v/>
      </c>
      <c r="N414" s="22"/>
    </row>
    <row r="415" spans="1:14" x14ac:dyDescent="0.3">
      <c r="A415" s="15" t="str">
        <f>IF(COUNTA($B415:$E415,$K415)=0,"",IF(AND($B415&lt;&gt;"",$C415&lt;&gt;"",$D415&lt;&gt;"",$E415&lt;&gt;""),"TXS"&amp;TEXT(COUNTIFS($B$2:$B415,"&lt;&gt;",$C$2:$C415,"&lt;&gt;",$D$2:$D415,"&lt;&gt;",$E$2:$E415,"&lt;&gt;"),"00000"),""))</f>
        <v/>
      </c>
      <c r="B415" s="16"/>
      <c r="C415" s="20"/>
      <c r="D415" s="20"/>
      <c r="E415" s="23"/>
      <c r="H415" s="19" t="str">
        <f t="shared" si="24"/>
        <v/>
      </c>
      <c r="I415" s="19" t="str">
        <f t="shared" si="23"/>
        <v/>
      </c>
      <c r="J415" s="19" t="str">
        <f t="shared" si="25"/>
        <v/>
      </c>
      <c r="K415" s="20"/>
      <c r="L415" s="21" t="str">
        <f>IF(OR(NOT(AND($B415&lt;&gt;"",$C415&lt;&gt;"",$D415&lt;&gt;"",$E415&lt;&gt;"")),$A415="",$K415&lt;&gt;"Yes"),"",IF($L415&lt;&gt;"",$L415,INDEX(SETUP!$I$1:$I$2000,MATCH(TRUE,SETUP!$J$1:$J$2000,0)+COUNTIFS($A$2:$A415,"&lt;&gt;",$K$2:$K415,"Yes",$L$2:$L415,"")-1)))</f>
        <v/>
      </c>
      <c r="N415" s="22"/>
    </row>
    <row r="416" spans="1:14" x14ac:dyDescent="0.3">
      <c r="A416" s="15" t="str">
        <f>IF(COUNTA($B416:$E416,$K416)=0,"",IF(AND($B416&lt;&gt;"",$C416&lt;&gt;"",$D416&lt;&gt;"",$E416&lt;&gt;""),"TXS"&amp;TEXT(COUNTIFS($B$2:$B416,"&lt;&gt;",$C$2:$C416,"&lt;&gt;",$D$2:$D416,"&lt;&gt;",$E$2:$E416,"&lt;&gt;"),"00000"),""))</f>
        <v/>
      </c>
      <c r="B416" s="16"/>
      <c r="C416" s="20"/>
      <c r="D416" s="20"/>
      <c r="E416" s="23"/>
      <c r="H416" s="19" t="str">
        <f t="shared" si="24"/>
        <v/>
      </c>
      <c r="I416" s="19" t="str">
        <f t="shared" si="23"/>
        <v/>
      </c>
      <c r="J416" s="19" t="str">
        <f t="shared" si="25"/>
        <v/>
      </c>
      <c r="K416" s="20"/>
      <c r="L416" s="21" t="str">
        <f>IF(OR(NOT(AND($B416&lt;&gt;"",$C416&lt;&gt;"",$D416&lt;&gt;"",$E416&lt;&gt;"")),$A416="",$K416&lt;&gt;"Yes"),"",IF($L416&lt;&gt;"",$L416,INDEX(SETUP!$I$1:$I$2000,MATCH(TRUE,SETUP!$J$1:$J$2000,0)+COUNTIFS($A$2:$A416,"&lt;&gt;",$K$2:$K416,"Yes",$L$2:$L416,"")-1)))</f>
        <v/>
      </c>
      <c r="N416" s="22"/>
    </row>
    <row r="417" spans="1:14" x14ac:dyDescent="0.3">
      <c r="A417" s="15" t="str">
        <f>IF(COUNTA($B417:$E417,$K417)=0,"",IF(AND($B417&lt;&gt;"",$C417&lt;&gt;"",$D417&lt;&gt;"",$E417&lt;&gt;""),"TXS"&amp;TEXT(COUNTIFS($B$2:$B417,"&lt;&gt;",$C$2:$C417,"&lt;&gt;",$D$2:$D417,"&lt;&gt;",$E$2:$E417,"&lt;&gt;"),"00000"),""))</f>
        <v/>
      </c>
      <c r="B417" s="16"/>
      <c r="C417" s="20"/>
      <c r="D417" s="20"/>
      <c r="E417" s="23"/>
      <c r="H417" s="19" t="str">
        <f t="shared" si="24"/>
        <v/>
      </c>
      <c r="I417" s="19" t="str">
        <f t="shared" si="23"/>
        <v/>
      </c>
      <c r="J417" s="19" t="str">
        <f t="shared" si="25"/>
        <v/>
      </c>
      <c r="K417" s="20"/>
      <c r="L417" s="21" t="str">
        <f>IF(OR(NOT(AND($B417&lt;&gt;"",$C417&lt;&gt;"",$D417&lt;&gt;"",$E417&lt;&gt;"")),$A417="",$K417&lt;&gt;"Yes"),"",IF($L417&lt;&gt;"",$L417,INDEX(SETUP!$I$1:$I$2000,MATCH(TRUE,SETUP!$J$1:$J$2000,0)+COUNTIFS($A$2:$A417,"&lt;&gt;",$K$2:$K417,"Yes",$L$2:$L417,"")-1)))</f>
        <v/>
      </c>
      <c r="N417" s="22"/>
    </row>
    <row r="418" spans="1:14" x14ac:dyDescent="0.3">
      <c r="A418" s="15" t="str">
        <f>IF(COUNTA($B418:$E418,$K418)=0,"",IF(AND($B418&lt;&gt;"",$C418&lt;&gt;"",$D418&lt;&gt;"",$E418&lt;&gt;""),"TXS"&amp;TEXT(COUNTIFS($B$2:$B418,"&lt;&gt;",$C$2:$C418,"&lt;&gt;",$D$2:$D418,"&lt;&gt;",$E$2:$E418,"&lt;&gt;"),"00000"),""))</f>
        <v/>
      </c>
      <c r="B418" s="16"/>
      <c r="C418" s="20"/>
      <c r="D418" s="20"/>
      <c r="E418" s="23"/>
      <c r="H418" s="19" t="str">
        <f t="shared" si="24"/>
        <v/>
      </c>
      <c r="I418" s="19" t="str">
        <f t="shared" si="23"/>
        <v/>
      </c>
      <c r="J418" s="19" t="str">
        <f t="shared" si="25"/>
        <v/>
      </c>
      <c r="K418" s="20"/>
      <c r="L418" s="21" t="str">
        <f>IF(OR(NOT(AND($B418&lt;&gt;"",$C418&lt;&gt;"",$D418&lt;&gt;"",$E418&lt;&gt;"")),$A418="",$K418&lt;&gt;"Yes"),"",IF($L418&lt;&gt;"",$L418,INDEX(SETUP!$I$1:$I$2000,MATCH(TRUE,SETUP!$J$1:$J$2000,0)+COUNTIFS($A$2:$A418,"&lt;&gt;",$K$2:$K418,"Yes",$L$2:$L418,"")-1)))</f>
        <v/>
      </c>
      <c r="N418" s="22"/>
    </row>
    <row r="419" spans="1:14" x14ac:dyDescent="0.3">
      <c r="A419" s="15" t="str">
        <f>IF(COUNTA($B419:$E419,$K419)=0,"",IF(AND($B419&lt;&gt;"",$C419&lt;&gt;"",$D419&lt;&gt;"",$E419&lt;&gt;""),"TXS"&amp;TEXT(COUNTIFS($B$2:$B419,"&lt;&gt;",$C$2:$C419,"&lt;&gt;",$D$2:$D419,"&lt;&gt;",$E$2:$E419,"&lt;&gt;"),"00000"),""))</f>
        <v/>
      </c>
      <c r="B419" s="16"/>
      <c r="C419" s="20"/>
      <c r="D419" s="20"/>
      <c r="E419" s="23"/>
      <c r="H419" s="19" t="str">
        <f t="shared" si="24"/>
        <v/>
      </c>
      <c r="I419" s="19" t="str">
        <f t="shared" si="23"/>
        <v/>
      </c>
      <c r="J419" s="19" t="str">
        <f t="shared" si="25"/>
        <v/>
      </c>
      <c r="K419" s="20"/>
      <c r="L419" s="21" t="str">
        <f>IF(OR(NOT(AND($B419&lt;&gt;"",$C419&lt;&gt;"",$D419&lt;&gt;"",$E419&lt;&gt;"")),$A419="",$K419&lt;&gt;"Yes"),"",IF($L419&lt;&gt;"",$L419,INDEX(SETUP!$I$1:$I$2000,MATCH(TRUE,SETUP!$J$1:$J$2000,0)+COUNTIFS($A$2:$A419,"&lt;&gt;",$K$2:$K419,"Yes",$L$2:$L419,"")-1)))</f>
        <v/>
      </c>
      <c r="N419" s="22"/>
    </row>
    <row r="420" spans="1:14" x14ac:dyDescent="0.3">
      <c r="A420" s="15" t="str">
        <f>IF(COUNTA($B420:$E420,$K420)=0,"",IF(AND($B420&lt;&gt;"",$C420&lt;&gt;"",$D420&lt;&gt;"",$E420&lt;&gt;""),"TXS"&amp;TEXT(COUNTIFS($B$2:$B420,"&lt;&gt;",$C$2:$C420,"&lt;&gt;",$D$2:$D420,"&lt;&gt;",$E$2:$E420,"&lt;&gt;"),"00000"),""))</f>
        <v/>
      </c>
      <c r="B420" s="16"/>
      <c r="C420" s="20"/>
      <c r="D420" s="20"/>
      <c r="E420" s="23"/>
      <c r="H420" s="19" t="str">
        <f t="shared" si="24"/>
        <v/>
      </c>
      <c r="I420" s="19" t="str">
        <f t="shared" si="23"/>
        <v/>
      </c>
      <c r="J420" s="19" t="str">
        <f t="shared" si="25"/>
        <v/>
      </c>
      <c r="K420" s="20"/>
      <c r="L420" s="21" t="str">
        <f>IF(OR(NOT(AND($B420&lt;&gt;"",$C420&lt;&gt;"",$D420&lt;&gt;"",$E420&lt;&gt;"")),$A420="",$K420&lt;&gt;"Yes"),"",IF($L420&lt;&gt;"",$L420,INDEX(SETUP!$I$1:$I$2000,MATCH(TRUE,SETUP!$J$1:$J$2000,0)+COUNTIFS($A$2:$A420,"&lt;&gt;",$K$2:$K420,"Yes",$L$2:$L420,"")-1)))</f>
        <v/>
      </c>
      <c r="N420" s="22"/>
    </row>
    <row r="421" spans="1:14" x14ac:dyDescent="0.3">
      <c r="A421" s="15" t="str">
        <f>IF(COUNTA($B421:$E421,$K421)=0,"",IF(AND($B421&lt;&gt;"",$C421&lt;&gt;"",$D421&lt;&gt;"",$E421&lt;&gt;""),"TXS"&amp;TEXT(COUNTIFS($B$2:$B421,"&lt;&gt;",$C$2:$C421,"&lt;&gt;",$D$2:$D421,"&lt;&gt;",$E$2:$E421,"&lt;&gt;"),"00000"),""))</f>
        <v/>
      </c>
      <c r="B421" s="16"/>
      <c r="C421" s="20"/>
      <c r="D421" s="20"/>
      <c r="E421" s="23"/>
      <c r="H421" s="19" t="str">
        <f t="shared" si="24"/>
        <v/>
      </c>
      <c r="I421" s="19" t="str">
        <f t="shared" si="23"/>
        <v/>
      </c>
      <c r="J421" s="19" t="str">
        <f t="shared" si="25"/>
        <v/>
      </c>
      <c r="K421" s="20"/>
      <c r="L421" s="21" t="str">
        <f>IF(OR(NOT(AND($B421&lt;&gt;"",$C421&lt;&gt;"",$D421&lt;&gt;"",$E421&lt;&gt;"")),$A421="",$K421&lt;&gt;"Yes"),"",IF($L421&lt;&gt;"",$L421,INDEX(SETUP!$I$1:$I$2000,MATCH(TRUE,SETUP!$J$1:$J$2000,0)+COUNTIFS($A$2:$A421,"&lt;&gt;",$K$2:$K421,"Yes",$L$2:$L421,"")-1)))</f>
        <v/>
      </c>
      <c r="N421" s="22"/>
    </row>
    <row r="422" spans="1:14" x14ac:dyDescent="0.3">
      <c r="A422" s="15" t="str">
        <f>IF(COUNTA($B422:$E422,$K422)=0,"",IF(AND($B422&lt;&gt;"",$C422&lt;&gt;"",$D422&lt;&gt;"",$E422&lt;&gt;""),"TXS"&amp;TEXT(COUNTIFS($B$2:$B422,"&lt;&gt;",$C$2:$C422,"&lt;&gt;",$D$2:$D422,"&lt;&gt;",$E$2:$E422,"&lt;&gt;"),"00000"),""))</f>
        <v/>
      </c>
      <c r="B422" s="16"/>
      <c r="C422" s="20"/>
      <c r="D422" s="20"/>
      <c r="E422" s="23"/>
      <c r="H422" s="19" t="str">
        <f t="shared" si="24"/>
        <v/>
      </c>
      <c r="I422" s="19" t="str">
        <f t="shared" si="23"/>
        <v/>
      </c>
      <c r="J422" s="19" t="str">
        <f t="shared" si="25"/>
        <v/>
      </c>
      <c r="K422" s="20"/>
      <c r="L422" s="21" t="str">
        <f>IF(OR(NOT(AND($B422&lt;&gt;"",$C422&lt;&gt;"",$D422&lt;&gt;"",$E422&lt;&gt;"")),$A422="",$K422&lt;&gt;"Yes"),"",IF($L422&lt;&gt;"",$L422,INDEX(SETUP!$I$1:$I$2000,MATCH(TRUE,SETUP!$J$1:$J$2000,0)+COUNTIFS($A$2:$A422,"&lt;&gt;",$K$2:$K422,"Yes",$L$2:$L422,"")-1)))</f>
        <v/>
      </c>
      <c r="N422" s="22"/>
    </row>
    <row r="423" spans="1:14" x14ac:dyDescent="0.3">
      <c r="A423" s="15" t="str">
        <f>IF(COUNTA($B423:$E423,$K423)=0,"",IF(AND($B423&lt;&gt;"",$C423&lt;&gt;"",$D423&lt;&gt;"",$E423&lt;&gt;""),"TXS"&amp;TEXT(COUNTIFS($B$2:$B423,"&lt;&gt;",$C$2:$C423,"&lt;&gt;",$D$2:$D423,"&lt;&gt;",$E$2:$E423,"&lt;&gt;"),"00000"),""))</f>
        <v/>
      </c>
      <c r="B423" s="16"/>
      <c r="C423" s="20"/>
      <c r="D423" s="20"/>
      <c r="E423" s="23"/>
      <c r="H423" s="19" t="str">
        <f t="shared" si="24"/>
        <v/>
      </c>
      <c r="I423" s="19" t="str">
        <f t="shared" si="23"/>
        <v/>
      </c>
      <c r="J423" s="19" t="str">
        <f t="shared" si="25"/>
        <v/>
      </c>
      <c r="K423" s="20"/>
      <c r="L423" s="21" t="str">
        <f>IF(OR(NOT(AND($B423&lt;&gt;"",$C423&lt;&gt;"",$D423&lt;&gt;"",$E423&lt;&gt;"")),$A423="",$K423&lt;&gt;"Yes"),"",IF($L423&lt;&gt;"",$L423,INDEX(SETUP!$I$1:$I$2000,MATCH(TRUE,SETUP!$J$1:$J$2000,0)+COUNTIFS($A$2:$A423,"&lt;&gt;",$K$2:$K423,"Yes",$L$2:$L423,"")-1)))</f>
        <v/>
      </c>
      <c r="N423" s="22"/>
    </row>
    <row r="424" spans="1:14" x14ac:dyDescent="0.3">
      <c r="A424" s="15" t="str">
        <f>IF(COUNTA($B424:$E424,$K424)=0,"",IF(AND($B424&lt;&gt;"",$C424&lt;&gt;"",$D424&lt;&gt;"",$E424&lt;&gt;""),"TXS"&amp;TEXT(COUNTIFS($B$2:$B424,"&lt;&gt;",$C$2:$C424,"&lt;&gt;",$D$2:$D424,"&lt;&gt;",$E$2:$E424,"&lt;&gt;"),"00000"),""))</f>
        <v/>
      </c>
      <c r="B424" s="16"/>
      <c r="C424" s="20"/>
      <c r="D424" s="20"/>
      <c r="E424" s="23"/>
      <c r="H424" s="19" t="str">
        <f t="shared" si="24"/>
        <v/>
      </c>
      <c r="I424" s="19" t="str">
        <f t="shared" si="23"/>
        <v/>
      </c>
      <c r="J424" s="19" t="str">
        <f t="shared" si="25"/>
        <v/>
      </c>
      <c r="K424" s="20"/>
      <c r="L424" s="21" t="str">
        <f>IF(OR(NOT(AND($B424&lt;&gt;"",$C424&lt;&gt;"",$D424&lt;&gt;"",$E424&lt;&gt;"")),$A424="",$K424&lt;&gt;"Yes"),"",IF($L424&lt;&gt;"",$L424,INDEX(SETUP!$I$1:$I$2000,MATCH(TRUE,SETUP!$J$1:$J$2000,0)+COUNTIFS($A$2:$A424,"&lt;&gt;",$K$2:$K424,"Yes",$L$2:$L424,"")-1)))</f>
        <v/>
      </c>
      <c r="N424" s="22"/>
    </row>
    <row r="425" spans="1:14" x14ac:dyDescent="0.3">
      <c r="A425" s="15" t="str">
        <f>IF(COUNTA($B425:$E425,$K425)=0,"",IF(AND($B425&lt;&gt;"",$C425&lt;&gt;"",$D425&lt;&gt;"",$E425&lt;&gt;""),"TXS"&amp;TEXT(COUNTIFS($B$2:$B425,"&lt;&gt;",$C$2:$C425,"&lt;&gt;",$D$2:$D425,"&lt;&gt;",$E$2:$E425,"&lt;&gt;"),"00000"),""))</f>
        <v/>
      </c>
      <c r="B425" s="16"/>
      <c r="C425" s="20"/>
      <c r="D425" s="20"/>
      <c r="E425" s="23"/>
      <c r="H425" s="19" t="str">
        <f t="shared" si="24"/>
        <v/>
      </c>
      <c r="I425" s="19" t="str">
        <f t="shared" ref="I425:I488" si="26">IF(NOT(AND($B425&lt;&gt;"",$C425&lt;&gt;"",$D425&lt;&gt;"",$E425&lt;&gt;"")),"",IF($A425="","","NIH plate "&amp;INT((VALUE(RIGHT($A425,5))-1)/96)+1&amp;": "&amp;CHAR(65+INT(MOD(VALUE(RIGHT($A425,5))-1,96)/12))&amp;(MOD(VALUE(RIGHT($A425,5))-1,12)+1)))</f>
        <v/>
      </c>
      <c r="J425" s="19" t="str">
        <f t="shared" si="25"/>
        <v/>
      </c>
      <c r="K425" s="20"/>
      <c r="L425" s="21" t="str">
        <f>IF(OR(NOT(AND($B425&lt;&gt;"",$C425&lt;&gt;"",$D425&lt;&gt;"",$E425&lt;&gt;"")),$A425="",$K425&lt;&gt;"Yes"),"",IF($L425&lt;&gt;"",$L425,INDEX(SETUP!$I$1:$I$2000,MATCH(TRUE,SETUP!$J$1:$J$2000,0)+COUNTIFS($A$2:$A425,"&lt;&gt;",$K$2:$K425,"Yes",$L$2:$L425,"")-1)))</f>
        <v/>
      </c>
      <c r="N425" s="22"/>
    </row>
    <row r="426" spans="1:14" x14ac:dyDescent="0.3">
      <c r="A426" s="15" t="str">
        <f>IF(COUNTA($B426:$E426,$K426)=0,"",IF(AND($B426&lt;&gt;"",$C426&lt;&gt;"",$D426&lt;&gt;"",$E426&lt;&gt;""),"TXS"&amp;TEXT(COUNTIFS($B$2:$B426,"&lt;&gt;",$C$2:$C426,"&lt;&gt;",$D$2:$D426,"&lt;&gt;",$E$2:$E426,"&lt;&gt;"),"00000"),""))</f>
        <v/>
      </c>
      <c r="B426" s="16"/>
      <c r="C426" s="20"/>
      <c r="D426" s="20"/>
      <c r="E426" s="23"/>
      <c r="H426" s="19" t="str">
        <f t="shared" si="24"/>
        <v/>
      </c>
      <c r="I426" s="19" t="str">
        <f t="shared" si="26"/>
        <v/>
      </c>
      <c r="J426" s="19" t="str">
        <f t="shared" si="25"/>
        <v/>
      </c>
      <c r="K426" s="20"/>
      <c r="L426" s="21" t="str">
        <f>IF(OR(NOT(AND($B426&lt;&gt;"",$C426&lt;&gt;"",$D426&lt;&gt;"",$E426&lt;&gt;"")),$A426="",$K426&lt;&gt;"Yes"),"",IF($L426&lt;&gt;"",$L426,INDEX(SETUP!$I$1:$I$2000,MATCH(TRUE,SETUP!$J$1:$J$2000,0)+COUNTIFS($A$2:$A426,"&lt;&gt;",$K$2:$K426,"Yes",$L$2:$L426,"")-1)))</f>
        <v/>
      </c>
      <c r="N426" s="22"/>
    </row>
    <row r="427" spans="1:14" x14ac:dyDescent="0.3">
      <c r="A427" s="15" t="str">
        <f>IF(COUNTA($B427:$E427,$K427)=0,"",IF(AND($B427&lt;&gt;"",$C427&lt;&gt;"",$D427&lt;&gt;"",$E427&lt;&gt;""),"TXS"&amp;TEXT(COUNTIFS($B$2:$B427,"&lt;&gt;",$C$2:$C427,"&lt;&gt;",$D$2:$D427,"&lt;&gt;",$E$2:$E427,"&lt;&gt;"),"00000"),""))</f>
        <v/>
      </c>
      <c r="B427" s="16"/>
      <c r="C427" s="20"/>
      <c r="D427" s="20"/>
      <c r="E427" s="23"/>
      <c r="H427" s="19" t="str">
        <f t="shared" si="24"/>
        <v/>
      </c>
      <c r="I427" s="19" t="str">
        <f t="shared" si="26"/>
        <v/>
      </c>
      <c r="J427" s="19" t="str">
        <f t="shared" si="25"/>
        <v/>
      </c>
      <c r="K427" s="20"/>
      <c r="L427" s="21" t="str">
        <f>IF(OR(NOT(AND($B427&lt;&gt;"",$C427&lt;&gt;"",$D427&lt;&gt;"",$E427&lt;&gt;"")),$A427="",$K427&lt;&gt;"Yes"),"",IF($L427&lt;&gt;"",$L427,INDEX(SETUP!$I$1:$I$2000,MATCH(TRUE,SETUP!$J$1:$J$2000,0)+COUNTIFS($A$2:$A427,"&lt;&gt;",$K$2:$K427,"Yes",$L$2:$L427,"")-1)))</f>
        <v/>
      </c>
      <c r="N427" s="22"/>
    </row>
    <row r="428" spans="1:14" x14ac:dyDescent="0.3">
      <c r="A428" s="15" t="str">
        <f>IF(COUNTA($B428:$E428,$K428)=0,"",IF(AND($B428&lt;&gt;"",$C428&lt;&gt;"",$D428&lt;&gt;"",$E428&lt;&gt;""),"TXS"&amp;TEXT(COUNTIFS($B$2:$B428,"&lt;&gt;",$C$2:$C428,"&lt;&gt;",$D$2:$D428,"&lt;&gt;",$E$2:$E428,"&lt;&gt;"),"00000"),""))</f>
        <v/>
      </c>
      <c r="B428" s="16"/>
      <c r="C428" s="20"/>
      <c r="D428" s="20"/>
      <c r="E428" s="23"/>
      <c r="H428" s="19" t="str">
        <f t="shared" si="24"/>
        <v/>
      </c>
      <c r="I428" s="19" t="str">
        <f t="shared" si="26"/>
        <v/>
      </c>
      <c r="J428" s="19" t="str">
        <f t="shared" si="25"/>
        <v/>
      </c>
      <c r="K428" s="20"/>
      <c r="L428" s="21" t="str">
        <f>IF(OR(NOT(AND($B428&lt;&gt;"",$C428&lt;&gt;"",$D428&lt;&gt;"",$E428&lt;&gt;"")),$A428="",$K428&lt;&gt;"Yes"),"",IF($L428&lt;&gt;"",$L428,INDEX(SETUP!$I$1:$I$2000,MATCH(TRUE,SETUP!$J$1:$J$2000,0)+COUNTIFS($A$2:$A428,"&lt;&gt;",$K$2:$K428,"Yes",$L$2:$L428,"")-1)))</f>
        <v/>
      </c>
      <c r="N428" s="22"/>
    </row>
    <row r="429" spans="1:14" x14ac:dyDescent="0.3">
      <c r="A429" s="15" t="str">
        <f>IF(COUNTA($B429:$E429,$K429)=0,"",IF(AND($B429&lt;&gt;"",$C429&lt;&gt;"",$D429&lt;&gt;"",$E429&lt;&gt;""),"TXS"&amp;TEXT(COUNTIFS($B$2:$B429,"&lt;&gt;",$C$2:$C429,"&lt;&gt;",$D$2:$D429,"&lt;&gt;",$E$2:$E429,"&lt;&gt;"),"00000"),""))</f>
        <v/>
      </c>
      <c r="B429" s="16"/>
      <c r="C429" s="20"/>
      <c r="D429" s="20"/>
      <c r="E429" s="23"/>
      <c r="H429" s="19" t="str">
        <f t="shared" si="24"/>
        <v/>
      </c>
      <c r="I429" s="19" t="str">
        <f t="shared" si="26"/>
        <v/>
      </c>
      <c r="J429" s="19" t="str">
        <f t="shared" si="25"/>
        <v/>
      </c>
      <c r="K429" s="20"/>
      <c r="L429" s="21" t="str">
        <f>IF(OR(NOT(AND($B429&lt;&gt;"",$C429&lt;&gt;"",$D429&lt;&gt;"",$E429&lt;&gt;"")),$A429="",$K429&lt;&gt;"Yes"),"",IF($L429&lt;&gt;"",$L429,INDEX(SETUP!$I$1:$I$2000,MATCH(TRUE,SETUP!$J$1:$J$2000,0)+COUNTIFS($A$2:$A429,"&lt;&gt;",$K$2:$K429,"Yes",$L$2:$L429,"")-1)))</f>
        <v/>
      </c>
      <c r="N429" s="22"/>
    </row>
    <row r="430" spans="1:14" x14ac:dyDescent="0.3">
      <c r="A430" s="15" t="str">
        <f>IF(COUNTA($B430:$E430,$K430)=0,"",IF(AND($B430&lt;&gt;"",$C430&lt;&gt;"",$D430&lt;&gt;"",$E430&lt;&gt;""),"TXS"&amp;TEXT(COUNTIFS($B$2:$B430,"&lt;&gt;",$C$2:$C430,"&lt;&gt;",$D$2:$D430,"&lt;&gt;",$E$2:$E430,"&lt;&gt;"),"00000"),""))</f>
        <v/>
      </c>
      <c r="B430" s="16"/>
      <c r="C430" s="20"/>
      <c r="D430" s="20"/>
      <c r="E430" s="23"/>
      <c r="H430" s="19" t="str">
        <f t="shared" si="24"/>
        <v/>
      </c>
      <c r="I430" s="19" t="str">
        <f t="shared" si="26"/>
        <v/>
      </c>
      <c r="J430" s="19" t="str">
        <f t="shared" si="25"/>
        <v/>
      </c>
      <c r="K430" s="20"/>
      <c r="L430" s="21" t="str">
        <f>IF(OR(NOT(AND($B430&lt;&gt;"",$C430&lt;&gt;"",$D430&lt;&gt;"",$E430&lt;&gt;"")),$A430="",$K430&lt;&gt;"Yes"),"",IF($L430&lt;&gt;"",$L430,INDEX(SETUP!$I$1:$I$2000,MATCH(TRUE,SETUP!$J$1:$J$2000,0)+COUNTIFS($A$2:$A430,"&lt;&gt;",$K$2:$K430,"Yes",$L$2:$L430,"")-1)))</f>
        <v/>
      </c>
      <c r="N430" s="22"/>
    </row>
    <row r="431" spans="1:14" x14ac:dyDescent="0.3">
      <c r="A431" s="15" t="str">
        <f>IF(COUNTA($B431:$E431,$K431)=0,"",IF(AND($B431&lt;&gt;"",$C431&lt;&gt;"",$D431&lt;&gt;"",$E431&lt;&gt;""),"TXS"&amp;TEXT(COUNTIFS($B$2:$B431,"&lt;&gt;",$C$2:$C431,"&lt;&gt;",$D$2:$D431,"&lt;&gt;",$E$2:$E431,"&lt;&gt;"),"00000"),""))</f>
        <v/>
      </c>
      <c r="B431" s="16"/>
      <c r="C431" s="20"/>
      <c r="D431" s="20"/>
      <c r="E431" s="23"/>
      <c r="H431" s="19" t="str">
        <f t="shared" ref="H431:H494" si="27">IF(NOT(AND($B431&lt;&gt;"",$C431&lt;&gt;"",$D431&lt;&gt;"",$E431&lt;&gt;"")),"",IF($A431="","","CDI plate "&amp;INT((VALUE(RIGHT($A431,5))-1)/96)+1&amp;": "&amp;CHAR(65+INT(MOD(VALUE(RIGHT($A431,5))-1,96)/12))&amp;(MOD(VALUE(RIGHT($A431,5))-1,12)+1)))</f>
        <v/>
      </c>
      <c r="I431" s="19" t="str">
        <f t="shared" si="26"/>
        <v/>
      </c>
      <c r="J431" s="19" t="str">
        <f t="shared" si="25"/>
        <v/>
      </c>
      <c r="K431" s="20"/>
      <c r="L431" s="21" t="str">
        <f>IF(OR(NOT(AND($B431&lt;&gt;"",$C431&lt;&gt;"",$D431&lt;&gt;"",$E431&lt;&gt;"")),$A431="",$K431&lt;&gt;"Yes"),"",IF($L431&lt;&gt;"",$L431,INDEX(SETUP!$I$1:$I$2000,MATCH(TRUE,SETUP!$J$1:$J$2000,0)+COUNTIFS($A$2:$A431,"&lt;&gt;",$K$2:$K431,"Yes",$L$2:$L431,"")-1)))</f>
        <v/>
      </c>
      <c r="N431" s="22"/>
    </row>
    <row r="432" spans="1:14" x14ac:dyDescent="0.3">
      <c r="A432" s="15" t="str">
        <f>IF(COUNTA($B432:$E432,$K432)=0,"",IF(AND($B432&lt;&gt;"",$C432&lt;&gt;"",$D432&lt;&gt;"",$E432&lt;&gt;""),"TXS"&amp;TEXT(COUNTIFS($B$2:$B432,"&lt;&gt;",$C$2:$C432,"&lt;&gt;",$D$2:$D432,"&lt;&gt;",$E$2:$E432,"&lt;&gt;"),"00000"),""))</f>
        <v/>
      </c>
      <c r="B432" s="16"/>
      <c r="C432" s="20"/>
      <c r="D432" s="20"/>
      <c r="E432" s="23"/>
      <c r="H432" s="19" t="str">
        <f t="shared" si="27"/>
        <v/>
      </c>
      <c r="I432" s="19" t="str">
        <f t="shared" si="26"/>
        <v/>
      </c>
      <c r="J432" s="19" t="str">
        <f t="shared" si="25"/>
        <v/>
      </c>
      <c r="K432" s="20"/>
      <c r="L432" s="21" t="str">
        <f>IF(OR(NOT(AND($B432&lt;&gt;"",$C432&lt;&gt;"",$D432&lt;&gt;"",$E432&lt;&gt;"")),$A432="",$K432&lt;&gt;"Yes"),"",IF($L432&lt;&gt;"",$L432,INDEX(SETUP!$I$1:$I$2000,MATCH(TRUE,SETUP!$J$1:$J$2000,0)+COUNTIFS($A$2:$A432,"&lt;&gt;",$K$2:$K432,"Yes",$L$2:$L432,"")-1)))</f>
        <v/>
      </c>
      <c r="N432" s="22"/>
    </row>
    <row r="433" spans="1:14" x14ac:dyDescent="0.3">
      <c r="A433" s="15" t="str">
        <f>IF(COUNTA($B433:$E433,$K433)=0,"",IF(AND($B433&lt;&gt;"",$C433&lt;&gt;"",$D433&lt;&gt;"",$E433&lt;&gt;""),"TXS"&amp;TEXT(COUNTIFS($B$2:$B433,"&lt;&gt;",$C$2:$C433,"&lt;&gt;",$D$2:$D433,"&lt;&gt;",$E$2:$E433,"&lt;&gt;"),"00000"),""))</f>
        <v/>
      </c>
      <c r="B433" s="16"/>
      <c r="C433" s="20"/>
      <c r="D433" s="20"/>
      <c r="E433" s="23"/>
      <c r="H433" s="19" t="str">
        <f t="shared" si="27"/>
        <v/>
      </c>
      <c r="I433" s="19" t="str">
        <f t="shared" si="26"/>
        <v/>
      </c>
      <c r="J433" s="19" t="str">
        <f t="shared" si="25"/>
        <v/>
      </c>
      <c r="K433" s="20"/>
      <c r="L433" s="21" t="str">
        <f>IF(OR(NOT(AND($B433&lt;&gt;"",$C433&lt;&gt;"",$D433&lt;&gt;"",$E433&lt;&gt;"")),$A433="",$K433&lt;&gt;"Yes"),"",IF($L433&lt;&gt;"",$L433,INDEX(SETUP!$I$1:$I$2000,MATCH(TRUE,SETUP!$J$1:$J$2000,0)+COUNTIFS($A$2:$A433,"&lt;&gt;",$K$2:$K433,"Yes",$L$2:$L433,"")-1)))</f>
        <v/>
      </c>
      <c r="N433" s="22"/>
    </row>
    <row r="434" spans="1:14" x14ac:dyDescent="0.3">
      <c r="A434" s="15" t="str">
        <f>IF(COUNTA($B434:$E434,$K434)=0,"",IF(AND($B434&lt;&gt;"",$C434&lt;&gt;"",$D434&lt;&gt;"",$E434&lt;&gt;""),"TXS"&amp;TEXT(COUNTIFS($B$2:$B434,"&lt;&gt;",$C$2:$C434,"&lt;&gt;",$D$2:$D434,"&lt;&gt;",$E$2:$E434,"&lt;&gt;"),"00000"),""))</f>
        <v/>
      </c>
      <c r="B434" s="16"/>
      <c r="C434" s="20"/>
      <c r="D434" s="20"/>
      <c r="E434" s="23"/>
      <c r="H434" s="19" t="str">
        <f t="shared" si="27"/>
        <v/>
      </c>
      <c r="I434" s="19" t="str">
        <f t="shared" si="26"/>
        <v/>
      </c>
      <c r="J434" s="19" t="str">
        <f t="shared" ref="J434:J497" si="28">IF(NOT(AND($B434&lt;&gt;"",$C434&lt;&gt;"",$D434&lt;&gt;"",$E434&lt;&gt;"")),"",IF($A434="","","Max Planck plate "&amp;INT((VALUE(RIGHT($A434,5))-1)/96)+1&amp;": "&amp;CHAR(65+INT(MOD(VALUE(RIGHT($A434,5))-1,96)/12))&amp;(MOD(VALUE(RIGHT($A434,5))-1,12)+1)))</f>
        <v/>
      </c>
      <c r="K434" s="20"/>
      <c r="L434" s="21" t="str">
        <f>IF(OR(NOT(AND($B434&lt;&gt;"",$C434&lt;&gt;"",$D434&lt;&gt;"",$E434&lt;&gt;"")),$A434="",$K434&lt;&gt;"Yes"),"",IF($L434&lt;&gt;"",$L434,INDEX(SETUP!$I$1:$I$2000,MATCH(TRUE,SETUP!$J$1:$J$2000,0)+COUNTIFS($A$2:$A434,"&lt;&gt;",$K$2:$K434,"Yes",$L$2:$L434,"")-1)))</f>
        <v/>
      </c>
      <c r="N434" s="22"/>
    </row>
    <row r="435" spans="1:14" x14ac:dyDescent="0.3">
      <c r="A435" s="15" t="str">
        <f>IF(COUNTA($B435:$E435,$K435)=0,"",IF(AND($B435&lt;&gt;"",$C435&lt;&gt;"",$D435&lt;&gt;"",$E435&lt;&gt;""),"TXS"&amp;TEXT(COUNTIFS($B$2:$B435,"&lt;&gt;",$C$2:$C435,"&lt;&gt;",$D$2:$D435,"&lt;&gt;",$E$2:$E435,"&lt;&gt;"),"00000"),""))</f>
        <v/>
      </c>
      <c r="B435" s="16"/>
      <c r="C435" s="20"/>
      <c r="D435" s="20"/>
      <c r="E435" s="23"/>
      <c r="H435" s="19" t="str">
        <f t="shared" si="27"/>
        <v/>
      </c>
      <c r="I435" s="19" t="str">
        <f t="shared" si="26"/>
        <v/>
      </c>
      <c r="J435" s="19" t="str">
        <f t="shared" si="28"/>
        <v/>
      </c>
      <c r="K435" s="20"/>
      <c r="L435" s="21" t="str">
        <f>IF(OR(NOT(AND($B435&lt;&gt;"",$C435&lt;&gt;"",$D435&lt;&gt;"",$E435&lt;&gt;"")),$A435="",$K435&lt;&gt;"Yes"),"",IF($L435&lt;&gt;"",$L435,INDEX(SETUP!$I$1:$I$2000,MATCH(TRUE,SETUP!$J$1:$J$2000,0)+COUNTIFS($A$2:$A435,"&lt;&gt;",$K$2:$K435,"Yes",$L$2:$L435,"")-1)))</f>
        <v/>
      </c>
      <c r="N435" s="22"/>
    </row>
    <row r="436" spans="1:14" x14ac:dyDescent="0.3">
      <c r="A436" s="15" t="str">
        <f>IF(COUNTA($B436:$E436,$K436)=0,"",IF(AND($B436&lt;&gt;"",$C436&lt;&gt;"",$D436&lt;&gt;"",$E436&lt;&gt;""),"TXS"&amp;TEXT(COUNTIFS($B$2:$B436,"&lt;&gt;",$C$2:$C436,"&lt;&gt;",$D$2:$D436,"&lt;&gt;",$E$2:$E436,"&lt;&gt;"),"00000"),""))</f>
        <v/>
      </c>
      <c r="B436" s="16"/>
      <c r="C436" s="20"/>
      <c r="D436" s="20"/>
      <c r="E436" s="23"/>
      <c r="H436" s="19" t="str">
        <f t="shared" si="27"/>
        <v/>
      </c>
      <c r="I436" s="19" t="str">
        <f t="shared" si="26"/>
        <v/>
      </c>
      <c r="J436" s="19" t="str">
        <f t="shared" si="28"/>
        <v/>
      </c>
      <c r="K436" s="20"/>
      <c r="L436" s="21" t="str">
        <f>IF(OR(NOT(AND($B436&lt;&gt;"",$C436&lt;&gt;"",$D436&lt;&gt;"",$E436&lt;&gt;"")),$A436="",$K436&lt;&gt;"Yes"),"",IF($L436&lt;&gt;"",$L436,INDEX(SETUP!$I$1:$I$2000,MATCH(TRUE,SETUP!$J$1:$J$2000,0)+COUNTIFS($A$2:$A436,"&lt;&gt;",$K$2:$K436,"Yes",$L$2:$L436,"")-1)))</f>
        <v/>
      </c>
      <c r="N436" s="22"/>
    </row>
    <row r="437" spans="1:14" x14ac:dyDescent="0.3">
      <c r="A437" s="15" t="str">
        <f>IF(COUNTA($B437:$E437,$K437)=0,"",IF(AND($B437&lt;&gt;"",$C437&lt;&gt;"",$D437&lt;&gt;"",$E437&lt;&gt;""),"TXS"&amp;TEXT(COUNTIFS($B$2:$B437,"&lt;&gt;",$C$2:$C437,"&lt;&gt;",$D$2:$D437,"&lt;&gt;",$E$2:$E437,"&lt;&gt;"),"00000"),""))</f>
        <v/>
      </c>
      <c r="B437" s="16"/>
      <c r="C437" s="20"/>
      <c r="D437" s="20"/>
      <c r="E437" s="23"/>
      <c r="H437" s="19" t="str">
        <f t="shared" si="27"/>
        <v/>
      </c>
      <c r="I437" s="19" t="str">
        <f t="shared" si="26"/>
        <v/>
      </c>
      <c r="J437" s="19" t="str">
        <f t="shared" si="28"/>
        <v/>
      </c>
      <c r="K437" s="20"/>
      <c r="L437" s="21" t="str">
        <f>IF(OR(NOT(AND($B437&lt;&gt;"",$C437&lt;&gt;"",$D437&lt;&gt;"",$E437&lt;&gt;"")),$A437="",$K437&lt;&gt;"Yes"),"",IF($L437&lt;&gt;"",$L437,INDEX(SETUP!$I$1:$I$2000,MATCH(TRUE,SETUP!$J$1:$J$2000,0)+COUNTIFS($A$2:$A437,"&lt;&gt;",$K$2:$K437,"Yes",$L$2:$L437,"")-1)))</f>
        <v/>
      </c>
      <c r="N437" s="22"/>
    </row>
    <row r="438" spans="1:14" x14ac:dyDescent="0.3">
      <c r="A438" s="15" t="str">
        <f>IF(COUNTA($B438:$E438,$K438)=0,"",IF(AND($B438&lt;&gt;"",$C438&lt;&gt;"",$D438&lt;&gt;"",$E438&lt;&gt;""),"TXS"&amp;TEXT(COUNTIFS($B$2:$B438,"&lt;&gt;",$C$2:$C438,"&lt;&gt;",$D$2:$D438,"&lt;&gt;",$E$2:$E438,"&lt;&gt;"),"00000"),""))</f>
        <v/>
      </c>
      <c r="B438" s="16"/>
      <c r="C438" s="20"/>
      <c r="D438" s="20"/>
      <c r="E438" s="23"/>
      <c r="H438" s="19" t="str">
        <f t="shared" si="27"/>
        <v/>
      </c>
      <c r="I438" s="19" t="str">
        <f t="shared" si="26"/>
        <v/>
      </c>
      <c r="J438" s="19" t="str">
        <f t="shared" si="28"/>
        <v/>
      </c>
      <c r="K438" s="20"/>
      <c r="L438" s="21" t="str">
        <f>IF(OR(NOT(AND($B438&lt;&gt;"",$C438&lt;&gt;"",$D438&lt;&gt;"",$E438&lt;&gt;"")),$A438="",$K438&lt;&gt;"Yes"),"",IF($L438&lt;&gt;"",$L438,INDEX(SETUP!$I$1:$I$2000,MATCH(TRUE,SETUP!$J$1:$J$2000,0)+COUNTIFS($A$2:$A438,"&lt;&gt;",$K$2:$K438,"Yes",$L$2:$L438,"")-1)))</f>
        <v/>
      </c>
      <c r="N438" s="22"/>
    </row>
    <row r="439" spans="1:14" x14ac:dyDescent="0.3">
      <c r="A439" s="15" t="str">
        <f>IF(COUNTA($B439:$E439,$K439)=0,"",IF(AND($B439&lt;&gt;"",$C439&lt;&gt;"",$D439&lt;&gt;"",$E439&lt;&gt;""),"TXS"&amp;TEXT(COUNTIFS($B$2:$B439,"&lt;&gt;",$C$2:$C439,"&lt;&gt;",$D$2:$D439,"&lt;&gt;",$E$2:$E439,"&lt;&gt;"),"00000"),""))</f>
        <v/>
      </c>
      <c r="B439" s="16"/>
      <c r="C439" s="20"/>
      <c r="D439" s="20"/>
      <c r="E439" s="23"/>
      <c r="H439" s="19" t="str">
        <f t="shared" si="27"/>
        <v/>
      </c>
      <c r="I439" s="19" t="str">
        <f t="shared" si="26"/>
        <v/>
      </c>
      <c r="J439" s="19" t="str">
        <f t="shared" si="28"/>
        <v/>
      </c>
      <c r="K439" s="20"/>
      <c r="L439" s="21" t="str">
        <f>IF(OR(NOT(AND($B439&lt;&gt;"",$C439&lt;&gt;"",$D439&lt;&gt;"",$E439&lt;&gt;"")),$A439="",$K439&lt;&gt;"Yes"),"",IF($L439&lt;&gt;"",$L439,INDEX(SETUP!$I$1:$I$2000,MATCH(TRUE,SETUP!$J$1:$J$2000,0)+COUNTIFS($A$2:$A439,"&lt;&gt;",$K$2:$K439,"Yes",$L$2:$L439,"")-1)))</f>
        <v/>
      </c>
      <c r="N439" s="22"/>
    </row>
    <row r="440" spans="1:14" x14ac:dyDescent="0.3">
      <c r="A440" s="15" t="str">
        <f>IF(COUNTA($B440:$E440,$K440)=0,"",IF(AND($B440&lt;&gt;"",$C440&lt;&gt;"",$D440&lt;&gt;"",$E440&lt;&gt;""),"TXS"&amp;TEXT(COUNTIFS($B$2:$B440,"&lt;&gt;",$C$2:$C440,"&lt;&gt;",$D$2:$D440,"&lt;&gt;",$E$2:$E440,"&lt;&gt;"),"00000"),""))</f>
        <v/>
      </c>
      <c r="B440" s="16"/>
      <c r="C440" s="20"/>
      <c r="D440" s="20"/>
      <c r="E440" s="23"/>
      <c r="H440" s="19" t="str">
        <f t="shared" si="27"/>
        <v/>
      </c>
      <c r="I440" s="19" t="str">
        <f t="shared" si="26"/>
        <v/>
      </c>
      <c r="J440" s="19" t="str">
        <f t="shared" si="28"/>
        <v/>
      </c>
      <c r="K440" s="20"/>
      <c r="L440" s="21" t="str">
        <f>IF(OR(NOT(AND($B440&lt;&gt;"",$C440&lt;&gt;"",$D440&lt;&gt;"",$E440&lt;&gt;"")),$A440="",$K440&lt;&gt;"Yes"),"",IF($L440&lt;&gt;"",$L440,INDEX(SETUP!$I$1:$I$2000,MATCH(TRUE,SETUP!$J$1:$J$2000,0)+COUNTIFS($A$2:$A440,"&lt;&gt;",$K$2:$K440,"Yes",$L$2:$L440,"")-1)))</f>
        <v/>
      </c>
      <c r="N440" s="22"/>
    </row>
    <row r="441" spans="1:14" x14ac:dyDescent="0.3">
      <c r="A441" s="15" t="str">
        <f>IF(COUNTA($B441:$E441,$K441)=0,"",IF(AND($B441&lt;&gt;"",$C441&lt;&gt;"",$D441&lt;&gt;"",$E441&lt;&gt;""),"TXS"&amp;TEXT(COUNTIFS($B$2:$B441,"&lt;&gt;",$C$2:$C441,"&lt;&gt;",$D$2:$D441,"&lt;&gt;",$E$2:$E441,"&lt;&gt;"),"00000"),""))</f>
        <v/>
      </c>
      <c r="B441" s="16"/>
      <c r="C441" s="20"/>
      <c r="D441" s="20"/>
      <c r="E441" s="23"/>
      <c r="H441" s="19" t="str">
        <f t="shared" si="27"/>
        <v/>
      </c>
      <c r="I441" s="19" t="str">
        <f t="shared" si="26"/>
        <v/>
      </c>
      <c r="J441" s="19" t="str">
        <f t="shared" si="28"/>
        <v/>
      </c>
      <c r="K441" s="20"/>
      <c r="L441" s="21" t="str">
        <f>IF(OR(NOT(AND($B441&lt;&gt;"",$C441&lt;&gt;"",$D441&lt;&gt;"",$E441&lt;&gt;"")),$A441="",$K441&lt;&gt;"Yes"),"",IF($L441&lt;&gt;"",$L441,INDEX(SETUP!$I$1:$I$2000,MATCH(TRUE,SETUP!$J$1:$J$2000,0)+COUNTIFS($A$2:$A441,"&lt;&gt;",$K$2:$K441,"Yes",$L$2:$L441,"")-1)))</f>
        <v/>
      </c>
      <c r="N441" s="22"/>
    </row>
    <row r="442" spans="1:14" x14ac:dyDescent="0.3">
      <c r="A442" s="15" t="str">
        <f>IF(COUNTA($B442:$E442,$K442)=0,"",IF(AND($B442&lt;&gt;"",$C442&lt;&gt;"",$D442&lt;&gt;"",$E442&lt;&gt;""),"TXS"&amp;TEXT(COUNTIFS($B$2:$B442,"&lt;&gt;",$C$2:$C442,"&lt;&gt;",$D$2:$D442,"&lt;&gt;",$E$2:$E442,"&lt;&gt;"),"00000"),""))</f>
        <v/>
      </c>
      <c r="B442" s="16"/>
      <c r="C442" s="20"/>
      <c r="D442" s="20"/>
      <c r="E442" s="23"/>
      <c r="H442" s="19" t="str">
        <f t="shared" si="27"/>
        <v/>
      </c>
      <c r="I442" s="19" t="str">
        <f t="shared" si="26"/>
        <v/>
      </c>
      <c r="J442" s="19" t="str">
        <f t="shared" si="28"/>
        <v/>
      </c>
      <c r="K442" s="20"/>
      <c r="L442" s="21" t="str">
        <f>IF(OR(NOT(AND($B442&lt;&gt;"",$C442&lt;&gt;"",$D442&lt;&gt;"",$E442&lt;&gt;"")),$A442="",$K442&lt;&gt;"Yes"),"",IF($L442&lt;&gt;"",$L442,INDEX(SETUP!$I$1:$I$2000,MATCH(TRUE,SETUP!$J$1:$J$2000,0)+COUNTIFS($A$2:$A442,"&lt;&gt;",$K$2:$K442,"Yes",$L$2:$L442,"")-1)))</f>
        <v/>
      </c>
      <c r="N442" s="22"/>
    </row>
    <row r="443" spans="1:14" x14ac:dyDescent="0.3">
      <c r="A443" s="15" t="str">
        <f>IF(COUNTA($B443:$E443,$K443)=0,"",IF(AND($B443&lt;&gt;"",$C443&lt;&gt;"",$D443&lt;&gt;"",$E443&lt;&gt;""),"TXS"&amp;TEXT(COUNTIFS($B$2:$B443,"&lt;&gt;",$C$2:$C443,"&lt;&gt;",$D$2:$D443,"&lt;&gt;",$E$2:$E443,"&lt;&gt;"),"00000"),""))</f>
        <v/>
      </c>
      <c r="B443" s="16"/>
      <c r="C443" s="20"/>
      <c r="D443" s="20"/>
      <c r="E443" s="23"/>
      <c r="H443" s="19" t="str">
        <f t="shared" si="27"/>
        <v/>
      </c>
      <c r="I443" s="19" t="str">
        <f t="shared" si="26"/>
        <v/>
      </c>
      <c r="J443" s="19" t="str">
        <f t="shared" si="28"/>
        <v/>
      </c>
      <c r="K443" s="20"/>
      <c r="L443" s="21" t="str">
        <f>IF(OR(NOT(AND($B443&lt;&gt;"",$C443&lt;&gt;"",$D443&lt;&gt;"",$E443&lt;&gt;"")),$A443="",$K443&lt;&gt;"Yes"),"",IF($L443&lt;&gt;"",$L443,INDEX(SETUP!$I$1:$I$2000,MATCH(TRUE,SETUP!$J$1:$J$2000,0)+COUNTIFS($A$2:$A443,"&lt;&gt;",$K$2:$K443,"Yes",$L$2:$L443,"")-1)))</f>
        <v/>
      </c>
      <c r="N443" s="22"/>
    </row>
    <row r="444" spans="1:14" x14ac:dyDescent="0.3">
      <c r="A444" s="15" t="str">
        <f>IF(COUNTA($B444:$E444,$K444)=0,"",IF(AND($B444&lt;&gt;"",$C444&lt;&gt;"",$D444&lt;&gt;"",$E444&lt;&gt;""),"TXS"&amp;TEXT(COUNTIFS($B$2:$B444,"&lt;&gt;",$C$2:$C444,"&lt;&gt;",$D$2:$D444,"&lt;&gt;",$E$2:$E444,"&lt;&gt;"),"00000"),""))</f>
        <v/>
      </c>
      <c r="B444" s="16"/>
      <c r="C444" s="20"/>
      <c r="D444" s="20"/>
      <c r="E444" s="23"/>
      <c r="H444" s="19" t="str">
        <f t="shared" si="27"/>
        <v/>
      </c>
      <c r="I444" s="19" t="str">
        <f t="shared" si="26"/>
        <v/>
      </c>
      <c r="J444" s="19" t="str">
        <f t="shared" si="28"/>
        <v/>
      </c>
      <c r="K444" s="20"/>
      <c r="L444" s="21" t="str">
        <f>IF(OR(NOT(AND($B444&lt;&gt;"",$C444&lt;&gt;"",$D444&lt;&gt;"",$E444&lt;&gt;"")),$A444="",$K444&lt;&gt;"Yes"),"",IF($L444&lt;&gt;"",$L444,INDEX(SETUP!$I$1:$I$2000,MATCH(TRUE,SETUP!$J$1:$J$2000,0)+COUNTIFS($A$2:$A444,"&lt;&gt;",$K$2:$K444,"Yes",$L$2:$L444,"")-1)))</f>
        <v/>
      </c>
      <c r="N444" s="22"/>
    </row>
    <row r="445" spans="1:14" x14ac:dyDescent="0.3">
      <c r="A445" s="15" t="str">
        <f>IF(COUNTA($B445:$E445,$K445)=0,"",IF(AND($B445&lt;&gt;"",$C445&lt;&gt;"",$D445&lt;&gt;"",$E445&lt;&gt;""),"TXS"&amp;TEXT(COUNTIFS($B$2:$B445,"&lt;&gt;",$C$2:$C445,"&lt;&gt;",$D$2:$D445,"&lt;&gt;",$E$2:$E445,"&lt;&gt;"),"00000"),""))</f>
        <v/>
      </c>
      <c r="B445" s="16"/>
      <c r="C445" s="20"/>
      <c r="D445" s="20"/>
      <c r="E445" s="23"/>
      <c r="H445" s="19" t="str">
        <f t="shared" si="27"/>
        <v/>
      </c>
      <c r="I445" s="19" t="str">
        <f t="shared" si="26"/>
        <v/>
      </c>
      <c r="J445" s="19" t="str">
        <f t="shared" si="28"/>
        <v/>
      </c>
      <c r="K445" s="20"/>
      <c r="L445" s="21" t="str">
        <f>IF(OR(NOT(AND($B445&lt;&gt;"",$C445&lt;&gt;"",$D445&lt;&gt;"",$E445&lt;&gt;"")),$A445="",$K445&lt;&gt;"Yes"),"",IF($L445&lt;&gt;"",$L445,INDEX(SETUP!$I$1:$I$2000,MATCH(TRUE,SETUP!$J$1:$J$2000,0)+COUNTIFS($A$2:$A445,"&lt;&gt;",$K$2:$K445,"Yes",$L$2:$L445,"")-1)))</f>
        <v/>
      </c>
      <c r="N445" s="22"/>
    </row>
    <row r="446" spans="1:14" x14ac:dyDescent="0.3">
      <c r="A446" s="15" t="str">
        <f>IF(COUNTA($B446:$E446,$K446)=0,"",IF(AND($B446&lt;&gt;"",$C446&lt;&gt;"",$D446&lt;&gt;"",$E446&lt;&gt;""),"TXS"&amp;TEXT(COUNTIFS($B$2:$B446,"&lt;&gt;",$C$2:$C446,"&lt;&gt;",$D$2:$D446,"&lt;&gt;",$E$2:$E446,"&lt;&gt;"),"00000"),""))</f>
        <v/>
      </c>
      <c r="B446" s="16"/>
      <c r="C446" s="20"/>
      <c r="D446" s="20"/>
      <c r="E446" s="23"/>
      <c r="H446" s="19" t="str">
        <f t="shared" si="27"/>
        <v/>
      </c>
      <c r="I446" s="19" t="str">
        <f t="shared" si="26"/>
        <v/>
      </c>
      <c r="J446" s="19" t="str">
        <f t="shared" si="28"/>
        <v/>
      </c>
      <c r="K446" s="20"/>
      <c r="L446" s="21" t="str">
        <f>IF(OR(NOT(AND($B446&lt;&gt;"",$C446&lt;&gt;"",$D446&lt;&gt;"",$E446&lt;&gt;"")),$A446="",$K446&lt;&gt;"Yes"),"",IF($L446&lt;&gt;"",$L446,INDEX(SETUP!$I$1:$I$2000,MATCH(TRUE,SETUP!$J$1:$J$2000,0)+COUNTIFS($A$2:$A446,"&lt;&gt;",$K$2:$K446,"Yes",$L$2:$L446,"")-1)))</f>
        <v/>
      </c>
      <c r="N446" s="22"/>
    </row>
    <row r="447" spans="1:14" x14ac:dyDescent="0.3">
      <c r="A447" s="15" t="str">
        <f>IF(COUNTA($B447:$E447,$K447)=0,"",IF(AND($B447&lt;&gt;"",$C447&lt;&gt;"",$D447&lt;&gt;"",$E447&lt;&gt;""),"TXS"&amp;TEXT(COUNTIFS($B$2:$B447,"&lt;&gt;",$C$2:$C447,"&lt;&gt;",$D$2:$D447,"&lt;&gt;",$E$2:$E447,"&lt;&gt;"),"00000"),""))</f>
        <v/>
      </c>
      <c r="B447" s="16"/>
      <c r="C447" s="20"/>
      <c r="D447" s="20"/>
      <c r="E447" s="23"/>
      <c r="H447" s="19" t="str">
        <f t="shared" si="27"/>
        <v/>
      </c>
      <c r="I447" s="19" t="str">
        <f t="shared" si="26"/>
        <v/>
      </c>
      <c r="J447" s="19" t="str">
        <f t="shared" si="28"/>
        <v/>
      </c>
      <c r="K447" s="20"/>
      <c r="L447" s="21" t="str">
        <f>IF(OR(NOT(AND($B447&lt;&gt;"",$C447&lt;&gt;"",$D447&lt;&gt;"",$E447&lt;&gt;"")),$A447="",$K447&lt;&gt;"Yes"),"",IF($L447&lt;&gt;"",$L447,INDEX(SETUP!$I$1:$I$2000,MATCH(TRUE,SETUP!$J$1:$J$2000,0)+COUNTIFS($A$2:$A447,"&lt;&gt;",$K$2:$K447,"Yes",$L$2:$L447,"")-1)))</f>
        <v/>
      </c>
      <c r="N447" s="22"/>
    </row>
    <row r="448" spans="1:14" x14ac:dyDescent="0.3">
      <c r="A448" s="15" t="str">
        <f>IF(COUNTA($B448:$E448,$K448)=0,"",IF(AND($B448&lt;&gt;"",$C448&lt;&gt;"",$D448&lt;&gt;"",$E448&lt;&gt;""),"TXS"&amp;TEXT(COUNTIFS($B$2:$B448,"&lt;&gt;",$C$2:$C448,"&lt;&gt;",$D$2:$D448,"&lt;&gt;",$E$2:$E448,"&lt;&gt;"),"00000"),""))</f>
        <v/>
      </c>
      <c r="B448" s="16"/>
      <c r="C448" s="20"/>
      <c r="D448" s="20"/>
      <c r="E448" s="23"/>
      <c r="H448" s="19" t="str">
        <f t="shared" si="27"/>
        <v/>
      </c>
      <c r="I448" s="19" t="str">
        <f t="shared" si="26"/>
        <v/>
      </c>
      <c r="J448" s="19" t="str">
        <f t="shared" si="28"/>
        <v/>
      </c>
      <c r="K448" s="20"/>
      <c r="L448" s="21" t="str">
        <f>IF(OR(NOT(AND($B448&lt;&gt;"",$C448&lt;&gt;"",$D448&lt;&gt;"",$E448&lt;&gt;"")),$A448="",$K448&lt;&gt;"Yes"),"",IF($L448&lt;&gt;"",$L448,INDEX(SETUP!$I$1:$I$2000,MATCH(TRUE,SETUP!$J$1:$J$2000,0)+COUNTIFS($A$2:$A448,"&lt;&gt;",$K$2:$K448,"Yes",$L$2:$L448,"")-1)))</f>
        <v/>
      </c>
      <c r="N448" s="22"/>
    </row>
    <row r="449" spans="1:14" x14ac:dyDescent="0.3">
      <c r="A449" s="15" t="str">
        <f>IF(COUNTA($B449:$E449,$K449)=0,"",IF(AND($B449&lt;&gt;"",$C449&lt;&gt;"",$D449&lt;&gt;"",$E449&lt;&gt;""),"TXS"&amp;TEXT(COUNTIFS($B$2:$B449,"&lt;&gt;",$C$2:$C449,"&lt;&gt;",$D$2:$D449,"&lt;&gt;",$E$2:$E449,"&lt;&gt;"),"00000"),""))</f>
        <v/>
      </c>
      <c r="B449" s="16"/>
      <c r="C449" s="20"/>
      <c r="D449" s="20"/>
      <c r="E449" s="23"/>
      <c r="H449" s="19" t="str">
        <f t="shared" si="27"/>
        <v/>
      </c>
      <c r="I449" s="19" t="str">
        <f t="shared" si="26"/>
        <v/>
      </c>
      <c r="J449" s="19" t="str">
        <f t="shared" si="28"/>
        <v/>
      </c>
      <c r="K449" s="20"/>
      <c r="L449" s="21" t="str">
        <f>IF(OR(NOT(AND($B449&lt;&gt;"",$C449&lt;&gt;"",$D449&lt;&gt;"",$E449&lt;&gt;"")),$A449="",$K449&lt;&gt;"Yes"),"",IF($L449&lt;&gt;"",$L449,INDEX(SETUP!$I$1:$I$2000,MATCH(TRUE,SETUP!$J$1:$J$2000,0)+COUNTIFS($A$2:$A449,"&lt;&gt;",$K$2:$K449,"Yes",$L$2:$L449,"")-1)))</f>
        <v/>
      </c>
      <c r="N449" s="22"/>
    </row>
    <row r="450" spans="1:14" x14ac:dyDescent="0.3">
      <c r="A450" s="15" t="str">
        <f>IF(COUNTA($B450:$E450,$K450)=0,"",IF(AND($B450&lt;&gt;"",$C450&lt;&gt;"",$D450&lt;&gt;"",$E450&lt;&gt;""),"TXS"&amp;TEXT(COUNTIFS($B$2:$B450,"&lt;&gt;",$C$2:$C450,"&lt;&gt;",$D$2:$D450,"&lt;&gt;",$E$2:$E450,"&lt;&gt;"),"00000"),""))</f>
        <v/>
      </c>
      <c r="B450" s="16"/>
      <c r="C450" s="20"/>
      <c r="D450" s="20"/>
      <c r="E450" s="23"/>
      <c r="H450" s="19" t="str">
        <f t="shared" si="27"/>
        <v/>
      </c>
      <c r="I450" s="19" t="str">
        <f t="shared" si="26"/>
        <v/>
      </c>
      <c r="J450" s="19" t="str">
        <f t="shared" si="28"/>
        <v/>
      </c>
      <c r="K450" s="20"/>
      <c r="L450" s="21" t="str">
        <f>IF(OR(NOT(AND($B450&lt;&gt;"",$C450&lt;&gt;"",$D450&lt;&gt;"",$E450&lt;&gt;"")),$A450="",$K450&lt;&gt;"Yes"),"",IF($L450&lt;&gt;"",$L450,INDEX(SETUP!$I$1:$I$2000,MATCH(TRUE,SETUP!$J$1:$J$2000,0)+COUNTIFS($A$2:$A450,"&lt;&gt;",$K$2:$K450,"Yes",$L$2:$L450,"")-1)))</f>
        <v/>
      </c>
      <c r="N450" s="22"/>
    </row>
    <row r="451" spans="1:14" x14ac:dyDescent="0.3">
      <c r="A451" s="15" t="str">
        <f>IF(COUNTA($B451:$E451,$K451)=0,"",IF(AND($B451&lt;&gt;"",$C451&lt;&gt;"",$D451&lt;&gt;"",$E451&lt;&gt;""),"TXS"&amp;TEXT(COUNTIFS($B$2:$B451,"&lt;&gt;",$C$2:$C451,"&lt;&gt;",$D$2:$D451,"&lt;&gt;",$E$2:$E451,"&lt;&gt;"),"00000"),""))</f>
        <v/>
      </c>
      <c r="B451" s="16"/>
      <c r="C451" s="20"/>
      <c r="D451" s="20"/>
      <c r="E451" s="23"/>
      <c r="H451" s="19" t="str">
        <f t="shared" si="27"/>
        <v/>
      </c>
      <c r="I451" s="19" t="str">
        <f t="shared" si="26"/>
        <v/>
      </c>
      <c r="J451" s="19" t="str">
        <f t="shared" si="28"/>
        <v/>
      </c>
      <c r="K451" s="20"/>
      <c r="L451" s="21" t="str">
        <f>IF(OR(NOT(AND($B451&lt;&gt;"",$C451&lt;&gt;"",$D451&lt;&gt;"",$E451&lt;&gt;"")),$A451="",$K451&lt;&gt;"Yes"),"",IF($L451&lt;&gt;"",$L451,INDEX(SETUP!$I$1:$I$2000,MATCH(TRUE,SETUP!$J$1:$J$2000,0)+COUNTIFS($A$2:$A451,"&lt;&gt;",$K$2:$K451,"Yes",$L$2:$L451,"")-1)))</f>
        <v/>
      </c>
      <c r="N451" s="22"/>
    </row>
    <row r="452" spans="1:14" x14ac:dyDescent="0.3">
      <c r="A452" s="15" t="str">
        <f>IF(COUNTA($B452:$E452,$K452)=0,"",IF(AND($B452&lt;&gt;"",$C452&lt;&gt;"",$D452&lt;&gt;"",$E452&lt;&gt;""),"TXS"&amp;TEXT(COUNTIFS($B$2:$B452,"&lt;&gt;",$C$2:$C452,"&lt;&gt;",$D$2:$D452,"&lt;&gt;",$E$2:$E452,"&lt;&gt;"),"00000"),""))</f>
        <v/>
      </c>
      <c r="B452" s="16"/>
      <c r="C452" s="20"/>
      <c r="D452" s="20"/>
      <c r="E452" s="23"/>
      <c r="H452" s="19" t="str">
        <f t="shared" si="27"/>
        <v/>
      </c>
      <c r="I452" s="19" t="str">
        <f t="shared" si="26"/>
        <v/>
      </c>
      <c r="J452" s="19" t="str">
        <f t="shared" si="28"/>
        <v/>
      </c>
      <c r="K452" s="20"/>
      <c r="L452" s="21" t="str">
        <f>IF(OR(NOT(AND($B452&lt;&gt;"",$C452&lt;&gt;"",$D452&lt;&gt;"",$E452&lt;&gt;"")),$A452="",$K452&lt;&gt;"Yes"),"",IF($L452&lt;&gt;"",$L452,INDEX(SETUP!$I$1:$I$2000,MATCH(TRUE,SETUP!$J$1:$J$2000,0)+COUNTIFS($A$2:$A452,"&lt;&gt;",$K$2:$K452,"Yes",$L$2:$L452,"")-1)))</f>
        <v/>
      </c>
      <c r="N452" s="22"/>
    </row>
    <row r="453" spans="1:14" x14ac:dyDescent="0.3">
      <c r="A453" s="15" t="str">
        <f>IF(COUNTA($B453:$E453,$K453)=0,"",IF(AND($B453&lt;&gt;"",$C453&lt;&gt;"",$D453&lt;&gt;"",$E453&lt;&gt;""),"TXS"&amp;TEXT(COUNTIFS($B$2:$B453,"&lt;&gt;",$C$2:$C453,"&lt;&gt;",$D$2:$D453,"&lt;&gt;",$E$2:$E453,"&lt;&gt;"),"00000"),""))</f>
        <v/>
      </c>
      <c r="B453" s="16"/>
      <c r="C453" s="20"/>
      <c r="D453" s="20"/>
      <c r="E453" s="23"/>
      <c r="H453" s="19" t="str">
        <f t="shared" si="27"/>
        <v/>
      </c>
      <c r="I453" s="19" t="str">
        <f t="shared" si="26"/>
        <v/>
      </c>
      <c r="J453" s="19" t="str">
        <f t="shared" si="28"/>
        <v/>
      </c>
      <c r="K453" s="20"/>
      <c r="L453" s="21" t="str">
        <f>IF(OR(NOT(AND($B453&lt;&gt;"",$C453&lt;&gt;"",$D453&lt;&gt;"",$E453&lt;&gt;"")),$A453="",$K453&lt;&gt;"Yes"),"",IF($L453&lt;&gt;"",$L453,INDEX(SETUP!$I$1:$I$2000,MATCH(TRUE,SETUP!$J$1:$J$2000,0)+COUNTIFS($A$2:$A453,"&lt;&gt;",$K$2:$K453,"Yes",$L$2:$L453,"")-1)))</f>
        <v/>
      </c>
      <c r="N453" s="22"/>
    </row>
    <row r="454" spans="1:14" x14ac:dyDescent="0.3">
      <c r="A454" s="15" t="str">
        <f>IF(COUNTA($B454:$E454,$K454)=0,"",IF(AND($B454&lt;&gt;"",$C454&lt;&gt;"",$D454&lt;&gt;"",$E454&lt;&gt;""),"TXS"&amp;TEXT(COUNTIFS($B$2:$B454,"&lt;&gt;",$C$2:$C454,"&lt;&gt;",$D$2:$D454,"&lt;&gt;",$E$2:$E454,"&lt;&gt;"),"00000"),""))</f>
        <v/>
      </c>
      <c r="B454" s="16"/>
      <c r="C454" s="20"/>
      <c r="D454" s="20"/>
      <c r="E454" s="23"/>
      <c r="H454" s="19" t="str">
        <f t="shared" si="27"/>
        <v/>
      </c>
      <c r="I454" s="19" t="str">
        <f t="shared" si="26"/>
        <v/>
      </c>
      <c r="J454" s="19" t="str">
        <f t="shared" si="28"/>
        <v/>
      </c>
      <c r="K454" s="20"/>
      <c r="L454" s="21" t="str">
        <f>IF(OR(NOT(AND($B454&lt;&gt;"",$C454&lt;&gt;"",$D454&lt;&gt;"",$E454&lt;&gt;"")),$A454="",$K454&lt;&gt;"Yes"),"",IF($L454&lt;&gt;"",$L454,INDEX(SETUP!$I$1:$I$2000,MATCH(TRUE,SETUP!$J$1:$J$2000,0)+COUNTIFS($A$2:$A454,"&lt;&gt;",$K$2:$K454,"Yes",$L$2:$L454,"")-1)))</f>
        <v/>
      </c>
      <c r="N454" s="22"/>
    </row>
    <row r="455" spans="1:14" x14ac:dyDescent="0.3">
      <c r="A455" s="15" t="str">
        <f>IF(COUNTA($B455:$E455,$K455)=0,"",IF(AND($B455&lt;&gt;"",$C455&lt;&gt;"",$D455&lt;&gt;"",$E455&lt;&gt;""),"TXS"&amp;TEXT(COUNTIFS($B$2:$B455,"&lt;&gt;",$C$2:$C455,"&lt;&gt;",$D$2:$D455,"&lt;&gt;",$E$2:$E455,"&lt;&gt;"),"00000"),""))</f>
        <v/>
      </c>
      <c r="B455" s="16"/>
      <c r="C455" s="20"/>
      <c r="D455" s="20"/>
      <c r="E455" s="23"/>
      <c r="H455" s="19" t="str">
        <f t="shared" si="27"/>
        <v/>
      </c>
      <c r="I455" s="19" t="str">
        <f t="shared" si="26"/>
        <v/>
      </c>
      <c r="J455" s="19" t="str">
        <f t="shared" si="28"/>
        <v/>
      </c>
      <c r="K455" s="20"/>
      <c r="L455" s="21" t="str">
        <f>IF(OR(NOT(AND($B455&lt;&gt;"",$C455&lt;&gt;"",$D455&lt;&gt;"",$E455&lt;&gt;"")),$A455="",$K455&lt;&gt;"Yes"),"",IF($L455&lt;&gt;"",$L455,INDEX(SETUP!$I$1:$I$2000,MATCH(TRUE,SETUP!$J$1:$J$2000,0)+COUNTIFS($A$2:$A455,"&lt;&gt;",$K$2:$K455,"Yes",$L$2:$L455,"")-1)))</f>
        <v/>
      </c>
      <c r="N455" s="22"/>
    </row>
    <row r="456" spans="1:14" x14ac:dyDescent="0.3">
      <c r="A456" s="15" t="str">
        <f>IF(COUNTA($B456:$E456,$K456)=0,"",IF(AND($B456&lt;&gt;"",$C456&lt;&gt;"",$D456&lt;&gt;"",$E456&lt;&gt;""),"TXS"&amp;TEXT(COUNTIFS($B$2:$B456,"&lt;&gt;",$C$2:$C456,"&lt;&gt;",$D$2:$D456,"&lt;&gt;",$E$2:$E456,"&lt;&gt;"),"00000"),""))</f>
        <v/>
      </c>
      <c r="B456" s="16"/>
      <c r="C456" s="20"/>
      <c r="D456" s="20"/>
      <c r="E456" s="23"/>
      <c r="H456" s="19" t="str">
        <f t="shared" si="27"/>
        <v/>
      </c>
      <c r="I456" s="19" t="str">
        <f t="shared" si="26"/>
        <v/>
      </c>
      <c r="J456" s="19" t="str">
        <f t="shared" si="28"/>
        <v/>
      </c>
      <c r="K456" s="20"/>
      <c r="L456" s="21" t="str">
        <f>IF(OR(NOT(AND($B456&lt;&gt;"",$C456&lt;&gt;"",$D456&lt;&gt;"",$E456&lt;&gt;"")),$A456="",$K456&lt;&gt;"Yes"),"",IF($L456&lt;&gt;"",$L456,INDEX(SETUP!$I$1:$I$2000,MATCH(TRUE,SETUP!$J$1:$J$2000,0)+COUNTIFS($A$2:$A456,"&lt;&gt;",$K$2:$K456,"Yes",$L$2:$L456,"")-1)))</f>
        <v/>
      </c>
      <c r="N456" s="22"/>
    </row>
    <row r="457" spans="1:14" x14ac:dyDescent="0.3">
      <c r="A457" s="15" t="str">
        <f>IF(COUNTA($B457:$E457,$K457)=0,"",IF(AND($B457&lt;&gt;"",$C457&lt;&gt;"",$D457&lt;&gt;"",$E457&lt;&gt;""),"TXS"&amp;TEXT(COUNTIFS($B$2:$B457,"&lt;&gt;",$C$2:$C457,"&lt;&gt;",$D$2:$D457,"&lt;&gt;",$E$2:$E457,"&lt;&gt;"),"00000"),""))</f>
        <v/>
      </c>
      <c r="B457" s="16"/>
      <c r="C457" s="20"/>
      <c r="D457" s="20"/>
      <c r="E457" s="23"/>
      <c r="H457" s="19" t="str">
        <f t="shared" si="27"/>
        <v/>
      </c>
      <c r="I457" s="19" t="str">
        <f t="shared" si="26"/>
        <v/>
      </c>
      <c r="J457" s="19" t="str">
        <f t="shared" si="28"/>
        <v/>
      </c>
      <c r="K457" s="20"/>
      <c r="L457" s="21" t="str">
        <f>IF(OR(NOT(AND($B457&lt;&gt;"",$C457&lt;&gt;"",$D457&lt;&gt;"",$E457&lt;&gt;"")),$A457="",$K457&lt;&gt;"Yes"),"",IF($L457&lt;&gt;"",$L457,INDEX(SETUP!$I$1:$I$2000,MATCH(TRUE,SETUP!$J$1:$J$2000,0)+COUNTIFS($A$2:$A457,"&lt;&gt;",$K$2:$K457,"Yes",$L$2:$L457,"")-1)))</f>
        <v/>
      </c>
      <c r="N457" s="22"/>
    </row>
    <row r="458" spans="1:14" x14ac:dyDescent="0.3">
      <c r="A458" s="15" t="str">
        <f>IF(COUNTA($B458:$E458,$K458)=0,"",IF(AND($B458&lt;&gt;"",$C458&lt;&gt;"",$D458&lt;&gt;"",$E458&lt;&gt;""),"TXS"&amp;TEXT(COUNTIFS($B$2:$B458,"&lt;&gt;",$C$2:$C458,"&lt;&gt;",$D$2:$D458,"&lt;&gt;",$E$2:$E458,"&lt;&gt;"),"00000"),""))</f>
        <v/>
      </c>
      <c r="B458" s="16"/>
      <c r="C458" s="20"/>
      <c r="D458" s="20"/>
      <c r="E458" s="23"/>
      <c r="H458" s="19" t="str">
        <f t="shared" si="27"/>
        <v/>
      </c>
      <c r="I458" s="19" t="str">
        <f t="shared" si="26"/>
        <v/>
      </c>
      <c r="J458" s="19" t="str">
        <f t="shared" si="28"/>
        <v/>
      </c>
      <c r="K458" s="20"/>
      <c r="L458" s="21" t="str">
        <f>IF(OR(NOT(AND($B458&lt;&gt;"",$C458&lt;&gt;"",$D458&lt;&gt;"",$E458&lt;&gt;"")),$A458="",$K458&lt;&gt;"Yes"),"",IF($L458&lt;&gt;"",$L458,INDEX(SETUP!$I$1:$I$2000,MATCH(TRUE,SETUP!$J$1:$J$2000,0)+COUNTIFS($A$2:$A458,"&lt;&gt;",$K$2:$K458,"Yes",$L$2:$L458,"")-1)))</f>
        <v/>
      </c>
      <c r="N458" s="22"/>
    </row>
    <row r="459" spans="1:14" x14ac:dyDescent="0.3">
      <c r="A459" s="15" t="str">
        <f>IF(COUNTA($B459:$E459,$K459)=0,"",IF(AND($B459&lt;&gt;"",$C459&lt;&gt;"",$D459&lt;&gt;"",$E459&lt;&gt;""),"TXS"&amp;TEXT(COUNTIFS($B$2:$B459,"&lt;&gt;",$C$2:$C459,"&lt;&gt;",$D$2:$D459,"&lt;&gt;",$E$2:$E459,"&lt;&gt;"),"00000"),""))</f>
        <v/>
      </c>
      <c r="B459" s="16"/>
      <c r="C459" s="20"/>
      <c r="D459" s="20"/>
      <c r="E459" s="23"/>
      <c r="H459" s="19" t="str">
        <f t="shared" si="27"/>
        <v/>
      </c>
      <c r="I459" s="19" t="str">
        <f t="shared" si="26"/>
        <v/>
      </c>
      <c r="J459" s="19" t="str">
        <f t="shared" si="28"/>
        <v/>
      </c>
      <c r="K459" s="20"/>
      <c r="L459" s="21" t="str">
        <f>IF(OR(NOT(AND($B459&lt;&gt;"",$C459&lt;&gt;"",$D459&lt;&gt;"",$E459&lt;&gt;"")),$A459="",$K459&lt;&gt;"Yes"),"",IF($L459&lt;&gt;"",$L459,INDEX(SETUP!$I$1:$I$2000,MATCH(TRUE,SETUP!$J$1:$J$2000,0)+COUNTIFS($A$2:$A459,"&lt;&gt;",$K$2:$K459,"Yes",$L$2:$L459,"")-1)))</f>
        <v/>
      </c>
      <c r="N459" s="22"/>
    </row>
    <row r="460" spans="1:14" x14ac:dyDescent="0.3">
      <c r="A460" s="15" t="str">
        <f>IF(COUNTA($B460:$E460,$K460)=0,"",IF(AND($B460&lt;&gt;"",$C460&lt;&gt;"",$D460&lt;&gt;"",$E460&lt;&gt;""),"TXS"&amp;TEXT(COUNTIFS($B$2:$B460,"&lt;&gt;",$C$2:$C460,"&lt;&gt;",$D$2:$D460,"&lt;&gt;",$E$2:$E460,"&lt;&gt;"),"00000"),""))</f>
        <v/>
      </c>
      <c r="B460" s="16"/>
      <c r="C460" s="20"/>
      <c r="D460" s="20"/>
      <c r="E460" s="23"/>
      <c r="H460" s="19" t="str">
        <f t="shared" si="27"/>
        <v/>
      </c>
      <c r="I460" s="19" t="str">
        <f t="shared" si="26"/>
        <v/>
      </c>
      <c r="J460" s="19" t="str">
        <f t="shared" si="28"/>
        <v/>
      </c>
      <c r="K460" s="20"/>
      <c r="L460" s="21" t="str">
        <f>IF(OR(NOT(AND($B460&lt;&gt;"",$C460&lt;&gt;"",$D460&lt;&gt;"",$E460&lt;&gt;"")),$A460="",$K460&lt;&gt;"Yes"),"",IF($L460&lt;&gt;"",$L460,INDEX(SETUP!$I$1:$I$2000,MATCH(TRUE,SETUP!$J$1:$J$2000,0)+COUNTIFS($A$2:$A460,"&lt;&gt;",$K$2:$K460,"Yes",$L$2:$L460,"")-1)))</f>
        <v/>
      </c>
      <c r="N460" s="22"/>
    </row>
    <row r="461" spans="1:14" x14ac:dyDescent="0.3">
      <c r="A461" s="15" t="str">
        <f>IF(COUNTA($B461:$E461,$K461)=0,"",IF(AND($B461&lt;&gt;"",$C461&lt;&gt;"",$D461&lt;&gt;"",$E461&lt;&gt;""),"TXS"&amp;TEXT(COUNTIFS($B$2:$B461,"&lt;&gt;",$C$2:$C461,"&lt;&gt;",$D$2:$D461,"&lt;&gt;",$E$2:$E461,"&lt;&gt;"),"00000"),""))</f>
        <v/>
      </c>
      <c r="B461" s="16"/>
      <c r="C461" s="20"/>
      <c r="D461" s="20"/>
      <c r="E461" s="23"/>
      <c r="H461" s="19" t="str">
        <f t="shared" si="27"/>
        <v/>
      </c>
      <c r="I461" s="19" t="str">
        <f t="shared" si="26"/>
        <v/>
      </c>
      <c r="J461" s="19" t="str">
        <f t="shared" si="28"/>
        <v/>
      </c>
      <c r="K461" s="20"/>
      <c r="L461" s="21" t="str">
        <f>IF(OR(NOT(AND($B461&lt;&gt;"",$C461&lt;&gt;"",$D461&lt;&gt;"",$E461&lt;&gt;"")),$A461="",$K461&lt;&gt;"Yes"),"",IF($L461&lt;&gt;"",$L461,INDEX(SETUP!$I$1:$I$2000,MATCH(TRUE,SETUP!$J$1:$J$2000,0)+COUNTIFS($A$2:$A461,"&lt;&gt;",$K$2:$K461,"Yes",$L$2:$L461,"")-1)))</f>
        <v/>
      </c>
      <c r="N461" s="22"/>
    </row>
    <row r="462" spans="1:14" x14ac:dyDescent="0.3">
      <c r="A462" s="15" t="str">
        <f>IF(COUNTA($B462:$E462,$K462)=0,"",IF(AND($B462&lt;&gt;"",$C462&lt;&gt;"",$D462&lt;&gt;"",$E462&lt;&gt;""),"TXS"&amp;TEXT(COUNTIFS($B$2:$B462,"&lt;&gt;",$C$2:$C462,"&lt;&gt;",$D$2:$D462,"&lt;&gt;",$E$2:$E462,"&lt;&gt;"),"00000"),""))</f>
        <v/>
      </c>
      <c r="B462" s="16"/>
      <c r="C462" s="20"/>
      <c r="D462" s="20"/>
      <c r="E462" s="23"/>
      <c r="H462" s="19" t="str">
        <f t="shared" si="27"/>
        <v/>
      </c>
      <c r="I462" s="19" t="str">
        <f t="shared" si="26"/>
        <v/>
      </c>
      <c r="J462" s="19" t="str">
        <f t="shared" si="28"/>
        <v/>
      </c>
      <c r="K462" s="20"/>
      <c r="L462" s="21" t="str">
        <f>IF(OR(NOT(AND($B462&lt;&gt;"",$C462&lt;&gt;"",$D462&lt;&gt;"",$E462&lt;&gt;"")),$A462="",$K462&lt;&gt;"Yes"),"",IF($L462&lt;&gt;"",$L462,INDEX(SETUP!$I$1:$I$2000,MATCH(TRUE,SETUP!$J$1:$J$2000,0)+COUNTIFS($A$2:$A462,"&lt;&gt;",$K$2:$K462,"Yes",$L$2:$L462,"")-1)))</f>
        <v/>
      </c>
      <c r="N462" s="22"/>
    </row>
    <row r="463" spans="1:14" x14ac:dyDescent="0.3">
      <c r="A463" s="15" t="str">
        <f>IF(COUNTA($B463:$E463,$K463)=0,"",IF(AND($B463&lt;&gt;"",$C463&lt;&gt;"",$D463&lt;&gt;"",$E463&lt;&gt;""),"TXS"&amp;TEXT(COUNTIFS($B$2:$B463,"&lt;&gt;",$C$2:$C463,"&lt;&gt;",$D$2:$D463,"&lt;&gt;",$E$2:$E463,"&lt;&gt;"),"00000"),""))</f>
        <v/>
      </c>
      <c r="B463" s="16"/>
      <c r="C463" s="20"/>
      <c r="D463" s="20"/>
      <c r="E463" s="23"/>
      <c r="H463" s="19" t="str">
        <f t="shared" si="27"/>
        <v/>
      </c>
      <c r="I463" s="19" t="str">
        <f t="shared" si="26"/>
        <v/>
      </c>
      <c r="J463" s="19" t="str">
        <f t="shared" si="28"/>
        <v/>
      </c>
      <c r="K463" s="20"/>
      <c r="L463" s="21" t="str">
        <f>IF(OR(NOT(AND($B463&lt;&gt;"",$C463&lt;&gt;"",$D463&lt;&gt;"",$E463&lt;&gt;"")),$A463="",$K463&lt;&gt;"Yes"),"",IF($L463&lt;&gt;"",$L463,INDEX(SETUP!$I$1:$I$2000,MATCH(TRUE,SETUP!$J$1:$J$2000,0)+COUNTIFS($A$2:$A463,"&lt;&gt;",$K$2:$K463,"Yes",$L$2:$L463,"")-1)))</f>
        <v/>
      </c>
      <c r="N463" s="22"/>
    </row>
    <row r="464" spans="1:14" x14ac:dyDescent="0.3">
      <c r="A464" s="15" t="str">
        <f>IF(COUNTA($B464:$E464,$K464)=0,"",IF(AND($B464&lt;&gt;"",$C464&lt;&gt;"",$D464&lt;&gt;"",$E464&lt;&gt;""),"TXS"&amp;TEXT(COUNTIFS($B$2:$B464,"&lt;&gt;",$C$2:$C464,"&lt;&gt;",$D$2:$D464,"&lt;&gt;",$E$2:$E464,"&lt;&gt;"),"00000"),""))</f>
        <v/>
      </c>
      <c r="B464" s="16"/>
      <c r="C464" s="20"/>
      <c r="D464" s="20"/>
      <c r="E464" s="23"/>
      <c r="H464" s="19" t="str">
        <f t="shared" si="27"/>
        <v/>
      </c>
      <c r="I464" s="19" t="str">
        <f t="shared" si="26"/>
        <v/>
      </c>
      <c r="J464" s="19" t="str">
        <f t="shared" si="28"/>
        <v/>
      </c>
      <c r="K464" s="20"/>
      <c r="L464" s="21" t="str">
        <f>IF(OR(NOT(AND($B464&lt;&gt;"",$C464&lt;&gt;"",$D464&lt;&gt;"",$E464&lt;&gt;"")),$A464="",$K464&lt;&gt;"Yes"),"",IF($L464&lt;&gt;"",$L464,INDEX(SETUP!$I$1:$I$2000,MATCH(TRUE,SETUP!$J$1:$J$2000,0)+COUNTIFS($A$2:$A464,"&lt;&gt;",$K$2:$K464,"Yes",$L$2:$L464,"")-1)))</f>
        <v/>
      </c>
      <c r="N464" s="22"/>
    </row>
    <row r="465" spans="1:14" x14ac:dyDescent="0.3">
      <c r="A465" s="15" t="str">
        <f>IF(COUNTA($B465:$E465,$K465)=0,"",IF(AND($B465&lt;&gt;"",$C465&lt;&gt;"",$D465&lt;&gt;"",$E465&lt;&gt;""),"TXS"&amp;TEXT(COUNTIFS($B$2:$B465,"&lt;&gt;",$C$2:$C465,"&lt;&gt;",$D$2:$D465,"&lt;&gt;",$E$2:$E465,"&lt;&gt;"),"00000"),""))</f>
        <v/>
      </c>
      <c r="B465" s="16"/>
      <c r="C465" s="20"/>
      <c r="D465" s="20"/>
      <c r="E465" s="23"/>
      <c r="H465" s="19" t="str">
        <f t="shared" si="27"/>
        <v/>
      </c>
      <c r="I465" s="19" t="str">
        <f t="shared" si="26"/>
        <v/>
      </c>
      <c r="J465" s="19" t="str">
        <f t="shared" si="28"/>
        <v/>
      </c>
      <c r="K465" s="20"/>
      <c r="L465" s="21" t="str">
        <f>IF(OR(NOT(AND($B465&lt;&gt;"",$C465&lt;&gt;"",$D465&lt;&gt;"",$E465&lt;&gt;"")),$A465="",$K465&lt;&gt;"Yes"),"",IF($L465&lt;&gt;"",$L465,INDEX(SETUP!$I$1:$I$2000,MATCH(TRUE,SETUP!$J$1:$J$2000,0)+COUNTIFS($A$2:$A465,"&lt;&gt;",$K$2:$K465,"Yes",$L$2:$L465,"")-1)))</f>
        <v/>
      </c>
      <c r="N465" s="22"/>
    </row>
    <row r="466" spans="1:14" x14ac:dyDescent="0.3">
      <c r="A466" s="15" t="str">
        <f>IF(COUNTA($B466:$E466,$K466)=0,"",IF(AND($B466&lt;&gt;"",$C466&lt;&gt;"",$D466&lt;&gt;"",$E466&lt;&gt;""),"TXS"&amp;TEXT(COUNTIFS($B$2:$B466,"&lt;&gt;",$C$2:$C466,"&lt;&gt;",$D$2:$D466,"&lt;&gt;",$E$2:$E466,"&lt;&gt;"),"00000"),""))</f>
        <v/>
      </c>
      <c r="B466" s="16"/>
      <c r="C466" s="20"/>
      <c r="D466" s="20"/>
      <c r="E466" s="23"/>
      <c r="H466" s="19" t="str">
        <f t="shared" si="27"/>
        <v/>
      </c>
      <c r="I466" s="19" t="str">
        <f t="shared" si="26"/>
        <v/>
      </c>
      <c r="J466" s="19" t="str">
        <f t="shared" si="28"/>
        <v/>
      </c>
      <c r="K466" s="20"/>
      <c r="L466" s="21" t="str">
        <f>IF(OR(NOT(AND($B466&lt;&gt;"",$C466&lt;&gt;"",$D466&lt;&gt;"",$E466&lt;&gt;"")),$A466="",$K466&lt;&gt;"Yes"),"",IF($L466&lt;&gt;"",$L466,INDEX(SETUP!$I$1:$I$2000,MATCH(TRUE,SETUP!$J$1:$J$2000,0)+COUNTIFS($A$2:$A466,"&lt;&gt;",$K$2:$K466,"Yes",$L$2:$L466,"")-1)))</f>
        <v/>
      </c>
      <c r="N466" s="22"/>
    </row>
    <row r="467" spans="1:14" x14ac:dyDescent="0.3">
      <c r="A467" s="15" t="str">
        <f>IF(COUNTA($B467:$E467,$K467)=0,"",IF(AND($B467&lt;&gt;"",$C467&lt;&gt;"",$D467&lt;&gt;"",$E467&lt;&gt;""),"TXS"&amp;TEXT(COUNTIFS($B$2:$B467,"&lt;&gt;",$C$2:$C467,"&lt;&gt;",$D$2:$D467,"&lt;&gt;",$E$2:$E467,"&lt;&gt;"),"00000"),""))</f>
        <v/>
      </c>
      <c r="B467" s="16"/>
      <c r="C467" s="20"/>
      <c r="D467" s="20"/>
      <c r="E467" s="23"/>
      <c r="H467" s="19" t="str">
        <f t="shared" si="27"/>
        <v/>
      </c>
      <c r="I467" s="19" t="str">
        <f t="shared" si="26"/>
        <v/>
      </c>
      <c r="J467" s="19" t="str">
        <f t="shared" si="28"/>
        <v/>
      </c>
      <c r="K467" s="20"/>
      <c r="L467" s="21" t="str">
        <f>IF(OR(NOT(AND($B467&lt;&gt;"",$C467&lt;&gt;"",$D467&lt;&gt;"",$E467&lt;&gt;"")),$A467="",$K467&lt;&gt;"Yes"),"",IF($L467&lt;&gt;"",$L467,INDEX(SETUP!$I$1:$I$2000,MATCH(TRUE,SETUP!$J$1:$J$2000,0)+COUNTIFS($A$2:$A467,"&lt;&gt;",$K$2:$K467,"Yes",$L$2:$L467,"")-1)))</f>
        <v/>
      </c>
      <c r="N467" s="22"/>
    </row>
    <row r="468" spans="1:14" x14ac:dyDescent="0.3">
      <c r="A468" s="15" t="str">
        <f>IF(COUNTA($B468:$E468,$K468)=0,"",IF(AND($B468&lt;&gt;"",$C468&lt;&gt;"",$D468&lt;&gt;"",$E468&lt;&gt;""),"TXS"&amp;TEXT(COUNTIFS($B$2:$B468,"&lt;&gt;",$C$2:$C468,"&lt;&gt;",$D$2:$D468,"&lt;&gt;",$E$2:$E468,"&lt;&gt;"),"00000"),""))</f>
        <v/>
      </c>
      <c r="B468" s="16"/>
      <c r="C468" s="20"/>
      <c r="D468" s="20"/>
      <c r="E468" s="23"/>
      <c r="H468" s="19" t="str">
        <f t="shared" si="27"/>
        <v/>
      </c>
      <c r="I468" s="19" t="str">
        <f t="shared" si="26"/>
        <v/>
      </c>
      <c r="J468" s="19" t="str">
        <f t="shared" si="28"/>
        <v/>
      </c>
      <c r="K468" s="20"/>
      <c r="L468" s="21" t="str">
        <f>IF(OR(NOT(AND($B468&lt;&gt;"",$C468&lt;&gt;"",$D468&lt;&gt;"",$E468&lt;&gt;"")),$A468="",$K468&lt;&gt;"Yes"),"",IF($L468&lt;&gt;"",$L468,INDEX(SETUP!$I$1:$I$2000,MATCH(TRUE,SETUP!$J$1:$J$2000,0)+COUNTIFS($A$2:$A468,"&lt;&gt;",$K$2:$K468,"Yes",$L$2:$L468,"")-1)))</f>
        <v/>
      </c>
      <c r="N468" s="22"/>
    </row>
    <row r="469" spans="1:14" x14ac:dyDescent="0.3">
      <c r="A469" s="15" t="str">
        <f>IF(COUNTA($B469:$E469,$K469)=0,"",IF(AND($B469&lt;&gt;"",$C469&lt;&gt;"",$D469&lt;&gt;"",$E469&lt;&gt;""),"TXS"&amp;TEXT(COUNTIFS($B$2:$B469,"&lt;&gt;",$C$2:$C469,"&lt;&gt;",$D$2:$D469,"&lt;&gt;",$E$2:$E469,"&lt;&gt;"),"00000"),""))</f>
        <v/>
      </c>
      <c r="B469" s="16"/>
      <c r="C469" s="20"/>
      <c r="D469" s="20"/>
      <c r="E469" s="23"/>
      <c r="H469" s="19" t="str">
        <f t="shared" si="27"/>
        <v/>
      </c>
      <c r="I469" s="19" t="str">
        <f t="shared" si="26"/>
        <v/>
      </c>
      <c r="J469" s="19" t="str">
        <f t="shared" si="28"/>
        <v/>
      </c>
      <c r="K469" s="20"/>
      <c r="L469" s="21" t="str">
        <f>IF(OR(NOT(AND($B469&lt;&gt;"",$C469&lt;&gt;"",$D469&lt;&gt;"",$E469&lt;&gt;"")),$A469="",$K469&lt;&gt;"Yes"),"",IF($L469&lt;&gt;"",$L469,INDEX(SETUP!$I$1:$I$2000,MATCH(TRUE,SETUP!$J$1:$J$2000,0)+COUNTIFS($A$2:$A469,"&lt;&gt;",$K$2:$K469,"Yes",$L$2:$L469,"")-1)))</f>
        <v/>
      </c>
      <c r="N469" s="22"/>
    </row>
    <row r="470" spans="1:14" x14ac:dyDescent="0.3">
      <c r="A470" s="15" t="str">
        <f>IF(COUNTA($B470:$E470,$K470)=0,"",IF(AND($B470&lt;&gt;"",$C470&lt;&gt;"",$D470&lt;&gt;"",$E470&lt;&gt;""),"TXS"&amp;TEXT(COUNTIFS($B$2:$B470,"&lt;&gt;",$C$2:$C470,"&lt;&gt;",$D$2:$D470,"&lt;&gt;",$E$2:$E470,"&lt;&gt;"),"00000"),""))</f>
        <v/>
      </c>
      <c r="B470" s="16"/>
      <c r="C470" s="20"/>
      <c r="D470" s="20"/>
      <c r="E470" s="23"/>
      <c r="H470" s="19" t="str">
        <f t="shared" si="27"/>
        <v/>
      </c>
      <c r="I470" s="19" t="str">
        <f t="shared" si="26"/>
        <v/>
      </c>
      <c r="J470" s="19" t="str">
        <f t="shared" si="28"/>
        <v/>
      </c>
      <c r="K470" s="20"/>
      <c r="L470" s="21" t="str">
        <f>IF(OR(NOT(AND($B470&lt;&gt;"",$C470&lt;&gt;"",$D470&lt;&gt;"",$E470&lt;&gt;"")),$A470="",$K470&lt;&gt;"Yes"),"",IF($L470&lt;&gt;"",$L470,INDEX(SETUP!$I$1:$I$2000,MATCH(TRUE,SETUP!$J$1:$J$2000,0)+COUNTIFS($A$2:$A470,"&lt;&gt;",$K$2:$K470,"Yes",$L$2:$L470,"")-1)))</f>
        <v/>
      </c>
      <c r="N470" s="22"/>
    </row>
    <row r="471" spans="1:14" x14ac:dyDescent="0.3">
      <c r="A471" s="15" t="str">
        <f>IF(COUNTA($B471:$E471,$K471)=0,"",IF(AND($B471&lt;&gt;"",$C471&lt;&gt;"",$D471&lt;&gt;"",$E471&lt;&gt;""),"TXS"&amp;TEXT(COUNTIFS($B$2:$B471,"&lt;&gt;",$C$2:$C471,"&lt;&gt;",$D$2:$D471,"&lt;&gt;",$E$2:$E471,"&lt;&gt;"),"00000"),""))</f>
        <v/>
      </c>
      <c r="B471" s="16"/>
      <c r="C471" s="20"/>
      <c r="D471" s="20"/>
      <c r="E471" s="23"/>
      <c r="H471" s="19" t="str">
        <f t="shared" si="27"/>
        <v/>
      </c>
      <c r="I471" s="19" t="str">
        <f t="shared" si="26"/>
        <v/>
      </c>
      <c r="J471" s="19" t="str">
        <f t="shared" si="28"/>
        <v/>
      </c>
      <c r="K471" s="20"/>
      <c r="L471" s="21" t="str">
        <f>IF(OR(NOT(AND($B471&lt;&gt;"",$C471&lt;&gt;"",$D471&lt;&gt;"",$E471&lt;&gt;"")),$A471="",$K471&lt;&gt;"Yes"),"",IF($L471&lt;&gt;"",$L471,INDEX(SETUP!$I$1:$I$2000,MATCH(TRUE,SETUP!$J$1:$J$2000,0)+COUNTIFS($A$2:$A471,"&lt;&gt;",$K$2:$K471,"Yes",$L$2:$L471,"")-1)))</f>
        <v/>
      </c>
      <c r="N471" s="22"/>
    </row>
    <row r="472" spans="1:14" x14ac:dyDescent="0.3">
      <c r="A472" s="15" t="str">
        <f>IF(COUNTA($B472:$E472,$K472)=0,"",IF(AND($B472&lt;&gt;"",$C472&lt;&gt;"",$D472&lt;&gt;"",$E472&lt;&gt;""),"TXS"&amp;TEXT(COUNTIFS($B$2:$B472,"&lt;&gt;",$C$2:$C472,"&lt;&gt;",$D$2:$D472,"&lt;&gt;",$E$2:$E472,"&lt;&gt;"),"00000"),""))</f>
        <v/>
      </c>
      <c r="B472" s="16"/>
      <c r="C472" s="20"/>
      <c r="D472" s="20"/>
      <c r="E472" s="23"/>
      <c r="H472" s="19" t="str">
        <f t="shared" si="27"/>
        <v/>
      </c>
      <c r="I472" s="19" t="str">
        <f t="shared" si="26"/>
        <v/>
      </c>
      <c r="J472" s="19" t="str">
        <f t="shared" si="28"/>
        <v/>
      </c>
      <c r="K472" s="20"/>
      <c r="L472" s="21" t="str">
        <f>IF(OR(NOT(AND($B472&lt;&gt;"",$C472&lt;&gt;"",$D472&lt;&gt;"",$E472&lt;&gt;"")),$A472="",$K472&lt;&gt;"Yes"),"",IF($L472&lt;&gt;"",$L472,INDEX(SETUP!$I$1:$I$2000,MATCH(TRUE,SETUP!$J$1:$J$2000,0)+COUNTIFS($A$2:$A472,"&lt;&gt;",$K$2:$K472,"Yes",$L$2:$L472,"")-1)))</f>
        <v/>
      </c>
      <c r="N472" s="22"/>
    </row>
    <row r="473" spans="1:14" x14ac:dyDescent="0.3">
      <c r="A473" s="15" t="str">
        <f>IF(COUNTA($B473:$E473,$K473)=0,"",IF(AND($B473&lt;&gt;"",$C473&lt;&gt;"",$D473&lt;&gt;"",$E473&lt;&gt;""),"TXS"&amp;TEXT(COUNTIFS($B$2:$B473,"&lt;&gt;",$C$2:$C473,"&lt;&gt;",$D$2:$D473,"&lt;&gt;",$E$2:$E473,"&lt;&gt;"),"00000"),""))</f>
        <v/>
      </c>
      <c r="B473" s="16"/>
      <c r="C473" s="20"/>
      <c r="D473" s="20"/>
      <c r="E473" s="23"/>
      <c r="H473" s="19" t="str">
        <f t="shared" si="27"/>
        <v/>
      </c>
      <c r="I473" s="19" t="str">
        <f t="shared" si="26"/>
        <v/>
      </c>
      <c r="J473" s="19" t="str">
        <f t="shared" si="28"/>
        <v/>
      </c>
      <c r="K473" s="20"/>
      <c r="L473" s="21" t="str">
        <f>IF(OR(NOT(AND($B473&lt;&gt;"",$C473&lt;&gt;"",$D473&lt;&gt;"",$E473&lt;&gt;"")),$A473="",$K473&lt;&gt;"Yes"),"",IF($L473&lt;&gt;"",$L473,INDEX(SETUP!$I$1:$I$2000,MATCH(TRUE,SETUP!$J$1:$J$2000,0)+COUNTIFS($A$2:$A473,"&lt;&gt;",$K$2:$K473,"Yes",$L$2:$L473,"")-1)))</f>
        <v/>
      </c>
      <c r="N473" s="22"/>
    </row>
    <row r="474" spans="1:14" x14ac:dyDescent="0.3">
      <c r="A474" s="15" t="str">
        <f>IF(COUNTA($B474:$E474,$K474)=0,"",IF(AND($B474&lt;&gt;"",$C474&lt;&gt;"",$D474&lt;&gt;"",$E474&lt;&gt;""),"TXS"&amp;TEXT(COUNTIFS($B$2:$B474,"&lt;&gt;",$C$2:$C474,"&lt;&gt;",$D$2:$D474,"&lt;&gt;",$E$2:$E474,"&lt;&gt;"),"00000"),""))</f>
        <v/>
      </c>
      <c r="B474" s="16"/>
      <c r="C474" s="20"/>
      <c r="D474" s="20"/>
      <c r="E474" s="23"/>
      <c r="H474" s="19" t="str">
        <f t="shared" si="27"/>
        <v/>
      </c>
      <c r="I474" s="19" t="str">
        <f t="shared" si="26"/>
        <v/>
      </c>
      <c r="J474" s="19" t="str">
        <f t="shared" si="28"/>
        <v/>
      </c>
      <c r="K474" s="20"/>
      <c r="L474" s="21" t="str">
        <f>IF(OR(NOT(AND($B474&lt;&gt;"",$C474&lt;&gt;"",$D474&lt;&gt;"",$E474&lt;&gt;"")),$A474="",$K474&lt;&gt;"Yes"),"",IF($L474&lt;&gt;"",$L474,INDEX(SETUP!$I$1:$I$2000,MATCH(TRUE,SETUP!$J$1:$J$2000,0)+COUNTIFS($A$2:$A474,"&lt;&gt;",$K$2:$K474,"Yes",$L$2:$L474,"")-1)))</f>
        <v/>
      </c>
      <c r="N474" s="22"/>
    </row>
    <row r="475" spans="1:14" x14ac:dyDescent="0.3">
      <c r="A475" s="15" t="str">
        <f>IF(COUNTA($B475:$E475,$K475)=0,"",IF(AND($B475&lt;&gt;"",$C475&lt;&gt;"",$D475&lt;&gt;"",$E475&lt;&gt;""),"TXS"&amp;TEXT(COUNTIFS($B$2:$B475,"&lt;&gt;",$C$2:$C475,"&lt;&gt;",$D$2:$D475,"&lt;&gt;",$E$2:$E475,"&lt;&gt;"),"00000"),""))</f>
        <v/>
      </c>
      <c r="B475" s="16"/>
      <c r="C475" s="20"/>
      <c r="D475" s="20"/>
      <c r="E475" s="23"/>
      <c r="H475" s="19" t="str">
        <f t="shared" si="27"/>
        <v/>
      </c>
      <c r="I475" s="19" t="str">
        <f t="shared" si="26"/>
        <v/>
      </c>
      <c r="J475" s="19" t="str">
        <f t="shared" si="28"/>
        <v/>
      </c>
      <c r="K475" s="20"/>
      <c r="L475" s="21" t="str">
        <f>IF(OR(NOT(AND($B475&lt;&gt;"",$C475&lt;&gt;"",$D475&lt;&gt;"",$E475&lt;&gt;"")),$A475="",$K475&lt;&gt;"Yes"),"",IF($L475&lt;&gt;"",$L475,INDEX(SETUP!$I$1:$I$2000,MATCH(TRUE,SETUP!$J$1:$J$2000,0)+COUNTIFS($A$2:$A475,"&lt;&gt;",$K$2:$K475,"Yes",$L$2:$L475,"")-1)))</f>
        <v/>
      </c>
      <c r="N475" s="22"/>
    </row>
    <row r="476" spans="1:14" x14ac:dyDescent="0.3">
      <c r="A476" s="15" t="str">
        <f>IF(COUNTA($B476:$E476,$K476)=0,"",IF(AND($B476&lt;&gt;"",$C476&lt;&gt;"",$D476&lt;&gt;"",$E476&lt;&gt;""),"TXS"&amp;TEXT(COUNTIFS($B$2:$B476,"&lt;&gt;",$C$2:$C476,"&lt;&gt;",$D$2:$D476,"&lt;&gt;",$E$2:$E476,"&lt;&gt;"),"00000"),""))</f>
        <v/>
      </c>
      <c r="B476" s="16"/>
      <c r="C476" s="20"/>
      <c r="D476" s="20"/>
      <c r="E476" s="23"/>
      <c r="H476" s="19" t="str">
        <f t="shared" si="27"/>
        <v/>
      </c>
      <c r="I476" s="19" t="str">
        <f t="shared" si="26"/>
        <v/>
      </c>
      <c r="J476" s="19" t="str">
        <f t="shared" si="28"/>
        <v/>
      </c>
      <c r="K476" s="20"/>
      <c r="L476" s="21" t="str">
        <f>IF(OR(NOT(AND($B476&lt;&gt;"",$C476&lt;&gt;"",$D476&lt;&gt;"",$E476&lt;&gt;"")),$A476="",$K476&lt;&gt;"Yes"),"",IF($L476&lt;&gt;"",$L476,INDEX(SETUP!$I$1:$I$2000,MATCH(TRUE,SETUP!$J$1:$J$2000,0)+COUNTIFS($A$2:$A476,"&lt;&gt;",$K$2:$K476,"Yes",$L$2:$L476,"")-1)))</f>
        <v/>
      </c>
      <c r="N476" s="22"/>
    </row>
    <row r="477" spans="1:14" x14ac:dyDescent="0.3">
      <c r="A477" s="15" t="str">
        <f>IF(COUNTA($B477:$E477,$K477)=0,"",IF(AND($B477&lt;&gt;"",$C477&lt;&gt;"",$D477&lt;&gt;"",$E477&lt;&gt;""),"TXS"&amp;TEXT(COUNTIFS($B$2:$B477,"&lt;&gt;",$C$2:$C477,"&lt;&gt;",$D$2:$D477,"&lt;&gt;",$E$2:$E477,"&lt;&gt;"),"00000"),""))</f>
        <v/>
      </c>
      <c r="B477" s="16"/>
      <c r="C477" s="20"/>
      <c r="D477" s="20"/>
      <c r="E477" s="23"/>
      <c r="H477" s="19" t="str">
        <f t="shared" si="27"/>
        <v/>
      </c>
      <c r="I477" s="19" t="str">
        <f t="shared" si="26"/>
        <v/>
      </c>
      <c r="J477" s="19" t="str">
        <f t="shared" si="28"/>
        <v/>
      </c>
      <c r="K477" s="20"/>
      <c r="L477" s="21" t="str">
        <f>IF(OR(NOT(AND($B477&lt;&gt;"",$C477&lt;&gt;"",$D477&lt;&gt;"",$E477&lt;&gt;"")),$A477="",$K477&lt;&gt;"Yes"),"",IF($L477&lt;&gt;"",$L477,INDEX(SETUP!$I$1:$I$2000,MATCH(TRUE,SETUP!$J$1:$J$2000,0)+COUNTIFS($A$2:$A477,"&lt;&gt;",$K$2:$K477,"Yes",$L$2:$L477,"")-1)))</f>
        <v/>
      </c>
      <c r="N477" s="22"/>
    </row>
    <row r="478" spans="1:14" x14ac:dyDescent="0.3">
      <c r="A478" s="15" t="str">
        <f>IF(COUNTA($B478:$E478,$K478)=0,"",IF(AND($B478&lt;&gt;"",$C478&lt;&gt;"",$D478&lt;&gt;"",$E478&lt;&gt;""),"TXS"&amp;TEXT(COUNTIFS($B$2:$B478,"&lt;&gt;",$C$2:$C478,"&lt;&gt;",$D$2:$D478,"&lt;&gt;",$E$2:$E478,"&lt;&gt;"),"00000"),""))</f>
        <v/>
      </c>
      <c r="B478" s="16"/>
      <c r="C478" s="20"/>
      <c r="D478" s="20"/>
      <c r="E478" s="23"/>
      <c r="H478" s="19" t="str">
        <f t="shared" si="27"/>
        <v/>
      </c>
      <c r="I478" s="19" t="str">
        <f t="shared" si="26"/>
        <v/>
      </c>
      <c r="J478" s="19" t="str">
        <f t="shared" si="28"/>
        <v/>
      </c>
      <c r="K478" s="20"/>
      <c r="L478" s="21" t="str">
        <f>IF(OR(NOT(AND($B478&lt;&gt;"",$C478&lt;&gt;"",$D478&lt;&gt;"",$E478&lt;&gt;"")),$A478="",$K478&lt;&gt;"Yes"),"",IF($L478&lt;&gt;"",$L478,INDEX(SETUP!$I$1:$I$2000,MATCH(TRUE,SETUP!$J$1:$J$2000,0)+COUNTIFS($A$2:$A478,"&lt;&gt;",$K$2:$K478,"Yes",$L$2:$L478,"")-1)))</f>
        <v/>
      </c>
      <c r="N478" s="22"/>
    </row>
    <row r="479" spans="1:14" x14ac:dyDescent="0.3">
      <c r="A479" s="15" t="str">
        <f>IF(COUNTA($B479:$E479,$K479)=0,"",IF(AND($B479&lt;&gt;"",$C479&lt;&gt;"",$D479&lt;&gt;"",$E479&lt;&gt;""),"TXS"&amp;TEXT(COUNTIFS($B$2:$B479,"&lt;&gt;",$C$2:$C479,"&lt;&gt;",$D$2:$D479,"&lt;&gt;",$E$2:$E479,"&lt;&gt;"),"00000"),""))</f>
        <v/>
      </c>
      <c r="B479" s="16"/>
      <c r="C479" s="20"/>
      <c r="D479" s="20"/>
      <c r="E479" s="23"/>
      <c r="H479" s="19" t="str">
        <f t="shared" si="27"/>
        <v/>
      </c>
      <c r="I479" s="19" t="str">
        <f t="shared" si="26"/>
        <v/>
      </c>
      <c r="J479" s="19" t="str">
        <f t="shared" si="28"/>
        <v/>
      </c>
      <c r="K479" s="20"/>
      <c r="L479" s="21" t="str">
        <f>IF(OR(NOT(AND($B479&lt;&gt;"",$C479&lt;&gt;"",$D479&lt;&gt;"",$E479&lt;&gt;"")),$A479="",$K479&lt;&gt;"Yes"),"",IF($L479&lt;&gt;"",$L479,INDEX(SETUP!$I$1:$I$2000,MATCH(TRUE,SETUP!$J$1:$J$2000,0)+COUNTIFS($A$2:$A479,"&lt;&gt;",$K$2:$K479,"Yes",$L$2:$L479,"")-1)))</f>
        <v/>
      </c>
      <c r="N479" s="22"/>
    </row>
    <row r="480" spans="1:14" x14ac:dyDescent="0.3">
      <c r="A480" s="15" t="str">
        <f>IF(COUNTA($B480:$E480,$K480)=0,"",IF(AND($B480&lt;&gt;"",$C480&lt;&gt;"",$D480&lt;&gt;"",$E480&lt;&gt;""),"TXS"&amp;TEXT(COUNTIFS($B$2:$B480,"&lt;&gt;",$C$2:$C480,"&lt;&gt;",$D$2:$D480,"&lt;&gt;",$E$2:$E480,"&lt;&gt;"),"00000"),""))</f>
        <v/>
      </c>
      <c r="B480" s="16"/>
      <c r="C480" s="20"/>
      <c r="D480" s="20"/>
      <c r="E480" s="23"/>
      <c r="H480" s="19" t="str">
        <f t="shared" si="27"/>
        <v/>
      </c>
      <c r="I480" s="19" t="str">
        <f t="shared" si="26"/>
        <v/>
      </c>
      <c r="J480" s="19" t="str">
        <f t="shared" si="28"/>
        <v/>
      </c>
      <c r="K480" s="20"/>
      <c r="L480" s="21" t="str">
        <f>IF(OR(NOT(AND($B480&lt;&gt;"",$C480&lt;&gt;"",$D480&lt;&gt;"",$E480&lt;&gt;"")),$A480="",$K480&lt;&gt;"Yes"),"",IF($L480&lt;&gt;"",$L480,INDEX(SETUP!$I$1:$I$2000,MATCH(TRUE,SETUP!$J$1:$J$2000,0)+COUNTIFS($A$2:$A480,"&lt;&gt;",$K$2:$K480,"Yes",$L$2:$L480,"")-1)))</f>
        <v/>
      </c>
      <c r="N480" s="22"/>
    </row>
    <row r="481" spans="1:14" x14ac:dyDescent="0.3">
      <c r="A481" s="15" t="str">
        <f>IF(COUNTA($B481:$E481,$K481)=0,"",IF(AND($B481&lt;&gt;"",$C481&lt;&gt;"",$D481&lt;&gt;"",$E481&lt;&gt;""),"TXS"&amp;TEXT(COUNTIFS($B$2:$B481,"&lt;&gt;",$C$2:$C481,"&lt;&gt;",$D$2:$D481,"&lt;&gt;",$E$2:$E481,"&lt;&gt;"),"00000"),""))</f>
        <v/>
      </c>
      <c r="B481" s="16"/>
      <c r="C481" s="20"/>
      <c r="D481" s="20"/>
      <c r="E481" s="23"/>
      <c r="H481" s="19" t="str">
        <f t="shared" si="27"/>
        <v/>
      </c>
      <c r="I481" s="19" t="str">
        <f t="shared" si="26"/>
        <v/>
      </c>
      <c r="J481" s="19" t="str">
        <f t="shared" si="28"/>
        <v/>
      </c>
      <c r="K481" s="20"/>
      <c r="L481" s="21" t="str">
        <f>IF(OR(NOT(AND($B481&lt;&gt;"",$C481&lt;&gt;"",$D481&lt;&gt;"",$E481&lt;&gt;"")),$A481="",$K481&lt;&gt;"Yes"),"",IF($L481&lt;&gt;"",$L481,INDEX(SETUP!$I$1:$I$2000,MATCH(TRUE,SETUP!$J$1:$J$2000,0)+COUNTIFS($A$2:$A481,"&lt;&gt;",$K$2:$K481,"Yes",$L$2:$L481,"")-1)))</f>
        <v/>
      </c>
      <c r="N481" s="22"/>
    </row>
    <row r="482" spans="1:14" x14ac:dyDescent="0.3">
      <c r="A482" s="15" t="str">
        <f>IF(COUNTA($B482:$E482,$K482)=0,"",IF(AND($B482&lt;&gt;"",$C482&lt;&gt;"",$D482&lt;&gt;"",$E482&lt;&gt;""),"TXS"&amp;TEXT(COUNTIFS($B$2:$B482,"&lt;&gt;",$C$2:$C482,"&lt;&gt;",$D$2:$D482,"&lt;&gt;",$E$2:$E482,"&lt;&gt;"),"00000"),""))</f>
        <v/>
      </c>
      <c r="B482" s="16"/>
      <c r="C482" s="20"/>
      <c r="D482" s="20"/>
      <c r="E482" s="23"/>
      <c r="H482" s="19" t="str">
        <f t="shared" si="27"/>
        <v/>
      </c>
      <c r="I482" s="19" t="str">
        <f t="shared" si="26"/>
        <v/>
      </c>
      <c r="J482" s="19" t="str">
        <f t="shared" si="28"/>
        <v/>
      </c>
      <c r="K482" s="20"/>
      <c r="L482" s="21" t="str">
        <f>IF(OR(NOT(AND($B482&lt;&gt;"",$C482&lt;&gt;"",$D482&lt;&gt;"",$E482&lt;&gt;"")),$A482="",$K482&lt;&gt;"Yes"),"",IF($L482&lt;&gt;"",$L482,INDEX(SETUP!$I$1:$I$2000,MATCH(TRUE,SETUP!$J$1:$J$2000,0)+COUNTIFS($A$2:$A482,"&lt;&gt;",$K$2:$K482,"Yes",$L$2:$L482,"")-1)))</f>
        <v/>
      </c>
      <c r="N482" s="22"/>
    </row>
    <row r="483" spans="1:14" x14ac:dyDescent="0.3">
      <c r="A483" s="15" t="str">
        <f>IF(COUNTA($B483:$E483,$K483)=0,"",IF(AND($B483&lt;&gt;"",$C483&lt;&gt;"",$D483&lt;&gt;"",$E483&lt;&gt;""),"TXS"&amp;TEXT(COUNTIFS($B$2:$B483,"&lt;&gt;",$C$2:$C483,"&lt;&gt;",$D$2:$D483,"&lt;&gt;",$E$2:$E483,"&lt;&gt;"),"00000"),""))</f>
        <v/>
      </c>
      <c r="B483" s="16"/>
      <c r="C483" s="20"/>
      <c r="D483" s="20"/>
      <c r="E483" s="23"/>
      <c r="H483" s="19" t="str">
        <f t="shared" si="27"/>
        <v/>
      </c>
      <c r="I483" s="19" t="str">
        <f t="shared" si="26"/>
        <v/>
      </c>
      <c r="J483" s="19" t="str">
        <f t="shared" si="28"/>
        <v/>
      </c>
      <c r="K483" s="20"/>
      <c r="L483" s="21" t="str">
        <f>IF(OR(NOT(AND($B483&lt;&gt;"",$C483&lt;&gt;"",$D483&lt;&gt;"",$E483&lt;&gt;"")),$A483="",$K483&lt;&gt;"Yes"),"",IF($L483&lt;&gt;"",$L483,INDEX(SETUP!$I$1:$I$2000,MATCH(TRUE,SETUP!$J$1:$J$2000,0)+COUNTIFS($A$2:$A483,"&lt;&gt;",$K$2:$K483,"Yes",$L$2:$L483,"")-1)))</f>
        <v/>
      </c>
      <c r="N483" s="22"/>
    </row>
    <row r="484" spans="1:14" x14ac:dyDescent="0.3">
      <c r="A484" s="15" t="str">
        <f>IF(COUNTA($B484:$E484,$K484)=0,"",IF(AND($B484&lt;&gt;"",$C484&lt;&gt;"",$D484&lt;&gt;"",$E484&lt;&gt;""),"TXS"&amp;TEXT(COUNTIFS($B$2:$B484,"&lt;&gt;",$C$2:$C484,"&lt;&gt;",$D$2:$D484,"&lt;&gt;",$E$2:$E484,"&lt;&gt;"),"00000"),""))</f>
        <v/>
      </c>
      <c r="B484" s="16"/>
      <c r="C484" s="20"/>
      <c r="D484" s="20"/>
      <c r="E484" s="23"/>
      <c r="H484" s="19" t="str">
        <f t="shared" si="27"/>
        <v/>
      </c>
      <c r="I484" s="19" t="str">
        <f t="shared" si="26"/>
        <v/>
      </c>
      <c r="J484" s="19" t="str">
        <f t="shared" si="28"/>
        <v/>
      </c>
      <c r="K484" s="20"/>
      <c r="L484" s="21" t="str">
        <f>IF(OR(NOT(AND($B484&lt;&gt;"",$C484&lt;&gt;"",$D484&lt;&gt;"",$E484&lt;&gt;"")),$A484="",$K484&lt;&gt;"Yes"),"",IF($L484&lt;&gt;"",$L484,INDEX(SETUP!$I$1:$I$2000,MATCH(TRUE,SETUP!$J$1:$J$2000,0)+COUNTIFS($A$2:$A484,"&lt;&gt;",$K$2:$K484,"Yes",$L$2:$L484,"")-1)))</f>
        <v/>
      </c>
      <c r="N484" s="22"/>
    </row>
    <row r="485" spans="1:14" x14ac:dyDescent="0.3">
      <c r="A485" s="15" t="str">
        <f>IF(COUNTA($B485:$E485,$K485)=0,"",IF(AND($B485&lt;&gt;"",$C485&lt;&gt;"",$D485&lt;&gt;"",$E485&lt;&gt;""),"TXS"&amp;TEXT(COUNTIFS($B$2:$B485,"&lt;&gt;",$C$2:$C485,"&lt;&gt;",$D$2:$D485,"&lt;&gt;",$E$2:$E485,"&lt;&gt;"),"00000"),""))</f>
        <v/>
      </c>
      <c r="B485" s="16"/>
      <c r="C485" s="20"/>
      <c r="D485" s="20"/>
      <c r="E485" s="23"/>
      <c r="H485" s="19" t="str">
        <f t="shared" si="27"/>
        <v/>
      </c>
      <c r="I485" s="19" t="str">
        <f t="shared" si="26"/>
        <v/>
      </c>
      <c r="J485" s="19" t="str">
        <f t="shared" si="28"/>
        <v/>
      </c>
      <c r="K485" s="20"/>
      <c r="L485" s="21" t="str">
        <f>IF(OR(NOT(AND($B485&lt;&gt;"",$C485&lt;&gt;"",$D485&lt;&gt;"",$E485&lt;&gt;"")),$A485="",$K485&lt;&gt;"Yes"),"",IF($L485&lt;&gt;"",$L485,INDEX(SETUP!$I$1:$I$2000,MATCH(TRUE,SETUP!$J$1:$J$2000,0)+COUNTIFS($A$2:$A485,"&lt;&gt;",$K$2:$K485,"Yes",$L$2:$L485,"")-1)))</f>
        <v/>
      </c>
      <c r="N485" s="22"/>
    </row>
    <row r="486" spans="1:14" x14ac:dyDescent="0.3">
      <c r="A486" s="15" t="str">
        <f>IF(COUNTA($B486:$E486,$K486)=0,"",IF(AND($B486&lt;&gt;"",$C486&lt;&gt;"",$D486&lt;&gt;"",$E486&lt;&gt;""),"TXS"&amp;TEXT(COUNTIFS($B$2:$B486,"&lt;&gt;",$C$2:$C486,"&lt;&gt;",$D$2:$D486,"&lt;&gt;",$E$2:$E486,"&lt;&gt;"),"00000"),""))</f>
        <v/>
      </c>
      <c r="B486" s="16"/>
      <c r="C486" s="20"/>
      <c r="D486" s="20"/>
      <c r="E486" s="23"/>
      <c r="H486" s="19" t="str">
        <f t="shared" si="27"/>
        <v/>
      </c>
      <c r="I486" s="19" t="str">
        <f t="shared" si="26"/>
        <v/>
      </c>
      <c r="J486" s="19" t="str">
        <f t="shared" si="28"/>
        <v/>
      </c>
      <c r="K486" s="20"/>
      <c r="L486" s="21" t="str">
        <f>IF(OR(NOT(AND($B486&lt;&gt;"",$C486&lt;&gt;"",$D486&lt;&gt;"",$E486&lt;&gt;"")),$A486="",$K486&lt;&gt;"Yes"),"",IF($L486&lt;&gt;"",$L486,INDEX(SETUP!$I$1:$I$2000,MATCH(TRUE,SETUP!$J$1:$J$2000,0)+COUNTIFS($A$2:$A486,"&lt;&gt;",$K$2:$K486,"Yes",$L$2:$L486,"")-1)))</f>
        <v/>
      </c>
      <c r="N486" s="22"/>
    </row>
    <row r="487" spans="1:14" x14ac:dyDescent="0.3">
      <c r="A487" s="15" t="str">
        <f>IF(COUNTA($B487:$E487,$K487)=0,"",IF(AND($B487&lt;&gt;"",$C487&lt;&gt;"",$D487&lt;&gt;"",$E487&lt;&gt;""),"TXS"&amp;TEXT(COUNTIFS($B$2:$B487,"&lt;&gt;",$C$2:$C487,"&lt;&gt;",$D$2:$D487,"&lt;&gt;",$E$2:$E487,"&lt;&gt;"),"00000"),""))</f>
        <v/>
      </c>
      <c r="B487" s="16"/>
      <c r="C487" s="20"/>
      <c r="D487" s="20"/>
      <c r="E487" s="23"/>
      <c r="H487" s="19" t="str">
        <f t="shared" si="27"/>
        <v/>
      </c>
      <c r="I487" s="19" t="str">
        <f t="shared" si="26"/>
        <v/>
      </c>
      <c r="J487" s="19" t="str">
        <f t="shared" si="28"/>
        <v/>
      </c>
      <c r="K487" s="20"/>
      <c r="L487" s="21" t="str">
        <f>IF(OR(NOT(AND($B487&lt;&gt;"",$C487&lt;&gt;"",$D487&lt;&gt;"",$E487&lt;&gt;"")),$A487="",$K487&lt;&gt;"Yes"),"",IF($L487&lt;&gt;"",$L487,INDEX(SETUP!$I$1:$I$2000,MATCH(TRUE,SETUP!$J$1:$J$2000,0)+COUNTIFS($A$2:$A487,"&lt;&gt;",$K$2:$K487,"Yes",$L$2:$L487,"")-1)))</f>
        <v/>
      </c>
      <c r="N487" s="22"/>
    </row>
    <row r="488" spans="1:14" x14ac:dyDescent="0.3">
      <c r="A488" s="15" t="str">
        <f>IF(COUNTA($B488:$E488,$K488)=0,"",IF(AND($B488&lt;&gt;"",$C488&lt;&gt;"",$D488&lt;&gt;"",$E488&lt;&gt;""),"TXS"&amp;TEXT(COUNTIFS($B$2:$B488,"&lt;&gt;",$C$2:$C488,"&lt;&gt;",$D$2:$D488,"&lt;&gt;",$E$2:$E488,"&lt;&gt;"),"00000"),""))</f>
        <v/>
      </c>
      <c r="B488" s="16"/>
      <c r="C488" s="20"/>
      <c r="D488" s="20"/>
      <c r="E488" s="23"/>
      <c r="H488" s="19" t="str">
        <f t="shared" si="27"/>
        <v/>
      </c>
      <c r="I488" s="19" t="str">
        <f t="shared" si="26"/>
        <v/>
      </c>
      <c r="J488" s="19" t="str">
        <f t="shared" si="28"/>
        <v/>
      </c>
      <c r="K488" s="20"/>
      <c r="L488" s="21" t="str">
        <f>IF(OR(NOT(AND($B488&lt;&gt;"",$C488&lt;&gt;"",$D488&lt;&gt;"",$E488&lt;&gt;"")),$A488="",$K488&lt;&gt;"Yes"),"",IF($L488&lt;&gt;"",$L488,INDEX(SETUP!$I$1:$I$2000,MATCH(TRUE,SETUP!$J$1:$J$2000,0)+COUNTIFS($A$2:$A488,"&lt;&gt;",$K$2:$K488,"Yes",$L$2:$L488,"")-1)))</f>
        <v/>
      </c>
      <c r="N488" s="22"/>
    </row>
    <row r="489" spans="1:14" x14ac:dyDescent="0.3">
      <c r="A489" s="15" t="str">
        <f>IF(COUNTA($B489:$E489,$K489)=0,"",IF(AND($B489&lt;&gt;"",$C489&lt;&gt;"",$D489&lt;&gt;"",$E489&lt;&gt;""),"TXS"&amp;TEXT(COUNTIFS($B$2:$B489,"&lt;&gt;",$C$2:$C489,"&lt;&gt;",$D$2:$D489,"&lt;&gt;",$E$2:$E489,"&lt;&gt;"),"00000"),""))</f>
        <v/>
      </c>
      <c r="B489" s="16"/>
      <c r="C489" s="20"/>
      <c r="D489" s="20"/>
      <c r="E489" s="23"/>
      <c r="H489" s="19" t="str">
        <f t="shared" si="27"/>
        <v/>
      </c>
      <c r="I489" s="19" t="str">
        <f t="shared" ref="I489:I552" si="29">IF(NOT(AND($B489&lt;&gt;"",$C489&lt;&gt;"",$D489&lt;&gt;"",$E489&lt;&gt;"")),"",IF($A489="","","NIH plate "&amp;INT((VALUE(RIGHT($A489,5))-1)/96)+1&amp;": "&amp;CHAR(65+INT(MOD(VALUE(RIGHT($A489,5))-1,96)/12))&amp;(MOD(VALUE(RIGHT($A489,5))-1,12)+1)))</f>
        <v/>
      </c>
      <c r="J489" s="19" t="str">
        <f t="shared" si="28"/>
        <v/>
      </c>
      <c r="K489" s="20"/>
      <c r="L489" s="21" t="str">
        <f>IF(OR(NOT(AND($B489&lt;&gt;"",$C489&lt;&gt;"",$D489&lt;&gt;"",$E489&lt;&gt;"")),$A489="",$K489&lt;&gt;"Yes"),"",IF($L489&lt;&gt;"",$L489,INDEX(SETUP!$I$1:$I$2000,MATCH(TRUE,SETUP!$J$1:$J$2000,0)+COUNTIFS($A$2:$A489,"&lt;&gt;",$K$2:$K489,"Yes",$L$2:$L489,"")-1)))</f>
        <v/>
      </c>
      <c r="N489" s="22"/>
    </row>
    <row r="490" spans="1:14" x14ac:dyDescent="0.3">
      <c r="A490" s="15" t="str">
        <f>IF(COUNTA($B490:$E490,$K490)=0,"",IF(AND($B490&lt;&gt;"",$C490&lt;&gt;"",$D490&lt;&gt;"",$E490&lt;&gt;""),"TXS"&amp;TEXT(COUNTIFS($B$2:$B490,"&lt;&gt;",$C$2:$C490,"&lt;&gt;",$D$2:$D490,"&lt;&gt;",$E$2:$E490,"&lt;&gt;"),"00000"),""))</f>
        <v/>
      </c>
      <c r="B490" s="16"/>
      <c r="C490" s="20"/>
      <c r="D490" s="20"/>
      <c r="E490" s="23"/>
      <c r="H490" s="19" t="str">
        <f t="shared" si="27"/>
        <v/>
      </c>
      <c r="I490" s="19" t="str">
        <f t="shared" si="29"/>
        <v/>
      </c>
      <c r="J490" s="19" t="str">
        <f t="shared" si="28"/>
        <v/>
      </c>
      <c r="K490" s="20"/>
      <c r="L490" s="21" t="str">
        <f>IF(OR(NOT(AND($B490&lt;&gt;"",$C490&lt;&gt;"",$D490&lt;&gt;"",$E490&lt;&gt;"")),$A490="",$K490&lt;&gt;"Yes"),"",IF($L490&lt;&gt;"",$L490,INDEX(SETUP!$I$1:$I$2000,MATCH(TRUE,SETUP!$J$1:$J$2000,0)+COUNTIFS($A$2:$A490,"&lt;&gt;",$K$2:$K490,"Yes",$L$2:$L490,"")-1)))</f>
        <v/>
      </c>
      <c r="N490" s="22"/>
    </row>
    <row r="491" spans="1:14" x14ac:dyDescent="0.3">
      <c r="A491" s="15" t="str">
        <f>IF(COUNTA($B491:$E491,$K491)=0,"",IF(AND($B491&lt;&gt;"",$C491&lt;&gt;"",$D491&lt;&gt;"",$E491&lt;&gt;""),"TXS"&amp;TEXT(COUNTIFS($B$2:$B491,"&lt;&gt;",$C$2:$C491,"&lt;&gt;",$D$2:$D491,"&lt;&gt;",$E$2:$E491,"&lt;&gt;"),"00000"),""))</f>
        <v/>
      </c>
      <c r="B491" s="16"/>
      <c r="C491" s="20"/>
      <c r="D491" s="20"/>
      <c r="E491" s="23"/>
      <c r="H491" s="19" t="str">
        <f t="shared" si="27"/>
        <v/>
      </c>
      <c r="I491" s="19" t="str">
        <f t="shared" si="29"/>
        <v/>
      </c>
      <c r="J491" s="19" t="str">
        <f t="shared" si="28"/>
        <v/>
      </c>
      <c r="K491" s="20"/>
      <c r="L491" s="21" t="str">
        <f>IF(OR(NOT(AND($B491&lt;&gt;"",$C491&lt;&gt;"",$D491&lt;&gt;"",$E491&lt;&gt;"")),$A491="",$K491&lt;&gt;"Yes"),"",IF($L491&lt;&gt;"",$L491,INDEX(SETUP!$I$1:$I$2000,MATCH(TRUE,SETUP!$J$1:$J$2000,0)+COUNTIFS($A$2:$A491,"&lt;&gt;",$K$2:$K491,"Yes",$L$2:$L491,"")-1)))</f>
        <v/>
      </c>
      <c r="N491" s="22"/>
    </row>
    <row r="492" spans="1:14" x14ac:dyDescent="0.3">
      <c r="A492" s="15" t="str">
        <f>IF(COUNTA($B492:$E492,$K492)=0,"",IF(AND($B492&lt;&gt;"",$C492&lt;&gt;"",$D492&lt;&gt;"",$E492&lt;&gt;""),"TXS"&amp;TEXT(COUNTIFS($B$2:$B492,"&lt;&gt;",$C$2:$C492,"&lt;&gt;",$D$2:$D492,"&lt;&gt;",$E$2:$E492,"&lt;&gt;"),"00000"),""))</f>
        <v/>
      </c>
      <c r="B492" s="16"/>
      <c r="C492" s="20"/>
      <c r="D492" s="20"/>
      <c r="E492" s="23"/>
      <c r="H492" s="19" t="str">
        <f t="shared" si="27"/>
        <v/>
      </c>
      <c r="I492" s="19" t="str">
        <f t="shared" si="29"/>
        <v/>
      </c>
      <c r="J492" s="19" t="str">
        <f t="shared" si="28"/>
        <v/>
      </c>
      <c r="K492" s="20"/>
      <c r="L492" s="21" t="str">
        <f>IF(OR(NOT(AND($B492&lt;&gt;"",$C492&lt;&gt;"",$D492&lt;&gt;"",$E492&lt;&gt;"")),$A492="",$K492&lt;&gt;"Yes"),"",IF($L492&lt;&gt;"",$L492,INDEX(SETUP!$I$1:$I$2000,MATCH(TRUE,SETUP!$J$1:$J$2000,0)+COUNTIFS($A$2:$A492,"&lt;&gt;",$K$2:$K492,"Yes",$L$2:$L492,"")-1)))</f>
        <v/>
      </c>
      <c r="N492" s="22"/>
    </row>
    <row r="493" spans="1:14" x14ac:dyDescent="0.3">
      <c r="A493" s="15" t="str">
        <f>IF(COUNTA($B493:$E493,$K493)=0,"",IF(AND($B493&lt;&gt;"",$C493&lt;&gt;"",$D493&lt;&gt;"",$E493&lt;&gt;""),"TXS"&amp;TEXT(COUNTIFS($B$2:$B493,"&lt;&gt;",$C$2:$C493,"&lt;&gt;",$D$2:$D493,"&lt;&gt;",$E$2:$E493,"&lt;&gt;"),"00000"),""))</f>
        <v/>
      </c>
      <c r="B493" s="16"/>
      <c r="C493" s="20"/>
      <c r="D493" s="20"/>
      <c r="E493" s="23"/>
      <c r="H493" s="19" t="str">
        <f t="shared" si="27"/>
        <v/>
      </c>
      <c r="I493" s="19" t="str">
        <f t="shared" si="29"/>
        <v/>
      </c>
      <c r="J493" s="19" t="str">
        <f t="shared" si="28"/>
        <v/>
      </c>
      <c r="K493" s="20"/>
      <c r="L493" s="21" t="str">
        <f>IF(OR(NOT(AND($B493&lt;&gt;"",$C493&lt;&gt;"",$D493&lt;&gt;"",$E493&lt;&gt;"")),$A493="",$K493&lt;&gt;"Yes"),"",IF($L493&lt;&gt;"",$L493,INDEX(SETUP!$I$1:$I$2000,MATCH(TRUE,SETUP!$J$1:$J$2000,0)+COUNTIFS($A$2:$A493,"&lt;&gt;",$K$2:$K493,"Yes",$L$2:$L493,"")-1)))</f>
        <v/>
      </c>
      <c r="N493" s="22"/>
    </row>
    <row r="494" spans="1:14" x14ac:dyDescent="0.3">
      <c r="A494" s="15" t="str">
        <f>IF(COUNTA($B494:$E494,$K494)=0,"",IF(AND($B494&lt;&gt;"",$C494&lt;&gt;"",$D494&lt;&gt;"",$E494&lt;&gt;""),"TXS"&amp;TEXT(COUNTIFS($B$2:$B494,"&lt;&gt;",$C$2:$C494,"&lt;&gt;",$D$2:$D494,"&lt;&gt;",$E$2:$E494,"&lt;&gt;"),"00000"),""))</f>
        <v/>
      </c>
      <c r="B494" s="16"/>
      <c r="C494" s="20"/>
      <c r="D494" s="20"/>
      <c r="E494" s="23"/>
      <c r="H494" s="19" t="str">
        <f t="shared" si="27"/>
        <v/>
      </c>
      <c r="I494" s="19" t="str">
        <f t="shared" si="29"/>
        <v/>
      </c>
      <c r="J494" s="19" t="str">
        <f t="shared" si="28"/>
        <v/>
      </c>
      <c r="K494" s="20"/>
      <c r="L494" s="21" t="str">
        <f>IF(OR(NOT(AND($B494&lt;&gt;"",$C494&lt;&gt;"",$D494&lt;&gt;"",$E494&lt;&gt;"")),$A494="",$K494&lt;&gt;"Yes"),"",IF($L494&lt;&gt;"",$L494,INDEX(SETUP!$I$1:$I$2000,MATCH(TRUE,SETUP!$J$1:$J$2000,0)+COUNTIFS($A$2:$A494,"&lt;&gt;",$K$2:$K494,"Yes",$L$2:$L494,"")-1)))</f>
        <v/>
      </c>
      <c r="N494" s="22"/>
    </row>
    <row r="495" spans="1:14" x14ac:dyDescent="0.3">
      <c r="A495" s="15" t="str">
        <f>IF(COUNTA($B495:$E495,$K495)=0,"",IF(AND($B495&lt;&gt;"",$C495&lt;&gt;"",$D495&lt;&gt;"",$E495&lt;&gt;""),"TXS"&amp;TEXT(COUNTIFS($B$2:$B495,"&lt;&gt;",$C$2:$C495,"&lt;&gt;",$D$2:$D495,"&lt;&gt;",$E$2:$E495,"&lt;&gt;"),"00000"),""))</f>
        <v/>
      </c>
      <c r="B495" s="16"/>
      <c r="C495" s="20"/>
      <c r="D495" s="20"/>
      <c r="E495" s="23"/>
      <c r="H495" s="19" t="str">
        <f t="shared" ref="H495:H558" si="30">IF(NOT(AND($B495&lt;&gt;"",$C495&lt;&gt;"",$D495&lt;&gt;"",$E495&lt;&gt;"")),"",IF($A495="","","CDI plate "&amp;INT((VALUE(RIGHT($A495,5))-1)/96)+1&amp;": "&amp;CHAR(65+INT(MOD(VALUE(RIGHT($A495,5))-1,96)/12))&amp;(MOD(VALUE(RIGHT($A495,5))-1,12)+1)))</f>
        <v/>
      </c>
      <c r="I495" s="19" t="str">
        <f t="shared" si="29"/>
        <v/>
      </c>
      <c r="J495" s="19" t="str">
        <f t="shared" si="28"/>
        <v/>
      </c>
      <c r="K495" s="20"/>
      <c r="L495" s="21" t="str">
        <f>IF(OR(NOT(AND($B495&lt;&gt;"",$C495&lt;&gt;"",$D495&lt;&gt;"",$E495&lt;&gt;"")),$A495="",$K495&lt;&gt;"Yes"),"",IF($L495&lt;&gt;"",$L495,INDEX(SETUP!$I$1:$I$2000,MATCH(TRUE,SETUP!$J$1:$J$2000,0)+COUNTIFS($A$2:$A495,"&lt;&gt;",$K$2:$K495,"Yes",$L$2:$L495,"")-1)))</f>
        <v/>
      </c>
      <c r="N495" s="22"/>
    </row>
    <row r="496" spans="1:14" x14ac:dyDescent="0.3">
      <c r="A496" s="15" t="str">
        <f>IF(COUNTA($B496:$E496,$K496)=0,"",IF(AND($B496&lt;&gt;"",$C496&lt;&gt;"",$D496&lt;&gt;"",$E496&lt;&gt;""),"TXS"&amp;TEXT(COUNTIFS($B$2:$B496,"&lt;&gt;",$C$2:$C496,"&lt;&gt;",$D$2:$D496,"&lt;&gt;",$E$2:$E496,"&lt;&gt;"),"00000"),""))</f>
        <v/>
      </c>
      <c r="B496" s="16"/>
      <c r="C496" s="20"/>
      <c r="D496" s="20"/>
      <c r="E496" s="23"/>
      <c r="H496" s="19" t="str">
        <f t="shared" si="30"/>
        <v/>
      </c>
      <c r="I496" s="19" t="str">
        <f t="shared" si="29"/>
        <v/>
      </c>
      <c r="J496" s="19" t="str">
        <f t="shared" si="28"/>
        <v/>
      </c>
      <c r="K496" s="20"/>
      <c r="L496" s="21" t="str">
        <f>IF(OR(NOT(AND($B496&lt;&gt;"",$C496&lt;&gt;"",$D496&lt;&gt;"",$E496&lt;&gt;"")),$A496="",$K496&lt;&gt;"Yes"),"",IF($L496&lt;&gt;"",$L496,INDEX(SETUP!$I$1:$I$2000,MATCH(TRUE,SETUP!$J$1:$J$2000,0)+COUNTIFS($A$2:$A496,"&lt;&gt;",$K$2:$K496,"Yes",$L$2:$L496,"")-1)))</f>
        <v/>
      </c>
      <c r="N496" s="22"/>
    </row>
    <row r="497" spans="1:14" x14ac:dyDescent="0.3">
      <c r="A497" s="15" t="str">
        <f>IF(COUNTA($B497:$E497,$K497)=0,"",IF(AND($B497&lt;&gt;"",$C497&lt;&gt;"",$D497&lt;&gt;"",$E497&lt;&gt;""),"TXS"&amp;TEXT(COUNTIFS($B$2:$B497,"&lt;&gt;",$C$2:$C497,"&lt;&gt;",$D$2:$D497,"&lt;&gt;",$E$2:$E497,"&lt;&gt;"),"00000"),""))</f>
        <v/>
      </c>
      <c r="B497" s="16"/>
      <c r="C497" s="20"/>
      <c r="D497" s="20"/>
      <c r="E497" s="23"/>
      <c r="H497" s="19" t="str">
        <f t="shared" si="30"/>
        <v/>
      </c>
      <c r="I497" s="19" t="str">
        <f t="shared" si="29"/>
        <v/>
      </c>
      <c r="J497" s="19" t="str">
        <f t="shared" si="28"/>
        <v/>
      </c>
      <c r="K497" s="20"/>
      <c r="L497" s="21" t="str">
        <f>IF(OR(NOT(AND($B497&lt;&gt;"",$C497&lt;&gt;"",$D497&lt;&gt;"",$E497&lt;&gt;"")),$A497="",$K497&lt;&gt;"Yes"),"",IF($L497&lt;&gt;"",$L497,INDEX(SETUP!$I$1:$I$2000,MATCH(TRUE,SETUP!$J$1:$J$2000,0)+COUNTIFS($A$2:$A497,"&lt;&gt;",$K$2:$K497,"Yes",$L$2:$L497,"")-1)))</f>
        <v/>
      </c>
      <c r="N497" s="22"/>
    </row>
    <row r="498" spans="1:14" x14ac:dyDescent="0.3">
      <c r="A498" s="15" t="str">
        <f>IF(COUNTA($B498:$E498,$K498)=0,"",IF(AND($B498&lt;&gt;"",$C498&lt;&gt;"",$D498&lt;&gt;"",$E498&lt;&gt;""),"TXS"&amp;TEXT(COUNTIFS($B$2:$B498,"&lt;&gt;",$C$2:$C498,"&lt;&gt;",$D$2:$D498,"&lt;&gt;",$E$2:$E498,"&lt;&gt;"),"00000"),""))</f>
        <v/>
      </c>
      <c r="B498" s="16"/>
      <c r="C498" s="20"/>
      <c r="D498" s="20"/>
      <c r="E498" s="23"/>
      <c r="H498" s="19" t="str">
        <f t="shared" si="30"/>
        <v/>
      </c>
      <c r="I498" s="19" t="str">
        <f t="shared" si="29"/>
        <v/>
      </c>
      <c r="J498" s="19" t="str">
        <f t="shared" ref="J498:J561" si="31">IF(NOT(AND($B498&lt;&gt;"",$C498&lt;&gt;"",$D498&lt;&gt;"",$E498&lt;&gt;"")),"",IF($A498="","","Max Planck plate "&amp;INT((VALUE(RIGHT($A498,5))-1)/96)+1&amp;": "&amp;CHAR(65+INT(MOD(VALUE(RIGHT($A498,5))-1,96)/12))&amp;(MOD(VALUE(RIGHT($A498,5))-1,12)+1)))</f>
        <v/>
      </c>
      <c r="K498" s="20"/>
      <c r="L498" s="21" t="str">
        <f>IF(OR(NOT(AND($B498&lt;&gt;"",$C498&lt;&gt;"",$D498&lt;&gt;"",$E498&lt;&gt;"")),$A498="",$K498&lt;&gt;"Yes"),"",IF($L498&lt;&gt;"",$L498,INDEX(SETUP!$I$1:$I$2000,MATCH(TRUE,SETUP!$J$1:$J$2000,0)+COUNTIFS($A$2:$A498,"&lt;&gt;",$K$2:$K498,"Yes",$L$2:$L498,"")-1)))</f>
        <v/>
      </c>
      <c r="N498" s="22"/>
    </row>
    <row r="499" spans="1:14" x14ac:dyDescent="0.3">
      <c r="A499" s="15" t="str">
        <f>IF(COUNTA($B499:$E499,$K499)=0,"",IF(AND($B499&lt;&gt;"",$C499&lt;&gt;"",$D499&lt;&gt;"",$E499&lt;&gt;""),"TXS"&amp;TEXT(COUNTIFS($B$2:$B499,"&lt;&gt;",$C$2:$C499,"&lt;&gt;",$D$2:$D499,"&lt;&gt;",$E$2:$E499,"&lt;&gt;"),"00000"),""))</f>
        <v/>
      </c>
      <c r="B499" s="16"/>
      <c r="C499" s="20"/>
      <c r="D499" s="20"/>
      <c r="E499" s="23"/>
      <c r="H499" s="19" t="str">
        <f t="shared" si="30"/>
        <v/>
      </c>
      <c r="I499" s="19" t="str">
        <f t="shared" si="29"/>
        <v/>
      </c>
      <c r="J499" s="19" t="str">
        <f t="shared" si="31"/>
        <v/>
      </c>
      <c r="K499" s="20"/>
      <c r="L499" s="21" t="str">
        <f>IF(OR(NOT(AND($B499&lt;&gt;"",$C499&lt;&gt;"",$D499&lt;&gt;"",$E499&lt;&gt;"")),$A499="",$K499&lt;&gt;"Yes"),"",IF($L499&lt;&gt;"",$L499,INDEX(SETUP!$I$1:$I$2000,MATCH(TRUE,SETUP!$J$1:$J$2000,0)+COUNTIFS($A$2:$A499,"&lt;&gt;",$K$2:$K499,"Yes",$L$2:$L499,"")-1)))</f>
        <v/>
      </c>
      <c r="N499" s="22"/>
    </row>
    <row r="500" spans="1:14" x14ac:dyDescent="0.3">
      <c r="A500" s="15" t="str">
        <f>IF(COUNTA($B500:$E500,$K500)=0,"",IF(AND($B500&lt;&gt;"",$C500&lt;&gt;"",$D500&lt;&gt;"",$E500&lt;&gt;""),"TXS"&amp;TEXT(COUNTIFS($B$2:$B500,"&lt;&gt;",$C$2:$C500,"&lt;&gt;",$D$2:$D500,"&lt;&gt;",$E$2:$E500,"&lt;&gt;"),"00000"),""))</f>
        <v/>
      </c>
      <c r="B500" s="16"/>
      <c r="C500" s="20"/>
      <c r="D500" s="20"/>
      <c r="E500" s="23"/>
      <c r="H500" s="19" t="str">
        <f t="shared" si="30"/>
        <v/>
      </c>
      <c r="I500" s="19" t="str">
        <f t="shared" si="29"/>
        <v/>
      </c>
      <c r="J500" s="19" t="str">
        <f t="shared" si="31"/>
        <v/>
      </c>
      <c r="K500" s="20"/>
      <c r="L500" s="21" t="str">
        <f>IF(OR(NOT(AND($B500&lt;&gt;"",$C500&lt;&gt;"",$D500&lt;&gt;"",$E500&lt;&gt;"")),$A500="",$K500&lt;&gt;"Yes"),"",IF($L500&lt;&gt;"",$L500,INDEX(SETUP!$I$1:$I$2000,MATCH(TRUE,SETUP!$J$1:$J$2000,0)+COUNTIFS($A$2:$A500,"&lt;&gt;",$K$2:$K500,"Yes",$L$2:$L500,"")-1)))</f>
        <v/>
      </c>
      <c r="N500" s="22"/>
    </row>
    <row r="501" spans="1:14" x14ac:dyDescent="0.3">
      <c r="A501" s="15" t="str">
        <f>IF(COUNTA($B501:$E501,$K501)=0,"",IF(AND($B501&lt;&gt;"",$C501&lt;&gt;"",$D501&lt;&gt;"",$E501&lt;&gt;""),"TXS"&amp;TEXT(COUNTIFS($B$2:$B501,"&lt;&gt;",$C$2:$C501,"&lt;&gt;",$D$2:$D501,"&lt;&gt;",$E$2:$E501,"&lt;&gt;"),"00000"),""))</f>
        <v/>
      </c>
      <c r="B501" s="16"/>
      <c r="C501" s="20"/>
      <c r="D501" s="20"/>
      <c r="E501" s="23"/>
      <c r="H501" s="19" t="str">
        <f t="shared" si="30"/>
        <v/>
      </c>
      <c r="I501" s="19" t="str">
        <f t="shared" si="29"/>
        <v/>
      </c>
      <c r="J501" s="19" t="str">
        <f t="shared" si="31"/>
        <v/>
      </c>
      <c r="K501" s="20"/>
      <c r="L501" s="21" t="str">
        <f>IF(OR(NOT(AND($B501&lt;&gt;"",$C501&lt;&gt;"",$D501&lt;&gt;"",$E501&lt;&gt;"")),$A501="",$K501&lt;&gt;"Yes"),"",IF($L501&lt;&gt;"",$L501,INDEX(SETUP!$I$1:$I$2000,MATCH(TRUE,SETUP!$J$1:$J$2000,0)+COUNTIFS($A$2:$A501,"&lt;&gt;",$K$2:$K501,"Yes",$L$2:$L501,"")-1)))</f>
        <v/>
      </c>
      <c r="N501" s="22"/>
    </row>
    <row r="502" spans="1:14" x14ac:dyDescent="0.3">
      <c r="A502" s="15" t="str">
        <f>IF(COUNTA($B502:$E502,$K502)=0,"",IF(AND($B502&lt;&gt;"",$C502&lt;&gt;"",$D502&lt;&gt;"",$E502&lt;&gt;""),"TXS"&amp;TEXT(COUNTIFS($B$2:$B502,"&lt;&gt;",$C$2:$C502,"&lt;&gt;",$D$2:$D502,"&lt;&gt;",$E$2:$E502,"&lt;&gt;"),"00000"),""))</f>
        <v/>
      </c>
      <c r="B502" s="16"/>
      <c r="C502" s="20"/>
      <c r="D502" s="20"/>
      <c r="E502" s="23"/>
      <c r="H502" s="19" t="str">
        <f t="shared" si="30"/>
        <v/>
      </c>
      <c r="I502" s="19" t="str">
        <f t="shared" si="29"/>
        <v/>
      </c>
      <c r="J502" s="19" t="str">
        <f t="shared" si="31"/>
        <v/>
      </c>
      <c r="K502" s="20"/>
      <c r="L502" s="21" t="str">
        <f>IF(OR(NOT(AND($B502&lt;&gt;"",$C502&lt;&gt;"",$D502&lt;&gt;"",$E502&lt;&gt;"")),$A502="",$K502&lt;&gt;"Yes"),"",IF($L502&lt;&gt;"",$L502,INDEX(SETUP!$I$1:$I$2000,MATCH(TRUE,SETUP!$J$1:$J$2000,0)+COUNTIFS($A$2:$A502,"&lt;&gt;",$K$2:$K502,"Yes",$L$2:$L502,"")-1)))</f>
        <v/>
      </c>
      <c r="N502" s="22"/>
    </row>
    <row r="503" spans="1:14" x14ac:dyDescent="0.3">
      <c r="A503" s="15" t="str">
        <f>IF(COUNTA($B503:$E503,$K503)=0,"",IF(AND($B503&lt;&gt;"",$C503&lt;&gt;"",$D503&lt;&gt;"",$E503&lt;&gt;""),"TXS"&amp;TEXT(COUNTIFS($B$2:$B503,"&lt;&gt;",$C$2:$C503,"&lt;&gt;",$D$2:$D503,"&lt;&gt;",$E$2:$E503,"&lt;&gt;"),"00000"),""))</f>
        <v/>
      </c>
      <c r="B503" s="16"/>
      <c r="C503" s="20"/>
      <c r="D503" s="20"/>
      <c r="E503" s="23"/>
      <c r="H503" s="19" t="str">
        <f t="shared" si="30"/>
        <v/>
      </c>
      <c r="I503" s="19" t="str">
        <f t="shared" si="29"/>
        <v/>
      </c>
      <c r="J503" s="19" t="str">
        <f t="shared" si="31"/>
        <v/>
      </c>
      <c r="K503" s="20"/>
      <c r="L503" s="21" t="str">
        <f>IF(OR(NOT(AND($B503&lt;&gt;"",$C503&lt;&gt;"",$D503&lt;&gt;"",$E503&lt;&gt;"")),$A503="",$K503&lt;&gt;"Yes"),"",IF($L503&lt;&gt;"",$L503,INDEX(SETUP!$I$1:$I$2000,MATCH(TRUE,SETUP!$J$1:$J$2000,0)+COUNTIFS($A$2:$A503,"&lt;&gt;",$K$2:$K503,"Yes",$L$2:$L503,"")-1)))</f>
        <v/>
      </c>
      <c r="N503" s="22"/>
    </row>
    <row r="504" spans="1:14" x14ac:dyDescent="0.3">
      <c r="A504" s="15" t="str">
        <f>IF(COUNTA($B504:$E504,$K504)=0,"",IF(AND($B504&lt;&gt;"",$C504&lt;&gt;"",$D504&lt;&gt;"",$E504&lt;&gt;""),"TXS"&amp;TEXT(COUNTIFS($B$2:$B504,"&lt;&gt;",$C$2:$C504,"&lt;&gt;",$D$2:$D504,"&lt;&gt;",$E$2:$E504,"&lt;&gt;"),"00000"),""))</f>
        <v/>
      </c>
      <c r="B504" s="16"/>
      <c r="C504" s="20"/>
      <c r="D504" s="20"/>
      <c r="E504" s="23"/>
      <c r="H504" s="19" t="str">
        <f t="shared" si="30"/>
        <v/>
      </c>
      <c r="I504" s="19" t="str">
        <f t="shared" si="29"/>
        <v/>
      </c>
      <c r="J504" s="19" t="str">
        <f t="shared" si="31"/>
        <v/>
      </c>
      <c r="K504" s="20"/>
      <c r="L504" s="21" t="str">
        <f>IF(OR(NOT(AND($B504&lt;&gt;"",$C504&lt;&gt;"",$D504&lt;&gt;"",$E504&lt;&gt;"")),$A504="",$K504&lt;&gt;"Yes"),"",IF($L504&lt;&gt;"",$L504,INDEX(SETUP!$I$1:$I$2000,MATCH(TRUE,SETUP!$J$1:$J$2000,0)+COUNTIFS($A$2:$A504,"&lt;&gt;",$K$2:$K504,"Yes",$L$2:$L504,"")-1)))</f>
        <v/>
      </c>
      <c r="N504" s="22"/>
    </row>
    <row r="505" spans="1:14" x14ac:dyDescent="0.3">
      <c r="A505" s="15" t="str">
        <f>IF(COUNTA($B505:$E505,$K505)=0,"",IF(AND($B505&lt;&gt;"",$C505&lt;&gt;"",$D505&lt;&gt;"",$E505&lt;&gt;""),"TXS"&amp;TEXT(COUNTIFS($B$2:$B505,"&lt;&gt;",$C$2:$C505,"&lt;&gt;",$D$2:$D505,"&lt;&gt;",$E$2:$E505,"&lt;&gt;"),"00000"),""))</f>
        <v/>
      </c>
      <c r="B505" s="16"/>
      <c r="C505" s="20"/>
      <c r="D505" s="20"/>
      <c r="E505" s="23"/>
      <c r="H505" s="19" t="str">
        <f t="shared" si="30"/>
        <v/>
      </c>
      <c r="I505" s="19" t="str">
        <f t="shared" si="29"/>
        <v/>
      </c>
      <c r="J505" s="19" t="str">
        <f t="shared" si="31"/>
        <v/>
      </c>
      <c r="K505" s="20"/>
      <c r="L505" s="21" t="str">
        <f>IF(OR(NOT(AND($B505&lt;&gt;"",$C505&lt;&gt;"",$D505&lt;&gt;"",$E505&lt;&gt;"")),$A505="",$K505&lt;&gt;"Yes"),"",IF($L505&lt;&gt;"",$L505,INDEX(SETUP!$I$1:$I$2000,MATCH(TRUE,SETUP!$J$1:$J$2000,0)+COUNTIFS($A$2:$A505,"&lt;&gt;",$K$2:$K505,"Yes",$L$2:$L505,"")-1)))</f>
        <v/>
      </c>
      <c r="N505" s="22"/>
    </row>
    <row r="506" spans="1:14" x14ac:dyDescent="0.3">
      <c r="A506" s="15" t="str">
        <f>IF(COUNTA($B506:$E506,$K506)=0,"",IF(AND($B506&lt;&gt;"",$C506&lt;&gt;"",$D506&lt;&gt;"",$E506&lt;&gt;""),"TXS"&amp;TEXT(COUNTIFS($B$2:$B506,"&lt;&gt;",$C$2:$C506,"&lt;&gt;",$D$2:$D506,"&lt;&gt;",$E$2:$E506,"&lt;&gt;"),"00000"),""))</f>
        <v/>
      </c>
      <c r="B506" s="16"/>
      <c r="C506" s="20"/>
      <c r="D506" s="20"/>
      <c r="E506" s="23"/>
      <c r="H506" s="19" t="str">
        <f t="shared" si="30"/>
        <v/>
      </c>
      <c r="I506" s="19" t="str">
        <f t="shared" si="29"/>
        <v/>
      </c>
      <c r="J506" s="19" t="str">
        <f t="shared" si="31"/>
        <v/>
      </c>
      <c r="K506" s="20"/>
      <c r="L506" s="21" t="str">
        <f>IF(OR(NOT(AND($B506&lt;&gt;"",$C506&lt;&gt;"",$D506&lt;&gt;"",$E506&lt;&gt;"")),$A506="",$K506&lt;&gt;"Yes"),"",IF($L506&lt;&gt;"",$L506,INDEX(SETUP!$I$1:$I$2000,MATCH(TRUE,SETUP!$J$1:$J$2000,0)+COUNTIFS($A$2:$A506,"&lt;&gt;",$K$2:$K506,"Yes",$L$2:$L506,"")-1)))</f>
        <v/>
      </c>
      <c r="N506" s="22"/>
    </row>
    <row r="507" spans="1:14" x14ac:dyDescent="0.3">
      <c r="A507" s="15" t="str">
        <f>IF(COUNTA($B507:$E507,$K507)=0,"",IF(AND($B507&lt;&gt;"",$C507&lt;&gt;"",$D507&lt;&gt;"",$E507&lt;&gt;""),"TXS"&amp;TEXT(COUNTIFS($B$2:$B507,"&lt;&gt;",$C$2:$C507,"&lt;&gt;",$D$2:$D507,"&lt;&gt;",$E$2:$E507,"&lt;&gt;"),"00000"),""))</f>
        <v/>
      </c>
      <c r="B507" s="16"/>
      <c r="C507" s="20"/>
      <c r="D507" s="20"/>
      <c r="E507" s="23"/>
      <c r="H507" s="19" t="str">
        <f t="shared" si="30"/>
        <v/>
      </c>
      <c r="I507" s="19" t="str">
        <f t="shared" si="29"/>
        <v/>
      </c>
      <c r="J507" s="19" t="str">
        <f t="shared" si="31"/>
        <v/>
      </c>
      <c r="K507" s="20"/>
      <c r="L507" s="21" t="str">
        <f>IF(OR(NOT(AND($B507&lt;&gt;"",$C507&lt;&gt;"",$D507&lt;&gt;"",$E507&lt;&gt;"")),$A507="",$K507&lt;&gt;"Yes"),"",IF($L507&lt;&gt;"",$L507,INDEX(SETUP!$I$1:$I$2000,MATCH(TRUE,SETUP!$J$1:$J$2000,0)+COUNTIFS($A$2:$A507,"&lt;&gt;",$K$2:$K507,"Yes",$L$2:$L507,"")-1)))</f>
        <v/>
      </c>
      <c r="N507" s="22"/>
    </row>
    <row r="508" spans="1:14" x14ac:dyDescent="0.3">
      <c r="A508" s="15" t="str">
        <f>IF(COUNTA($B508:$E508,$K508)=0,"",IF(AND($B508&lt;&gt;"",$C508&lt;&gt;"",$D508&lt;&gt;"",$E508&lt;&gt;""),"TXS"&amp;TEXT(COUNTIFS($B$2:$B508,"&lt;&gt;",$C$2:$C508,"&lt;&gt;",$D$2:$D508,"&lt;&gt;",$E$2:$E508,"&lt;&gt;"),"00000"),""))</f>
        <v/>
      </c>
      <c r="B508" s="16"/>
      <c r="C508" s="20"/>
      <c r="D508" s="20"/>
      <c r="E508" s="23"/>
      <c r="H508" s="19" t="str">
        <f t="shared" si="30"/>
        <v/>
      </c>
      <c r="I508" s="19" t="str">
        <f t="shared" si="29"/>
        <v/>
      </c>
      <c r="J508" s="19" t="str">
        <f t="shared" si="31"/>
        <v/>
      </c>
      <c r="K508" s="20"/>
      <c r="L508" s="21" t="str">
        <f>IF(OR(NOT(AND($B508&lt;&gt;"",$C508&lt;&gt;"",$D508&lt;&gt;"",$E508&lt;&gt;"")),$A508="",$K508&lt;&gt;"Yes"),"",IF($L508&lt;&gt;"",$L508,INDEX(SETUP!$I$1:$I$2000,MATCH(TRUE,SETUP!$J$1:$J$2000,0)+COUNTIFS($A$2:$A508,"&lt;&gt;",$K$2:$K508,"Yes",$L$2:$L508,"")-1)))</f>
        <v/>
      </c>
      <c r="N508" s="22"/>
    </row>
    <row r="509" spans="1:14" x14ac:dyDescent="0.3">
      <c r="A509" s="15" t="str">
        <f>IF(COUNTA($B509:$E509,$K509)=0,"",IF(AND($B509&lt;&gt;"",$C509&lt;&gt;"",$D509&lt;&gt;"",$E509&lt;&gt;""),"TXS"&amp;TEXT(COUNTIFS($B$2:$B509,"&lt;&gt;",$C$2:$C509,"&lt;&gt;",$D$2:$D509,"&lt;&gt;",$E$2:$E509,"&lt;&gt;"),"00000"),""))</f>
        <v/>
      </c>
      <c r="B509" s="16"/>
      <c r="C509" s="20"/>
      <c r="D509" s="20"/>
      <c r="E509" s="23"/>
      <c r="H509" s="19" t="str">
        <f t="shared" si="30"/>
        <v/>
      </c>
      <c r="I509" s="19" t="str">
        <f t="shared" si="29"/>
        <v/>
      </c>
      <c r="J509" s="19" t="str">
        <f t="shared" si="31"/>
        <v/>
      </c>
      <c r="K509" s="20"/>
      <c r="L509" s="21" t="str">
        <f>IF(OR(NOT(AND($B509&lt;&gt;"",$C509&lt;&gt;"",$D509&lt;&gt;"",$E509&lt;&gt;"")),$A509="",$K509&lt;&gt;"Yes"),"",IF($L509&lt;&gt;"",$L509,INDEX(SETUP!$I$1:$I$2000,MATCH(TRUE,SETUP!$J$1:$J$2000,0)+COUNTIFS($A$2:$A509,"&lt;&gt;",$K$2:$K509,"Yes",$L$2:$L509,"")-1)))</f>
        <v/>
      </c>
      <c r="N509" s="22"/>
    </row>
    <row r="510" spans="1:14" x14ac:dyDescent="0.3">
      <c r="A510" s="15" t="str">
        <f>IF(COUNTA($B510:$E510,$K510)=0,"",IF(AND($B510&lt;&gt;"",$C510&lt;&gt;"",$D510&lt;&gt;"",$E510&lt;&gt;""),"TXS"&amp;TEXT(COUNTIFS($B$2:$B510,"&lt;&gt;",$C$2:$C510,"&lt;&gt;",$D$2:$D510,"&lt;&gt;",$E$2:$E510,"&lt;&gt;"),"00000"),""))</f>
        <v/>
      </c>
      <c r="B510" s="16"/>
      <c r="C510" s="20"/>
      <c r="D510" s="20"/>
      <c r="E510" s="23"/>
      <c r="H510" s="19" t="str">
        <f t="shared" si="30"/>
        <v/>
      </c>
      <c r="I510" s="19" t="str">
        <f t="shared" si="29"/>
        <v/>
      </c>
      <c r="J510" s="19" t="str">
        <f t="shared" si="31"/>
        <v/>
      </c>
      <c r="K510" s="20"/>
      <c r="L510" s="21" t="str">
        <f>IF(OR(NOT(AND($B510&lt;&gt;"",$C510&lt;&gt;"",$D510&lt;&gt;"",$E510&lt;&gt;"")),$A510="",$K510&lt;&gt;"Yes"),"",IF($L510&lt;&gt;"",$L510,INDEX(SETUP!$I$1:$I$2000,MATCH(TRUE,SETUP!$J$1:$J$2000,0)+COUNTIFS($A$2:$A510,"&lt;&gt;",$K$2:$K510,"Yes",$L$2:$L510,"")-1)))</f>
        <v/>
      </c>
      <c r="N510" s="22"/>
    </row>
    <row r="511" spans="1:14" x14ac:dyDescent="0.3">
      <c r="A511" s="15" t="str">
        <f>IF(COUNTA($B511:$E511,$K511)=0,"",IF(AND($B511&lt;&gt;"",$C511&lt;&gt;"",$D511&lt;&gt;"",$E511&lt;&gt;""),"TXS"&amp;TEXT(COUNTIFS($B$2:$B511,"&lt;&gt;",$C$2:$C511,"&lt;&gt;",$D$2:$D511,"&lt;&gt;",$E$2:$E511,"&lt;&gt;"),"00000"),""))</f>
        <v/>
      </c>
      <c r="B511" s="16"/>
      <c r="C511" s="20"/>
      <c r="D511" s="20"/>
      <c r="E511" s="23"/>
      <c r="H511" s="19" t="str">
        <f t="shared" si="30"/>
        <v/>
      </c>
      <c r="I511" s="19" t="str">
        <f t="shared" si="29"/>
        <v/>
      </c>
      <c r="J511" s="19" t="str">
        <f t="shared" si="31"/>
        <v/>
      </c>
      <c r="K511" s="20"/>
      <c r="L511" s="21" t="str">
        <f>IF(OR(NOT(AND($B511&lt;&gt;"",$C511&lt;&gt;"",$D511&lt;&gt;"",$E511&lt;&gt;"")),$A511="",$K511&lt;&gt;"Yes"),"",IF($L511&lt;&gt;"",$L511,INDEX(SETUP!$I$1:$I$2000,MATCH(TRUE,SETUP!$J$1:$J$2000,0)+COUNTIFS($A$2:$A511,"&lt;&gt;",$K$2:$K511,"Yes",$L$2:$L511,"")-1)))</f>
        <v/>
      </c>
      <c r="N511" s="22"/>
    </row>
    <row r="512" spans="1:14" x14ac:dyDescent="0.3">
      <c r="A512" s="15" t="str">
        <f>IF(COUNTA($B512:$E512,$K512)=0,"",IF(AND($B512&lt;&gt;"",$C512&lt;&gt;"",$D512&lt;&gt;"",$E512&lt;&gt;""),"TXS"&amp;TEXT(COUNTIFS($B$2:$B512,"&lt;&gt;",$C$2:$C512,"&lt;&gt;",$D$2:$D512,"&lt;&gt;",$E$2:$E512,"&lt;&gt;"),"00000"),""))</f>
        <v/>
      </c>
      <c r="B512" s="16"/>
      <c r="C512" s="20"/>
      <c r="D512" s="20"/>
      <c r="E512" s="23"/>
      <c r="H512" s="19" t="str">
        <f t="shared" si="30"/>
        <v/>
      </c>
      <c r="I512" s="19" t="str">
        <f t="shared" si="29"/>
        <v/>
      </c>
      <c r="J512" s="19" t="str">
        <f t="shared" si="31"/>
        <v/>
      </c>
      <c r="K512" s="20"/>
      <c r="L512" s="21" t="str">
        <f>IF(OR(NOT(AND($B512&lt;&gt;"",$C512&lt;&gt;"",$D512&lt;&gt;"",$E512&lt;&gt;"")),$A512="",$K512&lt;&gt;"Yes"),"",IF($L512&lt;&gt;"",$L512,INDEX(SETUP!$I$1:$I$2000,MATCH(TRUE,SETUP!$J$1:$J$2000,0)+COUNTIFS($A$2:$A512,"&lt;&gt;",$K$2:$K512,"Yes",$L$2:$L512,"")-1)))</f>
        <v/>
      </c>
      <c r="N512" s="22"/>
    </row>
    <row r="513" spans="1:14" x14ac:dyDescent="0.3">
      <c r="A513" s="15" t="str">
        <f>IF(COUNTA($B513:$E513,$K513)=0,"",IF(AND($B513&lt;&gt;"",$C513&lt;&gt;"",$D513&lt;&gt;"",$E513&lt;&gt;""),"TXS"&amp;TEXT(COUNTIFS($B$2:$B513,"&lt;&gt;",$C$2:$C513,"&lt;&gt;",$D$2:$D513,"&lt;&gt;",$E$2:$E513,"&lt;&gt;"),"00000"),""))</f>
        <v/>
      </c>
      <c r="B513" s="16"/>
      <c r="C513" s="20"/>
      <c r="D513" s="20"/>
      <c r="E513" s="23"/>
      <c r="H513" s="19" t="str">
        <f t="shared" si="30"/>
        <v/>
      </c>
      <c r="I513" s="19" t="str">
        <f t="shared" si="29"/>
        <v/>
      </c>
      <c r="J513" s="19" t="str">
        <f t="shared" si="31"/>
        <v/>
      </c>
      <c r="K513" s="20"/>
      <c r="L513" s="21" t="str">
        <f>IF(OR(NOT(AND($B513&lt;&gt;"",$C513&lt;&gt;"",$D513&lt;&gt;"",$E513&lt;&gt;"")),$A513="",$K513&lt;&gt;"Yes"),"",IF($L513&lt;&gt;"",$L513,INDEX(SETUP!$I$1:$I$2000,MATCH(TRUE,SETUP!$J$1:$J$2000,0)+COUNTIFS($A$2:$A513,"&lt;&gt;",$K$2:$K513,"Yes",$L$2:$L513,"")-1)))</f>
        <v/>
      </c>
      <c r="N513" s="22"/>
    </row>
    <row r="514" spans="1:14" x14ac:dyDescent="0.3">
      <c r="A514" s="15" t="str">
        <f>IF(COUNTA($B514:$E514,$K514)=0,"",IF(AND($B514&lt;&gt;"",$C514&lt;&gt;"",$D514&lt;&gt;"",$E514&lt;&gt;""),"TXS"&amp;TEXT(COUNTIFS($B$2:$B514,"&lt;&gt;",$C$2:$C514,"&lt;&gt;",$D$2:$D514,"&lt;&gt;",$E$2:$E514,"&lt;&gt;"),"00000"),""))</f>
        <v/>
      </c>
      <c r="B514" s="16"/>
      <c r="C514" s="20"/>
      <c r="D514" s="20"/>
      <c r="E514" s="23"/>
      <c r="H514" s="19" t="str">
        <f t="shared" si="30"/>
        <v/>
      </c>
      <c r="I514" s="19" t="str">
        <f t="shared" si="29"/>
        <v/>
      </c>
      <c r="J514" s="19" t="str">
        <f t="shared" si="31"/>
        <v/>
      </c>
      <c r="K514" s="20"/>
      <c r="L514" s="21" t="str">
        <f>IF(OR(NOT(AND($B514&lt;&gt;"",$C514&lt;&gt;"",$D514&lt;&gt;"",$E514&lt;&gt;"")),$A514="",$K514&lt;&gt;"Yes"),"",IF($L514&lt;&gt;"",$L514,INDEX(SETUP!$I$1:$I$2000,MATCH(TRUE,SETUP!$J$1:$J$2000,0)+COUNTIFS($A$2:$A514,"&lt;&gt;",$K$2:$K514,"Yes",$L$2:$L514,"")-1)))</f>
        <v/>
      </c>
      <c r="N514" s="22"/>
    </row>
    <row r="515" spans="1:14" x14ac:dyDescent="0.3">
      <c r="A515" s="15" t="str">
        <f>IF(COUNTA($B515:$E515,$K515)=0,"",IF(AND($B515&lt;&gt;"",$C515&lt;&gt;"",$D515&lt;&gt;"",$E515&lt;&gt;""),"TXS"&amp;TEXT(COUNTIFS($B$2:$B515,"&lt;&gt;",$C$2:$C515,"&lt;&gt;",$D$2:$D515,"&lt;&gt;",$E$2:$E515,"&lt;&gt;"),"00000"),""))</f>
        <v/>
      </c>
      <c r="B515" s="16"/>
      <c r="C515" s="20"/>
      <c r="D515" s="20"/>
      <c r="E515" s="23"/>
      <c r="H515" s="19" t="str">
        <f t="shared" si="30"/>
        <v/>
      </c>
      <c r="I515" s="19" t="str">
        <f t="shared" si="29"/>
        <v/>
      </c>
      <c r="J515" s="19" t="str">
        <f t="shared" si="31"/>
        <v/>
      </c>
      <c r="K515" s="20"/>
      <c r="L515" s="21" t="str">
        <f>IF(OR(NOT(AND($B515&lt;&gt;"",$C515&lt;&gt;"",$D515&lt;&gt;"",$E515&lt;&gt;"")),$A515="",$K515&lt;&gt;"Yes"),"",IF($L515&lt;&gt;"",$L515,INDEX(SETUP!$I$1:$I$2000,MATCH(TRUE,SETUP!$J$1:$J$2000,0)+COUNTIFS($A$2:$A515,"&lt;&gt;",$K$2:$K515,"Yes",$L$2:$L515,"")-1)))</f>
        <v/>
      </c>
      <c r="N515" s="22"/>
    </row>
    <row r="516" spans="1:14" x14ac:dyDescent="0.3">
      <c r="A516" s="15" t="str">
        <f>IF(COUNTA($B516:$E516,$K516)=0,"",IF(AND($B516&lt;&gt;"",$C516&lt;&gt;"",$D516&lt;&gt;"",$E516&lt;&gt;""),"TXS"&amp;TEXT(COUNTIFS($B$2:$B516,"&lt;&gt;",$C$2:$C516,"&lt;&gt;",$D$2:$D516,"&lt;&gt;",$E$2:$E516,"&lt;&gt;"),"00000"),""))</f>
        <v/>
      </c>
      <c r="B516" s="16"/>
      <c r="C516" s="20"/>
      <c r="D516" s="20"/>
      <c r="E516" s="23"/>
      <c r="H516" s="19" t="str">
        <f t="shared" si="30"/>
        <v/>
      </c>
      <c r="I516" s="19" t="str">
        <f t="shared" si="29"/>
        <v/>
      </c>
      <c r="J516" s="19" t="str">
        <f t="shared" si="31"/>
        <v/>
      </c>
      <c r="K516" s="20"/>
      <c r="L516" s="21" t="str">
        <f>IF(OR(NOT(AND($B516&lt;&gt;"",$C516&lt;&gt;"",$D516&lt;&gt;"",$E516&lt;&gt;"")),$A516="",$K516&lt;&gt;"Yes"),"",IF($L516&lt;&gt;"",$L516,INDEX(SETUP!$I$1:$I$2000,MATCH(TRUE,SETUP!$J$1:$J$2000,0)+COUNTIFS($A$2:$A516,"&lt;&gt;",$K$2:$K516,"Yes",$L$2:$L516,"")-1)))</f>
        <v/>
      </c>
      <c r="N516" s="22"/>
    </row>
    <row r="517" spans="1:14" x14ac:dyDescent="0.3">
      <c r="A517" s="15" t="str">
        <f>IF(COUNTA($B517:$E517,$K517)=0,"",IF(AND($B517&lt;&gt;"",$C517&lt;&gt;"",$D517&lt;&gt;"",$E517&lt;&gt;""),"TXS"&amp;TEXT(COUNTIFS($B$2:$B517,"&lt;&gt;",$C$2:$C517,"&lt;&gt;",$D$2:$D517,"&lt;&gt;",$E$2:$E517,"&lt;&gt;"),"00000"),""))</f>
        <v/>
      </c>
      <c r="B517" s="16"/>
      <c r="C517" s="20"/>
      <c r="D517" s="20"/>
      <c r="E517" s="23"/>
      <c r="H517" s="19" t="str">
        <f t="shared" si="30"/>
        <v/>
      </c>
      <c r="I517" s="19" t="str">
        <f t="shared" si="29"/>
        <v/>
      </c>
      <c r="J517" s="19" t="str">
        <f t="shared" si="31"/>
        <v/>
      </c>
      <c r="K517" s="20"/>
      <c r="L517" s="21" t="str">
        <f>IF(OR(NOT(AND($B517&lt;&gt;"",$C517&lt;&gt;"",$D517&lt;&gt;"",$E517&lt;&gt;"")),$A517="",$K517&lt;&gt;"Yes"),"",IF($L517&lt;&gt;"",$L517,INDEX(SETUP!$I$1:$I$2000,MATCH(TRUE,SETUP!$J$1:$J$2000,0)+COUNTIFS($A$2:$A517,"&lt;&gt;",$K$2:$K517,"Yes",$L$2:$L517,"")-1)))</f>
        <v/>
      </c>
      <c r="N517" s="22"/>
    </row>
    <row r="518" spans="1:14" x14ac:dyDescent="0.3">
      <c r="A518" s="15" t="str">
        <f>IF(COUNTA($B518:$E518,$K518)=0,"",IF(AND($B518&lt;&gt;"",$C518&lt;&gt;"",$D518&lt;&gt;"",$E518&lt;&gt;""),"TXS"&amp;TEXT(COUNTIFS($B$2:$B518,"&lt;&gt;",$C$2:$C518,"&lt;&gt;",$D$2:$D518,"&lt;&gt;",$E$2:$E518,"&lt;&gt;"),"00000"),""))</f>
        <v/>
      </c>
      <c r="B518" s="16"/>
      <c r="C518" s="20"/>
      <c r="D518" s="20"/>
      <c r="E518" s="23"/>
      <c r="H518" s="19" t="str">
        <f t="shared" si="30"/>
        <v/>
      </c>
      <c r="I518" s="19" t="str">
        <f t="shared" si="29"/>
        <v/>
      </c>
      <c r="J518" s="19" t="str">
        <f t="shared" si="31"/>
        <v/>
      </c>
      <c r="K518" s="20"/>
      <c r="L518" s="21" t="str">
        <f>IF(OR(NOT(AND($B518&lt;&gt;"",$C518&lt;&gt;"",$D518&lt;&gt;"",$E518&lt;&gt;"")),$A518="",$K518&lt;&gt;"Yes"),"",IF($L518&lt;&gt;"",$L518,INDEX(SETUP!$I$1:$I$2000,MATCH(TRUE,SETUP!$J$1:$J$2000,0)+COUNTIFS($A$2:$A518,"&lt;&gt;",$K$2:$K518,"Yes",$L$2:$L518,"")-1)))</f>
        <v/>
      </c>
      <c r="N518" s="22"/>
    </row>
    <row r="519" spans="1:14" x14ac:dyDescent="0.3">
      <c r="A519" s="15" t="str">
        <f>IF(COUNTA($B519:$E519,$K519)=0,"",IF(AND($B519&lt;&gt;"",$C519&lt;&gt;"",$D519&lt;&gt;"",$E519&lt;&gt;""),"TXS"&amp;TEXT(COUNTIFS($B$2:$B519,"&lt;&gt;",$C$2:$C519,"&lt;&gt;",$D$2:$D519,"&lt;&gt;",$E$2:$E519,"&lt;&gt;"),"00000"),""))</f>
        <v/>
      </c>
      <c r="B519" s="16"/>
      <c r="C519" s="20"/>
      <c r="D519" s="20"/>
      <c r="E519" s="23"/>
      <c r="H519" s="19" t="str">
        <f t="shared" si="30"/>
        <v/>
      </c>
      <c r="I519" s="19" t="str">
        <f t="shared" si="29"/>
        <v/>
      </c>
      <c r="J519" s="19" t="str">
        <f t="shared" si="31"/>
        <v/>
      </c>
      <c r="K519" s="20"/>
      <c r="L519" s="21" t="str">
        <f>IF(OR(NOT(AND($B519&lt;&gt;"",$C519&lt;&gt;"",$D519&lt;&gt;"",$E519&lt;&gt;"")),$A519="",$K519&lt;&gt;"Yes"),"",IF($L519&lt;&gt;"",$L519,INDEX(SETUP!$I$1:$I$2000,MATCH(TRUE,SETUP!$J$1:$J$2000,0)+COUNTIFS($A$2:$A519,"&lt;&gt;",$K$2:$K519,"Yes",$L$2:$L519,"")-1)))</f>
        <v/>
      </c>
      <c r="N519" s="22"/>
    </row>
    <row r="520" spans="1:14" x14ac:dyDescent="0.3">
      <c r="A520" s="15" t="str">
        <f>IF(COUNTA($B520:$E520,$K520)=0,"",IF(AND($B520&lt;&gt;"",$C520&lt;&gt;"",$D520&lt;&gt;"",$E520&lt;&gt;""),"TXS"&amp;TEXT(COUNTIFS($B$2:$B520,"&lt;&gt;",$C$2:$C520,"&lt;&gt;",$D$2:$D520,"&lt;&gt;",$E$2:$E520,"&lt;&gt;"),"00000"),""))</f>
        <v/>
      </c>
      <c r="B520" s="16"/>
      <c r="C520" s="20"/>
      <c r="D520" s="20"/>
      <c r="E520" s="23"/>
      <c r="H520" s="19" t="str">
        <f t="shared" si="30"/>
        <v/>
      </c>
      <c r="I520" s="19" t="str">
        <f t="shared" si="29"/>
        <v/>
      </c>
      <c r="J520" s="19" t="str">
        <f t="shared" si="31"/>
        <v/>
      </c>
      <c r="K520" s="20"/>
      <c r="L520" s="21" t="str">
        <f>IF(OR(NOT(AND($B520&lt;&gt;"",$C520&lt;&gt;"",$D520&lt;&gt;"",$E520&lt;&gt;"")),$A520="",$K520&lt;&gt;"Yes"),"",IF($L520&lt;&gt;"",$L520,INDEX(SETUP!$I$1:$I$2000,MATCH(TRUE,SETUP!$J$1:$J$2000,0)+COUNTIFS($A$2:$A520,"&lt;&gt;",$K$2:$K520,"Yes",$L$2:$L520,"")-1)))</f>
        <v/>
      </c>
      <c r="N520" s="22"/>
    </row>
    <row r="521" spans="1:14" x14ac:dyDescent="0.3">
      <c r="A521" s="15" t="str">
        <f>IF(COUNTA($B521:$E521,$K521)=0,"",IF(AND($B521&lt;&gt;"",$C521&lt;&gt;"",$D521&lt;&gt;"",$E521&lt;&gt;""),"TXS"&amp;TEXT(COUNTIFS($B$2:$B521,"&lt;&gt;",$C$2:$C521,"&lt;&gt;",$D$2:$D521,"&lt;&gt;",$E$2:$E521,"&lt;&gt;"),"00000"),""))</f>
        <v/>
      </c>
      <c r="B521" s="16"/>
      <c r="C521" s="20"/>
      <c r="D521" s="20"/>
      <c r="E521" s="23"/>
      <c r="H521" s="19" t="str">
        <f t="shared" si="30"/>
        <v/>
      </c>
      <c r="I521" s="19" t="str">
        <f t="shared" si="29"/>
        <v/>
      </c>
      <c r="J521" s="19" t="str">
        <f t="shared" si="31"/>
        <v/>
      </c>
      <c r="K521" s="20"/>
      <c r="L521" s="21" t="str">
        <f>IF(OR(NOT(AND($B521&lt;&gt;"",$C521&lt;&gt;"",$D521&lt;&gt;"",$E521&lt;&gt;"")),$A521="",$K521&lt;&gt;"Yes"),"",IF($L521&lt;&gt;"",$L521,INDEX(SETUP!$I$1:$I$2000,MATCH(TRUE,SETUP!$J$1:$J$2000,0)+COUNTIFS($A$2:$A521,"&lt;&gt;",$K$2:$K521,"Yes",$L$2:$L521,"")-1)))</f>
        <v/>
      </c>
      <c r="N521" s="22"/>
    </row>
    <row r="522" spans="1:14" x14ac:dyDescent="0.3">
      <c r="A522" s="15" t="str">
        <f>IF(COUNTA($B522:$E522,$K522)=0,"",IF(AND($B522&lt;&gt;"",$C522&lt;&gt;"",$D522&lt;&gt;"",$E522&lt;&gt;""),"TXS"&amp;TEXT(COUNTIFS($B$2:$B522,"&lt;&gt;",$C$2:$C522,"&lt;&gt;",$D$2:$D522,"&lt;&gt;",$E$2:$E522,"&lt;&gt;"),"00000"),""))</f>
        <v/>
      </c>
      <c r="B522" s="16"/>
      <c r="C522" s="20"/>
      <c r="D522" s="20"/>
      <c r="E522" s="23"/>
      <c r="H522" s="19" t="str">
        <f t="shared" si="30"/>
        <v/>
      </c>
      <c r="I522" s="19" t="str">
        <f t="shared" si="29"/>
        <v/>
      </c>
      <c r="J522" s="19" t="str">
        <f t="shared" si="31"/>
        <v/>
      </c>
      <c r="K522" s="20"/>
      <c r="L522" s="21" t="str">
        <f>IF(OR(NOT(AND($B522&lt;&gt;"",$C522&lt;&gt;"",$D522&lt;&gt;"",$E522&lt;&gt;"")),$A522="",$K522&lt;&gt;"Yes"),"",IF($L522&lt;&gt;"",$L522,INDEX(SETUP!$I$1:$I$2000,MATCH(TRUE,SETUP!$J$1:$J$2000,0)+COUNTIFS($A$2:$A522,"&lt;&gt;",$K$2:$K522,"Yes",$L$2:$L522,"")-1)))</f>
        <v/>
      </c>
      <c r="N522" s="22"/>
    </row>
    <row r="523" spans="1:14" x14ac:dyDescent="0.3">
      <c r="A523" s="15" t="str">
        <f>IF(COUNTA($B523:$E523,$K523)=0,"",IF(AND($B523&lt;&gt;"",$C523&lt;&gt;"",$D523&lt;&gt;"",$E523&lt;&gt;""),"TXS"&amp;TEXT(COUNTIFS($B$2:$B523,"&lt;&gt;",$C$2:$C523,"&lt;&gt;",$D$2:$D523,"&lt;&gt;",$E$2:$E523,"&lt;&gt;"),"00000"),""))</f>
        <v/>
      </c>
      <c r="B523" s="16"/>
      <c r="C523" s="20"/>
      <c r="D523" s="20"/>
      <c r="E523" s="23"/>
      <c r="H523" s="19" t="str">
        <f t="shared" si="30"/>
        <v/>
      </c>
      <c r="I523" s="19" t="str">
        <f t="shared" si="29"/>
        <v/>
      </c>
      <c r="J523" s="19" t="str">
        <f t="shared" si="31"/>
        <v/>
      </c>
      <c r="K523" s="20"/>
      <c r="L523" s="21" t="str">
        <f>IF(OR(NOT(AND($B523&lt;&gt;"",$C523&lt;&gt;"",$D523&lt;&gt;"",$E523&lt;&gt;"")),$A523="",$K523&lt;&gt;"Yes"),"",IF($L523&lt;&gt;"",$L523,INDEX(SETUP!$I$1:$I$2000,MATCH(TRUE,SETUP!$J$1:$J$2000,0)+COUNTIFS($A$2:$A523,"&lt;&gt;",$K$2:$K523,"Yes",$L$2:$L523,"")-1)))</f>
        <v/>
      </c>
      <c r="N523" s="22"/>
    </row>
    <row r="524" spans="1:14" x14ac:dyDescent="0.3">
      <c r="A524" s="15" t="str">
        <f>IF(COUNTA($B524:$E524,$K524)=0,"",IF(AND($B524&lt;&gt;"",$C524&lt;&gt;"",$D524&lt;&gt;"",$E524&lt;&gt;""),"TXS"&amp;TEXT(COUNTIFS($B$2:$B524,"&lt;&gt;",$C$2:$C524,"&lt;&gt;",$D$2:$D524,"&lt;&gt;",$E$2:$E524,"&lt;&gt;"),"00000"),""))</f>
        <v/>
      </c>
      <c r="B524" s="16"/>
      <c r="C524" s="20"/>
      <c r="D524" s="20"/>
      <c r="E524" s="23"/>
      <c r="H524" s="19" t="str">
        <f t="shared" si="30"/>
        <v/>
      </c>
      <c r="I524" s="19" t="str">
        <f t="shared" si="29"/>
        <v/>
      </c>
      <c r="J524" s="19" t="str">
        <f t="shared" si="31"/>
        <v/>
      </c>
      <c r="K524" s="20"/>
      <c r="L524" s="21" t="str">
        <f>IF(OR(NOT(AND($B524&lt;&gt;"",$C524&lt;&gt;"",$D524&lt;&gt;"",$E524&lt;&gt;"")),$A524="",$K524&lt;&gt;"Yes"),"",IF($L524&lt;&gt;"",$L524,INDEX(SETUP!$I$1:$I$2000,MATCH(TRUE,SETUP!$J$1:$J$2000,0)+COUNTIFS($A$2:$A524,"&lt;&gt;",$K$2:$K524,"Yes",$L$2:$L524,"")-1)))</f>
        <v/>
      </c>
      <c r="N524" s="22"/>
    </row>
    <row r="525" spans="1:14" x14ac:dyDescent="0.3">
      <c r="A525" s="15" t="str">
        <f>IF(COUNTA($B525:$E525,$K525)=0,"",IF(AND($B525&lt;&gt;"",$C525&lt;&gt;"",$D525&lt;&gt;"",$E525&lt;&gt;""),"TXS"&amp;TEXT(COUNTIFS($B$2:$B525,"&lt;&gt;",$C$2:$C525,"&lt;&gt;",$D$2:$D525,"&lt;&gt;",$E$2:$E525,"&lt;&gt;"),"00000"),""))</f>
        <v/>
      </c>
      <c r="B525" s="16"/>
      <c r="C525" s="20"/>
      <c r="D525" s="20"/>
      <c r="E525" s="23"/>
      <c r="H525" s="19" t="str">
        <f t="shared" si="30"/>
        <v/>
      </c>
      <c r="I525" s="19" t="str">
        <f t="shared" si="29"/>
        <v/>
      </c>
      <c r="J525" s="19" t="str">
        <f t="shared" si="31"/>
        <v/>
      </c>
      <c r="K525" s="20"/>
      <c r="L525" s="21" t="str">
        <f>IF(OR(NOT(AND($B525&lt;&gt;"",$C525&lt;&gt;"",$D525&lt;&gt;"",$E525&lt;&gt;"")),$A525="",$K525&lt;&gt;"Yes"),"",IF($L525&lt;&gt;"",$L525,INDEX(SETUP!$I$1:$I$2000,MATCH(TRUE,SETUP!$J$1:$J$2000,0)+COUNTIFS($A$2:$A525,"&lt;&gt;",$K$2:$K525,"Yes",$L$2:$L525,"")-1)))</f>
        <v/>
      </c>
      <c r="N525" s="22"/>
    </row>
    <row r="526" spans="1:14" x14ac:dyDescent="0.3">
      <c r="A526" s="15" t="str">
        <f>IF(COUNTA($B526:$E526,$K526)=0,"",IF(AND($B526&lt;&gt;"",$C526&lt;&gt;"",$D526&lt;&gt;"",$E526&lt;&gt;""),"TXS"&amp;TEXT(COUNTIFS($B$2:$B526,"&lt;&gt;",$C$2:$C526,"&lt;&gt;",$D$2:$D526,"&lt;&gt;",$E$2:$E526,"&lt;&gt;"),"00000"),""))</f>
        <v/>
      </c>
      <c r="B526" s="16"/>
      <c r="C526" s="20"/>
      <c r="D526" s="20"/>
      <c r="E526" s="23"/>
      <c r="H526" s="19" t="str">
        <f t="shared" si="30"/>
        <v/>
      </c>
      <c r="I526" s="19" t="str">
        <f t="shared" si="29"/>
        <v/>
      </c>
      <c r="J526" s="19" t="str">
        <f t="shared" si="31"/>
        <v/>
      </c>
      <c r="K526" s="20"/>
      <c r="L526" s="21" t="str">
        <f>IF(OR(NOT(AND($B526&lt;&gt;"",$C526&lt;&gt;"",$D526&lt;&gt;"",$E526&lt;&gt;"")),$A526="",$K526&lt;&gt;"Yes"),"",IF($L526&lt;&gt;"",$L526,INDEX(SETUP!$I$1:$I$2000,MATCH(TRUE,SETUP!$J$1:$J$2000,0)+COUNTIFS($A$2:$A526,"&lt;&gt;",$K$2:$K526,"Yes",$L$2:$L526,"")-1)))</f>
        <v/>
      </c>
      <c r="N526" s="22"/>
    </row>
    <row r="527" spans="1:14" x14ac:dyDescent="0.3">
      <c r="A527" s="15" t="str">
        <f>IF(COUNTA($B527:$E527,$K527)=0,"",IF(AND($B527&lt;&gt;"",$C527&lt;&gt;"",$D527&lt;&gt;"",$E527&lt;&gt;""),"TXS"&amp;TEXT(COUNTIFS($B$2:$B527,"&lt;&gt;",$C$2:$C527,"&lt;&gt;",$D$2:$D527,"&lt;&gt;",$E$2:$E527,"&lt;&gt;"),"00000"),""))</f>
        <v/>
      </c>
      <c r="B527" s="16"/>
      <c r="C527" s="20"/>
      <c r="D527" s="20"/>
      <c r="E527" s="23"/>
      <c r="H527" s="19" t="str">
        <f t="shared" si="30"/>
        <v/>
      </c>
      <c r="I527" s="19" t="str">
        <f t="shared" si="29"/>
        <v/>
      </c>
      <c r="J527" s="19" t="str">
        <f t="shared" si="31"/>
        <v/>
      </c>
      <c r="K527" s="20"/>
      <c r="L527" s="21" t="str">
        <f>IF(OR(NOT(AND($B527&lt;&gt;"",$C527&lt;&gt;"",$D527&lt;&gt;"",$E527&lt;&gt;"")),$A527="",$K527&lt;&gt;"Yes"),"",IF($L527&lt;&gt;"",$L527,INDEX(SETUP!$I$1:$I$2000,MATCH(TRUE,SETUP!$J$1:$J$2000,0)+COUNTIFS($A$2:$A527,"&lt;&gt;",$K$2:$K527,"Yes",$L$2:$L527,"")-1)))</f>
        <v/>
      </c>
      <c r="N527" s="22"/>
    </row>
    <row r="528" spans="1:14" x14ac:dyDescent="0.3">
      <c r="A528" s="15" t="str">
        <f>IF(COUNTA($B528:$E528,$K528)=0,"",IF(AND($B528&lt;&gt;"",$C528&lt;&gt;"",$D528&lt;&gt;"",$E528&lt;&gt;""),"TXS"&amp;TEXT(COUNTIFS($B$2:$B528,"&lt;&gt;",$C$2:$C528,"&lt;&gt;",$D$2:$D528,"&lt;&gt;",$E$2:$E528,"&lt;&gt;"),"00000"),""))</f>
        <v/>
      </c>
      <c r="B528" s="16"/>
      <c r="C528" s="20"/>
      <c r="D528" s="20"/>
      <c r="E528" s="23"/>
      <c r="H528" s="19" t="str">
        <f t="shared" si="30"/>
        <v/>
      </c>
      <c r="I528" s="19" t="str">
        <f t="shared" si="29"/>
        <v/>
      </c>
      <c r="J528" s="19" t="str">
        <f t="shared" si="31"/>
        <v/>
      </c>
      <c r="K528" s="20"/>
      <c r="L528" s="21" t="str">
        <f>IF(OR(NOT(AND($B528&lt;&gt;"",$C528&lt;&gt;"",$D528&lt;&gt;"",$E528&lt;&gt;"")),$A528="",$K528&lt;&gt;"Yes"),"",IF($L528&lt;&gt;"",$L528,INDEX(SETUP!$I$1:$I$2000,MATCH(TRUE,SETUP!$J$1:$J$2000,0)+COUNTIFS($A$2:$A528,"&lt;&gt;",$K$2:$K528,"Yes",$L$2:$L528,"")-1)))</f>
        <v/>
      </c>
      <c r="N528" s="22"/>
    </row>
    <row r="529" spans="1:14" x14ac:dyDescent="0.3">
      <c r="A529" s="15" t="str">
        <f>IF(COUNTA($B529:$E529,$K529)=0,"",IF(AND($B529&lt;&gt;"",$C529&lt;&gt;"",$D529&lt;&gt;"",$E529&lt;&gt;""),"TXS"&amp;TEXT(COUNTIFS($B$2:$B529,"&lt;&gt;",$C$2:$C529,"&lt;&gt;",$D$2:$D529,"&lt;&gt;",$E$2:$E529,"&lt;&gt;"),"00000"),""))</f>
        <v/>
      </c>
      <c r="B529" s="16"/>
      <c r="C529" s="20"/>
      <c r="D529" s="20"/>
      <c r="E529" s="23"/>
      <c r="H529" s="19" t="str">
        <f t="shared" si="30"/>
        <v/>
      </c>
      <c r="I529" s="19" t="str">
        <f t="shared" si="29"/>
        <v/>
      </c>
      <c r="J529" s="19" t="str">
        <f t="shared" si="31"/>
        <v/>
      </c>
      <c r="K529" s="20"/>
      <c r="L529" s="21" t="str">
        <f>IF(OR(NOT(AND($B529&lt;&gt;"",$C529&lt;&gt;"",$D529&lt;&gt;"",$E529&lt;&gt;"")),$A529="",$K529&lt;&gt;"Yes"),"",IF($L529&lt;&gt;"",$L529,INDEX(SETUP!$I$1:$I$2000,MATCH(TRUE,SETUP!$J$1:$J$2000,0)+COUNTIFS($A$2:$A529,"&lt;&gt;",$K$2:$K529,"Yes",$L$2:$L529,"")-1)))</f>
        <v/>
      </c>
      <c r="N529" s="22"/>
    </row>
    <row r="530" spans="1:14" x14ac:dyDescent="0.3">
      <c r="A530" s="15" t="str">
        <f>IF(COUNTA($B530:$E530,$K530)=0,"",IF(AND($B530&lt;&gt;"",$C530&lt;&gt;"",$D530&lt;&gt;"",$E530&lt;&gt;""),"TXS"&amp;TEXT(COUNTIFS($B$2:$B530,"&lt;&gt;",$C$2:$C530,"&lt;&gt;",$D$2:$D530,"&lt;&gt;",$E$2:$E530,"&lt;&gt;"),"00000"),""))</f>
        <v/>
      </c>
      <c r="B530" s="16"/>
      <c r="C530" s="20"/>
      <c r="D530" s="20"/>
      <c r="E530" s="23"/>
      <c r="H530" s="19" t="str">
        <f t="shared" si="30"/>
        <v/>
      </c>
      <c r="I530" s="19" t="str">
        <f t="shared" si="29"/>
        <v/>
      </c>
      <c r="J530" s="19" t="str">
        <f t="shared" si="31"/>
        <v/>
      </c>
      <c r="K530" s="20"/>
      <c r="L530" s="21" t="str">
        <f>IF(OR(NOT(AND($B530&lt;&gt;"",$C530&lt;&gt;"",$D530&lt;&gt;"",$E530&lt;&gt;"")),$A530="",$K530&lt;&gt;"Yes"),"",IF($L530&lt;&gt;"",$L530,INDEX(SETUP!$I$1:$I$2000,MATCH(TRUE,SETUP!$J$1:$J$2000,0)+COUNTIFS($A$2:$A530,"&lt;&gt;",$K$2:$K530,"Yes",$L$2:$L530,"")-1)))</f>
        <v/>
      </c>
      <c r="N530" s="22"/>
    </row>
    <row r="531" spans="1:14" x14ac:dyDescent="0.3">
      <c r="A531" s="15" t="str">
        <f>IF(COUNTA($B531:$E531,$K531)=0,"",IF(AND($B531&lt;&gt;"",$C531&lt;&gt;"",$D531&lt;&gt;"",$E531&lt;&gt;""),"TXS"&amp;TEXT(COUNTIFS($B$2:$B531,"&lt;&gt;",$C$2:$C531,"&lt;&gt;",$D$2:$D531,"&lt;&gt;",$E$2:$E531,"&lt;&gt;"),"00000"),""))</f>
        <v/>
      </c>
      <c r="B531" s="16"/>
      <c r="C531" s="20"/>
      <c r="D531" s="20"/>
      <c r="E531" s="23"/>
      <c r="H531" s="19" t="str">
        <f t="shared" si="30"/>
        <v/>
      </c>
      <c r="I531" s="19" t="str">
        <f t="shared" si="29"/>
        <v/>
      </c>
      <c r="J531" s="19" t="str">
        <f t="shared" si="31"/>
        <v/>
      </c>
      <c r="K531" s="20"/>
      <c r="L531" s="21" t="str">
        <f>IF(OR(NOT(AND($B531&lt;&gt;"",$C531&lt;&gt;"",$D531&lt;&gt;"",$E531&lt;&gt;"")),$A531="",$K531&lt;&gt;"Yes"),"",IF($L531&lt;&gt;"",$L531,INDEX(SETUP!$I$1:$I$2000,MATCH(TRUE,SETUP!$J$1:$J$2000,0)+COUNTIFS($A$2:$A531,"&lt;&gt;",$K$2:$K531,"Yes",$L$2:$L531,"")-1)))</f>
        <v/>
      </c>
      <c r="N531" s="22"/>
    </row>
    <row r="532" spans="1:14" x14ac:dyDescent="0.3">
      <c r="A532" s="15" t="str">
        <f>IF(COUNTA($B532:$E532,$K532)=0,"",IF(AND($B532&lt;&gt;"",$C532&lt;&gt;"",$D532&lt;&gt;"",$E532&lt;&gt;""),"TXS"&amp;TEXT(COUNTIFS($B$2:$B532,"&lt;&gt;",$C$2:$C532,"&lt;&gt;",$D$2:$D532,"&lt;&gt;",$E$2:$E532,"&lt;&gt;"),"00000"),""))</f>
        <v/>
      </c>
      <c r="B532" s="16"/>
      <c r="C532" s="20"/>
      <c r="D532" s="20"/>
      <c r="E532" s="23"/>
      <c r="H532" s="19" t="str">
        <f t="shared" si="30"/>
        <v/>
      </c>
      <c r="I532" s="19" t="str">
        <f t="shared" si="29"/>
        <v/>
      </c>
      <c r="J532" s="19" t="str">
        <f t="shared" si="31"/>
        <v/>
      </c>
      <c r="K532" s="20"/>
      <c r="L532" s="21" t="str">
        <f>IF(OR(NOT(AND($B532&lt;&gt;"",$C532&lt;&gt;"",$D532&lt;&gt;"",$E532&lt;&gt;"")),$A532="",$K532&lt;&gt;"Yes"),"",IF($L532&lt;&gt;"",$L532,INDEX(SETUP!$I$1:$I$2000,MATCH(TRUE,SETUP!$J$1:$J$2000,0)+COUNTIFS($A$2:$A532,"&lt;&gt;",$K$2:$K532,"Yes",$L$2:$L532,"")-1)))</f>
        <v/>
      </c>
      <c r="N532" s="22"/>
    </row>
    <row r="533" spans="1:14" x14ac:dyDescent="0.3">
      <c r="A533" s="15" t="str">
        <f>IF(COUNTA($B533:$E533,$K533)=0,"",IF(AND($B533&lt;&gt;"",$C533&lt;&gt;"",$D533&lt;&gt;"",$E533&lt;&gt;""),"TXS"&amp;TEXT(COUNTIFS($B$2:$B533,"&lt;&gt;",$C$2:$C533,"&lt;&gt;",$D$2:$D533,"&lt;&gt;",$E$2:$E533,"&lt;&gt;"),"00000"),""))</f>
        <v/>
      </c>
      <c r="B533" s="16"/>
      <c r="C533" s="20"/>
      <c r="D533" s="20"/>
      <c r="E533" s="23"/>
      <c r="H533" s="19" t="str">
        <f t="shared" si="30"/>
        <v/>
      </c>
      <c r="I533" s="19" t="str">
        <f t="shared" si="29"/>
        <v/>
      </c>
      <c r="J533" s="19" t="str">
        <f t="shared" si="31"/>
        <v/>
      </c>
      <c r="K533" s="20"/>
      <c r="L533" s="21" t="str">
        <f>IF(OR(NOT(AND($B533&lt;&gt;"",$C533&lt;&gt;"",$D533&lt;&gt;"",$E533&lt;&gt;"")),$A533="",$K533&lt;&gt;"Yes"),"",IF($L533&lt;&gt;"",$L533,INDEX(SETUP!$I$1:$I$2000,MATCH(TRUE,SETUP!$J$1:$J$2000,0)+COUNTIFS($A$2:$A533,"&lt;&gt;",$K$2:$K533,"Yes",$L$2:$L533,"")-1)))</f>
        <v/>
      </c>
      <c r="N533" s="22"/>
    </row>
    <row r="534" spans="1:14" x14ac:dyDescent="0.3">
      <c r="A534" s="15" t="str">
        <f>IF(COUNTA($B534:$E534,$K534)=0,"",IF(AND($B534&lt;&gt;"",$C534&lt;&gt;"",$D534&lt;&gt;"",$E534&lt;&gt;""),"TXS"&amp;TEXT(COUNTIFS($B$2:$B534,"&lt;&gt;",$C$2:$C534,"&lt;&gt;",$D$2:$D534,"&lt;&gt;",$E$2:$E534,"&lt;&gt;"),"00000"),""))</f>
        <v/>
      </c>
      <c r="B534" s="16"/>
      <c r="C534" s="20"/>
      <c r="D534" s="20"/>
      <c r="E534" s="23"/>
      <c r="H534" s="19" t="str">
        <f t="shared" si="30"/>
        <v/>
      </c>
      <c r="I534" s="19" t="str">
        <f t="shared" si="29"/>
        <v/>
      </c>
      <c r="J534" s="19" t="str">
        <f t="shared" si="31"/>
        <v/>
      </c>
      <c r="K534" s="20"/>
      <c r="L534" s="21" t="str">
        <f>IF(OR(NOT(AND($B534&lt;&gt;"",$C534&lt;&gt;"",$D534&lt;&gt;"",$E534&lt;&gt;"")),$A534="",$K534&lt;&gt;"Yes"),"",IF($L534&lt;&gt;"",$L534,INDEX(SETUP!$I$1:$I$2000,MATCH(TRUE,SETUP!$J$1:$J$2000,0)+COUNTIFS($A$2:$A534,"&lt;&gt;",$K$2:$K534,"Yes",$L$2:$L534,"")-1)))</f>
        <v/>
      </c>
      <c r="N534" s="22"/>
    </row>
    <row r="535" spans="1:14" x14ac:dyDescent="0.3">
      <c r="A535" s="15" t="str">
        <f>IF(COUNTA($B535:$E535,$K535)=0,"",IF(AND($B535&lt;&gt;"",$C535&lt;&gt;"",$D535&lt;&gt;"",$E535&lt;&gt;""),"TXS"&amp;TEXT(COUNTIFS($B$2:$B535,"&lt;&gt;",$C$2:$C535,"&lt;&gt;",$D$2:$D535,"&lt;&gt;",$E$2:$E535,"&lt;&gt;"),"00000"),""))</f>
        <v/>
      </c>
      <c r="B535" s="16"/>
      <c r="C535" s="20"/>
      <c r="D535" s="20"/>
      <c r="E535" s="23"/>
      <c r="H535" s="19" t="str">
        <f t="shared" si="30"/>
        <v/>
      </c>
      <c r="I535" s="19" t="str">
        <f t="shared" si="29"/>
        <v/>
      </c>
      <c r="J535" s="19" t="str">
        <f t="shared" si="31"/>
        <v/>
      </c>
      <c r="K535" s="20"/>
      <c r="L535" s="21" t="str">
        <f>IF(OR(NOT(AND($B535&lt;&gt;"",$C535&lt;&gt;"",$D535&lt;&gt;"",$E535&lt;&gt;"")),$A535="",$K535&lt;&gt;"Yes"),"",IF($L535&lt;&gt;"",$L535,INDEX(SETUP!$I$1:$I$2000,MATCH(TRUE,SETUP!$J$1:$J$2000,0)+COUNTIFS($A$2:$A535,"&lt;&gt;",$K$2:$K535,"Yes",$L$2:$L535,"")-1)))</f>
        <v/>
      </c>
      <c r="N535" s="22"/>
    </row>
    <row r="536" spans="1:14" x14ac:dyDescent="0.3">
      <c r="A536" s="15" t="str">
        <f>IF(COUNTA($B536:$E536,$K536)=0,"",IF(AND($B536&lt;&gt;"",$C536&lt;&gt;"",$D536&lt;&gt;"",$E536&lt;&gt;""),"TXS"&amp;TEXT(COUNTIFS($B$2:$B536,"&lt;&gt;",$C$2:$C536,"&lt;&gt;",$D$2:$D536,"&lt;&gt;",$E$2:$E536,"&lt;&gt;"),"00000"),""))</f>
        <v/>
      </c>
      <c r="B536" s="16"/>
      <c r="C536" s="20"/>
      <c r="D536" s="20"/>
      <c r="E536" s="23"/>
      <c r="H536" s="19" t="str">
        <f t="shared" si="30"/>
        <v/>
      </c>
      <c r="I536" s="19" t="str">
        <f t="shared" si="29"/>
        <v/>
      </c>
      <c r="J536" s="19" t="str">
        <f t="shared" si="31"/>
        <v/>
      </c>
      <c r="K536" s="20"/>
      <c r="L536" s="21" t="str">
        <f>IF(OR(NOT(AND($B536&lt;&gt;"",$C536&lt;&gt;"",$D536&lt;&gt;"",$E536&lt;&gt;"")),$A536="",$K536&lt;&gt;"Yes"),"",IF($L536&lt;&gt;"",$L536,INDEX(SETUP!$I$1:$I$2000,MATCH(TRUE,SETUP!$J$1:$J$2000,0)+COUNTIFS($A$2:$A536,"&lt;&gt;",$K$2:$K536,"Yes",$L$2:$L536,"")-1)))</f>
        <v/>
      </c>
      <c r="N536" s="22"/>
    </row>
    <row r="537" spans="1:14" x14ac:dyDescent="0.3">
      <c r="A537" s="15" t="str">
        <f>IF(COUNTA($B537:$E537,$K537)=0,"",IF(AND($B537&lt;&gt;"",$C537&lt;&gt;"",$D537&lt;&gt;"",$E537&lt;&gt;""),"TXS"&amp;TEXT(COUNTIFS($B$2:$B537,"&lt;&gt;",$C$2:$C537,"&lt;&gt;",$D$2:$D537,"&lt;&gt;",$E$2:$E537,"&lt;&gt;"),"00000"),""))</f>
        <v/>
      </c>
      <c r="B537" s="16"/>
      <c r="C537" s="20"/>
      <c r="D537" s="20"/>
      <c r="E537" s="23"/>
      <c r="H537" s="19" t="str">
        <f t="shared" si="30"/>
        <v/>
      </c>
      <c r="I537" s="19" t="str">
        <f t="shared" si="29"/>
        <v/>
      </c>
      <c r="J537" s="19" t="str">
        <f t="shared" si="31"/>
        <v/>
      </c>
      <c r="K537" s="20"/>
      <c r="L537" s="21" t="str">
        <f>IF(OR(NOT(AND($B537&lt;&gt;"",$C537&lt;&gt;"",$D537&lt;&gt;"",$E537&lt;&gt;"")),$A537="",$K537&lt;&gt;"Yes"),"",IF($L537&lt;&gt;"",$L537,INDEX(SETUP!$I$1:$I$2000,MATCH(TRUE,SETUP!$J$1:$J$2000,0)+COUNTIFS($A$2:$A537,"&lt;&gt;",$K$2:$K537,"Yes",$L$2:$L537,"")-1)))</f>
        <v/>
      </c>
      <c r="N537" s="22"/>
    </row>
    <row r="538" spans="1:14" x14ac:dyDescent="0.3">
      <c r="A538" s="15" t="str">
        <f>IF(COUNTA($B538:$E538,$K538)=0,"",IF(AND($B538&lt;&gt;"",$C538&lt;&gt;"",$D538&lt;&gt;"",$E538&lt;&gt;""),"TXS"&amp;TEXT(COUNTIFS($B$2:$B538,"&lt;&gt;",$C$2:$C538,"&lt;&gt;",$D$2:$D538,"&lt;&gt;",$E$2:$E538,"&lt;&gt;"),"00000"),""))</f>
        <v/>
      </c>
      <c r="B538" s="16"/>
      <c r="C538" s="20"/>
      <c r="D538" s="20"/>
      <c r="E538" s="23"/>
      <c r="H538" s="19" t="str">
        <f t="shared" si="30"/>
        <v/>
      </c>
      <c r="I538" s="19" t="str">
        <f t="shared" si="29"/>
        <v/>
      </c>
      <c r="J538" s="19" t="str">
        <f t="shared" si="31"/>
        <v/>
      </c>
      <c r="K538" s="20"/>
      <c r="L538" s="21" t="str">
        <f>IF(OR(NOT(AND($B538&lt;&gt;"",$C538&lt;&gt;"",$D538&lt;&gt;"",$E538&lt;&gt;"")),$A538="",$K538&lt;&gt;"Yes"),"",IF($L538&lt;&gt;"",$L538,INDEX(SETUP!$I$1:$I$2000,MATCH(TRUE,SETUP!$J$1:$J$2000,0)+COUNTIFS($A$2:$A538,"&lt;&gt;",$K$2:$K538,"Yes",$L$2:$L538,"")-1)))</f>
        <v/>
      </c>
      <c r="N538" s="22"/>
    </row>
    <row r="539" spans="1:14" x14ac:dyDescent="0.3">
      <c r="A539" s="15" t="str">
        <f>IF(COUNTA($B539:$E539,$K539)=0,"",IF(AND($B539&lt;&gt;"",$C539&lt;&gt;"",$D539&lt;&gt;"",$E539&lt;&gt;""),"TXS"&amp;TEXT(COUNTIFS($B$2:$B539,"&lt;&gt;",$C$2:$C539,"&lt;&gt;",$D$2:$D539,"&lt;&gt;",$E$2:$E539,"&lt;&gt;"),"00000"),""))</f>
        <v/>
      </c>
      <c r="B539" s="16"/>
      <c r="C539" s="20"/>
      <c r="D539" s="20"/>
      <c r="E539" s="23"/>
      <c r="H539" s="19" t="str">
        <f t="shared" si="30"/>
        <v/>
      </c>
      <c r="I539" s="19" t="str">
        <f t="shared" si="29"/>
        <v/>
      </c>
      <c r="J539" s="19" t="str">
        <f t="shared" si="31"/>
        <v/>
      </c>
      <c r="K539" s="20"/>
      <c r="L539" s="21" t="str">
        <f>IF(OR(NOT(AND($B539&lt;&gt;"",$C539&lt;&gt;"",$D539&lt;&gt;"",$E539&lt;&gt;"")),$A539="",$K539&lt;&gt;"Yes"),"",IF($L539&lt;&gt;"",$L539,INDEX(SETUP!$I$1:$I$2000,MATCH(TRUE,SETUP!$J$1:$J$2000,0)+COUNTIFS($A$2:$A539,"&lt;&gt;",$K$2:$K539,"Yes",$L$2:$L539,"")-1)))</f>
        <v/>
      </c>
      <c r="N539" s="22"/>
    </row>
    <row r="540" spans="1:14" x14ac:dyDescent="0.3">
      <c r="A540" s="15" t="str">
        <f>IF(COUNTA($B540:$E540,$K540)=0,"",IF(AND($B540&lt;&gt;"",$C540&lt;&gt;"",$D540&lt;&gt;"",$E540&lt;&gt;""),"TXS"&amp;TEXT(COUNTIFS($B$2:$B540,"&lt;&gt;",$C$2:$C540,"&lt;&gt;",$D$2:$D540,"&lt;&gt;",$E$2:$E540,"&lt;&gt;"),"00000"),""))</f>
        <v/>
      </c>
      <c r="B540" s="16"/>
      <c r="C540" s="20"/>
      <c r="D540" s="20"/>
      <c r="E540" s="23"/>
      <c r="H540" s="19" t="str">
        <f t="shared" si="30"/>
        <v/>
      </c>
      <c r="I540" s="19" t="str">
        <f t="shared" si="29"/>
        <v/>
      </c>
      <c r="J540" s="19" t="str">
        <f t="shared" si="31"/>
        <v/>
      </c>
      <c r="K540" s="20"/>
      <c r="L540" s="21" t="str">
        <f>IF(OR(NOT(AND($B540&lt;&gt;"",$C540&lt;&gt;"",$D540&lt;&gt;"",$E540&lt;&gt;"")),$A540="",$K540&lt;&gt;"Yes"),"",IF($L540&lt;&gt;"",$L540,INDEX(SETUP!$I$1:$I$2000,MATCH(TRUE,SETUP!$J$1:$J$2000,0)+COUNTIFS($A$2:$A540,"&lt;&gt;",$K$2:$K540,"Yes",$L$2:$L540,"")-1)))</f>
        <v/>
      </c>
      <c r="N540" s="22"/>
    </row>
    <row r="541" spans="1:14" x14ac:dyDescent="0.3">
      <c r="A541" s="15" t="str">
        <f>IF(COUNTA($B541:$E541,$K541)=0,"",IF(AND($B541&lt;&gt;"",$C541&lt;&gt;"",$D541&lt;&gt;"",$E541&lt;&gt;""),"TXS"&amp;TEXT(COUNTIFS($B$2:$B541,"&lt;&gt;",$C$2:$C541,"&lt;&gt;",$D$2:$D541,"&lt;&gt;",$E$2:$E541,"&lt;&gt;"),"00000"),""))</f>
        <v/>
      </c>
      <c r="B541" s="16"/>
      <c r="C541" s="20"/>
      <c r="D541" s="20"/>
      <c r="E541" s="23"/>
      <c r="H541" s="19" t="str">
        <f t="shared" si="30"/>
        <v/>
      </c>
      <c r="I541" s="19" t="str">
        <f t="shared" si="29"/>
        <v/>
      </c>
      <c r="J541" s="19" t="str">
        <f t="shared" si="31"/>
        <v/>
      </c>
      <c r="K541" s="20"/>
      <c r="L541" s="21" t="str">
        <f>IF(OR(NOT(AND($B541&lt;&gt;"",$C541&lt;&gt;"",$D541&lt;&gt;"",$E541&lt;&gt;"")),$A541="",$K541&lt;&gt;"Yes"),"",IF($L541&lt;&gt;"",$L541,INDEX(SETUP!$I$1:$I$2000,MATCH(TRUE,SETUP!$J$1:$J$2000,0)+COUNTIFS($A$2:$A541,"&lt;&gt;",$K$2:$K541,"Yes",$L$2:$L541,"")-1)))</f>
        <v/>
      </c>
      <c r="N541" s="22"/>
    </row>
    <row r="542" spans="1:14" x14ac:dyDescent="0.3">
      <c r="A542" s="15" t="str">
        <f>IF(COUNTA($B542:$E542,$K542)=0,"",IF(AND($B542&lt;&gt;"",$C542&lt;&gt;"",$D542&lt;&gt;"",$E542&lt;&gt;""),"TXS"&amp;TEXT(COUNTIFS($B$2:$B542,"&lt;&gt;",$C$2:$C542,"&lt;&gt;",$D$2:$D542,"&lt;&gt;",$E$2:$E542,"&lt;&gt;"),"00000"),""))</f>
        <v/>
      </c>
      <c r="B542" s="16"/>
      <c r="C542" s="20"/>
      <c r="D542" s="20"/>
      <c r="E542" s="23"/>
      <c r="H542" s="19" t="str">
        <f t="shared" si="30"/>
        <v/>
      </c>
      <c r="I542" s="19" t="str">
        <f t="shared" si="29"/>
        <v/>
      </c>
      <c r="J542" s="19" t="str">
        <f t="shared" si="31"/>
        <v/>
      </c>
      <c r="K542" s="20"/>
      <c r="L542" s="21" t="str">
        <f>IF(OR(NOT(AND($B542&lt;&gt;"",$C542&lt;&gt;"",$D542&lt;&gt;"",$E542&lt;&gt;"")),$A542="",$K542&lt;&gt;"Yes"),"",IF($L542&lt;&gt;"",$L542,INDEX(SETUP!$I$1:$I$2000,MATCH(TRUE,SETUP!$J$1:$J$2000,0)+COUNTIFS($A$2:$A542,"&lt;&gt;",$K$2:$K542,"Yes",$L$2:$L542,"")-1)))</f>
        <v/>
      </c>
      <c r="N542" s="22"/>
    </row>
    <row r="543" spans="1:14" x14ac:dyDescent="0.3">
      <c r="A543" s="15" t="str">
        <f>IF(COUNTA($B543:$E543,$K543)=0,"",IF(AND($B543&lt;&gt;"",$C543&lt;&gt;"",$D543&lt;&gt;"",$E543&lt;&gt;""),"TXS"&amp;TEXT(COUNTIFS($B$2:$B543,"&lt;&gt;",$C$2:$C543,"&lt;&gt;",$D$2:$D543,"&lt;&gt;",$E$2:$E543,"&lt;&gt;"),"00000"),""))</f>
        <v/>
      </c>
      <c r="B543" s="16"/>
      <c r="C543" s="20"/>
      <c r="D543" s="20"/>
      <c r="E543" s="23"/>
      <c r="H543" s="19" t="str">
        <f t="shared" si="30"/>
        <v/>
      </c>
      <c r="I543" s="19" t="str">
        <f t="shared" si="29"/>
        <v/>
      </c>
      <c r="J543" s="19" t="str">
        <f t="shared" si="31"/>
        <v/>
      </c>
      <c r="K543" s="20"/>
      <c r="L543" s="21" t="str">
        <f>IF(OR(NOT(AND($B543&lt;&gt;"",$C543&lt;&gt;"",$D543&lt;&gt;"",$E543&lt;&gt;"")),$A543="",$K543&lt;&gt;"Yes"),"",IF($L543&lt;&gt;"",$L543,INDEX(SETUP!$I$1:$I$2000,MATCH(TRUE,SETUP!$J$1:$J$2000,0)+COUNTIFS($A$2:$A543,"&lt;&gt;",$K$2:$K543,"Yes",$L$2:$L543,"")-1)))</f>
        <v/>
      </c>
      <c r="N543" s="22"/>
    </row>
    <row r="544" spans="1:14" x14ac:dyDescent="0.3">
      <c r="A544" s="15" t="str">
        <f>IF(COUNTA($B544:$E544,$K544)=0,"",IF(AND($B544&lt;&gt;"",$C544&lt;&gt;"",$D544&lt;&gt;"",$E544&lt;&gt;""),"TXS"&amp;TEXT(COUNTIFS($B$2:$B544,"&lt;&gt;",$C$2:$C544,"&lt;&gt;",$D$2:$D544,"&lt;&gt;",$E$2:$E544,"&lt;&gt;"),"00000"),""))</f>
        <v/>
      </c>
      <c r="B544" s="16"/>
      <c r="C544" s="20"/>
      <c r="D544" s="20"/>
      <c r="E544" s="23"/>
      <c r="H544" s="19" t="str">
        <f t="shared" si="30"/>
        <v/>
      </c>
      <c r="I544" s="19" t="str">
        <f t="shared" si="29"/>
        <v/>
      </c>
      <c r="J544" s="19" t="str">
        <f t="shared" si="31"/>
        <v/>
      </c>
      <c r="K544" s="20"/>
      <c r="L544" s="21" t="str">
        <f>IF(OR(NOT(AND($B544&lt;&gt;"",$C544&lt;&gt;"",$D544&lt;&gt;"",$E544&lt;&gt;"")),$A544="",$K544&lt;&gt;"Yes"),"",IF($L544&lt;&gt;"",$L544,INDEX(SETUP!$I$1:$I$2000,MATCH(TRUE,SETUP!$J$1:$J$2000,0)+COUNTIFS($A$2:$A544,"&lt;&gt;",$K$2:$K544,"Yes",$L$2:$L544,"")-1)))</f>
        <v/>
      </c>
      <c r="N544" s="22"/>
    </row>
    <row r="545" spans="1:14" x14ac:dyDescent="0.3">
      <c r="A545" s="15" t="str">
        <f>IF(COUNTA($B545:$E545,$K545)=0,"",IF(AND($B545&lt;&gt;"",$C545&lt;&gt;"",$D545&lt;&gt;"",$E545&lt;&gt;""),"TXS"&amp;TEXT(COUNTIFS($B$2:$B545,"&lt;&gt;",$C$2:$C545,"&lt;&gt;",$D$2:$D545,"&lt;&gt;",$E$2:$E545,"&lt;&gt;"),"00000"),""))</f>
        <v/>
      </c>
      <c r="B545" s="16"/>
      <c r="C545" s="20"/>
      <c r="D545" s="20"/>
      <c r="E545" s="23"/>
      <c r="H545" s="19" t="str">
        <f t="shared" si="30"/>
        <v/>
      </c>
      <c r="I545" s="19" t="str">
        <f t="shared" si="29"/>
        <v/>
      </c>
      <c r="J545" s="19" t="str">
        <f t="shared" si="31"/>
        <v/>
      </c>
      <c r="K545" s="20"/>
      <c r="L545" s="21" t="str">
        <f>IF(OR(NOT(AND($B545&lt;&gt;"",$C545&lt;&gt;"",$D545&lt;&gt;"",$E545&lt;&gt;"")),$A545="",$K545&lt;&gt;"Yes"),"",IF($L545&lt;&gt;"",$L545,INDEX(SETUP!$I$1:$I$2000,MATCH(TRUE,SETUP!$J$1:$J$2000,0)+COUNTIFS($A$2:$A545,"&lt;&gt;",$K$2:$K545,"Yes",$L$2:$L545,"")-1)))</f>
        <v/>
      </c>
      <c r="N545" s="22"/>
    </row>
    <row r="546" spans="1:14" x14ac:dyDescent="0.3">
      <c r="A546" s="15" t="str">
        <f>IF(COUNTA($B546:$E546,$K546)=0,"",IF(AND($B546&lt;&gt;"",$C546&lt;&gt;"",$D546&lt;&gt;"",$E546&lt;&gt;""),"TXS"&amp;TEXT(COUNTIFS($B$2:$B546,"&lt;&gt;",$C$2:$C546,"&lt;&gt;",$D$2:$D546,"&lt;&gt;",$E$2:$E546,"&lt;&gt;"),"00000"),""))</f>
        <v/>
      </c>
      <c r="B546" s="16"/>
      <c r="C546" s="20"/>
      <c r="D546" s="20"/>
      <c r="E546" s="23"/>
      <c r="H546" s="19" t="str">
        <f t="shared" si="30"/>
        <v/>
      </c>
      <c r="I546" s="19" t="str">
        <f t="shared" si="29"/>
        <v/>
      </c>
      <c r="J546" s="19" t="str">
        <f t="shared" si="31"/>
        <v/>
      </c>
      <c r="K546" s="20"/>
      <c r="L546" s="21" t="str">
        <f>IF(OR(NOT(AND($B546&lt;&gt;"",$C546&lt;&gt;"",$D546&lt;&gt;"",$E546&lt;&gt;"")),$A546="",$K546&lt;&gt;"Yes"),"",IF($L546&lt;&gt;"",$L546,INDEX(SETUP!$I$1:$I$2000,MATCH(TRUE,SETUP!$J$1:$J$2000,0)+COUNTIFS($A$2:$A546,"&lt;&gt;",$K$2:$K546,"Yes",$L$2:$L546,"")-1)))</f>
        <v/>
      </c>
      <c r="N546" s="22"/>
    </row>
    <row r="547" spans="1:14" x14ac:dyDescent="0.3">
      <c r="A547" s="15" t="str">
        <f>IF(COUNTA($B547:$E547,$K547)=0,"",IF(AND($B547&lt;&gt;"",$C547&lt;&gt;"",$D547&lt;&gt;"",$E547&lt;&gt;""),"TXS"&amp;TEXT(COUNTIFS($B$2:$B547,"&lt;&gt;",$C$2:$C547,"&lt;&gt;",$D$2:$D547,"&lt;&gt;",$E$2:$E547,"&lt;&gt;"),"00000"),""))</f>
        <v/>
      </c>
      <c r="B547" s="16"/>
      <c r="C547" s="20"/>
      <c r="D547" s="20"/>
      <c r="E547" s="23"/>
      <c r="H547" s="19" t="str">
        <f t="shared" si="30"/>
        <v/>
      </c>
      <c r="I547" s="19" t="str">
        <f t="shared" si="29"/>
        <v/>
      </c>
      <c r="J547" s="19" t="str">
        <f t="shared" si="31"/>
        <v/>
      </c>
      <c r="K547" s="20"/>
      <c r="L547" s="21" t="str">
        <f>IF(OR(NOT(AND($B547&lt;&gt;"",$C547&lt;&gt;"",$D547&lt;&gt;"",$E547&lt;&gt;"")),$A547="",$K547&lt;&gt;"Yes"),"",IF($L547&lt;&gt;"",$L547,INDEX(SETUP!$I$1:$I$2000,MATCH(TRUE,SETUP!$J$1:$J$2000,0)+COUNTIFS($A$2:$A547,"&lt;&gt;",$K$2:$K547,"Yes",$L$2:$L547,"")-1)))</f>
        <v/>
      </c>
      <c r="N547" s="22"/>
    </row>
    <row r="548" spans="1:14" x14ac:dyDescent="0.3">
      <c r="A548" s="15" t="str">
        <f>IF(COUNTA($B548:$E548,$K548)=0,"",IF(AND($B548&lt;&gt;"",$C548&lt;&gt;"",$D548&lt;&gt;"",$E548&lt;&gt;""),"TXS"&amp;TEXT(COUNTIFS($B$2:$B548,"&lt;&gt;",$C$2:$C548,"&lt;&gt;",$D$2:$D548,"&lt;&gt;",$E$2:$E548,"&lt;&gt;"),"00000"),""))</f>
        <v/>
      </c>
      <c r="B548" s="16"/>
      <c r="C548" s="20"/>
      <c r="D548" s="20"/>
      <c r="E548" s="23"/>
      <c r="H548" s="19" t="str">
        <f t="shared" si="30"/>
        <v/>
      </c>
      <c r="I548" s="19" t="str">
        <f t="shared" si="29"/>
        <v/>
      </c>
      <c r="J548" s="19" t="str">
        <f t="shared" si="31"/>
        <v/>
      </c>
      <c r="K548" s="20"/>
      <c r="L548" s="21" t="str">
        <f>IF(OR(NOT(AND($B548&lt;&gt;"",$C548&lt;&gt;"",$D548&lt;&gt;"",$E548&lt;&gt;"")),$A548="",$K548&lt;&gt;"Yes"),"",IF($L548&lt;&gt;"",$L548,INDEX(SETUP!$I$1:$I$2000,MATCH(TRUE,SETUP!$J$1:$J$2000,0)+COUNTIFS($A$2:$A548,"&lt;&gt;",$K$2:$K548,"Yes",$L$2:$L548,"")-1)))</f>
        <v/>
      </c>
      <c r="N548" s="22"/>
    </row>
    <row r="549" spans="1:14" x14ac:dyDescent="0.3">
      <c r="A549" s="15" t="str">
        <f>IF(COUNTA($B549:$E549,$K549)=0,"",IF(AND($B549&lt;&gt;"",$C549&lt;&gt;"",$D549&lt;&gt;"",$E549&lt;&gt;""),"TXS"&amp;TEXT(COUNTIFS($B$2:$B549,"&lt;&gt;",$C$2:$C549,"&lt;&gt;",$D$2:$D549,"&lt;&gt;",$E$2:$E549,"&lt;&gt;"),"00000"),""))</f>
        <v/>
      </c>
      <c r="B549" s="16"/>
      <c r="C549" s="20"/>
      <c r="D549" s="20"/>
      <c r="E549" s="23"/>
      <c r="H549" s="19" t="str">
        <f t="shared" si="30"/>
        <v/>
      </c>
      <c r="I549" s="19" t="str">
        <f t="shared" si="29"/>
        <v/>
      </c>
      <c r="J549" s="19" t="str">
        <f t="shared" si="31"/>
        <v/>
      </c>
      <c r="K549" s="20"/>
      <c r="L549" s="21" t="str">
        <f>IF(OR(NOT(AND($B549&lt;&gt;"",$C549&lt;&gt;"",$D549&lt;&gt;"",$E549&lt;&gt;"")),$A549="",$K549&lt;&gt;"Yes"),"",IF($L549&lt;&gt;"",$L549,INDEX(SETUP!$I$1:$I$2000,MATCH(TRUE,SETUP!$J$1:$J$2000,0)+COUNTIFS($A$2:$A549,"&lt;&gt;",$K$2:$K549,"Yes",$L$2:$L549,"")-1)))</f>
        <v/>
      </c>
      <c r="N549" s="22"/>
    </row>
    <row r="550" spans="1:14" x14ac:dyDescent="0.3">
      <c r="A550" s="15" t="str">
        <f>IF(COUNTA($B550:$E550,$K550)=0,"",IF(AND($B550&lt;&gt;"",$C550&lt;&gt;"",$D550&lt;&gt;"",$E550&lt;&gt;""),"TXS"&amp;TEXT(COUNTIFS($B$2:$B550,"&lt;&gt;",$C$2:$C550,"&lt;&gt;",$D$2:$D550,"&lt;&gt;",$E$2:$E550,"&lt;&gt;"),"00000"),""))</f>
        <v/>
      </c>
      <c r="B550" s="16"/>
      <c r="C550" s="20"/>
      <c r="D550" s="20"/>
      <c r="E550" s="23"/>
      <c r="H550" s="19" t="str">
        <f t="shared" si="30"/>
        <v/>
      </c>
      <c r="I550" s="19" t="str">
        <f t="shared" si="29"/>
        <v/>
      </c>
      <c r="J550" s="19" t="str">
        <f t="shared" si="31"/>
        <v/>
      </c>
      <c r="K550" s="20"/>
      <c r="L550" s="21" t="str">
        <f>IF(OR(NOT(AND($B550&lt;&gt;"",$C550&lt;&gt;"",$D550&lt;&gt;"",$E550&lt;&gt;"")),$A550="",$K550&lt;&gt;"Yes"),"",IF($L550&lt;&gt;"",$L550,INDEX(SETUP!$I$1:$I$2000,MATCH(TRUE,SETUP!$J$1:$J$2000,0)+COUNTIFS($A$2:$A550,"&lt;&gt;",$K$2:$K550,"Yes",$L$2:$L550,"")-1)))</f>
        <v/>
      </c>
      <c r="N550" s="22"/>
    </row>
    <row r="551" spans="1:14" x14ac:dyDescent="0.3">
      <c r="A551" s="15" t="str">
        <f>IF(COUNTA($B551:$E551,$K551)=0,"",IF(AND($B551&lt;&gt;"",$C551&lt;&gt;"",$D551&lt;&gt;"",$E551&lt;&gt;""),"TXS"&amp;TEXT(COUNTIFS($B$2:$B551,"&lt;&gt;",$C$2:$C551,"&lt;&gt;",$D$2:$D551,"&lt;&gt;",$E$2:$E551,"&lt;&gt;"),"00000"),""))</f>
        <v/>
      </c>
      <c r="B551" s="16"/>
      <c r="C551" s="20"/>
      <c r="D551" s="20"/>
      <c r="E551" s="23"/>
      <c r="H551" s="19" t="str">
        <f t="shared" si="30"/>
        <v/>
      </c>
      <c r="I551" s="19" t="str">
        <f t="shared" si="29"/>
        <v/>
      </c>
      <c r="J551" s="19" t="str">
        <f t="shared" si="31"/>
        <v/>
      </c>
      <c r="K551" s="20"/>
      <c r="L551" s="21" t="str">
        <f>IF(OR(NOT(AND($B551&lt;&gt;"",$C551&lt;&gt;"",$D551&lt;&gt;"",$E551&lt;&gt;"")),$A551="",$K551&lt;&gt;"Yes"),"",IF($L551&lt;&gt;"",$L551,INDEX(SETUP!$I$1:$I$2000,MATCH(TRUE,SETUP!$J$1:$J$2000,0)+COUNTIFS($A$2:$A551,"&lt;&gt;",$K$2:$K551,"Yes",$L$2:$L551,"")-1)))</f>
        <v/>
      </c>
      <c r="N551" s="22"/>
    </row>
    <row r="552" spans="1:14" x14ac:dyDescent="0.3">
      <c r="A552" s="15" t="str">
        <f>IF(COUNTA($B552:$E552,$K552)=0,"",IF(AND($B552&lt;&gt;"",$C552&lt;&gt;"",$D552&lt;&gt;"",$E552&lt;&gt;""),"TXS"&amp;TEXT(COUNTIFS($B$2:$B552,"&lt;&gt;",$C$2:$C552,"&lt;&gt;",$D$2:$D552,"&lt;&gt;",$E$2:$E552,"&lt;&gt;"),"00000"),""))</f>
        <v/>
      </c>
      <c r="B552" s="16"/>
      <c r="C552" s="20"/>
      <c r="D552" s="20"/>
      <c r="E552" s="23"/>
      <c r="H552" s="19" t="str">
        <f t="shared" si="30"/>
        <v/>
      </c>
      <c r="I552" s="19" t="str">
        <f t="shared" si="29"/>
        <v/>
      </c>
      <c r="J552" s="19" t="str">
        <f t="shared" si="31"/>
        <v/>
      </c>
      <c r="K552" s="20"/>
      <c r="L552" s="21" t="str">
        <f>IF(OR(NOT(AND($B552&lt;&gt;"",$C552&lt;&gt;"",$D552&lt;&gt;"",$E552&lt;&gt;"")),$A552="",$K552&lt;&gt;"Yes"),"",IF($L552&lt;&gt;"",$L552,INDEX(SETUP!$I$1:$I$2000,MATCH(TRUE,SETUP!$J$1:$J$2000,0)+COUNTIFS($A$2:$A552,"&lt;&gt;",$K$2:$K552,"Yes",$L$2:$L552,"")-1)))</f>
        <v/>
      </c>
      <c r="N552" s="22"/>
    </row>
    <row r="553" spans="1:14" x14ac:dyDescent="0.3">
      <c r="A553" s="15" t="str">
        <f>IF(COUNTA($B553:$E553,$K553)=0,"",IF(AND($B553&lt;&gt;"",$C553&lt;&gt;"",$D553&lt;&gt;"",$E553&lt;&gt;""),"TXS"&amp;TEXT(COUNTIFS($B$2:$B553,"&lt;&gt;",$C$2:$C553,"&lt;&gt;",$D$2:$D553,"&lt;&gt;",$E$2:$E553,"&lt;&gt;"),"00000"),""))</f>
        <v/>
      </c>
      <c r="B553" s="16"/>
      <c r="C553" s="20"/>
      <c r="D553" s="20"/>
      <c r="E553" s="23"/>
      <c r="H553" s="19" t="str">
        <f t="shared" si="30"/>
        <v/>
      </c>
      <c r="I553" s="19" t="str">
        <f t="shared" ref="I553:I616" si="32">IF(NOT(AND($B553&lt;&gt;"",$C553&lt;&gt;"",$D553&lt;&gt;"",$E553&lt;&gt;"")),"",IF($A553="","","NIH plate "&amp;INT((VALUE(RIGHT($A553,5))-1)/96)+1&amp;": "&amp;CHAR(65+INT(MOD(VALUE(RIGHT($A553,5))-1,96)/12))&amp;(MOD(VALUE(RIGHT($A553,5))-1,12)+1)))</f>
        <v/>
      </c>
      <c r="J553" s="19" t="str">
        <f t="shared" si="31"/>
        <v/>
      </c>
      <c r="K553" s="20"/>
      <c r="L553" s="21" t="str">
        <f>IF(OR(NOT(AND($B553&lt;&gt;"",$C553&lt;&gt;"",$D553&lt;&gt;"",$E553&lt;&gt;"")),$A553="",$K553&lt;&gt;"Yes"),"",IF($L553&lt;&gt;"",$L553,INDEX(SETUP!$I$1:$I$2000,MATCH(TRUE,SETUP!$J$1:$J$2000,0)+COUNTIFS($A$2:$A553,"&lt;&gt;",$K$2:$K553,"Yes",$L$2:$L553,"")-1)))</f>
        <v/>
      </c>
      <c r="N553" s="22"/>
    </row>
    <row r="554" spans="1:14" x14ac:dyDescent="0.3">
      <c r="A554" s="15" t="str">
        <f>IF(COUNTA($B554:$E554,$K554)=0,"",IF(AND($B554&lt;&gt;"",$C554&lt;&gt;"",$D554&lt;&gt;"",$E554&lt;&gt;""),"TXS"&amp;TEXT(COUNTIFS($B$2:$B554,"&lt;&gt;",$C$2:$C554,"&lt;&gt;",$D$2:$D554,"&lt;&gt;",$E$2:$E554,"&lt;&gt;"),"00000"),""))</f>
        <v/>
      </c>
      <c r="B554" s="16"/>
      <c r="C554" s="20"/>
      <c r="D554" s="20"/>
      <c r="E554" s="23"/>
      <c r="H554" s="19" t="str">
        <f t="shared" si="30"/>
        <v/>
      </c>
      <c r="I554" s="19" t="str">
        <f t="shared" si="32"/>
        <v/>
      </c>
      <c r="J554" s="19" t="str">
        <f t="shared" si="31"/>
        <v/>
      </c>
      <c r="K554" s="20"/>
      <c r="L554" s="21" t="str">
        <f>IF(OR(NOT(AND($B554&lt;&gt;"",$C554&lt;&gt;"",$D554&lt;&gt;"",$E554&lt;&gt;"")),$A554="",$K554&lt;&gt;"Yes"),"",IF($L554&lt;&gt;"",$L554,INDEX(SETUP!$I$1:$I$2000,MATCH(TRUE,SETUP!$J$1:$J$2000,0)+COUNTIFS($A$2:$A554,"&lt;&gt;",$K$2:$K554,"Yes",$L$2:$L554,"")-1)))</f>
        <v/>
      </c>
      <c r="N554" s="22"/>
    </row>
    <row r="555" spans="1:14" x14ac:dyDescent="0.3">
      <c r="A555" s="15" t="str">
        <f>IF(COUNTA($B555:$E555,$K555)=0,"",IF(AND($B555&lt;&gt;"",$C555&lt;&gt;"",$D555&lt;&gt;"",$E555&lt;&gt;""),"TXS"&amp;TEXT(COUNTIFS($B$2:$B555,"&lt;&gt;",$C$2:$C555,"&lt;&gt;",$D$2:$D555,"&lt;&gt;",$E$2:$E555,"&lt;&gt;"),"00000"),""))</f>
        <v/>
      </c>
      <c r="B555" s="16"/>
      <c r="C555" s="20"/>
      <c r="D555" s="20"/>
      <c r="E555" s="23"/>
      <c r="H555" s="19" t="str">
        <f t="shared" si="30"/>
        <v/>
      </c>
      <c r="I555" s="19" t="str">
        <f t="shared" si="32"/>
        <v/>
      </c>
      <c r="J555" s="19" t="str">
        <f t="shared" si="31"/>
        <v/>
      </c>
      <c r="K555" s="20"/>
      <c r="L555" s="21" t="str">
        <f>IF(OR(NOT(AND($B555&lt;&gt;"",$C555&lt;&gt;"",$D555&lt;&gt;"",$E555&lt;&gt;"")),$A555="",$K555&lt;&gt;"Yes"),"",IF($L555&lt;&gt;"",$L555,INDEX(SETUP!$I$1:$I$2000,MATCH(TRUE,SETUP!$J$1:$J$2000,0)+COUNTIFS($A$2:$A555,"&lt;&gt;",$K$2:$K555,"Yes",$L$2:$L555,"")-1)))</f>
        <v/>
      </c>
      <c r="N555" s="22"/>
    </row>
    <row r="556" spans="1:14" x14ac:dyDescent="0.3">
      <c r="A556" s="15" t="str">
        <f>IF(COUNTA($B556:$E556,$K556)=0,"",IF(AND($B556&lt;&gt;"",$C556&lt;&gt;"",$D556&lt;&gt;"",$E556&lt;&gt;""),"TXS"&amp;TEXT(COUNTIFS($B$2:$B556,"&lt;&gt;",$C$2:$C556,"&lt;&gt;",$D$2:$D556,"&lt;&gt;",$E$2:$E556,"&lt;&gt;"),"00000"),""))</f>
        <v/>
      </c>
      <c r="B556" s="16"/>
      <c r="C556" s="20"/>
      <c r="D556" s="20"/>
      <c r="E556" s="23"/>
      <c r="H556" s="19" t="str">
        <f t="shared" si="30"/>
        <v/>
      </c>
      <c r="I556" s="19" t="str">
        <f t="shared" si="32"/>
        <v/>
      </c>
      <c r="J556" s="19" t="str">
        <f t="shared" si="31"/>
        <v/>
      </c>
      <c r="K556" s="20"/>
      <c r="L556" s="21" t="str">
        <f>IF(OR(NOT(AND($B556&lt;&gt;"",$C556&lt;&gt;"",$D556&lt;&gt;"",$E556&lt;&gt;"")),$A556="",$K556&lt;&gt;"Yes"),"",IF($L556&lt;&gt;"",$L556,INDEX(SETUP!$I$1:$I$2000,MATCH(TRUE,SETUP!$J$1:$J$2000,0)+COUNTIFS($A$2:$A556,"&lt;&gt;",$K$2:$K556,"Yes",$L$2:$L556,"")-1)))</f>
        <v/>
      </c>
      <c r="N556" s="22"/>
    </row>
    <row r="557" spans="1:14" x14ac:dyDescent="0.3">
      <c r="A557" s="15" t="str">
        <f>IF(COUNTA($B557:$E557,$K557)=0,"",IF(AND($B557&lt;&gt;"",$C557&lt;&gt;"",$D557&lt;&gt;"",$E557&lt;&gt;""),"TXS"&amp;TEXT(COUNTIFS($B$2:$B557,"&lt;&gt;",$C$2:$C557,"&lt;&gt;",$D$2:$D557,"&lt;&gt;",$E$2:$E557,"&lt;&gt;"),"00000"),""))</f>
        <v/>
      </c>
      <c r="B557" s="16"/>
      <c r="C557" s="20"/>
      <c r="D557" s="20"/>
      <c r="E557" s="23"/>
      <c r="H557" s="19" t="str">
        <f t="shared" si="30"/>
        <v/>
      </c>
      <c r="I557" s="19" t="str">
        <f t="shared" si="32"/>
        <v/>
      </c>
      <c r="J557" s="19" t="str">
        <f t="shared" si="31"/>
        <v/>
      </c>
      <c r="K557" s="20"/>
      <c r="L557" s="21" t="str">
        <f>IF(OR(NOT(AND($B557&lt;&gt;"",$C557&lt;&gt;"",$D557&lt;&gt;"",$E557&lt;&gt;"")),$A557="",$K557&lt;&gt;"Yes"),"",IF($L557&lt;&gt;"",$L557,INDEX(SETUP!$I$1:$I$2000,MATCH(TRUE,SETUP!$J$1:$J$2000,0)+COUNTIFS($A$2:$A557,"&lt;&gt;",$K$2:$K557,"Yes",$L$2:$L557,"")-1)))</f>
        <v/>
      </c>
      <c r="N557" s="22"/>
    </row>
    <row r="558" spans="1:14" x14ac:dyDescent="0.3">
      <c r="A558" s="15" t="str">
        <f>IF(COUNTA($B558:$E558,$K558)=0,"",IF(AND($B558&lt;&gt;"",$C558&lt;&gt;"",$D558&lt;&gt;"",$E558&lt;&gt;""),"TXS"&amp;TEXT(COUNTIFS($B$2:$B558,"&lt;&gt;",$C$2:$C558,"&lt;&gt;",$D$2:$D558,"&lt;&gt;",$E$2:$E558,"&lt;&gt;"),"00000"),""))</f>
        <v/>
      </c>
      <c r="B558" s="16"/>
      <c r="C558" s="20"/>
      <c r="D558" s="20"/>
      <c r="E558" s="23"/>
      <c r="H558" s="19" t="str">
        <f t="shared" si="30"/>
        <v/>
      </c>
      <c r="I558" s="19" t="str">
        <f t="shared" si="32"/>
        <v/>
      </c>
      <c r="J558" s="19" t="str">
        <f t="shared" si="31"/>
        <v/>
      </c>
      <c r="K558" s="20"/>
      <c r="L558" s="21" t="str">
        <f>IF(OR(NOT(AND($B558&lt;&gt;"",$C558&lt;&gt;"",$D558&lt;&gt;"",$E558&lt;&gt;"")),$A558="",$K558&lt;&gt;"Yes"),"",IF($L558&lt;&gt;"",$L558,INDEX(SETUP!$I$1:$I$2000,MATCH(TRUE,SETUP!$J$1:$J$2000,0)+COUNTIFS($A$2:$A558,"&lt;&gt;",$K$2:$K558,"Yes",$L$2:$L558,"")-1)))</f>
        <v/>
      </c>
      <c r="N558" s="22"/>
    </row>
    <row r="559" spans="1:14" x14ac:dyDescent="0.3">
      <c r="A559" s="15" t="str">
        <f>IF(COUNTA($B559:$E559,$K559)=0,"",IF(AND($B559&lt;&gt;"",$C559&lt;&gt;"",$D559&lt;&gt;"",$E559&lt;&gt;""),"TXS"&amp;TEXT(COUNTIFS($B$2:$B559,"&lt;&gt;",$C$2:$C559,"&lt;&gt;",$D$2:$D559,"&lt;&gt;",$E$2:$E559,"&lt;&gt;"),"00000"),""))</f>
        <v/>
      </c>
      <c r="B559" s="16"/>
      <c r="C559" s="20"/>
      <c r="D559" s="20"/>
      <c r="E559" s="23"/>
      <c r="H559" s="19" t="str">
        <f t="shared" ref="H559:H622" si="33">IF(NOT(AND($B559&lt;&gt;"",$C559&lt;&gt;"",$D559&lt;&gt;"",$E559&lt;&gt;"")),"",IF($A559="","","CDI plate "&amp;INT((VALUE(RIGHT($A559,5))-1)/96)+1&amp;": "&amp;CHAR(65+INT(MOD(VALUE(RIGHT($A559,5))-1,96)/12))&amp;(MOD(VALUE(RIGHT($A559,5))-1,12)+1)))</f>
        <v/>
      </c>
      <c r="I559" s="19" t="str">
        <f t="shared" si="32"/>
        <v/>
      </c>
      <c r="J559" s="19" t="str">
        <f t="shared" si="31"/>
        <v/>
      </c>
      <c r="K559" s="20"/>
      <c r="L559" s="21" t="str">
        <f>IF(OR(NOT(AND($B559&lt;&gt;"",$C559&lt;&gt;"",$D559&lt;&gt;"",$E559&lt;&gt;"")),$A559="",$K559&lt;&gt;"Yes"),"",IF($L559&lt;&gt;"",$L559,INDEX(SETUP!$I$1:$I$2000,MATCH(TRUE,SETUP!$J$1:$J$2000,0)+COUNTIFS($A$2:$A559,"&lt;&gt;",$K$2:$K559,"Yes",$L$2:$L559,"")-1)))</f>
        <v/>
      </c>
      <c r="N559" s="22"/>
    </row>
    <row r="560" spans="1:14" x14ac:dyDescent="0.3">
      <c r="A560" s="15" t="str">
        <f>IF(COUNTA($B560:$E560,$K560)=0,"",IF(AND($B560&lt;&gt;"",$C560&lt;&gt;"",$D560&lt;&gt;"",$E560&lt;&gt;""),"TXS"&amp;TEXT(COUNTIFS($B$2:$B560,"&lt;&gt;",$C$2:$C560,"&lt;&gt;",$D$2:$D560,"&lt;&gt;",$E$2:$E560,"&lt;&gt;"),"00000"),""))</f>
        <v/>
      </c>
      <c r="B560" s="16"/>
      <c r="C560" s="20"/>
      <c r="D560" s="20"/>
      <c r="E560" s="23"/>
      <c r="H560" s="19" t="str">
        <f t="shared" si="33"/>
        <v/>
      </c>
      <c r="I560" s="19" t="str">
        <f t="shared" si="32"/>
        <v/>
      </c>
      <c r="J560" s="19" t="str">
        <f t="shared" si="31"/>
        <v/>
      </c>
      <c r="K560" s="20"/>
      <c r="L560" s="21" t="str">
        <f>IF(OR(NOT(AND($B560&lt;&gt;"",$C560&lt;&gt;"",$D560&lt;&gt;"",$E560&lt;&gt;"")),$A560="",$K560&lt;&gt;"Yes"),"",IF($L560&lt;&gt;"",$L560,INDEX(SETUP!$I$1:$I$2000,MATCH(TRUE,SETUP!$J$1:$J$2000,0)+COUNTIFS($A$2:$A560,"&lt;&gt;",$K$2:$K560,"Yes",$L$2:$L560,"")-1)))</f>
        <v/>
      </c>
      <c r="N560" s="22"/>
    </row>
    <row r="561" spans="1:14" x14ac:dyDescent="0.3">
      <c r="A561" s="15" t="str">
        <f>IF(COUNTA($B561:$E561,$K561)=0,"",IF(AND($B561&lt;&gt;"",$C561&lt;&gt;"",$D561&lt;&gt;"",$E561&lt;&gt;""),"TXS"&amp;TEXT(COUNTIFS($B$2:$B561,"&lt;&gt;",$C$2:$C561,"&lt;&gt;",$D$2:$D561,"&lt;&gt;",$E$2:$E561,"&lt;&gt;"),"00000"),""))</f>
        <v/>
      </c>
      <c r="B561" s="16"/>
      <c r="C561" s="20"/>
      <c r="D561" s="20"/>
      <c r="E561" s="23"/>
      <c r="H561" s="19" t="str">
        <f t="shared" si="33"/>
        <v/>
      </c>
      <c r="I561" s="19" t="str">
        <f t="shared" si="32"/>
        <v/>
      </c>
      <c r="J561" s="19" t="str">
        <f t="shared" si="31"/>
        <v/>
      </c>
      <c r="K561" s="20"/>
      <c r="L561" s="21" t="str">
        <f>IF(OR(NOT(AND($B561&lt;&gt;"",$C561&lt;&gt;"",$D561&lt;&gt;"",$E561&lt;&gt;"")),$A561="",$K561&lt;&gt;"Yes"),"",IF($L561&lt;&gt;"",$L561,INDEX(SETUP!$I$1:$I$2000,MATCH(TRUE,SETUP!$J$1:$J$2000,0)+COUNTIFS($A$2:$A561,"&lt;&gt;",$K$2:$K561,"Yes",$L$2:$L561,"")-1)))</f>
        <v/>
      </c>
      <c r="N561" s="22"/>
    </row>
    <row r="562" spans="1:14" x14ac:dyDescent="0.3">
      <c r="A562" s="15" t="str">
        <f>IF(COUNTA($B562:$E562,$K562)=0,"",IF(AND($B562&lt;&gt;"",$C562&lt;&gt;"",$D562&lt;&gt;"",$E562&lt;&gt;""),"TXS"&amp;TEXT(COUNTIFS($B$2:$B562,"&lt;&gt;",$C$2:$C562,"&lt;&gt;",$D$2:$D562,"&lt;&gt;",$E$2:$E562,"&lt;&gt;"),"00000"),""))</f>
        <v/>
      </c>
      <c r="B562" s="16"/>
      <c r="C562" s="20"/>
      <c r="D562" s="20"/>
      <c r="E562" s="23"/>
      <c r="H562" s="19" t="str">
        <f t="shared" si="33"/>
        <v/>
      </c>
      <c r="I562" s="19" t="str">
        <f t="shared" si="32"/>
        <v/>
      </c>
      <c r="J562" s="19" t="str">
        <f t="shared" ref="J562:J625" si="34">IF(NOT(AND($B562&lt;&gt;"",$C562&lt;&gt;"",$D562&lt;&gt;"",$E562&lt;&gt;"")),"",IF($A562="","","Max Planck plate "&amp;INT((VALUE(RIGHT($A562,5))-1)/96)+1&amp;": "&amp;CHAR(65+INT(MOD(VALUE(RIGHT($A562,5))-1,96)/12))&amp;(MOD(VALUE(RIGHT($A562,5))-1,12)+1)))</f>
        <v/>
      </c>
      <c r="K562" s="20"/>
      <c r="L562" s="21" t="str">
        <f>IF(OR(NOT(AND($B562&lt;&gt;"",$C562&lt;&gt;"",$D562&lt;&gt;"",$E562&lt;&gt;"")),$A562="",$K562&lt;&gt;"Yes"),"",IF($L562&lt;&gt;"",$L562,INDEX(SETUP!$I$1:$I$2000,MATCH(TRUE,SETUP!$J$1:$J$2000,0)+COUNTIFS($A$2:$A562,"&lt;&gt;",$K$2:$K562,"Yes",$L$2:$L562,"")-1)))</f>
        <v/>
      </c>
      <c r="N562" s="22"/>
    </row>
    <row r="563" spans="1:14" x14ac:dyDescent="0.3">
      <c r="A563" s="15" t="str">
        <f>IF(COUNTA($B563:$E563,$K563)=0,"",IF(AND($B563&lt;&gt;"",$C563&lt;&gt;"",$D563&lt;&gt;"",$E563&lt;&gt;""),"TXS"&amp;TEXT(COUNTIFS($B$2:$B563,"&lt;&gt;",$C$2:$C563,"&lt;&gt;",$D$2:$D563,"&lt;&gt;",$E$2:$E563,"&lt;&gt;"),"00000"),""))</f>
        <v/>
      </c>
      <c r="B563" s="16"/>
      <c r="C563" s="20"/>
      <c r="D563" s="20"/>
      <c r="E563" s="23"/>
      <c r="H563" s="19" t="str">
        <f t="shared" si="33"/>
        <v/>
      </c>
      <c r="I563" s="19" t="str">
        <f t="shared" si="32"/>
        <v/>
      </c>
      <c r="J563" s="19" t="str">
        <f t="shared" si="34"/>
        <v/>
      </c>
      <c r="K563" s="20"/>
      <c r="L563" s="21" t="str">
        <f>IF(OR(NOT(AND($B563&lt;&gt;"",$C563&lt;&gt;"",$D563&lt;&gt;"",$E563&lt;&gt;"")),$A563="",$K563&lt;&gt;"Yes"),"",IF($L563&lt;&gt;"",$L563,INDEX(SETUP!$I$1:$I$2000,MATCH(TRUE,SETUP!$J$1:$J$2000,0)+COUNTIFS($A$2:$A563,"&lt;&gt;",$K$2:$K563,"Yes",$L$2:$L563,"")-1)))</f>
        <v/>
      </c>
      <c r="N563" s="22"/>
    </row>
    <row r="564" spans="1:14" x14ac:dyDescent="0.3">
      <c r="A564" s="15" t="str">
        <f>IF(COUNTA($B564:$E564,$K564)=0,"",IF(AND($B564&lt;&gt;"",$C564&lt;&gt;"",$D564&lt;&gt;"",$E564&lt;&gt;""),"TXS"&amp;TEXT(COUNTIFS($B$2:$B564,"&lt;&gt;",$C$2:$C564,"&lt;&gt;",$D$2:$D564,"&lt;&gt;",$E$2:$E564,"&lt;&gt;"),"00000"),""))</f>
        <v/>
      </c>
      <c r="B564" s="16"/>
      <c r="C564" s="20"/>
      <c r="D564" s="20"/>
      <c r="E564" s="23"/>
      <c r="H564" s="19" t="str">
        <f t="shared" si="33"/>
        <v/>
      </c>
      <c r="I564" s="19" t="str">
        <f t="shared" si="32"/>
        <v/>
      </c>
      <c r="J564" s="19" t="str">
        <f t="shared" si="34"/>
        <v/>
      </c>
      <c r="K564" s="20"/>
      <c r="L564" s="21" t="str">
        <f>IF(OR(NOT(AND($B564&lt;&gt;"",$C564&lt;&gt;"",$D564&lt;&gt;"",$E564&lt;&gt;"")),$A564="",$K564&lt;&gt;"Yes"),"",IF($L564&lt;&gt;"",$L564,INDEX(SETUP!$I$1:$I$2000,MATCH(TRUE,SETUP!$J$1:$J$2000,0)+COUNTIFS($A$2:$A564,"&lt;&gt;",$K$2:$K564,"Yes",$L$2:$L564,"")-1)))</f>
        <v/>
      </c>
      <c r="N564" s="22"/>
    </row>
    <row r="565" spans="1:14" x14ac:dyDescent="0.3">
      <c r="A565" s="15" t="str">
        <f>IF(COUNTA($B565:$E565,$K565)=0,"",IF(AND($B565&lt;&gt;"",$C565&lt;&gt;"",$D565&lt;&gt;"",$E565&lt;&gt;""),"TXS"&amp;TEXT(COUNTIFS($B$2:$B565,"&lt;&gt;",$C$2:$C565,"&lt;&gt;",$D$2:$D565,"&lt;&gt;",$E$2:$E565,"&lt;&gt;"),"00000"),""))</f>
        <v/>
      </c>
      <c r="B565" s="16"/>
      <c r="C565" s="20"/>
      <c r="D565" s="20"/>
      <c r="E565" s="23"/>
      <c r="H565" s="19" t="str">
        <f t="shared" si="33"/>
        <v/>
      </c>
      <c r="I565" s="19" t="str">
        <f t="shared" si="32"/>
        <v/>
      </c>
      <c r="J565" s="19" t="str">
        <f t="shared" si="34"/>
        <v/>
      </c>
      <c r="K565" s="20"/>
      <c r="L565" s="21" t="str">
        <f>IF(OR(NOT(AND($B565&lt;&gt;"",$C565&lt;&gt;"",$D565&lt;&gt;"",$E565&lt;&gt;"")),$A565="",$K565&lt;&gt;"Yes"),"",IF($L565&lt;&gt;"",$L565,INDEX(SETUP!$I$1:$I$2000,MATCH(TRUE,SETUP!$J$1:$J$2000,0)+COUNTIFS($A$2:$A565,"&lt;&gt;",$K$2:$K565,"Yes",$L$2:$L565,"")-1)))</f>
        <v/>
      </c>
      <c r="N565" s="22"/>
    </row>
    <row r="566" spans="1:14" x14ac:dyDescent="0.3">
      <c r="A566" s="15" t="str">
        <f>IF(COUNTA($B566:$E566,$K566)=0,"",IF(AND($B566&lt;&gt;"",$C566&lt;&gt;"",$D566&lt;&gt;"",$E566&lt;&gt;""),"TXS"&amp;TEXT(COUNTIFS($B$2:$B566,"&lt;&gt;",$C$2:$C566,"&lt;&gt;",$D$2:$D566,"&lt;&gt;",$E$2:$E566,"&lt;&gt;"),"00000"),""))</f>
        <v/>
      </c>
      <c r="B566" s="16"/>
      <c r="C566" s="20"/>
      <c r="D566" s="20"/>
      <c r="E566" s="23"/>
      <c r="H566" s="19" t="str">
        <f t="shared" si="33"/>
        <v/>
      </c>
      <c r="I566" s="19" t="str">
        <f t="shared" si="32"/>
        <v/>
      </c>
      <c r="J566" s="19" t="str">
        <f t="shared" si="34"/>
        <v/>
      </c>
      <c r="K566" s="20"/>
      <c r="L566" s="21" t="str">
        <f>IF(OR(NOT(AND($B566&lt;&gt;"",$C566&lt;&gt;"",$D566&lt;&gt;"",$E566&lt;&gt;"")),$A566="",$K566&lt;&gt;"Yes"),"",IF($L566&lt;&gt;"",$L566,INDEX(SETUP!$I$1:$I$2000,MATCH(TRUE,SETUP!$J$1:$J$2000,0)+COUNTIFS($A$2:$A566,"&lt;&gt;",$K$2:$K566,"Yes",$L$2:$L566,"")-1)))</f>
        <v/>
      </c>
      <c r="N566" s="22"/>
    </row>
    <row r="567" spans="1:14" x14ac:dyDescent="0.3">
      <c r="A567" s="15" t="str">
        <f>IF(COUNTA($B567:$E567,$K567)=0,"",IF(AND($B567&lt;&gt;"",$C567&lt;&gt;"",$D567&lt;&gt;"",$E567&lt;&gt;""),"TXS"&amp;TEXT(COUNTIFS($B$2:$B567,"&lt;&gt;",$C$2:$C567,"&lt;&gt;",$D$2:$D567,"&lt;&gt;",$E$2:$E567,"&lt;&gt;"),"00000"),""))</f>
        <v/>
      </c>
      <c r="B567" s="16"/>
      <c r="C567" s="20"/>
      <c r="D567" s="20"/>
      <c r="E567" s="23"/>
      <c r="H567" s="19" t="str">
        <f t="shared" si="33"/>
        <v/>
      </c>
      <c r="I567" s="19" t="str">
        <f t="shared" si="32"/>
        <v/>
      </c>
      <c r="J567" s="19" t="str">
        <f t="shared" si="34"/>
        <v/>
      </c>
      <c r="K567" s="20"/>
      <c r="L567" s="21" t="str">
        <f>IF(OR(NOT(AND($B567&lt;&gt;"",$C567&lt;&gt;"",$D567&lt;&gt;"",$E567&lt;&gt;"")),$A567="",$K567&lt;&gt;"Yes"),"",IF($L567&lt;&gt;"",$L567,INDEX(SETUP!$I$1:$I$2000,MATCH(TRUE,SETUP!$J$1:$J$2000,0)+COUNTIFS($A$2:$A567,"&lt;&gt;",$K$2:$K567,"Yes",$L$2:$L567,"")-1)))</f>
        <v/>
      </c>
      <c r="N567" s="22"/>
    </row>
    <row r="568" spans="1:14" x14ac:dyDescent="0.3">
      <c r="A568" s="15" t="str">
        <f>IF(COUNTA($B568:$E568,$K568)=0,"",IF(AND($B568&lt;&gt;"",$C568&lt;&gt;"",$D568&lt;&gt;"",$E568&lt;&gt;""),"TXS"&amp;TEXT(COUNTIFS($B$2:$B568,"&lt;&gt;",$C$2:$C568,"&lt;&gt;",$D$2:$D568,"&lt;&gt;",$E$2:$E568,"&lt;&gt;"),"00000"),""))</f>
        <v/>
      </c>
      <c r="B568" s="16"/>
      <c r="C568" s="20"/>
      <c r="D568" s="20"/>
      <c r="E568" s="23"/>
      <c r="H568" s="19" t="str">
        <f t="shared" si="33"/>
        <v/>
      </c>
      <c r="I568" s="19" t="str">
        <f t="shared" si="32"/>
        <v/>
      </c>
      <c r="J568" s="19" t="str">
        <f t="shared" si="34"/>
        <v/>
      </c>
      <c r="K568" s="20"/>
      <c r="L568" s="21" t="str">
        <f>IF(OR(NOT(AND($B568&lt;&gt;"",$C568&lt;&gt;"",$D568&lt;&gt;"",$E568&lt;&gt;"")),$A568="",$K568&lt;&gt;"Yes"),"",IF($L568&lt;&gt;"",$L568,INDEX(SETUP!$I$1:$I$2000,MATCH(TRUE,SETUP!$J$1:$J$2000,0)+COUNTIFS($A$2:$A568,"&lt;&gt;",$K$2:$K568,"Yes",$L$2:$L568,"")-1)))</f>
        <v/>
      </c>
      <c r="N568" s="22"/>
    </row>
    <row r="569" spans="1:14" x14ac:dyDescent="0.3">
      <c r="A569" s="15" t="str">
        <f>IF(COUNTA($B569:$E569,$K569)=0,"",IF(AND($B569&lt;&gt;"",$C569&lt;&gt;"",$D569&lt;&gt;"",$E569&lt;&gt;""),"TXS"&amp;TEXT(COUNTIFS($B$2:$B569,"&lt;&gt;",$C$2:$C569,"&lt;&gt;",$D$2:$D569,"&lt;&gt;",$E$2:$E569,"&lt;&gt;"),"00000"),""))</f>
        <v/>
      </c>
      <c r="B569" s="16"/>
      <c r="C569" s="20"/>
      <c r="D569" s="20"/>
      <c r="E569" s="23"/>
      <c r="H569" s="19" t="str">
        <f t="shared" si="33"/>
        <v/>
      </c>
      <c r="I569" s="19" t="str">
        <f t="shared" si="32"/>
        <v/>
      </c>
      <c r="J569" s="19" t="str">
        <f t="shared" si="34"/>
        <v/>
      </c>
      <c r="K569" s="20"/>
      <c r="L569" s="21" t="str">
        <f>IF(OR(NOT(AND($B569&lt;&gt;"",$C569&lt;&gt;"",$D569&lt;&gt;"",$E569&lt;&gt;"")),$A569="",$K569&lt;&gt;"Yes"),"",IF($L569&lt;&gt;"",$L569,INDEX(SETUP!$I$1:$I$2000,MATCH(TRUE,SETUP!$J$1:$J$2000,0)+COUNTIFS($A$2:$A569,"&lt;&gt;",$K$2:$K569,"Yes",$L$2:$L569,"")-1)))</f>
        <v/>
      </c>
      <c r="N569" s="22"/>
    </row>
    <row r="570" spans="1:14" x14ac:dyDescent="0.3">
      <c r="A570" s="15" t="str">
        <f>IF(COUNTA($B570:$E570,$K570)=0,"",IF(AND($B570&lt;&gt;"",$C570&lt;&gt;"",$D570&lt;&gt;"",$E570&lt;&gt;""),"TXS"&amp;TEXT(COUNTIFS($B$2:$B570,"&lt;&gt;",$C$2:$C570,"&lt;&gt;",$D$2:$D570,"&lt;&gt;",$E$2:$E570,"&lt;&gt;"),"00000"),""))</f>
        <v/>
      </c>
      <c r="B570" s="16"/>
      <c r="C570" s="20"/>
      <c r="D570" s="20"/>
      <c r="E570" s="23"/>
      <c r="H570" s="19" t="str">
        <f t="shared" si="33"/>
        <v/>
      </c>
      <c r="I570" s="19" t="str">
        <f t="shared" si="32"/>
        <v/>
      </c>
      <c r="J570" s="19" t="str">
        <f t="shared" si="34"/>
        <v/>
      </c>
      <c r="K570" s="20"/>
      <c r="L570" s="21" t="str">
        <f>IF(OR(NOT(AND($B570&lt;&gt;"",$C570&lt;&gt;"",$D570&lt;&gt;"",$E570&lt;&gt;"")),$A570="",$K570&lt;&gt;"Yes"),"",IF($L570&lt;&gt;"",$L570,INDEX(SETUP!$I$1:$I$2000,MATCH(TRUE,SETUP!$J$1:$J$2000,0)+COUNTIFS($A$2:$A570,"&lt;&gt;",$K$2:$K570,"Yes",$L$2:$L570,"")-1)))</f>
        <v/>
      </c>
      <c r="N570" s="22"/>
    </row>
    <row r="571" spans="1:14" x14ac:dyDescent="0.3">
      <c r="A571" s="15" t="str">
        <f>IF(COUNTA($B571:$E571,$K571)=0,"",IF(AND($B571&lt;&gt;"",$C571&lt;&gt;"",$D571&lt;&gt;"",$E571&lt;&gt;""),"TXS"&amp;TEXT(COUNTIFS($B$2:$B571,"&lt;&gt;",$C$2:$C571,"&lt;&gt;",$D$2:$D571,"&lt;&gt;",$E$2:$E571,"&lt;&gt;"),"00000"),""))</f>
        <v/>
      </c>
      <c r="B571" s="16"/>
      <c r="C571" s="20"/>
      <c r="D571" s="20"/>
      <c r="E571" s="23"/>
      <c r="H571" s="19" t="str">
        <f t="shared" si="33"/>
        <v/>
      </c>
      <c r="I571" s="19" t="str">
        <f t="shared" si="32"/>
        <v/>
      </c>
      <c r="J571" s="19" t="str">
        <f t="shared" si="34"/>
        <v/>
      </c>
      <c r="K571" s="20"/>
      <c r="L571" s="21" t="str">
        <f>IF(OR(NOT(AND($B571&lt;&gt;"",$C571&lt;&gt;"",$D571&lt;&gt;"",$E571&lt;&gt;"")),$A571="",$K571&lt;&gt;"Yes"),"",IF($L571&lt;&gt;"",$L571,INDEX(SETUP!$I$1:$I$2000,MATCH(TRUE,SETUP!$J$1:$J$2000,0)+COUNTIFS($A$2:$A571,"&lt;&gt;",$K$2:$K571,"Yes",$L$2:$L571,"")-1)))</f>
        <v/>
      </c>
      <c r="N571" s="22"/>
    </row>
    <row r="572" spans="1:14" x14ac:dyDescent="0.3">
      <c r="A572" s="15" t="str">
        <f>IF(COUNTA($B572:$E572,$K572)=0,"",IF(AND($B572&lt;&gt;"",$C572&lt;&gt;"",$D572&lt;&gt;"",$E572&lt;&gt;""),"TXS"&amp;TEXT(COUNTIFS($B$2:$B572,"&lt;&gt;",$C$2:$C572,"&lt;&gt;",$D$2:$D572,"&lt;&gt;",$E$2:$E572,"&lt;&gt;"),"00000"),""))</f>
        <v/>
      </c>
      <c r="B572" s="16"/>
      <c r="C572" s="20"/>
      <c r="D572" s="20"/>
      <c r="E572" s="23"/>
      <c r="H572" s="19" t="str">
        <f t="shared" si="33"/>
        <v/>
      </c>
      <c r="I572" s="19" t="str">
        <f t="shared" si="32"/>
        <v/>
      </c>
      <c r="J572" s="19" t="str">
        <f t="shared" si="34"/>
        <v/>
      </c>
      <c r="K572" s="20"/>
      <c r="L572" s="21" t="str">
        <f>IF(OR(NOT(AND($B572&lt;&gt;"",$C572&lt;&gt;"",$D572&lt;&gt;"",$E572&lt;&gt;"")),$A572="",$K572&lt;&gt;"Yes"),"",IF($L572&lt;&gt;"",$L572,INDEX(SETUP!$I$1:$I$2000,MATCH(TRUE,SETUP!$J$1:$J$2000,0)+COUNTIFS($A$2:$A572,"&lt;&gt;",$K$2:$K572,"Yes",$L$2:$L572,"")-1)))</f>
        <v/>
      </c>
      <c r="N572" s="22"/>
    </row>
    <row r="573" spans="1:14" x14ac:dyDescent="0.3">
      <c r="A573" s="15" t="str">
        <f>IF(COUNTA($B573:$E573,$K573)=0,"",IF(AND($B573&lt;&gt;"",$C573&lt;&gt;"",$D573&lt;&gt;"",$E573&lt;&gt;""),"TXS"&amp;TEXT(COUNTIFS($B$2:$B573,"&lt;&gt;",$C$2:$C573,"&lt;&gt;",$D$2:$D573,"&lt;&gt;",$E$2:$E573,"&lt;&gt;"),"00000"),""))</f>
        <v/>
      </c>
      <c r="B573" s="16"/>
      <c r="C573" s="20"/>
      <c r="D573" s="20"/>
      <c r="E573" s="23"/>
      <c r="H573" s="19" t="str">
        <f t="shared" si="33"/>
        <v/>
      </c>
      <c r="I573" s="19" t="str">
        <f t="shared" si="32"/>
        <v/>
      </c>
      <c r="J573" s="19" t="str">
        <f t="shared" si="34"/>
        <v/>
      </c>
      <c r="K573" s="20"/>
      <c r="L573" s="21" t="str">
        <f>IF(OR(NOT(AND($B573&lt;&gt;"",$C573&lt;&gt;"",$D573&lt;&gt;"",$E573&lt;&gt;"")),$A573="",$K573&lt;&gt;"Yes"),"",IF($L573&lt;&gt;"",$L573,INDEX(SETUP!$I$1:$I$2000,MATCH(TRUE,SETUP!$J$1:$J$2000,0)+COUNTIFS($A$2:$A573,"&lt;&gt;",$K$2:$K573,"Yes",$L$2:$L573,"")-1)))</f>
        <v/>
      </c>
      <c r="N573" s="22"/>
    </row>
    <row r="574" spans="1:14" x14ac:dyDescent="0.3">
      <c r="A574" s="15" t="str">
        <f>IF(COUNTA($B574:$E574,$K574)=0,"",IF(AND($B574&lt;&gt;"",$C574&lt;&gt;"",$D574&lt;&gt;"",$E574&lt;&gt;""),"TXS"&amp;TEXT(COUNTIFS($B$2:$B574,"&lt;&gt;",$C$2:$C574,"&lt;&gt;",$D$2:$D574,"&lt;&gt;",$E$2:$E574,"&lt;&gt;"),"00000"),""))</f>
        <v/>
      </c>
      <c r="B574" s="16"/>
      <c r="C574" s="20"/>
      <c r="D574" s="20"/>
      <c r="E574" s="23"/>
      <c r="H574" s="19" t="str">
        <f t="shared" si="33"/>
        <v/>
      </c>
      <c r="I574" s="19" t="str">
        <f t="shared" si="32"/>
        <v/>
      </c>
      <c r="J574" s="19" t="str">
        <f t="shared" si="34"/>
        <v/>
      </c>
      <c r="K574" s="20"/>
      <c r="L574" s="21" t="str">
        <f>IF(OR(NOT(AND($B574&lt;&gt;"",$C574&lt;&gt;"",$D574&lt;&gt;"",$E574&lt;&gt;"")),$A574="",$K574&lt;&gt;"Yes"),"",IF($L574&lt;&gt;"",$L574,INDEX(SETUP!$I$1:$I$2000,MATCH(TRUE,SETUP!$J$1:$J$2000,0)+COUNTIFS($A$2:$A574,"&lt;&gt;",$K$2:$K574,"Yes",$L$2:$L574,"")-1)))</f>
        <v/>
      </c>
      <c r="N574" s="22"/>
    </row>
    <row r="575" spans="1:14" x14ac:dyDescent="0.3">
      <c r="A575" s="15" t="str">
        <f>IF(COUNTA($B575:$E575,$K575)=0,"",IF(AND($B575&lt;&gt;"",$C575&lt;&gt;"",$D575&lt;&gt;"",$E575&lt;&gt;""),"TXS"&amp;TEXT(COUNTIFS($B$2:$B575,"&lt;&gt;",$C$2:$C575,"&lt;&gt;",$D$2:$D575,"&lt;&gt;",$E$2:$E575,"&lt;&gt;"),"00000"),""))</f>
        <v/>
      </c>
      <c r="B575" s="16"/>
      <c r="C575" s="20"/>
      <c r="D575" s="20"/>
      <c r="E575" s="23"/>
      <c r="H575" s="19" t="str">
        <f t="shared" si="33"/>
        <v/>
      </c>
      <c r="I575" s="19" t="str">
        <f t="shared" si="32"/>
        <v/>
      </c>
      <c r="J575" s="19" t="str">
        <f t="shared" si="34"/>
        <v/>
      </c>
      <c r="K575" s="20"/>
      <c r="L575" s="21" t="str">
        <f>IF(OR(NOT(AND($B575&lt;&gt;"",$C575&lt;&gt;"",$D575&lt;&gt;"",$E575&lt;&gt;"")),$A575="",$K575&lt;&gt;"Yes"),"",IF($L575&lt;&gt;"",$L575,INDEX(SETUP!$I$1:$I$2000,MATCH(TRUE,SETUP!$J$1:$J$2000,0)+COUNTIFS($A$2:$A575,"&lt;&gt;",$K$2:$K575,"Yes",$L$2:$L575,"")-1)))</f>
        <v/>
      </c>
      <c r="N575" s="22"/>
    </row>
    <row r="576" spans="1:14" x14ac:dyDescent="0.3">
      <c r="A576" s="15" t="str">
        <f>IF(COUNTA($B576:$E576,$K576)=0,"",IF(AND($B576&lt;&gt;"",$C576&lt;&gt;"",$D576&lt;&gt;"",$E576&lt;&gt;""),"TXS"&amp;TEXT(COUNTIFS($B$2:$B576,"&lt;&gt;",$C$2:$C576,"&lt;&gt;",$D$2:$D576,"&lt;&gt;",$E$2:$E576,"&lt;&gt;"),"00000"),""))</f>
        <v/>
      </c>
      <c r="B576" s="16"/>
      <c r="C576" s="20"/>
      <c r="D576" s="20"/>
      <c r="E576" s="23"/>
      <c r="H576" s="19" t="str">
        <f t="shared" si="33"/>
        <v/>
      </c>
      <c r="I576" s="19" t="str">
        <f t="shared" si="32"/>
        <v/>
      </c>
      <c r="J576" s="19" t="str">
        <f t="shared" si="34"/>
        <v/>
      </c>
      <c r="K576" s="20"/>
      <c r="L576" s="21" t="str">
        <f>IF(OR(NOT(AND($B576&lt;&gt;"",$C576&lt;&gt;"",$D576&lt;&gt;"",$E576&lt;&gt;"")),$A576="",$K576&lt;&gt;"Yes"),"",IF($L576&lt;&gt;"",$L576,INDEX(SETUP!$I$1:$I$2000,MATCH(TRUE,SETUP!$J$1:$J$2000,0)+COUNTIFS($A$2:$A576,"&lt;&gt;",$K$2:$K576,"Yes",$L$2:$L576,"")-1)))</f>
        <v/>
      </c>
      <c r="N576" s="22"/>
    </row>
    <row r="577" spans="1:14" x14ac:dyDescent="0.3">
      <c r="A577" s="15" t="str">
        <f>IF(COUNTA($B577:$E577,$K577)=0,"",IF(AND($B577&lt;&gt;"",$C577&lt;&gt;"",$D577&lt;&gt;"",$E577&lt;&gt;""),"TXS"&amp;TEXT(COUNTIFS($B$2:$B577,"&lt;&gt;",$C$2:$C577,"&lt;&gt;",$D$2:$D577,"&lt;&gt;",$E$2:$E577,"&lt;&gt;"),"00000"),""))</f>
        <v/>
      </c>
      <c r="B577" s="16"/>
      <c r="C577" s="20"/>
      <c r="D577" s="20"/>
      <c r="E577" s="23"/>
      <c r="H577" s="19" t="str">
        <f t="shared" si="33"/>
        <v/>
      </c>
      <c r="I577" s="19" t="str">
        <f t="shared" si="32"/>
        <v/>
      </c>
      <c r="J577" s="19" t="str">
        <f t="shared" si="34"/>
        <v/>
      </c>
      <c r="K577" s="20"/>
      <c r="L577" s="21" t="str">
        <f>IF(OR(NOT(AND($B577&lt;&gt;"",$C577&lt;&gt;"",$D577&lt;&gt;"",$E577&lt;&gt;"")),$A577="",$K577&lt;&gt;"Yes"),"",IF($L577&lt;&gt;"",$L577,INDEX(SETUP!$I$1:$I$2000,MATCH(TRUE,SETUP!$J$1:$J$2000,0)+COUNTIFS($A$2:$A577,"&lt;&gt;",$K$2:$K577,"Yes",$L$2:$L577,"")-1)))</f>
        <v/>
      </c>
      <c r="N577" s="22"/>
    </row>
    <row r="578" spans="1:14" x14ac:dyDescent="0.3">
      <c r="A578" s="15" t="str">
        <f>IF(COUNTA($B578:$E578,$K578)=0,"",IF(AND($B578&lt;&gt;"",$C578&lt;&gt;"",$D578&lt;&gt;"",$E578&lt;&gt;""),"TXS"&amp;TEXT(COUNTIFS($B$2:$B578,"&lt;&gt;",$C$2:$C578,"&lt;&gt;",$D$2:$D578,"&lt;&gt;",$E$2:$E578,"&lt;&gt;"),"00000"),""))</f>
        <v/>
      </c>
      <c r="B578" s="16"/>
      <c r="C578" s="20"/>
      <c r="D578" s="20"/>
      <c r="E578" s="23"/>
      <c r="H578" s="19" t="str">
        <f t="shared" si="33"/>
        <v/>
      </c>
      <c r="I578" s="19" t="str">
        <f t="shared" si="32"/>
        <v/>
      </c>
      <c r="J578" s="19" t="str">
        <f t="shared" si="34"/>
        <v/>
      </c>
      <c r="K578" s="20"/>
      <c r="L578" s="21" t="str">
        <f>IF(OR(NOT(AND($B578&lt;&gt;"",$C578&lt;&gt;"",$D578&lt;&gt;"",$E578&lt;&gt;"")),$A578="",$K578&lt;&gt;"Yes"),"",IF($L578&lt;&gt;"",$L578,INDEX(SETUP!$I$1:$I$2000,MATCH(TRUE,SETUP!$J$1:$J$2000,0)+COUNTIFS($A$2:$A578,"&lt;&gt;",$K$2:$K578,"Yes",$L$2:$L578,"")-1)))</f>
        <v/>
      </c>
      <c r="N578" s="22"/>
    </row>
    <row r="579" spans="1:14" x14ac:dyDescent="0.3">
      <c r="A579" s="15" t="str">
        <f>IF(COUNTA($B579:$E579,$K579)=0,"",IF(AND($B579&lt;&gt;"",$C579&lt;&gt;"",$D579&lt;&gt;"",$E579&lt;&gt;""),"TXS"&amp;TEXT(COUNTIFS($B$2:$B579,"&lt;&gt;",$C$2:$C579,"&lt;&gt;",$D$2:$D579,"&lt;&gt;",$E$2:$E579,"&lt;&gt;"),"00000"),""))</f>
        <v/>
      </c>
      <c r="B579" s="16"/>
      <c r="C579" s="20"/>
      <c r="D579" s="20"/>
      <c r="E579" s="23"/>
      <c r="H579" s="19" t="str">
        <f t="shared" si="33"/>
        <v/>
      </c>
      <c r="I579" s="19" t="str">
        <f t="shared" si="32"/>
        <v/>
      </c>
      <c r="J579" s="19" t="str">
        <f t="shared" si="34"/>
        <v/>
      </c>
      <c r="K579" s="20"/>
      <c r="L579" s="21" t="str">
        <f>IF(OR(NOT(AND($B579&lt;&gt;"",$C579&lt;&gt;"",$D579&lt;&gt;"",$E579&lt;&gt;"")),$A579="",$K579&lt;&gt;"Yes"),"",IF($L579&lt;&gt;"",$L579,INDEX(SETUP!$I$1:$I$2000,MATCH(TRUE,SETUP!$J$1:$J$2000,0)+COUNTIFS($A$2:$A579,"&lt;&gt;",$K$2:$K579,"Yes",$L$2:$L579,"")-1)))</f>
        <v/>
      </c>
      <c r="N579" s="22"/>
    </row>
    <row r="580" spans="1:14" x14ac:dyDescent="0.3">
      <c r="A580" s="15" t="str">
        <f>IF(COUNTA($B580:$E580,$K580)=0,"",IF(AND($B580&lt;&gt;"",$C580&lt;&gt;"",$D580&lt;&gt;"",$E580&lt;&gt;""),"TXS"&amp;TEXT(COUNTIFS($B$2:$B580,"&lt;&gt;",$C$2:$C580,"&lt;&gt;",$D$2:$D580,"&lt;&gt;",$E$2:$E580,"&lt;&gt;"),"00000"),""))</f>
        <v/>
      </c>
      <c r="B580" s="16"/>
      <c r="C580" s="20"/>
      <c r="D580" s="20"/>
      <c r="E580" s="23"/>
      <c r="H580" s="19" t="str">
        <f t="shared" si="33"/>
        <v/>
      </c>
      <c r="I580" s="19" t="str">
        <f t="shared" si="32"/>
        <v/>
      </c>
      <c r="J580" s="19" t="str">
        <f t="shared" si="34"/>
        <v/>
      </c>
      <c r="K580" s="20"/>
      <c r="L580" s="21" t="str">
        <f>IF(OR(NOT(AND($B580&lt;&gt;"",$C580&lt;&gt;"",$D580&lt;&gt;"",$E580&lt;&gt;"")),$A580="",$K580&lt;&gt;"Yes"),"",IF($L580&lt;&gt;"",$L580,INDEX(SETUP!$I$1:$I$2000,MATCH(TRUE,SETUP!$J$1:$J$2000,0)+COUNTIFS($A$2:$A580,"&lt;&gt;",$K$2:$K580,"Yes",$L$2:$L580,"")-1)))</f>
        <v/>
      </c>
      <c r="N580" s="22"/>
    </row>
    <row r="581" spans="1:14" x14ac:dyDescent="0.3">
      <c r="A581" s="15" t="str">
        <f>IF(COUNTA($B581:$E581,$K581)=0,"",IF(AND($B581&lt;&gt;"",$C581&lt;&gt;"",$D581&lt;&gt;"",$E581&lt;&gt;""),"TXS"&amp;TEXT(COUNTIFS($B$2:$B581,"&lt;&gt;",$C$2:$C581,"&lt;&gt;",$D$2:$D581,"&lt;&gt;",$E$2:$E581,"&lt;&gt;"),"00000"),""))</f>
        <v/>
      </c>
      <c r="B581" s="16"/>
      <c r="C581" s="20"/>
      <c r="D581" s="20"/>
      <c r="E581" s="23"/>
      <c r="H581" s="19" t="str">
        <f t="shared" si="33"/>
        <v/>
      </c>
      <c r="I581" s="19" t="str">
        <f t="shared" si="32"/>
        <v/>
      </c>
      <c r="J581" s="19" t="str">
        <f t="shared" si="34"/>
        <v/>
      </c>
      <c r="K581" s="20"/>
      <c r="L581" s="21" t="str">
        <f>IF(OR(NOT(AND($B581&lt;&gt;"",$C581&lt;&gt;"",$D581&lt;&gt;"",$E581&lt;&gt;"")),$A581="",$K581&lt;&gt;"Yes"),"",IF($L581&lt;&gt;"",$L581,INDEX(SETUP!$I$1:$I$2000,MATCH(TRUE,SETUP!$J$1:$J$2000,0)+COUNTIFS($A$2:$A581,"&lt;&gt;",$K$2:$K581,"Yes",$L$2:$L581,"")-1)))</f>
        <v/>
      </c>
      <c r="N581" s="22"/>
    </row>
    <row r="582" spans="1:14" x14ac:dyDescent="0.3">
      <c r="A582" s="15" t="str">
        <f>IF(COUNTA($B582:$E582,$K582)=0,"",IF(AND($B582&lt;&gt;"",$C582&lt;&gt;"",$D582&lt;&gt;"",$E582&lt;&gt;""),"TXS"&amp;TEXT(COUNTIFS($B$2:$B582,"&lt;&gt;",$C$2:$C582,"&lt;&gt;",$D$2:$D582,"&lt;&gt;",$E$2:$E582,"&lt;&gt;"),"00000"),""))</f>
        <v/>
      </c>
      <c r="B582" s="16"/>
      <c r="C582" s="20"/>
      <c r="D582" s="20"/>
      <c r="E582" s="23"/>
      <c r="H582" s="19" t="str">
        <f t="shared" si="33"/>
        <v/>
      </c>
      <c r="I582" s="19" t="str">
        <f t="shared" si="32"/>
        <v/>
      </c>
      <c r="J582" s="19" t="str">
        <f t="shared" si="34"/>
        <v/>
      </c>
      <c r="K582" s="20"/>
      <c r="L582" s="21" t="str">
        <f>IF(OR(NOT(AND($B582&lt;&gt;"",$C582&lt;&gt;"",$D582&lt;&gt;"",$E582&lt;&gt;"")),$A582="",$K582&lt;&gt;"Yes"),"",IF($L582&lt;&gt;"",$L582,INDEX(SETUP!$I$1:$I$2000,MATCH(TRUE,SETUP!$J$1:$J$2000,0)+COUNTIFS($A$2:$A582,"&lt;&gt;",$K$2:$K582,"Yes",$L$2:$L582,"")-1)))</f>
        <v/>
      </c>
      <c r="N582" s="22"/>
    </row>
    <row r="583" spans="1:14" x14ac:dyDescent="0.3">
      <c r="A583" s="15" t="str">
        <f>IF(COUNTA($B583:$E583,$K583)=0,"",IF(AND($B583&lt;&gt;"",$C583&lt;&gt;"",$D583&lt;&gt;"",$E583&lt;&gt;""),"TXS"&amp;TEXT(COUNTIFS($B$2:$B583,"&lt;&gt;",$C$2:$C583,"&lt;&gt;",$D$2:$D583,"&lt;&gt;",$E$2:$E583,"&lt;&gt;"),"00000"),""))</f>
        <v/>
      </c>
      <c r="B583" s="16"/>
      <c r="C583" s="20"/>
      <c r="D583" s="20"/>
      <c r="E583" s="23"/>
      <c r="H583" s="19" t="str">
        <f t="shared" si="33"/>
        <v/>
      </c>
      <c r="I583" s="19" t="str">
        <f t="shared" si="32"/>
        <v/>
      </c>
      <c r="J583" s="19" t="str">
        <f t="shared" si="34"/>
        <v/>
      </c>
      <c r="K583" s="20"/>
      <c r="L583" s="21" t="str">
        <f>IF(OR(NOT(AND($B583&lt;&gt;"",$C583&lt;&gt;"",$D583&lt;&gt;"",$E583&lt;&gt;"")),$A583="",$K583&lt;&gt;"Yes"),"",IF($L583&lt;&gt;"",$L583,INDEX(SETUP!$I$1:$I$2000,MATCH(TRUE,SETUP!$J$1:$J$2000,0)+COUNTIFS($A$2:$A583,"&lt;&gt;",$K$2:$K583,"Yes",$L$2:$L583,"")-1)))</f>
        <v/>
      </c>
      <c r="N583" s="22"/>
    </row>
    <row r="584" spans="1:14" x14ac:dyDescent="0.3">
      <c r="A584" s="15" t="str">
        <f>IF(COUNTA($B584:$E584,$K584)=0,"",IF(AND($B584&lt;&gt;"",$C584&lt;&gt;"",$D584&lt;&gt;"",$E584&lt;&gt;""),"TXS"&amp;TEXT(COUNTIFS($B$2:$B584,"&lt;&gt;",$C$2:$C584,"&lt;&gt;",$D$2:$D584,"&lt;&gt;",$E$2:$E584,"&lt;&gt;"),"00000"),""))</f>
        <v/>
      </c>
      <c r="B584" s="16"/>
      <c r="C584" s="20"/>
      <c r="D584" s="20"/>
      <c r="E584" s="23"/>
      <c r="H584" s="19" t="str">
        <f t="shared" si="33"/>
        <v/>
      </c>
      <c r="I584" s="19" t="str">
        <f t="shared" si="32"/>
        <v/>
      </c>
      <c r="J584" s="19" t="str">
        <f t="shared" si="34"/>
        <v/>
      </c>
      <c r="K584" s="20"/>
      <c r="L584" s="21" t="str">
        <f>IF(OR(NOT(AND($B584&lt;&gt;"",$C584&lt;&gt;"",$D584&lt;&gt;"",$E584&lt;&gt;"")),$A584="",$K584&lt;&gt;"Yes"),"",IF($L584&lt;&gt;"",$L584,INDEX(SETUP!$I$1:$I$2000,MATCH(TRUE,SETUP!$J$1:$J$2000,0)+COUNTIFS($A$2:$A584,"&lt;&gt;",$K$2:$K584,"Yes",$L$2:$L584,"")-1)))</f>
        <v/>
      </c>
      <c r="N584" s="22"/>
    </row>
    <row r="585" spans="1:14" x14ac:dyDescent="0.3">
      <c r="A585" s="15" t="str">
        <f>IF(COUNTA($B585:$E585,$K585)=0,"",IF(AND($B585&lt;&gt;"",$C585&lt;&gt;"",$D585&lt;&gt;"",$E585&lt;&gt;""),"TXS"&amp;TEXT(COUNTIFS($B$2:$B585,"&lt;&gt;",$C$2:$C585,"&lt;&gt;",$D$2:$D585,"&lt;&gt;",$E$2:$E585,"&lt;&gt;"),"00000"),""))</f>
        <v/>
      </c>
      <c r="B585" s="16"/>
      <c r="C585" s="20"/>
      <c r="D585" s="20"/>
      <c r="E585" s="23"/>
      <c r="H585" s="19" t="str">
        <f t="shared" si="33"/>
        <v/>
      </c>
      <c r="I585" s="19" t="str">
        <f t="shared" si="32"/>
        <v/>
      </c>
      <c r="J585" s="19" t="str">
        <f t="shared" si="34"/>
        <v/>
      </c>
      <c r="K585" s="20"/>
      <c r="L585" s="21" t="str">
        <f>IF(OR(NOT(AND($B585&lt;&gt;"",$C585&lt;&gt;"",$D585&lt;&gt;"",$E585&lt;&gt;"")),$A585="",$K585&lt;&gt;"Yes"),"",IF($L585&lt;&gt;"",$L585,INDEX(SETUP!$I$1:$I$2000,MATCH(TRUE,SETUP!$J$1:$J$2000,0)+COUNTIFS($A$2:$A585,"&lt;&gt;",$K$2:$K585,"Yes",$L$2:$L585,"")-1)))</f>
        <v/>
      </c>
      <c r="N585" s="22"/>
    </row>
    <row r="586" spans="1:14" x14ac:dyDescent="0.3">
      <c r="A586" s="15" t="str">
        <f>IF(COUNTA($B586:$E586,$K586)=0,"",IF(AND($B586&lt;&gt;"",$C586&lt;&gt;"",$D586&lt;&gt;"",$E586&lt;&gt;""),"TXS"&amp;TEXT(COUNTIFS($B$2:$B586,"&lt;&gt;",$C$2:$C586,"&lt;&gt;",$D$2:$D586,"&lt;&gt;",$E$2:$E586,"&lt;&gt;"),"00000"),""))</f>
        <v/>
      </c>
      <c r="B586" s="16"/>
      <c r="C586" s="20"/>
      <c r="D586" s="20"/>
      <c r="E586" s="23"/>
      <c r="H586" s="19" t="str">
        <f t="shared" si="33"/>
        <v/>
      </c>
      <c r="I586" s="19" t="str">
        <f t="shared" si="32"/>
        <v/>
      </c>
      <c r="J586" s="19" t="str">
        <f t="shared" si="34"/>
        <v/>
      </c>
      <c r="K586" s="20"/>
      <c r="L586" s="21" t="str">
        <f>IF(OR(NOT(AND($B586&lt;&gt;"",$C586&lt;&gt;"",$D586&lt;&gt;"",$E586&lt;&gt;"")),$A586="",$K586&lt;&gt;"Yes"),"",IF($L586&lt;&gt;"",$L586,INDEX(SETUP!$I$1:$I$2000,MATCH(TRUE,SETUP!$J$1:$J$2000,0)+COUNTIFS($A$2:$A586,"&lt;&gt;",$K$2:$K586,"Yes",$L$2:$L586,"")-1)))</f>
        <v/>
      </c>
      <c r="N586" s="22"/>
    </row>
    <row r="587" spans="1:14" x14ac:dyDescent="0.3">
      <c r="A587" s="15" t="str">
        <f>IF(COUNTA($B587:$E587,$K587)=0,"",IF(AND($B587&lt;&gt;"",$C587&lt;&gt;"",$D587&lt;&gt;"",$E587&lt;&gt;""),"TXS"&amp;TEXT(COUNTIFS($B$2:$B587,"&lt;&gt;",$C$2:$C587,"&lt;&gt;",$D$2:$D587,"&lt;&gt;",$E$2:$E587,"&lt;&gt;"),"00000"),""))</f>
        <v/>
      </c>
      <c r="B587" s="16"/>
      <c r="C587" s="20"/>
      <c r="D587" s="20"/>
      <c r="E587" s="23"/>
      <c r="H587" s="19" t="str">
        <f t="shared" si="33"/>
        <v/>
      </c>
      <c r="I587" s="19" t="str">
        <f t="shared" si="32"/>
        <v/>
      </c>
      <c r="J587" s="19" t="str">
        <f t="shared" si="34"/>
        <v/>
      </c>
      <c r="K587" s="20"/>
      <c r="L587" s="21" t="str">
        <f>IF(OR(NOT(AND($B587&lt;&gt;"",$C587&lt;&gt;"",$D587&lt;&gt;"",$E587&lt;&gt;"")),$A587="",$K587&lt;&gt;"Yes"),"",IF($L587&lt;&gt;"",$L587,INDEX(SETUP!$I$1:$I$2000,MATCH(TRUE,SETUP!$J$1:$J$2000,0)+COUNTIFS($A$2:$A587,"&lt;&gt;",$K$2:$K587,"Yes",$L$2:$L587,"")-1)))</f>
        <v/>
      </c>
      <c r="N587" s="22"/>
    </row>
    <row r="588" spans="1:14" x14ac:dyDescent="0.3">
      <c r="A588" s="15" t="str">
        <f>IF(COUNTA($B588:$E588,$K588)=0,"",IF(AND($B588&lt;&gt;"",$C588&lt;&gt;"",$D588&lt;&gt;"",$E588&lt;&gt;""),"TXS"&amp;TEXT(COUNTIFS($B$2:$B588,"&lt;&gt;",$C$2:$C588,"&lt;&gt;",$D$2:$D588,"&lt;&gt;",$E$2:$E588,"&lt;&gt;"),"00000"),""))</f>
        <v/>
      </c>
      <c r="B588" s="16"/>
      <c r="C588" s="20"/>
      <c r="D588" s="20"/>
      <c r="E588" s="23"/>
      <c r="H588" s="19" t="str">
        <f t="shared" si="33"/>
        <v/>
      </c>
      <c r="I588" s="19" t="str">
        <f t="shared" si="32"/>
        <v/>
      </c>
      <c r="J588" s="19" t="str">
        <f t="shared" si="34"/>
        <v/>
      </c>
      <c r="K588" s="20"/>
      <c r="L588" s="21" t="str">
        <f>IF(OR(NOT(AND($B588&lt;&gt;"",$C588&lt;&gt;"",$D588&lt;&gt;"",$E588&lt;&gt;"")),$A588="",$K588&lt;&gt;"Yes"),"",IF($L588&lt;&gt;"",$L588,INDEX(SETUP!$I$1:$I$2000,MATCH(TRUE,SETUP!$J$1:$J$2000,0)+COUNTIFS($A$2:$A588,"&lt;&gt;",$K$2:$K588,"Yes",$L$2:$L588,"")-1)))</f>
        <v/>
      </c>
      <c r="N588" s="22"/>
    </row>
    <row r="589" spans="1:14" x14ac:dyDescent="0.3">
      <c r="A589" s="15" t="str">
        <f>IF(COUNTA($B589:$E589,$K589)=0,"",IF(AND($B589&lt;&gt;"",$C589&lt;&gt;"",$D589&lt;&gt;"",$E589&lt;&gt;""),"TXS"&amp;TEXT(COUNTIFS($B$2:$B589,"&lt;&gt;",$C$2:$C589,"&lt;&gt;",$D$2:$D589,"&lt;&gt;",$E$2:$E589,"&lt;&gt;"),"00000"),""))</f>
        <v/>
      </c>
      <c r="B589" s="16"/>
      <c r="C589" s="20"/>
      <c r="D589" s="20"/>
      <c r="E589" s="23"/>
      <c r="H589" s="19" t="str">
        <f t="shared" si="33"/>
        <v/>
      </c>
      <c r="I589" s="19" t="str">
        <f t="shared" si="32"/>
        <v/>
      </c>
      <c r="J589" s="19" t="str">
        <f t="shared" si="34"/>
        <v/>
      </c>
      <c r="K589" s="20"/>
      <c r="L589" s="21" t="str">
        <f>IF(OR(NOT(AND($B589&lt;&gt;"",$C589&lt;&gt;"",$D589&lt;&gt;"",$E589&lt;&gt;"")),$A589="",$K589&lt;&gt;"Yes"),"",IF($L589&lt;&gt;"",$L589,INDEX(SETUP!$I$1:$I$2000,MATCH(TRUE,SETUP!$J$1:$J$2000,0)+COUNTIFS($A$2:$A589,"&lt;&gt;",$K$2:$K589,"Yes",$L$2:$L589,"")-1)))</f>
        <v/>
      </c>
      <c r="N589" s="22"/>
    </row>
    <row r="590" spans="1:14" x14ac:dyDescent="0.3">
      <c r="A590" s="15" t="str">
        <f>IF(COUNTA($B590:$E590,$K590)=0,"",IF(AND($B590&lt;&gt;"",$C590&lt;&gt;"",$D590&lt;&gt;"",$E590&lt;&gt;""),"TXS"&amp;TEXT(COUNTIFS($B$2:$B590,"&lt;&gt;",$C$2:$C590,"&lt;&gt;",$D$2:$D590,"&lt;&gt;",$E$2:$E590,"&lt;&gt;"),"00000"),""))</f>
        <v/>
      </c>
      <c r="B590" s="16"/>
      <c r="C590" s="20"/>
      <c r="D590" s="20"/>
      <c r="E590" s="23"/>
      <c r="H590" s="19" t="str">
        <f t="shared" si="33"/>
        <v/>
      </c>
      <c r="I590" s="19" t="str">
        <f t="shared" si="32"/>
        <v/>
      </c>
      <c r="J590" s="19" t="str">
        <f t="shared" si="34"/>
        <v/>
      </c>
      <c r="K590" s="20"/>
      <c r="L590" s="21" t="str">
        <f>IF(OR(NOT(AND($B590&lt;&gt;"",$C590&lt;&gt;"",$D590&lt;&gt;"",$E590&lt;&gt;"")),$A590="",$K590&lt;&gt;"Yes"),"",IF($L590&lt;&gt;"",$L590,INDEX(SETUP!$I$1:$I$2000,MATCH(TRUE,SETUP!$J$1:$J$2000,0)+COUNTIFS($A$2:$A590,"&lt;&gt;",$K$2:$K590,"Yes",$L$2:$L590,"")-1)))</f>
        <v/>
      </c>
      <c r="N590" s="22"/>
    </row>
    <row r="591" spans="1:14" x14ac:dyDescent="0.3">
      <c r="A591" s="15" t="str">
        <f>IF(COUNTA($B591:$E591,$K591)=0,"",IF(AND($B591&lt;&gt;"",$C591&lt;&gt;"",$D591&lt;&gt;"",$E591&lt;&gt;""),"TXS"&amp;TEXT(COUNTIFS($B$2:$B591,"&lt;&gt;",$C$2:$C591,"&lt;&gt;",$D$2:$D591,"&lt;&gt;",$E$2:$E591,"&lt;&gt;"),"00000"),""))</f>
        <v/>
      </c>
      <c r="B591" s="16"/>
      <c r="C591" s="20"/>
      <c r="D591" s="20"/>
      <c r="E591" s="23"/>
      <c r="H591" s="19" t="str">
        <f t="shared" si="33"/>
        <v/>
      </c>
      <c r="I591" s="19" t="str">
        <f t="shared" si="32"/>
        <v/>
      </c>
      <c r="J591" s="19" t="str">
        <f t="shared" si="34"/>
        <v/>
      </c>
      <c r="K591" s="20"/>
      <c r="L591" s="21" t="str">
        <f>IF(OR(NOT(AND($B591&lt;&gt;"",$C591&lt;&gt;"",$D591&lt;&gt;"",$E591&lt;&gt;"")),$A591="",$K591&lt;&gt;"Yes"),"",IF($L591&lt;&gt;"",$L591,INDEX(SETUP!$I$1:$I$2000,MATCH(TRUE,SETUP!$J$1:$J$2000,0)+COUNTIFS($A$2:$A591,"&lt;&gt;",$K$2:$K591,"Yes",$L$2:$L591,"")-1)))</f>
        <v/>
      </c>
      <c r="N591" s="22"/>
    </row>
    <row r="592" spans="1:14" x14ac:dyDescent="0.3">
      <c r="A592" s="15" t="str">
        <f>IF(COUNTA($B592:$E592,$K592)=0,"",IF(AND($B592&lt;&gt;"",$C592&lt;&gt;"",$D592&lt;&gt;"",$E592&lt;&gt;""),"TXS"&amp;TEXT(COUNTIFS($B$2:$B592,"&lt;&gt;",$C$2:$C592,"&lt;&gt;",$D$2:$D592,"&lt;&gt;",$E$2:$E592,"&lt;&gt;"),"00000"),""))</f>
        <v/>
      </c>
      <c r="B592" s="16"/>
      <c r="C592" s="20"/>
      <c r="D592" s="20"/>
      <c r="E592" s="23"/>
      <c r="H592" s="19" t="str">
        <f t="shared" si="33"/>
        <v/>
      </c>
      <c r="I592" s="19" t="str">
        <f t="shared" si="32"/>
        <v/>
      </c>
      <c r="J592" s="19" t="str">
        <f t="shared" si="34"/>
        <v/>
      </c>
      <c r="K592" s="20"/>
      <c r="L592" s="21" t="str">
        <f>IF(OR(NOT(AND($B592&lt;&gt;"",$C592&lt;&gt;"",$D592&lt;&gt;"",$E592&lt;&gt;"")),$A592="",$K592&lt;&gt;"Yes"),"",IF($L592&lt;&gt;"",$L592,INDEX(SETUP!$I$1:$I$2000,MATCH(TRUE,SETUP!$J$1:$J$2000,0)+COUNTIFS($A$2:$A592,"&lt;&gt;",$K$2:$K592,"Yes",$L$2:$L592,"")-1)))</f>
        <v/>
      </c>
      <c r="N592" s="22"/>
    </row>
    <row r="593" spans="1:14" x14ac:dyDescent="0.3">
      <c r="A593" s="15" t="str">
        <f>IF(COUNTA($B593:$E593,$K593)=0,"",IF(AND($B593&lt;&gt;"",$C593&lt;&gt;"",$D593&lt;&gt;"",$E593&lt;&gt;""),"TXS"&amp;TEXT(COUNTIFS($B$2:$B593,"&lt;&gt;",$C$2:$C593,"&lt;&gt;",$D$2:$D593,"&lt;&gt;",$E$2:$E593,"&lt;&gt;"),"00000"),""))</f>
        <v/>
      </c>
      <c r="B593" s="16"/>
      <c r="C593" s="20"/>
      <c r="D593" s="20"/>
      <c r="E593" s="23"/>
      <c r="H593" s="19" t="str">
        <f t="shared" si="33"/>
        <v/>
      </c>
      <c r="I593" s="19" t="str">
        <f t="shared" si="32"/>
        <v/>
      </c>
      <c r="J593" s="19" t="str">
        <f t="shared" si="34"/>
        <v/>
      </c>
      <c r="K593" s="20"/>
      <c r="L593" s="21" t="str">
        <f>IF(OR(NOT(AND($B593&lt;&gt;"",$C593&lt;&gt;"",$D593&lt;&gt;"",$E593&lt;&gt;"")),$A593="",$K593&lt;&gt;"Yes"),"",IF($L593&lt;&gt;"",$L593,INDEX(SETUP!$I$1:$I$2000,MATCH(TRUE,SETUP!$J$1:$J$2000,0)+COUNTIFS($A$2:$A593,"&lt;&gt;",$K$2:$K593,"Yes",$L$2:$L593,"")-1)))</f>
        <v/>
      </c>
      <c r="N593" s="22"/>
    </row>
    <row r="594" spans="1:14" x14ac:dyDescent="0.3">
      <c r="A594" s="15" t="str">
        <f>IF(COUNTA($B594:$E594,$K594)=0,"",IF(AND($B594&lt;&gt;"",$C594&lt;&gt;"",$D594&lt;&gt;"",$E594&lt;&gt;""),"TXS"&amp;TEXT(COUNTIFS($B$2:$B594,"&lt;&gt;",$C$2:$C594,"&lt;&gt;",$D$2:$D594,"&lt;&gt;",$E$2:$E594,"&lt;&gt;"),"00000"),""))</f>
        <v/>
      </c>
      <c r="B594" s="16"/>
      <c r="C594" s="20"/>
      <c r="D594" s="20"/>
      <c r="E594" s="23"/>
      <c r="H594" s="19" t="str">
        <f t="shared" si="33"/>
        <v/>
      </c>
      <c r="I594" s="19" t="str">
        <f t="shared" si="32"/>
        <v/>
      </c>
      <c r="J594" s="19" t="str">
        <f t="shared" si="34"/>
        <v/>
      </c>
      <c r="K594" s="20"/>
      <c r="L594" s="21" t="str">
        <f>IF(OR(NOT(AND($B594&lt;&gt;"",$C594&lt;&gt;"",$D594&lt;&gt;"",$E594&lt;&gt;"")),$A594="",$K594&lt;&gt;"Yes"),"",IF($L594&lt;&gt;"",$L594,INDEX(SETUP!$I$1:$I$2000,MATCH(TRUE,SETUP!$J$1:$J$2000,0)+COUNTIFS($A$2:$A594,"&lt;&gt;",$K$2:$K594,"Yes",$L$2:$L594,"")-1)))</f>
        <v/>
      </c>
      <c r="N594" s="22"/>
    </row>
    <row r="595" spans="1:14" x14ac:dyDescent="0.3">
      <c r="A595" s="15" t="str">
        <f>IF(COUNTA($B595:$E595,$K595)=0,"",IF(AND($B595&lt;&gt;"",$C595&lt;&gt;"",$D595&lt;&gt;"",$E595&lt;&gt;""),"TXS"&amp;TEXT(COUNTIFS($B$2:$B595,"&lt;&gt;",$C$2:$C595,"&lt;&gt;",$D$2:$D595,"&lt;&gt;",$E$2:$E595,"&lt;&gt;"),"00000"),""))</f>
        <v/>
      </c>
      <c r="B595" s="16"/>
      <c r="C595" s="20"/>
      <c r="D595" s="20"/>
      <c r="E595" s="23"/>
      <c r="H595" s="19" t="str">
        <f t="shared" si="33"/>
        <v/>
      </c>
      <c r="I595" s="19" t="str">
        <f t="shared" si="32"/>
        <v/>
      </c>
      <c r="J595" s="19" t="str">
        <f t="shared" si="34"/>
        <v/>
      </c>
      <c r="K595" s="20"/>
      <c r="L595" s="21" t="str">
        <f>IF(OR(NOT(AND($B595&lt;&gt;"",$C595&lt;&gt;"",$D595&lt;&gt;"",$E595&lt;&gt;"")),$A595="",$K595&lt;&gt;"Yes"),"",IF($L595&lt;&gt;"",$L595,INDEX(SETUP!$I$1:$I$2000,MATCH(TRUE,SETUP!$J$1:$J$2000,0)+COUNTIFS($A$2:$A595,"&lt;&gt;",$K$2:$K595,"Yes",$L$2:$L595,"")-1)))</f>
        <v/>
      </c>
      <c r="N595" s="22"/>
    </row>
    <row r="596" spans="1:14" x14ac:dyDescent="0.3">
      <c r="A596" s="15" t="str">
        <f>IF(COUNTA($B596:$E596,$K596)=0,"",IF(AND($B596&lt;&gt;"",$C596&lt;&gt;"",$D596&lt;&gt;"",$E596&lt;&gt;""),"TXS"&amp;TEXT(COUNTIFS($B$2:$B596,"&lt;&gt;",$C$2:$C596,"&lt;&gt;",$D$2:$D596,"&lt;&gt;",$E$2:$E596,"&lt;&gt;"),"00000"),""))</f>
        <v/>
      </c>
      <c r="B596" s="16"/>
      <c r="C596" s="20"/>
      <c r="D596" s="20"/>
      <c r="E596" s="23"/>
      <c r="H596" s="19" t="str">
        <f t="shared" si="33"/>
        <v/>
      </c>
      <c r="I596" s="19" t="str">
        <f t="shared" si="32"/>
        <v/>
      </c>
      <c r="J596" s="19" t="str">
        <f t="shared" si="34"/>
        <v/>
      </c>
      <c r="K596" s="20"/>
      <c r="L596" s="21" t="str">
        <f>IF(OR(NOT(AND($B596&lt;&gt;"",$C596&lt;&gt;"",$D596&lt;&gt;"",$E596&lt;&gt;"")),$A596="",$K596&lt;&gt;"Yes"),"",IF($L596&lt;&gt;"",$L596,INDEX(SETUP!$I$1:$I$2000,MATCH(TRUE,SETUP!$J$1:$J$2000,0)+COUNTIFS($A$2:$A596,"&lt;&gt;",$K$2:$K596,"Yes",$L$2:$L596,"")-1)))</f>
        <v/>
      </c>
      <c r="N596" s="22"/>
    </row>
    <row r="597" spans="1:14" x14ac:dyDescent="0.3">
      <c r="A597" s="15" t="str">
        <f>IF(COUNTA($B597:$E597,$K597)=0,"",IF(AND($B597&lt;&gt;"",$C597&lt;&gt;"",$D597&lt;&gt;"",$E597&lt;&gt;""),"TXS"&amp;TEXT(COUNTIFS($B$2:$B597,"&lt;&gt;",$C$2:$C597,"&lt;&gt;",$D$2:$D597,"&lt;&gt;",$E$2:$E597,"&lt;&gt;"),"00000"),""))</f>
        <v/>
      </c>
      <c r="B597" s="16"/>
      <c r="C597" s="20"/>
      <c r="D597" s="20"/>
      <c r="E597" s="23"/>
      <c r="H597" s="19" t="str">
        <f t="shared" si="33"/>
        <v/>
      </c>
      <c r="I597" s="19" t="str">
        <f t="shared" si="32"/>
        <v/>
      </c>
      <c r="J597" s="19" t="str">
        <f t="shared" si="34"/>
        <v/>
      </c>
      <c r="K597" s="20"/>
      <c r="L597" s="21" t="str">
        <f>IF(OR(NOT(AND($B597&lt;&gt;"",$C597&lt;&gt;"",$D597&lt;&gt;"",$E597&lt;&gt;"")),$A597="",$K597&lt;&gt;"Yes"),"",IF($L597&lt;&gt;"",$L597,INDEX(SETUP!$I$1:$I$2000,MATCH(TRUE,SETUP!$J$1:$J$2000,0)+COUNTIFS($A$2:$A597,"&lt;&gt;",$K$2:$K597,"Yes",$L$2:$L597,"")-1)))</f>
        <v/>
      </c>
      <c r="N597" s="22"/>
    </row>
    <row r="598" spans="1:14" x14ac:dyDescent="0.3">
      <c r="A598" s="15" t="str">
        <f>IF(COUNTA($B598:$E598,$K598)=0,"",IF(AND($B598&lt;&gt;"",$C598&lt;&gt;"",$D598&lt;&gt;"",$E598&lt;&gt;""),"TXS"&amp;TEXT(COUNTIFS($B$2:$B598,"&lt;&gt;",$C$2:$C598,"&lt;&gt;",$D$2:$D598,"&lt;&gt;",$E$2:$E598,"&lt;&gt;"),"00000"),""))</f>
        <v/>
      </c>
      <c r="B598" s="16"/>
      <c r="C598" s="20"/>
      <c r="D598" s="20"/>
      <c r="E598" s="23"/>
      <c r="H598" s="19" t="str">
        <f t="shared" si="33"/>
        <v/>
      </c>
      <c r="I598" s="19" t="str">
        <f t="shared" si="32"/>
        <v/>
      </c>
      <c r="J598" s="19" t="str">
        <f t="shared" si="34"/>
        <v/>
      </c>
      <c r="K598" s="20"/>
      <c r="L598" s="21" t="str">
        <f>IF(OR(NOT(AND($B598&lt;&gt;"",$C598&lt;&gt;"",$D598&lt;&gt;"",$E598&lt;&gt;"")),$A598="",$K598&lt;&gt;"Yes"),"",IF($L598&lt;&gt;"",$L598,INDEX(SETUP!$I$1:$I$2000,MATCH(TRUE,SETUP!$J$1:$J$2000,0)+COUNTIFS($A$2:$A598,"&lt;&gt;",$K$2:$K598,"Yes",$L$2:$L598,"")-1)))</f>
        <v/>
      </c>
      <c r="N598" s="22"/>
    </row>
    <row r="599" spans="1:14" x14ac:dyDescent="0.3">
      <c r="A599" s="15" t="str">
        <f>IF(COUNTA($B599:$E599,$K599)=0,"",IF(AND($B599&lt;&gt;"",$C599&lt;&gt;"",$D599&lt;&gt;"",$E599&lt;&gt;""),"TXS"&amp;TEXT(COUNTIFS($B$2:$B599,"&lt;&gt;",$C$2:$C599,"&lt;&gt;",$D$2:$D599,"&lt;&gt;",$E$2:$E599,"&lt;&gt;"),"00000"),""))</f>
        <v/>
      </c>
      <c r="B599" s="16"/>
      <c r="C599" s="20"/>
      <c r="D599" s="20"/>
      <c r="E599" s="23"/>
      <c r="H599" s="19" t="str">
        <f t="shared" si="33"/>
        <v/>
      </c>
      <c r="I599" s="19" t="str">
        <f t="shared" si="32"/>
        <v/>
      </c>
      <c r="J599" s="19" t="str">
        <f t="shared" si="34"/>
        <v/>
      </c>
      <c r="K599" s="20"/>
      <c r="L599" s="21" t="str">
        <f>IF(OR(NOT(AND($B599&lt;&gt;"",$C599&lt;&gt;"",$D599&lt;&gt;"",$E599&lt;&gt;"")),$A599="",$K599&lt;&gt;"Yes"),"",IF($L599&lt;&gt;"",$L599,INDEX(SETUP!$I$1:$I$2000,MATCH(TRUE,SETUP!$J$1:$J$2000,0)+COUNTIFS($A$2:$A599,"&lt;&gt;",$K$2:$K599,"Yes",$L$2:$L599,"")-1)))</f>
        <v/>
      </c>
      <c r="N599" s="22"/>
    </row>
    <row r="600" spans="1:14" x14ac:dyDescent="0.3">
      <c r="A600" s="15" t="str">
        <f>IF(COUNTA($B600:$E600,$K600)=0,"",IF(AND($B600&lt;&gt;"",$C600&lt;&gt;"",$D600&lt;&gt;"",$E600&lt;&gt;""),"TXS"&amp;TEXT(COUNTIFS($B$2:$B600,"&lt;&gt;",$C$2:$C600,"&lt;&gt;",$D$2:$D600,"&lt;&gt;",$E$2:$E600,"&lt;&gt;"),"00000"),""))</f>
        <v/>
      </c>
      <c r="B600" s="16"/>
      <c r="C600" s="20"/>
      <c r="D600" s="20"/>
      <c r="E600" s="23"/>
      <c r="H600" s="19" t="str">
        <f t="shared" si="33"/>
        <v/>
      </c>
      <c r="I600" s="19" t="str">
        <f t="shared" si="32"/>
        <v/>
      </c>
      <c r="J600" s="19" t="str">
        <f t="shared" si="34"/>
        <v/>
      </c>
      <c r="K600" s="20"/>
      <c r="L600" s="21" t="str">
        <f>IF(OR(NOT(AND($B600&lt;&gt;"",$C600&lt;&gt;"",$D600&lt;&gt;"",$E600&lt;&gt;"")),$A600="",$K600&lt;&gt;"Yes"),"",IF($L600&lt;&gt;"",$L600,INDEX(SETUP!$I$1:$I$2000,MATCH(TRUE,SETUP!$J$1:$J$2000,0)+COUNTIFS($A$2:$A600,"&lt;&gt;",$K$2:$K600,"Yes",$L$2:$L600,"")-1)))</f>
        <v/>
      </c>
      <c r="N600" s="22"/>
    </row>
    <row r="601" spans="1:14" x14ac:dyDescent="0.3">
      <c r="A601" s="15" t="str">
        <f>IF(COUNTA($B601:$E601,$K601)=0,"",IF(AND($B601&lt;&gt;"",$C601&lt;&gt;"",$D601&lt;&gt;"",$E601&lt;&gt;""),"TXS"&amp;TEXT(COUNTIFS($B$2:$B601,"&lt;&gt;",$C$2:$C601,"&lt;&gt;",$D$2:$D601,"&lt;&gt;",$E$2:$E601,"&lt;&gt;"),"00000"),""))</f>
        <v/>
      </c>
      <c r="B601" s="16"/>
      <c r="C601" s="20"/>
      <c r="D601" s="20"/>
      <c r="E601" s="23"/>
      <c r="H601" s="19" t="str">
        <f t="shared" si="33"/>
        <v/>
      </c>
      <c r="I601" s="19" t="str">
        <f t="shared" si="32"/>
        <v/>
      </c>
      <c r="J601" s="19" t="str">
        <f t="shared" si="34"/>
        <v/>
      </c>
      <c r="K601" s="20"/>
      <c r="L601" s="21" t="str">
        <f>IF(OR(NOT(AND($B601&lt;&gt;"",$C601&lt;&gt;"",$D601&lt;&gt;"",$E601&lt;&gt;"")),$A601="",$K601&lt;&gt;"Yes"),"",IF($L601&lt;&gt;"",$L601,INDEX(SETUP!$I$1:$I$2000,MATCH(TRUE,SETUP!$J$1:$J$2000,0)+COUNTIFS($A$2:$A601,"&lt;&gt;",$K$2:$K601,"Yes",$L$2:$L601,"")-1)))</f>
        <v/>
      </c>
      <c r="N601" s="22"/>
    </row>
    <row r="602" spans="1:14" x14ac:dyDescent="0.3">
      <c r="A602" s="15" t="str">
        <f>IF(COUNTA($B602:$E602,$K602)=0,"",IF(AND($B602&lt;&gt;"",$C602&lt;&gt;"",$D602&lt;&gt;"",$E602&lt;&gt;""),"TXS"&amp;TEXT(COUNTIFS($B$2:$B602,"&lt;&gt;",$C$2:$C602,"&lt;&gt;",$D$2:$D602,"&lt;&gt;",$E$2:$E602,"&lt;&gt;"),"00000"),""))</f>
        <v/>
      </c>
      <c r="B602" s="16"/>
      <c r="C602" s="20"/>
      <c r="D602" s="20"/>
      <c r="E602" s="23"/>
      <c r="H602" s="19" t="str">
        <f t="shared" si="33"/>
        <v/>
      </c>
      <c r="I602" s="19" t="str">
        <f t="shared" si="32"/>
        <v/>
      </c>
      <c r="J602" s="19" t="str">
        <f t="shared" si="34"/>
        <v/>
      </c>
      <c r="K602" s="20"/>
      <c r="L602" s="21" t="str">
        <f>IF(OR(NOT(AND($B602&lt;&gt;"",$C602&lt;&gt;"",$D602&lt;&gt;"",$E602&lt;&gt;"")),$A602="",$K602&lt;&gt;"Yes"),"",IF($L602&lt;&gt;"",$L602,INDEX(SETUP!$I$1:$I$2000,MATCH(TRUE,SETUP!$J$1:$J$2000,0)+COUNTIFS($A$2:$A602,"&lt;&gt;",$K$2:$K602,"Yes",$L$2:$L602,"")-1)))</f>
        <v/>
      </c>
      <c r="N602" s="22"/>
    </row>
    <row r="603" spans="1:14" x14ac:dyDescent="0.3">
      <c r="A603" s="15" t="str">
        <f>IF(COUNTA($B603:$E603,$K603)=0,"",IF(AND($B603&lt;&gt;"",$C603&lt;&gt;"",$D603&lt;&gt;"",$E603&lt;&gt;""),"TXS"&amp;TEXT(COUNTIFS($B$2:$B603,"&lt;&gt;",$C$2:$C603,"&lt;&gt;",$D$2:$D603,"&lt;&gt;",$E$2:$E603,"&lt;&gt;"),"00000"),""))</f>
        <v/>
      </c>
      <c r="B603" s="16"/>
      <c r="C603" s="20"/>
      <c r="D603" s="20"/>
      <c r="E603" s="23"/>
      <c r="H603" s="19" t="str">
        <f t="shared" si="33"/>
        <v/>
      </c>
      <c r="I603" s="19" t="str">
        <f t="shared" si="32"/>
        <v/>
      </c>
      <c r="J603" s="19" t="str">
        <f t="shared" si="34"/>
        <v/>
      </c>
      <c r="K603" s="20"/>
      <c r="L603" s="21" t="str">
        <f>IF(OR(NOT(AND($B603&lt;&gt;"",$C603&lt;&gt;"",$D603&lt;&gt;"",$E603&lt;&gt;"")),$A603="",$K603&lt;&gt;"Yes"),"",IF($L603&lt;&gt;"",$L603,INDEX(SETUP!$I$1:$I$2000,MATCH(TRUE,SETUP!$J$1:$J$2000,0)+COUNTIFS($A$2:$A603,"&lt;&gt;",$K$2:$K603,"Yes",$L$2:$L603,"")-1)))</f>
        <v/>
      </c>
      <c r="N603" s="22"/>
    </row>
    <row r="604" spans="1:14" x14ac:dyDescent="0.3">
      <c r="A604" s="15" t="str">
        <f>IF(COUNTA($B604:$E604,$K604)=0,"",IF(AND($B604&lt;&gt;"",$C604&lt;&gt;"",$D604&lt;&gt;"",$E604&lt;&gt;""),"TXS"&amp;TEXT(COUNTIFS($B$2:$B604,"&lt;&gt;",$C$2:$C604,"&lt;&gt;",$D$2:$D604,"&lt;&gt;",$E$2:$E604,"&lt;&gt;"),"00000"),""))</f>
        <v/>
      </c>
      <c r="B604" s="16"/>
      <c r="C604" s="20"/>
      <c r="D604" s="20"/>
      <c r="E604" s="23"/>
      <c r="H604" s="19" t="str">
        <f t="shared" si="33"/>
        <v/>
      </c>
      <c r="I604" s="19" t="str">
        <f t="shared" si="32"/>
        <v/>
      </c>
      <c r="J604" s="19" t="str">
        <f t="shared" si="34"/>
        <v/>
      </c>
      <c r="K604" s="20"/>
      <c r="L604" s="21" t="str">
        <f>IF(OR(NOT(AND($B604&lt;&gt;"",$C604&lt;&gt;"",$D604&lt;&gt;"",$E604&lt;&gt;"")),$A604="",$K604&lt;&gt;"Yes"),"",IF($L604&lt;&gt;"",$L604,INDEX(SETUP!$I$1:$I$2000,MATCH(TRUE,SETUP!$J$1:$J$2000,0)+COUNTIFS($A$2:$A604,"&lt;&gt;",$K$2:$K604,"Yes",$L$2:$L604,"")-1)))</f>
        <v/>
      </c>
      <c r="N604" s="22"/>
    </row>
    <row r="605" spans="1:14" x14ac:dyDescent="0.3">
      <c r="A605" s="15" t="str">
        <f>IF(COUNTA($B605:$E605,$K605)=0,"",IF(AND($B605&lt;&gt;"",$C605&lt;&gt;"",$D605&lt;&gt;"",$E605&lt;&gt;""),"TXS"&amp;TEXT(COUNTIFS($B$2:$B605,"&lt;&gt;",$C$2:$C605,"&lt;&gt;",$D$2:$D605,"&lt;&gt;",$E$2:$E605,"&lt;&gt;"),"00000"),""))</f>
        <v/>
      </c>
      <c r="B605" s="16"/>
      <c r="C605" s="20"/>
      <c r="D605" s="20"/>
      <c r="E605" s="23"/>
      <c r="H605" s="19" t="str">
        <f t="shared" si="33"/>
        <v/>
      </c>
      <c r="I605" s="19" t="str">
        <f t="shared" si="32"/>
        <v/>
      </c>
      <c r="J605" s="19" t="str">
        <f t="shared" si="34"/>
        <v/>
      </c>
      <c r="K605" s="20"/>
      <c r="L605" s="21" t="str">
        <f>IF(OR(NOT(AND($B605&lt;&gt;"",$C605&lt;&gt;"",$D605&lt;&gt;"",$E605&lt;&gt;"")),$A605="",$K605&lt;&gt;"Yes"),"",IF($L605&lt;&gt;"",$L605,INDEX(SETUP!$I$1:$I$2000,MATCH(TRUE,SETUP!$J$1:$J$2000,0)+COUNTIFS($A$2:$A605,"&lt;&gt;",$K$2:$K605,"Yes",$L$2:$L605,"")-1)))</f>
        <v/>
      </c>
      <c r="N605" s="22"/>
    </row>
    <row r="606" spans="1:14" x14ac:dyDescent="0.3">
      <c r="A606" s="15" t="str">
        <f>IF(COUNTA($B606:$E606,$K606)=0,"",IF(AND($B606&lt;&gt;"",$C606&lt;&gt;"",$D606&lt;&gt;"",$E606&lt;&gt;""),"TXS"&amp;TEXT(COUNTIFS($B$2:$B606,"&lt;&gt;",$C$2:$C606,"&lt;&gt;",$D$2:$D606,"&lt;&gt;",$E$2:$E606,"&lt;&gt;"),"00000"),""))</f>
        <v/>
      </c>
      <c r="B606" s="16"/>
      <c r="C606" s="20"/>
      <c r="D606" s="20"/>
      <c r="E606" s="23"/>
      <c r="H606" s="19" t="str">
        <f t="shared" si="33"/>
        <v/>
      </c>
      <c r="I606" s="19" t="str">
        <f t="shared" si="32"/>
        <v/>
      </c>
      <c r="J606" s="19" t="str">
        <f t="shared" si="34"/>
        <v/>
      </c>
      <c r="K606" s="20"/>
      <c r="L606" s="21" t="str">
        <f>IF(OR(NOT(AND($B606&lt;&gt;"",$C606&lt;&gt;"",$D606&lt;&gt;"",$E606&lt;&gt;"")),$A606="",$K606&lt;&gt;"Yes"),"",IF($L606&lt;&gt;"",$L606,INDEX(SETUP!$I$1:$I$2000,MATCH(TRUE,SETUP!$J$1:$J$2000,0)+COUNTIFS($A$2:$A606,"&lt;&gt;",$K$2:$K606,"Yes",$L$2:$L606,"")-1)))</f>
        <v/>
      </c>
      <c r="N606" s="22"/>
    </row>
    <row r="607" spans="1:14" x14ac:dyDescent="0.3">
      <c r="A607" s="15" t="str">
        <f>IF(COUNTA($B607:$E607,$K607)=0,"",IF(AND($B607&lt;&gt;"",$C607&lt;&gt;"",$D607&lt;&gt;"",$E607&lt;&gt;""),"TXS"&amp;TEXT(COUNTIFS($B$2:$B607,"&lt;&gt;",$C$2:$C607,"&lt;&gt;",$D$2:$D607,"&lt;&gt;",$E$2:$E607,"&lt;&gt;"),"00000"),""))</f>
        <v/>
      </c>
      <c r="B607" s="16"/>
      <c r="C607" s="20"/>
      <c r="D607" s="20"/>
      <c r="E607" s="23"/>
      <c r="H607" s="19" t="str">
        <f t="shared" si="33"/>
        <v/>
      </c>
      <c r="I607" s="19" t="str">
        <f t="shared" si="32"/>
        <v/>
      </c>
      <c r="J607" s="19" t="str">
        <f t="shared" si="34"/>
        <v/>
      </c>
      <c r="K607" s="20"/>
      <c r="L607" s="21" t="str">
        <f>IF(OR(NOT(AND($B607&lt;&gt;"",$C607&lt;&gt;"",$D607&lt;&gt;"",$E607&lt;&gt;"")),$A607="",$K607&lt;&gt;"Yes"),"",IF($L607&lt;&gt;"",$L607,INDEX(SETUP!$I$1:$I$2000,MATCH(TRUE,SETUP!$J$1:$J$2000,0)+COUNTIFS($A$2:$A607,"&lt;&gt;",$K$2:$K607,"Yes",$L$2:$L607,"")-1)))</f>
        <v/>
      </c>
      <c r="N607" s="22"/>
    </row>
    <row r="608" spans="1:14" x14ac:dyDescent="0.3">
      <c r="A608" s="15" t="str">
        <f>IF(COUNTA($B608:$E608,$K608)=0,"",IF(AND($B608&lt;&gt;"",$C608&lt;&gt;"",$D608&lt;&gt;"",$E608&lt;&gt;""),"TXS"&amp;TEXT(COUNTIFS($B$2:$B608,"&lt;&gt;",$C$2:$C608,"&lt;&gt;",$D$2:$D608,"&lt;&gt;",$E$2:$E608,"&lt;&gt;"),"00000"),""))</f>
        <v/>
      </c>
      <c r="B608" s="16"/>
      <c r="C608" s="20"/>
      <c r="D608" s="20"/>
      <c r="E608" s="23"/>
      <c r="H608" s="19" t="str">
        <f t="shared" si="33"/>
        <v/>
      </c>
      <c r="I608" s="19" t="str">
        <f t="shared" si="32"/>
        <v/>
      </c>
      <c r="J608" s="19" t="str">
        <f t="shared" si="34"/>
        <v/>
      </c>
      <c r="K608" s="20"/>
      <c r="L608" s="21" t="str">
        <f>IF(OR(NOT(AND($B608&lt;&gt;"",$C608&lt;&gt;"",$D608&lt;&gt;"",$E608&lt;&gt;"")),$A608="",$K608&lt;&gt;"Yes"),"",IF($L608&lt;&gt;"",$L608,INDEX(SETUP!$I$1:$I$2000,MATCH(TRUE,SETUP!$J$1:$J$2000,0)+COUNTIFS($A$2:$A608,"&lt;&gt;",$K$2:$K608,"Yes",$L$2:$L608,"")-1)))</f>
        <v/>
      </c>
      <c r="N608" s="22"/>
    </row>
    <row r="609" spans="1:14" x14ac:dyDescent="0.3">
      <c r="A609" s="15" t="str">
        <f>IF(COUNTA($B609:$E609,$K609)=0,"",IF(AND($B609&lt;&gt;"",$C609&lt;&gt;"",$D609&lt;&gt;"",$E609&lt;&gt;""),"TXS"&amp;TEXT(COUNTIFS($B$2:$B609,"&lt;&gt;",$C$2:$C609,"&lt;&gt;",$D$2:$D609,"&lt;&gt;",$E$2:$E609,"&lt;&gt;"),"00000"),""))</f>
        <v/>
      </c>
      <c r="B609" s="16"/>
      <c r="C609" s="20"/>
      <c r="D609" s="20"/>
      <c r="E609" s="23"/>
      <c r="H609" s="19" t="str">
        <f t="shared" si="33"/>
        <v/>
      </c>
      <c r="I609" s="19" t="str">
        <f t="shared" si="32"/>
        <v/>
      </c>
      <c r="J609" s="19" t="str">
        <f t="shared" si="34"/>
        <v/>
      </c>
      <c r="K609" s="20"/>
      <c r="L609" s="21" t="str">
        <f>IF(OR(NOT(AND($B609&lt;&gt;"",$C609&lt;&gt;"",$D609&lt;&gt;"",$E609&lt;&gt;"")),$A609="",$K609&lt;&gt;"Yes"),"",IF($L609&lt;&gt;"",$L609,INDEX(SETUP!$I$1:$I$2000,MATCH(TRUE,SETUP!$J$1:$J$2000,0)+COUNTIFS($A$2:$A609,"&lt;&gt;",$K$2:$K609,"Yes",$L$2:$L609,"")-1)))</f>
        <v/>
      </c>
      <c r="N609" s="22"/>
    </row>
    <row r="610" spans="1:14" x14ac:dyDescent="0.3">
      <c r="A610" s="15" t="str">
        <f>IF(COUNTA($B610:$E610,$K610)=0,"",IF(AND($B610&lt;&gt;"",$C610&lt;&gt;"",$D610&lt;&gt;"",$E610&lt;&gt;""),"TXS"&amp;TEXT(COUNTIFS($B$2:$B610,"&lt;&gt;",$C$2:$C610,"&lt;&gt;",$D$2:$D610,"&lt;&gt;",$E$2:$E610,"&lt;&gt;"),"00000"),""))</f>
        <v/>
      </c>
      <c r="B610" s="16"/>
      <c r="C610" s="20"/>
      <c r="D610" s="20"/>
      <c r="E610" s="23"/>
      <c r="H610" s="19" t="str">
        <f t="shared" si="33"/>
        <v/>
      </c>
      <c r="I610" s="19" t="str">
        <f t="shared" si="32"/>
        <v/>
      </c>
      <c r="J610" s="19" t="str">
        <f t="shared" si="34"/>
        <v/>
      </c>
      <c r="K610" s="20"/>
      <c r="L610" s="21" t="str">
        <f>IF(OR(NOT(AND($B610&lt;&gt;"",$C610&lt;&gt;"",$D610&lt;&gt;"",$E610&lt;&gt;"")),$A610="",$K610&lt;&gt;"Yes"),"",IF($L610&lt;&gt;"",$L610,INDEX(SETUP!$I$1:$I$2000,MATCH(TRUE,SETUP!$J$1:$J$2000,0)+COUNTIFS($A$2:$A610,"&lt;&gt;",$K$2:$K610,"Yes",$L$2:$L610,"")-1)))</f>
        <v/>
      </c>
      <c r="N610" s="22"/>
    </row>
    <row r="611" spans="1:14" x14ac:dyDescent="0.3">
      <c r="A611" s="15" t="str">
        <f>IF(COUNTA($B611:$E611,$K611)=0,"",IF(AND($B611&lt;&gt;"",$C611&lt;&gt;"",$D611&lt;&gt;"",$E611&lt;&gt;""),"TXS"&amp;TEXT(COUNTIFS($B$2:$B611,"&lt;&gt;",$C$2:$C611,"&lt;&gt;",$D$2:$D611,"&lt;&gt;",$E$2:$E611,"&lt;&gt;"),"00000"),""))</f>
        <v/>
      </c>
      <c r="B611" s="16"/>
      <c r="C611" s="20"/>
      <c r="D611" s="20"/>
      <c r="E611" s="23"/>
      <c r="H611" s="19" t="str">
        <f t="shared" si="33"/>
        <v/>
      </c>
      <c r="I611" s="19" t="str">
        <f t="shared" si="32"/>
        <v/>
      </c>
      <c r="J611" s="19" t="str">
        <f t="shared" si="34"/>
        <v/>
      </c>
      <c r="K611" s="20"/>
      <c r="L611" s="21" t="str">
        <f>IF(OR(NOT(AND($B611&lt;&gt;"",$C611&lt;&gt;"",$D611&lt;&gt;"",$E611&lt;&gt;"")),$A611="",$K611&lt;&gt;"Yes"),"",IF($L611&lt;&gt;"",$L611,INDEX(SETUP!$I$1:$I$2000,MATCH(TRUE,SETUP!$J$1:$J$2000,0)+COUNTIFS($A$2:$A611,"&lt;&gt;",$K$2:$K611,"Yes",$L$2:$L611,"")-1)))</f>
        <v/>
      </c>
      <c r="N611" s="22"/>
    </row>
    <row r="612" spans="1:14" x14ac:dyDescent="0.3">
      <c r="A612" s="15" t="str">
        <f>IF(COUNTA($B612:$E612,$K612)=0,"",IF(AND($B612&lt;&gt;"",$C612&lt;&gt;"",$D612&lt;&gt;"",$E612&lt;&gt;""),"TXS"&amp;TEXT(COUNTIFS($B$2:$B612,"&lt;&gt;",$C$2:$C612,"&lt;&gt;",$D$2:$D612,"&lt;&gt;",$E$2:$E612,"&lt;&gt;"),"00000"),""))</f>
        <v/>
      </c>
      <c r="B612" s="16"/>
      <c r="C612" s="20"/>
      <c r="D612" s="20"/>
      <c r="E612" s="23"/>
      <c r="H612" s="19" t="str">
        <f t="shared" si="33"/>
        <v/>
      </c>
      <c r="I612" s="19" t="str">
        <f t="shared" si="32"/>
        <v/>
      </c>
      <c r="J612" s="19" t="str">
        <f t="shared" si="34"/>
        <v/>
      </c>
      <c r="K612" s="20"/>
      <c r="L612" s="21" t="str">
        <f>IF(OR(NOT(AND($B612&lt;&gt;"",$C612&lt;&gt;"",$D612&lt;&gt;"",$E612&lt;&gt;"")),$A612="",$K612&lt;&gt;"Yes"),"",IF($L612&lt;&gt;"",$L612,INDEX(SETUP!$I$1:$I$2000,MATCH(TRUE,SETUP!$J$1:$J$2000,0)+COUNTIFS($A$2:$A612,"&lt;&gt;",$K$2:$K612,"Yes",$L$2:$L612,"")-1)))</f>
        <v/>
      </c>
      <c r="N612" s="22"/>
    </row>
    <row r="613" spans="1:14" x14ac:dyDescent="0.3">
      <c r="A613" s="15" t="str">
        <f>IF(COUNTA($B613:$E613,$K613)=0,"",IF(AND($B613&lt;&gt;"",$C613&lt;&gt;"",$D613&lt;&gt;"",$E613&lt;&gt;""),"TXS"&amp;TEXT(COUNTIFS($B$2:$B613,"&lt;&gt;",$C$2:$C613,"&lt;&gt;",$D$2:$D613,"&lt;&gt;",$E$2:$E613,"&lt;&gt;"),"00000"),""))</f>
        <v/>
      </c>
      <c r="B613" s="16"/>
      <c r="C613" s="20"/>
      <c r="D613" s="20"/>
      <c r="E613" s="23"/>
      <c r="H613" s="19" t="str">
        <f t="shared" si="33"/>
        <v/>
      </c>
      <c r="I613" s="19" t="str">
        <f t="shared" si="32"/>
        <v/>
      </c>
      <c r="J613" s="19" t="str">
        <f t="shared" si="34"/>
        <v/>
      </c>
      <c r="K613" s="20"/>
      <c r="L613" s="21" t="str">
        <f>IF(OR(NOT(AND($B613&lt;&gt;"",$C613&lt;&gt;"",$D613&lt;&gt;"",$E613&lt;&gt;"")),$A613="",$K613&lt;&gt;"Yes"),"",IF($L613&lt;&gt;"",$L613,INDEX(SETUP!$I$1:$I$2000,MATCH(TRUE,SETUP!$J$1:$J$2000,0)+COUNTIFS($A$2:$A613,"&lt;&gt;",$K$2:$K613,"Yes",$L$2:$L613,"")-1)))</f>
        <v/>
      </c>
      <c r="N613" s="22"/>
    </row>
    <row r="614" spans="1:14" x14ac:dyDescent="0.3">
      <c r="A614" s="15" t="str">
        <f>IF(COUNTA($B614:$E614,$K614)=0,"",IF(AND($B614&lt;&gt;"",$C614&lt;&gt;"",$D614&lt;&gt;"",$E614&lt;&gt;""),"TXS"&amp;TEXT(COUNTIFS($B$2:$B614,"&lt;&gt;",$C$2:$C614,"&lt;&gt;",$D$2:$D614,"&lt;&gt;",$E$2:$E614,"&lt;&gt;"),"00000"),""))</f>
        <v/>
      </c>
      <c r="B614" s="16"/>
      <c r="C614" s="20"/>
      <c r="D614" s="20"/>
      <c r="E614" s="23"/>
      <c r="H614" s="19" t="str">
        <f t="shared" si="33"/>
        <v/>
      </c>
      <c r="I614" s="19" t="str">
        <f t="shared" si="32"/>
        <v/>
      </c>
      <c r="J614" s="19" t="str">
        <f t="shared" si="34"/>
        <v/>
      </c>
      <c r="K614" s="20"/>
      <c r="L614" s="21" t="str">
        <f>IF(OR(NOT(AND($B614&lt;&gt;"",$C614&lt;&gt;"",$D614&lt;&gt;"",$E614&lt;&gt;"")),$A614="",$K614&lt;&gt;"Yes"),"",IF($L614&lt;&gt;"",$L614,INDEX(SETUP!$I$1:$I$2000,MATCH(TRUE,SETUP!$J$1:$J$2000,0)+COUNTIFS($A$2:$A614,"&lt;&gt;",$K$2:$K614,"Yes",$L$2:$L614,"")-1)))</f>
        <v/>
      </c>
      <c r="N614" s="22"/>
    </row>
    <row r="615" spans="1:14" x14ac:dyDescent="0.3">
      <c r="A615" s="15" t="str">
        <f>IF(COUNTA($B615:$E615,$K615)=0,"",IF(AND($B615&lt;&gt;"",$C615&lt;&gt;"",$D615&lt;&gt;"",$E615&lt;&gt;""),"TXS"&amp;TEXT(COUNTIFS($B$2:$B615,"&lt;&gt;",$C$2:$C615,"&lt;&gt;",$D$2:$D615,"&lt;&gt;",$E$2:$E615,"&lt;&gt;"),"00000"),""))</f>
        <v/>
      </c>
      <c r="B615" s="16"/>
      <c r="C615" s="20"/>
      <c r="D615" s="20"/>
      <c r="E615" s="23"/>
      <c r="H615" s="19" t="str">
        <f t="shared" si="33"/>
        <v/>
      </c>
      <c r="I615" s="19" t="str">
        <f t="shared" si="32"/>
        <v/>
      </c>
      <c r="J615" s="19" t="str">
        <f t="shared" si="34"/>
        <v/>
      </c>
      <c r="K615" s="20"/>
      <c r="L615" s="21" t="str">
        <f>IF(OR(NOT(AND($B615&lt;&gt;"",$C615&lt;&gt;"",$D615&lt;&gt;"",$E615&lt;&gt;"")),$A615="",$K615&lt;&gt;"Yes"),"",IF($L615&lt;&gt;"",$L615,INDEX(SETUP!$I$1:$I$2000,MATCH(TRUE,SETUP!$J$1:$J$2000,0)+COUNTIFS($A$2:$A615,"&lt;&gt;",$K$2:$K615,"Yes",$L$2:$L615,"")-1)))</f>
        <v/>
      </c>
      <c r="N615" s="22"/>
    </row>
    <row r="616" spans="1:14" x14ac:dyDescent="0.3">
      <c r="A616" s="15" t="str">
        <f>IF(COUNTA($B616:$E616,$K616)=0,"",IF(AND($B616&lt;&gt;"",$C616&lt;&gt;"",$D616&lt;&gt;"",$E616&lt;&gt;""),"TXS"&amp;TEXT(COUNTIFS($B$2:$B616,"&lt;&gt;",$C$2:$C616,"&lt;&gt;",$D$2:$D616,"&lt;&gt;",$E$2:$E616,"&lt;&gt;"),"00000"),""))</f>
        <v/>
      </c>
      <c r="B616" s="16"/>
      <c r="C616" s="20"/>
      <c r="D616" s="20"/>
      <c r="E616" s="23"/>
      <c r="H616" s="19" t="str">
        <f t="shared" si="33"/>
        <v/>
      </c>
      <c r="I616" s="19" t="str">
        <f t="shared" si="32"/>
        <v/>
      </c>
      <c r="J616" s="19" t="str">
        <f t="shared" si="34"/>
        <v/>
      </c>
      <c r="K616" s="20"/>
      <c r="L616" s="21" t="str">
        <f>IF(OR(NOT(AND($B616&lt;&gt;"",$C616&lt;&gt;"",$D616&lt;&gt;"",$E616&lt;&gt;"")),$A616="",$K616&lt;&gt;"Yes"),"",IF($L616&lt;&gt;"",$L616,INDEX(SETUP!$I$1:$I$2000,MATCH(TRUE,SETUP!$J$1:$J$2000,0)+COUNTIFS($A$2:$A616,"&lt;&gt;",$K$2:$K616,"Yes",$L$2:$L616,"")-1)))</f>
        <v/>
      </c>
      <c r="N616" s="22"/>
    </row>
    <row r="617" spans="1:14" x14ac:dyDescent="0.3">
      <c r="A617" s="15" t="str">
        <f>IF(COUNTA($B617:$E617,$K617)=0,"",IF(AND($B617&lt;&gt;"",$C617&lt;&gt;"",$D617&lt;&gt;"",$E617&lt;&gt;""),"TXS"&amp;TEXT(COUNTIFS($B$2:$B617,"&lt;&gt;",$C$2:$C617,"&lt;&gt;",$D$2:$D617,"&lt;&gt;",$E$2:$E617,"&lt;&gt;"),"00000"),""))</f>
        <v/>
      </c>
      <c r="B617" s="16"/>
      <c r="C617" s="20"/>
      <c r="D617" s="20"/>
      <c r="E617" s="23"/>
      <c r="H617" s="19" t="str">
        <f t="shared" si="33"/>
        <v/>
      </c>
      <c r="I617" s="19" t="str">
        <f t="shared" ref="I617:I680" si="35">IF(NOT(AND($B617&lt;&gt;"",$C617&lt;&gt;"",$D617&lt;&gt;"",$E617&lt;&gt;"")),"",IF($A617="","","NIH plate "&amp;INT((VALUE(RIGHT($A617,5))-1)/96)+1&amp;": "&amp;CHAR(65+INT(MOD(VALUE(RIGHT($A617,5))-1,96)/12))&amp;(MOD(VALUE(RIGHT($A617,5))-1,12)+1)))</f>
        <v/>
      </c>
      <c r="J617" s="19" t="str">
        <f t="shared" si="34"/>
        <v/>
      </c>
      <c r="K617" s="20"/>
      <c r="L617" s="21" t="str">
        <f>IF(OR(NOT(AND($B617&lt;&gt;"",$C617&lt;&gt;"",$D617&lt;&gt;"",$E617&lt;&gt;"")),$A617="",$K617&lt;&gt;"Yes"),"",IF($L617&lt;&gt;"",$L617,INDEX(SETUP!$I$1:$I$2000,MATCH(TRUE,SETUP!$J$1:$J$2000,0)+COUNTIFS($A$2:$A617,"&lt;&gt;",$K$2:$K617,"Yes",$L$2:$L617,"")-1)))</f>
        <v/>
      </c>
      <c r="N617" s="22"/>
    </row>
    <row r="618" spans="1:14" x14ac:dyDescent="0.3">
      <c r="A618" s="15" t="str">
        <f>IF(COUNTA($B618:$E618,$K618)=0,"",IF(AND($B618&lt;&gt;"",$C618&lt;&gt;"",$D618&lt;&gt;"",$E618&lt;&gt;""),"TXS"&amp;TEXT(COUNTIFS($B$2:$B618,"&lt;&gt;",$C$2:$C618,"&lt;&gt;",$D$2:$D618,"&lt;&gt;",$E$2:$E618,"&lt;&gt;"),"00000"),""))</f>
        <v/>
      </c>
      <c r="B618" s="16"/>
      <c r="C618" s="20"/>
      <c r="D618" s="20"/>
      <c r="E618" s="23"/>
      <c r="H618" s="19" t="str">
        <f t="shared" si="33"/>
        <v/>
      </c>
      <c r="I618" s="19" t="str">
        <f t="shared" si="35"/>
        <v/>
      </c>
      <c r="J618" s="19" t="str">
        <f t="shared" si="34"/>
        <v/>
      </c>
      <c r="K618" s="20"/>
      <c r="L618" s="21" t="str">
        <f>IF(OR(NOT(AND($B618&lt;&gt;"",$C618&lt;&gt;"",$D618&lt;&gt;"",$E618&lt;&gt;"")),$A618="",$K618&lt;&gt;"Yes"),"",IF($L618&lt;&gt;"",$L618,INDEX(SETUP!$I$1:$I$2000,MATCH(TRUE,SETUP!$J$1:$J$2000,0)+COUNTIFS($A$2:$A618,"&lt;&gt;",$K$2:$K618,"Yes",$L$2:$L618,"")-1)))</f>
        <v/>
      </c>
      <c r="N618" s="22"/>
    </row>
    <row r="619" spans="1:14" x14ac:dyDescent="0.3">
      <c r="A619" s="15" t="str">
        <f>IF(COUNTA($B619:$E619,$K619)=0,"",IF(AND($B619&lt;&gt;"",$C619&lt;&gt;"",$D619&lt;&gt;"",$E619&lt;&gt;""),"TXS"&amp;TEXT(COUNTIFS($B$2:$B619,"&lt;&gt;",$C$2:$C619,"&lt;&gt;",$D$2:$D619,"&lt;&gt;",$E$2:$E619,"&lt;&gt;"),"00000"),""))</f>
        <v/>
      </c>
      <c r="B619" s="16"/>
      <c r="C619" s="20"/>
      <c r="D619" s="20"/>
      <c r="E619" s="23"/>
      <c r="H619" s="19" t="str">
        <f t="shared" si="33"/>
        <v/>
      </c>
      <c r="I619" s="19" t="str">
        <f t="shared" si="35"/>
        <v/>
      </c>
      <c r="J619" s="19" t="str">
        <f t="shared" si="34"/>
        <v/>
      </c>
      <c r="K619" s="20"/>
      <c r="L619" s="21" t="str">
        <f>IF(OR(NOT(AND($B619&lt;&gt;"",$C619&lt;&gt;"",$D619&lt;&gt;"",$E619&lt;&gt;"")),$A619="",$K619&lt;&gt;"Yes"),"",IF($L619&lt;&gt;"",$L619,INDEX(SETUP!$I$1:$I$2000,MATCH(TRUE,SETUP!$J$1:$J$2000,0)+COUNTIFS($A$2:$A619,"&lt;&gt;",$K$2:$K619,"Yes",$L$2:$L619,"")-1)))</f>
        <v/>
      </c>
      <c r="N619" s="22"/>
    </row>
    <row r="620" spans="1:14" x14ac:dyDescent="0.3">
      <c r="A620" s="15" t="str">
        <f>IF(COUNTA($B620:$E620,$K620)=0,"",IF(AND($B620&lt;&gt;"",$C620&lt;&gt;"",$D620&lt;&gt;"",$E620&lt;&gt;""),"TXS"&amp;TEXT(COUNTIFS($B$2:$B620,"&lt;&gt;",$C$2:$C620,"&lt;&gt;",$D$2:$D620,"&lt;&gt;",$E$2:$E620,"&lt;&gt;"),"00000"),""))</f>
        <v/>
      </c>
      <c r="B620" s="16"/>
      <c r="C620" s="20"/>
      <c r="D620" s="20"/>
      <c r="E620" s="23"/>
      <c r="H620" s="19" t="str">
        <f t="shared" si="33"/>
        <v/>
      </c>
      <c r="I620" s="19" t="str">
        <f t="shared" si="35"/>
        <v/>
      </c>
      <c r="J620" s="19" t="str">
        <f t="shared" si="34"/>
        <v/>
      </c>
      <c r="K620" s="20"/>
      <c r="L620" s="21" t="str">
        <f>IF(OR(NOT(AND($B620&lt;&gt;"",$C620&lt;&gt;"",$D620&lt;&gt;"",$E620&lt;&gt;"")),$A620="",$K620&lt;&gt;"Yes"),"",IF($L620&lt;&gt;"",$L620,INDEX(SETUP!$I$1:$I$2000,MATCH(TRUE,SETUP!$J$1:$J$2000,0)+COUNTIFS($A$2:$A620,"&lt;&gt;",$K$2:$K620,"Yes",$L$2:$L620,"")-1)))</f>
        <v/>
      </c>
      <c r="N620" s="22"/>
    </row>
    <row r="621" spans="1:14" x14ac:dyDescent="0.3">
      <c r="A621" s="15" t="str">
        <f>IF(COUNTA($B621:$E621,$K621)=0,"",IF(AND($B621&lt;&gt;"",$C621&lt;&gt;"",$D621&lt;&gt;"",$E621&lt;&gt;""),"TXS"&amp;TEXT(COUNTIFS($B$2:$B621,"&lt;&gt;",$C$2:$C621,"&lt;&gt;",$D$2:$D621,"&lt;&gt;",$E$2:$E621,"&lt;&gt;"),"00000"),""))</f>
        <v/>
      </c>
      <c r="B621" s="16"/>
      <c r="C621" s="20"/>
      <c r="D621" s="20"/>
      <c r="E621" s="23"/>
      <c r="H621" s="19" t="str">
        <f t="shared" si="33"/>
        <v/>
      </c>
      <c r="I621" s="19" t="str">
        <f t="shared" si="35"/>
        <v/>
      </c>
      <c r="J621" s="19" t="str">
        <f t="shared" si="34"/>
        <v/>
      </c>
      <c r="K621" s="20"/>
      <c r="L621" s="21" t="str">
        <f>IF(OR(NOT(AND($B621&lt;&gt;"",$C621&lt;&gt;"",$D621&lt;&gt;"",$E621&lt;&gt;"")),$A621="",$K621&lt;&gt;"Yes"),"",IF($L621&lt;&gt;"",$L621,INDEX(SETUP!$I$1:$I$2000,MATCH(TRUE,SETUP!$J$1:$J$2000,0)+COUNTIFS($A$2:$A621,"&lt;&gt;",$K$2:$K621,"Yes",$L$2:$L621,"")-1)))</f>
        <v/>
      </c>
      <c r="N621" s="22"/>
    </row>
    <row r="622" spans="1:14" x14ac:dyDescent="0.3">
      <c r="A622" s="15" t="str">
        <f>IF(COUNTA($B622:$E622,$K622)=0,"",IF(AND($B622&lt;&gt;"",$C622&lt;&gt;"",$D622&lt;&gt;"",$E622&lt;&gt;""),"TXS"&amp;TEXT(COUNTIFS($B$2:$B622,"&lt;&gt;",$C$2:$C622,"&lt;&gt;",$D$2:$D622,"&lt;&gt;",$E$2:$E622,"&lt;&gt;"),"00000"),""))</f>
        <v/>
      </c>
      <c r="B622" s="16"/>
      <c r="C622" s="20"/>
      <c r="D622" s="20"/>
      <c r="E622" s="23"/>
      <c r="H622" s="19" t="str">
        <f t="shared" si="33"/>
        <v/>
      </c>
      <c r="I622" s="19" t="str">
        <f t="shared" si="35"/>
        <v/>
      </c>
      <c r="J622" s="19" t="str">
        <f t="shared" si="34"/>
        <v/>
      </c>
      <c r="K622" s="20"/>
      <c r="L622" s="21" t="str">
        <f>IF(OR(NOT(AND($B622&lt;&gt;"",$C622&lt;&gt;"",$D622&lt;&gt;"",$E622&lt;&gt;"")),$A622="",$K622&lt;&gt;"Yes"),"",IF($L622&lt;&gt;"",$L622,INDEX(SETUP!$I$1:$I$2000,MATCH(TRUE,SETUP!$J$1:$J$2000,0)+COUNTIFS($A$2:$A622,"&lt;&gt;",$K$2:$K622,"Yes",$L$2:$L622,"")-1)))</f>
        <v/>
      </c>
      <c r="N622" s="22"/>
    </row>
    <row r="623" spans="1:14" x14ac:dyDescent="0.3">
      <c r="A623" s="15" t="str">
        <f>IF(COUNTA($B623:$E623,$K623)=0,"",IF(AND($B623&lt;&gt;"",$C623&lt;&gt;"",$D623&lt;&gt;"",$E623&lt;&gt;""),"TXS"&amp;TEXT(COUNTIFS($B$2:$B623,"&lt;&gt;",$C$2:$C623,"&lt;&gt;",$D$2:$D623,"&lt;&gt;",$E$2:$E623,"&lt;&gt;"),"00000"),""))</f>
        <v/>
      </c>
      <c r="B623" s="16"/>
      <c r="C623" s="20"/>
      <c r="D623" s="20"/>
      <c r="E623" s="23"/>
      <c r="H623" s="19" t="str">
        <f t="shared" ref="H623:H686" si="36">IF(NOT(AND($B623&lt;&gt;"",$C623&lt;&gt;"",$D623&lt;&gt;"",$E623&lt;&gt;"")),"",IF($A623="","","CDI plate "&amp;INT((VALUE(RIGHT($A623,5))-1)/96)+1&amp;": "&amp;CHAR(65+INT(MOD(VALUE(RIGHT($A623,5))-1,96)/12))&amp;(MOD(VALUE(RIGHT($A623,5))-1,12)+1)))</f>
        <v/>
      </c>
      <c r="I623" s="19" t="str">
        <f t="shared" si="35"/>
        <v/>
      </c>
      <c r="J623" s="19" t="str">
        <f t="shared" si="34"/>
        <v/>
      </c>
      <c r="K623" s="20"/>
      <c r="L623" s="21" t="str">
        <f>IF(OR(NOT(AND($B623&lt;&gt;"",$C623&lt;&gt;"",$D623&lt;&gt;"",$E623&lt;&gt;"")),$A623="",$K623&lt;&gt;"Yes"),"",IF($L623&lt;&gt;"",$L623,INDEX(SETUP!$I$1:$I$2000,MATCH(TRUE,SETUP!$J$1:$J$2000,0)+COUNTIFS($A$2:$A623,"&lt;&gt;",$K$2:$K623,"Yes",$L$2:$L623,"")-1)))</f>
        <v/>
      </c>
      <c r="N623" s="22"/>
    </row>
    <row r="624" spans="1:14" x14ac:dyDescent="0.3">
      <c r="A624" s="15" t="str">
        <f>IF(COUNTA($B624:$E624,$K624)=0,"",IF(AND($B624&lt;&gt;"",$C624&lt;&gt;"",$D624&lt;&gt;"",$E624&lt;&gt;""),"TXS"&amp;TEXT(COUNTIFS($B$2:$B624,"&lt;&gt;",$C$2:$C624,"&lt;&gt;",$D$2:$D624,"&lt;&gt;",$E$2:$E624,"&lt;&gt;"),"00000"),""))</f>
        <v/>
      </c>
      <c r="B624" s="16"/>
      <c r="C624" s="20"/>
      <c r="D624" s="20"/>
      <c r="E624" s="23"/>
      <c r="H624" s="19" t="str">
        <f t="shared" si="36"/>
        <v/>
      </c>
      <c r="I624" s="19" t="str">
        <f t="shared" si="35"/>
        <v/>
      </c>
      <c r="J624" s="19" t="str">
        <f t="shared" si="34"/>
        <v/>
      </c>
      <c r="K624" s="20"/>
      <c r="L624" s="21" t="str">
        <f>IF(OR(NOT(AND($B624&lt;&gt;"",$C624&lt;&gt;"",$D624&lt;&gt;"",$E624&lt;&gt;"")),$A624="",$K624&lt;&gt;"Yes"),"",IF($L624&lt;&gt;"",$L624,INDEX(SETUP!$I$1:$I$2000,MATCH(TRUE,SETUP!$J$1:$J$2000,0)+COUNTIFS($A$2:$A624,"&lt;&gt;",$K$2:$K624,"Yes",$L$2:$L624,"")-1)))</f>
        <v/>
      </c>
      <c r="N624" s="22"/>
    </row>
    <row r="625" spans="1:14" x14ac:dyDescent="0.3">
      <c r="A625" s="15" t="str">
        <f>IF(COUNTA($B625:$E625,$K625)=0,"",IF(AND($B625&lt;&gt;"",$C625&lt;&gt;"",$D625&lt;&gt;"",$E625&lt;&gt;""),"TXS"&amp;TEXT(COUNTIFS($B$2:$B625,"&lt;&gt;",$C$2:$C625,"&lt;&gt;",$D$2:$D625,"&lt;&gt;",$E$2:$E625,"&lt;&gt;"),"00000"),""))</f>
        <v/>
      </c>
      <c r="B625" s="16"/>
      <c r="C625" s="20"/>
      <c r="D625" s="20"/>
      <c r="E625" s="23"/>
      <c r="H625" s="19" t="str">
        <f t="shared" si="36"/>
        <v/>
      </c>
      <c r="I625" s="19" t="str">
        <f t="shared" si="35"/>
        <v/>
      </c>
      <c r="J625" s="19" t="str">
        <f t="shared" si="34"/>
        <v/>
      </c>
      <c r="K625" s="20"/>
      <c r="L625" s="21" t="str">
        <f>IF(OR(NOT(AND($B625&lt;&gt;"",$C625&lt;&gt;"",$D625&lt;&gt;"",$E625&lt;&gt;"")),$A625="",$K625&lt;&gt;"Yes"),"",IF($L625&lt;&gt;"",$L625,INDEX(SETUP!$I$1:$I$2000,MATCH(TRUE,SETUP!$J$1:$J$2000,0)+COUNTIFS($A$2:$A625,"&lt;&gt;",$K$2:$K625,"Yes",$L$2:$L625,"")-1)))</f>
        <v/>
      </c>
      <c r="N625" s="22"/>
    </row>
    <row r="626" spans="1:14" x14ac:dyDescent="0.3">
      <c r="A626" s="15" t="str">
        <f>IF(COUNTA($B626:$E626,$K626)=0,"",IF(AND($B626&lt;&gt;"",$C626&lt;&gt;"",$D626&lt;&gt;"",$E626&lt;&gt;""),"TXS"&amp;TEXT(COUNTIFS($B$2:$B626,"&lt;&gt;",$C$2:$C626,"&lt;&gt;",$D$2:$D626,"&lt;&gt;",$E$2:$E626,"&lt;&gt;"),"00000"),""))</f>
        <v/>
      </c>
      <c r="B626" s="16"/>
      <c r="C626" s="20"/>
      <c r="D626" s="20"/>
      <c r="E626" s="23"/>
      <c r="H626" s="19" t="str">
        <f t="shared" si="36"/>
        <v/>
      </c>
      <c r="I626" s="19" t="str">
        <f t="shared" si="35"/>
        <v/>
      </c>
      <c r="J626" s="19" t="str">
        <f t="shared" ref="J626:J689" si="37">IF(NOT(AND($B626&lt;&gt;"",$C626&lt;&gt;"",$D626&lt;&gt;"",$E626&lt;&gt;"")),"",IF($A626="","","Max Planck plate "&amp;INT((VALUE(RIGHT($A626,5))-1)/96)+1&amp;": "&amp;CHAR(65+INT(MOD(VALUE(RIGHT($A626,5))-1,96)/12))&amp;(MOD(VALUE(RIGHT($A626,5))-1,12)+1)))</f>
        <v/>
      </c>
      <c r="K626" s="20"/>
      <c r="L626" s="21" t="str">
        <f>IF(OR(NOT(AND($B626&lt;&gt;"",$C626&lt;&gt;"",$D626&lt;&gt;"",$E626&lt;&gt;"")),$A626="",$K626&lt;&gt;"Yes"),"",IF($L626&lt;&gt;"",$L626,INDEX(SETUP!$I$1:$I$2000,MATCH(TRUE,SETUP!$J$1:$J$2000,0)+COUNTIFS($A$2:$A626,"&lt;&gt;",$K$2:$K626,"Yes",$L$2:$L626,"")-1)))</f>
        <v/>
      </c>
      <c r="N626" s="22"/>
    </row>
    <row r="627" spans="1:14" x14ac:dyDescent="0.3">
      <c r="A627" s="15" t="str">
        <f>IF(COUNTA($B627:$E627,$K627)=0,"",IF(AND($B627&lt;&gt;"",$C627&lt;&gt;"",$D627&lt;&gt;"",$E627&lt;&gt;""),"TXS"&amp;TEXT(COUNTIFS($B$2:$B627,"&lt;&gt;",$C$2:$C627,"&lt;&gt;",$D$2:$D627,"&lt;&gt;",$E$2:$E627,"&lt;&gt;"),"00000"),""))</f>
        <v/>
      </c>
      <c r="B627" s="16"/>
      <c r="C627" s="20"/>
      <c r="D627" s="20"/>
      <c r="E627" s="23"/>
      <c r="H627" s="19" t="str">
        <f t="shared" si="36"/>
        <v/>
      </c>
      <c r="I627" s="19" t="str">
        <f t="shared" si="35"/>
        <v/>
      </c>
      <c r="J627" s="19" t="str">
        <f t="shared" si="37"/>
        <v/>
      </c>
      <c r="K627" s="20"/>
      <c r="L627" s="21" t="str">
        <f>IF(OR(NOT(AND($B627&lt;&gt;"",$C627&lt;&gt;"",$D627&lt;&gt;"",$E627&lt;&gt;"")),$A627="",$K627&lt;&gt;"Yes"),"",IF($L627&lt;&gt;"",$L627,INDEX(SETUP!$I$1:$I$2000,MATCH(TRUE,SETUP!$J$1:$J$2000,0)+COUNTIFS($A$2:$A627,"&lt;&gt;",$K$2:$K627,"Yes",$L$2:$L627,"")-1)))</f>
        <v/>
      </c>
      <c r="N627" s="22"/>
    </row>
    <row r="628" spans="1:14" x14ac:dyDescent="0.3">
      <c r="A628" s="15" t="str">
        <f>IF(COUNTA($B628:$E628,$K628)=0,"",IF(AND($B628&lt;&gt;"",$C628&lt;&gt;"",$D628&lt;&gt;"",$E628&lt;&gt;""),"TXS"&amp;TEXT(COUNTIFS($B$2:$B628,"&lt;&gt;",$C$2:$C628,"&lt;&gt;",$D$2:$D628,"&lt;&gt;",$E$2:$E628,"&lt;&gt;"),"00000"),""))</f>
        <v/>
      </c>
      <c r="B628" s="16"/>
      <c r="C628" s="20"/>
      <c r="D628" s="20"/>
      <c r="E628" s="23"/>
      <c r="H628" s="19" t="str">
        <f t="shared" si="36"/>
        <v/>
      </c>
      <c r="I628" s="19" t="str">
        <f t="shared" si="35"/>
        <v/>
      </c>
      <c r="J628" s="19" t="str">
        <f t="shared" si="37"/>
        <v/>
      </c>
      <c r="K628" s="20"/>
      <c r="L628" s="21" t="str">
        <f>IF(OR(NOT(AND($B628&lt;&gt;"",$C628&lt;&gt;"",$D628&lt;&gt;"",$E628&lt;&gt;"")),$A628="",$K628&lt;&gt;"Yes"),"",IF($L628&lt;&gt;"",$L628,INDEX(SETUP!$I$1:$I$2000,MATCH(TRUE,SETUP!$J$1:$J$2000,0)+COUNTIFS($A$2:$A628,"&lt;&gt;",$K$2:$K628,"Yes",$L$2:$L628,"")-1)))</f>
        <v/>
      </c>
      <c r="N628" s="22"/>
    </row>
    <row r="629" spans="1:14" x14ac:dyDescent="0.3">
      <c r="A629" s="15" t="str">
        <f>IF(COUNTA($B629:$E629,$K629)=0,"",IF(AND($B629&lt;&gt;"",$C629&lt;&gt;"",$D629&lt;&gt;"",$E629&lt;&gt;""),"TXS"&amp;TEXT(COUNTIFS($B$2:$B629,"&lt;&gt;",$C$2:$C629,"&lt;&gt;",$D$2:$D629,"&lt;&gt;",$E$2:$E629,"&lt;&gt;"),"00000"),""))</f>
        <v/>
      </c>
      <c r="B629" s="16"/>
      <c r="C629" s="20"/>
      <c r="D629" s="20"/>
      <c r="E629" s="23"/>
      <c r="H629" s="19" t="str">
        <f t="shared" si="36"/>
        <v/>
      </c>
      <c r="I629" s="19" t="str">
        <f t="shared" si="35"/>
        <v/>
      </c>
      <c r="J629" s="19" t="str">
        <f t="shared" si="37"/>
        <v/>
      </c>
      <c r="K629" s="20"/>
      <c r="L629" s="21" t="str">
        <f>IF(OR(NOT(AND($B629&lt;&gt;"",$C629&lt;&gt;"",$D629&lt;&gt;"",$E629&lt;&gt;"")),$A629="",$K629&lt;&gt;"Yes"),"",IF($L629&lt;&gt;"",$L629,INDEX(SETUP!$I$1:$I$2000,MATCH(TRUE,SETUP!$J$1:$J$2000,0)+COUNTIFS($A$2:$A629,"&lt;&gt;",$K$2:$K629,"Yes",$L$2:$L629,"")-1)))</f>
        <v/>
      </c>
      <c r="N629" s="22"/>
    </row>
    <row r="630" spans="1:14" x14ac:dyDescent="0.3">
      <c r="A630" s="15" t="str">
        <f>IF(COUNTA($B630:$E630,$K630)=0,"",IF(AND($B630&lt;&gt;"",$C630&lt;&gt;"",$D630&lt;&gt;"",$E630&lt;&gt;""),"TXS"&amp;TEXT(COUNTIFS($B$2:$B630,"&lt;&gt;",$C$2:$C630,"&lt;&gt;",$D$2:$D630,"&lt;&gt;",$E$2:$E630,"&lt;&gt;"),"00000"),""))</f>
        <v/>
      </c>
      <c r="B630" s="16"/>
      <c r="C630" s="20"/>
      <c r="D630" s="20"/>
      <c r="E630" s="23"/>
      <c r="H630" s="19" t="str">
        <f t="shared" si="36"/>
        <v/>
      </c>
      <c r="I630" s="19" t="str">
        <f t="shared" si="35"/>
        <v/>
      </c>
      <c r="J630" s="19" t="str">
        <f t="shared" si="37"/>
        <v/>
      </c>
      <c r="K630" s="20"/>
      <c r="L630" s="21" t="str">
        <f>IF(OR(NOT(AND($B630&lt;&gt;"",$C630&lt;&gt;"",$D630&lt;&gt;"",$E630&lt;&gt;"")),$A630="",$K630&lt;&gt;"Yes"),"",IF($L630&lt;&gt;"",$L630,INDEX(SETUP!$I$1:$I$2000,MATCH(TRUE,SETUP!$J$1:$J$2000,0)+COUNTIFS($A$2:$A630,"&lt;&gt;",$K$2:$K630,"Yes",$L$2:$L630,"")-1)))</f>
        <v/>
      </c>
      <c r="N630" s="22"/>
    </row>
    <row r="631" spans="1:14" x14ac:dyDescent="0.3">
      <c r="A631" s="15" t="str">
        <f>IF(COUNTA($B631:$E631,$K631)=0,"",IF(AND($B631&lt;&gt;"",$C631&lt;&gt;"",$D631&lt;&gt;"",$E631&lt;&gt;""),"TXS"&amp;TEXT(COUNTIFS($B$2:$B631,"&lt;&gt;",$C$2:$C631,"&lt;&gt;",$D$2:$D631,"&lt;&gt;",$E$2:$E631,"&lt;&gt;"),"00000"),""))</f>
        <v/>
      </c>
      <c r="B631" s="16"/>
      <c r="C631" s="20"/>
      <c r="D631" s="20"/>
      <c r="E631" s="23"/>
      <c r="H631" s="19" t="str">
        <f t="shared" si="36"/>
        <v/>
      </c>
      <c r="I631" s="19" t="str">
        <f t="shared" si="35"/>
        <v/>
      </c>
      <c r="J631" s="19" t="str">
        <f t="shared" si="37"/>
        <v/>
      </c>
      <c r="K631" s="20"/>
      <c r="L631" s="21" t="str">
        <f>IF(OR(NOT(AND($B631&lt;&gt;"",$C631&lt;&gt;"",$D631&lt;&gt;"",$E631&lt;&gt;"")),$A631="",$K631&lt;&gt;"Yes"),"",IF($L631&lt;&gt;"",$L631,INDEX(SETUP!$I$1:$I$2000,MATCH(TRUE,SETUP!$J$1:$J$2000,0)+COUNTIFS($A$2:$A631,"&lt;&gt;",$K$2:$K631,"Yes",$L$2:$L631,"")-1)))</f>
        <v/>
      </c>
      <c r="N631" s="22"/>
    </row>
    <row r="632" spans="1:14" x14ac:dyDescent="0.3">
      <c r="A632" s="15" t="str">
        <f>IF(COUNTA($B632:$E632,$K632)=0,"",IF(AND($B632&lt;&gt;"",$C632&lt;&gt;"",$D632&lt;&gt;"",$E632&lt;&gt;""),"TXS"&amp;TEXT(COUNTIFS($B$2:$B632,"&lt;&gt;",$C$2:$C632,"&lt;&gt;",$D$2:$D632,"&lt;&gt;",$E$2:$E632,"&lt;&gt;"),"00000"),""))</f>
        <v/>
      </c>
      <c r="B632" s="16"/>
      <c r="C632" s="20"/>
      <c r="D632" s="20"/>
      <c r="E632" s="23"/>
      <c r="H632" s="19" t="str">
        <f t="shared" si="36"/>
        <v/>
      </c>
      <c r="I632" s="19" t="str">
        <f t="shared" si="35"/>
        <v/>
      </c>
      <c r="J632" s="19" t="str">
        <f t="shared" si="37"/>
        <v/>
      </c>
      <c r="K632" s="20"/>
      <c r="L632" s="21" t="str">
        <f>IF(OR(NOT(AND($B632&lt;&gt;"",$C632&lt;&gt;"",$D632&lt;&gt;"",$E632&lt;&gt;"")),$A632="",$K632&lt;&gt;"Yes"),"",IF($L632&lt;&gt;"",$L632,INDEX(SETUP!$I$1:$I$2000,MATCH(TRUE,SETUP!$J$1:$J$2000,0)+COUNTIFS($A$2:$A632,"&lt;&gt;",$K$2:$K632,"Yes",$L$2:$L632,"")-1)))</f>
        <v/>
      </c>
      <c r="N632" s="22"/>
    </row>
    <row r="633" spans="1:14" x14ac:dyDescent="0.3">
      <c r="A633" s="15" t="str">
        <f>IF(COUNTA($B633:$E633,$K633)=0,"",IF(AND($B633&lt;&gt;"",$C633&lt;&gt;"",$D633&lt;&gt;"",$E633&lt;&gt;""),"TXS"&amp;TEXT(COUNTIFS($B$2:$B633,"&lt;&gt;",$C$2:$C633,"&lt;&gt;",$D$2:$D633,"&lt;&gt;",$E$2:$E633,"&lt;&gt;"),"00000"),""))</f>
        <v/>
      </c>
      <c r="B633" s="16"/>
      <c r="C633" s="20"/>
      <c r="D633" s="20"/>
      <c r="E633" s="23"/>
      <c r="H633" s="19" t="str">
        <f t="shared" si="36"/>
        <v/>
      </c>
      <c r="I633" s="19" t="str">
        <f t="shared" si="35"/>
        <v/>
      </c>
      <c r="J633" s="19" t="str">
        <f t="shared" si="37"/>
        <v/>
      </c>
      <c r="K633" s="20"/>
      <c r="L633" s="21" t="str">
        <f>IF(OR(NOT(AND($B633&lt;&gt;"",$C633&lt;&gt;"",$D633&lt;&gt;"",$E633&lt;&gt;"")),$A633="",$K633&lt;&gt;"Yes"),"",IF($L633&lt;&gt;"",$L633,INDEX(SETUP!$I$1:$I$2000,MATCH(TRUE,SETUP!$J$1:$J$2000,0)+COUNTIFS($A$2:$A633,"&lt;&gt;",$K$2:$K633,"Yes",$L$2:$L633,"")-1)))</f>
        <v/>
      </c>
      <c r="N633" s="22"/>
    </row>
    <row r="634" spans="1:14" x14ac:dyDescent="0.3">
      <c r="A634" s="15" t="str">
        <f>IF(COUNTA($B634:$E634,$K634)=0,"",IF(AND($B634&lt;&gt;"",$C634&lt;&gt;"",$D634&lt;&gt;"",$E634&lt;&gt;""),"TXS"&amp;TEXT(COUNTIFS($B$2:$B634,"&lt;&gt;",$C$2:$C634,"&lt;&gt;",$D$2:$D634,"&lt;&gt;",$E$2:$E634,"&lt;&gt;"),"00000"),""))</f>
        <v/>
      </c>
      <c r="B634" s="16"/>
      <c r="C634" s="20"/>
      <c r="D634" s="20"/>
      <c r="E634" s="23"/>
      <c r="H634" s="19" t="str">
        <f t="shared" si="36"/>
        <v/>
      </c>
      <c r="I634" s="19" t="str">
        <f t="shared" si="35"/>
        <v/>
      </c>
      <c r="J634" s="19" t="str">
        <f t="shared" si="37"/>
        <v/>
      </c>
      <c r="K634" s="20"/>
      <c r="L634" s="21" t="str">
        <f>IF(OR(NOT(AND($B634&lt;&gt;"",$C634&lt;&gt;"",$D634&lt;&gt;"",$E634&lt;&gt;"")),$A634="",$K634&lt;&gt;"Yes"),"",IF($L634&lt;&gt;"",$L634,INDEX(SETUP!$I$1:$I$2000,MATCH(TRUE,SETUP!$J$1:$J$2000,0)+COUNTIFS($A$2:$A634,"&lt;&gt;",$K$2:$K634,"Yes",$L$2:$L634,"")-1)))</f>
        <v/>
      </c>
      <c r="N634" s="22"/>
    </row>
    <row r="635" spans="1:14" x14ac:dyDescent="0.3">
      <c r="A635" s="15" t="str">
        <f>IF(COUNTA($B635:$E635,$K635)=0,"",IF(AND($B635&lt;&gt;"",$C635&lt;&gt;"",$D635&lt;&gt;"",$E635&lt;&gt;""),"TXS"&amp;TEXT(COUNTIFS($B$2:$B635,"&lt;&gt;",$C$2:$C635,"&lt;&gt;",$D$2:$D635,"&lt;&gt;",$E$2:$E635,"&lt;&gt;"),"00000"),""))</f>
        <v/>
      </c>
      <c r="B635" s="16"/>
      <c r="C635" s="20"/>
      <c r="D635" s="20"/>
      <c r="E635" s="23"/>
      <c r="H635" s="19" t="str">
        <f t="shared" si="36"/>
        <v/>
      </c>
      <c r="I635" s="19" t="str">
        <f t="shared" si="35"/>
        <v/>
      </c>
      <c r="J635" s="19" t="str">
        <f t="shared" si="37"/>
        <v/>
      </c>
      <c r="K635" s="20"/>
      <c r="L635" s="21" t="str">
        <f>IF(OR(NOT(AND($B635&lt;&gt;"",$C635&lt;&gt;"",$D635&lt;&gt;"",$E635&lt;&gt;"")),$A635="",$K635&lt;&gt;"Yes"),"",IF($L635&lt;&gt;"",$L635,INDEX(SETUP!$I$1:$I$2000,MATCH(TRUE,SETUP!$J$1:$J$2000,0)+COUNTIFS($A$2:$A635,"&lt;&gt;",$K$2:$K635,"Yes",$L$2:$L635,"")-1)))</f>
        <v/>
      </c>
      <c r="N635" s="22"/>
    </row>
    <row r="636" spans="1:14" x14ac:dyDescent="0.3">
      <c r="A636" s="15" t="str">
        <f>IF(COUNTA($B636:$E636,$K636)=0,"",IF(AND($B636&lt;&gt;"",$C636&lt;&gt;"",$D636&lt;&gt;"",$E636&lt;&gt;""),"TXS"&amp;TEXT(COUNTIFS($B$2:$B636,"&lt;&gt;",$C$2:$C636,"&lt;&gt;",$D$2:$D636,"&lt;&gt;",$E$2:$E636,"&lt;&gt;"),"00000"),""))</f>
        <v/>
      </c>
      <c r="B636" s="16"/>
      <c r="C636" s="20"/>
      <c r="D636" s="20"/>
      <c r="E636" s="23"/>
      <c r="H636" s="19" t="str">
        <f t="shared" si="36"/>
        <v/>
      </c>
      <c r="I636" s="19" t="str">
        <f t="shared" si="35"/>
        <v/>
      </c>
      <c r="J636" s="19" t="str">
        <f t="shared" si="37"/>
        <v/>
      </c>
      <c r="K636" s="20"/>
      <c r="L636" s="21" t="str">
        <f>IF(OR(NOT(AND($B636&lt;&gt;"",$C636&lt;&gt;"",$D636&lt;&gt;"",$E636&lt;&gt;"")),$A636="",$K636&lt;&gt;"Yes"),"",IF($L636&lt;&gt;"",$L636,INDEX(SETUP!$I$1:$I$2000,MATCH(TRUE,SETUP!$J$1:$J$2000,0)+COUNTIFS($A$2:$A636,"&lt;&gt;",$K$2:$K636,"Yes",$L$2:$L636,"")-1)))</f>
        <v/>
      </c>
      <c r="N636" s="22"/>
    </row>
    <row r="637" spans="1:14" x14ac:dyDescent="0.3">
      <c r="A637" s="15" t="str">
        <f>IF(COUNTA($B637:$E637,$K637)=0,"",IF(AND($B637&lt;&gt;"",$C637&lt;&gt;"",$D637&lt;&gt;"",$E637&lt;&gt;""),"TXS"&amp;TEXT(COUNTIFS($B$2:$B637,"&lt;&gt;",$C$2:$C637,"&lt;&gt;",$D$2:$D637,"&lt;&gt;",$E$2:$E637,"&lt;&gt;"),"00000"),""))</f>
        <v/>
      </c>
      <c r="B637" s="16"/>
      <c r="C637" s="20"/>
      <c r="D637" s="20"/>
      <c r="E637" s="23"/>
      <c r="H637" s="19" t="str">
        <f t="shared" si="36"/>
        <v/>
      </c>
      <c r="I637" s="19" t="str">
        <f t="shared" si="35"/>
        <v/>
      </c>
      <c r="J637" s="19" t="str">
        <f t="shared" si="37"/>
        <v/>
      </c>
      <c r="K637" s="20"/>
      <c r="L637" s="21" t="str">
        <f>IF(OR(NOT(AND($B637&lt;&gt;"",$C637&lt;&gt;"",$D637&lt;&gt;"",$E637&lt;&gt;"")),$A637="",$K637&lt;&gt;"Yes"),"",IF($L637&lt;&gt;"",$L637,INDEX(SETUP!$I$1:$I$2000,MATCH(TRUE,SETUP!$J$1:$J$2000,0)+COUNTIFS($A$2:$A637,"&lt;&gt;",$K$2:$K637,"Yes",$L$2:$L637,"")-1)))</f>
        <v/>
      </c>
      <c r="N637" s="22"/>
    </row>
    <row r="638" spans="1:14" x14ac:dyDescent="0.3">
      <c r="A638" s="15" t="str">
        <f>IF(COUNTA($B638:$E638,$K638)=0,"",IF(AND($B638&lt;&gt;"",$C638&lt;&gt;"",$D638&lt;&gt;"",$E638&lt;&gt;""),"TXS"&amp;TEXT(COUNTIFS($B$2:$B638,"&lt;&gt;",$C$2:$C638,"&lt;&gt;",$D$2:$D638,"&lt;&gt;",$E$2:$E638,"&lt;&gt;"),"00000"),""))</f>
        <v/>
      </c>
      <c r="B638" s="16"/>
      <c r="C638" s="20"/>
      <c r="D638" s="20"/>
      <c r="E638" s="23"/>
      <c r="H638" s="19" t="str">
        <f t="shared" si="36"/>
        <v/>
      </c>
      <c r="I638" s="19" t="str">
        <f t="shared" si="35"/>
        <v/>
      </c>
      <c r="J638" s="19" t="str">
        <f t="shared" si="37"/>
        <v/>
      </c>
      <c r="K638" s="20"/>
      <c r="L638" s="21" t="str">
        <f>IF(OR(NOT(AND($B638&lt;&gt;"",$C638&lt;&gt;"",$D638&lt;&gt;"",$E638&lt;&gt;"")),$A638="",$K638&lt;&gt;"Yes"),"",IF($L638&lt;&gt;"",$L638,INDEX(SETUP!$I$1:$I$2000,MATCH(TRUE,SETUP!$J$1:$J$2000,0)+COUNTIFS($A$2:$A638,"&lt;&gt;",$K$2:$K638,"Yes",$L$2:$L638,"")-1)))</f>
        <v/>
      </c>
      <c r="N638" s="22"/>
    </row>
    <row r="639" spans="1:14" x14ac:dyDescent="0.3">
      <c r="A639" s="15" t="str">
        <f>IF(COUNTA($B639:$E639,$K639)=0,"",IF(AND($B639&lt;&gt;"",$C639&lt;&gt;"",$D639&lt;&gt;"",$E639&lt;&gt;""),"TXS"&amp;TEXT(COUNTIFS($B$2:$B639,"&lt;&gt;",$C$2:$C639,"&lt;&gt;",$D$2:$D639,"&lt;&gt;",$E$2:$E639,"&lt;&gt;"),"00000"),""))</f>
        <v/>
      </c>
      <c r="B639" s="16"/>
      <c r="C639" s="20"/>
      <c r="D639" s="20"/>
      <c r="E639" s="23"/>
      <c r="H639" s="19" t="str">
        <f t="shared" si="36"/>
        <v/>
      </c>
      <c r="I639" s="19" t="str">
        <f t="shared" si="35"/>
        <v/>
      </c>
      <c r="J639" s="19" t="str">
        <f t="shared" si="37"/>
        <v/>
      </c>
      <c r="K639" s="20"/>
      <c r="L639" s="21" t="str">
        <f>IF(OR(NOT(AND($B639&lt;&gt;"",$C639&lt;&gt;"",$D639&lt;&gt;"",$E639&lt;&gt;"")),$A639="",$K639&lt;&gt;"Yes"),"",IF($L639&lt;&gt;"",$L639,INDEX(SETUP!$I$1:$I$2000,MATCH(TRUE,SETUP!$J$1:$J$2000,0)+COUNTIFS($A$2:$A639,"&lt;&gt;",$K$2:$K639,"Yes",$L$2:$L639,"")-1)))</f>
        <v/>
      </c>
      <c r="N639" s="22"/>
    </row>
    <row r="640" spans="1:14" x14ac:dyDescent="0.3">
      <c r="A640" s="15" t="str">
        <f>IF(COUNTA($B640:$E640,$K640)=0,"",IF(AND($B640&lt;&gt;"",$C640&lt;&gt;"",$D640&lt;&gt;"",$E640&lt;&gt;""),"TXS"&amp;TEXT(COUNTIFS($B$2:$B640,"&lt;&gt;",$C$2:$C640,"&lt;&gt;",$D$2:$D640,"&lt;&gt;",$E$2:$E640,"&lt;&gt;"),"00000"),""))</f>
        <v/>
      </c>
      <c r="B640" s="16"/>
      <c r="C640" s="20"/>
      <c r="D640" s="20"/>
      <c r="E640" s="23"/>
      <c r="H640" s="19" t="str">
        <f t="shared" si="36"/>
        <v/>
      </c>
      <c r="I640" s="19" t="str">
        <f t="shared" si="35"/>
        <v/>
      </c>
      <c r="J640" s="19" t="str">
        <f t="shared" si="37"/>
        <v/>
      </c>
      <c r="K640" s="20"/>
      <c r="L640" s="21" t="str">
        <f>IF(OR(NOT(AND($B640&lt;&gt;"",$C640&lt;&gt;"",$D640&lt;&gt;"",$E640&lt;&gt;"")),$A640="",$K640&lt;&gt;"Yes"),"",IF($L640&lt;&gt;"",$L640,INDEX(SETUP!$I$1:$I$2000,MATCH(TRUE,SETUP!$J$1:$J$2000,0)+COUNTIFS($A$2:$A640,"&lt;&gt;",$K$2:$K640,"Yes",$L$2:$L640,"")-1)))</f>
        <v/>
      </c>
      <c r="N640" s="22"/>
    </row>
    <row r="641" spans="1:14" x14ac:dyDescent="0.3">
      <c r="A641" s="15" t="str">
        <f>IF(COUNTA($B641:$E641,$K641)=0,"",IF(AND($B641&lt;&gt;"",$C641&lt;&gt;"",$D641&lt;&gt;"",$E641&lt;&gt;""),"TXS"&amp;TEXT(COUNTIFS($B$2:$B641,"&lt;&gt;",$C$2:$C641,"&lt;&gt;",$D$2:$D641,"&lt;&gt;",$E$2:$E641,"&lt;&gt;"),"00000"),""))</f>
        <v/>
      </c>
      <c r="B641" s="16"/>
      <c r="C641" s="20"/>
      <c r="D641" s="20"/>
      <c r="E641" s="23"/>
      <c r="H641" s="19" t="str">
        <f t="shared" si="36"/>
        <v/>
      </c>
      <c r="I641" s="19" t="str">
        <f t="shared" si="35"/>
        <v/>
      </c>
      <c r="J641" s="19" t="str">
        <f t="shared" si="37"/>
        <v/>
      </c>
      <c r="K641" s="20"/>
      <c r="L641" s="21" t="str">
        <f>IF(OR(NOT(AND($B641&lt;&gt;"",$C641&lt;&gt;"",$D641&lt;&gt;"",$E641&lt;&gt;"")),$A641="",$K641&lt;&gt;"Yes"),"",IF($L641&lt;&gt;"",$L641,INDEX(SETUP!$I$1:$I$2000,MATCH(TRUE,SETUP!$J$1:$J$2000,0)+COUNTIFS($A$2:$A641,"&lt;&gt;",$K$2:$K641,"Yes",$L$2:$L641,"")-1)))</f>
        <v/>
      </c>
      <c r="N641" s="22"/>
    </row>
    <row r="642" spans="1:14" x14ac:dyDescent="0.3">
      <c r="A642" s="15" t="str">
        <f>IF(COUNTA($B642:$E642,$K642)=0,"",IF(AND($B642&lt;&gt;"",$C642&lt;&gt;"",$D642&lt;&gt;"",$E642&lt;&gt;""),"TXS"&amp;TEXT(COUNTIFS($B$2:$B642,"&lt;&gt;",$C$2:$C642,"&lt;&gt;",$D$2:$D642,"&lt;&gt;",$E$2:$E642,"&lt;&gt;"),"00000"),""))</f>
        <v/>
      </c>
      <c r="B642" s="16"/>
      <c r="C642" s="20"/>
      <c r="D642" s="20"/>
      <c r="E642" s="23"/>
      <c r="H642" s="19" t="str">
        <f t="shared" si="36"/>
        <v/>
      </c>
      <c r="I642" s="19" t="str">
        <f t="shared" si="35"/>
        <v/>
      </c>
      <c r="J642" s="19" t="str">
        <f t="shared" si="37"/>
        <v/>
      </c>
      <c r="K642" s="20"/>
      <c r="L642" s="21" t="str">
        <f>IF(OR(NOT(AND($B642&lt;&gt;"",$C642&lt;&gt;"",$D642&lt;&gt;"",$E642&lt;&gt;"")),$A642="",$K642&lt;&gt;"Yes"),"",IF($L642&lt;&gt;"",$L642,INDEX(SETUP!$I$1:$I$2000,MATCH(TRUE,SETUP!$J$1:$J$2000,0)+COUNTIFS($A$2:$A642,"&lt;&gt;",$K$2:$K642,"Yes",$L$2:$L642,"")-1)))</f>
        <v/>
      </c>
      <c r="N642" s="22"/>
    </row>
    <row r="643" spans="1:14" x14ac:dyDescent="0.3">
      <c r="A643" s="15" t="str">
        <f>IF(COUNTA($B643:$E643,$K643)=0,"",IF(AND($B643&lt;&gt;"",$C643&lt;&gt;"",$D643&lt;&gt;"",$E643&lt;&gt;""),"TXS"&amp;TEXT(COUNTIFS($B$2:$B643,"&lt;&gt;",$C$2:$C643,"&lt;&gt;",$D$2:$D643,"&lt;&gt;",$E$2:$E643,"&lt;&gt;"),"00000"),""))</f>
        <v/>
      </c>
      <c r="B643" s="16"/>
      <c r="C643" s="20"/>
      <c r="D643" s="20"/>
      <c r="E643" s="23"/>
      <c r="H643" s="19" t="str">
        <f t="shared" si="36"/>
        <v/>
      </c>
      <c r="I643" s="19" t="str">
        <f t="shared" si="35"/>
        <v/>
      </c>
      <c r="J643" s="19" t="str">
        <f t="shared" si="37"/>
        <v/>
      </c>
      <c r="K643" s="20"/>
      <c r="L643" s="21" t="str">
        <f>IF(OR(NOT(AND($B643&lt;&gt;"",$C643&lt;&gt;"",$D643&lt;&gt;"",$E643&lt;&gt;"")),$A643="",$K643&lt;&gt;"Yes"),"",IF($L643&lt;&gt;"",$L643,INDEX(SETUP!$I$1:$I$2000,MATCH(TRUE,SETUP!$J$1:$J$2000,0)+COUNTIFS($A$2:$A643,"&lt;&gt;",$K$2:$K643,"Yes",$L$2:$L643,"")-1)))</f>
        <v/>
      </c>
      <c r="N643" s="22"/>
    </row>
    <row r="644" spans="1:14" x14ac:dyDescent="0.3">
      <c r="A644" s="15" t="str">
        <f>IF(COUNTA($B644:$E644,$K644)=0,"",IF(AND($B644&lt;&gt;"",$C644&lt;&gt;"",$D644&lt;&gt;"",$E644&lt;&gt;""),"TXS"&amp;TEXT(COUNTIFS($B$2:$B644,"&lt;&gt;",$C$2:$C644,"&lt;&gt;",$D$2:$D644,"&lt;&gt;",$E$2:$E644,"&lt;&gt;"),"00000"),""))</f>
        <v/>
      </c>
      <c r="B644" s="16"/>
      <c r="C644" s="20"/>
      <c r="D644" s="20"/>
      <c r="E644" s="23"/>
      <c r="H644" s="19" t="str">
        <f t="shared" si="36"/>
        <v/>
      </c>
      <c r="I644" s="19" t="str">
        <f t="shared" si="35"/>
        <v/>
      </c>
      <c r="J644" s="19" t="str">
        <f t="shared" si="37"/>
        <v/>
      </c>
      <c r="K644" s="20"/>
      <c r="L644" s="21" t="str">
        <f>IF(OR(NOT(AND($B644&lt;&gt;"",$C644&lt;&gt;"",$D644&lt;&gt;"",$E644&lt;&gt;"")),$A644="",$K644&lt;&gt;"Yes"),"",IF($L644&lt;&gt;"",$L644,INDEX(SETUP!$I$1:$I$2000,MATCH(TRUE,SETUP!$J$1:$J$2000,0)+COUNTIFS($A$2:$A644,"&lt;&gt;",$K$2:$K644,"Yes",$L$2:$L644,"")-1)))</f>
        <v/>
      </c>
      <c r="N644" s="22"/>
    </row>
    <row r="645" spans="1:14" x14ac:dyDescent="0.3">
      <c r="A645" s="15" t="str">
        <f>IF(COUNTA($B645:$E645,$K645)=0,"",IF(AND($B645&lt;&gt;"",$C645&lt;&gt;"",$D645&lt;&gt;"",$E645&lt;&gt;""),"TXS"&amp;TEXT(COUNTIFS($B$2:$B645,"&lt;&gt;",$C$2:$C645,"&lt;&gt;",$D$2:$D645,"&lt;&gt;",$E$2:$E645,"&lt;&gt;"),"00000"),""))</f>
        <v/>
      </c>
      <c r="B645" s="16"/>
      <c r="C645" s="20"/>
      <c r="D645" s="20"/>
      <c r="E645" s="23"/>
      <c r="H645" s="19" t="str">
        <f t="shared" si="36"/>
        <v/>
      </c>
      <c r="I645" s="19" t="str">
        <f t="shared" si="35"/>
        <v/>
      </c>
      <c r="J645" s="19" t="str">
        <f t="shared" si="37"/>
        <v/>
      </c>
      <c r="K645" s="20"/>
      <c r="L645" s="21" t="str">
        <f>IF(OR(NOT(AND($B645&lt;&gt;"",$C645&lt;&gt;"",$D645&lt;&gt;"",$E645&lt;&gt;"")),$A645="",$K645&lt;&gt;"Yes"),"",IF($L645&lt;&gt;"",$L645,INDEX(SETUP!$I$1:$I$2000,MATCH(TRUE,SETUP!$J$1:$J$2000,0)+COUNTIFS($A$2:$A645,"&lt;&gt;",$K$2:$K645,"Yes",$L$2:$L645,"")-1)))</f>
        <v/>
      </c>
      <c r="N645" s="22"/>
    </row>
    <row r="646" spans="1:14" x14ac:dyDescent="0.3">
      <c r="A646" s="15" t="str">
        <f>IF(COUNTA($B646:$E646,$K646)=0,"",IF(AND($B646&lt;&gt;"",$C646&lt;&gt;"",$D646&lt;&gt;"",$E646&lt;&gt;""),"TXS"&amp;TEXT(COUNTIFS($B$2:$B646,"&lt;&gt;",$C$2:$C646,"&lt;&gt;",$D$2:$D646,"&lt;&gt;",$E$2:$E646,"&lt;&gt;"),"00000"),""))</f>
        <v/>
      </c>
      <c r="B646" s="16"/>
      <c r="C646" s="20"/>
      <c r="D646" s="20"/>
      <c r="E646" s="23"/>
      <c r="H646" s="19" t="str">
        <f t="shared" si="36"/>
        <v/>
      </c>
      <c r="I646" s="19" t="str">
        <f t="shared" si="35"/>
        <v/>
      </c>
      <c r="J646" s="19" t="str">
        <f t="shared" si="37"/>
        <v/>
      </c>
      <c r="K646" s="20"/>
      <c r="L646" s="21" t="str">
        <f>IF(OR(NOT(AND($B646&lt;&gt;"",$C646&lt;&gt;"",$D646&lt;&gt;"",$E646&lt;&gt;"")),$A646="",$K646&lt;&gt;"Yes"),"",IF($L646&lt;&gt;"",$L646,INDEX(SETUP!$I$1:$I$2000,MATCH(TRUE,SETUP!$J$1:$J$2000,0)+COUNTIFS($A$2:$A646,"&lt;&gt;",$K$2:$K646,"Yes",$L$2:$L646,"")-1)))</f>
        <v/>
      </c>
      <c r="N646" s="22"/>
    </row>
    <row r="647" spans="1:14" x14ac:dyDescent="0.3">
      <c r="A647" s="15" t="str">
        <f>IF(COUNTA($B647:$E647,$K647)=0,"",IF(AND($B647&lt;&gt;"",$C647&lt;&gt;"",$D647&lt;&gt;"",$E647&lt;&gt;""),"TXS"&amp;TEXT(COUNTIFS($B$2:$B647,"&lt;&gt;",$C$2:$C647,"&lt;&gt;",$D$2:$D647,"&lt;&gt;",$E$2:$E647,"&lt;&gt;"),"00000"),""))</f>
        <v/>
      </c>
      <c r="B647" s="16"/>
      <c r="C647" s="20"/>
      <c r="D647" s="20"/>
      <c r="E647" s="23"/>
      <c r="H647" s="19" t="str">
        <f t="shared" si="36"/>
        <v/>
      </c>
      <c r="I647" s="19" t="str">
        <f t="shared" si="35"/>
        <v/>
      </c>
      <c r="J647" s="19" t="str">
        <f t="shared" si="37"/>
        <v/>
      </c>
      <c r="K647" s="20"/>
      <c r="L647" s="21" t="str">
        <f>IF(OR(NOT(AND($B647&lt;&gt;"",$C647&lt;&gt;"",$D647&lt;&gt;"",$E647&lt;&gt;"")),$A647="",$K647&lt;&gt;"Yes"),"",IF($L647&lt;&gt;"",$L647,INDEX(SETUP!$I$1:$I$2000,MATCH(TRUE,SETUP!$J$1:$J$2000,0)+COUNTIFS($A$2:$A647,"&lt;&gt;",$K$2:$K647,"Yes",$L$2:$L647,"")-1)))</f>
        <v/>
      </c>
      <c r="N647" s="22"/>
    </row>
    <row r="648" spans="1:14" x14ac:dyDescent="0.3">
      <c r="A648" s="15" t="str">
        <f>IF(COUNTA($B648:$E648,$K648)=0,"",IF(AND($B648&lt;&gt;"",$C648&lt;&gt;"",$D648&lt;&gt;"",$E648&lt;&gt;""),"TXS"&amp;TEXT(COUNTIFS($B$2:$B648,"&lt;&gt;",$C$2:$C648,"&lt;&gt;",$D$2:$D648,"&lt;&gt;",$E$2:$E648,"&lt;&gt;"),"00000"),""))</f>
        <v/>
      </c>
      <c r="B648" s="16"/>
      <c r="C648" s="20"/>
      <c r="D648" s="20"/>
      <c r="E648" s="23"/>
      <c r="H648" s="19" t="str">
        <f t="shared" si="36"/>
        <v/>
      </c>
      <c r="I648" s="19" t="str">
        <f t="shared" si="35"/>
        <v/>
      </c>
      <c r="J648" s="19" t="str">
        <f t="shared" si="37"/>
        <v/>
      </c>
      <c r="K648" s="20"/>
      <c r="L648" s="21" t="str">
        <f>IF(OR(NOT(AND($B648&lt;&gt;"",$C648&lt;&gt;"",$D648&lt;&gt;"",$E648&lt;&gt;"")),$A648="",$K648&lt;&gt;"Yes"),"",IF($L648&lt;&gt;"",$L648,INDEX(SETUP!$I$1:$I$2000,MATCH(TRUE,SETUP!$J$1:$J$2000,0)+COUNTIFS($A$2:$A648,"&lt;&gt;",$K$2:$K648,"Yes",$L$2:$L648,"")-1)))</f>
        <v/>
      </c>
      <c r="N648" s="22"/>
    </row>
    <row r="649" spans="1:14" x14ac:dyDescent="0.3">
      <c r="A649" s="15" t="str">
        <f>IF(COUNTA($B649:$E649,$K649)=0,"",IF(AND($B649&lt;&gt;"",$C649&lt;&gt;"",$D649&lt;&gt;"",$E649&lt;&gt;""),"TXS"&amp;TEXT(COUNTIFS($B$2:$B649,"&lt;&gt;",$C$2:$C649,"&lt;&gt;",$D$2:$D649,"&lt;&gt;",$E$2:$E649,"&lt;&gt;"),"00000"),""))</f>
        <v/>
      </c>
      <c r="B649" s="16"/>
      <c r="C649" s="20"/>
      <c r="D649" s="20"/>
      <c r="E649" s="23"/>
      <c r="H649" s="19" t="str">
        <f t="shared" si="36"/>
        <v/>
      </c>
      <c r="I649" s="19" t="str">
        <f t="shared" si="35"/>
        <v/>
      </c>
      <c r="J649" s="19" t="str">
        <f t="shared" si="37"/>
        <v/>
      </c>
      <c r="K649" s="20"/>
      <c r="L649" s="21" t="str">
        <f>IF(OR(NOT(AND($B649&lt;&gt;"",$C649&lt;&gt;"",$D649&lt;&gt;"",$E649&lt;&gt;"")),$A649="",$K649&lt;&gt;"Yes"),"",IF($L649&lt;&gt;"",$L649,INDEX(SETUP!$I$1:$I$2000,MATCH(TRUE,SETUP!$J$1:$J$2000,0)+COUNTIFS($A$2:$A649,"&lt;&gt;",$K$2:$K649,"Yes",$L$2:$L649,"")-1)))</f>
        <v/>
      </c>
      <c r="N649" s="22"/>
    </row>
    <row r="650" spans="1:14" x14ac:dyDescent="0.3">
      <c r="A650" s="15" t="str">
        <f>IF(COUNTA($B650:$E650,$K650)=0,"",IF(AND($B650&lt;&gt;"",$C650&lt;&gt;"",$D650&lt;&gt;"",$E650&lt;&gt;""),"TXS"&amp;TEXT(COUNTIFS($B$2:$B650,"&lt;&gt;",$C$2:$C650,"&lt;&gt;",$D$2:$D650,"&lt;&gt;",$E$2:$E650,"&lt;&gt;"),"00000"),""))</f>
        <v/>
      </c>
      <c r="B650" s="16"/>
      <c r="C650" s="20"/>
      <c r="D650" s="20"/>
      <c r="E650" s="23"/>
      <c r="H650" s="19" t="str">
        <f t="shared" si="36"/>
        <v/>
      </c>
      <c r="I650" s="19" t="str">
        <f t="shared" si="35"/>
        <v/>
      </c>
      <c r="J650" s="19" t="str">
        <f t="shared" si="37"/>
        <v/>
      </c>
      <c r="K650" s="20"/>
      <c r="L650" s="21" t="str">
        <f>IF(OR(NOT(AND($B650&lt;&gt;"",$C650&lt;&gt;"",$D650&lt;&gt;"",$E650&lt;&gt;"")),$A650="",$K650&lt;&gt;"Yes"),"",IF($L650&lt;&gt;"",$L650,INDEX(SETUP!$I$1:$I$2000,MATCH(TRUE,SETUP!$J$1:$J$2000,0)+COUNTIFS($A$2:$A650,"&lt;&gt;",$K$2:$K650,"Yes",$L$2:$L650,"")-1)))</f>
        <v/>
      </c>
      <c r="N650" s="22"/>
    </row>
    <row r="651" spans="1:14" x14ac:dyDescent="0.3">
      <c r="A651" s="15" t="str">
        <f>IF(COUNTA($B651:$E651,$K651)=0,"",IF(AND($B651&lt;&gt;"",$C651&lt;&gt;"",$D651&lt;&gt;"",$E651&lt;&gt;""),"TXS"&amp;TEXT(COUNTIFS($B$2:$B651,"&lt;&gt;",$C$2:$C651,"&lt;&gt;",$D$2:$D651,"&lt;&gt;",$E$2:$E651,"&lt;&gt;"),"00000"),""))</f>
        <v/>
      </c>
      <c r="B651" s="16"/>
      <c r="C651" s="20"/>
      <c r="D651" s="20"/>
      <c r="E651" s="23"/>
      <c r="H651" s="19" t="str">
        <f t="shared" si="36"/>
        <v/>
      </c>
      <c r="I651" s="19" t="str">
        <f t="shared" si="35"/>
        <v/>
      </c>
      <c r="J651" s="19" t="str">
        <f t="shared" si="37"/>
        <v/>
      </c>
      <c r="K651" s="20"/>
      <c r="L651" s="21" t="str">
        <f>IF(OR(NOT(AND($B651&lt;&gt;"",$C651&lt;&gt;"",$D651&lt;&gt;"",$E651&lt;&gt;"")),$A651="",$K651&lt;&gt;"Yes"),"",IF($L651&lt;&gt;"",$L651,INDEX(SETUP!$I$1:$I$2000,MATCH(TRUE,SETUP!$J$1:$J$2000,0)+COUNTIFS($A$2:$A651,"&lt;&gt;",$K$2:$K651,"Yes",$L$2:$L651,"")-1)))</f>
        <v/>
      </c>
      <c r="N651" s="22"/>
    </row>
    <row r="652" spans="1:14" x14ac:dyDescent="0.3">
      <c r="A652" s="15" t="str">
        <f>IF(COUNTA($B652:$E652,$K652)=0,"",IF(AND($B652&lt;&gt;"",$C652&lt;&gt;"",$D652&lt;&gt;"",$E652&lt;&gt;""),"TXS"&amp;TEXT(COUNTIFS($B$2:$B652,"&lt;&gt;",$C$2:$C652,"&lt;&gt;",$D$2:$D652,"&lt;&gt;",$E$2:$E652,"&lt;&gt;"),"00000"),""))</f>
        <v/>
      </c>
      <c r="B652" s="16"/>
      <c r="C652" s="20"/>
      <c r="D652" s="20"/>
      <c r="E652" s="23"/>
      <c r="H652" s="19" t="str">
        <f t="shared" si="36"/>
        <v/>
      </c>
      <c r="I652" s="19" t="str">
        <f t="shared" si="35"/>
        <v/>
      </c>
      <c r="J652" s="19" t="str">
        <f t="shared" si="37"/>
        <v/>
      </c>
      <c r="K652" s="20"/>
      <c r="L652" s="21" t="str">
        <f>IF(OR(NOT(AND($B652&lt;&gt;"",$C652&lt;&gt;"",$D652&lt;&gt;"",$E652&lt;&gt;"")),$A652="",$K652&lt;&gt;"Yes"),"",IF($L652&lt;&gt;"",$L652,INDEX(SETUP!$I$1:$I$2000,MATCH(TRUE,SETUP!$J$1:$J$2000,0)+COUNTIFS($A$2:$A652,"&lt;&gt;",$K$2:$K652,"Yes",$L$2:$L652,"")-1)))</f>
        <v/>
      </c>
      <c r="N652" s="22"/>
    </row>
    <row r="653" spans="1:14" x14ac:dyDescent="0.3">
      <c r="A653" s="15" t="str">
        <f>IF(COUNTA($B653:$E653,$K653)=0,"",IF(AND($B653&lt;&gt;"",$C653&lt;&gt;"",$D653&lt;&gt;"",$E653&lt;&gt;""),"TXS"&amp;TEXT(COUNTIFS($B$2:$B653,"&lt;&gt;",$C$2:$C653,"&lt;&gt;",$D$2:$D653,"&lt;&gt;",$E$2:$E653,"&lt;&gt;"),"00000"),""))</f>
        <v/>
      </c>
      <c r="B653" s="16"/>
      <c r="C653" s="20"/>
      <c r="D653" s="20"/>
      <c r="E653" s="23"/>
      <c r="H653" s="19" t="str">
        <f t="shared" si="36"/>
        <v/>
      </c>
      <c r="I653" s="19" t="str">
        <f t="shared" si="35"/>
        <v/>
      </c>
      <c r="J653" s="19" t="str">
        <f t="shared" si="37"/>
        <v/>
      </c>
      <c r="K653" s="20"/>
      <c r="L653" s="21" t="str">
        <f>IF(OR(NOT(AND($B653&lt;&gt;"",$C653&lt;&gt;"",$D653&lt;&gt;"",$E653&lt;&gt;"")),$A653="",$K653&lt;&gt;"Yes"),"",IF($L653&lt;&gt;"",$L653,INDEX(SETUP!$I$1:$I$2000,MATCH(TRUE,SETUP!$J$1:$J$2000,0)+COUNTIFS($A$2:$A653,"&lt;&gt;",$K$2:$K653,"Yes",$L$2:$L653,"")-1)))</f>
        <v/>
      </c>
      <c r="N653" s="22"/>
    </row>
    <row r="654" spans="1:14" x14ac:dyDescent="0.3">
      <c r="A654" s="15" t="str">
        <f>IF(COUNTA($B654:$E654,$K654)=0,"",IF(AND($B654&lt;&gt;"",$C654&lt;&gt;"",$D654&lt;&gt;"",$E654&lt;&gt;""),"TXS"&amp;TEXT(COUNTIFS($B$2:$B654,"&lt;&gt;",$C$2:$C654,"&lt;&gt;",$D$2:$D654,"&lt;&gt;",$E$2:$E654,"&lt;&gt;"),"00000"),""))</f>
        <v/>
      </c>
      <c r="B654" s="16"/>
      <c r="C654" s="20"/>
      <c r="D654" s="20"/>
      <c r="E654" s="23"/>
      <c r="H654" s="19" t="str">
        <f t="shared" si="36"/>
        <v/>
      </c>
      <c r="I654" s="19" t="str">
        <f t="shared" si="35"/>
        <v/>
      </c>
      <c r="J654" s="19" t="str">
        <f t="shared" si="37"/>
        <v/>
      </c>
      <c r="K654" s="20"/>
      <c r="L654" s="21" t="str">
        <f>IF(OR(NOT(AND($B654&lt;&gt;"",$C654&lt;&gt;"",$D654&lt;&gt;"",$E654&lt;&gt;"")),$A654="",$K654&lt;&gt;"Yes"),"",IF($L654&lt;&gt;"",$L654,INDEX(SETUP!$I$1:$I$2000,MATCH(TRUE,SETUP!$J$1:$J$2000,0)+COUNTIFS($A$2:$A654,"&lt;&gt;",$K$2:$K654,"Yes",$L$2:$L654,"")-1)))</f>
        <v/>
      </c>
      <c r="N654" s="22"/>
    </row>
    <row r="655" spans="1:14" x14ac:dyDescent="0.3">
      <c r="A655" s="15" t="str">
        <f>IF(COUNTA($B655:$E655,$K655)=0,"",IF(AND($B655&lt;&gt;"",$C655&lt;&gt;"",$D655&lt;&gt;"",$E655&lt;&gt;""),"TXS"&amp;TEXT(COUNTIFS($B$2:$B655,"&lt;&gt;",$C$2:$C655,"&lt;&gt;",$D$2:$D655,"&lt;&gt;",$E$2:$E655,"&lt;&gt;"),"00000"),""))</f>
        <v/>
      </c>
      <c r="B655" s="16"/>
      <c r="C655" s="20"/>
      <c r="D655" s="20"/>
      <c r="E655" s="23"/>
      <c r="H655" s="19" t="str">
        <f t="shared" si="36"/>
        <v/>
      </c>
      <c r="I655" s="19" t="str">
        <f t="shared" si="35"/>
        <v/>
      </c>
      <c r="J655" s="19" t="str">
        <f t="shared" si="37"/>
        <v/>
      </c>
      <c r="K655" s="20"/>
      <c r="L655" s="21" t="str">
        <f>IF(OR(NOT(AND($B655&lt;&gt;"",$C655&lt;&gt;"",$D655&lt;&gt;"",$E655&lt;&gt;"")),$A655="",$K655&lt;&gt;"Yes"),"",IF($L655&lt;&gt;"",$L655,INDEX(SETUP!$I$1:$I$2000,MATCH(TRUE,SETUP!$J$1:$J$2000,0)+COUNTIFS($A$2:$A655,"&lt;&gt;",$K$2:$K655,"Yes",$L$2:$L655,"")-1)))</f>
        <v/>
      </c>
      <c r="N655" s="22"/>
    </row>
    <row r="656" spans="1:14" x14ac:dyDescent="0.3">
      <c r="A656" s="15" t="str">
        <f>IF(COUNTA($B656:$E656,$K656)=0,"",IF(AND($B656&lt;&gt;"",$C656&lt;&gt;"",$D656&lt;&gt;"",$E656&lt;&gt;""),"TXS"&amp;TEXT(COUNTIFS($B$2:$B656,"&lt;&gt;",$C$2:$C656,"&lt;&gt;",$D$2:$D656,"&lt;&gt;",$E$2:$E656,"&lt;&gt;"),"00000"),""))</f>
        <v/>
      </c>
      <c r="B656" s="16"/>
      <c r="C656" s="20"/>
      <c r="D656" s="20"/>
      <c r="E656" s="23"/>
      <c r="H656" s="19" t="str">
        <f t="shared" si="36"/>
        <v/>
      </c>
      <c r="I656" s="19" t="str">
        <f t="shared" si="35"/>
        <v/>
      </c>
      <c r="J656" s="19" t="str">
        <f t="shared" si="37"/>
        <v/>
      </c>
      <c r="K656" s="20"/>
      <c r="L656" s="21" t="str">
        <f>IF(OR(NOT(AND($B656&lt;&gt;"",$C656&lt;&gt;"",$D656&lt;&gt;"",$E656&lt;&gt;"")),$A656="",$K656&lt;&gt;"Yes"),"",IF($L656&lt;&gt;"",$L656,INDEX(SETUP!$I$1:$I$2000,MATCH(TRUE,SETUP!$J$1:$J$2000,0)+COUNTIFS($A$2:$A656,"&lt;&gt;",$K$2:$K656,"Yes",$L$2:$L656,"")-1)))</f>
        <v/>
      </c>
      <c r="N656" s="22"/>
    </row>
    <row r="657" spans="1:14" x14ac:dyDescent="0.3">
      <c r="A657" s="15" t="str">
        <f>IF(COUNTA($B657:$E657,$K657)=0,"",IF(AND($B657&lt;&gt;"",$C657&lt;&gt;"",$D657&lt;&gt;"",$E657&lt;&gt;""),"TXS"&amp;TEXT(COUNTIFS($B$2:$B657,"&lt;&gt;",$C$2:$C657,"&lt;&gt;",$D$2:$D657,"&lt;&gt;",$E$2:$E657,"&lt;&gt;"),"00000"),""))</f>
        <v/>
      </c>
      <c r="B657" s="16"/>
      <c r="C657" s="20"/>
      <c r="D657" s="20"/>
      <c r="E657" s="23"/>
      <c r="H657" s="19" t="str">
        <f t="shared" si="36"/>
        <v/>
      </c>
      <c r="I657" s="19" t="str">
        <f t="shared" si="35"/>
        <v/>
      </c>
      <c r="J657" s="19" t="str">
        <f t="shared" si="37"/>
        <v/>
      </c>
      <c r="K657" s="20"/>
      <c r="L657" s="21" t="str">
        <f>IF(OR(NOT(AND($B657&lt;&gt;"",$C657&lt;&gt;"",$D657&lt;&gt;"",$E657&lt;&gt;"")),$A657="",$K657&lt;&gt;"Yes"),"",IF($L657&lt;&gt;"",$L657,INDEX(SETUP!$I$1:$I$2000,MATCH(TRUE,SETUP!$J$1:$J$2000,0)+COUNTIFS($A$2:$A657,"&lt;&gt;",$K$2:$K657,"Yes",$L$2:$L657,"")-1)))</f>
        <v/>
      </c>
      <c r="N657" s="22"/>
    </row>
    <row r="658" spans="1:14" x14ac:dyDescent="0.3">
      <c r="A658" s="15" t="str">
        <f>IF(COUNTA($B658:$E658,$K658)=0,"",IF(AND($B658&lt;&gt;"",$C658&lt;&gt;"",$D658&lt;&gt;"",$E658&lt;&gt;""),"TXS"&amp;TEXT(COUNTIFS($B$2:$B658,"&lt;&gt;",$C$2:$C658,"&lt;&gt;",$D$2:$D658,"&lt;&gt;",$E$2:$E658,"&lt;&gt;"),"00000"),""))</f>
        <v/>
      </c>
      <c r="B658" s="16"/>
      <c r="C658" s="20"/>
      <c r="D658" s="20"/>
      <c r="E658" s="23"/>
      <c r="H658" s="19" t="str">
        <f t="shared" si="36"/>
        <v/>
      </c>
      <c r="I658" s="19" t="str">
        <f t="shared" si="35"/>
        <v/>
      </c>
      <c r="J658" s="19" t="str">
        <f t="shared" si="37"/>
        <v/>
      </c>
      <c r="K658" s="20"/>
      <c r="L658" s="21" t="str">
        <f>IF(OR(NOT(AND($B658&lt;&gt;"",$C658&lt;&gt;"",$D658&lt;&gt;"",$E658&lt;&gt;"")),$A658="",$K658&lt;&gt;"Yes"),"",IF($L658&lt;&gt;"",$L658,INDEX(SETUP!$I$1:$I$2000,MATCH(TRUE,SETUP!$J$1:$J$2000,0)+COUNTIFS($A$2:$A658,"&lt;&gt;",$K$2:$K658,"Yes",$L$2:$L658,"")-1)))</f>
        <v/>
      </c>
      <c r="N658" s="22"/>
    </row>
    <row r="659" spans="1:14" x14ac:dyDescent="0.3">
      <c r="A659" s="15" t="str">
        <f>IF(COUNTA($B659:$E659,$K659)=0,"",IF(AND($B659&lt;&gt;"",$C659&lt;&gt;"",$D659&lt;&gt;"",$E659&lt;&gt;""),"TXS"&amp;TEXT(COUNTIFS($B$2:$B659,"&lt;&gt;",$C$2:$C659,"&lt;&gt;",$D$2:$D659,"&lt;&gt;",$E$2:$E659,"&lt;&gt;"),"00000"),""))</f>
        <v/>
      </c>
      <c r="B659" s="16"/>
      <c r="C659" s="20"/>
      <c r="D659" s="20"/>
      <c r="E659" s="23"/>
      <c r="H659" s="19" t="str">
        <f t="shared" si="36"/>
        <v/>
      </c>
      <c r="I659" s="19" t="str">
        <f t="shared" si="35"/>
        <v/>
      </c>
      <c r="J659" s="19" t="str">
        <f t="shared" si="37"/>
        <v/>
      </c>
      <c r="K659" s="20"/>
      <c r="L659" s="21" t="str">
        <f>IF(OR(NOT(AND($B659&lt;&gt;"",$C659&lt;&gt;"",$D659&lt;&gt;"",$E659&lt;&gt;"")),$A659="",$K659&lt;&gt;"Yes"),"",IF($L659&lt;&gt;"",$L659,INDEX(SETUP!$I$1:$I$2000,MATCH(TRUE,SETUP!$J$1:$J$2000,0)+COUNTIFS($A$2:$A659,"&lt;&gt;",$K$2:$K659,"Yes",$L$2:$L659,"")-1)))</f>
        <v/>
      </c>
      <c r="N659" s="22"/>
    </row>
    <row r="660" spans="1:14" x14ac:dyDescent="0.3">
      <c r="A660" s="15" t="str">
        <f>IF(COUNTA($B660:$E660,$K660)=0,"",IF(AND($B660&lt;&gt;"",$C660&lt;&gt;"",$D660&lt;&gt;"",$E660&lt;&gt;""),"TXS"&amp;TEXT(COUNTIFS($B$2:$B660,"&lt;&gt;",$C$2:$C660,"&lt;&gt;",$D$2:$D660,"&lt;&gt;",$E$2:$E660,"&lt;&gt;"),"00000"),""))</f>
        <v/>
      </c>
      <c r="B660" s="16"/>
      <c r="C660" s="20"/>
      <c r="D660" s="20"/>
      <c r="E660" s="23"/>
      <c r="H660" s="19" t="str">
        <f t="shared" si="36"/>
        <v/>
      </c>
      <c r="I660" s="19" t="str">
        <f t="shared" si="35"/>
        <v/>
      </c>
      <c r="J660" s="19" t="str">
        <f t="shared" si="37"/>
        <v/>
      </c>
      <c r="K660" s="20"/>
      <c r="L660" s="21" t="str">
        <f>IF(OR(NOT(AND($B660&lt;&gt;"",$C660&lt;&gt;"",$D660&lt;&gt;"",$E660&lt;&gt;"")),$A660="",$K660&lt;&gt;"Yes"),"",IF($L660&lt;&gt;"",$L660,INDEX(SETUP!$I$1:$I$2000,MATCH(TRUE,SETUP!$J$1:$J$2000,0)+COUNTIFS($A$2:$A660,"&lt;&gt;",$K$2:$K660,"Yes",$L$2:$L660,"")-1)))</f>
        <v/>
      </c>
      <c r="N660" s="22"/>
    </row>
    <row r="661" spans="1:14" x14ac:dyDescent="0.3">
      <c r="A661" s="15" t="str">
        <f>IF(COUNTA($B661:$E661,$K661)=0,"",IF(AND($B661&lt;&gt;"",$C661&lt;&gt;"",$D661&lt;&gt;"",$E661&lt;&gt;""),"TXS"&amp;TEXT(COUNTIFS($B$2:$B661,"&lt;&gt;",$C$2:$C661,"&lt;&gt;",$D$2:$D661,"&lt;&gt;",$E$2:$E661,"&lt;&gt;"),"00000"),""))</f>
        <v/>
      </c>
      <c r="B661" s="16"/>
      <c r="C661" s="20"/>
      <c r="D661" s="20"/>
      <c r="E661" s="23"/>
      <c r="H661" s="19" t="str">
        <f t="shared" si="36"/>
        <v/>
      </c>
      <c r="I661" s="19" t="str">
        <f t="shared" si="35"/>
        <v/>
      </c>
      <c r="J661" s="19" t="str">
        <f t="shared" si="37"/>
        <v/>
      </c>
      <c r="K661" s="20"/>
      <c r="L661" s="21" t="str">
        <f>IF(OR(NOT(AND($B661&lt;&gt;"",$C661&lt;&gt;"",$D661&lt;&gt;"",$E661&lt;&gt;"")),$A661="",$K661&lt;&gt;"Yes"),"",IF($L661&lt;&gt;"",$L661,INDEX(SETUP!$I$1:$I$2000,MATCH(TRUE,SETUP!$J$1:$J$2000,0)+COUNTIFS($A$2:$A661,"&lt;&gt;",$K$2:$K661,"Yes",$L$2:$L661,"")-1)))</f>
        <v/>
      </c>
      <c r="N661" s="22"/>
    </row>
    <row r="662" spans="1:14" x14ac:dyDescent="0.3">
      <c r="A662" s="15" t="str">
        <f>IF(COUNTA($B662:$E662,$K662)=0,"",IF(AND($B662&lt;&gt;"",$C662&lt;&gt;"",$D662&lt;&gt;"",$E662&lt;&gt;""),"TXS"&amp;TEXT(COUNTIFS($B$2:$B662,"&lt;&gt;",$C$2:$C662,"&lt;&gt;",$D$2:$D662,"&lt;&gt;",$E$2:$E662,"&lt;&gt;"),"00000"),""))</f>
        <v/>
      </c>
      <c r="B662" s="16"/>
      <c r="C662" s="20"/>
      <c r="D662" s="20"/>
      <c r="E662" s="23"/>
      <c r="H662" s="19" t="str">
        <f t="shared" si="36"/>
        <v/>
      </c>
      <c r="I662" s="19" t="str">
        <f t="shared" si="35"/>
        <v/>
      </c>
      <c r="J662" s="19" t="str">
        <f t="shared" si="37"/>
        <v/>
      </c>
      <c r="K662" s="20"/>
      <c r="L662" s="21" t="str">
        <f>IF(OR(NOT(AND($B662&lt;&gt;"",$C662&lt;&gt;"",$D662&lt;&gt;"",$E662&lt;&gt;"")),$A662="",$K662&lt;&gt;"Yes"),"",IF($L662&lt;&gt;"",$L662,INDEX(SETUP!$I$1:$I$2000,MATCH(TRUE,SETUP!$J$1:$J$2000,0)+COUNTIFS($A$2:$A662,"&lt;&gt;",$K$2:$K662,"Yes",$L$2:$L662,"")-1)))</f>
        <v/>
      </c>
      <c r="N662" s="22"/>
    </row>
    <row r="663" spans="1:14" x14ac:dyDescent="0.3">
      <c r="A663" s="15" t="str">
        <f>IF(COUNTA($B663:$E663,$K663)=0,"",IF(AND($B663&lt;&gt;"",$C663&lt;&gt;"",$D663&lt;&gt;"",$E663&lt;&gt;""),"TXS"&amp;TEXT(COUNTIFS($B$2:$B663,"&lt;&gt;",$C$2:$C663,"&lt;&gt;",$D$2:$D663,"&lt;&gt;",$E$2:$E663,"&lt;&gt;"),"00000"),""))</f>
        <v/>
      </c>
      <c r="B663" s="16"/>
      <c r="C663" s="20"/>
      <c r="D663" s="20"/>
      <c r="E663" s="23"/>
      <c r="H663" s="19" t="str">
        <f t="shared" si="36"/>
        <v/>
      </c>
      <c r="I663" s="19" t="str">
        <f t="shared" si="35"/>
        <v/>
      </c>
      <c r="J663" s="19" t="str">
        <f t="shared" si="37"/>
        <v/>
      </c>
      <c r="K663" s="20"/>
      <c r="L663" s="21" t="str">
        <f>IF(OR(NOT(AND($B663&lt;&gt;"",$C663&lt;&gt;"",$D663&lt;&gt;"",$E663&lt;&gt;"")),$A663="",$K663&lt;&gt;"Yes"),"",IF($L663&lt;&gt;"",$L663,INDEX(SETUP!$I$1:$I$2000,MATCH(TRUE,SETUP!$J$1:$J$2000,0)+COUNTIFS($A$2:$A663,"&lt;&gt;",$K$2:$K663,"Yes",$L$2:$L663,"")-1)))</f>
        <v/>
      </c>
      <c r="N663" s="22"/>
    </row>
    <row r="664" spans="1:14" x14ac:dyDescent="0.3">
      <c r="A664" s="15" t="str">
        <f>IF(COUNTA($B664:$E664,$K664)=0,"",IF(AND($B664&lt;&gt;"",$C664&lt;&gt;"",$D664&lt;&gt;"",$E664&lt;&gt;""),"TXS"&amp;TEXT(COUNTIFS($B$2:$B664,"&lt;&gt;",$C$2:$C664,"&lt;&gt;",$D$2:$D664,"&lt;&gt;",$E$2:$E664,"&lt;&gt;"),"00000"),""))</f>
        <v/>
      </c>
      <c r="B664" s="16"/>
      <c r="C664" s="20"/>
      <c r="D664" s="20"/>
      <c r="E664" s="23"/>
      <c r="H664" s="19" t="str">
        <f t="shared" si="36"/>
        <v/>
      </c>
      <c r="I664" s="19" t="str">
        <f t="shared" si="35"/>
        <v/>
      </c>
      <c r="J664" s="19" t="str">
        <f t="shared" si="37"/>
        <v/>
      </c>
      <c r="K664" s="20"/>
      <c r="L664" s="21" t="str">
        <f>IF(OR(NOT(AND($B664&lt;&gt;"",$C664&lt;&gt;"",$D664&lt;&gt;"",$E664&lt;&gt;"")),$A664="",$K664&lt;&gt;"Yes"),"",IF($L664&lt;&gt;"",$L664,INDEX(SETUP!$I$1:$I$2000,MATCH(TRUE,SETUP!$J$1:$J$2000,0)+COUNTIFS($A$2:$A664,"&lt;&gt;",$K$2:$K664,"Yes",$L$2:$L664,"")-1)))</f>
        <v/>
      </c>
      <c r="N664" s="22"/>
    </row>
    <row r="665" spans="1:14" x14ac:dyDescent="0.3">
      <c r="A665" s="15" t="str">
        <f>IF(COUNTA($B665:$E665,$K665)=0,"",IF(AND($B665&lt;&gt;"",$C665&lt;&gt;"",$D665&lt;&gt;"",$E665&lt;&gt;""),"TXS"&amp;TEXT(COUNTIFS($B$2:$B665,"&lt;&gt;",$C$2:$C665,"&lt;&gt;",$D$2:$D665,"&lt;&gt;",$E$2:$E665,"&lt;&gt;"),"00000"),""))</f>
        <v/>
      </c>
      <c r="B665" s="16"/>
      <c r="C665" s="20"/>
      <c r="D665" s="20"/>
      <c r="E665" s="23"/>
      <c r="H665" s="19" t="str">
        <f t="shared" si="36"/>
        <v/>
      </c>
      <c r="I665" s="19" t="str">
        <f t="shared" si="35"/>
        <v/>
      </c>
      <c r="J665" s="19" t="str">
        <f t="shared" si="37"/>
        <v/>
      </c>
      <c r="K665" s="20"/>
      <c r="L665" s="21" t="str">
        <f>IF(OR(NOT(AND($B665&lt;&gt;"",$C665&lt;&gt;"",$D665&lt;&gt;"",$E665&lt;&gt;"")),$A665="",$K665&lt;&gt;"Yes"),"",IF($L665&lt;&gt;"",$L665,INDEX(SETUP!$I$1:$I$2000,MATCH(TRUE,SETUP!$J$1:$J$2000,0)+COUNTIFS($A$2:$A665,"&lt;&gt;",$K$2:$K665,"Yes",$L$2:$L665,"")-1)))</f>
        <v/>
      </c>
      <c r="N665" s="22"/>
    </row>
    <row r="666" spans="1:14" x14ac:dyDescent="0.3">
      <c r="A666" s="15" t="str">
        <f>IF(COUNTA($B666:$E666,$K666)=0,"",IF(AND($B666&lt;&gt;"",$C666&lt;&gt;"",$D666&lt;&gt;"",$E666&lt;&gt;""),"TXS"&amp;TEXT(COUNTIFS($B$2:$B666,"&lt;&gt;",$C$2:$C666,"&lt;&gt;",$D$2:$D666,"&lt;&gt;",$E$2:$E666,"&lt;&gt;"),"00000"),""))</f>
        <v/>
      </c>
      <c r="B666" s="16"/>
      <c r="C666" s="20"/>
      <c r="D666" s="20"/>
      <c r="E666" s="23"/>
      <c r="H666" s="19" t="str">
        <f t="shared" si="36"/>
        <v/>
      </c>
      <c r="I666" s="19" t="str">
        <f t="shared" si="35"/>
        <v/>
      </c>
      <c r="J666" s="19" t="str">
        <f t="shared" si="37"/>
        <v/>
      </c>
      <c r="K666" s="20"/>
      <c r="L666" s="21" t="str">
        <f>IF(OR(NOT(AND($B666&lt;&gt;"",$C666&lt;&gt;"",$D666&lt;&gt;"",$E666&lt;&gt;"")),$A666="",$K666&lt;&gt;"Yes"),"",IF($L666&lt;&gt;"",$L666,INDEX(SETUP!$I$1:$I$2000,MATCH(TRUE,SETUP!$J$1:$J$2000,0)+COUNTIFS($A$2:$A666,"&lt;&gt;",$K$2:$K666,"Yes",$L$2:$L666,"")-1)))</f>
        <v/>
      </c>
      <c r="N666" s="22"/>
    </row>
    <row r="667" spans="1:14" x14ac:dyDescent="0.3">
      <c r="A667" s="15" t="str">
        <f>IF(COUNTA($B667:$E667,$K667)=0,"",IF(AND($B667&lt;&gt;"",$C667&lt;&gt;"",$D667&lt;&gt;"",$E667&lt;&gt;""),"TXS"&amp;TEXT(COUNTIFS($B$2:$B667,"&lt;&gt;",$C$2:$C667,"&lt;&gt;",$D$2:$D667,"&lt;&gt;",$E$2:$E667,"&lt;&gt;"),"00000"),""))</f>
        <v/>
      </c>
      <c r="B667" s="16"/>
      <c r="C667" s="20"/>
      <c r="D667" s="20"/>
      <c r="E667" s="23"/>
      <c r="H667" s="19" t="str">
        <f t="shared" si="36"/>
        <v/>
      </c>
      <c r="I667" s="19" t="str">
        <f t="shared" si="35"/>
        <v/>
      </c>
      <c r="J667" s="19" t="str">
        <f t="shared" si="37"/>
        <v/>
      </c>
      <c r="K667" s="20"/>
      <c r="L667" s="21" t="str">
        <f>IF(OR(NOT(AND($B667&lt;&gt;"",$C667&lt;&gt;"",$D667&lt;&gt;"",$E667&lt;&gt;"")),$A667="",$K667&lt;&gt;"Yes"),"",IF($L667&lt;&gt;"",$L667,INDEX(SETUP!$I$1:$I$2000,MATCH(TRUE,SETUP!$J$1:$J$2000,0)+COUNTIFS($A$2:$A667,"&lt;&gt;",$K$2:$K667,"Yes",$L$2:$L667,"")-1)))</f>
        <v/>
      </c>
      <c r="N667" s="22"/>
    </row>
    <row r="668" spans="1:14" x14ac:dyDescent="0.3">
      <c r="A668" s="15" t="str">
        <f>IF(COUNTA($B668:$E668,$K668)=0,"",IF(AND($B668&lt;&gt;"",$C668&lt;&gt;"",$D668&lt;&gt;"",$E668&lt;&gt;""),"TXS"&amp;TEXT(COUNTIFS($B$2:$B668,"&lt;&gt;",$C$2:$C668,"&lt;&gt;",$D$2:$D668,"&lt;&gt;",$E$2:$E668,"&lt;&gt;"),"00000"),""))</f>
        <v/>
      </c>
      <c r="B668" s="16"/>
      <c r="C668" s="20"/>
      <c r="D668" s="20"/>
      <c r="E668" s="23"/>
      <c r="H668" s="19" t="str">
        <f t="shared" si="36"/>
        <v/>
      </c>
      <c r="I668" s="19" t="str">
        <f t="shared" si="35"/>
        <v/>
      </c>
      <c r="J668" s="19" t="str">
        <f t="shared" si="37"/>
        <v/>
      </c>
      <c r="K668" s="20"/>
      <c r="L668" s="21" t="str">
        <f>IF(OR(NOT(AND($B668&lt;&gt;"",$C668&lt;&gt;"",$D668&lt;&gt;"",$E668&lt;&gt;"")),$A668="",$K668&lt;&gt;"Yes"),"",IF($L668&lt;&gt;"",$L668,INDEX(SETUP!$I$1:$I$2000,MATCH(TRUE,SETUP!$J$1:$J$2000,0)+COUNTIFS($A$2:$A668,"&lt;&gt;",$K$2:$K668,"Yes",$L$2:$L668,"")-1)))</f>
        <v/>
      </c>
      <c r="N668" s="22"/>
    </row>
    <row r="669" spans="1:14" x14ac:dyDescent="0.3">
      <c r="A669" s="15" t="str">
        <f>IF(COUNTA($B669:$E669,$K669)=0,"",IF(AND($B669&lt;&gt;"",$C669&lt;&gt;"",$D669&lt;&gt;"",$E669&lt;&gt;""),"TXS"&amp;TEXT(COUNTIFS($B$2:$B669,"&lt;&gt;",$C$2:$C669,"&lt;&gt;",$D$2:$D669,"&lt;&gt;",$E$2:$E669,"&lt;&gt;"),"00000"),""))</f>
        <v/>
      </c>
      <c r="B669" s="16"/>
      <c r="C669" s="20"/>
      <c r="D669" s="20"/>
      <c r="E669" s="23"/>
      <c r="H669" s="19" t="str">
        <f t="shared" si="36"/>
        <v/>
      </c>
      <c r="I669" s="19" t="str">
        <f t="shared" si="35"/>
        <v/>
      </c>
      <c r="J669" s="19" t="str">
        <f t="shared" si="37"/>
        <v/>
      </c>
      <c r="K669" s="20"/>
      <c r="L669" s="21" t="str">
        <f>IF(OR(NOT(AND($B669&lt;&gt;"",$C669&lt;&gt;"",$D669&lt;&gt;"",$E669&lt;&gt;"")),$A669="",$K669&lt;&gt;"Yes"),"",IF($L669&lt;&gt;"",$L669,INDEX(SETUP!$I$1:$I$2000,MATCH(TRUE,SETUP!$J$1:$J$2000,0)+COUNTIFS($A$2:$A669,"&lt;&gt;",$K$2:$K669,"Yes",$L$2:$L669,"")-1)))</f>
        <v/>
      </c>
      <c r="N669" s="22"/>
    </row>
    <row r="670" spans="1:14" x14ac:dyDescent="0.3">
      <c r="A670" s="15" t="str">
        <f>IF(COUNTA($B670:$E670,$K670)=0,"",IF(AND($B670&lt;&gt;"",$C670&lt;&gt;"",$D670&lt;&gt;"",$E670&lt;&gt;""),"TXS"&amp;TEXT(COUNTIFS($B$2:$B670,"&lt;&gt;",$C$2:$C670,"&lt;&gt;",$D$2:$D670,"&lt;&gt;",$E$2:$E670,"&lt;&gt;"),"00000"),""))</f>
        <v/>
      </c>
      <c r="B670" s="16"/>
      <c r="C670" s="20"/>
      <c r="D670" s="20"/>
      <c r="E670" s="23"/>
      <c r="H670" s="19" t="str">
        <f t="shared" si="36"/>
        <v/>
      </c>
      <c r="I670" s="19" t="str">
        <f t="shared" si="35"/>
        <v/>
      </c>
      <c r="J670" s="19" t="str">
        <f t="shared" si="37"/>
        <v/>
      </c>
      <c r="K670" s="20"/>
      <c r="L670" s="21" t="str">
        <f>IF(OR(NOT(AND($B670&lt;&gt;"",$C670&lt;&gt;"",$D670&lt;&gt;"",$E670&lt;&gt;"")),$A670="",$K670&lt;&gt;"Yes"),"",IF($L670&lt;&gt;"",$L670,INDEX(SETUP!$I$1:$I$2000,MATCH(TRUE,SETUP!$J$1:$J$2000,0)+COUNTIFS($A$2:$A670,"&lt;&gt;",$K$2:$K670,"Yes",$L$2:$L670,"")-1)))</f>
        <v/>
      </c>
      <c r="N670" s="22"/>
    </row>
    <row r="671" spans="1:14" x14ac:dyDescent="0.3">
      <c r="A671" s="15" t="str">
        <f>IF(COUNTA($B671:$E671,$K671)=0,"",IF(AND($B671&lt;&gt;"",$C671&lt;&gt;"",$D671&lt;&gt;"",$E671&lt;&gt;""),"TXS"&amp;TEXT(COUNTIFS($B$2:$B671,"&lt;&gt;",$C$2:$C671,"&lt;&gt;",$D$2:$D671,"&lt;&gt;",$E$2:$E671,"&lt;&gt;"),"00000"),""))</f>
        <v/>
      </c>
      <c r="B671" s="16"/>
      <c r="C671" s="20"/>
      <c r="D671" s="20"/>
      <c r="E671" s="23"/>
      <c r="H671" s="19" t="str">
        <f t="shared" si="36"/>
        <v/>
      </c>
      <c r="I671" s="19" t="str">
        <f t="shared" si="35"/>
        <v/>
      </c>
      <c r="J671" s="19" t="str">
        <f t="shared" si="37"/>
        <v/>
      </c>
      <c r="K671" s="20"/>
      <c r="L671" s="21" t="str">
        <f>IF(OR(NOT(AND($B671&lt;&gt;"",$C671&lt;&gt;"",$D671&lt;&gt;"",$E671&lt;&gt;"")),$A671="",$K671&lt;&gt;"Yes"),"",IF($L671&lt;&gt;"",$L671,INDEX(SETUP!$I$1:$I$2000,MATCH(TRUE,SETUP!$J$1:$J$2000,0)+COUNTIFS($A$2:$A671,"&lt;&gt;",$K$2:$K671,"Yes",$L$2:$L671,"")-1)))</f>
        <v/>
      </c>
      <c r="N671" s="22"/>
    </row>
    <row r="672" spans="1:14" x14ac:dyDescent="0.3">
      <c r="A672" s="15" t="str">
        <f>IF(COUNTA($B672:$E672,$K672)=0,"",IF(AND($B672&lt;&gt;"",$C672&lt;&gt;"",$D672&lt;&gt;"",$E672&lt;&gt;""),"TXS"&amp;TEXT(COUNTIFS($B$2:$B672,"&lt;&gt;",$C$2:$C672,"&lt;&gt;",$D$2:$D672,"&lt;&gt;",$E$2:$E672,"&lt;&gt;"),"00000"),""))</f>
        <v/>
      </c>
      <c r="B672" s="16"/>
      <c r="C672" s="20"/>
      <c r="D672" s="20"/>
      <c r="E672" s="23"/>
      <c r="H672" s="19" t="str">
        <f t="shared" si="36"/>
        <v/>
      </c>
      <c r="I672" s="19" t="str">
        <f t="shared" si="35"/>
        <v/>
      </c>
      <c r="J672" s="19" t="str">
        <f t="shared" si="37"/>
        <v/>
      </c>
      <c r="K672" s="20"/>
      <c r="L672" s="21" t="str">
        <f>IF(OR(NOT(AND($B672&lt;&gt;"",$C672&lt;&gt;"",$D672&lt;&gt;"",$E672&lt;&gt;"")),$A672="",$K672&lt;&gt;"Yes"),"",IF($L672&lt;&gt;"",$L672,INDEX(SETUP!$I$1:$I$2000,MATCH(TRUE,SETUP!$J$1:$J$2000,0)+COUNTIFS($A$2:$A672,"&lt;&gt;",$K$2:$K672,"Yes",$L$2:$L672,"")-1)))</f>
        <v/>
      </c>
      <c r="N672" s="22"/>
    </row>
    <row r="673" spans="1:14" x14ac:dyDescent="0.3">
      <c r="A673" s="15" t="str">
        <f>IF(COUNTA($B673:$E673,$K673)=0,"",IF(AND($B673&lt;&gt;"",$C673&lt;&gt;"",$D673&lt;&gt;"",$E673&lt;&gt;""),"TXS"&amp;TEXT(COUNTIFS($B$2:$B673,"&lt;&gt;",$C$2:$C673,"&lt;&gt;",$D$2:$D673,"&lt;&gt;",$E$2:$E673,"&lt;&gt;"),"00000"),""))</f>
        <v/>
      </c>
      <c r="B673" s="16"/>
      <c r="C673" s="20"/>
      <c r="D673" s="20"/>
      <c r="E673" s="23"/>
      <c r="H673" s="19" t="str">
        <f t="shared" si="36"/>
        <v/>
      </c>
      <c r="I673" s="19" t="str">
        <f t="shared" si="35"/>
        <v/>
      </c>
      <c r="J673" s="19" t="str">
        <f t="shared" si="37"/>
        <v/>
      </c>
      <c r="K673" s="20"/>
      <c r="L673" s="21" t="str">
        <f>IF(OR(NOT(AND($B673&lt;&gt;"",$C673&lt;&gt;"",$D673&lt;&gt;"",$E673&lt;&gt;"")),$A673="",$K673&lt;&gt;"Yes"),"",IF($L673&lt;&gt;"",$L673,INDEX(SETUP!$I$1:$I$2000,MATCH(TRUE,SETUP!$J$1:$J$2000,0)+COUNTIFS($A$2:$A673,"&lt;&gt;",$K$2:$K673,"Yes",$L$2:$L673,"")-1)))</f>
        <v/>
      </c>
      <c r="N673" s="22"/>
    </row>
    <row r="674" spans="1:14" x14ac:dyDescent="0.3">
      <c r="A674" s="15" t="str">
        <f>IF(COUNTA($B674:$E674,$K674)=0,"",IF(AND($B674&lt;&gt;"",$C674&lt;&gt;"",$D674&lt;&gt;"",$E674&lt;&gt;""),"TXS"&amp;TEXT(COUNTIFS($B$2:$B674,"&lt;&gt;",$C$2:$C674,"&lt;&gt;",$D$2:$D674,"&lt;&gt;",$E$2:$E674,"&lt;&gt;"),"00000"),""))</f>
        <v/>
      </c>
      <c r="B674" s="16"/>
      <c r="C674" s="20"/>
      <c r="D674" s="20"/>
      <c r="E674" s="23"/>
      <c r="H674" s="19" t="str">
        <f t="shared" si="36"/>
        <v/>
      </c>
      <c r="I674" s="19" t="str">
        <f t="shared" si="35"/>
        <v/>
      </c>
      <c r="J674" s="19" t="str">
        <f t="shared" si="37"/>
        <v/>
      </c>
      <c r="K674" s="20"/>
      <c r="L674" s="21" t="str">
        <f>IF(OR(NOT(AND($B674&lt;&gt;"",$C674&lt;&gt;"",$D674&lt;&gt;"",$E674&lt;&gt;"")),$A674="",$K674&lt;&gt;"Yes"),"",IF($L674&lt;&gt;"",$L674,INDEX(SETUP!$I$1:$I$2000,MATCH(TRUE,SETUP!$J$1:$J$2000,0)+COUNTIFS($A$2:$A674,"&lt;&gt;",$K$2:$K674,"Yes",$L$2:$L674,"")-1)))</f>
        <v/>
      </c>
      <c r="N674" s="22"/>
    </row>
    <row r="675" spans="1:14" x14ac:dyDescent="0.3">
      <c r="A675" s="15" t="str">
        <f>IF(COUNTA($B675:$E675,$K675)=0,"",IF(AND($B675&lt;&gt;"",$C675&lt;&gt;"",$D675&lt;&gt;"",$E675&lt;&gt;""),"TXS"&amp;TEXT(COUNTIFS($B$2:$B675,"&lt;&gt;",$C$2:$C675,"&lt;&gt;",$D$2:$D675,"&lt;&gt;",$E$2:$E675,"&lt;&gt;"),"00000"),""))</f>
        <v/>
      </c>
      <c r="B675" s="16"/>
      <c r="C675" s="20"/>
      <c r="D675" s="20"/>
      <c r="E675" s="23"/>
      <c r="H675" s="19" t="str">
        <f t="shared" si="36"/>
        <v/>
      </c>
      <c r="I675" s="19" t="str">
        <f t="shared" si="35"/>
        <v/>
      </c>
      <c r="J675" s="19" t="str">
        <f t="shared" si="37"/>
        <v/>
      </c>
      <c r="K675" s="20"/>
      <c r="L675" s="21" t="str">
        <f>IF(OR(NOT(AND($B675&lt;&gt;"",$C675&lt;&gt;"",$D675&lt;&gt;"",$E675&lt;&gt;"")),$A675="",$K675&lt;&gt;"Yes"),"",IF($L675&lt;&gt;"",$L675,INDEX(SETUP!$I$1:$I$2000,MATCH(TRUE,SETUP!$J$1:$J$2000,0)+COUNTIFS($A$2:$A675,"&lt;&gt;",$K$2:$K675,"Yes",$L$2:$L675,"")-1)))</f>
        <v/>
      </c>
      <c r="N675" s="22"/>
    </row>
    <row r="676" spans="1:14" x14ac:dyDescent="0.3">
      <c r="A676" s="15" t="str">
        <f>IF(COUNTA($B676:$E676,$K676)=0,"",IF(AND($B676&lt;&gt;"",$C676&lt;&gt;"",$D676&lt;&gt;"",$E676&lt;&gt;""),"TXS"&amp;TEXT(COUNTIFS($B$2:$B676,"&lt;&gt;",$C$2:$C676,"&lt;&gt;",$D$2:$D676,"&lt;&gt;",$E$2:$E676,"&lt;&gt;"),"00000"),""))</f>
        <v/>
      </c>
      <c r="B676" s="16"/>
      <c r="C676" s="20"/>
      <c r="D676" s="20"/>
      <c r="E676" s="23"/>
      <c r="H676" s="19" t="str">
        <f t="shared" si="36"/>
        <v/>
      </c>
      <c r="I676" s="19" t="str">
        <f t="shared" si="35"/>
        <v/>
      </c>
      <c r="J676" s="19" t="str">
        <f t="shared" si="37"/>
        <v/>
      </c>
      <c r="K676" s="20"/>
      <c r="L676" s="21" t="str">
        <f>IF(OR(NOT(AND($B676&lt;&gt;"",$C676&lt;&gt;"",$D676&lt;&gt;"",$E676&lt;&gt;"")),$A676="",$K676&lt;&gt;"Yes"),"",IF($L676&lt;&gt;"",$L676,INDEX(SETUP!$I$1:$I$2000,MATCH(TRUE,SETUP!$J$1:$J$2000,0)+COUNTIFS($A$2:$A676,"&lt;&gt;",$K$2:$K676,"Yes",$L$2:$L676,"")-1)))</f>
        <v/>
      </c>
      <c r="N676" s="22"/>
    </row>
    <row r="677" spans="1:14" x14ac:dyDescent="0.3">
      <c r="A677" s="15" t="str">
        <f>IF(COUNTA($B677:$E677,$K677)=0,"",IF(AND($B677&lt;&gt;"",$C677&lt;&gt;"",$D677&lt;&gt;"",$E677&lt;&gt;""),"TXS"&amp;TEXT(COUNTIFS($B$2:$B677,"&lt;&gt;",$C$2:$C677,"&lt;&gt;",$D$2:$D677,"&lt;&gt;",$E$2:$E677,"&lt;&gt;"),"00000"),""))</f>
        <v/>
      </c>
      <c r="B677" s="16"/>
      <c r="C677" s="20"/>
      <c r="D677" s="20"/>
      <c r="E677" s="23"/>
      <c r="H677" s="19" t="str">
        <f t="shared" si="36"/>
        <v/>
      </c>
      <c r="I677" s="19" t="str">
        <f t="shared" si="35"/>
        <v/>
      </c>
      <c r="J677" s="19" t="str">
        <f t="shared" si="37"/>
        <v/>
      </c>
      <c r="K677" s="20"/>
      <c r="L677" s="21" t="str">
        <f>IF(OR(NOT(AND($B677&lt;&gt;"",$C677&lt;&gt;"",$D677&lt;&gt;"",$E677&lt;&gt;"")),$A677="",$K677&lt;&gt;"Yes"),"",IF($L677&lt;&gt;"",$L677,INDEX(SETUP!$I$1:$I$2000,MATCH(TRUE,SETUP!$J$1:$J$2000,0)+COUNTIFS($A$2:$A677,"&lt;&gt;",$K$2:$K677,"Yes",$L$2:$L677,"")-1)))</f>
        <v/>
      </c>
      <c r="N677" s="22"/>
    </row>
    <row r="678" spans="1:14" x14ac:dyDescent="0.3">
      <c r="A678" s="15" t="str">
        <f>IF(COUNTA($B678:$E678,$K678)=0,"",IF(AND($B678&lt;&gt;"",$C678&lt;&gt;"",$D678&lt;&gt;"",$E678&lt;&gt;""),"TXS"&amp;TEXT(COUNTIFS($B$2:$B678,"&lt;&gt;",$C$2:$C678,"&lt;&gt;",$D$2:$D678,"&lt;&gt;",$E$2:$E678,"&lt;&gt;"),"00000"),""))</f>
        <v/>
      </c>
      <c r="B678" s="16"/>
      <c r="C678" s="20"/>
      <c r="D678" s="20"/>
      <c r="E678" s="23"/>
      <c r="H678" s="19" t="str">
        <f t="shared" si="36"/>
        <v/>
      </c>
      <c r="I678" s="19" t="str">
        <f t="shared" si="35"/>
        <v/>
      </c>
      <c r="J678" s="19" t="str">
        <f t="shared" si="37"/>
        <v/>
      </c>
      <c r="K678" s="20"/>
      <c r="L678" s="21" t="str">
        <f>IF(OR(NOT(AND($B678&lt;&gt;"",$C678&lt;&gt;"",$D678&lt;&gt;"",$E678&lt;&gt;"")),$A678="",$K678&lt;&gt;"Yes"),"",IF($L678&lt;&gt;"",$L678,INDEX(SETUP!$I$1:$I$2000,MATCH(TRUE,SETUP!$J$1:$J$2000,0)+COUNTIFS($A$2:$A678,"&lt;&gt;",$K$2:$K678,"Yes",$L$2:$L678,"")-1)))</f>
        <v/>
      </c>
      <c r="N678" s="22"/>
    </row>
    <row r="679" spans="1:14" x14ac:dyDescent="0.3">
      <c r="A679" s="15" t="str">
        <f>IF(COUNTA($B679:$E679,$K679)=0,"",IF(AND($B679&lt;&gt;"",$C679&lt;&gt;"",$D679&lt;&gt;"",$E679&lt;&gt;""),"TXS"&amp;TEXT(COUNTIFS($B$2:$B679,"&lt;&gt;",$C$2:$C679,"&lt;&gt;",$D$2:$D679,"&lt;&gt;",$E$2:$E679,"&lt;&gt;"),"00000"),""))</f>
        <v/>
      </c>
      <c r="B679" s="16"/>
      <c r="C679" s="20"/>
      <c r="D679" s="20"/>
      <c r="E679" s="23"/>
      <c r="H679" s="19" t="str">
        <f t="shared" si="36"/>
        <v/>
      </c>
      <c r="I679" s="19" t="str">
        <f t="shared" si="35"/>
        <v/>
      </c>
      <c r="J679" s="19" t="str">
        <f t="shared" si="37"/>
        <v/>
      </c>
      <c r="K679" s="20"/>
      <c r="L679" s="21" t="str">
        <f>IF(OR(NOT(AND($B679&lt;&gt;"",$C679&lt;&gt;"",$D679&lt;&gt;"",$E679&lt;&gt;"")),$A679="",$K679&lt;&gt;"Yes"),"",IF($L679&lt;&gt;"",$L679,INDEX(SETUP!$I$1:$I$2000,MATCH(TRUE,SETUP!$J$1:$J$2000,0)+COUNTIFS($A$2:$A679,"&lt;&gt;",$K$2:$K679,"Yes",$L$2:$L679,"")-1)))</f>
        <v/>
      </c>
      <c r="N679" s="22"/>
    </row>
    <row r="680" spans="1:14" x14ac:dyDescent="0.3">
      <c r="A680" s="15" t="str">
        <f>IF(COUNTA($B680:$E680,$K680)=0,"",IF(AND($B680&lt;&gt;"",$C680&lt;&gt;"",$D680&lt;&gt;"",$E680&lt;&gt;""),"TXS"&amp;TEXT(COUNTIFS($B$2:$B680,"&lt;&gt;",$C$2:$C680,"&lt;&gt;",$D$2:$D680,"&lt;&gt;",$E$2:$E680,"&lt;&gt;"),"00000"),""))</f>
        <v/>
      </c>
      <c r="B680" s="16"/>
      <c r="C680" s="20"/>
      <c r="D680" s="20"/>
      <c r="E680" s="23"/>
      <c r="H680" s="19" t="str">
        <f t="shared" si="36"/>
        <v/>
      </c>
      <c r="I680" s="19" t="str">
        <f t="shared" si="35"/>
        <v/>
      </c>
      <c r="J680" s="19" t="str">
        <f t="shared" si="37"/>
        <v/>
      </c>
      <c r="K680" s="20"/>
      <c r="L680" s="21" t="str">
        <f>IF(OR(NOT(AND($B680&lt;&gt;"",$C680&lt;&gt;"",$D680&lt;&gt;"",$E680&lt;&gt;"")),$A680="",$K680&lt;&gt;"Yes"),"",IF($L680&lt;&gt;"",$L680,INDEX(SETUP!$I$1:$I$2000,MATCH(TRUE,SETUP!$J$1:$J$2000,0)+COUNTIFS($A$2:$A680,"&lt;&gt;",$K$2:$K680,"Yes",$L$2:$L680,"")-1)))</f>
        <v/>
      </c>
      <c r="N680" s="22"/>
    </row>
    <row r="681" spans="1:14" x14ac:dyDescent="0.3">
      <c r="A681" s="15" t="str">
        <f>IF(COUNTA($B681:$E681,$K681)=0,"",IF(AND($B681&lt;&gt;"",$C681&lt;&gt;"",$D681&lt;&gt;"",$E681&lt;&gt;""),"TXS"&amp;TEXT(COUNTIFS($B$2:$B681,"&lt;&gt;",$C$2:$C681,"&lt;&gt;",$D$2:$D681,"&lt;&gt;",$E$2:$E681,"&lt;&gt;"),"00000"),""))</f>
        <v/>
      </c>
      <c r="B681" s="16"/>
      <c r="C681" s="20"/>
      <c r="D681" s="20"/>
      <c r="E681" s="23"/>
      <c r="H681" s="19" t="str">
        <f t="shared" si="36"/>
        <v/>
      </c>
      <c r="I681" s="19" t="str">
        <f t="shared" ref="I681:I744" si="38">IF(NOT(AND($B681&lt;&gt;"",$C681&lt;&gt;"",$D681&lt;&gt;"",$E681&lt;&gt;"")),"",IF($A681="","","NIH plate "&amp;INT((VALUE(RIGHT($A681,5))-1)/96)+1&amp;": "&amp;CHAR(65+INT(MOD(VALUE(RIGHT($A681,5))-1,96)/12))&amp;(MOD(VALUE(RIGHT($A681,5))-1,12)+1)))</f>
        <v/>
      </c>
      <c r="J681" s="19" t="str">
        <f t="shared" si="37"/>
        <v/>
      </c>
      <c r="K681" s="20"/>
      <c r="L681" s="21" t="str">
        <f>IF(OR(NOT(AND($B681&lt;&gt;"",$C681&lt;&gt;"",$D681&lt;&gt;"",$E681&lt;&gt;"")),$A681="",$K681&lt;&gt;"Yes"),"",IF($L681&lt;&gt;"",$L681,INDEX(SETUP!$I$1:$I$2000,MATCH(TRUE,SETUP!$J$1:$J$2000,0)+COUNTIFS($A$2:$A681,"&lt;&gt;",$K$2:$K681,"Yes",$L$2:$L681,"")-1)))</f>
        <v/>
      </c>
      <c r="N681" s="22"/>
    </row>
    <row r="682" spans="1:14" x14ac:dyDescent="0.3">
      <c r="A682" s="15" t="str">
        <f>IF(COUNTA($B682:$E682,$K682)=0,"",IF(AND($B682&lt;&gt;"",$C682&lt;&gt;"",$D682&lt;&gt;"",$E682&lt;&gt;""),"TXS"&amp;TEXT(COUNTIFS($B$2:$B682,"&lt;&gt;",$C$2:$C682,"&lt;&gt;",$D$2:$D682,"&lt;&gt;",$E$2:$E682,"&lt;&gt;"),"00000"),""))</f>
        <v/>
      </c>
      <c r="B682" s="16"/>
      <c r="C682" s="20"/>
      <c r="D682" s="20"/>
      <c r="E682" s="23"/>
      <c r="H682" s="19" t="str">
        <f t="shared" si="36"/>
        <v/>
      </c>
      <c r="I682" s="19" t="str">
        <f t="shared" si="38"/>
        <v/>
      </c>
      <c r="J682" s="19" t="str">
        <f t="shared" si="37"/>
        <v/>
      </c>
      <c r="K682" s="20"/>
      <c r="L682" s="21" t="str">
        <f>IF(OR(NOT(AND($B682&lt;&gt;"",$C682&lt;&gt;"",$D682&lt;&gt;"",$E682&lt;&gt;"")),$A682="",$K682&lt;&gt;"Yes"),"",IF($L682&lt;&gt;"",$L682,INDEX(SETUP!$I$1:$I$2000,MATCH(TRUE,SETUP!$J$1:$J$2000,0)+COUNTIFS($A$2:$A682,"&lt;&gt;",$K$2:$K682,"Yes",$L$2:$L682,"")-1)))</f>
        <v/>
      </c>
      <c r="N682" s="22"/>
    </row>
    <row r="683" spans="1:14" x14ac:dyDescent="0.3">
      <c r="A683" s="15" t="str">
        <f>IF(COUNTA($B683:$E683,$K683)=0,"",IF(AND($B683&lt;&gt;"",$C683&lt;&gt;"",$D683&lt;&gt;"",$E683&lt;&gt;""),"TXS"&amp;TEXT(COUNTIFS($B$2:$B683,"&lt;&gt;",$C$2:$C683,"&lt;&gt;",$D$2:$D683,"&lt;&gt;",$E$2:$E683,"&lt;&gt;"),"00000"),""))</f>
        <v/>
      </c>
      <c r="B683" s="16"/>
      <c r="C683" s="20"/>
      <c r="D683" s="20"/>
      <c r="E683" s="23"/>
      <c r="H683" s="19" t="str">
        <f t="shared" si="36"/>
        <v/>
      </c>
      <c r="I683" s="19" t="str">
        <f t="shared" si="38"/>
        <v/>
      </c>
      <c r="J683" s="19" t="str">
        <f t="shared" si="37"/>
        <v/>
      </c>
      <c r="K683" s="20"/>
      <c r="L683" s="21" t="str">
        <f>IF(OR(NOT(AND($B683&lt;&gt;"",$C683&lt;&gt;"",$D683&lt;&gt;"",$E683&lt;&gt;"")),$A683="",$K683&lt;&gt;"Yes"),"",IF($L683&lt;&gt;"",$L683,INDEX(SETUP!$I$1:$I$2000,MATCH(TRUE,SETUP!$J$1:$J$2000,0)+COUNTIFS($A$2:$A683,"&lt;&gt;",$K$2:$K683,"Yes",$L$2:$L683,"")-1)))</f>
        <v/>
      </c>
      <c r="N683" s="22"/>
    </row>
    <row r="684" spans="1:14" x14ac:dyDescent="0.3">
      <c r="A684" s="15" t="str">
        <f>IF(COUNTA($B684:$E684,$K684)=0,"",IF(AND($B684&lt;&gt;"",$C684&lt;&gt;"",$D684&lt;&gt;"",$E684&lt;&gt;""),"TXS"&amp;TEXT(COUNTIFS($B$2:$B684,"&lt;&gt;",$C$2:$C684,"&lt;&gt;",$D$2:$D684,"&lt;&gt;",$E$2:$E684,"&lt;&gt;"),"00000"),""))</f>
        <v/>
      </c>
      <c r="B684" s="16"/>
      <c r="C684" s="20"/>
      <c r="D684" s="20"/>
      <c r="E684" s="23"/>
      <c r="H684" s="19" t="str">
        <f t="shared" si="36"/>
        <v/>
      </c>
      <c r="I684" s="19" t="str">
        <f t="shared" si="38"/>
        <v/>
      </c>
      <c r="J684" s="19" t="str">
        <f t="shared" si="37"/>
        <v/>
      </c>
      <c r="K684" s="20"/>
      <c r="L684" s="21" t="str">
        <f>IF(OR(NOT(AND($B684&lt;&gt;"",$C684&lt;&gt;"",$D684&lt;&gt;"",$E684&lt;&gt;"")),$A684="",$K684&lt;&gt;"Yes"),"",IF($L684&lt;&gt;"",$L684,INDEX(SETUP!$I$1:$I$2000,MATCH(TRUE,SETUP!$J$1:$J$2000,0)+COUNTIFS($A$2:$A684,"&lt;&gt;",$K$2:$K684,"Yes",$L$2:$L684,"")-1)))</f>
        <v/>
      </c>
      <c r="N684" s="22"/>
    </row>
    <row r="685" spans="1:14" x14ac:dyDescent="0.3">
      <c r="A685" s="15" t="str">
        <f>IF(COUNTA($B685:$E685,$K685)=0,"",IF(AND($B685&lt;&gt;"",$C685&lt;&gt;"",$D685&lt;&gt;"",$E685&lt;&gt;""),"TXS"&amp;TEXT(COUNTIFS($B$2:$B685,"&lt;&gt;",$C$2:$C685,"&lt;&gt;",$D$2:$D685,"&lt;&gt;",$E$2:$E685,"&lt;&gt;"),"00000"),""))</f>
        <v/>
      </c>
      <c r="B685" s="16"/>
      <c r="C685" s="20"/>
      <c r="D685" s="20"/>
      <c r="E685" s="23"/>
      <c r="H685" s="19" t="str">
        <f t="shared" si="36"/>
        <v/>
      </c>
      <c r="I685" s="19" t="str">
        <f t="shared" si="38"/>
        <v/>
      </c>
      <c r="J685" s="19" t="str">
        <f t="shared" si="37"/>
        <v/>
      </c>
      <c r="K685" s="20"/>
      <c r="L685" s="21" t="str">
        <f>IF(OR(NOT(AND($B685&lt;&gt;"",$C685&lt;&gt;"",$D685&lt;&gt;"",$E685&lt;&gt;"")),$A685="",$K685&lt;&gt;"Yes"),"",IF($L685&lt;&gt;"",$L685,INDEX(SETUP!$I$1:$I$2000,MATCH(TRUE,SETUP!$J$1:$J$2000,0)+COUNTIFS($A$2:$A685,"&lt;&gt;",$K$2:$K685,"Yes",$L$2:$L685,"")-1)))</f>
        <v/>
      </c>
      <c r="N685" s="22"/>
    </row>
    <row r="686" spans="1:14" x14ac:dyDescent="0.3">
      <c r="A686" s="15" t="str">
        <f>IF(COUNTA($B686:$E686,$K686)=0,"",IF(AND($B686&lt;&gt;"",$C686&lt;&gt;"",$D686&lt;&gt;"",$E686&lt;&gt;""),"TXS"&amp;TEXT(COUNTIFS($B$2:$B686,"&lt;&gt;",$C$2:$C686,"&lt;&gt;",$D$2:$D686,"&lt;&gt;",$E$2:$E686,"&lt;&gt;"),"00000"),""))</f>
        <v/>
      </c>
      <c r="B686" s="16"/>
      <c r="C686" s="20"/>
      <c r="D686" s="20"/>
      <c r="E686" s="23"/>
      <c r="H686" s="19" t="str">
        <f t="shared" si="36"/>
        <v/>
      </c>
      <c r="I686" s="19" t="str">
        <f t="shared" si="38"/>
        <v/>
      </c>
      <c r="J686" s="19" t="str">
        <f t="shared" si="37"/>
        <v/>
      </c>
      <c r="K686" s="20"/>
      <c r="L686" s="21" t="str">
        <f>IF(OR(NOT(AND($B686&lt;&gt;"",$C686&lt;&gt;"",$D686&lt;&gt;"",$E686&lt;&gt;"")),$A686="",$K686&lt;&gt;"Yes"),"",IF($L686&lt;&gt;"",$L686,INDEX(SETUP!$I$1:$I$2000,MATCH(TRUE,SETUP!$J$1:$J$2000,0)+COUNTIFS($A$2:$A686,"&lt;&gt;",$K$2:$K686,"Yes",$L$2:$L686,"")-1)))</f>
        <v/>
      </c>
      <c r="N686" s="22"/>
    </row>
    <row r="687" spans="1:14" x14ac:dyDescent="0.3">
      <c r="A687" s="15" t="str">
        <f>IF(COUNTA($B687:$E687,$K687)=0,"",IF(AND($B687&lt;&gt;"",$C687&lt;&gt;"",$D687&lt;&gt;"",$E687&lt;&gt;""),"TXS"&amp;TEXT(COUNTIFS($B$2:$B687,"&lt;&gt;",$C$2:$C687,"&lt;&gt;",$D$2:$D687,"&lt;&gt;",$E$2:$E687,"&lt;&gt;"),"00000"),""))</f>
        <v/>
      </c>
      <c r="B687" s="16"/>
      <c r="C687" s="20"/>
      <c r="D687" s="20"/>
      <c r="E687" s="23"/>
      <c r="H687" s="19" t="str">
        <f t="shared" ref="H687:H750" si="39">IF(NOT(AND($B687&lt;&gt;"",$C687&lt;&gt;"",$D687&lt;&gt;"",$E687&lt;&gt;"")),"",IF($A687="","","CDI plate "&amp;INT((VALUE(RIGHT($A687,5))-1)/96)+1&amp;": "&amp;CHAR(65+INT(MOD(VALUE(RIGHT($A687,5))-1,96)/12))&amp;(MOD(VALUE(RIGHT($A687,5))-1,12)+1)))</f>
        <v/>
      </c>
      <c r="I687" s="19" t="str">
        <f t="shared" si="38"/>
        <v/>
      </c>
      <c r="J687" s="19" t="str">
        <f t="shared" si="37"/>
        <v/>
      </c>
      <c r="K687" s="20"/>
      <c r="L687" s="21" t="str">
        <f>IF(OR(NOT(AND($B687&lt;&gt;"",$C687&lt;&gt;"",$D687&lt;&gt;"",$E687&lt;&gt;"")),$A687="",$K687&lt;&gt;"Yes"),"",IF($L687&lt;&gt;"",$L687,INDEX(SETUP!$I$1:$I$2000,MATCH(TRUE,SETUP!$J$1:$J$2000,0)+COUNTIFS($A$2:$A687,"&lt;&gt;",$K$2:$K687,"Yes",$L$2:$L687,"")-1)))</f>
        <v/>
      </c>
      <c r="N687" s="22"/>
    </row>
    <row r="688" spans="1:14" x14ac:dyDescent="0.3">
      <c r="A688" s="15" t="str">
        <f>IF(COUNTA($B688:$E688,$K688)=0,"",IF(AND($B688&lt;&gt;"",$C688&lt;&gt;"",$D688&lt;&gt;"",$E688&lt;&gt;""),"TXS"&amp;TEXT(COUNTIFS($B$2:$B688,"&lt;&gt;",$C$2:$C688,"&lt;&gt;",$D$2:$D688,"&lt;&gt;",$E$2:$E688,"&lt;&gt;"),"00000"),""))</f>
        <v/>
      </c>
      <c r="B688" s="16"/>
      <c r="C688" s="20"/>
      <c r="D688" s="20"/>
      <c r="E688" s="23"/>
      <c r="H688" s="19" t="str">
        <f t="shared" si="39"/>
        <v/>
      </c>
      <c r="I688" s="19" t="str">
        <f t="shared" si="38"/>
        <v/>
      </c>
      <c r="J688" s="19" t="str">
        <f t="shared" si="37"/>
        <v/>
      </c>
      <c r="K688" s="20"/>
      <c r="L688" s="21" t="str">
        <f>IF(OR(NOT(AND($B688&lt;&gt;"",$C688&lt;&gt;"",$D688&lt;&gt;"",$E688&lt;&gt;"")),$A688="",$K688&lt;&gt;"Yes"),"",IF($L688&lt;&gt;"",$L688,INDEX(SETUP!$I$1:$I$2000,MATCH(TRUE,SETUP!$J$1:$J$2000,0)+COUNTIFS($A$2:$A688,"&lt;&gt;",$K$2:$K688,"Yes",$L$2:$L688,"")-1)))</f>
        <v/>
      </c>
      <c r="N688" s="22"/>
    </row>
    <row r="689" spans="1:14" x14ac:dyDescent="0.3">
      <c r="A689" s="15" t="str">
        <f>IF(COUNTA($B689:$E689,$K689)=0,"",IF(AND($B689&lt;&gt;"",$C689&lt;&gt;"",$D689&lt;&gt;"",$E689&lt;&gt;""),"TXS"&amp;TEXT(COUNTIFS($B$2:$B689,"&lt;&gt;",$C$2:$C689,"&lt;&gt;",$D$2:$D689,"&lt;&gt;",$E$2:$E689,"&lt;&gt;"),"00000"),""))</f>
        <v/>
      </c>
      <c r="B689" s="16"/>
      <c r="C689" s="20"/>
      <c r="D689" s="20"/>
      <c r="E689" s="23"/>
      <c r="H689" s="19" t="str">
        <f t="shared" si="39"/>
        <v/>
      </c>
      <c r="I689" s="19" t="str">
        <f t="shared" si="38"/>
        <v/>
      </c>
      <c r="J689" s="19" t="str">
        <f t="shared" si="37"/>
        <v/>
      </c>
      <c r="K689" s="20"/>
      <c r="L689" s="21" t="str">
        <f>IF(OR(NOT(AND($B689&lt;&gt;"",$C689&lt;&gt;"",$D689&lt;&gt;"",$E689&lt;&gt;"")),$A689="",$K689&lt;&gt;"Yes"),"",IF($L689&lt;&gt;"",$L689,INDEX(SETUP!$I$1:$I$2000,MATCH(TRUE,SETUP!$J$1:$J$2000,0)+COUNTIFS($A$2:$A689,"&lt;&gt;",$K$2:$K689,"Yes",$L$2:$L689,"")-1)))</f>
        <v/>
      </c>
      <c r="N689" s="22"/>
    </row>
    <row r="690" spans="1:14" x14ac:dyDescent="0.3">
      <c r="A690" s="15" t="str">
        <f>IF(COUNTA($B690:$E690,$K690)=0,"",IF(AND($B690&lt;&gt;"",$C690&lt;&gt;"",$D690&lt;&gt;"",$E690&lt;&gt;""),"TXS"&amp;TEXT(COUNTIFS($B$2:$B690,"&lt;&gt;",$C$2:$C690,"&lt;&gt;",$D$2:$D690,"&lt;&gt;",$E$2:$E690,"&lt;&gt;"),"00000"),""))</f>
        <v/>
      </c>
      <c r="B690" s="16"/>
      <c r="C690" s="20"/>
      <c r="D690" s="20"/>
      <c r="E690" s="23"/>
      <c r="H690" s="19" t="str">
        <f t="shared" si="39"/>
        <v/>
      </c>
      <c r="I690" s="19" t="str">
        <f t="shared" si="38"/>
        <v/>
      </c>
      <c r="J690" s="19" t="str">
        <f t="shared" ref="J690:J753" si="40">IF(NOT(AND($B690&lt;&gt;"",$C690&lt;&gt;"",$D690&lt;&gt;"",$E690&lt;&gt;"")),"",IF($A690="","","Max Planck plate "&amp;INT((VALUE(RIGHT($A690,5))-1)/96)+1&amp;": "&amp;CHAR(65+INT(MOD(VALUE(RIGHT($A690,5))-1,96)/12))&amp;(MOD(VALUE(RIGHT($A690,5))-1,12)+1)))</f>
        <v/>
      </c>
      <c r="K690" s="20"/>
      <c r="L690" s="21" t="str">
        <f>IF(OR(NOT(AND($B690&lt;&gt;"",$C690&lt;&gt;"",$D690&lt;&gt;"",$E690&lt;&gt;"")),$A690="",$K690&lt;&gt;"Yes"),"",IF($L690&lt;&gt;"",$L690,INDEX(SETUP!$I$1:$I$2000,MATCH(TRUE,SETUP!$J$1:$J$2000,0)+COUNTIFS($A$2:$A690,"&lt;&gt;",$K$2:$K690,"Yes",$L$2:$L690,"")-1)))</f>
        <v/>
      </c>
      <c r="N690" s="22"/>
    </row>
    <row r="691" spans="1:14" x14ac:dyDescent="0.3">
      <c r="A691" s="15" t="str">
        <f>IF(COUNTA($B691:$E691,$K691)=0,"",IF(AND($B691&lt;&gt;"",$C691&lt;&gt;"",$D691&lt;&gt;"",$E691&lt;&gt;""),"TXS"&amp;TEXT(COUNTIFS($B$2:$B691,"&lt;&gt;",$C$2:$C691,"&lt;&gt;",$D$2:$D691,"&lt;&gt;",$E$2:$E691,"&lt;&gt;"),"00000"),""))</f>
        <v/>
      </c>
      <c r="B691" s="16"/>
      <c r="C691" s="20"/>
      <c r="D691" s="20"/>
      <c r="E691" s="23"/>
      <c r="H691" s="19" t="str">
        <f t="shared" si="39"/>
        <v/>
      </c>
      <c r="I691" s="19" t="str">
        <f t="shared" si="38"/>
        <v/>
      </c>
      <c r="J691" s="19" t="str">
        <f t="shared" si="40"/>
        <v/>
      </c>
      <c r="K691" s="20"/>
      <c r="L691" s="21" t="str">
        <f>IF(OR(NOT(AND($B691&lt;&gt;"",$C691&lt;&gt;"",$D691&lt;&gt;"",$E691&lt;&gt;"")),$A691="",$K691&lt;&gt;"Yes"),"",IF($L691&lt;&gt;"",$L691,INDEX(SETUP!$I$1:$I$2000,MATCH(TRUE,SETUP!$J$1:$J$2000,0)+COUNTIFS($A$2:$A691,"&lt;&gt;",$K$2:$K691,"Yes",$L$2:$L691,"")-1)))</f>
        <v/>
      </c>
      <c r="N691" s="22"/>
    </row>
    <row r="692" spans="1:14" x14ac:dyDescent="0.3">
      <c r="A692" s="15" t="str">
        <f>IF(COUNTA($B692:$E692,$K692)=0,"",IF(AND($B692&lt;&gt;"",$C692&lt;&gt;"",$D692&lt;&gt;"",$E692&lt;&gt;""),"TXS"&amp;TEXT(COUNTIFS($B$2:$B692,"&lt;&gt;",$C$2:$C692,"&lt;&gt;",$D$2:$D692,"&lt;&gt;",$E$2:$E692,"&lt;&gt;"),"00000"),""))</f>
        <v/>
      </c>
      <c r="B692" s="16"/>
      <c r="C692" s="20"/>
      <c r="D692" s="20"/>
      <c r="E692" s="23"/>
      <c r="H692" s="19" t="str">
        <f t="shared" si="39"/>
        <v/>
      </c>
      <c r="I692" s="19" t="str">
        <f t="shared" si="38"/>
        <v/>
      </c>
      <c r="J692" s="19" t="str">
        <f t="shared" si="40"/>
        <v/>
      </c>
      <c r="K692" s="20"/>
      <c r="L692" s="21" t="str">
        <f>IF(OR(NOT(AND($B692&lt;&gt;"",$C692&lt;&gt;"",$D692&lt;&gt;"",$E692&lt;&gt;"")),$A692="",$K692&lt;&gt;"Yes"),"",IF($L692&lt;&gt;"",$L692,INDEX(SETUP!$I$1:$I$2000,MATCH(TRUE,SETUP!$J$1:$J$2000,0)+COUNTIFS($A$2:$A692,"&lt;&gt;",$K$2:$K692,"Yes",$L$2:$L692,"")-1)))</f>
        <v/>
      </c>
      <c r="N692" s="22"/>
    </row>
    <row r="693" spans="1:14" x14ac:dyDescent="0.3">
      <c r="A693" s="15" t="str">
        <f>IF(COUNTA($B693:$E693,$K693)=0,"",IF(AND($B693&lt;&gt;"",$C693&lt;&gt;"",$D693&lt;&gt;"",$E693&lt;&gt;""),"TXS"&amp;TEXT(COUNTIFS($B$2:$B693,"&lt;&gt;",$C$2:$C693,"&lt;&gt;",$D$2:$D693,"&lt;&gt;",$E$2:$E693,"&lt;&gt;"),"00000"),""))</f>
        <v/>
      </c>
      <c r="B693" s="16"/>
      <c r="C693" s="20"/>
      <c r="D693" s="20"/>
      <c r="E693" s="23"/>
      <c r="H693" s="19" t="str">
        <f t="shared" si="39"/>
        <v/>
      </c>
      <c r="I693" s="19" t="str">
        <f t="shared" si="38"/>
        <v/>
      </c>
      <c r="J693" s="19" t="str">
        <f t="shared" si="40"/>
        <v/>
      </c>
      <c r="K693" s="20"/>
      <c r="L693" s="21" t="str">
        <f>IF(OR(NOT(AND($B693&lt;&gt;"",$C693&lt;&gt;"",$D693&lt;&gt;"",$E693&lt;&gt;"")),$A693="",$K693&lt;&gt;"Yes"),"",IF($L693&lt;&gt;"",$L693,INDEX(SETUP!$I$1:$I$2000,MATCH(TRUE,SETUP!$J$1:$J$2000,0)+COUNTIFS($A$2:$A693,"&lt;&gt;",$K$2:$K693,"Yes",$L$2:$L693,"")-1)))</f>
        <v/>
      </c>
      <c r="N693" s="22"/>
    </row>
    <row r="694" spans="1:14" x14ac:dyDescent="0.3">
      <c r="A694" s="15" t="str">
        <f>IF(COUNTA($B694:$E694,$K694)=0,"",IF(AND($B694&lt;&gt;"",$C694&lt;&gt;"",$D694&lt;&gt;"",$E694&lt;&gt;""),"TXS"&amp;TEXT(COUNTIFS($B$2:$B694,"&lt;&gt;",$C$2:$C694,"&lt;&gt;",$D$2:$D694,"&lt;&gt;",$E$2:$E694,"&lt;&gt;"),"00000"),""))</f>
        <v/>
      </c>
      <c r="B694" s="16"/>
      <c r="C694" s="20"/>
      <c r="D694" s="20"/>
      <c r="E694" s="23"/>
      <c r="H694" s="19" t="str">
        <f t="shared" si="39"/>
        <v/>
      </c>
      <c r="I694" s="19" t="str">
        <f t="shared" si="38"/>
        <v/>
      </c>
      <c r="J694" s="19" t="str">
        <f t="shared" si="40"/>
        <v/>
      </c>
      <c r="K694" s="20"/>
      <c r="L694" s="21" t="str">
        <f>IF(OR(NOT(AND($B694&lt;&gt;"",$C694&lt;&gt;"",$D694&lt;&gt;"",$E694&lt;&gt;"")),$A694="",$K694&lt;&gt;"Yes"),"",IF($L694&lt;&gt;"",$L694,INDEX(SETUP!$I$1:$I$2000,MATCH(TRUE,SETUP!$J$1:$J$2000,0)+COUNTIFS($A$2:$A694,"&lt;&gt;",$K$2:$K694,"Yes",$L$2:$L694,"")-1)))</f>
        <v/>
      </c>
      <c r="N694" s="22"/>
    </row>
    <row r="695" spans="1:14" x14ac:dyDescent="0.3">
      <c r="A695" s="15" t="str">
        <f>IF(COUNTA($B695:$E695,$K695)=0,"",IF(AND($B695&lt;&gt;"",$C695&lt;&gt;"",$D695&lt;&gt;"",$E695&lt;&gt;""),"TXS"&amp;TEXT(COUNTIFS($B$2:$B695,"&lt;&gt;",$C$2:$C695,"&lt;&gt;",$D$2:$D695,"&lt;&gt;",$E$2:$E695,"&lt;&gt;"),"00000"),""))</f>
        <v/>
      </c>
      <c r="B695" s="16"/>
      <c r="C695" s="20"/>
      <c r="D695" s="20"/>
      <c r="E695" s="23"/>
      <c r="H695" s="19" t="str">
        <f t="shared" si="39"/>
        <v/>
      </c>
      <c r="I695" s="19" t="str">
        <f t="shared" si="38"/>
        <v/>
      </c>
      <c r="J695" s="19" t="str">
        <f t="shared" si="40"/>
        <v/>
      </c>
      <c r="K695" s="20"/>
      <c r="L695" s="21" t="str">
        <f>IF(OR(NOT(AND($B695&lt;&gt;"",$C695&lt;&gt;"",$D695&lt;&gt;"",$E695&lt;&gt;"")),$A695="",$K695&lt;&gt;"Yes"),"",IF($L695&lt;&gt;"",$L695,INDEX(SETUP!$I$1:$I$2000,MATCH(TRUE,SETUP!$J$1:$J$2000,0)+COUNTIFS($A$2:$A695,"&lt;&gt;",$K$2:$K695,"Yes",$L$2:$L695,"")-1)))</f>
        <v/>
      </c>
      <c r="N695" s="22"/>
    </row>
    <row r="696" spans="1:14" x14ac:dyDescent="0.3">
      <c r="A696" s="15" t="str">
        <f>IF(COUNTA($B696:$E696,$K696)=0,"",IF(AND($B696&lt;&gt;"",$C696&lt;&gt;"",$D696&lt;&gt;"",$E696&lt;&gt;""),"TXS"&amp;TEXT(COUNTIFS($B$2:$B696,"&lt;&gt;",$C$2:$C696,"&lt;&gt;",$D$2:$D696,"&lt;&gt;",$E$2:$E696,"&lt;&gt;"),"00000"),""))</f>
        <v/>
      </c>
      <c r="B696" s="16"/>
      <c r="C696" s="20"/>
      <c r="D696" s="20"/>
      <c r="E696" s="23"/>
      <c r="H696" s="19" t="str">
        <f t="shared" si="39"/>
        <v/>
      </c>
      <c r="I696" s="19" t="str">
        <f t="shared" si="38"/>
        <v/>
      </c>
      <c r="J696" s="19" t="str">
        <f t="shared" si="40"/>
        <v/>
      </c>
      <c r="K696" s="20"/>
      <c r="L696" s="21" t="str">
        <f>IF(OR(NOT(AND($B696&lt;&gt;"",$C696&lt;&gt;"",$D696&lt;&gt;"",$E696&lt;&gt;"")),$A696="",$K696&lt;&gt;"Yes"),"",IF($L696&lt;&gt;"",$L696,INDEX(SETUP!$I$1:$I$2000,MATCH(TRUE,SETUP!$J$1:$J$2000,0)+COUNTIFS($A$2:$A696,"&lt;&gt;",$K$2:$K696,"Yes",$L$2:$L696,"")-1)))</f>
        <v/>
      </c>
      <c r="N696" s="22"/>
    </row>
    <row r="697" spans="1:14" x14ac:dyDescent="0.3">
      <c r="A697" s="15" t="str">
        <f>IF(COUNTA($B697:$E697,$K697)=0,"",IF(AND($B697&lt;&gt;"",$C697&lt;&gt;"",$D697&lt;&gt;"",$E697&lt;&gt;""),"TXS"&amp;TEXT(COUNTIFS($B$2:$B697,"&lt;&gt;",$C$2:$C697,"&lt;&gt;",$D$2:$D697,"&lt;&gt;",$E$2:$E697,"&lt;&gt;"),"00000"),""))</f>
        <v/>
      </c>
      <c r="B697" s="16"/>
      <c r="C697" s="20"/>
      <c r="D697" s="20"/>
      <c r="E697" s="23"/>
      <c r="H697" s="19" t="str">
        <f t="shared" si="39"/>
        <v/>
      </c>
      <c r="I697" s="19" t="str">
        <f t="shared" si="38"/>
        <v/>
      </c>
      <c r="J697" s="19" t="str">
        <f t="shared" si="40"/>
        <v/>
      </c>
      <c r="K697" s="20"/>
      <c r="L697" s="21" t="str">
        <f>IF(OR(NOT(AND($B697&lt;&gt;"",$C697&lt;&gt;"",$D697&lt;&gt;"",$E697&lt;&gt;"")),$A697="",$K697&lt;&gt;"Yes"),"",IF($L697&lt;&gt;"",$L697,INDEX(SETUP!$I$1:$I$2000,MATCH(TRUE,SETUP!$J$1:$J$2000,0)+COUNTIFS($A$2:$A697,"&lt;&gt;",$K$2:$K697,"Yes",$L$2:$L697,"")-1)))</f>
        <v/>
      </c>
      <c r="N697" s="22"/>
    </row>
    <row r="698" spans="1:14" x14ac:dyDescent="0.3">
      <c r="A698" s="15" t="str">
        <f>IF(COUNTA($B698:$E698,$K698)=0,"",IF(AND($B698&lt;&gt;"",$C698&lt;&gt;"",$D698&lt;&gt;"",$E698&lt;&gt;""),"TXS"&amp;TEXT(COUNTIFS($B$2:$B698,"&lt;&gt;",$C$2:$C698,"&lt;&gt;",$D$2:$D698,"&lt;&gt;",$E$2:$E698,"&lt;&gt;"),"00000"),""))</f>
        <v/>
      </c>
      <c r="B698" s="16"/>
      <c r="C698" s="20"/>
      <c r="D698" s="20"/>
      <c r="E698" s="23"/>
      <c r="H698" s="19" t="str">
        <f t="shared" si="39"/>
        <v/>
      </c>
      <c r="I698" s="19" t="str">
        <f t="shared" si="38"/>
        <v/>
      </c>
      <c r="J698" s="19" t="str">
        <f t="shared" si="40"/>
        <v/>
      </c>
      <c r="K698" s="20"/>
      <c r="L698" s="21" t="str">
        <f>IF(OR(NOT(AND($B698&lt;&gt;"",$C698&lt;&gt;"",$D698&lt;&gt;"",$E698&lt;&gt;"")),$A698="",$K698&lt;&gt;"Yes"),"",IF($L698&lt;&gt;"",$L698,INDEX(SETUP!$I$1:$I$2000,MATCH(TRUE,SETUP!$J$1:$J$2000,0)+COUNTIFS($A$2:$A698,"&lt;&gt;",$K$2:$K698,"Yes",$L$2:$L698,"")-1)))</f>
        <v/>
      </c>
      <c r="N698" s="22"/>
    </row>
    <row r="699" spans="1:14" x14ac:dyDescent="0.3">
      <c r="A699" s="15" t="str">
        <f>IF(COUNTA($B699:$E699,$K699)=0,"",IF(AND($B699&lt;&gt;"",$C699&lt;&gt;"",$D699&lt;&gt;"",$E699&lt;&gt;""),"TXS"&amp;TEXT(COUNTIFS($B$2:$B699,"&lt;&gt;",$C$2:$C699,"&lt;&gt;",$D$2:$D699,"&lt;&gt;",$E$2:$E699,"&lt;&gt;"),"00000"),""))</f>
        <v/>
      </c>
      <c r="B699" s="16"/>
      <c r="C699" s="20"/>
      <c r="D699" s="20"/>
      <c r="E699" s="23"/>
      <c r="H699" s="19" t="str">
        <f t="shared" si="39"/>
        <v/>
      </c>
      <c r="I699" s="19" t="str">
        <f t="shared" si="38"/>
        <v/>
      </c>
      <c r="J699" s="19" t="str">
        <f t="shared" si="40"/>
        <v/>
      </c>
      <c r="K699" s="20"/>
      <c r="L699" s="21" t="str">
        <f>IF(OR(NOT(AND($B699&lt;&gt;"",$C699&lt;&gt;"",$D699&lt;&gt;"",$E699&lt;&gt;"")),$A699="",$K699&lt;&gt;"Yes"),"",IF($L699&lt;&gt;"",$L699,INDEX(SETUP!$I$1:$I$2000,MATCH(TRUE,SETUP!$J$1:$J$2000,0)+COUNTIFS($A$2:$A699,"&lt;&gt;",$K$2:$K699,"Yes",$L$2:$L699,"")-1)))</f>
        <v/>
      </c>
      <c r="N699" s="22"/>
    </row>
    <row r="700" spans="1:14" x14ac:dyDescent="0.3">
      <c r="A700" s="15" t="str">
        <f>IF(COUNTA($B700:$E700,$K700)=0,"",IF(AND($B700&lt;&gt;"",$C700&lt;&gt;"",$D700&lt;&gt;"",$E700&lt;&gt;""),"TXS"&amp;TEXT(COUNTIFS($B$2:$B700,"&lt;&gt;",$C$2:$C700,"&lt;&gt;",$D$2:$D700,"&lt;&gt;",$E$2:$E700,"&lt;&gt;"),"00000"),""))</f>
        <v/>
      </c>
      <c r="B700" s="16"/>
      <c r="C700" s="20"/>
      <c r="D700" s="20"/>
      <c r="E700" s="23"/>
      <c r="H700" s="19" t="str">
        <f t="shared" si="39"/>
        <v/>
      </c>
      <c r="I700" s="19" t="str">
        <f t="shared" si="38"/>
        <v/>
      </c>
      <c r="J700" s="19" t="str">
        <f t="shared" si="40"/>
        <v/>
      </c>
      <c r="K700" s="20"/>
      <c r="L700" s="21" t="str">
        <f>IF(OR(NOT(AND($B700&lt;&gt;"",$C700&lt;&gt;"",$D700&lt;&gt;"",$E700&lt;&gt;"")),$A700="",$K700&lt;&gt;"Yes"),"",IF($L700&lt;&gt;"",$L700,INDEX(SETUP!$I$1:$I$2000,MATCH(TRUE,SETUP!$J$1:$J$2000,0)+COUNTIFS($A$2:$A700,"&lt;&gt;",$K$2:$K700,"Yes",$L$2:$L700,"")-1)))</f>
        <v/>
      </c>
      <c r="N700" s="22"/>
    </row>
    <row r="701" spans="1:14" x14ac:dyDescent="0.3">
      <c r="A701" s="15" t="str">
        <f>IF(COUNTA($B701:$E701,$K701)=0,"",IF(AND($B701&lt;&gt;"",$C701&lt;&gt;"",$D701&lt;&gt;"",$E701&lt;&gt;""),"TXS"&amp;TEXT(COUNTIFS($B$2:$B701,"&lt;&gt;",$C$2:$C701,"&lt;&gt;",$D$2:$D701,"&lt;&gt;",$E$2:$E701,"&lt;&gt;"),"00000"),""))</f>
        <v/>
      </c>
      <c r="B701" s="16"/>
      <c r="C701" s="20"/>
      <c r="D701" s="20"/>
      <c r="E701" s="23"/>
      <c r="H701" s="19" t="str">
        <f t="shared" si="39"/>
        <v/>
      </c>
      <c r="I701" s="19" t="str">
        <f t="shared" si="38"/>
        <v/>
      </c>
      <c r="J701" s="19" t="str">
        <f t="shared" si="40"/>
        <v/>
      </c>
      <c r="K701" s="20"/>
      <c r="L701" s="21" t="str">
        <f>IF(OR(NOT(AND($B701&lt;&gt;"",$C701&lt;&gt;"",$D701&lt;&gt;"",$E701&lt;&gt;"")),$A701="",$K701&lt;&gt;"Yes"),"",IF($L701&lt;&gt;"",$L701,INDEX(SETUP!$I$1:$I$2000,MATCH(TRUE,SETUP!$J$1:$J$2000,0)+COUNTIFS($A$2:$A701,"&lt;&gt;",$K$2:$K701,"Yes",$L$2:$L701,"")-1)))</f>
        <v/>
      </c>
      <c r="N701" s="22"/>
    </row>
    <row r="702" spans="1:14" x14ac:dyDescent="0.3">
      <c r="A702" s="15" t="str">
        <f>IF(COUNTA($B702:$E702,$K702)=0,"",IF(AND($B702&lt;&gt;"",$C702&lt;&gt;"",$D702&lt;&gt;"",$E702&lt;&gt;""),"TXS"&amp;TEXT(COUNTIFS($B$2:$B702,"&lt;&gt;",$C$2:$C702,"&lt;&gt;",$D$2:$D702,"&lt;&gt;",$E$2:$E702,"&lt;&gt;"),"00000"),""))</f>
        <v/>
      </c>
      <c r="B702" s="16"/>
      <c r="C702" s="20"/>
      <c r="D702" s="20"/>
      <c r="E702" s="23"/>
      <c r="H702" s="19" t="str">
        <f t="shared" si="39"/>
        <v/>
      </c>
      <c r="I702" s="19" t="str">
        <f t="shared" si="38"/>
        <v/>
      </c>
      <c r="J702" s="19" t="str">
        <f t="shared" si="40"/>
        <v/>
      </c>
      <c r="K702" s="20"/>
      <c r="L702" s="21" t="str">
        <f>IF(OR(NOT(AND($B702&lt;&gt;"",$C702&lt;&gt;"",$D702&lt;&gt;"",$E702&lt;&gt;"")),$A702="",$K702&lt;&gt;"Yes"),"",IF($L702&lt;&gt;"",$L702,INDEX(SETUP!$I$1:$I$2000,MATCH(TRUE,SETUP!$J$1:$J$2000,0)+COUNTIFS($A$2:$A702,"&lt;&gt;",$K$2:$K702,"Yes",$L$2:$L702,"")-1)))</f>
        <v/>
      </c>
      <c r="N702" s="22"/>
    </row>
    <row r="703" spans="1:14" x14ac:dyDescent="0.3">
      <c r="A703" s="15" t="str">
        <f>IF(COUNTA($B703:$E703,$K703)=0,"",IF(AND($B703&lt;&gt;"",$C703&lt;&gt;"",$D703&lt;&gt;"",$E703&lt;&gt;""),"TXS"&amp;TEXT(COUNTIFS($B$2:$B703,"&lt;&gt;",$C$2:$C703,"&lt;&gt;",$D$2:$D703,"&lt;&gt;",$E$2:$E703,"&lt;&gt;"),"00000"),""))</f>
        <v/>
      </c>
      <c r="B703" s="16"/>
      <c r="C703" s="20"/>
      <c r="D703" s="20"/>
      <c r="E703" s="23"/>
      <c r="H703" s="19" t="str">
        <f t="shared" si="39"/>
        <v/>
      </c>
      <c r="I703" s="19" t="str">
        <f t="shared" si="38"/>
        <v/>
      </c>
      <c r="J703" s="19" t="str">
        <f t="shared" si="40"/>
        <v/>
      </c>
      <c r="K703" s="20"/>
      <c r="L703" s="21" t="str">
        <f>IF(OR(NOT(AND($B703&lt;&gt;"",$C703&lt;&gt;"",$D703&lt;&gt;"",$E703&lt;&gt;"")),$A703="",$K703&lt;&gt;"Yes"),"",IF($L703&lt;&gt;"",$L703,INDEX(SETUP!$I$1:$I$2000,MATCH(TRUE,SETUP!$J$1:$J$2000,0)+COUNTIFS($A$2:$A703,"&lt;&gt;",$K$2:$K703,"Yes",$L$2:$L703,"")-1)))</f>
        <v/>
      </c>
      <c r="N703" s="22"/>
    </row>
    <row r="704" spans="1:14" x14ac:dyDescent="0.3">
      <c r="A704" s="15" t="str">
        <f>IF(COUNTA($B704:$E704,$K704)=0,"",IF(AND($B704&lt;&gt;"",$C704&lt;&gt;"",$D704&lt;&gt;"",$E704&lt;&gt;""),"TXS"&amp;TEXT(COUNTIFS($B$2:$B704,"&lt;&gt;",$C$2:$C704,"&lt;&gt;",$D$2:$D704,"&lt;&gt;",$E$2:$E704,"&lt;&gt;"),"00000"),""))</f>
        <v/>
      </c>
      <c r="B704" s="16"/>
      <c r="C704" s="20"/>
      <c r="D704" s="20"/>
      <c r="E704" s="23"/>
      <c r="H704" s="19" t="str">
        <f t="shared" si="39"/>
        <v/>
      </c>
      <c r="I704" s="19" t="str">
        <f t="shared" si="38"/>
        <v/>
      </c>
      <c r="J704" s="19" t="str">
        <f t="shared" si="40"/>
        <v/>
      </c>
      <c r="K704" s="20"/>
      <c r="L704" s="21" t="str">
        <f>IF(OR(NOT(AND($B704&lt;&gt;"",$C704&lt;&gt;"",$D704&lt;&gt;"",$E704&lt;&gt;"")),$A704="",$K704&lt;&gt;"Yes"),"",IF($L704&lt;&gt;"",$L704,INDEX(SETUP!$I$1:$I$2000,MATCH(TRUE,SETUP!$J$1:$J$2000,0)+COUNTIFS($A$2:$A704,"&lt;&gt;",$K$2:$K704,"Yes",$L$2:$L704,"")-1)))</f>
        <v/>
      </c>
      <c r="N704" s="22"/>
    </row>
    <row r="705" spans="1:14" x14ac:dyDescent="0.3">
      <c r="A705" s="15" t="str">
        <f>IF(COUNTA($B705:$E705,$K705)=0,"",IF(AND($B705&lt;&gt;"",$C705&lt;&gt;"",$D705&lt;&gt;"",$E705&lt;&gt;""),"TXS"&amp;TEXT(COUNTIFS($B$2:$B705,"&lt;&gt;",$C$2:$C705,"&lt;&gt;",$D$2:$D705,"&lt;&gt;",$E$2:$E705,"&lt;&gt;"),"00000"),""))</f>
        <v/>
      </c>
      <c r="B705" s="16"/>
      <c r="C705" s="20"/>
      <c r="D705" s="20"/>
      <c r="E705" s="23"/>
      <c r="H705" s="19" t="str">
        <f t="shared" si="39"/>
        <v/>
      </c>
      <c r="I705" s="19" t="str">
        <f t="shared" si="38"/>
        <v/>
      </c>
      <c r="J705" s="19" t="str">
        <f t="shared" si="40"/>
        <v/>
      </c>
      <c r="K705" s="20"/>
      <c r="L705" s="21" t="str">
        <f>IF(OR(NOT(AND($B705&lt;&gt;"",$C705&lt;&gt;"",$D705&lt;&gt;"",$E705&lt;&gt;"")),$A705="",$K705&lt;&gt;"Yes"),"",IF($L705&lt;&gt;"",$L705,INDEX(SETUP!$I$1:$I$2000,MATCH(TRUE,SETUP!$J$1:$J$2000,0)+COUNTIFS($A$2:$A705,"&lt;&gt;",$K$2:$K705,"Yes",$L$2:$L705,"")-1)))</f>
        <v/>
      </c>
      <c r="N705" s="22"/>
    </row>
    <row r="706" spans="1:14" x14ac:dyDescent="0.3">
      <c r="A706" s="15" t="str">
        <f>IF(COUNTA($B706:$E706,$K706)=0,"",IF(AND($B706&lt;&gt;"",$C706&lt;&gt;"",$D706&lt;&gt;"",$E706&lt;&gt;""),"TXS"&amp;TEXT(COUNTIFS($B$2:$B706,"&lt;&gt;",$C$2:$C706,"&lt;&gt;",$D$2:$D706,"&lt;&gt;",$E$2:$E706,"&lt;&gt;"),"00000"),""))</f>
        <v/>
      </c>
      <c r="B706" s="16"/>
      <c r="C706" s="20"/>
      <c r="D706" s="20"/>
      <c r="E706" s="23"/>
      <c r="H706" s="19" t="str">
        <f t="shared" si="39"/>
        <v/>
      </c>
      <c r="I706" s="19" t="str">
        <f t="shared" si="38"/>
        <v/>
      </c>
      <c r="J706" s="19" t="str">
        <f t="shared" si="40"/>
        <v/>
      </c>
      <c r="K706" s="20"/>
      <c r="L706" s="21" t="str">
        <f>IF(OR(NOT(AND($B706&lt;&gt;"",$C706&lt;&gt;"",$D706&lt;&gt;"",$E706&lt;&gt;"")),$A706="",$K706&lt;&gt;"Yes"),"",IF($L706&lt;&gt;"",$L706,INDEX(SETUP!$I$1:$I$2000,MATCH(TRUE,SETUP!$J$1:$J$2000,0)+COUNTIFS($A$2:$A706,"&lt;&gt;",$K$2:$K706,"Yes",$L$2:$L706,"")-1)))</f>
        <v/>
      </c>
      <c r="N706" s="22"/>
    </row>
    <row r="707" spans="1:14" x14ac:dyDescent="0.3">
      <c r="A707" s="15" t="str">
        <f>IF(COUNTA($B707:$E707,$K707)=0,"",IF(AND($B707&lt;&gt;"",$C707&lt;&gt;"",$D707&lt;&gt;"",$E707&lt;&gt;""),"TXS"&amp;TEXT(COUNTIFS($B$2:$B707,"&lt;&gt;",$C$2:$C707,"&lt;&gt;",$D$2:$D707,"&lt;&gt;",$E$2:$E707,"&lt;&gt;"),"00000"),""))</f>
        <v/>
      </c>
      <c r="B707" s="16"/>
      <c r="C707" s="20"/>
      <c r="D707" s="20"/>
      <c r="E707" s="23"/>
      <c r="H707" s="19" t="str">
        <f t="shared" si="39"/>
        <v/>
      </c>
      <c r="I707" s="19" t="str">
        <f t="shared" si="38"/>
        <v/>
      </c>
      <c r="J707" s="19" t="str">
        <f t="shared" si="40"/>
        <v/>
      </c>
      <c r="K707" s="20"/>
      <c r="L707" s="21" t="str">
        <f>IF(OR(NOT(AND($B707&lt;&gt;"",$C707&lt;&gt;"",$D707&lt;&gt;"",$E707&lt;&gt;"")),$A707="",$K707&lt;&gt;"Yes"),"",IF($L707&lt;&gt;"",$L707,INDEX(SETUP!$I$1:$I$2000,MATCH(TRUE,SETUP!$J$1:$J$2000,0)+COUNTIFS($A$2:$A707,"&lt;&gt;",$K$2:$K707,"Yes",$L$2:$L707,"")-1)))</f>
        <v/>
      </c>
      <c r="N707" s="22"/>
    </row>
    <row r="708" spans="1:14" x14ac:dyDescent="0.3">
      <c r="A708" s="15" t="str">
        <f>IF(COUNTA($B708:$E708,$K708)=0,"",IF(AND($B708&lt;&gt;"",$C708&lt;&gt;"",$D708&lt;&gt;"",$E708&lt;&gt;""),"TXS"&amp;TEXT(COUNTIFS($B$2:$B708,"&lt;&gt;",$C$2:$C708,"&lt;&gt;",$D$2:$D708,"&lt;&gt;",$E$2:$E708,"&lt;&gt;"),"00000"),""))</f>
        <v/>
      </c>
      <c r="B708" s="16"/>
      <c r="C708" s="20"/>
      <c r="D708" s="20"/>
      <c r="E708" s="23"/>
      <c r="H708" s="19" t="str">
        <f t="shared" si="39"/>
        <v/>
      </c>
      <c r="I708" s="19" t="str">
        <f t="shared" si="38"/>
        <v/>
      </c>
      <c r="J708" s="19" t="str">
        <f t="shared" si="40"/>
        <v/>
      </c>
      <c r="K708" s="20"/>
      <c r="L708" s="21" t="str">
        <f>IF(OR(NOT(AND($B708&lt;&gt;"",$C708&lt;&gt;"",$D708&lt;&gt;"",$E708&lt;&gt;"")),$A708="",$K708&lt;&gt;"Yes"),"",IF($L708&lt;&gt;"",$L708,INDEX(SETUP!$I$1:$I$2000,MATCH(TRUE,SETUP!$J$1:$J$2000,0)+COUNTIFS($A$2:$A708,"&lt;&gt;",$K$2:$K708,"Yes",$L$2:$L708,"")-1)))</f>
        <v/>
      </c>
      <c r="N708" s="22"/>
    </row>
    <row r="709" spans="1:14" x14ac:dyDescent="0.3">
      <c r="A709" s="15" t="str">
        <f>IF(COUNTA($B709:$E709,$K709)=0,"",IF(AND($B709&lt;&gt;"",$C709&lt;&gt;"",$D709&lt;&gt;"",$E709&lt;&gt;""),"TXS"&amp;TEXT(COUNTIFS($B$2:$B709,"&lt;&gt;",$C$2:$C709,"&lt;&gt;",$D$2:$D709,"&lt;&gt;",$E$2:$E709,"&lt;&gt;"),"00000"),""))</f>
        <v/>
      </c>
      <c r="B709" s="16"/>
      <c r="C709" s="20"/>
      <c r="D709" s="20"/>
      <c r="E709" s="23"/>
      <c r="H709" s="19" t="str">
        <f t="shared" si="39"/>
        <v/>
      </c>
      <c r="I709" s="19" t="str">
        <f t="shared" si="38"/>
        <v/>
      </c>
      <c r="J709" s="19" t="str">
        <f t="shared" si="40"/>
        <v/>
      </c>
      <c r="K709" s="20"/>
      <c r="L709" s="21" t="str">
        <f>IF(OR(NOT(AND($B709&lt;&gt;"",$C709&lt;&gt;"",$D709&lt;&gt;"",$E709&lt;&gt;"")),$A709="",$K709&lt;&gt;"Yes"),"",IF($L709&lt;&gt;"",$L709,INDEX(SETUP!$I$1:$I$2000,MATCH(TRUE,SETUP!$J$1:$J$2000,0)+COUNTIFS($A$2:$A709,"&lt;&gt;",$K$2:$K709,"Yes",$L$2:$L709,"")-1)))</f>
        <v/>
      </c>
      <c r="N709" s="22"/>
    </row>
    <row r="710" spans="1:14" x14ac:dyDescent="0.3">
      <c r="A710" s="15" t="str">
        <f>IF(COUNTA($B710:$E710,$K710)=0,"",IF(AND($B710&lt;&gt;"",$C710&lt;&gt;"",$D710&lt;&gt;"",$E710&lt;&gt;""),"TXS"&amp;TEXT(COUNTIFS($B$2:$B710,"&lt;&gt;",$C$2:$C710,"&lt;&gt;",$D$2:$D710,"&lt;&gt;",$E$2:$E710,"&lt;&gt;"),"00000"),""))</f>
        <v/>
      </c>
      <c r="B710" s="16"/>
      <c r="C710" s="20"/>
      <c r="D710" s="20"/>
      <c r="E710" s="23"/>
      <c r="H710" s="19" t="str">
        <f t="shared" si="39"/>
        <v/>
      </c>
      <c r="I710" s="19" t="str">
        <f t="shared" si="38"/>
        <v/>
      </c>
      <c r="J710" s="19" t="str">
        <f t="shared" si="40"/>
        <v/>
      </c>
      <c r="K710" s="20"/>
      <c r="L710" s="21" t="str">
        <f>IF(OR(NOT(AND($B710&lt;&gt;"",$C710&lt;&gt;"",$D710&lt;&gt;"",$E710&lt;&gt;"")),$A710="",$K710&lt;&gt;"Yes"),"",IF($L710&lt;&gt;"",$L710,INDEX(SETUP!$I$1:$I$2000,MATCH(TRUE,SETUP!$J$1:$J$2000,0)+COUNTIFS($A$2:$A710,"&lt;&gt;",$K$2:$K710,"Yes",$L$2:$L710,"")-1)))</f>
        <v/>
      </c>
      <c r="N710" s="22"/>
    </row>
    <row r="711" spans="1:14" x14ac:dyDescent="0.3">
      <c r="A711" s="15" t="str">
        <f>IF(COUNTA($B711:$E711,$K711)=0,"",IF(AND($B711&lt;&gt;"",$C711&lt;&gt;"",$D711&lt;&gt;"",$E711&lt;&gt;""),"TXS"&amp;TEXT(COUNTIFS($B$2:$B711,"&lt;&gt;",$C$2:$C711,"&lt;&gt;",$D$2:$D711,"&lt;&gt;",$E$2:$E711,"&lt;&gt;"),"00000"),""))</f>
        <v/>
      </c>
      <c r="B711" s="16"/>
      <c r="C711" s="20"/>
      <c r="D711" s="20"/>
      <c r="E711" s="23"/>
      <c r="H711" s="19" t="str">
        <f t="shared" si="39"/>
        <v/>
      </c>
      <c r="I711" s="19" t="str">
        <f t="shared" si="38"/>
        <v/>
      </c>
      <c r="J711" s="19" t="str">
        <f t="shared" si="40"/>
        <v/>
      </c>
      <c r="K711" s="20"/>
      <c r="L711" s="21" t="str">
        <f>IF(OR(NOT(AND($B711&lt;&gt;"",$C711&lt;&gt;"",$D711&lt;&gt;"",$E711&lt;&gt;"")),$A711="",$K711&lt;&gt;"Yes"),"",IF($L711&lt;&gt;"",$L711,INDEX(SETUP!$I$1:$I$2000,MATCH(TRUE,SETUP!$J$1:$J$2000,0)+COUNTIFS($A$2:$A711,"&lt;&gt;",$K$2:$K711,"Yes",$L$2:$L711,"")-1)))</f>
        <v/>
      </c>
      <c r="N711" s="22"/>
    </row>
    <row r="712" spans="1:14" x14ac:dyDescent="0.3">
      <c r="A712" s="15" t="str">
        <f>IF(COUNTA($B712:$E712,$K712)=0,"",IF(AND($B712&lt;&gt;"",$C712&lt;&gt;"",$D712&lt;&gt;"",$E712&lt;&gt;""),"TXS"&amp;TEXT(COUNTIFS($B$2:$B712,"&lt;&gt;",$C$2:$C712,"&lt;&gt;",$D$2:$D712,"&lt;&gt;",$E$2:$E712,"&lt;&gt;"),"00000"),""))</f>
        <v/>
      </c>
      <c r="B712" s="16"/>
      <c r="C712" s="20"/>
      <c r="D712" s="20"/>
      <c r="E712" s="23"/>
      <c r="H712" s="19" t="str">
        <f t="shared" si="39"/>
        <v/>
      </c>
      <c r="I712" s="19" t="str">
        <f t="shared" si="38"/>
        <v/>
      </c>
      <c r="J712" s="19" t="str">
        <f t="shared" si="40"/>
        <v/>
      </c>
      <c r="K712" s="20"/>
      <c r="L712" s="21" t="str">
        <f>IF(OR(NOT(AND($B712&lt;&gt;"",$C712&lt;&gt;"",$D712&lt;&gt;"",$E712&lt;&gt;"")),$A712="",$K712&lt;&gt;"Yes"),"",IF($L712&lt;&gt;"",$L712,INDEX(SETUP!$I$1:$I$2000,MATCH(TRUE,SETUP!$J$1:$J$2000,0)+COUNTIFS($A$2:$A712,"&lt;&gt;",$K$2:$K712,"Yes",$L$2:$L712,"")-1)))</f>
        <v/>
      </c>
      <c r="N712" s="22"/>
    </row>
    <row r="713" spans="1:14" x14ac:dyDescent="0.3">
      <c r="A713" s="15" t="str">
        <f>IF(COUNTA($B713:$E713,$K713)=0,"",IF(AND($B713&lt;&gt;"",$C713&lt;&gt;"",$D713&lt;&gt;"",$E713&lt;&gt;""),"TXS"&amp;TEXT(COUNTIFS($B$2:$B713,"&lt;&gt;",$C$2:$C713,"&lt;&gt;",$D$2:$D713,"&lt;&gt;",$E$2:$E713,"&lt;&gt;"),"00000"),""))</f>
        <v/>
      </c>
      <c r="B713" s="16"/>
      <c r="C713" s="20"/>
      <c r="D713" s="20"/>
      <c r="E713" s="23"/>
      <c r="H713" s="19" t="str">
        <f t="shared" si="39"/>
        <v/>
      </c>
      <c r="I713" s="19" t="str">
        <f t="shared" si="38"/>
        <v/>
      </c>
      <c r="J713" s="19" t="str">
        <f t="shared" si="40"/>
        <v/>
      </c>
      <c r="K713" s="20"/>
      <c r="L713" s="21" t="str">
        <f>IF(OR(NOT(AND($B713&lt;&gt;"",$C713&lt;&gt;"",$D713&lt;&gt;"",$E713&lt;&gt;"")),$A713="",$K713&lt;&gt;"Yes"),"",IF($L713&lt;&gt;"",$L713,INDEX(SETUP!$I$1:$I$2000,MATCH(TRUE,SETUP!$J$1:$J$2000,0)+COUNTIFS($A$2:$A713,"&lt;&gt;",$K$2:$K713,"Yes",$L$2:$L713,"")-1)))</f>
        <v/>
      </c>
      <c r="N713" s="22"/>
    </row>
    <row r="714" spans="1:14" x14ac:dyDescent="0.3">
      <c r="A714" s="15" t="str">
        <f>IF(COUNTA($B714:$E714,$K714)=0,"",IF(AND($B714&lt;&gt;"",$C714&lt;&gt;"",$D714&lt;&gt;"",$E714&lt;&gt;""),"TXS"&amp;TEXT(COUNTIFS($B$2:$B714,"&lt;&gt;",$C$2:$C714,"&lt;&gt;",$D$2:$D714,"&lt;&gt;",$E$2:$E714,"&lt;&gt;"),"00000"),""))</f>
        <v/>
      </c>
      <c r="B714" s="16"/>
      <c r="C714" s="20"/>
      <c r="D714" s="20"/>
      <c r="E714" s="23"/>
      <c r="H714" s="19" t="str">
        <f t="shared" si="39"/>
        <v/>
      </c>
      <c r="I714" s="19" t="str">
        <f t="shared" si="38"/>
        <v/>
      </c>
      <c r="J714" s="19" t="str">
        <f t="shared" si="40"/>
        <v/>
      </c>
      <c r="K714" s="20"/>
      <c r="L714" s="21" t="str">
        <f>IF(OR(NOT(AND($B714&lt;&gt;"",$C714&lt;&gt;"",$D714&lt;&gt;"",$E714&lt;&gt;"")),$A714="",$K714&lt;&gt;"Yes"),"",IF($L714&lt;&gt;"",$L714,INDEX(SETUP!$I$1:$I$2000,MATCH(TRUE,SETUP!$J$1:$J$2000,0)+COUNTIFS($A$2:$A714,"&lt;&gt;",$K$2:$K714,"Yes",$L$2:$L714,"")-1)))</f>
        <v/>
      </c>
      <c r="N714" s="22"/>
    </row>
    <row r="715" spans="1:14" x14ac:dyDescent="0.3">
      <c r="A715" s="15" t="str">
        <f>IF(COUNTA($B715:$E715,$K715)=0,"",IF(AND($B715&lt;&gt;"",$C715&lt;&gt;"",$D715&lt;&gt;"",$E715&lt;&gt;""),"TXS"&amp;TEXT(COUNTIFS($B$2:$B715,"&lt;&gt;",$C$2:$C715,"&lt;&gt;",$D$2:$D715,"&lt;&gt;",$E$2:$E715,"&lt;&gt;"),"00000"),""))</f>
        <v/>
      </c>
      <c r="B715" s="16"/>
      <c r="C715" s="20"/>
      <c r="D715" s="20"/>
      <c r="E715" s="23"/>
      <c r="H715" s="19" t="str">
        <f t="shared" si="39"/>
        <v/>
      </c>
      <c r="I715" s="19" t="str">
        <f t="shared" si="38"/>
        <v/>
      </c>
      <c r="J715" s="19" t="str">
        <f t="shared" si="40"/>
        <v/>
      </c>
      <c r="K715" s="20"/>
      <c r="L715" s="21" t="str">
        <f>IF(OR(NOT(AND($B715&lt;&gt;"",$C715&lt;&gt;"",$D715&lt;&gt;"",$E715&lt;&gt;"")),$A715="",$K715&lt;&gt;"Yes"),"",IF($L715&lt;&gt;"",$L715,INDEX(SETUP!$I$1:$I$2000,MATCH(TRUE,SETUP!$J$1:$J$2000,0)+COUNTIFS($A$2:$A715,"&lt;&gt;",$K$2:$K715,"Yes",$L$2:$L715,"")-1)))</f>
        <v/>
      </c>
      <c r="N715" s="22"/>
    </row>
    <row r="716" spans="1:14" x14ac:dyDescent="0.3">
      <c r="A716" s="15" t="str">
        <f>IF(COUNTA($B716:$E716,$K716)=0,"",IF(AND($B716&lt;&gt;"",$C716&lt;&gt;"",$D716&lt;&gt;"",$E716&lt;&gt;""),"TXS"&amp;TEXT(COUNTIFS($B$2:$B716,"&lt;&gt;",$C$2:$C716,"&lt;&gt;",$D$2:$D716,"&lt;&gt;",$E$2:$E716,"&lt;&gt;"),"00000"),""))</f>
        <v/>
      </c>
      <c r="B716" s="16"/>
      <c r="C716" s="20"/>
      <c r="D716" s="20"/>
      <c r="E716" s="23"/>
      <c r="H716" s="19" t="str">
        <f t="shared" si="39"/>
        <v/>
      </c>
      <c r="I716" s="19" t="str">
        <f t="shared" si="38"/>
        <v/>
      </c>
      <c r="J716" s="19" t="str">
        <f t="shared" si="40"/>
        <v/>
      </c>
      <c r="K716" s="20"/>
      <c r="L716" s="21" t="str">
        <f>IF(OR(NOT(AND($B716&lt;&gt;"",$C716&lt;&gt;"",$D716&lt;&gt;"",$E716&lt;&gt;"")),$A716="",$K716&lt;&gt;"Yes"),"",IF($L716&lt;&gt;"",$L716,INDEX(SETUP!$I$1:$I$2000,MATCH(TRUE,SETUP!$J$1:$J$2000,0)+COUNTIFS($A$2:$A716,"&lt;&gt;",$K$2:$K716,"Yes",$L$2:$L716,"")-1)))</f>
        <v/>
      </c>
      <c r="N716" s="22"/>
    </row>
    <row r="717" spans="1:14" x14ac:dyDescent="0.3">
      <c r="A717" s="15" t="str">
        <f>IF(COUNTA($B717:$E717,$K717)=0,"",IF(AND($B717&lt;&gt;"",$C717&lt;&gt;"",$D717&lt;&gt;"",$E717&lt;&gt;""),"TXS"&amp;TEXT(COUNTIFS($B$2:$B717,"&lt;&gt;",$C$2:$C717,"&lt;&gt;",$D$2:$D717,"&lt;&gt;",$E$2:$E717,"&lt;&gt;"),"00000"),""))</f>
        <v/>
      </c>
      <c r="B717" s="16"/>
      <c r="C717" s="20"/>
      <c r="D717" s="20"/>
      <c r="E717" s="23"/>
      <c r="H717" s="19" t="str">
        <f t="shared" si="39"/>
        <v/>
      </c>
      <c r="I717" s="19" t="str">
        <f t="shared" si="38"/>
        <v/>
      </c>
      <c r="J717" s="19" t="str">
        <f t="shared" si="40"/>
        <v/>
      </c>
      <c r="K717" s="20"/>
      <c r="L717" s="21" t="str">
        <f>IF(OR(NOT(AND($B717&lt;&gt;"",$C717&lt;&gt;"",$D717&lt;&gt;"",$E717&lt;&gt;"")),$A717="",$K717&lt;&gt;"Yes"),"",IF($L717&lt;&gt;"",$L717,INDEX(SETUP!$I$1:$I$2000,MATCH(TRUE,SETUP!$J$1:$J$2000,0)+COUNTIFS($A$2:$A717,"&lt;&gt;",$K$2:$K717,"Yes",$L$2:$L717,"")-1)))</f>
        <v/>
      </c>
      <c r="N717" s="22"/>
    </row>
    <row r="718" spans="1:14" x14ac:dyDescent="0.3">
      <c r="A718" s="15" t="str">
        <f>IF(COUNTA($B718:$E718,$K718)=0,"",IF(AND($B718&lt;&gt;"",$C718&lt;&gt;"",$D718&lt;&gt;"",$E718&lt;&gt;""),"TXS"&amp;TEXT(COUNTIFS($B$2:$B718,"&lt;&gt;",$C$2:$C718,"&lt;&gt;",$D$2:$D718,"&lt;&gt;",$E$2:$E718,"&lt;&gt;"),"00000"),""))</f>
        <v/>
      </c>
      <c r="B718" s="16"/>
      <c r="C718" s="20"/>
      <c r="D718" s="20"/>
      <c r="E718" s="23"/>
      <c r="H718" s="19" t="str">
        <f t="shared" si="39"/>
        <v/>
      </c>
      <c r="I718" s="19" t="str">
        <f t="shared" si="38"/>
        <v/>
      </c>
      <c r="J718" s="19" t="str">
        <f t="shared" si="40"/>
        <v/>
      </c>
      <c r="K718" s="20"/>
      <c r="L718" s="21" t="str">
        <f>IF(OR(NOT(AND($B718&lt;&gt;"",$C718&lt;&gt;"",$D718&lt;&gt;"",$E718&lt;&gt;"")),$A718="",$K718&lt;&gt;"Yes"),"",IF($L718&lt;&gt;"",$L718,INDEX(SETUP!$I$1:$I$2000,MATCH(TRUE,SETUP!$J$1:$J$2000,0)+COUNTIFS($A$2:$A718,"&lt;&gt;",$K$2:$K718,"Yes",$L$2:$L718,"")-1)))</f>
        <v/>
      </c>
      <c r="N718" s="22"/>
    </row>
    <row r="719" spans="1:14" x14ac:dyDescent="0.3">
      <c r="A719" s="15" t="str">
        <f>IF(COUNTA($B719:$E719,$K719)=0,"",IF(AND($B719&lt;&gt;"",$C719&lt;&gt;"",$D719&lt;&gt;"",$E719&lt;&gt;""),"TXS"&amp;TEXT(COUNTIFS($B$2:$B719,"&lt;&gt;",$C$2:$C719,"&lt;&gt;",$D$2:$D719,"&lt;&gt;",$E$2:$E719,"&lt;&gt;"),"00000"),""))</f>
        <v/>
      </c>
      <c r="B719" s="16"/>
      <c r="C719" s="20"/>
      <c r="D719" s="20"/>
      <c r="E719" s="23"/>
      <c r="H719" s="19" t="str">
        <f t="shared" si="39"/>
        <v/>
      </c>
      <c r="I719" s="19" t="str">
        <f t="shared" si="38"/>
        <v/>
      </c>
      <c r="J719" s="19" t="str">
        <f t="shared" si="40"/>
        <v/>
      </c>
      <c r="K719" s="20"/>
      <c r="L719" s="21" t="str">
        <f>IF(OR(NOT(AND($B719&lt;&gt;"",$C719&lt;&gt;"",$D719&lt;&gt;"",$E719&lt;&gt;"")),$A719="",$K719&lt;&gt;"Yes"),"",IF($L719&lt;&gt;"",$L719,INDEX(SETUP!$I$1:$I$2000,MATCH(TRUE,SETUP!$J$1:$J$2000,0)+COUNTIFS($A$2:$A719,"&lt;&gt;",$K$2:$K719,"Yes",$L$2:$L719,"")-1)))</f>
        <v/>
      </c>
      <c r="N719" s="22"/>
    </row>
    <row r="720" spans="1:14" x14ac:dyDescent="0.3">
      <c r="A720" s="15" t="str">
        <f>IF(COUNTA($B720:$E720,$K720)=0,"",IF(AND($B720&lt;&gt;"",$C720&lt;&gt;"",$D720&lt;&gt;"",$E720&lt;&gt;""),"TXS"&amp;TEXT(COUNTIFS($B$2:$B720,"&lt;&gt;",$C$2:$C720,"&lt;&gt;",$D$2:$D720,"&lt;&gt;",$E$2:$E720,"&lt;&gt;"),"00000"),""))</f>
        <v/>
      </c>
      <c r="B720" s="16"/>
      <c r="C720" s="20"/>
      <c r="D720" s="20"/>
      <c r="E720" s="23"/>
      <c r="H720" s="19" t="str">
        <f t="shared" si="39"/>
        <v/>
      </c>
      <c r="I720" s="19" t="str">
        <f t="shared" si="38"/>
        <v/>
      </c>
      <c r="J720" s="19" t="str">
        <f t="shared" si="40"/>
        <v/>
      </c>
      <c r="K720" s="20"/>
      <c r="L720" s="21" t="str">
        <f>IF(OR(NOT(AND($B720&lt;&gt;"",$C720&lt;&gt;"",$D720&lt;&gt;"",$E720&lt;&gt;"")),$A720="",$K720&lt;&gt;"Yes"),"",IF($L720&lt;&gt;"",$L720,INDEX(SETUP!$I$1:$I$2000,MATCH(TRUE,SETUP!$J$1:$J$2000,0)+COUNTIFS($A$2:$A720,"&lt;&gt;",$K$2:$K720,"Yes",$L$2:$L720,"")-1)))</f>
        <v/>
      </c>
      <c r="N720" s="22"/>
    </row>
    <row r="721" spans="1:14" x14ac:dyDescent="0.3">
      <c r="A721" s="15" t="str">
        <f>IF(COUNTA($B721:$E721,$K721)=0,"",IF(AND($B721&lt;&gt;"",$C721&lt;&gt;"",$D721&lt;&gt;"",$E721&lt;&gt;""),"TXS"&amp;TEXT(COUNTIFS($B$2:$B721,"&lt;&gt;",$C$2:$C721,"&lt;&gt;",$D$2:$D721,"&lt;&gt;",$E$2:$E721,"&lt;&gt;"),"00000"),""))</f>
        <v/>
      </c>
      <c r="B721" s="16"/>
      <c r="C721" s="20"/>
      <c r="D721" s="20"/>
      <c r="E721" s="23"/>
      <c r="H721" s="19" t="str">
        <f t="shared" si="39"/>
        <v/>
      </c>
      <c r="I721" s="19" t="str">
        <f t="shared" si="38"/>
        <v/>
      </c>
      <c r="J721" s="19" t="str">
        <f t="shared" si="40"/>
        <v/>
      </c>
      <c r="K721" s="20"/>
      <c r="L721" s="21" t="str">
        <f>IF(OR(NOT(AND($B721&lt;&gt;"",$C721&lt;&gt;"",$D721&lt;&gt;"",$E721&lt;&gt;"")),$A721="",$K721&lt;&gt;"Yes"),"",IF($L721&lt;&gt;"",$L721,INDEX(SETUP!$I$1:$I$2000,MATCH(TRUE,SETUP!$J$1:$J$2000,0)+COUNTIFS($A$2:$A721,"&lt;&gt;",$K$2:$K721,"Yes",$L$2:$L721,"")-1)))</f>
        <v/>
      </c>
      <c r="N721" s="22"/>
    </row>
    <row r="722" spans="1:14" x14ac:dyDescent="0.3">
      <c r="A722" s="15" t="str">
        <f>IF(COUNTA($B722:$E722,$K722)=0,"",IF(AND($B722&lt;&gt;"",$C722&lt;&gt;"",$D722&lt;&gt;"",$E722&lt;&gt;""),"TXS"&amp;TEXT(COUNTIFS($B$2:$B722,"&lt;&gt;",$C$2:$C722,"&lt;&gt;",$D$2:$D722,"&lt;&gt;",$E$2:$E722,"&lt;&gt;"),"00000"),""))</f>
        <v/>
      </c>
      <c r="B722" s="16"/>
      <c r="C722" s="20"/>
      <c r="D722" s="20"/>
      <c r="E722" s="23"/>
      <c r="H722" s="19" t="str">
        <f t="shared" si="39"/>
        <v/>
      </c>
      <c r="I722" s="19" t="str">
        <f t="shared" si="38"/>
        <v/>
      </c>
      <c r="J722" s="19" t="str">
        <f t="shared" si="40"/>
        <v/>
      </c>
      <c r="K722" s="20"/>
      <c r="L722" s="21" t="str">
        <f>IF(OR(NOT(AND($B722&lt;&gt;"",$C722&lt;&gt;"",$D722&lt;&gt;"",$E722&lt;&gt;"")),$A722="",$K722&lt;&gt;"Yes"),"",IF($L722&lt;&gt;"",$L722,INDEX(SETUP!$I$1:$I$2000,MATCH(TRUE,SETUP!$J$1:$J$2000,0)+COUNTIFS($A$2:$A722,"&lt;&gt;",$K$2:$K722,"Yes",$L$2:$L722,"")-1)))</f>
        <v/>
      </c>
      <c r="N722" s="22"/>
    </row>
    <row r="723" spans="1:14" x14ac:dyDescent="0.3">
      <c r="A723" s="15" t="str">
        <f>IF(COUNTA($B723:$E723,$K723)=0,"",IF(AND($B723&lt;&gt;"",$C723&lt;&gt;"",$D723&lt;&gt;"",$E723&lt;&gt;""),"TXS"&amp;TEXT(COUNTIFS($B$2:$B723,"&lt;&gt;",$C$2:$C723,"&lt;&gt;",$D$2:$D723,"&lt;&gt;",$E$2:$E723,"&lt;&gt;"),"00000"),""))</f>
        <v/>
      </c>
      <c r="B723" s="16"/>
      <c r="C723" s="20"/>
      <c r="D723" s="20"/>
      <c r="E723" s="23"/>
      <c r="H723" s="19" t="str">
        <f t="shared" si="39"/>
        <v/>
      </c>
      <c r="I723" s="19" t="str">
        <f t="shared" si="38"/>
        <v/>
      </c>
      <c r="J723" s="19" t="str">
        <f t="shared" si="40"/>
        <v/>
      </c>
      <c r="K723" s="20"/>
      <c r="L723" s="21" t="str">
        <f>IF(OR(NOT(AND($B723&lt;&gt;"",$C723&lt;&gt;"",$D723&lt;&gt;"",$E723&lt;&gt;"")),$A723="",$K723&lt;&gt;"Yes"),"",IF($L723&lt;&gt;"",$L723,INDEX(SETUP!$I$1:$I$2000,MATCH(TRUE,SETUP!$J$1:$J$2000,0)+COUNTIFS($A$2:$A723,"&lt;&gt;",$K$2:$K723,"Yes",$L$2:$L723,"")-1)))</f>
        <v/>
      </c>
      <c r="N723" s="22"/>
    </row>
    <row r="724" spans="1:14" x14ac:dyDescent="0.3">
      <c r="A724" s="15" t="str">
        <f>IF(COUNTA($B724:$E724,$K724)=0,"",IF(AND($B724&lt;&gt;"",$C724&lt;&gt;"",$D724&lt;&gt;"",$E724&lt;&gt;""),"TXS"&amp;TEXT(COUNTIFS($B$2:$B724,"&lt;&gt;",$C$2:$C724,"&lt;&gt;",$D$2:$D724,"&lt;&gt;",$E$2:$E724,"&lt;&gt;"),"00000"),""))</f>
        <v/>
      </c>
      <c r="B724" s="16"/>
      <c r="C724" s="20"/>
      <c r="D724" s="20"/>
      <c r="E724" s="23"/>
      <c r="H724" s="19" t="str">
        <f t="shared" si="39"/>
        <v/>
      </c>
      <c r="I724" s="19" t="str">
        <f t="shared" si="38"/>
        <v/>
      </c>
      <c r="J724" s="19" t="str">
        <f t="shared" si="40"/>
        <v/>
      </c>
      <c r="K724" s="20"/>
      <c r="L724" s="21" t="str">
        <f>IF(OR(NOT(AND($B724&lt;&gt;"",$C724&lt;&gt;"",$D724&lt;&gt;"",$E724&lt;&gt;"")),$A724="",$K724&lt;&gt;"Yes"),"",IF($L724&lt;&gt;"",$L724,INDEX(SETUP!$I$1:$I$2000,MATCH(TRUE,SETUP!$J$1:$J$2000,0)+COUNTIFS($A$2:$A724,"&lt;&gt;",$K$2:$K724,"Yes",$L$2:$L724,"")-1)))</f>
        <v/>
      </c>
      <c r="N724" s="22"/>
    </row>
    <row r="725" spans="1:14" x14ac:dyDescent="0.3">
      <c r="A725" s="15" t="str">
        <f>IF(COUNTA($B725:$E725,$K725)=0,"",IF(AND($B725&lt;&gt;"",$C725&lt;&gt;"",$D725&lt;&gt;"",$E725&lt;&gt;""),"TXS"&amp;TEXT(COUNTIFS($B$2:$B725,"&lt;&gt;",$C$2:$C725,"&lt;&gt;",$D$2:$D725,"&lt;&gt;",$E$2:$E725,"&lt;&gt;"),"00000"),""))</f>
        <v/>
      </c>
      <c r="B725" s="16"/>
      <c r="C725" s="20"/>
      <c r="D725" s="20"/>
      <c r="E725" s="23"/>
      <c r="H725" s="19" t="str">
        <f t="shared" si="39"/>
        <v/>
      </c>
      <c r="I725" s="19" t="str">
        <f t="shared" si="38"/>
        <v/>
      </c>
      <c r="J725" s="19" t="str">
        <f t="shared" si="40"/>
        <v/>
      </c>
      <c r="K725" s="20"/>
      <c r="L725" s="21" t="str">
        <f>IF(OR(NOT(AND($B725&lt;&gt;"",$C725&lt;&gt;"",$D725&lt;&gt;"",$E725&lt;&gt;"")),$A725="",$K725&lt;&gt;"Yes"),"",IF($L725&lt;&gt;"",$L725,INDEX(SETUP!$I$1:$I$2000,MATCH(TRUE,SETUP!$J$1:$J$2000,0)+COUNTIFS($A$2:$A725,"&lt;&gt;",$K$2:$K725,"Yes",$L$2:$L725,"")-1)))</f>
        <v/>
      </c>
      <c r="N725" s="22"/>
    </row>
    <row r="726" spans="1:14" x14ac:dyDescent="0.3">
      <c r="A726" s="15" t="str">
        <f>IF(COUNTA($B726:$E726,$K726)=0,"",IF(AND($B726&lt;&gt;"",$C726&lt;&gt;"",$D726&lt;&gt;"",$E726&lt;&gt;""),"TXS"&amp;TEXT(COUNTIFS($B$2:$B726,"&lt;&gt;",$C$2:$C726,"&lt;&gt;",$D$2:$D726,"&lt;&gt;",$E$2:$E726,"&lt;&gt;"),"00000"),""))</f>
        <v/>
      </c>
      <c r="B726" s="16"/>
      <c r="C726" s="20"/>
      <c r="D726" s="20"/>
      <c r="E726" s="23"/>
      <c r="H726" s="19" t="str">
        <f t="shared" si="39"/>
        <v/>
      </c>
      <c r="I726" s="19" t="str">
        <f t="shared" si="38"/>
        <v/>
      </c>
      <c r="J726" s="19" t="str">
        <f t="shared" si="40"/>
        <v/>
      </c>
      <c r="K726" s="20"/>
      <c r="L726" s="21" t="str">
        <f>IF(OR(NOT(AND($B726&lt;&gt;"",$C726&lt;&gt;"",$D726&lt;&gt;"",$E726&lt;&gt;"")),$A726="",$K726&lt;&gt;"Yes"),"",IF($L726&lt;&gt;"",$L726,INDEX(SETUP!$I$1:$I$2000,MATCH(TRUE,SETUP!$J$1:$J$2000,0)+COUNTIFS($A$2:$A726,"&lt;&gt;",$K$2:$K726,"Yes",$L$2:$L726,"")-1)))</f>
        <v/>
      </c>
      <c r="N726" s="22"/>
    </row>
    <row r="727" spans="1:14" x14ac:dyDescent="0.3">
      <c r="A727" s="15" t="str">
        <f>IF(COUNTA($B727:$E727,$K727)=0,"",IF(AND($B727&lt;&gt;"",$C727&lt;&gt;"",$D727&lt;&gt;"",$E727&lt;&gt;""),"TXS"&amp;TEXT(COUNTIFS($B$2:$B727,"&lt;&gt;",$C$2:$C727,"&lt;&gt;",$D$2:$D727,"&lt;&gt;",$E$2:$E727,"&lt;&gt;"),"00000"),""))</f>
        <v/>
      </c>
      <c r="B727" s="16"/>
      <c r="C727" s="20"/>
      <c r="D727" s="20"/>
      <c r="E727" s="23"/>
      <c r="H727" s="19" t="str">
        <f t="shared" si="39"/>
        <v/>
      </c>
      <c r="I727" s="19" t="str">
        <f t="shared" si="38"/>
        <v/>
      </c>
      <c r="J727" s="19" t="str">
        <f t="shared" si="40"/>
        <v/>
      </c>
      <c r="K727" s="20"/>
      <c r="L727" s="21" t="str">
        <f>IF(OR(NOT(AND($B727&lt;&gt;"",$C727&lt;&gt;"",$D727&lt;&gt;"",$E727&lt;&gt;"")),$A727="",$K727&lt;&gt;"Yes"),"",IF($L727&lt;&gt;"",$L727,INDEX(SETUP!$I$1:$I$2000,MATCH(TRUE,SETUP!$J$1:$J$2000,0)+COUNTIFS($A$2:$A727,"&lt;&gt;",$K$2:$K727,"Yes",$L$2:$L727,"")-1)))</f>
        <v/>
      </c>
      <c r="N727" s="22"/>
    </row>
    <row r="728" spans="1:14" x14ac:dyDescent="0.3">
      <c r="A728" s="15" t="str">
        <f>IF(COUNTA($B728:$E728,$K728)=0,"",IF(AND($B728&lt;&gt;"",$C728&lt;&gt;"",$D728&lt;&gt;"",$E728&lt;&gt;""),"TXS"&amp;TEXT(COUNTIFS($B$2:$B728,"&lt;&gt;",$C$2:$C728,"&lt;&gt;",$D$2:$D728,"&lt;&gt;",$E$2:$E728,"&lt;&gt;"),"00000"),""))</f>
        <v/>
      </c>
      <c r="B728" s="16"/>
      <c r="C728" s="20"/>
      <c r="D728" s="20"/>
      <c r="E728" s="23"/>
      <c r="H728" s="19" t="str">
        <f t="shared" si="39"/>
        <v/>
      </c>
      <c r="I728" s="19" t="str">
        <f t="shared" si="38"/>
        <v/>
      </c>
      <c r="J728" s="19" t="str">
        <f t="shared" si="40"/>
        <v/>
      </c>
      <c r="K728" s="20"/>
      <c r="L728" s="21" t="str">
        <f>IF(OR(NOT(AND($B728&lt;&gt;"",$C728&lt;&gt;"",$D728&lt;&gt;"",$E728&lt;&gt;"")),$A728="",$K728&lt;&gt;"Yes"),"",IF($L728&lt;&gt;"",$L728,INDEX(SETUP!$I$1:$I$2000,MATCH(TRUE,SETUP!$J$1:$J$2000,0)+COUNTIFS($A$2:$A728,"&lt;&gt;",$K$2:$K728,"Yes",$L$2:$L728,"")-1)))</f>
        <v/>
      </c>
      <c r="N728" s="22"/>
    </row>
    <row r="729" spans="1:14" x14ac:dyDescent="0.3">
      <c r="A729" s="15" t="str">
        <f>IF(COUNTA($B729:$E729,$K729)=0,"",IF(AND($B729&lt;&gt;"",$C729&lt;&gt;"",$D729&lt;&gt;"",$E729&lt;&gt;""),"TXS"&amp;TEXT(COUNTIFS($B$2:$B729,"&lt;&gt;",$C$2:$C729,"&lt;&gt;",$D$2:$D729,"&lt;&gt;",$E$2:$E729,"&lt;&gt;"),"00000"),""))</f>
        <v/>
      </c>
      <c r="B729" s="16"/>
      <c r="C729" s="20"/>
      <c r="D729" s="20"/>
      <c r="E729" s="23"/>
      <c r="H729" s="19" t="str">
        <f t="shared" si="39"/>
        <v/>
      </c>
      <c r="I729" s="19" t="str">
        <f t="shared" si="38"/>
        <v/>
      </c>
      <c r="J729" s="19" t="str">
        <f t="shared" si="40"/>
        <v/>
      </c>
      <c r="K729" s="20"/>
      <c r="L729" s="21" t="str">
        <f>IF(OR(NOT(AND($B729&lt;&gt;"",$C729&lt;&gt;"",$D729&lt;&gt;"",$E729&lt;&gt;"")),$A729="",$K729&lt;&gt;"Yes"),"",IF($L729&lt;&gt;"",$L729,INDEX(SETUP!$I$1:$I$2000,MATCH(TRUE,SETUP!$J$1:$J$2000,0)+COUNTIFS($A$2:$A729,"&lt;&gt;",$K$2:$K729,"Yes",$L$2:$L729,"")-1)))</f>
        <v/>
      </c>
      <c r="N729" s="22"/>
    </row>
    <row r="730" spans="1:14" x14ac:dyDescent="0.3">
      <c r="A730" s="15" t="str">
        <f>IF(COUNTA($B730:$E730,$K730)=0,"",IF(AND($B730&lt;&gt;"",$C730&lt;&gt;"",$D730&lt;&gt;"",$E730&lt;&gt;""),"TXS"&amp;TEXT(COUNTIFS($B$2:$B730,"&lt;&gt;",$C$2:$C730,"&lt;&gt;",$D$2:$D730,"&lt;&gt;",$E$2:$E730,"&lt;&gt;"),"00000"),""))</f>
        <v/>
      </c>
      <c r="B730" s="16"/>
      <c r="C730" s="20"/>
      <c r="D730" s="20"/>
      <c r="E730" s="23"/>
      <c r="H730" s="19" t="str">
        <f t="shared" si="39"/>
        <v/>
      </c>
      <c r="I730" s="19" t="str">
        <f t="shared" si="38"/>
        <v/>
      </c>
      <c r="J730" s="19" t="str">
        <f t="shared" si="40"/>
        <v/>
      </c>
      <c r="K730" s="20"/>
      <c r="L730" s="21" t="str">
        <f>IF(OR(NOT(AND($B730&lt;&gt;"",$C730&lt;&gt;"",$D730&lt;&gt;"",$E730&lt;&gt;"")),$A730="",$K730&lt;&gt;"Yes"),"",IF($L730&lt;&gt;"",$L730,INDEX(SETUP!$I$1:$I$2000,MATCH(TRUE,SETUP!$J$1:$J$2000,0)+COUNTIFS($A$2:$A730,"&lt;&gt;",$K$2:$K730,"Yes",$L$2:$L730,"")-1)))</f>
        <v/>
      </c>
      <c r="N730" s="22"/>
    </row>
    <row r="731" spans="1:14" x14ac:dyDescent="0.3">
      <c r="A731" s="15" t="str">
        <f>IF(COUNTA($B731:$E731,$K731)=0,"",IF(AND($B731&lt;&gt;"",$C731&lt;&gt;"",$D731&lt;&gt;"",$E731&lt;&gt;""),"TXS"&amp;TEXT(COUNTIFS($B$2:$B731,"&lt;&gt;",$C$2:$C731,"&lt;&gt;",$D$2:$D731,"&lt;&gt;",$E$2:$E731,"&lt;&gt;"),"00000"),""))</f>
        <v/>
      </c>
      <c r="B731" s="16"/>
      <c r="C731" s="20"/>
      <c r="D731" s="20"/>
      <c r="E731" s="23"/>
      <c r="H731" s="19" t="str">
        <f t="shared" si="39"/>
        <v/>
      </c>
      <c r="I731" s="19" t="str">
        <f t="shared" si="38"/>
        <v/>
      </c>
      <c r="J731" s="19" t="str">
        <f t="shared" si="40"/>
        <v/>
      </c>
      <c r="K731" s="20"/>
      <c r="L731" s="21" t="str">
        <f>IF(OR(NOT(AND($B731&lt;&gt;"",$C731&lt;&gt;"",$D731&lt;&gt;"",$E731&lt;&gt;"")),$A731="",$K731&lt;&gt;"Yes"),"",IF($L731&lt;&gt;"",$L731,INDEX(SETUP!$I$1:$I$2000,MATCH(TRUE,SETUP!$J$1:$J$2000,0)+COUNTIFS($A$2:$A731,"&lt;&gt;",$K$2:$K731,"Yes",$L$2:$L731,"")-1)))</f>
        <v/>
      </c>
      <c r="N731" s="22"/>
    </row>
    <row r="732" spans="1:14" x14ac:dyDescent="0.3">
      <c r="A732" s="15" t="str">
        <f>IF(COUNTA($B732:$E732,$K732)=0,"",IF(AND($B732&lt;&gt;"",$C732&lt;&gt;"",$D732&lt;&gt;"",$E732&lt;&gt;""),"TXS"&amp;TEXT(COUNTIFS($B$2:$B732,"&lt;&gt;",$C$2:$C732,"&lt;&gt;",$D$2:$D732,"&lt;&gt;",$E$2:$E732,"&lt;&gt;"),"00000"),""))</f>
        <v/>
      </c>
      <c r="B732" s="16"/>
      <c r="C732" s="20"/>
      <c r="D732" s="20"/>
      <c r="E732" s="23"/>
      <c r="H732" s="19" t="str">
        <f t="shared" si="39"/>
        <v/>
      </c>
      <c r="I732" s="19" t="str">
        <f t="shared" si="38"/>
        <v/>
      </c>
      <c r="J732" s="19" t="str">
        <f t="shared" si="40"/>
        <v/>
      </c>
      <c r="K732" s="20"/>
      <c r="L732" s="21" t="str">
        <f>IF(OR(NOT(AND($B732&lt;&gt;"",$C732&lt;&gt;"",$D732&lt;&gt;"",$E732&lt;&gt;"")),$A732="",$K732&lt;&gt;"Yes"),"",IF($L732&lt;&gt;"",$L732,INDEX(SETUP!$I$1:$I$2000,MATCH(TRUE,SETUP!$J$1:$J$2000,0)+COUNTIFS($A$2:$A732,"&lt;&gt;",$K$2:$K732,"Yes",$L$2:$L732,"")-1)))</f>
        <v/>
      </c>
      <c r="N732" s="22"/>
    </row>
    <row r="733" spans="1:14" x14ac:dyDescent="0.3">
      <c r="A733" s="15" t="str">
        <f>IF(COUNTA($B733:$E733,$K733)=0,"",IF(AND($B733&lt;&gt;"",$C733&lt;&gt;"",$D733&lt;&gt;"",$E733&lt;&gt;""),"TXS"&amp;TEXT(COUNTIFS($B$2:$B733,"&lt;&gt;",$C$2:$C733,"&lt;&gt;",$D$2:$D733,"&lt;&gt;",$E$2:$E733,"&lt;&gt;"),"00000"),""))</f>
        <v/>
      </c>
      <c r="B733" s="16"/>
      <c r="C733" s="20"/>
      <c r="D733" s="20"/>
      <c r="E733" s="23"/>
      <c r="H733" s="19" t="str">
        <f t="shared" si="39"/>
        <v/>
      </c>
      <c r="I733" s="19" t="str">
        <f t="shared" si="38"/>
        <v/>
      </c>
      <c r="J733" s="19" t="str">
        <f t="shared" si="40"/>
        <v/>
      </c>
      <c r="K733" s="20"/>
      <c r="L733" s="21" t="str">
        <f>IF(OR(NOT(AND($B733&lt;&gt;"",$C733&lt;&gt;"",$D733&lt;&gt;"",$E733&lt;&gt;"")),$A733="",$K733&lt;&gt;"Yes"),"",IF($L733&lt;&gt;"",$L733,INDEX(SETUP!$I$1:$I$2000,MATCH(TRUE,SETUP!$J$1:$J$2000,0)+COUNTIFS($A$2:$A733,"&lt;&gt;",$K$2:$K733,"Yes",$L$2:$L733,"")-1)))</f>
        <v/>
      </c>
      <c r="N733" s="22"/>
    </row>
    <row r="734" spans="1:14" x14ac:dyDescent="0.3">
      <c r="A734" s="15" t="str">
        <f>IF(COUNTA($B734:$E734,$K734)=0,"",IF(AND($B734&lt;&gt;"",$C734&lt;&gt;"",$D734&lt;&gt;"",$E734&lt;&gt;""),"TXS"&amp;TEXT(COUNTIFS($B$2:$B734,"&lt;&gt;",$C$2:$C734,"&lt;&gt;",$D$2:$D734,"&lt;&gt;",$E$2:$E734,"&lt;&gt;"),"00000"),""))</f>
        <v/>
      </c>
      <c r="B734" s="16"/>
      <c r="C734" s="20"/>
      <c r="D734" s="20"/>
      <c r="E734" s="23"/>
      <c r="H734" s="19" t="str">
        <f t="shared" si="39"/>
        <v/>
      </c>
      <c r="I734" s="19" t="str">
        <f t="shared" si="38"/>
        <v/>
      </c>
      <c r="J734" s="19" t="str">
        <f t="shared" si="40"/>
        <v/>
      </c>
      <c r="K734" s="20"/>
      <c r="L734" s="21" t="str">
        <f>IF(OR(NOT(AND($B734&lt;&gt;"",$C734&lt;&gt;"",$D734&lt;&gt;"",$E734&lt;&gt;"")),$A734="",$K734&lt;&gt;"Yes"),"",IF($L734&lt;&gt;"",$L734,INDEX(SETUP!$I$1:$I$2000,MATCH(TRUE,SETUP!$J$1:$J$2000,0)+COUNTIFS($A$2:$A734,"&lt;&gt;",$K$2:$K734,"Yes",$L$2:$L734,"")-1)))</f>
        <v/>
      </c>
      <c r="N734" s="22"/>
    </row>
    <row r="735" spans="1:14" x14ac:dyDescent="0.3">
      <c r="A735" s="15" t="str">
        <f>IF(COUNTA($B735:$E735,$K735)=0,"",IF(AND($B735&lt;&gt;"",$C735&lt;&gt;"",$D735&lt;&gt;"",$E735&lt;&gt;""),"TXS"&amp;TEXT(COUNTIFS($B$2:$B735,"&lt;&gt;",$C$2:$C735,"&lt;&gt;",$D$2:$D735,"&lt;&gt;",$E$2:$E735,"&lt;&gt;"),"00000"),""))</f>
        <v/>
      </c>
      <c r="B735" s="16"/>
      <c r="C735" s="20"/>
      <c r="D735" s="20"/>
      <c r="E735" s="23"/>
      <c r="H735" s="19" t="str">
        <f t="shared" si="39"/>
        <v/>
      </c>
      <c r="I735" s="19" t="str">
        <f t="shared" si="38"/>
        <v/>
      </c>
      <c r="J735" s="19" t="str">
        <f t="shared" si="40"/>
        <v/>
      </c>
      <c r="K735" s="20"/>
      <c r="L735" s="21" t="str">
        <f>IF(OR(NOT(AND($B735&lt;&gt;"",$C735&lt;&gt;"",$D735&lt;&gt;"",$E735&lt;&gt;"")),$A735="",$K735&lt;&gt;"Yes"),"",IF($L735&lt;&gt;"",$L735,INDEX(SETUP!$I$1:$I$2000,MATCH(TRUE,SETUP!$J$1:$J$2000,0)+COUNTIFS($A$2:$A735,"&lt;&gt;",$K$2:$K735,"Yes",$L$2:$L735,"")-1)))</f>
        <v/>
      </c>
      <c r="N735" s="22"/>
    </row>
    <row r="736" spans="1:14" x14ac:dyDescent="0.3">
      <c r="A736" s="15" t="str">
        <f>IF(COUNTA($B736:$E736,$K736)=0,"",IF(AND($B736&lt;&gt;"",$C736&lt;&gt;"",$D736&lt;&gt;"",$E736&lt;&gt;""),"TXS"&amp;TEXT(COUNTIFS($B$2:$B736,"&lt;&gt;",$C$2:$C736,"&lt;&gt;",$D$2:$D736,"&lt;&gt;",$E$2:$E736,"&lt;&gt;"),"00000"),""))</f>
        <v/>
      </c>
      <c r="B736" s="16"/>
      <c r="C736" s="20"/>
      <c r="D736" s="20"/>
      <c r="E736" s="23"/>
      <c r="H736" s="19" t="str">
        <f t="shared" si="39"/>
        <v/>
      </c>
      <c r="I736" s="19" t="str">
        <f t="shared" si="38"/>
        <v/>
      </c>
      <c r="J736" s="19" t="str">
        <f t="shared" si="40"/>
        <v/>
      </c>
      <c r="K736" s="20"/>
      <c r="L736" s="21" t="str">
        <f>IF(OR(NOT(AND($B736&lt;&gt;"",$C736&lt;&gt;"",$D736&lt;&gt;"",$E736&lt;&gt;"")),$A736="",$K736&lt;&gt;"Yes"),"",IF($L736&lt;&gt;"",$L736,INDEX(SETUP!$I$1:$I$2000,MATCH(TRUE,SETUP!$J$1:$J$2000,0)+COUNTIFS($A$2:$A736,"&lt;&gt;",$K$2:$K736,"Yes",$L$2:$L736,"")-1)))</f>
        <v/>
      </c>
      <c r="N736" s="22"/>
    </row>
    <row r="737" spans="1:14" x14ac:dyDescent="0.3">
      <c r="A737" s="15" t="str">
        <f>IF(COUNTA($B737:$E737,$K737)=0,"",IF(AND($B737&lt;&gt;"",$C737&lt;&gt;"",$D737&lt;&gt;"",$E737&lt;&gt;""),"TXS"&amp;TEXT(COUNTIFS($B$2:$B737,"&lt;&gt;",$C$2:$C737,"&lt;&gt;",$D$2:$D737,"&lt;&gt;",$E$2:$E737,"&lt;&gt;"),"00000"),""))</f>
        <v/>
      </c>
      <c r="B737" s="16"/>
      <c r="C737" s="20"/>
      <c r="D737" s="20"/>
      <c r="E737" s="23"/>
      <c r="H737" s="19" t="str">
        <f t="shared" si="39"/>
        <v/>
      </c>
      <c r="I737" s="19" t="str">
        <f t="shared" si="38"/>
        <v/>
      </c>
      <c r="J737" s="19" t="str">
        <f t="shared" si="40"/>
        <v/>
      </c>
      <c r="K737" s="20"/>
      <c r="L737" s="21" t="str">
        <f>IF(OR(NOT(AND($B737&lt;&gt;"",$C737&lt;&gt;"",$D737&lt;&gt;"",$E737&lt;&gt;"")),$A737="",$K737&lt;&gt;"Yes"),"",IF($L737&lt;&gt;"",$L737,INDEX(SETUP!$I$1:$I$2000,MATCH(TRUE,SETUP!$J$1:$J$2000,0)+COUNTIFS($A$2:$A737,"&lt;&gt;",$K$2:$K737,"Yes",$L$2:$L737,"")-1)))</f>
        <v/>
      </c>
      <c r="N737" s="22"/>
    </row>
    <row r="738" spans="1:14" x14ac:dyDescent="0.3">
      <c r="A738" s="15" t="str">
        <f>IF(COUNTA($B738:$E738,$K738)=0,"",IF(AND($B738&lt;&gt;"",$C738&lt;&gt;"",$D738&lt;&gt;"",$E738&lt;&gt;""),"TXS"&amp;TEXT(COUNTIFS($B$2:$B738,"&lt;&gt;",$C$2:$C738,"&lt;&gt;",$D$2:$D738,"&lt;&gt;",$E$2:$E738,"&lt;&gt;"),"00000"),""))</f>
        <v/>
      </c>
      <c r="B738" s="16"/>
      <c r="C738" s="20"/>
      <c r="D738" s="20"/>
      <c r="E738" s="23"/>
      <c r="H738" s="19" t="str">
        <f t="shared" si="39"/>
        <v/>
      </c>
      <c r="I738" s="19" t="str">
        <f t="shared" si="38"/>
        <v/>
      </c>
      <c r="J738" s="19" t="str">
        <f t="shared" si="40"/>
        <v/>
      </c>
      <c r="K738" s="20"/>
      <c r="L738" s="21" t="str">
        <f>IF(OR(NOT(AND($B738&lt;&gt;"",$C738&lt;&gt;"",$D738&lt;&gt;"",$E738&lt;&gt;"")),$A738="",$K738&lt;&gt;"Yes"),"",IF($L738&lt;&gt;"",$L738,INDEX(SETUP!$I$1:$I$2000,MATCH(TRUE,SETUP!$J$1:$J$2000,0)+COUNTIFS($A$2:$A738,"&lt;&gt;",$K$2:$K738,"Yes",$L$2:$L738,"")-1)))</f>
        <v/>
      </c>
      <c r="N738" s="22"/>
    </row>
    <row r="739" spans="1:14" x14ac:dyDescent="0.3">
      <c r="A739" s="15" t="str">
        <f>IF(COUNTA($B739:$E739,$K739)=0,"",IF(AND($B739&lt;&gt;"",$C739&lt;&gt;"",$D739&lt;&gt;"",$E739&lt;&gt;""),"TXS"&amp;TEXT(COUNTIFS($B$2:$B739,"&lt;&gt;",$C$2:$C739,"&lt;&gt;",$D$2:$D739,"&lt;&gt;",$E$2:$E739,"&lt;&gt;"),"00000"),""))</f>
        <v/>
      </c>
      <c r="B739" s="16"/>
      <c r="C739" s="20"/>
      <c r="D739" s="20"/>
      <c r="E739" s="23"/>
      <c r="H739" s="19" t="str">
        <f t="shared" si="39"/>
        <v/>
      </c>
      <c r="I739" s="19" t="str">
        <f t="shared" si="38"/>
        <v/>
      </c>
      <c r="J739" s="19" t="str">
        <f t="shared" si="40"/>
        <v/>
      </c>
      <c r="K739" s="20"/>
      <c r="L739" s="21" t="str">
        <f>IF(OR(NOT(AND($B739&lt;&gt;"",$C739&lt;&gt;"",$D739&lt;&gt;"",$E739&lt;&gt;"")),$A739="",$K739&lt;&gt;"Yes"),"",IF($L739&lt;&gt;"",$L739,INDEX(SETUP!$I$1:$I$2000,MATCH(TRUE,SETUP!$J$1:$J$2000,0)+COUNTIFS($A$2:$A739,"&lt;&gt;",$K$2:$K739,"Yes",$L$2:$L739,"")-1)))</f>
        <v/>
      </c>
      <c r="N739" s="22"/>
    </row>
    <row r="740" spans="1:14" x14ac:dyDescent="0.3">
      <c r="A740" s="15" t="str">
        <f>IF(COUNTA($B740:$E740,$K740)=0,"",IF(AND($B740&lt;&gt;"",$C740&lt;&gt;"",$D740&lt;&gt;"",$E740&lt;&gt;""),"TXS"&amp;TEXT(COUNTIFS($B$2:$B740,"&lt;&gt;",$C$2:$C740,"&lt;&gt;",$D$2:$D740,"&lt;&gt;",$E$2:$E740,"&lt;&gt;"),"00000"),""))</f>
        <v/>
      </c>
      <c r="B740" s="16"/>
      <c r="C740" s="20"/>
      <c r="D740" s="20"/>
      <c r="E740" s="23"/>
      <c r="H740" s="19" t="str">
        <f t="shared" si="39"/>
        <v/>
      </c>
      <c r="I740" s="19" t="str">
        <f t="shared" si="38"/>
        <v/>
      </c>
      <c r="J740" s="19" t="str">
        <f t="shared" si="40"/>
        <v/>
      </c>
      <c r="K740" s="20"/>
      <c r="L740" s="21" t="str">
        <f>IF(OR(NOT(AND($B740&lt;&gt;"",$C740&lt;&gt;"",$D740&lt;&gt;"",$E740&lt;&gt;"")),$A740="",$K740&lt;&gt;"Yes"),"",IF($L740&lt;&gt;"",$L740,INDEX(SETUP!$I$1:$I$2000,MATCH(TRUE,SETUP!$J$1:$J$2000,0)+COUNTIFS($A$2:$A740,"&lt;&gt;",$K$2:$K740,"Yes",$L$2:$L740,"")-1)))</f>
        <v/>
      </c>
      <c r="N740" s="22"/>
    </row>
    <row r="741" spans="1:14" x14ac:dyDescent="0.3">
      <c r="A741" s="15" t="str">
        <f>IF(COUNTA($B741:$E741,$K741)=0,"",IF(AND($B741&lt;&gt;"",$C741&lt;&gt;"",$D741&lt;&gt;"",$E741&lt;&gt;""),"TXS"&amp;TEXT(COUNTIFS($B$2:$B741,"&lt;&gt;",$C$2:$C741,"&lt;&gt;",$D$2:$D741,"&lt;&gt;",$E$2:$E741,"&lt;&gt;"),"00000"),""))</f>
        <v/>
      </c>
      <c r="B741" s="16"/>
      <c r="C741" s="20"/>
      <c r="D741" s="20"/>
      <c r="E741" s="23"/>
      <c r="H741" s="19" t="str">
        <f t="shared" si="39"/>
        <v/>
      </c>
      <c r="I741" s="19" t="str">
        <f t="shared" si="38"/>
        <v/>
      </c>
      <c r="J741" s="19" t="str">
        <f t="shared" si="40"/>
        <v/>
      </c>
      <c r="K741" s="20"/>
      <c r="L741" s="21" t="str">
        <f>IF(OR(NOT(AND($B741&lt;&gt;"",$C741&lt;&gt;"",$D741&lt;&gt;"",$E741&lt;&gt;"")),$A741="",$K741&lt;&gt;"Yes"),"",IF($L741&lt;&gt;"",$L741,INDEX(SETUP!$I$1:$I$2000,MATCH(TRUE,SETUP!$J$1:$J$2000,0)+COUNTIFS($A$2:$A741,"&lt;&gt;",$K$2:$K741,"Yes",$L$2:$L741,"")-1)))</f>
        <v/>
      </c>
      <c r="N741" s="22"/>
    </row>
    <row r="742" spans="1:14" x14ac:dyDescent="0.3">
      <c r="A742" s="15" t="str">
        <f>IF(COUNTA($B742:$E742,$K742)=0,"",IF(AND($B742&lt;&gt;"",$C742&lt;&gt;"",$D742&lt;&gt;"",$E742&lt;&gt;""),"TXS"&amp;TEXT(COUNTIFS($B$2:$B742,"&lt;&gt;",$C$2:$C742,"&lt;&gt;",$D$2:$D742,"&lt;&gt;",$E$2:$E742,"&lt;&gt;"),"00000"),""))</f>
        <v/>
      </c>
      <c r="B742" s="16"/>
      <c r="C742" s="20"/>
      <c r="D742" s="20"/>
      <c r="E742" s="23"/>
      <c r="H742" s="19" t="str">
        <f t="shared" si="39"/>
        <v/>
      </c>
      <c r="I742" s="19" t="str">
        <f t="shared" si="38"/>
        <v/>
      </c>
      <c r="J742" s="19" t="str">
        <f t="shared" si="40"/>
        <v/>
      </c>
      <c r="K742" s="20"/>
      <c r="L742" s="21" t="str">
        <f>IF(OR(NOT(AND($B742&lt;&gt;"",$C742&lt;&gt;"",$D742&lt;&gt;"",$E742&lt;&gt;"")),$A742="",$K742&lt;&gt;"Yes"),"",IF($L742&lt;&gt;"",$L742,INDEX(SETUP!$I$1:$I$2000,MATCH(TRUE,SETUP!$J$1:$J$2000,0)+COUNTIFS($A$2:$A742,"&lt;&gt;",$K$2:$K742,"Yes",$L$2:$L742,"")-1)))</f>
        <v/>
      </c>
      <c r="N742" s="22"/>
    </row>
    <row r="743" spans="1:14" x14ac:dyDescent="0.3">
      <c r="A743" s="15" t="str">
        <f>IF(COUNTA($B743:$E743,$K743)=0,"",IF(AND($B743&lt;&gt;"",$C743&lt;&gt;"",$D743&lt;&gt;"",$E743&lt;&gt;""),"TXS"&amp;TEXT(COUNTIFS($B$2:$B743,"&lt;&gt;",$C$2:$C743,"&lt;&gt;",$D$2:$D743,"&lt;&gt;",$E$2:$E743,"&lt;&gt;"),"00000"),""))</f>
        <v/>
      </c>
      <c r="B743" s="16"/>
      <c r="C743" s="20"/>
      <c r="D743" s="20"/>
      <c r="E743" s="23"/>
      <c r="H743" s="19" t="str">
        <f t="shared" si="39"/>
        <v/>
      </c>
      <c r="I743" s="19" t="str">
        <f t="shared" si="38"/>
        <v/>
      </c>
      <c r="J743" s="19" t="str">
        <f t="shared" si="40"/>
        <v/>
      </c>
      <c r="K743" s="20"/>
      <c r="L743" s="21" t="str">
        <f>IF(OR(NOT(AND($B743&lt;&gt;"",$C743&lt;&gt;"",$D743&lt;&gt;"",$E743&lt;&gt;"")),$A743="",$K743&lt;&gt;"Yes"),"",IF($L743&lt;&gt;"",$L743,INDEX(SETUP!$I$1:$I$2000,MATCH(TRUE,SETUP!$J$1:$J$2000,0)+COUNTIFS($A$2:$A743,"&lt;&gt;",$K$2:$K743,"Yes",$L$2:$L743,"")-1)))</f>
        <v/>
      </c>
      <c r="N743" s="22"/>
    </row>
    <row r="744" spans="1:14" x14ac:dyDescent="0.3">
      <c r="A744" s="15" t="str">
        <f>IF(COUNTA($B744:$E744,$K744)=0,"",IF(AND($B744&lt;&gt;"",$C744&lt;&gt;"",$D744&lt;&gt;"",$E744&lt;&gt;""),"TXS"&amp;TEXT(COUNTIFS($B$2:$B744,"&lt;&gt;",$C$2:$C744,"&lt;&gt;",$D$2:$D744,"&lt;&gt;",$E$2:$E744,"&lt;&gt;"),"00000"),""))</f>
        <v/>
      </c>
      <c r="B744" s="16"/>
      <c r="C744" s="20"/>
      <c r="D744" s="20"/>
      <c r="E744" s="23"/>
      <c r="H744" s="19" t="str">
        <f t="shared" si="39"/>
        <v/>
      </c>
      <c r="I744" s="19" t="str">
        <f t="shared" si="38"/>
        <v/>
      </c>
      <c r="J744" s="19" t="str">
        <f t="shared" si="40"/>
        <v/>
      </c>
      <c r="K744" s="20"/>
      <c r="L744" s="21" t="str">
        <f>IF(OR(NOT(AND($B744&lt;&gt;"",$C744&lt;&gt;"",$D744&lt;&gt;"",$E744&lt;&gt;"")),$A744="",$K744&lt;&gt;"Yes"),"",IF($L744&lt;&gt;"",$L744,INDEX(SETUP!$I$1:$I$2000,MATCH(TRUE,SETUP!$J$1:$J$2000,0)+COUNTIFS($A$2:$A744,"&lt;&gt;",$K$2:$K744,"Yes",$L$2:$L744,"")-1)))</f>
        <v/>
      </c>
      <c r="N744" s="22"/>
    </row>
    <row r="745" spans="1:14" x14ac:dyDescent="0.3">
      <c r="A745" s="15" t="str">
        <f>IF(COUNTA($B745:$E745,$K745)=0,"",IF(AND($B745&lt;&gt;"",$C745&lt;&gt;"",$D745&lt;&gt;"",$E745&lt;&gt;""),"TXS"&amp;TEXT(COUNTIFS($B$2:$B745,"&lt;&gt;",$C$2:$C745,"&lt;&gt;",$D$2:$D745,"&lt;&gt;",$E$2:$E745,"&lt;&gt;"),"00000"),""))</f>
        <v/>
      </c>
      <c r="B745" s="16"/>
      <c r="C745" s="20"/>
      <c r="D745" s="20"/>
      <c r="E745" s="23"/>
      <c r="H745" s="19" t="str">
        <f t="shared" si="39"/>
        <v/>
      </c>
      <c r="I745" s="19" t="str">
        <f t="shared" ref="I745:I808" si="41">IF(NOT(AND($B745&lt;&gt;"",$C745&lt;&gt;"",$D745&lt;&gt;"",$E745&lt;&gt;"")),"",IF($A745="","","NIH plate "&amp;INT((VALUE(RIGHT($A745,5))-1)/96)+1&amp;": "&amp;CHAR(65+INT(MOD(VALUE(RIGHT($A745,5))-1,96)/12))&amp;(MOD(VALUE(RIGHT($A745,5))-1,12)+1)))</f>
        <v/>
      </c>
      <c r="J745" s="19" t="str">
        <f t="shared" si="40"/>
        <v/>
      </c>
      <c r="K745" s="20"/>
      <c r="L745" s="21" t="str">
        <f>IF(OR(NOT(AND($B745&lt;&gt;"",$C745&lt;&gt;"",$D745&lt;&gt;"",$E745&lt;&gt;"")),$A745="",$K745&lt;&gt;"Yes"),"",IF($L745&lt;&gt;"",$L745,INDEX(SETUP!$I$1:$I$2000,MATCH(TRUE,SETUP!$J$1:$J$2000,0)+COUNTIFS($A$2:$A745,"&lt;&gt;",$K$2:$K745,"Yes",$L$2:$L745,"")-1)))</f>
        <v/>
      </c>
      <c r="N745" s="22"/>
    </row>
    <row r="746" spans="1:14" x14ac:dyDescent="0.3">
      <c r="A746" s="15" t="str">
        <f>IF(COUNTA($B746:$E746,$K746)=0,"",IF(AND($B746&lt;&gt;"",$C746&lt;&gt;"",$D746&lt;&gt;"",$E746&lt;&gt;""),"TXS"&amp;TEXT(COUNTIFS($B$2:$B746,"&lt;&gt;",$C$2:$C746,"&lt;&gt;",$D$2:$D746,"&lt;&gt;",$E$2:$E746,"&lt;&gt;"),"00000"),""))</f>
        <v/>
      </c>
      <c r="B746" s="16"/>
      <c r="C746" s="20"/>
      <c r="D746" s="20"/>
      <c r="E746" s="23"/>
      <c r="H746" s="19" t="str">
        <f t="shared" si="39"/>
        <v/>
      </c>
      <c r="I746" s="19" t="str">
        <f t="shared" si="41"/>
        <v/>
      </c>
      <c r="J746" s="19" t="str">
        <f t="shared" si="40"/>
        <v/>
      </c>
      <c r="K746" s="20"/>
      <c r="L746" s="21" t="str">
        <f>IF(OR(NOT(AND($B746&lt;&gt;"",$C746&lt;&gt;"",$D746&lt;&gt;"",$E746&lt;&gt;"")),$A746="",$K746&lt;&gt;"Yes"),"",IF($L746&lt;&gt;"",$L746,INDEX(SETUP!$I$1:$I$2000,MATCH(TRUE,SETUP!$J$1:$J$2000,0)+COUNTIFS($A$2:$A746,"&lt;&gt;",$K$2:$K746,"Yes",$L$2:$L746,"")-1)))</f>
        <v/>
      </c>
      <c r="N746" s="22"/>
    </row>
    <row r="747" spans="1:14" x14ac:dyDescent="0.3">
      <c r="A747" s="15" t="str">
        <f>IF(COUNTA($B747:$E747,$K747)=0,"",IF(AND($B747&lt;&gt;"",$C747&lt;&gt;"",$D747&lt;&gt;"",$E747&lt;&gt;""),"TXS"&amp;TEXT(COUNTIFS($B$2:$B747,"&lt;&gt;",$C$2:$C747,"&lt;&gt;",$D$2:$D747,"&lt;&gt;",$E$2:$E747,"&lt;&gt;"),"00000"),""))</f>
        <v/>
      </c>
      <c r="B747" s="16"/>
      <c r="C747" s="20"/>
      <c r="D747" s="20"/>
      <c r="E747" s="23"/>
      <c r="H747" s="19" t="str">
        <f t="shared" si="39"/>
        <v/>
      </c>
      <c r="I747" s="19" t="str">
        <f t="shared" si="41"/>
        <v/>
      </c>
      <c r="J747" s="19" t="str">
        <f t="shared" si="40"/>
        <v/>
      </c>
      <c r="K747" s="20"/>
      <c r="L747" s="21" t="str">
        <f>IF(OR(NOT(AND($B747&lt;&gt;"",$C747&lt;&gt;"",$D747&lt;&gt;"",$E747&lt;&gt;"")),$A747="",$K747&lt;&gt;"Yes"),"",IF($L747&lt;&gt;"",$L747,INDEX(SETUP!$I$1:$I$2000,MATCH(TRUE,SETUP!$J$1:$J$2000,0)+COUNTIFS($A$2:$A747,"&lt;&gt;",$K$2:$K747,"Yes",$L$2:$L747,"")-1)))</f>
        <v/>
      </c>
      <c r="N747" s="22"/>
    </row>
    <row r="748" spans="1:14" x14ac:dyDescent="0.3">
      <c r="A748" s="15" t="str">
        <f>IF(COUNTA($B748:$E748,$K748)=0,"",IF(AND($B748&lt;&gt;"",$C748&lt;&gt;"",$D748&lt;&gt;"",$E748&lt;&gt;""),"TXS"&amp;TEXT(COUNTIFS($B$2:$B748,"&lt;&gt;",$C$2:$C748,"&lt;&gt;",$D$2:$D748,"&lt;&gt;",$E$2:$E748,"&lt;&gt;"),"00000"),""))</f>
        <v/>
      </c>
      <c r="B748" s="16"/>
      <c r="C748" s="20"/>
      <c r="D748" s="20"/>
      <c r="E748" s="23"/>
      <c r="H748" s="19" t="str">
        <f t="shared" si="39"/>
        <v/>
      </c>
      <c r="I748" s="19" t="str">
        <f t="shared" si="41"/>
        <v/>
      </c>
      <c r="J748" s="19" t="str">
        <f t="shared" si="40"/>
        <v/>
      </c>
      <c r="K748" s="20"/>
      <c r="L748" s="21" t="str">
        <f>IF(OR(NOT(AND($B748&lt;&gt;"",$C748&lt;&gt;"",$D748&lt;&gt;"",$E748&lt;&gt;"")),$A748="",$K748&lt;&gt;"Yes"),"",IF($L748&lt;&gt;"",$L748,INDEX(SETUP!$I$1:$I$2000,MATCH(TRUE,SETUP!$J$1:$J$2000,0)+COUNTIFS($A$2:$A748,"&lt;&gt;",$K$2:$K748,"Yes",$L$2:$L748,"")-1)))</f>
        <v/>
      </c>
      <c r="N748" s="22"/>
    </row>
    <row r="749" spans="1:14" x14ac:dyDescent="0.3">
      <c r="A749" s="15" t="str">
        <f>IF(COUNTA($B749:$E749,$K749)=0,"",IF(AND($B749&lt;&gt;"",$C749&lt;&gt;"",$D749&lt;&gt;"",$E749&lt;&gt;""),"TXS"&amp;TEXT(COUNTIFS($B$2:$B749,"&lt;&gt;",$C$2:$C749,"&lt;&gt;",$D$2:$D749,"&lt;&gt;",$E$2:$E749,"&lt;&gt;"),"00000"),""))</f>
        <v/>
      </c>
      <c r="B749" s="16"/>
      <c r="C749" s="20"/>
      <c r="D749" s="20"/>
      <c r="E749" s="23"/>
      <c r="H749" s="19" t="str">
        <f t="shared" si="39"/>
        <v/>
      </c>
      <c r="I749" s="19" t="str">
        <f t="shared" si="41"/>
        <v/>
      </c>
      <c r="J749" s="19" t="str">
        <f t="shared" si="40"/>
        <v/>
      </c>
      <c r="K749" s="20"/>
      <c r="L749" s="21" t="str">
        <f>IF(OR(NOT(AND($B749&lt;&gt;"",$C749&lt;&gt;"",$D749&lt;&gt;"",$E749&lt;&gt;"")),$A749="",$K749&lt;&gt;"Yes"),"",IF($L749&lt;&gt;"",$L749,INDEX(SETUP!$I$1:$I$2000,MATCH(TRUE,SETUP!$J$1:$J$2000,0)+COUNTIFS($A$2:$A749,"&lt;&gt;",$K$2:$K749,"Yes",$L$2:$L749,"")-1)))</f>
        <v/>
      </c>
      <c r="N749" s="22"/>
    </row>
    <row r="750" spans="1:14" x14ac:dyDescent="0.3">
      <c r="A750" s="15" t="str">
        <f>IF(COUNTA($B750:$E750,$K750)=0,"",IF(AND($B750&lt;&gt;"",$C750&lt;&gt;"",$D750&lt;&gt;"",$E750&lt;&gt;""),"TXS"&amp;TEXT(COUNTIFS($B$2:$B750,"&lt;&gt;",$C$2:$C750,"&lt;&gt;",$D$2:$D750,"&lt;&gt;",$E$2:$E750,"&lt;&gt;"),"00000"),""))</f>
        <v/>
      </c>
      <c r="B750" s="16"/>
      <c r="C750" s="20"/>
      <c r="D750" s="20"/>
      <c r="E750" s="23"/>
      <c r="H750" s="19" t="str">
        <f t="shared" si="39"/>
        <v/>
      </c>
      <c r="I750" s="19" t="str">
        <f t="shared" si="41"/>
        <v/>
      </c>
      <c r="J750" s="19" t="str">
        <f t="shared" si="40"/>
        <v/>
      </c>
      <c r="K750" s="20"/>
      <c r="L750" s="21" t="str">
        <f>IF(OR(NOT(AND($B750&lt;&gt;"",$C750&lt;&gt;"",$D750&lt;&gt;"",$E750&lt;&gt;"")),$A750="",$K750&lt;&gt;"Yes"),"",IF($L750&lt;&gt;"",$L750,INDEX(SETUP!$I$1:$I$2000,MATCH(TRUE,SETUP!$J$1:$J$2000,0)+COUNTIFS($A$2:$A750,"&lt;&gt;",$K$2:$K750,"Yes",$L$2:$L750,"")-1)))</f>
        <v/>
      </c>
      <c r="N750" s="22"/>
    </row>
    <row r="751" spans="1:14" x14ac:dyDescent="0.3">
      <c r="A751" s="15" t="str">
        <f>IF(COUNTA($B751:$E751,$K751)=0,"",IF(AND($B751&lt;&gt;"",$C751&lt;&gt;"",$D751&lt;&gt;"",$E751&lt;&gt;""),"TXS"&amp;TEXT(COUNTIFS($B$2:$B751,"&lt;&gt;",$C$2:$C751,"&lt;&gt;",$D$2:$D751,"&lt;&gt;",$E$2:$E751,"&lt;&gt;"),"00000"),""))</f>
        <v/>
      </c>
      <c r="B751" s="16"/>
      <c r="C751" s="20"/>
      <c r="D751" s="20"/>
      <c r="E751" s="23"/>
      <c r="H751" s="19" t="str">
        <f t="shared" ref="H751:H814" si="42">IF(NOT(AND($B751&lt;&gt;"",$C751&lt;&gt;"",$D751&lt;&gt;"",$E751&lt;&gt;"")),"",IF($A751="","","CDI plate "&amp;INT((VALUE(RIGHT($A751,5))-1)/96)+1&amp;": "&amp;CHAR(65+INT(MOD(VALUE(RIGHT($A751,5))-1,96)/12))&amp;(MOD(VALUE(RIGHT($A751,5))-1,12)+1)))</f>
        <v/>
      </c>
      <c r="I751" s="19" t="str">
        <f t="shared" si="41"/>
        <v/>
      </c>
      <c r="J751" s="19" t="str">
        <f t="shared" si="40"/>
        <v/>
      </c>
      <c r="K751" s="20"/>
      <c r="L751" s="21" t="str">
        <f>IF(OR(NOT(AND($B751&lt;&gt;"",$C751&lt;&gt;"",$D751&lt;&gt;"",$E751&lt;&gt;"")),$A751="",$K751&lt;&gt;"Yes"),"",IF($L751&lt;&gt;"",$L751,INDEX(SETUP!$I$1:$I$2000,MATCH(TRUE,SETUP!$J$1:$J$2000,0)+COUNTIFS($A$2:$A751,"&lt;&gt;",$K$2:$K751,"Yes",$L$2:$L751,"")-1)))</f>
        <v/>
      </c>
      <c r="N751" s="22"/>
    </row>
    <row r="752" spans="1:14" x14ac:dyDescent="0.3">
      <c r="A752" s="15" t="str">
        <f>IF(COUNTA($B752:$E752,$K752)=0,"",IF(AND($B752&lt;&gt;"",$C752&lt;&gt;"",$D752&lt;&gt;"",$E752&lt;&gt;""),"TXS"&amp;TEXT(COUNTIFS($B$2:$B752,"&lt;&gt;",$C$2:$C752,"&lt;&gt;",$D$2:$D752,"&lt;&gt;",$E$2:$E752,"&lt;&gt;"),"00000"),""))</f>
        <v/>
      </c>
      <c r="B752" s="16"/>
      <c r="C752" s="20"/>
      <c r="D752" s="20"/>
      <c r="E752" s="23"/>
      <c r="H752" s="19" t="str">
        <f t="shared" si="42"/>
        <v/>
      </c>
      <c r="I752" s="19" t="str">
        <f t="shared" si="41"/>
        <v/>
      </c>
      <c r="J752" s="19" t="str">
        <f t="shared" si="40"/>
        <v/>
      </c>
      <c r="K752" s="20"/>
      <c r="L752" s="21" t="str">
        <f>IF(OR(NOT(AND($B752&lt;&gt;"",$C752&lt;&gt;"",$D752&lt;&gt;"",$E752&lt;&gt;"")),$A752="",$K752&lt;&gt;"Yes"),"",IF($L752&lt;&gt;"",$L752,INDEX(SETUP!$I$1:$I$2000,MATCH(TRUE,SETUP!$J$1:$J$2000,0)+COUNTIFS($A$2:$A752,"&lt;&gt;",$K$2:$K752,"Yes",$L$2:$L752,"")-1)))</f>
        <v/>
      </c>
      <c r="N752" s="22"/>
    </row>
    <row r="753" spans="1:14" x14ac:dyDescent="0.3">
      <c r="A753" s="15" t="str">
        <f>IF(COUNTA($B753:$E753,$K753)=0,"",IF(AND($B753&lt;&gt;"",$C753&lt;&gt;"",$D753&lt;&gt;"",$E753&lt;&gt;""),"TXS"&amp;TEXT(COUNTIFS($B$2:$B753,"&lt;&gt;",$C$2:$C753,"&lt;&gt;",$D$2:$D753,"&lt;&gt;",$E$2:$E753,"&lt;&gt;"),"00000"),""))</f>
        <v/>
      </c>
      <c r="B753" s="16"/>
      <c r="C753" s="20"/>
      <c r="D753" s="20"/>
      <c r="E753" s="23"/>
      <c r="H753" s="19" t="str">
        <f t="shared" si="42"/>
        <v/>
      </c>
      <c r="I753" s="19" t="str">
        <f t="shared" si="41"/>
        <v/>
      </c>
      <c r="J753" s="19" t="str">
        <f t="shared" si="40"/>
        <v/>
      </c>
      <c r="K753" s="20"/>
      <c r="L753" s="21" t="str">
        <f>IF(OR(NOT(AND($B753&lt;&gt;"",$C753&lt;&gt;"",$D753&lt;&gt;"",$E753&lt;&gt;"")),$A753="",$K753&lt;&gt;"Yes"),"",IF($L753&lt;&gt;"",$L753,INDEX(SETUP!$I$1:$I$2000,MATCH(TRUE,SETUP!$J$1:$J$2000,0)+COUNTIFS($A$2:$A753,"&lt;&gt;",$K$2:$K753,"Yes",$L$2:$L753,"")-1)))</f>
        <v/>
      </c>
      <c r="N753" s="22"/>
    </row>
    <row r="754" spans="1:14" x14ac:dyDescent="0.3">
      <c r="A754" s="15" t="str">
        <f>IF(COUNTA($B754:$E754,$K754)=0,"",IF(AND($B754&lt;&gt;"",$C754&lt;&gt;"",$D754&lt;&gt;"",$E754&lt;&gt;""),"TXS"&amp;TEXT(COUNTIFS($B$2:$B754,"&lt;&gt;",$C$2:$C754,"&lt;&gt;",$D$2:$D754,"&lt;&gt;",$E$2:$E754,"&lt;&gt;"),"00000"),""))</f>
        <v/>
      </c>
      <c r="B754" s="16"/>
      <c r="C754" s="20"/>
      <c r="D754" s="20"/>
      <c r="E754" s="23"/>
      <c r="H754" s="19" t="str">
        <f t="shared" si="42"/>
        <v/>
      </c>
      <c r="I754" s="19" t="str">
        <f t="shared" si="41"/>
        <v/>
      </c>
      <c r="J754" s="19" t="str">
        <f t="shared" ref="J754:J817" si="43">IF(NOT(AND($B754&lt;&gt;"",$C754&lt;&gt;"",$D754&lt;&gt;"",$E754&lt;&gt;"")),"",IF($A754="","","Max Planck plate "&amp;INT((VALUE(RIGHT($A754,5))-1)/96)+1&amp;": "&amp;CHAR(65+INT(MOD(VALUE(RIGHT($A754,5))-1,96)/12))&amp;(MOD(VALUE(RIGHT($A754,5))-1,12)+1)))</f>
        <v/>
      </c>
      <c r="K754" s="20"/>
      <c r="L754" s="21" t="str">
        <f>IF(OR(NOT(AND($B754&lt;&gt;"",$C754&lt;&gt;"",$D754&lt;&gt;"",$E754&lt;&gt;"")),$A754="",$K754&lt;&gt;"Yes"),"",IF($L754&lt;&gt;"",$L754,INDEX(SETUP!$I$1:$I$2000,MATCH(TRUE,SETUP!$J$1:$J$2000,0)+COUNTIFS($A$2:$A754,"&lt;&gt;",$K$2:$K754,"Yes",$L$2:$L754,"")-1)))</f>
        <v/>
      </c>
      <c r="N754" s="22"/>
    </row>
    <row r="755" spans="1:14" x14ac:dyDescent="0.3">
      <c r="A755" s="15" t="str">
        <f>IF(COUNTA($B755:$E755,$K755)=0,"",IF(AND($B755&lt;&gt;"",$C755&lt;&gt;"",$D755&lt;&gt;"",$E755&lt;&gt;""),"TXS"&amp;TEXT(COUNTIFS($B$2:$B755,"&lt;&gt;",$C$2:$C755,"&lt;&gt;",$D$2:$D755,"&lt;&gt;",$E$2:$E755,"&lt;&gt;"),"00000"),""))</f>
        <v/>
      </c>
      <c r="B755" s="16"/>
      <c r="C755" s="20"/>
      <c r="D755" s="20"/>
      <c r="E755" s="23"/>
      <c r="H755" s="19" t="str">
        <f t="shared" si="42"/>
        <v/>
      </c>
      <c r="I755" s="19" t="str">
        <f t="shared" si="41"/>
        <v/>
      </c>
      <c r="J755" s="19" t="str">
        <f t="shared" si="43"/>
        <v/>
      </c>
      <c r="K755" s="20"/>
      <c r="L755" s="21" t="str">
        <f>IF(OR(NOT(AND($B755&lt;&gt;"",$C755&lt;&gt;"",$D755&lt;&gt;"",$E755&lt;&gt;"")),$A755="",$K755&lt;&gt;"Yes"),"",IF($L755&lt;&gt;"",$L755,INDEX(SETUP!$I$1:$I$2000,MATCH(TRUE,SETUP!$J$1:$J$2000,0)+COUNTIFS($A$2:$A755,"&lt;&gt;",$K$2:$K755,"Yes",$L$2:$L755,"")-1)))</f>
        <v/>
      </c>
      <c r="N755" s="22"/>
    </row>
    <row r="756" spans="1:14" x14ac:dyDescent="0.3">
      <c r="A756" s="15" t="str">
        <f>IF(COUNTA($B756:$E756,$K756)=0,"",IF(AND($B756&lt;&gt;"",$C756&lt;&gt;"",$D756&lt;&gt;"",$E756&lt;&gt;""),"TXS"&amp;TEXT(COUNTIFS($B$2:$B756,"&lt;&gt;",$C$2:$C756,"&lt;&gt;",$D$2:$D756,"&lt;&gt;",$E$2:$E756,"&lt;&gt;"),"00000"),""))</f>
        <v/>
      </c>
      <c r="B756" s="16"/>
      <c r="C756" s="20"/>
      <c r="D756" s="20"/>
      <c r="E756" s="23"/>
      <c r="H756" s="19" t="str">
        <f t="shared" si="42"/>
        <v/>
      </c>
      <c r="I756" s="19" t="str">
        <f t="shared" si="41"/>
        <v/>
      </c>
      <c r="J756" s="19" t="str">
        <f t="shared" si="43"/>
        <v/>
      </c>
      <c r="K756" s="20"/>
      <c r="L756" s="21" t="str">
        <f>IF(OR(NOT(AND($B756&lt;&gt;"",$C756&lt;&gt;"",$D756&lt;&gt;"",$E756&lt;&gt;"")),$A756="",$K756&lt;&gt;"Yes"),"",IF($L756&lt;&gt;"",$L756,INDEX(SETUP!$I$1:$I$2000,MATCH(TRUE,SETUP!$J$1:$J$2000,0)+COUNTIFS($A$2:$A756,"&lt;&gt;",$K$2:$K756,"Yes",$L$2:$L756,"")-1)))</f>
        <v/>
      </c>
      <c r="N756" s="22"/>
    </row>
    <row r="757" spans="1:14" x14ac:dyDescent="0.3">
      <c r="A757" s="15" t="str">
        <f>IF(COUNTA($B757:$E757,$K757)=0,"",IF(AND($B757&lt;&gt;"",$C757&lt;&gt;"",$D757&lt;&gt;"",$E757&lt;&gt;""),"TXS"&amp;TEXT(COUNTIFS($B$2:$B757,"&lt;&gt;",$C$2:$C757,"&lt;&gt;",$D$2:$D757,"&lt;&gt;",$E$2:$E757,"&lt;&gt;"),"00000"),""))</f>
        <v/>
      </c>
      <c r="B757" s="16"/>
      <c r="C757" s="20"/>
      <c r="D757" s="20"/>
      <c r="E757" s="23"/>
      <c r="H757" s="19" t="str">
        <f t="shared" si="42"/>
        <v/>
      </c>
      <c r="I757" s="19" t="str">
        <f t="shared" si="41"/>
        <v/>
      </c>
      <c r="J757" s="19" t="str">
        <f t="shared" si="43"/>
        <v/>
      </c>
      <c r="K757" s="20"/>
      <c r="L757" s="21" t="str">
        <f>IF(OR(NOT(AND($B757&lt;&gt;"",$C757&lt;&gt;"",$D757&lt;&gt;"",$E757&lt;&gt;"")),$A757="",$K757&lt;&gt;"Yes"),"",IF($L757&lt;&gt;"",$L757,INDEX(SETUP!$I$1:$I$2000,MATCH(TRUE,SETUP!$J$1:$J$2000,0)+COUNTIFS($A$2:$A757,"&lt;&gt;",$K$2:$K757,"Yes",$L$2:$L757,"")-1)))</f>
        <v/>
      </c>
      <c r="N757" s="22"/>
    </row>
    <row r="758" spans="1:14" x14ac:dyDescent="0.3">
      <c r="A758" s="15" t="str">
        <f>IF(COUNTA($B758:$E758,$K758)=0,"",IF(AND($B758&lt;&gt;"",$C758&lt;&gt;"",$D758&lt;&gt;"",$E758&lt;&gt;""),"TXS"&amp;TEXT(COUNTIFS($B$2:$B758,"&lt;&gt;",$C$2:$C758,"&lt;&gt;",$D$2:$D758,"&lt;&gt;",$E$2:$E758,"&lt;&gt;"),"00000"),""))</f>
        <v/>
      </c>
      <c r="B758" s="16"/>
      <c r="C758" s="20"/>
      <c r="D758" s="20"/>
      <c r="E758" s="23"/>
      <c r="H758" s="19" t="str">
        <f t="shared" si="42"/>
        <v/>
      </c>
      <c r="I758" s="19" t="str">
        <f t="shared" si="41"/>
        <v/>
      </c>
      <c r="J758" s="19" t="str">
        <f t="shared" si="43"/>
        <v/>
      </c>
      <c r="K758" s="20"/>
      <c r="L758" s="21" t="str">
        <f>IF(OR(NOT(AND($B758&lt;&gt;"",$C758&lt;&gt;"",$D758&lt;&gt;"",$E758&lt;&gt;"")),$A758="",$K758&lt;&gt;"Yes"),"",IF($L758&lt;&gt;"",$L758,INDEX(SETUP!$I$1:$I$2000,MATCH(TRUE,SETUP!$J$1:$J$2000,0)+COUNTIFS($A$2:$A758,"&lt;&gt;",$K$2:$K758,"Yes",$L$2:$L758,"")-1)))</f>
        <v/>
      </c>
      <c r="N758" s="22"/>
    </row>
    <row r="759" spans="1:14" x14ac:dyDescent="0.3">
      <c r="A759" s="15" t="str">
        <f>IF(COUNTA($B759:$E759,$K759)=0,"",IF(AND($B759&lt;&gt;"",$C759&lt;&gt;"",$D759&lt;&gt;"",$E759&lt;&gt;""),"TXS"&amp;TEXT(COUNTIFS($B$2:$B759,"&lt;&gt;",$C$2:$C759,"&lt;&gt;",$D$2:$D759,"&lt;&gt;",$E$2:$E759,"&lt;&gt;"),"00000"),""))</f>
        <v/>
      </c>
      <c r="B759" s="16"/>
      <c r="C759" s="20"/>
      <c r="D759" s="20"/>
      <c r="E759" s="23"/>
      <c r="H759" s="19" t="str">
        <f t="shared" si="42"/>
        <v/>
      </c>
      <c r="I759" s="19" t="str">
        <f t="shared" si="41"/>
        <v/>
      </c>
      <c r="J759" s="19" t="str">
        <f t="shared" si="43"/>
        <v/>
      </c>
      <c r="K759" s="20"/>
      <c r="L759" s="21" t="str">
        <f>IF(OR(NOT(AND($B759&lt;&gt;"",$C759&lt;&gt;"",$D759&lt;&gt;"",$E759&lt;&gt;"")),$A759="",$K759&lt;&gt;"Yes"),"",IF($L759&lt;&gt;"",$L759,INDEX(SETUP!$I$1:$I$2000,MATCH(TRUE,SETUP!$J$1:$J$2000,0)+COUNTIFS($A$2:$A759,"&lt;&gt;",$K$2:$K759,"Yes",$L$2:$L759,"")-1)))</f>
        <v/>
      </c>
      <c r="N759" s="22"/>
    </row>
    <row r="760" spans="1:14" x14ac:dyDescent="0.3">
      <c r="A760" s="15" t="str">
        <f>IF(COUNTA($B760:$E760,$K760)=0,"",IF(AND($B760&lt;&gt;"",$C760&lt;&gt;"",$D760&lt;&gt;"",$E760&lt;&gt;""),"TXS"&amp;TEXT(COUNTIFS($B$2:$B760,"&lt;&gt;",$C$2:$C760,"&lt;&gt;",$D$2:$D760,"&lt;&gt;",$E$2:$E760,"&lt;&gt;"),"00000"),""))</f>
        <v/>
      </c>
      <c r="B760" s="16"/>
      <c r="C760" s="20"/>
      <c r="D760" s="20"/>
      <c r="E760" s="23"/>
      <c r="H760" s="19" t="str">
        <f t="shared" si="42"/>
        <v/>
      </c>
      <c r="I760" s="19" t="str">
        <f t="shared" si="41"/>
        <v/>
      </c>
      <c r="J760" s="19" t="str">
        <f t="shared" si="43"/>
        <v/>
      </c>
      <c r="K760" s="20"/>
      <c r="L760" s="21" t="str">
        <f>IF(OR(NOT(AND($B760&lt;&gt;"",$C760&lt;&gt;"",$D760&lt;&gt;"",$E760&lt;&gt;"")),$A760="",$K760&lt;&gt;"Yes"),"",IF($L760&lt;&gt;"",$L760,INDEX(SETUP!$I$1:$I$2000,MATCH(TRUE,SETUP!$J$1:$J$2000,0)+COUNTIFS($A$2:$A760,"&lt;&gt;",$K$2:$K760,"Yes",$L$2:$L760,"")-1)))</f>
        <v/>
      </c>
      <c r="N760" s="22"/>
    </row>
    <row r="761" spans="1:14" x14ac:dyDescent="0.3">
      <c r="A761" s="15" t="str">
        <f>IF(COUNTA($B761:$E761,$K761)=0,"",IF(AND($B761&lt;&gt;"",$C761&lt;&gt;"",$D761&lt;&gt;"",$E761&lt;&gt;""),"TXS"&amp;TEXT(COUNTIFS($B$2:$B761,"&lt;&gt;",$C$2:$C761,"&lt;&gt;",$D$2:$D761,"&lt;&gt;",$E$2:$E761,"&lt;&gt;"),"00000"),""))</f>
        <v/>
      </c>
      <c r="B761" s="16"/>
      <c r="C761" s="20"/>
      <c r="D761" s="20"/>
      <c r="E761" s="23"/>
      <c r="H761" s="19" t="str">
        <f t="shared" si="42"/>
        <v/>
      </c>
      <c r="I761" s="19" t="str">
        <f t="shared" si="41"/>
        <v/>
      </c>
      <c r="J761" s="19" t="str">
        <f t="shared" si="43"/>
        <v/>
      </c>
      <c r="K761" s="20"/>
      <c r="L761" s="21" t="str">
        <f>IF(OR(NOT(AND($B761&lt;&gt;"",$C761&lt;&gt;"",$D761&lt;&gt;"",$E761&lt;&gt;"")),$A761="",$K761&lt;&gt;"Yes"),"",IF($L761&lt;&gt;"",$L761,INDEX(SETUP!$I$1:$I$2000,MATCH(TRUE,SETUP!$J$1:$J$2000,0)+COUNTIFS($A$2:$A761,"&lt;&gt;",$K$2:$K761,"Yes",$L$2:$L761,"")-1)))</f>
        <v/>
      </c>
      <c r="N761" s="22"/>
    </row>
    <row r="762" spans="1:14" x14ac:dyDescent="0.3">
      <c r="A762" s="15" t="str">
        <f>IF(COUNTA($B762:$E762,$K762)=0,"",IF(AND($B762&lt;&gt;"",$C762&lt;&gt;"",$D762&lt;&gt;"",$E762&lt;&gt;""),"TXS"&amp;TEXT(COUNTIFS($B$2:$B762,"&lt;&gt;",$C$2:$C762,"&lt;&gt;",$D$2:$D762,"&lt;&gt;",$E$2:$E762,"&lt;&gt;"),"00000"),""))</f>
        <v/>
      </c>
      <c r="B762" s="16"/>
      <c r="C762" s="20"/>
      <c r="D762" s="20"/>
      <c r="E762" s="23"/>
      <c r="H762" s="19" t="str">
        <f t="shared" si="42"/>
        <v/>
      </c>
      <c r="I762" s="19" t="str">
        <f t="shared" si="41"/>
        <v/>
      </c>
      <c r="J762" s="19" t="str">
        <f t="shared" si="43"/>
        <v/>
      </c>
      <c r="K762" s="20"/>
      <c r="L762" s="21" t="str">
        <f>IF(OR(NOT(AND($B762&lt;&gt;"",$C762&lt;&gt;"",$D762&lt;&gt;"",$E762&lt;&gt;"")),$A762="",$K762&lt;&gt;"Yes"),"",IF($L762&lt;&gt;"",$L762,INDEX(SETUP!$I$1:$I$2000,MATCH(TRUE,SETUP!$J$1:$J$2000,0)+COUNTIFS($A$2:$A762,"&lt;&gt;",$K$2:$K762,"Yes",$L$2:$L762,"")-1)))</f>
        <v/>
      </c>
      <c r="N762" s="22"/>
    </row>
    <row r="763" spans="1:14" x14ac:dyDescent="0.3">
      <c r="A763" s="15" t="str">
        <f>IF(COUNTA($B763:$E763,$K763)=0,"",IF(AND($B763&lt;&gt;"",$C763&lt;&gt;"",$D763&lt;&gt;"",$E763&lt;&gt;""),"TXS"&amp;TEXT(COUNTIFS($B$2:$B763,"&lt;&gt;",$C$2:$C763,"&lt;&gt;",$D$2:$D763,"&lt;&gt;",$E$2:$E763,"&lt;&gt;"),"00000"),""))</f>
        <v/>
      </c>
      <c r="B763" s="16"/>
      <c r="C763" s="20"/>
      <c r="D763" s="20"/>
      <c r="E763" s="23"/>
      <c r="H763" s="19" t="str">
        <f t="shared" si="42"/>
        <v/>
      </c>
      <c r="I763" s="19" t="str">
        <f t="shared" si="41"/>
        <v/>
      </c>
      <c r="J763" s="19" t="str">
        <f t="shared" si="43"/>
        <v/>
      </c>
      <c r="K763" s="20"/>
      <c r="L763" s="21" t="str">
        <f>IF(OR(NOT(AND($B763&lt;&gt;"",$C763&lt;&gt;"",$D763&lt;&gt;"",$E763&lt;&gt;"")),$A763="",$K763&lt;&gt;"Yes"),"",IF($L763&lt;&gt;"",$L763,INDEX(SETUP!$I$1:$I$2000,MATCH(TRUE,SETUP!$J$1:$J$2000,0)+COUNTIFS($A$2:$A763,"&lt;&gt;",$K$2:$K763,"Yes",$L$2:$L763,"")-1)))</f>
        <v/>
      </c>
      <c r="N763" s="22"/>
    </row>
    <row r="764" spans="1:14" x14ac:dyDescent="0.3">
      <c r="A764" s="15" t="str">
        <f>IF(COUNTA($B764:$E764,$K764)=0,"",IF(AND($B764&lt;&gt;"",$C764&lt;&gt;"",$D764&lt;&gt;"",$E764&lt;&gt;""),"TXS"&amp;TEXT(COUNTIFS($B$2:$B764,"&lt;&gt;",$C$2:$C764,"&lt;&gt;",$D$2:$D764,"&lt;&gt;",$E$2:$E764,"&lt;&gt;"),"00000"),""))</f>
        <v/>
      </c>
      <c r="B764" s="16"/>
      <c r="C764" s="20"/>
      <c r="D764" s="20"/>
      <c r="E764" s="23"/>
      <c r="H764" s="19" t="str">
        <f t="shared" si="42"/>
        <v/>
      </c>
      <c r="I764" s="19" t="str">
        <f t="shared" si="41"/>
        <v/>
      </c>
      <c r="J764" s="19" t="str">
        <f t="shared" si="43"/>
        <v/>
      </c>
      <c r="K764" s="20"/>
      <c r="L764" s="21" t="str">
        <f>IF(OR(NOT(AND($B764&lt;&gt;"",$C764&lt;&gt;"",$D764&lt;&gt;"",$E764&lt;&gt;"")),$A764="",$K764&lt;&gt;"Yes"),"",IF($L764&lt;&gt;"",$L764,INDEX(SETUP!$I$1:$I$2000,MATCH(TRUE,SETUP!$J$1:$J$2000,0)+COUNTIFS($A$2:$A764,"&lt;&gt;",$K$2:$K764,"Yes",$L$2:$L764,"")-1)))</f>
        <v/>
      </c>
      <c r="N764" s="22"/>
    </row>
    <row r="765" spans="1:14" x14ac:dyDescent="0.3">
      <c r="A765" s="15" t="str">
        <f>IF(COUNTA($B765:$E765,$K765)=0,"",IF(AND($B765&lt;&gt;"",$C765&lt;&gt;"",$D765&lt;&gt;"",$E765&lt;&gt;""),"TXS"&amp;TEXT(COUNTIFS($B$2:$B765,"&lt;&gt;",$C$2:$C765,"&lt;&gt;",$D$2:$D765,"&lt;&gt;",$E$2:$E765,"&lt;&gt;"),"00000"),""))</f>
        <v/>
      </c>
      <c r="B765" s="16"/>
      <c r="C765" s="20"/>
      <c r="D765" s="20"/>
      <c r="E765" s="23"/>
      <c r="H765" s="19" t="str">
        <f t="shared" si="42"/>
        <v/>
      </c>
      <c r="I765" s="19" t="str">
        <f t="shared" si="41"/>
        <v/>
      </c>
      <c r="J765" s="19" t="str">
        <f t="shared" si="43"/>
        <v/>
      </c>
      <c r="K765" s="20"/>
      <c r="L765" s="21" t="str">
        <f>IF(OR(NOT(AND($B765&lt;&gt;"",$C765&lt;&gt;"",$D765&lt;&gt;"",$E765&lt;&gt;"")),$A765="",$K765&lt;&gt;"Yes"),"",IF($L765&lt;&gt;"",$L765,INDEX(SETUP!$I$1:$I$2000,MATCH(TRUE,SETUP!$J$1:$J$2000,0)+COUNTIFS($A$2:$A765,"&lt;&gt;",$K$2:$K765,"Yes",$L$2:$L765,"")-1)))</f>
        <v/>
      </c>
      <c r="N765" s="22"/>
    </row>
    <row r="766" spans="1:14" x14ac:dyDescent="0.3">
      <c r="A766" s="15" t="str">
        <f>IF(COUNTA($B766:$E766,$K766)=0,"",IF(AND($B766&lt;&gt;"",$C766&lt;&gt;"",$D766&lt;&gt;"",$E766&lt;&gt;""),"TXS"&amp;TEXT(COUNTIFS($B$2:$B766,"&lt;&gt;",$C$2:$C766,"&lt;&gt;",$D$2:$D766,"&lt;&gt;",$E$2:$E766,"&lt;&gt;"),"00000"),""))</f>
        <v/>
      </c>
      <c r="B766" s="16"/>
      <c r="C766" s="20"/>
      <c r="D766" s="20"/>
      <c r="E766" s="23"/>
      <c r="H766" s="19" t="str">
        <f t="shared" si="42"/>
        <v/>
      </c>
      <c r="I766" s="19" t="str">
        <f t="shared" si="41"/>
        <v/>
      </c>
      <c r="J766" s="19" t="str">
        <f t="shared" si="43"/>
        <v/>
      </c>
      <c r="K766" s="20"/>
      <c r="L766" s="21" t="str">
        <f>IF(OR(NOT(AND($B766&lt;&gt;"",$C766&lt;&gt;"",$D766&lt;&gt;"",$E766&lt;&gt;"")),$A766="",$K766&lt;&gt;"Yes"),"",IF($L766&lt;&gt;"",$L766,INDEX(SETUP!$I$1:$I$2000,MATCH(TRUE,SETUP!$J$1:$J$2000,0)+COUNTIFS($A$2:$A766,"&lt;&gt;",$K$2:$K766,"Yes",$L$2:$L766,"")-1)))</f>
        <v/>
      </c>
      <c r="N766" s="22"/>
    </row>
    <row r="767" spans="1:14" x14ac:dyDescent="0.3">
      <c r="A767" s="15" t="str">
        <f>IF(COUNTA($B767:$E767,$K767)=0,"",IF(AND($B767&lt;&gt;"",$C767&lt;&gt;"",$D767&lt;&gt;"",$E767&lt;&gt;""),"TXS"&amp;TEXT(COUNTIFS($B$2:$B767,"&lt;&gt;",$C$2:$C767,"&lt;&gt;",$D$2:$D767,"&lt;&gt;",$E$2:$E767,"&lt;&gt;"),"00000"),""))</f>
        <v/>
      </c>
      <c r="B767" s="16"/>
      <c r="C767" s="20"/>
      <c r="D767" s="20"/>
      <c r="E767" s="23"/>
      <c r="H767" s="19" t="str">
        <f t="shared" si="42"/>
        <v/>
      </c>
      <c r="I767" s="19" t="str">
        <f t="shared" si="41"/>
        <v/>
      </c>
      <c r="J767" s="19" t="str">
        <f t="shared" si="43"/>
        <v/>
      </c>
      <c r="K767" s="20"/>
      <c r="L767" s="21" t="str">
        <f>IF(OR(NOT(AND($B767&lt;&gt;"",$C767&lt;&gt;"",$D767&lt;&gt;"",$E767&lt;&gt;"")),$A767="",$K767&lt;&gt;"Yes"),"",IF($L767&lt;&gt;"",$L767,INDEX(SETUP!$I$1:$I$2000,MATCH(TRUE,SETUP!$J$1:$J$2000,0)+COUNTIFS($A$2:$A767,"&lt;&gt;",$K$2:$K767,"Yes",$L$2:$L767,"")-1)))</f>
        <v/>
      </c>
      <c r="N767" s="22"/>
    </row>
    <row r="768" spans="1:14" x14ac:dyDescent="0.3">
      <c r="A768" s="15" t="str">
        <f>IF(COUNTA($B768:$E768,$K768)=0,"",IF(AND($B768&lt;&gt;"",$C768&lt;&gt;"",$D768&lt;&gt;"",$E768&lt;&gt;""),"TXS"&amp;TEXT(COUNTIFS($B$2:$B768,"&lt;&gt;",$C$2:$C768,"&lt;&gt;",$D$2:$D768,"&lt;&gt;",$E$2:$E768,"&lt;&gt;"),"00000"),""))</f>
        <v/>
      </c>
      <c r="B768" s="16"/>
      <c r="C768" s="20"/>
      <c r="D768" s="20"/>
      <c r="E768" s="23"/>
      <c r="H768" s="19" t="str">
        <f t="shared" si="42"/>
        <v/>
      </c>
      <c r="I768" s="19" t="str">
        <f t="shared" si="41"/>
        <v/>
      </c>
      <c r="J768" s="19" t="str">
        <f t="shared" si="43"/>
        <v/>
      </c>
      <c r="K768" s="20"/>
      <c r="L768" s="21" t="str">
        <f>IF(OR(NOT(AND($B768&lt;&gt;"",$C768&lt;&gt;"",$D768&lt;&gt;"",$E768&lt;&gt;"")),$A768="",$K768&lt;&gt;"Yes"),"",IF($L768&lt;&gt;"",$L768,INDEX(SETUP!$I$1:$I$2000,MATCH(TRUE,SETUP!$J$1:$J$2000,0)+COUNTIFS($A$2:$A768,"&lt;&gt;",$K$2:$K768,"Yes",$L$2:$L768,"")-1)))</f>
        <v/>
      </c>
      <c r="N768" s="22"/>
    </row>
    <row r="769" spans="1:14" x14ac:dyDescent="0.3">
      <c r="A769" s="15" t="str">
        <f>IF(COUNTA($B769:$E769,$K769)=0,"",IF(AND($B769&lt;&gt;"",$C769&lt;&gt;"",$D769&lt;&gt;"",$E769&lt;&gt;""),"TXS"&amp;TEXT(COUNTIFS($B$2:$B769,"&lt;&gt;",$C$2:$C769,"&lt;&gt;",$D$2:$D769,"&lt;&gt;",$E$2:$E769,"&lt;&gt;"),"00000"),""))</f>
        <v/>
      </c>
      <c r="B769" s="16"/>
      <c r="C769" s="20"/>
      <c r="D769" s="20"/>
      <c r="E769" s="23"/>
      <c r="H769" s="19" t="str">
        <f t="shared" si="42"/>
        <v/>
      </c>
      <c r="I769" s="19" t="str">
        <f t="shared" si="41"/>
        <v/>
      </c>
      <c r="J769" s="19" t="str">
        <f t="shared" si="43"/>
        <v/>
      </c>
      <c r="K769" s="20"/>
      <c r="L769" s="21" t="str">
        <f>IF(OR(NOT(AND($B769&lt;&gt;"",$C769&lt;&gt;"",$D769&lt;&gt;"",$E769&lt;&gt;"")),$A769="",$K769&lt;&gt;"Yes"),"",IF($L769&lt;&gt;"",$L769,INDEX(SETUP!$I$1:$I$2000,MATCH(TRUE,SETUP!$J$1:$J$2000,0)+COUNTIFS($A$2:$A769,"&lt;&gt;",$K$2:$K769,"Yes",$L$2:$L769,"")-1)))</f>
        <v/>
      </c>
      <c r="N769" s="22"/>
    </row>
    <row r="770" spans="1:14" x14ac:dyDescent="0.3">
      <c r="A770" s="15" t="str">
        <f>IF(COUNTA($B770:$E770,$K770)=0,"",IF(AND($B770&lt;&gt;"",$C770&lt;&gt;"",$D770&lt;&gt;"",$E770&lt;&gt;""),"TXS"&amp;TEXT(COUNTIFS($B$2:$B770,"&lt;&gt;",$C$2:$C770,"&lt;&gt;",$D$2:$D770,"&lt;&gt;",$E$2:$E770,"&lt;&gt;"),"00000"),""))</f>
        <v/>
      </c>
      <c r="B770" s="16"/>
      <c r="C770" s="20"/>
      <c r="D770" s="20"/>
      <c r="E770" s="23"/>
      <c r="H770" s="19" t="str">
        <f t="shared" si="42"/>
        <v/>
      </c>
      <c r="I770" s="19" t="str">
        <f t="shared" si="41"/>
        <v/>
      </c>
      <c r="J770" s="19" t="str">
        <f t="shared" si="43"/>
        <v/>
      </c>
      <c r="K770" s="20"/>
      <c r="L770" s="21" t="str">
        <f>IF(OR(NOT(AND($B770&lt;&gt;"",$C770&lt;&gt;"",$D770&lt;&gt;"",$E770&lt;&gt;"")),$A770="",$K770&lt;&gt;"Yes"),"",IF($L770&lt;&gt;"",$L770,INDEX(SETUP!$I$1:$I$2000,MATCH(TRUE,SETUP!$J$1:$J$2000,0)+COUNTIFS($A$2:$A770,"&lt;&gt;",$K$2:$K770,"Yes",$L$2:$L770,"")-1)))</f>
        <v/>
      </c>
      <c r="N770" s="22"/>
    </row>
    <row r="771" spans="1:14" x14ac:dyDescent="0.3">
      <c r="A771" s="15" t="str">
        <f>IF(COUNTA($B771:$E771,$K771)=0,"",IF(AND($B771&lt;&gt;"",$C771&lt;&gt;"",$D771&lt;&gt;"",$E771&lt;&gt;""),"TXS"&amp;TEXT(COUNTIFS($B$2:$B771,"&lt;&gt;",$C$2:$C771,"&lt;&gt;",$D$2:$D771,"&lt;&gt;",$E$2:$E771,"&lt;&gt;"),"00000"),""))</f>
        <v/>
      </c>
      <c r="B771" s="16"/>
      <c r="C771" s="20"/>
      <c r="D771" s="20"/>
      <c r="E771" s="23"/>
      <c r="H771" s="19" t="str">
        <f t="shared" si="42"/>
        <v/>
      </c>
      <c r="I771" s="19" t="str">
        <f t="shared" si="41"/>
        <v/>
      </c>
      <c r="J771" s="19" t="str">
        <f t="shared" si="43"/>
        <v/>
      </c>
      <c r="K771" s="20"/>
      <c r="L771" s="21" t="str">
        <f>IF(OR(NOT(AND($B771&lt;&gt;"",$C771&lt;&gt;"",$D771&lt;&gt;"",$E771&lt;&gt;"")),$A771="",$K771&lt;&gt;"Yes"),"",IF($L771&lt;&gt;"",$L771,INDEX(SETUP!$I$1:$I$2000,MATCH(TRUE,SETUP!$J$1:$J$2000,0)+COUNTIFS($A$2:$A771,"&lt;&gt;",$K$2:$K771,"Yes",$L$2:$L771,"")-1)))</f>
        <v/>
      </c>
      <c r="N771" s="22"/>
    </row>
    <row r="772" spans="1:14" x14ac:dyDescent="0.3">
      <c r="A772" s="15" t="str">
        <f>IF(COUNTA($B772:$E772,$K772)=0,"",IF(AND($B772&lt;&gt;"",$C772&lt;&gt;"",$D772&lt;&gt;"",$E772&lt;&gt;""),"TXS"&amp;TEXT(COUNTIFS($B$2:$B772,"&lt;&gt;",$C$2:$C772,"&lt;&gt;",$D$2:$D772,"&lt;&gt;",$E$2:$E772,"&lt;&gt;"),"00000"),""))</f>
        <v/>
      </c>
      <c r="B772" s="16"/>
      <c r="C772" s="20"/>
      <c r="D772" s="20"/>
      <c r="E772" s="23"/>
      <c r="H772" s="19" t="str">
        <f t="shared" si="42"/>
        <v/>
      </c>
      <c r="I772" s="19" t="str">
        <f t="shared" si="41"/>
        <v/>
      </c>
      <c r="J772" s="19" t="str">
        <f t="shared" si="43"/>
        <v/>
      </c>
      <c r="K772" s="20"/>
      <c r="L772" s="21" t="str">
        <f>IF(OR(NOT(AND($B772&lt;&gt;"",$C772&lt;&gt;"",$D772&lt;&gt;"",$E772&lt;&gt;"")),$A772="",$K772&lt;&gt;"Yes"),"",IF($L772&lt;&gt;"",$L772,INDEX(SETUP!$I$1:$I$2000,MATCH(TRUE,SETUP!$J$1:$J$2000,0)+COUNTIFS($A$2:$A772,"&lt;&gt;",$K$2:$K772,"Yes",$L$2:$L772,"")-1)))</f>
        <v/>
      </c>
      <c r="N772" s="22"/>
    </row>
    <row r="773" spans="1:14" x14ac:dyDescent="0.3">
      <c r="A773" s="15" t="str">
        <f>IF(COUNTA($B773:$E773,$K773)=0,"",IF(AND($B773&lt;&gt;"",$C773&lt;&gt;"",$D773&lt;&gt;"",$E773&lt;&gt;""),"TXS"&amp;TEXT(COUNTIFS($B$2:$B773,"&lt;&gt;",$C$2:$C773,"&lt;&gt;",$D$2:$D773,"&lt;&gt;",$E$2:$E773,"&lt;&gt;"),"00000"),""))</f>
        <v/>
      </c>
      <c r="B773" s="16"/>
      <c r="C773" s="20"/>
      <c r="D773" s="20"/>
      <c r="E773" s="23"/>
      <c r="H773" s="19" t="str">
        <f t="shared" si="42"/>
        <v/>
      </c>
      <c r="I773" s="19" t="str">
        <f t="shared" si="41"/>
        <v/>
      </c>
      <c r="J773" s="19" t="str">
        <f t="shared" si="43"/>
        <v/>
      </c>
      <c r="K773" s="20"/>
      <c r="L773" s="21" t="str">
        <f>IF(OR(NOT(AND($B773&lt;&gt;"",$C773&lt;&gt;"",$D773&lt;&gt;"",$E773&lt;&gt;"")),$A773="",$K773&lt;&gt;"Yes"),"",IF($L773&lt;&gt;"",$L773,INDEX(SETUP!$I$1:$I$2000,MATCH(TRUE,SETUP!$J$1:$J$2000,0)+COUNTIFS($A$2:$A773,"&lt;&gt;",$K$2:$K773,"Yes",$L$2:$L773,"")-1)))</f>
        <v/>
      </c>
      <c r="N773" s="22"/>
    </row>
    <row r="774" spans="1:14" x14ac:dyDescent="0.3">
      <c r="A774" s="15" t="str">
        <f>IF(COUNTA($B774:$E774,$K774)=0,"",IF(AND($B774&lt;&gt;"",$C774&lt;&gt;"",$D774&lt;&gt;"",$E774&lt;&gt;""),"TXS"&amp;TEXT(COUNTIFS($B$2:$B774,"&lt;&gt;",$C$2:$C774,"&lt;&gt;",$D$2:$D774,"&lt;&gt;",$E$2:$E774,"&lt;&gt;"),"00000"),""))</f>
        <v/>
      </c>
      <c r="B774" s="16"/>
      <c r="C774" s="20"/>
      <c r="D774" s="20"/>
      <c r="E774" s="23"/>
      <c r="H774" s="19" t="str">
        <f t="shared" si="42"/>
        <v/>
      </c>
      <c r="I774" s="19" t="str">
        <f t="shared" si="41"/>
        <v/>
      </c>
      <c r="J774" s="19" t="str">
        <f t="shared" si="43"/>
        <v/>
      </c>
      <c r="K774" s="20"/>
      <c r="L774" s="21" t="str">
        <f>IF(OR(NOT(AND($B774&lt;&gt;"",$C774&lt;&gt;"",$D774&lt;&gt;"",$E774&lt;&gt;"")),$A774="",$K774&lt;&gt;"Yes"),"",IF($L774&lt;&gt;"",$L774,INDEX(SETUP!$I$1:$I$2000,MATCH(TRUE,SETUP!$J$1:$J$2000,0)+COUNTIFS($A$2:$A774,"&lt;&gt;",$K$2:$K774,"Yes",$L$2:$L774,"")-1)))</f>
        <v/>
      </c>
      <c r="N774" s="22"/>
    </row>
    <row r="775" spans="1:14" x14ac:dyDescent="0.3">
      <c r="A775" s="15" t="str">
        <f>IF(COUNTA($B775:$E775,$K775)=0,"",IF(AND($B775&lt;&gt;"",$C775&lt;&gt;"",$D775&lt;&gt;"",$E775&lt;&gt;""),"TXS"&amp;TEXT(COUNTIFS($B$2:$B775,"&lt;&gt;",$C$2:$C775,"&lt;&gt;",$D$2:$D775,"&lt;&gt;",$E$2:$E775,"&lt;&gt;"),"00000"),""))</f>
        <v/>
      </c>
      <c r="B775" s="16"/>
      <c r="C775" s="20"/>
      <c r="D775" s="20"/>
      <c r="E775" s="23"/>
      <c r="H775" s="19" t="str">
        <f t="shared" si="42"/>
        <v/>
      </c>
      <c r="I775" s="19" t="str">
        <f t="shared" si="41"/>
        <v/>
      </c>
      <c r="J775" s="19" t="str">
        <f t="shared" si="43"/>
        <v/>
      </c>
      <c r="K775" s="20"/>
      <c r="L775" s="21" t="str">
        <f>IF(OR(NOT(AND($B775&lt;&gt;"",$C775&lt;&gt;"",$D775&lt;&gt;"",$E775&lt;&gt;"")),$A775="",$K775&lt;&gt;"Yes"),"",IF($L775&lt;&gt;"",$L775,INDEX(SETUP!$I$1:$I$2000,MATCH(TRUE,SETUP!$J$1:$J$2000,0)+COUNTIFS($A$2:$A775,"&lt;&gt;",$K$2:$K775,"Yes",$L$2:$L775,"")-1)))</f>
        <v/>
      </c>
      <c r="N775" s="22"/>
    </row>
    <row r="776" spans="1:14" x14ac:dyDescent="0.3">
      <c r="A776" s="15" t="str">
        <f>IF(COUNTA($B776:$E776,$K776)=0,"",IF(AND($B776&lt;&gt;"",$C776&lt;&gt;"",$D776&lt;&gt;"",$E776&lt;&gt;""),"TXS"&amp;TEXT(COUNTIFS($B$2:$B776,"&lt;&gt;",$C$2:$C776,"&lt;&gt;",$D$2:$D776,"&lt;&gt;",$E$2:$E776,"&lt;&gt;"),"00000"),""))</f>
        <v/>
      </c>
      <c r="B776" s="16"/>
      <c r="C776" s="20"/>
      <c r="D776" s="20"/>
      <c r="E776" s="23"/>
      <c r="H776" s="19" t="str">
        <f t="shared" si="42"/>
        <v/>
      </c>
      <c r="I776" s="19" t="str">
        <f t="shared" si="41"/>
        <v/>
      </c>
      <c r="J776" s="19" t="str">
        <f t="shared" si="43"/>
        <v/>
      </c>
      <c r="K776" s="20"/>
      <c r="L776" s="21" t="str">
        <f>IF(OR(NOT(AND($B776&lt;&gt;"",$C776&lt;&gt;"",$D776&lt;&gt;"",$E776&lt;&gt;"")),$A776="",$K776&lt;&gt;"Yes"),"",IF($L776&lt;&gt;"",$L776,INDEX(SETUP!$I$1:$I$2000,MATCH(TRUE,SETUP!$J$1:$J$2000,0)+COUNTIFS($A$2:$A776,"&lt;&gt;",$K$2:$K776,"Yes",$L$2:$L776,"")-1)))</f>
        <v/>
      </c>
      <c r="N776" s="22"/>
    </row>
    <row r="777" spans="1:14" x14ac:dyDescent="0.3">
      <c r="A777" s="15" t="str">
        <f>IF(COUNTA($B777:$E777,$K777)=0,"",IF(AND($B777&lt;&gt;"",$C777&lt;&gt;"",$D777&lt;&gt;"",$E777&lt;&gt;""),"TXS"&amp;TEXT(COUNTIFS($B$2:$B777,"&lt;&gt;",$C$2:$C777,"&lt;&gt;",$D$2:$D777,"&lt;&gt;",$E$2:$E777,"&lt;&gt;"),"00000"),""))</f>
        <v/>
      </c>
      <c r="B777" s="16"/>
      <c r="C777" s="20"/>
      <c r="D777" s="20"/>
      <c r="E777" s="23"/>
      <c r="H777" s="19" t="str">
        <f t="shared" si="42"/>
        <v/>
      </c>
      <c r="I777" s="19" t="str">
        <f t="shared" si="41"/>
        <v/>
      </c>
      <c r="J777" s="19" t="str">
        <f t="shared" si="43"/>
        <v/>
      </c>
      <c r="K777" s="20"/>
      <c r="L777" s="21" t="str">
        <f>IF(OR(NOT(AND($B777&lt;&gt;"",$C777&lt;&gt;"",$D777&lt;&gt;"",$E777&lt;&gt;"")),$A777="",$K777&lt;&gt;"Yes"),"",IF($L777&lt;&gt;"",$L777,INDEX(SETUP!$I$1:$I$2000,MATCH(TRUE,SETUP!$J$1:$J$2000,0)+COUNTIFS($A$2:$A777,"&lt;&gt;",$K$2:$K777,"Yes",$L$2:$L777,"")-1)))</f>
        <v/>
      </c>
      <c r="N777" s="22"/>
    </row>
    <row r="778" spans="1:14" x14ac:dyDescent="0.3">
      <c r="A778" s="15" t="str">
        <f>IF(COUNTA($B778:$E778,$K778)=0,"",IF(AND($B778&lt;&gt;"",$C778&lt;&gt;"",$D778&lt;&gt;"",$E778&lt;&gt;""),"TXS"&amp;TEXT(COUNTIFS($B$2:$B778,"&lt;&gt;",$C$2:$C778,"&lt;&gt;",$D$2:$D778,"&lt;&gt;",$E$2:$E778,"&lt;&gt;"),"00000"),""))</f>
        <v/>
      </c>
      <c r="B778" s="16"/>
      <c r="C778" s="20"/>
      <c r="D778" s="20"/>
      <c r="E778" s="23"/>
      <c r="H778" s="19" t="str">
        <f t="shared" si="42"/>
        <v/>
      </c>
      <c r="I778" s="19" t="str">
        <f t="shared" si="41"/>
        <v/>
      </c>
      <c r="J778" s="19" t="str">
        <f t="shared" si="43"/>
        <v/>
      </c>
      <c r="K778" s="20"/>
      <c r="L778" s="21" t="str">
        <f>IF(OR(NOT(AND($B778&lt;&gt;"",$C778&lt;&gt;"",$D778&lt;&gt;"",$E778&lt;&gt;"")),$A778="",$K778&lt;&gt;"Yes"),"",IF($L778&lt;&gt;"",$L778,INDEX(SETUP!$I$1:$I$2000,MATCH(TRUE,SETUP!$J$1:$J$2000,0)+COUNTIFS($A$2:$A778,"&lt;&gt;",$K$2:$K778,"Yes",$L$2:$L778,"")-1)))</f>
        <v/>
      </c>
      <c r="N778" s="22"/>
    </row>
    <row r="779" spans="1:14" x14ac:dyDescent="0.3">
      <c r="A779" s="15" t="str">
        <f>IF(COUNTA($B779:$E779,$K779)=0,"",IF(AND($B779&lt;&gt;"",$C779&lt;&gt;"",$D779&lt;&gt;"",$E779&lt;&gt;""),"TXS"&amp;TEXT(COUNTIFS($B$2:$B779,"&lt;&gt;",$C$2:$C779,"&lt;&gt;",$D$2:$D779,"&lt;&gt;",$E$2:$E779,"&lt;&gt;"),"00000"),""))</f>
        <v/>
      </c>
      <c r="B779" s="16"/>
      <c r="C779" s="20"/>
      <c r="D779" s="20"/>
      <c r="E779" s="23"/>
      <c r="H779" s="19" t="str">
        <f t="shared" si="42"/>
        <v/>
      </c>
      <c r="I779" s="19" t="str">
        <f t="shared" si="41"/>
        <v/>
      </c>
      <c r="J779" s="19" t="str">
        <f t="shared" si="43"/>
        <v/>
      </c>
      <c r="K779" s="20"/>
      <c r="L779" s="21" t="str">
        <f>IF(OR(NOT(AND($B779&lt;&gt;"",$C779&lt;&gt;"",$D779&lt;&gt;"",$E779&lt;&gt;"")),$A779="",$K779&lt;&gt;"Yes"),"",IF($L779&lt;&gt;"",$L779,INDEX(SETUP!$I$1:$I$2000,MATCH(TRUE,SETUP!$J$1:$J$2000,0)+COUNTIFS($A$2:$A779,"&lt;&gt;",$K$2:$K779,"Yes",$L$2:$L779,"")-1)))</f>
        <v/>
      </c>
      <c r="N779" s="22"/>
    </row>
    <row r="780" spans="1:14" x14ac:dyDescent="0.3">
      <c r="A780" s="15" t="str">
        <f>IF(COUNTA($B780:$E780,$K780)=0,"",IF(AND($B780&lt;&gt;"",$C780&lt;&gt;"",$D780&lt;&gt;"",$E780&lt;&gt;""),"TXS"&amp;TEXT(COUNTIFS($B$2:$B780,"&lt;&gt;",$C$2:$C780,"&lt;&gt;",$D$2:$D780,"&lt;&gt;",$E$2:$E780,"&lt;&gt;"),"00000"),""))</f>
        <v/>
      </c>
      <c r="B780" s="16"/>
      <c r="C780" s="20"/>
      <c r="D780" s="20"/>
      <c r="E780" s="23"/>
      <c r="H780" s="19" t="str">
        <f t="shared" si="42"/>
        <v/>
      </c>
      <c r="I780" s="19" t="str">
        <f t="shared" si="41"/>
        <v/>
      </c>
      <c r="J780" s="19" t="str">
        <f t="shared" si="43"/>
        <v/>
      </c>
      <c r="K780" s="20"/>
      <c r="L780" s="21" t="str">
        <f>IF(OR(NOT(AND($B780&lt;&gt;"",$C780&lt;&gt;"",$D780&lt;&gt;"",$E780&lt;&gt;"")),$A780="",$K780&lt;&gt;"Yes"),"",IF($L780&lt;&gt;"",$L780,INDEX(SETUP!$I$1:$I$2000,MATCH(TRUE,SETUP!$J$1:$J$2000,0)+COUNTIFS($A$2:$A780,"&lt;&gt;",$K$2:$K780,"Yes",$L$2:$L780,"")-1)))</f>
        <v/>
      </c>
      <c r="N780" s="22"/>
    </row>
    <row r="781" spans="1:14" x14ac:dyDescent="0.3">
      <c r="A781" s="15" t="str">
        <f>IF(COUNTA($B781:$E781,$K781)=0,"",IF(AND($B781&lt;&gt;"",$C781&lt;&gt;"",$D781&lt;&gt;"",$E781&lt;&gt;""),"TXS"&amp;TEXT(COUNTIFS($B$2:$B781,"&lt;&gt;",$C$2:$C781,"&lt;&gt;",$D$2:$D781,"&lt;&gt;",$E$2:$E781,"&lt;&gt;"),"00000"),""))</f>
        <v/>
      </c>
      <c r="B781" s="16"/>
      <c r="C781" s="20"/>
      <c r="D781" s="20"/>
      <c r="E781" s="23"/>
      <c r="H781" s="19" t="str">
        <f t="shared" si="42"/>
        <v/>
      </c>
      <c r="I781" s="19" t="str">
        <f t="shared" si="41"/>
        <v/>
      </c>
      <c r="J781" s="19" t="str">
        <f t="shared" si="43"/>
        <v/>
      </c>
      <c r="K781" s="20"/>
      <c r="L781" s="21" t="str">
        <f>IF(OR(NOT(AND($B781&lt;&gt;"",$C781&lt;&gt;"",$D781&lt;&gt;"",$E781&lt;&gt;"")),$A781="",$K781&lt;&gt;"Yes"),"",IF($L781&lt;&gt;"",$L781,INDEX(SETUP!$I$1:$I$2000,MATCH(TRUE,SETUP!$J$1:$J$2000,0)+COUNTIFS($A$2:$A781,"&lt;&gt;",$K$2:$K781,"Yes",$L$2:$L781,"")-1)))</f>
        <v/>
      </c>
      <c r="N781" s="22"/>
    </row>
    <row r="782" spans="1:14" x14ac:dyDescent="0.3">
      <c r="A782" s="15" t="str">
        <f>IF(COUNTA($B782:$E782,$K782)=0,"",IF(AND($B782&lt;&gt;"",$C782&lt;&gt;"",$D782&lt;&gt;"",$E782&lt;&gt;""),"TXS"&amp;TEXT(COUNTIFS($B$2:$B782,"&lt;&gt;",$C$2:$C782,"&lt;&gt;",$D$2:$D782,"&lt;&gt;",$E$2:$E782,"&lt;&gt;"),"00000"),""))</f>
        <v/>
      </c>
      <c r="B782" s="16"/>
      <c r="C782" s="20"/>
      <c r="D782" s="20"/>
      <c r="E782" s="23"/>
      <c r="H782" s="19" t="str">
        <f t="shared" si="42"/>
        <v/>
      </c>
      <c r="I782" s="19" t="str">
        <f t="shared" si="41"/>
        <v/>
      </c>
      <c r="J782" s="19" t="str">
        <f t="shared" si="43"/>
        <v/>
      </c>
      <c r="K782" s="20"/>
      <c r="L782" s="21" t="str">
        <f>IF(OR(NOT(AND($B782&lt;&gt;"",$C782&lt;&gt;"",$D782&lt;&gt;"",$E782&lt;&gt;"")),$A782="",$K782&lt;&gt;"Yes"),"",IF($L782&lt;&gt;"",$L782,INDEX(SETUP!$I$1:$I$2000,MATCH(TRUE,SETUP!$J$1:$J$2000,0)+COUNTIFS($A$2:$A782,"&lt;&gt;",$K$2:$K782,"Yes",$L$2:$L782,"")-1)))</f>
        <v/>
      </c>
      <c r="N782" s="22"/>
    </row>
    <row r="783" spans="1:14" x14ac:dyDescent="0.3">
      <c r="A783" s="15" t="str">
        <f>IF(COUNTA($B783:$E783,$K783)=0,"",IF(AND($B783&lt;&gt;"",$C783&lt;&gt;"",$D783&lt;&gt;"",$E783&lt;&gt;""),"TXS"&amp;TEXT(COUNTIFS($B$2:$B783,"&lt;&gt;",$C$2:$C783,"&lt;&gt;",$D$2:$D783,"&lt;&gt;",$E$2:$E783,"&lt;&gt;"),"00000"),""))</f>
        <v/>
      </c>
      <c r="B783" s="16"/>
      <c r="C783" s="20"/>
      <c r="D783" s="20"/>
      <c r="E783" s="23"/>
      <c r="H783" s="19" t="str">
        <f t="shared" si="42"/>
        <v/>
      </c>
      <c r="I783" s="19" t="str">
        <f t="shared" si="41"/>
        <v/>
      </c>
      <c r="J783" s="19" t="str">
        <f t="shared" si="43"/>
        <v/>
      </c>
      <c r="K783" s="20"/>
      <c r="L783" s="21" t="str">
        <f>IF(OR(NOT(AND($B783&lt;&gt;"",$C783&lt;&gt;"",$D783&lt;&gt;"",$E783&lt;&gt;"")),$A783="",$K783&lt;&gt;"Yes"),"",IF($L783&lt;&gt;"",$L783,INDEX(SETUP!$I$1:$I$2000,MATCH(TRUE,SETUP!$J$1:$J$2000,0)+COUNTIFS($A$2:$A783,"&lt;&gt;",$K$2:$K783,"Yes",$L$2:$L783,"")-1)))</f>
        <v/>
      </c>
      <c r="N783" s="22"/>
    </row>
    <row r="784" spans="1:14" x14ac:dyDescent="0.3">
      <c r="A784" s="15" t="str">
        <f>IF(COUNTA($B784:$E784,$K784)=0,"",IF(AND($B784&lt;&gt;"",$C784&lt;&gt;"",$D784&lt;&gt;"",$E784&lt;&gt;""),"TXS"&amp;TEXT(COUNTIFS($B$2:$B784,"&lt;&gt;",$C$2:$C784,"&lt;&gt;",$D$2:$D784,"&lt;&gt;",$E$2:$E784,"&lt;&gt;"),"00000"),""))</f>
        <v/>
      </c>
      <c r="B784" s="16"/>
      <c r="C784" s="20"/>
      <c r="D784" s="20"/>
      <c r="E784" s="23"/>
      <c r="H784" s="19" t="str">
        <f t="shared" si="42"/>
        <v/>
      </c>
      <c r="I784" s="19" t="str">
        <f t="shared" si="41"/>
        <v/>
      </c>
      <c r="J784" s="19" t="str">
        <f t="shared" si="43"/>
        <v/>
      </c>
      <c r="K784" s="20"/>
      <c r="L784" s="21" t="str">
        <f>IF(OR(NOT(AND($B784&lt;&gt;"",$C784&lt;&gt;"",$D784&lt;&gt;"",$E784&lt;&gt;"")),$A784="",$K784&lt;&gt;"Yes"),"",IF($L784&lt;&gt;"",$L784,INDEX(SETUP!$I$1:$I$2000,MATCH(TRUE,SETUP!$J$1:$J$2000,0)+COUNTIFS($A$2:$A784,"&lt;&gt;",$K$2:$K784,"Yes",$L$2:$L784,"")-1)))</f>
        <v/>
      </c>
      <c r="N784" s="22"/>
    </row>
    <row r="785" spans="1:14" x14ac:dyDescent="0.3">
      <c r="A785" s="15" t="str">
        <f>IF(COUNTA($B785:$E785,$K785)=0,"",IF(AND($B785&lt;&gt;"",$C785&lt;&gt;"",$D785&lt;&gt;"",$E785&lt;&gt;""),"TXS"&amp;TEXT(COUNTIFS($B$2:$B785,"&lt;&gt;",$C$2:$C785,"&lt;&gt;",$D$2:$D785,"&lt;&gt;",$E$2:$E785,"&lt;&gt;"),"00000"),""))</f>
        <v/>
      </c>
      <c r="B785" s="16"/>
      <c r="C785" s="20"/>
      <c r="D785" s="20"/>
      <c r="E785" s="23"/>
      <c r="H785" s="19" t="str">
        <f t="shared" si="42"/>
        <v/>
      </c>
      <c r="I785" s="19" t="str">
        <f t="shared" si="41"/>
        <v/>
      </c>
      <c r="J785" s="19" t="str">
        <f t="shared" si="43"/>
        <v/>
      </c>
      <c r="K785" s="20"/>
      <c r="L785" s="21" t="str">
        <f>IF(OR(NOT(AND($B785&lt;&gt;"",$C785&lt;&gt;"",$D785&lt;&gt;"",$E785&lt;&gt;"")),$A785="",$K785&lt;&gt;"Yes"),"",IF($L785&lt;&gt;"",$L785,INDEX(SETUP!$I$1:$I$2000,MATCH(TRUE,SETUP!$J$1:$J$2000,0)+COUNTIFS($A$2:$A785,"&lt;&gt;",$K$2:$K785,"Yes",$L$2:$L785,"")-1)))</f>
        <v/>
      </c>
      <c r="N785" s="22"/>
    </row>
    <row r="786" spans="1:14" x14ac:dyDescent="0.3">
      <c r="A786" s="15" t="str">
        <f>IF(COUNTA($B786:$E786,$K786)=0,"",IF(AND($B786&lt;&gt;"",$C786&lt;&gt;"",$D786&lt;&gt;"",$E786&lt;&gt;""),"TXS"&amp;TEXT(COUNTIFS($B$2:$B786,"&lt;&gt;",$C$2:$C786,"&lt;&gt;",$D$2:$D786,"&lt;&gt;",$E$2:$E786,"&lt;&gt;"),"00000"),""))</f>
        <v/>
      </c>
      <c r="B786" s="16"/>
      <c r="C786" s="20"/>
      <c r="D786" s="20"/>
      <c r="E786" s="23"/>
      <c r="H786" s="19" t="str">
        <f t="shared" si="42"/>
        <v/>
      </c>
      <c r="I786" s="19" t="str">
        <f t="shared" si="41"/>
        <v/>
      </c>
      <c r="J786" s="19" t="str">
        <f t="shared" si="43"/>
        <v/>
      </c>
      <c r="K786" s="20"/>
      <c r="L786" s="21" t="str">
        <f>IF(OR(NOT(AND($B786&lt;&gt;"",$C786&lt;&gt;"",$D786&lt;&gt;"",$E786&lt;&gt;"")),$A786="",$K786&lt;&gt;"Yes"),"",IF($L786&lt;&gt;"",$L786,INDEX(SETUP!$I$1:$I$2000,MATCH(TRUE,SETUP!$J$1:$J$2000,0)+COUNTIFS($A$2:$A786,"&lt;&gt;",$K$2:$K786,"Yes",$L$2:$L786,"")-1)))</f>
        <v/>
      </c>
      <c r="N786" s="22"/>
    </row>
    <row r="787" spans="1:14" x14ac:dyDescent="0.3">
      <c r="A787" s="15" t="str">
        <f>IF(COUNTA($B787:$E787,$K787)=0,"",IF(AND($B787&lt;&gt;"",$C787&lt;&gt;"",$D787&lt;&gt;"",$E787&lt;&gt;""),"TXS"&amp;TEXT(COUNTIFS($B$2:$B787,"&lt;&gt;",$C$2:$C787,"&lt;&gt;",$D$2:$D787,"&lt;&gt;",$E$2:$E787,"&lt;&gt;"),"00000"),""))</f>
        <v/>
      </c>
      <c r="B787" s="16"/>
      <c r="C787" s="20"/>
      <c r="D787" s="20"/>
      <c r="E787" s="23"/>
      <c r="H787" s="19" t="str">
        <f t="shared" si="42"/>
        <v/>
      </c>
      <c r="I787" s="19" t="str">
        <f t="shared" si="41"/>
        <v/>
      </c>
      <c r="J787" s="19" t="str">
        <f t="shared" si="43"/>
        <v/>
      </c>
      <c r="K787" s="20"/>
      <c r="L787" s="21" t="str">
        <f>IF(OR(NOT(AND($B787&lt;&gt;"",$C787&lt;&gt;"",$D787&lt;&gt;"",$E787&lt;&gt;"")),$A787="",$K787&lt;&gt;"Yes"),"",IF($L787&lt;&gt;"",$L787,INDEX(SETUP!$I$1:$I$2000,MATCH(TRUE,SETUP!$J$1:$J$2000,0)+COUNTIFS($A$2:$A787,"&lt;&gt;",$K$2:$K787,"Yes",$L$2:$L787,"")-1)))</f>
        <v/>
      </c>
      <c r="N787" s="22"/>
    </row>
    <row r="788" spans="1:14" x14ac:dyDescent="0.3">
      <c r="A788" s="15" t="str">
        <f>IF(COUNTA($B788:$E788,$K788)=0,"",IF(AND($B788&lt;&gt;"",$C788&lt;&gt;"",$D788&lt;&gt;"",$E788&lt;&gt;""),"TXS"&amp;TEXT(COUNTIFS($B$2:$B788,"&lt;&gt;",$C$2:$C788,"&lt;&gt;",$D$2:$D788,"&lt;&gt;",$E$2:$E788,"&lt;&gt;"),"00000"),""))</f>
        <v/>
      </c>
      <c r="B788" s="16"/>
      <c r="C788" s="20"/>
      <c r="D788" s="20"/>
      <c r="E788" s="23"/>
      <c r="H788" s="19" t="str">
        <f t="shared" si="42"/>
        <v/>
      </c>
      <c r="I788" s="19" t="str">
        <f t="shared" si="41"/>
        <v/>
      </c>
      <c r="J788" s="19" t="str">
        <f t="shared" si="43"/>
        <v/>
      </c>
      <c r="K788" s="20"/>
      <c r="L788" s="21" t="str">
        <f>IF(OR(NOT(AND($B788&lt;&gt;"",$C788&lt;&gt;"",$D788&lt;&gt;"",$E788&lt;&gt;"")),$A788="",$K788&lt;&gt;"Yes"),"",IF($L788&lt;&gt;"",$L788,INDEX(SETUP!$I$1:$I$2000,MATCH(TRUE,SETUP!$J$1:$J$2000,0)+COUNTIFS($A$2:$A788,"&lt;&gt;",$K$2:$K788,"Yes",$L$2:$L788,"")-1)))</f>
        <v/>
      </c>
      <c r="N788" s="22"/>
    </row>
    <row r="789" spans="1:14" x14ac:dyDescent="0.3">
      <c r="A789" s="15" t="str">
        <f>IF(COUNTA($B789:$E789,$K789)=0,"",IF(AND($B789&lt;&gt;"",$C789&lt;&gt;"",$D789&lt;&gt;"",$E789&lt;&gt;""),"TXS"&amp;TEXT(COUNTIFS($B$2:$B789,"&lt;&gt;",$C$2:$C789,"&lt;&gt;",$D$2:$D789,"&lt;&gt;",$E$2:$E789,"&lt;&gt;"),"00000"),""))</f>
        <v/>
      </c>
      <c r="B789" s="16"/>
      <c r="C789" s="20"/>
      <c r="D789" s="20"/>
      <c r="E789" s="23"/>
      <c r="H789" s="19" t="str">
        <f t="shared" si="42"/>
        <v/>
      </c>
      <c r="I789" s="19" t="str">
        <f t="shared" si="41"/>
        <v/>
      </c>
      <c r="J789" s="19" t="str">
        <f t="shared" si="43"/>
        <v/>
      </c>
      <c r="K789" s="20"/>
      <c r="L789" s="21" t="str">
        <f>IF(OR(NOT(AND($B789&lt;&gt;"",$C789&lt;&gt;"",$D789&lt;&gt;"",$E789&lt;&gt;"")),$A789="",$K789&lt;&gt;"Yes"),"",IF($L789&lt;&gt;"",$L789,INDEX(SETUP!$I$1:$I$2000,MATCH(TRUE,SETUP!$J$1:$J$2000,0)+COUNTIFS($A$2:$A789,"&lt;&gt;",$K$2:$K789,"Yes",$L$2:$L789,"")-1)))</f>
        <v/>
      </c>
      <c r="N789" s="22"/>
    </row>
    <row r="790" spans="1:14" x14ac:dyDescent="0.3">
      <c r="A790" s="15" t="str">
        <f>IF(COUNTA($B790:$E790,$K790)=0,"",IF(AND($B790&lt;&gt;"",$C790&lt;&gt;"",$D790&lt;&gt;"",$E790&lt;&gt;""),"TXS"&amp;TEXT(COUNTIFS($B$2:$B790,"&lt;&gt;",$C$2:$C790,"&lt;&gt;",$D$2:$D790,"&lt;&gt;",$E$2:$E790,"&lt;&gt;"),"00000"),""))</f>
        <v/>
      </c>
      <c r="B790" s="16"/>
      <c r="C790" s="20"/>
      <c r="D790" s="20"/>
      <c r="E790" s="23"/>
      <c r="H790" s="19" t="str">
        <f t="shared" si="42"/>
        <v/>
      </c>
      <c r="I790" s="19" t="str">
        <f t="shared" si="41"/>
        <v/>
      </c>
      <c r="J790" s="19" t="str">
        <f t="shared" si="43"/>
        <v/>
      </c>
      <c r="K790" s="20"/>
      <c r="L790" s="21" t="str">
        <f>IF(OR(NOT(AND($B790&lt;&gt;"",$C790&lt;&gt;"",$D790&lt;&gt;"",$E790&lt;&gt;"")),$A790="",$K790&lt;&gt;"Yes"),"",IF($L790&lt;&gt;"",$L790,INDEX(SETUP!$I$1:$I$2000,MATCH(TRUE,SETUP!$J$1:$J$2000,0)+COUNTIFS($A$2:$A790,"&lt;&gt;",$K$2:$K790,"Yes",$L$2:$L790,"")-1)))</f>
        <v/>
      </c>
      <c r="N790" s="22"/>
    </row>
    <row r="791" spans="1:14" x14ac:dyDescent="0.3">
      <c r="A791" s="15" t="str">
        <f>IF(COUNTA($B791:$E791,$K791)=0,"",IF(AND($B791&lt;&gt;"",$C791&lt;&gt;"",$D791&lt;&gt;"",$E791&lt;&gt;""),"TXS"&amp;TEXT(COUNTIFS($B$2:$B791,"&lt;&gt;",$C$2:$C791,"&lt;&gt;",$D$2:$D791,"&lt;&gt;",$E$2:$E791,"&lt;&gt;"),"00000"),""))</f>
        <v/>
      </c>
      <c r="B791" s="16"/>
      <c r="C791" s="20"/>
      <c r="D791" s="20"/>
      <c r="E791" s="23"/>
      <c r="H791" s="19" t="str">
        <f t="shared" si="42"/>
        <v/>
      </c>
      <c r="I791" s="19" t="str">
        <f t="shared" si="41"/>
        <v/>
      </c>
      <c r="J791" s="19" t="str">
        <f t="shared" si="43"/>
        <v/>
      </c>
      <c r="K791" s="20"/>
      <c r="L791" s="21" t="str">
        <f>IF(OR(NOT(AND($B791&lt;&gt;"",$C791&lt;&gt;"",$D791&lt;&gt;"",$E791&lt;&gt;"")),$A791="",$K791&lt;&gt;"Yes"),"",IF($L791&lt;&gt;"",$L791,INDEX(SETUP!$I$1:$I$2000,MATCH(TRUE,SETUP!$J$1:$J$2000,0)+COUNTIFS($A$2:$A791,"&lt;&gt;",$K$2:$K791,"Yes",$L$2:$L791,"")-1)))</f>
        <v/>
      </c>
      <c r="N791" s="22"/>
    </row>
    <row r="792" spans="1:14" x14ac:dyDescent="0.3">
      <c r="A792" s="15" t="str">
        <f>IF(COUNTA($B792:$E792,$K792)=0,"",IF(AND($B792&lt;&gt;"",$C792&lt;&gt;"",$D792&lt;&gt;"",$E792&lt;&gt;""),"TXS"&amp;TEXT(COUNTIFS($B$2:$B792,"&lt;&gt;",$C$2:$C792,"&lt;&gt;",$D$2:$D792,"&lt;&gt;",$E$2:$E792,"&lt;&gt;"),"00000"),""))</f>
        <v/>
      </c>
      <c r="B792" s="16"/>
      <c r="C792" s="20"/>
      <c r="D792" s="20"/>
      <c r="E792" s="23"/>
      <c r="H792" s="19" t="str">
        <f t="shared" si="42"/>
        <v/>
      </c>
      <c r="I792" s="19" t="str">
        <f t="shared" si="41"/>
        <v/>
      </c>
      <c r="J792" s="19" t="str">
        <f t="shared" si="43"/>
        <v/>
      </c>
      <c r="K792" s="20"/>
      <c r="L792" s="21" t="str">
        <f>IF(OR(NOT(AND($B792&lt;&gt;"",$C792&lt;&gt;"",$D792&lt;&gt;"",$E792&lt;&gt;"")),$A792="",$K792&lt;&gt;"Yes"),"",IF($L792&lt;&gt;"",$L792,INDEX(SETUP!$I$1:$I$2000,MATCH(TRUE,SETUP!$J$1:$J$2000,0)+COUNTIFS($A$2:$A792,"&lt;&gt;",$K$2:$K792,"Yes",$L$2:$L792,"")-1)))</f>
        <v/>
      </c>
      <c r="N792" s="22"/>
    </row>
    <row r="793" spans="1:14" x14ac:dyDescent="0.3">
      <c r="A793" s="15" t="str">
        <f>IF(COUNTA($B793:$E793,$K793)=0,"",IF(AND($B793&lt;&gt;"",$C793&lt;&gt;"",$D793&lt;&gt;"",$E793&lt;&gt;""),"TXS"&amp;TEXT(COUNTIFS($B$2:$B793,"&lt;&gt;",$C$2:$C793,"&lt;&gt;",$D$2:$D793,"&lt;&gt;",$E$2:$E793,"&lt;&gt;"),"00000"),""))</f>
        <v/>
      </c>
      <c r="B793" s="16"/>
      <c r="C793" s="20"/>
      <c r="D793" s="20"/>
      <c r="E793" s="23"/>
      <c r="H793" s="19" t="str">
        <f t="shared" si="42"/>
        <v/>
      </c>
      <c r="I793" s="19" t="str">
        <f t="shared" si="41"/>
        <v/>
      </c>
      <c r="J793" s="19" t="str">
        <f t="shared" si="43"/>
        <v/>
      </c>
      <c r="K793" s="20"/>
      <c r="L793" s="21" t="str">
        <f>IF(OR(NOT(AND($B793&lt;&gt;"",$C793&lt;&gt;"",$D793&lt;&gt;"",$E793&lt;&gt;"")),$A793="",$K793&lt;&gt;"Yes"),"",IF($L793&lt;&gt;"",$L793,INDEX(SETUP!$I$1:$I$2000,MATCH(TRUE,SETUP!$J$1:$J$2000,0)+COUNTIFS($A$2:$A793,"&lt;&gt;",$K$2:$K793,"Yes",$L$2:$L793,"")-1)))</f>
        <v/>
      </c>
      <c r="N793" s="22"/>
    </row>
    <row r="794" spans="1:14" x14ac:dyDescent="0.3">
      <c r="A794" s="15" t="str">
        <f>IF(COUNTA($B794:$E794,$K794)=0,"",IF(AND($B794&lt;&gt;"",$C794&lt;&gt;"",$D794&lt;&gt;"",$E794&lt;&gt;""),"TXS"&amp;TEXT(COUNTIFS($B$2:$B794,"&lt;&gt;",$C$2:$C794,"&lt;&gt;",$D$2:$D794,"&lt;&gt;",$E$2:$E794,"&lt;&gt;"),"00000"),""))</f>
        <v/>
      </c>
      <c r="B794" s="16"/>
      <c r="C794" s="20"/>
      <c r="D794" s="20"/>
      <c r="E794" s="23"/>
      <c r="H794" s="19" t="str">
        <f t="shared" si="42"/>
        <v/>
      </c>
      <c r="I794" s="19" t="str">
        <f t="shared" si="41"/>
        <v/>
      </c>
      <c r="J794" s="19" t="str">
        <f t="shared" si="43"/>
        <v/>
      </c>
      <c r="K794" s="20"/>
      <c r="L794" s="21" t="str">
        <f>IF(OR(NOT(AND($B794&lt;&gt;"",$C794&lt;&gt;"",$D794&lt;&gt;"",$E794&lt;&gt;"")),$A794="",$K794&lt;&gt;"Yes"),"",IF($L794&lt;&gt;"",$L794,INDEX(SETUP!$I$1:$I$2000,MATCH(TRUE,SETUP!$J$1:$J$2000,0)+COUNTIFS($A$2:$A794,"&lt;&gt;",$K$2:$K794,"Yes",$L$2:$L794,"")-1)))</f>
        <v/>
      </c>
      <c r="N794" s="22"/>
    </row>
    <row r="795" spans="1:14" x14ac:dyDescent="0.3">
      <c r="A795" s="15" t="str">
        <f>IF(COUNTA($B795:$E795,$K795)=0,"",IF(AND($B795&lt;&gt;"",$C795&lt;&gt;"",$D795&lt;&gt;"",$E795&lt;&gt;""),"TXS"&amp;TEXT(COUNTIFS($B$2:$B795,"&lt;&gt;",$C$2:$C795,"&lt;&gt;",$D$2:$D795,"&lt;&gt;",$E$2:$E795,"&lt;&gt;"),"00000"),""))</f>
        <v/>
      </c>
      <c r="B795" s="16"/>
      <c r="C795" s="20"/>
      <c r="D795" s="20"/>
      <c r="E795" s="23"/>
      <c r="H795" s="19" t="str">
        <f t="shared" si="42"/>
        <v/>
      </c>
      <c r="I795" s="19" t="str">
        <f t="shared" si="41"/>
        <v/>
      </c>
      <c r="J795" s="19" t="str">
        <f t="shared" si="43"/>
        <v/>
      </c>
      <c r="K795" s="20"/>
      <c r="L795" s="21" t="str">
        <f>IF(OR(NOT(AND($B795&lt;&gt;"",$C795&lt;&gt;"",$D795&lt;&gt;"",$E795&lt;&gt;"")),$A795="",$K795&lt;&gt;"Yes"),"",IF($L795&lt;&gt;"",$L795,INDEX(SETUP!$I$1:$I$2000,MATCH(TRUE,SETUP!$J$1:$J$2000,0)+COUNTIFS($A$2:$A795,"&lt;&gt;",$K$2:$K795,"Yes",$L$2:$L795,"")-1)))</f>
        <v/>
      </c>
      <c r="N795" s="22"/>
    </row>
    <row r="796" spans="1:14" x14ac:dyDescent="0.3">
      <c r="A796" s="15" t="str">
        <f>IF(COUNTA($B796:$E796,$K796)=0,"",IF(AND($B796&lt;&gt;"",$C796&lt;&gt;"",$D796&lt;&gt;"",$E796&lt;&gt;""),"TXS"&amp;TEXT(COUNTIFS($B$2:$B796,"&lt;&gt;",$C$2:$C796,"&lt;&gt;",$D$2:$D796,"&lt;&gt;",$E$2:$E796,"&lt;&gt;"),"00000"),""))</f>
        <v/>
      </c>
      <c r="B796" s="16"/>
      <c r="C796" s="20"/>
      <c r="D796" s="20"/>
      <c r="E796" s="23"/>
      <c r="H796" s="19" t="str">
        <f t="shared" si="42"/>
        <v/>
      </c>
      <c r="I796" s="19" t="str">
        <f t="shared" si="41"/>
        <v/>
      </c>
      <c r="J796" s="19" t="str">
        <f t="shared" si="43"/>
        <v/>
      </c>
      <c r="K796" s="20"/>
      <c r="L796" s="21" t="str">
        <f>IF(OR(NOT(AND($B796&lt;&gt;"",$C796&lt;&gt;"",$D796&lt;&gt;"",$E796&lt;&gt;"")),$A796="",$K796&lt;&gt;"Yes"),"",IF($L796&lt;&gt;"",$L796,INDEX(SETUP!$I$1:$I$2000,MATCH(TRUE,SETUP!$J$1:$J$2000,0)+COUNTIFS($A$2:$A796,"&lt;&gt;",$K$2:$K796,"Yes",$L$2:$L796,"")-1)))</f>
        <v/>
      </c>
      <c r="N796" s="22"/>
    </row>
    <row r="797" spans="1:14" x14ac:dyDescent="0.3">
      <c r="A797" s="15" t="str">
        <f>IF(COUNTA($B797:$E797,$K797)=0,"",IF(AND($B797&lt;&gt;"",$C797&lt;&gt;"",$D797&lt;&gt;"",$E797&lt;&gt;""),"TXS"&amp;TEXT(COUNTIFS($B$2:$B797,"&lt;&gt;",$C$2:$C797,"&lt;&gt;",$D$2:$D797,"&lt;&gt;",$E$2:$E797,"&lt;&gt;"),"00000"),""))</f>
        <v/>
      </c>
      <c r="B797" s="16"/>
      <c r="C797" s="20"/>
      <c r="D797" s="20"/>
      <c r="E797" s="23"/>
      <c r="H797" s="19" t="str">
        <f t="shared" si="42"/>
        <v/>
      </c>
      <c r="I797" s="19" t="str">
        <f t="shared" si="41"/>
        <v/>
      </c>
      <c r="J797" s="19" t="str">
        <f t="shared" si="43"/>
        <v/>
      </c>
      <c r="K797" s="20"/>
      <c r="L797" s="21" t="str">
        <f>IF(OR(NOT(AND($B797&lt;&gt;"",$C797&lt;&gt;"",$D797&lt;&gt;"",$E797&lt;&gt;"")),$A797="",$K797&lt;&gt;"Yes"),"",IF($L797&lt;&gt;"",$L797,INDEX(SETUP!$I$1:$I$2000,MATCH(TRUE,SETUP!$J$1:$J$2000,0)+COUNTIFS($A$2:$A797,"&lt;&gt;",$K$2:$K797,"Yes",$L$2:$L797,"")-1)))</f>
        <v/>
      </c>
      <c r="N797" s="22"/>
    </row>
    <row r="798" spans="1:14" x14ac:dyDescent="0.3">
      <c r="A798" s="15" t="str">
        <f>IF(COUNTA($B798:$E798,$K798)=0,"",IF(AND($B798&lt;&gt;"",$C798&lt;&gt;"",$D798&lt;&gt;"",$E798&lt;&gt;""),"TXS"&amp;TEXT(COUNTIFS($B$2:$B798,"&lt;&gt;",$C$2:$C798,"&lt;&gt;",$D$2:$D798,"&lt;&gt;",$E$2:$E798,"&lt;&gt;"),"00000"),""))</f>
        <v/>
      </c>
      <c r="B798" s="16"/>
      <c r="C798" s="20"/>
      <c r="D798" s="20"/>
      <c r="E798" s="23"/>
      <c r="H798" s="19" t="str">
        <f t="shared" si="42"/>
        <v/>
      </c>
      <c r="I798" s="19" t="str">
        <f t="shared" si="41"/>
        <v/>
      </c>
      <c r="J798" s="19" t="str">
        <f t="shared" si="43"/>
        <v/>
      </c>
      <c r="K798" s="20"/>
      <c r="L798" s="21" t="str">
        <f>IF(OR(NOT(AND($B798&lt;&gt;"",$C798&lt;&gt;"",$D798&lt;&gt;"",$E798&lt;&gt;"")),$A798="",$K798&lt;&gt;"Yes"),"",IF($L798&lt;&gt;"",$L798,INDEX(SETUP!$I$1:$I$2000,MATCH(TRUE,SETUP!$J$1:$J$2000,0)+COUNTIFS($A$2:$A798,"&lt;&gt;",$K$2:$K798,"Yes",$L$2:$L798,"")-1)))</f>
        <v/>
      </c>
      <c r="N798" s="22"/>
    </row>
    <row r="799" spans="1:14" x14ac:dyDescent="0.3">
      <c r="A799" s="15" t="str">
        <f>IF(COUNTA($B799:$E799,$K799)=0,"",IF(AND($B799&lt;&gt;"",$C799&lt;&gt;"",$D799&lt;&gt;"",$E799&lt;&gt;""),"TXS"&amp;TEXT(COUNTIFS($B$2:$B799,"&lt;&gt;",$C$2:$C799,"&lt;&gt;",$D$2:$D799,"&lt;&gt;",$E$2:$E799,"&lt;&gt;"),"00000"),""))</f>
        <v/>
      </c>
      <c r="B799" s="16"/>
      <c r="C799" s="20"/>
      <c r="D799" s="20"/>
      <c r="E799" s="23"/>
      <c r="H799" s="19" t="str">
        <f t="shared" si="42"/>
        <v/>
      </c>
      <c r="I799" s="19" t="str">
        <f t="shared" si="41"/>
        <v/>
      </c>
      <c r="J799" s="19" t="str">
        <f t="shared" si="43"/>
        <v/>
      </c>
      <c r="K799" s="20"/>
      <c r="L799" s="21" t="str">
        <f>IF(OR(NOT(AND($B799&lt;&gt;"",$C799&lt;&gt;"",$D799&lt;&gt;"",$E799&lt;&gt;"")),$A799="",$K799&lt;&gt;"Yes"),"",IF($L799&lt;&gt;"",$L799,INDEX(SETUP!$I$1:$I$2000,MATCH(TRUE,SETUP!$J$1:$J$2000,0)+COUNTIFS($A$2:$A799,"&lt;&gt;",$K$2:$K799,"Yes",$L$2:$L799,"")-1)))</f>
        <v/>
      </c>
      <c r="N799" s="22"/>
    </row>
    <row r="800" spans="1:14" x14ac:dyDescent="0.3">
      <c r="A800" s="15" t="str">
        <f>IF(COUNTA($B800:$E800,$K800)=0,"",IF(AND($B800&lt;&gt;"",$C800&lt;&gt;"",$D800&lt;&gt;"",$E800&lt;&gt;""),"TXS"&amp;TEXT(COUNTIFS($B$2:$B800,"&lt;&gt;",$C$2:$C800,"&lt;&gt;",$D$2:$D800,"&lt;&gt;",$E$2:$E800,"&lt;&gt;"),"00000"),""))</f>
        <v/>
      </c>
      <c r="B800" s="16"/>
      <c r="C800" s="20"/>
      <c r="D800" s="20"/>
      <c r="E800" s="23"/>
      <c r="H800" s="19" t="str">
        <f t="shared" si="42"/>
        <v/>
      </c>
      <c r="I800" s="19" t="str">
        <f t="shared" si="41"/>
        <v/>
      </c>
      <c r="J800" s="19" t="str">
        <f t="shared" si="43"/>
        <v/>
      </c>
      <c r="K800" s="20"/>
      <c r="L800" s="21" t="str">
        <f>IF(OR(NOT(AND($B800&lt;&gt;"",$C800&lt;&gt;"",$D800&lt;&gt;"",$E800&lt;&gt;"")),$A800="",$K800&lt;&gt;"Yes"),"",IF($L800&lt;&gt;"",$L800,INDEX(SETUP!$I$1:$I$2000,MATCH(TRUE,SETUP!$J$1:$J$2000,0)+COUNTIFS($A$2:$A800,"&lt;&gt;",$K$2:$K800,"Yes",$L$2:$L800,"")-1)))</f>
        <v/>
      </c>
      <c r="N800" s="22"/>
    </row>
    <row r="801" spans="1:14" x14ac:dyDescent="0.3">
      <c r="A801" s="15" t="str">
        <f>IF(COUNTA($B801:$E801,$K801)=0,"",IF(AND($B801&lt;&gt;"",$C801&lt;&gt;"",$D801&lt;&gt;"",$E801&lt;&gt;""),"TXS"&amp;TEXT(COUNTIFS($B$2:$B801,"&lt;&gt;",$C$2:$C801,"&lt;&gt;",$D$2:$D801,"&lt;&gt;",$E$2:$E801,"&lt;&gt;"),"00000"),""))</f>
        <v/>
      </c>
      <c r="B801" s="16"/>
      <c r="C801" s="20"/>
      <c r="D801" s="20"/>
      <c r="E801" s="23"/>
      <c r="H801" s="19" t="str">
        <f t="shared" si="42"/>
        <v/>
      </c>
      <c r="I801" s="19" t="str">
        <f t="shared" si="41"/>
        <v/>
      </c>
      <c r="J801" s="19" t="str">
        <f t="shared" si="43"/>
        <v/>
      </c>
      <c r="K801" s="20"/>
      <c r="L801" s="21" t="str">
        <f>IF(OR(NOT(AND($B801&lt;&gt;"",$C801&lt;&gt;"",$D801&lt;&gt;"",$E801&lt;&gt;"")),$A801="",$K801&lt;&gt;"Yes"),"",IF($L801&lt;&gt;"",$L801,INDEX(SETUP!$I$1:$I$2000,MATCH(TRUE,SETUP!$J$1:$J$2000,0)+COUNTIFS($A$2:$A801,"&lt;&gt;",$K$2:$K801,"Yes",$L$2:$L801,"")-1)))</f>
        <v/>
      </c>
      <c r="N801" s="22"/>
    </row>
    <row r="802" spans="1:14" x14ac:dyDescent="0.3">
      <c r="A802" s="15" t="str">
        <f>IF(COUNTA($B802:$E802,$K802)=0,"",IF(AND($B802&lt;&gt;"",$C802&lt;&gt;"",$D802&lt;&gt;"",$E802&lt;&gt;""),"TXS"&amp;TEXT(COUNTIFS($B$2:$B802,"&lt;&gt;",$C$2:$C802,"&lt;&gt;",$D$2:$D802,"&lt;&gt;",$E$2:$E802,"&lt;&gt;"),"00000"),""))</f>
        <v/>
      </c>
      <c r="B802" s="16"/>
      <c r="C802" s="20"/>
      <c r="D802" s="20"/>
      <c r="E802" s="23"/>
      <c r="H802" s="19" t="str">
        <f t="shared" si="42"/>
        <v/>
      </c>
      <c r="I802" s="19" t="str">
        <f t="shared" si="41"/>
        <v/>
      </c>
      <c r="J802" s="19" t="str">
        <f t="shared" si="43"/>
        <v/>
      </c>
      <c r="K802" s="20"/>
      <c r="L802" s="21" t="str">
        <f>IF(OR(NOT(AND($B802&lt;&gt;"",$C802&lt;&gt;"",$D802&lt;&gt;"",$E802&lt;&gt;"")),$A802="",$K802&lt;&gt;"Yes"),"",IF($L802&lt;&gt;"",$L802,INDEX(SETUP!$I$1:$I$2000,MATCH(TRUE,SETUP!$J$1:$J$2000,0)+COUNTIFS($A$2:$A802,"&lt;&gt;",$K$2:$K802,"Yes",$L$2:$L802,"")-1)))</f>
        <v/>
      </c>
      <c r="N802" s="22"/>
    </row>
    <row r="803" spans="1:14" x14ac:dyDescent="0.3">
      <c r="A803" s="15" t="str">
        <f>IF(COUNTA($B803:$E803,$K803)=0,"",IF(AND($B803&lt;&gt;"",$C803&lt;&gt;"",$D803&lt;&gt;"",$E803&lt;&gt;""),"TXS"&amp;TEXT(COUNTIFS($B$2:$B803,"&lt;&gt;",$C$2:$C803,"&lt;&gt;",$D$2:$D803,"&lt;&gt;",$E$2:$E803,"&lt;&gt;"),"00000"),""))</f>
        <v/>
      </c>
      <c r="B803" s="16"/>
      <c r="C803" s="20"/>
      <c r="D803" s="20"/>
      <c r="E803" s="23"/>
      <c r="H803" s="19" t="str">
        <f t="shared" si="42"/>
        <v/>
      </c>
      <c r="I803" s="19" t="str">
        <f t="shared" si="41"/>
        <v/>
      </c>
      <c r="J803" s="19" t="str">
        <f t="shared" si="43"/>
        <v/>
      </c>
      <c r="K803" s="20"/>
      <c r="L803" s="21" t="str">
        <f>IF(OR(NOT(AND($B803&lt;&gt;"",$C803&lt;&gt;"",$D803&lt;&gt;"",$E803&lt;&gt;"")),$A803="",$K803&lt;&gt;"Yes"),"",IF($L803&lt;&gt;"",$L803,INDEX(SETUP!$I$1:$I$2000,MATCH(TRUE,SETUP!$J$1:$J$2000,0)+COUNTIFS($A$2:$A803,"&lt;&gt;",$K$2:$K803,"Yes",$L$2:$L803,"")-1)))</f>
        <v/>
      </c>
      <c r="N803" s="22"/>
    </row>
    <row r="804" spans="1:14" x14ac:dyDescent="0.3">
      <c r="A804" s="15" t="str">
        <f>IF(COUNTA($B804:$E804,$K804)=0,"",IF(AND($B804&lt;&gt;"",$C804&lt;&gt;"",$D804&lt;&gt;"",$E804&lt;&gt;""),"TXS"&amp;TEXT(COUNTIFS($B$2:$B804,"&lt;&gt;",$C$2:$C804,"&lt;&gt;",$D$2:$D804,"&lt;&gt;",$E$2:$E804,"&lt;&gt;"),"00000"),""))</f>
        <v/>
      </c>
      <c r="B804" s="16"/>
      <c r="C804" s="20"/>
      <c r="D804" s="20"/>
      <c r="E804" s="23"/>
      <c r="H804" s="19" t="str">
        <f t="shared" si="42"/>
        <v/>
      </c>
      <c r="I804" s="19" t="str">
        <f t="shared" si="41"/>
        <v/>
      </c>
      <c r="J804" s="19" t="str">
        <f t="shared" si="43"/>
        <v/>
      </c>
      <c r="K804" s="20"/>
      <c r="L804" s="21" t="str">
        <f>IF(OR(NOT(AND($B804&lt;&gt;"",$C804&lt;&gt;"",$D804&lt;&gt;"",$E804&lt;&gt;"")),$A804="",$K804&lt;&gt;"Yes"),"",IF($L804&lt;&gt;"",$L804,INDEX(SETUP!$I$1:$I$2000,MATCH(TRUE,SETUP!$J$1:$J$2000,0)+COUNTIFS($A$2:$A804,"&lt;&gt;",$K$2:$K804,"Yes",$L$2:$L804,"")-1)))</f>
        <v/>
      </c>
      <c r="N804" s="22"/>
    </row>
    <row r="805" spans="1:14" x14ac:dyDescent="0.3">
      <c r="A805" s="15" t="str">
        <f>IF(COUNTA($B805:$E805,$K805)=0,"",IF(AND($B805&lt;&gt;"",$C805&lt;&gt;"",$D805&lt;&gt;"",$E805&lt;&gt;""),"TXS"&amp;TEXT(COUNTIFS($B$2:$B805,"&lt;&gt;",$C$2:$C805,"&lt;&gt;",$D$2:$D805,"&lt;&gt;",$E$2:$E805,"&lt;&gt;"),"00000"),""))</f>
        <v/>
      </c>
      <c r="B805" s="16"/>
      <c r="C805" s="20"/>
      <c r="D805" s="20"/>
      <c r="E805" s="23"/>
      <c r="H805" s="19" t="str">
        <f t="shared" si="42"/>
        <v/>
      </c>
      <c r="I805" s="19" t="str">
        <f t="shared" si="41"/>
        <v/>
      </c>
      <c r="J805" s="19" t="str">
        <f t="shared" si="43"/>
        <v/>
      </c>
      <c r="K805" s="20"/>
      <c r="L805" s="21" t="str">
        <f>IF(OR(NOT(AND($B805&lt;&gt;"",$C805&lt;&gt;"",$D805&lt;&gt;"",$E805&lt;&gt;"")),$A805="",$K805&lt;&gt;"Yes"),"",IF($L805&lt;&gt;"",$L805,INDEX(SETUP!$I$1:$I$2000,MATCH(TRUE,SETUP!$J$1:$J$2000,0)+COUNTIFS($A$2:$A805,"&lt;&gt;",$K$2:$K805,"Yes",$L$2:$L805,"")-1)))</f>
        <v/>
      </c>
      <c r="N805" s="22"/>
    </row>
    <row r="806" spans="1:14" x14ac:dyDescent="0.3">
      <c r="A806" s="15" t="str">
        <f>IF(COUNTA($B806:$E806,$K806)=0,"",IF(AND($B806&lt;&gt;"",$C806&lt;&gt;"",$D806&lt;&gt;"",$E806&lt;&gt;""),"TXS"&amp;TEXT(COUNTIFS($B$2:$B806,"&lt;&gt;",$C$2:$C806,"&lt;&gt;",$D$2:$D806,"&lt;&gt;",$E$2:$E806,"&lt;&gt;"),"00000"),""))</f>
        <v/>
      </c>
      <c r="B806" s="16"/>
      <c r="C806" s="20"/>
      <c r="D806" s="20"/>
      <c r="E806" s="23"/>
      <c r="H806" s="19" t="str">
        <f t="shared" si="42"/>
        <v/>
      </c>
      <c r="I806" s="19" t="str">
        <f t="shared" si="41"/>
        <v/>
      </c>
      <c r="J806" s="19" t="str">
        <f t="shared" si="43"/>
        <v/>
      </c>
      <c r="K806" s="20"/>
      <c r="L806" s="21" t="str">
        <f>IF(OR(NOT(AND($B806&lt;&gt;"",$C806&lt;&gt;"",$D806&lt;&gt;"",$E806&lt;&gt;"")),$A806="",$K806&lt;&gt;"Yes"),"",IF($L806&lt;&gt;"",$L806,INDEX(SETUP!$I$1:$I$2000,MATCH(TRUE,SETUP!$J$1:$J$2000,0)+COUNTIFS($A$2:$A806,"&lt;&gt;",$K$2:$K806,"Yes",$L$2:$L806,"")-1)))</f>
        <v/>
      </c>
      <c r="N806" s="22"/>
    </row>
    <row r="807" spans="1:14" x14ac:dyDescent="0.3">
      <c r="A807" s="15" t="str">
        <f>IF(COUNTA($B807:$E807,$K807)=0,"",IF(AND($B807&lt;&gt;"",$C807&lt;&gt;"",$D807&lt;&gt;"",$E807&lt;&gt;""),"TXS"&amp;TEXT(COUNTIFS($B$2:$B807,"&lt;&gt;",$C$2:$C807,"&lt;&gt;",$D$2:$D807,"&lt;&gt;",$E$2:$E807,"&lt;&gt;"),"00000"),""))</f>
        <v/>
      </c>
      <c r="B807" s="16"/>
      <c r="C807" s="20"/>
      <c r="D807" s="20"/>
      <c r="E807" s="23"/>
      <c r="H807" s="19" t="str">
        <f t="shared" si="42"/>
        <v/>
      </c>
      <c r="I807" s="19" t="str">
        <f t="shared" si="41"/>
        <v/>
      </c>
      <c r="J807" s="19" t="str">
        <f t="shared" si="43"/>
        <v/>
      </c>
      <c r="K807" s="20"/>
      <c r="L807" s="21" t="str">
        <f>IF(OR(NOT(AND($B807&lt;&gt;"",$C807&lt;&gt;"",$D807&lt;&gt;"",$E807&lt;&gt;"")),$A807="",$K807&lt;&gt;"Yes"),"",IF($L807&lt;&gt;"",$L807,INDEX(SETUP!$I$1:$I$2000,MATCH(TRUE,SETUP!$J$1:$J$2000,0)+COUNTIFS($A$2:$A807,"&lt;&gt;",$K$2:$K807,"Yes",$L$2:$L807,"")-1)))</f>
        <v/>
      </c>
      <c r="N807" s="22"/>
    </row>
    <row r="808" spans="1:14" x14ac:dyDescent="0.3">
      <c r="A808" s="15" t="str">
        <f>IF(COUNTA($B808:$E808,$K808)=0,"",IF(AND($B808&lt;&gt;"",$C808&lt;&gt;"",$D808&lt;&gt;"",$E808&lt;&gt;""),"TXS"&amp;TEXT(COUNTIFS($B$2:$B808,"&lt;&gt;",$C$2:$C808,"&lt;&gt;",$D$2:$D808,"&lt;&gt;",$E$2:$E808,"&lt;&gt;"),"00000"),""))</f>
        <v/>
      </c>
      <c r="B808" s="16"/>
      <c r="C808" s="20"/>
      <c r="D808" s="20"/>
      <c r="E808" s="23"/>
      <c r="H808" s="19" t="str">
        <f t="shared" si="42"/>
        <v/>
      </c>
      <c r="I808" s="19" t="str">
        <f t="shared" si="41"/>
        <v/>
      </c>
      <c r="J808" s="19" t="str">
        <f t="shared" si="43"/>
        <v/>
      </c>
      <c r="K808" s="20"/>
      <c r="L808" s="21" t="str">
        <f>IF(OR(NOT(AND($B808&lt;&gt;"",$C808&lt;&gt;"",$D808&lt;&gt;"",$E808&lt;&gt;"")),$A808="",$K808&lt;&gt;"Yes"),"",IF($L808&lt;&gt;"",$L808,INDEX(SETUP!$I$1:$I$2000,MATCH(TRUE,SETUP!$J$1:$J$2000,0)+COUNTIFS($A$2:$A808,"&lt;&gt;",$K$2:$K808,"Yes",$L$2:$L808,"")-1)))</f>
        <v/>
      </c>
      <c r="N808" s="22"/>
    </row>
    <row r="809" spans="1:14" x14ac:dyDescent="0.3">
      <c r="A809" s="15" t="str">
        <f>IF(COUNTA($B809:$E809,$K809)=0,"",IF(AND($B809&lt;&gt;"",$C809&lt;&gt;"",$D809&lt;&gt;"",$E809&lt;&gt;""),"TXS"&amp;TEXT(COUNTIFS($B$2:$B809,"&lt;&gt;",$C$2:$C809,"&lt;&gt;",$D$2:$D809,"&lt;&gt;",$E$2:$E809,"&lt;&gt;"),"00000"),""))</f>
        <v/>
      </c>
      <c r="B809" s="16"/>
      <c r="C809" s="20"/>
      <c r="D809" s="20"/>
      <c r="E809" s="23"/>
      <c r="H809" s="19" t="str">
        <f t="shared" si="42"/>
        <v/>
      </c>
      <c r="I809" s="19" t="str">
        <f t="shared" ref="I809:I872" si="44">IF(NOT(AND($B809&lt;&gt;"",$C809&lt;&gt;"",$D809&lt;&gt;"",$E809&lt;&gt;"")),"",IF($A809="","","NIH plate "&amp;INT((VALUE(RIGHT($A809,5))-1)/96)+1&amp;": "&amp;CHAR(65+INT(MOD(VALUE(RIGHT($A809,5))-1,96)/12))&amp;(MOD(VALUE(RIGHT($A809,5))-1,12)+1)))</f>
        <v/>
      </c>
      <c r="J809" s="19" t="str">
        <f t="shared" si="43"/>
        <v/>
      </c>
      <c r="K809" s="20"/>
      <c r="L809" s="21" t="str">
        <f>IF(OR(NOT(AND($B809&lt;&gt;"",$C809&lt;&gt;"",$D809&lt;&gt;"",$E809&lt;&gt;"")),$A809="",$K809&lt;&gt;"Yes"),"",IF($L809&lt;&gt;"",$L809,INDEX(SETUP!$I$1:$I$2000,MATCH(TRUE,SETUP!$J$1:$J$2000,0)+COUNTIFS($A$2:$A809,"&lt;&gt;",$K$2:$K809,"Yes",$L$2:$L809,"")-1)))</f>
        <v/>
      </c>
      <c r="N809" s="22"/>
    </row>
    <row r="810" spans="1:14" x14ac:dyDescent="0.3">
      <c r="A810" s="15" t="str">
        <f>IF(COUNTA($B810:$E810,$K810)=0,"",IF(AND($B810&lt;&gt;"",$C810&lt;&gt;"",$D810&lt;&gt;"",$E810&lt;&gt;""),"TXS"&amp;TEXT(COUNTIFS($B$2:$B810,"&lt;&gt;",$C$2:$C810,"&lt;&gt;",$D$2:$D810,"&lt;&gt;",$E$2:$E810,"&lt;&gt;"),"00000"),""))</f>
        <v/>
      </c>
      <c r="B810" s="16"/>
      <c r="C810" s="20"/>
      <c r="D810" s="20"/>
      <c r="E810" s="23"/>
      <c r="H810" s="19" t="str">
        <f t="shared" si="42"/>
        <v/>
      </c>
      <c r="I810" s="19" t="str">
        <f t="shared" si="44"/>
        <v/>
      </c>
      <c r="J810" s="19" t="str">
        <f t="shared" si="43"/>
        <v/>
      </c>
      <c r="K810" s="20"/>
      <c r="L810" s="21" t="str">
        <f>IF(OR(NOT(AND($B810&lt;&gt;"",$C810&lt;&gt;"",$D810&lt;&gt;"",$E810&lt;&gt;"")),$A810="",$K810&lt;&gt;"Yes"),"",IF($L810&lt;&gt;"",$L810,INDEX(SETUP!$I$1:$I$2000,MATCH(TRUE,SETUP!$J$1:$J$2000,0)+COUNTIFS($A$2:$A810,"&lt;&gt;",$K$2:$K810,"Yes",$L$2:$L810,"")-1)))</f>
        <v/>
      </c>
      <c r="N810" s="22"/>
    </row>
    <row r="811" spans="1:14" x14ac:dyDescent="0.3">
      <c r="A811" s="15" t="str">
        <f>IF(COUNTA($B811:$E811,$K811)=0,"",IF(AND($B811&lt;&gt;"",$C811&lt;&gt;"",$D811&lt;&gt;"",$E811&lt;&gt;""),"TXS"&amp;TEXT(COUNTIFS($B$2:$B811,"&lt;&gt;",$C$2:$C811,"&lt;&gt;",$D$2:$D811,"&lt;&gt;",$E$2:$E811,"&lt;&gt;"),"00000"),""))</f>
        <v/>
      </c>
      <c r="B811" s="16"/>
      <c r="C811" s="20"/>
      <c r="D811" s="20"/>
      <c r="E811" s="23"/>
      <c r="H811" s="19" t="str">
        <f t="shared" si="42"/>
        <v/>
      </c>
      <c r="I811" s="19" t="str">
        <f t="shared" si="44"/>
        <v/>
      </c>
      <c r="J811" s="19" t="str">
        <f t="shared" si="43"/>
        <v/>
      </c>
      <c r="K811" s="20"/>
      <c r="L811" s="21" t="str">
        <f>IF(OR(NOT(AND($B811&lt;&gt;"",$C811&lt;&gt;"",$D811&lt;&gt;"",$E811&lt;&gt;"")),$A811="",$K811&lt;&gt;"Yes"),"",IF($L811&lt;&gt;"",$L811,INDEX(SETUP!$I$1:$I$2000,MATCH(TRUE,SETUP!$J$1:$J$2000,0)+COUNTIFS($A$2:$A811,"&lt;&gt;",$K$2:$K811,"Yes",$L$2:$L811,"")-1)))</f>
        <v/>
      </c>
      <c r="N811" s="22"/>
    </row>
    <row r="812" spans="1:14" x14ac:dyDescent="0.3">
      <c r="A812" s="15" t="str">
        <f>IF(COUNTA($B812:$E812,$K812)=0,"",IF(AND($B812&lt;&gt;"",$C812&lt;&gt;"",$D812&lt;&gt;"",$E812&lt;&gt;""),"TXS"&amp;TEXT(COUNTIFS($B$2:$B812,"&lt;&gt;",$C$2:$C812,"&lt;&gt;",$D$2:$D812,"&lt;&gt;",$E$2:$E812,"&lt;&gt;"),"00000"),""))</f>
        <v/>
      </c>
      <c r="B812" s="16"/>
      <c r="C812" s="20"/>
      <c r="D812" s="20"/>
      <c r="E812" s="23"/>
      <c r="H812" s="19" t="str">
        <f t="shared" si="42"/>
        <v/>
      </c>
      <c r="I812" s="19" t="str">
        <f t="shared" si="44"/>
        <v/>
      </c>
      <c r="J812" s="19" t="str">
        <f t="shared" si="43"/>
        <v/>
      </c>
      <c r="K812" s="20"/>
      <c r="L812" s="21" t="str">
        <f>IF(OR(NOT(AND($B812&lt;&gt;"",$C812&lt;&gt;"",$D812&lt;&gt;"",$E812&lt;&gt;"")),$A812="",$K812&lt;&gt;"Yes"),"",IF($L812&lt;&gt;"",$L812,INDEX(SETUP!$I$1:$I$2000,MATCH(TRUE,SETUP!$J$1:$J$2000,0)+COUNTIFS($A$2:$A812,"&lt;&gt;",$K$2:$K812,"Yes",$L$2:$L812,"")-1)))</f>
        <v/>
      </c>
      <c r="N812" s="22"/>
    </row>
    <row r="813" spans="1:14" x14ac:dyDescent="0.3">
      <c r="A813" s="15" t="str">
        <f>IF(COUNTA($B813:$E813,$K813)=0,"",IF(AND($B813&lt;&gt;"",$C813&lt;&gt;"",$D813&lt;&gt;"",$E813&lt;&gt;""),"TXS"&amp;TEXT(COUNTIFS($B$2:$B813,"&lt;&gt;",$C$2:$C813,"&lt;&gt;",$D$2:$D813,"&lt;&gt;",$E$2:$E813,"&lt;&gt;"),"00000"),""))</f>
        <v/>
      </c>
      <c r="B813" s="16"/>
      <c r="C813" s="20"/>
      <c r="D813" s="20"/>
      <c r="E813" s="23"/>
      <c r="H813" s="19" t="str">
        <f t="shared" si="42"/>
        <v/>
      </c>
      <c r="I813" s="19" t="str">
        <f t="shared" si="44"/>
        <v/>
      </c>
      <c r="J813" s="19" t="str">
        <f t="shared" si="43"/>
        <v/>
      </c>
      <c r="K813" s="20"/>
      <c r="L813" s="21" t="str">
        <f>IF(OR(NOT(AND($B813&lt;&gt;"",$C813&lt;&gt;"",$D813&lt;&gt;"",$E813&lt;&gt;"")),$A813="",$K813&lt;&gt;"Yes"),"",IF($L813&lt;&gt;"",$L813,INDEX(SETUP!$I$1:$I$2000,MATCH(TRUE,SETUP!$J$1:$J$2000,0)+COUNTIFS($A$2:$A813,"&lt;&gt;",$K$2:$K813,"Yes",$L$2:$L813,"")-1)))</f>
        <v/>
      </c>
      <c r="N813" s="22"/>
    </row>
    <row r="814" spans="1:14" x14ac:dyDescent="0.3">
      <c r="A814" s="15" t="str">
        <f>IF(COUNTA($B814:$E814,$K814)=0,"",IF(AND($B814&lt;&gt;"",$C814&lt;&gt;"",$D814&lt;&gt;"",$E814&lt;&gt;""),"TXS"&amp;TEXT(COUNTIFS($B$2:$B814,"&lt;&gt;",$C$2:$C814,"&lt;&gt;",$D$2:$D814,"&lt;&gt;",$E$2:$E814,"&lt;&gt;"),"00000"),""))</f>
        <v/>
      </c>
      <c r="B814" s="16"/>
      <c r="C814" s="20"/>
      <c r="D814" s="20"/>
      <c r="E814" s="23"/>
      <c r="H814" s="19" t="str">
        <f t="shared" si="42"/>
        <v/>
      </c>
      <c r="I814" s="19" t="str">
        <f t="shared" si="44"/>
        <v/>
      </c>
      <c r="J814" s="19" t="str">
        <f t="shared" si="43"/>
        <v/>
      </c>
      <c r="K814" s="20"/>
      <c r="L814" s="21" t="str">
        <f>IF(OR(NOT(AND($B814&lt;&gt;"",$C814&lt;&gt;"",$D814&lt;&gt;"",$E814&lt;&gt;"")),$A814="",$K814&lt;&gt;"Yes"),"",IF($L814&lt;&gt;"",$L814,INDEX(SETUP!$I$1:$I$2000,MATCH(TRUE,SETUP!$J$1:$J$2000,0)+COUNTIFS($A$2:$A814,"&lt;&gt;",$K$2:$K814,"Yes",$L$2:$L814,"")-1)))</f>
        <v/>
      </c>
      <c r="N814" s="22"/>
    </row>
    <row r="815" spans="1:14" x14ac:dyDescent="0.3">
      <c r="A815" s="15" t="str">
        <f>IF(COUNTA($B815:$E815,$K815)=0,"",IF(AND($B815&lt;&gt;"",$C815&lt;&gt;"",$D815&lt;&gt;"",$E815&lt;&gt;""),"TXS"&amp;TEXT(COUNTIFS($B$2:$B815,"&lt;&gt;",$C$2:$C815,"&lt;&gt;",$D$2:$D815,"&lt;&gt;",$E$2:$E815,"&lt;&gt;"),"00000"),""))</f>
        <v/>
      </c>
      <c r="B815" s="16"/>
      <c r="C815" s="20"/>
      <c r="D815" s="20"/>
      <c r="E815" s="23"/>
      <c r="H815" s="19" t="str">
        <f t="shared" ref="H815:H878" si="45">IF(NOT(AND($B815&lt;&gt;"",$C815&lt;&gt;"",$D815&lt;&gt;"",$E815&lt;&gt;"")),"",IF($A815="","","CDI plate "&amp;INT((VALUE(RIGHT($A815,5))-1)/96)+1&amp;": "&amp;CHAR(65+INT(MOD(VALUE(RIGHT($A815,5))-1,96)/12))&amp;(MOD(VALUE(RIGHT($A815,5))-1,12)+1)))</f>
        <v/>
      </c>
      <c r="I815" s="19" t="str">
        <f t="shared" si="44"/>
        <v/>
      </c>
      <c r="J815" s="19" t="str">
        <f t="shared" si="43"/>
        <v/>
      </c>
      <c r="K815" s="20"/>
      <c r="L815" s="21" t="str">
        <f>IF(OR(NOT(AND($B815&lt;&gt;"",$C815&lt;&gt;"",$D815&lt;&gt;"",$E815&lt;&gt;"")),$A815="",$K815&lt;&gt;"Yes"),"",IF($L815&lt;&gt;"",$L815,INDEX(SETUP!$I$1:$I$2000,MATCH(TRUE,SETUP!$J$1:$J$2000,0)+COUNTIFS($A$2:$A815,"&lt;&gt;",$K$2:$K815,"Yes",$L$2:$L815,"")-1)))</f>
        <v/>
      </c>
      <c r="N815" s="22"/>
    </row>
    <row r="816" spans="1:14" x14ac:dyDescent="0.3">
      <c r="A816" s="15" t="str">
        <f>IF(COUNTA($B816:$E816,$K816)=0,"",IF(AND($B816&lt;&gt;"",$C816&lt;&gt;"",$D816&lt;&gt;"",$E816&lt;&gt;""),"TXS"&amp;TEXT(COUNTIFS($B$2:$B816,"&lt;&gt;",$C$2:$C816,"&lt;&gt;",$D$2:$D816,"&lt;&gt;",$E$2:$E816,"&lt;&gt;"),"00000"),""))</f>
        <v/>
      </c>
      <c r="B816" s="16"/>
      <c r="C816" s="20"/>
      <c r="D816" s="20"/>
      <c r="E816" s="23"/>
      <c r="H816" s="19" t="str">
        <f t="shared" si="45"/>
        <v/>
      </c>
      <c r="I816" s="19" t="str">
        <f t="shared" si="44"/>
        <v/>
      </c>
      <c r="J816" s="19" t="str">
        <f t="shared" si="43"/>
        <v/>
      </c>
      <c r="K816" s="20"/>
      <c r="L816" s="21" t="str">
        <f>IF(OR(NOT(AND($B816&lt;&gt;"",$C816&lt;&gt;"",$D816&lt;&gt;"",$E816&lt;&gt;"")),$A816="",$K816&lt;&gt;"Yes"),"",IF($L816&lt;&gt;"",$L816,INDEX(SETUP!$I$1:$I$2000,MATCH(TRUE,SETUP!$J$1:$J$2000,0)+COUNTIFS($A$2:$A816,"&lt;&gt;",$K$2:$K816,"Yes",$L$2:$L816,"")-1)))</f>
        <v/>
      </c>
      <c r="N816" s="22"/>
    </row>
    <row r="817" spans="1:14" x14ac:dyDescent="0.3">
      <c r="A817" s="15" t="str">
        <f>IF(COUNTA($B817:$E817,$K817)=0,"",IF(AND($B817&lt;&gt;"",$C817&lt;&gt;"",$D817&lt;&gt;"",$E817&lt;&gt;""),"TXS"&amp;TEXT(COUNTIFS($B$2:$B817,"&lt;&gt;",$C$2:$C817,"&lt;&gt;",$D$2:$D817,"&lt;&gt;",$E$2:$E817,"&lt;&gt;"),"00000"),""))</f>
        <v/>
      </c>
      <c r="B817" s="16"/>
      <c r="C817" s="20"/>
      <c r="D817" s="20"/>
      <c r="E817" s="23"/>
      <c r="H817" s="19" t="str">
        <f t="shared" si="45"/>
        <v/>
      </c>
      <c r="I817" s="19" t="str">
        <f t="shared" si="44"/>
        <v/>
      </c>
      <c r="J817" s="19" t="str">
        <f t="shared" si="43"/>
        <v/>
      </c>
      <c r="K817" s="20"/>
      <c r="L817" s="21" t="str">
        <f>IF(OR(NOT(AND($B817&lt;&gt;"",$C817&lt;&gt;"",$D817&lt;&gt;"",$E817&lt;&gt;"")),$A817="",$K817&lt;&gt;"Yes"),"",IF($L817&lt;&gt;"",$L817,INDEX(SETUP!$I$1:$I$2000,MATCH(TRUE,SETUP!$J$1:$J$2000,0)+COUNTIFS($A$2:$A817,"&lt;&gt;",$K$2:$K817,"Yes",$L$2:$L817,"")-1)))</f>
        <v/>
      </c>
      <c r="N817" s="22"/>
    </row>
    <row r="818" spans="1:14" x14ac:dyDescent="0.3">
      <c r="A818" s="15" t="str">
        <f>IF(COUNTA($B818:$E818,$K818)=0,"",IF(AND($B818&lt;&gt;"",$C818&lt;&gt;"",$D818&lt;&gt;"",$E818&lt;&gt;""),"TXS"&amp;TEXT(COUNTIFS($B$2:$B818,"&lt;&gt;",$C$2:$C818,"&lt;&gt;",$D$2:$D818,"&lt;&gt;",$E$2:$E818,"&lt;&gt;"),"00000"),""))</f>
        <v/>
      </c>
      <c r="B818" s="16"/>
      <c r="C818" s="20"/>
      <c r="D818" s="20"/>
      <c r="E818" s="23"/>
      <c r="H818" s="19" t="str">
        <f t="shared" si="45"/>
        <v/>
      </c>
      <c r="I818" s="19" t="str">
        <f t="shared" si="44"/>
        <v/>
      </c>
      <c r="J818" s="19" t="str">
        <f t="shared" ref="J818:J881" si="46">IF(NOT(AND($B818&lt;&gt;"",$C818&lt;&gt;"",$D818&lt;&gt;"",$E818&lt;&gt;"")),"",IF($A818="","","Max Planck plate "&amp;INT((VALUE(RIGHT($A818,5))-1)/96)+1&amp;": "&amp;CHAR(65+INT(MOD(VALUE(RIGHT($A818,5))-1,96)/12))&amp;(MOD(VALUE(RIGHT($A818,5))-1,12)+1)))</f>
        <v/>
      </c>
      <c r="K818" s="20"/>
      <c r="L818" s="21" t="str">
        <f>IF(OR(NOT(AND($B818&lt;&gt;"",$C818&lt;&gt;"",$D818&lt;&gt;"",$E818&lt;&gt;"")),$A818="",$K818&lt;&gt;"Yes"),"",IF($L818&lt;&gt;"",$L818,INDEX(SETUP!$I$1:$I$2000,MATCH(TRUE,SETUP!$J$1:$J$2000,0)+COUNTIFS($A$2:$A818,"&lt;&gt;",$K$2:$K818,"Yes",$L$2:$L818,"")-1)))</f>
        <v/>
      </c>
      <c r="N818" s="22"/>
    </row>
    <row r="819" spans="1:14" x14ac:dyDescent="0.3">
      <c r="A819" s="15" t="str">
        <f>IF(COUNTA($B819:$E819,$K819)=0,"",IF(AND($B819&lt;&gt;"",$C819&lt;&gt;"",$D819&lt;&gt;"",$E819&lt;&gt;""),"TXS"&amp;TEXT(COUNTIFS($B$2:$B819,"&lt;&gt;",$C$2:$C819,"&lt;&gt;",$D$2:$D819,"&lt;&gt;",$E$2:$E819,"&lt;&gt;"),"00000"),""))</f>
        <v/>
      </c>
      <c r="B819" s="16"/>
      <c r="C819" s="20"/>
      <c r="D819" s="20"/>
      <c r="E819" s="23"/>
      <c r="H819" s="19" t="str">
        <f t="shared" si="45"/>
        <v/>
      </c>
      <c r="I819" s="19" t="str">
        <f t="shared" si="44"/>
        <v/>
      </c>
      <c r="J819" s="19" t="str">
        <f t="shared" si="46"/>
        <v/>
      </c>
      <c r="K819" s="20"/>
      <c r="L819" s="21" t="str">
        <f>IF(OR(NOT(AND($B819&lt;&gt;"",$C819&lt;&gt;"",$D819&lt;&gt;"",$E819&lt;&gt;"")),$A819="",$K819&lt;&gt;"Yes"),"",IF($L819&lt;&gt;"",$L819,INDEX(SETUP!$I$1:$I$2000,MATCH(TRUE,SETUP!$J$1:$J$2000,0)+COUNTIFS($A$2:$A819,"&lt;&gt;",$K$2:$K819,"Yes",$L$2:$L819,"")-1)))</f>
        <v/>
      </c>
      <c r="N819" s="22"/>
    </row>
    <row r="820" spans="1:14" x14ac:dyDescent="0.3">
      <c r="A820" s="15" t="str">
        <f>IF(COUNTA($B820:$E820,$K820)=0,"",IF(AND($B820&lt;&gt;"",$C820&lt;&gt;"",$D820&lt;&gt;"",$E820&lt;&gt;""),"TXS"&amp;TEXT(COUNTIFS($B$2:$B820,"&lt;&gt;",$C$2:$C820,"&lt;&gt;",$D$2:$D820,"&lt;&gt;",$E$2:$E820,"&lt;&gt;"),"00000"),""))</f>
        <v/>
      </c>
      <c r="B820" s="16"/>
      <c r="C820" s="20"/>
      <c r="D820" s="20"/>
      <c r="E820" s="23"/>
      <c r="H820" s="19" t="str">
        <f t="shared" si="45"/>
        <v/>
      </c>
      <c r="I820" s="19" t="str">
        <f t="shared" si="44"/>
        <v/>
      </c>
      <c r="J820" s="19" t="str">
        <f t="shared" si="46"/>
        <v/>
      </c>
      <c r="K820" s="20"/>
      <c r="L820" s="21" t="str">
        <f>IF(OR(NOT(AND($B820&lt;&gt;"",$C820&lt;&gt;"",$D820&lt;&gt;"",$E820&lt;&gt;"")),$A820="",$K820&lt;&gt;"Yes"),"",IF($L820&lt;&gt;"",$L820,INDEX(SETUP!$I$1:$I$2000,MATCH(TRUE,SETUP!$J$1:$J$2000,0)+COUNTIFS($A$2:$A820,"&lt;&gt;",$K$2:$K820,"Yes",$L$2:$L820,"")-1)))</f>
        <v/>
      </c>
      <c r="N820" s="22"/>
    </row>
    <row r="821" spans="1:14" x14ac:dyDescent="0.3">
      <c r="A821" s="15" t="str">
        <f>IF(COUNTA($B821:$E821,$K821)=0,"",IF(AND($B821&lt;&gt;"",$C821&lt;&gt;"",$D821&lt;&gt;"",$E821&lt;&gt;""),"TXS"&amp;TEXT(COUNTIFS($B$2:$B821,"&lt;&gt;",$C$2:$C821,"&lt;&gt;",$D$2:$D821,"&lt;&gt;",$E$2:$E821,"&lt;&gt;"),"00000"),""))</f>
        <v/>
      </c>
      <c r="B821" s="16"/>
      <c r="C821" s="20"/>
      <c r="D821" s="20"/>
      <c r="E821" s="23"/>
      <c r="H821" s="19" t="str">
        <f t="shared" si="45"/>
        <v/>
      </c>
      <c r="I821" s="19" t="str">
        <f t="shared" si="44"/>
        <v/>
      </c>
      <c r="J821" s="19" t="str">
        <f t="shared" si="46"/>
        <v/>
      </c>
      <c r="K821" s="20"/>
      <c r="L821" s="21" t="str">
        <f>IF(OR(NOT(AND($B821&lt;&gt;"",$C821&lt;&gt;"",$D821&lt;&gt;"",$E821&lt;&gt;"")),$A821="",$K821&lt;&gt;"Yes"),"",IF($L821&lt;&gt;"",$L821,INDEX(SETUP!$I$1:$I$2000,MATCH(TRUE,SETUP!$J$1:$J$2000,0)+COUNTIFS($A$2:$A821,"&lt;&gt;",$K$2:$K821,"Yes",$L$2:$L821,"")-1)))</f>
        <v/>
      </c>
      <c r="N821" s="22"/>
    </row>
    <row r="822" spans="1:14" x14ac:dyDescent="0.3">
      <c r="A822" s="15" t="str">
        <f>IF(COUNTA($B822:$E822,$K822)=0,"",IF(AND($B822&lt;&gt;"",$C822&lt;&gt;"",$D822&lt;&gt;"",$E822&lt;&gt;""),"TXS"&amp;TEXT(COUNTIFS($B$2:$B822,"&lt;&gt;",$C$2:$C822,"&lt;&gt;",$D$2:$D822,"&lt;&gt;",$E$2:$E822,"&lt;&gt;"),"00000"),""))</f>
        <v/>
      </c>
      <c r="B822" s="16"/>
      <c r="C822" s="20"/>
      <c r="D822" s="20"/>
      <c r="E822" s="23"/>
      <c r="H822" s="19" t="str">
        <f t="shared" si="45"/>
        <v/>
      </c>
      <c r="I822" s="19" t="str">
        <f t="shared" si="44"/>
        <v/>
      </c>
      <c r="J822" s="19" t="str">
        <f t="shared" si="46"/>
        <v/>
      </c>
      <c r="K822" s="20"/>
      <c r="L822" s="21" t="str">
        <f>IF(OR(NOT(AND($B822&lt;&gt;"",$C822&lt;&gt;"",$D822&lt;&gt;"",$E822&lt;&gt;"")),$A822="",$K822&lt;&gt;"Yes"),"",IF($L822&lt;&gt;"",$L822,INDEX(SETUP!$I$1:$I$2000,MATCH(TRUE,SETUP!$J$1:$J$2000,0)+COUNTIFS($A$2:$A822,"&lt;&gt;",$K$2:$K822,"Yes",$L$2:$L822,"")-1)))</f>
        <v/>
      </c>
      <c r="N822" s="22"/>
    </row>
    <row r="823" spans="1:14" x14ac:dyDescent="0.3">
      <c r="A823" s="15" t="str">
        <f>IF(COUNTA($B823:$E823,$K823)=0,"",IF(AND($B823&lt;&gt;"",$C823&lt;&gt;"",$D823&lt;&gt;"",$E823&lt;&gt;""),"TXS"&amp;TEXT(COUNTIFS($B$2:$B823,"&lt;&gt;",$C$2:$C823,"&lt;&gt;",$D$2:$D823,"&lt;&gt;",$E$2:$E823,"&lt;&gt;"),"00000"),""))</f>
        <v/>
      </c>
      <c r="B823" s="16"/>
      <c r="C823" s="20"/>
      <c r="D823" s="20"/>
      <c r="E823" s="23"/>
      <c r="H823" s="19" t="str">
        <f t="shared" si="45"/>
        <v/>
      </c>
      <c r="I823" s="19" t="str">
        <f t="shared" si="44"/>
        <v/>
      </c>
      <c r="J823" s="19" t="str">
        <f t="shared" si="46"/>
        <v/>
      </c>
      <c r="K823" s="20"/>
      <c r="L823" s="21" t="str">
        <f>IF(OR(NOT(AND($B823&lt;&gt;"",$C823&lt;&gt;"",$D823&lt;&gt;"",$E823&lt;&gt;"")),$A823="",$K823&lt;&gt;"Yes"),"",IF($L823&lt;&gt;"",$L823,INDEX(SETUP!$I$1:$I$2000,MATCH(TRUE,SETUP!$J$1:$J$2000,0)+COUNTIFS($A$2:$A823,"&lt;&gt;",$K$2:$K823,"Yes",$L$2:$L823,"")-1)))</f>
        <v/>
      </c>
      <c r="N823" s="22"/>
    </row>
    <row r="824" spans="1:14" x14ac:dyDescent="0.3">
      <c r="A824" s="15" t="str">
        <f>IF(COUNTA($B824:$E824,$K824)=0,"",IF(AND($B824&lt;&gt;"",$C824&lt;&gt;"",$D824&lt;&gt;"",$E824&lt;&gt;""),"TXS"&amp;TEXT(COUNTIFS($B$2:$B824,"&lt;&gt;",$C$2:$C824,"&lt;&gt;",$D$2:$D824,"&lt;&gt;",$E$2:$E824,"&lt;&gt;"),"00000"),""))</f>
        <v/>
      </c>
      <c r="B824" s="16"/>
      <c r="C824" s="20"/>
      <c r="D824" s="20"/>
      <c r="E824" s="23"/>
      <c r="H824" s="19" t="str">
        <f t="shared" si="45"/>
        <v/>
      </c>
      <c r="I824" s="19" t="str">
        <f t="shared" si="44"/>
        <v/>
      </c>
      <c r="J824" s="19" t="str">
        <f t="shared" si="46"/>
        <v/>
      </c>
      <c r="K824" s="20"/>
      <c r="L824" s="21" t="str">
        <f>IF(OR(NOT(AND($B824&lt;&gt;"",$C824&lt;&gt;"",$D824&lt;&gt;"",$E824&lt;&gt;"")),$A824="",$K824&lt;&gt;"Yes"),"",IF($L824&lt;&gt;"",$L824,INDEX(SETUP!$I$1:$I$2000,MATCH(TRUE,SETUP!$J$1:$J$2000,0)+COUNTIFS($A$2:$A824,"&lt;&gt;",$K$2:$K824,"Yes",$L$2:$L824,"")-1)))</f>
        <v/>
      </c>
      <c r="N824" s="22"/>
    </row>
    <row r="825" spans="1:14" x14ac:dyDescent="0.3">
      <c r="A825" s="15" t="str">
        <f>IF(COUNTA($B825:$E825,$K825)=0,"",IF(AND($B825&lt;&gt;"",$C825&lt;&gt;"",$D825&lt;&gt;"",$E825&lt;&gt;""),"TXS"&amp;TEXT(COUNTIFS($B$2:$B825,"&lt;&gt;",$C$2:$C825,"&lt;&gt;",$D$2:$D825,"&lt;&gt;",$E$2:$E825,"&lt;&gt;"),"00000"),""))</f>
        <v/>
      </c>
      <c r="B825" s="16"/>
      <c r="C825" s="20"/>
      <c r="D825" s="20"/>
      <c r="E825" s="23"/>
      <c r="H825" s="19" t="str">
        <f t="shared" si="45"/>
        <v/>
      </c>
      <c r="I825" s="19" t="str">
        <f t="shared" si="44"/>
        <v/>
      </c>
      <c r="J825" s="19" t="str">
        <f t="shared" si="46"/>
        <v/>
      </c>
      <c r="K825" s="20"/>
      <c r="L825" s="21" t="str">
        <f>IF(OR(NOT(AND($B825&lt;&gt;"",$C825&lt;&gt;"",$D825&lt;&gt;"",$E825&lt;&gt;"")),$A825="",$K825&lt;&gt;"Yes"),"",IF($L825&lt;&gt;"",$L825,INDEX(SETUP!$I$1:$I$2000,MATCH(TRUE,SETUP!$J$1:$J$2000,0)+COUNTIFS($A$2:$A825,"&lt;&gt;",$K$2:$K825,"Yes",$L$2:$L825,"")-1)))</f>
        <v/>
      </c>
      <c r="N825" s="22"/>
    </row>
    <row r="826" spans="1:14" x14ac:dyDescent="0.3">
      <c r="A826" s="15" t="str">
        <f>IF(COUNTA($B826:$E826,$K826)=0,"",IF(AND($B826&lt;&gt;"",$C826&lt;&gt;"",$D826&lt;&gt;"",$E826&lt;&gt;""),"TXS"&amp;TEXT(COUNTIFS($B$2:$B826,"&lt;&gt;",$C$2:$C826,"&lt;&gt;",$D$2:$D826,"&lt;&gt;",$E$2:$E826,"&lt;&gt;"),"00000"),""))</f>
        <v/>
      </c>
      <c r="B826" s="16"/>
      <c r="C826" s="20"/>
      <c r="D826" s="20"/>
      <c r="E826" s="23"/>
      <c r="H826" s="19" t="str">
        <f t="shared" si="45"/>
        <v/>
      </c>
      <c r="I826" s="19" t="str">
        <f t="shared" si="44"/>
        <v/>
      </c>
      <c r="J826" s="19" t="str">
        <f t="shared" si="46"/>
        <v/>
      </c>
      <c r="K826" s="20"/>
      <c r="L826" s="21" t="str">
        <f>IF(OR(NOT(AND($B826&lt;&gt;"",$C826&lt;&gt;"",$D826&lt;&gt;"",$E826&lt;&gt;"")),$A826="",$K826&lt;&gt;"Yes"),"",IF($L826&lt;&gt;"",$L826,INDEX(SETUP!$I$1:$I$2000,MATCH(TRUE,SETUP!$J$1:$J$2000,0)+COUNTIFS($A$2:$A826,"&lt;&gt;",$K$2:$K826,"Yes",$L$2:$L826,"")-1)))</f>
        <v/>
      </c>
      <c r="N826" s="22"/>
    </row>
    <row r="827" spans="1:14" x14ac:dyDescent="0.3">
      <c r="A827" s="15" t="str">
        <f>IF(COUNTA($B827:$E827,$K827)=0,"",IF(AND($B827&lt;&gt;"",$C827&lt;&gt;"",$D827&lt;&gt;"",$E827&lt;&gt;""),"TXS"&amp;TEXT(COUNTIFS($B$2:$B827,"&lt;&gt;",$C$2:$C827,"&lt;&gt;",$D$2:$D827,"&lt;&gt;",$E$2:$E827,"&lt;&gt;"),"00000"),""))</f>
        <v/>
      </c>
      <c r="B827" s="16"/>
      <c r="C827" s="20"/>
      <c r="D827" s="20"/>
      <c r="E827" s="23"/>
      <c r="H827" s="19" t="str">
        <f t="shared" si="45"/>
        <v/>
      </c>
      <c r="I827" s="19" t="str">
        <f t="shared" si="44"/>
        <v/>
      </c>
      <c r="J827" s="19" t="str">
        <f t="shared" si="46"/>
        <v/>
      </c>
      <c r="K827" s="20"/>
      <c r="L827" s="21" t="str">
        <f>IF(OR(NOT(AND($B827&lt;&gt;"",$C827&lt;&gt;"",$D827&lt;&gt;"",$E827&lt;&gt;"")),$A827="",$K827&lt;&gt;"Yes"),"",IF($L827&lt;&gt;"",$L827,INDEX(SETUP!$I$1:$I$2000,MATCH(TRUE,SETUP!$J$1:$J$2000,0)+COUNTIFS($A$2:$A827,"&lt;&gt;",$K$2:$K827,"Yes",$L$2:$L827,"")-1)))</f>
        <v/>
      </c>
      <c r="N827" s="22"/>
    </row>
    <row r="828" spans="1:14" x14ac:dyDescent="0.3">
      <c r="A828" s="15" t="str">
        <f>IF(COUNTA($B828:$E828,$K828)=0,"",IF(AND($B828&lt;&gt;"",$C828&lt;&gt;"",$D828&lt;&gt;"",$E828&lt;&gt;""),"TXS"&amp;TEXT(COUNTIFS($B$2:$B828,"&lt;&gt;",$C$2:$C828,"&lt;&gt;",$D$2:$D828,"&lt;&gt;",$E$2:$E828,"&lt;&gt;"),"00000"),""))</f>
        <v/>
      </c>
      <c r="B828" s="16"/>
      <c r="C828" s="20"/>
      <c r="D828" s="20"/>
      <c r="E828" s="23"/>
      <c r="H828" s="19" t="str">
        <f t="shared" si="45"/>
        <v/>
      </c>
      <c r="I828" s="19" t="str">
        <f t="shared" si="44"/>
        <v/>
      </c>
      <c r="J828" s="19" t="str">
        <f t="shared" si="46"/>
        <v/>
      </c>
      <c r="K828" s="20"/>
      <c r="L828" s="21" t="str">
        <f>IF(OR(NOT(AND($B828&lt;&gt;"",$C828&lt;&gt;"",$D828&lt;&gt;"",$E828&lt;&gt;"")),$A828="",$K828&lt;&gt;"Yes"),"",IF($L828&lt;&gt;"",$L828,INDEX(SETUP!$I$1:$I$2000,MATCH(TRUE,SETUP!$J$1:$J$2000,0)+COUNTIFS($A$2:$A828,"&lt;&gt;",$K$2:$K828,"Yes",$L$2:$L828,"")-1)))</f>
        <v/>
      </c>
      <c r="N828" s="22"/>
    </row>
    <row r="829" spans="1:14" x14ac:dyDescent="0.3">
      <c r="A829" s="15" t="str">
        <f>IF(COUNTA($B829:$E829,$K829)=0,"",IF(AND($B829&lt;&gt;"",$C829&lt;&gt;"",$D829&lt;&gt;"",$E829&lt;&gt;""),"TXS"&amp;TEXT(COUNTIFS($B$2:$B829,"&lt;&gt;",$C$2:$C829,"&lt;&gt;",$D$2:$D829,"&lt;&gt;",$E$2:$E829,"&lt;&gt;"),"00000"),""))</f>
        <v/>
      </c>
      <c r="B829" s="16"/>
      <c r="C829" s="20"/>
      <c r="D829" s="20"/>
      <c r="E829" s="23"/>
      <c r="H829" s="19" t="str">
        <f t="shared" si="45"/>
        <v/>
      </c>
      <c r="I829" s="19" t="str">
        <f t="shared" si="44"/>
        <v/>
      </c>
      <c r="J829" s="19" t="str">
        <f t="shared" si="46"/>
        <v/>
      </c>
      <c r="K829" s="20"/>
      <c r="L829" s="21" t="str">
        <f>IF(OR(NOT(AND($B829&lt;&gt;"",$C829&lt;&gt;"",$D829&lt;&gt;"",$E829&lt;&gt;"")),$A829="",$K829&lt;&gt;"Yes"),"",IF($L829&lt;&gt;"",$L829,INDEX(SETUP!$I$1:$I$2000,MATCH(TRUE,SETUP!$J$1:$J$2000,0)+COUNTIFS($A$2:$A829,"&lt;&gt;",$K$2:$K829,"Yes",$L$2:$L829,"")-1)))</f>
        <v/>
      </c>
      <c r="N829" s="22"/>
    </row>
    <row r="830" spans="1:14" x14ac:dyDescent="0.3">
      <c r="A830" s="15" t="str">
        <f>IF(COUNTA($B830:$E830,$K830)=0,"",IF(AND($B830&lt;&gt;"",$C830&lt;&gt;"",$D830&lt;&gt;"",$E830&lt;&gt;""),"TXS"&amp;TEXT(COUNTIFS($B$2:$B830,"&lt;&gt;",$C$2:$C830,"&lt;&gt;",$D$2:$D830,"&lt;&gt;",$E$2:$E830,"&lt;&gt;"),"00000"),""))</f>
        <v/>
      </c>
      <c r="B830" s="16"/>
      <c r="C830" s="20"/>
      <c r="D830" s="20"/>
      <c r="E830" s="23"/>
      <c r="H830" s="19" t="str">
        <f t="shared" si="45"/>
        <v/>
      </c>
      <c r="I830" s="19" t="str">
        <f t="shared" si="44"/>
        <v/>
      </c>
      <c r="J830" s="19" t="str">
        <f t="shared" si="46"/>
        <v/>
      </c>
      <c r="K830" s="20"/>
      <c r="L830" s="21" t="str">
        <f>IF(OR(NOT(AND($B830&lt;&gt;"",$C830&lt;&gt;"",$D830&lt;&gt;"",$E830&lt;&gt;"")),$A830="",$K830&lt;&gt;"Yes"),"",IF($L830&lt;&gt;"",$L830,INDEX(SETUP!$I$1:$I$2000,MATCH(TRUE,SETUP!$J$1:$J$2000,0)+COUNTIFS($A$2:$A830,"&lt;&gt;",$K$2:$K830,"Yes",$L$2:$L830,"")-1)))</f>
        <v/>
      </c>
      <c r="N830" s="22"/>
    </row>
    <row r="831" spans="1:14" x14ac:dyDescent="0.3">
      <c r="A831" s="15" t="str">
        <f>IF(COUNTA($B831:$E831,$K831)=0,"",IF(AND($B831&lt;&gt;"",$C831&lt;&gt;"",$D831&lt;&gt;"",$E831&lt;&gt;""),"TXS"&amp;TEXT(COUNTIFS($B$2:$B831,"&lt;&gt;",$C$2:$C831,"&lt;&gt;",$D$2:$D831,"&lt;&gt;",$E$2:$E831,"&lt;&gt;"),"00000"),""))</f>
        <v/>
      </c>
      <c r="B831" s="16"/>
      <c r="C831" s="20"/>
      <c r="D831" s="20"/>
      <c r="E831" s="23"/>
      <c r="H831" s="19" t="str">
        <f t="shared" si="45"/>
        <v/>
      </c>
      <c r="I831" s="19" t="str">
        <f t="shared" si="44"/>
        <v/>
      </c>
      <c r="J831" s="19" t="str">
        <f t="shared" si="46"/>
        <v/>
      </c>
      <c r="K831" s="20"/>
      <c r="L831" s="21" t="str">
        <f>IF(OR(NOT(AND($B831&lt;&gt;"",$C831&lt;&gt;"",$D831&lt;&gt;"",$E831&lt;&gt;"")),$A831="",$K831&lt;&gt;"Yes"),"",IF($L831&lt;&gt;"",$L831,INDEX(SETUP!$I$1:$I$2000,MATCH(TRUE,SETUP!$J$1:$J$2000,0)+COUNTIFS($A$2:$A831,"&lt;&gt;",$K$2:$K831,"Yes",$L$2:$L831,"")-1)))</f>
        <v/>
      </c>
      <c r="N831" s="22"/>
    </row>
    <row r="832" spans="1:14" x14ac:dyDescent="0.3">
      <c r="A832" s="15" t="str">
        <f>IF(COUNTA($B832:$E832,$K832)=0,"",IF(AND($B832&lt;&gt;"",$C832&lt;&gt;"",$D832&lt;&gt;"",$E832&lt;&gt;""),"TXS"&amp;TEXT(COUNTIFS($B$2:$B832,"&lt;&gt;",$C$2:$C832,"&lt;&gt;",$D$2:$D832,"&lt;&gt;",$E$2:$E832,"&lt;&gt;"),"00000"),""))</f>
        <v/>
      </c>
      <c r="B832" s="16"/>
      <c r="C832" s="20"/>
      <c r="D832" s="20"/>
      <c r="E832" s="23"/>
      <c r="H832" s="19" t="str">
        <f t="shared" si="45"/>
        <v/>
      </c>
      <c r="I832" s="19" t="str">
        <f t="shared" si="44"/>
        <v/>
      </c>
      <c r="J832" s="19" t="str">
        <f t="shared" si="46"/>
        <v/>
      </c>
      <c r="K832" s="20"/>
      <c r="L832" s="21" t="str">
        <f>IF(OR(NOT(AND($B832&lt;&gt;"",$C832&lt;&gt;"",$D832&lt;&gt;"",$E832&lt;&gt;"")),$A832="",$K832&lt;&gt;"Yes"),"",IF($L832&lt;&gt;"",$L832,INDEX(SETUP!$I$1:$I$2000,MATCH(TRUE,SETUP!$J$1:$J$2000,0)+COUNTIFS($A$2:$A832,"&lt;&gt;",$K$2:$K832,"Yes",$L$2:$L832,"")-1)))</f>
        <v/>
      </c>
      <c r="N832" s="22"/>
    </row>
    <row r="833" spans="1:14" x14ac:dyDescent="0.3">
      <c r="A833" s="15" t="str">
        <f>IF(COUNTA($B833:$E833,$K833)=0,"",IF(AND($B833&lt;&gt;"",$C833&lt;&gt;"",$D833&lt;&gt;"",$E833&lt;&gt;""),"TXS"&amp;TEXT(COUNTIFS($B$2:$B833,"&lt;&gt;",$C$2:$C833,"&lt;&gt;",$D$2:$D833,"&lt;&gt;",$E$2:$E833,"&lt;&gt;"),"00000"),""))</f>
        <v/>
      </c>
      <c r="B833" s="16"/>
      <c r="C833" s="20"/>
      <c r="D833" s="20"/>
      <c r="E833" s="23"/>
      <c r="H833" s="19" t="str">
        <f t="shared" si="45"/>
        <v/>
      </c>
      <c r="I833" s="19" t="str">
        <f t="shared" si="44"/>
        <v/>
      </c>
      <c r="J833" s="19" t="str">
        <f t="shared" si="46"/>
        <v/>
      </c>
      <c r="K833" s="20"/>
      <c r="L833" s="21" t="str">
        <f>IF(OR(NOT(AND($B833&lt;&gt;"",$C833&lt;&gt;"",$D833&lt;&gt;"",$E833&lt;&gt;"")),$A833="",$K833&lt;&gt;"Yes"),"",IF($L833&lt;&gt;"",$L833,INDEX(SETUP!$I$1:$I$2000,MATCH(TRUE,SETUP!$J$1:$J$2000,0)+COUNTIFS($A$2:$A833,"&lt;&gt;",$K$2:$K833,"Yes",$L$2:$L833,"")-1)))</f>
        <v/>
      </c>
      <c r="N833" s="22"/>
    </row>
    <row r="834" spans="1:14" x14ac:dyDescent="0.3">
      <c r="A834" s="15" t="str">
        <f>IF(COUNTA($B834:$E834,$K834)=0,"",IF(AND($B834&lt;&gt;"",$C834&lt;&gt;"",$D834&lt;&gt;"",$E834&lt;&gt;""),"TXS"&amp;TEXT(COUNTIFS($B$2:$B834,"&lt;&gt;",$C$2:$C834,"&lt;&gt;",$D$2:$D834,"&lt;&gt;",$E$2:$E834,"&lt;&gt;"),"00000"),""))</f>
        <v/>
      </c>
      <c r="B834" s="16"/>
      <c r="C834" s="20"/>
      <c r="D834" s="20"/>
      <c r="E834" s="23"/>
      <c r="H834" s="19" t="str">
        <f t="shared" si="45"/>
        <v/>
      </c>
      <c r="I834" s="19" t="str">
        <f t="shared" si="44"/>
        <v/>
      </c>
      <c r="J834" s="19" t="str">
        <f t="shared" si="46"/>
        <v/>
      </c>
      <c r="K834" s="20"/>
      <c r="L834" s="21" t="str">
        <f>IF(OR(NOT(AND($B834&lt;&gt;"",$C834&lt;&gt;"",$D834&lt;&gt;"",$E834&lt;&gt;"")),$A834="",$K834&lt;&gt;"Yes"),"",IF($L834&lt;&gt;"",$L834,INDEX(SETUP!$I$1:$I$2000,MATCH(TRUE,SETUP!$J$1:$J$2000,0)+COUNTIFS($A$2:$A834,"&lt;&gt;",$K$2:$K834,"Yes",$L$2:$L834,"")-1)))</f>
        <v/>
      </c>
      <c r="N834" s="22"/>
    </row>
    <row r="835" spans="1:14" x14ac:dyDescent="0.3">
      <c r="A835" s="15" t="str">
        <f>IF(COUNTA($B835:$E835,$K835)=0,"",IF(AND($B835&lt;&gt;"",$C835&lt;&gt;"",$D835&lt;&gt;"",$E835&lt;&gt;""),"TXS"&amp;TEXT(COUNTIFS($B$2:$B835,"&lt;&gt;",$C$2:$C835,"&lt;&gt;",$D$2:$D835,"&lt;&gt;",$E$2:$E835,"&lt;&gt;"),"00000"),""))</f>
        <v/>
      </c>
      <c r="B835" s="16"/>
      <c r="C835" s="20"/>
      <c r="D835" s="20"/>
      <c r="E835" s="23"/>
      <c r="H835" s="19" t="str">
        <f t="shared" si="45"/>
        <v/>
      </c>
      <c r="I835" s="19" t="str">
        <f t="shared" si="44"/>
        <v/>
      </c>
      <c r="J835" s="19" t="str">
        <f t="shared" si="46"/>
        <v/>
      </c>
      <c r="K835" s="20"/>
      <c r="L835" s="21" t="str">
        <f>IF(OR(NOT(AND($B835&lt;&gt;"",$C835&lt;&gt;"",$D835&lt;&gt;"",$E835&lt;&gt;"")),$A835="",$K835&lt;&gt;"Yes"),"",IF($L835&lt;&gt;"",$L835,INDEX(SETUP!$I$1:$I$2000,MATCH(TRUE,SETUP!$J$1:$J$2000,0)+COUNTIFS($A$2:$A835,"&lt;&gt;",$K$2:$K835,"Yes",$L$2:$L835,"")-1)))</f>
        <v/>
      </c>
      <c r="N835" s="22"/>
    </row>
    <row r="836" spans="1:14" x14ac:dyDescent="0.3">
      <c r="A836" s="15" t="str">
        <f>IF(COUNTA($B836:$E836,$K836)=0,"",IF(AND($B836&lt;&gt;"",$C836&lt;&gt;"",$D836&lt;&gt;"",$E836&lt;&gt;""),"TXS"&amp;TEXT(COUNTIFS($B$2:$B836,"&lt;&gt;",$C$2:$C836,"&lt;&gt;",$D$2:$D836,"&lt;&gt;",$E$2:$E836,"&lt;&gt;"),"00000"),""))</f>
        <v/>
      </c>
      <c r="B836" s="16"/>
      <c r="C836" s="20"/>
      <c r="D836" s="20"/>
      <c r="E836" s="23"/>
      <c r="H836" s="19" t="str">
        <f t="shared" si="45"/>
        <v/>
      </c>
      <c r="I836" s="19" t="str">
        <f t="shared" si="44"/>
        <v/>
      </c>
      <c r="J836" s="19" t="str">
        <f t="shared" si="46"/>
        <v/>
      </c>
      <c r="K836" s="20"/>
      <c r="L836" s="21" t="str">
        <f>IF(OR(NOT(AND($B836&lt;&gt;"",$C836&lt;&gt;"",$D836&lt;&gt;"",$E836&lt;&gt;"")),$A836="",$K836&lt;&gt;"Yes"),"",IF($L836&lt;&gt;"",$L836,INDEX(SETUP!$I$1:$I$2000,MATCH(TRUE,SETUP!$J$1:$J$2000,0)+COUNTIFS($A$2:$A836,"&lt;&gt;",$K$2:$K836,"Yes",$L$2:$L836,"")-1)))</f>
        <v/>
      </c>
      <c r="N836" s="22"/>
    </row>
    <row r="837" spans="1:14" x14ac:dyDescent="0.3">
      <c r="A837" s="15" t="str">
        <f>IF(COUNTA($B837:$E837,$K837)=0,"",IF(AND($B837&lt;&gt;"",$C837&lt;&gt;"",$D837&lt;&gt;"",$E837&lt;&gt;""),"TXS"&amp;TEXT(COUNTIFS($B$2:$B837,"&lt;&gt;",$C$2:$C837,"&lt;&gt;",$D$2:$D837,"&lt;&gt;",$E$2:$E837,"&lt;&gt;"),"00000"),""))</f>
        <v/>
      </c>
      <c r="B837" s="16"/>
      <c r="C837" s="20"/>
      <c r="D837" s="20"/>
      <c r="E837" s="23"/>
      <c r="H837" s="19" t="str">
        <f t="shared" si="45"/>
        <v/>
      </c>
      <c r="I837" s="19" t="str">
        <f t="shared" si="44"/>
        <v/>
      </c>
      <c r="J837" s="19" t="str">
        <f t="shared" si="46"/>
        <v/>
      </c>
      <c r="K837" s="20"/>
      <c r="L837" s="21" t="str">
        <f>IF(OR(NOT(AND($B837&lt;&gt;"",$C837&lt;&gt;"",$D837&lt;&gt;"",$E837&lt;&gt;"")),$A837="",$K837&lt;&gt;"Yes"),"",IF($L837&lt;&gt;"",$L837,INDEX(SETUP!$I$1:$I$2000,MATCH(TRUE,SETUP!$J$1:$J$2000,0)+COUNTIFS($A$2:$A837,"&lt;&gt;",$K$2:$K837,"Yes",$L$2:$L837,"")-1)))</f>
        <v/>
      </c>
      <c r="N837" s="22"/>
    </row>
    <row r="838" spans="1:14" x14ac:dyDescent="0.3">
      <c r="A838" s="15" t="str">
        <f>IF(COUNTA($B838:$E838,$K838)=0,"",IF(AND($B838&lt;&gt;"",$C838&lt;&gt;"",$D838&lt;&gt;"",$E838&lt;&gt;""),"TXS"&amp;TEXT(COUNTIFS($B$2:$B838,"&lt;&gt;",$C$2:$C838,"&lt;&gt;",$D$2:$D838,"&lt;&gt;",$E$2:$E838,"&lt;&gt;"),"00000"),""))</f>
        <v/>
      </c>
      <c r="B838" s="16"/>
      <c r="C838" s="20"/>
      <c r="D838" s="20"/>
      <c r="E838" s="23"/>
      <c r="H838" s="19" t="str">
        <f t="shared" si="45"/>
        <v/>
      </c>
      <c r="I838" s="19" t="str">
        <f t="shared" si="44"/>
        <v/>
      </c>
      <c r="J838" s="19" t="str">
        <f t="shared" si="46"/>
        <v/>
      </c>
      <c r="K838" s="20"/>
      <c r="L838" s="21" t="str">
        <f>IF(OR(NOT(AND($B838&lt;&gt;"",$C838&lt;&gt;"",$D838&lt;&gt;"",$E838&lt;&gt;"")),$A838="",$K838&lt;&gt;"Yes"),"",IF($L838&lt;&gt;"",$L838,INDEX(SETUP!$I$1:$I$2000,MATCH(TRUE,SETUP!$J$1:$J$2000,0)+COUNTIFS($A$2:$A838,"&lt;&gt;",$K$2:$K838,"Yes",$L$2:$L838,"")-1)))</f>
        <v/>
      </c>
      <c r="N838" s="22"/>
    </row>
    <row r="839" spans="1:14" x14ac:dyDescent="0.3">
      <c r="A839" s="15" t="str">
        <f>IF(COUNTA($B839:$E839,$K839)=0,"",IF(AND($B839&lt;&gt;"",$C839&lt;&gt;"",$D839&lt;&gt;"",$E839&lt;&gt;""),"TXS"&amp;TEXT(COUNTIFS($B$2:$B839,"&lt;&gt;",$C$2:$C839,"&lt;&gt;",$D$2:$D839,"&lt;&gt;",$E$2:$E839,"&lt;&gt;"),"00000"),""))</f>
        <v/>
      </c>
      <c r="B839" s="16"/>
      <c r="C839" s="20"/>
      <c r="D839" s="20"/>
      <c r="E839" s="23"/>
      <c r="H839" s="19" t="str">
        <f t="shared" si="45"/>
        <v/>
      </c>
      <c r="I839" s="19" t="str">
        <f t="shared" si="44"/>
        <v/>
      </c>
      <c r="J839" s="19" t="str">
        <f t="shared" si="46"/>
        <v/>
      </c>
      <c r="K839" s="20"/>
      <c r="L839" s="21" t="str">
        <f>IF(OR(NOT(AND($B839&lt;&gt;"",$C839&lt;&gt;"",$D839&lt;&gt;"",$E839&lt;&gt;"")),$A839="",$K839&lt;&gt;"Yes"),"",IF($L839&lt;&gt;"",$L839,INDEX(SETUP!$I$1:$I$2000,MATCH(TRUE,SETUP!$J$1:$J$2000,0)+COUNTIFS($A$2:$A839,"&lt;&gt;",$K$2:$K839,"Yes",$L$2:$L839,"")-1)))</f>
        <v/>
      </c>
      <c r="N839" s="22"/>
    </row>
    <row r="840" spans="1:14" x14ac:dyDescent="0.3">
      <c r="A840" s="15" t="str">
        <f>IF(COUNTA($B840:$E840,$K840)=0,"",IF(AND($B840&lt;&gt;"",$C840&lt;&gt;"",$D840&lt;&gt;"",$E840&lt;&gt;""),"TXS"&amp;TEXT(COUNTIFS($B$2:$B840,"&lt;&gt;",$C$2:$C840,"&lt;&gt;",$D$2:$D840,"&lt;&gt;",$E$2:$E840,"&lt;&gt;"),"00000"),""))</f>
        <v/>
      </c>
      <c r="B840" s="16"/>
      <c r="C840" s="20"/>
      <c r="D840" s="20"/>
      <c r="E840" s="23"/>
      <c r="H840" s="19" t="str">
        <f t="shared" si="45"/>
        <v/>
      </c>
      <c r="I840" s="19" t="str">
        <f t="shared" si="44"/>
        <v/>
      </c>
      <c r="J840" s="19" t="str">
        <f t="shared" si="46"/>
        <v/>
      </c>
      <c r="K840" s="20"/>
      <c r="L840" s="21" t="str">
        <f>IF(OR(NOT(AND($B840&lt;&gt;"",$C840&lt;&gt;"",$D840&lt;&gt;"",$E840&lt;&gt;"")),$A840="",$K840&lt;&gt;"Yes"),"",IF($L840&lt;&gt;"",$L840,INDEX(SETUP!$I$1:$I$2000,MATCH(TRUE,SETUP!$J$1:$J$2000,0)+COUNTIFS($A$2:$A840,"&lt;&gt;",$K$2:$K840,"Yes",$L$2:$L840,"")-1)))</f>
        <v/>
      </c>
      <c r="N840" s="22"/>
    </row>
    <row r="841" spans="1:14" x14ac:dyDescent="0.3">
      <c r="A841" s="15" t="str">
        <f>IF(COUNTA($B841:$E841,$K841)=0,"",IF(AND($B841&lt;&gt;"",$C841&lt;&gt;"",$D841&lt;&gt;"",$E841&lt;&gt;""),"TXS"&amp;TEXT(COUNTIFS($B$2:$B841,"&lt;&gt;",$C$2:$C841,"&lt;&gt;",$D$2:$D841,"&lt;&gt;",$E$2:$E841,"&lt;&gt;"),"00000"),""))</f>
        <v/>
      </c>
      <c r="B841" s="16"/>
      <c r="C841" s="20"/>
      <c r="D841" s="20"/>
      <c r="E841" s="23"/>
      <c r="H841" s="19" t="str">
        <f t="shared" si="45"/>
        <v/>
      </c>
      <c r="I841" s="19" t="str">
        <f t="shared" si="44"/>
        <v/>
      </c>
      <c r="J841" s="19" t="str">
        <f t="shared" si="46"/>
        <v/>
      </c>
      <c r="K841" s="20"/>
      <c r="L841" s="21" t="str">
        <f>IF(OR(NOT(AND($B841&lt;&gt;"",$C841&lt;&gt;"",$D841&lt;&gt;"",$E841&lt;&gt;"")),$A841="",$K841&lt;&gt;"Yes"),"",IF($L841&lt;&gt;"",$L841,INDEX(SETUP!$I$1:$I$2000,MATCH(TRUE,SETUP!$J$1:$J$2000,0)+COUNTIFS($A$2:$A841,"&lt;&gt;",$K$2:$K841,"Yes",$L$2:$L841,"")-1)))</f>
        <v/>
      </c>
      <c r="N841" s="22"/>
    </row>
    <row r="842" spans="1:14" x14ac:dyDescent="0.3">
      <c r="A842" s="15" t="str">
        <f>IF(COUNTA($B842:$E842,$K842)=0,"",IF(AND($B842&lt;&gt;"",$C842&lt;&gt;"",$D842&lt;&gt;"",$E842&lt;&gt;""),"TXS"&amp;TEXT(COUNTIFS($B$2:$B842,"&lt;&gt;",$C$2:$C842,"&lt;&gt;",$D$2:$D842,"&lt;&gt;",$E$2:$E842,"&lt;&gt;"),"00000"),""))</f>
        <v/>
      </c>
      <c r="B842" s="16"/>
      <c r="C842" s="20"/>
      <c r="D842" s="20"/>
      <c r="E842" s="23"/>
      <c r="H842" s="19" t="str">
        <f t="shared" si="45"/>
        <v/>
      </c>
      <c r="I842" s="19" t="str">
        <f t="shared" si="44"/>
        <v/>
      </c>
      <c r="J842" s="19" t="str">
        <f t="shared" si="46"/>
        <v/>
      </c>
      <c r="K842" s="20"/>
      <c r="L842" s="21" t="str">
        <f>IF(OR(NOT(AND($B842&lt;&gt;"",$C842&lt;&gt;"",$D842&lt;&gt;"",$E842&lt;&gt;"")),$A842="",$K842&lt;&gt;"Yes"),"",IF($L842&lt;&gt;"",$L842,INDEX(SETUP!$I$1:$I$2000,MATCH(TRUE,SETUP!$J$1:$J$2000,0)+COUNTIFS($A$2:$A842,"&lt;&gt;",$K$2:$K842,"Yes",$L$2:$L842,"")-1)))</f>
        <v/>
      </c>
      <c r="N842" s="22"/>
    </row>
    <row r="843" spans="1:14" x14ac:dyDescent="0.3">
      <c r="A843" s="15" t="str">
        <f>IF(COUNTA($B843:$E843,$K843)=0,"",IF(AND($B843&lt;&gt;"",$C843&lt;&gt;"",$D843&lt;&gt;"",$E843&lt;&gt;""),"TXS"&amp;TEXT(COUNTIFS($B$2:$B843,"&lt;&gt;",$C$2:$C843,"&lt;&gt;",$D$2:$D843,"&lt;&gt;",$E$2:$E843,"&lt;&gt;"),"00000"),""))</f>
        <v/>
      </c>
      <c r="B843" s="16"/>
      <c r="C843" s="20"/>
      <c r="D843" s="20"/>
      <c r="E843" s="23"/>
      <c r="H843" s="19" t="str">
        <f t="shared" si="45"/>
        <v/>
      </c>
      <c r="I843" s="19" t="str">
        <f t="shared" si="44"/>
        <v/>
      </c>
      <c r="J843" s="19" t="str">
        <f t="shared" si="46"/>
        <v/>
      </c>
      <c r="K843" s="20"/>
      <c r="L843" s="21" t="str">
        <f>IF(OR(NOT(AND($B843&lt;&gt;"",$C843&lt;&gt;"",$D843&lt;&gt;"",$E843&lt;&gt;"")),$A843="",$K843&lt;&gt;"Yes"),"",IF($L843&lt;&gt;"",$L843,INDEX(SETUP!$I$1:$I$2000,MATCH(TRUE,SETUP!$J$1:$J$2000,0)+COUNTIFS($A$2:$A843,"&lt;&gt;",$K$2:$K843,"Yes",$L$2:$L843,"")-1)))</f>
        <v/>
      </c>
      <c r="N843" s="22"/>
    </row>
    <row r="844" spans="1:14" x14ac:dyDescent="0.3">
      <c r="A844" s="15" t="str">
        <f>IF(COUNTA($B844:$E844,$K844)=0,"",IF(AND($B844&lt;&gt;"",$C844&lt;&gt;"",$D844&lt;&gt;"",$E844&lt;&gt;""),"TXS"&amp;TEXT(COUNTIFS($B$2:$B844,"&lt;&gt;",$C$2:$C844,"&lt;&gt;",$D$2:$D844,"&lt;&gt;",$E$2:$E844,"&lt;&gt;"),"00000"),""))</f>
        <v/>
      </c>
      <c r="B844" s="16"/>
      <c r="C844" s="20"/>
      <c r="D844" s="20"/>
      <c r="E844" s="23"/>
      <c r="H844" s="19" t="str">
        <f t="shared" si="45"/>
        <v/>
      </c>
      <c r="I844" s="19" t="str">
        <f t="shared" si="44"/>
        <v/>
      </c>
      <c r="J844" s="19" t="str">
        <f t="shared" si="46"/>
        <v/>
      </c>
      <c r="K844" s="20"/>
      <c r="L844" s="21" t="str">
        <f>IF(OR(NOT(AND($B844&lt;&gt;"",$C844&lt;&gt;"",$D844&lt;&gt;"",$E844&lt;&gt;"")),$A844="",$K844&lt;&gt;"Yes"),"",IF($L844&lt;&gt;"",$L844,INDEX(SETUP!$I$1:$I$2000,MATCH(TRUE,SETUP!$J$1:$J$2000,0)+COUNTIFS($A$2:$A844,"&lt;&gt;",$K$2:$K844,"Yes",$L$2:$L844,"")-1)))</f>
        <v/>
      </c>
      <c r="N844" s="22"/>
    </row>
    <row r="845" spans="1:14" x14ac:dyDescent="0.3">
      <c r="A845" s="15" t="str">
        <f>IF(COUNTA($B845:$E845,$K845)=0,"",IF(AND($B845&lt;&gt;"",$C845&lt;&gt;"",$D845&lt;&gt;"",$E845&lt;&gt;""),"TXS"&amp;TEXT(COUNTIFS($B$2:$B845,"&lt;&gt;",$C$2:$C845,"&lt;&gt;",$D$2:$D845,"&lt;&gt;",$E$2:$E845,"&lt;&gt;"),"00000"),""))</f>
        <v/>
      </c>
      <c r="B845" s="16"/>
      <c r="C845" s="20"/>
      <c r="D845" s="20"/>
      <c r="E845" s="23"/>
      <c r="H845" s="19" t="str">
        <f t="shared" si="45"/>
        <v/>
      </c>
      <c r="I845" s="19" t="str">
        <f t="shared" si="44"/>
        <v/>
      </c>
      <c r="J845" s="19" t="str">
        <f t="shared" si="46"/>
        <v/>
      </c>
      <c r="K845" s="20"/>
      <c r="L845" s="21" t="str">
        <f>IF(OR(NOT(AND($B845&lt;&gt;"",$C845&lt;&gt;"",$D845&lt;&gt;"",$E845&lt;&gt;"")),$A845="",$K845&lt;&gt;"Yes"),"",IF($L845&lt;&gt;"",$L845,INDEX(SETUP!$I$1:$I$2000,MATCH(TRUE,SETUP!$J$1:$J$2000,0)+COUNTIFS($A$2:$A845,"&lt;&gt;",$K$2:$K845,"Yes",$L$2:$L845,"")-1)))</f>
        <v/>
      </c>
      <c r="N845" s="22"/>
    </row>
    <row r="846" spans="1:14" x14ac:dyDescent="0.3">
      <c r="A846" s="15" t="str">
        <f>IF(COUNTA($B846:$E846,$K846)=0,"",IF(AND($B846&lt;&gt;"",$C846&lt;&gt;"",$D846&lt;&gt;"",$E846&lt;&gt;""),"TXS"&amp;TEXT(COUNTIFS($B$2:$B846,"&lt;&gt;",$C$2:$C846,"&lt;&gt;",$D$2:$D846,"&lt;&gt;",$E$2:$E846,"&lt;&gt;"),"00000"),""))</f>
        <v/>
      </c>
      <c r="B846" s="16"/>
      <c r="C846" s="20"/>
      <c r="D846" s="20"/>
      <c r="E846" s="23"/>
      <c r="H846" s="19" t="str">
        <f t="shared" si="45"/>
        <v/>
      </c>
      <c r="I846" s="19" t="str">
        <f t="shared" si="44"/>
        <v/>
      </c>
      <c r="J846" s="19" t="str">
        <f t="shared" si="46"/>
        <v/>
      </c>
      <c r="K846" s="20"/>
      <c r="L846" s="21" t="str">
        <f>IF(OR(NOT(AND($B846&lt;&gt;"",$C846&lt;&gt;"",$D846&lt;&gt;"",$E846&lt;&gt;"")),$A846="",$K846&lt;&gt;"Yes"),"",IF($L846&lt;&gt;"",$L846,INDEX(SETUP!$I$1:$I$2000,MATCH(TRUE,SETUP!$J$1:$J$2000,0)+COUNTIFS($A$2:$A846,"&lt;&gt;",$K$2:$K846,"Yes",$L$2:$L846,"")-1)))</f>
        <v/>
      </c>
      <c r="N846" s="22"/>
    </row>
    <row r="847" spans="1:14" x14ac:dyDescent="0.3">
      <c r="A847" s="15" t="str">
        <f>IF(COUNTA($B847:$E847,$K847)=0,"",IF(AND($B847&lt;&gt;"",$C847&lt;&gt;"",$D847&lt;&gt;"",$E847&lt;&gt;""),"TXS"&amp;TEXT(COUNTIFS($B$2:$B847,"&lt;&gt;",$C$2:$C847,"&lt;&gt;",$D$2:$D847,"&lt;&gt;",$E$2:$E847,"&lt;&gt;"),"00000"),""))</f>
        <v/>
      </c>
      <c r="B847" s="16"/>
      <c r="C847" s="20"/>
      <c r="D847" s="20"/>
      <c r="E847" s="23"/>
      <c r="H847" s="19" t="str">
        <f t="shared" si="45"/>
        <v/>
      </c>
      <c r="I847" s="19" t="str">
        <f t="shared" si="44"/>
        <v/>
      </c>
      <c r="J847" s="19" t="str">
        <f t="shared" si="46"/>
        <v/>
      </c>
      <c r="K847" s="20"/>
      <c r="L847" s="21" t="str">
        <f>IF(OR(NOT(AND($B847&lt;&gt;"",$C847&lt;&gt;"",$D847&lt;&gt;"",$E847&lt;&gt;"")),$A847="",$K847&lt;&gt;"Yes"),"",IF($L847&lt;&gt;"",$L847,INDEX(SETUP!$I$1:$I$2000,MATCH(TRUE,SETUP!$J$1:$J$2000,0)+COUNTIFS($A$2:$A847,"&lt;&gt;",$K$2:$K847,"Yes",$L$2:$L847,"")-1)))</f>
        <v/>
      </c>
      <c r="N847" s="22"/>
    </row>
    <row r="848" spans="1:14" x14ac:dyDescent="0.3">
      <c r="A848" s="15" t="str">
        <f>IF(COUNTA($B848:$E848,$K848)=0,"",IF(AND($B848&lt;&gt;"",$C848&lt;&gt;"",$D848&lt;&gt;"",$E848&lt;&gt;""),"TXS"&amp;TEXT(COUNTIFS($B$2:$B848,"&lt;&gt;",$C$2:$C848,"&lt;&gt;",$D$2:$D848,"&lt;&gt;",$E$2:$E848,"&lt;&gt;"),"00000"),""))</f>
        <v/>
      </c>
      <c r="B848" s="16"/>
      <c r="C848" s="20"/>
      <c r="D848" s="20"/>
      <c r="E848" s="23"/>
      <c r="H848" s="19" t="str">
        <f t="shared" si="45"/>
        <v/>
      </c>
      <c r="I848" s="19" t="str">
        <f t="shared" si="44"/>
        <v/>
      </c>
      <c r="J848" s="19" t="str">
        <f t="shared" si="46"/>
        <v/>
      </c>
      <c r="K848" s="20"/>
      <c r="L848" s="21" t="str">
        <f>IF(OR(NOT(AND($B848&lt;&gt;"",$C848&lt;&gt;"",$D848&lt;&gt;"",$E848&lt;&gt;"")),$A848="",$K848&lt;&gt;"Yes"),"",IF($L848&lt;&gt;"",$L848,INDEX(SETUP!$I$1:$I$2000,MATCH(TRUE,SETUP!$J$1:$J$2000,0)+COUNTIFS($A$2:$A848,"&lt;&gt;",$K$2:$K848,"Yes",$L$2:$L848,"")-1)))</f>
        <v/>
      </c>
      <c r="N848" s="22"/>
    </row>
    <row r="849" spans="1:14" x14ac:dyDescent="0.3">
      <c r="A849" s="15" t="str">
        <f>IF(COUNTA($B849:$E849,$K849)=0,"",IF(AND($B849&lt;&gt;"",$C849&lt;&gt;"",$D849&lt;&gt;"",$E849&lt;&gt;""),"TXS"&amp;TEXT(COUNTIFS($B$2:$B849,"&lt;&gt;",$C$2:$C849,"&lt;&gt;",$D$2:$D849,"&lt;&gt;",$E$2:$E849,"&lt;&gt;"),"00000"),""))</f>
        <v/>
      </c>
      <c r="B849" s="16"/>
      <c r="C849" s="20"/>
      <c r="D849" s="20"/>
      <c r="E849" s="23"/>
      <c r="H849" s="19" t="str">
        <f t="shared" si="45"/>
        <v/>
      </c>
      <c r="I849" s="19" t="str">
        <f t="shared" si="44"/>
        <v/>
      </c>
      <c r="J849" s="19" t="str">
        <f t="shared" si="46"/>
        <v/>
      </c>
      <c r="K849" s="20"/>
      <c r="L849" s="21" t="str">
        <f>IF(OR(NOT(AND($B849&lt;&gt;"",$C849&lt;&gt;"",$D849&lt;&gt;"",$E849&lt;&gt;"")),$A849="",$K849&lt;&gt;"Yes"),"",IF($L849&lt;&gt;"",$L849,INDEX(SETUP!$I$1:$I$2000,MATCH(TRUE,SETUP!$J$1:$J$2000,0)+COUNTIFS($A$2:$A849,"&lt;&gt;",$K$2:$K849,"Yes",$L$2:$L849,"")-1)))</f>
        <v/>
      </c>
      <c r="N849" s="22"/>
    </row>
    <row r="850" spans="1:14" x14ac:dyDescent="0.3">
      <c r="A850" s="15" t="str">
        <f>IF(COUNTA($B850:$E850,$K850)=0,"",IF(AND($B850&lt;&gt;"",$C850&lt;&gt;"",$D850&lt;&gt;"",$E850&lt;&gt;""),"TXS"&amp;TEXT(COUNTIFS($B$2:$B850,"&lt;&gt;",$C$2:$C850,"&lt;&gt;",$D$2:$D850,"&lt;&gt;",$E$2:$E850,"&lt;&gt;"),"00000"),""))</f>
        <v/>
      </c>
      <c r="B850" s="16"/>
      <c r="C850" s="20"/>
      <c r="D850" s="20"/>
      <c r="E850" s="23"/>
      <c r="H850" s="19" t="str">
        <f t="shared" si="45"/>
        <v/>
      </c>
      <c r="I850" s="19" t="str">
        <f t="shared" si="44"/>
        <v/>
      </c>
      <c r="J850" s="19" t="str">
        <f t="shared" si="46"/>
        <v/>
      </c>
      <c r="K850" s="20"/>
      <c r="L850" s="21" t="str">
        <f>IF(OR(NOT(AND($B850&lt;&gt;"",$C850&lt;&gt;"",$D850&lt;&gt;"",$E850&lt;&gt;"")),$A850="",$K850&lt;&gt;"Yes"),"",IF($L850&lt;&gt;"",$L850,INDEX(SETUP!$I$1:$I$2000,MATCH(TRUE,SETUP!$J$1:$J$2000,0)+COUNTIFS($A$2:$A850,"&lt;&gt;",$K$2:$K850,"Yes",$L$2:$L850,"")-1)))</f>
        <v/>
      </c>
      <c r="N850" s="22"/>
    </row>
    <row r="851" spans="1:14" x14ac:dyDescent="0.3">
      <c r="A851" s="15" t="str">
        <f>IF(COUNTA($B851:$E851,$K851)=0,"",IF(AND($B851&lt;&gt;"",$C851&lt;&gt;"",$D851&lt;&gt;"",$E851&lt;&gt;""),"TXS"&amp;TEXT(COUNTIFS($B$2:$B851,"&lt;&gt;",$C$2:$C851,"&lt;&gt;",$D$2:$D851,"&lt;&gt;",$E$2:$E851,"&lt;&gt;"),"00000"),""))</f>
        <v/>
      </c>
      <c r="B851" s="16"/>
      <c r="C851" s="20"/>
      <c r="D851" s="20"/>
      <c r="E851" s="23"/>
      <c r="H851" s="19" t="str">
        <f t="shared" si="45"/>
        <v/>
      </c>
      <c r="I851" s="19" t="str">
        <f t="shared" si="44"/>
        <v/>
      </c>
      <c r="J851" s="19" t="str">
        <f t="shared" si="46"/>
        <v/>
      </c>
      <c r="K851" s="20"/>
      <c r="L851" s="21" t="str">
        <f>IF(OR(NOT(AND($B851&lt;&gt;"",$C851&lt;&gt;"",$D851&lt;&gt;"",$E851&lt;&gt;"")),$A851="",$K851&lt;&gt;"Yes"),"",IF($L851&lt;&gt;"",$L851,INDEX(SETUP!$I$1:$I$2000,MATCH(TRUE,SETUP!$J$1:$J$2000,0)+COUNTIFS($A$2:$A851,"&lt;&gt;",$K$2:$K851,"Yes",$L$2:$L851,"")-1)))</f>
        <v/>
      </c>
      <c r="N851" s="22"/>
    </row>
    <row r="852" spans="1:14" x14ac:dyDescent="0.3">
      <c r="A852" s="15" t="str">
        <f>IF(COUNTA($B852:$E852,$K852)=0,"",IF(AND($B852&lt;&gt;"",$C852&lt;&gt;"",$D852&lt;&gt;"",$E852&lt;&gt;""),"TXS"&amp;TEXT(COUNTIFS($B$2:$B852,"&lt;&gt;",$C$2:$C852,"&lt;&gt;",$D$2:$D852,"&lt;&gt;",$E$2:$E852,"&lt;&gt;"),"00000"),""))</f>
        <v/>
      </c>
      <c r="B852" s="16"/>
      <c r="C852" s="20"/>
      <c r="D852" s="20"/>
      <c r="E852" s="23"/>
      <c r="H852" s="19" t="str">
        <f t="shared" si="45"/>
        <v/>
      </c>
      <c r="I852" s="19" t="str">
        <f t="shared" si="44"/>
        <v/>
      </c>
      <c r="J852" s="19" t="str">
        <f t="shared" si="46"/>
        <v/>
      </c>
      <c r="K852" s="20"/>
      <c r="L852" s="21" t="str">
        <f>IF(OR(NOT(AND($B852&lt;&gt;"",$C852&lt;&gt;"",$D852&lt;&gt;"",$E852&lt;&gt;"")),$A852="",$K852&lt;&gt;"Yes"),"",IF($L852&lt;&gt;"",$L852,INDEX(SETUP!$I$1:$I$2000,MATCH(TRUE,SETUP!$J$1:$J$2000,0)+COUNTIFS($A$2:$A852,"&lt;&gt;",$K$2:$K852,"Yes",$L$2:$L852,"")-1)))</f>
        <v/>
      </c>
      <c r="N852" s="22"/>
    </row>
    <row r="853" spans="1:14" x14ac:dyDescent="0.3">
      <c r="A853" s="15" t="str">
        <f>IF(COUNTA($B853:$E853,$K853)=0,"",IF(AND($B853&lt;&gt;"",$C853&lt;&gt;"",$D853&lt;&gt;"",$E853&lt;&gt;""),"TXS"&amp;TEXT(COUNTIFS($B$2:$B853,"&lt;&gt;",$C$2:$C853,"&lt;&gt;",$D$2:$D853,"&lt;&gt;",$E$2:$E853,"&lt;&gt;"),"00000"),""))</f>
        <v/>
      </c>
      <c r="B853" s="16"/>
      <c r="C853" s="20"/>
      <c r="D853" s="20"/>
      <c r="E853" s="23"/>
      <c r="H853" s="19" t="str">
        <f t="shared" si="45"/>
        <v/>
      </c>
      <c r="I853" s="19" t="str">
        <f t="shared" si="44"/>
        <v/>
      </c>
      <c r="J853" s="19" t="str">
        <f t="shared" si="46"/>
        <v/>
      </c>
      <c r="K853" s="20"/>
      <c r="L853" s="21" t="str">
        <f>IF(OR(NOT(AND($B853&lt;&gt;"",$C853&lt;&gt;"",$D853&lt;&gt;"",$E853&lt;&gt;"")),$A853="",$K853&lt;&gt;"Yes"),"",IF($L853&lt;&gt;"",$L853,INDEX(SETUP!$I$1:$I$2000,MATCH(TRUE,SETUP!$J$1:$J$2000,0)+COUNTIFS($A$2:$A853,"&lt;&gt;",$K$2:$K853,"Yes",$L$2:$L853,"")-1)))</f>
        <v/>
      </c>
      <c r="N853" s="22"/>
    </row>
    <row r="854" spans="1:14" x14ac:dyDescent="0.3">
      <c r="A854" s="15" t="str">
        <f>IF(COUNTA($B854:$E854,$K854)=0,"",IF(AND($B854&lt;&gt;"",$C854&lt;&gt;"",$D854&lt;&gt;"",$E854&lt;&gt;""),"TXS"&amp;TEXT(COUNTIFS($B$2:$B854,"&lt;&gt;",$C$2:$C854,"&lt;&gt;",$D$2:$D854,"&lt;&gt;",$E$2:$E854,"&lt;&gt;"),"00000"),""))</f>
        <v/>
      </c>
      <c r="B854" s="16"/>
      <c r="C854" s="20"/>
      <c r="D854" s="20"/>
      <c r="E854" s="23"/>
      <c r="H854" s="19" t="str">
        <f t="shared" si="45"/>
        <v/>
      </c>
      <c r="I854" s="19" t="str">
        <f t="shared" si="44"/>
        <v/>
      </c>
      <c r="J854" s="19" t="str">
        <f t="shared" si="46"/>
        <v/>
      </c>
      <c r="K854" s="20"/>
      <c r="L854" s="21" t="str">
        <f>IF(OR(NOT(AND($B854&lt;&gt;"",$C854&lt;&gt;"",$D854&lt;&gt;"",$E854&lt;&gt;"")),$A854="",$K854&lt;&gt;"Yes"),"",IF($L854&lt;&gt;"",$L854,INDEX(SETUP!$I$1:$I$2000,MATCH(TRUE,SETUP!$J$1:$J$2000,0)+COUNTIFS($A$2:$A854,"&lt;&gt;",$K$2:$K854,"Yes",$L$2:$L854,"")-1)))</f>
        <v/>
      </c>
      <c r="N854" s="22"/>
    </row>
    <row r="855" spans="1:14" x14ac:dyDescent="0.3">
      <c r="A855" s="15" t="str">
        <f>IF(COUNTA($B855:$E855,$K855)=0,"",IF(AND($B855&lt;&gt;"",$C855&lt;&gt;"",$D855&lt;&gt;"",$E855&lt;&gt;""),"TXS"&amp;TEXT(COUNTIFS($B$2:$B855,"&lt;&gt;",$C$2:$C855,"&lt;&gt;",$D$2:$D855,"&lt;&gt;",$E$2:$E855,"&lt;&gt;"),"00000"),""))</f>
        <v/>
      </c>
      <c r="B855" s="16"/>
      <c r="C855" s="20"/>
      <c r="D855" s="20"/>
      <c r="E855" s="23"/>
      <c r="H855" s="19" t="str">
        <f t="shared" si="45"/>
        <v/>
      </c>
      <c r="I855" s="19" t="str">
        <f t="shared" si="44"/>
        <v/>
      </c>
      <c r="J855" s="19" t="str">
        <f t="shared" si="46"/>
        <v/>
      </c>
      <c r="K855" s="20"/>
      <c r="L855" s="21" t="str">
        <f>IF(OR(NOT(AND($B855&lt;&gt;"",$C855&lt;&gt;"",$D855&lt;&gt;"",$E855&lt;&gt;"")),$A855="",$K855&lt;&gt;"Yes"),"",IF($L855&lt;&gt;"",$L855,INDEX(SETUP!$I$1:$I$2000,MATCH(TRUE,SETUP!$J$1:$J$2000,0)+COUNTIFS($A$2:$A855,"&lt;&gt;",$K$2:$K855,"Yes",$L$2:$L855,"")-1)))</f>
        <v/>
      </c>
      <c r="N855" s="22"/>
    </row>
    <row r="856" spans="1:14" x14ac:dyDescent="0.3">
      <c r="A856" s="15" t="str">
        <f>IF(COUNTA($B856:$E856,$K856)=0,"",IF(AND($B856&lt;&gt;"",$C856&lt;&gt;"",$D856&lt;&gt;"",$E856&lt;&gt;""),"TXS"&amp;TEXT(COUNTIFS($B$2:$B856,"&lt;&gt;",$C$2:$C856,"&lt;&gt;",$D$2:$D856,"&lt;&gt;",$E$2:$E856,"&lt;&gt;"),"00000"),""))</f>
        <v/>
      </c>
      <c r="B856" s="16"/>
      <c r="C856" s="20"/>
      <c r="D856" s="20"/>
      <c r="E856" s="23"/>
      <c r="H856" s="19" t="str">
        <f t="shared" si="45"/>
        <v/>
      </c>
      <c r="I856" s="19" t="str">
        <f t="shared" si="44"/>
        <v/>
      </c>
      <c r="J856" s="19" t="str">
        <f t="shared" si="46"/>
        <v/>
      </c>
      <c r="K856" s="20"/>
      <c r="L856" s="21" t="str">
        <f>IF(OR(NOT(AND($B856&lt;&gt;"",$C856&lt;&gt;"",$D856&lt;&gt;"",$E856&lt;&gt;"")),$A856="",$K856&lt;&gt;"Yes"),"",IF($L856&lt;&gt;"",$L856,INDEX(SETUP!$I$1:$I$2000,MATCH(TRUE,SETUP!$J$1:$J$2000,0)+COUNTIFS($A$2:$A856,"&lt;&gt;",$K$2:$K856,"Yes",$L$2:$L856,"")-1)))</f>
        <v/>
      </c>
      <c r="N856" s="22"/>
    </row>
    <row r="857" spans="1:14" x14ac:dyDescent="0.3">
      <c r="A857" s="15" t="str">
        <f>IF(COUNTA($B857:$E857,$K857)=0,"",IF(AND($B857&lt;&gt;"",$C857&lt;&gt;"",$D857&lt;&gt;"",$E857&lt;&gt;""),"TXS"&amp;TEXT(COUNTIFS($B$2:$B857,"&lt;&gt;",$C$2:$C857,"&lt;&gt;",$D$2:$D857,"&lt;&gt;",$E$2:$E857,"&lt;&gt;"),"00000"),""))</f>
        <v/>
      </c>
      <c r="B857" s="16"/>
      <c r="C857" s="20"/>
      <c r="D857" s="20"/>
      <c r="E857" s="23"/>
      <c r="H857" s="19" t="str">
        <f t="shared" si="45"/>
        <v/>
      </c>
      <c r="I857" s="19" t="str">
        <f t="shared" si="44"/>
        <v/>
      </c>
      <c r="J857" s="19" t="str">
        <f t="shared" si="46"/>
        <v/>
      </c>
      <c r="K857" s="20"/>
      <c r="L857" s="21" t="str">
        <f>IF(OR(NOT(AND($B857&lt;&gt;"",$C857&lt;&gt;"",$D857&lt;&gt;"",$E857&lt;&gt;"")),$A857="",$K857&lt;&gt;"Yes"),"",IF($L857&lt;&gt;"",$L857,INDEX(SETUP!$I$1:$I$2000,MATCH(TRUE,SETUP!$J$1:$J$2000,0)+COUNTIFS($A$2:$A857,"&lt;&gt;",$K$2:$K857,"Yes",$L$2:$L857,"")-1)))</f>
        <v/>
      </c>
      <c r="N857" s="22"/>
    </row>
    <row r="858" spans="1:14" x14ac:dyDescent="0.3">
      <c r="A858" s="15" t="str">
        <f>IF(COUNTA($B858:$E858,$K858)=0,"",IF(AND($B858&lt;&gt;"",$C858&lt;&gt;"",$D858&lt;&gt;"",$E858&lt;&gt;""),"TXS"&amp;TEXT(COUNTIFS($B$2:$B858,"&lt;&gt;",$C$2:$C858,"&lt;&gt;",$D$2:$D858,"&lt;&gt;",$E$2:$E858,"&lt;&gt;"),"00000"),""))</f>
        <v/>
      </c>
      <c r="B858" s="16"/>
      <c r="C858" s="20"/>
      <c r="D858" s="20"/>
      <c r="E858" s="23"/>
      <c r="H858" s="19" t="str">
        <f t="shared" si="45"/>
        <v/>
      </c>
      <c r="I858" s="19" t="str">
        <f t="shared" si="44"/>
        <v/>
      </c>
      <c r="J858" s="19" t="str">
        <f t="shared" si="46"/>
        <v/>
      </c>
      <c r="K858" s="20"/>
      <c r="L858" s="21" t="str">
        <f>IF(OR(NOT(AND($B858&lt;&gt;"",$C858&lt;&gt;"",$D858&lt;&gt;"",$E858&lt;&gt;"")),$A858="",$K858&lt;&gt;"Yes"),"",IF($L858&lt;&gt;"",$L858,INDEX(SETUP!$I$1:$I$2000,MATCH(TRUE,SETUP!$J$1:$J$2000,0)+COUNTIFS($A$2:$A858,"&lt;&gt;",$K$2:$K858,"Yes",$L$2:$L858,"")-1)))</f>
        <v/>
      </c>
      <c r="N858" s="22"/>
    </row>
    <row r="859" spans="1:14" x14ac:dyDescent="0.3">
      <c r="A859" s="15" t="str">
        <f>IF(COUNTA($B859:$E859,$K859)=0,"",IF(AND($B859&lt;&gt;"",$C859&lt;&gt;"",$D859&lt;&gt;"",$E859&lt;&gt;""),"TXS"&amp;TEXT(COUNTIFS($B$2:$B859,"&lt;&gt;",$C$2:$C859,"&lt;&gt;",$D$2:$D859,"&lt;&gt;",$E$2:$E859,"&lt;&gt;"),"00000"),""))</f>
        <v/>
      </c>
      <c r="B859" s="16"/>
      <c r="C859" s="20"/>
      <c r="D859" s="20"/>
      <c r="E859" s="23"/>
      <c r="H859" s="19" t="str">
        <f t="shared" si="45"/>
        <v/>
      </c>
      <c r="I859" s="19" t="str">
        <f t="shared" si="44"/>
        <v/>
      </c>
      <c r="J859" s="19" t="str">
        <f t="shared" si="46"/>
        <v/>
      </c>
      <c r="K859" s="20"/>
      <c r="L859" s="21" t="str">
        <f>IF(OR(NOT(AND($B859&lt;&gt;"",$C859&lt;&gt;"",$D859&lt;&gt;"",$E859&lt;&gt;"")),$A859="",$K859&lt;&gt;"Yes"),"",IF($L859&lt;&gt;"",$L859,INDEX(SETUP!$I$1:$I$2000,MATCH(TRUE,SETUP!$J$1:$J$2000,0)+COUNTIFS($A$2:$A859,"&lt;&gt;",$K$2:$K859,"Yes",$L$2:$L859,"")-1)))</f>
        <v/>
      </c>
      <c r="N859" s="22"/>
    </row>
    <row r="860" spans="1:14" x14ac:dyDescent="0.3">
      <c r="A860" s="15" t="str">
        <f>IF(COUNTA($B860:$E860,$K860)=0,"",IF(AND($B860&lt;&gt;"",$C860&lt;&gt;"",$D860&lt;&gt;"",$E860&lt;&gt;""),"TXS"&amp;TEXT(COUNTIFS($B$2:$B860,"&lt;&gt;",$C$2:$C860,"&lt;&gt;",$D$2:$D860,"&lt;&gt;",$E$2:$E860,"&lt;&gt;"),"00000"),""))</f>
        <v/>
      </c>
      <c r="B860" s="16"/>
      <c r="C860" s="20"/>
      <c r="D860" s="20"/>
      <c r="E860" s="23"/>
      <c r="H860" s="19" t="str">
        <f t="shared" si="45"/>
        <v/>
      </c>
      <c r="I860" s="19" t="str">
        <f t="shared" si="44"/>
        <v/>
      </c>
      <c r="J860" s="19" t="str">
        <f t="shared" si="46"/>
        <v/>
      </c>
      <c r="K860" s="20"/>
      <c r="L860" s="21" t="str">
        <f>IF(OR(NOT(AND($B860&lt;&gt;"",$C860&lt;&gt;"",$D860&lt;&gt;"",$E860&lt;&gt;"")),$A860="",$K860&lt;&gt;"Yes"),"",IF($L860&lt;&gt;"",$L860,INDEX(SETUP!$I$1:$I$2000,MATCH(TRUE,SETUP!$J$1:$J$2000,0)+COUNTIFS($A$2:$A860,"&lt;&gt;",$K$2:$K860,"Yes",$L$2:$L860,"")-1)))</f>
        <v/>
      </c>
      <c r="N860" s="22"/>
    </row>
    <row r="861" spans="1:14" x14ac:dyDescent="0.3">
      <c r="A861" s="15" t="str">
        <f>IF(COUNTA($B861:$E861,$K861)=0,"",IF(AND($B861&lt;&gt;"",$C861&lt;&gt;"",$D861&lt;&gt;"",$E861&lt;&gt;""),"TXS"&amp;TEXT(COUNTIFS($B$2:$B861,"&lt;&gt;",$C$2:$C861,"&lt;&gt;",$D$2:$D861,"&lt;&gt;",$E$2:$E861,"&lt;&gt;"),"00000"),""))</f>
        <v/>
      </c>
      <c r="B861" s="16"/>
      <c r="C861" s="20"/>
      <c r="D861" s="20"/>
      <c r="E861" s="23"/>
      <c r="H861" s="19" t="str">
        <f t="shared" si="45"/>
        <v/>
      </c>
      <c r="I861" s="19" t="str">
        <f t="shared" si="44"/>
        <v/>
      </c>
      <c r="J861" s="19" t="str">
        <f t="shared" si="46"/>
        <v/>
      </c>
      <c r="K861" s="20"/>
      <c r="L861" s="21" t="str">
        <f>IF(OR(NOT(AND($B861&lt;&gt;"",$C861&lt;&gt;"",$D861&lt;&gt;"",$E861&lt;&gt;"")),$A861="",$K861&lt;&gt;"Yes"),"",IF($L861&lt;&gt;"",$L861,INDEX(SETUP!$I$1:$I$2000,MATCH(TRUE,SETUP!$J$1:$J$2000,0)+COUNTIFS($A$2:$A861,"&lt;&gt;",$K$2:$K861,"Yes",$L$2:$L861,"")-1)))</f>
        <v/>
      </c>
      <c r="N861" s="22"/>
    </row>
    <row r="862" spans="1:14" x14ac:dyDescent="0.3">
      <c r="A862" s="15" t="str">
        <f>IF(COUNTA($B862:$E862,$K862)=0,"",IF(AND($B862&lt;&gt;"",$C862&lt;&gt;"",$D862&lt;&gt;"",$E862&lt;&gt;""),"TXS"&amp;TEXT(COUNTIFS($B$2:$B862,"&lt;&gt;",$C$2:$C862,"&lt;&gt;",$D$2:$D862,"&lt;&gt;",$E$2:$E862,"&lt;&gt;"),"00000"),""))</f>
        <v/>
      </c>
      <c r="B862" s="16"/>
      <c r="C862" s="20"/>
      <c r="D862" s="20"/>
      <c r="E862" s="23"/>
      <c r="H862" s="19" t="str">
        <f t="shared" si="45"/>
        <v/>
      </c>
      <c r="I862" s="19" t="str">
        <f t="shared" si="44"/>
        <v/>
      </c>
      <c r="J862" s="19" t="str">
        <f t="shared" si="46"/>
        <v/>
      </c>
      <c r="K862" s="20"/>
      <c r="L862" s="21" t="str">
        <f>IF(OR(NOT(AND($B862&lt;&gt;"",$C862&lt;&gt;"",$D862&lt;&gt;"",$E862&lt;&gt;"")),$A862="",$K862&lt;&gt;"Yes"),"",IF($L862&lt;&gt;"",$L862,INDEX(SETUP!$I$1:$I$2000,MATCH(TRUE,SETUP!$J$1:$J$2000,0)+COUNTIFS($A$2:$A862,"&lt;&gt;",$K$2:$K862,"Yes",$L$2:$L862,"")-1)))</f>
        <v/>
      </c>
      <c r="N862" s="22"/>
    </row>
    <row r="863" spans="1:14" x14ac:dyDescent="0.3">
      <c r="A863" s="15" t="str">
        <f>IF(COUNTA($B863:$E863,$K863)=0,"",IF(AND($B863&lt;&gt;"",$C863&lt;&gt;"",$D863&lt;&gt;"",$E863&lt;&gt;""),"TXS"&amp;TEXT(COUNTIFS($B$2:$B863,"&lt;&gt;",$C$2:$C863,"&lt;&gt;",$D$2:$D863,"&lt;&gt;",$E$2:$E863,"&lt;&gt;"),"00000"),""))</f>
        <v/>
      </c>
      <c r="B863" s="16"/>
      <c r="C863" s="20"/>
      <c r="D863" s="20"/>
      <c r="E863" s="23"/>
      <c r="H863" s="19" t="str">
        <f t="shared" si="45"/>
        <v/>
      </c>
      <c r="I863" s="19" t="str">
        <f t="shared" si="44"/>
        <v/>
      </c>
      <c r="J863" s="19" t="str">
        <f t="shared" si="46"/>
        <v/>
      </c>
      <c r="K863" s="20"/>
      <c r="L863" s="21" t="str">
        <f>IF(OR(NOT(AND($B863&lt;&gt;"",$C863&lt;&gt;"",$D863&lt;&gt;"",$E863&lt;&gt;"")),$A863="",$K863&lt;&gt;"Yes"),"",IF($L863&lt;&gt;"",$L863,INDEX(SETUP!$I$1:$I$2000,MATCH(TRUE,SETUP!$J$1:$J$2000,0)+COUNTIFS($A$2:$A863,"&lt;&gt;",$K$2:$K863,"Yes",$L$2:$L863,"")-1)))</f>
        <v/>
      </c>
      <c r="N863" s="22"/>
    </row>
    <row r="864" spans="1:14" x14ac:dyDescent="0.3">
      <c r="A864" s="15" t="str">
        <f>IF(COUNTA($B864:$E864,$K864)=0,"",IF(AND($B864&lt;&gt;"",$C864&lt;&gt;"",$D864&lt;&gt;"",$E864&lt;&gt;""),"TXS"&amp;TEXT(COUNTIFS($B$2:$B864,"&lt;&gt;",$C$2:$C864,"&lt;&gt;",$D$2:$D864,"&lt;&gt;",$E$2:$E864,"&lt;&gt;"),"00000"),""))</f>
        <v/>
      </c>
      <c r="B864" s="16"/>
      <c r="C864" s="20"/>
      <c r="D864" s="20"/>
      <c r="E864" s="23"/>
      <c r="H864" s="19" t="str">
        <f t="shared" si="45"/>
        <v/>
      </c>
      <c r="I864" s="19" t="str">
        <f t="shared" si="44"/>
        <v/>
      </c>
      <c r="J864" s="19" t="str">
        <f t="shared" si="46"/>
        <v/>
      </c>
      <c r="K864" s="20"/>
      <c r="L864" s="21" t="str">
        <f>IF(OR(NOT(AND($B864&lt;&gt;"",$C864&lt;&gt;"",$D864&lt;&gt;"",$E864&lt;&gt;"")),$A864="",$K864&lt;&gt;"Yes"),"",IF($L864&lt;&gt;"",$L864,INDEX(SETUP!$I$1:$I$2000,MATCH(TRUE,SETUP!$J$1:$J$2000,0)+COUNTIFS($A$2:$A864,"&lt;&gt;",$K$2:$K864,"Yes",$L$2:$L864,"")-1)))</f>
        <v/>
      </c>
      <c r="N864" s="22"/>
    </row>
    <row r="865" spans="1:14" x14ac:dyDescent="0.3">
      <c r="A865" s="15" t="str">
        <f>IF(COUNTA($B865:$E865,$K865)=0,"",IF(AND($B865&lt;&gt;"",$C865&lt;&gt;"",$D865&lt;&gt;"",$E865&lt;&gt;""),"TXS"&amp;TEXT(COUNTIFS($B$2:$B865,"&lt;&gt;",$C$2:$C865,"&lt;&gt;",$D$2:$D865,"&lt;&gt;",$E$2:$E865,"&lt;&gt;"),"00000"),""))</f>
        <v/>
      </c>
      <c r="B865" s="16"/>
      <c r="C865" s="20"/>
      <c r="D865" s="20"/>
      <c r="E865" s="23"/>
      <c r="H865" s="19" t="str">
        <f t="shared" si="45"/>
        <v/>
      </c>
      <c r="I865" s="19" t="str">
        <f t="shared" si="44"/>
        <v/>
      </c>
      <c r="J865" s="19" t="str">
        <f t="shared" si="46"/>
        <v/>
      </c>
      <c r="K865" s="20"/>
      <c r="L865" s="21" t="str">
        <f>IF(OR(NOT(AND($B865&lt;&gt;"",$C865&lt;&gt;"",$D865&lt;&gt;"",$E865&lt;&gt;"")),$A865="",$K865&lt;&gt;"Yes"),"",IF($L865&lt;&gt;"",$L865,INDEX(SETUP!$I$1:$I$2000,MATCH(TRUE,SETUP!$J$1:$J$2000,0)+COUNTIFS($A$2:$A865,"&lt;&gt;",$K$2:$K865,"Yes",$L$2:$L865,"")-1)))</f>
        <v/>
      </c>
      <c r="N865" s="22"/>
    </row>
    <row r="866" spans="1:14" x14ac:dyDescent="0.3">
      <c r="A866" s="15" t="str">
        <f>IF(COUNTA($B866:$E866,$K866)=0,"",IF(AND($B866&lt;&gt;"",$C866&lt;&gt;"",$D866&lt;&gt;"",$E866&lt;&gt;""),"TXS"&amp;TEXT(COUNTIFS($B$2:$B866,"&lt;&gt;",$C$2:$C866,"&lt;&gt;",$D$2:$D866,"&lt;&gt;",$E$2:$E866,"&lt;&gt;"),"00000"),""))</f>
        <v/>
      </c>
      <c r="B866" s="16"/>
      <c r="C866" s="20"/>
      <c r="D866" s="20"/>
      <c r="E866" s="23"/>
      <c r="H866" s="19" t="str">
        <f t="shared" si="45"/>
        <v/>
      </c>
      <c r="I866" s="19" t="str">
        <f t="shared" si="44"/>
        <v/>
      </c>
      <c r="J866" s="19" t="str">
        <f t="shared" si="46"/>
        <v/>
      </c>
      <c r="K866" s="20"/>
      <c r="L866" s="21" t="str">
        <f>IF(OR(NOT(AND($B866&lt;&gt;"",$C866&lt;&gt;"",$D866&lt;&gt;"",$E866&lt;&gt;"")),$A866="",$K866&lt;&gt;"Yes"),"",IF($L866&lt;&gt;"",$L866,INDEX(SETUP!$I$1:$I$2000,MATCH(TRUE,SETUP!$J$1:$J$2000,0)+COUNTIFS($A$2:$A866,"&lt;&gt;",$K$2:$K866,"Yes",$L$2:$L866,"")-1)))</f>
        <v/>
      </c>
      <c r="N866" s="22"/>
    </row>
    <row r="867" spans="1:14" x14ac:dyDescent="0.3">
      <c r="A867" s="15" t="str">
        <f>IF(COUNTA($B867:$E867,$K867)=0,"",IF(AND($B867&lt;&gt;"",$C867&lt;&gt;"",$D867&lt;&gt;"",$E867&lt;&gt;""),"TXS"&amp;TEXT(COUNTIFS($B$2:$B867,"&lt;&gt;",$C$2:$C867,"&lt;&gt;",$D$2:$D867,"&lt;&gt;",$E$2:$E867,"&lt;&gt;"),"00000"),""))</f>
        <v/>
      </c>
      <c r="B867" s="16"/>
      <c r="C867" s="20"/>
      <c r="D867" s="20"/>
      <c r="E867" s="23"/>
      <c r="H867" s="19" t="str">
        <f t="shared" si="45"/>
        <v/>
      </c>
      <c r="I867" s="19" t="str">
        <f t="shared" si="44"/>
        <v/>
      </c>
      <c r="J867" s="19" t="str">
        <f t="shared" si="46"/>
        <v/>
      </c>
      <c r="K867" s="20"/>
      <c r="L867" s="21" t="str">
        <f>IF(OR(NOT(AND($B867&lt;&gt;"",$C867&lt;&gt;"",$D867&lt;&gt;"",$E867&lt;&gt;"")),$A867="",$K867&lt;&gt;"Yes"),"",IF($L867&lt;&gt;"",$L867,INDEX(SETUP!$I$1:$I$2000,MATCH(TRUE,SETUP!$J$1:$J$2000,0)+COUNTIFS($A$2:$A867,"&lt;&gt;",$K$2:$K867,"Yes",$L$2:$L867,"")-1)))</f>
        <v/>
      </c>
      <c r="N867" s="22"/>
    </row>
    <row r="868" spans="1:14" x14ac:dyDescent="0.3">
      <c r="A868" s="15" t="str">
        <f>IF(COUNTA($B868:$E868,$K868)=0,"",IF(AND($B868&lt;&gt;"",$C868&lt;&gt;"",$D868&lt;&gt;"",$E868&lt;&gt;""),"TXS"&amp;TEXT(COUNTIFS($B$2:$B868,"&lt;&gt;",$C$2:$C868,"&lt;&gt;",$D$2:$D868,"&lt;&gt;",$E$2:$E868,"&lt;&gt;"),"00000"),""))</f>
        <v/>
      </c>
      <c r="B868" s="16"/>
      <c r="C868" s="20"/>
      <c r="D868" s="20"/>
      <c r="E868" s="23"/>
      <c r="H868" s="19" t="str">
        <f t="shared" si="45"/>
        <v/>
      </c>
      <c r="I868" s="19" t="str">
        <f t="shared" si="44"/>
        <v/>
      </c>
      <c r="J868" s="19" t="str">
        <f t="shared" si="46"/>
        <v/>
      </c>
      <c r="K868" s="20"/>
      <c r="L868" s="21" t="str">
        <f>IF(OR(NOT(AND($B868&lt;&gt;"",$C868&lt;&gt;"",$D868&lt;&gt;"",$E868&lt;&gt;"")),$A868="",$K868&lt;&gt;"Yes"),"",IF($L868&lt;&gt;"",$L868,INDEX(SETUP!$I$1:$I$2000,MATCH(TRUE,SETUP!$J$1:$J$2000,0)+COUNTIFS($A$2:$A868,"&lt;&gt;",$K$2:$K868,"Yes",$L$2:$L868,"")-1)))</f>
        <v/>
      </c>
      <c r="N868" s="22"/>
    </row>
    <row r="869" spans="1:14" x14ac:dyDescent="0.3">
      <c r="A869" s="15" t="str">
        <f>IF(COUNTA($B869:$E869,$K869)=0,"",IF(AND($B869&lt;&gt;"",$C869&lt;&gt;"",$D869&lt;&gt;"",$E869&lt;&gt;""),"TXS"&amp;TEXT(COUNTIFS($B$2:$B869,"&lt;&gt;",$C$2:$C869,"&lt;&gt;",$D$2:$D869,"&lt;&gt;",$E$2:$E869,"&lt;&gt;"),"00000"),""))</f>
        <v/>
      </c>
      <c r="B869" s="16"/>
      <c r="C869" s="20"/>
      <c r="D869" s="20"/>
      <c r="E869" s="23"/>
      <c r="H869" s="19" t="str">
        <f t="shared" si="45"/>
        <v/>
      </c>
      <c r="I869" s="19" t="str">
        <f t="shared" si="44"/>
        <v/>
      </c>
      <c r="J869" s="19" t="str">
        <f t="shared" si="46"/>
        <v/>
      </c>
      <c r="K869" s="20"/>
      <c r="L869" s="21" t="str">
        <f>IF(OR(NOT(AND($B869&lt;&gt;"",$C869&lt;&gt;"",$D869&lt;&gt;"",$E869&lt;&gt;"")),$A869="",$K869&lt;&gt;"Yes"),"",IF($L869&lt;&gt;"",$L869,INDEX(SETUP!$I$1:$I$2000,MATCH(TRUE,SETUP!$J$1:$J$2000,0)+COUNTIFS($A$2:$A869,"&lt;&gt;",$K$2:$K869,"Yes",$L$2:$L869,"")-1)))</f>
        <v/>
      </c>
      <c r="N869" s="22"/>
    </row>
    <row r="870" spans="1:14" x14ac:dyDescent="0.3">
      <c r="A870" s="15" t="str">
        <f>IF(COUNTA($B870:$E870,$K870)=0,"",IF(AND($B870&lt;&gt;"",$C870&lt;&gt;"",$D870&lt;&gt;"",$E870&lt;&gt;""),"TXS"&amp;TEXT(COUNTIFS($B$2:$B870,"&lt;&gt;",$C$2:$C870,"&lt;&gt;",$D$2:$D870,"&lt;&gt;",$E$2:$E870,"&lt;&gt;"),"00000"),""))</f>
        <v/>
      </c>
      <c r="B870" s="16"/>
      <c r="C870" s="20"/>
      <c r="D870" s="20"/>
      <c r="E870" s="23"/>
      <c r="H870" s="19" t="str">
        <f t="shared" si="45"/>
        <v/>
      </c>
      <c r="I870" s="19" t="str">
        <f t="shared" si="44"/>
        <v/>
      </c>
      <c r="J870" s="19" t="str">
        <f t="shared" si="46"/>
        <v/>
      </c>
      <c r="K870" s="20"/>
      <c r="L870" s="21" t="str">
        <f>IF(OR(NOT(AND($B870&lt;&gt;"",$C870&lt;&gt;"",$D870&lt;&gt;"",$E870&lt;&gt;"")),$A870="",$K870&lt;&gt;"Yes"),"",IF($L870&lt;&gt;"",$L870,INDEX(SETUP!$I$1:$I$2000,MATCH(TRUE,SETUP!$J$1:$J$2000,0)+COUNTIFS($A$2:$A870,"&lt;&gt;",$K$2:$K870,"Yes",$L$2:$L870,"")-1)))</f>
        <v/>
      </c>
      <c r="N870" s="22"/>
    </row>
    <row r="871" spans="1:14" x14ac:dyDescent="0.3">
      <c r="A871" s="15" t="str">
        <f>IF(COUNTA($B871:$E871,$K871)=0,"",IF(AND($B871&lt;&gt;"",$C871&lt;&gt;"",$D871&lt;&gt;"",$E871&lt;&gt;""),"TXS"&amp;TEXT(COUNTIFS($B$2:$B871,"&lt;&gt;",$C$2:$C871,"&lt;&gt;",$D$2:$D871,"&lt;&gt;",$E$2:$E871,"&lt;&gt;"),"00000"),""))</f>
        <v/>
      </c>
      <c r="B871" s="16"/>
      <c r="C871" s="20"/>
      <c r="D871" s="20"/>
      <c r="E871" s="23"/>
      <c r="H871" s="19" t="str">
        <f t="shared" si="45"/>
        <v/>
      </c>
      <c r="I871" s="19" t="str">
        <f t="shared" si="44"/>
        <v/>
      </c>
      <c r="J871" s="19" t="str">
        <f t="shared" si="46"/>
        <v/>
      </c>
      <c r="K871" s="20"/>
      <c r="L871" s="21" t="str">
        <f>IF(OR(NOT(AND($B871&lt;&gt;"",$C871&lt;&gt;"",$D871&lt;&gt;"",$E871&lt;&gt;"")),$A871="",$K871&lt;&gt;"Yes"),"",IF($L871&lt;&gt;"",$L871,INDEX(SETUP!$I$1:$I$2000,MATCH(TRUE,SETUP!$J$1:$J$2000,0)+COUNTIFS($A$2:$A871,"&lt;&gt;",$K$2:$K871,"Yes",$L$2:$L871,"")-1)))</f>
        <v/>
      </c>
      <c r="N871" s="22"/>
    </row>
    <row r="872" spans="1:14" x14ac:dyDescent="0.3">
      <c r="A872" s="15" t="str">
        <f>IF(COUNTA($B872:$E872,$K872)=0,"",IF(AND($B872&lt;&gt;"",$C872&lt;&gt;"",$D872&lt;&gt;"",$E872&lt;&gt;""),"TXS"&amp;TEXT(COUNTIFS($B$2:$B872,"&lt;&gt;",$C$2:$C872,"&lt;&gt;",$D$2:$D872,"&lt;&gt;",$E$2:$E872,"&lt;&gt;"),"00000"),""))</f>
        <v/>
      </c>
      <c r="B872" s="16"/>
      <c r="C872" s="20"/>
      <c r="D872" s="20"/>
      <c r="E872" s="23"/>
      <c r="H872" s="19" t="str">
        <f t="shared" si="45"/>
        <v/>
      </c>
      <c r="I872" s="19" t="str">
        <f t="shared" si="44"/>
        <v/>
      </c>
      <c r="J872" s="19" t="str">
        <f t="shared" si="46"/>
        <v/>
      </c>
      <c r="K872" s="20"/>
      <c r="L872" s="21" t="str">
        <f>IF(OR(NOT(AND($B872&lt;&gt;"",$C872&lt;&gt;"",$D872&lt;&gt;"",$E872&lt;&gt;"")),$A872="",$K872&lt;&gt;"Yes"),"",IF($L872&lt;&gt;"",$L872,INDEX(SETUP!$I$1:$I$2000,MATCH(TRUE,SETUP!$J$1:$J$2000,0)+COUNTIFS($A$2:$A872,"&lt;&gt;",$K$2:$K872,"Yes",$L$2:$L872,"")-1)))</f>
        <v/>
      </c>
      <c r="N872" s="22"/>
    </row>
    <row r="873" spans="1:14" x14ac:dyDescent="0.3">
      <c r="A873" s="15" t="str">
        <f>IF(COUNTA($B873:$E873,$K873)=0,"",IF(AND($B873&lt;&gt;"",$C873&lt;&gt;"",$D873&lt;&gt;"",$E873&lt;&gt;""),"TXS"&amp;TEXT(COUNTIFS($B$2:$B873,"&lt;&gt;",$C$2:$C873,"&lt;&gt;",$D$2:$D873,"&lt;&gt;",$E$2:$E873,"&lt;&gt;"),"00000"),""))</f>
        <v/>
      </c>
      <c r="B873" s="16"/>
      <c r="C873" s="20"/>
      <c r="D873" s="20"/>
      <c r="E873" s="23"/>
      <c r="H873" s="19" t="str">
        <f t="shared" si="45"/>
        <v/>
      </c>
      <c r="I873" s="19" t="str">
        <f t="shared" ref="I873:I936" si="47">IF(NOT(AND($B873&lt;&gt;"",$C873&lt;&gt;"",$D873&lt;&gt;"",$E873&lt;&gt;"")),"",IF($A873="","","NIH plate "&amp;INT((VALUE(RIGHT($A873,5))-1)/96)+1&amp;": "&amp;CHAR(65+INT(MOD(VALUE(RIGHT($A873,5))-1,96)/12))&amp;(MOD(VALUE(RIGHT($A873,5))-1,12)+1)))</f>
        <v/>
      </c>
      <c r="J873" s="19" t="str">
        <f t="shared" si="46"/>
        <v/>
      </c>
      <c r="K873" s="20"/>
      <c r="L873" s="21" t="str">
        <f>IF(OR(NOT(AND($B873&lt;&gt;"",$C873&lt;&gt;"",$D873&lt;&gt;"",$E873&lt;&gt;"")),$A873="",$K873&lt;&gt;"Yes"),"",IF($L873&lt;&gt;"",$L873,INDEX(SETUP!$I$1:$I$2000,MATCH(TRUE,SETUP!$J$1:$J$2000,0)+COUNTIFS($A$2:$A873,"&lt;&gt;",$K$2:$K873,"Yes",$L$2:$L873,"")-1)))</f>
        <v/>
      </c>
      <c r="N873" s="22"/>
    </row>
    <row r="874" spans="1:14" x14ac:dyDescent="0.3">
      <c r="A874" s="15" t="str">
        <f>IF(COUNTA($B874:$E874,$K874)=0,"",IF(AND($B874&lt;&gt;"",$C874&lt;&gt;"",$D874&lt;&gt;"",$E874&lt;&gt;""),"TXS"&amp;TEXT(COUNTIFS($B$2:$B874,"&lt;&gt;",$C$2:$C874,"&lt;&gt;",$D$2:$D874,"&lt;&gt;",$E$2:$E874,"&lt;&gt;"),"00000"),""))</f>
        <v/>
      </c>
      <c r="B874" s="16"/>
      <c r="C874" s="20"/>
      <c r="D874" s="20"/>
      <c r="E874" s="23"/>
      <c r="H874" s="19" t="str">
        <f t="shared" si="45"/>
        <v/>
      </c>
      <c r="I874" s="19" t="str">
        <f t="shared" si="47"/>
        <v/>
      </c>
      <c r="J874" s="19" t="str">
        <f t="shared" si="46"/>
        <v/>
      </c>
      <c r="K874" s="20"/>
      <c r="L874" s="21" t="str">
        <f>IF(OR(NOT(AND($B874&lt;&gt;"",$C874&lt;&gt;"",$D874&lt;&gt;"",$E874&lt;&gt;"")),$A874="",$K874&lt;&gt;"Yes"),"",IF($L874&lt;&gt;"",$L874,INDEX(SETUP!$I$1:$I$2000,MATCH(TRUE,SETUP!$J$1:$J$2000,0)+COUNTIFS($A$2:$A874,"&lt;&gt;",$K$2:$K874,"Yes",$L$2:$L874,"")-1)))</f>
        <v/>
      </c>
      <c r="N874" s="22"/>
    </row>
    <row r="875" spans="1:14" x14ac:dyDescent="0.3">
      <c r="A875" s="15" t="str">
        <f>IF(COUNTA($B875:$E875,$K875)=0,"",IF(AND($B875&lt;&gt;"",$C875&lt;&gt;"",$D875&lt;&gt;"",$E875&lt;&gt;""),"TXS"&amp;TEXT(COUNTIFS($B$2:$B875,"&lt;&gt;",$C$2:$C875,"&lt;&gt;",$D$2:$D875,"&lt;&gt;",$E$2:$E875,"&lt;&gt;"),"00000"),""))</f>
        <v/>
      </c>
      <c r="B875" s="16"/>
      <c r="C875" s="20"/>
      <c r="D875" s="20"/>
      <c r="E875" s="23"/>
      <c r="H875" s="19" t="str">
        <f t="shared" si="45"/>
        <v/>
      </c>
      <c r="I875" s="19" t="str">
        <f t="shared" si="47"/>
        <v/>
      </c>
      <c r="J875" s="19" t="str">
        <f t="shared" si="46"/>
        <v/>
      </c>
      <c r="K875" s="20"/>
      <c r="L875" s="21" t="str">
        <f>IF(OR(NOT(AND($B875&lt;&gt;"",$C875&lt;&gt;"",$D875&lt;&gt;"",$E875&lt;&gt;"")),$A875="",$K875&lt;&gt;"Yes"),"",IF($L875&lt;&gt;"",$L875,INDEX(SETUP!$I$1:$I$2000,MATCH(TRUE,SETUP!$J$1:$J$2000,0)+COUNTIFS($A$2:$A875,"&lt;&gt;",$K$2:$K875,"Yes",$L$2:$L875,"")-1)))</f>
        <v/>
      </c>
      <c r="N875" s="22"/>
    </row>
    <row r="876" spans="1:14" x14ac:dyDescent="0.3">
      <c r="A876" s="15" t="str">
        <f>IF(COUNTA($B876:$E876,$K876)=0,"",IF(AND($B876&lt;&gt;"",$C876&lt;&gt;"",$D876&lt;&gt;"",$E876&lt;&gt;""),"TXS"&amp;TEXT(COUNTIFS($B$2:$B876,"&lt;&gt;",$C$2:$C876,"&lt;&gt;",$D$2:$D876,"&lt;&gt;",$E$2:$E876,"&lt;&gt;"),"00000"),""))</f>
        <v/>
      </c>
      <c r="B876" s="16"/>
      <c r="C876" s="20"/>
      <c r="D876" s="20"/>
      <c r="E876" s="23"/>
      <c r="H876" s="19" t="str">
        <f t="shared" si="45"/>
        <v/>
      </c>
      <c r="I876" s="19" t="str">
        <f t="shared" si="47"/>
        <v/>
      </c>
      <c r="J876" s="19" t="str">
        <f t="shared" si="46"/>
        <v/>
      </c>
      <c r="K876" s="20"/>
      <c r="L876" s="21" t="str">
        <f>IF(OR(NOT(AND($B876&lt;&gt;"",$C876&lt;&gt;"",$D876&lt;&gt;"",$E876&lt;&gt;"")),$A876="",$K876&lt;&gt;"Yes"),"",IF($L876&lt;&gt;"",$L876,INDEX(SETUP!$I$1:$I$2000,MATCH(TRUE,SETUP!$J$1:$J$2000,0)+COUNTIFS($A$2:$A876,"&lt;&gt;",$K$2:$K876,"Yes",$L$2:$L876,"")-1)))</f>
        <v/>
      </c>
      <c r="N876" s="22"/>
    </row>
    <row r="877" spans="1:14" x14ac:dyDescent="0.3">
      <c r="A877" s="15" t="str">
        <f>IF(COUNTA($B877:$E877,$K877)=0,"",IF(AND($B877&lt;&gt;"",$C877&lt;&gt;"",$D877&lt;&gt;"",$E877&lt;&gt;""),"TXS"&amp;TEXT(COUNTIFS($B$2:$B877,"&lt;&gt;",$C$2:$C877,"&lt;&gt;",$D$2:$D877,"&lt;&gt;",$E$2:$E877,"&lt;&gt;"),"00000"),""))</f>
        <v/>
      </c>
      <c r="B877" s="16"/>
      <c r="C877" s="20"/>
      <c r="D877" s="20"/>
      <c r="E877" s="23"/>
      <c r="H877" s="19" t="str">
        <f t="shared" si="45"/>
        <v/>
      </c>
      <c r="I877" s="19" t="str">
        <f t="shared" si="47"/>
        <v/>
      </c>
      <c r="J877" s="19" t="str">
        <f t="shared" si="46"/>
        <v/>
      </c>
      <c r="K877" s="20"/>
      <c r="L877" s="21" t="str">
        <f>IF(OR(NOT(AND($B877&lt;&gt;"",$C877&lt;&gt;"",$D877&lt;&gt;"",$E877&lt;&gt;"")),$A877="",$K877&lt;&gt;"Yes"),"",IF($L877&lt;&gt;"",$L877,INDEX(SETUP!$I$1:$I$2000,MATCH(TRUE,SETUP!$J$1:$J$2000,0)+COUNTIFS($A$2:$A877,"&lt;&gt;",$K$2:$K877,"Yes",$L$2:$L877,"")-1)))</f>
        <v/>
      </c>
      <c r="N877" s="22"/>
    </row>
    <row r="878" spans="1:14" x14ac:dyDescent="0.3">
      <c r="A878" s="15" t="str">
        <f>IF(COUNTA($B878:$E878,$K878)=0,"",IF(AND($B878&lt;&gt;"",$C878&lt;&gt;"",$D878&lt;&gt;"",$E878&lt;&gt;""),"TXS"&amp;TEXT(COUNTIFS($B$2:$B878,"&lt;&gt;",$C$2:$C878,"&lt;&gt;",$D$2:$D878,"&lt;&gt;",$E$2:$E878,"&lt;&gt;"),"00000"),""))</f>
        <v/>
      </c>
      <c r="B878" s="16"/>
      <c r="C878" s="20"/>
      <c r="D878" s="20"/>
      <c r="E878" s="23"/>
      <c r="H878" s="19" t="str">
        <f t="shared" si="45"/>
        <v/>
      </c>
      <c r="I878" s="19" t="str">
        <f t="shared" si="47"/>
        <v/>
      </c>
      <c r="J878" s="19" t="str">
        <f t="shared" si="46"/>
        <v/>
      </c>
      <c r="K878" s="20"/>
      <c r="L878" s="21" t="str">
        <f>IF(OR(NOT(AND($B878&lt;&gt;"",$C878&lt;&gt;"",$D878&lt;&gt;"",$E878&lt;&gt;"")),$A878="",$K878&lt;&gt;"Yes"),"",IF($L878&lt;&gt;"",$L878,INDEX(SETUP!$I$1:$I$2000,MATCH(TRUE,SETUP!$J$1:$J$2000,0)+COUNTIFS($A$2:$A878,"&lt;&gt;",$K$2:$K878,"Yes",$L$2:$L878,"")-1)))</f>
        <v/>
      </c>
      <c r="N878" s="22"/>
    </row>
    <row r="879" spans="1:14" x14ac:dyDescent="0.3">
      <c r="A879" s="15" t="str">
        <f>IF(COUNTA($B879:$E879,$K879)=0,"",IF(AND($B879&lt;&gt;"",$C879&lt;&gt;"",$D879&lt;&gt;"",$E879&lt;&gt;""),"TXS"&amp;TEXT(COUNTIFS($B$2:$B879,"&lt;&gt;",$C$2:$C879,"&lt;&gt;",$D$2:$D879,"&lt;&gt;",$E$2:$E879,"&lt;&gt;"),"00000"),""))</f>
        <v/>
      </c>
      <c r="B879" s="16"/>
      <c r="C879" s="20"/>
      <c r="D879" s="20"/>
      <c r="E879" s="23"/>
      <c r="H879" s="19" t="str">
        <f t="shared" ref="H879:H942" si="48">IF(NOT(AND($B879&lt;&gt;"",$C879&lt;&gt;"",$D879&lt;&gt;"",$E879&lt;&gt;"")),"",IF($A879="","","CDI plate "&amp;INT((VALUE(RIGHT($A879,5))-1)/96)+1&amp;": "&amp;CHAR(65+INT(MOD(VALUE(RIGHT($A879,5))-1,96)/12))&amp;(MOD(VALUE(RIGHT($A879,5))-1,12)+1)))</f>
        <v/>
      </c>
      <c r="I879" s="19" t="str">
        <f t="shared" si="47"/>
        <v/>
      </c>
      <c r="J879" s="19" t="str">
        <f t="shared" si="46"/>
        <v/>
      </c>
      <c r="K879" s="20"/>
      <c r="L879" s="21" t="str">
        <f>IF(OR(NOT(AND($B879&lt;&gt;"",$C879&lt;&gt;"",$D879&lt;&gt;"",$E879&lt;&gt;"")),$A879="",$K879&lt;&gt;"Yes"),"",IF($L879&lt;&gt;"",$L879,INDEX(SETUP!$I$1:$I$2000,MATCH(TRUE,SETUP!$J$1:$J$2000,0)+COUNTIFS($A$2:$A879,"&lt;&gt;",$K$2:$K879,"Yes",$L$2:$L879,"")-1)))</f>
        <v/>
      </c>
      <c r="N879" s="22"/>
    </row>
    <row r="880" spans="1:14" x14ac:dyDescent="0.3">
      <c r="A880" s="15" t="str">
        <f>IF(COUNTA($B880:$E880,$K880)=0,"",IF(AND($B880&lt;&gt;"",$C880&lt;&gt;"",$D880&lt;&gt;"",$E880&lt;&gt;""),"TXS"&amp;TEXT(COUNTIFS($B$2:$B880,"&lt;&gt;",$C$2:$C880,"&lt;&gt;",$D$2:$D880,"&lt;&gt;",$E$2:$E880,"&lt;&gt;"),"00000"),""))</f>
        <v/>
      </c>
      <c r="B880" s="16"/>
      <c r="C880" s="20"/>
      <c r="D880" s="20"/>
      <c r="E880" s="23"/>
      <c r="H880" s="19" t="str">
        <f t="shared" si="48"/>
        <v/>
      </c>
      <c r="I880" s="19" t="str">
        <f t="shared" si="47"/>
        <v/>
      </c>
      <c r="J880" s="19" t="str">
        <f t="shared" si="46"/>
        <v/>
      </c>
      <c r="K880" s="20"/>
      <c r="L880" s="21" t="str">
        <f>IF(OR(NOT(AND($B880&lt;&gt;"",$C880&lt;&gt;"",$D880&lt;&gt;"",$E880&lt;&gt;"")),$A880="",$K880&lt;&gt;"Yes"),"",IF($L880&lt;&gt;"",$L880,INDEX(SETUP!$I$1:$I$2000,MATCH(TRUE,SETUP!$J$1:$J$2000,0)+COUNTIFS($A$2:$A880,"&lt;&gt;",$K$2:$K880,"Yes",$L$2:$L880,"")-1)))</f>
        <v/>
      </c>
      <c r="N880" s="22"/>
    </row>
    <row r="881" spans="1:14" x14ac:dyDescent="0.3">
      <c r="A881" s="15" t="str">
        <f>IF(COUNTA($B881:$E881,$K881)=0,"",IF(AND($B881&lt;&gt;"",$C881&lt;&gt;"",$D881&lt;&gt;"",$E881&lt;&gt;""),"TXS"&amp;TEXT(COUNTIFS($B$2:$B881,"&lt;&gt;",$C$2:$C881,"&lt;&gt;",$D$2:$D881,"&lt;&gt;",$E$2:$E881,"&lt;&gt;"),"00000"),""))</f>
        <v/>
      </c>
      <c r="B881" s="16"/>
      <c r="C881" s="20"/>
      <c r="D881" s="20"/>
      <c r="E881" s="23"/>
      <c r="H881" s="19" t="str">
        <f t="shared" si="48"/>
        <v/>
      </c>
      <c r="I881" s="19" t="str">
        <f t="shared" si="47"/>
        <v/>
      </c>
      <c r="J881" s="19" t="str">
        <f t="shared" si="46"/>
        <v/>
      </c>
      <c r="K881" s="20"/>
      <c r="L881" s="21" t="str">
        <f>IF(OR(NOT(AND($B881&lt;&gt;"",$C881&lt;&gt;"",$D881&lt;&gt;"",$E881&lt;&gt;"")),$A881="",$K881&lt;&gt;"Yes"),"",IF($L881&lt;&gt;"",$L881,INDEX(SETUP!$I$1:$I$2000,MATCH(TRUE,SETUP!$J$1:$J$2000,0)+COUNTIFS($A$2:$A881,"&lt;&gt;",$K$2:$K881,"Yes",$L$2:$L881,"")-1)))</f>
        <v/>
      </c>
      <c r="N881" s="22"/>
    </row>
    <row r="882" spans="1:14" x14ac:dyDescent="0.3">
      <c r="A882" s="15" t="str">
        <f>IF(COUNTA($B882:$E882,$K882)=0,"",IF(AND($B882&lt;&gt;"",$C882&lt;&gt;"",$D882&lt;&gt;"",$E882&lt;&gt;""),"TXS"&amp;TEXT(COUNTIFS($B$2:$B882,"&lt;&gt;",$C$2:$C882,"&lt;&gt;",$D$2:$D882,"&lt;&gt;",$E$2:$E882,"&lt;&gt;"),"00000"),""))</f>
        <v/>
      </c>
      <c r="B882" s="16"/>
      <c r="C882" s="20"/>
      <c r="D882" s="20"/>
      <c r="E882" s="23"/>
      <c r="H882" s="19" t="str">
        <f t="shared" si="48"/>
        <v/>
      </c>
      <c r="I882" s="19" t="str">
        <f t="shared" si="47"/>
        <v/>
      </c>
      <c r="J882" s="19" t="str">
        <f t="shared" ref="J882:J945" si="49">IF(NOT(AND($B882&lt;&gt;"",$C882&lt;&gt;"",$D882&lt;&gt;"",$E882&lt;&gt;"")),"",IF($A882="","","Max Planck plate "&amp;INT((VALUE(RIGHT($A882,5))-1)/96)+1&amp;": "&amp;CHAR(65+INT(MOD(VALUE(RIGHT($A882,5))-1,96)/12))&amp;(MOD(VALUE(RIGHT($A882,5))-1,12)+1)))</f>
        <v/>
      </c>
      <c r="K882" s="20"/>
      <c r="L882" s="21" t="str">
        <f>IF(OR(NOT(AND($B882&lt;&gt;"",$C882&lt;&gt;"",$D882&lt;&gt;"",$E882&lt;&gt;"")),$A882="",$K882&lt;&gt;"Yes"),"",IF($L882&lt;&gt;"",$L882,INDEX(SETUP!$I$1:$I$2000,MATCH(TRUE,SETUP!$J$1:$J$2000,0)+COUNTIFS($A$2:$A882,"&lt;&gt;",$K$2:$K882,"Yes",$L$2:$L882,"")-1)))</f>
        <v/>
      </c>
      <c r="N882" s="22"/>
    </row>
    <row r="883" spans="1:14" x14ac:dyDescent="0.3">
      <c r="A883" s="15" t="str">
        <f>IF(COUNTA($B883:$E883,$K883)=0,"",IF(AND($B883&lt;&gt;"",$C883&lt;&gt;"",$D883&lt;&gt;"",$E883&lt;&gt;""),"TXS"&amp;TEXT(COUNTIFS($B$2:$B883,"&lt;&gt;",$C$2:$C883,"&lt;&gt;",$D$2:$D883,"&lt;&gt;",$E$2:$E883,"&lt;&gt;"),"00000"),""))</f>
        <v/>
      </c>
      <c r="B883" s="16"/>
      <c r="C883" s="20"/>
      <c r="D883" s="20"/>
      <c r="E883" s="23"/>
      <c r="H883" s="19" t="str">
        <f t="shared" si="48"/>
        <v/>
      </c>
      <c r="I883" s="19" t="str">
        <f t="shared" si="47"/>
        <v/>
      </c>
      <c r="J883" s="19" t="str">
        <f t="shared" si="49"/>
        <v/>
      </c>
      <c r="K883" s="20"/>
      <c r="L883" s="21" t="str">
        <f>IF(OR(NOT(AND($B883&lt;&gt;"",$C883&lt;&gt;"",$D883&lt;&gt;"",$E883&lt;&gt;"")),$A883="",$K883&lt;&gt;"Yes"),"",IF($L883&lt;&gt;"",$L883,INDEX(SETUP!$I$1:$I$2000,MATCH(TRUE,SETUP!$J$1:$J$2000,0)+COUNTIFS($A$2:$A883,"&lt;&gt;",$K$2:$K883,"Yes",$L$2:$L883,"")-1)))</f>
        <v/>
      </c>
      <c r="N883" s="22"/>
    </row>
    <row r="884" spans="1:14" x14ac:dyDescent="0.3">
      <c r="A884" s="15" t="str">
        <f>IF(COUNTA($B884:$E884,$K884)=0,"",IF(AND($B884&lt;&gt;"",$C884&lt;&gt;"",$D884&lt;&gt;"",$E884&lt;&gt;""),"TXS"&amp;TEXT(COUNTIFS($B$2:$B884,"&lt;&gt;",$C$2:$C884,"&lt;&gt;",$D$2:$D884,"&lt;&gt;",$E$2:$E884,"&lt;&gt;"),"00000"),""))</f>
        <v/>
      </c>
      <c r="B884" s="16"/>
      <c r="C884" s="20"/>
      <c r="D884" s="20"/>
      <c r="E884" s="23"/>
      <c r="H884" s="19" t="str">
        <f t="shared" si="48"/>
        <v/>
      </c>
      <c r="I884" s="19" t="str">
        <f t="shared" si="47"/>
        <v/>
      </c>
      <c r="J884" s="19" t="str">
        <f t="shared" si="49"/>
        <v/>
      </c>
      <c r="K884" s="20"/>
      <c r="L884" s="21" t="str">
        <f>IF(OR(NOT(AND($B884&lt;&gt;"",$C884&lt;&gt;"",$D884&lt;&gt;"",$E884&lt;&gt;"")),$A884="",$K884&lt;&gt;"Yes"),"",IF($L884&lt;&gt;"",$L884,INDEX(SETUP!$I$1:$I$2000,MATCH(TRUE,SETUP!$J$1:$J$2000,0)+COUNTIFS($A$2:$A884,"&lt;&gt;",$K$2:$K884,"Yes",$L$2:$L884,"")-1)))</f>
        <v/>
      </c>
      <c r="N884" s="22"/>
    </row>
    <row r="885" spans="1:14" x14ac:dyDescent="0.3">
      <c r="A885" s="15" t="str">
        <f>IF(COUNTA($B885:$E885,$K885)=0,"",IF(AND($B885&lt;&gt;"",$C885&lt;&gt;"",$D885&lt;&gt;"",$E885&lt;&gt;""),"TXS"&amp;TEXT(COUNTIFS($B$2:$B885,"&lt;&gt;",$C$2:$C885,"&lt;&gt;",$D$2:$D885,"&lt;&gt;",$E$2:$E885,"&lt;&gt;"),"00000"),""))</f>
        <v/>
      </c>
      <c r="B885" s="16"/>
      <c r="C885" s="20"/>
      <c r="D885" s="20"/>
      <c r="E885" s="23"/>
      <c r="H885" s="19" t="str">
        <f t="shared" si="48"/>
        <v/>
      </c>
      <c r="I885" s="19" t="str">
        <f t="shared" si="47"/>
        <v/>
      </c>
      <c r="J885" s="19" t="str">
        <f t="shared" si="49"/>
        <v/>
      </c>
      <c r="K885" s="20"/>
      <c r="L885" s="21" t="str">
        <f>IF(OR(NOT(AND($B885&lt;&gt;"",$C885&lt;&gt;"",$D885&lt;&gt;"",$E885&lt;&gt;"")),$A885="",$K885&lt;&gt;"Yes"),"",IF($L885&lt;&gt;"",$L885,INDEX(SETUP!$I$1:$I$2000,MATCH(TRUE,SETUP!$J$1:$J$2000,0)+COUNTIFS($A$2:$A885,"&lt;&gt;",$K$2:$K885,"Yes",$L$2:$L885,"")-1)))</f>
        <v/>
      </c>
      <c r="N885" s="22"/>
    </row>
    <row r="886" spans="1:14" x14ac:dyDescent="0.3">
      <c r="A886" s="15" t="str">
        <f>IF(COUNTA($B886:$E886,$K886)=0,"",IF(AND($B886&lt;&gt;"",$C886&lt;&gt;"",$D886&lt;&gt;"",$E886&lt;&gt;""),"TXS"&amp;TEXT(COUNTIFS($B$2:$B886,"&lt;&gt;",$C$2:$C886,"&lt;&gt;",$D$2:$D886,"&lt;&gt;",$E$2:$E886,"&lt;&gt;"),"00000"),""))</f>
        <v/>
      </c>
      <c r="B886" s="16"/>
      <c r="C886" s="20"/>
      <c r="D886" s="20"/>
      <c r="E886" s="23"/>
      <c r="H886" s="19" t="str">
        <f t="shared" si="48"/>
        <v/>
      </c>
      <c r="I886" s="19" t="str">
        <f t="shared" si="47"/>
        <v/>
      </c>
      <c r="J886" s="19" t="str">
        <f t="shared" si="49"/>
        <v/>
      </c>
      <c r="K886" s="20"/>
      <c r="L886" s="21" t="str">
        <f>IF(OR(NOT(AND($B886&lt;&gt;"",$C886&lt;&gt;"",$D886&lt;&gt;"",$E886&lt;&gt;"")),$A886="",$K886&lt;&gt;"Yes"),"",IF($L886&lt;&gt;"",$L886,INDEX(SETUP!$I$1:$I$2000,MATCH(TRUE,SETUP!$J$1:$J$2000,0)+COUNTIFS($A$2:$A886,"&lt;&gt;",$K$2:$K886,"Yes",$L$2:$L886,"")-1)))</f>
        <v/>
      </c>
      <c r="N886" s="22"/>
    </row>
    <row r="887" spans="1:14" x14ac:dyDescent="0.3">
      <c r="A887" s="15" t="str">
        <f>IF(COUNTA($B887:$E887,$K887)=0,"",IF(AND($B887&lt;&gt;"",$C887&lt;&gt;"",$D887&lt;&gt;"",$E887&lt;&gt;""),"TXS"&amp;TEXT(COUNTIFS($B$2:$B887,"&lt;&gt;",$C$2:$C887,"&lt;&gt;",$D$2:$D887,"&lt;&gt;",$E$2:$E887,"&lt;&gt;"),"00000"),""))</f>
        <v/>
      </c>
      <c r="B887" s="16"/>
      <c r="C887" s="20"/>
      <c r="D887" s="20"/>
      <c r="E887" s="23"/>
      <c r="H887" s="19" t="str">
        <f t="shared" si="48"/>
        <v/>
      </c>
      <c r="I887" s="19" t="str">
        <f t="shared" si="47"/>
        <v/>
      </c>
      <c r="J887" s="19" t="str">
        <f t="shared" si="49"/>
        <v/>
      </c>
      <c r="K887" s="20"/>
      <c r="L887" s="21" t="str">
        <f>IF(OR(NOT(AND($B887&lt;&gt;"",$C887&lt;&gt;"",$D887&lt;&gt;"",$E887&lt;&gt;"")),$A887="",$K887&lt;&gt;"Yes"),"",IF($L887&lt;&gt;"",$L887,INDEX(SETUP!$I$1:$I$2000,MATCH(TRUE,SETUP!$J$1:$J$2000,0)+COUNTIFS($A$2:$A887,"&lt;&gt;",$K$2:$K887,"Yes",$L$2:$L887,"")-1)))</f>
        <v/>
      </c>
      <c r="N887" s="22"/>
    </row>
    <row r="888" spans="1:14" x14ac:dyDescent="0.3">
      <c r="A888" s="15" t="str">
        <f>IF(COUNTA($B888:$E888,$K888)=0,"",IF(AND($B888&lt;&gt;"",$C888&lt;&gt;"",$D888&lt;&gt;"",$E888&lt;&gt;""),"TXS"&amp;TEXT(COUNTIFS($B$2:$B888,"&lt;&gt;",$C$2:$C888,"&lt;&gt;",$D$2:$D888,"&lt;&gt;",$E$2:$E888,"&lt;&gt;"),"00000"),""))</f>
        <v/>
      </c>
      <c r="B888" s="16"/>
      <c r="C888" s="20"/>
      <c r="D888" s="20"/>
      <c r="E888" s="23"/>
      <c r="H888" s="19" t="str">
        <f t="shared" si="48"/>
        <v/>
      </c>
      <c r="I888" s="19" t="str">
        <f t="shared" si="47"/>
        <v/>
      </c>
      <c r="J888" s="19" t="str">
        <f t="shared" si="49"/>
        <v/>
      </c>
      <c r="K888" s="20"/>
      <c r="L888" s="21" t="str">
        <f>IF(OR(NOT(AND($B888&lt;&gt;"",$C888&lt;&gt;"",$D888&lt;&gt;"",$E888&lt;&gt;"")),$A888="",$K888&lt;&gt;"Yes"),"",IF($L888&lt;&gt;"",$L888,INDEX(SETUP!$I$1:$I$2000,MATCH(TRUE,SETUP!$J$1:$J$2000,0)+COUNTIFS($A$2:$A888,"&lt;&gt;",$K$2:$K888,"Yes",$L$2:$L888,"")-1)))</f>
        <v/>
      </c>
      <c r="N888" s="22"/>
    </row>
    <row r="889" spans="1:14" x14ac:dyDescent="0.3">
      <c r="A889" s="15" t="str">
        <f>IF(COUNTA($B889:$E889,$K889)=0,"",IF(AND($B889&lt;&gt;"",$C889&lt;&gt;"",$D889&lt;&gt;"",$E889&lt;&gt;""),"TXS"&amp;TEXT(COUNTIFS($B$2:$B889,"&lt;&gt;",$C$2:$C889,"&lt;&gt;",$D$2:$D889,"&lt;&gt;",$E$2:$E889,"&lt;&gt;"),"00000"),""))</f>
        <v/>
      </c>
      <c r="B889" s="16"/>
      <c r="C889" s="20"/>
      <c r="D889" s="20"/>
      <c r="E889" s="23"/>
      <c r="H889" s="19" t="str">
        <f t="shared" si="48"/>
        <v/>
      </c>
      <c r="I889" s="19" t="str">
        <f t="shared" si="47"/>
        <v/>
      </c>
      <c r="J889" s="19" t="str">
        <f t="shared" si="49"/>
        <v/>
      </c>
      <c r="K889" s="20"/>
      <c r="L889" s="21" t="str">
        <f>IF(OR(NOT(AND($B889&lt;&gt;"",$C889&lt;&gt;"",$D889&lt;&gt;"",$E889&lt;&gt;"")),$A889="",$K889&lt;&gt;"Yes"),"",IF($L889&lt;&gt;"",$L889,INDEX(SETUP!$I$1:$I$2000,MATCH(TRUE,SETUP!$J$1:$J$2000,0)+COUNTIFS($A$2:$A889,"&lt;&gt;",$K$2:$K889,"Yes",$L$2:$L889,"")-1)))</f>
        <v/>
      </c>
      <c r="N889" s="22"/>
    </row>
    <row r="890" spans="1:14" x14ac:dyDescent="0.3">
      <c r="A890" s="15" t="str">
        <f>IF(COUNTA($B890:$E890,$K890)=0,"",IF(AND($B890&lt;&gt;"",$C890&lt;&gt;"",$D890&lt;&gt;"",$E890&lt;&gt;""),"TXS"&amp;TEXT(COUNTIFS($B$2:$B890,"&lt;&gt;",$C$2:$C890,"&lt;&gt;",$D$2:$D890,"&lt;&gt;",$E$2:$E890,"&lt;&gt;"),"00000"),""))</f>
        <v/>
      </c>
      <c r="B890" s="16"/>
      <c r="C890" s="20"/>
      <c r="D890" s="20"/>
      <c r="E890" s="23"/>
      <c r="H890" s="19" t="str">
        <f t="shared" si="48"/>
        <v/>
      </c>
      <c r="I890" s="19" t="str">
        <f t="shared" si="47"/>
        <v/>
      </c>
      <c r="J890" s="19" t="str">
        <f t="shared" si="49"/>
        <v/>
      </c>
      <c r="K890" s="20"/>
      <c r="L890" s="21" t="str">
        <f>IF(OR(NOT(AND($B890&lt;&gt;"",$C890&lt;&gt;"",$D890&lt;&gt;"",$E890&lt;&gt;"")),$A890="",$K890&lt;&gt;"Yes"),"",IF($L890&lt;&gt;"",$L890,INDEX(SETUP!$I$1:$I$2000,MATCH(TRUE,SETUP!$J$1:$J$2000,0)+COUNTIFS($A$2:$A890,"&lt;&gt;",$K$2:$K890,"Yes",$L$2:$L890,"")-1)))</f>
        <v/>
      </c>
      <c r="N890" s="22"/>
    </row>
    <row r="891" spans="1:14" x14ac:dyDescent="0.3">
      <c r="A891" s="15" t="str">
        <f>IF(COUNTA($B891:$E891,$K891)=0,"",IF(AND($B891&lt;&gt;"",$C891&lt;&gt;"",$D891&lt;&gt;"",$E891&lt;&gt;""),"TXS"&amp;TEXT(COUNTIFS($B$2:$B891,"&lt;&gt;",$C$2:$C891,"&lt;&gt;",$D$2:$D891,"&lt;&gt;",$E$2:$E891,"&lt;&gt;"),"00000"),""))</f>
        <v/>
      </c>
      <c r="B891" s="16"/>
      <c r="C891" s="20"/>
      <c r="D891" s="20"/>
      <c r="E891" s="23"/>
      <c r="H891" s="19" t="str">
        <f t="shared" si="48"/>
        <v/>
      </c>
      <c r="I891" s="19" t="str">
        <f t="shared" si="47"/>
        <v/>
      </c>
      <c r="J891" s="19" t="str">
        <f t="shared" si="49"/>
        <v/>
      </c>
      <c r="K891" s="20"/>
      <c r="L891" s="21" t="str">
        <f>IF(OR(NOT(AND($B891&lt;&gt;"",$C891&lt;&gt;"",$D891&lt;&gt;"",$E891&lt;&gt;"")),$A891="",$K891&lt;&gt;"Yes"),"",IF($L891&lt;&gt;"",$L891,INDEX(SETUP!$I$1:$I$2000,MATCH(TRUE,SETUP!$J$1:$J$2000,0)+COUNTIFS($A$2:$A891,"&lt;&gt;",$K$2:$K891,"Yes",$L$2:$L891,"")-1)))</f>
        <v/>
      </c>
      <c r="N891" s="22"/>
    </row>
    <row r="892" spans="1:14" x14ac:dyDescent="0.3">
      <c r="A892" s="15" t="str">
        <f>IF(COUNTA($B892:$E892,$K892)=0,"",IF(AND($B892&lt;&gt;"",$C892&lt;&gt;"",$D892&lt;&gt;"",$E892&lt;&gt;""),"TXS"&amp;TEXT(COUNTIFS($B$2:$B892,"&lt;&gt;",$C$2:$C892,"&lt;&gt;",$D$2:$D892,"&lt;&gt;",$E$2:$E892,"&lt;&gt;"),"00000"),""))</f>
        <v/>
      </c>
      <c r="B892" s="16"/>
      <c r="C892" s="20"/>
      <c r="D892" s="20"/>
      <c r="E892" s="23"/>
      <c r="H892" s="19" t="str">
        <f t="shared" si="48"/>
        <v/>
      </c>
      <c r="I892" s="19" t="str">
        <f t="shared" si="47"/>
        <v/>
      </c>
      <c r="J892" s="19" t="str">
        <f t="shared" si="49"/>
        <v/>
      </c>
      <c r="K892" s="20"/>
      <c r="L892" s="21" t="str">
        <f>IF(OR(NOT(AND($B892&lt;&gt;"",$C892&lt;&gt;"",$D892&lt;&gt;"",$E892&lt;&gt;"")),$A892="",$K892&lt;&gt;"Yes"),"",IF($L892&lt;&gt;"",$L892,INDEX(SETUP!$I$1:$I$2000,MATCH(TRUE,SETUP!$J$1:$J$2000,0)+COUNTIFS($A$2:$A892,"&lt;&gt;",$K$2:$K892,"Yes",$L$2:$L892,"")-1)))</f>
        <v/>
      </c>
      <c r="N892" s="22"/>
    </row>
    <row r="893" spans="1:14" x14ac:dyDescent="0.3">
      <c r="A893" s="15" t="str">
        <f>IF(COUNTA($B893:$E893,$K893)=0,"",IF(AND($B893&lt;&gt;"",$C893&lt;&gt;"",$D893&lt;&gt;"",$E893&lt;&gt;""),"TXS"&amp;TEXT(COUNTIFS($B$2:$B893,"&lt;&gt;",$C$2:$C893,"&lt;&gt;",$D$2:$D893,"&lt;&gt;",$E$2:$E893,"&lt;&gt;"),"00000"),""))</f>
        <v/>
      </c>
      <c r="B893" s="16"/>
      <c r="C893" s="20"/>
      <c r="D893" s="20"/>
      <c r="E893" s="23"/>
      <c r="H893" s="19" t="str">
        <f t="shared" si="48"/>
        <v/>
      </c>
      <c r="I893" s="19" t="str">
        <f t="shared" si="47"/>
        <v/>
      </c>
      <c r="J893" s="19" t="str">
        <f t="shared" si="49"/>
        <v/>
      </c>
      <c r="K893" s="20"/>
      <c r="L893" s="21" t="str">
        <f>IF(OR(NOT(AND($B893&lt;&gt;"",$C893&lt;&gt;"",$D893&lt;&gt;"",$E893&lt;&gt;"")),$A893="",$K893&lt;&gt;"Yes"),"",IF($L893&lt;&gt;"",$L893,INDEX(SETUP!$I$1:$I$2000,MATCH(TRUE,SETUP!$J$1:$J$2000,0)+COUNTIFS($A$2:$A893,"&lt;&gt;",$K$2:$K893,"Yes",$L$2:$L893,"")-1)))</f>
        <v/>
      </c>
      <c r="N893" s="22"/>
    </row>
    <row r="894" spans="1:14" x14ac:dyDescent="0.3">
      <c r="A894" s="15" t="str">
        <f>IF(COUNTA($B894:$E894,$K894)=0,"",IF(AND($B894&lt;&gt;"",$C894&lt;&gt;"",$D894&lt;&gt;"",$E894&lt;&gt;""),"TXS"&amp;TEXT(COUNTIFS($B$2:$B894,"&lt;&gt;",$C$2:$C894,"&lt;&gt;",$D$2:$D894,"&lt;&gt;",$E$2:$E894,"&lt;&gt;"),"00000"),""))</f>
        <v/>
      </c>
      <c r="B894" s="16"/>
      <c r="C894" s="20"/>
      <c r="D894" s="20"/>
      <c r="E894" s="23"/>
      <c r="H894" s="19" t="str">
        <f t="shared" si="48"/>
        <v/>
      </c>
      <c r="I894" s="19" t="str">
        <f t="shared" si="47"/>
        <v/>
      </c>
      <c r="J894" s="19" t="str">
        <f t="shared" si="49"/>
        <v/>
      </c>
      <c r="K894" s="20"/>
      <c r="L894" s="21" t="str">
        <f>IF(OR(NOT(AND($B894&lt;&gt;"",$C894&lt;&gt;"",$D894&lt;&gt;"",$E894&lt;&gt;"")),$A894="",$K894&lt;&gt;"Yes"),"",IF($L894&lt;&gt;"",$L894,INDEX(SETUP!$I$1:$I$2000,MATCH(TRUE,SETUP!$J$1:$J$2000,0)+COUNTIFS($A$2:$A894,"&lt;&gt;",$K$2:$K894,"Yes",$L$2:$L894,"")-1)))</f>
        <v/>
      </c>
      <c r="N894" s="22"/>
    </row>
    <row r="895" spans="1:14" x14ac:dyDescent="0.3">
      <c r="A895" s="15" t="str">
        <f>IF(COUNTA($B895:$E895,$K895)=0,"",IF(AND($B895&lt;&gt;"",$C895&lt;&gt;"",$D895&lt;&gt;"",$E895&lt;&gt;""),"TXS"&amp;TEXT(COUNTIFS($B$2:$B895,"&lt;&gt;",$C$2:$C895,"&lt;&gt;",$D$2:$D895,"&lt;&gt;",$E$2:$E895,"&lt;&gt;"),"00000"),""))</f>
        <v/>
      </c>
      <c r="B895" s="16"/>
      <c r="C895" s="20"/>
      <c r="D895" s="20"/>
      <c r="E895" s="23"/>
      <c r="H895" s="19" t="str">
        <f t="shared" si="48"/>
        <v/>
      </c>
      <c r="I895" s="19" t="str">
        <f t="shared" si="47"/>
        <v/>
      </c>
      <c r="J895" s="19" t="str">
        <f t="shared" si="49"/>
        <v/>
      </c>
      <c r="K895" s="20"/>
      <c r="L895" s="21" t="str">
        <f>IF(OR(NOT(AND($B895&lt;&gt;"",$C895&lt;&gt;"",$D895&lt;&gt;"",$E895&lt;&gt;"")),$A895="",$K895&lt;&gt;"Yes"),"",IF($L895&lt;&gt;"",$L895,INDEX(SETUP!$I$1:$I$2000,MATCH(TRUE,SETUP!$J$1:$J$2000,0)+COUNTIFS($A$2:$A895,"&lt;&gt;",$K$2:$K895,"Yes",$L$2:$L895,"")-1)))</f>
        <v/>
      </c>
      <c r="N895" s="22"/>
    </row>
    <row r="896" spans="1:14" x14ac:dyDescent="0.3">
      <c r="A896" s="15" t="str">
        <f>IF(COUNTA($B896:$E896,$K896)=0,"",IF(AND($B896&lt;&gt;"",$C896&lt;&gt;"",$D896&lt;&gt;"",$E896&lt;&gt;""),"TXS"&amp;TEXT(COUNTIFS($B$2:$B896,"&lt;&gt;",$C$2:$C896,"&lt;&gt;",$D$2:$D896,"&lt;&gt;",$E$2:$E896,"&lt;&gt;"),"00000"),""))</f>
        <v/>
      </c>
      <c r="B896" s="16"/>
      <c r="C896" s="20"/>
      <c r="D896" s="20"/>
      <c r="E896" s="23"/>
      <c r="H896" s="19" t="str">
        <f t="shared" si="48"/>
        <v/>
      </c>
      <c r="I896" s="19" t="str">
        <f t="shared" si="47"/>
        <v/>
      </c>
      <c r="J896" s="19" t="str">
        <f t="shared" si="49"/>
        <v/>
      </c>
      <c r="K896" s="20"/>
      <c r="L896" s="21" t="str">
        <f>IF(OR(NOT(AND($B896&lt;&gt;"",$C896&lt;&gt;"",$D896&lt;&gt;"",$E896&lt;&gt;"")),$A896="",$K896&lt;&gt;"Yes"),"",IF($L896&lt;&gt;"",$L896,INDEX(SETUP!$I$1:$I$2000,MATCH(TRUE,SETUP!$J$1:$J$2000,0)+COUNTIFS($A$2:$A896,"&lt;&gt;",$K$2:$K896,"Yes",$L$2:$L896,"")-1)))</f>
        <v/>
      </c>
      <c r="N896" s="22"/>
    </row>
    <row r="897" spans="1:14" x14ac:dyDescent="0.3">
      <c r="A897" s="15" t="str">
        <f>IF(COUNTA($B897:$E897,$K897)=0,"",IF(AND($B897&lt;&gt;"",$C897&lt;&gt;"",$D897&lt;&gt;"",$E897&lt;&gt;""),"TXS"&amp;TEXT(COUNTIFS($B$2:$B897,"&lt;&gt;",$C$2:$C897,"&lt;&gt;",$D$2:$D897,"&lt;&gt;",$E$2:$E897,"&lt;&gt;"),"00000"),""))</f>
        <v/>
      </c>
      <c r="B897" s="16"/>
      <c r="C897" s="20"/>
      <c r="D897" s="20"/>
      <c r="E897" s="23"/>
      <c r="H897" s="19" t="str">
        <f t="shared" si="48"/>
        <v/>
      </c>
      <c r="I897" s="19" t="str">
        <f t="shared" si="47"/>
        <v/>
      </c>
      <c r="J897" s="19" t="str">
        <f t="shared" si="49"/>
        <v/>
      </c>
      <c r="K897" s="20"/>
      <c r="L897" s="21" t="str">
        <f>IF(OR(NOT(AND($B897&lt;&gt;"",$C897&lt;&gt;"",$D897&lt;&gt;"",$E897&lt;&gt;"")),$A897="",$K897&lt;&gt;"Yes"),"",IF($L897&lt;&gt;"",$L897,INDEX(SETUP!$I$1:$I$2000,MATCH(TRUE,SETUP!$J$1:$J$2000,0)+COUNTIFS($A$2:$A897,"&lt;&gt;",$K$2:$K897,"Yes",$L$2:$L897,"")-1)))</f>
        <v/>
      </c>
      <c r="N897" s="22"/>
    </row>
    <row r="898" spans="1:14" x14ac:dyDescent="0.3">
      <c r="A898" s="15" t="str">
        <f>IF(COUNTA($B898:$E898,$K898)=0,"",IF(AND($B898&lt;&gt;"",$C898&lt;&gt;"",$D898&lt;&gt;"",$E898&lt;&gt;""),"TXS"&amp;TEXT(COUNTIFS($B$2:$B898,"&lt;&gt;",$C$2:$C898,"&lt;&gt;",$D$2:$D898,"&lt;&gt;",$E$2:$E898,"&lt;&gt;"),"00000"),""))</f>
        <v/>
      </c>
      <c r="B898" s="16"/>
      <c r="C898" s="20"/>
      <c r="D898" s="20"/>
      <c r="E898" s="23"/>
      <c r="H898" s="19" t="str">
        <f t="shared" si="48"/>
        <v/>
      </c>
      <c r="I898" s="19" t="str">
        <f t="shared" si="47"/>
        <v/>
      </c>
      <c r="J898" s="19" t="str">
        <f t="shared" si="49"/>
        <v/>
      </c>
      <c r="K898" s="20"/>
      <c r="L898" s="21" t="str">
        <f>IF(OR(NOT(AND($B898&lt;&gt;"",$C898&lt;&gt;"",$D898&lt;&gt;"",$E898&lt;&gt;"")),$A898="",$K898&lt;&gt;"Yes"),"",IF($L898&lt;&gt;"",$L898,INDEX(SETUP!$I$1:$I$2000,MATCH(TRUE,SETUP!$J$1:$J$2000,0)+COUNTIFS($A$2:$A898,"&lt;&gt;",$K$2:$K898,"Yes",$L$2:$L898,"")-1)))</f>
        <v/>
      </c>
      <c r="N898" s="22"/>
    </row>
    <row r="899" spans="1:14" x14ac:dyDescent="0.3">
      <c r="A899" s="15" t="str">
        <f>IF(COUNTA($B899:$E899,$K899)=0,"",IF(AND($B899&lt;&gt;"",$C899&lt;&gt;"",$D899&lt;&gt;"",$E899&lt;&gt;""),"TXS"&amp;TEXT(COUNTIFS($B$2:$B899,"&lt;&gt;",$C$2:$C899,"&lt;&gt;",$D$2:$D899,"&lt;&gt;",$E$2:$E899,"&lt;&gt;"),"00000"),""))</f>
        <v/>
      </c>
      <c r="B899" s="16"/>
      <c r="C899" s="20"/>
      <c r="D899" s="20"/>
      <c r="E899" s="23"/>
      <c r="H899" s="19" t="str">
        <f t="shared" si="48"/>
        <v/>
      </c>
      <c r="I899" s="19" t="str">
        <f t="shared" si="47"/>
        <v/>
      </c>
      <c r="J899" s="19" t="str">
        <f t="shared" si="49"/>
        <v/>
      </c>
      <c r="K899" s="20"/>
      <c r="L899" s="21" t="str">
        <f>IF(OR(NOT(AND($B899&lt;&gt;"",$C899&lt;&gt;"",$D899&lt;&gt;"",$E899&lt;&gt;"")),$A899="",$K899&lt;&gt;"Yes"),"",IF($L899&lt;&gt;"",$L899,INDEX(SETUP!$I$1:$I$2000,MATCH(TRUE,SETUP!$J$1:$J$2000,0)+COUNTIFS($A$2:$A899,"&lt;&gt;",$K$2:$K899,"Yes",$L$2:$L899,"")-1)))</f>
        <v/>
      </c>
      <c r="N899" s="22"/>
    </row>
    <row r="900" spans="1:14" x14ac:dyDescent="0.3">
      <c r="A900" s="15" t="str">
        <f>IF(COUNTA($B900:$E900,$K900)=0,"",IF(AND($B900&lt;&gt;"",$C900&lt;&gt;"",$D900&lt;&gt;"",$E900&lt;&gt;""),"TXS"&amp;TEXT(COUNTIFS($B$2:$B900,"&lt;&gt;",$C$2:$C900,"&lt;&gt;",$D$2:$D900,"&lt;&gt;",$E$2:$E900,"&lt;&gt;"),"00000"),""))</f>
        <v/>
      </c>
      <c r="B900" s="16"/>
      <c r="C900" s="20"/>
      <c r="D900" s="20"/>
      <c r="E900" s="23"/>
      <c r="H900" s="19" t="str">
        <f t="shared" si="48"/>
        <v/>
      </c>
      <c r="I900" s="19" t="str">
        <f t="shared" si="47"/>
        <v/>
      </c>
      <c r="J900" s="19" t="str">
        <f t="shared" si="49"/>
        <v/>
      </c>
      <c r="K900" s="20"/>
      <c r="L900" s="21" t="str">
        <f>IF(OR(NOT(AND($B900&lt;&gt;"",$C900&lt;&gt;"",$D900&lt;&gt;"",$E900&lt;&gt;"")),$A900="",$K900&lt;&gt;"Yes"),"",IF($L900&lt;&gt;"",$L900,INDEX(SETUP!$I$1:$I$2000,MATCH(TRUE,SETUP!$J$1:$J$2000,0)+COUNTIFS($A$2:$A900,"&lt;&gt;",$K$2:$K900,"Yes",$L$2:$L900,"")-1)))</f>
        <v/>
      </c>
      <c r="N900" s="22"/>
    </row>
    <row r="901" spans="1:14" x14ac:dyDescent="0.3">
      <c r="A901" s="15" t="str">
        <f>IF(COUNTA($B901:$E901,$K901)=0,"",IF(AND($B901&lt;&gt;"",$C901&lt;&gt;"",$D901&lt;&gt;"",$E901&lt;&gt;""),"TXS"&amp;TEXT(COUNTIFS($B$2:$B901,"&lt;&gt;",$C$2:$C901,"&lt;&gt;",$D$2:$D901,"&lt;&gt;",$E$2:$E901,"&lt;&gt;"),"00000"),""))</f>
        <v/>
      </c>
      <c r="B901" s="16"/>
      <c r="C901" s="20"/>
      <c r="D901" s="20"/>
      <c r="E901" s="23"/>
      <c r="H901" s="19" t="str">
        <f t="shared" si="48"/>
        <v/>
      </c>
      <c r="I901" s="19" t="str">
        <f t="shared" si="47"/>
        <v/>
      </c>
      <c r="J901" s="19" t="str">
        <f t="shared" si="49"/>
        <v/>
      </c>
      <c r="K901" s="20"/>
      <c r="L901" s="21" t="str">
        <f>IF(OR(NOT(AND($B901&lt;&gt;"",$C901&lt;&gt;"",$D901&lt;&gt;"",$E901&lt;&gt;"")),$A901="",$K901&lt;&gt;"Yes"),"",IF($L901&lt;&gt;"",$L901,INDEX(SETUP!$I$1:$I$2000,MATCH(TRUE,SETUP!$J$1:$J$2000,0)+COUNTIFS($A$2:$A901,"&lt;&gt;",$K$2:$K901,"Yes",$L$2:$L901,"")-1)))</f>
        <v/>
      </c>
      <c r="N901" s="22"/>
    </row>
    <row r="902" spans="1:14" x14ac:dyDescent="0.3">
      <c r="A902" s="15" t="str">
        <f>IF(COUNTA($B902:$E902,$K902)=0,"",IF(AND($B902&lt;&gt;"",$C902&lt;&gt;"",$D902&lt;&gt;"",$E902&lt;&gt;""),"TXS"&amp;TEXT(COUNTIFS($B$2:$B902,"&lt;&gt;",$C$2:$C902,"&lt;&gt;",$D$2:$D902,"&lt;&gt;",$E$2:$E902,"&lt;&gt;"),"00000"),""))</f>
        <v/>
      </c>
      <c r="B902" s="16"/>
      <c r="C902" s="20"/>
      <c r="D902" s="20"/>
      <c r="E902" s="23"/>
      <c r="H902" s="19" t="str">
        <f t="shared" si="48"/>
        <v/>
      </c>
      <c r="I902" s="19" t="str">
        <f t="shared" si="47"/>
        <v/>
      </c>
      <c r="J902" s="19" t="str">
        <f t="shared" si="49"/>
        <v/>
      </c>
      <c r="K902" s="20"/>
      <c r="L902" s="21" t="str">
        <f>IF(OR(NOT(AND($B902&lt;&gt;"",$C902&lt;&gt;"",$D902&lt;&gt;"",$E902&lt;&gt;"")),$A902="",$K902&lt;&gt;"Yes"),"",IF($L902&lt;&gt;"",$L902,INDEX(SETUP!$I$1:$I$2000,MATCH(TRUE,SETUP!$J$1:$J$2000,0)+COUNTIFS($A$2:$A902,"&lt;&gt;",$K$2:$K902,"Yes",$L$2:$L902,"")-1)))</f>
        <v/>
      </c>
      <c r="N902" s="22"/>
    </row>
    <row r="903" spans="1:14" x14ac:dyDescent="0.3">
      <c r="A903" s="15" t="str">
        <f>IF(COUNTA($B903:$E903,$K903)=0,"",IF(AND($B903&lt;&gt;"",$C903&lt;&gt;"",$D903&lt;&gt;"",$E903&lt;&gt;""),"TXS"&amp;TEXT(COUNTIFS($B$2:$B903,"&lt;&gt;",$C$2:$C903,"&lt;&gt;",$D$2:$D903,"&lt;&gt;",$E$2:$E903,"&lt;&gt;"),"00000"),""))</f>
        <v/>
      </c>
      <c r="B903" s="16"/>
      <c r="C903" s="20"/>
      <c r="D903" s="20"/>
      <c r="E903" s="23"/>
      <c r="H903" s="19" t="str">
        <f t="shared" si="48"/>
        <v/>
      </c>
      <c r="I903" s="19" t="str">
        <f t="shared" si="47"/>
        <v/>
      </c>
      <c r="J903" s="19" t="str">
        <f t="shared" si="49"/>
        <v/>
      </c>
      <c r="K903" s="20"/>
      <c r="L903" s="21" t="str">
        <f>IF(OR(NOT(AND($B903&lt;&gt;"",$C903&lt;&gt;"",$D903&lt;&gt;"",$E903&lt;&gt;"")),$A903="",$K903&lt;&gt;"Yes"),"",IF($L903&lt;&gt;"",$L903,INDEX(SETUP!$I$1:$I$2000,MATCH(TRUE,SETUP!$J$1:$J$2000,0)+COUNTIFS($A$2:$A903,"&lt;&gt;",$K$2:$K903,"Yes",$L$2:$L903,"")-1)))</f>
        <v/>
      </c>
      <c r="N903" s="22"/>
    </row>
    <row r="904" spans="1:14" x14ac:dyDescent="0.3">
      <c r="A904" s="15" t="str">
        <f>IF(COUNTA($B904:$E904,$K904)=0,"",IF(AND($B904&lt;&gt;"",$C904&lt;&gt;"",$D904&lt;&gt;"",$E904&lt;&gt;""),"TXS"&amp;TEXT(COUNTIFS($B$2:$B904,"&lt;&gt;",$C$2:$C904,"&lt;&gt;",$D$2:$D904,"&lt;&gt;",$E$2:$E904,"&lt;&gt;"),"00000"),""))</f>
        <v/>
      </c>
      <c r="B904" s="16"/>
      <c r="C904" s="20"/>
      <c r="D904" s="20"/>
      <c r="E904" s="23"/>
      <c r="H904" s="19" t="str">
        <f t="shared" si="48"/>
        <v/>
      </c>
      <c r="I904" s="19" t="str">
        <f t="shared" si="47"/>
        <v/>
      </c>
      <c r="J904" s="19" t="str">
        <f t="shared" si="49"/>
        <v/>
      </c>
      <c r="K904" s="20"/>
      <c r="L904" s="21" t="str">
        <f>IF(OR(NOT(AND($B904&lt;&gt;"",$C904&lt;&gt;"",$D904&lt;&gt;"",$E904&lt;&gt;"")),$A904="",$K904&lt;&gt;"Yes"),"",IF($L904&lt;&gt;"",$L904,INDEX(SETUP!$I$1:$I$2000,MATCH(TRUE,SETUP!$J$1:$J$2000,0)+COUNTIFS($A$2:$A904,"&lt;&gt;",$K$2:$K904,"Yes",$L$2:$L904,"")-1)))</f>
        <v/>
      </c>
      <c r="N904" s="22"/>
    </row>
    <row r="905" spans="1:14" x14ac:dyDescent="0.3">
      <c r="A905" s="15" t="str">
        <f>IF(COUNTA($B905:$E905,$K905)=0,"",IF(AND($B905&lt;&gt;"",$C905&lt;&gt;"",$D905&lt;&gt;"",$E905&lt;&gt;""),"TXS"&amp;TEXT(COUNTIFS($B$2:$B905,"&lt;&gt;",$C$2:$C905,"&lt;&gt;",$D$2:$D905,"&lt;&gt;",$E$2:$E905,"&lt;&gt;"),"00000"),""))</f>
        <v/>
      </c>
      <c r="B905" s="16"/>
      <c r="C905" s="20"/>
      <c r="D905" s="20"/>
      <c r="E905" s="23"/>
      <c r="H905" s="19" t="str">
        <f t="shared" si="48"/>
        <v/>
      </c>
      <c r="I905" s="19" t="str">
        <f t="shared" si="47"/>
        <v/>
      </c>
      <c r="J905" s="19" t="str">
        <f t="shared" si="49"/>
        <v/>
      </c>
      <c r="K905" s="20"/>
      <c r="L905" s="21" t="str">
        <f>IF(OR(NOT(AND($B905&lt;&gt;"",$C905&lt;&gt;"",$D905&lt;&gt;"",$E905&lt;&gt;"")),$A905="",$K905&lt;&gt;"Yes"),"",IF($L905&lt;&gt;"",$L905,INDEX(SETUP!$I$1:$I$2000,MATCH(TRUE,SETUP!$J$1:$J$2000,0)+COUNTIFS($A$2:$A905,"&lt;&gt;",$K$2:$K905,"Yes",$L$2:$L905,"")-1)))</f>
        <v/>
      </c>
      <c r="N905" s="22"/>
    </row>
    <row r="906" spans="1:14" x14ac:dyDescent="0.3">
      <c r="A906" s="15" t="str">
        <f>IF(COUNTA($B906:$E906,$K906)=0,"",IF(AND($B906&lt;&gt;"",$C906&lt;&gt;"",$D906&lt;&gt;"",$E906&lt;&gt;""),"TXS"&amp;TEXT(COUNTIFS($B$2:$B906,"&lt;&gt;",$C$2:$C906,"&lt;&gt;",$D$2:$D906,"&lt;&gt;",$E$2:$E906,"&lt;&gt;"),"00000"),""))</f>
        <v/>
      </c>
      <c r="B906" s="16"/>
      <c r="C906" s="20"/>
      <c r="D906" s="20"/>
      <c r="E906" s="23"/>
      <c r="H906" s="19" t="str">
        <f t="shared" si="48"/>
        <v/>
      </c>
      <c r="I906" s="19" t="str">
        <f t="shared" si="47"/>
        <v/>
      </c>
      <c r="J906" s="19" t="str">
        <f t="shared" si="49"/>
        <v/>
      </c>
      <c r="K906" s="20"/>
      <c r="L906" s="21" t="str">
        <f>IF(OR(NOT(AND($B906&lt;&gt;"",$C906&lt;&gt;"",$D906&lt;&gt;"",$E906&lt;&gt;"")),$A906="",$K906&lt;&gt;"Yes"),"",IF($L906&lt;&gt;"",$L906,INDEX(SETUP!$I$1:$I$2000,MATCH(TRUE,SETUP!$J$1:$J$2000,0)+COUNTIFS($A$2:$A906,"&lt;&gt;",$K$2:$K906,"Yes",$L$2:$L906,"")-1)))</f>
        <v/>
      </c>
      <c r="N906" s="22"/>
    </row>
    <row r="907" spans="1:14" x14ac:dyDescent="0.3">
      <c r="A907" s="15" t="str">
        <f>IF(COUNTA($B907:$E907,$K907)=0,"",IF(AND($B907&lt;&gt;"",$C907&lt;&gt;"",$D907&lt;&gt;"",$E907&lt;&gt;""),"TXS"&amp;TEXT(COUNTIFS($B$2:$B907,"&lt;&gt;",$C$2:$C907,"&lt;&gt;",$D$2:$D907,"&lt;&gt;",$E$2:$E907,"&lt;&gt;"),"00000"),""))</f>
        <v/>
      </c>
      <c r="B907" s="16"/>
      <c r="C907" s="20"/>
      <c r="D907" s="20"/>
      <c r="E907" s="23"/>
      <c r="H907" s="19" t="str">
        <f t="shared" si="48"/>
        <v/>
      </c>
      <c r="I907" s="19" t="str">
        <f t="shared" si="47"/>
        <v/>
      </c>
      <c r="J907" s="19" t="str">
        <f t="shared" si="49"/>
        <v/>
      </c>
      <c r="K907" s="20"/>
      <c r="L907" s="21" t="str">
        <f>IF(OR(NOT(AND($B907&lt;&gt;"",$C907&lt;&gt;"",$D907&lt;&gt;"",$E907&lt;&gt;"")),$A907="",$K907&lt;&gt;"Yes"),"",IF($L907&lt;&gt;"",$L907,INDEX(SETUP!$I$1:$I$2000,MATCH(TRUE,SETUP!$J$1:$J$2000,0)+COUNTIFS($A$2:$A907,"&lt;&gt;",$K$2:$K907,"Yes",$L$2:$L907,"")-1)))</f>
        <v/>
      </c>
      <c r="N907" s="22"/>
    </row>
    <row r="908" spans="1:14" x14ac:dyDescent="0.3">
      <c r="A908" s="15" t="str">
        <f>IF(COUNTA($B908:$E908,$K908)=0,"",IF(AND($B908&lt;&gt;"",$C908&lt;&gt;"",$D908&lt;&gt;"",$E908&lt;&gt;""),"TXS"&amp;TEXT(COUNTIFS($B$2:$B908,"&lt;&gt;",$C$2:$C908,"&lt;&gt;",$D$2:$D908,"&lt;&gt;",$E$2:$E908,"&lt;&gt;"),"00000"),""))</f>
        <v/>
      </c>
      <c r="B908" s="16"/>
      <c r="C908" s="20"/>
      <c r="D908" s="20"/>
      <c r="E908" s="23"/>
      <c r="H908" s="19" t="str">
        <f t="shared" si="48"/>
        <v/>
      </c>
      <c r="I908" s="19" t="str">
        <f t="shared" si="47"/>
        <v/>
      </c>
      <c r="J908" s="19" t="str">
        <f t="shared" si="49"/>
        <v/>
      </c>
      <c r="K908" s="20"/>
      <c r="L908" s="21" t="str">
        <f>IF(OR(NOT(AND($B908&lt;&gt;"",$C908&lt;&gt;"",$D908&lt;&gt;"",$E908&lt;&gt;"")),$A908="",$K908&lt;&gt;"Yes"),"",IF($L908&lt;&gt;"",$L908,INDEX(SETUP!$I$1:$I$2000,MATCH(TRUE,SETUP!$J$1:$J$2000,0)+COUNTIFS($A$2:$A908,"&lt;&gt;",$K$2:$K908,"Yes",$L$2:$L908,"")-1)))</f>
        <v/>
      </c>
      <c r="N908" s="22"/>
    </row>
    <row r="909" spans="1:14" x14ac:dyDescent="0.3">
      <c r="A909" s="15" t="str">
        <f>IF(COUNTA($B909:$E909,$K909)=0,"",IF(AND($B909&lt;&gt;"",$C909&lt;&gt;"",$D909&lt;&gt;"",$E909&lt;&gt;""),"TXS"&amp;TEXT(COUNTIFS($B$2:$B909,"&lt;&gt;",$C$2:$C909,"&lt;&gt;",$D$2:$D909,"&lt;&gt;",$E$2:$E909,"&lt;&gt;"),"00000"),""))</f>
        <v/>
      </c>
      <c r="B909" s="16"/>
      <c r="C909" s="20"/>
      <c r="D909" s="20"/>
      <c r="E909" s="23"/>
      <c r="H909" s="19" t="str">
        <f t="shared" si="48"/>
        <v/>
      </c>
      <c r="I909" s="19" t="str">
        <f t="shared" si="47"/>
        <v/>
      </c>
      <c r="J909" s="19" t="str">
        <f t="shared" si="49"/>
        <v/>
      </c>
      <c r="K909" s="20"/>
      <c r="L909" s="21" t="str">
        <f>IF(OR(NOT(AND($B909&lt;&gt;"",$C909&lt;&gt;"",$D909&lt;&gt;"",$E909&lt;&gt;"")),$A909="",$K909&lt;&gt;"Yes"),"",IF($L909&lt;&gt;"",$L909,INDEX(SETUP!$I$1:$I$2000,MATCH(TRUE,SETUP!$J$1:$J$2000,0)+COUNTIFS($A$2:$A909,"&lt;&gt;",$K$2:$K909,"Yes",$L$2:$L909,"")-1)))</f>
        <v/>
      </c>
      <c r="N909" s="22"/>
    </row>
    <row r="910" spans="1:14" x14ac:dyDescent="0.3">
      <c r="A910" s="15" t="str">
        <f>IF(COUNTA($B910:$E910,$K910)=0,"",IF(AND($B910&lt;&gt;"",$C910&lt;&gt;"",$D910&lt;&gt;"",$E910&lt;&gt;""),"TXS"&amp;TEXT(COUNTIFS($B$2:$B910,"&lt;&gt;",$C$2:$C910,"&lt;&gt;",$D$2:$D910,"&lt;&gt;",$E$2:$E910,"&lt;&gt;"),"00000"),""))</f>
        <v/>
      </c>
      <c r="B910" s="16"/>
      <c r="C910" s="20"/>
      <c r="D910" s="20"/>
      <c r="E910" s="23"/>
      <c r="H910" s="19" t="str">
        <f t="shared" si="48"/>
        <v/>
      </c>
      <c r="I910" s="19" t="str">
        <f t="shared" si="47"/>
        <v/>
      </c>
      <c r="J910" s="19" t="str">
        <f t="shared" si="49"/>
        <v/>
      </c>
      <c r="K910" s="20"/>
      <c r="L910" s="21" t="str">
        <f>IF(OR(NOT(AND($B910&lt;&gt;"",$C910&lt;&gt;"",$D910&lt;&gt;"",$E910&lt;&gt;"")),$A910="",$K910&lt;&gt;"Yes"),"",IF($L910&lt;&gt;"",$L910,INDEX(SETUP!$I$1:$I$2000,MATCH(TRUE,SETUP!$J$1:$J$2000,0)+COUNTIFS($A$2:$A910,"&lt;&gt;",$K$2:$K910,"Yes",$L$2:$L910,"")-1)))</f>
        <v/>
      </c>
      <c r="N910" s="22"/>
    </row>
    <row r="911" spans="1:14" x14ac:dyDescent="0.3">
      <c r="A911" s="15" t="str">
        <f>IF(COUNTA($B911:$E911,$K911)=0,"",IF(AND($B911&lt;&gt;"",$C911&lt;&gt;"",$D911&lt;&gt;"",$E911&lt;&gt;""),"TXS"&amp;TEXT(COUNTIFS($B$2:$B911,"&lt;&gt;",$C$2:$C911,"&lt;&gt;",$D$2:$D911,"&lt;&gt;",$E$2:$E911,"&lt;&gt;"),"00000"),""))</f>
        <v/>
      </c>
      <c r="B911" s="16"/>
      <c r="C911" s="20"/>
      <c r="D911" s="20"/>
      <c r="E911" s="23"/>
      <c r="H911" s="19" t="str">
        <f t="shared" si="48"/>
        <v/>
      </c>
      <c r="I911" s="19" t="str">
        <f t="shared" si="47"/>
        <v/>
      </c>
      <c r="J911" s="19" t="str">
        <f t="shared" si="49"/>
        <v/>
      </c>
      <c r="K911" s="20"/>
      <c r="L911" s="21" t="str">
        <f>IF(OR(NOT(AND($B911&lt;&gt;"",$C911&lt;&gt;"",$D911&lt;&gt;"",$E911&lt;&gt;"")),$A911="",$K911&lt;&gt;"Yes"),"",IF($L911&lt;&gt;"",$L911,INDEX(SETUP!$I$1:$I$2000,MATCH(TRUE,SETUP!$J$1:$J$2000,0)+COUNTIFS($A$2:$A911,"&lt;&gt;",$K$2:$K911,"Yes",$L$2:$L911,"")-1)))</f>
        <v/>
      </c>
      <c r="N911" s="22"/>
    </row>
    <row r="912" spans="1:14" x14ac:dyDescent="0.3">
      <c r="A912" s="15" t="str">
        <f>IF(COUNTA($B912:$E912,$K912)=0,"",IF(AND($B912&lt;&gt;"",$C912&lt;&gt;"",$D912&lt;&gt;"",$E912&lt;&gt;""),"TXS"&amp;TEXT(COUNTIFS($B$2:$B912,"&lt;&gt;",$C$2:$C912,"&lt;&gt;",$D$2:$D912,"&lt;&gt;",$E$2:$E912,"&lt;&gt;"),"00000"),""))</f>
        <v/>
      </c>
      <c r="B912" s="16"/>
      <c r="C912" s="20"/>
      <c r="D912" s="20"/>
      <c r="E912" s="23"/>
      <c r="H912" s="19" t="str">
        <f t="shared" si="48"/>
        <v/>
      </c>
      <c r="I912" s="19" t="str">
        <f t="shared" si="47"/>
        <v/>
      </c>
      <c r="J912" s="19" t="str">
        <f t="shared" si="49"/>
        <v/>
      </c>
      <c r="K912" s="20"/>
      <c r="L912" s="21" t="str">
        <f>IF(OR(NOT(AND($B912&lt;&gt;"",$C912&lt;&gt;"",$D912&lt;&gt;"",$E912&lt;&gt;"")),$A912="",$K912&lt;&gt;"Yes"),"",IF($L912&lt;&gt;"",$L912,INDEX(SETUP!$I$1:$I$2000,MATCH(TRUE,SETUP!$J$1:$J$2000,0)+COUNTIFS($A$2:$A912,"&lt;&gt;",$K$2:$K912,"Yes",$L$2:$L912,"")-1)))</f>
        <v/>
      </c>
      <c r="N912" s="22"/>
    </row>
    <row r="913" spans="1:14" x14ac:dyDescent="0.3">
      <c r="A913" s="15" t="str">
        <f>IF(COUNTA($B913:$E913,$K913)=0,"",IF(AND($B913&lt;&gt;"",$C913&lt;&gt;"",$D913&lt;&gt;"",$E913&lt;&gt;""),"TXS"&amp;TEXT(COUNTIFS($B$2:$B913,"&lt;&gt;",$C$2:$C913,"&lt;&gt;",$D$2:$D913,"&lt;&gt;",$E$2:$E913,"&lt;&gt;"),"00000"),""))</f>
        <v/>
      </c>
      <c r="B913" s="16"/>
      <c r="C913" s="20"/>
      <c r="D913" s="20"/>
      <c r="E913" s="23"/>
      <c r="H913" s="19" t="str">
        <f t="shared" si="48"/>
        <v/>
      </c>
      <c r="I913" s="19" t="str">
        <f t="shared" si="47"/>
        <v/>
      </c>
      <c r="J913" s="19" t="str">
        <f t="shared" si="49"/>
        <v/>
      </c>
      <c r="K913" s="20"/>
      <c r="L913" s="21" t="str">
        <f>IF(OR(NOT(AND($B913&lt;&gt;"",$C913&lt;&gt;"",$D913&lt;&gt;"",$E913&lt;&gt;"")),$A913="",$K913&lt;&gt;"Yes"),"",IF($L913&lt;&gt;"",$L913,INDEX(SETUP!$I$1:$I$2000,MATCH(TRUE,SETUP!$J$1:$J$2000,0)+COUNTIFS($A$2:$A913,"&lt;&gt;",$K$2:$K913,"Yes",$L$2:$L913,"")-1)))</f>
        <v/>
      </c>
      <c r="N913" s="22"/>
    </row>
    <row r="914" spans="1:14" x14ac:dyDescent="0.3">
      <c r="A914" s="15" t="str">
        <f>IF(COUNTA($B914:$E914,$K914)=0,"",IF(AND($B914&lt;&gt;"",$C914&lt;&gt;"",$D914&lt;&gt;"",$E914&lt;&gt;""),"TXS"&amp;TEXT(COUNTIFS($B$2:$B914,"&lt;&gt;",$C$2:$C914,"&lt;&gt;",$D$2:$D914,"&lt;&gt;",$E$2:$E914,"&lt;&gt;"),"00000"),""))</f>
        <v/>
      </c>
      <c r="B914" s="16"/>
      <c r="C914" s="20"/>
      <c r="D914" s="20"/>
      <c r="E914" s="23"/>
      <c r="H914" s="19" t="str">
        <f t="shared" si="48"/>
        <v/>
      </c>
      <c r="I914" s="19" t="str">
        <f t="shared" si="47"/>
        <v/>
      </c>
      <c r="J914" s="19" t="str">
        <f t="shared" si="49"/>
        <v/>
      </c>
      <c r="K914" s="20"/>
      <c r="L914" s="21" t="str">
        <f>IF(OR(NOT(AND($B914&lt;&gt;"",$C914&lt;&gt;"",$D914&lt;&gt;"",$E914&lt;&gt;"")),$A914="",$K914&lt;&gt;"Yes"),"",IF($L914&lt;&gt;"",$L914,INDEX(SETUP!$I$1:$I$2000,MATCH(TRUE,SETUP!$J$1:$J$2000,0)+COUNTIFS($A$2:$A914,"&lt;&gt;",$K$2:$K914,"Yes",$L$2:$L914,"")-1)))</f>
        <v/>
      </c>
      <c r="N914" s="22"/>
    </row>
    <row r="915" spans="1:14" x14ac:dyDescent="0.3">
      <c r="A915" s="15" t="str">
        <f>IF(COUNTA($B915:$E915,$K915)=0,"",IF(AND($B915&lt;&gt;"",$C915&lt;&gt;"",$D915&lt;&gt;"",$E915&lt;&gt;""),"TXS"&amp;TEXT(COUNTIFS($B$2:$B915,"&lt;&gt;",$C$2:$C915,"&lt;&gt;",$D$2:$D915,"&lt;&gt;",$E$2:$E915,"&lt;&gt;"),"00000"),""))</f>
        <v/>
      </c>
      <c r="B915" s="16"/>
      <c r="C915" s="20"/>
      <c r="D915" s="20"/>
      <c r="E915" s="23"/>
      <c r="H915" s="19" t="str">
        <f t="shared" si="48"/>
        <v/>
      </c>
      <c r="I915" s="19" t="str">
        <f t="shared" si="47"/>
        <v/>
      </c>
      <c r="J915" s="19" t="str">
        <f t="shared" si="49"/>
        <v/>
      </c>
      <c r="K915" s="20"/>
      <c r="L915" s="21" t="str">
        <f>IF(OR(NOT(AND($B915&lt;&gt;"",$C915&lt;&gt;"",$D915&lt;&gt;"",$E915&lt;&gt;"")),$A915="",$K915&lt;&gt;"Yes"),"",IF($L915&lt;&gt;"",$L915,INDEX(SETUP!$I$1:$I$2000,MATCH(TRUE,SETUP!$J$1:$J$2000,0)+COUNTIFS($A$2:$A915,"&lt;&gt;",$K$2:$K915,"Yes",$L$2:$L915,"")-1)))</f>
        <v/>
      </c>
      <c r="N915" s="22"/>
    </row>
    <row r="916" spans="1:14" x14ac:dyDescent="0.3">
      <c r="A916" s="15" t="str">
        <f>IF(COUNTA($B916:$E916,$K916)=0,"",IF(AND($B916&lt;&gt;"",$C916&lt;&gt;"",$D916&lt;&gt;"",$E916&lt;&gt;""),"TXS"&amp;TEXT(COUNTIFS($B$2:$B916,"&lt;&gt;",$C$2:$C916,"&lt;&gt;",$D$2:$D916,"&lt;&gt;",$E$2:$E916,"&lt;&gt;"),"00000"),""))</f>
        <v/>
      </c>
      <c r="B916" s="16"/>
      <c r="C916" s="20"/>
      <c r="D916" s="20"/>
      <c r="E916" s="23"/>
      <c r="H916" s="19" t="str">
        <f t="shared" si="48"/>
        <v/>
      </c>
      <c r="I916" s="19" t="str">
        <f t="shared" si="47"/>
        <v/>
      </c>
      <c r="J916" s="19" t="str">
        <f t="shared" si="49"/>
        <v/>
      </c>
      <c r="K916" s="20"/>
      <c r="L916" s="21" t="str">
        <f>IF(OR(NOT(AND($B916&lt;&gt;"",$C916&lt;&gt;"",$D916&lt;&gt;"",$E916&lt;&gt;"")),$A916="",$K916&lt;&gt;"Yes"),"",IF($L916&lt;&gt;"",$L916,INDEX(SETUP!$I$1:$I$2000,MATCH(TRUE,SETUP!$J$1:$J$2000,0)+COUNTIFS($A$2:$A916,"&lt;&gt;",$K$2:$K916,"Yes",$L$2:$L916,"")-1)))</f>
        <v/>
      </c>
      <c r="N916" s="22"/>
    </row>
    <row r="917" spans="1:14" x14ac:dyDescent="0.3">
      <c r="A917" s="15" t="str">
        <f>IF(COUNTA($B917:$E917,$K917)=0,"",IF(AND($B917&lt;&gt;"",$C917&lt;&gt;"",$D917&lt;&gt;"",$E917&lt;&gt;""),"TXS"&amp;TEXT(COUNTIFS($B$2:$B917,"&lt;&gt;",$C$2:$C917,"&lt;&gt;",$D$2:$D917,"&lt;&gt;",$E$2:$E917,"&lt;&gt;"),"00000"),""))</f>
        <v/>
      </c>
      <c r="B917" s="16"/>
      <c r="C917" s="20"/>
      <c r="D917" s="20"/>
      <c r="E917" s="23"/>
      <c r="H917" s="19" t="str">
        <f t="shared" si="48"/>
        <v/>
      </c>
      <c r="I917" s="19" t="str">
        <f t="shared" si="47"/>
        <v/>
      </c>
      <c r="J917" s="19" t="str">
        <f t="shared" si="49"/>
        <v/>
      </c>
      <c r="K917" s="20"/>
      <c r="L917" s="21" t="str">
        <f>IF(OR(NOT(AND($B917&lt;&gt;"",$C917&lt;&gt;"",$D917&lt;&gt;"",$E917&lt;&gt;"")),$A917="",$K917&lt;&gt;"Yes"),"",IF($L917&lt;&gt;"",$L917,INDEX(SETUP!$I$1:$I$2000,MATCH(TRUE,SETUP!$J$1:$J$2000,0)+COUNTIFS($A$2:$A917,"&lt;&gt;",$K$2:$K917,"Yes",$L$2:$L917,"")-1)))</f>
        <v/>
      </c>
      <c r="N917" s="22"/>
    </row>
    <row r="918" spans="1:14" x14ac:dyDescent="0.3">
      <c r="A918" s="15" t="str">
        <f>IF(COUNTA($B918:$E918,$K918)=0,"",IF(AND($B918&lt;&gt;"",$C918&lt;&gt;"",$D918&lt;&gt;"",$E918&lt;&gt;""),"TXS"&amp;TEXT(COUNTIFS($B$2:$B918,"&lt;&gt;",$C$2:$C918,"&lt;&gt;",$D$2:$D918,"&lt;&gt;",$E$2:$E918,"&lt;&gt;"),"00000"),""))</f>
        <v/>
      </c>
      <c r="B918" s="16"/>
      <c r="C918" s="20"/>
      <c r="D918" s="20"/>
      <c r="E918" s="23"/>
      <c r="H918" s="19" t="str">
        <f t="shared" si="48"/>
        <v/>
      </c>
      <c r="I918" s="19" t="str">
        <f t="shared" si="47"/>
        <v/>
      </c>
      <c r="J918" s="19" t="str">
        <f t="shared" si="49"/>
        <v/>
      </c>
      <c r="K918" s="20"/>
      <c r="L918" s="21" t="str">
        <f>IF(OR(NOT(AND($B918&lt;&gt;"",$C918&lt;&gt;"",$D918&lt;&gt;"",$E918&lt;&gt;"")),$A918="",$K918&lt;&gt;"Yes"),"",IF($L918&lt;&gt;"",$L918,INDEX(SETUP!$I$1:$I$2000,MATCH(TRUE,SETUP!$J$1:$J$2000,0)+COUNTIFS($A$2:$A918,"&lt;&gt;",$K$2:$K918,"Yes",$L$2:$L918,"")-1)))</f>
        <v/>
      </c>
      <c r="N918" s="22"/>
    </row>
    <row r="919" spans="1:14" x14ac:dyDescent="0.3">
      <c r="A919" s="15" t="str">
        <f>IF(COUNTA($B919:$E919,$K919)=0,"",IF(AND($B919&lt;&gt;"",$C919&lt;&gt;"",$D919&lt;&gt;"",$E919&lt;&gt;""),"TXS"&amp;TEXT(COUNTIFS($B$2:$B919,"&lt;&gt;",$C$2:$C919,"&lt;&gt;",$D$2:$D919,"&lt;&gt;",$E$2:$E919,"&lt;&gt;"),"00000"),""))</f>
        <v/>
      </c>
      <c r="B919" s="16"/>
      <c r="C919" s="20"/>
      <c r="D919" s="20"/>
      <c r="E919" s="23"/>
      <c r="H919" s="19" t="str">
        <f t="shared" si="48"/>
        <v/>
      </c>
      <c r="I919" s="19" t="str">
        <f t="shared" si="47"/>
        <v/>
      </c>
      <c r="J919" s="19" t="str">
        <f t="shared" si="49"/>
        <v/>
      </c>
      <c r="K919" s="20"/>
      <c r="L919" s="21" t="str">
        <f>IF(OR(NOT(AND($B919&lt;&gt;"",$C919&lt;&gt;"",$D919&lt;&gt;"",$E919&lt;&gt;"")),$A919="",$K919&lt;&gt;"Yes"),"",IF($L919&lt;&gt;"",$L919,INDEX(SETUP!$I$1:$I$2000,MATCH(TRUE,SETUP!$J$1:$J$2000,0)+COUNTIFS($A$2:$A919,"&lt;&gt;",$K$2:$K919,"Yes",$L$2:$L919,"")-1)))</f>
        <v/>
      </c>
      <c r="N919" s="22"/>
    </row>
    <row r="920" spans="1:14" x14ac:dyDescent="0.3">
      <c r="A920" s="15" t="str">
        <f>IF(COUNTA($B920:$E920,$K920)=0,"",IF(AND($B920&lt;&gt;"",$C920&lt;&gt;"",$D920&lt;&gt;"",$E920&lt;&gt;""),"TXS"&amp;TEXT(COUNTIFS($B$2:$B920,"&lt;&gt;",$C$2:$C920,"&lt;&gt;",$D$2:$D920,"&lt;&gt;",$E$2:$E920,"&lt;&gt;"),"00000"),""))</f>
        <v/>
      </c>
      <c r="B920" s="16"/>
      <c r="C920" s="20"/>
      <c r="D920" s="20"/>
      <c r="E920" s="23"/>
      <c r="H920" s="19" t="str">
        <f t="shared" si="48"/>
        <v/>
      </c>
      <c r="I920" s="19" t="str">
        <f t="shared" si="47"/>
        <v/>
      </c>
      <c r="J920" s="19" t="str">
        <f t="shared" si="49"/>
        <v/>
      </c>
      <c r="K920" s="20"/>
      <c r="L920" s="21" t="str">
        <f>IF(OR(NOT(AND($B920&lt;&gt;"",$C920&lt;&gt;"",$D920&lt;&gt;"",$E920&lt;&gt;"")),$A920="",$K920&lt;&gt;"Yes"),"",IF($L920&lt;&gt;"",$L920,INDEX(SETUP!$I$1:$I$2000,MATCH(TRUE,SETUP!$J$1:$J$2000,0)+COUNTIFS($A$2:$A920,"&lt;&gt;",$K$2:$K920,"Yes",$L$2:$L920,"")-1)))</f>
        <v/>
      </c>
      <c r="N920" s="22"/>
    </row>
    <row r="921" spans="1:14" x14ac:dyDescent="0.3">
      <c r="A921" s="15" t="str">
        <f>IF(COUNTA($B921:$E921,$K921)=0,"",IF(AND($B921&lt;&gt;"",$C921&lt;&gt;"",$D921&lt;&gt;"",$E921&lt;&gt;""),"TXS"&amp;TEXT(COUNTIFS($B$2:$B921,"&lt;&gt;",$C$2:$C921,"&lt;&gt;",$D$2:$D921,"&lt;&gt;",$E$2:$E921,"&lt;&gt;"),"00000"),""))</f>
        <v/>
      </c>
      <c r="B921" s="16"/>
      <c r="C921" s="20"/>
      <c r="D921" s="20"/>
      <c r="E921" s="23"/>
      <c r="H921" s="19" t="str">
        <f t="shared" si="48"/>
        <v/>
      </c>
      <c r="I921" s="19" t="str">
        <f t="shared" si="47"/>
        <v/>
      </c>
      <c r="J921" s="19" t="str">
        <f t="shared" si="49"/>
        <v/>
      </c>
      <c r="K921" s="20"/>
      <c r="L921" s="21" t="str">
        <f>IF(OR(NOT(AND($B921&lt;&gt;"",$C921&lt;&gt;"",$D921&lt;&gt;"",$E921&lt;&gt;"")),$A921="",$K921&lt;&gt;"Yes"),"",IF($L921&lt;&gt;"",$L921,INDEX(SETUP!$I$1:$I$2000,MATCH(TRUE,SETUP!$J$1:$J$2000,0)+COUNTIFS($A$2:$A921,"&lt;&gt;",$K$2:$K921,"Yes",$L$2:$L921,"")-1)))</f>
        <v/>
      </c>
      <c r="N921" s="22"/>
    </row>
    <row r="922" spans="1:14" x14ac:dyDescent="0.3">
      <c r="A922" s="15" t="str">
        <f>IF(COUNTA($B922:$E922,$K922)=0,"",IF(AND($B922&lt;&gt;"",$C922&lt;&gt;"",$D922&lt;&gt;"",$E922&lt;&gt;""),"TXS"&amp;TEXT(COUNTIFS($B$2:$B922,"&lt;&gt;",$C$2:$C922,"&lt;&gt;",$D$2:$D922,"&lt;&gt;",$E$2:$E922,"&lt;&gt;"),"00000"),""))</f>
        <v/>
      </c>
      <c r="B922" s="16"/>
      <c r="C922" s="20"/>
      <c r="D922" s="20"/>
      <c r="E922" s="23"/>
      <c r="H922" s="19" t="str">
        <f t="shared" si="48"/>
        <v/>
      </c>
      <c r="I922" s="19" t="str">
        <f t="shared" si="47"/>
        <v/>
      </c>
      <c r="J922" s="19" t="str">
        <f t="shared" si="49"/>
        <v/>
      </c>
      <c r="K922" s="20"/>
      <c r="L922" s="21" t="str">
        <f>IF(OR(NOT(AND($B922&lt;&gt;"",$C922&lt;&gt;"",$D922&lt;&gt;"",$E922&lt;&gt;"")),$A922="",$K922&lt;&gt;"Yes"),"",IF($L922&lt;&gt;"",$L922,INDEX(SETUP!$I$1:$I$2000,MATCH(TRUE,SETUP!$J$1:$J$2000,0)+COUNTIFS($A$2:$A922,"&lt;&gt;",$K$2:$K922,"Yes",$L$2:$L922,"")-1)))</f>
        <v/>
      </c>
      <c r="N922" s="22"/>
    </row>
    <row r="923" spans="1:14" x14ac:dyDescent="0.3">
      <c r="A923" s="15" t="str">
        <f>IF(COUNTA($B923:$E923,$K923)=0,"",IF(AND($B923&lt;&gt;"",$C923&lt;&gt;"",$D923&lt;&gt;"",$E923&lt;&gt;""),"TXS"&amp;TEXT(COUNTIFS($B$2:$B923,"&lt;&gt;",$C$2:$C923,"&lt;&gt;",$D$2:$D923,"&lt;&gt;",$E$2:$E923,"&lt;&gt;"),"00000"),""))</f>
        <v/>
      </c>
      <c r="B923" s="16"/>
      <c r="C923" s="20"/>
      <c r="D923" s="20"/>
      <c r="E923" s="23"/>
      <c r="H923" s="19" t="str">
        <f t="shared" si="48"/>
        <v/>
      </c>
      <c r="I923" s="19" t="str">
        <f t="shared" si="47"/>
        <v/>
      </c>
      <c r="J923" s="19" t="str">
        <f t="shared" si="49"/>
        <v/>
      </c>
      <c r="K923" s="20"/>
      <c r="L923" s="21" t="str">
        <f>IF(OR(NOT(AND($B923&lt;&gt;"",$C923&lt;&gt;"",$D923&lt;&gt;"",$E923&lt;&gt;"")),$A923="",$K923&lt;&gt;"Yes"),"",IF($L923&lt;&gt;"",$L923,INDEX(SETUP!$I$1:$I$2000,MATCH(TRUE,SETUP!$J$1:$J$2000,0)+COUNTIFS($A$2:$A923,"&lt;&gt;",$K$2:$K923,"Yes",$L$2:$L923,"")-1)))</f>
        <v/>
      </c>
      <c r="N923" s="22"/>
    </row>
    <row r="924" spans="1:14" x14ac:dyDescent="0.3">
      <c r="A924" s="15" t="str">
        <f>IF(COUNTA($B924:$E924,$K924)=0,"",IF(AND($B924&lt;&gt;"",$C924&lt;&gt;"",$D924&lt;&gt;"",$E924&lt;&gt;""),"TXS"&amp;TEXT(COUNTIFS($B$2:$B924,"&lt;&gt;",$C$2:$C924,"&lt;&gt;",$D$2:$D924,"&lt;&gt;",$E$2:$E924,"&lt;&gt;"),"00000"),""))</f>
        <v/>
      </c>
      <c r="B924" s="16"/>
      <c r="C924" s="20"/>
      <c r="D924" s="20"/>
      <c r="E924" s="23"/>
      <c r="H924" s="19" t="str">
        <f t="shared" si="48"/>
        <v/>
      </c>
      <c r="I924" s="19" t="str">
        <f t="shared" si="47"/>
        <v/>
      </c>
      <c r="J924" s="19" t="str">
        <f t="shared" si="49"/>
        <v/>
      </c>
      <c r="K924" s="20"/>
      <c r="L924" s="21" t="str">
        <f>IF(OR(NOT(AND($B924&lt;&gt;"",$C924&lt;&gt;"",$D924&lt;&gt;"",$E924&lt;&gt;"")),$A924="",$K924&lt;&gt;"Yes"),"",IF($L924&lt;&gt;"",$L924,INDEX(SETUP!$I$1:$I$2000,MATCH(TRUE,SETUP!$J$1:$J$2000,0)+COUNTIFS($A$2:$A924,"&lt;&gt;",$K$2:$K924,"Yes",$L$2:$L924,"")-1)))</f>
        <v/>
      </c>
      <c r="N924" s="22"/>
    </row>
    <row r="925" spans="1:14" x14ac:dyDescent="0.3">
      <c r="A925" s="15" t="str">
        <f>IF(COUNTA($B925:$E925,$K925)=0,"",IF(AND($B925&lt;&gt;"",$C925&lt;&gt;"",$D925&lt;&gt;"",$E925&lt;&gt;""),"TXS"&amp;TEXT(COUNTIFS($B$2:$B925,"&lt;&gt;",$C$2:$C925,"&lt;&gt;",$D$2:$D925,"&lt;&gt;",$E$2:$E925,"&lt;&gt;"),"00000"),""))</f>
        <v/>
      </c>
      <c r="B925" s="16"/>
      <c r="C925" s="20"/>
      <c r="D925" s="20"/>
      <c r="E925" s="23"/>
      <c r="H925" s="19" t="str">
        <f t="shared" si="48"/>
        <v/>
      </c>
      <c r="I925" s="19" t="str">
        <f t="shared" si="47"/>
        <v/>
      </c>
      <c r="J925" s="19" t="str">
        <f t="shared" si="49"/>
        <v/>
      </c>
      <c r="K925" s="20"/>
      <c r="L925" s="21" t="str">
        <f>IF(OR(NOT(AND($B925&lt;&gt;"",$C925&lt;&gt;"",$D925&lt;&gt;"",$E925&lt;&gt;"")),$A925="",$K925&lt;&gt;"Yes"),"",IF($L925&lt;&gt;"",$L925,INDEX(SETUP!$I$1:$I$2000,MATCH(TRUE,SETUP!$J$1:$J$2000,0)+COUNTIFS($A$2:$A925,"&lt;&gt;",$K$2:$K925,"Yes",$L$2:$L925,"")-1)))</f>
        <v/>
      </c>
      <c r="N925" s="22"/>
    </row>
    <row r="926" spans="1:14" x14ac:dyDescent="0.3">
      <c r="A926" s="15" t="str">
        <f>IF(COUNTA($B926:$E926,$K926)=0,"",IF(AND($B926&lt;&gt;"",$C926&lt;&gt;"",$D926&lt;&gt;"",$E926&lt;&gt;""),"TXS"&amp;TEXT(COUNTIFS($B$2:$B926,"&lt;&gt;",$C$2:$C926,"&lt;&gt;",$D$2:$D926,"&lt;&gt;",$E$2:$E926,"&lt;&gt;"),"00000"),""))</f>
        <v/>
      </c>
      <c r="B926" s="16"/>
      <c r="C926" s="20"/>
      <c r="D926" s="20"/>
      <c r="E926" s="23"/>
      <c r="H926" s="19" t="str">
        <f t="shared" si="48"/>
        <v/>
      </c>
      <c r="I926" s="19" t="str">
        <f t="shared" si="47"/>
        <v/>
      </c>
      <c r="J926" s="19" t="str">
        <f t="shared" si="49"/>
        <v/>
      </c>
      <c r="K926" s="20"/>
      <c r="L926" s="21" t="str">
        <f>IF(OR(NOT(AND($B926&lt;&gt;"",$C926&lt;&gt;"",$D926&lt;&gt;"",$E926&lt;&gt;"")),$A926="",$K926&lt;&gt;"Yes"),"",IF($L926&lt;&gt;"",$L926,INDEX(SETUP!$I$1:$I$2000,MATCH(TRUE,SETUP!$J$1:$J$2000,0)+COUNTIFS($A$2:$A926,"&lt;&gt;",$K$2:$K926,"Yes",$L$2:$L926,"")-1)))</f>
        <v/>
      </c>
      <c r="N926" s="22"/>
    </row>
    <row r="927" spans="1:14" x14ac:dyDescent="0.3">
      <c r="A927" s="15" t="str">
        <f>IF(COUNTA($B927:$E927,$K927)=0,"",IF(AND($B927&lt;&gt;"",$C927&lt;&gt;"",$D927&lt;&gt;"",$E927&lt;&gt;""),"TXS"&amp;TEXT(COUNTIFS($B$2:$B927,"&lt;&gt;",$C$2:$C927,"&lt;&gt;",$D$2:$D927,"&lt;&gt;",$E$2:$E927,"&lt;&gt;"),"00000"),""))</f>
        <v/>
      </c>
      <c r="B927" s="16"/>
      <c r="C927" s="20"/>
      <c r="D927" s="20"/>
      <c r="E927" s="23"/>
      <c r="H927" s="19" t="str">
        <f t="shared" si="48"/>
        <v/>
      </c>
      <c r="I927" s="19" t="str">
        <f t="shared" si="47"/>
        <v/>
      </c>
      <c r="J927" s="19" t="str">
        <f t="shared" si="49"/>
        <v/>
      </c>
      <c r="K927" s="20"/>
      <c r="L927" s="21" t="str">
        <f>IF(OR(NOT(AND($B927&lt;&gt;"",$C927&lt;&gt;"",$D927&lt;&gt;"",$E927&lt;&gt;"")),$A927="",$K927&lt;&gt;"Yes"),"",IF($L927&lt;&gt;"",$L927,INDEX(SETUP!$I$1:$I$2000,MATCH(TRUE,SETUP!$J$1:$J$2000,0)+COUNTIFS($A$2:$A927,"&lt;&gt;",$K$2:$K927,"Yes",$L$2:$L927,"")-1)))</f>
        <v/>
      </c>
      <c r="N927" s="22"/>
    </row>
    <row r="928" spans="1:14" x14ac:dyDescent="0.3">
      <c r="A928" s="15" t="str">
        <f>IF(COUNTA($B928:$E928,$K928)=0,"",IF(AND($B928&lt;&gt;"",$C928&lt;&gt;"",$D928&lt;&gt;"",$E928&lt;&gt;""),"TXS"&amp;TEXT(COUNTIFS($B$2:$B928,"&lt;&gt;",$C$2:$C928,"&lt;&gt;",$D$2:$D928,"&lt;&gt;",$E$2:$E928,"&lt;&gt;"),"00000"),""))</f>
        <v/>
      </c>
      <c r="B928" s="16"/>
      <c r="C928" s="20"/>
      <c r="D928" s="20"/>
      <c r="E928" s="23"/>
      <c r="H928" s="19" t="str">
        <f t="shared" si="48"/>
        <v/>
      </c>
      <c r="I928" s="19" t="str">
        <f t="shared" si="47"/>
        <v/>
      </c>
      <c r="J928" s="19" t="str">
        <f t="shared" si="49"/>
        <v/>
      </c>
      <c r="K928" s="20"/>
      <c r="L928" s="21" t="str">
        <f>IF(OR(NOT(AND($B928&lt;&gt;"",$C928&lt;&gt;"",$D928&lt;&gt;"",$E928&lt;&gt;"")),$A928="",$K928&lt;&gt;"Yes"),"",IF($L928&lt;&gt;"",$L928,INDEX(SETUP!$I$1:$I$2000,MATCH(TRUE,SETUP!$J$1:$J$2000,0)+COUNTIFS($A$2:$A928,"&lt;&gt;",$K$2:$K928,"Yes",$L$2:$L928,"")-1)))</f>
        <v/>
      </c>
      <c r="N928" s="22"/>
    </row>
    <row r="929" spans="1:14" x14ac:dyDescent="0.3">
      <c r="A929" s="15" t="str">
        <f>IF(COUNTA($B929:$E929,$K929)=0,"",IF(AND($B929&lt;&gt;"",$C929&lt;&gt;"",$D929&lt;&gt;"",$E929&lt;&gt;""),"TXS"&amp;TEXT(COUNTIFS($B$2:$B929,"&lt;&gt;",$C$2:$C929,"&lt;&gt;",$D$2:$D929,"&lt;&gt;",$E$2:$E929,"&lt;&gt;"),"00000"),""))</f>
        <v/>
      </c>
      <c r="B929" s="16"/>
      <c r="C929" s="20"/>
      <c r="D929" s="20"/>
      <c r="E929" s="23"/>
      <c r="H929" s="19" t="str">
        <f t="shared" si="48"/>
        <v/>
      </c>
      <c r="I929" s="19" t="str">
        <f t="shared" si="47"/>
        <v/>
      </c>
      <c r="J929" s="19" t="str">
        <f t="shared" si="49"/>
        <v/>
      </c>
      <c r="K929" s="20"/>
      <c r="L929" s="21" t="str">
        <f>IF(OR(NOT(AND($B929&lt;&gt;"",$C929&lt;&gt;"",$D929&lt;&gt;"",$E929&lt;&gt;"")),$A929="",$K929&lt;&gt;"Yes"),"",IF($L929&lt;&gt;"",$L929,INDEX(SETUP!$I$1:$I$2000,MATCH(TRUE,SETUP!$J$1:$J$2000,0)+COUNTIFS($A$2:$A929,"&lt;&gt;",$K$2:$K929,"Yes",$L$2:$L929,"")-1)))</f>
        <v/>
      </c>
      <c r="N929" s="22"/>
    </row>
    <row r="930" spans="1:14" x14ac:dyDescent="0.3">
      <c r="A930" s="15" t="str">
        <f>IF(COUNTA($B930:$E930,$K930)=0,"",IF(AND($B930&lt;&gt;"",$C930&lt;&gt;"",$D930&lt;&gt;"",$E930&lt;&gt;""),"TXS"&amp;TEXT(COUNTIFS($B$2:$B930,"&lt;&gt;",$C$2:$C930,"&lt;&gt;",$D$2:$D930,"&lt;&gt;",$E$2:$E930,"&lt;&gt;"),"00000"),""))</f>
        <v/>
      </c>
      <c r="B930" s="16"/>
      <c r="C930" s="20"/>
      <c r="D930" s="20"/>
      <c r="E930" s="23"/>
      <c r="H930" s="19" t="str">
        <f t="shared" si="48"/>
        <v/>
      </c>
      <c r="I930" s="19" t="str">
        <f t="shared" si="47"/>
        <v/>
      </c>
      <c r="J930" s="19" t="str">
        <f t="shared" si="49"/>
        <v/>
      </c>
      <c r="K930" s="20"/>
      <c r="L930" s="21" t="str">
        <f>IF(OR(NOT(AND($B930&lt;&gt;"",$C930&lt;&gt;"",$D930&lt;&gt;"",$E930&lt;&gt;"")),$A930="",$K930&lt;&gt;"Yes"),"",IF($L930&lt;&gt;"",$L930,INDEX(SETUP!$I$1:$I$2000,MATCH(TRUE,SETUP!$J$1:$J$2000,0)+COUNTIFS($A$2:$A930,"&lt;&gt;",$K$2:$K930,"Yes",$L$2:$L930,"")-1)))</f>
        <v/>
      </c>
      <c r="N930" s="22"/>
    </row>
    <row r="931" spans="1:14" x14ac:dyDescent="0.3">
      <c r="A931" s="15" t="str">
        <f>IF(COUNTA($B931:$E931,$K931)=0,"",IF(AND($B931&lt;&gt;"",$C931&lt;&gt;"",$D931&lt;&gt;"",$E931&lt;&gt;""),"TXS"&amp;TEXT(COUNTIFS($B$2:$B931,"&lt;&gt;",$C$2:$C931,"&lt;&gt;",$D$2:$D931,"&lt;&gt;",$E$2:$E931,"&lt;&gt;"),"00000"),""))</f>
        <v/>
      </c>
      <c r="B931" s="16"/>
      <c r="C931" s="20"/>
      <c r="D931" s="20"/>
      <c r="E931" s="23"/>
      <c r="H931" s="19" t="str">
        <f t="shared" si="48"/>
        <v/>
      </c>
      <c r="I931" s="19" t="str">
        <f t="shared" si="47"/>
        <v/>
      </c>
      <c r="J931" s="19" t="str">
        <f t="shared" si="49"/>
        <v/>
      </c>
      <c r="K931" s="20"/>
      <c r="L931" s="21" t="str">
        <f>IF(OR(NOT(AND($B931&lt;&gt;"",$C931&lt;&gt;"",$D931&lt;&gt;"",$E931&lt;&gt;"")),$A931="",$K931&lt;&gt;"Yes"),"",IF($L931&lt;&gt;"",$L931,INDEX(SETUP!$I$1:$I$2000,MATCH(TRUE,SETUP!$J$1:$J$2000,0)+COUNTIFS($A$2:$A931,"&lt;&gt;",$K$2:$K931,"Yes",$L$2:$L931,"")-1)))</f>
        <v/>
      </c>
      <c r="N931" s="22"/>
    </row>
    <row r="932" spans="1:14" x14ac:dyDescent="0.3">
      <c r="A932" s="15" t="str">
        <f>IF(COUNTA($B932:$E932,$K932)=0,"",IF(AND($B932&lt;&gt;"",$C932&lt;&gt;"",$D932&lt;&gt;"",$E932&lt;&gt;""),"TXS"&amp;TEXT(COUNTIFS($B$2:$B932,"&lt;&gt;",$C$2:$C932,"&lt;&gt;",$D$2:$D932,"&lt;&gt;",$E$2:$E932,"&lt;&gt;"),"00000"),""))</f>
        <v/>
      </c>
      <c r="B932" s="16"/>
      <c r="C932" s="20"/>
      <c r="D932" s="20"/>
      <c r="E932" s="23"/>
      <c r="H932" s="19" t="str">
        <f t="shared" si="48"/>
        <v/>
      </c>
      <c r="I932" s="19" t="str">
        <f t="shared" si="47"/>
        <v/>
      </c>
      <c r="J932" s="19" t="str">
        <f t="shared" si="49"/>
        <v/>
      </c>
      <c r="K932" s="20"/>
      <c r="L932" s="21" t="str">
        <f>IF(OR(NOT(AND($B932&lt;&gt;"",$C932&lt;&gt;"",$D932&lt;&gt;"",$E932&lt;&gt;"")),$A932="",$K932&lt;&gt;"Yes"),"",IF($L932&lt;&gt;"",$L932,INDEX(SETUP!$I$1:$I$2000,MATCH(TRUE,SETUP!$J$1:$J$2000,0)+COUNTIFS($A$2:$A932,"&lt;&gt;",$K$2:$K932,"Yes",$L$2:$L932,"")-1)))</f>
        <v/>
      </c>
      <c r="N932" s="22"/>
    </row>
    <row r="933" spans="1:14" x14ac:dyDescent="0.3">
      <c r="A933" s="15" t="str">
        <f>IF(COUNTA($B933:$E933,$K933)=0,"",IF(AND($B933&lt;&gt;"",$C933&lt;&gt;"",$D933&lt;&gt;"",$E933&lt;&gt;""),"TXS"&amp;TEXT(COUNTIFS($B$2:$B933,"&lt;&gt;",$C$2:$C933,"&lt;&gt;",$D$2:$D933,"&lt;&gt;",$E$2:$E933,"&lt;&gt;"),"00000"),""))</f>
        <v/>
      </c>
      <c r="B933" s="16"/>
      <c r="C933" s="20"/>
      <c r="D933" s="20"/>
      <c r="E933" s="23"/>
      <c r="H933" s="19" t="str">
        <f t="shared" si="48"/>
        <v/>
      </c>
      <c r="I933" s="19" t="str">
        <f t="shared" si="47"/>
        <v/>
      </c>
      <c r="J933" s="19" t="str">
        <f t="shared" si="49"/>
        <v/>
      </c>
      <c r="K933" s="20"/>
      <c r="L933" s="21" t="str">
        <f>IF(OR(NOT(AND($B933&lt;&gt;"",$C933&lt;&gt;"",$D933&lt;&gt;"",$E933&lt;&gt;"")),$A933="",$K933&lt;&gt;"Yes"),"",IF($L933&lt;&gt;"",$L933,INDEX(SETUP!$I$1:$I$2000,MATCH(TRUE,SETUP!$J$1:$J$2000,0)+COUNTIFS($A$2:$A933,"&lt;&gt;",$K$2:$K933,"Yes",$L$2:$L933,"")-1)))</f>
        <v/>
      </c>
      <c r="N933" s="22"/>
    </row>
    <row r="934" spans="1:14" x14ac:dyDescent="0.3">
      <c r="A934" s="15" t="str">
        <f>IF(COUNTA($B934:$E934,$K934)=0,"",IF(AND($B934&lt;&gt;"",$C934&lt;&gt;"",$D934&lt;&gt;"",$E934&lt;&gt;""),"TXS"&amp;TEXT(COUNTIFS($B$2:$B934,"&lt;&gt;",$C$2:$C934,"&lt;&gt;",$D$2:$D934,"&lt;&gt;",$E$2:$E934,"&lt;&gt;"),"00000"),""))</f>
        <v/>
      </c>
      <c r="B934" s="16"/>
      <c r="C934" s="20"/>
      <c r="D934" s="20"/>
      <c r="E934" s="23"/>
      <c r="H934" s="19" t="str">
        <f t="shared" si="48"/>
        <v/>
      </c>
      <c r="I934" s="19" t="str">
        <f t="shared" si="47"/>
        <v/>
      </c>
      <c r="J934" s="19" t="str">
        <f t="shared" si="49"/>
        <v/>
      </c>
      <c r="K934" s="20"/>
      <c r="L934" s="21" t="str">
        <f>IF(OR(NOT(AND($B934&lt;&gt;"",$C934&lt;&gt;"",$D934&lt;&gt;"",$E934&lt;&gt;"")),$A934="",$K934&lt;&gt;"Yes"),"",IF($L934&lt;&gt;"",$L934,INDEX(SETUP!$I$1:$I$2000,MATCH(TRUE,SETUP!$J$1:$J$2000,0)+COUNTIFS($A$2:$A934,"&lt;&gt;",$K$2:$K934,"Yes",$L$2:$L934,"")-1)))</f>
        <v/>
      </c>
      <c r="N934" s="22"/>
    </row>
    <row r="935" spans="1:14" x14ac:dyDescent="0.3">
      <c r="A935" s="15" t="str">
        <f>IF(COUNTA($B935:$E935,$K935)=0,"",IF(AND($B935&lt;&gt;"",$C935&lt;&gt;"",$D935&lt;&gt;"",$E935&lt;&gt;""),"TXS"&amp;TEXT(COUNTIFS($B$2:$B935,"&lt;&gt;",$C$2:$C935,"&lt;&gt;",$D$2:$D935,"&lt;&gt;",$E$2:$E935,"&lt;&gt;"),"00000"),""))</f>
        <v/>
      </c>
      <c r="B935" s="16"/>
      <c r="C935" s="20"/>
      <c r="D935" s="20"/>
      <c r="E935" s="23"/>
      <c r="H935" s="19" t="str">
        <f t="shared" si="48"/>
        <v/>
      </c>
      <c r="I935" s="19" t="str">
        <f t="shared" si="47"/>
        <v/>
      </c>
      <c r="J935" s="19" t="str">
        <f t="shared" si="49"/>
        <v/>
      </c>
      <c r="K935" s="20"/>
      <c r="L935" s="21" t="str">
        <f>IF(OR(NOT(AND($B935&lt;&gt;"",$C935&lt;&gt;"",$D935&lt;&gt;"",$E935&lt;&gt;"")),$A935="",$K935&lt;&gt;"Yes"),"",IF($L935&lt;&gt;"",$L935,INDEX(SETUP!$I$1:$I$2000,MATCH(TRUE,SETUP!$J$1:$J$2000,0)+COUNTIFS($A$2:$A935,"&lt;&gt;",$K$2:$K935,"Yes",$L$2:$L935,"")-1)))</f>
        <v/>
      </c>
      <c r="N935" s="22"/>
    </row>
    <row r="936" spans="1:14" x14ac:dyDescent="0.3">
      <c r="A936" s="15" t="str">
        <f>IF(COUNTA($B936:$E936,$K936)=0,"",IF(AND($B936&lt;&gt;"",$C936&lt;&gt;"",$D936&lt;&gt;"",$E936&lt;&gt;""),"TXS"&amp;TEXT(COUNTIFS($B$2:$B936,"&lt;&gt;",$C$2:$C936,"&lt;&gt;",$D$2:$D936,"&lt;&gt;",$E$2:$E936,"&lt;&gt;"),"00000"),""))</f>
        <v/>
      </c>
      <c r="B936" s="16"/>
      <c r="C936" s="20"/>
      <c r="D936" s="20"/>
      <c r="E936" s="23"/>
      <c r="H936" s="19" t="str">
        <f t="shared" si="48"/>
        <v/>
      </c>
      <c r="I936" s="19" t="str">
        <f t="shared" si="47"/>
        <v/>
      </c>
      <c r="J936" s="19" t="str">
        <f t="shared" si="49"/>
        <v/>
      </c>
      <c r="K936" s="20"/>
      <c r="L936" s="21" t="str">
        <f>IF(OR(NOT(AND($B936&lt;&gt;"",$C936&lt;&gt;"",$D936&lt;&gt;"",$E936&lt;&gt;"")),$A936="",$K936&lt;&gt;"Yes"),"",IF($L936&lt;&gt;"",$L936,INDEX(SETUP!$I$1:$I$2000,MATCH(TRUE,SETUP!$J$1:$J$2000,0)+COUNTIFS($A$2:$A936,"&lt;&gt;",$K$2:$K936,"Yes",$L$2:$L936,"")-1)))</f>
        <v/>
      </c>
      <c r="N936" s="22"/>
    </row>
    <row r="937" spans="1:14" x14ac:dyDescent="0.3">
      <c r="A937" s="15" t="str">
        <f>IF(COUNTA($B937:$E937,$K937)=0,"",IF(AND($B937&lt;&gt;"",$C937&lt;&gt;"",$D937&lt;&gt;"",$E937&lt;&gt;""),"TXS"&amp;TEXT(COUNTIFS($B$2:$B937,"&lt;&gt;",$C$2:$C937,"&lt;&gt;",$D$2:$D937,"&lt;&gt;",$E$2:$E937,"&lt;&gt;"),"00000"),""))</f>
        <v/>
      </c>
      <c r="B937" s="16"/>
      <c r="C937" s="20"/>
      <c r="D937" s="20"/>
      <c r="E937" s="23"/>
      <c r="H937" s="19" t="str">
        <f t="shared" si="48"/>
        <v/>
      </c>
      <c r="I937" s="19" t="str">
        <f t="shared" ref="I937:I1000" si="50">IF(NOT(AND($B937&lt;&gt;"",$C937&lt;&gt;"",$D937&lt;&gt;"",$E937&lt;&gt;"")),"",IF($A937="","","NIH plate "&amp;INT((VALUE(RIGHT($A937,5))-1)/96)+1&amp;": "&amp;CHAR(65+INT(MOD(VALUE(RIGHT($A937,5))-1,96)/12))&amp;(MOD(VALUE(RIGHT($A937,5))-1,12)+1)))</f>
        <v/>
      </c>
      <c r="J937" s="19" t="str">
        <f t="shared" si="49"/>
        <v/>
      </c>
      <c r="K937" s="20"/>
      <c r="L937" s="21" t="str">
        <f>IF(OR(NOT(AND($B937&lt;&gt;"",$C937&lt;&gt;"",$D937&lt;&gt;"",$E937&lt;&gt;"")),$A937="",$K937&lt;&gt;"Yes"),"",IF($L937&lt;&gt;"",$L937,INDEX(SETUP!$I$1:$I$2000,MATCH(TRUE,SETUP!$J$1:$J$2000,0)+COUNTIFS($A$2:$A937,"&lt;&gt;",$K$2:$K937,"Yes",$L$2:$L937,"")-1)))</f>
        <v/>
      </c>
      <c r="N937" s="22"/>
    </row>
    <row r="938" spans="1:14" x14ac:dyDescent="0.3">
      <c r="A938" s="15" t="str">
        <f>IF(COUNTA($B938:$E938,$K938)=0,"",IF(AND($B938&lt;&gt;"",$C938&lt;&gt;"",$D938&lt;&gt;"",$E938&lt;&gt;""),"TXS"&amp;TEXT(COUNTIFS($B$2:$B938,"&lt;&gt;",$C$2:$C938,"&lt;&gt;",$D$2:$D938,"&lt;&gt;",$E$2:$E938,"&lt;&gt;"),"00000"),""))</f>
        <v/>
      </c>
      <c r="B938" s="16"/>
      <c r="C938" s="20"/>
      <c r="D938" s="20"/>
      <c r="E938" s="23"/>
      <c r="H938" s="19" t="str">
        <f t="shared" si="48"/>
        <v/>
      </c>
      <c r="I938" s="19" t="str">
        <f t="shared" si="50"/>
        <v/>
      </c>
      <c r="J938" s="19" t="str">
        <f t="shared" si="49"/>
        <v/>
      </c>
      <c r="K938" s="20"/>
      <c r="L938" s="21" t="str">
        <f>IF(OR(NOT(AND($B938&lt;&gt;"",$C938&lt;&gt;"",$D938&lt;&gt;"",$E938&lt;&gt;"")),$A938="",$K938&lt;&gt;"Yes"),"",IF($L938&lt;&gt;"",$L938,INDEX(SETUP!$I$1:$I$2000,MATCH(TRUE,SETUP!$J$1:$J$2000,0)+COUNTIFS($A$2:$A938,"&lt;&gt;",$K$2:$K938,"Yes",$L$2:$L938,"")-1)))</f>
        <v/>
      </c>
      <c r="N938" s="22"/>
    </row>
    <row r="939" spans="1:14" x14ac:dyDescent="0.3">
      <c r="A939" s="15" t="str">
        <f>IF(COUNTA($B939:$E939,$K939)=0,"",IF(AND($B939&lt;&gt;"",$C939&lt;&gt;"",$D939&lt;&gt;"",$E939&lt;&gt;""),"TXS"&amp;TEXT(COUNTIFS($B$2:$B939,"&lt;&gt;",$C$2:$C939,"&lt;&gt;",$D$2:$D939,"&lt;&gt;",$E$2:$E939,"&lt;&gt;"),"00000"),""))</f>
        <v/>
      </c>
      <c r="B939" s="16"/>
      <c r="C939" s="20"/>
      <c r="D939" s="20"/>
      <c r="E939" s="23"/>
      <c r="H939" s="19" t="str">
        <f t="shared" si="48"/>
        <v/>
      </c>
      <c r="I939" s="19" t="str">
        <f t="shared" si="50"/>
        <v/>
      </c>
      <c r="J939" s="19" t="str">
        <f t="shared" si="49"/>
        <v/>
      </c>
      <c r="K939" s="20"/>
      <c r="L939" s="21" t="str">
        <f>IF(OR(NOT(AND($B939&lt;&gt;"",$C939&lt;&gt;"",$D939&lt;&gt;"",$E939&lt;&gt;"")),$A939="",$K939&lt;&gt;"Yes"),"",IF($L939&lt;&gt;"",$L939,INDEX(SETUP!$I$1:$I$2000,MATCH(TRUE,SETUP!$J$1:$J$2000,0)+COUNTIFS($A$2:$A939,"&lt;&gt;",$K$2:$K939,"Yes",$L$2:$L939,"")-1)))</f>
        <v/>
      </c>
      <c r="N939" s="22"/>
    </row>
    <row r="940" spans="1:14" x14ac:dyDescent="0.3">
      <c r="A940" s="15" t="str">
        <f>IF(COUNTA($B940:$E940,$K940)=0,"",IF(AND($B940&lt;&gt;"",$C940&lt;&gt;"",$D940&lt;&gt;"",$E940&lt;&gt;""),"TXS"&amp;TEXT(COUNTIFS($B$2:$B940,"&lt;&gt;",$C$2:$C940,"&lt;&gt;",$D$2:$D940,"&lt;&gt;",$E$2:$E940,"&lt;&gt;"),"00000"),""))</f>
        <v/>
      </c>
      <c r="B940" s="16"/>
      <c r="C940" s="20"/>
      <c r="D940" s="20"/>
      <c r="E940" s="23"/>
      <c r="H940" s="19" t="str">
        <f t="shared" si="48"/>
        <v/>
      </c>
      <c r="I940" s="19" t="str">
        <f t="shared" si="50"/>
        <v/>
      </c>
      <c r="J940" s="19" t="str">
        <f t="shared" si="49"/>
        <v/>
      </c>
      <c r="K940" s="20"/>
      <c r="L940" s="21" t="str">
        <f>IF(OR(NOT(AND($B940&lt;&gt;"",$C940&lt;&gt;"",$D940&lt;&gt;"",$E940&lt;&gt;"")),$A940="",$K940&lt;&gt;"Yes"),"",IF($L940&lt;&gt;"",$L940,INDEX(SETUP!$I$1:$I$2000,MATCH(TRUE,SETUP!$J$1:$J$2000,0)+COUNTIFS($A$2:$A940,"&lt;&gt;",$K$2:$K940,"Yes",$L$2:$L940,"")-1)))</f>
        <v/>
      </c>
      <c r="N940" s="22"/>
    </row>
    <row r="941" spans="1:14" x14ac:dyDescent="0.3">
      <c r="A941" s="15" t="str">
        <f>IF(COUNTA($B941:$E941,$K941)=0,"",IF(AND($B941&lt;&gt;"",$C941&lt;&gt;"",$D941&lt;&gt;"",$E941&lt;&gt;""),"TXS"&amp;TEXT(COUNTIFS($B$2:$B941,"&lt;&gt;",$C$2:$C941,"&lt;&gt;",$D$2:$D941,"&lt;&gt;",$E$2:$E941,"&lt;&gt;"),"00000"),""))</f>
        <v/>
      </c>
      <c r="B941" s="16"/>
      <c r="C941" s="20"/>
      <c r="D941" s="20"/>
      <c r="E941" s="23"/>
      <c r="H941" s="19" t="str">
        <f t="shared" si="48"/>
        <v/>
      </c>
      <c r="I941" s="19" t="str">
        <f t="shared" si="50"/>
        <v/>
      </c>
      <c r="J941" s="19" t="str">
        <f t="shared" si="49"/>
        <v/>
      </c>
      <c r="K941" s="20"/>
      <c r="L941" s="21" t="str">
        <f>IF(OR(NOT(AND($B941&lt;&gt;"",$C941&lt;&gt;"",$D941&lt;&gt;"",$E941&lt;&gt;"")),$A941="",$K941&lt;&gt;"Yes"),"",IF($L941&lt;&gt;"",$L941,INDEX(SETUP!$I$1:$I$2000,MATCH(TRUE,SETUP!$J$1:$J$2000,0)+COUNTIFS($A$2:$A941,"&lt;&gt;",$K$2:$K941,"Yes",$L$2:$L941,"")-1)))</f>
        <v/>
      </c>
      <c r="N941" s="22"/>
    </row>
    <row r="942" spans="1:14" x14ac:dyDescent="0.3">
      <c r="A942" s="15" t="str">
        <f>IF(COUNTA($B942:$E942,$K942)=0,"",IF(AND($B942&lt;&gt;"",$C942&lt;&gt;"",$D942&lt;&gt;"",$E942&lt;&gt;""),"TXS"&amp;TEXT(COUNTIFS($B$2:$B942,"&lt;&gt;",$C$2:$C942,"&lt;&gt;",$D$2:$D942,"&lt;&gt;",$E$2:$E942,"&lt;&gt;"),"00000"),""))</f>
        <v/>
      </c>
      <c r="B942" s="16"/>
      <c r="C942" s="20"/>
      <c r="D942" s="20"/>
      <c r="E942" s="23"/>
      <c r="H942" s="19" t="str">
        <f t="shared" si="48"/>
        <v/>
      </c>
      <c r="I942" s="19" t="str">
        <f t="shared" si="50"/>
        <v/>
      </c>
      <c r="J942" s="19" t="str">
        <f t="shared" si="49"/>
        <v/>
      </c>
      <c r="K942" s="20"/>
      <c r="L942" s="21" t="str">
        <f>IF(OR(NOT(AND($B942&lt;&gt;"",$C942&lt;&gt;"",$D942&lt;&gt;"",$E942&lt;&gt;"")),$A942="",$K942&lt;&gt;"Yes"),"",IF($L942&lt;&gt;"",$L942,INDEX(SETUP!$I$1:$I$2000,MATCH(TRUE,SETUP!$J$1:$J$2000,0)+COUNTIFS($A$2:$A942,"&lt;&gt;",$K$2:$K942,"Yes",$L$2:$L942,"")-1)))</f>
        <v/>
      </c>
      <c r="N942" s="22"/>
    </row>
    <row r="943" spans="1:14" x14ac:dyDescent="0.3">
      <c r="A943" s="15" t="str">
        <f>IF(COUNTA($B943:$E943,$K943)=0,"",IF(AND($B943&lt;&gt;"",$C943&lt;&gt;"",$D943&lt;&gt;"",$E943&lt;&gt;""),"TXS"&amp;TEXT(COUNTIFS($B$2:$B943,"&lt;&gt;",$C$2:$C943,"&lt;&gt;",$D$2:$D943,"&lt;&gt;",$E$2:$E943,"&lt;&gt;"),"00000"),""))</f>
        <v/>
      </c>
      <c r="B943" s="16"/>
      <c r="C943" s="20"/>
      <c r="D943" s="20"/>
      <c r="E943" s="23"/>
      <c r="H943" s="19" t="str">
        <f t="shared" ref="H943:H1006" si="51">IF(NOT(AND($B943&lt;&gt;"",$C943&lt;&gt;"",$D943&lt;&gt;"",$E943&lt;&gt;"")),"",IF($A943="","","CDI plate "&amp;INT((VALUE(RIGHT($A943,5))-1)/96)+1&amp;": "&amp;CHAR(65+INT(MOD(VALUE(RIGHT($A943,5))-1,96)/12))&amp;(MOD(VALUE(RIGHT($A943,5))-1,12)+1)))</f>
        <v/>
      </c>
      <c r="I943" s="19" t="str">
        <f t="shared" si="50"/>
        <v/>
      </c>
      <c r="J943" s="19" t="str">
        <f t="shared" si="49"/>
        <v/>
      </c>
      <c r="K943" s="20"/>
      <c r="L943" s="21" t="str">
        <f>IF(OR(NOT(AND($B943&lt;&gt;"",$C943&lt;&gt;"",$D943&lt;&gt;"",$E943&lt;&gt;"")),$A943="",$K943&lt;&gt;"Yes"),"",IF($L943&lt;&gt;"",$L943,INDEX(SETUP!$I$1:$I$2000,MATCH(TRUE,SETUP!$J$1:$J$2000,0)+COUNTIFS($A$2:$A943,"&lt;&gt;",$K$2:$K943,"Yes",$L$2:$L943,"")-1)))</f>
        <v/>
      </c>
      <c r="N943" s="22"/>
    </row>
    <row r="944" spans="1:14" x14ac:dyDescent="0.3">
      <c r="A944" s="15" t="str">
        <f>IF(COUNTA($B944:$E944,$K944)=0,"",IF(AND($B944&lt;&gt;"",$C944&lt;&gt;"",$D944&lt;&gt;"",$E944&lt;&gt;""),"TXS"&amp;TEXT(COUNTIFS($B$2:$B944,"&lt;&gt;",$C$2:$C944,"&lt;&gt;",$D$2:$D944,"&lt;&gt;",$E$2:$E944,"&lt;&gt;"),"00000"),""))</f>
        <v/>
      </c>
      <c r="B944" s="16"/>
      <c r="C944" s="20"/>
      <c r="D944" s="20"/>
      <c r="E944" s="23"/>
      <c r="H944" s="19" t="str">
        <f t="shared" si="51"/>
        <v/>
      </c>
      <c r="I944" s="19" t="str">
        <f t="shared" si="50"/>
        <v/>
      </c>
      <c r="J944" s="19" t="str">
        <f t="shared" si="49"/>
        <v/>
      </c>
      <c r="K944" s="20"/>
      <c r="L944" s="21" t="str">
        <f>IF(OR(NOT(AND($B944&lt;&gt;"",$C944&lt;&gt;"",$D944&lt;&gt;"",$E944&lt;&gt;"")),$A944="",$K944&lt;&gt;"Yes"),"",IF($L944&lt;&gt;"",$L944,INDEX(SETUP!$I$1:$I$2000,MATCH(TRUE,SETUP!$J$1:$J$2000,0)+COUNTIFS($A$2:$A944,"&lt;&gt;",$K$2:$K944,"Yes",$L$2:$L944,"")-1)))</f>
        <v/>
      </c>
      <c r="N944" s="22"/>
    </row>
    <row r="945" spans="1:14" x14ac:dyDescent="0.3">
      <c r="A945" s="15" t="str">
        <f>IF(COUNTA($B945:$E945,$K945)=0,"",IF(AND($B945&lt;&gt;"",$C945&lt;&gt;"",$D945&lt;&gt;"",$E945&lt;&gt;""),"TXS"&amp;TEXT(COUNTIFS($B$2:$B945,"&lt;&gt;",$C$2:$C945,"&lt;&gt;",$D$2:$D945,"&lt;&gt;",$E$2:$E945,"&lt;&gt;"),"00000"),""))</f>
        <v/>
      </c>
      <c r="B945" s="16"/>
      <c r="C945" s="20"/>
      <c r="D945" s="20"/>
      <c r="E945" s="23"/>
      <c r="H945" s="19" t="str">
        <f t="shared" si="51"/>
        <v/>
      </c>
      <c r="I945" s="19" t="str">
        <f t="shared" si="50"/>
        <v/>
      </c>
      <c r="J945" s="19" t="str">
        <f t="shared" si="49"/>
        <v/>
      </c>
      <c r="K945" s="20"/>
      <c r="L945" s="21" t="str">
        <f>IF(OR(NOT(AND($B945&lt;&gt;"",$C945&lt;&gt;"",$D945&lt;&gt;"",$E945&lt;&gt;"")),$A945="",$K945&lt;&gt;"Yes"),"",IF($L945&lt;&gt;"",$L945,INDEX(SETUP!$I$1:$I$2000,MATCH(TRUE,SETUP!$J$1:$J$2000,0)+COUNTIFS($A$2:$A945,"&lt;&gt;",$K$2:$K945,"Yes",$L$2:$L945,"")-1)))</f>
        <v/>
      </c>
      <c r="N945" s="22"/>
    </row>
    <row r="946" spans="1:14" x14ac:dyDescent="0.3">
      <c r="A946" s="15" t="str">
        <f>IF(COUNTA($B946:$E946,$K946)=0,"",IF(AND($B946&lt;&gt;"",$C946&lt;&gt;"",$D946&lt;&gt;"",$E946&lt;&gt;""),"TXS"&amp;TEXT(COUNTIFS($B$2:$B946,"&lt;&gt;",$C$2:$C946,"&lt;&gt;",$D$2:$D946,"&lt;&gt;",$E$2:$E946,"&lt;&gt;"),"00000"),""))</f>
        <v/>
      </c>
      <c r="B946" s="16"/>
      <c r="C946" s="20"/>
      <c r="D946" s="20"/>
      <c r="E946" s="23"/>
      <c r="H946" s="19" t="str">
        <f t="shared" si="51"/>
        <v/>
      </c>
      <c r="I946" s="19" t="str">
        <f t="shared" si="50"/>
        <v/>
      </c>
      <c r="J946" s="19" t="str">
        <f t="shared" ref="J946:J1009" si="52">IF(NOT(AND($B946&lt;&gt;"",$C946&lt;&gt;"",$D946&lt;&gt;"",$E946&lt;&gt;"")),"",IF($A946="","","Max Planck plate "&amp;INT((VALUE(RIGHT($A946,5))-1)/96)+1&amp;": "&amp;CHAR(65+INT(MOD(VALUE(RIGHT($A946,5))-1,96)/12))&amp;(MOD(VALUE(RIGHT($A946,5))-1,12)+1)))</f>
        <v/>
      </c>
      <c r="K946" s="20"/>
      <c r="L946" s="21" t="str">
        <f>IF(OR(NOT(AND($B946&lt;&gt;"",$C946&lt;&gt;"",$D946&lt;&gt;"",$E946&lt;&gt;"")),$A946="",$K946&lt;&gt;"Yes"),"",IF($L946&lt;&gt;"",$L946,INDEX(SETUP!$I$1:$I$2000,MATCH(TRUE,SETUP!$J$1:$J$2000,0)+COUNTIFS($A$2:$A946,"&lt;&gt;",$K$2:$K946,"Yes",$L$2:$L946,"")-1)))</f>
        <v/>
      </c>
      <c r="N946" s="22"/>
    </row>
    <row r="947" spans="1:14" x14ac:dyDescent="0.3">
      <c r="A947" s="15" t="str">
        <f>IF(COUNTA($B947:$E947,$K947)=0,"",IF(AND($B947&lt;&gt;"",$C947&lt;&gt;"",$D947&lt;&gt;"",$E947&lt;&gt;""),"TXS"&amp;TEXT(COUNTIFS($B$2:$B947,"&lt;&gt;",$C$2:$C947,"&lt;&gt;",$D$2:$D947,"&lt;&gt;",$E$2:$E947,"&lt;&gt;"),"00000"),""))</f>
        <v/>
      </c>
      <c r="B947" s="16"/>
      <c r="C947" s="20"/>
      <c r="D947" s="20"/>
      <c r="E947" s="23"/>
      <c r="H947" s="19" t="str">
        <f t="shared" si="51"/>
        <v/>
      </c>
      <c r="I947" s="19" t="str">
        <f t="shared" si="50"/>
        <v/>
      </c>
      <c r="J947" s="19" t="str">
        <f t="shared" si="52"/>
        <v/>
      </c>
      <c r="K947" s="20"/>
      <c r="L947" s="21" t="str">
        <f>IF(OR(NOT(AND($B947&lt;&gt;"",$C947&lt;&gt;"",$D947&lt;&gt;"",$E947&lt;&gt;"")),$A947="",$K947&lt;&gt;"Yes"),"",IF($L947&lt;&gt;"",$L947,INDEX(SETUP!$I$1:$I$2000,MATCH(TRUE,SETUP!$J$1:$J$2000,0)+COUNTIFS($A$2:$A947,"&lt;&gt;",$K$2:$K947,"Yes",$L$2:$L947,"")-1)))</f>
        <v/>
      </c>
      <c r="N947" s="22"/>
    </row>
    <row r="948" spans="1:14" x14ac:dyDescent="0.3">
      <c r="A948" s="15" t="str">
        <f>IF(COUNTA($B948:$E948,$K948)=0,"",IF(AND($B948&lt;&gt;"",$C948&lt;&gt;"",$D948&lt;&gt;"",$E948&lt;&gt;""),"TXS"&amp;TEXT(COUNTIFS($B$2:$B948,"&lt;&gt;",$C$2:$C948,"&lt;&gt;",$D$2:$D948,"&lt;&gt;",$E$2:$E948,"&lt;&gt;"),"00000"),""))</f>
        <v/>
      </c>
      <c r="B948" s="16"/>
      <c r="C948" s="20"/>
      <c r="D948" s="20"/>
      <c r="E948" s="23"/>
      <c r="H948" s="19" t="str">
        <f t="shared" si="51"/>
        <v/>
      </c>
      <c r="I948" s="19" t="str">
        <f t="shared" si="50"/>
        <v/>
      </c>
      <c r="J948" s="19" t="str">
        <f t="shared" si="52"/>
        <v/>
      </c>
      <c r="K948" s="20"/>
      <c r="L948" s="21" t="str">
        <f>IF(OR(NOT(AND($B948&lt;&gt;"",$C948&lt;&gt;"",$D948&lt;&gt;"",$E948&lt;&gt;"")),$A948="",$K948&lt;&gt;"Yes"),"",IF($L948&lt;&gt;"",$L948,INDEX(SETUP!$I$1:$I$2000,MATCH(TRUE,SETUP!$J$1:$J$2000,0)+COUNTIFS($A$2:$A948,"&lt;&gt;",$K$2:$K948,"Yes",$L$2:$L948,"")-1)))</f>
        <v/>
      </c>
      <c r="N948" s="22"/>
    </row>
    <row r="949" spans="1:14" x14ac:dyDescent="0.3">
      <c r="A949" s="15" t="str">
        <f>IF(COUNTA($B949:$E949,$K949)=0,"",IF(AND($B949&lt;&gt;"",$C949&lt;&gt;"",$D949&lt;&gt;"",$E949&lt;&gt;""),"TXS"&amp;TEXT(COUNTIFS($B$2:$B949,"&lt;&gt;",$C$2:$C949,"&lt;&gt;",$D$2:$D949,"&lt;&gt;",$E$2:$E949,"&lt;&gt;"),"00000"),""))</f>
        <v/>
      </c>
      <c r="B949" s="16"/>
      <c r="C949" s="20"/>
      <c r="D949" s="20"/>
      <c r="E949" s="23"/>
      <c r="H949" s="19" t="str">
        <f t="shared" si="51"/>
        <v/>
      </c>
      <c r="I949" s="19" t="str">
        <f t="shared" si="50"/>
        <v/>
      </c>
      <c r="J949" s="19" t="str">
        <f t="shared" si="52"/>
        <v/>
      </c>
      <c r="K949" s="20"/>
      <c r="L949" s="21" t="str">
        <f>IF(OR(NOT(AND($B949&lt;&gt;"",$C949&lt;&gt;"",$D949&lt;&gt;"",$E949&lt;&gt;"")),$A949="",$K949&lt;&gt;"Yes"),"",IF($L949&lt;&gt;"",$L949,INDEX(SETUP!$I$1:$I$2000,MATCH(TRUE,SETUP!$J$1:$J$2000,0)+COUNTIFS($A$2:$A949,"&lt;&gt;",$K$2:$K949,"Yes",$L$2:$L949,"")-1)))</f>
        <v/>
      </c>
      <c r="N949" s="22"/>
    </row>
    <row r="950" spans="1:14" x14ac:dyDescent="0.3">
      <c r="A950" s="15" t="str">
        <f>IF(COUNTA($B950:$E950,$K950)=0,"",IF(AND($B950&lt;&gt;"",$C950&lt;&gt;"",$D950&lt;&gt;"",$E950&lt;&gt;""),"TXS"&amp;TEXT(COUNTIFS($B$2:$B950,"&lt;&gt;",$C$2:$C950,"&lt;&gt;",$D$2:$D950,"&lt;&gt;",$E$2:$E950,"&lt;&gt;"),"00000"),""))</f>
        <v/>
      </c>
      <c r="B950" s="16"/>
      <c r="C950" s="20"/>
      <c r="D950" s="20"/>
      <c r="E950" s="23"/>
      <c r="H950" s="19" t="str">
        <f t="shared" si="51"/>
        <v/>
      </c>
      <c r="I950" s="19" t="str">
        <f t="shared" si="50"/>
        <v/>
      </c>
      <c r="J950" s="19" t="str">
        <f t="shared" si="52"/>
        <v/>
      </c>
      <c r="K950" s="20"/>
      <c r="L950" s="21" t="str">
        <f>IF(OR(NOT(AND($B950&lt;&gt;"",$C950&lt;&gt;"",$D950&lt;&gt;"",$E950&lt;&gt;"")),$A950="",$K950&lt;&gt;"Yes"),"",IF($L950&lt;&gt;"",$L950,INDEX(SETUP!$I$1:$I$2000,MATCH(TRUE,SETUP!$J$1:$J$2000,0)+COUNTIFS($A$2:$A950,"&lt;&gt;",$K$2:$K950,"Yes",$L$2:$L950,"")-1)))</f>
        <v/>
      </c>
      <c r="N950" s="22"/>
    </row>
    <row r="951" spans="1:14" x14ac:dyDescent="0.3">
      <c r="A951" s="15" t="str">
        <f>IF(COUNTA($B951:$E951,$K951)=0,"",IF(AND($B951&lt;&gt;"",$C951&lt;&gt;"",$D951&lt;&gt;"",$E951&lt;&gt;""),"TXS"&amp;TEXT(COUNTIFS($B$2:$B951,"&lt;&gt;",$C$2:$C951,"&lt;&gt;",$D$2:$D951,"&lt;&gt;",$E$2:$E951,"&lt;&gt;"),"00000"),""))</f>
        <v/>
      </c>
      <c r="B951" s="16"/>
      <c r="C951" s="20"/>
      <c r="D951" s="20"/>
      <c r="E951" s="23"/>
      <c r="H951" s="19" t="str">
        <f t="shared" si="51"/>
        <v/>
      </c>
      <c r="I951" s="19" t="str">
        <f t="shared" si="50"/>
        <v/>
      </c>
      <c r="J951" s="19" t="str">
        <f t="shared" si="52"/>
        <v/>
      </c>
      <c r="K951" s="20"/>
      <c r="L951" s="21" t="str">
        <f>IF(OR(NOT(AND($B951&lt;&gt;"",$C951&lt;&gt;"",$D951&lt;&gt;"",$E951&lt;&gt;"")),$A951="",$K951&lt;&gt;"Yes"),"",IF($L951&lt;&gt;"",$L951,INDEX(SETUP!$I$1:$I$2000,MATCH(TRUE,SETUP!$J$1:$J$2000,0)+COUNTIFS($A$2:$A951,"&lt;&gt;",$K$2:$K951,"Yes",$L$2:$L951,"")-1)))</f>
        <v/>
      </c>
      <c r="N951" s="22"/>
    </row>
    <row r="952" spans="1:14" x14ac:dyDescent="0.3">
      <c r="A952" s="15" t="str">
        <f>IF(COUNTA($B952:$E952,$K952)=0,"",IF(AND($B952&lt;&gt;"",$C952&lt;&gt;"",$D952&lt;&gt;"",$E952&lt;&gt;""),"TXS"&amp;TEXT(COUNTIFS($B$2:$B952,"&lt;&gt;",$C$2:$C952,"&lt;&gt;",$D$2:$D952,"&lt;&gt;",$E$2:$E952,"&lt;&gt;"),"00000"),""))</f>
        <v/>
      </c>
      <c r="B952" s="16"/>
      <c r="C952" s="20"/>
      <c r="D952" s="20"/>
      <c r="E952" s="23"/>
      <c r="H952" s="19" t="str">
        <f t="shared" si="51"/>
        <v/>
      </c>
      <c r="I952" s="19" t="str">
        <f t="shared" si="50"/>
        <v/>
      </c>
      <c r="J952" s="19" t="str">
        <f t="shared" si="52"/>
        <v/>
      </c>
      <c r="K952" s="20"/>
      <c r="L952" s="21" t="str">
        <f>IF(OR(NOT(AND($B952&lt;&gt;"",$C952&lt;&gt;"",$D952&lt;&gt;"",$E952&lt;&gt;"")),$A952="",$K952&lt;&gt;"Yes"),"",IF($L952&lt;&gt;"",$L952,INDEX(SETUP!$I$1:$I$2000,MATCH(TRUE,SETUP!$J$1:$J$2000,0)+COUNTIFS($A$2:$A952,"&lt;&gt;",$K$2:$K952,"Yes",$L$2:$L952,"")-1)))</f>
        <v/>
      </c>
      <c r="N952" s="22"/>
    </row>
    <row r="953" spans="1:14" x14ac:dyDescent="0.3">
      <c r="A953" s="15" t="str">
        <f>IF(COUNTA($B953:$E953,$K953)=0,"",IF(AND($B953&lt;&gt;"",$C953&lt;&gt;"",$D953&lt;&gt;"",$E953&lt;&gt;""),"TXS"&amp;TEXT(COUNTIFS($B$2:$B953,"&lt;&gt;",$C$2:$C953,"&lt;&gt;",$D$2:$D953,"&lt;&gt;",$E$2:$E953,"&lt;&gt;"),"00000"),""))</f>
        <v/>
      </c>
      <c r="B953" s="16"/>
      <c r="C953" s="20"/>
      <c r="D953" s="20"/>
      <c r="E953" s="23"/>
      <c r="H953" s="19" t="str">
        <f t="shared" si="51"/>
        <v/>
      </c>
      <c r="I953" s="19" t="str">
        <f t="shared" si="50"/>
        <v/>
      </c>
      <c r="J953" s="19" t="str">
        <f t="shared" si="52"/>
        <v/>
      </c>
      <c r="K953" s="20"/>
      <c r="L953" s="21" t="str">
        <f>IF(OR(NOT(AND($B953&lt;&gt;"",$C953&lt;&gt;"",$D953&lt;&gt;"",$E953&lt;&gt;"")),$A953="",$K953&lt;&gt;"Yes"),"",IF($L953&lt;&gt;"",$L953,INDEX(SETUP!$I$1:$I$2000,MATCH(TRUE,SETUP!$J$1:$J$2000,0)+COUNTIFS($A$2:$A953,"&lt;&gt;",$K$2:$K953,"Yes",$L$2:$L953,"")-1)))</f>
        <v/>
      </c>
      <c r="N953" s="22"/>
    </row>
    <row r="954" spans="1:14" x14ac:dyDescent="0.3">
      <c r="A954" s="15" t="str">
        <f>IF(COUNTA($B954:$E954,$K954)=0,"",IF(AND($B954&lt;&gt;"",$C954&lt;&gt;"",$D954&lt;&gt;"",$E954&lt;&gt;""),"TXS"&amp;TEXT(COUNTIFS($B$2:$B954,"&lt;&gt;",$C$2:$C954,"&lt;&gt;",$D$2:$D954,"&lt;&gt;",$E$2:$E954,"&lt;&gt;"),"00000"),""))</f>
        <v/>
      </c>
      <c r="B954" s="16"/>
      <c r="C954" s="20"/>
      <c r="D954" s="20"/>
      <c r="E954" s="23"/>
      <c r="H954" s="19" t="str">
        <f t="shared" si="51"/>
        <v/>
      </c>
      <c r="I954" s="19" t="str">
        <f t="shared" si="50"/>
        <v/>
      </c>
      <c r="J954" s="19" t="str">
        <f t="shared" si="52"/>
        <v/>
      </c>
      <c r="K954" s="20"/>
      <c r="L954" s="21" t="str">
        <f>IF(OR(NOT(AND($B954&lt;&gt;"",$C954&lt;&gt;"",$D954&lt;&gt;"",$E954&lt;&gt;"")),$A954="",$K954&lt;&gt;"Yes"),"",IF($L954&lt;&gt;"",$L954,INDEX(SETUP!$I$1:$I$2000,MATCH(TRUE,SETUP!$J$1:$J$2000,0)+COUNTIFS($A$2:$A954,"&lt;&gt;",$K$2:$K954,"Yes",$L$2:$L954,"")-1)))</f>
        <v/>
      </c>
      <c r="N954" s="22"/>
    </row>
    <row r="955" spans="1:14" x14ac:dyDescent="0.3">
      <c r="A955" s="15" t="str">
        <f>IF(COUNTA($B955:$E955,$K955)=0,"",IF(AND($B955&lt;&gt;"",$C955&lt;&gt;"",$D955&lt;&gt;"",$E955&lt;&gt;""),"TXS"&amp;TEXT(COUNTIFS($B$2:$B955,"&lt;&gt;",$C$2:$C955,"&lt;&gt;",$D$2:$D955,"&lt;&gt;",$E$2:$E955,"&lt;&gt;"),"00000"),""))</f>
        <v/>
      </c>
      <c r="B955" s="16"/>
      <c r="C955" s="20"/>
      <c r="D955" s="20"/>
      <c r="E955" s="23"/>
      <c r="H955" s="19" t="str">
        <f t="shared" si="51"/>
        <v/>
      </c>
      <c r="I955" s="19" t="str">
        <f t="shared" si="50"/>
        <v/>
      </c>
      <c r="J955" s="19" t="str">
        <f t="shared" si="52"/>
        <v/>
      </c>
      <c r="K955" s="20"/>
      <c r="L955" s="21" t="str">
        <f>IF(OR(NOT(AND($B955&lt;&gt;"",$C955&lt;&gt;"",$D955&lt;&gt;"",$E955&lt;&gt;"")),$A955="",$K955&lt;&gt;"Yes"),"",IF($L955&lt;&gt;"",$L955,INDEX(SETUP!$I$1:$I$2000,MATCH(TRUE,SETUP!$J$1:$J$2000,0)+COUNTIFS($A$2:$A955,"&lt;&gt;",$K$2:$K955,"Yes",$L$2:$L955,"")-1)))</f>
        <v/>
      </c>
      <c r="N955" s="22"/>
    </row>
    <row r="956" spans="1:14" x14ac:dyDescent="0.3">
      <c r="A956" s="15" t="str">
        <f>IF(COUNTA($B956:$E956,$K956)=0,"",IF(AND($B956&lt;&gt;"",$C956&lt;&gt;"",$D956&lt;&gt;"",$E956&lt;&gt;""),"TXS"&amp;TEXT(COUNTIFS($B$2:$B956,"&lt;&gt;",$C$2:$C956,"&lt;&gt;",$D$2:$D956,"&lt;&gt;",$E$2:$E956,"&lt;&gt;"),"00000"),""))</f>
        <v/>
      </c>
      <c r="B956" s="16"/>
      <c r="C956" s="20"/>
      <c r="D956" s="20"/>
      <c r="E956" s="23"/>
      <c r="H956" s="19" t="str">
        <f t="shared" si="51"/>
        <v/>
      </c>
      <c r="I956" s="19" t="str">
        <f t="shared" si="50"/>
        <v/>
      </c>
      <c r="J956" s="19" t="str">
        <f t="shared" si="52"/>
        <v/>
      </c>
      <c r="K956" s="20"/>
      <c r="L956" s="21" t="str">
        <f>IF(OR(NOT(AND($B956&lt;&gt;"",$C956&lt;&gt;"",$D956&lt;&gt;"",$E956&lt;&gt;"")),$A956="",$K956&lt;&gt;"Yes"),"",IF($L956&lt;&gt;"",$L956,INDEX(SETUP!$I$1:$I$2000,MATCH(TRUE,SETUP!$J$1:$J$2000,0)+COUNTIFS($A$2:$A956,"&lt;&gt;",$K$2:$K956,"Yes",$L$2:$L956,"")-1)))</f>
        <v/>
      </c>
      <c r="N956" s="22"/>
    </row>
    <row r="957" spans="1:14" x14ac:dyDescent="0.3">
      <c r="A957" s="15" t="str">
        <f>IF(COUNTA($B957:$E957,$K957)=0,"",IF(AND($B957&lt;&gt;"",$C957&lt;&gt;"",$D957&lt;&gt;"",$E957&lt;&gt;""),"TXS"&amp;TEXT(COUNTIFS($B$2:$B957,"&lt;&gt;",$C$2:$C957,"&lt;&gt;",$D$2:$D957,"&lt;&gt;",$E$2:$E957,"&lt;&gt;"),"00000"),""))</f>
        <v/>
      </c>
      <c r="B957" s="16"/>
      <c r="C957" s="20"/>
      <c r="D957" s="20"/>
      <c r="E957" s="23"/>
      <c r="H957" s="19" t="str">
        <f t="shared" si="51"/>
        <v/>
      </c>
      <c r="I957" s="19" t="str">
        <f t="shared" si="50"/>
        <v/>
      </c>
      <c r="J957" s="19" t="str">
        <f t="shared" si="52"/>
        <v/>
      </c>
      <c r="K957" s="20"/>
      <c r="L957" s="21" t="str">
        <f>IF(OR(NOT(AND($B957&lt;&gt;"",$C957&lt;&gt;"",$D957&lt;&gt;"",$E957&lt;&gt;"")),$A957="",$K957&lt;&gt;"Yes"),"",IF($L957&lt;&gt;"",$L957,INDEX(SETUP!$I$1:$I$2000,MATCH(TRUE,SETUP!$J$1:$J$2000,0)+COUNTIFS($A$2:$A957,"&lt;&gt;",$K$2:$K957,"Yes",$L$2:$L957,"")-1)))</f>
        <v/>
      </c>
      <c r="N957" s="22"/>
    </row>
    <row r="958" spans="1:14" x14ac:dyDescent="0.3">
      <c r="A958" s="15" t="str">
        <f>IF(COUNTA($B958:$E958,$K958)=0,"",IF(AND($B958&lt;&gt;"",$C958&lt;&gt;"",$D958&lt;&gt;"",$E958&lt;&gt;""),"TXS"&amp;TEXT(COUNTIFS($B$2:$B958,"&lt;&gt;",$C$2:$C958,"&lt;&gt;",$D$2:$D958,"&lt;&gt;",$E$2:$E958,"&lt;&gt;"),"00000"),""))</f>
        <v/>
      </c>
      <c r="B958" s="16"/>
      <c r="C958" s="20"/>
      <c r="D958" s="20"/>
      <c r="E958" s="23"/>
      <c r="H958" s="19" t="str">
        <f t="shared" si="51"/>
        <v/>
      </c>
      <c r="I958" s="19" t="str">
        <f t="shared" si="50"/>
        <v/>
      </c>
      <c r="J958" s="19" t="str">
        <f t="shared" si="52"/>
        <v/>
      </c>
      <c r="K958" s="20"/>
      <c r="L958" s="21" t="str">
        <f>IF(OR(NOT(AND($B958&lt;&gt;"",$C958&lt;&gt;"",$D958&lt;&gt;"",$E958&lt;&gt;"")),$A958="",$K958&lt;&gt;"Yes"),"",IF($L958&lt;&gt;"",$L958,INDEX(SETUP!$I$1:$I$2000,MATCH(TRUE,SETUP!$J$1:$J$2000,0)+COUNTIFS($A$2:$A958,"&lt;&gt;",$K$2:$K958,"Yes",$L$2:$L958,"")-1)))</f>
        <v/>
      </c>
      <c r="N958" s="22"/>
    </row>
    <row r="959" spans="1:14" x14ac:dyDescent="0.3">
      <c r="A959" s="15" t="str">
        <f>IF(COUNTA($B959:$E959,$K959)=0,"",IF(AND($B959&lt;&gt;"",$C959&lt;&gt;"",$D959&lt;&gt;"",$E959&lt;&gt;""),"TXS"&amp;TEXT(COUNTIFS($B$2:$B959,"&lt;&gt;",$C$2:$C959,"&lt;&gt;",$D$2:$D959,"&lt;&gt;",$E$2:$E959,"&lt;&gt;"),"00000"),""))</f>
        <v/>
      </c>
      <c r="B959" s="16"/>
      <c r="C959" s="20"/>
      <c r="D959" s="20"/>
      <c r="E959" s="23"/>
      <c r="H959" s="19" t="str">
        <f t="shared" si="51"/>
        <v/>
      </c>
      <c r="I959" s="19" t="str">
        <f t="shared" si="50"/>
        <v/>
      </c>
      <c r="J959" s="19" t="str">
        <f t="shared" si="52"/>
        <v/>
      </c>
      <c r="K959" s="20"/>
      <c r="L959" s="21" t="str">
        <f>IF(OR(NOT(AND($B959&lt;&gt;"",$C959&lt;&gt;"",$D959&lt;&gt;"",$E959&lt;&gt;"")),$A959="",$K959&lt;&gt;"Yes"),"",IF($L959&lt;&gt;"",$L959,INDEX(SETUP!$I$1:$I$2000,MATCH(TRUE,SETUP!$J$1:$J$2000,0)+COUNTIFS($A$2:$A959,"&lt;&gt;",$K$2:$K959,"Yes",$L$2:$L959,"")-1)))</f>
        <v/>
      </c>
      <c r="N959" s="22"/>
    </row>
    <row r="960" spans="1:14" x14ac:dyDescent="0.3">
      <c r="A960" s="15" t="str">
        <f>IF(COUNTA($B960:$E960,$K960)=0,"",IF(AND($B960&lt;&gt;"",$C960&lt;&gt;"",$D960&lt;&gt;"",$E960&lt;&gt;""),"TXS"&amp;TEXT(COUNTIFS($B$2:$B960,"&lt;&gt;",$C$2:$C960,"&lt;&gt;",$D$2:$D960,"&lt;&gt;",$E$2:$E960,"&lt;&gt;"),"00000"),""))</f>
        <v/>
      </c>
      <c r="B960" s="16"/>
      <c r="C960" s="20"/>
      <c r="D960" s="20"/>
      <c r="E960" s="23"/>
      <c r="H960" s="19" t="str">
        <f t="shared" si="51"/>
        <v/>
      </c>
      <c r="I960" s="19" t="str">
        <f t="shared" si="50"/>
        <v/>
      </c>
      <c r="J960" s="19" t="str">
        <f t="shared" si="52"/>
        <v/>
      </c>
      <c r="K960" s="20"/>
      <c r="L960" s="21" t="str">
        <f>IF(OR(NOT(AND($B960&lt;&gt;"",$C960&lt;&gt;"",$D960&lt;&gt;"",$E960&lt;&gt;"")),$A960="",$K960&lt;&gt;"Yes"),"",IF($L960&lt;&gt;"",$L960,INDEX(SETUP!$I$1:$I$2000,MATCH(TRUE,SETUP!$J$1:$J$2000,0)+COUNTIFS($A$2:$A960,"&lt;&gt;",$K$2:$K960,"Yes",$L$2:$L960,"")-1)))</f>
        <v/>
      </c>
      <c r="N960" s="22"/>
    </row>
    <row r="961" spans="1:14" x14ac:dyDescent="0.3">
      <c r="A961" s="15" t="str">
        <f>IF(COUNTA($B961:$E961,$K961)=0,"",IF(AND($B961&lt;&gt;"",$C961&lt;&gt;"",$D961&lt;&gt;"",$E961&lt;&gt;""),"TXS"&amp;TEXT(COUNTIFS($B$2:$B961,"&lt;&gt;",$C$2:$C961,"&lt;&gt;",$D$2:$D961,"&lt;&gt;",$E$2:$E961,"&lt;&gt;"),"00000"),""))</f>
        <v/>
      </c>
      <c r="B961" s="16"/>
      <c r="C961" s="20"/>
      <c r="D961" s="20"/>
      <c r="E961" s="23"/>
      <c r="H961" s="19" t="str">
        <f t="shared" si="51"/>
        <v/>
      </c>
      <c r="I961" s="19" t="str">
        <f t="shared" si="50"/>
        <v/>
      </c>
      <c r="J961" s="19" t="str">
        <f t="shared" si="52"/>
        <v/>
      </c>
      <c r="K961" s="20"/>
      <c r="L961" s="21" t="str">
        <f>IF(OR(NOT(AND($B961&lt;&gt;"",$C961&lt;&gt;"",$D961&lt;&gt;"",$E961&lt;&gt;"")),$A961="",$K961&lt;&gt;"Yes"),"",IF($L961&lt;&gt;"",$L961,INDEX(SETUP!$I$1:$I$2000,MATCH(TRUE,SETUP!$J$1:$J$2000,0)+COUNTIFS($A$2:$A961,"&lt;&gt;",$K$2:$K961,"Yes",$L$2:$L961,"")-1)))</f>
        <v/>
      </c>
      <c r="N961" s="22"/>
    </row>
    <row r="962" spans="1:14" x14ac:dyDescent="0.3">
      <c r="A962" s="15" t="str">
        <f>IF(COUNTA($B962:$E962,$K962)=0,"",IF(AND($B962&lt;&gt;"",$C962&lt;&gt;"",$D962&lt;&gt;"",$E962&lt;&gt;""),"TXS"&amp;TEXT(COUNTIFS($B$2:$B962,"&lt;&gt;",$C$2:$C962,"&lt;&gt;",$D$2:$D962,"&lt;&gt;",$E$2:$E962,"&lt;&gt;"),"00000"),""))</f>
        <v/>
      </c>
      <c r="B962" s="16"/>
      <c r="C962" s="20"/>
      <c r="D962" s="20"/>
      <c r="E962" s="23"/>
      <c r="H962" s="19" t="str">
        <f t="shared" si="51"/>
        <v/>
      </c>
      <c r="I962" s="19" t="str">
        <f t="shared" si="50"/>
        <v/>
      </c>
      <c r="J962" s="19" t="str">
        <f t="shared" si="52"/>
        <v/>
      </c>
      <c r="K962" s="20"/>
      <c r="L962" s="21" t="str">
        <f>IF(OR(NOT(AND($B962&lt;&gt;"",$C962&lt;&gt;"",$D962&lt;&gt;"",$E962&lt;&gt;"")),$A962="",$K962&lt;&gt;"Yes"),"",IF($L962&lt;&gt;"",$L962,INDEX(SETUP!$I$1:$I$2000,MATCH(TRUE,SETUP!$J$1:$J$2000,0)+COUNTIFS($A$2:$A962,"&lt;&gt;",$K$2:$K962,"Yes",$L$2:$L962,"")-1)))</f>
        <v/>
      </c>
      <c r="N962" s="22"/>
    </row>
    <row r="963" spans="1:14" x14ac:dyDescent="0.3">
      <c r="A963" s="15" t="str">
        <f>IF(COUNTA($B963:$E963,$K963)=0,"",IF(AND($B963&lt;&gt;"",$C963&lt;&gt;"",$D963&lt;&gt;"",$E963&lt;&gt;""),"TXS"&amp;TEXT(COUNTIFS($B$2:$B963,"&lt;&gt;",$C$2:$C963,"&lt;&gt;",$D$2:$D963,"&lt;&gt;",$E$2:$E963,"&lt;&gt;"),"00000"),""))</f>
        <v/>
      </c>
      <c r="B963" s="16"/>
      <c r="C963" s="20"/>
      <c r="D963" s="20"/>
      <c r="E963" s="23"/>
      <c r="H963" s="19" t="str">
        <f t="shared" si="51"/>
        <v/>
      </c>
      <c r="I963" s="19" t="str">
        <f t="shared" si="50"/>
        <v/>
      </c>
      <c r="J963" s="19" t="str">
        <f t="shared" si="52"/>
        <v/>
      </c>
      <c r="K963" s="20"/>
      <c r="L963" s="21" t="str">
        <f>IF(OR(NOT(AND($B963&lt;&gt;"",$C963&lt;&gt;"",$D963&lt;&gt;"",$E963&lt;&gt;"")),$A963="",$K963&lt;&gt;"Yes"),"",IF($L963&lt;&gt;"",$L963,INDEX(SETUP!$I$1:$I$2000,MATCH(TRUE,SETUP!$J$1:$J$2000,0)+COUNTIFS($A$2:$A963,"&lt;&gt;",$K$2:$K963,"Yes",$L$2:$L963,"")-1)))</f>
        <v/>
      </c>
      <c r="N963" s="22"/>
    </row>
    <row r="964" spans="1:14" x14ac:dyDescent="0.3">
      <c r="A964" s="15" t="str">
        <f>IF(COUNTA($B964:$E964,$K964)=0,"",IF(AND($B964&lt;&gt;"",$C964&lt;&gt;"",$D964&lt;&gt;"",$E964&lt;&gt;""),"TXS"&amp;TEXT(COUNTIFS($B$2:$B964,"&lt;&gt;",$C$2:$C964,"&lt;&gt;",$D$2:$D964,"&lt;&gt;",$E$2:$E964,"&lt;&gt;"),"00000"),""))</f>
        <v/>
      </c>
      <c r="B964" s="16"/>
      <c r="C964" s="20"/>
      <c r="D964" s="20"/>
      <c r="E964" s="23"/>
      <c r="H964" s="19" t="str">
        <f t="shared" si="51"/>
        <v/>
      </c>
      <c r="I964" s="19" t="str">
        <f t="shared" si="50"/>
        <v/>
      </c>
      <c r="J964" s="19" t="str">
        <f t="shared" si="52"/>
        <v/>
      </c>
      <c r="K964" s="20"/>
      <c r="L964" s="21" t="str">
        <f>IF(OR(NOT(AND($B964&lt;&gt;"",$C964&lt;&gt;"",$D964&lt;&gt;"",$E964&lt;&gt;"")),$A964="",$K964&lt;&gt;"Yes"),"",IF($L964&lt;&gt;"",$L964,INDEX(SETUP!$I$1:$I$2000,MATCH(TRUE,SETUP!$J$1:$J$2000,0)+COUNTIFS($A$2:$A964,"&lt;&gt;",$K$2:$K964,"Yes",$L$2:$L964,"")-1)))</f>
        <v/>
      </c>
      <c r="N964" s="22"/>
    </row>
    <row r="965" spans="1:14" x14ac:dyDescent="0.3">
      <c r="A965" s="15" t="str">
        <f>IF(COUNTA($B965:$E965,$K965)=0,"",IF(AND($B965&lt;&gt;"",$C965&lt;&gt;"",$D965&lt;&gt;"",$E965&lt;&gt;""),"TXS"&amp;TEXT(COUNTIFS($B$2:$B965,"&lt;&gt;",$C$2:$C965,"&lt;&gt;",$D$2:$D965,"&lt;&gt;",$E$2:$E965,"&lt;&gt;"),"00000"),""))</f>
        <v/>
      </c>
      <c r="B965" s="16"/>
      <c r="C965" s="20"/>
      <c r="D965" s="20"/>
      <c r="E965" s="23"/>
      <c r="H965" s="19" t="str">
        <f t="shared" si="51"/>
        <v/>
      </c>
      <c r="I965" s="19" t="str">
        <f t="shared" si="50"/>
        <v/>
      </c>
      <c r="J965" s="19" t="str">
        <f t="shared" si="52"/>
        <v/>
      </c>
      <c r="K965" s="20"/>
      <c r="L965" s="21" t="str">
        <f>IF(OR(NOT(AND($B965&lt;&gt;"",$C965&lt;&gt;"",$D965&lt;&gt;"",$E965&lt;&gt;"")),$A965="",$K965&lt;&gt;"Yes"),"",IF($L965&lt;&gt;"",$L965,INDEX(SETUP!$I$1:$I$2000,MATCH(TRUE,SETUP!$J$1:$J$2000,0)+COUNTIFS($A$2:$A965,"&lt;&gt;",$K$2:$K965,"Yes",$L$2:$L965,"")-1)))</f>
        <v/>
      </c>
      <c r="N965" s="22"/>
    </row>
    <row r="966" spans="1:14" x14ac:dyDescent="0.3">
      <c r="A966" s="15" t="str">
        <f>IF(COUNTA($B966:$E966,$K966)=0,"",IF(AND($B966&lt;&gt;"",$C966&lt;&gt;"",$D966&lt;&gt;"",$E966&lt;&gt;""),"TXS"&amp;TEXT(COUNTIFS($B$2:$B966,"&lt;&gt;",$C$2:$C966,"&lt;&gt;",$D$2:$D966,"&lt;&gt;",$E$2:$E966,"&lt;&gt;"),"00000"),""))</f>
        <v/>
      </c>
      <c r="B966" s="16"/>
      <c r="C966" s="20"/>
      <c r="D966" s="20"/>
      <c r="E966" s="23"/>
      <c r="H966" s="19" t="str">
        <f t="shared" si="51"/>
        <v/>
      </c>
      <c r="I966" s="19" t="str">
        <f t="shared" si="50"/>
        <v/>
      </c>
      <c r="J966" s="19" t="str">
        <f t="shared" si="52"/>
        <v/>
      </c>
      <c r="K966" s="20"/>
      <c r="L966" s="21" t="str">
        <f>IF(OR(NOT(AND($B966&lt;&gt;"",$C966&lt;&gt;"",$D966&lt;&gt;"",$E966&lt;&gt;"")),$A966="",$K966&lt;&gt;"Yes"),"",IF($L966&lt;&gt;"",$L966,INDEX(SETUP!$I$1:$I$2000,MATCH(TRUE,SETUP!$J$1:$J$2000,0)+COUNTIFS($A$2:$A966,"&lt;&gt;",$K$2:$K966,"Yes",$L$2:$L966,"")-1)))</f>
        <v/>
      </c>
      <c r="N966" s="22"/>
    </row>
    <row r="967" spans="1:14" x14ac:dyDescent="0.3">
      <c r="A967" s="15" t="str">
        <f>IF(COUNTA($B967:$E967,$K967)=0,"",IF(AND($B967&lt;&gt;"",$C967&lt;&gt;"",$D967&lt;&gt;"",$E967&lt;&gt;""),"TXS"&amp;TEXT(COUNTIFS($B$2:$B967,"&lt;&gt;",$C$2:$C967,"&lt;&gt;",$D$2:$D967,"&lt;&gt;",$E$2:$E967,"&lt;&gt;"),"00000"),""))</f>
        <v/>
      </c>
      <c r="B967" s="16"/>
      <c r="C967" s="20"/>
      <c r="D967" s="20"/>
      <c r="E967" s="23"/>
      <c r="H967" s="19" t="str">
        <f t="shared" si="51"/>
        <v/>
      </c>
      <c r="I967" s="19" t="str">
        <f t="shared" si="50"/>
        <v/>
      </c>
      <c r="J967" s="19" t="str">
        <f t="shared" si="52"/>
        <v/>
      </c>
      <c r="K967" s="20"/>
      <c r="L967" s="21" t="str">
        <f>IF(OR(NOT(AND($B967&lt;&gt;"",$C967&lt;&gt;"",$D967&lt;&gt;"",$E967&lt;&gt;"")),$A967="",$K967&lt;&gt;"Yes"),"",IF($L967&lt;&gt;"",$L967,INDEX(SETUP!$I$1:$I$2000,MATCH(TRUE,SETUP!$J$1:$J$2000,0)+COUNTIFS($A$2:$A967,"&lt;&gt;",$K$2:$K967,"Yes",$L$2:$L967,"")-1)))</f>
        <v/>
      </c>
      <c r="N967" s="22"/>
    </row>
    <row r="968" spans="1:14" x14ac:dyDescent="0.3">
      <c r="A968" s="15" t="str">
        <f>IF(COUNTA($B968:$E968,$K968)=0,"",IF(AND($B968&lt;&gt;"",$C968&lt;&gt;"",$D968&lt;&gt;"",$E968&lt;&gt;""),"TXS"&amp;TEXT(COUNTIFS($B$2:$B968,"&lt;&gt;",$C$2:$C968,"&lt;&gt;",$D$2:$D968,"&lt;&gt;",$E$2:$E968,"&lt;&gt;"),"00000"),""))</f>
        <v/>
      </c>
      <c r="B968" s="16"/>
      <c r="C968" s="20"/>
      <c r="D968" s="20"/>
      <c r="E968" s="23"/>
      <c r="H968" s="19" t="str">
        <f t="shared" si="51"/>
        <v/>
      </c>
      <c r="I968" s="19" t="str">
        <f t="shared" si="50"/>
        <v/>
      </c>
      <c r="J968" s="19" t="str">
        <f t="shared" si="52"/>
        <v/>
      </c>
      <c r="K968" s="20"/>
      <c r="L968" s="21" t="str">
        <f>IF(OR(NOT(AND($B968&lt;&gt;"",$C968&lt;&gt;"",$D968&lt;&gt;"",$E968&lt;&gt;"")),$A968="",$K968&lt;&gt;"Yes"),"",IF($L968&lt;&gt;"",$L968,INDEX(SETUP!$I$1:$I$2000,MATCH(TRUE,SETUP!$J$1:$J$2000,0)+COUNTIFS($A$2:$A968,"&lt;&gt;",$K$2:$K968,"Yes",$L$2:$L968,"")-1)))</f>
        <v/>
      </c>
      <c r="N968" s="22"/>
    </row>
    <row r="969" spans="1:14" x14ac:dyDescent="0.3">
      <c r="A969" s="15" t="str">
        <f>IF(COUNTA($B969:$E969,$K969)=0,"",IF(AND($B969&lt;&gt;"",$C969&lt;&gt;"",$D969&lt;&gt;"",$E969&lt;&gt;""),"TXS"&amp;TEXT(COUNTIFS($B$2:$B969,"&lt;&gt;",$C$2:$C969,"&lt;&gt;",$D$2:$D969,"&lt;&gt;",$E$2:$E969,"&lt;&gt;"),"00000"),""))</f>
        <v/>
      </c>
      <c r="B969" s="16"/>
      <c r="C969" s="20"/>
      <c r="D969" s="20"/>
      <c r="E969" s="23"/>
      <c r="H969" s="19" t="str">
        <f t="shared" si="51"/>
        <v/>
      </c>
      <c r="I969" s="19" t="str">
        <f t="shared" si="50"/>
        <v/>
      </c>
      <c r="J969" s="19" t="str">
        <f t="shared" si="52"/>
        <v/>
      </c>
      <c r="K969" s="20"/>
      <c r="L969" s="21" t="str">
        <f>IF(OR(NOT(AND($B969&lt;&gt;"",$C969&lt;&gt;"",$D969&lt;&gt;"",$E969&lt;&gt;"")),$A969="",$K969&lt;&gt;"Yes"),"",IF($L969&lt;&gt;"",$L969,INDEX(SETUP!$I$1:$I$2000,MATCH(TRUE,SETUP!$J$1:$J$2000,0)+COUNTIFS($A$2:$A969,"&lt;&gt;",$K$2:$K969,"Yes",$L$2:$L969,"")-1)))</f>
        <v/>
      </c>
      <c r="N969" s="22"/>
    </row>
    <row r="970" spans="1:14" x14ac:dyDescent="0.3">
      <c r="A970" s="15" t="str">
        <f>IF(COUNTA($B970:$E970,$K970)=0,"",IF(AND($B970&lt;&gt;"",$C970&lt;&gt;"",$D970&lt;&gt;"",$E970&lt;&gt;""),"TXS"&amp;TEXT(COUNTIFS($B$2:$B970,"&lt;&gt;",$C$2:$C970,"&lt;&gt;",$D$2:$D970,"&lt;&gt;",$E$2:$E970,"&lt;&gt;"),"00000"),""))</f>
        <v/>
      </c>
      <c r="B970" s="16"/>
      <c r="C970" s="20"/>
      <c r="D970" s="20"/>
      <c r="E970" s="23"/>
      <c r="H970" s="19" t="str">
        <f t="shared" si="51"/>
        <v/>
      </c>
      <c r="I970" s="19" t="str">
        <f t="shared" si="50"/>
        <v/>
      </c>
      <c r="J970" s="19" t="str">
        <f t="shared" si="52"/>
        <v/>
      </c>
      <c r="K970" s="20"/>
      <c r="L970" s="21" t="str">
        <f>IF(OR(NOT(AND($B970&lt;&gt;"",$C970&lt;&gt;"",$D970&lt;&gt;"",$E970&lt;&gt;"")),$A970="",$K970&lt;&gt;"Yes"),"",IF($L970&lt;&gt;"",$L970,INDEX(SETUP!$I$1:$I$2000,MATCH(TRUE,SETUP!$J$1:$J$2000,0)+COUNTIFS($A$2:$A970,"&lt;&gt;",$K$2:$K970,"Yes",$L$2:$L970,"")-1)))</f>
        <v/>
      </c>
      <c r="N970" s="22"/>
    </row>
    <row r="971" spans="1:14" x14ac:dyDescent="0.3">
      <c r="A971" s="15" t="str">
        <f>IF(COUNTA($B971:$E971,$K971)=0,"",IF(AND($B971&lt;&gt;"",$C971&lt;&gt;"",$D971&lt;&gt;"",$E971&lt;&gt;""),"TXS"&amp;TEXT(COUNTIFS($B$2:$B971,"&lt;&gt;",$C$2:$C971,"&lt;&gt;",$D$2:$D971,"&lt;&gt;",$E$2:$E971,"&lt;&gt;"),"00000"),""))</f>
        <v/>
      </c>
      <c r="B971" s="16"/>
      <c r="C971" s="20"/>
      <c r="D971" s="20"/>
      <c r="E971" s="23"/>
      <c r="H971" s="19" t="str">
        <f t="shared" si="51"/>
        <v/>
      </c>
      <c r="I971" s="19" t="str">
        <f t="shared" si="50"/>
        <v/>
      </c>
      <c r="J971" s="19" t="str">
        <f t="shared" si="52"/>
        <v/>
      </c>
      <c r="K971" s="20"/>
      <c r="L971" s="21" t="str">
        <f>IF(OR(NOT(AND($B971&lt;&gt;"",$C971&lt;&gt;"",$D971&lt;&gt;"",$E971&lt;&gt;"")),$A971="",$K971&lt;&gt;"Yes"),"",IF($L971&lt;&gt;"",$L971,INDEX(SETUP!$I$1:$I$2000,MATCH(TRUE,SETUP!$J$1:$J$2000,0)+COUNTIFS($A$2:$A971,"&lt;&gt;",$K$2:$K971,"Yes",$L$2:$L971,"")-1)))</f>
        <v/>
      </c>
      <c r="N971" s="22"/>
    </row>
    <row r="972" spans="1:14" x14ac:dyDescent="0.3">
      <c r="A972" s="15" t="str">
        <f>IF(COUNTA($B972:$E972,$K972)=0,"",IF(AND($B972&lt;&gt;"",$C972&lt;&gt;"",$D972&lt;&gt;"",$E972&lt;&gt;""),"TXS"&amp;TEXT(COUNTIFS($B$2:$B972,"&lt;&gt;",$C$2:$C972,"&lt;&gt;",$D$2:$D972,"&lt;&gt;",$E$2:$E972,"&lt;&gt;"),"00000"),""))</f>
        <v/>
      </c>
      <c r="B972" s="16"/>
      <c r="C972" s="20"/>
      <c r="D972" s="20"/>
      <c r="E972" s="23"/>
      <c r="H972" s="19" t="str">
        <f t="shared" si="51"/>
        <v/>
      </c>
      <c r="I972" s="19" t="str">
        <f t="shared" si="50"/>
        <v/>
      </c>
      <c r="J972" s="19" t="str">
        <f t="shared" si="52"/>
        <v/>
      </c>
      <c r="K972" s="20"/>
      <c r="L972" s="21" t="str">
        <f>IF(OR(NOT(AND($B972&lt;&gt;"",$C972&lt;&gt;"",$D972&lt;&gt;"",$E972&lt;&gt;"")),$A972="",$K972&lt;&gt;"Yes"),"",IF($L972&lt;&gt;"",$L972,INDEX(SETUP!$I$1:$I$2000,MATCH(TRUE,SETUP!$J$1:$J$2000,0)+COUNTIFS($A$2:$A972,"&lt;&gt;",$K$2:$K972,"Yes",$L$2:$L972,"")-1)))</f>
        <v/>
      </c>
      <c r="N972" s="22"/>
    </row>
    <row r="973" spans="1:14" x14ac:dyDescent="0.3">
      <c r="A973" s="15" t="str">
        <f>IF(COUNTA($B973:$E973,$K973)=0,"",IF(AND($B973&lt;&gt;"",$C973&lt;&gt;"",$D973&lt;&gt;"",$E973&lt;&gt;""),"TXS"&amp;TEXT(COUNTIFS($B$2:$B973,"&lt;&gt;",$C$2:$C973,"&lt;&gt;",$D$2:$D973,"&lt;&gt;",$E$2:$E973,"&lt;&gt;"),"00000"),""))</f>
        <v/>
      </c>
      <c r="B973" s="16"/>
      <c r="C973" s="20"/>
      <c r="D973" s="20"/>
      <c r="E973" s="23"/>
      <c r="H973" s="19" t="str">
        <f t="shared" si="51"/>
        <v/>
      </c>
      <c r="I973" s="19" t="str">
        <f t="shared" si="50"/>
        <v/>
      </c>
      <c r="J973" s="19" t="str">
        <f t="shared" si="52"/>
        <v/>
      </c>
      <c r="K973" s="20"/>
      <c r="L973" s="21" t="str">
        <f>IF(OR(NOT(AND($B973&lt;&gt;"",$C973&lt;&gt;"",$D973&lt;&gt;"",$E973&lt;&gt;"")),$A973="",$K973&lt;&gt;"Yes"),"",IF($L973&lt;&gt;"",$L973,INDEX(SETUP!$I$1:$I$2000,MATCH(TRUE,SETUP!$J$1:$J$2000,0)+COUNTIFS($A$2:$A973,"&lt;&gt;",$K$2:$K973,"Yes",$L$2:$L973,"")-1)))</f>
        <v/>
      </c>
      <c r="N973" s="22"/>
    </row>
    <row r="974" spans="1:14" x14ac:dyDescent="0.3">
      <c r="A974" s="15" t="str">
        <f>IF(COUNTA($B974:$E974,$K974)=0,"",IF(AND($B974&lt;&gt;"",$C974&lt;&gt;"",$D974&lt;&gt;"",$E974&lt;&gt;""),"TXS"&amp;TEXT(COUNTIFS($B$2:$B974,"&lt;&gt;",$C$2:$C974,"&lt;&gt;",$D$2:$D974,"&lt;&gt;",$E$2:$E974,"&lt;&gt;"),"00000"),""))</f>
        <v/>
      </c>
      <c r="B974" s="16"/>
      <c r="C974" s="20"/>
      <c r="D974" s="20"/>
      <c r="E974" s="23"/>
      <c r="H974" s="19" t="str">
        <f t="shared" si="51"/>
        <v/>
      </c>
      <c r="I974" s="19" t="str">
        <f t="shared" si="50"/>
        <v/>
      </c>
      <c r="J974" s="19" t="str">
        <f t="shared" si="52"/>
        <v/>
      </c>
      <c r="K974" s="20"/>
      <c r="L974" s="21" t="str">
        <f>IF(OR(NOT(AND($B974&lt;&gt;"",$C974&lt;&gt;"",$D974&lt;&gt;"",$E974&lt;&gt;"")),$A974="",$K974&lt;&gt;"Yes"),"",IF($L974&lt;&gt;"",$L974,INDEX(SETUP!$I$1:$I$2000,MATCH(TRUE,SETUP!$J$1:$J$2000,0)+COUNTIFS($A$2:$A974,"&lt;&gt;",$K$2:$K974,"Yes",$L$2:$L974,"")-1)))</f>
        <v/>
      </c>
      <c r="N974" s="22"/>
    </row>
    <row r="975" spans="1:14" x14ac:dyDescent="0.3">
      <c r="A975" s="15" t="str">
        <f>IF(COUNTA($B975:$E975,$K975)=0,"",IF(AND($B975&lt;&gt;"",$C975&lt;&gt;"",$D975&lt;&gt;"",$E975&lt;&gt;""),"TXS"&amp;TEXT(COUNTIFS($B$2:$B975,"&lt;&gt;",$C$2:$C975,"&lt;&gt;",$D$2:$D975,"&lt;&gt;",$E$2:$E975,"&lt;&gt;"),"00000"),""))</f>
        <v/>
      </c>
      <c r="B975" s="16"/>
      <c r="C975" s="20"/>
      <c r="D975" s="20"/>
      <c r="E975" s="23"/>
      <c r="H975" s="19" t="str">
        <f t="shared" si="51"/>
        <v/>
      </c>
      <c r="I975" s="19" t="str">
        <f t="shared" si="50"/>
        <v/>
      </c>
      <c r="J975" s="19" t="str">
        <f t="shared" si="52"/>
        <v/>
      </c>
      <c r="K975" s="20"/>
      <c r="L975" s="21" t="str">
        <f>IF(OR(NOT(AND($B975&lt;&gt;"",$C975&lt;&gt;"",$D975&lt;&gt;"",$E975&lt;&gt;"")),$A975="",$K975&lt;&gt;"Yes"),"",IF($L975&lt;&gt;"",$L975,INDEX(SETUP!$I$1:$I$2000,MATCH(TRUE,SETUP!$J$1:$J$2000,0)+COUNTIFS($A$2:$A975,"&lt;&gt;",$K$2:$K975,"Yes",$L$2:$L975,"")-1)))</f>
        <v/>
      </c>
      <c r="N975" s="22"/>
    </row>
    <row r="976" spans="1:14" x14ac:dyDescent="0.3">
      <c r="A976" s="15" t="str">
        <f>IF(COUNTA($B976:$E976,$K976)=0,"",IF(AND($B976&lt;&gt;"",$C976&lt;&gt;"",$D976&lt;&gt;"",$E976&lt;&gt;""),"TXS"&amp;TEXT(COUNTIFS($B$2:$B976,"&lt;&gt;",$C$2:$C976,"&lt;&gt;",$D$2:$D976,"&lt;&gt;",$E$2:$E976,"&lt;&gt;"),"00000"),""))</f>
        <v/>
      </c>
      <c r="B976" s="16"/>
      <c r="C976" s="20"/>
      <c r="D976" s="20"/>
      <c r="E976" s="23"/>
      <c r="H976" s="19" t="str">
        <f t="shared" si="51"/>
        <v/>
      </c>
      <c r="I976" s="19" t="str">
        <f t="shared" si="50"/>
        <v/>
      </c>
      <c r="J976" s="19" t="str">
        <f t="shared" si="52"/>
        <v/>
      </c>
      <c r="K976" s="20"/>
      <c r="L976" s="21" t="str">
        <f>IF(OR(NOT(AND($B976&lt;&gt;"",$C976&lt;&gt;"",$D976&lt;&gt;"",$E976&lt;&gt;"")),$A976="",$K976&lt;&gt;"Yes"),"",IF($L976&lt;&gt;"",$L976,INDEX(SETUP!$I$1:$I$2000,MATCH(TRUE,SETUP!$J$1:$J$2000,0)+COUNTIFS($A$2:$A976,"&lt;&gt;",$K$2:$K976,"Yes",$L$2:$L976,"")-1)))</f>
        <v/>
      </c>
      <c r="N976" s="22"/>
    </row>
    <row r="977" spans="1:14" x14ac:dyDescent="0.3">
      <c r="A977" s="15" t="str">
        <f>IF(COUNTA($B977:$E977,$K977)=0,"",IF(AND($B977&lt;&gt;"",$C977&lt;&gt;"",$D977&lt;&gt;"",$E977&lt;&gt;""),"TXS"&amp;TEXT(COUNTIFS($B$2:$B977,"&lt;&gt;",$C$2:$C977,"&lt;&gt;",$D$2:$D977,"&lt;&gt;",$E$2:$E977,"&lt;&gt;"),"00000"),""))</f>
        <v/>
      </c>
      <c r="B977" s="16"/>
      <c r="C977" s="20"/>
      <c r="D977" s="20"/>
      <c r="E977" s="23"/>
      <c r="H977" s="19" t="str">
        <f t="shared" si="51"/>
        <v/>
      </c>
      <c r="I977" s="19" t="str">
        <f t="shared" si="50"/>
        <v/>
      </c>
      <c r="J977" s="19" t="str">
        <f t="shared" si="52"/>
        <v/>
      </c>
      <c r="K977" s="20"/>
      <c r="L977" s="21" t="str">
        <f>IF(OR(NOT(AND($B977&lt;&gt;"",$C977&lt;&gt;"",$D977&lt;&gt;"",$E977&lt;&gt;"")),$A977="",$K977&lt;&gt;"Yes"),"",IF($L977&lt;&gt;"",$L977,INDEX(SETUP!$I$1:$I$2000,MATCH(TRUE,SETUP!$J$1:$J$2000,0)+COUNTIFS($A$2:$A977,"&lt;&gt;",$K$2:$K977,"Yes",$L$2:$L977,"")-1)))</f>
        <v/>
      </c>
      <c r="N977" s="22"/>
    </row>
    <row r="978" spans="1:14" x14ac:dyDescent="0.3">
      <c r="A978" s="15" t="str">
        <f>IF(COUNTA($B978:$E978,$K978)=0,"",IF(AND($B978&lt;&gt;"",$C978&lt;&gt;"",$D978&lt;&gt;"",$E978&lt;&gt;""),"TXS"&amp;TEXT(COUNTIFS($B$2:$B978,"&lt;&gt;",$C$2:$C978,"&lt;&gt;",$D$2:$D978,"&lt;&gt;",$E$2:$E978,"&lt;&gt;"),"00000"),""))</f>
        <v/>
      </c>
      <c r="B978" s="16"/>
      <c r="C978" s="20"/>
      <c r="D978" s="20"/>
      <c r="E978" s="23"/>
      <c r="H978" s="19" t="str">
        <f t="shared" si="51"/>
        <v/>
      </c>
      <c r="I978" s="19" t="str">
        <f t="shared" si="50"/>
        <v/>
      </c>
      <c r="J978" s="19" t="str">
        <f t="shared" si="52"/>
        <v/>
      </c>
      <c r="K978" s="20"/>
      <c r="L978" s="21" t="str">
        <f>IF(OR(NOT(AND($B978&lt;&gt;"",$C978&lt;&gt;"",$D978&lt;&gt;"",$E978&lt;&gt;"")),$A978="",$K978&lt;&gt;"Yes"),"",IF($L978&lt;&gt;"",$L978,INDEX(SETUP!$I$1:$I$2000,MATCH(TRUE,SETUP!$J$1:$J$2000,0)+COUNTIFS($A$2:$A978,"&lt;&gt;",$K$2:$K978,"Yes",$L$2:$L978,"")-1)))</f>
        <v/>
      </c>
      <c r="N978" s="22"/>
    </row>
    <row r="979" spans="1:14" x14ac:dyDescent="0.3">
      <c r="A979" s="15" t="str">
        <f>IF(COUNTA($B979:$E979,$K979)=0,"",IF(AND($B979&lt;&gt;"",$C979&lt;&gt;"",$D979&lt;&gt;"",$E979&lt;&gt;""),"TXS"&amp;TEXT(COUNTIFS($B$2:$B979,"&lt;&gt;",$C$2:$C979,"&lt;&gt;",$D$2:$D979,"&lt;&gt;",$E$2:$E979,"&lt;&gt;"),"00000"),""))</f>
        <v/>
      </c>
      <c r="B979" s="16"/>
      <c r="C979" s="20"/>
      <c r="D979" s="20"/>
      <c r="E979" s="23"/>
      <c r="H979" s="19" t="str">
        <f t="shared" si="51"/>
        <v/>
      </c>
      <c r="I979" s="19" t="str">
        <f t="shared" si="50"/>
        <v/>
      </c>
      <c r="J979" s="19" t="str">
        <f t="shared" si="52"/>
        <v/>
      </c>
      <c r="K979" s="20"/>
      <c r="L979" s="21" t="str">
        <f>IF(OR(NOT(AND($B979&lt;&gt;"",$C979&lt;&gt;"",$D979&lt;&gt;"",$E979&lt;&gt;"")),$A979="",$K979&lt;&gt;"Yes"),"",IF($L979&lt;&gt;"",$L979,INDEX(SETUP!$I$1:$I$2000,MATCH(TRUE,SETUP!$J$1:$J$2000,0)+COUNTIFS($A$2:$A979,"&lt;&gt;",$K$2:$K979,"Yes",$L$2:$L979,"")-1)))</f>
        <v/>
      </c>
      <c r="N979" s="22"/>
    </row>
    <row r="980" spans="1:14" x14ac:dyDescent="0.3">
      <c r="A980" s="15" t="str">
        <f>IF(COUNTA($B980:$E980,$K980)=0,"",IF(AND($B980&lt;&gt;"",$C980&lt;&gt;"",$D980&lt;&gt;"",$E980&lt;&gt;""),"TXS"&amp;TEXT(COUNTIFS($B$2:$B980,"&lt;&gt;",$C$2:$C980,"&lt;&gt;",$D$2:$D980,"&lt;&gt;",$E$2:$E980,"&lt;&gt;"),"00000"),""))</f>
        <v/>
      </c>
      <c r="B980" s="16"/>
      <c r="C980" s="20"/>
      <c r="D980" s="20"/>
      <c r="E980" s="23"/>
      <c r="H980" s="19" t="str">
        <f t="shared" si="51"/>
        <v/>
      </c>
      <c r="I980" s="19" t="str">
        <f t="shared" si="50"/>
        <v/>
      </c>
      <c r="J980" s="19" t="str">
        <f t="shared" si="52"/>
        <v/>
      </c>
      <c r="K980" s="20"/>
      <c r="L980" s="21" t="str">
        <f>IF(OR(NOT(AND($B980&lt;&gt;"",$C980&lt;&gt;"",$D980&lt;&gt;"",$E980&lt;&gt;"")),$A980="",$K980&lt;&gt;"Yes"),"",IF($L980&lt;&gt;"",$L980,INDEX(SETUP!$I$1:$I$2000,MATCH(TRUE,SETUP!$J$1:$J$2000,0)+COUNTIFS($A$2:$A980,"&lt;&gt;",$K$2:$K980,"Yes",$L$2:$L980,"")-1)))</f>
        <v/>
      </c>
      <c r="N980" s="22"/>
    </row>
    <row r="981" spans="1:14" x14ac:dyDescent="0.3">
      <c r="A981" s="15" t="str">
        <f>IF(COUNTA($B981:$E981,$K981)=0,"",IF(AND($B981&lt;&gt;"",$C981&lt;&gt;"",$D981&lt;&gt;"",$E981&lt;&gt;""),"TXS"&amp;TEXT(COUNTIFS($B$2:$B981,"&lt;&gt;",$C$2:$C981,"&lt;&gt;",$D$2:$D981,"&lt;&gt;",$E$2:$E981,"&lt;&gt;"),"00000"),""))</f>
        <v/>
      </c>
      <c r="B981" s="16"/>
      <c r="C981" s="20"/>
      <c r="D981" s="20"/>
      <c r="E981" s="23"/>
      <c r="H981" s="19" t="str">
        <f t="shared" si="51"/>
        <v/>
      </c>
      <c r="I981" s="19" t="str">
        <f t="shared" si="50"/>
        <v/>
      </c>
      <c r="J981" s="19" t="str">
        <f t="shared" si="52"/>
        <v/>
      </c>
      <c r="K981" s="20"/>
      <c r="L981" s="21" t="str">
        <f>IF(OR(NOT(AND($B981&lt;&gt;"",$C981&lt;&gt;"",$D981&lt;&gt;"",$E981&lt;&gt;"")),$A981="",$K981&lt;&gt;"Yes"),"",IF($L981&lt;&gt;"",$L981,INDEX(SETUP!$I$1:$I$2000,MATCH(TRUE,SETUP!$J$1:$J$2000,0)+COUNTIFS($A$2:$A981,"&lt;&gt;",$K$2:$K981,"Yes",$L$2:$L981,"")-1)))</f>
        <v/>
      </c>
      <c r="N981" s="22"/>
    </row>
    <row r="982" spans="1:14" x14ac:dyDescent="0.3">
      <c r="A982" s="15" t="str">
        <f>IF(COUNTA($B982:$E982,$K982)=0,"",IF(AND($B982&lt;&gt;"",$C982&lt;&gt;"",$D982&lt;&gt;"",$E982&lt;&gt;""),"TXS"&amp;TEXT(COUNTIFS($B$2:$B982,"&lt;&gt;",$C$2:$C982,"&lt;&gt;",$D$2:$D982,"&lt;&gt;",$E$2:$E982,"&lt;&gt;"),"00000"),""))</f>
        <v/>
      </c>
      <c r="B982" s="16"/>
      <c r="C982" s="20"/>
      <c r="D982" s="20"/>
      <c r="E982" s="23"/>
      <c r="H982" s="19" t="str">
        <f t="shared" si="51"/>
        <v/>
      </c>
      <c r="I982" s="19" t="str">
        <f t="shared" si="50"/>
        <v/>
      </c>
      <c r="J982" s="19" t="str">
        <f t="shared" si="52"/>
        <v/>
      </c>
      <c r="K982" s="20"/>
      <c r="L982" s="21" t="str">
        <f>IF(OR(NOT(AND($B982&lt;&gt;"",$C982&lt;&gt;"",$D982&lt;&gt;"",$E982&lt;&gt;"")),$A982="",$K982&lt;&gt;"Yes"),"",IF($L982&lt;&gt;"",$L982,INDEX(SETUP!$I$1:$I$2000,MATCH(TRUE,SETUP!$J$1:$J$2000,0)+COUNTIFS($A$2:$A982,"&lt;&gt;",$K$2:$K982,"Yes",$L$2:$L982,"")-1)))</f>
        <v/>
      </c>
      <c r="N982" s="22"/>
    </row>
    <row r="983" spans="1:14" x14ac:dyDescent="0.3">
      <c r="A983" s="15" t="str">
        <f>IF(COUNTA($B983:$E983,$K983)=0,"",IF(AND($B983&lt;&gt;"",$C983&lt;&gt;"",$D983&lt;&gt;"",$E983&lt;&gt;""),"TXS"&amp;TEXT(COUNTIFS($B$2:$B983,"&lt;&gt;",$C$2:$C983,"&lt;&gt;",$D$2:$D983,"&lt;&gt;",$E$2:$E983,"&lt;&gt;"),"00000"),""))</f>
        <v/>
      </c>
      <c r="B983" s="16"/>
      <c r="C983" s="20"/>
      <c r="D983" s="20"/>
      <c r="E983" s="23"/>
      <c r="H983" s="19" t="str">
        <f t="shared" si="51"/>
        <v/>
      </c>
      <c r="I983" s="19" t="str">
        <f t="shared" si="50"/>
        <v/>
      </c>
      <c r="J983" s="19" t="str">
        <f t="shared" si="52"/>
        <v/>
      </c>
      <c r="K983" s="20"/>
      <c r="L983" s="21" t="str">
        <f>IF(OR(NOT(AND($B983&lt;&gt;"",$C983&lt;&gt;"",$D983&lt;&gt;"",$E983&lt;&gt;"")),$A983="",$K983&lt;&gt;"Yes"),"",IF($L983&lt;&gt;"",$L983,INDEX(SETUP!$I$1:$I$2000,MATCH(TRUE,SETUP!$J$1:$J$2000,0)+COUNTIFS($A$2:$A983,"&lt;&gt;",$K$2:$K983,"Yes",$L$2:$L983,"")-1)))</f>
        <v/>
      </c>
      <c r="N983" s="22"/>
    </row>
    <row r="984" spans="1:14" x14ac:dyDescent="0.3">
      <c r="A984" s="15" t="str">
        <f>IF(COUNTA($B984:$E984,$K984)=0,"",IF(AND($B984&lt;&gt;"",$C984&lt;&gt;"",$D984&lt;&gt;"",$E984&lt;&gt;""),"TXS"&amp;TEXT(COUNTIFS($B$2:$B984,"&lt;&gt;",$C$2:$C984,"&lt;&gt;",$D$2:$D984,"&lt;&gt;",$E$2:$E984,"&lt;&gt;"),"00000"),""))</f>
        <v/>
      </c>
      <c r="B984" s="16"/>
      <c r="C984" s="20"/>
      <c r="D984" s="20"/>
      <c r="E984" s="23"/>
      <c r="H984" s="19" t="str">
        <f t="shared" si="51"/>
        <v/>
      </c>
      <c r="I984" s="19" t="str">
        <f t="shared" si="50"/>
        <v/>
      </c>
      <c r="J984" s="19" t="str">
        <f t="shared" si="52"/>
        <v/>
      </c>
      <c r="K984" s="20"/>
      <c r="L984" s="21" t="str">
        <f>IF(OR(NOT(AND($B984&lt;&gt;"",$C984&lt;&gt;"",$D984&lt;&gt;"",$E984&lt;&gt;"")),$A984="",$K984&lt;&gt;"Yes"),"",IF($L984&lt;&gt;"",$L984,INDEX(SETUP!$I$1:$I$2000,MATCH(TRUE,SETUP!$J$1:$J$2000,0)+COUNTIFS($A$2:$A984,"&lt;&gt;",$K$2:$K984,"Yes",$L$2:$L984,"")-1)))</f>
        <v/>
      </c>
      <c r="N984" s="22"/>
    </row>
    <row r="985" spans="1:14" x14ac:dyDescent="0.3">
      <c r="A985" s="15" t="str">
        <f>IF(COUNTA($B985:$E985,$K985)=0,"",IF(AND($B985&lt;&gt;"",$C985&lt;&gt;"",$D985&lt;&gt;"",$E985&lt;&gt;""),"TXS"&amp;TEXT(COUNTIFS($B$2:$B985,"&lt;&gt;",$C$2:$C985,"&lt;&gt;",$D$2:$D985,"&lt;&gt;",$E$2:$E985,"&lt;&gt;"),"00000"),""))</f>
        <v/>
      </c>
      <c r="B985" s="16"/>
      <c r="C985" s="20"/>
      <c r="D985" s="20"/>
      <c r="E985" s="23"/>
      <c r="H985" s="19" t="str">
        <f t="shared" si="51"/>
        <v/>
      </c>
      <c r="I985" s="19" t="str">
        <f t="shared" si="50"/>
        <v/>
      </c>
      <c r="J985" s="19" t="str">
        <f t="shared" si="52"/>
        <v/>
      </c>
      <c r="K985" s="20"/>
      <c r="L985" s="21" t="str">
        <f>IF(OR(NOT(AND($B985&lt;&gt;"",$C985&lt;&gt;"",$D985&lt;&gt;"",$E985&lt;&gt;"")),$A985="",$K985&lt;&gt;"Yes"),"",IF($L985&lt;&gt;"",$L985,INDEX(SETUP!$I$1:$I$2000,MATCH(TRUE,SETUP!$J$1:$J$2000,0)+COUNTIFS($A$2:$A985,"&lt;&gt;",$K$2:$K985,"Yes",$L$2:$L985,"")-1)))</f>
        <v/>
      </c>
      <c r="N985" s="22"/>
    </row>
    <row r="986" spans="1:14" x14ac:dyDescent="0.3">
      <c r="A986" s="15" t="str">
        <f>IF(COUNTA($B986:$E986,$K986)=0,"",IF(AND($B986&lt;&gt;"",$C986&lt;&gt;"",$D986&lt;&gt;"",$E986&lt;&gt;""),"TXS"&amp;TEXT(COUNTIFS($B$2:$B986,"&lt;&gt;",$C$2:$C986,"&lt;&gt;",$D$2:$D986,"&lt;&gt;",$E$2:$E986,"&lt;&gt;"),"00000"),""))</f>
        <v/>
      </c>
      <c r="B986" s="16"/>
      <c r="C986" s="20"/>
      <c r="D986" s="20"/>
      <c r="E986" s="23"/>
      <c r="H986" s="19" t="str">
        <f t="shared" si="51"/>
        <v/>
      </c>
      <c r="I986" s="19" t="str">
        <f t="shared" si="50"/>
        <v/>
      </c>
      <c r="J986" s="19" t="str">
        <f t="shared" si="52"/>
        <v/>
      </c>
      <c r="K986" s="20"/>
      <c r="L986" s="21" t="str">
        <f>IF(OR(NOT(AND($B986&lt;&gt;"",$C986&lt;&gt;"",$D986&lt;&gt;"",$E986&lt;&gt;"")),$A986="",$K986&lt;&gt;"Yes"),"",IF($L986&lt;&gt;"",$L986,INDEX(SETUP!$I$1:$I$2000,MATCH(TRUE,SETUP!$J$1:$J$2000,0)+COUNTIFS($A$2:$A986,"&lt;&gt;",$K$2:$K986,"Yes",$L$2:$L986,"")-1)))</f>
        <v/>
      </c>
      <c r="N986" s="22"/>
    </row>
    <row r="987" spans="1:14" x14ac:dyDescent="0.3">
      <c r="A987" s="15" t="str">
        <f>IF(COUNTA($B987:$E987,$K987)=0,"",IF(AND($B987&lt;&gt;"",$C987&lt;&gt;"",$D987&lt;&gt;"",$E987&lt;&gt;""),"TXS"&amp;TEXT(COUNTIFS($B$2:$B987,"&lt;&gt;",$C$2:$C987,"&lt;&gt;",$D$2:$D987,"&lt;&gt;",$E$2:$E987,"&lt;&gt;"),"00000"),""))</f>
        <v/>
      </c>
      <c r="B987" s="16"/>
      <c r="C987" s="20"/>
      <c r="D987" s="20"/>
      <c r="E987" s="23"/>
      <c r="H987" s="19" t="str">
        <f t="shared" si="51"/>
        <v/>
      </c>
      <c r="I987" s="19" t="str">
        <f t="shared" si="50"/>
        <v/>
      </c>
      <c r="J987" s="19" t="str">
        <f t="shared" si="52"/>
        <v/>
      </c>
      <c r="K987" s="20"/>
      <c r="L987" s="21" t="str">
        <f>IF(OR(NOT(AND($B987&lt;&gt;"",$C987&lt;&gt;"",$D987&lt;&gt;"",$E987&lt;&gt;"")),$A987="",$K987&lt;&gt;"Yes"),"",IF($L987&lt;&gt;"",$L987,INDEX(SETUP!$I$1:$I$2000,MATCH(TRUE,SETUP!$J$1:$J$2000,0)+COUNTIFS($A$2:$A987,"&lt;&gt;",$K$2:$K987,"Yes",$L$2:$L987,"")-1)))</f>
        <v/>
      </c>
      <c r="N987" s="22"/>
    </row>
    <row r="988" spans="1:14" x14ac:dyDescent="0.3">
      <c r="A988" s="15" t="str">
        <f>IF(COUNTA($B988:$E988,$K988)=0,"",IF(AND($B988&lt;&gt;"",$C988&lt;&gt;"",$D988&lt;&gt;"",$E988&lt;&gt;""),"TXS"&amp;TEXT(COUNTIFS($B$2:$B988,"&lt;&gt;",$C$2:$C988,"&lt;&gt;",$D$2:$D988,"&lt;&gt;",$E$2:$E988,"&lt;&gt;"),"00000"),""))</f>
        <v/>
      </c>
      <c r="B988" s="16"/>
      <c r="C988" s="20"/>
      <c r="D988" s="20"/>
      <c r="E988" s="23"/>
      <c r="H988" s="19" t="str">
        <f t="shared" si="51"/>
        <v/>
      </c>
      <c r="I988" s="19" t="str">
        <f t="shared" si="50"/>
        <v/>
      </c>
      <c r="J988" s="19" t="str">
        <f t="shared" si="52"/>
        <v/>
      </c>
      <c r="K988" s="20"/>
      <c r="L988" s="21" t="str">
        <f>IF(OR(NOT(AND($B988&lt;&gt;"",$C988&lt;&gt;"",$D988&lt;&gt;"",$E988&lt;&gt;"")),$A988="",$K988&lt;&gt;"Yes"),"",IF($L988&lt;&gt;"",$L988,INDEX(SETUP!$I$1:$I$2000,MATCH(TRUE,SETUP!$J$1:$J$2000,0)+COUNTIFS($A$2:$A988,"&lt;&gt;",$K$2:$K988,"Yes",$L$2:$L988,"")-1)))</f>
        <v/>
      </c>
      <c r="N988" s="22"/>
    </row>
    <row r="989" spans="1:14" x14ac:dyDescent="0.3">
      <c r="A989" s="15" t="str">
        <f>IF(COUNTA($B989:$E989,$K989)=0,"",IF(AND($B989&lt;&gt;"",$C989&lt;&gt;"",$D989&lt;&gt;"",$E989&lt;&gt;""),"TXS"&amp;TEXT(COUNTIFS($B$2:$B989,"&lt;&gt;",$C$2:$C989,"&lt;&gt;",$D$2:$D989,"&lt;&gt;",$E$2:$E989,"&lt;&gt;"),"00000"),""))</f>
        <v/>
      </c>
      <c r="B989" s="16"/>
      <c r="C989" s="20"/>
      <c r="D989" s="20"/>
      <c r="E989" s="23"/>
      <c r="H989" s="19" t="str">
        <f t="shared" si="51"/>
        <v/>
      </c>
      <c r="I989" s="19" t="str">
        <f t="shared" si="50"/>
        <v/>
      </c>
      <c r="J989" s="19" t="str">
        <f t="shared" si="52"/>
        <v/>
      </c>
      <c r="K989" s="20"/>
      <c r="L989" s="21" t="str">
        <f>IF(OR(NOT(AND($B989&lt;&gt;"",$C989&lt;&gt;"",$D989&lt;&gt;"",$E989&lt;&gt;"")),$A989="",$K989&lt;&gt;"Yes"),"",IF($L989&lt;&gt;"",$L989,INDEX(SETUP!$I$1:$I$2000,MATCH(TRUE,SETUP!$J$1:$J$2000,0)+COUNTIFS($A$2:$A989,"&lt;&gt;",$K$2:$K989,"Yes",$L$2:$L989,"")-1)))</f>
        <v/>
      </c>
      <c r="N989" s="22"/>
    </row>
    <row r="990" spans="1:14" x14ac:dyDescent="0.3">
      <c r="A990" s="15" t="str">
        <f>IF(COUNTA($B990:$E990,$K990)=0,"",IF(AND($B990&lt;&gt;"",$C990&lt;&gt;"",$D990&lt;&gt;"",$E990&lt;&gt;""),"TXS"&amp;TEXT(COUNTIFS($B$2:$B990,"&lt;&gt;",$C$2:$C990,"&lt;&gt;",$D$2:$D990,"&lt;&gt;",$E$2:$E990,"&lt;&gt;"),"00000"),""))</f>
        <v/>
      </c>
      <c r="B990" s="16"/>
      <c r="C990" s="20"/>
      <c r="D990" s="20"/>
      <c r="E990" s="23"/>
      <c r="H990" s="19" t="str">
        <f t="shared" si="51"/>
        <v/>
      </c>
      <c r="I990" s="19" t="str">
        <f t="shared" si="50"/>
        <v/>
      </c>
      <c r="J990" s="19" t="str">
        <f t="shared" si="52"/>
        <v/>
      </c>
      <c r="K990" s="20"/>
      <c r="L990" s="21" t="str">
        <f>IF(OR(NOT(AND($B990&lt;&gt;"",$C990&lt;&gt;"",$D990&lt;&gt;"",$E990&lt;&gt;"")),$A990="",$K990&lt;&gt;"Yes"),"",IF($L990&lt;&gt;"",$L990,INDEX(SETUP!$I$1:$I$2000,MATCH(TRUE,SETUP!$J$1:$J$2000,0)+COUNTIFS($A$2:$A990,"&lt;&gt;",$K$2:$K990,"Yes",$L$2:$L990,"")-1)))</f>
        <v/>
      </c>
      <c r="N990" s="22"/>
    </row>
    <row r="991" spans="1:14" x14ac:dyDescent="0.3">
      <c r="A991" s="15" t="str">
        <f>IF(COUNTA($B991:$E991,$K991)=0,"",IF(AND($B991&lt;&gt;"",$C991&lt;&gt;"",$D991&lt;&gt;"",$E991&lt;&gt;""),"TXS"&amp;TEXT(COUNTIFS($B$2:$B991,"&lt;&gt;",$C$2:$C991,"&lt;&gt;",$D$2:$D991,"&lt;&gt;",$E$2:$E991,"&lt;&gt;"),"00000"),""))</f>
        <v/>
      </c>
      <c r="B991" s="16"/>
      <c r="C991" s="20"/>
      <c r="D991" s="20"/>
      <c r="E991" s="23"/>
      <c r="H991" s="19" t="str">
        <f t="shared" si="51"/>
        <v/>
      </c>
      <c r="I991" s="19" t="str">
        <f t="shared" si="50"/>
        <v/>
      </c>
      <c r="J991" s="19" t="str">
        <f t="shared" si="52"/>
        <v/>
      </c>
      <c r="K991" s="20"/>
      <c r="L991" s="21" t="str">
        <f>IF(OR(NOT(AND($B991&lt;&gt;"",$C991&lt;&gt;"",$D991&lt;&gt;"",$E991&lt;&gt;"")),$A991="",$K991&lt;&gt;"Yes"),"",IF($L991&lt;&gt;"",$L991,INDEX(SETUP!$I$1:$I$2000,MATCH(TRUE,SETUP!$J$1:$J$2000,0)+COUNTIFS($A$2:$A991,"&lt;&gt;",$K$2:$K991,"Yes",$L$2:$L991,"")-1)))</f>
        <v/>
      </c>
      <c r="N991" s="22"/>
    </row>
    <row r="992" spans="1:14" x14ac:dyDescent="0.3">
      <c r="A992" s="15" t="str">
        <f>IF(COUNTA($B992:$E992,$K992)=0,"",IF(AND($B992&lt;&gt;"",$C992&lt;&gt;"",$D992&lt;&gt;"",$E992&lt;&gt;""),"TXS"&amp;TEXT(COUNTIFS($B$2:$B992,"&lt;&gt;",$C$2:$C992,"&lt;&gt;",$D$2:$D992,"&lt;&gt;",$E$2:$E992,"&lt;&gt;"),"00000"),""))</f>
        <v/>
      </c>
      <c r="B992" s="16"/>
      <c r="C992" s="20"/>
      <c r="D992" s="20"/>
      <c r="E992" s="23"/>
      <c r="H992" s="19" t="str">
        <f t="shared" si="51"/>
        <v/>
      </c>
      <c r="I992" s="19" t="str">
        <f t="shared" si="50"/>
        <v/>
      </c>
      <c r="J992" s="19" t="str">
        <f t="shared" si="52"/>
        <v/>
      </c>
      <c r="K992" s="20"/>
      <c r="L992" s="21" t="str">
        <f>IF(OR(NOT(AND($B992&lt;&gt;"",$C992&lt;&gt;"",$D992&lt;&gt;"",$E992&lt;&gt;"")),$A992="",$K992&lt;&gt;"Yes"),"",IF($L992&lt;&gt;"",$L992,INDEX(SETUP!$I$1:$I$2000,MATCH(TRUE,SETUP!$J$1:$J$2000,0)+COUNTIFS($A$2:$A992,"&lt;&gt;",$K$2:$K992,"Yes",$L$2:$L992,"")-1)))</f>
        <v/>
      </c>
      <c r="N992" s="22"/>
    </row>
    <row r="993" spans="1:14" x14ac:dyDescent="0.3">
      <c r="A993" s="15" t="str">
        <f>IF(COUNTA($B993:$E993,$K993)=0,"",IF(AND($B993&lt;&gt;"",$C993&lt;&gt;"",$D993&lt;&gt;"",$E993&lt;&gt;""),"TXS"&amp;TEXT(COUNTIFS($B$2:$B993,"&lt;&gt;",$C$2:$C993,"&lt;&gt;",$D$2:$D993,"&lt;&gt;",$E$2:$E993,"&lt;&gt;"),"00000"),""))</f>
        <v/>
      </c>
      <c r="B993" s="16"/>
      <c r="C993" s="20"/>
      <c r="D993" s="20"/>
      <c r="E993" s="23"/>
      <c r="H993" s="19" t="str">
        <f t="shared" si="51"/>
        <v/>
      </c>
      <c r="I993" s="19" t="str">
        <f t="shared" si="50"/>
        <v/>
      </c>
      <c r="J993" s="19" t="str">
        <f t="shared" si="52"/>
        <v/>
      </c>
      <c r="K993" s="20"/>
      <c r="L993" s="21" t="str">
        <f>IF(OR(NOT(AND($B993&lt;&gt;"",$C993&lt;&gt;"",$D993&lt;&gt;"",$E993&lt;&gt;"")),$A993="",$K993&lt;&gt;"Yes"),"",IF($L993&lt;&gt;"",$L993,INDEX(SETUP!$I$1:$I$2000,MATCH(TRUE,SETUP!$J$1:$J$2000,0)+COUNTIFS($A$2:$A993,"&lt;&gt;",$K$2:$K993,"Yes",$L$2:$L993,"")-1)))</f>
        <v/>
      </c>
      <c r="N993" s="22"/>
    </row>
    <row r="994" spans="1:14" x14ac:dyDescent="0.3">
      <c r="A994" s="15" t="str">
        <f>IF(COUNTA($B994:$E994,$K994)=0,"",IF(AND($B994&lt;&gt;"",$C994&lt;&gt;"",$D994&lt;&gt;"",$E994&lt;&gt;""),"TXS"&amp;TEXT(COUNTIFS($B$2:$B994,"&lt;&gt;",$C$2:$C994,"&lt;&gt;",$D$2:$D994,"&lt;&gt;",$E$2:$E994,"&lt;&gt;"),"00000"),""))</f>
        <v/>
      </c>
      <c r="B994" s="16"/>
      <c r="C994" s="20"/>
      <c r="D994" s="20"/>
      <c r="E994" s="23"/>
      <c r="H994" s="19" t="str">
        <f t="shared" si="51"/>
        <v/>
      </c>
      <c r="I994" s="19" t="str">
        <f t="shared" si="50"/>
        <v/>
      </c>
      <c r="J994" s="19" t="str">
        <f t="shared" si="52"/>
        <v/>
      </c>
      <c r="K994" s="20"/>
      <c r="L994" s="21" t="str">
        <f>IF(OR(NOT(AND($B994&lt;&gt;"",$C994&lt;&gt;"",$D994&lt;&gt;"",$E994&lt;&gt;"")),$A994="",$K994&lt;&gt;"Yes"),"",IF($L994&lt;&gt;"",$L994,INDEX(SETUP!$I$1:$I$2000,MATCH(TRUE,SETUP!$J$1:$J$2000,0)+COUNTIFS($A$2:$A994,"&lt;&gt;",$K$2:$K994,"Yes",$L$2:$L994,"")-1)))</f>
        <v/>
      </c>
      <c r="N994" s="22"/>
    </row>
    <row r="995" spans="1:14" x14ac:dyDescent="0.3">
      <c r="A995" s="15" t="str">
        <f>IF(COUNTA($B995:$E995,$K995)=0,"",IF(AND($B995&lt;&gt;"",$C995&lt;&gt;"",$D995&lt;&gt;"",$E995&lt;&gt;""),"TXS"&amp;TEXT(COUNTIFS($B$2:$B995,"&lt;&gt;",$C$2:$C995,"&lt;&gt;",$D$2:$D995,"&lt;&gt;",$E$2:$E995,"&lt;&gt;"),"00000"),""))</f>
        <v/>
      </c>
      <c r="B995" s="16"/>
      <c r="C995" s="20"/>
      <c r="D995" s="20"/>
      <c r="E995" s="23"/>
      <c r="H995" s="19" t="str">
        <f t="shared" si="51"/>
        <v/>
      </c>
      <c r="I995" s="19" t="str">
        <f t="shared" si="50"/>
        <v/>
      </c>
      <c r="J995" s="19" t="str">
        <f t="shared" si="52"/>
        <v/>
      </c>
      <c r="K995" s="20"/>
      <c r="L995" s="21" t="str">
        <f>IF(OR(NOT(AND($B995&lt;&gt;"",$C995&lt;&gt;"",$D995&lt;&gt;"",$E995&lt;&gt;"")),$A995="",$K995&lt;&gt;"Yes"),"",IF($L995&lt;&gt;"",$L995,INDEX(SETUP!$I$1:$I$2000,MATCH(TRUE,SETUP!$J$1:$J$2000,0)+COUNTIFS($A$2:$A995,"&lt;&gt;",$K$2:$K995,"Yes",$L$2:$L995,"")-1)))</f>
        <v/>
      </c>
      <c r="N995" s="22"/>
    </row>
    <row r="996" spans="1:14" x14ac:dyDescent="0.3">
      <c r="A996" s="15" t="str">
        <f>IF(COUNTA($B996:$E996,$K996)=0,"",IF(AND($B996&lt;&gt;"",$C996&lt;&gt;"",$D996&lt;&gt;"",$E996&lt;&gt;""),"TXS"&amp;TEXT(COUNTIFS($B$2:$B996,"&lt;&gt;",$C$2:$C996,"&lt;&gt;",$D$2:$D996,"&lt;&gt;",$E$2:$E996,"&lt;&gt;"),"00000"),""))</f>
        <v/>
      </c>
      <c r="B996" s="16"/>
      <c r="C996" s="20"/>
      <c r="D996" s="20"/>
      <c r="E996" s="23"/>
      <c r="H996" s="19" t="str">
        <f t="shared" si="51"/>
        <v/>
      </c>
      <c r="I996" s="19" t="str">
        <f t="shared" si="50"/>
        <v/>
      </c>
      <c r="J996" s="19" t="str">
        <f t="shared" si="52"/>
        <v/>
      </c>
      <c r="K996" s="20"/>
      <c r="L996" s="21" t="str">
        <f>IF(OR(NOT(AND($B996&lt;&gt;"",$C996&lt;&gt;"",$D996&lt;&gt;"",$E996&lt;&gt;"")),$A996="",$K996&lt;&gt;"Yes"),"",IF($L996&lt;&gt;"",$L996,INDEX(SETUP!$I$1:$I$2000,MATCH(TRUE,SETUP!$J$1:$J$2000,0)+COUNTIFS($A$2:$A996,"&lt;&gt;",$K$2:$K996,"Yes",$L$2:$L996,"")-1)))</f>
        <v/>
      </c>
      <c r="N996" s="22"/>
    </row>
    <row r="997" spans="1:14" x14ac:dyDescent="0.3">
      <c r="A997" s="15" t="str">
        <f>IF(COUNTA($B997:$E997,$K997)=0,"",IF(AND($B997&lt;&gt;"",$C997&lt;&gt;"",$D997&lt;&gt;"",$E997&lt;&gt;""),"TXS"&amp;TEXT(COUNTIFS($B$2:$B997,"&lt;&gt;",$C$2:$C997,"&lt;&gt;",$D$2:$D997,"&lt;&gt;",$E$2:$E997,"&lt;&gt;"),"00000"),""))</f>
        <v/>
      </c>
      <c r="B997" s="16"/>
      <c r="C997" s="20"/>
      <c r="D997" s="20"/>
      <c r="E997" s="23"/>
      <c r="H997" s="19" t="str">
        <f t="shared" si="51"/>
        <v/>
      </c>
      <c r="I997" s="19" t="str">
        <f t="shared" si="50"/>
        <v/>
      </c>
      <c r="J997" s="19" t="str">
        <f t="shared" si="52"/>
        <v/>
      </c>
      <c r="K997" s="20"/>
      <c r="L997" s="21" t="str">
        <f>IF(OR(NOT(AND($B997&lt;&gt;"",$C997&lt;&gt;"",$D997&lt;&gt;"",$E997&lt;&gt;"")),$A997="",$K997&lt;&gt;"Yes"),"",IF($L997&lt;&gt;"",$L997,INDEX(SETUP!$I$1:$I$2000,MATCH(TRUE,SETUP!$J$1:$J$2000,0)+COUNTIFS($A$2:$A997,"&lt;&gt;",$K$2:$K997,"Yes",$L$2:$L997,"")-1)))</f>
        <v/>
      </c>
      <c r="N997" s="22"/>
    </row>
    <row r="998" spans="1:14" x14ac:dyDescent="0.3">
      <c r="A998" s="15" t="str">
        <f>IF(COUNTA($B998:$E998,$K998)=0,"",IF(AND($B998&lt;&gt;"",$C998&lt;&gt;"",$D998&lt;&gt;"",$E998&lt;&gt;""),"TXS"&amp;TEXT(COUNTIFS($B$2:$B998,"&lt;&gt;",$C$2:$C998,"&lt;&gt;",$D$2:$D998,"&lt;&gt;",$E$2:$E998,"&lt;&gt;"),"00000"),""))</f>
        <v/>
      </c>
      <c r="B998" s="16"/>
      <c r="C998" s="20"/>
      <c r="D998" s="20"/>
      <c r="E998" s="23"/>
      <c r="H998" s="19" t="str">
        <f t="shared" si="51"/>
        <v/>
      </c>
      <c r="I998" s="19" t="str">
        <f t="shared" si="50"/>
        <v/>
      </c>
      <c r="J998" s="19" t="str">
        <f t="shared" si="52"/>
        <v/>
      </c>
      <c r="K998" s="20"/>
      <c r="L998" s="21" t="str">
        <f>IF(OR(NOT(AND($B998&lt;&gt;"",$C998&lt;&gt;"",$D998&lt;&gt;"",$E998&lt;&gt;"")),$A998="",$K998&lt;&gt;"Yes"),"",IF($L998&lt;&gt;"",$L998,INDEX(SETUP!$I$1:$I$2000,MATCH(TRUE,SETUP!$J$1:$J$2000,0)+COUNTIFS($A$2:$A998,"&lt;&gt;",$K$2:$K998,"Yes",$L$2:$L998,"")-1)))</f>
        <v/>
      </c>
      <c r="N998" s="22"/>
    </row>
    <row r="999" spans="1:14" x14ac:dyDescent="0.3">
      <c r="A999" s="15" t="str">
        <f>IF(COUNTA($B999:$E999,$K999)=0,"",IF(AND($B999&lt;&gt;"",$C999&lt;&gt;"",$D999&lt;&gt;"",$E999&lt;&gt;""),"TXS"&amp;TEXT(COUNTIFS($B$2:$B999,"&lt;&gt;",$C$2:$C999,"&lt;&gt;",$D$2:$D999,"&lt;&gt;",$E$2:$E999,"&lt;&gt;"),"00000"),""))</f>
        <v/>
      </c>
      <c r="B999" s="16"/>
      <c r="C999" s="20"/>
      <c r="D999" s="20"/>
      <c r="E999" s="23"/>
      <c r="H999" s="19" t="str">
        <f t="shared" si="51"/>
        <v/>
      </c>
      <c r="I999" s="19" t="str">
        <f t="shared" si="50"/>
        <v/>
      </c>
      <c r="J999" s="19" t="str">
        <f t="shared" si="52"/>
        <v/>
      </c>
      <c r="K999" s="20"/>
      <c r="L999" s="21" t="str">
        <f>IF(OR(NOT(AND($B999&lt;&gt;"",$C999&lt;&gt;"",$D999&lt;&gt;"",$E999&lt;&gt;"")),$A999="",$K999&lt;&gt;"Yes"),"",IF($L999&lt;&gt;"",$L999,INDEX(SETUP!$I$1:$I$2000,MATCH(TRUE,SETUP!$J$1:$J$2000,0)+COUNTIFS($A$2:$A999,"&lt;&gt;",$K$2:$K999,"Yes",$L$2:$L999,"")-1)))</f>
        <v/>
      </c>
      <c r="N999" s="22"/>
    </row>
    <row r="1000" spans="1:14" x14ac:dyDescent="0.3">
      <c r="A1000" s="15" t="str">
        <f>IF(COUNTA($B1000:$E1000,$K1000)=0,"",IF(AND($B1000&lt;&gt;"",$C1000&lt;&gt;"",$D1000&lt;&gt;"",$E1000&lt;&gt;""),"TXS"&amp;TEXT(COUNTIFS($B$2:$B1000,"&lt;&gt;",$C$2:$C1000,"&lt;&gt;",$D$2:$D1000,"&lt;&gt;",$E$2:$E1000,"&lt;&gt;"),"00000"),""))</f>
        <v/>
      </c>
      <c r="B1000" s="16"/>
      <c r="C1000" s="20"/>
      <c r="D1000" s="20"/>
      <c r="E1000" s="23"/>
      <c r="H1000" s="19" t="str">
        <f t="shared" si="51"/>
        <v/>
      </c>
      <c r="I1000" s="19" t="str">
        <f t="shared" si="50"/>
        <v/>
      </c>
      <c r="J1000" s="19" t="str">
        <f t="shared" si="52"/>
        <v/>
      </c>
      <c r="K1000" s="20"/>
      <c r="L1000" s="21" t="str">
        <f>IF(OR(NOT(AND($B1000&lt;&gt;"",$C1000&lt;&gt;"",$D1000&lt;&gt;"",$E1000&lt;&gt;"")),$A1000="",$K1000&lt;&gt;"Yes"),"",IF($L1000&lt;&gt;"",$L1000,INDEX(SETUP!$I$1:$I$2000,MATCH(TRUE,SETUP!$J$1:$J$2000,0)+COUNTIFS($A$2:$A1000,"&lt;&gt;",$K$2:$K1000,"Yes",$L$2:$L1000,"")-1)))</f>
        <v/>
      </c>
      <c r="N1000" s="22"/>
    </row>
    <row r="1001" spans="1:14" x14ac:dyDescent="0.3">
      <c r="A1001" s="15" t="str">
        <f>IF(COUNTA($B1001:$E1001,$K1001)=0,"",IF(AND($B1001&lt;&gt;"",$C1001&lt;&gt;"",$D1001&lt;&gt;"",$E1001&lt;&gt;""),"TXS"&amp;TEXT(COUNTIFS($B$2:$B1001,"&lt;&gt;",$C$2:$C1001,"&lt;&gt;",$D$2:$D1001,"&lt;&gt;",$E$2:$E1001,"&lt;&gt;"),"00000"),""))</f>
        <v/>
      </c>
      <c r="B1001" s="16"/>
      <c r="C1001" s="20"/>
      <c r="D1001" s="20"/>
      <c r="E1001" s="23"/>
      <c r="H1001" s="19" t="str">
        <f t="shared" si="51"/>
        <v/>
      </c>
      <c r="I1001" s="19" t="str">
        <f t="shared" ref="I1001:I1064" si="53">IF(NOT(AND($B1001&lt;&gt;"",$C1001&lt;&gt;"",$D1001&lt;&gt;"",$E1001&lt;&gt;"")),"",IF($A1001="","","NIH plate "&amp;INT((VALUE(RIGHT($A1001,5))-1)/96)+1&amp;": "&amp;CHAR(65+INT(MOD(VALUE(RIGHT($A1001,5))-1,96)/12))&amp;(MOD(VALUE(RIGHT($A1001,5))-1,12)+1)))</f>
        <v/>
      </c>
      <c r="J1001" s="19" t="str">
        <f t="shared" si="52"/>
        <v/>
      </c>
      <c r="K1001" s="20"/>
      <c r="L1001" s="21" t="str">
        <f>IF(OR(NOT(AND($B1001&lt;&gt;"",$C1001&lt;&gt;"",$D1001&lt;&gt;"",$E1001&lt;&gt;"")),$A1001="",$K1001&lt;&gt;"Yes"),"",IF($L1001&lt;&gt;"",$L1001,INDEX(SETUP!$I$1:$I$2000,MATCH(TRUE,SETUP!$J$1:$J$2000,0)+COUNTIFS($A$2:$A1001,"&lt;&gt;",$K$2:$K1001,"Yes",$L$2:$L1001,"")-1)))</f>
        <v/>
      </c>
      <c r="N1001" s="22"/>
    </row>
    <row r="1002" spans="1:14" x14ac:dyDescent="0.3">
      <c r="A1002" s="15" t="str">
        <f>IF(COUNTA($B1002:$E1002,$K1002)=0,"",IF(AND($B1002&lt;&gt;"",$C1002&lt;&gt;"",$D1002&lt;&gt;"",$E1002&lt;&gt;""),"TXS"&amp;TEXT(COUNTIFS($B$2:$B1002,"&lt;&gt;",$C$2:$C1002,"&lt;&gt;",$D$2:$D1002,"&lt;&gt;",$E$2:$E1002,"&lt;&gt;"),"00000"),""))</f>
        <v/>
      </c>
      <c r="B1002" s="16"/>
      <c r="C1002" s="20"/>
      <c r="D1002" s="20"/>
      <c r="E1002" s="23"/>
      <c r="H1002" s="19" t="str">
        <f t="shared" si="51"/>
        <v/>
      </c>
      <c r="I1002" s="19" t="str">
        <f t="shared" si="53"/>
        <v/>
      </c>
      <c r="J1002" s="19" t="str">
        <f t="shared" si="52"/>
        <v/>
      </c>
      <c r="K1002" s="20"/>
      <c r="L1002" s="21" t="str">
        <f>IF(OR(NOT(AND($B1002&lt;&gt;"",$C1002&lt;&gt;"",$D1002&lt;&gt;"",$E1002&lt;&gt;"")),$A1002="",$K1002&lt;&gt;"Yes"),"",IF($L1002&lt;&gt;"",$L1002,INDEX(SETUP!$I$1:$I$2000,MATCH(TRUE,SETUP!$J$1:$J$2000,0)+COUNTIFS($A$2:$A1002,"&lt;&gt;",$K$2:$K1002,"Yes",$L$2:$L1002,"")-1)))</f>
        <v/>
      </c>
      <c r="N1002" s="22"/>
    </row>
    <row r="1003" spans="1:14" x14ac:dyDescent="0.3">
      <c r="A1003" s="15" t="str">
        <f>IF(COUNTA($B1003:$E1003,$K1003)=0,"",IF(AND($B1003&lt;&gt;"",$C1003&lt;&gt;"",$D1003&lt;&gt;"",$E1003&lt;&gt;""),"TXS"&amp;TEXT(COUNTIFS($B$2:$B1003,"&lt;&gt;",$C$2:$C1003,"&lt;&gt;",$D$2:$D1003,"&lt;&gt;",$E$2:$E1003,"&lt;&gt;"),"00000"),""))</f>
        <v/>
      </c>
      <c r="B1003" s="16"/>
      <c r="C1003" s="20"/>
      <c r="D1003" s="20"/>
      <c r="E1003" s="23"/>
      <c r="H1003" s="19" t="str">
        <f t="shared" si="51"/>
        <v/>
      </c>
      <c r="I1003" s="19" t="str">
        <f t="shared" si="53"/>
        <v/>
      </c>
      <c r="J1003" s="19" t="str">
        <f t="shared" si="52"/>
        <v/>
      </c>
      <c r="K1003" s="20"/>
      <c r="L1003" s="21" t="str">
        <f>IF(OR(NOT(AND($B1003&lt;&gt;"",$C1003&lt;&gt;"",$D1003&lt;&gt;"",$E1003&lt;&gt;"")),$A1003="",$K1003&lt;&gt;"Yes"),"",IF($L1003&lt;&gt;"",$L1003,INDEX(SETUP!$I$1:$I$2000,MATCH(TRUE,SETUP!$J$1:$J$2000,0)+COUNTIFS($A$2:$A1003,"&lt;&gt;",$K$2:$K1003,"Yes",$L$2:$L1003,"")-1)))</f>
        <v/>
      </c>
      <c r="N1003" s="22"/>
    </row>
    <row r="1004" spans="1:14" x14ac:dyDescent="0.3">
      <c r="A1004" s="15" t="str">
        <f>IF(COUNTA($B1004:$E1004,$K1004)=0,"",IF(AND($B1004&lt;&gt;"",$C1004&lt;&gt;"",$D1004&lt;&gt;"",$E1004&lt;&gt;""),"TXS"&amp;TEXT(COUNTIFS($B$2:$B1004,"&lt;&gt;",$C$2:$C1004,"&lt;&gt;",$D$2:$D1004,"&lt;&gt;",$E$2:$E1004,"&lt;&gt;"),"00000"),""))</f>
        <v/>
      </c>
      <c r="B1004" s="16"/>
      <c r="C1004" s="20"/>
      <c r="D1004" s="20"/>
      <c r="E1004" s="23"/>
      <c r="H1004" s="19" t="str">
        <f t="shared" si="51"/>
        <v/>
      </c>
      <c r="I1004" s="19" t="str">
        <f t="shared" si="53"/>
        <v/>
      </c>
      <c r="J1004" s="19" t="str">
        <f t="shared" si="52"/>
        <v/>
      </c>
      <c r="K1004" s="20"/>
      <c r="L1004" s="21" t="str">
        <f>IF(OR(NOT(AND($B1004&lt;&gt;"",$C1004&lt;&gt;"",$D1004&lt;&gt;"",$E1004&lt;&gt;"")),$A1004="",$K1004&lt;&gt;"Yes"),"",IF($L1004&lt;&gt;"",$L1004,INDEX(SETUP!$I$1:$I$2000,MATCH(TRUE,SETUP!$J$1:$J$2000,0)+COUNTIFS($A$2:$A1004,"&lt;&gt;",$K$2:$K1004,"Yes",$L$2:$L1004,"")-1)))</f>
        <v/>
      </c>
      <c r="N1004" s="22"/>
    </row>
    <row r="1005" spans="1:14" x14ac:dyDescent="0.3">
      <c r="A1005" s="15" t="str">
        <f>IF(COUNTA($B1005:$E1005,$K1005)=0,"",IF(AND($B1005&lt;&gt;"",$C1005&lt;&gt;"",$D1005&lt;&gt;"",$E1005&lt;&gt;""),"TXS"&amp;TEXT(COUNTIFS($B$2:$B1005,"&lt;&gt;",$C$2:$C1005,"&lt;&gt;",$D$2:$D1005,"&lt;&gt;",$E$2:$E1005,"&lt;&gt;"),"00000"),""))</f>
        <v/>
      </c>
      <c r="B1005" s="16"/>
      <c r="C1005" s="20"/>
      <c r="D1005" s="20"/>
      <c r="E1005" s="23"/>
      <c r="H1005" s="19" t="str">
        <f t="shared" si="51"/>
        <v/>
      </c>
      <c r="I1005" s="19" t="str">
        <f t="shared" si="53"/>
        <v/>
      </c>
      <c r="J1005" s="19" t="str">
        <f t="shared" si="52"/>
        <v/>
      </c>
      <c r="K1005" s="20"/>
      <c r="L1005" s="21" t="str">
        <f>IF(OR(NOT(AND($B1005&lt;&gt;"",$C1005&lt;&gt;"",$D1005&lt;&gt;"",$E1005&lt;&gt;"")),$A1005="",$K1005&lt;&gt;"Yes"),"",IF($L1005&lt;&gt;"",$L1005,INDEX(SETUP!$I$1:$I$2000,MATCH(TRUE,SETUP!$J$1:$J$2000,0)+COUNTIFS($A$2:$A1005,"&lt;&gt;",$K$2:$K1005,"Yes",$L$2:$L1005,"")-1)))</f>
        <v/>
      </c>
      <c r="N1005" s="22"/>
    </row>
    <row r="1006" spans="1:14" x14ac:dyDescent="0.3">
      <c r="A1006" s="15" t="str">
        <f>IF(COUNTA($B1006:$E1006,$K1006)=0,"",IF(AND($B1006&lt;&gt;"",$C1006&lt;&gt;"",$D1006&lt;&gt;"",$E1006&lt;&gt;""),"TXS"&amp;TEXT(COUNTIFS($B$2:$B1006,"&lt;&gt;",$C$2:$C1006,"&lt;&gt;",$D$2:$D1006,"&lt;&gt;",$E$2:$E1006,"&lt;&gt;"),"00000"),""))</f>
        <v/>
      </c>
      <c r="B1006" s="16"/>
      <c r="C1006" s="20"/>
      <c r="D1006" s="20"/>
      <c r="E1006" s="23"/>
      <c r="H1006" s="19" t="str">
        <f t="shared" si="51"/>
        <v/>
      </c>
      <c r="I1006" s="19" t="str">
        <f t="shared" si="53"/>
        <v/>
      </c>
      <c r="J1006" s="19" t="str">
        <f t="shared" si="52"/>
        <v/>
      </c>
      <c r="K1006" s="20"/>
      <c r="L1006" s="21" t="str">
        <f>IF(OR(NOT(AND($B1006&lt;&gt;"",$C1006&lt;&gt;"",$D1006&lt;&gt;"",$E1006&lt;&gt;"")),$A1006="",$K1006&lt;&gt;"Yes"),"",IF($L1006&lt;&gt;"",$L1006,INDEX(SETUP!$I$1:$I$2000,MATCH(TRUE,SETUP!$J$1:$J$2000,0)+COUNTIFS($A$2:$A1006,"&lt;&gt;",$K$2:$K1006,"Yes",$L$2:$L1006,"")-1)))</f>
        <v/>
      </c>
      <c r="N1006" s="22"/>
    </row>
    <row r="1007" spans="1:14" x14ac:dyDescent="0.3">
      <c r="A1007" s="15" t="str">
        <f>IF(COUNTA($B1007:$E1007,$K1007)=0,"",IF(AND($B1007&lt;&gt;"",$C1007&lt;&gt;"",$D1007&lt;&gt;"",$E1007&lt;&gt;""),"TXS"&amp;TEXT(COUNTIFS($B$2:$B1007,"&lt;&gt;",$C$2:$C1007,"&lt;&gt;",$D$2:$D1007,"&lt;&gt;",$E$2:$E1007,"&lt;&gt;"),"00000"),""))</f>
        <v/>
      </c>
      <c r="B1007" s="16"/>
      <c r="C1007" s="20"/>
      <c r="D1007" s="20"/>
      <c r="E1007" s="23"/>
      <c r="H1007" s="19" t="str">
        <f t="shared" ref="H1007:H1070" si="54">IF(NOT(AND($B1007&lt;&gt;"",$C1007&lt;&gt;"",$D1007&lt;&gt;"",$E1007&lt;&gt;"")),"",IF($A1007="","","CDI plate "&amp;INT((VALUE(RIGHT($A1007,5))-1)/96)+1&amp;": "&amp;CHAR(65+INT(MOD(VALUE(RIGHT($A1007,5))-1,96)/12))&amp;(MOD(VALUE(RIGHT($A1007,5))-1,12)+1)))</f>
        <v/>
      </c>
      <c r="I1007" s="19" t="str">
        <f t="shared" si="53"/>
        <v/>
      </c>
      <c r="J1007" s="19" t="str">
        <f t="shared" si="52"/>
        <v/>
      </c>
      <c r="K1007" s="20"/>
      <c r="L1007" s="21" t="str">
        <f>IF(OR(NOT(AND($B1007&lt;&gt;"",$C1007&lt;&gt;"",$D1007&lt;&gt;"",$E1007&lt;&gt;"")),$A1007="",$K1007&lt;&gt;"Yes"),"",IF($L1007&lt;&gt;"",$L1007,INDEX(SETUP!$I$1:$I$2000,MATCH(TRUE,SETUP!$J$1:$J$2000,0)+COUNTIFS($A$2:$A1007,"&lt;&gt;",$K$2:$K1007,"Yes",$L$2:$L1007,"")-1)))</f>
        <v/>
      </c>
      <c r="N1007" s="22"/>
    </row>
    <row r="1008" spans="1:14" x14ac:dyDescent="0.3">
      <c r="A1008" s="15" t="str">
        <f>IF(COUNTA($B1008:$E1008,$K1008)=0,"",IF(AND($B1008&lt;&gt;"",$C1008&lt;&gt;"",$D1008&lt;&gt;"",$E1008&lt;&gt;""),"TXS"&amp;TEXT(COUNTIFS($B$2:$B1008,"&lt;&gt;",$C$2:$C1008,"&lt;&gt;",$D$2:$D1008,"&lt;&gt;",$E$2:$E1008,"&lt;&gt;"),"00000"),""))</f>
        <v/>
      </c>
      <c r="B1008" s="16"/>
      <c r="C1008" s="20"/>
      <c r="D1008" s="20"/>
      <c r="E1008" s="23"/>
      <c r="H1008" s="19" t="str">
        <f t="shared" si="54"/>
        <v/>
      </c>
      <c r="I1008" s="19" t="str">
        <f t="shared" si="53"/>
        <v/>
      </c>
      <c r="J1008" s="19" t="str">
        <f t="shared" si="52"/>
        <v/>
      </c>
      <c r="K1008" s="20"/>
      <c r="L1008" s="21" t="str">
        <f>IF(OR(NOT(AND($B1008&lt;&gt;"",$C1008&lt;&gt;"",$D1008&lt;&gt;"",$E1008&lt;&gt;"")),$A1008="",$K1008&lt;&gt;"Yes"),"",IF($L1008&lt;&gt;"",$L1008,INDEX(SETUP!$I$1:$I$2000,MATCH(TRUE,SETUP!$J$1:$J$2000,0)+COUNTIFS($A$2:$A1008,"&lt;&gt;",$K$2:$K1008,"Yes",$L$2:$L1008,"")-1)))</f>
        <v/>
      </c>
      <c r="N1008" s="22"/>
    </row>
    <row r="1009" spans="1:14" x14ac:dyDescent="0.3">
      <c r="A1009" s="15" t="str">
        <f>IF(COUNTA($B1009:$E1009,$K1009)=0,"",IF(AND($B1009&lt;&gt;"",$C1009&lt;&gt;"",$D1009&lt;&gt;"",$E1009&lt;&gt;""),"TXS"&amp;TEXT(COUNTIFS($B$2:$B1009,"&lt;&gt;",$C$2:$C1009,"&lt;&gt;",$D$2:$D1009,"&lt;&gt;",$E$2:$E1009,"&lt;&gt;"),"00000"),""))</f>
        <v/>
      </c>
      <c r="B1009" s="16"/>
      <c r="C1009" s="20"/>
      <c r="D1009" s="20"/>
      <c r="E1009" s="23"/>
      <c r="H1009" s="19" t="str">
        <f t="shared" si="54"/>
        <v/>
      </c>
      <c r="I1009" s="19" t="str">
        <f t="shared" si="53"/>
        <v/>
      </c>
      <c r="J1009" s="19" t="str">
        <f t="shared" si="52"/>
        <v/>
      </c>
      <c r="K1009" s="20"/>
      <c r="L1009" s="21" t="str">
        <f>IF(OR(NOT(AND($B1009&lt;&gt;"",$C1009&lt;&gt;"",$D1009&lt;&gt;"",$E1009&lt;&gt;"")),$A1009="",$K1009&lt;&gt;"Yes"),"",IF($L1009&lt;&gt;"",$L1009,INDEX(SETUP!$I$1:$I$2000,MATCH(TRUE,SETUP!$J$1:$J$2000,0)+COUNTIFS($A$2:$A1009,"&lt;&gt;",$K$2:$K1009,"Yes",$L$2:$L1009,"")-1)))</f>
        <v/>
      </c>
      <c r="N1009" s="22"/>
    </row>
    <row r="1010" spans="1:14" x14ac:dyDescent="0.3">
      <c r="A1010" s="15" t="str">
        <f>IF(COUNTA($B1010:$E1010,$K1010)=0,"",IF(AND($B1010&lt;&gt;"",$C1010&lt;&gt;"",$D1010&lt;&gt;"",$E1010&lt;&gt;""),"TXS"&amp;TEXT(COUNTIFS($B$2:$B1010,"&lt;&gt;",$C$2:$C1010,"&lt;&gt;",$D$2:$D1010,"&lt;&gt;",$E$2:$E1010,"&lt;&gt;"),"00000"),""))</f>
        <v/>
      </c>
      <c r="B1010" s="16"/>
      <c r="C1010" s="20"/>
      <c r="D1010" s="20"/>
      <c r="E1010" s="23"/>
      <c r="H1010" s="19" t="str">
        <f t="shared" si="54"/>
        <v/>
      </c>
      <c r="I1010" s="19" t="str">
        <f t="shared" si="53"/>
        <v/>
      </c>
      <c r="J1010" s="19" t="str">
        <f t="shared" ref="J1010:J1073" si="55">IF(NOT(AND($B1010&lt;&gt;"",$C1010&lt;&gt;"",$D1010&lt;&gt;"",$E1010&lt;&gt;"")),"",IF($A1010="","","Max Planck plate "&amp;INT((VALUE(RIGHT($A1010,5))-1)/96)+1&amp;": "&amp;CHAR(65+INT(MOD(VALUE(RIGHT($A1010,5))-1,96)/12))&amp;(MOD(VALUE(RIGHT($A1010,5))-1,12)+1)))</f>
        <v/>
      </c>
      <c r="K1010" s="20"/>
      <c r="L1010" s="21" t="str">
        <f>IF(OR(NOT(AND($B1010&lt;&gt;"",$C1010&lt;&gt;"",$D1010&lt;&gt;"",$E1010&lt;&gt;"")),$A1010="",$K1010&lt;&gt;"Yes"),"",IF($L1010&lt;&gt;"",$L1010,INDEX(SETUP!$I$1:$I$2000,MATCH(TRUE,SETUP!$J$1:$J$2000,0)+COUNTIFS($A$2:$A1010,"&lt;&gt;",$K$2:$K1010,"Yes",$L$2:$L1010,"")-1)))</f>
        <v/>
      </c>
      <c r="N1010" s="22"/>
    </row>
    <row r="1011" spans="1:14" x14ac:dyDescent="0.3">
      <c r="A1011" s="15" t="str">
        <f>IF(COUNTA($B1011:$E1011,$K1011)=0,"",IF(AND($B1011&lt;&gt;"",$C1011&lt;&gt;"",$D1011&lt;&gt;"",$E1011&lt;&gt;""),"TXS"&amp;TEXT(COUNTIFS($B$2:$B1011,"&lt;&gt;",$C$2:$C1011,"&lt;&gt;",$D$2:$D1011,"&lt;&gt;",$E$2:$E1011,"&lt;&gt;"),"00000"),""))</f>
        <v/>
      </c>
      <c r="B1011" s="16"/>
      <c r="C1011" s="20"/>
      <c r="D1011" s="20"/>
      <c r="E1011" s="23"/>
      <c r="H1011" s="19" t="str">
        <f t="shared" si="54"/>
        <v/>
      </c>
      <c r="I1011" s="19" t="str">
        <f t="shared" si="53"/>
        <v/>
      </c>
      <c r="J1011" s="19" t="str">
        <f t="shared" si="55"/>
        <v/>
      </c>
      <c r="K1011" s="20"/>
      <c r="L1011" s="21" t="str">
        <f>IF(OR(NOT(AND($B1011&lt;&gt;"",$C1011&lt;&gt;"",$D1011&lt;&gt;"",$E1011&lt;&gt;"")),$A1011="",$K1011&lt;&gt;"Yes"),"",IF($L1011&lt;&gt;"",$L1011,INDEX(SETUP!$I$1:$I$2000,MATCH(TRUE,SETUP!$J$1:$J$2000,0)+COUNTIFS($A$2:$A1011,"&lt;&gt;",$K$2:$K1011,"Yes",$L$2:$L1011,"")-1)))</f>
        <v/>
      </c>
      <c r="N1011" s="22"/>
    </row>
    <row r="1012" spans="1:14" x14ac:dyDescent="0.3">
      <c r="A1012" s="15" t="str">
        <f>IF(COUNTA($B1012:$E1012,$K1012)=0,"",IF(AND($B1012&lt;&gt;"",$C1012&lt;&gt;"",$D1012&lt;&gt;"",$E1012&lt;&gt;""),"TXS"&amp;TEXT(COUNTIFS($B$2:$B1012,"&lt;&gt;",$C$2:$C1012,"&lt;&gt;",$D$2:$D1012,"&lt;&gt;",$E$2:$E1012,"&lt;&gt;"),"00000"),""))</f>
        <v/>
      </c>
      <c r="B1012" s="16"/>
      <c r="C1012" s="20"/>
      <c r="D1012" s="20"/>
      <c r="E1012" s="23"/>
      <c r="H1012" s="19" t="str">
        <f t="shared" si="54"/>
        <v/>
      </c>
      <c r="I1012" s="19" t="str">
        <f t="shared" si="53"/>
        <v/>
      </c>
      <c r="J1012" s="19" t="str">
        <f t="shared" si="55"/>
        <v/>
      </c>
      <c r="K1012" s="20"/>
      <c r="L1012" s="21" t="str">
        <f>IF(OR(NOT(AND($B1012&lt;&gt;"",$C1012&lt;&gt;"",$D1012&lt;&gt;"",$E1012&lt;&gt;"")),$A1012="",$K1012&lt;&gt;"Yes"),"",IF($L1012&lt;&gt;"",$L1012,INDEX(SETUP!$I$1:$I$2000,MATCH(TRUE,SETUP!$J$1:$J$2000,0)+COUNTIFS($A$2:$A1012,"&lt;&gt;",$K$2:$K1012,"Yes",$L$2:$L1012,"")-1)))</f>
        <v/>
      </c>
      <c r="N1012" s="22"/>
    </row>
    <row r="1013" spans="1:14" x14ac:dyDescent="0.3">
      <c r="A1013" s="15" t="str">
        <f>IF(COUNTA($B1013:$E1013,$K1013)=0,"",IF(AND($B1013&lt;&gt;"",$C1013&lt;&gt;"",$D1013&lt;&gt;"",$E1013&lt;&gt;""),"TXS"&amp;TEXT(COUNTIFS($B$2:$B1013,"&lt;&gt;",$C$2:$C1013,"&lt;&gt;",$D$2:$D1013,"&lt;&gt;",$E$2:$E1013,"&lt;&gt;"),"00000"),""))</f>
        <v/>
      </c>
      <c r="B1013" s="16"/>
      <c r="C1013" s="20"/>
      <c r="D1013" s="20"/>
      <c r="E1013" s="23"/>
      <c r="H1013" s="19" t="str">
        <f t="shared" si="54"/>
        <v/>
      </c>
      <c r="I1013" s="19" t="str">
        <f t="shared" si="53"/>
        <v/>
      </c>
      <c r="J1013" s="19" t="str">
        <f t="shared" si="55"/>
        <v/>
      </c>
      <c r="K1013" s="20"/>
      <c r="L1013" s="21" t="str">
        <f>IF(OR(NOT(AND($B1013&lt;&gt;"",$C1013&lt;&gt;"",$D1013&lt;&gt;"",$E1013&lt;&gt;"")),$A1013="",$K1013&lt;&gt;"Yes"),"",IF($L1013&lt;&gt;"",$L1013,INDEX(SETUP!$I$1:$I$2000,MATCH(TRUE,SETUP!$J$1:$J$2000,0)+COUNTIFS($A$2:$A1013,"&lt;&gt;",$K$2:$K1013,"Yes",$L$2:$L1013,"")-1)))</f>
        <v/>
      </c>
      <c r="N1013" s="22"/>
    </row>
    <row r="1014" spans="1:14" x14ac:dyDescent="0.3">
      <c r="A1014" s="15" t="str">
        <f>IF(COUNTA($B1014:$E1014,$K1014)=0,"",IF(AND($B1014&lt;&gt;"",$C1014&lt;&gt;"",$D1014&lt;&gt;"",$E1014&lt;&gt;""),"TXS"&amp;TEXT(COUNTIFS($B$2:$B1014,"&lt;&gt;",$C$2:$C1014,"&lt;&gt;",$D$2:$D1014,"&lt;&gt;",$E$2:$E1014,"&lt;&gt;"),"00000"),""))</f>
        <v/>
      </c>
      <c r="B1014" s="16"/>
      <c r="C1014" s="20"/>
      <c r="D1014" s="20"/>
      <c r="E1014" s="23"/>
      <c r="H1014" s="19" t="str">
        <f t="shared" si="54"/>
        <v/>
      </c>
      <c r="I1014" s="19" t="str">
        <f t="shared" si="53"/>
        <v/>
      </c>
      <c r="J1014" s="19" t="str">
        <f t="shared" si="55"/>
        <v/>
      </c>
      <c r="K1014" s="20"/>
      <c r="L1014" s="21" t="str">
        <f>IF(OR(NOT(AND($B1014&lt;&gt;"",$C1014&lt;&gt;"",$D1014&lt;&gt;"",$E1014&lt;&gt;"")),$A1014="",$K1014&lt;&gt;"Yes"),"",IF($L1014&lt;&gt;"",$L1014,INDEX(SETUP!$I$1:$I$2000,MATCH(TRUE,SETUP!$J$1:$J$2000,0)+COUNTIFS($A$2:$A1014,"&lt;&gt;",$K$2:$K1014,"Yes",$L$2:$L1014,"")-1)))</f>
        <v/>
      </c>
      <c r="N1014" s="22"/>
    </row>
    <row r="1015" spans="1:14" x14ac:dyDescent="0.3">
      <c r="A1015" s="15" t="str">
        <f>IF(COUNTA($B1015:$E1015,$K1015)=0,"",IF(AND($B1015&lt;&gt;"",$C1015&lt;&gt;"",$D1015&lt;&gt;"",$E1015&lt;&gt;""),"TXS"&amp;TEXT(COUNTIFS($B$2:$B1015,"&lt;&gt;",$C$2:$C1015,"&lt;&gt;",$D$2:$D1015,"&lt;&gt;",$E$2:$E1015,"&lt;&gt;"),"00000"),""))</f>
        <v/>
      </c>
      <c r="B1015" s="16"/>
      <c r="C1015" s="20"/>
      <c r="D1015" s="20"/>
      <c r="E1015" s="23"/>
      <c r="H1015" s="19" t="str">
        <f t="shared" si="54"/>
        <v/>
      </c>
      <c r="I1015" s="19" t="str">
        <f t="shared" si="53"/>
        <v/>
      </c>
      <c r="J1015" s="19" t="str">
        <f t="shared" si="55"/>
        <v/>
      </c>
      <c r="K1015" s="20"/>
      <c r="L1015" s="21" t="str">
        <f>IF(OR(NOT(AND($B1015&lt;&gt;"",$C1015&lt;&gt;"",$D1015&lt;&gt;"",$E1015&lt;&gt;"")),$A1015="",$K1015&lt;&gt;"Yes"),"",IF($L1015&lt;&gt;"",$L1015,INDEX(SETUP!$I$1:$I$2000,MATCH(TRUE,SETUP!$J$1:$J$2000,0)+COUNTIFS($A$2:$A1015,"&lt;&gt;",$K$2:$K1015,"Yes",$L$2:$L1015,"")-1)))</f>
        <v/>
      </c>
      <c r="N1015" s="22"/>
    </row>
    <row r="1016" spans="1:14" x14ac:dyDescent="0.3">
      <c r="A1016" s="15" t="str">
        <f>IF(COUNTA($B1016:$E1016,$K1016)=0,"",IF(AND($B1016&lt;&gt;"",$C1016&lt;&gt;"",$D1016&lt;&gt;"",$E1016&lt;&gt;""),"TXS"&amp;TEXT(COUNTIFS($B$2:$B1016,"&lt;&gt;",$C$2:$C1016,"&lt;&gt;",$D$2:$D1016,"&lt;&gt;",$E$2:$E1016,"&lt;&gt;"),"00000"),""))</f>
        <v/>
      </c>
      <c r="B1016" s="16"/>
      <c r="C1016" s="20"/>
      <c r="D1016" s="20"/>
      <c r="E1016" s="23"/>
      <c r="H1016" s="19" t="str">
        <f t="shared" si="54"/>
        <v/>
      </c>
      <c r="I1016" s="19" t="str">
        <f t="shared" si="53"/>
        <v/>
      </c>
      <c r="J1016" s="19" t="str">
        <f t="shared" si="55"/>
        <v/>
      </c>
      <c r="K1016" s="20"/>
      <c r="L1016" s="21" t="str">
        <f>IF(OR(NOT(AND($B1016&lt;&gt;"",$C1016&lt;&gt;"",$D1016&lt;&gt;"",$E1016&lt;&gt;"")),$A1016="",$K1016&lt;&gt;"Yes"),"",IF($L1016&lt;&gt;"",$L1016,INDEX(SETUP!$I$1:$I$2000,MATCH(TRUE,SETUP!$J$1:$J$2000,0)+COUNTIFS($A$2:$A1016,"&lt;&gt;",$K$2:$K1016,"Yes",$L$2:$L1016,"")-1)))</f>
        <v/>
      </c>
      <c r="N1016" s="22"/>
    </row>
    <row r="1017" spans="1:14" x14ac:dyDescent="0.3">
      <c r="A1017" s="15" t="str">
        <f>IF(COUNTA($B1017:$E1017,$K1017)=0,"",IF(AND($B1017&lt;&gt;"",$C1017&lt;&gt;"",$D1017&lt;&gt;"",$E1017&lt;&gt;""),"TXS"&amp;TEXT(COUNTIFS($B$2:$B1017,"&lt;&gt;",$C$2:$C1017,"&lt;&gt;",$D$2:$D1017,"&lt;&gt;",$E$2:$E1017,"&lt;&gt;"),"00000"),""))</f>
        <v/>
      </c>
      <c r="B1017" s="16"/>
      <c r="C1017" s="20"/>
      <c r="D1017" s="20"/>
      <c r="E1017" s="23"/>
      <c r="H1017" s="19" t="str">
        <f t="shared" si="54"/>
        <v/>
      </c>
      <c r="I1017" s="19" t="str">
        <f t="shared" si="53"/>
        <v/>
      </c>
      <c r="J1017" s="19" t="str">
        <f t="shared" si="55"/>
        <v/>
      </c>
      <c r="K1017" s="20"/>
      <c r="L1017" s="21" t="str">
        <f>IF(OR(NOT(AND($B1017&lt;&gt;"",$C1017&lt;&gt;"",$D1017&lt;&gt;"",$E1017&lt;&gt;"")),$A1017="",$K1017&lt;&gt;"Yes"),"",IF($L1017&lt;&gt;"",$L1017,INDEX(SETUP!$I$1:$I$2000,MATCH(TRUE,SETUP!$J$1:$J$2000,0)+COUNTIFS($A$2:$A1017,"&lt;&gt;",$K$2:$K1017,"Yes",$L$2:$L1017,"")-1)))</f>
        <v/>
      </c>
      <c r="N1017" s="22"/>
    </row>
    <row r="1018" spans="1:14" x14ac:dyDescent="0.3">
      <c r="A1018" s="15" t="str">
        <f>IF(COUNTA($B1018:$E1018,$K1018)=0,"",IF(AND($B1018&lt;&gt;"",$C1018&lt;&gt;"",$D1018&lt;&gt;"",$E1018&lt;&gt;""),"TXS"&amp;TEXT(COUNTIFS($B$2:$B1018,"&lt;&gt;",$C$2:$C1018,"&lt;&gt;",$D$2:$D1018,"&lt;&gt;",$E$2:$E1018,"&lt;&gt;"),"00000"),""))</f>
        <v/>
      </c>
      <c r="B1018" s="16"/>
      <c r="C1018" s="20"/>
      <c r="D1018" s="20"/>
      <c r="E1018" s="23"/>
      <c r="H1018" s="19" t="str">
        <f t="shared" si="54"/>
        <v/>
      </c>
      <c r="I1018" s="19" t="str">
        <f t="shared" si="53"/>
        <v/>
      </c>
      <c r="J1018" s="19" t="str">
        <f t="shared" si="55"/>
        <v/>
      </c>
      <c r="K1018" s="20"/>
      <c r="L1018" s="21" t="str">
        <f>IF(OR(NOT(AND($B1018&lt;&gt;"",$C1018&lt;&gt;"",$D1018&lt;&gt;"",$E1018&lt;&gt;"")),$A1018="",$K1018&lt;&gt;"Yes"),"",IF($L1018&lt;&gt;"",$L1018,INDEX(SETUP!$I$1:$I$2000,MATCH(TRUE,SETUP!$J$1:$J$2000,0)+COUNTIFS($A$2:$A1018,"&lt;&gt;",$K$2:$K1018,"Yes",$L$2:$L1018,"")-1)))</f>
        <v/>
      </c>
      <c r="N1018" s="22"/>
    </row>
    <row r="1019" spans="1:14" x14ac:dyDescent="0.3">
      <c r="A1019" s="15" t="str">
        <f>IF(COUNTA($B1019:$E1019,$K1019)=0,"",IF(AND($B1019&lt;&gt;"",$C1019&lt;&gt;"",$D1019&lt;&gt;"",$E1019&lt;&gt;""),"TXS"&amp;TEXT(COUNTIFS($B$2:$B1019,"&lt;&gt;",$C$2:$C1019,"&lt;&gt;",$D$2:$D1019,"&lt;&gt;",$E$2:$E1019,"&lt;&gt;"),"00000"),""))</f>
        <v/>
      </c>
      <c r="B1019" s="16"/>
      <c r="C1019" s="20"/>
      <c r="D1019" s="20"/>
      <c r="E1019" s="23"/>
      <c r="H1019" s="19" t="str">
        <f t="shared" si="54"/>
        <v/>
      </c>
      <c r="I1019" s="19" t="str">
        <f t="shared" si="53"/>
        <v/>
      </c>
      <c r="J1019" s="19" t="str">
        <f t="shared" si="55"/>
        <v/>
      </c>
      <c r="K1019" s="20"/>
      <c r="L1019" s="21" t="str">
        <f>IF(OR(NOT(AND($B1019&lt;&gt;"",$C1019&lt;&gt;"",$D1019&lt;&gt;"",$E1019&lt;&gt;"")),$A1019="",$K1019&lt;&gt;"Yes"),"",IF($L1019&lt;&gt;"",$L1019,INDEX(SETUP!$I$1:$I$2000,MATCH(TRUE,SETUP!$J$1:$J$2000,0)+COUNTIFS($A$2:$A1019,"&lt;&gt;",$K$2:$K1019,"Yes",$L$2:$L1019,"")-1)))</f>
        <v/>
      </c>
      <c r="N1019" s="22"/>
    </row>
    <row r="1020" spans="1:14" x14ac:dyDescent="0.3">
      <c r="A1020" s="15" t="str">
        <f>IF(COUNTA($B1020:$E1020,$K1020)=0,"",IF(AND($B1020&lt;&gt;"",$C1020&lt;&gt;"",$D1020&lt;&gt;"",$E1020&lt;&gt;""),"TXS"&amp;TEXT(COUNTIFS($B$2:$B1020,"&lt;&gt;",$C$2:$C1020,"&lt;&gt;",$D$2:$D1020,"&lt;&gt;",$E$2:$E1020,"&lt;&gt;"),"00000"),""))</f>
        <v/>
      </c>
      <c r="B1020" s="16"/>
      <c r="C1020" s="20"/>
      <c r="D1020" s="20"/>
      <c r="E1020" s="23"/>
      <c r="H1020" s="19" t="str">
        <f t="shared" si="54"/>
        <v/>
      </c>
      <c r="I1020" s="19" t="str">
        <f t="shared" si="53"/>
        <v/>
      </c>
      <c r="J1020" s="19" t="str">
        <f t="shared" si="55"/>
        <v/>
      </c>
      <c r="K1020" s="20"/>
      <c r="L1020" s="21" t="str">
        <f>IF(OR(NOT(AND($B1020&lt;&gt;"",$C1020&lt;&gt;"",$D1020&lt;&gt;"",$E1020&lt;&gt;"")),$A1020="",$K1020&lt;&gt;"Yes"),"",IF($L1020&lt;&gt;"",$L1020,INDEX(SETUP!$I$1:$I$2000,MATCH(TRUE,SETUP!$J$1:$J$2000,0)+COUNTIFS($A$2:$A1020,"&lt;&gt;",$K$2:$K1020,"Yes",$L$2:$L1020,"")-1)))</f>
        <v/>
      </c>
      <c r="N1020" s="22"/>
    </row>
    <row r="1021" spans="1:14" x14ac:dyDescent="0.3">
      <c r="A1021" s="15" t="str">
        <f>IF(COUNTA($B1021:$E1021,$K1021)=0,"",IF(AND($B1021&lt;&gt;"",$C1021&lt;&gt;"",$D1021&lt;&gt;"",$E1021&lt;&gt;""),"TXS"&amp;TEXT(COUNTIFS($B$2:$B1021,"&lt;&gt;",$C$2:$C1021,"&lt;&gt;",$D$2:$D1021,"&lt;&gt;",$E$2:$E1021,"&lt;&gt;"),"00000"),""))</f>
        <v/>
      </c>
      <c r="B1021" s="16"/>
      <c r="C1021" s="20"/>
      <c r="D1021" s="20"/>
      <c r="E1021" s="23"/>
      <c r="H1021" s="19" t="str">
        <f t="shared" si="54"/>
        <v/>
      </c>
      <c r="I1021" s="19" t="str">
        <f t="shared" si="53"/>
        <v/>
      </c>
      <c r="J1021" s="19" t="str">
        <f t="shared" si="55"/>
        <v/>
      </c>
      <c r="K1021" s="20"/>
      <c r="L1021" s="21" t="str">
        <f>IF(OR(NOT(AND($B1021&lt;&gt;"",$C1021&lt;&gt;"",$D1021&lt;&gt;"",$E1021&lt;&gt;"")),$A1021="",$K1021&lt;&gt;"Yes"),"",IF($L1021&lt;&gt;"",$L1021,INDEX(SETUP!$I$1:$I$2000,MATCH(TRUE,SETUP!$J$1:$J$2000,0)+COUNTIFS($A$2:$A1021,"&lt;&gt;",$K$2:$K1021,"Yes",$L$2:$L1021,"")-1)))</f>
        <v/>
      </c>
      <c r="N1021" s="22"/>
    </row>
    <row r="1022" spans="1:14" x14ac:dyDescent="0.3">
      <c r="A1022" s="15" t="str">
        <f>IF(COUNTA($B1022:$E1022,$K1022)=0,"",IF(AND($B1022&lt;&gt;"",$C1022&lt;&gt;"",$D1022&lt;&gt;"",$E1022&lt;&gt;""),"TXS"&amp;TEXT(COUNTIFS($B$2:$B1022,"&lt;&gt;",$C$2:$C1022,"&lt;&gt;",$D$2:$D1022,"&lt;&gt;",$E$2:$E1022,"&lt;&gt;"),"00000"),""))</f>
        <v/>
      </c>
      <c r="B1022" s="16"/>
      <c r="C1022" s="20"/>
      <c r="D1022" s="20"/>
      <c r="E1022" s="23"/>
      <c r="H1022" s="19" t="str">
        <f t="shared" si="54"/>
        <v/>
      </c>
      <c r="I1022" s="19" t="str">
        <f t="shared" si="53"/>
        <v/>
      </c>
      <c r="J1022" s="19" t="str">
        <f t="shared" si="55"/>
        <v/>
      </c>
      <c r="K1022" s="20"/>
      <c r="L1022" s="21" t="str">
        <f>IF(OR(NOT(AND($B1022&lt;&gt;"",$C1022&lt;&gt;"",$D1022&lt;&gt;"",$E1022&lt;&gt;"")),$A1022="",$K1022&lt;&gt;"Yes"),"",IF($L1022&lt;&gt;"",$L1022,INDEX(SETUP!$I$1:$I$2000,MATCH(TRUE,SETUP!$J$1:$J$2000,0)+COUNTIFS($A$2:$A1022,"&lt;&gt;",$K$2:$K1022,"Yes",$L$2:$L1022,"")-1)))</f>
        <v/>
      </c>
      <c r="N1022" s="22"/>
    </row>
    <row r="1023" spans="1:14" x14ac:dyDescent="0.3">
      <c r="A1023" s="15" t="str">
        <f>IF(COUNTA($B1023:$E1023,$K1023)=0,"",IF(AND($B1023&lt;&gt;"",$C1023&lt;&gt;"",$D1023&lt;&gt;"",$E1023&lt;&gt;""),"TXS"&amp;TEXT(COUNTIFS($B$2:$B1023,"&lt;&gt;",$C$2:$C1023,"&lt;&gt;",$D$2:$D1023,"&lt;&gt;",$E$2:$E1023,"&lt;&gt;"),"00000"),""))</f>
        <v/>
      </c>
      <c r="B1023" s="16"/>
      <c r="C1023" s="20"/>
      <c r="D1023" s="20"/>
      <c r="E1023" s="23"/>
      <c r="H1023" s="19" t="str">
        <f t="shared" si="54"/>
        <v/>
      </c>
      <c r="I1023" s="19" t="str">
        <f t="shared" si="53"/>
        <v/>
      </c>
      <c r="J1023" s="19" t="str">
        <f t="shared" si="55"/>
        <v/>
      </c>
      <c r="K1023" s="20"/>
      <c r="L1023" s="21" t="str">
        <f>IF(OR(NOT(AND($B1023&lt;&gt;"",$C1023&lt;&gt;"",$D1023&lt;&gt;"",$E1023&lt;&gt;"")),$A1023="",$K1023&lt;&gt;"Yes"),"",IF($L1023&lt;&gt;"",$L1023,INDEX(SETUP!$I$1:$I$2000,MATCH(TRUE,SETUP!$J$1:$J$2000,0)+COUNTIFS($A$2:$A1023,"&lt;&gt;",$K$2:$K1023,"Yes",$L$2:$L1023,"")-1)))</f>
        <v/>
      </c>
      <c r="N1023" s="22"/>
    </row>
    <row r="1024" spans="1:14" x14ac:dyDescent="0.3">
      <c r="A1024" s="15" t="str">
        <f>IF(COUNTA($B1024:$E1024,$K1024)=0,"",IF(AND($B1024&lt;&gt;"",$C1024&lt;&gt;"",$D1024&lt;&gt;"",$E1024&lt;&gt;""),"TXS"&amp;TEXT(COUNTIFS($B$2:$B1024,"&lt;&gt;",$C$2:$C1024,"&lt;&gt;",$D$2:$D1024,"&lt;&gt;",$E$2:$E1024,"&lt;&gt;"),"00000"),""))</f>
        <v/>
      </c>
      <c r="B1024" s="16"/>
      <c r="C1024" s="20"/>
      <c r="D1024" s="20"/>
      <c r="E1024" s="23"/>
      <c r="H1024" s="19" t="str">
        <f t="shared" si="54"/>
        <v/>
      </c>
      <c r="I1024" s="19" t="str">
        <f t="shared" si="53"/>
        <v/>
      </c>
      <c r="J1024" s="19" t="str">
        <f t="shared" si="55"/>
        <v/>
      </c>
      <c r="K1024" s="20"/>
      <c r="L1024" s="21" t="str">
        <f>IF(OR(NOT(AND($B1024&lt;&gt;"",$C1024&lt;&gt;"",$D1024&lt;&gt;"",$E1024&lt;&gt;"")),$A1024="",$K1024&lt;&gt;"Yes"),"",IF($L1024&lt;&gt;"",$L1024,INDEX(SETUP!$I$1:$I$2000,MATCH(TRUE,SETUP!$J$1:$J$2000,0)+COUNTIFS($A$2:$A1024,"&lt;&gt;",$K$2:$K1024,"Yes",$L$2:$L1024,"")-1)))</f>
        <v/>
      </c>
      <c r="N1024" s="22"/>
    </row>
    <row r="1025" spans="1:14" x14ac:dyDescent="0.3">
      <c r="A1025" s="15" t="str">
        <f>IF(COUNTA($B1025:$E1025,$K1025)=0,"",IF(AND($B1025&lt;&gt;"",$C1025&lt;&gt;"",$D1025&lt;&gt;"",$E1025&lt;&gt;""),"TXS"&amp;TEXT(COUNTIFS($B$2:$B1025,"&lt;&gt;",$C$2:$C1025,"&lt;&gt;",$D$2:$D1025,"&lt;&gt;",$E$2:$E1025,"&lt;&gt;"),"00000"),""))</f>
        <v/>
      </c>
      <c r="B1025" s="16"/>
      <c r="C1025" s="20"/>
      <c r="D1025" s="20"/>
      <c r="E1025" s="23"/>
      <c r="H1025" s="19" t="str">
        <f t="shared" si="54"/>
        <v/>
      </c>
      <c r="I1025" s="19" t="str">
        <f t="shared" si="53"/>
        <v/>
      </c>
      <c r="J1025" s="19" t="str">
        <f t="shared" si="55"/>
        <v/>
      </c>
      <c r="K1025" s="20"/>
      <c r="L1025" s="21" t="str">
        <f>IF(OR(NOT(AND($B1025&lt;&gt;"",$C1025&lt;&gt;"",$D1025&lt;&gt;"",$E1025&lt;&gt;"")),$A1025="",$K1025&lt;&gt;"Yes"),"",IF($L1025&lt;&gt;"",$L1025,INDEX(SETUP!$I$1:$I$2000,MATCH(TRUE,SETUP!$J$1:$J$2000,0)+COUNTIFS($A$2:$A1025,"&lt;&gt;",$K$2:$K1025,"Yes",$L$2:$L1025,"")-1)))</f>
        <v/>
      </c>
      <c r="N1025" s="22"/>
    </row>
    <row r="1026" spans="1:14" x14ac:dyDescent="0.3">
      <c r="A1026" s="15" t="str">
        <f>IF(COUNTA($B1026:$E1026,$K1026)=0,"",IF(AND($B1026&lt;&gt;"",$C1026&lt;&gt;"",$D1026&lt;&gt;"",$E1026&lt;&gt;""),"TXS"&amp;TEXT(COUNTIFS($B$2:$B1026,"&lt;&gt;",$C$2:$C1026,"&lt;&gt;",$D$2:$D1026,"&lt;&gt;",$E$2:$E1026,"&lt;&gt;"),"00000"),""))</f>
        <v/>
      </c>
      <c r="B1026" s="16"/>
      <c r="C1026" s="20"/>
      <c r="D1026" s="20"/>
      <c r="E1026" s="23"/>
      <c r="H1026" s="19" t="str">
        <f t="shared" si="54"/>
        <v/>
      </c>
      <c r="I1026" s="19" t="str">
        <f t="shared" si="53"/>
        <v/>
      </c>
      <c r="J1026" s="19" t="str">
        <f t="shared" si="55"/>
        <v/>
      </c>
      <c r="K1026" s="20"/>
      <c r="L1026" s="21" t="str">
        <f>IF(OR(NOT(AND($B1026&lt;&gt;"",$C1026&lt;&gt;"",$D1026&lt;&gt;"",$E1026&lt;&gt;"")),$A1026="",$K1026&lt;&gt;"Yes"),"",IF($L1026&lt;&gt;"",$L1026,INDEX(SETUP!$I$1:$I$2000,MATCH(TRUE,SETUP!$J$1:$J$2000,0)+COUNTIFS($A$2:$A1026,"&lt;&gt;",$K$2:$K1026,"Yes",$L$2:$L1026,"")-1)))</f>
        <v/>
      </c>
      <c r="N1026" s="22"/>
    </row>
    <row r="1027" spans="1:14" x14ac:dyDescent="0.3">
      <c r="A1027" s="15" t="str">
        <f>IF(COUNTA($B1027:$E1027,$K1027)=0,"",IF(AND($B1027&lt;&gt;"",$C1027&lt;&gt;"",$D1027&lt;&gt;"",$E1027&lt;&gt;""),"TXS"&amp;TEXT(COUNTIFS($B$2:$B1027,"&lt;&gt;",$C$2:$C1027,"&lt;&gt;",$D$2:$D1027,"&lt;&gt;",$E$2:$E1027,"&lt;&gt;"),"00000"),""))</f>
        <v/>
      </c>
      <c r="B1027" s="16"/>
      <c r="C1027" s="20"/>
      <c r="D1027" s="20"/>
      <c r="E1027" s="23"/>
      <c r="H1027" s="19" t="str">
        <f t="shared" si="54"/>
        <v/>
      </c>
      <c r="I1027" s="19" t="str">
        <f t="shared" si="53"/>
        <v/>
      </c>
      <c r="J1027" s="19" t="str">
        <f t="shared" si="55"/>
        <v/>
      </c>
      <c r="K1027" s="20"/>
      <c r="L1027" s="21" t="str">
        <f>IF(OR(NOT(AND($B1027&lt;&gt;"",$C1027&lt;&gt;"",$D1027&lt;&gt;"",$E1027&lt;&gt;"")),$A1027="",$K1027&lt;&gt;"Yes"),"",IF($L1027&lt;&gt;"",$L1027,INDEX(SETUP!$I$1:$I$2000,MATCH(TRUE,SETUP!$J$1:$J$2000,0)+COUNTIFS($A$2:$A1027,"&lt;&gt;",$K$2:$K1027,"Yes",$L$2:$L1027,"")-1)))</f>
        <v/>
      </c>
      <c r="N1027" s="22"/>
    </row>
    <row r="1028" spans="1:14" x14ac:dyDescent="0.3">
      <c r="A1028" s="15" t="str">
        <f>IF(COUNTA($B1028:$E1028,$K1028)=0,"",IF(AND($B1028&lt;&gt;"",$C1028&lt;&gt;"",$D1028&lt;&gt;"",$E1028&lt;&gt;""),"TXS"&amp;TEXT(COUNTIFS($B$2:$B1028,"&lt;&gt;",$C$2:$C1028,"&lt;&gt;",$D$2:$D1028,"&lt;&gt;",$E$2:$E1028,"&lt;&gt;"),"00000"),""))</f>
        <v/>
      </c>
      <c r="B1028" s="16"/>
      <c r="C1028" s="20"/>
      <c r="D1028" s="20"/>
      <c r="E1028" s="23"/>
      <c r="H1028" s="19" t="str">
        <f t="shared" si="54"/>
        <v/>
      </c>
      <c r="I1028" s="19" t="str">
        <f t="shared" si="53"/>
        <v/>
      </c>
      <c r="J1028" s="19" t="str">
        <f t="shared" si="55"/>
        <v/>
      </c>
      <c r="K1028" s="20"/>
      <c r="L1028" s="21" t="str">
        <f>IF(OR(NOT(AND($B1028&lt;&gt;"",$C1028&lt;&gt;"",$D1028&lt;&gt;"",$E1028&lt;&gt;"")),$A1028="",$K1028&lt;&gt;"Yes"),"",IF($L1028&lt;&gt;"",$L1028,INDEX(SETUP!$I$1:$I$2000,MATCH(TRUE,SETUP!$J$1:$J$2000,0)+COUNTIFS($A$2:$A1028,"&lt;&gt;",$K$2:$K1028,"Yes",$L$2:$L1028,"")-1)))</f>
        <v/>
      </c>
      <c r="N1028" s="22"/>
    </row>
    <row r="1029" spans="1:14" x14ac:dyDescent="0.3">
      <c r="A1029" s="15" t="str">
        <f>IF(COUNTA($B1029:$E1029,$K1029)=0,"",IF(AND($B1029&lt;&gt;"",$C1029&lt;&gt;"",$D1029&lt;&gt;"",$E1029&lt;&gt;""),"TXS"&amp;TEXT(COUNTIFS($B$2:$B1029,"&lt;&gt;",$C$2:$C1029,"&lt;&gt;",$D$2:$D1029,"&lt;&gt;",$E$2:$E1029,"&lt;&gt;"),"00000"),""))</f>
        <v/>
      </c>
      <c r="B1029" s="16"/>
      <c r="C1029" s="20"/>
      <c r="D1029" s="20"/>
      <c r="E1029" s="23"/>
      <c r="H1029" s="19" t="str">
        <f t="shared" si="54"/>
        <v/>
      </c>
      <c r="I1029" s="19" t="str">
        <f t="shared" si="53"/>
        <v/>
      </c>
      <c r="J1029" s="19" t="str">
        <f t="shared" si="55"/>
        <v/>
      </c>
      <c r="K1029" s="20"/>
      <c r="L1029" s="21" t="str">
        <f>IF(OR(NOT(AND($B1029&lt;&gt;"",$C1029&lt;&gt;"",$D1029&lt;&gt;"",$E1029&lt;&gt;"")),$A1029="",$K1029&lt;&gt;"Yes"),"",IF($L1029&lt;&gt;"",$L1029,INDEX(SETUP!$I$1:$I$2000,MATCH(TRUE,SETUP!$J$1:$J$2000,0)+COUNTIFS($A$2:$A1029,"&lt;&gt;",$K$2:$K1029,"Yes",$L$2:$L1029,"")-1)))</f>
        <v/>
      </c>
      <c r="N1029" s="22"/>
    </row>
    <row r="1030" spans="1:14" x14ac:dyDescent="0.3">
      <c r="A1030" s="15" t="str">
        <f>IF(COUNTA($B1030:$E1030,$K1030)=0,"",IF(AND($B1030&lt;&gt;"",$C1030&lt;&gt;"",$D1030&lt;&gt;"",$E1030&lt;&gt;""),"TXS"&amp;TEXT(COUNTIFS($B$2:$B1030,"&lt;&gt;",$C$2:$C1030,"&lt;&gt;",$D$2:$D1030,"&lt;&gt;",$E$2:$E1030,"&lt;&gt;"),"00000"),""))</f>
        <v/>
      </c>
      <c r="B1030" s="16"/>
      <c r="C1030" s="20"/>
      <c r="D1030" s="20"/>
      <c r="E1030" s="23"/>
      <c r="H1030" s="19" t="str">
        <f t="shared" si="54"/>
        <v/>
      </c>
      <c r="I1030" s="19" t="str">
        <f t="shared" si="53"/>
        <v/>
      </c>
      <c r="J1030" s="19" t="str">
        <f t="shared" si="55"/>
        <v/>
      </c>
      <c r="K1030" s="20"/>
      <c r="L1030" s="21" t="str">
        <f>IF(OR(NOT(AND($B1030&lt;&gt;"",$C1030&lt;&gt;"",$D1030&lt;&gt;"",$E1030&lt;&gt;"")),$A1030="",$K1030&lt;&gt;"Yes"),"",IF($L1030&lt;&gt;"",$L1030,INDEX(SETUP!$I$1:$I$2000,MATCH(TRUE,SETUP!$J$1:$J$2000,0)+COUNTIFS($A$2:$A1030,"&lt;&gt;",$K$2:$K1030,"Yes",$L$2:$L1030,"")-1)))</f>
        <v/>
      </c>
      <c r="N1030" s="22"/>
    </row>
    <row r="1031" spans="1:14" x14ac:dyDescent="0.3">
      <c r="A1031" s="15" t="str">
        <f>IF(COUNTA($B1031:$E1031,$K1031)=0,"",IF(AND($B1031&lt;&gt;"",$C1031&lt;&gt;"",$D1031&lt;&gt;"",$E1031&lt;&gt;""),"TXS"&amp;TEXT(COUNTIFS($B$2:$B1031,"&lt;&gt;",$C$2:$C1031,"&lt;&gt;",$D$2:$D1031,"&lt;&gt;",$E$2:$E1031,"&lt;&gt;"),"00000"),""))</f>
        <v/>
      </c>
      <c r="B1031" s="16"/>
      <c r="C1031" s="20"/>
      <c r="D1031" s="20"/>
      <c r="E1031" s="23"/>
      <c r="H1031" s="19" t="str">
        <f t="shared" si="54"/>
        <v/>
      </c>
      <c r="I1031" s="19" t="str">
        <f t="shared" si="53"/>
        <v/>
      </c>
      <c r="J1031" s="19" t="str">
        <f t="shared" si="55"/>
        <v/>
      </c>
      <c r="K1031" s="20"/>
      <c r="L1031" s="21" t="str">
        <f>IF(OR(NOT(AND($B1031&lt;&gt;"",$C1031&lt;&gt;"",$D1031&lt;&gt;"",$E1031&lt;&gt;"")),$A1031="",$K1031&lt;&gt;"Yes"),"",IF($L1031&lt;&gt;"",$L1031,INDEX(SETUP!$I$1:$I$2000,MATCH(TRUE,SETUP!$J$1:$J$2000,0)+COUNTIFS($A$2:$A1031,"&lt;&gt;",$K$2:$K1031,"Yes",$L$2:$L1031,"")-1)))</f>
        <v/>
      </c>
      <c r="N1031" s="22"/>
    </row>
    <row r="1032" spans="1:14" x14ac:dyDescent="0.3">
      <c r="A1032" s="15" t="str">
        <f>IF(COUNTA($B1032:$E1032,$K1032)=0,"",IF(AND($B1032&lt;&gt;"",$C1032&lt;&gt;"",$D1032&lt;&gt;"",$E1032&lt;&gt;""),"TXS"&amp;TEXT(COUNTIFS($B$2:$B1032,"&lt;&gt;",$C$2:$C1032,"&lt;&gt;",$D$2:$D1032,"&lt;&gt;",$E$2:$E1032,"&lt;&gt;"),"00000"),""))</f>
        <v/>
      </c>
      <c r="B1032" s="16"/>
      <c r="C1032" s="20"/>
      <c r="D1032" s="20"/>
      <c r="E1032" s="23"/>
      <c r="H1032" s="19" t="str">
        <f t="shared" si="54"/>
        <v/>
      </c>
      <c r="I1032" s="19" t="str">
        <f t="shared" si="53"/>
        <v/>
      </c>
      <c r="J1032" s="19" t="str">
        <f t="shared" si="55"/>
        <v/>
      </c>
      <c r="K1032" s="20"/>
      <c r="L1032" s="21" t="str">
        <f>IF(OR(NOT(AND($B1032&lt;&gt;"",$C1032&lt;&gt;"",$D1032&lt;&gt;"",$E1032&lt;&gt;"")),$A1032="",$K1032&lt;&gt;"Yes"),"",IF($L1032&lt;&gt;"",$L1032,INDEX(SETUP!$I$1:$I$2000,MATCH(TRUE,SETUP!$J$1:$J$2000,0)+COUNTIFS($A$2:$A1032,"&lt;&gt;",$K$2:$K1032,"Yes",$L$2:$L1032,"")-1)))</f>
        <v/>
      </c>
      <c r="N1032" s="22"/>
    </row>
    <row r="1033" spans="1:14" x14ac:dyDescent="0.3">
      <c r="A1033" s="15" t="str">
        <f>IF(COUNTA($B1033:$E1033,$K1033)=0,"",IF(AND($B1033&lt;&gt;"",$C1033&lt;&gt;"",$D1033&lt;&gt;"",$E1033&lt;&gt;""),"TXS"&amp;TEXT(COUNTIFS($B$2:$B1033,"&lt;&gt;",$C$2:$C1033,"&lt;&gt;",$D$2:$D1033,"&lt;&gt;",$E$2:$E1033,"&lt;&gt;"),"00000"),""))</f>
        <v/>
      </c>
      <c r="B1033" s="16"/>
      <c r="C1033" s="20"/>
      <c r="D1033" s="20"/>
      <c r="E1033" s="23"/>
      <c r="H1033" s="19" t="str">
        <f t="shared" si="54"/>
        <v/>
      </c>
      <c r="I1033" s="19" t="str">
        <f t="shared" si="53"/>
        <v/>
      </c>
      <c r="J1033" s="19" t="str">
        <f t="shared" si="55"/>
        <v/>
      </c>
      <c r="K1033" s="20"/>
      <c r="L1033" s="21" t="str">
        <f>IF(OR(NOT(AND($B1033&lt;&gt;"",$C1033&lt;&gt;"",$D1033&lt;&gt;"",$E1033&lt;&gt;"")),$A1033="",$K1033&lt;&gt;"Yes"),"",IF($L1033&lt;&gt;"",$L1033,INDEX(SETUP!$I$1:$I$2000,MATCH(TRUE,SETUP!$J$1:$J$2000,0)+COUNTIFS($A$2:$A1033,"&lt;&gt;",$K$2:$K1033,"Yes",$L$2:$L1033,"")-1)))</f>
        <v/>
      </c>
      <c r="N1033" s="22"/>
    </row>
    <row r="1034" spans="1:14" x14ac:dyDescent="0.3">
      <c r="A1034" s="15" t="str">
        <f>IF(COUNTA($B1034:$E1034,$K1034)=0,"",IF(AND($B1034&lt;&gt;"",$C1034&lt;&gt;"",$D1034&lt;&gt;"",$E1034&lt;&gt;""),"TXS"&amp;TEXT(COUNTIFS($B$2:$B1034,"&lt;&gt;",$C$2:$C1034,"&lt;&gt;",$D$2:$D1034,"&lt;&gt;",$E$2:$E1034,"&lt;&gt;"),"00000"),""))</f>
        <v/>
      </c>
      <c r="B1034" s="16"/>
      <c r="C1034" s="20"/>
      <c r="D1034" s="20"/>
      <c r="E1034" s="23"/>
      <c r="H1034" s="19" t="str">
        <f t="shared" si="54"/>
        <v/>
      </c>
      <c r="I1034" s="19" t="str">
        <f t="shared" si="53"/>
        <v/>
      </c>
      <c r="J1034" s="19" t="str">
        <f t="shared" si="55"/>
        <v/>
      </c>
      <c r="K1034" s="20"/>
      <c r="L1034" s="21" t="str">
        <f>IF(OR(NOT(AND($B1034&lt;&gt;"",$C1034&lt;&gt;"",$D1034&lt;&gt;"",$E1034&lt;&gt;"")),$A1034="",$K1034&lt;&gt;"Yes"),"",IF($L1034&lt;&gt;"",$L1034,INDEX(SETUP!$I$1:$I$2000,MATCH(TRUE,SETUP!$J$1:$J$2000,0)+COUNTIFS($A$2:$A1034,"&lt;&gt;",$K$2:$K1034,"Yes",$L$2:$L1034,"")-1)))</f>
        <v/>
      </c>
      <c r="N1034" s="22"/>
    </row>
    <row r="1035" spans="1:14" x14ac:dyDescent="0.3">
      <c r="A1035" s="15" t="str">
        <f>IF(COUNTA($B1035:$E1035,$K1035)=0,"",IF(AND($B1035&lt;&gt;"",$C1035&lt;&gt;"",$D1035&lt;&gt;"",$E1035&lt;&gt;""),"TXS"&amp;TEXT(COUNTIFS($B$2:$B1035,"&lt;&gt;",$C$2:$C1035,"&lt;&gt;",$D$2:$D1035,"&lt;&gt;",$E$2:$E1035,"&lt;&gt;"),"00000"),""))</f>
        <v/>
      </c>
      <c r="B1035" s="16"/>
      <c r="C1035" s="20"/>
      <c r="D1035" s="20"/>
      <c r="E1035" s="23"/>
      <c r="H1035" s="19" t="str">
        <f t="shared" si="54"/>
        <v/>
      </c>
      <c r="I1035" s="19" t="str">
        <f t="shared" si="53"/>
        <v/>
      </c>
      <c r="J1035" s="19" t="str">
        <f t="shared" si="55"/>
        <v/>
      </c>
      <c r="K1035" s="20"/>
      <c r="L1035" s="21" t="str">
        <f>IF(OR(NOT(AND($B1035&lt;&gt;"",$C1035&lt;&gt;"",$D1035&lt;&gt;"",$E1035&lt;&gt;"")),$A1035="",$K1035&lt;&gt;"Yes"),"",IF($L1035&lt;&gt;"",$L1035,INDEX(SETUP!$I$1:$I$2000,MATCH(TRUE,SETUP!$J$1:$J$2000,0)+COUNTIFS($A$2:$A1035,"&lt;&gt;",$K$2:$K1035,"Yes",$L$2:$L1035,"")-1)))</f>
        <v/>
      </c>
      <c r="N1035" s="22"/>
    </row>
    <row r="1036" spans="1:14" x14ac:dyDescent="0.3">
      <c r="A1036" s="15" t="str">
        <f>IF(COUNTA($B1036:$E1036,$K1036)=0,"",IF(AND($B1036&lt;&gt;"",$C1036&lt;&gt;"",$D1036&lt;&gt;"",$E1036&lt;&gt;""),"TXS"&amp;TEXT(COUNTIFS($B$2:$B1036,"&lt;&gt;",$C$2:$C1036,"&lt;&gt;",$D$2:$D1036,"&lt;&gt;",$E$2:$E1036,"&lt;&gt;"),"00000"),""))</f>
        <v/>
      </c>
      <c r="B1036" s="16"/>
      <c r="C1036" s="20"/>
      <c r="D1036" s="20"/>
      <c r="E1036" s="23"/>
      <c r="H1036" s="19" t="str">
        <f t="shared" si="54"/>
        <v/>
      </c>
      <c r="I1036" s="19" t="str">
        <f t="shared" si="53"/>
        <v/>
      </c>
      <c r="J1036" s="19" t="str">
        <f t="shared" si="55"/>
        <v/>
      </c>
      <c r="K1036" s="20"/>
      <c r="L1036" s="21" t="str">
        <f>IF(OR(NOT(AND($B1036&lt;&gt;"",$C1036&lt;&gt;"",$D1036&lt;&gt;"",$E1036&lt;&gt;"")),$A1036="",$K1036&lt;&gt;"Yes"),"",IF($L1036&lt;&gt;"",$L1036,INDEX(SETUP!$I$1:$I$2000,MATCH(TRUE,SETUP!$J$1:$J$2000,0)+COUNTIFS($A$2:$A1036,"&lt;&gt;",$K$2:$K1036,"Yes",$L$2:$L1036,"")-1)))</f>
        <v/>
      </c>
      <c r="N1036" s="22"/>
    </row>
    <row r="1037" spans="1:14" x14ac:dyDescent="0.3">
      <c r="A1037" s="15" t="str">
        <f>IF(COUNTA($B1037:$E1037,$K1037)=0,"",IF(AND($B1037&lt;&gt;"",$C1037&lt;&gt;"",$D1037&lt;&gt;"",$E1037&lt;&gt;""),"TXS"&amp;TEXT(COUNTIFS($B$2:$B1037,"&lt;&gt;",$C$2:$C1037,"&lt;&gt;",$D$2:$D1037,"&lt;&gt;",$E$2:$E1037,"&lt;&gt;"),"00000"),""))</f>
        <v/>
      </c>
      <c r="B1037" s="16"/>
      <c r="C1037" s="20"/>
      <c r="D1037" s="20"/>
      <c r="E1037" s="23"/>
      <c r="H1037" s="19" t="str">
        <f t="shared" si="54"/>
        <v/>
      </c>
      <c r="I1037" s="19" t="str">
        <f t="shared" si="53"/>
        <v/>
      </c>
      <c r="J1037" s="19" t="str">
        <f t="shared" si="55"/>
        <v/>
      </c>
      <c r="K1037" s="20"/>
      <c r="L1037" s="21" t="str">
        <f>IF(OR(NOT(AND($B1037&lt;&gt;"",$C1037&lt;&gt;"",$D1037&lt;&gt;"",$E1037&lt;&gt;"")),$A1037="",$K1037&lt;&gt;"Yes"),"",IF($L1037&lt;&gt;"",$L1037,INDEX(SETUP!$I$1:$I$2000,MATCH(TRUE,SETUP!$J$1:$J$2000,0)+COUNTIFS($A$2:$A1037,"&lt;&gt;",$K$2:$K1037,"Yes",$L$2:$L1037,"")-1)))</f>
        <v/>
      </c>
      <c r="N1037" s="22"/>
    </row>
    <row r="1038" spans="1:14" x14ac:dyDescent="0.3">
      <c r="A1038" s="15" t="str">
        <f>IF(COUNTA($B1038:$E1038,$K1038)=0,"",IF(AND($B1038&lt;&gt;"",$C1038&lt;&gt;"",$D1038&lt;&gt;"",$E1038&lt;&gt;""),"TXS"&amp;TEXT(COUNTIFS($B$2:$B1038,"&lt;&gt;",$C$2:$C1038,"&lt;&gt;",$D$2:$D1038,"&lt;&gt;",$E$2:$E1038,"&lt;&gt;"),"00000"),""))</f>
        <v/>
      </c>
      <c r="B1038" s="16"/>
      <c r="C1038" s="20"/>
      <c r="D1038" s="20"/>
      <c r="E1038" s="23"/>
      <c r="H1038" s="19" t="str">
        <f t="shared" si="54"/>
        <v/>
      </c>
      <c r="I1038" s="19" t="str">
        <f t="shared" si="53"/>
        <v/>
      </c>
      <c r="J1038" s="19" t="str">
        <f t="shared" si="55"/>
        <v/>
      </c>
      <c r="K1038" s="20"/>
      <c r="L1038" s="21" t="str">
        <f>IF(OR(NOT(AND($B1038&lt;&gt;"",$C1038&lt;&gt;"",$D1038&lt;&gt;"",$E1038&lt;&gt;"")),$A1038="",$K1038&lt;&gt;"Yes"),"",IF($L1038&lt;&gt;"",$L1038,INDEX(SETUP!$I$1:$I$2000,MATCH(TRUE,SETUP!$J$1:$J$2000,0)+COUNTIFS($A$2:$A1038,"&lt;&gt;",$K$2:$K1038,"Yes",$L$2:$L1038,"")-1)))</f>
        <v/>
      </c>
      <c r="N1038" s="22"/>
    </row>
    <row r="1039" spans="1:14" x14ac:dyDescent="0.3">
      <c r="A1039" s="15" t="str">
        <f>IF(COUNTA($B1039:$E1039,$K1039)=0,"",IF(AND($B1039&lt;&gt;"",$C1039&lt;&gt;"",$D1039&lt;&gt;"",$E1039&lt;&gt;""),"TXS"&amp;TEXT(COUNTIFS($B$2:$B1039,"&lt;&gt;",$C$2:$C1039,"&lt;&gt;",$D$2:$D1039,"&lt;&gt;",$E$2:$E1039,"&lt;&gt;"),"00000"),""))</f>
        <v/>
      </c>
      <c r="B1039" s="16"/>
      <c r="C1039" s="20"/>
      <c r="D1039" s="20"/>
      <c r="E1039" s="23"/>
      <c r="H1039" s="19" t="str">
        <f t="shared" si="54"/>
        <v/>
      </c>
      <c r="I1039" s="19" t="str">
        <f t="shared" si="53"/>
        <v/>
      </c>
      <c r="J1039" s="19" t="str">
        <f t="shared" si="55"/>
        <v/>
      </c>
      <c r="K1039" s="20"/>
      <c r="L1039" s="21" t="str">
        <f>IF(OR(NOT(AND($B1039&lt;&gt;"",$C1039&lt;&gt;"",$D1039&lt;&gt;"",$E1039&lt;&gt;"")),$A1039="",$K1039&lt;&gt;"Yes"),"",IF($L1039&lt;&gt;"",$L1039,INDEX(SETUP!$I$1:$I$2000,MATCH(TRUE,SETUP!$J$1:$J$2000,0)+COUNTIFS($A$2:$A1039,"&lt;&gt;",$K$2:$K1039,"Yes",$L$2:$L1039,"")-1)))</f>
        <v/>
      </c>
      <c r="N1039" s="22"/>
    </row>
    <row r="1040" spans="1:14" x14ac:dyDescent="0.3">
      <c r="A1040" s="15" t="str">
        <f>IF(COUNTA($B1040:$E1040,$K1040)=0,"",IF(AND($B1040&lt;&gt;"",$C1040&lt;&gt;"",$D1040&lt;&gt;"",$E1040&lt;&gt;""),"TXS"&amp;TEXT(COUNTIFS($B$2:$B1040,"&lt;&gt;",$C$2:$C1040,"&lt;&gt;",$D$2:$D1040,"&lt;&gt;",$E$2:$E1040,"&lt;&gt;"),"00000"),""))</f>
        <v/>
      </c>
      <c r="B1040" s="16"/>
      <c r="C1040" s="20"/>
      <c r="D1040" s="20"/>
      <c r="E1040" s="23"/>
      <c r="H1040" s="19" t="str">
        <f t="shared" si="54"/>
        <v/>
      </c>
      <c r="I1040" s="19" t="str">
        <f t="shared" si="53"/>
        <v/>
      </c>
      <c r="J1040" s="19" t="str">
        <f t="shared" si="55"/>
        <v/>
      </c>
      <c r="K1040" s="20"/>
      <c r="L1040" s="21" t="str">
        <f>IF(OR(NOT(AND($B1040&lt;&gt;"",$C1040&lt;&gt;"",$D1040&lt;&gt;"",$E1040&lt;&gt;"")),$A1040="",$K1040&lt;&gt;"Yes"),"",IF($L1040&lt;&gt;"",$L1040,INDEX(SETUP!$I$1:$I$2000,MATCH(TRUE,SETUP!$J$1:$J$2000,0)+COUNTIFS($A$2:$A1040,"&lt;&gt;",$K$2:$K1040,"Yes",$L$2:$L1040,"")-1)))</f>
        <v/>
      </c>
      <c r="N1040" s="22"/>
    </row>
    <row r="1041" spans="1:14" x14ac:dyDescent="0.3">
      <c r="A1041" s="15" t="str">
        <f>IF(COUNTA($B1041:$E1041,$K1041)=0,"",IF(AND($B1041&lt;&gt;"",$C1041&lt;&gt;"",$D1041&lt;&gt;"",$E1041&lt;&gt;""),"TXS"&amp;TEXT(COUNTIFS($B$2:$B1041,"&lt;&gt;",$C$2:$C1041,"&lt;&gt;",$D$2:$D1041,"&lt;&gt;",$E$2:$E1041,"&lt;&gt;"),"00000"),""))</f>
        <v/>
      </c>
      <c r="B1041" s="16"/>
      <c r="C1041" s="20"/>
      <c r="D1041" s="20"/>
      <c r="E1041" s="23"/>
      <c r="H1041" s="19" t="str">
        <f t="shared" si="54"/>
        <v/>
      </c>
      <c r="I1041" s="19" t="str">
        <f t="shared" si="53"/>
        <v/>
      </c>
      <c r="J1041" s="19" t="str">
        <f t="shared" si="55"/>
        <v/>
      </c>
      <c r="K1041" s="20"/>
      <c r="L1041" s="21" t="str">
        <f>IF(OR(NOT(AND($B1041&lt;&gt;"",$C1041&lt;&gt;"",$D1041&lt;&gt;"",$E1041&lt;&gt;"")),$A1041="",$K1041&lt;&gt;"Yes"),"",IF($L1041&lt;&gt;"",$L1041,INDEX(SETUP!$I$1:$I$2000,MATCH(TRUE,SETUP!$J$1:$J$2000,0)+COUNTIFS($A$2:$A1041,"&lt;&gt;",$K$2:$K1041,"Yes",$L$2:$L1041,"")-1)))</f>
        <v/>
      </c>
      <c r="N1041" s="22"/>
    </row>
    <row r="1042" spans="1:14" x14ac:dyDescent="0.3">
      <c r="A1042" s="15" t="str">
        <f>IF(COUNTA($B1042:$E1042,$K1042)=0,"",IF(AND($B1042&lt;&gt;"",$C1042&lt;&gt;"",$D1042&lt;&gt;"",$E1042&lt;&gt;""),"TXS"&amp;TEXT(COUNTIFS($B$2:$B1042,"&lt;&gt;",$C$2:$C1042,"&lt;&gt;",$D$2:$D1042,"&lt;&gt;",$E$2:$E1042,"&lt;&gt;"),"00000"),""))</f>
        <v/>
      </c>
      <c r="B1042" s="16"/>
      <c r="C1042" s="20"/>
      <c r="D1042" s="20"/>
      <c r="E1042" s="23"/>
      <c r="H1042" s="19" t="str">
        <f t="shared" si="54"/>
        <v/>
      </c>
      <c r="I1042" s="19" t="str">
        <f t="shared" si="53"/>
        <v/>
      </c>
      <c r="J1042" s="19" t="str">
        <f t="shared" si="55"/>
        <v/>
      </c>
      <c r="K1042" s="20"/>
      <c r="L1042" s="21" t="str">
        <f>IF(OR(NOT(AND($B1042&lt;&gt;"",$C1042&lt;&gt;"",$D1042&lt;&gt;"",$E1042&lt;&gt;"")),$A1042="",$K1042&lt;&gt;"Yes"),"",IF($L1042&lt;&gt;"",$L1042,INDEX(SETUP!$I$1:$I$2000,MATCH(TRUE,SETUP!$J$1:$J$2000,0)+COUNTIFS($A$2:$A1042,"&lt;&gt;",$K$2:$K1042,"Yes",$L$2:$L1042,"")-1)))</f>
        <v/>
      </c>
      <c r="N1042" s="22"/>
    </row>
    <row r="1043" spans="1:14" x14ac:dyDescent="0.3">
      <c r="A1043" s="15" t="str">
        <f>IF(COUNTA($B1043:$E1043,$K1043)=0,"",IF(AND($B1043&lt;&gt;"",$C1043&lt;&gt;"",$D1043&lt;&gt;"",$E1043&lt;&gt;""),"TXS"&amp;TEXT(COUNTIFS($B$2:$B1043,"&lt;&gt;",$C$2:$C1043,"&lt;&gt;",$D$2:$D1043,"&lt;&gt;",$E$2:$E1043,"&lt;&gt;"),"00000"),""))</f>
        <v/>
      </c>
      <c r="B1043" s="16"/>
      <c r="C1043" s="20"/>
      <c r="D1043" s="20"/>
      <c r="E1043" s="23"/>
      <c r="H1043" s="19" t="str">
        <f t="shared" si="54"/>
        <v/>
      </c>
      <c r="I1043" s="19" t="str">
        <f t="shared" si="53"/>
        <v/>
      </c>
      <c r="J1043" s="19" t="str">
        <f t="shared" si="55"/>
        <v/>
      </c>
      <c r="K1043" s="20"/>
      <c r="L1043" s="21" t="str">
        <f>IF(OR(NOT(AND($B1043&lt;&gt;"",$C1043&lt;&gt;"",$D1043&lt;&gt;"",$E1043&lt;&gt;"")),$A1043="",$K1043&lt;&gt;"Yes"),"",IF($L1043&lt;&gt;"",$L1043,INDEX(SETUP!$I$1:$I$2000,MATCH(TRUE,SETUP!$J$1:$J$2000,0)+COUNTIFS($A$2:$A1043,"&lt;&gt;",$K$2:$K1043,"Yes",$L$2:$L1043,"")-1)))</f>
        <v/>
      </c>
      <c r="N1043" s="22"/>
    </row>
    <row r="1044" spans="1:14" x14ac:dyDescent="0.3">
      <c r="A1044" s="15" t="str">
        <f>IF(COUNTA($B1044:$E1044,$K1044)=0,"",IF(AND($B1044&lt;&gt;"",$C1044&lt;&gt;"",$D1044&lt;&gt;"",$E1044&lt;&gt;""),"TXS"&amp;TEXT(COUNTIFS($B$2:$B1044,"&lt;&gt;",$C$2:$C1044,"&lt;&gt;",$D$2:$D1044,"&lt;&gt;",$E$2:$E1044,"&lt;&gt;"),"00000"),""))</f>
        <v/>
      </c>
      <c r="B1044" s="16"/>
      <c r="C1044" s="20"/>
      <c r="D1044" s="20"/>
      <c r="E1044" s="23"/>
      <c r="H1044" s="19" t="str">
        <f t="shared" si="54"/>
        <v/>
      </c>
      <c r="I1044" s="19" t="str">
        <f t="shared" si="53"/>
        <v/>
      </c>
      <c r="J1044" s="19" t="str">
        <f t="shared" si="55"/>
        <v/>
      </c>
      <c r="K1044" s="20"/>
      <c r="L1044" s="21" t="str">
        <f>IF(OR(NOT(AND($B1044&lt;&gt;"",$C1044&lt;&gt;"",$D1044&lt;&gt;"",$E1044&lt;&gt;"")),$A1044="",$K1044&lt;&gt;"Yes"),"",IF($L1044&lt;&gt;"",$L1044,INDEX(SETUP!$I$1:$I$2000,MATCH(TRUE,SETUP!$J$1:$J$2000,0)+COUNTIFS($A$2:$A1044,"&lt;&gt;",$K$2:$K1044,"Yes",$L$2:$L1044,"")-1)))</f>
        <v/>
      </c>
      <c r="N1044" s="22"/>
    </row>
    <row r="1045" spans="1:14" x14ac:dyDescent="0.3">
      <c r="A1045" s="15" t="str">
        <f>IF(COUNTA($B1045:$E1045,$K1045)=0,"",IF(AND($B1045&lt;&gt;"",$C1045&lt;&gt;"",$D1045&lt;&gt;"",$E1045&lt;&gt;""),"TXS"&amp;TEXT(COUNTIFS($B$2:$B1045,"&lt;&gt;",$C$2:$C1045,"&lt;&gt;",$D$2:$D1045,"&lt;&gt;",$E$2:$E1045,"&lt;&gt;"),"00000"),""))</f>
        <v/>
      </c>
      <c r="B1045" s="16"/>
      <c r="C1045" s="20"/>
      <c r="D1045" s="20"/>
      <c r="E1045" s="23"/>
      <c r="H1045" s="19" t="str">
        <f t="shared" si="54"/>
        <v/>
      </c>
      <c r="I1045" s="19" t="str">
        <f t="shared" si="53"/>
        <v/>
      </c>
      <c r="J1045" s="19" t="str">
        <f t="shared" si="55"/>
        <v/>
      </c>
      <c r="K1045" s="20"/>
      <c r="L1045" s="21" t="str">
        <f>IF(OR(NOT(AND($B1045&lt;&gt;"",$C1045&lt;&gt;"",$D1045&lt;&gt;"",$E1045&lt;&gt;"")),$A1045="",$K1045&lt;&gt;"Yes"),"",IF($L1045&lt;&gt;"",$L1045,INDEX(SETUP!$I$1:$I$2000,MATCH(TRUE,SETUP!$J$1:$J$2000,0)+COUNTIFS($A$2:$A1045,"&lt;&gt;",$K$2:$K1045,"Yes",$L$2:$L1045,"")-1)))</f>
        <v/>
      </c>
      <c r="N1045" s="22"/>
    </row>
    <row r="1046" spans="1:14" x14ac:dyDescent="0.3">
      <c r="A1046" s="15" t="str">
        <f>IF(COUNTA($B1046:$E1046,$K1046)=0,"",IF(AND($B1046&lt;&gt;"",$C1046&lt;&gt;"",$D1046&lt;&gt;"",$E1046&lt;&gt;""),"TXS"&amp;TEXT(COUNTIFS($B$2:$B1046,"&lt;&gt;",$C$2:$C1046,"&lt;&gt;",$D$2:$D1046,"&lt;&gt;",$E$2:$E1046,"&lt;&gt;"),"00000"),""))</f>
        <v/>
      </c>
      <c r="B1046" s="16"/>
      <c r="C1046" s="20"/>
      <c r="D1046" s="20"/>
      <c r="E1046" s="23"/>
      <c r="H1046" s="19" t="str">
        <f t="shared" si="54"/>
        <v/>
      </c>
      <c r="I1046" s="19" t="str">
        <f t="shared" si="53"/>
        <v/>
      </c>
      <c r="J1046" s="19" t="str">
        <f t="shared" si="55"/>
        <v/>
      </c>
      <c r="K1046" s="20"/>
      <c r="L1046" s="21" t="str">
        <f>IF(OR(NOT(AND($B1046&lt;&gt;"",$C1046&lt;&gt;"",$D1046&lt;&gt;"",$E1046&lt;&gt;"")),$A1046="",$K1046&lt;&gt;"Yes"),"",IF($L1046&lt;&gt;"",$L1046,INDEX(SETUP!$I$1:$I$2000,MATCH(TRUE,SETUP!$J$1:$J$2000,0)+COUNTIFS($A$2:$A1046,"&lt;&gt;",$K$2:$K1046,"Yes",$L$2:$L1046,"")-1)))</f>
        <v/>
      </c>
      <c r="N1046" s="22"/>
    </row>
    <row r="1047" spans="1:14" x14ac:dyDescent="0.3">
      <c r="A1047" s="15" t="str">
        <f>IF(COUNTA($B1047:$E1047,$K1047)=0,"",IF(AND($B1047&lt;&gt;"",$C1047&lt;&gt;"",$D1047&lt;&gt;"",$E1047&lt;&gt;""),"TXS"&amp;TEXT(COUNTIFS($B$2:$B1047,"&lt;&gt;",$C$2:$C1047,"&lt;&gt;",$D$2:$D1047,"&lt;&gt;",$E$2:$E1047,"&lt;&gt;"),"00000"),""))</f>
        <v/>
      </c>
      <c r="B1047" s="16"/>
      <c r="C1047" s="20"/>
      <c r="D1047" s="20"/>
      <c r="E1047" s="23"/>
      <c r="H1047" s="19" t="str">
        <f t="shared" si="54"/>
        <v/>
      </c>
      <c r="I1047" s="19" t="str">
        <f t="shared" si="53"/>
        <v/>
      </c>
      <c r="J1047" s="19" t="str">
        <f t="shared" si="55"/>
        <v/>
      </c>
      <c r="K1047" s="20"/>
      <c r="L1047" s="21" t="str">
        <f>IF(OR(NOT(AND($B1047&lt;&gt;"",$C1047&lt;&gt;"",$D1047&lt;&gt;"",$E1047&lt;&gt;"")),$A1047="",$K1047&lt;&gt;"Yes"),"",IF($L1047&lt;&gt;"",$L1047,INDEX(SETUP!$I$1:$I$2000,MATCH(TRUE,SETUP!$J$1:$J$2000,0)+COUNTIFS($A$2:$A1047,"&lt;&gt;",$K$2:$K1047,"Yes",$L$2:$L1047,"")-1)))</f>
        <v/>
      </c>
      <c r="N1047" s="22"/>
    </row>
    <row r="1048" spans="1:14" x14ac:dyDescent="0.3">
      <c r="A1048" s="15" t="str">
        <f>IF(COUNTA($B1048:$E1048,$K1048)=0,"",IF(AND($B1048&lt;&gt;"",$C1048&lt;&gt;"",$D1048&lt;&gt;"",$E1048&lt;&gt;""),"TXS"&amp;TEXT(COUNTIFS($B$2:$B1048,"&lt;&gt;",$C$2:$C1048,"&lt;&gt;",$D$2:$D1048,"&lt;&gt;",$E$2:$E1048,"&lt;&gt;"),"00000"),""))</f>
        <v/>
      </c>
      <c r="B1048" s="16"/>
      <c r="C1048" s="20"/>
      <c r="D1048" s="20"/>
      <c r="E1048" s="23"/>
      <c r="H1048" s="19" t="str">
        <f t="shared" si="54"/>
        <v/>
      </c>
      <c r="I1048" s="19" t="str">
        <f t="shared" si="53"/>
        <v/>
      </c>
      <c r="J1048" s="19" t="str">
        <f t="shared" si="55"/>
        <v/>
      </c>
      <c r="K1048" s="20"/>
      <c r="L1048" s="21" t="str">
        <f>IF(OR(NOT(AND($B1048&lt;&gt;"",$C1048&lt;&gt;"",$D1048&lt;&gt;"",$E1048&lt;&gt;"")),$A1048="",$K1048&lt;&gt;"Yes"),"",IF($L1048&lt;&gt;"",$L1048,INDEX(SETUP!$I$1:$I$2000,MATCH(TRUE,SETUP!$J$1:$J$2000,0)+COUNTIFS($A$2:$A1048,"&lt;&gt;",$K$2:$K1048,"Yes",$L$2:$L1048,"")-1)))</f>
        <v/>
      </c>
      <c r="N1048" s="22"/>
    </row>
    <row r="1049" spans="1:14" x14ac:dyDescent="0.3">
      <c r="A1049" s="15" t="str">
        <f>IF(COUNTA($B1049:$E1049,$K1049)=0,"",IF(AND($B1049&lt;&gt;"",$C1049&lt;&gt;"",$D1049&lt;&gt;"",$E1049&lt;&gt;""),"TXS"&amp;TEXT(COUNTIFS($B$2:$B1049,"&lt;&gt;",$C$2:$C1049,"&lt;&gt;",$D$2:$D1049,"&lt;&gt;",$E$2:$E1049,"&lt;&gt;"),"00000"),""))</f>
        <v/>
      </c>
      <c r="B1049" s="16"/>
      <c r="C1049" s="20"/>
      <c r="D1049" s="20"/>
      <c r="E1049" s="23"/>
      <c r="H1049" s="19" t="str">
        <f t="shared" si="54"/>
        <v/>
      </c>
      <c r="I1049" s="19" t="str">
        <f t="shared" si="53"/>
        <v/>
      </c>
      <c r="J1049" s="19" t="str">
        <f t="shared" si="55"/>
        <v/>
      </c>
      <c r="K1049" s="20"/>
      <c r="L1049" s="21" t="str">
        <f>IF(OR(NOT(AND($B1049&lt;&gt;"",$C1049&lt;&gt;"",$D1049&lt;&gt;"",$E1049&lt;&gt;"")),$A1049="",$K1049&lt;&gt;"Yes"),"",IF($L1049&lt;&gt;"",$L1049,INDEX(SETUP!$I$1:$I$2000,MATCH(TRUE,SETUP!$J$1:$J$2000,0)+COUNTIFS($A$2:$A1049,"&lt;&gt;",$K$2:$K1049,"Yes",$L$2:$L1049,"")-1)))</f>
        <v/>
      </c>
      <c r="N1049" s="22"/>
    </row>
    <row r="1050" spans="1:14" x14ac:dyDescent="0.3">
      <c r="A1050" s="15" t="str">
        <f>IF(COUNTA($B1050:$E1050,$K1050)=0,"",IF(AND($B1050&lt;&gt;"",$C1050&lt;&gt;"",$D1050&lt;&gt;"",$E1050&lt;&gt;""),"TXS"&amp;TEXT(COUNTIFS($B$2:$B1050,"&lt;&gt;",$C$2:$C1050,"&lt;&gt;",$D$2:$D1050,"&lt;&gt;",$E$2:$E1050,"&lt;&gt;"),"00000"),""))</f>
        <v/>
      </c>
      <c r="B1050" s="16"/>
      <c r="C1050" s="20"/>
      <c r="D1050" s="20"/>
      <c r="E1050" s="23"/>
      <c r="H1050" s="19" t="str">
        <f t="shared" si="54"/>
        <v/>
      </c>
      <c r="I1050" s="19" t="str">
        <f t="shared" si="53"/>
        <v/>
      </c>
      <c r="J1050" s="19" t="str">
        <f t="shared" si="55"/>
        <v/>
      </c>
      <c r="K1050" s="20"/>
      <c r="L1050" s="21" t="str">
        <f>IF(OR(NOT(AND($B1050&lt;&gt;"",$C1050&lt;&gt;"",$D1050&lt;&gt;"",$E1050&lt;&gt;"")),$A1050="",$K1050&lt;&gt;"Yes"),"",IF($L1050&lt;&gt;"",$L1050,INDEX(SETUP!$I$1:$I$2000,MATCH(TRUE,SETUP!$J$1:$J$2000,0)+COUNTIFS($A$2:$A1050,"&lt;&gt;",$K$2:$K1050,"Yes",$L$2:$L1050,"")-1)))</f>
        <v/>
      </c>
      <c r="N1050" s="22"/>
    </row>
    <row r="1051" spans="1:14" x14ac:dyDescent="0.3">
      <c r="A1051" s="15" t="str">
        <f>IF(COUNTA($B1051:$E1051,$K1051)=0,"",IF(AND($B1051&lt;&gt;"",$C1051&lt;&gt;"",$D1051&lt;&gt;"",$E1051&lt;&gt;""),"TXS"&amp;TEXT(COUNTIFS($B$2:$B1051,"&lt;&gt;",$C$2:$C1051,"&lt;&gt;",$D$2:$D1051,"&lt;&gt;",$E$2:$E1051,"&lt;&gt;"),"00000"),""))</f>
        <v/>
      </c>
      <c r="B1051" s="16"/>
      <c r="C1051" s="20"/>
      <c r="D1051" s="20"/>
      <c r="E1051" s="23"/>
      <c r="H1051" s="19" t="str">
        <f t="shared" si="54"/>
        <v/>
      </c>
      <c r="I1051" s="19" t="str">
        <f t="shared" si="53"/>
        <v/>
      </c>
      <c r="J1051" s="19" t="str">
        <f t="shared" si="55"/>
        <v/>
      </c>
      <c r="K1051" s="20"/>
      <c r="L1051" s="21" t="str">
        <f>IF(OR(NOT(AND($B1051&lt;&gt;"",$C1051&lt;&gt;"",$D1051&lt;&gt;"",$E1051&lt;&gt;"")),$A1051="",$K1051&lt;&gt;"Yes"),"",IF($L1051&lt;&gt;"",$L1051,INDEX(SETUP!$I$1:$I$2000,MATCH(TRUE,SETUP!$J$1:$J$2000,0)+COUNTIFS($A$2:$A1051,"&lt;&gt;",$K$2:$K1051,"Yes",$L$2:$L1051,"")-1)))</f>
        <v/>
      </c>
      <c r="N1051" s="22"/>
    </row>
    <row r="1052" spans="1:14" x14ac:dyDescent="0.3">
      <c r="A1052" s="15" t="str">
        <f>IF(COUNTA($B1052:$E1052,$K1052)=0,"",IF(AND($B1052&lt;&gt;"",$C1052&lt;&gt;"",$D1052&lt;&gt;"",$E1052&lt;&gt;""),"TXS"&amp;TEXT(COUNTIFS($B$2:$B1052,"&lt;&gt;",$C$2:$C1052,"&lt;&gt;",$D$2:$D1052,"&lt;&gt;",$E$2:$E1052,"&lt;&gt;"),"00000"),""))</f>
        <v/>
      </c>
      <c r="B1052" s="16"/>
      <c r="C1052" s="20"/>
      <c r="D1052" s="20"/>
      <c r="E1052" s="23"/>
      <c r="H1052" s="19" t="str">
        <f t="shared" si="54"/>
        <v/>
      </c>
      <c r="I1052" s="19" t="str">
        <f t="shared" si="53"/>
        <v/>
      </c>
      <c r="J1052" s="19" t="str">
        <f t="shared" si="55"/>
        <v/>
      </c>
      <c r="K1052" s="20"/>
      <c r="L1052" s="21" t="str">
        <f>IF(OR(NOT(AND($B1052&lt;&gt;"",$C1052&lt;&gt;"",$D1052&lt;&gt;"",$E1052&lt;&gt;"")),$A1052="",$K1052&lt;&gt;"Yes"),"",IF($L1052&lt;&gt;"",$L1052,INDEX(SETUP!$I$1:$I$2000,MATCH(TRUE,SETUP!$J$1:$J$2000,0)+COUNTIFS($A$2:$A1052,"&lt;&gt;",$K$2:$K1052,"Yes",$L$2:$L1052,"")-1)))</f>
        <v/>
      </c>
      <c r="N1052" s="22"/>
    </row>
    <row r="1053" spans="1:14" x14ac:dyDescent="0.3">
      <c r="A1053" s="15" t="str">
        <f>IF(COUNTA($B1053:$E1053,$K1053)=0,"",IF(AND($B1053&lt;&gt;"",$C1053&lt;&gt;"",$D1053&lt;&gt;"",$E1053&lt;&gt;""),"TXS"&amp;TEXT(COUNTIFS($B$2:$B1053,"&lt;&gt;",$C$2:$C1053,"&lt;&gt;",$D$2:$D1053,"&lt;&gt;",$E$2:$E1053,"&lt;&gt;"),"00000"),""))</f>
        <v/>
      </c>
      <c r="B1053" s="16"/>
      <c r="C1053" s="20"/>
      <c r="D1053" s="20"/>
      <c r="E1053" s="23"/>
      <c r="H1053" s="19" t="str">
        <f t="shared" si="54"/>
        <v/>
      </c>
      <c r="I1053" s="19" t="str">
        <f t="shared" si="53"/>
        <v/>
      </c>
      <c r="J1053" s="19" t="str">
        <f t="shared" si="55"/>
        <v/>
      </c>
      <c r="K1053" s="20"/>
      <c r="L1053" s="21" t="str">
        <f>IF(OR(NOT(AND($B1053&lt;&gt;"",$C1053&lt;&gt;"",$D1053&lt;&gt;"",$E1053&lt;&gt;"")),$A1053="",$K1053&lt;&gt;"Yes"),"",IF($L1053&lt;&gt;"",$L1053,INDEX(SETUP!$I$1:$I$2000,MATCH(TRUE,SETUP!$J$1:$J$2000,0)+COUNTIFS($A$2:$A1053,"&lt;&gt;",$K$2:$K1053,"Yes",$L$2:$L1053,"")-1)))</f>
        <v/>
      </c>
      <c r="N1053" s="22"/>
    </row>
    <row r="1054" spans="1:14" x14ac:dyDescent="0.3">
      <c r="A1054" s="15" t="str">
        <f>IF(COUNTA($B1054:$E1054,$K1054)=0,"",IF(AND($B1054&lt;&gt;"",$C1054&lt;&gt;"",$D1054&lt;&gt;"",$E1054&lt;&gt;""),"TXS"&amp;TEXT(COUNTIFS($B$2:$B1054,"&lt;&gt;",$C$2:$C1054,"&lt;&gt;",$D$2:$D1054,"&lt;&gt;",$E$2:$E1054,"&lt;&gt;"),"00000"),""))</f>
        <v/>
      </c>
      <c r="B1054" s="16"/>
      <c r="C1054" s="20"/>
      <c r="D1054" s="20"/>
      <c r="E1054" s="23"/>
      <c r="H1054" s="19" t="str">
        <f t="shared" si="54"/>
        <v/>
      </c>
      <c r="I1054" s="19" t="str">
        <f t="shared" si="53"/>
        <v/>
      </c>
      <c r="J1054" s="19" t="str">
        <f t="shared" si="55"/>
        <v/>
      </c>
      <c r="K1054" s="20"/>
      <c r="L1054" s="21" t="str">
        <f>IF(OR(NOT(AND($B1054&lt;&gt;"",$C1054&lt;&gt;"",$D1054&lt;&gt;"",$E1054&lt;&gt;"")),$A1054="",$K1054&lt;&gt;"Yes"),"",IF($L1054&lt;&gt;"",$L1054,INDEX(SETUP!$I$1:$I$2000,MATCH(TRUE,SETUP!$J$1:$J$2000,0)+COUNTIFS($A$2:$A1054,"&lt;&gt;",$K$2:$K1054,"Yes",$L$2:$L1054,"")-1)))</f>
        <v/>
      </c>
      <c r="N1054" s="22"/>
    </row>
    <row r="1055" spans="1:14" x14ac:dyDescent="0.3">
      <c r="A1055" s="15" t="str">
        <f>IF(COUNTA($B1055:$E1055,$K1055)=0,"",IF(AND($B1055&lt;&gt;"",$C1055&lt;&gt;"",$D1055&lt;&gt;"",$E1055&lt;&gt;""),"TXS"&amp;TEXT(COUNTIFS($B$2:$B1055,"&lt;&gt;",$C$2:$C1055,"&lt;&gt;",$D$2:$D1055,"&lt;&gt;",$E$2:$E1055,"&lt;&gt;"),"00000"),""))</f>
        <v/>
      </c>
      <c r="B1055" s="16"/>
      <c r="C1055" s="20"/>
      <c r="D1055" s="20"/>
      <c r="E1055" s="23"/>
      <c r="H1055" s="19" t="str">
        <f t="shared" si="54"/>
        <v/>
      </c>
      <c r="I1055" s="19" t="str">
        <f t="shared" si="53"/>
        <v/>
      </c>
      <c r="J1055" s="19" t="str">
        <f t="shared" si="55"/>
        <v/>
      </c>
      <c r="K1055" s="20"/>
      <c r="L1055" s="21" t="str">
        <f>IF(OR(NOT(AND($B1055&lt;&gt;"",$C1055&lt;&gt;"",$D1055&lt;&gt;"",$E1055&lt;&gt;"")),$A1055="",$K1055&lt;&gt;"Yes"),"",IF($L1055&lt;&gt;"",$L1055,INDEX(SETUP!$I$1:$I$2000,MATCH(TRUE,SETUP!$J$1:$J$2000,0)+COUNTIFS($A$2:$A1055,"&lt;&gt;",$K$2:$K1055,"Yes",$L$2:$L1055,"")-1)))</f>
        <v/>
      </c>
      <c r="N1055" s="22"/>
    </row>
    <row r="1056" spans="1:14" x14ac:dyDescent="0.3">
      <c r="A1056" s="15" t="str">
        <f>IF(COUNTA($B1056:$E1056,$K1056)=0,"",IF(AND($B1056&lt;&gt;"",$C1056&lt;&gt;"",$D1056&lt;&gt;"",$E1056&lt;&gt;""),"TXS"&amp;TEXT(COUNTIFS($B$2:$B1056,"&lt;&gt;",$C$2:$C1056,"&lt;&gt;",$D$2:$D1056,"&lt;&gt;",$E$2:$E1056,"&lt;&gt;"),"00000"),""))</f>
        <v/>
      </c>
      <c r="B1056" s="16"/>
      <c r="C1056" s="20"/>
      <c r="D1056" s="20"/>
      <c r="E1056" s="23"/>
      <c r="H1056" s="19" t="str">
        <f t="shared" si="54"/>
        <v/>
      </c>
      <c r="I1056" s="19" t="str">
        <f t="shared" si="53"/>
        <v/>
      </c>
      <c r="J1056" s="19" t="str">
        <f t="shared" si="55"/>
        <v/>
      </c>
      <c r="K1056" s="20"/>
      <c r="L1056" s="21" t="str">
        <f>IF(OR(NOT(AND($B1056&lt;&gt;"",$C1056&lt;&gt;"",$D1056&lt;&gt;"",$E1056&lt;&gt;"")),$A1056="",$K1056&lt;&gt;"Yes"),"",IF($L1056&lt;&gt;"",$L1056,INDEX(SETUP!$I$1:$I$2000,MATCH(TRUE,SETUP!$J$1:$J$2000,0)+COUNTIFS($A$2:$A1056,"&lt;&gt;",$K$2:$K1056,"Yes",$L$2:$L1056,"")-1)))</f>
        <v/>
      </c>
      <c r="N1056" s="22"/>
    </row>
    <row r="1057" spans="1:14" x14ac:dyDescent="0.3">
      <c r="A1057" s="15" t="str">
        <f>IF(COUNTA($B1057:$E1057,$K1057)=0,"",IF(AND($B1057&lt;&gt;"",$C1057&lt;&gt;"",$D1057&lt;&gt;"",$E1057&lt;&gt;""),"TXS"&amp;TEXT(COUNTIFS($B$2:$B1057,"&lt;&gt;",$C$2:$C1057,"&lt;&gt;",$D$2:$D1057,"&lt;&gt;",$E$2:$E1057,"&lt;&gt;"),"00000"),""))</f>
        <v/>
      </c>
      <c r="B1057" s="16"/>
      <c r="C1057" s="20"/>
      <c r="D1057" s="20"/>
      <c r="E1057" s="23"/>
      <c r="H1057" s="19" t="str">
        <f t="shared" si="54"/>
        <v/>
      </c>
      <c r="I1057" s="19" t="str">
        <f t="shared" si="53"/>
        <v/>
      </c>
      <c r="J1057" s="19" t="str">
        <f t="shared" si="55"/>
        <v/>
      </c>
      <c r="K1057" s="20"/>
      <c r="L1057" s="21" t="str">
        <f>IF(OR(NOT(AND($B1057&lt;&gt;"",$C1057&lt;&gt;"",$D1057&lt;&gt;"",$E1057&lt;&gt;"")),$A1057="",$K1057&lt;&gt;"Yes"),"",IF($L1057&lt;&gt;"",$L1057,INDEX(SETUP!$I$1:$I$2000,MATCH(TRUE,SETUP!$J$1:$J$2000,0)+COUNTIFS($A$2:$A1057,"&lt;&gt;",$K$2:$K1057,"Yes",$L$2:$L1057,"")-1)))</f>
        <v/>
      </c>
      <c r="N1057" s="22"/>
    </row>
    <row r="1058" spans="1:14" x14ac:dyDescent="0.3">
      <c r="A1058" s="15" t="str">
        <f>IF(COUNTA($B1058:$E1058,$K1058)=0,"",IF(AND($B1058&lt;&gt;"",$C1058&lt;&gt;"",$D1058&lt;&gt;"",$E1058&lt;&gt;""),"TXS"&amp;TEXT(COUNTIFS($B$2:$B1058,"&lt;&gt;",$C$2:$C1058,"&lt;&gt;",$D$2:$D1058,"&lt;&gt;",$E$2:$E1058,"&lt;&gt;"),"00000"),""))</f>
        <v/>
      </c>
      <c r="B1058" s="16"/>
      <c r="C1058" s="20"/>
      <c r="D1058" s="20"/>
      <c r="E1058" s="23"/>
      <c r="H1058" s="19" t="str">
        <f t="shared" si="54"/>
        <v/>
      </c>
      <c r="I1058" s="19" t="str">
        <f t="shared" si="53"/>
        <v/>
      </c>
      <c r="J1058" s="19" t="str">
        <f t="shared" si="55"/>
        <v/>
      </c>
      <c r="K1058" s="20"/>
      <c r="L1058" s="21" t="str">
        <f>IF(OR(NOT(AND($B1058&lt;&gt;"",$C1058&lt;&gt;"",$D1058&lt;&gt;"",$E1058&lt;&gt;"")),$A1058="",$K1058&lt;&gt;"Yes"),"",IF($L1058&lt;&gt;"",$L1058,INDEX(SETUP!$I$1:$I$2000,MATCH(TRUE,SETUP!$J$1:$J$2000,0)+COUNTIFS($A$2:$A1058,"&lt;&gt;",$K$2:$K1058,"Yes",$L$2:$L1058,"")-1)))</f>
        <v/>
      </c>
      <c r="N1058" s="22"/>
    </row>
    <row r="1059" spans="1:14" x14ac:dyDescent="0.3">
      <c r="A1059" s="15" t="str">
        <f>IF(COUNTA($B1059:$E1059,$K1059)=0,"",IF(AND($B1059&lt;&gt;"",$C1059&lt;&gt;"",$D1059&lt;&gt;"",$E1059&lt;&gt;""),"TXS"&amp;TEXT(COUNTIFS($B$2:$B1059,"&lt;&gt;",$C$2:$C1059,"&lt;&gt;",$D$2:$D1059,"&lt;&gt;",$E$2:$E1059,"&lt;&gt;"),"00000"),""))</f>
        <v/>
      </c>
      <c r="B1059" s="16"/>
      <c r="C1059" s="20"/>
      <c r="D1059" s="20"/>
      <c r="E1059" s="23"/>
      <c r="H1059" s="19" t="str">
        <f t="shared" si="54"/>
        <v/>
      </c>
      <c r="I1059" s="19" t="str">
        <f t="shared" si="53"/>
        <v/>
      </c>
      <c r="J1059" s="19" t="str">
        <f t="shared" si="55"/>
        <v/>
      </c>
      <c r="K1059" s="20"/>
      <c r="L1059" s="21" t="str">
        <f>IF(OR(NOT(AND($B1059&lt;&gt;"",$C1059&lt;&gt;"",$D1059&lt;&gt;"",$E1059&lt;&gt;"")),$A1059="",$K1059&lt;&gt;"Yes"),"",IF($L1059&lt;&gt;"",$L1059,INDEX(SETUP!$I$1:$I$2000,MATCH(TRUE,SETUP!$J$1:$J$2000,0)+COUNTIFS($A$2:$A1059,"&lt;&gt;",$K$2:$K1059,"Yes",$L$2:$L1059,"")-1)))</f>
        <v/>
      </c>
      <c r="N1059" s="22"/>
    </row>
    <row r="1060" spans="1:14" x14ac:dyDescent="0.3">
      <c r="A1060" s="15" t="str">
        <f>IF(COUNTA($B1060:$E1060,$K1060)=0,"",IF(AND($B1060&lt;&gt;"",$C1060&lt;&gt;"",$D1060&lt;&gt;"",$E1060&lt;&gt;""),"TXS"&amp;TEXT(COUNTIFS($B$2:$B1060,"&lt;&gt;",$C$2:$C1060,"&lt;&gt;",$D$2:$D1060,"&lt;&gt;",$E$2:$E1060,"&lt;&gt;"),"00000"),""))</f>
        <v/>
      </c>
      <c r="B1060" s="16"/>
      <c r="C1060" s="20"/>
      <c r="D1060" s="20"/>
      <c r="E1060" s="23"/>
      <c r="H1060" s="19" t="str">
        <f t="shared" si="54"/>
        <v/>
      </c>
      <c r="I1060" s="19" t="str">
        <f t="shared" si="53"/>
        <v/>
      </c>
      <c r="J1060" s="19" t="str">
        <f t="shared" si="55"/>
        <v/>
      </c>
      <c r="K1060" s="20"/>
      <c r="L1060" s="21" t="str">
        <f>IF(OR(NOT(AND($B1060&lt;&gt;"",$C1060&lt;&gt;"",$D1060&lt;&gt;"",$E1060&lt;&gt;"")),$A1060="",$K1060&lt;&gt;"Yes"),"",IF($L1060&lt;&gt;"",$L1060,INDEX(SETUP!$I$1:$I$2000,MATCH(TRUE,SETUP!$J$1:$J$2000,0)+COUNTIFS($A$2:$A1060,"&lt;&gt;",$K$2:$K1060,"Yes",$L$2:$L1060,"")-1)))</f>
        <v/>
      </c>
      <c r="N1060" s="22"/>
    </row>
    <row r="1061" spans="1:14" x14ac:dyDescent="0.3">
      <c r="A1061" s="15" t="str">
        <f>IF(COUNTA($B1061:$E1061,$K1061)=0,"",IF(AND($B1061&lt;&gt;"",$C1061&lt;&gt;"",$D1061&lt;&gt;"",$E1061&lt;&gt;""),"TXS"&amp;TEXT(COUNTIFS($B$2:$B1061,"&lt;&gt;",$C$2:$C1061,"&lt;&gt;",$D$2:$D1061,"&lt;&gt;",$E$2:$E1061,"&lt;&gt;"),"00000"),""))</f>
        <v/>
      </c>
      <c r="B1061" s="16"/>
      <c r="C1061" s="20"/>
      <c r="D1061" s="20"/>
      <c r="E1061" s="23"/>
      <c r="H1061" s="19" t="str">
        <f t="shared" si="54"/>
        <v/>
      </c>
      <c r="I1061" s="19" t="str">
        <f t="shared" si="53"/>
        <v/>
      </c>
      <c r="J1061" s="19" t="str">
        <f t="shared" si="55"/>
        <v/>
      </c>
      <c r="K1061" s="20"/>
      <c r="L1061" s="21" t="str">
        <f>IF(OR(NOT(AND($B1061&lt;&gt;"",$C1061&lt;&gt;"",$D1061&lt;&gt;"",$E1061&lt;&gt;"")),$A1061="",$K1061&lt;&gt;"Yes"),"",IF($L1061&lt;&gt;"",$L1061,INDEX(SETUP!$I$1:$I$2000,MATCH(TRUE,SETUP!$J$1:$J$2000,0)+COUNTIFS($A$2:$A1061,"&lt;&gt;",$K$2:$K1061,"Yes",$L$2:$L1061,"")-1)))</f>
        <v/>
      </c>
      <c r="N1061" s="22"/>
    </row>
    <row r="1062" spans="1:14" x14ac:dyDescent="0.3">
      <c r="A1062" s="15" t="str">
        <f>IF(COUNTA($B1062:$E1062,$K1062)=0,"",IF(AND($B1062&lt;&gt;"",$C1062&lt;&gt;"",$D1062&lt;&gt;"",$E1062&lt;&gt;""),"TXS"&amp;TEXT(COUNTIFS($B$2:$B1062,"&lt;&gt;",$C$2:$C1062,"&lt;&gt;",$D$2:$D1062,"&lt;&gt;",$E$2:$E1062,"&lt;&gt;"),"00000"),""))</f>
        <v/>
      </c>
      <c r="B1062" s="16"/>
      <c r="C1062" s="20"/>
      <c r="D1062" s="20"/>
      <c r="E1062" s="23"/>
      <c r="H1062" s="19" t="str">
        <f t="shared" si="54"/>
        <v/>
      </c>
      <c r="I1062" s="19" t="str">
        <f t="shared" si="53"/>
        <v/>
      </c>
      <c r="J1062" s="19" t="str">
        <f t="shared" si="55"/>
        <v/>
      </c>
      <c r="K1062" s="20"/>
      <c r="L1062" s="21" t="str">
        <f>IF(OR(NOT(AND($B1062&lt;&gt;"",$C1062&lt;&gt;"",$D1062&lt;&gt;"",$E1062&lt;&gt;"")),$A1062="",$K1062&lt;&gt;"Yes"),"",IF($L1062&lt;&gt;"",$L1062,INDEX(SETUP!$I$1:$I$2000,MATCH(TRUE,SETUP!$J$1:$J$2000,0)+COUNTIFS($A$2:$A1062,"&lt;&gt;",$K$2:$K1062,"Yes",$L$2:$L1062,"")-1)))</f>
        <v/>
      </c>
      <c r="N1062" s="22"/>
    </row>
    <row r="1063" spans="1:14" x14ac:dyDescent="0.3">
      <c r="A1063" s="15" t="str">
        <f>IF(COUNTA($B1063:$E1063,$K1063)=0,"",IF(AND($B1063&lt;&gt;"",$C1063&lt;&gt;"",$D1063&lt;&gt;"",$E1063&lt;&gt;""),"TXS"&amp;TEXT(COUNTIFS($B$2:$B1063,"&lt;&gt;",$C$2:$C1063,"&lt;&gt;",$D$2:$D1063,"&lt;&gt;",$E$2:$E1063,"&lt;&gt;"),"00000"),""))</f>
        <v/>
      </c>
      <c r="B1063" s="16"/>
      <c r="C1063" s="20"/>
      <c r="D1063" s="20"/>
      <c r="E1063" s="23"/>
      <c r="H1063" s="19" t="str">
        <f t="shared" si="54"/>
        <v/>
      </c>
      <c r="I1063" s="19" t="str">
        <f t="shared" si="53"/>
        <v/>
      </c>
      <c r="J1063" s="19" t="str">
        <f t="shared" si="55"/>
        <v/>
      </c>
      <c r="K1063" s="20"/>
      <c r="L1063" s="21" t="str">
        <f>IF(OR(NOT(AND($B1063&lt;&gt;"",$C1063&lt;&gt;"",$D1063&lt;&gt;"",$E1063&lt;&gt;"")),$A1063="",$K1063&lt;&gt;"Yes"),"",IF($L1063&lt;&gt;"",$L1063,INDEX(SETUP!$I$1:$I$2000,MATCH(TRUE,SETUP!$J$1:$J$2000,0)+COUNTIFS($A$2:$A1063,"&lt;&gt;",$K$2:$K1063,"Yes",$L$2:$L1063,"")-1)))</f>
        <v/>
      </c>
      <c r="N1063" s="22"/>
    </row>
    <row r="1064" spans="1:14" x14ac:dyDescent="0.3">
      <c r="A1064" s="15" t="str">
        <f>IF(COUNTA($B1064:$E1064,$K1064)=0,"",IF(AND($B1064&lt;&gt;"",$C1064&lt;&gt;"",$D1064&lt;&gt;"",$E1064&lt;&gt;""),"TXS"&amp;TEXT(COUNTIFS($B$2:$B1064,"&lt;&gt;",$C$2:$C1064,"&lt;&gt;",$D$2:$D1064,"&lt;&gt;",$E$2:$E1064,"&lt;&gt;"),"00000"),""))</f>
        <v/>
      </c>
      <c r="B1064" s="16"/>
      <c r="C1064" s="20"/>
      <c r="D1064" s="20"/>
      <c r="E1064" s="23"/>
      <c r="H1064" s="19" t="str">
        <f t="shared" si="54"/>
        <v/>
      </c>
      <c r="I1064" s="19" t="str">
        <f t="shared" si="53"/>
        <v/>
      </c>
      <c r="J1064" s="19" t="str">
        <f t="shared" si="55"/>
        <v/>
      </c>
      <c r="K1064" s="20"/>
      <c r="L1064" s="21" t="str">
        <f>IF(OR(NOT(AND($B1064&lt;&gt;"",$C1064&lt;&gt;"",$D1064&lt;&gt;"",$E1064&lt;&gt;"")),$A1064="",$K1064&lt;&gt;"Yes"),"",IF($L1064&lt;&gt;"",$L1064,INDEX(SETUP!$I$1:$I$2000,MATCH(TRUE,SETUP!$J$1:$J$2000,0)+COUNTIFS($A$2:$A1064,"&lt;&gt;",$K$2:$K1064,"Yes",$L$2:$L1064,"")-1)))</f>
        <v/>
      </c>
      <c r="N1064" s="22"/>
    </row>
    <row r="1065" spans="1:14" x14ac:dyDescent="0.3">
      <c r="A1065" s="15" t="str">
        <f>IF(COUNTA($B1065:$E1065,$K1065)=0,"",IF(AND($B1065&lt;&gt;"",$C1065&lt;&gt;"",$D1065&lt;&gt;"",$E1065&lt;&gt;""),"TXS"&amp;TEXT(COUNTIFS($B$2:$B1065,"&lt;&gt;",$C$2:$C1065,"&lt;&gt;",$D$2:$D1065,"&lt;&gt;",$E$2:$E1065,"&lt;&gt;"),"00000"),""))</f>
        <v/>
      </c>
      <c r="B1065" s="16"/>
      <c r="C1065" s="20"/>
      <c r="D1065" s="20"/>
      <c r="E1065" s="23"/>
      <c r="H1065" s="19" t="str">
        <f t="shared" si="54"/>
        <v/>
      </c>
      <c r="I1065" s="19" t="str">
        <f t="shared" ref="I1065:I1128" si="56">IF(NOT(AND($B1065&lt;&gt;"",$C1065&lt;&gt;"",$D1065&lt;&gt;"",$E1065&lt;&gt;"")),"",IF($A1065="","","NIH plate "&amp;INT((VALUE(RIGHT($A1065,5))-1)/96)+1&amp;": "&amp;CHAR(65+INT(MOD(VALUE(RIGHT($A1065,5))-1,96)/12))&amp;(MOD(VALUE(RIGHT($A1065,5))-1,12)+1)))</f>
        <v/>
      </c>
      <c r="J1065" s="19" t="str">
        <f t="shared" si="55"/>
        <v/>
      </c>
      <c r="K1065" s="20"/>
      <c r="L1065" s="21" t="str">
        <f>IF(OR(NOT(AND($B1065&lt;&gt;"",$C1065&lt;&gt;"",$D1065&lt;&gt;"",$E1065&lt;&gt;"")),$A1065="",$K1065&lt;&gt;"Yes"),"",IF($L1065&lt;&gt;"",$L1065,INDEX(SETUP!$I$1:$I$2000,MATCH(TRUE,SETUP!$J$1:$J$2000,0)+COUNTIFS($A$2:$A1065,"&lt;&gt;",$K$2:$K1065,"Yes",$L$2:$L1065,"")-1)))</f>
        <v/>
      </c>
      <c r="N1065" s="22"/>
    </row>
    <row r="1066" spans="1:14" x14ac:dyDescent="0.3">
      <c r="A1066" s="15" t="str">
        <f>IF(COUNTA($B1066:$E1066,$K1066)=0,"",IF(AND($B1066&lt;&gt;"",$C1066&lt;&gt;"",$D1066&lt;&gt;"",$E1066&lt;&gt;""),"TXS"&amp;TEXT(COUNTIFS($B$2:$B1066,"&lt;&gt;",$C$2:$C1066,"&lt;&gt;",$D$2:$D1066,"&lt;&gt;",$E$2:$E1066,"&lt;&gt;"),"00000"),""))</f>
        <v/>
      </c>
      <c r="B1066" s="16"/>
      <c r="C1066" s="20"/>
      <c r="D1066" s="20"/>
      <c r="E1066" s="23"/>
      <c r="H1066" s="19" t="str">
        <f t="shared" si="54"/>
        <v/>
      </c>
      <c r="I1066" s="19" t="str">
        <f t="shared" si="56"/>
        <v/>
      </c>
      <c r="J1066" s="19" t="str">
        <f t="shared" si="55"/>
        <v/>
      </c>
      <c r="K1066" s="20"/>
      <c r="L1066" s="21" t="str">
        <f>IF(OR(NOT(AND($B1066&lt;&gt;"",$C1066&lt;&gt;"",$D1066&lt;&gt;"",$E1066&lt;&gt;"")),$A1066="",$K1066&lt;&gt;"Yes"),"",IF($L1066&lt;&gt;"",$L1066,INDEX(SETUP!$I$1:$I$2000,MATCH(TRUE,SETUP!$J$1:$J$2000,0)+COUNTIFS($A$2:$A1066,"&lt;&gt;",$K$2:$K1066,"Yes",$L$2:$L1066,"")-1)))</f>
        <v/>
      </c>
      <c r="N1066" s="22"/>
    </row>
    <row r="1067" spans="1:14" x14ac:dyDescent="0.3">
      <c r="A1067" s="15" t="str">
        <f>IF(COUNTA($B1067:$E1067,$K1067)=0,"",IF(AND($B1067&lt;&gt;"",$C1067&lt;&gt;"",$D1067&lt;&gt;"",$E1067&lt;&gt;""),"TXS"&amp;TEXT(COUNTIFS($B$2:$B1067,"&lt;&gt;",$C$2:$C1067,"&lt;&gt;",$D$2:$D1067,"&lt;&gt;",$E$2:$E1067,"&lt;&gt;"),"00000"),""))</f>
        <v/>
      </c>
      <c r="B1067" s="16"/>
      <c r="C1067" s="20"/>
      <c r="D1067" s="20"/>
      <c r="E1067" s="23"/>
      <c r="H1067" s="19" t="str">
        <f t="shared" si="54"/>
        <v/>
      </c>
      <c r="I1067" s="19" t="str">
        <f t="shared" si="56"/>
        <v/>
      </c>
      <c r="J1067" s="19" t="str">
        <f t="shared" si="55"/>
        <v/>
      </c>
      <c r="K1067" s="20"/>
      <c r="L1067" s="21" t="str">
        <f>IF(OR(NOT(AND($B1067&lt;&gt;"",$C1067&lt;&gt;"",$D1067&lt;&gt;"",$E1067&lt;&gt;"")),$A1067="",$K1067&lt;&gt;"Yes"),"",IF($L1067&lt;&gt;"",$L1067,INDEX(SETUP!$I$1:$I$2000,MATCH(TRUE,SETUP!$J$1:$J$2000,0)+COUNTIFS($A$2:$A1067,"&lt;&gt;",$K$2:$K1067,"Yes",$L$2:$L1067,"")-1)))</f>
        <v/>
      </c>
      <c r="N1067" s="22"/>
    </row>
    <row r="1068" spans="1:14" x14ac:dyDescent="0.3">
      <c r="A1068" s="15" t="str">
        <f>IF(COUNTA($B1068:$E1068,$K1068)=0,"",IF(AND($B1068&lt;&gt;"",$C1068&lt;&gt;"",$D1068&lt;&gt;"",$E1068&lt;&gt;""),"TXS"&amp;TEXT(COUNTIFS($B$2:$B1068,"&lt;&gt;",$C$2:$C1068,"&lt;&gt;",$D$2:$D1068,"&lt;&gt;",$E$2:$E1068,"&lt;&gt;"),"00000"),""))</f>
        <v/>
      </c>
      <c r="B1068" s="16"/>
      <c r="C1068" s="20"/>
      <c r="D1068" s="20"/>
      <c r="E1068" s="23"/>
      <c r="H1068" s="19" t="str">
        <f t="shared" si="54"/>
        <v/>
      </c>
      <c r="I1068" s="19" t="str">
        <f t="shared" si="56"/>
        <v/>
      </c>
      <c r="J1068" s="19" t="str">
        <f t="shared" si="55"/>
        <v/>
      </c>
      <c r="K1068" s="20"/>
      <c r="L1068" s="21" t="str">
        <f>IF(OR(NOT(AND($B1068&lt;&gt;"",$C1068&lt;&gt;"",$D1068&lt;&gt;"",$E1068&lt;&gt;"")),$A1068="",$K1068&lt;&gt;"Yes"),"",IF($L1068&lt;&gt;"",$L1068,INDEX(SETUP!$I$1:$I$2000,MATCH(TRUE,SETUP!$J$1:$J$2000,0)+COUNTIFS($A$2:$A1068,"&lt;&gt;",$K$2:$K1068,"Yes",$L$2:$L1068,"")-1)))</f>
        <v/>
      </c>
      <c r="N1068" s="22"/>
    </row>
    <row r="1069" spans="1:14" x14ac:dyDescent="0.3">
      <c r="A1069" s="15" t="str">
        <f>IF(COUNTA($B1069:$E1069,$K1069)=0,"",IF(AND($B1069&lt;&gt;"",$C1069&lt;&gt;"",$D1069&lt;&gt;"",$E1069&lt;&gt;""),"TXS"&amp;TEXT(COUNTIFS($B$2:$B1069,"&lt;&gt;",$C$2:$C1069,"&lt;&gt;",$D$2:$D1069,"&lt;&gt;",$E$2:$E1069,"&lt;&gt;"),"00000"),""))</f>
        <v/>
      </c>
      <c r="B1069" s="16"/>
      <c r="C1069" s="20"/>
      <c r="D1069" s="20"/>
      <c r="E1069" s="23"/>
      <c r="H1069" s="19" t="str">
        <f t="shared" si="54"/>
        <v/>
      </c>
      <c r="I1069" s="19" t="str">
        <f t="shared" si="56"/>
        <v/>
      </c>
      <c r="J1069" s="19" t="str">
        <f t="shared" si="55"/>
        <v/>
      </c>
      <c r="K1069" s="20"/>
      <c r="L1069" s="21" t="str">
        <f>IF(OR(NOT(AND($B1069&lt;&gt;"",$C1069&lt;&gt;"",$D1069&lt;&gt;"",$E1069&lt;&gt;"")),$A1069="",$K1069&lt;&gt;"Yes"),"",IF($L1069&lt;&gt;"",$L1069,INDEX(SETUP!$I$1:$I$2000,MATCH(TRUE,SETUP!$J$1:$J$2000,0)+COUNTIFS($A$2:$A1069,"&lt;&gt;",$K$2:$K1069,"Yes",$L$2:$L1069,"")-1)))</f>
        <v/>
      </c>
      <c r="N1069" s="22"/>
    </row>
    <row r="1070" spans="1:14" x14ac:dyDescent="0.3">
      <c r="A1070" s="15" t="str">
        <f>IF(COUNTA($B1070:$E1070,$K1070)=0,"",IF(AND($B1070&lt;&gt;"",$C1070&lt;&gt;"",$D1070&lt;&gt;"",$E1070&lt;&gt;""),"TXS"&amp;TEXT(COUNTIFS($B$2:$B1070,"&lt;&gt;",$C$2:$C1070,"&lt;&gt;",$D$2:$D1070,"&lt;&gt;",$E$2:$E1070,"&lt;&gt;"),"00000"),""))</f>
        <v/>
      </c>
      <c r="B1070" s="16"/>
      <c r="C1070" s="20"/>
      <c r="D1070" s="20"/>
      <c r="E1070" s="23"/>
      <c r="H1070" s="19" t="str">
        <f t="shared" si="54"/>
        <v/>
      </c>
      <c r="I1070" s="19" t="str">
        <f t="shared" si="56"/>
        <v/>
      </c>
      <c r="J1070" s="19" t="str">
        <f t="shared" si="55"/>
        <v/>
      </c>
      <c r="K1070" s="20"/>
      <c r="L1070" s="21" t="str">
        <f>IF(OR(NOT(AND($B1070&lt;&gt;"",$C1070&lt;&gt;"",$D1070&lt;&gt;"",$E1070&lt;&gt;"")),$A1070="",$K1070&lt;&gt;"Yes"),"",IF($L1070&lt;&gt;"",$L1070,INDEX(SETUP!$I$1:$I$2000,MATCH(TRUE,SETUP!$J$1:$J$2000,0)+COUNTIFS($A$2:$A1070,"&lt;&gt;",$K$2:$K1070,"Yes",$L$2:$L1070,"")-1)))</f>
        <v/>
      </c>
      <c r="N1070" s="22"/>
    </row>
    <row r="1071" spans="1:14" x14ac:dyDescent="0.3">
      <c r="A1071" s="15" t="str">
        <f>IF(COUNTA($B1071:$E1071,$K1071)=0,"",IF(AND($B1071&lt;&gt;"",$C1071&lt;&gt;"",$D1071&lt;&gt;"",$E1071&lt;&gt;""),"TXS"&amp;TEXT(COUNTIFS($B$2:$B1071,"&lt;&gt;",$C$2:$C1071,"&lt;&gt;",$D$2:$D1071,"&lt;&gt;",$E$2:$E1071,"&lt;&gt;"),"00000"),""))</f>
        <v/>
      </c>
      <c r="B1071" s="16"/>
      <c r="C1071" s="20"/>
      <c r="D1071" s="20"/>
      <c r="E1071" s="23"/>
      <c r="H1071" s="19" t="str">
        <f t="shared" ref="H1071:H1134" si="57">IF(NOT(AND($B1071&lt;&gt;"",$C1071&lt;&gt;"",$D1071&lt;&gt;"",$E1071&lt;&gt;"")),"",IF($A1071="","","CDI plate "&amp;INT((VALUE(RIGHT($A1071,5))-1)/96)+1&amp;": "&amp;CHAR(65+INT(MOD(VALUE(RIGHT($A1071,5))-1,96)/12))&amp;(MOD(VALUE(RIGHT($A1071,5))-1,12)+1)))</f>
        <v/>
      </c>
      <c r="I1071" s="19" t="str">
        <f t="shared" si="56"/>
        <v/>
      </c>
      <c r="J1071" s="19" t="str">
        <f t="shared" si="55"/>
        <v/>
      </c>
      <c r="K1071" s="20"/>
      <c r="L1071" s="21" t="str">
        <f>IF(OR(NOT(AND($B1071&lt;&gt;"",$C1071&lt;&gt;"",$D1071&lt;&gt;"",$E1071&lt;&gt;"")),$A1071="",$K1071&lt;&gt;"Yes"),"",IF($L1071&lt;&gt;"",$L1071,INDEX(SETUP!$I$1:$I$2000,MATCH(TRUE,SETUP!$J$1:$J$2000,0)+COUNTIFS($A$2:$A1071,"&lt;&gt;",$K$2:$K1071,"Yes",$L$2:$L1071,"")-1)))</f>
        <v/>
      </c>
      <c r="N1071" s="22"/>
    </row>
    <row r="1072" spans="1:14" x14ac:dyDescent="0.3">
      <c r="A1072" s="15" t="str">
        <f>IF(COUNTA($B1072:$E1072,$K1072)=0,"",IF(AND($B1072&lt;&gt;"",$C1072&lt;&gt;"",$D1072&lt;&gt;"",$E1072&lt;&gt;""),"TXS"&amp;TEXT(COUNTIFS($B$2:$B1072,"&lt;&gt;",$C$2:$C1072,"&lt;&gt;",$D$2:$D1072,"&lt;&gt;",$E$2:$E1072,"&lt;&gt;"),"00000"),""))</f>
        <v/>
      </c>
      <c r="B1072" s="16"/>
      <c r="C1072" s="20"/>
      <c r="D1072" s="20"/>
      <c r="E1072" s="23"/>
      <c r="H1072" s="19" t="str">
        <f t="shared" si="57"/>
        <v/>
      </c>
      <c r="I1072" s="19" t="str">
        <f t="shared" si="56"/>
        <v/>
      </c>
      <c r="J1072" s="19" t="str">
        <f t="shared" si="55"/>
        <v/>
      </c>
      <c r="K1072" s="20"/>
      <c r="L1072" s="21" t="str">
        <f>IF(OR(NOT(AND($B1072&lt;&gt;"",$C1072&lt;&gt;"",$D1072&lt;&gt;"",$E1072&lt;&gt;"")),$A1072="",$K1072&lt;&gt;"Yes"),"",IF($L1072&lt;&gt;"",$L1072,INDEX(SETUP!$I$1:$I$2000,MATCH(TRUE,SETUP!$J$1:$J$2000,0)+COUNTIFS($A$2:$A1072,"&lt;&gt;",$K$2:$K1072,"Yes",$L$2:$L1072,"")-1)))</f>
        <v/>
      </c>
      <c r="N1072" s="22"/>
    </row>
    <row r="1073" spans="1:14" x14ac:dyDescent="0.3">
      <c r="A1073" s="15" t="str">
        <f>IF(COUNTA($B1073:$E1073,$K1073)=0,"",IF(AND($B1073&lt;&gt;"",$C1073&lt;&gt;"",$D1073&lt;&gt;"",$E1073&lt;&gt;""),"TXS"&amp;TEXT(COUNTIFS($B$2:$B1073,"&lt;&gt;",$C$2:$C1073,"&lt;&gt;",$D$2:$D1073,"&lt;&gt;",$E$2:$E1073,"&lt;&gt;"),"00000"),""))</f>
        <v/>
      </c>
      <c r="B1073" s="16"/>
      <c r="C1073" s="20"/>
      <c r="D1073" s="20"/>
      <c r="E1073" s="23"/>
      <c r="H1073" s="19" t="str">
        <f t="shared" si="57"/>
        <v/>
      </c>
      <c r="I1073" s="19" t="str">
        <f t="shared" si="56"/>
        <v/>
      </c>
      <c r="J1073" s="19" t="str">
        <f t="shared" si="55"/>
        <v/>
      </c>
      <c r="K1073" s="20"/>
      <c r="L1073" s="21" t="str">
        <f>IF(OR(NOT(AND($B1073&lt;&gt;"",$C1073&lt;&gt;"",$D1073&lt;&gt;"",$E1073&lt;&gt;"")),$A1073="",$K1073&lt;&gt;"Yes"),"",IF($L1073&lt;&gt;"",$L1073,INDEX(SETUP!$I$1:$I$2000,MATCH(TRUE,SETUP!$J$1:$J$2000,0)+COUNTIFS($A$2:$A1073,"&lt;&gt;",$K$2:$K1073,"Yes",$L$2:$L1073,"")-1)))</f>
        <v/>
      </c>
      <c r="N1073" s="22"/>
    </row>
    <row r="1074" spans="1:14" x14ac:dyDescent="0.3">
      <c r="A1074" s="15" t="str">
        <f>IF(COUNTA($B1074:$E1074,$K1074)=0,"",IF(AND($B1074&lt;&gt;"",$C1074&lt;&gt;"",$D1074&lt;&gt;"",$E1074&lt;&gt;""),"TXS"&amp;TEXT(COUNTIFS($B$2:$B1074,"&lt;&gt;",$C$2:$C1074,"&lt;&gt;",$D$2:$D1074,"&lt;&gt;",$E$2:$E1074,"&lt;&gt;"),"00000"),""))</f>
        <v/>
      </c>
      <c r="B1074" s="16"/>
      <c r="C1074" s="20"/>
      <c r="D1074" s="20"/>
      <c r="E1074" s="23"/>
      <c r="H1074" s="19" t="str">
        <f t="shared" si="57"/>
        <v/>
      </c>
      <c r="I1074" s="19" t="str">
        <f t="shared" si="56"/>
        <v/>
      </c>
      <c r="J1074" s="19" t="str">
        <f t="shared" ref="J1074:J1137" si="58">IF(NOT(AND($B1074&lt;&gt;"",$C1074&lt;&gt;"",$D1074&lt;&gt;"",$E1074&lt;&gt;"")),"",IF($A1074="","","Max Planck plate "&amp;INT((VALUE(RIGHT($A1074,5))-1)/96)+1&amp;": "&amp;CHAR(65+INT(MOD(VALUE(RIGHT($A1074,5))-1,96)/12))&amp;(MOD(VALUE(RIGHT($A1074,5))-1,12)+1)))</f>
        <v/>
      </c>
      <c r="K1074" s="20"/>
      <c r="L1074" s="21" t="str">
        <f>IF(OR(NOT(AND($B1074&lt;&gt;"",$C1074&lt;&gt;"",$D1074&lt;&gt;"",$E1074&lt;&gt;"")),$A1074="",$K1074&lt;&gt;"Yes"),"",IF($L1074&lt;&gt;"",$L1074,INDEX(SETUP!$I$1:$I$2000,MATCH(TRUE,SETUP!$J$1:$J$2000,0)+COUNTIFS($A$2:$A1074,"&lt;&gt;",$K$2:$K1074,"Yes",$L$2:$L1074,"")-1)))</f>
        <v/>
      </c>
      <c r="N1074" s="22"/>
    </row>
    <row r="1075" spans="1:14" x14ac:dyDescent="0.3">
      <c r="A1075" s="15" t="str">
        <f>IF(COUNTA($B1075:$E1075,$K1075)=0,"",IF(AND($B1075&lt;&gt;"",$C1075&lt;&gt;"",$D1075&lt;&gt;"",$E1075&lt;&gt;""),"TXS"&amp;TEXT(COUNTIFS($B$2:$B1075,"&lt;&gt;",$C$2:$C1075,"&lt;&gt;",$D$2:$D1075,"&lt;&gt;",$E$2:$E1075,"&lt;&gt;"),"00000"),""))</f>
        <v/>
      </c>
      <c r="B1075" s="16"/>
      <c r="C1075" s="20"/>
      <c r="D1075" s="20"/>
      <c r="E1075" s="23"/>
      <c r="H1075" s="19" t="str">
        <f t="shared" si="57"/>
        <v/>
      </c>
      <c r="I1075" s="19" t="str">
        <f t="shared" si="56"/>
        <v/>
      </c>
      <c r="J1075" s="19" t="str">
        <f t="shared" si="58"/>
        <v/>
      </c>
      <c r="K1075" s="20"/>
      <c r="L1075" s="21" t="str">
        <f>IF(OR(NOT(AND($B1075&lt;&gt;"",$C1075&lt;&gt;"",$D1075&lt;&gt;"",$E1075&lt;&gt;"")),$A1075="",$K1075&lt;&gt;"Yes"),"",IF($L1075&lt;&gt;"",$L1075,INDEX(SETUP!$I$1:$I$2000,MATCH(TRUE,SETUP!$J$1:$J$2000,0)+COUNTIFS($A$2:$A1075,"&lt;&gt;",$K$2:$K1075,"Yes",$L$2:$L1075,"")-1)))</f>
        <v/>
      </c>
      <c r="N1075" s="22"/>
    </row>
    <row r="1076" spans="1:14" x14ac:dyDescent="0.3">
      <c r="A1076" s="15" t="str">
        <f>IF(COUNTA($B1076:$E1076,$K1076)=0,"",IF(AND($B1076&lt;&gt;"",$C1076&lt;&gt;"",$D1076&lt;&gt;"",$E1076&lt;&gt;""),"TXS"&amp;TEXT(COUNTIFS($B$2:$B1076,"&lt;&gt;",$C$2:$C1076,"&lt;&gt;",$D$2:$D1076,"&lt;&gt;",$E$2:$E1076,"&lt;&gt;"),"00000"),""))</f>
        <v/>
      </c>
      <c r="B1076" s="16"/>
      <c r="C1076" s="20"/>
      <c r="D1076" s="20"/>
      <c r="E1076" s="23"/>
      <c r="H1076" s="19" t="str">
        <f t="shared" si="57"/>
        <v/>
      </c>
      <c r="I1076" s="19" t="str">
        <f t="shared" si="56"/>
        <v/>
      </c>
      <c r="J1076" s="19" t="str">
        <f t="shared" si="58"/>
        <v/>
      </c>
      <c r="K1076" s="20"/>
      <c r="L1076" s="21" t="str">
        <f>IF(OR(NOT(AND($B1076&lt;&gt;"",$C1076&lt;&gt;"",$D1076&lt;&gt;"",$E1076&lt;&gt;"")),$A1076="",$K1076&lt;&gt;"Yes"),"",IF($L1076&lt;&gt;"",$L1076,INDEX(SETUP!$I$1:$I$2000,MATCH(TRUE,SETUP!$J$1:$J$2000,0)+COUNTIFS($A$2:$A1076,"&lt;&gt;",$K$2:$K1076,"Yes",$L$2:$L1076,"")-1)))</f>
        <v/>
      </c>
      <c r="N1076" s="22"/>
    </row>
    <row r="1077" spans="1:14" x14ac:dyDescent="0.3">
      <c r="A1077" s="15" t="str">
        <f>IF(COUNTA($B1077:$E1077,$K1077)=0,"",IF(AND($B1077&lt;&gt;"",$C1077&lt;&gt;"",$D1077&lt;&gt;"",$E1077&lt;&gt;""),"TXS"&amp;TEXT(COUNTIFS($B$2:$B1077,"&lt;&gt;",$C$2:$C1077,"&lt;&gt;",$D$2:$D1077,"&lt;&gt;",$E$2:$E1077,"&lt;&gt;"),"00000"),""))</f>
        <v/>
      </c>
      <c r="B1077" s="16"/>
      <c r="C1077" s="20"/>
      <c r="D1077" s="20"/>
      <c r="E1077" s="23"/>
      <c r="H1077" s="19" t="str">
        <f t="shared" si="57"/>
        <v/>
      </c>
      <c r="I1077" s="19" t="str">
        <f t="shared" si="56"/>
        <v/>
      </c>
      <c r="J1077" s="19" t="str">
        <f t="shared" si="58"/>
        <v/>
      </c>
      <c r="K1077" s="20"/>
      <c r="L1077" s="21" t="str">
        <f>IF(OR(NOT(AND($B1077&lt;&gt;"",$C1077&lt;&gt;"",$D1077&lt;&gt;"",$E1077&lt;&gt;"")),$A1077="",$K1077&lt;&gt;"Yes"),"",IF($L1077&lt;&gt;"",$L1077,INDEX(SETUP!$I$1:$I$2000,MATCH(TRUE,SETUP!$J$1:$J$2000,0)+COUNTIFS($A$2:$A1077,"&lt;&gt;",$K$2:$K1077,"Yes",$L$2:$L1077,"")-1)))</f>
        <v/>
      </c>
      <c r="N1077" s="22"/>
    </row>
    <row r="1078" spans="1:14" x14ac:dyDescent="0.3">
      <c r="A1078" s="15" t="str">
        <f>IF(COUNTA($B1078:$E1078,$K1078)=0,"",IF(AND($B1078&lt;&gt;"",$C1078&lt;&gt;"",$D1078&lt;&gt;"",$E1078&lt;&gt;""),"TXS"&amp;TEXT(COUNTIFS($B$2:$B1078,"&lt;&gt;",$C$2:$C1078,"&lt;&gt;",$D$2:$D1078,"&lt;&gt;",$E$2:$E1078,"&lt;&gt;"),"00000"),""))</f>
        <v/>
      </c>
      <c r="B1078" s="16"/>
      <c r="C1078" s="20"/>
      <c r="D1078" s="20"/>
      <c r="E1078" s="23"/>
      <c r="H1078" s="19" t="str">
        <f t="shared" si="57"/>
        <v/>
      </c>
      <c r="I1078" s="19" t="str">
        <f t="shared" si="56"/>
        <v/>
      </c>
      <c r="J1078" s="19" t="str">
        <f t="shared" si="58"/>
        <v/>
      </c>
      <c r="K1078" s="20"/>
      <c r="L1078" s="21" t="str">
        <f>IF(OR(NOT(AND($B1078&lt;&gt;"",$C1078&lt;&gt;"",$D1078&lt;&gt;"",$E1078&lt;&gt;"")),$A1078="",$K1078&lt;&gt;"Yes"),"",IF($L1078&lt;&gt;"",$L1078,INDEX(SETUP!$I$1:$I$2000,MATCH(TRUE,SETUP!$J$1:$J$2000,0)+COUNTIFS($A$2:$A1078,"&lt;&gt;",$K$2:$K1078,"Yes",$L$2:$L1078,"")-1)))</f>
        <v/>
      </c>
      <c r="N1078" s="22"/>
    </row>
    <row r="1079" spans="1:14" x14ac:dyDescent="0.3">
      <c r="A1079" s="15" t="str">
        <f>IF(COUNTA($B1079:$E1079,$K1079)=0,"",IF(AND($B1079&lt;&gt;"",$C1079&lt;&gt;"",$D1079&lt;&gt;"",$E1079&lt;&gt;""),"TXS"&amp;TEXT(COUNTIFS($B$2:$B1079,"&lt;&gt;",$C$2:$C1079,"&lt;&gt;",$D$2:$D1079,"&lt;&gt;",$E$2:$E1079,"&lt;&gt;"),"00000"),""))</f>
        <v/>
      </c>
      <c r="B1079" s="16"/>
      <c r="C1079" s="20"/>
      <c r="D1079" s="20"/>
      <c r="E1079" s="23"/>
      <c r="H1079" s="19" t="str">
        <f t="shared" si="57"/>
        <v/>
      </c>
      <c r="I1079" s="19" t="str">
        <f t="shared" si="56"/>
        <v/>
      </c>
      <c r="J1079" s="19" t="str">
        <f t="shared" si="58"/>
        <v/>
      </c>
      <c r="K1079" s="20"/>
      <c r="L1079" s="21" t="str">
        <f>IF(OR(NOT(AND($B1079&lt;&gt;"",$C1079&lt;&gt;"",$D1079&lt;&gt;"",$E1079&lt;&gt;"")),$A1079="",$K1079&lt;&gt;"Yes"),"",IF($L1079&lt;&gt;"",$L1079,INDEX(SETUP!$I$1:$I$2000,MATCH(TRUE,SETUP!$J$1:$J$2000,0)+COUNTIFS($A$2:$A1079,"&lt;&gt;",$K$2:$K1079,"Yes",$L$2:$L1079,"")-1)))</f>
        <v/>
      </c>
      <c r="N1079" s="22"/>
    </row>
    <row r="1080" spans="1:14" x14ac:dyDescent="0.3">
      <c r="A1080" s="15" t="str">
        <f>IF(COUNTA($B1080:$E1080,$K1080)=0,"",IF(AND($B1080&lt;&gt;"",$C1080&lt;&gt;"",$D1080&lt;&gt;"",$E1080&lt;&gt;""),"TXS"&amp;TEXT(COUNTIFS($B$2:$B1080,"&lt;&gt;",$C$2:$C1080,"&lt;&gt;",$D$2:$D1080,"&lt;&gt;",$E$2:$E1080,"&lt;&gt;"),"00000"),""))</f>
        <v/>
      </c>
      <c r="B1080" s="16"/>
      <c r="C1080" s="20"/>
      <c r="D1080" s="20"/>
      <c r="E1080" s="23"/>
      <c r="H1080" s="19" t="str">
        <f t="shared" si="57"/>
        <v/>
      </c>
      <c r="I1080" s="19" t="str">
        <f t="shared" si="56"/>
        <v/>
      </c>
      <c r="J1080" s="19" t="str">
        <f t="shared" si="58"/>
        <v/>
      </c>
      <c r="K1080" s="20"/>
      <c r="L1080" s="21" t="str">
        <f>IF(OR(NOT(AND($B1080&lt;&gt;"",$C1080&lt;&gt;"",$D1080&lt;&gt;"",$E1080&lt;&gt;"")),$A1080="",$K1080&lt;&gt;"Yes"),"",IF($L1080&lt;&gt;"",$L1080,INDEX(SETUP!$I$1:$I$2000,MATCH(TRUE,SETUP!$J$1:$J$2000,0)+COUNTIFS($A$2:$A1080,"&lt;&gt;",$K$2:$K1080,"Yes",$L$2:$L1080,"")-1)))</f>
        <v/>
      </c>
      <c r="N1080" s="22"/>
    </row>
    <row r="1081" spans="1:14" x14ac:dyDescent="0.3">
      <c r="A1081" s="15" t="str">
        <f>IF(COUNTA($B1081:$E1081,$K1081)=0,"",IF(AND($B1081&lt;&gt;"",$C1081&lt;&gt;"",$D1081&lt;&gt;"",$E1081&lt;&gt;""),"TXS"&amp;TEXT(COUNTIFS($B$2:$B1081,"&lt;&gt;",$C$2:$C1081,"&lt;&gt;",$D$2:$D1081,"&lt;&gt;",$E$2:$E1081,"&lt;&gt;"),"00000"),""))</f>
        <v/>
      </c>
      <c r="B1081" s="16"/>
      <c r="C1081" s="20"/>
      <c r="D1081" s="20"/>
      <c r="E1081" s="23"/>
      <c r="H1081" s="19" t="str">
        <f t="shared" si="57"/>
        <v/>
      </c>
      <c r="I1081" s="19" t="str">
        <f t="shared" si="56"/>
        <v/>
      </c>
      <c r="J1081" s="19" t="str">
        <f t="shared" si="58"/>
        <v/>
      </c>
      <c r="K1081" s="20"/>
      <c r="L1081" s="21" t="str">
        <f>IF(OR(NOT(AND($B1081&lt;&gt;"",$C1081&lt;&gt;"",$D1081&lt;&gt;"",$E1081&lt;&gt;"")),$A1081="",$K1081&lt;&gt;"Yes"),"",IF($L1081&lt;&gt;"",$L1081,INDEX(SETUP!$I$1:$I$2000,MATCH(TRUE,SETUP!$J$1:$J$2000,0)+COUNTIFS($A$2:$A1081,"&lt;&gt;",$K$2:$K1081,"Yes",$L$2:$L1081,"")-1)))</f>
        <v/>
      </c>
      <c r="N1081" s="22"/>
    </row>
    <row r="1082" spans="1:14" x14ac:dyDescent="0.3">
      <c r="A1082" s="15" t="str">
        <f>IF(COUNTA($B1082:$E1082,$K1082)=0,"",IF(AND($B1082&lt;&gt;"",$C1082&lt;&gt;"",$D1082&lt;&gt;"",$E1082&lt;&gt;""),"TXS"&amp;TEXT(COUNTIFS($B$2:$B1082,"&lt;&gt;",$C$2:$C1082,"&lt;&gt;",$D$2:$D1082,"&lt;&gt;",$E$2:$E1082,"&lt;&gt;"),"00000"),""))</f>
        <v/>
      </c>
      <c r="B1082" s="16"/>
      <c r="C1082" s="20"/>
      <c r="D1082" s="20"/>
      <c r="E1082" s="23"/>
      <c r="H1082" s="19" t="str">
        <f t="shared" si="57"/>
        <v/>
      </c>
      <c r="I1082" s="19" t="str">
        <f t="shared" si="56"/>
        <v/>
      </c>
      <c r="J1082" s="19" t="str">
        <f t="shared" si="58"/>
        <v/>
      </c>
      <c r="K1082" s="20"/>
      <c r="L1082" s="21" t="str">
        <f>IF(OR(NOT(AND($B1082&lt;&gt;"",$C1082&lt;&gt;"",$D1082&lt;&gt;"",$E1082&lt;&gt;"")),$A1082="",$K1082&lt;&gt;"Yes"),"",IF($L1082&lt;&gt;"",$L1082,INDEX(SETUP!$I$1:$I$2000,MATCH(TRUE,SETUP!$J$1:$J$2000,0)+COUNTIFS($A$2:$A1082,"&lt;&gt;",$K$2:$K1082,"Yes",$L$2:$L1082,"")-1)))</f>
        <v/>
      </c>
      <c r="N1082" s="22"/>
    </row>
    <row r="1083" spans="1:14" x14ac:dyDescent="0.3">
      <c r="A1083" s="15" t="str">
        <f>IF(COUNTA($B1083:$E1083,$K1083)=0,"",IF(AND($B1083&lt;&gt;"",$C1083&lt;&gt;"",$D1083&lt;&gt;"",$E1083&lt;&gt;""),"TXS"&amp;TEXT(COUNTIFS($B$2:$B1083,"&lt;&gt;",$C$2:$C1083,"&lt;&gt;",$D$2:$D1083,"&lt;&gt;",$E$2:$E1083,"&lt;&gt;"),"00000"),""))</f>
        <v/>
      </c>
      <c r="B1083" s="16"/>
      <c r="C1083" s="20"/>
      <c r="D1083" s="20"/>
      <c r="E1083" s="23"/>
      <c r="H1083" s="19" t="str">
        <f t="shared" si="57"/>
        <v/>
      </c>
      <c r="I1083" s="19" t="str">
        <f t="shared" si="56"/>
        <v/>
      </c>
      <c r="J1083" s="19" t="str">
        <f t="shared" si="58"/>
        <v/>
      </c>
      <c r="K1083" s="20"/>
      <c r="L1083" s="21" t="str">
        <f>IF(OR(NOT(AND($B1083&lt;&gt;"",$C1083&lt;&gt;"",$D1083&lt;&gt;"",$E1083&lt;&gt;"")),$A1083="",$K1083&lt;&gt;"Yes"),"",IF($L1083&lt;&gt;"",$L1083,INDEX(SETUP!$I$1:$I$2000,MATCH(TRUE,SETUP!$J$1:$J$2000,0)+COUNTIFS($A$2:$A1083,"&lt;&gt;",$K$2:$K1083,"Yes",$L$2:$L1083,"")-1)))</f>
        <v/>
      </c>
      <c r="N1083" s="22"/>
    </row>
    <row r="1084" spans="1:14" x14ac:dyDescent="0.3">
      <c r="A1084" s="15" t="str">
        <f>IF(COUNTA($B1084:$E1084,$K1084)=0,"",IF(AND($B1084&lt;&gt;"",$C1084&lt;&gt;"",$D1084&lt;&gt;"",$E1084&lt;&gt;""),"TXS"&amp;TEXT(COUNTIFS($B$2:$B1084,"&lt;&gt;",$C$2:$C1084,"&lt;&gt;",$D$2:$D1084,"&lt;&gt;",$E$2:$E1084,"&lt;&gt;"),"00000"),""))</f>
        <v/>
      </c>
      <c r="B1084" s="16"/>
      <c r="C1084" s="20"/>
      <c r="D1084" s="20"/>
      <c r="E1084" s="23"/>
      <c r="H1084" s="19" t="str">
        <f t="shared" si="57"/>
        <v/>
      </c>
      <c r="I1084" s="19" t="str">
        <f t="shared" si="56"/>
        <v/>
      </c>
      <c r="J1084" s="19" t="str">
        <f t="shared" si="58"/>
        <v/>
      </c>
      <c r="K1084" s="20"/>
      <c r="L1084" s="21" t="str">
        <f>IF(OR(NOT(AND($B1084&lt;&gt;"",$C1084&lt;&gt;"",$D1084&lt;&gt;"",$E1084&lt;&gt;"")),$A1084="",$K1084&lt;&gt;"Yes"),"",IF($L1084&lt;&gt;"",$L1084,INDEX(SETUP!$I$1:$I$2000,MATCH(TRUE,SETUP!$J$1:$J$2000,0)+COUNTIFS($A$2:$A1084,"&lt;&gt;",$K$2:$K1084,"Yes",$L$2:$L1084,"")-1)))</f>
        <v/>
      </c>
      <c r="N1084" s="22"/>
    </row>
    <row r="1085" spans="1:14" x14ac:dyDescent="0.3">
      <c r="A1085" s="15" t="str">
        <f>IF(COUNTA($B1085:$E1085,$K1085)=0,"",IF(AND($B1085&lt;&gt;"",$C1085&lt;&gt;"",$D1085&lt;&gt;"",$E1085&lt;&gt;""),"TXS"&amp;TEXT(COUNTIFS($B$2:$B1085,"&lt;&gt;",$C$2:$C1085,"&lt;&gt;",$D$2:$D1085,"&lt;&gt;",$E$2:$E1085,"&lt;&gt;"),"00000"),""))</f>
        <v/>
      </c>
      <c r="B1085" s="16"/>
      <c r="C1085" s="20"/>
      <c r="D1085" s="20"/>
      <c r="E1085" s="23"/>
      <c r="H1085" s="19" t="str">
        <f t="shared" si="57"/>
        <v/>
      </c>
      <c r="I1085" s="19" t="str">
        <f t="shared" si="56"/>
        <v/>
      </c>
      <c r="J1085" s="19" t="str">
        <f t="shared" si="58"/>
        <v/>
      </c>
      <c r="K1085" s="20"/>
      <c r="L1085" s="21" t="str">
        <f>IF(OR(NOT(AND($B1085&lt;&gt;"",$C1085&lt;&gt;"",$D1085&lt;&gt;"",$E1085&lt;&gt;"")),$A1085="",$K1085&lt;&gt;"Yes"),"",IF($L1085&lt;&gt;"",$L1085,INDEX(SETUP!$I$1:$I$2000,MATCH(TRUE,SETUP!$J$1:$J$2000,0)+COUNTIFS($A$2:$A1085,"&lt;&gt;",$K$2:$K1085,"Yes",$L$2:$L1085,"")-1)))</f>
        <v/>
      </c>
      <c r="N1085" s="22"/>
    </row>
    <row r="1086" spans="1:14" x14ac:dyDescent="0.3">
      <c r="A1086" s="15" t="str">
        <f>IF(COUNTA($B1086:$E1086,$K1086)=0,"",IF(AND($B1086&lt;&gt;"",$C1086&lt;&gt;"",$D1086&lt;&gt;"",$E1086&lt;&gt;""),"TXS"&amp;TEXT(COUNTIFS($B$2:$B1086,"&lt;&gt;",$C$2:$C1086,"&lt;&gt;",$D$2:$D1086,"&lt;&gt;",$E$2:$E1086,"&lt;&gt;"),"00000"),""))</f>
        <v/>
      </c>
      <c r="B1086" s="16"/>
      <c r="C1086" s="20"/>
      <c r="D1086" s="20"/>
      <c r="E1086" s="23"/>
      <c r="H1086" s="19" t="str">
        <f t="shared" si="57"/>
        <v/>
      </c>
      <c r="I1086" s="19" t="str">
        <f t="shared" si="56"/>
        <v/>
      </c>
      <c r="J1086" s="19" t="str">
        <f t="shared" si="58"/>
        <v/>
      </c>
      <c r="K1086" s="20"/>
      <c r="L1086" s="21" t="str">
        <f>IF(OR(NOT(AND($B1086&lt;&gt;"",$C1086&lt;&gt;"",$D1086&lt;&gt;"",$E1086&lt;&gt;"")),$A1086="",$K1086&lt;&gt;"Yes"),"",IF($L1086&lt;&gt;"",$L1086,INDEX(SETUP!$I$1:$I$2000,MATCH(TRUE,SETUP!$J$1:$J$2000,0)+COUNTIFS($A$2:$A1086,"&lt;&gt;",$K$2:$K1086,"Yes",$L$2:$L1086,"")-1)))</f>
        <v/>
      </c>
      <c r="N1086" s="22"/>
    </row>
    <row r="1087" spans="1:14" x14ac:dyDescent="0.3">
      <c r="A1087" s="15" t="str">
        <f>IF(COUNTA($B1087:$E1087,$K1087)=0,"",IF(AND($B1087&lt;&gt;"",$C1087&lt;&gt;"",$D1087&lt;&gt;"",$E1087&lt;&gt;""),"TXS"&amp;TEXT(COUNTIFS($B$2:$B1087,"&lt;&gt;",$C$2:$C1087,"&lt;&gt;",$D$2:$D1087,"&lt;&gt;",$E$2:$E1087,"&lt;&gt;"),"00000"),""))</f>
        <v/>
      </c>
      <c r="B1087" s="16"/>
      <c r="C1087" s="20"/>
      <c r="D1087" s="20"/>
      <c r="E1087" s="23"/>
      <c r="H1087" s="19" t="str">
        <f t="shared" si="57"/>
        <v/>
      </c>
      <c r="I1087" s="19" t="str">
        <f t="shared" si="56"/>
        <v/>
      </c>
      <c r="J1087" s="19" t="str">
        <f t="shared" si="58"/>
        <v/>
      </c>
      <c r="K1087" s="20"/>
      <c r="L1087" s="21" t="str">
        <f>IF(OR(NOT(AND($B1087&lt;&gt;"",$C1087&lt;&gt;"",$D1087&lt;&gt;"",$E1087&lt;&gt;"")),$A1087="",$K1087&lt;&gt;"Yes"),"",IF($L1087&lt;&gt;"",$L1087,INDEX(SETUP!$I$1:$I$2000,MATCH(TRUE,SETUP!$J$1:$J$2000,0)+COUNTIFS($A$2:$A1087,"&lt;&gt;",$K$2:$K1087,"Yes",$L$2:$L1087,"")-1)))</f>
        <v/>
      </c>
      <c r="N1087" s="22"/>
    </row>
    <row r="1088" spans="1:14" x14ac:dyDescent="0.3">
      <c r="A1088" s="15" t="str">
        <f>IF(COUNTA($B1088:$E1088,$K1088)=0,"",IF(AND($B1088&lt;&gt;"",$C1088&lt;&gt;"",$D1088&lt;&gt;"",$E1088&lt;&gt;""),"TXS"&amp;TEXT(COUNTIFS($B$2:$B1088,"&lt;&gt;",$C$2:$C1088,"&lt;&gt;",$D$2:$D1088,"&lt;&gt;",$E$2:$E1088,"&lt;&gt;"),"00000"),""))</f>
        <v/>
      </c>
      <c r="B1088" s="16"/>
      <c r="C1088" s="20"/>
      <c r="D1088" s="20"/>
      <c r="E1088" s="23"/>
      <c r="H1088" s="19" t="str">
        <f t="shared" si="57"/>
        <v/>
      </c>
      <c r="I1088" s="19" t="str">
        <f t="shared" si="56"/>
        <v/>
      </c>
      <c r="J1088" s="19" t="str">
        <f t="shared" si="58"/>
        <v/>
      </c>
      <c r="K1088" s="20"/>
      <c r="L1088" s="21" t="str">
        <f>IF(OR(NOT(AND($B1088&lt;&gt;"",$C1088&lt;&gt;"",$D1088&lt;&gt;"",$E1088&lt;&gt;"")),$A1088="",$K1088&lt;&gt;"Yes"),"",IF($L1088&lt;&gt;"",$L1088,INDEX(SETUP!$I$1:$I$2000,MATCH(TRUE,SETUP!$J$1:$J$2000,0)+COUNTIFS($A$2:$A1088,"&lt;&gt;",$K$2:$K1088,"Yes",$L$2:$L1088,"")-1)))</f>
        <v/>
      </c>
      <c r="N1088" s="22"/>
    </row>
    <row r="1089" spans="1:14" x14ac:dyDescent="0.3">
      <c r="A1089" s="15" t="str">
        <f>IF(COUNTA($B1089:$E1089,$K1089)=0,"",IF(AND($B1089&lt;&gt;"",$C1089&lt;&gt;"",$D1089&lt;&gt;"",$E1089&lt;&gt;""),"TXS"&amp;TEXT(COUNTIFS($B$2:$B1089,"&lt;&gt;",$C$2:$C1089,"&lt;&gt;",$D$2:$D1089,"&lt;&gt;",$E$2:$E1089,"&lt;&gt;"),"00000"),""))</f>
        <v/>
      </c>
      <c r="B1089" s="16"/>
      <c r="C1089" s="20"/>
      <c r="D1089" s="20"/>
      <c r="E1089" s="23"/>
      <c r="H1089" s="19" t="str">
        <f t="shared" si="57"/>
        <v/>
      </c>
      <c r="I1089" s="19" t="str">
        <f t="shared" si="56"/>
        <v/>
      </c>
      <c r="J1089" s="19" t="str">
        <f t="shared" si="58"/>
        <v/>
      </c>
      <c r="K1089" s="20"/>
      <c r="L1089" s="21" t="str">
        <f>IF(OR(NOT(AND($B1089&lt;&gt;"",$C1089&lt;&gt;"",$D1089&lt;&gt;"",$E1089&lt;&gt;"")),$A1089="",$K1089&lt;&gt;"Yes"),"",IF($L1089&lt;&gt;"",$L1089,INDEX(SETUP!$I$1:$I$2000,MATCH(TRUE,SETUP!$J$1:$J$2000,0)+COUNTIFS($A$2:$A1089,"&lt;&gt;",$K$2:$K1089,"Yes",$L$2:$L1089,"")-1)))</f>
        <v/>
      </c>
      <c r="N1089" s="22"/>
    </row>
    <row r="1090" spans="1:14" x14ac:dyDescent="0.3">
      <c r="A1090" s="15" t="str">
        <f>IF(COUNTA($B1090:$E1090,$K1090)=0,"",IF(AND($B1090&lt;&gt;"",$C1090&lt;&gt;"",$D1090&lt;&gt;"",$E1090&lt;&gt;""),"TXS"&amp;TEXT(COUNTIFS($B$2:$B1090,"&lt;&gt;",$C$2:$C1090,"&lt;&gt;",$D$2:$D1090,"&lt;&gt;",$E$2:$E1090,"&lt;&gt;"),"00000"),""))</f>
        <v/>
      </c>
      <c r="B1090" s="16"/>
      <c r="C1090" s="20"/>
      <c r="D1090" s="20"/>
      <c r="E1090" s="23"/>
      <c r="H1090" s="19" t="str">
        <f t="shared" si="57"/>
        <v/>
      </c>
      <c r="I1090" s="19" t="str">
        <f t="shared" si="56"/>
        <v/>
      </c>
      <c r="J1090" s="19" t="str">
        <f t="shared" si="58"/>
        <v/>
      </c>
      <c r="K1090" s="20"/>
      <c r="L1090" s="21" t="str">
        <f>IF(OR(NOT(AND($B1090&lt;&gt;"",$C1090&lt;&gt;"",$D1090&lt;&gt;"",$E1090&lt;&gt;"")),$A1090="",$K1090&lt;&gt;"Yes"),"",IF($L1090&lt;&gt;"",$L1090,INDEX(SETUP!$I$1:$I$2000,MATCH(TRUE,SETUP!$J$1:$J$2000,0)+COUNTIFS($A$2:$A1090,"&lt;&gt;",$K$2:$K1090,"Yes",$L$2:$L1090,"")-1)))</f>
        <v/>
      </c>
      <c r="N1090" s="22"/>
    </row>
    <row r="1091" spans="1:14" x14ac:dyDescent="0.3">
      <c r="A1091" s="15" t="str">
        <f>IF(COUNTA($B1091:$E1091,$K1091)=0,"",IF(AND($B1091&lt;&gt;"",$C1091&lt;&gt;"",$D1091&lt;&gt;"",$E1091&lt;&gt;""),"TXS"&amp;TEXT(COUNTIFS($B$2:$B1091,"&lt;&gt;",$C$2:$C1091,"&lt;&gt;",$D$2:$D1091,"&lt;&gt;",$E$2:$E1091,"&lt;&gt;"),"00000"),""))</f>
        <v/>
      </c>
      <c r="B1091" s="16"/>
      <c r="C1091" s="20"/>
      <c r="D1091" s="20"/>
      <c r="E1091" s="23"/>
      <c r="H1091" s="19" t="str">
        <f t="shared" si="57"/>
        <v/>
      </c>
      <c r="I1091" s="19" t="str">
        <f t="shared" si="56"/>
        <v/>
      </c>
      <c r="J1091" s="19" t="str">
        <f t="shared" si="58"/>
        <v/>
      </c>
      <c r="K1091" s="20"/>
      <c r="L1091" s="21" t="str">
        <f>IF(OR(NOT(AND($B1091&lt;&gt;"",$C1091&lt;&gt;"",$D1091&lt;&gt;"",$E1091&lt;&gt;"")),$A1091="",$K1091&lt;&gt;"Yes"),"",IF($L1091&lt;&gt;"",$L1091,INDEX(SETUP!$I$1:$I$2000,MATCH(TRUE,SETUP!$J$1:$J$2000,0)+COUNTIFS($A$2:$A1091,"&lt;&gt;",$K$2:$K1091,"Yes",$L$2:$L1091,"")-1)))</f>
        <v/>
      </c>
      <c r="N1091" s="22"/>
    </row>
    <row r="1092" spans="1:14" x14ac:dyDescent="0.3">
      <c r="A1092" s="15" t="str">
        <f>IF(COUNTA($B1092:$E1092,$K1092)=0,"",IF(AND($B1092&lt;&gt;"",$C1092&lt;&gt;"",$D1092&lt;&gt;"",$E1092&lt;&gt;""),"TXS"&amp;TEXT(COUNTIFS($B$2:$B1092,"&lt;&gt;",$C$2:$C1092,"&lt;&gt;",$D$2:$D1092,"&lt;&gt;",$E$2:$E1092,"&lt;&gt;"),"00000"),""))</f>
        <v/>
      </c>
      <c r="B1092" s="16"/>
      <c r="C1092" s="20"/>
      <c r="D1092" s="20"/>
      <c r="E1092" s="23"/>
      <c r="H1092" s="19" t="str">
        <f t="shared" si="57"/>
        <v/>
      </c>
      <c r="I1092" s="19" t="str">
        <f t="shared" si="56"/>
        <v/>
      </c>
      <c r="J1092" s="19" t="str">
        <f t="shared" si="58"/>
        <v/>
      </c>
      <c r="K1092" s="20"/>
      <c r="L1092" s="21" t="str">
        <f>IF(OR(NOT(AND($B1092&lt;&gt;"",$C1092&lt;&gt;"",$D1092&lt;&gt;"",$E1092&lt;&gt;"")),$A1092="",$K1092&lt;&gt;"Yes"),"",IF($L1092&lt;&gt;"",$L1092,INDEX(SETUP!$I$1:$I$2000,MATCH(TRUE,SETUP!$J$1:$J$2000,0)+COUNTIFS($A$2:$A1092,"&lt;&gt;",$K$2:$K1092,"Yes",$L$2:$L1092,"")-1)))</f>
        <v/>
      </c>
      <c r="N1092" s="22"/>
    </row>
    <row r="1093" spans="1:14" x14ac:dyDescent="0.3">
      <c r="A1093" s="15" t="str">
        <f>IF(COUNTA($B1093:$E1093,$K1093)=0,"",IF(AND($B1093&lt;&gt;"",$C1093&lt;&gt;"",$D1093&lt;&gt;"",$E1093&lt;&gt;""),"TXS"&amp;TEXT(COUNTIFS($B$2:$B1093,"&lt;&gt;",$C$2:$C1093,"&lt;&gt;",$D$2:$D1093,"&lt;&gt;",$E$2:$E1093,"&lt;&gt;"),"00000"),""))</f>
        <v/>
      </c>
      <c r="B1093" s="16"/>
      <c r="C1093" s="20"/>
      <c r="D1093" s="20"/>
      <c r="E1093" s="23"/>
      <c r="H1093" s="19" t="str">
        <f t="shared" si="57"/>
        <v/>
      </c>
      <c r="I1093" s="19" t="str">
        <f t="shared" si="56"/>
        <v/>
      </c>
      <c r="J1093" s="19" t="str">
        <f t="shared" si="58"/>
        <v/>
      </c>
      <c r="K1093" s="20"/>
      <c r="L1093" s="21" t="str">
        <f>IF(OR(NOT(AND($B1093&lt;&gt;"",$C1093&lt;&gt;"",$D1093&lt;&gt;"",$E1093&lt;&gt;"")),$A1093="",$K1093&lt;&gt;"Yes"),"",IF($L1093&lt;&gt;"",$L1093,INDEX(SETUP!$I$1:$I$2000,MATCH(TRUE,SETUP!$J$1:$J$2000,0)+COUNTIFS($A$2:$A1093,"&lt;&gt;",$K$2:$K1093,"Yes",$L$2:$L1093,"")-1)))</f>
        <v/>
      </c>
      <c r="N1093" s="22"/>
    </row>
    <row r="1094" spans="1:14" x14ac:dyDescent="0.3">
      <c r="A1094" s="15" t="str">
        <f>IF(COUNTA($B1094:$E1094,$K1094)=0,"",IF(AND($B1094&lt;&gt;"",$C1094&lt;&gt;"",$D1094&lt;&gt;"",$E1094&lt;&gt;""),"TXS"&amp;TEXT(COUNTIFS($B$2:$B1094,"&lt;&gt;",$C$2:$C1094,"&lt;&gt;",$D$2:$D1094,"&lt;&gt;",$E$2:$E1094,"&lt;&gt;"),"00000"),""))</f>
        <v/>
      </c>
      <c r="B1094" s="16"/>
      <c r="C1094" s="20"/>
      <c r="D1094" s="20"/>
      <c r="E1094" s="23"/>
      <c r="H1094" s="19" t="str">
        <f t="shared" si="57"/>
        <v/>
      </c>
      <c r="I1094" s="19" t="str">
        <f t="shared" si="56"/>
        <v/>
      </c>
      <c r="J1094" s="19" t="str">
        <f t="shared" si="58"/>
        <v/>
      </c>
      <c r="K1094" s="20"/>
      <c r="L1094" s="21" t="str">
        <f>IF(OR(NOT(AND($B1094&lt;&gt;"",$C1094&lt;&gt;"",$D1094&lt;&gt;"",$E1094&lt;&gt;"")),$A1094="",$K1094&lt;&gt;"Yes"),"",IF($L1094&lt;&gt;"",$L1094,INDEX(SETUP!$I$1:$I$2000,MATCH(TRUE,SETUP!$J$1:$J$2000,0)+COUNTIFS($A$2:$A1094,"&lt;&gt;",$K$2:$K1094,"Yes",$L$2:$L1094,"")-1)))</f>
        <v/>
      </c>
      <c r="N1094" s="22"/>
    </row>
    <row r="1095" spans="1:14" x14ac:dyDescent="0.3">
      <c r="A1095" s="15" t="str">
        <f>IF(COUNTA($B1095:$E1095,$K1095)=0,"",IF(AND($B1095&lt;&gt;"",$C1095&lt;&gt;"",$D1095&lt;&gt;"",$E1095&lt;&gt;""),"TXS"&amp;TEXT(COUNTIFS($B$2:$B1095,"&lt;&gt;",$C$2:$C1095,"&lt;&gt;",$D$2:$D1095,"&lt;&gt;",$E$2:$E1095,"&lt;&gt;"),"00000"),""))</f>
        <v/>
      </c>
      <c r="B1095" s="16"/>
      <c r="C1095" s="20"/>
      <c r="D1095" s="20"/>
      <c r="E1095" s="23"/>
      <c r="H1095" s="19" t="str">
        <f t="shared" si="57"/>
        <v/>
      </c>
      <c r="I1095" s="19" t="str">
        <f t="shared" si="56"/>
        <v/>
      </c>
      <c r="J1095" s="19" t="str">
        <f t="shared" si="58"/>
        <v/>
      </c>
      <c r="K1095" s="20"/>
      <c r="L1095" s="21" t="str">
        <f>IF(OR(NOT(AND($B1095&lt;&gt;"",$C1095&lt;&gt;"",$D1095&lt;&gt;"",$E1095&lt;&gt;"")),$A1095="",$K1095&lt;&gt;"Yes"),"",IF($L1095&lt;&gt;"",$L1095,INDEX(SETUP!$I$1:$I$2000,MATCH(TRUE,SETUP!$J$1:$J$2000,0)+COUNTIFS($A$2:$A1095,"&lt;&gt;",$K$2:$K1095,"Yes",$L$2:$L1095,"")-1)))</f>
        <v/>
      </c>
      <c r="N1095" s="22"/>
    </row>
    <row r="1096" spans="1:14" x14ac:dyDescent="0.3">
      <c r="A1096" s="15" t="str">
        <f>IF(COUNTA($B1096:$E1096,$K1096)=0,"",IF(AND($B1096&lt;&gt;"",$C1096&lt;&gt;"",$D1096&lt;&gt;"",$E1096&lt;&gt;""),"TXS"&amp;TEXT(COUNTIFS($B$2:$B1096,"&lt;&gt;",$C$2:$C1096,"&lt;&gt;",$D$2:$D1096,"&lt;&gt;",$E$2:$E1096,"&lt;&gt;"),"00000"),""))</f>
        <v/>
      </c>
      <c r="B1096" s="16"/>
      <c r="C1096" s="20"/>
      <c r="D1096" s="20"/>
      <c r="E1096" s="23"/>
      <c r="H1096" s="19" t="str">
        <f t="shared" si="57"/>
        <v/>
      </c>
      <c r="I1096" s="19" t="str">
        <f t="shared" si="56"/>
        <v/>
      </c>
      <c r="J1096" s="19" t="str">
        <f t="shared" si="58"/>
        <v/>
      </c>
      <c r="K1096" s="20"/>
      <c r="L1096" s="21" t="str">
        <f>IF(OR(NOT(AND($B1096&lt;&gt;"",$C1096&lt;&gt;"",$D1096&lt;&gt;"",$E1096&lt;&gt;"")),$A1096="",$K1096&lt;&gt;"Yes"),"",IF($L1096&lt;&gt;"",$L1096,INDEX(SETUP!$I$1:$I$2000,MATCH(TRUE,SETUP!$J$1:$J$2000,0)+COUNTIFS($A$2:$A1096,"&lt;&gt;",$K$2:$K1096,"Yes",$L$2:$L1096,"")-1)))</f>
        <v/>
      </c>
      <c r="N1096" s="22"/>
    </row>
    <row r="1097" spans="1:14" x14ac:dyDescent="0.3">
      <c r="A1097" s="15" t="str">
        <f>IF(COUNTA($B1097:$E1097,$K1097)=0,"",IF(AND($B1097&lt;&gt;"",$C1097&lt;&gt;"",$D1097&lt;&gt;"",$E1097&lt;&gt;""),"TXS"&amp;TEXT(COUNTIFS($B$2:$B1097,"&lt;&gt;",$C$2:$C1097,"&lt;&gt;",$D$2:$D1097,"&lt;&gt;",$E$2:$E1097,"&lt;&gt;"),"00000"),""))</f>
        <v/>
      </c>
      <c r="B1097" s="16"/>
      <c r="C1097" s="20"/>
      <c r="D1097" s="20"/>
      <c r="E1097" s="23"/>
      <c r="H1097" s="19" t="str">
        <f t="shared" si="57"/>
        <v/>
      </c>
      <c r="I1097" s="19" t="str">
        <f t="shared" si="56"/>
        <v/>
      </c>
      <c r="J1097" s="19" t="str">
        <f t="shared" si="58"/>
        <v/>
      </c>
      <c r="K1097" s="20"/>
      <c r="L1097" s="21" t="str">
        <f>IF(OR(NOT(AND($B1097&lt;&gt;"",$C1097&lt;&gt;"",$D1097&lt;&gt;"",$E1097&lt;&gt;"")),$A1097="",$K1097&lt;&gt;"Yes"),"",IF($L1097&lt;&gt;"",$L1097,INDEX(SETUP!$I$1:$I$2000,MATCH(TRUE,SETUP!$J$1:$J$2000,0)+COUNTIFS($A$2:$A1097,"&lt;&gt;",$K$2:$K1097,"Yes",$L$2:$L1097,"")-1)))</f>
        <v/>
      </c>
      <c r="N1097" s="22"/>
    </row>
    <row r="1098" spans="1:14" x14ac:dyDescent="0.3">
      <c r="A1098" s="15" t="str">
        <f>IF(COUNTA($B1098:$E1098,$K1098)=0,"",IF(AND($B1098&lt;&gt;"",$C1098&lt;&gt;"",$D1098&lt;&gt;"",$E1098&lt;&gt;""),"TXS"&amp;TEXT(COUNTIFS($B$2:$B1098,"&lt;&gt;",$C$2:$C1098,"&lt;&gt;",$D$2:$D1098,"&lt;&gt;",$E$2:$E1098,"&lt;&gt;"),"00000"),""))</f>
        <v/>
      </c>
      <c r="B1098" s="16"/>
      <c r="C1098" s="20"/>
      <c r="D1098" s="20"/>
      <c r="E1098" s="23"/>
      <c r="H1098" s="19" t="str">
        <f t="shared" si="57"/>
        <v/>
      </c>
      <c r="I1098" s="19" t="str">
        <f t="shared" si="56"/>
        <v/>
      </c>
      <c r="J1098" s="19" t="str">
        <f t="shared" si="58"/>
        <v/>
      </c>
      <c r="K1098" s="20"/>
      <c r="L1098" s="21" t="str">
        <f>IF(OR(NOT(AND($B1098&lt;&gt;"",$C1098&lt;&gt;"",$D1098&lt;&gt;"",$E1098&lt;&gt;"")),$A1098="",$K1098&lt;&gt;"Yes"),"",IF($L1098&lt;&gt;"",$L1098,INDEX(SETUP!$I$1:$I$2000,MATCH(TRUE,SETUP!$J$1:$J$2000,0)+COUNTIFS($A$2:$A1098,"&lt;&gt;",$K$2:$K1098,"Yes",$L$2:$L1098,"")-1)))</f>
        <v/>
      </c>
      <c r="N1098" s="22"/>
    </row>
    <row r="1099" spans="1:14" x14ac:dyDescent="0.3">
      <c r="A1099" s="15" t="str">
        <f>IF(COUNTA($B1099:$E1099,$K1099)=0,"",IF(AND($B1099&lt;&gt;"",$C1099&lt;&gt;"",$D1099&lt;&gt;"",$E1099&lt;&gt;""),"TXS"&amp;TEXT(COUNTIFS($B$2:$B1099,"&lt;&gt;",$C$2:$C1099,"&lt;&gt;",$D$2:$D1099,"&lt;&gt;",$E$2:$E1099,"&lt;&gt;"),"00000"),""))</f>
        <v/>
      </c>
      <c r="B1099" s="16"/>
      <c r="C1099" s="20"/>
      <c r="D1099" s="20"/>
      <c r="E1099" s="23"/>
      <c r="H1099" s="19" t="str">
        <f t="shared" si="57"/>
        <v/>
      </c>
      <c r="I1099" s="19" t="str">
        <f t="shared" si="56"/>
        <v/>
      </c>
      <c r="J1099" s="19" t="str">
        <f t="shared" si="58"/>
        <v/>
      </c>
      <c r="K1099" s="20"/>
      <c r="L1099" s="21" t="str">
        <f>IF(OR(NOT(AND($B1099&lt;&gt;"",$C1099&lt;&gt;"",$D1099&lt;&gt;"",$E1099&lt;&gt;"")),$A1099="",$K1099&lt;&gt;"Yes"),"",IF($L1099&lt;&gt;"",$L1099,INDEX(SETUP!$I$1:$I$2000,MATCH(TRUE,SETUP!$J$1:$J$2000,0)+COUNTIFS($A$2:$A1099,"&lt;&gt;",$K$2:$K1099,"Yes",$L$2:$L1099,"")-1)))</f>
        <v/>
      </c>
      <c r="N1099" s="22"/>
    </row>
    <row r="1100" spans="1:14" x14ac:dyDescent="0.3">
      <c r="A1100" s="15" t="str">
        <f>IF(COUNTA($B1100:$E1100,$K1100)=0,"",IF(AND($B1100&lt;&gt;"",$C1100&lt;&gt;"",$D1100&lt;&gt;"",$E1100&lt;&gt;""),"TXS"&amp;TEXT(COUNTIFS($B$2:$B1100,"&lt;&gt;",$C$2:$C1100,"&lt;&gt;",$D$2:$D1100,"&lt;&gt;",$E$2:$E1100,"&lt;&gt;"),"00000"),""))</f>
        <v/>
      </c>
      <c r="B1100" s="16"/>
      <c r="C1100" s="20"/>
      <c r="D1100" s="20"/>
      <c r="E1100" s="23"/>
      <c r="H1100" s="19" t="str">
        <f t="shared" si="57"/>
        <v/>
      </c>
      <c r="I1100" s="19" t="str">
        <f t="shared" si="56"/>
        <v/>
      </c>
      <c r="J1100" s="19" t="str">
        <f t="shared" si="58"/>
        <v/>
      </c>
      <c r="K1100" s="20"/>
      <c r="L1100" s="21" t="str">
        <f>IF(OR(NOT(AND($B1100&lt;&gt;"",$C1100&lt;&gt;"",$D1100&lt;&gt;"",$E1100&lt;&gt;"")),$A1100="",$K1100&lt;&gt;"Yes"),"",IF($L1100&lt;&gt;"",$L1100,INDEX(SETUP!$I$1:$I$2000,MATCH(TRUE,SETUP!$J$1:$J$2000,0)+COUNTIFS($A$2:$A1100,"&lt;&gt;",$K$2:$K1100,"Yes",$L$2:$L1100,"")-1)))</f>
        <v/>
      </c>
      <c r="N1100" s="22"/>
    </row>
    <row r="1101" spans="1:14" x14ac:dyDescent="0.3">
      <c r="A1101" s="15" t="str">
        <f>IF(COUNTA($B1101:$E1101,$K1101)=0,"",IF(AND($B1101&lt;&gt;"",$C1101&lt;&gt;"",$D1101&lt;&gt;"",$E1101&lt;&gt;""),"TXS"&amp;TEXT(COUNTIFS($B$2:$B1101,"&lt;&gt;",$C$2:$C1101,"&lt;&gt;",$D$2:$D1101,"&lt;&gt;",$E$2:$E1101,"&lt;&gt;"),"00000"),""))</f>
        <v/>
      </c>
      <c r="B1101" s="16"/>
      <c r="C1101" s="20"/>
      <c r="D1101" s="20"/>
      <c r="E1101" s="23"/>
      <c r="H1101" s="19" t="str">
        <f t="shared" si="57"/>
        <v/>
      </c>
      <c r="I1101" s="19" t="str">
        <f t="shared" si="56"/>
        <v/>
      </c>
      <c r="J1101" s="19" t="str">
        <f t="shared" si="58"/>
        <v/>
      </c>
      <c r="K1101" s="20"/>
      <c r="L1101" s="21" t="str">
        <f>IF(OR(NOT(AND($B1101&lt;&gt;"",$C1101&lt;&gt;"",$D1101&lt;&gt;"",$E1101&lt;&gt;"")),$A1101="",$K1101&lt;&gt;"Yes"),"",IF($L1101&lt;&gt;"",$L1101,INDEX(SETUP!$I$1:$I$2000,MATCH(TRUE,SETUP!$J$1:$J$2000,0)+COUNTIFS($A$2:$A1101,"&lt;&gt;",$K$2:$K1101,"Yes",$L$2:$L1101,"")-1)))</f>
        <v/>
      </c>
      <c r="N1101" s="22"/>
    </row>
    <row r="1102" spans="1:14" x14ac:dyDescent="0.3">
      <c r="A1102" s="15" t="str">
        <f>IF(COUNTA($B1102:$E1102,$K1102)=0,"",IF(AND($B1102&lt;&gt;"",$C1102&lt;&gt;"",$D1102&lt;&gt;"",$E1102&lt;&gt;""),"TXS"&amp;TEXT(COUNTIFS($B$2:$B1102,"&lt;&gt;",$C$2:$C1102,"&lt;&gt;",$D$2:$D1102,"&lt;&gt;",$E$2:$E1102,"&lt;&gt;"),"00000"),""))</f>
        <v/>
      </c>
      <c r="B1102" s="16"/>
      <c r="C1102" s="20"/>
      <c r="D1102" s="20"/>
      <c r="E1102" s="23"/>
      <c r="H1102" s="19" t="str">
        <f t="shared" si="57"/>
        <v/>
      </c>
      <c r="I1102" s="19" t="str">
        <f t="shared" si="56"/>
        <v/>
      </c>
      <c r="J1102" s="19" t="str">
        <f t="shared" si="58"/>
        <v/>
      </c>
      <c r="K1102" s="20"/>
      <c r="L1102" s="21" t="str">
        <f>IF(OR(NOT(AND($B1102&lt;&gt;"",$C1102&lt;&gt;"",$D1102&lt;&gt;"",$E1102&lt;&gt;"")),$A1102="",$K1102&lt;&gt;"Yes"),"",IF($L1102&lt;&gt;"",$L1102,INDEX(SETUP!$I$1:$I$2000,MATCH(TRUE,SETUP!$J$1:$J$2000,0)+COUNTIFS($A$2:$A1102,"&lt;&gt;",$K$2:$K1102,"Yes",$L$2:$L1102,"")-1)))</f>
        <v/>
      </c>
      <c r="N1102" s="22"/>
    </row>
    <row r="1103" spans="1:14" x14ac:dyDescent="0.3">
      <c r="A1103" s="15" t="str">
        <f>IF(COUNTA($B1103:$E1103,$K1103)=0,"",IF(AND($B1103&lt;&gt;"",$C1103&lt;&gt;"",$D1103&lt;&gt;"",$E1103&lt;&gt;""),"TXS"&amp;TEXT(COUNTIFS($B$2:$B1103,"&lt;&gt;",$C$2:$C1103,"&lt;&gt;",$D$2:$D1103,"&lt;&gt;",$E$2:$E1103,"&lt;&gt;"),"00000"),""))</f>
        <v/>
      </c>
      <c r="B1103" s="16"/>
      <c r="C1103" s="20"/>
      <c r="D1103" s="20"/>
      <c r="E1103" s="23"/>
      <c r="H1103" s="19" t="str">
        <f t="shared" si="57"/>
        <v/>
      </c>
      <c r="I1103" s="19" t="str">
        <f t="shared" si="56"/>
        <v/>
      </c>
      <c r="J1103" s="19" t="str">
        <f t="shared" si="58"/>
        <v/>
      </c>
      <c r="K1103" s="20"/>
      <c r="L1103" s="21" t="str">
        <f>IF(OR(NOT(AND($B1103&lt;&gt;"",$C1103&lt;&gt;"",$D1103&lt;&gt;"",$E1103&lt;&gt;"")),$A1103="",$K1103&lt;&gt;"Yes"),"",IF($L1103&lt;&gt;"",$L1103,INDEX(SETUP!$I$1:$I$2000,MATCH(TRUE,SETUP!$J$1:$J$2000,0)+COUNTIFS($A$2:$A1103,"&lt;&gt;",$K$2:$K1103,"Yes",$L$2:$L1103,"")-1)))</f>
        <v/>
      </c>
      <c r="N1103" s="22"/>
    </row>
    <row r="1104" spans="1:14" x14ac:dyDescent="0.3">
      <c r="A1104" s="15" t="str">
        <f>IF(COUNTA($B1104:$E1104,$K1104)=0,"",IF(AND($B1104&lt;&gt;"",$C1104&lt;&gt;"",$D1104&lt;&gt;"",$E1104&lt;&gt;""),"TXS"&amp;TEXT(COUNTIFS($B$2:$B1104,"&lt;&gt;",$C$2:$C1104,"&lt;&gt;",$D$2:$D1104,"&lt;&gt;",$E$2:$E1104,"&lt;&gt;"),"00000"),""))</f>
        <v/>
      </c>
      <c r="B1104" s="16"/>
      <c r="C1104" s="20"/>
      <c r="D1104" s="20"/>
      <c r="E1104" s="23"/>
      <c r="H1104" s="19" t="str">
        <f t="shared" si="57"/>
        <v/>
      </c>
      <c r="I1104" s="19" t="str">
        <f t="shared" si="56"/>
        <v/>
      </c>
      <c r="J1104" s="19" t="str">
        <f t="shared" si="58"/>
        <v/>
      </c>
      <c r="K1104" s="20"/>
      <c r="L1104" s="21" t="str">
        <f>IF(OR(NOT(AND($B1104&lt;&gt;"",$C1104&lt;&gt;"",$D1104&lt;&gt;"",$E1104&lt;&gt;"")),$A1104="",$K1104&lt;&gt;"Yes"),"",IF($L1104&lt;&gt;"",$L1104,INDEX(SETUP!$I$1:$I$2000,MATCH(TRUE,SETUP!$J$1:$J$2000,0)+COUNTIFS($A$2:$A1104,"&lt;&gt;",$K$2:$K1104,"Yes",$L$2:$L1104,"")-1)))</f>
        <v/>
      </c>
      <c r="N1104" s="22"/>
    </row>
    <row r="1105" spans="1:14" x14ac:dyDescent="0.3">
      <c r="A1105" s="15" t="str">
        <f>IF(COUNTA($B1105:$E1105,$K1105)=0,"",IF(AND($B1105&lt;&gt;"",$C1105&lt;&gt;"",$D1105&lt;&gt;"",$E1105&lt;&gt;""),"TXS"&amp;TEXT(COUNTIFS($B$2:$B1105,"&lt;&gt;",$C$2:$C1105,"&lt;&gt;",$D$2:$D1105,"&lt;&gt;",$E$2:$E1105,"&lt;&gt;"),"00000"),""))</f>
        <v/>
      </c>
      <c r="B1105" s="16"/>
      <c r="C1105" s="20"/>
      <c r="D1105" s="20"/>
      <c r="E1105" s="23"/>
      <c r="H1105" s="19" t="str">
        <f t="shared" si="57"/>
        <v/>
      </c>
      <c r="I1105" s="19" t="str">
        <f t="shared" si="56"/>
        <v/>
      </c>
      <c r="J1105" s="19" t="str">
        <f t="shared" si="58"/>
        <v/>
      </c>
      <c r="K1105" s="20"/>
      <c r="L1105" s="21" t="str">
        <f>IF(OR(NOT(AND($B1105&lt;&gt;"",$C1105&lt;&gt;"",$D1105&lt;&gt;"",$E1105&lt;&gt;"")),$A1105="",$K1105&lt;&gt;"Yes"),"",IF($L1105&lt;&gt;"",$L1105,INDEX(SETUP!$I$1:$I$2000,MATCH(TRUE,SETUP!$J$1:$J$2000,0)+COUNTIFS($A$2:$A1105,"&lt;&gt;",$K$2:$K1105,"Yes",$L$2:$L1105,"")-1)))</f>
        <v/>
      </c>
      <c r="N1105" s="22"/>
    </row>
    <row r="1106" spans="1:14" x14ac:dyDescent="0.3">
      <c r="A1106" s="15" t="str">
        <f>IF(COUNTA($B1106:$E1106,$K1106)=0,"",IF(AND($B1106&lt;&gt;"",$C1106&lt;&gt;"",$D1106&lt;&gt;"",$E1106&lt;&gt;""),"TXS"&amp;TEXT(COUNTIFS($B$2:$B1106,"&lt;&gt;",$C$2:$C1106,"&lt;&gt;",$D$2:$D1106,"&lt;&gt;",$E$2:$E1106,"&lt;&gt;"),"00000"),""))</f>
        <v/>
      </c>
      <c r="B1106" s="16"/>
      <c r="C1106" s="20"/>
      <c r="D1106" s="20"/>
      <c r="E1106" s="23"/>
      <c r="H1106" s="19" t="str">
        <f t="shared" si="57"/>
        <v/>
      </c>
      <c r="I1106" s="19" t="str">
        <f t="shared" si="56"/>
        <v/>
      </c>
      <c r="J1106" s="19" t="str">
        <f t="shared" si="58"/>
        <v/>
      </c>
      <c r="K1106" s="20"/>
      <c r="L1106" s="21" t="str">
        <f>IF(OR(NOT(AND($B1106&lt;&gt;"",$C1106&lt;&gt;"",$D1106&lt;&gt;"",$E1106&lt;&gt;"")),$A1106="",$K1106&lt;&gt;"Yes"),"",IF($L1106&lt;&gt;"",$L1106,INDEX(SETUP!$I$1:$I$2000,MATCH(TRUE,SETUP!$J$1:$J$2000,0)+COUNTIFS($A$2:$A1106,"&lt;&gt;",$K$2:$K1106,"Yes",$L$2:$L1106,"")-1)))</f>
        <v/>
      </c>
      <c r="N1106" s="22"/>
    </row>
    <row r="1107" spans="1:14" x14ac:dyDescent="0.3">
      <c r="A1107" s="15" t="str">
        <f>IF(COUNTA($B1107:$E1107,$K1107)=0,"",IF(AND($B1107&lt;&gt;"",$C1107&lt;&gt;"",$D1107&lt;&gt;"",$E1107&lt;&gt;""),"TXS"&amp;TEXT(COUNTIFS($B$2:$B1107,"&lt;&gt;",$C$2:$C1107,"&lt;&gt;",$D$2:$D1107,"&lt;&gt;",$E$2:$E1107,"&lt;&gt;"),"00000"),""))</f>
        <v/>
      </c>
      <c r="B1107" s="16"/>
      <c r="C1107" s="20"/>
      <c r="D1107" s="20"/>
      <c r="E1107" s="23"/>
      <c r="H1107" s="19" t="str">
        <f t="shared" si="57"/>
        <v/>
      </c>
      <c r="I1107" s="19" t="str">
        <f t="shared" si="56"/>
        <v/>
      </c>
      <c r="J1107" s="19" t="str">
        <f t="shared" si="58"/>
        <v/>
      </c>
      <c r="K1107" s="20"/>
      <c r="L1107" s="21" t="str">
        <f>IF(OR(NOT(AND($B1107&lt;&gt;"",$C1107&lt;&gt;"",$D1107&lt;&gt;"",$E1107&lt;&gt;"")),$A1107="",$K1107&lt;&gt;"Yes"),"",IF($L1107&lt;&gt;"",$L1107,INDEX(SETUP!$I$1:$I$2000,MATCH(TRUE,SETUP!$J$1:$J$2000,0)+COUNTIFS($A$2:$A1107,"&lt;&gt;",$K$2:$K1107,"Yes",$L$2:$L1107,"")-1)))</f>
        <v/>
      </c>
      <c r="N1107" s="22"/>
    </row>
    <row r="1108" spans="1:14" x14ac:dyDescent="0.3">
      <c r="A1108" s="15" t="str">
        <f>IF(COUNTA($B1108:$E1108,$K1108)=0,"",IF(AND($B1108&lt;&gt;"",$C1108&lt;&gt;"",$D1108&lt;&gt;"",$E1108&lt;&gt;""),"TXS"&amp;TEXT(COUNTIFS($B$2:$B1108,"&lt;&gt;",$C$2:$C1108,"&lt;&gt;",$D$2:$D1108,"&lt;&gt;",$E$2:$E1108,"&lt;&gt;"),"00000"),""))</f>
        <v/>
      </c>
      <c r="B1108" s="16"/>
      <c r="C1108" s="20"/>
      <c r="D1108" s="20"/>
      <c r="E1108" s="23"/>
      <c r="H1108" s="19" t="str">
        <f t="shared" si="57"/>
        <v/>
      </c>
      <c r="I1108" s="19" t="str">
        <f t="shared" si="56"/>
        <v/>
      </c>
      <c r="J1108" s="19" t="str">
        <f t="shared" si="58"/>
        <v/>
      </c>
      <c r="K1108" s="20"/>
      <c r="L1108" s="21" t="str">
        <f>IF(OR(NOT(AND($B1108&lt;&gt;"",$C1108&lt;&gt;"",$D1108&lt;&gt;"",$E1108&lt;&gt;"")),$A1108="",$K1108&lt;&gt;"Yes"),"",IF($L1108&lt;&gt;"",$L1108,INDEX(SETUP!$I$1:$I$2000,MATCH(TRUE,SETUP!$J$1:$J$2000,0)+COUNTIFS($A$2:$A1108,"&lt;&gt;",$K$2:$K1108,"Yes",$L$2:$L1108,"")-1)))</f>
        <v/>
      </c>
      <c r="N1108" s="22"/>
    </row>
    <row r="1109" spans="1:14" x14ac:dyDescent="0.3">
      <c r="A1109" s="15" t="str">
        <f>IF(COUNTA($B1109:$E1109,$K1109)=0,"",IF(AND($B1109&lt;&gt;"",$C1109&lt;&gt;"",$D1109&lt;&gt;"",$E1109&lt;&gt;""),"TXS"&amp;TEXT(COUNTIFS($B$2:$B1109,"&lt;&gt;",$C$2:$C1109,"&lt;&gt;",$D$2:$D1109,"&lt;&gt;",$E$2:$E1109,"&lt;&gt;"),"00000"),""))</f>
        <v/>
      </c>
      <c r="B1109" s="16"/>
      <c r="C1109" s="20"/>
      <c r="D1109" s="20"/>
      <c r="E1109" s="23"/>
      <c r="H1109" s="19" t="str">
        <f t="shared" si="57"/>
        <v/>
      </c>
      <c r="I1109" s="19" t="str">
        <f t="shared" si="56"/>
        <v/>
      </c>
      <c r="J1109" s="19" t="str">
        <f t="shared" si="58"/>
        <v/>
      </c>
      <c r="K1109" s="20"/>
      <c r="L1109" s="21" t="str">
        <f>IF(OR(NOT(AND($B1109&lt;&gt;"",$C1109&lt;&gt;"",$D1109&lt;&gt;"",$E1109&lt;&gt;"")),$A1109="",$K1109&lt;&gt;"Yes"),"",IF($L1109&lt;&gt;"",$L1109,INDEX(SETUP!$I$1:$I$2000,MATCH(TRUE,SETUP!$J$1:$J$2000,0)+COUNTIFS($A$2:$A1109,"&lt;&gt;",$K$2:$K1109,"Yes",$L$2:$L1109,"")-1)))</f>
        <v/>
      </c>
      <c r="N1109" s="22"/>
    </row>
    <row r="1110" spans="1:14" x14ac:dyDescent="0.3">
      <c r="A1110" s="15" t="str">
        <f>IF(COUNTA($B1110:$E1110,$K1110)=0,"",IF(AND($B1110&lt;&gt;"",$C1110&lt;&gt;"",$D1110&lt;&gt;"",$E1110&lt;&gt;""),"TXS"&amp;TEXT(COUNTIFS($B$2:$B1110,"&lt;&gt;",$C$2:$C1110,"&lt;&gt;",$D$2:$D1110,"&lt;&gt;",$E$2:$E1110,"&lt;&gt;"),"00000"),""))</f>
        <v/>
      </c>
      <c r="B1110" s="16"/>
      <c r="C1110" s="20"/>
      <c r="D1110" s="20"/>
      <c r="E1110" s="23"/>
      <c r="H1110" s="19" t="str">
        <f t="shared" si="57"/>
        <v/>
      </c>
      <c r="I1110" s="19" t="str">
        <f t="shared" si="56"/>
        <v/>
      </c>
      <c r="J1110" s="19" t="str">
        <f t="shared" si="58"/>
        <v/>
      </c>
      <c r="K1110" s="20"/>
      <c r="L1110" s="21" t="str">
        <f>IF(OR(NOT(AND($B1110&lt;&gt;"",$C1110&lt;&gt;"",$D1110&lt;&gt;"",$E1110&lt;&gt;"")),$A1110="",$K1110&lt;&gt;"Yes"),"",IF($L1110&lt;&gt;"",$L1110,INDEX(SETUP!$I$1:$I$2000,MATCH(TRUE,SETUP!$J$1:$J$2000,0)+COUNTIFS($A$2:$A1110,"&lt;&gt;",$K$2:$K1110,"Yes",$L$2:$L1110,"")-1)))</f>
        <v/>
      </c>
      <c r="N1110" s="22"/>
    </row>
    <row r="1111" spans="1:14" x14ac:dyDescent="0.3">
      <c r="A1111" s="15" t="str">
        <f>IF(COUNTA($B1111:$E1111,$K1111)=0,"",IF(AND($B1111&lt;&gt;"",$C1111&lt;&gt;"",$D1111&lt;&gt;"",$E1111&lt;&gt;""),"TXS"&amp;TEXT(COUNTIFS($B$2:$B1111,"&lt;&gt;",$C$2:$C1111,"&lt;&gt;",$D$2:$D1111,"&lt;&gt;",$E$2:$E1111,"&lt;&gt;"),"00000"),""))</f>
        <v/>
      </c>
      <c r="B1111" s="16"/>
      <c r="C1111" s="20"/>
      <c r="D1111" s="20"/>
      <c r="E1111" s="23"/>
      <c r="H1111" s="19" t="str">
        <f t="shared" si="57"/>
        <v/>
      </c>
      <c r="I1111" s="19" t="str">
        <f t="shared" si="56"/>
        <v/>
      </c>
      <c r="J1111" s="19" t="str">
        <f t="shared" si="58"/>
        <v/>
      </c>
      <c r="K1111" s="20"/>
      <c r="L1111" s="21" t="str">
        <f>IF(OR(NOT(AND($B1111&lt;&gt;"",$C1111&lt;&gt;"",$D1111&lt;&gt;"",$E1111&lt;&gt;"")),$A1111="",$K1111&lt;&gt;"Yes"),"",IF($L1111&lt;&gt;"",$L1111,INDEX(SETUP!$I$1:$I$2000,MATCH(TRUE,SETUP!$J$1:$J$2000,0)+COUNTIFS($A$2:$A1111,"&lt;&gt;",$K$2:$K1111,"Yes",$L$2:$L1111,"")-1)))</f>
        <v/>
      </c>
      <c r="N1111" s="22"/>
    </row>
    <row r="1112" spans="1:14" x14ac:dyDescent="0.3">
      <c r="A1112" s="15" t="str">
        <f>IF(COUNTA($B1112:$E1112,$K1112)=0,"",IF(AND($B1112&lt;&gt;"",$C1112&lt;&gt;"",$D1112&lt;&gt;"",$E1112&lt;&gt;""),"TXS"&amp;TEXT(COUNTIFS($B$2:$B1112,"&lt;&gt;",$C$2:$C1112,"&lt;&gt;",$D$2:$D1112,"&lt;&gt;",$E$2:$E1112,"&lt;&gt;"),"00000"),""))</f>
        <v/>
      </c>
      <c r="B1112" s="16"/>
      <c r="C1112" s="20"/>
      <c r="D1112" s="20"/>
      <c r="E1112" s="23"/>
      <c r="H1112" s="19" t="str">
        <f t="shared" si="57"/>
        <v/>
      </c>
      <c r="I1112" s="19" t="str">
        <f t="shared" si="56"/>
        <v/>
      </c>
      <c r="J1112" s="19" t="str">
        <f t="shared" si="58"/>
        <v/>
      </c>
      <c r="K1112" s="20"/>
      <c r="L1112" s="21" t="str">
        <f>IF(OR(NOT(AND($B1112&lt;&gt;"",$C1112&lt;&gt;"",$D1112&lt;&gt;"",$E1112&lt;&gt;"")),$A1112="",$K1112&lt;&gt;"Yes"),"",IF($L1112&lt;&gt;"",$L1112,INDEX(SETUP!$I$1:$I$2000,MATCH(TRUE,SETUP!$J$1:$J$2000,0)+COUNTIFS($A$2:$A1112,"&lt;&gt;",$K$2:$K1112,"Yes",$L$2:$L1112,"")-1)))</f>
        <v/>
      </c>
      <c r="N1112" s="22"/>
    </row>
    <row r="1113" spans="1:14" x14ac:dyDescent="0.3">
      <c r="A1113" s="15" t="str">
        <f>IF(COUNTA($B1113:$E1113,$K1113)=0,"",IF(AND($B1113&lt;&gt;"",$C1113&lt;&gt;"",$D1113&lt;&gt;"",$E1113&lt;&gt;""),"TXS"&amp;TEXT(COUNTIFS($B$2:$B1113,"&lt;&gt;",$C$2:$C1113,"&lt;&gt;",$D$2:$D1113,"&lt;&gt;",$E$2:$E1113,"&lt;&gt;"),"00000"),""))</f>
        <v/>
      </c>
      <c r="B1113" s="16"/>
      <c r="C1113" s="20"/>
      <c r="D1113" s="20"/>
      <c r="E1113" s="23"/>
      <c r="H1113" s="19" t="str">
        <f t="shared" si="57"/>
        <v/>
      </c>
      <c r="I1113" s="19" t="str">
        <f t="shared" si="56"/>
        <v/>
      </c>
      <c r="J1113" s="19" t="str">
        <f t="shared" si="58"/>
        <v/>
      </c>
      <c r="K1113" s="20"/>
      <c r="L1113" s="21" t="str">
        <f>IF(OR(NOT(AND($B1113&lt;&gt;"",$C1113&lt;&gt;"",$D1113&lt;&gt;"",$E1113&lt;&gt;"")),$A1113="",$K1113&lt;&gt;"Yes"),"",IF($L1113&lt;&gt;"",$L1113,INDEX(SETUP!$I$1:$I$2000,MATCH(TRUE,SETUP!$J$1:$J$2000,0)+COUNTIFS($A$2:$A1113,"&lt;&gt;",$K$2:$K1113,"Yes",$L$2:$L1113,"")-1)))</f>
        <v/>
      </c>
      <c r="N1113" s="22"/>
    </row>
    <row r="1114" spans="1:14" x14ac:dyDescent="0.3">
      <c r="A1114" s="15" t="str">
        <f>IF(COUNTA($B1114:$E1114,$K1114)=0,"",IF(AND($B1114&lt;&gt;"",$C1114&lt;&gt;"",$D1114&lt;&gt;"",$E1114&lt;&gt;""),"TXS"&amp;TEXT(COUNTIFS($B$2:$B1114,"&lt;&gt;",$C$2:$C1114,"&lt;&gt;",$D$2:$D1114,"&lt;&gt;",$E$2:$E1114,"&lt;&gt;"),"00000"),""))</f>
        <v/>
      </c>
      <c r="B1114" s="16"/>
      <c r="C1114" s="20"/>
      <c r="D1114" s="20"/>
      <c r="E1114" s="23"/>
      <c r="H1114" s="19" t="str">
        <f t="shared" si="57"/>
        <v/>
      </c>
      <c r="I1114" s="19" t="str">
        <f t="shared" si="56"/>
        <v/>
      </c>
      <c r="J1114" s="19" t="str">
        <f t="shared" si="58"/>
        <v/>
      </c>
      <c r="K1114" s="20"/>
      <c r="L1114" s="21" t="str">
        <f>IF(OR(NOT(AND($B1114&lt;&gt;"",$C1114&lt;&gt;"",$D1114&lt;&gt;"",$E1114&lt;&gt;"")),$A1114="",$K1114&lt;&gt;"Yes"),"",IF($L1114&lt;&gt;"",$L1114,INDEX(SETUP!$I$1:$I$2000,MATCH(TRUE,SETUP!$J$1:$J$2000,0)+COUNTIFS($A$2:$A1114,"&lt;&gt;",$K$2:$K1114,"Yes",$L$2:$L1114,"")-1)))</f>
        <v/>
      </c>
      <c r="N1114" s="22"/>
    </row>
    <row r="1115" spans="1:14" x14ac:dyDescent="0.3">
      <c r="A1115" s="15" t="str">
        <f>IF(COUNTA($B1115:$E1115,$K1115)=0,"",IF(AND($B1115&lt;&gt;"",$C1115&lt;&gt;"",$D1115&lt;&gt;"",$E1115&lt;&gt;""),"TXS"&amp;TEXT(COUNTIFS($B$2:$B1115,"&lt;&gt;",$C$2:$C1115,"&lt;&gt;",$D$2:$D1115,"&lt;&gt;",$E$2:$E1115,"&lt;&gt;"),"00000"),""))</f>
        <v/>
      </c>
      <c r="B1115" s="16"/>
      <c r="C1115" s="20"/>
      <c r="D1115" s="20"/>
      <c r="E1115" s="23"/>
      <c r="H1115" s="19" t="str">
        <f t="shared" si="57"/>
        <v/>
      </c>
      <c r="I1115" s="19" t="str">
        <f t="shared" si="56"/>
        <v/>
      </c>
      <c r="J1115" s="19" t="str">
        <f t="shared" si="58"/>
        <v/>
      </c>
      <c r="K1115" s="20"/>
      <c r="L1115" s="21" t="str">
        <f>IF(OR(NOT(AND($B1115&lt;&gt;"",$C1115&lt;&gt;"",$D1115&lt;&gt;"",$E1115&lt;&gt;"")),$A1115="",$K1115&lt;&gt;"Yes"),"",IF($L1115&lt;&gt;"",$L1115,INDEX(SETUP!$I$1:$I$2000,MATCH(TRUE,SETUP!$J$1:$J$2000,0)+COUNTIFS($A$2:$A1115,"&lt;&gt;",$K$2:$K1115,"Yes",$L$2:$L1115,"")-1)))</f>
        <v/>
      </c>
      <c r="N1115" s="22"/>
    </row>
    <row r="1116" spans="1:14" x14ac:dyDescent="0.3">
      <c r="A1116" s="15" t="str">
        <f>IF(COUNTA($B1116:$E1116,$K1116)=0,"",IF(AND($B1116&lt;&gt;"",$C1116&lt;&gt;"",$D1116&lt;&gt;"",$E1116&lt;&gt;""),"TXS"&amp;TEXT(COUNTIFS($B$2:$B1116,"&lt;&gt;",$C$2:$C1116,"&lt;&gt;",$D$2:$D1116,"&lt;&gt;",$E$2:$E1116,"&lt;&gt;"),"00000"),""))</f>
        <v/>
      </c>
      <c r="B1116" s="16"/>
      <c r="C1116" s="20"/>
      <c r="D1116" s="20"/>
      <c r="E1116" s="23"/>
      <c r="H1116" s="19" t="str">
        <f t="shared" si="57"/>
        <v/>
      </c>
      <c r="I1116" s="19" t="str">
        <f t="shared" si="56"/>
        <v/>
      </c>
      <c r="J1116" s="19" t="str">
        <f t="shared" si="58"/>
        <v/>
      </c>
      <c r="K1116" s="20"/>
      <c r="L1116" s="21" t="str">
        <f>IF(OR(NOT(AND($B1116&lt;&gt;"",$C1116&lt;&gt;"",$D1116&lt;&gt;"",$E1116&lt;&gt;"")),$A1116="",$K1116&lt;&gt;"Yes"),"",IF($L1116&lt;&gt;"",$L1116,INDEX(SETUP!$I$1:$I$2000,MATCH(TRUE,SETUP!$J$1:$J$2000,0)+COUNTIFS($A$2:$A1116,"&lt;&gt;",$K$2:$K1116,"Yes",$L$2:$L1116,"")-1)))</f>
        <v/>
      </c>
      <c r="N1116" s="22"/>
    </row>
    <row r="1117" spans="1:14" x14ac:dyDescent="0.3">
      <c r="A1117" s="15" t="str">
        <f>IF(COUNTA($B1117:$E1117,$K1117)=0,"",IF(AND($B1117&lt;&gt;"",$C1117&lt;&gt;"",$D1117&lt;&gt;"",$E1117&lt;&gt;""),"TXS"&amp;TEXT(COUNTIFS($B$2:$B1117,"&lt;&gt;",$C$2:$C1117,"&lt;&gt;",$D$2:$D1117,"&lt;&gt;",$E$2:$E1117,"&lt;&gt;"),"00000"),""))</f>
        <v/>
      </c>
      <c r="B1117" s="16"/>
      <c r="C1117" s="20"/>
      <c r="D1117" s="20"/>
      <c r="E1117" s="23"/>
      <c r="H1117" s="19" t="str">
        <f t="shared" si="57"/>
        <v/>
      </c>
      <c r="I1117" s="19" t="str">
        <f t="shared" si="56"/>
        <v/>
      </c>
      <c r="J1117" s="19" t="str">
        <f t="shared" si="58"/>
        <v/>
      </c>
      <c r="K1117" s="20"/>
      <c r="L1117" s="21" t="str">
        <f>IF(OR(NOT(AND($B1117&lt;&gt;"",$C1117&lt;&gt;"",$D1117&lt;&gt;"",$E1117&lt;&gt;"")),$A1117="",$K1117&lt;&gt;"Yes"),"",IF($L1117&lt;&gt;"",$L1117,INDEX(SETUP!$I$1:$I$2000,MATCH(TRUE,SETUP!$J$1:$J$2000,0)+COUNTIFS($A$2:$A1117,"&lt;&gt;",$K$2:$K1117,"Yes",$L$2:$L1117,"")-1)))</f>
        <v/>
      </c>
      <c r="N1117" s="22"/>
    </row>
    <row r="1118" spans="1:14" x14ac:dyDescent="0.3">
      <c r="A1118" s="15" t="str">
        <f>IF(COUNTA($B1118:$E1118,$K1118)=0,"",IF(AND($B1118&lt;&gt;"",$C1118&lt;&gt;"",$D1118&lt;&gt;"",$E1118&lt;&gt;""),"TXS"&amp;TEXT(COUNTIFS($B$2:$B1118,"&lt;&gt;",$C$2:$C1118,"&lt;&gt;",$D$2:$D1118,"&lt;&gt;",$E$2:$E1118,"&lt;&gt;"),"00000"),""))</f>
        <v/>
      </c>
      <c r="B1118" s="16"/>
      <c r="C1118" s="20"/>
      <c r="D1118" s="20"/>
      <c r="E1118" s="23"/>
      <c r="H1118" s="19" t="str">
        <f t="shared" si="57"/>
        <v/>
      </c>
      <c r="I1118" s="19" t="str">
        <f t="shared" si="56"/>
        <v/>
      </c>
      <c r="J1118" s="19" t="str">
        <f t="shared" si="58"/>
        <v/>
      </c>
      <c r="K1118" s="20"/>
      <c r="L1118" s="21" t="str">
        <f>IF(OR(NOT(AND($B1118&lt;&gt;"",$C1118&lt;&gt;"",$D1118&lt;&gt;"",$E1118&lt;&gt;"")),$A1118="",$K1118&lt;&gt;"Yes"),"",IF($L1118&lt;&gt;"",$L1118,INDEX(SETUP!$I$1:$I$2000,MATCH(TRUE,SETUP!$J$1:$J$2000,0)+COUNTIFS($A$2:$A1118,"&lt;&gt;",$K$2:$K1118,"Yes",$L$2:$L1118,"")-1)))</f>
        <v/>
      </c>
      <c r="N1118" s="22"/>
    </row>
    <row r="1119" spans="1:14" x14ac:dyDescent="0.3">
      <c r="A1119" s="15" t="str">
        <f>IF(COUNTA($B1119:$E1119,$K1119)=0,"",IF(AND($B1119&lt;&gt;"",$C1119&lt;&gt;"",$D1119&lt;&gt;"",$E1119&lt;&gt;""),"TXS"&amp;TEXT(COUNTIFS($B$2:$B1119,"&lt;&gt;",$C$2:$C1119,"&lt;&gt;",$D$2:$D1119,"&lt;&gt;",$E$2:$E1119,"&lt;&gt;"),"00000"),""))</f>
        <v/>
      </c>
      <c r="B1119" s="16"/>
      <c r="C1119" s="20"/>
      <c r="D1119" s="20"/>
      <c r="E1119" s="23"/>
      <c r="H1119" s="19" t="str">
        <f t="shared" si="57"/>
        <v/>
      </c>
      <c r="I1119" s="19" t="str">
        <f t="shared" si="56"/>
        <v/>
      </c>
      <c r="J1119" s="19" t="str">
        <f t="shared" si="58"/>
        <v/>
      </c>
      <c r="K1119" s="20"/>
      <c r="L1119" s="21" t="str">
        <f>IF(OR(NOT(AND($B1119&lt;&gt;"",$C1119&lt;&gt;"",$D1119&lt;&gt;"",$E1119&lt;&gt;"")),$A1119="",$K1119&lt;&gt;"Yes"),"",IF($L1119&lt;&gt;"",$L1119,INDEX(SETUP!$I$1:$I$2000,MATCH(TRUE,SETUP!$J$1:$J$2000,0)+COUNTIFS($A$2:$A1119,"&lt;&gt;",$K$2:$K1119,"Yes",$L$2:$L1119,"")-1)))</f>
        <v/>
      </c>
      <c r="N1119" s="22"/>
    </row>
    <row r="1120" spans="1:14" x14ac:dyDescent="0.3">
      <c r="A1120" s="15" t="str">
        <f>IF(COUNTA($B1120:$E1120,$K1120)=0,"",IF(AND($B1120&lt;&gt;"",$C1120&lt;&gt;"",$D1120&lt;&gt;"",$E1120&lt;&gt;""),"TXS"&amp;TEXT(COUNTIFS($B$2:$B1120,"&lt;&gt;",$C$2:$C1120,"&lt;&gt;",$D$2:$D1120,"&lt;&gt;",$E$2:$E1120,"&lt;&gt;"),"00000"),""))</f>
        <v/>
      </c>
      <c r="B1120" s="16"/>
      <c r="C1120" s="20"/>
      <c r="D1120" s="20"/>
      <c r="E1120" s="23"/>
      <c r="H1120" s="19" t="str">
        <f t="shared" si="57"/>
        <v/>
      </c>
      <c r="I1120" s="19" t="str">
        <f t="shared" si="56"/>
        <v/>
      </c>
      <c r="J1120" s="19" t="str">
        <f t="shared" si="58"/>
        <v/>
      </c>
      <c r="K1120" s="20"/>
      <c r="L1120" s="21" t="str">
        <f>IF(OR(NOT(AND($B1120&lt;&gt;"",$C1120&lt;&gt;"",$D1120&lt;&gt;"",$E1120&lt;&gt;"")),$A1120="",$K1120&lt;&gt;"Yes"),"",IF($L1120&lt;&gt;"",$L1120,INDEX(SETUP!$I$1:$I$2000,MATCH(TRUE,SETUP!$J$1:$J$2000,0)+COUNTIFS($A$2:$A1120,"&lt;&gt;",$K$2:$K1120,"Yes",$L$2:$L1120,"")-1)))</f>
        <v/>
      </c>
      <c r="N1120" s="22"/>
    </row>
    <row r="1121" spans="1:14" x14ac:dyDescent="0.3">
      <c r="A1121" s="15" t="str">
        <f>IF(COUNTA($B1121:$E1121,$K1121)=0,"",IF(AND($B1121&lt;&gt;"",$C1121&lt;&gt;"",$D1121&lt;&gt;"",$E1121&lt;&gt;""),"TXS"&amp;TEXT(COUNTIFS($B$2:$B1121,"&lt;&gt;",$C$2:$C1121,"&lt;&gt;",$D$2:$D1121,"&lt;&gt;",$E$2:$E1121,"&lt;&gt;"),"00000"),""))</f>
        <v/>
      </c>
      <c r="B1121" s="16"/>
      <c r="C1121" s="20"/>
      <c r="D1121" s="20"/>
      <c r="E1121" s="23"/>
      <c r="H1121" s="19" t="str">
        <f t="shared" si="57"/>
        <v/>
      </c>
      <c r="I1121" s="19" t="str">
        <f t="shared" si="56"/>
        <v/>
      </c>
      <c r="J1121" s="19" t="str">
        <f t="shared" si="58"/>
        <v/>
      </c>
      <c r="K1121" s="20"/>
      <c r="L1121" s="21" t="str">
        <f>IF(OR(NOT(AND($B1121&lt;&gt;"",$C1121&lt;&gt;"",$D1121&lt;&gt;"",$E1121&lt;&gt;"")),$A1121="",$K1121&lt;&gt;"Yes"),"",IF($L1121&lt;&gt;"",$L1121,INDEX(SETUP!$I$1:$I$2000,MATCH(TRUE,SETUP!$J$1:$J$2000,0)+COUNTIFS($A$2:$A1121,"&lt;&gt;",$K$2:$K1121,"Yes",$L$2:$L1121,"")-1)))</f>
        <v/>
      </c>
      <c r="N1121" s="22"/>
    </row>
    <row r="1122" spans="1:14" x14ac:dyDescent="0.3">
      <c r="A1122" s="15" t="str">
        <f>IF(COUNTA($B1122:$E1122,$K1122)=0,"",IF(AND($B1122&lt;&gt;"",$C1122&lt;&gt;"",$D1122&lt;&gt;"",$E1122&lt;&gt;""),"TXS"&amp;TEXT(COUNTIFS($B$2:$B1122,"&lt;&gt;",$C$2:$C1122,"&lt;&gt;",$D$2:$D1122,"&lt;&gt;",$E$2:$E1122,"&lt;&gt;"),"00000"),""))</f>
        <v/>
      </c>
      <c r="B1122" s="16"/>
      <c r="C1122" s="20"/>
      <c r="D1122" s="20"/>
      <c r="E1122" s="23"/>
      <c r="H1122" s="19" t="str">
        <f t="shared" si="57"/>
        <v/>
      </c>
      <c r="I1122" s="19" t="str">
        <f t="shared" si="56"/>
        <v/>
      </c>
      <c r="J1122" s="19" t="str">
        <f t="shared" si="58"/>
        <v/>
      </c>
      <c r="K1122" s="20"/>
      <c r="L1122" s="21" t="str">
        <f>IF(OR(NOT(AND($B1122&lt;&gt;"",$C1122&lt;&gt;"",$D1122&lt;&gt;"",$E1122&lt;&gt;"")),$A1122="",$K1122&lt;&gt;"Yes"),"",IF($L1122&lt;&gt;"",$L1122,INDEX(SETUP!$I$1:$I$2000,MATCH(TRUE,SETUP!$J$1:$J$2000,0)+COUNTIFS($A$2:$A1122,"&lt;&gt;",$K$2:$K1122,"Yes",$L$2:$L1122,"")-1)))</f>
        <v/>
      </c>
      <c r="N1122" s="22"/>
    </row>
    <row r="1123" spans="1:14" x14ac:dyDescent="0.3">
      <c r="A1123" s="15" t="str">
        <f>IF(COUNTA($B1123:$E1123,$K1123)=0,"",IF(AND($B1123&lt;&gt;"",$C1123&lt;&gt;"",$D1123&lt;&gt;"",$E1123&lt;&gt;""),"TXS"&amp;TEXT(COUNTIFS($B$2:$B1123,"&lt;&gt;",$C$2:$C1123,"&lt;&gt;",$D$2:$D1123,"&lt;&gt;",$E$2:$E1123,"&lt;&gt;"),"00000"),""))</f>
        <v/>
      </c>
      <c r="B1123" s="16"/>
      <c r="C1123" s="20"/>
      <c r="D1123" s="20"/>
      <c r="E1123" s="23"/>
      <c r="H1123" s="19" t="str">
        <f t="shared" si="57"/>
        <v/>
      </c>
      <c r="I1123" s="19" t="str">
        <f t="shared" si="56"/>
        <v/>
      </c>
      <c r="J1123" s="19" t="str">
        <f t="shared" si="58"/>
        <v/>
      </c>
      <c r="K1123" s="20"/>
      <c r="L1123" s="21" t="str">
        <f>IF(OR(NOT(AND($B1123&lt;&gt;"",$C1123&lt;&gt;"",$D1123&lt;&gt;"",$E1123&lt;&gt;"")),$A1123="",$K1123&lt;&gt;"Yes"),"",IF($L1123&lt;&gt;"",$L1123,INDEX(SETUP!$I$1:$I$2000,MATCH(TRUE,SETUP!$J$1:$J$2000,0)+COUNTIFS($A$2:$A1123,"&lt;&gt;",$K$2:$K1123,"Yes",$L$2:$L1123,"")-1)))</f>
        <v/>
      </c>
      <c r="N1123" s="22"/>
    </row>
    <row r="1124" spans="1:14" x14ac:dyDescent="0.3">
      <c r="A1124" s="15" t="str">
        <f>IF(COUNTA($B1124:$E1124,$K1124)=0,"",IF(AND($B1124&lt;&gt;"",$C1124&lt;&gt;"",$D1124&lt;&gt;"",$E1124&lt;&gt;""),"TXS"&amp;TEXT(COUNTIFS($B$2:$B1124,"&lt;&gt;",$C$2:$C1124,"&lt;&gt;",$D$2:$D1124,"&lt;&gt;",$E$2:$E1124,"&lt;&gt;"),"00000"),""))</f>
        <v/>
      </c>
      <c r="B1124" s="16"/>
      <c r="C1124" s="20"/>
      <c r="D1124" s="20"/>
      <c r="E1124" s="23"/>
      <c r="H1124" s="19" t="str">
        <f t="shared" si="57"/>
        <v/>
      </c>
      <c r="I1124" s="19" t="str">
        <f t="shared" si="56"/>
        <v/>
      </c>
      <c r="J1124" s="19" t="str">
        <f t="shared" si="58"/>
        <v/>
      </c>
      <c r="K1124" s="20"/>
      <c r="L1124" s="21" t="str">
        <f>IF(OR(NOT(AND($B1124&lt;&gt;"",$C1124&lt;&gt;"",$D1124&lt;&gt;"",$E1124&lt;&gt;"")),$A1124="",$K1124&lt;&gt;"Yes"),"",IF($L1124&lt;&gt;"",$L1124,INDEX(SETUP!$I$1:$I$2000,MATCH(TRUE,SETUP!$J$1:$J$2000,0)+COUNTIFS($A$2:$A1124,"&lt;&gt;",$K$2:$K1124,"Yes",$L$2:$L1124,"")-1)))</f>
        <v/>
      </c>
      <c r="N1124" s="22"/>
    </row>
    <row r="1125" spans="1:14" x14ac:dyDescent="0.3">
      <c r="A1125" s="15" t="str">
        <f>IF(COUNTA($B1125:$E1125,$K1125)=0,"",IF(AND($B1125&lt;&gt;"",$C1125&lt;&gt;"",$D1125&lt;&gt;"",$E1125&lt;&gt;""),"TXS"&amp;TEXT(COUNTIFS($B$2:$B1125,"&lt;&gt;",$C$2:$C1125,"&lt;&gt;",$D$2:$D1125,"&lt;&gt;",$E$2:$E1125,"&lt;&gt;"),"00000"),""))</f>
        <v/>
      </c>
      <c r="B1125" s="16"/>
      <c r="C1125" s="20"/>
      <c r="D1125" s="20"/>
      <c r="E1125" s="23"/>
      <c r="H1125" s="19" t="str">
        <f t="shared" si="57"/>
        <v/>
      </c>
      <c r="I1125" s="19" t="str">
        <f t="shared" si="56"/>
        <v/>
      </c>
      <c r="J1125" s="19" t="str">
        <f t="shared" si="58"/>
        <v/>
      </c>
      <c r="K1125" s="20"/>
      <c r="L1125" s="21" t="str">
        <f>IF(OR(NOT(AND($B1125&lt;&gt;"",$C1125&lt;&gt;"",$D1125&lt;&gt;"",$E1125&lt;&gt;"")),$A1125="",$K1125&lt;&gt;"Yes"),"",IF($L1125&lt;&gt;"",$L1125,INDEX(SETUP!$I$1:$I$2000,MATCH(TRUE,SETUP!$J$1:$J$2000,0)+COUNTIFS($A$2:$A1125,"&lt;&gt;",$K$2:$K1125,"Yes",$L$2:$L1125,"")-1)))</f>
        <v/>
      </c>
      <c r="N1125" s="22"/>
    </row>
    <row r="1126" spans="1:14" x14ac:dyDescent="0.3">
      <c r="A1126" s="15" t="str">
        <f>IF(COUNTA($B1126:$E1126,$K1126)=0,"",IF(AND($B1126&lt;&gt;"",$C1126&lt;&gt;"",$D1126&lt;&gt;"",$E1126&lt;&gt;""),"TXS"&amp;TEXT(COUNTIFS($B$2:$B1126,"&lt;&gt;",$C$2:$C1126,"&lt;&gt;",$D$2:$D1126,"&lt;&gt;",$E$2:$E1126,"&lt;&gt;"),"00000"),""))</f>
        <v/>
      </c>
      <c r="B1126" s="16"/>
      <c r="C1126" s="20"/>
      <c r="D1126" s="20"/>
      <c r="E1126" s="23"/>
      <c r="H1126" s="19" t="str">
        <f t="shared" si="57"/>
        <v/>
      </c>
      <c r="I1126" s="19" t="str">
        <f t="shared" si="56"/>
        <v/>
      </c>
      <c r="J1126" s="19" t="str">
        <f t="shared" si="58"/>
        <v/>
      </c>
      <c r="K1126" s="20"/>
      <c r="L1126" s="21" t="str">
        <f>IF(OR(NOT(AND($B1126&lt;&gt;"",$C1126&lt;&gt;"",$D1126&lt;&gt;"",$E1126&lt;&gt;"")),$A1126="",$K1126&lt;&gt;"Yes"),"",IF($L1126&lt;&gt;"",$L1126,INDEX(SETUP!$I$1:$I$2000,MATCH(TRUE,SETUP!$J$1:$J$2000,0)+COUNTIFS($A$2:$A1126,"&lt;&gt;",$K$2:$K1126,"Yes",$L$2:$L1126,"")-1)))</f>
        <v/>
      </c>
      <c r="N1126" s="22"/>
    </row>
    <row r="1127" spans="1:14" x14ac:dyDescent="0.3">
      <c r="A1127" s="15" t="str">
        <f>IF(COUNTA($B1127:$E1127,$K1127)=0,"",IF(AND($B1127&lt;&gt;"",$C1127&lt;&gt;"",$D1127&lt;&gt;"",$E1127&lt;&gt;""),"TXS"&amp;TEXT(COUNTIFS($B$2:$B1127,"&lt;&gt;",$C$2:$C1127,"&lt;&gt;",$D$2:$D1127,"&lt;&gt;",$E$2:$E1127,"&lt;&gt;"),"00000"),""))</f>
        <v/>
      </c>
      <c r="B1127" s="16"/>
      <c r="C1127" s="20"/>
      <c r="D1127" s="20"/>
      <c r="E1127" s="23"/>
      <c r="H1127" s="19" t="str">
        <f t="shared" si="57"/>
        <v/>
      </c>
      <c r="I1127" s="19" t="str">
        <f t="shared" si="56"/>
        <v/>
      </c>
      <c r="J1127" s="19" t="str">
        <f t="shared" si="58"/>
        <v/>
      </c>
      <c r="K1127" s="20"/>
      <c r="L1127" s="21" t="str">
        <f>IF(OR(NOT(AND($B1127&lt;&gt;"",$C1127&lt;&gt;"",$D1127&lt;&gt;"",$E1127&lt;&gt;"")),$A1127="",$K1127&lt;&gt;"Yes"),"",IF($L1127&lt;&gt;"",$L1127,INDEX(SETUP!$I$1:$I$2000,MATCH(TRUE,SETUP!$J$1:$J$2000,0)+COUNTIFS($A$2:$A1127,"&lt;&gt;",$K$2:$K1127,"Yes",$L$2:$L1127,"")-1)))</f>
        <v/>
      </c>
      <c r="N1127" s="22"/>
    </row>
    <row r="1128" spans="1:14" x14ac:dyDescent="0.3">
      <c r="A1128" s="15" t="str">
        <f>IF(COUNTA($B1128:$E1128,$K1128)=0,"",IF(AND($B1128&lt;&gt;"",$C1128&lt;&gt;"",$D1128&lt;&gt;"",$E1128&lt;&gt;""),"TXS"&amp;TEXT(COUNTIFS($B$2:$B1128,"&lt;&gt;",$C$2:$C1128,"&lt;&gt;",$D$2:$D1128,"&lt;&gt;",$E$2:$E1128,"&lt;&gt;"),"00000"),""))</f>
        <v/>
      </c>
      <c r="B1128" s="16"/>
      <c r="C1128" s="20"/>
      <c r="D1128" s="20"/>
      <c r="E1128" s="23"/>
      <c r="H1128" s="19" t="str">
        <f t="shared" si="57"/>
        <v/>
      </c>
      <c r="I1128" s="19" t="str">
        <f t="shared" si="56"/>
        <v/>
      </c>
      <c r="J1128" s="19" t="str">
        <f t="shared" si="58"/>
        <v/>
      </c>
      <c r="K1128" s="20"/>
      <c r="L1128" s="21" t="str">
        <f>IF(OR(NOT(AND($B1128&lt;&gt;"",$C1128&lt;&gt;"",$D1128&lt;&gt;"",$E1128&lt;&gt;"")),$A1128="",$K1128&lt;&gt;"Yes"),"",IF($L1128&lt;&gt;"",$L1128,INDEX(SETUP!$I$1:$I$2000,MATCH(TRUE,SETUP!$J$1:$J$2000,0)+COUNTIFS($A$2:$A1128,"&lt;&gt;",$K$2:$K1128,"Yes",$L$2:$L1128,"")-1)))</f>
        <v/>
      </c>
      <c r="N1128" s="22"/>
    </row>
    <row r="1129" spans="1:14" x14ac:dyDescent="0.3">
      <c r="A1129" s="15" t="str">
        <f>IF(COUNTA($B1129:$E1129,$K1129)=0,"",IF(AND($B1129&lt;&gt;"",$C1129&lt;&gt;"",$D1129&lt;&gt;"",$E1129&lt;&gt;""),"TXS"&amp;TEXT(COUNTIFS($B$2:$B1129,"&lt;&gt;",$C$2:$C1129,"&lt;&gt;",$D$2:$D1129,"&lt;&gt;",$E$2:$E1129,"&lt;&gt;"),"00000"),""))</f>
        <v/>
      </c>
      <c r="B1129" s="16"/>
      <c r="C1129" s="20"/>
      <c r="D1129" s="20"/>
      <c r="E1129" s="23"/>
      <c r="H1129" s="19" t="str">
        <f t="shared" si="57"/>
        <v/>
      </c>
      <c r="I1129" s="19" t="str">
        <f t="shared" ref="I1129:I1192" si="59">IF(NOT(AND($B1129&lt;&gt;"",$C1129&lt;&gt;"",$D1129&lt;&gt;"",$E1129&lt;&gt;"")),"",IF($A1129="","","NIH plate "&amp;INT((VALUE(RIGHT($A1129,5))-1)/96)+1&amp;": "&amp;CHAR(65+INT(MOD(VALUE(RIGHT($A1129,5))-1,96)/12))&amp;(MOD(VALUE(RIGHT($A1129,5))-1,12)+1)))</f>
        <v/>
      </c>
      <c r="J1129" s="19" t="str">
        <f t="shared" si="58"/>
        <v/>
      </c>
      <c r="K1129" s="20"/>
      <c r="L1129" s="21" t="str">
        <f>IF(OR(NOT(AND($B1129&lt;&gt;"",$C1129&lt;&gt;"",$D1129&lt;&gt;"",$E1129&lt;&gt;"")),$A1129="",$K1129&lt;&gt;"Yes"),"",IF($L1129&lt;&gt;"",$L1129,INDEX(SETUP!$I$1:$I$2000,MATCH(TRUE,SETUP!$J$1:$J$2000,0)+COUNTIFS($A$2:$A1129,"&lt;&gt;",$K$2:$K1129,"Yes",$L$2:$L1129,"")-1)))</f>
        <v/>
      </c>
      <c r="N1129" s="22"/>
    </row>
    <row r="1130" spans="1:14" x14ac:dyDescent="0.3">
      <c r="A1130" s="15" t="str">
        <f>IF(COUNTA($B1130:$E1130,$K1130)=0,"",IF(AND($B1130&lt;&gt;"",$C1130&lt;&gt;"",$D1130&lt;&gt;"",$E1130&lt;&gt;""),"TXS"&amp;TEXT(COUNTIFS($B$2:$B1130,"&lt;&gt;",$C$2:$C1130,"&lt;&gt;",$D$2:$D1130,"&lt;&gt;",$E$2:$E1130,"&lt;&gt;"),"00000"),""))</f>
        <v/>
      </c>
      <c r="B1130" s="16"/>
      <c r="C1130" s="20"/>
      <c r="D1130" s="20"/>
      <c r="E1130" s="23"/>
      <c r="H1130" s="19" t="str">
        <f t="shared" si="57"/>
        <v/>
      </c>
      <c r="I1130" s="19" t="str">
        <f t="shared" si="59"/>
        <v/>
      </c>
      <c r="J1130" s="19" t="str">
        <f t="shared" si="58"/>
        <v/>
      </c>
      <c r="K1130" s="20"/>
      <c r="L1130" s="21" t="str">
        <f>IF(OR(NOT(AND($B1130&lt;&gt;"",$C1130&lt;&gt;"",$D1130&lt;&gt;"",$E1130&lt;&gt;"")),$A1130="",$K1130&lt;&gt;"Yes"),"",IF($L1130&lt;&gt;"",$L1130,INDEX(SETUP!$I$1:$I$2000,MATCH(TRUE,SETUP!$J$1:$J$2000,0)+COUNTIFS($A$2:$A1130,"&lt;&gt;",$K$2:$K1130,"Yes",$L$2:$L1130,"")-1)))</f>
        <v/>
      </c>
      <c r="N1130" s="22"/>
    </row>
    <row r="1131" spans="1:14" x14ac:dyDescent="0.3">
      <c r="A1131" s="15" t="str">
        <f>IF(COUNTA($B1131:$E1131,$K1131)=0,"",IF(AND($B1131&lt;&gt;"",$C1131&lt;&gt;"",$D1131&lt;&gt;"",$E1131&lt;&gt;""),"TXS"&amp;TEXT(COUNTIFS($B$2:$B1131,"&lt;&gt;",$C$2:$C1131,"&lt;&gt;",$D$2:$D1131,"&lt;&gt;",$E$2:$E1131,"&lt;&gt;"),"00000"),""))</f>
        <v/>
      </c>
      <c r="B1131" s="16"/>
      <c r="C1131" s="20"/>
      <c r="D1131" s="20"/>
      <c r="E1131" s="23"/>
      <c r="H1131" s="19" t="str">
        <f t="shared" si="57"/>
        <v/>
      </c>
      <c r="I1131" s="19" t="str">
        <f t="shared" si="59"/>
        <v/>
      </c>
      <c r="J1131" s="19" t="str">
        <f t="shared" si="58"/>
        <v/>
      </c>
      <c r="K1131" s="20"/>
      <c r="L1131" s="21" t="str">
        <f>IF(OR(NOT(AND($B1131&lt;&gt;"",$C1131&lt;&gt;"",$D1131&lt;&gt;"",$E1131&lt;&gt;"")),$A1131="",$K1131&lt;&gt;"Yes"),"",IF($L1131&lt;&gt;"",$L1131,INDEX(SETUP!$I$1:$I$2000,MATCH(TRUE,SETUP!$J$1:$J$2000,0)+COUNTIFS($A$2:$A1131,"&lt;&gt;",$K$2:$K1131,"Yes",$L$2:$L1131,"")-1)))</f>
        <v/>
      </c>
      <c r="N1131" s="22"/>
    </row>
    <row r="1132" spans="1:14" x14ac:dyDescent="0.3">
      <c r="A1132" s="15" t="str">
        <f>IF(COUNTA($B1132:$E1132,$K1132)=0,"",IF(AND($B1132&lt;&gt;"",$C1132&lt;&gt;"",$D1132&lt;&gt;"",$E1132&lt;&gt;""),"TXS"&amp;TEXT(COUNTIFS($B$2:$B1132,"&lt;&gt;",$C$2:$C1132,"&lt;&gt;",$D$2:$D1132,"&lt;&gt;",$E$2:$E1132,"&lt;&gt;"),"00000"),""))</f>
        <v/>
      </c>
      <c r="B1132" s="16"/>
      <c r="C1132" s="20"/>
      <c r="D1132" s="20"/>
      <c r="E1132" s="23"/>
      <c r="H1132" s="19" t="str">
        <f t="shared" si="57"/>
        <v/>
      </c>
      <c r="I1132" s="19" t="str">
        <f t="shared" si="59"/>
        <v/>
      </c>
      <c r="J1132" s="19" t="str">
        <f t="shared" si="58"/>
        <v/>
      </c>
      <c r="K1132" s="20"/>
      <c r="L1132" s="21" t="str">
        <f>IF(OR(NOT(AND($B1132&lt;&gt;"",$C1132&lt;&gt;"",$D1132&lt;&gt;"",$E1132&lt;&gt;"")),$A1132="",$K1132&lt;&gt;"Yes"),"",IF($L1132&lt;&gt;"",$L1132,INDEX(SETUP!$I$1:$I$2000,MATCH(TRUE,SETUP!$J$1:$J$2000,0)+COUNTIFS($A$2:$A1132,"&lt;&gt;",$K$2:$K1132,"Yes",$L$2:$L1132,"")-1)))</f>
        <v/>
      </c>
      <c r="N1132" s="22"/>
    </row>
    <row r="1133" spans="1:14" x14ac:dyDescent="0.3">
      <c r="A1133" s="15" t="str">
        <f>IF(COUNTA($B1133:$E1133,$K1133)=0,"",IF(AND($B1133&lt;&gt;"",$C1133&lt;&gt;"",$D1133&lt;&gt;"",$E1133&lt;&gt;""),"TXS"&amp;TEXT(COUNTIFS($B$2:$B1133,"&lt;&gt;",$C$2:$C1133,"&lt;&gt;",$D$2:$D1133,"&lt;&gt;",$E$2:$E1133,"&lt;&gt;"),"00000"),""))</f>
        <v/>
      </c>
      <c r="B1133" s="16"/>
      <c r="C1133" s="20"/>
      <c r="D1133" s="20"/>
      <c r="E1133" s="23"/>
      <c r="H1133" s="19" t="str">
        <f t="shared" si="57"/>
        <v/>
      </c>
      <c r="I1133" s="19" t="str">
        <f t="shared" si="59"/>
        <v/>
      </c>
      <c r="J1133" s="19" t="str">
        <f t="shared" si="58"/>
        <v/>
      </c>
      <c r="K1133" s="20"/>
      <c r="L1133" s="21" t="str">
        <f>IF(OR(NOT(AND($B1133&lt;&gt;"",$C1133&lt;&gt;"",$D1133&lt;&gt;"",$E1133&lt;&gt;"")),$A1133="",$K1133&lt;&gt;"Yes"),"",IF($L1133&lt;&gt;"",$L1133,INDEX(SETUP!$I$1:$I$2000,MATCH(TRUE,SETUP!$J$1:$J$2000,0)+COUNTIFS($A$2:$A1133,"&lt;&gt;",$K$2:$K1133,"Yes",$L$2:$L1133,"")-1)))</f>
        <v/>
      </c>
      <c r="N1133" s="22"/>
    </row>
    <row r="1134" spans="1:14" x14ac:dyDescent="0.3">
      <c r="A1134" s="15" t="str">
        <f>IF(COUNTA($B1134:$E1134,$K1134)=0,"",IF(AND($B1134&lt;&gt;"",$C1134&lt;&gt;"",$D1134&lt;&gt;"",$E1134&lt;&gt;""),"TXS"&amp;TEXT(COUNTIFS($B$2:$B1134,"&lt;&gt;",$C$2:$C1134,"&lt;&gt;",$D$2:$D1134,"&lt;&gt;",$E$2:$E1134,"&lt;&gt;"),"00000"),""))</f>
        <v/>
      </c>
      <c r="B1134" s="16"/>
      <c r="C1134" s="20"/>
      <c r="D1134" s="20"/>
      <c r="E1134" s="23"/>
      <c r="H1134" s="19" t="str">
        <f t="shared" si="57"/>
        <v/>
      </c>
      <c r="I1134" s="19" t="str">
        <f t="shared" si="59"/>
        <v/>
      </c>
      <c r="J1134" s="19" t="str">
        <f t="shared" si="58"/>
        <v/>
      </c>
      <c r="K1134" s="20"/>
      <c r="L1134" s="21" t="str">
        <f>IF(OR(NOT(AND($B1134&lt;&gt;"",$C1134&lt;&gt;"",$D1134&lt;&gt;"",$E1134&lt;&gt;"")),$A1134="",$K1134&lt;&gt;"Yes"),"",IF($L1134&lt;&gt;"",$L1134,INDEX(SETUP!$I$1:$I$2000,MATCH(TRUE,SETUP!$J$1:$J$2000,0)+COUNTIFS($A$2:$A1134,"&lt;&gt;",$K$2:$K1134,"Yes",$L$2:$L1134,"")-1)))</f>
        <v/>
      </c>
      <c r="N1134" s="22"/>
    </row>
    <row r="1135" spans="1:14" x14ac:dyDescent="0.3">
      <c r="A1135" s="15" t="str">
        <f>IF(COUNTA($B1135:$E1135,$K1135)=0,"",IF(AND($B1135&lt;&gt;"",$C1135&lt;&gt;"",$D1135&lt;&gt;"",$E1135&lt;&gt;""),"TXS"&amp;TEXT(COUNTIFS($B$2:$B1135,"&lt;&gt;",$C$2:$C1135,"&lt;&gt;",$D$2:$D1135,"&lt;&gt;",$E$2:$E1135,"&lt;&gt;"),"00000"),""))</f>
        <v/>
      </c>
      <c r="B1135" s="16"/>
      <c r="C1135" s="20"/>
      <c r="D1135" s="20"/>
      <c r="E1135" s="23"/>
      <c r="H1135" s="19" t="str">
        <f t="shared" ref="H1135:H1198" si="60">IF(NOT(AND($B1135&lt;&gt;"",$C1135&lt;&gt;"",$D1135&lt;&gt;"",$E1135&lt;&gt;"")),"",IF($A1135="","","CDI plate "&amp;INT((VALUE(RIGHT($A1135,5))-1)/96)+1&amp;": "&amp;CHAR(65+INT(MOD(VALUE(RIGHT($A1135,5))-1,96)/12))&amp;(MOD(VALUE(RIGHT($A1135,5))-1,12)+1)))</f>
        <v/>
      </c>
      <c r="I1135" s="19" t="str">
        <f t="shared" si="59"/>
        <v/>
      </c>
      <c r="J1135" s="19" t="str">
        <f t="shared" si="58"/>
        <v/>
      </c>
      <c r="K1135" s="20"/>
      <c r="L1135" s="21" t="str">
        <f>IF(OR(NOT(AND($B1135&lt;&gt;"",$C1135&lt;&gt;"",$D1135&lt;&gt;"",$E1135&lt;&gt;"")),$A1135="",$K1135&lt;&gt;"Yes"),"",IF($L1135&lt;&gt;"",$L1135,INDEX(SETUP!$I$1:$I$2000,MATCH(TRUE,SETUP!$J$1:$J$2000,0)+COUNTIFS($A$2:$A1135,"&lt;&gt;",$K$2:$K1135,"Yes",$L$2:$L1135,"")-1)))</f>
        <v/>
      </c>
      <c r="N1135" s="22"/>
    </row>
    <row r="1136" spans="1:14" x14ac:dyDescent="0.3">
      <c r="A1136" s="15" t="str">
        <f>IF(COUNTA($B1136:$E1136,$K1136)=0,"",IF(AND($B1136&lt;&gt;"",$C1136&lt;&gt;"",$D1136&lt;&gt;"",$E1136&lt;&gt;""),"TXS"&amp;TEXT(COUNTIFS($B$2:$B1136,"&lt;&gt;",$C$2:$C1136,"&lt;&gt;",$D$2:$D1136,"&lt;&gt;",$E$2:$E1136,"&lt;&gt;"),"00000"),""))</f>
        <v/>
      </c>
      <c r="B1136" s="16"/>
      <c r="C1136" s="20"/>
      <c r="D1136" s="20"/>
      <c r="E1136" s="23"/>
      <c r="H1136" s="19" t="str">
        <f t="shared" si="60"/>
        <v/>
      </c>
      <c r="I1136" s="19" t="str">
        <f t="shared" si="59"/>
        <v/>
      </c>
      <c r="J1136" s="19" t="str">
        <f t="shared" si="58"/>
        <v/>
      </c>
      <c r="K1136" s="20"/>
      <c r="L1136" s="21" t="str">
        <f>IF(OR(NOT(AND($B1136&lt;&gt;"",$C1136&lt;&gt;"",$D1136&lt;&gt;"",$E1136&lt;&gt;"")),$A1136="",$K1136&lt;&gt;"Yes"),"",IF($L1136&lt;&gt;"",$L1136,INDEX(SETUP!$I$1:$I$2000,MATCH(TRUE,SETUP!$J$1:$J$2000,0)+COUNTIFS($A$2:$A1136,"&lt;&gt;",$K$2:$K1136,"Yes",$L$2:$L1136,"")-1)))</f>
        <v/>
      </c>
      <c r="N1136" s="22"/>
    </row>
    <row r="1137" spans="1:14" x14ac:dyDescent="0.3">
      <c r="A1137" s="15" t="str">
        <f>IF(COUNTA($B1137:$E1137,$K1137)=0,"",IF(AND($B1137&lt;&gt;"",$C1137&lt;&gt;"",$D1137&lt;&gt;"",$E1137&lt;&gt;""),"TXS"&amp;TEXT(COUNTIFS($B$2:$B1137,"&lt;&gt;",$C$2:$C1137,"&lt;&gt;",$D$2:$D1137,"&lt;&gt;",$E$2:$E1137,"&lt;&gt;"),"00000"),""))</f>
        <v/>
      </c>
      <c r="B1137" s="16"/>
      <c r="C1137" s="20"/>
      <c r="D1137" s="20"/>
      <c r="E1137" s="23"/>
      <c r="H1137" s="19" t="str">
        <f t="shared" si="60"/>
        <v/>
      </c>
      <c r="I1137" s="19" t="str">
        <f t="shared" si="59"/>
        <v/>
      </c>
      <c r="J1137" s="19" t="str">
        <f t="shared" si="58"/>
        <v/>
      </c>
      <c r="K1137" s="20"/>
      <c r="L1137" s="21" t="str">
        <f>IF(OR(NOT(AND($B1137&lt;&gt;"",$C1137&lt;&gt;"",$D1137&lt;&gt;"",$E1137&lt;&gt;"")),$A1137="",$K1137&lt;&gt;"Yes"),"",IF($L1137&lt;&gt;"",$L1137,INDEX(SETUP!$I$1:$I$2000,MATCH(TRUE,SETUP!$J$1:$J$2000,0)+COUNTIFS($A$2:$A1137,"&lt;&gt;",$K$2:$K1137,"Yes",$L$2:$L1137,"")-1)))</f>
        <v/>
      </c>
      <c r="N1137" s="22"/>
    </row>
    <row r="1138" spans="1:14" x14ac:dyDescent="0.3">
      <c r="A1138" s="15" t="str">
        <f>IF(COUNTA($B1138:$E1138,$K1138)=0,"",IF(AND($B1138&lt;&gt;"",$C1138&lt;&gt;"",$D1138&lt;&gt;"",$E1138&lt;&gt;""),"TXS"&amp;TEXT(COUNTIFS($B$2:$B1138,"&lt;&gt;",$C$2:$C1138,"&lt;&gt;",$D$2:$D1138,"&lt;&gt;",$E$2:$E1138,"&lt;&gt;"),"00000"),""))</f>
        <v/>
      </c>
      <c r="B1138" s="16"/>
      <c r="C1138" s="20"/>
      <c r="D1138" s="20"/>
      <c r="E1138" s="23"/>
      <c r="H1138" s="19" t="str">
        <f t="shared" si="60"/>
        <v/>
      </c>
      <c r="I1138" s="19" t="str">
        <f t="shared" si="59"/>
        <v/>
      </c>
      <c r="J1138" s="19" t="str">
        <f t="shared" ref="J1138:J1201" si="61">IF(NOT(AND($B1138&lt;&gt;"",$C1138&lt;&gt;"",$D1138&lt;&gt;"",$E1138&lt;&gt;"")),"",IF($A1138="","","Max Planck plate "&amp;INT((VALUE(RIGHT($A1138,5))-1)/96)+1&amp;": "&amp;CHAR(65+INT(MOD(VALUE(RIGHT($A1138,5))-1,96)/12))&amp;(MOD(VALUE(RIGHT($A1138,5))-1,12)+1)))</f>
        <v/>
      </c>
      <c r="K1138" s="20"/>
      <c r="L1138" s="21" t="str">
        <f>IF(OR(NOT(AND($B1138&lt;&gt;"",$C1138&lt;&gt;"",$D1138&lt;&gt;"",$E1138&lt;&gt;"")),$A1138="",$K1138&lt;&gt;"Yes"),"",IF($L1138&lt;&gt;"",$L1138,INDEX(SETUP!$I$1:$I$2000,MATCH(TRUE,SETUP!$J$1:$J$2000,0)+COUNTIFS($A$2:$A1138,"&lt;&gt;",$K$2:$K1138,"Yes",$L$2:$L1138,"")-1)))</f>
        <v/>
      </c>
      <c r="N1138" s="22"/>
    </row>
    <row r="1139" spans="1:14" x14ac:dyDescent="0.3">
      <c r="A1139" s="15" t="str">
        <f>IF(COUNTA($B1139:$E1139,$K1139)=0,"",IF(AND($B1139&lt;&gt;"",$C1139&lt;&gt;"",$D1139&lt;&gt;"",$E1139&lt;&gt;""),"TXS"&amp;TEXT(COUNTIFS($B$2:$B1139,"&lt;&gt;",$C$2:$C1139,"&lt;&gt;",$D$2:$D1139,"&lt;&gt;",$E$2:$E1139,"&lt;&gt;"),"00000"),""))</f>
        <v/>
      </c>
      <c r="B1139" s="16"/>
      <c r="C1139" s="20"/>
      <c r="D1139" s="20"/>
      <c r="E1139" s="23"/>
      <c r="H1139" s="19" t="str">
        <f t="shared" si="60"/>
        <v/>
      </c>
      <c r="I1139" s="19" t="str">
        <f t="shared" si="59"/>
        <v/>
      </c>
      <c r="J1139" s="19" t="str">
        <f t="shared" si="61"/>
        <v/>
      </c>
      <c r="K1139" s="20"/>
      <c r="L1139" s="21" t="str">
        <f>IF(OR(NOT(AND($B1139&lt;&gt;"",$C1139&lt;&gt;"",$D1139&lt;&gt;"",$E1139&lt;&gt;"")),$A1139="",$K1139&lt;&gt;"Yes"),"",IF($L1139&lt;&gt;"",$L1139,INDEX(SETUP!$I$1:$I$2000,MATCH(TRUE,SETUP!$J$1:$J$2000,0)+COUNTIFS($A$2:$A1139,"&lt;&gt;",$K$2:$K1139,"Yes",$L$2:$L1139,"")-1)))</f>
        <v/>
      </c>
      <c r="N1139" s="22"/>
    </row>
    <row r="1140" spans="1:14" x14ac:dyDescent="0.3">
      <c r="A1140" s="15" t="str">
        <f>IF(COUNTA($B1140:$E1140,$K1140)=0,"",IF(AND($B1140&lt;&gt;"",$C1140&lt;&gt;"",$D1140&lt;&gt;"",$E1140&lt;&gt;""),"TXS"&amp;TEXT(COUNTIFS($B$2:$B1140,"&lt;&gt;",$C$2:$C1140,"&lt;&gt;",$D$2:$D1140,"&lt;&gt;",$E$2:$E1140,"&lt;&gt;"),"00000"),""))</f>
        <v/>
      </c>
      <c r="B1140" s="16"/>
      <c r="C1140" s="20"/>
      <c r="D1140" s="20"/>
      <c r="E1140" s="23"/>
      <c r="H1140" s="19" t="str">
        <f t="shared" si="60"/>
        <v/>
      </c>
      <c r="I1140" s="19" t="str">
        <f t="shared" si="59"/>
        <v/>
      </c>
      <c r="J1140" s="19" t="str">
        <f t="shared" si="61"/>
        <v/>
      </c>
      <c r="K1140" s="20"/>
      <c r="L1140" s="21" t="str">
        <f>IF(OR(NOT(AND($B1140&lt;&gt;"",$C1140&lt;&gt;"",$D1140&lt;&gt;"",$E1140&lt;&gt;"")),$A1140="",$K1140&lt;&gt;"Yes"),"",IF($L1140&lt;&gt;"",$L1140,INDEX(SETUP!$I$1:$I$2000,MATCH(TRUE,SETUP!$J$1:$J$2000,0)+COUNTIFS($A$2:$A1140,"&lt;&gt;",$K$2:$K1140,"Yes",$L$2:$L1140,"")-1)))</f>
        <v/>
      </c>
      <c r="N1140" s="22"/>
    </row>
    <row r="1141" spans="1:14" x14ac:dyDescent="0.3">
      <c r="A1141" s="15" t="str">
        <f>IF(COUNTA($B1141:$E1141,$K1141)=0,"",IF(AND($B1141&lt;&gt;"",$C1141&lt;&gt;"",$D1141&lt;&gt;"",$E1141&lt;&gt;""),"TXS"&amp;TEXT(COUNTIFS($B$2:$B1141,"&lt;&gt;",$C$2:$C1141,"&lt;&gt;",$D$2:$D1141,"&lt;&gt;",$E$2:$E1141,"&lt;&gt;"),"00000"),""))</f>
        <v/>
      </c>
      <c r="B1141" s="16"/>
      <c r="C1141" s="20"/>
      <c r="D1141" s="20"/>
      <c r="E1141" s="23"/>
      <c r="H1141" s="19" t="str">
        <f t="shared" si="60"/>
        <v/>
      </c>
      <c r="I1141" s="19" t="str">
        <f t="shared" si="59"/>
        <v/>
      </c>
      <c r="J1141" s="19" t="str">
        <f t="shared" si="61"/>
        <v/>
      </c>
      <c r="K1141" s="20"/>
      <c r="L1141" s="21" t="str">
        <f>IF(OR(NOT(AND($B1141&lt;&gt;"",$C1141&lt;&gt;"",$D1141&lt;&gt;"",$E1141&lt;&gt;"")),$A1141="",$K1141&lt;&gt;"Yes"),"",IF($L1141&lt;&gt;"",$L1141,INDEX(SETUP!$I$1:$I$2000,MATCH(TRUE,SETUP!$J$1:$J$2000,0)+COUNTIFS($A$2:$A1141,"&lt;&gt;",$K$2:$K1141,"Yes",$L$2:$L1141,"")-1)))</f>
        <v/>
      </c>
      <c r="N1141" s="22"/>
    </row>
    <row r="1142" spans="1:14" x14ac:dyDescent="0.3">
      <c r="A1142" s="15" t="str">
        <f>IF(COUNTA($B1142:$E1142,$K1142)=0,"",IF(AND($B1142&lt;&gt;"",$C1142&lt;&gt;"",$D1142&lt;&gt;"",$E1142&lt;&gt;""),"TXS"&amp;TEXT(COUNTIFS($B$2:$B1142,"&lt;&gt;",$C$2:$C1142,"&lt;&gt;",$D$2:$D1142,"&lt;&gt;",$E$2:$E1142,"&lt;&gt;"),"00000"),""))</f>
        <v/>
      </c>
      <c r="B1142" s="16"/>
      <c r="C1142" s="20"/>
      <c r="D1142" s="20"/>
      <c r="E1142" s="23"/>
      <c r="H1142" s="19" t="str">
        <f t="shared" si="60"/>
        <v/>
      </c>
      <c r="I1142" s="19" t="str">
        <f t="shared" si="59"/>
        <v/>
      </c>
      <c r="J1142" s="19" t="str">
        <f t="shared" si="61"/>
        <v/>
      </c>
      <c r="K1142" s="20"/>
      <c r="L1142" s="21" t="str">
        <f>IF(OR(NOT(AND($B1142&lt;&gt;"",$C1142&lt;&gt;"",$D1142&lt;&gt;"",$E1142&lt;&gt;"")),$A1142="",$K1142&lt;&gt;"Yes"),"",IF($L1142&lt;&gt;"",$L1142,INDEX(SETUP!$I$1:$I$2000,MATCH(TRUE,SETUP!$J$1:$J$2000,0)+COUNTIFS($A$2:$A1142,"&lt;&gt;",$K$2:$K1142,"Yes",$L$2:$L1142,"")-1)))</f>
        <v/>
      </c>
      <c r="N1142" s="22"/>
    </row>
    <row r="1143" spans="1:14" x14ac:dyDescent="0.3">
      <c r="A1143" s="15" t="str">
        <f>IF(COUNTA($B1143:$E1143,$K1143)=0,"",IF(AND($B1143&lt;&gt;"",$C1143&lt;&gt;"",$D1143&lt;&gt;"",$E1143&lt;&gt;""),"TXS"&amp;TEXT(COUNTIFS($B$2:$B1143,"&lt;&gt;",$C$2:$C1143,"&lt;&gt;",$D$2:$D1143,"&lt;&gt;",$E$2:$E1143,"&lt;&gt;"),"00000"),""))</f>
        <v/>
      </c>
      <c r="B1143" s="16"/>
      <c r="C1143" s="20"/>
      <c r="D1143" s="20"/>
      <c r="E1143" s="23"/>
      <c r="H1143" s="19" t="str">
        <f t="shared" si="60"/>
        <v/>
      </c>
      <c r="I1143" s="19" t="str">
        <f t="shared" si="59"/>
        <v/>
      </c>
      <c r="J1143" s="19" t="str">
        <f t="shared" si="61"/>
        <v/>
      </c>
      <c r="K1143" s="20"/>
      <c r="L1143" s="21" t="str">
        <f>IF(OR(NOT(AND($B1143&lt;&gt;"",$C1143&lt;&gt;"",$D1143&lt;&gt;"",$E1143&lt;&gt;"")),$A1143="",$K1143&lt;&gt;"Yes"),"",IF($L1143&lt;&gt;"",$L1143,INDEX(SETUP!$I$1:$I$2000,MATCH(TRUE,SETUP!$J$1:$J$2000,0)+COUNTIFS($A$2:$A1143,"&lt;&gt;",$K$2:$K1143,"Yes",$L$2:$L1143,"")-1)))</f>
        <v/>
      </c>
      <c r="N1143" s="22"/>
    </row>
    <row r="1144" spans="1:14" x14ac:dyDescent="0.3">
      <c r="A1144" s="15" t="str">
        <f>IF(COUNTA($B1144:$E1144,$K1144)=0,"",IF(AND($B1144&lt;&gt;"",$C1144&lt;&gt;"",$D1144&lt;&gt;"",$E1144&lt;&gt;""),"TXS"&amp;TEXT(COUNTIFS($B$2:$B1144,"&lt;&gt;",$C$2:$C1144,"&lt;&gt;",$D$2:$D1144,"&lt;&gt;",$E$2:$E1144,"&lt;&gt;"),"00000"),""))</f>
        <v/>
      </c>
      <c r="B1144" s="16"/>
      <c r="C1144" s="20"/>
      <c r="D1144" s="20"/>
      <c r="E1144" s="23"/>
      <c r="H1144" s="19" t="str">
        <f t="shared" si="60"/>
        <v/>
      </c>
      <c r="I1144" s="19" t="str">
        <f t="shared" si="59"/>
        <v/>
      </c>
      <c r="J1144" s="19" t="str">
        <f t="shared" si="61"/>
        <v/>
      </c>
      <c r="K1144" s="20"/>
      <c r="L1144" s="21" t="str">
        <f>IF(OR(NOT(AND($B1144&lt;&gt;"",$C1144&lt;&gt;"",$D1144&lt;&gt;"",$E1144&lt;&gt;"")),$A1144="",$K1144&lt;&gt;"Yes"),"",IF($L1144&lt;&gt;"",$L1144,INDEX(SETUP!$I$1:$I$2000,MATCH(TRUE,SETUP!$J$1:$J$2000,0)+COUNTIFS($A$2:$A1144,"&lt;&gt;",$K$2:$K1144,"Yes",$L$2:$L1144,"")-1)))</f>
        <v/>
      </c>
      <c r="N1144" s="22"/>
    </row>
    <row r="1145" spans="1:14" x14ac:dyDescent="0.3">
      <c r="A1145" s="15" t="str">
        <f>IF(COUNTA($B1145:$E1145,$K1145)=0,"",IF(AND($B1145&lt;&gt;"",$C1145&lt;&gt;"",$D1145&lt;&gt;"",$E1145&lt;&gt;""),"TXS"&amp;TEXT(COUNTIFS($B$2:$B1145,"&lt;&gt;",$C$2:$C1145,"&lt;&gt;",$D$2:$D1145,"&lt;&gt;",$E$2:$E1145,"&lt;&gt;"),"00000"),""))</f>
        <v/>
      </c>
      <c r="B1145" s="16"/>
      <c r="C1145" s="20"/>
      <c r="D1145" s="20"/>
      <c r="E1145" s="23"/>
      <c r="H1145" s="21" t="str">
        <f t="shared" si="60"/>
        <v/>
      </c>
      <c r="I1145" s="21" t="str">
        <f t="shared" si="59"/>
        <v/>
      </c>
      <c r="J1145" s="21" t="str">
        <f t="shared" si="61"/>
        <v/>
      </c>
      <c r="K1145" s="20"/>
      <c r="L1145" s="21" t="str">
        <f>IF(OR(NOT(AND($B1145&lt;&gt;"",$C1145&lt;&gt;"",$D1145&lt;&gt;"",$E1145&lt;&gt;"")),$A1145="",$K1145&lt;&gt;"Yes"),"",IF($L1145&lt;&gt;"",$L1145,INDEX(SETUP!$I$1:$I$2000,MATCH(TRUE,SETUP!$J$1:$J$2000,0)+COUNTIFS($A$2:$A1145,"&lt;&gt;",$K$2:$K1145,"Yes",$L$2:$L1145,"")-1)))</f>
        <v/>
      </c>
      <c r="N1145" s="22"/>
    </row>
    <row r="1146" spans="1:14" x14ac:dyDescent="0.3">
      <c r="A1146" s="15" t="str">
        <f>IF(COUNTA($B1146:$E1146,$K1146)=0,"",IF(AND($B1146&lt;&gt;"",$C1146&lt;&gt;"",$D1146&lt;&gt;"",$E1146&lt;&gt;""),"TXS"&amp;TEXT(COUNTIFS($B$2:$B1146,"&lt;&gt;",$C$2:$C1146,"&lt;&gt;",$D$2:$D1146,"&lt;&gt;",$E$2:$E1146,"&lt;&gt;"),"00000"),""))</f>
        <v/>
      </c>
      <c r="B1146" s="16"/>
      <c r="C1146" s="20"/>
      <c r="D1146" s="20"/>
      <c r="E1146" s="23"/>
      <c r="H1146" s="21" t="str">
        <f t="shared" si="60"/>
        <v/>
      </c>
      <c r="I1146" s="21" t="str">
        <f t="shared" si="59"/>
        <v/>
      </c>
      <c r="J1146" s="21" t="str">
        <f t="shared" si="61"/>
        <v/>
      </c>
      <c r="K1146" s="20"/>
      <c r="L1146" s="21" t="str">
        <f>IF(OR(NOT(AND($B1146&lt;&gt;"",$C1146&lt;&gt;"",$D1146&lt;&gt;"",$E1146&lt;&gt;"")),$A1146="",$K1146&lt;&gt;"Yes"),"",IF($L1146&lt;&gt;"",$L1146,INDEX(SETUP!$I$1:$I$2000,MATCH(TRUE,SETUP!$J$1:$J$2000,0)+COUNTIFS($A$2:$A1146,"&lt;&gt;",$K$2:$K1146,"Yes",$L$2:$L1146,"")-1)))</f>
        <v/>
      </c>
      <c r="N1146" s="22"/>
    </row>
    <row r="1147" spans="1:14" x14ac:dyDescent="0.3">
      <c r="A1147" s="15" t="str">
        <f>IF(COUNTA($B1147:$E1147,$K1147)=0,"",IF(AND($B1147&lt;&gt;"",$C1147&lt;&gt;"",$D1147&lt;&gt;"",$E1147&lt;&gt;""),"TXS"&amp;TEXT(COUNTIFS($B$2:$B1147,"&lt;&gt;",$C$2:$C1147,"&lt;&gt;",$D$2:$D1147,"&lt;&gt;",$E$2:$E1147,"&lt;&gt;"),"00000"),""))</f>
        <v/>
      </c>
      <c r="B1147" s="16"/>
      <c r="C1147" s="20"/>
      <c r="D1147" s="20"/>
      <c r="E1147" s="23"/>
      <c r="H1147" s="21" t="str">
        <f t="shared" si="60"/>
        <v/>
      </c>
      <c r="I1147" s="21" t="str">
        <f t="shared" si="59"/>
        <v/>
      </c>
      <c r="J1147" s="21" t="str">
        <f t="shared" si="61"/>
        <v/>
      </c>
      <c r="K1147" s="20"/>
      <c r="L1147" s="21" t="str">
        <f>IF(OR(NOT(AND($B1147&lt;&gt;"",$C1147&lt;&gt;"",$D1147&lt;&gt;"",$E1147&lt;&gt;"")),$A1147="",$K1147&lt;&gt;"Yes"),"",IF($L1147&lt;&gt;"",$L1147,INDEX(SETUP!$I$1:$I$2000,MATCH(TRUE,SETUP!$J$1:$J$2000,0)+COUNTIFS($A$2:$A1147,"&lt;&gt;",$K$2:$K1147,"Yes",$L$2:$L1147,"")-1)))</f>
        <v/>
      </c>
      <c r="N1147" s="22"/>
    </row>
    <row r="1148" spans="1:14" x14ac:dyDescent="0.3">
      <c r="A1148" s="15" t="str">
        <f>IF(COUNTA($B1148:$E1148,$K1148)=0,"",IF(AND($B1148&lt;&gt;"",$C1148&lt;&gt;"",$D1148&lt;&gt;"",$E1148&lt;&gt;""),"TXS"&amp;TEXT(COUNTIFS($B$2:$B1148,"&lt;&gt;",$C$2:$C1148,"&lt;&gt;",$D$2:$D1148,"&lt;&gt;",$E$2:$E1148,"&lt;&gt;"),"00000"),""))</f>
        <v/>
      </c>
      <c r="B1148" s="16"/>
      <c r="C1148" s="20"/>
      <c r="D1148" s="20"/>
      <c r="E1148" s="23"/>
      <c r="H1148" s="21" t="str">
        <f t="shared" si="60"/>
        <v/>
      </c>
      <c r="I1148" s="21" t="str">
        <f t="shared" si="59"/>
        <v/>
      </c>
      <c r="J1148" s="21" t="str">
        <f t="shared" si="61"/>
        <v/>
      </c>
      <c r="K1148" s="20"/>
      <c r="L1148" s="21" t="str">
        <f>IF(OR(NOT(AND($B1148&lt;&gt;"",$C1148&lt;&gt;"",$D1148&lt;&gt;"",$E1148&lt;&gt;"")),$A1148="",$K1148&lt;&gt;"Yes"),"",IF($L1148&lt;&gt;"",$L1148,INDEX(SETUP!$I$1:$I$2000,MATCH(TRUE,SETUP!$J$1:$J$2000,0)+COUNTIFS($A$2:$A1148,"&lt;&gt;",$K$2:$K1148,"Yes",$L$2:$L1148,"")-1)))</f>
        <v/>
      </c>
      <c r="N1148" s="22"/>
    </row>
    <row r="1149" spans="1:14" x14ac:dyDescent="0.3">
      <c r="A1149" s="15" t="str">
        <f>IF(COUNTA($B1149:$E1149,$K1149)=0,"",IF(AND($B1149&lt;&gt;"",$C1149&lt;&gt;"",$D1149&lt;&gt;"",$E1149&lt;&gt;""),"TXS"&amp;TEXT(COUNTIFS($B$2:$B1149,"&lt;&gt;",$C$2:$C1149,"&lt;&gt;",$D$2:$D1149,"&lt;&gt;",$E$2:$E1149,"&lt;&gt;"),"00000"),""))</f>
        <v/>
      </c>
      <c r="B1149" s="16"/>
      <c r="C1149" s="20"/>
      <c r="D1149" s="20"/>
      <c r="E1149" s="23"/>
      <c r="H1149" s="21" t="str">
        <f t="shared" si="60"/>
        <v/>
      </c>
      <c r="I1149" s="21" t="str">
        <f t="shared" si="59"/>
        <v/>
      </c>
      <c r="J1149" s="21" t="str">
        <f t="shared" si="61"/>
        <v/>
      </c>
      <c r="K1149" s="20"/>
      <c r="L1149" s="21" t="str">
        <f>IF(OR(NOT(AND($B1149&lt;&gt;"",$C1149&lt;&gt;"",$D1149&lt;&gt;"",$E1149&lt;&gt;"")),$A1149="",$K1149&lt;&gt;"Yes"),"",IF($L1149&lt;&gt;"",$L1149,INDEX(SETUP!$I$1:$I$2000,MATCH(TRUE,SETUP!$J$1:$J$2000,0)+COUNTIFS($A$2:$A1149,"&lt;&gt;",$K$2:$K1149,"Yes",$L$2:$L1149,"")-1)))</f>
        <v/>
      </c>
      <c r="N1149" s="22"/>
    </row>
    <row r="1150" spans="1:14" x14ac:dyDescent="0.3">
      <c r="A1150" s="15" t="str">
        <f>IF(COUNTA($B1150:$E1150,$K1150)=0,"",IF(AND($B1150&lt;&gt;"",$C1150&lt;&gt;"",$D1150&lt;&gt;"",$E1150&lt;&gt;""),"TXS"&amp;TEXT(COUNTIFS($B$2:$B1150,"&lt;&gt;",$C$2:$C1150,"&lt;&gt;",$D$2:$D1150,"&lt;&gt;",$E$2:$E1150,"&lt;&gt;"),"00000"),""))</f>
        <v/>
      </c>
      <c r="B1150" s="16"/>
      <c r="C1150" s="20"/>
      <c r="D1150" s="20"/>
      <c r="E1150" s="23"/>
      <c r="H1150" s="21" t="str">
        <f t="shared" si="60"/>
        <v/>
      </c>
      <c r="I1150" s="21" t="str">
        <f t="shared" si="59"/>
        <v/>
      </c>
      <c r="J1150" s="21" t="str">
        <f t="shared" si="61"/>
        <v/>
      </c>
      <c r="K1150" s="20"/>
      <c r="L1150" s="21" t="str">
        <f>IF(OR(NOT(AND($B1150&lt;&gt;"",$C1150&lt;&gt;"",$D1150&lt;&gt;"",$E1150&lt;&gt;"")),$A1150="",$K1150&lt;&gt;"Yes"),"",IF($L1150&lt;&gt;"",$L1150,INDEX(SETUP!$I$1:$I$2000,MATCH(TRUE,SETUP!$J$1:$J$2000,0)+COUNTIFS($A$2:$A1150,"&lt;&gt;",$K$2:$K1150,"Yes",$L$2:$L1150,"")-1)))</f>
        <v/>
      </c>
      <c r="N1150" s="22"/>
    </row>
    <row r="1151" spans="1:14" x14ac:dyDescent="0.3">
      <c r="A1151" s="15" t="str">
        <f>IF(COUNTA($B1151:$E1151,$K1151)=0,"",IF(AND($B1151&lt;&gt;"",$C1151&lt;&gt;"",$D1151&lt;&gt;"",$E1151&lt;&gt;""),"TXS"&amp;TEXT(COUNTIFS($B$2:$B1151,"&lt;&gt;",$C$2:$C1151,"&lt;&gt;",$D$2:$D1151,"&lt;&gt;",$E$2:$E1151,"&lt;&gt;"),"00000"),""))</f>
        <v/>
      </c>
      <c r="B1151" s="16"/>
      <c r="C1151" s="20"/>
      <c r="D1151" s="20"/>
      <c r="E1151" s="23"/>
      <c r="H1151" s="21" t="str">
        <f t="shared" si="60"/>
        <v/>
      </c>
      <c r="I1151" s="21" t="str">
        <f t="shared" si="59"/>
        <v/>
      </c>
      <c r="J1151" s="21" t="str">
        <f t="shared" si="61"/>
        <v/>
      </c>
      <c r="K1151" s="20"/>
      <c r="L1151" s="21" t="str">
        <f>IF(OR(NOT(AND($B1151&lt;&gt;"",$C1151&lt;&gt;"",$D1151&lt;&gt;"",$E1151&lt;&gt;"")),$A1151="",$K1151&lt;&gt;"Yes"),"",IF($L1151&lt;&gt;"",$L1151,INDEX(SETUP!$I$1:$I$2000,MATCH(TRUE,SETUP!$J$1:$J$2000,0)+COUNTIFS($A$2:$A1151,"&lt;&gt;",$K$2:$K1151,"Yes",$L$2:$L1151,"")-1)))</f>
        <v/>
      </c>
      <c r="N1151" s="22"/>
    </row>
    <row r="1152" spans="1:14" x14ac:dyDescent="0.3">
      <c r="A1152" s="15" t="str">
        <f>IF(COUNTA($B1152:$E1152,$K1152)=0,"",IF(AND($B1152&lt;&gt;"",$C1152&lt;&gt;"",$D1152&lt;&gt;"",$E1152&lt;&gt;""),"TXS"&amp;TEXT(COUNTIFS($B$2:$B1152,"&lt;&gt;",$C$2:$C1152,"&lt;&gt;",$D$2:$D1152,"&lt;&gt;",$E$2:$E1152,"&lt;&gt;"),"00000"),""))</f>
        <v/>
      </c>
      <c r="B1152" s="16"/>
      <c r="C1152" s="20"/>
      <c r="D1152" s="20"/>
      <c r="E1152" s="23"/>
      <c r="H1152" s="21" t="str">
        <f t="shared" si="60"/>
        <v/>
      </c>
      <c r="I1152" s="21" t="str">
        <f t="shared" si="59"/>
        <v/>
      </c>
      <c r="J1152" s="21" t="str">
        <f t="shared" si="61"/>
        <v/>
      </c>
      <c r="K1152" s="20"/>
      <c r="L1152" s="21" t="str">
        <f>IF(OR(NOT(AND($B1152&lt;&gt;"",$C1152&lt;&gt;"",$D1152&lt;&gt;"",$E1152&lt;&gt;"")),$A1152="",$K1152&lt;&gt;"Yes"),"",IF($L1152&lt;&gt;"",$L1152,INDEX(SETUP!$I$1:$I$2000,MATCH(TRUE,SETUP!$J$1:$J$2000,0)+COUNTIFS($A$2:$A1152,"&lt;&gt;",$K$2:$K1152,"Yes",$L$2:$L1152,"")-1)))</f>
        <v/>
      </c>
      <c r="N1152" s="22"/>
    </row>
    <row r="1153" spans="1:14" x14ac:dyDescent="0.3">
      <c r="A1153" s="15" t="str">
        <f>IF(COUNTA($B1153:$E1153,$K1153)=0,"",IF(AND($B1153&lt;&gt;"",$C1153&lt;&gt;"",$D1153&lt;&gt;"",$E1153&lt;&gt;""),"TXS"&amp;TEXT(COUNTIFS($B$2:$B1153,"&lt;&gt;",$C$2:$C1153,"&lt;&gt;",$D$2:$D1153,"&lt;&gt;",$E$2:$E1153,"&lt;&gt;"),"00000"),""))</f>
        <v/>
      </c>
      <c r="B1153" s="16"/>
      <c r="C1153" s="20"/>
      <c r="D1153" s="20"/>
      <c r="E1153" s="23"/>
      <c r="H1153" s="21" t="str">
        <f t="shared" si="60"/>
        <v/>
      </c>
      <c r="I1153" s="21" t="str">
        <f t="shared" si="59"/>
        <v/>
      </c>
      <c r="J1153" s="21" t="str">
        <f t="shared" si="61"/>
        <v/>
      </c>
      <c r="K1153" s="20"/>
      <c r="L1153" s="21" t="str">
        <f>IF(OR(NOT(AND($B1153&lt;&gt;"",$C1153&lt;&gt;"",$D1153&lt;&gt;"",$E1153&lt;&gt;"")),$A1153="",$K1153&lt;&gt;"Yes"),"",IF($L1153&lt;&gt;"",$L1153,INDEX(SETUP!$I$1:$I$2000,MATCH(TRUE,SETUP!$J$1:$J$2000,0)+COUNTIFS($A$2:$A1153,"&lt;&gt;",$K$2:$K1153,"Yes",$L$2:$L1153,"")-1)))</f>
        <v/>
      </c>
      <c r="N1153" s="22"/>
    </row>
    <row r="1154" spans="1:14" x14ac:dyDescent="0.3">
      <c r="A1154" s="15" t="str">
        <f>IF(COUNTA($B1154:$E1154,$K1154)=0,"",IF(AND($B1154&lt;&gt;"",$C1154&lt;&gt;"",$D1154&lt;&gt;"",$E1154&lt;&gt;""),"TXS"&amp;TEXT(COUNTIFS($B$2:$B1154,"&lt;&gt;",$C$2:$C1154,"&lt;&gt;",$D$2:$D1154,"&lt;&gt;",$E$2:$E1154,"&lt;&gt;"),"00000"),""))</f>
        <v/>
      </c>
      <c r="B1154" s="16"/>
      <c r="C1154" s="20"/>
      <c r="D1154" s="20"/>
      <c r="E1154" s="23"/>
      <c r="H1154" s="21" t="str">
        <f t="shared" si="60"/>
        <v/>
      </c>
      <c r="I1154" s="21" t="str">
        <f t="shared" si="59"/>
        <v/>
      </c>
      <c r="J1154" s="21" t="str">
        <f t="shared" si="61"/>
        <v/>
      </c>
      <c r="K1154" s="20"/>
      <c r="L1154" s="21" t="str">
        <f>IF(OR(NOT(AND($B1154&lt;&gt;"",$C1154&lt;&gt;"",$D1154&lt;&gt;"",$E1154&lt;&gt;"")),$A1154="",$K1154&lt;&gt;"Yes"),"",IF($L1154&lt;&gt;"",$L1154,INDEX(SETUP!$I$1:$I$2000,MATCH(TRUE,SETUP!$J$1:$J$2000,0)+COUNTIFS($A$2:$A1154,"&lt;&gt;",$K$2:$K1154,"Yes",$L$2:$L1154,"")-1)))</f>
        <v/>
      </c>
      <c r="N1154" s="22"/>
    </row>
    <row r="1155" spans="1:14" x14ac:dyDescent="0.3">
      <c r="A1155" s="15" t="str">
        <f>IF(COUNTA($B1155:$E1155,$K1155)=0,"",IF(AND($B1155&lt;&gt;"",$C1155&lt;&gt;"",$D1155&lt;&gt;"",$E1155&lt;&gt;""),"TXS"&amp;TEXT(COUNTIFS($B$2:$B1155,"&lt;&gt;",$C$2:$C1155,"&lt;&gt;",$D$2:$D1155,"&lt;&gt;",$E$2:$E1155,"&lt;&gt;"),"00000"),""))</f>
        <v/>
      </c>
      <c r="B1155" s="16"/>
      <c r="C1155" s="20"/>
      <c r="D1155" s="20"/>
      <c r="E1155" s="23"/>
      <c r="H1155" s="21" t="str">
        <f t="shared" si="60"/>
        <v/>
      </c>
      <c r="I1155" s="21" t="str">
        <f t="shared" si="59"/>
        <v/>
      </c>
      <c r="J1155" s="21" t="str">
        <f t="shared" si="61"/>
        <v/>
      </c>
      <c r="K1155" s="20"/>
      <c r="L1155" s="21" t="str">
        <f>IF(OR(NOT(AND($B1155&lt;&gt;"",$C1155&lt;&gt;"",$D1155&lt;&gt;"",$E1155&lt;&gt;"")),$A1155="",$K1155&lt;&gt;"Yes"),"",IF($L1155&lt;&gt;"",$L1155,INDEX(SETUP!$I$1:$I$2000,MATCH(TRUE,SETUP!$J$1:$J$2000,0)+COUNTIFS($A$2:$A1155,"&lt;&gt;",$K$2:$K1155,"Yes",$L$2:$L1155,"")-1)))</f>
        <v/>
      </c>
      <c r="N1155" s="22"/>
    </row>
    <row r="1156" spans="1:14" x14ac:dyDescent="0.3">
      <c r="A1156" s="15" t="str">
        <f>IF(COUNTA($B1156:$E1156,$K1156)=0,"",IF(AND($B1156&lt;&gt;"",$C1156&lt;&gt;"",$D1156&lt;&gt;"",$E1156&lt;&gt;""),"TXS"&amp;TEXT(COUNTIFS($B$2:$B1156,"&lt;&gt;",$C$2:$C1156,"&lt;&gt;",$D$2:$D1156,"&lt;&gt;",$E$2:$E1156,"&lt;&gt;"),"00000"),""))</f>
        <v/>
      </c>
      <c r="B1156" s="16"/>
      <c r="C1156" s="20"/>
      <c r="D1156" s="20"/>
      <c r="E1156" s="23"/>
      <c r="H1156" s="21" t="str">
        <f t="shared" si="60"/>
        <v/>
      </c>
      <c r="I1156" s="21" t="str">
        <f t="shared" si="59"/>
        <v/>
      </c>
      <c r="J1156" s="21" t="str">
        <f t="shared" si="61"/>
        <v/>
      </c>
      <c r="K1156" s="20"/>
      <c r="L1156" s="21" t="str">
        <f>IF(OR(NOT(AND($B1156&lt;&gt;"",$C1156&lt;&gt;"",$D1156&lt;&gt;"",$E1156&lt;&gt;"")),$A1156="",$K1156&lt;&gt;"Yes"),"",IF($L1156&lt;&gt;"",$L1156,INDEX(SETUP!$I$1:$I$2000,MATCH(TRUE,SETUP!$J$1:$J$2000,0)+COUNTIFS($A$2:$A1156,"&lt;&gt;",$K$2:$K1156,"Yes",$L$2:$L1156,"")-1)))</f>
        <v/>
      </c>
      <c r="N1156" s="22"/>
    </row>
    <row r="1157" spans="1:14" x14ac:dyDescent="0.3">
      <c r="A1157" s="15" t="str">
        <f>IF(COUNTA($B1157:$E1157,$K1157)=0,"",IF(AND($B1157&lt;&gt;"",$C1157&lt;&gt;"",$D1157&lt;&gt;"",$E1157&lt;&gt;""),"TXS"&amp;TEXT(COUNTIFS($B$2:$B1157,"&lt;&gt;",$C$2:$C1157,"&lt;&gt;",$D$2:$D1157,"&lt;&gt;",$E$2:$E1157,"&lt;&gt;"),"00000"),""))</f>
        <v/>
      </c>
      <c r="B1157" s="16"/>
      <c r="C1157" s="20"/>
      <c r="D1157" s="20"/>
      <c r="E1157" s="23"/>
      <c r="H1157" s="21" t="str">
        <f t="shared" si="60"/>
        <v/>
      </c>
      <c r="I1157" s="21" t="str">
        <f t="shared" si="59"/>
        <v/>
      </c>
      <c r="J1157" s="21" t="str">
        <f t="shared" si="61"/>
        <v/>
      </c>
      <c r="K1157" s="20"/>
      <c r="L1157" s="21" t="str">
        <f>IF(OR(NOT(AND($B1157&lt;&gt;"",$C1157&lt;&gt;"",$D1157&lt;&gt;"",$E1157&lt;&gt;"")),$A1157="",$K1157&lt;&gt;"Yes"),"",IF($L1157&lt;&gt;"",$L1157,INDEX(SETUP!$I$1:$I$2000,MATCH(TRUE,SETUP!$J$1:$J$2000,0)+COUNTIFS($A$2:$A1157,"&lt;&gt;",$K$2:$K1157,"Yes",$L$2:$L1157,"")-1)))</f>
        <v/>
      </c>
      <c r="N1157" s="22"/>
    </row>
    <row r="1158" spans="1:14" x14ac:dyDescent="0.3">
      <c r="A1158" s="15" t="str">
        <f>IF(COUNTA($B1158:$E1158,$K1158)=0,"",IF(AND($B1158&lt;&gt;"",$C1158&lt;&gt;"",$D1158&lt;&gt;"",$E1158&lt;&gt;""),"TXS"&amp;TEXT(COUNTIFS($B$2:$B1158,"&lt;&gt;",$C$2:$C1158,"&lt;&gt;",$D$2:$D1158,"&lt;&gt;",$E$2:$E1158,"&lt;&gt;"),"00000"),""))</f>
        <v/>
      </c>
      <c r="B1158" s="16"/>
      <c r="C1158" s="20"/>
      <c r="D1158" s="20"/>
      <c r="E1158" s="23"/>
      <c r="H1158" s="21" t="str">
        <f t="shared" si="60"/>
        <v/>
      </c>
      <c r="I1158" s="21" t="str">
        <f t="shared" si="59"/>
        <v/>
      </c>
      <c r="J1158" s="21" t="str">
        <f t="shared" si="61"/>
        <v/>
      </c>
      <c r="K1158" s="20"/>
      <c r="L1158" s="21" t="str">
        <f>IF(OR(NOT(AND($B1158&lt;&gt;"",$C1158&lt;&gt;"",$D1158&lt;&gt;"",$E1158&lt;&gt;"")),$A1158="",$K1158&lt;&gt;"Yes"),"",IF($L1158&lt;&gt;"",$L1158,INDEX(SETUP!$I$1:$I$2000,MATCH(TRUE,SETUP!$J$1:$J$2000,0)+COUNTIFS($A$2:$A1158,"&lt;&gt;",$K$2:$K1158,"Yes",$L$2:$L1158,"")-1)))</f>
        <v/>
      </c>
      <c r="N1158" s="22"/>
    </row>
    <row r="1159" spans="1:14" x14ac:dyDescent="0.3">
      <c r="A1159" s="15" t="str">
        <f>IF(COUNTA($B1159:$E1159,$K1159)=0,"",IF(AND($B1159&lt;&gt;"",$C1159&lt;&gt;"",$D1159&lt;&gt;"",$E1159&lt;&gt;""),"TXS"&amp;TEXT(COUNTIFS($B$2:$B1159,"&lt;&gt;",$C$2:$C1159,"&lt;&gt;",$D$2:$D1159,"&lt;&gt;",$E$2:$E1159,"&lt;&gt;"),"00000"),""))</f>
        <v/>
      </c>
      <c r="B1159" s="16"/>
      <c r="C1159" s="20"/>
      <c r="D1159" s="20"/>
      <c r="E1159" s="23"/>
      <c r="H1159" s="21" t="str">
        <f t="shared" si="60"/>
        <v/>
      </c>
      <c r="I1159" s="21" t="str">
        <f t="shared" si="59"/>
        <v/>
      </c>
      <c r="J1159" s="21" t="str">
        <f t="shared" si="61"/>
        <v/>
      </c>
      <c r="K1159" s="20"/>
      <c r="L1159" s="21" t="str">
        <f>IF(OR(NOT(AND($B1159&lt;&gt;"",$C1159&lt;&gt;"",$D1159&lt;&gt;"",$E1159&lt;&gt;"")),$A1159="",$K1159&lt;&gt;"Yes"),"",IF($L1159&lt;&gt;"",$L1159,INDEX(SETUP!$I$1:$I$2000,MATCH(TRUE,SETUP!$J$1:$J$2000,0)+COUNTIFS($A$2:$A1159,"&lt;&gt;",$K$2:$K1159,"Yes",$L$2:$L1159,"")-1)))</f>
        <v/>
      </c>
      <c r="N1159" s="22"/>
    </row>
    <row r="1160" spans="1:14" x14ac:dyDescent="0.3">
      <c r="A1160" s="15" t="str">
        <f>IF(COUNTA($B1160:$E1160,$K1160)=0,"",IF(AND($B1160&lt;&gt;"",$C1160&lt;&gt;"",$D1160&lt;&gt;"",$E1160&lt;&gt;""),"TXS"&amp;TEXT(COUNTIFS($B$2:$B1160,"&lt;&gt;",$C$2:$C1160,"&lt;&gt;",$D$2:$D1160,"&lt;&gt;",$E$2:$E1160,"&lt;&gt;"),"00000"),""))</f>
        <v/>
      </c>
      <c r="B1160" s="16"/>
      <c r="C1160" s="20"/>
      <c r="D1160" s="20"/>
      <c r="E1160" s="23"/>
      <c r="H1160" s="21" t="str">
        <f t="shared" si="60"/>
        <v/>
      </c>
      <c r="I1160" s="21" t="str">
        <f t="shared" si="59"/>
        <v/>
      </c>
      <c r="J1160" s="21" t="str">
        <f t="shared" si="61"/>
        <v/>
      </c>
      <c r="K1160" s="20"/>
      <c r="L1160" s="21" t="str">
        <f>IF(OR(NOT(AND($B1160&lt;&gt;"",$C1160&lt;&gt;"",$D1160&lt;&gt;"",$E1160&lt;&gt;"")),$A1160="",$K1160&lt;&gt;"Yes"),"",IF($L1160&lt;&gt;"",$L1160,INDEX(SETUP!$I$1:$I$2000,MATCH(TRUE,SETUP!$J$1:$J$2000,0)+COUNTIFS($A$2:$A1160,"&lt;&gt;",$K$2:$K1160,"Yes",$L$2:$L1160,"")-1)))</f>
        <v/>
      </c>
      <c r="N1160" s="22"/>
    </row>
    <row r="1161" spans="1:14" x14ac:dyDescent="0.3">
      <c r="A1161" s="15" t="str">
        <f>IF(COUNTA($B1161:$E1161,$K1161)=0,"",IF(AND($B1161&lt;&gt;"",$C1161&lt;&gt;"",$D1161&lt;&gt;"",$E1161&lt;&gt;""),"TXS"&amp;TEXT(COUNTIFS($B$2:$B1161,"&lt;&gt;",$C$2:$C1161,"&lt;&gt;",$D$2:$D1161,"&lt;&gt;",$E$2:$E1161,"&lt;&gt;"),"00000"),""))</f>
        <v/>
      </c>
      <c r="B1161" s="16"/>
      <c r="C1161" s="20"/>
      <c r="D1161" s="20"/>
      <c r="E1161" s="23"/>
      <c r="H1161" s="21" t="str">
        <f t="shared" si="60"/>
        <v/>
      </c>
      <c r="I1161" s="21" t="str">
        <f t="shared" si="59"/>
        <v/>
      </c>
      <c r="J1161" s="21" t="str">
        <f t="shared" si="61"/>
        <v/>
      </c>
      <c r="K1161" s="20"/>
      <c r="L1161" s="21" t="str">
        <f>IF(OR(NOT(AND($B1161&lt;&gt;"",$C1161&lt;&gt;"",$D1161&lt;&gt;"",$E1161&lt;&gt;"")),$A1161="",$K1161&lt;&gt;"Yes"),"",IF($L1161&lt;&gt;"",$L1161,INDEX(SETUP!$I$1:$I$2000,MATCH(TRUE,SETUP!$J$1:$J$2000,0)+COUNTIFS($A$2:$A1161,"&lt;&gt;",$K$2:$K1161,"Yes",$L$2:$L1161,"")-1)))</f>
        <v/>
      </c>
      <c r="N1161" s="22"/>
    </row>
    <row r="1162" spans="1:14" x14ac:dyDescent="0.3">
      <c r="A1162" s="15" t="str">
        <f>IF(COUNTA($B1162:$E1162,$K1162)=0,"",IF(AND($B1162&lt;&gt;"",$C1162&lt;&gt;"",$D1162&lt;&gt;"",$E1162&lt;&gt;""),"TXS"&amp;TEXT(COUNTIFS($B$2:$B1162,"&lt;&gt;",$C$2:$C1162,"&lt;&gt;",$D$2:$D1162,"&lt;&gt;",$E$2:$E1162,"&lt;&gt;"),"00000"),""))</f>
        <v/>
      </c>
      <c r="B1162" s="16"/>
      <c r="C1162" s="20"/>
      <c r="D1162" s="20"/>
      <c r="E1162" s="23"/>
      <c r="H1162" s="21" t="str">
        <f t="shared" si="60"/>
        <v/>
      </c>
      <c r="I1162" s="21" t="str">
        <f t="shared" si="59"/>
        <v/>
      </c>
      <c r="J1162" s="21" t="str">
        <f t="shared" si="61"/>
        <v/>
      </c>
      <c r="K1162" s="20"/>
      <c r="L1162" s="21" t="str">
        <f>IF(OR(NOT(AND($B1162&lt;&gt;"",$C1162&lt;&gt;"",$D1162&lt;&gt;"",$E1162&lt;&gt;"")),$A1162="",$K1162&lt;&gt;"Yes"),"",IF($L1162&lt;&gt;"",$L1162,INDEX(SETUP!$I$1:$I$2000,MATCH(TRUE,SETUP!$J$1:$J$2000,0)+COUNTIFS($A$2:$A1162,"&lt;&gt;",$K$2:$K1162,"Yes",$L$2:$L1162,"")-1)))</f>
        <v/>
      </c>
      <c r="N1162" s="22"/>
    </row>
    <row r="1163" spans="1:14" x14ac:dyDescent="0.3">
      <c r="A1163" s="15" t="str">
        <f>IF(COUNTA($B1163:$E1163,$K1163)=0,"",IF(AND($B1163&lt;&gt;"",$C1163&lt;&gt;"",$D1163&lt;&gt;"",$E1163&lt;&gt;""),"TXS"&amp;TEXT(COUNTIFS($B$2:$B1163,"&lt;&gt;",$C$2:$C1163,"&lt;&gt;",$D$2:$D1163,"&lt;&gt;",$E$2:$E1163,"&lt;&gt;"),"00000"),""))</f>
        <v/>
      </c>
      <c r="B1163" s="16"/>
      <c r="C1163" s="20"/>
      <c r="D1163" s="20"/>
      <c r="E1163" s="23"/>
      <c r="H1163" s="21" t="str">
        <f t="shared" si="60"/>
        <v/>
      </c>
      <c r="I1163" s="21" t="str">
        <f t="shared" si="59"/>
        <v/>
      </c>
      <c r="J1163" s="21" t="str">
        <f t="shared" si="61"/>
        <v/>
      </c>
      <c r="K1163" s="20"/>
      <c r="L1163" s="21" t="str">
        <f>IF(OR(NOT(AND($B1163&lt;&gt;"",$C1163&lt;&gt;"",$D1163&lt;&gt;"",$E1163&lt;&gt;"")),$A1163="",$K1163&lt;&gt;"Yes"),"",IF($L1163&lt;&gt;"",$L1163,INDEX(SETUP!$I$1:$I$2000,MATCH(TRUE,SETUP!$J$1:$J$2000,0)+COUNTIFS($A$2:$A1163,"&lt;&gt;",$K$2:$K1163,"Yes",$L$2:$L1163,"")-1)))</f>
        <v/>
      </c>
      <c r="N1163" s="22"/>
    </row>
    <row r="1164" spans="1:14" x14ac:dyDescent="0.3">
      <c r="A1164" s="15" t="str">
        <f>IF(COUNTA($B1164:$E1164,$K1164)=0,"",IF(AND($B1164&lt;&gt;"",$C1164&lt;&gt;"",$D1164&lt;&gt;"",$E1164&lt;&gt;""),"TXS"&amp;TEXT(COUNTIFS($B$2:$B1164,"&lt;&gt;",$C$2:$C1164,"&lt;&gt;",$D$2:$D1164,"&lt;&gt;",$E$2:$E1164,"&lt;&gt;"),"00000"),""))</f>
        <v/>
      </c>
      <c r="B1164" s="16"/>
      <c r="C1164" s="20"/>
      <c r="D1164" s="20"/>
      <c r="E1164" s="23"/>
      <c r="H1164" s="21" t="str">
        <f t="shared" si="60"/>
        <v/>
      </c>
      <c r="I1164" s="21" t="str">
        <f t="shared" si="59"/>
        <v/>
      </c>
      <c r="J1164" s="21" t="str">
        <f t="shared" si="61"/>
        <v/>
      </c>
      <c r="K1164" s="20"/>
      <c r="L1164" s="21" t="str">
        <f>IF(OR(NOT(AND($B1164&lt;&gt;"",$C1164&lt;&gt;"",$D1164&lt;&gt;"",$E1164&lt;&gt;"")),$A1164="",$K1164&lt;&gt;"Yes"),"",IF($L1164&lt;&gt;"",$L1164,INDEX(SETUP!$I$1:$I$2000,MATCH(TRUE,SETUP!$J$1:$J$2000,0)+COUNTIFS($A$2:$A1164,"&lt;&gt;",$K$2:$K1164,"Yes",$L$2:$L1164,"")-1)))</f>
        <v/>
      </c>
      <c r="N1164" s="22"/>
    </row>
    <row r="1165" spans="1:14" x14ac:dyDescent="0.3">
      <c r="A1165" s="15" t="str">
        <f>IF(COUNTA($B1165:$E1165,$K1165)=0,"",IF(AND($B1165&lt;&gt;"",$C1165&lt;&gt;"",$D1165&lt;&gt;"",$E1165&lt;&gt;""),"TXS"&amp;TEXT(COUNTIFS($B$2:$B1165,"&lt;&gt;",$C$2:$C1165,"&lt;&gt;",$D$2:$D1165,"&lt;&gt;",$E$2:$E1165,"&lt;&gt;"),"00000"),""))</f>
        <v/>
      </c>
      <c r="B1165" s="16"/>
      <c r="C1165" s="20"/>
      <c r="D1165" s="20"/>
      <c r="E1165" s="23"/>
      <c r="H1165" s="21" t="str">
        <f t="shared" si="60"/>
        <v/>
      </c>
      <c r="I1165" s="21" t="str">
        <f t="shared" si="59"/>
        <v/>
      </c>
      <c r="J1165" s="21" t="str">
        <f t="shared" si="61"/>
        <v/>
      </c>
      <c r="K1165" s="20"/>
      <c r="L1165" s="21" t="str">
        <f>IF(OR(NOT(AND($B1165&lt;&gt;"",$C1165&lt;&gt;"",$D1165&lt;&gt;"",$E1165&lt;&gt;"")),$A1165="",$K1165&lt;&gt;"Yes"),"",IF($L1165&lt;&gt;"",$L1165,INDEX(SETUP!$I$1:$I$2000,MATCH(TRUE,SETUP!$J$1:$J$2000,0)+COUNTIFS($A$2:$A1165,"&lt;&gt;",$K$2:$K1165,"Yes",$L$2:$L1165,"")-1)))</f>
        <v/>
      </c>
      <c r="N1165" s="22"/>
    </row>
    <row r="1166" spans="1:14" x14ac:dyDescent="0.3">
      <c r="A1166" s="15" t="str">
        <f>IF(COUNTA($B1166:$E1166,$K1166)=0,"",IF(AND($B1166&lt;&gt;"",$C1166&lt;&gt;"",$D1166&lt;&gt;"",$E1166&lt;&gt;""),"TXS"&amp;TEXT(COUNTIFS($B$2:$B1166,"&lt;&gt;",$C$2:$C1166,"&lt;&gt;",$D$2:$D1166,"&lt;&gt;",$E$2:$E1166,"&lt;&gt;"),"00000"),""))</f>
        <v/>
      </c>
      <c r="B1166" s="16"/>
      <c r="C1166" s="20"/>
      <c r="D1166" s="20"/>
      <c r="E1166" s="23"/>
      <c r="H1166" s="21" t="str">
        <f t="shared" si="60"/>
        <v/>
      </c>
      <c r="I1166" s="21" t="str">
        <f t="shared" si="59"/>
        <v/>
      </c>
      <c r="J1166" s="21" t="str">
        <f t="shared" si="61"/>
        <v/>
      </c>
      <c r="K1166" s="20"/>
      <c r="L1166" s="21" t="str">
        <f>IF(OR(NOT(AND($B1166&lt;&gt;"",$C1166&lt;&gt;"",$D1166&lt;&gt;"",$E1166&lt;&gt;"")),$A1166="",$K1166&lt;&gt;"Yes"),"",IF($L1166&lt;&gt;"",$L1166,INDEX(SETUP!$I$1:$I$2000,MATCH(TRUE,SETUP!$J$1:$J$2000,0)+COUNTIFS($A$2:$A1166,"&lt;&gt;",$K$2:$K1166,"Yes",$L$2:$L1166,"")-1)))</f>
        <v/>
      </c>
      <c r="N1166" s="22"/>
    </row>
    <row r="1167" spans="1:14" x14ac:dyDescent="0.3">
      <c r="A1167" s="15" t="str">
        <f>IF(COUNTA($B1167:$E1167,$K1167)=0,"",IF(AND($B1167&lt;&gt;"",$C1167&lt;&gt;"",$D1167&lt;&gt;"",$E1167&lt;&gt;""),"TXS"&amp;TEXT(COUNTIFS($B$2:$B1167,"&lt;&gt;",$C$2:$C1167,"&lt;&gt;",$D$2:$D1167,"&lt;&gt;",$E$2:$E1167,"&lt;&gt;"),"00000"),""))</f>
        <v/>
      </c>
      <c r="B1167" s="16"/>
      <c r="C1167" s="20"/>
      <c r="D1167" s="20"/>
      <c r="E1167" s="23"/>
      <c r="H1167" s="21" t="str">
        <f t="shared" si="60"/>
        <v/>
      </c>
      <c r="I1167" s="21" t="str">
        <f t="shared" si="59"/>
        <v/>
      </c>
      <c r="J1167" s="21" t="str">
        <f t="shared" si="61"/>
        <v/>
      </c>
      <c r="K1167" s="20"/>
      <c r="L1167" s="21" t="str">
        <f>IF(OR(NOT(AND($B1167&lt;&gt;"",$C1167&lt;&gt;"",$D1167&lt;&gt;"",$E1167&lt;&gt;"")),$A1167="",$K1167&lt;&gt;"Yes"),"",IF($L1167&lt;&gt;"",$L1167,INDEX(SETUP!$I$1:$I$2000,MATCH(TRUE,SETUP!$J$1:$J$2000,0)+COUNTIFS($A$2:$A1167,"&lt;&gt;",$K$2:$K1167,"Yes",$L$2:$L1167,"")-1)))</f>
        <v/>
      </c>
      <c r="N1167" s="22"/>
    </row>
    <row r="1168" spans="1:14" x14ac:dyDescent="0.3">
      <c r="A1168" s="15" t="str">
        <f>IF(COUNTA($B1168:$E1168,$K1168)=0,"",IF(AND($B1168&lt;&gt;"",$C1168&lt;&gt;"",$D1168&lt;&gt;"",$E1168&lt;&gt;""),"TXS"&amp;TEXT(COUNTIFS($B$2:$B1168,"&lt;&gt;",$C$2:$C1168,"&lt;&gt;",$D$2:$D1168,"&lt;&gt;",$E$2:$E1168,"&lt;&gt;"),"00000"),""))</f>
        <v/>
      </c>
      <c r="B1168" s="16"/>
      <c r="C1168" s="20"/>
      <c r="D1168" s="20"/>
      <c r="E1168" s="23"/>
      <c r="H1168" s="21" t="str">
        <f t="shared" si="60"/>
        <v/>
      </c>
      <c r="I1168" s="21" t="str">
        <f t="shared" si="59"/>
        <v/>
      </c>
      <c r="J1168" s="21" t="str">
        <f t="shared" si="61"/>
        <v/>
      </c>
      <c r="K1168" s="20"/>
      <c r="L1168" s="21" t="str">
        <f>IF(OR(NOT(AND($B1168&lt;&gt;"",$C1168&lt;&gt;"",$D1168&lt;&gt;"",$E1168&lt;&gt;"")),$A1168="",$K1168&lt;&gt;"Yes"),"",IF($L1168&lt;&gt;"",$L1168,INDEX(SETUP!$I$1:$I$2000,MATCH(TRUE,SETUP!$J$1:$J$2000,0)+COUNTIFS($A$2:$A1168,"&lt;&gt;",$K$2:$K1168,"Yes",$L$2:$L1168,"")-1)))</f>
        <v/>
      </c>
      <c r="N1168" s="22"/>
    </row>
    <row r="1169" spans="1:14" x14ac:dyDescent="0.3">
      <c r="A1169" s="15" t="str">
        <f>IF(COUNTA($B1169:$E1169,$K1169)=0,"",IF(AND($B1169&lt;&gt;"",$C1169&lt;&gt;"",$D1169&lt;&gt;"",$E1169&lt;&gt;""),"TXS"&amp;TEXT(COUNTIFS($B$2:$B1169,"&lt;&gt;",$C$2:$C1169,"&lt;&gt;",$D$2:$D1169,"&lt;&gt;",$E$2:$E1169,"&lt;&gt;"),"00000"),""))</f>
        <v/>
      </c>
      <c r="B1169" s="16"/>
      <c r="C1169" s="20"/>
      <c r="D1169" s="20"/>
      <c r="E1169" s="23"/>
      <c r="H1169" s="21" t="str">
        <f t="shared" si="60"/>
        <v/>
      </c>
      <c r="I1169" s="21" t="str">
        <f t="shared" si="59"/>
        <v/>
      </c>
      <c r="J1169" s="21" t="str">
        <f t="shared" si="61"/>
        <v/>
      </c>
      <c r="K1169" s="20"/>
      <c r="L1169" s="21" t="str">
        <f>IF(OR(NOT(AND($B1169&lt;&gt;"",$C1169&lt;&gt;"",$D1169&lt;&gt;"",$E1169&lt;&gt;"")),$A1169="",$K1169&lt;&gt;"Yes"),"",IF($L1169&lt;&gt;"",$L1169,INDEX(SETUP!$I$1:$I$2000,MATCH(TRUE,SETUP!$J$1:$J$2000,0)+COUNTIFS($A$2:$A1169,"&lt;&gt;",$K$2:$K1169,"Yes",$L$2:$L1169,"")-1)))</f>
        <v/>
      </c>
      <c r="N1169" s="22"/>
    </row>
    <row r="1170" spans="1:14" x14ac:dyDescent="0.3">
      <c r="A1170" s="15" t="str">
        <f>IF(COUNTA($B1170:$E1170,$K1170)=0,"",IF(AND($B1170&lt;&gt;"",$C1170&lt;&gt;"",$D1170&lt;&gt;"",$E1170&lt;&gt;""),"TXS"&amp;TEXT(COUNTIFS($B$2:$B1170,"&lt;&gt;",$C$2:$C1170,"&lt;&gt;",$D$2:$D1170,"&lt;&gt;",$E$2:$E1170,"&lt;&gt;"),"00000"),""))</f>
        <v/>
      </c>
      <c r="B1170" s="16"/>
      <c r="C1170" s="20"/>
      <c r="D1170" s="20"/>
      <c r="E1170" s="23"/>
      <c r="H1170" s="21" t="str">
        <f t="shared" si="60"/>
        <v/>
      </c>
      <c r="I1170" s="21" t="str">
        <f t="shared" si="59"/>
        <v/>
      </c>
      <c r="J1170" s="21" t="str">
        <f t="shared" si="61"/>
        <v/>
      </c>
      <c r="K1170" s="20"/>
      <c r="L1170" s="21" t="str">
        <f>IF(OR(NOT(AND($B1170&lt;&gt;"",$C1170&lt;&gt;"",$D1170&lt;&gt;"",$E1170&lt;&gt;"")),$A1170="",$K1170&lt;&gt;"Yes"),"",IF($L1170&lt;&gt;"",$L1170,INDEX(SETUP!$I$1:$I$2000,MATCH(TRUE,SETUP!$J$1:$J$2000,0)+COUNTIFS($A$2:$A1170,"&lt;&gt;",$K$2:$K1170,"Yes",$L$2:$L1170,"")-1)))</f>
        <v/>
      </c>
      <c r="N1170" s="22"/>
    </row>
    <row r="1171" spans="1:14" x14ac:dyDescent="0.3">
      <c r="A1171" s="15" t="str">
        <f>IF(COUNTA($B1171:$E1171,$K1171)=0,"",IF(AND($B1171&lt;&gt;"",$C1171&lt;&gt;"",$D1171&lt;&gt;"",$E1171&lt;&gt;""),"TXS"&amp;TEXT(COUNTIFS($B$2:$B1171,"&lt;&gt;",$C$2:$C1171,"&lt;&gt;",$D$2:$D1171,"&lt;&gt;",$E$2:$E1171,"&lt;&gt;"),"00000"),""))</f>
        <v/>
      </c>
      <c r="B1171" s="16"/>
      <c r="C1171" s="20"/>
      <c r="D1171" s="20"/>
      <c r="E1171" s="23"/>
      <c r="H1171" s="21" t="str">
        <f t="shared" si="60"/>
        <v/>
      </c>
      <c r="I1171" s="21" t="str">
        <f t="shared" si="59"/>
        <v/>
      </c>
      <c r="J1171" s="21" t="str">
        <f t="shared" si="61"/>
        <v/>
      </c>
      <c r="K1171" s="20"/>
      <c r="L1171" s="21" t="str">
        <f>IF(OR(NOT(AND($B1171&lt;&gt;"",$C1171&lt;&gt;"",$D1171&lt;&gt;"",$E1171&lt;&gt;"")),$A1171="",$K1171&lt;&gt;"Yes"),"",IF($L1171&lt;&gt;"",$L1171,INDEX(SETUP!$I$1:$I$2000,MATCH(TRUE,SETUP!$J$1:$J$2000,0)+COUNTIFS($A$2:$A1171,"&lt;&gt;",$K$2:$K1171,"Yes",$L$2:$L1171,"")-1)))</f>
        <v/>
      </c>
      <c r="N1171" s="22"/>
    </row>
    <row r="1172" spans="1:14" x14ac:dyDescent="0.3">
      <c r="A1172" s="15" t="str">
        <f>IF(COUNTA($B1172:$E1172,$K1172)=0,"",IF(AND($B1172&lt;&gt;"",$C1172&lt;&gt;"",$D1172&lt;&gt;"",$E1172&lt;&gt;""),"TXS"&amp;TEXT(COUNTIFS($B$2:$B1172,"&lt;&gt;",$C$2:$C1172,"&lt;&gt;",$D$2:$D1172,"&lt;&gt;",$E$2:$E1172,"&lt;&gt;"),"00000"),""))</f>
        <v/>
      </c>
      <c r="B1172" s="16"/>
      <c r="C1172" s="20"/>
      <c r="D1172" s="20"/>
      <c r="E1172" s="23"/>
      <c r="H1172" s="21" t="str">
        <f t="shared" si="60"/>
        <v/>
      </c>
      <c r="I1172" s="21" t="str">
        <f t="shared" si="59"/>
        <v/>
      </c>
      <c r="J1172" s="21" t="str">
        <f t="shared" si="61"/>
        <v/>
      </c>
      <c r="K1172" s="20"/>
      <c r="L1172" s="21" t="str">
        <f>IF(OR(NOT(AND($B1172&lt;&gt;"",$C1172&lt;&gt;"",$D1172&lt;&gt;"",$E1172&lt;&gt;"")),$A1172="",$K1172&lt;&gt;"Yes"),"",IF($L1172&lt;&gt;"",$L1172,INDEX(SETUP!$I$1:$I$2000,MATCH(TRUE,SETUP!$J$1:$J$2000,0)+COUNTIFS($A$2:$A1172,"&lt;&gt;",$K$2:$K1172,"Yes",$L$2:$L1172,"")-1)))</f>
        <v/>
      </c>
      <c r="N1172" s="22"/>
    </row>
    <row r="1173" spans="1:14" x14ac:dyDescent="0.3">
      <c r="A1173" s="15" t="str">
        <f>IF(COUNTA($B1173:$E1173,$K1173)=0,"",IF(AND($B1173&lt;&gt;"",$C1173&lt;&gt;"",$D1173&lt;&gt;"",$E1173&lt;&gt;""),"TXS"&amp;TEXT(COUNTIFS($B$2:$B1173,"&lt;&gt;",$C$2:$C1173,"&lt;&gt;",$D$2:$D1173,"&lt;&gt;",$E$2:$E1173,"&lt;&gt;"),"00000"),""))</f>
        <v/>
      </c>
      <c r="B1173" s="16"/>
      <c r="C1173" s="20"/>
      <c r="D1173" s="20"/>
      <c r="E1173" s="23"/>
      <c r="H1173" s="21" t="str">
        <f t="shared" si="60"/>
        <v/>
      </c>
      <c r="I1173" s="21" t="str">
        <f t="shared" si="59"/>
        <v/>
      </c>
      <c r="J1173" s="21" t="str">
        <f t="shared" si="61"/>
        <v/>
      </c>
      <c r="K1173" s="20"/>
      <c r="L1173" s="21" t="str">
        <f>IF(OR(NOT(AND($B1173&lt;&gt;"",$C1173&lt;&gt;"",$D1173&lt;&gt;"",$E1173&lt;&gt;"")),$A1173="",$K1173&lt;&gt;"Yes"),"",IF($L1173&lt;&gt;"",$L1173,INDEX(SETUP!$I$1:$I$2000,MATCH(TRUE,SETUP!$J$1:$J$2000,0)+COUNTIFS($A$2:$A1173,"&lt;&gt;",$K$2:$K1173,"Yes",$L$2:$L1173,"")-1)))</f>
        <v/>
      </c>
      <c r="N1173" s="22"/>
    </row>
    <row r="1174" spans="1:14" x14ac:dyDescent="0.3">
      <c r="A1174" s="15" t="str">
        <f>IF(COUNTA($B1174:$E1174,$K1174)=0,"",IF(AND($B1174&lt;&gt;"",$C1174&lt;&gt;"",$D1174&lt;&gt;"",$E1174&lt;&gt;""),"TXS"&amp;TEXT(COUNTIFS($B$2:$B1174,"&lt;&gt;",$C$2:$C1174,"&lt;&gt;",$D$2:$D1174,"&lt;&gt;",$E$2:$E1174,"&lt;&gt;"),"00000"),""))</f>
        <v/>
      </c>
      <c r="B1174" s="16"/>
      <c r="C1174" s="20"/>
      <c r="D1174" s="20"/>
      <c r="E1174" s="23"/>
      <c r="H1174" s="21" t="str">
        <f t="shared" si="60"/>
        <v/>
      </c>
      <c r="I1174" s="21" t="str">
        <f t="shared" si="59"/>
        <v/>
      </c>
      <c r="J1174" s="21" t="str">
        <f t="shared" si="61"/>
        <v/>
      </c>
      <c r="K1174" s="20"/>
      <c r="L1174" s="21" t="str">
        <f>IF(OR(NOT(AND($B1174&lt;&gt;"",$C1174&lt;&gt;"",$D1174&lt;&gt;"",$E1174&lt;&gt;"")),$A1174="",$K1174&lt;&gt;"Yes"),"",IF($L1174&lt;&gt;"",$L1174,INDEX(SETUP!$I$1:$I$2000,MATCH(TRUE,SETUP!$J$1:$J$2000,0)+COUNTIFS($A$2:$A1174,"&lt;&gt;",$K$2:$K1174,"Yes",$L$2:$L1174,"")-1)))</f>
        <v/>
      </c>
      <c r="N1174" s="22"/>
    </row>
    <row r="1175" spans="1:14" x14ac:dyDescent="0.3">
      <c r="A1175" s="15" t="str">
        <f>IF(COUNTA($B1175:$E1175,$K1175)=0,"",IF(AND($B1175&lt;&gt;"",$C1175&lt;&gt;"",$D1175&lt;&gt;"",$E1175&lt;&gt;""),"TXS"&amp;TEXT(COUNTIFS($B$2:$B1175,"&lt;&gt;",$C$2:$C1175,"&lt;&gt;",$D$2:$D1175,"&lt;&gt;",$E$2:$E1175,"&lt;&gt;"),"00000"),""))</f>
        <v/>
      </c>
      <c r="B1175" s="16"/>
      <c r="C1175" s="20"/>
      <c r="D1175" s="20"/>
      <c r="E1175" s="23"/>
      <c r="H1175" s="21" t="str">
        <f t="shared" si="60"/>
        <v/>
      </c>
      <c r="I1175" s="21" t="str">
        <f t="shared" si="59"/>
        <v/>
      </c>
      <c r="J1175" s="21" t="str">
        <f t="shared" si="61"/>
        <v/>
      </c>
      <c r="K1175" s="20"/>
      <c r="L1175" s="21" t="str">
        <f>IF(OR(NOT(AND($B1175&lt;&gt;"",$C1175&lt;&gt;"",$D1175&lt;&gt;"",$E1175&lt;&gt;"")),$A1175="",$K1175&lt;&gt;"Yes"),"",IF($L1175&lt;&gt;"",$L1175,INDEX(SETUP!$I$1:$I$2000,MATCH(TRUE,SETUP!$J$1:$J$2000,0)+COUNTIFS($A$2:$A1175,"&lt;&gt;",$K$2:$K1175,"Yes",$L$2:$L1175,"")-1)))</f>
        <v/>
      </c>
      <c r="N1175" s="22"/>
    </row>
    <row r="1176" spans="1:14" x14ac:dyDescent="0.3">
      <c r="A1176" s="15" t="str">
        <f>IF(COUNTA($B1176:$E1176,$K1176)=0,"",IF(AND($B1176&lt;&gt;"",$C1176&lt;&gt;"",$D1176&lt;&gt;"",$E1176&lt;&gt;""),"TXS"&amp;TEXT(COUNTIFS($B$2:$B1176,"&lt;&gt;",$C$2:$C1176,"&lt;&gt;",$D$2:$D1176,"&lt;&gt;",$E$2:$E1176,"&lt;&gt;"),"00000"),""))</f>
        <v/>
      </c>
      <c r="B1176" s="16"/>
      <c r="C1176" s="20"/>
      <c r="D1176" s="20"/>
      <c r="E1176" s="23"/>
      <c r="H1176" s="21" t="str">
        <f t="shared" si="60"/>
        <v/>
      </c>
      <c r="I1176" s="21" t="str">
        <f t="shared" si="59"/>
        <v/>
      </c>
      <c r="J1176" s="21" t="str">
        <f t="shared" si="61"/>
        <v/>
      </c>
      <c r="K1176" s="20"/>
      <c r="L1176" s="21" t="str">
        <f>IF(OR(NOT(AND($B1176&lt;&gt;"",$C1176&lt;&gt;"",$D1176&lt;&gt;"",$E1176&lt;&gt;"")),$A1176="",$K1176&lt;&gt;"Yes"),"",IF($L1176&lt;&gt;"",$L1176,INDEX(SETUP!$I$1:$I$2000,MATCH(TRUE,SETUP!$J$1:$J$2000,0)+COUNTIFS($A$2:$A1176,"&lt;&gt;",$K$2:$K1176,"Yes",$L$2:$L1176,"")-1)))</f>
        <v/>
      </c>
      <c r="N1176" s="22"/>
    </row>
    <row r="1177" spans="1:14" x14ac:dyDescent="0.3">
      <c r="A1177" s="15" t="str">
        <f>IF(COUNTA($B1177:$E1177,$K1177)=0,"",IF(AND($B1177&lt;&gt;"",$C1177&lt;&gt;"",$D1177&lt;&gt;"",$E1177&lt;&gt;""),"TXS"&amp;TEXT(COUNTIFS($B$2:$B1177,"&lt;&gt;",$C$2:$C1177,"&lt;&gt;",$D$2:$D1177,"&lt;&gt;",$E$2:$E1177,"&lt;&gt;"),"00000"),""))</f>
        <v/>
      </c>
      <c r="B1177" s="16"/>
      <c r="C1177" s="20"/>
      <c r="D1177" s="20"/>
      <c r="E1177" s="23"/>
      <c r="H1177" s="21" t="str">
        <f t="shared" si="60"/>
        <v/>
      </c>
      <c r="I1177" s="21" t="str">
        <f t="shared" si="59"/>
        <v/>
      </c>
      <c r="J1177" s="21" t="str">
        <f t="shared" si="61"/>
        <v/>
      </c>
      <c r="K1177" s="20"/>
      <c r="L1177" s="21" t="str">
        <f>IF(OR(NOT(AND($B1177&lt;&gt;"",$C1177&lt;&gt;"",$D1177&lt;&gt;"",$E1177&lt;&gt;"")),$A1177="",$K1177&lt;&gt;"Yes"),"",IF($L1177&lt;&gt;"",$L1177,INDEX(SETUP!$I$1:$I$2000,MATCH(TRUE,SETUP!$J$1:$J$2000,0)+COUNTIFS($A$2:$A1177,"&lt;&gt;",$K$2:$K1177,"Yes",$L$2:$L1177,"")-1)))</f>
        <v/>
      </c>
      <c r="N1177" s="22"/>
    </row>
    <row r="1178" spans="1:14" x14ac:dyDescent="0.3">
      <c r="A1178" s="15" t="str">
        <f>IF(COUNTA($B1178:$E1178,$K1178)=0,"",IF(AND($B1178&lt;&gt;"",$C1178&lt;&gt;"",$D1178&lt;&gt;"",$E1178&lt;&gt;""),"TXS"&amp;TEXT(COUNTIFS($B$2:$B1178,"&lt;&gt;",$C$2:$C1178,"&lt;&gt;",$D$2:$D1178,"&lt;&gt;",$E$2:$E1178,"&lt;&gt;"),"00000"),""))</f>
        <v/>
      </c>
      <c r="B1178" s="16"/>
      <c r="C1178" s="20"/>
      <c r="D1178" s="20"/>
      <c r="E1178" s="23"/>
      <c r="H1178" s="21" t="str">
        <f t="shared" si="60"/>
        <v/>
      </c>
      <c r="I1178" s="21" t="str">
        <f t="shared" si="59"/>
        <v/>
      </c>
      <c r="J1178" s="21" t="str">
        <f t="shared" si="61"/>
        <v/>
      </c>
      <c r="K1178" s="20"/>
      <c r="L1178" s="21" t="str">
        <f>IF(OR(NOT(AND($B1178&lt;&gt;"",$C1178&lt;&gt;"",$D1178&lt;&gt;"",$E1178&lt;&gt;"")),$A1178="",$K1178&lt;&gt;"Yes"),"",IF($L1178&lt;&gt;"",$L1178,INDEX(SETUP!$I$1:$I$2000,MATCH(TRUE,SETUP!$J$1:$J$2000,0)+COUNTIFS($A$2:$A1178,"&lt;&gt;",$K$2:$K1178,"Yes",$L$2:$L1178,"")-1)))</f>
        <v/>
      </c>
      <c r="N1178" s="22"/>
    </row>
    <row r="1179" spans="1:14" x14ac:dyDescent="0.3">
      <c r="A1179" s="15" t="str">
        <f>IF(COUNTA($B1179:$E1179,$K1179)=0,"",IF(AND($B1179&lt;&gt;"",$C1179&lt;&gt;"",$D1179&lt;&gt;"",$E1179&lt;&gt;""),"TXS"&amp;TEXT(COUNTIFS($B$2:$B1179,"&lt;&gt;",$C$2:$C1179,"&lt;&gt;",$D$2:$D1179,"&lt;&gt;",$E$2:$E1179,"&lt;&gt;"),"00000"),""))</f>
        <v/>
      </c>
      <c r="B1179" s="16"/>
      <c r="C1179" s="20"/>
      <c r="D1179" s="20"/>
      <c r="E1179" s="23"/>
      <c r="H1179" s="21" t="str">
        <f t="shared" si="60"/>
        <v/>
      </c>
      <c r="I1179" s="21" t="str">
        <f t="shared" si="59"/>
        <v/>
      </c>
      <c r="J1179" s="21" t="str">
        <f t="shared" si="61"/>
        <v/>
      </c>
      <c r="K1179" s="20"/>
      <c r="L1179" s="21" t="str">
        <f>IF(OR(NOT(AND($B1179&lt;&gt;"",$C1179&lt;&gt;"",$D1179&lt;&gt;"",$E1179&lt;&gt;"")),$A1179="",$K1179&lt;&gt;"Yes"),"",IF($L1179&lt;&gt;"",$L1179,INDEX(SETUP!$I$1:$I$2000,MATCH(TRUE,SETUP!$J$1:$J$2000,0)+COUNTIFS($A$2:$A1179,"&lt;&gt;",$K$2:$K1179,"Yes",$L$2:$L1179,"")-1)))</f>
        <v/>
      </c>
      <c r="N1179" s="22"/>
    </row>
    <row r="1180" spans="1:14" x14ac:dyDescent="0.3">
      <c r="A1180" s="15" t="str">
        <f>IF(COUNTA($B1180:$E1180,$K1180)=0,"",IF(AND($B1180&lt;&gt;"",$C1180&lt;&gt;"",$D1180&lt;&gt;"",$E1180&lt;&gt;""),"TXS"&amp;TEXT(COUNTIFS($B$2:$B1180,"&lt;&gt;",$C$2:$C1180,"&lt;&gt;",$D$2:$D1180,"&lt;&gt;",$E$2:$E1180,"&lt;&gt;"),"00000"),""))</f>
        <v/>
      </c>
      <c r="B1180" s="16"/>
      <c r="C1180" s="20"/>
      <c r="D1180" s="20"/>
      <c r="E1180" s="23"/>
      <c r="H1180" s="21" t="str">
        <f t="shared" si="60"/>
        <v/>
      </c>
      <c r="I1180" s="21" t="str">
        <f t="shared" si="59"/>
        <v/>
      </c>
      <c r="J1180" s="21" t="str">
        <f t="shared" si="61"/>
        <v/>
      </c>
      <c r="K1180" s="20"/>
      <c r="L1180" s="21" t="str">
        <f>IF(OR(NOT(AND($B1180&lt;&gt;"",$C1180&lt;&gt;"",$D1180&lt;&gt;"",$E1180&lt;&gt;"")),$A1180="",$K1180&lt;&gt;"Yes"),"",IF($L1180&lt;&gt;"",$L1180,INDEX(SETUP!$I$1:$I$2000,MATCH(TRUE,SETUP!$J$1:$J$2000,0)+COUNTIFS($A$2:$A1180,"&lt;&gt;",$K$2:$K1180,"Yes",$L$2:$L1180,"")-1)))</f>
        <v/>
      </c>
      <c r="N1180" s="22"/>
    </row>
    <row r="1181" spans="1:14" x14ac:dyDescent="0.3">
      <c r="A1181" s="15" t="str">
        <f>IF(COUNTA($B1181:$E1181,$K1181)=0,"",IF(AND($B1181&lt;&gt;"",$C1181&lt;&gt;"",$D1181&lt;&gt;"",$E1181&lt;&gt;""),"TXS"&amp;TEXT(COUNTIFS($B$2:$B1181,"&lt;&gt;",$C$2:$C1181,"&lt;&gt;",$D$2:$D1181,"&lt;&gt;",$E$2:$E1181,"&lt;&gt;"),"00000"),""))</f>
        <v/>
      </c>
      <c r="B1181" s="16"/>
      <c r="C1181" s="20"/>
      <c r="D1181" s="20"/>
      <c r="E1181" s="23"/>
      <c r="H1181" s="21" t="str">
        <f t="shared" si="60"/>
        <v/>
      </c>
      <c r="I1181" s="21" t="str">
        <f t="shared" si="59"/>
        <v/>
      </c>
      <c r="J1181" s="21" t="str">
        <f t="shared" si="61"/>
        <v/>
      </c>
      <c r="K1181" s="20"/>
      <c r="L1181" s="21" t="str">
        <f>IF(OR(NOT(AND($B1181&lt;&gt;"",$C1181&lt;&gt;"",$D1181&lt;&gt;"",$E1181&lt;&gt;"")),$A1181="",$K1181&lt;&gt;"Yes"),"",IF($L1181&lt;&gt;"",$L1181,INDEX(SETUP!$I$1:$I$2000,MATCH(TRUE,SETUP!$J$1:$J$2000,0)+COUNTIFS($A$2:$A1181,"&lt;&gt;",$K$2:$K1181,"Yes",$L$2:$L1181,"")-1)))</f>
        <v/>
      </c>
      <c r="N1181" s="22"/>
    </row>
    <row r="1182" spans="1:14" x14ac:dyDescent="0.3">
      <c r="A1182" s="15" t="str">
        <f>IF(COUNTA($B1182:$E1182,$K1182)=0,"",IF(AND($B1182&lt;&gt;"",$C1182&lt;&gt;"",$D1182&lt;&gt;"",$E1182&lt;&gt;""),"TXS"&amp;TEXT(COUNTIFS($B$2:$B1182,"&lt;&gt;",$C$2:$C1182,"&lt;&gt;",$D$2:$D1182,"&lt;&gt;",$E$2:$E1182,"&lt;&gt;"),"00000"),""))</f>
        <v/>
      </c>
      <c r="B1182" s="16"/>
      <c r="C1182" s="20"/>
      <c r="D1182" s="20"/>
      <c r="E1182" s="23"/>
      <c r="H1182" s="21" t="str">
        <f t="shared" si="60"/>
        <v/>
      </c>
      <c r="I1182" s="21" t="str">
        <f t="shared" si="59"/>
        <v/>
      </c>
      <c r="J1182" s="21" t="str">
        <f t="shared" si="61"/>
        <v/>
      </c>
      <c r="K1182" s="20"/>
      <c r="L1182" s="21" t="str">
        <f>IF(OR(NOT(AND($B1182&lt;&gt;"",$C1182&lt;&gt;"",$D1182&lt;&gt;"",$E1182&lt;&gt;"")),$A1182="",$K1182&lt;&gt;"Yes"),"",IF($L1182&lt;&gt;"",$L1182,INDEX(SETUP!$I$1:$I$2000,MATCH(TRUE,SETUP!$J$1:$J$2000,0)+COUNTIFS($A$2:$A1182,"&lt;&gt;",$K$2:$K1182,"Yes",$L$2:$L1182,"")-1)))</f>
        <v/>
      </c>
      <c r="N1182" s="22"/>
    </row>
    <row r="1183" spans="1:14" x14ac:dyDescent="0.3">
      <c r="A1183" s="15" t="str">
        <f>IF(COUNTA($B1183:$E1183,$K1183)=0,"",IF(AND($B1183&lt;&gt;"",$C1183&lt;&gt;"",$D1183&lt;&gt;"",$E1183&lt;&gt;""),"TXS"&amp;TEXT(COUNTIFS($B$2:$B1183,"&lt;&gt;",$C$2:$C1183,"&lt;&gt;",$D$2:$D1183,"&lt;&gt;",$E$2:$E1183,"&lt;&gt;"),"00000"),""))</f>
        <v/>
      </c>
      <c r="B1183" s="16"/>
      <c r="C1183" s="20"/>
      <c r="D1183" s="20"/>
      <c r="E1183" s="23"/>
      <c r="H1183" s="21" t="str">
        <f t="shared" si="60"/>
        <v/>
      </c>
      <c r="I1183" s="21" t="str">
        <f t="shared" si="59"/>
        <v/>
      </c>
      <c r="J1183" s="21" t="str">
        <f t="shared" si="61"/>
        <v/>
      </c>
      <c r="K1183" s="20"/>
      <c r="L1183" s="21" t="str">
        <f>IF(OR(NOT(AND($B1183&lt;&gt;"",$C1183&lt;&gt;"",$D1183&lt;&gt;"",$E1183&lt;&gt;"")),$A1183="",$K1183&lt;&gt;"Yes"),"",IF($L1183&lt;&gt;"",$L1183,INDEX(SETUP!$I$1:$I$2000,MATCH(TRUE,SETUP!$J$1:$J$2000,0)+COUNTIFS($A$2:$A1183,"&lt;&gt;",$K$2:$K1183,"Yes",$L$2:$L1183,"")-1)))</f>
        <v/>
      </c>
      <c r="N1183" s="22"/>
    </row>
    <row r="1184" spans="1:14" x14ac:dyDescent="0.3">
      <c r="A1184" s="15" t="str">
        <f>IF(COUNTA($B1184:$E1184,$K1184)=0,"",IF(AND($B1184&lt;&gt;"",$C1184&lt;&gt;"",$D1184&lt;&gt;"",$E1184&lt;&gt;""),"TXS"&amp;TEXT(COUNTIFS($B$2:$B1184,"&lt;&gt;",$C$2:$C1184,"&lt;&gt;",$D$2:$D1184,"&lt;&gt;",$E$2:$E1184,"&lt;&gt;"),"00000"),""))</f>
        <v/>
      </c>
      <c r="B1184" s="16"/>
      <c r="C1184" s="20"/>
      <c r="D1184" s="20"/>
      <c r="E1184" s="23"/>
      <c r="H1184" s="21" t="str">
        <f t="shared" si="60"/>
        <v/>
      </c>
      <c r="I1184" s="21" t="str">
        <f t="shared" si="59"/>
        <v/>
      </c>
      <c r="J1184" s="21" t="str">
        <f t="shared" si="61"/>
        <v/>
      </c>
      <c r="K1184" s="20"/>
      <c r="L1184" s="21" t="str">
        <f>IF(OR(NOT(AND($B1184&lt;&gt;"",$C1184&lt;&gt;"",$D1184&lt;&gt;"",$E1184&lt;&gt;"")),$A1184="",$K1184&lt;&gt;"Yes"),"",IF($L1184&lt;&gt;"",$L1184,INDEX(SETUP!$I$1:$I$2000,MATCH(TRUE,SETUP!$J$1:$J$2000,0)+COUNTIFS($A$2:$A1184,"&lt;&gt;",$K$2:$K1184,"Yes",$L$2:$L1184,"")-1)))</f>
        <v/>
      </c>
      <c r="N1184" s="22"/>
    </row>
    <row r="1185" spans="1:14" x14ac:dyDescent="0.3">
      <c r="A1185" s="15" t="str">
        <f>IF(COUNTA($B1185:$E1185,$K1185)=0,"",IF(AND($B1185&lt;&gt;"",$C1185&lt;&gt;"",$D1185&lt;&gt;"",$E1185&lt;&gt;""),"TXS"&amp;TEXT(COUNTIFS($B$2:$B1185,"&lt;&gt;",$C$2:$C1185,"&lt;&gt;",$D$2:$D1185,"&lt;&gt;",$E$2:$E1185,"&lt;&gt;"),"00000"),""))</f>
        <v/>
      </c>
      <c r="B1185" s="16"/>
      <c r="C1185" s="20"/>
      <c r="D1185" s="20"/>
      <c r="E1185" s="23"/>
      <c r="H1185" s="21" t="str">
        <f t="shared" si="60"/>
        <v/>
      </c>
      <c r="I1185" s="21" t="str">
        <f t="shared" si="59"/>
        <v/>
      </c>
      <c r="J1185" s="21" t="str">
        <f t="shared" si="61"/>
        <v/>
      </c>
      <c r="K1185" s="20"/>
      <c r="L1185" s="21" t="str">
        <f>IF(OR(NOT(AND($B1185&lt;&gt;"",$C1185&lt;&gt;"",$D1185&lt;&gt;"",$E1185&lt;&gt;"")),$A1185="",$K1185&lt;&gt;"Yes"),"",IF($L1185&lt;&gt;"",$L1185,INDEX(SETUP!$I$1:$I$2000,MATCH(TRUE,SETUP!$J$1:$J$2000,0)+COUNTIFS($A$2:$A1185,"&lt;&gt;",$K$2:$K1185,"Yes",$L$2:$L1185,"")-1)))</f>
        <v/>
      </c>
      <c r="N1185" s="22"/>
    </row>
    <row r="1186" spans="1:14" x14ac:dyDescent="0.3">
      <c r="A1186" s="15" t="str">
        <f>IF(COUNTA($B1186:$E1186,$K1186)=0,"",IF(AND($B1186&lt;&gt;"",$C1186&lt;&gt;"",$D1186&lt;&gt;"",$E1186&lt;&gt;""),"TXS"&amp;TEXT(COUNTIFS($B$2:$B1186,"&lt;&gt;",$C$2:$C1186,"&lt;&gt;",$D$2:$D1186,"&lt;&gt;",$E$2:$E1186,"&lt;&gt;"),"00000"),""))</f>
        <v/>
      </c>
      <c r="B1186" s="16"/>
      <c r="C1186" s="20"/>
      <c r="D1186" s="20"/>
      <c r="E1186" s="23"/>
      <c r="H1186" s="21" t="str">
        <f t="shared" si="60"/>
        <v/>
      </c>
      <c r="I1186" s="21" t="str">
        <f t="shared" si="59"/>
        <v/>
      </c>
      <c r="J1186" s="21" t="str">
        <f t="shared" si="61"/>
        <v/>
      </c>
      <c r="K1186" s="20"/>
      <c r="L1186" s="21" t="str">
        <f>IF(OR(NOT(AND($B1186&lt;&gt;"",$C1186&lt;&gt;"",$D1186&lt;&gt;"",$E1186&lt;&gt;"")),$A1186="",$K1186&lt;&gt;"Yes"),"",IF($L1186&lt;&gt;"",$L1186,INDEX(SETUP!$I$1:$I$2000,MATCH(TRUE,SETUP!$J$1:$J$2000,0)+COUNTIFS($A$2:$A1186,"&lt;&gt;",$K$2:$K1186,"Yes",$L$2:$L1186,"")-1)))</f>
        <v/>
      </c>
      <c r="N1186" s="22"/>
    </row>
    <row r="1187" spans="1:14" x14ac:dyDescent="0.3">
      <c r="A1187" s="15" t="str">
        <f>IF(COUNTA($B1187:$E1187,$K1187)=0,"",IF(AND($B1187&lt;&gt;"",$C1187&lt;&gt;"",$D1187&lt;&gt;"",$E1187&lt;&gt;""),"TXS"&amp;TEXT(COUNTIFS($B$2:$B1187,"&lt;&gt;",$C$2:$C1187,"&lt;&gt;",$D$2:$D1187,"&lt;&gt;",$E$2:$E1187,"&lt;&gt;"),"00000"),""))</f>
        <v/>
      </c>
      <c r="B1187" s="16"/>
      <c r="C1187" s="20"/>
      <c r="D1187" s="20"/>
      <c r="E1187" s="23"/>
      <c r="H1187" s="21" t="str">
        <f t="shared" si="60"/>
        <v/>
      </c>
      <c r="I1187" s="21" t="str">
        <f t="shared" si="59"/>
        <v/>
      </c>
      <c r="J1187" s="21" t="str">
        <f t="shared" si="61"/>
        <v/>
      </c>
      <c r="K1187" s="20"/>
      <c r="L1187" s="21" t="str">
        <f>IF(OR(NOT(AND($B1187&lt;&gt;"",$C1187&lt;&gt;"",$D1187&lt;&gt;"",$E1187&lt;&gt;"")),$A1187="",$K1187&lt;&gt;"Yes"),"",IF($L1187&lt;&gt;"",$L1187,INDEX(SETUP!$I$1:$I$2000,MATCH(TRUE,SETUP!$J$1:$J$2000,0)+COUNTIFS($A$2:$A1187,"&lt;&gt;",$K$2:$K1187,"Yes",$L$2:$L1187,"")-1)))</f>
        <v/>
      </c>
      <c r="N1187" s="22"/>
    </row>
    <row r="1188" spans="1:14" x14ac:dyDescent="0.3">
      <c r="A1188" s="15" t="str">
        <f>IF(COUNTA($B1188:$E1188,$K1188)=0,"",IF(AND($B1188&lt;&gt;"",$C1188&lt;&gt;"",$D1188&lt;&gt;"",$E1188&lt;&gt;""),"TXS"&amp;TEXT(COUNTIFS($B$2:$B1188,"&lt;&gt;",$C$2:$C1188,"&lt;&gt;",$D$2:$D1188,"&lt;&gt;",$E$2:$E1188,"&lt;&gt;"),"00000"),""))</f>
        <v/>
      </c>
      <c r="B1188" s="16"/>
      <c r="C1188" s="20"/>
      <c r="D1188" s="20"/>
      <c r="E1188" s="23"/>
      <c r="H1188" s="21" t="str">
        <f t="shared" si="60"/>
        <v/>
      </c>
      <c r="I1188" s="21" t="str">
        <f t="shared" si="59"/>
        <v/>
      </c>
      <c r="J1188" s="21" t="str">
        <f t="shared" si="61"/>
        <v/>
      </c>
      <c r="K1188" s="20"/>
      <c r="L1188" s="21" t="str">
        <f>IF(OR(NOT(AND($B1188&lt;&gt;"",$C1188&lt;&gt;"",$D1188&lt;&gt;"",$E1188&lt;&gt;"")),$A1188="",$K1188&lt;&gt;"Yes"),"",IF($L1188&lt;&gt;"",$L1188,INDEX(SETUP!$I$1:$I$2000,MATCH(TRUE,SETUP!$J$1:$J$2000,0)+COUNTIFS($A$2:$A1188,"&lt;&gt;",$K$2:$K1188,"Yes",$L$2:$L1188,"")-1)))</f>
        <v/>
      </c>
      <c r="N1188" s="22"/>
    </row>
    <row r="1189" spans="1:14" x14ac:dyDescent="0.3">
      <c r="A1189" s="15" t="str">
        <f>IF(COUNTA($B1189:$E1189,$K1189)=0,"",IF(AND($B1189&lt;&gt;"",$C1189&lt;&gt;"",$D1189&lt;&gt;"",$E1189&lt;&gt;""),"TXS"&amp;TEXT(COUNTIFS($B$2:$B1189,"&lt;&gt;",$C$2:$C1189,"&lt;&gt;",$D$2:$D1189,"&lt;&gt;",$E$2:$E1189,"&lt;&gt;"),"00000"),""))</f>
        <v/>
      </c>
      <c r="B1189" s="16"/>
      <c r="C1189" s="20"/>
      <c r="D1189" s="20"/>
      <c r="E1189" s="23"/>
      <c r="H1189" s="21" t="str">
        <f t="shared" si="60"/>
        <v/>
      </c>
      <c r="I1189" s="21" t="str">
        <f t="shared" si="59"/>
        <v/>
      </c>
      <c r="J1189" s="21" t="str">
        <f t="shared" si="61"/>
        <v/>
      </c>
      <c r="K1189" s="20"/>
      <c r="L1189" s="21" t="str">
        <f>IF(OR(NOT(AND($B1189&lt;&gt;"",$C1189&lt;&gt;"",$D1189&lt;&gt;"",$E1189&lt;&gt;"")),$A1189="",$K1189&lt;&gt;"Yes"),"",IF($L1189&lt;&gt;"",$L1189,INDEX(SETUP!$I$1:$I$2000,MATCH(TRUE,SETUP!$J$1:$J$2000,0)+COUNTIFS($A$2:$A1189,"&lt;&gt;",$K$2:$K1189,"Yes",$L$2:$L1189,"")-1)))</f>
        <v/>
      </c>
      <c r="N1189" s="22"/>
    </row>
    <row r="1190" spans="1:14" x14ac:dyDescent="0.3">
      <c r="A1190" s="15" t="str">
        <f>IF(COUNTA($B1190:$E1190,$K1190)=0,"",IF(AND($B1190&lt;&gt;"",$C1190&lt;&gt;"",$D1190&lt;&gt;"",$E1190&lt;&gt;""),"TXS"&amp;TEXT(COUNTIFS($B$2:$B1190,"&lt;&gt;",$C$2:$C1190,"&lt;&gt;",$D$2:$D1190,"&lt;&gt;",$E$2:$E1190,"&lt;&gt;"),"00000"),""))</f>
        <v/>
      </c>
      <c r="B1190" s="16"/>
      <c r="C1190" s="20"/>
      <c r="D1190" s="20"/>
      <c r="E1190" s="23"/>
      <c r="H1190" s="21" t="str">
        <f t="shared" si="60"/>
        <v/>
      </c>
      <c r="I1190" s="21" t="str">
        <f t="shared" si="59"/>
        <v/>
      </c>
      <c r="J1190" s="21" t="str">
        <f t="shared" si="61"/>
        <v/>
      </c>
      <c r="K1190" s="20"/>
      <c r="L1190" s="21" t="str">
        <f>IF(OR(NOT(AND($B1190&lt;&gt;"",$C1190&lt;&gt;"",$D1190&lt;&gt;"",$E1190&lt;&gt;"")),$A1190="",$K1190&lt;&gt;"Yes"),"",IF($L1190&lt;&gt;"",$L1190,INDEX(SETUP!$I$1:$I$2000,MATCH(TRUE,SETUP!$J$1:$J$2000,0)+COUNTIFS($A$2:$A1190,"&lt;&gt;",$K$2:$K1190,"Yes",$L$2:$L1190,"")-1)))</f>
        <v/>
      </c>
      <c r="N1190" s="22"/>
    </row>
    <row r="1191" spans="1:14" x14ac:dyDescent="0.3">
      <c r="A1191" s="15" t="str">
        <f>IF(COUNTA($B1191:$E1191,$K1191)=0,"",IF(AND($B1191&lt;&gt;"",$C1191&lt;&gt;"",$D1191&lt;&gt;"",$E1191&lt;&gt;""),"TXS"&amp;TEXT(COUNTIFS($B$2:$B1191,"&lt;&gt;",$C$2:$C1191,"&lt;&gt;",$D$2:$D1191,"&lt;&gt;",$E$2:$E1191,"&lt;&gt;"),"00000"),""))</f>
        <v/>
      </c>
      <c r="B1191" s="16"/>
      <c r="C1191" s="20"/>
      <c r="D1191" s="20"/>
      <c r="E1191" s="23"/>
      <c r="H1191" s="21" t="str">
        <f t="shared" si="60"/>
        <v/>
      </c>
      <c r="I1191" s="21" t="str">
        <f t="shared" si="59"/>
        <v/>
      </c>
      <c r="J1191" s="21" t="str">
        <f t="shared" si="61"/>
        <v/>
      </c>
      <c r="K1191" s="20"/>
      <c r="L1191" s="21" t="str">
        <f>IF(OR(NOT(AND($B1191&lt;&gt;"",$C1191&lt;&gt;"",$D1191&lt;&gt;"",$E1191&lt;&gt;"")),$A1191="",$K1191&lt;&gt;"Yes"),"",IF($L1191&lt;&gt;"",$L1191,INDEX(SETUP!$I$1:$I$2000,MATCH(TRUE,SETUP!$J$1:$J$2000,0)+COUNTIFS($A$2:$A1191,"&lt;&gt;",$K$2:$K1191,"Yes",$L$2:$L1191,"")-1)))</f>
        <v/>
      </c>
      <c r="N1191" s="22"/>
    </row>
    <row r="1192" spans="1:14" x14ac:dyDescent="0.3">
      <c r="A1192" s="15" t="str">
        <f>IF(COUNTA($B1192:$E1192,$K1192)=0,"",IF(AND($B1192&lt;&gt;"",$C1192&lt;&gt;"",$D1192&lt;&gt;"",$E1192&lt;&gt;""),"TXS"&amp;TEXT(COUNTIFS($B$2:$B1192,"&lt;&gt;",$C$2:$C1192,"&lt;&gt;",$D$2:$D1192,"&lt;&gt;",$E$2:$E1192,"&lt;&gt;"),"00000"),""))</f>
        <v/>
      </c>
      <c r="B1192" s="16"/>
      <c r="C1192" s="20"/>
      <c r="D1192" s="20"/>
      <c r="E1192" s="23"/>
      <c r="H1192" s="21" t="str">
        <f t="shared" si="60"/>
        <v/>
      </c>
      <c r="I1192" s="21" t="str">
        <f t="shared" si="59"/>
        <v/>
      </c>
      <c r="J1192" s="21" t="str">
        <f t="shared" si="61"/>
        <v/>
      </c>
      <c r="K1192" s="20"/>
      <c r="L1192" s="21" t="str">
        <f>IF(OR(NOT(AND($B1192&lt;&gt;"",$C1192&lt;&gt;"",$D1192&lt;&gt;"",$E1192&lt;&gt;"")),$A1192="",$K1192&lt;&gt;"Yes"),"",IF($L1192&lt;&gt;"",$L1192,INDEX(SETUP!$I$1:$I$2000,MATCH(TRUE,SETUP!$J$1:$J$2000,0)+COUNTIFS($A$2:$A1192,"&lt;&gt;",$K$2:$K1192,"Yes",$L$2:$L1192,"")-1)))</f>
        <v/>
      </c>
      <c r="N1192" s="22"/>
    </row>
    <row r="1193" spans="1:14" x14ac:dyDescent="0.3">
      <c r="A1193" s="15" t="str">
        <f>IF(COUNTA($B1193:$E1193,$K1193)=0,"",IF(AND($B1193&lt;&gt;"",$C1193&lt;&gt;"",$D1193&lt;&gt;"",$E1193&lt;&gt;""),"TXS"&amp;TEXT(COUNTIFS($B$2:$B1193,"&lt;&gt;",$C$2:$C1193,"&lt;&gt;",$D$2:$D1193,"&lt;&gt;",$E$2:$E1193,"&lt;&gt;"),"00000"),""))</f>
        <v/>
      </c>
      <c r="B1193" s="16"/>
      <c r="C1193" s="20"/>
      <c r="D1193" s="20"/>
      <c r="E1193" s="23"/>
      <c r="H1193" s="21" t="str">
        <f t="shared" si="60"/>
        <v/>
      </c>
      <c r="I1193" s="21" t="str">
        <f t="shared" ref="I1193:I1256" si="62">IF(NOT(AND($B1193&lt;&gt;"",$C1193&lt;&gt;"",$D1193&lt;&gt;"",$E1193&lt;&gt;"")),"",IF($A1193="","","NIH plate "&amp;INT((VALUE(RIGHT($A1193,5))-1)/96)+1&amp;": "&amp;CHAR(65+INT(MOD(VALUE(RIGHT($A1193,5))-1,96)/12))&amp;(MOD(VALUE(RIGHT($A1193,5))-1,12)+1)))</f>
        <v/>
      </c>
      <c r="J1193" s="21" t="str">
        <f t="shared" si="61"/>
        <v/>
      </c>
      <c r="K1193" s="20"/>
      <c r="L1193" s="21" t="str">
        <f>IF(OR(NOT(AND($B1193&lt;&gt;"",$C1193&lt;&gt;"",$D1193&lt;&gt;"",$E1193&lt;&gt;"")),$A1193="",$K1193&lt;&gt;"Yes"),"",IF($L1193&lt;&gt;"",$L1193,INDEX(SETUP!$I$1:$I$2000,MATCH(TRUE,SETUP!$J$1:$J$2000,0)+COUNTIFS($A$2:$A1193,"&lt;&gt;",$K$2:$K1193,"Yes",$L$2:$L1193,"")-1)))</f>
        <v/>
      </c>
      <c r="N1193" s="22"/>
    </row>
    <row r="1194" spans="1:14" x14ac:dyDescent="0.3">
      <c r="A1194" s="15" t="str">
        <f>IF(COUNTA($B1194:$E1194,$K1194)=0,"",IF(AND($B1194&lt;&gt;"",$C1194&lt;&gt;"",$D1194&lt;&gt;"",$E1194&lt;&gt;""),"TXS"&amp;TEXT(COUNTIFS($B$2:$B1194,"&lt;&gt;",$C$2:$C1194,"&lt;&gt;",$D$2:$D1194,"&lt;&gt;",$E$2:$E1194,"&lt;&gt;"),"00000"),""))</f>
        <v/>
      </c>
      <c r="B1194" s="16"/>
      <c r="C1194" s="20"/>
      <c r="D1194" s="20"/>
      <c r="E1194" s="23"/>
      <c r="H1194" s="21" t="str">
        <f t="shared" si="60"/>
        <v/>
      </c>
      <c r="I1194" s="21" t="str">
        <f t="shared" si="62"/>
        <v/>
      </c>
      <c r="J1194" s="21" t="str">
        <f t="shared" si="61"/>
        <v/>
      </c>
      <c r="K1194" s="20"/>
      <c r="L1194" s="21" t="str">
        <f>IF(OR(NOT(AND($B1194&lt;&gt;"",$C1194&lt;&gt;"",$D1194&lt;&gt;"",$E1194&lt;&gt;"")),$A1194="",$K1194&lt;&gt;"Yes"),"",IF($L1194&lt;&gt;"",$L1194,INDEX(SETUP!$I$1:$I$2000,MATCH(TRUE,SETUP!$J$1:$J$2000,0)+COUNTIFS($A$2:$A1194,"&lt;&gt;",$K$2:$K1194,"Yes",$L$2:$L1194,"")-1)))</f>
        <v/>
      </c>
      <c r="N1194" s="22"/>
    </row>
    <row r="1195" spans="1:14" x14ac:dyDescent="0.3">
      <c r="A1195" s="15" t="str">
        <f>IF(COUNTA($B1195:$E1195,$K1195)=0,"",IF(AND($B1195&lt;&gt;"",$C1195&lt;&gt;"",$D1195&lt;&gt;"",$E1195&lt;&gt;""),"TXS"&amp;TEXT(COUNTIFS($B$2:$B1195,"&lt;&gt;",$C$2:$C1195,"&lt;&gt;",$D$2:$D1195,"&lt;&gt;",$E$2:$E1195,"&lt;&gt;"),"00000"),""))</f>
        <v/>
      </c>
      <c r="B1195" s="16"/>
      <c r="C1195" s="20"/>
      <c r="D1195" s="20"/>
      <c r="E1195" s="23"/>
      <c r="H1195" s="21" t="str">
        <f t="shared" si="60"/>
        <v/>
      </c>
      <c r="I1195" s="21" t="str">
        <f t="shared" si="62"/>
        <v/>
      </c>
      <c r="J1195" s="21" t="str">
        <f t="shared" si="61"/>
        <v/>
      </c>
      <c r="K1195" s="20"/>
      <c r="L1195" s="21" t="str">
        <f>IF(OR(NOT(AND($B1195&lt;&gt;"",$C1195&lt;&gt;"",$D1195&lt;&gt;"",$E1195&lt;&gt;"")),$A1195="",$K1195&lt;&gt;"Yes"),"",IF($L1195&lt;&gt;"",$L1195,INDEX(SETUP!$I$1:$I$2000,MATCH(TRUE,SETUP!$J$1:$J$2000,0)+COUNTIFS($A$2:$A1195,"&lt;&gt;",$K$2:$K1195,"Yes",$L$2:$L1195,"")-1)))</f>
        <v/>
      </c>
      <c r="N1195" s="22"/>
    </row>
    <row r="1196" spans="1:14" x14ac:dyDescent="0.3">
      <c r="A1196" s="15" t="str">
        <f>IF(COUNTA($B1196:$E1196,$K1196)=0,"",IF(AND($B1196&lt;&gt;"",$C1196&lt;&gt;"",$D1196&lt;&gt;"",$E1196&lt;&gt;""),"TXS"&amp;TEXT(COUNTIFS($B$2:$B1196,"&lt;&gt;",$C$2:$C1196,"&lt;&gt;",$D$2:$D1196,"&lt;&gt;",$E$2:$E1196,"&lt;&gt;"),"00000"),""))</f>
        <v/>
      </c>
      <c r="B1196" s="16"/>
      <c r="C1196" s="20"/>
      <c r="D1196" s="20"/>
      <c r="E1196" s="23"/>
      <c r="H1196" s="21" t="str">
        <f t="shared" si="60"/>
        <v/>
      </c>
      <c r="I1196" s="21" t="str">
        <f t="shared" si="62"/>
        <v/>
      </c>
      <c r="J1196" s="21" t="str">
        <f t="shared" si="61"/>
        <v/>
      </c>
      <c r="K1196" s="20"/>
      <c r="L1196" s="21" t="str">
        <f>IF(OR(NOT(AND($B1196&lt;&gt;"",$C1196&lt;&gt;"",$D1196&lt;&gt;"",$E1196&lt;&gt;"")),$A1196="",$K1196&lt;&gt;"Yes"),"",IF($L1196&lt;&gt;"",$L1196,INDEX(SETUP!$I$1:$I$2000,MATCH(TRUE,SETUP!$J$1:$J$2000,0)+COUNTIFS($A$2:$A1196,"&lt;&gt;",$K$2:$K1196,"Yes",$L$2:$L1196,"")-1)))</f>
        <v/>
      </c>
      <c r="N1196" s="22"/>
    </row>
    <row r="1197" spans="1:14" x14ac:dyDescent="0.3">
      <c r="A1197" s="15" t="str">
        <f>IF(COUNTA($B1197:$E1197,$K1197)=0,"",IF(AND($B1197&lt;&gt;"",$C1197&lt;&gt;"",$D1197&lt;&gt;"",$E1197&lt;&gt;""),"TXS"&amp;TEXT(COUNTIFS($B$2:$B1197,"&lt;&gt;",$C$2:$C1197,"&lt;&gt;",$D$2:$D1197,"&lt;&gt;",$E$2:$E1197,"&lt;&gt;"),"00000"),""))</f>
        <v/>
      </c>
      <c r="B1197" s="16"/>
      <c r="C1197" s="20"/>
      <c r="D1197" s="20"/>
      <c r="E1197" s="23"/>
      <c r="H1197" s="21" t="str">
        <f t="shared" si="60"/>
        <v/>
      </c>
      <c r="I1197" s="21" t="str">
        <f t="shared" si="62"/>
        <v/>
      </c>
      <c r="J1197" s="21" t="str">
        <f t="shared" si="61"/>
        <v/>
      </c>
      <c r="K1197" s="20"/>
      <c r="L1197" s="21" t="str">
        <f>IF(OR(NOT(AND($B1197&lt;&gt;"",$C1197&lt;&gt;"",$D1197&lt;&gt;"",$E1197&lt;&gt;"")),$A1197="",$K1197&lt;&gt;"Yes"),"",IF($L1197&lt;&gt;"",$L1197,INDEX(SETUP!$I$1:$I$2000,MATCH(TRUE,SETUP!$J$1:$J$2000,0)+COUNTIFS($A$2:$A1197,"&lt;&gt;",$K$2:$K1197,"Yes",$L$2:$L1197,"")-1)))</f>
        <v/>
      </c>
      <c r="N1197" s="22"/>
    </row>
    <row r="1198" spans="1:14" x14ac:dyDescent="0.3">
      <c r="A1198" s="15" t="str">
        <f>IF(COUNTA($B1198:$E1198,$K1198)=0,"",IF(AND($B1198&lt;&gt;"",$C1198&lt;&gt;"",$D1198&lt;&gt;"",$E1198&lt;&gt;""),"TXS"&amp;TEXT(COUNTIFS($B$2:$B1198,"&lt;&gt;",$C$2:$C1198,"&lt;&gt;",$D$2:$D1198,"&lt;&gt;",$E$2:$E1198,"&lt;&gt;"),"00000"),""))</f>
        <v/>
      </c>
      <c r="B1198" s="16"/>
      <c r="C1198" s="20"/>
      <c r="D1198" s="20"/>
      <c r="E1198" s="23"/>
      <c r="H1198" s="21" t="str">
        <f t="shared" si="60"/>
        <v/>
      </c>
      <c r="I1198" s="21" t="str">
        <f t="shared" si="62"/>
        <v/>
      </c>
      <c r="J1198" s="21" t="str">
        <f t="shared" si="61"/>
        <v/>
      </c>
      <c r="K1198" s="20"/>
      <c r="L1198" s="21" t="str">
        <f>IF(OR(NOT(AND($B1198&lt;&gt;"",$C1198&lt;&gt;"",$D1198&lt;&gt;"",$E1198&lt;&gt;"")),$A1198="",$K1198&lt;&gt;"Yes"),"",IF($L1198&lt;&gt;"",$L1198,INDEX(SETUP!$I$1:$I$2000,MATCH(TRUE,SETUP!$J$1:$J$2000,0)+COUNTIFS($A$2:$A1198,"&lt;&gt;",$K$2:$K1198,"Yes",$L$2:$L1198,"")-1)))</f>
        <v/>
      </c>
      <c r="N1198" s="22"/>
    </row>
    <row r="1199" spans="1:14" x14ac:dyDescent="0.3">
      <c r="A1199" s="15" t="str">
        <f>IF(COUNTA($B1199:$E1199,$K1199)=0,"",IF(AND($B1199&lt;&gt;"",$C1199&lt;&gt;"",$D1199&lt;&gt;"",$E1199&lt;&gt;""),"TXS"&amp;TEXT(COUNTIFS($B$2:$B1199,"&lt;&gt;",$C$2:$C1199,"&lt;&gt;",$D$2:$D1199,"&lt;&gt;",$E$2:$E1199,"&lt;&gt;"),"00000"),""))</f>
        <v/>
      </c>
      <c r="B1199" s="16"/>
      <c r="C1199" s="20"/>
      <c r="D1199" s="20"/>
      <c r="E1199" s="23"/>
      <c r="H1199" s="21" t="str">
        <f t="shared" ref="H1199:H1262" si="63">IF(NOT(AND($B1199&lt;&gt;"",$C1199&lt;&gt;"",$D1199&lt;&gt;"",$E1199&lt;&gt;"")),"",IF($A1199="","","CDI plate "&amp;INT((VALUE(RIGHT($A1199,5))-1)/96)+1&amp;": "&amp;CHAR(65+INT(MOD(VALUE(RIGHT($A1199,5))-1,96)/12))&amp;(MOD(VALUE(RIGHT($A1199,5))-1,12)+1)))</f>
        <v/>
      </c>
      <c r="I1199" s="21" t="str">
        <f t="shared" si="62"/>
        <v/>
      </c>
      <c r="J1199" s="21" t="str">
        <f t="shared" si="61"/>
        <v/>
      </c>
      <c r="K1199" s="20"/>
      <c r="L1199" s="21" t="str">
        <f>IF(OR(NOT(AND($B1199&lt;&gt;"",$C1199&lt;&gt;"",$D1199&lt;&gt;"",$E1199&lt;&gt;"")),$A1199="",$K1199&lt;&gt;"Yes"),"",IF($L1199&lt;&gt;"",$L1199,INDEX(SETUP!$I$1:$I$2000,MATCH(TRUE,SETUP!$J$1:$J$2000,0)+COUNTIFS($A$2:$A1199,"&lt;&gt;",$K$2:$K1199,"Yes",$L$2:$L1199,"")-1)))</f>
        <v/>
      </c>
      <c r="N1199" s="22"/>
    </row>
    <row r="1200" spans="1:14" x14ac:dyDescent="0.3">
      <c r="A1200" s="15" t="str">
        <f>IF(COUNTA($B1200:$E1200,$K1200)=0,"",IF(AND($B1200&lt;&gt;"",$C1200&lt;&gt;"",$D1200&lt;&gt;"",$E1200&lt;&gt;""),"TXS"&amp;TEXT(COUNTIFS($B$2:$B1200,"&lt;&gt;",$C$2:$C1200,"&lt;&gt;",$D$2:$D1200,"&lt;&gt;",$E$2:$E1200,"&lt;&gt;"),"00000"),""))</f>
        <v/>
      </c>
      <c r="B1200" s="16"/>
      <c r="C1200" s="20"/>
      <c r="D1200" s="20"/>
      <c r="E1200" s="23"/>
      <c r="H1200" s="21" t="str">
        <f t="shared" si="63"/>
        <v/>
      </c>
      <c r="I1200" s="21" t="str">
        <f t="shared" si="62"/>
        <v/>
      </c>
      <c r="J1200" s="21" t="str">
        <f t="shared" si="61"/>
        <v/>
      </c>
      <c r="K1200" s="20"/>
      <c r="L1200" s="21" t="str">
        <f>IF(OR(NOT(AND($B1200&lt;&gt;"",$C1200&lt;&gt;"",$D1200&lt;&gt;"",$E1200&lt;&gt;"")),$A1200="",$K1200&lt;&gt;"Yes"),"",IF($L1200&lt;&gt;"",$L1200,INDEX(SETUP!$I$1:$I$2000,MATCH(TRUE,SETUP!$J$1:$J$2000,0)+COUNTIFS($A$2:$A1200,"&lt;&gt;",$K$2:$K1200,"Yes",$L$2:$L1200,"")-1)))</f>
        <v/>
      </c>
      <c r="N1200" s="22"/>
    </row>
    <row r="1201" spans="1:14" x14ac:dyDescent="0.3">
      <c r="A1201" s="15" t="str">
        <f>IF(COUNTA($B1201:$E1201,$K1201)=0,"",IF(AND($B1201&lt;&gt;"",$C1201&lt;&gt;"",$D1201&lt;&gt;"",$E1201&lt;&gt;""),"TXS"&amp;TEXT(COUNTIFS($B$2:$B1201,"&lt;&gt;",$C$2:$C1201,"&lt;&gt;",$D$2:$D1201,"&lt;&gt;",$E$2:$E1201,"&lt;&gt;"),"00000"),""))</f>
        <v/>
      </c>
      <c r="B1201" s="16"/>
      <c r="C1201" s="20"/>
      <c r="D1201" s="20"/>
      <c r="E1201" s="23"/>
      <c r="H1201" s="21" t="str">
        <f t="shared" si="63"/>
        <v/>
      </c>
      <c r="I1201" s="21" t="str">
        <f t="shared" si="62"/>
        <v/>
      </c>
      <c r="J1201" s="21" t="str">
        <f t="shared" si="61"/>
        <v/>
      </c>
      <c r="K1201" s="20"/>
      <c r="L1201" s="21" t="str">
        <f>IF(OR(NOT(AND($B1201&lt;&gt;"",$C1201&lt;&gt;"",$D1201&lt;&gt;"",$E1201&lt;&gt;"")),$A1201="",$K1201&lt;&gt;"Yes"),"",IF($L1201&lt;&gt;"",$L1201,INDEX(SETUP!$I$1:$I$2000,MATCH(TRUE,SETUP!$J$1:$J$2000,0)+COUNTIFS($A$2:$A1201,"&lt;&gt;",$K$2:$K1201,"Yes",$L$2:$L1201,"")-1)))</f>
        <v/>
      </c>
      <c r="N1201" s="22"/>
    </row>
    <row r="1202" spans="1:14" x14ac:dyDescent="0.3">
      <c r="A1202" s="15" t="str">
        <f>IF(COUNTA($B1202:$E1202,$K1202)=0,"",IF(AND($B1202&lt;&gt;"",$C1202&lt;&gt;"",$D1202&lt;&gt;"",$E1202&lt;&gt;""),"TXS"&amp;TEXT(COUNTIFS($B$2:$B1202,"&lt;&gt;",$C$2:$C1202,"&lt;&gt;",$D$2:$D1202,"&lt;&gt;",$E$2:$E1202,"&lt;&gt;"),"00000"),""))</f>
        <v/>
      </c>
      <c r="B1202" s="16"/>
      <c r="C1202" s="20"/>
      <c r="D1202" s="20"/>
      <c r="E1202" s="23"/>
      <c r="H1202" s="21" t="str">
        <f t="shared" si="63"/>
        <v/>
      </c>
      <c r="I1202" s="21" t="str">
        <f t="shared" si="62"/>
        <v/>
      </c>
      <c r="J1202" s="21" t="str">
        <f t="shared" ref="J1202:J1265" si="64">IF(NOT(AND($B1202&lt;&gt;"",$C1202&lt;&gt;"",$D1202&lt;&gt;"",$E1202&lt;&gt;"")),"",IF($A1202="","","Max Planck plate "&amp;INT((VALUE(RIGHT($A1202,5))-1)/96)+1&amp;": "&amp;CHAR(65+INT(MOD(VALUE(RIGHT($A1202,5))-1,96)/12))&amp;(MOD(VALUE(RIGHT($A1202,5))-1,12)+1)))</f>
        <v/>
      </c>
      <c r="K1202" s="20"/>
      <c r="L1202" s="21" t="str">
        <f>IF(OR(NOT(AND($B1202&lt;&gt;"",$C1202&lt;&gt;"",$D1202&lt;&gt;"",$E1202&lt;&gt;"")),$A1202="",$K1202&lt;&gt;"Yes"),"",IF($L1202&lt;&gt;"",$L1202,INDEX(SETUP!$I$1:$I$2000,MATCH(TRUE,SETUP!$J$1:$J$2000,0)+COUNTIFS($A$2:$A1202,"&lt;&gt;",$K$2:$K1202,"Yes",$L$2:$L1202,"")-1)))</f>
        <v/>
      </c>
      <c r="N1202" s="22"/>
    </row>
    <row r="1203" spans="1:14" x14ac:dyDescent="0.3">
      <c r="A1203" s="15" t="str">
        <f>IF(COUNTA($B1203:$E1203,$K1203)=0,"",IF(AND($B1203&lt;&gt;"",$C1203&lt;&gt;"",$D1203&lt;&gt;"",$E1203&lt;&gt;""),"TXS"&amp;TEXT(COUNTIFS($B$2:$B1203,"&lt;&gt;",$C$2:$C1203,"&lt;&gt;",$D$2:$D1203,"&lt;&gt;",$E$2:$E1203,"&lt;&gt;"),"00000"),""))</f>
        <v/>
      </c>
      <c r="B1203" s="16"/>
      <c r="C1203" s="20"/>
      <c r="D1203" s="20"/>
      <c r="E1203" s="23"/>
      <c r="H1203" s="21" t="str">
        <f t="shared" si="63"/>
        <v/>
      </c>
      <c r="I1203" s="21" t="str">
        <f t="shared" si="62"/>
        <v/>
      </c>
      <c r="J1203" s="21" t="str">
        <f t="shared" si="64"/>
        <v/>
      </c>
      <c r="K1203" s="20"/>
      <c r="L1203" s="21" t="str">
        <f>IF(OR(NOT(AND($B1203&lt;&gt;"",$C1203&lt;&gt;"",$D1203&lt;&gt;"",$E1203&lt;&gt;"")),$A1203="",$K1203&lt;&gt;"Yes"),"",IF($L1203&lt;&gt;"",$L1203,INDEX(SETUP!$I$1:$I$2000,MATCH(TRUE,SETUP!$J$1:$J$2000,0)+COUNTIFS($A$2:$A1203,"&lt;&gt;",$K$2:$K1203,"Yes",$L$2:$L1203,"")-1)))</f>
        <v/>
      </c>
      <c r="N1203" s="22"/>
    </row>
    <row r="1204" spans="1:14" x14ac:dyDescent="0.3">
      <c r="A1204" s="15" t="str">
        <f>IF(COUNTA($B1204:$E1204,$K1204)=0,"",IF(AND($B1204&lt;&gt;"",$C1204&lt;&gt;"",$D1204&lt;&gt;"",$E1204&lt;&gt;""),"TXS"&amp;TEXT(COUNTIFS($B$2:$B1204,"&lt;&gt;",$C$2:$C1204,"&lt;&gt;",$D$2:$D1204,"&lt;&gt;",$E$2:$E1204,"&lt;&gt;"),"00000"),""))</f>
        <v/>
      </c>
      <c r="B1204" s="16"/>
      <c r="C1204" s="20"/>
      <c r="D1204" s="20"/>
      <c r="E1204" s="23"/>
      <c r="H1204" s="21" t="str">
        <f t="shared" si="63"/>
        <v/>
      </c>
      <c r="I1204" s="21" t="str">
        <f t="shared" si="62"/>
        <v/>
      </c>
      <c r="J1204" s="21" t="str">
        <f t="shared" si="64"/>
        <v/>
      </c>
      <c r="K1204" s="20"/>
      <c r="L1204" s="21" t="str">
        <f>IF(OR(NOT(AND($B1204&lt;&gt;"",$C1204&lt;&gt;"",$D1204&lt;&gt;"",$E1204&lt;&gt;"")),$A1204="",$K1204&lt;&gt;"Yes"),"",IF($L1204&lt;&gt;"",$L1204,INDEX(SETUP!$I$1:$I$2000,MATCH(TRUE,SETUP!$J$1:$J$2000,0)+COUNTIFS($A$2:$A1204,"&lt;&gt;",$K$2:$K1204,"Yes",$L$2:$L1204,"")-1)))</f>
        <v/>
      </c>
      <c r="N1204" s="22"/>
    </row>
    <row r="1205" spans="1:14" x14ac:dyDescent="0.3">
      <c r="A1205" s="15" t="str">
        <f>IF(COUNTA($B1205:$E1205,$K1205)=0,"",IF(AND($B1205&lt;&gt;"",$C1205&lt;&gt;"",$D1205&lt;&gt;"",$E1205&lt;&gt;""),"TXS"&amp;TEXT(COUNTIFS($B$2:$B1205,"&lt;&gt;",$C$2:$C1205,"&lt;&gt;",$D$2:$D1205,"&lt;&gt;",$E$2:$E1205,"&lt;&gt;"),"00000"),""))</f>
        <v/>
      </c>
      <c r="B1205" s="16"/>
      <c r="C1205" s="20"/>
      <c r="D1205" s="20"/>
      <c r="E1205" s="23"/>
      <c r="H1205" s="21" t="str">
        <f t="shared" si="63"/>
        <v/>
      </c>
      <c r="I1205" s="21" t="str">
        <f t="shared" si="62"/>
        <v/>
      </c>
      <c r="J1205" s="21" t="str">
        <f t="shared" si="64"/>
        <v/>
      </c>
      <c r="K1205" s="20"/>
      <c r="L1205" s="21" t="str">
        <f>IF(OR(NOT(AND($B1205&lt;&gt;"",$C1205&lt;&gt;"",$D1205&lt;&gt;"",$E1205&lt;&gt;"")),$A1205="",$K1205&lt;&gt;"Yes"),"",IF($L1205&lt;&gt;"",$L1205,INDEX(SETUP!$I$1:$I$2000,MATCH(TRUE,SETUP!$J$1:$J$2000,0)+COUNTIFS($A$2:$A1205,"&lt;&gt;",$K$2:$K1205,"Yes",$L$2:$L1205,"")-1)))</f>
        <v/>
      </c>
      <c r="N1205" s="22"/>
    </row>
    <row r="1206" spans="1:14" x14ac:dyDescent="0.3">
      <c r="A1206" s="15" t="str">
        <f>IF(COUNTA($B1206:$E1206,$K1206)=0,"",IF(AND($B1206&lt;&gt;"",$C1206&lt;&gt;"",$D1206&lt;&gt;"",$E1206&lt;&gt;""),"TXS"&amp;TEXT(COUNTIFS($B$2:$B1206,"&lt;&gt;",$C$2:$C1206,"&lt;&gt;",$D$2:$D1206,"&lt;&gt;",$E$2:$E1206,"&lt;&gt;"),"00000"),""))</f>
        <v/>
      </c>
      <c r="B1206" s="16"/>
      <c r="C1206" s="20"/>
      <c r="D1206" s="20"/>
      <c r="E1206" s="23"/>
      <c r="H1206" s="21" t="str">
        <f t="shared" si="63"/>
        <v/>
      </c>
      <c r="I1206" s="21" t="str">
        <f t="shared" si="62"/>
        <v/>
      </c>
      <c r="J1206" s="21" t="str">
        <f t="shared" si="64"/>
        <v/>
      </c>
      <c r="K1206" s="20"/>
      <c r="L1206" s="21" t="str">
        <f>IF(OR(NOT(AND($B1206&lt;&gt;"",$C1206&lt;&gt;"",$D1206&lt;&gt;"",$E1206&lt;&gt;"")),$A1206="",$K1206&lt;&gt;"Yes"),"",IF($L1206&lt;&gt;"",$L1206,INDEX(SETUP!$I$1:$I$2000,MATCH(TRUE,SETUP!$J$1:$J$2000,0)+COUNTIFS($A$2:$A1206,"&lt;&gt;",$K$2:$K1206,"Yes",$L$2:$L1206,"")-1)))</f>
        <v/>
      </c>
      <c r="N1206" s="22"/>
    </row>
    <row r="1207" spans="1:14" x14ac:dyDescent="0.3">
      <c r="A1207" s="15" t="str">
        <f>IF(COUNTA($B1207:$E1207,$K1207)=0,"",IF(AND($B1207&lt;&gt;"",$C1207&lt;&gt;"",$D1207&lt;&gt;"",$E1207&lt;&gt;""),"TXS"&amp;TEXT(COUNTIFS($B$2:$B1207,"&lt;&gt;",$C$2:$C1207,"&lt;&gt;",$D$2:$D1207,"&lt;&gt;",$E$2:$E1207,"&lt;&gt;"),"00000"),""))</f>
        <v/>
      </c>
      <c r="B1207" s="16"/>
      <c r="C1207" s="20"/>
      <c r="D1207" s="20"/>
      <c r="E1207" s="23"/>
      <c r="H1207" s="21" t="str">
        <f t="shared" si="63"/>
        <v/>
      </c>
      <c r="I1207" s="21" t="str">
        <f t="shared" si="62"/>
        <v/>
      </c>
      <c r="J1207" s="21" t="str">
        <f t="shared" si="64"/>
        <v/>
      </c>
      <c r="K1207" s="20"/>
      <c r="L1207" s="21" t="str">
        <f>IF(OR(NOT(AND($B1207&lt;&gt;"",$C1207&lt;&gt;"",$D1207&lt;&gt;"",$E1207&lt;&gt;"")),$A1207="",$K1207&lt;&gt;"Yes"),"",IF($L1207&lt;&gt;"",$L1207,INDEX(SETUP!$I$1:$I$2000,MATCH(TRUE,SETUP!$J$1:$J$2000,0)+COUNTIFS($A$2:$A1207,"&lt;&gt;",$K$2:$K1207,"Yes",$L$2:$L1207,"")-1)))</f>
        <v/>
      </c>
      <c r="N1207" s="22"/>
    </row>
    <row r="1208" spans="1:14" x14ac:dyDescent="0.3">
      <c r="A1208" s="15" t="str">
        <f>IF(COUNTA($B1208:$E1208,$K1208)=0,"",IF(AND($B1208&lt;&gt;"",$C1208&lt;&gt;"",$D1208&lt;&gt;"",$E1208&lt;&gt;""),"TXS"&amp;TEXT(COUNTIFS($B$2:$B1208,"&lt;&gt;",$C$2:$C1208,"&lt;&gt;",$D$2:$D1208,"&lt;&gt;",$E$2:$E1208,"&lt;&gt;"),"00000"),""))</f>
        <v/>
      </c>
      <c r="B1208" s="16"/>
      <c r="C1208" s="20"/>
      <c r="D1208" s="20"/>
      <c r="E1208" s="23"/>
      <c r="H1208" s="21" t="str">
        <f t="shared" si="63"/>
        <v/>
      </c>
      <c r="I1208" s="21" t="str">
        <f t="shared" si="62"/>
        <v/>
      </c>
      <c r="J1208" s="21" t="str">
        <f t="shared" si="64"/>
        <v/>
      </c>
      <c r="K1208" s="20"/>
      <c r="L1208" s="21" t="str">
        <f>IF(OR(NOT(AND($B1208&lt;&gt;"",$C1208&lt;&gt;"",$D1208&lt;&gt;"",$E1208&lt;&gt;"")),$A1208="",$K1208&lt;&gt;"Yes"),"",IF($L1208&lt;&gt;"",$L1208,INDEX(SETUP!$I$1:$I$2000,MATCH(TRUE,SETUP!$J$1:$J$2000,0)+COUNTIFS($A$2:$A1208,"&lt;&gt;",$K$2:$K1208,"Yes",$L$2:$L1208,"")-1)))</f>
        <v/>
      </c>
      <c r="N1208" s="22"/>
    </row>
    <row r="1209" spans="1:14" x14ac:dyDescent="0.3">
      <c r="A1209" s="15" t="str">
        <f>IF(COUNTA($B1209:$E1209,$K1209)=0,"",IF(AND($B1209&lt;&gt;"",$C1209&lt;&gt;"",$D1209&lt;&gt;"",$E1209&lt;&gt;""),"TXS"&amp;TEXT(COUNTIFS($B$2:$B1209,"&lt;&gt;",$C$2:$C1209,"&lt;&gt;",$D$2:$D1209,"&lt;&gt;",$E$2:$E1209,"&lt;&gt;"),"00000"),""))</f>
        <v/>
      </c>
      <c r="B1209" s="16"/>
      <c r="C1209" s="20"/>
      <c r="D1209" s="20"/>
      <c r="E1209" s="23"/>
      <c r="H1209" s="21" t="str">
        <f t="shared" si="63"/>
        <v/>
      </c>
      <c r="I1209" s="21" t="str">
        <f t="shared" si="62"/>
        <v/>
      </c>
      <c r="J1209" s="21" t="str">
        <f t="shared" si="64"/>
        <v/>
      </c>
      <c r="K1209" s="20"/>
      <c r="L1209" s="21" t="str">
        <f>IF(OR(NOT(AND($B1209&lt;&gt;"",$C1209&lt;&gt;"",$D1209&lt;&gt;"",$E1209&lt;&gt;"")),$A1209="",$K1209&lt;&gt;"Yes"),"",IF($L1209&lt;&gt;"",$L1209,INDEX(SETUP!$I$1:$I$2000,MATCH(TRUE,SETUP!$J$1:$J$2000,0)+COUNTIFS($A$2:$A1209,"&lt;&gt;",$K$2:$K1209,"Yes",$L$2:$L1209,"")-1)))</f>
        <v/>
      </c>
      <c r="N1209" s="22"/>
    </row>
    <row r="1210" spans="1:14" x14ac:dyDescent="0.3">
      <c r="A1210" s="15" t="str">
        <f>IF(COUNTA($B1210:$E1210,$K1210)=0,"",IF(AND($B1210&lt;&gt;"",$C1210&lt;&gt;"",$D1210&lt;&gt;"",$E1210&lt;&gt;""),"TXS"&amp;TEXT(COUNTIFS($B$2:$B1210,"&lt;&gt;",$C$2:$C1210,"&lt;&gt;",$D$2:$D1210,"&lt;&gt;",$E$2:$E1210,"&lt;&gt;"),"00000"),""))</f>
        <v/>
      </c>
      <c r="B1210" s="16"/>
      <c r="C1210" s="20"/>
      <c r="D1210" s="20"/>
      <c r="E1210" s="23"/>
      <c r="H1210" s="21" t="str">
        <f t="shared" si="63"/>
        <v/>
      </c>
      <c r="I1210" s="21" t="str">
        <f t="shared" si="62"/>
        <v/>
      </c>
      <c r="J1210" s="21" t="str">
        <f t="shared" si="64"/>
        <v/>
      </c>
      <c r="K1210" s="20"/>
      <c r="L1210" s="21" t="str">
        <f>IF(OR(NOT(AND($B1210&lt;&gt;"",$C1210&lt;&gt;"",$D1210&lt;&gt;"",$E1210&lt;&gt;"")),$A1210="",$K1210&lt;&gt;"Yes"),"",IF($L1210&lt;&gt;"",$L1210,INDEX(SETUP!$I$1:$I$2000,MATCH(TRUE,SETUP!$J$1:$J$2000,0)+COUNTIFS($A$2:$A1210,"&lt;&gt;",$K$2:$K1210,"Yes",$L$2:$L1210,"")-1)))</f>
        <v/>
      </c>
      <c r="N1210" s="22"/>
    </row>
    <row r="1211" spans="1:14" x14ac:dyDescent="0.3">
      <c r="A1211" s="15" t="str">
        <f>IF(COUNTA($B1211:$E1211,$K1211)=0,"",IF(AND($B1211&lt;&gt;"",$C1211&lt;&gt;"",$D1211&lt;&gt;"",$E1211&lt;&gt;""),"TXS"&amp;TEXT(COUNTIFS($B$2:$B1211,"&lt;&gt;",$C$2:$C1211,"&lt;&gt;",$D$2:$D1211,"&lt;&gt;",$E$2:$E1211,"&lt;&gt;"),"00000"),""))</f>
        <v/>
      </c>
      <c r="B1211" s="16"/>
      <c r="C1211" s="20"/>
      <c r="D1211" s="20"/>
      <c r="E1211" s="23"/>
      <c r="H1211" s="21" t="str">
        <f t="shared" si="63"/>
        <v/>
      </c>
      <c r="I1211" s="21" t="str">
        <f t="shared" si="62"/>
        <v/>
      </c>
      <c r="J1211" s="21" t="str">
        <f t="shared" si="64"/>
        <v/>
      </c>
      <c r="K1211" s="20"/>
      <c r="L1211" s="21" t="str">
        <f>IF(OR(NOT(AND($B1211&lt;&gt;"",$C1211&lt;&gt;"",$D1211&lt;&gt;"",$E1211&lt;&gt;"")),$A1211="",$K1211&lt;&gt;"Yes"),"",IF($L1211&lt;&gt;"",$L1211,INDEX(SETUP!$I$1:$I$2000,MATCH(TRUE,SETUP!$J$1:$J$2000,0)+COUNTIFS($A$2:$A1211,"&lt;&gt;",$K$2:$K1211,"Yes",$L$2:$L1211,"")-1)))</f>
        <v/>
      </c>
      <c r="N1211" s="22"/>
    </row>
    <row r="1212" spans="1:14" x14ac:dyDescent="0.3">
      <c r="A1212" s="15" t="str">
        <f>IF(COUNTA($B1212:$E1212,$K1212)=0,"",IF(AND($B1212&lt;&gt;"",$C1212&lt;&gt;"",$D1212&lt;&gt;"",$E1212&lt;&gt;""),"TXS"&amp;TEXT(COUNTIFS($B$2:$B1212,"&lt;&gt;",$C$2:$C1212,"&lt;&gt;",$D$2:$D1212,"&lt;&gt;",$E$2:$E1212,"&lt;&gt;"),"00000"),""))</f>
        <v/>
      </c>
      <c r="B1212" s="16"/>
      <c r="C1212" s="20"/>
      <c r="D1212" s="20"/>
      <c r="E1212" s="23"/>
      <c r="H1212" s="21" t="str">
        <f t="shared" si="63"/>
        <v/>
      </c>
      <c r="I1212" s="21" t="str">
        <f t="shared" si="62"/>
        <v/>
      </c>
      <c r="J1212" s="21" t="str">
        <f t="shared" si="64"/>
        <v/>
      </c>
      <c r="K1212" s="20"/>
      <c r="L1212" s="21" t="str">
        <f>IF(OR(NOT(AND($B1212&lt;&gt;"",$C1212&lt;&gt;"",$D1212&lt;&gt;"",$E1212&lt;&gt;"")),$A1212="",$K1212&lt;&gt;"Yes"),"",IF($L1212&lt;&gt;"",$L1212,INDEX(SETUP!$I$1:$I$2000,MATCH(TRUE,SETUP!$J$1:$J$2000,0)+COUNTIFS($A$2:$A1212,"&lt;&gt;",$K$2:$K1212,"Yes",$L$2:$L1212,"")-1)))</f>
        <v/>
      </c>
      <c r="N1212" s="22"/>
    </row>
    <row r="1213" spans="1:14" x14ac:dyDescent="0.3">
      <c r="A1213" s="15" t="str">
        <f>IF(COUNTA($B1213:$E1213,$K1213)=0,"",IF(AND($B1213&lt;&gt;"",$C1213&lt;&gt;"",$D1213&lt;&gt;"",$E1213&lt;&gt;""),"TXS"&amp;TEXT(COUNTIFS($B$2:$B1213,"&lt;&gt;",$C$2:$C1213,"&lt;&gt;",$D$2:$D1213,"&lt;&gt;",$E$2:$E1213,"&lt;&gt;"),"00000"),""))</f>
        <v/>
      </c>
      <c r="B1213" s="16"/>
      <c r="C1213" s="20"/>
      <c r="D1213" s="20"/>
      <c r="E1213" s="23"/>
      <c r="H1213" s="21" t="str">
        <f t="shared" si="63"/>
        <v/>
      </c>
      <c r="I1213" s="21" t="str">
        <f t="shared" si="62"/>
        <v/>
      </c>
      <c r="J1213" s="21" t="str">
        <f t="shared" si="64"/>
        <v/>
      </c>
      <c r="K1213" s="20"/>
      <c r="L1213" s="21" t="str">
        <f>IF(OR(NOT(AND($B1213&lt;&gt;"",$C1213&lt;&gt;"",$D1213&lt;&gt;"",$E1213&lt;&gt;"")),$A1213="",$K1213&lt;&gt;"Yes"),"",IF($L1213&lt;&gt;"",$L1213,INDEX(SETUP!$I$1:$I$2000,MATCH(TRUE,SETUP!$J$1:$J$2000,0)+COUNTIFS($A$2:$A1213,"&lt;&gt;",$K$2:$K1213,"Yes",$L$2:$L1213,"")-1)))</f>
        <v/>
      </c>
      <c r="N1213" s="22"/>
    </row>
    <row r="1214" spans="1:14" x14ac:dyDescent="0.3">
      <c r="A1214" s="15" t="str">
        <f>IF(COUNTA($B1214:$E1214,$K1214)=0,"",IF(AND($B1214&lt;&gt;"",$C1214&lt;&gt;"",$D1214&lt;&gt;"",$E1214&lt;&gt;""),"TXS"&amp;TEXT(COUNTIFS($B$2:$B1214,"&lt;&gt;",$C$2:$C1214,"&lt;&gt;",$D$2:$D1214,"&lt;&gt;",$E$2:$E1214,"&lt;&gt;"),"00000"),""))</f>
        <v/>
      </c>
      <c r="B1214" s="16"/>
      <c r="C1214" s="20"/>
      <c r="D1214" s="20"/>
      <c r="E1214" s="23"/>
      <c r="H1214" s="21" t="str">
        <f t="shared" si="63"/>
        <v/>
      </c>
      <c r="I1214" s="21" t="str">
        <f t="shared" si="62"/>
        <v/>
      </c>
      <c r="J1214" s="21" t="str">
        <f t="shared" si="64"/>
        <v/>
      </c>
      <c r="K1214" s="20"/>
      <c r="L1214" s="21" t="str">
        <f>IF(OR(NOT(AND($B1214&lt;&gt;"",$C1214&lt;&gt;"",$D1214&lt;&gt;"",$E1214&lt;&gt;"")),$A1214="",$K1214&lt;&gt;"Yes"),"",IF($L1214&lt;&gt;"",$L1214,INDEX(SETUP!$I$1:$I$2000,MATCH(TRUE,SETUP!$J$1:$J$2000,0)+COUNTIFS($A$2:$A1214,"&lt;&gt;",$K$2:$K1214,"Yes",$L$2:$L1214,"")-1)))</f>
        <v/>
      </c>
      <c r="N1214" s="22"/>
    </row>
    <row r="1215" spans="1:14" x14ac:dyDescent="0.3">
      <c r="A1215" s="15" t="str">
        <f>IF(COUNTA($B1215:$E1215,$K1215)=0,"",IF(AND($B1215&lt;&gt;"",$C1215&lt;&gt;"",$D1215&lt;&gt;"",$E1215&lt;&gt;""),"TXS"&amp;TEXT(COUNTIFS($B$2:$B1215,"&lt;&gt;",$C$2:$C1215,"&lt;&gt;",$D$2:$D1215,"&lt;&gt;",$E$2:$E1215,"&lt;&gt;"),"00000"),""))</f>
        <v/>
      </c>
      <c r="B1215" s="16"/>
      <c r="C1215" s="20"/>
      <c r="D1215" s="20"/>
      <c r="E1215" s="23"/>
      <c r="H1215" s="21" t="str">
        <f t="shared" si="63"/>
        <v/>
      </c>
      <c r="I1215" s="21" t="str">
        <f t="shared" si="62"/>
        <v/>
      </c>
      <c r="J1215" s="21" t="str">
        <f t="shared" si="64"/>
        <v/>
      </c>
      <c r="K1215" s="20"/>
      <c r="L1215" s="21" t="str">
        <f>IF(OR(NOT(AND($B1215&lt;&gt;"",$C1215&lt;&gt;"",$D1215&lt;&gt;"",$E1215&lt;&gt;"")),$A1215="",$K1215&lt;&gt;"Yes"),"",IF($L1215&lt;&gt;"",$L1215,INDEX(SETUP!$I$1:$I$2000,MATCH(TRUE,SETUP!$J$1:$J$2000,0)+COUNTIFS($A$2:$A1215,"&lt;&gt;",$K$2:$K1215,"Yes",$L$2:$L1215,"")-1)))</f>
        <v/>
      </c>
      <c r="N1215" s="22"/>
    </row>
    <row r="1216" spans="1:14" x14ac:dyDescent="0.3">
      <c r="A1216" s="15" t="str">
        <f>IF(COUNTA($B1216:$E1216,$K1216)=0,"",IF(AND($B1216&lt;&gt;"",$C1216&lt;&gt;"",$D1216&lt;&gt;"",$E1216&lt;&gt;""),"TXS"&amp;TEXT(COUNTIFS($B$2:$B1216,"&lt;&gt;",$C$2:$C1216,"&lt;&gt;",$D$2:$D1216,"&lt;&gt;",$E$2:$E1216,"&lt;&gt;"),"00000"),""))</f>
        <v/>
      </c>
      <c r="B1216" s="16"/>
      <c r="C1216" s="20"/>
      <c r="D1216" s="20"/>
      <c r="E1216" s="23"/>
      <c r="H1216" s="21" t="str">
        <f t="shared" si="63"/>
        <v/>
      </c>
      <c r="I1216" s="21" t="str">
        <f t="shared" si="62"/>
        <v/>
      </c>
      <c r="J1216" s="21" t="str">
        <f t="shared" si="64"/>
        <v/>
      </c>
      <c r="K1216" s="20"/>
      <c r="L1216" s="21" t="str">
        <f>IF(OR(NOT(AND($B1216&lt;&gt;"",$C1216&lt;&gt;"",$D1216&lt;&gt;"",$E1216&lt;&gt;"")),$A1216="",$K1216&lt;&gt;"Yes"),"",IF($L1216&lt;&gt;"",$L1216,INDEX(SETUP!$I$1:$I$2000,MATCH(TRUE,SETUP!$J$1:$J$2000,0)+COUNTIFS($A$2:$A1216,"&lt;&gt;",$K$2:$K1216,"Yes",$L$2:$L1216,"")-1)))</f>
        <v/>
      </c>
      <c r="N1216" s="22"/>
    </row>
    <row r="1217" spans="1:14" x14ac:dyDescent="0.3">
      <c r="A1217" s="15" t="str">
        <f>IF(COUNTA($B1217:$E1217,$K1217)=0,"",IF(AND($B1217&lt;&gt;"",$C1217&lt;&gt;"",$D1217&lt;&gt;"",$E1217&lt;&gt;""),"TXS"&amp;TEXT(COUNTIFS($B$2:$B1217,"&lt;&gt;",$C$2:$C1217,"&lt;&gt;",$D$2:$D1217,"&lt;&gt;",$E$2:$E1217,"&lt;&gt;"),"00000"),""))</f>
        <v/>
      </c>
      <c r="B1217" s="16"/>
      <c r="C1217" s="20"/>
      <c r="D1217" s="20"/>
      <c r="E1217" s="23"/>
      <c r="H1217" s="21" t="str">
        <f t="shared" si="63"/>
        <v/>
      </c>
      <c r="I1217" s="21" t="str">
        <f t="shared" si="62"/>
        <v/>
      </c>
      <c r="J1217" s="21" t="str">
        <f t="shared" si="64"/>
        <v/>
      </c>
      <c r="K1217" s="20"/>
      <c r="L1217" s="21" t="str">
        <f>IF(OR(NOT(AND($B1217&lt;&gt;"",$C1217&lt;&gt;"",$D1217&lt;&gt;"",$E1217&lt;&gt;"")),$A1217="",$K1217&lt;&gt;"Yes"),"",IF($L1217&lt;&gt;"",$L1217,INDEX(SETUP!$I$1:$I$2000,MATCH(TRUE,SETUP!$J$1:$J$2000,0)+COUNTIFS($A$2:$A1217,"&lt;&gt;",$K$2:$K1217,"Yes",$L$2:$L1217,"")-1)))</f>
        <v/>
      </c>
      <c r="N1217" s="22"/>
    </row>
    <row r="1218" spans="1:14" x14ac:dyDescent="0.3">
      <c r="A1218" s="15" t="str">
        <f>IF(COUNTA($B1218:$E1218,$K1218)=0,"",IF(AND($B1218&lt;&gt;"",$C1218&lt;&gt;"",$D1218&lt;&gt;"",$E1218&lt;&gt;""),"TXS"&amp;TEXT(COUNTIFS($B$2:$B1218,"&lt;&gt;",$C$2:$C1218,"&lt;&gt;",$D$2:$D1218,"&lt;&gt;",$E$2:$E1218,"&lt;&gt;"),"00000"),""))</f>
        <v/>
      </c>
      <c r="B1218" s="16"/>
      <c r="C1218" s="20"/>
      <c r="D1218" s="20"/>
      <c r="E1218" s="23"/>
      <c r="H1218" s="21" t="str">
        <f t="shared" si="63"/>
        <v/>
      </c>
      <c r="I1218" s="21" t="str">
        <f t="shared" si="62"/>
        <v/>
      </c>
      <c r="J1218" s="21" t="str">
        <f t="shared" si="64"/>
        <v/>
      </c>
      <c r="K1218" s="20"/>
      <c r="L1218" s="21" t="str">
        <f>IF(OR(NOT(AND($B1218&lt;&gt;"",$C1218&lt;&gt;"",$D1218&lt;&gt;"",$E1218&lt;&gt;"")),$A1218="",$K1218&lt;&gt;"Yes"),"",IF($L1218&lt;&gt;"",$L1218,INDEX(SETUP!$I$1:$I$2000,MATCH(TRUE,SETUP!$J$1:$J$2000,0)+COUNTIFS($A$2:$A1218,"&lt;&gt;",$K$2:$K1218,"Yes",$L$2:$L1218,"")-1)))</f>
        <v/>
      </c>
      <c r="N1218" s="22"/>
    </row>
    <row r="1219" spans="1:14" x14ac:dyDescent="0.3">
      <c r="A1219" s="15" t="str">
        <f>IF(COUNTA($B1219:$E1219,$K1219)=0,"",IF(AND($B1219&lt;&gt;"",$C1219&lt;&gt;"",$D1219&lt;&gt;"",$E1219&lt;&gt;""),"TXS"&amp;TEXT(COUNTIFS($B$2:$B1219,"&lt;&gt;",$C$2:$C1219,"&lt;&gt;",$D$2:$D1219,"&lt;&gt;",$E$2:$E1219,"&lt;&gt;"),"00000"),""))</f>
        <v/>
      </c>
      <c r="B1219" s="16"/>
      <c r="C1219" s="20"/>
      <c r="D1219" s="20"/>
      <c r="E1219" s="23"/>
      <c r="H1219" s="21" t="str">
        <f t="shared" si="63"/>
        <v/>
      </c>
      <c r="I1219" s="21" t="str">
        <f t="shared" si="62"/>
        <v/>
      </c>
      <c r="J1219" s="21" t="str">
        <f t="shared" si="64"/>
        <v/>
      </c>
      <c r="K1219" s="20"/>
      <c r="L1219" s="21" t="str">
        <f>IF(OR(NOT(AND($B1219&lt;&gt;"",$C1219&lt;&gt;"",$D1219&lt;&gt;"",$E1219&lt;&gt;"")),$A1219="",$K1219&lt;&gt;"Yes"),"",IF($L1219&lt;&gt;"",$L1219,INDEX(SETUP!$I$1:$I$2000,MATCH(TRUE,SETUP!$J$1:$J$2000,0)+COUNTIFS($A$2:$A1219,"&lt;&gt;",$K$2:$K1219,"Yes",$L$2:$L1219,"")-1)))</f>
        <v/>
      </c>
      <c r="N1219" s="22"/>
    </row>
    <row r="1220" spans="1:14" x14ac:dyDescent="0.3">
      <c r="A1220" s="15" t="str">
        <f>IF(COUNTA($B1220:$E1220,$K1220)=0,"",IF(AND($B1220&lt;&gt;"",$C1220&lt;&gt;"",$D1220&lt;&gt;"",$E1220&lt;&gt;""),"TXS"&amp;TEXT(COUNTIFS($B$2:$B1220,"&lt;&gt;",$C$2:$C1220,"&lt;&gt;",$D$2:$D1220,"&lt;&gt;",$E$2:$E1220,"&lt;&gt;"),"00000"),""))</f>
        <v/>
      </c>
      <c r="B1220" s="16"/>
      <c r="C1220" s="20"/>
      <c r="D1220" s="20"/>
      <c r="E1220" s="23"/>
      <c r="H1220" s="21" t="str">
        <f t="shared" si="63"/>
        <v/>
      </c>
      <c r="I1220" s="21" t="str">
        <f t="shared" si="62"/>
        <v/>
      </c>
      <c r="J1220" s="21" t="str">
        <f t="shared" si="64"/>
        <v/>
      </c>
      <c r="K1220" s="20"/>
      <c r="L1220" s="21" t="str">
        <f>IF(OR(NOT(AND($B1220&lt;&gt;"",$C1220&lt;&gt;"",$D1220&lt;&gt;"",$E1220&lt;&gt;"")),$A1220="",$K1220&lt;&gt;"Yes"),"",IF($L1220&lt;&gt;"",$L1220,INDEX(SETUP!$I$1:$I$2000,MATCH(TRUE,SETUP!$J$1:$J$2000,0)+COUNTIFS($A$2:$A1220,"&lt;&gt;",$K$2:$K1220,"Yes",$L$2:$L1220,"")-1)))</f>
        <v/>
      </c>
      <c r="N1220" s="22"/>
    </row>
    <row r="1221" spans="1:14" x14ac:dyDescent="0.3">
      <c r="A1221" s="15" t="str">
        <f>IF(COUNTA($B1221:$E1221,$K1221)=0,"",IF(AND($B1221&lt;&gt;"",$C1221&lt;&gt;"",$D1221&lt;&gt;"",$E1221&lt;&gt;""),"TXS"&amp;TEXT(COUNTIFS($B$2:$B1221,"&lt;&gt;",$C$2:$C1221,"&lt;&gt;",$D$2:$D1221,"&lt;&gt;",$E$2:$E1221,"&lt;&gt;"),"00000"),""))</f>
        <v/>
      </c>
      <c r="B1221" s="16"/>
      <c r="C1221" s="20"/>
      <c r="D1221" s="20"/>
      <c r="E1221" s="23"/>
      <c r="H1221" s="21" t="str">
        <f t="shared" si="63"/>
        <v/>
      </c>
      <c r="I1221" s="21" t="str">
        <f t="shared" si="62"/>
        <v/>
      </c>
      <c r="J1221" s="21" t="str">
        <f t="shared" si="64"/>
        <v/>
      </c>
      <c r="K1221" s="20"/>
      <c r="L1221" s="21" t="str">
        <f>IF(OR(NOT(AND($B1221&lt;&gt;"",$C1221&lt;&gt;"",$D1221&lt;&gt;"",$E1221&lt;&gt;"")),$A1221="",$K1221&lt;&gt;"Yes"),"",IF($L1221&lt;&gt;"",$L1221,INDEX(SETUP!$I$1:$I$2000,MATCH(TRUE,SETUP!$J$1:$J$2000,0)+COUNTIFS($A$2:$A1221,"&lt;&gt;",$K$2:$K1221,"Yes",$L$2:$L1221,"")-1)))</f>
        <v/>
      </c>
      <c r="N1221" s="22"/>
    </row>
    <row r="1222" spans="1:14" x14ac:dyDescent="0.3">
      <c r="A1222" s="15" t="str">
        <f>IF(COUNTA($B1222:$E1222,$K1222)=0,"",IF(AND($B1222&lt;&gt;"",$C1222&lt;&gt;"",$D1222&lt;&gt;"",$E1222&lt;&gt;""),"TXS"&amp;TEXT(COUNTIFS($B$2:$B1222,"&lt;&gt;",$C$2:$C1222,"&lt;&gt;",$D$2:$D1222,"&lt;&gt;",$E$2:$E1222,"&lt;&gt;"),"00000"),""))</f>
        <v/>
      </c>
      <c r="B1222" s="16"/>
      <c r="C1222" s="20"/>
      <c r="D1222" s="20"/>
      <c r="E1222" s="23"/>
      <c r="H1222" s="21" t="str">
        <f t="shared" si="63"/>
        <v/>
      </c>
      <c r="I1222" s="21" t="str">
        <f t="shared" si="62"/>
        <v/>
      </c>
      <c r="J1222" s="21" t="str">
        <f t="shared" si="64"/>
        <v/>
      </c>
      <c r="K1222" s="20"/>
      <c r="L1222" s="21" t="str">
        <f>IF(OR(NOT(AND($B1222&lt;&gt;"",$C1222&lt;&gt;"",$D1222&lt;&gt;"",$E1222&lt;&gt;"")),$A1222="",$K1222&lt;&gt;"Yes"),"",IF($L1222&lt;&gt;"",$L1222,INDEX(SETUP!$I$1:$I$2000,MATCH(TRUE,SETUP!$J$1:$J$2000,0)+COUNTIFS($A$2:$A1222,"&lt;&gt;",$K$2:$K1222,"Yes",$L$2:$L1222,"")-1)))</f>
        <v/>
      </c>
      <c r="N1222" s="22"/>
    </row>
    <row r="1223" spans="1:14" x14ac:dyDescent="0.3">
      <c r="A1223" s="15" t="str">
        <f>IF(COUNTA($B1223:$E1223,$K1223)=0,"",IF(AND($B1223&lt;&gt;"",$C1223&lt;&gt;"",$D1223&lt;&gt;"",$E1223&lt;&gt;""),"TXS"&amp;TEXT(COUNTIFS($B$2:$B1223,"&lt;&gt;",$C$2:$C1223,"&lt;&gt;",$D$2:$D1223,"&lt;&gt;",$E$2:$E1223,"&lt;&gt;"),"00000"),""))</f>
        <v/>
      </c>
      <c r="B1223" s="16"/>
      <c r="C1223" s="20"/>
      <c r="D1223" s="20"/>
      <c r="E1223" s="23"/>
      <c r="H1223" s="21" t="str">
        <f t="shared" si="63"/>
        <v/>
      </c>
      <c r="I1223" s="21" t="str">
        <f t="shared" si="62"/>
        <v/>
      </c>
      <c r="J1223" s="21" t="str">
        <f t="shared" si="64"/>
        <v/>
      </c>
      <c r="K1223" s="20"/>
      <c r="L1223" s="21" t="str">
        <f>IF(OR(NOT(AND($B1223&lt;&gt;"",$C1223&lt;&gt;"",$D1223&lt;&gt;"",$E1223&lt;&gt;"")),$A1223="",$K1223&lt;&gt;"Yes"),"",IF($L1223&lt;&gt;"",$L1223,INDEX(SETUP!$I$1:$I$2000,MATCH(TRUE,SETUP!$J$1:$J$2000,0)+COUNTIFS($A$2:$A1223,"&lt;&gt;",$K$2:$K1223,"Yes",$L$2:$L1223,"")-1)))</f>
        <v/>
      </c>
      <c r="N1223" s="22"/>
    </row>
    <row r="1224" spans="1:14" x14ac:dyDescent="0.3">
      <c r="A1224" s="15" t="str">
        <f>IF(COUNTA($B1224:$E1224,$K1224)=0,"",IF(AND($B1224&lt;&gt;"",$C1224&lt;&gt;"",$D1224&lt;&gt;"",$E1224&lt;&gt;""),"TXS"&amp;TEXT(COUNTIFS($B$2:$B1224,"&lt;&gt;",$C$2:$C1224,"&lt;&gt;",$D$2:$D1224,"&lt;&gt;",$E$2:$E1224,"&lt;&gt;"),"00000"),""))</f>
        <v/>
      </c>
      <c r="B1224" s="16"/>
      <c r="C1224" s="20"/>
      <c r="D1224" s="20"/>
      <c r="E1224" s="23"/>
      <c r="H1224" s="21" t="str">
        <f t="shared" si="63"/>
        <v/>
      </c>
      <c r="I1224" s="21" t="str">
        <f t="shared" si="62"/>
        <v/>
      </c>
      <c r="J1224" s="21" t="str">
        <f t="shared" si="64"/>
        <v/>
      </c>
      <c r="K1224" s="20"/>
      <c r="L1224" s="21" t="str">
        <f>IF(OR(NOT(AND($B1224&lt;&gt;"",$C1224&lt;&gt;"",$D1224&lt;&gt;"",$E1224&lt;&gt;"")),$A1224="",$K1224&lt;&gt;"Yes"),"",IF($L1224&lt;&gt;"",$L1224,INDEX(SETUP!$I$1:$I$2000,MATCH(TRUE,SETUP!$J$1:$J$2000,0)+COUNTIFS($A$2:$A1224,"&lt;&gt;",$K$2:$K1224,"Yes",$L$2:$L1224,"")-1)))</f>
        <v/>
      </c>
      <c r="N1224" s="22"/>
    </row>
    <row r="1225" spans="1:14" x14ac:dyDescent="0.3">
      <c r="A1225" s="15" t="str">
        <f>IF(COUNTA($B1225:$E1225,$K1225)=0,"",IF(AND($B1225&lt;&gt;"",$C1225&lt;&gt;"",$D1225&lt;&gt;"",$E1225&lt;&gt;""),"TXS"&amp;TEXT(COUNTIFS($B$2:$B1225,"&lt;&gt;",$C$2:$C1225,"&lt;&gt;",$D$2:$D1225,"&lt;&gt;",$E$2:$E1225,"&lt;&gt;"),"00000"),""))</f>
        <v/>
      </c>
      <c r="B1225" s="16"/>
      <c r="C1225" s="20"/>
      <c r="D1225" s="20"/>
      <c r="E1225" s="23"/>
      <c r="H1225" s="21" t="str">
        <f t="shared" si="63"/>
        <v/>
      </c>
      <c r="I1225" s="21" t="str">
        <f t="shared" si="62"/>
        <v/>
      </c>
      <c r="J1225" s="21" t="str">
        <f t="shared" si="64"/>
        <v/>
      </c>
      <c r="K1225" s="20"/>
      <c r="L1225" s="21" t="str">
        <f>IF(OR(NOT(AND($B1225&lt;&gt;"",$C1225&lt;&gt;"",$D1225&lt;&gt;"",$E1225&lt;&gt;"")),$A1225="",$K1225&lt;&gt;"Yes"),"",IF($L1225&lt;&gt;"",$L1225,INDEX(SETUP!$I$1:$I$2000,MATCH(TRUE,SETUP!$J$1:$J$2000,0)+COUNTIFS($A$2:$A1225,"&lt;&gt;",$K$2:$K1225,"Yes",$L$2:$L1225,"")-1)))</f>
        <v/>
      </c>
      <c r="N1225" s="22"/>
    </row>
    <row r="1226" spans="1:14" x14ac:dyDescent="0.3">
      <c r="A1226" s="15" t="str">
        <f>IF(COUNTA($B1226:$E1226,$K1226)=0,"",IF(AND($B1226&lt;&gt;"",$C1226&lt;&gt;"",$D1226&lt;&gt;"",$E1226&lt;&gt;""),"TXS"&amp;TEXT(COUNTIFS($B$2:$B1226,"&lt;&gt;",$C$2:$C1226,"&lt;&gt;",$D$2:$D1226,"&lt;&gt;",$E$2:$E1226,"&lt;&gt;"),"00000"),""))</f>
        <v/>
      </c>
      <c r="B1226" s="16"/>
      <c r="C1226" s="20"/>
      <c r="D1226" s="20"/>
      <c r="E1226" s="23"/>
      <c r="H1226" s="21" t="str">
        <f t="shared" si="63"/>
        <v/>
      </c>
      <c r="I1226" s="21" t="str">
        <f t="shared" si="62"/>
        <v/>
      </c>
      <c r="J1226" s="21" t="str">
        <f t="shared" si="64"/>
        <v/>
      </c>
      <c r="K1226" s="20"/>
      <c r="L1226" s="21" t="str">
        <f>IF(OR(NOT(AND($B1226&lt;&gt;"",$C1226&lt;&gt;"",$D1226&lt;&gt;"",$E1226&lt;&gt;"")),$A1226="",$K1226&lt;&gt;"Yes"),"",IF($L1226&lt;&gt;"",$L1226,INDEX(SETUP!$I$1:$I$2000,MATCH(TRUE,SETUP!$J$1:$J$2000,0)+COUNTIFS($A$2:$A1226,"&lt;&gt;",$K$2:$K1226,"Yes",$L$2:$L1226,"")-1)))</f>
        <v/>
      </c>
      <c r="N1226" s="22"/>
    </row>
    <row r="1227" spans="1:14" x14ac:dyDescent="0.3">
      <c r="A1227" s="15" t="str">
        <f>IF(COUNTA($B1227:$E1227,$K1227)=0,"",IF(AND($B1227&lt;&gt;"",$C1227&lt;&gt;"",$D1227&lt;&gt;"",$E1227&lt;&gt;""),"TXS"&amp;TEXT(COUNTIFS($B$2:$B1227,"&lt;&gt;",$C$2:$C1227,"&lt;&gt;",$D$2:$D1227,"&lt;&gt;",$E$2:$E1227,"&lt;&gt;"),"00000"),""))</f>
        <v/>
      </c>
      <c r="B1227" s="16"/>
      <c r="C1227" s="20"/>
      <c r="D1227" s="20"/>
      <c r="E1227" s="23"/>
      <c r="H1227" s="21" t="str">
        <f t="shared" si="63"/>
        <v/>
      </c>
      <c r="I1227" s="21" t="str">
        <f t="shared" si="62"/>
        <v/>
      </c>
      <c r="J1227" s="21" t="str">
        <f t="shared" si="64"/>
        <v/>
      </c>
      <c r="K1227" s="20"/>
      <c r="L1227" s="21" t="str">
        <f>IF(OR(NOT(AND($B1227&lt;&gt;"",$C1227&lt;&gt;"",$D1227&lt;&gt;"",$E1227&lt;&gt;"")),$A1227="",$K1227&lt;&gt;"Yes"),"",IF($L1227&lt;&gt;"",$L1227,INDEX(SETUP!$I$1:$I$2000,MATCH(TRUE,SETUP!$J$1:$J$2000,0)+COUNTIFS($A$2:$A1227,"&lt;&gt;",$K$2:$K1227,"Yes",$L$2:$L1227,"")-1)))</f>
        <v/>
      </c>
      <c r="N1227" s="22"/>
    </row>
    <row r="1228" spans="1:14" x14ac:dyDescent="0.3">
      <c r="A1228" s="15" t="str">
        <f>IF(COUNTA($B1228:$E1228,$K1228)=0,"",IF(AND($B1228&lt;&gt;"",$C1228&lt;&gt;"",$D1228&lt;&gt;"",$E1228&lt;&gt;""),"TXS"&amp;TEXT(COUNTIFS($B$2:$B1228,"&lt;&gt;",$C$2:$C1228,"&lt;&gt;",$D$2:$D1228,"&lt;&gt;",$E$2:$E1228,"&lt;&gt;"),"00000"),""))</f>
        <v/>
      </c>
      <c r="B1228" s="16"/>
      <c r="C1228" s="20"/>
      <c r="D1228" s="20"/>
      <c r="E1228" s="23"/>
      <c r="H1228" s="21" t="str">
        <f t="shared" si="63"/>
        <v/>
      </c>
      <c r="I1228" s="21" t="str">
        <f t="shared" si="62"/>
        <v/>
      </c>
      <c r="J1228" s="21" t="str">
        <f t="shared" si="64"/>
        <v/>
      </c>
      <c r="K1228" s="20"/>
      <c r="L1228" s="21" t="str">
        <f>IF(OR(NOT(AND($B1228&lt;&gt;"",$C1228&lt;&gt;"",$D1228&lt;&gt;"",$E1228&lt;&gt;"")),$A1228="",$K1228&lt;&gt;"Yes"),"",IF($L1228&lt;&gt;"",$L1228,INDEX(SETUP!$I$1:$I$2000,MATCH(TRUE,SETUP!$J$1:$J$2000,0)+COUNTIFS($A$2:$A1228,"&lt;&gt;",$K$2:$K1228,"Yes",$L$2:$L1228,"")-1)))</f>
        <v/>
      </c>
      <c r="N1228" s="22"/>
    </row>
    <row r="1229" spans="1:14" x14ac:dyDescent="0.3">
      <c r="A1229" s="15" t="str">
        <f>IF(COUNTA($B1229:$E1229,$K1229)=0,"",IF(AND($B1229&lt;&gt;"",$C1229&lt;&gt;"",$D1229&lt;&gt;"",$E1229&lt;&gt;""),"TXS"&amp;TEXT(COUNTIFS($B$2:$B1229,"&lt;&gt;",$C$2:$C1229,"&lt;&gt;",$D$2:$D1229,"&lt;&gt;",$E$2:$E1229,"&lt;&gt;"),"00000"),""))</f>
        <v/>
      </c>
      <c r="B1229" s="16"/>
      <c r="C1229" s="20"/>
      <c r="D1229" s="20"/>
      <c r="E1229" s="23"/>
      <c r="H1229" s="21" t="str">
        <f t="shared" si="63"/>
        <v/>
      </c>
      <c r="I1229" s="21" t="str">
        <f t="shared" si="62"/>
        <v/>
      </c>
      <c r="J1229" s="21" t="str">
        <f t="shared" si="64"/>
        <v/>
      </c>
      <c r="K1229" s="20"/>
      <c r="L1229" s="21" t="str">
        <f>IF(OR(NOT(AND($B1229&lt;&gt;"",$C1229&lt;&gt;"",$D1229&lt;&gt;"",$E1229&lt;&gt;"")),$A1229="",$K1229&lt;&gt;"Yes"),"",IF($L1229&lt;&gt;"",$L1229,INDEX(SETUP!$I$1:$I$2000,MATCH(TRUE,SETUP!$J$1:$J$2000,0)+COUNTIFS($A$2:$A1229,"&lt;&gt;",$K$2:$K1229,"Yes",$L$2:$L1229,"")-1)))</f>
        <v/>
      </c>
      <c r="N1229" s="22"/>
    </row>
    <row r="1230" spans="1:14" x14ac:dyDescent="0.3">
      <c r="A1230" s="15" t="str">
        <f>IF(COUNTA($B1230:$E1230,$K1230)=0,"",IF(AND($B1230&lt;&gt;"",$C1230&lt;&gt;"",$D1230&lt;&gt;"",$E1230&lt;&gt;""),"TXS"&amp;TEXT(COUNTIFS($B$2:$B1230,"&lt;&gt;",$C$2:$C1230,"&lt;&gt;",$D$2:$D1230,"&lt;&gt;",$E$2:$E1230,"&lt;&gt;"),"00000"),""))</f>
        <v/>
      </c>
      <c r="B1230" s="16"/>
      <c r="C1230" s="20"/>
      <c r="D1230" s="20"/>
      <c r="E1230" s="23"/>
      <c r="H1230" s="21" t="str">
        <f t="shared" si="63"/>
        <v/>
      </c>
      <c r="I1230" s="21" t="str">
        <f t="shared" si="62"/>
        <v/>
      </c>
      <c r="J1230" s="21" t="str">
        <f t="shared" si="64"/>
        <v/>
      </c>
      <c r="K1230" s="20"/>
      <c r="L1230" s="21" t="str">
        <f>IF(OR(NOT(AND($B1230&lt;&gt;"",$C1230&lt;&gt;"",$D1230&lt;&gt;"",$E1230&lt;&gt;"")),$A1230="",$K1230&lt;&gt;"Yes"),"",IF($L1230&lt;&gt;"",$L1230,INDEX(SETUP!$I$1:$I$2000,MATCH(TRUE,SETUP!$J$1:$J$2000,0)+COUNTIFS($A$2:$A1230,"&lt;&gt;",$K$2:$K1230,"Yes",$L$2:$L1230,"")-1)))</f>
        <v/>
      </c>
      <c r="N1230" s="22"/>
    </row>
    <row r="1231" spans="1:14" x14ac:dyDescent="0.3">
      <c r="A1231" s="15" t="str">
        <f>IF(COUNTA($B1231:$E1231,$K1231)=0,"",IF(AND($B1231&lt;&gt;"",$C1231&lt;&gt;"",$D1231&lt;&gt;"",$E1231&lt;&gt;""),"TXS"&amp;TEXT(COUNTIFS($B$2:$B1231,"&lt;&gt;",$C$2:$C1231,"&lt;&gt;",$D$2:$D1231,"&lt;&gt;",$E$2:$E1231,"&lt;&gt;"),"00000"),""))</f>
        <v/>
      </c>
      <c r="B1231" s="16"/>
      <c r="C1231" s="20"/>
      <c r="D1231" s="20"/>
      <c r="E1231" s="23"/>
      <c r="H1231" s="21" t="str">
        <f t="shared" si="63"/>
        <v/>
      </c>
      <c r="I1231" s="21" t="str">
        <f t="shared" si="62"/>
        <v/>
      </c>
      <c r="J1231" s="21" t="str">
        <f t="shared" si="64"/>
        <v/>
      </c>
      <c r="K1231" s="20"/>
      <c r="L1231" s="21" t="str">
        <f>IF(OR(NOT(AND($B1231&lt;&gt;"",$C1231&lt;&gt;"",$D1231&lt;&gt;"",$E1231&lt;&gt;"")),$A1231="",$K1231&lt;&gt;"Yes"),"",IF($L1231&lt;&gt;"",$L1231,INDEX(SETUP!$I$1:$I$2000,MATCH(TRUE,SETUP!$J$1:$J$2000,0)+COUNTIFS($A$2:$A1231,"&lt;&gt;",$K$2:$K1231,"Yes",$L$2:$L1231,"")-1)))</f>
        <v/>
      </c>
      <c r="N1231" s="22"/>
    </row>
    <row r="1232" spans="1:14" x14ac:dyDescent="0.3">
      <c r="A1232" s="15" t="str">
        <f>IF(COUNTA($B1232:$E1232,$K1232)=0,"",IF(AND($B1232&lt;&gt;"",$C1232&lt;&gt;"",$D1232&lt;&gt;"",$E1232&lt;&gt;""),"TXS"&amp;TEXT(COUNTIFS($B$2:$B1232,"&lt;&gt;",$C$2:$C1232,"&lt;&gt;",$D$2:$D1232,"&lt;&gt;",$E$2:$E1232,"&lt;&gt;"),"00000"),""))</f>
        <v/>
      </c>
      <c r="B1232" s="16"/>
      <c r="C1232" s="20"/>
      <c r="D1232" s="20"/>
      <c r="E1232" s="23"/>
      <c r="H1232" s="21" t="str">
        <f t="shared" si="63"/>
        <v/>
      </c>
      <c r="I1232" s="21" t="str">
        <f t="shared" si="62"/>
        <v/>
      </c>
      <c r="J1232" s="21" t="str">
        <f t="shared" si="64"/>
        <v/>
      </c>
      <c r="K1232" s="20"/>
      <c r="L1232" s="21" t="str">
        <f>IF(OR(NOT(AND($B1232&lt;&gt;"",$C1232&lt;&gt;"",$D1232&lt;&gt;"",$E1232&lt;&gt;"")),$A1232="",$K1232&lt;&gt;"Yes"),"",IF($L1232&lt;&gt;"",$L1232,INDEX(SETUP!$I$1:$I$2000,MATCH(TRUE,SETUP!$J$1:$J$2000,0)+COUNTIFS($A$2:$A1232,"&lt;&gt;",$K$2:$K1232,"Yes",$L$2:$L1232,"")-1)))</f>
        <v/>
      </c>
      <c r="N1232" s="22"/>
    </row>
    <row r="1233" spans="1:14" x14ac:dyDescent="0.3">
      <c r="A1233" s="15" t="str">
        <f>IF(COUNTA($B1233:$E1233,$K1233)=0,"",IF(AND($B1233&lt;&gt;"",$C1233&lt;&gt;"",$D1233&lt;&gt;"",$E1233&lt;&gt;""),"TXS"&amp;TEXT(COUNTIFS($B$2:$B1233,"&lt;&gt;",$C$2:$C1233,"&lt;&gt;",$D$2:$D1233,"&lt;&gt;",$E$2:$E1233,"&lt;&gt;"),"00000"),""))</f>
        <v/>
      </c>
      <c r="B1233" s="16"/>
      <c r="C1233" s="20"/>
      <c r="D1233" s="20"/>
      <c r="E1233" s="23"/>
      <c r="H1233" s="21" t="str">
        <f t="shared" si="63"/>
        <v/>
      </c>
      <c r="I1233" s="21" t="str">
        <f t="shared" si="62"/>
        <v/>
      </c>
      <c r="J1233" s="21" t="str">
        <f t="shared" si="64"/>
        <v/>
      </c>
      <c r="K1233" s="20"/>
      <c r="L1233" s="21" t="str">
        <f>IF(OR(NOT(AND($B1233&lt;&gt;"",$C1233&lt;&gt;"",$D1233&lt;&gt;"",$E1233&lt;&gt;"")),$A1233="",$K1233&lt;&gt;"Yes"),"",IF($L1233&lt;&gt;"",$L1233,INDEX(SETUP!$I$1:$I$2000,MATCH(TRUE,SETUP!$J$1:$J$2000,0)+COUNTIFS($A$2:$A1233,"&lt;&gt;",$K$2:$K1233,"Yes",$L$2:$L1233,"")-1)))</f>
        <v/>
      </c>
      <c r="N1233" s="22"/>
    </row>
    <row r="1234" spans="1:14" x14ac:dyDescent="0.3">
      <c r="A1234" s="15" t="str">
        <f>IF(COUNTA($B1234:$E1234,$K1234)=0,"",IF(AND($B1234&lt;&gt;"",$C1234&lt;&gt;"",$D1234&lt;&gt;"",$E1234&lt;&gt;""),"TXS"&amp;TEXT(COUNTIFS($B$2:$B1234,"&lt;&gt;",$C$2:$C1234,"&lt;&gt;",$D$2:$D1234,"&lt;&gt;",$E$2:$E1234,"&lt;&gt;"),"00000"),""))</f>
        <v/>
      </c>
      <c r="B1234" s="16"/>
      <c r="C1234" s="20"/>
      <c r="D1234" s="20"/>
      <c r="E1234" s="23"/>
      <c r="H1234" s="21" t="str">
        <f t="shared" si="63"/>
        <v/>
      </c>
      <c r="I1234" s="21" t="str">
        <f t="shared" si="62"/>
        <v/>
      </c>
      <c r="J1234" s="21" t="str">
        <f t="shared" si="64"/>
        <v/>
      </c>
      <c r="K1234" s="20"/>
      <c r="L1234" s="21" t="str">
        <f>IF(OR(NOT(AND($B1234&lt;&gt;"",$C1234&lt;&gt;"",$D1234&lt;&gt;"",$E1234&lt;&gt;"")),$A1234="",$K1234&lt;&gt;"Yes"),"",IF($L1234&lt;&gt;"",$L1234,INDEX(SETUP!$I$1:$I$2000,MATCH(TRUE,SETUP!$J$1:$J$2000,0)+COUNTIFS($A$2:$A1234,"&lt;&gt;",$K$2:$K1234,"Yes",$L$2:$L1234,"")-1)))</f>
        <v/>
      </c>
      <c r="N1234" s="22"/>
    </row>
    <row r="1235" spans="1:14" x14ac:dyDescent="0.3">
      <c r="A1235" s="15" t="str">
        <f>IF(COUNTA($B1235:$E1235,$K1235)=0,"",IF(AND($B1235&lt;&gt;"",$C1235&lt;&gt;"",$D1235&lt;&gt;"",$E1235&lt;&gt;""),"TXS"&amp;TEXT(COUNTIFS($B$2:$B1235,"&lt;&gt;",$C$2:$C1235,"&lt;&gt;",$D$2:$D1235,"&lt;&gt;",$E$2:$E1235,"&lt;&gt;"),"00000"),""))</f>
        <v/>
      </c>
      <c r="B1235" s="16"/>
      <c r="C1235" s="20"/>
      <c r="D1235" s="20"/>
      <c r="E1235" s="23"/>
      <c r="H1235" s="21" t="str">
        <f t="shared" si="63"/>
        <v/>
      </c>
      <c r="I1235" s="21" t="str">
        <f t="shared" si="62"/>
        <v/>
      </c>
      <c r="J1235" s="21" t="str">
        <f t="shared" si="64"/>
        <v/>
      </c>
      <c r="K1235" s="20"/>
      <c r="L1235" s="21" t="str">
        <f>IF(OR(NOT(AND($B1235&lt;&gt;"",$C1235&lt;&gt;"",$D1235&lt;&gt;"",$E1235&lt;&gt;"")),$A1235="",$K1235&lt;&gt;"Yes"),"",IF($L1235&lt;&gt;"",$L1235,INDEX(SETUP!$I$1:$I$2000,MATCH(TRUE,SETUP!$J$1:$J$2000,0)+COUNTIFS($A$2:$A1235,"&lt;&gt;",$K$2:$K1235,"Yes",$L$2:$L1235,"")-1)))</f>
        <v/>
      </c>
      <c r="N1235" s="22"/>
    </row>
    <row r="1236" spans="1:14" x14ac:dyDescent="0.3">
      <c r="A1236" s="15" t="str">
        <f>IF(COUNTA($B1236:$E1236,$K1236)=0,"",IF(AND($B1236&lt;&gt;"",$C1236&lt;&gt;"",$D1236&lt;&gt;"",$E1236&lt;&gt;""),"TXS"&amp;TEXT(COUNTIFS($B$2:$B1236,"&lt;&gt;",$C$2:$C1236,"&lt;&gt;",$D$2:$D1236,"&lt;&gt;",$E$2:$E1236,"&lt;&gt;"),"00000"),""))</f>
        <v/>
      </c>
      <c r="B1236" s="16"/>
      <c r="C1236" s="20"/>
      <c r="D1236" s="20"/>
      <c r="E1236" s="23"/>
      <c r="H1236" s="21" t="str">
        <f t="shared" si="63"/>
        <v/>
      </c>
      <c r="I1236" s="21" t="str">
        <f t="shared" si="62"/>
        <v/>
      </c>
      <c r="J1236" s="21" t="str">
        <f t="shared" si="64"/>
        <v/>
      </c>
      <c r="K1236" s="20"/>
      <c r="L1236" s="21" t="str">
        <f>IF(OR(NOT(AND($B1236&lt;&gt;"",$C1236&lt;&gt;"",$D1236&lt;&gt;"",$E1236&lt;&gt;"")),$A1236="",$K1236&lt;&gt;"Yes"),"",IF($L1236&lt;&gt;"",$L1236,INDEX(SETUP!$I$1:$I$2000,MATCH(TRUE,SETUP!$J$1:$J$2000,0)+COUNTIFS($A$2:$A1236,"&lt;&gt;",$K$2:$K1236,"Yes",$L$2:$L1236,"")-1)))</f>
        <v/>
      </c>
      <c r="N1236" s="22"/>
    </row>
    <row r="1237" spans="1:14" x14ac:dyDescent="0.3">
      <c r="A1237" s="15" t="str">
        <f>IF(COUNTA($B1237:$E1237,$K1237)=0,"",IF(AND($B1237&lt;&gt;"",$C1237&lt;&gt;"",$D1237&lt;&gt;"",$E1237&lt;&gt;""),"TXS"&amp;TEXT(COUNTIFS($B$2:$B1237,"&lt;&gt;",$C$2:$C1237,"&lt;&gt;",$D$2:$D1237,"&lt;&gt;",$E$2:$E1237,"&lt;&gt;"),"00000"),""))</f>
        <v/>
      </c>
      <c r="B1237" s="16"/>
      <c r="C1237" s="20"/>
      <c r="D1237" s="20"/>
      <c r="E1237" s="23"/>
      <c r="H1237" s="21" t="str">
        <f t="shared" si="63"/>
        <v/>
      </c>
      <c r="I1237" s="21" t="str">
        <f t="shared" si="62"/>
        <v/>
      </c>
      <c r="J1237" s="21" t="str">
        <f t="shared" si="64"/>
        <v/>
      </c>
      <c r="K1237" s="20"/>
      <c r="L1237" s="21" t="str">
        <f>IF(OR(NOT(AND($B1237&lt;&gt;"",$C1237&lt;&gt;"",$D1237&lt;&gt;"",$E1237&lt;&gt;"")),$A1237="",$K1237&lt;&gt;"Yes"),"",IF($L1237&lt;&gt;"",$L1237,INDEX(SETUP!$I$1:$I$2000,MATCH(TRUE,SETUP!$J$1:$J$2000,0)+COUNTIFS($A$2:$A1237,"&lt;&gt;",$K$2:$K1237,"Yes",$L$2:$L1237,"")-1)))</f>
        <v/>
      </c>
      <c r="N1237" s="22"/>
    </row>
    <row r="1238" spans="1:14" x14ac:dyDescent="0.3">
      <c r="A1238" s="15" t="str">
        <f>IF(COUNTA($B1238:$E1238,$K1238)=0,"",IF(AND($B1238&lt;&gt;"",$C1238&lt;&gt;"",$D1238&lt;&gt;"",$E1238&lt;&gt;""),"TXS"&amp;TEXT(COUNTIFS($B$2:$B1238,"&lt;&gt;",$C$2:$C1238,"&lt;&gt;",$D$2:$D1238,"&lt;&gt;",$E$2:$E1238,"&lt;&gt;"),"00000"),""))</f>
        <v/>
      </c>
      <c r="B1238" s="16"/>
      <c r="C1238" s="20"/>
      <c r="D1238" s="20"/>
      <c r="E1238" s="23"/>
      <c r="H1238" s="21" t="str">
        <f t="shared" si="63"/>
        <v/>
      </c>
      <c r="I1238" s="21" t="str">
        <f t="shared" si="62"/>
        <v/>
      </c>
      <c r="J1238" s="21" t="str">
        <f t="shared" si="64"/>
        <v/>
      </c>
      <c r="K1238" s="20"/>
      <c r="L1238" s="21" t="str">
        <f>IF(OR(NOT(AND($B1238&lt;&gt;"",$C1238&lt;&gt;"",$D1238&lt;&gt;"",$E1238&lt;&gt;"")),$A1238="",$K1238&lt;&gt;"Yes"),"",IF($L1238&lt;&gt;"",$L1238,INDEX(SETUP!$I$1:$I$2000,MATCH(TRUE,SETUP!$J$1:$J$2000,0)+COUNTIFS($A$2:$A1238,"&lt;&gt;",$K$2:$K1238,"Yes",$L$2:$L1238,"")-1)))</f>
        <v/>
      </c>
      <c r="N1238" s="22"/>
    </row>
    <row r="1239" spans="1:14" x14ac:dyDescent="0.3">
      <c r="A1239" s="15" t="str">
        <f>IF(COUNTA($B1239:$E1239,$K1239)=0,"",IF(AND($B1239&lt;&gt;"",$C1239&lt;&gt;"",$D1239&lt;&gt;"",$E1239&lt;&gt;""),"TXS"&amp;TEXT(COUNTIFS($B$2:$B1239,"&lt;&gt;",$C$2:$C1239,"&lt;&gt;",$D$2:$D1239,"&lt;&gt;",$E$2:$E1239,"&lt;&gt;"),"00000"),""))</f>
        <v/>
      </c>
      <c r="B1239" s="16"/>
      <c r="C1239" s="20"/>
      <c r="D1239" s="20"/>
      <c r="E1239" s="23"/>
      <c r="H1239" s="21" t="str">
        <f t="shared" si="63"/>
        <v/>
      </c>
      <c r="I1239" s="21" t="str">
        <f t="shared" si="62"/>
        <v/>
      </c>
      <c r="J1239" s="21" t="str">
        <f t="shared" si="64"/>
        <v/>
      </c>
      <c r="K1239" s="20"/>
      <c r="L1239" s="21" t="str">
        <f>IF(OR(NOT(AND($B1239&lt;&gt;"",$C1239&lt;&gt;"",$D1239&lt;&gt;"",$E1239&lt;&gt;"")),$A1239="",$K1239&lt;&gt;"Yes"),"",IF($L1239&lt;&gt;"",$L1239,INDEX(SETUP!$I$1:$I$2000,MATCH(TRUE,SETUP!$J$1:$J$2000,0)+COUNTIFS($A$2:$A1239,"&lt;&gt;",$K$2:$K1239,"Yes",$L$2:$L1239,"")-1)))</f>
        <v/>
      </c>
      <c r="N1239" s="22"/>
    </row>
    <row r="1240" spans="1:14" x14ac:dyDescent="0.3">
      <c r="A1240" s="15" t="str">
        <f>IF(COUNTA($B1240:$E1240,$K1240)=0,"",IF(AND($B1240&lt;&gt;"",$C1240&lt;&gt;"",$D1240&lt;&gt;"",$E1240&lt;&gt;""),"TXS"&amp;TEXT(COUNTIFS($B$2:$B1240,"&lt;&gt;",$C$2:$C1240,"&lt;&gt;",$D$2:$D1240,"&lt;&gt;",$E$2:$E1240,"&lt;&gt;"),"00000"),""))</f>
        <v/>
      </c>
      <c r="B1240" s="16"/>
      <c r="C1240" s="20"/>
      <c r="D1240" s="20"/>
      <c r="E1240" s="23"/>
      <c r="H1240" s="21" t="str">
        <f t="shared" si="63"/>
        <v/>
      </c>
      <c r="I1240" s="21" t="str">
        <f t="shared" si="62"/>
        <v/>
      </c>
      <c r="J1240" s="21" t="str">
        <f t="shared" si="64"/>
        <v/>
      </c>
      <c r="K1240" s="20"/>
      <c r="L1240" s="21" t="str">
        <f>IF(OR(NOT(AND($B1240&lt;&gt;"",$C1240&lt;&gt;"",$D1240&lt;&gt;"",$E1240&lt;&gt;"")),$A1240="",$K1240&lt;&gt;"Yes"),"",IF($L1240&lt;&gt;"",$L1240,INDEX(SETUP!$I$1:$I$2000,MATCH(TRUE,SETUP!$J$1:$J$2000,0)+COUNTIFS($A$2:$A1240,"&lt;&gt;",$K$2:$K1240,"Yes",$L$2:$L1240,"")-1)))</f>
        <v/>
      </c>
      <c r="N1240" s="22"/>
    </row>
    <row r="1241" spans="1:14" x14ac:dyDescent="0.3">
      <c r="A1241" s="15" t="str">
        <f>IF(COUNTA($B1241:$E1241,$K1241)=0,"",IF(AND($B1241&lt;&gt;"",$C1241&lt;&gt;"",$D1241&lt;&gt;"",$E1241&lt;&gt;""),"TXS"&amp;TEXT(COUNTIFS($B$2:$B1241,"&lt;&gt;",$C$2:$C1241,"&lt;&gt;",$D$2:$D1241,"&lt;&gt;",$E$2:$E1241,"&lt;&gt;"),"00000"),""))</f>
        <v/>
      </c>
      <c r="B1241" s="16"/>
      <c r="C1241" s="20"/>
      <c r="D1241" s="20"/>
      <c r="E1241" s="23"/>
      <c r="H1241" s="21" t="str">
        <f t="shared" si="63"/>
        <v/>
      </c>
      <c r="I1241" s="21" t="str">
        <f t="shared" si="62"/>
        <v/>
      </c>
      <c r="J1241" s="21" t="str">
        <f t="shared" si="64"/>
        <v/>
      </c>
      <c r="K1241" s="20"/>
      <c r="L1241" s="21" t="str">
        <f>IF(OR(NOT(AND($B1241&lt;&gt;"",$C1241&lt;&gt;"",$D1241&lt;&gt;"",$E1241&lt;&gt;"")),$A1241="",$K1241&lt;&gt;"Yes"),"",IF($L1241&lt;&gt;"",$L1241,INDEX(SETUP!$I$1:$I$2000,MATCH(TRUE,SETUP!$J$1:$J$2000,0)+COUNTIFS($A$2:$A1241,"&lt;&gt;",$K$2:$K1241,"Yes",$L$2:$L1241,"")-1)))</f>
        <v/>
      </c>
      <c r="N1241" s="22"/>
    </row>
    <row r="1242" spans="1:14" x14ac:dyDescent="0.3">
      <c r="A1242" s="15" t="str">
        <f>IF(COUNTA($B1242:$E1242,$K1242)=0,"",IF(AND($B1242&lt;&gt;"",$C1242&lt;&gt;"",$D1242&lt;&gt;"",$E1242&lt;&gt;""),"TXS"&amp;TEXT(COUNTIFS($B$2:$B1242,"&lt;&gt;",$C$2:$C1242,"&lt;&gt;",$D$2:$D1242,"&lt;&gt;",$E$2:$E1242,"&lt;&gt;"),"00000"),""))</f>
        <v/>
      </c>
      <c r="B1242" s="16"/>
      <c r="C1242" s="20"/>
      <c r="D1242" s="20"/>
      <c r="E1242" s="23"/>
      <c r="H1242" s="21" t="str">
        <f t="shared" si="63"/>
        <v/>
      </c>
      <c r="I1242" s="21" t="str">
        <f t="shared" si="62"/>
        <v/>
      </c>
      <c r="J1242" s="21" t="str">
        <f t="shared" si="64"/>
        <v/>
      </c>
      <c r="K1242" s="20"/>
      <c r="L1242" s="21" t="str">
        <f>IF(OR(NOT(AND($B1242&lt;&gt;"",$C1242&lt;&gt;"",$D1242&lt;&gt;"",$E1242&lt;&gt;"")),$A1242="",$K1242&lt;&gt;"Yes"),"",IF($L1242&lt;&gt;"",$L1242,INDEX(SETUP!$I$1:$I$2000,MATCH(TRUE,SETUP!$J$1:$J$2000,0)+COUNTIFS($A$2:$A1242,"&lt;&gt;",$K$2:$K1242,"Yes",$L$2:$L1242,"")-1)))</f>
        <v/>
      </c>
      <c r="N1242" s="22"/>
    </row>
    <row r="1243" spans="1:14" x14ac:dyDescent="0.3">
      <c r="A1243" s="15" t="str">
        <f>IF(COUNTA($B1243:$E1243,$K1243)=0,"",IF(AND($B1243&lt;&gt;"",$C1243&lt;&gt;"",$D1243&lt;&gt;"",$E1243&lt;&gt;""),"TXS"&amp;TEXT(COUNTIFS($B$2:$B1243,"&lt;&gt;",$C$2:$C1243,"&lt;&gt;",$D$2:$D1243,"&lt;&gt;",$E$2:$E1243,"&lt;&gt;"),"00000"),""))</f>
        <v/>
      </c>
      <c r="B1243" s="16"/>
      <c r="C1243" s="20"/>
      <c r="D1243" s="20"/>
      <c r="E1243" s="23"/>
      <c r="H1243" s="21" t="str">
        <f t="shared" si="63"/>
        <v/>
      </c>
      <c r="I1243" s="21" t="str">
        <f t="shared" si="62"/>
        <v/>
      </c>
      <c r="J1243" s="21" t="str">
        <f t="shared" si="64"/>
        <v/>
      </c>
      <c r="K1243" s="20"/>
      <c r="L1243" s="21" t="str">
        <f>IF(OR(NOT(AND($B1243&lt;&gt;"",$C1243&lt;&gt;"",$D1243&lt;&gt;"",$E1243&lt;&gt;"")),$A1243="",$K1243&lt;&gt;"Yes"),"",IF($L1243&lt;&gt;"",$L1243,INDEX(SETUP!$I$1:$I$2000,MATCH(TRUE,SETUP!$J$1:$J$2000,0)+COUNTIFS($A$2:$A1243,"&lt;&gt;",$K$2:$K1243,"Yes",$L$2:$L1243,"")-1)))</f>
        <v/>
      </c>
      <c r="N1243" s="22"/>
    </row>
    <row r="1244" spans="1:14" x14ac:dyDescent="0.3">
      <c r="A1244" s="15" t="str">
        <f>IF(COUNTA($B1244:$E1244,$K1244)=0,"",IF(AND($B1244&lt;&gt;"",$C1244&lt;&gt;"",$D1244&lt;&gt;"",$E1244&lt;&gt;""),"TXS"&amp;TEXT(COUNTIFS($B$2:$B1244,"&lt;&gt;",$C$2:$C1244,"&lt;&gt;",$D$2:$D1244,"&lt;&gt;",$E$2:$E1244,"&lt;&gt;"),"00000"),""))</f>
        <v/>
      </c>
      <c r="B1244" s="16"/>
      <c r="C1244" s="20"/>
      <c r="D1244" s="20"/>
      <c r="E1244" s="23"/>
      <c r="H1244" s="21" t="str">
        <f t="shared" si="63"/>
        <v/>
      </c>
      <c r="I1244" s="21" t="str">
        <f t="shared" si="62"/>
        <v/>
      </c>
      <c r="J1244" s="21" t="str">
        <f t="shared" si="64"/>
        <v/>
      </c>
      <c r="K1244" s="20"/>
      <c r="L1244" s="21" t="str">
        <f>IF(OR(NOT(AND($B1244&lt;&gt;"",$C1244&lt;&gt;"",$D1244&lt;&gt;"",$E1244&lt;&gt;"")),$A1244="",$K1244&lt;&gt;"Yes"),"",IF($L1244&lt;&gt;"",$L1244,INDEX(SETUP!$I$1:$I$2000,MATCH(TRUE,SETUP!$J$1:$J$2000,0)+COUNTIFS($A$2:$A1244,"&lt;&gt;",$K$2:$K1244,"Yes",$L$2:$L1244,"")-1)))</f>
        <v/>
      </c>
      <c r="N1244" s="22"/>
    </row>
    <row r="1245" spans="1:14" x14ac:dyDescent="0.3">
      <c r="A1245" s="15" t="str">
        <f>IF(COUNTA($B1245:$E1245,$K1245)=0,"",IF(AND($B1245&lt;&gt;"",$C1245&lt;&gt;"",$D1245&lt;&gt;"",$E1245&lt;&gt;""),"TXS"&amp;TEXT(COUNTIFS($B$2:$B1245,"&lt;&gt;",$C$2:$C1245,"&lt;&gt;",$D$2:$D1245,"&lt;&gt;",$E$2:$E1245,"&lt;&gt;"),"00000"),""))</f>
        <v/>
      </c>
      <c r="B1245" s="16"/>
      <c r="C1245" s="20"/>
      <c r="D1245" s="20"/>
      <c r="E1245" s="23"/>
      <c r="H1245" s="21" t="str">
        <f t="shared" si="63"/>
        <v/>
      </c>
      <c r="I1245" s="21" t="str">
        <f t="shared" si="62"/>
        <v/>
      </c>
      <c r="J1245" s="21" t="str">
        <f t="shared" si="64"/>
        <v/>
      </c>
      <c r="K1245" s="20"/>
      <c r="L1245" s="21" t="str">
        <f>IF(OR(NOT(AND($B1245&lt;&gt;"",$C1245&lt;&gt;"",$D1245&lt;&gt;"",$E1245&lt;&gt;"")),$A1245="",$K1245&lt;&gt;"Yes"),"",IF($L1245&lt;&gt;"",$L1245,INDEX(SETUP!$I$1:$I$2000,MATCH(TRUE,SETUP!$J$1:$J$2000,0)+COUNTIFS($A$2:$A1245,"&lt;&gt;",$K$2:$K1245,"Yes",$L$2:$L1245,"")-1)))</f>
        <v/>
      </c>
      <c r="N1245" s="22"/>
    </row>
    <row r="1246" spans="1:14" x14ac:dyDescent="0.3">
      <c r="A1246" s="15" t="str">
        <f>IF(COUNTA($B1246:$E1246,$K1246)=0,"",IF(AND($B1246&lt;&gt;"",$C1246&lt;&gt;"",$D1246&lt;&gt;"",$E1246&lt;&gt;""),"TXS"&amp;TEXT(COUNTIFS($B$2:$B1246,"&lt;&gt;",$C$2:$C1246,"&lt;&gt;",$D$2:$D1246,"&lt;&gt;",$E$2:$E1246,"&lt;&gt;"),"00000"),""))</f>
        <v/>
      </c>
      <c r="B1246" s="16"/>
      <c r="C1246" s="20"/>
      <c r="D1246" s="20"/>
      <c r="E1246" s="23"/>
      <c r="H1246" s="21" t="str">
        <f t="shared" si="63"/>
        <v/>
      </c>
      <c r="I1246" s="21" t="str">
        <f t="shared" si="62"/>
        <v/>
      </c>
      <c r="J1246" s="21" t="str">
        <f t="shared" si="64"/>
        <v/>
      </c>
      <c r="K1246" s="20"/>
      <c r="L1246" s="21" t="str">
        <f>IF(OR(NOT(AND($B1246&lt;&gt;"",$C1246&lt;&gt;"",$D1246&lt;&gt;"",$E1246&lt;&gt;"")),$A1246="",$K1246&lt;&gt;"Yes"),"",IF($L1246&lt;&gt;"",$L1246,INDEX(SETUP!$I$1:$I$2000,MATCH(TRUE,SETUP!$J$1:$J$2000,0)+COUNTIFS($A$2:$A1246,"&lt;&gt;",$K$2:$K1246,"Yes",$L$2:$L1246,"")-1)))</f>
        <v/>
      </c>
      <c r="N1246" s="22"/>
    </row>
    <row r="1247" spans="1:14" x14ac:dyDescent="0.3">
      <c r="A1247" s="15" t="str">
        <f>IF(COUNTA($B1247:$E1247,$K1247)=0,"",IF(AND($B1247&lt;&gt;"",$C1247&lt;&gt;"",$D1247&lt;&gt;"",$E1247&lt;&gt;""),"TXS"&amp;TEXT(COUNTIFS($B$2:$B1247,"&lt;&gt;",$C$2:$C1247,"&lt;&gt;",$D$2:$D1247,"&lt;&gt;",$E$2:$E1247,"&lt;&gt;"),"00000"),""))</f>
        <v/>
      </c>
      <c r="B1247" s="16"/>
      <c r="C1247" s="20"/>
      <c r="D1247" s="20"/>
      <c r="E1247" s="23"/>
      <c r="H1247" s="21" t="str">
        <f t="shared" si="63"/>
        <v/>
      </c>
      <c r="I1247" s="21" t="str">
        <f t="shared" si="62"/>
        <v/>
      </c>
      <c r="J1247" s="21" t="str">
        <f t="shared" si="64"/>
        <v/>
      </c>
      <c r="K1247" s="20"/>
      <c r="L1247" s="21" t="str">
        <f>IF(OR(NOT(AND($B1247&lt;&gt;"",$C1247&lt;&gt;"",$D1247&lt;&gt;"",$E1247&lt;&gt;"")),$A1247="",$K1247&lt;&gt;"Yes"),"",IF($L1247&lt;&gt;"",$L1247,INDEX(SETUP!$I$1:$I$2000,MATCH(TRUE,SETUP!$J$1:$J$2000,0)+COUNTIFS($A$2:$A1247,"&lt;&gt;",$K$2:$K1247,"Yes",$L$2:$L1247,"")-1)))</f>
        <v/>
      </c>
      <c r="N1247" s="22"/>
    </row>
    <row r="1248" spans="1:14" x14ac:dyDescent="0.3">
      <c r="A1248" s="15" t="str">
        <f>IF(COUNTA($B1248:$E1248,$K1248)=0,"",IF(AND($B1248&lt;&gt;"",$C1248&lt;&gt;"",$D1248&lt;&gt;"",$E1248&lt;&gt;""),"TXS"&amp;TEXT(COUNTIFS($B$2:$B1248,"&lt;&gt;",$C$2:$C1248,"&lt;&gt;",$D$2:$D1248,"&lt;&gt;",$E$2:$E1248,"&lt;&gt;"),"00000"),""))</f>
        <v/>
      </c>
      <c r="B1248" s="16"/>
      <c r="C1248" s="20"/>
      <c r="D1248" s="20"/>
      <c r="E1248" s="23"/>
      <c r="H1248" s="21" t="str">
        <f t="shared" si="63"/>
        <v/>
      </c>
      <c r="I1248" s="21" t="str">
        <f t="shared" si="62"/>
        <v/>
      </c>
      <c r="J1248" s="21" t="str">
        <f t="shared" si="64"/>
        <v/>
      </c>
      <c r="K1248" s="20"/>
      <c r="L1248" s="21" t="str">
        <f>IF(OR(NOT(AND($B1248&lt;&gt;"",$C1248&lt;&gt;"",$D1248&lt;&gt;"",$E1248&lt;&gt;"")),$A1248="",$K1248&lt;&gt;"Yes"),"",IF($L1248&lt;&gt;"",$L1248,INDEX(SETUP!$I$1:$I$2000,MATCH(TRUE,SETUP!$J$1:$J$2000,0)+COUNTIFS($A$2:$A1248,"&lt;&gt;",$K$2:$K1248,"Yes",$L$2:$L1248,"")-1)))</f>
        <v/>
      </c>
      <c r="N1248" s="22"/>
    </row>
    <row r="1249" spans="1:14" x14ac:dyDescent="0.3">
      <c r="A1249" s="15" t="str">
        <f>IF(COUNTA($B1249:$E1249,$K1249)=0,"",IF(AND($B1249&lt;&gt;"",$C1249&lt;&gt;"",$D1249&lt;&gt;"",$E1249&lt;&gt;""),"TXS"&amp;TEXT(COUNTIFS($B$2:$B1249,"&lt;&gt;",$C$2:$C1249,"&lt;&gt;",$D$2:$D1249,"&lt;&gt;",$E$2:$E1249,"&lt;&gt;"),"00000"),""))</f>
        <v/>
      </c>
      <c r="B1249" s="16"/>
      <c r="C1249" s="20"/>
      <c r="D1249" s="20"/>
      <c r="E1249" s="23"/>
      <c r="H1249" s="21" t="str">
        <f t="shared" si="63"/>
        <v/>
      </c>
      <c r="I1249" s="21" t="str">
        <f t="shared" si="62"/>
        <v/>
      </c>
      <c r="J1249" s="21" t="str">
        <f t="shared" si="64"/>
        <v/>
      </c>
      <c r="K1249" s="20"/>
      <c r="L1249" s="21" t="str">
        <f>IF(OR(NOT(AND($B1249&lt;&gt;"",$C1249&lt;&gt;"",$D1249&lt;&gt;"",$E1249&lt;&gt;"")),$A1249="",$K1249&lt;&gt;"Yes"),"",IF($L1249&lt;&gt;"",$L1249,INDEX(SETUP!$I$1:$I$2000,MATCH(TRUE,SETUP!$J$1:$J$2000,0)+COUNTIFS($A$2:$A1249,"&lt;&gt;",$K$2:$K1249,"Yes",$L$2:$L1249,"")-1)))</f>
        <v/>
      </c>
      <c r="N1249" s="22"/>
    </row>
    <row r="1250" spans="1:14" x14ac:dyDescent="0.3">
      <c r="A1250" s="15" t="str">
        <f>IF(COUNTA($B1250:$E1250,$K1250)=0,"",IF(AND($B1250&lt;&gt;"",$C1250&lt;&gt;"",$D1250&lt;&gt;"",$E1250&lt;&gt;""),"TXS"&amp;TEXT(COUNTIFS($B$2:$B1250,"&lt;&gt;",$C$2:$C1250,"&lt;&gt;",$D$2:$D1250,"&lt;&gt;",$E$2:$E1250,"&lt;&gt;"),"00000"),""))</f>
        <v/>
      </c>
      <c r="B1250" s="16"/>
      <c r="C1250" s="20"/>
      <c r="D1250" s="20"/>
      <c r="E1250" s="23"/>
      <c r="H1250" s="21" t="str">
        <f t="shared" si="63"/>
        <v/>
      </c>
      <c r="I1250" s="21" t="str">
        <f t="shared" si="62"/>
        <v/>
      </c>
      <c r="J1250" s="21" t="str">
        <f t="shared" si="64"/>
        <v/>
      </c>
      <c r="K1250" s="20"/>
      <c r="L1250" s="21" t="str">
        <f>IF(OR(NOT(AND($B1250&lt;&gt;"",$C1250&lt;&gt;"",$D1250&lt;&gt;"",$E1250&lt;&gt;"")),$A1250="",$K1250&lt;&gt;"Yes"),"",IF($L1250&lt;&gt;"",$L1250,INDEX(SETUP!$I$1:$I$2000,MATCH(TRUE,SETUP!$J$1:$J$2000,0)+COUNTIFS($A$2:$A1250,"&lt;&gt;",$K$2:$K1250,"Yes",$L$2:$L1250,"")-1)))</f>
        <v/>
      </c>
      <c r="N1250" s="22"/>
    </row>
    <row r="1251" spans="1:14" x14ac:dyDescent="0.3">
      <c r="A1251" s="15" t="str">
        <f>IF(COUNTA($B1251:$E1251,$K1251)=0,"",IF(AND($B1251&lt;&gt;"",$C1251&lt;&gt;"",$D1251&lt;&gt;"",$E1251&lt;&gt;""),"TXS"&amp;TEXT(COUNTIFS($B$2:$B1251,"&lt;&gt;",$C$2:$C1251,"&lt;&gt;",$D$2:$D1251,"&lt;&gt;",$E$2:$E1251,"&lt;&gt;"),"00000"),""))</f>
        <v/>
      </c>
      <c r="B1251" s="16"/>
      <c r="C1251" s="20"/>
      <c r="D1251" s="20"/>
      <c r="E1251" s="23"/>
      <c r="H1251" s="21" t="str">
        <f t="shared" si="63"/>
        <v/>
      </c>
      <c r="I1251" s="21" t="str">
        <f t="shared" si="62"/>
        <v/>
      </c>
      <c r="J1251" s="21" t="str">
        <f t="shared" si="64"/>
        <v/>
      </c>
      <c r="K1251" s="20"/>
      <c r="L1251" s="21" t="str">
        <f>IF(OR(NOT(AND($B1251&lt;&gt;"",$C1251&lt;&gt;"",$D1251&lt;&gt;"",$E1251&lt;&gt;"")),$A1251="",$K1251&lt;&gt;"Yes"),"",IF($L1251&lt;&gt;"",$L1251,INDEX(SETUP!$I$1:$I$2000,MATCH(TRUE,SETUP!$J$1:$J$2000,0)+COUNTIFS($A$2:$A1251,"&lt;&gt;",$K$2:$K1251,"Yes",$L$2:$L1251,"")-1)))</f>
        <v/>
      </c>
      <c r="N1251" s="22"/>
    </row>
    <row r="1252" spans="1:14" x14ac:dyDescent="0.3">
      <c r="A1252" s="15" t="str">
        <f>IF(COUNTA($B1252:$E1252,$K1252)=0,"",IF(AND($B1252&lt;&gt;"",$C1252&lt;&gt;"",$D1252&lt;&gt;"",$E1252&lt;&gt;""),"TXS"&amp;TEXT(COUNTIFS($B$2:$B1252,"&lt;&gt;",$C$2:$C1252,"&lt;&gt;",$D$2:$D1252,"&lt;&gt;",$E$2:$E1252,"&lt;&gt;"),"00000"),""))</f>
        <v/>
      </c>
      <c r="B1252" s="16"/>
      <c r="C1252" s="20"/>
      <c r="D1252" s="20"/>
      <c r="E1252" s="23"/>
      <c r="H1252" s="21" t="str">
        <f t="shared" si="63"/>
        <v/>
      </c>
      <c r="I1252" s="21" t="str">
        <f t="shared" si="62"/>
        <v/>
      </c>
      <c r="J1252" s="21" t="str">
        <f t="shared" si="64"/>
        <v/>
      </c>
      <c r="K1252" s="20"/>
      <c r="L1252" s="21" t="str">
        <f>IF(OR(NOT(AND($B1252&lt;&gt;"",$C1252&lt;&gt;"",$D1252&lt;&gt;"",$E1252&lt;&gt;"")),$A1252="",$K1252&lt;&gt;"Yes"),"",IF($L1252&lt;&gt;"",$L1252,INDEX(SETUP!$I$1:$I$2000,MATCH(TRUE,SETUP!$J$1:$J$2000,0)+COUNTIFS($A$2:$A1252,"&lt;&gt;",$K$2:$K1252,"Yes",$L$2:$L1252,"")-1)))</f>
        <v/>
      </c>
      <c r="N1252" s="22"/>
    </row>
    <row r="1253" spans="1:14" x14ac:dyDescent="0.3">
      <c r="A1253" s="15" t="str">
        <f>IF(COUNTA($B1253:$E1253,$K1253)=0,"",IF(AND($B1253&lt;&gt;"",$C1253&lt;&gt;"",$D1253&lt;&gt;"",$E1253&lt;&gt;""),"TXS"&amp;TEXT(COUNTIFS($B$2:$B1253,"&lt;&gt;",$C$2:$C1253,"&lt;&gt;",$D$2:$D1253,"&lt;&gt;",$E$2:$E1253,"&lt;&gt;"),"00000"),""))</f>
        <v/>
      </c>
      <c r="B1253" s="16"/>
      <c r="C1253" s="20"/>
      <c r="D1253" s="20"/>
      <c r="E1253" s="23"/>
      <c r="H1253" s="21" t="str">
        <f t="shared" si="63"/>
        <v/>
      </c>
      <c r="I1253" s="21" t="str">
        <f t="shared" si="62"/>
        <v/>
      </c>
      <c r="J1253" s="21" t="str">
        <f t="shared" si="64"/>
        <v/>
      </c>
      <c r="K1253" s="20"/>
      <c r="L1253" s="21" t="str">
        <f>IF(OR(NOT(AND($B1253&lt;&gt;"",$C1253&lt;&gt;"",$D1253&lt;&gt;"",$E1253&lt;&gt;"")),$A1253="",$K1253&lt;&gt;"Yes"),"",IF($L1253&lt;&gt;"",$L1253,INDEX(SETUP!$I$1:$I$2000,MATCH(TRUE,SETUP!$J$1:$J$2000,0)+COUNTIFS($A$2:$A1253,"&lt;&gt;",$K$2:$K1253,"Yes",$L$2:$L1253,"")-1)))</f>
        <v/>
      </c>
      <c r="N1253" s="22"/>
    </row>
    <row r="1254" spans="1:14" x14ac:dyDescent="0.3">
      <c r="A1254" s="15" t="str">
        <f>IF(COUNTA($B1254:$E1254,$K1254)=0,"",IF(AND($B1254&lt;&gt;"",$C1254&lt;&gt;"",$D1254&lt;&gt;"",$E1254&lt;&gt;""),"TXS"&amp;TEXT(COUNTIFS($B$2:$B1254,"&lt;&gt;",$C$2:$C1254,"&lt;&gt;",$D$2:$D1254,"&lt;&gt;",$E$2:$E1254,"&lt;&gt;"),"00000"),""))</f>
        <v/>
      </c>
      <c r="B1254" s="16"/>
      <c r="C1254" s="20"/>
      <c r="D1254" s="20"/>
      <c r="E1254" s="23"/>
      <c r="H1254" s="21" t="str">
        <f t="shared" si="63"/>
        <v/>
      </c>
      <c r="I1254" s="21" t="str">
        <f t="shared" si="62"/>
        <v/>
      </c>
      <c r="J1254" s="21" t="str">
        <f t="shared" si="64"/>
        <v/>
      </c>
      <c r="K1254" s="20"/>
      <c r="L1254" s="21" t="str">
        <f>IF(OR(NOT(AND($B1254&lt;&gt;"",$C1254&lt;&gt;"",$D1254&lt;&gt;"",$E1254&lt;&gt;"")),$A1254="",$K1254&lt;&gt;"Yes"),"",IF($L1254&lt;&gt;"",$L1254,INDEX(SETUP!$I$1:$I$2000,MATCH(TRUE,SETUP!$J$1:$J$2000,0)+COUNTIFS($A$2:$A1254,"&lt;&gt;",$K$2:$K1254,"Yes",$L$2:$L1254,"")-1)))</f>
        <v/>
      </c>
      <c r="N1254" s="22"/>
    </row>
    <row r="1255" spans="1:14" x14ac:dyDescent="0.3">
      <c r="A1255" s="15" t="str">
        <f>IF(COUNTA($B1255:$E1255,$K1255)=0,"",IF(AND($B1255&lt;&gt;"",$C1255&lt;&gt;"",$D1255&lt;&gt;"",$E1255&lt;&gt;""),"TXS"&amp;TEXT(COUNTIFS($B$2:$B1255,"&lt;&gt;",$C$2:$C1255,"&lt;&gt;",$D$2:$D1255,"&lt;&gt;",$E$2:$E1255,"&lt;&gt;"),"00000"),""))</f>
        <v/>
      </c>
      <c r="B1255" s="16"/>
      <c r="C1255" s="20"/>
      <c r="D1255" s="20"/>
      <c r="E1255" s="23"/>
      <c r="H1255" s="21" t="str">
        <f t="shared" si="63"/>
        <v/>
      </c>
      <c r="I1255" s="21" t="str">
        <f t="shared" si="62"/>
        <v/>
      </c>
      <c r="J1255" s="21" t="str">
        <f t="shared" si="64"/>
        <v/>
      </c>
      <c r="K1255" s="20"/>
      <c r="L1255" s="21" t="str">
        <f>IF(OR(NOT(AND($B1255&lt;&gt;"",$C1255&lt;&gt;"",$D1255&lt;&gt;"",$E1255&lt;&gt;"")),$A1255="",$K1255&lt;&gt;"Yes"),"",IF($L1255&lt;&gt;"",$L1255,INDEX(SETUP!$I$1:$I$2000,MATCH(TRUE,SETUP!$J$1:$J$2000,0)+COUNTIFS($A$2:$A1255,"&lt;&gt;",$K$2:$K1255,"Yes",$L$2:$L1255,"")-1)))</f>
        <v/>
      </c>
      <c r="N1255" s="22"/>
    </row>
    <row r="1256" spans="1:14" x14ac:dyDescent="0.3">
      <c r="A1256" s="15" t="str">
        <f>IF(COUNTA($B1256:$E1256,$K1256)=0,"",IF(AND($B1256&lt;&gt;"",$C1256&lt;&gt;"",$D1256&lt;&gt;"",$E1256&lt;&gt;""),"TXS"&amp;TEXT(COUNTIFS($B$2:$B1256,"&lt;&gt;",$C$2:$C1256,"&lt;&gt;",$D$2:$D1256,"&lt;&gt;",$E$2:$E1256,"&lt;&gt;"),"00000"),""))</f>
        <v/>
      </c>
      <c r="B1256" s="16"/>
      <c r="C1256" s="20"/>
      <c r="D1256" s="20"/>
      <c r="E1256" s="23"/>
      <c r="H1256" s="21" t="str">
        <f t="shared" si="63"/>
        <v/>
      </c>
      <c r="I1256" s="21" t="str">
        <f t="shared" si="62"/>
        <v/>
      </c>
      <c r="J1256" s="21" t="str">
        <f t="shared" si="64"/>
        <v/>
      </c>
      <c r="K1256" s="20"/>
      <c r="L1256" s="21" t="str">
        <f>IF(OR(NOT(AND($B1256&lt;&gt;"",$C1256&lt;&gt;"",$D1256&lt;&gt;"",$E1256&lt;&gt;"")),$A1256="",$K1256&lt;&gt;"Yes"),"",IF($L1256&lt;&gt;"",$L1256,INDEX(SETUP!$I$1:$I$2000,MATCH(TRUE,SETUP!$J$1:$J$2000,0)+COUNTIFS($A$2:$A1256,"&lt;&gt;",$K$2:$K1256,"Yes",$L$2:$L1256,"")-1)))</f>
        <v/>
      </c>
      <c r="N1256" s="22"/>
    </row>
    <row r="1257" spans="1:14" x14ac:dyDescent="0.3">
      <c r="A1257" s="15" t="str">
        <f>IF(COUNTA($B1257:$E1257,$K1257)=0,"",IF(AND($B1257&lt;&gt;"",$C1257&lt;&gt;"",$D1257&lt;&gt;"",$E1257&lt;&gt;""),"TXS"&amp;TEXT(COUNTIFS($B$2:$B1257,"&lt;&gt;",$C$2:$C1257,"&lt;&gt;",$D$2:$D1257,"&lt;&gt;",$E$2:$E1257,"&lt;&gt;"),"00000"),""))</f>
        <v/>
      </c>
      <c r="B1257" s="16"/>
      <c r="C1257" s="20"/>
      <c r="D1257" s="20"/>
      <c r="E1257" s="23"/>
      <c r="H1257" s="21" t="str">
        <f t="shared" si="63"/>
        <v/>
      </c>
      <c r="I1257" s="21" t="str">
        <f t="shared" ref="I1257:I1320" si="65">IF(NOT(AND($B1257&lt;&gt;"",$C1257&lt;&gt;"",$D1257&lt;&gt;"",$E1257&lt;&gt;"")),"",IF($A1257="","","NIH plate "&amp;INT((VALUE(RIGHT($A1257,5))-1)/96)+1&amp;": "&amp;CHAR(65+INT(MOD(VALUE(RIGHT($A1257,5))-1,96)/12))&amp;(MOD(VALUE(RIGHT($A1257,5))-1,12)+1)))</f>
        <v/>
      </c>
      <c r="J1257" s="21" t="str">
        <f t="shared" si="64"/>
        <v/>
      </c>
      <c r="K1257" s="20"/>
      <c r="L1257" s="21" t="str">
        <f>IF(OR(NOT(AND($B1257&lt;&gt;"",$C1257&lt;&gt;"",$D1257&lt;&gt;"",$E1257&lt;&gt;"")),$A1257="",$K1257&lt;&gt;"Yes"),"",IF($L1257&lt;&gt;"",$L1257,INDEX(SETUP!$I$1:$I$2000,MATCH(TRUE,SETUP!$J$1:$J$2000,0)+COUNTIFS($A$2:$A1257,"&lt;&gt;",$K$2:$K1257,"Yes",$L$2:$L1257,"")-1)))</f>
        <v/>
      </c>
      <c r="N1257" s="22"/>
    </row>
    <row r="1258" spans="1:14" x14ac:dyDescent="0.3">
      <c r="A1258" s="15" t="str">
        <f>IF(COUNTA($B1258:$E1258,$K1258)=0,"",IF(AND($B1258&lt;&gt;"",$C1258&lt;&gt;"",$D1258&lt;&gt;"",$E1258&lt;&gt;""),"TXS"&amp;TEXT(COUNTIFS($B$2:$B1258,"&lt;&gt;",$C$2:$C1258,"&lt;&gt;",$D$2:$D1258,"&lt;&gt;",$E$2:$E1258,"&lt;&gt;"),"00000"),""))</f>
        <v/>
      </c>
      <c r="B1258" s="16"/>
      <c r="C1258" s="20"/>
      <c r="D1258" s="20"/>
      <c r="E1258" s="23"/>
      <c r="H1258" s="21" t="str">
        <f t="shared" si="63"/>
        <v/>
      </c>
      <c r="I1258" s="21" t="str">
        <f t="shared" si="65"/>
        <v/>
      </c>
      <c r="J1258" s="21" t="str">
        <f t="shared" si="64"/>
        <v/>
      </c>
      <c r="K1258" s="20"/>
      <c r="L1258" s="21" t="str">
        <f>IF(OR(NOT(AND($B1258&lt;&gt;"",$C1258&lt;&gt;"",$D1258&lt;&gt;"",$E1258&lt;&gt;"")),$A1258="",$K1258&lt;&gt;"Yes"),"",IF($L1258&lt;&gt;"",$L1258,INDEX(SETUP!$I$1:$I$2000,MATCH(TRUE,SETUP!$J$1:$J$2000,0)+COUNTIFS($A$2:$A1258,"&lt;&gt;",$K$2:$K1258,"Yes",$L$2:$L1258,"")-1)))</f>
        <v/>
      </c>
      <c r="N1258" s="22"/>
    </row>
    <row r="1259" spans="1:14" x14ac:dyDescent="0.3">
      <c r="A1259" s="15" t="str">
        <f>IF(COUNTA($B1259:$E1259,$K1259)=0,"",IF(AND($B1259&lt;&gt;"",$C1259&lt;&gt;"",$D1259&lt;&gt;"",$E1259&lt;&gt;""),"TXS"&amp;TEXT(COUNTIFS($B$2:$B1259,"&lt;&gt;",$C$2:$C1259,"&lt;&gt;",$D$2:$D1259,"&lt;&gt;",$E$2:$E1259,"&lt;&gt;"),"00000"),""))</f>
        <v/>
      </c>
      <c r="B1259" s="16"/>
      <c r="C1259" s="20"/>
      <c r="D1259" s="20"/>
      <c r="E1259" s="23"/>
      <c r="H1259" s="21" t="str">
        <f t="shared" si="63"/>
        <v/>
      </c>
      <c r="I1259" s="21" t="str">
        <f t="shared" si="65"/>
        <v/>
      </c>
      <c r="J1259" s="21" t="str">
        <f t="shared" si="64"/>
        <v/>
      </c>
      <c r="K1259" s="20"/>
      <c r="L1259" s="21" t="str">
        <f>IF(OR(NOT(AND($B1259&lt;&gt;"",$C1259&lt;&gt;"",$D1259&lt;&gt;"",$E1259&lt;&gt;"")),$A1259="",$K1259&lt;&gt;"Yes"),"",IF($L1259&lt;&gt;"",$L1259,INDEX(SETUP!$I$1:$I$2000,MATCH(TRUE,SETUP!$J$1:$J$2000,0)+COUNTIFS($A$2:$A1259,"&lt;&gt;",$K$2:$K1259,"Yes",$L$2:$L1259,"")-1)))</f>
        <v/>
      </c>
      <c r="N1259" s="22"/>
    </row>
    <row r="1260" spans="1:14" x14ac:dyDescent="0.3">
      <c r="A1260" s="15" t="str">
        <f>IF(COUNTA($B1260:$E1260,$K1260)=0,"",IF(AND($B1260&lt;&gt;"",$C1260&lt;&gt;"",$D1260&lt;&gt;"",$E1260&lt;&gt;""),"TXS"&amp;TEXT(COUNTIFS($B$2:$B1260,"&lt;&gt;",$C$2:$C1260,"&lt;&gt;",$D$2:$D1260,"&lt;&gt;",$E$2:$E1260,"&lt;&gt;"),"00000"),""))</f>
        <v/>
      </c>
      <c r="B1260" s="16"/>
      <c r="C1260" s="20"/>
      <c r="D1260" s="20"/>
      <c r="E1260" s="23"/>
      <c r="H1260" s="21" t="str">
        <f t="shared" si="63"/>
        <v/>
      </c>
      <c r="I1260" s="21" t="str">
        <f t="shared" si="65"/>
        <v/>
      </c>
      <c r="J1260" s="21" t="str">
        <f t="shared" si="64"/>
        <v/>
      </c>
      <c r="K1260" s="20"/>
      <c r="L1260" s="21" t="str">
        <f>IF(OR(NOT(AND($B1260&lt;&gt;"",$C1260&lt;&gt;"",$D1260&lt;&gt;"",$E1260&lt;&gt;"")),$A1260="",$K1260&lt;&gt;"Yes"),"",IF($L1260&lt;&gt;"",$L1260,INDEX(SETUP!$I$1:$I$2000,MATCH(TRUE,SETUP!$J$1:$J$2000,0)+COUNTIFS($A$2:$A1260,"&lt;&gt;",$K$2:$K1260,"Yes",$L$2:$L1260,"")-1)))</f>
        <v/>
      </c>
      <c r="N1260" s="22"/>
    </row>
    <row r="1261" spans="1:14" x14ac:dyDescent="0.3">
      <c r="A1261" s="15" t="str">
        <f>IF(COUNTA($B1261:$E1261,$K1261)=0,"",IF(AND($B1261&lt;&gt;"",$C1261&lt;&gt;"",$D1261&lt;&gt;"",$E1261&lt;&gt;""),"TXS"&amp;TEXT(COUNTIFS($B$2:$B1261,"&lt;&gt;",$C$2:$C1261,"&lt;&gt;",$D$2:$D1261,"&lt;&gt;",$E$2:$E1261,"&lt;&gt;"),"00000"),""))</f>
        <v/>
      </c>
      <c r="B1261" s="16"/>
      <c r="C1261" s="20"/>
      <c r="D1261" s="20"/>
      <c r="E1261" s="23"/>
      <c r="H1261" s="21" t="str">
        <f t="shared" si="63"/>
        <v/>
      </c>
      <c r="I1261" s="21" t="str">
        <f t="shared" si="65"/>
        <v/>
      </c>
      <c r="J1261" s="21" t="str">
        <f t="shared" si="64"/>
        <v/>
      </c>
      <c r="K1261" s="20"/>
      <c r="L1261" s="21" t="str">
        <f>IF(OR(NOT(AND($B1261&lt;&gt;"",$C1261&lt;&gt;"",$D1261&lt;&gt;"",$E1261&lt;&gt;"")),$A1261="",$K1261&lt;&gt;"Yes"),"",IF($L1261&lt;&gt;"",$L1261,INDEX(SETUP!$I$1:$I$2000,MATCH(TRUE,SETUP!$J$1:$J$2000,0)+COUNTIFS($A$2:$A1261,"&lt;&gt;",$K$2:$K1261,"Yes",$L$2:$L1261,"")-1)))</f>
        <v/>
      </c>
      <c r="N1261" s="22"/>
    </row>
    <row r="1262" spans="1:14" x14ac:dyDescent="0.3">
      <c r="A1262" s="15" t="str">
        <f>IF(COUNTA($B1262:$E1262,$K1262)=0,"",IF(AND($B1262&lt;&gt;"",$C1262&lt;&gt;"",$D1262&lt;&gt;"",$E1262&lt;&gt;""),"TXS"&amp;TEXT(COUNTIFS($B$2:$B1262,"&lt;&gt;",$C$2:$C1262,"&lt;&gt;",$D$2:$D1262,"&lt;&gt;",$E$2:$E1262,"&lt;&gt;"),"00000"),""))</f>
        <v/>
      </c>
      <c r="B1262" s="16"/>
      <c r="C1262" s="20"/>
      <c r="D1262" s="20"/>
      <c r="E1262" s="23"/>
      <c r="H1262" s="21" t="str">
        <f t="shared" si="63"/>
        <v/>
      </c>
      <c r="I1262" s="21" t="str">
        <f t="shared" si="65"/>
        <v/>
      </c>
      <c r="J1262" s="21" t="str">
        <f t="shared" si="64"/>
        <v/>
      </c>
      <c r="K1262" s="20"/>
      <c r="L1262" s="21" t="str">
        <f>IF(OR(NOT(AND($B1262&lt;&gt;"",$C1262&lt;&gt;"",$D1262&lt;&gt;"",$E1262&lt;&gt;"")),$A1262="",$K1262&lt;&gt;"Yes"),"",IF($L1262&lt;&gt;"",$L1262,INDEX(SETUP!$I$1:$I$2000,MATCH(TRUE,SETUP!$J$1:$J$2000,0)+COUNTIFS($A$2:$A1262,"&lt;&gt;",$K$2:$K1262,"Yes",$L$2:$L1262,"")-1)))</f>
        <v/>
      </c>
      <c r="N1262" s="22"/>
    </row>
    <row r="1263" spans="1:14" x14ac:dyDescent="0.3">
      <c r="A1263" s="15" t="str">
        <f>IF(COUNTA($B1263:$E1263,$K1263)=0,"",IF(AND($B1263&lt;&gt;"",$C1263&lt;&gt;"",$D1263&lt;&gt;"",$E1263&lt;&gt;""),"TXS"&amp;TEXT(COUNTIFS($B$2:$B1263,"&lt;&gt;",$C$2:$C1263,"&lt;&gt;",$D$2:$D1263,"&lt;&gt;",$E$2:$E1263,"&lt;&gt;"),"00000"),""))</f>
        <v/>
      </c>
      <c r="B1263" s="16"/>
      <c r="C1263" s="20"/>
      <c r="D1263" s="20"/>
      <c r="E1263" s="23"/>
      <c r="H1263" s="21" t="str">
        <f t="shared" ref="H1263:H1326" si="66">IF(NOT(AND($B1263&lt;&gt;"",$C1263&lt;&gt;"",$D1263&lt;&gt;"",$E1263&lt;&gt;"")),"",IF($A1263="","","CDI plate "&amp;INT((VALUE(RIGHT($A1263,5))-1)/96)+1&amp;": "&amp;CHAR(65+INT(MOD(VALUE(RIGHT($A1263,5))-1,96)/12))&amp;(MOD(VALUE(RIGHT($A1263,5))-1,12)+1)))</f>
        <v/>
      </c>
      <c r="I1263" s="21" t="str">
        <f t="shared" si="65"/>
        <v/>
      </c>
      <c r="J1263" s="21" t="str">
        <f t="shared" si="64"/>
        <v/>
      </c>
      <c r="K1263" s="20"/>
      <c r="L1263" s="21" t="str">
        <f>IF(OR(NOT(AND($B1263&lt;&gt;"",$C1263&lt;&gt;"",$D1263&lt;&gt;"",$E1263&lt;&gt;"")),$A1263="",$K1263&lt;&gt;"Yes"),"",IF($L1263&lt;&gt;"",$L1263,INDEX(SETUP!$I$1:$I$2000,MATCH(TRUE,SETUP!$J$1:$J$2000,0)+COUNTIFS($A$2:$A1263,"&lt;&gt;",$K$2:$K1263,"Yes",$L$2:$L1263,"")-1)))</f>
        <v/>
      </c>
      <c r="N1263" s="22"/>
    </row>
    <row r="1264" spans="1:14" x14ac:dyDescent="0.3">
      <c r="A1264" s="15" t="str">
        <f>IF(COUNTA($B1264:$E1264,$K1264)=0,"",IF(AND($B1264&lt;&gt;"",$C1264&lt;&gt;"",$D1264&lt;&gt;"",$E1264&lt;&gt;""),"TXS"&amp;TEXT(COUNTIFS($B$2:$B1264,"&lt;&gt;",$C$2:$C1264,"&lt;&gt;",$D$2:$D1264,"&lt;&gt;",$E$2:$E1264,"&lt;&gt;"),"00000"),""))</f>
        <v/>
      </c>
      <c r="B1264" s="16"/>
      <c r="C1264" s="20"/>
      <c r="D1264" s="20"/>
      <c r="E1264" s="23"/>
      <c r="H1264" s="21" t="str">
        <f t="shared" si="66"/>
        <v/>
      </c>
      <c r="I1264" s="21" t="str">
        <f t="shared" si="65"/>
        <v/>
      </c>
      <c r="J1264" s="21" t="str">
        <f t="shared" si="64"/>
        <v/>
      </c>
      <c r="K1264" s="20"/>
      <c r="L1264" s="21" t="str">
        <f>IF(OR(NOT(AND($B1264&lt;&gt;"",$C1264&lt;&gt;"",$D1264&lt;&gt;"",$E1264&lt;&gt;"")),$A1264="",$K1264&lt;&gt;"Yes"),"",IF($L1264&lt;&gt;"",$L1264,INDEX(SETUP!$I$1:$I$2000,MATCH(TRUE,SETUP!$J$1:$J$2000,0)+COUNTIFS($A$2:$A1264,"&lt;&gt;",$K$2:$K1264,"Yes",$L$2:$L1264,"")-1)))</f>
        <v/>
      </c>
      <c r="N1264" s="22"/>
    </row>
    <row r="1265" spans="1:14" x14ac:dyDescent="0.3">
      <c r="A1265" s="15" t="str">
        <f>IF(COUNTA($B1265:$E1265,$K1265)=0,"",IF(AND($B1265&lt;&gt;"",$C1265&lt;&gt;"",$D1265&lt;&gt;"",$E1265&lt;&gt;""),"TXS"&amp;TEXT(COUNTIFS($B$2:$B1265,"&lt;&gt;",$C$2:$C1265,"&lt;&gt;",$D$2:$D1265,"&lt;&gt;",$E$2:$E1265,"&lt;&gt;"),"00000"),""))</f>
        <v/>
      </c>
      <c r="B1265" s="16"/>
      <c r="C1265" s="20"/>
      <c r="D1265" s="20"/>
      <c r="E1265" s="23"/>
      <c r="H1265" s="21" t="str">
        <f t="shared" si="66"/>
        <v/>
      </c>
      <c r="I1265" s="21" t="str">
        <f t="shared" si="65"/>
        <v/>
      </c>
      <c r="J1265" s="21" t="str">
        <f t="shared" si="64"/>
        <v/>
      </c>
      <c r="K1265" s="20"/>
      <c r="L1265" s="21" t="str">
        <f>IF(OR(NOT(AND($B1265&lt;&gt;"",$C1265&lt;&gt;"",$D1265&lt;&gt;"",$E1265&lt;&gt;"")),$A1265="",$K1265&lt;&gt;"Yes"),"",IF($L1265&lt;&gt;"",$L1265,INDEX(SETUP!$I$1:$I$2000,MATCH(TRUE,SETUP!$J$1:$J$2000,0)+COUNTIFS($A$2:$A1265,"&lt;&gt;",$K$2:$K1265,"Yes",$L$2:$L1265,"")-1)))</f>
        <v/>
      </c>
      <c r="N1265" s="22"/>
    </row>
    <row r="1266" spans="1:14" x14ac:dyDescent="0.3">
      <c r="A1266" s="15" t="str">
        <f>IF(COUNTA($B1266:$E1266,$K1266)=0,"",IF(AND($B1266&lt;&gt;"",$C1266&lt;&gt;"",$D1266&lt;&gt;"",$E1266&lt;&gt;""),"TXS"&amp;TEXT(COUNTIFS($B$2:$B1266,"&lt;&gt;",$C$2:$C1266,"&lt;&gt;",$D$2:$D1266,"&lt;&gt;",$E$2:$E1266,"&lt;&gt;"),"00000"),""))</f>
        <v/>
      </c>
      <c r="B1266" s="16"/>
      <c r="C1266" s="20"/>
      <c r="D1266" s="20"/>
      <c r="E1266" s="23"/>
      <c r="H1266" s="21" t="str">
        <f t="shared" si="66"/>
        <v/>
      </c>
      <c r="I1266" s="21" t="str">
        <f t="shared" si="65"/>
        <v/>
      </c>
      <c r="J1266" s="21" t="str">
        <f t="shared" ref="J1266:J1329" si="67">IF(NOT(AND($B1266&lt;&gt;"",$C1266&lt;&gt;"",$D1266&lt;&gt;"",$E1266&lt;&gt;"")),"",IF($A1266="","","Max Planck plate "&amp;INT((VALUE(RIGHT($A1266,5))-1)/96)+1&amp;": "&amp;CHAR(65+INT(MOD(VALUE(RIGHT($A1266,5))-1,96)/12))&amp;(MOD(VALUE(RIGHT($A1266,5))-1,12)+1)))</f>
        <v/>
      </c>
      <c r="K1266" s="20"/>
      <c r="L1266" s="21" t="str">
        <f>IF(OR(NOT(AND($B1266&lt;&gt;"",$C1266&lt;&gt;"",$D1266&lt;&gt;"",$E1266&lt;&gt;"")),$A1266="",$K1266&lt;&gt;"Yes"),"",IF($L1266&lt;&gt;"",$L1266,INDEX(SETUP!$I$1:$I$2000,MATCH(TRUE,SETUP!$J$1:$J$2000,0)+COUNTIFS($A$2:$A1266,"&lt;&gt;",$K$2:$K1266,"Yes",$L$2:$L1266,"")-1)))</f>
        <v/>
      </c>
      <c r="N1266" s="22"/>
    </row>
    <row r="1267" spans="1:14" x14ac:dyDescent="0.3">
      <c r="A1267" s="15" t="str">
        <f>IF(COUNTA($B1267:$E1267,$K1267)=0,"",IF(AND($B1267&lt;&gt;"",$C1267&lt;&gt;"",$D1267&lt;&gt;"",$E1267&lt;&gt;""),"TXS"&amp;TEXT(COUNTIFS($B$2:$B1267,"&lt;&gt;",$C$2:$C1267,"&lt;&gt;",$D$2:$D1267,"&lt;&gt;",$E$2:$E1267,"&lt;&gt;"),"00000"),""))</f>
        <v/>
      </c>
      <c r="B1267" s="16"/>
      <c r="C1267" s="20"/>
      <c r="D1267" s="20"/>
      <c r="E1267" s="23"/>
      <c r="H1267" s="21" t="str">
        <f t="shared" si="66"/>
        <v/>
      </c>
      <c r="I1267" s="21" t="str">
        <f t="shared" si="65"/>
        <v/>
      </c>
      <c r="J1267" s="21" t="str">
        <f t="shared" si="67"/>
        <v/>
      </c>
      <c r="K1267" s="20"/>
      <c r="L1267" s="21" t="str">
        <f>IF(OR(NOT(AND($B1267&lt;&gt;"",$C1267&lt;&gt;"",$D1267&lt;&gt;"",$E1267&lt;&gt;"")),$A1267="",$K1267&lt;&gt;"Yes"),"",IF($L1267&lt;&gt;"",$L1267,INDEX(SETUP!$I$1:$I$2000,MATCH(TRUE,SETUP!$J$1:$J$2000,0)+COUNTIFS($A$2:$A1267,"&lt;&gt;",$K$2:$K1267,"Yes",$L$2:$L1267,"")-1)))</f>
        <v/>
      </c>
      <c r="N1267" s="22"/>
    </row>
    <row r="1268" spans="1:14" x14ac:dyDescent="0.3">
      <c r="A1268" s="15" t="str">
        <f>IF(COUNTA($B1268:$E1268,$K1268)=0,"",IF(AND($B1268&lt;&gt;"",$C1268&lt;&gt;"",$D1268&lt;&gt;"",$E1268&lt;&gt;""),"TXS"&amp;TEXT(COUNTIFS($B$2:$B1268,"&lt;&gt;",$C$2:$C1268,"&lt;&gt;",$D$2:$D1268,"&lt;&gt;",$E$2:$E1268,"&lt;&gt;"),"00000"),""))</f>
        <v/>
      </c>
      <c r="B1268" s="16"/>
      <c r="C1268" s="20"/>
      <c r="D1268" s="20"/>
      <c r="E1268" s="23"/>
      <c r="H1268" s="21" t="str">
        <f t="shared" si="66"/>
        <v/>
      </c>
      <c r="I1268" s="21" t="str">
        <f t="shared" si="65"/>
        <v/>
      </c>
      <c r="J1268" s="21" t="str">
        <f t="shared" si="67"/>
        <v/>
      </c>
      <c r="K1268" s="20"/>
      <c r="L1268" s="21" t="str">
        <f>IF(OR(NOT(AND($B1268&lt;&gt;"",$C1268&lt;&gt;"",$D1268&lt;&gt;"",$E1268&lt;&gt;"")),$A1268="",$K1268&lt;&gt;"Yes"),"",IF($L1268&lt;&gt;"",$L1268,INDEX(SETUP!$I$1:$I$2000,MATCH(TRUE,SETUP!$J$1:$J$2000,0)+COUNTIFS($A$2:$A1268,"&lt;&gt;",$K$2:$K1268,"Yes",$L$2:$L1268,"")-1)))</f>
        <v/>
      </c>
      <c r="N1268" s="22"/>
    </row>
    <row r="1269" spans="1:14" x14ac:dyDescent="0.3">
      <c r="A1269" s="15" t="str">
        <f>IF(COUNTA($B1269:$E1269,$K1269)=0,"",IF(AND($B1269&lt;&gt;"",$C1269&lt;&gt;"",$D1269&lt;&gt;"",$E1269&lt;&gt;""),"TXS"&amp;TEXT(COUNTIFS($B$2:$B1269,"&lt;&gt;",$C$2:$C1269,"&lt;&gt;",$D$2:$D1269,"&lt;&gt;",$E$2:$E1269,"&lt;&gt;"),"00000"),""))</f>
        <v/>
      </c>
      <c r="B1269" s="16"/>
      <c r="C1269" s="20"/>
      <c r="D1269" s="20"/>
      <c r="E1269" s="23"/>
      <c r="H1269" s="21" t="str">
        <f t="shared" si="66"/>
        <v/>
      </c>
      <c r="I1269" s="21" t="str">
        <f t="shared" si="65"/>
        <v/>
      </c>
      <c r="J1269" s="21" t="str">
        <f t="shared" si="67"/>
        <v/>
      </c>
      <c r="K1269" s="20"/>
      <c r="L1269" s="21" t="str">
        <f>IF(OR(NOT(AND($B1269&lt;&gt;"",$C1269&lt;&gt;"",$D1269&lt;&gt;"",$E1269&lt;&gt;"")),$A1269="",$K1269&lt;&gt;"Yes"),"",IF($L1269&lt;&gt;"",$L1269,INDEX(SETUP!$I$1:$I$2000,MATCH(TRUE,SETUP!$J$1:$J$2000,0)+COUNTIFS($A$2:$A1269,"&lt;&gt;",$K$2:$K1269,"Yes",$L$2:$L1269,"")-1)))</f>
        <v/>
      </c>
      <c r="N1269" s="22"/>
    </row>
    <row r="1270" spans="1:14" x14ac:dyDescent="0.3">
      <c r="A1270" s="15" t="str">
        <f>IF(COUNTA($B1270:$E1270,$K1270)=0,"",IF(AND($B1270&lt;&gt;"",$C1270&lt;&gt;"",$D1270&lt;&gt;"",$E1270&lt;&gt;""),"TXS"&amp;TEXT(COUNTIFS($B$2:$B1270,"&lt;&gt;",$C$2:$C1270,"&lt;&gt;",$D$2:$D1270,"&lt;&gt;",$E$2:$E1270,"&lt;&gt;"),"00000"),""))</f>
        <v/>
      </c>
      <c r="B1270" s="16"/>
      <c r="C1270" s="20"/>
      <c r="D1270" s="20"/>
      <c r="E1270" s="23"/>
      <c r="H1270" s="21" t="str">
        <f t="shared" si="66"/>
        <v/>
      </c>
      <c r="I1270" s="21" t="str">
        <f t="shared" si="65"/>
        <v/>
      </c>
      <c r="J1270" s="21" t="str">
        <f t="shared" si="67"/>
        <v/>
      </c>
      <c r="K1270" s="20"/>
      <c r="L1270" s="21" t="str">
        <f>IF(OR(NOT(AND($B1270&lt;&gt;"",$C1270&lt;&gt;"",$D1270&lt;&gt;"",$E1270&lt;&gt;"")),$A1270="",$K1270&lt;&gt;"Yes"),"",IF($L1270&lt;&gt;"",$L1270,INDEX(SETUP!$I$1:$I$2000,MATCH(TRUE,SETUP!$J$1:$J$2000,0)+COUNTIFS($A$2:$A1270,"&lt;&gt;",$K$2:$K1270,"Yes",$L$2:$L1270,"")-1)))</f>
        <v/>
      </c>
      <c r="N1270" s="22"/>
    </row>
    <row r="1271" spans="1:14" x14ac:dyDescent="0.3">
      <c r="A1271" s="15" t="str">
        <f>IF(COUNTA($B1271:$E1271,$K1271)=0,"",IF(AND($B1271&lt;&gt;"",$C1271&lt;&gt;"",$D1271&lt;&gt;"",$E1271&lt;&gt;""),"TXS"&amp;TEXT(COUNTIFS($B$2:$B1271,"&lt;&gt;",$C$2:$C1271,"&lt;&gt;",$D$2:$D1271,"&lt;&gt;",$E$2:$E1271,"&lt;&gt;"),"00000"),""))</f>
        <v/>
      </c>
      <c r="B1271" s="16"/>
      <c r="C1271" s="20"/>
      <c r="D1271" s="20"/>
      <c r="E1271" s="23"/>
      <c r="H1271" s="21" t="str">
        <f t="shared" si="66"/>
        <v/>
      </c>
      <c r="I1271" s="21" t="str">
        <f t="shared" si="65"/>
        <v/>
      </c>
      <c r="J1271" s="21" t="str">
        <f t="shared" si="67"/>
        <v/>
      </c>
      <c r="K1271" s="20"/>
      <c r="L1271" s="21" t="str">
        <f>IF(OR(NOT(AND($B1271&lt;&gt;"",$C1271&lt;&gt;"",$D1271&lt;&gt;"",$E1271&lt;&gt;"")),$A1271="",$K1271&lt;&gt;"Yes"),"",IF($L1271&lt;&gt;"",$L1271,INDEX(SETUP!$I$1:$I$2000,MATCH(TRUE,SETUP!$J$1:$J$2000,0)+COUNTIFS($A$2:$A1271,"&lt;&gt;",$K$2:$K1271,"Yes",$L$2:$L1271,"")-1)))</f>
        <v/>
      </c>
      <c r="N1271" s="22"/>
    </row>
    <row r="1272" spans="1:14" x14ac:dyDescent="0.3">
      <c r="A1272" s="15" t="str">
        <f>IF(COUNTA($B1272:$E1272,$K1272)=0,"",IF(AND($B1272&lt;&gt;"",$C1272&lt;&gt;"",$D1272&lt;&gt;"",$E1272&lt;&gt;""),"TXS"&amp;TEXT(COUNTIFS($B$2:$B1272,"&lt;&gt;",$C$2:$C1272,"&lt;&gt;",$D$2:$D1272,"&lt;&gt;",$E$2:$E1272,"&lt;&gt;"),"00000"),""))</f>
        <v/>
      </c>
      <c r="B1272" s="16"/>
      <c r="C1272" s="20"/>
      <c r="D1272" s="20"/>
      <c r="E1272" s="23"/>
      <c r="H1272" s="21" t="str">
        <f t="shared" si="66"/>
        <v/>
      </c>
      <c r="I1272" s="21" t="str">
        <f t="shared" si="65"/>
        <v/>
      </c>
      <c r="J1272" s="21" t="str">
        <f t="shared" si="67"/>
        <v/>
      </c>
      <c r="K1272" s="20"/>
      <c r="L1272" s="21" t="str">
        <f>IF(OR(NOT(AND($B1272&lt;&gt;"",$C1272&lt;&gt;"",$D1272&lt;&gt;"",$E1272&lt;&gt;"")),$A1272="",$K1272&lt;&gt;"Yes"),"",IF($L1272&lt;&gt;"",$L1272,INDEX(SETUP!$I$1:$I$2000,MATCH(TRUE,SETUP!$J$1:$J$2000,0)+COUNTIFS($A$2:$A1272,"&lt;&gt;",$K$2:$K1272,"Yes",$L$2:$L1272,"")-1)))</f>
        <v/>
      </c>
      <c r="N1272" s="22"/>
    </row>
    <row r="1273" spans="1:14" x14ac:dyDescent="0.3">
      <c r="A1273" s="15" t="str">
        <f>IF(COUNTA($B1273:$E1273,$K1273)=0,"",IF(AND($B1273&lt;&gt;"",$C1273&lt;&gt;"",$D1273&lt;&gt;"",$E1273&lt;&gt;""),"TXS"&amp;TEXT(COUNTIFS($B$2:$B1273,"&lt;&gt;",$C$2:$C1273,"&lt;&gt;",$D$2:$D1273,"&lt;&gt;",$E$2:$E1273,"&lt;&gt;"),"00000"),""))</f>
        <v/>
      </c>
      <c r="B1273" s="16"/>
      <c r="C1273" s="20"/>
      <c r="D1273" s="20"/>
      <c r="E1273" s="23"/>
      <c r="H1273" s="21" t="str">
        <f t="shared" si="66"/>
        <v/>
      </c>
      <c r="I1273" s="21" t="str">
        <f t="shared" si="65"/>
        <v/>
      </c>
      <c r="J1273" s="21" t="str">
        <f t="shared" si="67"/>
        <v/>
      </c>
      <c r="K1273" s="20"/>
      <c r="L1273" s="21" t="str">
        <f>IF(OR(NOT(AND($B1273&lt;&gt;"",$C1273&lt;&gt;"",$D1273&lt;&gt;"",$E1273&lt;&gt;"")),$A1273="",$K1273&lt;&gt;"Yes"),"",IF($L1273&lt;&gt;"",$L1273,INDEX(SETUP!$I$1:$I$2000,MATCH(TRUE,SETUP!$J$1:$J$2000,0)+COUNTIFS($A$2:$A1273,"&lt;&gt;",$K$2:$K1273,"Yes",$L$2:$L1273,"")-1)))</f>
        <v/>
      </c>
      <c r="N1273" s="22"/>
    </row>
    <row r="1274" spans="1:14" x14ac:dyDescent="0.3">
      <c r="A1274" s="15" t="str">
        <f>IF(COUNTA($B1274:$E1274,$K1274)=0,"",IF(AND($B1274&lt;&gt;"",$C1274&lt;&gt;"",$D1274&lt;&gt;"",$E1274&lt;&gt;""),"TXS"&amp;TEXT(COUNTIFS($B$2:$B1274,"&lt;&gt;",$C$2:$C1274,"&lt;&gt;",$D$2:$D1274,"&lt;&gt;",$E$2:$E1274,"&lt;&gt;"),"00000"),""))</f>
        <v/>
      </c>
      <c r="B1274" s="16"/>
      <c r="C1274" s="20"/>
      <c r="D1274" s="20"/>
      <c r="E1274" s="23"/>
      <c r="H1274" s="21" t="str">
        <f t="shared" si="66"/>
        <v/>
      </c>
      <c r="I1274" s="21" t="str">
        <f t="shared" si="65"/>
        <v/>
      </c>
      <c r="J1274" s="21" t="str">
        <f t="shared" si="67"/>
        <v/>
      </c>
      <c r="K1274" s="20"/>
      <c r="L1274" s="21" t="str">
        <f>IF(OR(NOT(AND($B1274&lt;&gt;"",$C1274&lt;&gt;"",$D1274&lt;&gt;"",$E1274&lt;&gt;"")),$A1274="",$K1274&lt;&gt;"Yes"),"",IF($L1274&lt;&gt;"",$L1274,INDEX(SETUP!$I$1:$I$2000,MATCH(TRUE,SETUP!$J$1:$J$2000,0)+COUNTIFS($A$2:$A1274,"&lt;&gt;",$K$2:$K1274,"Yes",$L$2:$L1274,"")-1)))</f>
        <v/>
      </c>
      <c r="N1274" s="22"/>
    </row>
    <row r="1275" spans="1:14" x14ac:dyDescent="0.3">
      <c r="A1275" s="15" t="str">
        <f>IF(COUNTA($B1275:$E1275,$K1275)=0,"",IF(AND($B1275&lt;&gt;"",$C1275&lt;&gt;"",$D1275&lt;&gt;"",$E1275&lt;&gt;""),"TXS"&amp;TEXT(COUNTIFS($B$2:$B1275,"&lt;&gt;",$C$2:$C1275,"&lt;&gt;",$D$2:$D1275,"&lt;&gt;",$E$2:$E1275,"&lt;&gt;"),"00000"),""))</f>
        <v/>
      </c>
      <c r="B1275" s="16"/>
      <c r="C1275" s="20"/>
      <c r="D1275" s="20"/>
      <c r="E1275" s="23"/>
      <c r="H1275" s="21" t="str">
        <f t="shared" si="66"/>
        <v/>
      </c>
      <c r="I1275" s="21" t="str">
        <f t="shared" si="65"/>
        <v/>
      </c>
      <c r="J1275" s="21" t="str">
        <f t="shared" si="67"/>
        <v/>
      </c>
      <c r="K1275" s="20"/>
      <c r="L1275" s="21" t="str">
        <f>IF(OR(NOT(AND($B1275&lt;&gt;"",$C1275&lt;&gt;"",$D1275&lt;&gt;"",$E1275&lt;&gt;"")),$A1275="",$K1275&lt;&gt;"Yes"),"",IF($L1275&lt;&gt;"",$L1275,INDEX(SETUP!$I$1:$I$2000,MATCH(TRUE,SETUP!$J$1:$J$2000,0)+COUNTIFS($A$2:$A1275,"&lt;&gt;",$K$2:$K1275,"Yes",$L$2:$L1275,"")-1)))</f>
        <v/>
      </c>
      <c r="N1275" s="22"/>
    </row>
    <row r="1276" spans="1:14" x14ac:dyDescent="0.3">
      <c r="A1276" s="15" t="str">
        <f>IF(COUNTA($B1276:$E1276,$K1276)=0,"",IF(AND($B1276&lt;&gt;"",$C1276&lt;&gt;"",$D1276&lt;&gt;"",$E1276&lt;&gt;""),"TXS"&amp;TEXT(COUNTIFS($B$2:$B1276,"&lt;&gt;",$C$2:$C1276,"&lt;&gt;",$D$2:$D1276,"&lt;&gt;",$E$2:$E1276,"&lt;&gt;"),"00000"),""))</f>
        <v/>
      </c>
      <c r="B1276" s="16"/>
      <c r="C1276" s="20"/>
      <c r="D1276" s="20"/>
      <c r="E1276" s="23"/>
      <c r="H1276" s="21" t="str">
        <f t="shared" si="66"/>
        <v/>
      </c>
      <c r="I1276" s="21" t="str">
        <f t="shared" si="65"/>
        <v/>
      </c>
      <c r="J1276" s="21" t="str">
        <f t="shared" si="67"/>
        <v/>
      </c>
      <c r="K1276" s="20"/>
      <c r="L1276" s="21" t="str">
        <f>IF(OR(NOT(AND($B1276&lt;&gt;"",$C1276&lt;&gt;"",$D1276&lt;&gt;"",$E1276&lt;&gt;"")),$A1276="",$K1276&lt;&gt;"Yes"),"",IF($L1276&lt;&gt;"",$L1276,INDEX(SETUP!$I$1:$I$2000,MATCH(TRUE,SETUP!$J$1:$J$2000,0)+COUNTIFS($A$2:$A1276,"&lt;&gt;",$K$2:$K1276,"Yes",$L$2:$L1276,"")-1)))</f>
        <v/>
      </c>
      <c r="N1276" s="22"/>
    </row>
    <row r="1277" spans="1:14" x14ac:dyDescent="0.3">
      <c r="A1277" s="15" t="str">
        <f>IF(COUNTA($B1277:$E1277,$K1277)=0,"",IF(AND($B1277&lt;&gt;"",$C1277&lt;&gt;"",$D1277&lt;&gt;"",$E1277&lt;&gt;""),"TXS"&amp;TEXT(COUNTIFS($B$2:$B1277,"&lt;&gt;",$C$2:$C1277,"&lt;&gt;",$D$2:$D1277,"&lt;&gt;",$E$2:$E1277,"&lt;&gt;"),"00000"),""))</f>
        <v/>
      </c>
      <c r="B1277" s="16"/>
      <c r="C1277" s="20"/>
      <c r="D1277" s="20"/>
      <c r="E1277" s="23"/>
      <c r="H1277" s="21" t="str">
        <f t="shared" si="66"/>
        <v/>
      </c>
      <c r="I1277" s="21" t="str">
        <f t="shared" si="65"/>
        <v/>
      </c>
      <c r="J1277" s="21" t="str">
        <f t="shared" si="67"/>
        <v/>
      </c>
      <c r="K1277" s="20"/>
      <c r="L1277" s="21" t="str">
        <f>IF(OR(NOT(AND($B1277&lt;&gt;"",$C1277&lt;&gt;"",$D1277&lt;&gt;"",$E1277&lt;&gt;"")),$A1277="",$K1277&lt;&gt;"Yes"),"",IF($L1277&lt;&gt;"",$L1277,INDEX(SETUP!$I$1:$I$2000,MATCH(TRUE,SETUP!$J$1:$J$2000,0)+COUNTIFS($A$2:$A1277,"&lt;&gt;",$K$2:$K1277,"Yes",$L$2:$L1277,"")-1)))</f>
        <v/>
      </c>
      <c r="N1277" s="22"/>
    </row>
    <row r="1278" spans="1:14" x14ac:dyDescent="0.3">
      <c r="A1278" s="15" t="str">
        <f>IF(COUNTA($B1278:$E1278,$K1278)=0,"",IF(AND($B1278&lt;&gt;"",$C1278&lt;&gt;"",$D1278&lt;&gt;"",$E1278&lt;&gt;""),"TXS"&amp;TEXT(COUNTIFS($B$2:$B1278,"&lt;&gt;",$C$2:$C1278,"&lt;&gt;",$D$2:$D1278,"&lt;&gt;",$E$2:$E1278,"&lt;&gt;"),"00000"),""))</f>
        <v/>
      </c>
      <c r="B1278" s="16"/>
      <c r="C1278" s="20"/>
      <c r="D1278" s="20"/>
      <c r="E1278" s="23"/>
      <c r="H1278" s="21" t="str">
        <f t="shared" si="66"/>
        <v/>
      </c>
      <c r="I1278" s="21" t="str">
        <f t="shared" si="65"/>
        <v/>
      </c>
      <c r="J1278" s="21" t="str">
        <f t="shared" si="67"/>
        <v/>
      </c>
      <c r="K1278" s="20"/>
      <c r="L1278" s="21" t="str">
        <f>IF(OR(NOT(AND($B1278&lt;&gt;"",$C1278&lt;&gt;"",$D1278&lt;&gt;"",$E1278&lt;&gt;"")),$A1278="",$K1278&lt;&gt;"Yes"),"",IF($L1278&lt;&gt;"",$L1278,INDEX(SETUP!$I$1:$I$2000,MATCH(TRUE,SETUP!$J$1:$J$2000,0)+COUNTIFS($A$2:$A1278,"&lt;&gt;",$K$2:$K1278,"Yes",$L$2:$L1278,"")-1)))</f>
        <v/>
      </c>
      <c r="N1278" s="22"/>
    </row>
    <row r="1279" spans="1:14" x14ac:dyDescent="0.3">
      <c r="A1279" s="15" t="str">
        <f>IF(COUNTA($B1279:$E1279,$K1279)=0,"",IF(AND($B1279&lt;&gt;"",$C1279&lt;&gt;"",$D1279&lt;&gt;"",$E1279&lt;&gt;""),"TXS"&amp;TEXT(COUNTIFS($B$2:$B1279,"&lt;&gt;",$C$2:$C1279,"&lt;&gt;",$D$2:$D1279,"&lt;&gt;",$E$2:$E1279,"&lt;&gt;"),"00000"),""))</f>
        <v/>
      </c>
      <c r="B1279" s="16"/>
      <c r="C1279" s="20"/>
      <c r="D1279" s="20"/>
      <c r="E1279" s="23"/>
      <c r="H1279" s="21" t="str">
        <f t="shared" si="66"/>
        <v/>
      </c>
      <c r="I1279" s="21" t="str">
        <f t="shared" si="65"/>
        <v/>
      </c>
      <c r="J1279" s="21" t="str">
        <f t="shared" si="67"/>
        <v/>
      </c>
      <c r="K1279" s="20"/>
      <c r="L1279" s="21" t="str">
        <f>IF(OR(NOT(AND($B1279&lt;&gt;"",$C1279&lt;&gt;"",$D1279&lt;&gt;"",$E1279&lt;&gt;"")),$A1279="",$K1279&lt;&gt;"Yes"),"",IF($L1279&lt;&gt;"",$L1279,INDEX(SETUP!$I$1:$I$2000,MATCH(TRUE,SETUP!$J$1:$J$2000,0)+COUNTIFS($A$2:$A1279,"&lt;&gt;",$K$2:$K1279,"Yes",$L$2:$L1279,"")-1)))</f>
        <v/>
      </c>
      <c r="N1279" s="22"/>
    </row>
    <row r="1280" spans="1:14" x14ac:dyDescent="0.3">
      <c r="A1280" s="15" t="str">
        <f>IF(COUNTA($B1280:$E1280,$K1280)=0,"",IF(AND($B1280&lt;&gt;"",$C1280&lt;&gt;"",$D1280&lt;&gt;"",$E1280&lt;&gt;""),"TXS"&amp;TEXT(COUNTIFS($B$2:$B1280,"&lt;&gt;",$C$2:$C1280,"&lt;&gt;",$D$2:$D1280,"&lt;&gt;",$E$2:$E1280,"&lt;&gt;"),"00000"),""))</f>
        <v/>
      </c>
      <c r="B1280" s="16"/>
      <c r="C1280" s="20"/>
      <c r="D1280" s="20"/>
      <c r="E1280" s="23"/>
      <c r="H1280" s="21" t="str">
        <f t="shared" si="66"/>
        <v/>
      </c>
      <c r="I1280" s="21" t="str">
        <f t="shared" si="65"/>
        <v/>
      </c>
      <c r="J1280" s="21" t="str">
        <f t="shared" si="67"/>
        <v/>
      </c>
      <c r="K1280" s="20"/>
      <c r="L1280" s="21" t="str">
        <f>IF(OR(NOT(AND($B1280&lt;&gt;"",$C1280&lt;&gt;"",$D1280&lt;&gt;"",$E1280&lt;&gt;"")),$A1280="",$K1280&lt;&gt;"Yes"),"",IF($L1280&lt;&gt;"",$L1280,INDEX(SETUP!$I$1:$I$2000,MATCH(TRUE,SETUP!$J$1:$J$2000,0)+COUNTIFS($A$2:$A1280,"&lt;&gt;",$K$2:$K1280,"Yes",$L$2:$L1280,"")-1)))</f>
        <v/>
      </c>
      <c r="N1280" s="22"/>
    </row>
    <row r="1281" spans="1:14" x14ac:dyDescent="0.3">
      <c r="A1281" s="15" t="str">
        <f>IF(COUNTA($B1281:$E1281,$K1281)=0,"",IF(AND($B1281&lt;&gt;"",$C1281&lt;&gt;"",$D1281&lt;&gt;"",$E1281&lt;&gt;""),"TXS"&amp;TEXT(COUNTIFS($B$2:$B1281,"&lt;&gt;",$C$2:$C1281,"&lt;&gt;",$D$2:$D1281,"&lt;&gt;",$E$2:$E1281,"&lt;&gt;"),"00000"),""))</f>
        <v/>
      </c>
      <c r="B1281" s="16"/>
      <c r="C1281" s="20"/>
      <c r="D1281" s="20"/>
      <c r="E1281" s="23"/>
      <c r="H1281" s="21" t="str">
        <f t="shared" si="66"/>
        <v/>
      </c>
      <c r="I1281" s="21" t="str">
        <f t="shared" si="65"/>
        <v/>
      </c>
      <c r="J1281" s="21" t="str">
        <f t="shared" si="67"/>
        <v/>
      </c>
      <c r="K1281" s="20"/>
      <c r="L1281" s="21" t="str">
        <f>IF(OR(NOT(AND($B1281&lt;&gt;"",$C1281&lt;&gt;"",$D1281&lt;&gt;"",$E1281&lt;&gt;"")),$A1281="",$K1281&lt;&gt;"Yes"),"",IF($L1281&lt;&gt;"",$L1281,INDEX(SETUP!$I$1:$I$2000,MATCH(TRUE,SETUP!$J$1:$J$2000,0)+COUNTIFS($A$2:$A1281,"&lt;&gt;",$K$2:$K1281,"Yes",$L$2:$L1281,"")-1)))</f>
        <v/>
      </c>
      <c r="N1281" s="22"/>
    </row>
    <row r="1282" spans="1:14" x14ac:dyDescent="0.3">
      <c r="A1282" s="15" t="str">
        <f>IF(COUNTA($B1282:$E1282,$K1282)=0,"",IF(AND($B1282&lt;&gt;"",$C1282&lt;&gt;"",$D1282&lt;&gt;"",$E1282&lt;&gt;""),"TXS"&amp;TEXT(COUNTIFS($B$2:$B1282,"&lt;&gt;",$C$2:$C1282,"&lt;&gt;",$D$2:$D1282,"&lt;&gt;",$E$2:$E1282,"&lt;&gt;"),"00000"),""))</f>
        <v/>
      </c>
      <c r="B1282" s="16"/>
      <c r="C1282" s="20"/>
      <c r="D1282" s="20"/>
      <c r="E1282" s="23"/>
      <c r="H1282" s="21" t="str">
        <f t="shared" si="66"/>
        <v/>
      </c>
      <c r="I1282" s="21" t="str">
        <f t="shared" si="65"/>
        <v/>
      </c>
      <c r="J1282" s="21" t="str">
        <f t="shared" si="67"/>
        <v/>
      </c>
      <c r="K1282" s="20"/>
      <c r="L1282" s="21" t="str">
        <f>IF(OR(NOT(AND($B1282&lt;&gt;"",$C1282&lt;&gt;"",$D1282&lt;&gt;"",$E1282&lt;&gt;"")),$A1282="",$K1282&lt;&gt;"Yes"),"",IF($L1282&lt;&gt;"",$L1282,INDEX(SETUP!$I$1:$I$2000,MATCH(TRUE,SETUP!$J$1:$J$2000,0)+COUNTIFS($A$2:$A1282,"&lt;&gt;",$K$2:$K1282,"Yes",$L$2:$L1282,"")-1)))</f>
        <v/>
      </c>
      <c r="N1282" s="22"/>
    </row>
    <row r="1283" spans="1:14" x14ac:dyDescent="0.3">
      <c r="A1283" s="15" t="str">
        <f>IF(COUNTA($B1283:$E1283,$K1283)=0,"",IF(AND($B1283&lt;&gt;"",$C1283&lt;&gt;"",$D1283&lt;&gt;"",$E1283&lt;&gt;""),"TXS"&amp;TEXT(COUNTIFS($B$2:$B1283,"&lt;&gt;",$C$2:$C1283,"&lt;&gt;",$D$2:$D1283,"&lt;&gt;",$E$2:$E1283,"&lt;&gt;"),"00000"),""))</f>
        <v/>
      </c>
      <c r="B1283" s="16"/>
      <c r="C1283" s="20"/>
      <c r="D1283" s="20"/>
      <c r="E1283" s="23"/>
      <c r="H1283" s="21" t="str">
        <f t="shared" si="66"/>
        <v/>
      </c>
      <c r="I1283" s="21" t="str">
        <f t="shared" si="65"/>
        <v/>
      </c>
      <c r="J1283" s="21" t="str">
        <f t="shared" si="67"/>
        <v/>
      </c>
      <c r="K1283" s="20"/>
      <c r="L1283" s="21" t="str">
        <f>IF(OR(NOT(AND($B1283&lt;&gt;"",$C1283&lt;&gt;"",$D1283&lt;&gt;"",$E1283&lt;&gt;"")),$A1283="",$K1283&lt;&gt;"Yes"),"",IF($L1283&lt;&gt;"",$L1283,INDEX(SETUP!$I$1:$I$2000,MATCH(TRUE,SETUP!$J$1:$J$2000,0)+COUNTIFS($A$2:$A1283,"&lt;&gt;",$K$2:$K1283,"Yes",$L$2:$L1283,"")-1)))</f>
        <v/>
      </c>
      <c r="N1283" s="22"/>
    </row>
    <row r="1284" spans="1:14" x14ac:dyDescent="0.3">
      <c r="A1284" s="15" t="str">
        <f>IF(COUNTA($B1284:$E1284,$K1284)=0,"",IF(AND($B1284&lt;&gt;"",$C1284&lt;&gt;"",$D1284&lt;&gt;"",$E1284&lt;&gt;""),"TXS"&amp;TEXT(COUNTIFS($B$2:$B1284,"&lt;&gt;",$C$2:$C1284,"&lt;&gt;",$D$2:$D1284,"&lt;&gt;",$E$2:$E1284,"&lt;&gt;"),"00000"),""))</f>
        <v/>
      </c>
      <c r="B1284" s="16"/>
      <c r="C1284" s="20"/>
      <c r="D1284" s="20"/>
      <c r="E1284" s="23"/>
      <c r="H1284" s="21" t="str">
        <f t="shared" si="66"/>
        <v/>
      </c>
      <c r="I1284" s="21" t="str">
        <f t="shared" si="65"/>
        <v/>
      </c>
      <c r="J1284" s="21" t="str">
        <f t="shared" si="67"/>
        <v/>
      </c>
      <c r="K1284" s="20"/>
      <c r="L1284" s="21" t="str">
        <f>IF(OR(NOT(AND($B1284&lt;&gt;"",$C1284&lt;&gt;"",$D1284&lt;&gt;"",$E1284&lt;&gt;"")),$A1284="",$K1284&lt;&gt;"Yes"),"",IF($L1284&lt;&gt;"",$L1284,INDEX(SETUP!$I$1:$I$2000,MATCH(TRUE,SETUP!$J$1:$J$2000,0)+COUNTIFS($A$2:$A1284,"&lt;&gt;",$K$2:$K1284,"Yes",$L$2:$L1284,"")-1)))</f>
        <v/>
      </c>
      <c r="N1284" s="22"/>
    </row>
    <row r="1285" spans="1:14" x14ac:dyDescent="0.3">
      <c r="A1285" s="15" t="str">
        <f>IF(COUNTA($B1285:$E1285,$K1285)=0,"",IF(AND($B1285&lt;&gt;"",$C1285&lt;&gt;"",$D1285&lt;&gt;"",$E1285&lt;&gt;""),"TXS"&amp;TEXT(COUNTIFS($B$2:$B1285,"&lt;&gt;",$C$2:$C1285,"&lt;&gt;",$D$2:$D1285,"&lt;&gt;",$E$2:$E1285,"&lt;&gt;"),"00000"),""))</f>
        <v/>
      </c>
      <c r="B1285" s="16"/>
      <c r="C1285" s="20"/>
      <c r="D1285" s="20"/>
      <c r="E1285" s="23"/>
      <c r="H1285" s="21" t="str">
        <f t="shared" si="66"/>
        <v/>
      </c>
      <c r="I1285" s="21" t="str">
        <f t="shared" si="65"/>
        <v/>
      </c>
      <c r="J1285" s="21" t="str">
        <f t="shared" si="67"/>
        <v/>
      </c>
      <c r="K1285" s="20"/>
      <c r="L1285" s="21" t="str">
        <f>IF(OR(NOT(AND($B1285&lt;&gt;"",$C1285&lt;&gt;"",$D1285&lt;&gt;"",$E1285&lt;&gt;"")),$A1285="",$K1285&lt;&gt;"Yes"),"",IF($L1285&lt;&gt;"",$L1285,INDEX(SETUP!$I$1:$I$2000,MATCH(TRUE,SETUP!$J$1:$J$2000,0)+COUNTIFS($A$2:$A1285,"&lt;&gt;",$K$2:$K1285,"Yes",$L$2:$L1285,"")-1)))</f>
        <v/>
      </c>
      <c r="N1285" s="22"/>
    </row>
    <row r="1286" spans="1:14" x14ac:dyDescent="0.3">
      <c r="A1286" s="15" t="str">
        <f>IF(COUNTA($B1286:$E1286,$K1286)=0,"",IF(AND($B1286&lt;&gt;"",$C1286&lt;&gt;"",$D1286&lt;&gt;"",$E1286&lt;&gt;""),"TXS"&amp;TEXT(COUNTIFS($B$2:$B1286,"&lt;&gt;",$C$2:$C1286,"&lt;&gt;",$D$2:$D1286,"&lt;&gt;",$E$2:$E1286,"&lt;&gt;"),"00000"),""))</f>
        <v/>
      </c>
      <c r="B1286" s="16"/>
      <c r="C1286" s="20"/>
      <c r="D1286" s="20"/>
      <c r="E1286" s="23"/>
      <c r="H1286" s="21" t="str">
        <f t="shared" si="66"/>
        <v/>
      </c>
      <c r="I1286" s="21" t="str">
        <f t="shared" si="65"/>
        <v/>
      </c>
      <c r="J1286" s="21" t="str">
        <f t="shared" si="67"/>
        <v/>
      </c>
      <c r="K1286" s="20"/>
      <c r="L1286" s="21" t="str">
        <f>IF(OR(NOT(AND($B1286&lt;&gt;"",$C1286&lt;&gt;"",$D1286&lt;&gt;"",$E1286&lt;&gt;"")),$A1286="",$K1286&lt;&gt;"Yes"),"",IF($L1286&lt;&gt;"",$L1286,INDEX(SETUP!$I$1:$I$2000,MATCH(TRUE,SETUP!$J$1:$J$2000,0)+COUNTIFS($A$2:$A1286,"&lt;&gt;",$K$2:$K1286,"Yes",$L$2:$L1286,"")-1)))</f>
        <v/>
      </c>
      <c r="N1286" s="22"/>
    </row>
    <row r="1287" spans="1:14" x14ac:dyDescent="0.3">
      <c r="A1287" s="15" t="str">
        <f>IF(COUNTA($B1287:$E1287,$K1287)=0,"",IF(AND($B1287&lt;&gt;"",$C1287&lt;&gt;"",$D1287&lt;&gt;"",$E1287&lt;&gt;""),"TXS"&amp;TEXT(COUNTIFS($B$2:$B1287,"&lt;&gt;",$C$2:$C1287,"&lt;&gt;",$D$2:$D1287,"&lt;&gt;",$E$2:$E1287,"&lt;&gt;"),"00000"),""))</f>
        <v/>
      </c>
      <c r="B1287" s="16"/>
      <c r="C1287" s="20"/>
      <c r="D1287" s="20"/>
      <c r="E1287" s="23"/>
      <c r="H1287" s="21" t="str">
        <f t="shared" si="66"/>
        <v/>
      </c>
      <c r="I1287" s="21" t="str">
        <f t="shared" si="65"/>
        <v/>
      </c>
      <c r="J1287" s="21" t="str">
        <f t="shared" si="67"/>
        <v/>
      </c>
      <c r="K1287" s="20"/>
      <c r="L1287" s="21" t="str">
        <f>IF(OR(NOT(AND($B1287&lt;&gt;"",$C1287&lt;&gt;"",$D1287&lt;&gt;"",$E1287&lt;&gt;"")),$A1287="",$K1287&lt;&gt;"Yes"),"",IF($L1287&lt;&gt;"",$L1287,INDEX(SETUP!$I$1:$I$2000,MATCH(TRUE,SETUP!$J$1:$J$2000,0)+COUNTIFS($A$2:$A1287,"&lt;&gt;",$K$2:$K1287,"Yes",$L$2:$L1287,"")-1)))</f>
        <v/>
      </c>
      <c r="N1287" s="22"/>
    </row>
    <row r="1288" spans="1:14" x14ac:dyDescent="0.3">
      <c r="A1288" s="15" t="str">
        <f>IF(COUNTA($B1288:$E1288,$K1288)=0,"",IF(AND($B1288&lt;&gt;"",$C1288&lt;&gt;"",$D1288&lt;&gt;"",$E1288&lt;&gt;""),"TXS"&amp;TEXT(COUNTIFS($B$2:$B1288,"&lt;&gt;",$C$2:$C1288,"&lt;&gt;",$D$2:$D1288,"&lt;&gt;",$E$2:$E1288,"&lt;&gt;"),"00000"),""))</f>
        <v/>
      </c>
      <c r="B1288" s="16"/>
      <c r="C1288" s="20"/>
      <c r="D1288" s="20"/>
      <c r="E1288" s="23"/>
      <c r="H1288" s="21" t="str">
        <f t="shared" si="66"/>
        <v/>
      </c>
      <c r="I1288" s="21" t="str">
        <f t="shared" si="65"/>
        <v/>
      </c>
      <c r="J1288" s="21" t="str">
        <f t="shared" si="67"/>
        <v/>
      </c>
      <c r="K1288" s="20"/>
      <c r="L1288" s="21" t="str">
        <f>IF(OR(NOT(AND($B1288&lt;&gt;"",$C1288&lt;&gt;"",$D1288&lt;&gt;"",$E1288&lt;&gt;"")),$A1288="",$K1288&lt;&gt;"Yes"),"",IF($L1288&lt;&gt;"",$L1288,INDEX(SETUP!$I$1:$I$2000,MATCH(TRUE,SETUP!$J$1:$J$2000,0)+COUNTIFS($A$2:$A1288,"&lt;&gt;",$K$2:$K1288,"Yes",$L$2:$L1288,"")-1)))</f>
        <v/>
      </c>
      <c r="N1288" s="22"/>
    </row>
    <row r="1289" spans="1:14" x14ac:dyDescent="0.3">
      <c r="A1289" s="15" t="str">
        <f>IF(COUNTA($B1289:$E1289,$K1289)=0,"",IF(AND($B1289&lt;&gt;"",$C1289&lt;&gt;"",$D1289&lt;&gt;"",$E1289&lt;&gt;""),"TXS"&amp;TEXT(COUNTIFS($B$2:$B1289,"&lt;&gt;",$C$2:$C1289,"&lt;&gt;",$D$2:$D1289,"&lt;&gt;",$E$2:$E1289,"&lt;&gt;"),"00000"),""))</f>
        <v/>
      </c>
      <c r="B1289" s="16"/>
      <c r="C1289" s="20"/>
      <c r="D1289" s="20"/>
      <c r="E1289" s="23"/>
      <c r="H1289" s="21" t="str">
        <f t="shared" si="66"/>
        <v/>
      </c>
      <c r="I1289" s="21" t="str">
        <f t="shared" si="65"/>
        <v/>
      </c>
      <c r="J1289" s="21" t="str">
        <f t="shared" si="67"/>
        <v/>
      </c>
      <c r="K1289" s="20"/>
      <c r="L1289" s="21" t="str">
        <f>IF(OR(NOT(AND($B1289&lt;&gt;"",$C1289&lt;&gt;"",$D1289&lt;&gt;"",$E1289&lt;&gt;"")),$A1289="",$K1289&lt;&gt;"Yes"),"",IF($L1289&lt;&gt;"",$L1289,INDEX(SETUP!$I$1:$I$2000,MATCH(TRUE,SETUP!$J$1:$J$2000,0)+COUNTIFS($A$2:$A1289,"&lt;&gt;",$K$2:$K1289,"Yes",$L$2:$L1289,"")-1)))</f>
        <v/>
      </c>
      <c r="N1289" s="22"/>
    </row>
    <row r="1290" spans="1:14" x14ac:dyDescent="0.3">
      <c r="A1290" s="15" t="str">
        <f>IF(COUNTA($B1290:$E1290,$K1290)=0,"",IF(AND($B1290&lt;&gt;"",$C1290&lt;&gt;"",$D1290&lt;&gt;"",$E1290&lt;&gt;""),"TXS"&amp;TEXT(COUNTIFS($B$2:$B1290,"&lt;&gt;",$C$2:$C1290,"&lt;&gt;",$D$2:$D1290,"&lt;&gt;",$E$2:$E1290,"&lt;&gt;"),"00000"),""))</f>
        <v/>
      </c>
      <c r="B1290" s="16"/>
      <c r="C1290" s="20"/>
      <c r="D1290" s="20"/>
      <c r="E1290" s="23"/>
      <c r="H1290" s="21" t="str">
        <f t="shared" si="66"/>
        <v/>
      </c>
      <c r="I1290" s="21" t="str">
        <f t="shared" si="65"/>
        <v/>
      </c>
      <c r="J1290" s="21" t="str">
        <f t="shared" si="67"/>
        <v/>
      </c>
      <c r="K1290" s="20"/>
      <c r="L1290" s="21" t="str">
        <f>IF(OR(NOT(AND($B1290&lt;&gt;"",$C1290&lt;&gt;"",$D1290&lt;&gt;"",$E1290&lt;&gt;"")),$A1290="",$K1290&lt;&gt;"Yes"),"",IF($L1290&lt;&gt;"",$L1290,INDEX(SETUP!$I$1:$I$2000,MATCH(TRUE,SETUP!$J$1:$J$2000,0)+COUNTIFS($A$2:$A1290,"&lt;&gt;",$K$2:$K1290,"Yes",$L$2:$L1290,"")-1)))</f>
        <v/>
      </c>
      <c r="N1290" s="22"/>
    </row>
    <row r="1291" spans="1:14" x14ac:dyDescent="0.3">
      <c r="A1291" s="15" t="str">
        <f>IF(COUNTA($B1291:$E1291,$K1291)=0,"",IF(AND($B1291&lt;&gt;"",$C1291&lt;&gt;"",$D1291&lt;&gt;"",$E1291&lt;&gt;""),"TXS"&amp;TEXT(COUNTIFS($B$2:$B1291,"&lt;&gt;",$C$2:$C1291,"&lt;&gt;",$D$2:$D1291,"&lt;&gt;",$E$2:$E1291,"&lt;&gt;"),"00000"),""))</f>
        <v/>
      </c>
      <c r="B1291" s="16"/>
      <c r="C1291" s="20"/>
      <c r="D1291" s="20"/>
      <c r="E1291" s="23"/>
      <c r="H1291" s="21" t="str">
        <f t="shared" si="66"/>
        <v/>
      </c>
      <c r="I1291" s="21" t="str">
        <f t="shared" si="65"/>
        <v/>
      </c>
      <c r="J1291" s="21" t="str">
        <f t="shared" si="67"/>
        <v/>
      </c>
      <c r="K1291" s="20"/>
      <c r="L1291" s="21" t="str">
        <f>IF(OR(NOT(AND($B1291&lt;&gt;"",$C1291&lt;&gt;"",$D1291&lt;&gt;"",$E1291&lt;&gt;"")),$A1291="",$K1291&lt;&gt;"Yes"),"",IF($L1291&lt;&gt;"",$L1291,INDEX(SETUP!$I$1:$I$2000,MATCH(TRUE,SETUP!$J$1:$J$2000,0)+COUNTIFS($A$2:$A1291,"&lt;&gt;",$K$2:$K1291,"Yes",$L$2:$L1291,"")-1)))</f>
        <v/>
      </c>
      <c r="N1291" s="22"/>
    </row>
    <row r="1292" spans="1:14" x14ac:dyDescent="0.3">
      <c r="A1292" s="15" t="str">
        <f>IF(COUNTA($B1292:$E1292,$K1292)=0,"",IF(AND($B1292&lt;&gt;"",$C1292&lt;&gt;"",$D1292&lt;&gt;"",$E1292&lt;&gt;""),"TXS"&amp;TEXT(COUNTIFS($B$2:$B1292,"&lt;&gt;",$C$2:$C1292,"&lt;&gt;",$D$2:$D1292,"&lt;&gt;",$E$2:$E1292,"&lt;&gt;"),"00000"),""))</f>
        <v/>
      </c>
      <c r="B1292" s="16"/>
      <c r="C1292" s="20"/>
      <c r="D1292" s="20"/>
      <c r="E1292" s="23"/>
      <c r="H1292" s="21" t="str">
        <f t="shared" si="66"/>
        <v/>
      </c>
      <c r="I1292" s="21" t="str">
        <f t="shared" si="65"/>
        <v/>
      </c>
      <c r="J1292" s="21" t="str">
        <f t="shared" si="67"/>
        <v/>
      </c>
      <c r="K1292" s="20"/>
      <c r="L1292" s="21" t="str">
        <f>IF(OR(NOT(AND($B1292&lt;&gt;"",$C1292&lt;&gt;"",$D1292&lt;&gt;"",$E1292&lt;&gt;"")),$A1292="",$K1292&lt;&gt;"Yes"),"",IF($L1292&lt;&gt;"",$L1292,INDEX(SETUP!$I$1:$I$2000,MATCH(TRUE,SETUP!$J$1:$J$2000,0)+COUNTIFS($A$2:$A1292,"&lt;&gt;",$K$2:$K1292,"Yes",$L$2:$L1292,"")-1)))</f>
        <v/>
      </c>
      <c r="N1292" s="22"/>
    </row>
    <row r="1293" spans="1:14" x14ac:dyDescent="0.3">
      <c r="A1293" s="15" t="str">
        <f>IF(COUNTA($B1293:$E1293,$K1293)=0,"",IF(AND($B1293&lt;&gt;"",$C1293&lt;&gt;"",$D1293&lt;&gt;"",$E1293&lt;&gt;""),"TXS"&amp;TEXT(COUNTIFS($B$2:$B1293,"&lt;&gt;",$C$2:$C1293,"&lt;&gt;",$D$2:$D1293,"&lt;&gt;",$E$2:$E1293,"&lt;&gt;"),"00000"),""))</f>
        <v/>
      </c>
      <c r="B1293" s="16"/>
      <c r="C1293" s="20"/>
      <c r="D1293" s="20"/>
      <c r="E1293" s="23"/>
      <c r="H1293" s="21" t="str">
        <f t="shared" si="66"/>
        <v/>
      </c>
      <c r="I1293" s="21" t="str">
        <f t="shared" si="65"/>
        <v/>
      </c>
      <c r="J1293" s="21" t="str">
        <f t="shared" si="67"/>
        <v/>
      </c>
      <c r="K1293" s="20"/>
      <c r="L1293" s="21" t="str">
        <f>IF(OR(NOT(AND($B1293&lt;&gt;"",$C1293&lt;&gt;"",$D1293&lt;&gt;"",$E1293&lt;&gt;"")),$A1293="",$K1293&lt;&gt;"Yes"),"",IF($L1293&lt;&gt;"",$L1293,INDEX(SETUP!$I$1:$I$2000,MATCH(TRUE,SETUP!$J$1:$J$2000,0)+COUNTIFS($A$2:$A1293,"&lt;&gt;",$K$2:$K1293,"Yes",$L$2:$L1293,"")-1)))</f>
        <v/>
      </c>
      <c r="N1293" s="22"/>
    </row>
    <row r="1294" spans="1:14" x14ac:dyDescent="0.3">
      <c r="A1294" s="15" t="str">
        <f>IF(COUNTA($B1294:$E1294,$K1294)=0,"",IF(AND($B1294&lt;&gt;"",$C1294&lt;&gt;"",$D1294&lt;&gt;"",$E1294&lt;&gt;""),"TXS"&amp;TEXT(COUNTIFS($B$2:$B1294,"&lt;&gt;",$C$2:$C1294,"&lt;&gt;",$D$2:$D1294,"&lt;&gt;",$E$2:$E1294,"&lt;&gt;"),"00000"),""))</f>
        <v/>
      </c>
      <c r="B1294" s="16"/>
      <c r="C1294" s="20"/>
      <c r="D1294" s="20"/>
      <c r="E1294" s="23"/>
      <c r="H1294" s="21" t="str">
        <f t="shared" si="66"/>
        <v/>
      </c>
      <c r="I1294" s="21" t="str">
        <f t="shared" si="65"/>
        <v/>
      </c>
      <c r="J1294" s="21" t="str">
        <f t="shared" si="67"/>
        <v/>
      </c>
      <c r="K1294" s="20"/>
      <c r="L1294" s="21" t="str">
        <f>IF(OR(NOT(AND($B1294&lt;&gt;"",$C1294&lt;&gt;"",$D1294&lt;&gt;"",$E1294&lt;&gt;"")),$A1294="",$K1294&lt;&gt;"Yes"),"",IF($L1294&lt;&gt;"",$L1294,INDEX(SETUP!$I$1:$I$2000,MATCH(TRUE,SETUP!$J$1:$J$2000,0)+COUNTIFS($A$2:$A1294,"&lt;&gt;",$K$2:$K1294,"Yes",$L$2:$L1294,"")-1)))</f>
        <v/>
      </c>
      <c r="N1294" s="22"/>
    </row>
    <row r="1295" spans="1:14" x14ac:dyDescent="0.3">
      <c r="A1295" s="15" t="str">
        <f>IF(COUNTA($B1295:$E1295,$K1295)=0,"",IF(AND($B1295&lt;&gt;"",$C1295&lt;&gt;"",$D1295&lt;&gt;"",$E1295&lt;&gt;""),"TXS"&amp;TEXT(COUNTIFS($B$2:$B1295,"&lt;&gt;",$C$2:$C1295,"&lt;&gt;",$D$2:$D1295,"&lt;&gt;",$E$2:$E1295,"&lt;&gt;"),"00000"),""))</f>
        <v/>
      </c>
      <c r="B1295" s="16"/>
      <c r="C1295" s="20"/>
      <c r="D1295" s="20"/>
      <c r="E1295" s="23"/>
      <c r="H1295" s="21" t="str">
        <f t="shared" si="66"/>
        <v/>
      </c>
      <c r="I1295" s="21" t="str">
        <f t="shared" si="65"/>
        <v/>
      </c>
      <c r="J1295" s="21" t="str">
        <f t="shared" si="67"/>
        <v/>
      </c>
      <c r="K1295" s="20"/>
      <c r="L1295" s="21" t="str">
        <f>IF(OR(NOT(AND($B1295&lt;&gt;"",$C1295&lt;&gt;"",$D1295&lt;&gt;"",$E1295&lt;&gt;"")),$A1295="",$K1295&lt;&gt;"Yes"),"",IF($L1295&lt;&gt;"",$L1295,INDEX(SETUP!$I$1:$I$2000,MATCH(TRUE,SETUP!$J$1:$J$2000,0)+COUNTIFS($A$2:$A1295,"&lt;&gt;",$K$2:$K1295,"Yes",$L$2:$L1295,"")-1)))</f>
        <v/>
      </c>
      <c r="N1295" s="22"/>
    </row>
    <row r="1296" spans="1:14" x14ac:dyDescent="0.3">
      <c r="A1296" s="15" t="str">
        <f>IF(COUNTA($B1296:$E1296,$K1296)=0,"",IF(AND($B1296&lt;&gt;"",$C1296&lt;&gt;"",$D1296&lt;&gt;"",$E1296&lt;&gt;""),"TXS"&amp;TEXT(COUNTIFS($B$2:$B1296,"&lt;&gt;",$C$2:$C1296,"&lt;&gt;",$D$2:$D1296,"&lt;&gt;",$E$2:$E1296,"&lt;&gt;"),"00000"),""))</f>
        <v/>
      </c>
      <c r="B1296" s="16"/>
      <c r="C1296" s="20"/>
      <c r="D1296" s="20"/>
      <c r="E1296" s="23"/>
      <c r="H1296" s="21" t="str">
        <f t="shared" si="66"/>
        <v/>
      </c>
      <c r="I1296" s="21" t="str">
        <f t="shared" si="65"/>
        <v/>
      </c>
      <c r="J1296" s="21" t="str">
        <f t="shared" si="67"/>
        <v/>
      </c>
      <c r="K1296" s="20"/>
      <c r="L1296" s="21" t="str">
        <f>IF(OR(NOT(AND($B1296&lt;&gt;"",$C1296&lt;&gt;"",$D1296&lt;&gt;"",$E1296&lt;&gt;"")),$A1296="",$K1296&lt;&gt;"Yes"),"",IF($L1296&lt;&gt;"",$L1296,INDEX(SETUP!$I$1:$I$2000,MATCH(TRUE,SETUP!$J$1:$J$2000,0)+COUNTIFS($A$2:$A1296,"&lt;&gt;",$K$2:$K1296,"Yes",$L$2:$L1296,"")-1)))</f>
        <v/>
      </c>
      <c r="N1296" s="22"/>
    </row>
    <row r="1297" spans="1:14" x14ac:dyDescent="0.3">
      <c r="A1297" s="15" t="str">
        <f>IF(COUNTA($B1297:$E1297,$K1297)=0,"",IF(AND($B1297&lt;&gt;"",$C1297&lt;&gt;"",$D1297&lt;&gt;"",$E1297&lt;&gt;""),"TXS"&amp;TEXT(COUNTIFS($B$2:$B1297,"&lt;&gt;",$C$2:$C1297,"&lt;&gt;",$D$2:$D1297,"&lt;&gt;",$E$2:$E1297,"&lt;&gt;"),"00000"),""))</f>
        <v/>
      </c>
      <c r="B1297" s="16"/>
      <c r="C1297" s="20"/>
      <c r="D1297" s="20"/>
      <c r="E1297" s="23"/>
      <c r="H1297" s="21" t="str">
        <f t="shared" si="66"/>
        <v/>
      </c>
      <c r="I1297" s="21" t="str">
        <f t="shared" si="65"/>
        <v/>
      </c>
      <c r="J1297" s="21" t="str">
        <f t="shared" si="67"/>
        <v/>
      </c>
      <c r="K1297" s="20"/>
      <c r="L1297" s="21" t="str">
        <f>IF(OR(NOT(AND($B1297&lt;&gt;"",$C1297&lt;&gt;"",$D1297&lt;&gt;"",$E1297&lt;&gt;"")),$A1297="",$K1297&lt;&gt;"Yes"),"",IF($L1297&lt;&gt;"",$L1297,INDEX(SETUP!$I$1:$I$2000,MATCH(TRUE,SETUP!$J$1:$J$2000,0)+COUNTIFS($A$2:$A1297,"&lt;&gt;",$K$2:$K1297,"Yes",$L$2:$L1297,"")-1)))</f>
        <v/>
      </c>
      <c r="N1297" s="22"/>
    </row>
    <row r="1298" spans="1:14" x14ac:dyDescent="0.3">
      <c r="A1298" s="15" t="str">
        <f>IF(COUNTA($B1298:$E1298,$K1298)=0,"",IF(AND($B1298&lt;&gt;"",$C1298&lt;&gt;"",$D1298&lt;&gt;"",$E1298&lt;&gt;""),"TXS"&amp;TEXT(COUNTIFS($B$2:$B1298,"&lt;&gt;",$C$2:$C1298,"&lt;&gt;",$D$2:$D1298,"&lt;&gt;",$E$2:$E1298,"&lt;&gt;"),"00000"),""))</f>
        <v/>
      </c>
      <c r="B1298" s="16"/>
      <c r="C1298" s="20"/>
      <c r="D1298" s="20"/>
      <c r="E1298" s="23"/>
      <c r="H1298" s="21" t="str">
        <f t="shared" si="66"/>
        <v/>
      </c>
      <c r="I1298" s="21" t="str">
        <f t="shared" si="65"/>
        <v/>
      </c>
      <c r="J1298" s="21" t="str">
        <f t="shared" si="67"/>
        <v/>
      </c>
      <c r="K1298" s="20"/>
      <c r="L1298" s="21" t="str">
        <f>IF(OR(NOT(AND($B1298&lt;&gt;"",$C1298&lt;&gt;"",$D1298&lt;&gt;"",$E1298&lt;&gt;"")),$A1298="",$K1298&lt;&gt;"Yes"),"",IF($L1298&lt;&gt;"",$L1298,INDEX(SETUP!$I$1:$I$2000,MATCH(TRUE,SETUP!$J$1:$J$2000,0)+COUNTIFS($A$2:$A1298,"&lt;&gt;",$K$2:$K1298,"Yes",$L$2:$L1298,"")-1)))</f>
        <v/>
      </c>
      <c r="N1298" s="22"/>
    </row>
    <row r="1299" spans="1:14" x14ac:dyDescent="0.3">
      <c r="A1299" s="15" t="str">
        <f>IF(COUNTA($B1299:$E1299,$K1299)=0,"",IF(AND($B1299&lt;&gt;"",$C1299&lt;&gt;"",$D1299&lt;&gt;"",$E1299&lt;&gt;""),"TXS"&amp;TEXT(COUNTIFS($B$2:$B1299,"&lt;&gt;",$C$2:$C1299,"&lt;&gt;",$D$2:$D1299,"&lt;&gt;",$E$2:$E1299,"&lt;&gt;"),"00000"),""))</f>
        <v/>
      </c>
      <c r="B1299" s="16"/>
      <c r="C1299" s="20"/>
      <c r="D1299" s="20"/>
      <c r="E1299" s="23"/>
      <c r="H1299" s="21" t="str">
        <f t="shared" si="66"/>
        <v/>
      </c>
      <c r="I1299" s="21" t="str">
        <f t="shared" si="65"/>
        <v/>
      </c>
      <c r="J1299" s="21" t="str">
        <f t="shared" si="67"/>
        <v/>
      </c>
      <c r="K1299" s="20"/>
      <c r="L1299" s="21" t="str">
        <f>IF(OR(NOT(AND($B1299&lt;&gt;"",$C1299&lt;&gt;"",$D1299&lt;&gt;"",$E1299&lt;&gt;"")),$A1299="",$K1299&lt;&gt;"Yes"),"",IF($L1299&lt;&gt;"",$L1299,INDEX(SETUP!$I$1:$I$2000,MATCH(TRUE,SETUP!$J$1:$J$2000,0)+COUNTIFS($A$2:$A1299,"&lt;&gt;",$K$2:$K1299,"Yes",$L$2:$L1299,"")-1)))</f>
        <v/>
      </c>
      <c r="N1299" s="22"/>
    </row>
    <row r="1300" spans="1:14" x14ac:dyDescent="0.3">
      <c r="A1300" s="15" t="str">
        <f>IF(COUNTA($B1300:$E1300,$K1300)=0,"",IF(AND($B1300&lt;&gt;"",$C1300&lt;&gt;"",$D1300&lt;&gt;"",$E1300&lt;&gt;""),"TXS"&amp;TEXT(COUNTIFS($B$2:$B1300,"&lt;&gt;",$C$2:$C1300,"&lt;&gt;",$D$2:$D1300,"&lt;&gt;",$E$2:$E1300,"&lt;&gt;"),"00000"),""))</f>
        <v/>
      </c>
      <c r="B1300" s="16"/>
      <c r="C1300" s="20"/>
      <c r="D1300" s="20"/>
      <c r="E1300" s="23"/>
      <c r="H1300" s="21" t="str">
        <f t="shared" si="66"/>
        <v/>
      </c>
      <c r="I1300" s="21" t="str">
        <f t="shared" si="65"/>
        <v/>
      </c>
      <c r="J1300" s="21" t="str">
        <f t="shared" si="67"/>
        <v/>
      </c>
      <c r="K1300" s="20"/>
      <c r="L1300" s="21" t="str">
        <f>IF(OR(NOT(AND($B1300&lt;&gt;"",$C1300&lt;&gt;"",$D1300&lt;&gt;"",$E1300&lt;&gt;"")),$A1300="",$K1300&lt;&gt;"Yes"),"",IF($L1300&lt;&gt;"",$L1300,INDEX(SETUP!$I$1:$I$2000,MATCH(TRUE,SETUP!$J$1:$J$2000,0)+COUNTIFS($A$2:$A1300,"&lt;&gt;",$K$2:$K1300,"Yes",$L$2:$L1300,"")-1)))</f>
        <v/>
      </c>
      <c r="N1300" s="22"/>
    </row>
    <row r="1301" spans="1:14" x14ac:dyDescent="0.3">
      <c r="A1301" s="15" t="str">
        <f>IF(COUNTA($B1301:$E1301,$K1301)=0,"",IF(AND($B1301&lt;&gt;"",$C1301&lt;&gt;"",$D1301&lt;&gt;"",$E1301&lt;&gt;""),"TXS"&amp;TEXT(COUNTIFS($B$2:$B1301,"&lt;&gt;",$C$2:$C1301,"&lt;&gt;",$D$2:$D1301,"&lt;&gt;",$E$2:$E1301,"&lt;&gt;"),"00000"),""))</f>
        <v/>
      </c>
      <c r="B1301" s="16"/>
      <c r="C1301" s="20"/>
      <c r="D1301" s="20"/>
      <c r="E1301" s="23"/>
      <c r="H1301" s="21" t="str">
        <f t="shared" si="66"/>
        <v/>
      </c>
      <c r="I1301" s="21" t="str">
        <f t="shared" si="65"/>
        <v/>
      </c>
      <c r="J1301" s="21" t="str">
        <f t="shared" si="67"/>
        <v/>
      </c>
      <c r="K1301" s="20"/>
      <c r="L1301" s="21" t="str">
        <f>IF(OR(NOT(AND($B1301&lt;&gt;"",$C1301&lt;&gt;"",$D1301&lt;&gt;"",$E1301&lt;&gt;"")),$A1301="",$K1301&lt;&gt;"Yes"),"",IF($L1301&lt;&gt;"",$L1301,INDEX(SETUP!$I$1:$I$2000,MATCH(TRUE,SETUP!$J$1:$J$2000,0)+COUNTIFS($A$2:$A1301,"&lt;&gt;",$K$2:$K1301,"Yes",$L$2:$L1301,"")-1)))</f>
        <v/>
      </c>
      <c r="N1301" s="22"/>
    </row>
    <row r="1302" spans="1:14" x14ac:dyDescent="0.3">
      <c r="A1302" s="15" t="str">
        <f>IF(COUNTA($B1302:$E1302,$K1302)=0,"",IF(AND($B1302&lt;&gt;"",$C1302&lt;&gt;"",$D1302&lt;&gt;"",$E1302&lt;&gt;""),"TXS"&amp;TEXT(COUNTIFS($B$2:$B1302,"&lt;&gt;",$C$2:$C1302,"&lt;&gt;",$D$2:$D1302,"&lt;&gt;",$E$2:$E1302,"&lt;&gt;"),"00000"),""))</f>
        <v/>
      </c>
      <c r="B1302" s="16"/>
      <c r="C1302" s="20"/>
      <c r="D1302" s="20"/>
      <c r="E1302" s="23"/>
      <c r="H1302" s="21" t="str">
        <f t="shared" si="66"/>
        <v/>
      </c>
      <c r="I1302" s="21" t="str">
        <f t="shared" si="65"/>
        <v/>
      </c>
      <c r="J1302" s="21" t="str">
        <f t="shared" si="67"/>
        <v/>
      </c>
      <c r="K1302" s="20"/>
      <c r="L1302" s="21" t="str">
        <f>IF(OR(NOT(AND($B1302&lt;&gt;"",$C1302&lt;&gt;"",$D1302&lt;&gt;"",$E1302&lt;&gt;"")),$A1302="",$K1302&lt;&gt;"Yes"),"",IF($L1302&lt;&gt;"",$L1302,INDEX(SETUP!$I$1:$I$2000,MATCH(TRUE,SETUP!$J$1:$J$2000,0)+COUNTIFS($A$2:$A1302,"&lt;&gt;",$K$2:$K1302,"Yes",$L$2:$L1302,"")-1)))</f>
        <v/>
      </c>
      <c r="N1302" s="22"/>
    </row>
    <row r="1303" spans="1:14" x14ac:dyDescent="0.3">
      <c r="A1303" s="15" t="str">
        <f>IF(COUNTA($B1303:$E1303,$K1303)=0,"",IF(AND($B1303&lt;&gt;"",$C1303&lt;&gt;"",$D1303&lt;&gt;"",$E1303&lt;&gt;""),"TXS"&amp;TEXT(COUNTIFS($B$2:$B1303,"&lt;&gt;",$C$2:$C1303,"&lt;&gt;",$D$2:$D1303,"&lt;&gt;",$E$2:$E1303,"&lt;&gt;"),"00000"),""))</f>
        <v/>
      </c>
      <c r="B1303" s="16"/>
      <c r="C1303" s="20"/>
      <c r="D1303" s="20"/>
      <c r="E1303" s="23"/>
      <c r="H1303" s="21" t="str">
        <f t="shared" si="66"/>
        <v/>
      </c>
      <c r="I1303" s="21" t="str">
        <f t="shared" si="65"/>
        <v/>
      </c>
      <c r="J1303" s="21" t="str">
        <f t="shared" si="67"/>
        <v/>
      </c>
      <c r="K1303" s="20"/>
      <c r="L1303" s="21" t="str">
        <f>IF(OR(NOT(AND($B1303&lt;&gt;"",$C1303&lt;&gt;"",$D1303&lt;&gt;"",$E1303&lt;&gt;"")),$A1303="",$K1303&lt;&gt;"Yes"),"",IF($L1303&lt;&gt;"",$L1303,INDEX(SETUP!$I$1:$I$2000,MATCH(TRUE,SETUP!$J$1:$J$2000,0)+COUNTIFS($A$2:$A1303,"&lt;&gt;",$K$2:$K1303,"Yes",$L$2:$L1303,"")-1)))</f>
        <v/>
      </c>
      <c r="N1303" s="22"/>
    </row>
    <row r="1304" spans="1:14" x14ac:dyDescent="0.3">
      <c r="A1304" s="15" t="str">
        <f>IF(COUNTA($B1304:$E1304,$K1304)=0,"",IF(AND($B1304&lt;&gt;"",$C1304&lt;&gt;"",$D1304&lt;&gt;"",$E1304&lt;&gt;""),"TXS"&amp;TEXT(COUNTIFS($B$2:$B1304,"&lt;&gt;",$C$2:$C1304,"&lt;&gt;",$D$2:$D1304,"&lt;&gt;",$E$2:$E1304,"&lt;&gt;"),"00000"),""))</f>
        <v/>
      </c>
      <c r="B1304" s="16"/>
      <c r="C1304" s="20"/>
      <c r="D1304" s="20"/>
      <c r="E1304" s="23"/>
      <c r="H1304" s="21" t="str">
        <f t="shared" si="66"/>
        <v/>
      </c>
      <c r="I1304" s="21" t="str">
        <f t="shared" si="65"/>
        <v/>
      </c>
      <c r="J1304" s="21" t="str">
        <f t="shared" si="67"/>
        <v/>
      </c>
      <c r="K1304" s="20"/>
      <c r="L1304" s="21" t="str">
        <f>IF(OR(NOT(AND($B1304&lt;&gt;"",$C1304&lt;&gt;"",$D1304&lt;&gt;"",$E1304&lt;&gt;"")),$A1304="",$K1304&lt;&gt;"Yes"),"",IF($L1304&lt;&gt;"",$L1304,INDEX(SETUP!$I$1:$I$2000,MATCH(TRUE,SETUP!$J$1:$J$2000,0)+COUNTIFS($A$2:$A1304,"&lt;&gt;",$K$2:$K1304,"Yes",$L$2:$L1304,"")-1)))</f>
        <v/>
      </c>
      <c r="N1304" s="22"/>
    </row>
    <row r="1305" spans="1:14" x14ac:dyDescent="0.3">
      <c r="A1305" s="15" t="str">
        <f>IF(COUNTA($B1305:$E1305,$K1305)=0,"",IF(AND($B1305&lt;&gt;"",$C1305&lt;&gt;"",$D1305&lt;&gt;"",$E1305&lt;&gt;""),"TXS"&amp;TEXT(COUNTIFS($B$2:$B1305,"&lt;&gt;",$C$2:$C1305,"&lt;&gt;",$D$2:$D1305,"&lt;&gt;",$E$2:$E1305,"&lt;&gt;"),"00000"),""))</f>
        <v/>
      </c>
      <c r="B1305" s="16"/>
      <c r="C1305" s="20"/>
      <c r="D1305" s="20"/>
      <c r="E1305" s="23"/>
      <c r="H1305" s="21" t="str">
        <f t="shared" si="66"/>
        <v/>
      </c>
      <c r="I1305" s="21" t="str">
        <f t="shared" si="65"/>
        <v/>
      </c>
      <c r="J1305" s="21" t="str">
        <f t="shared" si="67"/>
        <v/>
      </c>
      <c r="K1305" s="20"/>
      <c r="L1305" s="21" t="str">
        <f>IF(OR(NOT(AND($B1305&lt;&gt;"",$C1305&lt;&gt;"",$D1305&lt;&gt;"",$E1305&lt;&gt;"")),$A1305="",$K1305&lt;&gt;"Yes"),"",IF($L1305&lt;&gt;"",$L1305,INDEX(SETUP!$I$1:$I$2000,MATCH(TRUE,SETUP!$J$1:$J$2000,0)+COUNTIFS($A$2:$A1305,"&lt;&gt;",$K$2:$K1305,"Yes",$L$2:$L1305,"")-1)))</f>
        <v/>
      </c>
      <c r="N1305" s="22"/>
    </row>
    <row r="1306" spans="1:14" x14ac:dyDescent="0.3">
      <c r="A1306" s="15" t="str">
        <f>IF(COUNTA($B1306:$E1306,$K1306)=0,"",IF(AND($B1306&lt;&gt;"",$C1306&lt;&gt;"",$D1306&lt;&gt;"",$E1306&lt;&gt;""),"TXS"&amp;TEXT(COUNTIFS($B$2:$B1306,"&lt;&gt;",$C$2:$C1306,"&lt;&gt;",$D$2:$D1306,"&lt;&gt;",$E$2:$E1306,"&lt;&gt;"),"00000"),""))</f>
        <v/>
      </c>
      <c r="B1306" s="16"/>
      <c r="C1306" s="20"/>
      <c r="D1306" s="20"/>
      <c r="E1306" s="23"/>
      <c r="H1306" s="21" t="str">
        <f t="shared" si="66"/>
        <v/>
      </c>
      <c r="I1306" s="21" t="str">
        <f t="shared" si="65"/>
        <v/>
      </c>
      <c r="J1306" s="21" t="str">
        <f t="shared" si="67"/>
        <v/>
      </c>
      <c r="K1306" s="20"/>
      <c r="L1306" s="21" t="str">
        <f>IF(OR(NOT(AND($B1306&lt;&gt;"",$C1306&lt;&gt;"",$D1306&lt;&gt;"",$E1306&lt;&gt;"")),$A1306="",$K1306&lt;&gt;"Yes"),"",IF($L1306&lt;&gt;"",$L1306,INDEX(SETUP!$I$1:$I$2000,MATCH(TRUE,SETUP!$J$1:$J$2000,0)+COUNTIFS($A$2:$A1306,"&lt;&gt;",$K$2:$K1306,"Yes",$L$2:$L1306,"")-1)))</f>
        <v/>
      </c>
      <c r="N1306" s="22"/>
    </row>
    <row r="1307" spans="1:14" x14ac:dyDescent="0.3">
      <c r="A1307" s="15" t="str">
        <f>IF(COUNTA($B1307:$E1307,$K1307)=0,"",IF(AND($B1307&lt;&gt;"",$C1307&lt;&gt;"",$D1307&lt;&gt;"",$E1307&lt;&gt;""),"TXS"&amp;TEXT(COUNTIFS($B$2:$B1307,"&lt;&gt;",$C$2:$C1307,"&lt;&gt;",$D$2:$D1307,"&lt;&gt;",$E$2:$E1307,"&lt;&gt;"),"00000"),""))</f>
        <v/>
      </c>
      <c r="B1307" s="16"/>
      <c r="C1307" s="20"/>
      <c r="D1307" s="20"/>
      <c r="E1307" s="23"/>
      <c r="H1307" s="21" t="str">
        <f t="shared" si="66"/>
        <v/>
      </c>
      <c r="I1307" s="21" t="str">
        <f t="shared" si="65"/>
        <v/>
      </c>
      <c r="J1307" s="21" t="str">
        <f t="shared" si="67"/>
        <v/>
      </c>
      <c r="K1307" s="20"/>
      <c r="L1307" s="21" t="str">
        <f>IF(OR(NOT(AND($B1307&lt;&gt;"",$C1307&lt;&gt;"",$D1307&lt;&gt;"",$E1307&lt;&gt;"")),$A1307="",$K1307&lt;&gt;"Yes"),"",IF($L1307&lt;&gt;"",$L1307,INDEX(SETUP!$I$1:$I$2000,MATCH(TRUE,SETUP!$J$1:$J$2000,0)+COUNTIFS($A$2:$A1307,"&lt;&gt;",$K$2:$K1307,"Yes",$L$2:$L1307,"")-1)))</f>
        <v/>
      </c>
      <c r="N1307" s="22"/>
    </row>
    <row r="1308" spans="1:14" x14ac:dyDescent="0.3">
      <c r="A1308" s="15" t="str">
        <f>IF(COUNTA($B1308:$E1308,$K1308)=0,"",IF(AND($B1308&lt;&gt;"",$C1308&lt;&gt;"",$D1308&lt;&gt;"",$E1308&lt;&gt;""),"TXS"&amp;TEXT(COUNTIFS($B$2:$B1308,"&lt;&gt;",$C$2:$C1308,"&lt;&gt;",$D$2:$D1308,"&lt;&gt;",$E$2:$E1308,"&lt;&gt;"),"00000"),""))</f>
        <v/>
      </c>
      <c r="B1308" s="16"/>
      <c r="C1308" s="20"/>
      <c r="D1308" s="20"/>
      <c r="E1308" s="23"/>
      <c r="H1308" s="21" t="str">
        <f t="shared" si="66"/>
        <v/>
      </c>
      <c r="I1308" s="21" t="str">
        <f t="shared" si="65"/>
        <v/>
      </c>
      <c r="J1308" s="21" t="str">
        <f t="shared" si="67"/>
        <v/>
      </c>
      <c r="K1308" s="20"/>
      <c r="L1308" s="21" t="str">
        <f>IF(OR(NOT(AND($B1308&lt;&gt;"",$C1308&lt;&gt;"",$D1308&lt;&gt;"",$E1308&lt;&gt;"")),$A1308="",$K1308&lt;&gt;"Yes"),"",IF($L1308&lt;&gt;"",$L1308,INDEX(SETUP!$I$1:$I$2000,MATCH(TRUE,SETUP!$J$1:$J$2000,0)+COUNTIFS($A$2:$A1308,"&lt;&gt;",$K$2:$K1308,"Yes",$L$2:$L1308,"")-1)))</f>
        <v/>
      </c>
      <c r="N1308" s="22"/>
    </row>
    <row r="1309" spans="1:14" x14ac:dyDescent="0.3">
      <c r="A1309" s="15" t="str">
        <f>IF(COUNTA($B1309:$E1309,$K1309)=0,"",IF(AND($B1309&lt;&gt;"",$C1309&lt;&gt;"",$D1309&lt;&gt;"",$E1309&lt;&gt;""),"TXS"&amp;TEXT(COUNTIFS($B$2:$B1309,"&lt;&gt;",$C$2:$C1309,"&lt;&gt;",$D$2:$D1309,"&lt;&gt;",$E$2:$E1309,"&lt;&gt;"),"00000"),""))</f>
        <v/>
      </c>
      <c r="B1309" s="16"/>
      <c r="C1309" s="20"/>
      <c r="D1309" s="20"/>
      <c r="E1309" s="23"/>
      <c r="H1309" s="21" t="str">
        <f t="shared" si="66"/>
        <v/>
      </c>
      <c r="I1309" s="21" t="str">
        <f t="shared" si="65"/>
        <v/>
      </c>
      <c r="J1309" s="21" t="str">
        <f t="shared" si="67"/>
        <v/>
      </c>
      <c r="K1309" s="20"/>
      <c r="L1309" s="21" t="str">
        <f>IF(OR(NOT(AND($B1309&lt;&gt;"",$C1309&lt;&gt;"",$D1309&lt;&gt;"",$E1309&lt;&gt;"")),$A1309="",$K1309&lt;&gt;"Yes"),"",IF($L1309&lt;&gt;"",$L1309,INDEX(SETUP!$I$1:$I$2000,MATCH(TRUE,SETUP!$J$1:$J$2000,0)+COUNTIFS($A$2:$A1309,"&lt;&gt;",$K$2:$K1309,"Yes",$L$2:$L1309,"")-1)))</f>
        <v/>
      </c>
      <c r="N1309" s="22"/>
    </row>
    <row r="1310" spans="1:14" x14ac:dyDescent="0.3">
      <c r="A1310" s="15" t="str">
        <f>IF(COUNTA($B1310:$E1310,$K1310)=0,"",IF(AND($B1310&lt;&gt;"",$C1310&lt;&gt;"",$D1310&lt;&gt;"",$E1310&lt;&gt;""),"TXS"&amp;TEXT(COUNTIFS($B$2:$B1310,"&lt;&gt;",$C$2:$C1310,"&lt;&gt;",$D$2:$D1310,"&lt;&gt;",$E$2:$E1310,"&lt;&gt;"),"00000"),""))</f>
        <v/>
      </c>
      <c r="B1310" s="16"/>
      <c r="C1310" s="20"/>
      <c r="D1310" s="20"/>
      <c r="E1310" s="23"/>
      <c r="H1310" s="21" t="str">
        <f t="shared" si="66"/>
        <v/>
      </c>
      <c r="I1310" s="21" t="str">
        <f t="shared" si="65"/>
        <v/>
      </c>
      <c r="J1310" s="21" t="str">
        <f t="shared" si="67"/>
        <v/>
      </c>
      <c r="K1310" s="20"/>
      <c r="L1310" s="21" t="str">
        <f>IF(OR(NOT(AND($B1310&lt;&gt;"",$C1310&lt;&gt;"",$D1310&lt;&gt;"",$E1310&lt;&gt;"")),$A1310="",$K1310&lt;&gt;"Yes"),"",IF($L1310&lt;&gt;"",$L1310,INDEX(SETUP!$I$1:$I$2000,MATCH(TRUE,SETUP!$J$1:$J$2000,0)+COUNTIFS($A$2:$A1310,"&lt;&gt;",$K$2:$K1310,"Yes",$L$2:$L1310,"")-1)))</f>
        <v/>
      </c>
      <c r="N1310" s="22"/>
    </row>
    <row r="1311" spans="1:14" x14ac:dyDescent="0.3">
      <c r="A1311" s="15" t="str">
        <f>IF(COUNTA($B1311:$E1311,$K1311)=0,"",IF(AND($B1311&lt;&gt;"",$C1311&lt;&gt;"",$D1311&lt;&gt;"",$E1311&lt;&gt;""),"TXS"&amp;TEXT(COUNTIFS($B$2:$B1311,"&lt;&gt;",$C$2:$C1311,"&lt;&gt;",$D$2:$D1311,"&lt;&gt;",$E$2:$E1311,"&lt;&gt;"),"00000"),""))</f>
        <v/>
      </c>
      <c r="B1311" s="16"/>
      <c r="C1311" s="20"/>
      <c r="D1311" s="20"/>
      <c r="E1311" s="23"/>
      <c r="H1311" s="21" t="str">
        <f t="shared" si="66"/>
        <v/>
      </c>
      <c r="I1311" s="21" t="str">
        <f t="shared" si="65"/>
        <v/>
      </c>
      <c r="J1311" s="21" t="str">
        <f t="shared" si="67"/>
        <v/>
      </c>
      <c r="K1311" s="20"/>
      <c r="L1311" s="21" t="str">
        <f>IF(OR(NOT(AND($B1311&lt;&gt;"",$C1311&lt;&gt;"",$D1311&lt;&gt;"",$E1311&lt;&gt;"")),$A1311="",$K1311&lt;&gt;"Yes"),"",IF($L1311&lt;&gt;"",$L1311,INDEX(SETUP!$I$1:$I$2000,MATCH(TRUE,SETUP!$J$1:$J$2000,0)+COUNTIFS($A$2:$A1311,"&lt;&gt;",$K$2:$K1311,"Yes",$L$2:$L1311,"")-1)))</f>
        <v/>
      </c>
      <c r="N1311" s="22"/>
    </row>
    <row r="1312" spans="1:14" x14ac:dyDescent="0.3">
      <c r="A1312" s="15" t="str">
        <f>IF(COUNTA($B1312:$E1312,$K1312)=0,"",IF(AND($B1312&lt;&gt;"",$C1312&lt;&gt;"",$D1312&lt;&gt;"",$E1312&lt;&gt;""),"TXS"&amp;TEXT(COUNTIFS($B$2:$B1312,"&lt;&gt;",$C$2:$C1312,"&lt;&gt;",$D$2:$D1312,"&lt;&gt;",$E$2:$E1312,"&lt;&gt;"),"00000"),""))</f>
        <v/>
      </c>
      <c r="B1312" s="16"/>
      <c r="C1312" s="20"/>
      <c r="D1312" s="20"/>
      <c r="E1312" s="23"/>
      <c r="H1312" s="21" t="str">
        <f t="shared" si="66"/>
        <v/>
      </c>
      <c r="I1312" s="21" t="str">
        <f t="shared" si="65"/>
        <v/>
      </c>
      <c r="J1312" s="21" t="str">
        <f t="shared" si="67"/>
        <v/>
      </c>
      <c r="K1312" s="20"/>
      <c r="L1312" s="21" t="str">
        <f>IF(OR(NOT(AND($B1312&lt;&gt;"",$C1312&lt;&gt;"",$D1312&lt;&gt;"",$E1312&lt;&gt;"")),$A1312="",$K1312&lt;&gt;"Yes"),"",IF($L1312&lt;&gt;"",$L1312,INDEX(SETUP!$I$1:$I$2000,MATCH(TRUE,SETUP!$J$1:$J$2000,0)+COUNTIFS($A$2:$A1312,"&lt;&gt;",$K$2:$K1312,"Yes",$L$2:$L1312,"")-1)))</f>
        <v/>
      </c>
      <c r="N1312" s="22"/>
    </row>
    <row r="1313" spans="1:14" x14ac:dyDescent="0.3">
      <c r="A1313" s="15" t="str">
        <f>IF(COUNTA($B1313:$E1313,$K1313)=0,"",IF(AND($B1313&lt;&gt;"",$C1313&lt;&gt;"",$D1313&lt;&gt;"",$E1313&lt;&gt;""),"TXS"&amp;TEXT(COUNTIFS($B$2:$B1313,"&lt;&gt;",$C$2:$C1313,"&lt;&gt;",$D$2:$D1313,"&lt;&gt;",$E$2:$E1313,"&lt;&gt;"),"00000"),""))</f>
        <v/>
      </c>
      <c r="B1313" s="16"/>
      <c r="C1313" s="20"/>
      <c r="D1313" s="20"/>
      <c r="E1313" s="23"/>
      <c r="H1313" s="21" t="str">
        <f t="shared" si="66"/>
        <v/>
      </c>
      <c r="I1313" s="21" t="str">
        <f t="shared" si="65"/>
        <v/>
      </c>
      <c r="J1313" s="21" t="str">
        <f t="shared" si="67"/>
        <v/>
      </c>
      <c r="K1313" s="20"/>
      <c r="L1313" s="21" t="str">
        <f>IF(OR(NOT(AND($B1313&lt;&gt;"",$C1313&lt;&gt;"",$D1313&lt;&gt;"",$E1313&lt;&gt;"")),$A1313="",$K1313&lt;&gt;"Yes"),"",IF($L1313&lt;&gt;"",$L1313,INDEX(SETUP!$I$1:$I$2000,MATCH(TRUE,SETUP!$J$1:$J$2000,0)+COUNTIFS($A$2:$A1313,"&lt;&gt;",$K$2:$K1313,"Yes",$L$2:$L1313,"")-1)))</f>
        <v/>
      </c>
      <c r="N1313" s="22"/>
    </row>
    <row r="1314" spans="1:14" x14ac:dyDescent="0.3">
      <c r="A1314" s="15" t="str">
        <f>IF(COUNTA($B1314:$E1314,$K1314)=0,"",IF(AND($B1314&lt;&gt;"",$C1314&lt;&gt;"",$D1314&lt;&gt;"",$E1314&lt;&gt;""),"TXS"&amp;TEXT(COUNTIFS($B$2:$B1314,"&lt;&gt;",$C$2:$C1314,"&lt;&gt;",$D$2:$D1314,"&lt;&gt;",$E$2:$E1314,"&lt;&gt;"),"00000"),""))</f>
        <v/>
      </c>
      <c r="B1314" s="16"/>
      <c r="C1314" s="20"/>
      <c r="D1314" s="20"/>
      <c r="E1314" s="23"/>
      <c r="H1314" s="21" t="str">
        <f t="shared" si="66"/>
        <v/>
      </c>
      <c r="I1314" s="21" t="str">
        <f t="shared" si="65"/>
        <v/>
      </c>
      <c r="J1314" s="21" t="str">
        <f t="shared" si="67"/>
        <v/>
      </c>
      <c r="K1314" s="20"/>
      <c r="L1314" s="21" t="str">
        <f>IF(OR(NOT(AND($B1314&lt;&gt;"",$C1314&lt;&gt;"",$D1314&lt;&gt;"",$E1314&lt;&gt;"")),$A1314="",$K1314&lt;&gt;"Yes"),"",IF($L1314&lt;&gt;"",$L1314,INDEX(SETUP!$I$1:$I$2000,MATCH(TRUE,SETUP!$J$1:$J$2000,0)+COUNTIFS($A$2:$A1314,"&lt;&gt;",$K$2:$K1314,"Yes",$L$2:$L1314,"")-1)))</f>
        <v/>
      </c>
      <c r="N1314" s="22"/>
    </row>
    <row r="1315" spans="1:14" x14ac:dyDescent="0.3">
      <c r="A1315" s="15" t="str">
        <f>IF(COUNTA($B1315:$E1315,$K1315)=0,"",IF(AND($B1315&lt;&gt;"",$C1315&lt;&gt;"",$D1315&lt;&gt;"",$E1315&lt;&gt;""),"TXS"&amp;TEXT(COUNTIFS($B$2:$B1315,"&lt;&gt;",$C$2:$C1315,"&lt;&gt;",$D$2:$D1315,"&lt;&gt;",$E$2:$E1315,"&lt;&gt;"),"00000"),""))</f>
        <v/>
      </c>
      <c r="B1315" s="16"/>
      <c r="C1315" s="20"/>
      <c r="D1315" s="20"/>
      <c r="E1315" s="23"/>
      <c r="H1315" s="21" t="str">
        <f t="shared" si="66"/>
        <v/>
      </c>
      <c r="I1315" s="21" t="str">
        <f t="shared" si="65"/>
        <v/>
      </c>
      <c r="J1315" s="21" t="str">
        <f t="shared" si="67"/>
        <v/>
      </c>
      <c r="K1315" s="20"/>
      <c r="L1315" s="21" t="str">
        <f>IF(OR(NOT(AND($B1315&lt;&gt;"",$C1315&lt;&gt;"",$D1315&lt;&gt;"",$E1315&lt;&gt;"")),$A1315="",$K1315&lt;&gt;"Yes"),"",IF($L1315&lt;&gt;"",$L1315,INDEX(SETUP!$I$1:$I$2000,MATCH(TRUE,SETUP!$J$1:$J$2000,0)+COUNTIFS($A$2:$A1315,"&lt;&gt;",$K$2:$K1315,"Yes",$L$2:$L1315,"")-1)))</f>
        <v/>
      </c>
      <c r="N1315" s="22"/>
    </row>
    <row r="1316" spans="1:14" x14ac:dyDescent="0.3">
      <c r="A1316" s="15" t="str">
        <f>IF(COUNTA($B1316:$E1316,$K1316)=0,"",IF(AND($B1316&lt;&gt;"",$C1316&lt;&gt;"",$D1316&lt;&gt;"",$E1316&lt;&gt;""),"TXS"&amp;TEXT(COUNTIFS($B$2:$B1316,"&lt;&gt;",$C$2:$C1316,"&lt;&gt;",$D$2:$D1316,"&lt;&gt;",$E$2:$E1316,"&lt;&gt;"),"00000"),""))</f>
        <v/>
      </c>
      <c r="B1316" s="16"/>
      <c r="C1316" s="20"/>
      <c r="D1316" s="20"/>
      <c r="E1316" s="23"/>
      <c r="H1316" s="21" t="str">
        <f t="shared" si="66"/>
        <v/>
      </c>
      <c r="I1316" s="21" t="str">
        <f t="shared" si="65"/>
        <v/>
      </c>
      <c r="J1316" s="21" t="str">
        <f t="shared" si="67"/>
        <v/>
      </c>
      <c r="K1316" s="20"/>
      <c r="L1316" s="21" t="str">
        <f>IF(OR(NOT(AND($B1316&lt;&gt;"",$C1316&lt;&gt;"",$D1316&lt;&gt;"",$E1316&lt;&gt;"")),$A1316="",$K1316&lt;&gt;"Yes"),"",IF($L1316&lt;&gt;"",$L1316,INDEX(SETUP!$I$1:$I$2000,MATCH(TRUE,SETUP!$J$1:$J$2000,0)+COUNTIFS($A$2:$A1316,"&lt;&gt;",$K$2:$K1316,"Yes",$L$2:$L1316,"")-1)))</f>
        <v/>
      </c>
      <c r="N1316" s="22"/>
    </row>
    <row r="1317" spans="1:14" x14ac:dyDescent="0.3">
      <c r="A1317" s="15" t="str">
        <f>IF(COUNTA($B1317:$E1317,$K1317)=0,"",IF(AND($B1317&lt;&gt;"",$C1317&lt;&gt;"",$D1317&lt;&gt;"",$E1317&lt;&gt;""),"TXS"&amp;TEXT(COUNTIFS($B$2:$B1317,"&lt;&gt;",$C$2:$C1317,"&lt;&gt;",$D$2:$D1317,"&lt;&gt;",$E$2:$E1317,"&lt;&gt;"),"00000"),""))</f>
        <v/>
      </c>
      <c r="B1317" s="16"/>
      <c r="C1317" s="20"/>
      <c r="D1317" s="20"/>
      <c r="E1317" s="23"/>
      <c r="H1317" s="21" t="str">
        <f t="shared" si="66"/>
        <v/>
      </c>
      <c r="I1317" s="21" t="str">
        <f t="shared" si="65"/>
        <v/>
      </c>
      <c r="J1317" s="21" t="str">
        <f t="shared" si="67"/>
        <v/>
      </c>
      <c r="K1317" s="20"/>
      <c r="L1317" s="21" t="str">
        <f>IF(OR(NOT(AND($B1317&lt;&gt;"",$C1317&lt;&gt;"",$D1317&lt;&gt;"",$E1317&lt;&gt;"")),$A1317="",$K1317&lt;&gt;"Yes"),"",IF($L1317&lt;&gt;"",$L1317,INDEX(SETUP!$I$1:$I$2000,MATCH(TRUE,SETUP!$J$1:$J$2000,0)+COUNTIFS($A$2:$A1317,"&lt;&gt;",$K$2:$K1317,"Yes",$L$2:$L1317,"")-1)))</f>
        <v/>
      </c>
      <c r="N1317" s="22"/>
    </row>
    <row r="1318" spans="1:14" x14ac:dyDescent="0.3">
      <c r="A1318" s="15" t="str">
        <f>IF(COUNTA($B1318:$E1318,$K1318)=0,"",IF(AND($B1318&lt;&gt;"",$C1318&lt;&gt;"",$D1318&lt;&gt;"",$E1318&lt;&gt;""),"TXS"&amp;TEXT(COUNTIFS($B$2:$B1318,"&lt;&gt;",$C$2:$C1318,"&lt;&gt;",$D$2:$D1318,"&lt;&gt;",$E$2:$E1318,"&lt;&gt;"),"00000"),""))</f>
        <v/>
      </c>
      <c r="B1318" s="16"/>
      <c r="C1318" s="20"/>
      <c r="D1318" s="20"/>
      <c r="E1318" s="23"/>
      <c r="H1318" s="21" t="str">
        <f t="shared" si="66"/>
        <v/>
      </c>
      <c r="I1318" s="21" t="str">
        <f t="shared" si="65"/>
        <v/>
      </c>
      <c r="J1318" s="21" t="str">
        <f t="shared" si="67"/>
        <v/>
      </c>
      <c r="K1318" s="20"/>
      <c r="L1318" s="21" t="str">
        <f>IF(OR(NOT(AND($B1318&lt;&gt;"",$C1318&lt;&gt;"",$D1318&lt;&gt;"",$E1318&lt;&gt;"")),$A1318="",$K1318&lt;&gt;"Yes"),"",IF($L1318&lt;&gt;"",$L1318,INDEX(SETUP!$I$1:$I$2000,MATCH(TRUE,SETUP!$J$1:$J$2000,0)+COUNTIFS($A$2:$A1318,"&lt;&gt;",$K$2:$K1318,"Yes",$L$2:$L1318,"")-1)))</f>
        <v/>
      </c>
      <c r="N1318" s="22"/>
    </row>
    <row r="1319" spans="1:14" x14ac:dyDescent="0.3">
      <c r="A1319" s="15" t="str">
        <f>IF(COUNTA($B1319:$E1319,$K1319)=0,"",IF(AND($B1319&lt;&gt;"",$C1319&lt;&gt;"",$D1319&lt;&gt;"",$E1319&lt;&gt;""),"TXS"&amp;TEXT(COUNTIFS($B$2:$B1319,"&lt;&gt;",$C$2:$C1319,"&lt;&gt;",$D$2:$D1319,"&lt;&gt;",$E$2:$E1319,"&lt;&gt;"),"00000"),""))</f>
        <v/>
      </c>
      <c r="B1319" s="16"/>
      <c r="C1319" s="20"/>
      <c r="D1319" s="20"/>
      <c r="E1319" s="23"/>
      <c r="H1319" s="21" t="str">
        <f t="shared" si="66"/>
        <v/>
      </c>
      <c r="I1319" s="21" t="str">
        <f t="shared" si="65"/>
        <v/>
      </c>
      <c r="J1319" s="21" t="str">
        <f t="shared" si="67"/>
        <v/>
      </c>
      <c r="K1319" s="20"/>
      <c r="L1319" s="21" t="str">
        <f>IF(OR(NOT(AND($B1319&lt;&gt;"",$C1319&lt;&gt;"",$D1319&lt;&gt;"",$E1319&lt;&gt;"")),$A1319="",$K1319&lt;&gt;"Yes"),"",IF($L1319&lt;&gt;"",$L1319,INDEX(SETUP!$I$1:$I$2000,MATCH(TRUE,SETUP!$J$1:$J$2000,0)+COUNTIFS($A$2:$A1319,"&lt;&gt;",$K$2:$K1319,"Yes",$L$2:$L1319,"")-1)))</f>
        <v/>
      </c>
      <c r="N1319" s="22"/>
    </row>
    <row r="1320" spans="1:14" x14ac:dyDescent="0.3">
      <c r="A1320" s="15" t="str">
        <f>IF(COUNTA($B1320:$E1320,$K1320)=0,"",IF(AND($B1320&lt;&gt;"",$C1320&lt;&gt;"",$D1320&lt;&gt;"",$E1320&lt;&gt;""),"TXS"&amp;TEXT(COUNTIFS($B$2:$B1320,"&lt;&gt;",$C$2:$C1320,"&lt;&gt;",$D$2:$D1320,"&lt;&gt;",$E$2:$E1320,"&lt;&gt;"),"00000"),""))</f>
        <v/>
      </c>
      <c r="B1320" s="16"/>
      <c r="C1320" s="20"/>
      <c r="D1320" s="20"/>
      <c r="E1320" s="23"/>
      <c r="H1320" s="21" t="str">
        <f t="shared" si="66"/>
        <v/>
      </c>
      <c r="I1320" s="21" t="str">
        <f t="shared" si="65"/>
        <v/>
      </c>
      <c r="J1320" s="21" t="str">
        <f t="shared" si="67"/>
        <v/>
      </c>
      <c r="K1320" s="20"/>
      <c r="L1320" s="21" t="str">
        <f>IF(OR(NOT(AND($B1320&lt;&gt;"",$C1320&lt;&gt;"",$D1320&lt;&gt;"",$E1320&lt;&gt;"")),$A1320="",$K1320&lt;&gt;"Yes"),"",IF($L1320&lt;&gt;"",$L1320,INDEX(SETUP!$I$1:$I$2000,MATCH(TRUE,SETUP!$J$1:$J$2000,0)+COUNTIFS($A$2:$A1320,"&lt;&gt;",$K$2:$K1320,"Yes",$L$2:$L1320,"")-1)))</f>
        <v/>
      </c>
      <c r="N1320" s="22"/>
    </row>
    <row r="1321" spans="1:14" x14ac:dyDescent="0.3">
      <c r="A1321" s="15" t="str">
        <f>IF(COUNTA($B1321:$E1321,$K1321)=0,"",IF(AND($B1321&lt;&gt;"",$C1321&lt;&gt;"",$D1321&lt;&gt;"",$E1321&lt;&gt;""),"TXS"&amp;TEXT(COUNTIFS($B$2:$B1321,"&lt;&gt;",$C$2:$C1321,"&lt;&gt;",$D$2:$D1321,"&lt;&gt;",$E$2:$E1321,"&lt;&gt;"),"00000"),""))</f>
        <v/>
      </c>
      <c r="B1321" s="16"/>
      <c r="C1321" s="20"/>
      <c r="D1321" s="20"/>
      <c r="E1321" s="23"/>
      <c r="H1321" s="21" t="str">
        <f t="shared" si="66"/>
        <v/>
      </c>
      <c r="I1321" s="21" t="str">
        <f t="shared" ref="I1321:I1384" si="68">IF(NOT(AND($B1321&lt;&gt;"",$C1321&lt;&gt;"",$D1321&lt;&gt;"",$E1321&lt;&gt;"")),"",IF($A1321="","","NIH plate "&amp;INT((VALUE(RIGHT($A1321,5))-1)/96)+1&amp;": "&amp;CHAR(65+INT(MOD(VALUE(RIGHT($A1321,5))-1,96)/12))&amp;(MOD(VALUE(RIGHT($A1321,5))-1,12)+1)))</f>
        <v/>
      </c>
      <c r="J1321" s="21" t="str">
        <f t="shared" si="67"/>
        <v/>
      </c>
      <c r="K1321" s="20"/>
      <c r="L1321" s="21" t="str">
        <f>IF(OR(NOT(AND($B1321&lt;&gt;"",$C1321&lt;&gt;"",$D1321&lt;&gt;"",$E1321&lt;&gt;"")),$A1321="",$K1321&lt;&gt;"Yes"),"",IF($L1321&lt;&gt;"",$L1321,INDEX(SETUP!$I$1:$I$2000,MATCH(TRUE,SETUP!$J$1:$J$2000,0)+COUNTIFS($A$2:$A1321,"&lt;&gt;",$K$2:$K1321,"Yes",$L$2:$L1321,"")-1)))</f>
        <v/>
      </c>
      <c r="N1321" s="22"/>
    </row>
    <row r="1322" spans="1:14" x14ac:dyDescent="0.3">
      <c r="A1322" s="15" t="str">
        <f>IF(COUNTA($B1322:$E1322,$K1322)=0,"",IF(AND($B1322&lt;&gt;"",$C1322&lt;&gt;"",$D1322&lt;&gt;"",$E1322&lt;&gt;""),"TXS"&amp;TEXT(COUNTIFS($B$2:$B1322,"&lt;&gt;",$C$2:$C1322,"&lt;&gt;",$D$2:$D1322,"&lt;&gt;",$E$2:$E1322,"&lt;&gt;"),"00000"),""))</f>
        <v/>
      </c>
      <c r="B1322" s="16"/>
      <c r="C1322" s="20"/>
      <c r="D1322" s="20"/>
      <c r="E1322" s="23"/>
      <c r="H1322" s="21" t="str">
        <f t="shared" si="66"/>
        <v/>
      </c>
      <c r="I1322" s="21" t="str">
        <f t="shared" si="68"/>
        <v/>
      </c>
      <c r="J1322" s="21" t="str">
        <f t="shared" si="67"/>
        <v/>
      </c>
      <c r="K1322" s="20"/>
      <c r="L1322" s="21" t="str">
        <f>IF(OR(NOT(AND($B1322&lt;&gt;"",$C1322&lt;&gt;"",$D1322&lt;&gt;"",$E1322&lt;&gt;"")),$A1322="",$K1322&lt;&gt;"Yes"),"",IF($L1322&lt;&gt;"",$L1322,INDEX(SETUP!$I$1:$I$2000,MATCH(TRUE,SETUP!$J$1:$J$2000,0)+COUNTIFS($A$2:$A1322,"&lt;&gt;",$K$2:$K1322,"Yes",$L$2:$L1322,"")-1)))</f>
        <v/>
      </c>
      <c r="N1322" s="22"/>
    </row>
    <row r="1323" spans="1:14" x14ac:dyDescent="0.3">
      <c r="A1323" s="15" t="str">
        <f>IF(COUNTA($B1323:$E1323,$K1323)=0,"",IF(AND($B1323&lt;&gt;"",$C1323&lt;&gt;"",$D1323&lt;&gt;"",$E1323&lt;&gt;""),"TXS"&amp;TEXT(COUNTIFS($B$2:$B1323,"&lt;&gt;",$C$2:$C1323,"&lt;&gt;",$D$2:$D1323,"&lt;&gt;",$E$2:$E1323,"&lt;&gt;"),"00000"),""))</f>
        <v/>
      </c>
      <c r="B1323" s="16"/>
      <c r="C1323" s="20"/>
      <c r="D1323" s="20"/>
      <c r="E1323" s="23"/>
      <c r="H1323" s="21" t="str">
        <f t="shared" si="66"/>
        <v/>
      </c>
      <c r="I1323" s="21" t="str">
        <f t="shared" si="68"/>
        <v/>
      </c>
      <c r="J1323" s="21" t="str">
        <f t="shared" si="67"/>
        <v/>
      </c>
      <c r="K1323" s="20"/>
      <c r="L1323" s="21" t="str">
        <f>IF(OR(NOT(AND($B1323&lt;&gt;"",$C1323&lt;&gt;"",$D1323&lt;&gt;"",$E1323&lt;&gt;"")),$A1323="",$K1323&lt;&gt;"Yes"),"",IF($L1323&lt;&gt;"",$L1323,INDEX(SETUP!$I$1:$I$2000,MATCH(TRUE,SETUP!$J$1:$J$2000,0)+COUNTIFS($A$2:$A1323,"&lt;&gt;",$K$2:$K1323,"Yes",$L$2:$L1323,"")-1)))</f>
        <v/>
      </c>
      <c r="N1323" s="22"/>
    </row>
    <row r="1324" spans="1:14" x14ac:dyDescent="0.3">
      <c r="A1324" s="15" t="str">
        <f>IF(COUNTA($B1324:$E1324,$K1324)=0,"",IF(AND($B1324&lt;&gt;"",$C1324&lt;&gt;"",$D1324&lt;&gt;"",$E1324&lt;&gt;""),"TXS"&amp;TEXT(COUNTIFS($B$2:$B1324,"&lt;&gt;",$C$2:$C1324,"&lt;&gt;",$D$2:$D1324,"&lt;&gt;",$E$2:$E1324,"&lt;&gt;"),"00000"),""))</f>
        <v/>
      </c>
      <c r="B1324" s="16"/>
      <c r="C1324" s="20"/>
      <c r="D1324" s="20"/>
      <c r="E1324" s="23"/>
      <c r="H1324" s="21" t="str">
        <f t="shared" si="66"/>
        <v/>
      </c>
      <c r="I1324" s="21" t="str">
        <f t="shared" si="68"/>
        <v/>
      </c>
      <c r="J1324" s="21" t="str">
        <f t="shared" si="67"/>
        <v/>
      </c>
      <c r="K1324" s="20"/>
      <c r="L1324" s="21" t="str">
        <f>IF(OR(NOT(AND($B1324&lt;&gt;"",$C1324&lt;&gt;"",$D1324&lt;&gt;"",$E1324&lt;&gt;"")),$A1324="",$K1324&lt;&gt;"Yes"),"",IF($L1324&lt;&gt;"",$L1324,INDEX(SETUP!$I$1:$I$2000,MATCH(TRUE,SETUP!$J$1:$J$2000,0)+COUNTIFS($A$2:$A1324,"&lt;&gt;",$K$2:$K1324,"Yes",$L$2:$L1324,"")-1)))</f>
        <v/>
      </c>
      <c r="N1324" s="22"/>
    </row>
    <row r="1325" spans="1:14" x14ac:dyDescent="0.3">
      <c r="A1325" s="15" t="str">
        <f>IF(COUNTA($B1325:$E1325,$K1325)=0,"",IF(AND($B1325&lt;&gt;"",$C1325&lt;&gt;"",$D1325&lt;&gt;"",$E1325&lt;&gt;""),"TXS"&amp;TEXT(COUNTIFS($B$2:$B1325,"&lt;&gt;",$C$2:$C1325,"&lt;&gt;",$D$2:$D1325,"&lt;&gt;",$E$2:$E1325,"&lt;&gt;"),"00000"),""))</f>
        <v/>
      </c>
      <c r="B1325" s="16"/>
      <c r="C1325" s="20"/>
      <c r="D1325" s="20"/>
      <c r="E1325" s="23"/>
      <c r="H1325" s="21" t="str">
        <f t="shared" si="66"/>
        <v/>
      </c>
      <c r="I1325" s="21" t="str">
        <f t="shared" si="68"/>
        <v/>
      </c>
      <c r="J1325" s="21" t="str">
        <f t="shared" si="67"/>
        <v/>
      </c>
      <c r="K1325" s="20"/>
      <c r="L1325" s="21" t="str">
        <f>IF(OR(NOT(AND($B1325&lt;&gt;"",$C1325&lt;&gt;"",$D1325&lt;&gt;"",$E1325&lt;&gt;"")),$A1325="",$K1325&lt;&gt;"Yes"),"",IF($L1325&lt;&gt;"",$L1325,INDEX(SETUP!$I$1:$I$2000,MATCH(TRUE,SETUP!$J$1:$J$2000,0)+COUNTIFS($A$2:$A1325,"&lt;&gt;",$K$2:$K1325,"Yes",$L$2:$L1325,"")-1)))</f>
        <v/>
      </c>
      <c r="N1325" s="22"/>
    </row>
    <row r="1326" spans="1:14" x14ac:dyDescent="0.3">
      <c r="A1326" s="15" t="str">
        <f>IF(COUNTA($B1326:$E1326,$K1326)=0,"",IF(AND($B1326&lt;&gt;"",$C1326&lt;&gt;"",$D1326&lt;&gt;"",$E1326&lt;&gt;""),"TXS"&amp;TEXT(COUNTIFS($B$2:$B1326,"&lt;&gt;",$C$2:$C1326,"&lt;&gt;",$D$2:$D1326,"&lt;&gt;",$E$2:$E1326,"&lt;&gt;"),"00000"),""))</f>
        <v/>
      </c>
      <c r="B1326" s="16"/>
      <c r="C1326" s="20"/>
      <c r="D1326" s="20"/>
      <c r="E1326" s="23"/>
      <c r="H1326" s="21" t="str">
        <f t="shared" si="66"/>
        <v/>
      </c>
      <c r="I1326" s="21" t="str">
        <f t="shared" si="68"/>
        <v/>
      </c>
      <c r="J1326" s="21" t="str">
        <f t="shared" si="67"/>
        <v/>
      </c>
      <c r="K1326" s="20"/>
      <c r="L1326" s="21" t="str">
        <f>IF(OR(NOT(AND($B1326&lt;&gt;"",$C1326&lt;&gt;"",$D1326&lt;&gt;"",$E1326&lt;&gt;"")),$A1326="",$K1326&lt;&gt;"Yes"),"",IF($L1326&lt;&gt;"",$L1326,INDEX(SETUP!$I$1:$I$2000,MATCH(TRUE,SETUP!$J$1:$J$2000,0)+COUNTIFS($A$2:$A1326,"&lt;&gt;",$K$2:$K1326,"Yes",$L$2:$L1326,"")-1)))</f>
        <v/>
      </c>
      <c r="N1326" s="22"/>
    </row>
    <row r="1327" spans="1:14" x14ac:dyDescent="0.3">
      <c r="A1327" s="15" t="str">
        <f>IF(COUNTA($B1327:$E1327,$K1327)=0,"",IF(AND($B1327&lt;&gt;"",$C1327&lt;&gt;"",$D1327&lt;&gt;"",$E1327&lt;&gt;""),"TXS"&amp;TEXT(COUNTIFS($B$2:$B1327,"&lt;&gt;",$C$2:$C1327,"&lt;&gt;",$D$2:$D1327,"&lt;&gt;",$E$2:$E1327,"&lt;&gt;"),"00000"),""))</f>
        <v/>
      </c>
      <c r="B1327" s="16"/>
      <c r="C1327" s="20"/>
      <c r="D1327" s="20"/>
      <c r="E1327" s="23"/>
      <c r="H1327" s="21" t="str">
        <f t="shared" ref="H1327:H1390" si="69">IF(NOT(AND($B1327&lt;&gt;"",$C1327&lt;&gt;"",$D1327&lt;&gt;"",$E1327&lt;&gt;"")),"",IF($A1327="","","CDI plate "&amp;INT((VALUE(RIGHT($A1327,5))-1)/96)+1&amp;": "&amp;CHAR(65+INT(MOD(VALUE(RIGHT($A1327,5))-1,96)/12))&amp;(MOD(VALUE(RIGHT($A1327,5))-1,12)+1)))</f>
        <v/>
      </c>
      <c r="I1327" s="21" t="str">
        <f t="shared" si="68"/>
        <v/>
      </c>
      <c r="J1327" s="21" t="str">
        <f t="shared" si="67"/>
        <v/>
      </c>
      <c r="K1327" s="20"/>
      <c r="L1327" s="21" t="str">
        <f>IF(OR(NOT(AND($B1327&lt;&gt;"",$C1327&lt;&gt;"",$D1327&lt;&gt;"",$E1327&lt;&gt;"")),$A1327="",$K1327&lt;&gt;"Yes"),"",IF($L1327&lt;&gt;"",$L1327,INDEX(SETUP!$I$1:$I$2000,MATCH(TRUE,SETUP!$J$1:$J$2000,0)+COUNTIFS($A$2:$A1327,"&lt;&gt;",$K$2:$K1327,"Yes",$L$2:$L1327,"")-1)))</f>
        <v/>
      </c>
      <c r="N1327" s="22"/>
    </row>
    <row r="1328" spans="1:14" x14ac:dyDescent="0.3">
      <c r="A1328" s="15" t="str">
        <f>IF(COUNTA($B1328:$E1328,$K1328)=0,"",IF(AND($B1328&lt;&gt;"",$C1328&lt;&gt;"",$D1328&lt;&gt;"",$E1328&lt;&gt;""),"TXS"&amp;TEXT(COUNTIFS($B$2:$B1328,"&lt;&gt;",$C$2:$C1328,"&lt;&gt;",$D$2:$D1328,"&lt;&gt;",$E$2:$E1328,"&lt;&gt;"),"00000"),""))</f>
        <v/>
      </c>
      <c r="B1328" s="16"/>
      <c r="C1328" s="20"/>
      <c r="D1328" s="20"/>
      <c r="E1328" s="23"/>
      <c r="H1328" s="21" t="str">
        <f t="shared" si="69"/>
        <v/>
      </c>
      <c r="I1328" s="21" t="str">
        <f t="shared" si="68"/>
        <v/>
      </c>
      <c r="J1328" s="21" t="str">
        <f t="shared" si="67"/>
        <v/>
      </c>
      <c r="K1328" s="20"/>
      <c r="L1328" s="21" t="str">
        <f>IF(OR(NOT(AND($B1328&lt;&gt;"",$C1328&lt;&gt;"",$D1328&lt;&gt;"",$E1328&lt;&gt;"")),$A1328="",$K1328&lt;&gt;"Yes"),"",IF($L1328&lt;&gt;"",$L1328,INDEX(SETUP!$I$1:$I$2000,MATCH(TRUE,SETUP!$J$1:$J$2000,0)+COUNTIFS($A$2:$A1328,"&lt;&gt;",$K$2:$K1328,"Yes",$L$2:$L1328,"")-1)))</f>
        <v/>
      </c>
      <c r="N1328" s="22"/>
    </row>
    <row r="1329" spans="1:14" x14ac:dyDescent="0.3">
      <c r="A1329" s="15" t="str">
        <f>IF(COUNTA($B1329:$E1329,$K1329)=0,"",IF(AND($B1329&lt;&gt;"",$C1329&lt;&gt;"",$D1329&lt;&gt;"",$E1329&lt;&gt;""),"TXS"&amp;TEXT(COUNTIFS($B$2:$B1329,"&lt;&gt;",$C$2:$C1329,"&lt;&gt;",$D$2:$D1329,"&lt;&gt;",$E$2:$E1329,"&lt;&gt;"),"00000"),""))</f>
        <v/>
      </c>
      <c r="B1329" s="16"/>
      <c r="C1329" s="20"/>
      <c r="D1329" s="20"/>
      <c r="E1329" s="23"/>
      <c r="H1329" s="21" t="str">
        <f t="shared" si="69"/>
        <v/>
      </c>
      <c r="I1329" s="21" t="str">
        <f t="shared" si="68"/>
        <v/>
      </c>
      <c r="J1329" s="21" t="str">
        <f t="shared" si="67"/>
        <v/>
      </c>
      <c r="K1329" s="20"/>
      <c r="L1329" s="21" t="str">
        <f>IF(OR(NOT(AND($B1329&lt;&gt;"",$C1329&lt;&gt;"",$D1329&lt;&gt;"",$E1329&lt;&gt;"")),$A1329="",$K1329&lt;&gt;"Yes"),"",IF($L1329&lt;&gt;"",$L1329,INDEX(SETUP!$I$1:$I$2000,MATCH(TRUE,SETUP!$J$1:$J$2000,0)+COUNTIFS($A$2:$A1329,"&lt;&gt;",$K$2:$K1329,"Yes",$L$2:$L1329,"")-1)))</f>
        <v/>
      </c>
      <c r="N1329" s="22"/>
    </row>
    <row r="1330" spans="1:14" x14ac:dyDescent="0.3">
      <c r="A1330" s="15" t="str">
        <f>IF(COUNTA($B1330:$E1330,$K1330)=0,"",IF(AND($B1330&lt;&gt;"",$C1330&lt;&gt;"",$D1330&lt;&gt;"",$E1330&lt;&gt;""),"TXS"&amp;TEXT(COUNTIFS($B$2:$B1330,"&lt;&gt;",$C$2:$C1330,"&lt;&gt;",$D$2:$D1330,"&lt;&gt;",$E$2:$E1330,"&lt;&gt;"),"00000"),""))</f>
        <v/>
      </c>
      <c r="B1330" s="16"/>
      <c r="C1330" s="20"/>
      <c r="D1330" s="20"/>
      <c r="E1330" s="23"/>
      <c r="H1330" s="21" t="str">
        <f t="shared" si="69"/>
        <v/>
      </c>
      <c r="I1330" s="21" t="str">
        <f t="shared" si="68"/>
        <v/>
      </c>
      <c r="J1330" s="21" t="str">
        <f t="shared" ref="J1330:J1393" si="70">IF(NOT(AND($B1330&lt;&gt;"",$C1330&lt;&gt;"",$D1330&lt;&gt;"",$E1330&lt;&gt;"")),"",IF($A1330="","","Max Planck plate "&amp;INT((VALUE(RIGHT($A1330,5))-1)/96)+1&amp;": "&amp;CHAR(65+INT(MOD(VALUE(RIGHT($A1330,5))-1,96)/12))&amp;(MOD(VALUE(RIGHT($A1330,5))-1,12)+1)))</f>
        <v/>
      </c>
      <c r="K1330" s="20"/>
      <c r="L1330" s="21" t="str">
        <f>IF(OR(NOT(AND($B1330&lt;&gt;"",$C1330&lt;&gt;"",$D1330&lt;&gt;"",$E1330&lt;&gt;"")),$A1330="",$K1330&lt;&gt;"Yes"),"",IF($L1330&lt;&gt;"",$L1330,INDEX(SETUP!$I$1:$I$2000,MATCH(TRUE,SETUP!$J$1:$J$2000,0)+COUNTIFS($A$2:$A1330,"&lt;&gt;",$K$2:$K1330,"Yes",$L$2:$L1330,"")-1)))</f>
        <v/>
      </c>
      <c r="N1330" s="22"/>
    </row>
    <row r="1331" spans="1:14" x14ac:dyDescent="0.3">
      <c r="A1331" s="15" t="str">
        <f>IF(COUNTA($B1331:$E1331,$K1331)=0,"",IF(AND($B1331&lt;&gt;"",$C1331&lt;&gt;"",$D1331&lt;&gt;"",$E1331&lt;&gt;""),"TXS"&amp;TEXT(COUNTIFS($B$2:$B1331,"&lt;&gt;",$C$2:$C1331,"&lt;&gt;",$D$2:$D1331,"&lt;&gt;",$E$2:$E1331,"&lt;&gt;"),"00000"),""))</f>
        <v/>
      </c>
      <c r="B1331" s="16"/>
      <c r="C1331" s="20"/>
      <c r="D1331" s="20"/>
      <c r="E1331" s="23"/>
      <c r="H1331" s="21" t="str">
        <f t="shared" si="69"/>
        <v/>
      </c>
      <c r="I1331" s="21" t="str">
        <f t="shared" si="68"/>
        <v/>
      </c>
      <c r="J1331" s="21" t="str">
        <f t="shared" si="70"/>
        <v/>
      </c>
      <c r="K1331" s="20"/>
      <c r="L1331" s="21" t="str">
        <f>IF(OR(NOT(AND($B1331&lt;&gt;"",$C1331&lt;&gt;"",$D1331&lt;&gt;"",$E1331&lt;&gt;"")),$A1331="",$K1331&lt;&gt;"Yes"),"",IF($L1331&lt;&gt;"",$L1331,INDEX(SETUP!$I$1:$I$2000,MATCH(TRUE,SETUP!$J$1:$J$2000,0)+COUNTIFS($A$2:$A1331,"&lt;&gt;",$K$2:$K1331,"Yes",$L$2:$L1331,"")-1)))</f>
        <v/>
      </c>
      <c r="N1331" s="22"/>
    </row>
    <row r="1332" spans="1:14" x14ac:dyDescent="0.3">
      <c r="A1332" s="15" t="str">
        <f>IF(COUNTA($B1332:$E1332,$K1332)=0,"",IF(AND($B1332&lt;&gt;"",$C1332&lt;&gt;"",$D1332&lt;&gt;"",$E1332&lt;&gt;""),"TXS"&amp;TEXT(COUNTIFS($B$2:$B1332,"&lt;&gt;",$C$2:$C1332,"&lt;&gt;",$D$2:$D1332,"&lt;&gt;",$E$2:$E1332,"&lt;&gt;"),"00000"),""))</f>
        <v/>
      </c>
      <c r="B1332" s="16"/>
      <c r="C1332" s="20"/>
      <c r="D1332" s="20"/>
      <c r="E1332" s="23"/>
      <c r="H1332" s="21" t="str">
        <f t="shared" si="69"/>
        <v/>
      </c>
      <c r="I1332" s="21" t="str">
        <f t="shared" si="68"/>
        <v/>
      </c>
      <c r="J1332" s="21" t="str">
        <f t="shared" si="70"/>
        <v/>
      </c>
      <c r="K1332" s="20"/>
      <c r="L1332" s="21" t="str">
        <f>IF(OR(NOT(AND($B1332&lt;&gt;"",$C1332&lt;&gt;"",$D1332&lt;&gt;"",$E1332&lt;&gt;"")),$A1332="",$K1332&lt;&gt;"Yes"),"",IF($L1332&lt;&gt;"",$L1332,INDEX(SETUP!$I$1:$I$2000,MATCH(TRUE,SETUP!$J$1:$J$2000,0)+COUNTIFS($A$2:$A1332,"&lt;&gt;",$K$2:$K1332,"Yes",$L$2:$L1332,"")-1)))</f>
        <v/>
      </c>
      <c r="N1332" s="22"/>
    </row>
    <row r="1333" spans="1:14" x14ac:dyDescent="0.3">
      <c r="A1333" s="15" t="str">
        <f>IF(COUNTA($B1333:$E1333,$K1333)=0,"",IF(AND($B1333&lt;&gt;"",$C1333&lt;&gt;"",$D1333&lt;&gt;"",$E1333&lt;&gt;""),"TXS"&amp;TEXT(COUNTIFS($B$2:$B1333,"&lt;&gt;",$C$2:$C1333,"&lt;&gt;",$D$2:$D1333,"&lt;&gt;",$E$2:$E1333,"&lt;&gt;"),"00000"),""))</f>
        <v/>
      </c>
      <c r="B1333" s="16"/>
      <c r="C1333" s="20"/>
      <c r="D1333" s="20"/>
      <c r="E1333" s="23"/>
      <c r="H1333" s="21" t="str">
        <f t="shared" si="69"/>
        <v/>
      </c>
      <c r="I1333" s="21" t="str">
        <f t="shared" si="68"/>
        <v/>
      </c>
      <c r="J1333" s="21" t="str">
        <f t="shared" si="70"/>
        <v/>
      </c>
      <c r="K1333" s="20"/>
      <c r="L1333" s="21" t="str">
        <f>IF(OR(NOT(AND($B1333&lt;&gt;"",$C1333&lt;&gt;"",$D1333&lt;&gt;"",$E1333&lt;&gt;"")),$A1333="",$K1333&lt;&gt;"Yes"),"",IF($L1333&lt;&gt;"",$L1333,INDEX(SETUP!$I$1:$I$2000,MATCH(TRUE,SETUP!$J$1:$J$2000,0)+COUNTIFS($A$2:$A1333,"&lt;&gt;",$K$2:$K1333,"Yes",$L$2:$L1333,"")-1)))</f>
        <v/>
      </c>
      <c r="N1333" s="22"/>
    </row>
    <row r="1334" spans="1:14" x14ac:dyDescent="0.3">
      <c r="A1334" s="15" t="str">
        <f>IF(COUNTA($B1334:$E1334,$K1334)=0,"",IF(AND($B1334&lt;&gt;"",$C1334&lt;&gt;"",$D1334&lt;&gt;"",$E1334&lt;&gt;""),"TXS"&amp;TEXT(COUNTIFS($B$2:$B1334,"&lt;&gt;",$C$2:$C1334,"&lt;&gt;",$D$2:$D1334,"&lt;&gt;",$E$2:$E1334,"&lt;&gt;"),"00000"),""))</f>
        <v/>
      </c>
      <c r="B1334" s="16"/>
      <c r="C1334" s="20"/>
      <c r="D1334" s="20"/>
      <c r="E1334" s="23"/>
      <c r="H1334" s="21" t="str">
        <f t="shared" si="69"/>
        <v/>
      </c>
      <c r="I1334" s="21" t="str">
        <f t="shared" si="68"/>
        <v/>
      </c>
      <c r="J1334" s="21" t="str">
        <f t="shared" si="70"/>
        <v/>
      </c>
      <c r="K1334" s="20"/>
      <c r="L1334" s="21" t="str">
        <f>IF(OR(NOT(AND($B1334&lt;&gt;"",$C1334&lt;&gt;"",$D1334&lt;&gt;"",$E1334&lt;&gt;"")),$A1334="",$K1334&lt;&gt;"Yes"),"",IF($L1334&lt;&gt;"",$L1334,INDEX(SETUP!$I$1:$I$2000,MATCH(TRUE,SETUP!$J$1:$J$2000,0)+COUNTIFS($A$2:$A1334,"&lt;&gt;",$K$2:$K1334,"Yes",$L$2:$L1334,"")-1)))</f>
        <v/>
      </c>
      <c r="N1334" s="22"/>
    </row>
    <row r="1335" spans="1:14" x14ac:dyDescent="0.3">
      <c r="A1335" s="15" t="str">
        <f>IF(COUNTA($B1335:$E1335,$K1335)=0,"",IF(AND($B1335&lt;&gt;"",$C1335&lt;&gt;"",$D1335&lt;&gt;"",$E1335&lt;&gt;""),"TXS"&amp;TEXT(COUNTIFS($B$2:$B1335,"&lt;&gt;",$C$2:$C1335,"&lt;&gt;",$D$2:$D1335,"&lt;&gt;",$E$2:$E1335,"&lt;&gt;"),"00000"),""))</f>
        <v/>
      </c>
      <c r="B1335" s="16"/>
      <c r="C1335" s="20"/>
      <c r="D1335" s="20"/>
      <c r="E1335" s="23"/>
      <c r="H1335" s="21" t="str">
        <f t="shared" si="69"/>
        <v/>
      </c>
      <c r="I1335" s="21" t="str">
        <f t="shared" si="68"/>
        <v/>
      </c>
      <c r="J1335" s="21" t="str">
        <f t="shared" si="70"/>
        <v/>
      </c>
      <c r="K1335" s="20"/>
      <c r="L1335" s="21" t="str">
        <f>IF(OR(NOT(AND($B1335&lt;&gt;"",$C1335&lt;&gt;"",$D1335&lt;&gt;"",$E1335&lt;&gt;"")),$A1335="",$K1335&lt;&gt;"Yes"),"",IF($L1335&lt;&gt;"",$L1335,INDEX(SETUP!$I$1:$I$2000,MATCH(TRUE,SETUP!$J$1:$J$2000,0)+COUNTIFS($A$2:$A1335,"&lt;&gt;",$K$2:$K1335,"Yes",$L$2:$L1335,"")-1)))</f>
        <v/>
      </c>
      <c r="N1335" s="22"/>
    </row>
    <row r="1336" spans="1:14" x14ac:dyDescent="0.3">
      <c r="A1336" s="15" t="str">
        <f>IF(COUNTA($B1336:$E1336,$K1336)=0,"",IF(AND($B1336&lt;&gt;"",$C1336&lt;&gt;"",$D1336&lt;&gt;"",$E1336&lt;&gt;""),"TXS"&amp;TEXT(COUNTIFS($B$2:$B1336,"&lt;&gt;",$C$2:$C1336,"&lt;&gt;",$D$2:$D1336,"&lt;&gt;",$E$2:$E1336,"&lt;&gt;"),"00000"),""))</f>
        <v/>
      </c>
      <c r="B1336" s="16"/>
      <c r="C1336" s="20"/>
      <c r="D1336" s="20"/>
      <c r="E1336" s="23"/>
      <c r="H1336" s="21" t="str">
        <f t="shared" si="69"/>
        <v/>
      </c>
      <c r="I1336" s="21" t="str">
        <f t="shared" si="68"/>
        <v/>
      </c>
      <c r="J1336" s="21" t="str">
        <f t="shared" si="70"/>
        <v/>
      </c>
      <c r="K1336" s="20"/>
      <c r="L1336" s="21" t="str">
        <f>IF(OR(NOT(AND($B1336&lt;&gt;"",$C1336&lt;&gt;"",$D1336&lt;&gt;"",$E1336&lt;&gt;"")),$A1336="",$K1336&lt;&gt;"Yes"),"",IF($L1336&lt;&gt;"",$L1336,INDEX(SETUP!$I$1:$I$2000,MATCH(TRUE,SETUP!$J$1:$J$2000,0)+COUNTIFS($A$2:$A1336,"&lt;&gt;",$K$2:$K1336,"Yes",$L$2:$L1336,"")-1)))</f>
        <v/>
      </c>
      <c r="N1336" s="22"/>
    </row>
    <row r="1337" spans="1:14" x14ac:dyDescent="0.3">
      <c r="A1337" s="15" t="str">
        <f>IF(COUNTA($B1337:$E1337,$K1337)=0,"",IF(AND($B1337&lt;&gt;"",$C1337&lt;&gt;"",$D1337&lt;&gt;"",$E1337&lt;&gt;""),"TXS"&amp;TEXT(COUNTIFS($B$2:$B1337,"&lt;&gt;",$C$2:$C1337,"&lt;&gt;",$D$2:$D1337,"&lt;&gt;",$E$2:$E1337,"&lt;&gt;"),"00000"),""))</f>
        <v/>
      </c>
      <c r="B1337" s="16"/>
      <c r="C1337" s="20"/>
      <c r="D1337" s="20"/>
      <c r="E1337" s="23"/>
      <c r="H1337" s="21" t="str">
        <f t="shared" si="69"/>
        <v/>
      </c>
      <c r="I1337" s="21" t="str">
        <f t="shared" si="68"/>
        <v/>
      </c>
      <c r="J1337" s="21" t="str">
        <f t="shared" si="70"/>
        <v/>
      </c>
      <c r="K1337" s="20"/>
      <c r="L1337" s="21" t="str">
        <f>IF(OR(NOT(AND($B1337&lt;&gt;"",$C1337&lt;&gt;"",$D1337&lt;&gt;"",$E1337&lt;&gt;"")),$A1337="",$K1337&lt;&gt;"Yes"),"",IF($L1337&lt;&gt;"",$L1337,INDEX(SETUP!$I$1:$I$2000,MATCH(TRUE,SETUP!$J$1:$J$2000,0)+COUNTIFS($A$2:$A1337,"&lt;&gt;",$K$2:$K1337,"Yes",$L$2:$L1337,"")-1)))</f>
        <v/>
      </c>
      <c r="N1337" s="22"/>
    </row>
    <row r="1338" spans="1:14" x14ac:dyDescent="0.3">
      <c r="A1338" s="15" t="str">
        <f>IF(COUNTA($B1338:$E1338,$K1338)=0,"",IF(AND($B1338&lt;&gt;"",$C1338&lt;&gt;"",$D1338&lt;&gt;"",$E1338&lt;&gt;""),"TXS"&amp;TEXT(COUNTIFS($B$2:$B1338,"&lt;&gt;",$C$2:$C1338,"&lt;&gt;",$D$2:$D1338,"&lt;&gt;",$E$2:$E1338,"&lt;&gt;"),"00000"),""))</f>
        <v/>
      </c>
      <c r="B1338" s="16"/>
      <c r="C1338" s="20"/>
      <c r="D1338" s="20"/>
      <c r="E1338" s="23"/>
      <c r="H1338" s="21" t="str">
        <f t="shared" si="69"/>
        <v/>
      </c>
      <c r="I1338" s="21" t="str">
        <f t="shared" si="68"/>
        <v/>
      </c>
      <c r="J1338" s="21" t="str">
        <f t="shared" si="70"/>
        <v/>
      </c>
      <c r="K1338" s="20"/>
      <c r="L1338" s="21" t="str">
        <f>IF(OR(NOT(AND($B1338&lt;&gt;"",$C1338&lt;&gt;"",$D1338&lt;&gt;"",$E1338&lt;&gt;"")),$A1338="",$K1338&lt;&gt;"Yes"),"",IF($L1338&lt;&gt;"",$L1338,INDEX(SETUP!$I$1:$I$2000,MATCH(TRUE,SETUP!$J$1:$J$2000,0)+COUNTIFS($A$2:$A1338,"&lt;&gt;",$K$2:$K1338,"Yes",$L$2:$L1338,"")-1)))</f>
        <v/>
      </c>
      <c r="N1338" s="22"/>
    </row>
    <row r="1339" spans="1:14" x14ac:dyDescent="0.3">
      <c r="A1339" s="15" t="str">
        <f>IF(COUNTA($B1339:$E1339,$K1339)=0,"",IF(AND($B1339&lt;&gt;"",$C1339&lt;&gt;"",$D1339&lt;&gt;"",$E1339&lt;&gt;""),"TXS"&amp;TEXT(COUNTIFS($B$2:$B1339,"&lt;&gt;",$C$2:$C1339,"&lt;&gt;",$D$2:$D1339,"&lt;&gt;",$E$2:$E1339,"&lt;&gt;"),"00000"),""))</f>
        <v/>
      </c>
      <c r="B1339" s="16"/>
      <c r="C1339" s="20"/>
      <c r="D1339" s="20"/>
      <c r="E1339" s="23"/>
      <c r="H1339" s="21" t="str">
        <f t="shared" si="69"/>
        <v/>
      </c>
      <c r="I1339" s="21" t="str">
        <f t="shared" si="68"/>
        <v/>
      </c>
      <c r="J1339" s="21" t="str">
        <f t="shared" si="70"/>
        <v/>
      </c>
      <c r="K1339" s="20"/>
      <c r="L1339" s="21" t="str">
        <f>IF(OR(NOT(AND($B1339&lt;&gt;"",$C1339&lt;&gt;"",$D1339&lt;&gt;"",$E1339&lt;&gt;"")),$A1339="",$K1339&lt;&gt;"Yes"),"",IF($L1339&lt;&gt;"",$L1339,INDEX(SETUP!$I$1:$I$2000,MATCH(TRUE,SETUP!$J$1:$J$2000,0)+COUNTIFS($A$2:$A1339,"&lt;&gt;",$K$2:$K1339,"Yes",$L$2:$L1339,"")-1)))</f>
        <v/>
      </c>
      <c r="N1339" s="22"/>
    </row>
    <row r="1340" spans="1:14" x14ac:dyDescent="0.3">
      <c r="A1340" s="15" t="str">
        <f>IF(COUNTA($B1340:$E1340,$K1340)=0,"",IF(AND($B1340&lt;&gt;"",$C1340&lt;&gt;"",$D1340&lt;&gt;"",$E1340&lt;&gt;""),"TXS"&amp;TEXT(COUNTIFS($B$2:$B1340,"&lt;&gt;",$C$2:$C1340,"&lt;&gt;",$D$2:$D1340,"&lt;&gt;",$E$2:$E1340,"&lt;&gt;"),"00000"),""))</f>
        <v/>
      </c>
      <c r="B1340" s="16"/>
      <c r="C1340" s="20"/>
      <c r="D1340" s="20"/>
      <c r="E1340" s="23"/>
      <c r="H1340" s="21" t="str">
        <f t="shared" si="69"/>
        <v/>
      </c>
      <c r="I1340" s="21" t="str">
        <f t="shared" si="68"/>
        <v/>
      </c>
      <c r="J1340" s="21" t="str">
        <f t="shared" si="70"/>
        <v/>
      </c>
      <c r="K1340" s="20"/>
      <c r="L1340" s="21" t="str">
        <f>IF(OR(NOT(AND($B1340&lt;&gt;"",$C1340&lt;&gt;"",$D1340&lt;&gt;"",$E1340&lt;&gt;"")),$A1340="",$K1340&lt;&gt;"Yes"),"",IF($L1340&lt;&gt;"",$L1340,INDEX(SETUP!$I$1:$I$2000,MATCH(TRUE,SETUP!$J$1:$J$2000,0)+COUNTIFS($A$2:$A1340,"&lt;&gt;",$K$2:$K1340,"Yes",$L$2:$L1340,"")-1)))</f>
        <v/>
      </c>
      <c r="N1340" s="22"/>
    </row>
    <row r="1341" spans="1:14" x14ac:dyDescent="0.3">
      <c r="A1341" s="15" t="str">
        <f>IF(COUNTA($B1341:$E1341,$K1341)=0,"",IF(AND($B1341&lt;&gt;"",$C1341&lt;&gt;"",$D1341&lt;&gt;"",$E1341&lt;&gt;""),"TXS"&amp;TEXT(COUNTIFS($B$2:$B1341,"&lt;&gt;",$C$2:$C1341,"&lt;&gt;",$D$2:$D1341,"&lt;&gt;",$E$2:$E1341,"&lt;&gt;"),"00000"),""))</f>
        <v/>
      </c>
      <c r="B1341" s="16"/>
      <c r="C1341" s="20"/>
      <c r="D1341" s="20"/>
      <c r="E1341" s="23"/>
      <c r="H1341" s="21" t="str">
        <f t="shared" si="69"/>
        <v/>
      </c>
      <c r="I1341" s="21" t="str">
        <f t="shared" si="68"/>
        <v/>
      </c>
      <c r="J1341" s="21" t="str">
        <f t="shared" si="70"/>
        <v/>
      </c>
      <c r="K1341" s="20"/>
      <c r="L1341" s="21" t="str">
        <f>IF(OR(NOT(AND($B1341&lt;&gt;"",$C1341&lt;&gt;"",$D1341&lt;&gt;"",$E1341&lt;&gt;"")),$A1341="",$K1341&lt;&gt;"Yes"),"",IF($L1341&lt;&gt;"",$L1341,INDEX(SETUP!$I$1:$I$2000,MATCH(TRUE,SETUP!$J$1:$J$2000,0)+COUNTIFS($A$2:$A1341,"&lt;&gt;",$K$2:$K1341,"Yes",$L$2:$L1341,"")-1)))</f>
        <v/>
      </c>
      <c r="N1341" s="22"/>
    </row>
    <row r="1342" spans="1:14" x14ac:dyDescent="0.3">
      <c r="A1342" s="15" t="str">
        <f>IF(COUNTA($B1342:$E1342,$K1342)=0,"",IF(AND($B1342&lt;&gt;"",$C1342&lt;&gt;"",$D1342&lt;&gt;"",$E1342&lt;&gt;""),"TXS"&amp;TEXT(COUNTIFS($B$2:$B1342,"&lt;&gt;",$C$2:$C1342,"&lt;&gt;",$D$2:$D1342,"&lt;&gt;",$E$2:$E1342,"&lt;&gt;"),"00000"),""))</f>
        <v/>
      </c>
      <c r="B1342" s="16"/>
      <c r="C1342" s="20"/>
      <c r="D1342" s="20"/>
      <c r="E1342" s="23"/>
      <c r="H1342" s="21" t="str">
        <f t="shared" si="69"/>
        <v/>
      </c>
      <c r="I1342" s="21" t="str">
        <f t="shared" si="68"/>
        <v/>
      </c>
      <c r="J1342" s="21" t="str">
        <f t="shared" si="70"/>
        <v/>
      </c>
      <c r="K1342" s="20"/>
      <c r="L1342" s="21" t="str">
        <f>IF(OR(NOT(AND($B1342&lt;&gt;"",$C1342&lt;&gt;"",$D1342&lt;&gt;"",$E1342&lt;&gt;"")),$A1342="",$K1342&lt;&gt;"Yes"),"",IF($L1342&lt;&gt;"",$L1342,INDEX(SETUP!$I$1:$I$2000,MATCH(TRUE,SETUP!$J$1:$J$2000,0)+COUNTIFS($A$2:$A1342,"&lt;&gt;",$K$2:$K1342,"Yes",$L$2:$L1342,"")-1)))</f>
        <v/>
      </c>
      <c r="N1342" s="22"/>
    </row>
    <row r="1343" spans="1:14" x14ac:dyDescent="0.3">
      <c r="A1343" s="15" t="str">
        <f>IF(COUNTA($B1343:$E1343,$K1343)=0,"",IF(AND($B1343&lt;&gt;"",$C1343&lt;&gt;"",$D1343&lt;&gt;"",$E1343&lt;&gt;""),"TXS"&amp;TEXT(COUNTIFS($B$2:$B1343,"&lt;&gt;",$C$2:$C1343,"&lt;&gt;",$D$2:$D1343,"&lt;&gt;",$E$2:$E1343,"&lt;&gt;"),"00000"),""))</f>
        <v/>
      </c>
      <c r="B1343" s="16"/>
      <c r="C1343" s="20"/>
      <c r="D1343" s="20"/>
      <c r="E1343" s="23"/>
      <c r="H1343" s="21" t="str">
        <f t="shared" si="69"/>
        <v/>
      </c>
      <c r="I1343" s="21" t="str">
        <f t="shared" si="68"/>
        <v/>
      </c>
      <c r="J1343" s="21" t="str">
        <f t="shared" si="70"/>
        <v/>
      </c>
      <c r="K1343" s="20"/>
      <c r="L1343" s="21" t="str">
        <f>IF(OR(NOT(AND($B1343&lt;&gt;"",$C1343&lt;&gt;"",$D1343&lt;&gt;"",$E1343&lt;&gt;"")),$A1343="",$K1343&lt;&gt;"Yes"),"",IF($L1343&lt;&gt;"",$L1343,INDEX(SETUP!$I$1:$I$2000,MATCH(TRUE,SETUP!$J$1:$J$2000,0)+COUNTIFS($A$2:$A1343,"&lt;&gt;",$K$2:$K1343,"Yes",$L$2:$L1343,"")-1)))</f>
        <v/>
      </c>
      <c r="N1343" s="22"/>
    </row>
    <row r="1344" spans="1:14" x14ac:dyDescent="0.3">
      <c r="A1344" s="15" t="str">
        <f>IF(COUNTA($B1344:$E1344,$K1344)=0,"",IF(AND($B1344&lt;&gt;"",$C1344&lt;&gt;"",$D1344&lt;&gt;"",$E1344&lt;&gt;""),"TXS"&amp;TEXT(COUNTIFS($B$2:$B1344,"&lt;&gt;",$C$2:$C1344,"&lt;&gt;",$D$2:$D1344,"&lt;&gt;",$E$2:$E1344,"&lt;&gt;"),"00000"),""))</f>
        <v/>
      </c>
      <c r="B1344" s="16"/>
      <c r="C1344" s="20"/>
      <c r="D1344" s="20"/>
      <c r="E1344" s="23"/>
      <c r="H1344" s="21" t="str">
        <f t="shared" si="69"/>
        <v/>
      </c>
      <c r="I1344" s="21" t="str">
        <f t="shared" si="68"/>
        <v/>
      </c>
      <c r="J1344" s="21" t="str">
        <f t="shared" si="70"/>
        <v/>
      </c>
      <c r="K1344" s="20"/>
      <c r="L1344" s="21" t="str">
        <f>IF(OR(NOT(AND($B1344&lt;&gt;"",$C1344&lt;&gt;"",$D1344&lt;&gt;"",$E1344&lt;&gt;"")),$A1344="",$K1344&lt;&gt;"Yes"),"",IF($L1344&lt;&gt;"",$L1344,INDEX(SETUP!$I$1:$I$2000,MATCH(TRUE,SETUP!$J$1:$J$2000,0)+COUNTIFS($A$2:$A1344,"&lt;&gt;",$K$2:$K1344,"Yes",$L$2:$L1344,"")-1)))</f>
        <v/>
      </c>
      <c r="N1344" s="22"/>
    </row>
    <row r="1345" spans="1:14" x14ac:dyDescent="0.3">
      <c r="A1345" s="15" t="str">
        <f>IF(COUNTA($B1345:$E1345,$K1345)=0,"",IF(AND($B1345&lt;&gt;"",$C1345&lt;&gt;"",$D1345&lt;&gt;"",$E1345&lt;&gt;""),"TXS"&amp;TEXT(COUNTIFS($B$2:$B1345,"&lt;&gt;",$C$2:$C1345,"&lt;&gt;",$D$2:$D1345,"&lt;&gt;",$E$2:$E1345,"&lt;&gt;"),"00000"),""))</f>
        <v/>
      </c>
      <c r="B1345" s="16"/>
      <c r="C1345" s="20"/>
      <c r="D1345" s="20"/>
      <c r="E1345" s="23"/>
      <c r="H1345" s="21" t="str">
        <f t="shared" si="69"/>
        <v/>
      </c>
      <c r="I1345" s="21" t="str">
        <f t="shared" si="68"/>
        <v/>
      </c>
      <c r="J1345" s="21" t="str">
        <f t="shared" si="70"/>
        <v/>
      </c>
      <c r="K1345" s="20"/>
      <c r="L1345" s="21" t="str">
        <f>IF(OR(NOT(AND($B1345&lt;&gt;"",$C1345&lt;&gt;"",$D1345&lt;&gt;"",$E1345&lt;&gt;"")),$A1345="",$K1345&lt;&gt;"Yes"),"",IF($L1345&lt;&gt;"",$L1345,INDEX(SETUP!$I$1:$I$2000,MATCH(TRUE,SETUP!$J$1:$J$2000,0)+COUNTIFS($A$2:$A1345,"&lt;&gt;",$K$2:$K1345,"Yes",$L$2:$L1345,"")-1)))</f>
        <v/>
      </c>
      <c r="N1345" s="22"/>
    </row>
    <row r="1346" spans="1:14" x14ac:dyDescent="0.3">
      <c r="A1346" s="15" t="str">
        <f>IF(COUNTA($B1346:$E1346,$K1346)=0,"",IF(AND($B1346&lt;&gt;"",$C1346&lt;&gt;"",$D1346&lt;&gt;"",$E1346&lt;&gt;""),"TXS"&amp;TEXT(COUNTIFS($B$2:$B1346,"&lt;&gt;",$C$2:$C1346,"&lt;&gt;",$D$2:$D1346,"&lt;&gt;",$E$2:$E1346,"&lt;&gt;"),"00000"),""))</f>
        <v/>
      </c>
      <c r="B1346" s="16"/>
      <c r="C1346" s="20"/>
      <c r="D1346" s="20"/>
      <c r="E1346" s="23"/>
      <c r="H1346" s="21" t="str">
        <f t="shared" si="69"/>
        <v/>
      </c>
      <c r="I1346" s="21" t="str">
        <f t="shared" si="68"/>
        <v/>
      </c>
      <c r="J1346" s="21" t="str">
        <f t="shared" si="70"/>
        <v/>
      </c>
      <c r="K1346" s="20"/>
      <c r="L1346" s="21" t="str">
        <f>IF(OR(NOT(AND($B1346&lt;&gt;"",$C1346&lt;&gt;"",$D1346&lt;&gt;"",$E1346&lt;&gt;"")),$A1346="",$K1346&lt;&gt;"Yes"),"",IF($L1346&lt;&gt;"",$L1346,INDEX(SETUP!$I$1:$I$2000,MATCH(TRUE,SETUP!$J$1:$J$2000,0)+COUNTIFS($A$2:$A1346,"&lt;&gt;",$K$2:$K1346,"Yes",$L$2:$L1346,"")-1)))</f>
        <v/>
      </c>
      <c r="N1346" s="22"/>
    </row>
    <row r="1347" spans="1:14" x14ac:dyDescent="0.3">
      <c r="A1347" s="15" t="str">
        <f>IF(COUNTA($B1347:$E1347,$K1347)=0,"",IF(AND($B1347&lt;&gt;"",$C1347&lt;&gt;"",$D1347&lt;&gt;"",$E1347&lt;&gt;""),"TXS"&amp;TEXT(COUNTIFS($B$2:$B1347,"&lt;&gt;",$C$2:$C1347,"&lt;&gt;",$D$2:$D1347,"&lt;&gt;",$E$2:$E1347,"&lt;&gt;"),"00000"),""))</f>
        <v/>
      </c>
      <c r="B1347" s="16"/>
      <c r="C1347" s="20"/>
      <c r="D1347" s="20"/>
      <c r="E1347" s="23"/>
      <c r="H1347" s="21" t="str">
        <f t="shared" si="69"/>
        <v/>
      </c>
      <c r="I1347" s="21" t="str">
        <f t="shared" si="68"/>
        <v/>
      </c>
      <c r="J1347" s="21" t="str">
        <f t="shared" si="70"/>
        <v/>
      </c>
      <c r="K1347" s="20"/>
      <c r="L1347" s="21" t="str">
        <f>IF(OR(NOT(AND($B1347&lt;&gt;"",$C1347&lt;&gt;"",$D1347&lt;&gt;"",$E1347&lt;&gt;"")),$A1347="",$K1347&lt;&gt;"Yes"),"",IF($L1347&lt;&gt;"",$L1347,INDEX(SETUP!$I$1:$I$2000,MATCH(TRUE,SETUP!$J$1:$J$2000,0)+COUNTIFS($A$2:$A1347,"&lt;&gt;",$K$2:$K1347,"Yes",$L$2:$L1347,"")-1)))</f>
        <v/>
      </c>
      <c r="N1347" s="22"/>
    </row>
    <row r="1348" spans="1:14" x14ac:dyDescent="0.3">
      <c r="A1348" s="15" t="str">
        <f>IF(COUNTA($B1348:$E1348,$K1348)=0,"",IF(AND($B1348&lt;&gt;"",$C1348&lt;&gt;"",$D1348&lt;&gt;"",$E1348&lt;&gt;""),"TXS"&amp;TEXT(COUNTIFS($B$2:$B1348,"&lt;&gt;",$C$2:$C1348,"&lt;&gt;",$D$2:$D1348,"&lt;&gt;",$E$2:$E1348,"&lt;&gt;"),"00000"),""))</f>
        <v/>
      </c>
      <c r="B1348" s="16"/>
      <c r="C1348" s="20"/>
      <c r="D1348" s="20"/>
      <c r="E1348" s="23"/>
      <c r="H1348" s="21" t="str">
        <f t="shared" si="69"/>
        <v/>
      </c>
      <c r="I1348" s="21" t="str">
        <f t="shared" si="68"/>
        <v/>
      </c>
      <c r="J1348" s="21" t="str">
        <f t="shared" si="70"/>
        <v/>
      </c>
      <c r="K1348" s="20"/>
      <c r="L1348" s="21" t="str">
        <f>IF(OR(NOT(AND($B1348&lt;&gt;"",$C1348&lt;&gt;"",$D1348&lt;&gt;"",$E1348&lt;&gt;"")),$A1348="",$K1348&lt;&gt;"Yes"),"",IF($L1348&lt;&gt;"",$L1348,INDEX(SETUP!$I$1:$I$2000,MATCH(TRUE,SETUP!$J$1:$J$2000,0)+COUNTIFS($A$2:$A1348,"&lt;&gt;",$K$2:$K1348,"Yes",$L$2:$L1348,"")-1)))</f>
        <v/>
      </c>
      <c r="N1348" s="22"/>
    </row>
    <row r="1349" spans="1:14" x14ac:dyDescent="0.3">
      <c r="A1349" s="15" t="str">
        <f>IF(COUNTA($B1349:$E1349,$K1349)=0,"",IF(AND($B1349&lt;&gt;"",$C1349&lt;&gt;"",$D1349&lt;&gt;"",$E1349&lt;&gt;""),"TXS"&amp;TEXT(COUNTIFS($B$2:$B1349,"&lt;&gt;",$C$2:$C1349,"&lt;&gt;",$D$2:$D1349,"&lt;&gt;",$E$2:$E1349,"&lt;&gt;"),"00000"),""))</f>
        <v/>
      </c>
      <c r="B1349" s="16"/>
      <c r="C1349" s="20"/>
      <c r="D1349" s="20"/>
      <c r="E1349" s="23"/>
      <c r="H1349" s="21" t="str">
        <f t="shared" si="69"/>
        <v/>
      </c>
      <c r="I1349" s="21" t="str">
        <f t="shared" si="68"/>
        <v/>
      </c>
      <c r="J1349" s="21" t="str">
        <f t="shared" si="70"/>
        <v/>
      </c>
      <c r="K1349" s="20"/>
      <c r="L1349" s="21" t="str">
        <f>IF(OR(NOT(AND($B1349&lt;&gt;"",$C1349&lt;&gt;"",$D1349&lt;&gt;"",$E1349&lt;&gt;"")),$A1349="",$K1349&lt;&gt;"Yes"),"",IF($L1349&lt;&gt;"",$L1349,INDEX(SETUP!$I$1:$I$2000,MATCH(TRUE,SETUP!$J$1:$J$2000,0)+COUNTIFS($A$2:$A1349,"&lt;&gt;",$K$2:$K1349,"Yes",$L$2:$L1349,"")-1)))</f>
        <v/>
      </c>
      <c r="N1349" s="22"/>
    </row>
    <row r="1350" spans="1:14" x14ac:dyDescent="0.3">
      <c r="A1350" s="15" t="str">
        <f>IF(COUNTA($B1350:$E1350,$K1350)=0,"",IF(AND($B1350&lt;&gt;"",$C1350&lt;&gt;"",$D1350&lt;&gt;"",$E1350&lt;&gt;""),"TXS"&amp;TEXT(COUNTIFS($B$2:$B1350,"&lt;&gt;",$C$2:$C1350,"&lt;&gt;",$D$2:$D1350,"&lt;&gt;",$E$2:$E1350,"&lt;&gt;"),"00000"),""))</f>
        <v/>
      </c>
      <c r="B1350" s="16"/>
      <c r="C1350" s="20"/>
      <c r="D1350" s="20"/>
      <c r="E1350" s="23"/>
      <c r="H1350" s="21" t="str">
        <f t="shared" si="69"/>
        <v/>
      </c>
      <c r="I1350" s="21" t="str">
        <f t="shared" si="68"/>
        <v/>
      </c>
      <c r="J1350" s="21" t="str">
        <f t="shared" si="70"/>
        <v/>
      </c>
      <c r="K1350" s="20"/>
      <c r="L1350" s="21" t="str">
        <f>IF(OR(NOT(AND($B1350&lt;&gt;"",$C1350&lt;&gt;"",$D1350&lt;&gt;"",$E1350&lt;&gt;"")),$A1350="",$K1350&lt;&gt;"Yes"),"",IF($L1350&lt;&gt;"",$L1350,INDEX(SETUP!$I$1:$I$2000,MATCH(TRUE,SETUP!$J$1:$J$2000,0)+COUNTIFS($A$2:$A1350,"&lt;&gt;",$K$2:$K1350,"Yes",$L$2:$L1350,"")-1)))</f>
        <v/>
      </c>
      <c r="N1350" s="22"/>
    </row>
    <row r="1351" spans="1:14" x14ac:dyDescent="0.3">
      <c r="A1351" s="15" t="str">
        <f>IF(COUNTA($B1351:$E1351,$K1351)=0,"",IF(AND($B1351&lt;&gt;"",$C1351&lt;&gt;"",$D1351&lt;&gt;"",$E1351&lt;&gt;""),"TXS"&amp;TEXT(COUNTIFS($B$2:$B1351,"&lt;&gt;",$C$2:$C1351,"&lt;&gt;",$D$2:$D1351,"&lt;&gt;",$E$2:$E1351,"&lt;&gt;"),"00000"),""))</f>
        <v/>
      </c>
      <c r="B1351" s="16"/>
      <c r="C1351" s="20"/>
      <c r="D1351" s="20"/>
      <c r="E1351" s="23"/>
      <c r="H1351" s="21" t="str">
        <f t="shared" si="69"/>
        <v/>
      </c>
      <c r="I1351" s="21" t="str">
        <f t="shared" si="68"/>
        <v/>
      </c>
      <c r="J1351" s="21" t="str">
        <f t="shared" si="70"/>
        <v/>
      </c>
      <c r="K1351" s="20"/>
      <c r="L1351" s="21" t="str">
        <f>IF(OR(NOT(AND($B1351&lt;&gt;"",$C1351&lt;&gt;"",$D1351&lt;&gt;"",$E1351&lt;&gt;"")),$A1351="",$K1351&lt;&gt;"Yes"),"",IF($L1351&lt;&gt;"",$L1351,INDEX(SETUP!$I$1:$I$2000,MATCH(TRUE,SETUP!$J$1:$J$2000,0)+COUNTIFS($A$2:$A1351,"&lt;&gt;",$K$2:$K1351,"Yes",$L$2:$L1351,"")-1)))</f>
        <v/>
      </c>
      <c r="N1351" s="22"/>
    </row>
    <row r="1352" spans="1:14" x14ac:dyDescent="0.3">
      <c r="A1352" s="15" t="str">
        <f>IF(COUNTA($B1352:$E1352,$K1352)=0,"",IF(AND($B1352&lt;&gt;"",$C1352&lt;&gt;"",$D1352&lt;&gt;"",$E1352&lt;&gt;""),"TXS"&amp;TEXT(COUNTIFS($B$2:$B1352,"&lt;&gt;",$C$2:$C1352,"&lt;&gt;",$D$2:$D1352,"&lt;&gt;",$E$2:$E1352,"&lt;&gt;"),"00000"),""))</f>
        <v/>
      </c>
      <c r="B1352" s="16"/>
      <c r="C1352" s="20"/>
      <c r="D1352" s="20"/>
      <c r="E1352" s="23"/>
      <c r="H1352" s="21" t="str">
        <f t="shared" si="69"/>
        <v/>
      </c>
      <c r="I1352" s="21" t="str">
        <f t="shared" si="68"/>
        <v/>
      </c>
      <c r="J1352" s="21" t="str">
        <f t="shared" si="70"/>
        <v/>
      </c>
      <c r="K1352" s="20"/>
      <c r="L1352" s="21" t="str">
        <f>IF(OR(NOT(AND($B1352&lt;&gt;"",$C1352&lt;&gt;"",$D1352&lt;&gt;"",$E1352&lt;&gt;"")),$A1352="",$K1352&lt;&gt;"Yes"),"",IF($L1352&lt;&gt;"",$L1352,INDEX(SETUP!$I$1:$I$2000,MATCH(TRUE,SETUP!$J$1:$J$2000,0)+COUNTIFS($A$2:$A1352,"&lt;&gt;",$K$2:$K1352,"Yes",$L$2:$L1352,"")-1)))</f>
        <v/>
      </c>
      <c r="N1352" s="22"/>
    </row>
    <row r="1353" spans="1:14" x14ac:dyDescent="0.3">
      <c r="A1353" s="15" t="str">
        <f>IF(COUNTA($B1353:$E1353,$K1353)=0,"",IF(AND($B1353&lt;&gt;"",$C1353&lt;&gt;"",$D1353&lt;&gt;"",$E1353&lt;&gt;""),"TXS"&amp;TEXT(COUNTIFS($B$2:$B1353,"&lt;&gt;",$C$2:$C1353,"&lt;&gt;",$D$2:$D1353,"&lt;&gt;",$E$2:$E1353,"&lt;&gt;"),"00000"),""))</f>
        <v/>
      </c>
      <c r="B1353" s="16"/>
      <c r="C1353" s="20"/>
      <c r="D1353" s="20"/>
      <c r="E1353" s="23"/>
      <c r="H1353" s="21" t="str">
        <f t="shared" si="69"/>
        <v/>
      </c>
      <c r="I1353" s="21" t="str">
        <f t="shared" si="68"/>
        <v/>
      </c>
      <c r="J1353" s="21" t="str">
        <f t="shared" si="70"/>
        <v/>
      </c>
      <c r="K1353" s="20"/>
      <c r="L1353" s="21" t="str">
        <f>IF(OR(NOT(AND($B1353&lt;&gt;"",$C1353&lt;&gt;"",$D1353&lt;&gt;"",$E1353&lt;&gt;"")),$A1353="",$K1353&lt;&gt;"Yes"),"",IF($L1353&lt;&gt;"",$L1353,INDEX(SETUP!$I$1:$I$2000,MATCH(TRUE,SETUP!$J$1:$J$2000,0)+COUNTIFS($A$2:$A1353,"&lt;&gt;",$K$2:$K1353,"Yes",$L$2:$L1353,"")-1)))</f>
        <v/>
      </c>
      <c r="N1353" s="22"/>
    </row>
    <row r="1354" spans="1:14" x14ac:dyDescent="0.3">
      <c r="A1354" s="15" t="str">
        <f>IF(COUNTA($B1354:$E1354,$K1354)=0,"",IF(AND($B1354&lt;&gt;"",$C1354&lt;&gt;"",$D1354&lt;&gt;"",$E1354&lt;&gt;""),"TXS"&amp;TEXT(COUNTIFS($B$2:$B1354,"&lt;&gt;",$C$2:$C1354,"&lt;&gt;",$D$2:$D1354,"&lt;&gt;",$E$2:$E1354,"&lt;&gt;"),"00000"),""))</f>
        <v/>
      </c>
      <c r="B1354" s="16"/>
      <c r="C1354" s="20"/>
      <c r="D1354" s="20"/>
      <c r="E1354" s="23"/>
      <c r="H1354" s="21" t="str">
        <f t="shared" si="69"/>
        <v/>
      </c>
      <c r="I1354" s="21" t="str">
        <f t="shared" si="68"/>
        <v/>
      </c>
      <c r="J1354" s="21" t="str">
        <f t="shared" si="70"/>
        <v/>
      </c>
      <c r="K1354" s="20"/>
      <c r="L1354" s="21" t="str">
        <f>IF(OR(NOT(AND($B1354&lt;&gt;"",$C1354&lt;&gt;"",$D1354&lt;&gt;"",$E1354&lt;&gt;"")),$A1354="",$K1354&lt;&gt;"Yes"),"",IF($L1354&lt;&gt;"",$L1354,INDEX(SETUP!$I$1:$I$2000,MATCH(TRUE,SETUP!$J$1:$J$2000,0)+COUNTIFS($A$2:$A1354,"&lt;&gt;",$K$2:$K1354,"Yes",$L$2:$L1354,"")-1)))</f>
        <v/>
      </c>
      <c r="N1354" s="22"/>
    </row>
    <row r="1355" spans="1:14" x14ac:dyDescent="0.3">
      <c r="A1355" s="15" t="str">
        <f>IF(COUNTA($B1355:$E1355,$K1355)=0,"",IF(AND($B1355&lt;&gt;"",$C1355&lt;&gt;"",$D1355&lt;&gt;"",$E1355&lt;&gt;""),"TXS"&amp;TEXT(COUNTIFS($B$2:$B1355,"&lt;&gt;",$C$2:$C1355,"&lt;&gt;",$D$2:$D1355,"&lt;&gt;",$E$2:$E1355,"&lt;&gt;"),"00000"),""))</f>
        <v/>
      </c>
      <c r="B1355" s="16"/>
      <c r="C1355" s="20"/>
      <c r="D1355" s="20"/>
      <c r="E1355" s="23"/>
      <c r="H1355" s="21" t="str">
        <f t="shared" si="69"/>
        <v/>
      </c>
      <c r="I1355" s="21" t="str">
        <f t="shared" si="68"/>
        <v/>
      </c>
      <c r="J1355" s="21" t="str">
        <f t="shared" si="70"/>
        <v/>
      </c>
      <c r="K1355" s="20"/>
      <c r="L1355" s="21" t="str">
        <f>IF(OR(NOT(AND($B1355&lt;&gt;"",$C1355&lt;&gt;"",$D1355&lt;&gt;"",$E1355&lt;&gt;"")),$A1355="",$K1355&lt;&gt;"Yes"),"",IF($L1355&lt;&gt;"",$L1355,INDEX(SETUP!$I$1:$I$2000,MATCH(TRUE,SETUP!$J$1:$J$2000,0)+COUNTIFS($A$2:$A1355,"&lt;&gt;",$K$2:$K1355,"Yes",$L$2:$L1355,"")-1)))</f>
        <v/>
      </c>
      <c r="N1355" s="22"/>
    </row>
    <row r="1356" spans="1:14" x14ac:dyDescent="0.3">
      <c r="A1356" s="15" t="str">
        <f>IF(COUNTA($B1356:$E1356,$K1356)=0,"",IF(AND($B1356&lt;&gt;"",$C1356&lt;&gt;"",$D1356&lt;&gt;"",$E1356&lt;&gt;""),"TXS"&amp;TEXT(COUNTIFS($B$2:$B1356,"&lt;&gt;",$C$2:$C1356,"&lt;&gt;",$D$2:$D1356,"&lt;&gt;",$E$2:$E1356,"&lt;&gt;"),"00000"),""))</f>
        <v/>
      </c>
      <c r="B1356" s="16"/>
      <c r="C1356" s="20"/>
      <c r="D1356" s="20"/>
      <c r="E1356" s="23"/>
      <c r="H1356" s="21" t="str">
        <f t="shared" si="69"/>
        <v/>
      </c>
      <c r="I1356" s="21" t="str">
        <f t="shared" si="68"/>
        <v/>
      </c>
      <c r="J1356" s="21" t="str">
        <f t="shared" si="70"/>
        <v/>
      </c>
      <c r="K1356" s="20"/>
      <c r="L1356" s="21" t="str">
        <f>IF(OR(NOT(AND($B1356&lt;&gt;"",$C1356&lt;&gt;"",$D1356&lt;&gt;"",$E1356&lt;&gt;"")),$A1356="",$K1356&lt;&gt;"Yes"),"",IF($L1356&lt;&gt;"",$L1356,INDEX(SETUP!$I$1:$I$2000,MATCH(TRUE,SETUP!$J$1:$J$2000,0)+COUNTIFS($A$2:$A1356,"&lt;&gt;",$K$2:$K1356,"Yes",$L$2:$L1356,"")-1)))</f>
        <v/>
      </c>
      <c r="N1356" s="22"/>
    </row>
    <row r="1357" spans="1:14" x14ac:dyDescent="0.3">
      <c r="A1357" s="15" t="str">
        <f>IF(COUNTA($B1357:$E1357,$K1357)=0,"",IF(AND($B1357&lt;&gt;"",$C1357&lt;&gt;"",$D1357&lt;&gt;"",$E1357&lt;&gt;""),"TXS"&amp;TEXT(COUNTIFS($B$2:$B1357,"&lt;&gt;",$C$2:$C1357,"&lt;&gt;",$D$2:$D1357,"&lt;&gt;",$E$2:$E1357,"&lt;&gt;"),"00000"),""))</f>
        <v/>
      </c>
      <c r="B1357" s="16"/>
      <c r="C1357" s="20"/>
      <c r="D1357" s="20"/>
      <c r="E1357" s="23"/>
      <c r="H1357" s="21" t="str">
        <f t="shared" si="69"/>
        <v/>
      </c>
      <c r="I1357" s="21" t="str">
        <f t="shared" si="68"/>
        <v/>
      </c>
      <c r="J1357" s="21" t="str">
        <f t="shared" si="70"/>
        <v/>
      </c>
      <c r="K1357" s="20"/>
      <c r="L1357" s="21" t="str">
        <f>IF(OR(NOT(AND($B1357&lt;&gt;"",$C1357&lt;&gt;"",$D1357&lt;&gt;"",$E1357&lt;&gt;"")),$A1357="",$K1357&lt;&gt;"Yes"),"",IF($L1357&lt;&gt;"",$L1357,INDEX(SETUP!$I$1:$I$2000,MATCH(TRUE,SETUP!$J$1:$J$2000,0)+COUNTIFS($A$2:$A1357,"&lt;&gt;",$K$2:$K1357,"Yes",$L$2:$L1357,"")-1)))</f>
        <v/>
      </c>
      <c r="N1357" s="22"/>
    </row>
    <row r="1358" spans="1:14" x14ac:dyDescent="0.3">
      <c r="A1358" s="15" t="str">
        <f>IF(COUNTA($B1358:$E1358,$K1358)=0,"",IF(AND($B1358&lt;&gt;"",$C1358&lt;&gt;"",$D1358&lt;&gt;"",$E1358&lt;&gt;""),"TXS"&amp;TEXT(COUNTIFS($B$2:$B1358,"&lt;&gt;",$C$2:$C1358,"&lt;&gt;",$D$2:$D1358,"&lt;&gt;",$E$2:$E1358,"&lt;&gt;"),"00000"),""))</f>
        <v/>
      </c>
      <c r="B1358" s="16"/>
      <c r="C1358" s="20"/>
      <c r="D1358" s="20"/>
      <c r="E1358" s="23"/>
      <c r="H1358" s="21" t="str">
        <f t="shared" si="69"/>
        <v/>
      </c>
      <c r="I1358" s="21" t="str">
        <f t="shared" si="68"/>
        <v/>
      </c>
      <c r="J1358" s="21" t="str">
        <f t="shared" si="70"/>
        <v/>
      </c>
      <c r="K1358" s="20"/>
      <c r="L1358" s="21" t="str">
        <f>IF(OR(NOT(AND($B1358&lt;&gt;"",$C1358&lt;&gt;"",$D1358&lt;&gt;"",$E1358&lt;&gt;"")),$A1358="",$K1358&lt;&gt;"Yes"),"",IF($L1358&lt;&gt;"",$L1358,INDEX(SETUP!$I$1:$I$2000,MATCH(TRUE,SETUP!$J$1:$J$2000,0)+COUNTIFS($A$2:$A1358,"&lt;&gt;",$K$2:$K1358,"Yes",$L$2:$L1358,"")-1)))</f>
        <v/>
      </c>
      <c r="N1358" s="22"/>
    </row>
    <row r="1359" spans="1:14" x14ac:dyDescent="0.3">
      <c r="A1359" s="15" t="str">
        <f>IF(COUNTA($B1359:$E1359,$K1359)=0,"",IF(AND($B1359&lt;&gt;"",$C1359&lt;&gt;"",$D1359&lt;&gt;"",$E1359&lt;&gt;""),"TXS"&amp;TEXT(COUNTIFS($B$2:$B1359,"&lt;&gt;",$C$2:$C1359,"&lt;&gt;",$D$2:$D1359,"&lt;&gt;",$E$2:$E1359,"&lt;&gt;"),"00000"),""))</f>
        <v/>
      </c>
      <c r="B1359" s="16"/>
      <c r="C1359" s="20"/>
      <c r="D1359" s="20"/>
      <c r="E1359" s="23"/>
      <c r="H1359" s="21" t="str">
        <f t="shared" si="69"/>
        <v/>
      </c>
      <c r="I1359" s="21" t="str">
        <f t="shared" si="68"/>
        <v/>
      </c>
      <c r="J1359" s="21" t="str">
        <f t="shared" si="70"/>
        <v/>
      </c>
      <c r="K1359" s="20"/>
      <c r="L1359" s="21" t="str">
        <f>IF(OR(NOT(AND($B1359&lt;&gt;"",$C1359&lt;&gt;"",$D1359&lt;&gt;"",$E1359&lt;&gt;"")),$A1359="",$K1359&lt;&gt;"Yes"),"",IF($L1359&lt;&gt;"",$L1359,INDEX(SETUP!$I$1:$I$2000,MATCH(TRUE,SETUP!$J$1:$J$2000,0)+COUNTIFS($A$2:$A1359,"&lt;&gt;",$K$2:$K1359,"Yes",$L$2:$L1359,"")-1)))</f>
        <v/>
      </c>
      <c r="N1359" s="22"/>
    </row>
    <row r="1360" spans="1:14" x14ac:dyDescent="0.3">
      <c r="A1360" s="15" t="str">
        <f>IF(COUNTA($B1360:$E1360,$K1360)=0,"",IF(AND($B1360&lt;&gt;"",$C1360&lt;&gt;"",$D1360&lt;&gt;"",$E1360&lt;&gt;""),"TXS"&amp;TEXT(COUNTIFS($B$2:$B1360,"&lt;&gt;",$C$2:$C1360,"&lt;&gt;",$D$2:$D1360,"&lt;&gt;",$E$2:$E1360,"&lt;&gt;"),"00000"),""))</f>
        <v/>
      </c>
      <c r="B1360" s="16"/>
      <c r="C1360" s="20"/>
      <c r="D1360" s="20"/>
      <c r="E1360" s="23"/>
      <c r="H1360" s="21" t="str">
        <f t="shared" si="69"/>
        <v/>
      </c>
      <c r="I1360" s="21" t="str">
        <f t="shared" si="68"/>
        <v/>
      </c>
      <c r="J1360" s="21" t="str">
        <f t="shared" si="70"/>
        <v/>
      </c>
      <c r="K1360" s="20"/>
      <c r="L1360" s="21" t="str">
        <f>IF(OR(NOT(AND($B1360&lt;&gt;"",$C1360&lt;&gt;"",$D1360&lt;&gt;"",$E1360&lt;&gt;"")),$A1360="",$K1360&lt;&gt;"Yes"),"",IF($L1360&lt;&gt;"",$L1360,INDEX(SETUP!$I$1:$I$2000,MATCH(TRUE,SETUP!$J$1:$J$2000,0)+COUNTIFS($A$2:$A1360,"&lt;&gt;",$K$2:$K1360,"Yes",$L$2:$L1360,"")-1)))</f>
        <v/>
      </c>
      <c r="N1360" s="22"/>
    </row>
    <row r="1361" spans="1:14" x14ac:dyDescent="0.3">
      <c r="A1361" s="15" t="str">
        <f>IF(COUNTA($B1361:$E1361,$K1361)=0,"",IF(AND($B1361&lt;&gt;"",$C1361&lt;&gt;"",$D1361&lt;&gt;"",$E1361&lt;&gt;""),"TXS"&amp;TEXT(COUNTIFS($B$2:$B1361,"&lt;&gt;",$C$2:$C1361,"&lt;&gt;",$D$2:$D1361,"&lt;&gt;",$E$2:$E1361,"&lt;&gt;"),"00000"),""))</f>
        <v/>
      </c>
      <c r="B1361" s="16"/>
      <c r="C1361" s="20"/>
      <c r="D1361" s="20"/>
      <c r="E1361" s="23"/>
      <c r="H1361" s="21" t="str">
        <f t="shared" si="69"/>
        <v/>
      </c>
      <c r="I1361" s="21" t="str">
        <f t="shared" si="68"/>
        <v/>
      </c>
      <c r="J1361" s="21" t="str">
        <f t="shared" si="70"/>
        <v/>
      </c>
      <c r="K1361" s="20"/>
      <c r="L1361" s="21" t="str">
        <f>IF(OR(NOT(AND($B1361&lt;&gt;"",$C1361&lt;&gt;"",$D1361&lt;&gt;"",$E1361&lt;&gt;"")),$A1361="",$K1361&lt;&gt;"Yes"),"",IF($L1361&lt;&gt;"",$L1361,INDEX(SETUP!$I$1:$I$2000,MATCH(TRUE,SETUP!$J$1:$J$2000,0)+COUNTIFS($A$2:$A1361,"&lt;&gt;",$K$2:$K1361,"Yes",$L$2:$L1361,"")-1)))</f>
        <v/>
      </c>
      <c r="N1361" s="22"/>
    </row>
    <row r="1362" spans="1:14" x14ac:dyDescent="0.3">
      <c r="A1362" s="15" t="str">
        <f>IF(COUNTA($B1362:$E1362,$K1362)=0,"",IF(AND($B1362&lt;&gt;"",$C1362&lt;&gt;"",$D1362&lt;&gt;"",$E1362&lt;&gt;""),"TXS"&amp;TEXT(COUNTIFS($B$2:$B1362,"&lt;&gt;",$C$2:$C1362,"&lt;&gt;",$D$2:$D1362,"&lt;&gt;",$E$2:$E1362,"&lt;&gt;"),"00000"),""))</f>
        <v/>
      </c>
      <c r="B1362" s="16"/>
      <c r="C1362" s="20"/>
      <c r="D1362" s="20"/>
      <c r="E1362" s="23"/>
      <c r="H1362" s="21" t="str">
        <f t="shared" si="69"/>
        <v/>
      </c>
      <c r="I1362" s="21" t="str">
        <f t="shared" si="68"/>
        <v/>
      </c>
      <c r="J1362" s="21" t="str">
        <f t="shared" si="70"/>
        <v/>
      </c>
      <c r="K1362" s="20"/>
      <c r="L1362" s="21" t="str">
        <f>IF(OR(NOT(AND($B1362&lt;&gt;"",$C1362&lt;&gt;"",$D1362&lt;&gt;"",$E1362&lt;&gt;"")),$A1362="",$K1362&lt;&gt;"Yes"),"",IF($L1362&lt;&gt;"",$L1362,INDEX(SETUP!$I$1:$I$2000,MATCH(TRUE,SETUP!$J$1:$J$2000,0)+COUNTIFS($A$2:$A1362,"&lt;&gt;",$K$2:$K1362,"Yes",$L$2:$L1362,"")-1)))</f>
        <v/>
      </c>
      <c r="N1362" s="22"/>
    </row>
    <row r="1363" spans="1:14" x14ac:dyDescent="0.3">
      <c r="A1363" s="15" t="str">
        <f>IF(COUNTA($B1363:$E1363,$K1363)=0,"",IF(AND($B1363&lt;&gt;"",$C1363&lt;&gt;"",$D1363&lt;&gt;"",$E1363&lt;&gt;""),"TXS"&amp;TEXT(COUNTIFS($B$2:$B1363,"&lt;&gt;",$C$2:$C1363,"&lt;&gt;",$D$2:$D1363,"&lt;&gt;",$E$2:$E1363,"&lt;&gt;"),"00000"),""))</f>
        <v/>
      </c>
      <c r="B1363" s="16"/>
      <c r="C1363" s="20"/>
      <c r="D1363" s="20"/>
      <c r="E1363" s="23"/>
      <c r="H1363" s="21" t="str">
        <f t="shared" si="69"/>
        <v/>
      </c>
      <c r="I1363" s="21" t="str">
        <f t="shared" si="68"/>
        <v/>
      </c>
      <c r="J1363" s="21" t="str">
        <f t="shared" si="70"/>
        <v/>
      </c>
      <c r="K1363" s="20"/>
      <c r="L1363" s="21" t="str">
        <f>IF(OR(NOT(AND($B1363&lt;&gt;"",$C1363&lt;&gt;"",$D1363&lt;&gt;"",$E1363&lt;&gt;"")),$A1363="",$K1363&lt;&gt;"Yes"),"",IF($L1363&lt;&gt;"",$L1363,INDEX(SETUP!$I$1:$I$2000,MATCH(TRUE,SETUP!$J$1:$J$2000,0)+COUNTIFS($A$2:$A1363,"&lt;&gt;",$K$2:$K1363,"Yes",$L$2:$L1363,"")-1)))</f>
        <v/>
      </c>
      <c r="N1363" s="22"/>
    </row>
    <row r="1364" spans="1:14" x14ac:dyDescent="0.3">
      <c r="A1364" s="15" t="str">
        <f>IF(COUNTA($B1364:$E1364,$K1364)=0,"",IF(AND($B1364&lt;&gt;"",$C1364&lt;&gt;"",$D1364&lt;&gt;"",$E1364&lt;&gt;""),"TXS"&amp;TEXT(COUNTIFS($B$2:$B1364,"&lt;&gt;",$C$2:$C1364,"&lt;&gt;",$D$2:$D1364,"&lt;&gt;",$E$2:$E1364,"&lt;&gt;"),"00000"),""))</f>
        <v/>
      </c>
      <c r="B1364" s="16"/>
      <c r="C1364" s="20"/>
      <c r="D1364" s="20"/>
      <c r="E1364" s="23"/>
      <c r="H1364" s="21" t="str">
        <f t="shared" si="69"/>
        <v/>
      </c>
      <c r="I1364" s="21" t="str">
        <f t="shared" si="68"/>
        <v/>
      </c>
      <c r="J1364" s="21" t="str">
        <f t="shared" si="70"/>
        <v/>
      </c>
      <c r="K1364" s="20"/>
      <c r="L1364" s="21" t="str">
        <f>IF(OR(NOT(AND($B1364&lt;&gt;"",$C1364&lt;&gt;"",$D1364&lt;&gt;"",$E1364&lt;&gt;"")),$A1364="",$K1364&lt;&gt;"Yes"),"",IF($L1364&lt;&gt;"",$L1364,INDEX(SETUP!$I$1:$I$2000,MATCH(TRUE,SETUP!$J$1:$J$2000,0)+COUNTIFS($A$2:$A1364,"&lt;&gt;",$K$2:$K1364,"Yes",$L$2:$L1364,"")-1)))</f>
        <v/>
      </c>
      <c r="N1364" s="22"/>
    </row>
    <row r="1365" spans="1:14" x14ac:dyDescent="0.3">
      <c r="A1365" s="15" t="str">
        <f>IF(COUNTA($B1365:$E1365,$K1365)=0,"",IF(AND($B1365&lt;&gt;"",$C1365&lt;&gt;"",$D1365&lt;&gt;"",$E1365&lt;&gt;""),"TXS"&amp;TEXT(COUNTIFS($B$2:$B1365,"&lt;&gt;",$C$2:$C1365,"&lt;&gt;",$D$2:$D1365,"&lt;&gt;",$E$2:$E1365,"&lt;&gt;"),"00000"),""))</f>
        <v/>
      </c>
      <c r="B1365" s="16"/>
      <c r="C1365" s="20"/>
      <c r="D1365" s="20"/>
      <c r="E1365" s="23"/>
      <c r="H1365" s="21" t="str">
        <f t="shared" si="69"/>
        <v/>
      </c>
      <c r="I1365" s="21" t="str">
        <f t="shared" si="68"/>
        <v/>
      </c>
      <c r="J1365" s="21" t="str">
        <f t="shared" si="70"/>
        <v/>
      </c>
      <c r="K1365" s="20"/>
      <c r="L1365" s="21" t="str">
        <f>IF(OR(NOT(AND($B1365&lt;&gt;"",$C1365&lt;&gt;"",$D1365&lt;&gt;"",$E1365&lt;&gt;"")),$A1365="",$K1365&lt;&gt;"Yes"),"",IF($L1365&lt;&gt;"",$L1365,INDEX(SETUP!$I$1:$I$2000,MATCH(TRUE,SETUP!$J$1:$J$2000,0)+COUNTIFS($A$2:$A1365,"&lt;&gt;",$K$2:$K1365,"Yes",$L$2:$L1365,"")-1)))</f>
        <v/>
      </c>
      <c r="N1365" s="22"/>
    </row>
    <row r="1366" spans="1:14" x14ac:dyDescent="0.3">
      <c r="A1366" s="15" t="str">
        <f>IF(COUNTA($B1366:$E1366,$K1366)=0,"",IF(AND($B1366&lt;&gt;"",$C1366&lt;&gt;"",$D1366&lt;&gt;"",$E1366&lt;&gt;""),"TXS"&amp;TEXT(COUNTIFS($B$2:$B1366,"&lt;&gt;",$C$2:$C1366,"&lt;&gt;",$D$2:$D1366,"&lt;&gt;",$E$2:$E1366,"&lt;&gt;"),"00000"),""))</f>
        <v/>
      </c>
      <c r="B1366" s="16"/>
      <c r="C1366" s="20"/>
      <c r="D1366" s="20"/>
      <c r="E1366" s="23"/>
      <c r="H1366" s="21" t="str">
        <f t="shared" si="69"/>
        <v/>
      </c>
      <c r="I1366" s="21" t="str">
        <f t="shared" si="68"/>
        <v/>
      </c>
      <c r="J1366" s="21" t="str">
        <f t="shared" si="70"/>
        <v/>
      </c>
      <c r="K1366" s="20"/>
      <c r="L1366" s="21" t="str">
        <f>IF(OR(NOT(AND($B1366&lt;&gt;"",$C1366&lt;&gt;"",$D1366&lt;&gt;"",$E1366&lt;&gt;"")),$A1366="",$K1366&lt;&gt;"Yes"),"",IF($L1366&lt;&gt;"",$L1366,INDEX(SETUP!$I$1:$I$2000,MATCH(TRUE,SETUP!$J$1:$J$2000,0)+COUNTIFS($A$2:$A1366,"&lt;&gt;",$K$2:$K1366,"Yes",$L$2:$L1366,"")-1)))</f>
        <v/>
      </c>
      <c r="N1366" s="22"/>
    </row>
    <row r="1367" spans="1:14" x14ac:dyDescent="0.3">
      <c r="A1367" s="15" t="str">
        <f>IF(COUNTA($B1367:$E1367,$K1367)=0,"",IF(AND($B1367&lt;&gt;"",$C1367&lt;&gt;"",$D1367&lt;&gt;"",$E1367&lt;&gt;""),"TXS"&amp;TEXT(COUNTIFS($B$2:$B1367,"&lt;&gt;",$C$2:$C1367,"&lt;&gt;",$D$2:$D1367,"&lt;&gt;",$E$2:$E1367,"&lt;&gt;"),"00000"),""))</f>
        <v/>
      </c>
      <c r="B1367" s="16"/>
      <c r="C1367" s="20"/>
      <c r="D1367" s="20"/>
      <c r="E1367" s="23"/>
      <c r="H1367" s="21" t="str">
        <f t="shared" si="69"/>
        <v/>
      </c>
      <c r="I1367" s="21" t="str">
        <f t="shared" si="68"/>
        <v/>
      </c>
      <c r="J1367" s="21" t="str">
        <f t="shared" si="70"/>
        <v/>
      </c>
      <c r="K1367" s="20"/>
      <c r="L1367" s="21" t="str">
        <f>IF(OR(NOT(AND($B1367&lt;&gt;"",$C1367&lt;&gt;"",$D1367&lt;&gt;"",$E1367&lt;&gt;"")),$A1367="",$K1367&lt;&gt;"Yes"),"",IF($L1367&lt;&gt;"",$L1367,INDEX(SETUP!$I$1:$I$2000,MATCH(TRUE,SETUP!$J$1:$J$2000,0)+COUNTIFS($A$2:$A1367,"&lt;&gt;",$K$2:$K1367,"Yes",$L$2:$L1367,"")-1)))</f>
        <v/>
      </c>
      <c r="N1367" s="22"/>
    </row>
    <row r="1368" spans="1:14" x14ac:dyDescent="0.3">
      <c r="A1368" s="15" t="str">
        <f>IF(COUNTA($B1368:$E1368,$K1368)=0,"",IF(AND($B1368&lt;&gt;"",$C1368&lt;&gt;"",$D1368&lt;&gt;"",$E1368&lt;&gt;""),"TXS"&amp;TEXT(COUNTIFS($B$2:$B1368,"&lt;&gt;",$C$2:$C1368,"&lt;&gt;",$D$2:$D1368,"&lt;&gt;",$E$2:$E1368,"&lt;&gt;"),"00000"),""))</f>
        <v/>
      </c>
      <c r="B1368" s="16"/>
      <c r="C1368" s="20"/>
      <c r="D1368" s="20"/>
      <c r="E1368" s="23"/>
      <c r="H1368" s="21" t="str">
        <f t="shared" si="69"/>
        <v/>
      </c>
      <c r="I1368" s="21" t="str">
        <f t="shared" si="68"/>
        <v/>
      </c>
      <c r="J1368" s="21" t="str">
        <f t="shared" si="70"/>
        <v/>
      </c>
      <c r="K1368" s="20"/>
      <c r="L1368" s="21" t="str">
        <f>IF(OR(NOT(AND($B1368&lt;&gt;"",$C1368&lt;&gt;"",$D1368&lt;&gt;"",$E1368&lt;&gt;"")),$A1368="",$K1368&lt;&gt;"Yes"),"",IF($L1368&lt;&gt;"",$L1368,INDEX(SETUP!$I$1:$I$2000,MATCH(TRUE,SETUP!$J$1:$J$2000,0)+COUNTIFS($A$2:$A1368,"&lt;&gt;",$K$2:$K1368,"Yes",$L$2:$L1368,"")-1)))</f>
        <v/>
      </c>
      <c r="N1368" s="22"/>
    </row>
    <row r="1369" spans="1:14" x14ac:dyDescent="0.3">
      <c r="A1369" s="15" t="str">
        <f>IF(COUNTA($B1369:$E1369,$K1369)=0,"",IF(AND($B1369&lt;&gt;"",$C1369&lt;&gt;"",$D1369&lt;&gt;"",$E1369&lt;&gt;""),"TXS"&amp;TEXT(COUNTIFS($B$2:$B1369,"&lt;&gt;",$C$2:$C1369,"&lt;&gt;",$D$2:$D1369,"&lt;&gt;",$E$2:$E1369,"&lt;&gt;"),"00000"),""))</f>
        <v/>
      </c>
      <c r="B1369" s="16"/>
      <c r="C1369" s="20"/>
      <c r="D1369" s="20"/>
      <c r="E1369" s="23"/>
      <c r="H1369" s="21" t="str">
        <f t="shared" si="69"/>
        <v/>
      </c>
      <c r="I1369" s="21" t="str">
        <f t="shared" si="68"/>
        <v/>
      </c>
      <c r="J1369" s="21" t="str">
        <f t="shared" si="70"/>
        <v/>
      </c>
      <c r="K1369" s="20"/>
      <c r="L1369" s="21" t="str">
        <f>IF(OR(NOT(AND($B1369&lt;&gt;"",$C1369&lt;&gt;"",$D1369&lt;&gt;"",$E1369&lt;&gt;"")),$A1369="",$K1369&lt;&gt;"Yes"),"",IF($L1369&lt;&gt;"",$L1369,INDEX(SETUP!$I$1:$I$2000,MATCH(TRUE,SETUP!$J$1:$J$2000,0)+COUNTIFS($A$2:$A1369,"&lt;&gt;",$K$2:$K1369,"Yes",$L$2:$L1369,"")-1)))</f>
        <v/>
      </c>
      <c r="N1369" s="22"/>
    </row>
    <row r="1370" spans="1:14" x14ac:dyDescent="0.3">
      <c r="A1370" s="15" t="str">
        <f>IF(COUNTA($B1370:$E1370,$K1370)=0,"",IF(AND($B1370&lt;&gt;"",$C1370&lt;&gt;"",$D1370&lt;&gt;"",$E1370&lt;&gt;""),"TXS"&amp;TEXT(COUNTIFS($B$2:$B1370,"&lt;&gt;",$C$2:$C1370,"&lt;&gt;",$D$2:$D1370,"&lt;&gt;",$E$2:$E1370,"&lt;&gt;"),"00000"),""))</f>
        <v/>
      </c>
      <c r="B1370" s="16"/>
      <c r="C1370" s="20"/>
      <c r="D1370" s="20"/>
      <c r="E1370" s="23"/>
      <c r="H1370" s="21" t="str">
        <f t="shared" si="69"/>
        <v/>
      </c>
      <c r="I1370" s="21" t="str">
        <f t="shared" si="68"/>
        <v/>
      </c>
      <c r="J1370" s="21" t="str">
        <f t="shared" si="70"/>
        <v/>
      </c>
      <c r="K1370" s="20"/>
      <c r="L1370" s="21" t="str">
        <f>IF(OR(NOT(AND($B1370&lt;&gt;"",$C1370&lt;&gt;"",$D1370&lt;&gt;"",$E1370&lt;&gt;"")),$A1370="",$K1370&lt;&gt;"Yes"),"",IF($L1370&lt;&gt;"",$L1370,INDEX(SETUP!$I$1:$I$2000,MATCH(TRUE,SETUP!$J$1:$J$2000,0)+COUNTIFS($A$2:$A1370,"&lt;&gt;",$K$2:$K1370,"Yes",$L$2:$L1370,"")-1)))</f>
        <v/>
      </c>
      <c r="N1370" s="22"/>
    </row>
    <row r="1371" spans="1:14" x14ac:dyDescent="0.3">
      <c r="A1371" s="15" t="str">
        <f>IF(COUNTA($B1371:$E1371,$K1371)=0,"",IF(AND($B1371&lt;&gt;"",$C1371&lt;&gt;"",$D1371&lt;&gt;"",$E1371&lt;&gt;""),"TXS"&amp;TEXT(COUNTIFS($B$2:$B1371,"&lt;&gt;",$C$2:$C1371,"&lt;&gt;",$D$2:$D1371,"&lt;&gt;",$E$2:$E1371,"&lt;&gt;"),"00000"),""))</f>
        <v/>
      </c>
      <c r="B1371" s="16"/>
      <c r="C1371" s="20"/>
      <c r="D1371" s="20"/>
      <c r="E1371" s="23"/>
      <c r="H1371" s="21" t="str">
        <f t="shared" si="69"/>
        <v/>
      </c>
      <c r="I1371" s="21" t="str">
        <f t="shared" si="68"/>
        <v/>
      </c>
      <c r="J1371" s="21" t="str">
        <f t="shared" si="70"/>
        <v/>
      </c>
      <c r="K1371" s="20"/>
      <c r="L1371" s="21" t="str">
        <f>IF(OR(NOT(AND($B1371&lt;&gt;"",$C1371&lt;&gt;"",$D1371&lt;&gt;"",$E1371&lt;&gt;"")),$A1371="",$K1371&lt;&gt;"Yes"),"",IF($L1371&lt;&gt;"",$L1371,INDEX(SETUP!$I$1:$I$2000,MATCH(TRUE,SETUP!$J$1:$J$2000,0)+COUNTIFS($A$2:$A1371,"&lt;&gt;",$K$2:$K1371,"Yes",$L$2:$L1371,"")-1)))</f>
        <v/>
      </c>
      <c r="N1371" s="22"/>
    </row>
    <row r="1372" spans="1:14" x14ac:dyDescent="0.3">
      <c r="A1372" s="15" t="str">
        <f>IF(COUNTA($B1372:$E1372,$K1372)=0,"",IF(AND($B1372&lt;&gt;"",$C1372&lt;&gt;"",$D1372&lt;&gt;"",$E1372&lt;&gt;""),"TXS"&amp;TEXT(COUNTIFS($B$2:$B1372,"&lt;&gt;",$C$2:$C1372,"&lt;&gt;",$D$2:$D1372,"&lt;&gt;",$E$2:$E1372,"&lt;&gt;"),"00000"),""))</f>
        <v/>
      </c>
      <c r="B1372" s="16"/>
      <c r="C1372" s="20"/>
      <c r="D1372" s="20"/>
      <c r="E1372" s="23"/>
      <c r="H1372" s="21" t="str">
        <f t="shared" si="69"/>
        <v/>
      </c>
      <c r="I1372" s="21" t="str">
        <f t="shared" si="68"/>
        <v/>
      </c>
      <c r="J1372" s="21" t="str">
        <f t="shared" si="70"/>
        <v/>
      </c>
      <c r="K1372" s="20"/>
      <c r="L1372" s="21" t="str">
        <f>IF(OR(NOT(AND($B1372&lt;&gt;"",$C1372&lt;&gt;"",$D1372&lt;&gt;"",$E1372&lt;&gt;"")),$A1372="",$K1372&lt;&gt;"Yes"),"",IF($L1372&lt;&gt;"",$L1372,INDEX(SETUP!$I$1:$I$2000,MATCH(TRUE,SETUP!$J$1:$J$2000,0)+COUNTIFS($A$2:$A1372,"&lt;&gt;",$K$2:$K1372,"Yes",$L$2:$L1372,"")-1)))</f>
        <v/>
      </c>
      <c r="N1372" s="22"/>
    </row>
    <row r="1373" spans="1:14" x14ac:dyDescent="0.3">
      <c r="A1373" s="15" t="str">
        <f>IF(COUNTA($B1373:$E1373,$K1373)=0,"",IF(AND($B1373&lt;&gt;"",$C1373&lt;&gt;"",$D1373&lt;&gt;"",$E1373&lt;&gt;""),"TXS"&amp;TEXT(COUNTIFS($B$2:$B1373,"&lt;&gt;",$C$2:$C1373,"&lt;&gt;",$D$2:$D1373,"&lt;&gt;",$E$2:$E1373,"&lt;&gt;"),"00000"),""))</f>
        <v/>
      </c>
      <c r="B1373" s="16"/>
      <c r="C1373" s="20"/>
      <c r="D1373" s="20"/>
      <c r="E1373" s="23"/>
      <c r="H1373" s="21" t="str">
        <f t="shared" si="69"/>
        <v/>
      </c>
      <c r="I1373" s="21" t="str">
        <f t="shared" si="68"/>
        <v/>
      </c>
      <c r="J1373" s="21" t="str">
        <f t="shared" si="70"/>
        <v/>
      </c>
      <c r="K1373" s="20"/>
      <c r="L1373" s="21" t="str">
        <f>IF(OR(NOT(AND($B1373&lt;&gt;"",$C1373&lt;&gt;"",$D1373&lt;&gt;"",$E1373&lt;&gt;"")),$A1373="",$K1373&lt;&gt;"Yes"),"",IF($L1373&lt;&gt;"",$L1373,INDEX(SETUP!$I$1:$I$2000,MATCH(TRUE,SETUP!$J$1:$J$2000,0)+COUNTIFS($A$2:$A1373,"&lt;&gt;",$K$2:$K1373,"Yes",$L$2:$L1373,"")-1)))</f>
        <v/>
      </c>
      <c r="N1373" s="22"/>
    </row>
    <row r="1374" spans="1:14" x14ac:dyDescent="0.3">
      <c r="A1374" s="15" t="str">
        <f>IF(COUNTA($B1374:$E1374,$K1374)=0,"",IF(AND($B1374&lt;&gt;"",$C1374&lt;&gt;"",$D1374&lt;&gt;"",$E1374&lt;&gt;""),"TXS"&amp;TEXT(COUNTIFS($B$2:$B1374,"&lt;&gt;",$C$2:$C1374,"&lt;&gt;",$D$2:$D1374,"&lt;&gt;",$E$2:$E1374,"&lt;&gt;"),"00000"),""))</f>
        <v/>
      </c>
      <c r="B1374" s="16"/>
      <c r="C1374" s="20"/>
      <c r="D1374" s="20"/>
      <c r="E1374" s="23"/>
      <c r="H1374" s="21" t="str">
        <f t="shared" si="69"/>
        <v/>
      </c>
      <c r="I1374" s="21" t="str">
        <f t="shared" si="68"/>
        <v/>
      </c>
      <c r="J1374" s="21" t="str">
        <f t="shared" si="70"/>
        <v/>
      </c>
      <c r="K1374" s="20"/>
      <c r="L1374" s="21" t="str">
        <f>IF(OR(NOT(AND($B1374&lt;&gt;"",$C1374&lt;&gt;"",$D1374&lt;&gt;"",$E1374&lt;&gt;"")),$A1374="",$K1374&lt;&gt;"Yes"),"",IF($L1374&lt;&gt;"",$L1374,INDEX(SETUP!$I$1:$I$2000,MATCH(TRUE,SETUP!$J$1:$J$2000,0)+COUNTIFS($A$2:$A1374,"&lt;&gt;",$K$2:$K1374,"Yes",$L$2:$L1374,"")-1)))</f>
        <v/>
      </c>
      <c r="N1374" s="22"/>
    </row>
    <row r="1375" spans="1:14" x14ac:dyDescent="0.3">
      <c r="A1375" s="15" t="str">
        <f>IF(COUNTA($B1375:$E1375,$K1375)=0,"",IF(AND($B1375&lt;&gt;"",$C1375&lt;&gt;"",$D1375&lt;&gt;"",$E1375&lt;&gt;""),"TXS"&amp;TEXT(COUNTIFS($B$2:$B1375,"&lt;&gt;",$C$2:$C1375,"&lt;&gt;",$D$2:$D1375,"&lt;&gt;",$E$2:$E1375,"&lt;&gt;"),"00000"),""))</f>
        <v/>
      </c>
      <c r="B1375" s="16"/>
      <c r="C1375" s="20"/>
      <c r="D1375" s="20"/>
      <c r="E1375" s="23"/>
      <c r="H1375" s="21" t="str">
        <f t="shared" si="69"/>
        <v/>
      </c>
      <c r="I1375" s="21" t="str">
        <f t="shared" si="68"/>
        <v/>
      </c>
      <c r="J1375" s="21" t="str">
        <f t="shared" si="70"/>
        <v/>
      </c>
      <c r="K1375" s="20"/>
      <c r="L1375" s="21" t="str">
        <f>IF(OR(NOT(AND($B1375&lt;&gt;"",$C1375&lt;&gt;"",$D1375&lt;&gt;"",$E1375&lt;&gt;"")),$A1375="",$K1375&lt;&gt;"Yes"),"",IF($L1375&lt;&gt;"",$L1375,INDEX(SETUP!$I$1:$I$2000,MATCH(TRUE,SETUP!$J$1:$J$2000,0)+COUNTIFS($A$2:$A1375,"&lt;&gt;",$K$2:$K1375,"Yes",$L$2:$L1375,"")-1)))</f>
        <v/>
      </c>
      <c r="N1375" s="22"/>
    </row>
    <row r="1376" spans="1:14" x14ac:dyDescent="0.3">
      <c r="A1376" s="15" t="str">
        <f>IF(COUNTA($B1376:$E1376,$K1376)=0,"",IF(AND($B1376&lt;&gt;"",$C1376&lt;&gt;"",$D1376&lt;&gt;"",$E1376&lt;&gt;""),"TXS"&amp;TEXT(COUNTIFS($B$2:$B1376,"&lt;&gt;",$C$2:$C1376,"&lt;&gt;",$D$2:$D1376,"&lt;&gt;",$E$2:$E1376,"&lt;&gt;"),"00000"),""))</f>
        <v/>
      </c>
      <c r="B1376" s="16"/>
      <c r="C1376" s="20"/>
      <c r="D1376" s="20"/>
      <c r="E1376" s="23"/>
      <c r="H1376" s="21" t="str">
        <f t="shared" si="69"/>
        <v/>
      </c>
      <c r="I1376" s="21" t="str">
        <f t="shared" si="68"/>
        <v/>
      </c>
      <c r="J1376" s="21" t="str">
        <f t="shared" si="70"/>
        <v/>
      </c>
      <c r="K1376" s="20"/>
      <c r="L1376" s="21" t="str">
        <f>IF(OR(NOT(AND($B1376&lt;&gt;"",$C1376&lt;&gt;"",$D1376&lt;&gt;"",$E1376&lt;&gt;"")),$A1376="",$K1376&lt;&gt;"Yes"),"",IF($L1376&lt;&gt;"",$L1376,INDEX(SETUP!$I$1:$I$2000,MATCH(TRUE,SETUP!$J$1:$J$2000,0)+COUNTIFS($A$2:$A1376,"&lt;&gt;",$K$2:$K1376,"Yes",$L$2:$L1376,"")-1)))</f>
        <v/>
      </c>
      <c r="N1376" s="22"/>
    </row>
    <row r="1377" spans="1:14" x14ac:dyDescent="0.3">
      <c r="A1377" s="15" t="str">
        <f>IF(COUNTA($B1377:$E1377,$K1377)=0,"",IF(AND($B1377&lt;&gt;"",$C1377&lt;&gt;"",$D1377&lt;&gt;"",$E1377&lt;&gt;""),"TXS"&amp;TEXT(COUNTIFS($B$2:$B1377,"&lt;&gt;",$C$2:$C1377,"&lt;&gt;",$D$2:$D1377,"&lt;&gt;",$E$2:$E1377,"&lt;&gt;"),"00000"),""))</f>
        <v/>
      </c>
      <c r="B1377" s="16"/>
      <c r="C1377" s="20"/>
      <c r="D1377" s="20"/>
      <c r="E1377" s="23"/>
      <c r="H1377" s="21" t="str">
        <f t="shared" si="69"/>
        <v/>
      </c>
      <c r="I1377" s="21" t="str">
        <f t="shared" si="68"/>
        <v/>
      </c>
      <c r="J1377" s="21" t="str">
        <f t="shared" si="70"/>
        <v/>
      </c>
      <c r="K1377" s="20"/>
      <c r="L1377" s="21" t="str">
        <f>IF(OR(NOT(AND($B1377&lt;&gt;"",$C1377&lt;&gt;"",$D1377&lt;&gt;"",$E1377&lt;&gt;"")),$A1377="",$K1377&lt;&gt;"Yes"),"",IF($L1377&lt;&gt;"",$L1377,INDEX(SETUP!$I$1:$I$2000,MATCH(TRUE,SETUP!$J$1:$J$2000,0)+COUNTIFS($A$2:$A1377,"&lt;&gt;",$K$2:$K1377,"Yes",$L$2:$L1377,"")-1)))</f>
        <v/>
      </c>
      <c r="N1377" s="22"/>
    </row>
    <row r="1378" spans="1:14" x14ac:dyDescent="0.3">
      <c r="A1378" s="15" t="str">
        <f>IF(COUNTA($B1378:$E1378,$K1378)=0,"",IF(AND($B1378&lt;&gt;"",$C1378&lt;&gt;"",$D1378&lt;&gt;"",$E1378&lt;&gt;""),"TXS"&amp;TEXT(COUNTIFS($B$2:$B1378,"&lt;&gt;",$C$2:$C1378,"&lt;&gt;",$D$2:$D1378,"&lt;&gt;",$E$2:$E1378,"&lt;&gt;"),"00000"),""))</f>
        <v/>
      </c>
      <c r="B1378" s="16"/>
      <c r="C1378" s="20"/>
      <c r="D1378" s="20"/>
      <c r="E1378" s="23"/>
      <c r="H1378" s="21" t="str">
        <f t="shared" si="69"/>
        <v/>
      </c>
      <c r="I1378" s="21" t="str">
        <f t="shared" si="68"/>
        <v/>
      </c>
      <c r="J1378" s="21" t="str">
        <f t="shared" si="70"/>
        <v/>
      </c>
      <c r="K1378" s="20"/>
      <c r="L1378" s="21" t="str">
        <f>IF(OR(NOT(AND($B1378&lt;&gt;"",$C1378&lt;&gt;"",$D1378&lt;&gt;"",$E1378&lt;&gt;"")),$A1378="",$K1378&lt;&gt;"Yes"),"",IF($L1378&lt;&gt;"",$L1378,INDEX(SETUP!$I$1:$I$2000,MATCH(TRUE,SETUP!$J$1:$J$2000,0)+COUNTIFS($A$2:$A1378,"&lt;&gt;",$K$2:$K1378,"Yes",$L$2:$L1378,"")-1)))</f>
        <v/>
      </c>
      <c r="N1378" s="22"/>
    </row>
    <row r="1379" spans="1:14" x14ac:dyDescent="0.3">
      <c r="A1379" s="15" t="str">
        <f>IF(COUNTA($B1379:$E1379,$K1379)=0,"",IF(AND($B1379&lt;&gt;"",$C1379&lt;&gt;"",$D1379&lt;&gt;"",$E1379&lt;&gt;""),"TXS"&amp;TEXT(COUNTIFS($B$2:$B1379,"&lt;&gt;",$C$2:$C1379,"&lt;&gt;",$D$2:$D1379,"&lt;&gt;",$E$2:$E1379,"&lt;&gt;"),"00000"),""))</f>
        <v/>
      </c>
      <c r="B1379" s="16"/>
      <c r="C1379" s="20"/>
      <c r="D1379" s="20"/>
      <c r="E1379" s="23"/>
      <c r="H1379" s="21" t="str">
        <f t="shared" si="69"/>
        <v/>
      </c>
      <c r="I1379" s="21" t="str">
        <f t="shared" si="68"/>
        <v/>
      </c>
      <c r="J1379" s="21" t="str">
        <f t="shared" si="70"/>
        <v/>
      </c>
      <c r="K1379" s="20"/>
      <c r="L1379" s="21" t="str">
        <f>IF(OR(NOT(AND($B1379&lt;&gt;"",$C1379&lt;&gt;"",$D1379&lt;&gt;"",$E1379&lt;&gt;"")),$A1379="",$K1379&lt;&gt;"Yes"),"",IF($L1379&lt;&gt;"",$L1379,INDEX(SETUP!$I$1:$I$2000,MATCH(TRUE,SETUP!$J$1:$J$2000,0)+COUNTIFS($A$2:$A1379,"&lt;&gt;",$K$2:$K1379,"Yes",$L$2:$L1379,"")-1)))</f>
        <v/>
      </c>
      <c r="N1379" s="22"/>
    </row>
    <row r="1380" spans="1:14" x14ac:dyDescent="0.3">
      <c r="A1380" s="15" t="str">
        <f>IF(COUNTA($B1380:$E1380,$K1380)=0,"",IF(AND($B1380&lt;&gt;"",$C1380&lt;&gt;"",$D1380&lt;&gt;"",$E1380&lt;&gt;""),"TXS"&amp;TEXT(COUNTIFS($B$2:$B1380,"&lt;&gt;",$C$2:$C1380,"&lt;&gt;",$D$2:$D1380,"&lt;&gt;",$E$2:$E1380,"&lt;&gt;"),"00000"),""))</f>
        <v/>
      </c>
      <c r="B1380" s="16"/>
      <c r="C1380" s="20"/>
      <c r="D1380" s="20"/>
      <c r="E1380" s="23"/>
      <c r="H1380" s="21" t="str">
        <f t="shared" si="69"/>
        <v/>
      </c>
      <c r="I1380" s="21" t="str">
        <f t="shared" si="68"/>
        <v/>
      </c>
      <c r="J1380" s="21" t="str">
        <f t="shared" si="70"/>
        <v/>
      </c>
      <c r="K1380" s="20"/>
      <c r="L1380" s="21" t="str">
        <f>IF(OR(NOT(AND($B1380&lt;&gt;"",$C1380&lt;&gt;"",$D1380&lt;&gt;"",$E1380&lt;&gt;"")),$A1380="",$K1380&lt;&gt;"Yes"),"",IF($L1380&lt;&gt;"",$L1380,INDEX(SETUP!$I$1:$I$2000,MATCH(TRUE,SETUP!$J$1:$J$2000,0)+COUNTIFS($A$2:$A1380,"&lt;&gt;",$K$2:$K1380,"Yes",$L$2:$L1380,"")-1)))</f>
        <v/>
      </c>
      <c r="N1380" s="22"/>
    </row>
    <row r="1381" spans="1:14" x14ac:dyDescent="0.3">
      <c r="A1381" s="15" t="str">
        <f>IF(COUNTA($B1381:$E1381,$K1381)=0,"",IF(AND($B1381&lt;&gt;"",$C1381&lt;&gt;"",$D1381&lt;&gt;"",$E1381&lt;&gt;""),"TXS"&amp;TEXT(COUNTIFS($B$2:$B1381,"&lt;&gt;",$C$2:$C1381,"&lt;&gt;",$D$2:$D1381,"&lt;&gt;",$E$2:$E1381,"&lt;&gt;"),"00000"),""))</f>
        <v/>
      </c>
      <c r="B1381" s="16"/>
      <c r="C1381" s="20"/>
      <c r="D1381" s="20"/>
      <c r="E1381" s="23"/>
      <c r="H1381" s="21" t="str">
        <f t="shared" si="69"/>
        <v/>
      </c>
      <c r="I1381" s="21" t="str">
        <f t="shared" si="68"/>
        <v/>
      </c>
      <c r="J1381" s="21" t="str">
        <f t="shared" si="70"/>
        <v/>
      </c>
      <c r="K1381" s="20"/>
      <c r="L1381" s="21" t="str">
        <f>IF(OR(NOT(AND($B1381&lt;&gt;"",$C1381&lt;&gt;"",$D1381&lt;&gt;"",$E1381&lt;&gt;"")),$A1381="",$K1381&lt;&gt;"Yes"),"",IF($L1381&lt;&gt;"",$L1381,INDEX(SETUP!$I$1:$I$2000,MATCH(TRUE,SETUP!$J$1:$J$2000,0)+COUNTIFS($A$2:$A1381,"&lt;&gt;",$K$2:$K1381,"Yes",$L$2:$L1381,"")-1)))</f>
        <v/>
      </c>
      <c r="N1381" s="22"/>
    </row>
    <row r="1382" spans="1:14" x14ac:dyDescent="0.3">
      <c r="A1382" s="15" t="str">
        <f>IF(COUNTA($B1382:$E1382,$K1382)=0,"",IF(AND($B1382&lt;&gt;"",$C1382&lt;&gt;"",$D1382&lt;&gt;"",$E1382&lt;&gt;""),"TXS"&amp;TEXT(COUNTIFS($B$2:$B1382,"&lt;&gt;",$C$2:$C1382,"&lt;&gt;",$D$2:$D1382,"&lt;&gt;",$E$2:$E1382,"&lt;&gt;"),"00000"),""))</f>
        <v/>
      </c>
      <c r="B1382" s="16"/>
      <c r="C1382" s="20"/>
      <c r="D1382" s="20"/>
      <c r="E1382" s="23"/>
      <c r="H1382" s="21" t="str">
        <f t="shared" si="69"/>
        <v/>
      </c>
      <c r="I1382" s="21" t="str">
        <f t="shared" si="68"/>
        <v/>
      </c>
      <c r="J1382" s="21" t="str">
        <f t="shared" si="70"/>
        <v/>
      </c>
      <c r="K1382" s="20"/>
      <c r="L1382" s="21" t="str">
        <f>IF(OR(NOT(AND($B1382&lt;&gt;"",$C1382&lt;&gt;"",$D1382&lt;&gt;"",$E1382&lt;&gt;"")),$A1382="",$K1382&lt;&gt;"Yes"),"",IF($L1382&lt;&gt;"",$L1382,INDEX(SETUP!$I$1:$I$2000,MATCH(TRUE,SETUP!$J$1:$J$2000,0)+COUNTIFS($A$2:$A1382,"&lt;&gt;",$K$2:$K1382,"Yes",$L$2:$L1382,"")-1)))</f>
        <v/>
      </c>
      <c r="N1382" s="22"/>
    </row>
    <row r="1383" spans="1:14" x14ac:dyDescent="0.3">
      <c r="A1383" s="15" t="str">
        <f>IF(COUNTA($B1383:$E1383,$K1383)=0,"",IF(AND($B1383&lt;&gt;"",$C1383&lt;&gt;"",$D1383&lt;&gt;"",$E1383&lt;&gt;""),"TXS"&amp;TEXT(COUNTIFS($B$2:$B1383,"&lt;&gt;",$C$2:$C1383,"&lt;&gt;",$D$2:$D1383,"&lt;&gt;",$E$2:$E1383,"&lt;&gt;"),"00000"),""))</f>
        <v/>
      </c>
      <c r="B1383" s="16"/>
      <c r="C1383" s="20"/>
      <c r="D1383" s="20"/>
      <c r="E1383" s="23"/>
      <c r="H1383" s="21" t="str">
        <f t="shared" si="69"/>
        <v/>
      </c>
      <c r="I1383" s="21" t="str">
        <f t="shared" si="68"/>
        <v/>
      </c>
      <c r="J1383" s="21" t="str">
        <f t="shared" si="70"/>
        <v/>
      </c>
      <c r="K1383" s="20"/>
      <c r="L1383" s="21" t="str">
        <f>IF(OR(NOT(AND($B1383&lt;&gt;"",$C1383&lt;&gt;"",$D1383&lt;&gt;"",$E1383&lt;&gt;"")),$A1383="",$K1383&lt;&gt;"Yes"),"",IF($L1383&lt;&gt;"",$L1383,INDEX(SETUP!$I$1:$I$2000,MATCH(TRUE,SETUP!$J$1:$J$2000,0)+COUNTIFS($A$2:$A1383,"&lt;&gt;",$K$2:$K1383,"Yes",$L$2:$L1383,"")-1)))</f>
        <v/>
      </c>
      <c r="N1383" s="22"/>
    </row>
    <row r="1384" spans="1:14" x14ac:dyDescent="0.3">
      <c r="A1384" s="15" t="str">
        <f>IF(COUNTA($B1384:$E1384,$K1384)=0,"",IF(AND($B1384&lt;&gt;"",$C1384&lt;&gt;"",$D1384&lt;&gt;"",$E1384&lt;&gt;""),"TXS"&amp;TEXT(COUNTIFS($B$2:$B1384,"&lt;&gt;",$C$2:$C1384,"&lt;&gt;",$D$2:$D1384,"&lt;&gt;",$E$2:$E1384,"&lt;&gt;"),"00000"),""))</f>
        <v/>
      </c>
      <c r="B1384" s="16"/>
      <c r="C1384" s="20"/>
      <c r="D1384" s="20"/>
      <c r="E1384" s="23"/>
      <c r="H1384" s="21" t="str">
        <f t="shared" si="69"/>
        <v/>
      </c>
      <c r="I1384" s="21" t="str">
        <f t="shared" si="68"/>
        <v/>
      </c>
      <c r="J1384" s="21" t="str">
        <f t="shared" si="70"/>
        <v/>
      </c>
      <c r="K1384" s="20"/>
      <c r="L1384" s="21" t="str">
        <f>IF(OR(NOT(AND($B1384&lt;&gt;"",$C1384&lt;&gt;"",$D1384&lt;&gt;"",$E1384&lt;&gt;"")),$A1384="",$K1384&lt;&gt;"Yes"),"",IF($L1384&lt;&gt;"",$L1384,INDEX(SETUP!$I$1:$I$2000,MATCH(TRUE,SETUP!$J$1:$J$2000,0)+COUNTIFS($A$2:$A1384,"&lt;&gt;",$K$2:$K1384,"Yes",$L$2:$L1384,"")-1)))</f>
        <v/>
      </c>
      <c r="N1384" s="22"/>
    </row>
    <row r="1385" spans="1:14" x14ac:dyDescent="0.3">
      <c r="A1385" s="15" t="str">
        <f>IF(COUNTA($B1385:$E1385,$K1385)=0,"",IF(AND($B1385&lt;&gt;"",$C1385&lt;&gt;"",$D1385&lt;&gt;"",$E1385&lt;&gt;""),"TXS"&amp;TEXT(COUNTIFS($B$2:$B1385,"&lt;&gt;",$C$2:$C1385,"&lt;&gt;",$D$2:$D1385,"&lt;&gt;",$E$2:$E1385,"&lt;&gt;"),"00000"),""))</f>
        <v/>
      </c>
      <c r="B1385" s="16"/>
      <c r="C1385" s="20"/>
      <c r="D1385" s="20"/>
      <c r="E1385" s="23"/>
      <c r="H1385" s="21" t="str">
        <f t="shared" si="69"/>
        <v/>
      </c>
      <c r="I1385" s="21" t="str">
        <f t="shared" ref="I1385:I1448" si="71">IF(NOT(AND($B1385&lt;&gt;"",$C1385&lt;&gt;"",$D1385&lt;&gt;"",$E1385&lt;&gt;"")),"",IF($A1385="","","NIH plate "&amp;INT((VALUE(RIGHT($A1385,5))-1)/96)+1&amp;": "&amp;CHAR(65+INT(MOD(VALUE(RIGHT($A1385,5))-1,96)/12))&amp;(MOD(VALUE(RIGHT($A1385,5))-1,12)+1)))</f>
        <v/>
      </c>
      <c r="J1385" s="21" t="str">
        <f t="shared" si="70"/>
        <v/>
      </c>
      <c r="K1385" s="20"/>
      <c r="L1385" s="21" t="str">
        <f>IF(OR(NOT(AND($B1385&lt;&gt;"",$C1385&lt;&gt;"",$D1385&lt;&gt;"",$E1385&lt;&gt;"")),$A1385="",$K1385&lt;&gt;"Yes"),"",IF($L1385&lt;&gt;"",$L1385,INDEX(SETUP!$I$1:$I$2000,MATCH(TRUE,SETUP!$J$1:$J$2000,0)+COUNTIFS($A$2:$A1385,"&lt;&gt;",$K$2:$K1385,"Yes",$L$2:$L1385,"")-1)))</f>
        <v/>
      </c>
      <c r="N1385" s="22"/>
    </row>
    <row r="1386" spans="1:14" x14ac:dyDescent="0.3">
      <c r="A1386" s="15" t="str">
        <f>IF(COUNTA($B1386:$E1386,$K1386)=0,"",IF(AND($B1386&lt;&gt;"",$C1386&lt;&gt;"",$D1386&lt;&gt;"",$E1386&lt;&gt;""),"TXS"&amp;TEXT(COUNTIFS($B$2:$B1386,"&lt;&gt;",$C$2:$C1386,"&lt;&gt;",$D$2:$D1386,"&lt;&gt;",$E$2:$E1386,"&lt;&gt;"),"00000"),""))</f>
        <v/>
      </c>
      <c r="B1386" s="16"/>
      <c r="C1386" s="20"/>
      <c r="D1386" s="20"/>
      <c r="E1386" s="23"/>
      <c r="H1386" s="21" t="str">
        <f t="shared" si="69"/>
        <v/>
      </c>
      <c r="I1386" s="21" t="str">
        <f t="shared" si="71"/>
        <v/>
      </c>
      <c r="J1386" s="21" t="str">
        <f t="shared" si="70"/>
        <v/>
      </c>
      <c r="K1386" s="20"/>
      <c r="L1386" s="21" t="str">
        <f>IF(OR(NOT(AND($B1386&lt;&gt;"",$C1386&lt;&gt;"",$D1386&lt;&gt;"",$E1386&lt;&gt;"")),$A1386="",$K1386&lt;&gt;"Yes"),"",IF($L1386&lt;&gt;"",$L1386,INDEX(SETUP!$I$1:$I$2000,MATCH(TRUE,SETUP!$J$1:$J$2000,0)+COUNTIFS($A$2:$A1386,"&lt;&gt;",$K$2:$K1386,"Yes",$L$2:$L1386,"")-1)))</f>
        <v/>
      </c>
      <c r="N1386" s="22"/>
    </row>
    <row r="1387" spans="1:14" x14ac:dyDescent="0.3">
      <c r="A1387" s="15" t="str">
        <f>IF(COUNTA($B1387:$E1387,$K1387)=0,"",IF(AND($B1387&lt;&gt;"",$C1387&lt;&gt;"",$D1387&lt;&gt;"",$E1387&lt;&gt;""),"TXS"&amp;TEXT(COUNTIFS($B$2:$B1387,"&lt;&gt;",$C$2:$C1387,"&lt;&gt;",$D$2:$D1387,"&lt;&gt;",$E$2:$E1387,"&lt;&gt;"),"00000"),""))</f>
        <v/>
      </c>
      <c r="B1387" s="16"/>
      <c r="C1387" s="20"/>
      <c r="D1387" s="20"/>
      <c r="E1387" s="23"/>
      <c r="H1387" s="21" t="str">
        <f t="shared" si="69"/>
        <v/>
      </c>
      <c r="I1387" s="21" t="str">
        <f t="shared" si="71"/>
        <v/>
      </c>
      <c r="J1387" s="21" t="str">
        <f t="shared" si="70"/>
        <v/>
      </c>
      <c r="K1387" s="20"/>
      <c r="L1387" s="21" t="str">
        <f>IF(OR(NOT(AND($B1387&lt;&gt;"",$C1387&lt;&gt;"",$D1387&lt;&gt;"",$E1387&lt;&gt;"")),$A1387="",$K1387&lt;&gt;"Yes"),"",IF($L1387&lt;&gt;"",$L1387,INDEX(SETUP!$I$1:$I$2000,MATCH(TRUE,SETUP!$J$1:$J$2000,0)+COUNTIFS($A$2:$A1387,"&lt;&gt;",$K$2:$K1387,"Yes",$L$2:$L1387,"")-1)))</f>
        <v/>
      </c>
      <c r="N1387" s="22"/>
    </row>
    <row r="1388" spans="1:14" x14ac:dyDescent="0.3">
      <c r="A1388" s="15" t="str">
        <f>IF(COUNTA($B1388:$E1388,$K1388)=0,"",IF(AND($B1388&lt;&gt;"",$C1388&lt;&gt;"",$D1388&lt;&gt;"",$E1388&lt;&gt;""),"TXS"&amp;TEXT(COUNTIFS($B$2:$B1388,"&lt;&gt;",$C$2:$C1388,"&lt;&gt;",$D$2:$D1388,"&lt;&gt;",$E$2:$E1388,"&lt;&gt;"),"00000"),""))</f>
        <v/>
      </c>
      <c r="B1388" s="16"/>
      <c r="C1388" s="20"/>
      <c r="D1388" s="20"/>
      <c r="E1388" s="23"/>
      <c r="H1388" s="21" t="str">
        <f t="shared" si="69"/>
        <v/>
      </c>
      <c r="I1388" s="21" t="str">
        <f t="shared" si="71"/>
        <v/>
      </c>
      <c r="J1388" s="21" t="str">
        <f t="shared" si="70"/>
        <v/>
      </c>
      <c r="K1388" s="20"/>
      <c r="L1388" s="21" t="str">
        <f>IF(OR(NOT(AND($B1388&lt;&gt;"",$C1388&lt;&gt;"",$D1388&lt;&gt;"",$E1388&lt;&gt;"")),$A1388="",$K1388&lt;&gt;"Yes"),"",IF($L1388&lt;&gt;"",$L1388,INDEX(SETUP!$I$1:$I$2000,MATCH(TRUE,SETUP!$J$1:$J$2000,0)+COUNTIFS($A$2:$A1388,"&lt;&gt;",$K$2:$K1388,"Yes",$L$2:$L1388,"")-1)))</f>
        <v/>
      </c>
      <c r="N1388" s="22"/>
    </row>
    <row r="1389" spans="1:14" x14ac:dyDescent="0.3">
      <c r="A1389" s="15" t="str">
        <f>IF(COUNTA($B1389:$E1389,$K1389)=0,"",IF(AND($B1389&lt;&gt;"",$C1389&lt;&gt;"",$D1389&lt;&gt;"",$E1389&lt;&gt;""),"TXS"&amp;TEXT(COUNTIFS($B$2:$B1389,"&lt;&gt;",$C$2:$C1389,"&lt;&gt;",$D$2:$D1389,"&lt;&gt;",$E$2:$E1389,"&lt;&gt;"),"00000"),""))</f>
        <v/>
      </c>
      <c r="B1389" s="16"/>
      <c r="C1389" s="20"/>
      <c r="D1389" s="20"/>
      <c r="E1389" s="23"/>
      <c r="H1389" s="21" t="str">
        <f t="shared" si="69"/>
        <v/>
      </c>
      <c r="I1389" s="21" t="str">
        <f t="shared" si="71"/>
        <v/>
      </c>
      <c r="J1389" s="21" t="str">
        <f t="shared" si="70"/>
        <v/>
      </c>
      <c r="K1389" s="20"/>
      <c r="L1389" s="21" t="str">
        <f>IF(OR(NOT(AND($B1389&lt;&gt;"",$C1389&lt;&gt;"",$D1389&lt;&gt;"",$E1389&lt;&gt;"")),$A1389="",$K1389&lt;&gt;"Yes"),"",IF($L1389&lt;&gt;"",$L1389,INDEX(SETUP!$I$1:$I$2000,MATCH(TRUE,SETUP!$J$1:$J$2000,0)+COUNTIFS($A$2:$A1389,"&lt;&gt;",$K$2:$K1389,"Yes",$L$2:$L1389,"")-1)))</f>
        <v/>
      </c>
      <c r="N1389" s="22"/>
    </row>
    <row r="1390" spans="1:14" x14ac:dyDescent="0.3">
      <c r="A1390" s="15" t="str">
        <f>IF(COUNTA($B1390:$E1390,$K1390)=0,"",IF(AND($B1390&lt;&gt;"",$C1390&lt;&gt;"",$D1390&lt;&gt;"",$E1390&lt;&gt;""),"TXS"&amp;TEXT(COUNTIFS($B$2:$B1390,"&lt;&gt;",$C$2:$C1390,"&lt;&gt;",$D$2:$D1390,"&lt;&gt;",$E$2:$E1390,"&lt;&gt;"),"00000"),""))</f>
        <v/>
      </c>
      <c r="B1390" s="16"/>
      <c r="C1390" s="20"/>
      <c r="D1390" s="20"/>
      <c r="E1390" s="23"/>
      <c r="H1390" s="21" t="str">
        <f t="shared" si="69"/>
        <v/>
      </c>
      <c r="I1390" s="21" t="str">
        <f t="shared" si="71"/>
        <v/>
      </c>
      <c r="J1390" s="21" t="str">
        <f t="shared" si="70"/>
        <v/>
      </c>
      <c r="K1390" s="20"/>
      <c r="L1390" s="21" t="str">
        <f>IF(OR(NOT(AND($B1390&lt;&gt;"",$C1390&lt;&gt;"",$D1390&lt;&gt;"",$E1390&lt;&gt;"")),$A1390="",$K1390&lt;&gt;"Yes"),"",IF($L1390&lt;&gt;"",$L1390,INDEX(SETUP!$I$1:$I$2000,MATCH(TRUE,SETUP!$J$1:$J$2000,0)+COUNTIFS($A$2:$A1390,"&lt;&gt;",$K$2:$K1390,"Yes",$L$2:$L1390,"")-1)))</f>
        <v/>
      </c>
      <c r="N1390" s="22"/>
    </row>
    <row r="1391" spans="1:14" x14ac:dyDescent="0.3">
      <c r="A1391" s="15" t="str">
        <f>IF(COUNTA($B1391:$E1391,$K1391)=0,"",IF(AND($B1391&lt;&gt;"",$C1391&lt;&gt;"",$D1391&lt;&gt;"",$E1391&lt;&gt;""),"TXS"&amp;TEXT(COUNTIFS($B$2:$B1391,"&lt;&gt;",$C$2:$C1391,"&lt;&gt;",$D$2:$D1391,"&lt;&gt;",$E$2:$E1391,"&lt;&gt;"),"00000"),""))</f>
        <v/>
      </c>
      <c r="B1391" s="16"/>
      <c r="C1391" s="20"/>
      <c r="D1391" s="20"/>
      <c r="E1391" s="23"/>
      <c r="H1391" s="21" t="str">
        <f t="shared" ref="H1391:H1454" si="72">IF(NOT(AND($B1391&lt;&gt;"",$C1391&lt;&gt;"",$D1391&lt;&gt;"",$E1391&lt;&gt;"")),"",IF($A1391="","","CDI plate "&amp;INT((VALUE(RIGHT($A1391,5))-1)/96)+1&amp;": "&amp;CHAR(65+INT(MOD(VALUE(RIGHT($A1391,5))-1,96)/12))&amp;(MOD(VALUE(RIGHT($A1391,5))-1,12)+1)))</f>
        <v/>
      </c>
      <c r="I1391" s="21" t="str">
        <f t="shared" si="71"/>
        <v/>
      </c>
      <c r="J1391" s="21" t="str">
        <f t="shared" si="70"/>
        <v/>
      </c>
      <c r="K1391" s="20"/>
      <c r="L1391" s="21" t="str">
        <f>IF(OR(NOT(AND($B1391&lt;&gt;"",$C1391&lt;&gt;"",$D1391&lt;&gt;"",$E1391&lt;&gt;"")),$A1391="",$K1391&lt;&gt;"Yes"),"",IF($L1391&lt;&gt;"",$L1391,INDEX(SETUP!$I$1:$I$2000,MATCH(TRUE,SETUP!$J$1:$J$2000,0)+COUNTIFS($A$2:$A1391,"&lt;&gt;",$K$2:$K1391,"Yes",$L$2:$L1391,"")-1)))</f>
        <v/>
      </c>
      <c r="N1391" s="22"/>
    </row>
    <row r="1392" spans="1:14" x14ac:dyDescent="0.3">
      <c r="A1392" s="15" t="str">
        <f>IF(COUNTA($B1392:$E1392,$K1392)=0,"",IF(AND($B1392&lt;&gt;"",$C1392&lt;&gt;"",$D1392&lt;&gt;"",$E1392&lt;&gt;""),"TXS"&amp;TEXT(COUNTIFS($B$2:$B1392,"&lt;&gt;",$C$2:$C1392,"&lt;&gt;",$D$2:$D1392,"&lt;&gt;",$E$2:$E1392,"&lt;&gt;"),"00000"),""))</f>
        <v/>
      </c>
      <c r="B1392" s="16"/>
      <c r="C1392" s="20"/>
      <c r="D1392" s="20"/>
      <c r="E1392" s="23"/>
      <c r="H1392" s="21" t="str">
        <f t="shared" si="72"/>
        <v/>
      </c>
      <c r="I1392" s="21" t="str">
        <f t="shared" si="71"/>
        <v/>
      </c>
      <c r="J1392" s="21" t="str">
        <f t="shared" si="70"/>
        <v/>
      </c>
      <c r="K1392" s="20"/>
      <c r="L1392" s="21" t="str">
        <f>IF(OR(NOT(AND($B1392&lt;&gt;"",$C1392&lt;&gt;"",$D1392&lt;&gt;"",$E1392&lt;&gt;"")),$A1392="",$K1392&lt;&gt;"Yes"),"",IF($L1392&lt;&gt;"",$L1392,INDEX(SETUP!$I$1:$I$2000,MATCH(TRUE,SETUP!$J$1:$J$2000,0)+COUNTIFS($A$2:$A1392,"&lt;&gt;",$K$2:$K1392,"Yes",$L$2:$L1392,"")-1)))</f>
        <v/>
      </c>
      <c r="N1392" s="22"/>
    </row>
    <row r="1393" spans="1:14" x14ac:dyDescent="0.3">
      <c r="A1393" s="15" t="str">
        <f>IF(COUNTA($B1393:$E1393,$K1393)=0,"",IF(AND($B1393&lt;&gt;"",$C1393&lt;&gt;"",$D1393&lt;&gt;"",$E1393&lt;&gt;""),"TXS"&amp;TEXT(COUNTIFS($B$2:$B1393,"&lt;&gt;",$C$2:$C1393,"&lt;&gt;",$D$2:$D1393,"&lt;&gt;",$E$2:$E1393,"&lt;&gt;"),"00000"),""))</f>
        <v/>
      </c>
      <c r="B1393" s="16"/>
      <c r="C1393" s="20"/>
      <c r="D1393" s="20"/>
      <c r="E1393" s="23"/>
      <c r="H1393" s="21" t="str">
        <f t="shared" si="72"/>
        <v/>
      </c>
      <c r="I1393" s="21" t="str">
        <f t="shared" si="71"/>
        <v/>
      </c>
      <c r="J1393" s="21" t="str">
        <f t="shared" si="70"/>
        <v/>
      </c>
      <c r="K1393" s="20"/>
      <c r="L1393" s="21" t="str">
        <f>IF(OR(NOT(AND($B1393&lt;&gt;"",$C1393&lt;&gt;"",$D1393&lt;&gt;"",$E1393&lt;&gt;"")),$A1393="",$K1393&lt;&gt;"Yes"),"",IF($L1393&lt;&gt;"",$L1393,INDEX(SETUP!$I$1:$I$2000,MATCH(TRUE,SETUP!$J$1:$J$2000,0)+COUNTIFS($A$2:$A1393,"&lt;&gt;",$K$2:$K1393,"Yes",$L$2:$L1393,"")-1)))</f>
        <v/>
      </c>
      <c r="N1393" s="22"/>
    </row>
    <row r="1394" spans="1:14" x14ac:dyDescent="0.3">
      <c r="A1394" s="15" t="str">
        <f>IF(COUNTA($B1394:$E1394,$K1394)=0,"",IF(AND($B1394&lt;&gt;"",$C1394&lt;&gt;"",$D1394&lt;&gt;"",$E1394&lt;&gt;""),"TXS"&amp;TEXT(COUNTIFS($B$2:$B1394,"&lt;&gt;",$C$2:$C1394,"&lt;&gt;",$D$2:$D1394,"&lt;&gt;",$E$2:$E1394,"&lt;&gt;"),"00000"),""))</f>
        <v/>
      </c>
      <c r="B1394" s="16"/>
      <c r="C1394" s="20"/>
      <c r="D1394" s="20"/>
      <c r="E1394" s="23"/>
      <c r="H1394" s="21" t="str">
        <f t="shared" si="72"/>
        <v/>
      </c>
      <c r="I1394" s="21" t="str">
        <f t="shared" si="71"/>
        <v/>
      </c>
      <c r="J1394" s="21" t="str">
        <f t="shared" ref="J1394:J1457" si="73">IF(NOT(AND($B1394&lt;&gt;"",$C1394&lt;&gt;"",$D1394&lt;&gt;"",$E1394&lt;&gt;"")),"",IF($A1394="","","Max Planck plate "&amp;INT((VALUE(RIGHT($A1394,5))-1)/96)+1&amp;": "&amp;CHAR(65+INT(MOD(VALUE(RIGHT($A1394,5))-1,96)/12))&amp;(MOD(VALUE(RIGHT($A1394,5))-1,12)+1)))</f>
        <v/>
      </c>
      <c r="K1394" s="20"/>
      <c r="L1394" s="21" t="str">
        <f>IF(OR(NOT(AND($B1394&lt;&gt;"",$C1394&lt;&gt;"",$D1394&lt;&gt;"",$E1394&lt;&gt;"")),$A1394="",$K1394&lt;&gt;"Yes"),"",IF($L1394&lt;&gt;"",$L1394,INDEX(SETUP!$I$1:$I$2000,MATCH(TRUE,SETUP!$J$1:$J$2000,0)+COUNTIFS($A$2:$A1394,"&lt;&gt;",$K$2:$K1394,"Yes",$L$2:$L1394,"")-1)))</f>
        <v/>
      </c>
      <c r="N1394" s="22"/>
    </row>
    <row r="1395" spans="1:14" x14ac:dyDescent="0.3">
      <c r="A1395" s="15" t="str">
        <f>IF(COUNTA($B1395:$E1395,$K1395)=0,"",IF(AND($B1395&lt;&gt;"",$C1395&lt;&gt;"",$D1395&lt;&gt;"",$E1395&lt;&gt;""),"TXS"&amp;TEXT(COUNTIFS($B$2:$B1395,"&lt;&gt;",$C$2:$C1395,"&lt;&gt;",$D$2:$D1395,"&lt;&gt;",$E$2:$E1395,"&lt;&gt;"),"00000"),""))</f>
        <v/>
      </c>
      <c r="B1395" s="16"/>
      <c r="C1395" s="20"/>
      <c r="D1395" s="20"/>
      <c r="E1395" s="23"/>
      <c r="H1395" s="21" t="str">
        <f t="shared" si="72"/>
        <v/>
      </c>
      <c r="I1395" s="21" t="str">
        <f t="shared" si="71"/>
        <v/>
      </c>
      <c r="J1395" s="21" t="str">
        <f t="shared" si="73"/>
        <v/>
      </c>
      <c r="K1395" s="20"/>
      <c r="L1395" s="21" t="str">
        <f>IF(OR(NOT(AND($B1395&lt;&gt;"",$C1395&lt;&gt;"",$D1395&lt;&gt;"",$E1395&lt;&gt;"")),$A1395="",$K1395&lt;&gt;"Yes"),"",IF($L1395&lt;&gt;"",$L1395,INDEX(SETUP!$I$1:$I$2000,MATCH(TRUE,SETUP!$J$1:$J$2000,0)+COUNTIFS($A$2:$A1395,"&lt;&gt;",$K$2:$K1395,"Yes",$L$2:$L1395,"")-1)))</f>
        <v/>
      </c>
      <c r="N1395" s="22"/>
    </row>
    <row r="1396" spans="1:14" x14ac:dyDescent="0.3">
      <c r="A1396" s="15" t="str">
        <f>IF(COUNTA($B1396:$E1396,$K1396)=0,"",IF(AND($B1396&lt;&gt;"",$C1396&lt;&gt;"",$D1396&lt;&gt;"",$E1396&lt;&gt;""),"TXS"&amp;TEXT(COUNTIFS($B$2:$B1396,"&lt;&gt;",$C$2:$C1396,"&lt;&gt;",$D$2:$D1396,"&lt;&gt;",$E$2:$E1396,"&lt;&gt;"),"00000"),""))</f>
        <v/>
      </c>
      <c r="B1396" s="16"/>
      <c r="C1396" s="20"/>
      <c r="D1396" s="20"/>
      <c r="E1396" s="23"/>
      <c r="H1396" s="21" t="str">
        <f t="shared" si="72"/>
        <v/>
      </c>
      <c r="I1396" s="21" t="str">
        <f t="shared" si="71"/>
        <v/>
      </c>
      <c r="J1396" s="21" t="str">
        <f t="shared" si="73"/>
        <v/>
      </c>
      <c r="K1396" s="20"/>
      <c r="L1396" s="21" t="str">
        <f>IF(OR(NOT(AND($B1396&lt;&gt;"",$C1396&lt;&gt;"",$D1396&lt;&gt;"",$E1396&lt;&gt;"")),$A1396="",$K1396&lt;&gt;"Yes"),"",IF($L1396&lt;&gt;"",$L1396,INDEX(SETUP!$I$1:$I$2000,MATCH(TRUE,SETUP!$J$1:$J$2000,0)+COUNTIFS($A$2:$A1396,"&lt;&gt;",$K$2:$K1396,"Yes",$L$2:$L1396,"")-1)))</f>
        <v/>
      </c>
      <c r="N1396" s="22"/>
    </row>
    <row r="1397" spans="1:14" x14ac:dyDescent="0.3">
      <c r="A1397" s="15" t="str">
        <f>IF(COUNTA($B1397:$E1397,$K1397)=0,"",IF(AND($B1397&lt;&gt;"",$C1397&lt;&gt;"",$D1397&lt;&gt;"",$E1397&lt;&gt;""),"TXS"&amp;TEXT(COUNTIFS($B$2:$B1397,"&lt;&gt;",$C$2:$C1397,"&lt;&gt;",$D$2:$D1397,"&lt;&gt;",$E$2:$E1397,"&lt;&gt;"),"00000"),""))</f>
        <v/>
      </c>
      <c r="B1397" s="16"/>
      <c r="C1397" s="20"/>
      <c r="D1397" s="20"/>
      <c r="E1397" s="23"/>
      <c r="H1397" s="21" t="str">
        <f t="shared" si="72"/>
        <v/>
      </c>
      <c r="I1397" s="21" t="str">
        <f t="shared" si="71"/>
        <v/>
      </c>
      <c r="J1397" s="21" t="str">
        <f t="shared" si="73"/>
        <v/>
      </c>
      <c r="K1397" s="20"/>
      <c r="L1397" s="21" t="str">
        <f>IF(OR(NOT(AND($B1397&lt;&gt;"",$C1397&lt;&gt;"",$D1397&lt;&gt;"",$E1397&lt;&gt;"")),$A1397="",$K1397&lt;&gt;"Yes"),"",IF($L1397&lt;&gt;"",$L1397,INDEX(SETUP!$I$1:$I$2000,MATCH(TRUE,SETUP!$J$1:$J$2000,0)+COUNTIFS($A$2:$A1397,"&lt;&gt;",$K$2:$K1397,"Yes",$L$2:$L1397,"")-1)))</f>
        <v/>
      </c>
      <c r="N1397" s="22"/>
    </row>
    <row r="1398" spans="1:14" x14ac:dyDescent="0.3">
      <c r="A1398" s="15" t="str">
        <f>IF(COUNTA($B1398:$E1398,$K1398)=0,"",IF(AND($B1398&lt;&gt;"",$C1398&lt;&gt;"",$D1398&lt;&gt;"",$E1398&lt;&gt;""),"TXS"&amp;TEXT(COUNTIFS($B$2:$B1398,"&lt;&gt;",$C$2:$C1398,"&lt;&gt;",$D$2:$D1398,"&lt;&gt;",$E$2:$E1398,"&lt;&gt;"),"00000"),""))</f>
        <v/>
      </c>
      <c r="B1398" s="16"/>
      <c r="C1398" s="20"/>
      <c r="D1398" s="20"/>
      <c r="E1398" s="23"/>
      <c r="H1398" s="21" t="str">
        <f t="shared" si="72"/>
        <v/>
      </c>
      <c r="I1398" s="21" t="str">
        <f t="shared" si="71"/>
        <v/>
      </c>
      <c r="J1398" s="21" t="str">
        <f t="shared" si="73"/>
        <v/>
      </c>
      <c r="K1398" s="20"/>
      <c r="L1398" s="21" t="str">
        <f>IF(OR(NOT(AND($B1398&lt;&gt;"",$C1398&lt;&gt;"",$D1398&lt;&gt;"",$E1398&lt;&gt;"")),$A1398="",$K1398&lt;&gt;"Yes"),"",IF($L1398&lt;&gt;"",$L1398,INDEX(SETUP!$I$1:$I$2000,MATCH(TRUE,SETUP!$J$1:$J$2000,0)+COUNTIFS($A$2:$A1398,"&lt;&gt;",$K$2:$K1398,"Yes",$L$2:$L1398,"")-1)))</f>
        <v/>
      </c>
      <c r="N1398" s="22"/>
    </row>
    <row r="1399" spans="1:14" x14ac:dyDescent="0.3">
      <c r="A1399" s="15" t="str">
        <f>IF(COUNTA($B1399:$E1399,$K1399)=0,"",IF(AND($B1399&lt;&gt;"",$C1399&lt;&gt;"",$D1399&lt;&gt;"",$E1399&lt;&gt;""),"TXS"&amp;TEXT(COUNTIFS($B$2:$B1399,"&lt;&gt;",$C$2:$C1399,"&lt;&gt;",$D$2:$D1399,"&lt;&gt;",$E$2:$E1399,"&lt;&gt;"),"00000"),""))</f>
        <v/>
      </c>
      <c r="B1399" s="16"/>
      <c r="C1399" s="20"/>
      <c r="D1399" s="20"/>
      <c r="E1399" s="23"/>
      <c r="H1399" s="21" t="str">
        <f t="shared" si="72"/>
        <v/>
      </c>
      <c r="I1399" s="21" t="str">
        <f t="shared" si="71"/>
        <v/>
      </c>
      <c r="J1399" s="21" t="str">
        <f t="shared" si="73"/>
        <v/>
      </c>
      <c r="K1399" s="20"/>
      <c r="L1399" s="21" t="str">
        <f>IF(OR(NOT(AND($B1399&lt;&gt;"",$C1399&lt;&gt;"",$D1399&lt;&gt;"",$E1399&lt;&gt;"")),$A1399="",$K1399&lt;&gt;"Yes"),"",IF($L1399&lt;&gt;"",$L1399,INDEX(SETUP!$I$1:$I$2000,MATCH(TRUE,SETUP!$J$1:$J$2000,0)+COUNTIFS($A$2:$A1399,"&lt;&gt;",$K$2:$K1399,"Yes",$L$2:$L1399,"")-1)))</f>
        <v/>
      </c>
      <c r="N1399" s="22"/>
    </row>
    <row r="1400" spans="1:14" x14ac:dyDescent="0.3">
      <c r="A1400" s="15" t="str">
        <f>IF(COUNTA($B1400:$E1400,$K1400)=0,"",IF(AND($B1400&lt;&gt;"",$C1400&lt;&gt;"",$D1400&lt;&gt;"",$E1400&lt;&gt;""),"TXS"&amp;TEXT(COUNTIFS($B$2:$B1400,"&lt;&gt;",$C$2:$C1400,"&lt;&gt;",$D$2:$D1400,"&lt;&gt;",$E$2:$E1400,"&lt;&gt;"),"00000"),""))</f>
        <v/>
      </c>
      <c r="B1400" s="16"/>
      <c r="C1400" s="20"/>
      <c r="D1400" s="20"/>
      <c r="E1400" s="23"/>
      <c r="H1400" s="21" t="str">
        <f t="shared" si="72"/>
        <v/>
      </c>
      <c r="I1400" s="21" t="str">
        <f t="shared" si="71"/>
        <v/>
      </c>
      <c r="J1400" s="21" t="str">
        <f t="shared" si="73"/>
        <v/>
      </c>
      <c r="K1400" s="20"/>
      <c r="L1400" s="21" t="str">
        <f>IF(OR(NOT(AND($B1400&lt;&gt;"",$C1400&lt;&gt;"",$D1400&lt;&gt;"",$E1400&lt;&gt;"")),$A1400="",$K1400&lt;&gt;"Yes"),"",IF($L1400&lt;&gt;"",$L1400,INDEX(SETUP!$I$1:$I$2000,MATCH(TRUE,SETUP!$J$1:$J$2000,0)+COUNTIFS($A$2:$A1400,"&lt;&gt;",$K$2:$K1400,"Yes",$L$2:$L1400,"")-1)))</f>
        <v/>
      </c>
      <c r="N1400" s="22"/>
    </row>
    <row r="1401" spans="1:14" x14ac:dyDescent="0.3">
      <c r="A1401" s="15" t="str">
        <f>IF(COUNTA($B1401:$E1401,$K1401)=0,"",IF(AND($B1401&lt;&gt;"",$C1401&lt;&gt;"",$D1401&lt;&gt;"",$E1401&lt;&gt;""),"TXS"&amp;TEXT(COUNTIFS($B$2:$B1401,"&lt;&gt;",$C$2:$C1401,"&lt;&gt;",$D$2:$D1401,"&lt;&gt;",$E$2:$E1401,"&lt;&gt;"),"00000"),""))</f>
        <v/>
      </c>
      <c r="B1401" s="16"/>
      <c r="C1401" s="20"/>
      <c r="D1401" s="20"/>
      <c r="E1401" s="23"/>
      <c r="H1401" s="21" t="str">
        <f t="shared" si="72"/>
        <v/>
      </c>
      <c r="I1401" s="21" t="str">
        <f t="shared" si="71"/>
        <v/>
      </c>
      <c r="J1401" s="21" t="str">
        <f t="shared" si="73"/>
        <v/>
      </c>
      <c r="K1401" s="20"/>
      <c r="L1401" s="21" t="str">
        <f>IF(OR(NOT(AND($B1401&lt;&gt;"",$C1401&lt;&gt;"",$D1401&lt;&gt;"",$E1401&lt;&gt;"")),$A1401="",$K1401&lt;&gt;"Yes"),"",IF($L1401&lt;&gt;"",$L1401,INDEX(SETUP!$I$1:$I$2000,MATCH(TRUE,SETUP!$J$1:$J$2000,0)+COUNTIFS($A$2:$A1401,"&lt;&gt;",$K$2:$K1401,"Yes",$L$2:$L1401,"")-1)))</f>
        <v/>
      </c>
      <c r="N1401" s="22"/>
    </row>
    <row r="1402" spans="1:14" x14ac:dyDescent="0.3">
      <c r="A1402" s="15" t="str">
        <f>IF(COUNTA($B1402:$E1402,$K1402)=0,"",IF(AND($B1402&lt;&gt;"",$C1402&lt;&gt;"",$D1402&lt;&gt;"",$E1402&lt;&gt;""),"TXS"&amp;TEXT(COUNTIFS($B$2:$B1402,"&lt;&gt;",$C$2:$C1402,"&lt;&gt;",$D$2:$D1402,"&lt;&gt;",$E$2:$E1402,"&lt;&gt;"),"00000"),""))</f>
        <v/>
      </c>
      <c r="B1402" s="16"/>
      <c r="C1402" s="20"/>
      <c r="D1402" s="20"/>
      <c r="E1402" s="23"/>
      <c r="H1402" s="21" t="str">
        <f t="shared" si="72"/>
        <v/>
      </c>
      <c r="I1402" s="21" t="str">
        <f t="shared" si="71"/>
        <v/>
      </c>
      <c r="J1402" s="21" t="str">
        <f t="shared" si="73"/>
        <v/>
      </c>
      <c r="K1402" s="20"/>
      <c r="L1402" s="21" t="str">
        <f>IF(OR(NOT(AND($B1402&lt;&gt;"",$C1402&lt;&gt;"",$D1402&lt;&gt;"",$E1402&lt;&gt;"")),$A1402="",$K1402&lt;&gt;"Yes"),"",IF($L1402&lt;&gt;"",$L1402,INDEX(SETUP!$I$1:$I$2000,MATCH(TRUE,SETUP!$J$1:$J$2000,0)+COUNTIFS($A$2:$A1402,"&lt;&gt;",$K$2:$K1402,"Yes",$L$2:$L1402,"")-1)))</f>
        <v/>
      </c>
      <c r="N1402" s="22"/>
    </row>
    <row r="1403" spans="1:14" x14ac:dyDescent="0.3">
      <c r="A1403" s="15" t="str">
        <f>IF(COUNTA($B1403:$E1403,$K1403)=0,"",IF(AND($B1403&lt;&gt;"",$C1403&lt;&gt;"",$D1403&lt;&gt;"",$E1403&lt;&gt;""),"TXS"&amp;TEXT(COUNTIFS($B$2:$B1403,"&lt;&gt;",$C$2:$C1403,"&lt;&gt;",$D$2:$D1403,"&lt;&gt;",$E$2:$E1403,"&lt;&gt;"),"00000"),""))</f>
        <v/>
      </c>
      <c r="B1403" s="16"/>
      <c r="C1403" s="20"/>
      <c r="D1403" s="20"/>
      <c r="E1403" s="23"/>
      <c r="H1403" s="21" t="str">
        <f t="shared" si="72"/>
        <v/>
      </c>
      <c r="I1403" s="21" t="str">
        <f t="shared" si="71"/>
        <v/>
      </c>
      <c r="J1403" s="21" t="str">
        <f t="shared" si="73"/>
        <v/>
      </c>
      <c r="K1403" s="20"/>
      <c r="L1403" s="21" t="str">
        <f>IF(OR(NOT(AND($B1403&lt;&gt;"",$C1403&lt;&gt;"",$D1403&lt;&gt;"",$E1403&lt;&gt;"")),$A1403="",$K1403&lt;&gt;"Yes"),"",IF($L1403&lt;&gt;"",$L1403,INDEX(SETUP!$I$1:$I$2000,MATCH(TRUE,SETUP!$J$1:$J$2000,0)+COUNTIFS($A$2:$A1403,"&lt;&gt;",$K$2:$K1403,"Yes",$L$2:$L1403,"")-1)))</f>
        <v/>
      </c>
      <c r="N1403" s="22"/>
    </row>
    <row r="1404" spans="1:14" x14ac:dyDescent="0.3">
      <c r="A1404" s="15" t="str">
        <f>IF(COUNTA($B1404:$E1404,$K1404)=0,"",IF(AND($B1404&lt;&gt;"",$C1404&lt;&gt;"",$D1404&lt;&gt;"",$E1404&lt;&gt;""),"TXS"&amp;TEXT(COUNTIFS($B$2:$B1404,"&lt;&gt;",$C$2:$C1404,"&lt;&gt;",$D$2:$D1404,"&lt;&gt;",$E$2:$E1404,"&lt;&gt;"),"00000"),""))</f>
        <v/>
      </c>
      <c r="B1404" s="16"/>
      <c r="C1404" s="20"/>
      <c r="D1404" s="20"/>
      <c r="E1404" s="23"/>
      <c r="H1404" s="21" t="str">
        <f t="shared" si="72"/>
        <v/>
      </c>
      <c r="I1404" s="21" t="str">
        <f t="shared" si="71"/>
        <v/>
      </c>
      <c r="J1404" s="21" t="str">
        <f t="shared" si="73"/>
        <v/>
      </c>
      <c r="K1404" s="20"/>
      <c r="L1404" s="21" t="str">
        <f>IF(OR(NOT(AND($B1404&lt;&gt;"",$C1404&lt;&gt;"",$D1404&lt;&gt;"",$E1404&lt;&gt;"")),$A1404="",$K1404&lt;&gt;"Yes"),"",IF($L1404&lt;&gt;"",$L1404,INDEX(SETUP!$I$1:$I$2000,MATCH(TRUE,SETUP!$J$1:$J$2000,0)+COUNTIFS($A$2:$A1404,"&lt;&gt;",$K$2:$K1404,"Yes",$L$2:$L1404,"")-1)))</f>
        <v/>
      </c>
      <c r="N1404" s="22"/>
    </row>
    <row r="1405" spans="1:14" x14ac:dyDescent="0.3">
      <c r="A1405" s="15" t="str">
        <f>IF(COUNTA($B1405:$E1405,$K1405)=0,"",IF(AND($B1405&lt;&gt;"",$C1405&lt;&gt;"",$D1405&lt;&gt;"",$E1405&lt;&gt;""),"TXS"&amp;TEXT(COUNTIFS($B$2:$B1405,"&lt;&gt;",$C$2:$C1405,"&lt;&gt;",$D$2:$D1405,"&lt;&gt;",$E$2:$E1405,"&lt;&gt;"),"00000"),""))</f>
        <v/>
      </c>
      <c r="B1405" s="16"/>
      <c r="C1405" s="20"/>
      <c r="D1405" s="20"/>
      <c r="E1405" s="23"/>
      <c r="H1405" s="21" t="str">
        <f t="shared" si="72"/>
        <v/>
      </c>
      <c r="I1405" s="21" t="str">
        <f t="shared" si="71"/>
        <v/>
      </c>
      <c r="J1405" s="21" t="str">
        <f t="shared" si="73"/>
        <v/>
      </c>
      <c r="K1405" s="20"/>
      <c r="L1405" s="21" t="str">
        <f>IF(OR(NOT(AND($B1405&lt;&gt;"",$C1405&lt;&gt;"",$D1405&lt;&gt;"",$E1405&lt;&gt;"")),$A1405="",$K1405&lt;&gt;"Yes"),"",IF($L1405&lt;&gt;"",$L1405,INDEX(SETUP!$I$1:$I$2000,MATCH(TRUE,SETUP!$J$1:$J$2000,0)+COUNTIFS($A$2:$A1405,"&lt;&gt;",$K$2:$K1405,"Yes",$L$2:$L1405,"")-1)))</f>
        <v/>
      </c>
      <c r="N1405" s="22"/>
    </row>
    <row r="1406" spans="1:14" x14ac:dyDescent="0.3">
      <c r="A1406" s="15" t="str">
        <f>IF(COUNTA($B1406:$E1406,$K1406)=0,"",IF(AND($B1406&lt;&gt;"",$C1406&lt;&gt;"",$D1406&lt;&gt;"",$E1406&lt;&gt;""),"TXS"&amp;TEXT(COUNTIFS($B$2:$B1406,"&lt;&gt;",$C$2:$C1406,"&lt;&gt;",$D$2:$D1406,"&lt;&gt;",$E$2:$E1406,"&lt;&gt;"),"00000"),""))</f>
        <v/>
      </c>
      <c r="B1406" s="16"/>
      <c r="C1406" s="20"/>
      <c r="D1406" s="20"/>
      <c r="E1406" s="23"/>
      <c r="H1406" s="21" t="str">
        <f t="shared" si="72"/>
        <v/>
      </c>
      <c r="I1406" s="21" t="str">
        <f t="shared" si="71"/>
        <v/>
      </c>
      <c r="J1406" s="21" t="str">
        <f t="shared" si="73"/>
        <v/>
      </c>
      <c r="K1406" s="20"/>
      <c r="L1406" s="21" t="str">
        <f>IF(OR(NOT(AND($B1406&lt;&gt;"",$C1406&lt;&gt;"",$D1406&lt;&gt;"",$E1406&lt;&gt;"")),$A1406="",$K1406&lt;&gt;"Yes"),"",IF($L1406&lt;&gt;"",$L1406,INDEX(SETUP!$I$1:$I$2000,MATCH(TRUE,SETUP!$J$1:$J$2000,0)+COUNTIFS($A$2:$A1406,"&lt;&gt;",$K$2:$K1406,"Yes",$L$2:$L1406,"")-1)))</f>
        <v/>
      </c>
      <c r="N1406" s="22"/>
    </row>
    <row r="1407" spans="1:14" x14ac:dyDescent="0.3">
      <c r="A1407" s="15" t="str">
        <f>IF(COUNTA($B1407:$E1407,$K1407)=0,"",IF(AND($B1407&lt;&gt;"",$C1407&lt;&gt;"",$D1407&lt;&gt;"",$E1407&lt;&gt;""),"TXS"&amp;TEXT(COUNTIFS($B$2:$B1407,"&lt;&gt;",$C$2:$C1407,"&lt;&gt;",$D$2:$D1407,"&lt;&gt;",$E$2:$E1407,"&lt;&gt;"),"00000"),""))</f>
        <v/>
      </c>
      <c r="B1407" s="16"/>
      <c r="C1407" s="20"/>
      <c r="D1407" s="20"/>
      <c r="E1407" s="23"/>
      <c r="H1407" s="21" t="str">
        <f t="shared" si="72"/>
        <v/>
      </c>
      <c r="I1407" s="21" t="str">
        <f t="shared" si="71"/>
        <v/>
      </c>
      <c r="J1407" s="21" t="str">
        <f t="shared" si="73"/>
        <v/>
      </c>
      <c r="K1407" s="20"/>
      <c r="L1407" s="21" t="str">
        <f>IF(OR(NOT(AND($B1407&lt;&gt;"",$C1407&lt;&gt;"",$D1407&lt;&gt;"",$E1407&lt;&gt;"")),$A1407="",$K1407&lt;&gt;"Yes"),"",IF($L1407&lt;&gt;"",$L1407,INDEX(SETUP!$I$1:$I$2000,MATCH(TRUE,SETUP!$J$1:$J$2000,0)+COUNTIFS($A$2:$A1407,"&lt;&gt;",$K$2:$K1407,"Yes",$L$2:$L1407,"")-1)))</f>
        <v/>
      </c>
      <c r="N1407" s="22"/>
    </row>
    <row r="1408" spans="1:14" x14ac:dyDescent="0.3">
      <c r="A1408" s="15" t="str">
        <f>IF(COUNTA($B1408:$E1408,$K1408)=0,"",IF(AND($B1408&lt;&gt;"",$C1408&lt;&gt;"",$D1408&lt;&gt;"",$E1408&lt;&gt;""),"TXS"&amp;TEXT(COUNTIFS($B$2:$B1408,"&lt;&gt;",$C$2:$C1408,"&lt;&gt;",$D$2:$D1408,"&lt;&gt;",$E$2:$E1408,"&lt;&gt;"),"00000"),""))</f>
        <v/>
      </c>
      <c r="B1408" s="16"/>
      <c r="C1408" s="20"/>
      <c r="D1408" s="20"/>
      <c r="E1408" s="23"/>
      <c r="H1408" s="21" t="str">
        <f t="shared" si="72"/>
        <v/>
      </c>
      <c r="I1408" s="21" t="str">
        <f t="shared" si="71"/>
        <v/>
      </c>
      <c r="J1408" s="21" t="str">
        <f t="shared" si="73"/>
        <v/>
      </c>
      <c r="K1408" s="20"/>
      <c r="L1408" s="21" t="str">
        <f>IF(OR(NOT(AND($B1408&lt;&gt;"",$C1408&lt;&gt;"",$D1408&lt;&gt;"",$E1408&lt;&gt;"")),$A1408="",$K1408&lt;&gt;"Yes"),"",IF($L1408&lt;&gt;"",$L1408,INDEX(SETUP!$I$1:$I$2000,MATCH(TRUE,SETUP!$J$1:$J$2000,0)+COUNTIFS($A$2:$A1408,"&lt;&gt;",$K$2:$K1408,"Yes",$L$2:$L1408,"")-1)))</f>
        <v/>
      </c>
      <c r="N1408" s="22"/>
    </row>
    <row r="1409" spans="1:14" x14ac:dyDescent="0.3">
      <c r="A1409" s="15" t="str">
        <f>IF(COUNTA($B1409:$E1409,$K1409)=0,"",IF(AND($B1409&lt;&gt;"",$C1409&lt;&gt;"",$D1409&lt;&gt;"",$E1409&lt;&gt;""),"TXS"&amp;TEXT(COUNTIFS($B$2:$B1409,"&lt;&gt;",$C$2:$C1409,"&lt;&gt;",$D$2:$D1409,"&lt;&gt;",$E$2:$E1409,"&lt;&gt;"),"00000"),""))</f>
        <v/>
      </c>
      <c r="B1409" s="16"/>
      <c r="C1409" s="20"/>
      <c r="D1409" s="20"/>
      <c r="E1409" s="23"/>
      <c r="H1409" s="21" t="str">
        <f t="shared" si="72"/>
        <v/>
      </c>
      <c r="I1409" s="21" t="str">
        <f t="shared" si="71"/>
        <v/>
      </c>
      <c r="J1409" s="21" t="str">
        <f t="shared" si="73"/>
        <v/>
      </c>
      <c r="K1409" s="20"/>
      <c r="L1409" s="21" t="str">
        <f>IF(OR(NOT(AND($B1409&lt;&gt;"",$C1409&lt;&gt;"",$D1409&lt;&gt;"",$E1409&lt;&gt;"")),$A1409="",$K1409&lt;&gt;"Yes"),"",IF($L1409&lt;&gt;"",$L1409,INDEX(SETUP!$I$1:$I$2000,MATCH(TRUE,SETUP!$J$1:$J$2000,0)+COUNTIFS($A$2:$A1409,"&lt;&gt;",$K$2:$K1409,"Yes",$L$2:$L1409,"")-1)))</f>
        <v/>
      </c>
      <c r="N1409" s="22"/>
    </row>
    <row r="1410" spans="1:14" x14ac:dyDescent="0.3">
      <c r="A1410" s="15" t="str">
        <f>IF(COUNTA($B1410:$E1410,$K1410)=0,"",IF(AND($B1410&lt;&gt;"",$C1410&lt;&gt;"",$D1410&lt;&gt;"",$E1410&lt;&gt;""),"TXS"&amp;TEXT(COUNTIFS($B$2:$B1410,"&lt;&gt;",$C$2:$C1410,"&lt;&gt;",$D$2:$D1410,"&lt;&gt;",$E$2:$E1410,"&lt;&gt;"),"00000"),""))</f>
        <v/>
      </c>
      <c r="B1410" s="16"/>
      <c r="C1410" s="20"/>
      <c r="D1410" s="20"/>
      <c r="E1410" s="23"/>
      <c r="H1410" s="21" t="str">
        <f t="shared" si="72"/>
        <v/>
      </c>
      <c r="I1410" s="21" t="str">
        <f t="shared" si="71"/>
        <v/>
      </c>
      <c r="J1410" s="21" t="str">
        <f t="shared" si="73"/>
        <v/>
      </c>
      <c r="K1410" s="20"/>
      <c r="L1410" s="21" t="str">
        <f>IF(OR(NOT(AND($B1410&lt;&gt;"",$C1410&lt;&gt;"",$D1410&lt;&gt;"",$E1410&lt;&gt;"")),$A1410="",$K1410&lt;&gt;"Yes"),"",IF($L1410&lt;&gt;"",$L1410,INDEX(SETUP!$I$1:$I$2000,MATCH(TRUE,SETUP!$J$1:$J$2000,0)+COUNTIFS($A$2:$A1410,"&lt;&gt;",$K$2:$K1410,"Yes",$L$2:$L1410,"")-1)))</f>
        <v/>
      </c>
      <c r="N1410" s="22"/>
    </row>
    <row r="1411" spans="1:14" x14ac:dyDescent="0.3">
      <c r="A1411" s="15" t="str">
        <f>IF(COUNTA($B1411:$E1411,$K1411)=0,"",IF(AND($B1411&lt;&gt;"",$C1411&lt;&gt;"",$D1411&lt;&gt;"",$E1411&lt;&gt;""),"TXS"&amp;TEXT(COUNTIFS($B$2:$B1411,"&lt;&gt;",$C$2:$C1411,"&lt;&gt;",$D$2:$D1411,"&lt;&gt;",$E$2:$E1411,"&lt;&gt;"),"00000"),""))</f>
        <v/>
      </c>
      <c r="B1411" s="16"/>
      <c r="C1411" s="20"/>
      <c r="D1411" s="20"/>
      <c r="E1411" s="23"/>
      <c r="H1411" s="21" t="str">
        <f t="shared" si="72"/>
        <v/>
      </c>
      <c r="I1411" s="21" t="str">
        <f t="shared" si="71"/>
        <v/>
      </c>
      <c r="J1411" s="21" t="str">
        <f t="shared" si="73"/>
        <v/>
      </c>
      <c r="K1411" s="20"/>
      <c r="L1411" s="21" t="str">
        <f>IF(OR(NOT(AND($B1411&lt;&gt;"",$C1411&lt;&gt;"",$D1411&lt;&gt;"",$E1411&lt;&gt;"")),$A1411="",$K1411&lt;&gt;"Yes"),"",IF($L1411&lt;&gt;"",$L1411,INDEX(SETUP!$I$1:$I$2000,MATCH(TRUE,SETUP!$J$1:$J$2000,0)+COUNTIFS($A$2:$A1411,"&lt;&gt;",$K$2:$K1411,"Yes",$L$2:$L1411,"")-1)))</f>
        <v/>
      </c>
      <c r="N1411" s="22"/>
    </row>
    <row r="1412" spans="1:14" x14ac:dyDescent="0.3">
      <c r="A1412" s="15" t="str">
        <f>IF(COUNTA($B1412:$E1412,$K1412)=0,"",IF(AND($B1412&lt;&gt;"",$C1412&lt;&gt;"",$D1412&lt;&gt;"",$E1412&lt;&gt;""),"TXS"&amp;TEXT(COUNTIFS($B$2:$B1412,"&lt;&gt;",$C$2:$C1412,"&lt;&gt;",$D$2:$D1412,"&lt;&gt;",$E$2:$E1412,"&lt;&gt;"),"00000"),""))</f>
        <v/>
      </c>
      <c r="B1412" s="16"/>
      <c r="C1412" s="20"/>
      <c r="D1412" s="20"/>
      <c r="E1412" s="23"/>
      <c r="H1412" s="21" t="str">
        <f t="shared" si="72"/>
        <v/>
      </c>
      <c r="I1412" s="21" t="str">
        <f t="shared" si="71"/>
        <v/>
      </c>
      <c r="J1412" s="21" t="str">
        <f t="shared" si="73"/>
        <v/>
      </c>
      <c r="K1412" s="20"/>
      <c r="L1412" s="21" t="str">
        <f>IF(OR(NOT(AND($B1412&lt;&gt;"",$C1412&lt;&gt;"",$D1412&lt;&gt;"",$E1412&lt;&gt;"")),$A1412="",$K1412&lt;&gt;"Yes"),"",IF($L1412&lt;&gt;"",$L1412,INDEX(SETUP!$I$1:$I$2000,MATCH(TRUE,SETUP!$J$1:$J$2000,0)+COUNTIFS($A$2:$A1412,"&lt;&gt;",$K$2:$K1412,"Yes",$L$2:$L1412,"")-1)))</f>
        <v/>
      </c>
      <c r="N1412" s="22"/>
    </row>
    <row r="1413" spans="1:14" x14ac:dyDescent="0.3">
      <c r="A1413" s="15" t="str">
        <f>IF(COUNTA($B1413:$E1413,$K1413)=0,"",IF(AND($B1413&lt;&gt;"",$C1413&lt;&gt;"",$D1413&lt;&gt;"",$E1413&lt;&gt;""),"TXS"&amp;TEXT(COUNTIFS($B$2:$B1413,"&lt;&gt;",$C$2:$C1413,"&lt;&gt;",$D$2:$D1413,"&lt;&gt;",$E$2:$E1413,"&lt;&gt;"),"00000"),""))</f>
        <v/>
      </c>
      <c r="B1413" s="16"/>
      <c r="C1413" s="20"/>
      <c r="D1413" s="20"/>
      <c r="E1413" s="23"/>
      <c r="H1413" s="21" t="str">
        <f t="shared" si="72"/>
        <v/>
      </c>
      <c r="I1413" s="21" t="str">
        <f t="shared" si="71"/>
        <v/>
      </c>
      <c r="J1413" s="21" t="str">
        <f t="shared" si="73"/>
        <v/>
      </c>
      <c r="K1413" s="20"/>
      <c r="L1413" s="21" t="str">
        <f>IF(OR(NOT(AND($B1413&lt;&gt;"",$C1413&lt;&gt;"",$D1413&lt;&gt;"",$E1413&lt;&gt;"")),$A1413="",$K1413&lt;&gt;"Yes"),"",IF($L1413&lt;&gt;"",$L1413,INDEX(SETUP!$I$1:$I$2000,MATCH(TRUE,SETUP!$J$1:$J$2000,0)+COUNTIFS($A$2:$A1413,"&lt;&gt;",$K$2:$K1413,"Yes",$L$2:$L1413,"")-1)))</f>
        <v/>
      </c>
      <c r="N1413" s="22"/>
    </row>
    <row r="1414" spans="1:14" x14ac:dyDescent="0.3">
      <c r="A1414" s="15" t="str">
        <f>IF(COUNTA($B1414:$E1414,$K1414)=0,"",IF(AND($B1414&lt;&gt;"",$C1414&lt;&gt;"",$D1414&lt;&gt;"",$E1414&lt;&gt;""),"TXS"&amp;TEXT(COUNTIFS($B$2:$B1414,"&lt;&gt;",$C$2:$C1414,"&lt;&gt;",$D$2:$D1414,"&lt;&gt;",$E$2:$E1414,"&lt;&gt;"),"00000"),""))</f>
        <v/>
      </c>
      <c r="B1414" s="16"/>
      <c r="C1414" s="20"/>
      <c r="D1414" s="20"/>
      <c r="E1414" s="23"/>
      <c r="H1414" s="21" t="str">
        <f t="shared" si="72"/>
        <v/>
      </c>
      <c r="I1414" s="21" t="str">
        <f t="shared" si="71"/>
        <v/>
      </c>
      <c r="J1414" s="21" t="str">
        <f t="shared" si="73"/>
        <v/>
      </c>
      <c r="K1414" s="20"/>
      <c r="L1414" s="21" t="str">
        <f>IF(OR(NOT(AND($B1414&lt;&gt;"",$C1414&lt;&gt;"",$D1414&lt;&gt;"",$E1414&lt;&gt;"")),$A1414="",$K1414&lt;&gt;"Yes"),"",IF($L1414&lt;&gt;"",$L1414,INDEX(SETUP!$I$1:$I$2000,MATCH(TRUE,SETUP!$J$1:$J$2000,0)+COUNTIFS($A$2:$A1414,"&lt;&gt;",$K$2:$K1414,"Yes",$L$2:$L1414,"")-1)))</f>
        <v/>
      </c>
      <c r="N1414" s="22"/>
    </row>
    <row r="1415" spans="1:14" x14ac:dyDescent="0.3">
      <c r="A1415" s="15" t="str">
        <f>IF(COUNTA($B1415:$E1415,$K1415)=0,"",IF(AND($B1415&lt;&gt;"",$C1415&lt;&gt;"",$D1415&lt;&gt;"",$E1415&lt;&gt;""),"TXS"&amp;TEXT(COUNTIFS($B$2:$B1415,"&lt;&gt;",$C$2:$C1415,"&lt;&gt;",$D$2:$D1415,"&lt;&gt;",$E$2:$E1415,"&lt;&gt;"),"00000"),""))</f>
        <v/>
      </c>
      <c r="B1415" s="16"/>
      <c r="C1415" s="20"/>
      <c r="D1415" s="20"/>
      <c r="E1415" s="23"/>
      <c r="H1415" s="21" t="str">
        <f t="shared" si="72"/>
        <v/>
      </c>
      <c r="I1415" s="21" t="str">
        <f t="shared" si="71"/>
        <v/>
      </c>
      <c r="J1415" s="21" t="str">
        <f t="shared" si="73"/>
        <v/>
      </c>
      <c r="K1415" s="20"/>
      <c r="L1415" s="21" t="str">
        <f>IF(OR(NOT(AND($B1415&lt;&gt;"",$C1415&lt;&gt;"",$D1415&lt;&gt;"",$E1415&lt;&gt;"")),$A1415="",$K1415&lt;&gt;"Yes"),"",IF($L1415&lt;&gt;"",$L1415,INDEX(SETUP!$I$1:$I$2000,MATCH(TRUE,SETUP!$J$1:$J$2000,0)+COUNTIFS($A$2:$A1415,"&lt;&gt;",$K$2:$K1415,"Yes",$L$2:$L1415,"")-1)))</f>
        <v/>
      </c>
      <c r="N1415" s="22"/>
    </row>
    <row r="1416" spans="1:14" x14ac:dyDescent="0.3">
      <c r="A1416" s="15" t="str">
        <f>IF(COUNTA($B1416:$E1416,$K1416)=0,"",IF(AND($B1416&lt;&gt;"",$C1416&lt;&gt;"",$D1416&lt;&gt;"",$E1416&lt;&gt;""),"TXS"&amp;TEXT(COUNTIFS($B$2:$B1416,"&lt;&gt;",$C$2:$C1416,"&lt;&gt;",$D$2:$D1416,"&lt;&gt;",$E$2:$E1416,"&lt;&gt;"),"00000"),""))</f>
        <v/>
      </c>
      <c r="B1416" s="16"/>
      <c r="C1416" s="20"/>
      <c r="D1416" s="20"/>
      <c r="E1416" s="23"/>
      <c r="H1416" s="21" t="str">
        <f t="shared" si="72"/>
        <v/>
      </c>
      <c r="I1416" s="21" t="str">
        <f t="shared" si="71"/>
        <v/>
      </c>
      <c r="J1416" s="21" t="str">
        <f t="shared" si="73"/>
        <v/>
      </c>
      <c r="K1416" s="20"/>
      <c r="L1416" s="21" t="str">
        <f>IF(OR(NOT(AND($B1416&lt;&gt;"",$C1416&lt;&gt;"",$D1416&lt;&gt;"",$E1416&lt;&gt;"")),$A1416="",$K1416&lt;&gt;"Yes"),"",IF($L1416&lt;&gt;"",$L1416,INDEX(SETUP!$I$1:$I$2000,MATCH(TRUE,SETUP!$J$1:$J$2000,0)+COUNTIFS($A$2:$A1416,"&lt;&gt;",$K$2:$K1416,"Yes",$L$2:$L1416,"")-1)))</f>
        <v/>
      </c>
      <c r="N1416" s="22"/>
    </row>
    <row r="1417" spans="1:14" x14ac:dyDescent="0.3">
      <c r="A1417" s="15" t="str">
        <f>IF(COUNTA($B1417:$E1417,$K1417)=0,"",IF(AND($B1417&lt;&gt;"",$C1417&lt;&gt;"",$D1417&lt;&gt;"",$E1417&lt;&gt;""),"TXS"&amp;TEXT(COUNTIFS($B$2:$B1417,"&lt;&gt;",$C$2:$C1417,"&lt;&gt;",$D$2:$D1417,"&lt;&gt;",$E$2:$E1417,"&lt;&gt;"),"00000"),""))</f>
        <v/>
      </c>
      <c r="B1417" s="16"/>
      <c r="C1417" s="20"/>
      <c r="D1417" s="20"/>
      <c r="E1417" s="23"/>
      <c r="H1417" s="21" t="str">
        <f t="shared" si="72"/>
        <v/>
      </c>
      <c r="I1417" s="21" t="str">
        <f t="shared" si="71"/>
        <v/>
      </c>
      <c r="J1417" s="21" t="str">
        <f t="shared" si="73"/>
        <v/>
      </c>
      <c r="K1417" s="20"/>
      <c r="L1417" s="21" t="str">
        <f>IF(OR(NOT(AND($B1417&lt;&gt;"",$C1417&lt;&gt;"",$D1417&lt;&gt;"",$E1417&lt;&gt;"")),$A1417="",$K1417&lt;&gt;"Yes"),"",IF($L1417&lt;&gt;"",$L1417,INDEX(SETUP!$I$1:$I$2000,MATCH(TRUE,SETUP!$J$1:$J$2000,0)+COUNTIFS($A$2:$A1417,"&lt;&gt;",$K$2:$K1417,"Yes",$L$2:$L1417,"")-1)))</f>
        <v/>
      </c>
      <c r="N1417" s="22"/>
    </row>
    <row r="1418" spans="1:14" x14ac:dyDescent="0.3">
      <c r="A1418" s="15" t="str">
        <f>IF(COUNTA($B1418:$E1418,$K1418)=0,"",IF(AND($B1418&lt;&gt;"",$C1418&lt;&gt;"",$D1418&lt;&gt;"",$E1418&lt;&gt;""),"TXS"&amp;TEXT(COUNTIFS($B$2:$B1418,"&lt;&gt;",$C$2:$C1418,"&lt;&gt;",$D$2:$D1418,"&lt;&gt;",$E$2:$E1418,"&lt;&gt;"),"00000"),""))</f>
        <v/>
      </c>
      <c r="B1418" s="16"/>
      <c r="C1418" s="20"/>
      <c r="D1418" s="20"/>
      <c r="E1418" s="23"/>
      <c r="H1418" s="21" t="str">
        <f t="shared" si="72"/>
        <v/>
      </c>
      <c r="I1418" s="21" t="str">
        <f t="shared" si="71"/>
        <v/>
      </c>
      <c r="J1418" s="21" t="str">
        <f t="shared" si="73"/>
        <v/>
      </c>
      <c r="K1418" s="20"/>
      <c r="L1418" s="21" t="str">
        <f>IF(OR(NOT(AND($B1418&lt;&gt;"",$C1418&lt;&gt;"",$D1418&lt;&gt;"",$E1418&lt;&gt;"")),$A1418="",$K1418&lt;&gt;"Yes"),"",IF($L1418&lt;&gt;"",$L1418,INDEX(SETUP!$I$1:$I$2000,MATCH(TRUE,SETUP!$J$1:$J$2000,0)+COUNTIFS($A$2:$A1418,"&lt;&gt;",$K$2:$K1418,"Yes",$L$2:$L1418,"")-1)))</f>
        <v/>
      </c>
      <c r="N1418" s="22"/>
    </row>
    <row r="1419" spans="1:14" x14ac:dyDescent="0.3">
      <c r="A1419" s="15" t="str">
        <f>IF(COUNTA($B1419:$E1419,$K1419)=0,"",IF(AND($B1419&lt;&gt;"",$C1419&lt;&gt;"",$D1419&lt;&gt;"",$E1419&lt;&gt;""),"TXS"&amp;TEXT(COUNTIFS($B$2:$B1419,"&lt;&gt;",$C$2:$C1419,"&lt;&gt;",$D$2:$D1419,"&lt;&gt;",$E$2:$E1419,"&lt;&gt;"),"00000"),""))</f>
        <v/>
      </c>
      <c r="B1419" s="16"/>
      <c r="C1419" s="20"/>
      <c r="D1419" s="20"/>
      <c r="E1419" s="23"/>
      <c r="H1419" s="21" t="str">
        <f t="shared" si="72"/>
        <v/>
      </c>
      <c r="I1419" s="21" t="str">
        <f t="shared" si="71"/>
        <v/>
      </c>
      <c r="J1419" s="21" t="str">
        <f t="shared" si="73"/>
        <v/>
      </c>
      <c r="K1419" s="20"/>
      <c r="L1419" s="21" t="str">
        <f>IF(OR(NOT(AND($B1419&lt;&gt;"",$C1419&lt;&gt;"",$D1419&lt;&gt;"",$E1419&lt;&gt;"")),$A1419="",$K1419&lt;&gt;"Yes"),"",IF($L1419&lt;&gt;"",$L1419,INDEX(SETUP!$I$1:$I$2000,MATCH(TRUE,SETUP!$J$1:$J$2000,0)+COUNTIFS($A$2:$A1419,"&lt;&gt;",$K$2:$K1419,"Yes",$L$2:$L1419,"")-1)))</f>
        <v/>
      </c>
      <c r="N1419" s="22"/>
    </row>
    <row r="1420" spans="1:14" x14ac:dyDescent="0.3">
      <c r="A1420" s="15" t="str">
        <f>IF(COUNTA($B1420:$E1420,$K1420)=0,"",IF(AND($B1420&lt;&gt;"",$C1420&lt;&gt;"",$D1420&lt;&gt;"",$E1420&lt;&gt;""),"TXS"&amp;TEXT(COUNTIFS($B$2:$B1420,"&lt;&gt;",$C$2:$C1420,"&lt;&gt;",$D$2:$D1420,"&lt;&gt;",$E$2:$E1420,"&lt;&gt;"),"00000"),""))</f>
        <v/>
      </c>
      <c r="B1420" s="16"/>
      <c r="C1420" s="20"/>
      <c r="D1420" s="20"/>
      <c r="E1420" s="23"/>
      <c r="H1420" s="21" t="str">
        <f t="shared" si="72"/>
        <v/>
      </c>
      <c r="I1420" s="21" t="str">
        <f t="shared" si="71"/>
        <v/>
      </c>
      <c r="J1420" s="21" t="str">
        <f t="shared" si="73"/>
        <v/>
      </c>
      <c r="K1420" s="20"/>
      <c r="L1420" s="21" t="str">
        <f>IF(OR(NOT(AND($B1420&lt;&gt;"",$C1420&lt;&gt;"",$D1420&lt;&gt;"",$E1420&lt;&gt;"")),$A1420="",$K1420&lt;&gt;"Yes"),"",IF($L1420&lt;&gt;"",$L1420,INDEX(SETUP!$I$1:$I$2000,MATCH(TRUE,SETUP!$J$1:$J$2000,0)+COUNTIFS($A$2:$A1420,"&lt;&gt;",$K$2:$K1420,"Yes",$L$2:$L1420,"")-1)))</f>
        <v/>
      </c>
      <c r="N1420" s="22"/>
    </row>
    <row r="1421" spans="1:14" x14ac:dyDescent="0.3">
      <c r="A1421" s="15" t="str">
        <f>IF(COUNTA($B1421:$E1421,$K1421)=0,"",IF(AND($B1421&lt;&gt;"",$C1421&lt;&gt;"",$D1421&lt;&gt;"",$E1421&lt;&gt;""),"TXS"&amp;TEXT(COUNTIFS($B$2:$B1421,"&lt;&gt;",$C$2:$C1421,"&lt;&gt;",$D$2:$D1421,"&lt;&gt;",$E$2:$E1421,"&lt;&gt;"),"00000"),""))</f>
        <v/>
      </c>
      <c r="B1421" s="16"/>
      <c r="C1421" s="20"/>
      <c r="D1421" s="20"/>
      <c r="E1421" s="23"/>
      <c r="H1421" s="21" t="str">
        <f t="shared" si="72"/>
        <v/>
      </c>
      <c r="I1421" s="21" t="str">
        <f t="shared" si="71"/>
        <v/>
      </c>
      <c r="J1421" s="21" t="str">
        <f t="shared" si="73"/>
        <v/>
      </c>
      <c r="K1421" s="20"/>
      <c r="L1421" s="21" t="str">
        <f>IF(OR(NOT(AND($B1421&lt;&gt;"",$C1421&lt;&gt;"",$D1421&lt;&gt;"",$E1421&lt;&gt;"")),$A1421="",$K1421&lt;&gt;"Yes"),"",IF($L1421&lt;&gt;"",$L1421,INDEX(SETUP!$I$1:$I$2000,MATCH(TRUE,SETUP!$J$1:$J$2000,0)+COUNTIFS($A$2:$A1421,"&lt;&gt;",$K$2:$K1421,"Yes",$L$2:$L1421,"")-1)))</f>
        <v/>
      </c>
      <c r="N1421" s="22"/>
    </row>
    <row r="1422" spans="1:14" x14ac:dyDescent="0.3">
      <c r="A1422" s="15" t="str">
        <f>IF(COUNTA($B1422:$E1422,$K1422)=0,"",IF(AND($B1422&lt;&gt;"",$C1422&lt;&gt;"",$D1422&lt;&gt;"",$E1422&lt;&gt;""),"TXS"&amp;TEXT(COUNTIFS($B$2:$B1422,"&lt;&gt;",$C$2:$C1422,"&lt;&gt;",$D$2:$D1422,"&lt;&gt;",$E$2:$E1422,"&lt;&gt;"),"00000"),""))</f>
        <v/>
      </c>
      <c r="B1422" s="16"/>
      <c r="C1422" s="20"/>
      <c r="D1422" s="20"/>
      <c r="E1422" s="23"/>
      <c r="H1422" s="21" t="str">
        <f t="shared" si="72"/>
        <v/>
      </c>
      <c r="I1422" s="21" t="str">
        <f t="shared" si="71"/>
        <v/>
      </c>
      <c r="J1422" s="21" t="str">
        <f t="shared" si="73"/>
        <v/>
      </c>
      <c r="K1422" s="20"/>
      <c r="L1422" s="21" t="str">
        <f>IF(OR(NOT(AND($B1422&lt;&gt;"",$C1422&lt;&gt;"",$D1422&lt;&gt;"",$E1422&lt;&gt;"")),$A1422="",$K1422&lt;&gt;"Yes"),"",IF($L1422&lt;&gt;"",$L1422,INDEX(SETUP!$I$1:$I$2000,MATCH(TRUE,SETUP!$J$1:$J$2000,0)+COUNTIFS($A$2:$A1422,"&lt;&gt;",$K$2:$K1422,"Yes",$L$2:$L1422,"")-1)))</f>
        <v/>
      </c>
      <c r="N1422" s="22"/>
    </row>
    <row r="1423" spans="1:14" x14ac:dyDescent="0.3">
      <c r="A1423" s="15" t="str">
        <f>IF(COUNTA($B1423:$E1423,$K1423)=0,"",IF(AND($B1423&lt;&gt;"",$C1423&lt;&gt;"",$D1423&lt;&gt;"",$E1423&lt;&gt;""),"TXS"&amp;TEXT(COUNTIFS($B$2:$B1423,"&lt;&gt;",$C$2:$C1423,"&lt;&gt;",$D$2:$D1423,"&lt;&gt;",$E$2:$E1423,"&lt;&gt;"),"00000"),""))</f>
        <v/>
      </c>
      <c r="B1423" s="16"/>
      <c r="C1423" s="20"/>
      <c r="D1423" s="20"/>
      <c r="E1423" s="23"/>
      <c r="H1423" s="21" t="str">
        <f t="shared" si="72"/>
        <v/>
      </c>
      <c r="I1423" s="21" t="str">
        <f t="shared" si="71"/>
        <v/>
      </c>
      <c r="J1423" s="21" t="str">
        <f t="shared" si="73"/>
        <v/>
      </c>
      <c r="K1423" s="20"/>
      <c r="L1423" s="21" t="str">
        <f>IF(OR(NOT(AND($B1423&lt;&gt;"",$C1423&lt;&gt;"",$D1423&lt;&gt;"",$E1423&lt;&gt;"")),$A1423="",$K1423&lt;&gt;"Yes"),"",IF($L1423&lt;&gt;"",$L1423,INDEX(SETUP!$I$1:$I$2000,MATCH(TRUE,SETUP!$J$1:$J$2000,0)+COUNTIFS($A$2:$A1423,"&lt;&gt;",$K$2:$K1423,"Yes",$L$2:$L1423,"")-1)))</f>
        <v/>
      </c>
      <c r="N1423" s="22"/>
    </row>
    <row r="1424" spans="1:14" x14ac:dyDescent="0.3">
      <c r="A1424" s="15" t="str">
        <f>IF(COUNTA($B1424:$E1424,$K1424)=0,"",IF(AND($B1424&lt;&gt;"",$C1424&lt;&gt;"",$D1424&lt;&gt;"",$E1424&lt;&gt;""),"TXS"&amp;TEXT(COUNTIFS($B$2:$B1424,"&lt;&gt;",$C$2:$C1424,"&lt;&gt;",$D$2:$D1424,"&lt;&gt;",$E$2:$E1424,"&lt;&gt;"),"00000"),""))</f>
        <v/>
      </c>
      <c r="B1424" s="16"/>
      <c r="C1424" s="20"/>
      <c r="D1424" s="20"/>
      <c r="E1424" s="23"/>
      <c r="H1424" s="21" t="str">
        <f t="shared" si="72"/>
        <v/>
      </c>
      <c r="I1424" s="21" t="str">
        <f t="shared" si="71"/>
        <v/>
      </c>
      <c r="J1424" s="21" t="str">
        <f t="shared" si="73"/>
        <v/>
      </c>
      <c r="K1424" s="20"/>
      <c r="L1424" s="21" t="str">
        <f>IF(OR(NOT(AND($B1424&lt;&gt;"",$C1424&lt;&gt;"",$D1424&lt;&gt;"",$E1424&lt;&gt;"")),$A1424="",$K1424&lt;&gt;"Yes"),"",IF($L1424&lt;&gt;"",$L1424,INDEX(SETUP!$I$1:$I$2000,MATCH(TRUE,SETUP!$J$1:$J$2000,0)+COUNTIFS($A$2:$A1424,"&lt;&gt;",$K$2:$K1424,"Yes",$L$2:$L1424,"")-1)))</f>
        <v/>
      </c>
      <c r="N1424" s="22"/>
    </row>
    <row r="1425" spans="1:14" x14ac:dyDescent="0.3">
      <c r="A1425" s="15" t="str">
        <f>IF(COUNTA($B1425:$E1425,$K1425)=0,"",IF(AND($B1425&lt;&gt;"",$C1425&lt;&gt;"",$D1425&lt;&gt;"",$E1425&lt;&gt;""),"TXS"&amp;TEXT(COUNTIFS($B$2:$B1425,"&lt;&gt;",$C$2:$C1425,"&lt;&gt;",$D$2:$D1425,"&lt;&gt;",$E$2:$E1425,"&lt;&gt;"),"00000"),""))</f>
        <v/>
      </c>
      <c r="B1425" s="16"/>
      <c r="C1425" s="20"/>
      <c r="D1425" s="20"/>
      <c r="E1425" s="23"/>
      <c r="H1425" s="21" t="str">
        <f t="shared" si="72"/>
        <v/>
      </c>
      <c r="I1425" s="21" t="str">
        <f t="shared" si="71"/>
        <v/>
      </c>
      <c r="J1425" s="21" t="str">
        <f t="shared" si="73"/>
        <v/>
      </c>
      <c r="K1425" s="20"/>
      <c r="L1425" s="21" t="str">
        <f>IF(OR(NOT(AND($B1425&lt;&gt;"",$C1425&lt;&gt;"",$D1425&lt;&gt;"",$E1425&lt;&gt;"")),$A1425="",$K1425&lt;&gt;"Yes"),"",IF($L1425&lt;&gt;"",$L1425,INDEX(SETUP!$I$1:$I$2000,MATCH(TRUE,SETUP!$J$1:$J$2000,0)+COUNTIFS($A$2:$A1425,"&lt;&gt;",$K$2:$K1425,"Yes",$L$2:$L1425,"")-1)))</f>
        <v/>
      </c>
      <c r="N1425" s="22"/>
    </row>
    <row r="1426" spans="1:14" x14ac:dyDescent="0.3">
      <c r="A1426" s="15" t="str">
        <f>IF(COUNTA($B1426:$E1426,$K1426)=0,"",IF(AND($B1426&lt;&gt;"",$C1426&lt;&gt;"",$D1426&lt;&gt;"",$E1426&lt;&gt;""),"TXS"&amp;TEXT(COUNTIFS($B$2:$B1426,"&lt;&gt;",$C$2:$C1426,"&lt;&gt;",$D$2:$D1426,"&lt;&gt;",$E$2:$E1426,"&lt;&gt;"),"00000"),""))</f>
        <v/>
      </c>
      <c r="B1426" s="16"/>
      <c r="C1426" s="20"/>
      <c r="D1426" s="20"/>
      <c r="E1426" s="23"/>
      <c r="H1426" s="21" t="str">
        <f t="shared" si="72"/>
        <v/>
      </c>
      <c r="I1426" s="21" t="str">
        <f t="shared" si="71"/>
        <v/>
      </c>
      <c r="J1426" s="21" t="str">
        <f t="shared" si="73"/>
        <v/>
      </c>
      <c r="K1426" s="20"/>
      <c r="L1426" s="21" t="str">
        <f>IF(OR(NOT(AND($B1426&lt;&gt;"",$C1426&lt;&gt;"",$D1426&lt;&gt;"",$E1426&lt;&gt;"")),$A1426="",$K1426&lt;&gt;"Yes"),"",IF($L1426&lt;&gt;"",$L1426,INDEX(SETUP!$I$1:$I$2000,MATCH(TRUE,SETUP!$J$1:$J$2000,0)+COUNTIFS($A$2:$A1426,"&lt;&gt;",$K$2:$K1426,"Yes",$L$2:$L1426,"")-1)))</f>
        <v/>
      </c>
      <c r="N1426" s="22"/>
    </row>
    <row r="1427" spans="1:14" x14ac:dyDescent="0.3">
      <c r="A1427" s="15" t="str">
        <f>IF(COUNTA($B1427:$E1427,$K1427)=0,"",IF(AND($B1427&lt;&gt;"",$C1427&lt;&gt;"",$D1427&lt;&gt;"",$E1427&lt;&gt;""),"TXS"&amp;TEXT(COUNTIFS($B$2:$B1427,"&lt;&gt;",$C$2:$C1427,"&lt;&gt;",$D$2:$D1427,"&lt;&gt;",$E$2:$E1427,"&lt;&gt;"),"00000"),""))</f>
        <v/>
      </c>
      <c r="B1427" s="16"/>
      <c r="C1427" s="20"/>
      <c r="D1427" s="20"/>
      <c r="E1427" s="23"/>
      <c r="H1427" s="21" t="str">
        <f t="shared" si="72"/>
        <v/>
      </c>
      <c r="I1427" s="21" t="str">
        <f t="shared" si="71"/>
        <v/>
      </c>
      <c r="J1427" s="21" t="str">
        <f t="shared" si="73"/>
        <v/>
      </c>
      <c r="K1427" s="20"/>
      <c r="L1427" s="21" t="str">
        <f>IF(OR(NOT(AND($B1427&lt;&gt;"",$C1427&lt;&gt;"",$D1427&lt;&gt;"",$E1427&lt;&gt;"")),$A1427="",$K1427&lt;&gt;"Yes"),"",IF($L1427&lt;&gt;"",$L1427,INDEX(SETUP!$I$1:$I$2000,MATCH(TRUE,SETUP!$J$1:$J$2000,0)+COUNTIFS($A$2:$A1427,"&lt;&gt;",$K$2:$K1427,"Yes",$L$2:$L1427,"")-1)))</f>
        <v/>
      </c>
      <c r="N1427" s="22"/>
    </row>
    <row r="1428" spans="1:14" x14ac:dyDescent="0.3">
      <c r="A1428" s="15" t="str">
        <f>IF(COUNTA($B1428:$E1428,$K1428)=0,"",IF(AND($B1428&lt;&gt;"",$C1428&lt;&gt;"",$D1428&lt;&gt;"",$E1428&lt;&gt;""),"TXS"&amp;TEXT(COUNTIFS($B$2:$B1428,"&lt;&gt;",$C$2:$C1428,"&lt;&gt;",$D$2:$D1428,"&lt;&gt;",$E$2:$E1428,"&lt;&gt;"),"00000"),""))</f>
        <v/>
      </c>
      <c r="B1428" s="16"/>
      <c r="C1428" s="20"/>
      <c r="D1428" s="20"/>
      <c r="E1428" s="23"/>
      <c r="H1428" s="21" t="str">
        <f t="shared" si="72"/>
        <v/>
      </c>
      <c r="I1428" s="21" t="str">
        <f t="shared" si="71"/>
        <v/>
      </c>
      <c r="J1428" s="21" t="str">
        <f t="shared" si="73"/>
        <v/>
      </c>
      <c r="K1428" s="20"/>
      <c r="L1428" s="21" t="str">
        <f>IF(OR(NOT(AND($B1428&lt;&gt;"",$C1428&lt;&gt;"",$D1428&lt;&gt;"",$E1428&lt;&gt;"")),$A1428="",$K1428&lt;&gt;"Yes"),"",IF($L1428&lt;&gt;"",$L1428,INDEX(SETUP!$I$1:$I$2000,MATCH(TRUE,SETUP!$J$1:$J$2000,0)+COUNTIFS($A$2:$A1428,"&lt;&gt;",$K$2:$K1428,"Yes",$L$2:$L1428,"")-1)))</f>
        <v/>
      </c>
      <c r="N1428" s="22"/>
    </row>
    <row r="1429" spans="1:14" x14ac:dyDescent="0.3">
      <c r="A1429" s="15" t="str">
        <f>IF(COUNTA($B1429:$E1429,$K1429)=0,"",IF(AND($B1429&lt;&gt;"",$C1429&lt;&gt;"",$D1429&lt;&gt;"",$E1429&lt;&gt;""),"TXS"&amp;TEXT(COUNTIFS($B$2:$B1429,"&lt;&gt;",$C$2:$C1429,"&lt;&gt;",$D$2:$D1429,"&lt;&gt;",$E$2:$E1429,"&lt;&gt;"),"00000"),""))</f>
        <v/>
      </c>
      <c r="B1429" s="16"/>
      <c r="C1429" s="20"/>
      <c r="D1429" s="20"/>
      <c r="E1429" s="23"/>
      <c r="H1429" s="21" t="str">
        <f t="shared" si="72"/>
        <v/>
      </c>
      <c r="I1429" s="21" t="str">
        <f t="shared" si="71"/>
        <v/>
      </c>
      <c r="J1429" s="21" t="str">
        <f t="shared" si="73"/>
        <v/>
      </c>
      <c r="K1429" s="20"/>
      <c r="L1429" s="21" t="str">
        <f>IF(OR(NOT(AND($B1429&lt;&gt;"",$C1429&lt;&gt;"",$D1429&lt;&gt;"",$E1429&lt;&gt;"")),$A1429="",$K1429&lt;&gt;"Yes"),"",IF($L1429&lt;&gt;"",$L1429,INDEX(SETUP!$I$1:$I$2000,MATCH(TRUE,SETUP!$J$1:$J$2000,0)+COUNTIFS($A$2:$A1429,"&lt;&gt;",$K$2:$K1429,"Yes",$L$2:$L1429,"")-1)))</f>
        <v/>
      </c>
      <c r="N1429" s="22"/>
    </row>
    <row r="1430" spans="1:14" x14ac:dyDescent="0.3">
      <c r="A1430" s="15" t="str">
        <f>IF(COUNTA($B1430:$E1430,$K1430)=0,"",IF(AND($B1430&lt;&gt;"",$C1430&lt;&gt;"",$D1430&lt;&gt;"",$E1430&lt;&gt;""),"TXS"&amp;TEXT(COUNTIFS($B$2:$B1430,"&lt;&gt;",$C$2:$C1430,"&lt;&gt;",$D$2:$D1430,"&lt;&gt;",$E$2:$E1430,"&lt;&gt;"),"00000"),""))</f>
        <v/>
      </c>
      <c r="B1430" s="16"/>
      <c r="C1430" s="20"/>
      <c r="D1430" s="20"/>
      <c r="E1430" s="23"/>
      <c r="H1430" s="21" t="str">
        <f t="shared" si="72"/>
        <v/>
      </c>
      <c r="I1430" s="21" t="str">
        <f t="shared" si="71"/>
        <v/>
      </c>
      <c r="J1430" s="21" t="str">
        <f t="shared" si="73"/>
        <v/>
      </c>
      <c r="K1430" s="20"/>
      <c r="L1430" s="21" t="str">
        <f>IF(OR(NOT(AND($B1430&lt;&gt;"",$C1430&lt;&gt;"",$D1430&lt;&gt;"",$E1430&lt;&gt;"")),$A1430="",$K1430&lt;&gt;"Yes"),"",IF($L1430&lt;&gt;"",$L1430,INDEX(SETUP!$I$1:$I$2000,MATCH(TRUE,SETUP!$J$1:$J$2000,0)+COUNTIFS($A$2:$A1430,"&lt;&gt;",$K$2:$K1430,"Yes",$L$2:$L1430,"")-1)))</f>
        <v/>
      </c>
      <c r="N1430" s="22"/>
    </row>
    <row r="1431" spans="1:14" x14ac:dyDescent="0.3">
      <c r="A1431" s="15" t="str">
        <f>IF(COUNTA($B1431:$E1431,$K1431)=0,"",IF(AND($B1431&lt;&gt;"",$C1431&lt;&gt;"",$D1431&lt;&gt;"",$E1431&lt;&gt;""),"TXS"&amp;TEXT(COUNTIFS($B$2:$B1431,"&lt;&gt;",$C$2:$C1431,"&lt;&gt;",$D$2:$D1431,"&lt;&gt;",$E$2:$E1431,"&lt;&gt;"),"00000"),""))</f>
        <v/>
      </c>
      <c r="B1431" s="16"/>
      <c r="C1431" s="20"/>
      <c r="D1431" s="20"/>
      <c r="E1431" s="23"/>
      <c r="H1431" s="21" t="str">
        <f t="shared" si="72"/>
        <v/>
      </c>
      <c r="I1431" s="21" t="str">
        <f t="shared" si="71"/>
        <v/>
      </c>
      <c r="J1431" s="21" t="str">
        <f t="shared" si="73"/>
        <v/>
      </c>
      <c r="K1431" s="20"/>
      <c r="L1431" s="21" t="str">
        <f>IF(OR(NOT(AND($B1431&lt;&gt;"",$C1431&lt;&gt;"",$D1431&lt;&gt;"",$E1431&lt;&gt;"")),$A1431="",$K1431&lt;&gt;"Yes"),"",IF($L1431&lt;&gt;"",$L1431,INDEX(SETUP!$I$1:$I$2000,MATCH(TRUE,SETUP!$J$1:$J$2000,0)+COUNTIFS($A$2:$A1431,"&lt;&gt;",$K$2:$K1431,"Yes",$L$2:$L1431,"")-1)))</f>
        <v/>
      </c>
      <c r="N1431" s="22"/>
    </row>
    <row r="1432" spans="1:14" x14ac:dyDescent="0.3">
      <c r="A1432" s="15" t="str">
        <f>IF(COUNTA($B1432:$E1432,$K1432)=0,"",IF(AND($B1432&lt;&gt;"",$C1432&lt;&gt;"",$D1432&lt;&gt;"",$E1432&lt;&gt;""),"TXS"&amp;TEXT(COUNTIFS($B$2:$B1432,"&lt;&gt;",$C$2:$C1432,"&lt;&gt;",$D$2:$D1432,"&lt;&gt;",$E$2:$E1432,"&lt;&gt;"),"00000"),""))</f>
        <v/>
      </c>
      <c r="B1432" s="16"/>
      <c r="C1432" s="20"/>
      <c r="D1432" s="20"/>
      <c r="E1432" s="23"/>
      <c r="H1432" s="21" t="str">
        <f t="shared" si="72"/>
        <v/>
      </c>
      <c r="I1432" s="21" t="str">
        <f t="shared" si="71"/>
        <v/>
      </c>
      <c r="J1432" s="21" t="str">
        <f t="shared" si="73"/>
        <v/>
      </c>
      <c r="K1432" s="20"/>
      <c r="L1432" s="21" t="str">
        <f>IF(OR(NOT(AND($B1432&lt;&gt;"",$C1432&lt;&gt;"",$D1432&lt;&gt;"",$E1432&lt;&gt;"")),$A1432="",$K1432&lt;&gt;"Yes"),"",IF($L1432&lt;&gt;"",$L1432,INDEX(SETUP!$I$1:$I$2000,MATCH(TRUE,SETUP!$J$1:$J$2000,0)+COUNTIFS($A$2:$A1432,"&lt;&gt;",$K$2:$K1432,"Yes",$L$2:$L1432,"")-1)))</f>
        <v/>
      </c>
      <c r="N1432" s="22"/>
    </row>
    <row r="1433" spans="1:14" x14ac:dyDescent="0.3">
      <c r="A1433" s="15" t="str">
        <f>IF(COUNTA($B1433:$E1433,$K1433)=0,"",IF(AND($B1433&lt;&gt;"",$C1433&lt;&gt;"",$D1433&lt;&gt;"",$E1433&lt;&gt;""),"TXS"&amp;TEXT(COUNTIFS($B$2:$B1433,"&lt;&gt;",$C$2:$C1433,"&lt;&gt;",$D$2:$D1433,"&lt;&gt;",$E$2:$E1433,"&lt;&gt;"),"00000"),""))</f>
        <v/>
      </c>
      <c r="B1433" s="16"/>
      <c r="C1433" s="20"/>
      <c r="D1433" s="20"/>
      <c r="E1433" s="23"/>
      <c r="H1433" s="21" t="str">
        <f t="shared" si="72"/>
        <v/>
      </c>
      <c r="I1433" s="21" t="str">
        <f t="shared" si="71"/>
        <v/>
      </c>
      <c r="J1433" s="21" t="str">
        <f t="shared" si="73"/>
        <v/>
      </c>
      <c r="K1433" s="20"/>
      <c r="L1433" s="21" t="str">
        <f>IF(OR(NOT(AND($B1433&lt;&gt;"",$C1433&lt;&gt;"",$D1433&lt;&gt;"",$E1433&lt;&gt;"")),$A1433="",$K1433&lt;&gt;"Yes"),"",IF($L1433&lt;&gt;"",$L1433,INDEX(SETUP!$I$1:$I$2000,MATCH(TRUE,SETUP!$J$1:$J$2000,0)+COUNTIFS($A$2:$A1433,"&lt;&gt;",$K$2:$K1433,"Yes",$L$2:$L1433,"")-1)))</f>
        <v/>
      </c>
      <c r="N1433" s="22"/>
    </row>
    <row r="1434" spans="1:14" x14ac:dyDescent="0.3">
      <c r="A1434" s="15" t="str">
        <f>IF(COUNTA($B1434:$E1434,$K1434)=0,"",IF(AND($B1434&lt;&gt;"",$C1434&lt;&gt;"",$D1434&lt;&gt;"",$E1434&lt;&gt;""),"TXS"&amp;TEXT(COUNTIFS($B$2:$B1434,"&lt;&gt;",$C$2:$C1434,"&lt;&gt;",$D$2:$D1434,"&lt;&gt;",$E$2:$E1434,"&lt;&gt;"),"00000"),""))</f>
        <v/>
      </c>
      <c r="B1434" s="16"/>
      <c r="C1434" s="20"/>
      <c r="D1434" s="20"/>
      <c r="E1434" s="23"/>
      <c r="H1434" s="21" t="str">
        <f t="shared" si="72"/>
        <v/>
      </c>
      <c r="I1434" s="21" t="str">
        <f t="shared" si="71"/>
        <v/>
      </c>
      <c r="J1434" s="21" t="str">
        <f t="shared" si="73"/>
        <v/>
      </c>
      <c r="K1434" s="20"/>
      <c r="L1434" s="21" t="str">
        <f>IF(OR(NOT(AND($B1434&lt;&gt;"",$C1434&lt;&gt;"",$D1434&lt;&gt;"",$E1434&lt;&gt;"")),$A1434="",$K1434&lt;&gt;"Yes"),"",IF($L1434&lt;&gt;"",$L1434,INDEX(SETUP!$I$1:$I$2000,MATCH(TRUE,SETUP!$J$1:$J$2000,0)+COUNTIFS($A$2:$A1434,"&lt;&gt;",$K$2:$K1434,"Yes",$L$2:$L1434,"")-1)))</f>
        <v/>
      </c>
      <c r="N1434" s="22"/>
    </row>
    <row r="1435" spans="1:14" x14ac:dyDescent="0.3">
      <c r="A1435" s="15" t="str">
        <f>IF(COUNTA($B1435:$E1435,$K1435)=0,"",IF(AND($B1435&lt;&gt;"",$C1435&lt;&gt;"",$D1435&lt;&gt;"",$E1435&lt;&gt;""),"TXS"&amp;TEXT(COUNTIFS($B$2:$B1435,"&lt;&gt;",$C$2:$C1435,"&lt;&gt;",$D$2:$D1435,"&lt;&gt;",$E$2:$E1435,"&lt;&gt;"),"00000"),""))</f>
        <v/>
      </c>
      <c r="B1435" s="16"/>
      <c r="C1435" s="20"/>
      <c r="D1435" s="20"/>
      <c r="E1435" s="23"/>
      <c r="H1435" s="21" t="str">
        <f t="shared" si="72"/>
        <v/>
      </c>
      <c r="I1435" s="21" t="str">
        <f t="shared" si="71"/>
        <v/>
      </c>
      <c r="J1435" s="21" t="str">
        <f t="shared" si="73"/>
        <v/>
      </c>
      <c r="K1435" s="20"/>
      <c r="L1435" s="21" t="str">
        <f>IF(OR(NOT(AND($B1435&lt;&gt;"",$C1435&lt;&gt;"",$D1435&lt;&gt;"",$E1435&lt;&gt;"")),$A1435="",$K1435&lt;&gt;"Yes"),"",IF($L1435&lt;&gt;"",$L1435,INDEX(SETUP!$I$1:$I$2000,MATCH(TRUE,SETUP!$J$1:$J$2000,0)+COUNTIFS($A$2:$A1435,"&lt;&gt;",$K$2:$K1435,"Yes",$L$2:$L1435,"")-1)))</f>
        <v/>
      </c>
      <c r="N1435" s="22"/>
    </row>
    <row r="1436" spans="1:14" x14ac:dyDescent="0.3">
      <c r="A1436" s="15" t="str">
        <f>IF(COUNTA($B1436:$E1436,$K1436)=0,"",IF(AND($B1436&lt;&gt;"",$C1436&lt;&gt;"",$D1436&lt;&gt;"",$E1436&lt;&gt;""),"TXS"&amp;TEXT(COUNTIFS($B$2:$B1436,"&lt;&gt;",$C$2:$C1436,"&lt;&gt;",$D$2:$D1436,"&lt;&gt;",$E$2:$E1436,"&lt;&gt;"),"00000"),""))</f>
        <v/>
      </c>
      <c r="B1436" s="16"/>
      <c r="C1436" s="20"/>
      <c r="D1436" s="20"/>
      <c r="E1436" s="23"/>
      <c r="H1436" s="21" t="str">
        <f t="shared" si="72"/>
        <v/>
      </c>
      <c r="I1436" s="21" t="str">
        <f t="shared" si="71"/>
        <v/>
      </c>
      <c r="J1436" s="21" t="str">
        <f t="shared" si="73"/>
        <v/>
      </c>
      <c r="K1436" s="20"/>
      <c r="L1436" s="21" t="str">
        <f>IF(OR(NOT(AND($B1436&lt;&gt;"",$C1436&lt;&gt;"",$D1436&lt;&gt;"",$E1436&lt;&gt;"")),$A1436="",$K1436&lt;&gt;"Yes"),"",IF($L1436&lt;&gt;"",$L1436,INDEX(SETUP!$I$1:$I$2000,MATCH(TRUE,SETUP!$J$1:$J$2000,0)+COUNTIFS($A$2:$A1436,"&lt;&gt;",$K$2:$K1436,"Yes",$L$2:$L1436,"")-1)))</f>
        <v/>
      </c>
      <c r="N1436" s="22"/>
    </row>
    <row r="1437" spans="1:14" x14ac:dyDescent="0.3">
      <c r="A1437" s="15" t="str">
        <f>IF(COUNTA($B1437:$E1437,$K1437)=0,"",IF(AND($B1437&lt;&gt;"",$C1437&lt;&gt;"",$D1437&lt;&gt;"",$E1437&lt;&gt;""),"TXS"&amp;TEXT(COUNTIFS($B$2:$B1437,"&lt;&gt;",$C$2:$C1437,"&lt;&gt;",$D$2:$D1437,"&lt;&gt;",$E$2:$E1437,"&lt;&gt;"),"00000"),""))</f>
        <v/>
      </c>
      <c r="B1437" s="16"/>
      <c r="C1437" s="20"/>
      <c r="D1437" s="20"/>
      <c r="E1437" s="23"/>
      <c r="H1437" s="21" t="str">
        <f t="shared" si="72"/>
        <v/>
      </c>
      <c r="I1437" s="21" t="str">
        <f t="shared" si="71"/>
        <v/>
      </c>
      <c r="J1437" s="21" t="str">
        <f t="shared" si="73"/>
        <v/>
      </c>
      <c r="K1437" s="20"/>
      <c r="L1437" s="21" t="str">
        <f>IF(OR(NOT(AND($B1437&lt;&gt;"",$C1437&lt;&gt;"",$D1437&lt;&gt;"",$E1437&lt;&gt;"")),$A1437="",$K1437&lt;&gt;"Yes"),"",IF($L1437&lt;&gt;"",$L1437,INDEX(SETUP!$I$1:$I$2000,MATCH(TRUE,SETUP!$J$1:$J$2000,0)+COUNTIFS($A$2:$A1437,"&lt;&gt;",$K$2:$K1437,"Yes",$L$2:$L1437,"")-1)))</f>
        <v/>
      </c>
      <c r="N1437" s="22"/>
    </row>
    <row r="1438" spans="1:14" x14ac:dyDescent="0.3">
      <c r="A1438" s="15" t="str">
        <f>IF(COUNTA($B1438:$E1438,$K1438)=0,"",IF(AND($B1438&lt;&gt;"",$C1438&lt;&gt;"",$D1438&lt;&gt;"",$E1438&lt;&gt;""),"TXS"&amp;TEXT(COUNTIFS($B$2:$B1438,"&lt;&gt;",$C$2:$C1438,"&lt;&gt;",$D$2:$D1438,"&lt;&gt;",$E$2:$E1438,"&lt;&gt;"),"00000"),""))</f>
        <v/>
      </c>
      <c r="B1438" s="16"/>
      <c r="C1438" s="20"/>
      <c r="D1438" s="20"/>
      <c r="E1438" s="23"/>
      <c r="H1438" s="21" t="str">
        <f t="shared" si="72"/>
        <v/>
      </c>
      <c r="I1438" s="21" t="str">
        <f t="shared" si="71"/>
        <v/>
      </c>
      <c r="J1438" s="21" t="str">
        <f t="shared" si="73"/>
        <v/>
      </c>
      <c r="K1438" s="20"/>
      <c r="L1438" s="21" t="str">
        <f>IF(OR(NOT(AND($B1438&lt;&gt;"",$C1438&lt;&gt;"",$D1438&lt;&gt;"",$E1438&lt;&gt;"")),$A1438="",$K1438&lt;&gt;"Yes"),"",IF($L1438&lt;&gt;"",$L1438,INDEX(SETUP!$I$1:$I$2000,MATCH(TRUE,SETUP!$J$1:$J$2000,0)+COUNTIFS($A$2:$A1438,"&lt;&gt;",$K$2:$K1438,"Yes",$L$2:$L1438,"")-1)))</f>
        <v/>
      </c>
      <c r="N1438" s="22"/>
    </row>
    <row r="1439" spans="1:14" x14ac:dyDescent="0.3">
      <c r="A1439" s="15" t="str">
        <f>IF(COUNTA($B1439:$E1439,$K1439)=0,"",IF(AND($B1439&lt;&gt;"",$C1439&lt;&gt;"",$D1439&lt;&gt;"",$E1439&lt;&gt;""),"TXS"&amp;TEXT(COUNTIFS($B$2:$B1439,"&lt;&gt;",$C$2:$C1439,"&lt;&gt;",$D$2:$D1439,"&lt;&gt;",$E$2:$E1439,"&lt;&gt;"),"00000"),""))</f>
        <v/>
      </c>
      <c r="B1439" s="16"/>
      <c r="C1439" s="20"/>
      <c r="D1439" s="20"/>
      <c r="E1439" s="23"/>
      <c r="H1439" s="21" t="str">
        <f t="shared" si="72"/>
        <v/>
      </c>
      <c r="I1439" s="21" t="str">
        <f t="shared" si="71"/>
        <v/>
      </c>
      <c r="J1439" s="21" t="str">
        <f t="shared" si="73"/>
        <v/>
      </c>
      <c r="K1439" s="20"/>
      <c r="L1439" s="21" t="str">
        <f>IF(OR(NOT(AND($B1439&lt;&gt;"",$C1439&lt;&gt;"",$D1439&lt;&gt;"",$E1439&lt;&gt;"")),$A1439="",$K1439&lt;&gt;"Yes"),"",IF($L1439&lt;&gt;"",$L1439,INDEX(SETUP!$I$1:$I$2000,MATCH(TRUE,SETUP!$J$1:$J$2000,0)+COUNTIFS($A$2:$A1439,"&lt;&gt;",$K$2:$K1439,"Yes",$L$2:$L1439,"")-1)))</f>
        <v/>
      </c>
      <c r="N1439" s="22"/>
    </row>
    <row r="1440" spans="1:14" x14ac:dyDescent="0.3">
      <c r="A1440" s="15" t="str">
        <f>IF(COUNTA($B1440:$E1440,$K1440)=0,"",IF(AND($B1440&lt;&gt;"",$C1440&lt;&gt;"",$D1440&lt;&gt;"",$E1440&lt;&gt;""),"TXS"&amp;TEXT(COUNTIFS($B$2:$B1440,"&lt;&gt;",$C$2:$C1440,"&lt;&gt;",$D$2:$D1440,"&lt;&gt;",$E$2:$E1440,"&lt;&gt;"),"00000"),""))</f>
        <v/>
      </c>
      <c r="B1440" s="16"/>
      <c r="C1440" s="20"/>
      <c r="D1440" s="20"/>
      <c r="E1440" s="23"/>
      <c r="H1440" s="21" t="str">
        <f t="shared" si="72"/>
        <v/>
      </c>
      <c r="I1440" s="21" t="str">
        <f t="shared" si="71"/>
        <v/>
      </c>
      <c r="J1440" s="21" t="str">
        <f t="shared" si="73"/>
        <v/>
      </c>
      <c r="K1440" s="20"/>
      <c r="L1440" s="21" t="str">
        <f>IF(OR(NOT(AND($B1440&lt;&gt;"",$C1440&lt;&gt;"",$D1440&lt;&gt;"",$E1440&lt;&gt;"")),$A1440="",$K1440&lt;&gt;"Yes"),"",IF($L1440&lt;&gt;"",$L1440,INDEX(SETUP!$I$1:$I$2000,MATCH(TRUE,SETUP!$J$1:$J$2000,0)+COUNTIFS($A$2:$A1440,"&lt;&gt;",$K$2:$K1440,"Yes",$L$2:$L1440,"")-1)))</f>
        <v/>
      </c>
      <c r="N1440" s="22"/>
    </row>
    <row r="1441" spans="1:14" x14ac:dyDescent="0.3">
      <c r="A1441" s="15" t="str">
        <f>IF(COUNTA($B1441:$E1441,$K1441)=0,"",IF(AND($B1441&lt;&gt;"",$C1441&lt;&gt;"",$D1441&lt;&gt;"",$E1441&lt;&gt;""),"TXS"&amp;TEXT(COUNTIFS($B$2:$B1441,"&lt;&gt;",$C$2:$C1441,"&lt;&gt;",$D$2:$D1441,"&lt;&gt;",$E$2:$E1441,"&lt;&gt;"),"00000"),""))</f>
        <v/>
      </c>
      <c r="B1441" s="16"/>
      <c r="C1441" s="20"/>
      <c r="D1441" s="20"/>
      <c r="E1441" s="23"/>
      <c r="H1441" s="21" t="str">
        <f t="shared" si="72"/>
        <v/>
      </c>
      <c r="I1441" s="21" t="str">
        <f t="shared" si="71"/>
        <v/>
      </c>
      <c r="J1441" s="21" t="str">
        <f t="shared" si="73"/>
        <v/>
      </c>
      <c r="K1441" s="20"/>
      <c r="L1441" s="21" t="str">
        <f>IF(OR(NOT(AND($B1441&lt;&gt;"",$C1441&lt;&gt;"",$D1441&lt;&gt;"",$E1441&lt;&gt;"")),$A1441="",$K1441&lt;&gt;"Yes"),"",IF($L1441&lt;&gt;"",$L1441,INDEX(SETUP!$I$1:$I$2000,MATCH(TRUE,SETUP!$J$1:$J$2000,0)+COUNTIFS($A$2:$A1441,"&lt;&gt;",$K$2:$K1441,"Yes",$L$2:$L1441,"")-1)))</f>
        <v/>
      </c>
      <c r="N1441" s="22"/>
    </row>
    <row r="1442" spans="1:14" x14ac:dyDescent="0.3">
      <c r="A1442" s="15" t="str">
        <f>IF(COUNTA($B1442:$E1442,$K1442)=0,"",IF(AND($B1442&lt;&gt;"",$C1442&lt;&gt;"",$D1442&lt;&gt;"",$E1442&lt;&gt;""),"TXS"&amp;TEXT(COUNTIFS($B$2:$B1442,"&lt;&gt;",$C$2:$C1442,"&lt;&gt;",$D$2:$D1442,"&lt;&gt;",$E$2:$E1442,"&lt;&gt;"),"00000"),""))</f>
        <v/>
      </c>
      <c r="B1442" s="16"/>
      <c r="C1442" s="20"/>
      <c r="D1442" s="20"/>
      <c r="E1442" s="23"/>
      <c r="H1442" s="21" t="str">
        <f t="shared" si="72"/>
        <v/>
      </c>
      <c r="I1442" s="21" t="str">
        <f t="shared" si="71"/>
        <v/>
      </c>
      <c r="J1442" s="21" t="str">
        <f t="shared" si="73"/>
        <v/>
      </c>
      <c r="K1442" s="20"/>
      <c r="L1442" s="21" t="str">
        <f>IF(OR(NOT(AND($B1442&lt;&gt;"",$C1442&lt;&gt;"",$D1442&lt;&gt;"",$E1442&lt;&gt;"")),$A1442="",$K1442&lt;&gt;"Yes"),"",IF($L1442&lt;&gt;"",$L1442,INDEX(SETUP!$I$1:$I$2000,MATCH(TRUE,SETUP!$J$1:$J$2000,0)+COUNTIFS($A$2:$A1442,"&lt;&gt;",$K$2:$K1442,"Yes",$L$2:$L1442,"")-1)))</f>
        <v/>
      </c>
      <c r="N1442" s="22"/>
    </row>
    <row r="1443" spans="1:14" x14ac:dyDescent="0.3">
      <c r="A1443" s="15" t="str">
        <f>IF(COUNTA($B1443:$E1443,$K1443)=0,"",IF(AND($B1443&lt;&gt;"",$C1443&lt;&gt;"",$D1443&lt;&gt;"",$E1443&lt;&gt;""),"TXS"&amp;TEXT(COUNTIFS($B$2:$B1443,"&lt;&gt;",$C$2:$C1443,"&lt;&gt;",$D$2:$D1443,"&lt;&gt;",$E$2:$E1443,"&lt;&gt;"),"00000"),""))</f>
        <v/>
      </c>
      <c r="B1443" s="16"/>
      <c r="C1443" s="20"/>
      <c r="D1443" s="20"/>
      <c r="E1443" s="23"/>
      <c r="H1443" s="21" t="str">
        <f t="shared" si="72"/>
        <v/>
      </c>
      <c r="I1443" s="21" t="str">
        <f t="shared" si="71"/>
        <v/>
      </c>
      <c r="J1443" s="21" t="str">
        <f t="shared" si="73"/>
        <v/>
      </c>
      <c r="K1443" s="20"/>
      <c r="L1443" s="21" t="str">
        <f>IF(OR(NOT(AND($B1443&lt;&gt;"",$C1443&lt;&gt;"",$D1443&lt;&gt;"",$E1443&lt;&gt;"")),$A1443="",$K1443&lt;&gt;"Yes"),"",IF($L1443&lt;&gt;"",$L1443,INDEX(SETUP!$I$1:$I$2000,MATCH(TRUE,SETUP!$J$1:$J$2000,0)+COUNTIFS($A$2:$A1443,"&lt;&gt;",$K$2:$K1443,"Yes",$L$2:$L1443,"")-1)))</f>
        <v/>
      </c>
      <c r="N1443" s="22"/>
    </row>
    <row r="1444" spans="1:14" x14ac:dyDescent="0.3">
      <c r="A1444" s="15" t="str">
        <f>IF(COUNTA($B1444:$E1444,$K1444)=0,"",IF(AND($B1444&lt;&gt;"",$C1444&lt;&gt;"",$D1444&lt;&gt;"",$E1444&lt;&gt;""),"TXS"&amp;TEXT(COUNTIFS($B$2:$B1444,"&lt;&gt;",$C$2:$C1444,"&lt;&gt;",$D$2:$D1444,"&lt;&gt;",$E$2:$E1444,"&lt;&gt;"),"00000"),""))</f>
        <v/>
      </c>
      <c r="B1444" s="16"/>
      <c r="C1444" s="20"/>
      <c r="D1444" s="20"/>
      <c r="E1444" s="23"/>
      <c r="H1444" s="21" t="str">
        <f t="shared" si="72"/>
        <v/>
      </c>
      <c r="I1444" s="21" t="str">
        <f t="shared" si="71"/>
        <v/>
      </c>
      <c r="J1444" s="21" t="str">
        <f t="shared" si="73"/>
        <v/>
      </c>
      <c r="K1444" s="20"/>
      <c r="L1444" s="21" t="str">
        <f>IF(OR(NOT(AND($B1444&lt;&gt;"",$C1444&lt;&gt;"",$D1444&lt;&gt;"",$E1444&lt;&gt;"")),$A1444="",$K1444&lt;&gt;"Yes"),"",IF($L1444&lt;&gt;"",$L1444,INDEX(SETUP!$I$1:$I$2000,MATCH(TRUE,SETUP!$J$1:$J$2000,0)+COUNTIFS($A$2:$A1444,"&lt;&gt;",$K$2:$K1444,"Yes",$L$2:$L1444,"")-1)))</f>
        <v/>
      </c>
      <c r="N1444" s="22"/>
    </row>
    <row r="1445" spans="1:14" x14ac:dyDescent="0.3">
      <c r="A1445" s="15" t="str">
        <f>IF(COUNTA($B1445:$E1445,$K1445)=0,"",IF(AND($B1445&lt;&gt;"",$C1445&lt;&gt;"",$D1445&lt;&gt;"",$E1445&lt;&gt;""),"TXS"&amp;TEXT(COUNTIFS($B$2:$B1445,"&lt;&gt;",$C$2:$C1445,"&lt;&gt;",$D$2:$D1445,"&lt;&gt;",$E$2:$E1445,"&lt;&gt;"),"00000"),""))</f>
        <v/>
      </c>
      <c r="B1445" s="16"/>
      <c r="C1445" s="20"/>
      <c r="D1445" s="20"/>
      <c r="E1445" s="23"/>
      <c r="H1445" s="21" t="str">
        <f t="shared" si="72"/>
        <v/>
      </c>
      <c r="I1445" s="21" t="str">
        <f t="shared" si="71"/>
        <v/>
      </c>
      <c r="J1445" s="21" t="str">
        <f t="shared" si="73"/>
        <v/>
      </c>
      <c r="K1445" s="20"/>
      <c r="L1445" s="21" t="str">
        <f>IF(OR(NOT(AND($B1445&lt;&gt;"",$C1445&lt;&gt;"",$D1445&lt;&gt;"",$E1445&lt;&gt;"")),$A1445="",$K1445&lt;&gt;"Yes"),"",IF($L1445&lt;&gt;"",$L1445,INDEX(SETUP!$I$1:$I$2000,MATCH(TRUE,SETUP!$J$1:$J$2000,0)+COUNTIFS($A$2:$A1445,"&lt;&gt;",$K$2:$K1445,"Yes",$L$2:$L1445,"")-1)))</f>
        <v/>
      </c>
      <c r="N1445" s="22"/>
    </row>
    <row r="1446" spans="1:14" x14ac:dyDescent="0.3">
      <c r="A1446" s="15" t="str">
        <f>IF(COUNTA($B1446:$E1446,$K1446)=0,"",IF(AND($B1446&lt;&gt;"",$C1446&lt;&gt;"",$D1446&lt;&gt;"",$E1446&lt;&gt;""),"TXS"&amp;TEXT(COUNTIFS($B$2:$B1446,"&lt;&gt;",$C$2:$C1446,"&lt;&gt;",$D$2:$D1446,"&lt;&gt;",$E$2:$E1446,"&lt;&gt;"),"00000"),""))</f>
        <v/>
      </c>
      <c r="B1446" s="16"/>
      <c r="C1446" s="20"/>
      <c r="D1446" s="20"/>
      <c r="E1446" s="23"/>
      <c r="H1446" s="21" t="str">
        <f t="shared" si="72"/>
        <v/>
      </c>
      <c r="I1446" s="21" t="str">
        <f t="shared" si="71"/>
        <v/>
      </c>
      <c r="J1446" s="21" t="str">
        <f t="shared" si="73"/>
        <v/>
      </c>
      <c r="K1446" s="20"/>
      <c r="L1446" s="21" t="str">
        <f>IF(OR(NOT(AND($B1446&lt;&gt;"",$C1446&lt;&gt;"",$D1446&lt;&gt;"",$E1446&lt;&gt;"")),$A1446="",$K1446&lt;&gt;"Yes"),"",IF($L1446&lt;&gt;"",$L1446,INDEX(SETUP!$I$1:$I$2000,MATCH(TRUE,SETUP!$J$1:$J$2000,0)+COUNTIFS($A$2:$A1446,"&lt;&gt;",$K$2:$K1446,"Yes",$L$2:$L1446,"")-1)))</f>
        <v/>
      </c>
      <c r="N1446" s="22"/>
    </row>
    <row r="1447" spans="1:14" x14ac:dyDescent="0.3">
      <c r="A1447" s="15" t="str">
        <f>IF(COUNTA($B1447:$E1447,$K1447)=0,"",IF(AND($B1447&lt;&gt;"",$C1447&lt;&gt;"",$D1447&lt;&gt;"",$E1447&lt;&gt;""),"TXS"&amp;TEXT(COUNTIFS($B$2:$B1447,"&lt;&gt;",$C$2:$C1447,"&lt;&gt;",$D$2:$D1447,"&lt;&gt;",$E$2:$E1447,"&lt;&gt;"),"00000"),""))</f>
        <v/>
      </c>
      <c r="B1447" s="16"/>
      <c r="C1447" s="20"/>
      <c r="D1447" s="20"/>
      <c r="E1447" s="23"/>
      <c r="H1447" s="21" t="str">
        <f t="shared" si="72"/>
        <v/>
      </c>
      <c r="I1447" s="21" t="str">
        <f t="shared" si="71"/>
        <v/>
      </c>
      <c r="J1447" s="21" t="str">
        <f t="shared" si="73"/>
        <v/>
      </c>
      <c r="K1447" s="20"/>
      <c r="L1447" s="21" t="str">
        <f>IF(OR(NOT(AND($B1447&lt;&gt;"",$C1447&lt;&gt;"",$D1447&lt;&gt;"",$E1447&lt;&gt;"")),$A1447="",$K1447&lt;&gt;"Yes"),"",IF($L1447&lt;&gt;"",$L1447,INDEX(SETUP!$I$1:$I$2000,MATCH(TRUE,SETUP!$J$1:$J$2000,0)+COUNTIFS($A$2:$A1447,"&lt;&gt;",$K$2:$K1447,"Yes",$L$2:$L1447,"")-1)))</f>
        <v/>
      </c>
      <c r="N1447" s="22"/>
    </row>
    <row r="1448" spans="1:14" x14ac:dyDescent="0.3">
      <c r="A1448" s="15" t="str">
        <f>IF(COUNTA($B1448:$E1448,$K1448)=0,"",IF(AND($B1448&lt;&gt;"",$C1448&lt;&gt;"",$D1448&lt;&gt;"",$E1448&lt;&gt;""),"TXS"&amp;TEXT(COUNTIFS($B$2:$B1448,"&lt;&gt;",$C$2:$C1448,"&lt;&gt;",$D$2:$D1448,"&lt;&gt;",$E$2:$E1448,"&lt;&gt;"),"00000"),""))</f>
        <v/>
      </c>
      <c r="B1448" s="16"/>
      <c r="C1448" s="20"/>
      <c r="D1448" s="20"/>
      <c r="E1448" s="23"/>
      <c r="H1448" s="21" t="str">
        <f t="shared" si="72"/>
        <v/>
      </c>
      <c r="I1448" s="21" t="str">
        <f t="shared" si="71"/>
        <v/>
      </c>
      <c r="J1448" s="21" t="str">
        <f t="shared" si="73"/>
        <v/>
      </c>
      <c r="K1448" s="20"/>
      <c r="L1448" s="21" t="str">
        <f>IF(OR(NOT(AND($B1448&lt;&gt;"",$C1448&lt;&gt;"",$D1448&lt;&gt;"",$E1448&lt;&gt;"")),$A1448="",$K1448&lt;&gt;"Yes"),"",IF($L1448&lt;&gt;"",$L1448,INDEX(SETUP!$I$1:$I$2000,MATCH(TRUE,SETUP!$J$1:$J$2000,0)+COUNTIFS($A$2:$A1448,"&lt;&gt;",$K$2:$K1448,"Yes",$L$2:$L1448,"")-1)))</f>
        <v/>
      </c>
      <c r="N1448" s="22"/>
    </row>
    <row r="1449" spans="1:14" x14ac:dyDescent="0.3">
      <c r="A1449" s="15" t="str">
        <f>IF(COUNTA($B1449:$E1449,$K1449)=0,"",IF(AND($B1449&lt;&gt;"",$C1449&lt;&gt;"",$D1449&lt;&gt;"",$E1449&lt;&gt;""),"TXS"&amp;TEXT(COUNTIFS($B$2:$B1449,"&lt;&gt;",$C$2:$C1449,"&lt;&gt;",$D$2:$D1449,"&lt;&gt;",$E$2:$E1449,"&lt;&gt;"),"00000"),""))</f>
        <v/>
      </c>
      <c r="B1449" s="16"/>
      <c r="C1449" s="20"/>
      <c r="D1449" s="20"/>
      <c r="E1449" s="23"/>
      <c r="H1449" s="21" t="str">
        <f t="shared" si="72"/>
        <v/>
      </c>
      <c r="I1449" s="21" t="str">
        <f t="shared" ref="I1449:I1512" si="74">IF(NOT(AND($B1449&lt;&gt;"",$C1449&lt;&gt;"",$D1449&lt;&gt;"",$E1449&lt;&gt;"")),"",IF($A1449="","","NIH plate "&amp;INT((VALUE(RIGHT($A1449,5))-1)/96)+1&amp;": "&amp;CHAR(65+INT(MOD(VALUE(RIGHT($A1449,5))-1,96)/12))&amp;(MOD(VALUE(RIGHT($A1449,5))-1,12)+1)))</f>
        <v/>
      </c>
      <c r="J1449" s="21" t="str">
        <f t="shared" si="73"/>
        <v/>
      </c>
      <c r="K1449" s="20"/>
      <c r="L1449" s="21" t="str">
        <f>IF(OR(NOT(AND($B1449&lt;&gt;"",$C1449&lt;&gt;"",$D1449&lt;&gt;"",$E1449&lt;&gt;"")),$A1449="",$K1449&lt;&gt;"Yes"),"",IF($L1449&lt;&gt;"",$L1449,INDEX(SETUP!$I$1:$I$2000,MATCH(TRUE,SETUP!$J$1:$J$2000,0)+COUNTIFS($A$2:$A1449,"&lt;&gt;",$K$2:$K1449,"Yes",$L$2:$L1449,"")-1)))</f>
        <v/>
      </c>
      <c r="N1449" s="22"/>
    </row>
    <row r="1450" spans="1:14" x14ac:dyDescent="0.3">
      <c r="A1450" s="15" t="str">
        <f>IF(COUNTA($B1450:$E1450,$K1450)=0,"",IF(AND($B1450&lt;&gt;"",$C1450&lt;&gt;"",$D1450&lt;&gt;"",$E1450&lt;&gt;""),"TXS"&amp;TEXT(COUNTIFS($B$2:$B1450,"&lt;&gt;",$C$2:$C1450,"&lt;&gt;",$D$2:$D1450,"&lt;&gt;",$E$2:$E1450,"&lt;&gt;"),"00000"),""))</f>
        <v/>
      </c>
      <c r="B1450" s="16"/>
      <c r="C1450" s="20"/>
      <c r="D1450" s="20"/>
      <c r="E1450" s="23"/>
      <c r="H1450" s="21" t="str">
        <f t="shared" si="72"/>
        <v/>
      </c>
      <c r="I1450" s="21" t="str">
        <f t="shared" si="74"/>
        <v/>
      </c>
      <c r="J1450" s="21" t="str">
        <f t="shared" si="73"/>
        <v/>
      </c>
      <c r="K1450" s="20"/>
      <c r="L1450" s="21" t="str">
        <f>IF(OR(NOT(AND($B1450&lt;&gt;"",$C1450&lt;&gt;"",$D1450&lt;&gt;"",$E1450&lt;&gt;"")),$A1450="",$K1450&lt;&gt;"Yes"),"",IF($L1450&lt;&gt;"",$L1450,INDEX(SETUP!$I$1:$I$2000,MATCH(TRUE,SETUP!$J$1:$J$2000,0)+COUNTIFS($A$2:$A1450,"&lt;&gt;",$K$2:$K1450,"Yes",$L$2:$L1450,"")-1)))</f>
        <v/>
      </c>
      <c r="N1450" s="22"/>
    </row>
    <row r="1451" spans="1:14" x14ac:dyDescent="0.3">
      <c r="A1451" s="15" t="str">
        <f>IF(COUNTA($B1451:$E1451,$K1451)=0,"",IF(AND($B1451&lt;&gt;"",$C1451&lt;&gt;"",$D1451&lt;&gt;"",$E1451&lt;&gt;""),"TXS"&amp;TEXT(COUNTIFS($B$2:$B1451,"&lt;&gt;",$C$2:$C1451,"&lt;&gt;",$D$2:$D1451,"&lt;&gt;",$E$2:$E1451,"&lt;&gt;"),"00000"),""))</f>
        <v/>
      </c>
      <c r="B1451" s="16"/>
      <c r="C1451" s="20"/>
      <c r="D1451" s="20"/>
      <c r="E1451" s="23"/>
      <c r="H1451" s="21" t="str">
        <f t="shared" si="72"/>
        <v/>
      </c>
      <c r="I1451" s="21" t="str">
        <f t="shared" si="74"/>
        <v/>
      </c>
      <c r="J1451" s="21" t="str">
        <f t="shared" si="73"/>
        <v/>
      </c>
      <c r="K1451" s="20"/>
      <c r="L1451" s="21" t="str">
        <f>IF(OR(NOT(AND($B1451&lt;&gt;"",$C1451&lt;&gt;"",$D1451&lt;&gt;"",$E1451&lt;&gt;"")),$A1451="",$K1451&lt;&gt;"Yes"),"",IF($L1451&lt;&gt;"",$L1451,INDEX(SETUP!$I$1:$I$2000,MATCH(TRUE,SETUP!$J$1:$J$2000,0)+COUNTIFS($A$2:$A1451,"&lt;&gt;",$K$2:$K1451,"Yes",$L$2:$L1451,"")-1)))</f>
        <v/>
      </c>
      <c r="N1451" s="22"/>
    </row>
    <row r="1452" spans="1:14" x14ac:dyDescent="0.3">
      <c r="A1452" s="15" t="str">
        <f>IF(COUNTA($B1452:$E1452,$K1452)=0,"",IF(AND($B1452&lt;&gt;"",$C1452&lt;&gt;"",$D1452&lt;&gt;"",$E1452&lt;&gt;""),"TXS"&amp;TEXT(COUNTIFS($B$2:$B1452,"&lt;&gt;",$C$2:$C1452,"&lt;&gt;",$D$2:$D1452,"&lt;&gt;",$E$2:$E1452,"&lt;&gt;"),"00000"),""))</f>
        <v/>
      </c>
      <c r="B1452" s="16"/>
      <c r="C1452" s="20"/>
      <c r="D1452" s="20"/>
      <c r="E1452" s="23"/>
      <c r="H1452" s="21" t="str">
        <f t="shared" si="72"/>
        <v/>
      </c>
      <c r="I1452" s="21" t="str">
        <f t="shared" si="74"/>
        <v/>
      </c>
      <c r="J1452" s="21" t="str">
        <f t="shared" si="73"/>
        <v/>
      </c>
      <c r="K1452" s="20"/>
      <c r="L1452" s="21" t="str">
        <f>IF(OR(NOT(AND($B1452&lt;&gt;"",$C1452&lt;&gt;"",$D1452&lt;&gt;"",$E1452&lt;&gt;"")),$A1452="",$K1452&lt;&gt;"Yes"),"",IF($L1452&lt;&gt;"",$L1452,INDEX(SETUP!$I$1:$I$2000,MATCH(TRUE,SETUP!$J$1:$J$2000,0)+COUNTIFS($A$2:$A1452,"&lt;&gt;",$K$2:$K1452,"Yes",$L$2:$L1452,"")-1)))</f>
        <v/>
      </c>
      <c r="N1452" s="22"/>
    </row>
    <row r="1453" spans="1:14" x14ac:dyDescent="0.3">
      <c r="A1453" s="15" t="str">
        <f>IF(COUNTA($B1453:$E1453,$K1453)=0,"",IF(AND($B1453&lt;&gt;"",$C1453&lt;&gt;"",$D1453&lt;&gt;"",$E1453&lt;&gt;""),"TXS"&amp;TEXT(COUNTIFS($B$2:$B1453,"&lt;&gt;",$C$2:$C1453,"&lt;&gt;",$D$2:$D1453,"&lt;&gt;",$E$2:$E1453,"&lt;&gt;"),"00000"),""))</f>
        <v/>
      </c>
      <c r="B1453" s="16"/>
      <c r="C1453" s="20"/>
      <c r="D1453" s="20"/>
      <c r="E1453" s="23"/>
      <c r="H1453" s="21" t="str">
        <f t="shared" si="72"/>
        <v/>
      </c>
      <c r="I1453" s="21" t="str">
        <f t="shared" si="74"/>
        <v/>
      </c>
      <c r="J1453" s="21" t="str">
        <f t="shared" si="73"/>
        <v/>
      </c>
      <c r="K1453" s="20"/>
      <c r="L1453" s="21" t="str">
        <f>IF(OR(NOT(AND($B1453&lt;&gt;"",$C1453&lt;&gt;"",$D1453&lt;&gt;"",$E1453&lt;&gt;"")),$A1453="",$K1453&lt;&gt;"Yes"),"",IF($L1453&lt;&gt;"",$L1453,INDEX(SETUP!$I$1:$I$2000,MATCH(TRUE,SETUP!$J$1:$J$2000,0)+COUNTIFS($A$2:$A1453,"&lt;&gt;",$K$2:$K1453,"Yes",$L$2:$L1453,"")-1)))</f>
        <v/>
      </c>
      <c r="N1453" s="22"/>
    </row>
    <row r="1454" spans="1:14" x14ac:dyDescent="0.3">
      <c r="A1454" s="15" t="str">
        <f>IF(COUNTA($B1454:$E1454,$K1454)=0,"",IF(AND($B1454&lt;&gt;"",$C1454&lt;&gt;"",$D1454&lt;&gt;"",$E1454&lt;&gt;""),"TXS"&amp;TEXT(COUNTIFS($B$2:$B1454,"&lt;&gt;",$C$2:$C1454,"&lt;&gt;",$D$2:$D1454,"&lt;&gt;",$E$2:$E1454,"&lt;&gt;"),"00000"),""))</f>
        <v/>
      </c>
      <c r="B1454" s="16"/>
      <c r="C1454" s="20"/>
      <c r="D1454" s="20"/>
      <c r="E1454" s="23"/>
      <c r="H1454" s="21" t="str">
        <f t="shared" si="72"/>
        <v/>
      </c>
      <c r="I1454" s="21" t="str">
        <f t="shared" si="74"/>
        <v/>
      </c>
      <c r="J1454" s="21" t="str">
        <f t="shared" si="73"/>
        <v/>
      </c>
      <c r="K1454" s="20"/>
      <c r="L1454" s="21" t="str">
        <f>IF(OR(NOT(AND($B1454&lt;&gt;"",$C1454&lt;&gt;"",$D1454&lt;&gt;"",$E1454&lt;&gt;"")),$A1454="",$K1454&lt;&gt;"Yes"),"",IF($L1454&lt;&gt;"",$L1454,INDEX(SETUP!$I$1:$I$2000,MATCH(TRUE,SETUP!$J$1:$J$2000,0)+COUNTIFS($A$2:$A1454,"&lt;&gt;",$K$2:$K1454,"Yes",$L$2:$L1454,"")-1)))</f>
        <v/>
      </c>
      <c r="N1454" s="22"/>
    </row>
    <row r="1455" spans="1:14" x14ac:dyDescent="0.3">
      <c r="A1455" s="15" t="str">
        <f>IF(COUNTA($B1455:$E1455,$K1455)=0,"",IF(AND($B1455&lt;&gt;"",$C1455&lt;&gt;"",$D1455&lt;&gt;"",$E1455&lt;&gt;""),"TXS"&amp;TEXT(COUNTIFS($B$2:$B1455,"&lt;&gt;",$C$2:$C1455,"&lt;&gt;",$D$2:$D1455,"&lt;&gt;",$E$2:$E1455,"&lt;&gt;"),"00000"),""))</f>
        <v/>
      </c>
      <c r="B1455" s="16"/>
      <c r="C1455" s="20"/>
      <c r="D1455" s="20"/>
      <c r="E1455" s="23"/>
      <c r="H1455" s="21" t="str">
        <f t="shared" ref="H1455:H1518" si="75">IF(NOT(AND($B1455&lt;&gt;"",$C1455&lt;&gt;"",$D1455&lt;&gt;"",$E1455&lt;&gt;"")),"",IF($A1455="","","CDI plate "&amp;INT((VALUE(RIGHT($A1455,5))-1)/96)+1&amp;": "&amp;CHAR(65+INT(MOD(VALUE(RIGHT($A1455,5))-1,96)/12))&amp;(MOD(VALUE(RIGHT($A1455,5))-1,12)+1)))</f>
        <v/>
      </c>
      <c r="I1455" s="21" t="str">
        <f t="shared" si="74"/>
        <v/>
      </c>
      <c r="J1455" s="21" t="str">
        <f t="shared" si="73"/>
        <v/>
      </c>
      <c r="K1455" s="20"/>
      <c r="L1455" s="21" t="str">
        <f>IF(OR(NOT(AND($B1455&lt;&gt;"",$C1455&lt;&gt;"",$D1455&lt;&gt;"",$E1455&lt;&gt;"")),$A1455="",$K1455&lt;&gt;"Yes"),"",IF($L1455&lt;&gt;"",$L1455,INDEX(SETUP!$I$1:$I$2000,MATCH(TRUE,SETUP!$J$1:$J$2000,0)+COUNTIFS($A$2:$A1455,"&lt;&gt;",$K$2:$K1455,"Yes",$L$2:$L1455,"")-1)))</f>
        <v/>
      </c>
      <c r="N1455" s="22"/>
    </row>
    <row r="1456" spans="1:14" x14ac:dyDescent="0.3">
      <c r="A1456" s="15" t="str">
        <f>IF(COUNTA($B1456:$E1456,$K1456)=0,"",IF(AND($B1456&lt;&gt;"",$C1456&lt;&gt;"",$D1456&lt;&gt;"",$E1456&lt;&gt;""),"TXS"&amp;TEXT(COUNTIFS($B$2:$B1456,"&lt;&gt;",$C$2:$C1456,"&lt;&gt;",$D$2:$D1456,"&lt;&gt;",$E$2:$E1456,"&lt;&gt;"),"00000"),""))</f>
        <v/>
      </c>
      <c r="B1456" s="16"/>
      <c r="C1456" s="20"/>
      <c r="D1456" s="20"/>
      <c r="E1456" s="23"/>
      <c r="H1456" s="21" t="str">
        <f t="shared" si="75"/>
        <v/>
      </c>
      <c r="I1456" s="21" t="str">
        <f t="shared" si="74"/>
        <v/>
      </c>
      <c r="J1456" s="21" t="str">
        <f t="shared" si="73"/>
        <v/>
      </c>
      <c r="K1456" s="20"/>
      <c r="L1456" s="21" t="str">
        <f>IF(OR(NOT(AND($B1456&lt;&gt;"",$C1456&lt;&gt;"",$D1456&lt;&gt;"",$E1456&lt;&gt;"")),$A1456="",$K1456&lt;&gt;"Yes"),"",IF($L1456&lt;&gt;"",$L1456,INDEX(SETUP!$I$1:$I$2000,MATCH(TRUE,SETUP!$J$1:$J$2000,0)+COUNTIFS($A$2:$A1456,"&lt;&gt;",$K$2:$K1456,"Yes",$L$2:$L1456,"")-1)))</f>
        <v/>
      </c>
      <c r="N1456" s="22"/>
    </row>
    <row r="1457" spans="1:14" x14ac:dyDescent="0.3">
      <c r="A1457" s="15" t="str">
        <f>IF(COUNTA($B1457:$E1457,$K1457)=0,"",IF(AND($B1457&lt;&gt;"",$C1457&lt;&gt;"",$D1457&lt;&gt;"",$E1457&lt;&gt;""),"TXS"&amp;TEXT(COUNTIFS($B$2:$B1457,"&lt;&gt;",$C$2:$C1457,"&lt;&gt;",$D$2:$D1457,"&lt;&gt;",$E$2:$E1457,"&lt;&gt;"),"00000"),""))</f>
        <v/>
      </c>
      <c r="B1457" s="16"/>
      <c r="C1457" s="20"/>
      <c r="D1457" s="20"/>
      <c r="E1457" s="23"/>
      <c r="H1457" s="21" t="str">
        <f t="shared" si="75"/>
        <v/>
      </c>
      <c r="I1457" s="21" t="str">
        <f t="shared" si="74"/>
        <v/>
      </c>
      <c r="J1457" s="21" t="str">
        <f t="shared" si="73"/>
        <v/>
      </c>
      <c r="K1457" s="20"/>
      <c r="L1457" s="21" t="str">
        <f>IF(OR(NOT(AND($B1457&lt;&gt;"",$C1457&lt;&gt;"",$D1457&lt;&gt;"",$E1457&lt;&gt;"")),$A1457="",$K1457&lt;&gt;"Yes"),"",IF($L1457&lt;&gt;"",$L1457,INDEX(SETUP!$I$1:$I$2000,MATCH(TRUE,SETUP!$J$1:$J$2000,0)+COUNTIFS($A$2:$A1457,"&lt;&gt;",$K$2:$K1457,"Yes",$L$2:$L1457,"")-1)))</f>
        <v/>
      </c>
      <c r="N1457" s="22"/>
    </row>
    <row r="1458" spans="1:14" x14ac:dyDescent="0.3">
      <c r="A1458" s="15" t="str">
        <f>IF(COUNTA($B1458:$E1458,$K1458)=0,"",IF(AND($B1458&lt;&gt;"",$C1458&lt;&gt;"",$D1458&lt;&gt;"",$E1458&lt;&gt;""),"TXS"&amp;TEXT(COUNTIFS($B$2:$B1458,"&lt;&gt;",$C$2:$C1458,"&lt;&gt;",$D$2:$D1458,"&lt;&gt;",$E$2:$E1458,"&lt;&gt;"),"00000"),""))</f>
        <v/>
      </c>
      <c r="B1458" s="16"/>
      <c r="C1458" s="20"/>
      <c r="D1458" s="20"/>
      <c r="E1458" s="23"/>
      <c r="H1458" s="21" t="str">
        <f t="shared" si="75"/>
        <v/>
      </c>
      <c r="I1458" s="21" t="str">
        <f t="shared" si="74"/>
        <v/>
      </c>
      <c r="J1458" s="21" t="str">
        <f t="shared" ref="J1458:J1521" si="76">IF(NOT(AND($B1458&lt;&gt;"",$C1458&lt;&gt;"",$D1458&lt;&gt;"",$E1458&lt;&gt;"")),"",IF($A1458="","","Max Planck plate "&amp;INT((VALUE(RIGHT($A1458,5))-1)/96)+1&amp;": "&amp;CHAR(65+INT(MOD(VALUE(RIGHT($A1458,5))-1,96)/12))&amp;(MOD(VALUE(RIGHT($A1458,5))-1,12)+1)))</f>
        <v/>
      </c>
      <c r="K1458" s="20"/>
      <c r="L1458" s="21" t="str">
        <f>IF(OR(NOT(AND($B1458&lt;&gt;"",$C1458&lt;&gt;"",$D1458&lt;&gt;"",$E1458&lt;&gt;"")),$A1458="",$K1458&lt;&gt;"Yes"),"",IF($L1458&lt;&gt;"",$L1458,INDEX(SETUP!$I$1:$I$2000,MATCH(TRUE,SETUP!$J$1:$J$2000,0)+COUNTIFS($A$2:$A1458,"&lt;&gt;",$K$2:$K1458,"Yes",$L$2:$L1458,"")-1)))</f>
        <v/>
      </c>
      <c r="N1458" s="22"/>
    </row>
    <row r="1459" spans="1:14" x14ac:dyDescent="0.3">
      <c r="A1459" s="15" t="str">
        <f>IF(COUNTA($B1459:$E1459,$K1459)=0,"",IF(AND($B1459&lt;&gt;"",$C1459&lt;&gt;"",$D1459&lt;&gt;"",$E1459&lt;&gt;""),"TXS"&amp;TEXT(COUNTIFS($B$2:$B1459,"&lt;&gt;",$C$2:$C1459,"&lt;&gt;",$D$2:$D1459,"&lt;&gt;",$E$2:$E1459,"&lt;&gt;"),"00000"),""))</f>
        <v/>
      </c>
      <c r="B1459" s="16"/>
      <c r="C1459" s="20"/>
      <c r="D1459" s="20"/>
      <c r="E1459" s="23"/>
      <c r="H1459" s="21" t="str">
        <f t="shared" si="75"/>
        <v/>
      </c>
      <c r="I1459" s="21" t="str">
        <f t="shared" si="74"/>
        <v/>
      </c>
      <c r="J1459" s="21" t="str">
        <f t="shared" si="76"/>
        <v/>
      </c>
      <c r="K1459" s="20"/>
      <c r="L1459" s="21" t="str">
        <f>IF(OR(NOT(AND($B1459&lt;&gt;"",$C1459&lt;&gt;"",$D1459&lt;&gt;"",$E1459&lt;&gt;"")),$A1459="",$K1459&lt;&gt;"Yes"),"",IF($L1459&lt;&gt;"",$L1459,INDEX(SETUP!$I$1:$I$2000,MATCH(TRUE,SETUP!$J$1:$J$2000,0)+COUNTIFS($A$2:$A1459,"&lt;&gt;",$K$2:$K1459,"Yes",$L$2:$L1459,"")-1)))</f>
        <v/>
      </c>
      <c r="N1459" s="22"/>
    </row>
    <row r="1460" spans="1:14" x14ac:dyDescent="0.3">
      <c r="A1460" s="15" t="str">
        <f>IF(COUNTA($B1460:$E1460,$K1460)=0,"",IF(AND($B1460&lt;&gt;"",$C1460&lt;&gt;"",$D1460&lt;&gt;"",$E1460&lt;&gt;""),"TXS"&amp;TEXT(COUNTIFS($B$2:$B1460,"&lt;&gt;",$C$2:$C1460,"&lt;&gt;",$D$2:$D1460,"&lt;&gt;",$E$2:$E1460,"&lt;&gt;"),"00000"),""))</f>
        <v/>
      </c>
      <c r="B1460" s="16"/>
      <c r="C1460" s="20"/>
      <c r="D1460" s="20"/>
      <c r="E1460" s="23"/>
      <c r="H1460" s="21" t="str">
        <f t="shared" si="75"/>
        <v/>
      </c>
      <c r="I1460" s="21" t="str">
        <f t="shared" si="74"/>
        <v/>
      </c>
      <c r="J1460" s="21" t="str">
        <f t="shared" si="76"/>
        <v/>
      </c>
      <c r="K1460" s="20"/>
      <c r="L1460" s="21" t="str">
        <f>IF(OR(NOT(AND($B1460&lt;&gt;"",$C1460&lt;&gt;"",$D1460&lt;&gt;"",$E1460&lt;&gt;"")),$A1460="",$K1460&lt;&gt;"Yes"),"",IF($L1460&lt;&gt;"",$L1460,INDEX(SETUP!$I$1:$I$2000,MATCH(TRUE,SETUP!$J$1:$J$2000,0)+COUNTIFS($A$2:$A1460,"&lt;&gt;",$K$2:$K1460,"Yes",$L$2:$L1460,"")-1)))</f>
        <v/>
      </c>
      <c r="N1460" s="22"/>
    </row>
    <row r="1461" spans="1:14" x14ac:dyDescent="0.3">
      <c r="A1461" s="15" t="str">
        <f>IF(COUNTA($B1461:$E1461,$K1461)=0,"",IF(AND($B1461&lt;&gt;"",$C1461&lt;&gt;"",$D1461&lt;&gt;"",$E1461&lt;&gt;""),"TXS"&amp;TEXT(COUNTIFS($B$2:$B1461,"&lt;&gt;",$C$2:$C1461,"&lt;&gt;",$D$2:$D1461,"&lt;&gt;",$E$2:$E1461,"&lt;&gt;"),"00000"),""))</f>
        <v/>
      </c>
      <c r="B1461" s="16"/>
      <c r="C1461" s="20"/>
      <c r="D1461" s="20"/>
      <c r="E1461" s="23"/>
      <c r="H1461" s="21" t="str">
        <f t="shared" si="75"/>
        <v/>
      </c>
      <c r="I1461" s="21" t="str">
        <f t="shared" si="74"/>
        <v/>
      </c>
      <c r="J1461" s="21" t="str">
        <f t="shared" si="76"/>
        <v/>
      </c>
      <c r="K1461" s="20"/>
      <c r="L1461" s="21" t="str">
        <f>IF(OR(NOT(AND($B1461&lt;&gt;"",$C1461&lt;&gt;"",$D1461&lt;&gt;"",$E1461&lt;&gt;"")),$A1461="",$K1461&lt;&gt;"Yes"),"",IF($L1461&lt;&gt;"",$L1461,INDEX(SETUP!$I$1:$I$2000,MATCH(TRUE,SETUP!$J$1:$J$2000,0)+COUNTIFS($A$2:$A1461,"&lt;&gt;",$K$2:$K1461,"Yes",$L$2:$L1461,"")-1)))</f>
        <v/>
      </c>
      <c r="N1461" s="22"/>
    </row>
    <row r="1462" spans="1:14" x14ac:dyDescent="0.3">
      <c r="A1462" s="15" t="str">
        <f>IF(COUNTA($B1462:$E1462,$K1462)=0,"",IF(AND($B1462&lt;&gt;"",$C1462&lt;&gt;"",$D1462&lt;&gt;"",$E1462&lt;&gt;""),"TXS"&amp;TEXT(COUNTIFS($B$2:$B1462,"&lt;&gt;",$C$2:$C1462,"&lt;&gt;",$D$2:$D1462,"&lt;&gt;",$E$2:$E1462,"&lt;&gt;"),"00000"),""))</f>
        <v/>
      </c>
      <c r="B1462" s="16"/>
      <c r="C1462" s="20"/>
      <c r="D1462" s="20"/>
      <c r="E1462" s="23"/>
      <c r="H1462" s="21" t="str">
        <f t="shared" si="75"/>
        <v/>
      </c>
      <c r="I1462" s="21" t="str">
        <f t="shared" si="74"/>
        <v/>
      </c>
      <c r="J1462" s="21" t="str">
        <f t="shared" si="76"/>
        <v/>
      </c>
      <c r="K1462" s="20"/>
      <c r="L1462" s="21" t="str">
        <f>IF(OR(NOT(AND($B1462&lt;&gt;"",$C1462&lt;&gt;"",$D1462&lt;&gt;"",$E1462&lt;&gt;"")),$A1462="",$K1462&lt;&gt;"Yes"),"",IF($L1462&lt;&gt;"",$L1462,INDEX(SETUP!$I$1:$I$2000,MATCH(TRUE,SETUP!$J$1:$J$2000,0)+COUNTIFS($A$2:$A1462,"&lt;&gt;",$K$2:$K1462,"Yes",$L$2:$L1462,"")-1)))</f>
        <v/>
      </c>
      <c r="N1462" s="22"/>
    </row>
    <row r="1463" spans="1:14" x14ac:dyDescent="0.3">
      <c r="A1463" s="15" t="str">
        <f>IF(COUNTA($B1463:$E1463,$K1463)=0,"",IF(AND($B1463&lt;&gt;"",$C1463&lt;&gt;"",$D1463&lt;&gt;"",$E1463&lt;&gt;""),"TXS"&amp;TEXT(COUNTIFS($B$2:$B1463,"&lt;&gt;",$C$2:$C1463,"&lt;&gt;",$D$2:$D1463,"&lt;&gt;",$E$2:$E1463,"&lt;&gt;"),"00000"),""))</f>
        <v/>
      </c>
      <c r="B1463" s="16"/>
      <c r="C1463" s="20"/>
      <c r="D1463" s="20"/>
      <c r="E1463" s="23"/>
      <c r="H1463" s="21" t="str">
        <f t="shared" si="75"/>
        <v/>
      </c>
      <c r="I1463" s="21" t="str">
        <f t="shared" si="74"/>
        <v/>
      </c>
      <c r="J1463" s="21" t="str">
        <f t="shared" si="76"/>
        <v/>
      </c>
      <c r="K1463" s="20"/>
      <c r="L1463" s="21" t="str">
        <f>IF(OR(NOT(AND($B1463&lt;&gt;"",$C1463&lt;&gt;"",$D1463&lt;&gt;"",$E1463&lt;&gt;"")),$A1463="",$K1463&lt;&gt;"Yes"),"",IF($L1463&lt;&gt;"",$L1463,INDEX(SETUP!$I$1:$I$2000,MATCH(TRUE,SETUP!$J$1:$J$2000,0)+COUNTIFS($A$2:$A1463,"&lt;&gt;",$K$2:$K1463,"Yes",$L$2:$L1463,"")-1)))</f>
        <v/>
      </c>
      <c r="N1463" s="22"/>
    </row>
    <row r="1464" spans="1:14" x14ac:dyDescent="0.3">
      <c r="A1464" s="15" t="str">
        <f>IF(COUNTA($B1464:$E1464,$K1464)=0,"",IF(AND($B1464&lt;&gt;"",$C1464&lt;&gt;"",$D1464&lt;&gt;"",$E1464&lt;&gt;""),"TXS"&amp;TEXT(COUNTIFS($B$2:$B1464,"&lt;&gt;",$C$2:$C1464,"&lt;&gt;",$D$2:$D1464,"&lt;&gt;",$E$2:$E1464,"&lt;&gt;"),"00000"),""))</f>
        <v/>
      </c>
      <c r="B1464" s="16"/>
      <c r="C1464" s="20"/>
      <c r="D1464" s="20"/>
      <c r="E1464" s="23"/>
      <c r="H1464" s="21" t="str">
        <f t="shared" si="75"/>
        <v/>
      </c>
      <c r="I1464" s="21" t="str">
        <f t="shared" si="74"/>
        <v/>
      </c>
      <c r="J1464" s="21" t="str">
        <f t="shared" si="76"/>
        <v/>
      </c>
      <c r="K1464" s="20"/>
      <c r="L1464" s="21" t="str">
        <f>IF(OR(NOT(AND($B1464&lt;&gt;"",$C1464&lt;&gt;"",$D1464&lt;&gt;"",$E1464&lt;&gt;"")),$A1464="",$K1464&lt;&gt;"Yes"),"",IF($L1464&lt;&gt;"",$L1464,INDEX(SETUP!$I$1:$I$2000,MATCH(TRUE,SETUP!$J$1:$J$2000,0)+COUNTIFS($A$2:$A1464,"&lt;&gt;",$K$2:$K1464,"Yes",$L$2:$L1464,"")-1)))</f>
        <v/>
      </c>
      <c r="N1464" s="22"/>
    </row>
    <row r="1465" spans="1:14" x14ac:dyDescent="0.3">
      <c r="A1465" s="15" t="str">
        <f>IF(COUNTA($B1465:$E1465,$K1465)=0,"",IF(AND($B1465&lt;&gt;"",$C1465&lt;&gt;"",$D1465&lt;&gt;"",$E1465&lt;&gt;""),"TXS"&amp;TEXT(COUNTIFS($B$2:$B1465,"&lt;&gt;",$C$2:$C1465,"&lt;&gt;",$D$2:$D1465,"&lt;&gt;",$E$2:$E1465,"&lt;&gt;"),"00000"),""))</f>
        <v/>
      </c>
      <c r="B1465" s="16"/>
      <c r="C1465" s="20"/>
      <c r="D1465" s="20"/>
      <c r="E1465" s="23"/>
      <c r="H1465" s="21" t="str">
        <f t="shared" si="75"/>
        <v/>
      </c>
      <c r="I1465" s="21" t="str">
        <f t="shared" si="74"/>
        <v/>
      </c>
      <c r="J1465" s="21" t="str">
        <f t="shared" si="76"/>
        <v/>
      </c>
      <c r="K1465" s="20"/>
      <c r="L1465" s="21" t="str">
        <f>IF(OR(NOT(AND($B1465&lt;&gt;"",$C1465&lt;&gt;"",$D1465&lt;&gt;"",$E1465&lt;&gt;"")),$A1465="",$K1465&lt;&gt;"Yes"),"",IF($L1465&lt;&gt;"",$L1465,INDEX(SETUP!$I$1:$I$2000,MATCH(TRUE,SETUP!$J$1:$J$2000,0)+COUNTIFS($A$2:$A1465,"&lt;&gt;",$K$2:$K1465,"Yes",$L$2:$L1465,"")-1)))</f>
        <v/>
      </c>
      <c r="N1465" s="22"/>
    </row>
    <row r="1466" spans="1:14" x14ac:dyDescent="0.3">
      <c r="A1466" s="15" t="str">
        <f>IF(COUNTA($B1466:$E1466,$K1466)=0,"",IF(AND($B1466&lt;&gt;"",$C1466&lt;&gt;"",$D1466&lt;&gt;"",$E1466&lt;&gt;""),"TXS"&amp;TEXT(COUNTIFS($B$2:$B1466,"&lt;&gt;",$C$2:$C1466,"&lt;&gt;",$D$2:$D1466,"&lt;&gt;",$E$2:$E1466,"&lt;&gt;"),"00000"),""))</f>
        <v/>
      </c>
      <c r="B1466" s="16"/>
      <c r="C1466" s="20"/>
      <c r="D1466" s="20"/>
      <c r="E1466" s="23"/>
      <c r="H1466" s="21" t="str">
        <f t="shared" si="75"/>
        <v/>
      </c>
      <c r="I1466" s="21" t="str">
        <f t="shared" si="74"/>
        <v/>
      </c>
      <c r="J1466" s="21" t="str">
        <f t="shared" si="76"/>
        <v/>
      </c>
      <c r="K1466" s="20"/>
      <c r="L1466" s="21" t="str">
        <f>IF(OR(NOT(AND($B1466&lt;&gt;"",$C1466&lt;&gt;"",$D1466&lt;&gt;"",$E1466&lt;&gt;"")),$A1466="",$K1466&lt;&gt;"Yes"),"",IF($L1466&lt;&gt;"",$L1466,INDEX(SETUP!$I$1:$I$2000,MATCH(TRUE,SETUP!$J$1:$J$2000,0)+COUNTIFS($A$2:$A1466,"&lt;&gt;",$K$2:$K1466,"Yes",$L$2:$L1466,"")-1)))</f>
        <v/>
      </c>
      <c r="N1466" s="22"/>
    </row>
    <row r="1467" spans="1:14" x14ac:dyDescent="0.3">
      <c r="A1467" s="15" t="str">
        <f>IF(COUNTA($B1467:$E1467,$K1467)=0,"",IF(AND($B1467&lt;&gt;"",$C1467&lt;&gt;"",$D1467&lt;&gt;"",$E1467&lt;&gt;""),"TXS"&amp;TEXT(COUNTIFS($B$2:$B1467,"&lt;&gt;",$C$2:$C1467,"&lt;&gt;",$D$2:$D1467,"&lt;&gt;",$E$2:$E1467,"&lt;&gt;"),"00000"),""))</f>
        <v/>
      </c>
      <c r="B1467" s="16"/>
      <c r="C1467" s="20"/>
      <c r="D1467" s="20"/>
      <c r="E1467" s="23"/>
      <c r="H1467" s="21" t="str">
        <f t="shared" si="75"/>
        <v/>
      </c>
      <c r="I1467" s="21" t="str">
        <f t="shared" si="74"/>
        <v/>
      </c>
      <c r="J1467" s="21" t="str">
        <f t="shared" si="76"/>
        <v/>
      </c>
      <c r="K1467" s="20"/>
      <c r="L1467" s="21" t="str">
        <f>IF(OR(NOT(AND($B1467&lt;&gt;"",$C1467&lt;&gt;"",$D1467&lt;&gt;"",$E1467&lt;&gt;"")),$A1467="",$K1467&lt;&gt;"Yes"),"",IF($L1467&lt;&gt;"",$L1467,INDEX(SETUP!$I$1:$I$2000,MATCH(TRUE,SETUP!$J$1:$J$2000,0)+COUNTIFS($A$2:$A1467,"&lt;&gt;",$K$2:$K1467,"Yes",$L$2:$L1467,"")-1)))</f>
        <v/>
      </c>
      <c r="N1467" s="22"/>
    </row>
    <row r="1468" spans="1:14" x14ac:dyDescent="0.3">
      <c r="A1468" s="15" t="str">
        <f>IF(COUNTA($B1468:$E1468,$K1468)=0,"",IF(AND($B1468&lt;&gt;"",$C1468&lt;&gt;"",$D1468&lt;&gt;"",$E1468&lt;&gt;""),"TXS"&amp;TEXT(COUNTIFS($B$2:$B1468,"&lt;&gt;",$C$2:$C1468,"&lt;&gt;",$D$2:$D1468,"&lt;&gt;",$E$2:$E1468,"&lt;&gt;"),"00000"),""))</f>
        <v/>
      </c>
      <c r="B1468" s="16"/>
      <c r="C1468" s="20"/>
      <c r="D1468" s="20"/>
      <c r="E1468" s="23"/>
      <c r="H1468" s="21" t="str">
        <f t="shared" si="75"/>
        <v/>
      </c>
      <c r="I1468" s="21" t="str">
        <f t="shared" si="74"/>
        <v/>
      </c>
      <c r="J1468" s="21" t="str">
        <f t="shared" si="76"/>
        <v/>
      </c>
      <c r="K1468" s="20"/>
      <c r="L1468" s="21" t="str">
        <f>IF(OR(NOT(AND($B1468&lt;&gt;"",$C1468&lt;&gt;"",$D1468&lt;&gt;"",$E1468&lt;&gt;"")),$A1468="",$K1468&lt;&gt;"Yes"),"",IF($L1468&lt;&gt;"",$L1468,INDEX(SETUP!$I$1:$I$2000,MATCH(TRUE,SETUP!$J$1:$J$2000,0)+COUNTIFS($A$2:$A1468,"&lt;&gt;",$K$2:$K1468,"Yes",$L$2:$L1468,"")-1)))</f>
        <v/>
      </c>
      <c r="N1468" s="22"/>
    </row>
    <row r="1469" spans="1:14" x14ac:dyDescent="0.3">
      <c r="A1469" s="15" t="str">
        <f>IF(COUNTA($B1469:$E1469,$K1469)=0,"",IF(AND($B1469&lt;&gt;"",$C1469&lt;&gt;"",$D1469&lt;&gt;"",$E1469&lt;&gt;""),"TXS"&amp;TEXT(COUNTIFS($B$2:$B1469,"&lt;&gt;",$C$2:$C1469,"&lt;&gt;",$D$2:$D1469,"&lt;&gt;",$E$2:$E1469,"&lt;&gt;"),"00000"),""))</f>
        <v/>
      </c>
      <c r="B1469" s="16"/>
      <c r="C1469" s="20"/>
      <c r="D1469" s="20"/>
      <c r="E1469" s="23"/>
      <c r="H1469" s="21" t="str">
        <f t="shared" si="75"/>
        <v/>
      </c>
      <c r="I1469" s="21" t="str">
        <f t="shared" si="74"/>
        <v/>
      </c>
      <c r="J1469" s="21" t="str">
        <f t="shared" si="76"/>
        <v/>
      </c>
      <c r="K1469" s="20"/>
      <c r="L1469" s="21" t="str">
        <f>IF(OR(NOT(AND($B1469&lt;&gt;"",$C1469&lt;&gt;"",$D1469&lt;&gt;"",$E1469&lt;&gt;"")),$A1469="",$K1469&lt;&gt;"Yes"),"",IF($L1469&lt;&gt;"",$L1469,INDEX(SETUP!$I$1:$I$2000,MATCH(TRUE,SETUP!$J$1:$J$2000,0)+COUNTIFS($A$2:$A1469,"&lt;&gt;",$K$2:$K1469,"Yes",$L$2:$L1469,"")-1)))</f>
        <v/>
      </c>
      <c r="N1469" s="22"/>
    </row>
    <row r="1470" spans="1:14" x14ac:dyDescent="0.3">
      <c r="A1470" s="15" t="str">
        <f>IF(COUNTA($B1470:$E1470,$K1470)=0,"",IF(AND($B1470&lt;&gt;"",$C1470&lt;&gt;"",$D1470&lt;&gt;"",$E1470&lt;&gt;""),"TXS"&amp;TEXT(COUNTIFS($B$2:$B1470,"&lt;&gt;",$C$2:$C1470,"&lt;&gt;",$D$2:$D1470,"&lt;&gt;",$E$2:$E1470,"&lt;&gt;"),"00000"),""))</f>
        <v/>
      </c>
      <c r="B1470" s="16"/>
      <c r="C1470" s="20"/>
      <c r="D1470" s="20"/>
      <c r="E1470" s="23"/>
      <c r="H1470" s="21" t="str">
        <f t="shared" si="75"/>
        <v/>
      </c>
      <c r="I1470" s="21" t="str">
        <f t="shared" si="74"/>
        <v/>
      </c>
      <c r="J1470" s="21" t="str">
        <f t="shared" si="76"/>
        <v/>
      </c>
      <c r="K1470" s="20"/>
      <c r="L1470" s="21" t="str">
        <f>IF(OR(NOT(AND($B1470&lt;&gt;"",$C1470&lt;&gt;"",$D1470&lt;&gt;"",$E1470&lt;&gt;"")),$A1470="",$K1470&lt;&gt;"Yes"),"",IF($L1470&lt;&gt;"",$L1470,INDEX(SETUP!$I$1:$I$2000,MATCH(TRUE,SETUP!$J$1:$J$2000,0)+COUNTIFS($A$2:$A1470,"&lt;&gt;",$K$2:$K1470,"Yes",$L$2:$L1470,"")-1)))</f>
        <v/>
      </c>
      <c r="N1470" s="22"/>
    </row>
    <row r="1471" spans="1:14" x14ac:dyDescent="0.3">
      <c r="A1471" s="15" t="str">
        <f>IF(COUNTA($B1471:$E1471,$K1471)=0,"",IF(AND($B1471&lt;&gt;"",$C1471&lt;&gt;"",$D1471&lt;&gt;"",$E1471&lt;&gt;""),"TXS"&amp;TEXT(COUNTIFS($B$2:$B1471,"&lt;&gt;",$C$2:$C1471,"&lt;&gt;",$D$2:$D1471,"&lt;&gt;",$E$2:$E1471,"&lt;&gt;"),"00000"),""))</f>
        <v/>
      </c>
      <c r="B1471" s="16"/>
      <c r="C1471" s="20"/>
      <c r="D1471" s="20"/>
      <c r="E1471" s="23"/>
      <c r="H1471" s="21" t="str">
        <f t="shared" si="75"/>
        <v/>
      </c>
      <c r="I1471" s="21" t="str">
        <f t="shared" si="74"/>
        <v/>
      </c>
      <c r="J1471" s="21" t="str">
        <f t="shared" si="76"/>
        <v/>
      </c>
      <c r="K1471" s="20"/>
      <c r="L1471" s="21" t="str">
        <f>IF(OR(NOT(AND($B1471&lt;&gt;"",$C1471&lt;&gt;"",$D1471&lt;&gt;"",$E1471&lt;&gt;"")),$A1471="",$K1471&lt;&gt;"Yes"),"",IF($L1471&lt;&gt;"",$L1471,INDEX(SETUP!$I$1:$I$2000,MATCH(TRUE,SETUP!$J$1:$J$2000,0)+COUNTIFS($A$2:$A1471,"&lt;&gt;",$K$2:$K1471,"Yes",$L$2:$L1471,"")-1)))</f>
        <v/>
      </c>
      <c r="N1471" s="22"/>
    </row>
    <row r="1472" spans="1:14" x14ac:dyDescent="0.3">
      <c r="A1472" s="15" t="str">
        <f>IF(COUNTA($B1472:$E1472,$K1472)=0,"",IF(AND($B1472&lt;&gt;"",$C1472&lt;&gt;"",$D1472&lt;&gt;"",$E1472&lt;&gt;""),"TXS"&amp;TEXT(COUNTIFS($B$2:$B1472,"&lt;&gt;",$C$2:$C1472,"&lt;&gt;",$D$2:$D1472,"&lt;&gt;",$E$2:$E1472,"&lt;&gt;"),"00000"),""))</f>
        <v/>
      </c>
      <c r="B1472" s="16"/>
      <c r="C1472" s="20"/>
      <c r="D1472" s="20"/>
      <c r="E1472" s="23"/>
      <c r="H1472" s="21" t="str">
        <f t="shared" si="75"/>
        <v/>
      </c>
      <c r="I1472" s="21" t="str">
        <f t="shared" si="74"/>
        <v/>
      </c>
      <c r="J1472" s="21" t="str">
        <f t="shared" si="76"/>
        <v/>
      </c>
      <c r="K1472" s="20"/>
      <c r="L1472" s="21" t="str">
        <f>IF(OR(NOT(AND($B1472&lt;&gt;"",$C1472&lt;&gt;"",$D1472&lt;&gt;"",$E1472&lt;&gt;"")),$A1472="",$K1472&lt;&gt;"Yes"),"",IF($L1472&lt;&gt;"",$L1472,INDEX(SETUP!$I$1:$I$2000,MATCH(TRUE,SETUP!$J$1:$J$2000,0)+COUNTIFS($A$2:$A1472,"&lt;&gt;",$K$2:$K1472,"Yes",$L$2:$L1472,"")-1)))</f>
        <v/>
      </c>
      <c r="N1472" s="22"/>
    </row>
    <row r="1473" spans="1:14" x14ac:dyDescent="0.3">
      <c r="A1473" s="15" t="str">
        <f>IF(COUNTA($B1473:$E1473,$K1473)=0,"",IF(AND($B1473&lt;&gt;"",$C1473&lt;&gt;"",$D1473&lt;&gt;"",$E1473&lt;&gt;""),"TXS"&amp;TEXT(COUNTIFS($B$2:$B1473,"&lt;&gt;",$C$2:$C1473,"&lt;&gt;",$D$2:$D1473,"&lt;&gt;",$E$2:$E1473,"&lt;&gt;"),"00000"),""))</f>
        <v/>
      </c>
      <c r="B1473" s="16"/>
      <c r="C1473" s="20"/>
      <c r="D1473" s="20"/>
      <c r="E1473" s="23"/>
      <c r="H1473" s="21" t="str">
        <f t="shared" si="75"/>
        <v/>
      </c>
      <c r="I1473" s="21" t="str">
        <f t="shared" si="74"/>
        <v/>
      </c>
      <c r="J1473" s="21" t="str">
        <f t="shared" si="76"/>
        <v/>
      </c>
      <c r="K1473" s="20"/>
      <c r="L1473" s="21" t="str">
        <f>IF(OR(NOT(AND($B1473&lt;&gt;"",$C1473&lt;&gt;"",$D1473&lt;&gt;"",$E1473&lt;&gt;"")),$A1473="",$K1473&lt;&gt;"Yes"),"",IF($L1473&lt;&gt;"",$L1473,INDEX(SETUP!$I$1:$I$2000,MATCH(TRUE,SETUP!$J$1:$J$2000,0)+COUNTIFS($A$2:$A1473,"&lt;&gt;",$K$2:$K1473,"Yes",$L$2:$L1473,"")-1)))</f>
        <v/>
      </c>
      <c r="N1473" s="22"/>
    </row>
    <row r="1474" spans="1:14" x14ac:dyDescent="0.3">
      <c r="A1474" s="15" t="str">
        <f>IF(COUNTA($B1474:$E1474,$K1474)=0,"",IF(AND($B1474&lt;&gt;"",$C1474&lt;&gt;"",$D1474&lt;&gt;"",$E1474&lt;&gt;""),"TXS"&amp;TEXT(COUNTIFS($B$2:$B1474,"&lt;&gt;",$C$2:$C1474,"&lt;&gt;",$D$2:$D1474,"&lt;&gt;",$E$2:$E1474,"&lt;&gt;"),"00000"),""))</f>
        <v/>
      </c>
      <c r="B1474" s="16"/>
      <c r="C1474" s="20"/>
      <c r="D1474" s="20"/>
      <c r="E1474" s="23"/>
      <c r="H1474" s="21" t="str">
        <f t="shared" si="75"/>
        <v/>
      </c>
      <c r="I1474" s="21" t="str">
        <f t="shared" si="74"/>
        <v/>
      </c>
      <c r="J1474" s="21" t="str">
        <f t="shared" si="76"/>
        <v/>
      </c>
      <c r="K1474" s="20"/>
      <c r="L1474" s="21" t="str">
        <f>IF(OR(NOT(AND($B1474&lt;&gt;"",$C1474&lt;&gt;"",$D1474&lt;&gt;"",$E1474&lt;&gt;"")),$A1474="",$K1474&lt;&gt;"Yes"),"",IF($L1474&lt;&gt;"",$L1474,INDEX(SETUP!$I$1:$I$2000,MATCH(TRUE,SETUP!$J$1:$J$2000,0)+COUNTIFS($A$2:$A1474,"&lt;&gt;",$K$2:$K1474,"Yes",$L$2:$L1474,"")-1)))</f>
        <v/>
      </c>
      <c r="N1474" s="22"/>
    </row>
    <row r="1475" spans="1:14" x14ac:dyDescent="0.3">
      <c r="A1475" s="15" t="str">
        <f>IF(COUNTA($B1475:$E1475,$K1475)=0,"",IF(AND($B1475&lt;&gt;"",$C1475&lt;&gt;"",$D1475&lt;&gt;"",$E1475&lt;&gt;""),"TXS"&amp;TEXT(COUNTIFS($B$2:$B1475,"&lt;&gt;",$C$2:$C1475,"&lt;&gt;",$D$2:$D1475,"&lt;&gt;",$E$2:$E1475,"&lt;&gt;"),"00000"),""))</f>
        <v/>
      </c>
      <c r="B1475" s="16"/>
      <c r="C1475" s="20"/>
      <c r="D1475" s="20"/>
      <c r="E1475" s="23"/>
      <c r="H1475" s="21" t="str">
        <f t="shared" si="75"/>
        <v/>
      </c>
      <c r="I1475" s="21" t="str">
        <f t="shared" si="74"/>
        <v/>
      </c>
      <c r="J1475" s="21" t="str">
        <f t="shared" si="76"/>
        <v/>
      </c>
      <c r="K1475" s="20"/>
      <c r="L1475" s="21" t="str">
        <f>IF(OR(NOT(AND($B1475&lt;&gt;"",$C1475&lt;&gt;"",$D1475&lt;&gt;"",$E1475&lt;&gt;"")),$A1475="",$K1475&lt;&gt;"Yes"),"",IF($L1475&lt;&gt;"",$L1475,INDEX(SETUP!$I$1:$I$2000,MATCH(TRUE,SETUP!$J$1:$J$2000,0)+COUNTIFS($A$2:$A1475,"&lt;&gt;",$K$2:$K1475,"Yes",$L$2:$L1475,"")-1)))</f>
        <v/>
      </c>
      <c r="N1475" s="22"/>
    </row>
    <row r="1476" spans="1:14" x14ac:dyDescent="0.3">
      <c r="A1476" s="15" t="str">
        <f>IF(COUNTA($B1476:$E1476,$K1476)=0,"",IF(AND($B1476&lt;&gt;"",$C1476&lt;&gt;"",$D1476&lt;&gt;"",$E1476&lt;&gt;""),"TXS"&amp;TEXT(COUNTIFS($B$2:$B1476,"&lt;&gt;",$C$2:$C1476,"&lt;&gt;",$D$2:$D1476,"&lt;&gt;",$E$2:$E1476,"&lt;&gt;"),"00000"),""))</f>
        <v/>
      </c>
      <c r="B1476" s="16"/>
      <c r="C1476" s="20"/>
      <c r="D1476" s="20"/>
      <c r="E1476" s="23"/>
      <c r="H1476" s="21" t="str">
        <f t="shared" si="75"/>
        <v/>
      </c>
      <c r="I1476" s="21" t="str">
        <f t="shared" si="74"/>
        <v/>
      </c>
      <c r="J1476" s="21" t="str">
        <f t="shared" si="76"/>
        <v/>
      </c>
      <c r="K1476" s="20"/>
      <c r="L1476" s="21" t="str">
        <f>IF(OR(NOT(AND($B1476&lt;&gt;"",$C1476&lt;&gt;"",$D1476&lt;&gt;"",$E1476&lt;&gt;"")),$A1476="",$K1476&lt;&gt;"Yes"),"",IF($L1476&lt;&gt;"",$L1476,INDEX(SETUP!$I$1:$I$2000,MATCH(TRUE,SETUP!$J$1:$J$2000,0)+COUNTIFS($A$2:$A1476,"&lt;&gt;",$K$2:$K1476,"Yes",$L$2:$L1476,"")-1)))</f>
        <v/>
      </c>
      <c r="N1476" s="22"/>
    </row>
    <row r="1477" spans="1:14" x14ac:dyDescent="0.3">
      <c r="A1477" s="15" t="str">
        <f>IF(COUNTA($B1477:$E1477,$K1477)=0,"",IF(AND($B1477&lt;&gt;"",$C1477&lt;&gt;"",$D1477&lt;&gt;"",$E1477&lt;&gt;""),"TXS"&amp;TEXT(COUNTIFS($B$2:$B1477,"&lt;&gt;",$C$2:$C1477,"&lt;&gt;",$D$2:$D1477,"&lt;&gt;",$E$2:$E1477,"&lt;&gt;"),"00000"),""))</f>
        <v/>
      </c>
      <c r="B1477" s="16"/>
      <c r="C1477" s="20"/>
      <c r="D1477" s="20"/>
      <c r="E1477" s="23"/>
      <c r="H1477" s="21" t="str">
        <f t="shared" si="75"/>
        <v/>
      </c>
      <c r="I1477" s="21" t="str">
        <f t="shared" si="74"/>
        <v/>
      </c>
      <c r="J1477" s="21" t="str">
        <f t="shared" si="76"/>
        <v/>
      </c>
      <c r="K1477" s="20"/>
      <c r="L1477" s="21" t="str">
        <f>IF(OR(NOT(AND($B1477&lt;&gt;"",$C1477&lt;&gt;"",$D1477&lt;&gt;"",$E1477&lt;&gt;"")),$A1477="",$K1477&lt;&gt;"Yes"),"",IF($L1477&lt;&gt;"",$L1477,INDEX(SETUP!$I$1:$I$2000,MATCH(TRUE,SETUP!$J$1:$J$2000,0)+COUNTIFS($A$2:$A1477,"&lt;&gt;",$K$2:$K1477,"Yes",$L$2:$L1477,"")-1)))</f>
        <v/>
      </c>
      <c r="N1477" s="22"/>
    </row>
    <row r="1478" spans="1:14" x14ac:dyDescent="0.3">
      <c r="A1478" s="15" t="str">
        <f>IF(COUNTA($B1478:$E1478,$K1478)=0,"",IF(AND($B1478&lt;&gt;"",$C1478&lt;&gt;"",$D1478&lt;&gt;"",$E1478&lt;&gt;""),"TXS"&amp;TEXT(COUNTIFS($B$2:$B1478,"&lt;&gt;",$C$2:$C1478,"&lt;&gt;",$D$2:$D1478,"&lt;&gt;",$E$2:$E1478,"&lt;&gt;"),"00000"),""))</f>
        <v/>
      </c>
      <c r="B1478" s="16"/>
      <c r="C1478" s="20"/>
      <c r="D1478" s="20"/>
      <c r="E1478" s="23"/>
      <c r="H1478" s="21" t="str">
        <f t="shared" si="75"/>
        <v/>
      </c>
      <c r="I1478" s="21" t="str">
        <f t="shared" si="74"/>
        <v/>
      </c>
      <c r="J1478" s="21" t="str">
        <f t="shared" si="76"/>
        <v/>
      </c>
      <c r="K1478" s="20"/>
      <c r="L1478" s="21" t="str">
        <f>IF(OR(NOT(AND($B1478&lt;&gt;"",$C1478&lt;&gt;"",$D1478&lt;&gt;"",$E1478&lt;&gt;"")),$A1478="",$K1478&lt;&gt;"Yes"),"",IF($L1478&lt;&gt;"",$L1478,INDEX(SETUP!$I$1:$I$2000,MATCH(TRUE,SETUP!$J$1:$J$2000,0)+COUNTIFS($A$2:$A1478,"&lt;&gt;",$K$2:$K1478,"Yes",$L$2:$L1478,"")-1)))</f>
        <v/>
      </c>
      <c r="N1478" s="22"/>
    </row>
    <row r="1479" spans="1:14" x14ac:dyDescent="0.3">
      <c r="A1479" s="15" t="str">
        <f>IF(COUNTA($B1479:$E1479,$K1479)=0,"",IF(AND($B1479&lt;&gt;"",$C1479&lt;&gt;"",$D1479&lt;&gt;"",$E1479&lt;&gt;""),"TXS"&amp;TEXT(COUNTIFS($B$2:$B1479,"&lt;&gt;",$C$2:$C1479,"&lt;&gt;",$D$2:$D1479,"&lt;&gt;",$E$2:$E1479,"&lt;&gt;"),"00000"),""))</f>
        <v/>
      </c>
      <c r="B1479" s="16"/>
      <c r="C1479" s="20"/>
      <c r="D1479" s="20"/>
      <c r="E1479" s="23"/>
      <c r="H1479" s="21" t="str">
        <f t="shared" si="75"/>
        <v/>
      </c>
      <c r="I1479" s="21" t="str">
        <f t="shared" si="74"/>
        <v/>
      </c>
      <c r="J1479" s="21" t="str">
        <f t="shared" si="76"/>
        <v/>
      </c>
      <c r="K1479" s="20"/>
      <c r="L1479" s="21" t="str">
        <f>IF(OR(NOT(AND($B1479&lt;&gt;"",$C1479&lt;&gt;"",$D1479&lt;&gt;"",$E1479&lt;&gt;"")),$A1479="",$K1479&lt;&gt;"Yes"),"",IF($L1479&lt;&gt;"",$L1479,INDEX(SETUP!$I$1:$I$2000,MATCH(TRUE,SETUP!$J$1:$J$2000,0)+COUNTIFS($A$2:$A1479,"&lt;&gt;",$K$2:$K1479,"Yes",$L$2:$L1479,"")-1)))</f>
        <v/>
      </c>
      <c r="N1479" s="22"/>
    </row>
    <row r="1480" spans="1:14" x14ac:dyDescent="0.3">
      <c r="A1480" s="15" t="str">
        <f>IF(COUNTA($B1480:$E1480,$K1480)=0,"",IF(AND($B1480&lt;&gt;"",$C1480&lt;&gt;"",$D1480&lt;&gt;"",$E1480&lt;&gt;""),"TXS"&amp;TEXT(COUNTIFS($B$2:$B1480,"&lt;&gt;",$C$2:$C1480,"&lt;&gt;",$D$2:$D1480,"&lt;&gt;",$E$2:$E1480,"&lt;&gt;"),"00000"),""))</f>
        <v/>
      </c>
      <c r="B1480" s="16"/>
      <c r="C1480" s="20"/>
      <c r="D1480" s="20"/>
      <c r="E1480" s="23"/>
      <c r="H1480" s="21" t="str">
        <f t="shared" si="75"/>
        <v/>
      </c>
      <c r="I1480" s="21" t="str">
        <f t="shared" si="74"/>
        <v/>
      </c>
      <c r="J1480" s="21" t="str">
        <f t="shared" si="76"/>
        <v/>
      </c>
      <c r="K1480" s="20"/>
      <c r="L1480" s="21" t="str">
        <f>IF(OR(NOT(AND($B1480&lt;&gt;"",$C1480&lt;&gt;"",$D1480&lt;&gt;"",$E1480&lt;&gt;"")),$A1480="",$K1480&lt;&gt;"Yes"),"",IF($L1480&lt;&gt;"",$L1480,INDEX(SETUP!$I$1:$I$2000,MATCH(TRUE,SETUP!$J$1:$J$2000,0)+COUNTIFS($A$2:$A1480,"&lt;&gt;",$K$2:$K1480,"Yes",$L$2:$L1480,"")-1)))</f>
        <v/>
      </c>
      <c r="N1480" s="22"/>
    </row>
    <row r="1481" spans="1:14" x14ac:dyDescent="0.3">
      <c r="A1481" s="15" t="str">
        <f>IF(COUNTA($B1481:$E1481,$K1481)=0,"",IF(AND($B1481&lt;&gt;"",$C1481&lt;&gt;"",$D1481&lt;&gt;"",$E1481&lt;&gt;""),"TXS"&amp;TEXT(COUNTIFS($B$2:$B1481,"&lt;&gt;",$C$2:$C1481,"&lt;&gt;",$D$2:$D1481,"&lt;&gt;",$E$2:$E1481,"&lt;&gt;"),"00000"),""))</f>
        <v/>
      </c>
      <c r="B1481" s="16"/>
      <c r="C1481" s="20"/>
      <c r="D1481" s="20"/>
      <c r="E1481" s="23"/>
      <c r="H1481" s="21" t="str">
        <f t="shared" si="75"/>
        <v/>
      </c>
      <c r="I1481" s="21" t="str">
        <f t="shared" si="74"/>
        <v/>
      </c>
      <c r="J1481" s="21" t="str">
        <f t="shared" si="76"/>
        <v/>
      </c>
      <c r="K1481" s="20"/>
      <c r="L1481" s="21" t="str">
        <f>IF(OR(NOT(AND($B1481&lt;&gt;"",$C1481&lt;&gt;"",$D1481&lt;&gt;"",$E1481&lt;&gt;"")),$A1481="",$K1481&lt;&gt;"Yes"),"",IF($L1481&lt;&gt;"",$L1481,INDEX(SETUP!$I$1:$I$2000,MATCH(TRUE,SETUP!$J$1:$J$2000,0)+COUNTIFS($A$2:$A1481,"&lt;&gt;",$K$2:$K1481,"Yes",$L$2:$L1481,"")-1)))</f>
        <v/>
      </c>
      <c r="N1481" s="22"/>
    </row>
    <row r="1482" spans="1:14" x14ac:dyDescent="0.3">
      <c r="A1482" s="15" t="str">
        <f>IF(COUNTA($B1482:$E1482,$K1482)=0,"",IF(AND($B1482&lt;&gt;"",$C1482&lt;&gt;"",$D1482&lt;&gt;"",$E1482&lt;&gt;""),"TXS"&amp;TEXT(COUNTIFS($B$2:$B1482,"&lt;&gt;",$C$2:$C1482,"&lt;&gt;",$D$2:$D1482,"&lt;&gt;",$E$2:$E1482,"&lt;&gt;"),"00000"),""))</f>
        <v/>
      </c>
      <c r="B1482" s="16"/>
      <c r="C1482" s="20"/>
      <c r="D1482" s="20"/>
      <c r="E1482" s="23"/>
      <c r="H1482" s="21" t="str">
        <f t="shared" si="75"/>
        <v/>
      </c>
      <c r="I1482" s="21" t="str">
        <f t="shared" si="74"/>
        <v/>
      </c>
      <c r="J1482" s="21" t="str">
        <f t="shared" si="76"/>
        <v/>
      </c>
      <c r="K1482" s="20"/>
      <c r="L1482" s="21" t="str">
        <f>IF(OR(NOT(AND($B1482&lt;&gt;"",$C1482&lt;&gt;"",$D1482&lt;&gt;"",$E1482&lt;&gt;"")),$A1482="",$K1482&lt;&gt;"Yes"),"",IF($L1482&lt;&gt;"",$L1482,INDEX(SETUP!$I$1:$I$2000,MATCH(TRUE,SETUP!$J$1:$J$2000,0)+COUNTIFS($A$2:$A1482,"&lt;&gt;",$K$2:$K1482,"Yes",$L$2:$L1482,"")-1)))</f>
        <v/>
      </c>
      <c r="N1482" s="22"/>
    </row>
    <row r="1483" spans="1:14" x14ac:dyDescent="0.3">
      <c r="A1483" s="15" t="str">
        <f>IF(COUNTA($B1483:$E1483,$K1483)=0,"",IF(AND($B1483&lt;&gt;"",$C1483&lt;&gt;"",$D1483&lt;&gt;"",$E1483&lt;&gt;""),"TXS"&amp;TEXT(COUNTIFS($B$2:$B1483,"&lt;&gt;",$C$2:$C1483,"&lt;&gt;",$D$2:$D1483,"&lt;&gt;",$E$2:$E1483,"&lt;&gt;"),"00000"),""))</f>
        <v/>
      </c>
      <c r="B1483" s="16"/>
      <c r="C1483" s="20"/>
      <c r="D1483" s="20"/>
      <c r="E1483" s="23"/>
      <c r="H1483" s="21" t="str">
        <f t="shared" si="75"/>
        <v/>
      </c>
      <c r="I1483" s="21" t="str">
        <f t="shared" si="74"/>
        <v/>
      </c>
      <c r="J1483" s="21" t="str">
        <f t="shared" si="76"/>
        <v/>
      </c>
      <c r="K1483" s="20"/>
      <c r="L1483" s="21" t="str">
        <f>IF(OR(NOT(AND($B1483&lt;&gt;"",$C1483&lt;&gt;"",$D1483&lt;&gt;"",$E1483&lt;&gt;"")),$A1483="",$K1483&lt;&gt;"Yes"),"",IF($L1483&lt;&gt;"",$L1483,INDEX(SETUP!$I$1:$I$2000,MATCH(TRUE,SETUP!$J$1:$J$2000,0)+COUNTIFS($A$2:$A1483,"&lt;&gt;",$K$2:$K1483,"Yes",$L$2:$L1483,"")-1)))</f>
        <v/>
      </c>
      <c r="N1483" s="22"/>
    </row>
    <row r="1484" spans="1:14" x14ac:dyDescent="0.3">
      <c r="A1484" s="15" t="str">
        <f>IF(COUNTA($B1484:$E1484,$K1484)=0,"",IF(AND($B1484&lt;&gt;"",$C1484&lt;&gt;"",$D1484&lt;&gt;"",$E1484&lt;&gt;""),"TXS"&amp;TEXT(COUNTIFS($B$2:$B1484,"&lt;&gt;",$C$2:$C1484,"&lt;&gt;",$D$2:$D1484,"&lt;&gt;",$E$2:$E1484,"&lt;&gt;"),"00000"),""))</f>
        <v/>
      </c>
      <c r="B1484" s="16"/>
      <c r="C1484" s="20"/>
      <c r="D1484" s="20"/>
      <c r="E1484" s="23"/>
      <c r="H1484" s="21" t="str">
        <f t="shared" si="75"/>
        <v/>
      </c>
      <c r="I1484" s="21" t="str">
        <f t="shared" si="74"/>
        <v/>
      </c>
      <c r="J1484" s="21" t="str">
        <f t="shared" si="76"/>
        <v/>
      </c>
      <c r="K1484" s="20"/>
      <c r="L1484" s="21" t="str">
        <f>IF(OR(NOT(AND($B1484&lt;&gt;"",$C1484&lt;&gt;"",$D1484&lt;&gt;"",$E1484&lt;&gt;"")),$A1484="",$K1484&lt;&gt;"Yes"),"",IF($L1484&lt;&gt;"",$L1484,INDEX(SETUP!$I$1:$I$2000,MATCH(TRUE,SETUP!$J$1:$J$2000,0)+COUNTIFS($A$2:$A1484,"&lt;&gt;",$K$2:$K1484,"Yes",$L$2:$L1484,"")-1)))</f>
        <v/>
      </c>
      <c r="N1484" s="22"/>
    </row>
    <row r="1485" spans="1:14" x14ac:dyDescent="0.3">
      <c r="A1485" s="15" t="str">
        <f>IF(COUNTA($B1485:$E1485,$K1485)=0,"",IF(AND($B1485&lt;&gt;"",$C1485&lt;&gt;"",$D1485&lt;&gt;"",$E1485&lt;&gt;""),"TXS"&amp;TEXT(COUNTIFS($B$2:$B1485,"&lt;&gt;",$C$2:$C1485,"&lt;&gt;",$D$2:$D1485,"&lt;&gt;",$E$2:$E1485,"&lt;&gt;"),"00000"),""))</f>
        <v/>
      </c>
      <c r="B1485" s="16"/>
      <c r="C1485" s="20"/>
      <c r="D1485" s="20"/>
      <c r="E1485" s="23"/>
      <c r="H1485" s="21" t="str">
        <f t="shared" si="75"/>
        <v/>
      </c>
      <c r="I1485" s="21" t="str">
        <f t="shared" si="74"/>
        <v/>
      </c>
      <c r="J1485" s="21" t="str">
        <f t="shared" si="76"/>
        <v/>
      </c>
      <c r="K1485" s="20"/>
      <c r="L1485" s="21" t="str">
        <f>IF(OR(NOT(AND($B1485&lt;&gt;"",$C1485&lt;&gt;"",$D1485&lt;&gt;"",$E1485&lt;&gt;"")),$A1485="",$K1485&lt;&gt;"Yes"),"",IF($L1485&lt;&gt;"",$L1485,INDEX(SETUP!$I$1:$I$2000,MATCH(TRUE,SETUP!$J$1:$J$2000,0)+COUNTIFS($A$2:$A1485,"&lt;&gt;",$K$2:$K1485,"Yes",$L$2:$L1485,"")-1)))</f>
        <v/>
      </c>
      <c r="N1485" s="22"/>
    </row>
    <row r="1486" spans="1:14" x14ac:dyDescent="0.3">
      <c r="A1486" s="15" t="str">
        <f>IF(COUNTA($B1486:$E1486,$K1486)=0,"",IF(AND($B1486&lt;&gt;"",$C1486&lt;&gt;"",$D1486&lt;&gt;"",$E1486&lt;&gt;""),"TXS"&amp;TEXT(COUNTIFS($B$2:$B1486,"&lt;&gt;",$C$2:$C1486,"&lt;&gt;",$D$2:$D1486,"&lt;&gt;",$E$2:$E1486,"&lt;&gt;"),"00000"),""))</f>
        <v/>
      </c>
      <c r="B1486" s="16"/>
      <c r="C1486" s="20"/>
      <c r="D1486" s="20"/>
      <c r="E1486" s="23"/>
      <c r="H1486" s="21" t="str">
        <f t="shared" si="75"/>
        <v/>
      </c>
      <c r="I1486" s="21" t="str">
        <f t="shared" si="74"/>
        <v/>
      </c>
      <c r="J1486" s="21" t="str">
        <f t="shared" si="76"/>
        <v/>
      </c>
      <c r="K1486" s="20"/>
      <c r="L1486" s="21" t="str">
        <f>IF(OR(NOT(AND($B1486&lt;&gt;"",$C1486&lt;&gt;"",$D1486&lt;&gt;"",$E1486&lt;&gt;"")),$A1486="",$K1486&lt;&gt;"Yes"),"",IF($L1486&lt;&gt;"",$L1486,INDEX(SETUP!$I$1:$I$2000,MATCH(TRUE,SETUP!$J$1:$J$2000,0)+COUNTIFS($A$2:$A1486,"&lt;&gt;",$K$2:$K1486,"Yes",$L$2:$L1486,"")-1)))</f>
        <v/>
      </c>
      <c r="N1486" s="22"/>
    </row>
    <row r="1487" spans="1:14" x14ac:dyDescent="0.3">
      <c r="A1487" s="15" t="str">
        <f>IF(COUNTA($B1487:$E1487,$K1487)=0,"",IF(AND($B1487&lt;&gt;"",$C1487&lt;&gt;"",$D1487&lt;&gt;"",$E1487&lt;&gt;""),"TXS"&amp;TEXT(COUNTIFS($B$2:$B1487,"&lt;&gt;",$C$2:$C1487,"&lt;&gt;",$D$2:$D1487,"&lt;&gt;",$E$2:$E1487,"&lt;&gt;"),"00000"),""))</f>
        <v/>
      </c>
      <c r="B1487" s="16"/>
      <c r="C1487" s="20"/>
      <c r="D1487" s="20"/>
      <c r="E1487" s="23"/>
      <c r="H1487" s="21" t="str">
        <f t="shared" si="75"/>
        <v/>
      </c>
      <c r="I1487" s="21" t="str">
        <f t="shared" si="74"/>
        <v/>
      </c>
      <c r="J1487" s="21" t="str">
        <f t="shared" si="76"/>
        <v/>
      </c>
      <c r="K1487" s="20"/>
      <c r="L1487" s="21" t="str">
        <f>IF(OR(NOT(AND($B1487&lt;&gt;"",$C1487&lt;&gt;"",$D1487&lt;&gt;"",$E1487&lt;&gt;"")),$A1487="",$K1487&lt;&gt;"Yes"),"",IF($L1487&lt;&gt;"",$L1487,INDEX(SETUP!$I$1:$I$2000,MATCH(TRUE,SETUP!$J$1:$J$2000,0)+COUNTIFS($A$2:$A1487,"&lt;&gt;",$K$2:$K1487,"Yes",$L$2:$L1487,"")-1)))</f>
        <v/>
      </c>
      <c r="N1487" s="22"/>
    </row>
    <row r="1488" spans="1:14" x14ac:dyDescent="0.3">
      <c r="A1488" s="15" t="str">
        <f>IF(COUNTA($B1488:$E1488,$K1488)=0,"",IF(AND($B1488&lt;&gt;"",$C1488&lt;&gt;"",$D1488&lt;&gt;"",$E1488&lt;&gt;""),"TXS"&amp;TEXT(COUNTIFS($B$2:$B1488,"&lt;&gt;",$C$2:$C1488,"&lt;&gt;",$D$2:$D1488,"&lt;&gt;",$E$2:$E1488,"&lt;&gt;"),"00000"),""))</f>
        <v/>
      </c>
      <c r="B1488" s="16"/>
      <c r="C1488" s="20"/>
      <c r="D1488" s="20"/>
      <c r="E1488" s="23"/>
      <c r="H1488" s="21" t="str">
        <f t="shared" si="75"/>
        <v/>
      </c>
      <c r="I1488" s="21" t="str">
        <f t="shared" si="74"/>
        <v/>
      </c>
      <c r="J1488" s="21" t="str">
        <f t="shared" si="76"/>
        <v/>
      </c>
      <c r="K1488" s="20"/>
      <c r="L1488" s="21" t="str">
        <f>IF(OR(NOT(AND($B1488&lt;&gt;"",$C1488&lt;&gt;"",$D1488&lt;&gt;"",$E1488&lt;&gt;"")),$A1488="",$K1488&lt;&gt;"Yes"),"",IF($L1488&lt;&gt;"",$L1488,INDEX(SETUP!$I$1:$I$2000,MATCH(TRUE,SETUP!$J$1:$J$2000,0)+COUNTIFS($A$2:$A1488,"&lt;&gt;",$K$2:$K1488,"Yes",$L$2:$L1488,"")-1)))</f>
        <v/>
      </c>
      <c r="N1488" s="22"/>
    </row>
    <row r="1489" spans="1:14" x14ac:dyDescent="0.3">
      <c r="A1489" s="15" t="str">
        <f>IF(COUNTA($B1489:$E1489,$K1489)=0,"",IF(AND($B1489&lt;&gt;"",$C1489&lt;&gt;"",$D1489&lt;&gt;"",$E1489&lt;&gt;""),"TXS"&amp;TEXT(COUNTIFS($B$2:$B1489,"&lt;&gt;",$C$2:$C1489,"&lt;&gt;",$D$2:$D1489,"&lt;&gt;",$E$2:$E1489,"&lt;&gt;"),"00000"),""))</f>
        <v/>
      </c>
      <c r="B1489" s="16"/>
      <c r="C1489" s="20"/>
      <c r="D1489" s="20"/>
      <c r="E1489" s="23"/>
      <c r="H1489" s="21" t="str">
        <f t="shared" si="75"/>
        <v/>
      </c>
      <c r="I1489" s="21" t="str">
        <f t="shared" si="74"/>
        <v/>
      </c>
      <c r="J1489" s="21" t="str">
        <f t="shared" si="76"/>
        <v/>
      </c>
      <c r="K1489" s="20"/>
      <c r="L1489" s="21" t="str">
        <f>IF(OR(NOT(AND($B1489&lt;&gt;"",$C1489&lt;&gt;"",$D1489&lt;&gt;"",$E1489&lt;&gt;"")),$A1489="",$K1489&lt;&gt;"Yes"),"",IF($L1489&lt;&gt;"",$L1489,INDEX(SETUP!$I$1:$I$2000,MATCH(TRUE,SETUP!$J$1:$J$2000,0)+COUNTIFS($A$2:$A1489,"&lt;&gt;",$K$2:$K1489,"Yes",$L$2:$L1489,"")-1)))</f>
        <v/>
      </c>
      <c r="N1489" s="22"/>
    </row>
    <row r="1490" spans="1:14" x14ac:dyDescent="0.3">
      <c r="A1490" s="15" t="str">
        <f>IF(COUNTA($B1490:$E1490,$K1490)=0,"",IF(AND($B1490&lt;&gt;"",$C1490&lt;&gt;"",$D1490&lt;&gt;"",$E1490&lt;&gt;""),"TXS"&amp;TEXT(COUNTIFS($B$2:$B1490,"&lt;&gt;",$C$2:$C1490,"&lt;&gt;",$D$2:$D1490,"&lt;&gt;",$E$2:$E1490,"&lt;&gt;"),"00000"),""))</f>
        <v/>
      </c>
      <c r="B1490" s="16"/>
      <c r="C1490" s="20"/>
      <c r="D1490" s="20"/>
      <c r="E1490" s="23"/>
      <c r="H1490" s="21" t="str">
        <f t="shared" si="75"/>
        <v/>
      </c>
      <c r="I1490" s="21" t="str">
        <f t="shared" si="74"/>
        <v/>
      </c>
      <c r="J1490" s="21" t="str">
        <f t="shared" si="76"/>
        <v/>
      </c>
      <c r="K1490" s="20"/>
      <c r="L1490" s="21" t="str">
        <f>IF(OR(NOT(AND($B1490&lt;&gt;"",$C1490&lt;&gt;"",$D1490&lt;&gt;"",$E1490&lt;&gt;"")),$A1490="",$K1490&lt;&gt;"Yes"),"",IF($L1490&lt;&gt;"",$L1490,INDEX(SETUP!$I$1:$I$2000,MATCH(TRUE,SETUP!$J$1:$J$2000,0)+COUNTIFS($A$2:$A1490,"&lt;&gt;",$K$2:$K1490,"Yes",$L$2:$L1490,"")-1)))</f>
        <v/>
      </c>
      <c r="N1490" s="22"/>
    </row>
    <row r="1491" spans="1:14" x14ac:dyDescent="0.3">
      <c r="A1491" s="15" t="str">
        <f>IF(COUNTA($B1491:$E1491,$K1491)=0,"",IF(AND($B1491&lt;&gt;"",$C1491&lt;&gt;"",$D1491&lt;&gt;"",$E1491&lt;&gt;""),"TXS"&amp;TEXT(COUNTIFS($B$2:$B1491,"&lt;&gt;",$C$2:$C1491,"&lt;&gt;",$D$2:$D1491,"&lt;&gt;",$E$2:$E1491,"&lt;&gt;"),"00000"),""))</f>
        <v/>
      </c>
      <c r="B1491" s="16"/>
      <c r="C1491" s="20"/>
      <c r="D1491" s="20"/>
      <c r="E1491" s="23"/>
      <c r="H1491" s="21" t="str">
        <f t="shared" si="75"/>
        <v/>
      </c>
      <c r="I1491" s="21" t="str">
        <f t="shared" si="74"/>
        <v/>
      </c>
      <c r="J1491" s="21" t="str">
        <f t="shared" si="76"/>
        <v/>
      </c>
      <c r="K1491" s="20"/>
      <c r="L1491" s="21" t="str">
        <f>IF(OR(NOT(AND($B1491&lt;&gt;"",$C1491&lt;&gt;"",$D1491&lt;&gt;"",$E1491&lt;&gt;"")),$A1491="",$K1491&lt;&gt;"Yes"),"",IF($L1491&lt;&gt;"",$L1491,INDEX(SETUP!$I$1:$I$2000,MATCH(TRUE,SETUP!$J$1:$J$2000,0)+COUNTIFS($A$2:$A1491,"&lt;&gt;",$K$2:$K1491,"Yes",$L$2:$L1491,"")-1)))</f>
        <v/>
      </c>
      <c r="N1491" s="22"/>
    </row>
    <row r="1492" spans="1:14" x14ac:dyDescent="0.3">
      <c r="A1492" s="15" t="str">
        <f>IF(COUNTA($B1492:$E1492,$K1492)=0,"",IF(AND($B1492&lt;&gt;"",$C1492&lt;&gt;"",$D1492&lt;&gt;"",$E1492&lt;&gt;""),"TXS"&amp;TEXT(COUNTIFS($B$2:$B1492,"&lt;&gt;",$C$2:$C1492,"&lt;&gt;",$D$2:$D1492,"&lt;&gt;",$E$2:$E1492,"&lt;&gt;"),"00000"),""))</f>
        <v/>
      </c>
      <c r="B1492" s="16"/>
      <c r="C1492" s="20"/>
      <c r="D1492" s="20"/>
      <c r="E1492" s="23"/>
      <c r="H1492" s="21" t="str">
        <f t="shared" si="75"/>
        <v/>
      </c>
      <c r="I1492" s="21" t="str">
        <f t="shared" si="74"/>
        <v/>
      </c>
      <c r="J1492" s="21" t="str">
        <f t="shared" si="76"/>
        <v/>
      </c>
      <c r="K1492" s="20"/>
      <c r="L1492" s="21" t="str">
        <f>IF(OR(NOT(AND($B1492&lt;&gt;"",$C1492&lt;&gt;"",$D1492&lt;&gt;"",$E1492&lt;&gt;"")),$A1492="",$K1492&lt;&gt;"Yes"),"",IF($L1492&lt;&gt;"",$L1492,INDEX(SETUP!$I$1:$I$2000,MATCH(TRUE,SETUP!$J$1:$J$2000,0)+COUNTIFS($A$2:$A1492,"&lt;&gt;",$K$2:$K1492,"Yes",$L$2:$L1492,"")-1)))</f>
        <v/>
      </c>
      <c r="N1492" s="22"/>
    </row>
    <row r="1493" spans="1:14" x14ac:dyDescent="0.3">
      <c r="A1493" s="15" t="str">
        <f>IF(COUNTA($B1493:$E1493,$K1493)=0,"",IF(AND($B1493&lt;&gt;"",$C1493&lt;&gt;"",$D1493&lt;&gt;"",$E1493&lt;&gt;""),"TXS"&amp;TEXT(COUNTIFS($B$2:$B1493,"&lt;&gt;",$C$2:$C1493,"&lt;&gt;",$D$2:$D1493,"&lt;&gt;",$E$2:$E1493,"&lt;&gt;"),"00000"),""))</f>
        <v/>
      </c>
      <c r="B1493" s="16"/>
      <c r="C1493" s="20"/>
      <c r="D1493" s="20"/>
      <c r="E1493" s="23"/>
      <c r="H1493" s="21" t="str">
        <f t="shared" si="75"/>
        <v/>
      </c>
      <c r="I1493" s="21" t="str">
        <f t="shared" si="74"/>
        <v/>
      </c>
      <c r="J1493" s="21" t="str">
        <f t="shared" si="76"/>
        <v/>
      </c>
      <c r="K1493" s="20"/>
      <c r="L1493" s="21" t="str">
        <f>IF(OR(NOT(AND($B1493&lt;&gt;"",$C1493&lt;&gt;"",$D1493&lt;&gt;"",$E1493&lt;&gt;"")),$A1493="",$K1493&lt;&gt;"Yes"),"",IF($L1493&lt;&gt;"",$L1493,INDEX(SETUP!$I$1:$I$2000,MATCH(TRUE,SETUP!$J$1:$J$2000,0)+COUNTIFS($A$2:$A1493,"&lt;&gt;",$K$2:$K1493,"Yes",$L$2:$L1493,"")-1)))</f>
        <v/>
      </c>
      <c r="N1493" s="22"/>
    </row>
    <row r="1494" spans="1:14" x14ac:dyDescent="0.3">
      <c r="A1494" s="15" t="str">
        <f>IF(COUNTA($B1494:$E1494,$K1494)=0,"",IF(AND($B1494&lt;&gt;"",$C1494&lt;&gt;"",$D1494&lt;&gt;"",$E1494&lt;&gt;""),"TXS"&amp;TEXT(COUNTIFS($B$2:$B1494,"&lt;&gt;",$C$2:$C1494,"&lt;&gt;",$D$2:$D1494,"&lt;&gt;",$E$2:$E1494,"&lt;&gt;"),"00000"),""))</f>
        <v/>
      </c>
      <c r="B1494" s="16"/>
      <c r="C1494" s="20"/>
      <c r="D1494" s="20"/>
      <c r="E1494" s="23"/>
      <c r="H1494" s="21" t="str">
        <f t="shared" si="75"/>
        <v/>
      </c>
      <c r="I1494" s="21" t="str">
        <f t="shared" si="74"/>
        <v/>
      </c>
      <c r="J1494" s="21" t="str">
        <f t="shared" si="76"/>
        <v/>
      </c>
      <c r="K1494" s="20"/>
      <c r="L1494" s="21" t="str">
        <f>IF(OR(NOT(AND($B1494&lt;&gt;"",$C1494&lt;&gt;"",$D1494&lt;&gt;"",$E1494&lt;&gt;"")),$A1494="",$K1494&lt;&gt;"Yes"),"",IF($L1494&lt;&gt;"",$L1494,INDEX(SETUP!$I$1:$I$2000,MATCH(TRUE,SETUP!$J$1:$J$2000,0)+COUNTIFS($A$2:$A1494,"&lt;&gt;",$K$2:$K1494,"Yes",$L$2:$L1494,"")-1)))</f>
        <v/>
      </c>
      <c r="N1494" s="22"/>
    </row>
    <row r="1495" spans="1:14" x14ac:dyDescent="0.3">
      <c r="A1495" s="15" t="str">
        <f>IF(COUNTA($B1495:$E1495,$K1495)=0,"",IF(AND($B1495&lt;&gt;"",$C1495&lt;&gt;"",$D1495&lt;&gt;"",$E1495&lt;&gt;""),"TXS"&amp;TEXT(COUNTIFS($B$2:$B1495,"&lt;&gt;",$C$2:$C1495,"&lt;&gt;",$D$2:$D1495,"&lt;&gt;",$E$2:$E1495,"&lt;&gt;"),"00000"),""))</f>
        <v/>
      </c>
      <c r="B1495" s="16"/>
      <c r="C1495" s="20"/>
      <c r="D1495" s="20"/>
      <c r="E1495" s="23"/>
      <c r="H1495" s="21" t="str">
        <f t="shared" si="75"/>
        <v/>
      </c>
      <c r="I1495" s="21" t="str">
        <f t="shared" si="74"/>
        <v/>
      </c>
      <c r="J1495" s="21" t="str">
        <f t="shared" si="76"/>
        <v/>
      </c>
      <c r="K1495" s="20"/>
      <c r="L1495" s="21" t="str">
        <f>IF(OR(NOT(AND($B1495&lt;&gt;"",$C1495&lt;&gt;"",$D1495&lt;&gt;"",$E1495&lt;&gt;"")),$A1495="",$K1495&lt;&gt;"Yes"),"",IF($L1495&lt;&gt;"",$L1495,INDEX(SETUP!$I$1:$I$2000,MATCH(TRUE,SETUP!$J$1:$J$2000,0)+COUNTIFS($A$2:$A1495,"&lt;&gt;",$K$2:$K1495,"Yes",$L$2:$L1495,"")-1)))</f>
        <v/>
      </c>
      <c r="N1495" s="22"/>
    </row>
    <row r="1496" spans="1:14" x14ac:dyDescent="0.3">
      <c r="A1496" s="15" t="str">
        <f>IF(COUNTA($B1496:$E1496,$K1496)=0,"",IF(AND($B1496&lt;&gt;"",$C1496&lt;&gt;"",$D1496&lt;&gt;"",$E1496&lt;&gt;""),"TXS"&amp;TEXT(COUNTIFS($B$2:$B1496,"&lt;&gt;",$C$2:$C1496,"&lt;&gt;",$D$2:$D1496,"&lt;&gt;",$E$2:$E1496,"&lt;&gt;"),"00000"),""))</f>
        <v/>
      </c>
      <c r="B1496" s="16"/>
      <c r="C1496" s="20"/>
      <c r="D1496" s="20"/>
      <c r="E1496" s="23"/>
      <c r="H1496" s="21" t="str">
        <f t="shared" si="75"/>
        <v/>
      </c>
      <c r="I1496" s="21" t="str">
        <f t="shared" si="74"/>
        <v/>
      </c>
      <c r="J1496" s="21" t="str">
        <f t="shared" si="76"/>
        <v/>
      </c>
      <c r="K1496" s="20"/>
      <c r="L1496" s="21" t="str">
        <f>IF(OR(NOT(AND($B1496&lt;&gt;"",$C1496&lt;&gt;"",$D1496&lt;&gt;"",$E1496&lt;&gt;"")),$A1496="",$K1496&lt;&gt;"Yes"),"",IF($L1496&lt;&gt;"",$L1496,INDEX(SETUP!$I$1:$I$2000,MATCH(TRUE,SETUP!$J$1:$J$2000,0)+COUNTIFS($A$2:$A1496,"&lt;&gt;",$K$2:$K1496,"Yes",$L$2:$L1496,"")-1)))</f>
        <v/>
      </c>
      <c r="N1496" s="22"/>
    </row>
    <row r="1497" spans="1:14" x14ac:dyDescent="0.3">
      <c r="A1497" s="15" t="str">
        <f>IF(COUNTA($B1497:$E1497,$K1497)=0,"",IF(AND($B1497&lt;&gt;"",$C1497&lt;&gt;"",$D1497&lt;&gt;"",$E1497&lt;&gt;""),"TXS"&amp;TEXT(COUNTIFS($B$2:$B1497,"&lt;&gt;",$C$2:$C1497,"&lt;&gt;",$D$2:$D1497,"&lt;&gt;",$E$2:$E1497,"&lt;&gt;"),"00000"),""))</f>
        <v/>
      </c>
      <c r="B1497" s="16"/>
      <c r="C1497" s="20"/>
      <c r="D1497" s="20"/>
      <c r="E1497" s="23"/>
      <c r="H1497" s="21" t="str">
        <f t="shared" si="75"/>
        <v/>
      </c>
      <c r="I1497" s="21" t="str">
        <f t="shared" si="74"/>
        <v/>
      </c>
      <c r="J1497" s="21" t="str">
        <f t="shared" si="76"/>
        <v/>
      </c>
      <c r="K1497" s="20"/>
      <c r="L1497" s="21" t="str">
        <f>IF(OR(NOT(AND($B1497&lt;&gt;"",$C1497&lt;&gt;"",$D1497&lt;&gt;"",$E1497&lt;&gt;"")),$A1497="",$K1497&lt;&gt;"Yes"),"",IF($L1497&lt;&gt;"",$L1497,INDEX(SETUP!$I$1:$I$2000,MATCH(TRUE,SETUP!$J$1:$J$2000,0)+COUNTIFS($A$2:$A1497,"&lt;&gt;",$K$2:$K1497,"Yes",$L$2:$L1497,"")-1)))</f>
        <v/>
      </c>
      <c r="N1497" s="22"/>
    </row>
    <row r="1498" spans="1:14" x14ac:dyDescent="0.3">
      <c r="A1498" s="15" t="str">
        <f>IF(COUNTA($B1498:$E1498,$K1498)=0,"",IF(AND($B1498&lt;&gt;"",$C1498&lt;&gt;"",$D1498&lt;&gt;"",$E1498&lt;&gt;""),"TXS"&amp;TEXT(COUNTIFS($B$2:$B1498,"&lt;&gt;",$C$2:$C1498,"&lt;&gt;",$D$2:$D1498,"&lt;&gt;",$E$2:$E1498,"&lt;&gt;"),"00000"),""))</f>
        <v/>
      </c>
      <c r="B1498" s="16"/>
      <c r="C1498" s="20"/>
      <c r="D1498" s="20"/>
      <c r="E1498" s="23"/>
      <c r="H1498" s="21" t="str">
        <f t="shared" si="75"/>
        <v/>
      </c>
      <c r="I1498" s="21" t="str">
        <f t="shared" si="74"/>
        <v/>
      </c>
      <c r="J1498" s="21" t="str">
        <f t="shared" si="76"/>
        <v/>
      </c>
      <c r="K1498" s="20"/>
      <c r="L1498" s="21" t="str">
        <f>IF(OR(NOT(AND($B1498&lt;&gt;"",$C1498&lt;&gt;"",$D1498&lt;&gt;"",$E1498&lt;&gt;"")),$A1498="",$K1498&lt;&gt;"Yes"),"",IF($L1498&lt;&gt;"",$L1498,INDEX(SETUP!$I$1:$I$2000,MATCH(TRUE,SETUP!$J$1:$J$2000,0)+COUNTIFS($A$2:$A1498,"&lt;&gt;",$K$2:$K1498,"Yes",$L$2:$L1498,"")-1)))</f>
        <v/>
      </c>
      <c r="N1498" s="22"/>
    </row>
    <row r="1499" spans="1:14" x14ac:dyDescent="0.3">
      <c r="A1499" s="15" t="str">
        <f>IF(COUNTA($B1499:$E1499,$K1499)=0,"",IF(AND($B1499&lt;&gt;"",$C1499&lt;&gt;"",$D1499&lt;&gt;"",$E1499&lt;&gt;""),"TXS"&amp;TEXT(COUNTIFS($B$2:$B1499,"&lt;&gt;",$C$2:$C1499,"&lt;&gt;",$D$2:$D1499,"&lt;&gt;",$E$2:$E1499,"&lt;&gt;"),"00000"),""))</f>
        <v/>
      </c>
      <c r="B1499" s="16"/>
      <c r="C1499" s="20"/>
      <c r="D1499" s="20"/>
      <c r="E1499" s="23"/>
      <c r="H1499" s="21" t="str">
        <f t="shared" si="75"/>
        <v/>
      </c>
      <c r="I1499" s="21" t="str">
        <f t="shared" si="74"/>
        <v/>
      </c>
      <c r="J1499" s="21" t="str">
        <f t="shared" si="76"/>
        <v/>
      </c>
      <c r="K1499" s="20"/>
      <c r="L1499" s="21" t="str">
        <f>IF(OR(NOT(AND($B1499&lt;&gt;"",$C1499&lt;&gt;"",$D1499&lt;&gt;"",$E1499&lt;&gt;"")),$A1499="",$K1499&lt;&gt;"Yes"),"",IF($L1499&lt;&gt;"",$L1499,INDEX(SETUP!$I$1:$I$2000,MATCH(TRUE,SETUP!$J$1:$J$2000,0)+COUNTIFS($A$2:$A1499,"&lt;&gt;",$K$2:$K1499,"Yes",$L$2:$L1499,"")-1)))</f>
        <v/>
      </c>
      <c r="N1499" s="22"/>
    </row>
    <row r="1500" spans="1:14" x14ac:dyDescent="0.3">
      <c r="A1500" s="15" t="str">
        <f>IF(COUNTA($B1500:$E1500,$K1500)=0,"",IF(AND($B1500&lt;&gt;"",$C1500&lt;&gt;"",$D1500&lt;&gt;"",$E1500&lt;&gt;""),"TXS"&amp;TEXT(COUNTIFS($B$2:$B1500,"&lt;&gt;",$C$2:$C1500,"&lt;&gt;",$D$2:$D1500,"&lt;&gt;",$E$2:$E1500,"&lt;&gt;"),"00000"),""))</f>
        <v/>
      </c>
      <c r="B1500" s="16"/>
      <c r="C1500" s="20"/>
      <c r="D1500" s="20"/>
      <c r="E1500" s="23"/>
      <c r="H1500" s="21" t="str">
        <f t="shared" si="75"/>
        <v/>
      </c>
      <c r="I1500" s="21" t="str">
        <f t="shared" si="74"/>
        <v/>
      </c>
      <c r="J1500" s="21" t="str">
        <f t="shared" si="76"/>
        <v/>
      </c>
      <c r="K1500" s="20"/>
      <c r="L1500" s="21" t="str">
        <f>IF(OR(NOT(AND($B1500&lt;&gt;"",$C1500&lt;&gt;"",$D1500&lt;&gt;"",$E1500&lt;&gt;"")),$A1500="",$K1500&lt;&gt;"Yes"),"",IF($L1500&lt;&gt;"",$L1500,INDEX(SETUP!$I$1:$I$2000,MATCH(TRUE,SETUP!$J$1:$J$2000,0)+COUNTIFS($A$2:$A1500,"&lt;&gt;",$K$2:$K1500,"Yes",$L$2:$L1500,"")-1)))</f>
        <v/>
      </c>
      <c r="N1500" s="22"/>
    </row>
    <row r="1501" spans="1:14" x14ac:dyDescent="0.3">
      <c r="A1501" s="15" t="str">
        <f>IF(COUNTA($B1501:$E1501,$K1501)=0,"",IF(AND($B1501&lt;&gt;"",$C1501&lt;&gt;"",$D1501&lt;&gt;"",$E1501&lt;&gt;""),"TXS"&amp;TEXT(COUNTIFS($B$2:$B1501,"&lt;&gt;",$C$2:$C1501,"&lt;&gt;",$D$2:$D1501,"&lt;&gt;",$E$2:$E1501,"&lt;&gt;"),"00000"),""))</f>
        <v/>
      </c>
      <c r="B1501" s="16"/>
      <c r="C1501" s="20"/>
      <c r="D1501" s="20"/>
      <c r="E1501" s="23"/>
      <c r="H1501" s="21" t="str">
        <f t="shared" si="75"/>
        <v/>
      </c>
      <c r="I1501" s="21" t="str">
        <f t="shared" si="74"/>
        <v/>
      </c>
      <c r="J1501" s="21" t="str">
        <f t="shared" si="76"/>
        <v/>
      </c>
      <c r="K1501" s="20"/>
      <c r="L1501" s="21" t="str">
        <f>IF(OR(NOT(AND($B1501&lt;&gt;"",$C1501&lt;&gt;"",$D1501&lt;&gt;"",$E1501&lt;&gt;"")),$A1501="",$K1501&lt;&gt;"Yes"),"",IF($L1501&lt;&gt;"",$L1501,INDEX(SETUP!$I$1:$I$2000,MATCH(TRUE,SETUP!$J$1:$J$2000,0)+COUNTIFS($A$2:$A1501,"&lt;&gt;",$K$2:$K1501,"Yes",$L$2:$L1501,"")-1)))</f>
        <v/>
      </c>
      <c r="N1501" s="22"/>
    </row>
    <row r="1502" spans="1:14" x14ac:dyDescent="0.3">
      <c r="A1502" s="15" t="str">
        <f>IF(COUNTA($B1502:$E1502,$K1502)=0,"",IF(AND($B1502&lt;&gt;"",$C1502&lt;&gt;"",$D1502&lt;&gt;"",$E1502&lt;&gt;""),"TXS"&amp;TEXT(COUNTIFS($B$2:$B1502,"&lt;&gt;",$C$2:$C1502,"&lt;&gt;",$D$2:$D1502,"&lt;&gt;",$E$2:$E1502,"&lt;&gt;"),"00000"),""))</f>
        <v/>
      </c>
      <c r="B1502" s="16"/>
      <c r="C1502" s="20"/>
      <c r="D1502" s="20"/>
      <c r="E1502" s="23"/>
      <c r="H1502" s="21" t="str">
        <f t="shared" si="75"/>
        <v/>
      </c>
      <c r="I1502" s="21" t="str">
        <f t="shared" si="74"/>
        <v/>
      </c>
      <c r="J1502" s="21" t="str">
        <f t="shared" si="76"/>
        <v/>
      </c>
      <c r="K1502" s="20"/>
      <c r="L1502" s="21" t="str">
        <f>IF(OR(NOT(AND($B1502&lt;&gt;"",$C1502&lt;&gt;"",$D1502&lt;&gt;"",$E1502&lt;&gt;"")),$A1502="",$K1502&lt;&gt;"Yes"),"",IF($L1502&lt;&gt;"",$L1502,INDEX(SETUP!$I$1:$I$2000,MATCH(TRUE,SETUP!$J$1:$J$2000,0)+COUNTIFS($A$2:$A1502,"&lt;&gt;",$K$2:$K1502,"Yes",$L$2:$L1502,"")-1)))</f>
        <v/>
      </c>
      <c r="N1502" s="22"/>
    </row>
    <row r="1503" spans="1:14" x14ac:dyDescent="0.3">
      <c r="A1503" s="15" t="str">
        <f>IF(COUNTA($B1503:$E1503,$K1503)=0,"",IF(AND($B1503&lt;&gt;"",$C1503&lt;&gt;"",$D1503&lt;&gt;"",$E1503&lt;&gt;""),"TXS"&amp;TEXT(COUNTIFS($B$2:$B1503,"&lt;&gt;",$C$2:$C1503,"&lt;&gt;",$D$2:$D1503,"&lt;&gt;",$E$2:$E1503,"&lt;&gt;"),"00000"),""))</f>
        <v/>
      </c>
      <c r="B1503" s="16"/>
      <c r="C1503" s="20"/>
      <c r="D1503" s="20"/>
      <c r="E1503" s="23"/>
      <c r="H1503" s="21" t="str">
        <f t="shared" si="75"/>
        <v/>
      </c>
      <c r="I1503" s="21" t="str">
        <f t="shared" si="74"/>
        <v/>
      </c>
      <c r="J1503" s="21" t="str">
        <f t="shared" si="76"/>
        <v/>
      </c>
      <c r="K1503" s="20"/>
      <c r="L1503" s="21" t="str">
        <f>IF(OR(NOT(AND($B1503&lt;&gt;"",$C1503&lt;&gt;"",$D1503&lt;&gt;"",$E1503&lt;&gt;"")),$A1503="",$K1503&lt;&gt;"Yes"),"",IF($L1503&lt;&gt;"",$L1503,INDEX(SETUP!$I$1:$I$2000,MATCH(TRUE,SETUP!$J$1:$J$2000,0)+COUNTIFS($A$2:$A1503,"&lt;&gt;",$K$2:$K1503,"Yes",$L$2:$L1503,"")-1)))</f>
        <v/>
      </c>
      <c r="N1503" s="22"/>
    </row>
    <row r="1504" spans="1:14" x14ac:dyDescent="0.3">
      <c r="A1504" s="15" t="str">
        <f>IF(COUNTA($B1504:$E1504,$K1504)=0,"",IF(AND($B1504&lt;&gt;"",$C1504&lt;&gt;"",$D1504&lt;&gt;"",$E1504&lt;&gt;""),"TXS"&amp;TEXT(COUNTIFS($B$2:$B1504,"&lt;&gt;",$C$2:$C1504,"&lt;&gt;",$D$2:$D1504,"&lt;&gt;",$E$2:$E1504,"&lt;&gt;"),"00000"),""))</f>
        <v/>
      </c>
      <c r="B1504" s="16"/>
      <c r="C1504" s="20"/>
      <c r="D1504" s="20"/>
      <c r="E1504" s="23"/>
      <c r="H1504" s="21" t="str">
        <f t="shared" si="75"/>
        <v/>
      </c>
      <c r="I1504" s="21" t="str">
        <f t="shared" si="74"/>
        <v/>
      </c>
      <c r="J1504" s="21" t="str">
        <f t="shared" si="76"/>
        <v/>
      </c>
      <c r="K1504" s="20"/>
      <c r="L1504" s="21" t="str">
        <f>IF(OR(NOT(AND($B1504&lt;&gt;"",$C1504&lt;&gt;"",$D1504&lt;&gt;"",$E1504&lt;&gt;"")),$A1504="",$K1504&lt;&gt;"Yes"),"",IF($L1504&lt;&gt;"",$L1504,INDEX(SETUP!$I$1:$I$2000,MATCH(TRUE,SETUP!$J$1:$J$2000,0)+COUNTIFS($A$2:$A1504,"&lt;&gt;",$K$2:$K1504,"Yes",$L$2:$L1504,"")-1)))</f>
        <v/>
      </c>
      <c r="N1504" s="22"/>
    </row>
    <row r="1505" spans="1:14" x14ac:dyDescent="0.3">
      <c r="A1505" s="15" t="str">
        <f>IF(COUNTA($B1505:$E1505,$K1505)=0,"",IF(AND($B1505&lt;&gt;"",$C1505&lt;&gt;"",$D1505&lt;&gt;"",$E1505&lt;&gt;""),"TXS"&amp;TEXT(COUNTIFS($B$2:$B1505,"&lt;&gt;",$C$2:$C1505,"&lt;&gt;",$D$2:$D1505,"&lt;&gt;",$E$2:$E1505,"&lt;&gt;"),"00000"),""))</f>
        <v/>
      </c>
      <c r="B1505" s="16"/>
      <c r="C1505" s="20"/>
      <c r="D1505" s="20"/>
      <c r="E1505" s="23"/>
      <c r="H1505" s="21" t="str">
        <f t="shared" si="75"/>
        <v/>
      </c>
      <c r="I1505" s="21" t="str">
        <f t="shared" si="74"/>
        <v/>
      </c>
      <c r="J1505" s="21" t="str">
        <f t="shared" si="76"/>
        <v/>
      </c>
      <c r="K1505" s="20"/>
      <c r="L1505" s="21" t="str">
        <f>IF(OR(NOT(AND($B1505&lt;&gt;"",$C1505&lt;&gt;"",$D1505&lt;&gt;"",$E1505&lt;&gt;"")),$A1505="",$K1505&lt;&gt;"Yes"),"",IF($L1505&lt;&gt;"",$L1505,INDEX(SETUP!$I$1:$I$2000,MATCH(TRUE,SETUP!$J$1:$J$2000,0)+COUNTIFS($A$2:$A1505,"&lt;&gt;",$K$2:$K1505,"Yes",$L$2:$L1505,"")-1)))</f>
        <v/>
      </c>
      <c r="N1505" s="22"/>
    </row>
    <row r="1506" spans="1:14" x14ac:dyDescent="0.3">
      <c r="A1506" s="15" t="str">
        <f>IF(COUNTA($B1506:$E1506,$K1506)=0,"",IF(AND($B1506&lt;&gt;"",$C1506&lt;&gt;"",$D1506&lt;&gt;"",$E1506&lt;&gt;""),"TXS"&amp;TEXT(COUNTIFS($B$2:$B1506,"&lt;&gt;",$C$2:$C1506,"&lt;&gt;",$D$2:$D1506,"&lt;&gt;",$E$2:$E1506,"&lt;&gt;"),"00000"),""))</f>
        <v/>
      </c>
      <c r="B1506" s="16"/>
      <c r="C1506" s="20"/>
      <c r="D1506" s="20"/>
      <c r="E1506" s="23"/>
      <c r="H1506" s="21" t="str">
        <f t="shared" si="75"/>
        <v/>
      </c>
      <c r="I1506" s="21" t="str">
        <f t="shared" si="74"/>
        <v/>
      </c>
      <c r="J1506" s="21" t="str">
        <f t="shared" si="76"/>
        <v/>
      </c>
      <c r="K1506" s="20"/>
      <c r="L1506" s="21" t="str">
        <f>IF(OR(NOT(AND($B1506&lt;&gt;"",$C1506&lt;&gt;"",$D1506&lt;&gt;"",$E1506&lt;&gt;"")),$A1506="",$K1506&lt;&gt;"Yes"),"",IF($L1506&lt;&gt;"",$L1506,INDEX(SETUP!$I$1:$I$2000,MATCH(TRUE,SETUP!$J$1:$J$2000,0)+COUNTIFS($A$2:$A1506,"&lt;&gt;",$K$2:$K1506,"Yes",$L$2:$L1506,"")-1)))</f>
        <v/>
      </c>
      <c r="N1506" s="22"/>
    </row>
    <row r="1507" spans="1:14" x14ac:dyDescent="0.3">
      <c r="A1507" s="15" t="str">
        <f>IF(COUNTA($B1507:$E1507,$K1507)=0,"",IF(AND($B1507&lt;&gt;"",$C1507&lt;&gt;"",$D1507&lt;&gt;"",$E1507&lt;&gt;""),"TXS"&amp;TEXT(COUNTIFS($B$2:$B1507,"&lt;&gt;",$C$2:$C1507,"&lt;&gt;",$D$2:$D1507,"&lt;&gt;",$E$2:$E1507,"&lt;&gt;"),"00000"),""))</f>
        <v/>
      </c>
      <c r="B1507" s="16"/>
      <c r="C1507" s="20"/>
      <c r="D1507" s="20"/>
      <c r="E1507" s="23"/>
      <c r="H1507" s="21" t="str">
        <f t="shared" si="75"/>
        <v/>
      </c>
      <c r="I1507" s="21" t="str">
        <f t="shared" si="74"/>
        <v/>
      </c>
      <c r="J1507" s="21" t="str">
        <f t="shared" si="76"/>
        <v/>
      </c>
      <c r="K1507" s="20"/>
      <c r="L1507" s="21" t="str">
        <f>IF(OR(NOT(AND($B1507&lt;&gt;"",$C1507&lt;&gt;"",$D1507&lt;&gt;"",$E1507&lt;&gt;"")),$A1507="",$K1507&lt;&gt;"Yes"),"",IF($L1507&lt;&gt;"",$L1507,INDEX(SETUP!$I$1:$I$2000,MATCH(TRUE,SETUP!$J$1:$J$2000,0)+COUNTIFS($A$2:$A1507,"&lt;&gt;",$K$2:$K1507,"Yes",$L$2:$L1507,"")-1)))</f>
        <v/>
      </c>
      <c r="N1507" s="22"/>
    </row>
    <row r="1508" spans="1:14" x14ac:dyDescent="0.3">
      <c r="A1508" s="15" t="str">
        <f>IF(COUNTA($B1508:$E1508,$K1508)=0,"",IF(AND($B1508&lt;&gt;"",$C1508&lt;&gt;"",$D1508&lt;&gt;"",$E1508&lt;&gt;""),"TXS"&amp;TEXT(COUNTIFS($B$2:$B1508,"&lt;&gt;",$C$2:$C1508,"&lt;&gt;",$D$2:$D1508,"&lt;&gt;",$E$2:$E1508,"&lt;&gt;"),"00000"),""))</f>
        <v/>
      </c>
      <c r="B1508" s="16"/>
      <c r="C1508" s="20"/>
      <c r="D1508" s="20"/>
      <c r="E1508" s="23"/>
      <c r="H1508" s="21" t="str">
        <f t="shared" si="75"/>
        <v/>
      </c>
      <c r="I1508" s="21" t="str">
        <f t="shared" si="74"/>
        <v/>
      </c>
      <c r="J1508" s="21" t="str">
        <f t="shared" si="76"/>
        <v/>
      </c>
      <c r="K1508" s="20"/>
      <c r="L1508" s="21" t="str">
        <f>IF(OR(NOT(AND($B1508&lt;&gt;"",$C1508&lt;&gt;"",$D1508&lt;&gt;"",$E1508&lt;&gt;"")),$A1508="",$K1508&lt;&gt;"Yes"),"",IF($L1508&lt;&gt;"",$L1508,INDEX(SETUP!$I$1:$I$2000,MATCH(TRUE,SETUP!$J$1:$J$2000,0)+COUNTIFS($A$2:$A1508,"&lt;&gt;",$K$2:$K1508,"Yes",$L$2:$L1508,"")-1)))</f>
        <v/>
      </c>
      <c r="N1508" s="22"/>
    </row>
    <row r="1509" spans="1:14" x14ac:dyDescent="0.3">
      <c r="A1509" s="15" t="str">
        <f>IF(COUNTA($B1509:$E1509,$K1509)=0,"",IF(AND($B1509&lt;&gt;"",$C1509&lt;&gt;"",$D1509&lt;&gt;"",$E1509&lt;&gt;""),"TXS"&amp;TEXT(COUNTIFS($B$2:$B1509,"&lt;&gt;",$C$2:$C1509,"&lt;&gt;",$D$2:$D1509,"&lt;&gt;",$E$2:$E1509,"&lt;&gt;"),"00000"),""))</f>
        <v/>
      </c>
      <c r="B1509" s="16"/>
      <c r="C1509" s="20"/>
      <c r="D1509" s="20"/>
      <c r="E1509" s="23"/>
      <c r="H1509" s="21" t="str">
        <f t="shared" si="75"/>
        <v/>
      </c>
      <c r="I1509" s="21" t="str">
        <f t="shared" si="74"/>
        <v/>
      </c>
      <c r="J1509" s="21" t="str">
        <f t="shared" si="76"/>
        <v/>
      </c>
      <c r="K1509" s="20"/>
      <c r="L1509" s="21" t="str">
        <f>IF(OR(NOT(AND($B1509&lt;&gt;"",$C1509&lt;&gt;"",$D1509&lt;&gt;"",$E1509&lt;&gt;"")),$A1509="",$K1509&lt;&gt;"Yes"),"",IF($L1509&lt;&gt;"",$L1509,INDEX(SETUP!$I$1:$I$2000,MATCH(TRUE,SETUP!$J$1:$J$2000,0)+COUNTIFS($A$2:$A1509,"&lt;&gt;",$K$2:$K1509,"Yes",$L$2:$L1509,"")-1)))</f>
        <v/>
      </c>
      <c r="N1509" s="22"/>
    </row>
    <row r="1510" spans="1:14" x14ac:dyDescent="0.3">
      <c r="A1510" s="15" t="str">
        <f>IF(COUNTA($B1510:$E1510,$K1510)=0,"",IF(AND($B1510&lt;&gt;"",$C1510&lt;&gt;"",$D1510&lt;&gt;"",$E1510&lt;&gt;""),"TXS"&amp;TEXT(COUNTIFS($B$2:$B1510,"&lt;&gt;",$C$2:$C1510,"&lt;&gt;",$D$2:$D1510,"&lt;&gt;",$E$2:$E1510,"&lt;&gt;"),"00000"),""))</f>
        <v/>
      </c>
      <c r="B1510" s="16"/>
      <c r="C1510" s="20"/>
      <c r="D1510" s="20"/>
      <c r="E1510" s="23"/>
      <c r="H1510" s="21" t="str">
        <f t="shared" si="75"/>
        <v/>
      </c>
      <c r="I1510" s="21" t="str">
        <f t="shared" si="74"/>
        <v/>
      </c>
      <c r="J1510" s="21" t="str">
        <f t="shared" si="76"/>
        <v/>
      </c>
      <c r="K1510" s="20"/>
      <c r="L1510" s="21" t="str">
        <f>IF(OR(NOT(AND($B1510&lt;&gt;"",$C1510&lt;&gt;"",$D1510&lt;&gt;"",$E1510&lt;&gt;"")),$A1510="",$K1510&lt;&gt;"Yes"),"",IF($L1510&lt;&gt;"",$L1510,INDEX(SETUP!$I$1:$I$2000,MATCH(TRUE,SETUP!$J$1:$J$2000,0)+COUNTIFS($A$2:$A1510,"&lt;&gt;",$K$2:$K1510,"Yes",$L$2:$L1510,"")-1)))</f>
        <v/>
      </c>
      <c r="N1510" s="22"/>
    </row>
    <row r="1511" spans="1:14" x14ac:dyDescent="0.3">
      <c r="A1511" s="15" t="str">
        <f>IF(COUNTA($B1511:$E1511,$K1511)=0,"",IF(AND($B1511&lt;&gt;"",$C1511&lt;&gt;"",$D1511&lt;&gt;"",$E1511&lt;&gt;""),"TXS"&amp;TEXT(COUNTIFS($B$2:$B1511,"&lt;&gt;",$C$2:$C1511,"&lt;&gt;",$D$2:$D1511,"&lt;&gt;",$E$2:$E1511,"&lt;&gt;"),"00000"),""))</f>
        <v/>
      </c>
      <c r="B1511" s="16"/>
      <c r="C1511" s="20"/>
      <c r="D1511" s="20"/>
      <c r="E1511" s="23"/>
      <c r="H1511" s="21" t="str">
        <f t="shared" si="75"/>
        <v/>
      </c>
      <c r="I1511" s="21" t="str">
        <f t="shared" si="74"/>
        <v/>
      </c>
      <c r="J1511" s="21" t="str">
        <f t="shared" si="76"/>
        <v/>
      </c>
      <c r="K1511" s="20"/>
      <c r="L1511" s="21" t="str">
        <f>IF(OR(NOT(AND($B1511&lt;&gt;"",$C1511&lt;&gt;"",$D1511&lt;&gt;"",$E1511&lt;&gt;"")),$A1511="",$K1511&lt;&gt;"Yes"),"",IF($L1511&lt;&gt;"",$L1511,INDEX(SETUP!$I$1:$I$2000,MATCH(TRUE,SETUP!$J$1:$J$2000,0)+COUNTIFS($A$2:$A1511,"&lt;&gt;",$K$2:$K1511,"Yes",$L$2:$L1511,"")-1)))</f>
        <v/>
      </c>
      <c r="N1511" s="22"/>
    </row>
    <row r="1512" spans="1:14" x14ac:dyDescent="0.3">
      <c r="A1512" s="15" t="str">
        <f>IF(COUNTA($B1512:$E1512,$K1512)=0,"",IF(AND($B1512&lt;&gt;"",$C1512&lt;&gt;"",$D1512&lt;&gt;"",$E1512&lt;&gt;""),"TXS"&amp;TEXT(COUNTIFS($B$2:$B1512,"&lt;&gt;",$C$2:$C1512,"&lt;&gt;",$D$2:$D1512,"&lt;&gt;",$E$2:$E1512,"&lt;&gt;"),"00000"),""))</f>
        <v/>
      </c>
      <c r="B1512" s="16"/>
      <c r="C1512" s="20"/>
      <c r="D1512" s="20"/>
      <c r="E1512" s="23"/>
      <c r="H1512" s="21" t="str">
        <f t="shared" si="75"/>
        <v/>
      </c>
      <c r="I1512" s="21" t="str">
        <f t="shared" si="74"/>
        <v/>
      </c>
      <c r="J1512" s="21" t="str">
        <f t="shared" si="76"/>
        <v/>
      </c>
      <c r="K1512" s="20"/>
      <c r="L1512" s="21" t="str">
        <f>IF(OR(NOT(AND($B1512&lt;&gt;"",$C1512&lt;&gt;"",$D1512&lt;&gt;"",$E1512&lt;&gt;"")),$A1512="",$K1512&lt;&gt;"Yes"),"",IF($L1512&lt;&gt;"",$L1512,INDEX(SETUP!$I$1:$I$2000,MATCH(TRUE,SETUP!$J$1:$J$2000,0)+COUNTIFS($A$2:$A1512,"&lt;&gt;",$K$2:$K1512,"Yes",$L$2:$L1512,"")-1)))</f>
        <v/>
      </c>
      <c r="N1512" s="22"/>
    </row>
    <row r="1513" spans="1:14" x14ac:dyDescent="0.3">
      <c r="A1513" s="15" t="str">
        <f>IF(COUNTA($B1513:$E1513,$K1513)=0,"",IF(AND($B1513&lt;&gt;"",$C1513&lt;&gt;"",$D1513&lt;&gt;"",$E1513&lt;&gt;""),"TXS"&amp;TEXT(COUNTIFS($B$2:$B1513,"&lt;&gt;",$C$2:$C1513,"&lt;&gt;",$D$2:$D1513,"&lt;&gt;",$E$2:$E1513,"&lt;&gt;"),"00000"),""))</f>
        <v/>
      </c>
      <c r="B1513" s="16"/>
      <c r="C1513" s="20"/>
      <c r="D1513" s="20"/>
      <c r="E1513" s="23"/>
      <c r="H1513" s="21" t="str">
        <f t="shared" si="75"/>
        <v/>
      </c>
      <c r="I1513" s="21" t="str">
        <f t="shared" ref="I1513:I1576" si="77">IF(NOT(AND($B1513&lt;&gt;"",$C1513&lt;&gt;"",$D1513&lt;&gt;"",$E1513&lt;&gt;"")),"",IF($A1513="","","NIH plate "&amp;INT((VALUE(RIGHT($A1513,5))-1)/96)+1&amp;": "&amp;CHAR(65+INT(MOD(VALUE(RIGHT($A1513,5))-1,96)/12))&amp;(MOD(VALUE(RIGHT($A1513,5))-1,12)+1)))</f>
        <v/>
      </c>
      <c r="J1513" s="21" t="str">
        <f t="shared" si="76"/>
        <v/>
      </c>
      <c r="K1513" s="20"/>
      <c r="L1513" s="21" t="str">
        <f>IF(OR(NOT(AND($B1513&lt;&gt;"",$C1513&lt;&gt;"",$D1513&lt;&gt;"",$E1513&lt;&gt;"")),$A1513="",$K1513&lt;&gt;"Yes"),"",IF($L1513&lt;&gt;"",$L1513,INDEX(SETUP!$I$1:$I$2000,MATCH(TRUE,SETUP!$J$1:$J$2000,0)+COUNTIFS($A$2:$A1513,"&lt;&gt;",$K$2:$K1513,"Yes",$L$2:$L1513,"")-1)))</f>
        <v/>
      </c>
      <c r="N1513" s="22"/>
    </row>
    <row r="1514" spans="1:14" x14ac:dyDescent="0.3">
      <c r="A1514" s="15" t="str">
        <f>IF(COUNTA($B1514:$E1514,$K1514)=0,"",IF(AND($B1514&lt;&gt;"",$C1514&lt;&gt;"",$D1514&lt;&gt;"",$E1514&lt;&gt;""),"TXS"&amp;TEXT(COUNTIFS($B$2:$B1514,"&lt;&gt;",$C$2:$C1514,"&lt;&gt;",$D$2:$D1514,"&lt;&gt;",$E$2:$E1514,"&lt;&gt;"),"00000"),""))</f>
        <v/>
      </c>
      <c r="B1514" s="16"/>
      <c r="C1514" s="20"/>
      <c r="D1514" s="20"/>
      <c r="E1514" s="23"/>
      <c r="H1514" s="21" t="str">
        <f t="shared" si="75"/>
        <v/>
      </c>
      <c r="I1514" s="21" t="str">
        <f t="shared" si="77"/>
        <v/>
      </c>
      <c r="J1514" s="21" t="str">
        <f t="shared" si="76"/>
        <v/>
      </c>
      <c r="K1514" s="20"/>
      <c r="L1514" s="21" t="str">
        <f>IF(OR(NOT(AND($B1514&lt;&gt;"",$C1514&lt;&gt;"",$D1514&lt;&gt;"",$E1514&lt;&gt;"")),$A1514="",$K1514&lt;&gt;"Yes"),"",IF($L1514&lt;&gt;"",$L1514,INDEX(SETUP!$I$1:$I$2000,MATCH(TRUE,SETUP!$J$1:$J$2000,0)+COUNTIFS($A$2:$A1514,"&lt;&gt;",$K$2:$K1514,"Yes",$L$2:$L1514,"")-1)))</f>
        <v/>
      </c>
      <c r="N1514" s="22"/>
    </row>
    <row r="1515" spans="1:14" x14ac:dyDescent="0.3">
      <c r="A1515" s="15" t="str">
        <f>IF(COUNTA($B1515:$E1515,$K1515)=0,"",IF(AND($B1515&lt;&gt;"",$C1515&lt;&gt;"",$D1515&lt;&gt;"",$E1515&lt;&gt;""),"TXS"&amp;TEXT(COUNTIFS($B$2:$B1515,"&lt;&gt;",$C$2:$C1515,"&lt;&gt;",$D$2:$D1515,"&lt;&gt;",$E$2:$E1515,"&lt;&gt;"),"00000"),""))</f>
        <v/>
      </c>
      <c r="B1515" s="16"/>
      <c r="C1515" s="20"/>
      <c r="D1515" s="20"/>
      <c r="E1515" s="23"/>
      <c r="H1515" s="21" t="str">
        <f t="shared" si="75"/>
        <v/>
      </c>
      <c r="I1515" s="21" t="str">
        <f t="shared" si="77"/>
        <v/>
      </c>
      <c r="J1515" s="21" t="str">
        <f t="shared" si="76"/>
        <v/>
      </c>
      <c r="K1515" s="20"/>
      <c r="L1515" s="21" t="str">
        <f>IF(OR(NOT(AND($B1515&lt;&gt;"",$C1515&lt;&gt;"",$D1515&lt;&gt;"",$E1515&lt;&gt;"")),$A1515="",$K1515&lt;&gt;"Yes"),"",IF($L1515&lt;&gt;"",$L1515,INDEX(SETUP!$I$1:$I$2000,MATCH(TRUE,SETUP!$J$1:$J$2000,0)+COUNTIFS($A$2:$A1515,"&lt;&gt;",$K$2:$K1515,"Yes",$L$2:$L1515,"")-1)))</f>
        <v/>
      </c>
      <c r="N1515" s="22"/>
    </row>
    <row r="1516" spans="1:14" x14ac:dyDescent="0.3">
      <c r="A1516" s="15" t="str">
        <f>IF(COUNTA($B1516:$E1516,$K1516)=0,"",IF(AND($B1516&lt;&gt;"",$C1516&lt;&gt;"",$D1516&lt;&gt;"",$E1516&lt;&gt;""),"TXS"&amp;TEXT(COUNTIFS($B$2:$B1516,"&lt;&gt;",$C$2:$C1516,"&lt;&gt;",$D$2:$D1516,"&lt;&gt;",$E$2:$E1516,"&lt;&gt;"),"00000"),""))</f>
        <v/>
      </c>
      <c r="B1516" s="16"/>
      <c r="C1516" s="20"/>
      <c r="D1516" s="20"/>
      <c r="E1516" s="23"/>
      <c r="H1516" s="21" t="str">
        <f t="shared" si="75"/>
        <v/>
      </c>
      <c r="I1516" s="21" t="str">
        <f t="shared" si="77"/>
        <v/>
      </c>
      <c r="J1516" s="21" t="str">
        <f t="shared" si="76"/>
        <v/>
      </c>
      <c r="K1516" s="20"/>
      <c r="L1516" s="21" t="str">
        <f>IF(OR(NOT(AND($B1516&lt;&gt;"",$C1516&lt;&gt;"",$D1516&lt;&gt;"",$E1516&lt;&gt;"")),$A1516="",$K1516&lt;&gt;"Yes"),"",IF($L1516&lt;&gt;"",$L1516,INDEX(SETUP!$I$1:$I$2000,MATCH(TRUE,SETUP!$J$1:$J$2000,0)+COUNTIFS($A$2:$A1516,"&lt;&gt;",$K$2:$K1516,"Yes",$L$2:$L1516,"")-1)))</f>
        <v/>
      </c>
      <c r="N1516" s="22"/>
    </row>
    <row r="1517" spans="1:14" x14ac:dyDescent="0.3">
      <c r="A1517" s="15" t="str">
        <f>IF(COUNTA($B1517:$E1517,$K1517)=0,"",IF(AND($B1517&lt;&gt;"",$C1517&lt;&gt;"",$D1517&lt;&gt;"",$E1517&lt;&gt;""),"TXS"&amp;TEXT(COUNTIFS($B$2:$B1517,"&lt;&gt;",$C$2:$C1517,"&lt;&gt;",$D$2:$D1517,"&lt;&gt;",$E$2:$E1517,"&lt;&gt;"),"00000"),""))</f>
        <v/>
      </c>
      <c r="B1517" s="16"/>
      <c r="C1517" s="20"/>
      <c r="D1517" s="20"/>
      <c r="E1517" s="23"/>
      <c r="H1517" s="21" t="str">
        <f t="shared" si="75"/>
        <v/>
      </c>
      <c r="I1517" s="21" t="str">
        <f t="shared" si="77"/>
        <v/>
      </c>
      <c r="J1517" s="21" t="str">
        <f t="shared" si="76"/>
        <v/>
      </c>
      <c r="K1517" s="20"/>
      <c r="L1517" s="21" t="str">
        <f>IF(OR(NOT(AND($B1517&lt;&gt;"",$C1517&lt;&gt;"",$D1517&lt;&gt;"",$E1517&lt;&gt;"")),$A1517="",$K1517&lt;&gt;"Yes"),"",IF($L1517&lt;&gt;"",$L1517,INDEX(SETUP!$I$1:$I$2000,MATCH(TRUE,SETUP!$J$1:$J$2000,0)+COUNTIFS($A$2:$A1517,"&lt;&gt;",$K$2:$K1517,"Yes",$L$2:$L1517,"")-1)))</f>
        <v/>
      </c>
      <c r="N1517" s="22"/>
    </row>
    <row r="1518" spans="1:14" x14ac:dyDescent="0.3">
      <c r="A1518" s="15" t="str">
        <f>IF(COUNTA($B1518:$E1518,$K1518)=0,"",IF(AND($B1518&lt;&gt;"",$C1518&lt;&gt;"",$D1518&lt;&gt;"",$E1518&lt;&gt;""),"TXS"&amp;TEXT(COUNTIFS($B$2:$B1518,"&lt;&gt;",$C$2:$C1518,"&lt;&gt;",$D$2:$D1518,"&lt;&gt;",$E$2:$E1518,"&lt;&gt;"),"00000"),""))</f>
        <v/>
      </c>
      <c r="B1518" s="16"/>
      <c r="C1518" s="20"/>
      <c r="D1518" s="20"/>
      <c r="E1518" s="23"/>
      <c r="H1518" s="21" t="str">
        <f t="shared" si="75"/>
        <v/>
      </c>
      <c r="I1518" s="21" t="str">
        <f t="shared" si="77"/>
        <v/>
      </c>
      <c r="J1518" s="21" t="str">
        <f t="shared" si="76"/>
        <v/>
      </c>
      <c r="K1518" s="20"/>
      <c r="L1518" s="21" t="str">
        <f>IF(OR(NOT(AND($B1518&lt;&gt;"",$C1518&lt;&gt;"",$D1518&lt;&gt;"",$E1518&lt;&gt;"")),$A1518="",$K1518&lt;&gt;"Yes"),"",IF($L1518&lt;&gt;"",$L1518,INDEX(SETUP!$I$1:$I$2000,MATCH(TRUE,SETUP!$J$1:$J$2000,0)+COUNTIFS($A$2:$A1518,"&lt;&gt;",$K$2:$K1518,"Yes",$L$2:$L1518,"")-1)))</f>
        <v/>
      </c>
      <c r="N1518" s="22"/>
    </row>
    <row r="1519" spans="1:14" x14ac:dyDescent="0.3">
      <c r="A1519" s="15" t="str">
        <f>IF(COUNTA($B1519:$E1519,$K1519)=0,"",IF(AND($B1519&lt;&gt;"",$C1519&lt;&gt;"",$D1519&lt;&gt;"",$E1519&lt;&gt;""),"TXS"&amp;TEXT(COUNTIFS($B$2:$B1519,"&lt;&gt;",$C$2:$C1519,"&lt;&gt;",$D$2:$D1519,"&lt;&gt;",$E$2:$E1519,"&lt;&gt;"),"00000"),""))</f>
        <v/>
      </c>
      <c r="B1519" s="16"/>
      <c r="C1519" s="20"/>
      <c r="D1519" s="20"/>
      <c r="E1519" s="23"/>
      <c r="H1519" s="21" t="str">
        <f t="shared" ref="H1519:H1582" si="78">IF(NOT(AND($B1519&lt;&gt;"",$C1519&lt;&gt;"",$D1519&lt;&gt;"",$E1519&lt;&gt;"")),"",IF($A1519="","","CDI plate "&amp;INT((VALUE(RIGHT($A1519,5))-1)/96)+1&amp;": "&amp;CHAR(65+INT(MOD(VALUE(RIGHT($A1519,5))-1,96)/12))&amp;(MOD(VALUE(RIGHT($A1519,5))-1,12)+1)))</f>
        <v/>
      </c>
      <c r="I1519" s="21" t="str">
        <f t="shared" si="77"/>
        <v/>
      </c>
      <c r="J1519" s="21" t="str">
        <f t="shared" si="76"/>
        <v/>
      </c>
      <c r="K1519" s="20"/>
      <c r="L1519" s="21" t="str">
        <f>IF(OR(NOT(AND($B1519&lt;&gt;"",$C1519&lt;&gt;"",$D1519&lt;&gt;"",$E1519&lt;&gt;"")),$A1519="",$K1519&lt;&gt;"Yes"),"",IF($L1519&lt;&gt;"",$L1519,INDEX(SETUP!$I$1:$I$2000,MATCH(TRUE,SETUP!$J$1:$J$2000,0)+COUNTIFS($A$2:$A1519,"&lt;&gt;",$K$2:$K1519,"Yes",$L$2:$L1519,"")-1)))</f>
        <v/>
      </c>
      <c r="N1519" s="22"/>
    </row>
    <row r="1520" spans="1:14" x14ac:dyDescent="0.3">
      <c r="A1520" s="15" t="str">
        <f>IF(COUNTA($B1520:$E1520,$K1520)=0,"",IF(AND($B1520&lt;&gt;"",$C1520&lt;&gt;"",$D1520&lt;&gt;"",$E1520&lt;&gt;""),"TXS"&amp;TEXT(COUNTIFS($B$2:$B1520,"&lt;&gt;",$C$2:$C1520,"&lt;&gt;",$D$2:$D1520,"&lt;&gt;",$E$2:$E1520,"&lt;&gt;"),"00000"),""))</f>
        <v/>
      </c>
      <c r="B1520" s="16"/>
      <c r="C1520" s="20"/>
      <c r="D1520" s="20"/>
      <c r="E1520" s="23"/>
      <c r="H1520" s="21" t="str">
        <f t="shared" si="78"/>
        <v/>
      </c>
      <c r="I1520" s="21" t="str">
        <f t="shared" si="77"/>
        <v/>
      </c>
      <c r="J1520" s="21" t="str">
        <f t="shared" si="76"/>
        <v/>
      </c>
      <c r="K1520" s="20"/>
      <c r="L1520" s="21" t="str">
        <f>IF(OR(NOT(AND($B1520&lt;&gt;"",$C1520&lt;&gt;"",$D1520&lt;&gt;"",$E1520&lt;&gt;"")),$A1520="",$K1520&lt;&gt;"Yes"),"",IF($L1520&lt;&gt;"",$L1520,INDEX(SETUP!$I$1:$I$2000,MATCH(TRUE,SETUP!$J$1:$J$2000,0)+COUNTIFS($A$2:$A1520,"&lt;&gt;",$K$2:$K1520,"Yes",$L$2:$L1520,"")-1)))</f>
        <v/>
      </c>
      <c r="N1520" s="22"/>
    </row>
    <row r="1521" spans="1:14" x14ac:dyDescent="0.3">
      <c r="A1521" s="15" t="str">
        <f>IF(COUNTA($B1521:$E1521,$K1521)=0,"",IF(AND($B1521&lt;&gt;"",$C1521&lt;&gt;"",$D1521&lt;&gt;"",$E1521&lt;&gt;""),"TXS"&amp;TEXT(COUNTIFS($B$2:$B1521,"&lt;&gt;",$C$2:$C1521,"&lt;&gt;",$D$2:$D1521,"&lt;&gt;",$E$2:$E1521,"&lt;&gt;"),"00000"),""))</f>
        <v/>
      </c>
      <c r="B1521" s="16"/>
      <c r="C1521" s="20"/>
      <c r="D1521" s="20"/>
      <c r="E1521" s="23"/>
      <c r="H1521" s="21" t="str">
        <f t="shared" si="78"/>
        <v/>
      </c>
      <c r="I1521" s="21" t="str">
        <f t="shared" si="77"/>
        <v/>
      </c>
      <c r="J1521" s="21" t="str">
        <f t="shared" si="76"/>
        <v/>
      </c>
      <c r="K1521" s="20"/>
      <c r="L1521" s="21" t="str">
        <f>IF(OR(NOT(AND($B1521&lt;&gt;"",$C1521&lt;&gt;"",$D1521&lt;&gt;"",$E1521&lt;&gt;"")),$A1521="",$K1521&lt;&gt;"Yes"),"",IF($L1521&lt;&gt;"",$L1521,INDEX(SETUP!$I$1:$I$2000,MATCH(TRUE,SETUP!$J$1:$J$2000,0)+COUNTIFS($A$2:$A1521,"&lt;&gt;",$K$2:$K1521,"Yes",$L$2:$L1521,"")-1)))</f>
        <v/>
      </c>
      <c r="N1521" s="22"/>
    </row>
    <row r="1522" spans="1:14" x14ac:dyDescent="0.3">
      <c r="A1522" s="15" t="str">
        <f>IF(COUNTA($B1522:$E1522,$K1522)=0,"",IF(AND($B1522&lt;&gt;"",$C1522&lt;&gt;"",$D1522&lt;&gt;"",$E1522&lt;&gt;""),"TXS"&amp;TEXT(COUNTIFS($B$2:$B1522,"&lt;&gt;",$C$2:$C1522,"&lt;&gt;",$D$2:$D1522,"&lt;&gt;",$E$2:$E1522,"&lt;&gt;"),"00000"),""))</f>
        <v/>
      </c>
      <c r="B1522" s="16"/>
      <c r="C1522" s="20"/>
      <c r="D1522" s="20"/>
      <c r="E1522" s="23"/>
      <c r="H1522" s="21" t="str">
        <f t="shared" si="78"/>
        <v/>
      </c>
      <c r="I1522" s="21" t="str">
        <f t="shared" si="77"/>
        <v/>
      </c>
      <c r="J1522" s="21" t="str">
        <f t="shared" ref="J1522:J1585" si="79">IF(NOT(AND($B1522&lt;&gt;"",$C1522&lt;&gt;"",$D1522&lt;&gt;"",$E1522&lt;&gt;"")),"",IF($A1522="","","Max Planck plate "&amp;INT((VALUE(RIGHT($A1522,5))-1)/96)+1&amp;": "&amp;CHAR(65+INT(MOD(VALUE(RIGHT($A1522,5))-1,96)/12))&amp;(MOD(VALUE(RIGHT($A1522,5))-1,12)+1)))</f>
        <v/>
      </c>
      <c r="K1522" s="20"/>
      <c r="L1522" s="21" t="str">
        <f>IF(OR(NOT(AND($B1522&lt;&gt;"",$C1522&lt;&gt;"",$D1522&lt;&gt;"",$E1522&lt;&gt;"")),$A1522="",$K1522&lt;&gt;"Yes"),"",IF($L1522&lt;&gt;"",$L1522,INDEX(SETUP!$I$1:$I$2000,MATCH(TRUE,SETUP!$J$1:$J$2000,0)+COUNTIFS($A$2:$A1522,"&lt;&gt;",$K$2:$K1522,"Yes",$L$2:$L1522,"")-1)))</f>
        <v/>
      </c>
      <c r="N1522" s="22"/>
    </row>
    <row r="1523" spans="1:14" x14ac:dyDescent="0.3">
      <c r="A1523" s="15" t="str">
        <f>IF(COUNTA($B1523:$E1523,$K1523)=0,"",IF(AND($B1523&lt;&gt;"",$C1523&lt;&gt;"",$D1523&lt;&gt;"",$E1523&lt;&gt;""),"TXS"&amp;TEXT(COUNTIFS($B$2:$B1523,"&lt;&gt;",$C$2:$C1523,"&lt;&gt;",$D$2:$D1523,"&lt;&gt;",$E$2:$E1523,"&lt;&gt;"),"00000"),""))</f>
        <v/>
      </c>
      <c r="B1523" s="16"/>
      <c r="C1523" s="20"/>
      <c r="D1523" s="20"/>
      <c r="E1523" s="23"/>
      <c r="H1523" s="21" t="str">
        <f t="shared" si="78"/>
        <v/>
      </c>
      <c r="I1523" s="21" t="str">
        <f t="shared" si="77"/>
        <v/>
      </c>
      <c r="J1523" s="21" t="str">
        <f t="shared" si="79"/>
        <v/>
      </c>
      <c r="K1523" s="20"/>
      <c r="L1523" s="21" t="str">
        <f>IF(OR(NOT(AND($B1523&lt;&gt;"",$C1523&lt;&gt;"",$D1523&lt;&gt;"",$E1523&lt;&gt;"")),$A1523="",$K1523&lt;&gt;"Yes"),"",IF($L1523&lt;&gt;"",$L1523,INDEX(SETUP!$I$1:$I$2000,MATCH(TRUE,SETUP!$J$1:$J$2000,0)+COUNTIFS($A$2:$A1523,"&lt;&gt;",$K$2:$K1523,"Yes",$L$2:$L1523,"")-1)))</f>
        <v/>
      </c>
      <c r="N1523" s="22"/>
    </row>
    <row r="1524" spans="1:14" x14ac:dyDescent="0.3">
      <c r="A1524" s="15" t="str">
        <f>IF(COUNTA($B1524:$E1524,$K1524)=0,"",IF(AND($B1524&lt;&gt;"",$C1524&lt;&gt;"",$D1524&lt;&gt;"",$E1524&lt;&gt;""),"TXS"&amp;TEXT(COUNTIFS($B$2:$B1524,"&lt;&gt;",$C$2:$C1524,"&lt;&gt;",$D$2:$D1524,"&lt;&gt;",$E$2:$E1524,"&lt;&gt;"),"00000"),""))</f>
        <v/>
      </c>
      <c r="B1524" s="16"/>
      <c r="C1524" s="20"/>
      <c r="D1524" s="20"/>
      <c r="E1524" s="23"/>
      <c r="H1524" s="21" t="str">
        <f t="shared" si="78"/>
        <v/>
      </c>
      <c r="I1524" s="21" t="str">
        <f t="shared" si="77"/>
        <v/>
      </c>
      <c r="J1524" s="21" t="str">
        <f t="shared" si="79"/>
        <v/>
      </c>
      <c r="K1524" s="20"/>
      <c r="L1524" s="21" t="str">
        <f>IF(OR(NOT(AND($B1524&lt;&gt;"",$C1524&lt;&gt;"",$D1524&lt;&gt;"",$E1524&lt;&gt;"")),$A1524="",$K1524&lt;&gt;"Yes"),"",IF($L1524&lt;&gt;"",$L1524,INDEX(SETUP!$I$1:$I$2000,MATCH(TRUE,SETUP!$J$1:$J$2000,0)+COUNTIFS($A$2:$A1524,"&lt;&gt;",$K$2:$K1524,"Yes",$L$2:$L1524,"")-1)))</f>
        <v/>
      </c>
      <c r="N1524" s="22"/>
    </row>
    <row r="1525" spans="1:14" x14ac:dyDescent="0.3">
      <c r="A1525" s="15" t="str">
        <f>IF(COUNTA($B1525:$E1525,$K1525)=0,"",IF(AND($B1525&lt;&gt;"",$C1525&lt;&gt;"",$D1525&lt;&gt;"",$E1525&lt;&gt;""),"TXS"&amp;TEXT(COUNTIFS($B$2:$B1525,"&lt;&gt;",$C$2:$C1525,"&lt;&gt;",$D$2:$D1525,"&lt;&gt;",$E$2:$E1525,"&lt;&gt;"),"00000"),""))</f>
        <v/>
      </c>
      <c r="B1525" s="16"/>
      <c r="C1525" s="20"/>
      <c r="D1525" s="20"/>
      <c r="E1525" s="23"/>
      <c r="H1525" s="21" t="str">
        <f t="shared" si="78"/>
        <v/>
      </c>
      <c r="I1525" s="21" t="str">
        <f t="shared" si="77"/>
        <v/>
      </c>
      <c r="J1525" s="21" t="str">
        <f t="shared" si="79"/>
        <v/>
      </c>
      <c r="K1525" s="20"/>
      <c r="L1525" s="21" t="str">
        <f>IF(OR(NOT(AND($B1525&lt;&gt;"",$C1525&lt;&gt;"",$D1525&lt;&gt;"",$E1525&lt;&gt;"")),$A1525="",$K1525&lt;&gt;"Yes"),"",IF($L1525&lt;&gt;"",$L1525,INDEX(SETUP!$I$1:$I$2000,MATCH(TRUE,SETUP!$J$1:$J$2000,0)+COUNTIFS($A$2:$A1525,"&lt;&gt;",$K$2:$K1525,"Yes",$L$2:$L1525,"")-1)))</f>
        <v/>
      </c>
      <c r="N1525" s="22"/>
    </row>
    <row r="1526" spans="1:14" x14ac:dyDescent="0.3">
      <c r="A1526" s="15" t="str">
        <f>IF(COUNTA($B1526:$E1526,$K1526)=0,"",IF(AND($B1526&lt;&gt;"",$C1526&lt;&gt;"",$D1526&lt;&gt;"",$E1526&lt;&gt;""),"TXS"&amp;TEXT(COUNTIFS($B$2:$B1526,"&lt;&gt;",$C$2:$C1526,"&lt;&gt;",$D$2:$D1526,"&lt;&gt;",$E$2:$E1526,"&lt;&gt;"),"00000"),""))</f>
        <v/>
      </c>
      <c r="B1526" s="16"/>
      <c r="C1526" s="20"/>
      <c r="D1526" s="20"/>
      <c r="E1526" s="23"/>
      <c r="H1526" s="21" t="str">
        <f t="shared" si="78"/>
        <v/>
      </c>
      <c r="I1526" s="21" t="str">
        <f t="shared" si="77"/>
        <v/>
      </c>
      <c r="J1526" s="21" t="str">
        <f t="shared" si="79"/>
        <v/>
      </c>
      <c r="K1526" s="20"/>
      <c r="L1526" s="21" t="str">
        <f>IF(OR(NOT(AND($B1526&lt;&gt;"",$C1526&lt;&gt;"",$D1526&lt;&gt;"",$E1526&lt;&gt;"")),$A1526="",$K1526&lt;&gt;"Yes"),"",IF($L1526&lt;&gt;"",$L1526,INDEX(SETUP!$I$1:$I$2000,MATCH(TRUE,SETUP!$J$1:$J$2000,0)+COUNTIFS($A$2:$A1526,"&lt;&gt;",$K$2:$K1526,"Yes",$L$2:$L1526,"")-1)))</f>
        <v/>
      </c>
      <c r="N1526" s="22"/>
    </row>
    <row r="1527" spans="1:14" x14ac:dyDescent="0.3">
      <c r="A1527" s="15" t="str">
        <f>IF(COUNTA($B1527:$E1527,$K1527)=0,"",IF(AND($B1527&lt;&gt;"",$C1527&lt;&gt;"",$D1527&lt;&gt;"",$E1527&lt;&gt;""),"TXS"&amp;TEXT(COUNTIFS($B$2:$B1527,"&lt;&gt;",$C$2:$C1527,"&lt;&gt;",$D$2:$D1527,"&lt;&gt;",$E$2:$E1527,"&lt;&gt;"),"00000"),""))</f>
        <v/>
      </c>
      <c r="B1527" s="16"/>
      <c r="C1527" s="20"/>
      <c r="D1527" s="20"/>
      <c r="E1527" s="23"/>
      <c r="H1527" s="21" t="str">
        <f t="shared" si="78"/>
        <v/>
      </c>
      <c r="I1527" s="21" t="str">
        <f t="shared" si="77"/>
        <v/>
      </c>
      <c r="J1527" s="21" t="str">
        <f t="shared" si="79"/>
        <v/>
      </c>
      <c r="K1527" s="20"/>
      <c r="L1527" s="21" t="str">
        <f>IF(OR(NOT(AND($B1527&lt;&gt;"",$C1527&lt;&gt;"",$D1527&lt;&gt;"",$E1527&lt;&gt;"")),$A1527="",$K1527&lt;&gt;"Yes"),"",IF($L1527&lt;&gt;"",$L1527,INDEX(SETUP!$I$1:$I$2000,MATCH(TRUE,SETUP!$J$1:$J$2000,0)+COUNTIFS($A$2:$A1527,"&lt;&gt;",$K$2:$K1527,"Yes",$L$2:$L1527,"")-1)))</f>
        <v/>
      </c>
      <c r="N1527" s="22"/>
    </row>
    <row r="1528" spans="1:14" x14ac:dyDescent="0.3">
      <c r="A1528" s="15" t="str">
        <f>IF(COUNTA($B1528:$E1528,$K1528)=0,"",IF(AND($B1528&lt;&gt;"",$C1528&lt;&gt;"",$D1528&lt;&gt;"",$E1528&lt;&gt;""),"TXS"&amp;TEXT(COUNTIFS($B$2:$B1528,"&lt;&gt;",$C$2:$C1528,"&lt;&gt;",$D$2:$D1528,"&lt;&gt;",$E$2:$E1528,"&lt;&gt;"),"00000"),""))</f>
        <v/>
      </c>
      <c r="B1528" s="16"/>
      <c r="C1528" s="20"/>
      <c r="D1528" s="20"/>
      <c r="E1528" s="23"/>
      <c r="H1528" s="21" t="str">
        <f t="shared" si="78"/>
        <v/>
      </c>
      <c r="I1528" s="21" t="str">
        <f t="shared" si="77"/>
        <v/>
      </c>
      <c r="J1528" s="21" t="str">
        <f t="shared" si="79"/>
        <v/>
      </c>
      <c r="K1528" s="20"/>
      <c r="L1528" s="21" t="str">
        <f>IF(OR(NOT(AND($B1528&lt;&gt;"",$C1528&lt;&gt;"",$D1528&lt;&gt;"",$E1528&lt;&gt;"")),$A1528="",$K1528&lt;&gt;"Yes"),"",IF($L1528&lt;&gt;"",$L1528,INDEX(SETUP!$I$1:$I$2000,MATCH(TRUE,SETUP!$J$1:$J$2000,0)+COUNTIFS($A$2:$A1528,"&lt;&gt;",$K$2:$K1528,"Yes",$L$2:$L1528,"")-1)))</f>
        <v/>
      </c>
      <c r="N1528" s="22"/>
    </row>
    <row r="1529" spans="1:14" x14ac:dyDescent="0.3">
      <c r="A1529" s="15" t="str">
        <f>IF(COUNTA($B1529:$E1529,$K1529)=0,"",IF(AND($B1529&lt;&gt;"",$C1529&lt;&gt;"",$D1529&lt;&gt;"",$E1529&lt;&gt;""),"TXS"&amp;TEXT(COUNTIFS($B$2:$B1529,"&lt;&gt;",$C$2:$C1529,"&lt;&gt;",$D$2:$D1529,"&lt;&gt;",$E$2:$E1529,"&lt;&gt;"),"00000"),""))</f>
        <v/>
      </c>
      <c r="B1529" s="16"/>
      <c r="C1529" s="20"/>
      <c r="D1529" s="20"/>
      <c r="E1529" s="23"/>
      <c r="H1529" s="21" t="str">
        <f t="shared" si="78"/>
        <v/>
      </c>
      <c r="I1529" s="21" t="str">
        <f t="shared" si="77"/>
        <v/>
      </c>
      <c r="J1529" s="21" t="str">
        <f t="shared" si="79"/>
        <v/>
      </c>
      <c r="K1529" s="20"/>
      <c r="L1529" s="21" t="str">
        <f>IF(OR(NOT(AND($B1529&lt;&gt;"",$C1529&lt;&gt;"",$D1529&lt;&gt;"",$E1529&lt;&gt;"")),$A1529="",$K1529&lt;&gt;"Yes"),"",IF($L1529&lt;&gt;"",$L1529,INDEX(SETUP!$I$1:$I$2000,MATCH(TRUE,SETUP!$J$1:$J$2000,0)+COUNTIFS($A$2:$A1529,"&lt;&gt;",$K$2:$K1529,"Yes",$L$2:$L1529,"")-1)))</f>
        <v/>
      </c>
      <c r="N1529" s="22"/>
    </row>
    <row r="1530" spans="1:14" x14ac:dyDescent="0.3">
      <c r="A1530" s="15" t="str">
        <f>IF(COUNTA($B1530:$E1530,$K1530)=0,"",IF(AND($B1530&lt;&gt;"",$C1530&lt;&gt;"",$D1530&lt;&gt;"",$E1530&lt;&gt;""),"TXS"&amp;TEXT(COUNTIFS($B$2:$B1530,"&lt;&gt;",$C$2:$C1530,"&lt;&gt;",$D$2:$D1530,"&lt;&gt;",$E$2:$E1530,"&lt;&gt;"),"00000"),""))</f>
        <v/>
      </c>
      <c r="B1530" s="16"/>
      <c r="C1530" s="20"/>
      <c r="D1530" s="20"/>
      <c r="E1530" s="23"/>
      <c r="H1530" s="21" t="str">
        <f t="shared" si="78"/>
        <v/>
      </c>
      <c r="I1530" s="21" t="str">
        <f t="shared" si="77"/>
        <v/>
      </c>
      <c r="J1530" s="21" t="str">
        <f t="shared" si="79"/>
        <v/>
      </c>
      <c r="K1530" s="20"/>
      <c r="L1530" s="21" t="str">
        <f>IF(OR(NOT(AND($B1530&lt;&gt;"",$C1530&lt;&gt;"",$D1530&lt;&gt;"",$E1530&lt;&gt;"")),$A1530="",$K1530&lt;&gt;"Yes"),"",IF($L1530&lt;&gt;"",$L1530,INDEX(SETUP!$I$1:$I$2000,MATCH(TRUE,SETUP!$J$1:$J$2000,0)+COUNTIFS($A$2:$A1530,"&lt;&gt;",$K$2:$K1530,"Yes",$L$2:$L1530,"")-1)))</f>
        <v/>
      </c>
      <c r="N1530" s="22"/>
    </row>
    <row r="1531" spans="1:14" x14ac:dyDescent="0.3">
      <c r="A1531" s="15" t="str">
        <f>IF(COUNTA($B1531:$E1531,$K1531)=0,"",IF(AND($B1531&lt;&gt;"",$C1531&lt;&gt;"",$D1531&lt;&gt;"",$E1531&lt;&gt;""),"TXS"&amp;TEXT(COUNTIFS($B$2:$B1531,"&lt;&gt;",$C$2:$C1531,"&lt;&gt;",$D$2:$D1531,"&lt;&gt;",$E$2:$E1531,"&lt;&gt;"),"00000"),""))</f>
        <v/>
      </c>
      <c r="B1531" s="16"/>
      <c r="C1531" s="20"/>
      <c r="D1531" s="20"/>
      <c r="E1531" s="23"/>
      <c r="H1531" s="21" t="str">
        <f t="shared" si="78"/>
        <v/>
      </c>
      <c r="I1531" s="21" t="str">
        <f t="shared" si="77"/>
        <v/>
      </c>
      <c r="J1531" s="21" t="str">
        <f t="shared" si="79"/>
        <v/>
      </c>
      <c r="K1531" s="20"/>
      <c r="L1531" s="21" t="str">
        <f>IF(OR(NOT(AND($B1531&lt;&gt;"",$C1531&lt;&gt;"",$D1531&lt;&gt;"",$E1531&lt;&gt;"")),$A1531="",$K1531&lt;&gt;"Yes"),"",IF($L1531&lt;&gt;"",$L1531,INDEX(SETUP!$I$1:$I$2000,MATCH(TRUE,SETUP!$J$1:$J$2000,0)+COUNTIFS($A$2:$A1531,"&lt;&gt;",$K$2:$K1531,"Yes",$L$2:$L1531,"")-1)))</f>
        <v/>
      </c>
      <c r="N1531" s="22"/>
    </row>
    <row r="1532" spans="1:14" x14ac:dyDescent="0.3">
      <c r="A1532" s="15" t="str">
        <f>IF(COUNTA($B1532:$E1532,$K1532)=0,"",IF(AND($B1532&lt;&gt;"",$C1532&lt;&gt;"",$D1532&lt;&gt;"",$E1532&lt;&gt;""),"TXS"&amp;TEXT(COUNTIFS($B$2:$B1532,"&lt;&gt;",$C$2:$C1532,"&lt;&gt;",$D$2:$D1532,"&lt;&gt;",$E$2:$E1532,"&lt;&gt;"),"00000"),""))</f>
        <v/>
      </c>
      <c r="B1532" s="16"/>
      <c r="C1532" s="20"/>
      <c r="D1532" s="20"/>
      <c r="E1532" s="23"/>
      <c r="H1532" s="21" t="str">
        <f t="shared" si="78"/>
        <v/>
      </c>
      <c r="I1532" s="21" t="str">
        <f t="shared" si="77"/>
        <v/>
      </c>
      <c r="J1532" s="21" t="str">
        <f t="shared" si="79"/>
        <v/>
      </c>
      <c r="K1532" s="20"/>
      <c r="L1532" s="21" t="str">
        <f>IF(OR(NOT(AND($B1532&lt;&gt;"",$C1532&lt;&gt;"",$D1532&lt;&gt;"",$E1532&lt;&gt;"")),$A1532="",$K1532&lt;&gt;"Yes"),"",IF($L1532&lt;&gt;"",$L1532,INDEX(SETUP!$I$1:$I$2000,MATCH(TRUE,SETUP!$J$1:$J$2000,0)+COUNTIFS($A$2:$A1532,"&lt;&gt;",$K$2:$K1532,"Yes",$L$2:$L1532,"")-1)))</f>
        <v/>
      </c>
      <c r="N1532" s="22"/>
    </row>
    <row r="1533" spans="1:14" x14ac:dyDescent="0.3">
      <c r="A1533" s="15" t="str">
        <f>IF(COUNTA($B1533:$E1533,$K1533)=0,"",IF(AND($B1533&lt;&gt;"",$C1533&lt;&gt;"",$D1533&lt;&gt;"",$E1533&lt;&gt;""),"TXS"&amp;TEXT(COUNTIFS($B$2:$B1533,"&lt;&gt;",$C$2:$C1533,"&lt;&gt;",$D$2:$D1533,"&lt;&gt;",$E$2:$E1533,"&lt;&gt;"),"00000"),""))</f>
        <v/>
      </c>
      <c r="B1533" s="16"/>
      <c r="C1533" s="20"/>
      <c r="D1533" s="20"/>
      <c r="E1533" s="23"/>
      <c r="H1533" s="21" t="str">
        <f t="shared" si="78"/>
        <v/>
      </c>
      <c r="I1533" s="21" t="str">
        <f t="shared" si="77"/>
        <v/>
      </c>
      <c r="J1533" s="21" t="str">
        <f t="shared" si="79"/>
        <v/>
      </c>
      <c r="K1533" s="20"/>
      <c r="L1533" s="21" t="str">
        <f>IF(OR(NOT(AND($B1533&lt;&gt;"",$C1533&lt;&gt;"",$D1533&lt;&gt;"",$E1533&lt;&gt;"")),$A1533="",$K1533&lt;&gt;"Yes"),"",IF($L1533&lt;&gt;"",$L1533,INDEX(SETUP!$I$1:$I$2000,MATCH(TRUE,SETUP!$J$1:$J$2000,0)+COUNTIFS($A$2:$A1533,"&lt;&gt;",$K$2:$K1533,"Yes",$L$2:$L1533,"")-1)))</f>
        <v/>
      </c>
      <c r="N1533" s="22"/>
    </row>
    <row r="1534" spans="1:14" x14ac:dyDescent="0.3">
      <c r="A1534" s="15" t="str">
        <f>IF(COUNTA($B1534:$E1534,$K1534)=0,"",IF(AND($B1534&lt;&gt;"",$C1534&lt;&gt;"",$D1534&lt;&gt;"",$E1534&lt;&gt;""),"TXS"&amp;TEXT(COUNTIFS($B$2:$B1534,"&lt;&gt;",$C$2:$C1534,"&lt;&gt;",$D$2:$D1534,"&lt;&gt;",$E$2:$E1534,"&lt;&gt;"),"00000"),""))</f>
        <v/>
      </c>
      <c r="B1534" s="16"/>
      <c r="C1534" s="20"/>
      <c r="D1534" s="20"/>
      <c r="E1534" s="23"/>
      <c r="H1534" s="21" t="str">
        <f t="shared" si="78"/>
        <v/>
      </c>
      <c r="I1534" s="21" t="str">
        <f t="shared" si="77"/>
        <v/>
      </c>
      <c r="J1534" s="21" t="str">
        <f t="shared" si="79"/>
        <v/>
      </c>
      <c r="K1534" s="20"/>
      <c r="L1534" s="21" t="str">
        <f>IF(OR(NOT(AND($B1534&lt;&gt;"",$C1534&lt;&gt;"",$D1534&lt;&gt;"",$E1534&lt;&gt;"")),$A1534="",$K1534&lt;&gt;"Yes"),"",IF($L1534&lt;&gt;"",$L1534,INDEX(SETUP!$I$1:$I$2000,MATCH(TRUE,SETUP!$J$1:$J$2000,0)+COUNTIFS($A$2:$A1534,"&lt;&gt;",$K$2:$K1534,"Yes",$L$2:$L1534,"")-1)))</f>
        <v/>
      </c>
      <c r="N1534" s="22"/>
    </row>
    <row r="1535" spans="1:14" x14ac:dyDescent="0.3">
      <c r="A1535" s="15" t="str">
        <f>IF(COUNTA($B1535:$E1535,$K1535)=0,"",IF(AND($B1535&lt;&gt;"",$C1535&lt;&gt;"",$D1535&lt;&gt;"",$E1535&lt;&gt;""),"TXS"&amp;TEXT(COUNTIFS($B$2:$B1535,"&lt;&gt;",$C$2:$C1535,"&lt;&gt;",$D$2:$D1535,"&lt;&gt;",$E$2:$E1535,"&lt;&gt;"),"00000"),""))</f>
        <v/>
      </c>
      <c r="B1535" s="16"/>
      <c r="C1535" s="20"/>
      <c r="D1535" s="20"/>
      <c r="E1535" s="23"/>
      <c r="H1535" s="21" t="str">
        <f t="shared" si="78"/>
        <v/>
      </c>
      <c r="I1535" s="21" t="str">
        <f t="shared" si="77"/>
        <v/>
      </c>
      <c r="J1535" s="21" t="str">
        <f t="shared" si="79"/>
        <v/>
      </c>
      <c r="K1535" s="20"/>
      <c r="L1535" s="21" t="str">
        <f>IF(OR(NOT(AND($B1535&lt;&gt;"",$C1535&lt;&gt;"",$D1535&lt;&gt;"",$E1535&lt;&gt;"")),$A1535="",$K1535&lt;&gt;"Yes"),"",IF($L1535&lt;&gt;"",$L1535,INDEX(SETUP!$I$1:$I$2000,MATCH(TRUE,SETUP!$J$1:$J$2000,0)+COUNTIFS($A$2:$A1535,"&lt;&gt;",$K$2:$K1535,"Yes",$L$2:$L1535,"")-1)))</f>
        <v/>
      </c>
      <c r="N1535" s="22"/>
    </row>
    <row r="1536" spans="1:14" x14ac:dyDescent="0.3">
      <c r="A1536" s="15" t="str">
        <f>IF(COUNTA($B1536:$E1536,$K1536)=0,"",IF(AND($B1536&lt;&gt;"",$C1536&lt;&gt;"",$D1536&lt;&gt;"",$E1536&lt;&gt;""),"TXS"&amp;TEXT(COUNTIFS($B$2:$B1536,"&lt;&gt;",$C$2:$C1536,"&lt;&gt;",$D$2:$D1536,"&lt;&gt;",$E$2:$E1536,"&lt;&gt;"),"00000"),""))</f>
        <v/>
      </c>
      <c r="B1536" s="16"/>
      <c r="C1536" s="20"/>
      <c r="D1536" s="20"/>
      <c r="E1536" s="23"/>
      <c r="H1536" s="21" t="str">
        <f t="shared" si="78"/>
        <v/>
      </c>
      <c r="I1536" s="21" t="str">
        <f t="shared" si="77"/>
        <v/>
      </c>
      <c r="J1536" s="21" t="str">
        <f t="shared" si="79"/>
        <v/>
      </c>
      <c r="K1536" s="20"/>
      <c r="L1536" s="21" t="str">
        <f>IF(OR(NOT(AND($B1536&lt;&gt;"",$C1536&lt;&gt;"",$D1536&lt;&gt;"",$E1536&lt;&gt;"")),$A1536="",$K1536&lt;&gt;"Yes"),"",IF($L1536&lt;&gt;"",$L1536,INDEX(SETUP!$I$1:$I$2000,MATCH(TRUE,SETUP!$J$1:$J$2000,0)+COUNTIFS($A$2:$A1536,"&lt;&gt;",$K$2:$K1536,"Yes",$L$2:$L1536,"")-1)))</f>
        <v/>
      </c>
      <c r="N1536" s="22"/>
    </row>
    <row r="1537" spans="1:14" x14ac:dyDescent="0.3">
      <c r="A1537" s="15" t="str">
        <f>IF(COUNTA($B1537:$E1537,$K1537)=0,"",IF(AND($B1537&lt;&gt;"",$C1537&lt;&gt;"",$D1537&lt;&gt;"",$E1537&lt;&gt;""),"TXS"&amp;TEXT(COUNTIFS($B$2:$B1537,"&lt;&gt;",$C$2:$C1537,"&lt;&gt;",$D$2:$D1537,"&lt;&gt;",$E$2:$E1537,"&lt;&gt;"),"00000"),""))</f>
        <v/>
      </c>
      <c r="B1537" s="16"/>
      <c r="C1537" s="20"/>
      <c r="D1537" s="20"/>
      <c r="E1537" s="23"/>
      <c r="H1537" s="21" t="str">
        <f t="shared" si="78"/>
        <v/>
      </c>
      <c r="I1537" s="21" t="str">
        <f t="shared" si="77"/>
        <v/>
      </c>
      <c r="J1537" s="21" t="str">
        <f t="shared" si="79"/>
        <v/>
      </c>
      <c r="K1537" s="20"/>
      <c r="L1537" s="21" t="str">
        <f>IF(OR(NOT(AND($B1537&lt;&gt;"",$C1537&lt;&gt;"",$D1537&lt;&gt;"",$E1537&lt;&gt;"")),$A1537="",$K1537&lt;&gt;"Yes"),"",IF($L1537&lt;&gt;"",$L1537,INDEX(SETUP!$I$1:$I$2000,MATCH(TRUE,SETUP!$J$1:$J$2000,0)+COUNTIFS($A$2:$A1537,"&lt;&gt;",$K$2:$K1537,"Yes",$L$2:$L1537,"")-1)))</f>
        <v/>
      </c>
      <c r="N1537" s="22"/>
    </row>
    <row r="1538" spans="1:14" x14ac:dyDescent="0.3">
      <c r="A1538" s="15" t="str">
        <f>IF(COUNTA($B1538:$E1538,$K1538)=0,"",IF(AND($B1538&lt;&gt;"",$C1538&lt;&gt;"",$D1538&lt;&gt;"",$E1538&lt;&gt;""),"TXS"&amp;TEXT(COUNTIFS($B$2:$B1538,"&lt;&gt;",$C$2:$C1538,"&lt;&gt;",$D$2:$D1538,"&lt;&gt;",$E$2:$E1538,"&lt;&gt;"),"00000"),""))</f>
        <v/>
      </c>
      <c r="B1538" s="16"/>
      <c r="C1538" s="20"/>
      <c r="D1538" s="20"/>
      <c r="E1538" s="23"/>
      <c r="H1538" s="21" t="str">
        <f t="shared" si="78"/>
        <v/>
      </c>
      <c r="I1538" s="21" t="str">
        <f t="shared" si="77"/>
        <v/>
      </c>
      <c r="J1538" s="21" t="str">
        <f t="shared" si="79"/>
        <v/>
      </c>
      <c r="K1538" s="20"/>
      <c r="L1538" s="21" t="str">
        <f>IF(OR(NOT(AND($B1538&lt;&gt;"",$C1538&lt;&gt;"",$D1538&lt;&gt;"",$E1538&lt;&gt;"")),$A1538="",$K1538&lt;&gt;"Yes"),"",IF($L1538&lt;&gt;"",$L1538,INDEX(SETUP!$I$1:$I$2000,MATCH(TRUE,SETUP!$J$1:$J$2000,0)+COUNTIFS($A$2:$A1538,"&lt;&gt;",$K$2:$K1538,"Yes",$L$2:$L1538,"")-1)))</f>
        <v/>
      </c>
      <c r="N1538" s="22"/>
    </row>
    <row r="1539" spans="1:14" x14ac:dyDescent="0.3">
      <c r="A1539" s="15" t="str">
        <f>IF(COUNTA($B1539:$E1539,$K1539)=0,"",IF(AND($B1539&lt;&gt;"",$C1539&lt;&gt;"",$D1539&lt;&gt;"",$E1539&lt;&gt;""),"TXS"&amp;TEXT(COUNTIFS($B$2:$B1539,"&lt;&gt;",$C$2:$C1539,"&lt;&gt;",$D$2:$D1539,"&lt;&gt;",$E$2:$E1539,"&lt;&gt;"),"00000"),""))</f>
        <v/>
      </c>
      <c r="B1539" s="16"/>
      <c r="C1539" s="20"/>
      <c r="D1539" s="20"/>
      <c r="E1539" s="23"/>
      <c r="H1539" s="21" t="str">
        <f t="shared" si="78"/>
        <v/>
      </c>
      <c r="I1539" s="21" t="str">
        <f t="shared" si="77"/>
        <v/>
      </c>
      <c r="J1539" s="21" t="str">
        <f t="shared" si="79"/>
        <v/>
      </c>
      <c r="K1539" s="20"/>
      <c r="L1539" s="21" t="str">
        <f>IF(OR(NOT(AND($B1539&lt;&gt;"",$C1539&lt;&gt;"",$D1539&lt;&gt;"",$E1539&lt;&gt;"")),$A1539="",$K1539&lt;&gt;"Yes"),"",IF($L1539&lt;&gt;"",$L1539,INDEX(SETUP!$I$1:$I$2000,MATCH(TRUE,SETUP!$J$1:$J$2000,0)+COUNTIFS($A$2:$A1539,"&lt;&gt;",$K$2:$K1539,"Yes",$L$2:$L1539,"")-1)))</f>
        <v/>
      </c>
      <c r="N1539" s="22"/>
    </row>
    <row r="1540" spans="1:14" x14ac:dyDescent="0.3">
      <c r="A1540" s="15" t="str">
        <f>IF(COUNTA($B1540:$E1540,$K1540)=0,"",IF(AND($B1540&lt;&gt;"",$C1540&lt;&gt;"",$D1540&lt;&gt;"",$E1540&lt;&gt;""),"TXS"&amp;TEXT(COUNTIFS($B$2:$B1540,"&lt;&gt;",$C$2:$C1540,"&lt;&gt;",$D$2:$D1540,"&lt;&gt;",$E$2:$E1540,"&lt;&gt;"),"00000"),""))</f>
        <v/>
      </c>
      <c r="B1540" s="16"/>
      <c r="C1540" s="20"/>
      <c r="D1540" s="20"/>
      <c r="E1540" s="23"/>
      <c r="H1540" s="21" t="str">
        <f t="shared" si="78"/>
        <v/>
      </c>
      <c r="I1540" s="21" t="str">
        <f t="shared" si="77"/>
        <v/>
      </c>
      <c r="J1540" s="21" t="str">
        <f t="shared" si="79"/>
        <v/>
      </c>
      <c r="K1540" s="20"/>
      <c r="L1540" s="21" t="str">
        <f>IF(OR(NOT(AND($B1540&lt;&gt;"",$C1540&lt;&gt;"",$D1540&lt;&gt;"",$E1540&lt;&gt;"")),$A1540="",$K1540&lt;&gt;"Yes"),"",IF($L1540&lt;&gt;"",$L1540,INDEX(SETUP!$I$1:$I$2000,MATCH(TRUE,SETUP!$J$1:$J$2000,0)+COUNTIFS($A$2:$A1540,"&lt;&gt;",$K$2:$K1540,"Yes",$L$2:$L1540,"")-1)))</f>
        <v/>
      </c>
      <c r="N1540" s="22"/>
    </row>
    <row r="1541" spans="1:14" x14ac:dyDescent="0.3">
      <c r="A1541" s="15" t="str">
        <f>IF(COUNTA($B1541:$E1541,$K1541)=0,"",IF(AND($B1541&lt;&gt;"",$C1541&lt;&gt;"",$D1541&lt;&gt;"",$E1541&lt;&gt;""),"TXS"&amp;TEXT(COUNTIFS($B$2:$B1541,"&lt;&gt;",$C$2:$C1541,"&lt;&gt;",$D$2:$D1541,"&lt;&gt;",$E$2:$E1541,"&lt;&gt;"),"00000"),""))</f>
        <v/>
      </c>
      <c r="B1541" s="16"/>
      <c r="C1541" s="20"/>
      <c r="D1541" s="20"/>
      <c r="E1541" s="23"/>
      <c r="H1541" s="21" t="str">
        <f t="shared" si="78"/>
        <v/>
      </c>
      <c r="I1541" s="21" t="str">
        <f t="shared" si="77"/>
        <v/>
      </c>
      <c r="J1541" s="21" t="str">
        <f t="shared" si="79"/>
        <v/>
      </c>
      <c r="K1541" s="20"/>
      <c r="L1541" s="21" t="str">
        <f>IF(OR(NOT(AND($B1541&lt;&gt;"",$C1541&lt;&gt;"",$D1541&lt;&gt;"",$E1541&lt;&gt;"")),$A1541="",$K1541&lt;&gt;"Yes"),"",IF($L1541&lt;&gt;"",$L1541,INDEX(SETUP!$I$1:$I$2000,MATCH(TRUE,SETUP!$J$1:$J$2000,0)+COUNTIFS($A$2:$A1541,"&lt;&gt;",$K$2:$K1541,"Yes",$L$2:$L1541,"")-1)))</f>
        <v/>
      </c>
      <c r="N1541" s="22"/>
    </row>
    <row r="1542" spans="1:14" x14ac:dyDescent="0.3">
      <c r="A1542" s="15" t="str">
        <f>IF(COUNTA($B1542:$E1542,$K1542)=0,"",IF(AND($B1542&lt;&gt;"",$C1542&lt;&gt;"",$D1542&lt;&gt;"",$E1542&lt;&gt;""),"TXS"&amp;TEXT(COUNTIFS($B$2:$B1542,"&lt;&gt;",$C$2:$C1542,"&lt;&gt;",$D$2:$D1542,"&lt;&gt;",$E$2:$E1542,"&lt;&gt;"),"00000"),""))</f>
        <v/>
      </c>
      <c r="B1542" s="16"/>
      <c r="C1542" s="20"/>
      <c r="D1542" s="20"/>
      <c r="E1542" s="23"/>
      <c r="H1542" s="21" t="str">
        <f t="shared" si="78"/>
        <v/>
      </c>
      <c r="I1542" s="21" t="str">
        <f t="shared" si="77"/>
        <v/>
      </c>
      <c r="J1542" s="21" t="str">
        <f t="shared" si="79"/>
        <v/>
      </c>
      <c r="K1542" s="20"/>
      <c r="L1542" s="21" t="str">
        <f>IF(OR(NOT(AND($B1542&lt;&gt;"",$C1542&lt;&gt;"",$D1542&lt;&gt;"",$E1542&lt;&gt;"")),$A1542="",$K1542&lt;&gt;"Yes"),"",IF($L1542&lt;&gt;"",$L1542,INDEX(SETUP!$I$1:$I$2000,MATCH(TRUE,SETUP!$J$1:$J$2000,0)+COUNTIFS($A$2:$A1542,"&lt;&gt;",$K$2:$K1542,"Yes",$L$2:$L1542,"")-1)))</f>
        <v/>
      </c>
      <c r="N1542" s="22"/>
    </row>
    <row r="1543" spans="1:14" x14ac:dyDescent="0.3">
      <c r="A1543" s="15" t="str">
        <f>IF(COUNTA($B1543:$E1543,$K1543)=0,"",IF(AND($B1543&lt;&gt;"",$C1543&lt;&gt;"",$D1543&lt;&gt;"",$E1543&lt;&gt;""),"TXS"&amp;TEXT(COUNTIFS($B$2:$B1543,"&lt;&gt;",$C$2:$C1543,"&lt;&gt;",$D$2:$D1543,"&lt;&gt;",$E$2:$E1543,"&lt;&gt;"),"00000"),""))</f>
        <v/>
      </c>
      <c r="B1543" s="16"/>
      <c r="C1543" s="20"/>
      <c r="D1543" s="20"/>
      <c r="E1543" s="23"/>
      <c r="H1543" s="21" t="str">
        <f t="shared" si="78"/>
        <v/>
      </c>
      <c r="I1543" s="21" t="str">
        <f t="shared" si="77"/>
        <v/>
      </c>
      <c r="J1543" s="21" t="str">
        <f t="shared" si="79"/>
        <v/>
      </c>
      <c r="K1543" s="20"/>
      <c r="L1543" s="21" t="str">
        <f>IF(OR(NOT(AND($B1543&lt;&gt;"",$C1543&lt;&gt;"",$D1543&lt;&gt;"",$E1543&lt;&gt;"")),$A1543="",$K1543&lt;&gt;"Yes"),"",IF($L1543&lt;&gt;"",$L1543,INDEX(SETUP!$I$1:$I$2000,MATCH(TRUE,SETUP!$J$1:$J$2000,0)+COUNTIFS($A$2:$A1543,"&lt;&gt;",$K$2:$K1543,"Yes",$L$2:$L1543,"")-1)))</f>
        <v/>
      </c>
      <c r="N1543" s="22"/>
    </row>
    <row r="1544" spans="1:14" x14ac:dyDescent="0.3">
      <c r="A1544" s="15" t="str">
        <f>IF(COUNTA($B1544:$E1544,$K1544)=0,"",IF(AND($B1544&lt;&gt;"",$C1544&lt;&gt;"",$D1544&lt;&gt;"",$E1544&lt;&gt;""),"TXS"&amp;TEXT(COUNTIFS($B$2:$B1544,"&lt;&gt;",$C$2:$C1544,"&lt;&gt;",$D$2:$D1544,"&lt;&gt;",$E$2:$E1544,"&lt;&gt;"),"00000"),""))</f>
        <v/>
      </c>
      <c r="B1544" s="16"/>
      <c r="C1544" s="20"/>
      <c r="D1544" s="20"/>
      <c r="E1544" s="23"/>
      <c r="H1544" s="21" t="str">
        <f t="shared" si="78"/>
        <v/>
      </c>
      <c r="I1544" s="21" t="str">
        <f t="shared" si="77"/>
        <v/>
      </c>
      <c r="J1544" s="21" t="str">
        <f t="shared" si="79"/>
        <v/>
      </c>
      <c r="K1544" s="20"/>
      <c r="L1544" s="21" t="str">
        <f>IF(OR(NOT(AND($B1544&lt;&gt;"",$C1544&lt;&gt;"",$D1544&lt;&gt;"",$E1544&lt;&gt;"")),$A1544="",$K1544&lt;&gt;"Yes"),"",IF($L1544&lt;&gt;"",$L1544,INDEX(SETUP!$I$1:$I$2000,MATCH(TRUE,SETUP!$J$1:$J$2000,0)+COUNTIFS($A$2:$A1544,"&lt;&gt;",$K$2:$K1544,"Yes",$L$2:$L1544,"")-1)))</f>
        <v/>
      </c>
      <c r="N1544" s="22"/>
    </row>
    <row r="1545" spans="1:14" x14ac:dyDescent="0.3">
      <c r="A1545" s="15" t="str">
        <f>IF(COUNTA($B1545:$E1545,$K1545)=0,"",IF(AND($B1545&lt;&gt;"",$C1545&lt;&gt;"",$D1545&lt;&gt;"",$E1545&lt;&gt;""),"TXS"&amp;TEXT(COUNTIFS($B$2:$B1545,"&lt;&gt;",$C$2:$C1545,"&lt;&gt;",$D$2:$D1545,"&lt;&gt;",$E$2:$E1545,"&lt;&gt;"),"00000"),""))</f>
        <v/>
      </c>
      <c r="B1545" s="16"/>
      <c r="C1545" s="20"/>
      <c r="D1545" s="20"/>
      <c r="E1545" s="23"/>
      <c r="H1545" s="21" t="str">
        <f t="shared" si="78"/>
        <v/>
      </c>
      <c r="I1545" s="21" t="str">
        <f t="shared" si="77"/>
        <v/>
      </c>
      <c r="J1545" s="21" t="str">
        <f t="shared" si="79"/>
        <v/>
      </c>
      <c r="K1545" s="20"/>
      <c r="L1545" s="21" t="str">
        <f>IF(OR(NOT(AND($B1545&lt;&gt;"",$C1545&lt;&gt;"",$D1545&lt;&gt;"",$E1545&lt;&gt;"")),$A1545="",$K1545&lt;&gt;"Yes"),"",IF($L1545&lt;&gt;"",$L1545,INDEX(SETUP!$I$1:$I$2000,MATCH(TRUE,SETUP!$J$1:$J$2000,0)+COUNTIFS($A$2:$A1545,"&lt;&gt;",$K$2:$K1545,"Yes",$L$2:$L1545,"")-1)))</f>
        <v/>
      </c>
      <c r="N1545" s="22"/>
    </row>
    <row r="1546" spans="1:14" x14ac:dyDescent="0.3">
      <c r="A1546" s="15" t="str">
        <f>IF(COUNTA($B1546:$E1546,$K1546)=0,"",IF(AND($B1546&lt;&gt;"",$C1546&lt;&gt;"",$D1546&lt;&gt;"",$E1546&lt;&gt;""),"TXS"&amp;TEXT(COUNTIFS($B$2:$B1546,"&lt;&gt;",$C$2:$C1546,"&lt;&gt;",$D$2:$D1546,"&lt;&gt;",$E$2:$E1546,"&lt;&gt;"),"00000"),""))</f>
        <v/>
      </c>
      <c r="B1546" s="16"/>
      <c r="C1546" s="20"/>
      <c r="D1546" s="20"/>
      <c r="E1546" s="23"/>
      <c r="H1546" s="21" t="str">
        <f t="shared" si="78"/>
        <v/>
      </c>
      <c r="I1546" s="21" t="str">
        <f t="shared" si="77"/>
        <v/>
      </c>
      <c r="J1546" s="21" t="str">
        <f t="shared" si="79"/>
        <v/>
      </c>
      <c r="K1546" s="20"/>
      <c r="L1546" s="21" t="str">
        <f>IF(OR(NOT(AND($B1546&lt;&gt;"",$C1546&lt;&gt;"",$D1546&lt;&gt;"",$E1546&lt;&gt;"")),$A1546="",$K1546&lt;&gt;"Yes"),"",IF($L1546&lt;&gt;"",$L1546,INDEX(SETUP!$I$1:$I$2000,MATCH(TRUE,SETUP!$J$1:$J$2000,0)+COUNTIFS($A$2:$A1546,"&lt;&gt;",$K$2:$K1546,"Yes",$L$2:$L1546,"")-1)))</f>
        <v/>
      </c>
      <c r="N1546" s="22"/>
    </row>
    <row r="1547" spans="1:14" x14ac:dyDescent="0.3">
      <c r="A1547" s="15" t="str">
        <f>IF(COUNTA($B1547:$E1547,$K1547)=0,"",IF(AND($B1547&lt;&gt;"",$C1547&lt;&gt;"",$D1547&lt;&gt;"",$E1547&lt;&gt;""),"TXS"&amp;TEXT(COUNTIFS($B$2:$B1547,"&lt;&gt;",$C$2:$C1547,"&lt;&gt;",$D$2:$D1547,"&lt;&gt;",$E$2:$E1547,"&lt;&gt;"),"00000"),""))</f>
        <v/>
      </c>
      <c r="B1547" s="16"/>
      <c r="C1547" s="20"/>
      <c r="D1547" s="20"/>
      <c r="E1547" s="23"/>
      <c r="H1547" s="21" t="str">
        <f t="shared" si="78"/>
        <v/>
      </c>
      <c r="I1547" s="21" t="str">
        <f t="shared" si="77"/>
        <v/>
      </c>
      <c r="J1547" s="21" t="str">
        <f t="shared" si="79"/>
        <v/>
      </c>
      <c r="K1547" s="20"/>
      <c r="L1547" s="21" t="str">
        <f>IF(OR(NOT(AND($B1547&lt;&gt;"",$C1547&lt;&gt;"",$D1547&lt;&gt;"",$E1547&lt;&gt;"")),$A1547="",$K1547&lt;&gt;"Yes"),"",IF($L1547&lt;&gt;"",$L1547,INDEX(SETUP!$I$1:$I$2000,MATCH(TRUE,SETUP!$J$1:$J$2000,0)+COUNTIFS($A$2:$A1547,"&lt;&gt;",$K$2:$K1547,"Yes",$L$2:$L1547,"")-1)))</f>
        <v/>
      </c>
      <c r="N1547" s="22"/>
    </row>
    <row r="1548" spans="1:14" x14ac:dyDescent="0.3">
      <c r="A1548" s="15" t="str">
        <f>IF(COUNTA($B1548:$E1548,$K1548)=0,"",IF(AND($B1548&lt;&gt;"",$C1548&lt;&gt;"",$D1548&lt;&gt;"",$E1548&lt;&gt;""),"TXS"&amp;TEXT(COUNTIFS($B$2:$B1548,"&lt;&gt;",$C$2:$C1548,"&lt;&gt;",$D$2:$D1548,"&lt;&gt;",$E$2:$E1548,"&lt;&gt;"),"00000"),""))</f>
        <v/>
      </c>
      <c r="B1548" s="16"/>
      <c r="C1548" s="20"/>
      <c r="D1548" s="20"/>
      <c r="E1548" s="23"/>
      <c r="H1548" s="21" t="str">
        <f t="shared" si="78"/>
        <v/>
      </c>
      <c r="I1548" s="21" t="str">
        <f t="shared" si="77"/>
        <v/>
      </c>
      <c r="J1548" s="21" t="str">
        <f t="shared" si="79"/>
        <v/>
      </c>
      <c r="K1548" s="20"/>
      <c r="L1548" s="21" t="str">
        <f>IF(OR(NOT(AND($B1548&lt;&gt;"",$C1548&lt;&gt;"",$D1548&lt;&gt;"",$E1548&lt;&gt;"")),$A1548="",$K1548&lt;&gt;"Yes"),"",IF($L1548&lt;&gt;"",$L1548,INDEX(SETUP!$I$1:$I$2000,MATCH(TRUE,SETUP!$J$1:$J$2000,0)+COUNTIFS($A$2:$A1548,"&lt;&gt;",$K$2:$K1548,"Yes",$L$2:$L1548,"")-1)))</f>
        <v/>
      </c>
      <c r="N1548" s="22"/>
    </row>
    <row r="1549" spans="1:14" x14ac:dyDescent="0.3">
      <c r="A1549" s="15" t="str">
        <f>IF(COUNTA($B1549:$E1549,$K1549)=0,"",IF(AND($B1549&lt;&gt;"",$C1549&lt;&gt;"",$D1549&lt;&gt;"",$E1549&lt;&gt;""),"TXS"&amp;TEXT(COUNTIFS($B$2:$B1549,"&lt;&gt;",$C$2:$C1549,"&lt;&gt;",$D$2:$D1549,"&lt;&gt;",$E$2:$E1549,"&lt;&gt;"),"00000"),""))</f>
        <v/>
      </c>
      <c r="B1549" s="16"/>
      <c r="C1549" s="20"/>
      <c r="D1549" s="20"/>
      <c r="E1549" s="23"/>
      <c r="H1549" s="21" t="str">
        <f t="shared" si="78"/>
        <v/>
      </c>
      <c r="I1549" s="21" t="str">
        <f t="shared" si="77"/>
        <v/>
      </c>
      <c r="J1549" s="21" t="str">
        <f t="shared" si="79"/>
        <v/>
      </c>
      <c r="K1549" s="20"/>
      <c r="L1549" s="21" t="str">
        <f>IF(OR(NOT(AND($B1549&lt;&gt;"",$C1549&lt;&gt;"",$D1549&lt;&gt;"",$E1549&lt;&gt;"")),$A1549="",$K1549&lt;&gt;"Yes"),"",IF($L1549&lt;&gt;"",$L1549,INDEX(SETUP!$I$1:$I$2000,MATCH(TRUE,SETUP!$J$1:$J$2000,0)+COUNTIFS($A$2:$A1549,"&lt;&gt;",$K$2:$K1549,"Yes",$L$2:$L1549,"")-1)))</f>
        <v/>
      </c>
      <c r="N1549" s="22"/>
    </row>
    <row r="1550" spans="1:14" x14ac:dyDescent="0.3">
      <c r="A1550" s="15" t="str">
        <f>IF(COUNTA($B1550:$E1550,$K1550)=0,"",IF(AND($B1550&lt;&gt;"",$C1550&lt;&gt;"",$D1550&lt;&gt;"",$E1550&lt;&gt;""),"TXS"&amp;TEXT(COUNTIFS($B$2:$B1550,"&lt;&gt;",$C$2:$C1550,"&lt;&gt;",$D$2:$D1550,"&lt;&gt;",$E$2:$E1550,"&lt;&gt;"),"00000"),""))</f>
        <v/>
      </c>
      <c r="B1550" s="16"/>
      <c r="C1550" s="20"/>
      <c r="D1550" s="20"/>
      <c r="E1550" s="23"/>
      <c r="H1550" s="21" t="str">
        <f t="shared" si="78"/>
        <v/>
      </c>
      <c r="I1550" s="21" t="str">
        <f t="shared" si="77"/>
        <v/>
      </c>
      <c r="J1550" s="21" t="str">
        <f t="shared" si="79"/>
        <v/>
      </c>
      <c r="K1550" s="20"/>
      <c r="L1550" s="21" t="str">
        <f>IF(OR(NOT(AND($B1550&lt;&gt;"",$C1550&lt;&gt;"",$D1550&lt;&gt;"",$E1550&lt;&gt;"")),$A1550="",$K1550&lt;&gt;"Yes"),"",IF($L1550&lt;&gt;"",$L1550,INDEX(SETUP!$I$1:$I$2000,MATCH(TRUE,SETUP!$J$1:$J$2000,0)+COUNTIFS($A$2:$A1550,"&lt;&gt;",$K$2:$K1550,"Yes",$L$2:$L1550,"")-1)))</f>
        <v/>
      </c>
      <c r="N1550" s="22"/>
    </row>
    <row r="1551" spans="1:14" x14ac:dyDescent="0.3">
      <c r="A1551" s="15" t="str">
        <f>IF(COUNTA($B1551:$E1551,$K1551)=0,"",IF(AND($B1551&lt;&gt;"",$C1551&lt;&gt;"",$D1551&lt;&gt;"",$E1551&lt;&gt;""),"TXS"&amp;TEXT(COUNTIFS($B$2:$B1551,"&lt;&gt;",$C$2:$C1551,"&lt;&gt;",$D$2:$D1551,"&lt;&gt;",$E$2:$E1551,"&lt;&gt;"),"00000"),""))</f>
        <v/>
      </c>
      <c r="B1551" s="16"/>
      <c r="C1551" s="20"/>
      <c r="D1551" s="20"/>
      <c r="E1551" s="23"/>
      <c r="H1551" s="21" t="str">
        <f t="shared" si="78"/>
        <v/>
      </c>
      <c r="I1551" s="21" t="str">
        <f t="shared" si="77"/>
        <v/>
      </c>
      <c r="J1551" s="21" t="str">
        <f t="shared" si="79"/>
        <v/>
      </c>
      <c r="K1551" s="20"/>
      <c r="L1551" s="21" t="str">
        <f>IF(OR(NOT(AND($B1551&lt;&gt;"",$C1551&lt;&gt;"",$D1551&lt;&gt;"",$E1551&lt;&gt;"")),$A1551="",$K1551&lt;&gt;"Yes"),"",IF($L1551&lt;&gt;"",$L1551,INDEX(SETUP!$I$1:$I$2000,MATCH(TRUE,SETUP!$J$1:$J$2000,0)+COUNTIFS($A$2:$A1551,"&lt;&gt;",$K$2:$K1551,"Yes",$L$2:$L1551,"")-1)))</f>
        <v/>
      </c>
      <c r="N1551" s="22"/>
    </row>
    <row r="1552" spans="1:14" x14ac:dyDescent="0.3">
      <c r="A1552" s="15" t="str">
        <f>IF(COUNTA($B1552:$E1552,$K1552)=0,"",IF(AND($B1552&lt;&gt;"",$C1552&lt;&gt;"",$D1552&lt;&gt;"",$E1552&lt;&gt;""),"TXS"&amp;TEXT(COUNTIFS($B$2:$B1552,"&lt;&gt;",$C$2:$C1552,"&lt;&gt;",$D$2:$D1552,"&lt;&gt;",$E$2:$E1552,"&lt;&gt;"),"00000"),""))</f>
        <v/>
      </c>
      <c r="B1552" s="16"/>
      <c r="C1552" s="20"/>
      <c r="D1552" s="20"/>
      <c r="E1552" s="23"/>
      <c r="H1552" s="21" t="str">
        <f t="shared" si="78"/>
        <v/>
      </c>
      <c r="I1552" s="21" t="str">
        <f t="shared" si="77"/>
        <v/>
      </c>
      <c r="J1552" s="21" t="str">
        <f t="shared" si="79"/>
        <v/>
      </c>
      <c r="K1552" s="20"/>
      <c r="L1552" s="21" t="str">
        <f>IF(OR(NOT(AND($B1552&lt;&gt;"",$C1552&lt;&gt;"",$D1552&lt;&gt;"",$E1552&lt;&gt;"")),$A1552="",$K1552&lt;&gt;"Yes"),"",IF($L1552&lt;&gt;"",$L1552,INDEX(SETUP!$I$1:$I$2000,MATCH(TRUE,SETUP!$J$1:$J$2000,0)+COUNTIFS($A$2:$A1552,"&lt;&gt;",$K$2:$K1552,"Yes",$L$2:$L1552,"")-1)))</f>
        <v/>
      </c>
      <c r="N1552" s="22"/>
    </row>
    <row r="1553" spans="1:14" x14ac:dyDescent="0.3">
      <c r="A1553" s="15" t="str">
        <f>IF(COUNTA($B1553:$E1553,$K1553)=0,"",IF(AND($B1553&lt;&gt;"",$C1553&lt;&gt;"",$D1553&lt;&gt;"",$E1553&lt;&gt;""),"TXS"&amp;TEXT(COUNTIFS($B$2:$B1553,"&lt;&gt;",$C$2:$C1553,"&lt;&gt;",$D$2:$D1553,"&lt;&gt;",$E$2:$E1553,"&lt;&gt;"),"00000"),""))</f>
        <v/>
      </c>
      <c r="B1553" s="16"/>
      <c r="C1553" s="20"/>
      <c r="D1553" s="20"/>
      <c r="E1553" s="23"/>
      <c r="H1553" s="21" t="str">
        <f t="shared" si="78"/>
        <v/>
      </c>
      <c r="I1553" s="21" t="str">
        <f t="shared" si="77"/>
        <v/>
      </c>
      <c r="J1553" s="21" t="str">
        <f t="shared" si="79"/>
        <v/>
      </c>
      <c r="K1553" s="20"/>
      <c r="L1553" s="21" t="str">
        <f>IF(OR(NOT(AND($B1553&lt;&gt;"",$C1553&lt;&gt;"",$D1553&lt;&gt;"",$E1553&lt;&gt;"")),$A1553="",$K1553&lt;&gt;"Yes"),"",IF($L1553&lt;&gt;"",$L1553,INDEX(SETUP!$I$1:$I$2000,MATCH(TRUE,SETUP!$J$1:$J$2000,0)+COUNTIFS($A$2:$A1553,"&lt;&gt;",$K$2:$K1553,"Yes",$L$2:$L1553,"")-1)))</f>
        <v/>
      </c>
      <c r="N1553" s="22"/>
    </row>
    <row r="1554" spans="1:14" x14ac:dyDescent="0.3">
      <c r="A1554" s="15" t="str">
        <f>IF(COUNTA($B1554:$E1554,$K1554)=0,"",IF(AND($B1554&lt;&gt;"",$C1554&lt;&gt;"",$D1554&lt;&gt;"",$E1554&lt;&gt;""),"TXS"&amp;TEXT(COUNTIFS($B$2:$B1554,"&lt;&gt;",$C$2:$C1554,"&lt;&gt;",$D$2:$D1554,"&lt;&gt;",$E$2:$E1554,"&lt;&gt;"),"00000"),""))</f>
        <v/>
      </c>
      <c r="B1554" s="16"/>
      <c r="C1554" s="20"/>
      <c r="D1554" s="20"/>
      <c r="E1554" s="23"/>
      <c r="H1554" s="21" t="str">
        <f t="shared" si="78"/>
        <v/>
      </c>
      <c r="I1554" s="21" t="str">
        <f t="shared" si="77"/>
        <v/>
      </c>
      <c r="J1554" s="21" t="str">
        <f t="shared" si="79"/>
        <v/>
      </c>
      <c r="K1554" s="20"/>
      <c r="L1554" s="21" t="str">
        <f>IF(OR(NOT(AND($B1554&lt;&gt;"",$C1554&lt;&gt;"",$D1554&lt;&gt;"",$E1554&lt;&gt;"")),$A1554="",$K1554&lt;&gt;"Yes"),"",IF($L1554&lt;&gt;"",$L1554,INDEX(SETUP!$I$1:$I$2000,MATCH(TRUE,SETUP!$J$1:$J$2000,0)+COUNTIFS($A$2:$A1554,"&lt;&gt;",$K$2:$K1554,"Yes",$L$2:$L1554,"")-1)))</f>
        <v/>
      </c>
      <c r="N1554" s="22"/>
    </row>
    <row r="1555" spans="1:14" x14ac:dyDescent="0.3">
      <c r="A1555" s="15" t="str">
        <f>IF(COUNTA($B1555:$E1555,$K1555)=0,"",IF(AND($B1555&lt;&gt;"",$C1555&lt;&gt;"",$D1555&lt;&gt;"",$E1555&lt;&gt;""),"TXS"&amp;TEXT(COUNTIFS($B$2:$B1555,"&lt;&gt;",$C$2:$C1555,"&lt;&gt;",$D$2:$D1555,"&lt;&gt;",$E$2:$E1555,"&lt;&gt;"),"00000"),""))</f>
        <v/>
      </c>
      <c r="B1555" s="16"/>
      <c r="C1555" s="20"/>
      <c r="D1555" s="20"/>
      <c r="E1555" s="23"/>
      <c r="H1555" s="21" t="str">
        <f t="shared" si="78"/>
        <v/>
      </c>
      <c r="I1555" s="21" t="str">
        <f t="shared" si="77"/>
        <v/>
      </c>
      <c r="J1555" s="21" t="str">
        <f t="shared" si="79"/>
        <v/>
      </c>
      <c r="K1555" s="20"/>
      <c r="L1555" s="21" t="str">
        <f>IF(OR(NOT(AND($B1555&lt;&gt;"",$C1555&lt;&gt;"",$D1555&lt;&gt;"",$E1555&lt;&gt;"")),$A1555="",$K1555&lt;&gt;"Yes"),"",IF($L1555&lt;&gt;"",$L1555,INDEX(SETUP!$I$1:$I$2000,MATCH(TRUE,SETUP!$J$1:$J$2000,0)+COUNTIFS($A$2:$A1555,"&lt;&gt;",$K$2:$K1555,"Yes",$L$2:$L1555,"")-1)))</f>
        <v/>
      </c>
      <c r="N1555" s="22"/>
    </row>
    <row r="1556" spans="1:14" x14ac:dyDescent="0.3">
      <c r="A1556" s="15" t="str">
        <f>IF(COUNTA($B1556:$E1556,$K1556)=0,"",IF(AND($B1556&lt;&gt;"",$C1556&lt;&gt;"",$D1556&lt;&gt;"",$E1556&lt;&gt;""),"TXS"&amp;TEXT(COUNTIFS($B$2:$B1556,"&lt;&gt;",$C$2:$C1556,"&lt;&gt;",$D$2:$D1556,"&lt;&gt;",$E$2:$E1556,"&lt;&gt;"),"00000"),""))</f>
        <v/>
      </c>
      <c r="B1556" s="16"/>
      <c r="C1556" s="20"/>
      <c r="D1556" s="20"/>
      <c r="E1556" s="23"/>
      <c r="H1556" s="21" t="str">
        <f t="shared" si="78"/>
        <v/>
      </c>
      <c r="I1556" s="21" t="str">
        <f t="shared" si="77"/>
        <v/>
      </c>
      <c r="J1556" s="21" t="str">
        <f t="shared" si="79"/>
        <v/>
      </c>
      <c r="K1556" s="20"/>
      <c r="L1556" s="21" t="str">
        <f>IF(OR(NOT(AND($B1556&lt;&gt;"",$C1556&lt;&gt;"",$D1556&lt;&gt;"",$E1556&lt;&gt;"")),$A1556="",$K1556&lt;&gt;"Yes"),"",IF($L1556&lt;&gt;"",$L1556,INDEX(SETUP!$I$1:$I$2000,MATCH(TRUE,SETUP!$J$1:$J$2000,0)+COUNTIFS($A$2:$A1556,"&lt;&gt;",$K$2:$K1556,"Yes",$L$2:$L1556,"")-1)))</f>
        <v/>
      </c>
      <c r="N1556" s="22"/>
    </row>
    <row r="1557" spans="1:14" x14ac:dyDescent="0.3">
      <c r="A1557" s="15" t="str">
        <f>IF(COUNTA($B1557:$E1557,$K1557)=0,"",IF(AND($B1557&lt;&gt;"",$C1557&lt;&gt;"",$D1557&lt;&gt;"",$E1557&lt;&gt;""),"TXS"&amp;TEXT(COUNTIFS($B$2:$B1557,"&lt;&gt;",$C$2:$C1557,"&lt;&gt;",$D$2:$D1557,"&lt;&gt;",$E$2:$E1557,"&lt;&gt;"),"00000"),""))</f>
        <v/>
      </c>
      <c r="B1557" s="16"/>
      <c r="C1557" s="20"/>
      <c r="D1557" s="20"/>
      <c r="E1557" s="23"/>
      <c r="H1557" s="21" t="str">
        <f t="shared" si="78"/>
        <v/>
      </c>
      <c r="I1557" s="21" t="str">
        <f t="shared" si="77"/>
        <v/>
      </c>
      <c r="J1557" s="21" t="str">
        <f t="shared" si="79"/>
        <v/>
      </c>
      <c r="K1557" s="20"/>
      <c r="L1557" s="21" t="str">
        <f>IF(OR(NOT(AND($B1557&lt;&gt;"",$C1557&lt;&gt;"",$D1557&lt;&gt;"",$E1557&lt;&gt;"")),$A1557="",$K1557&lt;&gt;"Yes"),"",IF($L1557&lt;&gt;"",$L1557,INDEX(SETUP!$I$1:$I$2000,MATCH(TRUE,SETUP!$J$1:$J$2000,0)+COUNTIFS($A$2:$A1557,"&lt;&gt;",$K$2:$K1557,"Yes",$L$2:$L1557,"")-1)))</f>
        <v/>
      </c>
      <c r="N1557" s="22"/>
    </row>
    <row r="1558" spans="1:14" x14ac:dyDescent="0.3">
      <c r="A1558" s="15" t="str">
        <f>IF(COUNTA($B1558:$E1558,$K1558)=0,"",IF(AND($B1558&lt;&gt;"",$C1558&lt;&gt;"",$D1558&lt;&gt;"",$E1558&lt;&gt;""),"TXS"&amp;TEXT(COUNTIFS($B$2:$B1558,"&lt;&gt;",$C$2:$C1558,"&lt;&gt;",$D$2:$D1558,"&lt;&gt;",$E$2:$E1558,"&lt;&gt;"),"00000"),""))</f>
        <v/>
      </c>
      <c r="B1558" s="16"/>
      <c r="C1558" s="20"/>
      <c r="D1558" s="20"/>
      <c r="E1558" s="23"/>
      <c r="H1558" s="21" t="str">
        <f t="shared" si="78"/>
        <v/>
      </c>
      <c r="I1558" s="21" t="str">
        <f t="shared" si="77"/>
        <v/>
      </c>
      <c r="J1558" s="21" t="str">
        <f t="shared" si="79"/>
        <v/>
      </c>
      <c r="K1558" s="20"/>
      <c r="L1558" s="21" t="str">
        <f>IF(OR(NOT(AND($B1558&lt;&gt;"",$C1558&lt;&gt;"",$D1558&lt;&gt;"",$E1558&lt;&gt;"")),$A1558="",$K1558&lt;&gt;"Yes"),"",IF($L1558&lt;&gt;"",$L1558,INDEX(SETUP!$I$1:$I$2000,MATCH(TRUE,SETUP!$J$1:$J$2000,0)+COUNTIFS($A$2:$A1558,"&lt;&gt;",$K$2:$K1558,"Yes",$L$2:$L1558,"")-1)))</f>
        <v/>
      </c>
      <c r="N1558" s="22"/>
    </row>
    <row r="1559" spans="1:14" x14ac:dyDescent="0.3">
      <c r="A1559" s="15" t="str">
        <f>IF(COUNTA($B1559:$E1559,$K1559)=0,"",IF(AND($B1559&lt;&gt;"",$C1559&lt;&gt;"",$D1559&lt;&gt;"",$E1559&lt;&gt;""),"TXS"&amp;TEXT(COUNTIFS($B$2:$B1559,"&lt;&gt;",$C$2:$C1559,"&lt;&gt;",$D$2:$D1559,"&lt;&gt;",$E$2:$E1559,"&lt;&gt;"),"00000"),""))</f>
        <v/>
      </c>
      <c r="B1559" s="16"/>
      <c r="C1559" s="20"/>
      <c r="D1559" s="20"/>
      <c r="E1559" s="23"/>
      <c r="H1559" s="21" t="str">
        <f t="shared" si="78"/>
        <v/>
      </c>
      <c r="I1559" s="21" t="str">
        <f t="shared" si="77"/>
        <v/>
      </c>
      <c r="J1559" s="21" t="str">
        <f t="shared" si="79"/>
        <v/>
      </c>
      <c r="K1559" s="20"/>
      <c r="L1559" s="21" t="str">
        <f>IF(OR(NOT(AND($B1559&lt;&gt;"",$C1559&lt;&gt;"",$D1559&lt;&gt;"",$E1559&lt;&gt;"")),$A1559="",$K1559&lt;&gt;"Yes"),"",IF($L1559&lt;&gt;"",$L1559,INDEX(SETUP!$I$1:$I$2000,MATCH(TRUE,SETUP!$J$1:$J$2000,0)+COUNTIFS($A$2:$A1559,"&lt;&gt;",$K$2:$K1559,"Yes",$L$2:$L1559,"")-1)))</f>
        <v/>
      </c>
      <c r="N1559" s="22"/>
    </row>
    <row r="1560" spans="1:14" x14ac:dyDescent="0.3">
      <c r="A1560" s="15" t="str">
        <f>IF(COUNTA($B1560:$E1560,$K1560)=0,"",IF(AND($B1560&lt;&gt;"",$C1560&lt;&gt;"",$D1560&lt;&gt;"",$E1560&lt;&gt;""),"TXS"&amp;TEXT(COUNTIFS($B$2:$B1560,"&lt;&gt;",$C$2:$C1560,"&lt;&gt;",$D$2:$D1560,"&lt;&gt;",$E$2:$E1560,"&lt;&gt;"),"00000"),""))</f>
        <v/>
      </c>
      <c r="B1560" s="16"/>
      <c r="C1560" s="20"/>
      <c r="D1560" s="20"/>
      <c r="E1560" s="23"/>
      <c r="H1560" s="21" t="str">
        <f t="shared" si="78"/>
        <v/>
      </c>
      <c r="I1560" s="21" t="str">
        <f t="shared" si="77"/>
        <v/>
      </c>
      <c r="J1560" s="21" t="str">
        <f t="shared" si="79"/>
        <v/>
      </c>
      <c r="K1560" s="20"/>
      <c r="L1560" s="21" t="str">
        <f>IF(OR(NOT(AND($B1560&lt;&gt;"",$C1560&lt;&gt;"",$D1560&lt;&gt;"",$E1560&lt;&gt;"")),$A1560="",$K1560&lt;&gt;"Yes"),"",IF($L1560&lt;&gt;"",$L1560,INDEX(SETUP!$I$1:$I$2000,MATCH(TRUE,SETUP!$J$1:$J$2000,0)+COUNTIFS($A$2:$A1560,"&lt;&gt;",$K$2:$K1560,"Yes",$L$2:$L1560,"")-1)))</f>
        <v/>
      </c>
      <c r="N1560" s="22"/>
    </row>
    <row r="1561" spans="1:14" x14ac:dyDescent="0.3">
      <c r="A1561" s="15" t="str">
        <f>IF(COUNTA($B1561:$E1561,$K1561)=0,"",IF(AND($B1561&lt;&gt;"",$C1561&lt;&gt;"",$D1561&lt;&gt;"",$E1561&lt;&gt;""),"TXS"&amp;TEXT(COUNTIFS($B$2:$B1561,"&lt;&gt;",$C$2:$C1561,"&lt;&gt;",$D$2:$D1561,"&lt;&gt;",$E$2:$E1561,"&lt;&gt;"),"00000"),""))</f>
        <v/>
      </c>
      <c r="B1561" s="16"/>
      <c r="C1561" s="20"/>
      <c r="D1561" s="20"/>
      <c r="E1561" s="23"/>
      <c r="H1561" s="21" t="str">
        <f t="shared" si="78"/>
        <v/>
      </c>
      <c r="I1561" s="21" t="str">
        <f t="shared" si="77"/>
        <v/>
      </c>
      <c r="J1561" s="21" t="str">
        <f t="shared" si="79"/>
        <v/>
      </c>
      <c r="K1561" s="20"/>
      <c r="L1561" s="21" t="str">
        <f>IF(OR(NOT(AND($B1561&lt;&gt;"",$C1561&lt;&gt;"",$D1561&lt;&gt;"",$E1561&lt;&gt;"")),$A1561="",$K1561&lt;&gt;"Yes"),"",IF($L1561&lt;&gt;"",$L1561,INDEX(SETUP!$I$1:$I$2000,MATCH(TRUE,SETUP!$J$1:$J$2000,0)+COUNTIFS($A$2:$A1561,"&lt;&gt;",$K$2:$K1561,"Yes",$L$2:$L1561,"")-1)))</f>
        <v/>
      </c>
      <c r="N1561" s="22"/>
    </row>
    <row r="1562" spans="1:14" x14ac:dyDescent="0.3">
      <c r="A1562" s="15" t="str">
        <f>IF(COUNTA($B1562:$E1562,$K1562)=0,"",IF(AND($B1562&lt;&gt;"",$C1562&lt;&gt;"",$D1562&lt;&gt;"",$E1562&lt;&gt;""),"TXS"&amp;TEXT(COUNTIFS($B$2:$B1562,"&lt;&gt;",$C$2:$C1562,"&lt;&gt;",$D$2:$D1562,"&lt;&gt;",$E$2:$E1562,"&lt;&gt;"),"00000"),""))</f>
        <v/>
      </c>
      <c r="B1562" s="16"/>
      <c r="C1562" s="20"/>
      <c r="D1562" s="20"/>
      <c r="E1562" s="23"/>
      <c r="H1562" s="21" t="str">
        <f t="shared" si="78"/>
        <v/>
      </c>
      <c r="I1562" s="21" t="str">
        <f t="shared" si="77"/>
        <v/>
      </c>
      <c r="J1562" s="21" t="str">
        <f t="shared" si="79"/>
        <v/>
      </c>
      <c r="K1562" s="20"/>
      <c r="L1562" s="21" t="str">
        <f>IF(OR(NOT(AND($B1562&lt;&gt;"",$C1562&lt;&gt;"",$D1562&lt;&gt;"",$E1562&lt;&gt;"")),$A1562="",$K1562&lt;&gt;"Yes"),"",IF($L1562&lt;&gt;"",$L1562,INDEX(SETUP!$I$1:$I$2000,MATCH(TRUE,SETUP!$J$1:$J$2000,0)+COUNTIFS($A$2:$A1562,"&lt;&gt;",$K$2:$K1562,"Yes",$L$2:$L1562,"")-1)))</f>
        <v/>
      </c>
      <c r="N1562" s="22"/>
    </row>
    <row r="1563" spans="1:14" x14ac:dyDescent="0.3">
      <c r="A1563" s="15" t="str">
        <f>IF(COUNTA($B1563:$E1563,$K1563)=0,"",IF(AND($B1563&lt;&gt;"",$C1563&lt;&gt;"",$D1563&lt;&gt;"",$E1563&lt;&gt;""),"TXS"&amp;TEXT(COUNTIFS($B$2:$B1563,"&lt;&gt;",$C$2:$C1563,"&lt;&gt;",$D$2:$D1563,"&lt;&gt;",$E$2:$E1563,"&lt;&gt;"),"00000"),""))</f>
        <v/>
      </c>
      <c r="B1563" s="16"/>
      <c r="C1563" s="20"/>
      <c r="D1563" s="20"/>
      <c r="E1563" s="23"/>
      <c r="H1563" s="21" t="str">
        <f t="shared" si="78"/>
        <v/>
      </c>
      <c r="I1563" s="21" t="str">
        <f t="shared" si="77"/>
        <v/>
      </c>
      <c r="J1563" s="21" t="str">
        <f t="shared" si="79"/>
        <v/>
      </c>
      <c r="K1563" s="20"/>
      <c r="L1563" s="21" t="str">
        <f>IF(OR(NOT(AND($B1563&lt;&gt;"",$C1563&lt;&gt;"",$D1563&lt;&gt;"",$E1563&lt;&gt;"")),$A1563="",$K1563&lt;&gt;"Yes"),"",IF($L1563&lt;&gt;"",$L1563,INDEX(SETUP!$I$1:$I$2000,MATCH(TRUE,SETUP!$J$1:$J$2000,0)+COUNTIFS($A$2:$A1563,"&lt;&gt;",$K$2:$K1563,"Yes",$L$2:$L1563,"")-1)))</f>
        <v/>
      </c>
      <c r="N1563" s="22"/>
    </row>
    <row r="1564" spans="1:14" x14ac:dyDescent="0.3">
      <c r="A1564" s="15" t="str">
        <f>IF(COUNTA($B1564:$E1564,$K1564)=0,"",IF(AND($B1564&lt;&gt;"",$C1564&lt;&gt;"",$D1564&lt;&gt;"",$E1564&lt;&gt;""),"TXS"&amp;TEXT(COUNTIFS($B$2:$B1564,"&lt;&gt;",$C$2:$C1564,"&lt;&gt;",$D$2:$D1564,"&lt;&gt;",$E$2:$E1564,"&lt;&gt;"),"00000"),""))</f>
        <v/>
      </c>
      <c r="B1564" s="16"/>
      <c r="C1564" s="20"/>
      <c r="D1564" s="20"/>
      <c r="E1564" s="23"/>
      <c r="H1564" s="21" t="str">
        <f t="shared" si="78"/>
        <v/>
      </c>
      <c r="I1564" s="21" t="str">
        <f t="shared" si="77"/>
        <v/>
      </c>
      <c r="J1564" s="21" t="str">
        <f t="shared" si="79"/>
        <v/>
      </c>
      <c r="K1564" s="20"/>
      <c r="L1564" s="21" t="str">
        <f>IF(OR(NOT(AND($B1564&lt;&gt;"",$C1564&lt;&gt;"",$D1564&lt;&gt;"",$E1564&lt;&gt;"")),$A1564="",$K1564&lt;&gt;"Yes"),"",IF($L1564&lt;&gt;"",$L1564,INDEX(SETUP!$I$1:$I$2000,MATCH(TRUE,SETUP!$J$1:$J$2000,0)+COUNTIFS($A$2:$A1564,"&lt;&gt;",$K$2:$K1564,"Yes",$L$2:$L1564,"")-1)))</f>
        <v/>
      </c>
      <c r="N1564" s="22"/>
    </row>
    <row r="1565" spans="1:14" x14ac:dyDescent="0.3">
      <c r="A1565" s="15" t="str">
        <f>IF(COUNTA($B1565:$E1565,$K1565)=0,"",IF(AND($B1565&lt;&gt;"",$C1565&lt;&gt;"",$D1565&lt;&gt;"",$E1565&lt;&gt;""),"TXS"&amp;TEXT(COUNTIFS($B$2:$B1565,"&lt;&gt;",$C$2:$C1565,"&lt;&gt;",$D$2:$D1565,"&lt;&gt;",$E$2:$E1565,"&lt;&gt;"),"00000"),""))</f>
        <v/>
      </c>
      <c r="B1565" s="16"/>
      <c r="C1565" s="20"/>
      <c r="D1565" s="20"/>
      <c r="E1565" s="23"/>
      <c r="H1565" s="21" t="str">
        <f t="shared" si="78"/>
        <v/>
      </c>
      <c r="I1565" s="21" t="str">
        <f t="shared" si="77"/>
        <v/>
      </c>
      <c r="J1565" s="21" t="str">
        <f t="shared" si="79"/>
        <v/>
      </c>
      <c r="K1565" s="20"/>
      <c r="L1565" s="21" t="str">
        <f>IF(OR(NOT(AND($B1565&lt;&gt;"",$C1565&lt;&gt;"",$D1565&lt;&gt;"",$E1565&lt;&gt;"")),$A1565="",$K1565&lt;&gt;"Yes"),"",IF($L1565&lt;&gt;"",$L1565,INDEX(SETUP!$I$1:$I$2000,MATCH(TRUE,SETUP!$J$1:$J$2000,0)+COUNTIFS($A$2:$A1565,"&lt;&gt;",$K$2:$K1565,"Yes",$L$2:$L1565,"")-1)))</f>
        <v/>
      </c>
      <c r="N1565" s="22"/>
    </row>
    <row r="1566" spans="1:14" x14ac:dyDescent="0.3">
      <c r="A1566" s="15" t="str">
        <f>IF(COUNTA($B1566:$E1566,$K1566)=0,"",IF(AND($B1566&lt;&gt;"",$C1566&lt;&gt;"",$D1566&lt;&gt;"",$E1566&lt;&gt;""),"TXS"&amp;TEXT(COUNTIFS($B$2:$B1566,"&lt;&gt;",$C$2:$C1566,"&lt;&gt;",$D$2:$D1566,"&lt;&gt;",$E$2:$E1566,"&lt;&gt;"),"00000"),""))</f>
        <v/>
      </c>
      <c r="B1566" s="16"/>
      <c r="C1566" s="20"/>
      <c r="D1566" s="20"/>
      <c r="E1566" s="23"/>
      <c r="H1566" s="21" t="str">
        <f t="shared" si="78"/>
        <v/>
      </c>
      <c r="I1566" s="21" t="str">
        <f t="shared" si="77"/>
        <v/>
      </c>
      <c r="J1566" s="21" t="str">
        <f t="shared" si="79"/>
        <v/>
      </c>
      <c r="K1566" s="20"/>
      <c r="L1566" s="21" t="str">
        <f>IF(OR(NOT(AND($B1566&lt;&gt;"",$C1566&lt;&gt;"",$D1566&lt;&gt;"",$E1566&lt;&gt;"")),$A1566="",$K1566&lt;&gt;"Yes"),"",IF($L1566&lt;&gt;"",$L1566,INDEX(SETUP!$I$1:$I$2000,MATCH(TRUE,SETUP!$J$1:$J$2000,0)+COUNTIFS($A$2:$A1566,"&lt;&gt;",$K$2:$K1566,"Yes",$L$2:$L1566,"")-1)))</f>
        <v/>
      </c>
      <c r="N1566" s="22"/>
    </row>
    <row r="1567" spans="1:14" x14ac:dyDescent="0.3">
      <c r="A1567" s="15" t="str">
        <f>IF(COUNTA($B1567:$E1567,$K1567)=0,"",IF(AND($B1567&lt;&gt;"",$C1567&lt;&gt;"",$D1567&lt;&gt;"",$E1567&lt;&gt;""),"TXS"&amp;TEXT(COUNTIFS($B$2:$B1567,"&lt;&gt;",$C$2:$C1567,"&lt;&gt;",$D$2:$D1567,"&lt;&gt;",$E$2:$E1567,"&lt;&gt;"),"00000"),""))</f>
        <v/>
      </c>
      <c r="B1567" s="16"/>
      <c r="C1567" s="20"/>
      <c r="D1567" s="20"/>
      <c r="E1567" s="23"/>
      <c r="H1567" s="21" t="str">
        <f t="shared" si="78"/>
        <v/>
      </c>
      <c r="I1567" s="21" t="str">
        <f t="shared" si="77"/>
        <v/>
      </c>
      <c r="J1567" s="21" t="str">
        <f t="shared" si="79"/>
        <v/>
      </c>
      <c r="K1567" s="20"/>
      <c r="L1567" s="21" t="str">
        <f>IF(OR(NOT(AND($B1567&lt;&gt;"",$C1567&lt;&gt;"",$D1567&lt;&gt;"",$E1567&lt;&gt;"")),$A1567="",$K1567&lt;&gt;"Yes"),"",IF($L1567&lt;&gt;"",$L1567,INDEX(SETUP!$I$1:$I$2000,MATCH(TRUE,SETUP!$J$1:$J$2000,0)+COUNTIFS($A$2:$A1567,"&lt;&gt;",$K$2:$K1567,"Yes",$L$2:$L1567,"")-1)))</f>
        <v/>
      </c>
      <c r="N1567" s="22"/>
    </row>
    <row r="1568" spans="1:14" x14ac:dyDescent="0.3">
      <c r="A1568" s="15" t="str">
        <f>IF(COUNTA($B1568:$E1568,$K1568)=0,"",IF(AND($B1568&lt;&gt;"",$C1568&lt;&gt;"",$D1568&lt;&gt;"",$E1568&lt;&gt;""),"TXS"&amp;TEXT(COUNTIFS($B$2:$B1568,"&lt;&gt;",$C$2:$C1568,"&lt;&gt;",$D$2:$D1568,"&lt;&gt;",$E$2:$E1568,"&lt;&gt;"),"00000"),""))</f>
        <v/>
      </c>
      <c r="B1568" s="16"/>
      <c r="C1568" s="20"/>
      <c r="D1568" s="20"/>
      <c r="E1568" s="23"/>
      <c r="H1568" s="21" t="str">
        <f t="shared" si="78"/>
        <v/>
      </c>
      <c r="I1568" s="21" t="str">
        <f t="shared" si="77"/>
        <v/>
      </c>
      <c r="J1568" s="21" t="str">
        <f t="shared" si="79"/>
        <v/>
      </c>
      <c r="K1568" s="20"/>
      <c r="L1568" s="21" t="str">
        <f>IF(OR(NOT(AND($B1568&lt;&gt;"",$C1568&lt;&gt;"",$D1568&lt;&gt;"",$E1568&lt;&gt;"")),$A1568="",$K1568&lt;&gt;"Yes"),"",IF($L1568&lt;&gt;"",$L1568,INDEX(SETUP!$I$1:$I$2000,MATCH(TRUE,SETUP!$J$1:$J$2000,0)+COUNTIFS($A$2:$A1568,"&lt;&gt;",$K$2:$K1568,"Yes",$L$2:$L1568,"")-1)))</f>
        <v/>
      </c>
      <c r="N1568" s="22"/>
    </row>
    <row r="1569" spans="1:14" x14ac:dyDescent="0.3">
      <c r="A1569" s="15" t="str">
        <f>IF(COUNTA($B1569:$E1569,$K1569)=0,"",IF(AND($B1569&lt;&gt;"",$C1569&lt;&gt;"",$D1569&lt;&gt;"",$E1569&lt;&gt;""),"TXS"&amp;TEXT(COUNTIFS($B$2:$B1569,"&lt;&gt;",$C$2:$C1569,"&lt;&gt;",$D$2:$D1569,"&lt;&gt;",$E$2:$E1569,"&lt;&gt;"),"00000"),""))</f>
        <v/>
      </c>
      <c r="B1569" s="16"/>
      <c r="C1569" s="20"/>
      <c r="D1569" s="20"/>
      <c r="E1569" s="23"/>
      <c r="H1569" s="21" t="str">
        <f t="shared" si="78"/>
        <v/>
      </c>
      <c r="I1569" s="21" t="str">
        <f t="shared" si="77"/>
        <v/>
      </c>
      <c r="J1569" s="21" t="str">
        <f t="shared" si="79"/>
        <v/>
      </c>
      <c r="K1569" s="20"/>
      <c r="L1569" s="21" t="str">
        <f>IF(OR(NOT(AND($B1569&lt;&gt;"",$C1569&lt;&gt;"",$D1569&lt;&gt;"",$E1569&lt;&gt;"")),$A1569="",$K1569&lt;&gt;"Yes"),"",IF($L1569&lt;&gt;"",$L1569,INDEX(SETUP!$I$1:$I$2000,MATCH(TRUE,SETUP!$J$1:$J$2000,0)+COUNTIFS($A$2:$A1569,"&lt;&gt;",$K$2:$K1569,"Yes",$L$2:$L1569,"")-1)))</f>
        <v/>
      </c>
      <c r="N1569" s="22"/>
    </row>
    <row r="1570" spans="1:14" x14ac:dyDescent="0.3">
      <c r="A1570" s="15" t="str">
        <f>IF(COUNTA($B1570:$E1570,$K1570)=0,"",IF(AND($B1570&lt;&gt;"",$C1570&lt;&gt;"",$D1570&lt;&gt;"",$E1570&lt;&gt;""),"TXS"&amp;TEXT(COUNTIFS($B$2:$B1570,"&lt;&gt;",$C$2:$C1570,"&lt;&gt;",$D$2:$D1570,"&lt;&gt;",$E$2:$E1570,"&lt;&gt;"),"00000"),""))</f>
        <v/>
      </c>
      <c r="B1570" s="16"/>
      <c r="C1570" s="20"/>
      <c r="D1570" s="20"/>
      <c r="E1570" s="23"/>
      <c r="H1570" s="21" t="str">
        <f t="shared" si="78"/>
        <v/>
      </c>
      <c r="I1570" s="21" t="str">
        <f t="shared" si="77"/>
        <v/>
      </c>
      <c r="J1570" s="21" t="str">
        <f t="shared" si="79"/>
        <v/>
      </c>
      <c r="K1570" s="20"/>
      <c r="L1570" s="21" t="str">
        <f>IF(OR(NOT(AND($B1570&lt;&gt;"",$C1570&lt;&gt;"",$D1570&lt;&gt;"",$E1570&lt;&gt;"")),$A1570="",$K1570&lt;&gt;"Yes"),"",IF($L1570&lt;&gt;"",$L1570,INDEX(SETUP!$I$1:$I$2000,MATCH(TRUE,SETUP!$J$1:$J$2000,0)+COUNTIFS($A$2:$A1570,"&lt;&gt;",$K$2:$K1570,"Yes",$L$2:$L1570,"")-1)))</f>
        <v/>
      </c>
      <c r="N1570" s="22"/>
    </row>
    <row r="1571" spans="1:14" x14ac:dyDescent="0.3">
      <c r="A1571" s="15" t="str">
        <f>IF(COUNTA($B1571:$E1571,$K1571)=0,"",IF(AND($B1571&lt;&gt;"",$C1571&lt;&gt;"",$D1571&lt;&gt;"",$E1571&lt;&gt;""),"TXS"&amp;TEXT(COUNTIFS($B$2:$B1571,"&lt;&gt;",$C$2:$C1571,"&lt;&gt;",$D$2:$D1571,"&lt;&gt;",$E$2:$E1571,"&lt;&gt;"),"00000"),""))</f>
        <v/>
      </c>
      <c r="B1571" s="16"/>
      <c r="C1571" s="20"/>
      <c r="D1571" s="20"/>
      <c r="E1571" s="23"/>
      <c r="H1571" s="21" t="str">
        <f t="shared" si="78"/>
        <v/>
      </c>
      <c r="I1571" s="21" t="str">
        <f t="shared" si="77"/>
        <v/>
      </c>
      <c r="J1571" s="21" t="str">
        <f t="shared" si="79"/>
        <v/>
      </c>
      <c r="K1571" s="20"/>
      <c r="L1571" s="21" t="str">
        <f>IF(OR(NOT(AND($B1571&lt;&gt;"",$C1571&lt;&gt;"",$D1571&lt;&gt;"",$E1571&lt;&gt;"")),$A1571="",$K1571&lt;&gt;"Yes"),"",IF($L1571&lt;&gt;"",$L1571,INDEX(SETUP!$I$1:$I$2000,MATCH(TRUE,SETUP!$J$1:$J$2000,0)+COUNTIFS($A$2:$A1571,"&lt;&gt;",$K$2:$K1571,"Yes",$L$2:$L1571,"")-1)))</f>
        <v/>
      </c>
      <c r="N1571" s="22"/>
    </row>
    <row r="1572" spans="1:14" x14ac:dyDescent="0.3">
      <c r="A1572" s="15" t="str">
        <f>IF(COUNTA($B1572:$E1572,$K1572)=0,"",IF(AND($B1572&lt;&gt;"",$C1572&lt;&gt;"",$D1572&lt;&gt;"",$E1572&lt;&gt;""),"TXS"&amp;TEXT(COUNTIFS($B$2:$B1572,"&lt;&gt;",$C$2:$C1572,"&lt;&gt;",$D$2:$D1572,"&lt;&gt;",$E$2:$E1572,"&lt;&gt;"),"00000"),""))</f>
        <v/>
      </c>
      <c r="B1572" s="16"/>
      <c r="C1572" s="20"/>
      <c r="D1572" s="20"/>
      <c r="E1572" s="23"/>
      <c r="H1572" s="21" t="str">
        <f t="shared" si="78"/>
        <v/>
      </c>
      <c r="I1572" s="21" t="str">
        <f t="shared" si="77"/>
        <v/>
      </c>
      <c r="J1572" s="21" t="str">
        <f t="shared" si="79"/>
        <v/>
      </c>
      <c r="K1572" s="20"/>
      <c r="L1572" s="21" t="str">
        <f>IF(OR(NOT(AND($B1572&lt;&gt;"",$C1572&lt;&gt;"",$D1572&lt;&gt;"",$E1572&lt;&gt;"")),$A1572="",$K1572&lt;&gt;"Yes"),"",IF($L1572&lt;&gt;"",$L1572,INDEX(SETUP!$I$1:$I$2000,MATCH(TRUE,SETUP!$J$1:$J$2000,0)+COUNTIFS($A$2:$A1572,"&lt;&gt;",$K$2:$K1572,"Yes",$L$2:$L1572,"")-1)))</f>
        <v/>
      </c>
      <c r="N1572" s="22"/>
    </row>
    <row r="1573" spans="1:14" x14ac:dyDescent="0.3">
      <c r="A1573" s="15" t="str">
        <f>IF(COUNTA($B1573:$E1573,$K1573)=0,"",IF(AND($B1573&lt;&gt;"",$C1573&lt;&gt;"",$D1573&lt;&gt;"",$E1573&lt;&gt;""),"TXS"&amp;TEXT(COUNTIFS($B$2:$B1573,"&lt;&gt;",$C$2:$C1573,"&lt;&gt;",$D$2:$D1573,"&lt;&gt;",$E$2:$E1573,"&lt;&gt;"),"00000"),""))</f>
        <v/>
      </c>
      <c r="B1573" s="16"/>
      <c r="C1573" s="20"/>
      <c r="D1573" s="20"/>
      <c r="E1573" s="23"/>
      <c r="H1573" s="21" t="str">
        <f t="shared" si="78"/>
        <v/>
      </c>
      <c r="I1573" s="21" t="str">
        <f t="shared" si="77"/>
        <v/>
      </c>
      <c r="J1573" s="21" t="str">
        <f t="shared" si="79"/>
        <v/>
      </c>
      <c r="K1573" s="20"/>
      <c r="L1573" s="21" t="str">
        <f>IF(OR(NOT(AND($B1573&lt;&gt;"",$C1573&lt;&gt;"",$D1573&lt;&gt;"",$E1573&lt;&gt;"")),$A1573="",$K1573&lt;&gt;"Yes"),"",IF($L1573&lt;&gt;"",$L1573,INDEX(SETUP!$I$1:$I$2000,MATCH(TRUE,SETUP!$J$1:$J$2000,0)+COUNTIFS($A$2:$A1573,"&lt;&gt;",$K$2:$K1573,"Yes",$L$2:$L1573,"")-1)))</f>
        <v/>
      </c>
      <c r="N1573" s="22"/>
    </row>
    <row r="1574" spans="1:14" x14ac:dyDescent="0.3">
      <c r="A1574" s="15" t="str">
        <f>IF(COUNTA($B1574:$E1574,$K1574)=0,"",IF(AND($B1574&lt;&gt;"",$C1574&lt;&gt;"",$D1574&lt;&gt;"",$E1574&lt;&gt;""),"TXS"&amp;TEXT(COUNTIFS($B$2:$B1574,"&lt;&gt;",$C$2:$C1574,"&lt;&gt;",$D$2:$D1574,"&lt;&gt;",$E$2:$E1574,"&lt;&gt;"),"00000"),""))</f>
        <v/>
      </c>
      <c r="B1574" s="16"/>
      <c r="C1574" s="20"/>
      <c r="D1574" s="20"/>
      <c r="E1574" s="23"/>
      <c r="H1574" s="21" t="str">
        <f t="shared" si="78"/>
        <v/>
      </c>
      <c r="I1574" s="21" t="str">
        <f t="shared" si="77"/>
        <v/>
      </c>
      <c r="J1574" s="21" t="str">
        <f t="shared" si="79"/>
        <v/>
      </c>
      <c r="K1574" s="20"/>
      <c r="L1574" s="21" t="str">
        <f>IF(OR(NOT(AND($B1574&lt;&gt;"",$C1574&lt;&gt;"",$D1574&lt;&gt;"",$E1574&lt;&gt;"")),$A1574="",$K1574&lt;&gt;"Yes"),"",IF($L1574&lt;&gt;"",$L1574,INDEX(SETUP!$I$1:$I$2000,MATCH(TRUE,SETUP!$J$1:$J$2000,0)+COUNTIFS($A$2:$A1574,"&lt;&gt;",$K$2:$K1574,"Yes",$L$2:$L1574,"")-1)))</f>
        <v/>
      </c>
      <c r="N1574" s="22"/>
    </row>
    <row r="1575" spans="1:14" x14ac:dyDescent="0.3">
      <c r="A1575" s="15" t="str">
        <f>IF(COUNTA($B1575:$E1575,$K1575)=0,"",IF(AND($B1575&lt;&gt;"",$C1575&lt;&gt;"",$D1575&lt;&gt;"",$E1575&lt;&gt;""),"TXS"&amp;TEXT(COUNTIFS($B$2:$B1575,"&lt;&gt;",$C$2:$C1575,"&lt;&gt;",$D$2:$D1575,"&lt;&gt;",$E$2:$E1575,"&lt;&gt;"),"00000"),""))</f>
        <v/>
      </c>
      <c r="B1575" s="16"/>
      <c r="C1575" s="20"/>
      <c r="D1575" s="20"/>
      <c r="E1575" s="23"/>
      <c r="H1575" s="21" t="str">
        <f t="shared" si="78"/>
        <v/>
      </c>
      <c r="I1575" s="21" t="str">
        <f t="shared" si="77"/>
        <v/>
      </c>
      <c r="J1575" s="21" t="str">
        <f t="shared" si="79"/>
        <v/>
      </c>
      <c r="K1575" s="20"/>
      <c r="L1575" s="21" t="str">
        <f>IF(OR(NOT(AND($B1575&lt;&gt;"",$C1575&lt;&gt;"",$D1575&lt;&gt;"",$E1575&lt;&gt;"")),$A1575="",$K1575&lt;&gt;"Yes"),"",IF($L1575&lt;&gt;"",$L1575,INDEX(SETUP!$I$1:$I$2000,MATCH(TRUE,SETUP!$J$1:$J$2000,0)+COUNTIFS($A$2:$A1575,"&lt;&gt;",$K$2:$K1575,"Yes",$L$2:$L1575,"")-1)))</f>
        <v/>
      </c>
      <c r="N1575" s="22"/>
    </row>
    <row r="1576" spans="1:14" x14ac:dyDescent="0.3">
      <c r="A1576" s="15" t="str">
        <f>IF(COUNTA($B1576:$E1576,$K1576)=0,"",IF(AND($B1576&lt;&gt;"",$C1576&lt;&gt;"",$D1576&lt;&gt;"",$E1576&lt;&gt;""),"TXS"&amp;TEXT(COUNTIFS($B$2:$B1576,"&lt;&gt;",$C$2:$C1576,"&lt;&gt;",$D$2:$D1576,"&lt;&gt;",$E$2:$E1576,"&lt;&gt;"),"00000"),""))</f>
        <v/>
      </c>
      <c r="B1576" s="16"/>
      <c r="C1576" s="20"/>
      <c r="D1576" s="20"/>
      <c r="E1576" s="23"/>
      <c r="H1576" s="21" t="str">
        <f t="shared" si="78"/>
        <v/>
      </c>
      <c r="I1576" s="21" t="str">
        <f t="shared" si="77"/>
        <v/>
      </c>
      <c r="J1576" s="21" t="str">
        <f t="shared" si="79"/>
        <v/>
      </c>
      <c r="K1576" s="20"/>
      <c r="L1576" s="21" t="str">
        <f>IF(OR(NOT(AND($B1576&lt;&gt;"",$C1576&lt;&gt;"",$D1576&lt;&gt;"",$E1576&lt;&gt;"")),$A1576="",$K1576&lt;&gt;"Yes"),"",IF($L1576&lt;&gt;"",$L1576,INDEX(SETUP!$I$1:$I$2000,MATCH(TRUE,SETUP!$J$1:$J$2000,0)+COUNTIFS($A$2:$A1576,"&lt;&gt;",$K$2:$K1576,"Yes",$L$2:$L1576,"")-1)))</f>
        <v/>
      </c>
      <c r="N1576" s="22"/>
    </row>
    <row r="1577" spans="1:14" x14ac:dyDescent="0.3">
      <c r="A1577" s="15" t="str">
        <f>IF(COUNTA($B1577:$E1577,$K1577)=0,"",IF(AND($B1577&lt;&gt;"",$C1577&lt;&gt;"",$D1577&lt;&gt;"",$E1577&lt;&gt;""),"TXS"&amp;TEXT(COUNTIFS($B$2:$B1577,"&lt;&gt;",$C$2:$C1577,"&lt;&gt;",$D$2:$D1577,"&lt;&gt;",$E$2:$E1577,"&lt;&gt;"),"00000"),""))</f>
        <v/>
      </c>
      <c r="B1577" s="16"/>
      <c r="C1577" s="20"/>
      <c r="D1577" s="20"/>
      <c r="E1577" s="23"/>
      <c r="H1577" s="21" t="str">
        <f t="shared" si="78"/>
        <v/>
      </c>
      <c r="I1577" s="21" t="str">
        <f t="shared" ref="I1577:I1640" si="80">IF(NOT(AND($B1577&lt;&gt;"",$C1577&lt;&gt;"",$D1577&lt;&gt;"",$E1577&lt;&gt;"")),"",IF($A1577="","","NIH plate "&amp;INT((VALUE(RIGHT($A1577,5))-1)/96)+1&amp;": "&amp;CHAR(65+INT(MOD(VALUE(RIGHT($A1577,5))-1,96)/12))&amp;(MOD(VALUE(RIGHT($A1577,5))-1,12)+1)))</f>
        <v/>
      </c>
      <c r="J1577" s="21" t="str">
        <f t="shared" si="79"/>
        <v/>
      </c>
      <c r="K1577" s="20"/>
      <c r="L1577" s="21" t="str">
        <f>IF(OR(NOT(AND($B1577&lt;&gt;"",$C1577&lt;&gt;"",$D1577&lt;&gt;"",$E1577&lt;&gt;"")),$A1577="",$K1577&lt;&gt;"Yes"),"",IF($L1577&lt;&gt;"",$L1577,INDEX(SETUP!$I$1:$I$2000,MATCH(TRUE,SETUP!$J$1:$J$2000,0)+COUNTIFS($A$2:$A1577,"&lt;&gt;",$K$2:$K1577,"Yes",$L$2:$L1577,"")-1)))</f>
        <v/>
      </c>
      <c r="N1577" s="22"/>
    </row>
    <row r="1578" spans="1:14" x14ac:dyDescent="0.3">
      <c r="A1578" s="15" t="str">
        <f>IF(COUNTA($B1578:$E1578,$K1578)=0,"",IF(AND($B1578&lt;&gt;"",$C1578&lt;&gt;"",$D1578&lt;&gt;"",$E1578&lt;&gt;""),"TXS"&amp;TEXT(COUNTIFS($B$2:$B1578,"&lt;&gt;",$C$2:$C1578,"&lt;&gt;",$D$2:$D1578,"&lt;&gt;",$E$2:$E1578,"&lt;&gt;"),"00000"),""))</f>
        <v/>
      </c>
      <c r="B1578" s="16"/>
      <c r="C1578" s="20"/>
      <c r="D1578" s="20"/>
      <c r="E1578" s="23"/>
      <c r="H1578" s="21" t="str">
        <f t="shared" si="78"/>
        <v/>
      </c>
      <c r="I1578" s="21" t="str">
        <f t="shared" si="80"/>
        <v/>
      </c>
      <c r="J1578" s="21" t="str">
        <f t="shared" si="79"/>
        <v/>
      </c>
      <c r="K1578" s="20"/>
      <c r="L1578" s="21" t="str">
        <f>IF(OR(NOT(AND($B1578&lt;&gt;"",$C1578&lt;&gt;"",$D1578&lt;&gt;"",$E1578&lt;&gt;"")),$A1578="",$K1578&lt;&gt;"Yes"),"",IF($L1578&lt;&gt;"",$L1578,INDEX(SETUP!$I$1:$I$2000,MATCH(TRUE,SETUP!$J$1:$J$2000,0)+COUNTIFS($A$2:$A1578,"&lt;&gt;",$K$2:$K1578,"Yes",$L$2:$L1578,"")-1)))</f>
        <v/>
      </c>
      <c r="N1578" s="22"/>
    </row>
    <row r="1579" spans="1:14" x14ac:dyDescent="0.3">
      <c r="A1579" s="15" t="str">
        <f>IF(COUNTA($B1579:$E1579,$K1579)=0,"",IF(AND($B1579&lt;&gt;"",$C1579&lt;&gt;"",$D1579&lt;&gt;"",$E1579&lt;&gt;""),"TXS"&amp;TEXT(COUNTIFS($B$2:$B1579,"&lt;&gt;",$C$2:$C1579,"&lt;&gt;",$D$2:$D1579,"&lt;&gt;",$E$2:$E1579,"&lt;&gt;"),"00000"),""))</f>
        <v/>
      </c>
      <c r="B1579" s="16"/>
      <c r="C1579" s="20"/>
      <c r="D1579" s="20"/>
      <c r="E1579" s="23"/>
      <c r="H1579" s="21" t="str">
        <f t="shared" si="78"/>
        <v/>
      </c>
      <c r="I1579" s="21" t="str">
        <f t="shared" si="80"/>
        <v/>
      </c>
      <c r="J1579" s="21" t="str">
        <f t="shared" si="79"/>
        <v/>
      </c>
      <c r="K1579" s="20"/>
      <c r="L1579" s="21" t="str">
        <f>IF(OR(NOT(AND($B1579&lt;&gt;"",$C1579&lt;&gt;"",$D1579&lt;&gt;"",$E1579&lt;&gt;"")),$A1579="",$K1579&lt;&gt;"Yes"),"",IF($L1579&lt;&gt;"",$L1579,INDEX(SETUP!$I$1:$I$2000,MATCH(TRUE,SETUP!$J$1:$J$2000,0)+COUNTIFS($A$2:$A1579,"&lt;&gt;",$K$2:$K1579,"Yes",$L$2:$L1579,"")-1)))</f>
        <v/>
      </c>
      <c r="N1579" s="22"/>
    </row>
    <row r="1580" spans="1:14" x14ac:dyDescent="0.3">
      <c r="A1580" s="15" t="str">
        <f>IF(COUNTA($B1580:$E1580,$K1580)=0,"",IF(AND($B1580&lt;&gt;"",$C1580&lt;&gt;"",$D1580&lt;&gt;"",$E1580&lt;&gt;""),"TXS"&amp;TEXT(COUNTIFS($B$2:$B1580,"&lt;&gt;",$C$2:$C1580,"&lt;&gt;",$D$2:$D1580,"&lt;&gt;",$E$2:$E1580,"&lt;&gt;"),"00000"),""))</f>
        <v/>
      </c>
      <c r="B1580" s="16"/>
      <c r="C1580" s="20"/>
      <c r="D1580" s="20"/>
      <c r="E1580" s="23"/>
      <c r="H1580" s="21" t="str">
        <f t="shared" si="78"/>
        <v/>
      </c>
      <c r="I1580" s="21" t="str">
        <f t="shared" si="80"/>
        <v/>
      </c>
      <c r="J1580" s="21" t="str">
        <f t="shared" si="79"/>
        <v/>
      </c>
      <c r="K1580" s="20"/>
      <c r="L1580" s="21" t="str">
        <f>IF(OR(NOT(AND($B1580&lt;&gt;"",$C1580&lt;&gt;"",$D1580&lt;&gt;"",$E1580&lt;&gt;"")),$A1580="",$K1580&lt;&gt;"Yes"),"",IF($L1580&lt;&gt;"",$L1580,INDEX(SETUP!$I$1:$I$2000,MATCH(TRUE,SETUP!$J$1:$J$2000,0)+COUNTIFS($A$2:$A1580,"&lt;&gt;",$K$2:$K1580,"Yes",$L$2:$L1580,"")-1)))</f>
        <v/>
      </c>
      <c r="N1580" s="22"/>
    </row>
    <row r="1581" spans="1:14" x14ac:dyDescent="0.3">
      <c r="A1581" s="15" t="str">
        <f>IF(COUNTA($B1581:$E1581,$K1581)=0,"",IF(AND($B1581&lt;&gt;"",$C1581&lt;&gt;"",$D1581&lt;&gt;"",$E1581&lt;&gt;""),"TXS"&amp;TEXT(COUNTIFS($B$2:$B1581,"&lt;&gt;",$C$2:$C1581,"&lt;&gt;",$D$2:$D1581,"&lt;&gt;",$E$2:$E1581,"&lt;&gt;"),"00000"),""))</f>
        <v/>
      </c>
      <c r="B1581" s="16"/>
      <c r="C1581" s="20"/>
      <c r="D1581" s="20"/>
      <c r="E1581" s="23"/>
      <c r="H1581" s="21" t="str">
        <f t="shared" si="78"/>
        <v/>
      </c>
      <c r="I1581" s="21" t="str">
        <f t="shared" si="80"/>
        <v/>
      </c>
      <c r="J1581" s="21" t="str">
        <f t="shared" si="79"/>
        <v/>
      </c>
      <c r="K1581" s="20"/>
      <c r="L1581" s="21" t="str">
        <f>IF(OR(NOT(AND($B1581&lt;&gt;"",$C1581&lt;&gt;"",$D1581&lt;&gt;"",$E1581&lt;&gt;"")),$A1581="",$K1581&lt;&gt;"Yes"),"",IF($L1581&lt;&gt;"",$L1581,INDEX(SETUP!$I$1:$I$2000,MATCH(TRUE,SETUP!$J$1:$J$2000,0)+COUNTIFS($A$2:$A1581,"&lt;&gt;",$K$2:$K1581,"Yes",$L$2:$L1581,"")-1)))</f>
        <v/>
      </c>
      <c r="N1581" s="22"/>
    </row>
    <row r="1582" spans="1:14" x14ac:dyDescent="0.3">
      <c r="A1582" s="15" t="str">
        <f>IF(COUNTA($B1582:$E1582,$K1582)=0,"",IF(AND($B1582&lt;&gt;"",$C1582&lt;&gt;"",$D1582&lt;&gt;"",$E1582&lt;&gt;""),"TXS"&amp;TEXT(COUNTIFS($B$2:$B1582,"&lt;&gt;",$C$2:$C1582,"&lt;&gt;",$D$2:$D1582,"&lt;&gt;",$E$2:$E1582,"&lt;&gt;"),"00000"),""))</f>
        <v/>
      </c>
      <c r="B1582" s="16"/>
      <c r="C1582" s="20"/>
      <c r="D1582" s="20"/>
      <c r="E1582" s="23"/>
      <c r="H1582" s="21" t="str">
        <f t="shared" si="78"/>
        <v/>
      </c>
      <c r="I1582" s="21" t="str">
        <f t="shared" si="80"/>
        <v/>
      </c>
      <c r="J1582" s="21" t="str">
        <f t="shared" si="79"/>
        <v/>
      </c>
      <c r="K1582" s="20"/>
      <c r="L1582" s="21" t="str">
        <f>IF(OR(NOT(AND($B1582&lt;&gt;"",$C1582&lt;&gt;"",$D1582&lt;&gt;"",$E1582&lt;&gt;"")),$A1582="",$K1582&lt;&gt;"Yes"),"",IF($L1582&lt;&gt;"",$L1582,INDEX(SETUP!$I$1:$I$2000,MATCH(TRUE,SETUP!$J$1:$J$2000,0)+COUNTIFS($A$2:$A1582,"&lt;&gt;",$K$2:$K1582,"Yes",$L$2:$L1582,"")-1)))</f>
        <v/>
      </c>
      <c r="N1582" s="22"/>
    </row>
    <row r="1583" spans="1:14" x14ac:dyDescent="0.3">
      <c r="A1583" s="15" t="str">
        <f>IF(COUNTA($B1583:$E1583,$K1583)=0,"",IF(AND($B1583&lt;&gt;"",$C1583&lt;&gt;"",$D1583&lt;&gt;"",$E1583&lt;&gt;""),"TXS"&amp;TEXT(COUNTIFS($B$2:$B1583,"&lt;&gt;",$C$2:$C1583,"&lt;&gt;",$D$2:$D1583,"&lt;&gt;",$E$2:$E1583,"&lt;&gt;"),"00000"),""))</f>
        <v/>
      </c>
      <c r="B1583" s="16"/>
      <c r="C1583" s="20"/>
      <c r="D1583" s="20"/>
      <c r="E1583" s="23"/>
      <c r="H1583" s="21" t="str">
        <f t="shared" ref="H1583:H1646" si="81">IF(NOT(AND($B1583&lt;&gt;"",$C1583&lt;&gt;"",$D1583&lt;&gt;"",$E1583&lt;&gt;"")),"",IF($A1583="","","CDI plate "&amp;INT((VALUE(RIGHT($A1583,5))-1)/96)+1&amp;": "&amp;CHAR(65+INT(MOD(VALUE(RIGHT($A1583,5))-1,96)/12))&amp;(MOD(VALUE(RIGHT($A1583,5))-1,12)+1)))</f>
        <v/>
      </c>
      <c r="I1583" s="21" t="str">
        <f t="shared" si="80"/>
        <v/>
      </c>
      <c r="J1583" s="21" t="str">
        <f t="shared" si="79"/>
        <v/>
      </c>
      <c r="K1583" s="20"/>
      <c r="L1583" s="21" t="str">
        <f>IF(OR(NOT(AND($B1583&lt;&gt;"",$C1583&lt;&gt;"",$D1583&lt;&gt;"",$E1583&lt;&gt;"")),$A1583="",$K1583&lt;&gt;"Yes"),"",IF($L1583&lt;&gt;"",$L1583,INDEX(SETUP!$I$1:$I$2000,MATCH(TRUE,SETUP!$J$1:$J$2000,0)+COUNTIFS($A$2:$A1583,"&lt;&gt;",$K$2:$K1583,"Yes",$L$2:$L1583,"")-1)))</f>
        <v/>
      </c>
      <c r="N1583" s="22"/>
    </row>
    <row r="1584" spans="1:14" x14ac:dyDescent="0.3">
      <c r="A1584" s="15" t="str">
        <f>IF(COUNTA($B1584:$E1584,$K1584)=0,"",IF(AND($B1584&lt;&gt;"",$C1584&lt;&gt;"",$D1584&lt;&gt;"",$E1584&lt;&gt;""),"TXS"&amp;TEXT(COUNTIFS($B$2:$B1584,"&lt;&gt;",$C$2:$C1584,"&lt;&gt;",$D$2:$D1584,"&lt;&gt;",$E$2:$E1584,"&lt;&gt;"),"00000"),""))</f>
        <v/>
      </c>
      <c r="B1584" s="16"/>
      <c r="C1584" s="20"/>
      <c r="D1584" s="20"/>
      <c r="E1584" s="23"/>
      <c r="H1584" s="21" t="str">
        <f t="shared" si="81"/>
        <v/>
      </c>
      <c r="I1584" s="21" t="str">
        <f t="shared" si="80"/>
        <v/>
      </c>
      <c r="J1584" s="21" t="str">
        <f t="shared" si="79"/>
        <v/>
      </c>
      <c r="K1584" s="20"/>
      <c r="L1584" s="21" t="str">
        <f>IF(OR(NOT(AND($B1584&lt;&gt;"",$C1584&lt;&gt;"",$D1584&lt;&gt;"",$E1584&lt;&gt;"")),$A1584="",$K1584&lt;&gt;"Yes"),"",IF($L1584&lt;&gt;"",$L1584,INDEX(SETUP!$I$1:$I$2000,MATCH(TRUE,SETUP!$J$1:$J$2000,0)+COUNTIFS($A$2:$A1584,"&lt;&gt;",$K$2:$K1584,"Yes",$L$2:$L1584,"")-1)))</f>
        <v/>
      </c>
      <c r="N1584" s="22"/>
    </row>
    <row r="1585" spans="1:14" x14ac:dyDescent="0.3">
      <c r="A1585" s="15" t="str">
        <f>IF(COUNTA($B1585:$E1585,$K1585)=0,"",IF(AND($B1585&lt;&gt;"",$C1585&lt;&gt;"",$D1585&lt;&gt;"",$E1585&lt;&gt;""),"TXS"&amp;TEXT(COUNTIFS($B$2:$B1585,"&lt;&gt;",$C$2:$C1585,"&lt;&gt;",$D$2:$D1585,"&lt;&gt;",$E$2:$E1585,"&lt;&gt;"),"00000"),""))</f>
        <v/>
      </c>
      <c r="B1585" s="16"/>
      <c r="C1585" s="20"/>
      <c r="D1585" s="20"/>
      <c r="E1585" s="23"/>
      <c r="H1585" s="21" t="str">
        <f t="shared" si="81"/>
        <v/>
      </c>
      <c r="I1585" s="21" t="str">
        <f t="shared" si="80"/>
        <v/>
      </c>
      <c r="J1585" s="21" t="str">
        <f t="shared" si="79"/>
        <v/>
      </c>
      <c r="K1585" s="20"/>
      <c r="L1585" s="21" t="str">
        <f>IF(OR(NOT(AND($B1585&lt;&gt;"",$C1585&lt;&gt;"",$D1585&lt;&gt;"",$E1585&lt;&gt;"")),$A1585="",$K1585&lt;&gt;"Yes"),"",IF($L1585&lt;&gt;"",$L1585,INDEX(SETUP!$I$1:$I$2000,MATCH(TRUE,SETUP!$J$1:$J$2000,0)+COUNTIFS($A$2:$A1585,"&lt;&gt;",$K$2:$K1585,"Yes",$L$2:$L1585,"")-1)))</f>
        <v/>
      </c>
      <c r="N1585" s="22"/>
    </row>
    <row r="1586" spans="1:14" x14ac:dyDescent="0.3">
      <c r="A1586" s="15" t="str">
        <f>IF(COUNTA($B1586:$E1586,$K1586)=0,"",IF(AND($B1586&lt;&gt;"",$C1586&lt;&gt;"",$D1586&lt;&gt;"",$E1586&lt;&gt;""),"TXS"&amp;TEXT(COUNTIFS($B$2:$B1586,"&lt;&gt;",$C$2:$C1586,"&lt;&gt;",$D$2:$D1586,"&lt;&gt;",$E$2:$E1586,"&lt;&gt;"),"00000"),""))</f>
        <v/>
      </c>
      <c r="B1586" s="16"/>
      <c r="C1586" s="20"/>
      <c r="D1586" s="20"/>
      <c r="E1586" s="23"/>
      <c r="H1586" s="21" t="str">
        <f t="shared" si="81"/>
        <v/>
      </c>
      <c r="I1586" s="21" t="str">
        <f t="shared" si="80"/>
        <v/>
      </c>
      <c r="J1586" s="21" t="str">
        <f t="shared" ref="J1586:J1649" si="82">IF(NOT(AND($B1586&lt;&gt;"",$C1586&lt;&gt;"",$D1586&lt;&gt;"",$E1586&lt;&gt;"")),"",IF($A1586="","","Max Planck plate "&amp;INT((VALUE(RIGHT($A1586,5))-1)/96)+1&amp;": "&amp;CHAR(65+INT(MOD(VALUE(RIGHT($A1586,5))-1,96)/12))&amp;(MOD(VALUE(RIGHT($A1586,5))-1,12)+1)))</f>
        <v/>
      </c>
      <c r="K1586" s="20"/>
      <c r="L1586" s="21" t="str">
        <f>IF(OR(NOT(AND($B1586&lt;&gt;"",$C1586&lt;&gt;"",$D1586&lt;&gt;"",$E1586&lt;&gt;"")),$A1586="",$K1586&lt;&gt;"Yes"),"",IF($L1586&lt;&gt;"",$L1586,INDEX(SETUP!$I$1:$I$2000,MATCH(TRUE,SETUP!$J$1:$J$2000,0)+COUNTIFS($A$2:$A1586,"&lt;&gt;",$K$2:$K1586,"Yes",$L$2:$L1586,"")-1)))</f>
        <v/>
      </c>
      <c r="N1586" s="22"/>
    </row>
    <row r="1587" spans="1:14" x14ac:dyDescent="0.3">
      <c r="A1587" s="15" t="str">
        <f>IF(COUNTA($B1587:$E1587,$K1587)=0,"",IF(AND($B1587&lt;&gt;"",$C1587&lt;&gt;"",$D1587&lt;&gt;"",$E1587&lt;&gt;""),"TXS"&amp;TEXT(COUNTIFS($B$2:$B1587,"&lt;&gt;",$C$2:$C1587,"&lt;&gt;",$D$2:$D1587,"&lt;&gt;",$E$2:$E1587,"&lt;&gt;"),"00000"),""))</f>
        <v/>
      </c>
      <c r="B1587" s="16"/>
      <c r="C1587" s="20"/>
      <c r="D1587" s="20"/>
      <c r="E1587" s="23"/>
      <c r="H1587" s="21" t="str">
        <f t="shared" si="81"/>
        <v/>
      </c>
      <c r="I1587" s="21" t="str">
        <f t="shared" si="80"/>
        <v/>
      </c>
      <c r="J1587" s="21" t="str">
        <f t="shared" si="82"/>
        <v/>
      </c>
      <c r="K1587" s="20"/>
      <c r="L1587" s="21" t="str">
        <f>IF(OR(NOT(AND($B1587&lt;&gt;"",$C1587&lt;&gt;"",$D1587&lt;&gt;"",$E1587&lt;&gt;"")),$A1587="",$K1587&lt;&gt;"Yes"),"",IF($L1587&lt;&gt;"",$L1587,INDEX(SETUP!$I$1:$I$2000,MATCH(TRUE,SETUP!$J$1:$J$2000,0)+COUNTIFS($A$2:$A1587,"&lt;&gt;",$K$2:$K1587,"Yes",$L$2:$L1587,"")-1)))</f>
        <v/>
      </c>
      <c r="N1587" s="22"/>
    </row>
    <row r="1588" spans="1:14" x14ac:dyDescent="0.3">
      <c r="A1588" s="15" t="str">
        <f>IF(COUNTA($B1588:$E1588,$K1588)=0,"",IF(AND($B1588&lt;&gt;"",$C1588&lt;&gt;"",$D1588&lt;&gt;"",$E1588&lt;&gt;""),"TXS"&amp;TEXT(COUNTIFS($B$2:$B1588,"&lt;&gt;",$C$2:$C1588,"&lt;&gt;",$D$2:$D1588,"&lt;&gt;",$E$2:$E1588,"&lt;&gt;"),"00000"),""))</f>
        <v/>
      </c>
      <c r="B1588" s="16"/>
      <c r="C1588" s="20"/>
      <c r="D1588" s="20"/>
      <c r="E1588" s="23"/>
      <c r="H1588" s="21" t="str">
        <f t="shared" si="81"/>
        <v/>
      </c>
      <c r="I1588" s="21" t="str">
        <f t="shared" si="80"/>
        <v/>
      </c>
      <c r="J1588" s="21" t="str">
        <f t="shared" si="82"/>
        <v/>
      </c>
      <c r="K1588" s="20"/>
      <c r="L1588" s="21" t="str">
        <f>IF(OR(NOT(AND($B1588&lt;&gt;"",$C1588&lt;&gt;"",$D1588&lt;&gt;"",$E1588&lt;&gt;"")),$A1588="",$K1588&lt;&gt;"Yes"),"",IF($L1588&lt;&gt;"",$L1588,INDEX(SETUP!$I$1:$I$2000,MATCH(TRUE,SETUP!$J$1:$J$2000,0)+COUNTIFS($A$2:$A1588,"&lt;&gt;",$K$2:$K1588,"Yes",$L$2:$L1588,"")-1)))</f>
        <v/>
      </c>
      <c r="N1588" s="22"/>
    </row>
    <row r="1589" spans="1:14" x14ac:dyDescent="0.3">
      <c r="A1589" s="15" t="str">
        <f>IF(COUNTA($B1589:$E1589,$K1589)=0,"",IF(AND($B1589&lt;&gt;"",$C1589&lt;&gt;"",$D1589&lt;&gt;"",$E1589&lt;&gt;""),"TXS"&amp;TEXT(COUNTIFS($B$2:$B1589,"&lt;&gt;",$C$2:$C1589,"&lt;&gt;",$D$2:$D1589,"&lt;&gt;",$E$2:$E1589,"&lt;&gt;"),"00000"),""))</f>
        <v/>
      </c>
      <c r="B1589" s="16"/>
      <c r="C1589" s="20"/>
      <c r="D1589" s="20"/>
      <c r="E1589" s="23"/>
      <c r="H1589" s="21" t="str">
        <f t="shared" si="81"/>
        <v/>
      </c>
      <c r="I1589" s="21" t="str">
        <f t="shared" si="80"/>
        <v/>
      </c>
      <c r="J1589" s="21" t="str">
        <f t="shared" si="82"/>
        <v/>
      </c>
      <c r="K1589" s="20"/>
      <c r="L1589" s="21" t="str">
        <f>IF(OR(NOT(AND($B1589&lt;&gt;"",$C1589&lt;&gt;"",$D1589&lt;&gt;"",$E1589&lt;&gt;"")),$A1589="",$K1589&lt;&gt;"Yes"),"",IF($L1589&lt;&gt;"",$L1589,INDEX(SETUP!$I$1:$I$2000,MATCH(TRUE,SETUP!$J$1:$J$2000,0)+COUNTIFS($A$2:$A1589,"&lt;&gt;",$K$2:$K1589,"Yes",$L$2:$L1589,"")-1)))</f>
        <v/>
      </c>
      <c r="N1589" s="22"/>
    </row>
    <row r="1590" spans="1:14" x14ac:dyDescent="0.3">
      <c r="A1590" s="15" t="str">
        <f>IF(COUNTA($B1590:$E1590,$K1590)=0,"",IF(AND($B1590&lt;&gt;"",$C1590&lt;&gt;"",$D1590&lt;&gt;"",$E1590&lt;&gt;""),"TXS"&amp;TEXT(COUNTIFS($B$2:$B1590,"&lt;&gt;",$C$2:$C1590,"&lt;&gt;",$D$2:$D1590,"&lt;&gt;",$E$2:$E1590,"&lt;&gt;"),"00000"),""))</f>
        <v/>
      </c>
      <c r="B1590" s="16"/>
      <c r="C1590" s="20"/>
      <c r="D1590" s="20"/>
      <c r="E1590" s="23"/>
      <c r="H1590" s="21" t="str">
        <f t="shared" si="81"/>
        <v/>
      </c>
      <c r="I1590" s="21" t="str">
        <f t="shared" si="80"/>
        <v/>
      </c>
      <c r="J1590" s="21" t="str">
        <f t="shared" si="82"/>
        <v/>
      </c>
      <c r="K1590" s="20"/>
      <c r="L1590" s="21" t="str">
        <f>IF(OR(NOT(AND($B1590&lt;&gt;"",$C1590&lt;&gt;"",$D1590&lt;&gt;"",$E1590&lt;&gt;"")),$A1590="",$K1590&lt;&gt;"Yes"),"",IF($L1590&lt;&gt;"",$L1590,INDEX(SETUP!$I$1:$I$2000,MATCH(TRUE,SETUP!$J$1:$J$2000,0)+COUNTIFS($A$2:$A1590,"&lt;&gt;",$K$2:$K1590,"Yes",$L$2:$L1590,"")-1)))</f>
        <v/>
      </c>
      <c r="N1590" s="22"/>
    </row>
    <row r="1591" spans="1:14" x14ac:dyDescent="0.3">
      <c r="A1591" s="15" t="str">
        <f>IF(COUNTA($B1591:$E1591,$K1591)=0,"",IF(AND($B1591&lt;&gt;"",$C1591&lt;&gt;"",$D1591&lt;&gt;"",$E1591&lt;&gt;""),"TXS"&amp;TEXT(COUNTIFS($B$2:$B1591,"&lt;&gt;",$C$2:$C1591,"&lt;&gt;",$D$2:$D1591,"&lt;&gt;",$E$2:$E1591,"&lt;&gt;"),"00000"),""))</f>
        <v/>
      </c>
      <c r="B1591" s="16"/>
      <c r="C1591" s="20"/>
      <c r="D1591" s="20"/>
      <c r="E1591" s="23"/>
      <c r="H1591" s="21" t="str">
        <f t="shared" si="81"/>
        <v/>
      </c>
      <c r="I1591" s="21" t="str">
        <f t="shared" si="80"/>
        <v/>
      </c>
      <c r="J1591" s="21" t="str">
        <f t="shared" si="82"/>
        <v/>
      </c>
      <c r="K1591" s="20"/>
      <c r="L1591" s="21" t="str">
        <f>IF(OR(NOT(AND($B1591&lt;&gt;"",$C1591&lt;&gt;"",$D1591&lt;&gt;"",$E1591&lt;&gt;"")),$A1591="",$K1591&lt;&gt;"Yes"),"",IF($L1591&lt;&gt;"",$L1591,INDEX(SETUP!$I$1:$I$2000,MATCH(TRUE,SETUP!$J$1:$J$2000,0)+COUNTIFS($A$2:$A1591,"&lt;&gt;",$K$2:$K1591,"Yes",$L$2:$L1591,"")-1)))</f>
        <v/>
      </c>
      <c r="N1591" s="22"/>
    </row>
    <row r="1592" spans="1:14" x14ac:dyDescent="0.3">
      <c r="A1592" s="15" t="str">
        <f>IF(COUNTA($B1592:$E1592,$K1592)=0,"",IF(AND($B1592&lt;&gt;"",$C1592&lt;&gt;"",$D1592&lt;&gt;"",$E1592&lt;&gt;""),"TXS"&amp;TEXT(COUNTIFS($B$2:$B1592,"&lt;&gt;",$C$2:$C1592,"&lt;&gt;",$D$2:$D1592,"&lt;&gt;",$E$2:$E1592,"&lt;&gt;"),"00000"),""))</f>
        <v/>
      </c>
      <c r="B1592" s="16"/>
      <c r="C1592" s="20"/>
      <c r="D1592" s="20"/>
      <c r="E1592" s="23"/>
      <c r="H1592" s="21" t="str">
        <f t="shared" si="81"/>
        <v/>
      </c>
      <c r="I1592" s="21" t="str">
        <f t="shared" si="80"/>
        <v/>
      </c>
      <c r="J1592" s="21" t="str">
        <f t="shared" si="82"/>
        <v/>
      </c>
      <c r="K1592" s="20"/>
      <c r="L1592" s="21" t="str">
        <f>IF(OR(NOT(AND($B1592&lt;&gt;"",$C1592&lt;&gt;"",$D1592&lt;&gt;"",$E1592&lt;&gt;"")),$A1592="",$K1592&lt;&gt;"Yes"),"",IF($L1592&lt;&gt;"",$L1592,INDEX(SETUP!$I$1:$I$2000,MATCH(TRUE,SETUP!$J$1:$J$2000,0)+COUNTIFS($A$2:$A1592,"&lt;&gt;",$K$2:$K1592,"Yes",$L$2:$L1592,"")-1)))</f>
        <v/>
      </c>
      <c r="N1592" s="22"/>
    </row>
    <row r="1593" spans="1:14" x14ac:dyDescent="0.3">
      <c r="A1593" s="15" t="str">
        <f>IF(COUNTA($B1593:$E1593,$K1593)=0,"",IF(AND($B1593&lt;&gt;"",$C1593&lt;&gt;"",$D1593&lt;&gt;"",$E1593&lt;&gt;""),"TXS"&amp;TEXT(COUNTIFS($B$2:$B1593,"&lt;&gt;",$C$2:$C1593,"&lt;&gt;",$D$2:$D1593,"&lt;&gt;",$E$2:$E1593,"&lt;&gt;"),"00000"),""))</f>
        <v/>
      </c>
      <c r="B1593" s="16"/>
      <c r="C1593" s="20"/>
      <c r="D1593" s="20"/>
      <c r="E1593" s="23"/>
      <c r="H1593" s="21" t="str">
        <f t="shared" si="81"/>
        <v/>
      </c>
      <c r="I1593" s="21" t="str">
        <f t="shared" si="80"/>
        <v/>
      </c>
      <c r="J1593" s="21" t="str">
        <f t="shared" si="82"/>
        <v/>
      </c>
      <c r="K1593" s="20"/>
      <c r="L1593" s="21" t="str">
        <f>IF(OR(NOT(AND($B1593&lt;&gt;"",$C1593&lt;&gt;"",$D1593&lt;&gt;"",$E1593&lt;&gt;"")),$A1593="",$K1593&lt;&gt;"Yes"),"",IF($L1593&lt;&gt;"",$L1593,INDEX(SETUP!$I$1:$I$2000,MATCH(TRUE,SETUP!$J$1:$J$2000,0)+COUNTIFS($A$2:$A1593,"&lt;&gt;",$K$2:$K1593,"Yes",$L$2:$L1593,"")-1)))</f>
        <v/>
      </c>
      <c r="N1593" s="22"/>
    </row>
    <row r="1594" spans="1:14" x14ac:dyDescent="0.3">
      <c r="A1594" s="15" t="str">
        <f>IF(COUNTA($B1594:$E1594,$K1594)=0,"",IF(AND($B1594&lt;&gt;"",$C1594&lt;&gt;"",$D1594&lt;&gt;"",$E1594&lt;&gt;""),"TXS"&amp;TEXT(COUNTIFS($B$2:$B1594,"&lt;&gt;",$C$2:$C1594,"&lt;&gt;",$D$2:$D1594,"&lt;&gt;",$E$2:$E1594,"&lt;&gt;"),"00000"),""))</f>
        <v/>
      </c>
      <c r="B1594" s="16"/>
      <c r="C1594" s="20"/>
      <c r="D1594" s="20"/>
      <c r="E1594" s="23"/>
      <c r="H1594" s="21" t="str">
        <f t="shared" si="81"/>
        <v/>
      </c>
      <c r="I1594" s="21" t="str">
        <f t="shared" si="80"/>
        <v/>
      </c>
      <c r="J1594" s="21" t="str">
        <f t="shared" si="82"/>
        <v/>
      </c>
      <c r="K1594" s="20"/>
      <c r="L1594" s="21" t="str">
        <f>IF(OR(NOT(AND($B1594&lt;&gt;"",$C1594&lt;&gt;"",$D1594&lt;&gt;"",$E1594&lt;&gt;"")),$A1594="",$K1594&lt;&gt;"Yes"),"",IF($L1594&lt;&gt;"",$L1594,INDEX(SETUP!$I$1:$I$2000,MATCH(TRUE,SETUP!$J$1:$J$2000,0)+COUNTIFS($A$2:$A1594,"&lt;&gt;",$K$2:$K1594,"Yes",$L$2:$L1594,"")-1)))</f>
        <v/>
      </c>
      <c r="N1594" s="22"/>
    </row>
    <row r="1595" spans="1:14" x14ac:dyDescent="0.3">
      <c r="A1595" s="15" t="str">
        <f>IF(COUNTA($B1595:$E1595,$K1595)=0,"",IF(AND($B1595&lt;&gt;"",$C1595&lt;&gt;"",$D1595&lt;&gt;"",$E1595&lt;&gt;""),"TXS"&amp;TEXT(COUNTIFS($B$2:$B1595,"&lt;&gt;",$C$2:$C1595,"&lt;&gt;",$D$2:$D1595,"&lt;&gt;",$E$2:$E1595,"&lt;&gt;"),"00000"),""))</f>
        <v/>
      </c>
      <c r="B1595" s="16"/>
      <c r="C1595" s="20"/>
      <c r="D1595" s="20"/>
      <c r="E1595" s="23"/>
      <c r="H1595" s="21" t="str">
        <f t="shared" si="81"/>
        <v/>
      </c>
      <c r="I1595" s="21" t="str">
        <f t="shared" si="80"/>
        <v/>
      </c>
      <c r="J1595" s="21" t="str">
        <f t="shared" si="82"/>
        <v/>
      </c>
      <c r="K1595" s="20"/>
      <c r="L1595" s="21" t="str">
        <f>IF(OR(NOT(AND($B1595&lt;&gt;"",$C1595&lt;&gt;"",$D1595&lt;&gt;"",$E1595&lt;&gt;"")),$A1595="",$K1595&lt;&gt;"Yes"),"",IF($L1595&lt;&gt;"",$L1595,INDEX(SETUP!$I$1:$I$2000,MATCH(TRUE,SETUP!$J$1:$J$2000,0)+COUNTIFS($A$2:$A1595,"&lt;&gt;",$K$2:$K1595,"Yes",$L$2:$L1595,"")-1)))</f>
        <v/>
      </c>
      <c r="N1595" s="22"/>
    </row>
    <row r="1596" spans="1:14" x14ac:dyDescent="0.3">
      <c r="A1596" s="15" t="str">
        <f>IF(COUNTA($B1596:$E1596,$K1596)=0,"",IF(AND($B1596&lt;&gt;"",$C1596&lt;&gt;"",$D1596&lt;&gt;"",$E1596&lt;&gt;""),"TXS"&amp;TEXT(COUNTIFS($B$2:$B1596,"&lt;&gt;",$C$2:$C1596,"&lt;&gt;",$D$2:$D1596,"&lt;&gt;",$E$2:$E1596,"&lt;&gt;"),"00000"),""))</f>
        <v/>
      </c>
      <c r="B1596" s="16"/>
      <c r="C1596" s="20"/>
      <c r="D1596" s="20"/>
      <c r="E1596" s="23"/>
      <c r="H1596" s="21" t="str">
        <f t="shared" si="81"/>
        <v/>
      </c>
      <c r="I1596" s="21" t="str">
        <f t="shared" si="80"/>
        <v/>
      </c>
      <c r="J1596" s="21" t="str">
        <f t="shared" si="82"/>
        <v/>
      </c>
      <c r="K1596" s="20"/>
      <c r="L1596" s="21" t="str">
        <f>IF(OR(NOT(AND($B1596&lt;&gt;"",$C1596&lt;&gt;"",$D1596&lt;&gt;"",$E1596&lt;&gt;"")),$A1596="",$K1596&lt;&gt;"Yes"),"",IF($L1596&lt;&gt;"",$L1596,INDEX(SETUP!$I$1:$I$2000,MATCH(TRUE,SETUP!$J$1:$J$2000,0)+COUNTIFS($A$2:$A1596,"&lt;&gt;",$K$2:$K1596,"Yes",$L$2:$L1596,"")-1)))</f>
        <v/>
      </c>
      <c r="N1596" s="22"/>
    </row>
    <row r="1597" spans="1:14" x14ac:dyDescent="0.3">
      <c r="A1597" s="15" t="str">
        <f>IF(COUNTA($B1597:$E1597,$K1597)=0,"",IF(AND($B1597&lt;&gt;"",$C1597&lt;&gt;"",$D1597&lt;&gt;"",$E1597&lt;&gt;""),"TXS"&amp;TEXT(COUNTIFS($B$2:$B1597,"&lt;&gt;",$C$2:$C1597,"&lt;&gt;",$D$2:$D1597,"&lt;&gt;",$E$2:$E1597,"&lt;&gt;"),"00000"),""))</f>
        <v/>
      </c>
      <c r="B1597" s="16"/>
      <c r="C1597" s="20"/>
      <c r="D1597" s="20"/>
      <c r="E1597" s="23"/>
      <c r="H1597" s="21" t="str">
        <f t="shared" si="81"/>
        <v/>
      </c>
      <c r="I1597" s="21" t="str">
        <f t="shared" si="80"/>
        <v/>
      </c>
      <c r="J1597" s="21" t="str">
        <f t="shared" si="82"/>
        <v/>
      </c>
      <c r="K1597" s="20"/>
      <c r="L1597" s="21" t="str">
        <f>IF(OR(NOT(AND($B1597&lt;&gt;"",$C1597&lt;&gt;"",$D1597&lt;&gt;"",$E1597&lt;&gt;"")),$A1597="",$K1597&lt;&gt;"Yes"),"",IF($L1597&lt;&gt;"",$L1597,INDEX(SETUP!$I$1:$I$2000,MATCH(TRUE,SETUP!$J$1:$J$2000,0)+COUNTIFS($A$2:$A1597,"&lt;&gt;",$K$2:$K1597,"Yes",$L$2:$L1597,"")-1)))</f>
        <v/>
      </c>
      <c r="N1597" s="22"/>
    </row>
    <row r="1598" spans="1:14" x14ac:dyDescent="0.3">
      <c r="A1598" s="15" t="str">
        <f>IF(COUNTA($B1598:$E1598,$K1598)=0,"",IF(AND($B1598&lt;&gt;"",$C1598&lt;&gt;"",$D1598&lt;&gt;"",$E1598&lt;&gt;""),"TXS"&amp;TEXT(COUNTIFS($B$2:$B1598,"&lt;&gt;",$C$2:$C1598,"&lt;&gt;",$D$2:$D1598,"&lt;&gt;",$E$2:$E1598,"&lt;&gt;"),"00000"),""))</f>
        <v/>
      </c>
      <c r="B1598" s="16"/>
      <c r="C1598" s="20"/>
      <c r="D1598" s="20"/>
      <c r="E1598" s="23"/>
      <c r="H1598" s="21" t="str">
        <f t="shared" si="81"/>
        <v/>
      </c>
      <c r="I1598" s="21" t="str">
        <f t="shared" si="80"/>
        <v/>
      </c>
      <c r="J1598" s="21" t="str">
        <f t="shared" si="82"/>
        <v/>
      </c>
      <c r="K1598" s="20"/>
      <c r="L1598" s="21" t="str">
        <f>IF(OR(NOT(AND($B1598&lt;&gt;"",$C1598&lt;&gt;"",$D1598&lt;&gt;"",$E1598&lt;&gt;"")),$A1598="",$K1598&lt;&gt;"Yes"),"",IF($L1598&lt;&gt;"",$L1598,INDEX(SETUP!$I$1:$I$2000,MATCH(TRUE,SETUP!$J$1:$J$2000,0)+COUNTIFS($A$2:$A1598,"&lt;&gt;",$K$2:$K1598,"Yes",$L$2:$L1598,"")-1)))</f>
        <v/>
      </c>
      <c r="N1598" s="22"/>
    </row>
    <row r="1599" spans="1:14" x14ac:dyDescent="0.3">
      <c r="A1599" s="15" t="str">
        <f>IF(COUNTA($B1599:$E1599,$K1599)=0,"",IF(AND($B1599&lt;&gt;"",$C1599&lt;&gt;"",$D1599&lt;&gt;"",$E1599&lt;&gt;""),"TXS"&amp;TEXT(COUNTIFS($B$2:$B1599,"&lt;&gt;",$C$2:$C1599,"&lt;&gt;",$D$2:$D1599,"&lt;&gt;",$E$2:$E1599,"&lt;&gt;"),"00000"),""))</f>
        <v/>
      </c>
      <c r="B1599" s="16"/>
      <c r="C1599" s="20"/>
      <c r="D1599" s="20"/>
      <c r="E1599" s="23"/>
      <c r="H1599" s="21" t="str">
        <f t="shared" si="81"/>
        <v/>
      </c>
      <c r="I1599" s="21" t="str">
        <f t="shared" si="80"/>
        <v/>
      </c>
      <c r="J1599" s="21" t="str">
        <f t="shared" si="82"/>
        <v/>
      </c>
      <c r="K1599" s="20"/>
      <c r="L1599" s="21" t="str">
        <f>IF(OR(NOT(AND($B1599&lt;&gt;"",$C1599&lt;&gt;"",$D1599&lt;&gt;"",$E1599&lt;&gt;"")),$A1599="",$K1599&lt;&gt;"Yes"),"",IF($L1599&lt;&gt;"",$L1599,INDEX(SETUP!$I$1:$I$2000,MATCH(TRUE,SETUP!$J$1:$J$2000,0)+COUNTIFS($A$2:$A1599,"&lt;&gt;",$K$2:$K1599,"Yes",$L$2:$L1599,"")-1)))</f>
        <v/>
      </c>
      <c r="N1599" s="22"/>
    </row>
    <row r="1600" spans="1:14" x14ac:dyDescent="0.3">
      <c r="A1600" s="15" t="str">
        <f>IF(COUNTA($B1600:$E1600,$K1600)=0,"",IF(AND($B1600&lt;&gt;"",$C1600&lt;&gt;"",$D1600&lt;&gt;"",$E1600&lt;&gt;""),"TXS"&amp;TEXT(COUNTIFS($B$2:$B1600,"&lt;&gt;",$C$2:$C1600,"&lt;&gt;",$D$2:$D1600,"&lt;&gt;",$E$2:$E1600,"&lt;&gt;"),"00000"),""))</f>
        <v/>
      </c>
      <c r="B1600" s="16"/>
      <c r="C1600" s="20"/>
      <c r="D1600" s="20"/>
      <c r="E1600" s="23"/>
      <c r="H1600" s="21" t="str">
        <f t="shared" si="81"/>
        <v/>
      </c>
      <c r="I1600" s="21" t="str">
        <f t="shared" si="80"/>
        <v/>
      </c>
      <c r="J1600" s="21" t="str">
        <f t="shared" si="82"/>
        <v/>
      </c>
      <c r="K1600" s="20"/>
      <c r="L1600" s="21" t="str">
        <f>IF(OR(NOT(AND($B1600&lt;&gt;"",$C1600&lt;&gt;"",$D1600&lt;&gt;"",$E1600&lt;&gt;"")),$A1600="",$K1600&lt;&gt;"Yes"),"",IF($L1600&lt;&gt;"",$L1600,INDEX(SETUP!$I$1:$I$2000,MATCH(TRUE,SETUP!$J$1:$J$2000,0)+COUNTIFS($A$2:$A1600,"&lt;&gt;",$K$2:$K1600,"Yes",$L$2:$L1600,"")-1)))</f>
        <v/>
      </c>
      <c r="N1600" s="22"/>
    </row>
    <row r="1601" spans="1:14" x14ac:dyDescent="0.3">
      <c r="A1601" s="15" t="str">
        <f>IF(COUNTA($B1601:$E1601,$K1601)=0,"",IF(AND($B1601&lt;&gt;"",$C1601&lt;&gt;"",$D1601&lt;&gt;"",$E1601&lt;&gt;""),"TXS"&amp;TEXT(COUNTIFS($B$2:$B1601,"&lt;&gt;",$C$2:$C1601,"&lt;&gt;",$D$2:$D1601,"&lt;&gt;",$E$2:$E1601,"&lt;&gt;"),"00000"),""))</f>
        <v/>
      </c>
      <c r="B1601" s="16"/>
      <c r="C1601" s="20"/>
      <c r="D1601" s="20"/>
      <c r="E1601" s="23"/>
      <c r="H1601" s="21" t="str">
        <f t="shared" si="81"/>
        <v/>
      </c>
      <c r="I1601" s="21" t="str">
        <f t="shared" si="80"/>
        <v/>
      </c>
      <c r="J1601" s="21" t="str">
        <f t="shared" si="82"/>
        <v/>
      </c>
      <c r="K1601" s="20"/>
      <c r="L1601" s="21" t="str">
        <f>IF(OR(NOT(AND($B1601&lt;&gt;"",$C1601&lt;&gt;"",$D1601&lt;&gt;"",$E1601&lt;&gt;"")),$A1601="",$K1601&lt;&gt;"Yes"),"",IF($L1601&lt;&gt;"",$L1601,INDEX(SETUP!$I$1:$I$2000,MATCH(TRUE,SETUP!$J$1:$J$2000,0)+COUNTIFS($A$2:$A1601,"&lt;&gt;",$K$2:$K1601,"Yes",$L$2:$L1601,"")-1)))</f>
        <v/>
      </c>
      <c r="N1601" s="22"/>
    </row>
    <row r="1602" spans="1:14" x14ac:dyDescent="0.3">
      <c r="A1602" s="15" t="str">
        <f>IF(COUNTA($B1602:$E1602,$K1602)=0,"",IF(AND($B1602&lt;&gt;"",$C1602&lt;&gt;"",$D1602&lt;&gt;"",$E1602&lt;&gt;""),"TXS"&amp;TEXT(COUNTIFS($B$2:$B1602,"&lt;&gt;",$C$2:$C1602,"&lt;&gt;",$D$2:$D1602,"&lt;&gt;",$E$2:$E1602,"&lt;&gt;"),"00000"),""))</f>
        <v/>
      </c>
      <c r="B1602" s="16"/>
      <c r="C1602" s="20"/>
      <c r="D1602" s="20"/>
      <c r="E1602" s="23"/>
      <c r="H1602" s="21" t="str">
        <f t="shared" si="81"/>
        <v/>
      </c>
      <c r="I1602" s="21" t="str">
        <f t="shared" si="80"/>
        <v/>
      </c>
      <c r="J1602" s="21" t="str">
        <f t="shared" si="82"/>
        <v/>
      </c>
      <c r="K1602" s="20"/>
      <c r="L1602" s="21" t="str">
        <f>IF(OR(NOT(AND($B1602&lt;&gt;"",$C1602&lt;&gt;"",$D1602&lt;&gt;"",$E1602&lt;&gt;"")),$A1602="",$K1602&lt;&gt;"Yes"),"",IF($L1602&lt;&gt;"",$L1602,INDEX(SETUP!$I$1:$I$2000,MATCH(TRUE,SETUP!$J$1:$J$2000,0)+COUNTIFS($A$2:$A1602,"&lt;&gt;",$K$2:$K1602,"Yes",$L$2:$L1602,"")-1)))</f>
        <v/>
      </c>
      <c r="N1602" s="22"/>
    </row>
    <row r="1603" spans="1:14" x14ac:dyDescent="0.3">
      <c r="A1603" s="15" t="str">
        <f>IF(COUNTA($B1603:$E1603,$K1603)=0,"",IF(AND($B1603&lt;&gt;"",$C1603&lt;&gt;"",$D1603&lt;&gt;"",$E1603&lt;&gt;""),"TXS"&amp;TEXT(COUNTIFS($B$2:$B1603,"&lt;&gt;",$C$2:$C1603,"&lt;&gt;",$D$2:$D1603,"&lt;&gt;",$E$2:$E1603,"&lt;&gt;"),"00000"),""))</f>
        <v/>
      </c>
      <c r="B1603" s="16"/>
      <c r="C1603" s="20"/>
      <c r="D1603" s="20"/>
      <c r="E1603" s="23"/>
      <c r="H1603" s="21" t="str">
        <f t="shared" si="81"/>
        <v/>
      </c>
      <c r="I1603" s="21" t="str">
        <f t="shared" si="80"/>
        <v/>
      </c>
      <c r="J1603" s="21" t="str">
        <f t="shared" si="82"/>
        <v/>
      </c>
      <c r="K1603" s="20"/>
      <c r="L1603" s="21" t="str">
        <f>IF(OR(NOT(AND($B1603&lt;&gt;"",$C1603&lt;&gt;"",$D1603&lt;&gt;"",$E1603&lt;&gt;"")),$A1603="",$K1603&lt;&gt;"Yes"),"",IF($L1603&lt;&gt;"",$L1603,INDEX(SETUP!$I$1:$I$2000,MATCH(TRUE,SETUP!$J$1:$J$2000,0)+COUNTIFS($A$2:$A1603,"&lt;&gt;",$K$2:$K1603,"Yes",$L$2:$L1603,"")-1)))</f>
        <v/>
      </c>
      <c r="N1603" s="22"/>
    </row>
    <row r="1604" spans="1:14" x14ac:dyDescent="0.3">
      <c r="A1604" s="15" t="str">
        <f>IF(COUNTA($B1604:$E1604,$K1604)=0,"",IF(AND($B1604&lt;&gt;"",$C1604&lt;&gt;"",$D1604&lt;&gt;"",$E1604&lt;&gt;""),"TXS"&amp;TEXT(COUNTIFS($B$2:$B1604,"&lt;&gt;",$C$2:$C1604,"&lt;&gt;",$D$2:$D1604,"&lt;&gt;",$E$2:$E1604,"&lt;&gt;"),"00000"),""))</f>
        <v/>
      </c>
      <c r="B1604" s="16"/>
      <c r="C1604" s="20"/>
      <c r="D1604" s="20"/>
      <c r="E1604" s="23"/>
      <c r="H1604" s="21" t="str">
        <f t="shared" si="81"/>
        <v/>
      </c>
      <c r="I1604" s="21" t="str">
        <f t="shared" si="80"/>
        <v/>
      </c>
      <c r="J1604" s="21" t="str">
        <f t="shared" si="82"/>
        <v/>
      </c>
      <c r="K1604" s="20"/>
      <c r="L1604" s="21" t="str">
        <f>IF(OR(NOT(AND($B1604&lt;&gt;"",$C1604&lt;&gt;"",$D1604&lt;&gt;"",$E1604&lt;&gt;"")),$A1604="",$K1604&lt;&gt;"Yes"),"",IF($L1604&lt;&gt;"",$L1604,INDEX(SETUP!$I$1:$I$2000,MATCH(TRUE,SETUP!$J$1:$J$2000,0)+COUNTIFS($A$2:$A1604,"&lt;&gt;",$K$2:$K1604,"Yes",$L$2:$L1604,"")-1)))</f>
        <v/>
      </c>
      <c r="N1604" s="22"/>
    </row>
    <row r="1605" spans="1:14" x14ac:dyDescent="0.3">
      <c r="A1605" s="15" t="str">
        <f>IF(COUNTA($B1605:$E1605,$K1605)=0,"",IF(AND($B1605&lt;&gt;"",$C1605&lt;&gt;"",$D1605&lt;&gt;"",$E1605&lt;&gt;""),"TXS"&amp;TEXT(COUNTIFS($B$2:$B1605,"&lt;&gt;",$C$2:$C1605,"&lt;&gt;",$D$2:$D1605,"&lt;&gt;",$E$2:$E1605,"&lt;&gt;"),"00000"),""))</f>
        <v/>
      </c>
      <c r="B1605" s="16"/>
      <c r="C1605" s="20"/>
      <c r="D1605" s="20"/>
      <c r="E1605" s="23"/>
      <c r="H1605" s="21" t="str">
        <f t="shared" si="81"/>
        <v/>
      </c>
      <c r="I1605" s="21" t="str">
        <f t="shared" si="80"/>
        <v/>
      </c>
      <c r="J1605" s="21" t="str">
        <f t="shared" si="82"/>
        <v/>
      </c>
      <c r="K1605" s="20"/>
      <c r="L1605" s="21" t="str">
        <f>IF(OR(NOT(AND($B1605&lt;&gt;"",$C1605&lt;&gt;"",$D1605&lt;&gt;"",$E1605&lt;&gt;"")),$A1605="",$K1605&lt;&gt;"Yes"),"",IF($L1605&lt;&gt;"",$L1605,INDEX(SETUP!$I$1:$I$2000,MATCH(TRUE,SETUP!$J$1:$J$2000,0)+COUNTIFS($A$2:$A1605,"&lt;&gt;",$K$2:$K1605,"Yes",$L$2:$L1605,"")-1)))</f>
        <v/>
      </c>
      <c r="N1605" s="22"/>
    </row>
    <row r="1606" spans="1:14" x14ac:dyDescent="0.3">
      <c r="A1606" s="15" t="str">
        <f>IF(COUNTA($B1606:$E1606,$K1606)=0,"",IF(AND($B1606&lt;&gt;"",$C1606&lt;&gt;"",$D1606&lt;&gt;"",$E1606&lt;&gt;""),"TXS"&amp;TEXT(COUNTIFS($B$2:$B1606,"&lt;&gt;",$C$2:$C1606,"&lt;&gt;",$D$2:$D1606,"&lt;&gt;",$E$2:$E1606,"&lt;&gt;"),"00000"),""))</f>
        <v/>
      </c>
      <c r="B1606" s="16"/>
      <c r="C1606" s="20"/>
      <c r="D1606" s="20"/>
      <c r="E1606" s="23"/>
      <c r="H1606" s="21" t="str">
        <f t="shared" si="81"/>
        <v/>
      </c>
      <c r="I1606" s="21" t="str">
        <f t="shared" si="80"/>
        <v/>
      </c>
      <c r="J1606" s="21" t="str">
        <f t="shared" si="82"/>
        <v/>
      </c>
      <c r="K1606" s="20"/>
      <c r="L1606" s="21" t="str">
        <f>IF(OR(NOT(AND($B1606&lt;&gt;"",$C1606&lt;&gt;"",$D1606&lt;&gt;"",$E1606&lt;&gt;"")),$A1606="",$K1606&lt;&gt;"Yes"),"",IF($L1606&lt;&gt;"",$L1606,INDEX(SETUP!$I$1:$I$2000,MATCH(TRUE,SETUP!$J$1:$J$2000,0)+COUNTIFS($A$2:$A1606,"&lt;&gt;",$K$2:$K1606,"Yes",$L$2:$L1606,"")-1)))</f>
        <v/>
      </c>
      <c r="N1606" s="22"/>
    </row>
    <row r="1607" spans="1:14" x14ac:dyDescent="0.3">
      <c r="A1607" s="15" t="str">
        <f>IF(COUNTA($B1607:$E1607,$K1607)=0,"",IF(AND($B1607&lt;&gt;"",$C1607&lt;&gt;"",$D1607&lt;&gt;"",$E1607&lt;&gt;""),"TXS"&amp;TEXT(COUNTIFS($B$2:$B1607,"&lt;&gt;",$C$2:$C1607,"&lt;&gt;",$D$2:$D1607,"&lt;&gt;",$E$2:$E1607,"&lt;&gt;"),"00000"),""))</f>
        <v/>
      </c>
      <c r="B1607" s="16"/>
      <c r="C1607" s="20"/>
      <c r="D1607" s="20"/>
      <c r="E1607" s="23"/>
      <c r="H1607" s="21" t="str">
        <f t="shared" si="81"/>
        <v/>
      </c>
      <c r="I1607" s="21" t="str">
        <f t="shared" si="80"/>
        <v/>
      </c>
      <c r="J1607" s="21" t="str">
        <f t="shared" si="82"/>
        <v/>
      </c>
      <c r="K1607" s="20"/>
      <c r="L1607" s="21" t="str">
        <f>IF(OR(NOT(AND($B1607&lt;&gt;"",$C1607&lt;&gt;"",$D1607&lt;&gt;"",$E1607&lt;&gt;"")),$A1607="",$K1607&lt;&gt;"Yes"),"",IF($L1607&lt;&gt;"",$L1607,INDEX(SETUP!$I$1:$I$2000,MATCH(TRUE,SETUP!$J$1:$J$2000,0)+COUNTIFS($A$2:$A1607,"&lt;&gt;",$K$2:$K1607,"Yes",$L$2:$L1607,"")-1)))</f>
        <v/>
      </c>
      <c r="N1607" s="22"/>
    </row>
    <row r="1608" spans="1:14" x14ac:dyDescent="0.3">
      <c r="A1608" s="15" t="str">
        <f>IF(COUNTA($B1608:$E1608,$K1608)=0,"",IF(AND($B1608&lt;&gt;"",$C1608&lt;&gt;"",$D1608&lt;&gt;"",$E1608&lt;&gt;""),"TXS"&amp;TEXT(COUNTIFS($B$2:$B1608,"&lt;&gt;",$C$2:$C1608,"&lt;&gt;",$D$2:$D1608,"&lt;&gt;",$E$2:$E1608,"&lt;&gt;"),"00000"),""))</f>
        <v/>
      </c>
      <c r="B1608" s="16"/>
      <c r="C1608" s="20"/>
      <c r="D1608" s="20"/>
      <c r="E1608" s="23"/>
      <c r="H1608" s="21" t="str">
        <f t="shared" si="81"/>
        <v/>
      </c>
      <c r="I1608" s="21" t="str">
        <f t="shared" si="80"/>
        <v/>
      </c>
      <c r="J1608" s="21" t="str">
        <f t="shared" si="82"/>
        <v/>
      </c>
      <c r="K1608" s="20"/>
      <c r="L1608" s="21" t="str">
        <f>IF(OR(NOT(AND($B1608&lt;&gt;"",$C1608&lt;&gt;"",$D1608&lt;&gt;"",$E1608&lt;&gt;"")),$A1608="",$K1608&lt;&gt;"Yes"),"",IF($L1608&lt;&gt;"",$L1608,INDEX(SETUP!$I$1:$I$2000,MATCH(TRUE,SETUP!$J$1:$J$2000,0)+COUNTIFS($A$2:$A1608,"&lt;&gt;",$K$2:$K1608,"Yes",$L$2:$L1608,"")-1)))</f>
        <v/>
      </c>
      <c r="N1608" s="22"/>
    </row>
    <row r="1609" spans="1:14" x14ac:dyDescent="0.3">
      <c r="A1609" s="15" t="str">
        <f>IF(COUNTA($B1609:$E1609,$K1609)=0,"",IF(AND($B1609&lt;&gt;"",$C1609&lt;&gt;"",$D1609&lt;&gt;"",$E1609&lt;&gt;""),"TXS"&amp;TEXT(COUNTIFS($B$2:$B1609,"&lt;&gt;",$C$2:$C1609,"&lt;&gt;",$D$2:$D1609,"&lt;&gt;",$E$2:$E1609,"&lt;&gt;"),"00000"),""))</f>
        <v/>
      </c>
      <c r="B1609" s="16"/>
      <c r="C1609" s="20"/>
      <c r="D1609" s="20"/>
      <c r="E1609" s="23"/>
      <c r="H1609" s="21" t="str">
        <f t="shared" si="81"/>
        <v/>
      </c>
      <c r="I1609" s="21" t="str">
        <f t="shared" si="80"/>
        <v/>
      </c>
      <c r="J1609" s="21" t="str">
        <f t="shared" si="82"/>
        <v/>
      </c>
      <c r="K1609" s="20"/>
      <c r="L1609" s="21" t="str">
        <f>IF(OR(NOT(AND($B1609&lt;&gt;"",$C1609&lt;&gt;"",$D1609&lt;&gt;"",$E1609&lt;&gt;"")),$A1609="",$K1609&lt;&gt;"Yes"),"",IF($L1609&lt;&gt;"",$L1609,INDEX(SETUP!$I$1:$I$2000,MATCH(TRUE,SETUP!$J$1:$J$2000,0)+COUNTIFS($A$2:$A1609,"&lt;&gt;",$K$2:$K1609,"Yes",$L$2:$L1609,"")-1)))</f>
        <v/>
      </c>
      <c r="N1609" s="22"/>
    </row>
    <row r="1610" spans="1:14" x14ac:dyDescent="0.3">
      <c r="A1610" s="15" t="str">
        <f>IF(COUNTA($B1610:$E1610,$K1610)=0,"",IF(AND($B1610&lt;&gt;"",$C1610&lt;&gt;"",$D1610&lt;&gt;"",$E1610&lt;&gt;""),"TXS"&amp;TEXT(COUNTIFS($B$2:$B1610,"&lt;&gt;",$C$2:$C1610,"&lt;&gt;",$D$2:$D1610,"&lt;&gt;",$E$2:$E1610,"&lt;&gt;"),"00000"),""))</f>
        <v/>
      </c>
      <c r="B1610" s="16"/>
      <c r="C1610" s="20"/>
      <c r="D1610" s="20"/>
      <c r="E1610" s="23"/>
      <c r="H1610" s="21" t="str">
        <f t="shared" si="81"/>
        <v/>
      </c>
      <c r="I1610" s="21" t="str">
        <f t="shared" si="80"/>
        <v/>
      </c>
      <c r="J1610" s="21" t="str">
        <f t="shared" si="82"/>
        <v/>
      </c>
      <c r="K1610" s="20"/>
      <c r="L1610" s="21" t="str">
        <f>IF(OR(NOT(AND($B1610&lt;&gt;"",$C1610&lt;&gt;"",$D1610&lt;&gt;"",$E1610&lt;&gt;"")),$A1610="",$K1610&lt;&gt;"Yes"),"",IF($L1610&lt;&gt;"",$L1610,INDEX(SETUP!$I$1:$I$2000,MATCH(TRUE,SETUP!$J$1:$J$2000,0)+COUNTIFS($A$2:$A1610,"&lt;&gt;",$K$2:$K1610,"Yes",$L$2:$L1610,"")-1)))</f>
        <v/>
      </c>
      <c r="N1610" s="22"/>
    </row>
    <row r="1611" spans="1:14" x14ac:dyDescent="0.3">
      <c r="A1611" s="15" t="str">
        <f>IF(COUNTA($B1611:$E1611,$K1611)=0,"",IF(AND($B1611&lt;&gt;"",$C1611&lt;&gt;"",$D1611&lt;&gt;"",$E1611&lt;&gt;""),"TXS"&amp;TEXT(COUNTIFS($B$2:$B1611,"&lt;&gt;",$C$2:$C1611,"&lt;&gt;",$D$2:$D1611,"&lt;&gt;",$E$2:$E1611,"&lt;&gt;"),"00000"),""))</f>
        <v/>
      </c>
      <c r="B1611" s="16"/>
      <c r="C1611" s="20"/>
      <c r="D1611" s="20"/>
      <c r="E1611" s="23"/>
      <c r="H1611" s="21" t="str">
        <f t="shared" si="81"/>
        <v/>
      </c>
      <c r="I1611" s="21" t="str">
        <f t="shared" si="80"/>
        <v/>
      </c>
      <c r="J1611" s="21" t="str">
        <f t="shared" si="82"/>
        <v/>
      </c>
      <c r="K1611" s="20"/>
      <c r="L1611" s="21" t="str">
        <f>IF(OR(NOT(AND($B1611&lt;&gt;"",$C1611&lt;&gt;"",$D1611&lt;&gt;"",$E1611&lt;&gt;"")),$A1611="",$K1611&lt;&gt;"Yes"),"",IF($L1611&lt;&gt;"",$L1611,INDEX(SETUP!$I$1:$I$2000,MATCH(TRUE,SETUP!$J$1:$J$2000,0)+COUNTIFS($A$2:$A1611,"&lt;&gt;",$K$2:$K1611,"Yes",$L$2:$L1611,"")-1)))</f>
        <v/>
      </c>
      <c r="N1611" s="22"/>
    </row>
    <row r="1612" spans="1:14" x14ac:dyDescent="0.3">
      <c r="A1612" s="15" t="str">
        <f>IF(COUNTA($B1612:$E1612,$K1612)=0,"",IF(AND($B1612&lt;&gt;"",$C1612&lt;&gt;"",$D1612&lt;&gt;"",$E1612&lt;&gt;""),"TXS"&amp;TEXT(COUNTIFS($B$2:$B1612,"&lt;&gt;",$C$2:$C1612,"&lt;&gt;",$D$2:$D1612,"&lt;&gt;",$E$2:$E1612,"&lt;&gt;"),"00000"),""))</f>
        <v/>
      </c>
      <c r="B1612" s="16"/>
      <c r="C1612" s="20"/>
      <c r="D1612" s="20"/>
      <c r="E1612" s="23"/>
      <c r="H1612" s="21" t="str">
        <f t="shared" si="81"/>
        <v/>
      </c>
      <c r="I1612" s="21" t="str">
        <f t="shared" si="80"/>
        <v/>
      </c>
      <c r="J1612" s="21" t="str">
        <f t="shared" si="82"/>
        <v/>
      </c>
      <c r="K1612" s="20"/>
      <c r="L1612" s="21" t="str">
        <f>IF(OR(NOT(AND($B1612&lt;&gt;"",$C1612&lt;&gt;"",$D1612&lt;&gt;"",$E1612&lt;&gt;"")),$A1612="",$K1612&lt;&gt;"Yes"),"",IF($L1612&lt;&gt;"",$L1612,INDEX(SETUP!$I$1:$I$2000,MATCH(TRUE,SETUP!$J$1:$J$2000,0)+COUNTIFS($A$2:$A1612,"&lt;&gt;",$K$2:$K1612,"Yes",$L$2:$L1612,"")-1)))</f>
        <v/>
      </c>
      <c r="N1612" s="22"/>
    </row>
    <row r="1613" spans="1:14" x14ac:dyDescent="0.3">
      <c r="A1613" s="15" t="str">
        <f>IF(COUNTA($B1613:$E1613,$K1613)=0,"",IF(AND($B1613&lt;&gt;"",$C1613&lt;&gt;"",$D1613&lt;&gt;"",$E1613&lt;&gt;""),"TXS"&amp;TEXT(COUNTIFS($B$2:$B1613,"&lt;&gt;",$C$2:$C1613,"&lt;&gt;",$D$2:$D1613,"&lt;&gt;",$E$2:$E1613,"&lt;&gt;"),"00000"),""))</f>
        <v/>
      </c>
      <c r="B1613" s="16"/>
      <c r="C1613" s="20"/>
      <c r="D1613" s="20"/>
      <c r="E1613" s="23"/>
      <c r="H1613" s="21" t="str">
        <f t="shared" si="81"/>
        <v/>
      </c>
      <c r="I1613" s="21" t="str">
        <f t="shared" si="80"/>
        <v/>
      </c>
      <c r="J1613" s="21" t="str">
        <f t="shared" si="82"/>
        <v/>
      </c>
      <c r="K1613" s="20"/>
      <c r="L1613" s="21" t="str">
        <f>IF(OR(NOT(AND($B1613&lt;&gt;"",$C1613&lt;&gt;"",$D1613&lt;&gt;"",$E1613&lt;&gt;"")),$A1613="",$K1613&lt;&gt;"Yes"),"",IF($L1613&lt;&gt;"",$L1613,INDEX(SETUP!$I$1:$I$2000,MATCH(TRUE,SETUP!$J$1:$J$2000,0)+COUNTIFS($A$2:$A1613,"&lt;&gt;",$K$2:$K1613,"Yes",$L$2:$L1613,"")-1)))</f>
        <v/>
      </c>
      <c r="N1613" s="22"/>
    </row>
    <row r="1614" spans="1:14" x14ac:dyDescent="0.3">
      <c r="A1614" s="15" t="str">
        <f>IF(COUNTA($B1614:$E1614,$K1614)=0,"",IF(AND($B1614&lt;&gt;"",$C1614&lt;&gt;"",$D1614&lt;&gt;"",$E1614&lt;&gt;""),"TXS"&amp;TEXT(COUNTIFS($B$2:$B1614,"&lt;&gt;",$C$2:$C1614,"&lt;&gt;",$D$2:$D1614,"&lt;&gt;",$E$2:$E1614,"&lt;&gt;"),"00000"),""))</f>
        <v/>
      </c>
      <c r="B1614" s="16"/>
      <c r="C1614" s="20"/>
      <c r="D1614" s="20"/>
      <c r="E1614" s="23"/>
      <c r="H1614" s="21" t="str">
        <f t="shared" si="81"/>
        <v/>
      </c>
      <c r="I1614" s="21" t="str">
        <f t="shared" si="80"/>
        <v/>
      </c>
      <c r="J1614" s="21" t="str">
        <f t="shared" si="82"/>
        <v/>
      </c>
      <c r="K1614" s="20"/>
      <c r="L1614" s="21" t="str">
        <f>IF(OR(NOT(AND($B1614&lt;&gt;"",$C1614&lt;&gt;"",$D1614&lt;&gt;"",$E1614&lt;&gt;"")),$A1614="",$K1614&lt;&gt;"Yes"),"",IF($L1614&lt;&gt;"",$L1614,INDEX(SETUP!$I$1:$I$2000,MATCH(TRUE,SETUP!$J$1:$J$2000,0)+COUNTIFS($A$2:$A1614,"&lt;&gt;",$K$2:$K1614,"Yes",$L$2:$L1614,"")-1)))</f>
        <v/>
      </c>
      <c r="N1614" s="22"/>
    </row>
    <row r="1615" spans="1:14" x14ac:dyDescent="0.3">
      <c r="A1615" s="15" t="str">
        <f>IF(COUNTA($B1615:$E1615,$K1615)=0,"",IF(AND($B1615&lt;&gt;"",$C1615&lt;&gt;"",$D1615&lt;&gt;"",$E1615&lt;&gt;""),"TXS"&amp;TEXT(COUNTIFS($B$2:$B1615,"&lt;&gt;",$C$2:$C1615,"&lt;&gt;",$D$2:$D1615,"&lt;&gt;",$E$2:$E1615,"&lt;&gt;"),"00000"),""))</f>
        <v/>
      </c>
      <c r="B1615" s="16"/>
      <c r="C1615" s="20"/>
      <c r="D1615" s="20"/>
      <c r="E1615" s="23"/>
      <c r="H1615" s="21" t="str">
        <f t="shared" si="81"/>
        <v/>
      </c>
      <c r="I1615" s="21" t="str">
        <f t="shared" si="80"/>
        <v/>
      </c>
      <c r="J1615" s="21" t="str">
        <f t="shared" si="82"/>
        <v/>
      </c>
      <c r="K1615" s="20"/>
      <c r="L1615" s="21" t="str">
        <f>IF(OR(NOT(AND($B1615&lt;&gt;"",$C1615&lt;&gt;"",$D1615&lt;&gt;"",$E1615&lt;&gt;"")),$A1615="",$K1615&lt;&gt;"Yes"),"",IF($L1615&lt;&gt;"",$L1615,INDEX(SETUP!$I$1:$I$2000,MATCH(TRUE,SETUP!$J$1:$J$2000,0)+COUNTIFS($A$2:$A1615,"&lt;&gt;",$K$2:$K1615,"Yes",$L$2:$L1615,"")-1)))</f>
        <v/>
      </c>
      <c r="N1615" s="22"/>
    </row>
    <row r="1616" spans="1:14" x14ac:dyDescent="0.3">
      <c r="A1616" s="15" t="str">
        <f>IF(COUNTA($B1616:$E1616,$K1616)=0,"",IF(AND($B1616&lt;&gt;"",$C1616&lt;&gt;"",$D1616&lt;&gt;"",$E1616&lt;&gt;""),"TXS"&amp;TEXT(COUNTIFS($B$2:$B1616,"&lt;&gt;",$C$2:$C1616,"&lt;&gt;",$D$2:$D1616,"&lt;&gt;",$E$2:$E1616,"&lt;&gt;"),"00000"),""))</f>
        <v/>
      </c>
      <c r="B1616" s="16"/>
      <c r="C1616" s="20"/>
      <c r="D1616" s="20"/>
      <c r="E1616" s="23"/>
      <c r="H1616" s="21" t="str">
        <f t="shared" si="81"/>
        <v/>
      </c>
      <c r="I1616" s="21" t="str">
        <f t="shared" si="80"/>
        <v/>
      </c>
      <c r="J1616" s="21" t="str">
        <f t="shared" si="82"/>
        <v/>
      </c>
      <c r="K1616" s="20"/>
      <c r="L1616" s="21" t="str">
        <f>IF(OR(NOT(AND($B1616&lt;&gt;"",$C1616&lt;&gt;"",$D1616&lt;&gt;"",$E1616&lt;&gt;"")),$A1616="",$K1616&lt;&gt;"Yes"),"",IF($L1616&lt;&gt;"",$L1616,INDEX(SETUP!$I$1:$I$2000,MATCH(TRUE,SETUP!$J$1:$J$2000,0)+COUNTIFS($A$2:$A1616,"&lt;&gt;",$K$2:$K1616,"Yes",$L$2:$L1616,"")-1)))</f>
        <v/>
      </c>
      <c r="N1616" s="22"/>
    </row>
    <row r="1617" spans="1:14" x14ac:dyDescent="0.3">
      <c r="A1617" s="15" t="str">
        <f>IF(COUNTA($B1617:$E1617,$K1617)=0,"",IF(AND($B1617&lt;&gt;"",$C1617&lt;&gt;"",$D1617&lt;&gt;"",$E1617&lt;&gt;""),"TXS"&amp;TEXT(COUNTIFS($B$2:$B1617,"&lt;&gt;",$C$2:$C1617,"&lt;&gt;",$D$2:$D1617,"&lt;&gt;",$E$2:$E1617,"&lt;&gt;"),"00000"),""))</f>
        <v/>
      </c>
      <c r="B1617" s="16"/>
      <c r="C1617" s="20"/>
      <c r="D1617" s="20"/>
      <c r="E1617" s="23"/>
      <c r="H1617" s="21" t="str">
        <f t="shared" si="81"/>
        <v/>
      </c>
      <c r="I1617" s="21" t="str">
        <f t="shared" si="80"/>
        <v/>
      </c>
      <c r="J1617" s="21" t="str">
        <f t="shared" si="82"/>
        <v/>
      </c>
      <c r="K1617" s="20"/>
      <c r="L1617" s="21" t="str">
        <f>IF(OR(NOT(AND($B1617&lt;&gt;"",$C1617&lt;&gt;"",$D1617&lt;&gt;"",$E1617&lt;&gt;"")),$A1617="",$K1617&lt;&gt;"Yes"),"",IF($L1617&lt;&gt;"",$L1617,INDEX(SETUP!$I$1:$I$2000,MATCH(TRUE,SETUP!$J$1:$J$2000,0)+COUNTIFS($A$2:$A1617,"&lt;&gt;",$K$2:$K1617,"Yes",$L$2:$L1617,"")-1)))</f>
        <v/>
      </c>
      <c r="N1617" s="22"/>
    </row>
    <row r="1618" spans="1:14" x14ac:dyDescent="0.3">
      <c r="A1618" s="15" t="str">
        <f>IF(COUNTA($B1618:$E1618,$K1618)=0,"",IF(AND($B1618&lt;&gt;"",$C1618&lt;&gt;"",$D1618&lt;&gt;"",$E1618&lt;&gt;""),"TXS"&amp;TEXT(COUNTIFS($B$2:$B1618,"&lt;&gt;",$C$2:$C1618,"&lt;&gt;",$D$2:$D1618,"&lt;&gt;",$E$2:$E1618,"&lt;&gt;"),"00000"),""))</f>
        <v/>
      </c>
      <c r="B1618" s="16"/>
      <c r="C1618" s="20"/>
      <c r="D1618" s="20"/>
      <c r="E1618" s="23"/>
      <c r="H1618" s="21" t="str">
        <f t="shared" si="81"/>
        <v/>
      </c>
      <c r="I1618" s="21" t="str">
        <f t="shared" si="80"/>
        <v/>
      </c>
      <c r="J1618" s="21" t="str">
        <f t="shared" si="82"/>
        <v/>
      </c>
      <c r="K1618" s="20"/>
      <c r="L1618" s="21" t="str">
        <f>IF(OR(NOT(AND($B1618&lt;&gt;"",$C1618&lt;&gt;"",$D1618&lt;&gt;"",$E1618&lt;&gt;"")),$A1618="",$K1618&lt;&gt;"Yes"),"",IF($L1618&lt;&gt;"",$L1618,INDEX(SETUP!$I$1:$I$2000,MATCH(TRUE,SETUP!$J$1:$J$2000,0)+COUNTIFS($A$2:$A1618,"&lt;&gt;",$K$2:$K1618,"Yes",$L$2:$L1618,"")-1)))</f>
        <v/>
      </c>
      <c r="N1618" s="22"/>
    </row>
    <row r="1619" spans="1:14" x14ac:dyDescent="0.3">
      <c r="A1619" s="15" t="str">
        <f>IF(COUNTA($B1619:$E1619,$K1619)=0,"",IF(AND($B1619&lt;&gt;"",$C1619&lt;&gt;"",$D1619&lt;&gt;"",$E1619&lt;&gt;""),"TXS"&amp;TEXT(COUNTIFS($B$2:$B1619,"&lt;&gt;",$C$2:$C1619,"&lt;&gt;",$D$2:$D1619,"&lt;&gt;",$E$2:$E1619,"&lt;&gt;"),"00000"),""))</f>
        <v/>
      </c>
      <c r="B1619" s="16"/>
      <c r="C1619" s="20"/>
      <c r="D1619" s="20"/>
      <c r="E1619" s="23"/>
      <c r="H1619" s="21" t="str">
        <f t="shared" si="81"/>
        <v/>
      </c>
      <c r="I1619" s="21" t="str">
        <f t="shared" si="80"/>
        <v/>
      </c>
      <c r="J1619" s="21" t="str">
        <f t="shared" si="82"/>
        <v/>
      </c>
      <c r="K1619" s="20"/>
      <c r="L1619" s="21" t="str">
        <f>IF(OR(NOT(AND($B1619&lt;&gt;"",$C1619&lt;&gt;"",$D1619&lt;&gt;"",$E1619&lt;&gt;"")),$A1619="",$K1619&lt;&gt;"Yes"),"",IF($L1619&lt;&gt;"",$L1619,INDEX(SETUP!$I$1:$I$2000,MATCH(TRUE,SETUP!$J$1:$J$2000,0)+COUNTIFS($A$2:$A1619,"&lt;&gt;",$K$2:$K1619,"Yes",$L$2:$L1619,"")-1)))</f>
        <v/>
      </c>
      <c r="N1619" s="22"/>
    </row>
    <row r="1620" spans="1:14" x14ac:dyDescent="0.3">
      <c r="A1620" s="15" t="str">
        <f>IF(COUNTA($B1620:$E1620,$K1620)=0,"",IF(AND($B1620&lt;&gt;"",$C1620&lt;&gt;"",$D1620&lt;&gt;"",$E1620&lt;&gt;""),"TXS"&amp;TEXT(COUNTIFS($B$2:$B1620,"&lt;&gt;",$C$2:$C1620,"&lt;&gt;",$D$2:$D1620,"&lt;&gt;",$E$2:$E1620,"&lt;&gt;"),"00000"),""))</f>
        <v/>
      </c>
      <c r="B1620" s="16"/>
      <c r="C1620" s="20"/>
      <c r="D1620" s="20"/>
      <c r="E1620" s="23"/>
      <c r="H1620" s="21" t="str">
        <f t="shared" si="81"/>
        <v/>
      </c>
      <c r="I1620" s="21" t="str">
        <f t="shared" si="80"/>
        <v/>
      </c>
      <c r="J1620" s="21" t="str">
        <f t="shared" si="82"/>
        <v/>
      </c>
      <c r="K1620" s="20"/>
      <c r="L1620" s="21" t="str">
        <f>IF(OR(NOT(AND($B1620&lt;&gt;"",$C1620&lt;&gt;"",$D1620&lt;&gt;"",$E1620&lt;&gt;"")),$A1620="",$K1620&lt;&gt;"Yes"),"",IF($L1620&lt;&gt;"",$L1620,INDEX(SETUP!$I$1:$I$2000,MATCH(TRUE,SETUP!$J$1:$J$2000,0)+COUNTIFS($A$2:$A1620,"&lt;&gt;",$K$2:$K1620,"Yes",$L$2:$L1620,"")-1)))</f>
        <v/>
      </c>
      <c r="N1620" s="22"/>
    </row>
    <row r="1621" spans="1:14" x14ac:dyDescent="0.3">
      <c r="A1621" s="15" t="str">
        <f>IF(COUNTA($B1621:$E1621,$K1621)=0,"",IF(AND($B1621&lt;&gt;"",$C1621&lt;&gt;"",$D1621&lt;&gt;"",$E1621&lt;&gt;""),"TXS"&amp;TEXT(COUNTIFS($B$2:$B1621,"&lt;&gt;",$C$2:$C1621,"&lt;&gt;",$D$2:$D1621,"&lt;&gt;",$E$2:$E1621,"&lt;&gt;"),"00000"),""))</f>
        <v/>
      </c>
      <c r="B1621" s="16"/>
      <c r="C1621" s="20"/>
      <c r="D1621" s="20"/>
      <c r="E1621" s="23"/>
      <c r="H1621" s="21" t="str">
        <f t="shared" si="81"/>
        <v/>
      </c>
      <c r="I1621" s="21" t="str">
        <f t="shared" si="80"/>
        <v/>
      </c>
      <c r="J1621" s="21" t="str">
        <f t="shared" si="82"/>
        <v/>
      </c>
      <c r="K1621" s="20"/>
      <c r="L1621" s="21" t="str">
        <f>IF(OR(NOT(AND($B1621&lt;&gt;"",$C1621&lt;&gt;"",$D1621&lt;&gt;"",$E1621&lt;&gt;"")),$A1621="",$K1621&lt;&gt;"Yes"),"",IF($L1621&lt;&gt;"",$L1621,INDEX(SETUP!$I$1:$I$2000,MATCH(TRUE,SETUP!$J$1:$J$2000,0)+COUNTIFS($A$2:$A1621,"&lt;&gt;",$K$2:$K1621,"Yes",$L$2:$L1621,"")-1)))</f>
        <v/>
      </c>
      <c r="N1621" s="22"/>
    </row>
    <row r="1622" spans="1:14" x14ac:dyDescent="0.3">
      <c r="A1622" s="15" t="str">
        <f>IF(COUNTA($B1622:$E1622,$K1622)=0,"",IF(AND($B1622&lt;&gt;"",$C1622&lt;&gt;"",$D1622&lt;&gt;"",$E1622&lt;&gt;""),"TXS"&amp;TEXT(COUNTIFS($B$2:$B1622,"&lt;&gt;",$C$2:$C1622,"&lt;&gt;",$D$2:$D1622,"&lt;&gt;",$E$2:$E1622,"&lt;&gt;"),"00000"),""))</f>
        <v/>
      </c>
      <c r="B1622" s="16"/>
      <c r="C1622" s="20"/>
      <c r="D1622" s="20"/>
      <c r="E1622" s="23"/>
      <c r="H1622" s="21" t="str">
        <f t="shared" si="81"/>
        <v/>
      </c>
      <c r="I1622" s="21" t="str">
        <f t="shared" si="80"/>
        <v/>
      </c>
      <c r="J1622" s="21" t="str">
        <f t="shared" si="82"/>
        <v/>
      </c>
      <c r="K1622" s="20"/>
      <c r="L1622" s="21" t="str">
        <f>IF(OR(NOT(AND($B1622&lt;&gt;"",$C1622&lt;&gt;"",$D1622&lt;&gt;"",$E1622&lt;&gt;"")),$A1622="",$K1622&lt;&gt;"Yes"),"",IF($L1622&lt;&gt;"",$L1622,INDEX(SETUP!$I$1:$I$2000,MATCH(TRUE,SETUP!$J$1:$J$2000,0)+COUNTIFS($A$2:$A1622,"&lt;&gt;",$K$2:$K1622,"Yes",$L$2:$L1622,"")-1)))</f>
        <v/>
      </c>
      <c r="N1622" s="22"/>
    </row>
    <row r="1623" spans="1:14" x14ac:dyDescent="0.3">
      <c r="A1623" s="15" t="str">
        <f>IF(COUNTA($B1623:$E1623,$K1623)=0,"",IF(AND($B1623&lt;&gt;"",$C1623&lt;&gt;"",$D1623&lt;&gt;"",$E1623&lt;&gt;""),"TXS"&amp;TEXT(COUNTIFS($B$2:$B1623,"&lt;&gt;",$C$2:$C1623,"&lt;&gt;",$D$2:$D1623,"&lt;&gt;",$E$2:$E1623,"&lt;&gt;"),"00000"),""))</f>
        <v/>
      </c>
      <c r="B1623" s="16"/>
      <c r="C1623" s="20"/>
      <c r="D1623" s="20"/>
      <c r="E1623" s="23"/>
      <c r="H1623" s="21" t="str">
        <f t="shared" si="81"/>
        <v/>
      </c>
      <c r="I1623" s="21" t="str">
        <f t="shared" si="80"/>
        <v/>
      </c>
      <c r="J1623" s="21" t="str">
        <f t="shared" si="82"/>
        <v/>
      </c>
      <c r="K1623" s="20"/>
      <c r="L1623" s="21" t="str">
        <f>IF(OR(NOT(AND($B1623&lt;&gt;"",$C1623&lt;&gt;"",$D1623&lt;&gt;"",$E1623&lt;&gt;"")),$A1623="",$K1623&lt;&gt;"Yes"),"",IF($L1623&lt;&gt;"",$L1623,INDEX(SETUP!$I$1:$I$2000,MATCH(TRUE,SETUP!$J$1:$J$2000,0)+COUNTIFS($A$2:$A1623,"&lt;&gt;",$K$2:$K1623,"Yes",$L$2:$L1623,"")-1)))</f>
        <v/>
      </c>
      <c r="N1623" s="22"/>
    </row>
    <row r="1624" spans="1:14" x14ac:dyDescent="0.3">
      <c r="A1624" s="15" t="str">
        <f>IF(COUNTA($B1624:$E1624,$K1624)=0,"",IF(AND($B1624&lt;&gt;"",$C1624&lt;&gt;"",$D1624&lt;&gt;"",$E1624&lt;&gt;""),"TXS"&amp;TEXT(COUNTIFS($B$2:$B1624,"&lt;&gt;",$C$2:$C1624,"&lt;&gt;",$D$2:$D1624,"&lt;&gt;",$E$2:$E1624,"&lt;&gt;"),"00000"),""))</f>
        <v/>
      </c>
      <c r="B1624" s="16"/>
      <c r="C1624" s="20"/>
      <c r="D1624" s="20"/>
      <c r="E1624" s="23"/>
      <c r="H1624" s="21" t="str">
        <f t="shared" si="81"/>
        <v/>
      </c>
      <c r="I1624" s="21" t="str">
        <f t="shared" si="80"/>
        <v/>
      </c>
      <c r="J1624" s="21" t="str">
        <f t="shared" si="82"/>
        <v/>
      </c>
      <c r="K1624" s="20"/>
      <c r="L1624" s="21" t="str">
        <f>IF(OR(NOT(AND($B1624&lt;&gt;"",$C1624&lt;&gt;"",$D1624&lt;&gt;"",$E1624&lt;&gt;"")),$A1624="",$K1624&lt;&gt;"Yes"),"",IF($L1624&lt;&gt;"",$L1624,INDEX(SETUP!$I$1:$I$2000,MATCH(TRUE,SETUP!$J$1:$J$2000,0)+COUNTIFS($A$2:$A1624,"&lt;&gt;",$K$2:$K1624,"Yes",$L$2:$L1624,"")-1)))</f>
        <v/>
      </c>
      <c r="N1624" s="22"/>
    </row>
    <row r="1625" spans="1:14" x14ac:dyDescent="0.3">
      <c r="A1625" s="15" t="str">
        <f>IF(COUNTA($B1625:$E1625,$K1625)=0,"",IF(AND($B1625&lt;&gt;"",$C1625&lt;&gt;"",$D1625&lt;&gt;"",$E1625&lt;&gt;""),"TXS"&amp;TEXT(COUNTIFS($B$2:$B1625,"&lt;&gt;",$C$2:$C1625,"&lt;&gt;",$D$2:$D1625,"&lt;&gt;",$E$2:$E1625,"&lt;&gt;"),"00000"),""))</f>
        <v/>
      </c>
      <c r="B1625" s="16"/>
      <c r="C1625" s="20"/>
      <c r="D1625" s="20"/>
      <c r="E1625" s="23"/>
      <c r="H1625" s="21" t="str">
        <f t="shared" si="81"/>
        <v/>
      </c>
      <c r="I1625" s="21" t="str">
        <f t="shared" si="80"/>
        <v/>
      </c>
      <c r="J1625" s="21" t="str">
        <f t="shared" si="82"/>
        <v/>
      </c>
      <c r="K1625" s="20"/>
      <c r="L1625" s="21" t="str">
        <f>IF(OR(NOT(AND($B1625&lt;&gt;"",$C1625&lt;&gt;"",$D1625&lt;&gt;"",$E1625&lt;&gt;"")),$A1625="",$K1625&lt;&gt;"Yes"),"",IF($L1625&lt;&gt;"",$L1625,INDEX(SETUP!$I$1:$I$2000,MATCH(TRUE,SETUP!$J$1:$J$2000,0)+COUNTIFS($A$2:$A1625,"&lt;&gt;",$K$2:$K1625,"Yes",$L$2:$L1625,"")-1)))</f>
        <v/>
      </c>
      <c r="N1625" s="22"/>
    </row>
    <row r="1626" spans="1:14" x14ac:dyDescent="0.3">
      <c r="A1626" s="15" t="str">
        <f>IF(COUNTA($B1626:$E1626,$K1626)=0,"",IF(AND($B1626&lt;&gt;"",$C1626&lt;&gt;"",$D1626&lt;&gt;"",$E1626&lt;&gt;""),"TXS"&amp;TEXT(COUNTIFS($B$2:$B1626,"&lt;&gt;",$C$2:$C1626,"&lt;&gt;",$D$2:$D1626,"&lt;&gt;",$E$2:$E1626,"&lt;&gt;"),"00000"),""))</f>
        <v/>
      </c>
      <c r="B1626" s="16"/>
      <c r="C1626" s="20"/>
      <c r="D1626" s="20"/>
      <c r="E1626" s="23"/>
      <c r="H1626" s="21" t="str">
        <f t="shared" si="81"/>
        <v/>
      </c>
      <c r="I1626" s="21" t="str">
        <f t="shared" si="80"/>
        <v/>
      </c>
      <c r="J1626" s="21" t="str">
        <f t="shared" si="82"/>
        <v/>
      </c>
      <c r="K1626" s="20"/>
      <c r="L1626" s="21" t="str">
        <f>IF(OR(NOT(AND($B1626&lt;&gt;"",$C1626&lt;&gt;"",$D1626&lt;&gt;"",$E1626&lt;&gt;"")),$A1626="",$K1626&lt;&gt;"Yes"),"",IF($L1626&lt;&gt;"",$L1626,INDEX(SETUP!$I$1:$I$2000,MATCH(TRUE,SETUP!$J$1:$J$2000,0)+COUNTIFS($A$2:$A1626,"&lt;&gt;",$K$2:$K1626,"Yes",$L$2:$L1626,"")-1)))</f>
        <v/>
      </c>
      <c r="N1626" s="22"/>
    </row>
    <row r="1627" spans="1:14" x14ac:dyDescent="0.3">
      <c r="A1627" s="15" t="str">
        <f>IF(COUNTA($B1627:$E1627,$K1627)=0,"",IF(AND($B1627&lt;&gt;"",$C1627&lt;&gt;"",$D1627&lt;&gt;"",$E1627&lt;&gt;""),"TXS"&amp;TEXT(COUNTIFS($B$2:$B1627,"&lt;&gt;",$C$2:$C1627,"&lt;&gt;",$D$2:$D1627,"&lt;&gt;",$E$2:$E1627,"&lt;&gt;"),"00000"),""))</f>
        <v/>
      </c>
      <c r="B1627" s="16"/>
      <c r="C1627" s="20"/>
      <c r="D1627" s="20"/>
      <c r="E1627" s="23"/>
      <c r="H1627" s="21" t="str">
        <f t="shared" si="81"/>
        <v/>
      </c>
      <c r="I1627" s="21" t="str">
        <f t="shared" si="80"/>
        <v/>
      </c>
      <c r="J1627" s="21" t="str">
        <f t="shared" si="82"/>
        <v/>
      </c>
      <c r="K1627" s="20"/>
      <c r="L1627" s="21" t="str">
        <f>IF(OR(NOT(AND($B1627&lt;&gt;"",$C1627&lt;&gt;"",$D1627&lt;&gt;"",$E1627&lt;&gt;"")),$A1627="",$K1627&lt;&gt;"Yes"),"",IF($L1627&lt;&gt;"",$L1627,INDEX(SETUP!$I$1:$I$2000,MATCH(TRUE,SETUP!$J$1:$J$2000,0)+COUNTIFS($A$2:$A1627,"&lt;&gt;",$K$2:$K1627,"Yes",$L$2:$L1627,"")-1)))</f>
        <v/>
      </c>
      <c r="N1627" s="22"/>
    </row>
    <row r="1628" spans="1:14" x14ac:dyDescent="0.3">
      <c r="A1628" s="15" t="str">
        <f>IF(COUNTA($B1628:$E1628,$K1628)=0,"",IF(AND($B1628&lt;&gt;"",$C1628&lt;&gt;"",$D1628&lt;&gt;"",$E1628&lt;&gt;""),"TXS"&amp;TEXT(COUNTIFS($B$2:$B1628,"&lt;&gt;",$C$2:$C1628,"&lt;&gt;",$D$2:$D1628,"&lt;&gt;",$E$2:$E1628,"&lt;&gt;"),"00000"),""))</f>
        <v/>
      </c>
      <c r="B1628" s="16"/>
      <c r="C1628" s="20"/>
      <c r="D1628" s="20"/>
      <c r="E1628" s="23"/>
      <c r="H1628" s="21" t="str">
        <f t="shared" si="81"/>
        <v/>
      </c>
      <c r="I1628" s="21" t="str">
        <f t="shared" si="80"/>
        <v/>
      </c>
      <c r="J1628" s="21" t="str">
        <f t="shared" si="82"/>
        <v/>
      </c>
      <c r="K1628" s="20"/>
      <c r="L1628" s="21" t="str">
        <f>IF(OR(NOT(AND($B1628&lt;&gt;"",$C1628&lt;&gt;"",$D1628&lt;&gt;"",$E1628&lt;&gt;"")),$A1628="",$K1628&lt;&gt;"Yes"),"",IF($L1628&lt;&gt;"",$L1628,INDEX(SETUP!$I$1:$I$2000,MATCH(TRUE,SETUP!$J$1:$J$2000,0)+COUNTIFS($A$2:$A1628,"&lt;&gt;",$K$2:$K1628,"Yes",$L$2:$L1628,"")-1)))</f>
        <v/>
      </c>
      <c r="N1628" s="22"/>
    </row>
    <row r="1629" spans="1:14" x14ac:dyDescent="0.3">
      <c r="A1629" s="15" t="str">
        <f>IF(COUNTA($B1629:$E1629,$K1629)=0,"",IF(AND($B1629&lt;&gt;"",$C1629&lt;&gt;"",$D1629&lt;&gt;"",$E1629&lt;&gt;""),"TXS"&amp;TEXT(COUNTIFS($B$2:$B1629,"&lt;&gt;",$C$2:$C1629,"&lt;&gt;",$D$2:$D1629,"&lt;&gt;",$E$2:$E1629,"&lt;&gt;"),"00000"),""))</f>
        <v/>
      </c>
      <c r="B1629" s="16"/>
      <c r="C1629" s="20"/>
      <c r="D1629" s="20"/>
      <c r="E1629" s="23"/>
      <c r="H1629" s="21" t="str">
        <f t="shared" si="81"/>
        <v/>
      </c>
      <c r="I1629" s="21" t="str">
        <f t="shared" si="80"/>
        <v/>
      </c>
      <c r="J1629" s="21" t="str">
        <f t="shared" si="82"/>
        <v/>
      </c>
      <c r="K1629" s="20"/>
      <c r="L1629" s="21" t="str">
        <f>IF(OR(NOT(AND($B1629&lt;&gt;"",$C1629&lt;&gt;"",$D1629&lt;&gt;"",$E1629&lt;&gt;"")),$A1629="",$K1629&lt;&gt;"Yes"),"",IF($L1629&lt;&gt;"",$L1629,INDEX(SETUP!$I$1:$I$2000,MATCH(TRUE,SETUP!$J$1:$J$2000,0)+COUNTIFS($A$2:$A1629,"&lt;&gt;",$K$2:$K1629,"Yes",$L$2:$L1629,"")-1)))</f>
        <v/>
      </c>
      <c r="N1629" s="22"/>
    </row>
    <row r="1630" spans="1:14" x14ac:dyDescent="0.3">
      <c r="A1630" s="15" t="str">
        <f>IF(COUNTA($B1630:$E1630,$K1630)=0,"",IF(AND($B1630&lt;&gt;"",$C1630&lt;&gt;"",$D1630&lt;&gt;"",$E1630&lt;&gt;""),"TXS"&amp;TEXT(COUNTIFS($B$2:$B1630,"&lt;&gt;",$C$2:$C1630,"&lt;&gt;",$D$2:$D1630,"&lt;&gt;",$E$2:$E1630,"&lt;&gt;"),"00000"),""))</f>
        <v/>
      </c>
      <c r="B1630" s="16"/>
      <c r="C1630" s="20"/>
      <c r="D1630" s="20"/>
      <c r="E1630" s="23"/>
      <c r="H1630" s="21" t="str">
        <f t="shared" si="81"/>
        <v/>
      </c>
      <c r="I1630" s="21" t="str">
        <f t="shared" si="80"/>
        <v/>
      </c>
      <c r="J1630" s="21" t="str">
        <f t="shared" si="82"/>
        <v/>
      </c>
      <c r="K1630" s="20"/>
      <c r="L1630" s="21" t="str">
        <f>IF(OR(NOT(AND($B1630&lt;&gt;"",$C1630&lt;&gt;"",$D1630&lt;&gt;"",$E1630&lt;&gt;"")),$A1630="",$K1630&lt;&gt;"Yes"),"",IF($L1630&lt;&gt;"",$L1630,INDEX(SETUP!$I$1:$I$2000,MATCH(TRUE,SETUP!$J$1:$J$2000,0)+COUNTIFS($A$2:$A1630,"&lt;&gt;",$K$2:$K1630,"Yes",$L$2:$L1630,"")-1)))</f>
        <v/>
      </c>
      <c r="N1630" s="22"/>
    </row>
    <row r="1631" spans="1:14" x14ac:dyDescent="0.3">
      <c r="A1631" s="15" t="str">
        <f>IF(COUNTA($B1631:$E1631,$K1631)=0,"",IF(AND($B1631&lt;&gt;"",$C1631&lt;&gt;"",$D1631&lt;&gt;"",$E1631&lt;&gt;""),"TXS"&amp;TEXT(COUNTIFS($B$2:$B1631,"&lt;&gt;",$C$2:$C1631,"&lt;&gt;",$D$2:$D1631,"&lt;&gt;",$E$2:$E1631,"&lt;&gt;"),"00000"),""))</f>
        <v/>
      </c>
      <c r="B1631" s="16"/>
      <c r="C1631" s="20"/>
      <c r="D1631" s="20"/>
      <c r="E1631" s="23"/>
      <c r="H1631" s="21" t="str">
        <f t="shared" si="81"/>
        <v/>
      </c>
      <c r="I1631" s="21" t="str">
        <f t="shared" si="80"/>
        <v/>
      </c>
      <c r="J1631" s="21" t="str">
        <f t="shared" si="82"/>
        <v/>
      </c>
      <c r="K1631" s="20"/>
      <c r="L1631" s="21" t="str">
        <f>IF(OR(NOT(AND($B1631&lt;&gt;"",$C1631&lt;&gt;"",$D1631&lt;&gt;"",$E1631&lt;&gt;"")),$A1631="",$K1631&lt;&gt;"Yes"),"",IF($L1631&lt;&gt;"",$L1631,INDEX(SETUP!$I$1:$I$2000,MATCH(TRUE,SETUP!$J$1:$J$2000,0)+COUNTIFS($A$2:$A1631,"&lt;&gt;",$K$2:$K1631,"Yes",$L$2:$L1631,"")-1)))</f>
        <v/>
      </c>
      <c r="N1631" s="22"/>
    </row>
    <row r="1632" spans="1:14" x14ac:dyDescent="0.3">
      <c r="A1632" s="15" t="str">
        <f>IF(COUNTA($B1632:$E1632,$K1632)=0,"",IF(AND($B1632&lt;&gt;"",$C1632&lt;&gt;"",$D1632&lt;&gt;"",$E1632&lt;&gt;""),"TXS"&amp;TEXT(COUNTIFS($B$2:$B1632,"&lt;&gt;",$C$2:$C1632,"&lt;&gt;",$D$2:$D1632,"&lt;&gt;",$E$2:$E1632,"&lt;&gt;"),"00000"),""))</f>
        <v/>
      </c>
      <c r="B1632" s="16"/>
      <c r="C1632" s="20"/>
      <c r="D1632" s="20"/>
      <c r="E1632" s="23"/>
      <c r="H1632" s="21" t="str">
        <f t="shared" si="81"/>
        <v/>
      </c>
      <c r="I1632" s="21" t="str">
        <f t="shared" si="80"/>
        <v/>
      </c>
      <c r="J1632" s="21" t="str">
        <f t="shared" si="82"/>
        <v/>
      </c>
      <c r="K1632" s="20"/>
      <c r="L1632" s="21" t="str">
        <f>IF(OR(NOT(AND($B1632&lt;&gt;"",$C1632&lt;&gt;"",$D1632&lt;&gt;"",$E1632&lt;&gt;"")),$A1632="",$K1632&lt;&gt;"Yes"),"",IF($L1632&lt;&gt;"",$L1632,INDEX(SETUP!$I$1:$I$2000,MATCH(TRUE,SETUP!$J$1:$J$2000,0)+COUNTIFS($A$2:$A1632,"&lt;&gt;",$K$2:$K1632,"Yes",$L$2:$L1632,"")-1)))</f>
        <v/>
      </c>
      <c r="N1632" s="22"/>
    </row>
    <row r="1633" spans="1:14" x14ac:dyDescent="0.3">
      <c r="A1633" s="15" t="str">
        <f>IF(COUNTA($B1633:$E1633,$K1633)=0,"",IF(AND($B1633&lt;&gt;"",$C1633&lt;&gt;"",$D1633&lt;&gt;"",$E1633&lt;&gt;""),"TXS"&amp;TEXT(COUNTIFS($B$2:$B1633,"&lt;&gt;",$C$2:$C1633,"&lt;&gt;",$D$2:$D1633,"&lt;&gt;",$E$2:$E1633,"&lt;&gt;"),"00000"),""))</f>
        <v/>
      </c>
      <c r="B1633" s="16"/>
      <c r="C1633" s="20"/>
      <c r="D1633" s="20"/>
      <c r="E1633" s="23"/>
      <c r="H1633" s="21" t="str">
        <f t="shared" si="81"/>
        <v/>
      </c>
      <c r="I1633" s="21" t="str">
        <f t="shared" si="80"/>
        <v/>
      </c>
      <c r="J1633" s="21" t="str">
        <f t="shared" si="82"/>
        <v/>
      </c>
      <c r="K1633" s="20"/>
      <c r="L1633" s="21" t="str">
        <f>IF(OR(NOT(AND($B1633&lt;&gt;"",$C1633&lt;&gt;"",$D1633&lt;&gt;"",$E1633&lt;&gt;"")),$A1633="",$K1633&lt;&gt;"Yes"),"",IF($L1633&lt;&gt;"",$L1633,INDEX(SETUP!$I$1:$I$2000,MATCH(TRUE,SETUP!$J$1:$J$2000,0)+COUNTIFS($A$2:$A1633,"&lt;&gt;",$K$2:$K1633,"Yes",$L$2:$L1633,"")-1)))</f>
        <v/>
      </c>
      <c r="N1633" s="22"/>
    </row>
    <row r="1634" spans="1:14" x14ac:dyDescent="0.3">
      <c r="A1634" s="15" t="str">
        <f>IF(COUNTA($B1634:$E1634,$K1634)=0,"",IF(AND($B1634&lt;&gt;"",$C1634&lt;&gt;"",$D1634&lt;&gt;"",$E1634&lt;&gt;""),"TXS"&amp;TEXT(COUNTIFS($B$2:$B1634,"&lt;&gt;",$C$2:$C1634,"&lt;&gt;",$D$2:$D1634,"&lt;&gt;",$E$2:$E1634,"&lt;&gt;"),"00000"),""))</f>
        <v/>
      </c>
      <c r="B1634" s="16"/>
      <c r="C1634" s="20"/>
      <c r="D1634" s="20"/>
      <c r="E1634" s="23"/>
      <c r="H1634" s="21" t="str">
        <f t="shared" si="81"/>
        <v/>
      </c>
      <c r="I1634" s="21" t="str">
        <f t="shared" si="80"/>
        <v/>
      </c>
      <c r="J1634" s="21" t="str">
        <f t="shared" si="82"/>
        <v/>
      </c>
      <c r="K1634" s="20"/>
      <c r="L1634" s="21" t="str">
        <f>IF(OR(NOT(AND($B1634&lt;&gt;"",$C1634&lt;&gt;"",$D1634&lt;&gt;"",$E1634&lt;&gt;"")),$A1634="",$K1634&lt;&gt;"Yes"),"",IF($L1634&lt;&gt;"",$L1634,INDEX(SETUP!$I$1:$I$2000,MATCH(TRUE,SETUP!$J$1:$J$2000,0)+COUNTIFS($A$2:$A1634,"&lt;&gt;",$K$2:$K1634,"Yes",$L$2:$L1634,"")-1)))</f>
        <v/>
      </c>
      <c r="N1634" s="22"/>
    </row>
    <row r="1635" spans="1:14" x14ac:dyDescent="0.3">
      <c r="A1635" s="15" t="str">
        <f>IF(COUNTA($B1635:$E1635,$K1635)=0,"",IF(AND($B1635&lt;&gt;"",$C1635&lt;&gt;"",$D1635&lt;&gt;"",$E1635&lt;&gt;""),"TXS"&amp;TEXT(COUNTIFS($B$2:$B1635,"&lt;&gt;",$C$2:$C1635,"&lt;&gt;",$D$2:$D1635,"&lt;&gt;",$E$2:$E1635,"&lt;&gt;"),"00000"),""))</f>
        <v/>
      </c>
      <c r="B1635" s="16"/>
      <c r="C1635" s="20"/>
      <c r="D1635" s="20"/>
      <c r="E1635" s="23"/>
      <c r="H1635" s="21" t="str">
        <f t="shared" si="81"/>
        <v/>
      </c>
      <c r="I1635" s="21" t="str">
        <f t="shared" si="80"/>
        <v/>
      </c>
      <c r="J1635" s="21" t="str">
        <f t="shared" si="82"/>
        <v/>
      </c>
      <c r="K1635" s="20"/>
      <c r="L1635" s="21" t="str">
        <f>IF(OR(NOT(AND($B1635&lt;&gt;"",$C1635&lt;&gt;"",$D1635&lt;&gt;"",$E1635&lt;&gt;"")),$A1635="",$K1635&lt;&gt;"Yes"),"",IF($L1635&lt;&gt;"",$L1635,INDEX(SETUP!$I$1:$I$2000,MATCH(TRUE,SETUP!$J$1:$J$2000,0)+COUNTIFS($A$2:$A1635,"&lt;&gt;",$K$2:$K1635,"Yes",$L$2:$L1635,"")-1)))</f>
        <v/>
      </c>
      <c r="N1635" s="22"/>
    </row>
    <row r="1636" spans="1:14" x14ac:dyDescent="0.3">
      <c r="A1636" s="15" t="str">
        <f>IF(COUNTA($B1636:$E1636,$K1636)=0,"",IF(AND($B1636&lt;&gt;"",$C1636&lt;&gt;"",$D1636&lt;&gt;"",$E1636&lt;&gt;""),"TXS"&amp;TEXT(COUNTIFS($B$2:$B1636,"&lt;&gt;",$C$2:$C1636,"&lt;&gt;",$D$2:$D1636,"&lt;&gt;",$E$2:$E1636,"&lt;&gt;"),"00000"),""))</f>
        <v/>
      </c>
      <c r="B1636" s="16"/>
      <c r="C1636" s="20"/>
      <c r="D1636" s="20"/>
      <c r="E1636" s="23"/>
      <c r="H1636" s="21" t="str">
        <f t="shared" si="81"/>
        <v/>
      </c>
      <c r="I1636" s="21" t="str">
        <f t="shared" si="80"/>
        <v/>
      </c>
      <c r="J1636" s="21" t="str">
        <f t="shared" si="82"/>
        <v/>
      </c>
      <c r="K1636" s="20"/>
      <c r="L1636" s="21" t="str">
        <f>IF(OR(NOT(AND($B1636&lt;&gt;"",$C1636&lt;&gt;"",$D1636&lt;&gt;"",$E1636&lt;&gt;"")),$A1636="",$K1636&lt;&gt;"Yes"),"",IF($L1636&lt;&gt;"",$L1636,INDEX(SETUP!$I$1:$I$2000,MATCH(TRUE,SETUP!$J$1:$J$2000,0)+COUNTIFS($A$2:$A1636,"&lt;&gt;",$K$2:$K1636,"Yes",$L$2:$L1636,"")-1)))</f>
        <v/>
      </c>
      <c r="N1636" s="22"/>
    </row>
    <row r="1637" spans="1:14" x14ac:dyDescent="0.3">
      <c r="A1637" s="15" t="str">
        <f>IF(COUNTA($B1637:$E1637,$K1637)=0,"",IF(AND($B1637&lt;&gt;"",$C1637&lt;&gt;"",$D1637&lt;&gt;"",$E1637&lt;&gt;""),"TXS"&amp;TEXT(COUNTIFS($B$2:$B1637,"&lt;&gt;",$C$2:$C1637,"&lt;&gt;",$D$2:$D1637,"&lt;&gt;",$E$2:$E1637,"&lt;&gt;"),"00000"),""))</f>
        <v/>
      </c>
      <c r="B1637" s="16"/>
      <c r="C1637" s="20"/>
      <c r="D1637" s="20"/>
      <c r="E1637" s="23"/>
      <c r="H1637" s="21" t="str">
        <f t="shared" si="81"/>
        <v/>
      </c>
      <c r="I1637" s="21" t="str">
        <f t="shared" si="80"/>
        <v/>
      </c>
      <c r="J1637" s="21" t="str">
        <f t="shared" si="82"/>
        <v/>
      </c>
      <c r="K1637" s="20"/>
      <c r="L1637" s="21" t="str">
        <f>IF(OR(NOT(AND($B1637&lt;&gt;"",$C1637&lt;&gt;"",$D1637&lt;&gt;"",$E1637&lt;&gt;"")),$A1637="",$K1637&lt;&gt;"Yes"),"",IF($L1637&lt;&gt;"",$L1637,INDEX(SETUP!$I$1:$I$2000,MATCH(TRUE,SETUP!$J$1:$J$2000,0)+COUNTIFS($A$2:$A1637,"&lt;&gt;",$K$2:$K1637,"Yes",$L$2:$L1637,"")-1)))</f>
        <v/>
      </c>
      <c r="N1637" s="22"/>
    </row>
    <row r="1638" spans="1:14" x14ac:dyDescent="0.3">
      <c r="A1638" s="15" t="str">
        <f>IF(COUNTA($B1638:$E1638,$K1638)=0,"",IF(AND($B1638&lt;&gt;"",$C1638&lt;&gt;"",$D1638&lt;&gt;"",$E1638&lt;&gt;""),"TXS"&amp;TEXT(COUNTIFS($B$2:$B1638,"&lt;&gt;",$C$2:$C1638,"&lt;&gt;",$D$2:$D1638,"&lt;&gt;",$E$2:$E1638,"&lt;&gt;"),"00000"),""))</f>
        <v/>
      </c>
      <c r="B1638" s="16"/>
      <c r="C1638" s="20"/>
      <c r="D1638" s="20"/>
      <c r="E1638" s="23"/>
      <c r="H1638" s="21" t="str">
        <f t="shared" si="81"/>
        <v/>
      </c>
      <c r="I1638" s="21" t="str">
        <f t="shared" si="80"/>
        <v/>
      </c>
      <c r="J1638" s="21" t="str">
        <f t="shared" si="82"/>
        <v/>
      </c>
      <c r="K1638" s="20"/>
      <c r="L1638" s="21" t="str">
        <f>IF(OR(NOT(AND($B1638&lt;&gt;"",$C1638&lt;&gt;"",$D1638&lt;&gt;"",$E1638&lt;&gt;"")),$A1638="",$K1638&lt;&gt;"Yes"),"",IF($L1638&lt;&gt;"",$L1638,INDEX(SETUP!$I$1:$I$2000,MATCH(TRUE,SETUP!$J$1:$J$2000,0)+COUNTIFS($A$2:$A1638,"&lt;&gt;",$K$2:$K1638,"Yes",$L$2:$L1638,"")-1)))</f>
        <v/>
      </c>
      <c r="N1638" s="22"/>
    </row>
    <row r="1639" spans="1:14" x14ac:dyDescent="0.3">
      <c r="A1639" s="15" t="str">
        <f>IF(COUNTA($B1639:$E1639,$K1639)=0,"",IF(AND($B1639&lt;&gt;"",$C1639&lt;&gt;"",$D1639&lt;&gt;"",$E1639&lt;&gt;""),"TXS"&amp;TEXT(COUNTIFS($B$2:$B1639,"&lt;&gt;",$C$2:$C1639,"&lt;&gt;",$D$2:$D1639,"&lt;&gt;",$E$2:$E1639,"&lt;&gt;"),"00000"),""))</f>
        <v/>
      </c>
      <c r="B1639" s="16"/>
      <c r="C1639" s="20"/>
      <c r="D1639" s="20"/>
      <c r="E1639" s="23"/>
      <c r="H1639" s="21" t="str">
        <f t="shared" si="81"/>
        <v/>
      </c>
      <c r="I1639" s="21" t="str">
        <f t="shared" si="80"/>
        <v/>
      </c>
      <c r="J1639" s="21" t="str">
        <f t="shared" si="82"/>
        <v/>
      </c>
      <c r="K1639" s="20"/>
      <c r="L1639" s="21" t="str">
        <f>IF(OR(NOT(AND($B1639&lt;&gt;"",$C1639&lt;&gt;"",$D1639&lt;&gt;"",$E1639&lt;&gt;"")),$A1639="",$K1639&lt;&gt;"Yes"),"",IF($L1639&lt;&gt;"",$L1639,INDEX(SETUP!$I$1:$I$2000,MATCH(TRUE,SETUP!$J$1:$J$2000,0)+COUNTIFS($A$2:$A1639,"&lt;&gt;",$K$2:$K1639,"Yes",$L$2:$L1639,"")-1)))</f>
        <v/>
      </c>
      <c r="N1639" s="22"/>
    </row>
    <row r="1640" spans="1:14" x14ac:dyDescent="0.3">
      <c r="A1640" s="15" t="str">
        <f>IF(COUNTA($B1640:$E1640,$K1640)=0,"",IF(AND($B1640&lt;&gt;"",$C1640&lt;&gt;"",$D1640&lt;&gt;"",$E1640&lt;&gt;""),"TXS"&amp;TEXT(COUNTIFS($B$2:$B1640,"&lt;&gt;",$C$2:$C1640,"&lt;&gt;",$D$2:$D1640,"&lt;&gt;",$E$2:$E1640,"&lt;&gt;"),"00000"),""))</f>
        <v/>
      </c>
      <c r="B1640" s="16"/>
      <c r="C1640" s="20"/>
      <c r="D1640" s="20"/>
      <c r="E1640" s="23"/>
      <c r="H1640" s="21" t="str">
        <f t="shared" si="81"/>
        <v/>
      </c>
      <c r="I1640" s="21" t="str">
        <f t="shared" si="80"/>
        <v/>
      </c>
      <c r="J1640" s="21" t="str">
        <f t="shared" si="82"/>
        <v/>
      </c>
      <c r="K1640" s="20"/>
      <c r="L1640" s="21" t="str">
        <f>IF(OR(NOT(AND($B1640&lt;&gt;"",$C1640&lt;&gt;"",$D1640&lt;&gt;"",$E1640&lt;&gt;"")),$A1640="",$K1640&lt;&gt;"Yes"),"",IF($L1640&lt;&gt;"",$L1640,INDEX(SETUP!$I$1:$I$2000,MATCH(TRUE,SETUP!$J$1:$J$2000,0)+COUNTIFS($A$2:$A1640,"&lt;&gt;",$K$2:$K1640,"Yes",$L$2:$L1640,"")-1)))</f>
        <v/>
      </c>
      <c r="N1640" s="22"/>
    </row>
    <row r="1641" spans="1:14" x14ac:dyDescent="0.3">
      <c r="A1641" s="15" t="str">
        <f>IF(COUNTA($B1641:$E1641,$K1641)=0,"",IF(AND($B1641&lt;&gt;"",$C1641&lt;&gt;"",$D1641&lt;&gt;"",$E1641&lt;&gt;""),"TXS"&amp;TEXT(COUNTIFS($B$2:$B1641,"&lt;&gt;",$C$2:$C1641,"&lt;&gt;",$D$2:$D1641,"&lt;&gt;",$E$2:$E1641,"&lt;&gt;"),"00000"),""))</f>
        <v/>
      </c>
      <c r="B1641" s="16"/>
      <c r="C1641" s="20"/>
      <c r="D1641" s="20"/>
      <c r="E1641" s="23"/>
      <c r="H1641" s="21" t="str">
        <f t="shared" si="81"/>
        <v/>
      </c>
      <c r="I1641" s="21" t="str">
        <f t="shared" ref="I1641:I1704" si="83">IF(NOT(AND($B1641&lt;&gt;"",$C1641&lt;&gt;"",$D1641&lt;&gt;"",$E1641&lt;&gt;"")),"",IF($A1641="","","NIH plate "&amp;INT((VALUE(RIGHT($A1641,5))-1)/96)+1&amp;": "&amp;CHAR(65+INT(MOD(VALUE(RIGHT($A1641,5))-1,96)/12))&amp;(MOD(VALUE(RIGHT($A1641,5))-1,12)+1)))</f>
        <v/>
      </c>
      <c r="J1641" s="21" t="str">
        <f t="shared" si="82"/>
        <v/>
      </c>
      <c r="K1641" s="20"/>
      <c r="L1641" s="21" t="str">
        <f>IF(OR(NOT(AND($B1641&lt;&gt;"",$C1641&lt;&gt;"",$D1641&lt;&gt;"",$E1641&lt;&gt;"")),$A1641="",$K1641&lt;&gt;"Yes"),"",IF($L1641&lt;&gt;"",$L1641,INDEX(SETUP!$I$1:$I$2000,MATCH(TRUE,SETUP!$J$1:$J$2000,0)+COUNTIFS($A$2:$A1641,"&lt;&gt;",$K$2:$K1641,"Yes",$L$2:$L1641,"")-1)))</f>
        <v/>
      </c>
      <c r="N1641" s="22"/>
    </row>
    <row r="1642" spans="1:14" x14ac:dyDescent="0.3">
      <c r="A1642" s="15" t="str">
        <f>IF(COUNTA($B1642:$E1642,$K1642)=0,"",IF(AND($B1642&lt;&gt;"",$C1642&lt;&gt;"",$D1642&lt;&gt;"",$E1642&lt;&gt;""),"TXS"&amp;TEXT(COUNTIFS($B$2:$B1642,"&lt;&gt;",$C$2:$C1642,"&lt;&gt;",$D$2:$D1642,"&lt;&gt;",$E$2:$E1642,"&lt;&gt;"),"00000"),""))</f>
        <v/>
      </c>
      <c r="B1642" s="16"/>
      <c r="C1642" s="20"/>
      <c r="D1642" s="20"/>
      <c r="E1642" s="23"/>
      <c r="H1642" s="21" t="str">
        <f t="shared" si="81"/>
        <v/>
      </c>
      <c r="I1642" s="21" t="str">
        <f t="shared" si="83"/>
        <v/>
      </c>
      <c r="J1642" s="21" t="str">
        <f t="shared" si="82"/>
        <v/>
      </c>
      <c r="K1642" s="20"/>
      <c r="L1642" s="21" t="str">
        <f>IF(OR(NOT(AND($B1642&lt;&gt;"",$C1642&lt;&gt;"",$D1642&lt;&gt;"",$E1642&lt;&gt;"")),$A1642="",$K1642&lt;&gt;"Yes"),"",IF($L1642&lt;&gt;"",$L1642,INDEX(SETUP!$I$1:$I$2000,MATCH(TRUE,SETUP!$J$1:$J$2000,0)+COUNTIFS($A$2:$A1642,"&lt;&gt;",$K$2:$K1642,"Yes",$L$2:$L1642,"")-1)))</f>
        <v/>
      </c>
      <c r="N1642" s="22"/>
    </row>
    <row r="1643" spans="1:14" x14ac:dyDescent="0.3">
      <c r="A1643" s="15" t="str">
        <f>IF(COUNTA($B1643:$E1643,$K1643)=0,"",IF(AND($B1643&lt;&gt;"",$C1643&lt;&gt;"",$D1643&lt;&gt;"",$E1643&lt;&gt;""),"TXS"&amp;TEXT(COUNTIFS($B$2:$B1643,"&lt;&gt;",$C$2:$C1643,"&lt;&gt;",$D$2:$D1643,"&lt;&gt;",$E$2:$E1643,"&lt;&gt;"),"00000"),""))</f>
        <v/>
      </c>
      <c r="B1643" s="16"/>
      <c r="C1643" s="20"/>
      <c r="D1643" s="20"/>
      <c r="E1643" s="23"/>
      <c r="H1643" s="21" t="str">
        <f t="shared" si="81"/>
        <v/>
      </c>
      <c r="I1643" s="21" t="str">
        <f t="shared" si="83"/>
        <v/>
      </c>
      <c r="J1643" s="21" t="str">
        <f t="shared" si="82"/>
        <v/>
      </c>
      <c r="K1643" s="20"/>
      <c r="L1643" s="21" t="str">
        <f>IF(OR(NOT(AND($B1643&lt;&gt;"",$C1643&lt;&gt;"",$D1643&lt;&gt;"",$E1643&lt;&gt;"")),$A1643="",$K1643&lt;&gt;"Yes"),"",IF($L1643&lt;&gt;"",$L1643,INDEX(SETUP!$I$1:$I$2000,MATCH(TRUE,SETUP!$J$1:$J$2000,0)+COUNTIFS($A$2:$A1643,"&lt;&gt;",$K$2:$K1643,"Yes",$L$2:$L1643,"")-1)))</f>
        <v/>
      </c>
      <c r="N1643" s="22"/>
    </row>
    <row r="1644" spans="1:14" x14ac:dyDescent="0.3">
      <c r="A1644" s="15" t="str">
        <f>IF(COUNTA($B1644:$E1644,$K1644)=0,"",IF(AND($B1644&lt;&gt;"",$C1644&lt;&gt;"",$D1644&lt;&gt;"",$E1644&lt;&gt;""),"TXS"&amp;TEXT(COUNTIFS($B$2:$B1644,"&lt;&gt;",$C$2:$C1644,"&lt;&gt;",$D$2:$D1644,"&lt;&gt;",$E$2:$E1644,"&lt;&gt;"),"00000"),""))</f>
        <v/>
      </c>
      <c r="B1644" s="16"/>
      <c r="C1644" s="20"/>
      <c r="D1644" s="20"/>
      <c r="E1644" s="23"/>
      <c r="H1644" s="21" t="str">
        <f t="shared" si="81"/>
        <v/>
      </c>
      <c r="I1644" s="21" t="str">
        <f t="shared" si="83"/>
        <v/>
      </c>
      <c r="J1644" s="21" t="str">
        <f t="shared" si="82"/>
        <v/>
      </c>
      <c r="K1644" s="20"/>
      <c r="L1644" s="21" t="str">
        <f>IF(OR(NOT(AND($B1644&lt;&gt;"",$C1644&lt;&gt;"",$D1644&lt;&gt;"",$E1644&lt;&gt;"")),$A1644="",$K1644&lt;&gt;"Yes"),"",IF($L1644&lt;&gt;"",$L1644,INDEX(SETUP!$I$1:$I$2000,MATCH(TRUE,SETUP!$J$1:$J$2000,0)+COUNTIFS($A$2:$A1644,"&lt;&gt;",$K$2:$K1644,"Yes",$L$2:$L1644,"")-1)))</f>
        <v/>
      </c>
      <c r="N1644" s="22"/>
    </row>
    <row r="1645" spans="1:14" x14ac:dyDescent="0.3">
      <c r="A1645" s="15" t="str">
        <f>IF(COUNTA($B1645:$E1645,$K1645)=0,"",IF(AND($B1645&lt;&gt;"",$C1645&lt;&gt;"",$D1645&lt;&gt;"",$E1645&lt;&gt;""),"TXS"&amp;TEXT(COUNTIFS($B$2:$B1645,"&lt;&gt;",$C$2:$C1645,"&lt;&gt;",$D$2:$D1645,"&lt;&gt;",$E$2:$E1645,"&lt;&gt;"),"00000"),""))</f>
        <v/>
      </c>
      <c r="B1645" s="16"/>
      <c r="C1645" s="20"/>
      <c r="D1645" s="20"/>
      <c r="E1645" s="23"/>
      <c r="H1645" s="21" t="str">
        <f t="shared" si="81"/>
        <v/>
      </c>
      <c r="I1645" s="21" t="str">
        <f t="shared" si="83"/>
        <v/>
      </c>
      <c r="J1645" s="21" t="str">
        <f t="shared" si="82"/>
        <v/>
      </c>
      <c r="K1645" s="20"/>
      <c r="L1645" s="21" t="str">
        <f>IF(OR(NOT(AND($B1645&lt;&gt;"",$C1645&lt;&gt;"",$D1645&lt;&gt;"",$E1645&lt;&gt;"")),$A1645="",$K1645&lt;&gt;"Yes"),"",IF($L1645&lt;&gt;"",$L1645,INDEX(SETUP!$I$1:$I$2000,MATCH(TRUE,SETUP!$J$1:$J$2000,0)+COUNTIFS($A$2:$A1645,"&lt;&gt;",$K$2:$K1645,"Yes",$L$2:$L1645,"")-1)))</f>
        <v/>
      </c>
      <c r="N1645" s="22"/>
    </row>
    <row r="1646" spans="1:14" x14ac:dyDescent="0.3">
      <c r="A1646" s="15" t="str">
        <f>IF(COUNTA($B1646:$E1646,$K1646)=0,"",IF(AND($B1646&lt;&gt;"",$C1646&lt;&gt;"",$D1646&lt;&gt;"",$E1646&lt;&gt;""),"TXS"&amp;TEXT(COUNTIFS($B$2:$B1646,"&lt;&gt;",$C$2:$C1646,"&lt;&gt;",$D$2:$D1646,"&lt;&gt;",$E$2:$E1646,"&lt;&gt;"),"00000"),""))</f>
        <v/>
      </c>
      <c r="B1646" s="16"/>
      <c r="C1646" s="20"/>
      <c r="D1646" s="20"/>
      <c r="E1646" s="23"/>
      <c r="H1646" s="21" t="str">
        <f t="shared" si="81"/>
        <v/>
      </c>
      <c r="I1646" s="21" t="str">
        <f t="shared" si="83"/>
        <v/>
      </c>
      <c r="J1646" s="21" t="str">
        <f t="shared" si="82"/>
        <v/>
      </c>
      <c r="K1646" s="20"/>
      <c r="L1646" s="21" t="str">
        <f>IF(OR(NOT(AND($B1646&lt;&gt;"",$C1646&lt;&gt;"",$D1646&lt;&gt;"",$E1646&lt;&gt;"")),$A1646="",$K1646&lt;&gt;"Yes"),"",IF($L1646&lt;&gt;"",$L1646,INDEX(SETUP!$I$1:$I$2000,MATCH(TRUE,SETUP!$J$1:$J$2000,0)+COUNTIFS($A$2:$A1646,"&lt;&gt;",$K$2:$K1646,"Yes",$L$2:$L1646,"")-1)))</f>
        <v/>
      </c>
      <c r="N1646" s="22"/>
    </row>
    <row r="1647" spans="1:14" x14ac:dyDescent="0.3">
      <c r="A1647" s="15" t="str">
        <f>IF(COUNTA($B1647:$E1647,$K1647)=0,"",IF(AND($B1647&lt;&gt;"",$C1647&lt;&gt;"",$D1647&lt;&gt;"",$E1647&lt;&gt;""),"TXS"&amp;TEXT(COUNTIFS($B$2:$B1647,"&lt;&gt;",$C$2:$C1647,"&lt;&gt;",$D$2:$D1647,"&lt;&gt;",$E$2:$E1647,"&lt;&gt;"),"00000"),""))</f>
        <v/>
      </c>
      <c r="B1647" s="16"/>
      <c r="C1647" s="20"/>
      <c r="D1647" s="20"/>
      <c r="E1647" s="23"/>
      <c r="H1647" s="21" t="str">
        <f t="shared" ref="H1647:H1710" si="84">IF(NOT(AND($B1647&lt;&gt;"",$C1647&lt;&gt;"",$D1647&lt;&gt;"",$E1647&lt;&gt;"")),"",IF($A1647="","","CDI plate "&amp;INT((VALUE(RIGHT($A1647,5))-1)/96)+1&amp;": "&amp;CHAR(65+INT(MOD(VALUE(RIGHT($A1647,5))-1,96)/12))&amp;(MOD(VALUE(RIGHT($A1647,5))-1,12)+1)))</f>
        <v/>
      </c>
      <c r="I1647" s="21" t="str">
        <f t="shared" si="83"/>
        <v/>
      </c>
      <c r="J1647" s="21" t="str">
        <f t="shared" si="82"/>
        <v/>
      </c>
      <c r="K1647" s="20"/>
      <c r="L1647" s="21" t="str">
        <f>IF(OR(NOT(AND($B1647&lt;&gt;"",$C1647&lt;&gt;"",$D1647&lt;&gt;"",$E1647&lt;&gt;"")),$A1647="",$K1647&lt;&gt;"Yes"),"",IF($L1647&lt;&gt;"",$L1647,INDEX(SETUP!$I$1:$I$2000,MATCH(TRUE,SETUP!$J$1:$J$2000,0)+COUNTIFS($A$2:$A1647,"&lt;&gt;",$K$2:$K1647,"Yes",$L$2:$L1647,"")-1)))</f>
        <v/>
      </c>
      <c r="N1647" s="22"/>
    </row>
    <row r="1648" spans="1:14" x14ac:dyDescent="0.3">
      <c r="A1648" s="15" t="str">
        <f>IF(COUNTA($B1648:$E1648,$K1648)=0,"",IF(AND($B1648&lt;&gt;"",$C1648&lt;&gt;"",$D1648&lt;&gt;"",$E1648&lt;&gt;""),"TXS"&amp;TEXT(COUNTIFS($B$2:$B1648,"&lt;&gt;",$C$2:$C1648,"&lt;&gt;",$D$2:$D1648,"&lt;&gt;",$E$2:$E1648,"&lt;&gt;"),"00000"),""))</f>
        <v/>
      </c>
      <c r="B1648" s="16"/>
      <c r="C1648" s="20"/>
      <c r="D1648" s="20"/>
      <c r="E1648" s="23"/>
      <c r="H1648" s="21" t="str">
        <f t="shared" si="84"/>
        <v/>
      </c>
      <c r="I1648" s="21" t="str">
        <f t="shared" si="83"/>
        <v/>
      </c>
      <c r="J1648" s="21" t="str">
        <f t="shared" si="82"/>
        <v/>
      </c>
      <c r="K1648" s="20"/>
      <c r="L1648" s="21" t="str">
        <f>IF(OR(NOT(AND($B1648&lt;&gt;"",$C1648&lt;&gt;"",$D1648&lt;&gt;"",$E1648&lt;&gt;"")),$A1648="",$K1648&lt;&gt;"Yes"),"",IF($L1648&lt;&gt;"",$L1648,INDEX(SETUP!$I$1:$I$2000,MATCH(TRUE,SETUP!$J$1:$J$2000,0)+COUNTIFS($A$2:$A1648,"&lt;&gt;",$K$2:$K1648,"Yes",$L$2:$L1648,"")-1)))</f>
        <v/>
      </c>
      <c r="N1648" s="22"/>
    </row>
    <row r="1649" spans="1:14" x14ac:dyDescent="0.3">
      <c r="A1649" s="15" t="str">
        <f>IF(COUNTA($B1649:$E1649,$K1649)=0,"",IF(AND($B1649&lt;&gt;"",$C1649&lt;&gt;"",$D1649&lt;&gt;"",$E1649&lt;&gt;""),"TXS"&amp;TEXT(COUNTIFS($B$2:$B1649,"&lt;&gt;",$C$2:$C1649,"&lt;&gt;",$D$2:$D1649,"&lt;&gt;",$E$2:$E1649,"&lt;&gt;"),"00000"),""))</f>
        <v/>
      </c>
      <c r="B1649" s="16"/>
      <c r="C1649" s="20"/>
      <c r="D1649" s="20"/>
      <c r="E1649" s="23"/>
      <c r="H1649" s="21" t="str">
        <f t="shared" si="84"/>
        <v/>
      </c>
      <c r="I1649" s="21" t="str">
        <f t="shared" si="83"/>
        <v/>
      </c>
      <c r="J1649" s="21" t="str">
        <f t="shared" si="82"/>
        <v/>
      </c>
      <c r="K1649" s="20"/>
      <c r="L1649" s="21" t="str">
        <f>IF(OR(NOT(AND($B1649&lt;&gt;"",$C1649&lt;&gt;"",$D1649&lt;&gt;"",$E1649&lt;&gt;"")),$A1649="",$K1649&lt;&gt;"Yes"),"",IF($L1649&lt;&gt;"",$L1649,INDEX(SETUP!$I$1:$I$2000,MATCH(TRUE,SETUP!$J$1:$J$2000,0)+COUNTIFS($A$2:$A1649,"&lt;&gt;",$K$2:$K1649,"Yes",$L$2:$L1649,"")-1)))</f>
        <v/>
      </c>
      <c r="N1649" s="22"/>
    </row>
    <row r="1650" spans="1:14" x14ac:dyDescent="0.3">
      <c r="A1650" s="15" t="str">
        <f>IF(COUNTA($B1650:$E1650,$K1650)=0,"",IF(AND($B1650&lt;&gt;"",$C1650&lt;&gt;"",$D1650&lt;&gt;"",$E1650&lt;&gt;""),"TXS"&amp;TEXT(COUNTIFS($B$2:$B1650,"&lt;&gt;",$C$2:$C1650,"&lt;&gt;",$D$2:$D1650,"&lt;&gt;",$E$2:$E1650,"&lt;&gt;"),"00000"),""))</f>
        <v/>
      </c>
      <c r="B1650" s="16"/>
      <c r="C1650" s="20"/>
      <c r="D1650" s="20"/>
      <c r="E1650" s="23"/>
      <c r="H1650" s="21" t="str">
        <f t="shared" si="84"/>
        <v/>
      </c>
      <c r="I1650" s="21" t="str">
        <f t="shared" si="83"/>
        <v/>
      </c>
      <c r="J1650" s="21" t="str">
        <f t="shared" ref="J1650:J1713" si="85">IF(NOT(AND($B1650&lt;&gt;"",$C1650&lt;&gt;"",$D1650&lt;&gt;"",$E1650&lt;&gt;"")),"",IF($A1650="","","Max Planck plate "&amp;INT((VALUE(RIGHT($A1650,5))-1)/96)+1&amp;": "&amp;CHAR(65+INT(MOD(VALUE(RIGHT($A1650,5))-1,96)/12))&amp;(MOD(VALUE(RIGHT($A1650,5))-1,12)+1)))</f>
        <v/>
      </c>
      <c r="K1650" s="20"/>
      <c r="L1650" s="21" t="str">
        <f>IF(OR(NOT(AND($B1650&lt;&gt;"",$C1650&lt;&gt;"",$D1650&lt;&gt;"",$E1650&lt;&gt;"")),$A1650="",$K1650&lt;&gt;"Yes"),"",IF($L1650&lt;&gt;"",$L1650,INDEX(SETUP!$I$1:$I$2000,MATCH(TRUE,SETUP!$J$1:$J$2000,0)+COUNTIFS($A$2:$A1650,"&lt;&gt;",$K$2:$K1650,"Yes",$L$2:$L1650,"")-1)))</f>
        <v/>
      </c>
      <c r="N1650" s="22"/>
    </row>
    <row r="1651" spans="1:14" x14ac:dyDescent="0.3">
      <c r="A1651" s="15" t="str">
        <f>IF(COUNTA($B1651:$E1651,$K1651)=0,"",IF(AND($B1651&lt;&gt;"",$C1651&lt;&gt;"",$D1651&lt;&gt;"",$E1651&lt;&gt;""),"TXS"&amp;TEXT(COUNTIFS($B$2:$B1651,"&lt;&gt;",$C$2:$C1651,"&lt;&gt;",$D$2:$D1651,"&lt;&gt;",$E$2:$E1651,"&lt;&gt;"),"00000"),""))</f>
        <v/>
      </c>
      <c r="B1651" s="16"/>
      <c r="C1651" s="20"/>
      <c r="D1651" s="20"/>
      <c r="E1651" s="23"/>
      <c r="H1651" s="21" t="str">
        <f t="shared" si="84"/>
        <v/>
      </c>
      <c r="I1651" s="21" t="str">
        <f t="shared" si="83"/>
        <v/>
      </c>
      <c r="J1651" s="21" t="str">
        <f t="shared" si="85"/>
        <v/>
      </c>
      <c r="K1651" s="20"/>
      <c r="L1651" s="21" t="str">
        <f>IF(OR(NOT(AND($B1651&lt;&gt;"",$C1651&lt;&gt;"",$D1651&lt;&gt;"",$E1651&lt;&gt;"")),$A1651="",$K1651&lt;&gt;"Yes"),"",IF($L1651&lt;&gt;"",$L1651,INDEX(SETUP!$I$1:$I$2000,MATCH(TRUE,SETUP!$J$1:$J$2000,0)+COUNTIFS($A$2:$A1651,"&lt;&gt;",$K$2:$K1651,"Yes",$L$2:$L1651,"")-1)))</f>
        <v/>
      </c>
      <c r="N1651" s="22"/>
    </row>
    <row r="1652" spans="1:14" x14ac:dyDescent="0.3">
      <c r="A1652" s="15" t="str">
        <f>IF(COUNTA($B1652:$E1652,$K1652)=0,"",IF(AND($B1652&lt;&gt;"",$C1652&lt;&gt;"",$D1652&lt;&gt;"",$E1652&lt;&gt;""),"TXS"&amp;TEXT(COUNTIFS($B$2:$B1652,"&lt;&gt;",$C$2:$C1652,"&lt;&gt;",$D$2:$D1652,"&lt;&gt;",$E$2:$E1652,"&lt;&gt;"),"00000"),""))</f>
        <v/>
      </c>
      <c r="B1652" s="16"/>
      <c r="C1652" s="20"/>
      <c r="D1652" s="20"/>
      <c r="E1652" s="23"/>
      <c r="H1652" s="21" t="str">
        <f t="shared" si="84"/>
        <v/>
      </c>
      <c r="I1652" s="21" t="str">
        <f t="shared" si="83"/>
        <v/>
      </c>
      <c r="J1652" s="21" t="str">
        <f t="shared" si="85"/>
        <v/>
      </c>
      <c r="K1652" s="20"/>
      <c r="L1652" s="21" t="str">
        <f>IF(OR(NOT(AND($B1652&lt;&gt;"",$C1652&lt;&gt;"",$D1652&lt;&gt;"",$E1652&lt;&gt;"")),$A1652="",$K1652&lt;&gt;"Yes"),"",IF($L1652&lt;&gt;"",$L1652,INDEX(SETUP!$I$1:$I$2000,MATCH(TRUE,SETUP!$J$1:$J$2000,0)+COUNTIFS($A$2:$A1652,"&lt;&gt;",$K$2:$K1652,"Yes",$L$2:$L1652,"")-1)))</f>
        <v/>
      </c>
      <c r="N1652" s="22"/>
    </row>
    <row r="1653" spans="1:14" x14ac:dyDescent="0.3">
      <c r="A1653" s="15" t="str">
        <f>IF(COUNTA($B1653:$E1653,$K1653)=0,"",IF(AND($B1653&lt;&gt;"",$C1653&lt;&gt;"",$D1653&lt;&gt;"",$E1653&lt;&gt;""),"TXS"&amp;TEXT(COUNTIFS($B$2:$B1653,"&lt;&gt;",$C$2:$C1653,"&lt;&gt;",$D$2:$D1653,"&lt;&gt;",$E$2:$E1653,"&lt;&gt;"),"00000"),""))</f>
        <v/>
      </c>
      <c r="B1653" s="16"/>
      <c r="C1653" s="20"/>
      <c r="D1653" s="20"/>
      <c r="E1653" s="23"/>
      <c r="H1653" s="21" t="str">
        <f t="shared" si="84"/>
        <v/>
      </c>
      <c r="I1653" s="21" t="str">
        <f t="shared" si="83"/>
        <v/>
      </c>
      <c r="J1653" s="21" t="str">
        <f t="shared" si="85"/>
        <v/>
      </c>
      <c r="K1653" s="20"/>
      <c r="L1653" s="21" t="str">
        <f>IF(OR(NOT(AND($B1653&lt;&gt;"",$C1653&lt;&gt;"",$D1653&lt;&gt;"",$E1653&lt;&gt;"")),$A1653="",$K1653&lt;&gt;"Yes"),"",IF($L1653&lt;&gt;"",$L1653,INDEX(SETUP!$I$1:$I$2000,MATCH(TRUE,SETUP!$J$1:$J$2000,0)+COUNTIFS($A$2:$A1653,"&lt;&gt;",$K$2:$K1653,"Yes",$L$2:$L1653,"")-1)))</f>
        <v/>
      </c>
      <c r="N1653" s="22"/>
    </row>
    <row r="1654" spans="1:14" x14ac:dyDescent="0.3">
      <c r="A1654" s="15" t="str">
        <f>IF(COUNTA($B1654:$E1654,$K1654)=0,"",IF(AND($B1654&lt;&gt;"",$C1654&lt;&gt;"",$D1654&lt;&gt;"",$E1654&lt;&gt;""),"TXS"&amp;TEXT(COUNTIFS($B$2:$B1654,"&lt;&gt;",$C$2:$C1654,"&lt;&gt;",$D$2:$D1654,"&lt;&gt;",$E$2:$E1654,"&lt;&gt;"),"00000"),""))</f>
        <v/>
      </c>
      <c r="B1654" s="16"/>
      <c r="C1654" s="20"/>
      <c r="D1654" s="20"/>
      <c r="E1654" s="23"/>
      <c r="H1654" s="21" t="str">
        <f t="shared" si="84"/>
        <v/>
      </c>
      <c r="I1654" s="21" t="str">
        <f t="shared" si="83"/>
        <v/>
      </c>
      <c r="J1654" s="21" t="str">
        <f t="shared" si="85"/>
        <v/>
      </c>
      <c r="K1654" s="20"/>
      <c r="L1654" s="21" t="str">
        <f>IF(OR(NOT(AND($B1654&lt;&gt;"",$C1654&lt;&gt;"",$D1654&lt;&gt;"",$E1654&lt;&gt;"")),$A1654="",$K1654&lt;&gt;"Yes"),"",IF($L1654&lt;&gt;"",$L1654,INDEX(SETUP!$I$1:$I$2000,MATCH(TRUE,SETUP!$J$1:$J$2000,0)+COUNTIFS($A$2:$A1654,"&lt;&gt;",$K$2:$K1654,"Yes",$L$2:$L1654,"")-1)))</f>
        <v/>
      </c>
      <c r="N1654" s="22"/>
    </row>
    <row r="1655" spans="1:14" x14ac:dyDescent="0.3">
      <c r="A1655" s="15" t="str">
        <f>IF(COUNTA($B1655:$E1655,$K1655)=0,"",IF(AND($B1655&lt;&gt;"",$C1655&lt;&gt;"",$D1655&lt;&gt;"",$E1655&lt;&gt;""),"TXS"&amp;TEXT(COUNTIFS($B$2:$B1655,"&lt;&gt;",$C$2:$C1655,"&lt;&gt;",$D$2:$D1655,"&lt;&gt;",$E$2:$E1655,"&lt;&gt;"),"00000"),""))</f>
        <v/>
      </c>
      <c r="B1655" s="16"/>
      <c r="C1655" s="20"/>
      <c r="D1655" s="20"/>
      <c r="E1655" s="23"/>
      <c r="H1655" s="21" t="str">
        <f t="shared" si="84"/>
        <v/>
      </c>
      <c r="I1655" s="21" t="str">
        <f t="shared" si="83"/>
        <v/>
      </c>
      <c r="J1655" s="21" t="str">
        <f t="shared" si="85"/>
        <v/>
      </c>
      <c r="K1655" s="20"/>
      <c r="L1655" s="21" t="str">
        <f>IF(OR(NOT(AND($B1655&lt;&gt;"",$C1655&lt;&gt;"",$D1655&lt;&gt;"",$E1655&lt;&gt;"")),$A1655="",$K1655&lt;&gt;"Yes"),"",IF($L1655&lt;&gt;"",$L1655,INDEX(SETUP!$I$1:$I$2000,MATCH(TRUE,SETUP!$J$1:$J$2000,0)+COUNTIFS($A$2:$A1655,"&lt;&gt;",$K$2:$K1655,"Yes",$L$2:$L1655,"")-1)))</f>
        <v/>
      </c>
      <c r="N1655" s="22"/>
    </row>
    <row r="1656" spans="1:14" x14ac:dyDescent="0.3">
      <c r="A1656" s="15" t="str">
        <f>IF(COUNTA($B1656:$E1656,$K1656)=0,"",IF(AND($B1656&lt;&gt;"",$C1656&lt;&gt;"",$D1656&lt;&gt;"",$E1656&lt;&gt;""),"TXS"&amp;TEXT(COUNTIFS($B$2:$B1656,"&lt;&gt;",$C$2:$C1656,"&lt;&gt;",$D$2:$D1656,"&lt;&gt;",$E$2:$E1656,"&lt;&gt;"),"00000"),""))</f>
        <v/>
      </c>
      <c r="B1656" s="16"/>
      <c r="C1656" s="20"/>
      <c r="D1656" s="20"/>
      <c r="E1656" s="23"/>
      <c r="H1656" s="21" t="str">
        <f t="shared" si="84"/>
        <v/>
      </c>
      <c r="I1656" s="21" t="str">
        <f t="shared" si="83"/>
        <v/>
      </c>
      <c r="J1656" s="21" t="str">
        <f t="shared" si="85"/>
        <v/>
      </c>
      <c r="K1656" s="20"/>
      <c r="L1656" s="21" t="str">
        <f>IF(OR(NOT(AND($B1656&lt;&gt;"",$C1656&lt;&gt;"",$D1656&lt;&gt;"",$E1656&lt;&gt;"")),$A1656="",$K1656&lt;&gt;"Yes"),"",IF($L1656&lt;&gt;"",$L1656,INDEX(SETUP!$I$1:$I$2000,MATCH(TRUE,SETUP!$J$1:$J$2000,0)+COUNTIFS($A$2:$A1656,"&lt;&gt;",$K$2:$K1656,"Yes",$L$2:$L1656,"")-1)))</f>
        <v/>
      </c>
      <c r="N1656" s="22"/>
    </row>
    <row r="1657" spans="1:14" x14ac:dyDescent="0.3">
      <c r="A1657" s="15" t="str">
        <f>IF(COUNTA($B1657:$E1657,$K1657)=0,"",IF(AND($B1657&lt;&gt;"",$C1657&lt;&gt;"",$D1657&lt;&gt;"",$E1657&lt;&gt;""),"TXS"&amp;TEXT(COUNTIFS($B$2:$B1657,"&lt;&gt;",$C$2:$C1657,"&lt;&gt;",$D$2:$D1657,"&lt;&gt;",$E$2:$E1657,"&lt;&gt;"),"00000"),""))</f>
        <v/>
      </c>
      <c r="B1657" s="16"/>
      <c r="C1657" s="20"/>
      <c r="D1657" s="20"/>
      <c r="E1657" s="23"/>
      <c r="H1657" s="21" t="str">
        <f t="shared" si="84"/>
        <v/>
      </c>
      <c r="I1657" s="21" t="str">
        <f t="shared" si="83"/>
        <v/>
      </c>
      <c r="J1657" s="21" t="str">
        <f t="shared" si="85"/>
        <v/>
      </c>
      <c r="K1657" s="20"/>
      <c r="L1657" s="21" t="str">
        <f>IF(OR(NOT(AND($B1657&lt;&gt;"",$C1657&lt;&gt;"",$D1657&lt;&gt;"",$E1657&lt;&gt;"")),$A1657="",$K1657&lt;&gt;"Yes"),"",IF($L1657&lt;&gt;"",$L1657,INDEX(SETUP!$I$1:$I$2000,MATCH(TRUE,SETUP!$J$1:$J$2000,0)+COUNTIFS($A$2:$A1657,"&lt;&gt;",$K$2:$K1657,"Yes",$L$2:$L1657,"")-1)))</f>
        <v/>
      </c>
      <c r="N1657" s="22"/>
    </row>
    <row r="1658" spans="1:14" x14ac:dyDescent="0.3">
      <c r="A1658" s="15" t="str">
        <f>IF(COUNTA($B1658:$E1658,$K1658)=0,"",IF(AND($B1658&lt;&gt;"",$C1658&lt;&gt;"",$D1658&lt;&gt;"",$E1658&lt;&gt;""),"TXS"&amp;TEXT(COUNTIFS($B$2:$B1658,"&lt;&gt;",$C$2:$C1658,"&lt;&gt;",$D$2:$D1658,"&lt;&gt;",$E$2:$E1658,"&lt;&gt;"),"00000"),""))</f>
        <v/>
      </c>
      <c r="B1658" s="16"/>
      <c r="C1658" s="20"/>
      <c r="D1658" s="20"/>
      <c r="E1658" s="23"/>
      <c r="H1658" s="21" t="str">
        <f t="shared" si="84"/>
        <v/>
      </c>
      <c r="I1658" s="21" t="str">
        <f t="shared" si="83"/>
        <v/>
      </c>
      <c r="J1658" s="21" t="str">
        <f t="shared" si="85"/>
        <v/>
      </c>
      <c r="K1658" s="20"/>
      <c r="L1658" s="21" t="str">
        <f>IF(OR(NOT(AND($B1658&lt;&gt;"",$C1658&lt;&gt;"",$D1658&lt;&gt;"",$E1658&lt;&gt;"")),$A1658="",$K1658&lt;&gt;"Yes"),"",IF($L1658&lt;&gt;"",$L1658,INDEX(SETUP!$I$1:$I$2000,MATCH(TRUE,SETUP!$J$1:$J$2000,0)+COUNTIFS($A$2:$A1658,"&lt;&gt;",$K$2:$K1658,"Yes",$L$2:$L1658,"")-1)))</f>
        <v/>
      </c>
      <c r="N1658" s="22"/>
    </row>
    <row r="1659" spans="1:14" x14ac:dyDescent="0.3">
      <c r="A1659" s="15" t="str">
        <f>IF(COUNTA($B1659:$E1659,$K1659)=0,"",IF(AND($B1659&lt;&gt;"",$C1659&lt;&gt;"",$D1659&lt;&gt;"",$E1659&lt;&gt;""),"TXS"&amp;TEXT(COUNTIFS($B$2:$B1659,"&lt;&gt;",$C$2:$C1659,"&lt;&gt;",$D$2:$D1659,"&lt;&gt;",$E$2:$E1659,"&lt;&gt;"),"00000"),""))</f>
        <v/>
      </c>
      <c r="B1659" s="16"/>
      <c r="C1659" s="20"/>
      <c r="D1659" s="20"/>
      <c r="E1659" s="23"/>
      <c r="H1659" s="21" t="str">
        <f t="shared" si="84"/>
        <v/>
      </c>
      <c r="I1659" s="21" t="str">
        <f t="shared" si="83"/>
        <v/>
      </c>
      <c r="J1659" s="21" t="str">
        <f t="shared" si="85"/>
        <v/>
      </c>
      <c r="K1659" s="20"/>
      <c r="L1659" s="21" t="str">
        <f>IF(OR(NOT(AND($B1659&lt;&gt;"",$C1659&lt;&gt;"",$D1659&lt;&gt;"",$E1659&lt;&gt;"")),$A1659="",$K1659&lt;&gt;"Yes"),"",IF($L1659&lt;&gt;"",$L1659,INDEX(SETUP!$I$1:$I$2000,MATCH(TRUE,SETUP!$J$1:$J$2000,0)+COUNTIFS($A$2:$A1659,"&lt;&gt;",$K$2:$K1659,"Yes",$L$2:$L1659,"")-1)))</f>
        <v/>
      </c>
      <c r="N1659" s="22"/>
    </row>
    <row r="1660" spans="1:14" x14ac:dyDescent="0.3">
      <c r="A1660" s="15" t="str">
        <f>IF(COUNTA($B1660:$E1660,$K1660)=0,"",IF(AND($B1660&lt;&gt;"",$C1660&lt;&gt;"",$D1660&lt;&gt;"",$E1660&lt;&gt;""),"TXS"&amp;TEXT(COUNTIFS($B$2:$B1660,"&lt;&gt;",$C$2:$C1660,"&lt;&gt;",$D$2:$D1660,"&lt;&gt;",$E$2:$E1660,"&lt;&gt;"),"00000"),""))</f>
        <v/>
      </c>
      <c r="B1660" s="16"/>
      <c r="C1660" s="20"/>
      <c r="D1660" s="20"/>
      <c r="E1660" s="23"/>
      <c r="H1660" s="21" t="str">
        <f t="shared" si="84"/>
        <v/>
      </c>
      <c r="I1660" s="21" t="str">
        <f t="shared" si="83"/>
        <v/>
      </c>
      <c r="J1660" s="21" t="str">
        <f t="shared" si="85"/>
        <v/>
      </c>
      <c r="K1660" s="20"/>
      <c r="L1660" s="21" t="str">
        <f>IF(OR(NOT(AND($B1660&lt;&gt;"",$C1660&lt;&gt;"",$D1660&lt;&gt;"",$E1660&lt;&gt;"")),$A1660="",$K1660&lt;&gt;"Yes"),"",IF($L1660&lt;&gt;"",$L1660,INDEX(SETUP!$I$1:$I$2000,MATCH(TRUE,SETUP!$J$1:$J$2000,0)+COUNTIFS($A$2:$A1660,"&lt;&gt;",$K$2:$K1660,"Yes",$L$2:$L1660,"")-1)))</f>
        <v/>
      </c>
      <c r="N1660" s="22"/>
    </row>
    <row r="1661" spans="1:14" x14ac:dyDescent="0.3">
      <c r="A1661" s="15" t="str">
        <f>IF(COUNTA($B1661:$E1661,$K1661)=0,"",IF(AND($B1661&lt;&gt;"",$C1661&lt;&gt;"",$D1661&lt;&gt;"",$E1661&lt;&gt;""),"TXS"&amp;TEXT(COUNTIFS($B$2:$B1661,"&lt;&gt;",$C$2:$C1661,"&lt;&gt;",$D$2:$D1661,"&lt;&gt;",$E$2:$E1661,"&lt;&gt;"),"00000"),""))</f>
        <v/>
      </c>
      <c r="B1661" s="16"/>
      <c r="C1661" s="20"/>
      <c r="D1661" s="20"/>
      <c r="E1661" s="23"/>
      <c r="H1661" s="21" t="str">
        <f t="shared" si="84"/>
        <v/>
      </c>
      <c r="I1661" s="21" t="str">
        <f t="shared" si="83"/>
        <v/>
      </c>
      <c r="J1661" s="21" t="str">
        <f t="shared" si="85"/>
        <v/>
      </c>
      <c r="K1661" s="20"/>
      <c r="L1661" s="21" t="str">
        <f>IF(OR(NOT(AND($B1661&lt;&gt;"",$C1661&lt;&gt;"",$D1661&lt;&gt;"",$E1661&lt;&gt;"")),$A1661="",$K1661&lt;&gt;"Yes"),"",IF($L1661&lt;&gt;"",$L1661,INDEX(SETUP!$I$1:$I$2000,MATCH(TRUE,SETUP!$J$1:$J$2000,0)+COUNTIFS($A$2:$A1661,"&lt;&gt;",$K$2:$K1661,"Yes",$L$2:$L1661,"")-1)))</f>
        <v/>
      </c>
      <c r="N1661" s="22"/>
    </row>
    <row r="1662" spans="1:14" x14ac:dyDescent="0.3">
      <c r="A1662" s="15" t="str">
        <f>IF(COUNTA($B1662:$E1662,$K1662)=0,"",IF(AND($B1662&lt;&gt;"",$C1662&lt;&gt;"",$D1662&lt;&gt;"",$E1662&lt;&gt;""),"TXS"&amp;TEXT(COUNTIFS($B$2:$B1662,"&lt;&gt;",$C$2:$C1662,"&lt;&gt;",$D$2:$D1662,"&lt;&gt;",$E$2:$E1662,"&lt;&gt;"),"00000"),""))</f>
        <v/>
      </c>
      <c r="B1662" s="16"/>
      <c r="C1662" s="20"/>
      <c r="D1662" s="20"/>
      <c r="E1662" s="23"/>
      <c r="H1662" s="21" t="str">
        <f t="shared" si="84"/>
        <v/>
      </c>
      <c r="I1662" s="21" t="str">
        <f t="shared" si="83"/>
        <v/>
      </c>
      <c r="J1662" s="21" t="str">
        <f t="shared" si="85"/>
        <v/>
      </c>
      <c r="K1662" s="20"/>
      <c r="L1662" s="21" t="str">
        <f>IF(OR(NOT(AND($B1662&lt;&gt;"",$C1662&lt;&gt;"",$D1662&lt;&gt;"",$E1662&lt;&gt;"")),$A1662="",$K1662&lt;&gt;"Yes"),"",IF($L1662&lt;&gt;"",$L1662,INDEX(SETUP!$I$1:$I$2000,MATCH(TRUE,SETUP!$J$1:$J$2000,0)+COUNTIFS($A$2:$A1662,"&lt;&gt;",$K$2:$K1662,"Yes",$L$2:$L1662,"")-1)))</f>
        <v/>
      </c>
      <c r="N1662" s="22"/>
    </row>
    <row r="1663" spans="1:14" x14ac:dyDescent="0.3">
      <c r="A1663" s="15" t="str">
        <f>IF(COUNTA($B1663:$E1663,$K1663)=0,"",IF(AND($B1663&lt;&gt;"",$C1663&lt;&gt;"",$D1663&lt;&gt;"",$E1663&lt;&gt;""),"TXS"&amp;TEXT(COUNTIFS($B$2:$B1663,"&lt;&gt;",$C$2:$C1663,"&lt;&gt;",$D$2:$D1663,"&lt;&gt;",$E$2:$E1663,"&lt;&gt;"),"00000"),""))</f>
        <v/>
      </c>
      <c r="B1663" s="16"/>
      <c r="C1663" s="20"/>
      <c r="D1663" s="20"/>
      <c r="E1663" s="23"/>
      <c r="H1663" s="21" t="str">
        <f t="shared" si="84"/>
        <v/>
      </c>
      <c r="I1663" s="21" t="str">
        <f t="shared" si="83"/>
        <v/>
      </c>
      <c r="J1663" s="21" t="str">
        <f t="shared" si="85"/>
        <v/>
      </c>
      <c r="K1663" s="20"/>
      <c r="L1663" s="21" t="str">
        <f>IF(OR(NOT(AND($B1663&lt;&gt;"",$C1663&lt;&gt;"",$D1663&lt;&gt;"",$E1663&lt;&gt;"")),$A1663="",$K1663&lt;&gt;"Yes"),"",IF($L1663&lt;&gt;"",$L1663,INDEX(SETUP!$I$1:$I$2000,MATCH(TRUE,SETUP!$J$1:$J$2000,0)+COUNTIFS($A$2:$A1663,"&lt;&gt;",$K$2:$K1663,"Yes",$L$2:$L1663,"")-1)))</f>
        <v/>
      </c>
      <c r="N1663" s="22"/>
    </row>
    <row r="1664" spans="1:14" x14ac:dyDescent="0.3">
      <c r="A1664" s="15" t="str">
        <f>IF(COUNTA($B1664:$E1664,$K1664)=0,"",IF(AND($B1664&lt;&gt;"",$C1664&lt;&gt;"",$D1664&lt;&gt;"",$E1664&lt;&gt;""),"TXS"&amp;TEXT(COUNTIFS($B$2:$B1664,"&lt;&gt;",$C$2:$C1664,"&lt;&gt;",$D$2:$D1664,"&lt;&gt;",$E$2:$E1664,"&lt;&gt;"),"00000"),""))</f>
        <v/>
      </c>
      <c r="B1664" s="16"/>
      <c r="C1664" s="20"/>
      <c r="D1664" s="20"/>
      <c r="E1664" s="23"/>
      <c r="H1664" s="21" t="str">
        <f t="shared" si="84"/>
        <v/>
      </c>
      <c r="I1664" s="21" t="str">
        <f t="shared" si="83"/>
        <v/>
      </c>
      <c r="J1664" s="21" t="str">
        <f t="shared" si="85"/>
        <v/>
      </c>
      <c r="K1664" s="20"/>
      <c r="L1664" s="21" t="str">
        <f>IF(OR(NOT(AND($B1664&lt;&gt;"",$C1664&lt;&gt;"",$D1664&lt;&gt;"",$E1664&lt;&gt;"")),$A1664="",$K1664&lt;&gt;"Yes"),"",IF($L1664&lt;&gt;"",$L1664,INDEX(SETUP!$I$1:$I$2000,MATCH(TRUE,SETUP!$J$1:$J$2000,0)+COUNTIFS($A$2:$A1664,"&lt;&gt;",$K$2:$K1664,"Yes",$L$2:$L1664,"")-1)))</f>
        <v/>
      </c>
      <c r="N1664" s="22"/>
    </row>
    <row r="1665" spans="1:14" x14ac:dyDescent="0.3">
      <c r="A1665" s="15" t="str">
        <f>IF(COUNTA($B1665:$E1665,$K1665)=0,"",IF(AND($B1665&lt;&gt;"",$C1665&lt;&gt;"",$D1665&lt;&gt;"",$E1665&lt;&gt;""),"TXS"&amp;TEXT(COUNTIFS($B$2:$B1665,"&lt;&gt;",$C$2:$C1665,"&lt;&gt;",$D$2:$D1665,"&lt;&gt;",$E$2:$E1665,"&lt;&gt;"),"00000"),""))</f>
        <v/>
      </c>
      <c r="B1665" s="16"/>
      <c r="C1665" s="20"/>
      <c r="D1665" s="20"/>
      <c r="E1665" s="23"/>
      <c r="H1665" s="21" t="str">
        <f t="shared" si="84"/>
        <v/>
      </c>
      <c r="I1665" s="21" t="str">
        <f t="shared" si="83"/>
        <v/>
      </c>
      <c r="J1665" s="21" t="str">
        <f t="shared" si="85"/>
        <v/>
      </c>
      <c r="K1665" s="20"/>
      <c r="L1665" s="21" t="str">
        <f>IF(OR(NOT(AND($B1665&lt;&gt;"",$C1665&lt;&gt;"",$D1665&lt;&gt;"",$E1665&lt;&gt;"")),$A1665="",$K1665&lt;&gt;"Yes"),"",IF($L1665&lt;&gt;"",$L1665,INDEX(SETUP!$I$1:$I$2000,MATCH(TRUE,SETUP!$J$1:$J$2000,0)+COUNTIFS($A$2:$A1665,"&lt;&gt;",$K$2:$K1665,"Yes",$L$2:$L1665,"")-1)))</f>
        <v/>
      </c>
      <c r="N1665" s="22"/>
    </row>
    <row r="1666" spans="1:14" x14ac:dyDescent="0.3">
      <c r="A1666" s="15" t="str">
        <f>IF(COUNTA($B1666:$E1666,$K1666)=0,"",IF(AND($B1666&lt;&gt;"",$C1666&lt;&gt;"",$D1666&lt;&gt;"",$E1666&lt;&gt;""),"TXS"&amp;TEXT(COUNTIFS($B$2:$B1666,"&lt;&gt;",$C$2:$C1666,"&lt;&gt;",$D$2:$D1666,"&lt;&gt;",$E$2:$E1666,"&lt;&gt;"),"00000"),""))</f>
        <v/>
      </c>
      <c r="B1666" s="16"/>
      <c r="C1666" s="20"/>
      <c r="D1666" s="20"/>
      <c r="E1666" s="23"/>
      <c r="H1666" s="21" t="str">
        <f t="shared" si="84"/>
        <v/>
      </c>
      <c r="I1666" s="21" t="str">
        <f t="shared" si="83"/>
        <v/>
      </c>
      <c r="J1666" s="21" t="str">
        <f t="shared" si="85"/>
        <v/>
      </c>
      <c r="K1666" s="20"/>
      <c r="L1666" s="21" t="str">
        <f>IF(OR(NOT(AND($B1666&lt;&gt;"",$C1666&lt;&gt;"",$D1666&lt;&gt;"",$E1666&lt;&gt;"")),$A1666="",$K1666&lt;&gt;"Yes"),"",IF($L1666&lt;&gt;"",$L1666,INDEX(SETUP!$I$1:$I$2000,MATCH(TRUE,SETUP!$J$1:$J$2000,0)+COUNTIFS($A$2:$A1666,"&lt;&gt;",$K$2:$K1666,"Yes",$L$2:$L1666,"")-1)))</f>
        <v/>
      </c>
      <c r="N1666" s="22"/>
    </row>
    <row r="1667" spans="1:14" x14ac:dyDescent="0.3">
      <c r="A1667" s="15" t="str">
        <f>IF(COUNTA($B1667:$E1667,$K1667)=0,"",IF(AND($B1667&lt;&gt;"",$C1667&lt;&gt;"",$D1667&lt;&gt;"",$E1667&lt;&gt;""),"TXS"&amp;TEXT(COUNTIFS($B$2:$B1667,"&lt;&gt;",$C$2:$C1667,"&lt;&gt;",$D$2:$D1667,"&lt;&gt;",$E$2:$E1667,"&lt;&gt;"),"00000"),""))</f>
        <v/>
      </c>
      <c r="B1667" s="16"/>
      <c r="C1667" s="20"/>
      <c r="D1667" s="20"/>
      <c r="E1667" s="23"/>
      <c r="H1667" s="21" t="str">
        <f t="shared" si="84"/>
        <v/>
      </c>
      <c r="I1667" s="21" t="str">
        <f t="shared" si="83"/>
        <v/>
      </c>
      <c r="J1667" s="21" t="str">
        <f t="shared" si="85"/>
        <v/>
      </c>
      <c r="K1667" s="20"/>
      <c r="L1667" s="21" t="str">
        <f>IF(OR(NOT(AND($B1667&lt;&gt;"",$C1667&lt;&gt;"",$D1667&lt;&gt;"",$E1667&lt;&gt;"")),$A1667="",$K1667&lt;&gt;"Yes"),"",IF($L1667&lt;&gt;"",$L1667,INDEX(SETUP!$I$1:$I$2000,MATCH(TRUE,SETUP!$J$1:$J$2000,0)+COUNTIFS($A$2:$A1667,"&lt;&gt;",$K$2:$K1667,"Yes",$L$2:$L1667,"")-1)))</f>
        <v/>
      </c>
      <c r="N1667" s="22"/>
    </row>
    <row r="1668" spans="1:14" x14ac:dyDescent="0.3">
      <c r="A1668" s="15" t="str">
        <f>IF(COUNTA($B1668:$E1668,$K1668)=0,"",IF(AND($B1668&lt;&gt;"",$C1668&lt;&gt;"",$D1668&lt;&gt;"",$E1668&lt;&gt;""),"TXS"&amp;TEXT(COUNTIFS($B$2:$B1668,"&lt;&gt;",$C$2:$C1668,"&lt;&gt;",$D$2:$D1668,"&lt;&gt;",$E$2:$E1668,"&lt;&gt;"),"00000"),""))</f>
        <v/>
      </c>
      <c r="B1668" s="16"/>
      <c r="C1668" s="20"/>
      <c r="D1668" s="20"/>
      <c r="E1668" s="23"/>
      <c r="H1668" s="21" t="str">
        <f t="shared" si="84"/>
        <v/>
      </c>
      <c r="I1668" s="21" t="str">
        <f t="shared" si="83"/>
        <v/>
      </c>
      <c r="J1668" s="21" t="str">
        <f t="shared" si="85"/>
        <v/>
      </c>
      <c r="K1668" s="20"/>
      <c r="L1668" s="21" t="str">
        <f>IF(OR(NOT(AND($B1668&lt;&gt;"",$C1668&lt;&gt;"",$D1668&lt;&gt;"",$E1668&lt;&gt;"")),$A1668="",$K1668&lt;&gt;"Yes"),"",IF($L1668&lt;&gt;"",$L1668,INDEX(SETUP!$I$1:$I$2000,MATCH(TRUE,SETUP!$J$1:$J$2000,0)+COUNTIFS($A$2:$A1668,"&lt;&gt;",$K$2:$K1668,"Yes",$L$2:$L1668,"")-1)))</f>
        <v/>
      </c>
      <c r="N1668" s="22"/>
    </row>
    <row r="1669" spans="1:14" x14ac:dyDescent="0.3">
      <c r="A1669" s="15" t="str">
        <f>IF(COUNTA($B1669:$E1669,$K1669)=0,"",IF(AND($B1669&lt;&gt;"",$C1669&lt;&gt;"",$D1669&lt;&gt;"",$E1669&lt;&gt;""),"TXS"&amp;TEXT(COUNTIFS($B$2:$B1669,"&lt;&gt;",$C$2:$C1669,"&lt;&gt;",$D$2:$D1669,"&lt;&gt;",$E$2:$E1669,"&lt;&gt;"),"00000"),""))</f>
        <v/>
      </c>
      <c r="B1669" s="16"/>
      <c r="C1669" s="20"/>
      <c r="D1669" s="20"/>
      <c r="E1669" s="23"/>
      <c r="H1669" s="21" t="str">
        <f t="shared" si="84"/>
        <v/>
      </c>
      <c r="I1669" s="21" t="str">
        <f t="shared" si="83"/>
        <v/>
      </c>
      <c r="J1669" s="21" t="str">
        <f t="shared" si="85"/>
        <v/>
      </c>
      <c r="K1669" s="20"/>
      <c r="L1669" s="21" t="str">
        <f>IF(OR(NOT(AND($B1669&lt;&gt;"",$C1669&lt;&gt;"",$D1669&lt;&gt;"",$E1669&lt;&gt;"")),$A1669="",$K1669&lt;&gt;"Yes"),"",IF($L1669&lt;&gt;"",$L1669,INDEX(SETUP!$I$1:$I$2000,MATCH(TRUE,SETUP!$J$1:$J$2000,0)+COUNTIFS($A$2:$A1669,"&lt;&gt;",$K$2:$K1669,"Yes",$L$2:$L1669,"")-1)))</f>
        <v/>
      </c>
      <c r="N1669" s="22"/>
    </row>
    <row r="1670" spans="1:14" x14ac:dyDescent="0.3">
      <c r="A1670" s="15" t="str">
        <f>IF(COUNTA($B1670:$E1670,$K1670)=0,"",IF(AND($B1670&lt;&gt;"",$C1670&lt;&gt;"",$D1670&lt;&gt;"",$E1670&lt;&gt;""),"TXS"&amp;TEXT(COUNTIFS($B$2:$B1670,"&lt;&gt;",$C$2:$C1670,"&lt;&gt;",$D$2:$D1670,"&lt;&gt;",$E$2:$E1670,"&lt;&gt;"),"00000"),""))</f>
        <v/>
      </c>
      <c r="B1670" s="16"/>
      <c r="C1670" s="20"/>
      <c r="D1670" s="20"/>
      <c r="E1670" s="23"/>
      <c r="H1670" s="21" t="str">
        <f t="shared" si="84"/>
        <v/>
      </c>
      <c r="I1670" s="21" t="str">
        <f t="shared" si="83"/>
        <v/>
      </c>
      <c r="J1670" s="21" t="str">
        <f t="shared" si="85"/>
        <v/>
      </c>
      <c r="K1670" s="20"/>
      <c r="L1670" s="21" t="str">
        <f>IF(OR(NOT(AND($B1670&lt;&gt;"",$C1670&lt;&gt;"",$D1670&lt;&gt;"",$E1670&lt;&gt;"")),$A1670="",$K1670&lt;&gt;"Yes"),"",IF($L1670&lt;&gt;"",$L1670,INDEX(SETUP!$I$1:$I$2000,MATCH(TRUE,SETUP!$J$1:$J$2000,0)+COUNTIFS($A$2:$A1670,"&lt;&gt;",$K$2:$K1670,"Yes",$L$2:$L1670,"")-1)))</f>
        <v/>
      </c>
      <c r="N1670" s="22"/>
    </row>
    <row r="1671" spans="1:14" x14ac:dyDescent="0.3">
      <c r="A1671" s="15" t="str">
        <f>IF(COUNTA($B1671:$E1671,$K1671)=0,"",IF(AND($B1671&lt;&gt;"",$C1671&lt;&gt;"",$D1671&lt;&gt;"",$E1671&lt;&gt;""),"TXS"&amp;TEXT(COUNTIFS($B$2:$B1671,"&lt;&gt;",$C$2:$C1671,"&lt;&gt;",$D$2:$D1671,"&lt;&gt;",$E$2:$E1671,"&lt;&gt;"),"00000"),""))</f>
        <v/>
      </c>
      <c r="B1671" s="16"/>
      <c r="C1671" s="20"/>
      <c r="D1671" s="20"/>
      <c r="E1671" s="23"/>
      <c r="H1671" s="21" t="str">
        <f t="shared" si="84"/>
        <v/>
      </c>
      <c r="I1671" s="21" t="str">
        <f t="shared" si="83"/>
        <v/>
      </c>
      <c r="J1671" s="21" t="str">
        <f t="shared" si="85"/>
        <v/>
      </c>
      <c r="K1671" s="20"/>
      <c r="L1671" s="21" t="str">
        <f>IF(OR(NOT(AND($B1671&lt;&gt;"",$C1671&lt;&gt;"",$D1671&lt;&gt;"",$E1671&lt;&gt;"")),$A1671="",$K1671&lt;&gt;"Yes"),"",IF($L1671&lt;&gt;"",$L1671,INDEX(SETUP!$I$1:$I$2000,MATCH(TRUE,SETUP!$J$1:$J$2000,0)+COUNTIFS($A$2:$A1671,"&lt;&gt;",$K$2:$K1671,"Yes",$L$2:$L1671,"")-1)))</f>
        <v/>
      </c>
      <c r="N1671" s="22"/>
    </row>
    <row r="1672" spans="1:14" x14ac:dyDescent="0.3">
      <c r="A1672" s="15" t="str">
        <f>IF(COUNTA($B1672:$E1672,$K1672)=0,"",IF(AND($B1672&lt;&gt;"",$C1672&lt;&gt;"",$D1672&lt;&gt;"",$E1672&lt;&gt;""),"TXS"&amp;TEXT(COUNTIFS($B$2:$B1672,"&lt;&gt;",$C$2:$C1672,"&lt;&gt;",$D$2:$D1672,"&lt;&gt;",$E$2:$E1672,"&lt;&gt;"),"00000"),""))</f>
        <v/>
      </c>
      <c r="B1672" s="16"/>
      <c r="C1672" s="20"/>
      <c r="D1672" s="20"/>
      <c r="E1672" s="23"/>
      <c r="H1672" s="21" t="str">
        <f t="shared" si="84"/>
        <v/>
      </c>
      <c r="I1672" s="21" t="str">
        <f t="shared" si="83"/>
        <v/>
      </c>
      <c r="J1672" s="21" t="str">
        <f t="shared" si="85"/>
        <v/>
      </c>
      <c r="K1672" s="20"/>
      <c r="L1672" s="21" t="str">
        <f>IF(OR(NOT(AND($B1672&lt;&gt;"",$C1672&lt;&gt;"",$D1672&lt;&gt;"",$E1672&lt;&gt;"")),$A1672="",$K1672&lt;&gt;"Yes"),"",IF($L1672&lt;&gt;"",$L1672,INDEX(SETUP!$I$1:$I$2000,MATCH(TRUE,SETUP!$J$1:$J$2000,0)+COUNTIFS($A$2:$A1672,"&lt;&gt;",$K$2:$K1672,"Yes",$L$2:$L1672,"")-1)))</f>
        <v/>
      </c>
      <c r="N1672" s="22"/>
    </row>
    <row r="1673" spans="1:14" x14ac:dyDescent="0.3">
      <c r="A1673" s="15" t="str">
        <f>IF(COUNTA($B1673:$E1673,$K1673)=0,"",IF(AND($B1673&lt;&gt;"",$C1673&lt;&gt;"",$D1673&lt;&gt;"",$E1673&lt;&gt;""),"TXS"&amp;TEXT(COUNTIFS($B$2:$B1673,"&lt;&gt;",$C$2:$C1673,"&lt;&gt;",$D$2:$D1673,"&lt;&gt;",$E$2:$E1673,"&lt;&gt;"),"00000"),""))</f>
        <v/>
      </c>
      <c r="B1673" s="16"/>
      <c r="C1673" s="20"/>
      <c r="D1673" s="20"/>
      <c r="E1673" s="23"/>
      <c r="H1673" s="21" t="str">
        <f t="shared" si="84"/>
        <v/>
      </c>
      <c r="I1673" s="21" t="str">
        <f t="shared" si="83"/>
        <v/>
      </c>
      <c r="J1673" s="21" t="str">
        <f t="shared" si="85"/>
        <v/>
      </c>
      <c r="K1673" s="20"/>
      <c r="L1673" s="21" t="str">
        <f>IF(OR(NOT(AND($B1673&lt;&gt;"",$C1673&lt;&gt;"",$D1673&lt;&gt;"",$E1673&lt;&gt;"")),$A1673="",$K1673&lt;&gt;"Yes"),"",IF($L1673&lt;&gt;"",$L1673,INDEX(SETUP!$I$1:$I$2000,MATCH(TRUE,SETUP!$J$1:$J$2000,0)+COUNTIFS($A$2:$A1673,"&lt;&gt;",$K$2:$K1673,"Yes",$L$2:$L1673,"")-1)))</f>
        <v/>
      </c>
      <c r="N1673" s="22"/>
    </row>
    <row r="1674" spans="1:14" x14ac:dyDescent="0.3">
      <c r="A1674" s="15" t="str">
        <f>IF(COUNTA($B1674:$E1674,$K1674)=0,"",IF(AND($B1674&lt;&gt;"",$C1674&lt;&gt;"",$D1674&lt;&gt;"",$E1674&lt;&gt;""),"TXS"&amp;TEXT(COUNTIFS($B$2:$B1674,"&lt;&gt;",$C$2:$C1674,"&lt;&gt;",$D$2:$D1674,"&lt;&gt;",$E$2:$E1674,"&lt;&gt;"),"00000"),""))</f>
        <v/>
      </c>
      <c r="B1674" s="16"/>
      <c r="C1674" s="20"/>
      <c r="D1674" s="20"/>
      <c r="E1674" s="23"/>
      <c r="H1674" s="21" t="str">
        <f t="shared" si="84"/>
        <v/>
      </c>
      <c r="I1674" s="21" t="str">
        <f t="shared" si="83"/>
        <v/>
      </c>
      <c r="J1674" s="21" t="str">
        <f t="shared" si="85"/>
        <v/>
      </c>
      <c r="K1674" s="20"/>
      <c r="L1674" s="21" t="str">
        <f>IF(OR(NOT(AND($B1674&lt;&gt;"",$C1674&lt;&gt;"",$D1674&lt;&gt;"",$E1674&lt;&gt;"")),$A1674="",$K1674&lt;&gt;"Yes"),"",IF($L1674&lt;&gt;"",$L1674,INDEX(SETUP!$I$1:$I$2000,MATCH(TRUE,SETUP!$J$1:$J$2000,0)+COUNTIFS($A$2:$A1674,"&lt;&gt;",$K$2:$K1674,"Yes",$L$2:$L1674,"")-1)))</f>
        <v/>
      </c>
      <c r="N1674" s="22"/>
    </row>
    <row r="1675" spans="1:14" x14ac:dyDescent="0.3">
      <c r="A1675" s="15" t="str">
        <f>IF(COUNTA($B1675:$E1675,$K1675)=0,"",IF(AND($B1675&lt;&gt;"",$C1675&lt;&gt;"",$D1675&lt;&gt;"",$E1675&lt;&gt;""),"TXS"&amp;TEXT(COUNTIFS($B$2:$B1675,"&lt;&gt;",$C$2:$C1675,"&lt;&gt;",$D$2:$D1675,"&lt;&gt;",$E$2:$E1675,"&lt;&gt;"),"00000"),""))</f>
        <v/>
      </c>
      <c r="B1675" s="16"/>
      <c r="C1675" s="20"/>
      <c r="D1675" s="20"/>
      <c r="E1675" s="23"/>
      <c r="H1675" s="21" t="str">
        <f t="shared" si="84"/>
        <v/>
      </c>
      <c r="I1675" s="21" t="str">
        <f t="shared" si="83"/>
        <v/>
      </c>
      <c r="J1675" s="21" t="str">
        <f t="shared" si="85"/>
        <v/>
      </c>
      <c r="K1675" s="20"/>
      <c r="L1675" s="21" t="str">
        <f>IF(OR(NOT(AND($B1675&lt;&gt;"",$C1675&lt;&gt;"",$D1675&lt;&gt;"",$E1675&lt;&gt;"")),$A1675="",$K1675&lt;&gt;"Yes"),"",IF($L1675&lt;&gt;"",$L1675,INDEX(SETUP!$I$1:$I$2000,MATCH(TRUE,SETUP!$J$1:$J$2000,0)+COUNTIFS($A$2:$A1675,"&lt;&gt;",$K$2:$K1675,"Yes",$L$2:$L1675,"")-1)))</f>
        <v/>
      </c>
      <c r="N1675" s="22"/>
    </row>
    <row r="1676" spans="1:14" x14ac:dyDescent="0.3">
      <c r="A1676" s="15" t="str">
        <f>IF(COUNTA($B1676:$E1676,$K1676)=0,"",IF(AND($B1676&lt;&gt;"",$C1676&lt;&gt;"",$D1676&lt;&gt;"",$E1676&lt;&gt;""),"TXS"&amp;TEXT(COUNTIFS($B$2:$B1676,"&lt;&gt;",$C$2:$C1676,"&lt;&gt;",$D$2:$D1676,"&lt;&gt;",$E$2:$E1676,"&lt;&gt;"),"00000"),""))</f>
        <v/>
      </c>
      <c r="B1676" s="16"/>
      <c r="C1676" s="20"/>
      <c r="D1676" s="20"/>
      <c r="E1676" s="23"/>
      <c r="H1676" s="21" t="str">
        <f t="shared" si="84"/>
        <v/>
      </c>
      <c r="I1676" s="21" t="str">
        <f t="shared" si="83"/>
        <v/>
      </c>
      <c r="J1676" s="21" t="str">
        <f t="shared" si="85"/>
        <v/>
      </c>
      <c r="K1676" s="20"/>
      <c r="L1676" s="21" t="str">
        <f>IF(OR(NOT(AND($B1676&lt;&gt;"",$C1676&lt;&gt;"",$D1676&lt;&gt;"",$E1676&lt;&gt;"")),$A1676="",$K1676&lt;&gt;"Yes"),"",IF($L1676&lt;&gt;"",$L1676,INDEX(SETUP!$I$1:$I$2000,MATCH(TRUE,SETUP!$J$1:$J$2000,0)+COUNTIFS($A$2:$A1676,"&lt;&gt;",$K$2:$K1676,"Yes",$L$2:$L1676,"")-1)))</f>
        <v/>
      </c>
      <c r="N1676" s="22"/>
    </row>
    <row r="1677" spans="1:14" x14ac:dyDescent="0.3">
      <c r="A1677" s="15" t="str">
        <f>IF(COUNTA($B1677:$E1677,$K1677)=0,"",IF(AND($B1677&lt;&gt;"",$C1677&lt;&gt;"",$D1677&lt;&gt;"",$E1677&lt;&gt;""),"TXS"&amp;TEXT(COUNTIFS($B$2:$B1677,"&lt;&gt;",$C$2:$C1677,"&lt;&gt;",$D$2:$D1677,"&lt;&gt;",$E$2:$E1677,"&lt;&gt;"),"00000"),""))</f>
        <v/>
      </c>
      <c r="B1677" s="16"/>
      <c r="C1677" s="20"/>
      <c r="D1677" s="20"/>
      <c r="E1677" s="23"/>
      <c r="H1677" s="21" t="str">
        <f t="shared" si="84"/>
        <v/>
      </c>
      <c r="I1677" s="21" t="str">
        <f t="shared" si="83"/>
        <v/>
      </c>
      <c r="J1677" s="21" t="str">
        <f t="shared" si="85"/>
        <v/>
      </c>
      <c r="K1677" s="20"/>
      <c r="L1677" s="21" t="str">
        <f>IF(OR(NOT(AND($B1677&lt;&gt;"",$C1677&lt;&gt;"",$D1677&lt;&gt;"",$E1677&lt;&gt;"")),$A1677="",$K1677&lt;&gt;"Yes"),"",IF($L1677&lt;&gt;"",$L1677,INDEX(SETUP!$I$1:$I$2000,MATCH(TRUE,SETUP!$J$1:$J$2000,0)+COUNTIFS($A$2:$A1677,"&lt;&gt;",$K$2:$K1677,"Yes",$L$2:$L1677,"")-1)))</f>
        <v/>
      </c>
      <c r="N1677" s="22"/>
    </row>
    <row r="1678" spans="1:14" x14ac:dyDescent="0.3">
      <c r="A1678" s="15" t="str">
        <f>IF(COUNTA($B1678:$E1678,$K1678)=0,"",IF(AND($B1678&lt;&gt;"",$C1678&lt;&gt;"",$D1678&lt;&gt;"",$E1678&lt;&gt;""),"TXS"&amp;TEXT(COUNTIFS($B$2:$B1678,"&lt;&gt;",$C$2:$C1678,"&lt;&gt;",$D$2:$D1678,"&lt;&gt;",$E$2:$E1678,"&lt;&gt;"),"00000"),""))</f>
        <v/>
      </c>
      <c r="B1678" s="16"/>
      <c r="C1678" s="20"/>
      <c r="D1678" s="20"/>
      <c r="E1678" s="23"/>
      <c r="H1678" s="21" t="str">
        <f t="shared" si="84"/>
        <v/>
      </c>
      <c r="I1678" s="21" t="str">
        <f t="shared" si="83"/>
        <v/>
      </c>
      <c r="J1678" s="21" t="str">
        <f t="shared" si="85"/>
        <v/>
      </c>
      <c r="K1678" s="20"/>
      <c r="L1678" s="21" t="str">
        <f>IF(OR(NOT(AND($B1678&lt;&gt;"",$C1678&lt;&gt;"",$D1678&lt;&gt;"",$E1678&lt;&gt;"")),$A1678="",$K1678&lt;&gt;"Yes"),"",IF($L1678&lt;&gt;"",$L1678,INDEX(SETUP!$I$1:$I$2000,MATCH(TRUE,SETUP!$J$1:$J$2000,0)+COUNTIFS($A$2:$A1678,"&lt;&gt;",$K$2:$K1678,"Yes",$L$2:$L1678,"")-1)))</f>
        <v/>
      </c>
      <c r="N1678" s="22"/>
    </row>
    <row r="1679" spans="1:14" x14ac:dyDescent="0.3">
      <c r="A1679" s="15" t="str">
        <f>IF(COUNTA($B1679:$E1679,$K1679)=0,"",IF(AND($B1679&lt;&gt;"",$C1679&lt;&gt;"",$D1679&lt;&gt;"",$E1679&lt;&gt;""),"TXS"&amp;TEXT(COUNTIFS($B$2:$B1679,"&lt;&gt;",$C$2:$C1679,"&lt;&gt;",$D$2:$D1679,"&lt;&gt;",$E$2:$E1679,"&lt;&gt;"),"00000"),""))</f>
        <v/>
      </c>
      <c r="B1679" s="16"/>
      <c r="C1679" s="20"/>
      <c r="D1679" s="20"/>
      <c r="E1679" s="23"/>
      <c r="H1679" s="21" t="str">
        <f t="shared" si="84"/>
        <v/>
      </c>
      <c r="I1679" s="21" t="str">
        <f t="shared" si="83"/>
        <v/>
      </c>
      <c r="J1679" s="21" t="str">
        <f t="shared" si="85"/>
        <v/>
      </c>
      <c r="K1679" s="20"/>
      <c r="L1679" s="21" t="str">
        <f>IF(OR(NOT(AND($B1679&lt;&gt;"",$C1679&lt;&gt;"",$D1679&lt;&gt;"",$E1679&lt;&gt;"")),$A1679="",$K1679&lt;&gt;"Yes"),"",IF($L1679&lt;&gt;"",$L1679,INDEX(SETUP!$I$1:$I$2000,MATCH(TRUE,SETUP!$J$1:$J$2000,0)+COUNTIFS($A$2:$A1679,"&lt;&gt;",$K$2:$K1679,"Yes",$L$2:$L1679,"")-1)))</f>
        <v/>
      </c>
      <c r="N1679" s="22"/>
    </row>
    <row r="1680" spans="1:14" x14ac:dyDescent="0.3">
      <c r="A1680" s="15" t="str">
        <f>IF(COUNTA($B1680:$E1680,$K1680)=0,"",IF(AND($B1680&lt;&gt;"",$C1680&lt;&gt;"",$D1680&lt;&gt;"",$E1680&lt;&gt;""),"TXS"&amp;TEXT(COUNTIFS($B$2:$B1680,"&lt;&gt;",$C$2:$C1680,"&lt;&gt;",$D$2:$D1680,"&lt;&gt;",$E$2:$E1680,"&lt;&gt;"),"00000"),""))</f>
        <v/>
      </c>
      <c r="B1680" s="16"/>
      <c r="C1680" s="20"/>
      <c r="D1680" s="20"/>
      <c r="E1680" s="23"/>
      <c r="H1680" s="21" t="str">
        <f t="shared" si="84"/>
        <v/>
      </c>
      <c r="I1680" s="21" t="str">
        <f t="shared" si="83"/>
        <v/>
      </c>
      <c r="J1680" s="21" t="str">
        <f t="shared" si="85"/>
        <v/>
      </c>
      <c r="K1680" s="20"/>
      <c r="L1680" s="21" t="str">
        <f>IF(OR(NOT(AND($B1680&lt;&gt;"",$C1680&lt;&gt;"",$D1680&lt;&gt;"",$E1680&lt;&gt;"")),$A1680="",$K1680&lt;&gt;"Yes"),"",IF($L1680&lt;&gt;"",$L1680,INDEX(SETUP!$I$1:$I$2000,MATCH(TRUE,SETUP!$J$1:$J$2000,0)+COUNTIFS($A$2:$A1680,"&lt;&gt;",$K$2:$K1680,"Yes",$L$2:$L1680,"")-1)))</f>
        <v/>
      </c>
      <c r="N1680" s="22"/>
    </row>
    <row r="1681" spans="1:14" x14ac:dyDescent="0.3">
      <c r="A1681" s="15" t="str">
        <f>IF(COUNTA($B1681:$E1681,$K1681)=0,"",IF(AND($B1681&lt;&gt;"",$C1681&lt;&gt;"",$D1681&lt;&gt;"",$E1681&lt;&gt;""),"TXS"&amp;TEXT(COUNTIFS($B$2:$B1681,"&lt;&gt;",$C$2:$C1681,"&lt;&gt;",$D$2:$D1681,"&lt;&gt;",$E$2:$E1681,"&lt;&gt;"),"00000"),""))</f>
        <v/>
      </c>
      <c r="B1681" s="16"/>
      <c r="C1681" s="20"/>
      <c r="D1681" s="20"/>
      <c r="E1681" s="23"/>
      <c r="H1681" s="21" t="str">
        <f t="shared" si="84"/>
        <v/>
      </c>
      <c r="I1681" s="21" t="str">
        <f t="shared" si="83"/>
        <v/>
      </c>
      <c r="J1681" s="21" t="str">
        <f t="shared" si="85"/>
        <v/>
      </c>
      <c r="K1681" s="20"/>
      <c r="L1681" s="21" t="str">
        <f>IF(OR(NOT(AND($B1681&lt;&gt;"",$C1681&lt;&gt;"",$D1681&lt;&gt;"",$E1681&lt;&gt;"")),$A1681="",$K1681&lt;&gt;"Yes"),"",IF($L1681&lt;&gt;"",$L1681,INDEX(SETUP!$I$1:$I$2000,MATCH(TRUE,SETUP!$J$1:$J$2000,0)+COUNTIFS($A$2:$A1681,"&lt;&gt;",$K$2:$K1681,"Yes",$L$2:$L1681,"")-1)))</f>
        <v/>
      </c>
      <c r="N1681" s="22"/>
    </row>
    <row r="1682" spans="1:14" x14ac:dyDescent="0.3">
      <c r="A1682" s="15" t="str">
        <f>IF(COUNTA($B1682:$E1682,$K1682)=0,"",IF(AND($B1682&lt;&gt;"",$C1682&lt;&gt;"",$D1682&lt;&gt;"",$E1682&lt;&gt;""),"TXS"&amp;TEXT(COUNTIFS($B$2:$B1682,"&lt;&gt;",$C$2:$C1682,"&lt;&gt;",$D$2:$D1682,"&lt;&gt;",$E$2:$E1682,"&lt;&gt;"),"00000"),""))</f>
        <v/>
      </c>
      <c r="B1682" s="16"/>
      <c r="C1682" s="20"/>
      <c r="D1682" s="20"/>
      <c r="E1682" s="23"/>
      <c r="H1682" s="21" t="str">
        <f t="shared" si="84"/>
        <v/>
      </c>
      <c r="I1682" s="21" t="str">
        <f t="shared" si="83"/>
        <v/>
      </c>
      <c r="J1682" s="21" t="str">
        <f t="shared" si="85"/>
        <v/>
      </c>
      <c r="K1682" s="20"/>
      <c r="L1682" s="21" t="str">
        <f>IF(OR(NOT(AND($B1682&lt;&gt;"",$C1682&lt;&gt;"",$D1682&lt;&gt;"",$E1682&lt;&gt;"")),$A1682="",$K1682&lt;&gt;"Yes"),"",IF($L1682&lt;&gt;"",$L1682,INDEX(SETUP!$I$1:$I$2000,MATCH(TRUE,SETUP!$J$1:$J$2000,0)+COUNTIFS($A$2:$A1682,"&lt;&gt;",$K$2:$K1682,"Yes",$L$2:$L1682,"")-1)))</f>
        <v/>
      </c>
      <c r="N1682" s="22"/>
    </row>
    <row r="1683" spans="1:14" x14ac:dyDescent="0.3">
      <c r="A1683" s="15" t="str">
        <f>IF(COUNTA($B1683:$E1683,$K1683)=0,"",IF(AND($B1683&lt;&gt;"",$C1683&lt;&gt;"",$D1683&lt;&gt;"",$E1683&lt;&gt;""),"TXS"&amp;TEXT(COUNTIFS($B$2:$B1683,"&lt;&gt;",$C$2:$C1683,"&lt;&gt;",$D$2:$D1683,"&lt;&gt;",$E$2:$E1683,"&lt;&gt;"),"00000"),""))</f>
        <v/>
      </c>
      <c r="B1683" s="16"/>
      <c r="C1683" s="20"/>
      <c r="D1683" s="20"/>
      <c r="E1683" s="23"/>
      <c r="H1683" s="21" t="str">
        <f t="shared" si="84"/>
        <v/>
      </c>
      <c r="I1683" s="21" t="str">
        <f t="shared" si="83"/>
        <v/>
      </c>
      <c r="J1683" s="21" t="str">
        <f t="shared" si="85"/>
        <v/>
      </c>
      <c r="K1683" s="20"/>
      <c r="L1683" s="21" t="str">
        <f>IF(OR(NOT(AND($B1683&lt;&gt;"",$C1683&lt;&gt;"",$D1683&lt;&gt;"",$E1683&lt;&gt;"")),$A1683="",$K1683&lt;&gt;"Yes"),"",IF($L1683&lt;&gt;"",$L1683,INDEX(SETUP!$I$1:$I$2000,MATCH(TRUE,SETUP!$J$1:$J$2000,0)+COUNTIFS($A$2:$A1683,"&lt;&gt;",$K$2:$K1683,"Yes",$L$2:$L1683,"")-1)))</f>
        <v/>
      </c>
      <c r="N1683" s="22"/>
    </row>
    <row r="1684" spans="1:14" x14ac:dyDescent="0.3">
      <c r="A1684" s="15" t="str">
        <f>IF(COUNTA($B1684:$E1684,$K1684)=0,"",IF(AND($B1684&lt;&gt;"",$C1684&lt;&gt;"",$D1684&lt;&gt;"",$E1684&lt;&gt;""),"TXS"&amp;TEXT(COUNTIFS($B$2:$B1684,"&lt;&gt;",$C$2:$C1684,"&lt;&gt;",$D$2:$D1684,"&lt;&gt;",$E$2:$E1684,"&lt;&gt;"),"00000"),""))</f>
        <v/>
      </c>
      <c r="B1684" s="16"/>
      <c r="C1684" s="20"/>
      <c r="D1684" s="20"/>
      <c r="E1684" s="23"/>
      <c r="H1684" s="21" t="str">
        <f t="shared" si="84"/>
        <v/>
      </c>
      <c r="I1684" s="21" t="str">
        <f t="shared" si="83"/>
        <v/>
      </c>
      <c r="J1684" s="21" t="str">
        <f t="shared" si="85"/>
        <v/>
      </c>
      <c r="K1684" s="20"/>
      <c r="L1684" s="21" t="str">
        <f>IF(OR(NOT(AND($B1684&lt;&gt;"",$C1684&lt;&gt;"",$D1684&lt;&gt;"",$E1684&lt;&gt;"")),$A1684="",$K1684&lt;&gt;"Yes"),"",IF($L1684&lt;&gt;"",$L1684,INDEX(SETUP!$I$1:$I$2000,MATCH(TRUE,SETUP!$J$1:$J$2000,0)+COUNTIFS($A$2:$A1684,"&lt;&gt;",$K$2:$K1684,"Yes",$L$2:$L1684,"")-1)))</f>
        <v/>
      </c>
      <c r="N1684" s="22"/>
    </row>
    <row r="1685" spans="1:14" x14ac:dyDescent="0.3">
      <c r="A1685" s="15" t="str">
        <f>IF(COUNTA($B1685:$E1685,$K1685)=0,"",IF(AND($B1685&lt;&gt;"",$C1685&lt;&gt;"",$D1685&lt;&gt;"",$E1685&lt;&gt;""),"TXS"&amp;TEXT(COUNTIFS($B$2:$B1685,"&lt;&gt;",$C$2:$C1685,"&lt;&gt;",$D$2:$D1685,"&lt;&gt;",$E$2:$E1685,"&lt;&gt;"),"00000"),""))</f>
        <v/>
      </c>
      <c r="B1685" s="16"/>
      <c r="C1685" s="20"/>
      <c r="D1685" s="20"/>
      <c r="E1685" s="23"/>
      <c r="H1685" s="21" t="str">
        <f t="shared" si="84"/>
        <v/>
      </c>
      <c r="I1685" s="21" t="str">
        <f t="shared" si="83"/>
        <v/>
      </c>
      <c r="J1685" s="21" t="str">
        <f t="shared" si="85"/>
        <v/>
      </c>
      <c r="K1685" s="20"/>
      <c r="L1685" s="21" t="str">
        <f>IF(OR(NOT(AND($B1685&lt;&gt;"",$C1685&lt;&gt;"",$D1685&lt;&gt;"",$E1685&lt;&gt;"")),$A1685="",$K1685&lt;&gt;"Yes"),"",IF($L1685&lt;&gt;"",$L1685,INDEX(SETUP!$I$1:$I$2000,MATCH(TRUE,SETUP!$J$1:$J$2000,0)+COUNTIFS($A$2:$A1685,"&lt;&gt;",$K$2:$K1685,"Yes",$L$2:$L1685,"")-1)))</f>
        <v/>
      </c>
      <c r="N1685" s="22"/>
    </row>
    <row r="1686" spans="1:14" x14ac:dyDescent="0.3">
      <c r="A1686" s="15" t="str">
        <f>IF(COUNTA($B1686:$E1686,$K1686)=0,"",IF(AND($B1686&lt;&gt;"",$C1686&lt;&gt;"",$D1686&lt;&gt;"",$E1686&lt;&gt;""),"TXS"&amp;TEXT(COUNTIFS($B$2:$B1686,"&lt;&gt;",$C$2:$C1686,"&lt;&gt;",$D$2:$D1686,"&lt;&gt;",$E$2:$E1686,"&lt;&gt;"),"00000"),""))</f>
        <v/>
      </c>
      <c r="B1686" s="16"/>
      <c r="C1686" s="20"/>
      <c r="D1686" s="20"/>
      <c r="E1686" s="23"/>
      <c r="H1686" s="21" t="str">
        <f t="shared" si="84"/>
        <v/>
      </c>
      <c r="I1686" s="21" t="str">
        <f t="shared" si="83"/>
        <v/>
      </c>
      <c r="J1686" s="21" t="str">
        <f t="shared" si="85"/>
        <v/>
      </c>
      <c r="K1686" s="20"/>
      <c r="L1686" s="21" t="str">
        <f>IF(OR(NOT(AND($B1686&lt;&gt;"",$C1686&lt;&gt;"",$D1686&lt;&gt;"",$E1686&lt;&gt;"")),$A1686="",$K1686&lt;&gt;"Yes"),"",IF($L1686&lt;&gt;"",$L1686,INDEX(SETUP!$I$1:$I$2000,MATCH(TRUE,SETUP!$J$1:$J$2000,0)+COUNTIFS($A$2:$A1686,"&lt;&gt;",$K$2:$K1686,"Yes",$L$2:$L1686,"")-1)))</f>
        <v/>
      </c>
      <c r="N1686" s="22"/>
    </row>
    <row r="1687" spans="1:14" x14ac:dyDescent="0.3">
      <c r="A1687" s="15" t="str">
        <f>IF(COUNTA($B1687:$E1687,$K1687)=0,"",IF(AND($B1687&lt;&gt;"",$C1687&lt;&gt;"",$D1687&lt;&gt;"",$E1687&lt;&gt;""),"TXS"&amp;TEXT(COUNTIFS($B$2:$B1687,"&lt;&gt;",$C$2:$C1687,"&lt;&gt;",$D$2:$D1687,"&lt;&gt;",$E$2:$E1687,"&lt;&gt;"),"00000"),""))</f>
        <v/>
      </c>
      <c r="B1687" s="16"/>
      <c r="C1687" s="20"/>
      <c r="D1687" s="20"/>
      <c r="E1687" s="23"/>
      <c r="H1687" s="21" t="str">
        <f t="shared" si="84"/>
        <v/>
      </c>
      <c r="I1687" s="21" t="str">
        <f t="shared" si="83"/>
        <v/>
      </c>
      <c r="J1687" s="21" t="str">
        <f t="shared" si="85"/>
        <v/>
      </c>
      <c r="K1687" s="20"/>
      <c r="L1687" s="21" t="str">
        <f>IF(OR(NOT(AND($B1687&lt;&gt;"",$C1687&lt;&gt;"",$D1687&lt;&gt;"",$E1687&lt;&gt;"")),$A1687="",$K1687&lt;&gt;"Yes"),"",IF($L1687&lt;&gt;"",$L1687,INDEX(SETUP!$I$1:$I$2000,MATCH(TRUE,SETUP!$J$1:$J$2000,0)+COUNTIFS($A$2:$A1687,"&lt;&gt;",$K$2:$K1687,"Yes",$L$2:$L1687,"")-1)))</f>
        <v/>
      </c>
      <c r="N1687" s="22"/>
    </row>
    <row r="1688" spans="1:14" x14ac:dyDescent="0.3">
      <c r="A1688" s="15" t="str">
        <f>IF(COUNTA($B1688:$E1688,$K1688)=0,"",IF(AND($B1688&lt;&gt;"",$C1688&lt;&gt;"",$D1688&lt;&gt;"",$E1688&lt;&gt;""),"TXS"&amp;TEXT(COUNTIFS($B$2:$B1688,"&lt;&gt;",$C$2:$C1688,"&lt;&gt;",$D$2:$D1688,"&lt;&gt;",$E$2:$E1688,"&lt;&gt;"),"00000"),""))</f>
        <v/>
      </c>
      <c r="B1688" s="16"/>
      <c r="C1688" s="20"/>
      <c r="D1688" s="20"/>
      <c r="E1688" s="23"/>
      <c r="H1688" s="21" t="str">
        <f t="shared" si="84"/>
        <v/>
      </c>
      <c r="I1688" s="21" t="str">
        <f t="shared" si="83"/>
        <v/>
      </c>
      <c r="J1688" s="21" t="str">
        <f t="shared" si="85"/>
        <v/>
      </c>
      <c r="K1688" s="20"/>
      <c r="L1688" s="21" t="str">
        <f>IF(OR(NOT(AND($B1688&lt;&gt;"",$C1688&lt;&gt;"",$D1688&lt;&gt;"",$E1688&lt;&gt;"")),$A1688="",$K1688&lt;&gt;"Yes"),"",IF($L1688&lt;&gt;"",$L1688,INDEX(SETUP!$I$1:$I$2000,MATCH(TRUE,SETUP!$J$1:$J$2000,0)+COUNTIFS($A$2:$A1688,"&lt;&gt;",$K$2:$K1688,"Yes",$L$2:$L1688,"")-1)))</f>
        <v/>
      </c>
      <c r="N1688" s="22"/>
    </row>
    <row r="1689" spans="1:14" x14ac:dyDescent="0.3">
      <c r="A1689" s="15" t="str">
        <f>IF(COUNTA($B1689:$E1689,$K1689)=0,"",IF(AND($B1689&lt;&gt;"",$C1689&lt;&gt;"",$D1689&lt;&gt;"",$E1689&lt;&gt;""),"TXS"&amp;TEXT(COUNTIFS($B$2:$B1689,"&lt;&gt;",$C$2:$C1689,"&lt;&gt;",$D$2:$D1689,"&lt;&gt;",$E$2:$E1689,"&lt;&gt;"),"00000"),""))</f>
        <v/>
      </c>
      <c r="B1689" s="16"/>
      <c r="C1689" s="20"/>
      <c r="D1689" s="20"/>
      <c r="E1689" s="23"/>
      <c r="H1689" s="21" t="str">
        <f t="shared" si="84"/>
        <v/>
      </c>
      <c r="I1689" s="21" t="str">
        <f t="shared" si="83"/>
        <v/>
      </c>
      <c r="J1689" s="21" t="str">
        <f t="shared" si="85"/>
        <v/>
      </c>
      <c r="K1689" s="20"/>
      <c r="L1689" s="21" t="str">
        <f>IF(OR(NOT(AND($B1689&lt;&gt;"",$C1689&lt;&gt;"",$D1689&lt;&gt;"",$E1689&lt;&gt;"")),$A1689="",$K1689&lt;&gt;"Yes"),"",IF($L1689&lt;&gt;"",$L1689,INDEX(SETUP!$I$1:$I$2000,MATCH(TRUE,SETUP!$J$1:$J$2000,0)+COUNTIFS($A$2:$A1689,"&lt;&gt;",$K$2:$K1689,"Yes",$L$2:$L1689,"")-1)))</f>
        <v/>
      </c>
      <c r="N1689" s="22"/>
    </row>
    <row r="1690" spans="1:14" x14ac:dyDescent="0.3">
      <c r="A1690" s="15" t="str">
        <f>IF(COUNTA($B1690:$E1690,$K1690)=0,"",IF(AND($B1690&lt;&gt;"",$C1690&lt;&gt;"",$D1690&lt;&gt;"",$E1690&lt;&gt;""),"TXS"&amp;TEXT(COUNTIFS($B$2:$B1690,"&lt;&gt;",$C$2:$C1690,"&lt;&gt;",$D$2:$D1690,"&lt;&gt;",$E$2:$E1690,"&lt;&gt;"),"00000"),""))</f>
        <v/>
      </c>
      <c r="B1690" s="16"/>
      <c r="C1690" s="20"/>
      <c r="D1690" s="20"/>
      <c r="E1690" s="23"/>
      <c r="H1690" s="21" t="str">
        <f t="shared" si="84"/>
        <v/>
      </c>
      <c r="I1690" s="21" t="str">
        <f t="shared" si="83"/>
        <v/>
      </c>
      <c r="J1690" s="21" t="str">
        <f t="shared" si="85"/>
        <v/>
      </c>
      <c r="K1690" s="20"/>
      <c r="L1690" s="21" t="str">
        <f>IF(OR(NOT(AND($B1690&lt;&gt;"",$C1690&lt;&gt;"",$D1690&lt;&gt;"",$E1690&lt;&gt;"")),$A1690="",$K1690&lt;&gt;"Yes"),"",IF($L1690&lt;&gt;"",$L1690,INDEX(SETUP!$I$1:$I$2000,MATCH(TRUE,SETUP!$J$1:$J$2000,0)+COUNTIFS($A$2:$A1690,"&lt;&gt;",$K$2:$K1690,"Yes",$L$2:$L1690,"")-1)))</f>
        <v/>
      </c>
      <c r="N1690" s="22"/>
    </row>
    <row r="1691" spans="1:14" x14ac:dyDescent="0.3">
      <c r="A1691" s="15" t="str">
        <f>IF(COUNTA($B1691:$E1691,$K1691)=0,"",IF(AND($B1691&lt;&gt;"",$C1691&lt;&gt;"",$D1691&lt;&gt;"",$E1691&lt;&gt;""),"TXS"&amp;TEXT(COUNTIFS($B$2:$B1691,"&lt;&gt;",$C$2:$C1691,"&lt;&gt;",$D$2:$D1691,"&lt;&gt;",$E$2:$E1691,"&lt;&gt;"),"00000"),""))</f>
        <v/>
      </c>
      <c r="B1691" s="16"/>
      <c r="C1691" s="20"/>
      <c r="D1691" s="20"/>
      <c r="E1691" s="23"/>
      <c r="H1691" s="21" t="str">
        <f t="shared" si="84"/>
        <v/>
      </c>
      <c r="I1691" s="21" t="str">
        <f t="shared" si="83"/>
        <v/>
      </c>
      <c r="J1691" s="21" t="str">
        <f t="shared" si="85"/>
        <v/>
      </c>
      <c r="K1691" s="20"/>
      <c r="L1691" s="21" t="str">
        <f>IF(OR(NOT(AND($B1691&lt;&gt;"",$C1691&lt;&gt;"",$D1691&lt;&gt;"",$E1691&lt;&gt;"")),$A1691="",$K1691&lt;&gt;"Yes"),"",IF($L1691&lt;&gt;"",$L1691,INDEX(SETUP!$I$1:$I$2000,MATCH(TRUE,SETUP!$J$1:$J$2000,0)+COUNTIFS($A$2:$A1691,"&lt;&gt;",$K$2:$K1691,"Yes",$L$2:$L1691,"")-1)))</f>
        <v/>
      </c>
      <c r="N1691" s="22"/>
    </row>
    <row r="1692" spans="1:14" x14ac:dyDescent="0.3">
      <c r="A1692" s="15" t="str">
        <f>IF(COUNTA($B1692:$E1692,$K1692)=0,"",IF(AND($B1692&lt;&gt;"",$C1692&lt;&gt;"",$D1692&lt;&gt;"",$E1692&lt;&gt;""),"TXS"&amp;TEXT(COUNTIFS($B$2:$B1692,"&lt;&gt;",$C$2:$C1692,"&lt;&gt;",$D$2:$D1692,"&lt;&gt;",$E$2:$E1692,"&lt;&gt;"),"00000"),""))</f>
        <v/>
      </c>
      <c r="B1692" s="16"/>
      <c r="C1692" s="20"/>
      <c r="D1692" s="20"/>
      <c r="E1692" s="23"/>
      <c r="H1692" s="21" t="str">
        <f t="shared" si="84"/>
        <v/>
      </c>
      <c r="I1692" s="21" t="str">
        <f t="shared" si="83"/>
        <v/>
      </c>
      <c r="J1692" s="21" t="str">
        <f t="shared" si="85"/>
        <v/>
      </c>
      <c r="K1692" s="20"/>
      <c r="L1692" s="21" t="str">
        <f>IF(OR(NOT(AND($B1692&lt;&gt;"",$C1692&lt;&gt;"",$D1692&lt;&gt;"",$E1692&lt;&gt;"")),$A1692="",$K1692&lt;&gt;"Yes"),"",IF($L1692&lt;&gt;"",$L1692,INDEX(SETUP!$I$1:$I$2000,MATCH(TRUE,SETUP!$J$1:$J$2000,0)+COUNTIFS($A$2:$A1692,"&lt;&gt;",$K$2:$K1692,"Yes",$L$2:$L1692,"")-1)))</f>
        <v/>
      </c>
      <c r="N1692" s="22"/>
    </row>
    <row r="1693" spans="1:14" x14ac:dyDescent="0.3">
      <c r="A1693" s="15" t="str">
        <f>IF(COUNTA($B1693:$E1693,$K1693)=0,"",IF(AND($B1693&lt;&gt;"",$C1693&lt;&gt;"",$D1693&lt;&gt;"",$E1693&lt;&gt;""),"TXS"&amp;TEXT(COUNTIFS($B$2:$B1693,"&lt;&gt;",$C$2:$C1693,"&lt;&gt;",$D$2:$D1693,"&lt;&gt;",$E$2:$E1693,"&lt;&gt;"),"00000"),""))</f>
        <v/>
      </c>
      <c r="B1693" s="16"/>
      <c r="C1693" s="20"/>
      <c r="D1693" s="20"/>
      <c r="E1693" s="23"/>
      <c r="H1693" s="21" t="str">
        <f t="shared" si="84"/>
        <v/>
      </c>
      <c r="I1693" s="21" t="str">
        <f t="shared" si="83"/>
        <v/>
      </c>
      <c r="J1693" s="21" t="str">
        <f t="shared" si="85"/>
        <v/>
      </c>
      <c r="K1693" s="20"/>
      <c r="L1693" s="21" t="str">
        <f>IF(OR(NOT(AND($B1693&lt;&gt;"",$C1693&lt;&gt;"",$D1693&lt;&gt;"",$E1693&lt;&gt;"")),$A1693="",$K1693&lt;&gt;"Yes"),"",IF($L1693&lt;&gt;"",$L1693,INDEX(SETUP!$I$1:$I$2000,MATCH(TRUE,SETUP!$J$1:$J$2000,0)+COUNTIFS($A$2:$A1693,"&lt;&gt;",$K$2:$K1693,"Yes",$L$2:$L1693,"")-1)))</f>
        <v/>
      </c>
      <c r="N1693" s="22"/>
    </row>
    <row r="1694" spans="1:14" x14ac:dyDescent="0.3">
      <c r="A1694" s="15" t="str">
        <f>IF(COUNTA($B1694:$E1694,$K1694)=0,"",IF(AND($B1694&lt;&gt;"",$C1694&lt;&gt;"",$D1694&lt;&gt;"",$E1694&lt;&gt;""),"TXS"&amp;TEXT(COUNTIFS($B$2:$B1694,"&lt;&gt;",$C$2:$C1694,"&lt;&gt;",$D$2:$D1694,"&lt;&gt;",$E$2:$E1694,"&lt;&gt;"),"00000"),""))</f>
        <v/>
      </c>
      <c r="B1694" s="16"/>
      <c r="C1694" s="20"/>
      <c r="D1694" s="20"/>
      <c r="E1694" s="23"/>
      <c r="H1694" s="21" t="str">
        <f t="shared" si="84"/>
        <v/>
      </c>
      <c r="I1694" s="21" t="str">
        <f t="shared" si="83"/>
        <v/>
      </c>
      <c r="J1694" s="21" t="str">
        <f t="shared" si="85"/>
        <v/>
      </c>
      <c r="K1694" s="20"/>
      <c r="L1694" s="21" t="str">
        <f>IF(OR(NOT(AND($B1694&lt;&gt;"",$C1694&lt;&gt;"",$D1694&lt;&gt;"",$E1694&lt;&gt;"")),$A1694="",$K1694&lt;&gt;"Yes"),"",IF($L1694&lt;&gt;"",$L1694,INDEX(SETUP!$I$1:$I$2000,MATCH(TRUE,SETUP!$J$1:$J$2000,0)+COUNTIFS($A$2:$A1694,"&lt;&gt;",$K$2:$K1694,"Yes",$L$2:$L1694,"")-1)))</f>
        <v/>
      </c>
      <c r="N1694" s="22"/>
    </row>
    <row r="1695" spans="1:14" x14ac:dyDescent="0.3">
      <c r="A1695" s="15" t="str">
        <f>IF(COUNTA($B1695:$E1695,$K1695)=0,"",IF(AND($B1695&lt;&gt;"",$C1695&lt;&gt;"",$D1695&lt;&gt;"",$E1695&lt;&gt;""),"TXS"&amp;TEXT(COUNTIFS($B$2:$B1695,"&lt;&gt;",$C$2:$C1695,"&lt;&gt;",$D$2:$D1695,"&lt;&gt;",$E$2:$E1695,"&lt;&gt;"),"00000"),""))</f>
        <v/>
      </c>
      <c r="B1695" s="16"/>
      <c r="C1695" s="20"/>
      <c r="D1695" s="20"/>
      <c r="E1695" s="23"/>
      <c r="H1695" s="21" t="str">
        <f t="shared" si="84"/>
        <v/>
      </c>
      <c r="I1695" s="21" t="str">
        <f t="shared" si="83"/>
        <v/>
      </c>
      <c r="J1695" s="21" t="str">
        <f t="shared" si="85"/>
        <v/>
      </c>
      <c r="K1695" s="20"/>
      <c r="L1695" s="21" t="str">
        <f>IF(OR(NOT(AND($B1695&lt;&gt;"",$C1695&lt;&gt;"",$D1695&lt;&gt;"",$E1695&lt;&gt;"")),$A1695="",$K1695&lt;&gt;"Yes"),"",IF($L1695&lt;&gt;"",$L1695,INDEX(SETUP!$I$1:$I$2000,MATCH(TRUE,SETUP!$J$1:$J$2000,0)+COUNTIFS($A$2:$A1695,"&lt;&gt;",$K$2:$K1695,"Yes",$L$2:$L1695,"")-1)))</f>
        <v/>
      </c>
      <c r="N1695" s="22"/>
    </row>
    <row r="1696" spans="1:14" x14ac:dyDescent="0.3">
      <c r="A1696" s="15" t="str">
        <f>IF(COUNTA($B1696:$E1696,$K1696)=0,"",IF(AND($B1696&lt;&gt;"",$C1696&lt;&gt;"",$D1696&lt;&gt;"",$E1696&lt;&gt;""),"TXS"&amp;TEXT(COUNTIFS($B$2:$B1696,"&lt;&gt;",$C$2:$C1696,"&lt;&gt;",$D$2:$D1696,"&lt;&gt;",$E$2:$E1696,"&lt;&gt;"),"00000"),""))</f>
        <v/>
      </c>
      <c r="B1696" s="16"/>
      <c r="C1696" s="20"/>
      <c r="D1696" s="20"/>
      <c r="E1696" s="23"/>
      <c r="H1696" s="21" t="str">
        <f t="shared" si="84"/>
        <v/>
      </c>
      <c r="I1696" s="21" t="str">
        <f t="shared" si="83"/>
        <v/>
      </c>
      <c r="J1696" s="21" t="str">
        <f t="shared" si="85"/>
        <v/>
      </c>
      <c r="K1696" s="20"/>
      <c r="L1696" s="21" t="str">
        <f>IF(OR(NOT(AND($B1696&lt;&gt;"",$C1696&lt;&gt;"",$D1696&lt;&gt;"",$E1696&lt;&gt;"")),$A1696="",$K1696&lt;&gt;"Yes"),"",IF($L1696&lt;&gt;"",$L1696,INDEX(SETUP!$I$1:$I$2000,MATCH(TRUE,SETUP!$J$1:$J$2000,0)+COUNTIFS($A$2:$A1696,"&lt;&gt;",$K$2:$K1696,"Yes",$L$2:$L1696,"")-1)))</f>
        <v/>
      </c>
      <c r="N1696" s="22"/>
    </row>
    <row r="1697" spans="1:14" x14ac:dyDescent="0.3">
      <c r="A1697" s="15" t="str">
        <f>IF(COUNTA($B1697:$E1697,$K1697)=0,"",IF(AND($B1697&lt;&gt;"",$C1697&lt;&gt;"",$D1697&lt;&gt;"",$E1697&lt;&gt;""),"TXS"&amp;TEXT(COUNTIFS($B$2:$B1697,"&lt;&gt;",$C$2:$C1697,"&lt;&gt;",$D$2:$D1697,"&lt;&gt;",$E$2:$E1697,"&lt;&gt;"),"00000"),""))</f>
        <v/>
      </c>
      <c r="B1697" s="16"/>
      <c r="C1697" s="20"/>
      <c r="D1697" s="20"/>
      <c r="E1697" s="23"/>
      <c r="H1697" s="21" t="str">
        <f t="shared" si="84"/>
        <v/>
      </c>
      <c r="I1697" s="21" t="str">
        <f t="shared" si="83"/>
        <v/>
      </c>
      <c r="J1697" s="21" t="str">
        <f t="shared" si="85"/>
        <v/>
      </c>
      <c r="K1697" s="20"/>
      <c r="L1697" s="21" t="str">
        <f>IF(OR(NOT(AND($B1697&lt;&gt;"",$C1697&lt;&gt;"",$D1697&lt;&gt;"",$E1697&lt;&gt;"")),$A1697="",$K1697&lt;&gt;"Yes"),"",IF($L1697&lt;&gt;"",$L1697,INDEX(SETUP!$I$1:$I$2000,MATCH(TRUE,SETUP!$J$1:$J$2000,0)+COUNTIFS($A$2:$A1697,"&lt;&gt;",$K$2:$K1697,"Yes",$L$2:$L1697,"")-1)))</f>
        <v/>
      </c>
      <c r="N1697" s="22"/>
    </row>
    <row r="1698" spans="1:14" x14ac:dyDescent="0.3">
      <c r="A1698" s="15" t="str">
        <f>IF(COUNTA($B1698:$E1698,$K1698)=0,"",IF(AND($B1698&lt;&gt;"",$C1698&lt;&gt;"",$D1698&lt;&gt;"",$E1698&lt;&gt;""),"TXS"&amp;TEXT(COUNTIFS($B$2:$B1698,"&lt;&gt;",$C$2:$C1698,"&lt;&gt;",$D$2:$D1698,"&lt;&gt;",$E$2:$E1698,"&lt;&gt;"),"00000"),""))</f>
        <v/>
      </c>
      <c r="B1698" s="16"/>
      <c r="C1698" s="20"/>
      <c r="D1698" s="20"/>
      <c r="E1698" s="23"/>
      <c r="H1698" s="21" t="str">
        <f t="shared" si="84"/>
        <v/>
      </c>
      <c r="I1698" s="21" t="str">
        <f t="shared" si="83"/>
        <v/>
      </c>
      <c r="J1698" s="21" t="str">
        <f t="shared" si="85"/>
        <v/>
      </c>
      <c r="K1698" s="20"/>
      <c r="L1698" s="21" t="str">
        <f>IF(OR(NOT(AND($B1698&lt;&gt;"",$C1698&lt;&gt;"",$D1698&lt;&gt;"",$E1698&lt;&gt;"")),$A1698="",$K1698&lt;&gt;"Yes"),"",IF($L1698&lt;&gt;"",$L1698,INDEX(SETUP!$I$1:$I$2000,MATCH(TRUE,SETUP!$J$1:$J$2000,0)+COUNTIFS($A$2:$A1698,"&lt;&gt;",$K$2:$K1698,"Yes",$L$2:$L1698,"")-1)))</f>
        <v/>
      </c>
      <c r="N1698" s="22"/>
    </row>
    <row r="1699" spans="1:14" x14ac:dyDescent="0.3">
      <c r="A1699" s="15" t="str">
        <f>IF(COUNTA($B1699:$E1699,$K1699)=0,"",IF(AND($B1699&lt;&gt;"",$C1699&lt;&gt;"",$D1699&lt;&gt;"",$E1699&lt;&gt;""),"TXS"&amp;TEXT(COUNTIFS($B$2:$B1699,"&lt;&gt;",$C$2:$C1699,"&lt;&gt;",$D$2:$D1699,"&lt;&gt;",$E$2:$E1699,"&lt;&gt;"),"00000"),""))</f>
        <v/>
      </c>
      <c r="B1699" s="16"/>
      <c r="C1699" s="20"/>
      <c r="D1699" s="20"/>
      <c r="E1699" s="23"/>
      <c r="H1699" s="21" t="str">
        <f t="shared" si="84"/>
        <v/>
      </c>
      <c r="I1699" s="21" t="str">
        <f t="shared" si="83"/>
        <v/>
      </c>
      <c r="J1699" s="21" t="str">
        <f t="shared" si="85"/>
        <v/>
      </c>
      <c r="K1699" s="20"/>
      <c r="L1699" s="21" t="str">
        <f>IF(OR(NOT(AND($B1699&lt;&gt;"",$C1699&lt;&gt;"",$D1699&lt;&gt;"",$E1699&lt;&gt;"")),$A1699="",$K1699&lt;&gt;"Yes"),"",IF($L1699&lt;&gt;"",$L1699,INDEX(SETUP!$I$1:$I$2000,MATCH(TRUE,SETUP!$J$1:$J$2000,0)+COUNTIFS($A$2:$A1699,"&lt;&gt;",$K$2:$K1699,"Yes",$L$2:$L1699,"")-1)))</f>
        <v/>
      </c>
      <c r="N1699" s="22"/>
    </row>
    <row r="1700" spans="1:14" x14ac:dyDescent="0.3">
      <c r="A1700" s="15" t="str">
        <f>IF(COUNTA($B1700:$E1700,$K1700)=0,"",IF(AND($B1700&lt;&gt;"",$C1700&lt;&gt;"",$D1700&lt;&gt;"",$E1700&lt;&gt;""),"TXS"&amp;TEXT(COUNTIFS($B$2:$B1700,"&lt;&gt;",$C$2:$C1700,"&lt;&gt;",$D$2:$D1700,"&lt;&gt;",$E$2:$E1700,"&lt;&gt;"),"00000"),""))</f>
        <v/>
      </c>
      <c r="B1700" s="16"/>
      <c r="C1700" s="20"/>
      <c r="D1700" s="20"/>
      <c r="E1700" s="23"/>
      <c r="H1700" s="21" t="str">
        <f t="shared" si="84"/>
        <v/>
      </c>
      <c r="I1700" s="21" t="str">
        <f t="shared" si="83"/>
        <v/>
      </c>
      <c r="J1700" s="21" t="str">
        <f t="shared" si="85"/>
        <v/>
      </c>
      <c r="K1700" s="20"/>
      <c r="L1700" s="21" t="str">
        <f>IF(OR(NOT(AND($B1700&lt;&gt;"",$C1700&lt;&gt;"",$D1700&lt;&gt;"",$E1700&lt;&gt;"")),$A1700="",$K1700&lt;&gt;"Yes"),"",IF($L1700&lt;&gt;"",$L1700,INDEX(SETUP!$I$1:$I$2000,MATCH(TRUE,SETUP!$J$1:$J$2000,0)+COUNTIFS($A$2:$A1700,"&lt;&gt;",$K$2:$K1700,"Yes",$L$2:$L1700,"")-1)))</f>
        <v/>
      </c>
      <c r="N1700" s="22"/>
    </row>
    <row r="1701" spans="1:14" x14ac:dyDescent="0.3">
      <c r="A1701" s="15" t="str">
        <f>IF(COUNTA($B1701:$E1701,$K1701)=0,"",IF(AND($B1701&lt;&gt;"",$C1701&lt;&gt;"",$D1701&lt;&gt;"",$E1701&lt;&gt;""),"TXS"&amp;TEXT(COUNTIFS($B$2:$B1701,"&lt;&gt;",$C$2:$C1701,"&lt;&gt;",$D$2:$D1701,"&lt;&gt;",$E$2:$E1701,"&lt;&gt;"),"00000"),""))</f>
        <v/>
      </c>
      <c r="B1701" s="16"/>
      <c r="C1701" s="20"/>
      <c r="D1701" s="20"/>
      <c r="E1701" s="23"/>
      <c r="H1701" s="21" t="str">
        <f t="shared" si="84"/>
        <v/>
      </c>
      <c r="I1701" s="21" t="str">
        <f t="shared" si="83"/>
        <v/>
      </c>
      <c r="J1701" s="21" t="str">
        <f t="shared" si="85"/>
        <v/>
      </c>
      <c r="K1701" s="20"/>
      <c r="L1701" s="21" t="str">
        <f>IF(OR(NOT(AND($B1701&lt;&gt;"",$C1701&lt;&gt;"",$D1701&lt;&gt;"",$E1701&lt;&gt;"")),$A1701="",$K1701&lt;&gt;"Yes"),"",IF($L1701&lt;&gt;"",$L1701,INDEX(SETUP!$I$1:$I$2000,MATCH(TRUE,SETUP!$J$1:$J$2000,0)+COUNTIFS($A$2:$A1701,"&lt;&gt;",$K$2:$K1701,"Yes",$L$2:$L1701,"")-1)))</f>
        <v/>
      </c>
      <c r="N1701" s="22"/>
    </row>
    <row r="1702" spans="1:14" x14ac:dyDescent="0.3">
      <c r="A1702" s="15" t="str">
        <f>IF(COUNTA($B1702:$E1702,$K1702)=0,"",IF(AND($B1702&lt;&gt;"",$C1702&lt;&gt;"",$D1702&lt;&gt;"",$E1702&lt;&gt;""),"TXS"&amp;TEXT(COUNTIFS($B$2:$B1702,"&lt;&gt;",$C$2:$C1702,"&lt;&gt;",$D$2:$D1702,"&lt;&gt;",$E$2:$E1702,"&lt;&gt;"),"00000"),""))</f>
        <v/>
      </c>
      <c r="B1702" s="16"/>
      <c r="C1702" s="20"/>
      <c r="D1702" s="20"/>
      <c r="E1702" s="23"/>
      <c r="H1702" s="21" t="str">
        <f t="shared" si="84"/>
        <v/>
      </c>
      <c r="I1702" s="21" t="str">
        <f t="shared" si="83"/>
        <v/>
      </c>
      <c r="J1702" s="21" t="str">
        <f t="shared" si="85"/>
        <v/>
      </c>
      <c r="K1702" s="20"/>
      <c r="L1702" s="21" t="str">
        <f>IF(OR(NOT(AND($B1702&lt;&gt;"",$C1702&lt;&gt;"",$D1702&lt;&gt;"",$E1702&lt;&gt;"")),$A1702="",$K1702&lt;&gt;"Yes"),"",IF($L1702&lt;&gt;"",$L1702,INDEX(SETUP!$I$1:$I$2000,MATCH(TRUE,SETUP!$J$1:$J$2000,0)+COUNTIFS($A$2:$A1702,"&lt;&gt;",$K$2:$K1702,"Yes",$L$2:$L1702,"")-1)))</f>
        <v/>
      </c>
      <c r="N1702" s="22"/>
    </row>
    <row r="1703" spans="1:14" x14ac:dyDescent="0.3">
      <c r="A1703" s="15" t="str">
        <f>IF(COUNTA($B1703:$E1703,$K1703)=0,"",IF(AND($B1703&lt;&gt;"",$C1703&lt;&gt;"",$D1703&lt;&gt;"",$E1703&lt;&gt;""),"TXS"&amp;TEXT(COUNTIFS($B$2:$B1703,"&lt;&gt;",$C$2:$C1703,"&lt;&gt;",$D$2:$D1703,"&lt;&gt;",$E$2:$E1703,"&lt;&gt;"),"00000"),""))</f>
        <v/>
      </c>
      <c r="B1703" s="16"/>
      <c r="C1703" s="20"/>
      <c r="D1703" s="20"/>
      <c r="E1703" s="23"/>
      <c r="H1703" s="21" t="str">
        <f t="shared" si="84"/>
        <v/>
      </c>
      <c r="I1703" s="21" t="str">
        <f t="shared" si="83"/>
        <v/>
      </c>
      <c r="J1703" s="21" t="str">
        <f t="shared" si="85"/>
        <v/>
      </c>
      <c r="K1703" s="20"/>
      <c r="L1703" s="21" t="str">
        <f>IF(OR(NOT(AND($B1703&lt;&gt;"",$C1703&lt;&gt;"",$D1703&lt;&gt;"",$E1703&lt;&gt;"")),$A1703="",$K1703&lt;&gt;"Yes"),"",IF($L1703&lt;&gt;"",$L1703,INDEX(SETUP!$I$1:$I$2000,MATCH(TRUE,SETUP!$J$1:$J$2000,0)+COUNTIFS($A$2:$A1703,"&lt;&gt;",$K$2:$K1703,"Yes",$L$2:$L1703,"")-1)))</f>
        <v/>
      </c>
      <c r="N1703" s="22"/>
    </row>
    <row r="1704" spans="1:14" x14ac:dyDescent="0.3">
      <c r="A1704" s="15" t="str">
        <f>IF(COUNTA($B1704:$E1704,$K1704)=0,"",IF(AND($B1704&lt;&gt;"",$C1704&lt;&gt;"",$D1704&lt;&gt;"",$E1704&lt;&gt;""),"TXS"&amp;TEXT(COUNTIFS($B$2:$B1704,"&lt;&gt;",$C$2:$C1704,"&lt;&gt;",$D$2:$D1704,"&lt;&gt;",$E$2:$E1704,"&lt;&gt;"),"00000"),""))</f>
        <v/>
      </c>
      <c r="B1704" s="16"/>
      <c r="C1704" s="20"/>
      <c r="D1704" s="20"/>
      <c r="E1704" s="23"/>
      <c r="H1704" s="21" t="str">
        <f t="shared" si="84"/>
        <v/>
      </c>
      <c r="I1704" s="21" t="str">
        <f t="shared" si="83"/>
        <v/>
      </c>
      <c r="J1704" s="21" t="str">
        <f t="shared" si="85"/>
        <v/>
      </c>
      <c r="K1704" s="20"/>
      <c r="L1704" s="21" t="str">
        <f>IF(OR(NOT(AND($B1704&lt;&gt;"",$C1704&lt;&gt;"",$D1704&lt;&gt;"",$E1704&lt;&gt;"")),$A1704="",$K1704&lt;&gt;"Yes"),"",IF($L1704&lt;&gt;"",$L1704,INDEX(SETUP!$I$1:$I$2000,MATCH(TRUE,SETUP!$J$1:$J$2000,0)+COUNTIFS($A$2:$A1704,"&lt;&gt;",$K$2:$K1704,"Yes",$L$2:$L1704,"")-1)))</f>
        <v/>
      </c>
      <c r="N1704" s="22"/>
    </row>
    <row r="1705" spans="1:14" x14ac:dyDescent="0.3">
      <c r="A1705" s="15" t="str">
        <f>IF(COUNTA($B1705:$E1705,$K1705)=0,"",IF(AND($B1705&lt;&gt;"",$C1705&lt;&gt;"",$D1705&lt;&gt;"",$E1705&lt;&gt;""),"TXS"&amp;TEXT(COUNTIFS($B$2:$B1705,"&lt;&gt;",$C$2:$C1705,"&lt;&gt;",$D$2:$D1705,"&lt;&gt;",$E$2:$E1705,"&lt;&gt;"),"00000"),""))</f>
        <v/>
      </c>
      <c r="B1705" s="16"/>
      <c r="C1705" s="20"/>
      <c r="D1705" s="20"/>
      <c r="E1705" s="23"/>
      <c r="H1705" s="21" t="str">
        <f t="shared" si="84"/>
        <v/>
      </c>
      <c r="I1705" s="21" t="str">
        <f t="shared" ref="I1705:I1768" si="86">IF(NOT(AND($B1705&lt;&gt;"",$C1705&lt;&gt;"",$D1705&lt;&gt;"",$E1705&lt;&gt;"")),"",IF($A1705="","","NIH plate "&amp;INT((VALUE(RIGHT($A1705,5))-1)/96)+1&amp;": "&amp;CHAR(65+INT(MOD(VALUE(RIGHT($A1705,5))-1,96)/12))&amp;(MOD(VALUE(RIGHT($A1705,5))-1,12)+1)))</f>
        <v/>
      </c>
      <c r="J1705" s="21" t="str">
        <f t="shared" si="85"/>
        <v/>
      </c>
      <c r="K1705" s="20"/>
      <c r="L1705" s="21" t="str">
        <f>IF(OR(NOT(AND($B1705&lt;&gt;"",$C1705&lt;&gt;"",$D1705&lt;&gt;"",$E1705&lt;&gt;"")),$A1705="",$K1705&lt;&gt;"Yes"),"",IF($L1705&lt;&gt;"",$L1705,INDEX(SETUP!$I$1:$I$2000,MATCH(TRUE,SETUP!$J$1:$J$2000,0)+COUNTIFS($A$2:$A1705,"&lt;&gt;",$K$2:$K1705,"Yes",$L$2:$L1705,"")-1)))</f>
        <v/>
      </c>
      <c r="N1705" s="22"/>
    </row>
    <row r="1706" spans="1:14" x14ac:dyDescent="0.3">
      <c r="A1706" s="15" t="str">
        <f>IF(COUNTA($B1706:$E1706,$K1706)=0,"",IF(AND($B1706&lt;&gt;"",$C1706&lt;&gt;"",$D1706&lt;&gt;"",$E1706&lt;&gt;""),"TXS"&amp;TEXT(COUNTIFS($B$2:$B1706,"&lt;&gt;",$C$2:$C1706,"&lt;&gt;",$D$2:$D1706,"&lt;&gt;",$E$2:$E1706,"&lt;&gt;"),"00000"),""))</f>
        <v/>
      </c>
      <c r="B1706" s="16"/>
      <c r="C1706" s="20"/>
      <c r="D1706" s="20"/>
      <c r="E1706" s="23"/>
      <c r="H1706" s="21" t="str">
        <f t="shared" si="84"/>
        <v/>
      </c>
      <c r="I1706" s="21" t="str">
        <f t="shared" si="86"/>
        <v/>
      </c>
      <c r="J1706" s="21" t="str">
        <f t="shared" si="85"/>
        <v/>
      </c>
      <c r="K1706" s="20"/>
      <c r="L1706" s="21" t="str">
        <f>IF(OR(NOT(AND($B1706&lt;&gt;"",$C1706&lt;&gt;"",$D1706&lt;&gt;"",$E1706&lt;&gt;"")),$A1706="",$K1706&lt;&gt;"Yes"),"",IF($L1706&lt;&gt;"",$L1706,INDEX(SETUP!$I$1:$I$2000,MATCH(TRUE,SETUP!$J$1:$J$2000,0)+COUNTIFS($A$2:$A1706,"&lt;&gt;",$K$2:$K1706,"Yes",$L$2:$L1706,"")-1)))</f>
        <v/>
      </c>
      <c r="N1706" s="22"/>
    </row>
    <row r="1707" spans="1:14" x14ac:dyDescent="0.3">
      <c r="A1707" s="15" t="str">
        <f>IF(COUNTA($B1707:$E1707,$K1707)=0,"",IF(AND($B1707&lt;&gt;"",$C1707&lt;&gt;"",$D1707&lt;&gt;"",$E1707&lt;&gt;""),"TXS"&amp;TEXT(COUNTIFS($B$2:$B1707,"&lt;&gt;",$C$2:$C1707,"&lt;&gt;",$D$2:$D1707,"&lt;&gt;",$E$2:$E1707,"&lt;&gt;"),"00000"),""))</f>
        <v/>
      </c>
      <c r="B1707" s="16"/>
      <c r="C1707" s="20"/>
      <c r="D1707" s="20"/>
      <c r="E1707" s="23"/>
      <c r="H1707" s="21" t="str">
        <f t="shared" si="84"/>
        <v/>
      </c>
      <c r="I1707" s="21" t="str">
        <f t="shared" si="86"/>
        <v/>
      </c>
      <c r="J1707" s="21" t="str">
        <f t="shared" si="85"/>
        <v/>
      </c>
      <c r="K1707" s="20"/>
      <c r="L1707" s="21" t="str">
        <f>IF(OR(NOT(AND($B1707&lt;&gt;"",$C1707&lt;&gt;"",$D1707&lt;&gt;"",$E1707&lt;&gt;"")),$A1707="",$K1707&lt;&gt;"Yes"),"",IF($L1707&lt;&gt;"",$L1707,INDEX(SETUP!$I$1:$I$2000,MATCH(TRUE,SETUP!$J$1:$J$2000,0)+COUNTIFS($A$2:$A1707,"&lt;&gt;",$K$2:$K1707,"Yes",$L$2:$L1707,"")-1)))</f>
        <v/>
      </c>
      <c r="N1707" s="22"/>
    </row>
    <row r="1708" spans="1:14" x14ac:dyDescent="0.3">
      <c r="A1708" s="15" t="str">
        <f>IF(COUNTA($B1708:$E1708,$K1708)=0,"",IF(AND($B1708&lt;&gt;"",$C1708&lt;&gt;"",$D1708&lt;&gt;"",$E1708&lt;&gt;""),"TXS"&amp;TEXT(COUNTIFS($B$2:$B1708,"&lt;&gt;",$C$2:$C1708,"&lt;&gt;",$D$2:$D1708,"&lt;&gt;",$E$2:$E1708,"&lt;&gt;"),"00000"),""))</f>
        <v/>
      </c>
      <c r="B1708" s="16"/>
      <c r="C1708" s="20"/>
      <c r="D1708" s="20"/>
      <c r="E1708" s="23"/>
      <c r="H1708" s="21" t="str">
        <f t="shared" si="84"/>
        <v/>
      </c>
      <c r="I1708" s="21" t="str">
        <f t="shared" si="86"/>
        <v/>
      </c>
      <c r="J1708" s="21" t="str">
        <f t="shared" si="85"/>
        <v/>
      </c>
      <c r="K1708" s="20"/>
      <c r="L1708" s="21" t="str">
        <f>IF(OR(NOT(AND($B1708&lt;&gt;"",$C1708&lt;&gt;"",$D1708&lt;&gt;"",$E1708&lt;&gt;"")),$A1708="",$K1708&lt;&gt;"Yes"),"",IF($L1708&lt;&gt;"",$L1708,INDEX(SETUP!$I$1:$I$2000,MATCH(TRUE,SETUP!$J$1:$J$2000,0)+COUNTIFS($A$2:$A1708,"&lt;&gt;",$K$2:$K1708,"Yes",$L$2:$L1708,"")-1)))</f>
        <v/>
      </c>
      <c r="N1708" s="22"/>
    </row>
    <row r="1709" spans="1:14" x14ac:dyDescent="0.3">
      <c r="A1709" s="15" t="str">
        <f>IF(COUNTA($B1709:$E1709,$K1709)=0,"",IF(AND($B1709&lt;&gt;"",$C1709&lt;&gt;"",$D1709&lt;&gt;"",$E1709&lt;&gt;""),"TXS"&amp;TEXT(COUNTIFS($B$2:$B1709,"&lt;&gt;",$C$2:$C1709,"&lt;&gt;",$D$2:$D1709,"&lt;&gt;",$E$2:$E1709,"&lt;&gt;"),"00000"),""))</f>
        <v/>
      </c>
      <c r="B1709" s="16"/>
      <c r="C1709" s="20"/>
      <c r="D1709" s="20"/>
      <c r="E1709" s="23"/>
      <c r="H1709" s="21" t="str">
        <f t="shared" si="84"/>
        <v/>
      </c>
      <c r="I1709" s="21" t="str">
        <f t="shared" si="86"/>
        <v/>
      </c>
      <c r="J1709" s="21" t="str">
        <f t="shared" si="85"/>
        <v/>
      </c>
      <c r="K1709" s="20"/>
      <c r="L1709" s="21" t="str">
        <f>IF(OR(NOT(AND($B1709&lt;&gt;"",$C1709&lt;&gt;"",$D1709&lt;&gt;"",$E1709&lt;&gt;"")),$A1709="",$K1709&lt;&gt;"Yes"),"",IF($L1709&lt;&gt;"",$L1709,INDEX(SETUP!$I$1:$I$2000,MATCH(TRUE,SETUP!$J$1:$J$2000,0)+COUNTIFS($A$2:$A1709,"&lt;&gt;",$K$2:$K1709,"Yes",$L$2:$L1709,"")-1)))</f>
        <v/>
      </c>
      <c r="N1709" s="22"/>
    </row>
    <row r="1710" spans="1:14" x14ac:dyDescent="0.3">
      <c r="A1710" s="15" t="str">
        <f>IF(COUNTA($B1710:$E1710,$K1710)=0,"",IF(AND($B1710&lt;&gt;"",$C1710&lt;&gt;"",$D1710&lt;&gt;"",$E1710&lt;&gt;""),"TXS"&amp;TEXT(COUNTIFS($B$2:$B1710,"&lt;&gt;",$C$2:$C1710,"&lt;&gt;",$D$2:$D1710,"&lt;&gt;",$E$2:$E1710,"&lt;&gt;"),"00000"),""))</f>
        <v/>
      </c>
      <c r="B1710" s="16"/>
      <c r="C1710" s="20"/>
      <c r="D1710" s="20"/>
      <c r="E1710" s="23"/>
      <c r="H1710" s="21" t="str">
        <f t="shared" si="84"/>
        <v/>
      </c>
      <c r="I1710" s="21" t="str">
        <f t="shared" si="86"/>
        <v/>
      </c>
      <c r="J1710" s="21" t="str">
        <f t="shared" si="85"/>
        <v/>
      </c>
      <c r="K1710" s="20"/>
      <c r="L1710" s="21" t="str">
        <f>IF(OR(NOT(AND($B1710&lt;&gt;"",$C1710&lt;&gt;"",$D1710&lt;&gt;"",$E1710&lt;&gt;"")),$A1710="",$K1710&lt;&gt;"Yes"),"",IF($L1710&lt;&gt;"",$L1710,INDEX(SETUP!$I$1:$I$2000,MATCH(TRUE,SETUP!$J$1:$J$2000,0)+COUNTIFS($A$2:$A1710,"&lt;&gt;",$K$2:$K1710,"Yes",$L$2:$L1710,"")-1)))</f>
        <v/>
      </c>
      <c r="N1710" s="22"/>
    </row>
    <row r="1711" spans="1:14" x14ac:dyDescent="0.3">
      <c r="A1711" s="15" t="str">
        <f>IF(COUNTA($B1711:$E1711,$K1711)=0,"",IF(AND($B1711&lt;&gt;"",$C1711&lt;&gt;"",$D1711&lt;&gt;"",$E1711&lt;&gt;""),"TXS"&amp;TEXT(COUNTIFS($B$2:$B1711,"&lt;&gt;",$C$2:$C1711,"&lt;&gt;",$D$2:$D1711,"&lt;&gt;",$E$2:$E1711,"&lt;&gt;"),"00000"),""))</f>
        <v/>
      </c>
      <c r="B1711" s="16"/>
      <c r="C1711" s="20"/>
      <c r="D1711" s="20"/>
      <c r="E1711" s="23"/>
      <c r="H1711" s="21" t="str">
        <f t="shared" ref="H1711:H1774" si="87">IF(NOT(AND($B1711&lt;&gt;"",$C1711&lt;&gt;"",$D1711&lt;&gt;"",$E1711&lt;&gt;"")),"",IF($A1711="","","CDI plate "&amp;INT((VALUE(RIGHT($A1711,5))-1)/96)+1&amp;": "&amp;CHAR(65+INT(MOD(VALUE(RIGHT($A1711,5))-1,96)/12))&amp;(MOD(VALUE(RIGHT($A1711,5))-1,12)+1)))</f>
        <v/>
      </c>
      <c r="I1711" s="21" t="str">
        <f t="shared" si="86"/>
        <v/>
      </c>
      <c r="J1711" s="21" t="str">
        <f t="shared" si="85"/>
        <v/>
      </c>
      <c r="K1711" s="20"/>
      <c r="L1711" s="21" t="str">
        <f>IF(OR(NOT(AND($B1711&lt;&gt;"",$C1711&lt;&gt;"",$D1711&lt;&gt;"",$E1711&lt;&gt;"")),$A1711="",$K1711&lt;&gt;"Yes"),"",IF($L1711&lt;&gt;"",$L1711,INDEX(SETUP!$I$1:$I$2000,MATCH(TRUE,SETUP!$J$1:$J$2000,0)+COUNTIFS($A$2:$A1711,"&lt;&gt;",$K$2:$K1711,"Yes",$L$2:$L1711,"")-1)))</f>
        <v/>
      </c>
      <c r="N1711" s="22"/>
    </row>
    <row r="1712" spans="1:14" x14ac:dyDescent="0.3">
      <c r="A1712" s="15" t="str">
        <f>IF(COUNTA($B1712:$E1712,$K1712)=0,"",IF(AND($B1712&lt;&gt;"",$C1712&lt;&gt;"",$D1712&lt;&gt;"",$E1712&lt;&gt;""),"TXS"&amp;TEXT(COUNTIFS($B$2:$B1712,"&lt;&gt;",$C$2:$C1712,"&lt;&gt;",$D$2:$D1712,"&lt;&gt;",$E$2:$E1712,"&lt;&gt;"),"00000"),""))</f>
        <v/>
      </c>
      <c r="B1712" s="16"/>
      <c r="C1712" s="20"/>
      <c r="D1712" s="20"/>
      <c r="E1712" s="23"/>
      <c r="H1712" s="21" t="str">
        <f t="shared" si="87"/>
        <v/>
      </c>
      <c r="I1712" s="21" t="str">
        <f t="shared" si="86"/>
        <v/>
      </c>
      <c r="J1712" s="21" t="str">
        <f t="shared" si="85"/>
        <v/>
      </c>
      <c r="K1712" s="20"/>
      <c r="L1712" s="21" t="str">
        <f>IF(OR(NOT(AND($B1712&lt;&gt;"",$C1712&lt;&gt;"",$D1712&lt;&gt;"",$E1712&lt;&gt;"")),$A1712="",$K1712&lt;&gt;"Yes"),"",IF($L1712&lt;&gt;"",$L1712,INDEX(SETUP!$I$1:$I$2000,MATCH(TRUE,SETUP!$J$1:$J$2000,0)+COUNTIFS($A$2:$A1712,"&lt;&gt;",$K$2:$K1712,"Yes",$L$2:$L1712,"")-1)))</f>
        <v/>
      </c>
      <c r="N1712" s="22"/>
    </row>
    <row r="1713" spans="1:14" x14ac:dyDescent="0.3">
      <c r="A1713" s="15" t="str">
        <f>IF(COUNTA($B1713:$E1713,$K1713)=0,"",IF(AND($B1713&lt;&gt;"",$C1713&lt;&gt;"",$D1713&lt;&gt;"",$E1713&lt;&gt;""),"TXS"&amp;TEXT(COUNTIFS($B$2:$B1713,"&lt;&gt;",$C$2:$C1713,"&lt;&gt;",$D$2:$D1713,"&lt;&gt;",$E$2:$E1713,"&lt;&gt;"),"00000"),""))</f>
        <v/>
      </c>
      <c r="B1713" s="16"/>
      <c r="C1713" s="20"/>
      <c r="D1713" s="20"/>
      <c r="E1713" s="23"/>
      <c r="H1713" s="21" t="str">
        <f t="shared" si="87"/>
        <v/>
      </c>
      <c r="I1713" s="21" t="str">
        <f t="shared" si="86"/>
        <v/>
      </c>
      <c r="J1713" s="21" t="str">
        <f t="shared" si="85"/>
        <v/>
      </c>
      <c r="K1713" s="20"/>
      <c r="L1713" s="21" t="str">
        <f>IF(OR(NOT(AND($B1713&lt;&gt;"",$C1713&lt;&gt;"",$D1713&lt;&gt;"",$E1713&lt;&gt;"")),$A1713="",$K1713&lt;&gt;"Yes"),"",IF($L1713&lt;&gt;"",$L1713,INDEX(SETUP!$I$1:$I$2000,MATCH(TRUE,SETUP!$J$1:$J$2000,0)+COUNTIFS($A$2:$A1713,"&lt;&gt;",$K$2:$K1713,"Yes",$L$2:$L1713,"")-1)))</f>
        <v/>
      </c>
      <c r="N1713" s="22"/>
    </row>
    <row r="1714" spans="1:14" x14ac:dyDescent="0.3">
      <c r="A1714" s="15" t="str">
        <f>IF(COUNTA($B1714:$E1714,$K1714)=0,"",IF(AND($B1714&lt;&gt;"",$C1714&lt;&gt;"",$D1714&lt;&gt;"",$E1714&lt;&gt;""),"TXS"&amp;TEXT(COUNTIFS($B$2:$B1714,"&lt;&gt;",$C$2:$C1714,"&lt;&gt;",$D$2:$D1714,"&lt;&gt;",$E$2:$E1714,"&lt;&gt;"),"00000"),""))</f>
        <v/>
      </c>
      <c r="B1714" s="16"/>
      <c r="C1714" s="20"/>
      <c r="D1714" s="20"/>
      <c r="E1714" s="23"/>
      <c r="H1714" s="21" t="str">
        <f t="shared" si="87"/>
        <v/>
      </c>
      <c r="I1714" s="21" t="str">
        <f t="shared" si="86"/>
        <v/>
      </c>
      <c r="J1714" s="21" t="str">
        <f t="shared" ref="J1714:J1777" si="88">IF(NOT(AND($B1714&lt;&gt;"",$C1714&lt;&gt;"",$D1714&lt;&gt;"",$E1714&lt;&gt;"")),"",IF($A1714="","","Max Planck plate "&amp;INT((VALUE(RIGHT($A1714,5))-1)/96)+1&amp;": "&amp;CHAR(65+INT(MOD(VALUE(RIGHT($A1714,5))-1,96)/12))&amp;(MOD(VALUE(RIGHT($A1714,5))-1,12)+1)))</f>
        <v/>
      </c>
      <c r="K1714" s="20"/>
      <c r="L1714" s="21" t="str">
        <f>IF(OR(NOT(AND($B1714&lt;&gt;"",$C1714&lt;&gt;"",$D1714&lt;&gt;"",$E1714&lt;&gt;"")),$A1714="",$K1714&lt;&gt;"Yes"),"",IF($L1714&lt;&gt;"",$L1714,INDEX(SETUP!$I$1:$I$2000,MATCH(TRUE,SETUP!$J$1:$J$2000,0)+COUNTIFS($A$2:$A1714,"&lt;&gt;",$K$2:$K1714,"Yes",$L$2:$L1714,"")-1)))</f>
        <v/>
      </c>
      <c r="N1714" s="22"/>
    </row>
    <row r="1715" spans="1:14" x14ac:dyDescent="0.3">
      <c r="A1715" s="15" t="str">
        <f>IF(COUNTA($B1715:$E1715,$K1715)=0,"",IF(AND($B1715&lt;&gt;"",$C1715&lt;&gt;"",$D1715&lt;&gt;"",$E1715&lt;&gt;""),"TXS"&amp;TEXT(COUNTIFS($B$2:$B1715,"&lt;&gt;",$C$2:$C1715,"&lt;&gt;",$D$2:$D1715,"&lt;&gt;",$E$2:$E1715,"&lt;&gt;"),"00000"),""))</f>
        <v/>
      </c>
      <c r="B1715" s="16"/>
      <c r="C1715" s="20"/>
      <c r="D1715" s="20"/>
      <c r="E1715" s="23"/>
      <c r="H1715" s="21" t="str">
        <f t="shared" si="87"/>
        <v/>
      </c>
      <c r="I1715" s="21" t="str">
        <f t="shared" si="86"/>
        <v/>
      </c>
      <c r="J1715" s="21" t="str">
        <f t="shared" si="88"/>
        <v/>
      </c>
      <c r="K1715" s="20"/>
      <c r="L1715" s="21" t="str">
        <f>IF(OR(NOT(AND($B1715&lt;&gt;"",$C1715&lt;&gt;"",$D1715&lt;&gt;"",$E1715&lt;&gt;"")),$A1715="",$K1715&lt;&gt;"Yes"),"",IF($L1715&lt;&gt;"",$L1715,INDEX(SETUP!$I$1:$I$2000,MATCH(TRUE,SETUP!$J$1:$J$2000,0)+COUNTIFS($A$2:$A1715,"&lt;&gt;",$K$2:$K1715,"Yes",$L$2:$L1715,"")-1)))</f>
        <v/>
      </c>
      <c r="N1715" s="22"/>
    </row>
    <row r="1716" spans="1:14" x14ac:dyDescent="0.3">
      <c r="A1716" s="15" t="str">
        <f>IF(COUNTA($B1716:$E1716,$K1716)=0,"",IF(AND($B1716&lt;&gt;"",$C1716&lt;&gt;"",$D1716&lt;&gt;"",$E1716&lt;&gt;""),"TXS"&amp;TEXT(COUNTIFS($B$2:$B1716,"&lt;&gt;",$C$2:$C1716,"&lt;&gt;",$D$2:$D1716,"&lt;&gt;",$E$2:$E1716,"&lt;&gt;"),"00000"),""))</f>
        <v/>
      </c>
      <c r="B1716" s="16"/>
      <c r="C1716" s="20"/>
      <c r="D1716" s="20"/>
      <c r="E1716" s="23"/>
      <c r="H1716" s="21" t="str">
        <f t="shared" si="87"/>
        <v/>
      </c>
      <c r="I1716" s="21" t="str">
        <f t="shared" si="86"/>
        <v/>
      </c>
      <c r="J1716" s="21" t="str">
        <f t="shared" si="88"/>
        <v/>
      </c>
      <c r="K1716" s="20"/>
      <c r="L1716" s="21" t="str">
        <f>IF(OR(NOT(AND($B1716&lt;&gt;"",$C1716&lt;&gt;"",$D1716&lt;&gt;"",$E1716&lt;&gt;"")),$A1716="",$K1716&lt;&gt;"Yes"),"",IF($L1716&lt;&gt;"",$L1716,INDEX(SETUP!$I$1:$I$2000,MATCH(TRUE,SETUP!$J$1:$J$2000,0)+COUNTIFS($A$2:$A1716,"&lt;&gt;",$K$2:$K1716,"Yes",$L$2:$L1716,"")-1)))</f>
        <v/>
      </c>
      <c r="N1716" s="22"/>
    </row>
    <row r="1717" spans="1:14" x14ac:dyDescent="0.3">
      <c r="A1717" s="15" t="str">
        <f>IF(COUNTA($B1717:$E1717,$K1717)=0,"",IF(AND($B1717&lt;&gt;"",$C1717&lt;&gt;"",$D1717&lt;&gt;"",$E1717&lt;&gt;""),"TXS"&amp;TEXT(COUNTIFS($B$2:$B1717,"&lt;&gt;",$C$2:$C1717,"&lt;&gt;",$D$2:$D1717,"&lt;&gt;",$E$2:$E1717,"&lt;&gt;"),"00000"),""))</f>
        <v/>
      </c>
      <c r="B1717" s="16"/>
      <c r="C1717" s="20"/>
      <c r="D1717" s="20"/>
      <c r="E1717" s="23"/>
      <c r="H1717" s="21" t="str">
        <f t="shared" si="87"/>
        <v/>
      </c>
      <c r="I1717" s="21" t="str">
        <f t="shared" si="86"/>
        <v/>
      </c>
      <c r="J1717" s="21" t="str">
        <f t="shared" si="88"/>
        <v/>
      </c>
      <c r="K1717" s="20"/>
      <c r="L1717" s="21" t="str">
        <f>IF(OR(NOT(AND($B1717&lt;&gt;"",$C1717&lt;&gt;"",$D1717&lt;&gt;"",$E1717&lt;&gt;"")),$A1717="",$K1717&lt;&gt;"Yes"),"",IF($L1717&lt;&gt;"",$L1717,INDEX(SETUP!$I$1:$I$2000,MATCH(TRUE,SETUP!$J$1:$J$2000,0)+COUNTIFS($A$2:$A1717,"&lt;&gt;",$K$2:$K1717,"Yes",$L$2:$L1717,"")-1)))</f>
        <v/>
      </c>
      <c r="N1717" s="22"/>
    </row>
    <row r="1718" spans="1:14" x14ac:dyDescent="0.3">
      <c r="A1718" s="15" t="str">
        <f>IF(COUNTA($B1718:$E1718,$K1718)=0,"",IF(AND($B1718&lt;&gt;"",$C1718&lt;&gt;"",$D1718&lt;&gt;"",$E1718&lt;&gt;""),"TXS"&amp;TEXT(COUNTIFS($B$2:$B1718,"&lt;&gt;",$C$2:$C1718,"&lt;&gt;",$D$2:$D1718,"&lt;&gt;",$E$2:$E1718,"&lt;&gt;"),"00000"),""))</f>
        <v/>
      </c>
      <c r="B1718" s="16"/>
      <c r="C1718" s="20"/>
      <c r="D1718" s="20"/>
      <c r="E1718" s="23"/>
      <c r="H1718" s="21" t="str">
        <f t="shared" si="87"/>
        <v/>
      </c>
      <c r="I1718" s="21" t="str">
        <f t="shared" si="86"/>
        <v/>
      </c>
      <c r="J1718" s="21" t="str">
        <f t="shared" si="88"/>
        <v/>
      </c>
      <c r="K1718" s="20"/>
      <c r="L1718" s="21" t="str">
        <f>IF(OR(NOT(AND($B1718&lt;&gt;"",$C1718&lt;&gt;"",$D1718&lt;&gt;"",$E1718&lt;&gt;"")),$A1718="",$K1718&lt;&gt;"Yes"),"",IF($L1718&lt;&gt;"",$L1718,INDEX(SETUP!$I$1:$I$2000,MATCH(TRUE,SETUP!$J$1:$J$2000,0)+COUNTIFS($A$2:$A1718,"&lt;&gt;",$K$2:$K1718,"Yes",$L$2:$L1718,"")-1)))</f>
        <v/>
      </c>
      <c r="N1718" s="22"/>
    </row>
    <row r="1719" spans="1:14" x14ac:dyDescent="0.3">
      <c r="A1719" s="15" t="str">
        <f>IF(COUNTA($B1719:$E1719,$K1719)=0,"",IF(AND($B1719&lt;&gt;"",$C1719&lt;&gt;"",$D1719&lt;&gt;"",$E1719&lt;&gt;""),"TXS"&amp;TEXT(COUNTIFS($B$2:$B1719,"&lt;&gt;",$C$2:$C1719,"&lt;&gt;",$D$2:$D1719,"&lt;&gt;",$E$2:$E1719,"&lt;&gt;"),"00000"),""))</f>
        <v/>
      </c>
      <c r="B1719" s="16"/>
      <c r="C1719" s="20"/>
      <c r="D1719" s="20"/>
      <c r="E1719" s="23"/>
      <c r="H1719" s="21" t="str">
        <f t="shared" si="87"/>
        <v/>
      </c>
      <c r="I1719" s="21" t="str">
        <f t="shared" si="86"/>
        <v/>
      </c>
      <c r="J1719" s="21" t="str">
        <f t="shared" si="88"/>
        <v/>
      </c>
      <c r="K1719" s="20"/>
      <c r="L1719" s="21" t="str">
        <f>IF(OR(NOT(AND($B1719&lt;&gt;"",$C1719&lt;&gt;"",$D1719&lt;&gt;"",$E1719&lt;&gt;"")),$A1719="",$K1719&lt;&gt;"Yes"),"",IF($L1719&lt;&gt;"",$L1719,INDEX(SETUP!$I$1:$I$2000,MATCH(TRUE,SETUP!$J$1:$J$2000,0)+COUNTIFS($A$2:$A1719,"&lt;&gt;",$K$2:$K1719,"Yes",$L$2:$L1719,"")-1)))</f>
        <v/>
      </c>
      <c r="N1719" s="22"/>
    </row>
    <row r="1720" spans="1:14" x14ac:dyDescent="0.3">
      <c r="A1720" s="15" t="str">
        <f>IF(COUNTA($B1720:$E1720,$K1720)=0,"",IF(AND($B1720&lt;&gt;"",$C1720&lt;&gt;"",$D1720&lt;&gt;"",$E1720&lt;&gt;""),"TXS"&amp;TEXT(COUNTIFS($B$2:$B1720,"&lt;&gt;",$C$2:$C1720,"&lt;&gt;",$D$2:$D1720,"&lt;&gt;",$E$2:$E1720,"&lt;&gt;"),"00000"),""))</f>
        <v/>
      </c>
      <c r="B1720" s="16"/>
      <c r="C1720" s="20"/>
      <c r="D1720" s="20"/>
      <c r="E1720" s="23"/>
      <c r="H1720" s="21" t="str">
        <f t="shared" si="87"/>
        <v/>
      </c>
      <c r="I1720" s="21" t="str">
        <f t="shared" si="86"/>
        <v/>
      </c>
      <c r="J1720" s="21" t="str">
        <f t="shared" si="88"/>
        <v/>
      </c>
      <c r="K1720" s="20"/>
      <c r="L1720" s="21" t="str">
        <f>IF(OR(NOT(AND($B1720&lt;&gt;"",$C1720&lt;&gt;"",$D1720&lt;&gt;"",$E1720&lt;&gt;"")),$A1720="",$K1720&lt;&gt;"Yes"),"",IF($L1720&lt;&gt;"",$L1720,INDEX(SETUP!$I$1:$I$2000,MATCH(TRUE,SETUP!$J$1:$J$2000,0)+COUNTIFS($A$2:$A1720,"&lt;&gt;",$K$2:$K1720,"Yes",$L$2:$L1720,"")-1)))</f>
        <v/>
      </c>
      <c r="N1720" s="22"/>
    </row>
    <row r="1721" spans="1:14" x14ac:dyDescent="0.3">
      <c r="A1721" s="15" t="str">
        <f>IF(COUNTA($B1721:$E1721,$K1721)=0,"",IF(AND($B1721&lt;&gt;"",$C1721&lt;&gt;"",$D1721&lt;&gt;"",$E1721&lt;&gt;""),"TXS"&amp;TEXT(COUNTIFS($B$2:$B1721,"&lt;&gt;",$C$2:$C1721,"&lt;&gt;",$D$2:$D1721,"&lt;&gt;",$E$2:$E1721,"&lt;&gt;"),"00000"),""))</f>
        <v/>
      </c>
      <c r="B1721" s="16"/>
      <c r="C1721" s="20"/>
      <c r="D1721" s="20"/>
      <c r="E1721" s="23"/>
      <c r="H1721" s="21" t="str">
        <f t="shared" si="87"/>
        <v/>
      </c>
      <c r="I1721" s="21" t="str">
        <f t="shared" si="86"/>
        <v/>
      </c>
      <c r="J1721" s="21" t="str">
        <f t="shared" si="88"/>
        <v/>
      </c>
      <c r="K1721" s="20"/>
      <c r="L1721" s="21" t="str">
        <f>IF(OR(NOT(AND($B1721&lt;&gt;"",$C1721&lt;&gt;"",$D1721&lt;&gt;"",$E1721&lt;&gt;"")),$A1721="",$K1721&lt;&gt;"Yes"),"",IF($L1721&lt;&gt;"",$L1721,INDEX(SETUP!$I$1:$I$2000,MATCH(TRUE,SETUP!$J$1:$J$2000,0)+COUNTIFS($A$2:$A1721,"&lt;&gt;",$K$2:$K1721,"Yes",$L$2:$L1721,"")-1)))</f>
        <v/>
      </c>
      <c r="N1721" s="22"/>
    </row>
    <row r="1722" spans="1:14" x14ac:dyDescent="0.3">
      <c r="A1722" s="15" t="str">
        <f>IF(COUNTA($B1722:$E1722,$K1722)=0,"",IF(AND($B1722&lt;&gt;"",$C1722&lt;&gt;"",$D1722&lt;&gt;"",$E1722&lt;&gt;""),"TXS"&amp;TEXT(COUNTIFS($B$2:$B1722,"&lt;&gt;",$C$2:$C1722,"&lt;&gt;",$D$2:$D1722,"&lt;&gt;",$E$2:$E1722,"&lt;&gt;"),"00000"),""))</f>
        <v/>
      </c>
      <c r="B1722" s="16"/>
      <c r="C1722" s="20"/>
      <c r="D1722" s="20"/>
      <c r="E1722" s="23"/>
      <c r="H1722" s="21" t="str">
        <f t="shared" si="87"/>
        <v/>
      </c>
      <c r="I1722" s="21" t="str">
        <f t="shared" si="86"/>
        <v/>
      </c>
      <c r="J1722" s="21" t="str">
        <f t="shared" si="88"/>
        <v/>
      </c>
      <c r="K1722" s="20"/>
      <c r="L1722" s="21" t="str">
        <f>IF(OR(NOT(AND($B1722&lt;&gt;"",$C1722&lt;&gt;"",$D1722&lt;&gt;"",$E1722&lt;&gt;"")),$A1722="",$K1722&lt;&gt;"Yes"),"",IF($L1722&lt;&gt;"",$L1722,INDEX(SETUP!$I$1:$I$2000,MATCH(TRUE,SETUP!$J$1:$J$2000,0)+COUNTIFS($A$2:$A1722,"&lt;&gt;",$K$2:$K1722,"Yes",$L$2:$L1722,"")-1)))</f>
        <v/>
      </c>
      <c r="N1722" s="22"/>
    </row>
    <row r="1723" spans="1:14" x14ac:dyDescent="0.3">
      <c r="A1723" s="15" t="str">
        <f>IF(COUNTA($B1723:$E1723,$K1723)=0,"",IF(AND($B1723&lt;&gt;"",$C1723&lt;&gt;"",$D1723&lt;&gt;"",$E1723&lt;&gt;""),"TXS"&amp;TEXT(COUNTIFS($B$2:$B1723,"&lt;&gt;",$C$2:$C1723,"&lt;&gt;",$D$2:$D1723,"&lt;&gt;",$E$2:$E1723,"&lt;&gt;"),"00000"),""))</f>
        <v/>
      </c>
      <c r="B1723" s="16"/>
      <c r="C1723" s="20"/>
      <c r="D1723" s="20"/>
      <c r="E1723" s="23"/>
      <c r="H1723" s="21" t="str">
        <f t="shared" si="87"/>
        <v/>
      </c>
      <c r="I1723" s="21" t="str">
        <f t="shared" si="86"/>
        <v/>
      </c>
      <c r="J1723" s="21" t="str">
        <f t="shared" si="88"/>
        <v/>
      </c>
      <c r="K1723" s="20"/>
      <c r="L1723" s="21" t="str">
        <f>IF(OR(NOT(AND($B1723&lt;&gt;"",$C1723&lt;&gt;"",$D1723&lt;&gt;"",$E1723&lt;&gt;"")),$A1723="",$K1723&lt;&gt;"Yes"),"",IF($L1723&lt;&gt;"",$L1723,INDEX(SETUP!$I$1:$I$2000,MATCH(TRUE,SETUP!$J$1:$J$2000,0)+COUNTIFS($A$2:$A1723,"&lt;&gt;",$K$2:$K1723,"Yes",$L$2:$L1723,"")-1)))</f>
        <v/>
      </c>
      <c r="N1723" s="22"/>
    </row>
    <row r="1724" spans="1:14" x14ac:dyDescent="0.3">
      <c r="A1724" s="15" t="str">
        <f>IF(COUNTA($B1724:$E1724,$K1724)=0,"",IF(AND($B1724&lt;&gt;"",$C1724&lt;&gt;"",$D1724&lt;&gt;"",$E1724&lt;&gt;""),"TXS"&amp;TEXT(COUNTIFS($B$2:$B1724,"&lt;&gt;",$C$2:$C1724,"&lt;&gt;",$D$2:$D1724,"&lt;&gt;",$E$2:$E1724,"&lt;&gt;"),"00000"),""))</f>
        <v/>
      </c>
      <c r="B1724" s="16"/>
      <c r="C1724" s="20"/>
      <c r="D1724" s="20"/>
      <c r="E1724" s="23"/>
      <c r="H1724" s="21" t="str">
        <f t="shared" si="87"/>
        <v/>
      </c>
      <c r="I1724" s="21" t="str">
        <f t="shared" si="86"/>
        <v/>
      </c>
      <c r="J1724" s="21" t="str">
        <f t="shared" si="88"/>
        <v/>
      </c>
      <c r="K1724" s="20"/>
      <c r="L1724" s="21" t="str">
        <f>IF(OR(NOT(AND($B1724&lt;&gt;"",$C1724&lt;&gt;"",$D1724&lt;&gt;"",$E1724&lt;&gt;"")),$A1724="",$K1724&lt;&gt;"Yes"),"",IF($L1724&lt;&gt;"",$L1724,INDEX(SETUP!$I$1:$I$2000,MATCH(TRUE,SETUP!$J$1:$J$2000,0)+COUNTIFS($A$2:$A1724,"&lt;&gt;",$K$2:$K1724,"Yes",$L$2:$L1724,"")-1)))</f>
        <v/>
      </c>
      <c r="N1724" s="22"/>
    </row>
    <row r="1725" spans="1:14" x14ac:dyDescent="0.3">
      <c r="A1725" s="15" t="str">
        <f>IF(COUNTA($B1725:$E1725,$K1725)=0,"",IF(AND($B1725&lt;&gt;"",$C1725&lt;&gt;"",$D1725&lt;&gt;"",$E1725&lt;&gt;""),"TXS"&amp;TEXT(COUNTIFS($B$2:$B1725,"&lt;&gt;",$C$2:$C1725,"&lt;&gt;",$D$2:$D1725,"&lt;&gt;",$E$2:$E1725,"&lt;&gt;"),"00000"),""))</f>
        <v/>
      </c>
      <c r="B1725" s="16"/>
      <c r="C1725" s="20"/>
      <c r="D1725" s="20"/>
      <c r="E1725" s="23"/>
      <c r="H1725" s="21" t="str">
        <f t="shared" si="87"/>
        <v/>
      </c>
      <c r="I1725" s="21" t="str">
        <f t="shared" si="86"/>
        <v/>
      </c>
      <c r="J1725" s="21" t="str">
        <f t="shared" si="88"/>
        <v/>
      </c>
      <c r="K1725" s="20"/>
      <c r="L1725" s="21" t="str">
        <f>IF(OR(NOT(AND($B1725&lt;&gt;"",$C1725&lt;&gt;"",$D1725&lt;&gt;"",$E1725&lt;&gt;"")),$A1725="",$K1725&lt;&gt;"Yes"),"",IF($L1725&lt;&gt;"",$L1725,INDEX(SETUP!$I$1:$I$2000,MATCH(TRUE,SETUP!$J$1:$J$2000,0)+COUNTIFS($A$2:$A1725,"&lt;&gt;",$K$2:$K1725,"Yes",$L$2:$L1725,"")-1)))</f>
        <v/>
      </c>
      <c r="N1725" s="22"/>
    </row>
    <row r="1726" spans="1:14" x14ac:dyDescent="0.3">
      <c r="A1726" s="15" t="str">
        <f>IF(COUNTA($B1726:$E1726,$K1726)=0,"",IF(AND($B1726&lt;&gt;"",$C1726&lt;&gt;"",$D1726&lt;&gt;"",$E1726&lt;&gt;""),"TXS"&amp;TEXT(COUNTIFS($B$2:$B1726,"&lt;&gt;",$C$2:$C1726,"&lt;&gt;",$D$2:$D1726,"&lt;&gt;",$E$2:$E1726,"&lt;&gt;"),"00000"),""))</f>
        <v/>
      </c>
      <c r="B1726" s="16"/>
      <c r="C1726" s="20"/>
      <c r="D1726" s="20"/>
      <c r="E1726" s="23"/>
      <c r="H1726" s="21" t="str">
        <f t="shared" si="87"/>
        <v/>
      </c>
      <c r="I1726" s="21" t="str">
        <f t="shared" si="86"/>
        <v/>
      </c>
      <c r="J1726" s="21" t="str">
        <f t="shared" si="88"/>
        <v/>
      </c>
      <c r="K1726" s="20"/>
      <c r="L1726" s="21" t="str">
        <f>IF(OR(NOT(AND($B1726&lt;&gt;"",$C1726&lt;&gt;"",$D1726&lt;&gt;"",$E1726&lt;&gt;"")),$A1726="",$K1726&lt;&gt;"Yes"),"",IF($L1726&lt;&gt;"",$L1726,INDEX(SETUP!$I$1:$I$2000,MATCH(TRUE,SETUP!$J$1:$J$2000,0)+COUNTIFS($A$2:$A1726,"&lt;&gt;",$K$2:$K1726,"Yes",$L$2:$L1726,"")-1)))</f>
        <v/>
      </c>
      <c r="N1726" s="22"/>
    </row>
    <row r="1727" spans="1:14" x14ac:dyDescent="0.3">
      <c r="A1727" s="15" t="str">
        <f>IF(COUNTA($B1727:$E1727,$K1727)=0,"",IF(AND($B1727&lt;&gt;"",$C1727&lt;&gt;"",$D1727&lt;&gt;"",$E1727&lt;&gt;""),"TXS"&amp;TEXT(COUNTIFS($B$2:$B1727,"&lt;&gt;",$C$2:$C1727,"&lt;&gt;",$D$2:$D1727,"&lt;&gt;",$E$2:$E1727,"&lt;&gt;"),"00000"),""))</f>
        <v/>
      </c>
      <c r="B1727" s="16"/>
      <c r="C1727" s="20"/>
      <c r="D1727" s="20"/>
      <c r="E1727" s="23"/>
      <c r="H1727" s="21" t="str">
        <f t="shared" si="87"/>
        <v/>
      </c>
      <c r="I1727" s="21" t="str">
        <f t="shared" si="86"/>
        <v/>
      </c>
      <c r="J1727" s="21" t="str">
        <f t="shared" si="88"/>
        <v/>
      </c>
      <c r="K1727" s="20"/>
      <c r="L1727" s="21" t="str">
        <f>IF(OR(NOT(AND($B1727&lt;&gt;"",$C1727&lt;&gt;"",$D1727&lt;&gt;"",$E1727&lt;&gt;"")),$A1727="",$K1727&lt;&gt;"Yes"),"",IF($L1727&lt;&gt;"",$L1727,INDEX(SETUP!$I$1:$I$2000,MATCH(TRUE,SETUP!$J$1:$J$2000,0)+COUNTIFS($A$2:$A1727,"&lt;&gt;",$K$2:$K1727,"Yes",$L$2:$L1727,"")-1)))</f>
        <v/>
      </c>
      <c r="N1727" s="22"/>
    </row>
    <row r="1728" spans="1:14" x14ac:dyDescent="0.3">
      <c r="A1728" s="15" t="str">
        <f>IF(COUNTA($B1728:$E1728,$K1728)=0,"",IF(AND($B1728&lt;&gt;"",$C1728&lt;&gt;"",$D1728&lt;&gt;"",$E1728&lt;&gt;""),"TXS"&amp;TEXT(COUNTIFS($B$2:$B1728,"&lt;&gt;",$C$2:$C1728,"&lt;&gt;",$D$2:$D1728,"&lt;&gt;",$E$2:$E1728,"&lt;&gt;"),"00000"),""))</f>
        <v/>
      </c>
      <c r="B1728" s="16"/>
      <c r="C1728" s="20"/>
      <c r="D1728" s="20"/>
      <c r="E1728" s="23"/>
      <c r="H1728" s="21" t="str">
        <f t="shared" si="87"/>
        <v/>
      </c>
      <c r="I1728" s="21" t="str">
        <f t="shared" si="86"/>
        <v/>
      </c>
      <c r="J1728" s="21" t="str">
        <f t="shared" si="88"/>
        <v/>
      </c>
      <c r="K1728" s="20"/>
      <c r="L1728" s="21" t="str">
        <f>IF(OR(NOT(AND($B1728&lt;&gt;"",$C1728&lt;&gt;"",$D1728&lt;&gt;"",$E1728&lt;&gt;"")),$A1728="",$K1728&lt;&gt;"Yes"),"",IF($L1728&lt;&gt;"",$L1728,INDEX(SETUP!$I$1:$I$2000,MATCH(TRUE,SETUP!$J$1:$J$2000,0)+COUNTIFS($A$2:$A1728,"&lt;&gt;",$K$2:$K1728,"Yes",$L$2:$L1728,"")-1)))</f>
        <v/>
      </c>
      <c r="N1728" s="22"/>
    </row>
    <row r="1729" spans="1:14" x14ac:dyDescent="0.3">
      <c r="A1729" s="15" t="str">
        <f>IF(COUNTA($B1729:$E1729,$K1729)=0,"",IF(AND($B1729&lt;&gt;"",$C1729&lt;&gt;"",$D1729&lt;&gt;"",$E1729&lt;&gt;""),"TXS"&amp;TEXT(COUNTIFS($B$2:$B1729,"&lt;&gt;",$C$2:$C1729,"&lt;&gt;",$D$2:$D1729,"&lt;&gt;",$E$2:$E1729,"&lt;&gt;"),"00000"),""))</f>
        <v/>
      </c>
      <c r="B1729" s="16"/>
      <c r="C1729" s="20"/>
      <c r="D1729" s="20"/>
      <c r="E1729" s="23"/>
      <c r="H1729" s="21" t="str">
        <f t="shared" si="87"/>
        <v/>
      </c>
      <c r="I1729" s="21" t="str">
        <f t="shared" si="86"/>
        <v/>
      </c>
      <c r="J1729" s="21" t="str">
        <f t="shared" si="88"/>
        <v/>
      </c>
      <c r="K1729" s="20"/>
      <c r="L1729" s="21" t="str">
        <f>IF(OR(NOT(AND($B1729&lt;&gt;"",$C1729&lt;&gt;"",$D1729&lt;&gt;"",$E1729&lt;&gt;"")),$A1729="",$K1729&lt;&gt;"Yes"),"",IF($L1729&lt;&gt;"",$L1729,INDEX(SETUP!$I$1:$I$2000,MATCH(TRUE,SETUP!$J$1:$J$2000,0)+COUNTIFS($A$2:$A1729,"&lt;&gt;",$K$2:$K1729,"Yes",$L$2:$L1729,"")-1)))</f>
        <v/>
      </c>
      <c r="N1729" s="22"/>
    </row>
    <row r="1730" spans="1:14" x14ac:dyDescent="0.3">
      <c r="A1730" s="15" t="str">
        <f>IF(COUNTA($B1730:$E1730,$K1730)=0,"",IF(AND($B1730&lt;&gt;"",$C1730&lt;&gt;"",$D1730&lt;&gt;"",$E1730&lt;&gt;""),"TXS"&amp;TEXT(COUNTIFS($B$2:$B1730,"&lt;&gt;",$C$2:$C1730,"&lt;&gt;",$D$2:$D1730,"&lt;&gt;",$E$2:$E1730,"&lt;&gt;"),"00000"),""))</f>
        <v/>
      </c>
      <c r="B1730" s="16"/>
      <c r="C1730" s="20"/>
      <c r="D1730" s="20"/>
      <c r="E1730" s="23"/>
      <c r="H1730" s="21" t="str">
        <f t="shared" si="87"/>
        <v/>
      </c>
      <c r="I1730" s="21" t="str">
        <f t="shared" si="86"/>
        <v/>
      </c>
      <c r="J1730" s="21" t="str">
        <f t="shared" si="88"/>
        <v/>
      </c>
      <c r="K1730" s="20"/>
      <c r="L1730" s="21" t="str">
        <f>IF(OR(NOT(AND($B1730&lt;&gt;"",$C1730&lt;&gt;"",$D1730&lt;&gt;"",$E1730&lt;&gt;"")),$A1730="",$K1730&lt;&gt;"Yes"),"",IF($L1730&lt;&gt;"",$L1730,INDEX(SETUP!$I$1:$I$2000,MATCH(TRUE,SETUP!$J$1:$J$2000,0)+COUNTIFS($A$2:$A1730,"&lt;&gt;",$K$2:$K1730,"Yes",$L$2:$L1730,"")-1)))</f>
        <v/>
      </c>
      <c r="N1730" s="22"/>
    </row>
    <row r="1731" spans="1:14" x14ac:dyDescent="0.3">
      <c r="A1731" s="15" t="str">
        <f>IF(COUNTA($B1731:$E1731,$K1731)=0,"",IF(AND($B1731&lt;&gt;"",$C1731&lt;&gt;"",$D1731&lt;&gt;"",$E1731&lt;&gt;""),"TXS"&amp;TEXT(COUNTIFS($B$2:$B1731,"&lt;&gt;",$C$2:$C1731,"&lt;&gt;",$D$2:$D1731,"&lt;&gt;",$E$2:$E1731,"&lt;&gt;"),"00000"),""))</f>
        <v/>
      </c>
      <c r="B1731" s="16"/>
      <c r="C1731" s="20"/>
      <c r="D1731" s="20"/>
      <c r="E1731" s="23"/>
      <c r="H1731" s="21" t="str">
        <f t="shared" si="87"/>
        <v/>
      </c>
      <c r="I1731" s="21" t="str">
        <f t="shared" si="86"/>
        <v/>
      </c>
      <c r="J1731" s="21" t="str">
        <f t="shared" si="88"/>
        <v/>
      </c>
      <c r="K1731" s="20"/>
      <c r="L1731" s="21" t="str">
        <f>IF(OR(NOT(AND($B1731&lt;&gt;"",$C1731&lt;&gt;"",$D1731&lt;&gt;"",$E1731&lt;&gt;"")),$A1731="",$K1731&lt;&gt;"Yes"),"",IF($L1731&lt;&gt;"",$L1731,INDEX(SETUP!$I$1:$I$2000,MATCH(TRUE,SETUP!$J$1:$J$2000,0)+COUNTIFS($A$2:$A1731,"&lt;&gt;",$K$2:$K1731,"Yes",$L$2:$L1731,"")-1)))</f>
        <v/>
      </c>
      <c r="N1731" s="22"/>
    </row>
    <row r="1732" spans="1:14" x14ac:dyDescent="0.3">
      <c r="A1732" s="15" t="str">
        <f>IF(COUNTA($B1732:$E1732,$K1732)=0,"",IF(AND($B1732&lt;&gt;"",$C1732&lt;&gt;"",$D1732&lt;&gt;"",$E1732&lt;&gt;""),"TXS"&amp;TEXT(COUNTIFS($B$2:$B1732,"&lt;&gt;",$C$2:$C1732,"&lt;&gt;",$D$2:$D1732,"&lt;&gt;",$E$2:$E1732,"&lt;&gt;"),"00000"),""))</f>
        <v/>
      </c>
      <c r="B1732" s="16"/>
      <c r="C1732" s="20"/>
      <c r="D1732" s="20"/>
      <c r="E1732" s="23"/>
      <c r="H1732" s="21" t="str">
        <f t="shared" si="87"/>
        <v/>
      </c>
      <c r="I1732" s="21" t="str">
        <f t="shared" si="86"/>
        <v/>
      </c>
      <c r="J1732" s="21" t="str">
        <f t="shared" si="88"/>
        <v/>
      </c>
      <c r="K1732" s="20"/>
      <c r="L1732" s="21" t="str">
        <f>IF(OR(NOT(AND($B1732&lt;&gt;"",$C1732&lt;&gt;"",$D1732&lt;&gt;"",$E1732&lt;&gt;"")),$A1732="",$K1732&lt;&gt;"Yes"),"",IF($L1732&lt;&gt;"",$L1732,INDEX(SETUP!$I$1:$I$2000,MATCH(TRUE,SETUP!$J$1:$J$2000,0)+COUNTIFS($A$2:$A1732,"&lt;&gt;",$K$2:$K1732,"Yes",$L$2:$L1732,"")-1)))</f>
        <v/>
      </c>
      <c r="N1732" s="22"/>
    </row>
    <row r="1733" spans="1:14" x14ac:dyDescent="0.3">
      <c r="A1733" s="15" t="str">
        <f>IF(COUNTA($B1733:$E1733,$K1733)=0,"",IF(AND($B1733&lt;&gt;"",$C1733&lt;&gt;"",$D1733&lt;&gt;"",$E1733&lt;&gt;""),"TXS"&amp;TEXT(COUNTIFS($B$2:$B1733,"&lt;&gt;",$C$2:$C1733,"&lt;&gt;",$D$2:$D1733,"&lt;&gt;",$E$2:$E1733,"&lt;&gt;"),"00000"),""))</f>
        <v/>
      </c>
      <c r="B1733" s="16"/>
      <c r="C1733" s="20"/>
      <c r="D1733" s="20"/>
      <c r="E1733" s="23"/>
      <c r="H1733" s="21" t="str">
        <f t="shared" si="87"/>
        <v/>
      </c>
      <c r="I1733" s="21" t="str">
        <f t="shared" si="86"/>
        <v/>
      </c>
      <c r="J1733" s="21" t="str">
        <f t="shared" si="88"/>
        <v/>
      </c>
      <c r="K1733" s="20"/>
      <c r="L1733" s="21" t="str">
        <f>IF(OR(NOT(AND($B1733&lt;&gt;"",$C1733&lt;&gt;"",$D1733&lt;&gt;"",$E1733&lt;&gt;"")),$A1733="",$K1733&lt;&gt;"Yes"),"",IF($L1733&lt;&gt;"",$L1733,INDEX(SETUP!$I$1:$I$2000,MATCH(TRUE,SETUP!$J$1:$J$2000,0)+COUNTIFS($A$2:$A1733,"&lt;&gt;",$K$2:$K1733,"Yes",$L$2:$L1733,"")-1)))</f>
        <v/>
      </c>
      <c r="N1733" s="22"/>
    </row>
    <row r="1734" spans="1:14" x14ac:dyDescent="0.3">
      <c r="A1734" s="15" t="str">
        <f>IF(COUNTA($B1734:$E1734,$K1734)=0,"",IF(AND($B1734&lt;&gt;"",$C1734&lt;&gt;"",$D1734&lt;&gt;"",$E1734&lt;&gt;""),"TXS"&amp;TEXT(COUNTIFS($B$2:$B1734,"&lt;&gt;",$C$2:$C1734,"&lt;&gt;",$D$2:$D1734,"&lt;&gt;",$E$2:$E1734,"&lt;&gt;"),"00000"),""))</f>
        <v/>
      </c>
      <c r="B1734" s="16"/>
      <c r="C1734" s="20"/>
      <c r="D1734" s="20"/>
      <c r="E1734" s="23"/>
      <c r="H1734" s="21" t="str">
        <f t="shared" si="87"/>
        <v/>
      </c>
      <c r="I1734" s="21" t="str">
        <f t="shared" si="86"/>
        <v/>
      </c>
      <c r="J1734" s="21" t="str">
        <f t="shared" si="88"/>
        <v/>
      </c>
      <c r="K1734" s="20"/>
      <c r="L1734" s="21" t="str">
        <f>IF(OR(NOT(AND($B1734&lt;&gt;"",$C1734&lt;&gt;"",$D1734&lt;&gt;"",$E1734&lt;&gt;"")),$A1734="",$K1734&lt;&gt;"Yes"),"",IF($L1734&lt;&gt;"",$L1734,INDEX(SETUP!$I$1:$I$2000,MATCH(TRUE,SETUP!$J$1:$J$2000,0)+COUNTIFS($A$2:$A1734,"&lt;&gt;",$K$2:$K1734,"Yes",$L$2:$L1734,"")-1)))</f>
        <v/>
      </c>
      <c r="N1734" s="22"/>
    </row>
    <row r="1735" spans="1:14" x14ac:dyDescent="0.3">
      <c r="A1735" s="15" t="str">
        <f>IF(COUNTA($B1735:$E1735,$K1735)=0,"",IF(AND($B1735&lt;&gt;"",$C1735&lt;&gt;"",$D1735&lt;&gt;"",$E1735&lt;&gt;""),"TXS"&amp;TEXT(COUNTIFS($B$2:$B1735,"&lt;&gt;",$C$2:$C1735,"&lt;&gt;",$D$2:$D1735,"&lt;&gt;",$E$2:$E1735,"&lt;&gt;"),"00000"),""))</f>
        <v/>
      </c>
      <c r="B1735" s="16"/>
      <c r="C1735" s="20"/>
      <c r="D1735" s="20"/>
      <c r="E1735" s="23"/>
      <c r="H1735" s="21" t="str">
        <f t="shared" si="87"/>
        <v/>
      </c>
      <c r="I1735" s="21" t="str">
        <f t="shared" si="86"/>
        <v/>
      </c>
      <c r="J1735" s="21" t="str">
        <f t="shared" si="88"/>
        <v/>
      </c>
      <c r="K1735" s="20"/>
      <c r="L1735" s="21" t="str">
        <f>IF(OR(NOT(AND($B1735&lt;&gt;"",$C1735&lt;&gt;"",$D1735&lt;&gt;"",$E1735&lt;&gt;"")),$A1735="",$K1735&lt;&gt;"Yes"),"",IF($L1735&lt;&gt;"",$L1735,INDEX(SETUP!$I$1:$I$2000,MATCH(TRUE,SETUP!$J$1:$J$2000,0)+COUNTIFS($A$2:$A1735,"&lt;&gt;",$K$2:$K1735,"Yes",$L$2:$L1735,"")-1)))</f>
        <v/>
      </c>
      <c r="N1735" s="22"/>
    </row>
    <row r="1736" spans="1:14" x14ac:dyDescent="0.3">
      <c r="A1736" s="15" t="str">
        <f>IF(COUNTA($B1736:$E1736,$K1736)=0,"",IF(AND($B1736&lt;&gt;"",$C1736&lt;&gt;"",$D1736&lt;&gt;"",$E1736&lt;&gt;""),"TXS"&amp;TEXT(COUNTIFS($B$2:$B1736,"&lt;&gt;",$C$2:$C1736,"&lt;&gt;",$D$2:$D1736,"&lt;&gt;",$E$2:$E1736,"&lt;&gt;"),"00000"),""))</f>
        <v/>
      </c>
      <c r="B1736" s="16"/>
      <c r="C1736" s="20"/>
      <c r="D1736" s="20"/>
      <c r="E1736" s="23"/>
      <c r="H1736" s="21" t="str">
        <f t="shared" si="87"/>
        <v/>
      </c>
      <c r="I1736" s="21" t="str">
        <f t="shared" si="86"/>
        <v/>
      </c>
      <c r="J1736" s="21" t="str">
        <f t="shared" si="88"/>
        <v/>
      </c>
      <c r="K1736" s="20"/>
      <c r="L1736" s="21" t="str">
        <f>IF(OR(NOT(AND($B1736&lt;&gt;"",$C1736&lt;&gt;"",$D1736&lt;&gt;"",$E1736&lt;&gt;"")),$A1736="",$K1736&lt;&gt;"Yes"),"",IF($L1736&lt;&gt;"",$L1736,INDEX(SETUP!$I$1:$I$2000,MATCH(TRUE,SETUP!$J$1:$J$2000,0)+COUNTIFS($A$2:$A1736,"&lt;&gt;",$K$2:$K1736,"Yes",$L$2:$L1736,"")-1)))</f>
        <v/>
      </c>
      <c r="N1736" s="22"/>
    </row>
    <row r="1737" spans="1:14" x14ac:dyDescent="0.3">
      <c r="A1737" s="15" t="str">
        <f>IF(COUNTA($B1737:$E1737,$K1737)=0,"",IF(AND($B1737&lt;&gt;"",$C1737&lt;&gt;"",$D1737&lt;&gt;"",$E1737&lt;&gt;""),"TXS"&amp;TEXT(COUNTIFS($B$2:$B1737,"&lt;&gt;",$C$2:$C1737,"&lt;&gt;",$D$2:$D1737,"&lt;&gt;",$E$2:$E1737,"&lt;&gt;"),"00000"),""))</f>
        <v/>
      </c>
      <c r="B1737" s="16"/>
      <c r="C1737" s="20"/>
      <c r="D1737" s="20"/>
      <c r="E1737" s="23"/>
      <c r="H1737" s="21" t="str">
        <f t="shared" si="87"/>
        <v/>
      </c>
      <c r="I1737" s="21" t="str">
        <f t="shared" si="86"/>
        <v/>
      </c>
      <c r="J1737" s="21" t="str">
        <f t="shared" si="88"/>
        <v/>
      </c>
      <c r="K1737" s="20"/>
      <c r="L1737" s="21" t="str">
        <f>IF(OR(NOT(AND($B1737&lt;&gt;"",$C1737&lt;&gt;"",$D1737&lt;&gt;"",$E1737&lt;&gt;"")),$A1737="",$K1737&lt;&gt;"Yes"),"",IF($L1737&lt;&gt;"",$L1737,INDEX(SETUP!$I$1:$I$2000,MATCH(TRUE,SETUP!$J$1:$J$2000,0)+COUNTIFS($A$2:$A1737,"&lt;&gt;",$K$2:$K1737,"Yes",$L$2:$L1737,"")-1)))</f>
        <v/>
      </c>
      <c r="N1737" s="22"/>
    </row>
    <row r="1738" spans="1:14" x14ac:dyDescent="0.3">
      <c r="A1738" s="15" t="str">
        <f>IF(COUNTA($B1738:$E1738,$K1738)=0,"",IF(AND($B1738&lt;&gt;"",$C1738&lt;&gt;"",$D1738&lt;&gt;"",$E1738&lt;&gt;""),"TXS"&amp;TEXT(COUNTIFS($B$2:$B1738,"&lt;&gt;",$C$2:$C1738,"&lt;&gt;",$D$2:$D1738,"&lt;&gt;",$E$2:$E1738,"&lt;&gt;"),"00000"),""))</f>
        <v/>
      </c>
      <c r="B1738" s="16"/>
      <c r="C1738" s="20"/>
      <c r="D1738" s="20"/>
      <c r="E1738" s="23"/>
      <c r="H1738" s="21" t="str">
        <f t="shared" si="87"/>
        <v/>
      </c>
      <c r="I1738" s="21" t="str">
        <f t="shared" si="86"/>
        <v/>
      </c>
      <c r="J1738" s="21" t="str">
        <f t="shared" si="88"/>
        <v/>
      </c>
      <c r="K1738" s="20"/>
      <c r="L1738" s="21" t="str">
        <f>IF(OR(NOT(AND($B1738&lt;&gt;"",$C1738&lt;&gt;"",$D1738&lt;&gt;"",$E1738&lt;&gt;"")),$A1738="",$K1738&lt;&gt;"Yes"),"",IF($L1738&lt;&gt;"",$L1738,INDEX(SETUP!$I$1:$I$2000,MATCH(TRUE,SETUP!$J$1:$J$2000,0)+COUNTIFS($A$2:$A1738,"&lt;&gt;",$K$2:$K1738,"Yes",$L$2:$L1738,"")-1)))</f>
        <v/>
      </c>
      <c r="N1738" s="22"/>
    </row>
    <row r="1739" spans="1:14" x14ac:dyDescent="0.3">
      <c r="A1739" s="15" t="str">
        <f>IF(COUNTA($B1739:$E1739,$K1739)=0,"",IF(AND($B1739&lt;&gt;"",$C1739&lt;&gt;"",$D1739&lt;&gt;"",$E1739&lt;&gt;""),"TXS"&amp;TEXT(COUNTIFS($B$2:$B1739,"&lt;&gt;",$C$2:$C1739,"&lt;&gt;",$D$2:$D1739,"&lt;&gt;",$E$2:$E1739,"&lt;&gt;"),"00000"),""))</f>
        <v/>
      </c>
      <c r="B1739" s="16"/>
      <c r="C1739" s="20"/>
      <c r="D1739" s="20"/>
      <c r="E1739" s="23"/>
      <c r="H1739" s="21" t="str">
        <f t="shared" si="87"/>
        <v/>
      </c>
      <c r="I1739" s="21" t="str">
        <f t="shared" si="86"/>
        <v/>
      </c>
      <c r="J1739" s="21" t="str">
        <f t="shared" si="88"/>
        <v/>
      </c>
      <c r="K1739" s="20"/>
      <c r="L1739" s="21" t="str">
        <f>IF(OR(NOT(AND($B1739&lt;&gt;"",$C1739&lt;&gt;"",$D1739&lt;&gt;"",$E1739&lt;&gt;"")),$A1739="",$K1739&lt;&gt;"Yes"),"",IF($L1739&lt;&gt;"",$L1739,INDEX(SETUP!$I$1:$I$2000,MATCH(TRUE,SETUP!$J$1:$J$2000,0)+COUNTIFS($A$2:$A1739,"&lt;&gt;",$K$2:$K1739,"Yes",$L$2:$L1739,"")-1)))</f>
        <v/>
      </c>
      <c r="N1739" s="22"/>
    </row>
    <row r="1740" spans="1:14" x14ac:dyDescent="0.3">
      <c r="A1740" s="15" t="str">
        <f>IF(COUNTA($B1740:$E1740,$K1740)=0,"",IF(AND($B1740&lt;&gt;"",$C1740&lt;&gt;"",$D1740&lt;&gt;"",$E1740&lt;&gt;""),"TXS"&amp;TEXT(COUNTIFS($B$2:$B1740,"&lt;&gt;",$C$2:$C1740,"&lt;&gt;",$D$2:$D1740,"&lt;&gt;",$E$2:$E1740,"&lt;&gt;"),"00000"),""))</f>
        <v/>
      </c>
      <c r="B1740" s="16"/>
      <c r="C1740" s="20"/>
      <c r="D1740" s="20"/>
      <c r="E1740" s="23"/>
      <c r="H1740" s="21" t="str">
        <f t="shared" si="87"/>
        <v/>
      </c>
      <c r="I1740" s="21" t="str">
        <f t="shared" si="86"/>
        <v/>
      </c>
      <c r="J1740" s="21" t="str">
        <f t="shared" si="88"/>
        <v/>
      </c>
      <c r="K1740" s="20"/>
      <c r="L1740" s="21" t="str">
        <f>IF(OR(NOT(AND($B1740&lt;&gt;"",$C1740&lt;&gt;"",$D1740&lt;&gt;"",$E1740&lt;&gt;"")),$A1740="",$K1740&lt;&gt;"Yes"),"",IF($L1740&lt;&gt;"",$L1740,INDEX(SETUP!$I$1:$I$2000,MATCH(TRUE,SETUP!$J$1:$J$2000,0)+COUNTIFS($A$2:$A1740,"&lt;&gt;",$K$2:$K1740,"Yes",$L$2:$L1740,"")-1)))</f>
        <v/>
      </c>
      <c r="N1740" s="22"/>
    </row>
    <row r="1741" spans="1:14" x14ac:dyDescent="0.3">
      <c r="A1741" s="15" t="str">
        <f>IF(COUNTA($B1741:$E1741,$K1741)=0,"",IF(AND($B1741&lt;&gt;"",$C1741&lt;&gt;"",$D1741&lt;&gt;"",$E1741&lt;&gt;""),"TXS"&amp;TEXT(COUNTIFS($B$2:$B1741,"&lt;&gt;",$C$2:$C1741,"&lt;&gt;",$D$2:$D1741,"&lt;&gt;",$E$2:$E1741,"&lt;&gt;"),"00000"),""))</f>
        <v/>
      </c>
      <c r="B1741" s="16"/>
      <c r="C1741" s="20"/>
      <c r="D1741" s="20"/>
      <c r="E1741" s="23"/>
      <c r="H1741" s="21" t="str">
        <f t="shared" si="87"/>
        <v/>
      </c>
      <c r="I1741" s="21" t="str">
        <f t="shared" si="86"/>
        <v/>
      </c>
      <c r="J1741" s="21" t="str">
        <f t="shared" si="88"/>
        <v/>
      </c>
      <c r="K1741" s="20"/>
      <c r="L1741" s="21" t="str">
        <f>IF(OR(NOT(AND($B1741&lt;&gt;"",$C1741&lt;&gt;"",$D1741&lt;&gt;"",$E1741&lt;&gt;"")),$A1741="",$K1741&lt;&gt;"Yes"),"",IF($L1741&lt;&gt;"",$L1741,INDEX(SETUP!$I$1:$I$2000,MATCH(TRUE,SETUP!$J$1:$J$2000,0)+COUNTIFS($A$2:$A1741,"&lt;&gt;",$K$2:$K1741,"Yes",$L$2:$L1741,"")-1)))</f>
        <v/>
      </c>
      <c r="N1741" s="22"/>
    </row>
    <row r="1742" spans="1:14" x14ac:dyDescent="0.3">
      <c r="A1742" s="15" t="str">
        <f>IF(COUNTA($B1742:$E1742,$K1742)=0,"",IF(AND($B1742&lt;&gt;"",$C1742&lt;&gt;"",$D1742&lt;&gt;"",$E1742&lt;&gt;""),"TXS"&amp;TEXT(COUNTIFS($B$2:$B1742,"&lt;&gt;",$C$2:$C1742,"&lt;&gt;",$D$2:$D1742,"&lt;&gt;",$E$2:$E1742,"&lt;&gt;"),"00000"),""))</f>
        <v/>
      </c>
      <c r="B1742" s="16"/>
      <c r="C1742" s="20"/>
      <c r="D1742" s="20"/>
      <c r="E1742" s="23"/>
      <c r="H1742" s="21" t="str">
        <f t="shared" si="87"/>
        <v/>
      </c>
      <c r="I1742" s="21" t="str">
        <f t="shared" si="86"/>
        <v/>
      </c>
      <c r="J1742" s="21" t="str">
        <f t="shared" si="88"/>
        <v/>
      </c>
      <c r="K1742" s="20"/>
      <c r="L1742" s="21" t="str">
        <f>IF(OR(NOT(AND($B1742&lt;&gt;"",$C1742&lt;&gt;"",$D1742&lt;&gt;"",$E1742&lt;&gt;"")),$A1742="",$K1742&lt;&gt;"Yes"),"",IF($L1742&lt;&gt;"",$L1742,INDEX(SETUP!$I$1:$I$2000,MATCH(TRUE,SETUP!$J$1:$J$2000,0)+COUNTIFS($A$2:$A1742,"&lt;&gt;",$K$2:$K1742,"Yes",$L$2:$L1742,"")-1)))</f>
        <v/>
      </c>
      <c r="N1742" s="22"/>
    </row>
    <row r="1743" spans="1:14" x14ac:dyDescent="0.3">
      <c r="A1743" s="15" t="str">
        <f>IF(COUNTA($B1743:$E1743,$K1743)=0,"",IF(AND($B1743&lt;&gt;"",$C1743&lt;&gt;"",$D1743&lt;&gt;"",$E1743&lt;&gt;""),"TXS"&amp;TEXT(COUNTIFS($B$2:$B1743,"&lt;&gt;",$C$2:$C1743,"&lt;&gt;",$D$2:$D1743,"&lt;&gt;",$E$2:$E1743,"&lt;&gt;"),"00000"),""))</f>
        <v/>
      </c>
      <c r="B1743" s="16"/>
      <c r="C1743" s="20"/>
      <c r="D1743" s="20"/>
      <c r="E1743" s="23"/>
      <c r="H1743" s="21" t="str">
        <f t="shared" si="87"/>
        <v/>
      </c>
      <c r="I1743" s="21" t="str">
        <f t="shared" si="86"/>
        <v/>
      </c>
      <c r="J1743" s="21" t="str">
        <f t="shared" si="88"/>
        <v/>
      </c>
      <c r="K1743" s="20"/>
      <c r="L1743" s="21" t="str">
        <f>IF(OR(NOT(AND($B1743&lt;&gt;"",$C1743&lt;&gt;"",$D1743&lt;&gt;"",$E1743&lt;&gt;"")),$A1743="",$K1743&lt;&gt;"Yes"),"",IF($L1743&lt;&gt;"",$L1743,INDEX(SETUP!$I$1:$I$2000,MATCH(TRUE,SETUP!$J$1:$J$2000,0)+COUNTIFS($A$2:$A1743,"&lt;&gt;",$K$2:$K1743,"Yes",$L$2:$L1743,"")-1)))</f>
        <v/>
      </c>
      <c r="N1743" s="22"/>
    </row>
    <row r="1744" spans="1:14" x14ac:dyDescent="0.3">
      <c r="A1744" s="15" t="str">
        <f>IF(COUNTA($B1744:$E1744,$K1744)=0,"",IF(AND($B1744&lt;&gt;"",$C1744&lt;&gt;"",$D1744&lt;&gt;"",$E1744&lt;&gt;""),"TXS"&amp;TEXT(COUNTIFS($B$2:$B1744,"&lt;&gt;",$C$2:$C1744,"&lt;&gt;",$D$2:$D1744,"&lt;&gt;",$E$2:$E1744,"&lt;&gt;"),"00000"),""))</f>
        <v/>
      </c>
      <c r="B1744" s="16"/>
      <c r="C1744" s="20"/>
      <c r="D1744" s="20"/>
      <c r="E1744" s="23"/>
      <c r="H1744" s="21" t="str">
        <f t="shared" si="87"/>
        <v/>
      </c>
      <c r="I1744" s="21" t="str">
        <f t="shared" si="86"/>
        <v/>
      </c>
      <c r="J1744" s="21" t="str">
        <f t="shared" si="88"/>
        <v/>
      </c>
      <c r="K1744" s="20"/>
      <c r="L1744" s="21" t="str">
        <f>IF(OR(NOT(AND($B1744&lt;&gt;"",$C1744&lt;&gt;"",$D1744&lt;&gt;"",$E1744&lt;&gt;"")),$A1744="",$K1744&lt;&gt;"Yes"),"",IF($L1744&lt;&gt;"",$L1744,INDEX(SETUP!$I$1:$I$2000,MATCH(TRUE,SETUP!$J$1:$J$2000,0)+COUNTIFS($A$2:$A1744,"&lt;&gt;",$K$2:$K1744,"Yes",$L$2:$L1744,"")-1)))</f>
        <v/>
      </c>
      <c r="N1744" s="22"/>
    </row>
    <row r="1745" spans="1:14" x14ac:dyDescent="0.3">
      <c r="A1745" s="15" t="str">
        <f>IF(COUNTA($B1745:$E1745,$K1745)=0,"",IF(AND($B1745&lt;&gt;"",$C1745&lt;&gt;"",$D1745&lt;&gt;"",$E1745&lt;&gt;""),"TXS"&amp;TEXT(COUNTIFS($B$2:$B1745,"&lt;&gt;",$C$2:$C1745,"&lt;&gt;",$D$2:$D1745,"&lt;&gt;",$E$2:$E1745,"&lt;&gt;"),"00000"),""))</f>
        <v/>
      </c>
      <c r="B1745" s="16"/>
      <c r="C1745" s="20"/>
      <c r="D1745" s="20"/>
      <c r="E1745" s="23"/>
      <c r="H1745" s="21" t="str">
        <f t="shared" si="87"/>
        <v/>
      </c>
      <c r="I1745" s="21" t="str">
        <f t="shared" si="86"/>
        <v/>
      </c>
      <c r="J1745" s="21" t="str">
        <f t="shared" si="88"/>
        <v/>
      </c>
      <c r="K1745" s="20"/>
      <c r="L1745" s="21" t="str">
        <f>IF(OR(NOT(AND($B1745&lt;&gt;"",$C1745&lt;&gt;"",$D1745&lt;&gt;"",$E1745&lt;&gt;"")),$A1745="",$K1745&lt;&gt;"Yes"),"",IF($L1745&lt;&gt;"",$L1745,INDEX(SETUP!$I$1:$I$2000,MATCH(TRUE,SETUP!$J$1:$J$2000,0)+COUNTIFS($A$2:$A1745,"&lt;&gt;",$K$2:$K1745,"Yes",$L$2:$L1745,"")-1)))</f>
        <v/>
      </c>
      <c r="N1745" s="22"/>
    </row>
    <row r="1746" spans="1:14" x14ac:dyDescent="0.3">
      <c r="A1746" s="15" t="str">
        <f>IF(COUNTA($B1746:$E1746,$K1746)=0,"",IF(AND($B1746&lt;&gt;"",$C1746&lt;&gt;"",$D1746&lt;&gt;"",$E1746&lt;&gt;""),"TXS"&amp;TEXT(COUNTIFS($B$2:$B1746,"&lt;&gt;",$C$2:$C1746,"&lt;&gt;",$D$2:$D1746,"&lt;&gt;",$E$2:$E1746,"&lt;&gt;"),"00000"),""))</f>
        <v/>
      </c>
      <c r="B1746" s="16"/>
      <c r="C1746" s="20"/>
      <c r="D1746" s="20"/>
      <c r="E1746" s="23"/>
      <c r="H1746" s="21" t="str">
        <f t="shared" si="87"/>
        <v/>
      </c>
      <c r="I1746" s="21" t="str">
        <f t="shared" si="86"/>
        <v/>
      </c>
      <c r="J1746" s="21" t="str">
        <f t="shared" si="88"/>
        <v/>
      </c>
      <c r="K1746" s="20"/>
      <c r="L1746" s="21" t="str">
        <f>IF(OR(NOT(AND($B1746&lt;&gt;"",$C1746&lt;&gt;"",$D1746&lt;&gt;"",$E1746&lt;&gt;"")),$A1746="",$K1746&lt;&gt;"Yes"),"",IF($L1746&lt;&gt;"",$L1746,INDEX(SETUP!$I$1:$I$2000,MATCH(TRUE,SETUP!$J$1:$J$2000,0)+COUNTIFS($A$2:$A1746,"&lt;&gt;",$K$2:$K1746,"Yes",$L$2:$L1746,"")-1)))</f>
        <v/>
      </c>
      <c r="N1746" s="22"/>
    </row>
    <row r="1747" spans="1:14" x14ac:dyDescent="0.3">
      <c r="A1747" s="15" t="str">
        <f>IF(COUNTA($B1747:$E1747,$K1747)=0,"",IF(AND($B1747&lt;&gt;"",$C1747&lt;&gt;"",$D1747&lt;&gt;"",$E1747&lt;&gt;""),"TXS"&amp;TEXT(COUNTIFS($B$2:$B1747,"&lt;&gt;",$C$2:$C1747,"&lt;&gt;",$D$2:$D1747,"&lt;&gt;",$E$2:$E1747,"&lt;&gt;"),"00000"),""))</f>
        <v/>
      </c>
      <c r="B1747" s="16"/>
      <c r="C1747" s="20"/>
      <c r="D1747" s="20"/>
      <c r="E1747" s="23"/>
      <c r="H1747" s="21" t="str">
        <f t="shared" si="87"/>
        <v/>
      </c>
      <c r="I1747" s="21" t="str">
        <f t="shared" si="86"/>
        <v/>
      </c>
      <c r="J1747" s="21" t="str">
        <f t="shared" si="88"/>
        <v/>
      </c>
      <c r="K1747" s="20"/>
      <c r="L1747" s="21" t="str">
        <f>IF(OR(NOT(AND($B1747&lt;&gt;"",$C1747&lt;&gt;"",$D1747&lt;&gt;"",$E1747&lt;&gt;"")),$A1747="",$K1747&lt;&gt;"Yes"),"",IF($L1747&lt;&gt;"",$L1747,INDEX(SETUP!$I$1:$I$2000,MATCH(TRUE,SETUP!$J$1:$J$2000,0)+COUNTIFS($A$2:$A1747,"&lt;&gt;",$K$2:$K1747,"Yes",$L$2:$L1747,"")-1)))</f>
        <v/>
      </c>
      <c r="N1747" s="22"/>
    </row>
    <row r="1748" spans="1:14" x14ac:dyDescent="0.3">
      <c r="A1748" s="15" t="str">
        <f>IF(COUNTA($B1748:$E1748,$K1748)=0,"",IF(AND($B1748&lt;&gt;"",$C1748&lt;&gt;"",$D1748&lt;&gt;"",$E1748&lt;&gt;""),"TXS"&amp;TEXT(COUNTIFS($B$2:$B1748,"&lt;&gt;",$C$2:$C1748,"&lt;&gt;",$D$2:$D1748,"&lt;&gt;",$E$2:$E1748,"&lt;&gt;"),"00000"),""))</f>
        <v/>
      </c>
      <c r="B1748" s="16"/>
      <c r="C1748" s="20"/>
      <c r="D1748" s="20"/>
      <c r="E1748" s="23"/>
      <c r="H1748" s="21" t="str">
        <f t="shared" si="87"/>
        <v/>
      </c>
      <c r="I1748" s="21" t="str">
        <f t="shared" si="86"/>
        <v/>
      </c>
      <c r="J1748" s="21" t="str">
        <f t="shared" si="88"/>
        <v/>
      </c>
      <c r="K1748" s="20"/>
      <c r="L1748" s="21" t="str">
        <f>IF(OR(NOT(AND($B1748&lt;&gt;"",$C1748&lt;&gt;"",$D1748&lt;&gt;"",$E1748&lt;&gt;"")),$A1748="",$K1748&lt;&gt;"Yes"),"",IF($L1748&lt;&gt;"",$L1748,INDEX(SETUP!$I$1:$I$2000,MATCH(TRUE,SETUP!$J$1:$J$2000,0)+COUNTIFS($A$2:$A1748,"&lt;&gt;",$K$2:$K1748,"Yes",$L$2:$L1748,"")-1)))</f>
        <v/>
      </c>
      <c r="N1748" s="22"/>
    </row>
    <row r="1749" spans="1:14" x14ac:dyDescent="0.3">
      <c r="A1749" s="15" t="str">
        <f>IF(COUNTA($B1749:$E1749,$K1749)=0,"",IF(AND($B1749&lt;&gt;"",$C1749&lt;&gt;"",$D1749&lt;&gt;"",$E1749&lt;&gt;""),"TXS"&amp;TEXT(COUNTIFS($B$2:$B1749,"&lt;&gt;",$C$2:$C1749,"&lt;&gt;",$D$2:$D1749,"&lt;&gt;",$E$2:$E1749,"&lt;&gt;"),"00000"),""))</f>
        <v/>
      </c>
      <c r="B1749" s="16"/>
      <c r="C1749" s="20"/>
      <c r="D1749" s="20"/>
      <c r="E1749" s="23"/>
      <c r="H1749" s="21" t="str">
        <f t="shared" si="87"/>
        <v/>
      </c>
      <c r="I1749" s="21" t="str">
        <f t="shared" si="86"/>
        <v/>
      </c>
      <c r="J1749" s="21" t="str">
        <f t="shared" si="88"/>
        <v/>
      </c>
      <c r="K1749" s="20"/>
      <c r="L1749" s="21" t="str">
        <f>IF(OR(NOT(AND($B1749&lt;&gt;"",$C1749&lt;&gt;"",$D1749&lt;&gt;"",$E1749&lt;&gt;"")),$A1749="",$K1749&lt;&gt;"Yes"),"",IF($L1749&lt;&gt;"",$L1749,INDEX(SETUP!$I$1:$I$2000,MATCH(TRUE,SETUP!$J$1:$J$2000,0)+COUNTIFS($A$2:$A1749,"&lt;&gt;",$K$2:$K1749,"Yes",$L$2:$L1749,"")-1)))</f>
        <v/>
      </c>
      <c r="N1749" s="22"/>
    </row>
    <row r="1750" spans="1:14" x14ac:dyDescent="0.3">
      <c r="A1750" s="15" t="str">
        <f>IF(COUNTA($B1750:$E1750,$K1750)=0,"",IF(AND($B1750&lt;&gt;"",$C1750&lt;&gt;"",$D1750&lt;&gt;"",$E1750&lt;&gt;""),"TXS"&amp;TEXT(COUNTIFS($B$2:$B1750,"&lt;&gt;",$C$2:$C1750,"&lt;&gt;",$D$2:$D1750,"&lt;&gt;",$E$2:$E1750,"&lt;&gt;"),"00000"),""))</f>
        <v/>
      </c>
      <c r="B1750" s="16"/>
      <c r="C1750" s="20"/>
      <c r="D1750" s="20"/>
      <c r="E1750" s="23"/>
      <c r="H1750" s="21" t="str">
        <f t="shared" si="87"/>
        <v/>
      </c>
      <c r="I1750" s="21" t="str">
        <f t="shared" si="86"/>
        <v/>
      </c>
      <c r="J1750" s="21" t="str">
        <f t="shared" si="88"/>
        <v/>
      </c>
      <c r="K1750" s="20"/>
      <c r="L1750" s="21" t="str">
        <f>IF(OR(NOT(AND($B1750&lt;&gt;"",$C1750&lt;&gt;"",$D1750&lt;&gt;"",$E1750&lt;&gt;"")),$A1750="",$K1750&lt;&gt;"Yes"),"",IF($L1750&lt;&gt;"",$L1750,INDEX(SETUP!$I$1:$I$2000,MATCH(TRUE,SETUP!$J$1:$J$2000,0)+COUNTIFS($A$2:$A1750,"&lt;&gt;",$K$2:$K1750,"Yes",$L$2:$L1750,"")-1)))</f>
        <v/>
      </c>
      <c r="N1750" s="22"/>
    </row>
    <row r="1751" spans="1:14" x14ac:dyDescent="0.3">
      <c r="A1751" s="15" t="str">
        <f>IF(COUNTA($B1751:$E1751,$K1751)=0,"",IF(AND($B1751&lt;&gt;"",$C1751&lt;&gt;"",$D1751&lt;&gt;"",$E1751&lt;&gt;""),"TXS"&amp;TEXT(COUNTIFS($B$2:$B1751,"&lt;&gt;",$C$2:$C1751,"&lt;&gt;",$D$2:$D1751,"&lt;&gt;",$E$2:$E1751,"&lt;&gt;"),"00000"),""))</f>
        <v/>
      </c>
      <c r="B1751" s="16"/>
      <c r="C1751" s="20"/>
      <c r="D1751" s="20"/>
      <c r="E1751" s="23"/>
      <c r="H1751" s="21" t="str">
        <f t="shared" si="87"/>
        <v/>
      </c>
      <c r="I1751" s="21" t="str">
        <f t="shared" si="86"/>
        <v/>
      </c>
      <c r="J1751" s="21" t="str">
        <f t="shared" si="88"/>
        <v/>
      </c>
      <c r="K1751" s="20"/>
      <c r="L1751" s="21" t="str">
        <f>IF(OR(NOT(AND($B1751&lt;&gt;"",$C1751&lt;&gt;"",$D1751&lt;&gt;"",$E1751&lt;&gt;"")),$A1751="",$K1751&lt;&gt;"Yes"),"",IF($L1751&lt;&gt;"",$L1751,INDEX(SETUP!$I$1:$I$2000,MATCH(TRUE,SETUP!$J$1:$J$2000,0)+COUNTIFS($A$2:$A1751,"&lt;&gt;",$K$2:$K1751,"Yes",$L$2:$L1751,"")-1)))</f>
        <v/>
      </c>
      <c r="N1751" s="22"/>
    </row>
    <row r="1752" spans="1:14" x14ac:dyDescent="0.3">
      <c r="A1752" s="15" t="str">
        <f>IF(COUNTA($B1752:$E1752,$K1752)=0,"",IF(AND($B1752&lt;&gt;"",$C1752&lt;&gt;"",$D1752&lt;&gt;"",$E1752&lt;&gt;""),"TXS"&amp;TEXT(COUNTIFS($B$2:$B1752,"&lt;&gt;",$C$2:$C1752,"&lt;&gt;",$D$2:$D1752,"&lt;&gt;",$E$2:$E1752,"&lt;&gt;"),"00000"),""))</f>
        <v/>
      </c>
      <c r="B1752" s="16"/>
      <c r="C1752" s="20"/>
      <c r="D1752" s="20"/>
      <c r="E1752" s="23"/>
      <c r="H1752" s="21" t="str">
        <f t="shared" si="87"/>
        <v/>
      </c>
      <c r="I1752" s="21" t="str">
        <f t="shared" si="86"/>
        <v/>
      </c>
      <c r="J1752" s="21" t="str">
        <f t="shared" si="88"/>
        <v/>
      </c>
      <c r="K1752" s="20"/>
      <c r="L1752" s="21" t="str">
        <f>IF(OR(NOT(AND($B1752&lt;&gt;"",$C1752&lt;&gt;"",$D1752&lt;&gt;"",$E1752&lt;&gt;"")),$A1752="",$K1752&lt;&gt;"Yes"),"",IF($L1752&lt;&gt;"",$L1752,INDEX(SETUP!$I$1:$I$2000,MATCH(TRUE,SETUP!$J$1:$J$2000,0)+COUNTIFS($A$2:$A1752,"&lt;&gt;",$K$2:$K1752,"Yes",$L$2:$L1752,"")-1)))</f>
        <v/>
      </c>
      <c r="N1752" s="22"/>
    </row>
    <row r="1753" spans="1:14" x14ac:dyDescent="0.3">
      <c r="A1753" s="15" t="str">
        <f>IF(COUNTA($B1753:$E1753,$K1753)=0,"",IF(AND($B1753&lt;&gt;"",$C1753&lt;&gt;"",$D1753&lt;&gt;"",$E1753&lt;&gt;""),"TXS"&amp;TEXT(COUNTIFS($B$2:$B1753,"&lt;&gt;",$C$2:$C1753,"&lt;&gt;",$D$2:$D1753,"&lt;&gt;",$E$2:$E1753,"&lt;&gt;"),"00000"),""))</f>
        <v/>
      </c>
      <c r="B1753" s="16"/>
      <c r="C1753" s="20"/>
      <c r="D1753" s="20"/>
      <c r="E1753" s="23"/>
      <c r="H1753" s="21" t="str">
        <f t="shared" si="87"/>
        <v/>
      </c>
      <c r="I1753" s="21" t="str">
        <f t="shared" si="86"/>
        <v/>
      </c>
      <c r="J1753" s="21" t="str">
        <f t="shared" si="88"/>
        <v/>
      </c>
      <c r="K1753" s="20"/>
      <c r="L1753" s="21" t="str">
        <f>IF(OR(NOT(AND($B1753&lt;&gt;"",$C1753&lt;&gt;"",$D1753&lt;&gt;"",$E1753&lt;&gt;"")),$A1753="",$K1753&lt;&gt;"Yes"),"",IF($L1753&lt;&gt;"",$L1753,INDEX(SETUP!$I$1:$I$2000,MATCH(TRUE,SETUP!$J$1:$J$2000,0)+COUNTIFS($A$2:$A1753,"&lt;&gt;",$K$2:$K1753,"Yes",$L$2:$L1753,"")-1)))</f>
        <v/>
      </c>
      <c r="N1753" s="22"/>
    </row>
    <row r="1754" spans="1:14" x14ac:dyDescent="0.3">
      <c r="A1754" s="15" t="str">
        <f>IF(COUNTA($B1754:$E1754,$K1754)=0,"",IF(AND($B1754&lt;&gt;"",$C1754&lt;&gt;"",$D1754&lt;&gt;"",$E1754&lt;&gt;""),"TXS"&amp;TEXT(COUNTIFS($B$2:$B1754,"&lt;&gt;",$C$2:$C1754,"&lt;&gt;",$D$2:$D1754,"&lt;&gt;",$E$2:$E1754,"&lt;&gt;"),"00000"),""))</f>
        <v/>
      </c>
      <c r="B1754" s="16"/>
      <c r="C1754" s="20"/>
      <c r="D1754" s="20"/>
      <c r="E1754" s="23"/>
      <c r="H1754" s="21" t="str">
        <f t="shared" si="87"/>
        <v/>
      </c>
      <c r="I1754" s="21" t="str">
        <f t="shared" si="86"/>
        <v/>
      </c>
      <c r="J1754" s="21" t="str">
        <f t="shared" si="88"/>
        <v/>
      </c>
      <c r="K1754" s="20"/>
      <c r="L1754" s="21" t="str">
        <f>IF(OR(NOT(AND($B1754&lt;&gt;"",$C1754&lt;&gt;"",$D1754&lt;&gt;"",$E1754&lt;&gt;"")),$A1754="",$K1754&lt;&gt;"Yes"),"",IF($L1754&lt;&gt;"",$L1754,INDEX(SETUP!$I$1:$I$2000,MATCH(TRUE,SETUP!$J$1:$J$2000,0)+COUNTIFS($A$2:$A1754,"&lt;&gt;",$K$2:$K1754,"Yes",$L$2:$L1754,"")-1)))</f>
        <v/>
      </c>
      <c r="N1754" s="22"/>
    </row>
    <row r="1755" spans="1:14" x14ac:dyDescent="0.3">
      <c r="A1755" s="15" t="str">
        <f>IF(COUNTA($B1755:$E1755,$K1755)=0,"",IF(AND($B1755&lt;&gt;"",$C1755&lt;&gt;"",$D1755&lt;&gt;"",$E1755&lt;&gt;""),"TXS"&amp;TEXT(COUNTIFS($B$2:$B1755,"&lt;&gt;",$C$2:$C1755,"&lt;&gt;",$D$2:$D1755,"&lt;&gt;",$E$2:$E1755,"&lt;&gt;"),"00000"),""))</f>
        <v/>
      </c>
      <c r="B1755" s="16"/>
      <c r="C1755" s="20"/>
      <c r="D1755" s="20"/>
      <c r="E1755" s="23"/>
      <c r="H1755" s="21" t="str">
        <f t="shared" si="87"/>
        <v/>
      </c>
      <c r="I1755" s="21" t="str">
        <f t="shared" si="86"/>
        <v/>
      </c>
      <c r="J1755" s="21" t="str">
        <f t="shared" si="88"/>
        <v/>
      </c>
      <c r="K1755" s="20"/>
      <c r="L1755" s="21" t="str">
        <f>IF(OR(NOT(AND($B1755&lt;&gt;"",$C1755&lt;&gt;"",$D1755&lt;&gt;"",$E1755&lt;&gt;"")),$A1755="",$K1755&lt;&gt;"Yes"),"",IF($L1755&lt;&gt;"",$L1755,INDEX(SETUP!$I$1:$I$2000,MATCH(TRUE,SETUP!$J$1:$J$2000,0)+COUNTIFS($A$2:$A1755,"&lt;&gt;",$K$2:$K1755,"Yes",$L$2:$L1755,"")-1)))</f>
        <v/>
      </c>
      <c r="N1755" s="22"/>
    </row>
    <row r="1756" spans="1:14" x14ac:dyDescent="0.3">
      <c r="A1756" s="15" t="str">
        <f>IF(COUNTA($B1756:$E1756,$K1756)=0,"",IF(AND($B1756&lt;&gt;"",$C1756&lt;&gt;"",$D1756&lt;&gt;"",$E1756&lt;&gt;""),"TXS"&amp;TEXT(COUNTIFS($B$2:$B1756,"&lt;&gt;",$C$2:$C1756,"&lt;&gt;",$D$2:$D1756,"&lt;&gt;",$E$2:$E1756,"&lt;&gt;"),"00000"),""))</f>
        <v/>
      </c>
      <c r="B1756" s="16"/>
      <c r="C1756" s="20"/>
      <c r="D1756" s="20"/>
      <c r="E1756" s="23"/>
      <c r="H1756" s="21" t="str">
        <f t="shared" si="87"/>
        <v/>
      </c>
      <c r="I1756" s="21" t="str">
        <f t="shared" si="86"/>
        <v/>
      </c>
      <c r="J1756" s="21" t="str">
        <f t="shared" si="88"/>
        <v/>
      </c>
      <c r="K1756" s="20"/>
      <c r="L1756" s="21" t="str">
        <f>IF(OR(NOT(AND($B1756&lt;&gt;"",$C1756&lt;&gt;"",$D1756&lt;&gt;"",$E1756&lt;&gt;"")),$A1756="",$K1756&lt;&gt;"Yes"),"",IF($L1756&lt;&gt;"",$L1756,INDEX(SETUP!$I$1:$I$2000,MATCH(TRUE,SETUP!$J$1:$J$2000,0)+COUNTIFS($A$2:$A1756,"&lt;&gt;",$K$2:$K1756,"Yes",$L$2:$L1756,"")-1)))</f>
        <v/>
      </c>
      <c r="N1756" s="22"/>
    </row>
    <row r="1757" spans="1:14" x14ac:dyDescent="0.3">
      <c r="A1757" s="15" t="str">
        <f>IF(COUNTA($B1757:$E1757,$K1757)=0,"",IF(AND($B1757&lt;&gt;"",$C1757&lt;&gt;"",$D1757&lt;&gt;"",$E1757&lt;&gt;""),"TXS"&amp;TEXT(COUNTIFS($B$2:$B1757,"&lt;&gt;",$C$2:$C1757,"&lt;&gt;",$D$2:$D1757,"&lt;&gt;",$E$2:$E1757,"&lt;&gt;"),"00000"),""))</f>
        <v/>
      </c>
      <c r="B1757" s="16"/>
      <c r="C1757" s="20"/>
      <c r="D1757" s="20"/>
      <c r="E1757" s="23"/>
      <c r="H1757" s="21" t="str">
        <f t="shared" si="87"/>
        <v/>
      </c>
      <c r="I1757" s="21" t="str">
        <f t="shared" si="86"/>
        <v/>
      </c>
      <c r="J1757" s="21" t="str">
        <f t="shared" si="88"/>
        <v/>
      </c>
      <c r="K1757" s="20"/>
      <c r="L1757" s="21" t="str">
        <f>IF(OR(NOT(AND($B1757&lt;&gt;"",$C1757&lt;&gt;"",$D1757&lt;&gt;"",$E1757&lt;&gt;"")),$A1757="",$K1757&lt;&gt;"Yes"),"",IF($L1757&lt;&gt;"",$L1757,INDEX(SETUP!$I$1:$I$2000,MATCH(TRUE,SETUP!$J$1:$J$2000,0)+COUNTIFS($A$2:$A1757,"&lt;&gt;",$K$2:$K1757,"Yes",$L$2:$L1757,"")-1)))</f>
        <v/>
      </c>
      <c r="N1757" s="22"/>
    </row>
    <row r="1758" spans="1:14" x14ac:dyDescent="0.3">
      <c r="A1758" s="15" t="str">
        <f>IF(COUNTA($B1758:$E1758,$K1758)=0,"",IF(AND($B1758&lt;&gt;"",$C1758&lt;&gt;"",$D1758&lt;&gt;"",$E1758&lt;&gt;""),"TXS"&amp;TEXT(COUNTIFS($B$2:$B1758,"&lt;&gt;",$C$2:$C1758,"&lt;&gt;",$D$2:$D1758,"&lt;&gt;",$E$2:$E1758,"&lt;&gt;"),"00000"),""))</f>
        <v/>
      </c>
      <c r="B1758" s="16"/>
      <c r="C1758" s="20"/>
      <c r="D1758" s="20"/>
      <c r="E1758" s="23"/>
      <c r="H1758" s="21" t="str">
        <f t="shared" si="87"/>
        <v/>
      </c>
      <c r="I1758" s="21" t="str">
        <f t="shared" si="86"/>
        <v/>
      </c>
      <c r="J1758" s="21" t="str">
        <f t="shared" si="88"/>
        <v/>
      </c>
      <c r="K1758" s="20"/>
      <c r="L1758" s="21" t="str">
        <f>IF(OR(NOT(AND($B1758&lt;&gt;"",$C1758&lt;&gt;"",$D1758&lt;&gt;"",$E1758&lt;&gt;"")),$A1758="",$K1758&lt;&gt;"Yes"),"",IF($L1758&lt;&gt;"",$L1758,INDEX(SETUP!$I$1:$I$2000,MATCH(TRUE,SETUP!$J$1:$J$2000,0)+COUNTIFS($A$2:$A1758,"&lt;&gt;",$K$2:$K1758,"Yes",$L$2:$L1758,"")-1)))</f>
        <v/>
      </c>
      <c r="N1758" s="22"/>
    </row>
    <row r="1759" spans="1:14" x14ac:dyDescent="0.3">
      <c r="A1759" s="15" t="str">
        <f>IF(COUNTA($B1759:$E1759,$K1759)=0,"",IF(AND($B1759&lt;&gt;"",$C1759&lt;&gt;"",$D1759&lt;&gt;"",$E1759&lt;&gt;""),"TXS"&amp;TEXT(COUNTIFS($B$2:$B1759,"&lt;&gt;",$C$2:$C1759,"&lt;&gt;",$D$2:$D1759,"&lt;&gt;",$E$2:$E1759,"&lt;&gt;"),"00000"),""))</f>
        <v/>
      </c>
      <c r="B1759" s="16"/>
      <c r="C1759" s="20"/>
      <c r="D1759" s="20"/>
      <c r="E1759" s="23"/>
      <c r="H1759" s="21" t="str">
        <f t="shared" si="87"/>
        <v/>
      </c>
      <c r="I1759" s="21" t="str">
        <f t="shared" si="86"/>
        <v/>
      </c>
      <c r="J1759" s="21" t="str">
        <f t="shared" si="88"/>
        <v/>
      </c>
      <c r="K1759" s="20"/>
      <c r="L1759" s="21" t="str">
        <f>IF(OR(NOT(AND($B1759&lt;&gt;"",$C1759&lt;&gt;"",$D1759&lt;&gt;"",$E1759&lt;&gt;"")),$A1759="",$K1759&lt;&gt;"Yes"),"",IF($L1759&lt;&gt;"",$L1759,INDEX(SETUP!$I$1:$I$2000,MATCH(TRUE,SETUP!$J$1:$J$2000,0)+COUNTIFS($A$2:$A1759,"&lt;&gt;",$K$2:$K1759,"Yes",$L$2:$L1759,"")-1)))</f>
        <v/>
      </c>
      <c r="N1759" s="22"/>
    </row>
    <row r="1760" spans="1:14" x14ac:dyDescent="0.3">
      <c r="A1760" s="15" t="str">
        <f>IF(COUNTA($B1760:$E1760,$K1760)=0,"",IF(AND($B1760&lt;&gt;"",$C1760&lt;&gt;"",$D1760&lt;&gt;"",$E1760&lt;&gt;""),"TXS"&amp;TEXT(COUNTIFS($B$2:$B1760,"&lt;&gt;",$C$2:$C1760,"&lt;&gt;",$D$2:$D1760,"&lt;&gt;",$E$2:$E1760,"&lt;&gt;"),"00000"),""))</f>
        <v/>
      </c>
      <c r="B1760" s="16"/>
      <c r="C1760" s="20"/>
      <c r="D1760" s="20"/>
      <c r="E1760" s="23"/>
      <c r="H1760" s="21" t="str">
        <f t="shared" si="87"/>
        <v/>
      </c>
      <c r="I1760" s="21" t="str">
        <f t="shared" si="86"/>
        <v/>
      </c>
      <c r="J1760" s="21" t="str">
        <f t="shared" si="88"/>
        <v/>
      </c>
      <c r="K1760" s="20"/>
      <c r="L1760" s="21" t="str">
        <f>IF(OR(NOT(AND($B1760&lt;&gt;"",$C1760&lt;&gt;"",$D1760&lt;&gt;"",$E1760&lt;&gt;"")),$A1760="",$K1760&lt;&gt;"Yes"),"",IF($L1760&lt;&gt;"",$L1760,INDEX(SETUP!$I$1:$I$2000,MATCH(TRUE,SETUP!$J$1:$J$2000,0)+COUNTIFS($A$2:$A1760,"&lt;&gt;",$K$2:$K1760,"Yes",$L$2:$L1760,"")-1)))</f>
        <v/>
      </c>
      <c r="N1760" s="22"/>
    </row>
    <row r="1761" spans="1:14" x14ac:dyDescent="0.3">
      <c r="A1761" s="15" t="str">
        <f>IF(COUNTA($B1761:$E1761,$K1761)=0,"",IF(AND($B1761&lt;&gt;"",$C1761&lt;&gt;"",$D1761&lt;&gt;"",$E1761&lt;&gt;""),"TXS"&amp;TEXT(COUNTIFS($B$2:$B1761,"&lt;&gt;",$C$2:$C1761,"&lt;&gt;",$D$2:$D1761,"&lt;&gt;",$E$2:$E1761,"&lt;&gt;"),"00000"),""))</f>
        <v/>
      </c>
      <c r="B1761" s="16"/>
      <c r="C1761" s="20"/>
      <c r="D1761" s="20"/>
      <c r="E1761" s="23"/>
      <c r="H1761" s="21" t="str">
        <f t="shared" si="87"/>
        <v/>
      </c>
      <c r="I1761" s="21" t="str">
        <f t="shared" si="86"/>
        <v/>
      </c>
      <c r="J1761" s="21" t="str">
        <f t="shared" si="88"/>
        <v/>
      </c>
      <c r="K1761" s="20"/>
      <c r="L1761" s="21" t="str">
        <f>IF(OR(NOT(AND($B1761&lt;&gt;"",$C1761&lt;&gt;"",$D1761&lt;&gt;"",$E1761&lt;&gt;"")),$A1761="",$K1761&lt;&gt;"Yes"),"",IF($L1761&lt;&gt;"",$L1761,INDEX(SETUP!$I$1:$I$2000,MATCH(TRUE,SETUP!$J$1:$J$2000,0)+COUNTIFS($A$2:$A1761,"&lt;&gt;",$K$2:$K1761,"Yes",$L$2:$L1761,"")-1)))</f>
        <v/>
      </c>
      <c r="N1761" s="22"/>
    </row>
    <row r="1762" spans="1:14" x14ac:dyDescent="0.3">
      <c r="A1762" s="15" t="str">
        <f>IF(COUNTA($B1762:$E1762,$K1762)=0,"",IF(AND($B1762&lt;&gt;"",$C1762&lt;&gt;"",$D1762&lt;&gt;"",$E1762&lt;&gt;""),"TXS"&amp;TEXT(COUNTIFS($B$2:$B1762,"&lt;&gt;",$C$2:$C1762,"&lt;&gt;",$D$2:$D1762,"&lt;&gt;",$E$2:$E1762,"&lt;&gt;"),"00000"),""))</f>
        <v/>
      </c>
      <c r="B1762" s="16"/>
      <c r="C1762" s="20"/>
      <c r="D1762" s="20"/>
      <c r="E1762" s="23"/>
      <c r="H1762" s="21" t="str">
        <f t="shared" si="87"/>
        <v/>
      </c>
      <c r="I1762" s="21" t="str">
        <f t="shared" si="86"/>
        <v/>
      </c>
      <c r="J1762" s="21" t="str">
        <f t="shared" si="88"/>
        <v/>
      </c>
      <c r="K1762" s="20"/>
      <c r="L1762" s="21" t="str">
        <f>IF(OR(NOT(AND($B1762&lt;&gt;"",$C1762&lt;&gt;"",$D1762&lt;&gt;"",$E1762&lt;&gt;"")),$A1762="",$K1762&lt;&gt;"Yes"),"",IF($L1762&lt;&gt;"",$L1762,INDEX(SETUP!$I$1:$I$2000,MATCH(TRUE,SETUP!$J$1:$J$2000,0)+COUNTIFS($A$2:$A1762,"&lt;&gt;",$K$2:$K1762,"Yes",$L$2:$L1762,"")-1)))</f>
        <v/>
      </c>
      <c r="N1762" s="22"/>
    </row>
    <row r="1763" spans="1:14" x14ac:dyDescent="0.3">
      <c r="A1763" s="15" t="str">
        <f>IF(COUNTA($B1763:$E1763,$K1763)=0,"",IF(AND($B1763&lt;&gt;"",$C1763&lt;&gt;"",$D1763&lt;&gt;"",$E1763&lt;&gt;""),"TXS"&amp;TEXT(COUNTIFS($B$2:$B1763,"&lt;&gt;",$C$2:$C1763,"&lt;&gt;",$D$2:$D1763,"&lt;&gt;",$E$2:$E1763,"&lt;&gt;"),"00000"),""))</f>
        <v/>
      </c>
      <c r="B1763" s="16"/>
      <c r="C1763" s="20"/>
      <c r="D1763" s="20"/>
      <c r="E1763" s="23"/>
      <c r="H1763" s="21" t="str">
        <f t="shared" si="87"/>
        <v/>
      </c>
      <c r="I1763" s="21" t="str">
        <f t="shared" si="86"/>
        <v/>
      </c>
      <c r="J1763" s="21" t="str">
        <f t="shared" si="88"/>
        <v/>
      </c>
      <c r="K1763" s="20"/>
      <c r="L1763" s="21" t="str">
        <f>IF(OR(NOT(AND($B1763&lt;&gt;"",$C1763&lt;&gt;"",$D1763&lt;&gt;"",$E1763&lt;&gt;"")),$A1763="",$K1763&lt;&gt;"Yes"),"",IF($L1763&lt;&gt;"",$L1763,INDEX(SETUP!$I$1:$I$2000,MATCH(TRUE,SETUP!$J$1:$J$2000,0)+COUNTIFS($A$2:$A1763,"&lt;&gt;",$K$2:$K1763,"Yes",$L$2:$L1763,"")-1)))</f>
        <v/>
      </c>
      <c r="N1763" s="22"/>
    </row>
    <row r="1764" spans="1:14" x14ac:dyDescent="0.3">
      <c r="A1764" s="15" t="str">
        <f>IF(COUNTA($B1764:$E1764,$K1764)=0,"",IF(AND($B1764&lt;&gt;"",$C1764&lt;&gt;"",$D1764&lt;&gt;"",$E1764&lt;&gt;""),"TXS"&amp;TEXT(COUNTIFS($B$2:$B1764,"&lt;&gt;",$C$2:$C1764,"&lt;&gt;",$D$2:$D1764,"&lt;&gt;",$E$2:$E1764,"&lt;&gt;"),"00000"),""))</f>
        <v/>
      </c>
      <c r="B1764" s="16"/>
      <c r="C1764" s="20"/>
      <c r="D1764" s="20"/>
      <c r="E1764" s="23"/>
      <c r="H1764" s="21" t="str">
        <f t="shared" si="87"/>
        <v/>
      </c>
      <c r="I1764" s="21" t="str">
        <f t="shared" si="86"/>
        <v/>
      </c>
      <c r="J1764" s="21" t="str">
        <f t="shared" si="88"/>
        <v/>
      </c>
      <c r="K1764" s="20"/>
      <c r="L1764" s="21" t="str">
        <f>IF(OR(NOT(AND($B1764&lt;&gt;"",$C1764&lt;&gt;"",$D1764&lt;&gt;"",$E1764&lt;&gt;"")),$A1764="",$K1764&lt;&gt;"Yes"),"",IF($L1764&lt;&gt;"",$L1764,INDEX(SETUP!$I$1:$I$2000,MATCH(TRUE,SETUP!$J$1:$J$2000,0)+COUNTIFS($A$2:$A1764,"&lt;&gt;",$K$2:$K1764,"Yes",$L$2:$L1764,"")-1)))</f>
        <v/>
      </c>
      <c r="N1764" s="22"/>
    </row>
    <row r="1765" spans="1:14" x14ac:dyDescent="0.3">
      <c r="A1765" s="15" t="str">
        <f>IF(COUNTA($B1765:$E1765,$K1765)=0,"",IF(AND($B1765&lt;&gt;"",$C1765&lt;&gt;"",$D1765&lt;&gt;"",$E1765&lt;&gt;""),"TXS"&amp;TEXT(COUNTIFS($B$2:$B1765,"&lt;&gt;",$C$2:$C1765,"&lt;&gt;",$D$2:$D1765,"&lt;&gt;",$E$2:$E1765,"&lt;&gt;"),"00000"),""))</f>
        <v/>
      </c>
      <c r="B1765" s="16"/>
      <c r="C1765" s="20"/>
      <c r="D1765" s="20"/>
      <c r="E1765" s="23"/>
      <c r="H1765" s="21" t="str">
        <f t="shared" si="87"/>
        <v/>
      </c>
      <c r="I1765" s="21" t="str">
        <f t="shared" si="86"/>
        <v/>
      </c>
      <c r="J1765" s="21" t="str">
        <f t="shared" si="88"/>
        <v/>
      </c>
      <c r="K1765" s="20"/>
      <c r="L1765" s="21" t="str">
        <f>IF(OR(NOT(AND($B1765&lt;&gt;"",$C1765&lt;&gt;"",$D1765&lt;&gt;"",$E1765&lt;&gt;"")),$A1765="",$K1765&lt;&gt;"Yes"),"",IF($L1765&lt;&gt;"",$L1765,INDEX(SETUP!$I$1:$I$2000,MATCH(TRUE,SETUP!$J$1:$J$2000,0)+COUNTIFS($A$2:$A1765,"&lt;&gt;",$K$2:$K1765,"Yes",$L$2:$L1765,"")-1)))</f>
        <v/>
      </c>
      <c r="N1765" s="22"/>
    </row>
    <row r="1766" spans="1:14" x14ac:dyDescent="0.3">
      <c r="A1766" s="15" t="str">
        <f>IF(COUNTA($B1766:$E1766,$K1766)=0,"",IF(AND($B1766&lt;&gt;"",$C1766&lt;&gt;"",$D1766&lt;&gt;"",$E1766&lt;&gt;""),"TXS"&amp;TEXT(COUNTIFS($B$2:$B1766,"&lt;&gt;",$C$2:$C1766,"&lt;&gt;",$D$2:$D1766,"&lt;&gt;",$E$2:$E1766,"&lt;&gt;"),"00000"),""))</f>
        <v/>
      </c>
      <c r="B1766" s="16"/>
      <c r="C1766" s="20"/>
      <c r="D1766" s="20"/>
      <c r="E1766" s="23"/>
      <c r="H1766" s="21" t="str">
        <f t="shared" si="87"/>
        <v/>
      </c>
      <c r="I1766" s="21" t="str">
        <f t="shared" si="86"/>
        <v/>
      </c>
      <c r="J1766" s="21" t="str">
        <f t="shared" si="88"/>
        <v/>
      </c>
      <c r="K1766" s="20"/>
      <c r="L1766" s="21" t="str">
        <f>IF(OR(NOT(AND($B1766&lt;&gt;"",$C1766&lt;&gt;"",$D1766&lt;&gt;"",$E1766&lt;&gt;"")),$A1766="",$K1766&lt;&gt;"Yes"),"",IF($L1766&lt;&gt;"",$L1766,INDEX(SETUP!$I$1:$I$2000,MATCH(TRUE,SETUP!$J$1:$J$2000,0)+COUNTIFS($A$2:$A1766,"&lt;&gt;",$K$2:$K1766,"Yes",$L$2:$L1766,"")-1)))</f>
        <v/>
      </c>
      <c r="N1766" s="22"/>
    </row>
    <row r="1767" spans="1:14" x14ac:dyDescent="0.3">
      <c r="A1767" s="15" t="str">
        <f>IF(COUNTA($B1767:$E1767,$K1767)=0,"",IF(AND($B1767&lt;&gt;"",$C1767&lt;&gt;"",$D1767&lt;&gt;"",$E1767&lt;&gt;""),"TXS"&amp;TEXT(COUNTIFS($B$2:$B1767,"&lt;&gt;",$C$2:$C1767,"&lt;&gt;",$D$2:$D1767,"&lt;&gt;",$E$2:$E1767,"&lt;&gt;"),"00000"),""))</f>
        <v/>
      </c>
      <c r="B1767" s="16"/>
      <c r="C1767" s="20"/>
      <c r="D1767" s="20"/>
      <c r="E1767" s="23"/>
      <c r="H1767" s="21" t="str">
        <f t="shared" si="87"/>
        <v/>
      </c>
      <c r="I1767" s="21" t="str">
        <f t="shared" si="86"/>
        <v/>
      </c>
      <c r="J1767" s="21" t="str">
        <f t="shared" si="88"/>
        <v/>
      </c>
      <c r="K1767" s="20"/>
      <c r="L1767" s="21" t="str">
        <f>IF(OR(NOT(AND($B1767&lt;&gt;"",$C1767&lt;&gt;"",$D1767&lt;&gt;"",$E1767&lt;&gt;"")),$A1767="",$K1767&lt;&gt;"Yes"),"",IF($L1767&lt;&gt;"",$L1767,INDEX(SETUP!$I$1:$I$2000,MATCH(TRUE,SETUP!$J$1:$J$2000,0)+COUNTIFS($A$2:$A1767,"&lt;&gt;",$K$2:$K1767,"Yes",$L$2:$L1767,"")-1)))</f>
        <v/>
      </c>
      <c r="N1767" s="22"/>
    </row>
    <row r="1768" spans="1:14" x14ac:dyDescent="0.3">
      <c r="A1768" s="15" t="str">
        <f>IF(COUNTA($B1768:$E1768,$K1768)=0,"",IF(AND($B1768&lt;&gt;"",$C1768&lt;&gt;"",$D1768&lt;&gt;"",$E1768&lt;&gt;""),"TXS"&amp;TEXT(COUNTIFS($B$2:$B1768,"&lt;&gt;",$C$2:$C1768,"&lt;&gt;",$D$2:$D1768,"&lt;&gt;",$E$2:$E1768,"&lt;&gt;"),"00000"),""))</f>
        <v/>
      </c>
      <c r="B1768" s="16"/>
      <c r="C1768" s="20"/>
      <c r="D1768" s="20"/>
      <c r="E1768" s="23"/>
      <c r="H1768" s="21" t="str">
        <f t="shared" si="87"/>
        <v/>
      </c>
      <c r="I1768" s="21" t="str">
        <f t="shared" si="86"/>
        <v/>
      </c>
      <c r="J1768" s="21" t="str">
        <f t="shared" si="88"/>
        <v/>
      </c>
      <c r="K1768" s="20"/>
      <c r="L1768" s="21" t="str">
        <f>IF(OR(NOT(AND($B1768&lt;&gt;"",$C1768&lt;&gt;"",$D1768&lt;&gt;"",$E1768&lt;&gt;"")),$A1768="",$K1768&lt;&gt;"Yes"),"",IF($L1768&lt;&gt;"",$L1768,INDEX(SETUP!$I$1:$I$2000,MATCH(TRUE,SETUP!$J$1:$J$2000,0)+COUNTIFS($A$2:$A1768,"&lt;&gt;",$K$2:$K1768,"Yes",$L$2:$L1768,"")-1)))</f>
        <v/>
      </c>
      <c r="N1768" s="22"/>
    </row>
    <row r="1769" spans="1:14" x14ac:dyDescent="0.3">
      <c r="A1769" s="15" t="str">
        <f>IF(COUNTA($B1769:$E1769,$K1769)=0,"",IF(AND($B1769&lt;&gt;"",$C1769&lt;&gt;"",$D1769&lt;&gt;"",$E1769&lt;&gt;""),"TXS"&amp;TEXT(COUNTIFS($B$2:$B1769,"&lt;&gt;",$C$2:$C1769,"&lt;&gt;",$D$2:$D1769,"&lt;&gt;",$E$2:$E1769,"&lt;&gt;"),"00000"),""))</f>
        <v/>
      </c>
      <c r="B1769" s="16"/>
      <c r="C1769" s="20"/>
      <c r="D1769" s="20"/>
      <c r="E1769" s="23"/>
      <c r="H1769" s="21" t="str">
        <f t="shared" si="87"/>
        <v/>
      </c>
      <c r="I1769" s="21" t="str">
        <f t="shared" ref="I1769:I1832" si="89">IF(NOT(AND($B1769&lt;&gt;"",$C1769&lt;&gt;"",$D1769&lt;&gt;"",$E1769&lt;&gt;"")),"",IF($A1769="","","NIH plate "&amp;INT((VALUE(RIGHT($A1769,5))-1)/96)+1&amp;": "&amp;CHAR(65+INT(MOD(VALUE(RIGHT($A1769,5))-1,96)/12))&amp;(MOD(VALUE(RIGHT($A1769,5))-1,12)+1)))</f>
        <v/>
      </c>
      <c r="J1769" s="21" t="str">
        <f t="shared" si="88"/>
        <v/>
      </c>
      <c r="K1769" s="20"/>
      <c r="L1769" s="21" t="str">
        <f>IF(OR(NOT(AND($B1769&lt;&gt;"",$C1769&lt;&gt;"",$D1769&lt;&gt;"",$E1769&lt;&gt;"")),$A1769="",$K1769&lt;&gt;"Yes"),"",IF($L1769&lt;&gt;"",$L1769,INDEX(SETUP!$I$1:$I$2000,MATCH(TRUE,SETUP!$J$1:$J$2000,0)+COUNTIFS($A$2:$A1769,"&lt;&gt;",$K$2:$K1769,"Yes",$L$2:$L1769,"")-1)))</f>
        <v/>
      </c>
      <c r="N1769" s="22"/>
    </row>
    <row r="1770" spans="1:14" x14ac:dyDescent="0.3">
      <c r="A1770" s="15" t="str">
        <f>IF(COUNTA($B1770:$E1770,$K1770)=0,"",IF(AND($B1770&lt;&gt;"",$C1770&lt;&gt;"",$D1770&lt;&gt;"",$E1770&lt;&gt;""),"TXS"&amp;TEXT(COUNTIFS($B$2:$B1770,"&lt;&gt;",$C$2:$C1770,"&lt;&gt;",$D$2:$D1770,"&lt;&gt;",$E$2:$E1770,"&lt;&gt;"),"00000"),""))</f>
        <v/>
      </c>
      <c r="B1770" s="16"/>
      <c r="C1770" s="20"/>
      <c r="D1770" s="20"/>
      <c r="E1770" s="23"/>
      <c r="H1770" s="21" t="str">
        <f t="shared" si="87"/>
        <v/>
      </c>
      <c r="I1770" s="21" t="str">
        <f t="shared" si="89"/>
        <v/>
      </c>
      <c r="J1770" s="21" t="str">
        <f t="shared" si="88"/>
        <v/>
      </c>
      <c r="K1770" s="20"/>
      <c r="L1770" s="21" t="str">
        <f>IF(OR(NOT(AND($B1770&lt;&gt;"",$C1770&lt;&gt;"",$D1770&lt;&gt;"",$E1770&lt;&gt;"")),$A1770="",$K1770&lt;&gt;"Yes"),"",IF($L1770&lt;&gt;"",$L1770,INDEX(SETUP!$I$1:$I$2000,MATCH(TRUE,SETUP!$J$1:$J$2000,0)+COUNTIFS($A$2:$A1770,"&lt;&gt;",$K$2:$K1770,"Yes",$L$2:$L1770,"")-1)))</f>
        <v/>
      </c>
      <c r="N1770" s="22"/>
    </row>
    <row r="1771" spans="1:14" x14ac:dyDescent="0.3">
      <c r="A1771" s="15" t="str">
        <f>IF(COUNTA($B1771:$E1771,$K1771)=0,"",IF(AND($B1771&lt;&gt;"",$C1771&lt;&gt;"",$D1771&lt;&gt;"",$E1771&lt;&gt;""),"TXS"&amp;TEXT(COUNTIFS($B$2:$B1771,"&lt;&gt;",$C$2:$C1771,"&lt;&gt;",$D$2:$D1771,"&lt;&gt;",$E$2:$E1771,"&lt;&gt;"),"00000"),""))</f>
        <v/>
      </c>
      <c r="B1771" s="16"/>
      <c r="C1771" s="20"/>
      <c r="D1771" s="20"/>
      <c r="E1771" s="23"/>
      <c r="H1771" s="21" t="str">
        <f t="shared" si="87"/>
        <v/>
      </c>
      <c r="I1771" s="21" t="str">
        <f t="shared" si="89"/>
        <v/>
      </c>
      <c r="J1771" s="21" t="str">
        <f t="shared" si="88"/>
        <v/>
      </c>
      <c r="K1771" s="20"/>
      <c r="L1771" s="21" t="str">
        <f>IF(OR(NOT(AND($B1771&lt;&gt;"",$C1771&lt;&gt;"",$D1771&lt;&gt;"",$E1771&lt;&gt;"")),$A1771="",$K1771&lt;&gt;"Yes"),"",IF($L1771&lt;&gt;"",$L1771,INDEX(SETUP!$I$1:$I$2000,MATCH(TRUE,SETUP!$J$1:$J$2000,0)+COUNTIFS($A$2:$A1771,"&lt;&gt;",$K$2:$K1771,"Yes",$L$2:$L1771,"")-1)))</f>
        <v/>
      </c>
      <c r="N1771" s="22"/>
    </row>
    <row r="1772" spans="1:14" x14ac:dyDescent="0.3">
      <c r="A1772" s="15" t="str">
        <f>IF(COUNTA($B1772:$E1772,$K1772)=0,"",IF(AND($B1772&lt;&gt;"",$C1772&lt;&gt;"",$D1772&lt;&gt;"",$E1772&lt;&gt;""),"TXS"&amp;TEXT(COUNTIFS($B$2:$B1772,"&lt;&gt;",$C$2:$C1772,"&lt;&gt;",$D$2:$D1772,"&lt;&gt;",$E$2:$E1772,"&lt;&gt;"),"00000"),""))</f>
        <v/>
      </c>
      <c r="B1772" s="16"/>
      <c r="C1772" s="20"/>
      <c r="D1772" s="20"/>
      <c r="E1772" s="23"/>
      <c r="H1772" s="21" t="str">
        <f t="shared" si="87"/>
        <v/>
      </c>
      <c r="I1772" s="21" t="str">
        <f t="shared" si="89"/>
        <v/>
      </c>
      <c r="J1772" s="21" t="str">
        <f t="shared" si="88"/>
        <v/>
      </c>
      <c r="K1772" s="20"/>
      <c r="L1772" s="21" t="str">
        <f>IF(OR(NOT(AND($B1772&lt;&gt;"",$C1772&lt;&gt;"",$D1772&lt;&gt;"",$E1772&lt;&gt;"")),$A1772="",$K1772&lt;&gt;"Yes"),"",IF($L1772&lt;&gt;"",$L1772,INDEX(SETUP!$I$1:$I$2000,MATCH(TRUE,SETUP!$J$1:$J$2000,0)+COUNTIFS($A$2:$A1772,"&lt;&gt;",$K$2:$K1772,"Yes",$L$2:$L1772,"")-1)))</f>
        <v/>
      </c>
      <c r="N1772" s="22"/>
    </row>
    <row r="1773" spans="1:14" x14ac:dyDescent="0.3">
      <c r="A1773" s="15" t="str">
        <f>IF(COUNTA($B1773:$E1773,$K1773)=0,"",IF(AND($B1773&lt;&gt;"",$C1773&lt;&gt;"",$D1773&lt;&gt;"",$E1773&lt;&gt;""),"TXS"&amp;TEXT(COUNTIFS($B$2:$B1773,"&lt;&gt;",$C$2:$C1773,"&lt;&gt;",$D$2:$D1773,"&lt;&gt;",$E$2:$E1773,"&lt;&gt;"),"00000"),""))</f>
        <v/>
      </c>
      <c r="B1773" s="16"/>
      <c r="C1773" s="20"/>
      <c r="D1773" s="20"/>
      <c r="E1773" s="23"/>
      <c r="H1773" s="21" t="str">
        <f t="shared" si="87"/>
        <v/>
      </c>
      <c r="I1773" s="21" t="str">
        <f t="shared" si="89"/>
        <v/>
      </c>
      <c r="J1773" s="21" t="str">
        <f t="shared" si="88"/>
        <v/>
      </c>
      <c r="K1773" s="20"/>
      <c r="L1773" s="21" t="str">
        <f>IF(OR(NOT(AND($B1773&lt;&gt;"",$C1773&lt;&gt;"",$D1773&lt;&gt;"",$E1773&lt;&gt;"")),$A1773="",$K1773&lt;&gt;"Yes"),"",IF($L1773&lt;&gt;"",$L1773,INDEX(SETUP!$I$1:$I$2000,MATCH(TRUE,SETUP!$J$1:$J$2000,0)+COUNTIFS($A$2:$A1773,"&lt;&gt;",$K$2:$K1773,"Yes",$L$2:$L1773,"")-1)))</f>
        <v/>
      </c>
      <c r="N1773" s="22"/>
    </row>
    <row r="1774" spans="1:14" x14ac:dyDescent="0.3">
      <c r="A1774" s="15" t="str">
        <f>IF(COUNTA($B1774:$E1774,$K1774)=0,"",IF(AND($B1774&lt;&gt;"",$C1774&lt;&gt;"",$D1774&lt;&gt;"",$E1774&lt;&gt;""),"TXS"&amp;TEXT(COUNTIFS($B$2:$B1774,"&lt;&gt;",$C$2:$C1774,"&lt;&gt;",$D$2:$D1774,"&lt;&gt;",$E$2:$E1774,"&lt;&gt;"),"00000"),""))</f>
        <v/>
      </c>
      <c r="B1774" s="16"/>
      <c r="C1774" s="20"/>
      <c r="D1774" s="20"/>
      <c r="E1774" s="23"/>
      <c r="H1774" s="21" t="str">
        <f t="shared" si="87"/>
        <v/>
      </c>
      <c r="I1774" s="21" t="str">
        <f t="shared" si="89"/>
        <v/>
      </c>
      <c r="J1774" s="21" t="str">
        <f t="shared" si="88"/>
        <v/>
      </c>
      <c r="K1774" s="20"/>
      <c r="L1774" s="21" t="str">
        <f>IF(OR(NOT(AND($B1774&lt;&gt;"",$C1774&lt;&gt;"",$D1774&lt;&gt;"",$E1774&lt;&gt;"")),$A1774="",$K1774&lt;&gt;"Yes"),"",IF($L1774&lt;&gt;"",$L1774,INDEX(SETUP!$I$1:$I$2000,MATCH(TRUE,SETUP!$J$1:$J$2000,0)+COUNTIFS($A$2:$A1774,"&lt;&gt;",$K$2:$K1774,"Yes",$L$2:$L1774,"")-1)))</f>
        <v/>
      </c>
      <c r="N1774" s="22"/>
    </row>
    <row r="1775" spans="1:14" x14ac:dyDescent="0.3">
      <c r="A1775" s="15" t="str">
        <f>IF(COUNTA($B1775:$E1775,$K1775)=0,"",IF(AND($B1775&lt;&gt;"",$C1775&lt;&gt;"",$D1775&lt;&gt;"",$E1775&lt;&gt;""),"TXS"&amp;TEXT(COUNTIFS($B$2:$B1775,"&lt;&gt;",$C$2:$C1775,"&lt;&gt;",$D$2:$D1775,"&lt;&gt;",$E$2:$E1775,"&lt;&gt;"),"00000"),""))</f>
        <v/>
      </c>
      <c r="B1775" s="16"/>
      <c r="C1775" s="20"/>
      <c r="D1775" s="20"/>
      <c r="E1775" s="23"/>
      <c r="H1775" s="21" t="str">
        <f t="shared" ref="H1775:H1838" si="90">IF(NOT(AND($B1775&lt;&gt;"",$C1775&lt;&gt;"",$D1775&lt;&gt;"",$E1775&lt;&gt;"")),"",IF($A1775="","","CDI plate "&amp;INT((VALUE(RIGHT($A1775,5))-1)/96)+1&amp;": "&amp;CHAR(65+INT(MOD(VALUE(RIGHT($A1775,5))-1,96)/12))&amp;(MOD(VALUE(RIGHT($A1775,5))-1,12)+1)))</f>
        <v/>
      </c>
      <c r="I1775" s="21" t="str">
        <f t="shared" si="89"/>
        <v/>
      </c>
      <c r="J1775" s="21" t="str">
        <f t="shared" si="88"/>
        <v/>
      </c>
      <c r="K1775" s="20"/>
      <c r="L1775" s="21" t="str">
        <f>IF(OR(NOT(AND($B1775&lt;&gt;"",$C1775&lt;&gt;"",$D1775&lt;&gt;"",$E1775&lt;&gt;"")),$A1775="",$K1775&lt;&gt;"Yes"),"",IF($L1775&lt;&gt;"",$L1775,INDEX(SETUP!$I$1:$I$2000,MATCH(TRUE,SETUP!$J$1:$J$2000,0)+COUNTIFS($A$2:$A1775,"&lt;&gt;",$K$2:$K1775,"Yes",$L$2:$L1775,"")-1)))</f>
        <v/>
      </c>
      <c r="N1775" s="22"/>
    </row>
    <row r="1776" spans="1:14" x14ac:dyDescent="0.3">
      <c r="A1776" s="15" t="str">
        <f>IF(COUNTA($B1776:$E1776,$K1776)=0,"",IF(AND($B1776&lt;&gt;"",$C1776&lt;&gt;"",$D1776&lt;&gt;"",$E1776&lt;&gt;""),"TXS"&amp;TEXT(COUNTIFS($B$2:$B1776,"&lt;&gt;",$C$2:$C1776,"&lt;&gt;",$D$2:$D1776,"&lt;&gt;",$E$2:$E1776,"&lt;&gt;"),"00000"),""))</f>
        <v/>
      </c>
      <c r="B1776" s="16"/>
      <c r="C1776" s="20"/>
      <c r="D1776" s="20"/>
      <c r="E1776" s="23"/>
      <c r="H1776" s="21" t="str">
        <f t="shared" si="90"/>
        <v/>
      </c>
      <c r="I1776" s="21" t="str">
        <f t="shared" si="89"/>
        <v/>
      </c>
      <c r="J1776" s="21" t="str">
        <f t="shared" si="88"/>
        <v/>
      </c>
      <c r="K1776" s="20"/>
      <c r="L1776" s="21" t="str">
        <f>IF(OR(NOT(AND($B1776&lt;&gt;"",$C1776&lt;&gt;"",$D1776&lt;&gt;"",$E1776&lt;&gt;"")),$A1776="",$K1776&lt;&gt;"Yes"),"",IF($L1776&lt;&gt;"",$L1776,INDEX(SETUP!$I$1:$I$2000,MATCH(TRUE,SETUP!$J$1:$J$2000,0)+COUNTIFS($A$2:$A1776,"&lt;&gt;",$K$2:$K1776,"Yes",$L$2:$L1776,"")-1)))</f>
        <v/>
      </c>
      <c r="N1776" s="22"/>
    </row>
    <row r="1777" spans="1:14" x14ac:dyDescent="0.3">
      <c r="A1777" s="15" t="str">
        <f>IF(COUNTA($B1777:$E1777,$K1777)=0,"",IF(AND($B1777&lt;&gt;"",$C1777&lt;&gt;"",$D1777&lt;&gt;"",$E1777&lt;&gt;""),"TXS"&amp;TEXT(COUNTIFS($B$2:$B1777,"&lt;&gt;",$C$2:$C1777,"&lt;&gt;",$D$2:$D1777,"&lt;&gt;",$E$2:$E1777,"&lt;&gt;"),"00000"),""))</f>
        <v/>
      </c>
      <c r="B1777" s="16"/>
      <c r="C1777" s="20"/>
      <c r="D1777" s="20"/>
      <c r="E1777" s="23"/>
      <c r="H1777" s="21" t="str">
        <f t="shared" si="90"/>
        <v/>
      </c>
      <c r="I1777" s="21" t="str">
        <f t="shared" si="89"/>
        <v/>
      </c>
      <c r="J1777" s="21" t="str">
        <f t="shared" si="88"/>
        <v/>
      </c>
      <c r="K1777" s="20"/>
      <c r="L1777" s="21" t="str">
        <f>IF(OR(NOT(AND($B1777&lt;&gt;"",$C1777&lt;&gt;"",$D1777&lt;&gt;"",$E1777&lt;&gt;"")),$A1777="",$K1777&lt;&gt;"Yes"),"",IF($L1777&lt;&gt;"",$L1777,INDEX(SETUP!$I$1:$I$2000,MATCH(TRUE,SETUP!$J$1:$J$2000,0)+COUNTIFS($A$2:$A1777,"&lt;&gt;",$K$2:$K1777,"Yes",$L$2:$L1777,"")-1)))</f>
        <v/>
      </c>
      <c r="N1777" s="22"/>
    </row>
    <row r="1778" spans="1:14" x14ac:dyDescent="0.3">
      <c r="A1778" s="15" t="str">
        <f>IF(COUNTA($B1778:$E1778,$K1778)=0,"",IF(AND($B1778&lt;&gt;"",$C1778&lt;&gt;"",$D1778&lt;&gt;"",$E1778&lt;&gt;""),"TXS"&amp;TEXT(COUNTIFS($B$2:$B1778,"&lt;&gt;",$C$2:$C1778,"&lt;&gt;",$D$2:$D1778,"&lt;&gt;",$E$2:$E1778,"&lt;&gt;"),"00000"),""))</f>
        <v/>
      </c>
      <c r="B1778" s="16"/>
      <c r="C1778" s="20"/>
      <c r="D1778" s="20"/>
      <c r="E1778" s="23"/>
      <c r="H1778" s="21" t="str">
        <f t="shared" si="90"/>
        <v/>
      </c>
      <c r="I1778" s="21" t="str">
        <f t="shared" si="89"/>
        <v/>
      </c>
      <c r="J1778" s="21" t="str">
        <f t="shared" ref="J1778:J1841" si="91">IF(NOT(AND($B1778&lt;&gt;"",$C1778&lt;&gt;"",$D1778&lt;&gt;"",$E1778&lt;&gt;"")),"",IF($A1778="","","Max Planck plate "&amp;INT((VALUE(RIGHT($A1778,5))-1)/96)+1&amp;": "&amp;CHAR(65+INT(MOD(VALUE(RIGHT($A1778,5))-1,96)/12))&amp;(MOD(VALUE(RIGHT($A1778,5))-1,12)+1)))</f>
        <v/>
      </c>
      <c r="K1778" s="20"/>
      <c r="L1778" s="21" t="str">
        <f>IF(OR(NOT(AND($B1778&lt;&gt;"",$C1778&lt;&gt;"",$D1778&lt;&gt;"",$E1778&lt;&gt;"")),$A1778="",$K1778&lt;&gt;"Yes"),"",IF($L1778&lt;&gt;"",$L1778,INDEX(SETUP!$I$1:$I$2000,MATCH(TRUE,SETUP!$J$1:$J$2000,0)+COUNTIFS($A$2:$A1778,"&lt;&gt;",$K$2:$K1778,"Yes",$L$2:$L1778,"")-1)))</f>
        <v/>
      </c>
      <c r="N1778" s="22"/>
    </row>
    <row r="1779" spans="1:14" x14ac:dyDescent="0.3">
      <c r="A1779" s="15" t="str">
        <f>IF(COUNTA($B1779:$E1779,$K1779)=0,"",IF(AND($B1779&lt;&gt;"",$C1779&lt;&gt;"",$D1779&lt;&gt;"",$E1779&lt;&gt;""),"TXS"&amp;TEXT(COUNTIFS($B$2:$B1779,"&lt;&gt;",$C$2:$C1779,"&lt;&gt;",$D$2:$D1779,"&lt;&gt;",$E$2:$E1779,"&lt;&gt;"),"00000"),""))</f>
        <v/>
      </c>
      <c r="B1779" s="16"/>
      <c r="C1779" s="20"/>
      <c r="D1779" s="20"/>
      <c r="E1779" s="23"/>
      <c r="H1779" s="21" t="str">
        <f t="shared" si="90"/>
        <v/>
      </c>
      <c r="I1779" s="21" t="str">
        <f t="shared" si="89"/>
        <v/>
      </c>
      <c r="J1779" s="21" t="str">
        <f t="shared" si="91"/>
        <v/>
      </c>
      <c r="K1779" s="20"/>
      <c r="L1779" s="21" t="str">
        <f>IF(OR(NOT(AND($B1779&lt;&gt;"",$C1779&lt;&gt;"",$D1779&lt;&gt;"",$E1779&lt;&gt;"")),$A1779="",$K1779&lt;&gt;"Yes"),"",IF($L1779&lt;&gt;"",$L1779,INDEX(SETUP!$I$1:$I$2000,MATCH(TRUE,SETUP!$J$1:$J$2000,0)+COUNTIFS($A$2:$A1779,"&lt;&gt;",$K$2:$K1779,"Yes",$L$2:$L1779,"")-1)))</f>
        <v/>
      </c>
      <c r="N1779" s="22"/>
    </row>
    <row r="1780" spans="1:14" x14ac:dyDescent="0.3">
      <c r="A1780" s="15" t="str">
        <f>IF(COUNTA($B1780:$E1780,$K1780)=0,"",IF(AND($B1780&lt;&gt;"",$C1780&lt;&gt;"",$D1780&lt;&gt;"",$E1780&lt;&gt;""),"TXS"&amp;TEXT(COUNTIFS($B$2:$B1780,"&lt;&gt;",$C$2:$C1780,"&lt;&gt;",$D$2:$D1780,"&lt;&gt;",$E$2:$E1780,"&lt;&gt;"),"00000"),""))</f>
        <v/>
      </c>
      <c r="B1780" s="16"/>
      <c r="C1780" s="20"/>
      <c r="D1780" s="20"/>
      <c r="E1780" s="23"/>
      <c r="H1780" s="21" t="str">
        <f t="shared" si="90"/>
        <v/>
      </c>
      <c r="I1780" s="21" t="str">
        <f t="shared" si="89"/>
        <v/>
      </c>
      <c r="J1780" s="21" t="str">
        <f t="shared" si="91"/>
        <v/>
      </c>
      <c r="K1780" s="20"/>
      <c r="L1780" s="21" t="str">
        <f>IF(OR(NOT(AND($B1780&lt;&gt;"",$C1780&lt;&gt;"",$D1780&lt;&gt;"",$E1780&lt;&gt;"")),$A1780="",$K1780&lt;&gt;"Yes"),"",IF($L1780&lt;&gt;"",$L1780,INDEX(SETUP!$I$1:$I$2000,MATCH(TRUE,SETUP!$J$1:$J$2000,0)+COUNTIFS($A$2:$A1780,"&lt;&gt;",$K$2:$K1780,"Yes",$L$2:$L1780,"")-1)))</f>
        <v/>
      </c>
      <c r="N1780" s="22"/>
    </row>
    <row r="1781" spans="1:14" x14ac:dyDescent="0.3">
      <c r="A1781" s="15" t="str">
        <f>IF(COUNTA($B1781:$E1781,$K1781)=0,"",IF(AND($B1781&lt;&gt;"",$C1781&lt;&gt;"",$D1781&lt;&gt;"",$E1781&lt;&gt;""),"TXS"&amp;TEXT(COUNTIFS($B$2:$B1781,"&lt;&gt;",$C$2:$C1781,"&lt;&gt;",$D$2:$D1781,"&lt;&gt;",$E$2:$E1781,"&lt;&gt;"),"00000"),""))</f>
        <v/>
      </c>
      <c r="B1781" s="16"/>
      <c r="C1781" s="20"/>
      <c r="D1781" s="20"/>
      <c r="E1781" s="23"/>
      <c r="H1781" s="21" t="str">
        <f t="shared" si="90"/>
        <v/>
      </c>
      <c r="I1781" s="21" t="str">
        <f t="shared" si="89"/>
        <v/>
      </c>
      <c r="J1781" s="21" t="str">
        <f t="shared" si="91"/>
        <v/>
      </c>
      <c r="K1781" s="20"/>
      <c r="L1781" s="21" t="str">
        <f>IF(OR(NOT(AND($B1781&lt;&gt;"",$C1781&lt;&gt;"",$D1781&lt;&gt;"",$E1781&lt;&gt;"")),$A1781="",$K1781&lt;&gt;"Yes"),"",IF($L1781&lt;&gt;"",$L1781,INDEX(SETUP!$I$1:$I$2000,MATCH(TRUE,SETUP!$J$1:$J$2000,0)+COUNTIFS($A$2:$A1781,"&lt;&gt;",$K$2:$K1781,"Yes",$L$2:$L1781,"")-1)))</f>
        <v/>
      </c>
      <c r="N1781" s="22"/>
    </row>
    <row r="1782" spans="1:14" x14ac:dyDescent="0.3">
      <c r="A1782" s="15" t="str">
        <f>IF(COUNTA($B1782:$E1782,$K1782)=0,"",IF(AND($B1782&lt;&gt;"",$C1782&lt;&gt;"",$D1782&lt;&gt;"",$E1782&lt;&gt;""),"TXS"&amp;TEXT(COUNTIFS($B$2:$B1782,"&lt;&gt;",$C$2:$C1782,"&lt;&gt;",$D$2:$D1782,"&lt;&gt;",$E$2:$E1782,"&lt;&gt;"),"00000"),""))</f>
        <v/>
      </c>
      <c r="B1782" s="16"/>
      <c r="C1782" s="20"/>
      <c r="D1782" s="20"/>
      <c r="E1782" s="23"/>
      <c r="H1782" s="21" t="str">
        <f t="shared" si="90"/>
        <v/>
      </c>
      <c r="I1782" s="21" t="str">
        <f t="shared" si="89"/>
        <v/>
      </c>
      <c r="J1782" s="21" t="str">
        <f t="shared" si="91"/>
        <v/>
      </c>
      <c r="K1782" s="20"/>
      <c r="L1782" s="21" t="str">
        <f>IF(OR(NOT(AND($B1782&lt;&gt;"",$C1782&lt;&gt;"",$D1782&lt;&gt;"",$E1782&lt;&gt;"")),$A1782="",$K1782&lt;&gt;"Yes"),"",IF($L1782&lt;&gt;"",$L1782,INDEX(SETUP!$I$1:$I$2000,MATCH(TRUE,SETUP!$J$1:$J$2000,0)+COUNTIFS($A$2:$A1782,"&lt;&gt;",$K$2:$K1782,"Yes",$L$2:$L1782,"")-1)))</f>
        <v/>
      </c>
      <c r="N1782" s="22"/>
    </row>
    <row r="1783" spans="1:14" x14ac:dyDescent="0.3">
      <c r="A1783" s="15" t="str">
        <f>IF(COUNTA($B1783:$E1783,$K1783)=0,"",IF(AND($B1783&lt;&gt;"",$C1783&lt;&gt;"",$D1783&lt;&gt;"",$E1783&lt;&gt;""),"TXS"&amp;TEXT(COUNTIFS($B$2:$B1783,"&lt;&gt;",$C$2:$C1783,"&lt;&gt;",$D$2:$D1783,"&lt;&gt;",$E$2:$E1783,"&lt;&gt;"),"00000"),""))</f>
        <v/>
      </c>
      <c r="B1783" s="16"/>
      <c r="C1783" s="20"/>
      <c r="D1783" s="20"/>
      <c r="E1783" s="23"/>
      <c r="H1783" s="21" t="str">
        <f t="shared" si="90"/>
        <v/>
      </c>
      <c r="I1783" s="21" t="str">
        <f t="shared" si="89"/>
        <v/>
      </c>
      <c r="J1783" s="21" t="str">
        <f t="shared" si="91"/>
        <v/>
      </c>
      <c r="K1783" s="20"/>
      <c r="L1783" s="21" t="str">
        <f>IF(OR(NOT(AND($B1783&lt;&gt;"",$C1783&lt;&gt;"",$D1783&lt;&gt;"",$E1783&lt;&gt;"")),$A1783="",$K1783&lt;&gt;"Yes"),"",IF($L1783&lt;&gt;"",$L1783,INDEX(SETUP!$I$1:$I$2000,MATCH(TRUE,SETUP!$J$1:$J$2000,0)+COUNTIFS($A$2:$A1783,"&lt;&gt;",$K$2:$K1783,"Yes",$L$2:$L1783,"")-1)))</f>
        <v/>
      </c>
      <c r="N1783" s="22"/>
    </row>
    <row r="1784" spans="1:14" x14ac:dyDescent="0.3">
      <c r="A1784" s="15" t="str">
        <f>IF(COUNTA($B1784:$E1784,$K1784)=0,"",IF(AND($B1784&lt;&gt;"",$C1784&lt;&gt;"",$D1784&lt;&gt;"",$E1784&lt;&gt;""),"TXS"&amp;TEXT(COUNTIFS($B$2:$B1784,"&lt;&gt;",$C$2:$C1784,"&lt;&gt;",$D$2:$D1784,"&lt;&gt;",$E$2:$E1784,"&lt;&gt;"),"00000"),""))</f>
        <v/>
      </c>
      <c r="B1784" s="16"/>
      <c r="C1784" s="20"/>
      <c r="D1784" s="20"/>
      <c r="E1784" s="23"/>
      <c r="H1784" s="21" t="str">
        <f t="shared" si="90"/>
        <v/>
      </c>
      <c r="I1784" s="21" t="str">
        <f t="shared" si="89"/>
        <v/>
      </c>
      <c r="J1784" s="21" t="str">
        <f t="shared" si="91"/>
        <v/>
      </c>
      <c r="K1784" s="20"/>
      <c r="L1784" s="21" t="str">
        <f>IF(OR(NOT(AND($B1784&lt;&gt;"",$C1784&lt;&gt;"",$D1784&lt;&gt;"",$E1784&lt;&gt;"")),$A1784="",$K1784&lt;&gt;"Yes"),"",IF($L1784&lt;&gt;"",$L1784,INDEX(SETUP!$I$1:$I$2000,MATCH(TRUE,SETUP!$J$1:$J$2000,0)+COUNTIFS($A$2:$A1784,"&lt;&gt;",$K$2:$K1784,"Yes",$L$2:$L1784,"")-1)))</f>
        <v/>
      </c>
      <c r="N1784" s="22"/>
    </row>
    <row r="1785" spans="1:14" x14ac:dyDescent="0.3">
      <c r="A1785" s="15" t="str">
        <f>IF(COUNTA($B1785:$E1785,$K1785)=0,"",IF(AND($B1785&lt;&gt;"",$C1785&lt;&gt;"",$D1785&lt;&gt;"",$E1785&lt;&gt;""),"TXS"&amp;TEXT(COUNTIFS($B$2:$B1785,"&lt;&gt;",$C$2:$C1785,"&lt;&gt;",$D$2:$D1785,"&lt;&gt;",$E$2:$E1785,"&lt;&gt;"),"00000"),""))</f>
        <v/>
      </c>
      <c r="B1785" s="16"/>
      <c r="C1785" s="20"/>
      <c r="D1785" s="20"/>
      <c r="E1785" s="23"/>
      <c r="H1785" s="21" t="str">
        <f t="shared" si="90"/>
        <v/>
      </c>
      <c r="I1785" s="21" t="str">
        <f t="shared" si="89"/>
        <v/>
      </c>
      <c r="J1785" s="21" t="str">
        <f t="shared" si="91"/>
        <v/>
      </c>
      <c r="K1785" s="20"/>
      <c r="L1785" s="21" t="str">
        <f>IF(OR(NOT(AND($B1785&lt;&gt;"",$C1785&lt;&gt;"",$D1785&lt;&gt;"",$E1785&lt;&gt;"")),$A1785="",$K1785&lt;&gt;"Yes"),"",IF($L1785&lt;&gt;"",$L1785,INDEX(SETUP!$I$1:$I$2000,MATCH(TRUE,SETUP!$J$1:$J$2000,0)+COUNTIFS($A$2:$A1785,"&lt;&gt;",$K$2:$K1785,"Yes",$L$2:$L1785,"")-1)))</f>
        <v/>
      </c>
      <c r="N1785" s="22"/>
    </row>
    <row r="1786" spans="1:14" x14ac:dyDescent="0.3">
      <c r="A1786" s="15" t="str">
        <f>IF(COUNTA($B1786:$E1786,$K1786)=0,"",IF(AND($B1786&lt;&gt;"",$C1786&lt;&gt;"",$D1786&lt;&gt;"",$E1786&lt;&gt;""),"TXS"&amp;TEXT(COUNTIFS($B$2:$B1786,"&lt;&gt;",$C$2:$C1786,"&lt;&gt;",$D$2:$D1786,"&lt;&gt;",$E$2:$E1786,"&lt;&gt;"),"00000"),""))</f>
        <v/>
      </c>
      <c r="B1786" s="16"/>
      <c r="C1786" s="20"/>
      <c r="D1786" s="20"/>
      <c r="E1786" s="23"/>
      <c r="H1786" s="21" t="str">
        <f t="shared" si="90"/>
        <v/>
      </c>
      <c r="I1786" s="21" t="str">
        <f t="shared" si="89"/>
        <v/>
      </c>
      <c r="J1786" s="21" t="str">
        <f t="shared" si="91"/>
        <v/>
      </c>
      <c r="K1786" s="20"/>
      <c r="L1786" s="21" t="str">
        <f>IF(OR(NOT(AND($B1786&lt;&gt;"",$C1786&lt;&gt;"",$D1786&lt;&gt;"",$E1786&lt;&gt;"")),$A1786="",$K1786&lt;&gt;"Yes"),"",IF($L1786&lt;&gt;"",$L1786,INDEX(SETUP!$I$1:$I$2000,MATCH(TRUE,SETUP!$J$1:$J$2000,0)+COUNTIFS($A$2:$A1786,"&lt;&gt;",$K$2:$K1786,"Yes",$L$2:$L1786,"")-1)))</f>
        <v/>
      </c>
      <c r="N1786" s="22"/>
    </row>
    <row r="1787" spans="1:14" x14ac:dyDescent="0.3">
      <c r="A1787" s="15" t="str">
        <f>IF(COUNTA($B1787:$E1787,$K1787)=0,"",IF(AND($B1787&lt;&gt;"",$C1787&lt;&gt;"",$D1787&lt;&gt;"",$E1787&lt;&gt;""),"TXS"&amp;TEXT(COUNTIFS($B$2:$B1787,"&lt;&gt;",$C$2:$C1787,"&lt;&gt;",$D$2:$D1787,"&lt;&gt;",$E$2:$E1787,"&lt;&gt;"),"00000"),""))</f>
        <v/>
      </c>
      <c r="B1787" s="16"/>
      <c r="C1787" s="20"/>
      <c r="D1787" s="20"/>
      <c r="E1787" s="23"/>
      <c r="H1787" s="21" t="str">
        <f t="shared" si="90"/>
        <v/>
      </c>
      <c r="I1787" s="21" t="str">
        <f t="shared" si="89"/>
        <v/>
      </c>
      <c r="J1787" s="21" t="str">
        <f t="shared" si="91"/>
        <v/>
      </c>
      <c r="K1787" s="20"/>
      <c r="L1787" s="21" t="str">
        <f>IF(OR(NOT(AND($B1787&lt;&gt;"",$C1787&lt;&gt;"",$D1787&lt;&gt;"",$E1787&lt;&gt;"")),$A1787="",$K1787&lt;&gt;"Yes"),"",IF($L1787&lt;&gt;"",$L1787,INDEX(SETUP!$I$1:$I$2000,MATCH(TRUE,SETUP!$J$1:$J$2000,0)+COUNTIFS($A$2:$A1787,"&lt;&gt;",$K$2:$K1787,"Yes",$L$2:$L1787,"")-1)))</f>
        <v/>
      </c>
      <c r="N1787" s="22"/>
    </row>
    <row r="1788" spans="1:14" x14ac:dyDescent="0.3">
      <c r="A1788" s="15" t="str">
        <f>IF(COUNTA($B1788:$E1788,$K1788)=0,"",IF(AND($B1788&lt;&gt;"",$C1788&lt;&gt;"",$D1788&lt;&gt;"",$E1788&lt;&gt;""),"TXS"&amp;TEXT(COUNTIFS($B$2:$B1788,"&lt;&gt;",$C$2:$C1788,"&lt;&gt;",$D$2:$D1788,"&lt;&gt;",$E$2:$E1788,"&lt;&gt;"),"00000"),""))</f>
        <v/>
      </c>
      <c r="B1788" s="16"/>
      <c r="C1788" s="20"/>
      <c r="D1788" s="20"/>
      <c r="E1788" s="23"/>
      <c r="H1788" s="21" t="str">
        <f t="shared" si="90"/>
        <v/>
      </c>
      <c r="I1788" s="21" t="str">
        <f t="shared" si="89"/>
        <v/>
      </c>
      <c r="J1788" s="21" t="str">
        <f t="shared" si="91"/>
        <v/>
      </c>
      <c r="K1788" s="20"/>
      <c r="L1788" s="21" t="str">
        <f>IF(OR(NOT(AND($B1788&lt;&gt;"",$C1788&lt;&gt;"",$D1788&lt;&gt;"",$E1788&lt;&gt;"")),$A1788="",$K1788&lt;&gt;"Yes"),"",IF($L1788&lt;&gt;"",$L1788,INDEX(SETUP!$I$1:$I$2000,MATCH(TRUE,SETUP!$J$1:$J$2000,0)+COUNTIFS($A$2:$A1788,"&lt;&gt;",$K$2:$K1788,"Yes",$L$2:$L1788,"")-1)))</f>
        <v/>
      </c>
      <c r="N1788" s="22"/>
    </row>
    <row r="1789" spans="1:14" x14ac:dyDescent="0.3">
      <c r="A1789" s="15" t="str">
        <f>IF(COUNTA($B1789:$E1789,$K1789)=0,"",IF(AND($B1789&lt;&gt;"",$C1789&lt;&gt;"",$D1789&lt;&gt;"",$E1789&lt;&gt;""),"TXS"&amp;TEXT(COUNTIFS($B$2:$B1789,"&lt;&gt;",$C$2:$C1789,"&lt;&gt;",$D$2:$D1789,"&lt;&gt;",$E$2:$E1789,"&lt;&gt;"),"00000"),""))</f>
        <v/>
      </c>
      <c r="B1789" s="16"/>
      <c r="C1789" s="20"/>
      <c r="D1789" s="20"/>
      <c r="E1789" s="23"/>
      <c r="H1789" s="21" t="str">
        <f t="shared" si="90"/>
        <v/>
      </c>
      <c r="I1789" s="21" t="str">
        <f t="shared" si="89"/>
        <v/>
      </c>
      <c r="J1789" s="21" t="str">
        <f t="shared" si="91"/>
        <v/>
      </c>
      <c r="K1789" s="20"/>
      <c r="L1789" s="21" t="str">
        <f>IF(OR(NOT(AND($B1789&lt;&gt;"",$C1789&lt;&gt;"",$D1789&lt;&gt;"",$E1789&lt;&gt;"")),$A1789="",$K1789&lt;&gt;"Yes"),"",IF($L1789&lt;&gt;"",$L1789,INDEX(SETUP!$I$1:$I$2000,MATCH(TRUE,SETUP!$J$1:$J$2000,0)+COUNTIFS($A$2:$A1789,"&lt;&gt;",$K$2:$K1789,"Yes",$L$2:$L1789,"")-1)))</f>
        <v/>
      </c>
      <c r="N1789" s="22"/>
    </row>
    <row r="1790" spans="1:14" x14ac:dyDescent="0.3">
      <c r="A1790" s="15" t="str">
        <f>IF(COUNTA($B1790:$E1790,$K1790)=0,"",IF(AND($B1790&lt;&gt;"",$C1790&lt;&gt;"",$D1790&lt;&gt;"",$E1790&lt;&gt;""),"TXS"&amp;TEXT(COUNTIFS($B$2:$B1790,"&lt;&gt;",$C$2:$C1790,"&lt;&gt;",$D$2:$D1790,"&lt;&gt;",$E$2:$E1790,"&lt;&gt;"),"00000"),""))</f>
        <v/>
      </c>
      <c r="B1790" s="16"/>
      <c r="C1790" s="20"/>
      <c r="D1790" s="20"/>
      <c r="E1790" s="23"/>
      <c r="H1790" s="21" t="str">
        <f t="shared" si="90"/>
        <v/>
      </c>
      <c r="I1790" s="21" t="str">
        <f t="shared" si="89"/>
        <v/>
      </c>
      <c r="J1790" s="21" t="str">
        <f t="shared" si="91"/>
        <v/>
      </c>
      <c r="K1790" s="20"/>
      <c r="L1790" s="21" t="str">
        <f>IF(OR(NOT(AND($B1790&lt;&gt;"",$C1790&lt;&gt;"",$D1790&lt;&gt;"",$E1790&lt;&gt;"")),$A1790="",$K1790&lt;&gt;"Yes"),"",IF($L1790&lt;&gt;"",$L1790,INDEX(SETUP!$I$1:$I$2000,MATCH(TRUE,SETUP!$J$1:$J$2000,0)+COUNTIFS($A$2:$A1790,"&lt;&gt;",$K$2:$K1790,"Yes",$L$2:$L1790,"")-1)))</f>
        <v/>
      </c>
      <c r="N1790" s="22"/>
    </row>
    <row r="1791" spans="1:14" x14ac:dyDescent="0.3">
      <c r="A1791" s="15" t="str">
        <f>IF(COUNTA($B1791:$E1791,$K1791)=0,"",IF(AND($B1791&lt;&gt;"",$C1791&lt;&gt;"",$D1791&lt;&gt;"",$E1791&lt;&gt;""),"TXS"&amp;TEXT(COUNTIFS($B$2:$B1791,"&lt;&gt;",$C$2:$C1791,"&lt;&gt;",$D$2:$D1791,"&lt;&gt;",$E$2:$E1791,"&lt;&gt;"),"00000"),""))</f>
        <v/>
      </c>
      <c r="B1791" s="16"/>
      <c r="C1791" s="20"/>
      <c r="D1791" s="20"/>
      <c r="E1791" s="23"/>
      <c r="H1791" s="21" t="str">
        <f t="shared" si="90"/>
        <v/>
      </c>
      <c r="I1791" s="21" t="str">
        <f t="shared" si="89"/>
        <v/>
      </c>
      <c r="J1791" s="21" t="str">
        <f t="shared" si="91"/>
        <v/>
      </c>
      <c r="K1791" s="20"/>
      <c r="L1791" s="21" t="str">
        <f>IF(OR(NOT(AND($B1791&lt;&gt;"",$C1791&lt;&gt;"",$D1791&lt;&gt;"",$E1791&lt;&gt;"")),$A1791="",$K1791&lt;&gt;"Yes"),"",IF($L1791&lt;&gt;"",$L1791,INDEX(SETUP!$I$1:$I$2000,MATCH(TRUE,SETUP!$J$1:$J$2000,0)+COUNTIFS($A$2:$A1791,"&lt;&gt;",$K$2:$K1791,"Yes",$L$2:$L1791,"")-1)))</f>
        <v/>
      </c>
      <c r="N1791" s="22"/>
    </row>
    <row r="1792" spans="1:14" x14ac:dyDescent="0.3">
      <c r="A1792" s="15" t="str">
        <f>IF(COUNTA($B1792:$E1792,$K1792)=0,"",IF(AND($B1792&lt;&gt;"",$C1792&lt;&gt;"",$D1792&lt;&gt;"",$E1792&lt;&gt;""),"TXS"&amp;TEXT(COUNTIFS($B$2:$B1792,"&lt;&gt;",$C$2:$C1792,"&lt;&gt;",$D$2:$D1792,"&lt;&gt;",$E$2:$E1792,"&lt;&gt;"),"00000"),""))</f>
        <v/>
      </c>
      <c r="B1792" s="16"/>
      <c r="C1792" s="20"/>
      <c r="D1792" s="20"/>
      <c r="E1792" s="23"/>
      <c r="H1792" s="21" t="str">
        <f t="shared" si="90"/>
        <v/>
      </c>
      <c r="I1792" s="21" t="str">
        <f t="shared" si="89"/>
        <v/>
      </c>
      <c r="J1792" s="21" t="str">
        <f t="shared" si="91"/>
        <v/>
      </c>
      <c r="K1792" s="20"/>
      <c r="L1792" s="21" t="str">
        <f>IF(OR(NOT(AND($B1792&lt;&gt;"",$C1792&lt;&gt;"",$D1792&lt;&gt;"",$E1792&lt;&gt;"")),$A1792="",$K1792&lt;&gt;"Yes"),"",IF($L1792&lt;&gt;"",$L1792,INDEX(SETUP!$I$1:$I$2000,MATCH(TRUE,SETUP!$J$1:$J$2000,0)+COUNTIFS($A$2:$A1792,"&lt;&gt;",$K$2:$K1792,"Yes",$L$2:$L1792,"")-1)))</f>
        <v/>
      </c>
      <c r="N1792" s="22"/>
    </row>
    <row r="1793" spans="1:14" x14ac:dyDescent="0.3">
      <c r="A1793" s="15" t="str">
        <f>IF(COUNTA($B1793:$E1793,$K1793)=0,"",IF(AND($B1793&lt;&gt;"",$C1793&lt;&gt;"",$D1793&lt;&gt;"",$E1793&lt;&gt;""),"TXS"&amp;TEXT(COUNTIFS($B$2:$B1793,"&lt;&gt;",$C$2:$C1793,"&lt;&gt;",$D$2:$D1793,"&lt;&gt;",$E$2:$E1793,"&lt;&gt;"),"00000"),""))</f>
        <v/>
      </c>
      <c r="B1793" s="16"/>
      <c r="C1793" s="20"/>
      <c r="D1793" s="20"/>
      <c r="E1793" s="23"/>
      <c r="H1793" s="21" t="str">
        <f t="shared" si="90"/>
        <v/>
      </c>
      <c r="I1793" s="21" t="str">
        <f t="shared" si="89"/>
        <v/>
      </c>
      <c r="J1793" s="21" t="str">
        <f t="shared" si="91"/>
        <v/>
      </c>
      <c r="K1793" s="20"/>
      <c r="L1793" s="21" t="str">
        <f>IF(OR(NOT(AND($B1793&lt;&gt;"",$C1793&lt;&gt;"",$D1793&lt;&gt;"",$E1793&lt;&gt;"")),$A1793="",$K1793&lt;&gt;"Yes"),"",IF($L1793&lt;&gt;"",$L1793,INDEX(SETUP!$I$1:$I$2000,MATCH(TRUE,SETUP!$J$1:$J$2000,0)+COUNTIFS($A$2:$A1793,"&lt;&gt;",$K$2:$K1793,"Yes",$L$2:$L1793,"")-1)))</f>
        <v/>
      </c>
      <c r="N1793" s="22"/>
    </row>
    <row r="1794" spans="1:14" x14ac:dyDescent="0.3">
      <c r="A1794" s="15" t="str">
        <f>IF(COUNTA($B1794:$E1794,$K1794)=0,"",IF(AND($B1794&lt;&gt;"",$C1794&lt;&gt;"",$D1794&lt;&gt;"",$E1794&lt;&gt;""),"TXS"&amp;TEXT(COUNTIFS($B$2:$B1794,"&lt;&gt;",$C$2:$C1794,"&lt;&gt;",$D$2:$D1794,"&lt;&gt;",$E$2:$E1794,"&lt;&gt;"),"00000"),""))</f>
        <v/>
      </c>
      <c r="B1794" s="16"/>
      <c r="C1794" s="20"/>
      <c r="D1794" s="20"/>
      <c r="E1794" s="23"/>
      <c r="H1794" s="21" t="str">
        <f t="shared" si="90"/>
        <v/>
      </c>
      <c r="I1794" s="21" t="str">
        <f t="shared" si="89"/>
        <v/>
      </c>
      <c r="J1794" s="21" t="str">
        <f t="shared" si="91"/>
        <v/>
      </c>
      <c r="K1794" s="20"/>
      <c r="L1794" s="21" t="str">
        <f>IF(OR(NOT(AND($B1794&lt;&gt;"",$C1794&lt;&gt;"",$D1794&lt;&gt;"",$E1794&lt;&gt;"")),$A1794="",$K1794&lt;&gt;"Yes"),"",IF($L1794&lt;&gt;"",$L1794,INDEX(SETUP!$I$1:$I$2000,MATCH(TRUE,SETUP!$J$1:$J$2000,0)+COUNTIFS($A$2:$A1794,"&lt;&gt;",$K$2:$K1794,"Yes",$L$2:$L1794,"")-1)))</f>
        <v/>
      </c>
      <c r="N1794" s="22"/>
    </row>
    <row r="1795" spans="1:14" x14ac:dyDescent="0.3">
      <c r="A1795" s="15" t="str">
        <f>IF(COUNTA($B1795:$E1795,$K1795)=0,"",IF(AND($B1795&lt;&gt;"",$C1795&lt;&gt;"",$D1795&lt;&gt;"",$E1795&lt;&gt;""),"TXS"&amp;TEXT(COUNTIFS($B$2:$B1795,"&lt;&gt;",$C$2:$C1795,"&lt;&gt;",$D$2:$D1795,"&lt;&gt;",$E$2:$E1795,"&lt;&gt;"),"00000"),""))</f>
        <v/>
      </c>
      <c r="B1795" s="16"/>
      <c r="C1795" s="20"/>
      <c r="D1795" s="20"/>
      <c r="E1795" s="23"/>
      <c r="H1795" s="21" t="str">
        <f t="shared" si="90"/>
        <v/>
      </c>
      <c r="I1795" s="21" t="str">
        <f t="shared" si="89"/>
        <v/>
      </c>
      <c r="J1795" s="21" t="str">
        <f t="shared" si="91"/>
        <v/>
      </c>
      <c r="K1795" s="20"/>
      <c r="L1795" s="21" t="str">
        <f>IF(OR(NOT(AND($B1795&lt;&gt;"",$C1795&lt;&gt;"",$D1795&lt;&gt;"",$E1795&lt;&gt;"")),$A1795="",$K1795&lt;&gt;"Yes"),"",IF($L1795&lt;&gt;"",$L1795,INDEX(SETUP!$I$1:$I$2000,MATCH(TRUE,SETUP!$J$1:$J$2000,0)+COUNTIFS($A$2:$A1795,"&lt;&gt;",$K$2:$K1795,"Yes",$L$2:$L1795,"")-1)))</f>
        <v/>
      </c>
      <c r="N1795" s="22"/>
    </row>
    <row r="1796" spans="1:14" x14ac:dyDescent="0.3">
      <c r="A1796" s="15" t="str">
        <f>IF(COUNTA($B1796:$E1796,$K1796)=0,"",IF(AND($B1796&lt;&gt;"",$C1796&lt;&gt;"",$D1796&lt;&gt;"",$E1796&lt;&gt;""),"TXS"&amp;TEXT(COUNTIFS($B$2:$B1796,"&lt;&gt;",$C$2:$C1796,"&lt;&gt;",$D$2:$D1796,"&lt;&gt;",$E$2:$E1796,"&lt;&gt;"),"00000"),""))</f>
        <v/>
      </c>
      <c r="B1796" s="16"/>
      <c r="C1796" s="20"/>
      <c r="D1796" s="20"/>
      <c r="E1796" s="23"/>
      <c r="H1796" s="21" t="str">
        <f t="shared" si="90"/>
        <v/>
      </c>
      <c r="I1796" s="21" t="str">
        <f t="shared" si="89"/>
        <v/>
      </c>
      <c r="J1796" s="21" t="str">
        <f t="shared" si="91"/>
        <v/>
      </c>
      <c r="K1796" s="20"/>
      <c r="L1796" s="21" t="str">
        <f>IF(OR(NOT(AND($B1796&lt;&gt;"",$C1796&lt;&gt;"",$D1796&lt;&gt;"",$E1796&lt;&gt;"")),$A1796="",$K1796&lt;&gt;"Yes"),"",IF($L1796&lt;&gt;"",$L1796,INDEX(SETUP!$I$1:$I$2000,MATCH(TRUE,SETUP!$J$1:$J$2000,0)+COUNTIFS($A$2:$A1796,"&lt;&gt;",$K$2:$K1796,"Yes",$L$2:$L1796,"")-1)))</f>
        <v/>
      </c>
      <c r="N1796" s="22"/>
    </row>
    <row r="1797" spans="1:14" x14ac:dyDescent="0.3">
      <c r="A1797" s="15" t="str">
        <f>IF(COUNTA($B1797:$E1797,$K1797)=0,"",IF(AND($B1797&lt;&gt;"",$C1797&lt;&gt;"",$D1797&lt;&gt;"",$E1797&lt;&gt;""),"TXS"&amp;TEXT(COUNTIFS($B$2:$B1797,"&lt;&gt;",$C$2:$C1797,"&lt;&gt;",$D$2:$D1797,"&lt;&gt;",$E$2:$E1797,"&lt;&gt;"),"00000"),""))</f>
        <v/>
      </c>
      <c r="B1797" s="16"/>
      <c r="C1797" s="20"/>
      <c r="D1797" s="20"/>
      <c r="E1797" s="23"/>
      <c r="H1797" s="21" t="str">
        <f t="shared" si="90"/>
        <v/>
      </c>
      <c r="I1797" s="21" t="str">
        <f t="shared" si="89"/>
        <v/>
      </c>
      <c r="J1797" s="21" t="str">
        <f t="shared" si="91"/>
        <v/>
      </c>
      <c r="K1797" s="20"/>
      <c r="L1797" s="21" t="str">
        <f>IF(OR(NOT(AND($B1797&lt;&gt;"",$C1797&lt;&gt;"",$D1797&lt;&gt;"",$E1797&lt;&gt;"")),$A1797="",$K1797&lt;&gt;"Yes"),"",IF($L1797&lt;&gt;"",$L1797,INDEX(SETUP!$I$1:$I$2000,MATCH(TRUE,SETUP!$J$1:$J$2000,0)+COUNTIFS($A$2:$A1797,"&lt;&gt;",$K$2:$K1797,"Yes",$L$2:$L1797,"")-1)))</f>
        <v/>
      </c>
      <c r="N1797" s="22"/>
    </row>
    <row r="1798" spans="1:14" x14ac:dyDescent="0.3">
      <c r="A1798" s="15" t="str">
        <f>IF(COUNTA($B1798:$E1798,$K1798)=0,"",IF(AND($B1798&lt;&gt;"",$C1798&lt;&gt;"",$D1798&lt;&gt;"",$E1798&lt;&gt;""),"TXS"&amp;TEXT(COUNTIFS($B$2:$B1798,"&lt;&gt;",$C$2:$C1798,"&lt;&gt;",$D$2:$D1798,"&lt;&gt;",$E$2:$E1798,"&lt;&gt;"),"00000"),""))</f>
        <v/>
      </c>
      <c r="B1798" s="16"/>
      <c r="C1798" s="20"/>
      <c r="D1798" s="20"/>
      <c r="E1798" s="23"/>
      <c r="H1798" s="21" t="str">
        <f t="shared" si="90"/>
        <v/>
      </c>
      <c r="I1798" s="21" t="str">
        <f t="shared" si="89"/>
        <v/>
      </c>
      <c r="J1798" s="21" t="str">
        <f t="shared" si="91"/>
        <v/>
      </c>
      <c r="K1798" s="20"/>
      <c r="L1798" s="21" t="str">
        <f>IF(OR(NOT(AND($B1798&lt;&gt;"",$C1798&lt;&gt;"",$D1798&lt;&gt;"",$E1798&lt;&gt;"")),$A1798="",$K1798&lt;&gt;"Yes"),"",IF($L1798&lt;&gt;"",$L1798,INDEX(SETUP!$I$1:$I$2000,MATCH(TRUE,SETUP!$J$1:$J$2000,0)+COUNTIFS($A$2:$A1798,"&lt;&gt;",$K$2:$K1798,"Yes",$L$2:$L1798,"")-1)))</f>
        <v/>
      </c>
      <c r="N1798" s="22"/>
    </row>
    <row r="1799" spans="1:14" x14ac:dyDescent="0.3">
      <c r="A1799" s="15" t="str">
        <f>IF(COUNTA($B1799:$E1799,$K1799)=0,"",IF(AND($B1799&lt;&gt;"",$C1799&lt;&gt;"",$D1799&lt;&gt;"",$E1799&lt;&gt;""),"TXS"&amp;TEXT(COUNTIFS($B$2:$B1799,"&lt;&gt;",$C$2:$C1799,"&lt;&gt;",$D$2:$D1799,"&lt;&gt;",$E$2:$E1799,"&lt;&gt;"),"00000"),""))</f>
        <v/>
      </c>
      <c r="B1799" s="16"/>
      <c r="C1799" s="20"/>
      <c r="D1799" s="20"/>
      <c r="E1799" s="23"/>
      <c r="H1799" s="21" t="str">
        <f t="shared" si="90"/>
        <v/>
      </c>
      <c r="I1799" s="21" t="str">
        <f t="shared" si="89"/>
        <v/>
      </c>
      <c r="J1799" s="21" t="str">
        <f t="shared" si="91"/>
        <v/>
      </c>
      <c r="K1799" s="20"/>
      <c r="L1799" s="21" t="str">
        <f>IF(OR(NOT(AND($B1799&lt;&gt;"",$C1799&lt;&gt;"",$D1799&lt;&gt;"",$E1799&lt;&gt;"")),$A1799="",$K1799&lt;&gt;"Yes"),"",IF($L1799&lt;&gt;"",$L1799,INDEX(SETUP!$I$1:$I$2000,MATCH(TRUE,SETUP!$J$1:$J$2000,0)+COUNTIFS($A$2:$A1799,"&lt;&gt;",$K$2:$K1799,"Yes",$L$2:$L1799,"")-1)))</f>
        <v/>
      </c>
      <c r="N1799" s="22"/>
    </row>
    <row r="1800" spans="1:14" x14ac:dyDescent="0.3">
      <c r="A1800" s="15" t="str">
        <f>IF(COUNTA($B1800:$E1800,$K1800)=0,"",IF(AND($B1800&lt;&gt;"",$C1800&lt;&gt;"",$D1800&lt;&gt;"",$E1800&lt;&gt;""),"TXS"&amp;TEXT(COUNTIFS($B$2:$B1800,"&lt;&gt;",$C$2:$C1800,"&lt;&gt;",$D$2:$D1800,"&lt;&gt;",$E$2:$E1800,"&lt;&gt;"),"00000"),""))</f>
        <v/>
      </c>
      <c r="B1800" s="16"/>
      <c r="C1800" s="20"/>
      <c r="D1800" s="20"/>
      <c r="E1800" s="23"/>
      <c r="H1800" s="21" t="str">
        <f t="shared" si="90"/>
        <v/>
      </c>
      <c r="I1800" s="21" t="str">
        <f t="shared" si="89"/>
        <v/>
      </c>
      <c r="J1800" s="21" t="str">
        <f t="shared" si="91"/>
        <v/>
      </c>
      <c r="K1800" s="20"/>
      <c r="L1800" s="21" t="str">
        <f>IF(OR(NOT(AND($B1800&lt;&gt;"",$C1800&lt;&gt;"",$D1800&lt;&gt;"",$E1800&lt;&gt;"")),$A1800="",$K1800&lt;&gt;"Yes"),"",IF($L1800&lt;&gt;"",$L1800,INDEX(SETUP!$I$1:$I$2000,MATCH(TRUE,SETUP!$J$1:$J$2000,0)+COUNTIFS($A$2:$A1800,"&lt;&gt;",$K$2:$K1800,"Yes",$L$2:$L1800,"")-1)))</f>
        <v/>
      </c>
      <c r="N1800" s="22"/>
    </row>
    <row r="1801" spans="1:14" x14ac:dyDescent="0.3">
      <c r="A1801" s="15" t="str">
        <f>IF(COUNTA($B1801:$E1801,$K1801)=0,"",IF(AND($B1801&lt;&gt;"",$C1801&lt;&gt;"",$D1801&lt;&gt;"",$E1801&lt;&gt;""),"TXS"&amp;TEXT(COUNTIFS($B$2:$B1801,"&lt;&gt;",$C$2:$C1801,"&lt;&gt;",$D$2:$D1801,"&lt;&gt;",$E$2:$E1801,"&lt;&gt;"),"00000"),""))</f>
        <v/>
      </c>
      <c r="B1801" s="16"/>
      <c r="C1801" s="20"/>
      <c r="D1801" s="20"/>
      <c r="E1801" s="23"/>
      <c r="H1801" s="21" t="str">
        <f t="shared" si="90"/>
        <v/>
      </c>
      <c r="I1801" s="21" t="str">
        <f t="shared" si="89"/>
        <v/>
      </c>
      <c r="J1801" s="21" t="str">
        <f t="shared" si="91"/>
        <v/>
      </c>
      <c r="K1801" s="20"/>
      <c r="L1801" s="21" t="str">
        <f>IF(OR(NOT(AND($B1801&lt;&gt;"",$C1801&lt;&gt;"",$D1801&lt;&gt;"",$E1801&lt;&gt;"")),$A1801="",$K1801&lt;&gt;"Yes"),"",IF($L1801&lt;&gt;"",$L1801,INDEX(SETUP!$I$1:$I$2000,MATCH(TRUE,SETUP!$J$1:$J$2000,0)+COUNTIFS($A$2:$A1801,"&lt;&gt;",$K$2:$K1801,"Yes",$L$2:$L1801,"")-1)))</f>
        <v/>
      </c>
      <c r="N1801" s="22"/>
    </row>
    <row r="1802" spans="1:14" x14ac:dyDescent="0.3">
      <c r="A1802" s="15" t="str">
        <f>IF(COUNTA($B1802:$E1802,$K1802)=0,"",IF(AND($B1802&lt;&gt;"",$C1802&lt;&gt;"",$D1802&lt;&gt;"",$E1802&lt;&gt;""),"TXS"&amp;TEXT(COUNTIFS($B$2:$B1802,"&lt;&gt;",$C$2:$C1802,"&lt;&gt;",$D$2:$D1802,"&lt;&gt;",$E$2:$E1802,"&lt;&gt;"),"00000"),""))</f>
        <v/>
      </c>
      <c r="B1802" s="16"/>
      <c r="C1802" s="20"/>
      <c r="D1802" s="20"/>
      <c r="E1802" s="23"/>
      <c r="H1802" s="21" t="str">
        <f t="shared" si="90"/>
        <v/>
      </c>
      <c r="I1802" s="21" t="str">
        <f t="shared" si="89"/>
        <v/>
      </c>
      <c r="J1802" s="21" t="str">
        <f t="shared" si="91"/>
        <v/>
      </c>
      <c r="K1802" s="20"/>
      <c r="L1802" s="21" t="str">
        <f>IF(OR(NOT(AND($B1802&lt;&gt;"",$C1802&lt;&gt;"",$D1802&lt;&gt;"",$E1802&lt;&gt;"")),$A1802="",$K1802&lt;&gt;"Yes"),"",IF($L1802&lt;&gt;"",$L1802,INDEX(SETUP!$I$1:$I$2000,MATCH(TRUE,SETUP!$J$1:$J$2000,0)+COUNTIFS($A$2:$A1802,"&lt;&gt;",$K$2:$K1802,"Yes",$L$2:$L1802,"")-1)))</f>
        <v/>
      </c>
      <c r="N1802" s="22"/>
    </row>
    <row r="1803" spans="1:14" x14ac:dyDescent="0.3">
      <c r="A1803" s="15" t="str">
        <f>IF(COUNTA($B1803:$E1803,$K1803)=0,"",IF(AND($B1803&lt;&gt;"",$C1803&lt;&gt;"",$D1803&lt;&gt;"",$E1803&lt;&gt;""),"TXS"&amp;TEXT(COUNTIFS($B$2:$B1803,"&lt;&gt;",$C$2:$C1803,"&lt;&gt;",$D$2:$D1803,"&lt;&gt;",$E$2:$E1803,"&lt;&gt;"),"00000"),""))</f>
        <v/>
      </c>
      <c r="B1803" s="16"/>
      <c r="C1803" s="20"/>
      <c r="D1803" s="20"/>
      <c r="E1803" s="23"/>
      <c r="H1803" s="21" t="str">
        <f t="shared" si="90"/>
        <v/>
      </c>
      <c r="I1803" s="21" t="str">
        <f t="shared" si="89"/>
        <v/>
      </c>
      <c r="J1803" s="21" t="str">
        <f t="shared" si="91"/>
        <v/>
      </c>
      <c r="K1803" s="20"/>
      <c r="L1803" s="21" t="str">
        <f>IF(OR(NOT(AND($B1803&lt;&gt;"",$C1803&lt;&gt;"",$D1803&lt;&gt;"",$E1803&lt;&gt;"")),$A1803="",$K1803&lt;&gt;"Yes"),"",IF($L1803&lt;&gt;"",$L1803,INDEX(SETUP!$I$1:$I$2000,MATCH(TRUE,SETUP!$J$1:$J$2000,0)+COUNTIFS($A$2:$A1803,"&lt;&gt;",$K$2:$K1803,"Yes",$L$2:$L1803,"")-1)))</f>
        <v/>
      </c>
      <c r="N1803" s="22"/>
    </row>
    <row r="1804" spans="1:14" x14ac:dyDescent="0.3">
      <c r="A1804" s="15" t="str">
        <f>IF(COUNTA($B1804:$E1804,$K1804)=0,"",IF(AND($B1804&lt;&gt;"",$C1804&lt;&gt;"",$D1804&lt;&gt;"",$E1804&lt;&gt;""),"TXS"&amp;TEXT(COUNTIFS($B$2:$B1804,"&lt;&gt;",$C$2:$C1804,"&lt;&gt;",$D$2:$D1804,"&lt;&gt;",$E$2:$E1804,"&lt;&gt;"),"00000"),""))</f>
        <v/>
      </c>
      <c r="B1804" s="16"/>
      <c r="C1804" s="20"/>
      <c r="D1804" s="20"/>
      <c r="E1804" s="23"/>
      <c r="H1804" s="21" t="str">
        <f t="shared" si="90"/>
        <v/>
      </c>
      <c r="I1804" s="21" t="str">
        <f t="shared" si="89"/>
        <v/>
      </c>
      <c r="J1804" s="21" t="str">
        <f t="shared" si="91"/>
        <v/>
      </c>
      <c r="K1804" s="20"/>
      <c r="L1804" s="21" t="str">
        <f>IF(OR(NOT(AND($B1804&lt;&gt;"",$C1804&lt;&gt;"",$D1804&lt;&gt;"",$E1804&lt;&gt;"")),$A1804="",$K1804&lt;&gt;"Yes"),"",IF($L1804&lt;&gt;"",$L1804,INDEX(SETUP!$I$1:$I$2000,MATCH(TRUE,SETUP!$J$1:$J$2000,0)+COUNTIFS($A$2:$A1804,"&lt;&gt;",$K$2:$K1804,"Yes",$L$2:$L1804,"")-1)))</f>
        <v/>
      </c>
      <c r="N1804" s="22"/>
    </row>
    <row r="1805" spans="1:14" x14ac:dyDescent="0.3">
      <c r="A1805" s="15" t="str">
        <f>IF(COUNTA($B1805:$E1805,$K1805)=0,"",IF(AND($B1805&lt;&gt;"",$C1805&lt;&gt;"",$D1805&lt;&gt;"",$E1805&lt;&gt;""),"TXS"&amp;TEXT(COUNTIFS($B$2:$B1805,"&lt;&gt;",$C$2:$C1805,"&lt;&gt;",$D$2:$D1805,"&lt;&gt;",$E$2:$E1805,"&lt;&gt;"),"00000"),""))</f>
        <v/>
      </c>
      <c r="B1805" s="16"/>
      <c r="C1805" s="20"/>
      <c r="D1805" s="20"/>
      <c r="E1805" s="23"/>
      <c r="H1805" s="21" t="str">
        <f t="shared" si="90"/>
        <v/>
      </c>
      <c r="I1805" s="21" t="str">
        <f t="shared" si="89"/>
        <v/>
      </c>
      <c r="J1805" s="21" t="str">
        <f t="shared" si="91"/>
        <v/>
      </c>
      <c r="K1805" s="20"/>
      <c r="L1805" s="21" t="str">
        <f>IF(OR(NOT(AND($B1805&lt;&gt;"",$C1805&lt;&gt;"",$D1805&lt;&gt;"",$E1805&lt;&gt;"")),$A1805="",$K1805&lt;&gt;"Yes"),"",IF($L1805&lt;&gt;"",$L1805,INDEX(SETUP!$I$1:$I$2000,MATCH(TRUE,SETUP!$J$1:$J$2000,0)+COUNTIFS($A$2:$A1805,"&lt;&gt;",$K$2:$K1805,"Yes",$L$2:$L1805,"")-1)))</f>
        <v/>
      </c>
      <c r="N1805" s="22"/>
    </row>
    <row r="1806" spans="1:14" x14ac:dyDescent="0.3">
      <c r="A1806" s="15" t="str">
        <f>IF(COUNTA($B1806:$E1806,$K1806)=0,"",IF(AND($B1806&lt;&gt;"",$C1806&lt;&gt;"",$D1806&lt;&gt;"",$E1806&lt;&gt;""),"TXS"&amp;TEXT(COUNTIFS($B$2:$B1806,"&lt;&gt;",$C$2:$C1806,"&lt;&gt;",$D$2:$D1806,"&lt;&gt;",$E$2:$E1806,"&lt;&gt;"),"00000"),""))</f>
        <v/>
      </c>
      <c r="B1806" s="16"/>
      <c r="C1806" s="20"/>
      <c r="D1806" s="20"/>
      <c r="E1806" s="23"/>
      <c r="H1806" s="21" t="str">
        <f t="shared" si="90"/>
        <v/>
      </c>
      <c r="I1806" s="21" t="str">
        <f t="shared" si="89"/>
        <v/>
      </c>
      <c r="J1806" s="21" t="str">
        <f t="shared" si="91"/>
        <v/>
      </c>
      <c r="K1806" s="20"/>
      <c r="L1806" s="21" t="str">
        <f>IF(OR(NOT(AND($B1806&lt;&gt;"",$C1806&lt;&gt;"",$D1806&lt;&gt;"",$E1806&lt;&gt;"")),$A1806="",$K1806&lt;&gt;"Yes"),"",IF($L1806&lt;&gt;"",$L1806,INDEX(SETUP!$I$1:$I$2000,MATCH(TRUE,SETUP!$J$1:$J$2000,0)+COUNTIFS($A$2:$A1806,"&lt;&gt;",$K$2:$K1806,"Yes",$L$2:$L1806,"")-1)))</f>
        <v/>
      </c>
      <c r="N1806" s="22"/>
    </row>
    <row r="1807" spans="1:14" x14ac:dyDescent="0.3">
      <c r="A1807" s="15" t="str">
        <f>IF(COUNTA($B1807:$E1807,$K1807)=0,"",IF(AND($B1807&lt;&gt;"",$C1807&lt;&gt;"",$D1807&lt;&gt;"",$E1807&lt;&gt;""),"TXS"&amp;TEXT(COUNTIFS($B$2:$B1807,"&lt;&gt;",$C$2:$C1807,"&lt;&gt;",$D$2:$D1807,"&lt;&gt;",$E$2:$E1807,"&lt;&gt;"),"00000"),""))</f>
        <v/>
      </c>
      <c r="B1807" s="16"/>
      <c r="C1807" s="20"/>
      <c r="D1807" s="20"/>
      <c r="E1807" s="23"/>
      <c r="H1807" s="21" t="str">
        <f t="shared" si="90"/>
        <v/>
      </c>
      <c r="I1807" s="21" t="str">
        <f t="shared" si="89"/>
        <v/>
      </c>
      <c r="J1807" s="21" t="str">
        <f t="shared" si="91"/>
        <v/>
      </c>
      <c r="K1807" s="20"/>
      <c r="L1807" s="21" t="str">
        <f>IF(OR(NOT(AND($B1807&lt;&gt;"",$C1807&lt;&gt;"",$D1807&lt;&gt;"",$E1807&lt;&gt;"")),$A1807="",$K1807&lt;&gt;"Yes"),"",IF($L1807&lt;&gt;"",$L1807,INDEX(SETUP!$I$1:$I$2000,MATCH(TRUE,SETUP!$J$1:$J$2000,0)+COUNTIFS($A$2:$A1807,"&lt;&gt;",$K$2:$K1807,"Yes",$L$2:$L1807,"")-1)))</f>
        <v/>
      </c>
      <c r="N1807" s="22"/>
    </row>
    <row r="1808" spans="1:14" x14ac:dyDescent="0.3">
      <c r="A1808" s="15" t="str">
        <f>IF(COUNTA($B1808:$E1808,$K1808)=0,"",IF(AND($B1808&lt;&gt;"",$C1808&lt;&gt;"",$D1808&lt;&gt;"",$E1808&lt;&gt;""),"TXS"&amp;TEXT(COUNTIFS($B$2:$B1808,"&lt;&gt;",$C$2:$C1808,"&lt;&gt;",$D$2:$D1808,"&lt;&gt;",$E$2:$E1808,"&lt;&gt;"),"00000"),""))</f>
        <v/>
      </c>
      <c r="B1808" s="16"/>
      <c r="C1808" s="20"/>
      <c r="D1808" s="20"/>
      <c r="E1808" s="23"/>
      <c r="H1808" s="21" t="str">
        <f t="shared" si="90"/>
        <v/>
      </c>
      <c r="I1808" s="21" t="str">
        <f t="shared" si="89"/>
        <v/>
      </c>
      <c r="J1808" s="21" t="str">
        <f t="shared" si="91"/>
        <v/>
      </c>
      <c r="K1808" s="20"/>
      <c r="L1808" s="21" t="str">
        <f>IF(OR(NOT(AND($B1808&lt;&gt;"",$C1808&lt;&gt;"",$D1808&lt;&gt;"",$E1808&lt;&gt;"")),$A1808="",$K1808&lt;&gt;"Yes"),"",IF($L1808&lt;&gt;"",$L1808,INDEX(SETUP!$I$1:$I$2000,MATCH(TRUE,SETUP!$J$1:$J$2000,0)+COUNTIFS($A$2:$A1808,"&lt;&gt;",$K$2:$K1808,"Yes",$L$2:$L1808,"")-1)))</f>
        <v/>
      </c>
      <c r="N1808" s="22"/>
    </row>
    <row r="1809" spans="1:14" x14ac:dyDescent="0.3">
      <c r="A1809" s="15" t="str">
        <f>IF(COUNTA($B1809:$E1809,$K1809)=0,"",IF(AND($B1809&lt;&gt;"",$C1809&lt;&gt;"",$D1809&lt;&gt;"",$E1809&lt;&gt;""),"TXS"&amp;TEXT(COUNTIFS($B$2:$B1809,"&lt;&gt;",$C$2:$C1809,"&lt;&gt;",$D$2:$D1809,"&lt;&gt;",$E$2:$E1809,"&lt;&gt;"),"00000"),""))</f>
        <v/>
      </c>
      <c r="B1809" s="16"/>
      <c r="C1809" s="20"/>
      <c r="D1809" s="20"/>
      <c r="E1809" s="23"/>
      <c r="H1809" s="21" t="str">
        <f t="shared" si="90"/>
        <v/>
      </c>
      <c r="I1809" s="21" t="str">
        <f t="shared" si="89"/>
        <v/>
      </c>
      <c r="J1809" s="21" t="str">
        <f t="shared" si="91"/>
        <v/>
      </c>
      <c r="K1809" s="20"/>
      <c r="L1809" s="21" t="str">
        <f>IF(OR(NOT(AND($B1809&lt;&gt;"",$C1809&lt;&gt;"",$D1809&lt;&gt;"",$E1809&lt;&gt;"")),$A1809="",$K1809&lt;&gt;"Yes"),"",IF($L1809&lt;&gt;"",$L1809,INDEX(SETUP!$I$1:$I$2000,MATCH(TRUE,SETUP!$J$1:$J$2000,0)+COUNTIFS($A$2:$A1809,"&lt;&gt;",$K$2:$K1809,"Yes",$L$2:$L1809,"")-1)))</f>
        <v/>
      </c>
      <c r="N1809" s="22"/>
    </row>
    <row r="1810" spans="1:14" x14ac:dyDescent="0.3">
      <c r="A1810" s="15" t="str">
        <f>IF(COUNTA($B1810:$E1810,$K1810)=0,"",IF(AND($B1810&lt;&gt;"",$C1810&lt;&gt;"",$D1810&lt;&gt;"",$E1810&lt;&gt;""),"TXS"&amp;TEXT(COUNTIFS($B$2:$B1810,"&lt;&gt;",$C$2:$C1810,"&lt;&gt;",$D$2:$D1810,"&lt;&gt;",$E$2:$E1810,"&lt;&gt;"),"00000"),""))</f>
        <v/>
      </c>
      <c r="B1810" s="16"/>
      <c r="C1810" s="20"/>
      <c r="D1810" s="20"/>
      <c r="E1810" s="23"/>
      <c r="H1810" s="21" t="str">
        <f t="shared" si="90"/>
        <v/>
      </c>
      <c r="I1810" s="21" t="str">
        <f t="shared" si="89"/>
        <v/>
      </c>
      <c r="J1810" s="21" t="str">
        <f t="shared" si="91"/>
        <v/>
      </c>
      <c r="K1810" s="20"/>
      <c r="L1810" s="21" t="str">
        <f>IF(OR(NOT(AND($B1810&lt;&gt;"",$C1810&lt;&gt;"",$D1810&lt;&gt;"",$E1810&lt;&gt;"")),$A1810="",$K1810&lt;&gt;"Yes"),"",IF($L1810&lt;&gt;"",$L1810,INDEX(SETUP!$I$1:$I$2000,MATCH(TRUE,SETUP!$J$1:$J$2000,0)+COUNTIFS($A$2:$A1810,"&lt;&gt;",$K$2:$K1810,"Yes",$L$2:$L1810,"")-1)))</f>
        <v/>
      </c>
      <c r="N1810" s="22"/>
    </row>
    <row r="1811" spans="1:14" x14ac:dyDescent="0.3">
      <c r="A1811" s="15" t="str">
        <f>IF(COUNTA($B1811:$E1811,$K1811)=0,"",IF(AND($B1811&lt;&gt;"",$C1811&lt;&gt;"",$D1811&lt;&gt;"",$E1811&lt;&gt;""),"TXS"&amp;TEXT(COUNTIFS($B$2:$B1811,"&lt;&gt;",$C$2:$C1811,"&lt;&gt;",$D$2:$D1811,"&lt;&gt;",$E$2:$E1811,"&lt;&gt;"),"00000"),""))</f>
        <v/>
      </c>
      <c r="B1811" s="16"/>
      <c r="C1811" s="20"/>
      <c r="D1811" s="20"/>
      <c r="E1811" s="23"/>
      <c r="H1811" s="21" t="str">
        <f t="shared" si="90"/>
        <v/>
      </c>
      <c r="I1811" s="21" t="str">
        <f t="shared" si="89"/>
        <v/>
      </c>
      <c r="J1811" s="21" t="str">
        <f t="shared" si="91"/>
        <v/>
      </c>
      <c r="K1811" s="20"/>
      <c r="L1811" s="21" t="str">
        <f>IF(OR(NOT(AND($B1811&lt;&gt;"",$C1811&lt;&gt;"",$D1811&lt;&gt;"",$E1811&lt;&gt;"")),$A1811="",$K1811&lt;&gt;"Yes"),"",IF($L1811&lt;&gt;"",$L1811,INDEX(SETUP!$I$1:$I$2000,MATCH(TRUE,SETUP!$J$1:$J$2000,0)+COUNTIFS($A$2:$A1811,"&lt;&gt;",$K$2:$K1811,"Yes",$L$2:$L1811,"")-1)))</f>
        <v/>
      </c>
      <c r="N1811" s="22"/>
    </row>
    <row r="1812" spans="1:14" x14ac:dyDescent="0.3">
      <c r="A1812" s="15" t="str">
        <f>IF(COUNTA($B1812:$E1812,$K1812)=0,"",IF(AND($B1812&lt;&gt;"",$C1812&lt;&gt;"",$D1812&lt;&gt;"",$E1812&lt;&gt;""),"TXS"&amp;TEXT(COUNTIFS($B$2:$B1812,"&lt;&gt;",$C$2:$C1812,"&lt;&gt;",$D$2:$D1812,"&lt;&gt;",$E$2:$E1812,"&lt;&gt;"),"00000"),""))</f>
        <v/>
      </c>
      <c r="B1812" s="16"/>
      <c r="C1812" s="20"/>
      <c r="D1812" s="20"/>
      <c r="E1812" s="23"/>
      <c r="H1812" s="21" t="str">
        <f t="shared" si="90"/>
        <v/>
      </c>
      <c r="I1812" s="21" t="str">
        <f t="shared" si="89"/>
        <v/>
      </c>
      <c r="J1812" s="21" t="str">
        <f t="shared" si="91"/>
        <v/>
      </c>
      <c r="K1812" s="20"/>
      <c r="L1812" s="21" t="str">
        <f>IF(OR(NOT(AND($B1812&lt;&gt;"",$C1812&lt;&gt;"",$D1812&lt;&gt;"",$E1812&lt;&gt;"")),$A1812="",$K1812&lt;&gt;"Yes"),"",IF($L1812&lt;&gt;"",$L1812,INDEX(SETUP!$I$1:$I$2000,MATCH(TRUE,SETUP!$J$1:$J$2000,0)+COUNTIFS($A$2:$A1812,"&lt;&gt;",$K$2:$K1812,"Yes",$L$2:$L1812,"")-1)))</f>
        <v/>
      </c>
      <c r="N1812" s="22"/>
    </row>
    <row r="1813" spans="1:14" x14ac:dyDescent="0.3">
      <c r="A1813" s="15" t="str">
        <f>IF(COUNTA($B1813:$E1813,$K1813)=0,"",IF(AND($B1813&lt;&gt;"",$C1813&lt;&gt;"",$D1813&lt;&gt;"",$E1813&lt;&gt;""),"TXS"&amp;TEXT(COUNTIFS($B$2:$B1813,"&lt;&gt;",$C$2:$C1813,"&lt;&gt;",$D$2:$D1813,"&lt;&gt;",$E$2:$E1813,"&lt;&gt;"),"00000"),""))</f>
        <v/>
      </c>
      <c r="B1813" s="16"/>
      <c r="C1813" s="20"/>
      <c r="D1813" s="20"/>
      <c r="E1813" s="23"/>
      <c r="H1813" s="21" t="str">
        <f t="shared" si="90"/>
        <v/>
      </c>
      <c r="I1813" s="21" t="str">
        <f t="shared" si="89"/>
        <v/>
      </c>
      <c r="J1813" s="21" t="str">
        <f t="shared" si="91"/>
        <v/>
      </c>
      <c r="K1813" s="20"/>
      <c r="L1813" s="21" t="str">
        <f>IF(OR(NOT(AND($B1813&lt;&gt;"",$C1813&lt;&gt;"",$D1813&lt;&gt;"",$E1813&lt;&gt;"")),$A1813="",$K1813&lt;&gt;"Yes"),"",IF($L1813&lt;&gt;"",$L1813,INDEX(SETUP!$I$1:$I$2000,MATCH(TRUE,SETUP!$J$1:$J$2000,0)+COUNTIFS($A$2:$A1813,"&lt;&gt;",$K$2:$K1813,"Yes",$L$2:$L1813,"")-1)))</f>
        <v/>
      </c>
      <c r="N1813" s="22"/>
    </row>
    <row r="1814" spans="1:14" x14ac:dyDescent="0.3">
      <c r="A1814" s="15" t="str">
        <f>IF(COUNTA($B1814:$E1814,$K1814)=0,"",IF(AND($B1814&lt;&gt;"",$C1814&lt;&gt;"",$D1814&lt;&gt;"",$E1814&lt;&gt;""),"TXS"&amp;TEXT(COUNTIFS($B$2:$B1814,"&lt;&gt;",$C$2:$C1814,"&lt;&gt;",$D$2:$D1814,"&lt;&gt;",$E$2:$E1814,"&lt;&gt;"),"00000"),""))</f>
        <v/>
      </c>
      <c r="B1814" s="16"/>
      <c r="C1814" s="20"/>
      <c r="D1814" s="20"/>
      <c r="E1814" s="23"/>
      <c r="H1814" s="21" t="str">
        <f t="shared" si="90"/>
        <v/>
      </c>
      <c r="I1814" s="21" t="str">
        <f t="shared" si="89"/>
        <v/>
      </c>
      <c r="J1814" s="21" t="str">
        <f t="shared" si="91"/>
        <v/>
      </c>
      <c r="K1814" s="20"/>
      <c r="L1814" s="21" t="str">
        <f>IF(OR(NOT(AND($B1814&lt;&gt;"",$C1814&lt;&gt;"",$D1814&lt;&gt;"",$E1814&lt;&gt;"")),$A1814="",$K1814&lt;&gt;"Yes"),"",IF($L1814&lt;&gt;"",$L1814,INDEX(SETUP!$I$1:$I$2000,MATCH(TRUE,SETUP!$J$1:$J$2000,0)+COUNTIFS($A$2:$A1814,"&lt;&gt;",$K$2:$K1814,"Yes",$L$2:$L1814,"")-1)))</f>
        <v/>
      </c>
      <c r="N1814" s="22"/>
    </row>
    <row r="1815" spans="1:14" x14ac:dyDescent="0.3">
      <c r="A1815" s="15" t="str">
        <f>IF(COUNTA($B1815:$E1815,$K1815)=0,"",IF(AND($B1815&lt;&gt;"",$C1815&lt;&gt;"",$D1815&lt;&gt;"",$E1815&lt;&gt;""),"TXS"&amp;TEXT(COUNTIFS($B$2:$B1815,"&lt;&gt;",$C$2:$C1815,"&lt;&gt;",$D$2:$D1815,"&lt;&gt;",$E$2:$E1815,"&lt;&gt;"),"00000"),""))</f>
        <v/>
      </c>
      <c r="B1815" s="16"/>
      <c r="C1815" s="20"/>
      <c r="D1815" s="20"/>
      <c r="E1815" s="23"/>
      <c r="H1815" s="21" t="str">
        <f t="shared" si="90"/>
        <v/>
      </c>
      <c r="I1815" s="21" t="str">
        <f t="shared" si="89"/>
        <v/>
      </c>
      <c r="J1815" s="21" t="str">
        <f t="shared" si="91"/>
        <v/>
      </c>
      <c r="K1815" s="20"/>
      <c r="L1815" s="21" t="str">
        <f>IF(OR(NOT(AND($B1815&lt;&gt;"",$C1815&lt;&gt;"",$D1815&lt;&gt;"",$E1815&lt;&gt;"")),$A1815="",$K1815&lt;&gt;"Yes"),"",IF($L1815&lt;&gt;"",$L1815,INDEX(SETUP!$I$1:$I$2000,MATCH(TRUE,SETUP!$J$1:$J$2000,0)+COUNTIFS($A$2:$A1815,"&lt;&gt;",$K$2:$K1815,"Yes",$L$2:$L1815,"")-1)))</f>
        <v/>
      </c>
      <c r="N1815" s="22"/>
    </row>
    <row r="1816" spans="1:14" x14ac:dyDescent="0.3">
      <c r="A1816" s="15" t="str">
        <f>IF(COUNTA($B1816:$E1816,$K1816)=0,"",IF(AND($B1816&lt;&gt;"",$C1816&lt;&gt;"",$D1816&lt;&gt;"",$E1816&lt;&gt;""),"TXS"&amp;TEXT(COUNTIFS($B$2:$B1816,"&lt;&gt;",$C$2:$C1816,"&lt;&gt;",$D$2:$D1816,"&lt;&gt;",$E$2:$E1816,"&lt;&gt;"),"00000"),""))</f>
        <v/>
      </c>
      <c r="B1816" s="16"/>
      <c r="C1816" s="20"/>
      <c r="D1816" s="20"/>
      <c r="E1816" s="23"/>
      <c r="H1816" s="21" t="str">
        <f t="shared" si="90"/>
        <v/>
      </c>
      <c r="I1816" s="21" t="str">
        <f t="shared" si="89"/>
        <v/>
      </c>
      <c r="J1816" s="21" t="str">
        <f t="shared" si="91"/>
        <v/>
      </c>
      <c r="K1816" s="20"/>
      <c r="L1816" s="21" t="str">
        <f>IF(OR(NOT(AND($B1816&lt;&gt;"",$C1816&lt;&gt;"",$D1816&lt;&gt;"",$E1816&lt;&gt;"")),$A1816="",$K1816&lt;&gt;"Yes"),"",IF($L1816&lt;&gt;"",$L1816,INDEX(SETUP!$I$1:$I$2000,MATCH(TRUE,SETUP!$J$1:$J$2000,0)+COUNTIFS($A$2:$A1816,"&lt;&gt;",$K$2:$K1816,"Yes",$L$2:$L1816,"")-1)))</f>
        <v/>
      </c>
      <c r="N1816" s="22"/>
    </row>
    <row r="1817" spans="1:14" x14ac:dyDescent="0.3">
      <c r="A1817" s="15" t="str">
        <f>IF(COUNTA($B1817:$E1817,$K1817)=0,"",IF(AND($B1817&lt;&gt;"",$C1817&lt;&gt;"",$D1817&lt;&gt;"",$E1817&lt;&gt;""),"TXS"&amp;TEXT(COUNTIFS($B$2:$B1817,"&lt;&gt;",$C$2:$C1817,"&lt;&gt;",$D$2:$D1817,"&lt;&gt;",$E$2:$E1817,"&lt;&gt;"),"00000"),""))</f>
        <v/>
      </c>
      <c r="B1817" s="16"/>
      <c r="C1817" s="20"/>
      <c r="D1817" s="20"/>
      <c r="E1817" s="23"/>
      <c r="H1817" s="21" t="str">
        <f t="shared" si="90"/>
        <v/>
      </c>
      <c r="I1817" s="21" t="str">
        <f t="shared" si="89"/>
        <v/>
      </c>
      <c r="J1817" s="21" t="str">
        <f t="shared" si="91"/>
        <v/>
      </c>
      <c r="K1817" s="20"/>
      <c r="L1817" s="21" t="str">
        <f>IF(OR(NOT(AND($B1817&lt;&gt;"",$C1817&lt;&gt;"",$D1817&lt;&gt;"",$E1817&lt;&gt;"")),$A1817="",$K1817&lt;&gt;"Yes"),"",IF($L1817&lt;&gt;"",$L1817,INDEX(SETUP!$I$1:$I$2000,MATCH(TRUE,SETUP!$J$1:$J$2000,0)+COUNTIFS($A$2:$A1817,"&lt;&gt;",$K$2:$K1817,"Yes",$L$2:$L1817,"")-1)))</f>
        <v/>
      </c>
      <c r="N1817" s="22"/>
    </row>
    <row r="1818" spans="1:14" x14ac:dyDescent="0.3">
      <c r="A1818" s="15" t="str">
        <f>IF(COUNTA($B1818:$E1818,$K1818)=0,"",IF(AND($B1818&lt;&gt;"",$C1818&lt;&gt;"",$D1818&lt;&gt;"",$E1818&lt;&gt;""),"TXS"&amp;TEXT(COUNTIFS($B$2:$B1818,"&lt;&gt;",$C$2:$C1818,"&lt;&gt;",$D$2:$D1818,"&lt;&gt;",$E$2:$E1818,"&lt;&gt;"),"00000"),""))</f>
        <v/>
      </c>
      <c r="B1818" s="16"/>
      <c r="C1818" s="20"/>
      <c r="D1818" s="20"/>
      <c r="E1818" s="23"/>
      <c r="H1818" s="21" t="str">
        <f t="shared" si="90"/>
        <v/>
      </c>
      <c r="I1818" s="21" t="str">
        <f t="shared" si="89"/>
        <v/>
      </c>
      <c r="J1818" s="21" t="str">
        <f t="shared" si="91"/>
        <v/>
      </c>
      <c r="K1818" s="20"/>
      <c r="L1818" s="21" t="str">
        <f>IF(OR(NOT(AND($B1818&lt;&gt;"",$C1818&lt;&gt;"",$D1818&lt;&gt;"",$E1818&lt;&gt;"")),$A1818="",$K1818&lt;&gt;"Yes"),"",IF($L1818&lt;&gt;"",$L1818,INDEX(SETUP!$I$1:$I$2000,MATCH(TRUE,SETUP!$J$1:$J$2000,0)+COUNTIFS($A$2:$A1818,"&lt;&gt;",$K$2:$K1818,"Yes",$L$2:$L1818,"")-1)))</f>
        <v/>
      </c>
      <c r="N1818" s="22"/>
    </row>
    <row r="1819" spans="1:14" x14ac:dyDescent="0.3">
      <c r="A1819" s="15" t="str">
        <f>IF(COUNTA($B1819:$E1819,$K1819)=0,"",IF(AND($B1819&lt;&gt;"",$C1819&lt;&gt;"",$D1819&lt;&gt;"",$E1819&lt;&gt;""),"TXS"&amp;TEXT(COUNTIFS($B$2:$B1819,"&lt;&gt;",$C$2:$C1819,"&lt;&gt;",$D$2:$D1819,"&lt;&gt;",$E$2:$E1819,"&lt;&gt;"),"00000"),""))</f>
        <v/>
      </c>
      <c r="B1819" s="16"/>
      <c r="C1819" s="20"/>
      <c r="D1819" s="20"/>
      <c r="E1819" s="23"/>
      <c r="H1819" s="21" t="str">
        <f t="shared" si="90"/>
        <v/>
      </c>
      <c r="I1819" s="21" t="str">
        <f t="shared" si="89"/>
        <v/>
      </c>
      <c r="J1819" s="21" t="str">
        <f t="shared" si="91"/>
        <v/>
      </c>
      <c r="K1819" s="20"/>
      <c r="L1819" s="21" t="str">
        <f>IF(OR(NOT(AND($B1819&lt;&gt;"",$C1819&lt;&gt;"",$D1819&lt;&gt;"",$E1819&lt;&gt;"")),$A1819="",$K1819&lt;&gt;"Yes"),"",IF($L1819&lt;&gt;"",$L1819,INDEX(SETUP!$I$1:$I$2000,MATCH(TRUE,SETUP!$J$1:$J$2000,0)+COUNTIFS($A$2:$A1819,"&lt;&gt;",$K$2:$K1819,"Yes",$L$2:$L1819,"")-1)))</f>
        <v/>
      </c>
      <c r="N1819" s="22"/>
    </row>
    <row r="1820" spans="1:14" x14ac:dyDescent="0.3">
      <c r="A1820" s="15" t="str">
        <f>IF(COUNTA($B1820:$E1820,$K1820)=0,"",IF(AND($B1820&lt;&gt;"",$C1820&lt;&gt;"",$D1820&lt;&gt;"",$E1820&lt;&gt;""),"TXS"&amp;TEXT(COUNTIFS($B$2:$B1820,"&lt;&gt;",$C$2:$C1820,"&lt;&gt;",$D$2:$D1820,"&lt;&gt;",$E$2:$E1820,"&lt;&gt;"),"00000"),""))</f>
        <v/>
      </c>
      <c r="B1820" s="16"/>
      <c r="C1820" s="20"/>
      <c r="D1820" s="20"/>
      <c r="E1820" s="23"/>
      <c r="H1820" s="21" t="str">
        <f t="shared" si="90"/>
        <v/>
      </c>
      <c r="I1820" s="21" t="str">
        <f t="shared" si="89"/>
        <v/>
      </c>
      <c r="J1820" s="21" t="str">
        <f t="shared" si="91"/>
        <v/>
      </c>
      <c r="K1820" s="20"/>
      <c r="L1820" s="21" t="str">
        <f>IF(OR(NOT(AND($B1820&lt;&gt;"",$C1820&lt;&gt;"",$D1820&lt;&gt;"",$E1820&lt;&gt;"")),$A1820="",$K1820&lt;&gt;"Yes"),"",IF($L1820&lt;&gt;"",$L1820,INDEX(SETUP!$I$1:$I$2000,MATCH(TRUE,SETUP!$J$1:$J$2000,0)+COUNTIFS($A$2:$A1820,"&lt;&gt;",$K$2:$K1820,"Yes",$L$2:$L1820,"")-1)))</f>
        <v/>
      </c>
      <c r="N1820" s="22"/>
    </row>
    <row r="1821" spans="1:14" x14ac:dyDescent="0.3">
      <c r="A1821" s="15" t="str">
        <f>IF(COUNTA($B1821:$E1821,$K1821)=0,"",IF(AND($B1821&lt;&gt;"",$C1821&lt;&gt;"",$D1821&lt;&gt;"",$E1821&lt;&gt;""),"TXS"&amp;TEXT(COUNTIFS($B$2:$B1821,"&lt;&gt;",$C$2:$C1821,"&lt;&gt;",$D$2:$D1821,"&lt;&gt;",$E$2:$E1821,"&lt;&gt;"),"00000"),""))</f>
        <v/>
      </c>
      <c r="B1821" s="16"/>
      <c r="C1821" s="20"/>
      <c r="D1821" s="20"/>
      <c r="E1821" s="23"/>
      <c r="H1821" s="21" t="str">
        <f t="shared" si="90"/>
        <v/>
      </c>
      <c r="I1821" s="21" t="str">
        <f t="shared" si="89"/>
        <v/>
      </c>
      <c r="J1821" s="21" t="str">
        <f t="shared" si="91"/>
        <v/>
      </c>
      <c r="K1821" s="20"/>
      <c r="L1821" s="21" t="str">
        <f>IF(OR(NOT(AND($B1821&lt;&gt;"",$C1821&lt;&gt;"",$D1821&lt;&gt;"",$E1821&lt;&gt;"")),$A1821="",$K1821&lt;&gt;"Yes"),"",IF($L1821&lt;&gt;"",$L1821,INDEX(SETUP!$I$1:$I$2000,MATCH(TRUE,SETUP!$J$1:$J$2000,0)+COUNTIFS($A$2:$A1821,"&lt;&gt;",$K$2:$K1821,"Yes",$L$2:$L1821,"")-1)))</f>
        <v/>
      </c>
      <c r="N1821" s="22"/>
    </row>
    <row r="1822" spans="1:14" x14ac:dyDescent="0.3">
      <c r="A1822" s="15" t="str">
        <f>IF(COUNTA($B1822:$E1822,$K1822)=0,"",IF(AND($B1822&lt;&gt;"",$C1822&lt;&gt;"",$D1822&lt;&gt;"",$E1822&lt;&gt;""),"TXS"&amp;TEXT(COUNTIFS($B$2:$B1822,"&lt;&gt;",$C$2:$C1822,"&lt;&gt;",$D$2:$D1822,"&lt;&gt;",$E$2:$E1822,"&lt;&gt;"),"00000"),""))</f>
        <v/>
      </c>
      <c r="B1822" s="16"/>
      <c r="C1822" s="20"/>
      <c r="D1822" s="20"/>
      <c r="E1822" s="23"/>
      <c r="H1822" s="21" t="str">
        <f t="shared" si="90"/>
        <v/>
      </c>
      <c r="I1822" s="21" t="str">
        <f t="shared" si="89"/>
        <v/>
      </c>
      <c r="J1822" s="21" t="str">
        <f t="shared" si="91"/>
        <v/>
      </c>
      <c r="K1822" s="20"/>
      <c r="L1822" s="21" t="str">
        <f>IF(OR(NOT(AND($B1822&lt;&gt;"",$C1822&lt;&gt;"",$D1822&lt;&gt;"",$E1822&lt;&gt;"")),$A1822="",$K1822&lt;&gt;"Yes"),"",IF($L1822&lt;&gt;"",$L1822,INDEX(SETUP!$I$1:$I$2000,MATCH(TRUE,SETUP!$J$1:$J$2000,0)+COUNTIFS($A$2:$A1822,"&lt;&gt;",$K$2:$K1822,"Yes",$L$2:$L1822,"")-1)))</f>
        <v/>
      </c>
      <c r="N1822" s="22"/>
    </row>
    <row r="1823" spans="1:14" x14ac:dyDescent="0.3">
      <c r="A1823" s="15" t="str">
        <f>IF(COUNTA($B1823:$E1823,$K1823)=0,"",IF(AND($B1823&lt;&gt;"",$C1823&lt;&gt;"",$D1823&lt;&gt;"",$E1823&lt;&gt;""),"TXS"&amp;TEXT(COUNTIFS($B$2:$B1823,"&lt;&gt;",$C$2:$C1823,"&lt;&gt;",$D$2:$D1823,"&lt;&gt;",$E$2:$E1823,"&lt;&gt;"),"00000"),""))</f>
        <v/>
      </c>
      <c r="B1823" s="16"/>
      <c r="C1823" s="20"/>
      <c r="D1823" s="20"/>
      <c r="E1823" s="23"/>
      <c r="H1823" s="21" t="str">
        <f t="shared" si="90"/>
        <v/>
      </c>
      <c r="I1823" s="21" t="str">
        <f t="shared" si="89"/>
        <v/>
      </c>
      <c r="J1823" s="21" t="str">
        <f t="shared" si="91"/>
        <v/>
      </c>
      <c r="K1823" s="20"/>
      <c r="L1823" s="21" t="str">
        <f>IF(OR(NOT(AND($B1823&lt;&gt;"",$C1823&lt;&gt;"",$D1823&lt;&gt;"",$E1823&lt;&gt;"")),$A1823="",$K1823&lt;&gt;"Yes"),"",IF($L1823&lt;&gt;"",$L1823,INDEX(SETUP!$I$1:$I$2000,MATCH(TRUE,SETUP!$J$1:$J$2000,0)+COUNTIFS($A$2:$A1823,"&lt;&gt;",$K$2:$K1823,"Yes",$L$2:$L1823,"")-1)))</f>
        <v/>
      </c>
      <c r="N1823" s="22"/>
    </row>
    <row r="1824" spans="1:14" x14ac:dyDescent="0.3">
      <c r="A1824" s="15" t="str">
        <f>IF(COUNTA($B1824:$E1824,$K1824)=0,"",IF(AND($B1824&lt;&gt;"",$C1824&lt;&gt;"",$D1824&lt;&gt;"",$E1824&lt;&gt;""),"TXS"&amp;TEXT(COUNTIFS($B$2:$B1824,"&lt;&gt;",$C$2:$C1824,"&lt;&gt;",$D$2:$D1824,"&lt;&gt;",$E$2:$E1824,"&lt;&gt;"),"00000"),""))</f>
        <v/>
      </c>
      <c r="B1824" s="16"/>
      <c r="C1824" s="20"/>
      <c r="D1824" s="20"/>
      <c r="E1824" s="23"/>
      <c r="H1824" s="21" t="str">
        <f t="shared" si="90"/>
        <v/>
      </c>
      <c r="I1824" s="21" t="str">
        <f t="shared" si="89"/>
        <v/>
      </c>
      <c r="J1824" s="21" t="str">
        <f t="shared" si="91"/>
        <v/>
      </c>
      <c r="K1824" s="20"/>
      <c r="L1824" s="21" t="str">
        <f>IF(OR(NOT(AND($B1824&lt;&gt;"",$C1824&lt;&gt;"",$D1824&lt;&gt;"",$E1824&lt;&gt;"")),$A1824="",$K1824&lt;&gt;"Yes"),"",IF($L1824&lt;&gt;"",$L1824,INDEX(SETUP!$I$1:$I$2000,MATCH(TRUE,SETUP!$J$1:$J$2000,0)+COUNTIFS($A$2:$A1824,"&lt;&gt;",$K$2:$K1824,"Yes",$L$2:$L1824,"")-1)))</f>
        <v/>
      </c>
      <c r="N1824" s="22"/>
    </row>
    <row r="1825" spans="1:14" x14ac:dyDescent="0.3">
      <c r="A1825" s="15" t="str">
        <f>IF(COUNTA($B1825:$E1825,$K1825)=0,"",IF(AND($B1825&lt;&gt;"",$C1825&lt;&gt;"",$D1825&lt;&gt;"",$E1825&lt;&gt;""),"TXS"&amp;TEXT(COUNTIFS($B$2:$B1825,"&lt;&gt;",$C$2:$C1825,"&lt;&gt;",$D$2:$D1825,"&lt;&gt;",$E$2:$E1825,"&lt;&gt;"),"00000"),""))</f>
        <v/>
      </c>
      <c r="B1825" s="16"/>
      <c r="C1825" s="20"/>
      <c r="D1825" s="20"/>
      <c r="E1825" s="23"/>
      <c r="H1825" s="21" t="str">
        <f t="shared" si="90"/>
        <v/>
      </c>
      <c r="I1825" s="21" t="str">
        <f t="shared" si="89"/>
        <v/>
      </c>
      <c r="J1825" s="21" t="str">
        <f t="shared" si="91"/>
        <v/>
      </c>
      <c r="K1825" s="20"/>
      <c r="L1825" s="21" t="str">
        <f>IF(OR(NOT(AND($B1825&lt;&gt;"",$C1825&lt;&gt;"",$D1825&lt;&gt;"",$E1825&lt;&gt;"")),$A1825="",$K1825&lt;&gt;"Yes"),"",IF($L1825&lt;&gt;"",$L1825,INDEX(SETUP!$I$1:$I$2000,MATCH(TRUE,SETUP!$J$1:$J$2000,0)+COUNTIFS($A$2:$A1825,"&lt;&gt;",$K$2:$K1825,"Yes",$L$2:$L1825,"")-1)))</f>
        <v/>
      </c>
      <c r="N1825" s="22"/>
    </row>
    <row r="1826" spans="1:14" x14ac:dyDescent="0.3">
      <c r="A1826" s="15" t="str">
        <f>IF(COUNTA($B1826:$E1826,$K1826)=0,"",IF(AND($B1826&lt;&gt;"",$C1826&lt;&gt;"",$D1826&lt;&gt;"",$E1826&lt;&gt;""),"TXS"&amp;TEXT(COUNTIFS($B$2:$B1826,"&lt;&gt;",$C$2:$C1826,"&lt;&gt;",$D$2:$D1826,"&lt;&gt;",$E$2:$E1826,"&lt;&gt;"),"00000"),""))</f>
        <v/>
      </c>
      <c r="B1826" s="16"/>
      <c r="C1826" s="20"/>
      <c r="D1826" s="20"/>
      <c r="E1826" s="23"/>
      <c r="H1826" s="21" t="str">
        <f t="shared" si="90"/>
        <v/>
      </c>
      <c r="I1826" s="21" t="str">
        <f t="shared" si="89"/>
        <v/>
      </c>
      <c r="J1826" s="21" t="str">
        <f t="shared" si="91"/>
        <v/>
      </c>
      <c r="K1826" s="20"/>
      <c r="L1826" s="21" t="str">
        <f>IF(OR(NOT(AND($B1826&lt;&gt;"",$C1826&lt;&gt;"",$D1826&lt;&gt;"",$E1826&lt;&gt;"")),$A1826="",$K1826&lt;&gt;"Yes"),"",IF($L1826&lt;&gt;"",$L1826,INDEX(SETUP!$I$1:$I$2000,MATCH(TRUE,SETUP!$J$1:$J$2000,0)+COUNTIFS($A$2:$A1826,"&lt;&gt;",$K$2:$K1826,"Yes",$L$2:$L1826,"")-1)))</f>
        <v/>
      </c>
      <c r="N1826" s="22"/>
    </row>
    <row r="1827" spans="1:14" x14ac:dyDescent="0.3">
      <c r="A1827" s="15" t="str">
        <f>IF(COUNTA($B1827:$E1827,$K1827)=0,"",IF(AND($B1827&lt;&gt;"",$C1827&lt;&gt;"",$D1827&lt;&gt;"",$E1827&lt;&gt;""),"TXS"&amp;TEXT(COUNTIFS($B$2:$B1827,"&lt;&gt;",$C$2:$C1827,"&lt;&gt;",$D$2:$D1827,"&lt;&gt;",$E$2:$E1827,"&lt;&gt;"),"00000"),""))</f>
        <v/>
      </c>
      <c r="B1827" s="16"/>
      <c r="C1827" s="20"/>
      <c r="D1827" s="20"/>
      <c r="E1827" s="23"/>
      <c r="H1827" s="21" t="str">
        <f t="shared" si="90"/>
        <v/>
      </c>
      <c r="I1827" s="21" t="str">
        <f t="shared" si="89"/>
        <v/>
      </c>
      <c r="J1827" s="21" t="str">
        <f t="shared" si="91"/>
        <v/>
      </c>
      <c r="K1827" s="20"/>
      <c r="L1827" s="21" t="str">
        <f>IF(OR(NOT(AND($B1827&lt;&gt;"",$C1827&lt;&gt;"",$D1827&lt;&gt;"",$E1827&lt;&gt;"")),$A1827="",$K1827&lt;&gt;"Yes"),"",IF($L1827&lt;&gt;"",$L1827,INDEX(SETUP!$I$1:$I$2000,MATCH(TRUE,SETUP!$J$1:$J$2000,0)+COUNTIFS($A$2:$A1827,"&lt;&gt;",$K$2:$K1827,"Yes",$L$2:$L1827,"")-1)))</f>
        <v/>
      </c>
      <c r="N1827" s="22"/>
    </row>
    <row r="1828" spans="1:14" x14ac:dyDescent="0.3">
      <c r="A1828" s="15" t="str">
        <f>IF(COUNTA($B1828:$E1828,$K1828)=0,"",IF(AND($B1828&lt;&gt;"",$C1828&lt;&gt;"",$D1828&lt;&gt;"",$E1828&lt;&gt;""),"TXS"&amp;TEXT(COUNTIFS($B$2:$B1828,"&lt;&gt;",$C$2:$C1828,"&lt;&gt;",$D$2:$D1828,"&lt;&gt;",$E$2:$E1828,"&lt;&gt;"),"00000"),""))</f>
        <v/>
      </c>
      <c r="B1828" s="16"/>
      <c r="C1828" s="20"/>
      <c r="D1828" s="20"/>
      <c r="E1828" s="23"/>
      <c r="H1828" s="21" t="str">
        <f t="shared" si="90"/>
        <v/>
      </c>
      <c r="I1828" s="21" t="str">
        <f t="shared" si="89"/>
        <v/>
      </c>
      <c r="J1828" s="21" t="str">
        <f t="shared" si="91"/>
        <v/>
      </c>
      <c r="K1828" s="20"/>
      <c r="L1828" s="21" t="str">
        <f>IF(OR(NOT(AND($B1828&lt;&gt;"",$C1828&lt;&gt;"",$D1828&lt;&gt;"",$E1828&lt;&gt;"")),$A1828="",$K1828&lt;&gt;"Yes"),"",IF($L1828&lt;&gt;"",$L1828,INDEX(SETUP!$I$1:$I$2000,MATCH(TRUE,SETUP!$J$1:$J$2000,0)+COUNTIFS($A$2:$A1828,"&lt;&gt;",$K$2:$K1828,"Yes",$L$2:$L1828,"")-1)))</f>
        <v/>
      </c>
      <c r="N1828" s="22"/>
    </row>
    <row r="1829" spans="1:14" x14ac:dyDescent="0.3">
      <c r="A1829" s="15" t="str">
        <f>IF(COUNTA($B1829:$E1829,$K1829)=0,"",IF(AND($B1829&lt;&gt;"",$C1829&lt;&gt;"",$D1829&lt;&gt;"",$E1829&lt;&gt;""),"TXS"&amp;TEXT(COUNTIFS($B$2:$B1829,"&lt;&gt;",$C$2:$C1829,"&lt;&gt;",$D$2:$D1829,"&lt;&gt;",$E$2:$E1829,"&lt;&gt;"),"00000"),""))</f>
        <v/>
      </c>
      <c r="B1829" s="16"/>
      <c r="C1829" s="20"/>
      <c r="D1829" s="20"/>
      <c r="E1829" s="23"/>
      <c r="H1829" s="21" t="str">
        <f t="shared" si="90"/>
        <v/>
      </c>
      <c r="I1829" s="21" t="str">
        <f t="shared" si="89"/>
        <v/>
      </c>
      <c r="J1829" s="21" t="str">
        <f t="shared" si="91"/>
        <v/>
      </c>
      <c r="K1829" s="20"/>
      <c r="L1829" s="21" t="str">
        <f>IF(OR(NOT(AND($B1829&lt;&gt;"",$C1829&lt;&gt;"",$D1829&lt;&gt;"",$E1829&lt;&gt;"")),$A1829="",$K1829&lt;&gt;"Yes"),"",IF($L1829&lt;&gt;"",$L1829,INDEX(SETUP!$I$1:$I$2000,MATCH(TRUE,SETUP!$J$1:$J$2000,0)+COUNTIFS($A$2:$A1829,"&lt;&gt;",$K$2:$K1829,"Yes",$L$2:$L1829,"")-1)))</f>
        <v/>
      </c>
      <c r="N1829" s="22"/>
    </row>
    <row r="1830" spans="1:14" x14ac:dyDescent="0.3">
      <c r="A1830" s="15" t="str">
        <f>IF(COUNTA($B1830:$E1830,$K1830)=0,"",IF(AND($B1830&lt;&gt;"",$C1830&lt;&gt;"",$D1830&lt;&gt;"",$E1830&lt;&gt;""),"TXS"&amp;TEXT(COUNTIFS($B$2:$B1830,"&lt;&gt;",$C$2:$C1830,"&lt;&gt;",$D$2:$D1830,"&lt;&gt;",$E$2:$E1830,"&lt;&gt;"),"00000"),""))</f>
        <v/>
      </c>
      <c r="B1830" s="16"/>
      <c r="C1830" s="20"/>
      <c r="D1830" s="20"/>
      <c r="E1830" s="23"/>
      <c r="H1830" s="21" t="str">
        <f t="shared" si="90"/>
        <v/>
      </c>
      <c r="I1830" s="21" t="str">
        <f t="shared" si="89"/>
        <v/>
      </c>
      <c r="J1830" s="21" t="str">
        <f t="shared" si="91"/>
        <v/>
      </c>
      <c r="K1830" s="20"/>
      <c r="L1830" s="21" t="str">
        <f>IF(OR(NOT(AND($B1830&lt;&gt;"",$C1830&lt;&gt;"",$D1830&lt;&gt;"",$E1830&lt;&gt;"")),$A1830="",$K1830&lt;&gt;"Yes"),"",IF($L1830&lt;&gt;"",$L1830,INDEX(SETUP!$I$1:$I$2000,MATCH(TRUE,SETUP!$J$1:$J$2000,0)+COUNTIFS($A$2:$A1830,"&lt;&gt;",$K$2:$K1830,"Yes",$L$2:$L1830,"")-1)))</f>
        <v/>
      </c>
      <c r="N1830" s="22"/>
    </row>
    <row r="1831" spans="1:14" x14ac:dyDescent="0.3">
      <c r="A1831" s="15" t="str">
        <f>IF(COUNTA($B1831:$E1831,$K1831)=0,"",IF(AND($B1831&lt;&gt;"",$C1831&lt;&gt;"",$D1831&lt;&gt;"",$E1831&lt;&gt;""),"TXS"&amp;TEXT(COUNTIFS($B$2:$B1831,"&lt;&gt;",$C$2:$C1831,"&lt;&gt;",$D$2:$D1831,"&lt;&gt;",$E$2:$E1831,"&lt;&gt;"),"00000"),""))</f>
        <v/>
      </c>
      <c r="B1831" s="16"/>
      <c r="C1831" s="20"/>
      <c r="D1831" s="20"/>
      <c r="E1831" s="23"/>
      <c r="H1831" s="21" t="str">
        <f t="shared" si="90"/>
        <v/>
      </c>
      <c r="I1831" s="21" t="str">
        <f t="shared" si="89"/>
        <v/>
      </c>
      <c r="J1831" s="21" t="str">
        <f t="shared" si="91"/>
        <v/>
      </c>
      <c r="K1831" s="20"/>
      <c r="L1831" s="21" t="str">
        <f>IF(OR(NOT(AND($B1831&lt;&gt;"",$C1831&lt;&gt;"",$D1831&lt;&gt;"",$E1831&lt;&gt;"")),$A1831="",$K1831&lt;&gt;"Yes"),"",IF($L1831&lt;&gt;"",$L1831,INDEX(SETUP!$I$1:$I$2000,MATCH(TRUE,SETUP!$J$1:$J$2000,0)+COUNTIFS($A$2:$A1831,"&lt;&gt;",$K$2:$K1831,"Yes",$L$2:$L1831,"")-1)))</f>
        <v/>
      </c>
      <c r="N1831" s="22"/>
    </row>
    <row r="1832" spans="1:14" x14ac:dyDescent="0.3">
      <c r="A1832" s="15" t="str">
        <f>IF(COUNTA($B1832:$E1832,$K1832)=0,"",IF(AND($B1832&lt;&gt;"",$C1832&lt;&gt;"",$D1832&lt;&gt;"",$E1832&lt;&gt;""),"TXS"&amp;TEXT(COUNTIFS($B$2:$B1832,"&lt;&gt;",$C$2:$C1832,"&lt;&gt;",$D$2:$D1832,"&lt;&gt;",$E$2:$E1832,"&lt;&gt;"),"00000"),""))</f>
        <v/>
      </c>
      <c r="B1832" s="16"/>
      <c r="C1832" s="20"/>
      <c r="D1832" s="20"/>
      <c r="E1832" s="23"/>
      <c r="H1832" s="21" t="str">
        <f t="shared" si="90"/>
        <v/>
      </c>
      <c r="I1832" s="21" t="str">
        <f t="shared" si="89"/>
        <v/>
      </c>
      <c r="J1832" s="21" t="str">
        <f t="shared" si="91"/>
        <v/>
      </c>
      <c r="K1832" s="20"/>
      <c r="L1832" s="21" t="str">
        <f>IF(OR(NOT(AND($B1832&lt;&gt;"",$C1832&lt;&gt;"",$D1832&lt;&gt;"",$E1832&lt;&gt;"")),$A1832="",$K1832&lt;&gt;"Yes"),"",IF($L1832&lt;&gt;"",$L1832,INDEX(SETUP!$I$1:$I$2000,MATCH(TRUE,SETUP!$J$1:$J$2000,0)+COUNTIFS($A$2:$A1832,"&lt;&gt;",$K$2:$K1832,"Yes",$L$2:$L1832,"")-1)))</f>
        <v/>
      </c>
      <c r="N1832" s="22"/>
    </row>
    <row r="1833" spans="1:14" x14ac:dyDescent="0.3">
      <c r="A1833" s="15" t="str">
        <f>IF(COUNTA($B1833:$E1833,$K1833)=0,"",IF(AND($B1833&lt;&gt;"",$C1833&lt;&gt;"",$D1833&lt;&gt;"",$E1833&lt;&gt;""),"TXS"&amp;TEXT(COUNTIFS($B$2:$B1833,"&lt;&gt;",$C$2:$C1833,"&lt;&gt;",$D$2:$D1833,"&lt;&gt;",$E$2:$E1833,"&lt;&gt;"),"00000"),""))</f>
        <v/>
      </c>
      <c r="B1833" s="16"/>
      <c r="C1833" s="20"/>
      <c r="D1833" s="20"/>
      <c r="E1833" s="23"/>
      <c r="H1833" s="21" t="str">
        <f t="shared" si="90"/>
        <v/>
      </c>
      <c r="I1833" s="21" t="str">
        <f t="shared" ref="I1833:I1896" si="92">IF(NOT(AND($B1833&lt;&gt;"",$C1833&lt;&gt;"",$D1833&lt;&gt;"",$E1833&lt;&gt;"")),"",IF($A1833="","","NIH plate "&amp;INT((VALUE(RIGHT($A1833,5))-1)/96)+1&amp;": "&amp;CHAR(65+INT(MOD(VALUE(RIGHT($A1833,5))-1,96)/12))&amp;(MOD(VALUE(RIGHT($A1833,5))-1,12)+1)))</f>
        <v/>
      </c>
      <c r="J1833" s="21" t="str">
        <f t="shared" si="91"/>
        <v/>
      </c>
      <c r="K1833" s="20"/>
      <c r="L1833" s="21" t="str">
        <f>IF(OR(NOT(AND($B1833&lt;&gt;"",$C1833&lt;&gt;"",$D1833&lt;&gt;"",$E1833&lt;&gt;"")),$A1833="",$K1833&lt;&gt;"Yes"),"",IF($L1833&lt;&gt;"",$L1833,INDEX(SETUP!$I$1:$I$2000,MATCH(TRUE,SETUP!$J$1:$J$2000,0)+COUNTIFS($A$2:$A1833,"&lt;&gt;",$K$2:$K1833,"Yes",$L$2:$L1833,"")-1)))</f>
        <v/>
      </c>
      <c r="N1833" s="22"/>
    </row>
    <row r="1834" spans="1:14" x14ac:dyDescent="0.3">
      <c r="A1834" s="15" t="str">
        <f>IF(COUNTA($B1834:$E1834,$K1834)=0,"",IF(AND($B1834&lt;&gt;"",$C1834&lt;&gt;"",$D1834&lt;&gt;"",$E1834&lt;&gt;""),"TXS"&amp;TEXT(COUNTIFS($B$2:$B1834,"&lt;&gt;",$C$2:$C1834,"&lt;&gt;",$D$2:$D1834,"&lt;&gt;",$E$2:$E1834,"&lt;&gt;"),"00000"),""))</f>
        <v/>
      </c>
      <c r="B1834" s="16"/>
      <c r="C1834" s="20"/>
      <c r="D1834" s="20"/>
      <c r="E1834" s="23"/>
      <c r="H1834" s="21" t="str">
        <f t="shared" si="90"/>
        <v/>
      </c>
      <c r="I1834" s="21" t="str">
        <f t="shared" si="92"/>
        <v/>
      </c>
      <c r="J1834" s="21" t="str">
        <f t="shared" si="91"/>
        <v/>
      </c>
      <c r="K1834" s="20"/>
      <c r="L1834" s="21" t="str">
        <f>IF(OR(NOT(AND($B1834&lt;&gt;"",$C1834&lt;&gt;"",$D1834&lt;&gt;"",$E1834&lt;&gt;"")),$A1834="",$K1834&lt;&gt;"Yes"),"",IF($L1834&lt;&gt;"",$L1834,INDEX(SETUP!$I$1:$I$2000,MATCH(TRUE,SETUP!$J$1:$J$2000,0)+COUNTIFS($A$2:$A1834,"&lt;&gt;",$K$2:$K1834,"Yes",$L$2:$L1834,"")-1)))</f>
        <v/>
      </c>
      <c r="N1834" s="22"/>
    </row>
    <row r="1835" spans="1:14" x14ac:dyDescent="0.3">
      <c r="A1835" s="15" t="str">
        <f>IF(COUNTA($B1835:$E1835,$K1835)=0,"",IF(AND($B1835&lt;&gt;"",$C1835&lt;&gt;"",$D1835&lt;&gt;"",$E1835&lt;&gt;""),"TXS"&amp;TEXT(COUNTIFS($B$2:$B1835,"&lt;&gt;",$C$2:$C1835,"&lt;&gt;",$D$2:$D1835,"&lt;&gt;",$E$2:$E1835,"&lt;&gt;"),"00000"),""))</f>
        <v/>
      </c>
      <c r="B1835" s="16"/>
      <c r="C1835" s="20"/>
      <c r="D1835" s="20"/>
      <c r="E1835" s="23"/>
      <c r="H1835" s="21" t="str">
        <f t="shared" si="90"/>
        <v/>
      </c>
      <c r="I1835" s="21" t="str">
        <f t="shared" si="92"/>
        <v/>
      </c>
      <c r="J1835" s="21" t="str">
        <f t="shared" si="91"/>
        <v/>
      </c>
      <c r="K1835" s="20"/>
      <c r="L1835" s="21" t="str">
        <f>IF(OR(NOT(AND($B1835&lt;&gt;"",$C1835&lt;&gt;"",$D1835&lt;&gt;"",$E1835&lt;&gt;"")),$A1835="",$K1835&lt;&gt;"Yes"),"",IF($L1835&lt;&gt;"",$L1835,INDEX(SETUP!$I$1:$I$2000,MATCH(TRUE,SETUP!$J$1:$J$2000,0)+COUNTIFS($A$2:$A1835,"&lt;&gt;",$K$2:$K1835,"Yes",$L$2:$L1835,"")-1)))</f>
        <v/>
      </c>
      <c r="N1835" s="22"/>
    </row>
    <row r="1836" spans="1:14" x14ac:dyDescent="0.3">
      <c r="A1836" s="15" t="str">
        <f>IF(COUNTA($B1836:$E1836,$K1836)=0,"",IF(AND($B1836&lt;&gt;"",$C1836&lt;&gt;"",$D1836&lt;&gt;"",$E1836&lt;&gt;""),"TXS"&amp;TEXT(COUNTIFS($B$2:$B1836,"&lt;&gt;",$C$2:$C1836,"&lt;&gt;",$D$2:$D1836,"&lt;&gt;",$E$2:$E1836,"&lt;&gt;"),"00000"),""))</f>
        <v/>
      </c>
      <c r="B1836" s="16"/>
      <c r="C1836" s="20"/>
      <c r="D1836" s="20"/>
      <c r="E1836" s="23"/>
      <c r="H1836" s="21" t="str">
        <f t="shared" si="90"/>
        <v/>
      </c>
      <c r="I1836" s="21" t="str">
        <f t="shared" si="92"/>
        <v/>
      </c>
      <c r="J1836" s="21" t="str">
        <f t="shared" si="91"/>
        <v/>
      </c>
      <c r="K1836" s="20"/>
      <c r="L1836" s="21" t="str">
        <f>IF(OR(NOT(AND($B1836&lt;&gt;"",$C1836&lt;&gt;"",$D1836&lt;&gt;"",$E1836&lt;&gt;"")),$A1836="",$K1836&lt;&gt;"Yes"),"",IF($L1836&lt;&gt;"",$L1836,INDEX(SETUP!$I$1:$I$2000,MATCH(TRUE,SETUP!$J$1:$J$2000,0)+COUNTIFS($A$2:$A1836,"&lt;&gt;",$K$2:$K1836,"Yes",$L$2:$L1836,"")-1)))</f>
        <v/>
      </c>
      <c r="N1836" s="22"/>
    </row>
    <row r="1837" spans="1:14" x14ac:dyDescent="0.3">
      <c r="A1837" s="15" t="str">
        <f>IF(COUNTA($B1837:$E1837,$K1837)=0,"",IF(AND($B1837&lt;&gt;"",$C1837&lt;&gt;"",$D1837&lt;&gt;"",$E1837&lt;&gt;""),"TXS"&amp;TEXT(COUNTIFS($B$2:$B1837,"&lt;&gt;",$C$2:$C1837,"&lt;&gt;",$D$2:$D1837,"&lt;&gt;",$E$2:$E1837,"&lt;&gt;"),"00000"),""))</f>
        <v/>
      </c>
      <c r="B1837" s="16"/>
      <c r="C1837" s="20"/>
      <c r="D1837" s="20"/>
      <c r="E1837" s="23"/>
      <c r="H1837" s="21" t="str">
        <f t="shared" si="90"/>
        <v/>
      </c>
      <c r="I1837" s="21" t="str">
        <f t="shared" si="92"/>
        <v/>
      </c>
      <c r="J1837" s="21" t="str">
        <f t="shared" si="91"/>
        <v/>
      </c>
      <c r="K1837" s="20"/>
      <c r="L1837" s="21" t="str">
        <f>IF(OR(NOT(AND($B1837&lt;&gt;"",$C1837&lt;&gt;"",$D1837&lt;&gt;"",$E1837&lt;&gt;"")),$A1837="",$K1837&lt;&gt;"Yes"),"",IF($L1837&lt;&gt;"",$L1837,INDEX(SETUP!$I$1:$I$2000,MATCH(TRUE,SETUP!$J$1:$J$2000,0)+COUNTIFS($A$2:$A1837,"&lt;&gt;",$K$2:$K1837,"Yes",$L$2:$L1837,"")-1)))</f>
        <v/>
      </c>
      <c r="N1837" s="22"/>
    </row>
    <row r="1838" spans="1:14" x14ac:dyDescent="0.3">
      <c r="A1838" s="15" t="str">
        <f>IF(COUNTA($B1838:$E1838,$K1838)=0,"",IF(AND($B1838&lt;&gt;"",$C1838&lt;&gt;"",$D1838&lt;&gt;"",$E1838&lt;&gt;""),"TXS"&amp;TEXT(COUNTIFS($B$2:$B1838,"&lt;&gt;",$C$2:$C1838,"&lt;&gt;",$D$2:$D1838,"&lt;&gt;",$E$2:$E1838,"&lt;&gt;"),"00000"),""))</f>
        <v/>
      </c>
      <c r="B1838" s="16"/>
      <c r="C1838" s="20"/>
      <c r="D1838" s="20"/>
      <c r="E1838" s="23"/>
      <c r="H1838" s="21" t="str">
        <f t="shared" si="90"/>
        <v/>
      </c>
      <c r="I1838" s="21" t="str">
        <f t="shared" si="92"/>
        <v/>
      </c>
      <c r="J1838" s="21" t="str">
        <f t="shared" si="91"/>
        <v/>
      </c>
      <c r="K1838" s="20"/>
      <c r="L1838" s="21" t="str">
        <f>IF(OR(NOT(AND($B1838&lt;&gt;"",$C1838&lt;&gt;"",$D1838&lt;&gt;"",$E1838&lt;&gt;"")),$A1838="",$K1838&lt;&gt;"Yes"),"",IF($L1838&lt;&gt;"",$L1838,INDEX(SETUP!$I$1:$I$2000,MATCH(TRUE,SETUP!$J$1:$J$2000,0)+COUNTIFS($A$2:$A1838,"&lt;&gt;",$K$2:$K1838,"Yes",$L$2:$L1838,"")-1)))</f>
        <v/>
      </c>
      <c r="N1838" s="22"/>
    </row>
    <row r="1839" spans="1:14" x14ac:dyDescent="0.3">
      <c r="A1839" s="15" t="str">
        <f>IF(COUNTA($B1839:$E1839,$K1839)=0,"",IF(AND($B1839&lt;&gt;"",$C1839&lt;&gt;"",$D1839&lt;&gt;"",$E1839&lt;&gt;""),"TXS"&amp;TEXT(COUNTIFS($B$2:$B1839,"&lt;&gt;",$C$2:$C1839,"&lt;&gt;",$D$2:$D1839,"&lt;&gt;",$E$2:$E1839,"&lt;&gt;"),"00000"),""))</f>
        <v/>
      </c>
      <c r="B1839" s="16"/>
      <c r="C1839" s="20"/>
      <c r="D1839" s="20"/>
      <c r="E1839" s="23"/>
      <c r="H1839" s="21" t="str">
        <f t="shared" ref="H1839:H1902" si="93">IF(NOT(AND($B1839&lt;&gt;"",$C1839&lt;&gt;"",$D1839&lt;&gt;"",$E1839&lt;&gt;"")),"",IF($A1839="","","CDI plate "&amp;INT((VALUE(RIGHT($A1839,5))-1)/96)+1&amp;": "&amp;CHAR(65+INT(MOD(VALUE(RIGHT($A1839,5))-1,96)/12))&amp;(MOD(VALUE(RIGHT($A1839,5))-1,12)+1)))</f>
        <v/>
      </c>
      <c r="I1839" s="21" t="str">
        <f t="shared" si="92"/>
        <v/>
      </c>
      <c r="J1839" s="21" t="str">
        <f t="shared" si="91"/>
        <v/>
      </c>
      <c r="K1839" s="20"/>
      <c r="L1839" s="21" t="str">
        <f>IF(OR(NOT(AND($B1839&lt;&gt;"",$C1839&lt;&gt;"",$D1839&lt;&gt;"",$E1839&lt;&gt;"")),$A1839="",$K1839&lt;&gt;"Yes"),"",IF($L1839&lt;&gt;"",$L1839,INDEX(SETUP!$I$1:$I$2000,MATCH(TRUE,SETUP!$J$1:$J$2000,0)+COUNTIFS($A$2:$A1839,"&lt;&gt;",$K$2:$K1839,"Yes",$L$2:$L1839,"")-1)))</f>
        <v/>
      </c>
      <c r="N1839" s="22"/>
    </row>
    <row r="1840" spans="1:14" x14ac:dyDescent="0.3">
      <c r="A1840" s="15" t="str">
        <f>IF(COUNTA($B1840:$E1840,$K1840)=0,"",IF(AND($B1840&lt;&gt;"",$C1840&lt;&gt;"",$D1840&lt;&gt;"",$E1840&lt;&gt;""),"TXS"&amp;TEXT(COUNTIFS($B$2:$B1840,"&lt;&gt;",$C$2:$C1840,"&lt;&gt;",$D$2:$D1840,"&lt;&gt;",$E$2:$E1840,"&lt;&gt;"),"00000"),""))</f>
        <v/>
      </c>
      <c r="B1840" s="16"/>
      <c r="C1840" s="20"/>
      <c r="D1840" s="20"/>
      <c r="E1840" s="23"/>
      <c r="H1840" s="21" t="str">
        <f t="shared" si="93"/>
        <v/>
      </c>
      <c r="I1840" s="21" t="str">
        <f t="shared" si="92"/>
        <v/>
      </c>
      <c r="J1840" s="21" t="str">
        <f t="shared" si="91"/>
        <v/>
      </c>
      <c r="K1840" s="20"/>
      <c r="L1840" s="21" t="str">
        <f>IF(OR(NOT(AND($B1840&lt;&gt;"",$C1840&lt;&gt;"",$D1840&lt;&gt;"",$E1840&lt;&gt;"")),$A1840="",$K1840&lt;&gt;"Yes"),"",IF($L1840&lt;&gt;"",$L1840,INDEX(SETUP!$I$1:$I$2000,MATCH(TRUE,SETUP!$J$1:$J$2000,0)+COUNTIFS($A$2:$A1840,"&lt;&gt;",$K$2:$K1840,"Yes",$L$2:$L1840,"")-1)))</f>
        <v/>
      </c>
      <c r="N1840" s="22"/>
    </row>
    <row r="1841" spans="1:14" x14ac:dyDescent="0.3">
      <c r="A1841" s="15" t="str">
        <f>IF(COUNTA($B1841:$E1841,$K1841)=0,"",IF(AND($B1841&lt;&gt;"",$C1841&lt;&gt;"",$D1841&lt;&gt;"",$E1841&lt;&gt;""),"TXS"&amp;TEXT(COUNTIFS($B$2:$B1841,"&lt;&gt;",$C$2:$C1841,"&lt;&gt;",$D$2:$D1841,"&lt;&gt;",$E$2:$E1841,"&lt;&gt;"),"00000"),""))</f>
        <v/>
      </c>
      <c r="B1841" s="16"/>
      <c r="C1841" s="20"/>
      <c r="D1841" s="20"/>
      <c r="E1841" s="23"/>
      <c r="H1841" s="21" t="str">
        <f t="shared" si="93"/>
        <v/>
      </c>
      <c r="I1841" s="21" t="str">
        <f t="shared" si="92"/>
        <v/>
      </c>
      <c r="J1841" s="21" t="str">
        <f t="shared" si="91"/>
        <v/>
      </c>
      <c r="K1841" s="20"/>
      <c r="L1841" s="21" t="str">
        <f>IF(OR(NOT(AND($B1841&lt;&gt;"",$C1841&lt;&gt;"",$D1841&lt;&gt;"",$E1841&lt;&gt;"")),$A1841="",$K1841&lt;&gt;"Yes"),"",IF($L1841&lt;&gt;"",$L1841,INDEX(SETUP!$I$1:$I$2000,MATCH(TRUE,SETUP!$J$1:$J$2000,0)+COUNTIFS($A$2:$A1841,"&lt;&gt;",$K$2:$K1841,"Yes",$L$2:$L1841,"")-1)))</f>
        <v/>
      </c>
      <c r="N1841" s="22"/>
    </row>
    <row r="1842" spans="1:14" x14ac:dyDescent="0.3">
      <c r="A1842" s="15" t="str">
        <f>IF(COUNTA($B1842:$E1842,$K1842)=0,"",IF(AND($B1842&lt;&gt;"",$C1842&lt;&gt;"",$D1842&lt;&gt;"",$E1842&lt;&gt;""),"TXS"&amp;TEXT(COUNTIFS($B$2:$B1842,"&lt;&gt;",$C$2:$C1842,"&lt;&gt;",$D$2:$D1842,"&lt;&gt;",$E$2:$E1842,"&lt;&gt;"),"00000"),""))</f>
        <v/>
      </c>
      <c r="B1842" s="16"/>
      <c r="C1842" s="20"/>
      <c r="D1842" s="20"/>
      <c r="E1842" s="23"/>
      <c r="H1842" s="21" t="str">
        <f t="shared" si="93"/>
        <v/>
      </c>
      <c r="I1842" s="21" t="str">
        <f t="shared" si="92"/>
        <v/>
      </c>
      <c r="J1842" s="21" t="str">
        <f t="shared" ref="J1842:J1905" si="94">IF(NOT(AND($B1842&lt;&gt;"",$C1842&lt;&gt;"",$D1842&lt;&gt;"",$E1842&lt;&gt;"")),"",IF($A1842="","","Max Planck plate "&amp;INT((VALUE(RIGHT($A1842,5))-1)/96)+1&amp;": "&amp;CHAR(65+INT(MOD(VALUE(RIGHT($A1842,5))-1,96)/12))&amp;(MOD(VALUE(RIGHT($A1842,5))-1,12)+1)))</f>
        <v/>
      </c>
      <c r="K1842" s="20"/>
      <c r="L1842" s="21" t="str">
        <f>IF(OR(NOT(AND($B1842&lt;&gt;"",$C1842&lt;&gt;"",$D1842&lt;&gt;"",$E1842&lt;&gt;"")),$A1842="",$K1842&lt;&gt;"Yes"),"",IF($L1842&lt;&gt;"",$L1842,INDEX(SETUP!$I$1:$I$2000,MATCH(TRUE,SETUP!$J$1:$J$2000,0)+COUNTIFS($A$2:$A1842,"&lt;&gt;",$K$2:$K1842,"Yes",$L$2:$L1842,"")-1)))</f>
        <v/>
      </c>
      <c r="N1842" s="22"/>
    </row>
    <row r="1843" spans="1:14" x14ac:dyDescent="0.3">
      <c r="A1843" s="15" t="str">
        <f>IF(COUNTA($B1843:$E1843,$K1843)=0,"",IF(AND($B1843&lt;&gt;"",$C1843&lt;&gt;"",$D1843&lt;&gt;"",$E1843&lt;&gt;""),"TXS"&amp;TEXT(COUNTIFS($B$2:$B1843,"&lt;&gt;",$C$2:$C1843,"&lt;&gt;",$D$2:$D1843,"&lt;&gt;",$E$2:$E1843,"&lt;&gt;"),"00000"),""))</f>
        <v/>
      </c>
      <c r="B1843" s="16"/>
      <c r="C1843" s="20"/>
      <c r="D1843" s="20"/>
      <c r="E1843" s="23"/>
      <c r="H1843" s="21" t="str">
        <f t="shared" si="93"/>
        <v/>
      </c>
      <c r="I1843" s="21" t="str">
        <f t="shared" si="92"/>
        <v/>
      </c>
      <c r="J1843" s="21" t="str">
        <f t="shared" si="94"/>
        <v/>
      </c>
      <c r="K1843" s="20"/>
      <c r="L1843" s="21" t="str">
        <f>IF(OR(NOT(AND($B1843&lt;&gt;"",$C1843&lt;&gt;"",$D1843&lt;&gt;"",$E1843&lt;&gt;"")),$A1843="",$K1843&lt;&gt;"Yes"),"",IF($L1843&lt;&gt;"",$L1843,INDEX(SETUP!$I$1:$I$2000,MATCH(TRUE,SETUP!$J$1:$J$2000,0)+COUNTIFS($A$2:$A1843,"&lt;&gt;",$K$2:$K1843,"Yes",$L$2:$L1843,"")-1)))</f>
        <v/>
      </c>
      <c r="N1843" s="22"/>
    </row>
    <row r="1844" spans="1:14" x14ac:dyDescent="0.3">
      <c r="A1844" s="15" t="str">
        <f>IF(COUNTA($B1844:$E1844,$K1844)=0,"",IF(AND($B1844&lt;&gt;"",$C1844&lt;&gt;"",$D1844&lt;&gt;"",$E1844&lt;&gt;""),"TXS"&amp;TEXT(COUNTIFS($B$2:$B1844,"&lt;&gt;",$C$2:$C1844,"&lt;&gt;",$D$2:$D1844,"&lt;&gt;",$E$2:$E1844,"&lt;&gt;"),"00000"),""))</f>
        <v/>
      </c>
      <c r="B1844" s="16"/>
      <c r="C1844" s="20"/>
      <c r="D1844" s="20"/>
      <c r="E1844" s="23"/>
      <c r="H1844" s="21" t="str">
        <f t="shared" si="93"/>
        <v/>
      </c>
      <c r="I1844" s="21" t="str">
        <f t="shared" si="92"/>
        <v/>
      </c>
      <c r="J1844" s="21" t="str">
        <f t="shared" si="94"/>
        <v/>
      </c>
      <c r="K1844" s="20"/>
      <c r="L1844" s="21" t="str">
        <f>IF(OR(NOT(AND($B1844&lt;&gt;"",$C1844&lt;&gt;"",$D1844&lt;&gt;"",$E1844&lt;&gt;"")),$A1844="",$K1844&lt;&gt;"Yes"),"",IF($L1844&lt;&gt;"",$L1844,INDEX(SETUP!$I$1:$I$2000,MATCH(TRUE,SETUP!$J$1:$J$2000,0)+COUNTIFS($A$2:$A1844,"&lt;&gt;",$K$2:$K1844,"Yes",$L$2:$L1844,"")-1)))</f>
        <v/>
      </c>
      <c r="N1844" s="22"/>
    </row>
    <row r="1845" spans="1:14" x14ac:dyDescent="0.3">
      <c r="A1845" s="15" t="str">
        <f>IF(COUNTA($B1845:$E1845,$K1845)=0,"",IF(AND($B1845&lt;&gt;"",$C1845&lt;&gt;"",$D1845&lt;&gt;"",$E1845&lt;&gt;""),"TXS"&amp;TEXT(COUNTIFS($B$2:$B1845,"&lt;&gt;",$C$2:$C1845,"&lt;&gt;",$D$2:$D1845,"&lt;&gt;",$E$2:$E1845,"&lt;&gt;"),"00000"),""))</f>
        <v/>
      </c>
      <c r="B1845" s="16"/>
      <c r="C1845" s="20"/>
      <c r="D1845" s="20"/>
      <c r="E1845" s="23"/>
      <c r="H1845" s="21" t="str">
        <f t="shared" si="93"/>
        <v/>
      </c>
      <c r="I1845" s="21" t="str">
        <f t="shared" si="92"/>
        <v/>
      </c>
      <c r="J1845" s="21" t="str">
        <f t="shared" si="94"/>
        <v/>
      </c>
      <c r="K1845" s="20"/>
      <c r="L1845" s="21" t="str">
        <f>IF(OR(NOT(AND($B1845&lt;&gt;"",$C1845&lt;&gt;"",$D1845&lt;&gt;"",$E1845&lt;&gt;"")),$A1845="",$K1845&lt;&gt;"Yes"),"",IF($L1845&lt;&gt;"",$L1845,INDEX(SETUP!$I$1:$I$2000,MATCH(TRUE,SETUP!$J$1:$J$2000,0)+COUNTIFS($A$2:$A1845,"&lt;&gt;",$K$2:$K1845,"Yes",$L$2:$L1845,"")-1)))</f>
        <v/>
      </c>
      <c r="N1845" s="22"/>
    </row>
    <row r="1846" spans="1:14" x14ac:dyDescent="0.3">
      <c r="A1846" s="15" t="str">
        <f>IF(COUNTA($B1846:$E1846,$K1846)=0,"",IF(AND($B1846&lt;&gt;"",$C1846&lt;&gt;"",$D1846&lt;&gt;"",$E1846&lt;&gt;""),"TXS"&amp;TEXT(COUNTIFS($B$2:$B1846,"&lt;&gt;",$C$2:$C1846,"&lt;&gt;",$D$2:$D1846,"&lt;&gt;",$E$2:$E1846,"&lt;&gt;"),"00000"),""))</f>
        <v/>
      </c>
      <c r="B1846" s="16"/>
      <c r="C1846" s="20"/>
      <c r="D1846" s="20"/>
      <c r="E1846" s="23"/>
      <c r="H1846" s="21" t="str">
        <f t="shared" si="93"/>
        <v/>
      </c>
      <c r="I1846" s="21" t="str">
        <f t="shared" si="92"/>
        <v/>
      </c>
      <c r="J1846" s="21" t="str">
        <f t="shared" si="94"/>
        <v/>
      </c>
      <c r="K1846" s="20"/>
      <c r="L1846" s="21" t="str">
        <f>IF(OR(NOT(AND($B1846&lt;&gt;"",$C1846&lt;&gt;"",$D1846&lt;&gt;"",$E1846&lt;&gt;"")),$A1846="",$K1846&lt;&gt;"Yes"),"",IF($L1846&lt;&gt;"",$L1846,INDEX(SETUP!$I$1:$I$2000,MATCH(TRUE,SETUP!$J$1:$J$2000,0)+COUNTIFS($A$2:$A1846,"&lt;&gt;",$K$2:$K1846,"Yes",$L$2:$L1846,"")-1)))</f>
        <v/>
      </c>
      <c r="N1846" s="22"/>
    </row>
    <row r="1847" spans="1:14" x14ac:dyDescent="0.3">
      <c r="A1847" s="15" t="str">
        <f>IF(COUNTA($B1847:$E1847,$K1847)=0,"",IF(AND($B1847&lt;&gt;"",$C1847&lt;&gt;"",$D1847&lt;&gt;"",$E1847&lt;&gt;""),"TXS"&amp;TEXT(COUNTIFS($B$2:$B1847,"&lt;&gt;",$C$2:$C1847,"&lt;&gt;",$D$2:$D1847,"&lt;&gt;",$E$2:$E1847,"&lt;&gt;"),"00000"),""))</f>
        <v/>
      </c>
      <c r="B1847" s="16"/>
      <c r="C1847" s="20"/>
      <c r="D1847" s="20"/>
      <c r="E1847" s="23"/>
      <c r="H1847" s="21" t="str">
        <f t="shared" si="93"/>
        <v/>
      </c>
      <c r="I1847" s="21" t="str">
        <f t="shared" si="92"/>
        <v/>
      </c>
      <c r="J1847" s="21" t="str">
        <f t="shared" si="94"/>
        <v/>
      </c>
      <c r="K1847" s="20"/>
      <c r="L1847" s="21" t="str">
        <f>IF(OR(NOT(AND($B1847&lt;&gt;"",$C1847&lt;&gt;"",$D1847&lt;&gt;"",$E1847&lt;&gt;"")),$A1847="",$K1847&lt;&gt;"Yes"),"",IF($L1847&lt;&gt;"",$L1847,INDEX(SETUP!$I$1:$I$2000,MATCH(TRUE,SETUP!$J$1:$J$2000,0)+COUNTIFS($A$2:$A1847,"&lt;&gt;",$K$2:$K1847,"Yes",$L$2:$L1847,"")-1)))</f>
        <v/>
      </c>
      <c r="N1847" s="22"/>
    </row>
    <row r="1848" spans="1:14" x14ac:dyDescent="0.3">
      <c r="A1848" s="15" t="str">
        <f>IF(COUNTA($B1848:$E1848,$K1848)=0,"",IF(AND($B1848&lt;&gt;"",$C1848&lt;&gt;"",$D1848&lt;&gt;"",$E1848&lt;&gt;""),"TXS"&amp;TEXT(COUNTIFS($B$2:$B1848,"&lt;&gt;",$C$2:$C1848,"&lt;&gt;",$D$2:$D1848,"&lt;&gt;",$E$2:$E1848,"&lt;&gt;"),"00000"),""))</f>
        <v/>
      </c>
      <c r="B1848" s="16"/>
      <c r="C1848" s="20"/>
      <c r="D1848" s="20"/>
      <c r="E1848" s="23"/>
      <c r="H1848" s="21" t="str">
        <f t="shared" si="93"/>
        <v/>
      </c>
      <c r="I1848" s="21" t="str">
        <f t="shared" si="92"/>
        <v/>
      </c>
      <c r="J1848" s="21" t="str">
        <f t="shared" si="94"/>
        <v/>
      </c>
      <c r="K1848" s="20"/>
      <c r="L1848" s="21" t="str">
        <f>IF(OR(NOT(AND($B1848&lt;&gt;"",$C1848&lt;&gt;"",$D1848&lt;&gt;"",$E1848&lt;&gt;"")),$A1848="",$K1848&lt;&gt;"Yes"),"",IF($L1848&lt;&gt;"",$L1848,INDEX(SETUP!$I$1:$I$2000,MATCH(TRUE,SETUP!$J$1:$J$2000,0)+COUNTIFS($A$2:$A1848,"&lt;&gt;",$K$2:$K1848,"Yes",$L$2:$L1848,"")-1)))</f>
        <v/>
      </c>
      <c r="N1848" s="22"/>
    </row>
    <row r="1849" spans="1:14" x14ac:dyDescent="0.3">
      <c r="A1849" s="15" t="str">
        <f>IF(COUNTA($B1849:$E1849,$K1849)=0,"",IF(AND($B1849&lt;&gt;"",$C1849&lt;&gt;"",$D1849&lt;&gt;"",$E1849&lt;&gt;""),"TXS"&amp;TEXT(COUNTIFS($B$2:$B1849,"&lt;&gt;",$C$2:$C1849,"&lt;&gt;",$D$2:$D1849,"&lt;&gt;",$E$2:$E1849,"&lt;&gt;"),"00000"),""))</f>
        <v/>
      </c>
      <c r="B1849" s="16"/>
      <c r="C1849" s="20"/>
      <c r="D1849" s="20"/>
      <c r="E1849" s="23"/>
      <c r="H1849" s="21" t="str">
        <f t="shared" si="93"/>
        <v/>
      </c>
      <c r="I1849" s="21" t="str">
        <f t="shared" si="92"/>
        <v/>
      </c>
      <c r="J1849" s="21" t="str">
        <f t="shared" si="94"/>
        <v/>
      </c>
      <c r="K1849" s="20"/>
      <c r="L1849" s="21" t="str">
        <f>IF(OR(NOT(AND($B1849&lt;&gt;"",$C1849&lt;&gt;"",$D1849&lt;&gt;"",$E1849&lt;&gt;"")),$A1849="",$K1849&lt;&gt;"Yes"),"",IF($L1849&lt;&gt;"",$L1849,INDEX(SETUP!$I$1:$I$2000,MATCH(TRUE,SETUP!$J$1:$J$2000,0)+COUNTIFS($A$2:$A1849,"&lt;&gt;",$K$2:$K1849,"Yes",$L$2:$L1849,"")-1)))</f>
        <v/>
      </c>
      <c r="N1849" s="22"/>
    </row>
    <row r="1850" spans="1:14" x14ac:dyDescent="0.3">
      <c r="A1850" s="15" t="str">
        <f>IF(COUNTA($B1850:$E1850,$K1850)=0,"",IF(AND($B1850&lt;&gt;"",$C1850&lt;&gt;"",$D1850&lt;&gt;"",$E1850&lt;&gt;""),"TXS"&amp;TEXT(COUNTIFS($B$2:$B1850,"&lt;&gt;",$C$2:$C1850,"&lt;&gt;",$D$2:$D1850,"&lt;&gt;",$E$2:$E1850,"&lt;&gt;"),"00000"),""))</f>
        <v/>
      </c>
      <c r="B1850" s="16"/>
      <c r="C1850" s="20"/>
      <c r="D1850" s="20"/>
      <c r="E1850" s="23"/>
      <c r="H1850" s="21" t="str">
        <f t="shared" si="93"/>
        <v/>
      </c>
      <c r="I1850" s="21" t="str">
        <f t="shared" si="92"/>
        <v/>
      </c>
      <c r="J1850" s="21" t="str">
        <f t="shared" si="94"/>
        <v/>
      </c>
      <c r="K1850" s="20"/>
      <c r="L1850" s="21" t="str">
        <f>IF(OR(NOT(AND($B1850&lt;&gt;"",$C1850&lt;&gt;"",$D1850&lt;&gt;"",$E1850&lt;&gt;"")),$A1850="",$K1850&lt;&gt;"Yes"),"",IF($L1850&lt;&gt;"",$L1850,INDEX(SETUP!$I$1:$I$2000,MATCH(TRUE,SETUP!$J$1:$J$2000,0)+COUNTIFS($A$2:$A1850,"&lt;&gt;",$K$2:$K1850,"Yes",$L$2:$L1850,"")-1)))</f>
        <v/>
      </c>
      <c r="N1850" s="22"/>
    </row>
    <row r="1851" spans="1:14" x14ac:dyDescent="0.3">
      <c r="A1851" s="15" t="str">
        <f>IF(COUNTA($B1851:$E1851,$K1851)=0,"",IF(AND($B1851&lt;&gt;"",$C1851&lt;&gt;"",$D1851&lt;&gt;"",$E1851&lt;&gt;""),"TXS"&amp;TEXT(COUNTIFS($B$2:$B1851,"&lt;&gt;",$C$2:$C1851,"&lt;&gt;",$D$2:$D1851,"&lt;&gt;",$E$2:$E1851,"&lt;&gt;"),"00000"),""))</f>
        <v/>
      </c>
      <c r="B1851" s="16"/>
      <c r="C1851" s="20"/>
      <c r="D1851" s="20"/>
      <c r="E1851" s="23"/>
      <c r="H1851" s="21" t="str">
        <f t="shared" si="93"/>
        <v/>
      </c>
      <c r="I1851" s="21" t="str">
        <f t="shared" si="92"/>
        <v/>
      </c>
      <c r="J1851" s="21" t="str">
        <f t="shared" si="94"/>
        <v/>
      </c>
      <c r="K1851" s="20"/>
      <c r="L1851" s="21" t="str">
        <f>IF(OR(NOT(AND($B1851&lt;&gt;"",$C1851&lt;&gt;"",$D1851&lt;&gt;"",$E1851&lt;&gt;"")),$A1851="",$K1851&lt;&gt;"Yes"),"",IF($L1851&lt;&gt;"",$L1851,INDEX(SETUP!$I$1:$I$2000,MATCH(TRUE,SETUP!$J$1:$J$2000,0)+COUNTIFS($A$2:$A1851,"&lt;&gt;",$K$2:$K1851,"Yes",$L$2:$L1851,"")-1)))</f>
        <v/>
      </c>
      <c r="N1851" s="22"/>
    </row>
    <row r="1852" spans="1:14" x14ac:dyDescent="0.3">
      <c r="A1852" s="15" t="str">
        <f>IF(COUNTA($B1852:$E1852,$K1852)=0,"",IF(AND($B1852&lt;&gt;"",$C1852&lt;&gt;"",$D1852&lt;&gt;"",$E1852&lt;&gt;""),"TXS"&amp;TEXT(COUNTIFS($B$2:$B1852,"&lt;&gt;",$C$2:$C1852,"&lt;&gt;",$D$2:$D1852,"&lt;&gt;",$E$2:$E1852,"&lt;&gt;"),"00000"),""))</f>
        <v/>
      </c>
      <c r="B1852" s="16"/>
      <c r="C1852" s="20"/>
      <c r="D1852" s="20"/>
      <c r="E1852" s="23"/>
      <c r="H1852" s="21" t="str">
        <f t="shared" si="93"/>
        <v/>
      </c>
      <c r="I1852" s="21" t="str">
        <f t="shared" si="92"/>
        <v/>
      </c>
      <c r="J1852" s="21" t="str">
        <f t="shared" si="94"/>
        <v/>
      </c>
      <c r="K1852" s="20"/>
      <c r="L1852" s="21" t="str">
        <f>IF(OR(NOT(AND($B1852&lt;&gt;"",$C1852&lt;&gt;"",$D1852&lt;&gt;"",$E1852&lt;&gt;"")),$A1852="",$K1852&lt;&gt;"Yes"),"",IF($L1852&lt;&gt;"",$L1852,INDEX(SETUP!$I$1:$I$2000,MATCH(TRUE,SETUP!$J$1:$J$2000,0)+COUNTIFS($A$2:$A1852,"&lt;&gt;",$K$2:$K1852,"Yes",$L$2:$L1852,"")-1)))</f>
        <v/>
      </c>
      <c r="N1852" s="22"/>
    </row>
    <row r="1853" spans="1:14" x14ac:dyDescent="0.3">
      <c r="A1853" s="15" t="str">
        <f>IF(COUNTA($B1853:$E1853,$K1853)=0,"",IF(AND($B1853&lt;&gt;"",$C1853&lt;&gt;"",$D1853&lt;&gt;"",$E1853&lt;&gt;""),"TXS"&amp;TEXT(COUNTIFS($B$2:$B1853,"&lt;&gt;",$C$2:$C1853,"&lt;&gt;",$D$2:$D1853,"&lt;&gt;",$E$2:$E1853,"&lt;&gt;"),"00000"),""))</f>
        <v/>
      </c>
      <c r="B1853" s="16"/>
      <c r="C1853" s="20"/>
      <c r="D1853" s="20"/>
      <c r="E1853" s="23"/>
      <c r="H1853" s="21" t="str">
        <f t="shared" si="93"/>
        <v/>
      </c>
      <c r="I1853" s="21" t="str">
        <f t="shared" si="92"/>
        <v/>
      </c>
      <c r="J1853" s="21" t="str">
        <f t="shared" si="94"/>
        <v/>
      </c>
      <c r="K1853" s="20"/>
      <c r="L1853" s="21" t="str">
        <f>IF(OR(NOT(AND($B1853&lt;&gt;"",$C1853&lt;&gt;"",$D1853&lt;&gt;"",$E1853&lt;&gt;"")),$A1853="",$K1853&lt;&gt;"Yes"),"",IF($L1853&lt;&gt;"",$L1853,INDEX(SETUP!$I$1:$I$2000,MATCH(TRUE,SETUP!$J$1:$J$2000,0)+COUNTIFS($A$2:$A1853,"&lt;&gt;",$K$2:$K1853,"Yes",$L$2:$L1853,"")-1)))</f>
        <v/>
      </c>
      <c r="N1853" s="22"/>
    </row>
    <row r="1854" spans="1:14" x14ac:dyDescent="0.3">
      <c r="A1854" s="15" t="str">
        <f>IF(COUNTA($B1854:$E1854,$K1854)=0,"",IF(AND($B1854&lt;&gt;"",$C1854&lt;&gt;"",$D1854&lt;&gt;"",$E1854&lt;&gt;""),"TXS"&amp;TEXT(COUNTIFS($B$2:$B1854,"&lt;&gt;",$C$2:$C1854,"&lt;&gt;",$D$2:$D1854,"&lt;&gt;",$E$2:$E1854,"&lt;&gt;"),"00000"),""))</f>
        <v/>
      </c>
      <c r="B1854" s="16"/>
      <c r="C1854" s="20"/>
      <c r="D1854" s="20"/>
      <c r="E1854" s="23"/>
      <c r="H1854" s="21" t="str">
        <f t="shared" si="93"/>
        <v/>
      </c>
      <c r="I1854" s="21" t="str">
        <f t="shared" si="92"/>
        <v/>
      </c>
      <c r="J1854" s="21" t="str">
        <f t="shared" si="94"/>
        <v/>
      </c>
      <c r="K1854" s="20"/>
      <c r="L1854" s="21" t="str">
        <f>IF(OR(NOT(AND($B1854&lt;&gt;"",$C1854&lt;&gt;"",$D1854&lt;&gt;"",$E1854&lt;&gt;"")),$A1854="",$K1854&lt;&gt;"Yes"),"",IF($L1854&lt;&gt;"",$L1854,INDEX(SETUP!$I$1:$I$2000,MATCH(TRUE,SETUP!$J$1:$J$2000,0)+COUNTIFS($A$2:$A1854,"&lt;&gt;",$K$2:$K1854,"Yes",$L$2:$L1854,"")-1)))</f>
        <v/>
      </c>
      <c r="N1854" s="22"/>
    </row>
    <row r="1855" spans="1:14" x14ac:dyDescent="0.3">
      <c r="A1855" s="15" t="str">
        <f>IF(COUNTA($B1855:$E1855,$K1855)=0,"",IF(AND($B1855&lt;&gt;"",$C1855&lt;&gt;"",$D1855&lt;&gt;"",$E1855&lt;&gt;""),"TXS"&amp;TEXT(COUNTIFS($B$2:$B1855,"&lt;&gt;",$C$2:$C1855,"&lt;&gt;",$D$2:$D1855,"&lt;&gt;",$E$2:$E1855,"&lt;&gt;"),"00000"),""))</f>
        <v/>
      </c>
      <c r="B1855" s="16"/>
      <c r="C1855" s="20"/>
      <c r="D1855" s="20"/>
      <c r="E1855" s="23"/>
      <c r="H1855" s="21" t="str">
        <f t="shared" si="93"/>
        <v/>
      </c>
      <c r="I1855" s="21" t="str">
        <f t="shared" si="92"/>
        <v/>
      </c>
      <c r="J1855" s="21" t="str">
        <f t="shared" si="94"/>
        <v/>
      </c>
      <c r="K1855" s="20"/>
      <c r="L1855" s="21" t="str">
        <f>IF(OR(NOT(AND($B1855&lt;&gt;"",$C1855&lt;&gt;"",$D1855&lt;&gt;"",$E1855&lt;&gt;"")),$A1855="",$K1855&lt;&gt;"Yes"),"",IF($L1855&lt;&gt;"",$L1855,INDEX(SETUP!$I$1:$I$2000,MATCH(TRUE,SETUP!$J$1:$J$2000,0)+COUNTIFS($A$2:$A1855,"&lt;&gt;",$K$2:$K1855,"Yes",$L$2:$L1855,"")-1)))</f>
        <v/>
      </c>
      <c r="N1855" s="22"/>
    </row>
    <row r="1856" spans="1:14" x14ac:dyDescent="0.3">
      <c r="A1856" s="15" t="str">
        <f>IF(COUNTA($B1856:$E1856,$K1856)=0,"",IF(AND($B1856&lt;&gt;"",$C1856&lt;&gt;"",$D1856&lt;&gt;"",$E1856&lt;&gt;""),"TXS"&amp;TEXT(COUNTIFS($B$2:$B1856,"&lt;&gt;",$C$2:$C1856,"&lt;&gt;",$D$2:$D1856,"&lt;&gt;",$E$2:$E1856,"&lt;&gt;"),"00000"),""))</f>
        <v/>
      </c>
      <c r="B1856" s="16"/>
      <c r="C1856" s="20"/>
      <c r="D1856" s="20"/>
      <c r="E1856" s="23"/>
      <c r="H1856" s="21" t="str">
        <f t="shared" si="93"/>
        <v/>
      </c>
      <c r="I1856" s="21" t="str">
        <f t="shared" si="92"/>
        <v/>
      </c>
      <c r="J1856" s="21" t="str">
        <f t="shared" si="94"/>
        <v/>
      </c>
      <c r="K1856" s="20"/>
      <c r="L1856" s="21" t="str">
        <f>IF(OR(NOT(AND($B1856&lt;&gt;"",$C1856&lt;&gt;"",$D1856&lt;&gt;"",$E1856&lt;&gt;"")),$A1856="",$K1856&lt;&gt;"Yes"),"",IF($L1856&lt;&gt;"",$L1856,INDEX(SETUP!$I$1:$I$2000,MATCH(TRUE,SETUP!$J$1:$J$2000,0)+COUNTIFS($A$2:$A1856,"&lt;&gt;",$K$2:$K1856,"Yes",$L$2:$L1856,"")-1)))</f>
        <v/>
      </c>
      <c r="N1856" s="22"/>
    </row>
    <row r="1857" spans="1:14" x14ac:dyDescent="0.3">
      <c r="A1857" s="15" t="str">
        <f>IF(COUNTA($B1857:$E1857,$K1857)=0,"",IF(AND($B1857&lt;&gt;"",$C1857&lt;&gt;"",$D1857&lt;&gt;"",$E1857&lt;&gt;""),"TXS"&amp;TEXT(COUNTIFS($B$2:$B1857,"&lt;&gt;",$C$2:$C1857,"&lt;&gt;",$D$2:$D1857,"&lt;&gt;",$E$2:$E1857,"&lt;&gt;"),"00000"),""))</f>
        <v/>
      </c>
      <c r="B1857" s="16"/>
      <c r="C1857" s="20"/>
      <c r="D1857" s="20"/>
      <c r="E1857" s="23"/>
      <c r="H1857" s="21" t="str">
        <f t="shared" si="93"/>
        <v/>
      </c>
      <c r="I1857" s="21" t="str">
        <f t="shared" si="92"/>
        <v/>
      </c>
      <c r="J1857" s="21" t="str">
        <f t="shared" si="94"/>
        <v/>
      </c>
      <c r="K1857" s="20"/>
      <c r="L1857" s="21" t="str">
        <f>IF(OR(NOT(AND($B1857&lt;&gt;"",$C1857&lt;&gt;"",$D1857&lt;&gt;"",$E1857&lt;&gt;"")),$A1857="",$K1857&lt;&gt;"Yes"),"",IF($L1857&lt;&gt;"",$L1857,INDEX(SETUP!$I$1:$I$2000,MATCH(TRUE,SETUP!$J$1:$J$2000,0)+COUNTIFS($A$2:$A1857,"&lt;&gt;",$K$2:$K1857,"Yes",$L$2:$L1857,"")-1)))</f>
        <v/>
      </c>
      <c r="N1857" s="22"/>
    </row>
    <row r="1858" spans="1:14" x14ac:dyDescent="0.3">
      <c r="A1858" s="15" t="str">
        <f>IF(COUNTA($B1858:$E1858,$K1858)=0,"",IF(AND($B1858&lt;&gt;"",$C1858&lt;&gt;"",$D1858&lt;&gt;"",$E1858&lt;&gt;""),"TXS"&amp;TEXT(COUNTIFS($B$2:$B1858,"&lt;&gt;",$C$2:$C1858,"&lt;&gt;",$D$2:$D1858,"&lt;&gt;",$E$2:$E1858,"&lt;&gt;"),"00000"),""))</f>
        <v/>
      </c>
      <c r="B1858" s="16"/>
      <c r="C1858" s="20"/>
      <c r="D1858" s="20"/>
      <c r="E1858" s="23"/>
      <c r="H1858" s="21" t="str">
        <f t="shared" si="93"/>
        <v/>
      </c>
      <c r="I1858" s="21" t="str">
        <f t="shared" si="92"/>
        <v/>
      </c>
      <c r="J1858" s="21" t="str">
        <f t="shared" si="94"/>
        <v/>
      </c>
      <c r="K1858" s="20"/>
      <c r="L1858" s="21" t="str">
        <f>IF(OR(NOT(AND($B1858&lt;&gt;"",$C1858&lt;&gt;"",$D1858&lt;&gt;"",$E1858&lt;&gt;"")),$A1858="",$K1858&lt;&gt;"Yes"),"",IF($L1858&lt;&gt;"",$L1858,INDEX(SETUP!$I$1:$I$2000,MATCH(TRUE,SETUP!$J$1:$J$2000,0)+COUNTIFS($A$2:$A1858,"&lt;&gt;",$K$2:$K1858,"Yes",$L$2:$L1858,"")-1)))</f>
        <v/>
      </c>
      <c r="N1858" s="22"/>
    </row>
    <row r="1859" spans="1:14" x14ac:dyDescent="0.3">
      <c r="A1859" s="15" t="str">
        <f>IF(COUNTA($B1859:$E1859,$K1859)=0,"",IF(AND($B1859&lt;&gt;"",$C1859&lt;&gt;"",$D1859&lt;&gt;"",$E1859&lt;&gt;""),"TXS"&amp;TEXT(COUNTIFS($B$2:$B1859,"&lt;&gt;",$C$2:$C1859,"&lt;&gt;",$D$2:$D1859,"&lt;&gt;",$E$2:$E1859,"&lt;&gt;"),"00000"),""))</f>
        <v/>
      </c>
      <c r="B1859" s="16"/>
      <c r="C1859" s="20"/>
      <c r="D1859" s="20"/>
      <c r="E1859" s="23"/>
      <c r="H1859" s="21" t="str">
        <f t="shared" si="93"/>
        <v/>
      </c>
      <c r="I1859" s="21" t="str">
        <f t="shared" si="92"/>
        <v/>
      </c>
      <c r="J1859" s="21" t="str">
        <f t="shared" si="94"/>
        <v/>
      </c>
      <c r="K1859" s="20"/>
      <c r="L1859" s="21" t="str">
        <f>IF(OR(NOT(AND($B1859&lt;&gt;"",$C1859&lt;&gt;"",$D1859&lt;&gt;"",$E1859&lt;&gt;"")),$A1859="",$K1859&lt;&gt;"Yes"),"",IF($L1859&lt;&gt;"",$L1859,INDEX(SETUP!$I$1:$I$2000,MATCH(TRUE,SETUP!$J$1:$J$2000,0)+COUNTIFS($A$2:$A1859,"&lt;&gt;",$K$2:$K1859,"Yes",$L$2:$L1859,"")-1)))</f>
        <v/>
      </c>
      <c r="N1859" s="22"/>
    </row>
    <row r="1860" spans="1:14" x14ac:dyDescent="0.3">
      <c r="A1860" s="15" t="str">
        <f>IF(COUNTA($B1860:$E1860,$K1860)=0,"",IF(AND($B1860&lt;&gt;"",$C1860&lt;&gt;"",$D1860&lt;&gt;"",$E1860&lt;&gt;""),"TXS"&amp;TEXT(COUNTIFS($B$2:$B1860,"&lt;&gt;",$C$2:$C1860,"&lt;&gt;",$D$2:$D1860,"&lt;&gt;",$E$2:$E1860,"&lt;&gt;"),"00000"),""))</f>
        <v/>
      </c>
      <c r="B1860" s="16"/>
      <c r="C1860" s="20"/>
      <c r="D1860" s="20"/>
      <c r="E1860" s="23"/>
      <c r="H1860" s="21" t="str">
        <f t="shared" si="93"/>
        <v/>
      </c>
      <c r="I1860" s="21" t="str">
        <f t="shared" si="92"/>
        <v/>
      </c>
      <c r="J1860" s="21" t="str">
        <f t="shared" si="94"/>
        <v/>
      </c>
      <c r="K1860" s="20"/>
      <c r="L1860" s="21" t="str">
        <f>IF(OR(NOT(AND($B1860&lt;&gt;"",$C1860&lt;&gt;"",$D1860&lt;&gt;"",$E1860&lt;&gt;"")),$A1860="",$K1860&lt;&gt;"Yes"),"",IF($L1860&lt;&gt;"",$L1860,INDEX(SETUP!$I$1:$I$2000,MATCH(TRUE,SETUP!$J$1:$J$2000,0)+COUNTIFS($A$2:$A1860,"&lt;&gt;",$K$2:$K1860,"Yes",$L$2:$L1860,"")-1)))</f>
        <v/>
      </c>
      <c r="N1860" s="22"/>
    </row>
    <row r="1861" spans="1:14" x14ac:dyDescent="0.3">
      <c r="A1861" s="15" t="str">
        <f>IF(COUNTA($B1861:$E1861,$K1861)=0,"",IF(AND($B1861&lt;&gt;"",$C1861&lt;&gt;"",$D1861&lt;&gt;"",$E1861&lt;&gt;""),"TXS"&amp;TEXT(COUNTIFS($B$2:$B1861,"&lt;&gt;",$C$2:$C1861,"&lt;&gt;",$D$2:$D1861,"&lt;&gt;",$E$2:$E1861,"&lt;&gt;"),"00000"),""))</f>
        <v/>
      </c>
      <c r="B1861" s="16"/>
      <c r="C1861" s="20"/>
      <c r="D1861" s="20"/>
      <c r="E1861" s="23"/>
      <c r="H1861" s="21" t="str">
        <f t="shared" si="93"/>
        <v/>
      </c>
      <c r="I1861" s="21" t="str">
        <f t="shared" si="92"/>
        <v/>
      </c>
      <c r="J1861" s="21" t="str">
        <f t="shared" si="94"/>
        <v/>
      </c>
      <c r="K1861" s="20"/>
      <c r="L1861" s="21" t="str">
        <f>IF(OR(NOT(AND($B1861&lt;&gt;"",$C1861&lt;&gt;"",$D1861&lt;&gt;"",$E1861&lt;&gt;"")),$A1861="",$K1861&lt;&gt;"Yes"),"",IF($L1861&lt;&gt;"",$L1861,INDEX(SETUP!$I$1:$I$2000,MATCH(TRUE,SETUP!$J$1:$J$2000,0)+COUNTIFS($A$2:$A1861,"&lt;&gt;",$K$2:$K1861,"Yes",$L$2:$L1861,"")-1)))</f>
        <v/>
      </c>
      <c r="N1861" s="22"/>
    </row>
    <row r="1862" spans="1:14" x14ac:dyDescent="0.3">
      <c r="A1862" s="15" t="str">
        <f>IF(COUNTA($B1862:$E1862,$K1862)=0,"",IF(AND($B1862&lt;&gt;"",$C1862&lt;&gt;"",$D1862&lt;&gt;"",$E1862&lt;&gt;""),"TXS"&amp;TEXT(COUNTIFS($B$2:$B1862,"&lt;&gt;",$C$2:$C1862,"&lt;&gt;",$D$2:$D1862,"&lt;&gt;",$E$2:$E1862,"&lt;&gt;"),"00000"),""))</f>
        <v/>
      </c>
      <c r="B1862" s="16"/>
      <c r="C1862" s="20"/>
      <c r="D1862" s="20"/>
      <c r="E1862" s="23"/>
      <c r="H1862" s="21" t="str">
        <f t="shared" si="93"/>
        <v/>
      </c>
      <c r="I1862" s="21" t="str">
        <f t="shared" si="92"/>
        <v/>
      </c>
      <c r="J1862" s="21" t="str">
        <f t="shared" si="94"/>
        <v/>
      </c>
      <c r="K1862" s="20"/>
      <c r="L1862" s="21" t="str">
        <f>IF(OR(NOT(AND($B1862&lt;&gt;"",$C1862&lt;&gt;"",$D1862&lt;&gt;"",$E1862&lt;&gt;"")),$A1862="",$K1862&lt;&gt;"Yes"),"",IF($L1862&lt;&gt;"",$L1862,INDEX(SETUP!$I$1:$I$2000,MATCH(TRUE,SETUP!$J$1:$J$2000,0)+COUNTIFS($A$2:$A1862,"&lt;&gt;",$K$2:$K1862,"Yes",$L$2:$L1862,"")-1)))</f>
        <v/>
      </c>
      <c r="N1862" s="22"/>
    </row>
    <row r="1863" spans="1:14" x14ac:dyDescent="0.3">
      <c r="A1863" s="15" t="str">
        <f>IF(COUNTA($B1863:$E1863,$K1863)=0,"",IF(AND($B1863&lt;&gt;"",$C1863&lt;&gt;"",$D1863&lt;&gt;"",$E1863&lt;&gt;""),"TXS"&amp;TEXT(COUNTIFS($B$2:$B1863,"&lt;&gt;",$C$2:$C1863,"&lt;&gt;",$D$2:$D1863,"&lt;&gt;",$E$2:$E1863,"&lt;&gt;"),"00000"),""))</f>
        <v/>
      </c>
      <c r="B1863" s="16"/>
      <c r="C1863" s="20"/>
      <c r="D1863" s="20"/>
      <c r="E1863" s="23"/>
      <c r="H1863" s="21" t="str">
        <f t="shared" si="93"/>
        <v/>
      </c>
      <c r="I1863" s="21" t="str">
        <f t="shared" si="92"/>
        <v/>
      </c>
      <c r="J1863" s="21" t="str">
        <f t="shared" si="94"/>
        <v/>
      </c>
      <c r="K1863" s="20"/>
      <c r="L1863" s="21" t="str">
        <f>IF(OR(NOT(AND($B1863&lt;&gt;"",$C1863&lt;&gt;"",$D1863&lt;&gt;"",$E1863&lt;&gt;"")),$A1863="",$K1863&lt;&gt;"Yes"),"",IF($L1863&lt;&gt;"",$L1863,INDEX(SETUP!$I$1:$I$2000,MATCH(TRUE,SETUP!$J$1:$J$2000,0)+COUNTIFS($A$2:$A1863,"&lt;&gt;",$K$2:$K1863,"Yes",$L$2:$L1863,"")-1)))</f>
        <v/>
      </c>
      <c r="N1863" s="22"/>
    </row>
    <row r="1864" spans="1:14" x14ac:dyDescent="0.3">
      <c r="A1864" s="15" t="str">
        <f>IF(COUNTA($B1864:$E1864,$K1864)=0,"",IF(AND($B1864&lt;&gt;"",$C1864&lt;&gt;"",$D1864&lt;&gt;"",$E1864&lt;&gt;""),"TXS"&amp;TEXT(COUNTIFS($B$2:$B1864,"&lt;&gt;",$C$2:$C1864,"&lt;&gt;",$D$2:$D1864,"&lt;&gt;",$E$2:$E1864,"&lt;&gt;"),"00000"),""))</f>
        <v/>
      </c>
      <c r="B1864" s="16"/>
      <c r="C1864" s="20"/>
      <c r="D1864" s="20"/>
      <c r="E1864" s="23"/>
      <c r="H1864" s="21" t="str">
        <f t="shared" si="93"/>
        <v/>
      </c>
      <c r="I1864" s="21" t="str">
        <f t="shared" si="92"/>
        <v/>
      </c>
      <c r="J1864" s="21" t="str">
        <f t="shared" si="94"/>
        <v/>
      </c>
      <c r="K1864" s="20"/>
      <c r="L1864" s="21" t="str">
        <f>IF(OR(NOT(AND($B1864&lt;&gt;"",$C1864&lt;&gt;"",$D1864&lt;&gt;"",$E1864&lt;&gt;"")),$A1864="",$K1864&lt;&gt;"Yes"),"",IF($L1864&lt;&gt;"",$L1864,INDEX(SETUP!$I$1:$I$2000,MATCH(TRUE,SETUP!$J$1:$J$2000,0)+COUNTIFS($A$2:$A1864,"&lt;&gt;",$K$2:$K1864,"Yes",$L$2:$L1864,"")-1)))</f>
        <v/>
      </c>
      <c r="N1864" s="22"/>
    </row>
    <row r="1865" spans="1:14" x14ac:dyDescent="0.3">
      <c r="A1865" s="15" t="str">
        <f>IF(COUNTA($B1865:$E1865,$K1865)=0,"",IF(AND($B1865&lt;&gt;"",$C1865&lt;&gt;"",$D1865&lt;&gt;"",$E1865&lt;&gt;""),"TXS"&amp;TEXT(COUNTIFS($B$2:$B1865,"&lt;&gt;",$C$2:$C1865,"&lt;&gt;",$D$2:$D1865,"&lt;&gt;",$E$2:$E1865,"&lt;&gt;"),"00000"),""))</f>
        <v/>
      </c>
      <c r="B1865" s="16"/>
      <c r="C1865" s="20"/>
      <c r="D1865" s="20"/>
      <c r="E1865" s="23"/>
      <c r="H1865" s="21" t="str">
        <f t="shared" si="93"/>
        <v/>
      </c>
      <c r="I1865" s="21" t="str">
        <f t="shared" si="92"/>
        <v/>
      </c>
      <c r="J1865" s="21" t="str">
        <f t="shared" si="94"/>
        <v/>
      </c>
      <c r="K1865" s="20"/>
      <c r="L1865" s="21" t="str">
        <f>IF(OR(NOT(AND($B1865&lt;&gt;"",$C1865&lt;&gt;"",$D1865&lt;&gt;"",$E1865&lt;&gt;"")),$A1865="",$K1865&lt;&gt;"Yes"),"",IF($L1865&lt;&gt;"",$L1865,INDEX(SETUP!$I$1:$I$2000,MATCH(TRUE,SETUP!$J$1:$J$2000,0)+COUNTIFS($A$2:$A1865,"&lt;&gt;",$K$2:$K1865,"Yes",$L$2:$L1865,"")-1)))</f>
        <v/>
      </c>
      <c r="N1865" s="22"/>
    </row>
    <row r="1866" spans="1:14" x14ac:dyDescent="0.3">
      <c r="A1866" s="15" t="str">
        <f>IF(COUNTA($B1866:$E1866,$K1866)=0,"",IF(AND($B1866&lt;&gt;"",$C1866&lt;&gt;"",$D1866&lt;&gt;"",$E1866&lt;&gt;""),"TXS"&amp;TEXT(COUNTIFS($B$2:$B1866,"&lt;&gt;",$C$2:$C1866,"&lt;&gt;",$D$2:$D1866,"&lt;&gt;",$E$2:$E1866,"&lt;&gt;"),"00000"),""))</f>
        <v/>
      </c>
      <c r="B1866" s="16"/>
      <c r="C1866" s="20"/>
      <c r="D1866" s="20"/>
      <c r="E1866" s="23"/>
      <c r="H1866" s="21" t="str">
        <f t="shared" si="93"/>
        <v/>
      </c>
      <c r="I1866" s="21" t="str">
        <f t="shared" si="92"/>
        <v/>
      </c>
      <c r="J1866" s="21" t="str">
        <f t="shared" si="94"/>
        <v/>
      </c>
      <c r="K1866" s="20"/>
      <c r="L1866" s="21" t="str">
        <f>IF(OR(NOT(AND($B1866&lt;&gt;"",$C1866&lt;&gt;"",$D1866&lt;&gt;"",$E1866&lt;&gt;"")),$A1866="",$K1866&lt;&gt;"Yes"),"",IF($L1866&lt;&gt;"",$L1866,INDEX(SETUP!$I$1:$I$2000,MATCH(TRUE,SETUP!$J$1:$J$2000,0)+COUNTIFS($A$2:$A1866,"&lt;&gt;",$K$2:$K1866,"Yes",$L$2:$L1866,"")-1)))</f>
        <v/>
      </c>
      <c r="N1866" s="22"/>
    </row>
    <row r="1867" spans="1:14" x14ac:dyDescent="0.3">
      <c r="A1867" s="15" t="str">
        <f>IF(COUNTA($B1867:$E1867,$K1867)=0,"",IF(AND($B1867&lt;&gt;"",$C1867&lt;&gt;"",$D1867&lt;&gt;"",$E1867&lt;&gt;""),"TXS"&amp;TEXT(COUNTIFS($B$2:$B1867,"&lt;&gt;",$C$2:$C1867,"&lt;&gt;",$D$2:$D1867,"&lt;&gt;",$E$2:$E1867,"&lt;&gt;"),"00000"),""))</f>
        <v/>
      </c>
      <c r="B1867" s="16"/>
      <c r="C1867" s="20"/>
      <c r="D1867" s="20"/>
      <c r="E1867" s="23"/>
      <c r="H1867" s="21" t="str">
        <f t="shared" si="93"/>
        <v/>
      </c>
      <c r="I1867" s="21" t="str">
        <f t="shared" si="92"/>
        <v/>
      </c>
      <c r="J1867" s="21" t="str">
        <f t="shared" si="94"/>
        <v/>
      </c>
      <c r="K1867" s="20"/>
      <c r="L1867" s="21" t="str">
        <f>IF(OR(NOT(AND($B1867&lt;&gt;"",$C1867&lt;&gt;"",$D1867&lt;&gt;"",$E1867&lt;&gt;"")),$A1867="",$K1867&lt;&gt;"Yes"),"",IF($L1867&lt;&gt;"",$L1867,INDEX(SETUP!$I$1:$I$2000,MATCH(TRUE,SETUP!$J$1:$J$2000,0)+COUNTIFS($A$2:$A1867,"&lt;&gt;",$K$2:$K1867,"Yes",$L$2:$L1867,"")-1)))</f>
        <v/>
      </c>
      <c r="N1867" s="22"/>
    </row>
    <row r="1868" spans="1:14" x14ac:dyDescent="0.3">
      <c r="A1868" s="15" t="str">
        <f>IF(COUNTA($B1868:$E1868,$K1868)=0,"",IF(AND($B1868&lt;&gt;"",$C1868&lt;&gt;"",$D1868&lt;&gt;"",$E1868&lt;&gt;""),"TXS"&amp;TEXT(COUNTIFS($B$2:$B1868,"&lt;&gt;",$C$2:$C1868,"&lt;&gt;",$D$2:$D1868,"&lt;&gt;",$E$2:$E1868,"&lt;&gt;"),"00000"),""))</f>
        <v/>
      </c>
      <c r="B1868" s="16"/>
      <c r="C1868" s="20"/>
      <c r="D1868" s="20"/>
      <c r="E1868" s="23"/>
      <c r="H1868" s="21" t="str">
        <f t="shared" si="93"/>
        <v/>
      </c>
      <c r="I1868" s="21" t="str">
        <f t="shared" si="92"/>
        <v/>
      </c>
      <c r="J1868" s="21" t="str">
        <f t="shared" si="94"/>
        <v/>
      </c>
      <c r="K1868" s="20"/>
      <c r="L1868" s="21" t="str">
        <f>IF(OR(NOT(AND($B1868&lt;&gt;"",$C1868&lt;&gt;"",$D1868&lt;&gt;"",$E1868&lt;&gt;"")),$A1868="",$K1868&lt;&gt;"Yes"),"",IF($L1868&lt;&gt;"",$L1868,INDEX(SETUP!$I$1:$I$2000,MATCH(TRUE,SETUP!$J$1:$J$2000,0)+COUNTIFS($A$2:$A1868,"&lt;&gt;",$K$2:$K1868,"Yes",$L$2:$L1868,"")-1)))</f>
        <v/>
      </c>
      <c r="N1868" s="22"/>
    </row>
    <row r="1869" spans="1:14" x14ac:dyDescent="0.3">
      <c r="A1869" s="15" t="str">
        <f>IF(COUNTA($B1869:$E1869,$K1869)=0,"",IF(AND($B1869&lt;&gt;"",$C1869&lt;&gt;"",$D1869&lt;&gt;"",$E1869&lt;&gt;""),"TXS"&amp;TEXT(COUNTIFS($B$2:$B1869,"&lt;&gt;",$C$2:$C1869,"&lt;&gt;",$D$2:$D1869,"&lt;&gt;",$E$2:$E1869,"&lt;&gt;"),"00000"),""))</f>
        <v/>
      </c>
      <c r="B1869" s="16"/>
      <c r="C1869" s="20"/>
      <c r="D1869" s="20"/>
      <c r="E1869" s="23"/>
      <c r="H1869" s="21" t="str">
        <f t="shared" si="93"/>
        <v/>
      </c>
      <c r="I1869" s="21" t="str">
        <f t="shared" si="92"/>
        <v/>
      </c>
      <c r="J1869" s="21" t="str">
        <f t="shared" si="94"/>
        <v/>
      </c>
      <c r="K1869" s="20"/>
      <c r="L1869" s="21" t="str">
        <f>IF(OR(NOT(AND($B1869&lt;&gt;"",$C1869&lt;&gt;"",$D1869&lt;&gt;"",$E1869&lt;&gt;"")),$A1869="",$K1869&lt;&gt;"Yes"),"",IF($L1869&lt;&gt;"",$L1869,INDEX(SETUP!$I$1:$I$2000,MATCH(TRUE,SETUP!$J$1:$J$2000,0)+COUNTIFS($A$2:$A1869,"&lt;&gt;",$K$2:$K1869,"Yes",$L$2:$L1869,"")-1)))</f>
        <v/>
      </c>
      <c r="N1869" s="22"/>
    </row>
    <row r="1870" spans="1:14" x14ac:dyDescent="0.3">
      <c r="A1870" s="15" t="str">
        <f>IF(COUNTA($B1870:$E1870,$K1870)=0,"",IF(AND($B1870&lt;&gt;"",$C1870&lt;&gt;"",$D1870&lt;&gt;"",$E1870&lt;&gt;""),"TXS"&amp;TEXT(COUNTIFS($B$2:$B1870,"&lt;&gt;",$C$2:$C1870,"&lt;&gt;",$D$2:$D1870,"&lt;&gt;",$E$2:$E1870,"&lt;&gt;"),"00000"),""))</f>
        <v/>
      </c>
      <c r="B1870" s="16"/>
      <c r="C1870" s="20"/>
      <c r="D1870" s="20"/>
      <c r="E1870" s="23"/>
      <c r="H1870" s="21" t="str">
        <f t="shared" si="93"/>
        <v/>
      </c>
      <c r="I1870" s="21" t="str">
        <f t="shared" si="92"/>
        <v/>
      </c>
      <c r="J1870" s="21" t="str">
        <f t="shared" si="94"/>
        <v/>
      </c>
      <c r="K1870" s="20"/>
      <c r="L1870" s="21" t="str">
        <f>IF(OR(NOT(AND($B1870&lt;&gt;"",$C1870&lt;&gt;"",$D1870&lt;&gt;"",$E1870&lt;&gt;"")),$A1870="",$K1870&lt;&gt;"Yes"),"",IF($L1870&lt;&gt;"",$L1870,INDEX(SETUP!$I$1:$I$2000,MATCH(TRUE,SETUP!$J$1:$J$2000,0)+COUNTIFS($A$2:$A1870,"&lt;&gt;",$K$2:$K1870,"Yes",$L$2:$L1870,"")-1)))</f>
        <v/>
      </c>
      <c r="N1870" s="22"/>
    </row>
    <row r="1871" spans="1:14" x14ac:dyDescent="0.3">
      <c r="A1871" s="15" t="str">
        <f>IF(COUNTA($B1871:$E1871,$K1871)=0,"",IF(AND($B1871&lt;&gt;"",$C1871&lt;&gt;"",$D1871&lt;&gt;"",$E1871&lt;&gt;""),"TXS"&amp;TEXT(COUNTIFS($B$2:$B1871,"&lt;&gt;",$C$2:$C1871,"&lt;&gt;",$D$2:$D1871,"&lt;&gt;",$E$2:$E1871,"&lt;&gt;"),"00000"),""))</f>
        <v/>
      </c>
      <c r="B1871" s="16"/>
      <c r="C1871" s="20"/>
      <c r="D1871" s="20"/>
      <c r="E1871" s="23"/>
      <c r="H1871" s="21" t="str">
        <f t="shared" si="93"/>
        <v/>
      </c>
      <c r="I1871" s="21" t="str">
        <f t="shared" si="92"/>
        <v/>
      </c>
      <c r="J1871" s="21" t="str">
        <f t="shared" si="94"/>
        <v/>
      </c>
      <c r="K1871" s="20"/>
      <c r="L1871" s="21" t="str">
        <f>IF(OR(NOT(AND($B1871&lt;&gt;"",$C1871&lt;&gt;"",$D1871&lt;&gt;"",$E1871&lt;&gt;"")),$A1871="",$K1871&lt;&gt;"Yes"),"",IF($L1871&lt;&gt;"",$L1871,INDEX(SETUP!$I$1:$I$2000,MATCH(TRUE,SETUP!$J$1:$J$2000,0)+COUNTIFS($A$2:$A1871,"&lt;&gt;",$K$2:$K1871,"Yes",$L$2:$L1871,"")-1)))</f>
        <v/>
      </c>
      <c r="N1871" s="22"/>
    </row>
    <row r="1872" spans="1:14" x14ac:dyDescent="0.3">
      <c r="A1872" s="15" t="str">
        <f>IF(COUNTA($B1872:$E1872,$K1872)=0,"",IF(AND($B1872&lt;&gt;"",$C1872&lt;&gt;"",$D1872&lt;&gt;"",$E1872&lt;&gt;""),"TXS"&amp;TEXT(COUNTIFS($B$2:$B1872,"&lt;&gt;",$C$2:$C1872,"&lt;&gt;",$D$2:$D1872,"&lt;&gt;",$E$2:$E1872,"&lt;&gt;"),"00000"),""))</f>
        <v/>
      </c>
      <c r="B1872" s="16"/>
      <c r="C1872" s="20"/>
      <c r="D1872" s="20"/>
      <c r="E1872" s="23"/>
      <c r="H1872" s="21" t="str">
        <f t="shared" si="93"/>
        <v/>
      </c>
      <c r="I1872" s="21" t="str">
        <f t="shared" si="92"/>
        <v/>
      </c>
      <c r="J1872" s="21" t="str">
        <f t="shared" si="94"/>
        <v/>
      </c>
      <c r="K1872" s="20"/>
      <c r="L1872" s="21" t="str">
        <f>IF(OR(NOT(AND($B1872&lt;&gt;"",$C1872&lt;&gt;"",$D1872&lt;&gt;"",$E1872&lt;&gt;"")),$A1872="",$K1872&lt;&gt;"Yes"),"",IF($L1872&lt;&gt;"",$L1872,INDEX(SETUP!$I$1:$I$2000,MATCH(TRUE,SETUP!$J$1:$J$2000,0)+COUNTIFS($A$2:$A1872,"&lt;&gt;",$K$2:$K1872,"Yes",$L$2:$L1872,"")-1)))</f>
        <v/>
      </c>
      <c r="N1872" s="22"/>
    </row>
    <row r="1873" spans="1:14" x14ac:dyDescent="0.3">
      <c r="A1873" s="15" t="str">
        <f>IF(COUNTA($B1873:$E1873,$K1873)=0,"",IF(AND($B1873&lt;&gt;"",$C1873&lt;&gt;"",$D1873&lt;&gt;"",$E1873&lt;&gt;""),"TXS"&amp;TEXT(COUNTIFS($B$2:$B1873,"&lt;&gt;",$C$2:$C1873,"&lt;&gt;",$D$2:$D1873,"&lt;&gt;",$E$2:$E1873,"&lt;&gt;"),"00000"),""))</f>
        <v/>
      </c>
      <c r="B1873" s="16"/>
      <c r="C1873" s="20"/>
      <c r="D1873" s="20"/>
      <c r="E1873" s="23"/>
      <c r="H1873" s="21" t="str">
        <f t="shared" si="93"/>
        <v/>
      </c>
      <c r="I1873" s="21" t="str">
        <f t="shared" si="92"/>
        <v/>
      </c>
      <c r="J1873" s="21" t="str">
        <f t="shared" si="94"/>
        <v/>
      </c>
      <c r="K1873" s="20"/>
      <c r="L1873" s="21" t="str">
        <f>IF(OR(NOT(AND($B1873&lt;&gt;"",$C1873&lt;&gt;"",$D1873&lt;&gt;"",$E1873&lt;&gt;"")),$A1873="",$K1873&lt;&gt;"Yes"),"",IF($L1873&lt;&gt;"",$L1873,INDEX(SETUP!$I$1:$I$2000,MATCH(TRUE,SETUP!$J$1:$J$2000,0)+COUNTIFS($A$2:$A1873,"&lt;&gt;",$K$2:$K1873,"Yes",$L$2:$L1873,"")-1)))</f>
        <v/>
      </c>
      <c r="N1873" s="22"/>
    </row>
    <row r="1874" spans="1:14" x14ac:dyDescent="0.3">
      <c r="A1874" s="15" t="str">
        <f>IF(COUNTA($B1874:$E1874,$K1874)=0,"",IF(AND($B1874&lt;&gt;"",$C1874&lt;&gt;"",$D1874&lt;&gt;"",$E1874&lt;&gt;""),"TXS"&amp;TEXT(COUNTIFS($B$2:$B1874,"&lt;&gt;",$C$2:$C1874,"&lt;&gt;",$D$2:$D1874,"&lt;&gt;",$E$2:$E1874,"&lt;&gt;"),"00000"),""))</f>
        <v/>
      </c>
      <c r="B1874" s="16"/>
      <c r="C1874" s="20"/>
      <c r="D1874" s="20"/>
      <c r="E1874" s="23"/>
      <c r="H1874" s="21" t="str">
        <f t="shared" si="93"/>
        <v/>
      </c>
      <c r="I1874" s="21" t="str">
        <f t="shared" si="92"/>
        <v/>
      </c>
      <c r="J1874" s="21" t="str">
        <f t="shared" si="94"/>
        <v/>
      </c>
      <c r="K1874" s="20"/>
      <c r="L1874" s="21" t="str">
        <f>IF(OR(NOT(AND($B1874&lt;&gt;"",$C1874&lt;&gt;"",$D1874&lt;&gt;"",$E1874&lt;&gt;"")),$A1874="",$K1874&lt;&gt;"Yes"),"",IF($L1874&lt;&gt;"",$L1874,INDEX(SETUP!$I$1:$I$2000,MATCH(TRUE,SETUP!$J$1:$J$2000,0)+COUNTIFS($A$2:$A1874,"&lt;&gt;",$K$2:$K1874,"Yes",$L$2:$L1874,"")-1)))</f>
        <v/>
      </c>
      <c r="N1874" s="22"/>
    </row>
    <row r="1875" spans="1:14" x14ac:dyDescent="0.3">
      <c r="A1875" s="15" t="str">
        <f>IF(COUNTA($B1875:$E1875,$K1875)=0,"",IF(AND($B1875&lt;&gt;"",$C1875&lt;&gt;"",$D1875&lt;&gt;"",$E1875&lt;&gt;""),"TXS"&amp;TEXT(COUNTIFS($B$2:$B1875,"&lt;&gt;",$C$2:$C1875,"&lt;&gt;",$D$2:$D1875,"&lt;&gt;",$E$2:$E1875,"&lt;&gt;"),"00000"),""))</f>
        <v/>
      </c>
      <c r="B1875" s="16"/>
      <c r="C1875" s="20"/>
      <c r="D1875" s="20"/>
      <c r="E1875" s="23"/>
      <c r="H1875" s="21" t="str">
        <f t="shared" si="93"/>
        <v/>
      </c>
      <c r="I1875" s="21" t="str">
        <f t="shared" si="92"/>
        <v/>
      </c>
      <c r="J1875" s="21" t="str">
        <f t="shared" si="94"/>
        <v/>
      </c>
      <c r="K1875" s="20"/>
      <c r="L1875" s="21" t="str">
        <f>IF(OR(NOT(AND($B1875&lt;&gt;"",$C1875&lt;&gt;"",$D1875&lt;&gt;"",$E1875&lt;&gt;"")),$A1875="",$K1875&lt;&gt;"Yes"),"",IF($L1875&lt;&gt;"",$L1875,INDEX(SETUP!$I$1:$I$2000,MATCH(TRUE,SETUP!$J$1:$J$2000,0)+COUNTIFS($A$2:$A1875,"&lt;&gt;",$K$2:$K1875,"Yes",$L$2:$L1875,"")-1)))</f>
        <v/>
      </c>
      <c r="N1875" s="22"/>
    </row>
    <row r="1876" spans="1:14" x14ac:dyDescent="0.3">
      <c r="A1876" s="15" t="str">
        <f>IF(COUNTA($B1876:$E1876,$K1876)=0,"",IF(AND($B1876&lt;&gt;"",$C1876&lt;&gt;"",$D1876&lt;&gt;"",$E1876&lt;&gt;""),"TXS"&amp;TEXT(COUNTIFS($B$2:$B1876,"&lt;&gt;",$C$2:$C1876,"&lt;&gt;",$D$2:$D1876,"&lt;&gt;",$E$2:$E1876,"&lt;&gt;"),"00000"),""))</f>
        <v/>
      </c>
      <c r="B1876" s="16"/>
      <c r="C1876" s="20"/>
      <c r="D1876" s="20"/>
      <c r="E1876" s="23"/>
      <c r="H1876" s="21" t="str">
        <f t="shared" si="93"/>
        <v/>
      </c>
      <c r="I1876" s="21" t="str">
        <f t="shared" si="92"/>
        <v/>
      </c>
      <c r="J1876" s="21" t="str">
        <f t="shared" si="94"/>
        <v/>
      </c>
      <c r="K1876" s="20"/>
      <c r="L1876" s="21" t="str">
        <f>IF(OR(NOT(AND($B1876&lt;&gt;"",$C1876&lt;&gt;"",$D1876&lt;&gt;"",$E1876&lt;&gt;"")),$A1876="",$K1876&lt;&gt;"Yes"),"",IF($L1876&lt;&gt;"",$L1876,INDEX(SETUP!$I$1:$I$2000,MATCH(TRUE,SETUP!$J$1:$J$2000,0)+COUNTIFS($A$2:$A1876,"&lt;&gt;",$K$2:$K1876,"Yes",$L$2:$L1876,"")-1)))</f>
        <v/>
      </c>
      <c r="N1876" s="22"/>
    </row>
    <row r="1877" spans="1:14" x14ac:dyDescent="0.3">
      <c r="A1877" s="15" t="str">
        <f>IF(COUNTA($B1877:$E1877,$K1877)=0,"",IF(AND($B1877&lt;&gt;"",$C1877&lt;&gt;"",$D1877&lt;&gt;"",$E1877&lt;&gt;""),"TXS"&amp;TEXT(COUNTIFS($B$2:$B1877,"&lt;&gt;",$C$2:$C1877,"&lt;&gt;",$D$2:$D1877,"&lt;&gt;",$E$2:$E1877,"&lt;&gt;"),"00000"),""))</f>
        <v/>
      </c>
      <c r="B1877" s="16"/>
      <c r="C1877" s="20"/>
      <c r="D1877" s="20"/>
      <c r="E1877" s="23"/>
      <c r="H1877" s="21" t="str">
        <f t="shared" si="93"/>
        <v/>
      </c>
      <c r="I1877" s="21" t="str">
        <f t="shared" si="92"/>
        <v/>
      </c>
      <c r="J1877" s="21" t="str">
        <f t="shared" si="94"/>
        <v/>
      </c>
      <c r="K1877" s="20"/>
      <c r="L1877" s="21" t="str">
        <f>IF(OR(NOT(AND($B1877&lt;&gt;"",$C1877&lt;&gt;"",$D1877&lt;&gt;"",$E1877&lt;&gt;"")),$A1877="",$K1877&lt;&gt;"Yes"),"",IF($L1877&lt;&gt;"",$L1877,INDEX(SETUP!$I$1:$I$2000,MATCH(TRUE,SETUP!$J$1:$J$2000,0)+COUNTIFS($A$2:$A1877,"&lt;&gt;",$K$2:$K1877,"Yes",$L$2:$L1877,"")-1)))</f>
        <v/>
      </c>
      <c r="N1877" s="22"/>
    </row>
    <row r="1878" spans="1:14" x14ac:dyDescent="0.3">
      <c r="A1878" s="15" t="str">
        <f>IF(COUNTA($B1878:$E1878,$K1878)=0,"",IF(AND($B1878&lt;&gt;"",$C1878&lt;&gt;"",$D1878&lt;&gt;"",$E1878&lt;&gt;""),"TXS"&amp;TEXT(COUNTIFS($B$2:$B1878,"&lt;&gt;",$C$2:$C1878,"&lt;&gt;",$D$2:$D1878,"&lt;&gt;",$E$2:$E1878,"&lt;&gt;"),"00000"),""))</f>
        <v/>
      </c>
      <c r="B1878" s="16"/>
      <c r="C1878" s="20"/>
      <c r="D1878" s="20"/>
      <c r="E1878" s="23"/>
      <c r="H1878" s="21" t="str">
        <f t="shared" si="93"/>
        <v/>
      </c>
      <c r="I1878" s="21" t="str">
        <f t="shared" si="92"/>
        <v/>
      </c>
      <c r="J1878" s="21" t="str">
        <f t="shared" si="94"/>
        <v/>
      </c>
      <c r="K1878" s="20"/>
      <c r="L1878" s="21" t="str">
        <f>IF(OR(NOT(AND($B1878&lt;&gt;"",$C1878&lt;&gt;"",$D1878&lt;&gt;"",$E1878&lt;&gt;"")),$A1878="",$K1878&lt;&gt;"Yes"),"",IF($L1878&lt;&gt;"",$L1878,INDEX(SETUP!$I$1:$I$2000,MATCH(TRUE,SETUP!$J$1:$J$2000,0)+COUNTIFS($A$2:$A1878,"&lt;&gt;",$K$2:$K1878,"Yes",$L$2:$L1878,"")-1)))</f>
        <v/>
      </c>
      <c r="N1878" s="22"/>
    </row>
    <row r="1879" spans="1:14" x14ac:dyDescent="0.3">
      <c r="A1879" s="15" t="str">
        <f>IF(COUNTA($B1879:$E1879,$K1879)=0,"",IF(AND($B1879&lt;&gt;"",$C1879&lt;&gt;"",$D1879&lt;&gt;"",$E1879&lt;&gt;""),"TXS"&amp;TEXT(COUNTIFS($B$2:$B1879,"&lt;&gt;",$C$2:$C1879,"&lt;&gt;",$D$2:$D1879,"&lt;&gt;",$E$2:$E1879,"&lt;&gt;"),"00000"),""))</f>
        <v/>
      </c>
      <c r="B1879" s="16"/>
      <c r="C1879" s="20"/>
      <c r="D1879" s="20"/>
      <c r="E1879" s="23"/>
      <c r="H1879" s="21" t="str">
        <f t="shared" si="93"/>
        <v/>
      </c>
      <c r="I1879" s="21" t="str">
        <f t="shared" si="92"/>
        <v/>
      </c>
      <c r="J1879" s="21" t="str">
        <f t="shared" si="94"/>
        <v/>
      </c>
      <c r="K1879" s="20"/>
      <c r="L1879" s="21" t="str">
        <f>IF(OR(NOT(AND($B1879&lt;&gt;"",$C1879&lt;&gt;"",$D1879&lt;&gt;"",$E1879&lt;&gt;"")),$A1879="",$K1879&lt;&gt;"Yes"),"",IF($L1879&lt;&gt;"",$L1879,INDEX(SETUP!$I$1:$I$2000,MATCH(TRUE,SETUP!$J$1:$J$2000,0)+COUNTIFS($A$2:$A1879,"&lt;&gt;",$K$2:$K1879,"Yes",$L$2:$L1879,"")-1)))</f>
        <v/>
      </c>
      <c r="N1879" s="22"/>
    </row>
    <row r="1880" spans="1:14" x14ac:dyDescent="0.3">
      <c r="A1880" s="15" t="str">
        <f>IF(COUNTA($B1880:$E1880,$K1880)=0,"",IF(AND($B1880&lt;&gt;"",$C1880&lt;&gt;"",$D1880&lt;&gt;"",$E1880&lt;&gt;""),"TXS"&amp;TEXT(COUNTIFS($B$2:$B1880,"&lt;&gt;",$C$2:$C1880,"&lt;&gt;",$D$2:$D1880,"&lt;&gt;",$E$2:$E1880,"&lt;&gt;"),"00000"),""))</f>
        <v/>
      </c>
      <c r="B1880" s="16"/>
      <c r="C1880" s="20"/>
      <c r="D1880" s="20"/>
      <c r="E1880" s="23"/>
      <c r="H1880" s="21" t="str">
        <f t="shared" si="93"/>
        <v/>
      </c>
      <c r="I1880" s="21" t="str">
        <f t="shared" si="92"/>
        <v/>
      </c>
      <c r="J1880" s="21" t="str">
        <f t="shared" si="94"/>
        <v/>
      </c>
      <c r="K1880" s="20"/>
      <c r="L1880" s="21" t="str">
        <f>IF(OR(NOT(AND($B1880&lt;&gt;"",$C1880&lt;&gt;"",$D1880&lt;&gt;"",$E1880&lt;&gt;"")),$A1880="",$K1880&lt;&gt;"Yes"),"",IF($L1880&lt;&gt;"",$L1880,INDEX(SETUP!$I$1:$I$2000,MATCH(TRUE,SETUP!$J$1:$J$2000,0)+COUNTIFS($A$2:$A1880,"&lt;&gt;",$K$2:$K1880,"Yes",$L$2:$L1880,"")-1)))</f>
        <v/>
      </c>
      <c r="N1880" s="22"/>
    </row>
    <row r="1881" spans="1:14" x14ac:dyDescent="0.3">
      <c r="A1881" s="15" t="str">
        <f>IF(COUNTA($B1881:$E1881,$K1881)=0,"",IF(AND($B1881&lt;&gt;"",$C1881&lt;&gt;"",$D1881&lt;&gt;"",$E1881&lt;&gt;""),"TXS"&amp;TEXT(COUNTIFS($B$2:$B1881,"&lt;&gt;",$C$2:$C1881,"&lt;&gt;",$D$2:$D1881,"&lt;&gt;",$E$2:$E1881,"&lt;&gt;"),"00000"),""))</f>
        <v/>
      </c>
      <c r="B1881" s="16"/>
      <c r="C1881" s="20"/>
      <c r="D1881" s="20"/>
      <c r="E1881" s="23"/>
      <c r="H1881" s="21" t="str">
        <f t="shared" si="93"/>
        <v/>
      </c>
      <c r="I1881" s="21" t="str">
        <f t="shared" si="92"/>
        <v/>
      </c>
      <c r="J1881" s="21" t="str">
        <f t="shared" si="94"/>
        <v/>
      </c>
      <c r="K1881" s="20"/>
      <c r="L1881" s="21" t="str">
        <f>IF(OR(NOT(AND($B1881&lt;&gt;"",$C1881&lt;&gt;"",$D1881&lt;&gt;"",$E1881&lt;&gt;"")),$A1881="",$K1881&lt;&gt;"Yes"),"",IF($L1881&lt;&gt;"",$L1881,INDEX(SETUP!$I$1:$I$2000,MATCH(TRUE,SETUP!$J$1:$J$2000,0)+COUNTIFS($A$2:$A1881,"&lt;&gt;",$K$2:$K1881,"Yes",$L$2:$L1881,"")-1)))</f>
        <v/>
      </c>
      <c r="N1881" s="22"/>
    </row>
    <row r="1882" spans="1:14" x14ac:dyDescent="0.3">
      <c r="A1882" s="15" t="str">
        <f>IF(COUNTA($B1882:$E1882,$K1882)=0,"",IF(AND($B1882&lt;&gt;"",$C1882&lt;&gt;"",$D1882&lt;&gt;"",$E1882&lt;&gt;""),"TXS"&amp;TEXT(COUNTIFS($B$2:$B1882,"&lt;&gt;",$C$2:$C1882,"&lt;&gt;",$D$2:$D1882,"&lt;&gt;",$E$2:$E1882,"&lt;&gt;"),"00000"),""))</f>
        <v/>
      </c>
      <c r="B1882" s="16"/>
      <c r="C1882" s="20"/>
      <c r="D1882" s="20"/>
      <c r="E1882" s="23"/>
      <c r="H1882" s="21" t="str">
        <f t="shared" si="93"/>
        <v/>
      </c>
      <c r="I1882" s="21" t="str">
        <f t="shared" si="92"/>
        <v/>
      </c>
      <c r="J1882" s="21" t="str">
        <f t="shared" si="94"/>
        <v/>
      </c>
      <c r="K1882" s="20"/>
      <c r="L1882" s="21" t="str">
        <f>IF(OR(NOT(AND($B1882&lt;&gt;"",$C1882&lt;&gt;"",$D1882&lt;&gt;"",$E1882&lt;&gt;"")),$A1882="",$K1882&lt;&gt;"Yes"),"",IF($L1882&lt;&gt;"",$L1882,INDEX(SETUP!$I$1:$I$2000,MATCH(TRUE,SETUP!$J$1:$J$2000,0)+COUNTIFS($A$2:$A1882,"&lt;&gt;",$K$2:$K1882,"Yes",$L$2:$L1882,"")-1)))</f>
        <v/>
      </c>
      <c r="N1882" s="22"/>
    </row>
    <row r="1883" spans="1:14" x14ac:dyDescent="0.3">
      <c r="A1883" s="15" t="str">
        <f>IF(COUNTA($B1883:$E1883,$K1883)=0,"",IF(AND($B1883&lt;&gt;"",$C1883&lt;&gt;"",$D1883&lt;&gt;"",$E1883&lt;&gt;""),"TXS"&amp;TEXT(COUNTIFS($B$2:$B1883,"&lt;&gt;",$C$2:$C1883,"&lt;&gt;",$D$2:$D1883,"&lt;&gt;",$E$2:$E1883,"&lt;&gt;"),"00000"),""))</f>
        <v/>
      </c>
      <c r="B1883" s="16"/>
      <c r="C1883" s="20"/>
      <c r="D1883" s="20"/>
      <c r="E1883" s="23"/>
      <c r="H1883" s="21" t="str">
        <f t="shared" si="93"/>
        <v/>
      </c>
      <c r="I1883" s="21" t="str">
        <f t="shared" si="92"/>
        <v/>
      </c>
      <c r="J1883" s="21" t="str">
        <f t="shared" si="94"/>
        <v/>
      </c>
      <c r="K1883" s="20"/>
      <c r="L1883" s="21" t="str">
        <f>IF(OR(NOT(AND($B1883&lt;&gt;"",$C1883&lt;&gt;"",$D1883&lt;&gt;"",$E1883&lt;&gt;"")),$A1883="",$K1883&lt;&gt;"Yes"),"",IF($L1883&lt;&gt;"",$L1883,INDEX(SETUP!$I$1:$I$2000,MATCH(TRUE,SETUP!$J$1:$J$2000,0)+COUNTIFS($A$2:$A1883,"&lt;&gt;",$K$2:$K1883,"Yes",$L$2:$L1883,"")-1)))</f>
        <v/>
      </c>
      <c r="N1883" s="22"/>
    </row>
    <row r="1884" spans="1:14" x14ac:dyDescent="0.3">
      <c r="A1884" s="15" t="str">
        <f>IF(COUNTA($B1884:$E1884,$K1884)=0,"",IF(AND($B1884&lt;&gt;"",$C1884&lt;&gt;"",$D1884&lt;&gt;"",$E1884&lt;&gt;""),"TXS"&amp;TEXT(COUNTIFS($B$2:$B1884,"&lt;&gt;",$C$2:$C1884,"&lt;&gt;",$D$2:$D1884,"&lt;&gt;",$E$2:$E1884,"&lt;&gt;"),"00000"),""))</f>
        <v/>
      </c>
      <c r="B1884" s="16"/>
      <c r="C1884" s="20"/>
      <c r="D1884" s="20"/>
      <c r="E1884" s="23"/>
      <c r="H1884" s="21" t="str">
        <f t="shared" si="93"/>
        <v/>
      </c>
      <c r="I1884" s="21" t="str">
        <f t="shared" si="92"/>
        <v/>
      </c>
      <c r="J1884" s="21" t="str">
        <f t="shared" si="94"/>
        <v/>
      </c>
      <c r="K1884" s="20"/>
      <c r="L1884" s="21" t="str">
        <f>IF(OR(NOT(AND($B1884&lt;&gt;"",$C1884&lt;&gt;"",$D1884&lt;&gt;"",$E1884&lt;&gt;"")),$A1884="",$K1884&lt;&gt;"Yes"),"",IF($L1884&lt;&gt;"",$L1884,INDEX(SETUP!$I$1:$I$2000,MATCH(TRUE,SETUP!$J$1:$J$2000,0)+COUNTIFS($A$2:$A1884,"&lt;&gt;",$K$2:$K1884,"Yes",$L$2:$L1884,"")-1)))</f>
        <v/>
      </c>
      <c r="N1884" s="22"/>
    </row>
    <row r="1885" spans="1:14" x14ac:dyDescent="0.3">
      <c r="A1885" s="15" t="str">
        <f>IF(COUNTA($B1885:$E1885,$K1885)=0,"",IF(AND($B1885&lt;&gt;"",$C1885&lt;&gt;"",$D1885&lt;&gt;"",$E1885&lt;&gt;""),"TXS"&amp;TEXT(COUNTIFS($B$2:$B1885,"&lt;&gt;",$C$2:$C1885,"&lt;&gt;",$D$2:$D1885,"&lt;&gt;",$E$2:$E1885,"&lt;&gt;"),"00000"),""))</f>
        <v/>
      </c>
      <c r="B1885" s="16"/>
      <c r="C1885" s="20"/>
      <c r="D1885" s="20"/>
      <c r="E1885" s="23"/>
      <c r="H1885" s="21" t="str">
        <f t="shared" si="93"/>
        <v/>
      </c>
      <c r="I1885" s="21" t="str">
        <f t="shared" si="92"/>
        <v/>
      </c>
      <c r="J1885" s="21" t="str">
        <f t="shared" si="94"/>
        <v/>
      </c>
      <c r="K1885" s="20"/>
      <c r="L1885" s="21" t="str">
        <f>IF(OR(NOT(AND($B1885&lt;&gt;"",$C1885&lt;&gt;"",$D1885&lt;&gt;"",$E1885&lt;&gt;"")),$A1885="",$K1885&lt;&gt;"Yes"),"",IF($L1885&lt;&gt;"",$L1885,INDEX(SETUP!$I$1:$I$2000,MATCH(TRUE,SETUP!$J$1:$J$2000,0)+COUNTIFS($A$2:$A1885,"&lt;&gt;",$K$2:$K1885,"Yes",$L$2:$L1885,"")-1)))</f>
        <v/>
      </c>
      <c r="N1885" s="22"/>
    </row>
    <row r="1886" spans="1:14" x14ac:dyDescent="0.3">
      <c r="A1886" s="15" t="str">
        <f>IF(COUNTA($B1886:$E1886,$K1886)=0,"",IF(AND($B1886&lt;&gt;"",$C1886&lt;&gt;"",$D1886&lt;&gt;"",$E1886&lt;&gt;""),"TXS"&amp;TEXT(COUNTIFS($B$2:$B1886,"&lt;&gt;",$C$2:$C1886,"&lt;&gt;",$D$2:$D1886,"&lt;&gt;",$E$2:$E1886,"&lt;&gt;"),"00000"),""))</f>
        <v/>
      </c>
      <c r="B1886" s="16"/>
      <c r="C1886" s="20"/>
      <c r="D1886" s="20"/>
      <c r="E1886" s="23"/>
      <c r="H1886" s="21" t="str">
        <f t="shared" si="93"/>
        <v/>
      </c>
      <c r="I1886" s="21" t="str">
        <f t="shared" si="92"/>
        <v/>
      </c>
      <c r="J1886" s="21" t="str">
        <f t="shared" si="94"/>
        <v/>
      </c>
      <c r="K1886" s="20"/>
      <c r="L1886" s="21" t="str">
        <f>IF(OR(NOT(AND($B1886&lt;&gt;"",$C1886&lt;&gt;"",$D1886&lt;&gt;"",$E1886&lt;&gt;"")),$A1886="",$K1886&lt;&gt;"Yes"),"",IF($L1886&lt;&gt;"",$L1886,INDEX(SETUP!$I$1:$I$2000,MATCH(TRUE,SETUP!$J$1:$J$2000,0)+COUNTIFS($A$2:$A1886,"&lt;&gt;",$K$2:$K1886,"Yes",$L$2:$L1886,"")-1)))</f>
        <v/>
      </c>
      <c r="N1886" s="22"/>
    </row>
    <row r="1887" spans="1:14" x14ac:dyDescent="0.3">
      <c r="A1887" s="15" t="str">
        <f>IF(COUNTA($B1887:$E1887,$K1887)=0,"",IF(AND($B1887&lt;&gt;"",$C1887&lt;&gt;"",$D1887&lt;&gt;"",$E1887&lt;&gt;""),"TXS"&amp;TEXT(COUNTIFS($B$2:$B1887,"&lt;&gt;",$C$2:$C1887,"&lt;&gt;",$D$2:$D1887,"&lt;&gt;",$E$2:$E1887,"&lt;&gt;"),"00000"),""))</f>
        <v/>
      </c>
      <c r="B1887" s="16"/>
      <c r="C1887" s="20"/>
      <c r="D1887" s="20"/>
      <c r="E1887" s="23"/>
      <c r="H1887" s="21" t="str">
        <f t="shared" si="93"/>
        <v/>
      </c>
      <c r="I1887" s="21" t="str">
        <f t="shared" si="92"/>
        <v/>
      </c>
      <c r="J1887" s="21" t="str">
        <f t="shared" si="94"/>
        <v/>
      </c>
      <c r="K1887" s="20"/>
      <c r="L1887" s="21" t="str">
        <f>IF(OR(NOT(AND($B1887&lt;&gt;"",$C1887&lt;&gt;"",$D1887&lt;&gt;"",$E1887&lt;&gt;"")),$A1887="",$K1887&lt;&gt;"Yes"),"",IF($L1887&lt;&gt;"",$L1887,INDEX(SETUP!$I$1:$I$2000,MATCH(TRUE,SETUP!$J$1:$J$2000,0)+COUNTIFS($A$2:$A1887,"&lt;&gt;",$K$2:$K1887,"Yes",$L$2:$L1887,"")-1)))</f>
        <v/>
      </c>
      <c r="N1887" s="22"/>
    </row>
    <row r="1888" spans="1:14" x14ac:dyDescent="0.3">
      <c r="A1888" s="15" t="str">
        <f>IF(COUNTA($B1888:$E1888,$K1888)=0,"",IF(AND($B1888&lt;&gt;"",$C1888&lt;&gt;"",$D1888&lt;&gt;"",$E1888&lt;&gt;""),"TXS"&amp;TEXT(COUNTIFS($B$2:$B1888,"&lt;&gt;",$C$2:$C1888,"&lt;&gt;",$D$2:$D1888,"&lt;&gt;",$E$2:$E1888,"&lt;&gt;"),"00000"),""))</f>
        <v/>
      </c>
      <c r="B1888" s="16"/>
      <c r="C1888" s="20"/>
      <c r="D1888" s="20"/>
      <c r="E1888" s="23"/>
      <c r="H1888" s="21" t="str">
        <f t="shared" si="93"/>
        <v/>
      </c>
      <c r="I1888" s="21" t="str">
        <f t="shared" si="92"/>
        <v/>
      </c>
      <c r="J1888" s="21" t="str">
        <f t="shared" si="94"/>
        <v/>
      </c>
      <c r="K1888" s="20"/>
      <c r="L1888" s="21" t="str">
        <f>IF(OR(NOT(AND($B1888&lt;&gt;"",$C1888&lt;&gt;"",$D1888&lt;&gt;"",$E1888&lt;&gt;"")),$A1888="",$K1888&lt;&gt;"Yes"),"",IF($L1888&lt;&gt;"",$L1888,INDEX(SETUP!$I$1:$I$2000,MATCH(TRUE,SETUP!$J$1:$J$2000,0)+COUNTIFS($A$2:$A1888,"&lt;&gt;",$K$2:$K1888,"Yes",$L$2:$L1888,"")-1)))</f>
        <v/>
      </c>
      <c r="N1888" s="22"/>
    </row>
    <row r="1889" spans="1:14" x14ac:dyDescent="0.3">
      <c r="A1889" s="15" t="str">
        <f>IF(COUNTA($B1889:$E1889,$K1889)=0,"",IF(AND($B1889&lt;&gt;"",$C1889&lt;&gt;"",$D1889&lt;&gt;"",$E1889&lt;&gt;""),"TXS"&amp;TEXT(COUNTIFS($B$2:$B1889,"&lt;&gt;",$C$2:$C1889,"&lt;&gt;",$D$2:$D1889,"&lt;&gt;",$E$2:$E1889,"&lt;&gt;"),"00000"),""))</f>
        <v/>
      </c>
      <c r="B1889" s="16"/>
      <c r="C1889" s="20"/>
      <c r="D1889" s="20"/>
      <c r="E1889" s="23"/>
      <c r="H1889" s="21" t="str">
        <f t="shared" si="93"/>
        <v/>
      </c>
      <c r="I1889" s="21" t="str">
        <f t="shared" si="92"/>
        <v/>
      </c>
      <c r="J1889" s="21" t="str">
        <f t="shared" si="94"/>
        <v/>
      </c>
      <c r="K1889" s="20"/>
      <c r="L1889" s="21" t="str">
        <f>IF(OR(NOT(AND($B1889&lt;&gt;"",$C1889&lt;&gt;"",$D1889&lt;&gt;"",$E1889&lt;&gt;"")),$A1889="",$K1889&lt;&gt;"Yes"),"",IF($L1889&lt;&gt;"",$L1889,INDEX(SETUP!$I$1:$I$2000,MATCH(TRUE,SETUP!$J$1:$J$2000,0)+COUNTIFS($A$2:$A1889,"&lt;&gt;",$K$2:$K1889,"Yes",$L$2:$L1889,"")-1)))</f>
        <v/>
      </c>
      <c r="N1889" s="22"/>
    </row>
    <row r="1890" spans="1:14" x14ac:dyDescent="0.3">
      <c r="A1890" s="15" t="str">
        <f>IF(COUNTA($B1890:$E1890,$K1890)=0,"",IF(AND($B1890&lt;&gt;"",$C1890&lt;&gt;"",$D1890&lt;&gt;"",$E1890&lt;&gt;""),"TXS"&amp;TEXT(COUNTIFS($B$2:$B1890,"&lt;&gt;",$C$2:$C1890,"&lt;&gt;",$D$2:$D1890,"&lt;&gt;",$E$2:$E1890,"&lt;&gt;"),"00000"),""))</f>
        <v/>
      </c>
      <c r="B1890" s="16"/>
      <c r="C1890" s="20"/>
      <c r="D1890" s="20"/>
      <c r="E1890" s="23"/>
      <c r="H1890" s="21" t="str">
        <f t="shared" si="93"/>
        <v/>
      </c>
      <c r="I1890" s="21" t="str">
        <f t="shared" si="92"/>
        <v/>
      </c>
      <c r="J1890" s="21" t="str">
        <f t="shared" si="94"/>
        <v/>
      </c>
      <c r="K1890" s="20"/>
      <c r="L1890" s="21" t="str">
        <f>IF(OR(NOT(AND($B1890&lt;&gt;"",$C1890&lt;&gt;"",$D1890&lt;&gt;"",$E1890&lt;&gt;"")),$A1890="",$K1890&lt;&gt;"Yes"),"",IF($L1890&lt;&gt;"",$L1890,INDEX(SETUP!$I$1:$I$2000,MATCH(TRUE,SETUP!$J$1:$J$2000,0)+COUNTIFS($A$2:$A1890,"&lt;&gt;",$K$2:$K1890,"Yes",$L$2:$L1890,"")-1)))</f>
        <v/>
      </c>
      <c r="N1890" s="22"/>
    </row>
    <row r="1891" spans="1:14" x14ac:dyDescent="0.3">
      <c r="A1891" s="15" t="str">
        <f>IF(COUNTA($B1891:$E1891,$K1891)=0,"",IF(AND($B1891&lt;&gt;"",$C1891&lt;&gt;"",$D1891&lt;&gt;"",$E1891&lt;&gt;""),"TXS"&amp;TEXT(COUNTIFS($B$2:$B1891,"&lt;&gt;",$C$2:$C1891,"&lt;&gt;",$D$2:$D1891,"&lt;&gt;",$E$2:$E1891,"&lt;&gt;"),"00000"),""))</f>
        <v/>
      </c>
      <c r="B1891" s="16"/>
      <c r="C1891" s="20"/>
      <c r="D1891" s="20"/>
      <c r="E1891" s="23"/>
      <c r="H1891" s="21" t="str">
        <f t="shared" si="93"/>
        <v/>
      </c>
      <c r="I1891" s="21" t="str">
        <f t="shared" si="92"/>
        <v/>
      </c>
      <c r="J1891" s="21" t="str">
        <f t="shared" si="94"/>
        <v/>
      </c>
      <c r="K1891" s="20"/>
      <c r="L1891" s="21" t="str">
        <f>IF(OR(NOT(AND($B1891&lt;&gt;"",$C1891&lt;&gt;"",$D1891&lt;&gt;"",$E1891&lt;&gt;"")),$A1891="",$K1891&lt;&gt;"Yes"),"",IF($L1891&lt;&gt;"",$L1891,INDEX(SETUP!$I$1:$I$2000,MATCH(TRUE,SETUP!$J$1:$J$2000,0)+COUNTIFS($A$2:$A1891,"&lt;&gt;",$K$2:$K1891,"Yes",$L$2:$L1891,"")-1)))</f>
        <v/>
      </c>
      <c r="N1891" s="22"/>
    </row>
    <row r="1892" spans="1:14" x14ac:dyDescent="0.3">
      <c r="A1892" s="15" t="str">
        <f>IF(COUNTA($B1892:$E1892,$K1892)=0,"",IF(AND($B1892&lt;&gt;"",$C1892&lt;&gt;"",$D1892&lt;&gt;"",$E1892&lt;&gt;""),"TXS"&amp;TEXT(COUNTIFS($B$2:$B1892,"&lt;&gt;",$C$2:$C1892,"&lt;&gt;",$D$2:$D1892,"&lt;&gt;",$E$2:$E1892,"&lt;&gt;"),"00000"),""))</f>
        <v/>
      </c>
      <c r="B1892" s="16"/>
      <c r="C1892" s="20"/>
      <c r="D1892" s="20"/>
      <c r="E1892" s="23"/>
      <c r="H1892" s="21" t="str">
        <f t="shared" si="93"/>
        <v/>
      </c>
      <c r="I1892" s="21" t="str">
        <f t="shared" si="92"/>
        <v/>
      </c>
      <c r="J1892" s="21" t="str">
        <f t="shared" si="94"/>
        <v/>
      </c>
      <c r="K1892" s="20"/>
      <c r="L1892" s="21" t="str">
        <f>IF(OR(NOT(AND($B1892&lt;&gt;"",$C1892&lt;&gt;"",$D1892&lt;&gt;"",$E1892&lt;&gt;"")),$A1892="",$K1892&lt;&gt;"Yes"),"",IF($L1892&lt;&gt;"",$L1892,INDEX(SETUP!$I$1:$I$2000,MATCH(TRUE,SETUP!$J$1:$J$2000,0)+COUNTIFS($A$2:$A1892,"&lt;&gt;",$K$2:$K1892,"Yes",$L$2:$L1892,"")-1)))</f>
        <v/>
      </c>
      <c r="N1892" s="22"/>
    </row>
    <row r="1893" spans="1:14" x14ac:dyDescent="0.3">
      <c r="A1893" s="15" t="str">
        <f>IF(COUNTA($B1893:$E1893,$K1893)=0,"",IF(AND($B1893&lt;&gt;"",$C1893&lt;&gt;"",$D1893&lt;&gt;"",$E1893&lt;&gt;""),"TXS"&amp;TEXT(COUNTIFS($B$2:$B1893,"&lt;&gt;",$C$2:$C1893,"&lt;&gt;",$D$2:$D1893,"&lt;&gt;",$E$2:$E1893,"&lt;&gt;"),"00000"),""))</f>
        <v/>
      </c>
      <c r="B1893" s="16"/>
      <c r="C1893" s="20"/>
      <c r="D1893" s="20"/>
      <c r="E1893" s="23"/>
      <c r="H1893" s="21" t="str">
        <f t="shared" si="93"/>
        <v/>
      </c>
      <c r="I1893" s="21" t="str">
        <f t="shared" si="92"/>
        <v/>
      </c>
      <c r="J1893" s="21" t="str">
        <f t="shared" si="94"/>
        <v/>
      </c>
      <c r="K1893" s="20"/>
      <c r="L1893" s="21" t="str">
        <f>IF(OR(NOT(AND($B1893&lt;&gt;"",$C1893&lt;&gt;"",$D1893&lt;&gt;"",$E1893&lt;&gt;"")),$A1893="",$K1893&lt;&gt;"Yes"),"",IF($L1893&lt;&gt;"",$L1893,INDEX(SETUP!$I$1:$I$2000,MATCH(TRUE,SETUP!$J$1:$J$2000,0)+COUNTIFS($A$2:$A1893,"&lt;&gt;",$K$2:$K1893,"Yes",$L$2:$L1893,"")-1)))</f>
        <v/>
      </c>
      <c r="N1893" s="22"/>
    </row>
    <row r="1894" spans="1:14" x14ac:dyDescent="0.3">
      <c r="A1894" s="15" t="str">
        <f>IF(COUNTA($B1894:$E1894,$K1894)=0,"",IF(AND($B1894&lt;&gt;"",$C1894&lt;&gt;"",$D1894&lt;&gt;"",$E1894&lt;&gt;""),"TXS"&amp;TEXT(COUNTIFS($B$2:$B1894,"&lt;&gt;",$C$2:$C1894,"&lt;&gt;",$D$2:$D1894,"&lt;&gt;",$E$2:$E1894,"&lt;&gt;"),"00000"),""))</f>
        <v/>
      </c>
      <c r="B1894" s="16"/>
      <c r="C1894" s="20"/>
      <c r="D1894" s="20"/>
      <c r="E1894" s="23"/>
      <c r="H1894" s="21" t="str">
        <f t="shared" si="93"/>
        <v/>
      </c>
      <c r="I1894" s="21" t="str">
        <f t="shared" si="92"/>
        <v/>
      </c>
      <c r="J1894" s="21" t="str">
        <f t="shared" si="94"/>
        <v/>
      </c>
      <c r="K1894" s="20"/>
      <c r="L1894" s="21" t="str">
        <f>IF(OR(NOT(AND($B1894&lt;&gt;"",$C1894&lt;&gt;"",$D1894&lt;&gt;"",$E1894&lt;&gt;"")),$A1894="",$K1894&lt;&gt;"Yes"),"",IF($L1894&lt;&gt;"",$L1894,INDEX(SETUP!$I$1:$I$2000,MATCH(TRUE,SETUP!$J$1:$J$2000,0)+COUNTIFS($A$2:$A1894,"&lt;&gt;",$K$2:$K1894,"Yes",$L$2:$L1894,"")-1)))</f>
        <v/>
      </c>
      <c r="N1894" s="22"/>
    </row>
    <row r="1895" spans="1:14" x14ac:dyDescent="0.3">
      <c r="A1895" s="15" t="str">
        <f>IF(COUNTA($B1895:$E1895,$K1895)=0,"",IF(AND($B1895&lt;&gt;"",$C1895&lt;&gt;"",$D1895&lt;&gt;"",$E1895&lt;&gt;""),"TXS"&amp;TEXT(COUNTIFS($B$2:$B1895,"&lt;&gt;",$C$2:$C1895,"&lt;&gt;",$D$2:$D1895,"&lt;&gt;",$E$2:$E1895,"&lt;&gt;"),"00000"),""))</f>
        <v/>
      </c>
      <c r="B1895" s="16"/>
      <c r="C1895" s="20"/>
      <c r="D1895" s="20"/>
      <c r="E1895" s="23"/>
      <c r="H1895" s="21" t="str">
        <f t="shared" si="93"/>
        <v/>
      </c>
      <c r="I1895" s="21" t="str">
        <f t="shared" si="92"/>
        <v/>
      </c>
      <c r="J1895" s="21" t="str">
        <f t="shared" si="94"/>
        <v/>
      </c>
      <c r="K1895" s="20"/>
      <c r="L1895" s="21" t="str">
        <f>IF(OR(NOT(AND($B1895&lt;&gt;"",$C1895&lt;&gt;"",$D1895&lt;&gt;"",$E1895&lt;&gt;"")),$A1895="",$K1895&lt;&gt;"Yes"),"",IF($L1895&lt;&gt;"",$L1895,INDEX(SETUP!$I$1:$I$2000,MATCH(TRUE,SETUP!$J$1:$J$2000,0)+COUNTIFS($A$2:$A1895,"&lt;&gt;",$K$2:$K1895,"Yes",$L$2:$L1895,"")-1)))</f>
        <v/>
      </c>
      <c r="N1895" s="22"/>
    </row>
    <row r="1896" spans="1:14" x14ac:dyDescent="0.3">
      <c r="A1896" s="15" t="str">
        <f>IF(COUNTA($B1896:$E1896,$K1896)=0,"",IF(AND($B1896&lt;&gt;"",$C1896&lt;&gt;"",$D1896&lt;&gt;"",$E1896&lt;&gt;""),"TXS"&amp;TEXT(COUNTIFS($B$2:$B1896,"&lt;&gt;",$C$2:$C1896,"&lt;&gt;",$D$2:$D1896,"&lt;&gt;",$E$2:$E1896,"&lt;&gt;"),"00000"),""))</f>
        <v/>
      </c>
      <c r="B1896" s="16"/>
      <c r="C1896" s="20"/>
      <c r="D1896" s="20"/>
      <c r="E1896" s="23"/>
      <c r="H1896" s="21" t="str">
        <f t="shared" si="93"/>
        <v/>
      </c>
      <c r="I1896" s="21" t="str">
        <f t="shared" si="92"/>
        <v/>
      </c>
      <c r="J1896" s="21" t="str">
        <f t="shared" si="94"/>
        <v/>
      </c>
      <c r="K1896" s="20"/>
      <c r="L1896" s="21" t="str">
        <f>IF(OR(NOT(AND($B1896&lt;&gt;"",$C1896&lt;&gt;"",$D1896&lt;&gt;"",$E1896&lt;&gt;"")),$A1896="",$K1896&lt;&gt;"Yes"),"",IF($L1896&lt;&gt;"",$L1896,INDEX(SETUP!$I$1:$I$2000,MATCH(TRUE,SETUP!$J$1:$J$2000,0)+COUNTIFS($A$2:$A1896,"&lt;&gt;",$K$2:$K1896,"Yes",$L$2:$L1896,"")-1)))</f>
        <v/>
      </c>
      <c r="N1896" s="22"/>
    </row>
    <row r="1897" spans="1:14" x14ac:dyDescent="0.3">
      <c r="A1897" s="15" t="str">
        <f>IF(COUNTA($B1897:$E1897,$K1897)=0,"",IF(AND($B1897&lt;&gt;"",$C1897&lt;&gt;"",$D1897&lt;&gt;"",$E1897&lt;&gt;""),"TXS"&amp;TEXT(COUNTIFS($B$2:$B1897,"&lt;&gt;",$C$2:$C1897,"&lt;&gt;",$D$2:$D1897,"&lt;&gt;",$E$2:$E1897,"&lt;&gt;"),"00000"),""))</f>
        <v/>
      </c>
      <c r="B1897" s="16"/>
      <c r="C1897" s="20"/>
      <c r="D1897" s="20"/>
      <c r="E1897" s="23"/>
      <c r="H1897" s="21" t="str">
        <f t="shared" si="93"/>
        <v/>
      </c>
      <c r="I1897" s="21" t="str">
        <f t="shared" ref="I1897:I1944" si="95">IF(NOT(AND($B1897&lt;&gt;"",$C1897&lt;&gt;"",$D1897&lt;&gt;"",$E1897&lt;&gt;"")),"",IF($A1897="","","NIH plate "&amp;INT((VALUE(RIGHT($A1897,5))-1)/96)+1&amp;": "&amp;CHAR(65+INT(MOD(VALUE(RIGHT($A1897,5))-1,96)/12))&amp;(MOD(VALUE(RIGHT($A1897,5))-1,12)+1)))</f>
        <v/>
      </c>
      <c r="J1897" s="21" t="str">
        <f t="shared" si="94"/>
        <v/>
      </c>
      <c r="K1897" s="20"/>
      <c r="L1897" s="21" t="str">
        <f>IF(OR(NOT(AND($B1897&lt;&gt;"",$C1897&lt;&gt;"",$D1897&lt;&gt;"",$E1897&lt;&gt;"")),$A1897="",$K1897&lt;&gt;"Yes"),"",IF($L1897&lt;&gt;"",$L1897,INDEX(SETUP!$I$1:$I$2000,MATCH(TRUE,SETUP!$J$1:$J$2000,0)+COUNTIFS($A$2:$A1897,"&lt;&gt;",$K$2:$K1897,"Yes",$L$2:$L1897,"")-1)))</f>
        <v/>
      </c>
      <c r="N1897" s="22"/>
    </row>
    <row r="1898" spans="1:14" x14ac:dyDescent="0.3">
      <c r="A1898" s="15" t="str">
        <f>IF(COUNTA($B1898:$E1898,$K1898)=0,"",IF(AND($B1898&lt;&gt;"",$C1898&lt;&gt;"",$D1898&lt;&gt;"",$E1898&lt;&gt;""),"TXS"&amp;TEXT(COUNTIFS($B$2:$B1898,"&lt;&gt;",$C$2:$C1898,"&lt;&gt;",$D$2:$D1898,"&lt;&gt;",$E$2:$E1898,"&lt;&gt;"),"00000"),""))</f>
        <v/>
      </c>
      <c r="B1898" s="16"/>
      <c r="C1898" s="20"/>
      <c r="D1898" s="20"/>
      <c r="E1898" s="23"/>
      <c r="H1898" s="21" t="str">
        <f t="shared" si="93"/>
        <v/>
      </c>
      <c r="I1898" s="21" t="str">
        <f t="shared" si="95"/>
        <v/>
      </c>
      <c r="J1898" s="21" t="str">
        <f t="shared" si="94"/>
        <v/>
      </c>
      <c r="K1898" s="20"/>
      <c r="L1898" s="21" t="str">
        <f>IF(OR(NOT(AND($B1898&lt;&gt;"",$C1898&lt;&gt;"",$D1898&lt;&gt;"",$E1898&lt;&gt;"")),$A1898="",$K1898&lt;&gt;"Yes"),"",IF($L1898&lt;&gt;"",$L1898,INDEX(SETUP!$I$1:$I$2000,MATCH(TRUE,SETUP!$J$1:$J$2000,0)+COUNTIFS($A$2:$A1898,"&lt;&gt;",$K$2:$K1898,"Yes",$L$2:$L1898,"")-1)))</f>
        <v/>
      </c>
      <c r="N1898" s="22"/>
    </row>
    <row r="1899" spans="1:14" x14ac:dyDescent="0.3">
      <c r="A1899" s="15" t="str">
        <f>IF(COUNTA($B1899:$E1899,$K1899)=0,"",IF(AND($B1899&lt;&gt;"",$C1899&lt;&gt;"",$D1899&lt;&gt;"",$E1899&lt;&gt;""),"TXS"&amp;TEXT(COUNTIFS($B$2:$B1899,"&lt;&gt;",$C$2:$C1899,"&lt;&gt;",$D$2:$D1899,"&lt;&gt;",$E$2:$E1899,"&lt;&gt;"),"00000"),""))</f>
        <v/>
      </c>
      <c r="B1899" s="16"/>
      <c r="C1899" s="20"/>
      <c r="D1899" s="20"/>
      <c r="E1899" s="23"/>
      <c r="H1899" s="21" t="str">
        <f t="shared" si="93"/>
        <v/>
      </c>
      <c r="I1899" s="21" t="str">
        <f t="shared" si="95"/>
        <v/>
      </c>
      <c r="J1899" s="21" t="str">
        <f t="shared" si="94"/>
        <v/>
      </c>
      <c r="K1899" s="20"/>
      <c r="L1899" s="21" t="str">
        <f>IF(OR(NOT(AND($B1899&lt;&gt;"",$C1899&lt;&gt;"",$D1899&lt;&gt;"",$E1899&lt;&gt;"")),$A1899="",$K1899&lt;&gt;"Yes"),"",IF($L1899&lt;&gt;"",$L1899,INDEX(SETUP!$I$1:$I$2000,MATCH(TRUE,SETUP!$J$1:$J$2000,0)+COUNTIFS($A$2:$A1899,"&lt;&gt;",$K$2:$K1899,"Yes",$L$2:$L1899,"")-1)))</f>
        <v/>
      </c>
      <c r="N1899" s="22"/>
    </row>
    <row r="1900" spans="1:14" x14ac:dyDescent="0.3">
      <c r="A1900" s="15" t="str">
        <f>IF(COUNTA($B1900:$E1900,$K1900)=0,"",IF(AND($B1900&lt;&gt;"",$C1900&lt;&gt;"",$D1900&lt;&gt;"",$E1900&lt;&gt;""),"TXS"&amp;TEXT(COUNTIFS($B$2:$B1900,"&lt;&gt;",$C$2:$C1900,"&lt;&gt;",$D$2:$D1900,"&lt;&gt;",$E$2:$E1900,"&lt;&gt;"),"00000"),""))</f>
        <v/>
      </c>
      <c r="B1900" s="16"/>
      <c r="C1900" s="20"/>
      <c r="D1900" s="20"/>
      <c r="E1900" s="23"/>
      <c r="H1900" s="21" t="str">
        <f t="shared" si="93"/>
        <v/>
      </c>
      <c r="I1900" s="21" t="str">
        <f t="shared" si="95"/>
        <v/>
      </c>
      <c r="J1900" s="21" t="str">
        <f t="shared" si="94"/>
        <v/>
      </c>
      <c r="K1900" s="20"/>
      <c r="L1900" s="21" t="str">
        <f>IF(OR(NOT(AND($B1900&lt;&gt;"",$C1900&lt;&gt;"",$D1900&lt;&gt;"",$E1900&lt;&gt;"")),$A1900="",$K1900&lt;&gt;"Yes"),"",IF($L1900&lt;&gt;"",$L1900,INDEX(SETUP!$I$1:$I$2000,MATCH(TRUE,SETUP!$J$1:$J$2000,0)+COUNTIFS($A$2:$A1900,"&lt;&gt;",$K$2:$K1900,"Yes",$L$2:$L1900,"")-1)))</f>
        <v/>
      </c>
      <c r="N1900" s="22"/>
    </row>
    <row r="1901" spans="1:14" x14ac:dyDescent="0.3">
      <c r="A1901" s="15" t="str">
        <f>IF(COUNTA($B1901:$E1901,$K1901)=0,"",IF(AND($B1901&lt;&gt;"",$C1901&lt;&gt;"",$D1901&lt;&gt;"",$E1901&lt;&gt;""),"TXS"&amp;TEXT(COUNTIFS($B$2:$B1901,"&lt;&gt;",$C$2:$C1901,"&lt;&gt;",$D$2:$D1901,"&lt;&gt;",$E$2:$E1901,"&lt;&gt;"),"00000"),""))</f>
        <v/>
      </c>
      <c r="B1901" s="16"/>
      <c r="C1901" s="20"/>
      <c r="D1901" s="20"/>
      <c r="E1901" s="23"/>
      <c r="H1901" s="21" t="str">
        <f t="shared" si="93"/>
        <v/>
      </c>
      <c r="I1901" s="21" t="str">
        <f t="shared" si="95"/>
        <v/>
      </c>
      <c r="J1901" s="21" t="str">
        <f t="shared" si="94"/>
        <v/>
      </c>
      <c r="K1901" s="20"/>
      <c r="L1901" s="21" t="str">
        <f>IF(OR(NOT(AND($B1901&lt;&gt;"",$C1901&lt;&gt;"",$D1901&lt;&gt;"",$E1901&lt;&gt;"")),$A1901="",$K1901&lt;&gt;"Yes"),"",IF($L1901&lt;&gt;"",$L1901,INDEX(SETUP!$I$1:$I$2000,MATCH(TRUE,SETUP!$J$1:$J$2000,0)+COUNTIFS($A$2:$A1901,"&lt;&gt;",$K$2:$K1901,"Yes",$L$2:$L1901,"")-1)))</f>
        <v/>
      </c>
      <c r="N1901" s="22"/>
    </row>
    <row r="1902" spans="1:14" x14ac:dyDescent="0.3">
      <c r="A1902" s="15" t="str">
        <f>IF(COUNTA($B1902:$E1902,$K1902)=0,"",IF(AND($B1902&lt;&gt;"",$C1902&lt;&gt;"",$D1902&lt;&gt;"",$E1902&lt;&gt;""),"TXS"&amp;TEXT(COUNTIFS($B$2:$B1902,"&lt;&gt;",$C$2:$C1902,"&lt;&gt;",$D$2:$D1902,"&lt;&gt;",$E$2:$E1902,"&lt;&gt;"),"00000"),""))</f>
        <v/>
      </c>
      <c r="B1902" s="16"/>
      <c r="C1902" s="20"/>
      <c r="D1902" s="20"/>
      <c r="E1902" s="23"/>
      <c r="H1902" s="21" t="str">
        <f t="shared" si="93"/>
        <v/>
      </c>
      <c r="I1902" s="21" t="str">
        <f t="shared" si="95"/>
        <v/>
      </c>
      <c r="J1902" s="21" t="str">
        <f t="shared" si="94"/>
        <v/>
      </c>
      <c r="K1902" s="20"/>
      <c r="L1902" s="21" t="str">
        <f>IF(OR(NOT(AND($B1902&lt;&gt;"",$C1902&lt;&gt;"",$D1902&lt;&gt;"",$E1902&lt;&gt;"")),$A1902="",$K1902&lt;&gt;"Yes"),"",IF($L1902&lt;&gt;"",$L1902,INDEX(SETUP!$I$1:$I$2000,MATCH(TRUE,SETUP!$J$1:$J$2000,0)+COUNTIFS($A$2:$A1902,"&lt;&gt;",$K$2:$K1902,"Yes",$L$2:$L1902,"")-1)))</f>
        <v/>
      </c>
      <c r="N1902" s="22"/>
    </row>
    <row r="1903" spans="1:14" x14ac:dyDescent="0.3">
      <c r="A1903" s="15" t="str">
        <f>IF(COUNTA($B1903:$E1903,$K1903)=0,"",IF(AND($B1903&lt;&gt;"",$C1903&lt;&gt;"",$D1903&lt;&gt;"",$E1903&lt;&gt;""),"TXS"&amp;TEXT(COUNTIFS($B$2:$B1903,"&lt;&gt;",$C$2:$C1903,"&lt;&gt;",$D$2:$D1903,"&lt;&gt;",$E$2:$E1903,"&lt;&gt;"),"00000"),""))</f>
        <v/>
      </c>
      <c r="B1903" s="16"/>
      <c r="C1903" s="20"/>
      <c r="D1903" s="20"/>
      <c r="E1903" s="23"/>
      <c r="H1903" s="21" t="str">
        <f t="shared" ref="H1903:H1944" si="96">IF(NOT(AND($B1903&lt;&gt;"",$C1903&lt;&gt;"",$D1903&lt;&gt;"",$E1903&lt;&gt;"")),"",IF($A1903="","","CDI plate "&amp;INT((VALUE(RIGHT($A1903,5))-1)/96)+1&amp;": "&amp;CHAR(65+INT(MOD(VALUE(RIGHT($A1903,5))-1,96)/12))&amp;(MOD(VALUE(RIGHT($A1903,5))-1,12)+1)))</f>
        <v/>
      </c>
      <c r="I1903" s="21" t="str">
        <f t="shared" si="95"/>
        <v/>
      </c>
      <c r="J1903" s="21" t="str">
        <f t="shared" si="94"/>
        <v/>
      </c>
      <c r="K1903" s="20"/>
      <c r="L1903" s="21" t="str">
        <f>IF(OR(NOT(AND($B1903&lt;&gt;"",$C1903&lt;&gt;"",$D1903&lt;&gt;"",$E1903&lt;&gt;"")),$A1903="",$K1903&lt;&gt;"Yes"),"",IF($L1903&lt;&gt;"",$L1903,INDEX(SETUP!$I$1:$I$2000,MATCH(TRUE,SETUP!$J$1:$J$2000,0)+COUNTIFS($A$2:$A1903,"&lt;&gt;",$K$2:$K1903,"Yes",$L$2:$L1903,"")-1)))</f>
        <v/>
      </c>
      <c r="N1903" s="22"/>
    </row>
    <row r="1904" spans="1:14" x14ac:dyDescent="0.3">
      <c r="A1904" s="15" t="str">
        <f>IF(COUNTA($B1904:$E1904,$K1904)=0,"",IF(AND($B1904&lt;&gt;"",$C1904&lt;&gt;"",$D1904&lt;&gt;"",$E1904&lt;&gt;""),"TXS"&amp;TEXT(COUNTIFS($B$2:$B1904,"&lt;&gt;",$C$2:$C1904,"&lt;&gt;",$D$2:$D1904,"&lt;&gt;",$E$2:$E1904,"&lt;&gt;"),"00000"),""))</f>
        <v/>
      </c>
      <c r="B1904" s="16"/>
      <c r="C1904" s="20"/>
      <c r="D1904" s="20"/>
      <c r="E1904" s="23"/>
      <c r="H1904" s="21" t="str">
        <f t="shared" si="96"/>
        <v/>
      </c>
      <c r="I1904" s="21" t="str">
        <f t="shared" si="95"/>
        <v/>
      </c>
      <c r="J1904" s="21" t="str">
        <f t="shared" si="94"/>
        <v/>
      </c>
      <c r="K1904" s="20"/>
      <c r="L1904" s="21" t="str">
        <f>IF(OR(NOT(AND($B1904&lt;&gt;"",$C1904&lt;&gt;"",$D1904&lt;&gt;"",$E1904&lt;&gt;"")),$A1904="",$K1904&lt;&gt;"Yes"),"",IF($L1904&lt;&gt;"",$L1904,INDEX(SETUP!$I$1:$I$2000,MATCH(TRUE,SETUP!$J$1:$J$2000,0)+COUNTIFS($A$2:$A1904,"&lt;&gt;",$K$2:$K1904,"Yes",$L$2:$L1904,"")-1)))</f>
        <v/>
      </c>
      <c r="N1904" s="22"/>
    </row>
    <row r="1905" spans="1:14" x14ac:dyDescent="0.3">
      <c r="A1905" s="15" t="str">
        <f>IF(COUNTA($B1905:$E1905,$K1905)=0,"",IF(AND($B1905&lt;&gt;"",$C1905&lt;&gt;"",$D1905&lt;&gt;"",$E1905&lt;&gt;""),"TXS"&amp;TEXT(COUNTIFS($B$2:$B1905,"&lt;&gt;",$C$2:$C1905,"&lt;&gt;",$D$2:$D1905,"&lt;&gt;",$E$2:$E1905,"&lt;&gt;"),"00000"),""))</f>
        <v/>
      </c>
      <c r="B1905" s="16"/>
      <c r="C1905" s="20"/>
      <c r="D1905" s="20"/>
      <c r="E1905" s="23"/>
      <c r="H1905" s="21" t="str">
        <f t="shared" si="96"/>
        <v/>
      </c>
      <c r="I1905" s="21" t="str">
        <f t="shared" si="95"/>
        <v/>
      </c>
      <c r="J1905" s="21" t="str">
        <f t="shared" si="94"/>
        <v/>
      </c>
      <c r="K1905" s="20"/>
      <c r="L1905" s="21" t="str">
        <f>IF(OR(NOT(AND($B1905&lt;&gt;"",$C1905&lt;&gt;"",$D1905&lt;&gt;"",$E1905&lt;&gt;"")),$A1905="",$K1905&lt;&gt;"Yes"),"",IF($L1905&lt;&gt;"",$L1905,INDEX(SETUP!$I$1:$I$2000,MATCH(TRUE,SETUP!$J$1:$J$2000,0)+COUNTIFS($A$2:$A1905,"&lt;&gt;",$K$2:$K1905,"Yes",$L$2:$L1905,"")-1)))</f>
        <v/>
      </c>
      <c r="N1905" s="22"/>
    </row>
    <row r="1906" spans="1:14" x14ac:dyDescent="0.3">
      <c r="A1906" s="15" t="str">
        <f>IF(COUNTA($B1906:$E1906,$K1906)=0,"",IF(AND($B1906&lt;&gt;"",$C1906&lt;&gt;"",$D1906&lt;&gt;"",$E1906&lt;&gt;""),"TXS"&amp;TEXT(COUNTIFS($B$2:$B1906,"&lt;&gt;",$C$2:$C1906,"&lt;&gt;",$D$2:$D1906,"&lt;&gt;",$E$2:$E1906,"&lt;&gt;"),"00000"),""))</f>
        <v/>
      </c>
      <c r="B1906" s="16"/>
      <c r="C1906" s="20"/>
      <c r="D1906" s="20"/>
      <c r="E1906" s="23"/>
      <c r="H1906" s="21" t="str">
        <f t="shared" si="96"/>
        <v/>
      </c>
      <c r="I1906" s="21" t="str">
        <f t="shared" si="95"/>
        <v/>
      </c>
      <c r="J1906" s="21" t="str">
        <f t="shared" ref="J1906:J1944" si="97">IF(NOT(AND($B1906&lt;&gt;"",$C1906&lt;&gt;"",$D1906&lt;&gt;"",$E1906&lt;&gt;"")),"",IF($A1906="","","Max Planck plate "&amp;INT((VALUE(RIGHT($A1906,5))-1)/96)+1&amp;": "&amp;CHAR(65+INT(MOD(VALUE(RIGHT($A1906,5))-1,96)/12))&amp;(MOD(VALUE(RIGHT($A1906,5))-1,12)+1)))</f>
        <v/>
      </c>
      <c r="K1906" s="20"/>
      <c r="L1906" s="21" t="str">
        <f>IF(OR(NOT(AND($B1906&lt;&gt;"",$C1906&lt;&gt;"",$D1906&lt;&gt;"",$E1906&lt;&gt;"")),$A1906="",$K1906&lt;&gt;"Yes"),"",IF($L1906&lt;&gt;"",$L1906,INDEX(SETUP!$I$1:$I$2000,MATCH(TRUE,SETUP!$J$1:$J$2000,0)+COUNTIFS($A$2:$A1906,"&lt;&gt;",$K$2:$K1906,"Yes",$L$2:$L1906,"")-1)))</f>
        <v/>
      </c>
      <c r="N1906" s="22"/>
    </row>
    <row r="1907" spans="1:14" x14ac:dyDescent="0.3">
      <c r="A1907" s="15" t="str">
        <f>IF(COUNTA($B1907:$E1907,$K1907)=0,"",IF(AND($B1907&lt;&gt;"",$C1907&lt;&gt;"",$D1907&lt;&gt;"",$E1907&lt;&gt;""),"TXS"&amp;TEXT(COUNTIFS($B$2:$B1907,"&lt;&gt;",$C$2:$C1907,"&lt;&gt;",$D$2:$D1907,"&lt;&gt;",$E$2:$E1907,"&lt;&gt;"),"00000"),""))</f>
        <v/>
      </c>
      <c r="B1907" s="16"/>
      <c r="C1907" s="20"/>
      <c r="D1907" s="20"/>
      <c r="E1907" s="23"/>
      <c r="H1907" s="21" t="str">
        <f t="shared" si="96"/>
        <v/>
      </c>
      <c r="I1907" s="21" t="str">
        <f t="shared" si="95"/>
        <v/>
      </c>
      <c r="J1907" s="21" t="str">
        <f t="shared" si="97"/>
        <v/>
      </c>
      <c r="K1907" s="20"/>
      <c r="L1907" s="21" t="str">
        <f>IF(OR(NOT(AND($B1907&lt;&gt;"",$C1907&lt;&gt;"",$D1907&lt;&gt;"",$E1907&lt;&gt;"")),$A1907="",$K1907&lt;&gt;"Yes"),"",IF($L1907&lt;&gt;"",$L1907,INDEX(SETUP!$I$1:$I$2000,MATCH(TRUE,SETUP!$J$1:$J$2000,0)+COUNTIFS($A$2:$A1907,"&lt;&gt;",$K$2:$K1907,"Yes",$L$2:$L1907,"")-1)))</f>
        <v/>
      </c>
      <c r="N1907" s="22"/>
    </row>
    <row r="1908" spans="1:14" x14ac:dyDescent="0.3">
      <c r="A1908" s="15" t="str">
        <f>IF(COUNTA($B1908:$E1908,$K1908)=0,"",IF(AND($B1908&lt;&gt;"",$C1908&lt;&gt;"",$D1908&lt;&gt;"",$E1908&lt;&gt;""),"TXS"&amp;TEXT(COUNTIFS($B$2:$B1908,"&lt;&gt;",$C$2:$C1908,"&lt;&gt;",$D$2:$D1908,"&lt;&gt;",$E$2:$E1908,"&lt;&gt;"),"00000"),""))</f>
        <v/>
      </c>
      <c r="B1908" s="16"/>
      <c r="C1908" s="20"/>
      <c r="D1908" s="20"/>
      <c r="E1908" s="23"/>
      <c r="H1908" s="21" t="str">
        <f t="shared" si="96"/>
        <v/>
      </c>
      <c r="I1908" s="21" t="str">
        <f t="shared" si="95"/>
        <v/>
      </c>
      <c r="J1908" s="21" t="str">
        <f t="shared" si="97"/>
        <v/>
      </c>
      <c r="K1908" s="20"/>
      <c r="L1908" s="21" t="str">
        <f>IF(OR(NOT(AND($B1908&lt;&gt;"",$C1908&lt;&gt;"",$D1908&lt;&gt;"",$E1908&lt;&gt;"")),$A1908="",$K1908&lt;&gt;"Yes"),"",IF($L1908&lt;&gt;"",$L1908,INDEX(SETUP!$I$1:$I$2000,MATCH(TRUE,SETUP!$J$1:$J$2000,0)+COUNTIFS($A$2:$A1908,"&lt;&gt;",$K$2:$K1908,"Yes",$L$2:$L1908,"")-1)))</f>
        <v/>
      </c>
      <c r="N1908" s="22"/>
    </row>
    <row r="1909" spans="1:14" x14ac:dyDescent="0.3">
      <c r="A1909" s="15" t="str">
        <f>IF(COUNTA($B1909:$E1909,$K1909)=0,"",IF(AND($B1909&lt;&gt;"",$C1909&lt;&gt;"",$D1909&lt;&gt;"",$E1909&lt;&gt;""),"TXS"&amp;TEXT(COUNTIFS($B$2:$B1909,"&lt;&gt;",$C$2:$C1909,"&lt;&gt;",$D$2:$D1909,"&lt;&gt;",$E$2:$E1909,"&lt;&gt;"),"00000"),""))</f>
        <v/>
      </c>
      <c r="B1909" s="16"/>
      <c r="C1909" s="20"/>
      <c r="D1909" s="20"/>
      <c r="E1909" s="23"/>
      <c r="H1909" s="21" t="str">
        <f t="shared" si="96"/>
        <v/>
      </c>
      <c r="I1909" s="21" t="str">
        <f t="shared" si="95"/>
        <v/>
      </c>
      <c r="J1909" s="21" t="str">
        <f t="shared" si="97"/>
        <v/>
      </c>
      <c r="K1909" s="20"/>
      <c r="L1909" s="21" t="str">
        <f>IF(OR(NOT(AND($B1909&lt;&gt;"",$C1909&lt;&gt;"",$D1909&lt;&gt;"",$E1909&lt;&gt;"")),$A1909="",$K1909&lt;&gt;"Yes"),"",IF($L1909&lt;&gt;"",$L1909,INDEX(SETUP!$I$1:$I$2000,MATCH(TRUE,SETUP!$J$1:$J$2000,0)+COUNTIFS($A$2:$A1909,"&lt;&gt;",$K$2:$K1909,"Yes",$L$2:$L1909,"")-1)))</f>
        <v/>
      </c>
      <c r="N1909" s="22"/>
    </row>
    <row r="1910" spans="1:14" x14ac:dyDescent="0.3">
      <c r="A1910" s="15" t="str">
        <f>IF(COUNTA($B1910:$E1910,$K1910)=0,"",IF(AND($B1910&lt;&gt;"",$C1910&lt;&gt;"",$D1910&lt;&gt;"",$E1910&lt;&gt;""),"TXS"&amp;TEXT(COUNTIFS($B$2:$B1910,"&lt;&gt;",$C$2:$C1910,"&lt;&gt;",$D$2:$D1910,"&lt;&gt;",$E$2:$E1910,"&lt;&gt;"),"00000"),""))</f>
        <v/>
      </c>
      <c r="B1910" s="16"/>
      <c r="C1910" s="20"/>
      <c r="D1910" s="20"/>
      <c r="E1910" s="23"/>
      <c r="H1910" s="21" t="str">
        <f t="shared" si="96"/>
        <v/>
      </c>
      <c r="I1910" s="21" t="str">
        <f t="shared" si="95"/>
        <v/>
      </c>
      <c r="J1910" s="21" t="str">
        <f t="shared" si="97"/>
        <v/>
      </c>
      <c r="K1910" s="20"/>
      <c r="L1910" s="21" t="str">
        <f>IF(OR(NOT(AND($B1910&lt;&gt;"",$C1910&lt;&gt;"",$D1910&lt;&gt;"",$E1910&lt;&gt;"")),$A1910="",$K1910&lt;&gt;"Yes"),"",IF($L1910&lt;&gt;"",$L1910,INDEX(SETUP!$I$1:$I$2000,MATCH(TRUE,SETUP!$J$1:$J$2000,0)+COUNTIFS($A$2:$A1910,"&lt;&gt;",$K$2:$K1910,"Yes",$L$2:$L1910,"")-1)))</f>
        <v/>
      </c>
      <c r="N1910" s="22"/>
    </row>
    <row r="1911" spans="1:14" x14ac:dyDescent="0.3">
      <c r="A1911" s="15" t="str">
        <f>IF(COUNTA($B1911:$E1911,$K1911)=0,"",IF(AND($B1911&lt;&gt;"",$C1911&lt;&gt;"",$D1911&lt;&gt;"",$E1911&lt;&gt;""),"TXS"&amp;TEXT(COUNTIFS($B$2:$B1911,"&lt;&gt;",$C$2:$C1911,"&lt;&gt;",$D$2:$D1911,"&lt;&gt;",$E$2:$E1911,"&lt;&gt;"),"00000"),""))</f>
        <v/>
      </c>
      <c r="B1911" s="16"/>
      <c r="C1911" s="20"/>
      <c r="D1911" s="20"/>
      <c r="E1911" s="23"/>
      <c r="H1911" s="21" t="str">
        <f t="shared" si="96"/>
        <v/>
      </c>
      <c r="I1911" s="21" t="str">
        <f t="shared" si="95"/>
        <v/>
      </c>
      <c r="J1911" s="21" t="str">
        <f t="shared" si="97"/>
        <v/>
      </c>
      <c r="K1911" s="20"/>
      <c r="L1911" s="21" t="str">
        <f>IF(OR(NOT(AND($B1911&lt;&gt;"",$C1911&lt;&gt;"",$D1911&lt;&gt;"",$E1911&lt;&gt;"")),$A1911="",$K1911&lt;&gt;"Yes"),"",IF($L1911&lt;&gt;"",$L1911,INDEX(SETUP!$I$1:$I$2000,MATCH(TRUE,SETUP!$J$1:$J$2000,0)+COUNTIFS($A$2:$A1911,"&lt;&gt;",$K$2:$K1911,"Yes",$L$2:$L1911,"")-1)))</f>
        <v/>
      </c>
      <c r="N1911" s="22"/>
    </row>
    <row r="1912" spans="1:14" x14ac:dyDescent="0.3">
      <c r="A1912" s="15" t="str">
        <f>IF(COUNTA($B1912:$E1912,$K1912)=0,"",IF(AND($B1912&lt;&gt;"",$C1912&lt;&gt;"",$D1912&lt;&gt;"",$E1912&lt;&gt;""),"TXS"&amp;TEXT(COUNTIFS($B$2:$B1912,"&lt;&gt;",$C$2:$C1912,"&lt;&gt;",$D$2:$D1912,"&lt;&gt;",$E$2:$E1912,"&lt;&gt;"),"00000"),""))</f>
        <v/>
      </c>
      <c r="B1912" s="16"/>
      <c r="C1912" s="20"/>
      <c r="D1912" s="20"/>
      <c r="E1912" s="23"/>
      <c r="H1912" s="21" t="str">
        <f t="shared" si="96"/>
        <v/>
      </c>
      <c r="I1912" s="21" t="str">
        <f t="shared" si="95"/>
        <v/>
      </c>
      <c r="J1912" s="21" t="str">
        <f t="shared" si="97"/>
        <v/>
      </c>
      <c r="K1912" s="20"/>
      <c r="L1912" s="21" t="str">
        <f>IF(OR(NOT(AND($B1912&lt;&gt;"",$C1912&lt;&gt;"",$D1912&lt;&gt;"",$E1912&lt;&gt;"")),$A1912="",$K1912&lt;&gt;"Yes"),"",IF($L1912&lt;&gt;"",$L1912,INDEX(SETUP!$I$1:$I$2000,MATCH(TRUE,SETUP!$J$1:$J$2000,0)+COUNTIFS($A$2:$A1912,"&lt;&gt;",$K$2:$K1912,"Yes",$L$2:$L1912,"")-1)))</f>
        <v/>
      </c>
      <c r="N1912" s="22"/>
    </row>
    <row r="1913" spans="1:14" x14ac:dyDescent="0.3">
      <c r="A1913" s="15" t="str">
        <f>IF(COUNTA($B1913:$E1913,$K1913)=0,"",IF(AND($B1913&lt;&gt;"",$C1913&lt;&gt;"",$D1913&lt;&gt;"",$E1913&lt;&gt;""),"TXS"&amp;TEXT(COUNTIFS($B$2:$B1913,"&lt;&gt;",$C$2:$C1913,"&lt;&gt;",$D$2:$D1913,"&lt;&gt;",$E$2:$E1913,"&lt;&gt;"),"00000"),""))</f>
        <v/>
      </c>
      <c r="B1913" s="16"/>
      <c r="C1913" s="20"/>
      <c r="D1913" s="20"/>
      <c r="E1913" s="23"/>
      <c r="H1913" s="21" t="str">
        <f t="shared" si="96"/>
        <v/>
      </c>
      <c r="I1913" s="21" t="str">
        <f t="shared" si="95"/>
        <v/>
      </c>
      <c r="J1913" s="21" t="str">
        <f t="shared" si="97"/>
        <v/>
      </c>
      <c r="K1913" s="20"/>
      <c r="L1913" s="21" t="str">
        <f>IF(OR(NOT(AND($B1913&lt;&gt;"",$C1913&lt;&gt;"",$D1913&lt;&gt;"",$E1913&lt;&gt;"")),$A1913="",$K1913&lt;&gt;"Yes"),"",IF($L1913&lt;&gt;"",$L1913,INDEX(SETUP!$I$1:$I$2000,MATCH(TRUE,SETUP!$J$1:$J$2000,0)+COUNTIFS($A$2:$A1913,"&lt;&gt;",$K$2:$K1913,"Yes",$L$2:$L1913,"")-1)))</f>
        <v/>
      </c>
      <c r="N1913" s="22"/>
    </row>
    <row r="1914" spans="1:14" x14ac:dyDescent="0.3">
      <c r="A1914" s="15" t="str">
        <f>IF(COUNTA($B1914:$E1914,$K1914)=0,"",IF(AND($B1914&lt;&gt;"",$C1914&lt;&gt;"",$D1914&lt;&gt;"",$E1914&lt;&gt;""),"TXS"&amp;TEXT(COUNTIFS($B$2:$B1914,"&lt;&gt;",$C$2:$C1914,"&lt;&gt;",$D$2:$D1914,"&lt;&gt;",$E$2:$E1914,"&lt;&gt;"),"00000"),""))</f>
        <v/>
      </c>
      <c r="B1914" s="16"/>
      <c r="C1914" s="20"/>
      <c r="D1914" s="20"/>
      <c r="E1914" s="23"/>
      <c r="H1914" s="21" t="str">
        <f t="shared" si="96"/>
        <v/>
      </c>
      <c r="I1914" s="21" t="str">
        <f t="shared" si="95"/>
        <v/>
      </c>
      <c r="J1914" s="21" t="str">
        <f t="shared" si="97"/>
        <v/>
      </c>
      <c r="K1914" s="20"/>
      <c r="L1914" s="21" t="str">
        <f>IF(OR(NOT(AND($B1914&lt;&gt;"",$C1914&lt;&gt;"",$D1914&lt;&gt;"",$E1914&lt;&gt;"")),$A1914="",$K1914&lt;&gt;"Yes"),"",IF($L1914&lt;&gt;"",$L1914,INDEX(SETUP!$I$1:$I$2000,MATCH(TRUE,SETUP!$J$1:$J$2000,0)+COUNTIFS($A$2:$A1914,"&lt;&gt;",$K$2:$K1914,"Yes",$L$2:$L1914,"")-1)))</f>
        <v/>
      </c>
      <c r="N1914" s="22"/>
    </row>
    <row r="1915" spans="1:14" x14ac:dyDescent="0.3">
      <c r="A1915" s="15" t="str">
        <f>IF(COUNTA($B1915:$E1915,$K1915)=0,"",IF(AND($B1915&lt;&gt;"",$C1915&lt;&gt;"",$D1915&lt;&gt;"",$E1915&lt;&gt;""),"TXS"&amp;TEXT(COUNTIFS($B$2:$B1915,"&lt;&gt;",$C$2:$C1915,"&lt;&gt;",$D$2:$D1915,"&lt;&gt;",$E$2:$E1915,"&lt;&gt;"),"00000"),""))</f>
        <v/>
      </c>
      <c r="B1915" s="16"/>
      <c r="C1915" s="20"/>
      <c r="D1915" s="20"/>
      <c r="E1915" s="23"/>
      <c r="H1915" s="21" t="str">
        <f t="shared" si="96"/>
        <v/>
      </c>
      <c r="I1915" s="21" t="str">
        <f t="shared" si="95"/>
        <v/>
      </c>
      <c r="J1915" s="21" t="str">
        <f t="shared" si="97"/>
        <v/>
      </c>
      <c r="K1915" s="20"/>
      <c r="L1915" s="21" t="str">
        <f>IF(OR(NOT(AND($B1915&lt;&gt;"",$C1915&lt;&gt;"",$D1915&lt;&gt;"",$E1915&lt;&gt;"")),$A1915="",$K1915&lt;&gt;"Yes"),"",IF($L1915&lt;&gt;"",$L1915,INDEX(SETUP!$I$1:$I$2000,MATCH(TRUE,SETUP!$J$1:$J$2000,0)+COUNTIFS($A$2:$A1915,"&lt;&gt;",$K$2:$K1915,"Yes",$L$2:$L1915,"")-1)))</f>
        <v/>
      </c>
      <c r="N1915" s="22"/>
    </row>
    <row r="1916" spans="1:14" x14ac:dyDescent="0.3">
      <c r="A1916" s="15" t="str">
        <f>IF(COUNTA($B1916:$E1916,$K1916)=0,"",IF(AND($B1916&lt;&gt;"",$C1916&lt;&gt;"",$D1916&lt;&gt;"",$E1916&lt;&gt;""),"TXS"&amp;TEXT(COUNTIFS($B$2:$B1916,"&lt;&gt;",$C$2:$C1916,"&lt;&gt;",$D$2:$D1916,"&lt;&gt;",$E$2:$E1916,"&lt;&gt;"),"00000"),""))</f>
        <v/>
      </c>
      <c r="B1916" s="16"/>
      <c r="C1916" s="20"/>
      <c r="D1916" s="20"/>
      <c r="E1916" s="23"/>
      <c r="H1916" s="21" t="str">
        <f t="shared" si="96"/>
        <v/>
      </c>
      <c r="I1916" s="21" t="str">
        <f t="shared" si="95"/>
        <v/>
      </c>
      <c r="J1916" s="21" t="str">
        <f t="shared" si="97"/>
        <v/>
      </c>
      <c r="K1916" s="20"/>
      <c r="L1916" s="21" t="str">
        <f>IF(OR(NOT(AND($B1916&lt;&gt;"",$C1916&lt;&gt;"",$D1916&lt;&gt;"",$E1916&lt;&gt;"")),$A1916="",$K1916&lt;&gt;"Yes"),"",IF($L1916&lt;&gt;"",$L1916,INDEX(SETUP!$I$1:$I$2000,MATCH(TRUE,SETUP!$J$1:$J$2000,0)+COUNTIFS($A$2:$A1916,"&lt;&gt;",$K$2:$K1916,"Yes",$L$2:$L1916,"")-1)))</f>
        <v/>
      </c>
      <c r="N1916" s="22"/>
    </row>
    <row r="1917" spans="1:14" x14ac:dyDescent="0.3">
      <c r="A1917" s="15" t="str">
        <f>IF(COUNTA($B1917:$E1917,$K1917)=0,"",IF(AND($B1917&lt;&gt;"",$C1917&lt;&gt;"",$D1917&lt;&gt;"",$E1917&lt;&gt;""),"TXS"&amp;TEXT(COUNTIFS($B$2:$B1917,"&lt;&gt;",$C$2:$C1917,"&lt;&gt;",$D$2:$D1917,"&lt;&gt;",$E$2:$E1917,"&lt;&gt;"),"00000"),""))</f>
        <v/>
      </c>
      <c r="B1917" s="16"/>
      <c r="C1917" s="20"/>
      <c r="D1917" s="20"/>
      <c r="E1917" s="23"/>
      <c r="H1917" s="21" t="str">
        <f t="shared" si="96"/>
        <v/>
      </c>
      <c r="I1917" s="21" t="str">
        <f t="shared" si="95"/>
        <v/>
      </c>
      <c r="J1917" s="21" t="str">
        <f t="shared" si="97"/>
        <v/>
      </c>
      <c r="K1917" s="20"/>
      <c r="L1917" s="21" t="str">
        <f>IF(OR(NOT(AND($B1917&lt;&gt;"",$C1917&lt;&gt;"",$D1917&lt;&gt;"",$E1917&lt;&gt;"")),$A1917="",$K1917&lt;&gt;"Yes"),"",IF($L1917&lt;&gt;"",$L1917,INDEX(SETUP!$I$1:$I$2000,MATCH(TRUE,SETUP!$J$1:$J$2000,0)+COUNTIFS($A$2:$A1917,"&lt;&gt;",$K$2:$K1917,"Yes",$L$2:$L1917,"")-1)))</f>
        <v/>
      </c>
      <c r="N1917" s="22"/>
    </row>
    <row r="1918" spans="1:14" x14ac:dyDescent="0.3">
      <c r="A1918" s="15" t="str">
        <f>IF(COUNTA($B1918:$E1918,$K1918)=0,"",IF(AND($B1918&lt;&gt;"",$C1918&lt;&gt;"",$D1918&lt;&gt;"",$E1918&lt;&gt;""),"TXS"&amp;TEXT(COUNTIFS($B$2:$B1918,"&lt;&gt;",$C$2:$C1918,"&lt;&gt;",$D$2:$D1918,"&lt;&gt;",$E$2:$E1918,"&lt;&gt;"),"00000"),""))</f>
        <v/>
      </c>
      <c r="B1918" s="16"/>
      <c r="C1918" s="20"/>
      <c r="D1918" s="20"/>
      <c r="E1918" s="23"/>
      <c r="H1918" s="21" t="str">
        <f t="shared" si="96"/>
        <v/>
      </c>
      <c r="I1918" s="21" t="str">
        <f t="shared" si="95"/>
        <v/>
      </c>
      <c r="J1918" s="21" t="str">
        <f t="shared" si="97"/>
        <v/>
      </c>
      <c r="K1918" s="20"/>
      <c r="L1918" s="21" t="str">
        <f>IF(OR(NOT(AND($B1918&lt;&gt;"",$C1918&lt;&gt;"",$D1918&lt;&gt;"",$E1918&lt;&gt;"")),$A1918="",$K1918&lt;&gt;"Yes"),"",IF($L1918&lt;&gt;"",$L1918,INDEX(SETUP!$I$1:$I$2000,MATCH(TRUE,SETUP!$J$1:$J$2000,0)+COUNTIFS($A$2:$A1918,"&lt;&gt;",$K$2:$K1918,"Yes",$L$2:$L1918,"")-1)))</f>
        <v/>
      </c>
      <c r="N1918" s="22"/>
    </row>
    <row r="1919" spans="1:14" x14ac:dyDescent="0.3">
      <c r="A1919" s="15" t="str">
        <f>IF(COUNTA($B1919:$E1919,$K1919)=0,"",IF(AND($B1919&lt;&gt;"",$C1919&lt;&gt;"",$D1919&lt;&gt;"",$E1919&lt;&gt;""),"TXS"&amp;TEXT(COUNTIFS($B$2:$B1919,"&lt;&gt;",$C$2:$C1919,"&lt;&gt;",$D$2:$D1919,"&lt;&gt;",$E$2:$E1919,"&lt;&gt;"),"00000"),""))</f>
        <v/>
      </c>
      <c r="B1919" s="16"/>
      <c r="C1919" s="20"/>
      <c r="D1919" s="20"/>
      <c r="E1919" s="23"/>
      <c r="H1919" s="21" t="str">
        <f t="shared" si="96"/>
        <v/>
      </c>
      <c r="I1919" s="21" t="str">
        <f t="shared" si="95"/>
        <v/>
      </c>
      <c r="J1919" s="21" t="str">
        <f t="shared" si="97"/>
        <v/>
      </c>
      <c r="K1919" s="20"/>
      <c r="L1919" s="21" t="str">
        <f>IF(OR(NOT(AND($B1919&lt;&gt;"",$C1919&lt;&gt;"",$D1919&lt;&gt;"",$E1919&lt;&gt;"")),$A1919="",$K1919&lt;&gt;"Yes"),"",IF($L1919&lt;&gt;"",$L1919,INDEX(SETUP!$I$1:$I$2000,MATCH(TRUE,SETUP!$J$1:$J$2000,0)+COUNTIFS($A$2:$A1919,"&lt;&gt;",$K$2:$K1919,"Yes",$L$2:$L1919,"")-1)))</f>
        <v/>
      </c>
      <c r="N1919" s="22"/>
    </row>
    <row r="1920" spans="1:14" x14ac:dyDescent="0.3">
      <c r="A1920" s="15" t="str">
        <f>IF(COUNTA($B1920:$E1920,$K1920)=0,"",IF(AND($B1920&lt;&gt;"",$C1920&lt;&gt;"",$D1920&lt;&gt;"",$E1920&lt;&gt;""),"TXS"&amp;TEXT(COUNTIFS($B$2:$B1920,"&lt;&gt;",$C$2:$C1920,"&lt;&gt;",$D$2:$D1920,"&lt;&gt;",$E$2:$E1920,"&lt;&gt;"),"00000"),""))</f>
        <v/>
      </c>
      <c r="B1920" s="16"/>
      <c r="C1920" s="20"/>
      <c r="D1920" s="20"/>
      <c r="E1920" s="23"/>
      <c r="H1920" s="21" t="str">
        <f t="shared" si="96"/>
        <v/>
      </c>
      <c r="I1920" s="21" t="str">
        <f t="shared" si="95"/>
        <v/>
      </c>
      <c r="J1920" s="21" t="str">
        <f t="shared" si="97"/>
        <v/>
      </c>
      <c r="K1920" s="20"/>
      <c r="L1920" s="21" t="str">
        <f>IF(OR(NOT(AND($B1920&lt;&gt;"",$C1920&lt;&gt;"",$D1920&lt;&gt;"",$E1920&lt;&gt;"")),$A1920="",$K1920&lt;&gt;"Yes"),"",IF($L1920&lt;&gt;"",$L1920,INDEX(SETUP!$I$1:$I$2000,MATCH(TRUE,SETUP!$J$1:$J$2000,0)+COUNTIFS($A$2:$A1920,"&lt;&gt;",$K$2:$K1920,"Yes",$L$2:$L1920,"")-1)))</f>
        <v/>
      </c>
      <c r="N1920" s="22"/>
    </row>
    <row r="1921" spans="1:14" x14ac:dyDescent="0.3">
      <c r="A1921" s="15" t="str">
        <f>IF(COUNTA($B1921:$E1921,$K1921)=0,"",IF(AND($B1921&lt;&gt;"",$C1921&lt;&gt;"",$D1921&lt;&gt;"",$E1921&lt;&gt;""),"TXS"&amp;TEXT(COUNTIFS($B$2:$B1921,"&lt;&gt;",$C$2:$C1921,"&lt;&gt;",$D$2:$D1921,"&lt;&gt;",$E$2:$E1921,"&lt;&gt;"),"00000"),""))</f>
        <v/>
      </c>
      <c r="B1921" s="16"/>
      <c r="C1921" s="20"/>
      <c r="D1921" s="20"/>
      <c r="E1921" s="23"/>
      <c r="H1921" s="21" t="str">
        <f t="shared" si="96"/>
        <v/>
      </c>
      <c r="I1921" s="21" t="str">
        <f t="shared" si="95"/>
        <v/>
      </c>
      <c r="J1921" s="21" t="str">
        <f t="shared" si="97"/>
        <v/>
      </c>
      <c r="K1921" s="20"/>
      <c r="L1921" s="21" t="str">
        <f>IF(OR(NOT(AND($B1921&lt;&gt;"",$C1921&lt;&gt;"",$D1921&lt;&gt;"",$E1921&lt;&gt;"")),$A1921="",$K1921&lt;&gt;"Yes"),"",IF($L1921&lt;&gt;"",$L1921,INDEX(SETUP!$I$1:$I$2000,MATCH(TRUE,SETUP!$J$1:$J$2000,0)+COUNTIFS($A$2:$A1921,"&lt;&gt;",$K$2:$K1921,"Yes",$L$2:$L1921,"")-1)))</f>
        <v/>
      </c>
      <c r="N1921" s="22"/>
    </row>
    <row r="1922" spans="1:14" x14ac:dyDescent="0.3">
      <c r="A1922" s="15" t="str">
        <f>IF(COUNTA($B1922:$E1922,$K1922)=0,"",IF(AND($B1922&lt;&gt;"",$C1922&lt;&gt;"",$D1922&lt;&gt;"",$E1922&lt;&gt;""),"TXS"&amp;TEXT(COUNTIFS($B$2:$B1922,"&lt;&gt;",$C$2:$C1922,"&lt;&gt;",$D$2:$D1922,"&lt;&gt;",$E$2:$E1922,"&lt;&gt;"),"00000"),""))</f>
        <v/>
      </c>
      <c r="B1922" s="16"/>
      <c r="C1922" s="20"/>
      <c r="D1922" s="20"/>
      <c r="E1922" s="23"/>
      <c r="H1922" s="21" t="str">
        <f t="shared" si="96"/>
        <v/>
      </c>
      <c r="I1922" s="21" t="str">
        <f t="shared" si="95"/>
        <v/>
      </c>
      <c r="J1922" s="21" t="str">
        <f t="shared" si="97"/>
        <v/>
      </c>
      <c r="K1922" s="20"/>
      <c r="L1922" s="21" t="str">
        <f>IF(OR(NOT(AND($B1922&lt;&gt;"",$C1922&lt;&gt;"",$D1922&lt;&gt;"",$E1922&lt;&gt;"")),$A1922="",$K1922&lt;&gt;"Yes"),"",IF($L1922&lt;&gt;"",$L1922,INDEX(SETUP!$I$1:$I$2000,MATCH(TRUE,SETUP!$J$1:$J$2000,0)+COUNTIFS($A$2:$A1922,"&lt;&gt;",$K$2:$K1922,"Yes",$L$2:$L1922,"")-1)))</f>
        <v/>
      </c>
      <c r="N1922" s="22"/>
    </row>
    <row r="1923" spans="1:14" x14ac:dyDescent="0.3">
      <c r="A1923" s="15" t="str">
        <f>IF(COUNTA($B1923:$E1923,$K1923)=0,"",IF(AND($B1923&lt;&gt;"",$C1923&lt;&gt;"",$D1923&lt;&gt;"",$E1923&lt;&gt;""),"TXS"&amp;TEXT(COUNTIFS($B$2:$B1923,"&lt;&gt;",$C$2:$C1923,"&lt;&gt;",$D$2:$D1923,"&lt;&gt;",$E$2:$E1923,"&lt;&gt;"),"00000"),""))</f>
        <v/>
      </c>
      <c r="B1923" s="16"/>
      <c r="C1923" s="20"/>
      <c r="D1923" s="20"/>
      <c r="E1923" s="23"/>
      <c r="H1923" s="21" t="str">
        <f t="shared" si="96"/>
        <v/>
      </c>
      <c r="I1923" s="21" t="str">
        <f t="shared" si="95"/>
        <v/>
      </c>
      <c r="J1923" s="21" t="str">
        <f t="shared" si="97"/>
        <v/>
      </c>
      <c r="K1923" s="20"/>
      <c r="L1923" s="21" t="str">
        <f>IF(OR(NOT(AND($B1923&lt;&gt;"",$C1923&lt;&gt;"",$D1923&lt;&gt;"",$E1923&lt;&gt;"")),$A1923="",$K1923&lt;&gt;"Yes"),"",IF($L1923&lt;&gt;"",$L1923,INDEX(SETUP!$I$1:$I$2000,MATCH(TRUE,SETUP!$J$1:$J$2000,0)+COUNTIFS($A$2:$A1923,"&lt;&gt;",$K$2:$K1923,"Yes",$L$2:$L1923,"")-1)))</f>
        <v/>
      </c>
      <c r="N1923" s="22"/>
    </row>
    <row r="1924" spans="1:14" x14ac:dyDescent="0.3">
      <c r="A1924" s="15" t="str">
        <f>IF(COUNTA($B1924:$E1924,$K1924)=0,"",IF(AND($B1924&lt;&gt;"",$C1924&lt;&gt;"",$D1924&lt;&gt;"",$E1924&lt;&gt;""),"TXS"&amp;TEXT(COUNTIFS($B$2:$B1924,"&lt;&gt;",$C$2:$C1924,"&lt;&gt;",$D$2:$D1924,"&lt;&gt;",$E$2:$E1924,"&lt;&gt;"),"00000"),""))</f>
        <v/>
      </c>
      <c r="B1924" s="16"/>
      <c r="C1924" s="20"/>
      <c r="D1924" s="20"/>
      <c r="E1924" s="23"/>
      <c r="H1924" s="21" t="str">
        <f t="shared" si="96"/>
        <v/>
      </c>
      <c r="I1924" s="21" t="str">
        <f t="shared" si="95"/>
        <v/>
      </c>
      <c r="J1924" s="21" t="str">
        <f t="shared" si="97"/>
        <v/>
      </c>
      <c r="K1924" s="20"/>
      <c r="L1924" s="21" t="str">
        <f>IF(OR(NOT(AND($B1924&lt;&gt;"",$C1924&lt;&gt;"",$D1924&lt;&gt;"",$E1924&lt;&gt;"")),$A1924="",$K1924&lt;&gt;"Yes"),"",IF($L1924&lt;&gt;"",$L1924,INDEX(SETUP!$I$1:$I$2000,MATCH(TRUE,SETUP!$J$1:$J$2000,0)+COUNTIFS($A$2:$A1924,"&lt;&gt;",$K$2:$K1924,"Yes",$L$2:$L1924,"")-1)))</f>
        <v/>
      </c>
      <c r="N1924" s="22"/>
    </row>
    <row r="1925" spans="1:14" x14ac:dyDescent="0.3">
      <c r="A1925" s="15" t="str">
        <f>IF(COUNTA($B1925:$E1925,$K1925)=0,"",IF(AND($B1925&lt;&gt;"",$C1925&lt;&gt;"",$D1925&lt;&gt;"",$E1925&lt;&gt;""),"TXS"&amp;TEXT(COUNTIFS($B$2:$B1925,"&lt;&gt;",$C$2:$C1925,"&lt;&gt;",$D$2:$D1925,"&lt;&gt;",$E$2:$E1925,"&lt;&gt;"),"00000"),""))</f>
        <v/>
      </c>
      <c r="B1925" s="16"/>
      <c r="C1925" s="20"/>
      <c r="D1925" s="20"/>
      <c r="E1925" s="23"/>
      <c r="H1925" s="21" t="str">
        <f t="shared" si="96"/>
        <v/>
      </c>
      <c r="I1925" s="21" t="str">
        <f t="shared" si="95"/>
        <v/>
      </c>
      <c r="J1925" s="21" t="str">
        <f t="shared" si="97"/>
        <v/>
      </c>
      <c r="K1925" s="20"/>
      <c r="L1925" s="21" t="str">
        <f>IF(OR(NOT(AND($B1925&lt;&gt;"",$C1925&lt;&gt;"",$D1925&lt;&gt;"",$E1925&lt;&gt;"")),$A1925="",$K1925&lt;&gt;"Yes"),"",IF($L1925&lt;&gt;"",$L1925,INDEX(SETUP!$I$1:$I$2000,MATCH(TRUE,SETUP!$J$1:$J$2000,0)+COUNTIFS($A$2:$A1925,"&lt;&gt;",$K$2:$K1925,"Yes",$L$2:$L1925,"")-1)))</f>
        <v/>
      </c>
      <c r="N1925" s="22"/>
    </row>
    <row r="1926" spans="1:14" x14ac:dyDescent="0.3">
      <c r="A1926" s="15" t="str">
        <f>IF(COUNTA($B1926:$E1926,$K1926)=0,"",IF(AND($B1926&lt;&gt;"",$C1926&lt;&gt;"",$D1926&lt;&gt;"",$E1926&lt;&gt;""),"TXS"&amp;TEXT(COUNTIFS($B$2:$B1926,"&lt;&gt;",$C$2:$C1926,"&lt;&gt;",$D$2:$D1926,"&lt;&gt;",$E$2:$E1926,"&lt;&gt;"),"00000"),""))</f>
        <v/>
      </c>
      <c r="B1926" s="16"/>
      <c r="C1926" s="20"/>
      <c r="D1926" s="20"/>
      <c r="E1926" s="23"/>
      <c r="H1926" s="21" t="str">
        <f t="shared" si="96"/>
        <v/>
      </c>
      <c r="I1926" s="21" t="str">
        <f t="shared" si="95"/>
        <v/>
      </c>
      <c r="J1926" s="21" t="str">
        <f t="shared" si="97"/>
        <v/>
      </c>
      <c r="K1926" s="20"/>
      <c r="L1926" s="21" t="str">
        <f>IF(OR(NOT(AND($B1926&lt;&gt;"",$C1926&lt;&gt;"",$D1926&lt;&gt;"",$E1926&lt;&gt;"")),$A1926="",$K1926&lt;&gt;"Yes"),"",IF($L1926&lt;&gt;"",$L1926,INDEX(SETUP!$I$1:$I$2000,MATCH(TRUE,SETUP!$J$1:$J$2000,0)+COUNTIFS($A$2:$A1926,"&lt;&gt;",$K$2:$K1926,"Yes",$L$2:$L1926,"")-1)))</f>
        <v/>
      </c>
      <c r="N1926" s="22"/>
    </row>
    <row r="1927" spans="1:14" x14ac:dyDescent="0.3">
      <c r="A1927" s="15" t="str">
        <f>IF(COUNTA($B1927:$E1927,$K1927)=0,"",IF(AND($B1927&lt;&gt;"",$C1927&lt;&gt;"",$D1927&lt;&gt;"",$E1927&lt;&gt;""),"TXS"&amp;TEXT(COUNTIFS($B$2:$B1927,"&lt;&gt;",$C$2:$C1927,"&lt;&gt;",$D$2:$D1927,"&lt;&gt;",$E$2:$E1927,"&lt;&gt;"),"00000"),""))</f>
        <v/>
      </c>
      <c r="B1927" s="16"/>
      <c r="C1927" s="20"/>
      <c r="D1927" s="20"/>
      <c r="E1927" s="23"/>
      <c r="H1927" s="21" t="str">
        <f t="shared" si="96"/>
        <v/>
      </c>
      <c r="I1927" s="21" t="str">
        <f t="shared" si="95"/>
        <v/>
      </c>
      <c r="J1927" s="21" t="str">
        <f t="shared" si="97"/>
        <v/>
      </c>
      <c r="K1927" s="20"/>
      <c r="L1927" s="21" t="str">
        <f>IF(OR(NOT(AND($B1927&lt;&gt;"",$C1927&lt;&gt;"",$D1927&lt;&gt;"",$E1927&lt;&gt;"")),$A1927="",$K1927&lt;&gt;"Yes"),"",IF($L1927&lt;&gt;"",$L1927,INDEX(SETUP!$I$1:$I$2000,MATCH(TRUE,SETUP!$J$1:$J$2000,0)+COUNTIFS($A$2:$A1927,"&lt;&gt;",$K$2:$K1927,"Yes",$L$2:$L1927,"")-1)))</f>
        <v/>
      </c>
      <c r="N1927" s="22"/>
    </row>
    <row r="1928" spans="1:14" x14ac:dyDescent="0.3">
      <c r="A1928" s="15" t="str">
        <f>IF(COUNTA($B1928:$E1928,$K1928)=0,"",IF(AND($B1928&lt;&gt;"",$C1928&lt;&gt;"",$D1928&lt;&gt;"",$E1928&lt;&gt;""),"TXS"&amp;TEXT(COUNTIFS($B$2:$B1928,"&lt;&gt;",$C$2:$C1928,"&lt;&gt;",$D$2:$D1928,"&lt;&gt;",$E$2:$E1928,"&lt;&gt;"),"00000"),""))</f>
        <v/>
      </c>
      <c r="B1928" s="16"/>
      <c r="C1928" s="20"/>
      <c r="D1928" s="20"/>
      <c r="E1928" s="23"/>
      <c r="H1928" s="21" t="str">
        <f t="shared" si="96"/>
        <v/>
      </c>
      <c r="I1928" s="21" t="str">
        <f t="shared" si="95"/>
        <v/>
      </c>
      <c r="J1928" s="21" t="str">
        <f t="shared" si="97"/>
        <v/>
      </c>
      <c r="K1928" s="20"/>
      <c r="L1928" s="21" t="str">
        <f>IF(OR(NOT(AND($B1928&lt;&gt;"",$C1928&lt;&gt;"",$D1928&lt;&gt;"",$E1928&lt;&gt;"")),$A1928="",$K1928&lt;&gt;"Yes"),"",IF($L1928&lt;&gt;"",$L1928,INDEX(SETUP!$I$1:$I$2000,MATCH(TRUE,SETUP!$J$1:$J$2000,0)+COUNTIFS($A$2:$A1928,"&lt;&gt;",$K$2:$K1928,"Yes",$L$2:$L1928,"")-1)))</f>
        <v/>
      </c>
      <c r="N1928" s="22"/>
    </row>
    <row r="1929" spans="1:14" x14ac:dyDescent="0.3">
      <c r="A1929" s="15" t="str">
        <f>IF(COUNTA($B1929:$E1929,$K1929)=0,"",IF(AND($B1929&lt;&gt;"",$C1929&lt;&gt;"",$D1929&lt;&gt;"",$E1929&lt;&gt;""),"TXS"&amp;TEXT(COUNTIFS($B$2:$B1929,"&lt;&gt;",$C$2:$C1929,"&lt;&gt;",$D$2:$D1929,"&lt;&gt;",$E$2:$E1929,"&lt;&gt;"),"00000"),""))</f>
        <v/>
      </c>
      <c r="B1929" s="16"/>
      <c r="C1929" s="20"/>
      <c r="D1929" s="20"/>
      <c r="E1929" s="23"/>
      <c r="H1929" s="21" t="str">
        <f t="shared" si="96"/>
        <v/>
      </c>
      <c r="I1929" s="21" t="str">
        <f t="shared" si="95"/>
        <v/>
      </c>
      <c r="J1929" s="21" t="str">
        <f t="shared" si="97"/>
        <v/>
      </c>
      <c r="K1929" s="20"/>
      <c r="L1929" s="21" t="str">
        <f>IF(OR(NOT(AND($B1929&lt;&gt;"",$C1929&lt;&gt;"",$D1929&lt;&gt;"",$E1929&lt;&gt;"")),$A1929="",$K1929&lt;&gt;"Yes"),"",IF($L1929&lt;&gt;"",$L1929,INDEX(SETUP!$I$1:$I$2000,MATCH(TRUE,SETUP!$J$1:$J$2000,0)+COUNTIFS($A$2:$A1929,"&lt;&gt;",$K$2:$K1929,"Yes",$L$2:$L1929,"")-1)))</f>
        <v/>
      </c>
      <c r="N1929" s="22"/>
    </row>
    <row r="1930" spans="1:14" x14ac:dyDescent="0.3">
      <c r="A1930" s="15" t="str">
        <f>IF(COUNTA($B1930:$E1930,$K1930)=0,"",IF(AND($B1930&lt;&gt;"",$C1930&lt;&gt;"",$D1930&lt;&gt;"",$E1930&lt;&gt;""),"TXS"&amp;TEXT(COUNTIFS($B$2:$B1930,"&lt;&gt;",$C$2:$C1930,"&lt;&gt;",$D$2:$D1930,"&lt;&gt;",$E$2:$E1930,"&lt;&gt;"),"00000"),""))</f>
        <v/>
      </c>
      <c r="B1930" s="16"/>
      <c r="C1930" s="20"/>
      <c r="D1930" s="20"/>
      <c r="E1930" s="23"/>
      <c r="H1930" s="21" t="str">
        <f t="shared" si="96"/>
        <v/>
      </c>
      <c r="I1930" s="21" t="str">
        <f t="shared" si="95"/>
        <v/>
      </c>
      <c r="J1930" s="21" t="str">
        <f t="shared" si="97"/>
        <v/>
      </c>
      <c r="K1930" s="20"/>
      <c r="L1930" s="21" t="str">
        <f>IF(OR(NOT(AND($B1930&lt;&gt;"",$C1930&lt;&gt;"",$D1930&lt;&gt;"",$E1930&lt;&gt;"")),$A1930="",$K1930&lt;&gt;"Yes"),"",IF($L1930&lt;&gt;"",$L1930,INDEX(SETUP!$I$1:$I$2000,MATCH(TRUE,SETUP!$J$1:$J$2000,0)+COUNTIFS($A$2:$A1930,"&lt;&gt;",$K$2:$K1930,"Yes",$L$2:$L1930,"")-1)))</f>
        <v/>
      </c>
      <c r="N1930" s="22"/>
    </row>
    <row r="1931" spans="1:14" x14ac:dyDescent="0.3">
      <c r="A1931" s="15" t="str">
        <f>IF(COUNTA($B1931:$E1931,$K1931)=0,"",IF(AND($B1931&lt;&gt;"",$C1931&lt;&gt;"",$D1931&lt;&gt;"",$E1931&lt;&gt;""),"TXS"&amp;TEXT(COUNTIFS($B$2:$B1931,"&lt;&gt;",$C$2:$C1931,"&lt;&gt;",$D$2:$D1931,"&lt;&gt;",$E$2:$E1931,"&lt;&gt;"),"00000"),""))</f>
        <v/>
      </c>
      <c r="B1931" s="16"/>
      <c r="C1931" s="20"/>
      <c r="D1931" s="20"/>
      <c r="E1931" s="23"/>
      <c r="H1931" s="21" t="str">
        <f t="shared" si="96"/>
        <v/>
      </c>
      <c r="I1931" s="21" t="str">
        <f t="shared" si="95"/>
        <v/>
      </c>
      <c r="J1931" s="21" t="str">
        <f t="shared" si="97"/>
        <v/>
      </c>
      <c r="K1931" s="20"/>
      <c r="L1931" s="21" t="str">
        <f>IF(OR(NOT(AND($B1931&lt;&gt;"",$C1931&lt;&gt;"",$D1931&lt;&gt;"",$E1931&lt;&gt;"")),$A1931="",$K1931&lt;&gt;"Yes"),"",IF($L1931&lt;&gt;"",$L1931,INDEX(SETUP!$I$1:$I$2000,MATCH(TRUE,SETUP!$J$1:$J$2000,0)+COUNTIFS($A$2:$A1931,"&lt;&gt;",$K$2:$K1931,"Yes",$L$2:$L1931,"")-1)))</f>
        <v/>
      </c>
      <c r="N1931" s="22"/>
    </row>
    <row r="1932" spans="1:14" x14ac:dyDescent="0.3">
      <c r="A1932" s="15" t="str">
        <f>IF(COUNTA($B1932:$E1932,$K1932)=0,"",IF(AND($B1932&lt;&gt;"",$C1932&lt;&gt;"",$D1932&lt;&gt;"",$E1932&lt;&gt;""),"TXS"&amp;TEXT(COUNTIFS($B$2:$B1932,"&lt;&gt;",$C$2:$C1932,"&lt;&gt;",$D$2:$D1932,"&lt;&gt;",$E$2:$E1932,"&lt;&gt;"),"00000"),""))</f>
        <v/>
      </c>
      <c r="B1932" s="16"/>
      <c r="C1932" s="20"/>
      <c r="D1932" s="20"/>
      <c r="E1932" s="23"/>
      <c r="H1932" s="21" t="str">
        <f t="shared" si="96"/>
        <v/>
      </c>
      <c r="I1932" s="21" t="str">
        <f t="shared" si="95"/>
        <v/>
      </c>
      <c r="J1932" s="21" t="str">
        <f t="shared" si="97"/>
        <v/>
      </c>
      <c r="K1932" s="20"/>
      <c r="L1932" s="21" t="str">
        <f>IF(OR(NOT(AND($B1932&lt;&gt;"",$C1932&lt;&gt;"",$D1932&lt;&gt;"",$E1932&lt;&gt;"")),$A1932="",$K1932&lt;&gt;"Yes"),"",IF($L1932&lt;&gt;"",$L1932,INDEX(SETUP!$I$1:$I$2000,MATCH(TRUE,SETUP!$J$1:$J$2000,0)+COUNTIFS($A$2:$A1932,"&lt;&gt;",$K$2:$K1932,"Yes",$L$2:$L1932,"")-1)))</f>
        <v/>
      </c>
      <c r="N1932" s="22"/>
    </row>
    <row r="1933" spans="1:14" x14ac:dyDescent="0.3">
      <c r="A1933" s="15" t="str">
        <f>IF(COUNTA($B1933:$E1933,$K1933)=0,"",IF(AND($B1933&lt;&gt;"",$C1933&lt;&gt;"",$D1933&lt;&gt;"",$E1933&lt;&gt;""),"TXS"&amp;TEXT(COUNTIFS($B$2:$B1933,"&lt;&gt;",$C$2:$C1933,"&lt;&gt;",$D$2:$D1933,"&lt;&gt;",$E$2:$E1933,"&lt;&gt;"),"00000"),""))</f>
        <v/>
      </c>
      <c r="B1933" s="16"/>
      <c r="C1933" s="20"/>
      <c r="D1933" s="20"/>
      <c r="E1933" s="23"/>
      <c r="H1933" s="21" t="str">
        <f t="shared" si="96"/>
        <v/>
      </c>
      <c r="I1933" s="21" t="str">
        <f t="shared" si="95"/>
        <v/>
      </c>
      <c r="J1933" s="21" t="str">
        <f t="shared" si="97"/>
        <v/>
      </c>
      <c r="K1933" s="20"/>
      <c r="L1933" s="21" t="str">
        <f>IF(OR(NOT(AND($B1933&lt;&gt;"",$C1933&lt;&gt;"",$D1933&lt;&gt;"",$E1933&lt;&gt;"")),$A1933="",$K1933&lt;&gt;"Yes"),"",IF($L1933&lt;&gt;"",$L1933,INDEX(SETUP!$I$1:$I$2000,MATCH(TRUE,SETUP!$J$1:$J$2000,0)+COUNTIFS($A$2:$A1933,"&lt;&gt;",$K$2:$K1933,"Yes",$L$2:$L1933,"")-1)))</f>
        <v/>
      </c>
      <c r="N1933" s="22"/>
    </row>
    <row r="1934" spans="1:14" x14ac:dyDescent="0.3">
      <c r="A1934" s="15" t="str">
        <f>IF(COUNTA($B1934:$E1934,$K1934)=0,"",IF(AND($B1934&lt;&gt;"",$C1934&lt;&gt;"",$D1934&lt;&gt;"",$E1934&lt;&gt;""),"TXS"&amp;TEXT(COUNTIFS($B$2:$B1934,"&lt;&gt;",$C$2:$C1934,"&lt;&gt;",$D$2:$D1934,"&lt;&gt;",$E$2:$E1934,"&lt;&gt;"),"00000"),""))</f>
        <v/>
      </c>
      <c r="B1934" s="16"/>
      <c r="C1934" s="20"/>
      <c r="D1934" s="20"/>
      <c r="E1934" s="23"/>
      <c r="H1934" s="21" t="str">
        <f t="shared" si="96"/>
        <v/>
      </c>
      <c r="I1934" s="21" t="str">
        <f t="shared" si="95"/>
        <v/>
      </c>
      <c r="J1934" s="21" t="str">
        <f t="shared" si="97"/>
        <v/>
      </c>
      <c r="K1934" s="20"/>
      <c r="L1934" s="21" t="str">
        <f>IF(OR(NOT(AND($B1934&lt;&gt;"",$C1934&lt;&gt;"",$D1934&lt;&gt;"",$E1934&lt;&gt;"")),$A1934="",$K1934&lt;&gt;"Yes"),"",IF($L1934&lt;&gt;"",$L1934,INDEX(SETUP!$I$1:$I$2000,MATCH(TRUE,SETUP!$J$1:$J$2000,0)+COUNTIFS($A$2:$A1934,"&lt;&gt;",$K$2:$K1934,"Yes",$L$2:$L1934,"")-1)))</f>
        <v/>
      </c>
      <c r="N1934" s="22"/>
    </row>
    <row r="1935" spans="1:14" x14ac:dyDescent="0.3">
      <c r="A1935" s="15" t="str">
        <f>IF(COUNTA($B1935:$E1935,$K1935)=0,"",IF(AND($B1935&lt;&gt;"",$C1935&lt;&gt;"",$D1935&lt;&gt;"",$E1935&lt;&gt;""),"TXS"&amp;TEXT(COUNTIFS($B$2:$B1935,"&lt;&gt;",$C$2:$C1935,"&lt;&gt;",$D$2:$D1935,"&lt;&gt;",$E$2:$E1935,"&lt;&gt;"),"00000"),""))</f>
        <v/>
      </c>
      <c r="B1935" s="16"/>
      <c r="C1935" s="20"/>
      <c r="D1935" s="20"/>
      <c r="E1935" s="23"/>
      <c r="H1935" s="21" t="str">
        <f t="shared" si="96"/>
        <v/>
      </c>
      <c r="I1935" s="21" t="str">
        <f t="shared" si="95"/>
        <v/>
      </c>
      <c r="J1935" s="21" t="str">
        <f t="shared" si="97"/>
        <v/>
      </c>
      <c r="K1935" s="20"/>
      <c r="L1935" s="21" t="str">
        <f>IF(OR(NOT(AND($B1935&lt;&gt;"",$C1935&lt;&gt;"",$D1935&lt;&gt;"",$E1935&lt;&gt;"")),$A1935="",$K1935&lt;&gt;"Yes"),"",IF($L1935&lt;&gt;"",$L1935,INDEX(SETUP!$I$1:$I$2000,MATCH(TRUE,SETUP!$J$1:$J$2000,0)+COUNTIFS($A$2:$A1935,"&lt;&gt;",$K$2:$K1935,"Yes",$L$2:$L1935,"")-1)))</f>
        <v/>
      </c>
      <c r="N1935" s="22"/>
    </row>
    <row r="1936" spans="1:14" x14ac:dyDescent="0.3">
      <c r="A1936" s="15" t="str">
        <f>IF(COUNTA($B1936:$E1936,$K1936)=0,"",IF(AND($B1936&lt;&gt;"",$C1936&lt;&gt;"",$D1936&lt;&gt;"",$E1936&lt;&gt;""),"TXS"&amp;TEXT(COUNTIFS($B$2:$B1936,"&lt;&gt;",$C$2:$C1936,"&lt;&gt;",$D$2:$D1936,"&lt;&gt;",$E$2:$E1936,"&lt;&gt;"),"00000"),""))</f>
        <v/>
      </c>
      <c r="B1936" s="16"/>
      <c r="C1936" s="20"/>
      <c r="D1936" s="20"/>
      <c r="E1936" s="23"/>
      <c r="H1936" s="21" t="str">
        <f t="shared" si="96"/>
        <v/>
      </c>
      <c r="I1936" s="21" t="str">
        <f t="shared" si="95"/>
        <v/>
      </c>
      <c r="J1936" s="21" t="str">
        <f t="shared" si="97"/>
        <v/>
      </c>
      <c r="K1936" s="20"/>
      <c r="L1936" s="21" t="str">
        <f>IF(OR(NOT(AND($B1936&lt;&gt;"",$C1936&lt;&gt;"",$D1936&lt;&gt;"",$E1936&lt;&gt;"")),$A1936="",$K1936&lt;&gt;"Yes"),"",IF($L1936&lt;&gt;"",$L1936,INDEX(SETUP!$I$1:$I$2000,MATCH(TRUE,SETUP!$J$1:$J$2000,0)+COUNTIFS($A$2:$A1936,"&lt;&gt;",$K$2:$K1936,"Yes",$L$2:$L1936,"")-1)))</f>
        <v/>
      </c>
      <c r="N1936" s="22"/>
    </row>
    <row r="1937" spans="1:14" x14ac:dyDescent="0.3">
      <c r="A1937" s="15" t="str">
        <f>IF(COUNTA($B1937:$E1937,$K1937)=0,"",IF(AND($B1937&lt;&gt;"",$C1937&lt;&gt;"",$D1937&lt;&gt;"",$E1937&lt;&gt;""),"TXS"&amp;TEXT(COUNTIFS($B$2:$B1937,"&lt;&gt;",$C$2:$C1937,"&lt;&gt;",$D$2:$D1937,"&lt;&gt;",$E$2:$E1937,"&lt;&gt;"),"00000"),""))</f>
        <v/>
      </c>
      <c r="B1937" s="16"/>
      <c r="C1937" s="20"/>
      <c r="D1937" s="20"/>
      <c r="E1937" s="23"/>
      <c r="H1937" s="21" t="str">
        <f t="shared" si="96"/>
        <v/>
      </c>
      <c r="I1937" s="21" t="str">
        <f t="shared" si="95"/>
        <v/>
      </c>
      <c r="J1937" s="21" t="str">
        <f t="shared" si="97"/>
        <v/>
      </c>
      <c r="K1937" s="20"/>
      <c r="L1937" s="21" t="str">
        <f>IF(OR(NOT(AND($B1937&lt;&gt;"",$C1937&lt;&gt;"",$D1937&lt;&gt;"",$E1937&lt;&gt;"")),$A1937="",$K1937&lt;&gt;"Yes"),"",IF($L1937&lt;&gt;"",$L1937,INDEX(SETUP!$I$1:$I$2000,MATCH(TRUE,SETUP!$J$1:$J$2000,0)+COUNTIFS($A$2:$A1937,"&lt;&gt;",$K$2:$K1937,"Yes",$L$2:$L1937,"")-1)))</f>
        <v/>
      </c>
      <c r="N1937" s="22"/>
    </row>
    <row r="1938" spans="1:14" x14ac:dyDescent="0.3">
      <c r="A1938" s="15" t="str">
        <f>IF(COUNTA($B1938:$E1938,$K1938)=0,"",IF(AND($B1938&lt;&gt;"",$C1938&lt;&gt;"",$D1938&lt;&gt;"",$E1938&lt;&gt;""),"TXS"&amp;TEXT(COUNTIFS($B$2:$B1938,"&lt;&gt;",$C$2:$C1938,"&lt;&gt;",$D$2:$D1938,"&lt;&gt;",$E$2:$E1938,"&lt;&gt;"),"00000"),""))</f>
        <v/>
      </c>
      <c r="B1938" s="16"/>
      <c r="C1938" s="20"/>
      <c r="D1938" s="20"/>
      <c r="E1938" s="23"/>
      <c r="H1938" s="21" t="str">
        <f t="shared" si="96"/>
        <v/>
      </c>
      <c r="I1938" s="21" t="str">
        <f t="shared" si="95"/>
        <v/>
      </c>
      <c r="J1938" s="21" t="str">
        <f t="shared" si="97"/>
        <v/>
      </c>
      <c r="K1938" s="20"/>
      <c r="L1938" s="21" t="str">
        <f>IF(OR(NOT(AND($B1938&lt;&gt;"",$C1938&lt;&gt;"",$D1938&lt;&gt;"",$E1938&lt;&gt;"")),$A1938="",$K1938&lt;&gt;"Yes"),"",IF($L1938&lt;&gt;"",$L1938,INDEX(SETUP!$I$1:$I$2000,MATCH(TRUE,SETUP!$J$1:$J$2000,0)+COUNTIFS($A$2:$A1938,"&lt;&gt;",$K$2:$K1938,"Yes",$L$2:$L1938,"")-1)))</f>
        <v/>
      </c>
      <c r="N1938" s="22"/>
    </row>
    <row r="1939" spans="1:14" x14ac:dyDescent="0.3">
      <c r="A1939" s="15" t="str">
        <f>IF(COUNTA($B1939:$E1939,$K1939)=0,"",IF(AND($B1939&lt;&gt;"",$C1939&lt;&gt;"",$D1939&lt;&gt;"",$E1939&lt;&gt;""),"TXS"&amp;TEXT(COUNTIFS($B$2:$B1939,"&lt;&gt;",$C$2:$C1939,"&lt;&gt;",$D$2:$D1939,"&lt;&gt;",$E$2:$E1939,"&lt;&gt;"),"00000"),""))</f>
        <v/>
      </c>
      <c r="B1939" s="16"/>
      <c r="C1939" s="20"/>
      <c r="D1939" s="20"/>
      <c r="E1939" s="23"/>
      <c r="H1939" s="21" t="str">
        <f t="shared" si="96"/>
        <v/>
      </c>
      <c r="I1939" s="21" t="str">
        <f t="shared" si="95"/>
        <v/>
      </c>
      <c r="J1939" s="21" t="str">
        <f t="shared" si="97"/>
        <v/>
      </c>
      <c r="K1939" s="20"/>
      <c r="L1939" s="21" t="str">
        <f>IF(OR(NOT(AND($B1939&lt;&gt;"",$C1939&lt;&gt;"",$D1939&lt;&gt;"",$E1939&lt;&gt;"")),$A1939="",$K1939&lt;&gt;"Yes"),"",IF($L1939&lt;&gt;"",$L1939,INDEX(SETUP!$I$1:$I$2000,MATCH(TRUE,SETUP!$J$1:$J$2000,0)+COUNTIFS($A$2:$A1939,"&lt;&gt;",$K$2:$K1939,"Yes",$L$2:$L1939,"")-1)))</f>
        <v/>
      </c>
      <c r="N1939" s="22"/>
    </row>
    <row r="1940" spans="1:14" x14ac:dyDescent="0.3">
      <c r="A1940" s="15" t="str">
        <f>IF(COUNTA($B1940:$E1940,$K1940)=0,"",IF(AND($B1940&lt;&gt;"",$C1940&lt;&gt;"",$D1940&lt;&gt;"",$E1940&lt;&gt;""),"TXS"&amp;TEXT(COUNTIFS($B$2:$B1940,"&lt;&gt;",$C$2:$C1940,"&lt;&gt;",$D$2:$D1940,"&lt;&gt;",$E$2:$E1940,"&lt;&gt;"),"00000"),""))</f>
        <v/>
      </c>
      <c r="B1940" s="16"/>
      <c r="C1940" s="20"/>
      <c r="D1940" s="20"/>
      <c r="E1940" s="23"/>
      <c r="H1940" s="21" t="str">
        <f t="shared" si="96"/>
        <v/>
      </c>
      <c r="I1940" s="21" t="str">
        <f t="shared" si="95"/>
        <v/>
      </c>
      <c r="J1940" s="21" t="str">
        <f t="shared" si="97"/>
        <v/>
      </c>
      <c r="K1940" s="20"/>
      <c r="L1940" s="21" t="str">
        <f>IF(OR(NOT(AND($B1940&lt;&gt;"",$C1940&lt;&gt;"",$D1940&lt;&gt;"",$E1940&lt;&gt;"")),$A1940="",$K1940&lt;&gt;"Yes"),"",IF($L1940&lt;&gt;"",$L1940,INDEX(SETUP!$I$1:$I$2000,MATCH(TRUE,SETUP!$J$1:$J$2000,0)+COUNTIFS($A$2:$A1940,"&lt;&gt;",$K$2:$K1940,"Yes",$L$2:$L1940,"")-1)))</f>
        <v/>
      </c>
      <c r="N1940" s="22"/>
    </row>
    <row r="1941" spans="1:14" x14ac:dyDescent="0.3">
      <c r="A1941" s="15" t="str">
        <f>IF(COUNTA($B1941:$E1941,$K1941)=0,"",IF(AND($B1941&lt;&gt;"",$C1941&lt;&gt;"",$D1941&lt;&gt;"",$E1941&lt;&gt;""),"TXS"&amp;TEXT(COUNTIFS($B$2:$B1941,"&lt;&gt;",$C$2:$C1941,"&lt;&gt;",$D$2:$D1941,"&lt;&gt;",$E$2:$E1941,"&lt;&gt;"),"00000"),""))</f>
        <v/>
      </c>
      <c r="B1941" s="16"/>
      <c r="C1941" s="20"/>
      <c r="D1941" s="20"/>
      <c r="E1941" s="23"/>
      <c r="H1941" s="21" t="str">
        <f t="shared" si="96"/>
        <v/>
      </c>
      <c r="I1941" s="21" t="str">
        <f t="shared" si="95"/>
        <v/>
      </c>
      <c r="J1941" s="21" t="str">
        <f t="shared" si="97"/>
        <v/>
      </c>
      <c r="K1941" s="20"/>
      <c r="L1941" s="21" t="str">
        <f>IF(OR(NOT(AND($B1941&lt;&gt;"",$C1941&lt;&gt;"",$D1941&lt;&gt;"",$E1941&lt;&gt;"")),$A1941="",$K1941&lt;&gt;"Yes"),"",IF($L1941&lt;&gt;"",$L1941,INDEX(SETUP!$I$1:$I$2000,MATCH(TRUE,SETUP!$J$1:$J$2000,0)+COUNTIFS($A$2:$A1941,"&lt;&gt;",$K$2:$K1941,"Yes",$L$2:$L1941,"")-1)))</f>
        <v/>
      </c>
      <c r="N1941" s="22"/>
    </row>
    <row r="1942" spans="1:14" x14ac:dyDescent="0.3">
      <c r="A1942" s="15" t="str">
        <f>IF(COUNTA($B1942:$E1942,$K1942)=0,"",IF(AND($B1942&lt;&gt;"",$C1942&lt;&gt;"",$D1942&lt;&gt;"",$E1942&lt;&gt;""),"TXS"&amp;TEXT(COUNTIFS($B$2:$B1942,"&lt;&gt;",$C$2:$C1942,"&lt;&gt;",$D$2:$D1942,"&lt;&gt;",$E$2:$E1942,"&lt;&gt;"),"00000"),""))</f>
        <v/>
      </c>
      <c r="B1942" s="16"/>
      <c r="C1942" s="20"/>
      <c r="D1942" s="20"/>
      <c r="E1942" s="23"/>
      <c r="H1942" s="21" t="str">
        <f t="shared" si="96"/>
        <v/>
      </c>
      <c r="I1942" s="21" t="str">
        <f t="shared" si="95"/>
        <v/>
      </c>
      <c r="J1942" s="21" t="str">
        <f t="shared" si="97"/>
        <v/>
      </c>
      <c r="K1942" s="20"/>
      <c r="L1942" s="21" t="str">
        <f>IF(OR(NOT(AND($B1942&lt;&gt;"",$C1942&lt;&gt;"",$D1942&lt;&gt;"",$E1942&lt;&gt;"")),$A1942="",$K1942&lt;&gt;"Yes"),"",IF($L1942&lt;&gt;"",$L1942,INDEX(SETUP!$I$1:$I$2000,MATCH(TRUE,SETUP!$J$1:$J$2000,0)+COUNTIFS($A$2:$A1942,"&lt;&gt;",$K$2:$K1942,"Yes",$L$2:$L1942,"")-1)))</f>
        <v/>
      </c>
      <c r="N1942" s="22"/>
    </row>
    <row r="1943" spans="1:14" x14ac:dyDescent="0.3">
      <c r="A1943" s="15" t="str">
        <f>IF(COUNTA($B1943:$E1943,$K1943)=0,"",IF(AND($B1943&lt;&gt;"",$C1943&lt;&gt;"",$D1943&lt;&gt;"",$E1943&lt;&gt;""),"TXS"&amp;TEXT(COUNTIFS($B$2:$B1943,"&lt;&gt;",$C$2:$C1943,"&lt;&gt;",$D$2:$D1943,"&lt;&gt;",$E$2:$E1943,"&lt;&gt;"),"00000"),""))</f>
        <v/>
      </c>
      <c r="B1943" s="16"/>
      <c r="C1943" s="20"/>
      <c r="D1943" s="20"/>
      <c r="E1943" s="23"/>
      <c r="H1943" s="21" t="str">
        <f t="shared" si="96"/>
        <v/>
      </c>
      <c r="I1943" s="21" t="str">
        <f t="shared" si="95"/>
        <v/>
      </c>
      <c r="J1943" s="21" t="str">
        <f t="shared" si="97"/>
        <v/>
      </c>
      <c r="K1943" s="20"/>
      <c r="L1943" s="21" t="str">
        <f>IF(OR(NOT(AND($B1943&lt;&gt;"",$C1943&lt;&gt;"",$D1943&lt;&gt;"",$E1943&lt;&gt;"")),$A1943="",$K1943&lt;&gt;"Yes"),"",IF($L1943&lt;&gt;"",$L1943,INDEX(SETUP!$I$1:$I$2000,MATCH(TRUE,SETUP!$J$1:$J$2000,0)+COUNTIFS($A$2:$A1943,"&lt;&gt;",$K$2:$K1943,"Yes",$L$2:$L1943,"")-1)))</f>
        <v/>
      </c>
      <c r="N1943" s="22"/>
    </row>
    <row r="1944" spans="1:14" x14ac:dyDescent="0.3">
      <c r="A1944" s="15" t="str">
        <f>IF(COUNTA($B1944:$E1944,$K1944)=0,"",IF(AND($B1944&lt;&gt;"",$C1944&lt;&gt;"",$D1944&lt;&gt;"",$E1944&lt;&gt;""),"TXS"&amp;TEXT(COUNTIFS($B$2:$B1944,"&lt;&gt;",$C$2:$C1944,"&lt;&gt;",$D$2:$D1944,"&lt;&gt;",$E$2:$E1944,"&lt;&gt;"),"00000"),""))</f>
        <v/>
      </c>
      <c r="B1944" s="16"/>
      <c r="C1944" s="20"/>
      <c r="D1944" s="20"/>
      <c r="E1944" s="23"/>
      <c r="H1944" s="21" t="str">
        <f t="shared" si="96"/>
        <v/>
      </c>
      <c r="I1944" s="21" t="str">
        <f t="shared" si="95"/>
        <v/>
      </c>
      <c r="J1944" s="21" t="str">
        <f t="shared" si="97"/>
        <v/>
      </c>
      <c r="K1944" s="20"/>
      <c r="L1944" s="21" t="str">
        <f>IF(OR(NOT(AND($B1944&lt;&gt;"",$C1944&lt;&gt;"",$D1944&lt;&gt;"",$E1944&lt;&gt;"")),$A1944="",$K1944&lt;&gt;"Yes"),"",IF($L1944&lt;&gt;"",$L1944,INDEX(SETUP!$I$1:$I$2000,MATCH(TRUE,SETUP!$J$1:$J$2000,0)+COUNTIFS($A$2:$A1944,"&lt;&gt;",$K$2:$K1944,"Yes",$L$2:$L1944,"")-1)))</f>
        <v/>
      </c>
      <c r="N1944" s="22"/>
    </row>
    <row r="1945" spans="1:14" x14ac:dyDescent="0.3">
      <c r="A1945" s="15" t="str">
        <f>IF(COUNTA($B1945:$E1945,$K1945)=0,"",IF(AND($B1945&lt;&gt;"",$C1945&lt;&gt;"",$D1945&lt;&gt;"",$E1945&lt;&gt;""),"TXS"&amp;TEXT(COUNTIFS($B$2:$B1945,"&lt;&gt;",$C$2:$C1945,"&lt;&gt;",$D$2:$D1945,"&lt;&gt;",$E$2:$E1945,"&lt;&gt;"),"00000"),""))</f>
        <v/>
      </c>
      <c r="B1945" s="16"/>
      <c r="N1945" s="22"/>
    </row>
    <row r="1946" spans="1:14" x14ac:dyDescent="0.3">
      <c r="A1946" s="15" t="str">
        <f>IF(COUNTA($B1946:$E1946,$K1946)=0,"",IF(AND($B1946&lt;&gt;"",$C1946&lt;&gt;"",$D1946&lt;&gt;"",$E1946&lt;&gt;""),"TXS"&amp;TEXT(COUNTIFS($B$2:$B1946,"&lt;&gt;",$C$2:$C1946,"&lt;&gt;",$D$2:$D1946,"&lt;&gt;",$E$2:$E1946,"&lt;&gt;"),"00000"),""))</f>
        <v/>
      </c>
      <c r="B1946" s="16"/>
      <c r="N1946" s="22"/>
    </row>
    <row r="1947" spans="1:14" x14ac:dyDescent="0.3">
      <c r="A1947" s="15" t="str">
        <f>IF(COUNTA($B1947:$E1947,$K1947)=0,"",IF(AND($B1947&lt;&gt;"",$C1947&lt;&gt;"",$D1947&lt;&gt;"",$E1947&lt;&gt;""),"TXS"&amp;TEXT(COUNTIFS($B$2:$B1947,"&lt;&gt;",$C$2:$C1947,"&lt;&gt;",$D$2:$D1947,"&lt;&gt;",$E$2:$E1947,"&lt;&gt;"),"00000"),""))</f>
        <v/>
      </c>
      <c r="B1947" s="16"/>
      <c r="N1947" s="22"/>
    </row>
    <row r="1948" spans="1:14" x14ac:dyDescent="0.3">
      <c r="A1948" s="15" t="str">
        <f>IF(COUNTA($B1948:$E1948,$K1948)=0,"",IF(AND($B1948&lt;&gt;"",$C1948&lt;&gt;"",$D1948&lt;&gt;"",$E1948&lt;&gt;""),"TXS"&amp;TEXT(COUNTIFS($B$2:$B1948,"&lt;&gt;",$C$2:$C1948,"&lt;&gt;",$D$2:$D1948,"&lt;&gt;",$E$2:$E1948,"&lt;&gt;"),"00000"),""))</f>
        <v/>
      </c>
      <c r="B1948" s="16"/>
      <c r="N1948" s="22"/>
    </row>
    <row r="1949" spans="1:14" x14ac:dyDescent="0.3">
      <c r="A1949" s="15" t="str">
        <f>IF(COUNTA($B1949:$E1949,$K1949)=0,"",IF(AND($B1949&lt;&gt;"",$C1949&lt;&gt;"",$D1949&lt;&gt;"",$E1949&lt;&gt;""),"TXS"&amp;TEXT(COUNTIFS($B$2:$B1949,"&lt;&gt;",$C$2:$C1949,"&lt;&gt;",$D$2:$D1949,"&lt;&gt;",$E$2:$E1949,"&lt;&gt;"),"00000"),""))</f>
        <v/>
      </c>
      <c r="B1949" s="16"/>
      <c r="N1949" s="22"/>
    </row>
    <row r="1950" spans="1:14" x14ac:dyDescent="0.3">
      <c r="A1950" s="15" t="str">
        <f>IF(COUNTA($B1950:$E1950,$K1950)=0,"",IF(AND($B1950&lt;&gt;"",$C1950&lt;&gt;"",$D1950&lt;&gt;"",$E1950&lt;&gt;""),"TXS"&amp;TEXT(COUNTIFS($B$2:$B1950,"&lt;&gt;",$C$2:$C1950,"&lt;&gt;",$D$2:$D1950,"&lt;&gt;",$E$2:$E1950,"&lt;&gt;"),"00000"),""))</f>
        <v/>
      </c>
      <c r="B1950" s="16"/>
      <c r="N1950" s="22"/>
    </row>
    <row r="1951" spans="1:14" x14ac:dyDescent="0.3">
      <c r="A1951" s="15" t="str">
        <f>IF(COUNTA($B1951:$E1951,$K1951)=0,"",IF(AND($B1951&lt;&gt;"",$C1951&lt;&gt;"",$D1951&lt;&gt;"",$E1951&lt;&gt;""),"TXS"&amp;TEXT(COUNTIFS($B$2:$B1951,"&lt;&gt;",$C$2:$C1951,"&lt;&gt;",$D$2:$D1951,"&lt;&gt;",$E$2:$E1951,"&lt;&gt;"),"00000"),""))</f>
        <v/>
      </c>
      <c r="B1951" s="16"/>
      <c r="N1951" s="22"/>
    </row>
    <row r="1952" spans="1:14" x14ac:dyDescent="0.3">
      <c r="A1952" s="15" t="str">
        <f>IF(COUNTA($B1952:$E1952,$K1952)=0,"",IF(AND($B1952&lt;&gt;"",$C1952&lt;&gt;"",$D1952&lt;&gt;"",$E1952&lt;&gt;""),"TXS"&amp;TEXT(COUNTIFS($B$2:$B1952,"&lt;&gt;",$C$2:$C1952,"&lt;&gt;",$D$2:$D1952,"&lt;&gt;",$E$2:$E1952,"&lt;&gt;"),"00000"),""))</f>
        <v/>
      </c>
      <c r="B1952" s="16"/>
      <c r="N1952" s="22"/>
    </row>
    <row r="1953" spans="1:14" x14ac:dyDescent="0.3">
      <c r="A1953" s="15" t="str">
        <f>IF(COUNTA($B1953:$E1953,$K1953)=0,"",IF(AND($B1953&lt;&gt;"",$C1953&lt;&gt;"",$D1953&lt;&gt;"",$E1953&lt;&gt;""),"TXS"&amp;TEXT(COUNTIFS($B$2:$B1953,"&lt;&gt;",$C$2:$C1953,"&lt;&gt;",$D$2:$D1953,"&lt;&gt;",$E$2:$E1953,"&lt;&gt;"),"00000"),""))</f>
        <v/>
      </c>
      <c r="B1953" s="16"/>
      <c r="N1953" s="22"/>
    </row>
    <row r="1954" spans="1:14" x14ac:dyDescent="0.3">
      <c r="A1954" s="15" t="str">
        <f>IF(COUNTA($B1954:$E1954,$K1954)=0,"",IF(AND($B1954&lt;&gt;"",$C1954&lt;&gt;"",$D1954&lt;&gt;"",$E1954&lt;&gt;""),"TXS"&amp;TEXT(COUNTIFS($B$2:$B1954,"&lt;&gt;",$C$2:$C1954,"&lt;&gt;",$D$2:$D1954,"&lt;&gt;",$E$2:$E1954,"&lt;&gt;"),"00000"),""))</f>
        <v/>
      </c>
      <c r="B1954" s="16"/>
      <c r="N1954" s="22"/>
    </row>
    <row r="1955" spans="1:14" x14ac:dyDescent="0.3">
      <c r="A1955" s="15" t="str">
        <f>IF(COUNTA($B1955:$E1955,$K1955)=0,"",IF(AND($B1955&lt;&gt;"",$C1955&lt;&gt;"",$D1955&lt;&gt;"",$E1955&lt;&gt;""),"TXS"&amp;TEXT(COUNTIFS($B$2:$B1955,"&lt;&gt;",$C$2:$C1955,"&lt;&gt;",$D$2:$D1955,"&lt;&gt;",$E$2:$E1955,"&lt;&gt;"),"00000"),""))</f>
        <v/>
      </c>
      <c r="B1955" s="16"/>
      <c r="N1955" s="22"/>
    </row>
    <row r="1956" spans="1:14" x14ac:dyDescent="0.3">
      <c r="A1956" s="15" t="str">
        <f>IF(COUNTA($B1956:$E1956,$K1956)=0,"",IF(AND($B1956&lt;&gt;"",$C1956&lt;&gt;"",$D1956&lt;&gt;"",$E1956&lt;&gt;""),"TXS"&amp;TEXT(COUNTIFS($B$2:$B1956,"&lt;&gt;",$C$2:$C1956,"&lt;&gt;",$D$2:$D1956,"&lt;&gt;",$E$2:$E1956,"&lt;&gt;"),"00000"),""))</f>
        <v/>
      </c>
      <c r="B1956" s="16"/>
      <c r="N1956" s="22"/>
    </row>
    <row r="1957" spans="1:14" x14ac:dyDescent="0.3">
      <c r="A1957" s="15" t="str">
        <f>IF(COUNTA($B1957:$E1957,$K1957)=0,"",IF(AND($B1957&lt;&gt;"",$C1957&lt;&gt;"",$D1957&lt;&gt;"",$E1957&lt;&gt;""),"TXS"&amp;TEXT(COUNTIFS($B$2:$B1957,"&lt;&gt;",$C$2:$C1957,"&lt;&gt;",$D$2:$D1957,"&lt;&gt;",$E$2:$E1957,"&lt;&gt;"),"00000"),""))</f>
        <v/>
      </c>
      <c r="B1957" s="16"/>
      <c r="N1957" s="22"/>
    </row>
    <row r="1958" spans="1:14" x14ac:dyDescent="0.3">
      <c r="A1958" s="15" t="str">
        <f>IF(COUNTA($B1958:$E1958,$K1958)=0,"",IF(AND($B1958&lt;&gt;"",$C1958&lt;&gt;"",$D1958&lt;&gt;"",$E1958&lt;&gt;""),"TXS"&amp;TEXT(COUNTIFS($B$2:$B1958,"&lt;&gt;",$C$2:$C1958,"&lt;&gt;",$D$2:$D1958,"&lt;&gt;",$E$2:$E1958,"&lt;&gt;"),"00000"),""))</f>
        <v/>
      </c>
      <c r="B1958" s="16"/>
      <c r="N1958" s="22"/>
    </row>
    <row r="1959" spans="1:14" x14ac:dyDescent="0.3">
      <c r="A1959" s="15" t="str">
        <f>IF(COUNTA($B1959:$E1959,$K1959)=0,"",IF(AND($B1959&lt;&gt;"",$C1959&lt;&gt;"",$D1959&lt;&gt;"",$E1959&lt;&gt;""),"TXS"&amp;TEXT(COUNTIFS($B$2:$B1959,"&lt;&gt;",$C$2:$C1959,"&lt;&gt;",$D$2:$D1959,"&lt;&gt;",$E$2:$E1959,"&lt;&gt;"),"00000"),""))</f>
        <v/>
      </c>
      <c r="B1959" s="16"/>
      <c r="N1959" s="22"/>
    </row>
    <row r="1960" spans="1:14" x14ac:dyDescent="0.3">
      <c r="A1960" s="15" t="str">
        <f>IF(COUNTA($B1960:$E1960,$K1960)=0,"",IF(AND($B1960&lt;&gt;"",$C1960&lt;&gt;"",$D1960&lt;&gt;"",$E1960&lt;&gt;""),"TXS"&amp;TEXT(COUNTIFS($B$2:$B1960,"&lt;&gt;",$C$2:$C1960,"&lt;&gt;",$D$2:$D1960,"&lt;&gt;",$E$2:$E1960,"&lt;&gt;"),"00000"),""))</f>
        <v/>
      </c>
      <c r="B1960" s="16"/>
      <c r="N1960" s="22"/>
    </row>
    <row r="1961" spans="1:14" x14ac:dyDescent="0.3">
      <c r="A1961" s="15" t="str">
        <f>IF(COUNTA($B1961:$E1961,$K1961)=0,"",IF(AND($B1961&lt;&gt;"",$C1961&lt;&gt;"",$D1961&lt;&gt;"",$E1961&lt;&gt;""),"TXS"&amp;TEXT(COUNTIFS($B$2:$B1961,"&lt;&gt;",$C$2:$C1961,"&lt;&gt;",$D$2:$D1961,"&lt;&gt;",$E$2:$E1961,"&lt;&gt;"),"00000"),""))</f>
        <v/>
      </c>
      <c r="B1961" s="16"/>
      <c r="N1961" s="22"/>
    </row>
    <row r="1962" spans="1:14" x14ac:dyDescent="0.3">
      <c r="A1962" s="15" t="str">
        <f>IF(COUNTA($B1962:$E1962,$K1962)=0,"",IF(AND($B1962&lt;&gt;"",$C1962&lt;&gt;"",$D1962&lt;&gt;"",$E1962&lt;&gt;""),"TXS"&amp;TEXT(COUNTIFS($B$2:$B1962,"&lt;&gt;",$C$2:$C1962,"&lt;&gt;",$D$2:$D1962,"&lt;&gt;",$E$2:$E1962,"&lt;&gt;"),"00000"),""))</f>
        <v/>
      </c>
      <c r="B1962" s="16"/>
      <c r="N1962" s="22"/>
    </row>
    <row r="1963" spans="1:14" x14ac:dyDescent="0.3">
      <c r="A1963" s="15" t="str">
        <f>IF(COUNTA($B1963:$E1963,$K1963)=0,"",IF(AND($B1963&lt;&gt;"",$C1963&lt;&gt;"",$D1963&lt;&gt;"",$E1963&lt;&gt;""),"TXS"&amp;TEXT(COUNTIFS($B$2:$B1963,"&lt;&gt;",$C$2:$C1963,"&lt;&gt;",$D$2:$D1963,"&lt;&gt;",$E$2:$E1963,"&lt;&gt;"),"00000"),""))</f>
        <v/>
      </c>
      <c r="B1963" s="16"/>
      <c r="N1963" s="22"/>
    </row>
    <row r="1964" spans="1:14" x14ac:dyDescent="0.3">
      <c r="A1964" s="15" t="str">
        <f>IF(COUNTA($B1964:$E1964,$K1964)=0,"",IF(AND($B1964&lt;&gt;"",$C1964&lt;&gt;"",$D1964&lt;&gt;"",$E1964&lt;&gt;""),"TXS"&amp;TEXT(COUNTIFS($B$2:$B1964,"&lt;&gt;",$C$2:$C1964,"&lt;&gt;",$D$2:$D1964,"&lt;&gt;",$E$2:$E1964,"&lt;&gt;"),"00000"),""))</f>
        <v/>
      </c>
      <c r="B1964" s="16"/>
      <c r="N1964" s="22"/>
    </row>
    <row r="1965" spans="1:14" x14ac:dyDescent="0.3">
      <c r="A1965" s="15" t="str">
        <f>IF(COUNTA($B1965:$E1965,$K1965)=0,"",IF(AND($B1965&lt;&gt;"",$C1965&lt;&gt;"",$D1965&lt;&gt;"",$E1965&lt;&gt;""),"TXS"&amp;TEXT(COUNTIFS($B$2:$B1965,"&lt;&gt;",$C$2:$C1965,"&lt;&gt;",$D$2:$D1965,"&lt;&gt;",$E$2:$E1965,"&lt;&gt;"),"00000"),""))</f>
        <v/>
      </c>
      <c r="B1965" s="16"/>
      <c r="N1965" s="22"/>
    </row>
    <row r="1966" spans="1:14" x14ac:dyDescent="0.3">
      <c r="A1966" s="15" t="str">
        <f>IF(COUNTA($B1966:$E1966,$K1966)=0,"",IF(AND($B1966&lt;&gt;"",$C1966&lt;&gt;"",$D1966&lt;&gt;"",$E1966&lt;&gt;""),"TXS"&amp;TEXT(COUNTIFS($B$2:$B1966,"&lt;&gt;",$C$2:$C1966,"&lt;&gt;",$D$2:$D1966,"&lt;&gt;",$E$2:$E1966,"&lt;&gt;"),"00000"),""))</f>
        <v/>
      </c>
      <c r="B1966" s="16"/>
      <c r="N1966" s="22"/>
    </row>
    <row r="1967" spans="1:14" x14ac:dyDescent="0.3">
      <c r="A1967" s="15" t="str">
        <f>IF(COUNTA($B1967:$E1967,$K1967)=0,"",IF(AND($B1967&lt;&gt;"",$C1967&lt;&gt;"",$D1967&lt;&gt;"",$E1967&lt;&gt;""),"TXS"&amp;TEXT(COUNTIFS($B$2:$B1967,"&lt;&gt;",$C$2:$C1967,"&lt;&gt;",$D$2:$D1967,"&lt;&gt;",$E$2:$E1967,"&lt;&gt;"),"00000"),""))</f>
        <v/>
      </c>
      <c r="B1967" s="16"/>
      <c r="N1967" s="22"/>
    </row>
    <row r="1968" spans="1:14" x14ac:dyDescent="0.3">
      <c r="A1968" s="15" t="str">
        <f>IF(COUNTA($B1968:$E1968,$K1968)=0,"",IF(AND($B1968&lt;&gt;"",$C1968&lt;&gt;"",$D1968&lt;&gt;"",$E1968&lt;&gt;""),"TXS"&amp;TEXT(COUNTIFS($B$2:$B1968,"&lt;&gt;",$C$2:$C1968,"&lt;&gt;",$D$2:$D1968,"&lt;&gt;",$E$2:$E1968,"&lt;&gt;"),"00000"),""))</f>
        <v/>
      </c>
      <c r="B1968" s="16"/>
      <c r="N1968" s="22"/>
    </row>
    <row r="1969" spans="1:14" x14ac:dyDescent="0.3">
      <c r="A1969" s="15" t="str">
        <f>IF(COUNTA($B1969:$E1969,$K1969)=0,"",IF(AND($B1969&lt;&gt;"",$C1969&lt;&gt;"",$D1969&lt;&gt;"",$E1969&lt;&gt;""),"TXS"&amp;TEXT(COUNTIFS($B$2:$B1969,"&lt;&gt;",$C$2:$C1969,"&lt;&gt;",$D$2:$D1969,"&lt;&gt;",$E$2:$E1969,"&lt;&gt;"),"00000"),""))</f>
        <v/>
      </c>
      <c r="B1969" s="16"/>
      <c r="N1969" s="22"/>
    </row>
    <row r="1970" spans="1:14" x14ac:dyDescent="0.3">
      <c r="A1970" s="15" t="str">
        <f>IF(COUNTA($B1970:$E1970,$K1970)=0,"",IF(AND($B1970&lt;&gt;"",$C1970&lt;&gt;"",$D1970&lt;&gt;"",$E1970&lt;&gt;""),"TXS"&amp;TEXT(COUNTIFS($B$2:$B1970,"&lt;&gt;",$C$2:$C1970,"&lt;&gt;",$D$2:$D1970,"&lt;&gt;",$E$2:$E1970,"&lt;&gt;"),"00000"),""))</f>
        <v/>
      </c>
      <c r="B1970" s="16"/>
      <c r="N1970" s="22"/>
    </row>
    <row r="1971" spans="1:14" x14ac:dyDescent="0.3">
      <c r="A1971" s="15" t="str">
        <f>IF(COUNTA($B1971:$E1971,$K1971)=0,"",IF(AND($B1971&lt;&gt;"",$C1971&lt;&gt;"",$D1971&lt;&gt;"",$E1971&lt;&gt;""),"TXS"&amp;TEXT(COUNTIFS($B$2:$B1971,"&lt;&gt;",$C$2:$C1971,"&lt;&gt;",$D$2:$D1971,"&lt;&gt;",$E$2:$E1971,"&lt;&gt;"),"00000"),""))</f>
        <v/>
      </c>
      <c r="B1971" s="16"/>
      <c r="N1971" s="22"/>
    </row>
    <row r="1972" spans="1:14" x14ac:dyDescent="0.3">
      <c r="A1972" s="15" t="str">
        <f>IF(COUNTA($B1972:$E1972,$K1972)=0,"",IF(AND($B1972&lt;&gt;"",$C1972&lt;&gt;"",$D1972&lt;&gt;"",$E1972&lt;&gt;""),"TXS"&amp;TEXT(COUNTIFS($B$2:$B1972,"&lt;&gt;",$C$2:$C1972,"&lt;&gt;",$D$2:$D1972,"&lt;&gt;",$E$2:$E1972,"&lt;&gt;"),"00000"),""))</f>
        <v/>
      </c>
      <c r="B1972" s="16"/>
      <c r="N1972" s="22"/>
    </row>
    <row r="1973" spans="1:14" x14ac:dyDescent="0.3">
      <c r="A1973" s="15" t="str">
        <f>IF(COUNTA($B1973:$E1973,$K1973)=0,"",IF(AND($B1973&lt;&gt;"",$C1973&lt;&gt;"",$D1973&lt;&gt;"",$E1973&lt;&gt;""),"TXS"&amp;TEXT(COUNTIFS($B$2:$B1973,"&lt;&gt;",$C$2:$C1973,"&lt;&gt;",$D$2:$D1973,"&lt;&gt;",$E$2:$E1973,"&lt;&gt;"),"00000"),""))</f>
        <v/>
      </c>
      <c r="B1973" s="16"/>
      <c r="N1973" s="22"/>
    </row>
    <row r="1974" spans="1:14" x14ac:dyDescent="0.3">
      <c r="A1974" s="15" t="str">
        <f>IF(COUNTA($B1974:$E1974,$K1974)=0,"",IF(AND($B1974&lt;&gt;"",$C1974&lt;&gt;"",$D1974&lt;&gt;"",$E1974&lt;&gt;""),"TXS"&amp;TEXT(COUNTIFS($B$2:$B1974,"&lt;&gt;",$C$2:$C1974,"&lt;&gt;",$D$2:$D1974,"&lt;&gt;",$E$2:$E1974,"&lt;&gt;"),"00000"),""))</f>
        <v/>
      </c>
      <c r="B1974" s="16"/>
      <c r="N1974" s="22"/>
    </row>
    <row r="1975" spans="1:14" x14ac:dyDescent="0.3">
      <c r="A1975" s="15" t="str">
        <f>IF(COUNTA($B1975:$E1975,$K1975)=0,"",IF(AND($B1975&lt;&gt;"",$C1975&lt;&gt;"",$D1975&lt;&gt;"",$E1975&lt;&gt;""),"TXS"&amp;TEXT(COUNTIFS($B$2:$B1975,"&lt;&gt;",$C$2:$C1975,"&lt;&gt;",$D$2:$D1975,"&lt;&gt;",$E$2:$E1975,"&lt;&gt;"),"00000"),""))</f>
        <v/>
      </c>
      <c r="B1975" s="16"/>
      <c r="N1975" s="22"/>
    </row>
    <row r="1976" spans="1:14" x14ac:dyDescent="0.3">
      <c r="A1976" s="15" t="str">
        <f>IF(COUNTA($B1976:$E1976,$K1976)=0,"",IF(AND($B1976&lt;&gt;"",$C1976&lt;&gt;"",$D1976&lt;&gt;"",$E1976&lt;&gt;""),"TXS"&amp;TEXT(COUNTIFS($B$2:$B1976,"&lt;&gt;",$C$2:$C1976,"&lt;&gt;",$D$2:$D1976,"&lt;&gt;",$E$2:$E1976,"&lt;&gt;"),"00000"),""))</f>
        <v/>
      </c>
      <c r="B1976" s="16"/>
      <c r="N1976" s="22"/>
    </row>
    <row r="1977" spans="1:14" x14ac:dyDescent="0.3">
      <c r="A1977" s="15" t="str">
        <f>IF(COUNTA($B1977:$E1977,$K1977)=0,"",IF(AND($B1977&lt;&gt;"",$C1977&lt;&gt;"",$D1977&lt;&gt;"",$E1977&lt;&gt;""),"TXS"&amp;TEXT(COUNTIFS($B$2:$B1977,"&lt;&gt;",$C$2:$C1977,"&lt;&gt;",$D$2:$D1977,"&lt;&gt;",$E$2:$E1977,"&lt;&gt;"),"00000"),""))</f>
        <v/>
      </c>
      <c r="B1977" s="16"/>
      <c r="N1977" s="22"/>
    </row>
    <row r="1978" spans="1:14" x14ac:dyDescent="0.3">
      <c r="A1978" s="15" t="str">
        <f>IF(COUNTA($B1978:$E1978,$K1978)=0,"",IF(AND($B1978&lt;&gt;"",$C1978&lt;&gt;"",$D1978&lt;&gt;"",$E1978&lt;&gt;""),"TXS"&amp;TEXT(COUNTIFS($B$2:$B1978,"&lt;&gt;",$C$2:$C1978,"&lt;&gt;",$D$2:$D1978,"&lt;&gt;",$E$2:$E1978,"&lt;&gt;"),"00000"),""))</f>
        <v/>
      </c>
      <c r="B1978" s="16"/>
      <c r="N1978" s="22"/>
    </row>
    <row r="1979" spans="1:14" x14ac:dyDescent="0.3">
      <c r="A1979" s="15" t="str">
        <f>IF(COUNTA($B1979:$E1979,$K1979)=0,"",IF(AND($B1979&lt;&gt;"",$C1979&lt;&gt;"",$D1979&lt;&gt;"",$E1979&lt;&gt;""),"TXS"&amp;TEXT(COUNTIFS($B$2:$B1979,"&lt;&gt;",$C$2:$C1979,"&lt;&gt;",$D$2:$D1979,"&lt;&gt;",$E$2:$E1979,"&lt;&gt;"),"00000"),""))</f>
        <v/>
      </c>
      <c r="B1979" s="16"/>
      <c r="N1979" s="22"/>
    </row>
    <row r="1980" spans="1:14" x14ac:dyDescent="0.3">
      <c r="A1980" s="15" t="str">
        <f>IF(COUNTA($B1980:$E1980,$K1980)=0,"",IF(AND($B1980&lt;&gt;"",$C1980&lt;&gt;"",$D1980&lt;&gt;"",$E1980&lt;&gt;""),"TXS"&amp;TEXT(COUNTIFS($B$2:$B1980,"&lt;&gt;",$C$2:$C1980,"&lt;&gt;",$D$2:$D1980,"&lt;&gt;",$E$2:$E1980,"&lt;&gt;"),"00000"),""))</f>
        <v/>
      </c>
      <c r="B1980" s="16"/>
      <c r="N1980" s="22"/>
    </row>
    <row r="1981" spans="1:14" x14ac:dyDescent="0.3">
      <c r="A1981" s="15" t="str">
        <f>IF(COUNTA($B1981:$E1981,$K1981)=0,"",IF(AND($B1981&lt;&gt;"",$C1981&lt;&gt;"",$D1981&lt;&gt;"",$E1981&lt;&gt;""),"TXS"&amp;TEXT(COUNTIFS($B$2:$B1981,"&lt;&gt;",$C$2:$C1981,"&lt;&gt;",$D$2:$D1981,"&lt;&gt;",$E$2:$E1981,"&lt;&gt;"),"00000"),""))</f>
        <v/>
      </c>
      <c r="B1981" s="16"/>
      <c r="N1981" s="22"/>
    </row>
    <row r="1982" spans="1:14" x14ac:dyDescent="0.3">
      <c r="A1982" s="15" t="str">
        <f>IF(COUNTA($B1982:$E1982,$K1982)=0,"",IF(AND($B1982&lt;&gt;"",$C1982&lt;&gt;"",$D1982&lt;&gt;"",$E1982&lt;&gt;""),"TXS"&amp;TEXT(COUNTIFS($B$2:$B1982,"&lt;&gt;",$C$2:$C1982,"&lt;&gt;",$D$2:$D1982,"&lt;&gt;",$E$2:$E1982,"&lt;&gt;"),"00000"),""))</f>
        <v/>
      </c>
      <c r="B1982" s="16"/>
      <c r="N1982" s="22"/>
    </row>
    <row r="1983" spans="1:14" x14ac:dyDescent="0.3">
      <c r="A1983" s="15" t="str">
        <f>IF(COUNTA($B1983:$E1983,$K1983)=0,"",IF(AND($B1983&lt;&gt;"",$C1983&lt;&gt;"",$D1983&lt;&gt;"",$E1983&lt;&gt;""),"TXS"&amp;TEXT(COUNTIFS($B$2:$B1983,"&lt;&gt;",$C$2:$C1983,"&lt;&gt;",$D$2:$D1983,"&lt;&gt;",$E$2:$E1983,"&lt;&gt;"),"00000"),""))</f>
        <v/>
      </c>
      <c r="B1983" s="16"/>
      <c r="N1983" s="22"/>
    </row>
    <row r="1984" spans="1:14" x14ac:dyDescent="0.3">
      <c r="A1984" s="15" t="str">
        <f>IF(COUNTA($B1984:$E1984,$K1984)=0,"",IF(AND($B1984&lt;&gt;"",$C1984&lt;&gt;"",$D1984&lt;&gt;"",$E1984&lt;&gt;""),"TXS"&amp;TEXT(COUNTIFS($B$2:$B1984,"&lt;&gt;",$C$2:$C1984,"&lt;&gt;",$D$2:$D1984,"&lt;&gt;",$E$2:$E1984,"&lt;&gt;"),"00000"),""))</f>
        <v/>
      </c>
      <c r="B1984" s="16"/>
      <c r="N1984" s="22"/>
    </row>
    <row r="1985" spans="1:14" x14ac:dyDescent="0.3">
      <c r="A1985" s="15" t="str">
        <f>IF(COUNTA($B1985:$E1985,$K1985)=0,"",IF(AND($B1985&lt;&gt;"",$C1985&lt;&gt;"",$D1985&lt;&gt;"",$E1985&lt;&gt;""),"TXS"&amp;TEXT(COUNTIFS($B$2:$B1985,"&lt;&gt;",$C$2:$C1985,"&lt;&gt;",$D$2:$D1985,"&lt;&gt;",$E$2:$E1985,"&lt;&gt;"),"00000"),""))</f>
        <v/>
      </c>
      <c r="B1985" s="16"/>
      <c r="N1985" s="22"/>
    </row>
    <row r="1986" spans="1:14" x14ac:dyDescent="0.3">
      <c r="A1986" s="15" t="str">
        <f>IF(COUNTA($B1986:$E1986,$K1986)=0,"",IF(AND($B1986&lt;&gt;"",$C1986&lt;&gt;"",$D1986&lt;&gt;"",$E1986&lt;&gt;""),"TXS"&amp;TEXT(COUNTIFS($B$2:$B1986,"&lt;&gt;",$C$2:$C1986,"&lt;&gt;",$D$2:$D1986,"&lt;&gt;",$E$2:$E1986,"&lt;&gt;"),"00000"),""))</f>
        <v/>
      </c>
      <c r="B1986" s="16"/>
      <c r="N1986" s="22"/>
    </row>
    <row r="1987" spans="1:14" x14ac:dyDescent="0.3">
      <c r="A1987" s="15" t="str">
        <f>IF(COUNTA($B1987:$E1987,$K1987)=0,"",IF(AND($B1987&lt;&gt;"",$C1987&lt;&gt;"",$D1987&lt;&gt;"",$E1987&lt;&gt;""),"TXS"&amp;TEXT(COUNTIFS($B$2:$B1987,"&lt;&gt;",$C$2:$C1987,"&lt;&gt;",$D$2:$D1987,"&lt;&gt;",$E$2:$E1987,"&lt;&gt;"),"00000"),""))</f>
        <v/>
      </c>
      <c r="B1987" s="16"/>
      <c r="N1987" s="22"/>
    </row>
    <row r="1988" spans="1:14" x14ac:dyDescent="0.3">
      <c r="A1988" s="15" t="str">
        <f>IF(COUNTA($B1988:$E1988,$K1988)=0,"",IF(AND($B1988&lt;&gt;"",$C1988&lt;&gt;"",$D1988&lt;&gt;"",$E1988&lt;&gt;""),"TXS"&amp;TEXT(COUNTIFS($B$2:$B1988,"&lt;&gt;",$C$2:$C1988,"&lt;&gt;",$D$2:$D1988,"&lt;&gt;",$E$2:$E1988,"&lt;&gt;"),"00000"),""))</f>
        <v/>
      </c>
      <c r="B1988" s="16"/>
      <c r="N1988" s="22"/>
    </row>
    <row r="1989" spans="1:14" x14ac:dyDescent="0.3">
      <c r="A1989" s="15" t="str">
        <f>IF(COUNTA($B1989:$E1989,$K1989)=0,"",IF(AND($B1989&lt;&gt;"",$C1989&lt;&gt;"",$D1989&lt;&gt;"",$E1989&lt;&gt;""),"TXS"&amp;TEXT(COUNTIFS($B$2:$B1989,"&lt;&gt;",$C$2:$C1989,"&lt;&gt;",$D$2:$D1989,"&lt;&gt;",$E$2:$E1989,"&lt;&gt;"),"00000"),""))</f>
        <v/>
      </c>
      <c r="B1989" s="16"/>
      <c r="N1989" s="22"/>
    </row>
    <row r="1990" spans="1:14" x14ac:dyDescent="0.3">
      <c r="A1990" s="15" t="str">
        <f>IF(COUNTA($B1990:$E1990,$K1990)=0,"",IF(AND($B1990&lt;&gt;"",$C1990&lt;&gt;"",$D1990&lt;&gt;"",$E1990&lt;&gt;""),"TXS"&amp;TEXT(COUNTIFS($B$2:$B1990,"&lt;&gt;",$C$2:$C1990,"&lt;&gt;",$D$2:$D1990,"&lt;&gt;",$E$2:$E1990,"&lt;&gt;"),"00000"),""))</f>
        <v/>
      </c>
      <c r="B1990" s="16"/>
      <c r="N1990" s="22"/>
    </row>
    <row r="1991" spans="1:14" x14ac:dyDescent="0.3">
      <c r="A1991" s="15" t="str">
        <f>IF(COUNTA($B1991:$E1991,$K1991)=0,"",IF(AND($B1991&lt;&gt;"",$C1991&lt;&gt;"",$D1991&lt;&gt;"",$E1991&lt;&gt;""),"TXS"&amp;TEXT(COUNTIFS($B$2:$B1991,"&lt;&gt;",$C$2:$C1991,"&lt;&gt;",$D$2:$D1991,"&lt;&gt;",$E$2:$E1991,"&lt;&gt;"),"00000"),""))</f>
        <v/>
      </c>
      <c r="B1991" s="16"/>
      <c r="N1991" s="22"/>
    </row>
    <row r="1992" spans="1:14" x14ac:dyDescent="0.3">
      <c r="A1992" s="15" t="str">
        <f>IF(COUNTA($B1992:$E1992,$K1992)=0,"",IF(AND($B1992&lt;&gt;"",$C1992&lt;&gt;"",$D1992&lt;&gt;"",$E1992&lt;&gt;""),"TXS"&amp;TEXT(COUNTIFS($B$2:$B1992,"&lt;&gt;",$C$2:$C1992,"&lt;&gt;",$D$2:$D1992,"&lt;&gt;",$E$2:$E1992,"&lt;&gt;"),"00000"),""))</f>
        <v/>
      </c>
      <c r="B1992" s="16"/>
      <c r="N1992" s="22"/>
    </row>
    <row r="1993" spans="1:14" x14ac:dyDescent="0.3">
      <c r="A1993" s="15" t="str">
        <f>IF(COUNTA($B1993:$E1993,$K1993)=0,"",IF(AND($B1993&lt;&gt;"",$C1993&lt;&gt;"",$D1993&lt;&gt;"",$E1993&lt;&gt;""),"TXS"&amp;TEXT(COUNTIFS($B$2:$B1993,"&lt;&gt;",$C$2:$C1993,"&lt;&gt;",$D$2:$D1993,"&lt;&gt;",$E$2:$E1993,"&lt;&gt;"),"00000"),""))</f>
        <v/>
      </c>
      <c r="B1993" s="16"/>
      <c r="N1993" s="22"/>
    </row>
    <row r="1994" spans="1:14" x14ac:dyDescent="0.3">
      <c r="A1994" s="15" t="str">
        <f>IF(COUNTA($B1994:$E1994,$K1994)=0,"",IF(AND($B1994&lt;&gt;"",$C1994&lt;&gt;"",$D1994&lt;&gt;"",$E1994&lt;&gt;""),"TXS"&amp;TEXT(COUNTIFS($B$2:$B1994,"&lt;&gt;",$C$2:$C1994,"&lt;&gt;",$D$2:$D1994,"&lt;&gt;",$E$2:$E1994,"&lt;&gt;"),"00000"),""))</f>
        <v/>
      </c>
      <c r="B1994" s="16"/>
      <c r="N1994" s="22"/>
    </row>
    <row r="1995" spans="1:14" x14ac:dyDescent="0.3">
      <c r="A1995" s="15" t="str">
        <f>IF(COUNTA($B1995:$E1995,$K1995)=0,"",IF(AND($B1995&lt;&gt;"",$C1995&lt;&gt;"",$D1995&lt;&gt;"",$E1995&lt;&gt;""),"TXS"&amp;TEXT(COUNTIFS($B$2:$B1995,"&lt;&gt;",$C$2:$C1995,"&lt;&gt;",$D$2:$D1995,"&lt;&gt;",$E$2:$E1995,"&lt;&gt;"),"00000"),""))</f>
        <v/>
      </c>
      <c r="B1995" s="16"/>
      <c r="N1995" s="22"/>
    </row>
    <row r="1996" spans="1:14" x14ac:dyDescent="0.3">
      <c r="A1996" s="15" t="str">
        <f>IF(COUNTA($B1996:$E1996,$K1996)=0,"",IF(AND($B1996&lt;&gt;"",$C1996&lt;&gt;"",$D1996&lt;&gt;"",$E1996&lt;&gt;""),"TXS"&amp;TEXT(COUNTIFS($B$2:$B1996,"&lt;&gt;",$C$2:$C1996,"&lt;&gt;",$D$2:$D1996,"&lt;&gt;",$E$2:$E1996,"&lt;&gt;"),"00000"),""))</f>
        <v/>
      </c>
      <c r="B1996" s="16"/>
      <c r="N1996" s="22"/>
    </row>
    <row r="1997" spans="1:14" x14ac:dyDescent="0.3">
      <c r="A1997" s="15" t="str">
        <f>IF(COUNTA($B1997:$E1997,$K1997)=0,"",IF(AND($B1997&lt;&gt;"",$C1997&lt;&gt;"",$D1997&lt;&gt;"",$E1997&lt;&gt;""),"TXS"&amp;TEXT(COUNTIFS($B$2:$B1997,"&lt;&gt;",$C$2:$C1997,"&lt;&gt;",$D$2:$D1997,"&lt;&gt;",$E$2:$E1997,"&lt;&gt;"),"00000"),""))</f>
        <v/>
      </c>
      <c r="B1997" s="16"/>
      <c r="N1997" s="22"/>
    </row>
    <row r="1998" spans="1:14" x14ac:dyDescent="0.3">
      <c r="A1998" s="15" t="str">
        <f>IF(COUNTA($B1998:$E1998,$K1998)=0,"",IF(AND($B1998&lt;&gt;"",$C1998&lt;&gt;"",$D1998&lt;&gt;"",$E1998&lt;&gt;""),"TXS"&amp;TEXT(COUNTIFS($B$2:$B1998,"&lt;&gt;",$C$2:$C1998,"&lt;&gt;",$D$2:$D1998,"&lt;&gt;",$E$2:$E1998,"&lt;&gt;"),"00000"),""))</f>
        <v/>
      </c>
      <c r="B1998" s="16"/>
      <c r="N1998" s="22"/>
    </row>
    <row r="1999" spans="1:14" x14ac:dyDescent="0.3">
      <c r="A1999" s="15" t="str">
        <f>IF(COUNTA($B1999:$E1999,$K1999)=0,"",IF(AND($B1999&lt;&gt;"",$C1999&lt;&gt;"",$D1999&lt;&gt;"",$E1999&lt;&gt;""),"TXS"&amp;TEXT(COUNTIFS($B$2:$B1999,"&lt;&gt;",$C$2:$C1999,"&lt;&gt;",$D$2:$D1999,"&lt;&gt;",$E$2:$E1999,"&lt;&gt;"),"00000"),""))</f>
        <v/>
      </c>
      <c r="B1999" s="16"/>
      <c r="N1999" s="22"/>
    </row>
    <row r="2000" spans="1:14" x14ac:dyDescent="0.3">
      <c r="A2000" s="15" t="str">
        <f>IF(COUNTA($B2000:$E2000,$K2000)=0,"",IF(AND($B2000&lt;&gt;"",$C2000&lt;&gt;"",$D2000&lt;&gt;"",$E2000&lt;&gt;""),"TXS"&amp;TEXT(COUNTIFS($B$2:$B2000,"&lt;&gt;",$C$2:$C2000,"&lt;&gt;",$D$2:$D2000,"&lt;&gt;",$E$2:$E2000,"&lt;&gt;"),"00000"),""))</f>
        <v/>
      </c>
      <c r="B2000" s="16"/>
      <c r="N2000" s="22"/>
    </row>
    <row r="2001" spans="1:14" x14ac:dyDescent="0.3">
      <c r="A2001" s="15" t="str">
        <f>IF(COUNTA($B2001:$E2001,$K2001)=0,"",IF(AND($B2001&lt;&gt;"",$C2001&lt;&gt;"",$D2001&lt;&gt;"",$E2001&lt;&gt;""),"TXS"&amp;TEXT(COUNTIFS($B$2:$B2001,"&lt;&gt;",$C$2:$C2001,"&lt;&gt;",$D$2:$D2001,"&lt;&gt;",$E$2:$E2001,"&lt;&gt;"),"00000"),""))</f>
        <v/>
      </c>
      <c r="B2001" s="16"/>
      <c r="N2001" s="22"/>
    </row>
    <row r="2002" spans="1:14" x14ac:dyDescent="0.3">
      <c r="A2002" s="15" t="str">
        <f>IF(COUNTA($B2002:$E2002,$K2002)=0,"",IF(AND($B2002&lt;&gt;"",$C2002&lt;&gt;"",$D2002&lt;&gt;"",$E2002&lt;&gt;""),"TXS"&amp;TEXT(COUNTIFS($B$2:$B2002,"&lt;&gt;",$C$2:$C2002,"&lt;&gt;",$D$2:$D2002,"&lt;&gt;",$E$2:$E2002,"&lt;&gt;"),"00000"),""))</f>
        <v/>
      </c>
      <c r="B2002" s="16"/>
      <c r="N2002" s="22"/>
    </row>
    <row r="2003" spans="1:14" x14ac:dyDescent="0.3">
      <c r="A2003" s="15" t="str">
        <f>IF(COUNTA($B2003:$E2003,$K2003)=0,"",IF(AND($B2003&lt;&gt;"",$C2003&lt;&gt;"",$D2003&lt;&gt;"",$E2003&lt;&gt;""),"TXS"&amp;TEXT(COUNTIFS($B$2:$B2003,"&lt;&gt;",$C$2:$C2003,"&lt;&gt;",$D$2:$D2003,"&lt;&gt;",$E$2:$E2003,"&lt;&gt;"),"00000"),""))</f>
        <v/>
      </c>
      <c r="B2003" s="16"/>
      <c r="N2003" s="22"/>
    </row>
    <row r="2004" spans="1:14" x14ac:dyDescent="0.3">
      <c r="A2004" s="15" t="str">
        <f>IF(COUNTA($B2004:$E2004,$K2004)=0,"",IF(AND($B2004&lt;&gt;"",$C2004&lt;&gt;"",$D2004&lt;&gt;"",$E2004&lt;&gt;""),"TXS"&amp;TEXT(COUNTIFS($B$2:$B2004,"&lt;&gt;",$C$2:$C2004,"&lt;&gt;",$D$2:$D2004,"&lt;&gt;",$E$2:$E2004,"&lt;&gt;"),"00000"),""))</f>
        <v/>
      </c>
      <c r="B2004" s="16"/>
      <c r="N2004" s="22"/>
    </row>
    <row r="2005" spans="1:14" x14ac:dyDescent="0.3">
      <c r="A2005" s="15" t="str">
        <f>IF(COUNTA($B2005:$E2005,$K2005)=0,"",IF(AND($B2005&lt;&gt;"",$C2005&lt;&gt;"",$D2005&lt;&gt;"",$E2005&lt;&gt;""),"TXS"&amp;TEXT(COUNTIFS($B$2:$B2005,"&lt;&gt;",$C$2:$C2005,"&lt;&gt;",$D$2:$D2005,"&lt;&gt;",$E$2:$E2005,"&lt;&gt;"),"00000"),""))</f>
        <v/>
      </c>
      <c r="B2005" s="16"/>
      <c r="N2005" s="22"/>
    </row>
    <row r="2006" spans="1:14" x14ac:dyDescent="0.3">
      <c r="A2006" s="15" t="str">
        <f>IF(COUNTA($B2006:$E2006,$K2006)=0,"",IF(AND($B2006&lt;&gt;"",$C2006&lt;&gt;"",$D2006&lt;&gt;"",$E2006&lt;&gt;""),"TXS"&amp;TEXT(COUNTIFS($B$2:$B2006,"&lt;&gt;",$C$2:$C2006,"&lt;&gt;",$D$2:$D2006,"&lt;&gt;",$E$2:$E2006,"&lt;&gt;"),"00000"),""))</f>
        <v/>
      </c>
      <c r="B2006" s="16"/>
      <c r="N2006" s="22"/>
    </row>
    <row r="2007" spans="1:14" x14ac:dyDescent="0.3">
      <c r="A2007" s="15" t="str">
        <f>IF(COUNTA($B2007:$E2007,$K2007)=0,"",IF(AND($B2007&lt;&gt;"",$C2007&lt;&gt;"",$D2007&lt;&gt;"",$E2007&lt;&gt;""),"TXS"&amp;TEXT(COUNTIFS($B$2:$B2007,"&lt;&gt;",$C$2:$C2007,"&lt;&gt;",$D$2:$D2007,"&lt;&gt;",$E$2:$E2007,"&lt;&gt;"),"00000"),""))</f>
        <v/>
      </c>
      <c r="B2007" s="16"/>
      <c r="N2007" s="22"/>
    </row>
    <row r="2008" spans="1:14" x14ac:dyDescent="0.3">
      <c r="A2008" s="15" t="str">
        <f>IF(COUNTA($B2008:$E2008,$K2008)=0,"",IF(AND($B2008&lt;&gt;"",$C2008&lt;&gt;"",$D2008&lt;&gt;"",$E2008&lt;&gt;""),"TXS"&amp;TEXT(COUNTIFS($B$2:$B2008,"&lt;&gt;",$C$2:$C2008,"&lt;&gt;",$D$2:$D2008,"&lt;&gt;",$E$2:$E2008,"&lt;&gt;"),"00000"),""))</f>
        <v/>
      </c>
      <c r="B2008" s="16"/>
      <c r="N2008" s="22"/>
    </row>
    <row r="2009" spans="1:14" x14ac:dyDescent="0.3">
      <c r="A2009" s="15" t="str">
        <f>IF(COUNTA($B2009:$E2009,$K2009)=0,"",IF(AND($B2009&lt;&gt;"",$C2009&lt;&gt;"",$D2009&lt;&gt;"",$E2009&lt;&gt;""),"TXS"&amp;TEXT(COUNTIFS($B$2:$B2009,"&lt;&gt;",$C$2:$C2009,"&lt;&gt;",$D$2:$D2009,"&lt;&gt;",$E$2:$E2009,"&lt;&gt;"),"00000"),""))</f>
        <v/>
      </c>
      <c r="B2009" s="16"/>
      <c r="N2009" s="22"/>
    </row>
    <row r="2010" spans="1:14" x14ac:dyDescent="0.3">
      <c r="A2010" s="15" t="str">
        <f>IF(COUNTA($B2010:$E2010,$K2010)=0,"",IF(AND($B2010&lt;&gt;"",$C2010&lt;&gt;"",$D2010&lt;&gt;"",$E2010&lt;&gt;""),"TXS"&amp;TEXT(COUNTIFS($B$2:$B2010,"&lt;&gt;",$C$2:$C2010,"&lt;&gt;",$D$2:$D2010,"&lt;&gt;",$E$2:$E2010,"&lt;&gt;"),"00000"),""))</f>
        <v/>
      </c>
      <c r="B2010" s="16"/>
      <c r="N2010" s="22"/>
    </row>
    <row r="2011" spans="1:14" x14ac:dyDescent="0.3">
      <c r="A2011" s="15" t="str">
        <f>IF(COUNTA($B2011:$E2011,$K2011)=0,"",IF(AND($B2011&lt;&gt;"",$C2011&lt;&gt;"",$D2011&lt;&gt;"",$E2011&lt;&gt;""),"TXS"&amp;TEXT(COUNTIFS($B$2:$B2011,"&lt;&gt;",$C$2:$C2011,"&lt;&gt;",$D$2:$D2011,"&lt;&gt;",$E$2:$E2011,"&lt;&gt;"),"00000"),""))</f>
        <v/>
      </c>
      <c r="B2011" s="16"/>
      <c r="N2011" s="22"/>
    </row>
    <row r="2012" spans="1:14" x14ac:dyDescent="0.3">
      <c r="A2012" s="15" t="str">
        <f>IF(COUNTA($B2012:$E2012,$K2012)=0,"",IF(AND($B2012&lt;&gt;"",$C2012&lt;&gt;"",$D2012&lt;&gt;"",$E2012&lt;&gt;""),"TXS"&amp;TEXT(COUNTIFS($B$2:$B2012,"&lt;&gt;",$C$2:$C2012,"&lt;&gt;",$D$2:$D2012,"&lt;&gt;",$E$2:$E2012,"&lt;&gt;"),"00000"),""))</f>
        <v/>
      </c>
      <c r="B2012" s="16"/>
      <c r="N2012" s="22"/>
    </row>
    <row r="2013" spans="1:14" x14ac:dyDescent="0.3">
      <c r="A2013" s="15" t="str">
        <f>IF(COUNTA($B2013:$E2013,$K2013)=0,"",IF(AND($B2013&lt;&gt;"",$C2013&lt;&gt;"",$D2013&lt;&gt;"",$E2013&lt;&gt;""),"TXS"&amp;TEXT(COUNTIFS($B$2:$B2013,"&lt;&gt;",$C$2:$C2013,"&lt;&gt;",$D$2:$D2013,"&lt;&gt;",$E$2:$E2013,"&lt;&gt;"),"00000"),""))</f>
        <v/>
      </c>
      <c r="B2013" s="16"/>
      <c r="N2013" s="22"/>
    </row>
    <row r="2014" spans="1:14" x14ac:dyDescent="0.3">
      <c r="A2014" s="15" t="str">
        <f>IF(COUNTA($B2014:$E2014,$K2014)=0,"",IF(AND($B2014&lt;&gt;"",$C2014&lt;&gt;"",$D2014&lt;&gt;"",$E2014&lt;&gt;""),"TXS"&amp;TEXT(COUNTIFS($B$2:$B2014,"&lt;&gt;",$C$2:$C2014,"&lt;&gt;",$D$2:$D2014,"&lt;&gt;",$E$2:$E2014,"&lt;&gt;"),"00000"),""))</f>
        <v/>
      </c>
      <c r="B2014" s="16"/>
      <c r="N2014" s="22"/>
    </row>
    <row r="2015" spans="1:14" x14ac:dyDescent="0.3">
      <c r="A2015" s="15" t="str">
        <f>IF(COUNTA($B2015:$E2015,$K2015)=0,"",IF(AND($B2015&lt;&gt;"",$C2015&lt;&gt;"",$D2015&lt;&gt;"",$E2015&lt;&gt;""),"TXS"&amp;TEXT(COUNTIFS($B$2:$B2015,"&lt;&gt;",$C$2:$C2015,"&lt;&gt;",$D$2:$D2015,"&lt;&gt;",$E$2:$E2015,"&lt;&gt;"),"00000"),""))</f>
        <v/>
      </c>
      <c r="B2015" s="16"/>
      <c r="N2015" s="22"/>
    </row>
    <row r="2016" spans="1:14" x14ac:dyDescent="0.3">
      <c r="A2016" s="15" t="str">
        <f>IF(COUNTA($B2016:$E2016,$K2016)=0,"",IF(AND($B2016&lt;&gt;"",$C2016&lt;&gt;"",$D2016&lt;&gt;"",$E2016&lt;&gt;""),"TXS"&amp;TEXT(COUNTIFS($B$2:$B2016,"&lt;&gt;",$C$2:$C2016,"&lt;&gt;",$D$2:$D2016,"&lt;&gt;",$E$2:$E2016,"&lt;&gt;"),"00000"),""))</f>
        <v/>
      </c>
      <c r="B2016" s="16"/>
      <c r="N2016" s="22"/>
    </row>
    <row r="2017" spans="1:14" x14ac:dyDescent="0.3">
      <c r="A2017" s="15" t="str">
        <f>IF(COUNTA($B2017:$E2017,$K2017)=0,"",IF(AND($B2017&lt;&gt;"",$C2017&lt;&gt;"",$D2017&lt;&gt;"",$E2017&lt;&gt;""),"TXS"&amp;TEXT(COUNTIFS($B$2:$B2017,"&lt;&gt;",$C$2:$C2017,"&lt;&gt;",$D$2:$D2017,"&lt;&gt;",$E$2:$E2017,"&lt;&gt;"),"00000"),""))</f>
        <v/>
      </c>
      <c r="B2017" s="16"/>
      <c r="N2017" s="22"/>
    </row>
    <row r="2018" spans="1:14" x14ac:dyDescent="0.3">
      <c r="A2018" s="15" t="str">
        <f>IF(COUNTA($B2018:$E2018,$K2018)=0,"",IF(AND($B2018&lt;&gt;"",$C2018&lt;&gt;"",$D2018&lt;&gt;"",$E2018&lt;&gt;""),"TXS"&amp;TEXT(COUNTIFS($B$2:$B2018,"&lt;&gt;",$C$2:$C2018,"&lt;&gt;",$D$2:$D2018,"&lt;&gt;",$E$2:$E2018,"&lt;&gt;"),"00000"),""))</f>
        <v/>
      </c>
      <c r="B2018" s="16"/>
      <c r="N2018" s="22"/>
    </row>
    <row r="2019" spans="1:14" x14ac:dyDescent="0.3">
      <c r="A2019" s="15" t="str">
        <f>IF(COUNTA($B2019:$E2019,$K2019)=0,"",IF(AND($B2019&lt;&gt;"",$C2019&lt;&gt;"",$D2019&lt;&gt;"",$E2019&lt;&gt;""),"TXS"&amp;TEXT(COUNTIFS($B$2:$B2019,"&lt;&gt;",$C$2:$C2019,"&lt;&gt;",$D$2:$D2019,"&lt;&gt;",$E$2:$E2019,"&lt;&gt;"),"00000"),""))</f>
        <v/>
      </c>
      <c r="B2019" s="16"/>
      <c r="N2019" s="22"/>
    </row>
    <row r="2020" spans="1:14" x14ac:dyDescent="0.3">
      <c r="A2020" s="15" t="str">
        <f>IF(COUNTA($B2020:$E2020,$K2020)=0,"",IF(AND($B2020&lt;&gt;"",$C2020&lt;&gt;"",$D2020&lt;&gt;"",$E2020&lt;&gt;""),"TXS"&amp;TEXT(COUNTIFS($B$2:$B2020,"&lt;&gt;",$C$2:$C2020,"&lt;&gt;",$D$2:$D2020,"&lt;&gt;",$E$2:$E2020,"&lt;&gt;"),"00000"),""))</f>
        <v/>
      </c>
      <c r="B2020" s="16"/>
      <c r="N2020" s="22"/>
    </row>
    <row r="2021" spans="1:14" x14ac:dyDescent="0.3">
      <c r="A2021" s="15" t="str">
        <f>IF(COUNTA($B2021:$E2021,$K2021)=0,"",IF(AND($B2021&lt;&gt;"",$C2021&lt;&gt;"",$D2021&lt;&gt;"",$E2021&lt;&gt;""),"TXS"&amp;TEXT(COUNTIFS($B$2:$B2021,"&lt;&gt;",$C$2:$C2021,"&lt;&gt;",$D$2:$D2021,"&lt;&gt;",$E$2:$E2021,"&lt;&gt;"),"00000"),""))</f>
        <v/>
      </c>
      <c r="B2021" s="16"/>
      <c r="N2021" s="22"/>
    </row>
    <row r="2022" spans="1:14" x14ac:dyDescent="0.3">
      <c r="A2022" s="15" t="str">
        <f>IF(COUNTA($B2022:$E2022,$K2022)=0,"",IF(AND($B2022&lt;&gt;"",$C2022&lt;&gt;"",$D2022&lt;&gt;"",$E2022&lt;&gt;""),"TXS"&amp;TEXT(COUNTIFS($B$2:$B2022,"&lt;&gt;",$C$2:$C2022,"&lt;&gt;",$D$2:$D2022,"&lt;&gt;",$E$2:$E2022,"&lt;&gt;"),"00000"),""))</f>
        <v/>
      </c>
      <c r="B2022" s="16"/>
      <c r="N2022" s="22"/>
    </row>
    <row r="2023" spans="1:14" x14ac:dyDescent="0.3">
      <c r="A2023" s="15" t="str">
        <f>IF(COUNTA($B2023:$E2023,$K2023)=0,"",IF(AND($B2023&lt;&gt;"",$C2023&lt;&gt;"",$D2023&lt;&gt;"",$E2023&lt;&gt;""),"TXS"&amp;TEXT(COUNTIFS($B$2:$B2023,"&lt;&gt;",$C$2:$C2023,"&lt;&gt;",$D$2:$D2023,"&lt;&gt;",$E$2:$E2023,"&lt;&gt;"),"00000"),""))</f>
        <v/>
      </c>
      <c r="B2023" s="16"/>
      <c r="N2023" s="22"/>
    </row>
    <row r="2024" spans="1:14" x14ac:dyDescent="0.3">
      <c r="A2024" s="15" t="str">
        <f>IF(COUNTA($B2024:$E2024,$K2024)=0,"",IF(AND($B2024&lt;&gt;"",$C2024&lt;&gt;"",$D2024&lt;&gt;"",$E2024&lt;&gt;""),"TXS"&amp;TEXT(COUNTIFS($B$2:$B2024,"&lt;&gt;",$C$2:$C2024,"&lt;&gt;",$D$2:$D2024,"&lt;&gt;",$E$2:$E2024,"&lt;&gt;"),"00000"),""))</f>
        <v/>
      </c>
      <c r="B2024" s="16"/>
      <c r="N2024" s="22"/>
    </row>
    <row r="2025" spans="1:14" x14ac:dyDescent="0.3">
      <c r="A2025" s="15" t="str">
        <f>IF(COUNTA($B2025:$E2025,$K2025)=0,"",IF(AND($B2025&lt;&gt;"",$C2025&lt;&gt;"",$D2025&lt;&gt;"",$E2025&lt;&gt;""),"TXS"&amp;TEXT(COUNTIFS($B$2:$B2025,"&lt;&gt;",$C$2:$C2025,"&lt;&gt;",$D$2:$D2025,"&lt;&gt;",$E$2:$E2025,"&lt;&gt;"),"00000"),""))</f>
        <v/>
      </c>
      <c r="B2025" s="16"/>
      <c r="N2025" s="22"/>
    </row>
    <row r="2026" spans="1:14" x14ac:dyDescent="0.3">
      <c r="A2026" s="15" t="str">
        <f>IF(COUNTA($B2026:$E2026,$K2026)=0,"",IF(AND($B2026&lt;&gt;"",$C2026&lt;&gt;"",$D2026&lt;&gt;"",$E2026&lt;&gt;""),"TXS"&amp;TEXT(COUNTIFS($B$2:$B2026,"&lt;&gt;",$C$2:$C2026,"&lt;&gt;",$D$2:$D2026,"&lt;&gt;",$E$2:$E2026,"&lt;&gt;"),"00000"),""))</f>
        <v/>
      </c>
      <c r="B2026" s="16"/>
      <c r="N2026" s="22"/>
    </row>
    <row r="2027" spans="1:14" x14ac:dyDescent="0.3">
      <c r="A2027" s="15" t="str">
        <f>IF(COUNTA($B2027:$E2027,$K2027)=0,"",IF(AND($B2027&lt;&gt;"",$C2027&lt;&gt;"",$D2027&lt;&gt;"",$E2027&lt;&gt;""),"TXS"&amp;TEXT(COUNTIFS($B$2:$B2027,"&lt;&gt;",$C$2:$C2027,"&lt;&gt;",$D$2:$D2027,"&lt;&gt;",$E$2:$E2027,"&lt;&gt;"),"00000"),""))</f>
        <v/>
      </c>
      <c r="B2027" s="16"/>
      <c r="N2027" s="22"/>
    </row>
    <row r="2028" spans="1:14" x14ac:dyDescent="0.3">
      <c r="A2028" s="15" t="str">
        <f>IF(COUNTA($B2028:$E2028,$K2028)=0,"",IF(AND($B2028&lt;&gt;"",$C2028&lt;&gt;"",$D2028&lt;&gt;"",$E2028&lt;&gt;""),"TXS"&amp;TEXT(COUNTIFS($B$2:$B2028,"&lt;&gt;",$C$2:$C2028,"&lt;&gt;",$D$2:$D2028,"&lt;&gt;",$E$2:$E2028,"&lt;&gt;"),"00000"),""))</f>
        <v/>
      </c>
      <c r="B2028" s="16"/>
      <c r="N2028" s="22"/>
    </row>
    <row r="2029" spans="1:14" x14ac:dyDescent="0.3">
      <c r="A2029" s="15" t="str">
        <f>IF(COUNTA($B2029:$E2029,$K2029)=0,"",IF(AND($B2029&lt;&gt;"",$C2029&lt;&gt;"",$D2029&lt;&gt;"",$E2029&lt;&gt;""),"TXS"&amp;TEXT(COUNTIFS($B$2:$B2029,"&lt;&gt;",$C$2:$C2029,"&lt;&gt;",$D$2:$D2029,"&lt;&gt;",$E$2:$E2029,"&lt;&gt;"),"00000"),""))</f>
        <v/>
      </c>
      <c r="B2029" s="16"/>
      <c r="N2029" s="22"/>
    </row>
    <row r="2030" spans="1:14" x14ac:dyDescent="0.3">
      <c r="A2030" s="15" t="str">
        <f>IF(COUNTA($B2030:$E2030,$K2030)=0,"",IF(AND($B2030&lt;&gt;"",$C2030&lt;&gt;"",$D2030&lt;&gt;"",$E2030&lt;&gt;""),"TXS"&amp;TEXT(COUNTIFS($B$2:$B2030,"&lt;&gt;",$C$2:$C2030,"&lt;&gt;",$D$2:$D2030,"&lt;&gt;",$E$2:$E2030,"&lt;&gt;"),"00000"),""))</f>
        <v/>
      </c>
      <c r="B2030" s="16"/>
      <c r="N2030" s="22"/>
    </row>
    <row r="2031" spans="1:14" x14ac:dyDescent="0.3">
      <c r="A2031" s="15" t="str">
        <f>IF(COUNTA($B2031:$E2031,$K2031)=0,"",IF(AND($B2031&lt;&gt;"",$C2031&lt;&gt;"",$D2031&lt;&gt;"",$E2031&lt;&gt;""),"TXS"&amp;TEXT(COUNTIFS($B$2:$B2031,"&lt;&gt;",$C$2:$C2031,"&lt;&gt;",$D$2:$D2031,"&lt;&gt;",$E$2:$E2031,"&lt;&gt;"),"00000"),""))</f>
        <v/>
      </c>
      <c r="B2031" s="16"/>
      <c r="N2031" s="22"/>
    </row>
    <row r="2032" spans="1:14" x14ac:dyDescent="0.3">
      <c r="A2032" s="15" t="str">
        <f>IF(COUNTA($B2032:$E2032,$K2032)=0,"",IF(AND($B2032&lt;&gt;"",$C2032&lt;&gt;"",$D2032&lt;&gt;"",$E2032&lt;&gt;""),"TXS"&amp;TEXT(COUNTIFS($B$2:$B2032,"&lt;&gt;",$C$2:$C2032,"&lt;&gt;",$D$2:$D2032,"&lt;&gt;",$E$2:$E2032,"&lt;&gt;"),"00000"),""))</f>
        <v/>
      </c>
      <c r="B2032" s="16"/>
      <c r="N2032" s="22"/>
    </row>
    <row r="2033" spans="1:14" x14ac:dyDescent="0.3">
      <c r="A2033" s="15" t="str">
        <f>IF(COUNTA($B2033:$E2033,$K2033)=0,"",IF(AND($B2033&lt;&gt;"",$C2033&lt;&gt;"",$D2033&lt;&gt;"",$E2033&lt;&gt;""),"TXS"&amp;TEXT(COUNTIFS($B$2:$B2033,"&lt;&gt;",$C$2:$C2033,"&lt;&gt;",$D$2:$D2033,"&lt;&gt;",$E$2:$E2033,"&lt;&gt;"),"00000"),""))</f>
        <v/>
      </c>
      <c r="B2033" s="16"/>
      <c r="N2033" s="22"/>
    </row>
    <row r="2034" spans="1:14" x14ac:dyDescent="0.3">
      <c r="A2034" s="15" t="str">
        <f>IF(COUNTA($B2034:$E2034,$K2034)=0,"",IF(AND($B2034&lt;&gt;"",$C2034&lt;&gt;"",$D2034&lt;&gt;"",$E2034&lt;&gt;""),"TXS"&amp;TEXT(COUNTIFS($B$2:$B2034,"&lt;&gt;",$C$2:$C2034,"&lt;&gt;",$D$2:$D2034,"&lt;&gt;",$E$2:$E2034,"&lt;&gt;"),"00000"),""))</f>
        <v/>
      </c>
      <c r="B2034" s="16"/>
      <c r="N2034" s="22"/>
    </row>
    <row r="2035" spans="1:14" x14ac:dyDescent="0.3">
      <c r="A2035" s="15" t="str">
        <f>IF(COUNTA($B2035:$E2035,$K2035)=0,"",IF(AND($B2035&lt;&gt;"",$C2035&lt;&gt;"",$D2035&lt;&gt;"",$E2035&lt;&gt;""),"TXS"&amp;TEXT(COUNTIFS($B$2:$B2035,"&lt;&gt;",$C$2:$C2035,"&lt;&gt;",$D$2:$D2035,"&lt;&gt;",$E$2:$E2035,"&lt;&gt;"),"00000"),""))</f>
        <v/>
      </c>
      <c r="B2035" s="16"/>
      <c r="N2035" s="22"/>
    </row>
    <row r="2036" spans="1:14" x14ac:dyDescent="0.3">
      <c r="A2036" s="15" t="str">
        <f>IF(COUNTA($B2036:$E2036,$K2036)=0,"",IF(AND($B2036&lt;&gt;"",$C2036&lt;&gt;"",$D2036&lt;&gt;"",$E2036&lt;&gt;""),"TXS"&amp;TEXT(COUNTIFS($B$2:$B2036,"&lt;&gt;",$C$2:$C2036,"&lt;&gt;",$D$2:$D2036,"&lt;&gt;",$E$2:$E2036,"&lt;&gt;"),"00000"),""))</f>
        <v/>
      </c>
      <c r="B2036" s="16"/>
      <c r="N2036" s="22"/>
    </row>
    <row r="2037" spans="1:14" x14ac:dyDescent="0.3">
      <c r="A2037" s="15" t="str">
        <f>IF(COUNTA($B2037:$E2037,$K2037)=0,"",IF(AND($B2037&lt;&gt;"",$C2037&lt;&gt;"",$D2037&lt;&gt;"",$E2037&lt;&gt;""),"TXS"&amp;TEXT(COUNTIFS($B$2:$B2037,"&lt;&gt;",$C$2:$C2037,"&lt;&gt;",$D$2:$D2037,"&lt;&gt;",$E$2:$E2037,"&lt;&gt;"),"00000"),""))</f>
        <v/>
      </c>
      <c r="B2037" s="16"/>
      <c r="N2037" s="22"/>
    </row>
    <row r="2038" spans="1:14" x14ac:dyDescent="0.3">
      <c r="A2038" s="15" t="str">
        <f>IF(COUNTA($B2038:$E2038,$K2038)=0,"",IF(AND($B2038&lt;&gt;"",$C2038&lt;&gt;"",$D2038&lt;&gt;"",$E2038&lt;&gt;""),"TXS"&amp;TEXT(COUNTIFS($B$2:$B2038,"&lt;&gt;",$C$2:$C2038,"&lt;&gt;",$D$2:$D2038,"&lt;&gt;",$E$2:$E2038,"&lt;&gt;"),"00000"),""))</f>
        <v/>
      </c>
      <c r="B2038" s="16"/>
      <c r="N2038" s="22"/>
    </row>
    <row r="2039" spans="1:14" x14ac:dyDescent="0.3">
      <c r="A2039" s="15" t="str">
        <f>IF(COUNTA($B2039:$E2039,$K2039)=0,"",IF(AND($B2039&lt;&gt;"",$C2039&lt;&gt;"",$D2039&lt;&gt;"",$E2039&lt;&gt;""),"TXS"&amp;TEXT(COUNTIFS($B$2:$B2039,"&lt;&gt;",$C$2:$C2039,"&lt;&gt;",$D$2:$D2039,"&lt;&gt;",$E$2:$E2039,"&lt;&gt;"),"00000"),""))</f>
        <v/>
      </c>
      <c r="B2039" s="16"/>
      <c r="N2039" s="22"/>
    </row>
    <row r="2040" spans="1:14" x14ac:dyDescent="0.3">
      <c r="A2040" s="15" t="str">
        <f>IF(COUNTA($B2040:$E2040,$K2040)=0,"",IF(AND($B2040&lt;&gt;"",$C2040&lt;&gt;"",$D2040&lt;&gt;"",$E2040&lt;&gt;""),"TXS"&amp;TEXT(COUNTIFS($B$2:$B2040,"&lt;&gt;",$C$2:$C2040,"&lt;&gt;",$D$2:$D2040,"&lt;&gt;",$E$2:$E2040,"&lt;&gt;"),"00000"),""))</f>
        <v/>
      </c>
      <c r="B2040" s="16"/>
      <c r="N2040" s="22"/>
    </row>
    <row r="2041" spans="1:14" x14ac:dyDescent="0.3">
      <c r="A2041" s="15" t="str">
        <f>IF(COUNTA($B2041:$E2041,$K2041)=0,"",IF(AND($B2041&lt;&gt;"",$C2041&lt;&gt;"",$D2041&lt;&gt;"",$E2041&lt;&gt;""),"TXS"&amp;TEXT(COUNTIFS($B$2:$B2041,"&lt;&gt;",$C$2:$C2041,"&lt;&gt;",$D$2:$D2041,"&lt;&gt;",$E$2:$E2041,"&lt;&gt;"),"00000"),""))</f>
        <v/>
      </c>
      <c r="B2041" s="16"/>
      <c r="N2041" s="22"/>
    </row>
    <row r="2042" spans="1:14" x14ac:dyDescent="0.3">
      <c r="A2042" s="15" t="str">
        <f>IF(COUNTA($B2042:$E2042,$K2042)=0,"",IF(AND($B2042&lt;&gt;"",$C2042&lt;&gt;"",$D2042&lt;&gt;"",$E2042&lt;&gt;""),"TXS"&amp;TEXT(COUNTIFS($B$2:$B2042,"&lt;&gt;",$C$2:$C2042,"&lt;&gt;",$D$2:$D2042,"&lt;&gt;",$E$2:$E2042,"&lt;&gt;"),"00000"),""))</f>
        <v/>
      </c>
      <c r="B2042" s="16"/>
      <c r="N2042" s="22"/>
    </row>
    <row r="2043" spans="1:14" x14ac:dyDescent="0.3">
      <c r="A2043" s="15" t="str">
        <f>IF(COUNTA($B2043:$E2043,$K2043)=0,"",IF(AND($B2043&lt;&gt;"",$C2043&lt;&gt;"",$D2043&lt;&gt;"",$E2043&lt;&gt;""),"TXS"&amp;TEXT(COUNTIFS($B$2:$B2043,"&lt;&gt;",$C$2:$C2043,"&lt;&gt;",$D$2:$D2043,"&lt;&gt;",$E$2:$E2043,"&lt;&gt;"),"00000"),""))</f>
        <v/>
      </c>
      <c r="B2043" s="16"/>
      <c r="N2043" s="22"/>
    </row>
    <row r="2044" spans="1:14" x14ac:dyDescent="0.3">
      <c r="A2044" s="15" t="str">
        <f>IF(COUNTA($B2044:$E2044,$K2044)=0,"",IF(AND($B2044&lt;&gt;"",$C2044&lt;&gt;"",$D2044&lt;&gt;"",$E2044&lt;&gt;""),"TXS"&amp;TEXT(COUNTIFS($B$2:$B2044,"&lt;&gt;",$C$2:$C2044,"&lt;&gt;",$D$2:$D2044,"&lt;&gt;",$E$2:$E2044,"&lt;&gt;"),"00000"),""))</f>
        <v/>
      </c>
      <c r="B2044" s="16"/>
      <c r="N2044" s="22"/>
    </row>
    <row r="2045" spans="1:14" x14ac:dyDescent="0.3">
      <c r="A2045" s="15" t="str">
        <f>IF(COUNTA($B2045:$E2045,$K2045)=0,"",IF(AND($B2045&lt;&gt;"",$C2045&lt;&gt;"",$D2045&lt;&gt;"",$E2045&lt;&gt;""),"TXS"&amp;TEXT(COUNTIFS($B$2:$B2045,"&lt;&gt;",$C$2:$C2045,"&lt;&gt;",$D$2:$D2045,"&lt;&gt;",$E$2:$E2045,"&lt;&gt;"),"00000"),""))</f>
        <v/>
      </c>
      <c r="B2045" s="16"/>
      <c r="N2045" s="22"/>
    </row>
    <row r="2046" spans="1:14" x14ac:dyDescent="0.3">
      <c r="A2046" s="15" t="str">
        <f>IF(COUNTA($B2046:$E2046,$K2046)=0,"",IF(AND($B2046&lt;&gt;"",$C2046&lt;&gt;"",$D2046&lt;&gt;"",$E2046&lt;&gt;""),"TXS"&amp;TEXT(COUNTIFS($B$2:$B2046,"&lt;&gt;",$C$2:$C2046,"&lt;&gt;",$D$2:$D2046,"&lt;&gt;",$E$2:$E2046,"&lt;&gt;"),"00000"),""))</f>
        <v/>
      </c>
      <c r="B2046" s="16"/>
      <c r="N2046" s="22"/>
    </row>
    <row r="2047" spans="1:14" x14ac:dyDescent="0.3">
      <c r="A2047" s="15" t="str">
        <f>IF(COUNTA($B2047:$E2047,$K2047)=0,"",IF(AND($B2047&lt;&gt;"",$C2047&lt;&gt;"",$D2047&lt;&gt;"",$E2047&lt;&gt;""),"TXS"&amp;TEXT(COUNTIFS($B$2:$B2047,"&lt;&gt;",$C$2:$C2047,"&lt;&gt;",$D$2:$D2047,"&lt;&gt;",$E$2:$E2047,"&lt;&gt;"),"00000"),""))</f>
        <v/>
      </c>
      <c r="B2047" s="16"/>
      <c r="N2047" s="22"/>
    </row>
    <row r="2048" spans="1:14" x14ac:dyDescent="0.3">
      <c r="A2048" s="15" t="str">
        <f>IF(COUNTA($B2048:$E2048,$K2048)=0,"",IF(AND($B2048&lt;&gt;"",$C2048&lt;&gt;"",$D2048&lt;&gt;"",$E2048&lt;&gt;""),"TXS"&amp;TEXT(COUNTIFS($B$2:$B2048,"&lt;&gt;",$C$2:$C2048,"&lt;&gt;",$D$2:$D2048,"&lt;&gt;",$E$2:$E2048,"&lt;&gt;"),"00000"),""))</f>
        <v/>
      </c>
      <c r="B2048" s="16"/>
      <c r="N2048" s="22"/>
    </row>
    <row r="2049" spans="1:14" x14ac:dyDescent="0.3">
      <c r="A2049" s="15" t="str">
        <f>IF(COUNTA($B2049:$E2049,$K2049)=0,"",IF(AND($B2049&lt;&gt;"",$C2049&lt;&gt;"",$D2049&lt;&gt;"",$E2049&lt;&gt;""),"TXS"&amp;TEXT(COUNTIFS($B$2:$B2049,"&lt;&gt;",$C$2:$C2049,"&lt;&gt;",$D$2:$D2049,"&lt;&gt;",$E$2:$E2049,"&lt;&gt;"),"00000"),""))</f>
        <v/>
      </c>
      <c r="B2049" s="16"/>
      <c r="N2049" s="22"/>
    </row>
    <row r="2050" spans="1:14" x14ac:dyDescent="0.3">
      <c r="A2050" s="15" t="str">
        <f>IF(COUNTA($B2050:$E2050,$K2050)=0,"",IF(AND($B2050&lt;&gt;"",$C2050&lt;&gt;"",$D2050&lt;&gt;"",$E2050&lt;&gt;""),"TXS"&amp;TEXT(COUNTIFS($B$2:$B2050,"&lt;&gt;",$C$2:$C2050,"&lt;&gt;",$D$2:$D2050,"&lt;&gt;",$E$2:$E2050,"&lt;&gt;"),"00000"),""))</f>
        <v/>
      </c>
      <c r="B2050" s="16"/>
      <c r="N2050" s="22"/>
    </row>
    <row r="2051" spans="1:14" x14ac:dyDescent="0.3">
      <c r="A2051" s="15" t="str">
        <f>IF(COUNTA($B2051:$E2051,$K2051)=0,"",IF(AND($B2051&lt;&gt;"",$C2051&lt;&gt;"",$D2051&lt;&gt;"",$E2051&lt;&gt;""),"TXS"&amp;TEXT(COUNTIFS($B$2:$B2051,"&lt;&gt;",$C$2:$C2051,"&lt;&gt;",$D$2:$D2051,"&lt;&gt;",$E$2:$E2051,"&lt;&gt;"),"00000"),""))</f>
        <v/>
      </c>
      <c r="B2051" s="16"/>
      <c r="N2051" s="22"/>
    </row>
    <row r="2052" spans="1:14" x14ac:dyDescent="0.3">
      <c r="A2052" s="15" t="str">
        <f>IF(COUNTA($B2052:$E2052,$K2052)=0,"",IF(AND($B2052&lt;&gt;"",$C2052&lt;&gt;"",$D2052&lt;&gt;"",$E2052&lt;&gt;""),"TXS"&amp;TEXT(COUNTIFS($B$2:$B2052,"&lt;&gt;",$C$2:$C2052,"&lt;&gt;",$D$2:$D2052,"&lt;&gt;",$E$2:$E2052,"&lt;&gt;"),"00000"),""))</f>
        <v/>
      </c>
      <c r="B2052" s="16"/>
      <c r="N2052" s="22"/>
    </row>
    <row r="2053" spans="1:14" x14ac:dyDescent="0.3">
      <c r="A2053" s="15" t="str">
        <f>IF(COUNTA($B2053:$E2053,$K2053)=0,"",IF(AND($B2053&lt;&gt;"",$C2053&lt;&gt;"",$D2053&lt;&gt;"",$E2053&lt;&gt;""),"TXS"&amp;TEXT(COUNTIFS($B$2:$B2053,"&lt;&gt;",$C$2:$C2053,"&lt;&gt;",$D$2:$D2053,"&lt;&gt;",$E$2:$E2053,"&lt;&gt;"),"00000"),""))</f>
        <v/>
      </c>
      <c r="B2053" s="16"/>
      <c r="N2053" s="22"/>
    </row>
    <row r="2054" spans="1:14" x14ac:dyDescent="0.3">
      <c r="A2054" s="15" t="str">
        <f>IF(COUNTA($B2054:$E2054,$K2054)=0,"",IF(AND($B2054&lt;&gt;"",$C2054&lt;&gt;"",$D2054&lt;&gt;"",$E2054&lt;&gt;""),"TXS"&amp;TEXT(COUNTIFS($B$2:$B2054,"&lt;&gt;",$C$2:$C2054,"&lt;&gt;",$D$2:$D2054,"&lt;&gt;",$E$2:$E2054,"&lt;&gt;"),"00000"),""))</f>
        <v/>
      </c>
      <c r="B2054" s="16"/>
      <c r="N2054" s="22"/>
    </row>
    <row r="2055" spans="1:14" x14ac:dyDescent="0.3">
      <c r="A2055" s="15" t="str">
        <f>IF(COUNTA($B2055:$E2055,$K2055)=0,"",IF(AND($B2055&lt;&gt;"",$C2055&lt;&gt;"",$D2055&lt;&gt;"",$E2055&lt;&gt;""),"TXS"&amp;TEXT(COUNTIFS($B$2:$B2055,"&lt;&gt;",$C$2:$C2055,"&lt;&gt;",$D$2:$D2055,"&lt;&gt;",$E$2:$E2055,"&lt;&gt;"),"00000"),""))</f>
        <v/>
      </c>
      <c r="B2055" s="16"/>
      <c r="N2055" s="22"/>
    </row>
    <row r="2056" spans="1:14" x14ac:dyDescent="0.3">
      <c r="A2056" s="15" t="str">
        <f>IF(COUNTA($B2056:$E2056,$K2056)=0,"",IF(AND($B2056&lt;&gt;"",$C2056&lt;&gt;"",$D2056&lt;&gt;"",$E2056&lt;&gt;""),"TXS"&amp;TEXT(COUNTIFS($B$2:$B2056,"&lt;&gt;",$C$2:$C2056,"&lt;&gt;",$D$2:$D2056,"&lt;&gt;",$E$2:$E2056,"&lt;&gt;"),"00000"),""))</f>
        <v/>
      </c>
      <c r="B2056" s="16"/>
      <c r="N2056" s="22"/>
    </row>
    <row r="2057" spans="1:14" x14ac:dyDescent="0.3">
      <c r="A2057" s="15" t="str">
        <f>IF(COUNTA($B2057:$E2057,$K2057)=0,"",IF(AND($B2057&lt;&gt;"",$C2057&lt;&gt;"",$D2057&lt;&gt;"",$E2057&lt;&gt;""),"TXS"&amp;TEXT(COUNTIFS($B$2:$B2057,"&lt;&gt;",$C$2:$C2057,"&lt;&gt;",$D$2:$D2057,"&lt;&gt;",$E$2:$E2057,"&lt;&gt;"),"00000"),""))</f>
        <v/>
      </c>
      <c r="B2057" s="16"/>
      <c r="N2057" s="22"/>
    </row>
    <row r="2058" spans="1:14" x14ac:dyDescent="0.3">
      <c r="A2058" s="15" t="str">
        <f>IF(COUNTA($B2058:$E2058,$K2058)=0,"",IF(AND($B2058&lt;&gt;"",$C2058&lt;&gt;"",$D2058&lt;&gt;"",$E2058&lt;&gt;""),"TXS"&amp;TEXT(COUNTIFS($B$2:$B2058,"&lt;&gt;",$C$2:$C2058,"&lt;&gt;",$D$2:$D2058,"&lt;&gt;",$E$2:$E2058,"&lt;&gt;"),"00000"),""))</f>
        <v/>
      </c>
      <c r="B2058" s="16"/>
      <c r="N2058" s="22"/>
    </row>
    <row r="2059" spans="1:14" x14ac:dyDescent="0.3">
      <c r="A2059" s="15" t="str">
        <f>IF(COUNTA($B2059:$E2059,$K2059)=0,"",IF(AND($B2059&lt;&gt;"",$C2059&lt;&gt;"",$D2059&lt;&gt;"",$E2059&lt;&gt;""),"TXS"&amp;TEXT(COUNTIFS($B$2:$B2059,"&lt;&gt;",$C$2:$C2059,"&lt;&gt;",$D$2:$D2059,"&lt;&gt;",$E$2:$E2059,"&lt;&gt;"),"00000"),""))</f>
        <v/>
      </c>
      <c r="B2059" s="16"/>
      <c r="N2059" s="22"/>
    </row>
    <row r="2060" spans="1:14" x14ac:dyDescent="0.3">
      <c r="A2060" s="15" t="str">
        <f>IF(COUNTA($B2060:$E2060,$K2060)=0,"",IF(AND($B2060&lt;&gt;"",$C2060&lt;&gt;"",$D2060&lt;&gt;"",$E2060&lt;&gt;""),"TXS"&amp;TEXT(COUNTIFS($B$2:$B2060,"&lt;&gt;",$C$2:$C2060,"&lt;&gt;",$D$2:$D2060,"&lt;&gt;",$E$2:$E2060,"&lt;&gt;"),"00000"),""))</f>
        <v/>
      </c>
      <c r="B2060" s="16"/>
      <c r="N2060" s="22"/>
    </row>
    <row r="2061" spans="1:14" x14ac:dyDescent="0.3">
      <c r="A2061" s="15" t="str">
        <f>IF(COUNTA($B2061:$E2061,$K2061)=0,"",IF(AND($B2061&lt;&gt;"",$C2061&lt;&gt;"",$D2061&lt;&gt;"",$E2061&lt;&gt;""),"TXS"&amp;TEXT(COUNTIFS($B$2:$B2061,"&lt;&gt;",$C$2:$C2061,"&lt;&gt;",$D$2:$D2061,"&lt;&gt;",$E$2:$E2061,"&lt;&gt;"),"00000"),""))</f>
        <v/>
      </c>
      <c r="B2061" s="16"/>
      <c r="N2061" s="22"/>
    </row>
    <row r="2062" spans="1:14" x14ac:dyDescent="0.3">
      <c r="A2062" s="15" t="str">
        <f>IF(COUNTA($B2062:$E2062,$K2062)=0,"",IF(AND($B2062&lt;&gt;"",$C2062&lt;&gt;"",$D2062&lt;&gt;"",$E2062&lt;&gt;""),"TXS"&amp;TEXT(COUNTIFS($B$2:$B2062,"&lt;&gt;",$C$2:$C2062,"&lt;&gt;",$D$2:$D2062,"&lt;&gt;",$E$2:$E2062,"&lt;&gt;"),"00000"),""))</f>
        <v/>
      </c>
      <c r="B2062" s="16"/>
      <c r="N2062" s="22"/>
    </row>
    <row r="2063" spans="1:14" x14ac:dyDescent="0.3">
      <c r="A2063" s="15" t="str">
        <f>IF(COUNTA($B2063:$E2063,$K2063)=0,"",IF(AND($B2063&lt;&gt;"",$C2063&lt;&gt;"",$D2063&lt;&gt;"",$E2063&lt;&gt;""),"TXS"&amp;TEXT(COUNTIFS($B$2:$B2063,"&lt;&gt;",$C$2:$C2063,"&lt;&gt;",$D$2:$D2063,"&lt;&gt;",$E$2:$E2063,"&lt;&gt;"),"00000"),""))</f>
        <v/>
      </c>
      <c r="B2063" s="16"/>
      <c r="N2063" s="22"/>
    </row>
    <row r="2064" spans="1:14" x14ac:dyDescent="0.3">
      <c r="A2064" s="15" t="str">
        <f>IF(COUNTA($B2064:$E2064,$K2064)=0,"",IF(AND($B2064&lt;&gt;"",$C2064&lt;&gt;"",$D2064&lt;&gt;"",$E2064&lt;&gt;""),"TXS"&amp;TEXT(COUNTIFS($B$2:$B2064,"&lt;&gt;",$C$2:$C2064,"&lt;&gt;",$D$2:$D2064,"&lt;&gt;",$E$2:$E2064,"&lt;&gt;"),"00000"),""))</f>
        <v/>
      </c>
      <c r="B2064" s="16"/>
      <c r="N2064" s="22"/>
    </row>
    <row r="2065" spans="1:14" x14ac:dyDescent="0.3">
      <c r="A2065" s="15" t="str">
        <f>IF(COUNTA($B2065:$E2065,$K2065)=0,"",IF(AND($B2065&lt;&gt;"",$C2065&lt;&gt;"",$D2065&lt;&gt;"",$E2065&lt;&gt;""),"TXS"&amp;TEXT(COUNTIFS($B$2:$B2065,"&lt;&gt;",$C$2:$C2065,"&lt;&gt;",$D$2:$D2065,"&lt;&gt;",$E$2:$E2065,"&lt;&gt;"),"00000"),""))</f>
        <v/>
      </c>
      <c r="B2065" s="16"/>
      <c r="N2065" s="22"/>
    </row>
    <row r="2066" spans="1:14" x14ac:dyDescent="0.3">
      <c r="A2066" s="15" t="str">
        <f>IF(COUNTA($B2066:$E2066,$K2066)=0,"",IF(AND($B2066&lt;&gt;"",$C2066&lt;&gt;"",$D2066&lt;&gt;"",$E2066&lt;&gt;""),"TXS"&amp;TEXT(COUNTIFS($B$2:$B2066,"&lt;&gt;",$C$2:$C2066,"&lt;&gt;",$D$2:$D2066,"&lt;&gt;",$E$2:$E2066,"&lt;&gt;"),"00000"),""))</f>
        <v/>
      </c>
      <c r="B2066" s="16"/>
      <c r="N2066" s="22"/>
    </row>
    <row r="2067" spans="1:14" x14ac:dyDescent="0.3">
      <c r="A2067" s="15" t="str">
        <f>IF(COUNTA($B2067:$E2067,$K2067)=0,"",IF(AND($B2067&lt;&gt;"",$C2067&lt;&gt;"",$D2067&lt;&gt;"",$E2067&lt;&gt;""),"TXS"&amp;TEXT(COUNTIFS($B$2:$B2067,"&lt;&gt;",$C$2:$C2067,"&lt;&gt;",$D$2:$D2067,"&lt;&gt;",$E$2:$E2067,"&lt;&gt;"),"00000"),""))</f>
        <v/>
      </c>
      <c r="B2067" s="16"/>
      <c r="N2067" s="22"/>
    </row>
    <row r="2068" spans="1:14" x14ac:dyDescent="0.3">
      <c r="A2068" s="15" t="str">
        <f>IF(COUNTA($B2068:$E2068,$K2068)=0,"",IF(AND($B2068&lt;&gt;"",$C2068&lt;&gt;"",$D2068&lt;&gt;"",$E2068&lt;&gt;""),"TXS"&amp;TEXT(COUNTIFS($B$2:$B2068,"&lt;&gt;",$C$2:$C2068,"&lt;&gt;",$D$2:$D2068,"&lt;&gt;",$E$2:$E2068,"&lt;&gt;"),"00000"),""))</f>
        <v/>
      </c>
      <c r="B2068" s="16"/>
      <c r="N2068" s="22"/>
    </row>
    <row r="2069" spans="1:14" x14ac:dyDescent="0.3">
      <c r="A2069" s="15" t="str">
        <f>IF(COUNTA($B2069:$E2069,$K2069)=0,"",IF(AND($B2069&lt;&gt;"",$C2069&lt;&gt;"",$D2069&lt;&gt;"",$E2069&lt;&gt;""),"TXS"&amp;TEXT(COUNTIFS($B$2:$B2069,"&lt;&gt;",$C$2:$C2069,"&lt;&gt;",$D$2:$D2069,"&lt;&gt;",$E$2:$E2069,"&lt;&gt;"),"00000"),""))</f>
        <v/>
      </c>
      <c r="B2069" s="16"/>
      <c r="N2069" s="22"/>
    </row>
    <row r="2070" spans="1:14" x14ac:dyDescent="0.3">
      <c r="A2070" s="15" t="str">
        <f>IF(COUNTA($B2070:$E2070,$K2070)=0,"",IF(AND($B2070&lt;&gt;"",$C2070&lt;&gt;"",$D2070&lt;&gt;"",$E2070&lt;&gt;""),"TXS"&amp;TEXT(COUNTIFS($B$2:$B2070,"&lt;&gt;",$C$2:$C2070,"&lt;&gt;",$D$2:$D2070,"&lt;&gt;",$E$2:$E2070,"&lt;&gt;"),"00000"),""))</f>
        <v/>
      </c>
      <c r="B2070" s="16"/>
      <c r="N2070" s="22"/>
    </row>
    <row r="2071" spans="1:14" x14ac:dyDescent="0.3">
      <c r="A2071" s="15" t="str">
        <f>IF(COUNTA($B2071:$E2071,$K2071)=0,"",IF(AND($B2071&lt;&gt;"",$C2071&lt;&gt;"",$D2071&lt;&gt;"",$E2071&lt;&gt;""),"TXS"&amp;TEXT(COUNTIFS($B$2:$B2071,"&lt;&gt;",$C$2:$C2071,"&lt;&gt;",$D$2:$D2071,"&lt;&gt;",$E$2:$E2071,"&lt;&gt;"),"00000"),""))</f>
        <v/>
      </c>
      <c r="B2071" s="16"/>
      <c r="N2071" s="22"/>
    </row>
    <row r="2072" spans="1:14" x14ac:dyDescent="0.3">
      <c r="A2072" s="15" t="str">
        <f>IF(COUNTA($B2072:$E2072,$K2072)=0,"",IF(AND($B2072&lt;&gt;"",$C2072&lt;&gt;"",$D2072&lt;&gt;"",$E2072&lt;&gt;""),"TXS"&amp;TEXT(COUNTIFS($B$2:$B2072,"&lt;&gt;",$C$2:$C2072,"&lt;&gt;",$D$2:$D2072,"&lt;&gt;",$E$2:$E2072,"&lt;&gt;"),"00000"),""))</f>
        <v/>
      </c>
      <c r="B2072" s="16"/>
      <c r="N2072" s="22"/>
    </row>
    <row r="2073" spans="1:14" x14ac:dyDescent="0.3">
      <c r="A2073" s="15" t="str">
        <f>IF(COUNTA($B2073:$E2073,$K2073)=0,"",IF(AND($B2073&lt;&gt;"",$C2073&lt;&gt;"",$D2073&lt;&gt;"",$E2073&lt;&gt;""),"TXS"&amp;TEXT(COUNTIFS($B$2:$B2073,"&lt;&gt;",$C$2:$C2073,"&lt;&gt;",$D$2:$D2073,"&lt;&gt;",$E$2:$E2073,"&lt;&gt;"),"00000"),""))</f>
        <v/>
      </c>
      <c r="B2073" s="16"/>
      <c r="N2073" s="22"/>
    </row>
    <row r="2074" spans="1:14" x14ac:dyDescent="0.3">
      <c r="A2074" s="15" t="str">
        <f>IF(COUNTA($B2074:$E2074,$K2074)=0,"",IF(AND($B2074&lt;&gt;"",$C2074&lt;&gt;"",$D2074&lt;&gt;"",$E2074&lt;&gt;""),"TXS"&amp;TEXT(COUNTIFS($B$2:$B2074,"&lt;&gt;",$C$2:$C2074,"&lt;&gt;",$D$2:$D2074,"&lt;&gt;",$E$2:$E2074,"&lt;&gt;"),"00000"),""))</f>
        <v/>
      </c>
      <c r="B2074" s="16"/>
      <c r="N2074" s="22"/>
    </row>
    <row r="2075" spans="1:14" x14ac:dyDescent="0.3">
      <c r="A2075" s="15" t="str">
        <f>IF(COUNTA($B2075:$E2075,$K2075)=0,"",IF(AND($B2075&lt;&gt;"",$C2075&lt;&gt;"",$D2075&lt;&gt;"",$E2075&lt;&gt;""),"TXS"&amp;TEXT(COUNTIFS($B$2:$B2075,"&lt;&gt;",$C$2:$C2075,"&lt;&gt;",$D$2:$D2075,"&lt;&gt;",$E$2:$E2075,"&lt;&gt;"),"00000"),""))</f>
        <v/>
      </c>
      <c r="B2075" s="16"/>
      <c r="N2075" s="22"/>
    </row>
    <row r="2076" spans="1:14" x14ac:dyDescent="0.3">
      <c r="A2076" s="15" t="str">
        <f>IF(COUNTA($B2076:$E2076,$K2076)=0,"",IF(AND($B2076&lt;&gt;"",$C2076&lt;&gt;"",$D2076&lt;&gt;"",$E2076&lt;&gt;""),"TXS"&amp;TEXT(COUNTIFS($B$2:$B2076,"&lt;&gt;",$C$2:$C2076,"&lt;&gt;",$D$2:$D2076,"&lt;&gt;",$E$2:$E2076,"&lt;&gt;"),"00000"),""))</f>
        <v/>
      </c>
      <c r="B2076" s="16"/>
      <c r="N2076" s="22"/>
    </row>
    <row r="2077" spans="1:14" x14ac:dyDescent="0.3">
      <c r="A2077" s="15" t="str">
        <f>IF(COUNTA($B2077:$E2077,$K2077)=0,"",IF(AND($B2077&lt;&gt;"",$C2077&lt;&gt;"",$D2077&lt;&gt;"",$E2077&lt;&gt;""),"TXS"&amp;TEXT(COUNTIFS($B$2:$B2077,"&lt;&gt;",$C$2:$C2077,"&lt;&gt;",$D$2:$D2077,"&lt;&gt;",$E$2:$E2077,"&lt;&gt;"),"00000"),""))</f>
        <v/>
      </c>
      <c r="B2077" s="16"/>
      <c r="N2077" s="22"/>
    </row>
    <row r="2078" spans="1:14" x14ac:dyDescent="0.3">
      <c r="A2078" s="15" t="str">
        <f>IF(COUNTA($B2078:$E2078,$K2078)=0,"",IF(AND($B2078&lt;&gt;"",$C2078&lt;&gt;"",$D2078&lt;&gt;"",$E2078&lt;&gt;""),"TXS"&amp;TEXT(COUNTIFS($B$2:$B2078,"&lt;&gt;",$C$2:$C2078,"&lt;&gt;",$D$2:$D2078,"&lt;&gt;",$E$2:$E2078,"&lt;&gt;"),"00000"),""))</f>
        <v/>
      </c>
      <c r="B2078" s="16"/>
      <c r="N2078" s="22"/>
    </row>
    <row r="2079" spans="1:14" x14ac:dyDescent="0.3">
      <c r="A2079" s="15" t="str">
        <f>IF(COUNTA($B2079:$E2079,$K2079)=0,"",IF(AND($B2079&lt;&gt;"",$C2079&lt;&gt;"",$D2079&lt;&gt;"",$E2079&lt;&gt;""),"TXS"&amp;TEXT(COUNTIFS($B$2:$B2079,"&lt;&gt;",$C$2:$C2079,"&lt;&gt;",$D$2:$D2079,"&lt;&gt;",$E$2:$E2079,"&lt;&gt;"),"00000"),""))</f>
        <v/>
      </c>
      <c r="B2079" s="16"/>
      <c r="N2079" s="22"/>
    </row>
    <row r="2080" spans="1:14" x14ac:dyDescent="0.3">
      <c r="A2080" s="15" t="str">
        <f>IF(COUNTA($B2080:$E2080,$K2080)=0,"",IF(AND($B2080&lt;&gt;"",$C2080&lt;&gt;"",$D2080&lt;&gt;"",$E2080&lt;&gt;""),"TXS"&amp;TEXT(COUNTIFS($B$2:$B2080,"&lt;&gt;",$C$2:$C2080,"&lt;&gt;",$D$2:$D2080,"&lt;&gt;",$E$2:$E2080,"&lt;&gt;"),"00000"),""))</f>
        <v/>
      </c>
      <c r="B2080" s="16"/>
      <c r="N2080" s="22"/>
    </row>
    <row r="2081" spans="1:14" x14ac:dyDescent="0.3">
      <c r="A2081" s="15" t="str">
        <f>IF(COUNTA($B2081:$E2081,$K2081)=0,"",IF(AND($B2081&lt;&gt;"",$C2081&lt;&gt;"",$D2081&lt;&gt;"",$E2081&lt;&gt;""),"TXS"&amp;TEXT(COUNTIFS($B$2:$B2081,"&lt;&gt;",$C$2:$C2081,"&lt;&gt;",$D$2:$D2081,"&lt;&gt;",$E$2:$E2081,"&lt;&gt;"),"00000"),""))</f>
        <v/>
      </c>
      <c r="B2081" s="16"/>
      <c r="N2081" s="22"/>
    </row>
    <row r="2082" spans="1:14" x14ac:dyDescent="0.3">
      <c r="A2082" s="15" t="str">
        <f>IF(COUNTA($B2082:$E2082,$K2082)=0,"",IF(AND($B2082&lt;&gt;"",$C2082&lt;&gt;"",$D2082&lt;&gt;"",$E2082&lt;&gt;""),"TXS"&amp;TEXT(COUNTIFS($B$2:$B2082,"&lt;&gt;",$C$2:$C2082,"&lt;&gt;",$D$2:$D2082,"&lt;&gt;",$E$2:$E2082,"&lt;&gt;"),"00000"),""))</f>
        <v/>
      </c>
      <c r="B2082" s="16"/>
      <c r="N2082" s="22"/>
    </row>
    <row r="2083" spans="1:14" x14ac:dyDescent="0.3">
      <c r="A2083" s="15" t="str">
        <f>IF(COUNTA($B2083:$E2083,$K2083)=0,"",IF(AND($B2083&lt;&gt;"",$C2083&lt;&gt;"",$D2083&lt;&gt;"",$E2083&lt;&gt;""),"TXS"&amp;TEXT(COUNTIFS($B$2:$B2083,"&lt;&gt;",$C$2:$C2083,"&lt;&gt;",$D$2:$D2083,"&lt;&gt;",$E$2:$E2083,"&lt;&gt;"),"00000"),""))</f>
        <v/>
      </c>
      <c r="B2083" s="16"/>
      <c r="N2083" s="22"/>
    </row>
    <row r="2084" spans="1:14" x14ac:dyDescent="0.3">
      <c r="A2084" s="15" t="str">
        <f>IF(COUNTA($B2084:$E2084,$K2084)=0,"",IF(AND($B2084&lt;&gt;"",$C2084&lt;&gt;"",$D2084&lt;&gt;"",$E2084&lt;&gt;""),"TXS"&amp;TEXT(COUNTIFS($B$2:$B2084,"&lt;&gt;",$C$2:$C2084,"&lt;&gt;",$D$2:$D2084,"&lt;&gt;",$E$2:$E2084,"&lt;&gt;"),"00000"),""))</f>
        <v/>
      </c>
      <c r="B2084" s="16"/>
      <c r="N2084" s="22"/>
    </row>
    <row r="2085" spans="1:14" x14ac:dyDescent="0.3">
      <c r="A2085" s="15" t="str">
        <f>IF(COUNTA($B2085:$E2085,$K2085)=0,"",IF(AND($B2085&lt;&gt;"",$C2085&lt;&gt;"",$D2085&lt;&gt;"",$E2085&lt;&gt;""),"TXS"&amp;TEXT(COUNTIFS($B$2:$B2085,"&lt;&gt;",$C$2:$C2085,"&lt;&gt;",$D$2:$D2085,"&lt;&gt;",$E$2:$E2085,"&lt;&gt;"),"00000"),""))</f>
        <v/>
      </c>
      <c r="B2085" s="16"/>
      <c r="N2085" s="22"/>
    </row>
    <row r="2086" spans="1:14" x14ac:dyDescent="0.3">
      <c r="A2086" s="15" t="str">
        <f>IF(COUNTA($B2086:$E2086,$K2086)=0,"",IF(AND($B2086&lt;&gt;"",$C2086&lt;&gt;"",$D2086&lt;&gt;"",$E2086&lt;&gt;""),"TXS"&amp;TEXT(COUNTIFS($B$2:$B2086,"&lt;&gt;",$C$2:$C2086,"&lt;&gt;",$D$2:$D2086,"&lt;&gt;",$E$2:$E2086,"&lt;&gt;"),"00000"),""))</f>
        <v/>
      </c>
      <c r="B2086" s="16"/>
      <c r="N2086" s="22"/>
    </row>
    <row r="2087" spans="1:14" x14ac:dyDescent="0.3">
      <c r="A2087" s="15" t="str">
        <f>IF(COUNTA($B2087:$E2087,$K2087)=0,"",IF(AND($B2087&lt;&gt;"",$C2087&lt;&gt;"",$D2087&lt;&gt;"",$E2087&lt;&gt;""),"TXS"&amp;TEXT(COUNTIFS($B$2:$B2087,"&lt;&gt;",$C$2:$C2087,"&lt;&gt;",$D$2:$D2087,"&lt;&gt;",$E$2:$E2087,"&lt;&gt;"),"00000"),""))</f>
        <v/>
      </c>
      <c r="B2087" s="16"/>
      <c r="N2087" s="22"/>
    </row>
    <row r="2088" spans="1:14" x14ac:dyDescent="0.3">
      <c r="A2088" s="15" t="str">
        <f>IF(COUNTA($B2088:$E2088,$K2088)=0,"",IF(AND($B2088&lt;&gt;"",$C2088&lt;&gt;"",$D2088&lt;&gt;"",$E2088&lt;&gt;""),"TXS"&amp;TEXT(COUNTIFS($B$2:$B2088,"&lt;&gt;",$C$2:$C2088,"&lt;&gt;",$D$2:$D2088,"&lt;&gt;",$E$2:$E2088,"&lt;&gt;"),"00000"),""))</f>
        <v/>
      </c>
      <c r="B2088" s="16"/>
      <c r="N2088" s="22"/>
    </row>
    <row r="2089" spans="1:14" x14ac:dyDescent="0.3">
      <c r="A2089" s="15" t="str">
        <f>IF(COUNTA($B2089:$E2089,$K2089)=0,"",IF(AND($B2089&lt;&gt;"",$C2089&lt;&gt;"",$D2089&lt;&gt;"",$E2089&lt;&gt;""),"TXS"&amp;TEXT(COUNTIFS($B$2:$B2089,"&lt;&gt;",$C$2:$C2089,"&lt;&gt;",$D$2:$D2089,"&lt;&gt;",$E$2:$E2089,"&lt;&gt;"),"00000"),""))</f>
        <v/>
      </c>
      <c r="B2089" s="16"/>
      <c r="N2089" s="22"/>
    </row>
    <row r="2090" spans="1:14" x14ac:dyDescent="0.3">
      <c r="A2090" s="15" t="str">
        <f>IF(COUNTA($B2090:$E2090,$K2090)=0,"",IF(AND($B2090&lt;&gt;"",$C2090&lt;&gt;"",$D2090&lt;&gt;"",$E2090&lt;&gt;""),"TXS"&amp;TEXT(COUNTIFS($B$2:$B2090,"&lt;&gt;",$C$2:$C2090,"&lt;&gt;",$D$2:$D2090,"&lt;&gt;",$E$2:$E2090,"&lt;&gt;"),"00000"),""))</f>
        <v/>
      </c>
      <c r="B2090" s="16"/>
      <c r="N2090" s="22"/>
    </row>
    <row r="2091" spans="1:14" x14ac:dyDescent="0.3">
      <c r="A2091" s="15" t="str">
        <f>IF(COUNTA($B2091:$E2091,$K2091)=0,"",IF(AND($B2091&lt;&gt;"",$C2091&lt;&gt;"",$D2091&lt;&gt;"",$E2091&lt;&gt;""),"TXS"&amp;TEXT(COUNTIFS($B$2:$B2091,"&lt;&gt;",$C$2:$C2091,"&lt;&gt;",$D$2:$D2091,"&lt;&gt;",$E$2:$E2091,"&lt;&gt;"),"00000"),""))</f>
        <v/>
      </c>
      <c r="B2091" s="16"/>
      <c r="N2091" s="22"/>
    </row>
    <row r="2092" spans="1:14" x14ac:dyDescent="0.3">
      <c r="A2092" s="15" t="str">
        <f>IF(COUNTA($B2092:$E2092,$K2092)=0,"",IF(AND($B2092&lt;&gt;"",$C2092&lt;&gt;"",$D2092&lt;&gt;"",$E2092&lt;&gt;""),"TXS"&amp;TEXT(COUNTIFS($B$2:$B2092,"&lt;&gt;",$C$2:$C2092,"&lt;&gt;",$D$2:$D2092,"&lt;&gt;",$E$2:$E2092,"&lt;&gt;"),"00000"),""))</f>
        <v/>
      </c>
      <c r="B2092" s="16"/>
      <c r="N2092" s="22"/>
    </row>
    <row r="2093" spans="1:14" x14ac:dyDescent="0.3">
      <c r="A2093" s="15" t="str">
        <f>IF(COUNTA($B2093:$E2093,$K2093)=0,"",IF(AND($B2093&lt;&gt;"",$C2093&lt;&gt;"",$D2093&lt;&gt;"",$E2093&lt;&gt;""),"TXS"&amp;TEXT(COUNTIFS($B$2:$B2093,"&lt;&gt;",$C$2:$C2093,"&lt;&gt;",$D$2:$D2093,"&lt;&gt;",$E$2:$E2093,"&lt;&gt;"),"00000"),""))</f>
        <v/>
      </c>
      <c r="B2093" s="16"/>
      <c r="N2093" s="22"/>
    </row>
    <row r="2094" spans="1:14" x14ac:dyDescent="0.3">
      <c r="A2094" s="15" t="str">
        <f>IF(COUNTA($B2094:$E2094,$K2094)=0,"",IF(AND($B2094&lt;&gt;"",$C2094&lt;&gt;"",$D2094&lt;&gt;"",$E2094&lt;&gt;""),"TXS"&amp;TEXT(COUNTIFS($B$2:$B2094,"&lt;&gt;",$C$2:$C2094,"&lt;&gt;",$D$2:$D2094,"&lt;&gt;",$E$2:$E2094,"&lt;&gt;"),"00000"),""))</f>
        <v/>
      </c>
      <c r="B2094" s="16"/>
      <c r="N2094" s="22"/>
    </row>
    <row r="2095" spans="1:14" x14ac:dyDescent="0.3">
      <c r="A2095" s="15" t="str">
        <f>IF(COUNTA($B2095:$E2095,$K2095)=0,"",IF(AND($B2095&lt;&gt;"",$C2095&lt;&gt;"",$D2095&lt;&gt;"",$E2095&lt;&gt;""),"TXS"&amp;TEXT(COUNTIFS($B$2:$B2095,"&lt;&gt;",$C$2:$C2095,"&lt;&gt;",$D$2:$D2095,"&lt;&gt;",$E$2:$E2095,"&lt;&gt;"),"00000"),""))</f>
        <v/>
      </c>
      <c r="B2095" s="16"/>
      <c r="N2095" s="22"/>
    </row>
    <row r="2096" spans="1:14" x14ac:dyDescent="0.3">
      <c r="A2096" s="15" t="str">
        <f>IF(COUNTA($B2096:$E2096,$K2096)=0,"",IF(AND($B2096&lt;&gt;"",$C2096&lt;&gt;"",$D2096&lt;&gt;"",$E2096&lt;&gt;""),"TXS"&amp;TEXT(COUNTIFS($B$2:$B2096,"&lt;&gt;",$C$2:$C2096,"&lt;&gt;",$D$2:$D2096,"&lt;&gt;",$E$2:$E2096,"&lt;&gt;"),"00000"),""))</f>
        <v/>
      </c>
      <c r="B2096" s="16"/>
      <c r="N2096" s="22"/>
    </row>
    <row r="2097" spans="1:14" x14ac:dyDescent="0.3">
      <c r="A2097" s="15" t="str">
        <f>IF(COUNTA($B2097:$E2097,$K2097)=0,"",IF(AND($B2097&lt;&gt;"",$C2097&lt;&gt;"",$D2097&lt;&gt;"",$E2097&lt;&gt;""),"TXS"&amp;TEXT(COUNTIFS($B$2:$B2097,"&lt;&gt;",$C$2:$C2097,"&lt;&gt;",$D$2:$D2097,"&lt;&gt;",$E$2:$E2097,"&lt;&gt;"),"00000"),""))</f>
        <v/>
      </c>
      <c r="B2097" s="16"/>
      <c r="N2097" s="22"/>
    </row>
    <row r="2098" spans="1:14" x14ac:dyDescent="0.3">
      <c r="A2098" s="15" t="str">
        <f>IF(COUNTA($B2098:$E2098,$K2098)=0,"",IF(AND($B2098&lt;&gt;"",$C2098&lt;&gt;"",$D2098&lt;&gt;"",$E2098&lt;&gt;""),"TXS"&amp;TEXT(COUNTIFS($B$2:$B2098,"&lt;&gt;",$C$2:$C2098,"&lt;&gt;",$D$2:$D2098,"&lt;&gt;",$E$2:$E2098,"&lt;&gt;"),"00000"),""))</f>
        <v/>
      </c>
      <c r="B2098" s="16"/>
      <c r="N2098" s="22"/>
    </row>
    <row r="2099" spans="1:14" x14ac:dyDescent="0.3">
      <c r="A2099" s="15" t="str">
        <f>IF(COUNTA($B2099:$E2099,$K2099)=0,"",IF(AND($B2099&lt;&gt;"",$C2099&lt;&gt;"",$D2099&lt;&gt;"",$E2099&lt;&gt;""),"TXS"&amp;TEXT(COUNTIFS($B$2:$B2099,"&lt;&gt;",$C$2:$C2099,"&lt;&gt;",$D$2:$D2099,"&lt;&gt;",$E$2:$E2099,"&lt;&gt;"),"00000"),""))</f>
        <v/>
      </c>
      <c r="B2099" s="16"/>
      <c r="N2099" s="22"/>
    </row>
    <row r="2100" spans="1:14" x14ac:dyDescent="0.3">
      <c r="A2100" s="15" t="str">
        <f>IF(COUNTA($B2100:$E2100,$K2100)=0,"",IF(AND($B2100&lt;&gt;"",$C2100&lt;&gt;"",$D2100&lt;&gt;"",$E2100&lt;&gt;""),"TXS"&amp;TEXT(COUNTIFS($B$2:$B2100,"&lt;&gt;",$C$2:$C2100,"&lt;&gt;",$D$2:$D2100,"&lt;&gt;",$E$2:$E2100,"&lt;&gt;"),"00000"),""))</f>
        <v/>
      </c>
      <c r="B2100" s="16"/>
      <c r="N2100" s="22"/>
    </row>
    <row r="2101" spans="1:14" x14ac:dyDescent="0.3">
      <c r="A2101" s="15" t="str">
        <f>IF(COUNTA($B2101:$E2101,$K2101)=0,"",IF(AND($B2101&lt;&gt;"",$C2101&lt;&gt;"",$D2101&lt;&gt;"",$E2101&lt;&gt;""),"TXS"&amp;TEXT(COUNTIFS($B$2:$B2101,"&lt;&gt;",$C$2:$C2101,"&lt;&gt;",$D$2:$D2101,"&lt;&gt;",$E$2:$E2101,"&lt;&gt;"),"00000"),""))</f>
        <v/>
      </c>
      <c r="B2101" s="16"/>
      <c r="N2101" s="22"/>
    </row>
    <row r="2102" spans="1:14" x14ac:dyDescent="0.3">
      <c r="A2102" s="15" t="str">
        <f>IF(COUNTA($B2102:$E2102,$K2102)=0,"",IF(AND($B2102&lt;&gt;"",$C2102&lt;&gt;"",$D2102&lt;&gt;"",$E2102&lt;&gt;""),"TXS"&amp;TEXT(COUNTIFS($B$2:$B2102,"&lt;&gt;",$C$2:$C2102,"&lt;&gt;",$D$2:$D2102,"&lt;&gt;",$E$2:$E2102,"&lt;&gt;"),"00000"),""))</f>
        <v/>
      </c>
      <c r="B2102" s="16"/>
      <c r="N2102" s="22"/>
    </row>
    <row r="2103" spans="1:14" x14ac:dyDescent="0.3">
      <c r="A2103" s="15" t="str">
        <f>IF(COUNTA($B2103:$E2103,$K2103)=0,"",IF(AND($B2103&lt;&gt;"",$C2103&lt;&gt;"",$D2103&lt;&gt;"",$E2103&lt;&gt;""),"TXS"&amp;TEXT(COUNTIFS($B$2:$B2103,"&lt;&gt;",$C$2:$C2103,"&lt;&gt;",$D$2:$D2103,"&lt;&gt;",$E$2:$E2103,"&lt;&gt;"),"00000"),""))</f>
        <v/>
      </c>
      <c r="B2103" s="16"/>
      <c r="N2103" s="22"/>
    </row>
    <row r="2104" spans="1:14" x14ac:dyDescent="0.3">
      <c r="A2104" s="15" t="str">
        <f>IF(COUNTA($B2104:$E2104,$K2104)=0,"",IF(AND($B2104&lt;&gt;"",$C2104&lt;&gt;"",$D2104&lt;&gt;"",$E2104&lt;&gt;""),"TXS"&amp;TEXT(COUNTIFS($B$2:$B2104,"&lt;&gt;",$C$2:$C2104,"&lt;&gt;",$D$2:$D2104,"&lt;&gt;",$E$2:$E2104,"&lt;&gt;"),"00000"),""))</f>
        <v/>
      </c>
      <c r="B2104" s="16"/>
      <c r="N2104" s="22"/>
    </row>
    <row r="2105" spans="1:14" x14ac:dyDescent="0.3">
      <c r="A2105" s="15" t="str">
        <f>IF(COUNTA($B2105:$E2105,$K2105)=0,"",IF(AND($B2105&lt;&gt;"",$C2105&lt;&gt;"",$D2105&lt;&gt;"",$E2105&lt;&gt;""),"TXS"&amp;TEXT(COUNTIFS($B$2:$B2105,"&lt;&gt;",$C$2:$C2105,"&lt;&gt;",$D$2:$D2105,"&lt;&gt;",$E$2:$E2105,"&lt;&gt;"),"00000"),""))</f>
        <v/>
      </c>
      <c r="B2105" s="16"/>
      <c r="N2105" s="22"/>
    </row>
    <row r="2106" spans="1:14" x14ac:dyDescent="0.3">
      <c r="A2106" s="15" t="str">
        <f>IF(COUNTA($B2106:$E2106,$K2106)=0,"",IF(AND($B2106&lt;&gt;"",$C2106&lt;&gt;"",$D2106&lt;&gt;"",$E2106&lt;&gt;""),"TXS"&amp;TEXT(COUNTIFS($B$2:$B2106,"&lt;&gt;",$C$2:$C2106,"&lt;&gt;",$D$2:$D2106,"&lt;&gt;",$E$2:$E2106,"&lt;&gt;"),"00000"),""))</f>
        <v/>
      </c>
      <c r="B2106" s="16"/>
      <c r="N2106" s="22"/>
    </row>
    <row r="2107" spans="1:14" x14ac:dyDescent="0.3">
      <c r="A2107" s="15" t="str">
        <f>IF(COUNTA($B2107:$E2107,$K2107)=0,"",IF(AND($B2107&lt;&gt;"",$C2107&lt;&gt;"",$D2107&lt;&gt;"",$E2107&lt;&gt;""),"TXS"&amp;TEXT(COUNTIFS($B$2:$B2107,"&lt;&gt;",$C$2:$C2107,"&lt;&gt;",$D$2:$D2107,"&lt;&gt;",$E$2:$E2107,"&lt;&gt;"),"00000"),""))</f>
        <v/>
      </c>
      <c r="B2107" s="16"/>
      <c r="N2107" s="22"/>
    </row>
    <row r="2108" spans="1:14" x14ac:dyDescent="0.3">
      <c r="A2108" s="15" t="str">
        <f>IF(COUNTA($B2108:$E2108,$K2108)=0,"",IF(AND($B2108&lt;&gt;"",$C2108&lt;&gt;"",$D2108&lt;&gt;"",$E2108&lt;&gt;""),"TXS"&amp;TEXT(COUNTIFS($B$2:$B2108,"&lt;&gt;",$C$2:$C2108,"&lt;&gt;",$D$2:$D2108,"&lt;&gt;",$E$2:$E2108,"&lt;&gt;"),"00000"),""))</f>
        <v/>
      </c>
      <c r="B2108" s="16"/>
      <c r="N2108" s="22"/>
    </row>
    <row r="2109" spans="1:14" x14ac:dyDescent="0.3">
      <c r="A2109" s="15" t="str">
        <f>IF(COUNTA($B2109:$E2109,$K2109)=0,"",IF(AND($B2109&lt;&gt;"",$C2109&lt;&gt;"",$D2109&lt;&gt;"",$E2109&lt;&gt;""),"TXS"&amp;TEXT(COUNTIFS($B$2:$B2109,"&lt;&gt;",$C$2:$C2109,"&lt;&gt;",$D$2:$D2109,"&lt;&gt;",$E$2:$E2109,"&lt;&gt;"),"00000"),""))</f>
        <v/>
      </c>
      <c r="B2109" s="16"/>
      <c r="N2109" s="22"/>
    </row>
    <row r="2110" spans="1:14" x14ac:dyDescent="0.3">
      <c r="A2110" s="15" t="str">
        <f>IF(COUNTA($B2110:$E2110,$K2110)=0,"",IF(AND($B2110&lt;&gt;"",$C2110&lt;&gt;"",$D2110&lt;&gt;"",$E2110&lt;&gt;""),"TXS"&amp;TEXT(COUNTIFS($B$2:$B2110,"&lt;&gt;",$C$2:$C2110,"&lt;&gt;",$D$2:$D2110,"&lt;&gt;",$E$2:$E2110,"&lt;&gt;"),"00000"),""))</f>
        <v/>
      </c>
      <c r="B2110" s="16"/>
      <c r="N2110" s="22"/>
    </row>
    <row r="2111" spans="1:14" x14ac:dyDescent="0.3">
      <c r="A2111" s="15" t="str">
        <f>IF(COUNTA($B2111:$E2111,$K2111)=0,"",IF(AND($B2111&lt;&gt;"",$C2111&lt;&gt;"",$D2111&lt;&gt;"",$E2111&lt;&gt;""),"TXS"&amp;TEXT(COUNTIFS($B$2:$B2111,"&lt;&gt;",$C$2:$C2111,"&lt;&gt;",$D$2:$D2111,"&lt;&gt;",$E$2:$E2111,"&lt;&gt;"),"00000"),""))</f>
        <v/>
      </c>
      <c r="B2111" s="16"/>
      <c r="N2111" s="22"/>
    </row>
    <row r="2112" spans="1:14" x14ac:dyDescent="0.3">
      <c r="A2112" s="15" t="str">
        <f>IF(COUNTA($B2112:$E2112,$K2112)=0,"",IF(AND($B2112&lt;&gt;"",$C2112&lt;&gt;"",$D2112&lt;&gt;"",$E2112&lt;&gt;""),"TXS"&amp;TEXT(COUNTIFS($B$2:$B2112,"&lt;&gt;",$C$2:$C2112,"&lt;&gt;",$D$2:$D2112,"&lt;&gt;",$E$2:$E2112,"&lt;&gt;"),"00000"),""))</f>
        <v/>
      </c>
      <c r="B2112" s="16"/>
      <c r="N2112" s="22"/>
    </row>
    <row r="2113" spans="1:14" x14ac:dyDescent="0.3">
      <c r="A2113" s="15" t="str">
        <f>IF(COUNTA($B2113:$E2113,$K2113)=0,"",IF(AND($B2113&lt;&gt;"",$C2113&lt;&gt;"",$D2113&lt;&gt;"",$E2113&lt;&gt;""),"TXS"&amp;TEXT(COUNTIFS($B$2:$B2113,"&lt;&gt;",$C$2:$C2113,"&lt;&gt;",$D$2:$D2113,"&lt;&gt;",$E$2:$E2113,"&lt;&gt;"),"00000"),""))</f>
        <v/>
      </c>
      <c r="B2113" s="16"/>
      <c r="N2113" s="22"/>
    </row>
    <row r="2114" spans="1:14" x14ac:dyDescent="0.3">
      <c r="A2114" s="15" t="str">
        <f>IF(COUNTA($B2114:$E2114,$K2114)=0,"",IF(AND($B2114&lt;&gt;"",$C2114&lt;&gt;"",$D2114&lt;&gt;"",$E2114&lt;&gt;""),"TXS"&amp;TEXT(COUNTIFS($B$2:$B2114,"&lt;&gt;",$C$2:$C2114,"&lt;&gt;",$D$2:$D2114,"&lt;&gt;",$E$2:$E2114,"&lt;&gt;"),"00000"),""))</f>
        <v/>
      </c>
      <c r="B2114" s="16"/>
      <c r="N2114" s="22"/>
    </row>
    <row r="2115" spans="1:14" x14ac:dyDescent="0.3">
      <c r="A2115" s="15" t="str">
        <f>IF(COUNTA($B2115:$E2115,$K2115)=0,"",IF(AND($B2115&lt;&gt;"",$C2115&lt;&gt;"",$D2115&lt;&gt;"",$E2115&lt;&gt;""),"TXS"&amp;TEXT(COUNTIFS($B$2:$B2115,"&lt;&gt;",$C$2:$C2115,"&lt;&gt;",$D$2:$D2115,"&lt;&gt;",$E$2:$E2115,"&lt;&gt;"),"00000"),""))</f>
        <v/>
      </c>
      <c r="B2115" s="16"/>
      <c r="N2115" s="22"/>
    </row>
    <row r="2116" spans="1:14" x14ac:dyDescent="0.3">
      <c r="A2116" s="15" t="str">
        <f>IF(COUNTA($B2116:$E2116,$K2116)=0,"",IF(AND($B2116&lt;&gt;"",$C2116&lt;&gt;"",$D2116&lt;&gt;"",$E2116&lt;&gt;""),"TXS"&amp;TEXT(COUNTIFS($B$2:$B2116,"&lt;&gt;",$C$2:$C2116,"&lt;&gt;",$D$2:$D2116,"&lt;&gt;",$E$2:$E2116,"&lt;&gt;"),"00000"),""))</f>
        <v/>
      </c>
      <c r="B2116" s="16"/>
      <c r="N2116" s="22"/>
    </row>
    <row r="2117" spans="1:14" x14ac:dyDescent="0.3">
      <c r="A2117" s="15" t="str">
        <f>IF(COUNTA($B2117:$E2117,$K2117)=0,"",IF(AND($B2117&lt;&gt;"",$C2117&lt;&gt;"",$D2117&lt;&gt;"",$E2117&lt;&gt;""),"TXS"&amp;TEXT(COUNTIFS($B$2:$B2117,"&lt;&gt;",$C$2:$C2117,"&lt;&gt;",$D$2:$D2117,"&lt;&gt;",$E$2:$E2117,"&lt;&gt;"),"00000"),""))</f>
        <v/>
      </c>
      <c r="B2117" s="16"/>
      <c r="N2117" s="22"/>
    </row>
    <row r="2118" spans="1:14" x14ac:dyDescent="0.3">
      <c r="A2118" s="15" t="str">
        <f>IF(COUNTA($B2118:$E2118,$K2118)=0,"",IF(AND($B2118&lt;&gt;"",$C2118&lt;&gt;"",$D2118&lt;&gt;"",$E2118&lt;&gt;""),"TXS"&amp;TEXT(COUNTIFS($B$2:$B2118,"&lt;&gt;",$C$2:$C2118,"&lt;&gt;",$D$2:$D2118,"&lt;&gt;",$E$2:$E2118,"&lt;&gt;"),"00000"),""))</f>
        <v/>
      </c>
      <c r="B2118" s="16"/>
      <c r="N2118" s="22"/>
    </row>
    <row r="2119" spans="1:14" x14ac:dyDescent="0.3">
      <c r="A2119" s="15" t="str">
        <f>IF(COUNTA($B2119:$E2119,$K2119)=0,"",IF(AND($B2119&lt;&gt;"",$C2119&lt;&gt;"",$D2119&lt;&gt;"",$E2119&lt;&gt;""),"TXS"&amp;TEXT(COUNTIFS($B$2:$B2119,"&lt;&gt;",$C$2:$C2119,"&lt;&gt;",$D$2:$D2119,"&lt;&gt;",$E$2:$E2119,"&lt;&gt;"),"00000"),""))</f>
        <v/>
      </c>
      <c r="B2119" s="16"/>
      <c r="N2119" s="22"/>
    </row>
    <row r="2120" spans="1:14" x14ac:dyDescent="0.3">
      <c r="A2120" s="15" t="str">
        <f>IF(COUNTA($B2120:$E2120,$K2120)=0,"",IF(AND($B2120&lt;&gt;"",$C2120&lt;&gt;"",$D2120&lt;&gt;"",$E2120&lt;&gt;""),"TXS"&amp;TEXT(COUNTIFS($B$2:$B2120,"&lt;&gt;",$C$2:$C2120,"&lt;&gt;",$D$2:$D2120,"&lt;&gt;",$E$2:$E2120,"&lt;&gt;"),"00000"),""))</f>
        <v/>
      </c>
      <c r="B2120" s="16"/>
      <c r="N2120" s="22"/>
    </row>
    <row r="2121" spans="1:14" x14ac:dyDescent="0.3">
      <c r="A2121" s="15" t="str">
        <f>IF(COUNTA($B2121:$E2121,$K2121)=0,"",IF(AND($B2121&lt;&gt;"",$C2121&lt;&gt;"",$D2121&lt;&gt;"",$E2121&lt;&gt;""),"TXS"&amp;TEXT(COUNTIFS($B$2:$B2121,"&lt;&gt;",$C$2:$C2121,"&lt;&gt;",$D$2:$D2121,"&lt;&gt;",$E$2:$E2121,"&lt;&gt;"),"00000"),""))</f>
        <v/>
      </c>
      <c r="B2121" s="16"/>
      <c r="N2121" s="22"/>
    </row>
    <row r="2122" spans="1:14" x14ac:dyDescent="0.3">
      <c r="A2122" s="15" t="str">
        <f>IF(COUNTA($B2122:$E2122,$K2122)=0,"",IF(AND($B2122&lt;&gt;"",$C2122&lt;&gt;"",$D2122&lt;&gt;"",$E2122&lt;&gt;""),"TXS"&amp;TEXT(COUNTIFS($B$2:$B2122,"&lt;&gt;",$C$2:$C2122,"&lt;&gt;",$D$2:$D2122,"&lt;&gt;",$E$2:$E2122,"&lt;&gt;"),"00000"),""))</f>
        <v/>
      </c>
      <c r="B2122" s="16"/>
      <c r="N2122" s="22"/>
    </row>
    <row r="2123" spans="1:14" x14ac:dyDescent="0.3">
      <c r="A2123" s="15" t="str">
        <f>IF(COUNTA($B2123:$E2123,$K2123)=0,"",IF(AND($B2123&lt;&gt;"",$C2123&lt;&gt;"",$D2123&lt;&gt;"",$E2123&lt;&gt;""),"TXS"&amp;TEXT(COUNTIFS($B$2:$B2123,"&lt;&gt;",$C$2:$C2123,"&lt;&gt;",$D$2:$D2123,"&lt;&gt;",$E$2:$E2123,"&lt;&gt;"),"00000"),""))</f>
        <v/>
      </c>
      <c r="B2123" s="16"/>
      <c r="N2123" s="22"/>
    </row>
    <row r="2124" spans="1:14" x14ac:dyDescent="0.3">
      <c r="A2124" s="15" t="str">
        <f>IF(COUNTA($B2124:$E2124,$K2124)=0,"",IF(AND($B2124&lt;&gt;"",$C2124&lt;&gt;"",$D2124&lt;&gt;"",$E2124&lt;&gt;""),"TXS"&amp;TEXT(COUNTIFS($B$2:$B2124,"&lt;&gt;",$C$2:$C2124,"&lt;&gt;",$D$2:$D2124,"&lt;&gt;",$E$2:$E2124,"&lt;&gt;"),"00000"),""))</f>
        <v/>
      </c>
      <c r="B2124" s="16"/>
      <c r="N2124" s="22"/>
    </row>
    <row r="2125" spans="1:14" x14ac:dyDescent="0.3">
      <c r="A2125" s="15" t="str">
        <f>IF(COUNTA($B2125:$E2125,$K2125)=0,"",IF(AND($B2125&lt;&gt;"",$C2125&lt;&gt;"",$D2125&lt;&gt;"",$E2125&lt;&gt;""),"TXS"&amp;TEXT(COUNTIFS($B$2:$B2125,"&lt;&gt;",$C$2:$C2125,"&lt;&gt;",$D$2:$D2125,"&lt;&gt;",$E$2:$E2125,"&lt;&gt;"),"00000"),""))</f>
        <v/>
      </c>
      <c r="B2125" s="16"/>
      <c r="N2125" s="22"/>
    </row>
    <row r="2126" spans="1:14" x14ac:dyDescent="0.3">
      <c r="A2126" s="15" t="str">
        <f>IF(COUNTA($B2126:$E2126,$K2126)=0,"",IF(AND($B2126&lt;&gt;"",$C2126&lt;&gt;"",$D2126&lt;&gt;"",$E2126&lt;&gt;""),"TXS"&amp;TEXT(COUNTIFS($B$2:$B2126,"&lt;&gt;",$C$2:$C2126,"&lt;&gt;",$D$2:$D2126,"&lt;&gt;",$E$2:$E2126,"&lt;&gt;"),"00000"),""))</f>
        <v/>
      </c>
      <c r="B2126" s="16"/>
      <c r="N2126" s="22"/>
    </row>
    <row r="2127" spans="1:14" x14ac:dyDescent="0.3">
      <c r="A2127" s="15" t="str">
        <f>IF(COUNTA($B2127:$E2127,$K2127)=0,"",IF(AND($B2127&lt;&gt;"",$C2127&lt;&gt;"",$D2127&lt;&gt;"",$E2127&lt;&gt;""),"TXS"&amp;TEXT(COUNTIFS($B$2:$B2127,"&lt;&gt;",$C$2:$C2127,"&lt;&gt;",$D$2:$D2127,"&lt;&gt;",$E$2:$E2127,"&lt;&gt;"),"00000"),""))</f>
        <v/>
      </c>
      <c r="B2127" s="16"/>
      <c r="N2127" s="22"/>
    </row>
    <row r="2128" spans="1:14" x14ac:dyDescent="0.3">
      <c r="A2128" s="15" t="str">
        <f>IF(COUNTA($B2128:$E2128,$K2128)=0,"",IF(AND($B2128&lt;&gt;"",$C2128&lt;&gt;"",$D2128&lt;&gt;"",$E2128&lt;&gt;""),"TXS"&amp;TEXT(COUNTIFS($B$2:$B2128,"&lt;&gt;",$C$2:$C2128,"&lt;&gt;",$D$2:$D2128,"&lt;&gt;",$E$2:$E2128,"&lt;&gt;"),"00000"),""))</f>
        <v/>
      </c>
      <c r="B2128" s="16"/>
      <c r="N2128" s="22"/>
    </row>
    <row r="2129" spans="1:14" x14ac:dyDescent="0.3">
      <c r="A2129" s="15" t="str">
        <f>IF(COUNTA($B2129:$E2129,$K2129)=0,"",IF(AND($B2129&lt;&gt;"",$C2129&lt;&gt;"",$D2129&lt;&gt;"",$E2129&lt;&gt;""),"TXS"&amp;TEXT(COUNTIFS($B$2:$B2129,"&lt;&gt;",$C$2:$C2129,"&lt;&gt;",$D$2:$D2129,"&lt;&gt;",$E$2:$E2129,"&lt;&gt;"),"00000"),""))</f>
        <v/>
      </c>
      <c r="B2129" s="16"/>
      <c r="N2129" s="22"/>
    </row>
    <row r="2130" spans="1:14" x14ac:dyDescent="0.3">
      <c r="A2130" s="15" t="str">
        <f>IF(COUNTA($B2130:$E2130,$K2130)=0,"",IF(AND($B2130&lt;&gt;"",$C2130&lt;&gt;"",$D2130&lt;&gt;"",$E2130&lt;&gt;""),"TXS"&amp;TEXT(COUNTIFS($B$2:$B2130,"&lt;&gt;",$C$2:$C2130,"&lt;&gt;",$D$2:$D2130,"&lt;&gt;",$E$2:$E2130,"&lt;&gt;"),"00000"),""))</f>
        <v/>
      </c>
      <c r="B2130" s="16"/>
      <c r="N2130" s="22"/>
    </row>
    <row r="2131" spans="1:14" x14ac:dyDescent="0.3">
      <c r="A2131" s="15" t="str">
        <f>IF(COUNTA($B2131:$E2131,$K2131)=0,"",IF(AND($B2131&lt;&gt;"",$C2131&lt;&gt;"",$D2131&lt;&gt;"",$E2131&lt;&gt;""),"TXS"&amp;TEXT(COUNTIFS($B$2:$B2131,"&lt;&gt;",$C$2:$C2131,"&lt;&gt;",$D$2:$D2131,"&lt;&gt;",$E$2:$E2131,"&lt;&gt;"),"00000"),""))</f>
        <v/>
      </c>
      <c r="B2131" s="16"/>
      <c r="N2131" s="22"/>
    </row>
    <row r="2132" spans="1:14" x14ac:dyDescent="0.3">
      <c r="A2132" s="15" t="str">
        <f>IF(COUNTA($B2132:$E2132,$K2132)=0,"",IF(AND($B2132&lt;&gt;"",$C2132&lt;&gt;"",$D2132&lt;&gt;"",$E2132&lt;&gt;""),"TXS"&amp;TEXT(COUNTIFS($B$2:$B2132,"&lt;&gt;",$C$2:$C2132,"&lt;&gt;",$D$2:$D2132,"&lt;&gt;",$E$2:$E2132,"&lt;&gt;"),"00000"),""))</f>
        <v/>
      </c>
      <c r="B2132" s="16"/>
      <c r="N2132" s="22"/>
    </row>
    <row r="2133" spans="1:14" x14ac:dyDescent="0.3">
      <c r="A2133" s="15" t="str">
        <f>IF(COUNTA($B2133:$E2133,$K2133)=0,"",IF(AND($B2133&lt;&gt;"",$C2133&lt;&gt;"",$D2133&lt;&gt;"",$E2133&lt;&gt;""),"TXS"&amp;TEXT(COUNTIFS($B$2:$B2133,"&lt;&gt;",$C$2:$C2133,"&lt;&gt;",$D$2:$D2133,"&lt;&gt;",$E$2:$E2133,"&lt;&gt;"),"00000"),""))</f>
        <v/>
      </c>
      <c r="B2133" s="16"/>
      <c r="N2133" s="22"/>
    </row>
    <row r="2134" spans="1:14" x14ac:dyDescent="0.3">
      <c r="A2134" s="15" t="str">
        <f>IF(COUNTA($B2134:$E2134,$K2134)=0,"",IF(AND($B2134&lt;&gt;"",$C2134&lt;&gt;"",$D2134&lt;&gt;"",$E2134&lt;&gt;""),"TXS"&amp;TEXT(COUNTIFS($B$2:$B2134,"&lt;&gt;",$C$2:$C2134,"&lt;&gt;",$D$2:$D2134,"&lt;&gt;",$E$2:$E2134,"&lt;&gt;"),"00000"),""))</f>
        <v/>
      </c>
      <c r="B2134" s="16"/>
      <c r="N2134" s="22"/>
    </row>
    <row r="2135" spans="1:14" x14ac:dyDescent="0.3">
      <c r="A2135" s="15" t="str">
        <f>IF(COUNTA($B2135:$E2135,$K2135)=0,"",IF(AND($B2135&lt;&gt;"",$C2135&lt;&gt;"",$D2135&lt;&gt;"",$E2135&lt;&gt;""),"TXS"&amp;TEXT(COUNTIFS($B$2:$B2135,"&lt;&gt;",$C$2:$C2135,"&lt;&gt;",$D$2:$D2135,"&lt;&gt;",$E$2:$E2135,"&lt;&gt;"),"00000"),""))</f>
        <v/>
      </c>
      <c r="B2135" s="16"/>
      <c r="N2135" s="22"/>
    </row>
    <row r="2136" spans="1:14" x14ac:dyDescent="0.3">
      <c r="A2136" s="15" t="str">
        <f>IF(COUNTA($B2136:$E2136,$K2136)=0,"",IF(AND($B2136&lt;&gt;"",$C2136&lt;&gt;"",$D2136&lt;&gt;"",$E2136&lt;&gt;""),"TXS"&amp;TEXT(COUNTIFS($B$2:$B2136,"&lt;&gt;",$C$2:$C2136,"&lt;&gt;",$D$2:$D2136,"&lt;&gt;",$E$2:$E2136,"&lt;&gt;"),"00000"),""))</f>
        <v/>
      </c>
      <c r="B2136" s="16"/>
      <c r="N2136" s="22"/>
    </row>
    <row r="2137" spans="1:14" x14ac:dyDescent="0.3">
      <c r="A2137" s="15" t="str">
        <f>IF(COUNTA($B2137:$E2137,$K2137)=0,"",IF(AND($B2137&lt;&gt;"",$C2137&lt;&gt;"",$D2137&lt;&gt;"",$E2137&lt;&gt;""),"TXS"&amp;TEXT(COUNTIFS($B$2:$B2137,"&lt;&gt;",$C$2:$C2137,"&lt;&gt;",$D$2:$D2137,"&lt;&gt;",$E$2:$E2137,"&lt;&gt;"),"00000"),""))</f>
        <v/>
      </c>
      <c r="B2137" s="16"/>
      <c r="N2137" s="22"/>
    </row>
    <row r="2138" spans="1:14" x14ac:dyDescent="0.3">
      <c r="A2138" s="15" t="str">
        <f>IF(COUNTA($B2138:$E2138,$K2138)=0,"",IF(AND($B2138&lt;&gt;"",$C2138&lt;&gt;"",$D2138&lt;&gt;"",$E2138&lt;&gt;""),"TXS"&amp;TEXT(COUNTIFS($B$2:$B2138,"&lt;&gt;",$C$2:$C2138,"&lt;&gt;",$D$2:$D2138,"&lt;&gt;",$E$2:$E2138,"&lt;&gt;"),"00000"),""))</f>
        <v/>
      </c>
      <c r="B2138" s="16"/>
      <c r="N2138" s="22"/>
    </row>
    <row r="2139" spans="1:14" x14ac:dyDescent="0.3">
      <c r="A2139" s="15" t="str">
        <f>IF(COUNTA($B2139:$E2139,$K2139)=0,"",IF(AND($B2139&lt;&gt;"",$C2139&lt;&gt;"",$D2139&lt;&gt;"",$E2139&lt;&gt;""),"TXS"&amp;TEXT(COUNTIFS($B$2:$B2139,"&lt;&gt;",$C$2:$C2139,"&lt;&gt;",$D$2:$D2139,"&lt;&gt;",$E$2:$E2139,"&lt;&gt;"),"00000"),""))</f>
        <v/>
      </c>
      <c r="B2139" s="16"/>
      <c r="N2139" s="22"/>
    </row>
    <row r="2140" spans="1:14" x14ac:dyDescent="0.3">
      <c r="A2140" s="15" t="str">
        <f>IF(COUNTA($B2140:$E2140,$K2140)=0,"",IF(AND($B2140&lt;&gt;"",$C2140&lt;&gt;"",$D2140&lt;&gt;"",$E2140&lt;&gt;""),"TXS"&amp;TEXT(COUNTIFS($B$2:$B2140,"&lt;&gt;",$C$2:$C2140,"&lt;&gt;",$D$2:$D2140,"&lt;&gt;",$E$2:$E2140,"&lt;&gt;"),"00000"),""))</f>
        <v/>
      </c>
      <c r="B2140" s="16"/>
      <c r="N2140" s="22"/>
    </row>
    <row r="2141" spans="1:14" x14ac:dyDescent="0.3">
      <c r="A2141" s="15" t="str">
        <f>IF(COUNTA($B2141:$E2141,$K2141)=0,"",IF(AND($B2141&lt;&gt;"",$C2141&lt;&gt;"",$D2141&lt;&gt;"",$E2141&lt;&gt;""),"TXS"&amp;TEXT(COUNTIFS($B$2:$B2141,"&lt;&gt;",$C$2:$C2141,"&lt;&gt;",$D$2:$D2141,"&lt;&gt;",$E$2:$E2141,"&lt;&gt;"),"00000"),""))</f>
        <v/>
      </c>
      <c r="B2141" s="16"/>
      <c r="N2141" s="22"/>
    </row>
    <row r="2142" spans="1:14" x14ac:dyDescent="0.3">
      <c r="A2142" s="15" t="str">
        <f>IF(COUNTA($B2142:$E2142,$K2142)=0,"",IF(AND($B2142&lt;&gt;"",$C2142&lt;&gt;"",$D2142&lt;&gt;"",$E2142&lt;&gt;""),"TXS"&amp;TEXT(COUNTIFS($B$2:$B2142,"&lt;&gt;",$C$2:$C2142,"&lt;&gt;",$D$2:$D2142,"&lt;&gt;",$E$2:$E2142,"&lt;&gt;"),"00000"),""))</f>
        <v/>
      </c>
      <c r="B2142" s="16"/>
      <c r="N2142" s="22"/>
    </row>
    <row r="2143" spans="1:14" x14ac:dyDescent="0.3">
      <c r="A2143" s="15" t="str">
        <f>IF(COUNTA($B2143:$E2143,$K2143)=0,"",IF(AND($B2143&lt;&gt;"",$C2143&lt;&gt;"",$D2143&lt;&gt;"",$E2143&lt;&gt;""),"TXS"&amp;TEXT(COUNTIFS($B$2:$B2143,"&lt;&gt;",$C$2:$C2143,"&lt;&gt;",$D$2:$D2143,"&lt;&gt;",$E$2:$E2143,"&lt;&gt;"),"00000"),""))</f>
        <v/>
      </c>
      <c r="B2143" s="16"/>
      <c r="N2143" s="22"/>
    </row>
    <row r="2144" spans="1:14" x14ac:dyDescent="0.3">
      <c r="A2144" s="15" t="str">
        <f>IF(COUNTA($B2144:$E2144,$K2144)=0,"",IF(AND($B2144&lt;&gt;"",$C2144&lt;&gt;"",$D2144&lt;&gt;"",$E2144&lt;&gt;""),"TXS"&amp;TEXT(COUNTIFS($B$2:$B2144,"&lt;&gt;",$C$2:$C2144,"&lt;&gt;",$D$2:$D2144,"&lt;&gt;",$E$2:$E2144,"&lt;&gt;"),"00000"),""))</f>
        <v/>
      </c>
      <c r="B2144" s="16"/>
      <c r="N2144" s="22"/>
    </row>
    <row r="2145" spans="1:14" x14ac:dyDescent="0.3">
      <c r="A2145" s="15" t="str">
        <f>IF(COUNTA($B2145:$E2145,$K2145)=0,"",IF(AND($B2145&lt;&gt;"",$C2145&lt;&gt;"",$D2145&lt;&gt;"",$E2145&lt;&gt;""),"TXS"&amp;TEXT(COUNTIFS($B$2:$B2145,"&lt;&gt;",$C$2:$C2145,"&lt;&gt;",$D$2:$D2145,"&lt;&gt;",$E$2:$E2145,"&lt;&gt;"),"00000"),""))</f>
        <v/>
      </c>
      <c r="B2145" s="16"/>
      <c r="N2145" s="22"/>
    </row>
    <row r="2146" spans="1:14" x14ac:dyDescent="0.3">
      <c r="A2146" s="15" t="str">
        <f>IF(COUNTA($B2146:$E2146,$K2146)=0,"",IF(AND($B2146&lt;&gt;"",$C2146&lt;&gt;"",$D2146&lt;&gt;"",$E2146&lt;&gt;""),"TXS"&amp;TEXT(COUNTIFS($B$2:$B2146,"&lt;&gt;",$C$2:$C2146,"&lt;&gt;",$D$2:$D2146,"&lt;&gt;",$E$2:$E2146,"&lt;&gt;"),"00000"),""))</f>
        <v/>
      </c>
      <c r="B2146" s="16"/>
      <c r="N2146" s="22"/>
    </row>
    <row r="2147" spans="1:14" x14ac:dyDescent="0.3">
      <c r="A2147" s="15" t="str">
        <f>IF(COUNTA($B2147:$E2147,$K2147)=0,"",IF(AND($B2147&lt;&gt;"",$C2147&lt;&gt;"",$D2147&lt;&gt;"",$E2147&lt;&gt;""),"TXS"&amp;TEXT(COUNTIFS($B$2:$B2147,"&lt;&gt;",$C$2:$C2147,"&lt;&gt;",$D$2:$D2147,"&lt;&gt;",$E$2:$E2147,"&lt;&gt;"),"00000"),""))</f>
        <v/>
      </c>
      <c r="B2147" s="16"/>
      <c r="N2147" s="22"/>
    </row>
    <row r="2148" spans="1:14" x14ac:dyDescent="0.3">
      <c r="A2148" s="15" t="str">
        <f>IF(COUNTA($B2148:$E2148,$K2148)=0,"",IF(AND($B2148&lt;&gt;"",$C2148&lt;&gt;"",$D2148&lt;&gt;"",$E2148&lt;&gt;""),"TXS"&amp;TEXT(COUNTIFS($B$2:$B2148,"&lt;&gt;",$C$2:$C2148,"&lt;&gt;",$D$2:$D2148,"&lt;&gt;",$E$2:$E2148,"&lt;&gt;"),"00000"),""))</f>
        <v/>
      </c>
      <c r="B2148" s="16"/>
      <c r="N2148" s="22"/>
    </row>
    <row r="2149" spans="1:14" x14ac:dyDescent="0.3">
      <c r="A2149" s="15" t="str">
        <f>IF(COUNTA($B2149:$E2149,$K2149)=0,"",IF(AND($B2149&lt;&gt;"",$C2149&lt;&gt;"",$D2149&lt;&gt;"",$E2149&lt;&gt;""),"TXS"&amp;TEXT(COUNTIFS($B$2:$B2149,"&lt;&gt;",$C$2:$C2149,"&lt;&gt;",$D$2:$D2149,"&lt;&gt;",$E$2:$E2149,"&lt;&gt;"),"00000"),""))</f>
        <v/>
      </c>
      <c r="B2149" s="16"/>
      <c r="N2149" s="22"/>
    </row>
    <row r="2150" spans="1:14" x14ac:dyDescent="0.3">
      <c r="A2150" s="15" t="str">
        <f>IF(COUNTA($B2150:$E2150,$K2150)=0,"",IF(AND($B2150&lt;&gt;"",$C2150&lt;&gt;"",$D2150&lt;&gt;"",$E2150&lt;&gt;""),"TXS"&amp;TEXT(COUNTIFS($B$2:$B2150,"&lt;&gt;",$C$2:$C2150,"&lt;&gt;",$D$2:$D2150,"&lt;&gt;",$E$2:$E2150,"&lt;&gt;"),"00000"),""))</f>
        <v/>
      </c>
      <c r="B2150" s="16"/>
      <c r="N2150" s="22"/>
    </row>
    <row r="2151" spans="1:14" x14ac:dyDescent="0.3">
      <c r="A2151" s="15" t="str">
        <f>IF(COUNTA($B2151:$E2151,$K2151)=0,"",IF(AND($B2151&lt;&gt;"",$C2151&lt;&gt;"",$D2151&lt;&gt;"",$E2151&lt;&gt;""),"TXS"&amp;TEXT(COUNTIFS($B$2:$B2151,"&lt;&gt;",$C$2:$C2151,"&lt;&gt;",$D$2:$D2151,"&lt;&gt;",$E$2:$E2151,"&lt;&gt;"),"00000"),""))</f>
        <v/>
      </c>
      <c r="B2151" s="16"/>
      <c r="N2151" s="22"/>
    </row>
    <row r="2152" spans="1:14" x14ac:dyDescent="0.3">
      <c r="A2152" s="15" t="str">
        <f>IF(COUNTA($B2152:$E2152,$K2152)=0,"",IF(AND($B2152&lt;&gt;"",$C2152&lt;&gt;"",$D2152&lt;&gt;"",$E2152&lt;&gt;""),"TXS"&amp;TEXT(COUNTIFS($B$2:$B2152,"&lt;&gt;",$C$2:$C2152,"&lt;&gt;",$D$2:$D2152,"&lt;&gt;",$E$2:$E2152,"&lt;&gt;"),"00000"),""))</f>
        <v/>
      </c>
      <c r="B2152" s="16"/>
      <c r="N2152" s="22"/>
    </row>
    <row r="2153" spans="1:14" x14ac:dyDescent="0.3">
      <c r="A2153" s="15" t="str">
        <f>IF(COUNTA($B2153:$E2153,$K2153)=0,"",IF(AND($B2153&lt;&gt;"",$C2153&lt;&gt;"",$D2153&lt;&gt;"",$E2153&lt;&gt;""),"TXS"&amp;TEXT(COUNTIFS($B$2:$B2153,"&lt;&gt;",$C$2:$C2153,"&lt;&gt;",$D$2:$D2153,"&lt;&gt;",$E$2:$E2153,"&lt;&gt;"),"00000"),""))</f>
        <v/>
      </c>
      <c r="B2153" s="16"/>
      <c r="N2153" s="22"/>
    </row>
    <row r="2154" spans="1:14" x14ac:dyDescent="0.3">
      <c r="A2154" s="15" t="str">
        <f>IF(COUNTA($B2154:$E2154,$K2154)=0,"",IF(AND($B2154&lt;&gt;"",$C2154&lt;&gt;"",$D2154&lt;&gt;"",$E2154&lt;&gt;""),"TXS"&amp;TEXT(COUNTIFS($B$2:$B2154,"&lt;&gt;",$C$2:$C2154,"&lt;&gt;",$D$2:$D2154,"&lt;&gt;",$E$2:$E2154,"&lt;&gt;"),"00000"),""))</f>
        <v/>
      </c>
      <c r="B2154" s="16"/>
      <c r="N2154" s="22"/>
    </row>
    <row r="2155" spans="1:14" x14ac:dyDescent="0.3">
      <c r="A2155" s="15" t="str">
        <f>IF(COUNTA($B2155:$E2155,$K2155)=0,"",IF(AND($B2155&lt;&gt;"",$C2155&lt;&gt;"",$D2155&lt;&gt;"",$E2155&lt;&gt;""),"TXS"&amp;TEXT(COUNTIFS($B$2:$B2155,"&lt;&gt;",$C$2:$C2155,"&lt;&gt;",$D$2:$D2155,"&lt;&gt;",$E$2:$E2155,"&lt;&gt;"),"00000"),""))</f>
        <v/>
      </c>
      <c r="B2155" s="16"/>
      <c r="N2155" s="22"/>
    </row>
    <row r="2156" spans="1:14" x14ac:dyDescent="0.3">
      <c r="A2156" s="15" t="str">
        <f>IF(COUNTA($B2156:$E2156,$K2156)=0,"",IF(AND($B2156&lt;&gt;"",$C2156&lt;&gt;"",$D2156&lt;&gt;"",$E2156&lt;&gt;""),"TXS"&amp;TEXT(COUNTIFS($B$2:$B2156,"&lt;&gt;",$C$2:$C2156,"&lt;&gt;",$D$2:$D2156,"&lt;&gt;",$E$2:$E2156,"&lt;&gt;"),"00000"),""))</f>
        <v/>
      </c>
      <c r="B2156" s="16"/>
      <c r="N2156" s="22"/>
    </row>
    <row r="2157" spans="1:14" x14ac:dyDescent="0.3">
      <c r="A2157" s="15" t="str">
        <f>IF(COUNTA($B2157:$E2157,$K2157)=0,"",IF(AND($B2157&lt;&gt;"",$C2157&lt;&gt;"",$D2157&lt;&gt;"",$E2157&lt;&gt;""),"TXS"&amp;TEXT(COUNTIFS($B$2:$B2157,"&lt;&gt;",$C$2:$C2157,"&lt;&gt;",$D$2:$D2157,"&lt;&gt;",$E$2:$E2157,"&lt;&gt;"),"00000"),""))</f>
        <v/>
      </c>
      <c r="B2157" s="16"/>
      <c r="N2157" s="22"/>
    </row>
    <row r="2158" spans="1:14" x14ac:dyDescent="0.3">
      <c r="A2158" s="15" t="str">
        <f>IF(COUNTA($B2158:$E2158,$K2158)=0,"",IF(AND($B2158&lt;&gt;"",$C2158&lt;&gt;"",$D2158&lt;&gt;"",$E2158&lt;&gt;""),"TXS"&amp;TEXT(COUNTIFS($B$2:$B2158,"&lt;&gt;",$C$2:$C2158,"&lt;&gt;",$D$2:$D2158,"&lt;&gt;",$E$2:$E2158,"&lt;&gt;"),"00000"),""))</f>
        <v/>
      </c>
      <c r="B2158" s="16"/>
      <c r="N2158" s="22"/>
    </row>
    <row r="2159" spans="1:14" x14ac:dyDescent="0.3">
      <c r="A2159" s="15" t="str">
        <f>IF(COUNTA($B2159:$E2159,$K2159)=0,"",IF(AND($B2159&lt;&gt;"",$C2159&lt;&gt;"",$D2159&lt;&gt;"",$E2159&lt;&gt;""),"TXS"&amp;TEXT(COUNTIFS($B$2:$B2159,"&lt;&gt;",$C$2:$C2159,"&lt;&gt;",$D$2:$D2159,"&lt;&gt;",$E$2:$E2159,"&lt;&gt;"),"00000"),""))</f>
        <v/>
      </c>
      <c r="B2159" s="16"/>
      <c r="N2159" s="22"/>
    </row>
    <row r="2160" spans="1:14" x14ac:dyDescent="0.3">
      <c r="A2160" s="15" t="str">
        <f>IF(COUNTA($B2160:$E2160,$K2160)=0,"",IF(AND($B2160&lt;&gt;"",$C2160&lt;&gt;"",$D2160&lt;&gt;"",$E2160&lt;&gt;""),"TXS"&amp;TEXT(COUNTIFS($B$2:$B2160,"&lt;&gt;",$C$2:$C2160,"&lt;&gt;",$D$2:$D2160,"&lt;&gt;",$E$2:$E2160,"&lt;&gt;"),"00000"),""))</f>
        <v/>
      </c>
      <c r="B2160" s="16"/>
      <c r="N2160" s="22"/>
    </row>
    <row r="2161" spans="1:14" x14ac:dyDescent="0.3">
      <c r="A2161" s="15" t="str">
        <f>IF(COUNTA($B2161:$E2161,$K2161)=0,"",IF(AND($B2161&lt;&gt;"",$C2161&lt;&gt;"",$D2161&lt;&gt;"",$E2161&lt;&gt;""),"TXS"&amp;TEXT(COUNTIFS($B$2:$B2161,"&lt;&gt;",$C$2:$C2161,"&lt;&gt;",$D$2:$D2161,"&lt;&gt;",$E$2:$E2161,"&lt;&gt;"),"00000"),""))</f>
        <v/>
      </c>
      <c r="B2161" s="16"/>
      <c r="N2161" s="22"/>
    </row>
    <row r="2162" spans="1:14" x14ac:dyDescent="0.3">
      <c r="A2162" s="15" t="str">
        <f>IF(COUNTA($B2162:$E2162,$K2162)=0,"",IF(AND($B2162&lt;&gt;"",$C2162&lt;&gt;"",$D2162&lt;&gt;"",$E2162&lt;&gt;""),"TXS"&amp;TEXT(COUNTIFS($B$2:$B2162,"&lt;&gt;",$C$2:$C2162,"&lt;&gt;",$D$2:$D2162,"&lt;&gt;",$E$2:$E2162,"&lt;&gt;"),"00000"),""))</f>
        <v/>
      </c>
      <c r="B2162" s="16"/>
      <c r="N2162" s="22"/>
    </row>
    <row r="2163" spans="1:14" x14ac:dyDescent="0.3">
      <c r="A2163" s="15" t="str">
        <f>IF(COUNTA($B2163:$E2163,$K2163)=0,"",IF(AND($B2163&lt;&gt;"",$C2163&lt;&gt;"",$D2163&lt;&gt;"",$E2163&lt;&gt;""),"TXS"&amp;TEXT(COUNTIFS($B$2:$B2163,"&lt;&gt;",$C$2:$C2163,"&lt;&gt;",$D$2:$D2163,"&lt;&gt;",$E$2:$E2163,"&lt;&gt;"),"00000"),""))</f>
        <v/>
      </c>
      <c r="B2163" s="16"/>
      <c r="N2163" s="22"/>
    </row>
    <row r="2164" spans="1:14" x14ac:dyDescent="0.3">
      <c r="A2164" s="15" t="str">
        <f>IF(COUNTA($B2164:$E2164,$K2164)=0,"",IF(AND($B2164&lt;&gt;"",$C2164&lt;&gt;"",$D2164&lt;&gt;"",$E2164&lt;&gt;""),"TXS"&amp;TEXT(COUNTIFS($B$2:$B2164,"&lt;&gt;",$C$2:$C2164,"&lt;&gt;",$D$2:$D2164,"&lt;&gt;",$E$2:$E2164,"&lt;&gt;"),"00000"),""))</f>
        <v/>
      </c>
      <c r="B2164" s="16"/>
      <c r="N2164" s="22"/>
    </row>
    <row r="2165" spans="1:14" x14ac:dyDescent="0.3">
      <c r="A2165" s="15" t="str">
        <f>IF(COUNTA($B2165:$E2165,$K2165)=0,"",IF(AND($B2165&lt;&gt;"",$C2165&lt;&gt;"",$D2165&lt;&gt;"",$E2165&lt;&gt;""),"TXS"&amp;TEXT(COUNTIFS($B$2:$B2165,"&lt;&gt;",$C$2:$C2165,"&lt;&gt;",$D$2:$D2165,"&lt;&gt;",$E$2:$E2165,"&lt;&gt;"),"00000"),""))</f>
        <v/>
      </c>
      <c r="B2165" s="16"/>
      <c r="N2165" s="22"/>
    </row>
    <row r="2166" spans="1:14" x14ac:dyDescent="0.3">
      <c r="A2166" s="15" t="str">
        <f>IF(COUNTA($B2166:$E2166,$K2166)=0,"",IF(AND($B2166&lt;&gt;"",$C2166&lt;&gt;"",$D2166&lt;&gt;"",$E2166&lt;&gt;""),"TXS"&amp;TEXT(COUNTIFS($B$2:$B2166,"&lt;&gt;",$C$2:$C2166,"&lt;&gt;",$D$2:$D2166,"&lt;&gt;",$E$2:$E2166,"&lt;&gt;"),"00000"),""))</f>
        <v/>
      </c>
      <c r="B2166" s="16"/>
      <c r="N2166" s="22"/>
    </row>
    <row r="2167" spans="1:14" x14ac:dyDescent="0.3">
      <c r="A2167" s="15" t="str">
        <f>IF(COUNTA($B2167:$E2167,$K2167)=0,"",IF(AND($B2167&lt;&gt;"",$C2167&lt;&gt;"",$D2167&lt;&gt;"",$E2167&lt;&gt;""),"TXS"&amp;TEXT(COUNTIFS($B$2:$B2167,"&lt;&gt;",$C$2:$C2167,"&lt;&gt;",$D$2:$D2167,"&lt;&gt;",$E$2:$E2167,"&lt;&gt;"),"00000"),""))</f>
        <v/>
      </c>
      <c r="B2167" s="16"/>
      <c r="N2167" s="22"/>
    </row>
    <row r="2168" spans="1:14" x14ac:dyDescent="0.3">
      <c r="A2168" s="15" t="str">
        <f>IF(COUNTA($B2168:$E2168,$K2168)=0,"",IF(AND($B2168&lt;&gt;"",$C2168&lt;&gt;"",$D2168&lt;&gt;"",$E2168&lt;&gt;""),"TXS"&amp;TEXT(COUNTIFS($B$2:$B2168,"&lt;&gt;",$C$2:$C2168,"&lt;&gt;",$D$2:$D2168,"&lt;&gt;",$E$2:$E2168,"&lt;&gt;"),"00000"),""))</f>
        <v/>
      </c>
      <c r="B2168" s="16"/>
      <c r="N2168" s="22"/>
    </row>
    <row r="2169" spans="1:14" x14ac:dyDescent="0.3">
      <c r="A2169" s="15" t="str">
        <f>IF(COUNTA($B2169:$E2169,$K2169)=0,"",IF(AND($B2169&lt;&gt;"",$C2169&lt;&gt;"",$D2169&lt;&gt;"",$E2169&lt;&gt;""),"TXS"&amp;TEXT(COUNTIFS($B$2:$B2169,"&lt;&gt;",$C$2:$C2169,"&lt;&gt;",$D$2:$D2169,"&lt;&gt;",$E$2:$E2169,"&lt;&gt;"),"00000"),""))</f>
        <v/>
      </c>
      <c r="B2169" s="16"/>
      <c r="N2169" s="22"/>
    </row>
    <row r="2170" spans="1:14" x14ac:dyDescent="0.3">
      <c r="A2170" s="15" t="str">
        <f>IF(COUNTA($B2170:$E2170,$K2170)=0,"",IF(AND($B2170&lt;&gt;"",$C2170&lt;&gt;"",$D2170&lt;&gt;"",$E2170&lt;&gt;""),"TXS"&amp;TEXT(COUNTIFS($B$2:$B2170,"&lt;&gt;",$C$2:$C2170,"&lt;&gt;",$D$2:$D2170,"&lt;&gt;",$E$2:$E2170,"&lt;&gt;"),"00000"),""))</f>
        <v/>
      </c>
      <c r="B2170" s="16"/>
      <c r="N2170" s="22"/>
    </row>
    <row r="2171" spans="1:14" x14ac:dyDescent="0.3">
      <c r="A2171" s="15" t="str">
        <f>IF(COUNTA($B2171:$E2171,$K2171)=0,"",IF(AND($B2171&lt;&gt;"",$C2171&lt;&gt;"",$D2171&lt;&gt;"",$E2171&lt;&gt;""),"TXS"&amp;TEXT(COUNTIFS($B$2:$B2171,"&lt;&gt;",$C$2:$C2171,"&lt;&gt;",$D$2:$D2171,"&lt;&gt;",$E$2:$E2171,"&lt;&gt;"),"00000"),""))</f>
        <v/>
      </c>
      <c r="B2171" s="16"/>
      <c r="N2171" s="22"/>
    </row>
    <row r="2172" spans="1:14" x14ac:dyDescent="0.3">
      <c r="A2172" s="15" t="str">
        <f>IF(COUNTA($B2172:$E2172,$K2172)=0,"",IF(AND($B2172&lt;&gt;"",$C2172&lt;&gt;"",$D2172&lt;&gt;"",$E2172&lt;&gt;""),"TXS"&amp;TEXT(COUNTIFS($B$2:$B2172,"&lt;&gt;",$C$2:$C2172,"&lt;&gt;",$D$2:$D2172,"&lt;&gt;",$E$2:$E2172,"&lt;&gt;"),"00000"),""))</f>
        <v/>
      </c>
      <c r="B2172" s="16"/>
      <c r="N2172" s="22"/>
    </row>
    <row r="2173" spans="1:14" x14ac:dyDescent="0.3">
      <c r="A2173" s="15" t="str">
        <f>IF(COUNTA($B2173:$E2173,$K2173)=0,"",IF(AND($B2173&lt;&gt;"",$C2173&lt;&gt;"",$D2173&lt;&gt;"",$E2173&lt;&gt;""),"TXS"&amp;TEXT(COUNTIFS($B$2:$B2173,"&lt;&gt;",$C$2:$C2173,"&lt;&gt;",$D$2:$D2173,"&lt;&gt;",$E$2:$E2173,"&lt;&gt;"),"00000"),""))</f>
        <v/>
      </c>
      <c r="B2173" s="16"/>
      <c r="N2173" s="22"/>
    </row>
    <row r="2174" spans="1:14" x14ac:dyDescent="0.3">
      <c r="A2174" s="15" t="str">
        <f>IF(COUNTA($B2174:$E2174,$K2174)=0,"",IF(AND($B2174&lt;&gt;"",$C2174&lt;&gt;"",$D2174&lt;&gt;"",$E2174&lt;&gt;""),"TXS"&amp;TEXT(COUNTIFS($B$2:$B2174,"&lt;&gt;",$C$2:$C2174,"&lt;&gt;",$D$2:$D2174,"&lt;&gt;",$E$2:$E2174,"&lt;&gt;"),"00000"),""))</f>
        <v/>
      </c>
      <c r="B2174" s="16"/>
      <c r="N2174" s="22"/>
    </row>
    <row r="2175" spans="1:14" x14ac:dyDescent="0.3">
      <c r="A2175" s="15" t="str">
        <f>IF(COUNTA($B2175:$E2175,$K2175)=0,"",IF(AND($B2175&lt;&gt;"",$C2175&lt;&gt;"",$D2175&lt;&gt;"",$E2175&lt;&gt;""),"TXS"&amp;TEXT(COUNTIFS($B$2:$B2175,"&lt;&gt;",$C$2:$C2175,"&lt;&gt;",$D$2:$D2175,"&lt;&gt;",$E$2:$E2175,"&lt;&gt;"),"00000"),""))</f>
        <v/>
      </c>
      <c r="B2175" s="16"/>
      <c r="N2175" s="22"/>
    </row>
    <row r="2176" spans="1:14" x14ac:dyDescent="0.3">
      <c r="A2176" s="15" t="str">
        <f>IF(COUNTA($B2176:$E2176,$K2176)=0,"",IF(AND($B2176&lt;&gt;"",$C2176&lt;&gt;"",$D2176&lt;&gt;"",$E2176&lt;&gt;""),"TXS"&amp;TEXT(COUNTIFS($B$2:$B2176,"&lt;&gt;",$C$2:$C2176,"&lt;&gt;",$D$2:$D2176,"&lt;&gt;",$E$2:$E2176,"&lt;&gt;"),"00000"),""))</f>
        <v/>
      </c>
      <c r="B2176" s="16"/>
      <c r="N2176" s="22"/>
    </row>
    <row r="2177" spans="1:14" x14ac:dyDescent="0.3">
      <c r="A2177" s="15" t="str">
        <f>IF(COUNTA($B2177:$E2177,$K2177)=0,"",IF(AND($B2177&lt;&gt;"",$C2177&lt;&gt;"",$D2177&lt;&gt;"",$E2177&lt;&gt;""),"TXS"&amp;TEXT(COUNTIFS($B$2:$B2177,"&lt;&gt;",$C$2:$C2177,"&lt;&gt;",$D$2:$D2177,"&lt;&gt;",$E$2:$E2177,"&lt;&gt;"),"00000"),""))</f>
        <v/>
      </c>
      <c r="B2177" s="16"/>
      <c r="N2177" s="22"/>
    </row>
    <row r="2178" spans="1:14" x14ac:dyDescent="0.3">
      <c r="A2178" s="15" t="str">
        <f>IF(COUNTA($B2178:$E2178,$K2178)=0,"",IF(AND($B2178&lt;&gt;"",$C2178&lt;&gt;"",$D2178&lt;&gt;"",$E2178&lt;&gt;""),"TXS"&amp;TEXT(COUNTIFS($B$2:$B2178,"&lt;&gt;",$C$2:$C2178,"&lt;&gt;",$D$2:$D2178,"&lt;&gt;",$E$2:$E2178,"&lt;&gt;"),"00000"),""))</f>
        <v/>
      </c>
      <c r="B2178" s="16"/>
      <c r="N2178" s="22"/>
    </row>
    <row r="2179" spans="1:14" x14ac:dyDescent="0.3">
      <c r="A2179" s="15" t="str">
        <f>IF(COUNTA($B2179:$E2179,$K2179)=0,"",IF(AND($B2179&lt;&gt;"",$C2179&lt;&gt;"",$D2179&lt;&gt;"",$E2179&lt;&gt;""),"TXS"&amp;TEXT(COUNTIFS($B$2:$B2179,"&lt;&gt;",$C$2:$C2179,"&lt;&gt;",$D$2:$D2179,"&lt;&gt;",$E$2:$E2179,"&lt;&gt;"),"00000"),""))</f>
        <v/>
      </c>
      <c r="B2179" s="16"/>
      <c r="N2179" s="22"/>
    </row>
    <row r="2180" spans="1:14" x14ac:dyDescent="0.3">
      <c r="A2180" s="15" t="str">
        <f>IF(COUNTA($B2180:$E2180,$K2180)=0,"",IF(AND($B2180&lt;&gt;"",$C2180&lt;&gt;"",$D2180&lt;&gt;"",$E2180&lt;&gt;""),"TXS"&amp;TEXT(COUNTIFS($B$2:$B2180,"&lt;&gt;",$C$2:$C2180,"&lt;&gt;",$D$2:$D2180,"&lt;&gt;",$E$2:$E2180,"&lt;&gt;"),"00000"),""))</f>
        <v/>
      </c>
      <c r="B2180" s="16"/>
      <c r="N2180" s="22"/>
    </row>
    <row r="2181" spans="1:14" x14ac:dyDescent="0.3">
      <c r="A2181" s="15" t="str">
        <f>IF(COUNTA($B2181:$E2181,$K2181)=0,"",IF(AND($B2181&lt;&gt;"",$C2181&lt;&gt;"",$D2181&lt;&gt;"",$E2181&lt;&gt;""),"TXS"&amp;TEXT(COUNTIFS($B$2:$B2181,"&lt;&gt;",$C$2:$C2181,"&lt;&gt;",$D$2:$D2181,"&lt;&gt;",$E$2:$E2181,"&lt;&gt;"),"00000"),""))</f>
        <v/>
      </c>
      <c r="B2181" s="16"/>
      <c r="N2181" s="22"/>
    </row>
    <row r="2182" spans="1:14" x14ac:dyDescent="0.3">
      <c r="A2182" s="15" t="str">
        <f>IF(COUNTA($B2182:$E2182,$K2182)=0,"",IF(AND($B2182&lt;&gt;"",$C2182&lt;&gt;"",$D2182&lt;&gt;"",$E2182&lt;&gt;""),"TXS"&amp;TEXT(COUNTIFS($B$2:$B2182,"&lt;&gt;",$C$2:$C2182,"&lt;&gt;",$D$2:$D2182,"&lt;&gt;",$E$2:$E2182,"&lt;&gt;"),"00000"),""))</f>
        <v/>
      </c>
      <c r="B2182" s="16"/>
      <c r="N2182" s="22"/>
    </row>
    <row r="2183" spans="1:14" x14ac:dyDescent="0.3">
      <c r="A2183" s="15" t="str">
        <f>IF(COUNTA($B2183:$E2183,$K2183)=0,"",IF(AND($B2183&lt;&gt;"",$C2183&lt;&gt;"",$D2183&lt;&gt;"",$E2183&lt;&gt;""),"TXS"&amp;TEXT(COUNTIFS($B$2:$B2183,"&lt;&gt;",$C$2:$C2183,"&lt;&gt;",$D$2:$D2183,"&lt;&gt;",$E$2:$E2183,"&lt;&gt;"),"00000"),""))</f>
        <v/>
      </c>
      <c r="B2183" s="16"/>
      <c r="N2183" s="22"/>
    </row>
    <row r="2184" spans="1:14" x14ac:dyDescent="0.3">
      <c r="A2184" s="15" t="str">
        <f>IF(COUNTA($B2184:$E2184,$K2184)=0,"",IF(AND($B2184&lt;&gt;"",$C2184&lt;&gt;"",$D2184&lt;&gt;"",$E2184&lt;&gt;""),"TXS"&amp;TEXT(COUNTIFS($B$2:$B2184,"&lt;&gt;",$C$2:$C2184,"&lt;&gt;",$D$2:$D2184,"&lt;&gt;",$E$2:$E2184,"&lt;&gt;"),"00000"),""))</f>
        <v/>
      </c>
      <c r="B2184" s="16"/>
      <c r="N2184" s="22"/>
    </row>
    <row r="2185" spans="1:14" x14ac:dyDescent="0.3">
      <c r="A2185" s="15" t="str">
        <f>IF(COUNTA($B2185:$E2185,$K2185)=0,"",IF(AND($B2185&lt;&gt;"",$C2185&lt;&gt;"",$D2185&lt;&gt;"",$E2185&lt;&gt;""),"TXS"&amp;TEXT(COUNTIFS($B$2:$B2185,"&lt;&gt;",$C$2:$C2185,"&lt;&gt;",$D$2:$D2185,"&lt;&gt;",$E$2:$E2185,"&lt;&gt;"),"00000"),""))</f>
        <v/>
      </c>
      <c r="B2185" s="16"/>
      <c r="N2185" s="22"/>
    </row>
    <row r="2186" spans="1:14" x14ac:dyDescent="0.3">
      <c r="A2186" s="15" t="str">
        <f>IF(COUNTA($B2186:$E2186,$K2186)=0,"",IF(AND($B2186&lt;&gt;"",$C2186&lt;&gt;"",$D2186&lt;&gt;"",$E2186&lt;&gt;""),"TXS"&amp;TEXT(COUNTIFS($B$2:$B2186,"&lt;&gt;",$C$2:$C2186,"&lt;&gt;",$D$2:$D2186,"&lt;&gt;",$E$2:$E2186,"&lt;&gt;"),"00000"),""))</f>
        <v/>
      </c>
      <c r="B2186" s="16"/>
      <c r="N2186" s="22"/>
    </row>
    <row r="2187" spans="1:14" x14ac:dyDescent="0.3">
      <c r="A2187" s="15" t="str">
        <f>IF(COUNTA($B2187:$E2187,$K2187)=0,"",IF(AND($B2187&lt;&gt;"",$C2187&lt;&gt;"",$D2187&lt;&gt;"",$E2187&lt;&gt;""),"TXS"&amp;TEXT(COUNTIFS($B$2:$B2187,"&lt;&gt;",$C$2:$C2187,"&lt;&gt;",$D$2:$D2187,"&lt;&gt;",$E$2:$E2187,"&lt;&gt;"),"00000"),""))</f>
        <v/>
      </c>
      <c r="B2187" s="16"/>
      <c r="N2187" s="22"/>
    </row>
    <row r="2188" spans="1:14" x14ac:dyDescent="0.3">
      <c r="A2188" s="15" t="str">
        <f>IF(COUNTA($B2188:$E2188,$K2188)=0,"",IF(AND($B2188&lt;&gt;"",$C2188&lt;&gt;"",$D2188&lt;&gt;"",$E2188&lt;&gt;""),"TXS"&amp;TEXT(COUNTIFS($B$2:$B2188,"&lt;&gt;",$C$2:$C2188,"&lt;&gt;",$D$2:$D2188,"&lt;&gt;",$E$2:$E2188,"&lt;&gt;"),"00000"),""))</f>
        <v/>
      </c>
      <c r="B2188" s="16"/>
      <c r="N2188" s="22"/>
    </row>
    <row r="2189" spans="1:14" x14ac:dyDescent="0.3">
      <c r="A2189" s="15" t="str">
        <f>IF(COUNTA($B2189:$E2189,$K2189)=0,"",IF(AND($B2189&lt;&gt;"",$C2189&lt;&gt;"",$D2189&lt;&gt;"",$E2189&lt;&gt;""),"TXS"&amp;TEXT(COUNTIFS($B$2:$B2189,"&lt;&gt;",$C$2:$C2189,"&lt;&gt;",$D$2:$D2189,"&lt;&gt;",$E$2:$E2189,"&lt;&gt;"),"00000"),""))</f>
        <v/>
      </c>
      <c r="B2189" s="16"/>
      <c r="N2189" s="22"/>
    </row>
    <row r="2190" spans="1:14" x14ac:dyDescent="0.3">
      <c r="A2190" s="15" t="str">
        <f>IF(COUNTA($B2190:$E2190,$K2190)=0,"",IF(AND($B2190&lt;&gt;"",$C2190&lt;&gt;"",$D2190&lt;&gt;"",$E2190&lt;&gt;""),"TXS"&amp;TEXT(COUNTIFS($B$2:$B2190,"&lt;&gt;",$C$2:$C2190,"&lt;&gt;",$D$2:$D2190,"&lt;&gt;",$E$2:$E2190,"&lt;&gt;"),"00000"),""))</f>
        <v/>
      </c>
      <c r="B2190" s="16"/>
      <c r="N2190" s="22"/>
    </row>
    <row r="2191" spans="1:14" x14ac:dyDescent="0.3">
      <c r="A2191" s="15" t="str">
        <f>IF(COUNTA($B2191:$E2191,$K2191)=0,"",IF(AND($B2191&lt;&gt;"",$C2191&lt;&gt;"",$D2191&lt;&gt;"",$E2191&lt;&gt;""),"TXS"&amp;TEXT(COUNTIFS($B$2:$B2191,"&lt;&gt;",$C$2:$C2191,"&lt;&gt;",$D$2:$D2191,"&lt;&gt;",$E$2:$E2191,"&lt;&gt;"),"00000"),""))</f>
        <v/>
      </c>
      <c r="B2191" s="16"/>
      <c r="N2191" s="22"/>
    </row>
    <row r="2192" spans="1:14" x14ac:dyDescent="0.3">
      <c r="A2192" s="15" t="str">
        <f>IF(COUNTA($B2192:$E2192,$K2192)=0,"",IF(AND($B2192&lt;&gt;"",$C2192&lt;&gt;"",$D2192&lt;&gt;"",$E2192&lt;&gt;""),"TXS"&amp;TEXT(COUNTIFS($B$2:$B2192,"&lt;&gt;",$C$2:$C2192,"&lt;&gt;",$D$2:$D2192,"&lt;&gt;",$E$2:$E2192,"&lt;&gt;"),"00000"),""))</f>
        <v/>
      </c>
      <c r="B2192" s="16"/>
      <c r="N2192" s="22"/>
    </row>
    <row r="2193" spans="1:14" x14ac:dyDescent="0.3">
      <c r="A2193" s="15" t="str">
        <f>IF(COUNTA($B2193:$E2193,$K2193)=0,"",IF(AND($B2193&lt;&gt;"",$C2193&lt;&gt;"",$D2193&lt;&gt;"",$E2193&lt;&gt;""),"TXS"&amp;TEXT(COUNTIFS($B$2:$B2193,"&lt;&gt;",$C$2:$C2193,"&lt;&gt;",$D$2:$D2193,"&lt;&gt;",$E$2:$E2193,"&lt;&gt;"),"00000"),""))</f>
        <v/>
      </c>
      <c r="B2193" s="16"/>
      <c r="N2193" s="22"/>
    </row>
    <row r="2194" spans="1:14" x14ac:dyDescent="0.3">
      <c r="A2194" s="15" t="str">
        <f>IF(COUNTA($B2194:$E2194,$K2194)=0,"",IF(AND($B2194&lt;&gt;"",$C2194&lt;&gt;"",$D2194&lt;&gt;"",$E2194&lt;&gt;""),"TXS"&amp;TEXT(COUNTIFS($B$2:$B2194,"&lt;&gt;",$C$2:$C2194,"&lt;&gt;",$D$2:$D2194,"&lt;&gt;",$E$2:$E2194,"&lt;&gt;"),"00000"),""))</f>
        <v/>
      </c>
      <c r="B2194" s="16"/>
      <c r="N2194" s="22"/>
    </row>
    <row r="2195" spans="1:14" x14ac:dyDescent="0.3">
      <c r="A2195" s="15" t="str">
        <f>IF(COUNTA($B2195:$E2195,$K2195)=0,"",IF(AND($B2195&lt;&gt;"",$C2195&lt;&gt;"",$D2195&lt;&gt;"",$E2195&lt;&gt;""),"TXS"&amp;TEXT(COUNTIFS($B$2:$B2195,"&lt;&gt;",$C$2:$C2195,"&lt;&gt;",$D$2:$D2195,"&lt;&gt;",$E$2:$E2195,"&lt;&gt;"),"00000"),""))</f>
        <v/>
      </c>
      <c r="B2195" s="16"/>
      <c r="N2195" s="22"/>
    </row>
    <row r="2196" spans="1:14" x14ac:dyDescent="0.3">
      <c r="A2196" s="15" t="str">
        <f>IF(COUNTA($B2196:$E2196,$K2196)=0,"",IF(AND($B2196&lt;&gt;"",$C2196&lt;&gt;"",$D2196&lt;&gt;"",$E2196&lt;&gt;""),"TXS"&amp;TEXT(COUNTIFS($B$2:$B2196,"&lt;&gt;",$C$2:$C2196,"&lt;&gt;",$D$2:$D2196,"&lt;&gt;",$E$2:$E2196,"&lt;&gt;"),"00000"),""))</f>
        <v/>
      </c>
      <c r="B2196" s="16"/>
      <c r="N2196" s="22"/>
    </row>
    <row r="2197" spans="1:14" x14ac:dyDescent="0.3">
      <c r="A2197" s="15" t="str">
        <f>IF(COUNTA($B2197:$E2197,$K2197)=0,"",IF(AND($B2197&lt;&gt;"",$C2197&lt;&gt;"",$D2197&lt;&gt;"",$E2197&lt;&gt;""),"TXS"&amp;TEXT(COUNTIFS($B$2:$B2197,"&lt;&gt;",$C$2:$C2197,"&lt;&gt;",$D$2:$D2197,"&lt;&gt;",$E$2:$E2197,"&lt;&gt;"),"00000"),""))</f>
        <v/>
      </c>
      <c r="B2197" s="16"/>
      <c r="N2197" s="22"/>
    </row>
    <row r="2198" spans="1:14" x14ac:dyDescent="0.3">
      <c r="A2198" s="15" t="str">
        <f>IF(COUNTA($B2198:$E2198,$K2198)=0,"",IF(AND($B2198&lt;&gt;"",$C2198&lt;&gt;"",$D2198&lt;&gt;"",$E2198&lt;&gt;""),"TXS"&amp;TEXT(COUNTIFS($B$2:$B2198,"&lt;&gt;",$C$2:$C2198,"&lt;&gt;",$D$2:$D2198,"&lt;&gt;",$E$2:$E2198,"&lt;&gt;"),"00000"),""))</f>
        <v/>
      </c>
      <c r="B2198" s="16"/>
      <c r="N2198" s="22"/>
    </row>
    <row r="2199" spans="1:14" x14ac:dyDescent="0.3">
      <c r="A2199" s="15" t="str">
        <f>IF(COUNTA($B2199:$E2199,$K2199)=0,"",IF(AND($B2199&lt;&gt;"",$C2199&lt;&gt;"",$D2199&lt;&gt;"",$E2199&lt;&gt;""),"TXS"&amp;TEXT(COUNTIFS($B$2:$B2199,"&lt;&gt;",$C$2:$C2199,"&lt;&gt;",$D$2:$D2199,"&lt;&gt;",$E$2:$E2199,"&lt;&gt;"),"00000"),""))</f>
        <v/>
      </c>
      <c r="B2199" s="16"/>
      <c r="N2199" s="22"/>
    </row>
    <row r="2200" spans="1:14" x14ac:dyDescent="0.3">
      <c r="A2200" s="15" t="str">
        <f>IF(COUNTA($B2200:$E2200,$K2200)=0,"",IF(AND($B2200&lt;&gt;"",$C2200&lt;&gt;"",$D2200&lt;&gt;"",$E2200&lt;&gt;""),"TXS"&amp;TEXT(COUNTIFS($B$2:$B2200,"&lt;&gt;",$C$2:$C2200,"&lt;&gt;",$D$2:$D2200,"&lt;&gt;",$E$2:$E2200,"&lt;&gt;"),"00000"),""))</f>
        <v/>
      </c>
      <c r="B2200" s="16"/>
      <c r="N2200" s="22"/>
    </row>
    <row r="2201" spans="1:14" x14ac:dyDescent="0.3">
      <c r="A2201" s="15" t="str">
        <f>IF(COUNTA($B2201:$E2201,$K2201)=0,"",IF(AND($B2201&lt;&gt;"",$C2201&lt;&gt;"",$D2201&lt;&gt;"",$E2201&lt;&gt;""),"TXS"&amp;TEXT(COUNTIFS($B$2:$B2201,"&lt;&gt;",$C$2:$C2201,"&lt;&gt;",$D$2:$D2201,"&lt;&gt;",$E$2:$E2201,"&lt;&gt;"),"00000"),""))</f>
        <v/>
      </c>
      <c r="B2201" s="16"/>
      <c r="N2201" s="22"/>
    </row>
    <row r="2202" spans="1:14" x14ac:dyDescent="0.3">
      <c r="A2202" s="15" t="str">
        <f>IF(COUNTA($B2202:$E2202,$K2202)=0,"",IF(AND($B2202&lt;&gt;"",$C2202&lt;&gt;"",$D2202&lt;&gt;"",$E2202&lt;&gt;""),"TXS"&amp;TEXT(COUNTIFS($B$2:$B2202,"&lt;&gt;",$C$2:$C2202,"&lt;&gt;",$D$2:$D2202,"&lt;&gt;",$E$2:$E2202,"&lt;&gt;"),"00000"),""))</f>
        <v/>
      </c>
      <c r="B2202" s="16"/>
      <c r="N2202" s="22"/>
    </row>
    <row r="2203" spans="1:14" x14ac:dyDescent="0.3">
      <c r="A2203" s="15" t="str">
        <f>IF(COUNTA($B2203:$E2203,$K2203)=0,"",IF(AND($B2203&lt;&gt;"",$C2203&lt;&gt;"",$D2203&lt;&gt;"",$E2203&lt;&gt;""),"TXS"&amp;TEXT(COUNTIFS($B$2:$B2203,"&lt;&gt;",$C$2:$C2203,"&lt;&gt;",$D$2:$D2203,"&lt;&gt;",$E$2:$E2203,"&lt;&gt;"),"00000"),""))</f>
        <v/>
      </c>
      <c r="B2203" s="16"/>
      <c r="N2203" s="22"/>
    </row>
    <row r="2204" spans="1:14" x14ac:dyDescent="0.3">
      <c r="A2204" s="15" t="str">
        <f>IF(COUNTA($B2204:$E2204,$K2204)=0,"",IF(AND($B2204&lt;&gt;"",$C2204&lt;&gt;"",$D2204&lt;&gt;"",$E2204&lt;&gt;""),"TXS"&amp;TEXT(COUNTIFS($B$2:$B2204,"&lt;&gt;",$C$2:$C2204,"&lt;&gt;",$D$2:$D2204,"&lt;&gt;",$E$2:$E2204,"&lt;&gt;"),"00000"),""))</f>
        <v/>
      </c>
      <c r="B2204" s="16"/>
      <c r="N2204" s="22"/>
    </row>
    <row r="2205" spans="1:14" x14ac:dyDescent="0.3">
      <c r="A2205" s="15" t="str">
        <f>IF(COUNTA($B2205:$E2205,$K2205)=0,"",IF(AND($B2205&lt;&gt;"",$C2205&lt;&gt;"",$D2205&lt;&gt;"",$E2205&lt;&gt;""),"TXS"&amp;TEXT(COUNTIFS($B$2:$B2205,"&lt;&gt;",$C$2:$C2205,"&lt;&gt;",$D$2:$D2205,"&lt;&gt;",$E$2:$E2205,"&lt;&gt;"),"00000"),""))</f>
        <v/>
      </c>
      <c r="B2205" s="16"/>
      <c r="N2205" s="22"/>
    </row>
    <row r="2206" spans="1:14" x14ac:dyDescent="0.3">
      <c r="A2206" s="15" t="str">
        <f>IF(COUNTA($B2206:$E2206,$K2206)=0,"",IF(AND($B2206&lt;&gt;"",$C2206&lt;&gt;"",$D2206&lt;&gt;"",$E2206&lt;&gt;""),"TXS"&amp;TEXT(COUNTIFS($B$2:$B2206,"&lt;&gt;",$C$2:$C2206,"&lt;&gt;",$D$2:$D2206,"&lt;&gt;",$E$2:$E2206,"&lt;&gt;"),"00000"),""))</f>
        <v/>
      </c>
      <c r="B2206" s="16"/>
      <c r="N2206" s="22"/>
    </row>
    <row r="2207" spans="1:14" x14ac:dyDescent="0.3">
      <c r="A2207" s="15" t="str">
        <f>IF(COUNTA($B2207:$E2207,$K2207)=0,"",IF(AND($B2207&lt;&gt;"",$C2207&lt;&gt;"",$D2207&lt;&gt;"",$E2207&lt;&gt;""),"TXS"&amp;TEXT(COUNTIFS($B$2:$B2207,"&lt;&gt;",$C$2:$C2207,"&lt;&gt;",$D$2:$D2207,"&lt;&gt;",$E$2:$E2207,"&lt;&gt;"),"00000"),""))</f>
        <v/>
      </c>
      <c r="B2207" s="16"/>
      <c r="N2207" s="22"/>
    </row>
    <row r="2208" spans="1:14" x14ac:dyDescent="0.3">
      <c r="A2208" s="15" t="str">
        <f>IF(COUNTA($B2208:$E2208,$K2208)=0,"",IF(AND($B2208&lt;&gt;"",$C2208&lt;&gt;"",$D2208&lt;&gt;"",$E2208&lt;&gt;""),"TXS"&amp;TEXT(COUNTIFS($B$2:$B2208,"&lt;&gt;",$C$2:$C2208,"&lt;&gt;",$D$2:$D2208,"&lt;&gt;",$E$2:$E2208,"&lt;&gt;"),"00000"),""))</f>
        <v/>
      </c>
      <c r="B2208" s="16"/>
      <c r="N2208" s="22"/>
    </row>
    <row r="2209" spans="1:14" x14ac:dyDescent="0.3">
      <c r="A2209" s="15" t="str">
        <f>IF(COUNTA($B2209:$E2209,$K2209)=0,"",IF(AND($B2209&lt;&gt;"",$C2209&lt;&gt;"",$D2209&lt;&gt;"",$E2209&lt;&gt;""),"TXS"&amp;TEXT(COUNTIFS($B$2:$B2209,"&lt;&gt;",$C$2:$C2209,"&lt;&gt;",$D$2:$D2209,"&lt;&gt;",$E$2:$E2209,"&lt;&gt;"),"00000"),""))</f>
        <v/>
      </c>
      <c r="B2209" s="16"/>
      <c r="N2209" s="22"/>
    </row>
    <row r="2210" spans="1:14" x14ac:dyDescent="0.3">
      <c r="A2210" s="15" t="str">
        <f>IF(COUNTA($B2210:$E2210,$K2210)=0,"",IF(AND($B2210&lt;&gt;"",$C2210&lt;&gt;"",$D2210&lt;&gt;"",$E2210&lt;&gt;""),"TXS"&amp;TEXT(COUNTIFS($B$2:$B2210,"&lt;&gt;",$C$2:$C2210,"&lt;&gt;",$D$2:$D2210,"&lt;&gt;",$E$2:$E2210,"&lt;&gt;"),"00000"),""))</f>
        <v/>
      </c>
      <c r="B2210" s="16"/>
      <c r="N2210" s="22"/>
    </row>
    <row r="2211" spans="1:14" x14ac:dyDescent="0.3">
      <c r="A2211" s="15" t="str">
        <f>IF(COUNTA($B2211:$E2211,$K2211)=0,"",IF(AND($B2211&lt;&gt;"",$C2211&lt;&gt;"",$D2211&lt;&gt;"",$E2211&lt;&gt;""),"TXS"&amp;TEXT(COUNTIFS($B$2:$B2211,"&lt;&gt;",$C$2:$C2211,"&lt;&gt;",$D$2:$D2211,"&lt;&gt;",$E$2:$E2211,"&lt;&gt;"),"00000"),""))</f>
        <v/>
      </c>
      <c r="B2211" s="16"/>
      <c r="N2211" s="22"/>
    </row>
    <row r="2212" spans="1:14" x14ac:dyDescent="0.3">
      <c r="A2212" s="15" t="str">
        <f>IF(COUNTA($B2212:$E2212,$K2212)=0,"",IF(AND($B2212&lt;&gt;"",$C2212&lt;&gt;"",$D2212&lt;&gt;"",$E2212&lt;&gt;""),"TXS"&amp;TEXT(COUNTIFS($B$2:$B2212,"&lt;&gt;",$C$2:$C2212,"&lt;&gt;",$D$2:$D2212,"&lt;&gt;",$E$2:$E2212,"&lt;&gt;"),"00000"),""))</f>
        <v/>
      </c>
      <c r="B2212" s="16"/>
      <c r="N2212" s="22"/>
    </row>
    <row r="2213" spans="1:14" x14ac:dyDescent="0.3">
      <c r="A2213" s="15" t="str">
        <f>IF(COUNTA($B2213:$E2213,$K2213)=0,"",IF(AND($B2213&lt;&gt;"",$C2213&lt;&gt;"",$D2213&lt;&gt;"",$E2213&lt;&gt;""),"TXS"&amp;TEXT(COUNTIFS($B$2:$B2213,"&lt;&gt;",$C$2:$C2213,"&lt;&gt;",$D$2:$D2213,"&lt;&gt;",$E$2:$E2213,"&lt;&gt;"),"00000"),""))</f>
        <v/>
      </c>
      <c r="B2213" s="16"/>
      <c r="N2213" s="22"/>
    </row>
    <row r="2214" spans="1:14" x14ac:dyDescent="0.3">
      <c r="A2214" s="15" t="str">
        <f>IF(COUNTA($B2214:$E2214,$K2214)=0,"",IF(AND($B2214&lt;&gt;"",$C2214&lt;&gt;"",$D2214&lt;&gt;"",$E2214&lt;&gt;""),"TXS"&amp;TEXT(COUNTIFS($B$2:$B2214,"&lt;&gt;",$C$2:$C2214,"&lt;&gt;",$D$2:$D2214,"&lt;&gt;",$E$2:$E2214,"&lt;&gt;"),"00000"),""))</f>
        <v/>
      </c>
      <c r="B2214" s="16"/>
      <c r="N2214" s="22"/>
    </row>
    <row r="2215" spans="1:14" x14ac:dyDescent="0.3">
      <c r="A2215" s="15" t="str">
        <f>IF(COUNTA($B2215:$E2215,$K2215)=0,"",IF(AND($B2215&lt;&gt;"",$C2215&lt;&gt;"",$D2215&lt;&gt;"",$E2215&lt;&gt;""),"TXS"&amp;TEXT(COUNTIFS($B$2:$B2215,"&lt;&gt;",$C$2:$C2215,"&lt;&gt;",$D$2:$D2215,"&lt;&gt;",$E$2:$E2215,"&lt;&gt;"),"00000"),""))</f>
        <v/>
      </c>
      <c r="B2215" s="16"/>
      <c r="N2215" s="22"/>
    </row>
    <row r="2216" spans="1:14" x14ac:dyDescent="0.3">
      <c r="A2216" s="15" t="str">
        <f>IF(COUNTA($B2216:$E2216,$K2216)=0,"",IF(AND($B2216&lt;&gt;"",$C2216&lt;&gt;"",$D2216&lt;&gt;"",$E2216&lt;&gt;""),"TXS"&amp;TEXT(COUNTIFS($B$2:$B2216,"&lt;&gt;",$C$2:$C2216,"&lt;&gt;",$D$2:$D2216,"&lt;&gt;",$E$2:$E2216,"&lt;&gt;"),"00000"),""))</f>
        <v/>
      </c>
      <c r="B2216" s="16"/>
      <c r="N2216" s="22"/>
    </row>
    <row r="2217" spans="1:14" x14ac:dyDescent="0.3">
      <c r="A2217" s="15" t="str">
        <f>IF(COUNTA($B2217:$E2217,$K2217)=0,"",IF(AND($B2217&lt;&gt;"",$C2217&lt;&gt;"",$D2217&lt;&gt;"",$E2217&lt;&gt;""),"TXS"&amp;TEXT(COUNTIFS($B$2:$B2217,"&lt;&gt;",$C$2:$C2217,"&lt;&gt;",$D$2:$D2217,"&lt;&gt;",$E$2:$E2217,"&lt;&gt;"),"00000"),""))</f>
        <v/>
      </c>
      <c r="B2217" s="16"/>
      <c r="N2217" s="22"/>
    </row>
    <row r="2218" spans="1:14" x14ac:dyDescent="0.3">
      <c r="A2218" s="15" t="str">
        <f>IF(COUNTA($B2218:$E2218,$K2218)=0,"",IF(AND($B2218&lt;&gt;"",$C2218&lt;&gt;"",$D2218&lt;&gt;"",$E2218&lt;&gt;""),"TXS"&amp;TEXT(COUNTIFS($B$2:$B2218,"&lt;&gt;",$C$2:$C2218,"&lt;&gt;",$D$2:$D2218,"&lt;&gt;",$E$2:$E2218,"&lt;&gt;"),"00000"),""))</f>
        <v/>
      </c>
      <c r="B2218" s="16"/>
      <c r="N2218" s="22"/>
    </row>
    <row r="2219" spans="1:14" x14ac:dyDescent="0.3">
      <c r="A2219" s="15" t="str">
        <f>IF(COUNTA($B2219:$E2219,$K2219)=0,"",IF(AND($B2219&lt;&gt;"",$C2219&lt;&gt;"",$D2219&lt;&gt;"",$E2219&lt;&gt;""),"TXS"&amp;TEXT(COUNTIFS($B$2:$B2219,"&lt;&gt;",$C$2:$C2219,"&lt;&gt;",$D$2:$D2219,"&lt;&gt;",$E$2:$E2219,"&lt;&gt;"),"00000"),""))</f>
        <v/>
      </c>
      <c r="B2219" s="16"/>
      <c r="N2219" s="22"/>
    </row>
    <row r="2220" spans="1:14" x14ac:dyDescent="0.3">
      <c r="A2220" s="15" t="str">
        <f>IF(COUNTA($B2220:$E2220,$K2220)=0,"",IF(AND($B2220&lt;&gt;"",$C2220&lt;&gt;"",$D2220&lt;&gt;"",$E2220&lt;&gt;""),"TXS"&amp;TEXT(COUNTIFS($B$2:$B2220,"&lt;&gt;",$C$2:$C2220,"&lt;&gt;",$D$2:$D2220,"&lt;&gt;",$E$2:$E2220,"&lt;&gt;"),"00000"),""))</f>
        <v/>
      </c>
      <c r="B2220" s="16"/>
      <c r="N2220" s="22"/>
    </row>
    <row r="2221" spans="1:14" x14ac:dyDescent="0.3">
      <c r="A2221" s="15" t="str">
        <f>IF(COUNTA($B2221:$E2221,$K2221)=0,"",IF(AND($B2221&lt;&gt;"",$C2221&lt;&gt;"",$D2221&lt;&gt;"",$E2221&lt;&gt;""),"TXS"&amp;TEXT(COUNTIFS($B$2:$B2221,"&lt;&gt;",$C$2:$C2221,"&lt;&gt;",$D$2:$D2221,"&lt;&gt;",$E$2:$E2221,"&lt;&gt;"),"00000"),""))</f>
        <v/>
      </c>
      <c r="B2221" s="16"/>
      <c r="N2221" s="22"/>
    </row>
    <row r="2222" spans="1:14" x14ac:dyDescent="0.3">
      <c r="A2222" s="15" t="str">
        <f>IF(COUNTA($B2222:$E2222,$K2222)=0,"",IF(AND($B2222&lt;&gt;"",$C2222&lt;&gt;"",$D2222&lt;&gt;"",$E2222&lt;&gt;""),"TXS"&amp;TEXT(COUNTIFS($B$2:$B2222,"&lt;&gt;",$C$2:$C2222,"&lt;&gt;",$D$2:$D2222,"&lt;&gt;",$E$2:$E2222,"&lt;&gt;"),"00000"),""))</f>
        <v/>
      </c>
      <c r="B2222" s="16"/>
      <c r="N2222" s="22"/>
    </row>
    <row r="2223" spans="1:14" x14ac:dyDescent="0.3">
      <c r="A2223" s="15" t="str">
        <f>IF(COUNTA($B2223:$E2223,$K2223)=0,"",IF(AND($B2223&lt;&gt;"",$C2223&lt;&gt;"",$D2223&lt;&gt;"",$E2223&lt;&gt;""),"TXS"&amp;TEXT(COUNTIFS($B$2:$B2223,"&lt;&gt;",$C$2:$C2223,"&lt;&gt;",$D$2:$D2223,"&lt;&gt;",$E$2:$E2223,"&lt;&gt;"),"00000"),""))</f>
        <v/>
      </c>
      <c r="B2223" s="16"/>
      <c r="N2223" s="22"/>
    </row>
    <row r="2224" spans="1:14" x14ac:dyDescent="0.3">
      <c r="A2224" s="15" t="str">
        <f>IF(COUNTA($B2224:$E2224,$K2224)=0,"",IF(AND($B2224&lt;&gt;"",$C2224&lt;&gt;"",$D2224&lt;&gt;"",$E2224&lt;&gt;""),"TXS"&amp;TEXT(COUNTIFS($B$2:$B2224,"&lt;&gt;",$C$2:$C2224,"&lt;&gt;",$D$2:$D2224,"&lt;&gt;",$E$2:$E2224,"&lt;&gt;"),"00000"),""))</f>
        <v/>
      </c>
      <c r="B2224" s="16"/>
      <c r="N2224" s="22"/>
    </row>
    <row r="2225" spans="1:14" x14ac:dyDescent="0.3">
      <c r="A2225" s="15" t="str">
        <f>IF(COUNTA($B2225:$E2225,$K2225)=0,"",IF(AND($B2225&lt;&gt;"",$C2225&lt;&gt;"",$D2225&lt;&gt;"",$E2225&lt;&gt;""),"TXS"&amp;TEXT(COUNTIFS($B$2:$B2225,"&lt;&gt;",$C$2:$C2225,"&lt;&gt;",$D$2:$D2225,"&lt;&gt;",$E$2:$E2225,"&lt;&gt;"),"00000"),""))</f>
        <v/>
      </c>
      <c r="B2225" s="16"/>
      <c r="N2225" s="22"/>
    </row>
    <row r="2226" spans="1:14" x14ac:dyDescent="0.3">
      <c r="A2226" s="15" t="str">
        <f>IF(COUNTA($B2226:$E2226,$K2226)=0,"",IF(AND($B2226&lt;&gt;"",$C2226&lt;&gt;"",$D2226&lt;&gt;"",$E2226&lt;&gt;""),"TXS"&amp;TEXT(COUNTIFS($B$2:$B2226,"&lt;&gt;",$C$2:$C2226,"&lt;&gt;",$D$2:$D2226,"&lt;&gt;",$E$2:$E2226,"&lt;&gt;"),"00000"),""))</f>
        <v/>
      </c>
      <c r="B2226" s="16"/>
      <c r="N2226" s="22"/>
    </row>
    <row r="2227" spans="1:14" x14ac:dyDescent="0.3">
      <c r="A2227" s="15" t="str">
        <f>IF(COUNTA($B2227:$E2227,$K2227)=0,"",IF(AND($B2227&lt;&gt;"",$C2227&lt;&gt;"",$D2227&lt;&gt;"",$E2227&lt;&gt;""),"TXS"&amp;TEXT(COUNTIFS($B$2:$B2227,"&lt;&gt;",$C$2:$C2227,"&lt;&gt;",$D$2:$D2227,"&lt;&gt;",$E$2:$E2227,"&lt;&gt;"),"00000"),""))</f>
        <v/>
      </c>
      <c r="B2227" s="16"/>
      <c r="N2227" s="22"/>
    </row>
    <row r="2228" spans="1:14" x14ac:dyDescent="0.3">
      <c r="A2228" s="15" t="str">
        <f>IF(COUNTA($B2228:$E2228,$K2228)=0,"",IF(AND($B2228&lt;&gt;"",$C2228&lt;&gt;"",$D2228&lt;&gt;"",$E2228&lt;&gt;""),"TXS"&amp;TEXT(COUNTIFS($B$2:$B2228,"&lt;&gt;",$C$2:$C2228,"&lt;&gt;",$D$2:$D2228,"&lt;&gt;",$E$2:$E2228,"&lt;&gt;"),"00000"),""))</f>
        <v/>
      </c>
      <c r="B2228" s="16"/>
      <c r="N2228" s="22"/>
    </row>
    <row r="2229" spans="1:14" x14ac:dyDescent="0.3">
      <c r="A2229" s="15" t="str">
        <f>IF(COUNTA($B2229:$E2229,$K2229)=0,"",IF(AND($B2229&lt;&gt;"",$C2229&lt;&gt;"",$D2229&lt;&gt;"",$E2229&lt;&gt;""),"TXS"&amp;TEXT(COUNTIFS($B$2:$B2229,"&lt;&gt;",$C$2:$C2229,"&lt;&gt;",$D$2:$D2229,"&lt;&gt;",$E$2:$E2229,"&lt;&gt;"),"00000"),""))</f>
        <v/>
      </c>
      <c r="B2229" s="16"/>
      <c r="N2229" s="22"/>
    </row>
    <row r="2230" spans="1:14" x14ac:dyDescent="0.3">
      <c r="A2230" s="15" t="str">
        <f>IF(COUNTA($B2230:$E2230,$K2230)=0,"",IF(AND($B2230&lt;&gt;"",$C2230&lt;&gt;"",$D2230&lt;&gt;"",$E2230&lt;&gt;""),"TXS"&amp;TEXT(COUNTIFS($B$2:$B2230,"&lt;&gt;",$C$2:$C2230,"&lt;&gt;",$D$2:$D2230,"&lt;&gt;",$E$2:$E2230,"&lt;&gt;"),"00000"),""))</f>
        <v/>
      </c>
      <c r="B2230" s="16"/>
      <c r="N2230" s="22"/>
    </row>
    <row r="2231" spans="1:14" x14ac:dyDescent="0.3">
      <c r="A2231" s="15" t="str">
        <f>IF(COUNTA($B2231:$E2231,$K2231)=0,"",IF(AND($B2231&lt;&gt;"",$C2231&lt;&gt;"",$D2231&lt;&gt;"",$E2231&lt;&gt;""),"TXS"&amp;TEXT(COUNTIFS($B$2:$B2231,"&lt;&gt;",$C$2:$C2231,"&lt;&gt;",$D$2:$D2231,"&lt;&gt;",$E$2:$E2231,"&lt;&gt;"),"00000"),""))</f>
        <v/>
      </c>
      <c r="B2231" s="16"/>
      <c r="N2231" s="22"/>
    </row>
    <row r="2232" spans="1:14" x14ac:dyDescent="0.3">
      <c r="A2232" s="15" t="str">
        <f>IF(COUNTA($B2232:$E2232,$K2232)=0,"",IF(AND($B2232&lt;&gt;"",$C2232&lt;&gt;"",$D2232&lt;&gt;"",$E2232&lt;&gt;""),"TXS"&amp;TEXT(COUNTIFS($B$2:$B2232,"&lt;&gt;",$C$2:$C2232,"&lt;&gt;",$D$2:$D2232,"&lt;&gt;",$E$2:$E2232,"&lt;&gt;"),"00000"),""))</f>
        <v/>
      </c>
      <c r="B2232" s="16"/>
      <c r="N2232" s="22"/>
    </row>
    <row r="2233" spans="1:14" x14ac:dyDescent="0.3">
      <c r="A2233" s="15" t="str">
        <f>IF(COUNTA($B2233:$E2233,$K2233)=0,"",IF(AND($B2233&lt;&gt;"",$C2233&lt;&gt;"",$D2233&lt;&gt;"",$E2233&lt;&gt;""),"TXS"&amp;TEXT(COUNTIFS($B$2:$B2233,"&lt;&gt;",$C$2:$C2233,"&lt;&gt;",$D$2:$D2233,"&lt;&gt;",$E$2:$E2233,"&lt;&gt;"),"00000"),""))</f>
        <v/>
      </c>
      <c r="B2233" s="16"/>
      <c r="N2233" s="22"/>
    </row>
    <row r="2234" spans="1:14" x14ac:dyDescent="0.3">
      <c r="A2234" s="15" t="str">
        <f>IF(COUNTA($B2234:$E2234,$K2234)=0,"",IF(AND($B2234&lt;&gt;"",$C2234&lt;&gt;"",$D2234&lt;&gt;"",$E2234&lt;&gt;""),"TXS"&amp;TEXT(COUNTIFS($B$2:$B2234,"&lt;&gt;",$C$2:$C2234,"&lt;&gt;",$D$2:$D2234,"&lt;&gt;",$E$2:$E2234,"&lt;&gt;"),"00000"),""))</f>
        <v/>
      </c>
      <c r="B2234" s="16"/>
      <c r="N2234" s="22"/>
    </row>
    <row r="2235" spans="1:14" x14ac:dyDescent="0.3">
      <c r="A2235" s="15" t="str">
        <f>IF(COUNTA($B2235:$E2235,$K2235)=0,"",IF(AND($B2235&lt;&gt;"",$C2235&lt;&gt;"",$D2235&lt;&gt;"",$E2235&lt;&gt;""),"TXS"&amp;TEXT(COUNTIFS($B$2:$B2235,"&lt;&gt;",$C$2:$C2235,"&lt;&gt;",$D$2:$D2235,"&lt;&gt;",$E$2:$E2235,"&lt;&gt;"),"00000"),""))</f>
        <v/>
      </c>
      <c r="B2235" s="16"/>
      <c r="N2235" s="22"/>
    </row>
    <row r="2236" spans="1:14" x14ac:dyDescent="0.3">
      <c r="A2236" s="15" t="str">
        <f>IF(COUNTA($B2236:$E2236,$K2236)=0,"",IF(AND($B2236&lt;&gt;"",$C2236&lt;&gt;"",$D2236&lt;&gt;"",$E2236&lt;&gt;""),"TXS"&amp;TEXT(COUNTIFS($B$2:$B2236,"&lt;&gt;",$C$2:$C2236,"&lt;&gt;",$D$2:$D2236,"&lt;&gt;",$E$2:$E2236,"&lt;&gt;"),"00000"),""))</f>
        <v/>
      </c>
      <c r="B2236" s="16"/>
      <c r="N2236" s="22"/>
    </row>
    <row r="2237" spans="1:14" x14ac:dyDescent="0.3">
      <c r="A2237" s="15" t="str">
        <f>IF(COUNTA($B2237:$E2237,$K2237)=0,"",IF(AND($B2237&lt;&gt;"",$C2237&lt;&gt;"",$D2237&lt;&gt;"",$E2237&lt;&gt;""),"TXS"&amp;TEXT(COUNTIFS($B$2:$B2237,"&lt;&gt;",$C$2:$C2237,"&lt;&gt;",$D$2:$D2237,"&lt;&gt;",$E$2:$E2237,"&lt;&gt;"),"00000"),""))</f>
        <v/>
      </c>
      <c r="B2237" s="16"/>
      <c r="N2237" s="22"/>
    </row>
    <row r="2238" spans="1:14" x14ac:dyDescent="0.3">
      <c r="A2238" s="15" t="str">
        <f>IF(COUNTA($B2238:$E2238,$K2238)=0,"",IF(AND($B2238&lt;&gt;"",$C2238&lt;&gt;"",$D2238&lt;&gt;"",$E2238&lt;&gt;""),"TXS"&amp;TEXT(COUNTIFS($B$2:$B2238,"&lt;&gt;",$C$2:$C2238,"&lt;&gt;",$D$2:$D2238,"&lt;&gt;",$E$2:$E2238,"&lt;&gt;"),"00000"),""))</f>
        <v/>
      </c>
      <c r="B2238" s="16"/>
      <c r="N2238" s="22"/>
    </row>
    <row r="2239" spans="1:14" x14ac:dyDescent="0.3">
      <c r="A2239" s="15" t="str">
        <f>IF(COUNTA($B2239:$E2239,$K2239)=0,"",IF(AND($B2239&lt;&gt;"",$C2239&lt;&gt;"",$D2239&lt;&gt;"",$E2239&lt;&gt;""),"TXS"&amp;TEXT(COUNTIFS($B$2:$B2239,"&lt;&gt;",$C$2:$C2239,"&lt;&gt;",$D$2:$D2239,"&lt;&gt;",$E$2:$E2239,"&lt;&gt;"),"00000"),""))</f>
        <v/>
      </c>
      <c r="B2239" s="16"/>
      <c r="N2239" s="22"/>
    </row>
    <row r="2240" spans="1:14" x14ac:dyDescent="0.3">
      <c r="A2240" s="15" t="str">
        <f>IF(COUNTA($B2240:$E2240,$K2240)=0,"",IF(AND($B2240&lt;&gt;"",$C2240&lt;&gt;"",$D2240&lt;&gt;"",$E2240&lt;&gt;""),"TXS"&amp;TEXT(COUNTIFS($B$2:$B2240,"&lt;&gt;",$C$2:$C2240,"&lt;&gt;",$D$2:$D2240,"&lt;&gt;",$E$2:$E2240,"&lt;&gt;"),"00000"),""))</f>
        <v/>
      </c>
      <c r="B2240" s="16"/>
      <c r="N2240" s="22"/>
    </row>
    <row r="2241" spans="1:14" x14ac:dyDescent="0.3">
      <c r="A2241" s="15" t="str">
        <f>IF(COUNTA($B2241:$E2241,$K2241)=0,"",IF(AND($B2241&lt;&gt;"",$C2241&lt;&gt;"",$D2241&lt;&gt;"",$E2241&lt;&gt;""),"TXS"&amp;TEXT(COUNTIFS($B$2:$B2241,"&lt;&gt;",$C$2:$C2241,"&lt;&gt;",$D$2:$D2241,"&lt;&gt;",$E$2:$E2241,"&lt;&gt;"),"00000"),""))</f>
        <v/>
      </c>
      <c r="B2241" s="16"/>
      <c r="N2241" s="22"/>
    </row>
    <row r="2242" spans="1:14" x14ac:dyDescent="0.3">
      <c r="A2242" s="15" t="str">
        <f>IF(COUNTA($B2242:$E2242,$K2242)=0,"",IF(AND($B2242&lt;&gt;"",$C2242&lt;&gt;"",$D2242&lt;&gt;"",$E2242&lt;&gt;""),"TXS"&amp;TEXT(COUNTIFS($B$2:$B2242,"&lt;&gt;",$C$2:$C2242,"&lt;&gt;",$D$2:$D2242,"&lt;&gt;",$E$2:$E2242,"&lt;&gt;"),"00000"),""))</f>
        <v/>
      </c>
      <c r="B2242" s="16"/>
      <c r="N2242" s="22"/>
    </row>
    <row r="2243" spans="1:14" x14ac:dyDescent="0.3">
      <c r="A2243" s="15" t="str">
        <f>IF(COUNTA($B2243:$E2243,$K2243)=0,"",IF(AND($B2243&lt;&gt;"",$C2243&lt;&gt;"",$D2243&lt;&gt;"",$E2243&lt;&gt;""),"TXS"&amp;TEXT(COUNTIFS($B$2:$B2243,"&lt;&gt;",$C$2:$C2243,"&lt;&gt;",$D$2:$D2243,"&lt;&gt;",$E$2:$E2243,"&lt;&gt;"),"00000"),""))</f>
        <v/>
      </c>
      <c r="B2243" s="16"/>
      <c r="N2243" s="22"/>
    </row>
    <row r="2244" spans="1:14" x14ac:dyDescent="0.3">
      <c r="A2244" s="15" t="str">
        <f>IF(COUNTA($B2244:$E2244,$K2244)=0,"",IF(AND($B2244&lt;&gt;"",$C2244&lt;&gt;"",$D2244&lt;&gt;"",$E2244&lt;&gt;""),"TXS"&amp;TEXT(COUNTIFS($B$2:$B2244,"&lt;&gt;",$C$2:$C2244,"&lt;&gt;",$D$2:$D2244,"&lt;&gt;",$E$2:$E2244,"&lt;&gt;"),"00000"),""))</f>
        <v/>
      </c>
      <c r="B2244" s="16"/>
      <c r="N2244" s="22"/>
    </row>
    <row r="2245" spans="1:14" x14ac:dyDescent="0.3">
      <c r="A2245" s="15" t="str">
        <f>IF(COUNTA($B2245:$E2245,$K2245)=0,"",IF(AND($B2245&lt;&gt;"",$C2245&lt;&gt;"",$D2245&lt;&gt;"",$E2245&lt;&gt;""),"TXS"&amp;TEXT(COUNTIFS($B$2:$B2245,"&lt;&gt;",$C$2:$C2245,"&lt;&gt;",$D$2:$D2245,"&lt;&gt;",$E$2:$E2245,"&lt;&gt;"),"00000"),""))</f>
        <v/>
      </c>
      <c r="B2245" s="16"/>
      <c r="N2245" s="22"/>
    </row>
    <row r="2246" spans="1:14" x14ac:dyDescent="0.3">
      <c r="A2246" s="15" t="str">
        <f>IF(COUNTA($B2246:$E2246,$K2246)=0,"",IF(AND($B2246&lt;&gt;"",$C2246&lt;&gt;"",$D2246&lt;&gt;"",$E2246&lt;&gt;""),"TXS"&amp;TEXT(COUNTIFS($B$2:$B2246,"&lt;&gt;",$C$2:$C2246,"&lt;&gt;",$D$2:$D2246,"&lt;&gt;",$E$2:$E2246,"&lt;&gt;"),"00000"),""))</f>
        <v/>
      </c>
      <c r="B2246" s="16"/>
      <c r="N2246" s="22"/>
    </row>
    <row r="2247" spans="1:14" x14ac:dyDescent="0.3">
      <c r="A2247" s="15" t="str">
        <f>IF(COUNTA($B2247:$E2247,$K2247)=0,"",IF(AND($B2247&lt;&gt;"",$C2247&lt;&gt;"",$D2247&lt;&gt;"",$E2247&lt;&gt;""),"TXS"&amp;TEXT(COUNTIFS($B$2:$B2247,"&lt;&gt;",$C$2:$C2247,"&lt;&gt;",$D$2:$D2247,"&lt;&gt;",$E$2:$E2247,"&lt;&gt;"),"00000"),""))</f>
        <v/>
      </c>
      <c r="B2247" s="16"/>
      <c r="N2247" s="22"/>
    </row>
    <row r="2248" spans="1:14" x14ac:dyDescent="0.3">
      <c r="A2248" s="15" t="str">
        <f>IF(COUNTA($B2248:$E2248,$K2248)=0,"",IF(AND($B2248&lt;&gt;"",$C2248&lt;&gt;"",$D2248&lt;&gt;"",$E2248&lt;&gt;""),"TXS"&amp;TEXT(COUNTIFS($B$2:$B2248,"&lt;&gt;",$C$2:$C2248,"&lt;&gt;",$D$2:$D2248,"&lt;&gt;",$E$2:$E2248,"&lt;&gt;"),"00000"),""))</f>
        <v/>
      </c>
      <c r="B2248" s="16"/>
      <c r="N2248" s="22"/>
    </row>
    <row r="2249" spans="1:14" x14ac:dyDescent="0.3">
      <c r="A2249" s="15" t="str">
        <f>IF(COUNTA($B2249:$E2249,$K2249)=0,"",IF(AND($B2249&lt;&gt;"",$C2249&lt;&gt;"",$D2249&lt;&gt;"",$E2249&lt;&gt;""),"TXS"&amp;TEXT(COUNTIFS($B$2:$B2249,"&lt;&gt;",$C$2:$C2249,"&lt;&gt;",$D$2:$D2249,"&lt;&gt;",$E$2:$E2249,"&lt;&gt;"),"00000"),""))</f>
        <v/>
      </c>
      <c r="B2249" s="16"/>
      <c r="N2249" s="22"/>
    </row>
    <row r="2250" spans="1:14" x14ac:dyDescent="0.3">
      <c r="A2250" s="15" t="str">
        <f>IF(COUNTA($B2250:$E2250,$K2250)=0,"",IF(AND($B2250&lt;&gt;"",$C2250&lt;&gt;"",$D2250&lt;&gt;"",$E2250&lt;&gt;""),"TXS"&amp;TEXT(COUNTIFS($B$2:$B2250,"&lt;&gt;",$C$2:$C2250,"&lt;&gt;",$D$2:$D2250,"&lt;&gt;",$E$2:$E2250,"&lt;&gt;"),"00000"),""))</f>
        <v/>
      </c>
      <c r="B2250" s="16"/>
      <c r="N2250" s="22"/>
    </row>
    <row r="2251" spans="1:14" x14ac:dyDescent="0.3">
      <c r="A2251" s="15" t="str">
        <f>IF(COUNTA($B2251:$E2251,$K2251)=0,"",IF(AND($B2251&lt;&gt;"",$C2251&lt;&gt;"",$D2251&lt;&gt;"",$E2251&lt;&gt;""),"TXS"&amp;TEXT(COUNTIFS($B$2:$B2251,"&lt;&gt;",$C$2:$C2251,"&lt;&gt;",$D$2:$D2251,"&lt;&gt;",$E$2:$E2251,"&lt;&gt;"),"00000"),""))</f>
        <v/>
      </c>
      <c r="B2251" s="16"/>
      <c r="N2251" s="22"/>
    </row>
    <row r="2252" spans="1:14" x14ac:dyDescent="0.3">
      <c r="A2252" s="15" t="str">
        <f>IF(COUNTA($B2252:$E2252,$K2252)=0,"",IF(AND($B2252&lt;&gt;"",$C2252&lt;&gt;"",$D2252&lt;&gt;"",$E2252&lt;&gt;""),"TXS"&amp;TEXT(COUNTIFS($B$2:$B2252,"&lt;&gt;",$C$2:$C2252,"&lt;&gt;",$D$2:$D2252,"&lt;&gt;",$E$2:$E2252,"&lt;&gt;"),"00000"),""))</f>
        <v/>
      </c>
      <c r="B2252" s="16"/>
      <c r="N2252" s="22"/>
    </row>
    <row r="2253" spans="1:14" x14ac:dyDescent="0.3">
      <c r="A2253" s="15" t="str">
        <f>IF(COUNTA($B2253:$E2253,$K2253)=0,"",IF(AND($B2253&lt;&gt;"",$C2253&lt;&gt;"",$D2253&lt;&gt;"",$E2253&lt;&gt;""),"TXS"&amp;TEXT(COUNTIFS($B$2:$B2253,"&lt;&gt;",$C$2:$C2253,"&lt;&gt;",$D$2:$D2253,"&lt;&gt;",$E$2:$E2253,"&lt;&gt;"),"00000"),""))</f>
        <v/>
      </c>
      <c r="B2253" s="16"/>
      <c r="N2253" s="22"/>
    </row>
    <row r="2254" spans="1:14" x14ac:dyDescent="0.3">
      <c r="A2254" s="15" t="str">
        <f>IF(COUNTA($B2254:$E2254,$K2254)=0,"",IF(AND($B2254&lt;&gt;"",$C2254&lt;&gt;"",$D2254&lt;&gt;"",$E2254&lt;&gt;""),"TXS"&amp;TEXT(COUNTIFS($B$2:$B2254,"&lt;&gt;",$C$2:$C2254,"&lt;&gt;",$D$2:$D2254,"&lt;&gt;",$E$2:$E2254,"&lt;&gt;"),"00000"),""))</f>
        <v/>
      </c>
      <c r="B2254" s="16"/>
      <c r="N2254" s="22"/>
    </row>
    <row r="2255" spans="1:14" x14ac:dyDescent="0.3">
      <c r="A2255" s="15" t="str">
        <f>IF(COUNTA($B2255:$E2255,$K2255)=0,"",IF(AND($B2255&lt;&gt;"",$C2255&lt;&gt;"",$D2255&lt;&gt;"",$E2255&lt;&gt;""),"TXS"&amp;TEXT(COUNTIFS($B$2:$B2255,"&lt;&gt;",$C$2:$C2255,"&lt;&gt;",$D$2:$D2255,"&lt;&gt;",$E$2:$E2255,"&lt;&gt;"),"00000"),""))</f>
        <v/>
      </c>
      <c r="B2255" s="16"/>
      <c r="N2255" s="22"/>
    </row>
    <row r="2256" spans="1:14" x14ac:dyDescent="0.3">
      <c r="A2256" s="15" t="str">
        <f>IF(COUNTA($B2256:$E2256,$K2256)=0,"",IF(AND($B2256&lt;&gt;"",$C2256&lt;&gt;"",$D2256&lt;&gt;"",$E2256&lt;&gt;""),"TXS"&amp;TEXT(COUNTIFS($B$2:$B2256,"&lt;&gt;",$C$2:$C2256,"&lt;&gt;",$D$2:$D2256,"&lt;&gt;",$E$2:$E2256,"&lt;&gt;"),"00000"),""))</f>
        <v/>
      </c>
      <c r="B2256" s="16"/>
      <c r="N2256" s="22"/>
    </row>
    <row r="2257" spans="1:14" x14ac:dyDescent="0.3">
      <c r="A2257" s="15" t="str">
        <f>IF(COUNTA($B2257:$E2257,$K2257)=0,"",IF(AND($B2257&lt;&gt;"",$C2257&lt;&gt;"",$D2257&lt;&gt;"",$E2257&lt;&gt;""),"TXS"&amp;TEXT(COUNTIFS($B$2:$B2257,"&lt;&gt;",$C$2:$C2257,"&lt;&gt;",$D$2:$D2257,"&lt;&gt;",$E$2:$E2257,"&lt;&gt;"),"00000"),""))</f>
        <v/>
      </c>
      <c r="B2257" s="16"/>
      <c r="N2257" s="22"/>
    </row>
    <row r="2258" spans="1:14" x14ac:dyDescent="0.3">
      <c r="A2258" s="15" t="str">
        <f>IF(COUNTA($B2258:$E2258,$K2258)=0,"",IF(AND($B2258&lt;&gt;"",$C2258&lt;&gt;"",$D2258&lt;&gt;"",$E2258&lt;&gt;""),"TXS"&amp;TEXT(COUNTIFS($B$2:$B2258,"&lt;&gt;",$C$2:$C2258,"&lt;&gt;",$D$2:$D2258,"&lt;&gt;",$E$2:$E2258,"&lt;&gt;"),"00000"),""))</f>
        <v/>
      </c>
      <c r="B2258" s="16"/>
      <c r="N2258" s="22"/>
    </row>
    <row r="2259" spans="1:14" x14ac:dyDescent="0.3">
      <c r="A2259" s="15" t="str">
        <f>IF(COUNTA($B2259:$E2259,$K2259)=0,"",IF(AND($B2259&lt;&gt;"",$C2259&lt;&gt;"",$D2259&lt;&gt;"",$E2259&lt;&gt;""),"TXS"&amp;TEXT(COUNTIFS($B$2:$B2259,"&lt;&gt;",$C$2:$C2259,"&lt;&gt;",$D$2:$D2259,"&lt;&gt;",$E$2:$E2259,"&lt;&gt;"),"00000"),""))</f>
        <v/>
      </c>
      <c r="B2259" s="16"/>
      <c r="N2259" s="22"/>
    </row>
    <row r="2260" spans="1:14" x14ac:dyDescent="0.3">
      <c r="A2260" s="15" t="str">
        <f>IF(COUNTA($B2260:$E2260,$K2260)=0,"",IF(AND($B2260&lt;&gt;"",$C2260&lt;&gt;"",$D2260&lt;&gt;"",$E2260&lt;&gt;""),"TXS"&amp;TEXT(COUNTIFS($B$2:$B2260,"&lt;&gt;",$C$2:$C2260,"&lt;&gt;",$D$2:$D2260,"&lt;&gt;",$E$2:$E2260,"&lt;&gt;"),"00000"),""))</f>
        <v/>
      </c>
      <c r="B2260" s="16"/>
      <c r="N2260" s="22"/>
    </row>
    <row r="2261" spans="1:14" x14ac:dyDescent="0.3">
      <c r="A2261" s="15" t="str">
        <f>IF(COUNTA($B2261:$E2261,$K2261)=0,"",IF(AND($B2261&lt;&gt;"",$C2261&lt;&gt;"",$D2261&lt;&gt;"",$E2261&lt;&gt;""),"TXS"&amp;TEXT(COUNTIFS($B$2:$B2261,"&lt;&gt;",$C$2:$C2261,"&lt;&gt;",$D$2:$D2261,"&lt;&gt;",$E$2:$E2261,"&lt;&gt;"),"00000"),""))</f>
        <v/>
      </c>
      <c r="B2261" s="16"/>
      <c r="N2261" s="22"/>
    </row>
    <row r="2262" spans="1:14" x14ac:dyDescent="0.3">
      <c r="A2262" s="15" t="str">
        <f>IF(COUNTA($B2262:$E2262,$K2262)=0,"",IF(AND($B2262&lt;&gt;"",$C2262&lt;&gt;"",$D2262&lt;&gt;"",$E2262&lt;&gt;""),"TXS"&amp;TEXT(COUNTIFS($B$2:$B2262,"&lt;&gt;",$C$2:$C2262,"&lt;&gt;",$D$2:$D2262,"&lt;&gt;",$E$2:$E2262,"&lt;&gt;"),"00000"),""))</f>
        <v/>
      </c>
      <c r="B2262" s="16"/>
      <c r="N2262" s="22"/>
    </row>
    <row r="2263" spans="1:14" x14ac:dyDescent="0.3">
      <c r="A2263" s="15" t="str">
        <f>IF(COUNTA($B2263:$E2263,$K2263)=0,"",IF(AND($B2263&lt;&gt;"",$C2263&lt;&gt;"",$D2263&lt;&gt;"",$E2263&lt;&gt;""),"TXS"&amp;TEXT(COUNTIFS($B$2:$B2263,"&lt;&gt;",$C$2:$C2263,"&lt;&gt;",$D$2:$D2263,"&lt;&gt;",$E$2:$E2263,"&lt;&gt;"),"00000"),""))</f>
        <v/>
      </c>
      <c r="B2263" s="16"/>
      <c r="N2263" s="22"/>
    </row>
    <row r="2264" spans="1:14" x14ac:dyDescent="0.3">
      <c r="A2264" s="15" t="str">
        <f>IF(COUNTA($B2264:$E2264,$K2264)=0,"",IF(AND($B2264&lt;&gt;"",$C2264&lt;&gt;"",$D2264&lt;&gt;"",$E2264&lt;&gt;""),"TXS"&amp;TEXT(COUNTIFS($B$2:$B2264,"&lt;&gt;",$C$2:$C2264,"&lt;&gt;",$D$2:$D2264,"&lt;&gt;",$E$2:$E2264,"&lt;&gt;"),"00000"),""))</f>
        <v/>
      </c>
      <c r="B2264" s="16"/>
      <c r="N2264" s="22"/>
    </row>
    <row r="2265" spans="1:14" x14ac:dyDescent="0.3">
      <c r="A2265" s="15" t="str">
        <f>IF(COUNTA($B2265:$E2265,$K2265)=0,"",IF(AND($B2265&lt;&gt;"",$C2265&lt;&gt;"",$D2265&lt;&gt;"",$E2265&lt;&gt;""),"TXS"&amp;TEXT(COUNTIFS($B$2:$B2265,"&lt;&gt;",$C$2:$C2265,"&lt;&gt;",$D$2:$D2265,"&lt;&gt;",$E$2:$E2265,"&lt;&gt;"),"00000"),""))</f>
        <v/>
      </c>
      <c r="B2265" s="16"/>
      <c r="N2265" s="22"/>
    </row>
    <row r="2266" spans="1:14" x14ac:dyDescent="0.3">
      <c r="A2266" s="15" t="str">
        <f>IF(COUNTA($B2266:$E2266,$K2266)=0,"",IF(AND($B2266&lt;&gt;"",$C2266&lt;&gt;"",$D2266&lt;&gt;"",$E2266&lt;&gt;""),"TXS"&amp;TEXT(COUNTIFS($B$2:$B2266,"&lt;&gt;",$C$2:$C2266,"&lt;&gt;",$D$2:$D2266,"&lt;&gt;",$E$2:$E2266,"&lt;&gt;"),"00000"),""))</f>
        <v/>
      </c>
      <c r="B2266" s="16"/>
      <c r="N2266" s="22"/>
    </row>
    <row r="2267" spans="1:14" x14ac:dyDescent="0.3">
      <c r="A2267" s="15" t="str">
        <f>IF(COUNTA($B2267:$E2267,$K2267)=0,"",IF(AND($B2267&lt;&gt;"",$C2267&lt;&gt;"",$D2267&lt;&gt;"",$E2267&lt;&gt;""),"TXS"&amp;TEXT(COUNTIFS($B$2:$B2267,"&lt;&gt;",$C$2:$C2267,"&lt;&gt;",$D$2:$D2267,"&lt;&gt;",$E$2:$E2267,"&lt;&gt;"),"00000"),""))</f>
        <v/>
      </c>
      <c r="B2267" s="16"/>
      <c r="N2267" s="22"/>
    </row>
    <row r="2268" spans="1:14" x14ac:dyDescent="0.3">
      <c r="A2268" s="15" t="str">
        <f>IF(COUNTA($B2268:$E2268,$K2268)=0,"",IF(AND($B2268&lt;&gt;"",$C2268&lt;&gt;"",$D2268&lt;&gt;"",$E2268&lt;&gt;""),"TXS"&amp;TEXT(COUNTIFS($B$2:$B2268,"&lt;&gt;",$C$2:$C2268,"&lt;&gt;",$D$2:$D2268,"&lt;&gt;",$E$2:$E2268,"&lt;&gt;"),"00000"),""))</f>
        <v/>
      </c>
      <c r="B2268" s="16"/>
      <c r="N2268" s="22"/>
    </row>
    <row r="2269" spans="1:14" x14ac:dyDescent="0.3">
      <c r="A2269" s="15" t="str">
        <f>IF(COUNTA($B2269:$E2269,$K2269)=0,"",IF(AND($B2269&lt;&gt;"",$C2269&lt;&gt;"",$D2269&lt;&gt;"",$E2269&lt;&gt;""),"TXS"&amp;TEXT(COUNTIFS($B$2:$B2269,"&lt;&gt;",$C$2:$C2269,"&lt;&gt;",$D$2:$D2269,"&lt;&gt;",$E$2:$E2269,"&lt;&gt;"),"00000"),""))</f>
        <v/>
      </c>
      <c r="B2269" s="16"/>
      <c r="N2269" s="22"/>
    </row>
    <row r="2270" spans="1:14" x14ac:dyDescent="0.3">
      <c r="A2270" s="15" t="str">
        <f>IF(COUNTA($B2270:$E2270,$K2270)=0,"",IF(AND($B2270&lt;&gt;"",$C2270&lt;&gt;"",$D2270&lt;&gt;"",$E2270&lt;&gt;""),"TXS"&amp;TEXT(COUNTIFS($B$2:$B2270,"&lt;&gt;",$C$2:$C2270,"&lt;&gt;",$D$2:$D2270,"&lt;&gt;",$E$2:$E2270,"&lt;&gt;"),"00000"),""))</f>
        <v/>
      </c>
      <c r="B2270" s="16"/>
      <c r="N2270" s="22"/>
    </row>
    <row r="2271" spans="1:14" x14ac:dyDescent="0.3">
      <c r="A2271" s="15" t="str">
        <f>IF(COUNTA($B2271:$E2271,$K2271)=0,"",IF(AND($B2271&lt;&gt;"",$C2271&lt;&gt;"",$D2271&lt;&gt;"",$E2271&lt;&gt;""),"TXS"&amp;TEXT(COUNTIFS($B$2:$B2271,"&lt;&gt;",$C$2:$C2271,"&lt;&gt;",$D$2:$D2271,"&lt;&gt;",$E$2:$E2271,"&lt;&gt;"),"00000"),""))</f>
        <v/>
      </c>
      <c r="B2271" s="16"/>
      <c r="N2271" s="22"/>
    </row>
    <row r="2272" spans="1:14" x14ac:dyDescent="0.3">
      <c r="A2272" s="15" t="str">
        <f>IF(COUNTA($B2272:$E2272,$K2272)=0,"",IF(AND($B2272&lt;&gt;"",$C2272&lt;&gt;"",$D2272&lt;&gt;"",$E2272&lt;&gt;""),"TXS"&amp;TEXT(COUNTIFS($B$2:$B2272,"&lt;&gt;",$C$2:$C2272,"&lt;&gt;",$D$2:$D2272,"&lt;&gt;",$E$2:$E2272,"&lt;&gt;"),"00000"),""))</f>
        <v/>
      </c>
      <c r="B2272" s="16"/>
      <c r="N2272" s="22"/>
    </row>
    <row r="2273" spans="1:14" x14ac:dyDescent="0.3">
      <c r="A2273" s="15" t="str">
        <f>IF(COUNTA($B2273:$E2273,$K2273)=0,"",IF(AND($B2273&lt;&gt;"",$C2273&lt;&gt;"",$D2273&lt;&gt;"",$E2273&lt;&gt;""),"TXS"&amp;TEXT(COUNTIFS($B$2:$B2273,"&lt;&gt;",$C$2:$C2273,"&lt;&gt;",$D$2:$D2273,"&lt;&gt;",$E$2:$E2273,"&lt;&gt;"),"00000"),""))</f>
        <v/>
      </c>
      <c r="B2273" s="16"/>
      <c r="N2273" s="22"/>
    </row>
    <row r="2274" spans="1:14" x14ac:dyDescent="0.3">
      <c r="A2274" s="15" t="str">
        <f>IF(COUNTA($B2274:$E2274,$K2274)=0,"",IF(AND($B2274&lt;&gt;"",$C2274&lt;&gt;"",$D2274&lt;&gt;"",$E2274&lt;&gt;""),"TXS"&amp;TEXT(COUNTIFS($B$2:$B2274,"&lt;&gt;",$C$2:$C2274,"&lt;&gt;",$D$2:$D2274,"&lt;&gt;",$E$2:$E2274,"&lt;&gt;"),"00000"),""))</f>
        <v/>
      </c>
      <c r="B2274" s="16"/>
      <c r="N2274" s="22"/>
    </row>
    <row r="2275" spans="1:14" x14ac:dyDescent="0.3">
      <c r="A2275" s="15" t="str">
        <f>IF(COUNTA($B2275:$E2275,$K2275)=0,"",IF(AND($B2275&lt;&gt;"",$C2275&lt;&gt;"",$D2275&lt;&gt;"",$E2275&lt;&gt;""),"TXS"&amp;TEXT(COUNTIFS($B$2:$B2275,"&lt;&gt;",$C$2:$C2275,"&lt;&gt;",$D$2:$D2275,"&lt;&gt;",$E$2:$E2275,"&lt;&gt;"),"00000"),""))</f>
        <v/>
      </c>
      <c r="B2275" s="16"/>
      <c r="N2275" s="22"/>
    </row>
    <row r="2276" spans="1:14" x14ac:dyDescent="0.3">
      <c r="A2276" s="15" t="str">
        <f>IF(COUNTA($B2276:$E2276,$K2276)=0,"",IF(AND($B2276&lt;&gt;"",$C2276&lt;&gt;"",$D2276&lt;&gt;"",$E2276&lt;&gt;""),"TXS"&amp;TEXT(COUNTIFS($B$2:$B2276,"&lt;&gt;",$C$2:$C2276,"&lt;&gt;",$D$2:$D2276,"&lt;&gt;",$E$2:$E2276,"&lt;&gt;"),"00000"),""))</f>
        <v/>
      </c>
      <c r="B2276" s="16"/>
      <c r="N2276" s="22"/>
    </row>
    <row r="2277" spans="1:14" x14ac:dyDescent="0.3">
      <c r="A2277" s="15" t="str">
        <f>IF(COUNTA($B2277:$E2277,$K2277)=0,"",IF(AND($B2277&lt;&gt;"",$C2277&lt;&gt;"",$D2277&lt;&gt;"",$E2277&lt;&gt;""),"TXS"&amp;TEXT(COUNTIFS($B$2:$B2277,"&lt;&gt;",$C$2:$C2277,"&lt;&gt;",$D$2:$D2277,"&lt;&gt;",$E$2:$E2277,"&lt;&gt;"),"00000"),""))</f>
        <v/>
      </c>
      <c r="B2277" s="16"/>
      <c r="N2277" s="22"/>
    </row>
    <row r="2278" spans="1:14" x14ac:dyDescent="0.3">
      <c r="A2278" s="15" t="str">
        <f>IF(COUNTA($B2278:$E2278,$K2278)=0,"",IF(AND($B2278&lt;&gt;"",$C2278&lt;&gt;"",$D2278&lt;&gt;"",$E2278&lt;&gt;""),"TXS"&amp;TEXT(COUNTIFS($B$2:$B2278,"&lt;&gt;",$C$2:$C2278,"&lt;&gt;",$D$2:$D2278,"&lt;&gt;",$E$2:$E2278,"&lt;&gt;"),"00000"),""))</f>
        <v/>
      </c>
      <c r="B2278" s="16"/>
      <c r="N2278" s="22"/>
    </row>
    <row r="2279" spans="1:14" x14ac:dyDescent="0.3">
      <c r="A2279" s="15" t="str">
        <f>IF(COUNTA($B2279:$E2279,$K2279)=0,"",IF(AND($B2279&lt;&gt;"",$C2279&lt;&gt;"",$D2279&lt;&gt;"",$E2279&lt;&gt;""),"TXS"&amp;TEXT(COUNTIFS($B$2:$B2279,"&lt;&gt;",$C$2:$C2279,"&lt;&gt;",$D$2:$D2279,"&lt;&gt;",$E$2:$E2279,"&lt;&gt;"),"00000"),""))</f>
        <v/>
      </c>
      <c r="B2279" s="16"/>
      <c r="N2279" s="22"/>
    </row>
    <row r="2280" spans="1:14" x14ac:dyDescent="0.3">
      <c r="A2280" s="15" t="str">
        <f>IF(COUNTA($B2280:$E2280,$K2280)=0,"",IF(AND($B2280&lt;&gt;"",$C2280&lt;&gt;"",$D2280&lt;&gt;"",$E2280&lt;&gt;""),"TXS"&amp;TEXT(COUNTIFS($B$2:$B2280,"&lt;&gt;",$C$2:$C2280,"&lt;&gt;",$D$2:$D2280,"&lt;&gt;",$E$2:$E2280,"&lt;&gt;"),"00000"),""))</f>
        <v/>
      </c>
      <c r="B2280" s="16"/>
      <c r="N2280" s="22"/>
    </row>
    <row r="2281" spans="1:14" x14ac:dyDescent="0.3">
      <c r="A2281" s="15" t="str">
        <f>IF(COUNTA($B2281:$E2281,$K2281)=0,"",IF(AND($B2281&lt;&gt;"",$C2281&lt;&gt;"",$D2281&lt;&gt;"",$E2281&lt;&gt;""),"TXS"&amp;TEXT(COUNTIFS($B$2:$B2281,"&lt;&gt;",$C$2:$C2281,"&lt;&gt;",$D$2:$D2281,"&lt;&gt;",$E$2:$E2281,"&lt;&gt;"),"00000"),""))</f>
        <v/>
      </c>
      <c r="B2281" s="16"/>
      <c r="N2281" s="22"/>
    </row>
    <row r="2282" spans="1:14" x14ac:dyDescent="0.3">
      <c r="A2282" s="15" t="str">
        <f>IF(COUNTA($B2282:$E2282,$K2282)=0,"",IF(AND($B2282&lt;&gt;"",$C2282&lt;&gt;"",$D2282&lt;&gt;"",$E2282&lt;&gt;""),"TXS"&amp;TEXT(COUNTIFS($B$2:$B2282,"&lt;&gt;",$C$2:$C2282,"&lt;&gt;",$D$2:$D2282,"&lt;&gt;",$E$2:$E2282,"&lt;&gt;"),"00000"),""))</f>
        <v/>
      </c>
      <c r="B2282" s="16"/>
      <c r="N2282" s="22"/>
    </row>
    <row r="2283" spans="1:14" x14ac:dyDescent="0.3">
      <c r="A2283" s="15" t="str">
        <f>IF(COUNTA($B2283:$E2283,$K2283)=0,"",IF(AND($B2283&lt;&gt;"",$C2283&lt;&gt;"",$D2283&lt;&gt;"",$E2283&lt;&gt;""),"TXS"&amp;TEXT(COUNTIFS($B$2:$B2283,"&lt;&gt;",$C$2:$C2283,"&lt;&gt;",$D$2:$D2283,"&lt;&gt;",$E$2:$E2283,"&lt;&gt;"),"00000"),""))</f>
        <v/>
      </c>
      <c r="B2283" s="16"/>
      <c r="N2283" s="22"/>
    </row>
    <row r="2284" spans="1:14" x14ac:dyDescent="0.3">
      <c r="A2284" s="15" t="str">
        <f>IF(COUNTA($B2284:$E2284,$K2284)=0,"",IF(AND($B2284&lt;&gt;"",$C2284&lt;&gt;"",$D2284&lt;&gt;"",$E2284&lt;&gt;""),"TXS"&amp;TEXT(COUNTIFS($B$2:$B2284,"&lt;&gt;",$C$2:$C2284,"&lt;&gt;",$D$2:$D2284,"&lt;&gt;",$E$2:$E2284,"&lt;&gt;"),"00000"),""))</f>
        <v/>
      </c>
      <c r="B2284" s="16"/>
      <c r="N2284" s="22"/>
    </row>
    <row r="2285" spans="1:14" x14ac:dyDescent="0.3">
      <c r="A2285" s="15" t="str">
        <f>IF(COUNTA($B2285:$E2285,$K2285)=0,"",IF(AND($B2285&lt;&gt;"",$C2285&lt;&gt;"",$D2285&lt;&gt;"",$E2285&lt;&gt;""),"TXS"&amp;TEXT(COUNTIFS($B$2:$B2285,"&lt;&gt;",$C$2:$C2285,"&lt;&gt;",$D$2:$D2285,"&lt;&gt;",$E$2:$E2285,"&lt;&gt;"),"00000"),""))</f>
        <v/>
      </c>
      <c r="B2285" s="16"/>
      <c r="N2285" s="22"/>
    </row>
    <row r="2286" spans="1:14" x14ac:dyDescent="0.3">
      <c r="A2286" s="15" t="str">
        <f>IF(COUNTA($B2286:$E2286,$K2286)=0,"",IF(AND($B2286&lt;&gt;"",$C2286&lt;&gt;"",$D2286&lt;&gt;"",$E2286&lt;&gt;""),"TXS"&amp;TEXT(COUNTIFS($B$2:$B2286,"&lt;&gt;",$C$2:$C2286,"&lt;&gt;",$D$2:$D2286,"&lt;&gt;",$E$2:$E2286,"&lt;&gt;"),"00000"),""))</f>
        <v/>
      </c>
      <c r="B2286" s="16"/>
      <c r="N2286" s="22"/>
    </row>
    <row r="2287" spans="1:14" x14ac:dyDescent="0.3">
      <c r="A2287" s="15" t="str">
        <f>IF(COUNTA($B2287:$E2287,$K2287)=0,"",IF(AND($B2287&lt;&gt;"",$C2287&lt;&gt;"",$D2287&lt;&gt;"",$E2287&lt;&gt;""),"TXS"&amp;TEXT(COUNTIFS($B$2:$B2287,"&lt;&gt;",$C$2:$C2287,"&lt;&gt;",$D$2:$D2287,"&lt;&gt;",$E$2:$E2287,"&lt;&gt;"),"00000"),""))</f>
        <v/>
      </c>
      <c r="B2287" s="16"/>
      <c r="N2287" s="22"/>
    </row>
    <row r="2288" spans="1:14" x14ac:dyDescent="0.3">
      <c r="A2288" s="15" t="str">
        <f>IF(COUNTA($B2288:$E2288,$K2288)=0,"",IF(AND($B2288&lt;&gt;"",$C2288&lt;&gt;"",$D2288&lt;&gt;"",$E2288&lt;&gt;""),"TXS"&amp;TEXT(COUNTIFS($B$2:$B2288,"&lt;&gt;",$C$2:$C2288,"&lt;&gt;",$D$2:$D2288,"&lt;&gt;",$E$2:$E2288,"&lt;&gt;"),"00000"),""))</f>
        <v/>
      </c>
      <c r="B2288" s="16"/>
      <c r="N2288" s="22"/>
    </row>
    <row r="2289" spans="1:14" x14ac:dyDescent="0.3">
      <c r="A2289" s="15" t="str">
        <f>IF(COUNTA($B2289:$E2289,$K2289)=0,"",IF(AND($B2289&lt;&gt;"",$C2289&lt;&gt;"",$D2289&lt;&gt;"",$E2289&lt;&gt;""),"TXS"&amp;TEXT(COUNTIFS($B$2:$B2289,"&lt;&gt;",$C$2:$C2289,"&lt;&gt;",$D$2:$D2289,"&lt;&gt;",$E$2:$E2289,"&lt;&gt;"),"00000"),""))</f>
        <v/>
      </c>
      <c r="B2289" s="16"/>
      <c r="N2289" s="22"/>
    </row>
    <row r="2290" spans="1:14" x14ac:dyDescent="0.3">
      <c r="A2290" s="15" t="str">
        <f>IF(COUNTA($B2290:$E2290,$K2290)=0,"",IF(AND($B2290&lt;&gt;"",$C2290&lt;&gt;"",$D2290&lt;&gt;"",$E2290&lt;&gt;""),"TXS"&amp;TEXT(COUNTIFS($B$2:$B2290,"&lt;&gt;",$C$2:$C2290,"&lt;&gt;",$D$2:$D2290,"&lt;&gt;",$E$2:$E2290,"&lt;&gt;"),"00000"),""))</f>
        <v/>
      </c>
      <c r="B2290" s="16"/>
      <c r="N2290" s="22"/>
    </row>
    <row r="2291" spans="1:14" x14ac:dyDescent="0.3">
      <c r="A2291" s="15" t="str">
        <f>IF(COUNTA($B2291:$E2291,$K2291)=0,"",IF(AND($B2291&lt;&gt;"",$C2291&lt;&gt;"",$D2291&lt;&gt;"",$E2291&lt;&gt;""),"TXS"&amp;TEXT(COUNTIFS($B$2:$B2291,"&lt;&gt;",$C$2:$C2291,"&lt;&gt;",$D$2:$D2291,"&lt;&gt;",$E$2:$E2291,"&lt;&gt;"),"00000"),""))</f>
        <v/>
      </c>
      <c r="B2291" s="16"/>
      <c r="N2291" s="22"/>
    </row>
    <row r="2292" spans="1:14" x14ac:dyDescent="0.3">
      <c r="A2292" s="15" t="str">
        <f>IF(COUNTA($B2292:$E2292,$K2292)=0,"",IF(AND($B2292&lt;&gt;"",$C2292&lt;&gt;"",$D2292&lt;&gt;"",$E2292&lt;&gt;""),"TXS"&amp;TEXT(COUNTIFS($B$2:$B2292,"&lt;&gt;",$C$2:$C2292,"&lt;&gt;",$D$2:$D2292,"&lt;&gt;",$E$2:$E2292,"&lt;&gt;"),"00000"),""))</f>
        <v/>
      </c>
      <c r="B2292" s="16"/>
      <c r="N2292" s="22"/>
    </row>
    <row r="2293" spans="1:14" x14ac:dyDescent="0.3">
      <c r="A2293" s="15" t="str">
        <f>IF(COUNTA($B2293:$E2293,$K2293)=0,"",IF(AND($B2293&lt;&gt;"",$C2293&lt;&gt;"",$D2293&lt;&gt;"",$E2293&lt;&gt;""),"TXS"&amp;TEXT(COUNTIFS($B$2:$B2293,"&lt;&gt;",$C$2:$C2293,"&lt;&gt;",$D$2:$D2293,"&lt;&gt;",$E$2:$E2293,"&lt;&gt;"),"00000"),""))</f>
        <v/>
      </c>
      <c r="B2293" s="16"/>
      <c r="N2293" s="22"/>
    </row>
    <row r="2294" spans="1:14" x14ac:dyDescent="0.3">
      <c r="A2294" s="15" t="str">
        <f>IF(COUNTA($B2294:$E2294,$K2294)=0,"",IF(AND($B2294&lt;&gt;"",$C2294&lt;&gt;"",$D2294&lt;&gt;"",$E2294&lt;&gt;""),"TXS"&amp;TEXT(COUNTIFS($B$2:$B2294,"&lt;&gt;",$C$2:$C2294,"&lt;&gt;",$D$2:$D2294,"&lt;&gt;",$E$2:$E2294,"&lt;&gt;"),"00000"),""))</f>
        <v/>
      </c>
      <c r="B2294" s="16"/>
      <c r="N2294" s="22"/>
    </row>
    <row r="2295" spans="1:14" x14ac:dyDescent="0.3">
      <c r="A2295" s="15" t="str">
        <f>IF(COUNTA($B2295:$E2295,$K2295)=0,"",IF(AND($B2295&lt;&gt;"",$C2295&lt;&gt;"",$D2295&lt;&gt;"",$E2295&lt;&gt;""),"TXS"&amp;TEXT(COUNTIFS($B$2:$B2295,"&lt;&gt;",$C$2:$C2295,"&lt;&gt;",$D$2:$D2295,"&lt;&gt;",$E$2:$E2295,"&lt;&gt;"),"00000"),""))</f>
        <v/>
      </c>
      <c r="B2295" s="16"/>
      <c r="N2295" s="22"/>
    </row>
    <row r="2296" spans="1:14" x14ac:dyDescent="0.3">
      <c r="A2296" s="15" t="str">
        <f>IF(COUNTA($B2296:$E2296,$K2296)=0,"",IF(AND($B2296&lt;&gt;"",$C2296&lt;&gt;"",$D2296&lt;&gt;"",$E2296&lt;&gt;""),"TXS"&amp;TEXT(COUNTIFS($B$2:$B2296,"&lt;&gt;",$C$2:$C2296,"&lt;&gt;",$D$2:$D2296,"&lt;&gt;",$E$2:$E2296,"&lt;&gt;"),"00000"),""))</f>
        <v/>
      </c>
      <c r="B2296" s="16"/>
      <c r="N2296" s="22"/>
    </row>
    <row r="2297" spans="1:14" x14ac:dyDescent="0.3">
      <c r="A2297" s="15" t="str">
        <f>IF(COUNTA($B2297:$E2297,$K2297)=0,"",IF(AND($B2297&lt;&gt;"",$C2297&lt;&gt;"",$D2297&lt;&gt;"",$E2297&lt;&gt;""),"TXS"&amp;TEXT(COUNTIFS($B$2:$B2297,"&lt;&gt;",$C$2:$C2297,"&lt;&gt;",$D$2:$D2297,"&lt;&gt;",$E$2:$E2297,"&lt;&gt;"),"00000"),""))</f>
        <v/>
      </c>
      <c r="B2297" s="16"/>
      <c r="N2297" s="22"/>
    </row>
    <row r="2298" spans="1:14" x14ac:dyDescent="0.3">
      <c r="A2298" s="15" t="str">
        <f>IF(COUNTA($B2298:$E2298,$K2298)=0,"",IF(AND($B2298&lt;&gt;"",$C2298&lt;&gt;"",$D2298&lt;&gt;"",$E2298&lt;&gt;""),"TXS"&amp;TEXT(COUNTIFS($B$2:$B2298,"&lt;&gt;",$C$2:$C2298,"&lt;&gt;",$D$2:$D2298,"&lt;&gt;",$E$2:$E2298,"&lt;&gt;"),"00000"),""))</f>
        <v/>
      </c>
      <c r="B2298" s="16"/>
      <c r="N2298" s="22"/>
    </row>
    <row r="2299" spans="1:14" x14ac:dyDescent="0.3">
      <c r="A2299" s="15" t="str">
        <f>IF(COUNTA($B2299:$E2299,$K2299)=0,"",IF(AND($B2299&lt;&gt;"",$C2299&lt;&gt;"",$D2299&lt;&gt;"",$E2299&lt;&gt;""),"TXS"&amp;TEXT(COUNTIFS($B$2:$B2299,"&lt;&gt;",$C$2:$C2299,"&lt;&gt;",$D$2:$D2299,"&lt;&gt;",$E$2:$E2299,"&lt;&gt;"),"00000"),""))</f>
        <v/>
      </c>
      <c r="B2299" s="16"/>
      <c r="N2299" s="22"/>
    </row>
    <row r="2300" spans="1:14" x14ac:dyDescent="0.3">
      <c r="A2300" s="15" t="str">
        <f>IF(COUNTA($B2300:$E2300,$K2300)=0,"",IF(AND($B2300&lt;&gt;"",$C2300&lt;&gt;"",$D2300&lt;&gt;"",$E2300&lt;&gt;""),"TXS"&amp;TEXT(COUNTIFS($B$2:$B2300,"&lt;&gt;",$C$2:$C2300,"&lt;&gt;",$D$2:$D2300,"&lt;&gt;",$E$2:$E2300,"&lt;&gt;"),"00000"),""))</f>
        <v/>
      </c>
      <c r="B2300" s="16"/>
      <c r="N2300" s="22"/>
    </row>
    <row r="2301" spans="1:14" x14ac:dyDescent="0.3">
      <c r="A2301" s="15" t="str">
        <f>IF(COUNTA($B2301:$E2301,$K2301)=0,"",IF(AND($B2301&lt;&gt;"",$C2301&lt;&gt;"",$D2301&lt;&gt;"",$E2301&lt;&gt;""),"TXS"&amp;TEXT(COUNTIFS($B$2:$B2301,"&lt;&gt;",$C$2:$C2301,"&lt;&gt;",$D$2:$D2301,"&lt;&gt;",$E$2:$E2301,"&lt;&gt;"),"00000"),""))</f>
        <v/>
      </c>
      <c r="B2301" s="16"/>
      <c r="N2301" s="22"/>
    </row>
    <row r="2302" spans="1:14" x14ac:dyDescent="0.3">
      <c r="A2302" s="15" t="str">
        <f>IF(COUNTA($B2302:$E2302,$K2302)=0,"",IF(AND($B2302&lt;&gt;"",$C2302&lt;&gt;"",$D2302&lt;&gt;"",$E2302&lt;&gt;""),"TXS"&amp;TEXT(COUNTIFS($B$2:$B2302,"&lt;&gt;",$C$2:$C2302,"&lt;&gt;",$D$2:$D2302,"&lt;&gt;",$E$2:$E2302,"&lt;&gt;"),"00000"),""))</f>
        <v/>
      </c>
      <c r="B2302" s="16"/>
      <c r="N2302" s="22"/>
    </row>
    <row r="2303" spans="1:14" x14ac:dyDescent="0.3">
      <c r="A2303" s="15" t="str">
        <f>IF(COUNTA($B2303:$E2303,$K2303)=0,"",IF(AND($B2303&lt;&gt;"",$C2303&lt;&gt;"",$D2303&lt;&gt;"",$E2303&lt;&gt;""),"TXS"&amp;TEXT(COUNTIFS($B$2:$B2303,"&lt;&gt;",$C$2:$C2303,"&lt;&gt;",$D$2:$D2303,"&lt;&gt;",$E$2:$E2303,"&lt;&gt;"),"00000"),""))</f>
        <v/>
      </c>
      <c r="B2303" s="16"/>
      <c r="N2303" s="22"/>
    </row>
    <row r="2304" spans="1:14" x14ac:dyDescent="0.3">
      <c r="A2304" s="15" t="str">
        <f>IF(COUNTA($B2304:$E2304,$K2304)=0,"",IF(AND($B2304&lt;&gt;"",$C2304&lt;&gt;"",$D2304&lt;&gt;"",$E2304&lt;&gt;""),"TXS"&amp;TEXT(COUNTIFS($B$2:$B2304,"&lt;&gt;",$C$2:$C2304,"&lt;&gt;",$D$2:$D2304,"&lt;&gt;",$E$2:$E2304,"&lt;&gt;"),"00000"),""))</f>
        <v/>
      </c>
      <c r="B2304" s="16"/>
      <c r="N2304" s="22"/>
    </row>
    <row r="2305" spans="1:14" x14ac:dyDescent="0.3">
      <c r="A2305" s="15" t="str">
        <f>IF(COUNTA($B2305:$E2305,$K2305)=0,"",IF(AND($B2305&lt;&gt;"",$C2305&lt;&gt;"",$D2305&lt;&gt;"",$E2305&lt;&gt;""),"TXS"&amp;TEXT(COUNTIFS($B$2:$B2305,"&lt;&gt;",$C$2:$C2305,"&lt;&gt;",$D$2:$D2305,"&lt;&gt;",$E$2:$E2305,"&lt;&gt;"),"00000"),""))</f>
        <v/>
      </c>
      <c r="B2305" s="16"/>
      <c r="N2305" s="22"/>
    </row>
    <row r="2306" spans="1:14" x14ac:dyDescent="0.3">
      <c r="A2306" s="15" t="str">
        <f>IF(COUNTA($B2306:$E2306,$K2306)=0,"",IF(AND($B2306&lt;&gt;"",$C2306&lt;&gt;"",$D2306&lt;&gt;"",$E2306&lt;&gt;""),"TXS"&amp;TEXT(COUNTIFS($B$2:$B2306,"&lt;&gt;",$C$2:$C2306,"&lt;&gt;",$D$2:$D2306,"&lt;&gt;",$E$2:$E2306,"&lt;&gt;"),"00000"),""))</f>
        <v/>
      </c>
      <c r="B2306" s="16"/>
      <c r="N2306" s="22"/>
    </row>
    <row r="2307" spans="1:14" x14ac:dyDescent="0.3">
      <c r="A2307" s="15" t="str">
        <f>IF(COUNTA($B2307:$E2307,$K2307)=0,"",IF(AND($B2307&lt;&gt;"",$C2307&lt;&gt;"",$D2307&lt;&gt;"",$E2307&lt;&gt;""),"TXS"&amp;TEXT(COUNTIFS($B$2:$B2307,"&lt;&gt;",$C$2:$C2307,"&lt;&gt;",$D$2:$D2307,"&lt;&gt;",$E$2:$E2307,"&lt;&gt;"),"00000"),""))</f>
        <v/>
      </c>
      <c r="B2307" s="16"/>
      <c r="N2307" s="22"/>
    </row>
    <row r="2308" spans="1:14" x14ac:dyDescent="0.3">
      <c r="A2308" s="15" t="str">
        <f>IF(COUNTA($B2308:$E2308,$K2308)=0,"",IF(AND($B2308&lt;&gt;"",$C2308&lt;&gt;"",$D2308&lt;&gt;"",$E2308&lt;&gt;""),"TXS"&amp;TEXT(COUNTIFS($B$2:$B2308,"&lt;&gt;",$C$2:$C2308,"&lt;&gt;",$D$2:$D2308,"&lt;&gt;",$E$2:$E2308,"&lt;&gt;"),"00000"),""))</f>
        <v/>
      </c>
      <c r="B2308" s="16"/>
      <c r="N2308" s="22"/>
    </row>
    <row r="2309" spans="1:14" x14ac:dyDescent="0.3">
      <c r="A2309" s="15" t="str">
        <f>IF(COUNTA($B2309:$E2309,$K2309)=0,"",IF(AND($B2309&lt;&gt;"",$C2309&lt;&gt;"",$D2309&lt;&gt;"",$E2309&lt;&gt;""),"TXS"&amp;TEXT(COUNTIFS($B$2:$B2309,"&lt;&gt;",$C$2:$C2309,"&lt;&gt;",$D$2:$D2309,"&lt;&gt;",$E$2:$E2309,"&lt;&gt;"),"00000"),""))</f>
        <v/>
      </c>
      <c r="B2309" s="16"/>
      <c r="N2309" s="22"/>
    </row>
    <row r="2310" spans="1:14" x14ac:dyDescent="0.3">
      <c r="A2310" s="15" t="str">
        <f>IF(COUNTA($B2310:$E2310,$K2310)=0,"",IF(AND($B2310&lt;&gt;"",$C2310&lt;&gt;"",$D2310&lt;&gt;"",$E2310&lt;&gt;""),"TXS"&amp;TEXT(COUNTIFS($B$2:$B2310,"&lt;&gt;",$C$2:$C2310,"&lt;&gt;",$D$2:$D2310,"&lt;&gt;",$E$2:$E2310,"&lt;&gt;"),"00000"),""))</f>
        <v/>
      </c>
      <c r="B2310" s="16"/>
      <c r="N2310" s="22"/>
    </row>
    <row r="2311" spans="1:14" x14ac:dyDescent="0.3">
      <c r="A2311" s="15" t="str">
        <f>IF(COUNTA($B2311:$E2311,$K2311)=0,"",IF(AND($B2311&lt;&gt;"",$C2311&lt;&gt;"",$D2311&lt;&gt;"",$E2311&lt;&gt;""),"TXS"&amp;TEXT(COUNTIFS($B$2:$B2311,"&lt;&gt;",$C$2:$C2311,"&lt;&gt;",$D$2:$D2311,"&lt;&gt;",$E$2:$E2311,"&lt;&gt;"),"00000"),""))</f>
        <v/>
      </c>
      <c r="B2311" s="16"/>
      <c r="N2311" s="22"/>
    </row>
    <row r="2312" spans="1:14" x14ac:dyDescent="0.3">
      <c r="A2312" s="15" t="str">
        <f>IF(COUNTA($B2312:$E2312,$K2312)=0,"",IF(AND($B2312&lt;&gt;"",$C2312&lt;&gt;"",$D2312&lt;&gt;"",$E2312&lt;&gt;""),"TXS"&amp;TEXT(COUNTIFS($B$2:$B2312,"&lt;&gt;",$C$2:$C2312,"&lt;&gt;",$D$2:$D2312,"&lt;&gt;",$E$2:$E2312,"&lt;&gt;"),"00000"),""))</f>
        <v/>
      </c>
      <c r="B2312" s="16"/>
      <c r="N2312" s="22"/>
    </row>
    <row r="2313" spans="1:14" x14ac:dyDescent="0.3">
      <c r="A2313" s="15" t="str">
        <f>IF(COUNTA($B2313:$E2313,$K2313)=0,"",IF(AND($B2313&lt;&gt;"",$C2313&lt;&gt;"",$D2313&lt;&gt;"",$E2313&lt;&gt;""),"TXS"&amp;TEXT(COUNTIFS($B$2:$B2313,"&lt;&gt;",$C$2:$C2313,"&lt;&gt;",$D$2:$D2313,"&lt;&gt;",$E$2:$E2313,"&lt;&gt;"),"00000"),""))</f>
        <v/>
      </c>
      <c r="B2313" s="16"/>
      <c r="N2313" s="22"/>
    </row>
    <row r="2314" spans="1:14" x14ac:dyDescent="0.3">
      <c r="A2314" s="15" t="str">
        <f>IF(COUNTA($B2314:$E2314,$K2314)=0,"",IF(AND($B2314&lt;&gt;"",$C2314&lt;&gt;"",$D2314&lt;&gt;"",$E2314&lt;&gt;""),"TXS"&amp;TEXT(COUNTIFS($B$2:$B2314,"&lt;&gt;",$C$2:$C2314,"&lt;&gt;",$D$2:$D2314,"&lt;&gt;",$E$2:$E2314,"&lt;&gt;"),"00000"),""))</f>
        <v/>
      </c>
      <c r="B2314" s="16"/>
      <c r="N2314" s="22"/>
    </row>
    <row r="2315" spans="1:14" x14ac:dyDescent="0.3">
      <c r="A2315" s="15" t="str">
        <f>IF(COUNTA($B2315:$E2315,$K2315)=0,"",IF(AND($B2315&lt;&gt;"",$C2315&lt;&gt;"",$D2315&lt;&gt;"",$E2315&lt;&gt;""),"TXS"&amp;TEXT(COUNTIFS($B$2:$B2315,"&lt;&gt;",$C$2:$C2315,"&lt;&gt;",$D$2:$D2315,"&lt;&gt;",$E$2:$E2315,"&lt;&gt;"),"00000"),""))</f>
        <v/>
      </c>
      <c r="B2315" s="16"/>
      <c r="N2315" s="22"/>
    </row>
    <row r="2316" spans="1:14" x14ac:dyDescent="0.3">
      <c r="A2316" s="15" t="str">
        <f>IF(COUNTA($B2316:$E2316,$K2316)=0,"",IF(AND($B2316&lt;&gt;"",$C2316&lt;&gt;"",$D2316&lt;&gt;"",$E2316&lt;&gt;""),"TXS"&amp;TEXT(COUNTIFS($B$2:$B2316,"&lt;&gt;",$C$2:$C2316,"&lt;&gt;",$D$2:$D2316,"&lt;&gt;",$E$2:$E2316,"&lt;&gt;"),"00000"),""))</f>
        <v/>
      </c>
      <c r="B2316" s="16"/>
      <c r="N2316" s="22"/>
    </row>
    <row r="2317" spans="1:14" x14ac:dyDescent="0.3">
      <c r="A2317" s="15" t="str">
        <f>IF(COUNTA($B2317:$E2317,$K2317)=0,"",IF(AND($B2317&lt;&gt;"",$C2317&lt;&gt;"",$D2317&lt;&gt;"",$E2317&lt;&gt;""),"TXS"&amp;TEXT(COUNTIFS($B$2:$B2317,"&lt;&gt;",$C$2:$C2317,"&lt;&gt;",$D$2:$D2317,"&lt;&gt;",$E$2:$E2317,"&lt;&gt;"),"00000"),""))</f>
        <v/>
      </c>
      <c r="B2317" s="16"/>
      <c r="N2317" s="22"/>
    </row>
    <row r="2318" spans="1:14" x14ac:dyDescent="0.3">
      <c r="A2318" s="15" t="str">
        <f>IF(COUNTA($B2318:$E2318,$K2318)=0,"",IF(AND($B2318&lt;&gt;"",$C2318&lt;&gt;"",$D2318&lt;&gt;"",$E2318&lt;&gt;""),"TXS"&amp;TEXT(COUNTIFS($B$2:$B2318,"&lt;&gt;",$C$2:$C2318,"&lt;&gt;",$D$2:$D2318,"&lt;&gt;",$E$2:$E2318,"&lt;&gt;"),"00000"),""))</f>
        <v/>
      </c>
      <c r="B2318" s="16"/>
      <c r="N2318" s="22"/>
    </row>
    <row r="2319" spans="1:14" x14ac:dyDescent="0.3">
      <c r="A2319" s="15" t="str">
        <f>IF(COUNTA($B2319:$E2319,$K2319)=0,"",IF(AND($B2319&lt;&gt;"",$C2319&lt;&gt;"",$D2319&lt;&gt;"",$E2319&lt;&gt;""),"TXS"&amp;TEXT(COUNTIFS($B$2:$B2319,"&lt;&gt;",$C$2:$C2319,"&lt;&gt;",$D$2:$D2319,"&lt;&gt;",$E$2:$E2319,"&lt;&gt;"),"00000"),""))</f>
        <v/>
      </c>
      <c r="B2319" s="16"/>
      <c r="N2319" s="22"/>
    </row>
    <row r="2320" spans="1:14" x14ac:dyDescent="0.3">
      <c r="A2320" s="15" t="str">
        <f>IF(COUNTA($B2320:$E2320,$K2320)=0,"",IF(AND($B2320&lt;&gt;"",$C2320&lt;&gt;"",$D2320&lt;&gt;"",$E2320&lt;&gt;""),"TXS"&amp;TEXT(COUNTIFS($B$2:$B2320,"&lt;&gt;",$C$2:$C2320,"&lt;&gt;",$D$2:$D2320,"&lt;&gt;",$E$2:$E2320,"&lt;&gt;"),"00000"),""))</f>
        <v/>
      </c>
      <c r="B2320" s="16"/>
      <c r="N2320" s="22"/>
    </row>
    <row r="2321" spans="1:14" x14ac:dyDescent="0.3">
      <c r="A2321" s="15" t="str">
        <f>IF(COUNTA($B2321:$E2321,$K2321)=0,"",IF(AND($B2321&lt;&gt;"",$C2321&lt;&gt;"",$D2321&lt;&gt;"",$E2321&lt;&gt;""),"TXS"&amp;TEXT(COUNTIFS($B$2:$B2321,"&lt;&gt;",$C$2:$C2321,"&lt;&gt;",$D$2:$D2321,"&lt;&gt;",$E$2:$E2321,"&lt;&gt;"),"00000"),""))</f>
        <v/>
      </c>
      <c r="B2321" s="16"/>
      <c r="N2321" s="22"/>
    </row>
    <row r="2322" spans="1:14" x14ac:dyDescent="0.3">
      <c r="A2322" s="15" t="str">
        <f>IF(COUNTA($B2322:$E2322,$K2322)=0,"",IF(AND($B2322&lt;&gt;"",$C2322&lt;&gt;"",$D2322&lt;&gt;"",$E2322&lt;&gt;""),"TXS"&amp;TEXT(COUNTIFS($B$2:$B2322,"&lt;&gt;",$C$2:$C2322,"&lt;&gt;",$D$2:$D2322,"&lt;&gt;",$E$2:$E2322,"&lt;&gt;"),"00000"),""))</f>
        <v/>
      </c>
      <c r="B2322" s="16"/>
      <c r="N2322" s="22"/>
    </row>
    <row r="2323" spans="1:14" x14ac:dyDescent="0.3">
      <c r="A2323" s="15" t="str">
        <f>IF(COUNTA($B2323:$E2323,$K2323)=0,"",IF(AND($B2323&lt;&gt;"",$C2323&lt;&gt;"",$D2323&lt;&gt;"",$E2323&lt;&gt;""),"TXS"&amp;TEXT(COUNTIFS($B$2:$B2323,"&lt;&gt;",$C$2:$C2323,"&lt;&gt;",$D$2:$D2323,"&lt;&gt;",$E$2:$E2323,"&lt;&gt;"),"00000"),""))</f>
        <v/>
      </c>
      <c r="B2323" s="16"/>
      <c r="N2323" s="22"/>
    </row>
    <row r="2324" spans="1:14" x14ac:dyDescent="0.3">
      <c r="A2324" s="15" t="str">
        <f>IF(COUNTA($B2324:$E2324,$K2324)=0,"",IF(AND($B2324&lt;&gt;"",$C2324&lt;&gt;"",$D2324&lt;&gt;"",$E2324&lt;&gt;""),"TXS"&amp;TEXT(COUNTIFS($B$2:$B2324,"&lt;&gt;",$C$2:$C2324,"&lt;&gt;",$D$2:$D2324,"&lt;&gt;",$E$2:$E2324,"&lt;&gt;"),"00000"),""))</f>
        <v/>
      </c>
      <c r="B2324" s="16"/>
      <c r="N2324" s="22"/>
    </row>
    <row r="2325" spans="1:14" x14ac:dyDescent="0.3">
      <c r="A2325" s="15" t="str">
        <f>IF(COUNTA($B2325:$E2325,$K2325)=0,"",IF(AND($B2325&lt;&gt;"",$C2325&lt;&gt;"",$D2325&lt;&gt;"",$E2325&lt;&gt;""),"TXS"&amp;TEXT(COUNTIFS($B$2:$B2325,"&lt;&gt;",$C$2:$C2325,"&lt;&gt;",$D$2:$D2325,"&lt;&gt;",$E$2:$E2325,"&lt;&gt;"),"00000"),""))</f>
        <v/>
      </c>
      <c r="B2325" s="16"/>
      <c r="N2325" s="22"/>
    </row>
    <row r="2326" spans="1:14" x14ac:dyDescent="0.3">
      <c r="A2326" s="15" t="str">
        <f>IF(COUNTA($B2326:$E2326,$K2326)=0,"",IF(AND($B2326&lt;&gt;"",$C2326&lt;&gt;"",$D2326&lt;&gt;"",$E2326&lt;&gt;""),"TXS"&amp;TEXT(COUNTIFS($B$2:$B2326,"&lt;&gt;",$C$2:$C2326,"&lt;&gt;",$D$2:$D2326,"&lt;&gt;",$E$2:$E2326,"&lt;&gt;"),"00000"),""))</f>
        <v/>
      </c>
      <c r="B2326" s="16"/>
      <c r="N2326" s="22"/>
    </row>
    <row r="2327" spans="1:14" x14ac:dyDescent="0.3">
      <c r="A2327" s="15" t="str">
        <f>IF(COUNTA($B2327:$E2327,$K2327)=0,"",IF(AND($B2327&lt;&gt;"",$C2327&lt;&gt;"",$D2327&lt;&gt;"",$E2327&lt;&gt;""),"TXS"&amp;TEXT(COUNTIFS($B$2:$B2327,"&lt;&gt;",$C$2:$C2327,"&lt;&gt;",$D$2:$D2327,"&lt;&gt;",$E$2:$E2327,"&lt;&gt;"),"00000"),""))</f>
        <v/>
      </c>
      <c r="B2327" s="16"/>
      <c r="N2327" s="22"/>
    </row>
    <row r="2328" spans="1:14" x14ac:dyDescent="0.3">
      <c r="A2328" s="15" t="str">
        <f>IF(COUNTA($B2328:$E2328,$K2328)=0,"",IF(AND($B2328&lt;&gt;"",$C2328&lt;&gt;"",$D2328&lt;&gt;"",$E2328&lt;&gt;""),"TXS"&amp;TEXT(COUNTIFS($B$2:$B2328,"&lt;&gt;",$C$2:$C2328,"&lt;&gt;",$D$2:$D2328,"&lt;&gt;",$E$2:$E2328,"&lt;&gt;"),"00000"),""))</f>
        <v/>
      </c>
      <c r="B2328" s="16"/>
      <c r="N2328" s="22"/>
    </row>
    <row r="2329" spans="1:14" x14ac:dyDescent="0.3">
      <c r="A2329" s="15" t="str">
        <f>IF(COUNTA($B2329:$E2329,$K2329)=0,"",IF(AND($B2329&lt;&gt;"",$C2329&lt;&gt;"",$D2329&lt;&gt;"",$E2329&lt;&gt;""),"TXS"&amp;TEXT(COUNTIFS($B$2:$B2329,"&lt;&gt;",$C$2:$C2329,"&lt;&gt;",$D$2:$D2329,"&lt;&gt;",$E$2:$E2329,"&lt;&gt;"),"00000"),""))</f>
        <v/>
      </c>
      <c r="B2329" s="16"/>
      <c r="N2329" s="22"/>
    </row>
    <row r="2330" spans="1:14" x14ac:dyDescent="0.3">
      <c r="A2330" s="15" t="str">
        <f>IF(COUNTA($B2330:$E2330,$K2330)=0,"",IF(AND($B2330&lt;&gt;"",$C2330&lt;&gt;"",$D2330&lt;&gt;"",$E2330&lt;&gt;""),"TXS"&amp;TEXT(COUNTIFS($B$2:$B2330,"&lt;&gt;",$C$2:$C2330,"&lt;&gt;",$D$2:$D2330,"&lt;&gt;",$E$2:$E2330,"&lt;&gt;"),"00000"),""))</f>
        <v/>
      </c>
      <c r="B2330" s="16"/>
      <c r="N2330" s="22"/>
    </row>
    <row r="2331" spans="1:14" x14ac:dyDescent="0.3">
      <c r="A2331" s="15" t="str">
        <f>IF(COUNTA($B2331:$E2331,$K2331)=0,"",IF(AND($B2331&lt;&gt;"",$C2331&lt;&gt;"",$D2331&lt;&gt;"",$E2331&lt;&gt;""),"TXS"&amp;TEXT(COUNTIFS($B$2:$B2331,"&lt;&gt;",$C$2:$C2331,"&lt;&gt;",$D$2:$D2331,"&lt;&gt;",$E$2:$E2331,"&lt;&gt;"),"00000"),""))</f>
        <v/>
      </c>
      <c r="B2331" s="16"/>
      <c r="N2331" s="22"/>
    </row>
    <row r="2332" spans="1:14" x14ac:dyDescent="0.3">
      <c r="A2332" s="15" t="str">
        <f>IF(COUNTA($B2332:$E2332,$K2332)=0,"",IF(AND($B2332&lt;&gt;"",$C2332&lt;&gt;"",$D2332&lt;&gt;"",$E2332&lt;&gt;""),"TXS"&amp;TEXT(COUNTIFS($B$2:$B2332,"&lt;&gt;",$C$2:$C2332,"&lt;&gt;",$D$2:$D2332,"&lt;&gt;",$E$2:$E2332,"&lt;&gt;"),"00000"),""))</f>
        <v/>
      </c>
      <c r="B2332" s="16"/>
      <c r="N2332" s="22"/>
    </row>
    <row r="2333" spans="1:14" x14ac:dyDescent="0.3">
      <c r="A2333" s="15" t="str">
        <f>IF(COUNTA($B2333:$E2333,$K2333)=0,"",IF(AND($B2333&lt;&gt;"",$C2333&lt;&gt;"",$D2333&lt;&gt;"",$E2333&lt;&gt;""),"TXS"&amp;TEXT(COUNTIFS($B$2:$B2333,"&lt;&gt;",$C$2:$C2333,"&lt;&gt;",$D$2:$D2333,"&lt;&gt;",$E$2:$E2333,"&lt;&gt;"),"00000"),""))</f>
        <v/>
      </c>
      <c r="B2333" s="16"/>
      <c r="N2333" s="22"/>
    </row>
    <row r="2334" spans="1:14" x14ac:dyDescent="0.3">
      <c r="A2334" s="15" t="str">
        <f>IF(COUNTA($B2334:$E2334,$K2334)=0,"",IF(AND($B2334&lt;&gt;"",$C2334&lt;&gt;"",$D2334&lt;&gt;"",$E2334&lt;&gt;""),"TXS"&amp;TEXT(COUNTIFS($B$2:$B2334,"&lt;&gt;",$C$2:$C2334,"&lt;&gt;",$D$2:$D2334,"&lt;&gt;",$E$2:$E2334,"&lt;&gt;"),"00000"),""))</f>
        <v/>
      </c>
      <c r="B2334" s="16"/>
      <c r="N2334" s="22"/>
    </row>
    <row r="2335" spans="1:14" x14ac:dyDescent="0.3">
      <c r="A2335" s="15" t="str">
        <f>IF(COUNTA($B2335:$E2335,$K2335)=0,"",IF(AND($B2335&lt;&gt;"",$C2335&lt;&gt;"",$D2335&lt;&gt;"",$E2335&lt;&gt;""),"TXS"&amp;TEXT(COUNTIFS($B$2:$B2335,"&lt;&gt;",$C$2:$C2335,"&lt;&gt;",$D$2:$D2335,"&lt;&gt;",$E$2:$E2335,"&lt;&gt;"),"00000"),""))</f>
        <v/>
      </c>
      <c r="B2335" s="16"/>
      <c r="N2335" s="22"/>
    </row>
    <row r="2336" spans="1:14" x14ac:dyDescent="0.3">
      <c r="A2336" s="15" t="str">
        <f>IF(COUNTA($B2336:$E2336,$K2336)=0,"",IF(AND($B2336&lt;&gt;"",$C2336&lt;&gt;"",$D2336&lt;&gt;"",$E2336&lt;&gt;""),"TXS"&amp;TEXT(COUNTIFS($B$2:$B2336,"&lt;&gt;",$C$2:$C2336,"&lt;&gt;",$D$2:$D2336,"&lt;&gt;",$E$2:$E2336,"&lt;&gt;"),"00000"),""))</f>
        <v/>
      </c>
      <c r="B2336" s="16"/>
      <c r="N2336" s="22"/>
    </row>
    <row r="2337" spans="1:14" x14ac:dyDescent="0.3">
      <c r="A2337" s="15" t="str">
        <f>IF(COUNTA($B2337:$E2337,$K2337)=0,"",IF(AND($B2337&lt;&gt;"",$C2337&lt;&gt;"",$D2337&lt;&gt;"",$E2337&lt;&gt;""),"TXS"&amp;TEXT(COUNTIFS($B$2:$B2337,"&lt;&gt;",$C$2:$C2337,"&lt;&gt;",$D$2:$D2337,"&lt;&gt;",$E$2:$E2337,"&lt;&gt;"),"00000"),""))</f>
        <v/>
      </c>
      <c r="B2337" s="16"/>
      <c r="N2337" s="22"/>
    </row>
    <row r="2338" spans="1:14" x14ac:dyDescent="0.3">
      <c r="A2338" s="15" t="str">
        <f>IF(COUNTA($B2338:$E2338,$K2338)=0,"",IF(AND($B2338&lt;&gt;"",$C2338&lt;&gt;"",$D2338&lt;&gt;"",$E2338&lt;&gt;""),"TXS"&amp;TEXT(COUNTIFS($B$2:$B2338,"&lt;&gt;",$C$2:$C2338,"&lt;&gt;",$D$2:$D2338,"&lt;&gt;",$E$2:$E2338,"&lt;&gt;"),"00000"),""))</f>
        <v/>
      </c>
      <c r="B2338" s="16"/>
      <c r="N2338" s="22"/>
    </row>
    <row r="2339" spans="1:14" x14ac:dyDescent="0.3">
      <c r="A2339" s="15" t="str">
        <f>IF(COUNTA($B2339:$E2339,$K2339)=0,"",IF(AND($B2339&lt;&gt;"",$C2339&lt;&gt;"",$D2339&lt;&gt;"",$E2339&lt;&gt;""),"TXS"&amp;TEXT(COUNTIFS($B$2:$B2339,"&lt;&gt;",$C$2:$C2339,"&lt;&gt;",$D$2:$D2339,"&lt;&gt;",$E$2:$E2339,"&lt;&gt;"),"00000"),""))</f>
        <v/>
      </c>
      <c r="B2339" s="16"/>
      <c r="N2339" s="22"/>
    </row>
    <row r="2340" spans="1:14" x14ac:dyDescent="0.3">
      <c r="A2340" s="15" t="str">
        <f>IF(COUNTA($B2340:$E2340,$K2340)=0,"",IF(AND($B2340&lt;&gt;"",$C2340&lt;&gt;"",$D2340&lt;&gt;"",$E2340&lt;&gt;""),"TXS"&amp;TEXT(COUNTIFS($B$2:$B2340,"&lt;&gt;",$C$2:$C2340,"&lt;&gt;",$D$2:$D2340,"&lt;&gt;",$E$2:$E2340,"&lt;&gt;"),"00000"),""))</f>
        <v/>
      </c>
      <c r="B2340" s="16"/>
      <c r="N2340" s="22"/>
    </row>
    <row r="2341" spans="1:14" x14ac:dyDescent="0.3">
      <c r="A2341" s="15" t="str">
        <f>IF(COUNTA($B2341:$E2341,$K2341)=0,"",IF(AND($B2341&lt;&gt;"",$C2341&lt;&gt;"",$D2341&lt;&gt;"",$E2341&lt;&gt;""),"TXS"&amp;TEXT(COUNTIFS($B$2:$B2341,"&lt;&gt;",$C$2:$C2341,"&lt;&gt;",$D$2:$D2341,"&lt;&gt;",$E$2:$E2341,"&lt;&gt;"),"00000"),""))</f>
        <v/>
      </c>
      <c r="B2341" s="16"/>
      <c r="N2341" s="22"/>
    </row>
    <row r="2342" spans="1:14" x14ac:dyDescent="0.3">
      <c r="A2342" s="15" t="str">
        <f>IF(COUNTA($B2342:$E2342,$K2342)=0,"",IF(AND($B2342&lt;&gt;"",$C2342&lt;&gt;"",$D2342&lt;&gt;"",$E2342&lt;&gt;""),"TXS"&amp;TEXT(COUNTIFS($B$2:$B2342,"&lt;&gt;",$C$2:$C2342,"&lt;&gt;",$D$2:$D2342,"&lt;&gt;",$E$2:$E2342,"&lt;&gt;"),"00000"),""))</f>
        <v/>
      </c>
      <c r="B2342" s="16"/>
      <c r="N2342" s="22"/>
    </row>
    <row r="2343" spans="1:14" x14ac:dyDescent="0.3">
      <c r="A2343" s="15" t="str">
        <f>IF(COUNTA($B2343:$E2343,$K2343)=0,"",IF(AND($B2343&lt;&gt;"",$C2343&lt;&gt;"",$D2343&lt;&gt;"",$E2343&lt;&gt;""),"TXS"&amp;TEXT(COUNTIFS($B$2:$B2343,"&lt;&gt;",$C$2:$C2343,"&lt;&gt;",$D$2:$D2343,"&lt;&gt;",$E$2:$E2343,"&lt;&gt;"),"00000"),""))</f>
        <v/>
      </c>
      <c r="B2343" s="16"/>
      <c r="N2343" s="22"/>
    </row>
    <row r="2344" spans="1:14" x14ac:dyDescent="0.3">
      <c r="A2344" s="15" t="str">
        <f>IF(COUNTA($B2344:$E2344,$K2344)=0,"",IF(AND($B2344&lt;&gt;"",$C2344&lt;&gt;"",$D2344&lt;&gt;"",$E2344&lt;&gt;""),"TXS"&amp;TEXT(COUNTIFS($B$2:$B2344,"&lt;&gt;",$C$2:$C2344,"&lt;&gt;",$D$2:$D2344,"&lt;&gt;",$E$2:$E2344,"&lt;&gt;"),"00000"),""))</f>
        <v/>
      </c>
      <c r="B2344" s="16"/>
      <c r="N2344" s="22"/>
    </row>
    <row r="2345" spans="1:14" x14ac:dyDescent="0.3">
      <c r="A2345" s="15" t="str">
        <f>IF(COUNTA($B2345:$E2345,$K2345)=0,"",IF(AND($B2345&lt;&gt;"",$C2345&lt;&gt;"",$D2345&lt;&gt;"",$E2345&lt;&gt;""),"TXS"&amp;TEXT(COUNTIFS($B$2:$B2345,"&lt;&gt;",$C$2:$C2345,"&lt;&gt;",$D$2:$D2345,"&lt;&gt;",$E$2:$E2345,"&lt;&gt;"),"00000"),""))</f>
        <v/>
      </c>
      <c r="B2345" s="16"/>
      <c r="N2345" s="22"/>
    </row>
    <row r="2346" spans="1:14" x14ac:dyDescent="0.3">
      <c r="A2346" s="15" t="str">
        <f>IF(COUNTA($B2346:$E2346,$K2346)=0,"",IF(AND($B2346&lt;&gt;"",$C2346&lt;&gt;"",$D2346&lt;&gt;"",$E2346&lt;&gt;""),"TXS"&amp;TEXT(COUNTIFS($B$2:$B2346,"&lt;&gt;",$C$2:$C2346,"&lt;&gt;",$D$2:$D2346,"&lt;&gt;",$E$2:$E2346,"&lt;&gt;"),"00000"),""))</f>
        <v/>
      </c>
      <c r="B2346" s="16"/>
      <c r="N2346" s="22"/>
    </row>
    <row r="2347" spans="1:14" x14ac:dyDescent="0.3">
      <c r="A2347" s="15" t="str">
        <f>IF(COUNTA($B2347:$E2347,$K2347)=0,"",IF(AND($B2347&lt;&gt;"",$C2347&lt;&gt;"",$D2347&lt;&gt;"",$E2347&lt;&gt;""),"TXS"&amp;TEXT(COUNTIFS($B$2:$B2347,"&lt;&gt;",$C$2:$C2347,"&lt;&gt;",$D$2:$D2347,"&lt;&gt;",$E$2:$E2347,"&lt;&gt;"),"00000"),""))</f>
        <v/>
      </c>
      <c r="B2347" s="16"/>
      <c r="N2347" s="22"/>
    </row>
    <row r="2348" spans="1:14" x14ac:dyDescent="0.3">
      <c r="A2348" s="15" t="str">
        <f>IF(COUNTA($B2348:$E2348,$K2348)=0,"",IF(AND($B2348&lt;&gt;"",$C2348&lt;&gt;"",$D2348&lt;&gt;"",$E2348&lt;&gt;""),"TXS"&amp;TEXT(COUNTIFS($B$2:$B2348,"&lt;&gt;",$C$2:$C2348,"&lt;&gt;",$D$2:$D2348,"&lt;&gt;",$E$2:$E2348,"&lt;&gt;"),"00000"),""))</f>
        <v/>
      </c>
      <c r="B2348" s="16"/>
      <c r="N2348" s="22"/>
    </row>
    <row r="2349" spans="1:14" x14ac:dyDescent="0.3">
      <c r="A2349" s="15" t="str">
        <f>IF(COUNTA($B2349:$E2349,$K2349)=0,"",IF(AND($B2349&lt;&gt;"",$C2349&lt;&gt;"",$D2349&lt;&gt;"",$E2349&lt;&gt;""),"TXS"&amp;TEXT(COUNTIFS($B$2:$B2349,"&lt;&gt;",$C$2:$C2349,"&lt;&gt;",$D$2:$D2349,"&lt;&gt;",$E$2:$E2349,"&lt;&gt;"),"00000"),""))</f>
        <v/>
      </c>
      <c r="B2349" s="16"/>
      <c r="N2349" s="22"/>
    </row>
    <row r="2350" spans="1:14" x14ac:dyDescent="0.3">
      <c r="A2350" s="15" t="str">
        <f>IF(COUNTA($B2350:$E2350,$K2350)=0,"",IF(AND($B2350&lt;&gt;"",$C2350&lt;&gt;"",$D2350&lt;&gt;"",$E2350&lt;&gt;""),"TXS"&amp;TEXT(COUNTIFS($B$2:$B2350,"&lt;&gt;",$C$2:$C2350,"&lt;&gt;",$D$2:$D2350,"&lt;&gt;",$E$2:$E2350,"&lt;&gt;"),"00000"),""))</f>
        <v/>
      </c>
      <c r="B2350" s="16"/>
      <c r="N2350" s="22"/>
    </row>
    <row r="2351" spans="1:14" x14ac:dyDescent="0.3">
      <c r="A2351" s="15" t="str">
        <f>IF(COUNTA($B2351:$E2351,$K2351)=0,"",IF(AND($B2351&lt;&gt;"",$C2351&lt;&gt;"",$D2351&lt;&gt;"",$E2351&lt;&gt;""),"TXS"&amp;TEXT(COUNTIFS($B$2:$B2351,"&lt;&gt;",$C$2:$C2351,"&lt;&gt;",$D$2:$D2351,"&lt;&gt;",$E$2:$E2351,"&lt;&gt;"),"00000"),""))</f>
        <v/>
      </c>
      <c r="B2351" s="16"/>
      <c r="N2351" s="22"/>
    </row>
    <row r="2352" spans="1:14" x14ac:dyDescent="0.3">
      <c r="A2352" s="15" t="str">
        <f>IF(COUNTA($B2352:$E2352,$K2352)=0,"",IF(AND($B2352&lt;&gt;"",$C2352&lt;&gt;"",$D2352&lt;&gt;"",$E2352&lt;&gt;""),"TXS"&amp;TEXT(COUNTIFS($B$2:$B2352,"&lt;&gt;",$C$2:$C2352,"&lt;&gt;",$D$2:$D2352,"&lt;&gt;",$E$2:$E2352,"&lt;&gt;"),"00000"),""))</f>
        <v/>
      </c>
      <c r="B2352" s="16"/>
      <c r="N2352" s="22"/>
    </row>
    <row r="2353" spans="1:14" x14ac:dyDescent="0.3">
      <c r="A2353" s="15" t="str">
        <f>IF(COUNTA($B2353:$E2353,$K2353)=0,"",IF(AND($B2353&lt;&gt;"",$C2353&lt;&gt;"",$D2353&lt;&gt;"",$E2353&lt;&gt;""),"TXS"&amp;TEXT(COUNTIFS($B$2:$B2353,"&lt;&gt;",$C$2:$C2353,"&lt;&gt;",$D$2:$D2353,"&lt;&gt;",$E$2:$E2353,"&lt;&gt;"),"00000"),""))</f>
        <v/>
      </c>
      <c r="B2353" s="16"/>
      <c r="N2353" s="22"/>
    </row>
    <row r="2354" spans="1:14" x14ac:dyDescent="0.3">
      <c r="A2354" s="15" t="str">
        <f>IF(COUNTA($B2354:$E2354,$K2354)=0,"",IF(AND($B2354&lt;&gt;"",$C2354&lt;&gt;"",$D2354&lt;&gt;"",$E2354&lt;&gt;""),"TXS"&amp;TEXT(COUNTIFS($B$2:$B2354,"&lt;&gt;",$C$2:$C2354,"&lt;&gt;",$D$2:$D2354,"&lt;&gt;",$E$2:$E2354,"&lt;&gt;"),"00000"),""))</f>
        <v/>
      </c>
      <c r="B2354" s="16"/>
      <c r="N2354" s="22"/>
    </row>
    <row r="2355" spans="1:14" x14ac:dyDescent="0.3">
      <c r="A2355" s="15" t="str">
        <f>IF(COUNTA($B2355:$E2355,$K2355)=0,"",IF(AND($B2355&lt;&gt;"",$C2355&lt;&gt;"",$D2355&lt;&gt;"",$E2355&lt;&gt;""),"TXS"&amp;TEXT(COUNTIFS($B$2:$B2355,"&lt;&gt;",$C$2:$C2355,"&lt;&gt;",$D$2:$D2355,"&lt;&gt;",$E$2:$E2355,"&lt;&gt;"),"00000"),""))</f>
        <v/>
      </c>
      <c r="B2355" s="16"/>
      <c r="N2355" s="22"/>
    </row>
    <row r="2356" spans="1:14" x14ac:dyDescent="0.3">
      <c r="A2356" s="15" t="str">
        <f>IF(COUNTA($B2356:$E2356,$K2356)=0,"",IF(AND($B2356&lt;&gt;"",$C2356&lt;&gt;"",$D2356&lt;&gt;"",$E2356&lt;&gt;""),"TXS"&amp;TEXT(COUNTIFS($B$2:$B2356,"&lt;&gt;",$C$2:$C2356,"&lt;&gt;",$D$2:$D2356,"&lt;&gt;",$E$2:$E2356,"&lt;&gt;"),"00000"),""))</f>
        <v/>
      </c>
      <c r="B2356" s="16"/>
      <c r="N2356" s="22"/>
    </row>
    <row r="2357" spans="1:14" x14ac:dyDescent="0.3">
      <c r="A2357" s="15" t="str">
        <f>IF(COUNTA($B2357:$E2357,$K2357)=0,"",IF(AND($B2357&lt;&gt;"",$C2357&lt;&gt;"",$D2357&lt;&gt;"",$E2357&lt;&gt;""),"TXS"&amp;TEXT(COUNTIFS($B$2:$B2357,"&lt;&gt;",$C$2:$C2357,"&lt;&gt;",$D$2:$D2357,"&lt;&gt;",$E$2:$E2357,"&lt;&gt;"),"00000"),""))</f>
        <v/>
      </c>
      <c r="B2357" s="16"/>
      <c r="N2357" s="22"/>
    </row>
    <row r="2358" spans="1:14" x14ac:dyDescent="0.3">
      <c r="A2358" s="15" t="str">
        <f>IF(COUNTA($B2358:$E2358,$K2358)=0,"",IF(AND($B2358&lt;&gt;"",$C2358&lt;&gt;"",$D2358&lt;&gt;"",$E2358&lt;&gt;""),"TXS"&amp;TEXT(COUNTIFS($B$2:$B2358,"&lt;&gt;",$C$2:$C2358,"&lt;&gt;",$D$2:$D2358,"&lt;&gt;",$E$2:$E2358,"&lt;&gt;"),"00000"),""))</f>
        <v/>
      </c>
      <c r="B2358" s="16"/>
      <c r="N2358" s="22"/>
    </row>
    <row r="2359" spans="1:14" x14ac:dyDescent="0.3">
      <c r="A2359" s="15" t="str">
        <f>IF(COUNTA($B2359:$E2359,$K2359)=0,"",IF(AND($B2359&lt;&gt;"",$C2359&lt;&gt;"",$D2359&lt;&gt;"",$E2359&lt;&gt;""),"TXS"&amp;TEXT(COUNTIFS($B$2:$B2359,"&lt;&gt;",$C$2:$C2359,"&lt;&gt;",$D$2:$D2359,"&lt;&gt;",$E$2:$E2359,"&lt;&gt;"),"00000"),""))</f>
        <v/>
      </c>
      <c r="B2359" s="16"/>
      <c r="N2359" s="22"/>
    </row>
    <row r="2360" spans="1:14" x14ac:dyDescent="0.3">
      <c r="A2360" s="15" t="str">
        <f>IF(COUNTA($B2360:$E2360,$K2360)=0,"",IF(AND($B2360&lt;&gt;"",$C2360&lt;&gt;"",$D2360&lt;&gt;"",$E2360&lt;&gt;""),"TXS"&amp;TEXT(COUNTIFS($B$2:$B2360,"&lt;&gt;",$C$2:$C2360,"&lt;&gt;",$D$2:$D2360,"&lt;&gt;",$E$2:$E2360,"&lt;&gt;"),"00000"),""))</f>
        <v/>
      </c>
      <c r="B2360" s="16"/>
      <c r="N2360" s="22"/>
    </row>
    <row r="2361" spans="1:14" x14ac:dyDescent="0.3">
      <c r="A2361" s="15" t="str">
        <f>IF(COUNTA($B2361:$E2361,$K2361)=0,"",IF(AND($B2361&lt;&gt;"",$C2361&lt;&gt;"",$D2361&lt;&gt;"",$E2361&lt;&gt;""),"TXS"&amp;TEXT(COUNTIFS($B$2:$B2361,"&lt;&gt;",$C$2:$C2361,"&lt;&gt;",$D$2:$D2361,"&lt;&gt;",$E$2:$E2361,"&lt;&gt;"),"00000"),""))</f>
        <v/>
      </c>
      <c r="B2361" s="16"/>
      <c r="N2361" s="22"/>
    </row>
    <row r="2362" spans="1:14" x14ac:dyDescent="0.3">
      <c r="A2362" s="15" t="str">
        <f>IF(COUNTA($B2362:$E2362,$K2362)=0,"",IF(AND($B2362&lt;&gt;"",$C2362&lt;&gt;"",$D2362&lt;&gt;"",$E2362&lt;&gt;""),"TXS"&amp;TEXT(COUNTIFS($B$2:$B2362,"&lt;&gt;",$C$2:$C2362,"&lt;&gt;",$D$2:$D2362,"&lt;&gt;",$E$2:$E2362,"&lt;&gt;"),"00000"),""))</f>
        <v/>
      </c>
      <c r="B2362" s="16"/>
      <c r="N2362" s="22"/>
    </row>
    <row r="2363" spans="1:14" x14ac:dyDescent="0.3">
      <c r="A2363" s="15" t="str">
        <f>IF(COUNTA($B2363:$E2363,$K2363)=0,"",IF(AND($B2363&lt;&gt;"",$C2363&lt;&gt;"",$D2363&lt;&gt;"",$E2363&lt;&gt;""),"TXS"&amp;TEXT(COUNTIFS($B$2:$B2363,"&lt;&gt;",$C$2:$C2363,"&lt;&gt;",$D$2:$D2363,"&lt;&gt;",$E$2:$E2363,"&lt;&gt;"),"00000"),""))</f>
        <v/>
      </c>
      <c r="B2363" s="16"/>
      <c r="N2363" s="22"/>
    </row>
    <row r="2364" spans="1:14" x14ac:dyDescent="0.3">
      <c r="A2364" s="15" t="str">
        <f>IF(COUNTA($B2364:$E2364,$K2364)=0,"",IF(AND($B2364&lt;&gt;"",$C2364&lt;&gt;"",$D2364&lt;&gt;"",$E2364&lt;&gt;""),"TXS"&amp;TEXT(COUNTIFS($B$2:$B2364,"&lt;&gt;",$C$2:$C2364,"&lt;&gt;",$D$2:$D2364,"&lt;&gt;",$E$2:$E2364,"&lt;&gt;"),"00000"),""))</f>
        <v/>
      </c>
      <c r="B2364" s="16"/>
      <c r="N2364" s="22"/>
    </row>
    <row r="2365" spans="1:14" x14ac:dyDescent="0.3">
      <c r="A2365" s="15" t="str">
        <f>IF(COUNTA($B2365:$E2365,$K2365)=0,"",IF(AND($B2365&lt;&gt;"",$C2365&lt;&gt;"",$D2365&lt;&gt;"",$E2365&lt;&gt;""),"TXS"&amp;TEXT(COUNTIFS($B$2:$B2365,"&lt;&gt;",$C$2:$C2365,"&lt;&gt;",$D$2:$D2365,"&lt;&gt;",$E$2:$E2365,"&lt;&gt;"),"00000"),""))</f>
        <v/>
      </c>
      <c r="B2365" s="16"/>
      <c r="N2365" s="22"/>
    </row>
    <row r="2366" spans="1:14" x14ac:dyDescent="0.3">
      <c r="A2366" s="15" t="str">
        <f>IF(COUNTA($B2366:$E2366,$K2366)=0,"",IF(AND($B2366&lt;&gt;"",$C2366&lt;&gt;"",$D2366&lt;&gt;"",$E2366&lt;&gt;""),"TXS"&amp;TEXT(COUNTIFS($B$2:$B2366,"&lt;&gt;",$C$2:$C2366,"&lt;&gt;",$D$2:$D2366,"&lt;&gt;",$E$2:$E2366,"&lt;&gt;"),"00000"),""))</f>
        <v/>
      </c>
      <c r="B2366" s="16"/>
      <c r="N2366" s="22"/>
    </row>
    <row r="2367" spans="1:14" x14ac:dyDescent="0.3">
      <c r="A2367" s="15" t="str">
        <f>IF(COUNTA($B2367:$E2367,$K2367)=0,"",IF(AND($B2367&lt;&gt;"",$C2367&lt;&gt;"",$D2367&lt;&gt;"",$E2367&lt;&gt;""),"TXS"&amp;TEXT(COUNTIFS($B$2:$B2367,"&lt;&gt;",$C$2:$C2367,"&lt;&gt;",$D$2:$D2367,"&lt;&gt;",$E$2:$E2367,"&lt;&gt;"),"00000"),""))</f>
        <v/>
      </c>
      <c r="B2367" s="16"/>
      <c r="N2367" s="22"/>
    </row>
    <row r="2368" spans="1:14" x14ac:dyDescent="0.3">
      <c r="A2368" s="15" t="str">
        <f>IF(COUNTA($B2368:$E2368,$K2368)=0,"",IF(AND($B2368&lt;&gt;"",$C2368&lt;&gt;"",$D2368&lt;&gt;"",$E2368&lt;&gt;""),"TXS"&amp;TEXT(COUNTIFS($B$2:$B2368,"&lt;&gt;",$C$2:$C2368,"&lt;&gt;",$D$2:$D2368,"&lt;&gt;",$E$2:$E2368,"&lt;&gt;"),"00000"),""))</f>
        <v/>
      </c>
      <c r="B2368" s="16"/>
      <c r="N2368" s="22"/>
    </row>
    <row r="2369" spans="1:14" x14ac:dyDescent="0.3">
      <c r="A2369" s="15" t="str">
        <f>IF(COUNTA($B2369:$E2369,$K2369)=0,"",IF(AND($B2369&lt;&gt;"",$C2369&lt;&gt;"",$D2369&lt;&gt;"",$E2369&lt;&gt;""),"TXS"&amp;TEXT(COUNTIFS($B$2:$B2369,"&lt;&gt;",$C$2:$C2369,"&lt;&gt;",$D$2:$D2369,"&lt;&gt;",$E$2:$E2369,"&lt;&gt;"),"00000"),""))</f>
        <v/>
      </c>
      <c r="B2369" s="16"/>
      <c r="N2369" s="22"/>
    </row>
    <row r="2370" spans="1:14" x14ac:dyDescent="0.3">
      <c r="A2370" s="15" t="str">
        <f>IF(COUNTA($B2370:$E2370,$K2370)=0,"",IF(AND($B2370&lt;&gt;"",$C2370&lt;&gt;"",$D2370&lt;&gt;"",$E2370&lt;&gt;""),"TXS"&amp;TEXT(COUNTIFS($B$2:$B2370,"&lt;&gt;",$C$2:$C2370,"&lt;&gt;",$D$2:$D2370,"&lt;&gt;",$E$2:$E2370,"&lt;&gt;"),"00000"),""))</f>
        <v/>
      </c>
      <c r="B2370" s="16"/>
      <c r="N2370" s="22"/>
    </row>
    <row r="2371" spans="1:14" x14ac:dyDescent="0.3">
      <c r="A2371" s="15" t="str">
        <f>IF(COUNTA($B2371:$E2371,$K2371)=0,"",IF(AND($B2371&lt;&gt;"",$C2371&lt;&gt;"",$D2371&lt;&gt;"",$E2371&lt;&gt;""),"TXS"&amp;TEXT(COUNTIFS($B$2:$B2371,"&lt;&gt;",$C$2:$C2371,"&lt;&gt;",$D$2:$D2371,"&lt;&gt;",$E$2:$E2371,"&lt;&gt;"),"00000"),""))</f>
        <v/>
      </c>
      <c r="B2371" s="16"/>
      <c r="N2371" s="22"/>
    </row>
    <row r="2372" spans="1:14" x14ac:dyDescent="0.3">
      <c r="A2372" s="15" t="str">
        <f>IF(COUNTA($B2372:$E2372,$K2372)=0,"",IF(AND($B2372&lt;&gt;"",$C2372&lt;&gt;"",$D2372&lt;&gt;"",$E2372&lt;&gt;""),"TXS"&amp;TEXT(COUNTIFS($B$2:$B2372,"&lt;&gt;",$C$2:$C2372,"&lt;&gt;",$D$2:$D2372,"&lt;&gt;",$E$2:$E2372,"&lt;&gt;"),"00000"),""))</f>
        <v/>
      </c>
      <c r="B2372" s="16"/>
      <c r="N2372" s="22"/>
    </row>
    <row r="2373" spans="1:14" x14ac:dyDescent="0.3">
      <c r="A2373" s="15" t="str">
        <f>IF(COUNTA($B2373:$E2373,$K2373)=0,"",IF(AND($B2373&lt;&gt;"",$C2373&lt;&gt;"",$D2373&lt;&gt;"",$E2373&lt;&gt;""),"TXS"&amp;TEXT(COUNTIFS($B$2:$B2373,"&lt;&gt;",$C$2:$C2373,"&lt;&gt;",$D$2:$D2373,"&lt;&gt;",$E$2:$E2373,"&lt;&gt;"),"00000"),""))</f>
        <v/>
      </c>
      <c r="B2373" s="16"/>
      <c r="N2373" s="22"/>
    </row>
    <row r="2374" spans="1:14" x14ac:dyDescent="0.3">
      <c r="A2374" s="15" t="str">
        <f>IF(COUNTA($B2374:$E2374,$K2374)=0,"",IF(AND($B2374&lt;&gt;"",$C2374&lt;&gt;"",$D2374&lt;&gt;"",$E2374&lt;&gt;""),"TXS"&amp;TEXT(COUNTIFS($B$2:$B2374,"&lt;&gt;",$C$2:$C2374,"&lt;&gt;",$D$2:$D2374,"&lt;&gt;",$E$2:$E2374,"&lt;&gt;"),"00000"),""))</f>
        <v/>
      </c>
      <c r="B2374" s="16"/>
      <c r="N2374" s="22"/>
    </row>
    <row r="2375" spans="1:14" x14ac:dyDescent="0.3">
      <c r="A2375" s="15" t="str">
        <f>IF(COUNTA($B2375:$E2375,$K2375)=0,"",IF(AND($B2375&lt;&gt;"",$C2375&lt;&gt;"",$D2375&lt;&gt;"",$E2375&lt;&gt;""),"TXS"&amp;TEXT(COUNTIFS($B$2:$B2375,"&lt;&gt;",$C$2:$C2375,"&lt;&gt;",$D$2:$D2375,"&lt;&gt;",$E$2:$E2375,"&lt;&gt;"),"00000"),""))</f>
        <v/>
      </c>
      <c r="B2375" s="16"/>
      <c r="N2375" s="22"/>
    </row>
    <row r="2376" spans="1:14" x14ac:dyDescent="0.3">
      <c r="A2376" s="15" t="str">
        <f>IF(COUNTA($B2376:$E2376,$K2376)=0,"",IF(AND($B2376&lt;&gt;"",$C2376&lt;&gt;"",$D2376&lt;&gt;"",$E2376&lt;&gt;""),"TXS"&amp;TEXT(COUNTIFS($B$2:$B2376,"&lt;&gt;",$C$2:$C2376,"&lt;&gt;",$D$2:$D2376,"&lt;&gt;",$E$2:$E2376,"&lt;&gt;"),"00000"),""))</f>
        <v/>
      </c>
      <c r="B2376" s="16"/>
      <c r="N2376" s="22"/>
    </row>
    <row r="2377" spans="1:14" x14ac:dyDescent="0.3">
      <c r="A2377" s="15" t="str">
        <f>IF(COUNTA($B2377:$E2377,$K2377)=0,"",IF(AND($B2377&lt;&gt;"",$C2377&lt;&gt;"",$D2377&lt;&gt;"",$E2377&lt;&gt;""),"TXS"&amp;TEXT(COUNTIFS($B$2:$B2377,"&lt;&gt;",$C$2:$C2377,"&lt;&gt;",$D$2:$D2377,"&lt;&gt;",$E$2:$E2377,"&lt;&gt;"),"00000"),""))</f>
        <v/>
      </c>
      <c r="B2377" s="16"/>
      <c r="N2377" s="22"/>
    </row>
    <row r="2378" spans="1:14" x14ac:dyDescent="0.3">
      <c r="A2378" s="15" t="str">
        <f>IF(COUNTA($B2378:$E2378,$K2378)=0,"",IF(AND($B2378&lt;&gt;"",$C2378&lt;&gt;"",$D2378&lt;&gt;"",$E2378&lt;&gt;""),"TXS"&amp;TEXT(COUNTIFS($B$2:$B2378,"&lt;&gt;",$C$2:$C2378,"&lt;&gt;",$D$2:$D2378,"&lt;&gt;",$E$2:$E2378,"&lt;&gt;"),"00000"),""))</f>
        <v/>
      </c>
      <c r="B2378" s="16"/>
      <c r="N2378" s="22"/>
    </row>
    <row r="2379" spans="1:14" x14ac:dyDescent="0.3">
      <c r="A2379" s="15" t="str">
        <f>IF(COUNTA($B2379:$E2379,$K2379)=0,"",IF(AND($B2379&lt;&gt;"",$C2379&lt;&gt;"",$D2379&lt;&gt;"",$E2379&lt;&gt;""),"TXS"&amp;TEXT(COUNTIFS($B$2:$B2379,"&lt;&gt;",$C$2:$C2379,"&lt;&gt;",$D$2:$D2379,"&lt;&gt;",$E$2:$E2379,"&lt;&gt;"),"00000"),""))</f>
        <v/>
      </c>
      <c r="B2379" s="16"/>
      <c r="N2379" s="22"/>
    </row>
    <row r="2380" spans="1:14" x14ac:dyDescent="0.3">
      <c r="A2380" s="15" t="str">
        <f>IF(COUNTA($B2380:$E2380,$K2380)=0,"",IF(AND($B2380&lt;&gt;"",$C2380&lt;&gt;"",$D2380&lt;&gt;"",$E2380&lt;&gt;""),"TXS"&amp;TEXT(COUNTIFS($B$2:$B2380,"&lt;&gt;",$C$2:$C2380,"&lt;&gt;",$D$2:$D2380,"&lt;&gt;",$E$2:$E2380,"&lt;&gt;"),"00000"),""))</f>
        <v/>
      </c>
      <c r="B2380" s="16"/>
      <c r="N2380" s="22"/>
    </row>
    <row r="2381" spans="1:14" x14ac:dyDescent="0.3">
      <c r="A2381" s="15" t="str">
        <f>IF(COUNTA($B2381:$E2381,$K2381)=0,"",IF(AND($B2381&lt;&gt;"",$C2381&lt;&gt;"",$D2381&lt;&gt;"",$E2381&lt;&gt;""),"TXS"&amp;TEXT(COUNTIFS($B$2:$B2381,"&lt;&gt;",$C$2:$C2381,"&lt;&gt;",$D$2:$D2381,"&lt;&gt;",$E$2:$E2381,"&lt;&gt;"),"00000"),""))</f>
        <v/>
      </c>
      <c r="B2381" s="16"/>
      <c r="N2381" s="22"/>
    </row>
    <row r="2382" spans="1:14" x14ac:dyDescent="0.3">
      <c r="A2382" s="15" t="str">
        <f>IF(COUNTA($B2382:$E2382,$K2382)=0,"",IF(AND($B2382&lt;&gt;"",$C2382&lt;&gt;"",$D2382&lt;&gt;"",$E2382&lt;&gt;""),"TXS"&amp;TEXT(COUNTIFS($B$2:$B2382,"&lt;&gt;",$C$2:$C2382,"&lt;&gt;",$D$2:$D2382,"&lt;&gt;",$E$2:$E2382,"&lt;&gt;"),"00000"),""))</f>
        <v/>
      </c>
      <c r="B2382" s="16"/>
      <c r="N2382" s="22"/>
    </row>
    <row r="2383" spans="1:14" x14ac:dyDescent="0.3">
      <c r="A2383" s="15" t="str">
        <f>IF(COUNTA($B2383:$E2383,$K2383)=0,"",IF(AND($B2383&lt;&gt;"",$C2383&lt;&gt;"",$D2383&lt;&gt;"",$E2383&lt;&gt;""),"TXS"&amp;TEXT(COUNTIFS($B$2:$B2383,"&lt;&gt;",$C$2:$C2383,"&lt;&gt;",$D$2:$D2383,"&lt;&gt;",$E$2:$E2383,"&lt;&gt;"),"00000"),""))</f>
        <v/>
      </c>
      <c r="B2383" s="16"/>
      <c r="N2383" s="22"/>
    </row>
    <row r="2384" spans="1:14" x14ac:dyDescent="0.3">
      <c r="A2384" s="15" t="str">
        <f>IF(COUNTA($B2384:$E2384,$K2384)=0,"",IF(AND($B2384&lt;&gt;"",$C2384&lt;&gt;"",$D2384&lt;&gt;"",$E2384&lt;&gt;""),"TXS"&amp;TEXT(COUNTIFS($B$2:$B2384,"&lt;&gt;",$C$2:$C2384,"&lt;&gt;",$D$2:$D2384,"&lt;&gt;",$E$2:$E2384,"&lt;&gt;"),"00000"),""))</f>
        <v/>
      </c>
      <c r="B2384" s="16"/>
      <c r="N2384" s="22"/>
    </row>
    <row r="2385" spans="1:14" x14ac:dyDescent="0.3">
      <c r="A2385" s="15" t="str">
        <f>IF(COUNTA($B2385:$E2385,$K2385)=0,"",IF(AND($B2385&lt;&gt;"",$C2385&lt;&gt;"",$D2385&lt;&gt;"",$E2385&lt;&gt;""),"TXS"&amp;TEXT(COUNTIFS($B$2:$B2385,"&lt;&gt;",$C$2:$C2385,"&lt;&gt;",$D$2:$D2385,"&lt;&gt;",$E$2:$E2385,"&lt;&gt;"),"00000"),""))</f>
        <v/>
      </c>
      <c r="B2385" s="16"/>
      <c r="N2385" s="22"/>
    </row>
    <row r="2386" spans="1:14" x14ac:dyDescent="0.3">
      <c r="A2386" s="15" t="str">
        <f>IF(COUNTA($B2386:$E2386,$K2386)=0,"",IF(AND($B2386&lt;&gt;"",$C2386&lt;&gt;"",$D2386&lt;&gt;"",$E2386&lt;&gt;""),"TXS"&amp;TEXT(COUNTIFS($B$2:$B2386,"&lt;&gt;",$C$2:$C2386,"&lt;&gt;",$D$2:$D2386,"&lt;&gt;",$E$2:$E2386,"&lt;&gt;"),"00000"),""))</f>
        <v/>
      </c>
      <c r="B2386" s="16"/>
      <c r="N2386" s="22"/>
    </row>
    <row r="2387" spans="1:14" x14ac:dyDescent="0.3">
      <c r="A2387" s="15" t="str">
        <f>IF(COUNTA($B2387:$E2387,$K2387)=0,"",IF(AND($B2387&lt;&gt;"",$C2387&lt;&gt;"",$D2387&lt;&gt;"",$E2387&lt;&gt;""),"TXS"&amp;TEXT(COUNTIFS($B$2:$B2387,"&lt;&gt;",$C$2:$C2387,"&lt;&gt;",$D$2:$D2387,"&lt;&gt;",$E$2:$E2387,"&lt;&gt;"),"00000"),""))</f>
        <v/>
      </c>
      <c r="B2387" s="16"/>
      <c r="N2387" s="22"/>
    </row>
    <row r="2388" spans="1:14" x14ac:dyDescent="0.3">
      <c r="A2388" s="15" t="str">
        <f>IF(COUNTA($B2388:$E2388,$K2388)=0,"",IF(AND($B2388&lt;&gt;"",$C2388&lt;&gt;"",$D2388&lt;&gt;"",$E2388&lt;&gt;""),"TXS"&amp;TEXT(COUNTIFS($B$2:$B2388,"&lt;&gt;",$C$2:$C2388,"&lt;&gt;",$D$2:$D2388,"&lt;&gt;",$E$2:$E2388,"&lt;&gt;"),"00000"),""))</f>
        <v/>
      </c>
      <c r="B2388" s="16"/>
      <c r="N2388" s="22"/>
    </row>
    <row r="2389" spans="1:14" x14ac:dyDescent="0.3">
      <c r="A2389" s="15" t="str">
        <f>IF(COUNTA($B2389:$E2389,$K2389)=0,"",IF(AND($B2389&lt;&gt;"",$C2389&lt;&gt;"",$D2389&lt;&gt;"",$E2389&lt;&gt;""),"TXS"&amp;TEXT(COUNTIFS($B$2:$B2389,"&lt;&gt;",$C$2:$C2389,"&lt;&gt;",$D$2:$D2389,"&lt;&gt;",$E$2:$E2389,"&lt;&gt;"),"00000"),""))</f>
        <v/>
      </c>
      <c r="B2389" s="16"/>
      <c r="N2389" s="22"/>
    </row>
    <row r="2390" spans="1:14" x14ac:dyDescent="0.3">
      <c r="A2390" s="15" t="str">
        <f>IF(COUNTA($B2390:$E2390,$K2390)=0,"",IF(AND($B2390&lt;&gt;"",$C2390&lt;&gt;"",$D2390&lt;&gt;"",$E2390&lt;&gt;""),"TXS"&amp;TEXT(COUNTIFS($B$2:$B2390,"&lt;&gt;",$C$2:$C2390,"&lt;&gt;",$D$2:$D2390,"&lt;&gt;",$E$2:$E2390,"&lt;&gt;"),"00000"),""))</f>
        <v/>
      </c>
      <c r="B2390" s="16"/>
      <c r="N2390" s="22"/>
    </row>
    <row r="2391" spans="1:14" x14ac:dyDescent="0.3">
      <c r="A2391" s="15" t="str">
        <f>IF(COUNTA($B2391:$E2391,$K2391)=0,"",IF(AND($B2391&lt;&gt;"",$C2391&lt;&gt;"",$D2391&lt;&gt;"",$E2391&lt;&gt;""),"TXS"&amp;TEXT(COUNTIFS($B$2:$B2391,"&lt;&gt;",$C$2:$C2391,"&lt;&gt;",$D$2:$D2391,"&lt;&gt;",$E$2:$E2391,"&lt;&gt;"),"00000"),""))</f>
        <v/>
      </c>
      <c r="B2391" s="16"/>
      <c r="N2391" s="22"/>
    </row>
    <row r="2392" spans="1:14" x14ac:dyDescent="0.3">
      <c r="A2392" s="15" t="str">
        <f>IF(COUNTA($B2392:$E2392,$K2392)=0,"",IF(AND($B2392&lt;&gt;"",$C2392&lt;&gt;"",$D2392&lt;&gt;"",$E2392&lt;&gt;""),"TXS"&amp;TEXT(COUNTIFS($B$2:$B2392,"&lt;&gt;",$C$2:$C2392,"&lt;&gt;",$D$2:$D2392,"&lt;&gt;",$E$2:$E2392,"&lt;&gt;"),"00000"),""))</f>
        <v/>
      </c>
      <c r="B2392" s="16"/>
      <c r="N2392" s="22"/>
    </row>
    <row r="2393" spans="1:14" x14ac:dyDescent="0.3">
      <c r="A2393" s="15" t="str">
        <f>IF(COUNTA($B2393:$E2393,$K2393)=0,"",IF(AND($B2393&lt;&gt;"",$C2393&lt;&gt;"",$D2393&lt;&gt;"",$E2393&lt;&gt;""),"TXS"&amp;TEXT(COUNTIFS($B$2:$B2393,"&lt;&gt;",$C$2:$C2393,"&lt;&gt;",$D$2:$D2393,"&lt;&gt;",$E$2:$E2393,"&lt;&gt;"),"00000"),""))</f>
        <v/>
      </c>
      <c r="B2393" s="16"/>
      <c r="N2393" s="22"/>
    </row>
    <row r="2394" spans="1:14" x14ac:dyDescent="0.3">
      <c r="A2394" s="15" t="str">
        <f>IF(COUNTA($B2394:$E2394,$K2394)=0,"",IF(AND($B2394&lt;&gt;"",$C2394&lt;&gt;"",$D2394&lt;&gt;"",$E2394&lt;&gt;""),"TXS"&amp;TEXT(COUNTIFS($B$2:$B2394,"&lt;&gt;",$C$2:$C2394,"&lt;&gt;",$D$2:$D2394,"&lt;&gt;",$E$2:$E2394,"&lt;&gt;"),"00000"),""))</f>
        <v/>
      </c>
      <c r="B2394" s="16"/>
      <c r="N2394" s="22"/>
    </row>
    <row r="2395" spans="1:14" x14ac:dyDescent="0.3">
      <c r="A2395" s="15" t="str">
        <f>IF(COUNTA($B2395:$E2395,$K2395)=0,"",IF(AND($B2395&lt;&gt;"",$C2395&lt;&gt;"",$D2395&lt;&gt;"",$E2395&lt;&gt;""),"TXS"&amp;TEXT(COUNTIFS($B$2:$B2395,"&lt;&gt;",$C$2:$C2395,"&lt;&gt;",$D$2:$D2395,"&lt;&gt;",$E$2:$E2395,"&lt;&gt;"),"00000"),""))</f>
        <v/>
      </c>
      <c r="B2395" s="16"/>
      <c r="N2395" s="22"/>
    </row>
    <row r="2396" spans="1:14" x14ac:dyDescent="0.3">
      <c r="A2396" s="15" t="str">
        <f>IF(COUNTA($B2396:$E2396,$K2396)=0,"",IF(AND($B2396&lt;&gt;"",$C2396&lt;&gt;"",$D2396&lt;&gt;"",$E2396&lt;&gt;""),"TXS"&amp;TEXT(COUNTIFS($B$2:$B2396,"&lt;&gt;",$C$2:$C2396,"&lt;&gt;",$D$2:$D2396,"&lt;&gt;",$E$2:$E2396,"&lt;&gt;"),"00000"),""))</f>
        <v/>
      </c>
      <c r="B2396" s="16"/>
      <c r="N2396" s="22"/>
    </row>
    <row r="2397" spans="1:14" x14ac:dyDescent="0.3">
      <c r="A2397" s="15" t="str">
        <f>IF(COUNTA($B2397:$E2397,$K2397)=0,"",IF(AND($B2397&lt;&gt;"",$C2397&lt;&gt;"",$D2397&lt;&gt;"",$E2397&lt;&gt;""),"TXS"&amp;TEXT(COUNTIFS($B$2:$B2397,"&lt;&gt;",$C$2:$C2397,"&lt;&gt;",$D$2:$D2397,"&lt;&gt;",$E$2:$E2397,"&lt;&gt;"),"00000"),""))</f>
        <v/>
      </c>
      <c r="B2397" s="16"/>
      <c r="N2397" s="22"/>
    </row>
    <row r="2398" spans="1:14" x14ac:dyDescent="0.3">
      <c r="A2398" s="15" t="str">
        <f>IF(COUNTA($B2398:$E2398,$K2398)=0,"",IF(AND($B2398&lt;&gt;"",$C2398&lt;&gt;"",$D2398&lt;&gt;"",$E2398&lt;&gt;""),"TXS"&amp;TEXT(COUNTIFS($B$2:$B2398,"&lt;&gt;",$C$2:$C2398,"&lt;&gt;",$D$2:$D2398,"&lt;&gt;",$E$2:$E2398,"&lt;&gt;"),"00000"),""))</f>
        <v/>
      </c>
      <c r="B2398" s="16"/>
      <c r="N2398" s="22"/>
    </row>
    <row r="2399" spans="1:14" x14ac:dyDescent="0.3">
      <c r="A2399" s="15" t="str">
        <f>IF(COUNTA($B2399:$E2399,$K2399)=0,"",IF(AND($B2399&lt;&gt;"",$C2399&lt;&gt;"",$D2399&lt;&gt;"",$E2399&lt;&gt;""),"TXS"&amp;TEXT(COUNTIFS($B$2:$B2399,"&lt;&gt;",$C$2:$C2399,"&lt;&gt;",$D$2:$D2399,"&lt;&gt;",$E$2:$E2399,"&lt;&gt;"),"00000"),""))</f>
        <v/>
      </c>
      <c r="B2399" s="16"/>
      <c r="N2399" s="22"/>
    </row>
    <row r="2400" spans="1:14" x14ac:dyDescent="0.3">
      <c r="A2400" s="15" t="str">
        <f>IF(COUNTA($B2400:$E2400,$K2400)=0,"",IF(AND($B2400&lt;&gt;"",$C2400&lt;&gt;"",$D2400&lt;&gt;"",$E2400&lt;&gt;""),"TXS"&amp;TEXT(COUNTIFS($B$2:$B2400,"&lt;&gt;",$C$2:$C2400,"&lt;&gt;",$D$2:$D2400,"&lt;&gt;",$E$2:$E2400,"&lt;&gt;"),"00000"),""))</f>
        <v/>
      </c>
      <c r="B2400" s="16"/>
      <c r="N2400" s="22"/>
    </row>
    <row r="2401" spans="1:14" x14ac:dyDescent="0.3">
      <c r="A2401" s="15" t="str">
        <f>IF(COUNTA($B2401:$E2401,$K2401)=0,"",IF(AND($B2401&lt;&gt;"",$C2401&lt;&gt;"",$D2401&lt;&gt;"",$E2401&lt;&gt;""),"TXS"&amp;TEXT(COUNTIFS($B$2:$B2401,"&lt;&gt;",$C$2:$C2401,"&lt;&gt;",$D$2:$D2401,"&lt;&gt;",$E$2:$E2401,"&lt;&gt;"),"00000"),""))</f>
        <v/>
      </c>
      <c r="B2401" s="16"/>
      <c r="N2401" s="22"/>
    </row>
    <row r="2402" spans="1:14" x14ac:dyDescent="0.3">
      <c r="A2402" s="15" t="str">
        <f>IF(COUNTA($B2402:$E2402,$K2402)=0,"",IF(AND($B2402&lt;&gt;"",$C2402&lt;&gt;"",$D2402&lt;&gt;"",$E2402&lt;&gt;""),"TXS"&amp;TEXT(COUNTIFS($B$2:$B2402,"&lt;&gt;",$C$2:$C2402,"&lt;&gt;",$D$2:$D2402,"&lt;&gt;",$E$2:$E2402,"&lt;&gt;"),"00000"),""))</f>
        <v/>
      </c>
      <c r="B2402" s="16"/>
      <c r="N2402" s="22"/>
    </row>
    <row r="2403" spans="1:14" x14ac:dyDescent="0.3">
      <c r="A2403" s="15" t="str">
        <f>IF(COUNTA($B2403:$E2403,$K2403)=0,"",IF(AND($B2403&lt;&gt;"",$C2403&lt;&gt;"",$D2403&lt;&gt;"",$E2403&lt;&gt;""),"TXS"&amp;TEXT(COUNTIFS($B$2:$B2403,"&lt;&gt;",$C$2:$C2403,"&lt;&gt;",$D$2:$D2403,"&lt;&gt;",$E$2:$E2403,"&lt;&gt;"),"00000"),""))</f>
        <v/>
      </c>
      <c r="B2403" s="16"/>
      <c r="N2403" s="22"/>
    </row>
    <row r="2404" spans="1:14" x14ac:dyDescent="0.3">
      <c r="A2404" s="15" t="str">
        <f>IF(COUNTA($B2404:$E2404,$K2404)=0,"",IF(AND($B2404&lt;&gt;"",$C2404&lt;&gt;"",$D2404&lt;&gt;"",$E2404&lt;&gt;""),"TXS"&amp;TEXT(COUNTIFS($B$2:$B2404,"&lt;&gt;",$C$2:$C2404,"&lt;&gt;",$D$2:$D2404,"&lt;&gt;",$E$2:$E2404,"&lt;&gt;"),"00000"),""))</f>
        <v/>
      </c>
      <c r="B2404" s="16"/>
      <c r="N2404" s="22"/>
    </row>
    <row r="2405" spans="1:14" x14ac:dyDescent="0.3">
      <c r="A2405" s="15" t="str">
        <f>IF(COUNTA($B2405:$E2405,$K2405)=0,"",IF(AND($B2405&lt;&gt;"",$C2405&lt;&gt;"",$D2405&lt;&gt;"",$E2405&lt;&gt;""),"TXS"&amp;TEXT(COUNTIFS($B$2:$B2405,"&lt;&gt;",$C$2:$C2405,"&lt;&gt;",$D$2:$D2405,"&lt;&gt;",$E$2:$E2405,"&lt;&gt;"),"00000"),""))</f>
        <v/>
      </c>
      <c r="B2405" s="16"/>
      <c r="N2405" s="22"/>
    </row>
    <row r="2406" spans="1:14" x14ac:dyDescent="0.3">
      <c r="A2406" s="15" t="str">
        <f>IF(COUNTA($B2406:$E2406,$K2406)=0,"",IF(AND($B2406&lt;&gt;"",$C2406&lt;&gt;"",$D2406&lt;&gt;"",$E2406&lt;&gt;""),"TXS"&amp;TEXT(COUNTIFS($B$2:$B2406,"&lt;&gt;",$C$2:$C2406,"&lt;&gt;",$D$2:$D2406,"&lt;&gt;",$E$2:$E2406,"&lt;&gt;"),"00000"),""))</f>
        <v/>
      </c>
      <c r="B2406" s="16"/>
      <c r="N2406" s="22"/>
    </row>
    <row r="2407" spans="1:14" x14ac:dyDescent="0.3">
      <c r="A2407" s="15" t="str">
        <f>IF(COUNTA($B2407:$E2407,$K2407)=0,"",IF(AND($B2407&lt;&gt;"",$C2407&lt;&gt;"",$D2407&lt;&gt;"",$E2407&lt;&gt;""),"TXS"&amp;TEXT(COUNTIFS($B$2:$B2407,"&lt;&gt;",$C$2:$C2407,"&lt;&gt;",$D$2:$D2407,"&lt;&gt;",$E$2:$E2407,"&lt;&gt;"),"00000"),""))</f>
        <v/>
      </c>
      <c r="B2407" s="16"/>
      <c r="N2407" s="22"/>
    </row>
    <row r="2408" spans="1:14" x14ac:dyDescent="0.3">
      <c r="A2408" s="15" t="str">
        <f>IF(COUNTA($B2408:$E2408,$K2408)=0,"",IF(AND($B2408&lt;&gt;"",$C2408&lt;&gt;"",$D2408&lt;&gt;"",$E2408&lt;&gt;""),"TXS"&amp;TEXT(COUNTIFS($B$2:$B2408,"&lt;&gt;",$C$2:$C2408,"&lt;&gt;",$D$2:$D2408,"&lt;&gt;",$E$2:$E2408,"&lt;&gt;"),"00000"),""))</f>
        <v/>
      </c>
      <c r="B2408" s="16"/>
      <c r="N2408" s="22"/>
    </row>
    <row r="2409" spans="1:14" x14ac:dyDescent="0.3">
      <c r="A2409" s="15" t="str">
        <f>IF(COUNTA($B2409:$E2409,$K2409)=0,"",IF(AND($B2409&lt;&gt;"",$C2409&lt;&gt;"",$D2409&lt;&gt;"",$E2409&lt;&gt;""),"TXS"&amp;TEXT(COUNTIFS($B$2:$B2409,"&lt;&gt;",$C$2:$C2409,"&lt;&gt;",$D$2:$D2409,"&lt;&gt;",$E$2:$E2409,"&lt;&gt;"),"00000"),""))</f>
        <v/>
      </c>
      <c r="B2409" s="16"/>
      <c r="N2409" s="22"/>
    </row>
    <row r="2410" spans="1:14" x14ac:dyDescent="0.3">
      <c r="A2410" s="15" t="str">
        <f>IF(COUNTA($B2410:$E2410,$K2410)=0,"",IF(AND($B2410&lt;&gt;"",$C2410&lt;&gt;"",$D2410&lt;&gt;"",$E2410&lt;&gt;""),"TXS"&amp;TEXT(COUNTIFS($B$2:$B2410,"&lt;&gt;",$C$2:$C2410,"&lt;&gt;",$D$2:$D2410,"&lt;&gt;",$E$2:$E2410,"&lt;&gt;"),"00000"),""))</f>
        <v/>
      </c>
      <c r="B2410" s="16"/>
      <c r="N2410" s="22"/>
    </row>
    <row r="2411" spans="1:14" x14ac:dyDescent="0.3">
      <c r="A2411" s="15" t="str">
        <f>IF(COUNTA($B2411:$E2411,$K2411)=0,"",IF(AND($B2411&lt;&gt;"",$C2411&lt;&gt;"",$D2411&lt;&gt;"",$E2411&lt;&gt;""),"TXS"&amp;TEXT(COUNTIFS($B$2:$B2411,"&lt;&gt;",$C$2:$C2411,"&lt;&gt;",$D$2:$D2411,"&lt;&gt;",$E$2:$E2411,"&lt;&gt;"),"00000"),""))</f>
        <v/>
      </c>
      <c r="B2411" s="16"/>
      <c r="N2411" s="22"/>
    </row>
    <row r="2412" spans="1:14" x14ac:dyDescent="0.3">
      <c r="A2412" s="15" t="str">
        <f>IF(COUNTA($B2412:$E2412,$K2412)=0,"",IF(AND($B2412&lt;&gt;"",$C2412&lt;&gt;"",$D2412&lt;&gt;"",$E2412&lt;&gt;""),"TXS"&amp;TEXT(COUNTIFS($B$2:$B2412,"&lt;&gt;",$C$2:$C2412,"&lt;&gt;",$D$2:$D2412,"&lt;&gt;",$E$2:$E2412,"&lt;&gt;"),"00000"),""))</f>
        <v/>
      </c>
      <c r="B2412" s="16"/>
      <c r="N2412" s="22"/>
    </row>
    <row r="2413" spans="1:14" x14ac:dyDescent="0.3">
      <c r="A2413" s="15" t="str">
        <f>IF(COUNTA($B2413:$E2413,$K2413)=0,"",IF(AND($B2413&lt;&gt;"",$C2413&lt;&gt;"",$D2413&lt;&gt;"",$E2413&lt;&gt;""),"TXS"&amp;TEXT(COUNTIFS($B$2:$B2413,"&lt;&gt;",$C$2:$C2413,"&lt;&gt;",$D$2:$D2413,"&lt;&gt;",$E$2:$E2413,"&lt;&gt;"),"00000"),""))</f>
        <v/>
      </c>
      <c r="B2413" s="16"/>
      <c r="N2413" s="22"/>
    </row>
    <row r="2414" spans="1:14" x14ac:dyDescent="0.3">
      <c r="A2414" s="15" t="str">
        <f>IF(COUNTA($B2414:$E2414,$K2414)=0,"",IF(AND($B2414&lt;&gt;"",$C2414&lt;&gt;"",$D2414&lt;&gt;"",$E2414&lt;&gt;""),"TXS"&amp;TEXT(COUNTIFS($B$2:$B2414,"&lt;&gt;",$C$2:$C2414,"&lt;&gt;",$D$2:$D2414,"&lt;&gt;",$E$2:$E2414,"&lt;&gt;"),"00000"),""))</f>
        <v/>
      </c>
      <c r="B2414" s="16"/>
      <c r="N2414" s="22"/>
    </row>
    <row r="2415" spans="1:14" x14ac:dyDescent="0.3">
      <c r="A2415" s="15" t="str">
        <f>IF(COUNTA($B2415:$E2415,$K2415)=0,"",IF(AND($B2415&lt;&gt;"",$C2415&lt;&gt;"",$D2415&lt;&gt;"",$E2415&lt;&gt;""),"TXS"&amp;TEXT(COUNTIFS($B$2:$B2415,"&lt;&gt;",$C$2:$C2415,"&lt;&gt;",$D$2:$D2415,"&lt;&gt;",$E$2:$E2415,"&lt;&gt;"),"00000"),""))</f>
        <v/>
      </c>
      <c r="B2415" s="16"/>
      <c r="N2415" s="22"/>
    </row>
    <row r="2416" spans="1:14" x14ac:dyDescent="0.3">
      <c r="A2416" s="15" t="str">
        <f>IF(COUNTA($B2416:$E2416,$K2416)=0,"",IF(AND($B2416&lt;&gt;"",$C2416&lt;&gt;"",$D2416&lt;&gt;"",$E2416&lt;&gt;""),"TXS"&amp;TEXT(COUNTIFS($B$2:$B2416,"&lt;&gt;",$C$2:$C2416,"&lt;&gt;",$D$2:$D2416,"&lt;&gt;",$E$2:$E2416,"&lt;&gt;"),"00000"),""))</f>
        <v/>
      </c>
      <c r="B2416" s="16"/>
      <c r="N2416" s="22"/>
    </row>
    <row r="2417" spans="1:14" x14ac:dyDescent="0.3">
      <c r="A2417" s="15" t="str">
        <f>IF(COUNTA($B2417:$E2417,$K2417)=0,"",IF(AND($B2417&lt;&gt;"",$C2417&lt;&gt;"",$D2417&lt;&gt;"",$E2417&lt;&gt;""),"TXS"&amp;TEXT(COUNTIFS($B$2:$B2417,"&lt;&gt;",$C$2:$C2417,"&lt;&gt;",$D$2:$D2417,"&lt;&gt;",$E$2:$E2417,"&lt;&gt;"),"00000"),""))</f>
        <v/>
      </c>
      <c r="B2417" s="16"/>
      <c r="N2417" s="22"/>
    </row>
    <row r="2418" spans="1:14" x14ac:dyDescent="0.3">
      <c r="A2418" s="15" t="str">
        <f>IF(COUNTA($B2418:$E2418,$K2418)=0,"",IF(AND($B2418&lt;&gt;"",$C2418&lt;&gt;"",$D2418&lt;&gt;"",$E2418&lt;&gt;""),"TXS"&amp;TEXT(COUNTIFS($B$2:$B2418,"&lt;&gt;",$C$2:$C2418,"&lt;&gt;",$D$2:$D2418,"&lt;&gt;",$E$2:$E2418,"&lt;&gt;"),"00000"),""))</f>
        <v/>
      </c>
      <c r="B2418" s="16"/>
      <c r="N2418" s="22"/>
    </row>
    <row r="2419" spans="1:14" x14ac:dyDescent="0.3">
      <c r="A2419" s="15" t="str">
        <f>IF(COUNTA($B2419:$E2419,$K2419)=0,"",IF(AND($B2419&lt;&gt;"",$C2419&lt;&gt;"",$D2419&lt;&gt;"",$E2419&lt;&gt;""),"TXS"&amp;TEXT(COUNTIFS($B$2:$B2419,"&lt;&gt;",$C$2:$C2419,"&lt;&gt;",$D$2:$D2419,"&lt;&gt;",$E$2:$E2419,"&lt;&gt;"),"00000"),""))</f>
        <v/>
      </c>
      <c r="B2419" s="16"/>
      <c r="N2419" s="22"/>
    </row>
    <row r="2420" spans="1:14" x14ac:dyDescent="0.3">
      <c r="A2420" s="15" t="str">
        <f>IF(COUNTA($B2420:$E2420,$K2420)=0,"",IF(AND($B2420&lt;&gt;"",$C2420&lt;&gt;"",$D2420&lt;&gt;"",$E2420&lt;&gt;""),"TXS"&amp;TEXT(COUNTIFS($B$2:$B2420,"&lt;&gt;",$C$2:$C2420,"&lt;&gt;",$D$2:$D2420,"&lt;&gt;",$E$2:$E2420,"&lt;&gt;"),"00000"),""))</f>
        <v/>
      </c>
      <c r="B2420" s="16"/>
      <c r="N2420" s="22"/>
    </row>
    <row r="2421" spans="1:14" x14ac:dyDescent="0.3">
      <c r="A2421" s="15" t="str">
        <f>IF(COUNTA($B2421:$E2421,$K2421)=0,"",IF(AND($B2421&lt;&gt;"",$C2421&lt;&gt;"",$D2421&lt;&gt;"",$E2421&lt;&gt;""),"TXS"&amp;TEXT(COUNTIFS($B$2:$B2421,"&lt;&gt;",$C$2:$C2421,"&lt;&gt;",$D$2:$D2421,"&lt;&gt;",$E$2:$E2421,"&lt;&gt;"),"00000"),""))</f>
        <v/>
      </c>
      <c r="B2421" s="16"/>
      <c r="N2421" s="22"/>
    </row>
    <row r="2422" spans="1:14" x14ac:dyDescent="0.3">
      <c r="A2422" s="15" t="str">
        <f>IF(COUNTA($B2422:$E2422,$K2422)=0,"",IF(AND($B2422&lt;&gt;"",$C2422&lt;&gt;"",$D2422&lt;&gt;"",$E2422&lt;&gt;""),"TXS"&amp;TEXT(COUNTIFS($B$2:$B2422,"&lt;&gt;",$C$2:$C2422,"&lt;&gt;",$D$2:$D2422,"&lt;&gt;",$E$2:$E2422,"&lt;&gt;"),"00000"),""))</f>
        <v/>
      </c>
      <c r="B2422" s="16"/>
      <c r="N2422" s="22"/>
    </row>
    <row r="2423" spans="1:14" x14ac:dyDescent="0.3">
      <c r="A2423" s="15" t="str">
        <f>IF(COUNTA($B2423:$E2423,$K2423)=0,"",IF(AND($B2423&lt;&gt;"",$C2423&lt;&gt;"",$D2423&lt;&gt;"",$E2423&lt;&gt;""),"TXS"&amp;TEXT(COUNTIFS($B$2:$B2423,"&lt;&gt;",$C$2:$C2423,"&lt;&gt;",$D$2:$D2423,"&lt;&gt;",$E$2:$E2423,"&lt;&gt;"),"00000"),""))</f>
        <v/>
      </c>
      <c r="B2423" s="16"/>
      <c r="N2423" s="22"/>
    </row>
    <row r="2424" spans="1:14" x14ac:dyDescent="0.3">
      <c r="A2424" s="15" t="str">
        <f>IF(COUNTA($B2424:$E2424,$K2424)=0,"",IF(AND($B2424&lt;&gt;"",$C2424&lt;&gt;"",$D2424&lt;&gt;"",$E2424&lt;&gt;""),"TXS"&amp;TEXT(COUNTIFS($B$2:$B2424,"&lt;&gt;",$C$2:$C2424,"&lt;&gt;",$D$2:$D2424,"&lt;&gt;",$E$2:$E2424,"&lt;&gt;"),"00000"),""))</f>
        <v/>
      </c>
      <c r="B2424" s="16"/>
      <c r="N2424" s="22"/>
    </row>
    <row r="2425" spans="1:14" x14ac:dyDescent="0.3">
      <c r="A2425" s="15" t="str">
        <f>IF(COUNTA($B2425:$E2425,$K2425)=0,"",IF(AND($B2425&lt;&gt;"",$C2425&lt;&gt;"",$D2425&lt;&gt;"",$E2425&lt;&gt;""),"TXS"&amp;TEXT(COUNTIFS($B$2:$B2425,"&lt;&gt;",$C$2:$C2425,"&lt;&gt;",$D$2:$D2425,"&lt;&gt;",$E$2:$E2425,"&lt;&gt;"),"00000"),""))</f>
        <v/>
      </c>
      <c r="B2425" s="16"/>
      <c r="N2425" s="22"/>
    </row>
    <row r="2426" spans="1:14" x14ac:dyDescent="0.3">
      <c r="A2426" s="15" t="str">
        <f>IF(COUNTA($B2426:$E2426,$K2426)=0,"",IF(AND($B2426&lt;&gt;"",$C2426&lt;&gt;"",$D2426&lt;&gt;"",$E2426&lt;&gt;""),"TXS"&amp;TEXT(COUNTIFS($B$2:$B2426,"&lt;&gt;",$C$2:$C2426,"&lt;&gt;",$D$2:$D2426,"&lt;&gt;",$E$2:$E2426,"&lt;&gt;"),"00000"),""))</f>
        <v/>
      </c>
      <c r="B2426" s="16"/>
      <c r="N2426" s="22"/>
    </row>
    <row r="2427" spans="1:14" x14ac:dyDescent="0.3">
      <c r="A2427" s="15" t="str">
        <f>IF(COUNTA($B2427:$E2427,$K2427)=0,"",IF(AND($B2427&lt;&gt;"",$C2427&lt;&gt;"",$D2427&lt;&gt;"",$E2427&lt;&gt;""),"TXS"&amp;TEXT(COUNTIFS($B$2:$B2427,"&lt;&gt;",$C$2:$C2427,"&lt;&gt;",$D$2:$D2427,"&lt;&gt;",$E$2:$E2427,"&lt;&gt;"),"00000"),""))</f>
        <v/>
      </c>
      <c r="B2427" s="16"/>
      <c r="N2427" s="22"/>
    </row>
    <row r="2428" spans="1:14" x14ac:dyDescent="0.3">
      <c r="A2428" s="15" t="str">
        <f>IF(COUNTA($B2428:$E2428,$K2428)=0,"",IF(AND($B2428&lt;&gt;"",$C2428&lt;&gt;"",$D2428&lt;&gt;"",$E2428&lt;&gt;""),"TXS"&amp;TEXT(COUNTIFS($B$2:$B2428,"&lt;&gt;",$C$2:$C2428,"&lt;&gt;",$D$2:$D2428,"&lt;&gt;",$E$2:$E2428,"&lt;&gt;"),"00000"),""))</f>
        <v/>
      </c>
      <c r="B2428" s="16"/>
      <c r="N2428" s="22"/>
    </row>
    <row r="2429" spans="1:14" x14ac:dyDescent="0.3">
      <c r="A2429" s="15" t="str">
        <f>IF(COUNTA($B2429:$E2429,$K2429)=0,"",IF(AND($B2429&lt;&gt;"",$C2429&lt;&gt;"",$D2429&lt;&gt;"",$E2429&lt;&gt;""),"TXS"&amp;TEXT(COUNTIFS($B$2:$B2429,"&lt;&gt;",$C$2:$C2429,"&lt;&gt;",$D$2:$D2429,"&lt;&gt;",$E$2:$E2429,"&lt;&gt;"),"00000"),""))</f>
        <v/>
      </c>
      <c r="B2429" s="16"/>
      <c r="N2429" s="22"/>
    </row>
    <row r="2430" spans="1:14" x14ac:dyDescent="0.3">
      <c r="A2430" s="15" t="str">
        <f>IF(COUNTA($B2430:$E2430,$K2430)=0,"",IF(AND($B2430&lt;&gt;"",$C2430&lt;&gt;"",$D2430&lt;&gt;"",$E2430&lt;&gt;""),"TXS"&amp;TEXT(COUNTIFS($B$2:$B2430,"&lt;&gt;",$C$2:$C2430,"&lt;&gt;",$D$2:$D2430,"&lt;&gt;",$E$2:$E2430,"&lt;&gt;"),"00000"),""))</f>
        <v/>
      </c>
      <c r="B2430" s="16"/>
      <c r="N2430" s="22"/>
    </row>
    <row r="2431" spans="1:14" x14ac:dyDescent="0.3">
      <c r="A2431" s="15" t="str">
        <f>IF(COUNTA($B2431:$E2431,$K2431)=0,"",IF(AND($B2431&lt;&gt;"",$C2431&lt;&gt;"",$D2431&lt;&gt;"",$E2431&lt;&gt;""),"TXS"&amp;TEXT(COUNTIFS($B$2:$B2431,"&lt;&gt;",$C$2:$C2431,"&lt;&gt;",$D$2:$D2431,"&lt;&gt;",$E$2:$E2431,"&lt;&gt;"),"00000"),""))</f>
        <v/>
      </c>
      <c r="B2431" s="16"/>
      <c r="N2431" s="22"/>
    </row>
    <row r="2432" spans="1:14" x14ac:dyDescent="0.3">
      <c r="A2432" s="15" t="str">
        <f>IF(COUNTA($B2432:$E2432,$K2432)=0,"",IF(AND($B2432&lt;&gt;"",$C2432&lt;&gt;"",$D2432&lt;&gt;"",$E2432&lt;&gt;""),"TXS"&amp;TEXT(COUNTIFS($B$2:$B2432,"&lt;&gt;",$C$2:$C2432,"&lt;&gt;",$D$2:$D2432,"&lt;&gt;",$E$2:$E2432,"&lt;&gt;"),"00000"),""))</f>
        <v/>
      </c>
      <c r="B2432" s="16"/>
      <c r="N2432" s="22"/>
    </row>
    <row r="2433" spans="1:14" x14ac:dyDescent="0.3">
      <c r="A2433" s="15" t="str">
        <f>IF(COUNTA($B2433:$E2433,$K2433)=0,"",IF(AND($B2433&lt;&gt;"",$C2433&lt;&gt;"",$D2433&lt;&gt;"",$E2433&lt;&gt;""),"TXS"&amp;TEXT(COUNTIFS($B$2:$B2433,"&lt;&gt;",$C$2:$C2433,"&lt;&gt;",$D$2:$D2433,"&lt;&gt;",$E$2:$E2433,"&lt;&gt;"),"00000"),""))</f>
        <v/>
      </c>
      <c r="B2433" s="16"/>
      <c r="N2433" s="22"/>
    </row>
    <row r="2434" spans="1:14" x14ac:dyDescent="0.3">
      <c r="A2434" s="15" t="str">
        <f>IF(COUNTA($B2434:$E2434,$K2434)=0,"",IF(AND($B2434&lt;&gt;"",$C2434&lt;&gt;"",$D2434&lt;&gt;"",$E2434&lt;&gt;""),"TXS"&amp;TEXT(COUNTIFS($B$2:$B2434,"&lt;&gt;",$C$2:$C2434,"&lt;&gt;",$D$2:$D2434,"&lt;&gt;",$E$2:$E2434,"&lt;&gt;"),"00000"),""))</f>
        <v/>
      </c>
      <c r="B2434" s="16"/>
      <c r="N2434" s="22"/>
    </row>
    <row r="2435" spans="1:14" x14ac:dyDescent="0.3">
      <c r="A2435" s="15" t="str">
        <f>IF(COUNTA($B2435:$E2435,$K2435)=0,"",IF(AND($B2435&lt;&gt;"",$C2435&lt;&gt;"",$D2435&lt;&gt;"",$E2435&lt;&gt;""),"TXS"&amp;TEXT(COUNTIFS($B$2:$B2435,"&lt;&gt;",$C$2:$C2435,"&lt;&gt;",$D$2:$D2435,"&lt;&gt;",$E$2:$E2435,"&lt;&gt;"),"00000"),""))</f>
        <v/>
      </c>
      <c r="B2435" s="16"/>
      <c r="N2435" s="22"/>
    </row>
    <row r="2436" spans="1:14" x14ac:dyDescent="0.3">
      <c r="A2436" s="15" t="str">
        <f>IF(COUNTA($B2436:$E2436,$K2436)=0,"",IF(AND($B2436&lt;&gt;"",$C2436&lt;&gt;"",$D2436&lt;&gt;"",$E2436&lt;&gt;""),"TXS"&amp;TEXT(COUNTIFS($B$2:$B2436,"&lt;&gt;",$C$2:$C2436,"&lt;&gt;",$D$2:$D2436,"&lt;&gt;",$E$2:$E2436,"&lt;&gt;"),"00000"),""))</f>
        <v/>
      </c>
      <c r="B2436" s="16"/>
      <c r="N2436" s="22"/>
    </row>
    <row r="2437" spans="1:14" x14ac:dyDescent="0.3">
      <c r="A2437" s="15" t="str">
        <f>IF(COUNTA($B2437:$E2437,$K2437)=0,"",IF(AND($B2437&lt;&gt;"",$C2437&lt;&gt;"",$D2437&lt;&gt;"",$E2437&lt;&gt;""),"TXS"&amp;TEXT(COUNTIFS($B$2:$B2437,"&lt;&gt;",$C$2:$C2437,"&lt;&gt;",$D$2:$D2437,"&lt;&gt;",$E$2:$E2437,"&lt;&gt;"),"00000"),""))</f>
        <v/>
      </c>
      <c r="B2437" s="16"/>
      <c r="N2437" s="22"/>
    </row>
    <row r="2438" spans="1:14" x14ac:dyDescent="0.3">
      <c r="A2438" s="15" t="str">
        <f>IF(COUNTA($B2438:$E2438,$K2438)=0,"",IF(AND($B2438&lt;&gt;"",$C2438&lt;&gt;"",$D2438&lt;&gt;"",$E2438&lt;&gt;""),"TXS"&amp;TEXT(COUNTIFS($B$2:$B2438,"&lt;&gt;",$C$2:$C2438,"&lt;&gt;",$D$2:$D2438,"&lt;&gt;",$E$2:$E2438,"&lt;&gt;"),"00000"),""))</f>
        <v/>
      </c>
      <c r="B2438" s="16"/>
      <c r="N2438" s="22"/>
    </row>
    <row r="2439" spans="1:14" x14ac:dyDescent="0.3">
      <c r="A2439" s="15" t="str">
        <f>IF(COUNTA($B2439:$E2439,$K2439)=0,"",IF(AND($B2439&lt;&gt;"",$C2439&lt;&gt;"",$D2439&lt;&gt;"",$E2439&lt;&gt;""),"TXS"&amp;TEXT(COUNTIFS($B$2:$B2439,"&lt;&gt;",$C$2:$C2439,"&lt;&gt;",$D$2:$D2439,"&lt;&gt;",$E$2:$E2439,"&lt;&gt;"),"00000"),""))</f>
        <v/>
      </c>
      <c r="B2439" s="16"/>
      <c r="N2439" s="22"/>
    </row>
    <row r="2440" spans="1:14" x14ac:dyDescent="0.3">
      <c r="A2440" s="15" t="str">
        <f>IF(COUNTA($B2440:$E2440,$K2440)=0,"",IF(AND($B2440&lt;&gt;"",$C2440&lt;&gt;"",$D2440&lt;&gt;"",$E2440&lt;&gt;""),"TXS"&amp;TEXT(COUNTIFS($B$2:$B2440,"&lt;&gt;",$C$2:$C2440,"&lt;&gt;",$D$2:$D2440,"&lt;&gt;",$E$2:$E2440,"&lt;&gt;"),"00000"),""))</f>
        <v/>
      </c>
      <c r="B2440" s="16"/>
      <c r="N2440" s="22"/>
    </row>
    <row r="2441" spans="1:14" x14ac:dyDescent="0.3">
      <c r="A2441" s="15" t="str">
        <f>IF(COUNTA($B2441:$E2441,$K2441)=0,"",IF(AND($B2441&lt;&gt;"",$C2441&lt;&gt;"",$D2441&lt;&gt;"",$E2441&lt;&gt;""),"TXS"&amp;TEXT(COUNTIFS($B$2:$B2441,"&lt;&gt;",$C$2:$C2441,"&lt;&gt;",$D$2:$D2441,"&lt;&gt;",$E$2:$E2441,"&lt;&gt;"),"00000"),""))</f>
        <v/>
      </c>
      <c r="B2441" s="16"/>
      <c r="N2441" s="22"/>
    </row>
    <row r="2442" spans="1:14" x14ac:dyDescent="0.3">
      <c r="A2442" s="15" t="str">
        <f>IF(COUNTA($B2442:$E2442,$K2442)=0,"",IF(AND($B2442&lt;&gt;"",$C2442&lt;&gt;"",$D2442&lt;&gt;"",$E2442&lt;&gt;""),"TXS"&amp;TEXT(COUNTIFS($B$2:$B2442,"&lt;&gt;",$C$2:$C2442,"&lt;&gt;",$D$2:$D2442,"&lt;&gt;",$E$2:$E2442,"&lt;&gt;"),"00000"),""))</f>
        <v/>
      </c>
      <c r="B2442" s="16"/>
      <c r="N2442" s="22"/>
    </row>
    <row r="2443" spans="1:14" x14ac:dyDescent="0.3">
      <c r="A2443" s="15" t="str">
        <f>IF(COUNTA($B2443:$E2443,$K2443)=0,"",IF(AND($B2443&lt;&gt;"",$C2443&lt;&gt;"",$D2443&lt;&gt;"",$E2443&lt;&gt;""),"TXS"&amp;TEXT(COUNTIFS($B$2:$B2443,"&lt;&gt;",$C$2:$C2443,"&lt;&gt;",$D$2:$D2443,"&lt;&gt;",$E$2:$E2443,"&lt;&gt;"),"00000"),""))</f>
        <v/>
      </c>
      <c r="B2443" s="16"/>
      <c r="N2443" s="22"/>
    </row>
    <row r="2444" spans="1:14" x14ac:dyDescent="0.3">
      <c r="A2444" s="15" t="str">
        <f>IF(COUNTA($B2444:$E2444,$K2444)=0,"",IF(AND($B2444&lt;&gt;"",$C2444&lt;&gt;"",$D2444&lt;&gt;"",$E2444&lt;&gt;""),"TXS"&amp;TEXT(COUNTIFS($B$2:$B2444,"&lt;&gt;",$C$2:$C2444,"&lt;&gt;",$D$2:$D2444,"&lt;&gt;",$E$2:$E2444,"&lt;&gt;"),"00000"),""))</f>
        <v/>
      </c>
      <c r="B2444" s="16"/>
      <c r="N2444" s="22"/>
    </row>
    <row r="2445" spans="1:14" x14ac:dyDescent="0.3">
      <c r="A2445" s="15" t="str">
        <f>IF(COUNTA($B2445:$E2445,$K2445)=0,"",IF(AND($B2445&lt;&gt;"",$C2445&lt;&gt;"",$D2445&lt;&gt;"",$E2445&lt;&gt;""),"TXS"&amp;TEXT(COUNTIFS($B$2:$B2445,"&lt;&gt;",$C$2:$C2445,"&lt;&gt;",$D$2:$D2445,"&lt;&gt;",$E$2:$E2445,"&lt;&gt;"),"00000"),""))</f>
        <v/>
      </c>
      <c r="B2445" s="16"/>
      <c r="N2445" s="22"/>
    </row>
    <row r="2446" spans="1:14" x14ac:dyDescent="0.3">
      <c r="A2446" s="15" t="str">
        <f>IF(COUNTA($B2446:$E2446,$K2446)=0,"",IF(AND($B2446&lt;&gt;"",$C2446&lt;&gt;"",$D2446&lt;&gt;"",$E2446&lt;&gt;""),"TXS"&amp;TEXT(COUNTIFS($B$2:$B2446,"&lt;&gt;",$C$2:$C2446,"&lt;&gt;",$D$2:$D2446,"&lt;&gt;",$E$2:$E2446,"&lt;&gt;"),"00000"),""))</f>
        <v/>
      </c>
      <c r="B2446" s="16"/>
      <c r="N2446" s="22"/>
    </row>
    <row r="2447" spans="1:14" x14ac:dyDescent="0.3">
      <c r="A2447" s="15" t="str">
        <f>IF(COUNTA($B2447:$E2447,$K2447)=0,"",IF(AND($B2447&lt;&gt;"",$C2447&lt;&gt;"",$D2447&lt;&gt;"",$E2447&lt;&gt;""),"TXS"&amp;TEXT(COUNTIFS($B$2:$B2447,"&lt;&gt;",$C$2:$C2447,"&lt;&gt;",$D$2:$D2447,"&lt;&gt;",$E$2:$E2447,"&lt;&gt;"),"00000"),""))</f>
        <v/>
      </c>
      <c r="B2447" s="16"/>
      <c r="N2447" s="22"/>
    </row>
    <row r="2448" spans="1:14" x14ac:dyDescent="0.3">
      <c r="A2448" s="15" t="str">
        <f>IF(COUNTA($B2448:$E2448,$K2448)=0,"",IF(AND($B2448&lt;&gt;"",$C2448&lt;&gt;"",$D2448&lt;&gt;"",$E2448&lt;&gt;""),"TXS"&amp;TEXT(COUNTIFS($B$2:$B2448,"&lt;&gt;",$C$2:$C2448,"&lt;&gt;",$D$2:$D2448,"&lt;&gt;",$E$2:$E2448,"&lt;&gt;"),"00000"),""))</f>
        <v/>
      </c>
      <c r="B2448" s="16"/>
      <c r="N2448" s="22"/>
    </row>
    <row r="2449" spans="1:14" x14ac:dyDescent="0.3">
      <c r="A2449" s="15" t="str">
        <f>IF(COUNTA($B2449:$E2449,$K2449)=0,"",IF(AND($B2449&lt;&gt;"",$C2449&lt;&gt;"",$D2449&lt;&gt;"",$E2449&lt;&gt;""),"TXS"&amp;TEXT(COUNTIFS($B$2:$B2449,"&lt;&gt;",$C$2:$C2449,"&lt;&gt;",$D$2:$D2449,"&lt;&gt;",$E$2:$E2449,"&lt;&gt;"),"00000"),""))</f>
        <v/>
      </c>
      <c r="B2449" s="16"/>
      <c r="N2449" s="22"/>
    </row>
    <row r="2450" spans="1:14" x14ac:dyDescent="0.3">
      <c r="A2450" s="15" t="str">
        <f>IF(COUNTA($B2450:$E2450,$K2450)=0,"",IF(AND($B2450&lt;&gt;"",$C2450&lt;&gt;"",$D2450&lt;&gt;"",$E2450&lt;&gt;""),"TXS"&amp;TEXT(COUNTIFS($B$2:$B2450,"&lt;&gt;",$C$2:$C2450,"&lt;&gt;",$D$2:$D2450,"&lt;&gt;",$E$2:$E2450,"&lt;&gt;"),"00000"),""))</f>
        <v/>
      </c>
      <c r="B2450" s="16"/>
      <c r="N2450" s="22"/>
    </row>
    <row r="2451" spans="1:14" x14ac:dyDescent="0.3">
      <c r="A2451" s="15" t="str">
        <f>IF(COUNTA($B2451:$E2451,$K2451)=0,"",IF(AND($B2451&lt;&gt;"",$C2451&lt;&gt;"",$D2451&lt;&gt;"",$E2451&lt;&gt;""),"TXS"&amp;TEXT(COUNTIFS($B$2:$B2451,"&lt;&gt;",$C$2:$C2451,"&lt;&gt;",$D$2:$D2451,"&lt;&gt;",$E$2:$E2451,"&lt;&gt;"),"00000"),""))</f>
        <v/>
      </c>
      <c r="B2451" s="16"/>
      <c r="N2451" s="22"/>
    </row>
    <row r="2452" spans="1:14" x14ac:dyDescent="0.3">
      <c r="A2452" s="15" t="str">
        <f>IF(COUNTA($B2452:$E2452,$K2452)=0,"",IF(AND($B2452&lt;&gt;"",$C2452&lt;&gt;"",$D2452&lt;&gt;"",$E2452&lt;&gt;""),"TXS"&amp;TEXT(COUNTIFS($B$2:$B2452,"&lt;&gt;",$C$2:$C2452,"&lt;&gt;",$D$2:$D2452,"&lt;&gt;",$E$2:$E2452,"&lt;&gt;"),"00000"),""))</f>
        <v/>
      </c>
      <c r="B2452" s="16"/>
      <c r="N2452" s="22"/>
    </row>
    <row r="2453" spans="1:14" x14ac:dyDescent="0.3">
      <c r="A2453" s="15" t="str">
        <f>IF(COUNTA($B2453:$E2453,$K2453)=0,"",IF(AND($B2453&lt;&gt;"",$C2453&lt;&gt;"",$D2453&lt;&gt;"",$E2453&lt;&gt;""),"TXS"&amp;TEXT(COUNTIFS($B$2:$B2453,"&lt;&gt;",$C$2:$C2453,"&lt;&gt;",$D$2:$D2453,"&lt;&gt;",$E$2:$E2453,"&lt;&gt;"),"00000"),""))</f>
        <v/>
      </c>
      <c r="B2453" s="16"/>
      <c r="N2453" s="22"/>
    </row>
    <row r="2454" spans="1:14" x14ac:dyDescent="0.3">
      <c r="A2454" s="15" t="str">
        <f>IF(COUNTA($B2454:$E2454,$K2454)=0,"",IF(AND($B2454&lt;&gt;"",$C2454&lt;&gt;"",$D2454&lt;&gt;"",$E2454&lt;&gt;""),"TXS"&amp;TEXT(COUNTIFS($B$2:$B2454,"&lt;&gt;",$C$2:$C2454,"&lt;&gt;",$D$2:$D2454,"&lt;&gt;",$E$2:$E2454,"&lt;&gt;"),"00000"),""))</f>
        <v/>
      </c>
      <c r="B2454" s="16"/>
      <c r="N2454" s="22"/>
    </row>
    <row r="2455" spans="1:14" x14ac:dyDescent="0.3">
      <c r="A2455" s="15" t="str">
        <f>IF(COUNTA($B2455:$E2455,$K2455)=0,"",IF(AND($B2455&lt;&gt;"",$C2455&lt;&gt;"",$D2455&lt;&gt;"",$E2455&lt;&gt;""),"TXS"&amp;TEXT(COUNTIFS($B$2:$B2455,"&lt;&gt;",$C$2:$C2455,"&lt;&gt;",$D$2:$D2455,"&lt;&gt;",$E$2:$E2455,"&lt;&gt;"),"00000"),""))</f>
        <v/>
      </c>
      <c r="B2455" s="16"/>
      <c r="N2455" s="22"/>
    </row>
    <row r="2456" spans="1:14" x14ac:dyDescent="0.3">
      <c r="A2456" s="15" t="str">
        <f>IF(COUNTA($B2456:$E2456,$K2456)=0,"",IF(AND($B2456&lt;&gt;"",$C2456&lt;&gt;"",$D2456&lt;&gt;"",$E2456&lt;&gt;""),"TXS"&amp;TEXT(COUNTIFS($B$2:$B2456,"&lt;&gt;",$C$2:$C2456,"&lt;&gt;",$D$2:$D2456,"&lt;&gt;",$E$2:$E2456,"&lt;&gt;"),"00000"),""))</f>
        <v/>
      </c>
      <c r="B2456" s="16"/>
      <c r="N2456" s="22"/>
    </row>
    <row r="2457" spans="1:14" x14ac:dyDescent="0.3">
      <c r="A2457" s="15" t="str">
        <f>IF(COUNTA($B2457:$E2457,$K2457)=0,"",IF(AND($B2457&lt;&gt;"",$C2457&lt;&gt;"",$D2457&lt;&gt;"",$E2457&lt;&gt;""),"TXS"&amp;TEXT(COUNTIFS($B$2:$B2457,"&lt;&gt;",$C$2:$C2457,"&lt;&gt;",$D$2:$D2457,"&lt;&gt;",$E$2:$E2457,"&lt;&gt;"),"00000"),""))</f>
        <v/>
      </c>
      <c r="B2457" s="16"/>
      <c r="N2457" s="22"/>
    </row>
    <row r="2458" spans="1:14" x14ac:dyDescent="0.3">
      <c r="A2458" s="15" t="str">
        <f>IF(COUNTA($B2458:$E2458,$K2458)=0,"",IF(AND($B2458&lt;&gt;"",$C2458&lt;&gt;"",$D2458&lt;&gt;"",$E2458&lt;&gt;""),"TXS"&amp;TEXT(COUNTIFS($B$2:$B2458,"&lt;&gt;",$C$2:$C2458,"&lt;&gt;",$D$2:$D2458,"&lt;&gt;",$E$2:$E2458,"&lt;&gt;"),"00000"),""))</f>
        <v/>
      </c>
      <c r="B2458" s="16"/>
      <c r="N2458" s="22"/>
    </row>
    <row r="2459" spans="1:14" x14ac:dyDescent="0.3">
      <c r="A2459" s="15" t="str">
        <f>IF(COUNTA($B2459:$E2459,$K2459)=0,"",IF(AND($B2459&lt;&gt;"",$C2459&lt;&gt;"",$D2459&lt;&gt;"",$E2459&lt;&gt;""),"TXS"&amp;TEXT(COUNTIFS($B$2:$B2459,"&lt;&gt;",$C$2:$C2459,"&lt;&gt;",$D$2:$D2459,"&lt;&gt;",$E$2:$E2459,"&lt;&gt;"),"00000"),""))</f>
        <v/>
      </c>
      <c r="B2459" s="16"/>
      <c r="N2459" s="22"/>
    </row>
    <row r="2460" spans="1:14" x14ac:dyDescent="0.3">
      <c r="A2460" s="15" t="str">
        <f>IF(COUNTA($B2460:$E2460,$K2460)=0,"",IF(AND($B2460&lt;&gt;"",$C2460&lt;&gt;"",$D2460&lt;&gt;"",$E2460&lt;&gt;""),"TXS"&amp;TEXT(COUNTIFS($B$2:$B2460,"&lt;&gt;",$C$2:$C2460,"&lt;&gt;",$D$2:$D2460,"&lt;&gt;",$E$2:$E2460,"&lt;&gt;"),"00000"),""))</f>
        <v/>
      </c>
      <c r="B2460" s="16"/>
      <c r="N2460" s="22"/>
    </row>
    <row r="2461" spans="1:14" x14ac:dyDescent="0.3">
      <c r="A2461" s="15" t="str">
        <f>IF(COUNTA($B2461:$E2461,$K2461)=0,"",IF(AND($B2461&lt;&gt;"",$C2461&lt;&gt;"",$D2461&lt;&gt;"",$E2461&lt;&gt;""),"TXS"&amp;TEXT(COUNTIFS($B$2:$B2461,"&lt;&gt;",$C$2:$C2461,"&lt;&gt;",$D$2:$D2461,"&lt;&gt;",$E$2:$E2461,"&lt;&gt;"),"00000"),""))</f>
        <v/>
      </c>
      <c r="B2461" s="16"/>
      <c r="N2461" s="22"/>
    </row>
    <row r="2462" spans="1:14" x14ac:dyDescent="0.3">
      <c r="A2462" s="15" t="str">
        <f>IF(COUNTA($B2462:$E2462,$K2462)=0,"",IF(AND($B2462&lt;&gt;"",$C2462&lt;&gt;"",$D2462&lt;&gt;"",$E2462&lt;&gt;""),"TXS"&amp;TEXT(COUNTIFS($B$2:$B2462,"&lt;&gt;",$C$2:$C2462,"&lt;&gt;",$D$2:$D2462,"&lt;&gt;",$E$2:$E2462,"&lt;&gt;"),"00000"),""))</f>
        <v/>
      </c>
      <c r="B2462" s="16"/>
      <c r="N2462" s="22"/>
    </row>
    <row r="2463" spans="1:14" x14ac:dyDescent="0.3">
      <c r="A2463" s="15" t="str">
        <f>IF(COUNTA($B2463:$E2463,$K2463)=0,"",IF(AND($B2463&lt;&gt;"",$C2463&lt;&gt;"",$D2463&lt;&gt;"",$E2463&lt;&gt;""),"TXS"&amp;TEXT(COUNTIFS($B$2:$B2463,"&lt;&gt;",$C$2:$C2463,"&lt;&gt;",$D$2:$D2463,"&lt;&gt;",$E$2:$E2463,"&lt;&gt;"),"00000"),""))</f>
        <v/>
      </c>
      <c r="B2463" s="16"/>
      <c r="N2463" s="22"/>
    </row>
    <row r="2464" spans="1:14" x14ac:dyDescent="0.3">
      <c r="A2464" s="15" t="str">
        <f>IF(COUNTA($B2464:$E2464,$K2464)=0,"",IF(AND($B2464&lt;&gt;"",$C2464&lt;&gt;"",$D2464&lt;&gt;"",$E2464&lt;&gt;""),"TXS"&amp;TEXT(COUNTIFS($B$2:$B2464,"&lt;&gt;",$C$2:$C2464,"&lt;&gt;",$D$2:$D2464,"&lt;&gt;",$E$2:$E2464,"&lt;&gt;"),"00000"),""))</f>
        <v/>
      </c>
      <c r="B2464" s="16"/>
      <c r="N2464" s="22"/>
    </row>
    <row r="2465" spans="1:14" x14ac:dyDescent="0.3">
      <c r="A2465" s="15" t="str">
        <f>IF(COUNTA($B2465:$E2465,$K2465)=0,"",IF(AND($B2465&lt;&gt;"",$C2465&lt;&gt;"",$D2465&lt;&gt;"",$E2465&lt;&gt;""),"TXS"&amp;TEXT(COUNTIFS($B$2:$B2465,"&lt;&gt;",$C$2:$C2465,"&lt;&gt;",$D$2:$D2465,"&lt;&gt;",$E$2:$E2465,"&lt;&gt;"),"00000"),""))</f>
        <v/>
      </c>
      <c r="B2465" s="16"/>
      <c r="N2465" s="22"/>
    </row>
    <row r="2466" spans="1:14" x14ac:dyDescent="0.3">
      <c r="A2466" s="15" t="str">
        <f>IF(COUNTA($B2466:$E2466,$K2466)=0,"",IF(AND($B2466&lt;&gt;"",$C2466&lt;&gt;"",$D2466&lt;&gt;"",$E2466&lt;&gt;""),"TXS"&amp;TEXT(COUNTIFS($B$2:$B2466,"&lt;&gt;",$C$2:$C2466,"&lt;&gt;",$D$2:$D2466,"&lt;&gt;",$E$2:$E2466,"&lt;&gt;"),"00000"),""))</f>
        <v/>
      </c>
      <c r="B2466" s="16"/>
      <c r="N2466" s="22"/>
    </row>
    <row r="2467" spans="1:14" x14ac:dyDescent="0.3">
      <c r="A2467" s="15" t="str">
        <f>IF(COUNTA($B2467:$E2467,$K2467)=0,"",IF(AND($B2467&lt;&gt;"",$C2467&lt;&gt;"",$D2467&lt;&gt;"",$E2467&lt;&gt;""),"TXS"&amp;TEXT(COUNTIFS($B$2:$B2467,"&lt;&gt;",$C$2:$C2467,"&lt;&gt;",$D$2:$D2467,"&lt;&gt;",$E$2:$E2467,"&lt;&gt;"),"00000"),""))</f>
        <v/>
      </c>
      <c r="B2467" s="16"/>
      <c r="N2467" s="22"/>
    </row>
    <row r="2468" spans="1:14" x14ac:dyDescent="0.3">
      <c r="A2468" s="15" t="str">
        <f>IF(COUNTA($B2468:$E2468,$K2468)=0,"",IF(AND($B2468&lt;&gt;"",$C2468&lt;&gt;"",$D2468&lt;&gt;"",$E2468&lt;&gt;""),"TXS"&amp;TEXT(COUNTIFS($B$2:$B2468,"&lt;&gt;",$C$2:$C2468,"&lt;&gt;",$D$2:$D2468,"&lt;&gt;",$E$2:$E2468,"&lt;&gt;"),"00000"),""))</f>
        <v/>
      </c>
      <c r="B2468" s="16"/>
      <c r="N2468" s="22"/>
    </row>
    <row r="2469" spans="1:14" x14ac:dyDescent="0.3">
      <c r="A2469" s="15" t="str">
        <f>IF(COUNTA($B2469:$E2469,$K2469)=0,"",IF(AND($B2469&lt;&gt;"",$C2469&lt;&gt;"",$D2469&lt;&gt;"",$E2469&lt;&gt;""),"TXS"&amp;TEXT(COUNTIFS($B$2:$B2469,"&lt;&gt;",$C$2:$C2469,"&lt;&gt;",$D$2:$D2469,"&lt;&gt;",$E$2:$E2469,"&lt;&gt;"),"00000"),""))</f>
        <v/>
      </c>
      <c r="B2469" s="16"/>
      <c r="N2469" s="22"/>
    </row>
    <row r="2470" spans="1:14" x14ac:dyDescent="0.3">
      <c r="A2470" s="15" t="str">
        <f>IF(COUNTA($B2470:$E2470,$K2470)=0,"",IF(AND($B2470&lt;&gt;"",$C2470&lt;&gt;"",$D2470&lt;&gt;"",$E2470&lt;&gt;""),"TXS"&amp;TEXT(COUNTIFS($B$2:$B2470,"&lt;&gt;",$C$2:$C2470,"&lt;&gt;",$D$2:$D2470,"&lt;&gt;",$E$2:$E2470,"&lt;&gt;"),"00000"),""))</f>
        <v/>
      </c>
      <c r="B2470" s="16"/>
      <c r="N2470" s="22"/>
    </row>
    <row r="2471" spans="1:14" x14ac:dyDescent="0.3">
      <c r="A2471" s="15" t="str">
        <f>IF(COUNTA($B2471:$E2471,$K2471)=0,"",IF(AND($B2471&lt;&gt;"",$C2471&lt;&gt;"",$D2471&lt;&gt;"",$E2471&lt;&gt;""),"TXS"&amp;TEXT(COUNTIFS($B$2:$B2471,"&lt;&gt;",$C$2:$C2471,"&lt;&gt;",$D$2:$D2471,"&lt;&gt;",$E$2:$E2471,"&lt;&gt;"),"00000"),""))</f>
        <v/>
      </c>
      <c r="B2471" s="16"/>
      <c r="N2471" s="22"/>
    </row>
    <row r="2472" spans="1:14" x14ac:dyDescent="0.3">
      <c r="A2472" s="15" t="str">
        <f>IF(COUNTA($B2472:$E2472,$K2472)=0,"",IF(AND($B2472&lt;&gt;"",$C2472&lt;&gt;"",$D2472&lt;&gt;"",$E2472&lt;&gt;""),"TXS"&amp;TEXT(COUNTIFS($B$2:$B2472,"&lt;&gt;",$C$2:$C2472,"&lt;&gt;",$D$2:$D2472,"&lt;&gt;",$E$2:$E2472,"&lt;&gt;"),"00000"),""))</f>
        <v/>
      </c>
      <c r="B2472" s="16"/>
      <c r="N2472" s="22"/>
    </row>
    <row r="2473" spans="1:14" x14ac:dyDescent="0.3">
      <c r="A2473" s="15" t="str">
        <f>IF(COUNTA($B2473:$E2473,$K2473)=0,"",IF(AND($B2473&lt;&gt;"",$C2473&lt;&gt;"",$D2473&lt;&gt;"",$E2473&lt;&gt;""),"TXS"&amp;TEXT(COUNTIFS($B$2:$B2473,"&lt;&gt;",$C$2:$C2473,"&lt;&gt;",$D$2:$D2473,"&lt;&gt;",$E$2:$E2473,"&lt;&gt;"),"00000"),""))</f>
        <v/>
      </c>
      <c r="B2473" s="16"/>
      <c r="N2473" s="22"/>
    </row>
    <row r="2474" spans="1:14" x14ac:dyDescent="0.3">
      <c r="A2474" s="15" t="str">
        <f>IF(COUNTA($B2474:$E2474,$K2474)=0,"",IF(AND($B2474&lt;&gt;"",$C2474&lt;&gt;"",$D2474&lt;&gt;"",$E2474&lt;&gt;""),"TXS"&amp;TEXT(COUNTIFS($B$2:$B2474,"&lt;&gt;",$C$2:$C2474,"&lt;&gt;",$D$2:$D2474,"&lt;&gt;",$E$2:$E2474,"&lt;&gt;"),"00000"),""))</f>
        <v/>
      </c>
      <c r="B2474" s="16"/>
      <c r="N2474" s="22"/>
    </row>
    <row r="2475" spans="1:14" x14ac:dyDescent="0.3">
      <c r="A2475" s="15" t="str">
        <f>IF(COUNTA($B2475:$E2475,$K2475)=0,"",IF(AND($B2475&lt;&gt;"",$C2475&lt;&gt;"",$D2475&lt;&gt;"",$E2475&lt;&gt;""),"TXS"&amp;TEXT(COUNTIFS($B$2:$B2475,"&lt;&gt;",$C$2:$C2475,"&lt;&gt;",$D$2:$D2475,"&lt;&gt;",$E$2:$E2475,"&lt;&gt;"),"00000"),""))</f>
        <v/>
      </c>
      <c r="B2475" s="16"/>
      <c r="N2475" s="22"/>
    </row>
    <row r="2476" spans="1:14" x14ac:dyDescent="0.3">
      <c r="A2476" s="15" t="str">
        <f>IF(COUNTA($B2476:$E2476,$K2476)=0,"",IF(AND($B2476&lt;&gt;"",$C2476&lt;&gt;"",$D2476&lt;&gt;"",$E2476&lt;&gt;""),"TXS"&amp;TEXT(COUNTIFS($B$2:$B2476,"&lt;&gt;",$C$2:$C2476,"&lt;&gt;",$D$2:$D2476,"&lt;&gt;",$E$2:$E2476,"&lt;&gt;"),"00000"),""))</f>
        <v/>
      </c>
      <c r="B2476" s="16"/>
      <c r="N2476" s="22"/>
    </row>
    <row r="2477" spans="1:14" x14ac:dyDescent="0.3">
      <c r="A2477" s="15" t="str">
        <f>IF(COUNTA($B2477:$E2477,$K2477)=0,"",IF(AND($B2477&lt;&gt;"",$C2477&lt;&gt;"",$D2477&lt;&gt;"",$E2477&lt;&gt;""),"TXS"&amp;TEXT(COUNTIFS($B$2:$B2477,"&lt;&gt;",$C$2:$C2477,"&lt;&gt;",$D$2:$D2477,"&lt;&gt;",$E$2:$E2477,"&lt;&gt;"),"00000"),""))</f>
        <v/>
      </c>
      <c r="B2477" s="16"/>
      <c r="N2477" s="22"/>
    </row>
    <row r="2478" spans="1:14" x14ac:dyDescent="0.3">
      <c r="A2478" s="15" t="str">
        <f>IF(COUNTA($B2478:$E2478,$K2478)=0,"",IF(AND($B2478&lt;&gt;"",$C2478&lt;&gt;"",$D2478&lt;&gt;"",$E2478&lt;&gt;""),"TXS"&amp;TEXT(COUNTIFS($B$2:$B2478,"&lt;&gt;",$C$2:$C2478,"&lt;&gt;",$D$2:$D2478,"&lt;&gt;",$E$2:$E2478,"&lt;&gt;"),"00000"),""))</f>
        <v/>
      </c>
      <c r="B2478" s="16"/>
      <c r="N2478" s="22"/>
    </row>
    <row r="2479" spans="1:14" x14ac:dyDescent="0.3">
      <c r="A2479" s="15" t="str">
        <f>IF(COUNTA($B2479:$E2479,$K2479)=0,"",IF(AND($B2479&lt;&gt;"",$C2479&lt;&gt;"",$D2479&lt;&gt;"",$E2479&lt;&gt;""),"TXS"&amp;TEXT(COUNTIFS($B$2:$B2479,"&lt;&gt;",$C$2:$C2479,"&lt;&gt;",$D$2:$D2479,"&lt;&gt;",$E$2:$E2479,"&lt;&gt;"),"00000"),""))</f>
        <v/>
      </c>
      <c r="B2479" s="16"/>
      <c r="N2479" s="22"/>
    </row>
    <row r="2480" spans="1:14" x14ac:dyDescent="0.3">
      <c r="A2480" s="15" t="str">
        <f>IF(COUNTA($B2480:$E2480,$K2480)=0,"",IF(AND($B2480&lt;&gt;"",$C2480&lt;&gt;"",$D2480&lt;&gt;"",$E2480&lt;&gt;""),"TXS"&amp;TEXT(COUNTIFS($B$2:$B2480,"&lt;&gt;",$C$2:$C2480,"&lt;&gt;",$D$2:$D2480,"&lt;&gt;",$E$2:$E2480,"&lt;&gt;"),"00000"),""))</f>
        <v/>
      </c>
      <c r="B2480" s="16"/>
      <c r="N2480" s="22"/>
    </row>
    <row r="2481" spans="1:14" x14ac:dyDescent="0.3">
      <c r="A2481" s="15" t="str">
        <f>IF(COUNTA($B2481:$E2481,$K2481)=0,"",IF(AND($B2481&lt;&gt;"",$C2481&lt;&gt;"",$D2481&lt;&gt;"",$E2481&lt;&gt;""),"TXS"&amp;TEXT(COUNTIFS($B$2:$B2481,"&lt;&gt;",$C$2:$C2481,"&lt;&gt;",$D$2:$D2481,"&lt;&gt;",$E$2:$E2481,"&lt;&gt;"),"00000"),""))</f>
        <v/>
      </c>
      <c r="B2481" s="16"/>
      <c r="N2481" s="22"/>
    </row>
    <row r="2482" spans="1:14" x14ac:dyDescent="0.3">
      <c r="A2482" s="15" t="str">
        <f>IF(COUNTA($B2482:$E2482,$K2482)=0,"",IF(AND($B2482&lt;&gt;"",$C2482&lt;&gt;"",$D2482&lt;&gt;"",$E2482&lt;&gt;""),"TXS"&amp;TEXT(COUNTIFS($B$2:$B2482,"&lt;&gt;",$C$2:$C2482,"&lt;&gt;",$D$2:$D2482,"&lt;&gt;",$E$2:$E2482,"&lt;&gt;"),"00000"),""))</f>
        <v/>
      </c>
      <c r="B2482" s="16"/>
      <c r="N2482" s="22"/>
    </row>
    <row r="2483" spans="1:14" x14ac:dyDescent="0.3">
      <c r="A2483" s="15" t="str">
        <f>IF(COUNTA($B2483:$E2483,$K2483)=0,"",IF(AND($B2483&lt;&gt;"",$C2483&lt;&gt;"",$D2483&lt;&gt;"",$E2483&lt;&gt;""),"TXS"&amp;TEXT(COUNTIFS($B$2:$B2483,"&lt;&gt;",$C$2:$C2483,"&lt;&gt;",$D$2:$D2483,"&lt;&gt;",$E$2:$E2483,"&lt;&gt;"),"00000"),""))</f>
        <v/>
      </c>
      <c r="B2483" s="16"/>
      <c r="N2483" s="22"/>
    </row>
    <row r="2484" spans="1:14" x14ac:dyDescent="0.3">
      <c r="A2484" s="15" t="str">
        <f>IF(COUNTA($B2484:$E2484,$K2484)=0,"",IF(AND($B2484&lt;&gt;"",$C2484&lt;&gt;"",$D2484&lt;&gt;"",$E2484&lt;&gt;""),"TXS"&amp;TEXT(COUNTIFS($B$2:$B2484,"&lt;&gt;",$C$2:$C2484,"&lt;&gt;",$D$2:$D2484,"&lt;&gt;",$E$2:$E2484,"&lt;&gt;"),"00000"),""))</f>
        <v/>
      </c>
      <c r="B2484" s="16"/>
      <c r="N2484" s="22"/>
    </row>
    <row r="2485" spans="1:14" x14ac:dyDescent="0.3">
      <c r="A2485" s="15" t="str">
        <f>IF(COUNTA($B2485:$E2485,$K2485)=0,"",IF(AND($B2485&lt;&gt;"",$C2485&lt;&gt;"",$D2485&lt;&gt;"",$E2485&lt;&gt;""),"TXS"&amp;TEXT(COUNTIFS($B$2:$B2485,"&lt;&gt;",$C$2:$C2485,"&lt;&gt;",$D$2:$D2485,"&lt;&gt;",$E$2:$E2485,"&lt;&gt;"),"00000"),""))</f>
        <v/>
      </c>
      <c r="B2485" s="16"/>
      <c r="N2485" s="22"/>
    </row>
    <row r="2486" spans="1:14" x14ac:dyDescent="0.3">
      <c r="A2486" s="15" t="str">
        <f>IF(COUNTA($B2486:$E2486,$K2486)=0,"",IF(AND($B2486&lt;&gt;"",$C2486&lt;&gt;"",$D2486&lt;&gt;"",$E2486&lt;&gt;""),"TXS"&amp;TEXT(COUNTIFS($B$2:$B2486,"&lt;&gt;",$C$2:$C2486,"&lt;&gt;",$D$2:$D2486,"&lt;&gt;",$E$2:$E2486,"&lt;&gt;"),"00000"),""))</f>
        <v/>
      </c>
      <c r="B2486" s="16"/>
      <c r="N2486" s="22"/>
    </row>
    <row r="2487" spans="1:14" x14ac:dyDescent="0.3">
      <c r="A2487" s="15" t="str">
        <f>IF(COUNTA($B2487:$E2487,$K2487)=0,"",IF(AND($B2487&lt;&gt;"",$C2487&lt;&gt;"",$D2487&lt;&gt;"",$E2487&lt;&gt;""),"TXS"&amp;TEXT(COUNTIFS($B$2:$B2487,"&lt;&gt;",$C$2:$C2487,"&lt;&gt;",$D$2:$D2487,"&lt;&gt;",$E$2:$E2487,"&lt;&gt;"),"00000"),""))</f>
        <v/>
      </c>
      <c r="B2487" s="16"/>
      <c r="N2487" s="22"/>
    </row>
    <row r="2488" spans="1:14" x14ac:dyDescent="0.3">
      <c r="A2488" s="15" t="str">
        <f>IF(COUNTA($B2488:$E2488,$K2488)=0,"",IF(AND($B2488&lt;&gt;"",$C2488&lt;&gt;"",$D2488&lt;&gt;"",$E2488&lt;&gt;""),"TXS"&amp;TEXT(COUNTIFS($B$2:$B2488,"&lt;&gt;",$C$2:$C2488,"&lt;&gt;",$D$2:$D2488,"&lt;&gt;",$E$2:$E2488,"&lt;&gt;"),"00000"),""))</f>
        <v/>
      </c>
      <c r="B2488" s="16"/>
      <c r="N2488" s="22"/>
    </row>
    <row r="2489" spans="1:14" x14ac:dyDescent="0.3">
      <c r="A2489" s="15" t="str">
        <f>IF(COUNTA($B2489:$E2489,$K2489)=0,"",IF(AND($B2489&lt;&gt;"",$C2489&lt;&gt;"",$D2489&lt;&gt;"",$E2489&lt;&gt;""),"TXS"&amp;TEXT(COUNTIFS($B$2:$B2489,"&lt;&gt;",$C$2:$C2489,"&lt;&gt;",$D$2:$D2489,"&lt;&gt;",$E$2:$E2489,"&lt;&gt;"),"00000"),""))</f>
        <v/>
      </c>
      <c r="B2489" s="16"/>
      <c r="N2489" s="22"/>
    </row>
    <row r="2490" spans="1:14" x14ac:dyDescent="0.3">
      <c r="A2490" s="15" t="str">
        <f>IF(COUNTA($B2490:$E2490,$K2490)=0,"",IF(AND($B2490&lt;&gt;"",$C2490&lt;&gt;"",$D2490&lt;&gt;"",$E2490&lt;&gt;""),"TXS"&amp;TEXT(COUNTIFS($B$2:$B2490,"&lt;&gt;",$C$2:$C2490,"&lt;&gt;",$D$2:$D2490,"&lt;&gt;",$E$2:$E2490,"&lt;&gt;"),"00000"),""))</f>
        <v/>
      </c>
      <c r="B2490" s="16"/>
      <c r="N2490" s="22"/>
    </row>
    <row r="2491" spans="1:14" x14ac:dyDescent="0.3">
      <c r="A2491" s="15" t="str">
        <f>IF(COUNTA($B2491:$E2491,$K2491)=0,"",IF(AND($B2491&lt;&gt;"",$C2491&lt;&gt;"",$D2491&lt;&gt;"",$E2491&lt;&gt;""),"TXS"&amp;TEXT(COUNTIFS($B$2:$B2491,"&lt;&gt;",$C$2:$C2491,"&lt;&gt;",$D$2:$D2491,"&lt;&gt;",$E$2:$E2491,"&lt;&gt;"),"00000"),""))</f>
        <v/>
      </c>
      <c r="B2491" s="16"/>
      <c r="N2491" s="22"/>
    </row>
    <row r="2492" spans="1:14" x14ac:dyDescent="0.3">
      <c r="A2492" s="15" t="str">
        <f>IF(COUNTA($B2492:$E2492,$K2492)=0,"",IF(AND($B2492&lt;&gt;"",$C2492&lt;&gt;"",$D2492&lt;&gt;"",$E2492&lt;&gt;""),"TXS"&amp;TEXT(COUNTIFS($B$2:$B2492,"&lt;&gt;",$C$2:$C2492,"&lt;&gt;",$D$2:$D2492,"&lt;&gt;",$E$2:$E2492,"&lt;&gt;"),"00000"),""))</f>
        <v/>
      </c>
      <c r="B2492" s="16"/>
      <c r="N2492" s="22"/>
    </row>
    <row r="2493" spans="1:14" x14ac:dyDescent="0.3">
      <c r="A2493" s="15" t="str">
        <f>IF(COUNTA($B2493:$E2493,$K2493)=0,"",IF(AND($B2493&lt;&gt;"",$C2493&lt;&gt;"",$D2493&lt;&gt;"",$E2493&lt;&gt;""),"TXS"&amp;TEXT(COUNTIFS($B$2:$B2493,"&lt;&gt;",$C$2:$C2493,"&lt;&gt;",$D$2:$D2493,"&lt;&gt;",$E$2:$E2493,"&lt;&gt;"),"00000"),""))</f>
        <v/>
      </c>
      <c r="B2493" s="16"/>
      <c r="N2493" s="22"/>
    </row>
    <row r="2494" spans="1:14" x14ac:dyDescent="0.3">
      <c r="A2494" s="15" t="str">
        <f>IF(COUNTA($B2494:$E2494,$K2494)=0,"",IF(AND($B2494&lt;&gt;"",$C2494&lt;&gt;"",$D2494&lt;&gt;"",$E2494&lt;&gt;""),"TXS"&amp;TEXT(COUNTIFS($B$2:$B2494,"&lt;&gt;",$C$2:$C2494,"&lt;&gt;",$D$2:$D2494,"&lt;&gt;",$E$2:$E2494,"&lt;&gt;"),"00000"),""))</f>
        <v/>
      </c>
      <c r="B2494" s="16"/>
      <c r="N2494" s="22"/>
    </row>
    <row r="2495" spans="1:14" x14ac:dyDescent="0.3">
      <c r="A2495" s="15" t="str">
        <f>IF(COUNTA($B2495:$E2495,$K2495)=0,"",IF(AND($B2495&lt;&gt;"",$C2495&lt;&gt;"",$D2495&lt;&gt;"",$E2495&lt;&gt;""),"TXS"&amp;TEXT(COUNTIFS($B$2:$B2495,"&lt;&gt;",$C$2:$C2495,"&lt;&gt;",$D$2:$D2495,"&lt;&gt;",$E$2:$E2495,"&lt;&gt;"),"00000"),""))</f>
        <v/>
      </c>
      <c r="B2495" s="16"/>
      <c r="N2495" s="22"/>
    </row>
    <row r="2496" spans="1:14" x14ac:dyDescent="0.3">
      <c r="A2496" s="15" t="str">
        <f>IF(COUNTA($B2496:$E2496,$K2496)=0,"",IF(AND($B2496&lt;&gt;"",$C2496&lt;&gt;"",$D2496&lt;&gt;"",$E2496&lt;&gt;""),"TXS"&amp;TEXT(COUNTIFS($B$2:$B2496,"&lt;&gt;",$C$2:$C2496,"&lt;&gt;",$D$2:$D2496,"&lt;&gt;",$E$2:$E2496,"&lt;&gt;"),"00000"),""))</f>
        <v/>
      </c>
      <c r="B2496" s="16"/>
      <c r="N2496" s="22"/>
    </row>
    <row r="2497" spans="1:14" x14ac:dyDescent="0.3">
      <c r="A2497" s="15" t="str">
        <f>IF(COUNTA($B2497:$E2497,$K2497)=0,"",IF(AND($B2497&lt;&gt;"",$C2497&lt;&gt;"",$D2497&lt;&gt;"",$E2497&lt;&gt;""),"TXS"&amp;TEXT(COUNTIFS($B$2:$B2497,"&lt;&gt;",$C$2:$C2497,"&lt;&gt;",$D$2:$D2497,"&lt;&gt;",$E$2:$E2497,"&lt;&gt;"),"00000"),""))</f>
        <v/>
      </c>
      <c r="B2497" s="16"/>
      <c r="N2497" s="22"/>
    </row>
    <row r="2498" spans="1:14" x14ac:dyDescent="0.3">
      <c r="A2498" s="15" t="str">
        <f>IF(COUNTA($B2498:$E2498,$K2498)=0,"",IF(AND($B2498&lt;&gt;"",$C2498&lt;&gt;"",$D2498&lt;&gt;"",$E2498&lt;&gt;""),"TXS"&amp;TEXT(COUNTIFS($B$2:$B2498,"&lt;&gt;",$C$2:$C2498,"&lt;&gt;",$D$2:$D2498,"&lt;&gt;",$E$2:$E2498,"&lt;&gt;"),"00000"),""))</f>
        <v/>
      </c>
      <c r="B2498" s="16"/>
      <c r="N2498" s="22"/>
    </row>
    <row r="2499" spans="1:14" x14ac:dyDescent="0.3">
      <c r="A2499" s="15" t="str">
        <f>IF(COUNTA($B2499:$E2499,$K2499)=0,"",IF(AND($B2499&lt;&gt;"",$C2499&lt;&gt;"",$D2499&lt;&gt;"",$E2499&lt;&gt;""),"TXS"&amp;TEXT(COUNTIFS($B$2:$B2499,"&lt;&gt;",$C$2:$C2499,"&lt;&gt;",$D$2:$D2499,"&lt;&gt;",$E$2:$E2499,"&lt;&gt;"),"00000"),""))</f>
        <v/>
      </c>
      <c r="B2499" s="16"/>
      <c r="N2499" s="22"/>
    </row>
    <row r="2500" spans="1:14" x14ac:dyDescent="0.3">
      <c r="A2500" s="15" t="str">
        <f>IF(COUNTA($B2500:$E2500,$K2500)=0,"",IF(AND($B2500&lt;&gt;"",$C2500&lt;&gt;"",$D2500&lt;&gt;"",$E2500&lt;&gt;""),"TXS"&amp;TEXT(COUNTIFS($B$2:$B2500,"&lt;&gt;",$C$2:$C2500,"&lt;&gt;",$D$2:$D2500,"&lt;&gt;",$E$2:$E2500,"&lt;&gt;"),"00000"),""))</f>
        <v/>
      </c>
      <c r="B2500" s="16"/>
      <c r="N2500" s="22"/>
    </row>
    <row r="2501" spans="1:14" x14ac:dyDescent="0.3">
      <c r="A2501" s="15" t="str">
        <f>IF(COUNTA($B2501:$E2501,$K2501)=0,"",IF(AND($B2501&lt;&gt;"",$C2501&lt;&gt;"",$D2501&lt;&gt;"",$E2501&lt;&gt;""),"TXS"&amp;TEXT(COUNTIFS($B$2:$B2501,"&lt;&gt;",$C$2:$C2501,"&lt;&gt;",$D$2:$D2501,"&lt;&gt;",$E$2:$E2501,"&lt;&gt;"),"00000"),""))</f>
        <v/>
      </c>
      <c r="B2501" s="16"/>
      <c r="N2501" s="22"/>
    </row>
    <row r="2502" spans="1:14" x14ac:dyDescent="0.3">
      <c r="A2502" s="15" t="str">
        <f>IF(COUNTA($B2502:$E2502,$K2502)=0,"",IF(AND($B2502&lt;&gt;"",$C2502&lt;&gt;"",$D2502&lt;&gt;"",$E2502&lt;&gt;""),"TXS"&amp;TEXT(COUNTIFS($B$2:$B2502,"&lt;&gt;",$C$2:$C2502,"&lt;&gt;",$D$2:$D2502,"&lt;&gt;",$E$2:$E2502,"&lt;&gt;"),"00000"),""))</f>
        <v/>
      </c>
      <c r="B2502" s="16"/>
      <c r="N2502" s="22"/>
    </row>
    <row r="2503" spans="1:14" x14ac:dyDescent="0.3">
      <c r="A2503" s="15" t="str">
        <f>IF(COUNTA($B2503:$E2503,$K2503)=0,"",IF(AND($B2503&lt;&gt;"",$C2503&lt;&gt;"",$D2503&lt;&gt;"",$E2503&lt;&gt;""),"TXS"&amp;TEXT(COUNTIFS($B$2:$B2503,"&lt;&gt;",$C$2:$C2503,"&lt;&gt;",$D$2:$D2503,"&lt;&gt;",$E$2:$E2503,"&lt;&gt;"),"00000"),""))</f>
        <v/>
      </c>
      <c r="B2503" s="16"/>
      <c r="N2503" s="22"/>
    </row>
    <row r="2504" spans="1:14" x14ac:dyDescent="0.3">
      <c r="A2504" s="15" t="str">
        <f>IF(COUNTA($B2504:$E2504,$K2504)=0,"",IF(AND($B2504&lt;&gt;"",$C2504&lt;&gt;"",$D2504&lt;&gt;"",$E2504&lt;&gt;""),"TXS"&amp;TEXT(COUNTIFS($B$2:$B2504,"&lt;&gt;",$C$2:$C2504,"&lt;&gt;",$D$2:$D2504,"&lt;&gt;",$E$2:$E2504,"&lt;&gt;"),"00000"),""))</f>
        <v/>
      </c>
      <c r="B2504" s="16"/>
      <c r="N2504" s="22"/>
    </row>
    <row r="2505" spans="1:14" x14ac:dyDescent="0.3">
      <c r="A2505" s="15" t="str">
        <f>IF(COUNTA($B2505:$E2505,$K2505)=0,"",IF(AND($B2505&lt;&gt;"",$C2505&lt;&gt;"",$D2505&lt;&gt;"",$E2505&lt;&gt;""),"TXS"&amp;TEXT(COUNTIFS($B$2:$B2505,"&lt;&gt;",$C$2:$C2505,"&lt;&gt;",$D$2:$D2505,"&lt;&gt;",$E$2:$E2505,"&lt;&gt;"),"00000"),""))</f>
        <v/>
      </c>
      <c r="B2505" s="16"/>
      <c r="N2505" s="22"/>
    </row>
    <row r="2506" spans="1:14" x14ac:dyDescent="0.3">
      <c r="A2506" s="15" t="str">
        <f>IF(COUNTA($B2506:$E2506,$K2506)=0,"",IF(AND($B2506&lt;&gt;"",$C2506&lt;&gt;"",$D2506&lt;&gt;"",$E2506&lt;&gt;""),"TXS"&amp;TEXT(COUNTIFS($B$2:$B2506,"&lt;&gt;",$C$2:$C2506,"&lt;&gt;",$D$2:$D2506,"&lt;&gt;",$E$2:$E2506,"&lt;&gt;"),"00000"),""))</f>
        <v/>
      </c>
      <c r="B2506" s="16"/>
      <c r="N2506" s="22"/>
    </row>
    <row r="2507" spans="1:14" x14ac:dyDescent="0.3">
      <c r="A2507" s="15" t="str">
        <f>IF(COUNTA($B2507:$E2507,$K2507)=0,"",IF(AND($B2507&lt;&gt;"",$C2507&lt;&gt;"",$D2507&lt;&gt;"",$E2507&lt;&gt;""),"TXS"&amp;TEXT(COUNTIFS($B$2:$B2507,"&lt;&gt;",$C$2:$C2507,"&lt;&gt;",$D$2:$D2507,"&lt;&gt;",$E$2:$E2507,"&lt;&gt;"),"00000"),""))</f>
        <v/>
      </c>
      <c r="B2507" s="16"/>
      <c r="N2507" s="22"/>
    </row>
    <row r="2508" spans="1:14" x14ac:dyDescent="0.3">
      <c r="A2508" s="15" t="str">
        <f>IF(COUNTA($B2508:$E2508,$K2508)=0,"",IF(AND($B2508&lt;&gt;"",$C2508&lt;&gt;"",$D2508&lt;&gt;"",$E2508&lt;&gt;""),"TXS"&amp;TEXT(COUNTIFS($B$2:$B2508,"&lt;&gt;",$C$2:$C2508,"&lt;&gt;",$D$2:$D2508,"&lt;&gt;",$E$2:$E2508,"&lt;&gt;"),"00000"),""))</f>
        <v/>
      </c>
      <c r="B2508" s="16"/>
      <c r="N2508" s="22"/>
    </row>
    <row r="2509" spans="1:14" x14ac:dyDescent="0.3">
      <c r="A2509" s="15" t="str">
        <f>IF(COUNTA($B2509:$E2509,$K2509)=0,"",IF(AND($B2509&lt;&gt;"",$C2509&lt;&gt;"",$D2509&lt;&gt;"",$E2509&lt;&gt;""),"TXS"&amp;TEXT(COUNTIFS($B$2:$B2509,"&lt;&gt;",$C$2:$C2509,"&lt;&gt;",$D$2:$D2509,"&lt;&gt;",$E$2:$E2509,"&lt;&gt;"),"00000"),""))</f>
        <v/>
      </c>
      <c r="B2509" s="16"/>
      <c r="N2509" s="22"/>
    </row>
    <row r="2510" spans="1:14" x14ac:dyDescent="0.3">
      <c r="A2510" s="15" t="str">
        <f>IF(COUNTA($B2510:$E2510,$K2510)=0,"",IF(AND($B2510&lt;&gt;"",$C2510&lt;&gt;"",$D2510&lt;&gt;"",$E2510&lt;&gt;""),"TXS"&amp;TEXT(COUNTIFS($B$2:$B2510,"&lt;&gt;",$C$2:$C2510,"&lt;&gt;",$D$2:$D2510,"&lt;&gt;",$E$2:$E2510,"&lt;&gt;"),"00000"),""))</f>
        <v/>
      </c>
      <c r="B2510" s="16"/>
      <c r="N2510" s="22"/>
    </row>
    <row r="2511" spans="1:14" x14ac:dyDescent="0.3">
      <c r="A2511" s="15" t="str">
        <f>IF(COUNTA($B2511:$E2511,$K2511)=0,"",IF(AND($B2511&lt;&gt;"",$C2511&lt;&gt;"",$D2511&lt;&gt;"",$E2511&lt;&gt;""),"TXS"&amp;TEXT(COUNTIFS($B$2:$B2511,"&lt;&gt;",$C$2:$C2511,"&lt;&gt;",$D$2:$D2511,"&lt;&gt;",$E$2:$E2511,"&lt;&gt;"),"00000"),""))</f>
        <v/>
      </c>
      <c r="B2511" s="16"/>
      <c r="N2511" s="22"/>
    </row>
    <row r="2512" spans="1:14" x14ac:dyDescent="0.3">
      <c r="A2512" s="15" t="str">
        <f>IF(COUNTA($B2512:$E2512,$K2512)=0,"",IF(AND($B2512&lt;&gt;"",$C2512&lt;&gt;"",$D2512&lt;&gt;"",$E2512&lt;&gt;""),"TXS"&amp;TEXT(COUNTIFS($B$2:$B2512,"&lt;&gt;",$C$2:$C2512,"&lt;&gt;",$D$2:$D2512,"&lt;&gt;",$E$2:$E2512,"&lt;&gt;"),"00000"),""))</f>
        <v/>
      </c>
      <c r="B2512" s="16"/>
      <c r="N2512" s="22"/>
    </row>
    <row r="2513" spans="1:14" x14ac:dyDescent="0.3">
      <c r="A2513" s="15" t="str">
        <f>IF(COUNTA($B2513:$E2513,$K2513)=0,"",IF(AND($B2513&lt;&gt;"",$C2513&lt;&gt;"",$D2513&lt;&gt;"",$E2513&lt;&gt;""),"TXS"&amp;TEXT(COUNTIFS($B$2:$B2513,"&lt;&gt;",$C$2:$C2513,"&lt;&gt;",$D$2:$D2513,"&lt;&gt;",$E$2:$E2513,"&lt;&gt;"),"00000"),""))</f>
        <v/>
      </c>
      <c r="B2513" s="16"/>
      <c r="N2513" s="22"/>
    </row>
    <row r="2514" spans="1:14" x14ac:dyDescent="0.3">
      <c r="A2514" s="15" t="str">
        <f>IF(COUNTA($B2514:$E2514,$K2514)=0,"",IF(AND($B2514&lt;&gt;"",$C2514&lt;&gt;"",$D2514&lt;&gt;"",$E2514&lt;&gt;""),"TXS"&amp;TEXT(COUNTIFS($B$2:$B2514,"&lt;&gt;",$C$2:$C2514,"&lt;&gt;",$D$2:$D2514,"&lt;&gt;",$E$2:$E2514,"&lt;&gt;"),"00000"),""))</f>
        <v/>
      </c>
      <c r="B2514" s="16"/>
      <c r="N2514" s="22"/>
    </row>
    <row r="2515" spans="1:14" x14ac:dyDescent="0.3">
      <c r="A2515" s="15" t="str">
        <f>IF(COUNTA($B2515:$E2515,$K2515)=0,"",IF(AND($B2515&lt;&gt;"",$C2515&lt;&gt;"",$D2515&lt;&gt;"",$E2515&lt;&gt;""),"TXS"&amp;TEXT(COUNTIFS($B$2:$B2515,"&lt;&gt;",$C$2:$C2515,"&lt;&gt;",$D$2:$D2515,"&lt;&gt;",$E$2:$E2515,"&lt;&gt;"),"00000"),""))</f>
        <v/>
      </c>
      <c r="B2515" s="16"/>
      <c r="N2515" s="22"/>
    </row>
    <row r="2516" spans="1:14" x14ac:dyDescent="0.3">
      <c r="A2516" s="15" t="str">
        <f>IF(COUNTA($B2516:$E2516,$K2516)=0,"",IF(AND($B2516&lt;&gt;"",$C2516&lt;&gt;"",$D2516&lt;&gt;"",$E2516&lt;&gt;""),"TXS"&amp;TEXT(COUNTIFS($B$2:$B2516,"&lt;&gt;",$C$2:$C2516,"&lt;&gt;",$D$2:$D2516,"&lt;&gt;",$E$2:$E2516,"&lt;&gt;"),"00000"),""))</f>
        <v/>
      </c>
      <c r="B2516" s="16"/>
      <c r="N2516" s="22"/>
    </row>
    <row r="2517" spans="1:14" x14ac:dyDescent="0.3">
      <c r="A2517" s="15" t="str">
        <f>IF(COUNTA($B2517:$E2517,$K2517)=0,"",IF(AND($B2517&lt;&gt;"",$C2517&lt;&gt;"",$D2517&lt;&gt;"",$E2517&lt;&gt;""),"TXS"&amp;TEXT(COUNTIFS($B$2:$B2517,"&lt;&gt;",$C$2:$C2517,"&lt;&gt;",$D$2:$D2517,"&lt;&gt;",$E$2:$E2517,"&lt;&gt;"),"00000"),""))</f>
        <v/>
      </c>
      <c r="B2517" s="16"/>
      <c r="N2517" s="22"/>
    </row>
    <row r="2518" spans="1:14" x14ac:dyDescent="0.3">
      <c r="A2518" s="15" t="str">
        <f>IF(COUNTA($B2518:$E2518,$K2518)=0,"",IF(AND($B2518&lt;&gt;"",$C2518&lt;&gt;"",$D2518&lt;&gt;"",$E2518&lt;&gt;""),"TXS"&amp;TEXT(COUNTIFS($B$2:$B2518,"&lt;&gt;",$C$2:$C2518,"&lt;&gt;",$D$2:$D2518,"&lt;&gt;",$E$2:$E2518,"&lt;&gt;"),"00000"),""))</f>
        <v/>
      </c>
      <c r="B2518" s="16"/>
      <c r="N2518" s="22"/>
    </row>
    <row r="2519" spans="1:14" x14ac:dyDescent="0.3">
      <c r="A2519" s="15" t="str">
        <f>IF(COUNTA($B2519:$E2519,$K2519)=0,"",IF(AND($B2519&lt;&gt;"",$C2519&lt;&gt;"",$D2519&lt;&gt;"",$E2519&lt;&gt;""),"TXS"&amp;TEXT(COUNTIFS($B$2:$B2519,"&lt;&gt;",$C$2:$C2519,"&lt;&gt;",$D$2:$D2519,"&lt;&gt;",$E$2:$E2519,"&lt;&gt;"),"00000"),""))</f>
        <v/>
      </c>
      <c r="B2519" s="16"/>
      <c r="N2519" s="22"/>
    </row>
    <row r="2520" spans="1:14" x14ac:dyDescent="0.3">
      <c r="A2520" s="15" t="str">
        <f>IF(COUNTA($B2520:$E2520,$K2520)=0,"",IF(AND($B2520&lt;&gt;"",$C2520&lt;&gt;"",$D2520&lt;&gt;"",$E2520&lt;&gt;""),"TXS"&amp;TEXT(COUNTIFS($B$2:$B2520,"&lt;&gt;",$C$2:$C2520,"&lt;&gt;",$D$2:$D2520,"&lt;&gt;",$E$2:$E2520,"&lt;&gt;"),"00000"),""))</f>
        <v/>
      </c>
      <c r="B2520" s="16"/>
      <c r="N2520" s="22"/>
    </row>
    <row r="2521" spans="1:14" x14ac:dyDescent="0.3">
      <c r="A2521" s="15" t="str">
        <f>IF(COUNTA($B2521:$E2521,$K2521)=0,"",IF(AND($B2521&lt;&gt;"",$C2521&lt;&gt;"",$D2521&lt;&gt;"",$E2521&lt;&gt;""),"TXS"&amp;TEXT(COUNTIFS($B$2:$B2521,"&lt;&gt;",$C$2:$C2521,"&lt;&gt;",$D$2:$D2521,"&lt;&gt;",$E$2:$E2521,"&lt;&gt;"),"00000"),""))</f>
        <v/>
      </c>
      <c r="B2521" s="16"/>
      <c r="N2521" s="22"/>
    </row>
    <row r="2522" spans="1:14" x14ac:dyDescent="0.3">
      <c r="A2522" s="15" t="str">
        <f>IF(COUNTA($B2522:$E2522,$K2522)=0,"",IF(AND($B2522&lt;&gt;"",$C2522&lt;&gt;"",$D2522&lt;&gt;"",$E2522&lt;&gt;""),"TXS"&amp;TEXT(COUNTIFS($B$2:$B2522,"&lt;&gt;",$C$2:$C2522,"&lt;&gt;",$D$2:$D2522,"&lt;&gt;",$E$2:$E2522,"&lt;&gt;"),"00000"),""))</f>
        <v/>
      </c>
      <c r="B2522" s="16"/>
      <c r="N2522" s="22"/>
    </row>
    <row r="2523" spans="1:14" x14ac:dyDescent="0.3">
      <c r="A2523" s="15" t="str">
        <f>IF(COUNTA($B2523:$E2523,$K2523)=0,"",IF(AND($B2523&lt;&gt;"",$C2523&lt;&gt;"",$D2523&lt;&gt;"",$E2523&lt;&gt;""),"TXS"&amp;TEXT(COUNTIFS($B$2:$B2523,"&lt;&gt;",$C$2:$C2523,"&lt;&gt;",$D$2:$D2523,"&lt;&gt;",$E$2:$E2523,"&lt;&gt;"),"00000"),""))</f>
        <v/>
      </c>
      <c r="B2523" s="16"/>
      <c r="N2523" s="22"/>
    </row>
    <row r="2524" spans="1:14" x14ac:dyDescent="0.3">
      <c r="A2524" s="15" t="str">
        <f>IF(COUNTA($B2524:$E2524,$K2524)=0,"",IF(AND($B2524&lt;&gt;"",$C2524&lt;&gt;"",$D2524&lt;&gt;"",$E2524&lt;&gt;""),"TXS"&amp;TEXT(COUNTIFS($B$2:$B2524,"&lt;&gt;",$C$2:$C2524,"&lt;&gt;",$D$2:$D2524,"&lt;&gt;",$E$2:$E2524,"&lt;&gt;"),"00000"),""))</f>
        <v/>
      </c>
      <c r="B2524" s="16"/>
      <c r="N2524" s="22"/>
    </row>
    <row r="2525" spans="1:14" x14ac:dyDescent="0.3">
      <c r="A2525" s="15" t="str">
        <f>IF(COUNTA($B2525:$E2525,$K2525)=0,"",IF(AND($B2525&lt;&gt;"",$C2525&lt;&gt;"",$D2525&lt;&gt;"",$E2525&lt;&gt;""),"TXS"&amp;TEXT(COUNTIFS($B$2:$B2525,"&lt;&gt;",$C$2:$C2525,"&lt;&gt;",$D$2:$D2525,"&lt;&gt;",$E$2:$E2525,"&lt;&gt;"),"00000"),""))</f>
        <v/>
      </c>
      <c r="B2525" s="16"/>
      <c r="N2525" s="22"/>
    </row>
    <row r="2526" spans="1:14" x14ac:dyDescent="0.3">
      <c r="A2526" s="15" t="str">
        <f>IF(COUNTA($B2526:$E2526,$K2526)=0,"",IF(AND($B2526&lt;&gt;"",$C2526&lt;&gt;"",$D2526&lt;&gt;"",$E2526&lt;&gt;""),"TXS"&amp;TEXT(COUNTIFS($B$2:$B2526,"&lt;&gt;",$C$2:$C2526,"&lt;&gt;",$D$2:$D2526,"&lt;&gt;",$E$2:$E2526,"&lt;&gt;"),"00000"),""))</f>
        <v/>
      </c>
      <c r="B2526" s="16"/>
      <c r="N2526" s="22"/>
    </row>
    <row r="2527" spans="1:14" x14ac:dyDescent="0.3">
      <c r="A2527" s="15" t="str">
        <f>IF(COUNTA($B2527:$E2527,$K2527)=0,"",IF(AND($B2527&lt;&gt;"",$C2527&lt;&gt;"",$D2527&lt;&gt;"",$E2527&lt;&gt;""),"TXS"&amp;TEXT(COUNTIFS($B$2:$B2527,"&lt;&gt;",$C$2:$C2527,"&lt;&gt;",$D$2:$D2527,"&lt;&gt;",$E$2:$E2527,"&lt;&gt;"),"00000"),""))</f>
        <v/>
      </c>
      <c r="B2527" s="16"/>
      <c r="N2527" s="22"/>
    </row>
    <row r="2528" spans="1:14" x14ac:dyDescent="0.3">
      <c r="A2528" s="15" t="str">
        <f>IF(COUNTA($B2528:$E2528,$K2528)=0,"",IF(AND($B2528&lt;&gt;"",$C2528&lt;&gt;"",$D2528&lt;&gt;"",$E2528&lt;&gt;""),"TXS"&amp;TEXT(COUNTIFS($B$2:$B2528,"&lt;&gt;",$C$2:$C2528,"&lt;&gt;",$D$2:$D2528,"&lt;&gt;",$E$2:$E2528,"&lt;&gt;"),"00000"),""))</f>
        <v/>
      </c>
      <c r="B2528" s="16"/>
      <c r="N2528" s="22"/>
    </row>
    <row r="2529" spans="1:14" x14ac:dyDescent="0.3">
      <c r="A2529" s="15" t="str">
        <f>IF(COUNTA($B2529:$E2529,$K2529)=0,"",IF(AND($B2529&lt;&gt;"",$C2529&lt;&gt;"",$D2529&lt;&gt;"",$E2529&lt;&gt;""),"TXS"&amp;TEXT(COUNTIFS($B$2:$B2529,"&lt;&gt;",$C$2:$C2529,"&lt;&gt;",$D$2:$D2529,"&lt;&gt;",$E$2:$E2529,"&lt;&gt;"),"00000"),""))</f>
        <v/>
      </c>
      <c r="B2529" s="16"/>
      <c r="N2529" s="22"/>
    </row>
    <row r="2530" spans="1:14" x14ac:dyDescent="0.3">
      <c r="A2530" s="15" t="str">
        <f>IF(COUNTA($B2530:$E2530,$K2530)=0,"",IF(AND($B2530&lt;&gt;"",$C2530&lt;&gt;"",$D2530&lt;&gt;"",$E2530&lt;&gt;""),"TXS"&amp;TEXT(COUNTIFS($B$2:$B2530,"&lt;&gt;",$C$2:$C2530,"&lt;&gt;",$D$2:$D2530,"&lt;&gt;",$E$2:$E2530,"&lt;&gt;"),"00000"),""))</f>
        <v/>
      </c>
      <c r="B2530" s="16"/>
      <c r="N2530" s="22"/>
    </row>
    <row r="2531" spans="1:14" x14ac:dyDescent="0.3">
      <c r="A2531" s="15" t="str">
        <f>IF(COUNTA($B2531:$E2531,$K2531)=0,"",IF(AND($B2531&lt;&gt;"",$C2531&lt;&gt;"",$D2531&lt;&gt;"",$E2531&lt;&gt;""),"TXS"&amp;TEXT(COUNTIFS($B$2:$B2531,"&lt;&gt;",$C$2:$C2531,"&lt;&gt;",$D$2:$D2531,"&lt;&gt;",$E$2:$E2531,"&lt;&gt;"),"00000"),""))</f>
        <v/>
      </c>
      <c r="B2531" s="16"/>
      <c r="N2531" s="22"/>
    </row>
    <row r="2532" spans="1:14" x14ac:dyDescent="0.3">
      <c r="A2532" s="15" t="str">
        <f>IF(COUNTA($B2532:$E2532,$K2532)=0,"",IF(AND($B2532&lt;&gt;"",$C2532&lt;&gt;"",$D2532&lt;&gt;"",$E2532&lt;&gt;""),"TXS"&amp;TEXT(COUNTIFS($B$2:$B2532,"&lt;&gt;",$C$2:$C2532,"&lt;&gt;",$D$2:$D2532,"&lt;&gt;",$E$2:$E2532,"&lt;&gt;"),"00000"),""))</f>
        <v/>
      </c>
      <c r="B2532" s="16"/>
      <c r="N2532" s="22"/>
    </row>
    <row r="2533" spans="1:14" x14ac:dyDescent="0.3">
      <c r="A2533" s="15" t="str">
        <f>IF(COUNTA($B2533:$E2533,$K2533)=0,"",IF(AND($B2533&lt;&gt;"",$C2533&lt;&gt;"",$D2533&lt;&gt;"",$E2533&lt;&gt;""),"TXS"&amp;TEXT(COUNTIFS($B$2:$B2533,"&lt;&gt;",$C$2:$C2533,"&lt;&gt;",$D$2:$D2533,"&lt;&gt;",$E$2:$E2533,"&lt;&gt;"),"00000"),""))</f>
        <v/>
      </c>
      <c r="B2533" s="16"/>
      <c r="N2533" s="22"/>
    </row>
    <row r="2534" spans="1:14" x14ac:dyDescent="0.3">
      <c r="A2534" s="15" t="str">
        <f>IF(COUNTA($B2534:$E2534,$K2534)=0,"",IF(AND($B2534&lt;&gt;"",$C2534&lt;&gt;"",$D2534&lt;&gt;"",$E2534&lt;&gt;""),"TXS"&amp;TEXT(COUNTIFS($B$2:$B2534,"&lt;&gt;",$C$2:$C2534,"&lt;&gt;",$D$2:$D2534,"&lt;&gt;",$E$2:$E2534,"&lt;&gt;"),"00000"),""))</f>
        <v/>
      </c>
      <c r="B2534" s="16"/>
      <c r="N2534" s="22"/>
    </row>
    <row r="2535" spans="1:14" x14ac:dyDescent="0.3">
      <c r="A2535" s="15" t="str">
        <f>IF(COUNTA($B2535:$E2535,$K2535)=0,"",IF(AND($B2535&lt;&gt;"",$C2535&lt;&gt;"",$D2535&lt;&gt;"",$E2535&lt;&gt;""),"TXS"&amp;TEXT(COUNTIFS($B$2:$B2535,"&lt;&gt;",$C$2:$C2535,"&lt;&gt;",$D$2:$D2535,"&lt;&gt;",$E$2:$E2535,"&lt;&gt;"),"00000"),""))</f>
        <v/>
      </c>
      <c r="B2535" s="16"/>
      <c r="N2535" s="22"/>
    </row>
    <row r="2536" spans="1:14" x14ac:dyDescent="0.3">
      <c r="A2536" s="15" t="str">
        <f>IF(COUNTA($B2536:$E2536,$K2536)=0,"",IF(AND($B2536&lt;&gt;"",$C2536&lt;&gt;"",$D2536&lt;&gt;"",$E2536&lt;&gt;""),"TXS"&amp;TEXT(COUNTIFS($B$2:$B2536,"&lt;&gt;",$C$2:$C2536,"&lt;&gt;",$D$2:$D2536,"&lt;&gt;",$E$2:$E2536,"&lt;&gt;"),"00000"),""))</f>
        <v/>
      </c>
      <c r="B2536" s="16"/>
      <c r="N2536" s="22"/>
    </row>
    <row r="2537" spans="1:14" x14ac:dyDescent="0.3">
      <c r="A2537" s="15" t="str">
        <f>IF(COUNTA($B2537:$E2537,$K2537)=0,"",IF(AND($B2537&lt;&gt;"",$C2537&lt;&gt;"",$D2537&lt;&gt;"",$E2537&lt;&gt;""),"TXS"&amp;TEXT(COUNTIFS($B$2:$B2537,"&lt;&gt;",$C$2:$C2537,"&lt;&gt;",$D$2:$D2537,"&lt;&gt;",$E$2:$E2537,"&lt;&gt;"),"00000"),""))</f>
        <v/>
      </c>
      <c r="B2537" s="16"/>
      <c r="N2537" s="22"/>
    </row>
    <row r="2538" spans="1:14" x14ac:dyDescent="0.3">
      <c r="A2538" s="15" t="str">
        <f>IF(COUNTA($B2538:$E2538,$K2538)=0,"",IF(AND($B2538&lt;&gt;"",$C2538&lt;&gt;"",$D2538&lt;&gt;"",$E2538&lt;&gt;""),"TXS"&amp;TEXT(COUNTIFS($B$2:$B2538,"&lt;&gt;",$C$2:$C2538,"&lt;&gt;",$D$2:$D2538,"&lt;&gt;",$E$2:$E2538,"&lt;&gt;"),"00000"),""))</f>
        <v/>
      </c>
      <c r="B2538" s="16"/>
      <c r="N2538" s="22"/>
    </row>
    <row r="2539" spans="1:14" x14ac:dyDescent="0.3">
      <c r="A2539" s="15" t="str">
        <f>IF(COUNTA($B2539:$E2539,$K2539)=0,"",IF(AND($B2539&lt;&gt;"",$C2539&lt;&gt;"",$D2539&lt;&gt;"",$E2539&lt;&gt;""),"TXS"&amp;TEXT(COUNTIFS($B$2:$B2539,"&lt;&gt;",$C$2:$C2539,"&lt;&gt;",$D$2:$D2539,"&lt;&gt;",$E$2:$E2539,"&lt;&gt;"),"00000"),""))</f>
        <v/>
      </c>
      <c r="B2539" s="16"/>
      <c r="N2539" s="22"/>
    </row>
    <row r="2540" spans="1:14" x14ac:dyDescent="0.3">
      <c r="A2540" s="15" t="str">
        <f>IF(COUNTA($B2540:$E2540,$K2540)=0,"",IF(AND($B2540&lt;&gt;"",$C2540&lt;&gt;"",$D2540&lt;&gt;"",$E2540&lt;&gt;""),"TXS"&amp;TEXT(COUNTIFS($B$2:$B2540,"&lt;&gt;",$C$2:$C2540,"&lt;&gt;",$D$2:$D2540,"&lt;&gt;",$E$2:$E2540,"&lt;&gt;"),"00000"),""))</f>
        <v/>
      </c>
      <c r="B2540" s="16"/>
      <c r="N2540" s="22"/>
    </row>
    <row r="2541" spans="1:14" x14ac:dyDescent="0.3">
      <c r="A2541" s="15" t="str">
        <f>IF(COUNTA($B2541:$E2541,$K2541)=0,"",IF(AND($B2541&lt;&gt;"",$C2541&lt;&gt;"",$D2541&lt;&gt;"",$E2541&lt;&gt;""),"TXS"&amp;TEXT(COUNTIFS($B$2:$B2541,"&lt;&gt;",$C$2:$C2541,"&lt;&gt;",$D$2:$D2541,"&lt;&gt;",$E$2:$E2541,"&lt;&gt;"),"00000"),""))</f>
        <v/>
      </c>
      <c r="B2541" s="16"/>
      <c r="N2541" s="22"/>
    </row>
    <row r="2542" spans="1:14" x14ac:dyDescent="0.3">
      <c r="A2542" s="15" t="str">
        <f>IF(COUNTA($B2542:$E2542,$K2542)=0,"",IF(AND($B2542&lt;&gt;"",$C2542&lt;&gt;"",$D2542&lt;&gt;"",$E2542&lt;&gt;""),"TXS"&amp;TEXT(COUNTIFS($B$2:$B2542,"&lt;&gt;",$C$2:$C2542,"&lt;&gt;",$D$2:$D2542,"&lt;&gt;",$E$2:$E2542,"&lt;&gt;"),"00000"),""))</f>
        <v/>
      </c>
      <c r="B2542" s="16"/>
      <c r="N2542" s="22"/>
    </row>
    <row r="2543" spans="1:14" x14ac:dyDescent="0.3">
      <c r="A2543" s="15" t="str">
        <f>IF(COUNTA($B2543:$E2543,$K2543)=0,"",IF(AND($B2543&lt;&gt;"",$C2543&lt;&gt;"",$D2543&lt;&gt;"",$E2543&lt;&gt;""),"TXS"&amp;TEXT(COUNTIFS($B$2:$B2543,"&lt;&gt;",$C$2:$C2543,"&lt;&gt;",$D$2:$D2543,"&lt;&gt;",$E$2:$E2543,"&lt;&gt;"),"00000"),""))</f>
        <v/>
      </c>
      <c r="B2543" s="16"/>
      <c r="N2543" s="22"/>
    </row>
    <row r="2544" spans="1:14" x14ac:dyDescent="0.3">
      <c r="A2544" s="15" t="str">
        <f>IF(COUNTA($B2544:$E2544,$K2544)=0,"",IF(AND($B2544&lt;&gt;"",$C2544&lt;&gt;"",$D2544&lt;&gt;"",$E2544&lt;&gt;""),"TXS"&amp;TEXT(COUNTIFS($B$2:$B2544,"&lt;&gt;",$C$2:$C2544,"&lt;&gt;",$D$2:$D2544,"&lt;&gt;",$E$2:$E2544,"&lt;&gt;"),"00000"),""))</f>
        <v/>
      </c>
      <c r="B2544" s="16"/>
      <c r="N2544" s="22"/>
    </row>
    <row r="2545" spans="1:14" x14ac:dyDescent="0.3">
      <c r="A2545" s="15" t="str">
        <f>IF(COUNTA($B2545:$E2545,$K2545)=0,"",IF(AND($B2545&lt;&gt;"",$C2545&lt;&gt;"",$D2545&lt;&gt;"",$E2545&lt;&gt;""),"TXS"&amp;TEXT(COUNTIFS($B$2:$B2545,"&lt;&gt;",$C$2:$C2545,"&lt;&gt;",$D$2:$D2545,"&lt;&gt;",$E$2:$E2545,"&lt;&gt;"),"00000"),""))</f>
        <v/>
      </c>
      <c r="B2545" s="16"/>
      <c r="N2545" s="22"/>
    </row>
    <row r="2546" spans="1:14" x14ac:dyDescent="0.3">
      <c r="A2546" s="15" t="str">
        <f>IF(COUNTA($B2546:$E2546,$K2546)=0,"",IF(AND($B2546&lt;&gt;"",$C2546&lt;&gt;"",$D2546&lt;&gt;"",$E2546&lt;&gt;""),"TXS"&amp;TEXT(COUNTIFS($B$2:$B2546,"&lt;&gt;",$C$2:$C2546,"&lt;&gt;",$D$2:$D2546,"&lt;&gt;",$E$2:$E2546,"&lt;&gt;"),"00000"),""))</f>
        <v/>
      </c>
      <c r="B2546" s="16"/>
      <c r="N2546" s="22"/>
    </row>
    <row r="2547" spans="1:14" x14ac:dyDescent="0.3">
      <c r="A2547" s="15" t="str">
        <f>IF(COUNTA($B2547:$E2547,$K2547)=0,"",IF(AND($B2547&lt;&gt;"",$C2547&lt;&gt;"",$D2547&lt;&gt;"",$E2547&lt;&gt;""),"TXS"&amp;TEXT(COUNTIFS($B$2:$B2547,"&lt;&gt;",$C$2:$C2547,"&lt;&gt;",$D$2:$D2547,"&lt;&gt;",$E$2:$E2547,"&lt;&gt;"),"00000"),""))</f>
        <v/>
      </c>
      <c r="B2547" s="16"/>
      <c r="N2547" s="22"/>
    </row>
    <row r="2548" spans="1:14" x14ac:dyDescent="0.3">
      <c r="A2548" s="15" t="str">
        <f>IF(COUNTA($B2548:$E2548,$K2548)=0,"",IF(AND($B2548&lt;&gt;"",$C2548&lt;&gt;"",$D2548&lt;&gt;"",$E2548&lt;&gt;""),"TXS"&amp;TEXT(COUNTIFS($B$2:$B2548,"&lt;&gt;",$C$2:$C2548,"&lt;&gt;",$D$2:$D2548,"&lt;&gt;",$E$2:$E2548,"&lt;&gt;"),"00000"),""))</f>
        <v/>
      </c>
      <c r="B2548" s="16"/>
      <c r="N2548" s="22"/>
    </row>
    <row r="2549" spans="1:14" x14ac:dyDescent="0.3">
      <c r="A2549" s="15" t="str">
        <f>IF(COUNTA($B2549:$E2549,$K2549)=0,"",IF(AND($B2549&lt;&gt;"",$C2549&lt;&gt;"",$D2549&lt;&gt;"",$E2549&lt;&gt;""),"TXS"&amp;TEXT(COUNTIFS($B$2:$B2549,"&lt;&gt;",$C$2:$C2549,"&lt;&gt;",$D$2:$D2549,"&lt;&gt;",$E$2:$E2549,"&lt;&gt;"),"00000"),""))</f>
        <v/>
      </c>
      <c r="B2549" s="16"/>
      <c r="N2549" s="22"/>
    </row>
    <row r="2550" spans="1:14" x14ac:dyDescent="0.3">
      <c r="A2550" s="15" t="str">
        <f>IF(COUNTA($B2550:$E2550,$K2550)=0,"",IF(AND($B2550&lt;&gt;"",$C2550&lt;&gt;"",$D2550&lt;&gt;"",$E2550&lt;&gt;""),"TXS"&amp;TEXT(COUNTIFS($B$2:$B2550,"&lt;&gt;",$C$2:$C2550,"&lt;&gt;",$D$2:$D2550,"&lt;&gt;",$E$2:$E2550,"&lt;&gt;"),"00000"),""))</f>
        <v/>
      </c>
      <c r="B2550" s="16"/>
      <c r="N2550" s="22"/>
    </row>
    <row r="2551" spans="1:14" x14ac:dyDescent="0.3">
      <c r="A2551" s="15" t="str">
        <f>IF(COUNTA($B2551:$E2551,$K2551)=0,"",IF(AND($B2551&lt;&gt;"",$C2551&lt;&gt;"",$D2551&lt;&gt;"",$E2551&lt;&gt;""),"TXS"&amp;TEXT(COUNTIFS($B$2:$B2551,"&lt;&gt;",$C$2:$C2551,"&lt;&gt;",$D$2:$D2551,"&lt;&gt;",$E$2:$E2551,"&lt;&gt;"),"00000"),""))</f>
        <v/>
      </c>
      <c r="B2551" s="16"/>
      <c r="N2551" s="22"/>
    </row>
    <row r="2552" spans="1:14" x14ac:dyDescent="0.3">
      <c r="A2552" s="15" t="str">
        <f>IF(COUNTA($B2552:$E2552,$K2552)=0,"",IF(AND($B2552&lt;&gt;"",$C2552&lt;&gt;"",$D2552&lt;&gt;"",$E2552&lt;&gt;""),"TXS"&amp;TEXT(COUNTIFS($B$2:$B2552,"&lt;&gt;",$C$2:$C2552,"&lt;&gt;",$D$2:$D2552,"&lt;&gt;",$E$2:$E2552,"&lt;&gt;"),"00000"),""))</f>
        <v/>
      </c>
      <c r="B2552" s="16"/>
      <c r="N2552" s="22"/>
    </row>
    <row r="2553" spans="1:14" x14ac:dyDescent="0.3">
      <c r="A2553" s="15" t="str">
        <f>IF(COUNTA($B2553:$E2553,$K2553)=0,"",IF(AND($B2553&lt;&gt;"",$C2553&lt;&gt;"",$D2553&lt;&gt;"",$E2553&lt;&gt;""),"TXS"&amp;TEXT(COUNTIFS($B$2:$B2553,"&lt;&gt;",$C$2:$C2553,"&lt;&gt;",$D$2:$D2553,"&lt;&gt;",$E$2:$E2553,"&lt;&gt;"),"00000"),""))</f>
        <v/>
      </c>
      <c r="B2553" s="16"/>
      <c r="N2553" s="22"/>
    </row>
    <row r="2554" spans="1:14" x14ac:dyDescent="0.3">
      <c r="A2554" s="15" t="str">
        <f>IF(COUNTA($B2554:$E2554,$K2554)=0,"",IF(AND($B2554&lt;&gt;"",$C2554&lt;&gt;"",$D2554&lt;&gt;"",$E2554&lt;&gt;""),"TXS"&amp;TEXT(COUNTIFS($B$2:$B2554,"&lt;&gt;",$C$2:$C2554,"&lt;&gt;",$D$2:$D2554,"&lt;&gt;",$E$2:$E2554,"&lt;&gt;"),"00000"),""))</f>
        <v/>
      </c>
      <c r="B2554" s="16"/>
      <c r="N2554" s="22"/>
    </row>
    <row r="2555" spans="1:14" x14ac:dyDescent="0.3">
      <c r="A2555" s="15" t="str">
        <f>IF(COUNTA($B2555:$E2555,$K2555)=0,"",IF(AND($B2555&lt;&gt;"",$C2555&lt;&gt;"",$D2555&lt;&gt;"",$E2555&lt;&gt;""),"TXS"&amp;TEXT(COUNTIFS($B$2:$B2555,"&lt;&gt;",$C$2:$C2555,"&lt;&gt;",$D$2:$D2555,"&lt;&gt;",$E$2:$E2555,"&lt;&gt;"),"00000"),""))</f>
        <v/>
      </c>
      <c r="B2555" s="16"/>
      <c r="N2555" s="22"/>
    </row>
    <row r="2556" spans="1:14" x14ac:dyDescent="0.3">
      <c r="A2556" s="15" t="str">
        <f>IF(COUNTA($B2556:$E2556,$K2556)=0,"",IF(AND($B2556&lt;&gt;"",$C2556&lt;&gt;"",$D2556&lt;&gt;"",$E2556&lt;&gt;""),"TXS"&amp;TEXT(COUNTIFS($B$2:$B2556,"&lt;&gt;",$C$2:$C2556,"&lt;&gt;",$D$2:$D2556,"&lt;&gt;",$E$2:$E2556,"&lt;&gt;"),"00000"),""))</f>
        <v/>
      </c>
      <c r="B2556" s="16"/>
      <c r="N2556" s="22"/>
    </row>
    <row r="2557" spans="1:14" x14ac:dyDescent="0.3">
      <c r="A2557" s="15" t="str">
        <f>IF(COUNTA($B2557:$E2557,$K2557)=0,"",IF(AND($B2557&lt;&gt;"",$C2557&lt;&gt;"",$D2557&lt;&gt;"",$E2557&lt;&gt;""),"TXS"&amp;TEXT(COUNTIFS($B$2:$B2557,"&lt;&gt;",$C$2:$C2557,"&lt;&gt;",$D$2:$D2557,"&lt;&gt;",$E$2:$E2557,"&lt;&gt;"),"00000"),""))</f>
        <v/>
      </c>
      <c r="B2557" s="16"/>
      <c r="N2557" s="22"/>
    </row>
    <row r="2558" spans="1:14" x14ac:dyDescent="0.3">
      <c r="A2558" s="15" t="str">
        <f>IF(COUNTA($B2558:$E2558,$K2558)=0,"",IF(AND($B2558&lt;&gt;"",$C2558&lt;&gt;"",$D2558&lt;&gt;"",$E2558&lt;&gt;""),"TXS"&amp;TEXT(COUNTIFS($B$2:$B2558,"&lt;&gt;",$C$2:$C2558,"&lt;&gt;",$D$2:$D2558,"&lt;&gt;",$E$2:$E2558,"&lt;&gt;"),"00000"),""))</f>
        <v/>
      </c>
      <c r="B2558" s="16"/>
      <c r="N2558" s="22"/>
    </row>
    <row r="2559" spans="1:14" x14ac:dyDescent="0.3">
      <c r="A2559" s="15" t="str">
        <f>IF(COUNTA($B2559:$E2559,$K2559)=0,"",IF(AND($B2559&lt;&gt;"",$C2559&lt;&gt;"",$D2559&lt;&gt;"",$E2559&lt;&gt;""),"TXS"&amp;TEXT(COUNTIFS($B$2:$B2559,"&lt;&gt;",$C$2:$C2559,"&lt;&gt;",$D$2:$D2559,"&lt;&gt;",$E$2:$E2559,"&lt;&gt;"),"00000"),""))</f>
        <v/>
      </c>
      <c r="B2559" s="16"/>
      <c r="N2559" s="22"/>
    </row>
    <row r="2560" spans="1:14" x14ac:dyDescent="0.3">
      <c r="A2560" s="15" t="str">
        <f>IF(COUNTA($B2560:$E2560,$K2560)=0,"",IF(AND($B2560&lt;&gt;"",$C2560&lt;&gt;"",$D2560&lt;&gt;"",$E2560&lt;&gt;""),"TXS"&amp;TEXT(COUNTIFS($B$2:$B2560,"&lt;&gt;",$C$2:$C2560,"&lt;&gt;",$D$2:$D2560,"&lt;&gt;",$E$2:$E2560,"&lt;&gt;"),"00000"),""))</f>
        <v/>
      </c>
      <c r="B2560" s="16"/>
      <c r="N2560" s="22"/>
    </row>
    <row r="2561" spans="1:14" x14ac:dyDescent="0.3">
      <c r="A2561" s="15" t="str">
        <f>IF(COUNTA($B2561:$E2561,$K2561)=0,"",IF(AND($B2561&lt;&gt;"",$C2561&lt;&gt;"",$D2561&lt;&gt;"",$E2561&lt;&gt;""),"TXS"&amp;TEXT(COUNTIFS($B$2:$B2561,"&lt;&gt;",$C$2:$C2561,"&lt;&gt;",$D$2:$D2561,"&lt;&gt;",$E$2:$E2561,"&lt;&gt;"),"00000"),""))</f>
        <v/>
      </c>
      <c r="B2561" s="16"/>
      <c r="N2561" s="22"/>
    </row>
    <row r="2562" spans="1:14" x14ac:dyDescent="0.3">
      <c r="A2562" s="15" t="str">
        <f>IF(COUNTA($B2562:$E2562,$K2562)=0,"",IF(AND($B2562&lt;&gt;"",$C2562&lt;&gt;"",$D2562&lt;&gt;"",$E2562&lt;&gt;""),"TXS"&amp;TEXT(COUNTIFS($B$2:$B2562,"&lt;&gt;",$C$2:$C2562,"&lt;&gt;",$D$2:$D2562,"&lt;&gt;",$E$2:$E2562,"&lt;&gt;"),"00000"),""))</f>
        <v/>
      </c>
      <c r="B2562" s="16"/>
      <c r="N2562" s="22"/>
    </row>
    <row r="2563" spans="1:14" x14ac:dyDescent="0.3">
      <c r="A2563" s="15" t="str">
        <f>IF(COUNTA($B2563:$E2563,$K2563)=0,"",IF(AND($B2563&lt;&gt;"",$C2563&lt;&gt;"",$D2563&lt;&gt;"",$E2563&lt;&gt;""),"TXS"&amp;TEXT(COUNTIFS($B$2:$B2563,"&lt;&gt;",$C$2:$C2563,"&lt;&gt;",$D$2:$D2563,"&lt;&gt;",$E$2:$E2563,"&lt;&gt;"),"00000"),""))</f>
        <v/>
      </c>
      <c r="B2563" s="16"/>
      <c r="N2563" s="22"/>
    </row>
    <row r="2564" spans="1:14" x14ac:dyDescent="0.3">
      <c r="A2564" s="15" t="str">
        <f>IF(COUNTA($B2564:$E2564,$K2564)=0,"",IF(AND($B2564&lt;&gt;"",$C2564&lt;&gt;"",$D2564&lt;&gt;"",$E2564&lt;&gt;""),"TXS"&amp;TEXT(COUNTIFS($B$2:$B2564,"&lt;&gt;",$C$2:$C2564,"&lt;&gt;",$D$2:$D2564,"&lt;&gt;",$E$2:$E2564,"&lt;&gt;"),"00000"),""))</f>
        <v/>
      </c>
      <c r="B2564" s="16"/>
      <c r="N2564" s="22"/>
    </row>
    <row r="2565" spans="1:14" x14ac:dyDescent="0.3">
      <c r="A2565" s="15" t="str">
        <f>IF(COUNTA($B2565:$E2565,$K2565)=0,"",IF(AND($B2565&lt;&gt;"",$C2565&lt;&gt;"",$D2565&lt;&gt;"",$E2565&lt;&gt;""),"TXS"&amp;TEXT(COUNTIFS($B$2:$B2565,"&lt;&gt;",$C$2:$C2565,"&lt;&gt;",$D$2:$D2565,"&lt;&gt;",$E$2:$E2565,"&lt;&gt;"),"00000"),""))</f>
        <v/>
      </c>
      <c r="B2565" s="16"/>
      <c r="N2565" s="22"/>
    </row>
    <row r="2566" spans="1:14" x14ac:dyDescent="0.3">
      <c r="A2566" s="15" t="str">
        <f>IF(COUNTA($B2566:$E2566,$K2566)=0,"",IF(AND($B2566&lt;&gt;"",$C2566&lt;&gt;"",$D2566&lt;&gt;"",$E2566&lt;&gt;""),"TXS"&amp;TEXT(COUNTIFS($B$2:$B2566,"&lt;&gt;",$C$2:$C2566,"&lt;&gt;",$D$2:$D2566,"&lt;&gt;",$E$2:$E2566,"&lt;&gt;"),"00000"),""))</f>
        <v/>
      </c>
      <c r="B2566" s="16"/>
      <c r="N2566" s="22"/>
    </row>
    <row r="2567" spans="1:14" x14ac:dyDescent="0.3">
      <c r="A2567" s="15" t="str">
        <f>IF(COUNTA($B2567:$E2567,$K2567)=0,"",IF(AND($B2567&lt;&gt;"",$C2567&lt;&gt;"",$D2567&lt;&gt;"",$E2567&lt;&gt;""),"TXS"&amp;TEXT(COUNTIFS($B$2:$B2567,"&lt;&gt;",$C$2:$C2567,"&lt;&gt;",$D$2:$D2567,"&lt;&gt;",$E$2:$E2567,"&lt;&gt;"),"00000"),""))</f>
        <v/>
      </c>
      <c r="B2567" s="16"/>
      <c r="N2567" s="22"/>
    </row>
    <row r="2568" spans="1:14" x14ac:dyDescent="0.3">
      <c r="A2568" s="15" t="str">
        <f>IF(COUNTA($B2568:$E2568,$K2568)=0,"",IF(AND($B2568&lt;&gt;"",$C2568&lt;&gt;"",$D2568&lt;&gt;"",$E2568&lt;&gt;""),"TXS"&amp;TEXT(COUNTIFS($B$2:$B2568,"&lt;&gt;",$C$2:$C2568,"&lt;&gt;",$D$2:$D2568,"&lt;&gt;",$E$2:$E2568,"&lt;&gt;"),"00000"),""))</f>
        <v/>
      </c>
      <c r="B2568" s="16"/>
      <c r="N2568" s="22"/>
    </row>
    <row r="2569" spans="1:14" x14ac:dyDescent="0.3">
      <c r="A2569" s="15" t="str">
        <f>IF(COUNTA($B2569:$E2569,$K2569)=0,"",IF(AND($B2569&lt;&gt;"",$C2569&lt;&gt;"",$D2569&lt;&gt;"",$E2569&lt;&gt;""),"TXS"&amp;TEXT(COUNTIFS($B$2:$B2569,"&lt;&gt;",$C$2:$C2569,"&lt;&gt;",$D$2:$D2569,"&lt;&gt;",$E$2:$E2569,"&lt;&gt;"),"00000"),""))</f>
        <v/>
      </c>
      <c r="B2569" s="16"/>
      <c r="N2569" s="22"/>
    </row>
    <row r="2570" spans="1:14" x14ac:dyDescent="0.3">
      <c r="A2570" s="15" t="str">
        <f>IF(COUNTA($B2570:$E2570,$K2570)=0,"",IF(AND($B2570&lt;&gt;"",$C2570&lt;&gt;"",$D2570&lt;&gt;"",$E2570&lt;&gt;""),"TXS"&amp;TEXT(COUNTIFS($B$2:$B2570,"&lt;&gt;",$C$2:$C2570,"&lt;&gt;",$D$2:$D2570,"&lt;&gt;",$E$2:$E2570,"&lt;&gt;"),"00000"),""))</f>
        <v/>
      </c>
      <c r="B2570" s="16"/>
      <c r="N2570" s="22"/>
    </row>
    <row r="2571" spans="1:14" x14ac:dyDescent="0.3">
      <c r="A2571" s="15" t="str">
        <f>IF(COUNTA($B2571:$E2571,$K2571)=0,"",IF(AND($B2571&lt;&gt;"",$C2571&lt;&gt;"",$D2571&lt;&gt;"",$E2571&lt;&gt;""),"TXS"&amp;TEXT(COUNTIFS($B$2:$B2571,"&lt;&gt;",$C$2:$C2571,"&lt;&gt;",$D$2:$D2571,"&lt;&gt;",$E$2:$E2571,"&lt;&gt;"),"00000"),""))</f>
        <v/>
      </c>
      <c r="B2571" s="16"/>
      <c r="N2571" s="22"/>
    </row>
    <row r="2572" spans="1:14" x14ac:dyDescent="0.3">
      <c r="A2572" s="15" t="str">
        <f>IF(COUNTA($B2572:$E2572,$K2572)=0,"",IF(AND($B2572&lt;&gt;"",$C2572&lt;&gt;"",$D2572&lt;&gt;"",$E2572&lt;&gt;""),"TXS"&amp;TEXT(COUNTIFS($B$2:$B2572,"&lt;&gt;",$C$2:$C2572,"&lt;&gt;",$D$2:$D2572,"&lt;&gt;",$E$2:$E2572,"&lt;&gt;"),"00000"),""))</f>
        <v/>
      </c>
      <c r="B2572" s="16"/>
      <c r="N2572" s="22"/>
    </row>
    <row r="2573" spans="1:14" x14ac:dyDescent="0.3">
      <c r="A2573" s="15" t="str">
        <f>IF(COUNTA($B2573:$E2573,$K2573)=0,"",IF(AND($B2573&lt;&gt;"",$C2573&lt;&gt;"",$D2573&lt;&gt;"",$E2573&lt;&gt;""),"TXS"&amp;TEXT(COUNTIFS($B$2:$B2573,"&lt;&gt;",$C$2:$C2573,"&lt;&gt;",$D$2:$D2573,"&lt;&gt;",$E$2:$E2573,"&lt;&gt;"),"00000"),""))</f>
        <v/>
      </c>
      <c r="B2573" s="16"/>
      <c r="N2573" s="22"/>
    </row>
    <row r="2574" spans="1:14" x14ac:dyDescent="0.3">
      <c r="A2574" s="15" t="str">
        <f>IF(COUNTA($B2574:$E2574,$K2574)=0,"",IF(AND($B2574&lt;&gt;"",$C2574&lt;&gt;"",$D2574&lt;&gt;"",$E2574&lt;&gt;""),"TXS"&amp;TEXT(COUNTIFS($B$2:$B2574,"&lt;&gt;",$C$2:$C2574,"&lt;&gt;",$D$2:$D2574,"&lt;&gt;",$E$2:$E2574,"&lt;&gt;"),"00000"),""))</f>
        <v/>
      </c>
      <c r="B2574" s="16"/>
      <c r="N2574" s="22"/>
    </row>
    <row r="2575" spans="1:14" x14ac:dyDescent="0.3">
      <c r="A2575" s="15" t="str">
        <f>IF(COUNTA($B2575:$E2575,$K2575)=0,"",IF(AND($B2575&lt;&gt;"",$C2575&lt;&gt;"",$D2575&lt;&gt;"",$E2575&lt;&gt;""),"TXS"&amp;TEXT(COUNTIFS($B$2:$B2575,"&lt;&gt;",$C$2:$C2575,"&lt;&gt;",$D$2:$D2575,"&lt;&gt;",$E$2:$E2575,"&lt;&gt;"),"00000"),""))</f>
        <v/>
      </c>
      <c r="B2575" s="16"/>
      <c r="N2575" s="22"/>
    </row>
    <row r="2576" spans="1:14" x14ac:dyDescent="0.3">
      <c r="A2576" s="15" t="str">
        <f>IF(COUNTA($B2576:$E2576,$K2576)=0,"",IF(AND($B2576&lt;&gt;"",$C2576&lt;&gt;"",$D2576&lt;&gt;"",$E2576&lt;&gt;""),"TXS"&amp;TEXT(COUNTIFS($B$2:$B2576,"&lt;&gt;",$C$2:$C2576,"&lt;&gt;",$D$2:$D2576,"&lt;&gt;",$E$2:$E2576,"&lt;&gt;"),"00000"),""))</f>
        <v/>
      </c>
      <c r="B2576" s="16"/>
      <c r="N2576" s="22"/>
    </row>
    <row r="2577" spans="1:14" x14ac:dyDescent="0.3">
      <c r="A2577" s="15" t="str">
        <f>IF(COUNTA($B2577:$E2577,$K2577)=0,"",IF(AND($B2577&lt;&gt;"",$C2577&lt;&gt;"",$D2577&lt;&gt;"",$E2577&lt;&gt;""),"TXS"&amp;TEXT(COUNTIFS($B$2:$B2577,"&lt;&gt;",$C$2:$C2577,"&lt;&gt;",$D$2:$D2577,"&lt;&gt;",$E$2:$E2577,"&lt;&gt;"),"00000"),""))</f>
        <v/>
      </c>
      <c r="B2577" s="16"/>
      <c r="N2577" s="22"/>
    </row>
    <row r="2578" spans="1:14" x14ac:dyDescent="0.3">
      <c r="A2578" s="15" t="str">
        <f>IF(COUNTA($B2578:$E2578,$K2578)=0,"",IF(AND($B2578&lt;&gt;"",$C2578&lt;&gt;"",$D2578&lt;&gt;"",$E2578&lt;&gt;""),"TXS"&amp;TEXT(COUNTIFS($B$2:$B2578,"&lt;&gt;",$C$2:$C2578,"&lt;&gt;",$D$2:$D2578,"&lt;&gt;",$E$2:$E2578,"&lt;&gt;"),"00000"),""))</f>
        <v/>
      </c>
      <c r="B2578" s="16"/>
      <c r="N2578" s="22"/>
    </row>
    <row r="2579" spans="1:14" x14ac:dyDescent="0.3">
      <c r="A2579" s="15" t="str">
        <f>IF(COUNTA($B2579:$E2579,$K2579)=0,"",IF(AND($B2579&lt;&gt;"",$C2579&lt;&gt;"",$D2579&lt;&gt;"",$E2579&lt;&gt;""),"TXS"&amp;TEXT(COUNTIFS($B$2:$B2579,"&lt;&gt;",$C$2:$C2579,"&lt;&gt;",$D$2:$D2579,"&lt;&gt;",$E$2:$E2579,"&lt;&gt;"),"00000"),""))</f>
        <v/>
      </c>
      <c r="B2579" s="16"/>
      <c r="N2579" s="22"/>
    </row>
    <row r="2580" spans="1:14" x14ac:dyDescent="0.3">
      <c r="A2580" s="15" t="str">
        <f>IF(COUNTA($B2580:$E2580,$K2580)=0,"",IF(AND($B2580&lt;&gt;"",$C2580&lt;&gt;"",$D2580&lt;&gt;"",$E2580&lt;&gt;""),"TXS"&amp;TEXT(COUNTIFS($B$2:$B2580,"&lt;&gt;",$C$2:$C2580,"&lt;&gt;",$D$2:$D2580,"&lt;&gt;",$E$2:$E2580,"&lt;&gt;"),"00000"),""))</f>
        <v/>
      </c>
      <c r="B2580" s="16"/>
      <c r="N2580" s="22"/>
    </row>
    <row r="2581" spans="1:14" x14ac:dyDescent="0.3">
      <c r="A2581" s="15" t="str">
        <f>IF(COUNTA($B2581:$E2581,$K2581)=0,"",IF(AND($B2581&lt;&gt;"",$C2581&lt;&gt;"",$D2581&lt;&gt;"",$E2581&lt;&gt;""),"TXS"&amp;TEXT(COUNTIFS($B$2:$B2581,"&lt;&gt;",$C$2:$C2581,"&lt;&gt;",$D$2:$D2581,"&lt;&gt;",$E$2:$E2581,"&lt;&gt;"),"00000"),""))</f>
        <v/>
      </c>
      <c r="B2581" s="16"/>
      <c r="N2581" s="22"/>
    </row>
    <row r="2582" spans="1:14" x14ac:dyDescent="0.3">
      <c r="A2582" s="15" t="str">
        <f>IF(COUNTA($B2582:$E2582,$K2582)=0,"",IF(AND($B2582&lt;&gt;"",$C2582&lt;&gt;"",$D2582&lt;&gt;"",$E2582&lt;&gt;""),"TXS"&amp;TEXT(COUNTIFS($B$2:$B2582,"&lt;&gt;",$C$2:$C2582,"&lt;&gt;",$D$2:$D2582,"&lt;&gt;",$E$2:$E2582,"&lt;&gt;"),"00000"),""))</f>
        <v/>
      </c>
      <c r="B2582" s="16"/>
      <c r="N2582" s="22"/>
    </row>
    <row r="2583" spans="1:14" x14ac:dyDescent="0.3">
      <c r="A2583" s="15" t="str">
        <f>IF(COUNTA($B2583:$E2583,$K2583)=0,"",IF(AND($B2583&lt;&gt;"",$C2583&lt;&gt;"",$D2583&lt;&gt;"",$E2583&lt;&gt;""),"TXS"&amp;TEXT(COUNTIFS($B$2:$B2583,"&lt;&gt;",$C$2:$C2583,"&lt;&gt;",$D$2:$D2583,"&lt;&gt;",$E$2:$E2583,"&lt;&gt;"),"00000"),""))</f>
        <v/>
      </c>
      <c r="B2583" s="16"/>
      <c r="N2583" s="22"/>
    </row>
    <row r="2584" spans="1:14" x14ac:dyDescent="0.3">
      <c r="A2584" s="15" t="str">
        <f>IF(COUNTA($B2584:$E2584,$K2584)=0,"",IF(AND($B2584&lt;&gt;"",$C2584&lt;&gt;"",$D2584&lt;&gt;"",$E2584&lt;&gt;""),"TXS"&amp;TEXT(COUNTIFS($B$2:$B2584,"&lt;&gt;",$C$2:$C2584,"&lt;&gt;",$D$2:$D2584,"&lt;&gt;",$E$2:$E2584,"&lt;&gt;"),"00000"),""))</f>
        <v/>
      </c>
      <c r="B2584" s="16"/>
      <c r="N2584" s="22"/>
    </row>
    <row r="2585" spans="1:14" x14ac:dyDescent="0.3">
      <c r="A2585" s="15" t="str">
        <f>IF(COUNTA($B2585:$E2585,$K2585)=0,"",IF(AND($B2585&lt;&gt;"",$C2585&lt;&gt;"",$D2585&lt;&gt;"",$E2585&lt;&gt;""),"TXS"&amp;TEXT(COUNTIFS($B$2:$B2585,"&lt;&gt;",$C$2:$C2585,"&lt;&gt;",$D$2:$D2585,"&lt;&gt;",$E$2:$E2585,"&lt;&gt;"),"00000"),""))</f>
        <v/>
      </c>
      <c r="B2585" s="16"/>
      <c r="N2585" s="22"/>
    </row>
    <row r="2586" spans="1:14" x14ac:dyDescent="0.3">
      <c r="A2586" s="15" t="str">
        <f>IF(COUNTA($B2586:$E2586,$K2586)=0,"",IF(AND($B2586&lt;&gt;"",$C2586&lt;&gt;"",$D2586&lt;&gt;"",$E2586&lt;&gt;""),"TXS"&amp;TEXT(COUNTIFS($B$2:$B2586,"&lt;&gt;",$C$2:$C2586,"&lt;&gt;",$D$2:$D2586,"&lt;&gt;",$E$2:$E2586,"&lt;&gt;"),"00000"),""))</f>
        <v/>
      </c>
      <c r="B2586" s="16"/>
      <c r="N2586" s="22"/>
    </row>
    <row r="2587" spans="1:14" x14ac:dyDescent="0.3">
      <c r="A2587" s="15" t="str">
        <f>IF(COUNTA($B2587:$E2587,$K2587)=0,"",IF(AND($B2587&lt;&gt;"",$C2587&lt;&gt;"",$D2587&lt;&gt;"",$E2587&lt;&gt;""),"TXS"&amp;TEXT(COUNTIFS($B$2:$B2587,"&lt;&gt;",$C$2:$C2587,"&lt;&gt;",$D$2:$D2587,"&lt;&gt;",$E$2:$E2587,"&lt;&gt;"),"00000"),""))</f>
        <v/>
      </c>
      <c r="B2587" s="16"/>
      <c r="N2587" s="22"/>
    </row>
    <row r="2588" spans="1:14" x14ac:dyDescent="0.3">
      <c r="A2588" s="15" t="str">
        <f>IF(COUNTA($B2588:$E2588,$K2588)=0,"",IF(AND($B2588&lt;&gt;"",$C2588&lt;&gt;"",$D2588&lt;&gt;"",$E2588&lt;&gt;""),"TXS"&amp;TEXT(COUNTIFS($B$2:$B2588,"&lt;&gt;",$C$2:$C2588,"&lt;&gt;",$D$2:$D2588,"&lt;&gt;",$E$2:$E2588,"&lt;&gt;"),"00000"),""))</f>
        <v/>
      </c>
      <c r="B2588" s="16"/>
      <c r="N2588" s="22"/>
    </row>
    <row r="2589" spans="1:14" x14ac:dyDescent="0.3">
      <c r="A2589" s="15" t="str">
        <f>IF(COUNTA($B2589:$E2589,$K2589)=0,"",IF(AND($B2589&lt;&gt;"",$C2589&lt;&gt;"",$D2589&lt;&gt;"",$E2589&lt;&gt;""),"TXS"&amp;TEXT(COUNTIFS($B$2:$B2589,"&lt;&gt;",$C$2:$C2589,"&lt;&gt;",$D$2:$D2589,"&lt;&gt;",$E$2:$E2589,"&lt;&gt;"),"00000"),""))</f>
        <v/>
      </c>
      <c r="B2589" s="16"/>
      <c r="N2589" s="22"/>
    </row>
    <row r="2590" spans="1:14" x14ac:dyDescent="0.3">
      <c r="A2590" s="15" t="str">
        <f>IF(COUNTA($B2590:$E2590,$K2590)=0,"",IF(AND($B2590&lt;&gt;"",$C2590&lt;&gt;"",$D2590&lt;&gt;"",$E2590&lt;&gt;""),"TXS"&amp;TEXT(COUNTIFS($B$2:$B2590,"&lt;&gt;",$C$2:$C2590,"&lt;&gt;",$D$2:$D2590,"&lt;&gt;",$E$2:$E2590,"&lt;&gt;"),"00000"),""))</f>
        <v/>
      </c>
      <c r="B2590" s="16"/>
      <c r="N2590" s="22"/>
    </row>
    <row r="2591" spans="1:14" x14ac:dyDescent="0.3">
      <c r="A2591" s="15" t="str">
        <f>IF(COUNTA($B2591:$E2591,$K2591)=0,"",IF(AND($B2591&lt;&gt;"",$C2591&lt;&gt;"",$D2591&lt;&gt;"",$E2591&lt;&gt;""),"TXS"&amp;TEXT(COUNTIFS($B$2:$B2591,"&lt;&gt;",$C$2:$C2591,"&lt;&gt;",$D$2:$D2591,"&lt;&gt;",$E$2:$E2591,"&lt;&gt;"),"00000"),""))</f>
        <v/>
      </c>
      <c r="B2591" s="16"/>
      <c r="N2591" s="22"/>
    </row>
    <row r="2592" spans="1:14" x14ac:dyDescent="0.3">
      <c r="A2592" s="15" t="str">
        <f>IF(COUNTA($B2592:$E2592,$K2592)=0,"",IF(AND($B2592&lt;&gt;"",$C2592&lt;&gt;"",$D2592&lt;&gt;"",$E2592&lt;&gt;""),"TXS"&amp;TEXT(COUNTIFS($B$2:$B2592,"&lt;&gt;",$C$2:$C2592,"&lt;&gt;",$D$2:$D2592,"&lt;&gt;",$E$2:$E2592,"&lt;&gt;"),"00000"),""))</f>
        <v/>
      </c>
      <c r="B2592" s="16"/>
      <c r="N2592" s="22"/>
    </row>
    <row r="2593" spans="1:14" x14ac:dyDescent="0.3">
      <c r="A2593" s="15" t="str">
        <f>IF(COUNTA($B2593:$E2593,$K2593)=0,"",IF(AND($B2593&lt;&gt;"",$C2593&lt;&gt;"",$D2593&lt;&gt;"",$E2593&lt;&gt;""),"TXS"&amp;TEXT(COUNTIFS($B$2:$B2593,"&lt;&gt;",$C$2:$C2593,"&lt;&gt;",$D$2:$D2593,"&lt;&gt;",$E$2:$E2593,"&lt;&gt;"),"00000"),""))</f>
        <v/>
      </c>
      <c r="B2593" s="16"/>
      <c r="N2593" s="22"/>
    </row>
    <row r="2594" spans="1:14" x14ac:dyDescent="0.3">
      <c r="A2594" s="15" t="str">
        <f>IF(COUNTA($B2594:$E2594,$K2594)=0,"",IF(AND($B2594&lt;&gt;"",$C2594&lt;&gt;"",$D2594&lt;&gt;"",$E2594&lt;&gt;""),"TXS"&amp;TEXT(COUNTIFS($B$2:$B2594,"&lt;&gt;",$C$2:$C2594,"&lt;&gt;",$D$2:$D2594,"&lt;&gt;",$E$2:$E2594,"&lt;&gt;"),"00000"),""))</f>
        <v/>
      </c>
      <c r="B2594" s="16"/>
      <c r="N2594" s="22"/>
    </row>
    <row r="2595" spans="1:14" x14ac:dyDescent="0.3">
      <c r="A2595" s="15" t="str">
        <f>IF(COUNTA($B2595:$E2595,$K2595)=0,"",IF(AND($B2595&lt;&gt;"",$C2595&lt;&gt;"",$D2595&lt;&gt;"",$E2595&lt;&gt;""),"TXS"&amp;TEXT(COUNTIFS($B$2:$B2595,"&lt;&gt;",$C$2:$C2595,"&lt;&gt;",$D$2:$D2595,"&lt;&gt;",$E$2:$E2595,"&lt;&gt;"),"00000"),""))</f>
        <v/>
      </c>
      <c r="B2595" s="16"/>
      <c r="N2595" s="22"/>
    </row>
    <row r="2596" spans="1:14" x14ac:dyDescent="0.3">
      <c r="A2596" s="15" t="str">
        <f>IF(COUNTA($B2596:$E2596,$K2596)=0,"",IF(AND($B2596&lt;&gt;"",$C2596&lt;&gt;"",$D2596&lt;&gt;"",$E2596&lt;&gt;""),"TXS"&amp;TEXT(COUNTIFS($B$2:$B2596,"&lt;&gt;",$C$2:$C2596,"&lt;&gt;",$D$2:$D2596,"&lt;&gt;",$E$2:$E2596,"&lt;&gt;"),"00000"),""))</f>
        <v/>
      </c>
      <c r="B2596" s="16"/>
      <c r="N2596" s="22"/>
    </row>
    <row r="2597" spans="1:14" x14ac:dyDescent="0.3">
      <c r="A2597" s="15" t="str">
        <f>IF(COUNTA($B2597:$E2597,$K2597)=0,"",IF(AND($B2597&lt;&gt;"",$C2597&lt;&gt;"",$D2597&lt;&gt;"",$E2597&lt;&gt;""),"TXS"&amp;TEXT(COUNTIFS($B$2:$B2597,"&lt;&gt;",$C$2:$C2597,"&lt;&gt;",$D$2:$D2597,"&lt;&gt;",$E$2:$E2597,"&lt;&gt;"),"00000"),""))</f>
        <v/>
      </c>
      <c r="B2597" s="16"/>
      <c r="N2597" s="22"/>
    </row>
    <row r="2598" spans="1:14" x14ac:dyDescent="0.3">
      <c r="A2598" s="15" t="str">
        <f>IF(COUNTA($B2598:$E2598,$K2598)=0,"",IF(AND($B2598&lt;&gt;"",$C2598&lt;&gt;"",$D2598&lt;&gt;"",$E2598&lt;&gt;""),"TXS"&amp;TEXT(COUNTIFS($B$2:$B2598,"&lt;&gt;",$C$2:$C2598,"&lt;&gt;",$D$2:$D2598,"&lt;&gt;",$E$2:$E2598,"&lt;&gt;"),"00000"),""))</f>
        <v/>
      </c>
      <c r="B2598" s="16"/>
      <c r="N2598" s="22"/>
    </row>
    <row r="2599" spans="1:14" x14ac:dyDescent="0.3">
      <c r="A2599" s="15" t="str">
        <f>IF(COUNTA($B2599:$E2599,$K2599)=0,"",IF(AND($B2599&lt;&gt;"",$C2599&lt;&gt;"",$D2599&lt;&gt;"",$E2599&lt;&gt;""),"TXS"&amp;TEXT(COUNTIFS($B$2:$B2599,"&lt;&gt;",$C$2:$C2599,"&lt;&gt;",$D$2:$D2599,"&lt;&gt;",$E$2:$E2599,"&lt;&gt;"),"00000"),""))</f>
        <v/>
      </c>
      <c r="B2599" s="16"/>
      <c r="N2599" s="22"/>
    </row>
    <row r="2600" spans="1:14" x14ac:dyDescent="0.3">
      <c r="A2600" s="15" t="str">
        <f>IF(COUNTA($B2600:$E2600,$K2600)=0,"",IF(AND($B2600&lt;&gt;"",$C2600&lt;&gt;"",$D2600&lt;&gt;"",$E2600&lt;&gt;""),"TXS"&amp;TEXT(COUNTIFS($B$2:$B2600,"&lt;&gt;",$C$2:$C2600,"&lt;&gt;",$D$2:$D2600,"&lt;&gt;",$E$2:$E2600,"&lt;&gt;"),"00000"),""))</f>
        <v/>
      </c>
      <c r="B2600" s="16"/>
      <c r="N2600" s="22"/>
    </row>
    <row r="2601" spans="1:14" x14ac:dyDescent="0.3">
      <c r="A2601" s="15" t="str">
        <f>IF(COUNTA($B2601:$E2601,$K2601)=0,"",IF(AND($B2601&lt;&gt;"",$C2601&lt;&gt;"",$D2601&lt;&gt;"",$E2601&lt;&gt;""),"TXS"&amp;TEXT(COUNTIFS($B$2:$B2601,"&lt;&gt;",$C$2:$C2601,"&lt;&gt;",$D$2:$D2601,"&lt;&gt;",$E$2:$E2601,"&lt;&gt;"),"00000"),""))</f>
        <v/>
      </c>
      <c r="B2601" s="16"/>
      <c r="N2601" s="22"/>
    </row>
    <row r="2602" spans="1:14" x14ac:dyDescent="0.3">
      <c r="A2602" s="15" t="str">
        <f>IF(COUNTA($B2602:$E2602,$K2602)=0,"",IF(AND($B2602&lt;&gt;"",$C2602&lt;&gt;"",$D2602&lt;&gt;"",$E2602&lt;&gt;""),"TXS"&amp;TEXT(COUNTIFS($B$2:$B2602,"&lt;&gt;",$C$2:$C2602,"&lt;&gt;",$D$2:$D2602,"&lt;&gt;",$E$2:$E2602,"&lt;&gt;"),"00000"),""))</f>
        <v/>
      </c>
      <c r="B2602" s="16"/>
      <c r="N2602" s="22"/>
    </row>
    <row r="2603" spans="1:14" x14ac:dyDescent="0.3">
      <c r="A2603" s="15" t="str">
        <f>IF(COUNTA($B2603:$E2603,$K2603)=0,"",IF(AND($B2603&lt;&gt;"",$C2603&lt;&gt;"",$D2603&lt;&gt;"",$E2603&lt;&gt;""),"TXS"&amp;TEXT(COUNTIFS($B$2:$B2603,"&lt;&gt;",$C$2:$C2603,"&lt;&gt;",$D$2:$D2603,"&lt;&gt;",$E$2:$E2603,"&lt;&gt;"),"00000"),""))</f>
        <v/>
      </c>
      <c r="B2603" s="16"/>
      <c r="N2603" s="22"/>
    </row>
    <row r="2604" spans="1:14" x14ac:dyDescent="0.3">
      <c r="A2604" s="15" t="str">
        <f>IF(COUNTA($B2604:$E2604,$K2604)=0,"",IF(AND($B2604&lt;&gt;"",$C2604&lt;&gt;"",$D2604&lt;&gt;"",$E2604&lt;&gt;""),"TXS"&amp;TEXT(COUNTIFS($B$2:$B2604,"&lt;&gt;",$C$2:$C2604,"&lt;&gt;",$D$2:$D2604,"&lt;&gt;",$E$2:$E2604,"&lt;&gt;"),"00000"),""))</f>
        <v/>
      </c>
      <c r="B2604" s="16"/>
      <c r="N2604" s="22"/>
    </row>
    <row r="2605" spans="1:14" x14ac:dyDescent="0.3">
      <c r="A2605" s="15" t="str">
        <f>IF(COUNTA($B2605:$E2605,$K2605)=0,"",IF(AND($B2605&lt;&gt;"",$C2605&lt;&gt;"",$D2605&lt;&gt;"",$E2605&lt;&gt;""),"TXS"&amp;TEXT(COUNTIFS($B$2:$B2605,"&lt;&gt;",$C$2:$C2605,"&lt;&gt;",$D$2:$D2605,"&lt;&gt;",$E$2:$E2605,"&lt;&gt;"),"00000"),""))</f>
        <v/>
      </c>
      <c r="B2605" s="16"/>
      <c r="N2605" s="22"/>
    </row>
    <row r="2606" spans="1:14" x14ac:dyDescent="0.3">
      <c r="A2606" s="15" t="str">
        <f>IF(COUNTA($B2606:$E2606,$K2606)=0,"",IF(AND($B2606&lt;&gt;"",$C2606&lt;&gt;"",$D2606&lt;&gt;"",$E2606&lt;&gt;""),"TXS"&amp;TEXT(COUNTIFS($B$2:$B2606,"&lt;&gt;",$C$2:$C2606,"&lt;&gt;",$D$2:$D2606,"&lt;&gt;",$E$2:$E2606,"&lt;&gt;"),"00000"),""))</f>
        <v/>
      </c>
      <c r="B2606" s="16"/>
      <c r="N2606" s="22"/>
    </row>
    <row r="2607" spans="1:14" x14ac:dyDescent="0.3">
      <c r="A2607" s="15" t="str">
        <f>IF(COUNTA($B2607:$E2607,$K2607)=0,"",IF(AND($B2607&lt;&gt;"",$C2607&lt;&gt;"",$D2607&lt;&gt;"",$E2607&lt;&gt;""),"TXS"&amp;TEXT(COUNTIFS($B$2:$B2607,"&lt;&gt;",$C$2:$C2607,"&lt;&gt;",$D$2:$D2607,"&lt;&gt;",$E$2:$E2607,"&lt;&gt;"),"00000"),""))</f>
        <v/>
      </c>
      <c r="B2607" s="16"/>
      <c r="N2607" s="22"/>
    </row>
    <row r="2608" spans="1:14" x14ac:dyDescent="0.3">
      <c r="A2608" s="15" t="str">
        <f>IF(COUNTA($B2608:$E2608,$K2608)=0,"",IF(AND($B2608&lt;&gt;"",$C2608&lt;&gt;"",$D2608&lt;&gt;"",$E2608&lt;&gt;""),"TXS"&amp;TEXT(COUNTIFS($B$2:$B2608,"&lt;&gt;",$C$2:$C2608,"&lt;&gt;",$D$2:$D2608,"&lt;&gt;",$E$2:$E2608,"&lt;&gt;"),"00000"),""))</f>
        <v/>
      </c>
      <c r="B2608" s="16"/>
      <c r="N2608" s="22"/>
    </row>
    <row r="2609" spans="1:14" x14ac:dyDescent="0.3">
      <c r="A2609" s="15" t="str">
        <f>IF(COUNTA($B2609:$E2609,$K2609)=0,"",IF(AND($B2609&lt;&gt;"",$C2609&lt;&gt;"",$D2609&lt;&gt;"",$E2609&lt;&gt;""),"TXS"&amp;TEXT(COUNTIFS($B$2:$B2609,"&lt;&gt;",$C$2:$C2609,"&lt;&gt;",$D$2:$D2609,"&lt;&gt;",$E$2:$E2609,"&lt;&gt;"),"00000"),""))</f>
        <v/>
      </c>
      <c r="B2609" s="16"/>
      <c r="N2609" s="22"/>
    </row>
    <row r="2610" spans="1:14" x14ac:dyDescent="0.3">
      <c r="A2610" s="15" t="str">
        <f>IF(COUNTA($B2610:$E2610,$K2610)=0,"",IF(AND($B2610&lt;&gt;"",$C2610&lt;&gt;"",$D2610&lt;&gt;"",$E2610&lt;&gt;""),"TXS"&amp;TEXT(COUNTIFS($B$2:$B2610,"&lt;&gt;",$C$2:$C2610,"&lt;&gt;",$D$2:$D2610,"&lt;&gt;",$E$2:$E2610,"&lt;&gt;"),"00000"),""))</f>
        <v/>
      </c>
      <c r="B2610" s="16"/>
      <c r="N2610" s="22"/>
    </row>
    <row r="2611" spans="1:14" x14ac:dyDescent="0.3">
      <c r="A2611" s="15" t="str">
        <f>IF(COUNTA($B2611:$E2611,$K2611)=0,"",IF(AND($B2611&lt;&gt;"",$C2611&lt;&gt;"",$D2611&lt;&gt;"",$E2611&lt;&gt;""),"TXS"&amp;TEXT(COUNTIFS($B$2:$B2611,"&lt;&gt;",$C$2:$C2611,"&lt;&gt;",$D$2:$D2611,"&lt;&gt;",$E$2:$E2611,"&lt;&gt;"),"00000"),""))</f>
        <v/>
      </c>
      <c r="B2611" s="16"/>
      <c r="N2611" s="22"/>
    </row>
    <row r="2612" spans="1:14" x14ac:dyDescent="0.3">
      <c r="A2612" s="15" t="str">
        <f>IF(COUNTA($B2612:$E2612,$K2612)=0,"",IF(AND($B2612&lt;&gt;"",$C2612&lt;&gt;"",$D2612&lt;&gt;"",$E2612&lt;&gt;""),"TXS"&amp;TEXT(COUNTIFS($B$2:$B2612,"&lt;&gt;",$C$2:$C2612,"&lt;&gt;",$D$2:$D2612,"&lt;&gt;",$E$2:$E2612,"&lt;&gt;"),"00000"),""))</f>
        <v/>
      </c>
      <c r="B2612" s="16"/>
      <c r="N2612" s="22"/>
    </row>
    <row r="2613" spans="1:14" x14ac:dyDescent="0.3">
      <c r="A2613" s="15" t="str">
        <f>IF(COUNTA($B2613:$E2613,$K2613)=0,"",IF(AND($B2613&lt;&gt;"",$C2613&lt;&gt;"",$D2613&lt;&gt;"",$E2613&lt;&gt;""),"TXS"&amp;TEXT(COUNTIFS($B$2:$B2613,"&lt;&gt;",$C$2:$C2613,"&lt;&gt;",$D$2:$D2613,"&lt;&gt;",$E$2:$E2613,"&lt;&gt;"),"00000"),""))</f>
        <v/>
      </c>
      <c r="B2613" s="16"/>
      <c r="N2613" s="22"/>
    </row>
    <row r="2614" spans="1:14" x14ac:dyDescent="0.3">
      <c r="A2614" s="15" t="str">
        <f>IF(COUNTA($B2614:$E2614,$K2614)=0,"",IF(AND($B2614&lt;&gt;"",$C2614&lt;&gt;"",$D2614&lt;&gt;"",$E2614&lt;&gt;""),"TXS"&amp;TEXT(COUNTIFS($B$2:$B2614,"&lt;&gt;",$C$2:$C2614,"&lt;&gt;",$D$2:$D2614,"&lt;&gt;",$E$2:$E2614,"&lt;&gt;"),"00000"),""))</f>
        <v/>
      </c>
      <c r="B2614" s="16"/>
      <c r="N2614" s="22"/>
    </row>
    <row r="2615" spans="1:14" x14ac:dyDescent="0.3">
      <c r="A2615" s="15" t="str">
        <f>IF(COUNTA($B2615:$E2615,$K2615)=0,"",IF(AND($B2615&lt;&gt;"",$C2615&lt;&gt;"",$D2615&lt;&gt;"",$E2615&lt;&gt;""),"TXS"&amp;TEXT(COUNTIFS($B$2:$B2615,"&lt;&gt;",$C$2:$C2615,"&lt;&gt;",$D$2:$D2615,"&lt;&gt;",$E$2:$E2615,"&lt;&gt;"),"00000"),""))</f>
        <v/>
      </c>
      <c r="B2615" s="16"/>
      <c r="N2615" s="22"/>
    </row>
    <row r="2616" spans="1:14" x14ac:dyDescent="0.3">
      <c r="A2616" s="15" t="str">
        <f>IF(COUNTA($B2616:$E2616,$K2616)=0,"",IF(AND($B2616&lt;&gt;"",$C2616&lt;&gt;"",$D2616&lt;&gt;"",$E2616&lt;&gt;""),"TXS"&amp;TEXT(COUNTIFS($B$2:$B2616,"&lt;&gt;",$C$2:$C2616,"&lt;&gt;",$D$2:$D2616,"&lt;&gt;",$E$2:$E2616,"&lt;&gt;"),"00000"),""))</f>
        <v/>
      </c>
      <c r="B2616" s="16"/>
      <c r="N2616" s="22"/>
    </row>
    <row r="2617" spans="1:14" x14ac:dyDescent="0.3">
      <c r="A2617" s="15" t="str">
        <f>IF(COUNTA($B2617:$E2617,$K2617)=0,"",IF(AND($B2617&lt;&gt;"",$C2617&lt;&gt;"",$D2617&lt;&gt;"",$E2617&lt;&gt;""),"TXS"&amp;TEXT(COUNTIFS($B$2:$B2617,"&lt;&gt;",$C$2:$C2617,"&lt;&gt;",$D$2:$D2617,"&lt;&gt;",$E$2:$E2617,"&lt;&gt;"),"00000"),""))</f>
        <v/>
      </c>
      <c r="B2617" s="16"/>
      <c r="N2617" s="22"/>
    </row>
    <row r="2618" spans="1:14" x14ac:dyDescent="0.3">
      <c r="A2618" s="15" t="str">
        <f>IF(COUNTA($B2618:$E2618,$K2618)=0,"",IF(AND($B2618&lt;&gt;"",$C2618&lt;&gt;"",$D2618&lt;&gt;"",$E2618&lt;&gt;""),"TXS"&amp;TEXT(COUNTIFS($B$2:$B2618,"&lt;&gt;",$C$2:$C2618,"&lt;&gt;",$D$2:$D2618,"&lt;&gt;",$E$2:$E2618,"&lt;&gt;"),"00000"),""))</f>
        <v/>
      </c>
      <c r="B2618" s="16"/>
      <c r="N2618" s="22"/>
    </row>
    <row r="2619" spans="1:14" x14ac:dyDescent="0.3">
      <c r="A2619" s="15" t="str">
        <f>IF(COUNTA($B2619:$E2619,$K2619)=0,"",IF(AND($B2619&lt;&gt;"",$C2619&lt;&gt;"",$D2619&lt;&gt;"",$E2619&lt;&gt;""),"TXS"&amp;TEXT(COUNTIFS($B$2:$B2619,"&lt;&gt;",$C$2:$C2619,"&lt;&gt;",$D$2:$D2619,"&lt;&gt;",$E$2:$E2619,"&lt;&gt;"),"00000"),""))</f>
        <v/>
      </c>
      <c r="B2619" s="16"/>
      <c r="N2619" s="22"/>
    </row>
    <row r="2620" spans="1:14" x14ac:dyDescent="0.3">
      <c r="A2620" s="15" t="str">
        <f>IF(COUNTA($B2620:$E2620,$K2620)=0,"",IF(AND($B2620&lt;&gt;"",$C2620&lt;&gt;"",$D2620&lt;&gt;"",$E2620&lt;&gt;""),"TXS"&amp;TEXT(COUNTIFS($B$2:$B2620,"&lt;&gt;",$C$2:$C2620,"&lt;&gt;",$D$2:$D2620,"&lt;&gt;",$E$2:$E2620,"&lt;&gt;"),"00000"),""))</f>
        <v/>
      </c>
      <c r="B2620" s="16"/>
      <c r="N2620" s="22"/>
    </row>
    <row r="2621" spans="1:14" x14ac:dyDescent="0.3">
      <c r="A2621" s="15" t="str">
        <f>IF(COUNTA($B2621:$E2621,$K2621)=0,"",IF(AND($B2621&lt;&gt;"",$C2621&lt;&gt;"",$D2621&lt;&gt;"",$E2621&lt;&gt;""),"TXS"&amp;TEXT(COUNTIFS($B$2:$B2621,"&lt;&gt;",$C$2:$C2621,"&lt;&gt;",$D$2:$D2621,"&lt;&gt;",$E$2:$E2621,"&lt;&gt;"),"00000"),""))</f>
        <v/>
      </c>
      <c r="B2621" s="16"/>
      <c r="N2621" s="22"/>
    </row>
    <row r="2622" spans="1:14" x14ac:dyDescent="0.3">
      <c r="A2622" s="15" t="str">
        <f>IF(COUNTA($B2622:$E2622,$K2622)=0,"",IF(AND($B2622&lt;&gt;"",$C2622&lt;&gt;"",$D2622&lt;&gt;"",$E2622&lt;&gt;""),"TXS"&amp;TEXT(COUNTIFS($B$2:$B2622,"&lt;&gt;",$C$2:$C2622,"&lt;&gt;",$D$2:$D2622,"&lt;&gt;",$E$2:$E2622,"&lt;&gt;"),"00000"),""))</f>
        <v/>
      </c>
      <c r="B2622" s="16"/>
      <c r="N2622" s="22"/>
    </row>
    <row r="2623" spans="1:14" x14ac:dyDescent="0.3">
      <c r="A2623" s="15" t="str">
        <f>IF(COUNTA($B2623:$E2623,$K2623)=0,"",IF(AND($B2623&lt;&gt;"",$C2623&lt;&gt;"",$D2623&lt;&gt;"",$E2623&lt;&gt;""),"TXS"&amp;TEXT(COUNTIFS($B$2:$B2623,"&lt;&gt;",$C$2:$C2623,"&lt;&gt;",$D$2:$D2623,"&lt;&gt;",$E$2:$E2623,"&lt;&gt;"),"00000"),""))</f>
        <v/>
      </c>
      <c r="B2623" s="16"/>
      <c r="N2623" s="22"/>
    </row>
    <row r="2624" spans="1:14" x14ac:dyDescent="0.3">
      <c r="A2624" s="15" t="str">
        <f>IF(COUNTA($B2624:$E2624,$K2624)=0,"",IF(AND($B2624&lt;&gt;"",$C2624&lt;&gt;"",$D2624&lt;&gt;"",$E2624&lt;&gt;""),"TXS"&amp;TEXT(COUNTIFS($B$2:$B2624,"&lt;&gt;",$C$2:$C2624,"&lt;&gt;",$D$2:$D2624,"&lt;&gt;",$E$2:$E2624,"&lt;&gt;"),"00000"),""))</f>
        <v/>
      </c>
      <c r="N2624" s="22"/>
    </row>
    <row r="2625" spans="1:14" x14ac:dyDescent="0.3">
      <c r="A2625" s="15" t="str">
        <f>IF(COUNTA($B2625:$E2625,$K2625)=0,"",IF(AND($B2625&lt;&gt;"",$C2625&lt;&gt;"",$D2625&lt;&gt;"",$E2625&lt;&gt;""),"TXS"&amp;TEXT(COUNTIFS($B$2:$B2625,"&lt;&gt;",$C$2:$C2625,"&lt;&gt;",$D$2:$D2625,"&lt;&gt;",$E$2:$E2625,"&lt;&gt;"),"00000"),""))</f>
        <v/>
      </c>
      <c r="N2625" s="22"/>
    </row>
    <row r="2626" spans="1:14" x14ac:dyDescent="0.3">
      <c r="A2626" s="15" t="str">
        <f>IF(COUNTA($B2626:$E2626,$K2626)=0,"",IF(AND($B2626&lt;&gt;"",$C2626&lt;&gt;"",$D2626&lt;&gt;"",$E2626&lt;&gt;""),"TXS"&amp;TEXT(COUNTIFS($B$2:$B2626,"&lt;&gt;",$C$2:$C2626,"&lt;&gt;",$D$2:$D2626,"&lt;&gt;",$E$2:$E2626,"&lt;&gt;"),"00000"),""))</f>
        <v/>
      </c>
      <c r="N2626" s="22"/>
    </row>
    <row r="2627" spans="1:14" x14ac:dyDescent="0.3">
      <c r="A2627" s="15" t="str">
        <f>IF(COUNTA($B2627:$E2627,$K2627)=0,"",IF(AND($B2627&lt;&gt;"",$C2627&lt;&gt;"",$D2627&lt;&gt;"",$E2627&lt;&gt;""),"TXS"&amp;TEXT(COUNTIFS($B$2:$B2627,"&lt;&gt;",$C$2:$C2627,"&lt;&gt;",$D$2:$D2627,"&lt;&gt;",$E$2:$E2627,"&lt;&gt;"),"00000"),""))</f>
        <v/>
      </c>
      <c r="N2627" s="22"/>
    </row>
    <row r="2628" spans="1:14" x14ac:dyDescent="0.3">
      <c r="A2628" s="15" t="str">
        <f>IF(COUNTA($B2628:$E2628,$K2628)=0,"",IF(AND($B2628&lt;&gt;"",$C2628&lt;&gt;"",$D2628&lt;&gt;"",$E2628&lt;&gt;""),"TXS"&amp;TEXT(COUNTIFS($B$2:$B2628,"&lt;&gt;",$C$2:$C2628,"&lt;&gt;",$D$2:$D2628,"&lt;&gt;",$E$2:$E2628,"&lt;&gt;"),"00000"),""))</f>
        <v/>
      </c>
      <c r="N2628" s="22"/>
    </row>
    <row r="2629" spans="1:14" x14ac:dyDescent="0.3">
      <c r="A2629" s="15" t="str">
        <f>IF(COUNTA($B2629:$E2629,$K2629)=0,"",IF(AND($B2629&lt;&gt;"",$C2629&lt;&gt;"",$D2629&lt;&gt;"",$E2629&lt;&gt;""),"TXS"&amp;TEXT(COUNTIFS($B$2:$B2629,"&lt;&gt;",$C$2:$C2629,"&lt;&gt;",$D$2:$D2629,"&lt;&gt;",$E$2:$E2629,"&lt;&gt;"),"00000"),""))</f>
        <v/>
      </c>
      <c r="N2629" s="22"/>
    </row>
    <row r="2630" spans="1:14" x14ac:dyDescent="0.3">
      <c r="A2630" s="15" t="str">
        <f>IF(COUNTA($B2630:$E2630,$K2630)=0,"",IF(AND($B2630&lt;&gt;"",$C2630&lt;&gt;"",$D2630&lt;&gt;"",$E2630&lt;&gt;""),"TXS"&amp;TEXT(COUNTIFS($B$2:$B2630,"&lt;&gt;",$C$2:$C2630,"&lt;&gt;",$D$2:$D2630,"&lt;&gt;",$E$2:$E2630,"&lt;&gt;"),"00000"),""))</f>
        <v/>
      </c>
      <c r="N2630" s="22"/>
    </row>
    <row r="2631" spans="1:14" x14ac:dyDescent="0.3">
      <c r="A2631" s="15" t="str">
        <f>IF(COUNTA($B2631:$E2631,$K2631)=0,"",IF(AND($B2631&lt;&gt;"",$C2631&lt;&gt;"",$D2631&lt;&gt;"",$E2631&lt;&gt;""),"TXS"&amp;TEXT(COUNTIFS($B$2:$B2631,"&lt;&gt;",$C$2:$C2631,"&lt;&gt;",$D$2:$D2631,"&lt;&gt;",$E$2:$E2631,"&lt;&gt;"),"00000"),""))</f>
        <v/>
      </c>
      <c r="N2631" s="22"/>
    </row>
    <row r="2632" spans="1:14" x14ac:dyDescent="0.3">
      <c r="A2632" s="15" t="str">
        <f>IF(COUNTA($B2632:$E2632,$K2632)=0,"",IF(AND($B2632&lt;&gt;"",$C2632&lt;&gt;"",$D2632&lt;&gt;"",$E2632&lt;&gt;""),"TXS"&amp;TEXT(COUNTIFS($B$2:$B2632,"&lt;&gt;",$C$2:$C2632,"&lt;&gt;",$D$2:$D2632,"&lt;&gt;",$E$2:$E2632,"&lt;&gt;"),"00000"),""))</f>
        <v/>
      </c>
      <c r="N2632" s="22"/>
    </row>
    <row r="2633" spans="1:14" x14ac:dyDescent="0.3">
      <c r="A2633" s="15" t="str">
        <f>IF(COUNTA($B2633:$E2633,$K2633)=0,"",IF(AND($B2633&lt;&gt;"",$C2633&lt;&gt;"",$D2633&lt;&gt;"",$E2633&lt;&gt;""),"TXS"&amp;TEXT(COUNTIFS($B$2:$B2633,"&lt;&gt;",$C$2:$C2633,"&lt;&gt;",$D$2:$D2633,"&lt;&gt;",$E$2:$E2633,"&lt;&gt;"),"00000"),""))</f>
        <v/>
      </c>
      <c r="N2633" s="22"/>
    </row>
    <row r="2634" spans="1:14" x14ac:dyDescent="0.3">
      <c r="A2634" s="15" t="str">
        <f>IF(COUNTA($B2634:$E2634,$K2634)=0,"",IF(AND($B2634&lt;&gt;"",$C2634&lt;&gt;"",$D2634&lt;&gt;"",$E2634&lt;&gt;""),"TXS"&amp;TEXT(COUNTIFS($B$2:$B2634,"&lt;&gt;",$C$2:$C2634,"&lt;&gt;",$D$2:$D2634,"&lt;&gt;",$E$2:$E2634,"&lt;&gt;"),"00000"),""))</f>
        <v/>
      </c>
      <c r="N2634" s="22"/>
    </row>
    <row r="2635" spans="1:14" x14ac:dyDescent="0.3">
      <c r="A2635" s="15" t="str">
        <f>IF(COUNTA($B2635:$E2635,$K2635)=0,"",IF(AND($B2635&lt;&gt;"",$C2635&lt;&gt;"",$D2635&lt;&gt;"",$E2635&lt;&gt;""),"TXS"&amp;TEXT(COUNTIFS($B$2:$B2635,"&lt;&gt;",$C$2:$C2635,"&lt;&gt;",$D$2:$D2635,"&lt;&gt;",$E$2:$E2635,"&lt;&gt;"),"00000"),""))</f>
        <v/>
      </c>
      <c r="N2635" s="22"/>
    </row>
    <row r="2636" spans="1:14" x14ac:dyDescent="0.3">
      <c r="A2636" s="15" t="str">
        <f>IF(COUNTA($B2636:$E2636,$K2636)=0,"",IF(AND($B2636&lt;&gt;"",$C2636&lt;&gt;"",$D2636&lt;&gt;"",$E2636&lt;&gt;""),"TXS"&amp;TEXT(COUNTIFS($B$2:$B2636,"&lt;&gt;",$C$2:$C2636,"&lt;&gt;",$D$2:$D2636,"&lt;&gt;",$E$2:$E2636,"&lt;&gt;"),"00000"),""))</f>
        <v/>
      </c>
      <c r="N2636" s="22"/>
    </row>
    <row r="2637" spans="1:14" x14ac:dyDescent="0.3">
      <c r="A2637" s="15" t="str">
        <f>IF(COUNTA($B2637:$E2637,$K2637)=0,"",IF(AND($B2637&lt;&gt;"",$C2637&lt;&gt;"",$D2637&lt;&gt;"",$E2637&lt;&gt;""),"TXS"&amp;TEXT(COUNTIFS($B$2:$B2637,"&lt;&gt;",$C$2:$C2637,"&lt;&gt;",$D$2:$D2637,"&lt;&gt;",$E$2:$E2637,"&lt;&gt;"),"00000"),""))</f>
        <v/>
      </c>
      <c r="N2637" s="22"/>
    </row>
    <row r="2638" spans="1:14" x14ac:dyDescent="0.3">
      <c r="A2638" s="15" t="str">
        <f>IF(COUNTA($B2638:$E2638,$K2638)=0,"",IF(AND($B2638&lt;&gt;"",$C2638&lt;&gt;"",$D2638&lt;&gt;"",$E2638&lt;&gt;""),"TXS"&amp;TEXT(COUNTIFS($B$2:$B2638,"&lt;&gt;",$C$2:$C2638,"&lt;&gt;",$D$2:$D2638,"&lt;&gt;",$E$2:$E2638,"&lt;&gt;"),"00000"),""))</f>
        <v/>
      </c>
      <c r="N2638" s="22"/>
    </row>
    <row r="2639" spans="1:14" x14ac:dyDescent="0.3">
      <c r="A2639" s="15" t="str">
        <f>IF(COUNTA($B2639:$E2639,$K2639)=0,"",IF(AND($B2639&lt;&gt;"",$C2639&lt;&gt;"",$D2639&lt;&gt;"",$E2639&lt;&gt;""),"TXS"&amp;TEXT(COUNTIFS($B$2:$B2639,"&lt;&gt;",$C$2:$C2639,"&lt;&gt;",$D$2:$D2639,"&lt;&gt;",$E$2:$E2639,"&lt;&gt;"),"00000"),""))</f>
        <v/>
      </c>
      <c r="N2639" s="22"/>
    </row>
    <row r="2640" spans="1:14" x14ac:dyDescent="0.3">
      <c r="A2640" s="15" t="str">
        <f>IF(COUNTA($B2640:$E2640,$K2640)=0,"",IF(AND($B2640&lt;&gt;"",$C2640&lt;&gt;"",$D2640&lt;&gt;"",$E2640&lt;&gt;""),"TXS"&amp;TEXT(COUNTIFS($B$2:$B2640,"&lt;&gt;",$C$2:$C2640,"&lt;&gt;",$D$2:$D2640,"&lt;&gt;",$E$2:$E2640,"&lt;&gt;"),"00000"),""))</f>
        <v/>
      </c>
      <c r="N2640" s="22"/>
    </row>
    <row r="2641" spans="1:14" x14ac:dyDescent="0.3">
      <c r="A2641" s="15" t="str">
        <f>IF(COUNTA($B2641:$E2641,$K2641)=0,"",IF(AND($B2641&lt;&gt;"",$C2641&lt;&gt;"",$D2641&lt;&gt;"",$E2641&lt;&gt;""),"TXS"&amp;TEXT(COUNTIFS($B$2:$B2641,"&lt;&gt;",$C$2:$C2641,"&lt;&gt;",$D$2:$D2641,"&lt;&gt;",$E$2:$E2641,"&lt;&gt;"),"00000"),""))</f>
        <v/>
      </c>
      <c r="N2641" s="22"/>
    </row>
    <row r="2642" spans="1:14" x14ac:dyDescent="0.3">
      <c r="A2642" s="15" t="str">
        <f>IF(COUNTA($B2642:$E2642,$K2642)=0,"",IF(AND($B2642&lt;&gt;"",$C2642&lt;&gt;"",$D2642&lt;&gt;"",$E2642&lt;&gt;""),"TXS"&amp;TEXT(COUNTIFS($B$2:$B2642,"&lt;&gt;",$C$2:$C2642,"&lt;&gt;",$D$2:$D2642,"&lt;&gt;",$E$2:$E2642,"&lt;&gt;"),"00000"),""))</f>
        <v/>
      </c>
      <c r="N2642" s="22"/>
    </row>
    <row r="2643" spans="1:14" x14ac:dyDescent="0.3">
      <c r="A2643" s="15" t="str">
        <f>IF(COUNTA($B2643:$E2643,$K2643)=0,"",IF(AND($B2643&lt;&gt;"",$C2643&lt;&gt;"",$D2643&lt;&gt;"",$E2643&lt;&gt;""),"TXS"&amp;TEXT(COUNTIFS($B$2:$B2643,"&lt;&gt;",$C$2:$C2643,"&lt;&gt;",$D$2:$D2643,"&lt;&gt;",$E$2:$E2643,"&lt;&gt;"),"00000"),""))</f>
        <v/>
      </c>
      <c r="N2643" s="22"/>
    </row>
    <row r="2644" spans="1:14" x14ac:dyDescent="0.3">
      <c r="A2644" s="15" t="str">
        <f>IF(COUNTA($B2644:$E2644,$K2644)=0,"",IF(AND($B2644&lt;&gt;"",$C2644&lt;&gt;"",$D2644&lt;&gt;"",$E2644&lt;&gt;""),"TXS"&amp;TEXT(COUNTIFS($B$2:$B2644,"&lt;&gt;",$C$2:$C2644,"&lt;&gt;",$D$2:$D2644,"&lt;&gt;",$E$2:$E2644,"&lt;&gt;"),"00000"),""))</f>
        <v/>
      </c>
      <c r="N2644" s="22"/>
    </row>
    <row r="2645" spans="1:14" x14ac:dyDescent="0.3">
      <c r="A2645" s="15" t="str">
        <f>IF(COUNTA($B2645:$E2645,$K2645)=0,"",IF(AND($B2645&lt;&gt;"",$C2645&lt;&gt;"",$D2645&lt;&gt;"",$E2645&lt;&gt;""),"TXS"&amp;TEXT(COUNTIFS($B$2:$B2645,"&lt;&gt;",$C$2:$C2645,"&lt;&gt;",$D$2:$D2645,"&lt;&gt;",$E$2:$E2645,"&lt;&gt;"),"00000"),""))</f>
        <v/>
      </c>
      <c r="N2645" s="22"/>
    </row>
    <row r="2646" spans="1:14" x14ac:dyDescent="0.3">
      <c r="A2646" s="15" t="str">
        <f>IF(COUNTA($B2646:$E2646,$K2646)=0,"",IF(AND($B2646&lt;&gt;"",$C2646&lt;&gt;"",$D2646&lt;&gt;"",$E2646&lt;&gt;""),"TXS"&amp;TEXT(COUNTIFS($B$2:$B2646,"&lt;&gt;",$C$2:$C2646,"&lt;&gt;",$D$2:$D2646,"&lt;&gt;",$E$2:$E2646,"&lt;&gt;"),"00000"),""))</f>
        <v/>
      </c>
      <c r="N2646" s="22"/>
    </row>
    <row r="2647" spans="1:14" x14ac:dyDescent="0.3">
      <c r="A2647" s="15" t="str">
        <f>IF(COUNTA($B2647:$E2647,$K2647)=0,"",IF(AND($B2647&lt;&gt;"",$C2647&lt;&gt;"",$D2647&lt;&gt;"",$E2647&lt;&gt;""),"TXS"&amp;TEXT(COUNTIFS($B$2:$B2647,"&lt;&gt;",$C$2:$C2647,"&lt;&gt;",$D$2:$D2647,"&lt;&gt;",$E$2:$E2647,"&lt;&gt;"),"00000"),""))</f>
        <v/>
      </c>
      <c r="N2647" s="22"/>
    </row>
    <row r="2648" spans="1:14" x14ac:dyDescent="0.3">
      <c r="A2648" s="15" t="str">
        <f>IF(COUNTA($B2648:$E2648,$K2648)=0,"",IF(AND($B2648&lt;&gt;"",$C2648&lt;&gt;"",$D2648&lt;&gt;"",$E2648&lt;&gt;""),"TXS"&amp;TEXT(COUNTIFS($B$2:$B2648,"&lt;&gt;",$C$2:$C2648,"&lt;&gt;",$D$2:$D2648,"&lt;&gt;",$E$2:$E2648,"&lt;&gt;"),"00000"),""))</f>
        <v/>
      </c>
      <c r="N2648" s="22"/>
    </row>
    <row r="2649" spans="1:14" x14ac:dyDescent="0.3">
      <c r="A2649" s="15" t="str">
        <f>IF(COUNTA($B2649:$E2649,$K2649)=0,"",IF(AND($B2649&lt;&gt;"",$C2649&lt;&gt;"",$D2649&lt;&gt;"",$E2649&lt;&gt;""),"TXS"&amp;TEXT(COUNTIFS($B$2:$B2649,"&lt;&gt;",$C$2:$C2649,"&lt;&gt;",$D$2:$D2649,"&lt;&gt;",$E$2:$E2649,"&lt;&gt;"),"00000"),""))</f>
        <v/>
      </c>
      <c r="N2649" s="22"/>
    </row>
    <row r="2650" spans="1:14" x14ac:dyDescent="0.3">
      <c r="A2650" s="15" t="str">
        <f>IF(COUNTA($B2650:$E2650,$K2650)=0,"",IF(AND($B2650&lt;&gt;"",$C2650&lt;&gt;"",$D2650&lt;&gt;"",$E2650&lt;&gt;""),"TXS"&amp;TEXT(COUNTIFS($B$2:$B2650,"&lt;&gt;",$C$2:$C2650,"&lt;&gt;",$D$2:$D2650,"&lt;&gt;",$E$2:$E2650,"&lt;&gt;"),"00000"),""))</f>
        <v/>
      </c>
      <c r="N2650" s="22"/>
    </row>
    <row r="2651" spans="1:14" x14ac:dyDescent="0.3">
      <c r="A2651" s="15" t="str">
        <f>IF(COUNTA($B2651:$E2651,$K2651)=0,"",IF(AND($B2651&lt;&gt;"",$C2651&lt;&gt;"",$D2651&lt;&gt;"",$E2651&lt;&gt;""),"TXS"&amp;TEXT(COUNTIFS($B$2:$B2651,"&lt;&gt;",$C$2:$C2651,"&lt;&gt;",$D$2:$D2651,"&lt;&gt;",$E$2:$E2651,"&lt;&gt;"),"00000"),""))</f>
        <v/>
      </c>
      <c r="N2651" s="22"/>
    </row>
    <row r="2652" spans="1:14" x14ac:dyDescent="0.3">
      <c r="A2652" s="15" t="str">
        <f>IF(COUNTA($B2652:$E2652,$K2652)=0,"",IF(AND($B2652&lt;&gt;"",$C2652&lt;&gt;"",$D2652&lt;&gt;"",$E2652&lt;&gt;""),"TXS"&amp;TEXT(COUNTIFS($B$2:$B2652,"&lt;&gt;",$C$2:$C2652,"&lt;&gt;",$D$2:$D2652,"&lt;&gt;",$E$2:$E2652,"&lt;&gt;"),"00000"),""))</f>
        <v/>
      </c>
      <c r="N2652" s="22"/>
    </row>
    <row r="2653" spans="1:14" x14ac:dyDescent="0.3">
      <c r="A2653" s="15" t="str">
        <f>IF(COUNTA($B2653:$E2653,$K2653)=0,"",IF(AND($B2653&lt;&gt;"",$C2653&lt;&gt;"",$D2653&lt;&gt;"",$E2653&lt;&gt;""),"TXS"&amp;TEXT(COUNTIFS($B$2:$B2653,"&lt;&gt;",$C$2:$C2653,"&lt;&gt;",$D$2:$D2653,"&lt;&gt;",$E$2:$E2653,"&lt;&gt;"),"00000"),""))</f>
        <v/>
      </c>
      <c r="N2653" s="22"/>
    </row>
    <row r="2654" spans="1:14" x14ac:dyDescent="0.3">
      <c r="A2654" s="15" t="str">
        <f>IF(COUNTA($B2654:$E2654,$K2654)=0,"",IF(AND($B2654&lt;&gt;"",$C2654&lt;&gt;"",$D2654&lt;&gt;"",$E2654&lt;&gt;""),"TXS"&amp;TEXT(COUNTIFS($B$2:$B2654,"&lt;&gt;",$C$2:$C2654,"&lt;&gt;",$D$2:$D2654,"&lt;&gt;",$E$2:$E2654,"&lt;&gt;"),"00000"),""))</f>
        <v/>
      </c>
      <c r="N2654" s="22"/>
    </row>
    <row r="2655" spans="1:14" x14ac:dyDescent="0.3">
      <c r="A2655" s="15" t="str">
        <f>IF(COUNTA($B2655:$E2655,$K2655)=0,"",IF(AND($B2655&lt;&gt;"",$C2655&lt;&gt;"",$D2655&lt;&gt;"",$E2655&lt;&gt;""),"TXS"&amp;TEXT(COUNTIFS($B$2:$B2655,"&lt;&gt;",$C$2:$C2655,"&lt;&gt;",$D$2:$D2655,"&lt;&gt;",$E$2:$E2655,"&lt;&gt;"),"00000"),""))</f>
        <v/>
      </c>
      <c r="N2655" s="22"/>
    </row>
    <row r="2656" spans="1:14" x14ac:dyDescent="0.3">
      <c r="A2656" s="15" t="str">
        <f>IF(COUNTA($B2656:$E2656,$K2656)=0,"",IF(AND($B2656&lt;&gt;"",$C2656&lt;&gt;"",$D2656&lt;&gt;"",$E2656&lt;&gt;""),"TXS"&amp;TEXT(COUNTIFS($B$2:$B2656,"&lt;&gt;",$C$2:$C2656,"&lt;&gt;",$D$2:$D2656,"&lt;&gt;",$E$2:$E2656,"&lt;&gt;"),"00000"),""))</f>
        <v/>
      </c>
      <c r="N2656" s="22"/>
    </row>
    <row r="2657" spans="1:14" x14ac:dyDescent="0.3">
      <c r="A2657" s="15" t="str">
        <f>IF(COUNTA($B2657:$E2657,$K2657)=0,"",IF(AND($B2657&lt;&gt;"",$C2657&lt;&gt;"",$D2657&lt;&gt;"",$E2657&lt;&gt;""),"TXS"&amp;TEXT(COUNTIFS($B$2:$B2657,"&lt;&gt;",$C$2:$C2657,"&lt;&gt;",$D$2:$D2657,"&lt;&gt;",$E$2:$E2657,"&lt;&gt;"),"00000"),""))</f>
        <v/>
      </c>
      <c r="N2657" s="22"/>
    </row>
    <row r="2658" spans="1:14" x14ac:dyDescent="0.3">
      <c r="A2658" s="15" t="str">
        <f>IF(COUNTA($B2658:$E2658,$K2658)=0,"",IF(AND($B2658&lt;&gt;"",$C2658&lt;&gt;"",$D2658&lt;&gt;"",$E2658&lt;&gt;""),"TXS"&amp;TEXT(COUNTIFS($B$2:$B2658,"&lt;&gt;",$C$2:$C2658,"&lt;&gt;",$D$2:$D2658,"&lt;&gt;",$E$2:$E2658,"&lt;&gt;"),"00000"),""))</f>
        <v/>
      </c>
      <c r="N2658" s="22"/>
    </row>
    <row r="2659" spans="1:14" x14ac:dyDescent="0.3">
      <c r="A2659" s="15" t="str">
        <f>IF(COUNTA($B2659:$E2659,$K2659)=0,"",IF(AND($B2659&lt;&gt;"",$C2659&lt;&gt;"",$D2659&lt;&gt;"",$E2659&lt;&gt;""),"TXS"&amp;TEXT(COUNTIFS($B$2:$B2659,"&lt;&gt;",$C$2:$C2659,"&lt;&gt;",$D$2:$D2659,"&lt;&gt;",$E$2:$E2659,"&lt;&gt;"),"00000"),""))</f>
        <v/>
      </c>
      <c r="N2659" s="22"/>
    </row>
    <row r="2660" spans="1:14" x14ac:dyDescent="0.3">
      <c r="A2660" s="15" t="str">
        <f>IF(COUNTA($B2660:$E2660,$K2660)=0,"",IF(AND($B2660&lt;&gt;"",$C2660&lt;&gt;"",$D2660&lt;&gt;"",$E2660&lt;&gt;""),"TXS"&amp;TEXT(COUNTIFS($B$2:$B2660,"&lt;&gt;",$C$2:$C2660,"&lt;&gt;",$D$2:$D2660,"&lt;&gt;",$E$2:$E2660,"&lt;&gt;"),"00000"),""))</f>
        <v/>
      </c>
      <c r="N2660" s="22"/>
    </row>
    <row r="2661" spans="1:14" x14ac:dyDescent="0.3">
      <c r="A2661" s="15" t="str">
        <f>IF(COUNTA($B2661:$E2661,$K2661)=0,"",IF(AND($B2661&lt;&gt;"",$C2661&lt;&gt;"",$D2661&lt;&gt;"",$E2661&lt;&gt;""),"TXS"&amp;TEXT(COUNTIFS($B$2:$B2661,"&lt;&gt;",$C$2:$C2661,"&lt;&gt;",$D$2:$D2661,"&lt;&gt;",$E$2:$E2661,"&lt;&gt;"),"00000"),""))</f>
        <v/>
      </c>
      <c r="N2661" s="22"/>
    </row>
    <row r="2662" spans="1:14" x14ac:dyDescent="0.3">
      <c r="A2662" s="15" t="str">
        <f>IF(COUNTA($B2662:$E2662,$K2662)=0,"",IF(AND($B2662&lt;&gt;"",$C2662&lt;&gt;"",$D2662&lt;&gt;"",$E2662&lt;&gt;""),"TXS"&amp;TEXT(COUNTIFS($B$2:$B2662,"&lt;&gt;",$C$2:$C2662,"&lt;&gt;",$D$2:$D2662,"&lt;&gt;",$E$2:$E2662,"&lt;&gt;"),"00000"),""))</f>
        <v/>
      </c>
      <c r="N2662" s="22"/>
    </row>
    <row r="2663" spans="1:14" x14ac:dyDescent="0.3">
      <c r="A2663" s="15" t="str">
        <f>IF(COUNTA($B2663:$E2663,$K2663)=0,"",IF(AND($B2663&lt;&gt;"",$C2663&lt;&gt;"",$D2663&lt;&gt;"",$E2663&lt;&gt;""),"TXS"&amp;TEXT(COUNTIFS($B$2:$B2663,"&lt;&gt;",$C$2:$C2663,"&lt;&gt;",$D$2:$D2663,"&lt;&gt;",$E$2:$E2663,"&lt;&gt;"),"00000"),""))</f>
        <v/>
      </c>
      <c r="N2663" s="22"/>
    </row>
    <row r="2664" spans="1:14" x14ac:dyDescent="0.3">
      <c r="A2664" s="15" t="str">
        <f>IF(COUNTA($B2664:$E2664,$K2664)=0,"",IF(AND($B2664&lt;&gt;"",$C2664&lt;&gt;"",$D2664&lt;&gt;"",$E2664&lt;&gt;""),"TXS"&amp;TEXT(COUNTIFS($B$2:$B2664,"&lt;&gt;",$C$2:$C2664,"&lt;&gt;",$D$2:$D2664,"&lt;&gt;",$E$2:$E2664,"&lt;&gt;"),"00000"),""))</f>
        <v/>
      </c>
      <c r="N2664" s="22"/>
    </row>
    <row r="2665" spans="1:14" x14ac:dyDescent="0.3">
      <c r="A2665" s="15" t="str">
        <f>IF(COUNTA($B2665:$E2665,$K2665)=0,"",IF(AND($B2665&lt;&gt;"",$C2665&lt;&gt;"",$D2665&lt;&gt;"",$E2665&lt;&gt;""),"TXS"&amp;TEXT(COUNTIFS($B$2:$B2665,"&lt;&gt;",$C$2:$C2665,"&lt;&gt;",$D$2:$D2665,"&lt;&gt;",$E$2:$E2665,"&lt;&gt;"),"00000"),""))</f>
        <v/>
      </c>
      <c r="N2665" s="22"/>
    </row>
    <row r="2666" spans="1:14" x14ac:dyDescent="0.3">
      <c r="A2666" s="15" t="str">
        <f>IF(COUNTA($B2666:$E2666,$K2666)=0,"",IF(AND($B2666&lt;&gt;"",$C2666&lt;&gt;"",$D2666&lt;&gt;"",$E2666&lt;&gt;""),"TXS"&amp;TEXT(COUNTIFS($B$2:$B2666,"&lt;&gt;",$C$2:$C2666,"&lt;&gt;",$D$2:$D2666,"&lt;&gt;",$E$2:$E2666,"&lt;&gt;"),"00000"),""))</f>
        <v/>
      </c>
      <c r="N2666" s="22"/>
    </row>
    <row r="2667" spans="1:14" x14ac:dyDescent="0.3">
      <c r="A2667" s="15" t="str">
        <f>IF(COUNTA($B2667:$E2667,$K2667)=0,"",IF(AND($B2667&lt;&gt;"",$C2667&lt;&gt;"",$D2667&lt;&gt;"",$E2667&lt;&gt;""),"TXS"&amp;TEXT(COUNTIFS($B$2:$B2667,"&lt;&gt;",$C$2:$C2667,"&lt;&gt;",$D$2:$D2667,"&lt;&gt;",$E$2:$E2667,"&lt;&gt;"),"00000"),""))</f>
        <v/>
      </c>
      <c r="N2667" s="22"/>
    </row>
    <row r="2668" spans="1:14" x14ac:dyDescent="0.3">
      <c r="A2668" s="15" t="str">
        <f>IF(COUNTA($B2668:$E2668,$K2668)=0,"",IF(AND($B2668&lt;&gt;"",$C2668&lt;&gt;"",$D2668&lt;&gt;"",$E2668&lt;&gt;""),"TXS"&amp;TEXT(COUNTIFS($B$2:$B2668,"&lt;&gt;",$C$2:$C2668,"&lt;&gt;",$D$2:$D2668,"&lt;&gt;",$E$2:$E2668,"&lt;&gt;"),"00000"),""))</f>
        <v/>
      </c>
      <c r="N2668" s="22"/>
    </row>
    <row r="2669" spans="1:14" x14ac:dyDescent="0.3">
      <c r="A2669" s="15" t="str">
        <f>IF(COUNTA($B2669:$E2669,$K2669)=0,"",IF(AND($B2669&lt;&gt;"",$C2669&lt;&gt;"",$D2669&lt;&gt;"",$E2669&lt;&gt;""),"TXS"&amp;TEXT(COUNTIFS($B$2:$B2669,"&lt;&gt;",$C$2:$C2669,"&lt;&gt;",$D$2:$D2669,"&lt;&gt;",$E$2:$E2669,"&lt;&gt;"),"00000"),""))</f>
        <v/>
      </c>
      <c r="N2669" s="22"/>
    </row>
    <row r="2670" spans="1:14" x14ac:dyDescent="0.3">
      <c r="A2670" s="15" t="str">
        <f>IF(COUNTA($B2670:$E2670,$K2670)=0,"",IF(AND($B2670&lt;&gt;"",$C2670&lt;&gt;"",$D2670&lt;&gt;"",$E2670&lt;&gt;""),"TXS"&amp;TEXT(COUNTIFS($B$2:$B2670,"&lt;&gt;",$C$2:$C2670,"&lt;&gt;",$D$2:$D2670,"&lt;&gt;",$E$2:$E2670,"&lt;&gt;"),"00000"),""))</f>
        <v/>
      </c>
      <c r="N2670" s="22"/>
    </row>
    <row r="2671" spans="1:14" x14ac:dyDescent="0.3">
      <c r="A2671" s="15" t="str">
        <f>IF(COUNTA($B2671:$E2671,$K2671)=0,"",IF(AND($B2671&lt;&gt;"",$C2671&lt;&gt;"",$D2671&lt;&gt;"",$E2671&lt;&gt;""),"TXS"&amp;TEXT(COUNTIFS($B$2:$B2671,"&lt;&gt;",$C$2:$C2671,"&lt;&gt;",$D$2:$D2671,"&lt;&gt;",$E$2:$E2671,"&lt;&gt;"),"00000"),""))</f>
        <v/>
      </c>
      <c r="N2671" s="22"/>
    </row>
    <row r="2672" spans="1:14" x14ac:dyDescent="0.3">
      <c r="A2672" s="15" t="str">
        <f>IF(COUNTA($B2672:$E2672,$K2672)=0,"",IF(AND($B2672&lt;&gt;"",$C2672&lt;&gt;"",$D2672&lt;&gt;"",$E2672&lt;&gt;""),"TXS"&amp;TEXT(COUNTIFS($B$2:$B2672,"&lt;&gt;",$C$2:$C2672,"&lt;&gt;",$D$2:$D2672,"&lt;&gt;",$E$2:$E2672,"&lt;&gt;"),"00000"),""))</f>
        <v/>
      </c>
      <c r="N2672" s="22"/>
    </row>
    <row r="2673" spans="1:14" x14ac:dyDescent="0.3">
      <c r="A2673" s="15" t="str">
        <f>IF(COUNTA($B2673:$E2673,$K2673)=0,"",IF(AND($B2673&lt;&gt;"",$C2673&lt;&gt;"",$D2673&lt;&gt;"",$E2673&lt;&gt;""),"TXS"&amp;TEXT(COUNTIFS($B$2:$B2673,"&lt;&gt;",$C$2:$C2673,"&lt;&gt;",$D$2:$D2673,"&lt;&gt;",$E$2:$E2673,"&lt;&gt;"),"00000"),""))</f>
        <v/>
      </c>
      <c r="N2673" s="22"/>
    </row>
    <row r="2674" spans="1:14" x14ac:dyDescent="0.3">
      <c r="A2674" s="15" t="str">
        <f>IF(COUNTA($B2674:$E2674,$K2674)=0,"",IF(AND($B2674&lt;&gt;"",$C2674&lt;&gt;"",$D2674&lt;&gt;"",$E2674&lt;&gt;""),"TXS"&amp;TEXT(COUNTIFS($B$2:$B2674,"&lt;&gt;",$C$2:$C2674,"&lt;&gt;",$D$2:$D2674,"&lt;&gt;",$E$2:$E2674,"&lt;&gt;"),"00000"),""))</f>
        <v/>
      </c>
      <c r="N2674" s="22"/>
    </row>
    <row r="2675" spans="1:14" x14ac:dyDescent="0.3">
      <c r="A2675" s="15" t="str">
        <f>IF(COUNTA($B2675:$E2675,$K2675)=0,"",IF(AND($B2675&lt;&gt;"",$C2675&lt;&gt;"",$D2675&lt;&gt;"",$E2675&lt;&gt;""),"TXS"&amp;TEXT(COUNTIFS($B$2:$B2675,"&lt;&gt;",$C$2:$C2675,"&lt;&gt;",$D$2:$D2675,"&lt;&gt;",$E$2:$E2675,"&lt;&gt;"),"00000"),""))</f>
        <v/>
      </c>
      <c r="N2675" s="22"/>
    </row>
    <row r="2676" spans="1:14" x14ac:dyDescent="0.3">
      <c r="A2676" s="15" t="str">
        <f>IF(COUNTA($B2676:$E2676,$K2676)=0,"",IF(AND($B2676&lt;&gt;"",$C2676&lt;&gt;"",$D2676&lt;&gt;"",$E2676&lt;&gt;""),"TXS"&amp;TEXT(COUNTIFS($B$2:$B2676,"&lt;&gt;",$C$2:$C2676,"&lt;&gt;",$D$2:$D2676,"&lt;&gt;",$E$2:$E2676,"&lt;&gt;"),"00000"),""))</f>
        <v/>
      </c>
      <c r="N2676" s="22"/>
    </row>
    <row r="2677" spans="1:14" x14ac:dyDescent="0.3">
      <c r="A2677" s="15" t="str">
        <f>IF(COUNTA($B2677:$E2677,$K2677)=0,"",IF(AND($B2677&lt;&gt;"",$C2677&lt;&gt;"",$D2677&lt;&gt;"",$E2677&lt;&gt;""),"TXS"&amp;TEXT(COUNTIFS($B$2:$B2677,"&lt;&gt;",$C$2:$C2677,"&lt;&gt;",$D$2:$D2677,"&lt;&gt;",$E$2:$E2677,"&lt;&gt;"),"00000"),""))</f>
        <v/>
      </c>
      <c r="N2677" s="22"/>
    </row>
    <row r="2678" spans="1:14" x14ac:dyDescent="0.3">
      <c r="A2678" s="15" t="str">
        <f>IF(COUNTA($B2678:$E2678,$K2678)=0,"",IF(AND($B2678&lt;&gt;"",$C2678&lt;&gt;"",$D2678&lt;&gt;"",$E2678&lt;&gt;""),"TXS"&amp;TEXT(COUNTIFS($B$2:$B2678,"&lt;&gt;",$C$2:$C2678,"&lt;&gt;",$D$2:$D2678,"&lt;&gt;",$E$2:$E2678,"&lt;&gt;"),"00000"),""))</f>
        <v/>
      </c>
      <c r="N2678" s="22"/>
    </row>
    <row r="2679" spans="1:14" x14ac:dyDescent="0.3">
      <c r="A2679" s="15" t="str">
        <f>IF(COUNTA($B2679:$E2679,$K2679)=0,"",IF(AND($B2679&lt;&gt;"",$C2679&lt;&gt;"",$D2679&lt;&gt;"",$E2679&lt;&gt;""),"TXS"&amp;TEXT(COUNTIFS($B$2:$B2679,"&lt;&gt;",$C$2:$C2679,"&lt;&gt;",$D$2:$D2679,"&lt;&gt;",$E$2:$E2679,"&lt;&gt;"),"00000"),""))</f>
        <v/>
      </c>
      <c r="N2679" s="22"/>
    </row>
    <row r="2680" spans="1:14" x14ac:dyDescent="0.3">
      <c r="A2680" s="15" t="str">
        <f>IF(COUNTA($B2680:$E2680,$K2680)=0,"",IF(AND($B2680&lt;&gt;"",$C2680&lt;&gt;"",$D2680&lt;&gt;"",$E2680&lt;&gt;""),"TXS"&amp;TEXT(COUNTIFS($B$2:$B2680,"&lt;&gt;",$C$2:$C2680,"&lt;&gt;",$D$2:$D2680,"&lt;&gt;",$E$2:$E2680,"&lt;&gt;"),"00000"),""))</f>
        <v/>
      </c>
      <c r="N2680" s="22"/>
    </row>
    <row r="2681" spans="1:14" x14ac:dyDescent="0.3">
      <c r="A2681" s="15" t="str">
        <f>IF(COUNTA($B2681:$E2681,$K2681)=0,"",IF(AND($B2681&lt;&gt;"",$C2681&lt;&gt;"",$D2681&lt;&gt;"",$E2681&lt;&gt;""),"TXS"&amp;TEXT(COUNTIFS($B$2:$B2681,"&lt;&gt;",$C$2:$C2681,"&lt;&gt;",$D$2:$D2681,"&lt;&gt;",$E$2:$E2681,"&lt;&gt;"),"00000"),""))</f>
        <v/>
      </c>
      <c r="N2681" s="22"/>
    </row>
    <row r="2682" spans="1:14" x14ac:dyDescent="0.3">
      <c r="A2682" s="15" t="str">
        <f>IF(COUNTA($B2682:$E2682,$K2682)=0,"",IF(AND($B2682&lt;&gt;"",$C2682&lt;&gt;"",$D2682&lt;&gt;"",$E2682&lt;&gt;""),"TXS"&amp;TEXT(COUNTIFS($B$2:$B2682,"&lt;&gt;",$C$2:$C2682,"&lt;&gt;",$D$2:$D2682,"&lt;&gt;",$E$2:$E2682,"&lt;&gt;"),"00000"),""))</f>
        <v/>
      </c>
      <c r="N2682" s="22"/>
    </row>
    <row r="2683" spans="1:14" x14ac:dyDescent="0.3">
      <c r="A2683" s="15" t="str">
        <f>IF(COUNTA($B2683:$E2683,$K2683)=0,"",IF(AND($B2683&lt;&gt;"",$C2683&lt;&gt;"",$D2683&lt;&gt;"",$E2683&lt;&gt;""),"TXS"&amp;TEXT(COUNTIFS($B$2:$B2683,"&lt;&gt;",$C$2:$C2683,"&lt;&gt;",$D$2:$D2683,"&lt;&gt;",$E$2:$E2683,"&lt;&gt;"),"00000"),""))</f>
        <v/>
      </c>
      <c r="N2683" s="22"/>
    </row>
    <row r="2684" spans="1:14" x14ac:dyDescent="0.3">
      <c r="A2684" s="15" t="str">
        <f>IF(COUNTA($B2684:$E2684,$K2684)=0,"",IF(AND($B2684&lt;&gt;"",$C2684&lt;&gt;"",$D2684&lt;&gt;"",$E2684&lt;&gt;""),"TXS"&amp;TEXT(COUNTIFS($B$2:$B2684,"&lt;&gt;",$C$2:$C2684,"&lt;&gt;",$D$2:$D2684,"&lt;&gt;",$E$2:$E2684,"&lt;&gt;"),"00000"),""))</f>
        <v/>
      </c>
      <c r="N2684" s="22"/>
    </row>
    <row r="2685" spans="1:14" x14ac:dyDescent="0.3">
      <c r="A2685" s="15" t="str">
        <f>IF(COUNTA($B2685:$E2685,$K2685)=0,"",IF(AND($B2685&lt;&gt;"",$C2685&lt;&gt;"",$D2685&lt;&gt;"",$E2685&lt;&gt;""),"TXS"&amp;TEXT(COUNTIFS($B$2:$B2685,"&lt;&gt;",$C$2:$C2685,"&lt;&gt;",$D$2:$D2685,"&lt;&gt;",$E$2:$E2685,"&lt;&gt;"),"00000"),""))</f>
        <v/>
      </c>
      <c r="N2685" s="22"/>
    </row>
    <row r="2686" spans="1:14" x14ac:dyDescent="0.3">
      <c r="A2686" s="15" t="str">
        <f>IF(COUNTA($B2686:$E2686,$K2686)=0,"",IF(AND($B2686&lt;&gt;"",$C2686&lt;&gt;"",$D2686&lt;&gt;"",$E2686&lt;&gt;""),"TXS"&amp;TEXT(COUNTIFS($B$2:$B2686,"&lt;&gt;",$C$2:$C2686,"&lt;&gt;",$D$2:$D2686,"&lt;&gt;",$E$2:$E2686,"&lt;&gt;"),"00000"),""))</f>
        <v/>
      </c>
      <c r="N2686" s="22"/>
    </row>
    <row r="2687" spans="1:14" x14ac:dyDescent="0.3">
      <c r="A2687" s="15" t="str">
        <f>IF(COUNTA($B2687:$E2687,$K2687)=0,"",IF(AND($B2687&lt;&gt;"",$C2687&lt;&gt;"",$D2687&lt;&gt;"",$E2687&lt;&gt;""),"TXS"&amp;TEXT(COUNTIFS($B$2:$B2687,"&lt;&gt;",$C$2:$C2687,"&lt;&gt;",$D$2:$D2687,"&lt;&gt;",$E$2:$E2687,"&lt;&gt;"),"00000"),""))</f>
        <v/>
      </c>
      <c r="N2687" s="22"/>
    </row>
    <row r="2688" spans="1:14" x14ac:dyDescent="0.3">
      <c r="A2688" s="15" t="str">
        <f>IF(COUNTA($B2688:$E2688,$K2688)=0,"",IF(AND($B2688&lt;&gt;"",$C2688&lt;&gt;"",$D2688&lt;&gt;"",$E2688&lt;&gt;""),"TXS"&amp;TEXT(COUNTIFS($B$2:$B2688,"&lt;&gt;",$C$2:$C2688,"&lt;&gt;",$D$2:$D2688,"&lt;&gt;",$E$2:$E2688,"&lt;&gt;"),"00000"),""))</f>
        <v/>
      </c>
      <c r="N2688" s="22"/>
    </row>
    <row r="2689" spans="1:14" x14ac:dyDescent="0.3">
      <c r="A2689" s="15" t="str">
        <f>IF(COUNTA($B2689:$E2689,$K2689)=0,"",IF(AND($B2689&lt;&gt;"",$C2689&lt;&gt;"",$D2689&lt;&gt;"",$E2689&lt;&gt;""),"TXS"&amp;TEXT(COUNTIFS($B$2:$B2689,"&lt;&gt;",$C$2:$C2689,"&lt;&gt;",$D$2:$D2689,"&lt;&gt;",$E$2:$E2689,"&lt;&gt;"),"00000"),""))</f>
        <v/>
      </c>
      <c r="N2689" s="22"/>
    </row>
    <row r="2690" spans="1:14" x14ac:dyDescent="0.3">
      <c r="A2690" s="15" t="str">
        <f>IF(COUNTA($B2690:$E2690,$K2690)=0,"",IF(AND($B2690&lt;&gt;"",$C2690&lt;&gt;"",$D2690&lt;&gt;"",$E2690&lt;&gt;""),"TXS"&amp;TEXT(COUNTIFS($B$2:$B2690,"&lt;&gt;",$C$2:$C2690,"&lt;&gt;",$D$2:$D2690,"&lt;&gt;",$E$2:$E2690,"&lt;&gt;"),"00000"),""))</f>
        <v/>
      </c>
      <c r="N2690" s="22"/>
    </row>
    <row r="2691" spans="1:14" x14ac:dyDescent="0.3">
      <c r="A2691" s="15" t="str">
        <f>IF(COUNTA($B2691:$E2691,$K2691)=0,"",IF(AND($B2691&lt;&gt;"",$C2691&lt;&gt;"",$D2691&lt;&gt;"",$E2691&lt;&gt;""),"TXS"&amp;TEXT(COUNTIFS($B$2:$B2691,"&lt;&gt;",$C$2:$C2691,"&lt;&gt;",$D$2:$D2691,"&lt;&gt;",$E$2:$E2691,"&lt;&gt;"),"00000"),""))</f>
        <v/>
      </c>
      <c r="N2691" s="22"/>
    </row>
    <row r="2692" spans="1:14" x14ac:dyDescent="0.3">
      <c r="A2692" s="15" t="str">
        <f>IF(COUNTA($B2692:$E2692,$K2692)=0,"",IF(AND($B2692&lt;&gt;"",$C2692&lt;&gt;"",$D2692&lt;&gt;"",$E2692&lt;&gt;""),"TXS"&amp;TEXT(COUNTIFS($B$2:$B2692,"&lt;&gt;",$C$2:$C2692,"&lt;&gt;",$D$2:$D2692,"&lt;&gt;",$E$2:$E2692,"&lt;&gt;"),"00000"),""))</f>
        <v/>
      </c>
      <c r="N2692" s="22"/>
    </row>
    <row r="2693" spans="1:14" x14ac:dyDescent="0.3">
      <c r="A2693" s="15" t="str">
        <f>IF(COUNTA($B2693:$E2693,$K2693)=0,"",IF(AND($B2693&lt;&gt;"",$C2693&lt;&gt;"",$D2693&lt;&gt;"",$E2693&lt;&gt;""),"TXS"&amp;TEXT(COUNTIFS($B$2:$B2693,"&lt;&gt;",$C$2:$C2693,"&lt;&gt;",$D$2:$D2693,"&lt;&gt;",$E$2:$E2693,"&lt;&gt;"),"00000"),""))</f>
        <v/>
      </c>
      <c r="N2693" s="22"/>
    </row>
    <row r="2694" spans="1:14" x14ac:dyDescent="0.3">
      <c r="A2694" s="15" t="str">
        <f>IF(COUNTA($B2694:$E2694,$K2694)=0,"",IF(AND($B2694&lt;&gt;"",$C2694&lt;&gt;"",$D2694&lt;&gt;"",$E2694&lt;&gt;""),"TXS"&amp;TEXT(COUNTIFS($B$2:$B2694,"&lt;&gt;",$C$2:$C2694,"&lt;&gt;",$D$2:$D2694,"&lt;&gt;",$E$2:$E2694,"&lt;&gt;"),"00000"),""))</f>
        <v/>
      </c>
      <c r="N2694" s="22"/>
    </row>
    <row r="2695" spans="1:14" x14ac:dyDescent="0.3">
      <c r="A2695" s="15" t="str">
        <f>IF(COUNTA($B2695:$E2695,$K2695)=0,"",IF(AND($B2695&lt;&gt;"",$C2695&lt;&gt;"",$D2695&lt;&gt;"",$E2695&lt;&gt;""),"TXS"&amp;TEXT(COUNTIFS($B$2:$B2695,"&lt;&gt;",$C$2:$C2695,"&lt;&gt;",$D$2:$D2695,"&lt;&gt;",$E$2:$E2695,"&lt;&gt;"),"00000"),""))</f>
        <v/>
      </c>
      <c r="N2695" s="22"/>
    </row>
    <row r="2696" spans="1:14" x14ac:dyDescent="0.3">
      <c r="A2696" s="15" t="str">
        <f>IF(COUNTA($B2696:$E2696,$K2696)=0,"",IF(AND($B2696&lt;&gt;"",$C2696&lt;&gt;"",$D2696&lt;&gt;"",$E2696&lt;&gt;""),"TXS"&amp;TEXT(COUNTIFS($B$2:$B2696,"&lt;&gt;",$C$2:$C2696,"&lt;&gt;",$D$2:$D2696,"&lt;&gt;",$E$2:$E2696,"&lt;&gt;"),"00000"),""))</f>
        <v/>
      </c>
      <c r="N2696" s="22"/>
    </row>
    <row r="2697" spans="1:14" x14ac:dyDescent="0.3">
      <c r="A2697" s="15" t="str">
        <f>IF(COUNTA($B2697:$E2697,$K2697)=0,"",IF(AND($B2697&lt;&gt;"",$C2697&lt;&gt;"",$D2697&lt;&gt;"",$E2697&lt;&gt;""),"TXS"&amp;TEXT(COUNTIFS($B$2:$B2697,"&lt;&gt;",$C$2:$C2697,"&lt;&gt;",$D$2:$D2697,"&lt;&gt;",$E$2:$E2697,"&lt;&gt;"),"00000"),""))</f>
        <v/>
      </c>
      <c r="N2697" s="22"/>
    </row>
    <row r="2698" spans="1:14" x14ac:dyDescent="0.3">
      <c r="A2698" s="15" t="str">
        <f>IF(COUNTA($B2698:$E2698,$K2698)=0,"",IF(AND($B2698&lt;&gt;"",$C2698&lt;&gt;"",$D2698&lt;&gt;"",$E2698&lt;&gt;""),"TXS"&amp;TEXT(COUNTIFS($B$2:$B2698,"&lt;&gt;",$C$2:$C2698,"&lt;&gt;",$D$2:$D2698,"&lt;&gt;",$E$2:$E2698,"&lt;&gt;"),"00000"),""))</f>
        <v/>
      </c>
      <c r="N2698" s="22"/>
    </row>
    <row r="2699" spans="1:14" x14ac:dyDescent="0.3">
      <c r="A2699" s="15" t="str">
        <f>IF(COUNTA($B2699:$E2699,$K2699)=0,"",IF(AND($B2699&lt;&gt;"",$C2699&lt;&gt;"",$D2699&lt;&gt;"",$E2699&lt;&gt;""),"TXS"&amp;TEXT(COUNTIFS($B$2:$B2699,"&lt;&gt;",$C$2:$C2699,"&lt;&gt;",$D$2:$D2699,"&lt;&gt;",$E$2:$E2699,"&lt;&gt;"),"00000"),""))</f>
        <v/>
      </c>
      <c r="N2699" s="22"/>
    </row>
    <row r="2700" spans="1:14" x14ac:dyDescent="0.3">
      <c r="A2700" s="15" t="str">
        <f>IF(COUNTA($B2700:$E2700,$K2700)=0,"",IF(AND($B2700&lt;&gt;"",$C2700&lt;&gt;"",$D2700&lt;&gt;"",$E2700&lt;&gt;""),"TXS"&amp;TEXT(COUNTIFS($B$2:$B2700,"&lt;&gt;",$C$2:$C2700,"&lt;&gt;",$D$2:$D2700,"&lt;&gt;",$E$2:$E2700,"&lt;&gt;"),"00000"),""))</f>
        <v/>
      </c>
      <c r="N2700" s="22"/>
    </row>
    <row r="2701" spans="1:14" x14ac:dyDescent="0.3">
      <c r="A2701" s="15" t="str">
        <f>IF(COUNTA($B2701:$E2701,$K2701)=0,"",IF(AND($B2701&lt;&gt;"",$C2701&lt;&gt;"",$D2701&lt;&gt;"",$E2701&lt;&gt;""),"TXS"&amp;TEXT(COUNTIFS($B$2:$B2701,"&lt;&gt;",$C$2:$C2701,"&lt;&gt;",$D$2:$D2701,"&lt;&gt;",$E$2:$E2701,"&lt;&gt;"),"00000"),""))</f>
        <v/>
      </c>
      <c r="N2701" s="22"/>
    </row>
    <row r="2702" spans="1:14" x14ac:dyDescent="0.3">
      <c r="A2702" s="15" t="str">
        <f>IF(COUNTA($B2702:$E2702,$K2702)=0,"",IF(AND($B2702&lt;&gt;"",$C2702&lt;&gt;"",$D2702&lt;&gt;"",$E2702&lt;&gt;""),"TXS"&amp;TEXT(COUNTIFS($B$2:$B2702,"&lt;&gt;",$C$2:$C2702,"&lt;&gt;",$D$2:$D2702,"&lt;&gt;",$E$2:$E2702,"&lt;&gt;"),"00000"),""))</f>
        <v/>
      </c>
      <c r="N2702" s="22"/>
    </row>
    <row r="2703" spans="1:14" x14ac:dyDescent="0.3">
      <c r="A2703" s="15" t="str">
        <f>IF(COUNTA($B2703:$E2703,$K2703)=0,"",IF(AND($B2703&lt;&gt;"",$C2703&lt;&gt;"",$D2703&lt;&gt;"",$E2703&lt;&gt;""),"TXS"&amp;TEXT(COUNTIFS($B$2:$B2703,"&lt;&gt;",$C$2:$C2703,"&lt;&gt;",$D$2:$D2703,"&lt;&gt;",$E$2:$E2703,"&lt;&gt;"),"00000"),""))</f>
        <v/>
      </c>
      <c r="N2703" s="22"/>
    </row>
    <row r="2704" spans="1:14" x14ac:dyDescent="0.3">
      <c r="A2704" s="15" t="str">
        <f>IF(COUNTA($B2704:$E2704,$K2704)=0,"",IF(AND($B2704&lt;&gt;"",$C2704&lt;&gt;"",$D2704&lt;&gt;"",$E2704&lt;&gt;""),"TXS"&amp;TEXT(COUNTIFS($B$2:$B2704,"&lt;&gt;",$C$2:$C2704,"&lt;&gt;",$D$2:$D2704,"&lt;&gt;",$E$2:$E2704,"&lt;&gt;"),"00000"),""))</f>
        <v/>
      </c>
      <c r="N2704" s="22"/>
    </row>
    <row r="2705" spans="1:14" x14ac:dyDescent="0.3">
      <c r="A2705" s="15" t="str">
        <f>IF(COUNTA($B2705:$E2705,$K2705)=0,"",IF(AND($B2705&lt;&gt;"",$C2705&lt;&gt;"",$D2705&lt;&gt;"",$E2705&lt;&gt;""),"TXS"&amp;TEXT(COUNTIFS($B$2:$B2705,"&lt;&gt;",$C$2:$C2705,"&lt;&gt;",$D$2:$D2705,"&lt;&gt;",$E$2:$E2705,"&lt;&gt;"),"00000"),""))</f>
        <v/>
      </c>
      <c r="N2705" s="22"/>
    </row>
    <row r="2706" spans="1:14" x14ac:dyDescent="0.3">
      <c r="A2706" s="15" t="str">
        <f>IF(COUNTA($B2706:$E2706,$K2706)=0,"",IF(AND($B2706&lt;&gt;"",$C2706&lt;&gt;"",$D2706&lt;&gt;"",$E2706&lt;&gt;""),"TXS"&amp;TEXT(COUNTIFS($B$2:$B2706,"&lt;&gt;",$C$2:$C2706,"&lt;&gt;",$D$2:$D2706,"&lt;&gt;",$E$2:$E2706,"&lt;&gt;"),"00000"),""))</f>
        <v/>
      </c>
      <c r="N2706" s="22"/>
    </row>
    <row r="2707" spans="1:14" x14ac:dyDescent="0.3">
      <c r="A2707" s="15" t="str">
        <f>IF(COUNTA($B2707:$E2707,$K2707)=0,"",IF(AND($B2707&lt;&gt;"",$C2707&lt;&gt;"",$D2707&lt;&gt;"",$E2707&lt;&gt;""),"TXS"&amp;TEXT(COUNTIFS($B$2:$B2707,"&lt;&gt;",$C$2:$C2707,"&lt;&gt;",$D$2:$D2707,"&lt;&gt;",$E$2:$E2707,"&lt;&gt;"),"00000"),""))</f>
        <v/>
      </c>
      <c r="N2707" s="22"/>
    </row>
    <row r="2708" spans="1:14" x14ac:dyDescent="0.3">
      <c r="A2708" s="15" t="str">
        <f>IF(COUNTA($B2708:$E2708,$K2708)=0,"",IF(AND($B2708&lt;&gt;"",$C2708&lt;&gt;"",$D2708&lt;&gt;"",$E2708&lt;&gt;""),"TXS"&amp;TEXT(COUNTIFS($B$2:$B2708,"&lt;&gt;",$C$2:$C2708,"&lt;&gt;",$D$2:$D2708,"&lt;&gt;",$E$2:$E2708,"&lt;&gt;"),"00000"),""))</f>
        <v/>
      </c>
      <c r="N2708" s="22"/>
    </row>
    <row r="2709" spans="1:14" x14ac:dyDescent="0.3">
      <c r="A2709" s="15" t="str">
        <f>IF(COUNTA($B2709:$E2709,$K2709)=0,"",IF(AND($B2709&lt;&gt;"",$C2709&lt;&gt;"",$D2709&lt;&gt;"",$E2709&lt;&gt;""),"TXS"&amp;TEXT(COUNTIFS($B$2:$B2709,"&lt;&gt;",$C$2:$C2709,"&lt;&gt;",$D$2:$D2709,"&lt;&gt;",$E$2:$E2709,"&lt;&gt;"),"00000"),""))</f>
        <v/>
      </c>
      <c r="N2709" s="22"/>
    </row>
    <row r="2710" spans="1:14" x14ac:dyDescent="0.3">
      <c r="A2710" s="15" t="str">
        <f>IF(COUNTA($B2710:$E2710,$K2710)=0,"",IF(AND($B2710&lt;&gt;"",$C2710&lt;&gt;"",$D2710&lt;&gt;"",$E2710&lt;&gt;""),"TXS"&amp;TEXT(COUNTIFS($B$2:$B2710,"&lt;&gt;",$C$2:$C2710,"&lt;&gt;",$D$2:$D2710,"&lt;&gt;",$E$2:$E2710,"&lt;&gt;"),"00000"),""))</f>
        <v/>
      </c>
      <c r="N2710" s="22"/>
    </row>
    <row r="2711" spans="1:14" x14ac:dyDescent="0.3">
      <c r="A2711" s="15" t="str">
        <f>IF(COUNTA($B2711:$E2711,$K2711)=0,"",IF(AND($B2711&lt;&gt;"",$C2711&lt;&gt;"",$D2711&lt;&gt;"",$E2711&lt;&gt;""),"TXS"&amp;TEXT(COUNTIFS($B$2:$B2711,"&lt;&gt;",$C$2:$C2711,"&lt;&gt;",$D$2:$D2711,"&lt;&gt;",$E$2:$E2711,"&lt;&gt;"),"00000"),""))</f>
        <v/>
      </c>
      <c r="N2711" s="22"/>
    </row>
    <row r="2712" spans="1:14" x14ac:dyDescent="0.3">
      <c r="A2712" s="15" t="str">
        <f>IF(COUNTA($B2712:$E2712,$K2712)=0,"",IF(AND($B2712&lt;&gt;"",$C2712&lt;&gt;"",$D2712&lt;&gt;"",$E2712&lt;&gt;""),"TXS"&amp;TEXT(COUNTIFS($B$2:$B2712,"&lt;&gt;",$C$2:$C2712,"&lt;&gt;",$D$2:$D2712,"&lt;&gt;",$E$2:$E2712,"&lt;&gt;"),"00000"),""))</f>
        <v/>
      </c>
      <c r="N2712" s="22"/>
    </row>
    <row r="2713" spans="1:14" x14ac:dyDescent="0.3">
      <c r="A2713" s="15" t="str">
        <f>IF(COUNTA($B2713:$E2713,$K2713)=0,"",IF(AND($B2713&lt;&gt;"",$C2713&lt;&gt;"",$D2713&lt;&gt;"",$E2713&lt;&gt;""),"TXS"&amp;TEXT(COUNTIFS($B$2:$B2713,"&lt;&gt;",$C$2:$C2713,"&lt;&gt;",$D$2:$D2713,"&lt;&gt;",$E$2:$E2713,"&lt;&gt;"),"00000"),""))</f>
        <v/>
      </c>
      <c r="N2713" s="22"/>
    </row>
    <row r="2714" spans="1:14" x14ac:dyDescent="0.3">
      <c r="A2714" s="15" t="str">
        <f>IF(COUNTA($B2714:$E2714,$K2714)=0,"",IF(AND($B2714&lt;&gt;"",$C2714&lt;&gt;"",$D2714&lt;&gt;"",$E2714&lt;&gt;""),"TXS"&amp;TEXT(COUNTIFS($B$2:$B2714,"&lt;&gt;",$C$2:$C2714,"&lt;&gt;",$D$2:$D2714,"&lt;&gt;",$E$2:$E2714,"&lt;&gt;"),"00000"),""))</f>
        <v/>
      </c>
      <c r="N2714" s="22"/>
    </row>
    <row r="2715" spans="1:14" x14ac:dyDescent="0.3">
      <c r="A2715" s="15" t="str">
        <f>IF(COUNTA($B2715:$E2715,$K2715)=0,"",IF(AND($B2715&lt;&gt;"",$C2715&lt;&gt;"",$D2715&lt;&gt;"",$E2715&lt;&gt;""),"TXS"&amp;TEXT(COUNTIFS($B$2:$B2715,"&lt;&gt;",$C$2:$C2715,"&lt;&gt;",$D$2:$D2715,"&lt;&gt;",$E$2:$E2715,"&lt;&gt;"),"00000"),""))</f>
        <v/>
      </c>
      <c r="N2715" s="22"/>
    </row>
    <row r="2716" spans="1:14" x14ac:dyDescent="0.3">
      <c r="A2716" s="15" t="str">
        <f>IF(COUNTA($B2716:$E2716,$K2716)=0,"",IF(AND($B2716&lt;&gt;"",$C2716&lt;&gt;"",$D2716&lt;&gt;"",$E2716&lt;&gt;""),"TXS"&amp;TEXT(COUNTIFS($B$2:$B2716,"&lt;&gt;",$C$2:$C2716,"&lt;&gt;",$D$2:$D2716,"&lt;&gt;",$E$2:$E2716,"&lt;&gt;"),"00000"),""))</f>
        <v/>
      </c>
      <c r="N2716" s="22"/>
    </row>
    <row r="2717" spans="1:14" x14ac:dyDescent="0.3">
      <c r="A2717" s="15" t="str">
        <f>IF(COUNTA($B2717:$E2717,$K2717)=0,"",IF(AND($B2717&lt;&gt;"",$C2717&lt;&gt;"",$D2717&lt;&gt;"",$E2717&lt;&gt;""),"TXS"&amp;TEXT(COUNTIFS($B$2:$B2717,"&lt;&gt;",$C$2:$C2717,"&lt;&gt;",$D$2:$D2717,"&lt;&gt;",$E$2:$E2717,"&lt;&gt;"),"00000"),""))</f>
        <v/>
      </c>
      <c r="N2717" s="22"/>
    </row>
    <row r="2718" spans="1:14" x14ac:dyDescent="0.3">
      <c r="A2718" s="15" t="str">
        <f>IF(COUNTA($B2718:$E2718,$K2718)=0,"",IF(AND($B2718&lt;&gt;"",$C2718&lt;&gt;"",$D2718&lt;&gt;"",$E2718&lt;&gt;""),"TXS"&amp;TEXT(COUNTIFS($B$2:$B2718,"&lt;&gt;",$C$2:$C2718,"&lt;&gt;",$D$2:$D2718,"&lt;&gt;",$E$2:$E2718,"&lt;&gt;"),"00000"),""))</f>
        <v/>
      </c>
      <c r="N2718" s="22"/>
    </row>
    <row r="2719" spans="1:14" x14ac:dyDescent="0.3">
      <c r="A2719" s="15" t="str">
        <f>IF(COUNTA($B2719:$E2719,$K2719)=0,"",IF(AND($B2719&lt;&gt;"",$C2719&lt;&gt;"",$D2719&lt;&gt;"",$E2719&lt;&gt;""),"TXS"&amp;TEXT(COUNTIFS($B$2:$B2719,"&lt;&gt;",$C$2:$C2719,"&lt;&gt;",$D$2:$D2719,"&lt;&gt;",$E$2:$E2719,"&lt;&gt;"),"00000"),""))</f>
        <v/>
      </c>
      <c r="N2719" s="22"/>
    </row>
    <row r="2720" spans="1:14" x14ac:dyDescent="0.3">
      <c r="A2720" s="15" t="str">
        <f>IF(COUNTA($B2720:$E2720,$K2720)=0,"",IF(AND($B2720&lt;&gt;"",$C2720&lt;&gt;"",$D2720&lt;&gt;"",$E2720&lt;&gt;""),"TXS"&amp;TEXT(COUNTIFS($B$2:$B2720,"&lt;&gt;",$C$2:$C2720,"&lt;&gt;",$D$2:$D2720,"&lt;&gt;",$E$2:$E2720,"&lt;&gt;"),"00000"),""))</f>
        <v/>
      </c>
      <c r="N2720" s="22"/>
    </row>
    <row r="2721" spans="1:14" x14ac:dyDescent="0.3">
      <c r="A2721" s="15" t="str">
        <f>IF(COUNTA($B2721:$E2721,$K2721)=0,"",IF(AND($B2721&lt;&gt;"",$C2721&lt;&gt;"",$D2721&lt;&gt;"",$E2721&lt;&gt;""),"TXS"&amp;TEXT(COUNTIFS($B$2:$B2721,"&lt;&gt;",$C$2:$C2721,"&lt;&gt;",$D$2:$D2721,"&lt;&gt;",$E$2:$E2721,"&lt;&gt;"),"00000"),""))</f>
        <v/>
      </c>
      <c r="N2721" s="22"/>
    </row>
    <row r="2722" spans="1:14" x14ac:dyDescent="0.3">
      <c r="A2722" s="15" t="str">
        <f>IF(COUNTA($B2722:$E2722,$K2722)=0,"",IF(AND($B2722&lt;&gt;"",$C2722&lt;&gt;"",$D2722&lt;&gt;"",$E2722&lt;&gt;""),"TXS"&amp;TEXT(COUNTIFS($B$2:$B2722,"&lt;&gt;",$C$2:$C2722,"&lt;&gt;",$D$2:$D2722,"&lt;&gt;",$E$2:$E2722,"&lt;&gt;"),"00000"),""))</f>
        <v/>
      </c>
      <c r="N2722" s="22"/>
    </row>
    <row r="2723" spans="1:14" x14ac:dyDescent="0.3">
      <c r="A2723" s="15" t="str">
        <f>IF(COUNTA($B2723:$E2723,$K2723)=0,"",IF(AND($B2723&lt;&gt;"",$C2723&lt;&gt;"",$D2723&lt;&gt;"",$E2723&lt;&gt;""),"TXS"&amp;TEXT(COUNTIFS($B$2:$B2723,"&lt;&gt;",$C$2:$C2723,"&lt;&gt;",$D$2:$D2723,"&lt;&gt;",$E$2:$E2723,"&lt;&gt;"),"00000"),""))</f>
        <v/>
      </c>
      <c r="N2723" s="22"/>
    </row>
    <row r="2724" spans="1:14" x14ac:dyDescent="0.3">
      <c r="A2724" s="15" t="str">
        <f>IF(COUNTA($B2724:$E2724,$K2724)=0,"",IF(AND($B2724&lt;&gt;"",$C2724&lt;&gt;"",$D2724&lt;&gt;"",$E2724&lt;&gt;""),"TXS"&amp;TEXT(COUNTIFS($B$2:$B2724,"&lt;&gt;",$C$2:$C2724,"&lt;&gt;",$D$2:$D2724,"&lt;&gt;",$E$2:$E2724,"&lt;&gt;"),"00000"),""))</f>
        <v/>
      </c>
      <c r="N2724" s="22"/>
    </row>
    <row r="2725" spans="1:14" x14ac:dyDescent="0.3">
      <c r="A2725" s="15" t="str">
        <f>IF(COUNTA($B2725:$E2725,$K2725)=0,"",IF(AND($B2725&lt;&gt;"",$C2725&lt;&gt;"",$D2725&lt;&gt;"",$E2725&lt;&gt;""),"TXS"&amp;TEXT(COUNTIFS($B$2:$B2725,"&lt;&gt;",$C$2:$C2725,"&lt;&gt;",$D$2:$D2725,"&lt;&gt;",$E$2:$E2725,"&lt;&gt;"),"00000"),""))</f>
        <v/>
      </c>
      <c r="N2725" s="22"/>
    </row>
    <row r="2726" spans="1:14" x14ac:dyDescent="0.3">
      <c r="A2726" s="15" t="str">
        <f>IF(COUNTA($B2726:$E2726,$K2726)=0,"",IF(AND($B2726&lt;&gt;"",$C2726&lt;&gt;"",$D2726&lt;&gt;"",$E2726&lt;&gt;""),"TXS"&amp;TEXT(COUNTIFS($B$2:$B2726,"&lt;&gt;",$C$2:$C2726,"&lt;&gt;",$D$2:$D2726,"&lt;&gt;",$E$2:$E2726,"&lt;&gt;"),"00000"),""))</f>
        <v/>
      </c>
      <c r="N2726" s="22"/>
    </row>
    <row r="2727" spans="1:14" x14ac:dyDescent="0.3">
      <c r="A2727" s="15" t="str">
        <f>IF(COUNTA($B2727:$E2727,$K2727)=0,"",IF(AND($B2727&lt;&gt;"",$C2727&lt;&gt;"",$D2727&lt;&gt;"",$E2727&lt;&gt;""),"TXS"&amp;TEXT(COUNTIFS($B$2:$B2727,"&lt;&gt;",$C$2:$C2727,"&lt;&gt;",$D$2:$D2727,"&lt;&gt;",$E$2:$E2727,"&lt;&gt;"),"00000"),""))</f>
        <v/>
      </c>
      <c r="N2727" s="22"/>
    </row>
    <row r="2728" spans="1:14" x14ac:dyDescent="0.3">
      <c r="A2728" s="15" t="str">
        <f>IF(COUNTA($B2728:$E2728,$K2728)=0,"",IF(AND($B2728&lt;&gt;"",$C2728&lt;&gt;"",$D2728&lt;&gt;"",$E2728&lt;&gt;""),"TXS"&amp;TEXT(COUNTIFS($B$2:$B2728,"&lt;&gt;",$C$2:$C2728,"&lt;&gt;",$D$2:$D2728,"&lt;&gt;",$E$2:$E2728,"&lt;&gt;"),"00000"),""))</f>
        <v/>
      </c>
      <c r="N2728" s="22"/>
    </row>
    <row r="2729" spans="1:14" x14ac:dyDescent="0.3">
      <c r="A2729" s="15" t="str">
        <f>IF(COUNTA($B2729:$E2729,$K2729)=0,"",IF(AND($B2729&lt;&gt;"",$C2729&lt;&gt;"",$D2729&lt;&gt;"",$E2729&lt;&gt;""),"TXS"&amp;TEXT(COUNTIFS($B$2:$B2729,"&lt;&gt;",$C$2:$C2729,"&lt;&gt;",$D$2:$D2729,"&lt;&gt;",$E$2:$E2729,"&lt;&gt;"),"00000"),""))</f>
        <v/>
      </c>
      <c r="N2729" s="22"/>
    </row>
    <row r="2730" spans="1:14" x14ac:dyDescent="0.3">
      <c r="A2730" s="15" t="str">
        <f>IF(COUNTA($B2730:$E2730,$K2730)=0,"",IF(AND($B2730&lt;&gt;"",$C2730&lt;&gt;"",$D2730&lt;&gt;"",$E2730&lt;&gt;""),"TXS"&amp;TEXT(COUNTIFS($B$2:$B2730,"&lt;&gt;",$C$2:$C2730,"&lt;&gt;",$D$2:$D2730,"&lt;&gt;",$E$2:$E2730,"&lt;&gt;"),"00000"),""))</f>
        <v/>
      </c>
      <c r="N2730" s="22"/>
    </row>
    <row r="2731" spans="1:14" x14ac:dyDescent="0.3">
      <c r="A2731" s="15" t="str">
        <f>IF(COUNTA($B2731:$E2731,$K2731)=0,"",IF(AND($B2731&lt;&gt;"",$C2731&lt;&gt;"",$D2731&lt;&gt;"",$E2731&lt;&gt;""),"TXS"&amp;TEXT(COUNTIFS($B$2:$B2731,"&lt;&gt;",$C$2:$C2731,"&lt;&gt;",$D$2:$D2731,"&lt;&gt;",$E$2:$E2731,"&lt;&gt;"),"00000"),""))</f>
        <v/>
      </c>
      <c r="N2731" s="22"/>
    </row>
    <row r="2732" spans="1:14" x14ac:dyDescent="0.3">
      <c r="A2732" s="15" t="str">
        <f>IF(COUNTA($B2732:$E2732,$K2732)=0,"",IF(AND($B2732&lt;&gt;"",$C2732&lt;&gt;"",$D2732&lt;&gt;"",$E2732&lt;&gt;""),"TXS"&amp;TEXT(COUNTIFS($B$2:$B2732,"&lt;&gt;",$C$2:$C2732,"&lt;&gt;",$D$2:$D2732,"&lt;&gt;",$E$2:$E2732,"&lt;&gt;"),"00000"),""))</f>
        <v/>
      </c>
      <c r="N2732" s="22"/>
    </row>
    <row r="2733" spans="1:14" x14ac:dyDescent="0.3">
      <c r="A2733" s="15" t="str">
        <f>IF(COUNTA($B2733:$E2733,$K2733)=0,"",IF(AND($B2733&lt;&gt;"",$C2733&lt;&gt;"",$D2733&lt;&gt;"",$E2733&lt;&gt;""),"TXS"&amp;TEXT(COUNTIFS($B$2:$B2733,"&lt;&gt;",$C$2:$C2733,"&lt;&gt;",$D$2:$D2733,"&lt;&gt;",$E$2:$E2733,"&lt;&gt;"),"00000"),""))</f>
        <v/>
      </c>
      <c r="N2733" s="22"/>
    </row>
    <row r="2734" spans="1:14" x14ac:dyDescent="0.3">
      <c r="A2734" s="15" t="str">
        <f>IF(COUNTA($B2734:$E2734,$K2734)=0,"",IF(AND($B2734&lt;&gt;"",$C2734&lt;&gt;"",$D2734&lt;&gt;"",$E2734&lt;&gt;""),"TXS"&amp;TEXT(COUNTIFS($B$2:$B2734,"&lt;&gt;",$C$2:$C2734,"&lt;&gt;",$D$2:$D2734,"&lt;&gt;",$E$2:$E2734,"&lt;&gt;"),"00000"),""))</f>
        <v/>
      </c>
      <c r="N2734" s="22"/>
    </row>
    <row r="2735" spans="1:14" x14ac:dyDescent="0.3">
      <c r="A2735" s="15" t="str">
        <f>IF(COUNTA($B2735:$E2735,$K2735)=0,"",IF(AND($B2735&lt;&gt;"",$C2735&lt;&gt;"",$D2735&lt;&gt;"",$E2735&lt;&gt;""),"TXS"&amp;TEXT(COUNTIFS($B$2:$B2735,"&lt;&gt;",$C$2:$C2735,"&lt;&gt;",$D$2:$D2735,"&lt;&gt;",$E$2:$E2735,"&lt;&gt;"),"00000"),""))</f>
        <v/>
      </c>
      <c r="N2735" s="22"/>
    </row>
    <row r="2736" spans="1:14" x14ac:dyDescent="0.3">
      <c r="A2736" s="15" t="str">
        <f>IF(COUNTA($B2736:$E2736,$K2736)=0,"",IF(AND($B2736&lt;&gt;"",$C2736&lt;&gt;"",$D2736&lt;&gt;"",$E2736&lt;&gt;""),"TXS"&amp;TEXT(COUNTIFS($B$2:$B2736,"&lt;&gt;",$C$2:$C2736,"&lt;&gt;",$D$2:$D2736,"&lt;&gt;",$E$2:$E2736,"&lt;&gt;"),"00000"),""))</f>
        <v/>
      </c>
      <c r="N2736" s="22"/>
    </row>
    <row r="2737" spans="1:14" x14ac:dyDescent="0.3">
      <c r="A2737" s="15" t="str">
        <f>IF(COUNTA($B2737:$E2737,$K2737)=0,"",IF(AND($B2737&lt;&gt;"",$C2737&lt;&gt;"",$D2737&lt;&gt;"",$E2737&lt;&gt;""),"TXS"&amp;TEXT(COUNTIFS($B$2:$B2737,"&lt;&gt;",$C$2:$C2737,"&lt;&gt;",$D$2:$D2737,"&lt;&gt;",$E$2:$E2737,"&lt;&gt;"),"00000"),""))</f>
        <v/>
      </c>
      <c r="N2737" s="22"/>
    </row>
    <row r="2738" spans="1:14" x14ac:dyDescent="0.3">
      <c r="A2738" s="15" t="str">
        <f>IF(COUNTA($B2738:$E2738,$K2738)=0,"",IF(AND($B2738&lt;&gt;"",$C2738&lt;&gt;"",$D2738&lt;&gt;"",$E2738&lt;&gt;""),"TXS"&amp;TEXT(COUNTIFS($B$2:$B2738,"&lt;&gt;",$C$2:$C2738,"&lt;&gt;",$D$2:$D2738,"&lt;&gt;",$E$2:$E2738,"&lt;&gt;"),"00000"),""))</f>
        <v/>
      </c>
      <c r="N2738" s="22"/>
    </row>
    <row r="2739" spans="1:14" x14ac:dyDescent="0.3">
      <c r="A2739" s="15" t="str">
        <f>IF(COUNTA($B2739:$E2739,$K2739)=0,"",IF(AND($B2739&lt;&gt;"",$C2739&lt;&gt;"",$D2739&lt;&gt;"",$E2739&lt;&gt;""),"TXS"&amp;TEXT(COUNTIFS($B$2:$B2739,"&lt;&gt;",$C$2:$C2739,"&lt;&gt;",$D$2:$D2739,"&lt;&gt;",$E$2:$E2739,"&lt;&gt;"),"00000"),""))</f>
        <v/>
      </c>
      <c r="N2739" s="22"/>
    </row>
    <row r="2740" spans="1:14" x14ac:dyDescent="0.3">
      <c r="A2740" s="15" t="str">
        <f>IF(COUNTA($B2740:$E2740,$K2740)=0,"",IF(AND($B2740&lt;&gt;"",$C2740&lt;&gt;"",$D2740&lt;&gt;"",$E2740&lt;&gt;""),"TXS"&amp;TEXT(COUNTIFS($B$2:$B2740,"&lt;&gt;",$C$2:$C2740,"&lt;&gt;",$D$2:$D2740,"&lt;&gt;",$E$2:$E2740,"&lt;&gt;"),"00000"),""))</f>
        <v/>
      </c>
      <c r="N2740" s="22"/>
    </row>
    <row r="2741" spans="1:14" x14ac:dyDescent="0.3">
      <c r="A2741" s="15" t="str">
        <f>IF(COUNTA($B2741:$E2741,$K2741)=0,"",IF(AND($B2741&lt;&gt;"",$C2741&lt;&gt;"",$D2741&lt;&gt;"",$E2741&lt;&gt;""),"TXS"&amp;TEXT(COUNTIFS($B$2:$B2741,"&lt;&gt;",$C$2:$C2741,"&lt;&gt;",$D$2:$D2741,"&lt;&gt;",$E$2:$E2741,"&lt;&gt;"),"00000"),""))</f>
        <v/>
      </c>
      <c r="N2741" s="22"/>
    </row>
    <row r="2742" spans="1:14" x14ac:dyDescent="0.3">
      <c r="A2742" s="15" t="str">
        <f>IF(COUNTA($B2742:$E2742,$K2742)=0,"",IF(AND($B2742&lt;&gt;"",$C2742&lt;&gt;"",$D2742&lt;&gt;"",$E2742&lt;&gt;""),"TXS"&amp;TEXT(COUNTIFS($B$2:$B2742,"&lt;&gt;",$C$2:$C2742,"&lt;&gt;",$D$2:$D2742,"&lt;&gt;",$E$2:$E2742,"&lt;&gt;"),"00000"),""))</f>
        <v/>
      </c>
      <c r="N2742" s="22"/>
    </row>
    <row r="2743" spans="1:14" x14ac:dyDescent="0.3">
      <c r="A2743" s="15" t="str">
        <f>IF(COUNTA($B2743:$E2743,$K2743)=0,"",IF(AND($B2743&lt;&gt;"",$C2743&lt;&gt;"",$D2743&lt;&gt;"",$E2743&lt;&gt;""),"TXS"&amp;TEXT(COUNTIFS($B$2:$B2743,"&lt;&gt;",$C$2:$C2743,"&lt;&gt;",$D$2:$D2743,"&lt;&gt;",$E$2:$E2743,"&lt;&gt;"),"00000"),""))</f>
        <v/>
      </c>
      <c r="N2743" s="22"/>
    </row>
    <row r="2744" spans="1:14" x14ac:dyDescent="0.3">
      <c r="A2744" s="15" t="str">
        <f>IF(COUNTA($B2744:$E2744,$K2744)=0,"",IF(AND($B2744&lt;&gt;"",$C2744&lt;&gt;"",$D2744&lt;&gt;"",$E2744&lt;&gt;""),"TXS"&amp;TEXT(COUNTIFS($B$2:$B2744,"&lt;&gt;",$C$2:$C2744,"&lt;&gt;",$D$2:$D2744,"&lt;&gt;",$E$2:$E2744,"&lt;&gt;"),"00000"),""))</f>
        <v/>
      </c>
      <c r="N2744" s="22"/>
    </row>
    <row r="2745" spans="1:14" x14ac:dyDescent="0.3">
      <c r="A2745" s="15" t="str">
        <f>IF(COUNTA($B2745:$E2745,$K2745)=0,"",IF(AND($B2745&lt;&gt;"",$C2745&lt;&gt;"",$D2745&lt;&gt;"",$E2745&lt;&gt;""),"TXS"&amp;TEXT(COUNTIFS($B$2:$B2745,"&lt;&gt;",$C$2:$C2745,"&lt;&gt;",$D$2:$D2745,"&lt;&gt;",$E$2:$E2745,"&lt;&gt;"),"00000"),""))</f>
        <v/>
      </c>
      <c r="N2745" s="22"/>
    </row>
    <row r="2746" spans="1:14" x14ac:dyDescent="0.3">
      <c r="A2746" s="15" t="str">
        <f>IF(COUNTA($B2746:$E2746,$K2746)=0,"",IF(AND($B2746&lt;&gt;"",$C2746&lt;&gt;"",$D2746&lt;&gt;"",$E2746&lt;&gt;""),"TXS"&amp;TEXT(COUNTIFS($B$2:$B2746,"&lt;&gt;",$C$2:$C2746,"&lt;&gt;",$D$2:$D2746,"&lt;&gt;",$E$2:$E2746,"&lt;&gt;"),"00000"),""))</f>
        <v/>
      </c>
      <c r="N2746" s="22"/>
    </row>
    <row r="2747" spans="1:14" x14ac:dyDescent="0.3">
      <c r="A2747" s="15" t="str">
        <f>IF(COUNTA($B2747:$E2747,$K2747)=0,"",IF(AND($B2747&lt;&gt;"",$C2747&lt;&gt;"",$D2747&lt;&gt;"",$E2747&lt;&gt;""),"TXS"&amp;TEXT(COUNTIFS($B$2:$B2747,"&lt;&gt;",$C$2:$C2747,"&lt;&gt;",$D$2:$D2747,"&lt;&gt;",$E$2:$E2747,"&lt;&gt;"),"00000"),""))</f>
        <v/>
      </c>
      <c r="N2747" s="22"/>
    </row>
    <row r="2748" spans="1:14" x14ac:dyDescent="0.3">
      <c r="A2748" s="15" t="str">
        <f>IF(COUNTA($B2748:$E2748,$K2748)=0,"",IF(AND($B2748&lt;&gt;"",$C2748&lt;&gt;"",$D2748&lt;&gt;"",$E2748&lt;&gt;""),"TXS"&amp;TEXT(COUNTIFS($B$2:$B2748,"&lt;&gt;",$C$2:$C2748,"&lt;&gt;",$D$2:$D2748,"&lt;&gt;",$E$2:$E2748,"&lt;&gt;"),"00000"),""))</f>
        <v/>
      </c>
      <c r="N2748" s="22"/>
    </row>
    <row r="2749" spans="1:14" x14ac:dyDescent="0.3">
      <c r="A2749" s="15" t="str">
        <f>IF(COUNTA($B2749:$E2749,$K2749)=0,"",IF(AND($B2749&lt;&gt;"",$C2749&lt;&gt;"",$D2749&lt;&gt;"",$E2749&lt;&gt;""),"TXS"&amp;TEXT(COUNTIFS($B$2:$B2749,"&lt;&gt;",$C$2:$C2749,"&lt;&gt;",$D$2:$D2749,"&lt;&gt;",$E$2:$E2749,"&lt;&gt;"),"00000"),""))</f>
        <v/>
      </c>
      <c r="N2749" s="22"/>
    </row>
    <row r="2750" spans="1:14" x14ac:dyDescent="0.3">
      <c r="A2750" s="15" t="str">
        <f>IF(COUNTA($B2750:$E2750,$K2750)=0,"",IF(AND($B2750&lt;&gt;"",$C2750&lt;&gt;"",$D2750&lt;&gt;"",$E2750&lt;&gt;""),"TXS"&amp;TEXT(COUNTIFS($B$2:$B2750,"&lt;&gt;",$C$2:$C2750,"&lt;&gt;",$D$2:$D2750,"&lt;&gt;",$E$2:$E2750,"&lt;&gt;"),"00000"),""))</f>
        <v/>
      </c>
      <c r="N2750" s="22"/>
    </row>
    <row r="2751" spans="1:14" x14ac:dyDescent="0.3">
      <c r="A2751" s="15" t="str">
        <f>IF(COUNTA($B2751:$E2751,$K2751)=0,"",IF(AND($B2751&lt;&gt;"",$C2751&lt;&gt;"",$D2751&lt;&gt;"",$E2751&lt;&gt;""),"TXS"&amp;TEXT(COUNTIFS($B$2:$B2751,"&lt;&gt;",$C$2:$C2751,"&lt;&gt;",$D$2:$D2751,"&lt;&gt;",$E$2:$E2751,"&lt;&gt;"),"00000"),""))</f>
        <v/>
      </c>
      <c r="N2751" s="22"/>
    </row>
    <row r="2752" spans="1:14" x14ac:dyDescent="0.3">
      <c r="A2752" s="15" t="str">
        <f>IF(COUNTA($B2752:$E2752,$K2752)=0,"",IF(AND($B2752&lt;&gt;"",$C2752&lt;&gt;"",$D2752&lt;&gt;"",$E2752&lt;&gt;""),"TXS"&amp;TEXT(COUNTIFS($B$2:$B2752,"&lt;&gt;",$C$2:$C2752,"&lt;&gt;",$D$2:$D2752,"&lt;&gt;",$E$2:$E2752,"&lt;&gt;"),"00000"),""))</f>
        <v/>
      </c>
      <c r="N2752" s="22"/>
    </row>
    <row r="2753" spans="1:14" x14ac:dyDescent="0.3">
      <c r="A2753" s="15" t="str">
        <f>IF(COUNTA($B2753:$E2753,$K2753)=0,"",IF(AND($B2753&lt;&gt;"",$C2753&lt;&gt;"",$D2753&lt;&gt;"",$E2753&lt;&gt;""),"TXS"&amp;TEXT(COUNTIFS($B$2:$B2753,"&lt;&gt;",$C$2:$C2753,"&lt;&gt;",$D$2:$D2753,"&lt;&gt;",$E$2:$E2753,"&lt;&gt;"),"00000"),""))</f>
        <v/>
      </c>
      <c r="N2753" s="22"/>
    </row>
    <row r="2754" spans="1:14" x14ac:dyDescent="0.3">
      <c r="A2754" s="15" t="str">
        <f>IF(COUNTA($B2754:$E2754,$K2754)=0,"",IF(AND($B2754&lt;&gt;"",$C2754&lt;&gt;"",$D2754&lt;&gt;"",$E2754&lt;&gt;""),"TXS"&amp;TEXT(COUNTIFS($B$2:$B2754,"&lt;&gt;",$C$2:$C2754,"&lt;&gt;",$D$2:$D2754,"&lt;&gt;",$E$2:$E2754,"&lt;&gt;"),"00000"),""))</f>
        <v/>
      </c>
      <c r="N2754" s="22"/>
    </row>
    <row r="2755" spans="1:14" x14ac:dyDescent="0.3">
      <c r="A2755" s="15" t="str">
        <f>IF(COUNTA($B2755:$E2755,$K2755)=0,"",IF(AND($B2755&lt;&gt;"",$C2755&lt;&gt;"",$D2755&lt;&gt;"",$E2755&lt;&gt;""),"TXS"&amp;TEXT(COUNTIFS($B$2:$B2755,"&lt;&gt;",$C$2:$C2755,"&lt;&gt;",$D$2:$D2755,"&lt;&gt;",$E$2:$E2755,"&lt;&gt;"),"00000"),""))</f>
        <v/>
      </c>
      <c r="N2755" s="22"/>
    </row>
    <row r="2756" spans="1:14" x14ac:dyDescent="0.3">
      <c r="A2756" s="15" t="str">
        <f>IF(COUNTA($B2756:$E2756,$K2756)=0,"",IF(AND($B2756&lt;&gt;"",$C2756&lt;&gt;"",$D2756&lt;&gt;"",$E2756&lt;&gt;""),"TXS"&amp;TEXT(COUNTIFS($B$2:$B2756,"&lt;&gt;",$C$2:$C2756,"&lt;&gt;",$D$2:$D2756,"&lt;&gt;",$E$2:$E2756,"&lt;&gt;"),"00000"),""))</f>
        <v/>
      </c>
      <c r="N2756" s="22"/>
    </row>
    <row r="2757" spans="1:14" x14ac:dyDescent="0.3">
      <c r="A2757" s="15" t="str">
        <f>IF(COUNTA($B2757:$E2757,$K2757)=0,"",IF(AND($B2757&lt;&gt;"",$C2757&lt;&gt;"",$D2757&lt;&gt;"",$E2757&lt;&gt;""),"TXS"&amp;TEXT(COUNTIFS($B$2:$B2757,"&lt;&gt;",$C$2:$C2757,"&lt;&gt;",$D$2:$D2757,"&lt;&gt;",$E$2:$E2757,"&lt;&gt;"),"00000"),""))</f>
        <v/>
      </c>
      <c r="N2757" s="22"/>
    </row>
    <row r="2758" spans="1:14" x14ac:dyDescent="0.3">
      <c r="A2758" s="15" t="str">
        <f>IF(COUNTA($B2758:$E2758,$K2758)=0,"",IF(AND($B2758&lt;&gt;"",$C2758&lt;&gt;"",$D2758&lt;&gt;"",$E2758&lt;&gt;""),"TXS"&amp;TEXT(COUNTIFS($B$2:$B2758,"&lt;&gt;",$C$2:$C2758,"&lt;&gt;",$D$2:$D2758,"&lt;&gt;",$E$2:$E2758,"&lt;&gt;"),"00000"),""))</f>
        <v/>
      </c>
      <c r="N2758" s="22"/>
    </row>
    <row r="2759" spans="1:14" x14ac:dyDescent="0.3">
      <c r="A2759" s="15" t="str">
        <f>IF(COUNTA($B2759:$E2759,$K2759)=0,"",IF(AND($B2759&lt;&gt;"",$C2759&lt;&gt;"",$D2759&lt;&gt;"",$E2759&lt;&gt;""),"TXS"&amp;TEXT(COUNTIFS($B$2:$B2759,"&lt;&gt;",$C$2:$C2759,"&lt;&gt;",$D$2:$D2759,"&lt;&gt;",$E$2:$E2759,"&lt;&gt;"),"00000"),""))</f>
        <v/>
      </c>
      <c r="N2759" s="22"/>
    </row>
    <row r="2760" spans="1:14" x14ac:dyDescent="0.3">
      <c r="A2760" s="15" t="str">
        <f>IF(COUNTA($B2760:$E2760,$K2760)=0,"",IF(AND($B2760&lt;&gt;"",$C2760&lt;&gt;"",$D2760&lt;&gt;"",$E2760&lt;&gt;""),"TXS"&amp;TEXT(COUNTIFS($B$2:$B2760,"&lt;&gt;",$C$2:$C2760,"&lt;&gt;",$D$2:$D2760,"&lt;&gt;",$E$2:$E2760,"&lt;&gt;"),"00000"),""))</f>
        <v/>
      </c>
      <c r="N2760" s="22"/>
    </row>
    <row r="2761" spans="1:14" x14ac:dyDescent="0.3">
      <c r="A2761" s="15" t="str">
        <f>IF(COUNTA($B2761:$E2761,$K2761)=0,"",IF(AND($B2761&lt;&gt;"",$C2761&lt;&gt;"",$D2761&lt;&gt;"",$E2761&lt;&gt;""),"TXS"&amp;TEXT(COUNTIFS($B$2:$B2761,"&lt;&gt;",$C$2:$C2761,"&lt;&gt;",$D$2:$D2761,"&lt;&gt;",$E$2:$E2761,"&lt;&gt;"),"00000"),""))</f>
        <v/>
      </c>
      <c r="N2761" s="22"/>
    </row>
    <row r="2762" spans="1:14" x14ac:dyDescent="0.3">
      <c r="A2762" s="15" t="str">
        <f>IF(COUNTA($B2762:$E2762,$K2762)=0,"",IF(AND($B2762&lt;&gt;"",$C2762&lt;&gt;"",$D2762&lt;&gt;"",$E2762&lt;&gt;""),"TXS"&amp;TEXT(COUNTIFS($B$2:$B2762,"&lt;&gt;",$C$2:$C2762,"&lt;&gt;",$D$2:$D2762,"&lt;&gt;",$E$2:$E2762,"&lt;&gt;"),"00000"),""))</f>
        <v/>
      </c>
      <c r="N2762" s="22"/>
    </row>
    <row r="2763" spans="1:14" x14ac:dyDescent="0.3">
      <c r="A2763" s="15" t="str">
        <f>IF(COUNTA($B2763:$E2763,$K2763)=0,"",IF(AND($B2763&lt;&gt;"",$C2763&lt;&gt;"",$D2763&lt;&gt;"",$E2763&lt;&gt;""),"TXS"&amp;TEXT(COUNTIFS($B$2:$B2763,"&lt;&gt;",$C$2:$C2763,"&lt;&gt;",$D$2:$D2763,"&lt;&gt;",$E$2:$E2763,"&lt;&gt;"),"00000"),""))</f>
        <v/>
      </c>
      <c r="N2763" s="22"/>
    </row>
    <row r="2764" spans="1:14" x14ac:dyDescent="0.3">
      <c r="A2764" s="15" t="str">
        <f>IF(COUNTA($B2764:$E2764,$K2764)=0,"",IF(AND($B2764&lt;&gt;"",$C2764&lt;&gt;"",$D2764&lt;&gt;"",$E2764&lt;&gt;""),"TXS"&amp;TEXT(COUNTIFS($B$2:$B2764,"&lt;&gt;",$C$2:$C2764,"&lt;&gt;",$D$2:$D2764,"&lt;&gt;",$E$2:$E2764,"&lt;&gt;"),"00000"),""))</f>
        <v/>
      </c>
      <c r="N2764" s="22"/>
    </row>
    <row r="2765" spans="1:14" x14ac:dyDescent="0.3">
      <c r="A2765" s="15" t="str">
        <f>IF(COUNTA($B2765:$E2765,$K2765)=0,"",IF(AND($B2765&lt;&gt;"",$C2765&lt;&gt;"",$D2765&lt;&gt;"",$E2765&lt;&gt;""),"TXS"&amp;TEXT(COUNTIFS($B$2:$B2765,"&lt;&gt;",$C$2:$C2765,"&lt;&gt;",$D$2:$D2765,"&lt;&gt;",$E$2:$E2765,"&lt;&gt;"),"00000"),""))</f>
        <v/>
      </c>
      <c r="N2765" s="22"/>
    </row>
    <row r="2766" spans="1:14" x14ac:dyDescent="0.3">
      <c r="A2766" s="15" t="str">
        <f>IF(COUNTA($B2766:$E2766,$K2766)=0,"",IF(AND($B2766&lt;&gt;"",$C2766&lt;&gt;"",$D2766&lt;&gt;"",$E2766&lt;&gt;""),"TXS"&amp;TEXT(COUNTIFS($B$2:$B2766,"&lt;&gt;",$C$2:$C2766,"&lt;&gt;",$D$2:$D2766,"&lt;&gt;",$E$2:$E2766,"&lt;&gt;"),"00000"),""))</f>
        <v/>
      </c>
      <c r="N2766" s="22"/>
    </row>
    <row r="2767" spans="1:14" x14ac:dyDescent="0.3">
      <c r="A2767" s="15" t="str">
        <f>IF(COUNTA($B2767:$E2767,$K2767)=0,"",IF(AND($B2767&lt;&gt;"",$C2767&lt;&gt;"",$D2767&lt;&gt;"",$E2767&lt;&gt;""),"TXS"&amp;TEXT(COUNTIFS($B$2:$B2767,"&lt;&gt;",$C$2:$C2767,"&lt;&gt;",$D$2:$D2767,"&lt;&gt;",$E$2:$E2767,"&lt;&gt;"),"00000"),""))</f>
        <v/>
      </c>
      <c r="N2767" s="22"/>
    </row>
    <row r="2768" spans="1:14" x14ac:dyDescent="0.3">
      <c r="A2768" s="15" t="str">
        <f>IF(COUNTA($B2768:$E2768,$K2768)=0,"",IF(AND($B2768&lt;&gt;"",$C2768&lt;&gt;"",$D2768&lt;&gt;"",$E2768&lt;&gt;""),"TXS"&amp;TEXT(COUNTIFS($B$2:$B2768,"&lt;&gt;",$C$2:$C2768,"&lt;&gt;",$D$2:$D2768,"&lt;&gt;",$E$2:$E2768,"&lt;&gt;"),"00000"),""))</f>
        <v/>
      </c>
      <c r="N2768" s="22"/>
    </row>
    <row r="2769" spans="1:14" x14ac:dyDescent="0.3">
      <c r="A2769" s="15" t="str">
        <f>IF(COUNTA($B2769:$E2769,$K2769)=0,"",IF(AND($B2769&lt;&gt;"",$C2769&lt;&gt;"",$D2769&lt;&gt;"",$E2769&lt;&gt;""),"TXS"&amp;TEXT(COUNTIFS($B$2:$B2769,"&lt;&gt;",$C$2:$C2769,"&lt;&gt;",$D$2:$D2769,"&lt;&gt;",$E$2:$E2769,"&lt;&gt;"),"00000"),""))</f>
        <v/>
      </c>
      <c r="N2769" s="22"/>
    </row>
    <row r="2770" spans="1:14" x14ac:dyDescent="0.3">
      <c r="A2770" s="15" t="str">
        <f>IF(COUNTA($B2770:$E2770,$K2770)=0,"",IF(AND($B2770&lt;&gt;"",$C2770&lt;&gt;"",$D2770&lt;&gt;"",$E2770&lt;&gt;""),"TXS"&amp;TEXT(COUNTIFS($B$2:$B2770,"&lt;&gt;",$C$2:$C2770,"&lt;&gt;",$D$2:$D2770,"&lt;&gt;",$E$2:$E2770,"&lt;&gt;"),"00000"),""))</f>
        <v/>
      </c>
      <c r="N2770" s="22"/>
    </row>
    <row r="2771" spans="1:14" x14ac:dyDescent="0.3">
      <c r="A2771" s="15" t="str">
        <f>IF(COUNTA($B2771:$E2771,$K2771)=0,"",IF(AND($B2771&lt;&gt;"",$C2771&lt;&gt;"",$D2771&lt;&gt;"",$E2771&lt;&gt;""),"TXS"&amp;TEXT(COUNTIFS($B$2:$B2771,"&lt;&gt;",$C$2:$C2771,"&lt;&gt;",$D$2:$D2771,"&lt;&gt;",$E$2:$E2771,"&lt;&gt;"),"00000"),""))</f>
        <v/>
      </c>
      <c r="N2771" s="22"/>
    </row>
    <row r="2772" spans="1:14" x14ac:dyDescent="0.3">
      <c r="A2772" s="15" t="str">
        <f>IF(COUNTA($B2772:$E2772,$K2772)=0,"",IF(AND($B2772&lt;&gt;"",$C2772&lt;&gt;"",$D2772&lt;&gt;"",$E2772&lt;&gt;""),"TXS"&amp;TEXT(COUNTIFS($B$2:$B2772,"&lt;&gt;",$C$2:$C2772,"&lt;&gt;",$D$2:$D2772,"&lt;&gt;",$E$2:$E2772,"&lt;&gt;"),"00000"),""))</f>
        <v/>
      </c>
      <c r="N2772" s="22"/>
    </row>
    <row r="2773" spans="1:14" x14ac:dyDescent="0.3">
      <c r="A2773" s="15" t="str">
        <f>IF(COUNTA($B2773:$E2773,$K2773)=0,"",IF(AND($B2773&lt;&gt;"",$C2773&lt;&gt;"",$D2773&lt;&gt;"",$E2773&lt;&gt;""),"TXS"&amp;TEXT(COUNTIFS($B$2:$B2773,"&lt;&gt;",$C$2:$C2773,"&lt;&gt;",$D$2:$D2773,"&lt;&gt;",$E$2:$E2773,"&lt;&gt;"),"00000"),""))</f>
        <v/>
      </c>
      <c r="N2773" s="22"/>
    </row>
    <row r="2774" spans="1:14" x14ac:dyDescent="0.3">
      <c r="A2774" s="15" t="str">
        <f>IF(COUNTA($B2774:$E2774,$K2774)=0,"",IF(AND($B2774&lt;&gt;"",$C2774&lt;&gt;"",$D2774&lt;&gt;"",$E2774&lt;&gt;""),"TXS"&amp;TEXT(COUNTIFS($B$2:$B2774,"&lt;&gt;",$C$2:$C2774,"&lt;&gt;",$D$2:$D2774,"&lt;&gt;",$E$2:$E2774,"&lt;&gt;"),"00000"),""))</f>
        <v/>
      </c>
      <c r="N2774" s="22"/>
    </row>
    <row r="2775" spans="1:14" x14ac:dyDescent="0.3">
      <c r="A2775" s="15" t="str">
        <f>IF(COUNTA($B2775:$E2775,$K2775)=0,"",IF(AND($B2775&lt;&gt;"",$C2775&lt;&gt;"",$D2775&lt;&gt;"",$E2775&lt;&gt;""),"TXS"&amp;TEXT(COUNTIFS($B$2:$B2775,"&lt;&gt;",$C$2:$C2775,"&lt;&gt;",$D$2:$D2775,"&lt;&gt;",$E$2:$E2775,"&lt;&gt;"),"00000"),""))</f>
        <v/>
      </c>
      <c r="N2775" s="22"/>
    </row>
    <row r="2776" spans="1:14" x14ac:dyDescent="0.3">
      <c r="A2776" s="15" t="str">
        <f>IF(COUNTA($B2776:$E2776,$K2776)=0,"",IF(AND($B2776&lt;&gt;"",$C2776&lt;&gt;"",$D2776&lt;&gt;"",$E2776&lt;&gt;""),"TXS"&amp;TEXT(COUNTIFS($B$2:$B2776,"&lt;&gt;",$C$2:$C2776,"&lt;&gt;",$D$2:$D2776,"&lt;&gt;",$E$2:$E2776,"&lt;&gt;"),"00000"),""))</f>
        <v/>
      </c>
      <c r="N2776" s="22"/>
    </row>
    <row r="2777" spans="1:14" x14ac:dyDescent="0.3">
      <c r="A2777" s="15" t="str">
        <f>IF(COUNTA($B2777:$E2777,$K2777)=0,"",IF(AND($B2777&lt;&gt;"",$C2777&lt;&gt;"",$D2777&lt;&gt;"",$E2777&lt;&gt;""),"TXS"&amp;TEXT(COUNTIFS($B$2:$B2777,"&lt;&gt;",$C$2:$C2777,"&lt;&gt;",$D$2:$D2777,"&lt;&gt;",$E$2:$E2777,"&lt;&gt;"),"00000"),""))</f>
        <v/>
      </c>
      <c r="N2777" s="22"/>
    </row>
    <row r="2778" spans="1:14" x14ac:dyDescent="0.3">
      <c r="A2778" s="15" t="str">
        <f>IF(COUNTA($B2778:$E2778,$K2778)=0,"",IF(AND($B2778&lt;&gt;"",$C2778&lt;&gt;"",$D2778&lt;&gt;"",$E2778&lt;&gt;""),"TXS"&amp;TEXT(COUNTIFS($B$2:$B2778,"&lt;&gt;",$C$2:$C2778,"&lt;&gt;",$D$2:$D2778,"&lt;&gt;",$E$2:$E2778,"&lt;&gt;"),"00000"),""))</f>
        <v/>
      </c>
      <c r="N2778" s="22"/>
    </row>
    <row r="2779" spans="1:14" x14ac:dyDescent="0.3">
      <c r="A2779" s="15" t="str">
        <f>IF(COUNTA($B2779:$E2779,$K2779)=0,"",IF(AND($B2779&lt;&gt;"",$C2779&lt;&gt;"",$D2779&lt;&gt;"",$E2779&lt;&gt;""),"TXS"&amp;TEXT(COUNTIFS($B$2:$B2779,"&lt;&gt;",$C$2:$C2779,"&lt;&gt;",$D$2:$D2779,"&lt;&gt;",$E$2:$E2779,"&lt;&gt;"),"00000"),""))</f>
        <v/>
      </c>
      <c r="N2779" s="22"/>
    </row>
    <row r="2780" spans="1:14" x14ac:dyDescent="0.3">
      <c r="A2780" s="15" t="str">
        <f>IF(COUNTA($B2780:$E2780,$K2780)=0,"",IF(AND($B2780&lt;&gt;"",$C2780&lt;&gt;"",$D2780&lt;&gt;"",$E2780&lt;&gt;""),"TXS"&amp;TEXT(COUNTIFS($B$2:$B2780,"&lt;&gt;",$C$2:$C2780,"&lt;&gt;",$D$2:$D2780,"&lt;&gt;",$E$2:$E2780,"&lt;&gt;"),"00000"),""))</f>
        <v/>
      </c>
      <c r="N2780" s="22"/>
    </row>
    <row r="2781" spans="1:14" x14ac:dyDescent="0.3">
      <c r="A2781" s="15" t="str">
        <f>IF(COUNTA($B2781:$E2781,$K2781)=0,"",IF(AND($B2781&lt;&gt;"",$C2781&lt;&gt;"",$D2781&lt;&gt;"",$E2781&lt;&gt;""),"TXS"&amp;TEXT(COUNTIFS($B$2:$B2781,"&lt;&gt;",$C$2:$C2781,"&lt;&gt;",$D$2:$D2781,"&lt;&gt;",$E$2:$E2781,"&lt;&gt;"),"00000"),""))</f>
        <v/>
      </c>
      <c r="N2781" s="22"/>
    </row>
    <row r="2782" spans="1:14" x14ac:dyDescent="0.3">
      <c r="A2782" s="15" t="str">
        <f>IF(COUNTA($B2782:$E2782,$K2782)=0,"",IF(AND($B2782&lt;&gt;"",$C2782&lt;&gt;"",$D2782&lt;&gt;"",$E2782&lt;&gt;""),"TXS"&amp;TEXT(COUNTIFS($B$2:$B2782,"&lt;&gt;",$C$2:$C2782,"&lt;&gt;",$D$2:$D2782,"&lt;&gt;",$E$2:$E2782,"&lt;&gt;"),"00000"),""))</f>
        <v/>
      </c>
      <c r="N2782" s="22"/>
    </row>
    <row r="2783" spans="1:14" x14ac:dyDescent="0.3">
      <c r="A2783" s="15" t="str">
        <f>IF(COUNTA($B2783:$E2783,$K2783)=0,"",IF(AND($B2783&lt;&gt;"",$C2783&lt;&gt;"",$D2783&lt;&gt;"",$E2783&lt;&gt;""),"TXS"&amp;TEXT(COUNTIFS($B$2:$B2783,"&lt;&gt;",$C$2:$C2783,"&lt;&gt;",$D$2:$D2783,"&lt;&gt;",$E$2:$E2783,"&lt;&gt;"),"00000"),""))</f>
        <v/>
      </c>
      <c r="N2783" s="22"/>
    </row>
    <row r="2784" spans="1:14" x14ac:dyDescent="0.3">
      <c r="A2784" s="15" t="str">
        <f>IF(COUNTA($B2784:$E2784,$K2784)=0,"",IF(AND($B2784&lt;&gt;"",$C2784&lt;&gt;"",$D2784&lt;&gt;"",$E2784&lt;&gt;""),"TXS"&amp;TEXT(COUNTIFS($B$2:$B2784,"&lt;&gt;",$C$2:$C2784,"&lt;&gt;",$D$2:$D2784,"&lt;&gt;",$E$2:$E2784,"&lt;&gt;"),"00000"),""))</f>
        <v/>
      </c>
      <c r="N2784" s="22"/>
    </row>
    <row r="2785" spans="1:14" x14ac:dyDescent="0.3">
      <c r="A2785" s="15" t="str">
        <f>IF(COUNTA($B2785:$E2785,$K2785)=0,"",IF(AND($B2785&lt;&gt;"",$C2785&lt;&gt;"",$D2785&lt;&gt;"",$E2785&lt;&gt;""),"TXS"&amp;TEXT(COUNTIFS($B$2:$B2785,"&lt;&gt;",$C$2:$C2785,"&lt;&gt;",$D$2:$D2785,"&lt;&gt;",$E$2:$E2785,"&lt;&gt;"),"00000"),""))</f>
        <v/>
      </c>
      <c r="N2785" s="22"/>
    </row>
    <row r="2786" spans="1:14" x14ac:dyDescent="0.3">
      <c r="A2786" s="15" t="str">
        <f>IF(COUNTA($B2786:$E2786,$K2786)=0,"",IF(AND($B2786&lt;&gt;"",$C2786&lt;&gt;"",$D2786&lt;&gt;"",$E2786&lt;&gt;""),"TXS"&amp;TEXT(COUNTIFS($B$2:$B2786,"&lt;&gt;",$C$2:$C2786,"&lt;&gt;",$D$2:$D2786,"&lt;&gt;",$E$2:$E2786,"&lt;&gt;"),"00000"),""))</f>
        <v/>
      </c>
      <c r="N2786" s="22"/>
    </row>
    <row r="2787" spans="1:14" x14ac:dyDescent="0.3">
      <c r="A2787" s="15" t="str">
        <f>IF(COUNTA($B2787:$E2787,$K2787)=0,"",IF(AND($B2787&lt;&gt;"",$C2787&lt;&gt;"",$D2787&lt;&gt;"",$E2787&lt;&gt;""),"TXS"&amp;TEXT(COUNTIFS($B$2:$B2787,"&lt;&gt;",$C$2:$C2787,"&lt;&gt;",$D$2:$D2787,"&lt;&gt;",$E$2:$E2787,"&lt;&gt;"),"00000"),""))</f>
        <v/>
      </c>
      <c r="N2787" s="22"/>
    </row>
    <row r="2788" spans="1:14" x14ac:dyDescent="0.3">
      <c r="A2788" s="15" t="str">
        <f>IF(COUNTA($B2788:$E2788,$K2788)=0,"",IF(AND($B2788&lt;&gt;"",$C2788&lt;&gt;"",$D2788&lt;&gt;"",$E2788&lt;&gt;""),"TXS"&amp;TEXT(COUNTIFS($B$2:$B2788,"&lt;&gt;",$C$2:$C2788,"&lt;&gt;",$D$2:$D2788,"&lt;&gt;",$E$2:$E2788,"&lt;&gt;"),"00000"),""))</f>
        <v/>
      </c>
      <c r="N2788" s="22"/>
    </row>
    <row r="2789" spans="1:14" x14ac:dyDescent="0.3">
      <c r="A2789" s="15" t="str">
        <f>IF(COUNTA($B2789:$E2789,$K2789)=0,"",IF(AND($B2789&lt;&gt;"",$C2789&lt;&gt;"",$D2789&lt;&gt;"",$E2789&lt;&gt;""),"TXS"&amp;TEXT(COUNTIFS($B$2:$B2789,"&lt;&gt;",$C$2:$C2789,"&lt;&gt;",$D$2:$D2789,"&lt;&gt;",$E$2:$E2789,"&lt;&gt;"),"00000"),""))</f>
        <v/>
      </c>
      <c r="N2789" s="22"/>
    </row>
    <row r="2790" spans="1:14" x14ac:dyDescent="0.3">
      <c r="A2790" s="15" t="str">
        <f>IF(COUNTA($B2790:$E2790,$K2790)=0,"",IF(AND($B2790&lt;&gt;"",$C2790&lt;&gt;"",$D2790&lt;&gt;"",$E2790&lt;&gt;""),"TXS"&amp;TEXT(COUNTIFS($B$2:$B2790,"&lt;&gt;",$C$2:$C2790,"&lt;&gt;",$D$2:$D2790,"&lt;&gt;",$E$2:$E2790,"&lt;&gt;"),"00000"),""))</f>
        <v/>
      </c>
      <c r="N2790" s="22"/>
    </row>
    <row r="2791" spans="1:14" x14ac:dyDescent="0.3">
      <c r="A2791" s="15" t="str">
        <f>IF(COUNTA($B2791:$E2791,$K2791)=0,"",IF(AND($B2791&lt;&gt;"",$C2791&lt;&gt;"",$D2791&lt;&gt;"",$E2791&lt;&gt;""),"TXS"&amp;TEXT(COUNTIFS($B$2:$B2791,"&lt;&gt;",$C$2:$C2791,"&lt;&gt;",$D$2:$D2791,"&lt;&gt;",$E$2:$E2791,"&lt;&gt;"),"00000"),""))</f>
        <v/>
      </c>
      <c r="N2791" s="22"/>
    </row>
    <row r="2792" spans="1:14" x14ac:dyDescent="0.3">
      <c r="A2792" s="15" t="str">
        <f>IF(COUNTA($B2792:$E2792,$K2792)=0,"",IF(AND($B2792&lt;&gt;"",$C2792&lt;&gt;"",$D2792&lt;&gt;"",$E2792&lt;&gt;""),"TXS"&amp;TEXT(COUNTIFS($B$2:$B2792,"&lt;&gt;",$C$2:$C2792,"&lt;&gt;",$D$2:$D2792,"&lt;&gt;",$E$2:$E2792,"&lt;&gt;"),"00000"),""))</f>
        <v/>
      </c>
      <c r="N2792" s="22"/>
    </row>
    <row r="2793" spans="1:14" x14ac:dyDescent="0.3">
      <c r="A2793" s="15" t="str">
        <f>IF(COUNTA($B2793:$E2793,$K2793)=0,"",IF(AND($B2793&lt;&gt;"",$C2793&lt;&gt;"",$D2793&lt;&gt;"",$E2793&lt;&gt;""),"TXS"&amp;TEXT(COUNTIFS($B$2:$B2793,"&lt;&gt;",$C$2:$C2793,"&lt;&gt;",$D$2:$D2793,"&lt;&gt;",$E$2:$E2793,"&lt;&gt;"),"00000"),""))</f>
        <v/>
      </c>
      <c r="N2793" s="22"/>
    </row>
    <row r="2794" spans="1:14" x14ac:dyDescent="0.3">
      <c r="A2794" s="15" t="str">
        <f>IF(COUNTA($B2794:$E2794,$K2794)=0,"",IF(AND($B2794&lt;&gt;"",$C2794&lt;&gt;"",$D2794&lt;&gt;"",$E2794&lt;&gt;""),"TXS"&amp;TEXT(COUNTIFS($B$2:$B2794,"&lt;&gt;",$C$2:$C2794,"&lt;&gt;",$D$2:$D2794,"&lt;&gt;",$E$2:$E2794,"&lt;&gt;"),"00000"),""))</f>
        <v/>
      </c>
      <c r="N2794" s="22"/>
    </row>
    <row r="2795" spans="1:14" x14ac:dyDescent="0.3">
      <c r="A2795" s="15" t="str">
        <f>IF(COUNTA($B2795:$E2795,$K2795)=0,"",IF(AND($B2795&lt;&gt;"",$C2795&lt;&gt;"",$D2795&lt;&gt;"",$E2795&lt;&gt;""),"TXS"&amp;TEXT(COUNTIFS($B$2:$B2795,"&lt;&gt;",$C$2:$C2795,"&lt;&gt;",$D$2:$D2795,"&lt;&gt;",$E$2:$E2795,"&lt;&gt;"),"00000"),""))</f>
        <v/>
      </c>
      <c r="N2795" s="22"/>
    </row>
    <row r="2796" spans="1:14" x14ac:dyDescent="0.3">
      <c r="A2796" s="15" t="str">
        <f>IF(COUNTA($B2796:$E2796,$K2796)=0,"",IF(AND($B2796&lt;&gt;"",$C2796&lt;&gt;"",$D2796&lt;&gt;"",$E2796&lt;&gt;""),"TXS"&amp;TEXT(COUNTIFS($B$2:$B2796,"&lt;&gt;",$C$2:$C2796,"&lt;&gt;",$D$2:$D2796,"&lt;&gt;",$E$2:$E2796,"&lt;&gt;"),"00000"),""))</f>
        <v/>
      </c>
      <c r="N2796" s="22"/>
    </row>
    <row r="2797" spans="1:14" x14ac:dyDescent="0.3">
      <c r="A2797" s="15" t="str">
        <f>IF(COUNTA($B2797:$E2797,$K2797)=0,"",IF(AND($B2797&lt;&gt;"",$C2797&lt;&gt;"",$D2797&lt;&gt;"",$E2797&lt;&gt;""),"TXS"&amp;TEXT(COUNTIFS($B$2:$B2797,"&lt;&gt;",$C$2:$C2797,"&lt;&gt;",$D$2:$D2797,"&lt;&gt;",$E$2:$E2797,"&lt;&gt;"),"00000"),""))</f>
        <v/>
      </c>
      <c r="N2797" s="22"/>
    </row>
    <row r="2798" spans="1:14" x14ac:dyDescent="0.3">
      <c r="A2798" s="15" t="str">
        <f>IF(COUNTA($B2798:$E2798,$K2798)=0,"",IF(AND($B2798&lt;&gt;"",$C2798&lt;&gt;"",$D2798&lt;&gt;"",$E2798&lt;&gt;""),"TXS"&amp;TEXT(COUNTIFS($B$2:$B2798,"&lt;&gt;",$C$2:$C2798,"&lt;&gt;",$D$2:$D2798,"&lt;&gt;",$E$2:$E2798,"&lt;&gt;"),"00000"),""))</f>
        <v/>
      </c>
      <c r="N2798" s="22"/>
    </row>
    <row r="2799" spans="1:14" x14ac:dyDescent="0.3">
      <c r="A2799" s="15" t="str">
        <f>IF(COUNTA($B2799:$E2799,$K2799)=0,"",IF(AND($B2799&lt;&gt;"",$C2799&lt;&gt;"",$D2799&lt;&gt;"",$E2799&lt;&gt;""),"TXS"&amp;TEXT(COUNTIFS($B$2:$B2799,"&lt;&gt;",$C$2:$C2799,"&lt;&gt;",$D$2:$D2799,"&lt;&gt;",$E$2:$E2799,"&lt;&gt;"),"00000"),""))</f>
        <v/>
      </c>
      <c r="N2799" s="22"/>
    </row>
    <row r="2800" spans="1:14" x14ac:dyDescent="0.3">
      <c r="A2800" s="15" t="str">
        <f>IF(COUNTA($B2800:$E2800,$K2800)=0,"",IF(AND($B2800&lt;&gt;"",$C2800&lt;&gt;"",$D2800&lt;&gt;"",$E2800&lt;&gt;""),"TXS"&amp;TEXT(COUNTIFS($B$2:$B2800,"&lt;&gt;",$C$2:$C2800,"&lt;&gt;",$D$2:$D2800,"&lt;&gt;",$E$2:$E2800,"&lt;&gt;"),"00000"),""))</f>
        <v/>
      </c>
      <c r="N2800" s="22"/>
    </row>
    <row r="2801" spans="1:14" x14ac:dyDescent="0.3">
      <c r="A2801" s="15" t="str">
        <f>IF(COUNTA($B2801:$E2801,$K2801)=0,"",IF(AND($B2801&lt;&gt;"",$C2801&lt;&gt;"",$D2801&lt;&gt;"",$E2801&lt;&gt;""),"TXS"&amp;TEXT(COUNTIFS($B$2:$B2801,"&lt;&gt;",$C$2:$C2801,"&lt;&gt;",$D$2:$D2801,"&lt;&gt;",$E$2:$E2801,"&lt;&gt;"),"00000"),""))</f>
        <v/>
      </c>
      <c r="N2801" s="22"/>
    </row>
    <row r="2802" spans="1:14" x14ac:dyDescent="0.3">
      <c r="A2802" s="15" t="str">
        <f>IF(COUNTA($B2802:$E2802,$K2802)=0,"",IF(AND($B2802&lt;&gt;"",$C2802&lt;&gt;"",$D2802&lt;&gt;"",$E2802&lt;&gt;""),"TXS"&amp;TEXT(COUNTIFS($B$2:$B2802,"&lt;&gt;",$C$2:$C2802,"&lt;&gt;",$D$2:$D2802,"&lt;&gt;",$E$2:$E2802,"&lt;&gt;"),"00000"),""))</f>
        <v/>
      </c>
      <c r="N2802" s="22"/>
    </row>
    <row r="2803" spans="1:14" x14ac:dyDescent="0.3">
      <c r="A2803" s="15" t="str">
        <f>IF(COUNTA($B2803:$E2803,$K2803)=0,"",IF(AND($B2803&lt;&gt;"",$C2803&lt;&gt;"",$D2803&lt;&gt;"",$E2803&lt;&gt;""),"TXS"&amp;TEXT(COUNTIFS($B$2:$B2803,"&lt;&gt;",$C$2:$C2803,"&lt;&gt;",$D$2:$D2803,"&lt;&gt;",$E$2:$E2803,"&lt;&gt;"),"00000"),""))</f>
        <v/>
      </c>
      <c r="N2803" s="22"/>
    </row>
    <row r="2804" spans="1:14" x14ac:dyDescent="0.3">
      <c r="A2804" s="15" t="str">
        <f>IF(COUNTA($B2804:$E2804,$K2804)=0,"",IF(AND($B2804&lt;&gt;"",$C2804&lt;&gt;"",$D2804&lt;&gt;"",$E2804&lt;&gt;""),"TXS"&amp;TEXT(COUNTIFS($B$2:$B2804,"&lt;&gt;",$C$2:$C2804,"&lt;&gt;",$D$2:$D2804,"&lt;&gt;",$E$2:$E2804,"&lt;&gt;"),"00000"),""))</f>
        <v/>
      </c>
      <c r="N2804" s="22"/>
    </row>
    <row r="2805" spans="1:14" x14ac:dyDescent="0.3">
      <c r="A2805" s="15" t="str">
        <f>IF(COUNTA($B2805:$E2805,$K2805)=0,"",IF(AND($B2805&lt;&gt;"",$C2805&lt;&gt;"",$D2805&lt;&gt;"",$E2805&lt;&gt;""),"TXS"&amp;TEXT(COUNTIFS($B$2:$B2805,"&lt;&gt;",$C$2:$C2805,"&lt;&gt;",$D$2:$D2805,"&lt;&gt;",$E$2:$E2805,"&lt;&gt;"),"00000"),""))</f>
        <v/>
      </c>
      <c r="N2805" s="22"/>
    </row>
    <row r="2806" spans="1:14" x14ac:dyDescent="0.3">
      <c r="A2806" s="15" t="str">
        <f>IF(COUNTA($B2806:$E2806,$K2806)=0,"",IF(AND($B2806&lt;&gt;"",$C2806&lt;&gt;"",$D2806&lt;&gt;"",$E2806&lt;&gt;""),"TXS"&amp;TEXT(COUNTIFS($B$2:$B2806,"&lt;&gt;",$C$2:$C2806,"&lt;&gt;",$D$2:$D2806,"&lt;&gt;",$E$2:$E2806,"&lt;&gt;"),"00000"),""))</f>
        <v/>
      </c>
      <c r="N2806" s="22"/>
    </row>
    <row r="2807" spans="1:14" x14ac:dyDescent="0.3">
      <c r="A2807" s="15" t="str">
        <f>IF(COUNTA($B2807:$E2807,$K2807)=0,"",IF(AND($B2807&lt;&gt;"",$C2807&lt;&gt;"",$D2807&lt;&gt;"",$E2807&lt;&gt;""),"TXS"&amp;TEXT(COUNTIFS($B$2:$B2807,"&lt;&gt;",$C$2:$C2807,"&lt;&gt;",$D$2:$D2807,"&lt;&gt;",$E$2:$E2807,"&lt;&gt;"),"00000"),""))</f>
        <v/>
      </c>
      <c r="N2807" s="22"/>
    </row>
    <row r="2808" spans="1:14" x14ac:dyDescent="0.3">
      <c r="A2808" s="15" t="str">
        <f>IF(COUNTA($B2808:$E2808,$K2808)=0,"",IF(AND($B2808&lt;&gt;"",$C2808&lt;&gt;"",$D2808&lt;&gt;"",$E2808&lt;&gt;""),"TXS"&amp;TEXT(COUNTIFS($B$2:$B2808,"&lt;&gt;",$C$2:$C2808,"&lt;&gt;",$D$2:$D2808,"&lt;&gt;",$E$2:$E2808,"&lt;&gt;"),"00000"),""))</f>
        <v/>
      </c>
      <c r="N2808" s="22"/>
    </row>
    <row r="2809" spans="1:14" x14ac:dyDescent="0.3">
      <c r="A2809" s="15" t="str">
        <f>IF(COUNTA($B2809:$E2809,$K2809)=0,"",IF(AND($B2809&lt;&gt;"",$C2809&lt;&gt;"",$D2809&lt;&gt;"",$E2809&lt;&gt;""),"TXS"&amp;TEXT(COUNTIFS($B$2:$B2809,"&lt;&gt;",$C$2:$C2809,"&lt;&gt;",$D$2:$D2809,"&lt;&gt;",$E$2:$E2809,"&lt;&gt;"),"00000"),""))</f>
        <v/>
      </c>
      <c r="N2809" s="22"/>
    </row>
    <row r="2810" spans="1:14" x14ac:dyDescent="0.3">
      <c r="A2810" s="15" t="str">
        <f>IF(COUNTA($B2810:$E2810,$K2810)=0,"",IF(AND($B2810&lt;&gt;"",$C2810&lt;&gt;"",$D2810&lt;&gt;"",$E2810&lt;&gt;""),"TXS"&amp;TEXT(COUNTIFS($B$2:$B2810,"&lt;&gt;",$C$2:$C2810,"&lt;&gt;",$D$2:$D2810,"&lt;&gt;",$E$2:$E2810,"&lt;&gt;"),"00000"),""))</f>
        <v/>
      </c>
      <c r="N2810" s="22"/>
    </row>
    <row r="2811" spans="1:14" x14ac:dyDescent="0.3">
      <c r="A2811" s="15" t="str">
        <f>IF(COUNTA($B2811:$E2811,$K2811)=0,"",IF(AND($B2811&lt;&gt;"",$C2811&lt;&gt;"",$D2811&lt;&gt;"",$E2811&lt;&gt;""),"TXS"&amp;TEXT(COUNTIFS($B$2:$B2811,"&lt;&gt;",$C$2:$C2811,"&lt;&gt;",$D$2:$D2811,"&lt;&gt;",$E$2:$E2811,"&lt;&gt;"),"00000"),""))</f>
        <v/>
      </c>
      <c r="N2811" s="22"/>
    </row>
    <row r="2812" spans="1:14" x14ac:dyDescent="0.3">
      <c r="A2812" s="15" t="str">
        <f>IF(COUNTA($B2812:$E2812,$K2812)=0,"",IF(AND($B2812&lt;&gt;"",$C2812&lt;&gt;"",$D2812&lt;&gt;"",$E2812&lt;&gt;""),"TXS"&amp;TEXT(COUNTIFS($B$2:$B2812,"&lt;&gt;",$C$2:$C2812,"&lt;&gt;",$D$2:$D2812,"&lt;&gt;",$E$2:$E2812,"&lt;&gt;"),"00000"),""))</f>
        <v/>
      </c>
      <c r="N2812" s="22"/>
    </row>
    <row r="2813" spans="1:14" x14ac:dyDescent="0.3">
      <c r="A2813" s="15" t="str">
        <f>IF(COUNTA($B2813:$E2813,$K2813)=0,"",IF(AND($B2813&lt;&gt;"",$C2813&lt;&gt;"",$D2813&lt;&gt;"",$E2813&lt;&gt;""),"TXS"&amp;TEXT(COUNTIFS($B$2:$B2813,"&lt;&gt;",$C$2:$C2813,"&lt;&gt;",$D$2:$D2813,"&lt;&gt;",$E$2:$E2813,"&lt;&gt;"),"00000"),""))</f>
        <v/>
      </c>
      <c r="N2813" s="22"/>
    </row>
    <row r="2814" spans="1:14" x14ac:dyDescent="0.3">
      <c r="A2814" s="15" t="str">
        <f>IF(COUNTA($B2814:$E2814,$K2814)=0,"",IF(AND($B2814&lt;&gt;"",$C2814&lt;&gt;"",$D2814&lt;&gt;"",$E2814&lt;&gt;""),"TXS"&amp;TEXT(COUNTIFS($B$2:$B2814,"&lt;&gt;",$C$2:$C2814,"&lt;&gt;",$D$2:$D2814,"&lt;&gt;",$E$2:$E2814,"&lt;&gt;"),"00000"),""))</f>
        <v/>
      </c>
      <c r="N2814" s="22"/>
    </row>
    <row r="2815" spans="1:14" x14ac:dyDescent="0.3">
      <c r="A2815" s="15" t="str">
        <f>IF(COUNTA($B2815:$E2815,$K2815)=0,"",IF(AND($B2815&lt;&gt;"",$C2815&lt;&gt;"",$D2815&lt;&gt;"",$E2815&lt;&gt;""),"TXS"&amp;TEXT(COUNTIFS($B$2:$B2815,"&lt;&gt;",$C$2:$C2815,"&lt;&gt;",$D$2:$D2815,"&lt;&gt;",$E$2:$E2815,"&lt;&gt;"),"00000"),""))</f>
        <v/>
      </c>
      <c r="N2815" s="22"/>
    </row>
    <row r="2816" spans="1:14" x14ac:dyDescent="0.3">
      <c r="A2816" s="15" t="str">
        <f>IF(COUNTA($B2816:$E2816,$K2816)=0,"",IF(AND($B2816&lt;&gt;"",$C2816&lt;&gt;"",$D2816&lt;&gt;"",$E2816&lt;&gt;""),"TXS"&amp;TEXT(COUNTIFS($B$2:$B2816,"&lt;&gt;",$C$2:$C2816,"&lt;&gt;",$D$2:$D2816,"&lt;&gt;",$E$2:$E2816,"&lt;&gt;"),"00000"),""))</f>
        <v/>
      </c>
      <c r="N2816" s="22"/>
    </row>
    <row r="2817" spans="1:14" x14ac:dyDescent="0.3">
      <c r="A2817" s="15" t="str">
        <f>IF(COUNTA($B2817:$E2817,$K2817)=0,"",IF(AND($B2817&lt;&gt;"",$C2817&lt;&gt;"",$D2817&lt;&gt;"",$E2817&lt;&gt;""),"TXS"&amp;TEXT(COUNTIFS($B$2:$B2817,"&lt;&gt;",$C$2:$C2817,"&lt;&gt;",$D$2:$D2817,"&lt;&gt;",$E$2:$E2817,"&lt;&gt;"),"00000"),""))</f>
        <v/>
      </c>
      <c r="N2817" s="22"/>
    </row>
    <row r="2818" spans="1:14" x14ac:dyDescent="0.3">
      <c r="A2818" s="15" t="str">
        <f>IF(COUNTA($B2818:$E2818,$K2818)=0,"",IF(AND($B2818&lt;&gt;"",$C2818&lt;&gt;"",$D2818&lt;&gt;"",$E2818&lt;&gt;""),"TXS"&amp;TEXT(COUNTIFS($B$2:$B2818,"&lt;&gt;",$C$2:$C2818,"&lt;&gt;",$D$2:$D2818,"&lt;&gt;",$E$2:$E2818,"&lt;&gt;"),"00000"),""))</f>
        <v/>
      </c>
      <c r="N2818" s="22"/>
    </row>
    <row r="2819" spans="1:14" x14ac:dyDescent="0.3">
      <c r="A2819" s="15" t="str">
        <f>IF(COUNTA($B2819:$E2819,$K2819)=0,"",IF(AND($B2819&lt;&gt;"",$C2819&lt;&gt;"",$D2819&lt;&gt;"",$E2819&lt;&gt;""),"TXS"&amp;TEXT(COUNTIFS($B$2:$B2819,"&lt;&gt;",$C$2:$C2819,"&lt;&gt;",$D$2:$D2819,"&lt;&gt;",$E$2:$E2819,"&lt;&gt;"),"00000"),""))</f>
        <v/>
      </c>
      <c r="N2819" s="22"/>
    </row>
    <row r="2820" spans="1:14" x14ac:dyDescent="0.3">
      <c r="A2820" s="15" t="str">
        <f>IF(COUNTA($B2820:$E2820,$K2820)=0,"",IF(AND($B2820&lt;&gt;"",$C2820&lt;&gt;"",$D2820&lt;&gt;"",$E2820&lt;&gt;""),"TXS"&amp;TEXT(COUNTIFS($B$2:$B2820,"&lt;&gt;",$C$2:$C2820,"&lt;&gt;",$D$2:$D2820,"&lt;&gt;",$E$2:$E2820,"&lt;&gt;"),"00000"),""))</f>
        <v/>
      </c>
      <c r="N2820" s="22"/>
    </row>
    <row r="2821" spans="1:14" x14ac:dyDescent="0.3">
      <c r="A2821" s="15" t="str">
        <f>IF(COUNTA($B2821:$E2821,$K2821)=0,"",IF(AND($B2821&lt;&gt;"",$C2821&lt;&gt;"",$D2821&lt;&gt;"",$E2821&lt;&gt;""),"TXS"&amp;TEXT(COUNTIFS($B$2:$B2821,"&lt;&gt;",$C$2:$C2821,"&lt;&gt;",$D$2:$D2821,"&lt;&gt;",$E$2:$E2821,"&lt;&gt;"),"00000"),""))</f>
        <v/>
      </c>
      <c r="N2821" s="22"/>
    </row>
    <row r="2822" spans="1:14" x14ac:dyDescent="0.3">
      <c r="A2822" s="15" t="str">
        <f>IF(COUNTA($B2822:$E2822,$K2822)=0,"",IF(AND($B2822&lt;&gt;"",$C2822&lt;&gt;"",$D2822&lt;&gt;"",$E2822&lt;&gt;""),"TXS"&amp;TEXT(COUNTIFS($B$2:$B2822,"&lt;&gt;",$C$2:$C2822,"&lt;&gt;",$D$2:$D2822,"&lt;&gt;",$E$2:$E2822,"&lt;&gt;"),"00000"),""))</f>
        <v/>
      </c>
      <c r="N2822" s="22"/>
    </row>
    <row r="2823" spans="1:14" x14ac:dyDescent="0.3">
      <c r="A2823" s="15" t="str">
        <f>IF(COUNTA($B2823:$E2823,$K2823)=0,"",IF(AND($B2823&lt;&gt;"",$C2823&lt;&gt;"",$D2823&lt;&gt;"",$E2823&lt;&gt;""),"TXS"&amp;TEXT(COUNTIFS($B$2:$B2823,"&lt;&gt;",$C$2:$C2823,"&lt;&gt;",$D$2:$D2823,"&lt;&gt;",$E$2:$E2823,"&lt;&gt;"),"00000"),""))</f>
        <v/>
      </c>
      <c r="N2823" s="22"/>
    </row>
    <row r="2824" spans="1:14" x14ac:dyDescent="0.3">
      <c r="A2824" s="15" t="str">
        <f>IF(COUNTA($B2824:$E2824,$K2824)=0,"",IF(AND($B2824&lt;&gt;"",$C2824&lt;&gt;"",$D2824&lt;&gt;"",$E2824&lt;&gt;""),"TXS"&amp;TEXT(COUNTIFS($B$2:$B2824,"&lt;&gt;",$C$2:$C2824,"&lt;&gt;",$D$2:$D2824,"&lt;&gt;",$E$2:$E2824,"&lt;&gt;"),"00000"),""))</f>
        <v/>
      </c>
      <c r="N2824" s="22"/>
    </row>
    <row r="2825" spans="1:14" x14ac:dyDescent="0.3">
      <c r="A2825" s="15" t="str">
        <f>IF(COUNTA($B2825:$E2825,$K2825)=0,"",IF(AND($B2825&lt;&gt;"",$C2825&lt;&gt;"",$D2825&lt;&gt;"",$E2825&lt;&gt;""),"TXS"&amp;TEXT(COUNTIFS($B$2:$B2825,"&lt;&gt;",$C$2:$C2825,"&lt;&gt;",$D$2:$D2825,"&lt;&gt;",$E$2:$E2825,"&lt;&gt;"),"00000"),""))</f>
        <v/>
      </c>
      <c r="N2825" s="22"/>
    </row>
    <row r="2826" spans="1:14" x14ac:dyDescent="0.3">
      <c r="A2826" s="15" t="str">
        <f>IF(COUNTA($B2826:$E2826,$K2826)=0,"",IF(AND($B2826&lt;&gt;"",$C2826&lt;&gt;"",$D2826&lt;&gt;"",$E2826&lt;&gt;""),"TXS"&amp;TEXT(COUNTIFS($B$2:$B2826,"&lt;&gt;",$C$2:$C2826,"&lt;&gt;",$D$2:$D2826,"&lt;&gt;",$E$2:$E2826,"&lt;&gt;"),"00000"),""))</f>
        <v/>
      </c>
      <c r="N2826" s="22"/>
    </row>
    <row r="2827" spans="1:14" x14ac:dyDescent="0.3">
      <c r="A2827" s="15" t="str">
        <f>IF(COUNTA($B2827:$E2827,$K2827)=0,"",IF(AND($B2827&lt;&gt;"",$C2827&lt;&gt;"",$D2827&lt;&gt;"",$E2827&lt;&gt;""),"TXS"&amp;TEXT(COUNTIFS($B$2:$B2827,"&lt;&gt;",$C$2:$C2827,"&lt;&gt;",$D$2:$D2827,"&lt;&gt;",$E$2:$E2827,"&lt;&gt;"),"00000"),""))</f>
        <v/>
      </c>
      <c r="N2827" s="22"/>
    </row>
    <row r="2828" spans="1:14" x14ac:dyDescent="0.3">
      <c r="A2828" s="15" t="str">
        <f>IF(COUNTA($B2828:$E2828,$K2828)=0,"",IF(AND($B2828&lt;&gt;"",$C2828&lt;&gt;"",$D2828&lt;&gt;"",$E2828&lt;&gt;""),"TXS"&amp;TEXT(COUNTIFS($B$2:$B2828,"&lt;&gt;",$C$2:$C2828,"&lt;&gt;",$D$2:$D2828,"&lt;&gt;",$E$2:$E2828,"&lt;&gt;"),"00000"),""))</f>
        <v/>
      </c>
      <c r="N2828" s="22"/>
    </row>
    <row r="2829" spans="1:14" x14ac:dyDescent="0.3">
      <c r="A2829" s="15" t="str">
        <f>IF(COUNTA($B2829:$E2829,$K2829)=0,"",IF(AND($B2829&lt;&gt;"",$C2829&lt;&gt;"",$D2829&lt;&gt;"",$E2829&lt;&gt;""),"TXS"&amp;TEXT(COUNTIFS($B$2:$B2829,"&lt;&gt;",$C$2:$C2829,"&lt;&gt;",$D$2:$D2829,"&lt;&gt;",$E$2:$E2829,"&lt;&gt;"),"00000"),""))</f>
        <v/>
      </c>
      <c r="N2829" s="22"/>
    </row>
    <row r="2830" spans="1:14" x14ac:dyDescent="0.3">
      <c r="A2830" s="15" t="str">
        <f>IF(COUNTA($B2830:$E2830,$K2830)=0,"",IF(AND($B2830&lt;&gt;"",$C2830&lt;&gt;"",$D2830&lt;&gt;"",$E2830&lt;&gt;""),"TXS"&amp;TEXT(COUNTIFS($B$2:$B2830,"&lt;&gt;",$C$2:$C2830,"&lt;&gt;",$D$2:$D2830,"&lt;&gt;",$E$2:$E2830,"&lt;&gt;"),"00000"),""))</f>
        <v/>
      </c>
      <c r="N2830" s="22"/>
    </row>
    <row r="2831" spans="1:14" x14ac:dyDescent="0.3">
      <c r="A2831" s="15" t="str">
        <f>IF(COUNTA($B2831:$E2831,$K2831)=0,"",IF(AND($B2831&lt;&gt;"",$C2831&lt;&gt;"",$D2831&lt;&gt;"",$E2831&lt;&gt;""),"TXS"&amp;TEXT(COUNTIFS($B$2:$B2831,"&lt;&gt;",$C$2:$C2831,"&lt;&gt;",$D$2:$D2831,"&lt;&gt;",$E$2:$E2831,"&lt;&gt;"),"00000"),""))</f>
        <v/>
      </c>
      <c r="N2831" s="22"/>
    </row>
    <row r="2832" spans="1:14" x14ac:dyDescent="0.3">
      <c r="A2832" s="15" t="str">
        <f>IF(COUNTA($B2832:$E2832,$K2832)=0,"",IF(AND($B2832&lt;&gt;"",$C2832&lt;&gt;"",$D2832&lt;&gt;"",$E2832&lt;&gt;""),"TXS"&amp;TEXT(COUNTIFS($B$2:$B2832,"&lt;&gt;",$C$2:$C2832,"&lt;&gt;",$D$2:$D2832,"&lt;&gt;",$E$2:$E2832,"&lt;&gt;"),"00000"),""))</f>
        <v/>
      </c>
      <c r="N2832" s="22"/>
    </row>
    <row r="2833" spans="1:14" x14ac:dyDescent="0.3">
      <c r="A2833" s="15" t="str">
        <f>IF(COUNTA($B2833:$E2833,$K2833)=0,"",IF(AND($B2833&lt;&gt;"",$C2833&lt;&gt;"",$D2833&lt;&gt;"",$E2833&lt;&gt;""),"TXS"&amp;TEXT(COUNTIFS($B$2:$B2833,"&lt;&gt;",$C$2:$C2833,"&lt;&gt;",$D$2:$D2833,"&lt;&gt;",$E$2:$E2833,"&lt;&gt;"),"00000"),""))</f>
        <v/>
      </c>
      <c r="N2833" s="22"/>
    </row>
    <row r="2834" spans="1:14" x14ac:dyDescent="0.3">
      <c r="A2834" s="15" t="str">
        <f>IF(COUNTA($B2834:$E2834,$K2834)=0,"",IF(AND($B2834&lt;&gt;"",$C2834&lt;&gt;"",$D2834&lt;&gt;"",$E2834&lt;&gt;""),"TXS"&amp;TEXT(COUNTIFS($B$2:$B2834,"&lt;&gt;",$C$2:$C2834,"&lt;&gt;",$D$2:$D2834,"&lt;&gt;",$E$2:$E2834,"&lt;&gt;"),"00000"),""))</f>
        <v/>
      </c>
      <c r="N2834" s="22"/>
    </row>
    <row r="2835" spans="1:14" x14ac:dyDescent="0.3">
      <c r="A2835" s="15" t="str">
        <f>IF(COUNTA($B2835:$E2835,$K2835)=0,"",IF(AND($B2835&lt;&gt;"",$C2835&lt;&gt;"",$D2835&lt;&gt;"",$E2835&lt;&gt;""),"TXS"&amp;TEXT(COUNTIFS($B$2:$B2835,"&lt;&gt;",$C$2:$C2835,"&lt;&gt;",$D$2:$D2835,"&lt;&gt;",$E$2:$E2835,"&lt;&gt;"),"00000"),""))</f>
        <v/>
      </c>
      <c r="N2835" s="22"/>
    </row>
    <row r="2836" spans="1:14" x14ac:dyDescent="0.3">
      <c r="A2836" s="15" t="str">
        <f>IF(COUNTA($B2836:$E2836,$K2836)=0,"",IF(AND($B2836&lt;&gt;"",$C2836&lt;&gt;"",$D2836&lt;&gt;"",$E2836&lt;&gt;""),"TXS"&amp;TEXT(COUNTIFS($B$2:$B2836,"&lt;&gt;",$C$2:$C2836,"&lt;&gt;",$D$2:$D2836,"&lt;&gt;",$E$2:$E2836,"&lt;&gt;"),"00000"),""))</f>
        <v/>
      </c>
      <c r="N2836" s="22"/>
    </row>
    <row r="2837" spans="1:14" x14ac:dyDescent="0.3">
      <c r="A2837" s="15" t="str">
        <f>IF(COUNTA($B2837:$E2837,$K2837)=0,"",IF(AND($B2837&lt;&gt;"",$C2837&lt;&gt;"",$D2837&lt;&gt;"",$E2837&lt;&gt;""),"TXS"&amp;TEXT(COUNTIFS($B$2:$B2837,"&lt;&gt;",$C$2:$C2837,"&lt;&gt;",$D$2:$D2837,"&lt;&gt;",$E$2:$E2837,"&lt;&gt;"),"00000"),""))</f>
        <v/>
      </c>
      <c r="N2837" s="22"/>
    </row>
    <row r="2838" spans="1:14" x14ac:dyDescent="0.3">
      <c r="A2838" s="15" t="str">
        <f>IF(COUNTA($B2838:$E2838,$K2838)=0,"",IF(AND($B2838&lt;&gt;"",$C2838&lt;&gt;"",$D2838&lt;&gt;"",$E2838&lt;&gt;""),"TXS"&amp;TEXT(COUNTIFS($B$2:$B2838,"&lt;&gt;",$C$2:$C2838,"&lt;&gt;",$D$2:$D2838,"&lt;&gt;",$E$2:$E2838,"&lt;&gt;"),"00000"),""))</f>
        <v/>
      </c>
      <c r="N2838" s="22"/>
    </row>
    <row r="2839" spans="1:14" x14ac:dyDescent="0.3">
      <c r="A2839" s="15" t="str">
        <f>IF(COUNTA($B2839:$E2839,$K2839)=0,"",IF(AND($B2839&lt;&gt;"",$C2839&lt;&gt;"",$D2839&lt;&gt;"",$E2839&lt;&gt;""),"TXS"&amp;TEXT(COUNTIFS($B$2:$B2839,"&lt;&gt;",$C$2:$C2839,"&lt;&gt;",$D$2:$D2839,"&lt;&gt;",$E$2:$E2839,"&lt;&gt;"),"00000"),""))</f>
        <v/>
      </c>
      <c r="N2839" s="22"/>
    </row>
    <row r="2840" spans="1:14" x14ac:dyDescent="0.3">
      <c r="A2840" s="15" t="str">
        <f>IF(COUNTA($B2840:$E2840,$K2840)=0,"",IF(AND($B2840&lt;&gt;"",$C2840&lt;&gt;"",$D2840&lt;&gt;"",$E2840&lt;&gt;""),"TXS"&amp;TEXT(COUNTIFS($B$2:$B2840,"&lt;&gt;",$C$2:$C2840,"&lt;&gt;",$D$2:$D2840,"&lt;&gt;",$E$2:$E2840,"&lt;&gt;"),"00000"),""))</f>
        <v/>
      </c>
      <c r="N2840" s="22"/>
    </row>
    <row r="2841" spans="1:14" x14ac:dyDescent="0.3">
      <c r="A2841" s="15" t="str">
        <f>IF(COUNTA($B2841:$E2841,$K2841)=0,"",IF(AND($B2841&lt;&gt;"",$C2841&lt;&gt;"",$D2841&lt;&gt;"",$E2841&lt;&gt;""),"TXS"&amp;TEXT(COUNTIFS($B$2:$B2841,"&lt;&gt;",$C$2:$C2841,"&lt;&gt;",$D$2:$D2841,"&lt;&gt;",$E$2:$E2841,"&lt;&gt;"),"00000"),""))</f>
        <v/>
      </c>
      <c r="N2841" s="22"/>
    </row>
    <row r="2842" spans="1:14" x14ac:dyDescent="0.3">
      <c r="A2842" s="15" t="str">
        <f>IF(COUNTA($B2842:$E2842,$K2842)=0,"",IF(AND($B2842&lt;&gt;"",$C2842&lt;&gt;"",$D2842&lt;&gt;"",$E2842&lt;&gt;""),"TXS"&amp;TEXT(COUNTIFS($B$2:$B2842,"&lt;&gt;",$C$2:$C2842,"&lt;&gt;",$D$2:$D2842,"&lt;&gt;",$E$2:$E2842,"&lt;&gt;"),"00000"),""))</f>
        <v/>
      </c>
      <c r="N2842" s="22"/>
    </row>
    <row r="2843" spans="1:14" x14ac:dyDescent="0.3">
      <c r="A2843" s="15" t="str">
        <f>IF(COUNTA($B2843:$E2843,$K2843)=0,"",IF(AND($B2843&lt;&gt;"",$C2843&lt;&gt;"",$D2843&lt;&gt;"",$E2843&lt;&gt;""),"TXS"&amp;TEXT(COUNTIFS($B$2:$B2843,"&lt;&gt;",$C$2:$C2843,"&lt;&gt;",$D$2:$D2843,"&lt;&gt;",$E$2:$E2843,"&lt;&gt;"),"00000"),""))</f>
        <v/>
      </c>
      <c r="N2843" s="22"/>
    </row>
    <row r="2844" spans="1:14" x14ac:dyDescent="0.3">
      <c r="A2844" s="15" t="str">
        <f>IF(COUNTA($B2844:$E2844,$K2844)=0,"",IF(AND($B2844&lt;&gt;"",$C2844&lt;&gt;"",$D2844&lt;&gt;"",$E2844&lt;&gt;""),"TXS"&amp;TEXT(COUNTIFS($B$2:$B2844,"&lt;&gt;",$C$2:$C2844,"&lt;&gt;",$D$2:$D2844,"&lt;&gt;",$E$2:$E2844,"&lt;&gt;"),"00000"),""))</f>
        <v/>
      </c>
      <c r="N2844" s="22"/>
    </row>
    <row r="2845" spans="1:14" x14ac:dyDescent="0.3">
      <c r="A2845" s="15" t="str">
        <f>IF(COUNTA($B2845:$E2845,$K2845)=0,"",IF(AND($B2845&lt;&gt;"",$C2845&lt;&gt;"",$D2845&lt;&gt;"",$E2845&lt;&gt;""),"TXS"&amp;TEXT(COUNTIFS($B$2:$B2845,"&lt;&gt;",$C$2:$C2845,"&lt;&gt;",$D$2:$D2845,"&lt;&gt;",$E$2:$E2845,"&lt;&gt;"),"00000"),""))</f>
        <v/>
      </c>
      <c r="N2845" s="22"/>
    </row>
    <row r="2846" spans="1:14" x14ac:dyDescent="0.3">
      <c r="A2846" s="15" t="str">
        <f>IF(COUNTA($B2846:$E2846,$K2846)=0,"",IF(AND($B2846&lt;&gt;"",$C2846&lt;&gt;"",$D2846&lt;&gt;"",$E2846&lt;&gt;""),"TXS"&amp;TEXT(COUNTIFS($B$2:$B2846,"&lt;&gt;",$C$2:$C2846,"&lt;&gt;",$D$2:$D2846,"&lt;&gt;",$E$2:$E2846,"&lt;&gt;"),"00000"),""))</f>
        <v/>
      </c>
      <c r="N2846" s="22"/>
    </row>
    <row r="2847" spans="1:14" x14ac:dyDescent="0.3">
      <c r="A2847" s="15" t="str">
        <f>IF(COUNTA($B2847:$E2847,$K2847)=0,"",IF(AND($B2847&lt;&gt;"",$C2847&lt;&gt;"",$D2847&lt;&gt;"",$E2847&lt;&gt;""),"TXS"&amp;TEXT(COUNTIFS($B$2:$B2847,"&lt;&gt;",$C$2:$C2847,"&lt;&gt;",$D$2:$D2847,"&lt;&gt;",$E$2:$E2847,"&lt;&gt;"),"00000"),""))</f>
        <v/>
      </c>
      <c r="N2847" s="22"/>
    </row>
    <row r="2848" spans="1:14" x14ac:dyDescent="0.3">
      <c r="A2848" s="15" t="str">
        <f>IF(COUNTA($B2848:$E2848,$K2848)=0,"",IF(AND($B2848&lt;&gt;"",$C2848&lt;&gt;"",$D2848&lt;&gt;"",$E2848&lt;&gt;""),"TXS"&amp;TEXT(COUNTIFS($B$2:$B2848,"&lt;&gt;",$C$2:$C2848,"&lt;&gt;",$D$2:$D2848,"&lt;&gt;",$E$2:$E2848,"&lt;&gt;"),"00000"),""))</f>
        <v/>
      </c>
      <c r="N2848" s="22"/>
    </row>
    <row r="2849" spans="1:14" x14ac:dyDescent="0.3">
      <c r="A2849" s="15" t="str">
        <f>IF(COUNTA($B2849:$E2849,$K2849)=0,"",IF(AND($B2849&lt;&gt;"",$C2849&lt;&gt;"",$D2849&lt;&gt;"",$E2849&lt;&gt;""),"TXS"&amp;TEXT(COUNTIFS($B$2:$B2849,"&lt;&gt;",$C$2:$C2849,"&lt;&gt;",$D$2:$D2849,"&lt;&gt;",$E$2:$E2849,"&lt;&gt;"),"00000"),""))</f>
        <v/>
      </c>
      <c r="N2849" s="22"/>
    </row>
    <row r="2850" spans="1:14" x14ac:dyDescent="0.3">
      <c r="A2850" s="15" t="str">
        <f>IF(COUNTA($B2850:$E2850,$K2850)=0,"",IF(AND($B2850&lt;&gt;"",$C2850&lt;&gt;"",$D2850&lt;&gt;"",$E2850&lt;&gt;""),"TXS"&amp;TEXT(COUNTIFS($B$2:$B2850,"&lt;&gt;",$C$2:$C2850,"&lt;&gt;",$D$2:$D2850,"&lt;&gt;",$E$2:$E2850,"&lt;&gt;"),"00000"),""))</f>
        <v/>
      </c>
      <c r="N2850" s="22"/>
    </row>
    <row r="2851" spans="1:14" x14ac:dyDescent="0.3">
      <c r="A2851" s="15" t="str">
        <f>IF(COUNTA($B2851:$E2851,$K2851)=0,"",IF(AND($B2851&lt;&gt;"",$C2851&lt;&gt;"",$D2851&lt;&gt;"",$E2851&lt;&gt;""),"TXS"&amp;TEXT(COUNTIFS($B$2:$B2851,"&lt;&gt;",$C$2:$C2851,"&lt;&gt;",$D$2:$D2851,"&lt;&gt;",$E$2:$E2851,"&lt;&gt;"),"00000"),""))</f>
        <v/>
      </c>
      <c r="N2851" s="22"/>
    </row>
    <row r="2852" spans="1:14" x14ac:dyDescent="0.3">
      <c r="A2852" s="15" t="str">
        <f>IF(COUNTA($B2852:$E2852,$K2852)=0,"",IF(AND($B2852&lt;&gt;"",$C2852&lt;&gt;"",$D2852&lt;&gt;"",$E2852&lt;&gt;""),"TXS"&amp;TEXT(COUNTIFS($B$2:$B2852,"&lt;&gt;",$C$2:$C2852,"&lt;&gt;",$D$2:$D2852,"&lt;&gt;",$E$2:$E2852,"&lt;&gt;"),"00000"),""))</f>
        <v/>
      </c>
      <c r="N2852" s="22"/>
    </row>
    <row r="2853" spans="1:14" x14ac:dyDescent="0.3">
      <c r="A2853" s="15" t="str">
        <f>IF(COUNTA($B2853:$E2853,$K2853)=0,"",IF(AND($B2853&lt;&gt;"",$C2853&lt;&gt;"",$D2853&lt;&gt;"",$E2853&lt;&gt;""),"TXS"&amp;TEXT(COUNTIFS($B$2:$B2853,"&lt;&gt;",$C$2:$C2853,"&lt;&gt;",$D$2:$D2853,"&lt;&gt;",$E$2:$E2853,"&lt;&gt;"),"00000"),""))</f>
        <v/>
      </c>
      <c r="N2853" s="22"/>
    </row>
    <row r="2854" spans="1:14" x14ac:dyDescent="0.3">
      <c r="A2854" s="15" t="str">
        <f>IF(COUNTA($B2854:$E2854,$K2854)=0,"",IF(AND($B2854&lt;&gt;"",$C2854&lt;&gt;"",$D2854&lt;&gt;"",$E2854&lt;&gt;""),"TXS"&amp;TEXT(COUNTIFS($B$2:$B2854,"&lt;&gt;",$C$2:$C2854,"&lt;&gt;",$D$2:$D2854,"&lt;&gt;",$E$2:$E2854,"&lt;&gt;"),"00000"),""))</f>
        <v/>
      </c>
      <c r="N2854" s="22"/>
    </row>
    <row r="2855" spans="1:14" x14ac:dyDescent="0.3">
      <c r="A2855" s="15" t="str">
        <f>IF(COUNTA($B2855:$E2855,$K2855)=0,"",IF(AND($B2855&lt;&gt;"",$C2855&lt;&gt;"",$D2855&lt;&gt;"",$E2855&lt;&gt;""),"TXS"&amp;TEXT(COUNTIFS($B$2:$B2855,"&lt;&gt;",$C$2:$C2855,"&lt;&gt;",$D$2:$D2855,"&lt;&gt;",$E$2:$E2855,"&lt;&gt;"),"00000"),""))</f>
        <v/>
      </c>
      <c r="N2855" s="22"/>
    </row>
    <row r="2856" spans="1:14" x14ac:dyDescent="0.3">
      <c r="A2856" s="15" t="str">
        <f>IF(COUNTA($B2856:$E2856,$K2856)=0,"",IF(AND($B2856&lt;&gt;"",$C2856&lt;&gt;"",$D2856&lt;&gt;"",$E2856&lt;&gt;""),"TXS"&amp;TEXT(COUNTIFS($B$2:$B2856,"&lt;&gt;",$C$2:$C2856,"&lt;&gt;",$D$2:$D2856,"&lt;&gt;",$E$2:$E2856,"&lt;&gt;"),"00000"),""))</f>
        <v/>
      </c>
      <c r="N2856" s="22"/>
    </row>
    <row r="2857" spans="1:14" x14ac:dyDescent="0.3">
      <c r="A2857" s="15" t="str">
        <f>IF(COUNTA($B2857:$E2857,$K2857)=0,"",IF(AND($B2857&lt;&gt;"",$C2857&lt;&gt;"",$D2857&lt;&gt;"",$E2857&lt;&gt;""),"TXS"&amp;TEXT(COUNTIFS($B$2:$B2857,"&lt;&gt;",$C$2:$C2857,"&lt;&gt;",$D$2:$D2857,"&lt;&gt;",$E$2:$E2857,"&lt;&gt;"),"00000"),""))</f>
        <v/>
      </c>
      <c r="N2857" s="22"/>
    </row>
    <row r="2858" spans="1:14" x14ac:dyDescent="0.3">
      <c r="A2858" s="15" t="str">
        <f>IF(COUNTA($B2858:$E2858,$K2858)=0,"",IF(AND($B2858&lt;&gt;"",$C2858&lt;&gt;"",$D2858&lt;&gt;"",$E2858&lt;&gt;""),"TXS"&amp;TEXT(COUNTIFS($B$2:$B2858,"&lt;&gt;",$C$2:$C2858,"&lt;&gt;",$D$2:$D2858,"&lt;&gt;",$E$2:$E2858,"&lt;&gt;"),"00000"),""))</f>
        <v/>
      </c>
      <c r="N2858" s="22"/>
    </row>
    <row r="2859" spans="1:14" x14ac:dyDescent="0.3">
      <c r="A2859" s="15" t="str">
        <f>IF(COUNTA($B2859:$E2859,$K2859)=0,"",IF(AND($B2859&lt;&gt;"",$C2859&lt;&gt;"",$D2859&lt;&gt;"",$E2859&lt;&gt;""),"TXS"&amp;TEXT(COUNTIFS($B$2:$B2859,"&lt;&gt;",$C$2:$C2859,"&lt;&gt;",$D$2:$D2859,"&lt;&gt;",$E$2:$E2859,"&lt;&gt;"),"00000"),""))</f>
        <v/>
      </c>
      <c r="N2859" s="22"/>
    </row>
    <row r="2860" spans="1:14" x14ac:dyDescent="0.3">
      <c r="A2860" s="15" t="str">
        <f>IF(COUNTA($B2860:$E2860,$K2860)=0,"",IF(AND($B2860&lt;&gt;"",$C2860&lt;&gt;"",$D2860&lt;&gt;"",$E2860&lt;&gt;""),"TXS"&amp;TEXT(COUNTIFS($B$2:$B2860,"&lt;&gt;",$C$2:$C2860,"&lt;&gt;",$D$2:$D2860,"&lt;&gt;",$E$2:$E2860,"&lt;&gt;"),"00000"),""))</f>
        <v/>
      </c>
      <c r="N2860" s="22"/>
    </row>
    <row r="2861" spans="1:14" x14ac:dyDescent="0.3">
      <c r="A2861" s="15" t="str">
        <f>IF(COUNTA($B2861:$E2861,$K2861)=0,"",IF(AND($B2861&lt;&gt;"",$C2861&lt;&gt;"",$D2861&lt;&gt;"",$E2861&lt;&gt;""),"TXS"&amp;TEXT(COUNTIFS($B$2:$B2861,"&lt;&gt;",$C$2:$C2861,"&lt;&gt;",$D$2:$D2861,"&lt;&gt;",$E$2:$E2861,"&lt;&gt;"),"00000"),""))</f>
        <v/>
      </c>
      <c r="N2861" s="22"/>
    </row>
    <row r="2862" spans="1:14" x14ac:dyDescent="0.3">
      <c r="A2862" s="15" t="str">
        <f>IF(COUNTA($B2862:$E2862,$K2862)=0,"",IF(AND($B2862&lt;&gt;"",$C2862&lt;&gt;"",$D2862&lt;&gt;"",$E2862&lt;&gt;""),"TXS"&amp;TEXT(COUNTIFS($B$2:$B2862,"&lt;&gt;",$C$2:$C2862,"&lt;&gt;",$D$2:$D2862,"&lt;&gt;",$E$2:$E2862,"&lt;&gt;"),"00000"),""))</f>
        <v/>
      </c>
      <c r="N2862" s="22"/>
    </row>
    <row r="2863" spans="1:14" x14ac:dyDescent="0.3">
      <c r="A2863" s="15" t="str">
        <f>IF(COUNTA($B2863:$E2863,$K2863)=0,"",IF(AND($B2863&lt;&gt;"",$C2863&lt;&gt;"",$D2863&lt;&gt;"",$E2863&lt;&gt;""),"TXS"&amp;TEXT(COUNTIFS($B$2:$B2863,"&lt;&gt;",$C$2:$C2863,"&lt;&gt;",$D$2:$D2863,"&lt;&gt;",$E$2:$E2863,"&lt;&gt;"),"00000"),""))</f>
        <v/>
      </c>
      <c r="N2863" s="22"/>
    </row>
    <row r="2864" spans="1:14" x14ac:dyDescent="0.3">
      <c r="A2864" s="15" t="str">
        <f>IF(COUNTA($B2864:$E2864,$K2864)=0,"",IF(AND($B2864&lt;&gt;"",$C2864&lt;&gt;"",$D2864&lt;&gt;"",$E2864&lt;&gt;""),"TXS"&amp;TEXT(COUNTIFS($B$2:$B2864,"&lt;&gt;",$C$2:$C2864,"&lt;&gt;",$D$2:$D2864,"&lt;&gt;",$E$2:$E2864,"&lt;&gt;"),"00000"),""))</f>
        <v/>
      </c>
      <c r="N2864" s="22"/>
    </row>
    <row r="2865" spans="1:14" x14ac:dyDescent="0.3">
      <c r="A2865" s="15" t="str">
        <f>IF(COUNTA($B2865:$E2865,$K2865)=0,"",IF(AND($B2865&lt;&gt;"",$C2865&lt;&gt;"",$D2865&lt;&gt;"",$E2865&lt;&gt;""),"TXS"&amp;TEXT(COUNTIFS($B$2:$B2865,"&lt;&gt;",$C$2:$C2865,"&lt;&gt;",$D$2:$D2865,"&lt;&gt;",$E$2:$E2865,"&lt;&gt;"),"00000"),""))</f>
        <v/>
      </c>
      <c r="N2865" s="22"/>
    </row>
    <row r="2866" spans="1:14" x14ac:dyDescent="0.3">
      <c r="A2866" s="15" t="str">
        <f>IF(COUNTA($B2866:$E2866,$K2866)=0,"",IF(AND($B2866&lt;&gt;"",$C2866&lt;&gt;"",$D2866&lt;&gt;"",$E2866&lt;&gt;""),"TXS"&amp;TEXT(COUNTIFS($B$2:$B2866,"&lt;&gt;",$C$2:$C2866,"&lt;&gt;",$D$2:$D2866,"&lt;&gt;",$E$2:$E2866,"&lt;&gt;"),"00000"),""))</f>
        <v/>
      </c>
      <c r="N2866" s="22"/>
    </row>
    <row r="2867" spans="1:14" x14ac:dyDescent="0.3">
      <c r="A2867" s="15" t="str">
        <f>IF(COUNTA($B2867:$E2867,$K2867)=0,"",IF(AND($B2867&lt;&gt;"",$C2867&lt;&gt;"",$D2867&lt;&gt;"",$E2867&lt;&gt;""),"TXS"&amp;TEXT(COUNTIFS($B$2:$B2867,"&lt;&gt;",$C$2:$C2867,"&lt;&gt;",$D$2:$D2867,"&lt;&gt;",$E$2:$E2867,"&lt;&gt;"),"00000"),""))</f>
        <v/>
      </c>
      <c r="N2867" s="22"/>
    </row>
    <row r="2868" spans="1:14" x14ac:dyDescent="0.3">
      <c r="A2868" s="15" t="str">
        <f>IF(COUNTA($B2868:$E2868,$K2868)=0,"",IF(AND($B2868&lt;&gt;"",$C2868&lt;&gt;"",$D2868&lt;&gt;"",$E2868&lt;&gt;""),"TXS"&amp;TEXT(COUNTIFS($B$2:$B2868,"&lt;&gt;",$C$2:$C2868,"&lt;&gt;",$D$2:$D2868,"&lt;&gt;",$E$2:$E2868,"&lt;&gt;"),"00000"),""))</f>
        <v/>
      </c>
      <c r="N2868" s="22"/>
    </row>
    <row r="2869" spans="1:14" x14ac:dyDescent="0.3">
      <c r="A2869" s="15" t="str">
        <f>IF(COUNTA($B2869:$E2869,$K2869)=0,"",IF(AND($B2869&lt;&gt;"",$C2869&lt;&gt;"",$D2869&lt;&gt;"",$E2869&lt;&gt;""),"TXS"&amp;TEXT(COUNTIFS($B$2:$B2869,"&lt;&gt;",$C$2:$C2869,"&lt;&gt;",$D$2:$D2869,"&lt;&gt;",$E$2:$E2869,"&lt;&gt;"),"00000"),""))</f>
        <v/>
      </c>
      <c r="N2869" s="22"/>
    </row>
    <row r="2870" spans="1:14" x14ac:dyDescent="0.3">
      <c r="A2870" s="15" t="str">
        <f>IF(COUNTA($B2870:$E2870,$K2870)=0,"",IF(AND($B2870&lt;&gt;"",$C2870&lt;&gt;"",$D2870&lt;&gt;"",$E2870&lt;&gt;""),"TXS"&amp;TEXT(COUNTIFS($B$2:$B2870,"&lt;&gt;",$C$2:$C2870,"&lt;&gt;",$D$2:$D2870,"&lt;&gt;",$E$2:$E2870,"&lt;&gt;"),"00000"),""))</f>
        <v/>
      </c>
      <c r="N2870" s="22"/>
    </row>
    <row r="2871" spans="1:14" x14ac:dyDescent="0.3">
      <c r="A2871" s="15" t="str">
        <f>IF(COUNTA($B2871:$E2871,$K2871)=0,"",IF(AND($B2871&lt;&gt;"",$C2871&lt;&gt;"",$D2871&lt;&gt;"",$E2871&lt;&gt;""),"TXS"&amp;TEXT(COUNTIFS($B$2:$B2871,"&lt;&gt;",$C$2:$C2871,"&lt;&gt;",$D$2:$D2871,"&lt;&gt;",$E$2:$E2871,"&lt;&gt;"),"00000"),""))</f>
        <v/>
      </c>
      <c r="N2871" s="22"/>
    </row>
    <row r="2872" spans="1:14" x14ac:dyDescent="0.3">
      <c r="A2872" s="15" t="str">
        <f>IF(COUNTA($B2872:$E2872,$K2872)=0,"",IF(AND($B2872&lt;&gt;"",$C2872&lt;&gt;"",$D2872&lt;&gt;"",$E2872&lt;&gt;""),"TXS"&amp;TEXT(COUNTIFS($B$2:$B2872,"&lt;&gt;",$C$2:$C2872,"&lt;&gt;",$D$2:$D2872,"&lt;&gt;",$E$2:$E2872,"&lt;&gt;"),"00000"),""))</f>
        <v/>
      </c>
      <c r="N2872" s="22"/>
    </row>
    <row r="2873" spans="1:14" x14ac:dyDescent="0.3">
      <c r="A2873" s="15" t="str">
        <f>IF(COUNTA($B2873:$E2873,$K2873)=0,"",IF(AND($B2873&lt;&gt;"",$C2873&lt;&gt;"",$D2873&lt;&gt;"",$E2873&lt;&gt;""),"TXS"&amp;TEXT(COUNTIFS($B$2:$B2873,"&lt;&gt;",$C$2:$C2873,"&lt;&gt;",$D$2:$D2873,"&lt;&gt;",$E$2:$E2873,"&lt;&gt;"),"00000"),""))</f>
        <v/>
      </c>
      <c r="N2873" s="22"/>
    </row>
    <row r="2874" spans="1:14" x14ac:dyDescent="0.3">
      <c r="A2874" s="15" t="str">
        <f>IF(COUNTA($B2874:$E2874,$K2874)=0,"",IF(AND($B2874&lt;&gt;"",$C2874&lt;&gt;"",$D2874&lt;&gt;"",$E2874&lt;&gt;""),"TXS"&amp;TEXT(COUNTIFS($B$2:$B2874,"&lt;&gt;",$C$2:$C2874,"&lt;&gt;",$D$2:$D2874,"&lt;&gt;",$E$2:$E2874,"&lt;&gt;"),"00000"),""))</f>
        <v/>
      </c>
      <c r="N2874" s="22"/>
    </row>
    <row r="2875" spans="1:14" x14ac:dyDescent="0.3">
      <c r="A2875" s="15" t="str">
        <f>IF(COUNTA($B2875:$E2875,$K2875)=0,"",IF(AND($B2875&lt;&gt;"",$C2875&lt;&gt;"",$D2875&lt;&gt;"",$E2875&lt;&gt;""),"TXS"&amp;TEXT(COUNTIFS($B$2:$B2875,"&lt;&gt;",$C$2:$C2875,"&lt;&gt;",$D$2:$D2875,"&lt;&gt;",$E$2:$E2875,"&lt;&gt;"),"00000"),""))</f>
        <v/>
      </c>
      <c r="N2875" s="22"/>
    </row>
    <row r="2876" spans="1:14" x14ac:dyDescent="0.3">
      <c r="A2876" s="15" t="str">
        <f>IF(COUNTA($B2876:$E2876,$K2876)=0,"",IF(AND($B2876&lt;&gt;"",$C2876&lt;&gt;"",$D2876&lt;&gt;"",$E2876&lt;&gt;""),"TXS"&amp;TEXT(COUNTIFS($B$2:$B2876,"&lt;&gt;",$C$2:$C2876,"&lt;&gt;",$D$2:$D2876,"&lt;&gt;",$E$2:$E2876,"&lt;&gt;"),"00000"),""))</f>
        <v/>
      </c>
      <c r="N2876" s="22"/>
    </row>
    <row r="2877" spans="1:14" x14ac:dyDescent="0.3">
      <c r="A2877" s="15" t="str">
        <f>IF(COUNTA($B2877:$E2877,$K2877)=0,"",IF(AND($B2877&lt;&gt;"",$C2877&lt;&gt;"",$D2877&lt;&gt;"",$E2877&lt;&gt;""),"TXS"&amp;TEXT(COUNTIFS($B$2:$B2877,"&lt;&gt;",$C$2:$C2877,"&lt;&gt;",$D$2:$D2877,"&lt;&gt;",$E$2:$E2877,"&lt;&gt;"),"00000"),""))</f>
        <v/>
      </c>
      <c r="N2877" s="22"/>
    </row>
    <row r="2878" spans="1:14" x14ac:dyDescent="0.3">
      <c r="A2878" s="15" t="str">
        <f>IF(COUNTA($B2878:$E2878,$K2878)=0,"",IF(AND($B2878&lt;&gt;"",$C2878&lt;&gt;"",$D2878&lt;&gt;"",$E2878&lt;&gt;""),"TXS"&amp;TEXT(COUNTIFS($B$2:$B2878,"&lt;&gt;",$C$2:$C2878,"&lt;&gt;",$D$2:$D2878,"&lt;&gt;",$E$2:$E2878,"&lt;&gt;"),"00000"),""))</f>
        <v/>
      </c>
      <c r="N2878" s="22"/>
    </row>
    <row r="2879" spans="1:14" x14ac:dyDescent="0.3">
      <c r="A2879" s="15" t="str">
        <f>IF(COUNTA($B2879:$E2879,$K2879)=0,"",IF(AND($B2879&lt;&gt;"",$C2879&lt;&gt;"",$D2879&lt;&gt;"",$E2879&lt;&gt;""),"TXS"&amp;TEXT(COUNTIFS($B$2:$B2879,"&lt;&gt;",$C$2:$C2879,"&lt;&gt;",$D$2:$D2879,"&lt;&gt;",$E$2:$E2879,"&lt;&gt;"),"00000"),""))</f>
        <v/>
      </c>
      <c r="N2879" s="22"/>
    </row>
    <row r="2880" spans="1:14" x14ac:dyDescent="0.3">
      <c r="A2880" s="15" t="str">
        <f>IF(COUNTA($B2880:$E2880,$K2880)=0,"",IF(AND($B2880&lt;&gt;"",$C2880&lt;&gt;"",$D2880&lt;&gt;"",$E2880&lt;&gt;""),"TXS"&amp;TEXT(COUNTIFS($B$2:$B2880,"&lt;&gt;",$C$2:$C2880,"&lt;&gt;",$D$2:$D2880,"&lt;&gt;",$E$2:$E2880,"&lt;&gt;"),"00000"),""))</f>
        <v/>
      </c>
      <c r="N2880" s="22"/>
    </row>
    <row r="2881" spans="1:14" x14ac:dyDescent="0.3">
      <c r="A2881" s="15" t="str">
        <f>IF(COUNTA($B2881:$E2881,$K2881)=0,"",IF(AND($B2881&lt;&gt;"",$C2881&lt;&gt;"",$D2881&lt;&gt;"",$E2881&lt;&gt;""),"TXS"&amp;TEXT(COUNTIFS($B$2:$B2881,"&lt;&gt;",$C$2:$C2881,"&lt;&gt;",$D$2:$D2881,"&lt;&gt;",$E$2:$E2881,"&lt;&gt;"),"00000"),""))</f>
        <v/>
      </c>
      <c r="N2881" s="22"/>
    </row>
    <row r="2882" spans="1:14" x14ac:dyDescent="0.3">
      <c r="A2882" s="15" t="str">
        <f>IF(COUNTA($B2882:$E2882,$K2882)=0,"",IF(AND($B2882&lt;&gt;"",$C2882&lt;&gt;"",$D2882&lt;&gt;"",$E2882&lt;&gt;""),"TXS"&amp;TEXT(COUNTIFS($B$2:$B2882,"&lt;&gt;",$C$2:$C2882,"&lt;&gt;",$D$2:$D2882,"&lt;&gt;",$E$2:$E2882,"&lt;&gt;"),"00000"),""))</f>
        <v/>
      </c>
      <c r="N2882" s="22"/>
    </row>
    <row r="2883" spans="1:14" x14ac:dyDescent="0.3">
      <c r="A2883" s="15" t="str">
        <f>IF(COUNTA($B2883:$E2883,$K2883)=0,"",IF(AND($B2883&lt;&gt;"",$C2883&lt;&gt;"",$D2883&lt;&gt;"",$E2883&lt;&gt;""),"TXS"&amp;TEXT(COUNTIFS($B$2:$B2883,"&lt;&gt;",$C$2:$C2883,"&lt;&gt;",$D$2:$D2883,"&lt;&gt;",$E$2:$E2883,"&lt;&gt;"),"00000"),""))</f>
        <v/>
      </c>
      <c r="N2883" s="22"/>
    </row>
    <row r="2884" spans="1:14" x14ac:dyDescent="0.3">
      <c r="A2884" s="15" t="str">
        <f>IF(COUNTA($B2884:$E2884,$K2884)=0,"",IF(AND($B2884&lt;&gt;"",$C2884&lt;&gt;"",$D2884&lt;&gt;"",$E2884&lt;&gt;""),"TXS"&amp;TEXT(COUNTIFS($B$2:$B2884,"&lt;&gt;",$C$2:$C2884,"&lt;&gt;",$D$2:$D2884,"&lt;&gt;",$E$2:$E2884,"&lt;&gt;"),"00000"),""))</f>
        <v/>
      </c>
      <c r="N2884" s="22"/>
    </row>
    <row r="2885" spans="1:14" x14ac:dyDescent="0.3">
      <c r="A2885" s="15" t="str">
        <f>IF(COUNTA($B2885:$E2885,$K2885)=0,"",IF(AND($B2885&lt;&gt;"",$C2885&lt;&gt;"",$D2885&lt;&gt;"",$E2885&lt;&gt;""),"TXS"&amp;TEXT(COUNTIFS($B$2:$B2885,"&lt;&gt;",$C$2:$C2885,"&lt;&gt;",$D$2:$D2885,"&lt;&gt;",$E$2:$E2885,"&lt;&gt;"),"00000"),""))</f>
        <v/>
      </c>
      <c r="N2885" s="22"/>
    </row>
    <row r="2886" spans="1:14" x14ac:dyDescent="0.3">
      <c r="A2886" s="15" t="str">
        <f>IF(COUNTA($B2886:$E2886,$K2886)=0,"",IF(AND($B2886&lt;&gt;"",$C2886&lt;&gt;"",$D2886&lt;&gt;"",$E2886&lt;&gt;""),"TXS"&amp;TEXT(COUNTIFS($B$2:$B2886,"&lt;&gt;",$C$2:$C2886,"&lt;&gt;",$D$2:$D2886,"&lt;&gt;",$E$2:$E2886,"&lt;&gt;"),"00000"),""))</f>
        <v/>
      </c>
      <c r="N2886" s="22"/>
    </row>
    <row r="2887" spans="1:14" x14ac:dyDescent="0.3">
      <c r="A2887" s="15" t="str">
        <f>IF(COUNTA($B2887:$E2887,$K2887)=0,"",IF(AND($B2887&lt;&gt;"",$C2887&lt;&gt;"",$D2887&lt;&gt;"",$E2887&lt;&gt;""),"TXS"&amp;TEXT(COUNTIFS($B$2:$B2887,"&lt;&gt;",$C$2:$C2887,"&lt;&gt;",$D$2:$D2887,"&lt;&gt;",$E$2:$E2887,"&lt;&gt;"),"00000"),""))</f>
        <v/>
      </c>
      <c r="N2887" s="22"/>
    </row>
    <row r="2888" spans="1:14" x14ac:dyDescent="0.3">
      <c r="A2888" s="15" t="str">
        <f>IF(COUNTA($B2888:$E2888,$K2888)=0,"",IF(AND($B2888&lt;&gt;"",$C2888&lt;&gt;"",$D2888&lt;&gt;"",$E2888&lt;&gt;""),"TXS"&amp;TEXT(COUNTIFS($B$2:$B2888,"&lt;&gt;",$C$2:$C2888,"&lt;&gt;",$D$2:$D2888,"&lt;&gt;",$E$2:$E2888,"&lt;&gt;"),"00000"),""))</f>
        <v/>
      </c>
      <c r="N2888" s="22"/>
    </row>
    <row r="2889" spans="1:14" x14ac:dyDescent="0.3">
      <c r="A2889" s="15" t="str">
        <f>IF(COUNTA($B2889:$E2889,$K2889)=0,"",IF(AND($B2889&lt;&gt;"",$C2889&lt;&gt;"",$D2889&lt;&gt;"",$E2889&lt;&gt;""),"TXS"&amp;TEXT(COUNTIFS($B$2:$B2889,"&lt;&gt;",$C$2:$C2889,"&lt;&gt;",$D$2:$D2889,"&lt;&gt;",$E$2:$E2889,"&lt;&gt;"),"00000"),""))</f>
        <v/>
      </c>
      <c r="N2889" s="22"/>
    </row>
    <row r="2890" spans="1:14" x14ac:dyDescent="0.3">
      <c r="A2890" s="15" t="str">
        <f>IF(COUNTA($B2890:$E2890,$K2890)=0,"",IF(AND($B2890&lt;&gt;"",$C2890&lt;&gt;"",$D2890&lt;&gt;"",$E2890&lt;&gt;""),"TXS"&amp;TEXT(COUNTIFS($B$2:$B2890,"&lt;&gt;",$C$2:$C2890,"&lt;&gt;",$D$2:$D2890,"&lt;&gt;",$E$2:$E2890,"&lt;&gt;"),"00000"),""))</f>
        <v/>
      </c>
      <c r="N2890" s="22"/>
    </row>
    <row r="2891" spans="1:14" x14ac:dyDescent="0.3">
      <c r="A2891" s="15" t="str">
        <f>IF(COUNTA($B2891:$E2891,$K2891)=0,"",IF(AND($B2891&lt;&gt;"",$C2891&lt;&gt;"",$D2891&lt;&gt;"",$E2891&lt;&gt;""),"TXS"&amp;TEXT(COUNTIFS($B$2:$B2891,"&lt;&gt;",$C$2:$C2891,"&lt;&gt;",$D$2:$D2891,"&lt;&gt;",$E$2:$E2891,"&lt;&gt;"),"00000"),""))</f>
        <v/>
      </c>
      <c r="N2891" s="22"/>
    </row>
    <row r="2892" spans="1:14" x14ac:dyDescent="0.3">
      <c r="A2892" s="15" t="str">
        <f>IF(COUNTA($B2892:$E2892,$K2892)=0,"",IF(AND($B2892&lt;&gt;"",$C2892&lt;&gt;"",$D2892&lt;&gt;"",$E2892&lt;&gt;""),"TXS"&amp;TEXT(COUNTIFS($B$2:$B2892,"&lt;&gt;",$C$2:$C2892,"&lt;&gt;",$D$2:$D2892,"&lt;&gt;",$E$2:$E2892,"&lt;&gt;"),"00000"),""))</f>
        <v/>
      </c>
      <c r="N2892" s="22"/>
    </row>
    <row r="2893" spans="1:14" x14ac:dyDescent="0.3">
      <c r="A2893" s="15" t="str">
        <f>IF(COUNTA($B2893:$E2893,$K2893)=0,"",IF(AND($B2893&lt;&gt;"",$C2893&lt;&gt;"",$D2893&lt;&gt;"",$E2893&lt;&gt;""),"TXS"&amp;TEXT(COUNTIFS($B$2:$B2893,"&lt;&gt;",$C$2:$C2893,"&lt;&gt;",$D$2:$D2893,"&lt;&gt;",$E$2:$E2893,"&lt;&gt;"),"00000"),""))</f>
        <v/>
      </c>
      <c r="N2893" s="22"/>
    </row>
    <row r="2894" spans="1:14" x14ac:dyDescent="0.3">
      <c r="A2894" s="15" t="str">
        <f>IF(COUNTA($B2894:$E2894,$K2894)=0,"",IF(AND($B2894&lt;&gt;"",$C2894&lt;&gt;"",$D2894&lt;&gt;"",$E2894&lt;&gt;""),"TXS"&amp;TEXT(COUNTIFS($B$2:$B2894,"&lt;&gt;",$C$2:$C2894,"&lt;&gt;",$D$2:$D2894,"&lt;&gt;",$E$2:$E2894,"&lt;&gt;"),"00000"),""))</f>
        <v/>
      </c>
      <c r="N2894" s="22"/>
    </row>
    <row r="2895" spans="1:14" x14ac:dyDescent="0.3">
      <c r="A2895" s="15" t="str">
        <f>IF(COUNTA($B2895:$E2895,$K2895)=0,"",IF(AND($B2895&lt;&gt;"",$C2895&lt;&gt;"",$D2895&lt;&gt;"",$E2895&lt;&gt;""),"TXS"&amp;TEXT(COUNTIFS($B$2:$B2895,"&lt;&gt;",$C$2:$C2895,"&lt;&gt;",$D$2:$D2895,"&lt;&gt;",$E$2:$E2895,"&lt;&gt;"),"00000"),""))</f>
        <v/>
      </c>
      <c r="N2895" s="22"/>
    </row>
    <row r="2896" spans="1:14" x14ac:dyDescent="0.3">
      <c r="A2896" s="15" t="str">
        <f>IF(COUNTA($B2896:$E2896,$K2896)=0,"",IF(AND($B2896&lt;&gt;"",$C2896&lt;&gt;"",$D2896&lt;&gt;"",$E2896&lt;&gt;""),"TXS"&amp;TEXT(COUNTIFS($B$2:$B2896,"&lt;&gt;",$C$2:$C2896,"&lt;&gt;",$D$2:$D2896,"&lt;&gt;",$E$2:$E2896,"&lt;&gt;"),"00000"),""))</f>
        <v/>
      </c>
      <c r="N2896" s="22"/>
    </row>
    <row r="2897" spans="1:14" x14ac:dyDescent="0.3">
      <c r="A2897" s="15" t="str">
        <f>IF(COUNTA($B2897:$E2897,$K2897)=0,"",IF(AND($B2897&lt;&gt;"",$C2897&lt;&gt;"",$D2897&lt;&gt;"",$E2897&lt;&gt;""),"TXS"&amp;TEXT(COUNTIFS($B$2:$B2897,"&lt;&gt;",$C$2:$C2897,"&lt;&gt;",$D$2:$D2897,"&lt;&gt;",$E$2:$E2897,"&lt;&gt;"),"00000"),""))</f>
        <v/>
      </c>
      <c r="N2897" s="22"/>
    </row>
    <row r="2898" spans="1:14" x14ac:dyDescent="0.3">
      <c r="A2898" s="15" t="str">
        <f>IF(COUNTA($B2898:$E2898,$K2898)=0,"",IF(AND($B2898&lt;&gt;"",$C2898&lt;&gt;"",$D2898&lt;&gt;"",$E2898&lt;&gt;""),"TXS"&amp;TEXT(COUNTIFS($B$2:$B2898,"&lt;&gt;",$C$2:$C2898,"&lt;&gt;",$D$2:$D2898,"&lt;&gt;",$E$2:$E2898,"&lt;&gt;"),"00000"),""))</f>
        <v/>
      </c>
      <c r="N2898" s="22"/>
    </row>
    <row r="2899" spans="1:14" x14ac:dyDescent="0.3">
      <c r="A2899" s="15" t="str">
        <f>IF(COUNTA($B2899:$E2899,$K2899)=0,"",IF(AND($B2899&lt;&gt;"",$C2899&lt;&gt;"",$D2899&lt;&gt;"",$E2899&lt;&gt;""),"TXS"&amp;TEXT(COUNTIFS($B$2:$B2899,"&lt;&gt;",$C$2:$C2899,"&lt;&gt;",$D$2:$D2899,"&lt;&gt;",$E$2:$E2899,"&lt;&gt;"),"00000"),""))</f>
        <v/>
      </c>
      <c r="N2899" s="22"/>
    </row>
    <row r="2900" spans="1:14" x14ac:dyDescent="0.3">
      <c r="A2900" s="15" t="str">
        <f>IF(COUNTA($B2900:$E2900,$K2900)=0,"",IF(AND($B2900&lt;&gt;"",$C2900&lt;&gt;"",$D2900&lt;&gt;"",$E2900&lt;&gt;""),"TXS"&amp;TEXT(COUNTIFS($B$2:$B2900,"&lt;&gt;",$C$2:$C2900,"&lt;&gt;",$D$2:$D2900,"&lt;&gt;",$E$2:$E2900,"&lt;&gt;"),"00000"),""))</f>
        <v/>
      </c>
      <c r="N2900" s="22"/>
    </row>
    <row r="2901" spans="1:14" x14ac:dyDescent="0.3">
      <c r="A2901" s="15" t="str">
        <f>IF(COUNTA($B2901:$E2901,$K2901)=0,"",IF(AND($B2901&lt;&gt;"",$C2901&lt;&gt;"",$D2901&lt;&gt;"",$E2901&lt;&gt;""),"TXS"&amp;TEXT(COUNTIFS($B$2:$B2901,"&lt;&gt;",$C$2:$C2901,"&lt;&gt;",$D$2:$D2901,"&lt;&gt;",$E$2:$E2901,"&lt;&gt;"),"00000"),""))</f>
        <v/>
      </c>
      <c r="N2901" s="22"/>
    </row>
    <row r="2902" spans="1:14" x14ac:dyDescent="0.3">
      <c r="A2902" s="15" t="str">
        <f>IF(COUNTA($B2902:$E2902,$K2902)=0,"",IF(AND($B2902&lt;&gt;"",$C2902&lt;&gt;"",$D2902&lt;&gt;"",$E2902&lt;&gt;""),"TXS"&amp;TEXT(COUNTIFS($B$2:$B2902,"&lt;&gt;",$C$2:$C2902,"&lt;&gt;",$D$2:$D2902,"&lt;&gt;",$E$2:$E2902,"&lt;&gt;"),"00000"),""))</f>
        <v/>
      </c>
      <c r="N2902" s="22"/>
    </row>
    <row r="2903" spans="1:14" x14ac:dyDescent="0.3">
      <c r="A2903" s="15" t="str">
        <f>IF(COUNTA($B2903:$E2903,$K2903)=0,"",IF(AND($B2903&lt;&gt;"",$C2903&lt;&gt;"",$D2903&lt;&gt;"",$E2903&lt;&gt;""),"TXS"&amp;TEXT(COUNTIFS($B$2:$B2903,"&lt;&gt;",$C$2:$C2903,"&lt;&gt;",$D$2:$D2903,"&lt;&gt;",$E$2:$E2903,"&lt;&gt;"),"00000"),""))</f>
        <v/>
      </c>
      <c r="N2903" s="22"/>
    </row>
    <row r="2904" spans="1:14" x14ac:dyDescent="0.3">
      <c r="A2904" s="15" t="str">
        <f>IF(COUNTA($B2904:$E2904,$K2904)=0,"",IF(AND($B2904&lt;&gt;"",$C2904&lt;&gt;"",$D2904&lt;&gt;"",$E2904&lt;&gt;""),"TXS"&amp;TEXT(COUNTIFS($B$2:$B2904,"&lt;&gt;",$C$2:$C2904,"&lt;&gt;",$D$2:$D2904,"&lt;&gt;",$E$2:$E2904,"&lt;&gt;"),"00000"),""))</f>
        <v/>
      </c>
      <c r="N2904" s="22"/>
    </row>
    <row r="2905" spans="1:14" x14ac:dyDescent="0.3">
      <c r="A2905" s="15" t="str">
        <f>IF(COUNTA($B2905:$E2905,$K2905)=0,"",IF(AND($B2905&lt;&gt;"",$C2905&lt;&gt;"",$D2905&lt;&gt;"",$E2905&lt;&gt;""),"TXS"&amp;TEXT(COUNTIFS($B$2:$B2905,"&lt;&gt;",$C$2:$C2905,"&lt;&gt;",$D$2:$D2905,"&lt;&gt;",$E$2:$E2905,"&lt;&gt;"),"00000"),""))</f>
        <v/>
      </c>
      <c r="N2905" s="22"/>
    </row>
    <row r="2906" spans="1:14" x14ac:dyDescent="0.3">
      <c r="A2906" s="15" t="str">
        <f>IF(COUNTA($B2906:$E2906,$K2906)=0,"",IF(AND($B2906&lt;&gt;"",$C2906&lt;&gt;"",$D2906&lt;&gt;"",$E2906&lt;&gt;""),"TXS"&amp;TEXT(COUNTIFS($B$2:$B2906,"&lt;&gt;",$C$2:$C2906,"&lt;&gt;",$D$2:$D2906,"&lt;&gt;",$E$2:$E2906,"&lt;&gt;"),"00000"),""))</f>
        <v/>
      </c>
      <c r="N2906" s="22"/>
    </row>
    <row r="2907" spans="1:14" x14ac:dyDescent="0.3">
      <c r="A2907" s="15" t="str">
        <f>IF(COUNTA($B2907:$E2907,$K2907)=0,"",IF(AND($B2907&lt;&gt;"",$C2907&lt;&gt;"",$D2907&lt;&gt;"",$E2907&lt;&gt;""),"TXS"&amp;TEXT(COUNTIFS($B$2:$B2907,"&lt;&gt;",$C$2:$C2907,"&lt;&gt;",$D$2:$D2907,"&lt;&gt;",$E$2:$E2907,"&lt;&gt;"),"00000"),""))</f>
        <v/>
      </c>
      <c r="N2907" s="22"/>
    </row>
    <row r="2908" spans="1:14" x14ac:dyDescent="0.3">
      <c r="A2908" s="15" t="str">
        <f>IF(COUNTA($B2908:$E2908,$K2908)=0,"",IF(AND($B2908&lt;&gt;"",$C2908&lt;&gt;"",$D2908&lt;&gt;"",$E2908&lt;&gt;""),"TXS"&amp;TEXT(COUNTIFS($B$2:$B2908,"&lt;&gt;",$C$2:$C2908,"&lt;&gt;",$D$2:$D2908,"&lt;&gt;",$E$2:$E2908,"&lt;&gt;"),"00000"),""))</f>
        <v/>
      </c>
      <c r="N2908" s="22"/>
    </row>
    <row r="2909" spans="1:14" x14ac:dyDescent="0.3">
      <c r="A2909" s="15" t="str">
        <f>IF(COUNTA($B2909:$E2909,$K2909)=0,"",IF(AND($B2909&lt;&gt;"",$C2909&lt;&gt;"",$D2909&lt;&gt;"",$E2909&lt;&gt;""),"TXS"&amp;TEXT(COUNTIFS($B$2:$B2909,"&lt;&gt;",$C$2:$C2909,"&lt;&gt;",$D$2:$D2909,"&lt;&gt;",$E$2:$E2909,"&lt;&gt;"),"00000"),""))</f>
        <v/>
      </c>
      <c r="N2909" s="22"/>
    </row>
    <row r="2910" spans="1:14" x14ac:dyDescent="0.3">
      <c r="A2910" s="15" t="str">
        <f>IF(COUNTA($B2910:$E2910,$K2910)=0,"",IF(AND($B2910&lt;&gt;"",$C2910&lt;&gt;"",$D2910&lt;&gt;"",$E2910&lt;&gt;""),"TXS"&amp;TEXT(COUNTIFS($B$2:$B2910,"&lt;&gt;",$C$2:$C2910,"&lt;&gt;",$D$2:$D2910,"&lt;&gt;",$E$2:$E2910,"&lt;&gt;"),"00000"),""))</f>
        <v/>
      </c>
      <c r="N2910" s="22"/>
    </row>
    <row r="2911" spans="1:14" x14ac:dyDescent="0.3">
      <c r="A2911" s="15" t="str">
        <f>IF(COUNTA($B2911:$E2911,$K2911)=0,"",IF(AND($B2911&lt;&gt;"",$C2911&lt;&gt;"",$D2911&lt;&gt;"",$E2911&lt;&gt;""),"TXS"&amp;TEXT(COUNTIFS($B$2:$B2911,"&lt;&gt;",$C$2:$C2911,"&lt;&gt;",$D$2:$D2911,"&lt;&gt;",$E$2:$E2911,"&lt;&gt;"),"00000"),""))</f>
        <v/>
      </c>
      <c r="N2911" s="22"/>
    </row>
    <row r="2912" spans="1:14" x14ac:dyDescent="0.3">
      <c r="A2912" s="15" t="str">
        <f>IF(COUNTA($B2912:$E2912,$K2912)=0,"",IF(AND($B2912&lt;&gt;"",$C2912&lt;&gt;"",$D2912&lt;&gt;"",$E2912&lt;&gt;""),"TXS"&amp;TEXT(COUNTIFS($B$2:$B2912,"&lt;&gt;",$C$2:$C2912,"&lt;&gt;",$D$2:$D2912,"&lt;&gt;",$E$2:$E2912,"&lt;&gt;"),"00000"),""))</f>
        <v/>
      </c>
      <c r="N2912" s="22"/>
    </row>
    <row r="2913" spans="1:14" x14ac:dyDescent="0.3">
      <c r="A2913" s="15" t="str">
        <f>IF(COUNTA($B2913:$E2913,$K2913)=0,"",IF(AND($B2913&lt;&gt;"",$C2913&lt;&gt;"",$D2913&lt;&gt;"",$E2913&lt;&gt;""),"TXS"&amp;TEXT(COUNTIFS($B$2:$B2913,"&lt;&gt;",$C$2:$C2913,"&lt;&gt;",$D$2:$D2913,"&lt;&gt;",$E$2:$E2913,"&lt;&gt;"),"00000"),""))</f>
        <v/>
      </c>
      <c r="N2913" s="22"/>
    </row>
    <row r="2914" spans="1:14" x14ac:dyDescent="0.3">
      <c r="A2914" s="15" t="str">
        <f>IF(COUNTA($B2914:$E2914,$K2914)=0,"",IF(AND($B2914&lt;&gt;"",$C2914&lt;&gt;"",$D2914&lt;&gt;"",$E2914&lt;&gt;""),"TXS"&amp;TEXT(COUNTIFS($B$2:$B2914,"&lt;&gt;",$C$2:$C2914,"&lt;&gt;",$D$2:$D2914,"&lt;&gt;",$E$2:$E2914,"&lt;&gt;"),"00000"),""))</f>
        <v/>
      </c>
      <c r="N2914" s="22"/>
    </row>
    <row r="2915" spans="1:14" x14ac:dyDescent="0.3">
      <c r="A2915" s="15" t="str">
        <f>IF(COUNTA($B2915:$E2915,$K2915)=0,"",IF(AND($B2915&lt;&gt;"",$C2915&lt;&gt;"",$D2915&lt;&gt;"",$E2915&lt;&gt;""),"TXS"&amp;TEXT(COUNTIFS($B$2:$B2915,"&lt;&gt;",$C$2:$C2915,"&lt;&gt;",$D$2:$D2915,"&lt;&gt;",$E$2:$E2915,"&lt;&gt;"),"00000"),""))</f>
        <v/>
      </c>
      <c r="N2915" s="22"/>
    </row>
    <row r="2916" spans="1:14" x14ac:dyDescent="0.3">
      <c r="A2916" s="15" t="str">
        <f>IF(COUNTA($B2916:$E2916,$K2916)=0,"",IF(AND($B2916&lt;&gt;"",$C2916&lt;&gt;"",$D2916&lt;&gt;"",$E2916&lt;&gt;""),"TXS"&amp;TEXT(COUNTIFS($B$2:$B2916,"&lt;&gt;",$C$2:$C2916,"&lt;&gt;",$D$2:$D2916,"&lt;&gt;",$E$2:$E2916,"&lt;&gt;"),"00000"),""))</f>
        <v/>
      </c>
      <c r="N2916" s="22"/>
    </row>
    <row r="2917" spans="1:14" x14ac:dyDescent="0.3">
      <c r="A2917" s="15" t="str">
        <f>IF(COUNTA($B2917:$E2917,$K2917)=0,"",IF(AND($B2917&lt;&gt;"",$C2917&lt;&gt;"",$D2917&lt;&gt;"",$E2917&lt;&gt;""),"TXS"&amp;TEXT(COUNTIFS($B$2:$B2917,"&lt;&gt;",$C$2:$C2917,"&lt;&gt;",$D$2:$D2917,"&lt;&gt;",$E$2:$E2917,"&lt;&gt;"),"00000"),""))</f>
        <v/>
      </c>
      <c r="N2917" s="22"/>
    </row>
    <row r="2918" spans="1:14" x14ac:dyDescent="0.3">
      <c r="A2918" s="15" t="str">
        <f>IF(COUNTA($B2918:$E2918,$K2918)=0,"",IF(AND($B2918&lt;&gt;"",$C2918&lt;&gt;"",$D2918&lt;&gt;"",$E2918&lt;&gt;""),"TXS"&amp;TEXT(COUNTIFS($B$2:$B2918,"&lt;&gt;",$C$2:$C2918,"&lt;&gt;",$D$2:$D2918,"&lt;&gt;",$E$2:$E2918,"&lt;&gt;"),"00000"),""))</f>
        <v/>
      </c>
      <c r="N2918" s="22"/>
    </row>
    <row r="2919" spans="1:14" x14ac:dyDescent="0.3">
      <c r="A2919" s="15" t="str">
        <f>IF(COUNTA($B2919:$E2919,$K2919)=0,"",IF(AND($B2919&lt;&gt;"",$C2919&lt;&gt;"",$D2919&lt;&gt;"",$E2919&lt;&gt;""),"TXS"&amp;TEXT(COUNTIFS($B$2:$B2919,"&lt;&gt;",$C$2:$C2919,"&lt;&gt;",$D$2:$D2919,"&lt;&gt;",$E$2:$E2919,"&lt;&gt;"),"00000"),""))</f>
        <v/>
      </c>
      <c r="N2919" s="22"/>
    </row>
    <row r="2920" spans="1:14" x14ac:dyDescent="0.3">
      <c r="A2920" s="15" t="str">
        <f>IF(COUNTA($B2920:$E2920,$K2920)=0,"",IF(AND($B2920&lt;&gt;"",$C2920&lt;&gt;"",$D2920&lt;&gt;"",$E2920&lt;&gt;""),"TXS"&amp;TEXT(COUNTIFS($B$2:$B2920,"&lt;&gt;",$C$2:$C2920,"&lt;&gt;",$D$2:$D2920,"&lt;&gt;",$E$2:$E2920,"&lt;&gt;"),"00000"),""))</f>
        <v/>
      </c>
      <c r="N2920" s="22"/>
    </row>
    <row r="2921" spans="1:14" x14ac:dyDescent="0.3">
      <c r="A2921" s="15" t="str">
        <f>IF(COUNTA($B2921:$E2921,$K2921)=0,"",IF(AND($B2921&lt;&gt;"",$C2921&lt;&gt;"",$D2921&lt;&gt;"",$E2921&lt;&gt;""),"TXS"&amp;TEXT(COUNTIFS($B$2:$B2921,"&lt;&gt;",$C$2:$C2921,"&lt;&gt;",$D$2:$D2921,"&lt;&gt;",$E$2:$E2921,"&lt;&gt;"),"00000"),""))</f>
        <v/>
      </c>
      <c r="N2921" s="22"/>
    </row>
    <row r="2922" spans="1:14" x14ac:dyDescent="0.3">
      <c r="A2922" s="15" t="str">
        <f>IF(COUNTA($B2922:$E2922,$K2922)=0,"",IF(AND($B2922&lt;&gt;"",$C2922&lt;&gt;"",$D2922&lt;&gt;"",$E2922&lt;&gt;""),"TXS"&amp;TEXT(COUNTIFS($B$2:$B2922,"&lt;&gt;",$C$2:$C2922,"&lt;&gt;",$D$2:$D2922,"&lt;&gt;",$E$2:$E2922,"&lt;&gt;"),"00000"),""))</f>
        <v/>
      </c>
      <c r="N2922" s="22"/>
    </row>
    <row r="2923" spans="1:14" x14ac:dyDescent="0.3">
      <c r="A2923" s="15" t="str">
        <f>IF(COUNTA($B2923:$E2923,$K2923)=0,"",IF(AND($B2923&lt;&gt;"",$C2923&lt;&gt;"",$D2923&lt;&gt;"",$E2923&lt;&gt;""),"TXS"&amp;TEXT(COUNTIFS($B$2:$B2923,"&lt;&gt;",$C$2:$C2923,"&lt;&gt;",$D$2:$D2923,"&lt;&gt;",$E$2:$E2923,"&lt;&gt;"),"00000"),""))</f>
        <v/>
      </c>
      <c r="N2923" s="22"/>
    </row>
    <row r="2924" spans="1:14" x14ac:dyDescent="0.3">
      <c r="A2924" s="15" t="str">
        <f>IF(COUNTA($B2924:$E2924,$K2924)=0,"",IF(AND($B2924&lt;&gt;"",$C2924&lt;&gt;"",$D2924&lt;&gt;"",$E2924&lt;&gt;""),"TXS"&amp;TEXT(COUNTIFS($B$2:$B2924,"&lt;&gt;",$C$2:$C2924,"&lt;&gt;",$D$2:$D2924,"&lt;&gt;",$E$2:$E2924,"&lt;&gt;"),"00000"),""))</f>
        <v/>
      </c>
      <c r="N2924" s="22"/>
    </row>
    <row r="2925" spans="1:14" x14ac:dyDescent="0.3">
      <c r="A2925" s="15" t="str">
        <f>IF(COUNTA($B2925:$E2925,$K2925)=0,"",IF(AND($B2925&lt;&gt;"",$C2925&lt;&gt;"",$D2925&lt;&gt;"",$E2925&lt;&gt;""),"TXS"&amp;TEXT(COUNTIFS($B$2:$B2925,"&lt;&gt;",$C$2:$C2925,"&lt;&gt;",$D$2:$D2925,"&lt;&gt;",$E$2:$E2925,"&lt;&gt;"),"00000"),""))</f>
        <v/>
      </c>
      <c r="N2925" s="22"/>
    </row>
    <row r="2926" spans="1:14" x14ac:dyDescent="0.3">
      <c r="A2926" s="15" t="str">
        <f>IF(COUNTA($B2926:$E2926,$K2926)=0,"",IF(AND($B2926&lt;&gt;"",$C2926&lt;&gt;"",$D2926&lt;&gt;"",$E2926&lt;&gt;""),"TXS"&amp;TEXT(COUNTIFS($B$2:$B2926,"&lt;&gt;",$C$2:$C2926,"&lt;&gt;",$D$2:$D2926,"&lt;&gt;",$E$2:$E2926,"&lt;&gt;"),"00000"),""))</f>
        <v/>
      </c>
      <c r="N2926" s="22"/>
    </row>
    <row r="2927" spans="1:14" x14ac:dyDescent="0.3">
      <c r="A2927" s="15" t="str">
        <f>IF(COUNTA($B2927:$E2927,$K2927)=0,"",IF(AND($B2927&lt;&gt;"",$C2927&lt;&gt;"",$D2927&lt;&gt;"",$E2927&lt;&gt;""),"TXS"&amp;TEXT(COUNTIFS($B$2:$B2927,"&lt;&gt;",$C$2:$C2927,"&lt;&gt;",$D$2:$D2927,"&lt;&gt;",$E$2:$E2927,"&lt;&gt;"),"00000"),""))</f>
        <v/>
      </c>
      <c r="N2927" s="22"/>
    </row>
    <row r="2928" spans="1:14" x14ac:dyDescent="0.3">
      <c r="A2928" s="15" t="str">
        <f>IF(COUNTA($B2928:$E2928,$K2928)=0,"",IF(AND($B2928&lt;&gt;"",$C2928&lt;&gt;"",$D2928&lt;&gt;"",$E2928&lt;&gt;""),"TXS"&amp;TEXT(COUNTIFS($B$2:$B2928,"&lt;&gt;",$C$2:$C2928,"&lt;&gt;",$D$2:$D2928,"&lt;&gt;",$E$2:$E2928,"&lt;&gt;"),"00000"),""))</f>
        <v/>
      </c>
      <c r="N2928" s="22"/>
    </row>
    <row r="2929" spans="1:14" x14ac:dyDescent="0.3">
      <c r="A2929" s="15" t="str">
        <f>IF(COUNTA($B2929:$E2929,$K2929)=0,"",IF(AND($B2929&lt;&gt;"",$C2929&lt;&gt;"",$D2929&lt;&gt;"",$E2929&lt;&gt;""),"TXS"&amp;TEXT(COUNTIFS($B$2:$B2929,"&lt;&gt;",$C$2:$C2929,"&lt;&gt;",$D$2:$D2929,"&lt;&gt;",$E$2:$E2929,"&lt;&gt;"),"00000"),""))</f>
        <v/>
      </c>
      <c r="N2929" s="22"/>
    </row>
    <row r="2930" spans="1:14" x14ac:dyDescent="0.3">
      <c r="A2930" s="15" t="str">
        <f>IF(COUNTA($B2930:$E2930,$K2930)=0,"",IF(AND($B2930&lt;&gt;"",$C2930&lt;&gt;"",$D2930&lt;&gt;"",$E2930&lt;&gt;""),"TXS"&amp;TEXT(COUNTIFS($B$2:$B2930,"&lt;&gt;",$C$2:$C2930,"&lt;&gt;",$D$2:$D2930,"&lt;&gt;",$E$2:$E2930,"&lt;&gt;"),"00000"),""))</f>
        <v/>
      </c>
      <c r="N2930" s="22"/>
    </row>
    <row r="2931" spans="1:14" x14ac:dyDescent="0.3">
      <c r="A2931" s="15" t="str">
        <f>IF(COUNTA($B2931:$E2931,$K2931)=0,"",IF(AND($B2931&lt;&gt;"",$C2931&lt;&gt;"",$D2931&lt;&gt;"",$E2931&lt;&gt;""),"TXS"&amp;TEXT(COUNTIFS($B$2:$B2931,"&lt;&gt;",$C$2:$C2931,"&lt;&gt;",$D$2:$D2931,"&lt;&gt;",$E$2:$E2931,"&lt;&gt;"),"00000"),""))</f>
        <v/>
      </c>
      <c r="N2931" s="22"/>
    </row>
    <row r="2932" spans="1:14" x14ac:dyDescent="0.3">
      <c r="A2932" s="15" t="str">
        <f>IF(COUNTA($B2932:$E2932,$K2932)=0,"",IF(AND($B2932&lt;&gt;"",$C2932&lt;&gt;"",$D2932&lt;&gt;"",$E2932&lt;&gt;""),"TXS"&amp;TEXT(COUNTIFS($B$2:$B2932,"&lt;&gt;",$C$2:$C2932,"&lt;&gt;",$D$2:$D2932,"&lt;&gt;",$E$2:$E2932,"&lt;&gt;"),"00000"),""))</f>
        <v/>
      </c>
      <c r="N2932" s="22"/>
    </row>
    <row r="2933" spans="1:14" x14ac:dyDescent="0.3">
      <c r="A2933" s="15" t="str">
        <f>IF(COUNTA($B2933:$E2933,$K2933)=0,"",IF(AND($B2933&lt;&gt;"",$C2933&lt;&gt;"",$D2933&lt;&gt;"",$E2933&lt;&gt;""),"TXS"&amp;TEXT(COUNTIFS($B$2:$B2933,"&lt;&gt;",$C$2:$C2933,"&lt;&gt;",$D$2:$D2933,"&lt;&gt;",$E$2:$E2933,"&lt;&gt;"),"00000"),""))</f>
        <v/>
      </c>
      <c r="N2933" s="22"/>
    </row>
    <row r="2934" spans="1:14" x14ac:dyDescent="0.3">
      <c r="A2934" s="15" t="str">
        <f>IF(COUNTA($B2934:$E2934,$K2934)=0,"",IF(AND($B2934&lt;&gt;"",$C2934&lt;&gt;"",$D2934&lt;&gt;"",$E2934&lt;&gt;""),"TXS"&amp;TEXT(COUNTIFS($B$2:$B2934,"&lt;&gt;",$C$2:$C2934,"&lt;&gt;",$D$2:$D2934,"&lt;&gt;",$E$2:$E2934,"&lt;&gt;"),"00000"),""))</f>
        <v/>
      </c>
      <c r="N2934" s="22"/>
    </row>
    <row r="2935" spans="1:14" x14ac:dyDescent="0.3">
      <c r="A2935" s="15" t="str">
        <f>IF(COUNTA($B2935:$E2935,$K2935)=0,"",IF(AND($B2935&lt;&gt;"",$C2935&lt;&gt;"",$D2935&lt;&gt;"",$E2935&lt;&gt;""),"TXS"&amp;TEXT(COUNTIFS($B$2:$B2935,"&lt;&gt;",$C$2:$C2935,"&lt;&gt;",$D$2:$D2935,"&lt;&gt;",$E$2:$E2935,"&lt;&gt;"),"00000"),""))</f>
        <v/>
      </c>
      <c r="N2935" s="22"/>
    </row>
    <row r="2936" spans="1:14" x14ac:dyDescent="0.3">
      <c r="A2936" s="15" t="str">
        <f>IF(COUNTA($B2936:$E2936,$K2936)=0,"",IF(AND($B2936&lt;&gt;"",$C2936&lt;&gt;"",$D2936&lt;&gt;"",$E2936&lt;&gt;""),"TXS"&amp;TEXT(COUNTIFS($B$2:$B2936,"&lt;&gt;",$C$2:$C2936,"&lt;&gt;",$D$2:$D2936,"&lt;&gt;",$E$2:$E2936,"&lt;&gt;"),"00000"),""))</f>
        <v/>
      </c>
      <c r="N2936" s="22"/>
    </row>
    <row r="2937" spans="1:14" x14ac:dyDescent="0.3">
      <c r="A2937" s="15" t="str">
        <f>IF(COUNTA($B2937:$E2937,$K2937)=0,"",IF(AND($B2937&lt;&gt;"",$C2937&lt;&gt;"",$D2937&lt;&gt;"",$E2937&lt;&gt;""),"TXS"&amp;TEXT(COUNTIFS($B$2:$B2937,"&lt;&gt;",$C$2:$C2937,"&lt;&gt;",$D$2:$D2937,"&lt;&gt;",$E$2:$E2937,"&lt;&gt;"),"00000"),""))</f>
        <v/>
      </c>
      <c r="N2937" s="22"/>
    </row>
    <row r="2938" spans="1:14" x14ac:dyDescent="0.3">
      <c r="A2938" s="15" t="str">
        <f>IF(COUNTA($B2938:$E2938,$K2938)=0,"",IF(AND($B2938&lt;&gt;"",$C2938&lt;&gt;"",$D2938&lt;&gt;"",$E2938&lt;&gt;""),"TXS"&amp;TEXT(COUNTIFS($B$2:$B2938,"&lt;&gt;",$C$2:$C2938,"&lt;&gt;",$D$2:$D2938,"&lt;&gt;",$E$2:$E2938,"&lt;&gt;"),"00000"),""))</f>
        <v/>
      </c>
      <c r="N2938" s="22"/>
    </row>
    <row r="2939" spans="1:14" x14ac:dyDescent="0.3">
      <c r="A2939" s="15" t="str">
        <f>IF(COUNTA($B2939:$E2939,$K2939)=0,"",IF(AND($B2939&lt;&gt;"",$C2939&lt;&gt;"",$D2939&lt;&gt;"",$E2939&lt;&gt;""),"TXS"&amp;TEXT(COUNTIFS($B$2:$B2939,"&lt;&gt;",$C$2:$C2939,"&lt;&gt;",$D$2:$D2939,"&lt;&gt;",$E$2:$E2939,"&lt;&gt;"),"00000"),""))</f>
        <v/>
      </c>
      <c r="N2939" s="22"/>
    </row>
    <row r="2940" spans="1:14" x14ac:dyDescent="0.3">
      <c r="A2940" s="15" t="str">
        <f>IF(COUNTA($B2940:$E2940,$K2940)=0,"",IF(AND($B2940&lt;&gt;"",$C2940&lt;&gt;"",$D2940&lt;&gt;"",$E2940&lt;&gt;""),"TXS"&amp;TEXT(COUNTIFS($B$2:$B2940,"&lt;&gt;",$C$2:$C2940,"&lt;&gt;",$D$2:$D2940,"&lt;&gt;",$E$2:$E2940,"&lt;&gt;"),"00000"),""))</f>
        <v/>
      </c>
      <c r="N2940" s="22"/>
    </row>
    <row r="2941" spans="1:14" x14ac:dyDescent="0.3">
      <c r="A2941" s="15" t="str">
        <f>IF(COUNTA($B2941:$E2941,$K2941)=0,"",IF(AND($B2941&lt;&gt;"",$C2941&lt;&gt;"",$D2941&lt;&gt;"",$E2941&lt;&gt;""),"TXS"&amp;TEXT(COUNTIFS($B$2:$B2941,"&lt;&gt;",$C$2:$C2941,"&lt;&gt;",$D$2:$D2941,"&lt;&gt;",$E$2:$E2941,"&lt;&gt;"),"00000"),""))</f>
        <v/>
      </c>
      <c r="N2941" s="22"/>
    </row>
    <row r="2942" spans="1:14" x14ac:dyDescent="0.3">
      <c r="A2942" s="15" t="str">
        <f>IF(COUNTA($B2942:$E2942,$K2942)=0,"",IF(AND($B2942&lt;&gt;"",$C2942&lt;&gt;"",$D2942&lt;&gt;"",$E2942&lt;&gt;""),"TXS"&amp;TEXT(COUNTIFS($B$2:$B2942,"&lt;&gt;",$C$2:$C2942,"&lt;&gt;",$D$2:$D2942,"&lt;&gt;",$E$2:$E2942,"&lt;&gt;"),"00000"),""))</f>
        <v/>
      </c>
      <c r="N2942" s="22"/>
    </row>
    <row r="2943" spans="1:14" x14ac:dyDescent="0.3">
      <c r="A2943" s="15" t="str">
        <f>IF(COUNTA($B2943:$E2943,$K2943)=0,"",IF(AND($B2943&lt;&gt;"",$C2943&lt;&gt;"",$D2943&lt;&gt;"",$E2943&lt;&gt;""),"TXS"&amp;TEXT(COUNTIFS($B$2:$B2943,"&lt;&gt;",$C$2:$C2943,"&lt;&gt;",$D$2:$D2943,"&lt;&gt;",$E$2:$E2943,"&lt;&gt;"),"00000"),""))</f>
        <v/>
      </c>
      <c r="N2943" s="22"/>
    </row>
    <row r="2944" spans="1:14" x14ac:dyDescent="0.3">
      <c r="A2944" s="15" t="str">
        <f>IF(COUNTA($B2944:$E2944,$K2944)=0,"",IF(AND($B2944&lt;&gt;"",$C2944&lt;&gt;"",$D2944&lt;&gt;"",$E2944&lt;&gt;""),"TXS"&amp;TEXT(COUNTIFS($B$2:$B2944,"&lt;&gt;",$C$2:$C2944,"&lt;&gt;",$D$2:$D2944,"&lt;&gt;",$E$2:$E2944,"&lt;&gt;"),"00000"),""))</f>
        <v/>
      </c>
      <c r="N2944" s="22"/>
    </row>
    <row r="2945" spans="1:14" x14ac:dyDescent="0.3">
      <c r="A2945" s="15" t="str">
        <f>IF(COUNTA($B2945:$E2945,$K2945)=0,"",IF(AND($B2945&lt;&gt;"",$C2945&lt;&gt;"",$D2945&lt;&gt;"",$E2945&lt;&gt;""),"TXS"&amp;TEXT(COUNTIFS($B$2:$B2945,"&lt;&gt;",$C$2:$C2945,"&lt;&gt;",$D$2:$D2945,"&lt;&gt;",$E$2:$E2945,"&lt;&gt;"),"00000"),""))</f>
        <v/>
      </c>
      <c r="N2945" s="22"/>
    </row>
    <row r="2946" spans="1:14" x14ac:dyDescent="0.3">
      <c r="A2946" s="15" t="str">
        <f>IF(COUNTA($B2946:$E2946,$K2946)=0,"",IF(AND($B2946&lt;&gt;"",$C2946&lt;&gt;"",$D2946&lt;&gt;"",$E2946&lt;&gt;""),"TXS"&amp;TEXT(COUNTIFS($B$2:$B2946,"&lt;&gt;",$C$2:$C2946,"&lt;&gt;",$D$2:$D2946,"&lt;&gt;",$E$2:$E2946,"&lt;&gt;"),"00000"),""))</f>
        <v/>
      </c>
      <c r="N2946" s="22"/>
    </row>
    <row r="2947" spans="1:14" x14ac:dyDescent="0.3">
      <c r="A2947" s="15" t="str">
        <f>IF(COUNTA($B2947:$E2947,$K2947)=0,"",IF(AND($B2947&lt;&gt;"",$C2947&lt;&gt;"",$D2947&lt;&gt;"",$E2947&lt;&gt;""),"TXS"&amp;TEXT(COUNTIFS($B$2:$B2947,"&lt;&gt;",$C$2:$C2947,"&lt;&gt;",$D$2:$D2947,"&lt;&gt;",$E$2:$E2947,"&lt;&gt;"),"00000"),""))</f>
        <v/>
      </c>
      <c r="N2947" s="22"/>
    </row>
    <row r="2948" spans="1:14" x14ac:dyDescent="0.3">
      <c r="A2948" s="15" t="str">
        <f>IF(COUNTA($B2948:$E2948,$K2948)=0,"",IF(AND($B2948&lt;&gt;"",$C2948&lt;&gt;"",$D2948&lt;&gt;"",$E2948&lt;&gt;""),"TXS"&amp;TEXT(COUNTIFS($B$2:$B2948,"&lt;&gt;",$C$2:$C2948,"&lt;&gt;",$D$2:$D2948,"&lt;&gt;",$E$2:$E2948,"&lt;&gt;"),"00000"),""))</f>
        <v/>
      </c>
      <c r="N2948" s="22"/>
    </row>
    <row r="2949" spans="1:14" x14ac:dyDescent="0.3">
      <c r="A2949" s="15" t="str">
        <f>IF(COUNTA($B2949:$E2949,$K2949)=0,"",IF(AND($B2949&lt;&gt;"",$C2949&lt;&gt;"",$D2949&lt;&gt;"",$E2949&lt;&gt;""),"TXS"&amp;TEXT(COUNTIFS($B$2:$B2949,"&lt;&gt;",$C$2:$C2949,"&lt;&gt;",$D$2:$D2949,"&lt;&gt;",$E$2:$E2949,"&lt;&gt;"),"00000"),""))</f>
        <v/>
      </c>
      <c r="N2949" s="22"/>
    </row>
    <row r="2950" spans="1:14" x14ac:dyDescent="0.3">
      <c r="A2950" s="15" t="str">
        <f>IF(COUNTA($B2950:$E2950,$K2950)=0,"",IF(AND($B2950&lt;&gt;"",$C2950&lt;&gt;"",$D2950&lt;&gt;"",$E2950&lt;&gt;""),"TXS"&amp;TEXT(COUNTIFS($B$2:$B2950,"&lt;&gt;",$C$2:$C2950,"&lt;&gt;",$D$2:$D2950,"&lt;&gt;",$E$2:$E2950,"&lt;&gt;"),"00000"),""))</f>
        <v/>
      </c>
      <c r="N2950" s="22"/>
    </row>
    <row r="2951" spans="1:14" x14ac:dyDescent="0.3">
      <c r="A2951" s="15" t="str">
        <f>IF(COUNTA($B2951:$E2951,$K2951)=0,"",IF(AND($B2951&lt;&gt;"",$C2951&lt;&gt;"",$D2951&lt;&gt;"",$E2951&lt;&gt;""),"TXS"&amp;TEXT(COUNTIFS($B$2:$B2951,"&lt;&gt;",$C$2:$C2951,"&lt;&gt;",$D$2:$D2951,"&lt;&gt;",$E$2:$E2951,"&lt;&gt;"),"00000"),""))</f>
        <v/>
      </c>
      <c r="N2951" s="22"/>
    </row>
    <row r="2952" spans="1:14" x14ac:dyDescent="0.3">
      <c r="A2952" s="15" t="str">
        <f>IF(COUNTA($B2952:$E2952,$K2952)=0,"",IF(AND($B2952&lt;&gt;"",$C2952&lt;&gt;"",$D2952&lt;&gt;"",$E2952&lt;&gt;""),"TXS"&amp;TEXT(COUNTIFS($B$2:$B2952,"&lt;&gt;",$C$2:$C2952,"&lt;&gt;",$D$2:$D2952,"&lt;&gt;",$E$2:$E2952,"&lt;&gt;"),"00000"),""))</f>
        <v/>
      </c>
      <c r="N2952" s="22"/>
    </row>
    <row r="2953" spans="1:14" x14ac:dyDescent="0.3">
      <c r="A2953" s="15" t="str">
        <f>IF(COUNTA($B2953:$E2953,$K2953)=0,"",IF(AND($B2953&lt;&gt;"",$C2953&lt;&gt;"",$D2953&lt;&gt;"",$E2953&lt;&gt;""),"TXS"&amp;TEXT(COUNTIFS($B$2:$B2953,"&lt;&gt;",$C$2:$C2953,"&lt;&gt;",$D$2:$D2953,"&lt;&gt;",$E$2:$E2953,"&lt;&gt;"),"00000"),""))</f>
        <v/>
      </c>
      <c r="N2953" s="22"/>
    </row>
    <row r="2954" spans="1:14" x14ac:dyDescent="0.3">
      <c r="A2954" s="15" t="str">
        <f>IF(COUNTA($B2954:$E2954,$K2954)=0,"",IF(AND($B2954&lt;&gt;"",$C2954&lt;&gt;"",$D2954&lt;&gt;"",$E2954&lt;&gt;""),"TXS"&amp;TEXT(COUNTIFS($B$2:$B2954,"&lt;&gt;",$C$2:$C2954,"&lt;&gt;",$D$2:$D2954,"&lt;&gt;",$E$2:$E2954,"&lt;&gt;"),"00000"),""))</f>
        <v/>
      </c>
      <c r="N2954" s="22"/>
    </row>
    <row r="2955" spans="1:14" x14ac:dyDescent="0.3">
      <c r="A2955" s="15" t="str">
        <f>IF(COUNTA($B2955:$E2955,$K2955)=0,"",IF(AND($B2955&lt;&gt;"",$C2955&lt;&gt;"",$D2955&lt;&gt;"",$E2955&lt;&gt;""),"TXS"&amp;TEXT(COUNTIFS($B$2:$B2955,"&lt;&gt;",$C$2:$C2955,"&lt;&gt;",$D$2:$D2955,"&lt;&gt;",$E$2:$E2955,"&lt;&gt;"),"00000"),""))</f>
        <v/>
      </c>
      <c r="N2955" s="22"/>
    </row>
    <row r="2956" spans="1:14" x14ac:dyDescent="0.3">
      <c r="A2956" s="15" t="str">
        <f>IF(COUNTA($B2956:$E2956,$K2956)=0,"",IF(AND($B2956&lt;&gt;"",$C2956&lt;&gt;"",$D2956&lt;&gt;"",$E2956&lt;&gt;""),"TXS"&amp;TEXT(COUNTIFS($B$2:$B2956,"&lt;&gt;",$C$2:$C2956,"&lt;&gt;",$D$2:$D2956,"&lt;&gt;",$E$2:$E2956,"&lt;&gt;"),"00000"),""))</f>
        <v/>
      </c>
      <c r="N2956" s="22"/>
    </row>
    <row r="2957" spans="1:14" x14ac:dyDescent="0.3">
      <c r="A2957" s="15" t="str">
        <f>IF(COUNTA($B2957:$E2957,$K2957)=0,"",IF(AND($B2957&lt;&gt;"",$C2957&lt;&gt;"",$D2957&lt;&gt;"",$E2957&lt;&gt;""),"TXS"&amp;TEXT(COUNTIFS($B$2:$B2957,"&lt;&gt;",$C$2:$C2957,"&lt;&gt;",$D$2:$D2957,"&lt;&gt;",$E$2:$E2957,"&lt;&gt;"),"00000"),""))</f>
        <v/>
      </c>
      <c r="N2957" s="22"/>
    </row>
    <row r="2958" spans="1:14" x14ac:dyDescent="0.3">
      <c r="A2958" s="15" t="str">
        <f>IF(COUNTA($B2958:$E2958,$K2958)=0,"",IF(AND($B2958&lt;&gt;"",$C2958&lt;&gt;"",$D2958&lt;&gt;"",$E2958&lt;&gt;""),"TXS"&amp;TEXT(COUNTIFS($B$2:$B2958,"&lt;&gt;",$C$2:$C2958,"&lt;&gt;",$D$2:$D2958,"&lt;&gt;",$E$2:$E2958,"&lt;&gt;"),"00000"),""))</f>
        <v/>
      </c>
      <c r="N2958" s="22"/>
    </row>
    <row r="2959" spans="1:14" x14ac:dyDescent="0.3">
      <c r="A2959" s="15" t="str">
        <f>IF(COUNTA($B2959:$E2959,$K2959)=0,"",IF(AND($B2959&lt;&gt;"",$C2959&lt;&gt;"",$D2959&lt;&gt;"",$E2959&lt;&gt;""),"TXS"&amp;TEXT(COUNTIFS($B$2:$B2959,"&lt;&gt;",$C$2:$C2959,"&lt;&gt;",$D$2:$D2959,"&lt;&gt;",$E$2:$E2959,"&lt;&gt;"),"00000"),""))</f>
        <v/>
      </c>
      <c r="N2959" s="22"/>
    </row>
    <row r="2960" spans="1:14" x14ac:dyDescent="0.3">
      <c r="A2960" s="15" t="str">
        <f>IF(COUNTA($B2960:$E2960,$K2960)=0,"",IF(AND($B2960&lt;&gt;"",$C2960&lt;&gt;"",$D2960&lt;&gt;"",$E2960&lt;&gt;""),"TXS"&amp;TEXT(COUNTIFS($B$2:$B2960,"&lt;&gt;",$C$2:$C2960,"&lt;&gt;",$D$2:$D2960,"&lt;&gt;",$E$2:$E2960,"&lt;&gt;"),"00000"),""))</f>
        <v/>
      </c>
      <c r="N2960" s="22"/>
    </row>
    <row r="2961" spans="1:14" x14ac:dyDescent="0.3">
      <c r="A2961" s="15" t="str">
        <f>IF(COUNTA($B2961:$E2961,$K2961)=0,"",IF(AND($B2961&lt;&gt;"",$C2961&lt;&gt;"",$D2961&lt;&gt;"",$E2961&lt;&gt;""),"TXS"&amp;TEXT(COUNTIFS($B$2:$B2961,"&lt;&gt;",$C$2:$C2961,"&lt;&gt;",$D$2:$D2961,"&lt;&gt;",$E$2:$E2961,"&lt;&gt;"),"00000"),""))</f>
        <v/>
      </c>
      <c r="N2961" s="22"/>
    </row>
    <row r="2962" spans="1:14" x14ac:dyDescent="0.3">
      <c r="A2962" s="15" t="str">
        <f>IF(COUNTA($B2962:$E2962,$K2962)=0,"",IF(AND($B2962&lt;&gt;"",$C2962&lt;&gt;"",$D2962&lt;&gt;"",$E2962&lt;&gt;""),"TXS"&amp;TEXT(COUNTIFS($B$2:$B2962,"&lt;&gt;",$C$2:$C2962,"&lt;&gt;",$D$2:$D2962,"&lt;&gt;",$E$2:$E2962,"&lt;&gt;"),"00000"),""))</f>
        <v/>
      </c>
      <c r="N2962" s="22"/>
    </row>
    <row r="2963" spans="1:14" x14ac:dyDescent="0.3">
      <c r="A2963" s="15" t="str">
        <f>IF(COUNTA($B2963:$E2963,$K2963)=0,"",IF(AND($B2963&lt;&gt;"",$C2963&lt;&gt;"",$D2963&lt;&gt;"",$E2963&lt;&gt;""),"TXS"&amp;TEXT(COUNTIFS($B$2:$B2963,"&lt;&gt;",$C$2:$C2963,"&lt;&gt;",$D$2:$D2963,"&lt;&gt;",$E$2:$E2963,"&lt;&gt;"),"00000"),""))</f>
        <v/>
      </c>
      <c r="N2963" s="22"/>
    </row>
    <row r="2964" spans="1:14" x14ac:dyDescent="0.3">
      <c r="A2964" s="15" t="str">
        <f>IF(COUNTA($B2964:$E2964,$K2964)=0,"",IF(AND($B2964&lt;&gt;"",$C2964&lt;&gt;"",$D2964&lt;&gt;"",$E2964&lt;&gt;""),"TXS"&amp;TEXT(COUNTIFS($B$2:$B2964,"&lt;&gt;",$C$2:$C2964,"&lt;&gt;",$D$2:$D2964,"&lt;&gt;",$E$2:$E2964,"&lt;&gt;"),"00000"),""))</f>
        <v/>
      </c>
      <c r="N2964" s="22"/>
    </row>
    <row r="2965" spans="1:14" x14ac:dyDescent="0.3">
      <c r="A2965" s="15" t="str">
        <f>IF(COUNTA($B2965:$E2965,$K2965)=0,"",IF(AND($B2965&lt;&gt;"",$C2965&lt;&gt;"",$D2965&lt;&gt;"",$E2965&lt;&gt;""),"TXS"&amp;TEXT(COUNTIFS($B$2:$B2965,"&lt;&gt;",$C$2:$C2965,"&lt;&gt;",$D$2:$D2965,"&lt;&gt;",$E$2:$E2965,"&lt;&gt;"),"00000"),""))</f>
        <v/>
      </c>
      <c r="N2965" s="22"/>
    </row>
    <row r="2966" spans="1:14" x14ac:dyDescent="0.3">
      <c r="A2966" s="15" t="str">
        <f>IF(COUNTA($B2966:$E2966,$K2966)=0,"",IF(AND($B2966&lt;&gt;"",$C2966&lt;&gt;"",$D2966&lt;&gt;"",$E2966&lt;&gt;""),"TXS"&amp;TEXT(COUNTIFS($B$2:$B2966,"&lt;&gt;",$C$2:$C2966,"&lt;&gt;",$D$2:$D2966,"&lt;&gt;",$E$2:$E2966,"&lt;&gt;"),"00000"),""))</f>
        <v/>
      </c>
      <c r="N2966" s="22"/>
    </row>
    <row r="2967" spans="1:14" x14ac:dyDescent="0.3">
      <c r="A2967" s="15" t="str">
        <f>IF(COUNTA($B2967:$E2967,$K2967)=0,"",IF(AND($B2967&lt;&gt;"",$C2967&lt;&gt;"",$D2967&lt;&gt;"",$E2967&lt;&gt;""),"TXS"&amp;TEXT(COUNTIFS($B$2:$B2967,"&lt;&gt;",$C$2:$C2967,"&lt;&gt;",$D$2:$D2967,"&lt;&gt;",$E$2:$E2967,"&lt;&gt;"),"00000"),""))</f>
        <v/>
      </c>
      <c r="N2967" s="22"/>
    </row>
    <row r="2968" spans="1:14" x14ac:dyDescent="0.3">
      <c r="A2968" s="15" t="str">
        <f>IF(COUNTA($B2968:$E2968,$K2968)=0,"",IF(AND($B2968&lt;&gt;"",$C2968&lt;&gt;"",$D2968&lt;&gt;"",$E2968&lt;&gt;""),"TXS"&amp;TEXT(COUNTIFS($B$2:$B2968,"&lt;&gt;",$C$2:$C2968,"&lt;&gt;",$D$2:$D2968,"&lt;&gt;",$E$2:$E2968,"&lt;&gt;"),"00000"),""))</f>
        <v/>
      </c>
      <c r="N2968" s="22"/>
    </row>
    <row r="2969" spans="1:14" x14ac:dyDescent="0.3">
      <c r="A2969" s="15" t="str">
        <f>IF(COUNTA($B2969:$E2969,$K2969)=0,"",IF(AND($B2969&lt;&gt;"",$C2969&lt;&gt;"",$D2969&lt;&gt;"",$E2969&lt;&gt;""),"TXS"&amp;TEXT(COUNTIFS($B$2:$B2969,"&lt;&gt;",$C$2:$C2969,"&lt;&gt;",$D$2:$D2969,"&lt;&gt;",$E$2:$E2969,"&lt;&gt;"),"00000"),""))</f>
        <v/>
      </c>
      <c r="N2969" s="22"/>
    </row>
    <row r="2970" spans="1:14" x14ac:dyDescent="0.3">
      <c r="A2970" s="15" t="str">
        <f>IF(COUNTA($B2970:$E2970,$K2970)=0,"",IF(AND($B2970&lt;&gt;"",$C2970&lt;&gt;"",$D2970&lt;&gt;"",$E2970&lt;&gt;""),"TXS"&amp;TEXT(COUNTIFS($B$2:$B2970,"&lt;&gt;",$C$2:$C2970,"&lt;&gt;",$D$2:$D2970,"&lt;&gt;",$E$2:$E2970,"&lt;&gt;"),"00000"),""))</f>
        <v/>
      </c>
      <c r="N2970" s="22"/>
    </row>
    <row r="2971" spans="1:14" x14ac:dyDescent="0.3">
      <c r="A2971" s="15" t="str">
        <f>IF(COUNTA($B2971:$E2971,$K2971)=0,"",IF(AND($B2971&lt;&gt;"",$C2971&lt;&gt;"",$D2971&lt;&gt;"",$E2971&lt;&gt;""),"TXS"&amp;TEXT(COUNTIFS($B$2:$B2971,"&lt;&gt;",$C$2:$C2971,"&lt;&gt;",$D$2:$D2971,"&lt;&gt;",$E$2:$E2971,"&lt;&gt;"),"00000"),""))</f>
        <v/>
      </c>
      <c r="N2971" s="22"/>
    </row>
    <row r="2972" spans="1:14" x14ac:dyDescent="0.3">
      <c r="A2972" s="15" t="str">
        <f>IF(COUNTA($B2972:$E2972,$K2972)=0,"",IF(AND($B2972&lt;&gt;"",$C2972&lt;&gt;"",$D2972&lt;&gt;"",$E2972&lt;&gt;""),"TXS"&amp;TEXT(COUNTIFS($B$2:$B2972,"&lt;&gt;",$C$2:$C2972,"&lt;&gt;",$D$2:$D2972,"&lt;&gt;",$E$2:$E2972,"&lt;&gt;"),"00000"),""))</f>
        <v/>
      </c>
      <c r="N2972" s="22"/>
    </row>
    <row r="2973" spans="1:14" x14ac:dyDescent="0.3">
      <c r="A2973" s="15" t="str">
        <f>IF(COUNTA($B2973:$E2973,$K2973)=0,"",IF(AND($B2973&lt;&gt;"",$C2973&lt;&gt;"",$D2973&lt;&gt;"",$E2973&lt;&gt;""),"TXS"&amp;TEXT(COUNTIFS($B$2:$B2973,"&lt;&gt;",$C$2:$C2973,"&lt;&gt;",$D$2:$D2973,"&lt;&gt;",$E$2:$E2973,"&lt;&gt;"),"00000"),""))</f>
        <v/>
      </c>
      <c r="N2973" s="22"/>
    </row>
    <row r="2974" spans="1:14" x14ac:dyDescent="0.3">
      <c r="A2974" s="15" t="str">
        <f>IF(COUNTA($B2974:$E2974,$K2974)=0,"",IF(AND($B2974&lt;&gt;"",$C2974&lt;&gt;"",$D2974&lt;&gt;"",$E2974&lt;&gt;""),"TXS"&amp;TEXT(COUNTIFS($B$2:$B2974,"&lt;&gt;",$C$2:$C2974,"&lt;&gt;",$D$2:$D2974,"&lt;&gt;",$E$2:$E2974,"&lt;&gt;"),"00000"),""))</f>
        <v/>
      </c>
      <c r="N2974" s="22"/>
    </row>
    <row r="2975" spans="1:14" x14ac:dyDescent="0.3">
      <c r="A2975" s="15" t="str">
        <f>IF(COUNTA($B2975:$E2975,$K2975)=0,"",IF(AND($B2975&lt;&gt;"",$C2975&lt;&gt;"",$D2975&lt;&gt;"",$E2975&lt;&gt;""),"TXS"&amp;TEXT(COUNTIFS($B$2:$B2975,"&lt;&gt;",$C$2:$C2975,"&lt;&gt;",$D$2:$D2975,"&lt;&gt;",$E$2:$E2975,"&lt;&gt;"),"00000"),""))</f>
        <v/>
      </c>
      <c r="N2975" s="22"/>
    </row>
    <row r="2976" spans="1:14" x14ac:dyDescent="0.3">
      <c r="A2976" s="15" t="str">
        <f>IF(COUNTA($B2976:$E2976,$K2976)=0,"",IF(AND($B2976&lt;&gt;"",$C2976&lt;&gt;"",$D2976&lt;&gt;"",$E2976&lt;&gt;""),"TXS"&amp;TEXT(COUNTIFS($B$2:$B2976,"&lt;&gt;",$C$2:$C2976,"&lt;&gt;",$D$2:$D2976,"&lt;&gt;",$E$2:$E2976,"&lt;&gt;"),"00000"),""))</f>
        <v/>
      </c>
      <c r="N2976" s="22"/>
    </row>
    <row r="2977" spans="1:14" x14ac:dyDescent="0.3">
      <c r="A2977" s="15" t="str">
        <f>IF(COUNTA($B2977:$E2977,$K2977)=0,"",IF(AND($B2977&lt;&gt;"",$C2977&lt;&gt;"",$D2977&lt;&gt;"",$E2977&lt;&gt;""),"TXS"&amp;TEXT(COUNTIFS($B$2:$B2977,"&lt;&gt;",$C$2:$C2977,"&lt;&gt;",$D$2:$D2977,"&lt;&gt;",$E$2:$E2977,"&lt;&gt;"),"00000"),""))</f>
        <v/>
      </c>
      <c r="N2977" s="22"/>
    </row>
    <row r="2978" spans="1:14" x14ac:dyDescent="0.3">
      <c r="A2978" s="15" t="str">
        <f>IF(COUNTA($B2978:$E2978,$K2978)=0,"",IF(AND($B2978&lt;&gt;"",$C2978&lt;&gt;"",$D2978&lt;&gt;"",$E2978&lt;&gt;""),"TXS"&amp;TEXT(COUNTIFS($B$2:$B2978,"&lt;&gt;",$C$2:$C2978,"&lt;&gt;",$D$2:$D2978,"&lt;&gt;",$E$2:$E2978,"&lt;&gt;"),"00000"),""))</f>
        <v/>
      </c>
      <c r="N2978" s="22"/>
    </row>
    <row r="2979" spans="1:14" x14ac:dyDescent="0.3">
      <c r="A2979" s="15" t="str">
        <f>IF(COUNTA($B2979:$E2979,$K2979)=0,"",IF(AND($B2979&lt;&gt;"",$C2979&lt;&gt;"",$D2979&lt;&gt;"",$E2979&lt;&gt;""),"TXS"&amp;TEXT(COUNTIFS($B$2:$B2979,"&lt;&gt;",$C$2:$C2979,"&lt;&gt;",$D$2:$D2979,"&lt;&gt;",$E$2:$E2979,"&lt;&gt;"),"00000"),""))</f>
        <v/>
      </c>
      <c r="N2979" s="22"/>
    </row>
    <row r="2980" spans="1:14" x14ac:dyDescent="0.3">
      <c r="A2980" s="15" t="str">
        <f>IF(COUNTA($B2980:$E2980,$K2980)=0,"",IF(AND($B2980&lt;&gt;"",$C2980&lt;&gt;"",$D2980&lt;&gt;"",$E2980&lt;&gt;""),"TXS"&amp;TEXT(COUNTIFS($B$2:$B2980,"&lt;&gt;",$C$2:$C2980,"&lt;&gt;",$D$2:$D2980,"&lt;&gt;",$E$2:$E2980,"&lt;&gt;"),"00000"),""))</f>
        <v/>
      </c>
      <c r="N2980" s="22"/>
    </row>
    <row r="2981" spans="1:14" x14ac:dyDescent="0.3">
      <c r="A2981" s="15" t="str">
        <f>IF(COUNTA($B2981:$E2981,$K2981)=0,"",IF(AND($B2981&lt;&gt;"",$C2981&lt;&gt;"",$D2981&lt;&gt;"",$E2981&lt;&gt;""),"TXS"&amp;TEXT(COUNTIFS($B$2:$B2981,"&lt;&gt;",$C$2:$C2981,"&lt;&gt;",$D$2:$D2981,"&lt;&gt;",$E$2:$E2981,"&lt;&gt;"),"00000"),""))</f>
        <v/>
      </c>
      <c r="N2981" s="22"/>
    </row>
    <row r="2982" spans="1:14" x14ac:dyDescent="0.3">
      <c r="A2982" s="15" t="str">
        <f>IF(COUNTA($B2982:$E2982,$K2982)=0,"",IF(AND($B2982&lt;&gt;"",$C2982&lt;&gt;"",$D2982&lt;&gt;"",$E2982&lt;&gt;""),"TXS"&amp;TEXT(COUNTIFS($B$2:$B2982,"&lt;&gt;",$C$2:$C2982,"&lt;&gt;",$D$2:$D2982,"&lt;&gt;",$E$2:$E2982,"&lt;&gt;"),"00000"),""))</f>
        <v/>
      </c>
      <c r="N2982" s="22"/>
    </row>
    <row r="2983" spans="1:14" x14ac:dyDescent="0.3">
      <c r="A2983" s="15" t="str">
        <f>IF(COUNTA($B2983:$E2983,$K2983)=0,"",IF(AND($B2983&lt;&gt;"",$C2983&lt;&gt;"",$D2983&lt;&gt;"",$E2983&lt;&gt;""),"TXS"&amp;TEXT(COUNTIFS($B$2:$B2983,"&lt;&gt;",$C$2:$C2983,"&lt;&gt;",$D$2:$D2983,"&lt;&gt;",$E$2:$E2983,"&lt;&gt;"),"00000"),""))</f>
        <v/>
      </c>
      <c r="N2983" s="22"/>
    </row>
    <row r="2984" spans="1:14" x14ac:dyDescent="0.3">
      <c r="A2984" s="15" t="str">
        <f>IF(COUNTA($B2984:$E2984,$K2984)=0,"",IF(AND($B2984&lt;&gt;"",$C2984&lt;&gt;"",$D2984&lt;&gt;"",$E2984&lt;&gt;""),"TXS"&amp;TEXT(COUNTIFS($B$2:$B2984,"&lt;&gt;",$C$2:$C2984,"&lt;&gt;",$D$2:$D2984,"&lt;&gt;",$E$2:$E2984,"&lt;&gt;"),"00000"),""))</f>
        <v/>
      </c>
      <c r="N2984" s="22"/>
    </row>
    <row r="2985" spans="1:14" x14ac:dyDescent="0.3">
      <c r="A2985" s="15" t="str">
        <f>IF(COUNTA($B2985:$E2985,$K2985)=0,"",IF(AND($B2985&lt;&gt;"",$C2985&lt;&gt;"",$D2985&lt;&gt;"",$E2985&lt;&gt;""),"TXS"&amp;TEXT(COUNTIFS($B$2:$B2985,"&lt;&gt;",$C$2:$C2985,"&lt;&gt;",$D$2:$D2985,"&lt;&gt;",$E$2:$E2985,"&lt;&gt;"),"00000"),""))</f>
        <v/>
      </c>
      <c r="N2985" s="22"/>
    </row>
    <row r="2986" spans="1:14" x14ac:dyDescent="0.3">
      <c r="A2986" s="15" t="str">
        <f>IF(COUNTA($B2986:$E2986,$K2986)=0,"",IF(AND($B2986&lt;&gt;"",$C2986&lt;&gt;"",$D2986&lt;&gt;"",$E2986&lt;&gt;""),"TXS"&amp;TEXT(COUNTIFS($B$2:$B2986,"&lt;&gt;",$C$2:$C2986,"&lt;&gt;",$D$2:$D2986,"&lt;&gt;",$E$2:$E2986,"&lt;&gt;"),"00000"),""))</f>
        <v/>
      </c>
      <c r="N2986" s="22"/>
    </row>
    <row r="2987" spans="1:14" x14ac:dyDescent="0.3">
      <c r="A2987" s="15" t="str">
        <f>IF(COUNTA($B2987:$E2987,$K2987)=0,"",IF(AND($B2987&lt;&gt;"",$C2987&lt;&gt;"",$D2987&lt;&gt;"",$E2987&lt;&gt;""),"TXS"&amp;TEXT(COUNTIFS($B$2:$B2987,"&lt;&gt;",$C$2:$C2987,"&lt;&gt;",$D$2:$D2987,"&lt;&gt;",$E$2:$E2987,"&lt;&gt;"),"00000"),""))</f>
        <v/>
      </c>
      <c r="N2987" s="22"/>
    </row>
    <row r="2988" spans="1:14" x14ac:dyDescent="0.3">
      <c r="A2988" s="15" t="str">
        <f>IF(COUNTA($B2988:$E2988,$K2988)=0,"",IF(AND($B2988&lt;&gt;"",$C2988&lt;&gt;"",$D2988&lt;&gt;"",$E2988&lt;&gt;""),"TXS"&amp;TEXT(COUNTIFS($B$2:$B2988,"&lt;&gt;",$C$2:$C2988,"&lt;&gt;",$D$2:$D2988,"&lt;&gt;",$E$2:$E2988,"&lt;&gt;"),"00000"),""))</f>
        <v/>
      </c>
      <c r="N2988" s="22"/>
    </row>
    <row r="2989" spans="1:14" x14ac:dyDescent="0.3">
      <c r="A2989" s="15" t="str">
        <f>IF(COUNTA($B2989:$E2989,$K2989)=0,"",IF(AND($B2989&lt;&gt;"",$C2989&lt;&gt;"",$D2989&lt;&gt;"",$E2989&lt;&gt;""),"TXS"&amp;TEXT(COUNTIFS($B$2:$B2989,"&lt;&gt;",$C$2:$C2989,"&lt;&gt;",$D$2:$D2989,"&lt;&gt;",$E$2:$E2989,"&lt;&gt;"),"00000"),""))</f>
        <v/>
      </c>
      <c r="N2989" s="22"/>
    </row>
    <row r="2990" spans="1:14" x14ac:dyDescent="0.3">
      <c r="A2990" s="15" t="str">
        <f>IF(COUNTA($B2990:$E2990,$K2990)=0,"",IF(AND($B2990&lt;&gt;"",$C2990&lt;&gt;"",$D2990&lt;&gt;"",$E2990&lt;&gt;""),"TXS"&amp;TEXT(COUNTIFS($B$2:$B2990,"&lt;&gt;",$C$2:$C2990,"&lt;&gt;",$D$2:$D2990,"&lt;&gt;",$E$2:$E2990,"&lt;&gt;"),"00000"),""))</f>
        <v/>
      </c>
      <c r="N2990" s="22"/>
    </row>
    <row r="2991" spans="1:14" x14ac:dyDescent="0.3">
      <c r="A2991" s="15" t="str">
        <f>IF(COUNTA($B2991:$E2991,$K2991)=0,"",IF(AND($B2991&lt;&gt;"",$C2991&lt;&gt;"",$D2991&lt;&gt;"",$E2991&lt;&gt;""),"TXS"&amp;TEXT(COUNTIFS($B$2:$B2991,"&lt;&gt;",$C$2:$C2991,"&lt;&gt;",$D$2:$D2991,"&lt;&gt;",$E$2:$E2991,"&lt;&gt;"),"00000"),""))</f>
        <v/>
      </c>
      <c r="N2991" s="22"/>
    </row>
    <row r="2992" spans="1:14" x14ac:dyDescent="0.3">
      <c r="A2992" s="15" t="str">
        <f>IF(COUNTA($B2992:$E2992,$K2992)=0,"",IF(AND($B2992&lt;&gt;"",$C2992&lt;&gt;"",$D2992&lt;&gt;"",$E2992&lt;&gt;""),"TXS"&amp;TEXT(COUNTIFS($B$2:$B2992,"&lt;&gt;",$C$2:$C2992,"&lt;&gt;",$D$2:$D2992,"&lt;&gt;",$E$2:$E2992,"&lt;&gt;"),"00000"),""))</f>
        <v/>
      </c>
      <c r="N2992" s="22"/>
    </row>
    <row r="2993" spans="1:14" x14ac:dyDescent="0.3">
      <c r="A2993" s="15" t="str">
        <f>IF(COUNTA($B2993:$E2993,$K2993)=0,"",IF(AND($B2993&lt;&gt;"",$C2993&lt;&gt;"",$D2993&lt;&gt;"",$E2993&lt;&gt;""),"TXS"&amp;TEXT(COUNTIFS($B$2:$B2993,"&lt;&gt;",$C$2:$C2993,"&lt;&gt;",$D$2:$D2993,"&lt;&gt;",$E$2:$E2993,"&lt;&gt;"),"00000"),""))</f>
        <v/>
      </c>
      <c r="N2993" s="22"/>
    </row>
    <row r="2994" spans="1:14" x14ac:dyDescent="0.3">
      <c r="A2994" s="15" t="str">
        <f>IF(COUNTA($B2994:$E2994,$K2994)=0,"",IF(AND($B2994&lt;&gt;"",$C2994&lt;&gt;"",$D2994&lt;&gt;"",$E2994&lt;&gt;""),"TXS"&amp;TEXT(COUNTIFS($B$2:$B2994,"&lt;&gt;",$C$2:$C2994,"&lt;&gt;",$D$2:$D2994,"&lt;&gt;",$E$2:$E2994,"&lt;&gt;"),"00000"),""))</f>
        <v/>
      </c>
      <c r="N2994" s="22"/>
    </row>
    <row r="2995" spans="1:14" x14ac:dyDescent="0.3">
      <c r="A2995" s="15" t="str">
        <f>IF(COUNTA($B2995:$E2995,$K2995)=0,"",IF(AND($B2995&lt;&gt;"",$C2995&lt;&gt;"",$D2995&lt;&gt;"",$E2995&lt;&gt;""),"TXS"&amp;TEXT(COUNTIFS($B$2:$B2995,"&lt;&gt;",$C$2:$C2995,"&lt;&gt;",$D$2:$D2995,"&lt;&gt;",$E$2:$E2995,"&lt;&gt;"),"00000"),""))</f>
        <v/>
      </c>
      <c r="N2995" s="22"/>
    </row>
    <row r="2996" spans="1:14" x14ac:dyDescent="0.3">
      <c r="A2996" s="15" t="str">
        <f>IF(COUNTA($B2996:$E2996,$K2996)=0,"",IF(AND($B2996&lt;&gt;"",$C2996&lt;&gt;"",$D2996&lt;&gt;"",$E2996&lt;&gt;""),"TXS"&amp;TEXT(COUNTIFS($B$2:$B2996,"&lt;&gt;",$C$2:$C2996,"&lt;&gt;",$D$2:$D2996,"&lt;&gt;",$E$2:$E2996,"&lt;&gt;"),"00000"),""))</f>
        <v/>
      </c>
      <c r="N2996" s="22"/>
    </row>
    <row r="2997" spans="1:14" x14ac:dyDescent="0.3">
      <c r="A2997" s="15" t="str">
        <f>IF(COUNTA($B2997:$E2997,$K2997)=0,"",IF(AND($B2997&lt;&gt;"",$C2997&lt;&gt;"",$D2997&lt;&gt;"",$E2997&lt;&gt;""),"TXS"&amp;TEXT(COUNTIFS($B$2:$B2997,"&lt;&gt;",$C$2:$C2997,"&lt;&gt;",$D$2:$D2997,"&lt;&gt;",$E$2:$E2997,"&lt;&gt;"),"00000"),""))</f>
        <v/>
      </c>
      <c r="N2997" s="22"/>
    </row>
    <row r="2998" spans="1:14" x14ac:dyDescent="0.3">
      <c r="A2998" s="15" t="str">
        <f>IF(COUNTA($B2998:$E2998,$K2998)=0,"",IF(AND($B2998&lt;&gt;"",$C2998&lt;&gt;"",$D2998&lt;&gt;"",$E2998&lt;&gt;""),"TXS"&amp;TEXT(COUNTIFS($B$2:$B2998,"&lt;&gt;",$C$2:$C2998,"&lt;&gt;",$D$2:$D2998,"&lt;&gt;",$E$2:$E2998,"&lt;&gt;"),"00000"),""))</f>
        <v/>
      </c>
      <c r="N2998" s="22"/>
    </row>
    <row r="2999" spans="1:14" x14ac:dyDescent="0.3">
      <c r="A2999" s="15" t="str">
        <f>IF(COUNTA($B2999:$E2999,$K2999)=0,"",IF(AND($B2999&lt;&gt;"",$C2999&lt;&gt;"",$D2999&lt;&gt;"",$E2999&lt;&gt;""),"TXS"&amp;TEXT(COUNTIFS($B$2:$B2999,"&lt;&gt;",$C$2:$C2999,"&lt;&gt;",$D$2:$D2999,"&lt;&gt;",$E$2:$E2999,"&lt;&gt;"),"00000"),""))</f>
        <v/>
      </c>
      <c r="N2999" s="22"/>
    </row>
    <row r="3000" spans="1:14" x14ac:dyDescent="0.3">
      <c r="A3000" s="15" t="str">
        <f>IF(COUNTA($B3000:$E3000,$K3000)=0,"",IF(AND($B3000&lt;&gt;"",$C3000&lt;&gt;"",$D3000&lt;&gt;"",$E3000&lt;&gt;""),"TXS"&amp;TEXT(COUNTIFS($B$2:$B3000,"&lt;&gt;",$C$2:$C3000,"&lt;&gt;",$D$2:$D3000,"&lt;&gt;",$E$2:$E3000,"&lt;&gt;"),"00000"),""))</f>
        <v/>
      </c>
      <c r="N3000" s="22"/>
    </row>
    <row r="3001" spans="1:14" x14ac:dyDescent="0.3">
      <c r="A3001" s="15" t="str">
        <f>IF(COUNTA($B3001:$E3001,$K3001)=0,"",IF(AND($B3001&lt;&gt;"",$C3001&lt;&gt;"",$D3001&lt;&gt;"",$E3001&lt;&gt;""),"TXS"&amp;TEXT(COUNTIFS($B$2:$B3001,"&lt;&gt;",$C$2:$C3001,"&lt;&gt;",$D$2:$D3001,"&lt;&gt;",$E$2:$E3001,"&lt;&gt;"),"00000"),""))</f>
        <v/>
      </c>
      <c r="N3001" s="22"/>
    </row>
    <row r="3002" spans="1:14" x14ac:dyDescent="0.3">
      <c r="A3002" s="15" t="str">
        <f>IF(COUNTA($B3002:$E3002,$K3002)=0,"",IF(AND($B3002&lt;&gt;"",$C3002&lt;&gt;"",$D3002&lt;&gt;"",$E3002&lt;&gt;""),"TXS"&amp;TEXT(COUNTIFS($B$2:$B3002,"&lt;&gt;",$C$2:$C3002,"&lt;&gt;",$D$2:$D3002,"&lt;&gt;",$E$2:$E3002,"&lt;&gt;"),"00000"),""))</f>
        <v/>
      </c>
      <c r="N3002" s="22"/>
    </row>
    <row r="3003" spans="1:14" x14ac:dyDescent="0.3">
      <c r="A3003" s="15" t="str">
        <f>IF(COUNTA($B3003:$E3003,$K3003)=0,"",IF(AND($B3003&lt;&gt;"",$C3003&lt;&gt;"",$D3003&lt;&gt;"",$E3003&lt;&gt;""),"TXS"&amp;TEXT(COUNTIFS($B$2:$B3003,"&lt;&gt;",$C$2:$C3003,"&lt;&gt;",$D$2:$D3003,"&lt;&gt;",$E$2:$E3003,"&lt;&gt;"),"00000"),""))</f>
        <v/>
      </c>
      <c r="N3003" s="22"/>
    </row>
    <row r="3004" spans="1:14" x14ac:dyDescent="0.3">
      <c r="A3004" s="15" t="str">
        <f>IF(COUNTA($B3004:$E3004,$K3004)=0,"",IF(AND($B3004&lt;&gt;"",$C3004&lt;&gt;"",$D3004&lt;&gt;"",$E3004&lt;&gt;""),"TXS"&amp;TEXT(COUNTIFS($B$2:$B3004,"&lt;&gt;",$C$2:$C3004,"&lt;&gt;",$D$2:$D3004,"&lt;&gt;",$E$2:$E3004,"&lt;&gt;"),"00000"),""))</f>
        <v/>
      </c>
      <c r="N3004" s="22"/>
    </row>
    <row r="3005" spans="1:14" x14ac:dyDescent="0.3">
      <c r="A3005" s="15" t="str">
        <f>IF(COUNTA($B3005:$E3005,$K3005)=0,"",IF(AND($B3005&lt;&gt;"",$C3005&lt;&gt;"",$D3005&lt;&gt;"",$E3005&lt;&gt;""),"TXS"&amp;TEXT(COUNTIFS($B$2:$B3005,"&lt;&gt;",$C$2:$C3005,"&lt;&gt;",$D$2:$D3005,"&lt;&gt;",$E$2:$E3005,"&lt;&gt;"),"00000"),""))</f>
        <v/>
      </c>
      <c r="N3005" s="22"/>
    </row>
    <row r="3006" spans="1:14" x14ac:dyDescent="0.3">
      <c r="A3006" s="15" t="str">
        <f>IF(COUNTA($B3006:$E3006,$K3006)=0,"",IF(AND($B3006&lt;&gt;"",$C3006&lt;&gt;"",$D3006&lt;&gt;"",$E3006&lt;&gt;""),"TXS"&amp;TEXT(COUNTIFS($B$2:$B3006,"&lt;&gt;",$C$2:$C3006,"&lt;&gt;",$D$2:$D3006,"&lt;&gt;",$E$2:$E3006,"&lt;&gt;"),"00000"),""))</f>
        <v/>
      </c>
      <c r="N3006" s="22"/>
    </row>
    <row r="3007" spans="1:14" x14ac:dyDescent="0.3">
      <c r="A3007" s="15" t="str">
        <f>IF(COUNTA($B3007:$E3007,$K3007)=0,"",IF(AND($B3007&lt;&gt;"",$C3007&lt;&gt;"",$D3007&lt;&gt;"",$E3007&lt;&gt;""),"TXS"&amp;TEXT(COUNTIFS($B$2:$B3007,"&lt;&gt;",$C$2:$C3007,"&lt;&gt;",$D$2:$D3007,"&lt;&gt;",$E$2:$E3007,"&lt;&gt;"),"00000"),""))</f>
        <v/>
      </c>
      <c r="N3007" s="22"/>
    </row>
    <row r="3008" spans="1:14" x14ac:dyDescent="0.3">
      <c r="A3008" s="15" t="str">
        <f>IF(COUNTA($B3008:$E3008,$K3008)=0,"",IF(AND($B3008&lt;&gt;"",$C3008&lt;&gt;"",$D3008&lt;&gt;"",$E3008&lt;&gt;""),"TXS"&amp;TEXT(COUNTIFS($B$2:$B3008,"&lt;&gt;",$C$2:$C3008,"&lt;&gt;",$D$2:$D3008,"&lt;&gt;",$E$2:$E3008,"&lt;&gt;"),"00000"),""))</f>
        <v/>
      </c>
      <c r="N3008" s="22"/>
    </row>
    <row r="3009" spans="1:14" x14ac:dyDescent="0.3">
      <c r="A3009" s="15" t="str">
        <f>IF(COUNTA($B3009:$E3009,$K3009)=0,"",IF(AND($B3009&lt;&gt;"",$C3009&lt;&gt;"",$D3009&lt;&gt;"",$E3009&lt;&gt;""),"TXS"&amp;TEXT(COUNTIFS($B$2:$B3009,"&lt;&gt;",$C$2:$C3009,"&lt;&gt;",$D$2:$D3009,"&lt;&gt;",$E$2:$E3009,"&lt;&gt;"),"00000"),""))</f>
        <v/>
      </c>
      <c r="N3009" s="22"/>
    </row>
    <row r="3010" spans="1:14" x14ac:dyDescent="0.3">
      <c r="A3010" s="15" t="str">
        <f>IF(COUNTA($B3010:$E3010,$K3010)=0,"",IF(AND($B3010&lt;&gt;"",$C3010&lt;&gt;"",$D3010&lt;&gt;"",$E3010&lt;&gt;""),"TXS"&amp;TEXT(COUNTIFS($B$2:$B3010,"&lt;&gt;",$C$2:$C3010,"&lt;&gt;",$D$2:$D3010,"&lt;&gt;",$E$2:$E3010,"&lt;&gt;"),"00000"),""))</f>
        <v/>
      </c>
      <c r="N3010" s="22"/>
    </row>
    <row r="3011" spans="1:14" x14ac:dyDescent="0.3">
      <c r="A3011" s="15" t="str">
        <f>IF(COUNTA($B3011:$E3011,$K3011)=0,"",IF(AND($B3011&lt;&gt;"",$C3011&lt;&gt;"",$D3011&lt;&gt;"",$E3011&lt;&gt;""),"TXS"&amp;TEXT(COUNTIFS($B$2:$B3011,"&lt;&gt;",$C$2:$C3011,"&lt;&gt;",$D$2:$D3011,"&lt;&gt;",$E$2:$E3011,"&lt;&gt;"),"00000"),""))</f>
        <v/>
      </c>
      <c r="N3011" s="22"/>
    </row>
    <row r="3012" spans="1:14" x14ac:dyDescent="0.3">
      <c r="A3012" s="15" t="str">
        <f>IF(COUNTA($B3012:$E3012,$K3012)=0,"",IF(AND($B3012&lt;&gt;"",$C3012&lt;&gt;"",$D3012&lt;&gt;"",$E3012&lt;&gt;""),"TXS"&amp;TEXT(COUNTIFS($B$2:$B3012,"&lt;&gt;",$C$2:$C3012,"&lt;&gt;",$D$2:$D3012,"&lt;&gt;",$E$2:$E3012,"&lt;&gt;"),"00000"),""))</f>
        <v/>
      </c>
      <c r="N3012" s="22"/>
    </row>
    <row r="3013" spans="1:14" x14ac:dyDescent="0.3">
      <c r="A3013" s="15" t="str">
        <f>IF(COUNTA($B3013:$E3013,$K3013)=0,"",IF(AND($B3013&lt;&gt;"",$C3013&lt;&gt;"",$D3013&lt;&gt;"",$E3013&lt;&gt;""),"TXS"&amp;TEXT(COUNTIFS($B$2:$B3013,"&lt;&gt;",$C$2:$C3013,"&lt;&gt;",$D$2:$D3013,"&lt;&gt;",$E$2:$E3013,"&lt;&gt;"),"00000"),""))</f>
        <v/>
      </c>
      <c r="N3013" s="22"/>
    </row>
    <row r="3014" spans="1:14" x14ac:dyDescent="0.3">
      <c r="A3014" s="15" t="str">
        <f>IF(COUNTA($B3014:$E3014,$K3014)=0,"",IF(AND($B3014&lt;&gt;"",$C3014&lt;&gt;"",$D3014&lt;&gt;"",$E3014&lt;&gt;""),"TXS"&amp;TEXT(COUNTIFS($B$2:$B3014,"&lt;&gt;",$C$2:$C3014,"&lt;&gt;",$D$2:$D3014,"&lt;&gt;",$E$2:$E3014,"&lt;&gt;"),"00000"),""))</f>
        <v/>
      </c>
      <c r="N3014" s="22"/>
    </row>
    <row r="3015" spans="1:14" x14ac:dyDescent="0.3">
      <c r="A3015" s="15" t="str">
        <f>IF(COUNTA($B3015:$E3015,$K3015)=0,"",IF(AND($B3015&lt;&gt;"",$C3015&lt;&gt;"",$D3015&lt;&gt;"",$E3015&lt;&gt;""),"TXS"&amp;TEXT(COUNTIFS($B$2:$B3015,"&lt;&gt;",$C$2:$C3015,"&lt;&gt;",$D$2:$D3015,"&lt;&gt;",$E$2:$E3015,"&lt;&gt;"),"00000"),""))</f>
        <v/>
      </c>
      <c r="N3015" s="22"/>
    </row>
    <row r="3016" spans="1:14" x14ac:dyDescent="0.3">
      <c r="A3016" s="15" t="str">
        <f>IF(COUNTA($B3016:$E3016,$K3016)=0,"",IF(AND($B3016&lt;&gt;"",$C3016&lt;&gt;"",$D3016&lt;&gt;"",$E3016&lt;&gt;""),"TXS"&amp;TEXT(COUNTIFS($B$2:$B3016,"&lt;&gt;",$C$2:$C3016,"&lt;&gt;",$D$2:$D3016,"&lt;&gt;",$E$2:$E3016,"&lt;&gt;"),"00000"),""))</f>
        <v/>
      </c>
      <c r="N3016" s="22"/>
    </row>
    <row r="3017" spans="1:14" x14ac:dyDescent="0.3">
      <c r="A3017" s="15" t="str">
        <f>IF(COUNTA($B3017:$E3017,$K3017)=0,"",IF(AND($B3017&lt;&gt;"",$C3017&lt;&gt;"",$D3017&lt;&gt;"",$E3017&lt;&gt;""),"TXS"&amp;TEXT(COUNTIFS($B$2:$B3017,"&lt;&gt;",$C$2:$C3017,"&lt;&gt;",$D$2:$D3017,"&lt;&gt;",$E$2:$E3017,"&lt;&gt;"),"00000"),""))</f>
        <v/>
      </c>
      <c r="N3017" s="22"/>
    </row>
    <row r="3018" spans="1:14" x14ac:dyDescent="0.3">
      <c r="A3018" s="15" t="str">
        <f>IF(COUNTA($B3018:$E3018,$K3018)=0,"",IF(AND($B3018&lt;&gt;"",$C3018&lt;&gt;"",$D3018&lt;&gt;"",$E3018&lt;&gt;""),"TXS"&amp;TEXT(COUNTIFS($B$2:$B3018,"&lt;&gt;",$C$2:$C3018,"&lt;&gt;",$D$2:$D3018,"&lt;&gt;",$E$2:$E3018,"&lt;&gt;"),"00000"),""))</f>
        <v/>
      </c>
      <c r="N3018" s="22"/>
    </row>
    <row r="3019" spans="1:14" x14ac:dyDescent="0.3">
      <c r="A3019" s="15" t="str">
        <f>IF(COUNTA($B3019:$E3019,$K3019)=0,"",IF(AND($B3019&lt;&gt;"",$C3019&lt;&gt;"",$D3019&lt;&gt;"",$E3019&lt;&gt;""),"TXS"&amp;TEXT(COUNTIFS($B$2:$B3019,"&lt;&gt;",$C$2:$C3019,"&lt;&gt;",$D$2:$D3019,"&lt;&gt;",$E$2:$E3019,"&lt;&gt;"),"00000"),""))</f>
        <v/>
      </c>
      <c r="N3019" s="22"/>
    </row>
    <row r="3020" spans="1:14" x14ac:dyDescent="0.3">
      <c r="A3020" s="15" t="str">
        <f>IF(COUNTA($B3020:$E3020,$K3020)=0,"",IF(AND($B3020&lt;&gt;"",$C3020&lt;&gt;"",$D3020&lt;&gt;"",$E3020&lt;&gt;""),"TXS"&amp;TEXT(COUNTIFS($B$2:$B3020,"&lt;&gt;",$C$2:$C3020,"&lt;&gt;",$D$2:$D3020,"&lt;&gt;",$E$2:$E3020,"&lt;&gt;"),"00000"),""))</f>
        <v/>
      </c>
      <c r="N3020" s="22"/>
    </row>
    <row r="3021" spans="1:14" x14ac:dyDescent="0.3">
      <c r="A3021" s="15" t="str">
        <f>IF(COUNTA($B3021:$E3021,$K3021)=0,"",IF(AND($B3021&lt;&gt;"",$C3021&lt;&gt;"",$D3021&lt;&gt;"",$E3021&lt;&gt;""),"TXS"&amp;TEXT(COUNTIFS($B$2:$B3021,"&lt;&gt;",$C$2:$C3021,"&lt;&gt;",$D$2:$D3021,"&lt;&gt;",$E$2:$E3021,"&lt;&gt;"),"00000"),""))</f>
        <v/>
      </c>
      <c r="N3021" s="22"/>
    </row>
    <row r="3022" spans="1:14" x14ac:dyDescent="0.3">
      <c r="A3022" s="15" t="str">
        <f>IF(COUNTA($B3022:$E3022,$K3022)=0,"",IF(AND($B3022&lt;&gt;"",$C3022&lt;&gt;"",$D3022&lt;&gt;"",$E3022&lt;&gt;""),"TXS"&amp;TEXT(COUNTIFS($B$2:$B3022,"&lt;&gt;",$C$2:$C3022,"&lt;&gt;",$D$2:$D3022,"&lt;&gt;",$E$2:$E3022,"&lt;&gt;"),"00000"),""))</f>
        <v/>
      </c>
      <c r="N3022" s="22"/>
    </row>
    <row r="3023" spans="1:14" x14ac:dyDescent="0.3">
      <c r="A3023" s="15" t="str">
        <f>IF(COUNTA($B3023:$E3023,$K3023)=0,"",IF(AND($B3023&lt;&gt;"",$C3023&lt;&gt;"",$D3023&lt;&gt;"",$E3023&lt;&gt;""),"TXS"&amp;TEXT(COUNTIFS($B$2:$B3023,"&lt;&gt;",$C$2:$C3023,"&lt;&gt;",$D$2:$D3023,"&lt;&gt;",$E$2:$E3023,"&lt;&gt;"),"00000"),""))</f>
        <v/>
      </c>
      <c r="N3023" s="22"/>
    </row>
    <row r="3024" spans="1:14" x14ac:dyDescent="0.3">
      <c r="A3024" s="15" t="str">
        <f>IF(COUNTA($B3024:$E3024,$K3024)=0,"",IF(AND($B3024&lt;&gt;"",$C3024&lt;&gt;"",$D3024&lt;&gt;"",$E3024&lt;&gt;""),"TXS"&amp;TEXT(COUNTIFS($B$2:$B3024,"&lt;&gt;",$C$2:$C3024,"&lt;&gt;",$D$2:$D3024,"&lt;&gt;",$E$2:$E3024,"&lt;&gt;"),"00000"),""))</f>
        <v/>
      </c>
      <c r="N3024" s="22"/>
    </row>
    <row r="3025" spans="1:14" x14ac:dyDescent="0.3">
      <c r="A3025" s="15" t="str">
        <f>IF(COUNTA($B3025:$E3025,$K3025)=0,"",IF(AND($B3025&lt;&gt;"",$C3025&lt;&gt;"",$D3025&lt;&gt;"",$E3025&lt;&gt;""),"TXS"&amp;TEXT(COUNTIFS($B$2:$B3025,"&lt;&gt;",$C$2:$C3025,"&lt;&gt;",$D$2:$D3025,"&lt;&gt;",$E$2:$E3025,"&lt;&gt;"),"00000"),""))</f>
        <v/>
      </c>
      <c r="N3025" s="22"/>
    </row>
    <row r="3026" spans="1:14" x14ac:dyDescent="0.3">
      <c r="A3026" s="15" t="str">
        <f>IF(COUNTA($B3026:$E3026,$K3026)=0,"",IF(AND($B3026&lt;&gt;"",$C3026&lt;&gt;"",$D3026&lt;&gt;"",$E3026&lt;&gt;""),"TXS"&amp;TEXT(COUNTIFS($B$2:$B3026,"&lt;&gt;",$C$2:$C3026,"&lt;&gt;",$D$2:$D3026,"&lt;&gt;",$E$2:$E3026,"&lt;&gt;"),"00000"),""))</f>
        <v/>
      </c>
      <c r="N3026" s="22"/>
    </row>
    <row r="3027" spans="1:14" x14ac:dyDescent="0.3">
      <c r="A3027" s="15" t="str">
        <f>IF(COUNTA($B3027:$E3027,$K3027)=0,"",IF(AND($B3027&lt;&gt;"",$C3027&lt;&gt;"",$D3027&lt;&gt;"",$E3027&lt;&gt;""),"TXS"&amp;TEXT(COUNTIFS($B$2:$B3027,"&lt;&gt;",$C$2:$C3027,"&lt;&gt;",$D$2:$D3027,"&lt;&gt;",$E$2:$E3027,"&lt;&gt;"),"00000"),""))</f>
        <v/>
      </c>
      <c r="N3027" s="22"/>
    </row>
    <row r="3028" spans="1:14" x14ac:dyDescent="0.3">
      <c r="A3028" s="15" t="str">
        <f>IF(COUNTA($B3028:$E3028,$K3028)=0,"",IF(AND($B3028&lt;&gt;"",$C3028&lt;&gt;"",$D3028&lt;&gt;"",$E3028&lt;&gt;""),"TXS"&amp;TEXT(COUNTIFS($B$2:$B3028,"&lt;&gt;",$C$2:$C3028,"&lt;&gt;",$D$2:$D3028,"&lt;&gt;",$E$2:$E3028,"&lt;&gt;"),"00000"),""))</f>
        <v/>
      </c>
      <c r="N3028" s="22"/>
    </row>
    <row r="3029" spans="1:14" x14ac:dyDescent="0.3">
      <c r="A3029" s="15" t="str">
        <f>IF(COUNTA($B3029:$E3029,$K3029)=0,"",IF(AND($B3029&lt;&gt;"",$C3029&lt;&gt;"",$D3029&lt;&gt;"",$E3029&lt;&gt;""),"TXS"&amp;TEXT(COUNTIFS($B$2:$B3029,"&lt;&gt;",$C$2:$C3029,"&lt;&gt;",$D$2:$D3029,"&lt;&gt;",$E$2:$E3029,"&lt;&gt;"),"00000"),""))</f>
        <v/>
      </c>
      <c r="N3029" s="22"/>
    </row>
    <row r="3030" spans="1:14" x14ac:dyDescent="0.3">
      <c r="A3030" s="15" t="str">
        <f>IF(COUNTA($B3030:$E3030,$K3030)=0,"",IF(AND($B3030&lt;&gt;"",$C3030&lt;&gt;"",$D3030&lt;&gt;"",$E3030&lt;&gt;""),"TXS"&amp;TEXT(COUNTIFS($B$2:$B3030,"&lt;&gt;",$C$2:$C3030,"&lt;&gt;",$D$2:$D3030,"&lt;&gt;",$E$2:$E3030,"&lt;&gt;"),"00000"),""))</f>
        <v/>
      </c>
      <c r="N3030" s="22"/>
    </row>
    <row r="3031" spans="1:14" x14ac:dyDescent="0.3">
      <c r="A3031" s="15" t="str">
        <f>IF(COUNTA($B3031:$E3031,$K3031)=0,"",IF(AND($B3031&lt;&gt;"",$C3031&lt;&gt;"",$D3031&lt;&gt;"",$E3031&lt;&gt;""),"TXS"&amp;TEXT(COUNTIFS($B$2:$B3031,"&lt;&gt;",$C$2:$C3031,"&lt;&gt;",$D$2:$D3031,"&lt;&gt;",$E$2:$E3031,"&lt;&gt;"),"00000"),""))</f>
        <v/>
      </c>
      <c r="N3031" s="22"/>
    </row>
    <row r="3032" spans="1:14" x14ac:dyDescent="0.3">
      <c r="A3032" s="15" t="str">
        <f>IF(COUNTA($B3032:$E3032,$K3032)=0,"",IF(AND($B3032&lt;&gt;"",$C3032&lt;&gt;"",$D3032&lt;&gt;"",$E3032&lt;&gt;""),"TXS"&amp;TEXT(COUNTIFS($B$2:$B3032,"&lt;&gt;",$C$2:$C3032,"&lt;&gt;",$D$2:$D3032,"&lt;&gt;",$E$2:$E3032,"&lt;&gt;"),"00000"),""))</f>
        <v/>
      </c>
      <c r="N3032" s="22"/>
    </row>
    <row r="3033" spans="1:14" x14ac:dyDescent="0.3">
      <c r="A3033" s="15" t="str">
        <f>IF(COUNTA($B3033:$E3033,$K3033)=0,"",IF(AND($B3033&lt;&gt;"",$C3033&lt;&gt;"",$D3033&lt;&gt;"",$E3033&lt;&gt;""),"TXS"&amp;TEXT(COUNTIFS($B$2:$B3033,"&lt;&gt;",$C$2:$C3033,"&lt;&gt;",$D$2:$D3033,"&lt;&gt;",$E$2:$E3033,"&lt;&gt;"),"00000"),""))</f>
        <v/>
      </c>
      <c r="N3033" s="22"/>
    </row>
    <row r="3034" spans="1:14" x14ac:dyDescent="0.3">
      <c r="A3034" s="15" t="str">
        <f>IF(COUNTA($B3034:$E3034,$K3034)=0,"",IF(AND($B3034&lt;&gt;"",$C3034&lt;&gt;"",$D3034&lt;&gt;"",$E3034&lt;&gt;""),"TXS"&amp;TEXT(COUNTIFS($B$2:$B3034,"&lt;&gt;",$C$2:$C3034,"&lt;&gt;",$D$2:$D3034,"&lt;&gt;",$E$2:$E3034,"&lt;&gt;"),"00000"),""))</f>
        <v/>
      </c>
      <c r="N3034" s="22"/>
    </row>
    <row r="3035" spans="1:14" x14ac:dyDescent="0.3">
      <c r="A3035" s="15" t="str">
        <f>IF(COUNTA($B3035:$E3035,$K3035)=0,"",IF(AND($B3035&lt;&gt;"",$C3035&lt;&gt;"",$D3035&lt;&gt;"",$E3035&lt;&gt;""),"TXS"&amp;TEXT(COUNTIFS($B$2:$B3035,"&lt;&gt;",$C$2:$C3035,"&lt;&gt;",$D$2:$D3035,"&lt;&gt;",$E$2:$E3035,"&lt;&gt;"),"00000"),""))</f>
        <v/>
      </c>
      <c r="N3035" s="22"/>
    </row>
    <row r="3036" spans="1:14" x14ac:dyDescent="0.3">
      <c r="A3036" s="15" t="str">
        <f>IF(COUNTA($B3036:$E3036,$K3036)=0,"",IF(AND($B3036&lt;&gt;"",$C3036&lt;&gt;"",$D3036&lt;&gt;"",$E3036&lt;&gt;""),"TXS"&amp;TEXT(COUNTIFS($B$2:$B3036,"&lt;&gt;",$C$2:$C3036,"&lt;&gt;",$D$2:$D3036,"&lt;&gt;",$E$2:$E3036,"&lt;&gt;"),"00000"),""))</f>
        <v/>
      </c>
      <c r="N3036" s="22"/>
    </row>
    <row r="3037" spans="1:14" x14ac:dyDescent="0.3">
      <c r="A3037" s="15" t="str">
        <f>IF(COUNTA($B3037:$E3037,$K3037)=0,"",IF(AND($B3037&lt;&gt;"",$C3037&lt;&gt;"",$D3037&lt;&gt;"",$E3037&lt;&gt;""),"TXS"&amp;TEXT(COUNTIFS($B$2:$B3037,"&lt;&gt;",$C$2:$C3037,"&lt;&gt;",$D$2:$D3037,"&lt;&gt;",$E$2:$E3037,"&lt;&gt;"),"00000"),""))</f>
        <v/>
      </c>
      <c r="N3037" s="22"/>
    </row>
    <row r="3038" spans="1:14" x14ac:dyDescent="0.3">
      <c r="A3038" s="15" t="str">
        <f>IF(COUNTA($B3038:$E3038,$K3038)=0,"",IF(AND($B3038&lt;&gt;"",$C3038&lt;&gt;"",$D3038&lt;&gt;"",$E3038&lt;&gt;""),"TXS"&amp;TEXT(COUNTIFS($B$2:$B3038,"&lt;&gt;",$C$2:$C3038,"&lt;&gt;",$D$2:$D3038,"&lt;&gt;",$E$2:$E3038,"&lt;&gt;"),"00000"),""))</f>
        <v/>
      </c>
      <c r="N3038" s="22"/>
    </row>
    <row r="3039" spans="1:14" x14ac:dyDescent="0.3">
      <c r="A3039" s="15" t="str">
        <f>IF(COUNTA($B3039:$E3039,$K3039)=0,"",IF(AND($B3039&lt;&gt;"",$C3039&lt;&gt;"",$D3039&lt;&gt;"",$E3039&lt;&gt;""),"TXS"&amp;TEXT(COUNTIFS($B$2:$B3039,"&lt;&gt;",$C$2:$C3039,"&lt;&gt;",$D$2:$D3039,"&lt;&gt;",$E$2:$E3039,"&lt;&gt;"),"00000"),""))</f>
        <v/>
      </c>
      <c r="N3039" s="22"/>
    </row>
    <row r="3040" spans="1:14" x14ac:dyDescent="0.3">
      <c r="A3040" s="15" t="str">
        <f>IF(COUNTA($B3040:$E3040,$K3040)=0,"",IF(AND($B3040&lt;&gt;"",$C3040&lt;&gt;"",$D3040&lt;&gt;"",$E3040&lt;&gt;""),"TXS"&amp;TEXT(COUNTIFS($B$2:$B3040,"&lt;&gt;",$C$2:$C3040,"&lt;&gt;",$D$2:$D3040,"&lt;&gt;",$E$2:$E3040,"&lt;&gt;"),"00000"),""))</f>
        <v/>
      </c>
      <c r="N3040" s="22"/>
    </row>
    <row r="3041" spans="1:14" x14ac:dyDescent="0.3">
      <c r="A3041" s="15" t="str">
        <f>IF(COUNTA($B3041:$E3041,$K3041)=0,"",IF(AND($B3041&lt;&gt;"",$C3041&lt;&gt;"",$D3041&lt;&gt;"",$E3041&lt;&gt;""),"TXS"&amp;TEXT(COUNTIFS($B$2:$B3041,"&lt;&gt;",$C$2:$C3041,"&lt;&gt;",$D$2:$D3041,"&lt;&gt;",$E$2:$E3041,"&lt;&gt;"),"00000"),""))</f>
        <v/>
      </c>
      <c r="N3041" s="22"/>
    </row>
    <row r="3042" spans="1:14" x14ac:dyDescent="0.3">
      <c r="A3042" s="15" t="str">
        <f>IF(COUNTA($B3042:$E3042,$K3042)=0,"",IF(AND($B3042&lt;&gt;"",$C3042&lt;&gt;"",$D3042&lt;&gt;"",$E3042&lt;&gt;""),"TXS"&amp;TEXT(COUNTIFS($B$2:$B3042,"&lt;&gt;",$C$2:$C3042,"&lt;&gt;",$D$2:$D3042,"&lt;&gt;",$E$2:$E3042,"&lt;&gt;"),"00000"),""))</f>
        <v/>
      </c>
      <c r="N3042" s="22"/>
    </row>
    <row r="3043" spans="1:14" x14ac:dyDescent="0.3">
      <c r="A3043" s="15" t="str">
        <f>IF(COUNTA($B3043:$E3043,$K3043)=0,"",IF(AND($B3043&lt;&gt;"",$C3043&lt;&gt;"",$D3043&lt;&gt;"",$E3043&lt;&gt;""),"TXS"&amp;TEXT(COUNTIFS($B$2:$B3043,"&lt;&gt;",$C$2:$C3043,"&lt;&gt;",$D$2:$D3043,"&lt;&gt;",$E$2:$E3043,"&lt;&gt;"),"00000"),""))</f>
        <v/>
      </c>
      <c r="N3043" s="22"/>
    </row>
    <row r="3044" spans="1:14" x14ac:dyDescent="0.3">
      <c r="A3044" s="15" t="str">
        <f>IF(COUNTA($B3044:$E3044,$K3044)=0,"",IF(AND($B3044&lt;&gt;"",$C3044&lt;&gt;"",$D3044&lt;&gt;"",$E3044&lt;&gt;""),"TXS"&amp;TEXT(COUNTIFS($B$2:$B3044,"&lt;&gt;",$C$2:$C3044,"&lt;&gt;",$D$2:$D3044,"&lt;&gt;",$E$2:$E3044,"&lt;&gt;"),"00000"),""))</f>
        <v/>
      </c>
      <c r="N3044" s="22"/>
    </row>
    <row r="3045" spans="1:14" x14ac:dyDescent="0.3">
      <c r="A3045" s="15" t="str">
        <f>IF(COUNTA($B3045:$E3045,$K3045)=0,"",IF(AND($B3045&lt;&gt;"",$C3045&lt;&gt;"",$D3045&lt;&gt;"",$E3045&lt;&gt;""),"TXS"&amp;TEXT(COUNTIFS($B$2:$B3045,"&lt;&gt;",$C$2:$C3045,"&lt;&gt;",$D$2:$D3045,"&lt;&gt;",$E$2:$E3045,"&lt;&gt;"),"00000"),""))</f>
        <v/>
      </c>
      <c r="N3045" s="22"/>
    </row>
    <row r="3046" spans="1:14" x14ac:dyDescent="0.3">
      <c r="A3046" s="15" t="str">
        <f>IF(COUNTA($B3046:$E3046,$K3046)=0,"",IF(AND($B3046&lt;&gt;"",$C3046&lt;&gt;"",$D3046&lt;&gt;"",$E3046&lt;&gt;""),"TXS"&amp;TEXT(COUNTIFS($B$2:$B3046,"&lt;&gt;",$C$2:$C3046,"&lt;&gt;",$D$2:$D3046,"&lt;&gt;",$E$2:$E3046,"&lt;&gt;"),"00000"),""))</f>
        <v/>
      </c>
      <c r="N3046" s="22"/>
    </row>
    <row r="3047" spans="1:14" x14ac:dyDescent="0.3">
      <c r="A3047" s="15" t="str">
        <f>IF(COUNTA($B3047:$E3047,$K3047)=0,"",IF(AND($B3047&lt;&gt;"",$C3047&lt;&gt;"",$D3047&lt;&gt;"",$E3047&lt;&gt;""),"TXS"&amp;TEXT(COUNTIFS($B$2:$B3047,"&lt;&gt;",$C$2:$C3047,"&lt;&gt;",$D$2:$D3047,"&lt;&gt;",$E$2:$E3047,"&lt;&gt;"),"00000"),""))</f>
        <v/>
      </c>
      <c r="N3047" s="22"/>
    </row>
    <row r="3048" spans="1:14" x14ac:dyDescent="0.3">
      <c r="A3048" s="15" t="str">
        <f>IF(COUNTA($B3048:$E3048,$K3048)=0,"",IF(AND($B3048&lt;&gt;"",$C3048&lt;&gt;"",$D3048&lt;&gt;"",$E3048&lt;&gt;""),"TXS"&amp;TEXT(COUNTIFS($B$2:$B3048,"&lt;&gt;",$C$2:$C3048,"&lt;&gt;",$D$2:$D3048,"&lt;&gt;",$E$2:$E3048,"&lt;&gt;"),"00000"),""))</f>
        <v/>
      </c>
      <c r="N3048" s="22"/>
    </row>
    <row r="3049" spans="1:14" x14ac:dyDescent="0.3">
      <c r="A3049" s="15" t="str">
        <f>IF(COUNTA($B3049:$E3049,$K3049)=0,"",IF(AND($B3049&lt;&gt;"",$C3049&lt;&gt;"",$D3049&lt;&gt;"",$E3049&lt;&gt;""),"TXS"&amp;TEXT(COUNTIFS($B$2:$B3049,"&lt;&gt;",$C$2:$C3049,"&lt;&gt;",$D$2:$D3049,"&lt;&gt;",$E$2:$E3049,"&lt;&gt;"),"00000"),""))</f>
        <v/>
      </c>
      <c r="N3049" s="22"/>
    </row>
    <row r="3050" spans="1:14" x14ac:dyDescent="0.3">
      <c r="A3050" s="15" t="str">
        <f>IF(COUNTA($B3050:$E3050,$K3050)=0,"",IF(AND($B3050&lt;&gt;"",$C3050&lt;&gt;"",$D3050&lt;&gt;"",$E3050&lt;&gt;""),"TXS"&amp;TEXT(COUNTIFS($B$2:$B3050,"&lt;&gt;",$C$2:$C3050,"&lt;&gt;",$D$2:$D3050,"&lt;&gt;",$E$2:$E3050,"&lt;&gt;"),"00000"),""))</f>
        <v/>
      </c>
      <c r="N3050" s="22"/>
    </row>
    <row r="3051" spans="1:14" x14ac:dyDescent="0.3">
      <c r="A3051" s="15" t="str">
        <f>IF(COUNTA($B3051:$E3051,$K3051)=0,"",IF(AND($B3051&lt;&gt;"",$C3051&lt;&gt;"",$D3051&lt;&gt;"",$E3051&lt;&gt;""),"TXS"&amp;TEXT(COUNTIFS($B$2:$B3051,"&lt;&gt;",$C$2:$C3051,"&lt;&gt;",$D$2:$D3051,"&lt;&gt;",$E$2:$E3051,"&lt;&gt;"),"00000"),""))</f>
        <v/>
      </c>
      <c r="N3051" s="22"/>
    </row>
    <row r="3052" spans="1:14" x14ac:dyDescent="0.3">
      <c r="A3052" s="15" t="str">
        <f>IF(COUNTA($B3052:$E3052,$K3052)=0,"",IF(AND($B3052&lt;&gt;"",$C3052&lt;&gt;"",$D3052&lt;&gt;"",$E3052&lt;&gt;""),"TXS"&amp;TEXT(COUNTIFS($B$2:$B3052,"&lt;&gt;",$C$2:$C3052,"&lt;&gt;",$D$2:$D3052,"&lt;&gt;",$E$2:$E3052,"&lt;&gt;"),"00000"),""))</f>
        <v/>
      </c>
      <c r="N3052" s="22"/>
    </row>
    <row r="3053" spans="1:14" x14ac:dyDescent="0.3">
      <c r="A3053" s="15" t="str">
        <f>IF(COUNTA($B3053:$E3053,$K3053)=0,"",IF(AND($B3053&lt;&gt;"",$C3053&lt;&gt;"",$D3053&lt;&gt;"",$E3053&lt;&gt;""),"TXS"&amp;TEXT(COUNTIFS($B$2:$B3053,"&lt;&gt;",$C$2:$C3053,"&lt;&gt;",$D$2:$D3053,"&lt;&gt;",$E$2:$E3053,"&lt;&gt;"),"00000"),""))</f>
        <v/>
      </c>
      <c r="N3053" s="22"/>
    </row>
    <row r="3054" spans="1:14" x14ac:dyDescent="0.3">
      <c r="A3054" s="15" t="str">
        <f>IF(COUNTA($B3054:$E3054,$K3054)=0,"",IF(AND($B3054&lt;&gt;"",$C3054&lt;&gt;"",$D3054&lt;&gt;"",$E3054&lt;&gt;""),"TXS"&amp;TEXT(COUNTIFS($B$2:$B3054,"&lt;&gt;",$C$2:$C3054,"&lt;&gt;",$D$2:$D3054,"&lt;&gt;",$E$2:$E3054,"&lt;&gt;"),"00000"),""))</f>
        <v/>
      </c>
      <c r="N3054" s="22"/>
    </row>
    <row r="3055" spans="1:14" x14ac:dyDescent="0.3">
      <c r="A3055" s="15" t="str">
        <f>IF(COUNTA($B3055:$E3055,$K3055)=0,"",IF(AND($B3055&lt;&gt;"",$C3055&lt;&gt;"",$D3055&lt;&gt;"",$E3055&lt;&gt;""),"TXS"&amp;TEXT(COUNTIFS($B$2:$B3055,"&lt;&gt;",$C$2:$C3055,"&lt;&gt;",$D$2:$D3055,"&lt;&gt;",$E$2:$E3055,"&lt;&gt;"),"00000"),""))</f>
        <v/>
      </c>
      <c r="N3055" s="22"/>
    </row>
    <row r="3056" spans="1:14" x14ac:dyDescent="0.3">
      <c r="A3056" s="15" t="str">
        <f>IF(COUNTA($B3056:$E3056,$K3056)=0,"",IF(AND($B3056&lt;&gt;"",$C3056&lt;&gt;"",$D3056&lt;&gt;"",$E3056&lt;&gt;""),"TXS"&amp;TEXT(COUNTIFS($B$2:$B3056,"&lt;&gt;",$C$2:$C3056,"&lt;&gt;",$D$2:$D3056,"&lt;&gt;",$E$2:$E3056,"&lt;&gt;"),"00000"),""))</f>
        <v/>
      </c>
      <c r="N3056" s="22"/>
    </row>
    <row r="3057" spans="1:14" x14ac:dyDescent="0.3">
      <c r="A3057" s="15" t="str">
        <f>IF(COUNTA($B3057:$E3057,$K3057)=0,"",IF(AND($B3057&lt;&gt;"",$C3057&lt;&gt;"",$D3057&lt;&gt;"",$E3057&lt;&gt;""),"TXS"&amp;TEXT(COUNTIFS($B$2:$B3057,"&lt;&gt;",$C$2:$C3057,"&lt;&gt;",$D$2:$D3057,"&lt;&gt;",$E$2:$E3057,"&lt;&gt;"),"00000"),""))</f>
        <v/>
      </c>
      <c r="N3057" s="22"/>
    </row>
    <row r="3058" spans="1:14" x14ac:dyDescent="0.3">
      <c r="A3058" s="15" t="str">
        <f>IF(COUNTA($B3058:$E3058,$K3058)=0,"",IF(AND($B3058&lt;&gt;"",$C3058&lt;&gt;"",$D3058&lt;&gt;"",$E3058&lt;&gt;""),"TXS"&amp;TEXT(COUNTIFS($B$2:$B3058,"&lt;&gt;",$C$2:$C3058,"&lt;&gt;",$D$2:$D3058,"&lt;&gt;",$E$2:$E3058,"&lt;&gt;"),"00000"),""))</f>
        <v/>
      </c>
      <c r="N3058" s="22"/>
    </row>
    <row r="3059" spans="1:14" x14ac:dyDescent="0.3">
      <c r="A3059" s="15" t="str">
        <f>IF(COUNTA($B3059:$E3059,$K3059)=0,"",IF(AND($B3059&lt;&gt;"",$C3059&lt;&gt;"",$D3059&lt;&gt;"",$E3059&lt;&gt;""),"TXS"&amp;TEXT(COUNTIFS($B$2:$B3059,"&lt;&gt;",$C$2:$C3059,"&lt;&gt;",$D$2:$D3059,"&lt;&gt;",$E$2:$E3059,"&lt;&gt;"),"00000"),""))</f>
        <v/>
      </c>
      <c r="N3059" s="22"/>
    </row>
    <row r="3060" spans="1:14" x14ac:dyDescent="0.3">
      <c r="A3060" s="15" t="str">
        <f>IF(COUNTA($B3060:$E3060,$K3060)=0,"",IF(AND($B3060&lt;&gt;"",$C3060&lt;&gt;"",$D3060&lt;&gt;"",$E3060&lt;&gt;""),"TXS"&amp;TEXT(COUNTIFS($B$2:$B3060,"&lt;&gt;",$C$2:$C3060,"&lt;&gt;",$D$2:$D3060,"&lt;&gt;",$E$2:$E3060,"&lt;&gt;"),"00000"),""))</f>
        <v/>
      </c>
      <c r="N3060" s="22"/>
    </row>
    <row r="3061" spans="1:14" x14ac:dyDescent="0.3">
      <c r="A3061" s="15" t="str">
        <f>IF(COUNTA($B3061:$E3061,$K3061)=0,"",IF(AND($B3061&lt;&gt;"",$C3061&lt;&gt;"",$D3061&lt;&gt;"",$E3061&lt;&gt;""),"TXS"&amp;TEXT(COUNTIFS($B$2:$B3061,"&lt;&gt;",$C$2:$C3061,"&lt;&gt;",$D$2:$D3061,"&lt;&gt;",$E$2:$E3061,"&lt;&gt;"),"00000"),""))</f>
        <v/>
      </c>
      <c r="N3061" s="22"/>
    </row>
    <row r="3062" spans="1:14" x14ac:dyDescent="0.3">
      <c r="A3062" s="15" t="str">
        <f>IF(COUNTA($B3062:$E3062,$K3062)=0,"",IF(AND($B3062&lt;&gt;"",$C3062&lt;&gt;"",$D3062&lt;&gt;"",$E3062&lt;&gt;""),"TXS"&amp;TEXT(COUNTIFS($B$2:$B3062,"&lt;&gt;",$C$2:$C3062,"&lt;&gt;",$D$2:$D3062,"&lt;&gt;",$E$2:$E3062,"&lt;&gt;"),"00000"),""))</f>
        <v/>
      </c>
      <c r="N3062" s="22"/>
    </row>
    <row r="3063" spans="1:14" x14ac:dyDescent="0.3">
      <c r="A3063" s="15" t="str">
        <f>IF(COUNTA($B3063:$E3063,$K3063)=0,"",IF(AND($B3063&lt;&gt;"",$C3063&lt;&gt;"",$D3063&lt;&gt;"",$E3063&lt;&gt;""),"TXS"&amp;TEXT(COUNTIFS($B$2:$B3063,"&lt;&gt;",$C$2:$C3063,"&lt;&gt;",$D$2:$D3063,"&lt;&gt;",$E$2:$E3063,"&lt;&gt;"),"00000"),""))</f>
        <v/>
      </c>
      <c r="N3063" s="22"/>
    </row>
    <row r="3064" spans="1:14" x14ac:dyDescent="0.3">
      <c r="A3064" s="15" t="str">
        <f>IF(COUNTA($B3064:$E3064,$K3064)=0,"",IF(AND($B3064&lt;&gt;"",$C3064&lt;&gt;"",$D3064&lt;&gt;"",$E3064&lt;&gt;""),"TXS"&amp;TEXT(COUNTIFS($B$2:$B3064,"&lt;&gt;",$C$2:$C3064,"&lt;&gt;",$D$2:$D3064,"&lt;&gt;",$E$2:$E3064,"&lt;&gt;"),"00000"),""))</f>
        <v/>
      </c>
      <c r="N3064" s="22"/>
    </row>
    <row r="3065" spans="1:14" x14ac:dyDescent="0.3">
      <c r="A3065" s="15" t="str">
        <f>IF(COUNTA($B3065:$E3065,$K3065)=0,"",IF(AND($B3065&lt;&gt;"",$C3065&lt;&gt;"",$D3065&lt;&gt;"",$E3065&lt;&gt;""),"TXS"&amp;TEXT(COUNTIFS($B$2:$B3065,"&lt;&gt;",$C$2:$C3065,"&lt;&gt;",$D$2:$D3065,"&lt;&gt;",$E$2:$E3065,"&lt;&gt;"),"00000"),""))</f>
        <v/>
      </c>
      <c r="N3065" s="22"/>
    </row>
    <row r="3066" spans="1:14" x14ac:dyDescent="0.3">
      <c r="A3066" s="15" t="str">
        <f>IF(COUNTA($B3066:$E3066,$K3066)=0,"",IF(AND($B3066&lt;&gt;"",$C3066&lt;&gt;"",$D3066&lt;&gt;"",$E3066&lt;&gt;""),"TXS"&amp;TEXT(COUNTIFS($B$2:$B3066,"&lt;&gt;",$C$2:$C3066,"&lt;&gt;",$D$2:$D3066,"&lt;&gt;",$E$2:$E3066,"&lt;&gt;"),"00000"),""))</f>
        <v/>
      </c>
      <c r="N3066" s="22"/>
    </row>
    <row r="3067" spans="1:14" x14ac:dyDescent="0.3">
      <c r="A3067" s="15" t="str">
        <f>IF(COUNTA($B3067:$E3067,$K3067)=0,"",IF(AND($B3067&lt;&gt;"",$C3067&lt;&gt;"",$D3067&lt;&gt;"",$E3067&lt;&gt;""),"TXS"&amp;TEXT(COUNTIFS($B$2:$B3067,"&lt;&gt;",$C$2:$C3067,"&lt;&gt;",$D$2:$D3067,"&lt;&gt;",$E$2:$E3067,"&lt;&gt;"),"00000"),""))</f>
        <v/>
      </c>
      <c r="N3067" s="22"/>
    </row>
    <row r="3068" spans="1:14" x14ac:dyDescent="0.3">
      <c r="A3068" s="15" t="str">
        <f>IF(COUNTA($B3068:$E3068,$K3068)=0,"",IF(AND($B3068&lt;&gt;"",$C3068&lt;&gt;"",$D3068&lt;&gt;"",$E3068&lt;&gt;""),"TXS"&amp;TEXT(COUNTIFS($B$2:$B3068,"&lt;&gt;",$C$2:$C3068,"&lt;&gt;",$D$2:$D3068,"&lt;&gt;",$E$2:$E3068,"&lt;&gt;"),"00000"),""))</f>
        <v/>
      </c>
      <c r="N3068" s="22"/>
    </row>
    <row r="3069" spans="1:14" x14ac:dyDescent="0.3">
      <c r="A3069" s="15" t="str">
        <f>IF(COUNTA($B3069:$E3069,$K3069)=0,"",IF(AND($B3069&lt;&gt;"",$C3069&lt;&gt;"",$D3069&lt;&gt;"",$E3069&lt;&gt;""),"TXS"&amp;TEXT(COUNTIFS($B$2:$B3069,"&lt;&gt;",$C$2:$C3069,"&lt;&gt;",$D$2:$D3069,"&lt;&gt;",$E$2:$E3069,"&lt;&gt;"),"00000"),""))</f>
        <v/>
      </c>
      <c r="N3069" s="22"/>
    </row>
    <row r="3070" spans="1:14" x14ac:dyDescent="0.3">
      <c r="A3070" s="15" t="str">
        <f>IF(COUNTA($B3070:$E3070,$K3070)=0,"",IF(AND($B3070&lt;&gt;"",$C3070&lt;&gt;"",$D3070&lt;&gt;"",$E3070&lt;&gt;""),"TXS"&amp;TEXT(COUNTIFS($B$2:$B3070,"&lt;&gt;",$C$2:$C3070,"&lt;&gt;",$D$2:$D3070,"&lt;&gt;",$E$2:$E3070,"&lt;&gt;"),"00000"),""))</f>
        <v/>
      </c>
      <c r="N3070" s="22"/>
    </row>
    <row r="3071" spans="1:14" x14ac:dyDescent="0.3">
      <c r="A3071" s="15" t="str">
        <f>IF(COUNTA($B3071:$E3071,$K3071)=0,"",IF(AND($B3071&lt;&gt;"",$C3071&lt;&gt;"",$D3071&lt;&gt;"",$E3071&lt;&gt;""),"TXS"&amp;TEXT(COUNTIFS($B$2:$B3071,"&lt;&gt;",$C$2:$C3071,"&lt;&gt;",$D$2:$D3071,"&lt;&gt;",$E$2:$E3071,"&lt;&gt;"),"00000"),""))</f>
        <v/>
      </c>
      <c r="N3071" s="22"/>
    </row>
    <row r="3072" spans="1:14" x14ac:dyDescent="0.3">
      <c r="A3072" s="15" t="str">
        <f>IF(COUNTA($B3072:$E3072,$K3072)=0,"",IF(AND($B3072&lt;&gt;"",$C3072&lt;&gt;"",$D3072&lt;&gt;"",$E3072&lt;&gt;""),"TXS"&amp;TEXT(COUNTIFS($B$2:$B3072,"&lt;&gt;",$C$2:$C3072,"&lt;&gt;",$D$2:$D3072,"&lt;&gt;",$E$2:$E3072,"&lt;&gt;"),"00000"),""))</f>
        <v/>
      </c>
      <c r="N3072" s="22"/>
    </row>
    <row r="3073" spans="1:14" x14ac:dyDescent="0.3">
      <c r="A3073" s="15" t="str">
        <f>IF(COUNTA($B3073:$E3073,$K3073)=0,"",IF(AND($B3073&lt;&gt;"",$C3073&lt;&gt;"",$D3073&lt;&gt;"",$E3073&lt;&gt;""),"TXS"&amp;TEXT(COUNTIFS($B$2:$B3073,"&lt;&gt;",$C$2:$C3073,"&lt;&gt;",$D$2:$D3073,"&lt;&gt;",$E$2:$E3073,"&lt;&gt;"),"00000"),""))</f>
        <v/>
      </c>
      <c r="N3073" s="22"/>
    </row>
    <row r="3074" spans="1:14" x14ac:dyDescent="0.3">
      <c r="A3074" s="15" t="str">
        <f>IF(COUNTA($B3074:$E3074,$K3074)=0,"",IF(AND($B3074&lt;&gt;"",$C3074&lt;&gt;"",$D3074&lt;&gt;"",$E3074&lt;&gt;""),"TXS"&amp;TEXT(COUNTIFS($B$2:$B3074,"&lt;&gt;",$C$2:$C3074,"&lt;&gt;",$D$2:$D3074,"&lt;&gt;",$E$2:$E3074,"&lt;&gt;"),"00000"),""))</f>
        <v/>
      </c>
      <c r="N3074" s="22"/>
    </row>
    <row r="3075" spans="1:14" x14ac:dyDescent="0.3">
      <c r="A3075" s="15" t="str">
        <f>IF(COUNTA($B3075:$E3075,$K3075)=0,"",IF(AND($B3075&lt;&gt;"",$C3075&lt;&gt;"",$D3075&lt;&gt;"",$E3075&lt;&gt;""),"TXS"&amp;TEXT(COUNTIFS($B$2:$B3075,"&lt;&gt;",$C$2:$C3075,"&lt;&gt;",$D$2:$D3075,"&lt;&gt;",$E$2:$E3075,"&lt;&gt;"),"00000"),""))</f>
        <v/>
      </c>
      <c r="N3075" s="22"/>
    </row>
    <row r="3076" spans="1:14" x14ac:dyDescent="0.3">
      <c r="A3076" s="15" t="str">
        <f>IF(COUNTA($B3076:$E3076,$K3076)=0,"",IF(AND($B3076&lt;&gt;"",$C3076&lt;&gt;"",$D3076&lt;&gt;"",$E3076&lt;&gt;""),"TXS"&amp;TEXT(COUNTIFS($B$2:$B3076,"&lt;&gt;",$C$2:$C3076,"&lt;&gt;",$D$2:$D3076,"&lt;&gt;",$E$2:$E3076,"&lt;&gt;"),"00000"),""))</f>
        <v/>
      </c>
      <c r="N3076" s="22"/>
    </row>
    <row r="3077" spans="1:14" x14ac:dyDescent="0.3">
      <c r="A3077" s="15" t="str">
        <f>IF(COUNTA($B3077:$E3077,$K3077)=0,"",IF(AND($B3077&lt;&gt;"",$C3077&lt;&gt;"",$D3077&lt;&gt;"",$E3077&lt;&gt;""),"TXS"&amp;TEXT(COUNTIFS($B$2:$B3077,"&lt;&gt;",$C$2:$C3077,"&lt;&gt;",$D$2:$D3077,"&lt;&gt;",$E$2:$E3077,"&lt;&gt;"),"00000"),""))</f>
        <v/>
      </c>
      <c r="N3077" s="22"/>
    </row>
    <row r="3078" spans="1:14" x14ac:dyDescent="0.3">
      <c r="A3078" s="15" t="str">
        <f>IF(COUNTA($B3078:$E3078,$K3078)=0,"",IF(AND($B3078&lt;&gt;"",$C3078&lt;&gt;"",$D3078&lt;&gt;"",$E3078&lt;&gt;""),"TXS"&amp;TEXT(COUNTIFS($B$2:$B3078,"&lt;&gt;",$C$2:$C3078,"&lt;&gt;",$D$2:$D3078,"&lt;&gt;",$E$2:$E3078,"&lt;&gt;"),"00000"),""))</f>
        <v/>
      </c>
      <c r="N3078" s="22"/>
    </row>
    <row r="3079" spans="1:14" x14ac:dyDescent="0.3">
      <c r="A3079" s="15" t="str">
        <f>IF(COUNTA($B3079:$E3079,$K3079)=0,"",IF(AND($B3079&lt;&gt;"",$C3079&lt;&gt;"",$D3079&lt;&gt;"",$E3079&lt;&gt;""),"TXS"&amp;TEXT(COUNTIFS($B$2:$B3079,"&lt;&gt;",$C$2:$C3079,"&lt;&gt;",$D$2:$D3079,"&lt;&gt;",$E$2:$E3079,"&lt;&gt;"),"00000"),""))</f>
        <v/>
      </c>
      <c r="N3079" s="22"/>
    </row>
    <row r="3080" spans="1:14" x14ac:dyDescent="0.3">
      <c r="A3080" s="15" t="str">
        <f>IF(COUNTA($B3080:$E3080,$K3080)=0,"",IF(AND($B3080&lt;&gt;"",$C3080&lt;&gt;"",$D3080&lt;&gt;"",$E3080&lt;&gt;""),"TXS"&amp;TEXT(COUNTIFS($B$2:$B3080,"&lt;&gt;",$C$2:$C3080,"&lt;&gt;",$D$2:$D3080,"&lt;&gt;",$E$2:$E3080,"&lt;&gt;"),"00000"),""))</f>
        <v/>
      </c>
      <c r="N3080" s="22"/>
    </row>
    <row r="3081" spans="1:14" x14ac:dyDescent="0.3">
      <c r="A3081" s="15" t="str">
        <f>IF(COUNTA($B3081:$E3081,$K3081)=0,"",IF(AND($B3081&lt;&gt;"",$C3081&lt;&gt;"",$D3081&lt;&gt;"",$E3081&lt;&gt;""),"TXS"&amp;TEXT(COUNTIFS($B$2:$B3081,"&lt;&gt;",$C$2:$C3081,"&lt;&gt;",$D$2:$D3081,"&lt;&gt;",$E$2:$E3081,"&lt;&gt;"),"00000"),""))</f>
        <v/>
      </c>
      <c r="N3081" s="22"/>
    </row>
    <row r="3082" spans="1:14" x14ac:dyDescent="0.3">
      <c r="A3082" s="15" t="str">
        <f>IF(COUNTA($B3082:$E3082,$K3082)=0,"",IF(AND($B3082&lt;&gt;"",$C3082&lt;&gt;"",$D3082&lt;&gt;"",$E3082&lt;&gt;""),"TXS"&amp;TEXT(COUNTIFS($B$2:$B3082,"&lt;&gt;",$C$2:$C3082,"&lt;&gt;",$D$2:$D3082,"&lt;&gt;",$E$2:$E3082,"&lt;&gt;"),"00000"),""))</f>
        <v/>
      </c>
      <c r="N3082" s="22"/>
    </row>
    <row r="3083" spans="1:14" x14ac:dyDescent="0.3">
      <c r="A3083" s="15" t="str">
        <f>IF(COUNTA($B3083:$E3083,$K3083)=0,"",IF(AND($B3083&lt;&gt;"",$C3083&lt;&gt;"",$D3083&lt;&gt;"",$E3083&lt;&gt;""),"TXS"&amp;TEXT(COUNTIFS($B$2:$B3083,"&lt;&gt;",$C$2:$C3083,"&lt;&gt;",$D$2:$D3083,"&lt;&gt;",$E$2:$E3083,"&lt;&gt;"),"00000"),""))</f>
        <v/>
      </c>
      <c r="N3083" s="22"/>
    </row>
    <row r="3084" spans="1:14" x14ac:dyDescent="0.3">
      <c r="A3084" s="15" t="str">
        <f>IF(COUNTA($B3084:$E3084,$K3084)=0,"",IF(AND($B3084&lt;&gt;"",$C3084&lt;&gt;"",$D3084&lt;&gt;"",$E3084&lt;&gt;""),"TXS"&amp;TEXT(COUNTIFS($B$2:$B3084,"&lt;&gt;",$C$2:$C3084,"&lt;&gt;",$D$2:$D3084,"&lt;&gt;",$E$2:$E3084,"&lt;&gt;"),"00000"),""))</f>
        <v/>
      </c>
      <c r="N3084" s="22"/>
    </row>
    <row r="3085" spans="1:14" x14ac:dyDescent="0.3">
      <c r="A3085" s="15" t="str">
        <f>IF(COUNTA($B3085:$E3085,$K3085)=0,"",IF(AND($B3085&lt;&gt;"",$C3085&lt;&gt;"",$D3085&lt;&gt;"",$E3085&lt;&gt;""),"TXS"&amp;TEXT(COUNTIFS($B$2:$B3085,"&lt;&gt;",$C$2:$C3085,"&lt;&gt;",$D$2:$D3085,"&lt;&gt;",$E$2:$E3085,"&lt;&gt;"),"00000"),""))</f>
        <v/>
      </c>
      <c r="N3085" s="22"/>
    </row>
    <row r="3086" spans="1:14" x14ac:dyDescent="0.3">
      <c r="A3086" s="15" t="str">
        <f>IF(COUNTA($B3086:$E3086,$K3086)=0,"",IF(AND($B3086&lt;&gt;"",$C3086&lt;&gt;"",$D3086&lt;&gt;"",$E3086&lt;&gt;""),"TXS"&amp;TEXT(COUNTIFS($B$2:$B3086,"&lt;&gt;",$C$2:$C3086,"&lt;&gt;",$D$2:$D3086,"&lt;&gt;",$E$2:$E3086,"&lt;&gt;"),"00000"),""))</f>
        <v/>
      </c>
      <c r="N3086" s="22"/>
    </row>
    <row r="3087" spans="1:14" x14ac:dyDescent="0.3">
      <c r="A3087" s="15" t="str">
        <f>IF(COUNTA($B3087:$E3087,$K3087)=0,"",IF(AND($B3087&lt;&gt;"",$C3087&lt;&gt;"",$D3087&lt;&gt;"",$E3087&lt;&gt;""),"TXS"&amp;TEXT(COUNTIFS($B$2:$B3087,"&lt;&gt;",$C$2:$C3087,"&lt;&gt;",$D$2:$D3087,"&lt;&gt;",$E$2:$E3087,"&lt;&gt;"),"00000"),""))</f>
        <v/>
      </c>
      <c r="N3087" s="22"/>
    </row>
    <row r="3088" spans="1:14" x14ac:dyDescent="0.3">
      <c r="A3088" s="15" t="str">
        <f>IF(COUNTA($B3088:$E3088,$K3088)=0,"",IF(AND($B3088&lt;&gt;"",$C3088&lt;&gt;"",$D3088&lt;&gt;"",$E3088&lt;&gt;""),"TXS"&amp;TEXT(COUNTIFS($B$2:$B3088,"&lt;&gt;",$C$2:$C3088,"&lt;&gt;",$D$2:$D3088,"&lt;&gt;",$E$2:$E3088,"&lt;&gt;"),"00000"),""))</f>
        <v/>
      </c>
      <c r="N3088" s="22"/>
    </row>
    <row r="3089" spans="1:14" x14ac:dyDescent="0.3">
      <c r="A3089" s="15" t="str">
        <f>IF(COUNTA($B3089:$E3089,$K3089)=0,"",IF(AND($B3089&lt;&gt;"",$C3089&lt;&gt;"",$D3089&lt;&gt;"",$E3089&lt;&gt;""),"TXS"&amp;TEXT(COUNTIFS($B$2:$B3089,"&lt;&gt;",$C$2:$C3089,"&lt;&gt;",$D$2:$D3089,"&lt;&gt;",$E$2:$E3089,"&lt;&gt;"),"00000"),""))</f>
        <v/>
      </c>
      <c r="N3089" s="22"/>
    </row>
    <row r="3090" spans="1:14" x14ac:dyDescent="0.3">
      <c r="A3090" s="15" t="str">
        <f>IF(COUNTA($B3090:$E3090,$K3090)=0,"",IF(AND($B3090&lt;&gt;"",$C3090&lt;&gt;"",$D3090&lt;&gt;"",$E3090&lt;&gt;""),"TXS"&amp;TEXT(COUNTIFS($B$2:$B3090,"&lt;&gt;",$C$2:$C3090,"&lt;&gt;",$D$2:$D3090,"&lt;&gt;",$E$2:$E3090,"&lt;&gt;"),"00000"),""))</f>
        <v/>
      </c>
      <c r="N3090" s="22"/>
    </row>
    <row r="3091" spans="1:14" x14ac:dyDescent="0.3">
      <c r="A3091" s="15" t="str">
        <f>IF(COUNTA($B3091:$E3091,$K3091)=0,"",IF(AND($B3091&lt;&gt;"",$C3091&lt;&gt;"",$D3091&lt;&gt;"",$E3091&lt;&gt;""),"TXS"&amp;TEXT(COUNTIFS($B$2:$B3091,"&lt;&gt;",$C$2:$C3091,"&lt;&gt;",$D$2:$D3091,"&lt;&gt;",$E$2:$E3091,"&lt;&gt;"),"00000"),""))</f>
        <v/>
      </c>
      <c r="N3091" s="22"/>
    </row>
    <row r="3092" spans="1:14" x14ac:dyDescent="0.3">
      <c r="A3092" s="15" t="str">
        <f>IF(COUNTA($B3092:$E3092,$K3092)=0,"",IF(AND($B3092&lt;&gt;"",$C3092&lt;&gt;"",$D3092&lt;&gt;"",$E3092&lt;&gt;""),"TXS"&amp;TEXT(COUNTIFS($B$2:$B3092,"&lt;&gt;",$C$2:$C3092,"&lt;&gt;",$D$2:$D3092,"&lt;&gt;",$E$2:$E3092,"&lt;&gt;"),"00000"),""))</f>
        <v/>
      </c>
      <c r="N3092" s="22"/>
    </row>
    <row r="3093" spans="1:14" x14ac:dyDescent="0.3">
      <c r="A3093" s="15" t="str">
        <f>IF(COUNTA($B3093:$E3093,$K3093)=0,"",IF(AND($B3093&lt;&gt;"",$C3093&lt;&gt;"",$D3093&lt;&gt;"",$E3093&lt;&gt;""),"TXS"&amp;TEXT(COUNTIFS($B$2:$B3093,"&lt;&gt;",$C$2:$C3093,"&lt;&gt;",$D$2:$D3093,"&lt;&gt;",$E$2:$E3093,"&lt;&gt;"),"00000"),""))</f>
        <v/>
      </c>
      <c r="N3093" s="22"/>
    </row>
    <row r="3094" spans="1:14" x14ac:dyDescent="0.3">
      <c r="A3094" s="15" t="str">
        <f>IF(COUNTA($B3094:$E3094,$K3094)=0,"",IF(AND($B3094&lt;&gt;"",$C3094&lt;&gt;"",$D3094&lt;&gt;"",$E3094&lt;&gt;""),"TXS"&amp;TEXT(COUNTIFS($B$2:$B3094,"&lt;&gt;",$C$2:$C3094,"&lt;&gt;",$D$2:$D3094,"&lt;&gt;",$E$2:$E3094,"&lt;&gt;"),"00000"),""))</f>
        <v/>
      </c>
      <c r="N3094" s="22"/>
    </row>
    <row r="3095" spans="1:14" x14ac:dyDescent="0.3">
      <c r="A3095" s="15" t="str">
        <f>IF(COUNTA($B3095:$E3095,$K3095)=0,"",IF(AND($B3095&lt;&gt;"",$C3095&lt;&gt;"",$D3095&lt;&gt;"",$E3095&lt;&gt;""),"TXS"&amp;TEXT(COUNTIFS($B$2:$B3095,"&lt;&gt;",$C$2:$C3095,"&lt;&gt;",$D$2:$D3095,"&lt;&gt;",$E$2:$E3095,"&lt;&gt;"),"00000"),""))</f>
        <v/>
      </c>
      <c r="N3095" s="22"/>
    </row>
    <row r="3096" spans="1:14" x14ac:dyDescent="0.3">
      <c r="A3096" s="15" t="str">
        <f>IF(COUNTA($B3096:$E3096,$K3096)=0,"",IF(AND($B3096&lt;&gt;"",$C3096&lt;&gt;"",$D3096&lt;&gt;"",$E3096&lt;&gt;""),"TXS"&amp;TEXT(COUNTIFS($B$2:$B3096,"&lt;&gt;",$C$2:$C3096,"&lt;&gt;",$D$2:$D3096,"&lt;&gt;",$E$2:$E3096,"&lt;&gt;"),"00000"),""))</f>
        <v/>
      </c>
      <c r="N3096" s="22"/>
    </row>
    <row r="3097" spans="1:14" x14ac:dyDescent="0.3">
      <c r="A3097" s="15" t="str">
        <f>IF(COUNTA($B3097:$E3097,$K3097)=0,"",IF(AND($B3097&lt;&gt;"",$C3097&lt;&gt;"",$D3097&lt;&gt;"",$E3097&lt;&gt;""),"TXS"&amp;TEXT(COUNTIFS($B$2:$B3097,"&lt;&gt;",$C$2:$C3097,"&lt;&gt;",$D$2:$D3097,"&lt;&gt;",$E$2:$E3097,"&lt;&gt;"),"00000"),""))</f>
        <v/>
      </c>
      <c r="N3097" s="22"/>
    </row>
    <row r="3098" spans="1:14" x14ac:dyDescent="0.3">
      <c r="A3098" s="15" t="str">
        <f>IF(COUNTA($B3098:$E3098,$K3098)=0,"",IF(AND($B3098&lt;&gt;"",$C3098&lt;&gt;"",$D3098&lt;&gt;"",$E3098&lt;&gt;""),"TXS"&amp;TEXT(COUNTIFS($B$2:$B3098,"&lt;&gt;",$C$2:$C3098,"&lt;&gt;",$D$2:$D3098,"&lt;&gt;",$E$2:$E3098,"&lt;&gt;"),"00000"),""))</f>
        <v/>
      </c>
      <c r="N3098" s="22"/>
    </row>
    <row r="3099" spans="1:14" x14ac:dyDescent="0.3">
      <c r="A3099" s="15" t="str">
        <f>IF(COUNTA($B3099:$E3099,$K3099)=0,"",IF(AND($B3099&lt;&gt;"",$C3099&lt;&gt;"",$D3099&lt;&gt;"",$E3099&lt;&gt;""),"TXS"&amp;TEXT(COUNTIFS($B$2:$B3099,"&lt;&gt;",$C$2:$C3099,"&lt;&gt;",$D$2:$D3099,"&lt;&gt;",$E$2:$E3099,"&lt;&gt;"),"00000"),""))</f>
        <v/>
      </c>
      <c r="N3099" s="22"/>
    </row>
    <row r="3100" spans="1:14" x14ac:dyDescent="0.3">
      <c r="A3100" s="15" t="str">
        <f>IF(COUNTA($B3100:$E3100,$K3100)=0,"",IF(AND($B3100&lt;&gt;"",$C3100&lt;&gt;"",$D3100&lt;&gt;"",$E3100&lt;&gt;""),"TXS"&amp;TEXT(COUNTIFS($B$2:$B3100,"&lt;&gt;",$C$2:$C3100,"&lt;&gt;",$D$2:$D3100,"&lt;&gt;",$E$2:$E3100,"&lt;&gt;"),"00000"),""))</f>
        <v/>
      </c>
      <c r="N3100" s="22"/>
    </row>
    <row r="3101" spans="1:14" x14ac:dyDescent="0.3">
      <c r="A3101" s="15" t="str">
        <f>IF(COUNTA($B3101:$E3101,$K3101)=0,"",IF(AND($B3101&lt;&gt;"",$C3101&lt;&gt;"",$D3101&lt;&gt;"",$E3101&lt;&gt;""),"TXS"&amp;TEXT(COUNTIFS($B$2:$B3101,"&lt;&gt;",$C$2:$C3101,"&lt;&gt;",$D$2:$D3101,"&lt;&gt;",$E$2:$E3101,"&lt;&gt;"),"00000"),""))</f>
        <v/>
      </c>
      <c r="N3101" s="22"/>
    </row>
    <row r="3102" spans="1:14" x14ac:dyDescent="0.3">
      <c r="A3102" s="15" t="str">
        <f>IF(COUNTA($B3102:$E3102,$K3102)=0,"",IF(AND($B3102&lt;&gt;"",$C3102&lt;&gt;"",$D3102&lt;&gt;"",$E3102&lt;&gt;""),"TXS"&amp;TEXT(COUNTIFS($B$2:$B3102,"&lt;&gt;",$C$2:$C3102,"&lt;&gt;",$D$2:$D3102,"&lt;&gt;",$E$2:$E3102,"&lt;&gt;"),"00000"),""))</f>
        <v/>
      </c>
      <c r="N3102" s="22"/>
    </row>
    <row r="3103" spans="1:14" x14ac:dyDescent="0.3">
      <c r="A3103" s="15" t="str">
        <f>IF(COUNTA($B3103:$E3103,$K3103)=0,"",IF(AND($B3103&lt;&gt;"",$C3103&lt;&gt;"",$D3103&lt;&gt;"",$E3103&lt;&gt;""),"TXS"&amp;TEXT(COUNTIFS($B$2:$B3103,"&lt;&gt;",$C$2:$C3103,"&lt;&gt;",$D$2:$D3103,"&lt;&gt;",$E$2:$E3103,"&lt;&gt;"),"00000"),""))</f>
        <v/>
      </c>
      <c r="N3103" s="22"/>
    </row>
    <row r="3104" spans="1:14" x14ac:dyDescent="0.3">
      <c r="A3104" s="15" t="str">
        <f>IF(COUNTA($B3104:$E3104,$K3104)=0,"",IF(AND($B3104&lt;&gt;"",$C3104&lt;&gt;"",$D3104&lt;&gt;"",$E3104&lt;&gt;""),"TXS"&amp;TEXT(COUNTIFS($B$2:$B3104,"&lt;&gt;",$C$2:$C3104,"&lt;&gt;",$D$2:$D3104,"&lt;&gt;",$E$2:$E3104,"&lt;&gt;"),"00000"),""))</f>
        <v/>
      </c>
      <c r="N3104" s="22"/>
    </row>
    <row r="3105" spans="1:14" x14ac:dyDescent="0.3">
      <c r="A3105" s="15" t="str">
        <f>IF(COUNTA($B3105:$E3105,$K3105)=0,"",IF(AND($B3105&lt;&gt;"",$C3105&lt;&gt;"",$D3105&lt;&gt;"",$E3105&lt;&gt;""),"TXS"&amp;TEXT(COUNTIFS($B$2:$B3105,"&lt;&gt;",$C$2:$C3105,"&lt;&gt;",$D$2:$D3105,"&lt;&gt;",$E$2:$E3105,"&lt;&gt;"),"00000"),""))</f>
        <v/>
      </c>
      <c r="N3105" s="22"/>
    </row>
    <row r="3106" spans="1:14" x14ac:dyDescent="0.3">
      <c r="A3106" s="15" t="str">
        <f>IF(COUNTA($B3106:$E3106,$K3106)=0,"",IF(AND($B3106&lt;&gt;"",$C3106&lt;&gt;"",$D3106&lt;&gt;"",$E3106&lt;&gt;""),"TXS"&amp;TEXT(COUNTIFS($B$2:$B3106,"&lt;&gt;",$C$2:$C3106,"&lt;&gt;",$D$2:$D3106,"&lt;&gt;",$E$2:$E3106,"&lt;&gt;"),"00000"),""))</f>
        <v/>
      </c>
      <c r="N3106" s="22"/>
    </row>
    <row r="3107" spans="1:14" x14ac:dyDescent="0.3">
      <c r="A3107" s="15" t="str">
        <f>IF(COUNTA($B3107:$E3107,$K3107)=0,"",IF(AND($B3107&lt;&gt;"",$C3107&lt;&gt;"",$D3107&lt;&gt;"",$E3107&lt;&gt;""),"TXS"&amp;TEXT(COUNTIFS($B$2:$B3107,"&lt;&gt;",$C$2:$C3107,"&lt;&gt;",$D$2:$D3107,"&lt;&gt;",$E$2:$E3107,"&lt;&gt;"),"00000"),""))</f>
        <v/>
      </c>
      <c r="N3107" s="22"/>
    </row>
    <row r="3108" spans="1:14" x14ac:dyDescent="0.3">
      <c r="A3108" s="15" t="str">
        <f>IF(COUNTA($B3108:$E3108,$K3108)=0,"",IF(AND($B3108&lt;&gt;"",$C3108&lt;&gt;"",$D3108&lt;&gt;"",$E3108&lt;&gt;""),"TXS"&amp;TEXT(COUNTIFS($B$2:$B3108,"&lt;&gt;",$C$2:$C3108,"&lt;&gt;",$D$2:$D3108,"&lt;&gt;",$E$2:$E3108,"&lt;&gt;"),"00000"),""))</f>
        <v/>
      </c>
      <c r="N3108" s="22"/>
    </row>
    <row r="3109" spans="1:14" x14ac:dyDescent="0.3">
      <c r="A3109" s="15" t="str">
        <f>IF(COUNTA($B3109:$E3109,$K3109)=0,"",IF(AND($B3109&lt;&gt;"",$C3109&lt;&gt;"",$D3109&lt;&gt;"",$E3109&lt;&gt;""),"TXS"&amp;TEXT(COUNTIFS($B$2:$B3109,"&lt;&gt;",$C$2:$C3109,"&lt;&gt;",$D$2:$D3109,"&lt;&gt;",$E$2:$E3109,"&lt;&gt;"),"00000"),""))</f>
        <v/>
      </c>
      <c r="N3109" s="22"/>
    </row>
    <row r="3110" spans="1:14" x14ac:dyDescent="0.3">
      <c r="A3110" s="15" t="str">
        <f>IF(COUNTA($B3110:$E3110,$K3110)=0,"",IF(AND($B3110&lt;&gt;"",$C3110&lt;&gt;"",$D3110&lt;&gt;"",$E3110&lt;&gt;""),"TXS"&amp;TEXT(COUNTIFS($B$2:$B3110,"&lt;&gt;",$C$2:$C3110,"&lt;&gt;",$D$2:$D3110,"&lt;&gt;",$E$2:$E3110,"&lt;&gt;"),"00000"),""))</f>
        <v/>
      </c>
      <c r="N3110" s="22"/>
    </row>
    <row r="3111" spans="1:14" x14ac:dyDescent="0.3">
      <c r="A3111" s="15" t="str">
        <f>IF(COUNTA($B3111:$E3111,$K3111)=0,"",IF(AND($B3111&lt;&gt;"",$C3111&lt;&gt;"",$D3111&lt;&gt;"",$E3111&lt;&gt;""),"TXS"&amp;TEXT(COUNTIFS($B$2:$B3111,"&lt;&gt;",$C$2:$C3111,"&lt;&gt;",$D$2:$D3111,"&lt;&gt;",$E$2:$E3111,"&lt;&gt;"),"00000"),""))</f>
        <v/>
      </c>
      <c r="N3111" s="22"/>
    </row>
    <row r="3112" spans="1:14" x14ac:dyDescent="0.3">
      <c r="A3112" s="15" t="str">
        <f>IF(COUNTA($B3112:$E3112,$K3112)=0,"",IF(AND($B3112&lt;&gt;"",$C3112&lt;&gt;"",$D3112&lt;&gt;"",$E3112&lt;&gt;""),"TXS"&amp;TEXT(COUNTIFS($B$2:$B3112,"&lt;&gt;",$C$2:$C3112,"&lt;&gt;",$D$2:$D3112,"&lt;&gt;",$E$2:$E3112,"&lt;&gt;"),"00000"),""))</f>
        <v/>
      </c>
      <c r="N3112" s="22"/>
    </row>
    <row r="3113" spans="1:14" x14ac:dyDescent="0.3">
      <c r="A3113" s="15" t="str">
        <f>IF(COUNTA($B3113:$E3113,$K3113)=0,"",IF(AND($B3113&lt;&gt;"",$C3113&lt;&gt;"",$D3113&lt;&gt;"",$E3113&lt;&gt;""),"TXS"&amp;TEXT(COUNTIFS($B$2:$B3113,"&lt;&gt;",$C$2:$C3113,"&lt;&gt;",$D$2:$D3113,"&lt;&gt;",$E$2:$E3113,"&lt;&gt;"),"00000"),""))</f>
        <v/>
      </c>
      <c r="N3113" s="22"/>
    </row>
    <row r="3114" spans="1:14" x14ac:dyDescent="0.3">
      <c r="A3114" s="15" t="str">
        <f>IF(COUNTA($B3114:$E3114,$K3114)=0,"",IF(AND($B3114&lt;&gt;"",$C3114&lt;&gt;"",$D3114&lt;&gt;"",$E3114&lt;&gt;""),"TXS"&amp;TEXT(COUNTIFS($B$2:$B3114,"&lt;&gt;",$C$2:$C3114,"&lt;&gt;",$D$2:$D3114,"&lt;&gt;",$E$2:$E3114,"&lt;&gt;"),"00000"),""))</f>
        <v/>
      </c>
      <c r="N3114" s="22"/>
    </row>
    <row r="3115" spans="1:14" x14ac:dyDescent="0.3">
      <c r="A3115" s="15" t="str">
        <f>IF(COUNTA($B3115:$E3115,$K3115)=0,"",IF(AND($B3115&lt;&gt;"",$C3115&lt;&gt;"",$D3115&lt;&gt;"",$E3115&lt;&gt;""),"TXS"&amp;TEXT(COUNTIFS($B$2:$B3115,"&lt;&gt;",$C$2:$C3115,"&lt;&gt;",$D$2:$D3115,"&lt;&gt;",$E$2:$E3115,"&lt;&gt;"),"00000"),""))</f>
        <v/>
      </c>
      <c r="N3115" s="22"/>
    </row>
    <row r="3116" spans="1:14" x14ac:dyDescent="0.3">
      <c r="A3116" s="15" t="str">
        <f>IF(COUNTA($B3116:$E3116,$K3116)=0,"",IF(AND($B3116&lt;&gt;"",$C3116&lt;&gt;"",$D3116&lt;&gt;"",$E3116&lt;&gt;""),"TXS"&amp;TEXT(COUNTIFS($B$2:$B3116,"&lt;&gt;",$C$2:$C3116,"&lt;&gt;",$D$2:$D3116,"&lt;&gt;",$E$2:$E3116,"&lt;&gt;"),"00000"),""))</f>
        <v/>
      </c>
      <c r="N3116" s="22"/>
    </row>
    <row r="3117" spans="1:14" x14ac:dyDescent="0.3">
      <c r="A3117" s="15" t="str">
        <f>IF(COUNTA($B3117:$E3117,$K3117)=0,"",IF(AND($B3117&lt;&gt;"",$C3117&lt;&gt;"",$D3117&lt;&gt;"",$E3117&lt;&gt;""),"TXS"&amp;TEXT(COUNTIFS($B$2:$B3117,"&lt;&gt;",$C$2:$C3117,"&lt;&gt;",$D$2:$D3117,"&lt;&gt;",$E$2:$E3117,"&lt;&gt;"),"00000"),""))</f>
        <v/>
      </c>
      <c r="N3117" s="22"/>
    </row>
    <row r="3118" spans="1:14" x14ac:dyDescent="0.3">
      <c r="A3118" s="15" t="str">
        <f>IF(COUNTA($B3118:$E3118,$K3118)=0,"",IF(AND($B3118&lt;&gt;"",$C3118&lt;&gt;"",$D3118&lt;&gt;"",$E3118&lt;&gt;""),"TXS"&amp;TEXT(COUNTIFS($B$2:$B3118,"&lt;&gt;",$C$2:$C3118,"&lt;&gt;",$D$2:$D3118,"&lt;&gt;",$E$2:$E3118,"&lt;&gt;"),"00000"),""))</f>
        <v/>
      </c>
      <c r="N3118" s="22"/>
    </row>
    <row r="3119" spans="1:14" x14ac:dyDescent="0.3">
      <c r="A3119" s="15" t="str">
        <f>IF(COUNTA($B3119:$E3119,$K3119)=0,"",IF(AND($B3119&lt;&gt;"",$C3119&lt;&gt;"",$D3119&lt;&gt;"",$E3119&lt;&gt;""),"TXS"&amp;TEXT(COUNTIFS($B$2:$B3119,"&lt;&gt;",$C$2:$C3119,"&lt;&gt;",$D$2:$D3119,"&lt;&gt;",$E$2:$E3119,"&lt;&gt;"),"00000"),""))</f>
        <v/>
      </c>
      <c r="N3119" s="22"/>
    </row>
    <row r="3120" spans="1:14" x14ac:dyDescent="0.3">
      <c r="A3120" s="15" t="str">
        <f>IF(COUNTA($B3120:$E3120,$K3120)=0,"",IF(AND($B3120&lt;&gt;"",$C3120&lt;&gt;"",$D3120&lt;&gt;"",$E3120&lt;&gt;""),"TXS"&amp;TEXT(COUNTIFS($B$2:$B3120,"&lt;&gt;",$C$2:$C3120,"&lt;&gt;",$D$2:$D3120,"&lt;&gt;",$E$2:$E3120,"&lt;&gt;"),"00000"),""))</f>
        <v/>
      </c>
      <c r="N3120" s="22"/>
    </row>
    <row r="3121" spans="1:14" x14ac:dyDescent="0.3">
      <c r="A3121" s="15" t="str">
        <f>IF(COUNTA($B3121:$E3121,$K3121)=0,"",IF(AND($B3121&lt;&gt;"",$C3121&lt;&gt;"",$D3121&lt;&gt;"",$E3121&lt;&gt;""),"TXS"&amp;TEXT(COUNTIFS($B$2:$B3121,"&lt;&gt;",$C$2:$C3121,"&lt;&gt;",$D$2:$D3121,"&lt;&gt;",$E$2:$E3121,"&lt;&gt;"),"00000"),""))</f>
        <v/>
      </c>
      <c r="N3121" s="22"/>
    </row>
    <row r="3122" spans="1:14" x14ac:dyDescent="0.3">
      <c r="A3122" s="15" t="str">
        <f>IF(COUNTA($B3122:$E3122,$K3122)=0,"",IF(AND($B3122&lt;&gt;"",$C3122&lt;&gt;"",$D3122&lt;&gt;"",$E3122&lt;&gt;""),"TXS"&amp;TEXT(COUNTIFS($B$2:$B3122,"&lt;&gt;",$C$2:$C3122,"&lt;&gt;",$D$2:$D3122,"&lt;&gt;",$E$2:$E3122,"&lt;&gt;"),"00000"),""))</f>
        <v/>
      </c>
      <c r="N3122" s="22"/>
    </row>
    <row r="3123" spans="1:14" x14ac:dyDescent="0.3">
      <c r="A3123" s="15" t="str">
        <f>IF(COUNTA($B3123:$E3123,$K3123)=0,"",IF(AND($B3123&lt;&gt;"",$C3123&lt;&gt;"",$D3123&lt;&gt;"",$E3123&lt;&gt;""),"TXS"&amp;TEXT(COUNTIFS($B$2:$B3123,"&lt;&gt;",$C$2:$C3123,"&lt;&gt;",$D$2:$D3123,"&lt;&gt;",$E$2:$E3123,"&lt;&gt;"),"00000"),""))</f>
        <v/>
      </c>
      <c r="N3123" s="22"/>
    </row>
    <row r="3124" spans="1:14" x14ac:dyDescent="0.3">
      <c r="A3124" s="15" t="str">
        <f>IF(COUNTA($B3124:$E3124,$K3124)=0,"",IF(AND($B3124&lt;&gt;"",$C3124&lt;&gt;"",$D3124&lt;&gt;"",$E3124&lt;&gt;""),"TXS"&amp;TEXT(COUNTIFS($B$2:$B3124,"&lt;&gt;",$C$2:$C3124,"&lt;&gt;",$D$2:$D3124,"&lt;&gt;",$E$2:$E3124,"&lt;&gt;"),"00000"),""))</f>
        <v/>
      </c>
      <c r="N3124" s="22"/>
    </row>
    <row r="3125" spans="1:14" x14ac:dyDescent="0.3">
      <c r="A3125" s="15" t="str">
        <f>IF(COUNTA($B3125:$E3125,$K3125)=0,"",IF(AND($B3125&lt;&gt;"",$C3125&lt;&gt;"",$D3125&lt;&gt;"",$E3125&lt;&gt;""),"TXS"&amp;TEXT(COUNTIFS($B$2:$B3125,"&lt;&gt;",$C$2:$C3125,"&lt;&gt;",$D$2:$D3125,"&lt;&gt;",$E$2:$E3125,"&lt;&gt;"),"00000"),""))</f>
        <v/>
      </c>
      <c r="N3125" s="22"/>
    </row>
    <row r="3126" spans="1:14" x14ac:dyDescent="0.3">
      <c r="A3126" s="15" t="str">
        <f>IF(COUNTA($B3126:$E3126,$K3126)=0,"",IF(AND($B3126&lt;&gt;"",$C3126&lt;&gt;"",$D3126&lt;&gt;"",$E3126&lt;&gt;""),"TXS"&amp;TEXT(COUNTIFS($B$2:$B3126,"&lt;&gt;",$C$2:$C3126,"&lt;&gt;",$D$2:$D3126,"&lt;&gt;",$E$2:$E3126,"&lt;&gt;"),"00000"),""))</f>
        <v/>
      </c>
      <c r="N3126" s="22"/>
    </row>
    <row r="3127" spans="1:14" x14ac:dyDescent="0.3">
      <c r="A3127" s="15" t="str">
        <f>IF(COUNTA($B3127:$E3127,$K3127)=0,"",IF(AND($B3127&lt;&gt;"",$C3127&lt;&gt;"",$D3127&lt;&gt;"",$E3127&lt;&gt;""),"TXS"&amp;TEXT(COUNTIFS($B$2:$B3127,"&lt;&gt;",$C$2:$C3127,"&lt;&gt;",$D$2:$D3127,"&lt;&gt;",$E$2:$E3127,"&lt;&gt;"),"00000"),""))</f>
        <v/>
      </c>
      <c r="N3127" s="22"/>
    </row>
    <row r="3128" spans="1:14" x14ac:dyDescent="0.3">
      <c r="A3128" s="15" t="str">
        <f>IF(COUNTA($B3128:$E3128,$K3128)=0,"",IF(AND($B3128&lt;&gt;"",$C3128&lt;&gt;"",$D3128&lt;&gt;"",$E3128&lt;&gt;""),"TXS"&amp;TEXT(COUNTIFS($B$2:$B3128,"&lt;&gt;",$C$2:$C3128,"&lt;&gt;",$D$2:$D3128,"&lt;&gt;",$E$2:$E3128,"&lt;&gt;"),"00000"),""))</f>
        <v/>
      </c>
      <c r="N3128" s="22"/>
    </row>
    <row r="3129" spans="1:14" x14ac:dyDescent="0.3">
      <c r="A3129" s="15" t="str">
        <f>IF(COUNTA($B3129:$E3129,$K3129)=0,"",IF(AND($B3129&lt;&gt;"",$C3129&lt;&gt;"",$D3129&lt;&gt;"",$E3129&lt;&gt;""),"TXS"&amp;TEXT(COUNTIFS($B$2:$B3129,"&lt;&gt;",$C$2:$C3129,"&lt;&gt;",$D$2:$D3129,"&lt;&gt;",$E$2:$E3129,"&lt;&gt;"),"00000"),""))</f>
        <v/>
      </c>
      <c r="N3129" s="22"/>
    </row>
    <row r="3130" spans="1:14" x14ac:dyDescent="0.3">
      <c r="A3130" s="15" t="str">
        <f>IF(COUNTA($B3130:$E3130,$K3130)=0,"",IF(AND($B3130&lt;&gt;"",$C3130&lt;&gt;"",$D3130&lt;&gt;"",$E3130&lt;&gt;""),"TXS"&amp;TEXT(COUNTIFS($B$2:$B3130,"&lt;&gt;",$C$2:$C3130,"&lt;&gt;",$D$2:$D3130,"&lt;&gt;",$E$2:$E3130,"&lt;&gt;"),"00000"),""))</f>
        <v/>
      </c>
      <c r="N3130" s="22"/>
    </row>
    <row r="3131" spans="1:14" x14ac:dyDescent="0.3">
      <c r="A3131" s="15" t="str">
        <f>IF(COUNTA($B3131:$E3131,$K3131)=0,"",IF(AND($B3131&lt;&gt;"",$C3131&lt;&gt;"",$D3131&lt;&gt;"",$E3131&lt;&gt;""),"TXS"&amp;TEXT(COUNTIFS($B$2:$B3131,"&lt;&gt;",$C$2:$C3131,"&lt;&gt;",$D$2:$D3131,"&lt;&gt;",$E$2:$E3131,"&lt;&gt;"),"00000"),""))</f>
        <v/>
      </c>
      <c r="N3131" s="22"/>
    </row>
    <row r="3132" spans="1:14" x14ac:dyDescent="0.3">
      <c r="A3132" s="15" t="str">
        <f>IF(COUNTA($B3132:$E3132,$K3132)=0,"",IF(AND($B3132&lt;&gt;"",$C3132&lt;&gt;"",$D3132&lt;&gt;"",$E3132&lt;&gt;""),"TXS"&amp;TEXT(COUNTIFS($B$2:$B3132,"&lt;&gt;",$C$2:$C3132,"&lt;&gt;",$D$2:$D3132,"&lt;&gt;",$E$2:$E3132,"&lt;&gt;"),"00000"),""))</f>
        <v/>
      </c>
      <c r="N3132" s="22"/>
    </row>
    <row r="3133" spans="1:14" x14ac:dyDescent="0.3">
      <c r="A3133" s="15" t="str">
        <f>IF(COUNTA($B3133:$E3133,$K3133)=0,"",IF(AND($B3133&lt;&gt;"",$C3133&lt;&gt;"",$D3133&lt;&gt;"",$E3133&lt;&gt;""),"TXS"&amp;TEXT(COUNTIFS($B$2:$B3133,"&lt;&gt;",$C$2:$C3133,"&lt;&gt;",$D$2:$D3133,"&lt;&gt;",$E$2:$E3133,"&lt;&gt;"),"00000"),""))</f>
        <v/>
      </c>
      <c r="N3133" s="22"/>
    </row>
    <row r="3134" spans="1:14" x14ac:dyDescent="0.3">
      <c r="A3134" s="15" t="str">
        <f>IF(COUNTA($B3134:$E3134,$K3134)=0,"",IF(AND($B3134&lt;&gt;"",$C3134&lt;&gt;"",$D3134&lt;&gt;"",$E3134&lt;&gt;""),"TXS"&amp;TEXT(COUNTIFS($B$2:$B3134,"&lt;&gt;",$C$2:$C3134,"&lt;&gt;",$D$2:$D3134,"&lt;&gt;",$E$2:$E3134,"&lt;&gt;"),"00000"),""))</f>
        <v/>
      </c>
      <c r="N3134" s="22"/>
    </row>
    <row r="3135" spans="1:14" x14ac:dyDescent="0.3">
      <c r="A3135" s="15" t="str">
        <f>IF(COUNTA($B3135:$E3135,$K3135)=0,"",IF(AND($B3135&lt;&gt;"",$C3135&lt;&gt;"",$D3135&lt;&gt;"",$E3135&lt;&gt;""),"TXS"&amp;TEXT(COUNTIFS($B$2:$B3135,"&lt;&gt;",$C$2:$C3135,"&lt;&gt;",$D$2:$D3135,"&lt;&gt;",$E$2:$E3135,"&lt;&gt;"),"00000"),""))</f>
        <v/>
      </c>
      <c r="N3135" s="22"/>
    </row>
    <row r="3136" spans="1:14" x14ac:dyDescent="0.3">
      <c r="A3136" s="15" t="str">
        <f>IF(COUNTA($B3136:$E3136,$K3136)=0,"",IF(AND($B3136&lt;&gt;"",$C3136&lt;&gt;"",$D3136&lt;&gt;"",$E3136&lt;&gt;""),"TXS"&amp;TEXT(COUNTIFS($B$2:$B3136,"&lt;&gt;",$C$2:$C3136,"&lt;&gt;",$D$2:$D3136,"&lt;&gt;",$E$2:$E3136,"&lt;&gt;"),"00000"),""))</f>
        <v/>
      </c>
      <c r="N3136" s="22"/>
    </row>
    <row r="3137" spans="1:14" x14ac:dyDescent="0.3">
      <c r="A3137" s="15" t="str">
        <f>IF(COUNTA($B3137:$E3137,$K3137)=0,"",IF(AND($B3137&lt;&gt;"",$C3137&lt;&gt;"",$D3137&lt;&gt;"",$E3137&lt;&gt;""),"TXS"&amp;TEXT(COUNTIFS($B$2:$B3137,"&lt;&gt;",$C$2:$C3137,"&lt;&gt;",$D$2:$D3137,"&lt;&gt;",$E$2:$E3137,"&lt;&gt;"),"00000"),""))</f>
        <v/>
      </c>
      <c r="N3137" s="22"/>
    </row>
    <row r="3138" spans="1:14" x14ac:dyDescent="0.3">
      <c r="A3138" s="15" t="str">
        <f>IF(COUNTA($B3138:$E3138,$K3138)=0,"",IF(AND($B3138&lt;&gt;"",$C3138&lt;&gt;"",$D3138&lt;&gt;"",$E3138&lt;&gt;""),"TXS"&amp;TEXT(COUNTIFS($B$2:$B3138,"&lt;&gt;",$C$2:$C3138,"&lt;&gt;",$D$2:$D3138,"&lt;&gt;",$E$2:$E3138,"&lt;&gt;"),"00000"),""))</f>
        <v/>
      </c>
      <c r="N3138" s="22"/>
    </row>
    <row r="3139" spans="1:14" x14ac:dyDescent="0.3">
      <c r="A3139" s="15" t="str">
        <f>IF(COUNTA($B3139:$E3139,$K3139)=0,"",IF(AND($B3139&lt;&gt;"",$C3139&lt;&gt;"",$D3139&lt;&gt;"",$E3139&lt;&gt;""),"TXS"&amp;TEXT(COUNTIFS($B$2:$B3139,"&lt;&gt;",$C$2:$C3139,"&lt;&gt;",$D$2:$D3139,"&lt;&gt;",$E$2:$E3139,"&lt;&gt;"),"00000"),""))</f>
        <v/>
      </c>
      <c r="N3139" s="22"/>
    </row>
    <row r="3140" spans="1:14" x14ac:dyDescent="0.3">
      <c r="A3140" s="15" t="str">
        <f>IF(COUNTA($B3140:$E3140,$K3140)=0,"",IF(AND($B3140&lt;&gt;"",$C3140&lt;&gt;"",$D3140&lt;&gt;"",$E3140&lt;&gt;""),"TXS"&amp;TEXT(COUNTIFS($B$2:$B3140,"&lt;&gt;",$C$2:$C3140,"&lt;&gt;",$D$2:$D3140,"&lt;&gt;",$E$2:$E3140,"&lt;&gt;"),"00000"),""))</f>
        <v/>
      </c>
      <c r="N3140" s="22"/>
    </row>
    <row r="3141" spans="1:14" x14ac:dyDescent="0.3">
      <c r="A3141" s="15" t="str">
        <f>IF(COUNTA($B3141:$E3141,$K3141)=0,"",IF(AND($B3141&lt;&gt;"",$C3141&lt;&gt;"",$D3141&lt;&gt;"",$E3141&lt;&gt;""),"TXS"&amp;TEXT(COUNTIFS($B$2:$B3141,"&lt;&gt;",$C$2:$C3141,"&lt;&gt;",$D$2:$D3141,"&lt;&gt;",$E$2:$E3141,"&lt;&gt;"),"00000"),""))</f>
        <v/>
      </c>
      <c r="N3141" s="22"/>
    </row>
    <row r="3142" spans="1:14" x14ac:dyDescent="0.3">
      <c r="A3142" s="15" t="str">
        <f>IF(COUNTA($B3142:$E3142,$K3142)=0,"",IF(AND($B3142&lt;&gt;"",$C3142&lt;&gt;"",$D3142&lt;&gt;"",$E3142&lt;&gt;""),"TXS"&amp;TEXT(COUNTIFS($B$2:$B3142,"&lt;&gt;",$C$2:$C3142,"&lt;&gt;",$D$2:$D3142,"&lt;&gt;",$E$2:$E3142,"&lt;&gt;"),"00000"),""))</f>
        <v/>
      </c>
      <c r="N3142" s="22"/>
    </row>
    <row r="3143" spans="1:14" x14ac:dyDescent="0.3">
      <c r="A3143" s="15" t="str">
        <f>IF(COUNTA($B3143:$E3143,$K3143)=0,"",IF(AND($B3143&lt;&gt;"",$C3143&lt;&gt;"",$D3143&lt;&gt;"",$E3143&lt;&gt;""),"TXS"&amp;TEXT(COUNTIFS($B$2:$B3143,"&lt;&gt;",$C$2:$C3143,"&lt;&gt;",$D$2:$D3143,"&lt;&gt;",$E$2:$E3143,"&lt;&gt;"),"00000"),""))</f>
        <v/>
      </c>
      <c r="N3143" s="22"/>
    </row>
    <row r="3144" spans="1:14" x14ac:dyDescent="0.3">
      <c r="A3144" s="15" t="str">
        <f>IF(COUNTA($B3144:$E3144,$K3144)=0,"",IF(AND($B3144&lt;&gt;"",$C3144&lt;&gt;"",$D3144&lt;&gt;"",$E3144&lt;&gt;""),"TXS"&amp;TEXT(COUNTIFS($B$2:$B3144,"&lt;&gt;",$C$2:$C3144,"&lt;&gt;",$D$2:$D3144,"&lt;&gt;",$E$2:$E3144,"&lt;&gt;"),"00000"),""))</f>
        <v/>
      </c>
      <c r="N3144" s="22"/>
    </row>
    <row r="3145" spans="1:14" x14ac:dyDescent="0.3">
      <c r="A3145" s="15" t="str">
        <f>IF(COUNTA($B3145:$E3145,$K3145)=0,"",IF(AND($B3145&lt;&gt;"",$C3145&lt;&gt;"",$D3145&lt;&gt;"",$E3145&lt;&gt;""),"TXS"&amp;TEXT(COUNTIFS($B$2:$B3145,"&lt;&gt;",$C$2:$C3145,"&lt;&gt;",$D$2:$D3145,"&lt;&gt;",$E$2:$E3145,"&lt;&gt;"),"00000"),""))</f>
        <v/>
      </c>
      <c r="N3145" s="22"/>
    </row>
    <row r="3146" spans="1:14" x14ac:dyDescent="0.3">
      <c r="A3146" s="15" t="str">
        <f>IF(COUNTA($B3146:$E3146,$K3146)=0,"",IF(AND($B3146&lt;&gt;"",$C3146&lt;&gt;"",$D3146&lt;&gt;"",$E3146&lt;&gt;""),"TXS"&amp;TEXT(COUNTIFS($B$2:$B3146,"&lt;&gt;",$C$2:$C3146,"&lt;&gt;",$D$2:$D3146,"&lt;&gt;",$E$2:$E3146,"&lt;&gt;"),"00000"),""))</f>
        <v/>
      </c>
      <c r="N3146" s="22"/>
    </row>
    <row r="3147" spans="1:14" x14ac:dyDescent="0.3">
      <c r="A3147" s="15" t="str">
        <f>IF(COUNTA($B3147:$E3147,$K3147)=0,"",IF(AND($B3147&lt;&gt;"",$C3147&lt;&gt;"",$D3147&lt;&gt;"",$E3147&lt;&gt;""),"TXS"&amp;TEXT(COUNTIFS($B$2:$B3147,"&lt;&gt;",$C$2:$C3147,"&lt;&gt;",$D$2:$D3147,"&lt;&gt;",$E$2:$E3147,"&lt;&gt;"),"00000"),""))</f>
        <v/>
      </c>
      <c r="N3147" s="22"/>
    </row>
    <row r="3148" spans="1:14" x14ac:dyDescent="0.3">
      <c r="A3148" s="15" t="str">
        <f>IF(COUNTA($B3148:$E3148,$K3148)=0,"",IF(AND($B3148&lt;&gt;"",$C3148&lt;&gt;"",$D3148&lt;&gt;"",$E3148&lt;&gt;""),"TXS"&amp;TEXT(COUNTIFS($B$2:$B3148,"&lt;&gt;",$C$2:$C3148,"&lt;&gt;",$D$2:$D3148,"&lt;&gt;",$E$2:$E3148,"&lt;&gt;"),"00000"),""))</f>
        <v/>
      </c>
      <c r="N3148" s="22"/>
    </row>
    <row r="3149" spans="1:14" x14ac:dyDescent="0.3">
      <c r="A3149" s="15" t="str">
        <f>IF(COUNTA($B3149:$E3149,$K3149)=0,"",IF(AND($B3149&lt;&gt;"",$C3149&lt;&gt;"",$D3149&lt;&gt;"",$E3149&lt;&gt;""),"TXS"&amp;TEXT(COUNTIFS($B$2:$B3149,"&lt;&gt;",$C$2:$C3149,"&lt;&gt;",$D$2:$D3149,"&lt;&gt;",$E$2:$E3149,"&lt;&gt;"),"00000"),""))</f>
        <v/>
      </c>
      <c r="N3149" s="22"/>
    </row>
    <row r="3150" spans="1:14" x14ac:dyDescent="0.3">
      <c r="A3150" s="15" t="str">
        <f>IF(COUNTA($B3150:$E3150,$K3150)=0,"",IF(AND($B3150&lt;&gt;"",$C3150&lt;&gt;"",$D3150&lt;&gt;"",$E3150&lt;&gt;""),"TXS"&amp;TEXT(COUNTIFS($B$2:$B3150,"&lt;&gt;",$C$2:$C3150,"&lt;&gt;",$D$2:$D3150,"&lt;&gt;",$E$2:$E3150,"&lt;&gt;"),"00000"),""))</f>
        <v/>
      </c>
      <c r="N3150" s="22"/>
    </row>
    <row r="3151" spans="1:14" x14ac:dyDescent="0.3">
      <c r="A3151" s="15" t="str">
        <f>IF(COUNTA($B3151:$E3151,$K3151)=0,"",IF(AND($B3151&lt;&gt;"",$C3151&lt;&gt;"",$D3151&lt;&gt;"",$E3151&lt;&gt;""),"TXS"&amp;TEXT(COUNTIFS($B$2:$B3151,"&lt;&gt;",$C$2:$C3151,"&lt;&gt;",$D$2:$D3151,"&lt;&gt;",$E$2:$E3151,"&lt;&gt;"),"00000"),""))</f>
        <v/>
      </c>
      <c r="N3151" s="22"/>
    </row>
    <row r="3152" spans="1:14" x14ac:dyDescent="0.3">
      <c r="A3152" s="15" t="str">
        <f>IF(COUNTA($B3152:$E3152,$K3152)=0,"",IF(AND($B3152&lt;&gt;"",$C3152&lt;&gt;"",$D3152&lt;&gt;"",$E3152&lt;&gt;""),"TXS"&amp;TEXT(COUNTIFS($B$2:$B3152,"&lt;&gt;",$C$2:$C3152,"&lt;&gt;",$D$2:$D3152,"&lt;&gt;",$E$2:$E3152,"&lt;&gt;"),"00000"),""))</f>
        <v/>
      </c>
      <c r="N3152" s="22"/>
    </row>
    <row r="3153" spans="1:14" x14ac:dyDescent="0.3">
      <c r="A3153" s="15" t="str">
        <f>IF(COUNTA($B3153:$E3153,$K3153)=0,"",IF(AND($B3153&lt;&gt;"",$C3153&lt;&gt;"",$D3153&lt;&gt;"",$E3153&lt;&gt;""),"TXS"&amp;TEXT(COUNTIFS($B$2:$B3153,"&lt;&gt;",$C$2:$C3153,"&lt;&gt;",$D$2:$D3153,"&lt;&gt;",$E$2:$E3153,"&lt;&gt;"),"00000"),""))</f>
        <v/>
      </c>
      <c r="N3153" s="22"/>
    </row>
    <row r="3154" spans="1:14" x14ac:dyDescent="0.3">
      <c r="A3154" s="15" t="str">
        <f>IF(COUNTA($B3154:$E3154,$K3154)=0,"",IF(AND($B3154&lt;&gt;"",$C3154&lt;&gt;"",$D3154&lt;&gt;"",$E3154&lt;&gt;""),"TXS"&amp;TEXT(COUNTIFS($B$2:$B3154,"&lt;&gt;",$C$2:$C3154,"&lt;&gt;",$D$2:$D3154,"&lt;&gt;",$E$2:$E3154,"&lt;&gt;"),"00000"),""))</f>
        <v/>
      </c>
      <c r="N3154" s="22"/>
    </row>
    <row r="3155" spans="1:14" x14ac:dyDescent="0.3">
      <c r="A3155" s="15" t="str">
        <f>IF(COUNTA($B3155:$E3155,$K3155)=0,"",IF(AND($B3155&lt;&gt;"",$C3155&lt;&gt;"",$D3155&lt;&gt;"",$E3155&lt;&gt;""),"TXS"&amp;TEXT(COUNTIFS($B$2:$B3155,"&lt;&gt;",$C$2:$C3155,"&lt;&gt;",$D$2:$D3155,"&lt;&gt;",$E$2:$E3155,"&lt;&gt;"),"00000"),""))</f>
        <v/>
      </c>
      <c r="N3155" s="22"/>
    </row>
    <row r="3156" spans="1:14" x14ac:dyDescent="0.3">
      <c r="A3156" s="15" t="str">
        <f>IF(COUNTA($B3156:$E3156,$K3156)=0,"",IF(AND($B3156&lt;&gt;"",$C3156&lt;&gt;"",$D3156&lt;&gt;"",$E3156&lt;&gt;""),"TXS"&amp;TEXT(COUNTIFS($B$2:$B3156,"&lt;&gt;",$C$2:$C3156,"&lt;&gt;",$D$2:$D3156,"&lt;&gt;",$E$2:$E3156,"&lt;&gt;"),"00000"),""))</f>
        <v/>
      </c>
      <c r="N3156" s="22"/>
    </row>
    <row r="3157" spans="1:14" x14ac:dyDescent="0.3">
      <c r="A3157" s="15" t="str">
        <f>IF(COUNTA($B3157:$E3157,$K3157)=0,"",IF(AND($B3157&lt;&gt;"",$C3157&lt;&gt;"",$D3157&lt;&gt;"",$E3157&lt;&gt;""),"TXS"&amp;TEXT(COUNTIFS($B$2:$B3157,"&lt;&gt;",$C$2:$C3157,"&lt;&gt;",$D$2:$D3157,"&lt;&gt;",$E$2:$E3157,"&lt;&gt;"),"00000"),""))</f>
        <v/>
      </c>
      <c r="N3157" s="22"/>
    </row>
    <row r="3158" spans="1:14" x14ac:dyDescent="0.3">
      <c r="A3158" s="15" t="str">
        <f>IF(COUNTA($B3158:$E3158,$K3158)=0,"",IF(AND($B3158&lt;&gt;"",$C3158&lt;&gt;"",$D3158&lt;&gt;"",$E3158&lt;&gt;""),"TXS"&amp;TEXT(COUNTIFS($B$2:$B3158,"&lt;&gt;",$C$2:$C3158,"&lt;&gt;",$D$2:$D3158,"&lt;&gt;",$E$2:$E3158,"&lt;&gt;"),"00000"),""))</f>
        <v/>
      </c>
      <c r="N3158" s="22"/>
    </row>
    <row r="3159" spans="1:14" x14ac:dyDescent="0.3">
      <c r="A3159" s="15" t="str">
        <f>IF(COUNTA($B3159:$E3159,$K3159)=0,"",IF(AND($B3159&lt;&gt;"",$C3159&lt;&gt;"",$D3159&lt;&gt;"",$E3159&lt;&gt;""),"TXS"&amp;TEXT(COUNTIFS($B$2:$B3159,"&lt;&gt;",$C$2:$C3159,"&lt;&gt;",$D$2:$D3159,"&lt;&gt;",$E$2:$E3159,"&lt;&gt;"),"00000"),""))</f>
        <v/>
      </c>
      <c r="N3159" s="22"/>
    </row>
    <row r="3160" spans="1:14" x14ac:dyDescent="0.3">
      <c r="A3160" s="15" t="str">
        <f>IF(COUNTA($B3160:$E3160,$K3160)=0,"",IF(AND($B3160&lt;&gt;"",$C3160&lt;&gt;"",$D3160&lt;&gt;"",$E3160&lt;&gt;""),"TXS"&amp;TEXT(COUNTIFS($B$2:$B3160,"&lt;&gt;",$C$2:$C3160,"&lt;&gt;",$D$2:$D3160,"&lt;&gt;",$E$2:$E3160,"&lt;&gt;"),"00000"),""))</f>
        <v/>
      </c>
      <c r="N3160" s="22"/>
    </row>
    <row r="3161" spans="1:14" x14ac:dyDescent="0.3">
      <c r="A3161" s="15" t="str">
        <f>IF(COUNTA($B3161:$E3161,$K3161)=0,"",IF(AND($B3161&lt;&gt;"",$C3161&lt;&gt;"",$D3161&lt;&gt;"",$E3161&lt;&gt;""),"TXS"&amp;TEXT(COUNTIFS($B$2:$B3161,"&lt;&gt;",$C$2:$C3161,"&lt;&gt;",$D$2:$D3161,"&lt;&gt;",$E$2:$E3161,"&lt;&gt;"),"00000"),""))</f>
        <v/>
      </c>
      <c r="N3161" s="22"/>
    </row>
    <row r="3162" spans="1:14" x14ac:dyDescent="0.3">
      <c r="A3162" s="15" t="str">
        <f>IF(COUNTA($B3162:$E3162,$K3162)=0,"",IF(AND($B3162&lt;&gt;"",$C3162&lt;&gt;"",$D3162&lt;&gt;"",$E3162&lt;&gt;""),"TXS"&amp;TEXT(COUNTIFS($B$2:$B3162,"&lt;&gt;",$C$2:$C3162,"&lt;&gt;",$D$2:$D3162,"&lt;&gt;",$E$2:$E3162,"&lt;&gt;"),"00000"),""))</f>
        <v/>
      </c>
      <c r="N3162" s="22"/>
    </row>
    <row r="3163" spans="1:14" x14ac:dyDescent="0.3">
      <c r="A3163" s="15" t="str">
        <f>IF(COUNTA($B3163:$E3163,$K3163)=0,"",IF(AND($B3163&lt;&gt;"",$C3163&lt;&gt;"",$D3163&lt;&gt;"",$E3163&lt;&gt;""),"TXS"&amp;TEXT(COUNTIFS($B$2:$B3163,"&lt;&gt;",$C$2:$C3163,"&lt;&gt;",$D$2:$D3163,"&lt;&gt;",$E$2:$E3163,"&lt;&gt;"),"00000"),""))</f>
        <v/>
      </c>
      <c r="N3163" s="22"/>
    </row>
    <row r="3164" spans="1:14" x14ac:dyDescent="0.3">
      <c r="A3164" s="15" t="str">
        <f>IF(COUNTA($B3164:$E3164,$K3164)=0,"",IF(AND($B3164&lt;&gt;"",$C3164&lt;&gt;"",$D3164&lt;&gt;"",$E3164&lt;&gt;""),"TXS"&amp;TEXT(COUNTIFS($B$2:$B3164,"&lt;&gt;",$C$2:$C3164,"&lt;&gt;",$D$2:$D3164,"&lt;&gt;",$E$2:$E3164,"&lt;&gt;"),"00000"),""))</f>
        <v/>
      </c>
      <c r="N3164" s="22"/>
    </row>
    <row r="3165" spans="1:14" x14ac:dyDescent="0.3">
      <c r="A3165" s="15" t="str">
        <f>IF(COUNTA($B3165:$E3165,$K3165)=0,"",IF(AND($B3165&lt;&gt;"",$C3165&lt;&gt;"",$D3165&lt;&gt;"",$E3165&lt;&gt;""),"TXS"&amp;TEXT(COUNTIFS($B$2:$B3165,"&lt;&gt;",$C$2:$C3165,"&lt;&gt;",$D$2:$D3165,"&lt;&gt;",$E$2:$E3165,"&lt;&gt;"),"00000"),""))</f>
        <v/>
      </c>
      <c r="N3165" s="22"/>
    </row>
    <row r="3166" spans="1:14" x14ac:dyDescent="0.3">
      <c r="A3166" s="15" t="str">
        <f>IF(COUNTA($B3166:$E3166,$K3166)=0,"",IF(AND($B3166&lt;&gt;"",$C3166&lt;&gt;"",$D3166&lt;&gt;"",$E3166&lt;&gt;""),"TXS"&amp;TEXT(COUNTIFS($B$2:$B3166,"&lt;&gt;",$C$2:$C3166,"&lt;&gt;",$D$2:$D3166,"&lt;&gt;",$E$2:$E3166,"&lt;&gt;"),"00000"),""))</f>
        <v/>
      </c>
      <c r="N3166" s="22"/>
    </row>
    <row r="3167" spans="1:14" x14ac:dyDescent="0.3">
      <c r="A3167" s="15" t="str">
        <f>IF(COUNTA($B3167:$E3167,$K3167)=0,"",IF(AND($B3167&lt;&gt;"",$C3167&lt;&gt;"",$D3167&lt;&gt;"",$E3167&lt;&gt;""),"TXS"&amp;TEXT(COUNTIFS($B$2:$B3167,"&lt;&gt;",$C$2:$C3167,"&lt;&gt;",$D$2:$D3167,"&lt;&gt;",$E$2:$E3167,"&lt;&gt;"),"00000"),""))</f>
        <v/>
      </c>
      <c r="N3167" s="22"/>
    </row>
    <row r="3168" spans="1:14" x14ac:dyDescent="0.3">
      <c r="A3168" s="15" t="str">
        <f>IF(COUNTA($B3168:$E3168,$K3168)=0,"",IF(AND($B3168&lt;&gt;"",$C3168&lt;&gt;"",$D3168&lt;&gt;"",$E3168&lt;&gt;""),"TXS"&amp;TEXT(COUNTIFS($B$2:$B3168,"&lt;&gt;",$C$2:$C3168,"&lt;&gt;",$D$2:$D3168,"&lt;&gt;",$E$2:$E3168,"&lt;&gt;"),"00000"),""))</f>
        <v/>
      </c>
      <c r="N3168" s="22"/>
    </row>
    <row r="3169" spans="1:14" x14ac:dyDescent="0.3">
      <c r="A3169" s="15" t="str">
        <f>IF(COUNTA($B3169:$E3169,$K3169)=0,"",IF(AND($B3169&lt;&gt;"",$C3169&lt;&gt;"",$D3169&lt;&gt;"",$E3169&lt;&gt;""),"TXS"&amp;TEXT(COUNTIFS($B$2:$B3169,"&lt;&gt;",$C$2:$C3169,"&lt;&gt;",$D$2:$D3169,"&lt;&gt;",$E$2:$E3169,"&lt;&gt;"),"00000"),""))</f>
        <v/>
      </c>
      <c r="N3169" s="22"/>
    </row>
    <row r="3170" spans="1:14" x14ac:dyDescent="0.3">
      <c r="A3170" s="15" t="str">
        <f>IF(COUNTA($B3170:$E3170,$K3170)=0,"",IF(AND($B3170&lt;&gt;"",$C3170&lt;&gt;"",$D3170&lt;&gt;"",$E3170&lt;&gt;""),"TXS"&amp;TEXT(COUNTIFS($B$2:$B3170,"&lt;&gt;",$C$2:$C3170,"&lt;&gt;",$D$2:$D3170,"&lt;&gt;",$E$2:$E3170,"&lt;&gt;"),"00000"),""))</f>
        <v/>
      </c>
      <c r="N3170" s="22"/>
    </row>
    <row r="3171" spans="1:14" x14ac:dyDescent="0.3">
      <c r="A3171" s="15" t="str">
        <f>IF(COUNTA($B3171:$E3171,$K3171)=0,"",IF(AND($B3171&lt;&gt;"",$C3171&lt;&gt;"",$D3171&lt;&gt;"",$E3171&lt;&gt;""),"TXS"&amp;TEXT(COUNTIFS($B$2:$B3171,"&lt;&gt;",$C$2:$C3171,"&lt;&gt;",$D$2:$D3171,"&lt;&gt;",$E$2:$E3171,"&lt;&gt;"),"00000"),""))</f>
        <v/>
      </c>
      <c r="N3171" s="22"/>
    </row>
    <row r="3172" spans="1:14" x14ac:dyDescent="0.3">
      <c r="A3172" s="15" t="str">
        <f>IF(COUNTA($B3172:$E3172,$K3172)=0,"",IF(AND($B3172&lt;&gt;"",$C3172&lt;&gt;"",$D3172&lt;&gt;"",$E3172&lt;&gt;""),"TXS"&amp;TEXT(COUNTIFS($B$2:$B3172,"&lt;&gt;",$C$2:$C3172,"&lt;&gt;",$D$2:$D3172,"&lt;&gt;",$E$2:$E3172,"&lt;&gt;"),"00000"),""))</f>
        <v/>
      </c>
      <c r="N3172" s="22"/>
    </row>
    <row r="3173" spans="1:14" x14ac:dyDescent="0.3">
      <c r="A3173" s="15" t="str">
        <f>IF(COUNTA($B3173:$E3173,$K3173)=0,"",IF(AND($B3173&lt;&gt;"",$C3173&lt;&gt;"",$D3173&lt;&gt;"",$E3173&lt;&gt;""),"TXS"&amp;TEXT(COUNTIFS($B$2:$B3173,"&lt;&gt;",$C$2:$C3173,"&lt;&gt;",$D$2:$D3173,"&lt;&gt;",$E$2:$E3173,"&lt;&gt;"),"00000"),""))</f>
        <v/>
      </c>
      <c r="N3173" s="22"/>
    </row>
    <row r="3174" spans="1:14" x14ac:dyDescent="0.3">
      <c r="A3174" s="15" t="str">
        <f>IF(COUNTA($B3174:$E3174,$K3174)=0,"",IF(AND($B3174&lt;&gt;"",$C3174&lt;&gt;"",$D3174&lt;&gt;"",$E3174&lt;&gt;""),"TXS"&amp;TEXT(COUNTIFS($B$2:$B3174,"&lt;&gt;",$C$2:$C3174,"&lt;&gt;",$D$2:$D3174,"&lt;&gt;",$E$2:$E3174,"&lt;&gt;"),"00000"),""))</f>
        <v/>
      </c>
      <c r="N3174" s="22"/>
    </row>
    <row r="3175" spans="1:14" x14ac:dyDescent="0.3">
      <c r="A3175" s="15" t="str">
        <f>IF(COUNTA($B3175:$E3175,$K3175)=0,"",IF(AND($B3175&lt;&gt;"",$C3175&lt;&gt;"",$D3175&lt;&gt;"",$E3175&lt;&gt;""),"TXS"&amp;TEXT(COUNTIFS($B$2:$B3175,"&lt;&gt;",$C$2:$C3175,"&lt;&gt;",$D$2:$D3175,"&lt;&gt;",$E$2:$E3175,"&lt;&gt;"),"00000"),""))</f>
        <v/>
      </c>
      <c r="N3175" s="22"/>
    </row>
    <row r="3176" spans="1:14" x14ac:dyDescent="0.3">
      <c r="A3176" s="15" t="str">
        <f>IF(COUNTA($B3176:$E3176,$K3176)=0,"",IF(AND($B3176&lt;&gt;"",$C3176&lt;&gt;"",$D3176&lt;&gt;"",$E3176&lt;&gt;""),"TXS"&amp;TEXT(COUNTIFS($B$2:$B3176,"&lt;&gt;",$C$2:$C3176,"&lt;&gt;",$D$2:$D3176,"&lt;&gt;",$E$2:$E3176,"&lt;&gt;"),"00000"),""))</f>
        <v/>
      </c>
      <c r="N3176" s="22"/>
    </row>
    <row r="3177" spans="1:14" x14ac:dyDescent="0.3">
      <c r="A3177" s="15" t="str">
        <f>IF(COUNTA($B3177:$E3177,$K3177)=0,"",IF(AND($B3177&lt;&gt;"",$C3177&lt;&gt;"",$D3177&lt;&gt;"",$E3177&lt;&gt;""),"TXS"&amp;TEXT(COUNTIFS($B$2:$B3177,"&lt;&gt;",$C$2:$C3177,"&lt;&gt;",$D$2:$D3177,"&lt;&gt;",$E$2:$E3177,"&lt;&gt;"),"00000"),""))</f>
        <v/>
      </c>
      <c r="N3177" s="22"/>
    </row>
    <row r="3178" spans="1:14" x14ac:dyDescent="0.3">
      <c r="A3178" s="15" t="str">
        <f>IF(COUNTA($B3178:$E3178,$K3178)=0,"",IF(AND($B3178&lt;&gt;"",$C3178&lt;&gt;"",$D3178&lt;&gt;"",$E3178&lt;&gt;""),"TXS"&amp;TEXT(COUNTIFS($B$2:$B3178,"&lt;&gt;",$C$2:$C3178,"&lt;&gt;",$D$2:$D3178,"&lt;&gt;",$E$2:$E3178,"&lt;&gt;"),"00000"),""))</f>
        <v/>
      </c>
      <c r="N3178" s="22"/>
    </row>
    <row r="3179" spans="1:14" x14ac:dyDescent="0.3">
      <c r="A3179" s="15" t="str">
        <f>IF(COUNTA($B3179:$E3179,$K3179)=0,"",IF(AND($B3179&lt;&gt;"",$C3179&lt;&gt;"",$D3179&lt;&gt;"",$E3179&lt;&gt;""),"TXS"&amp;TEXT(COUNTIFS($B$2:$B3179,"&lt;&gt;",$C$2:$C3179,"&lt;&gt;",$D$2:$D3179,"&lt;&gt;",$E$2:$E3179,"&lt;&gt;"),"00000"),""))</f>
        <v/>
      </c>
      <c r="N3179" s="22"/>
    </row>
    <row r="3180" spans="1:14" x14ac:dyDescent="0.3">
      <c r="A3180" s="15" t="str">
        <f>IF(COUNTA($B3180:$E3180,$K3180)=0,"",IF(AND($B3180&lt;&gt;"",$C3180&lt;&gt;"",$D3180&lt;&gt;"",$E3180&lt;&gt;""),"TXS"&amp;TEXT(COUNTIFS($B$2:$B3180,"&lt;&gt;",$C$2:$C3180,"&lt;&gt;",$D$2:$D3180,"&lt;&gt;",$E$2:$E3180,"&lt;&gt;"),"00000"),""))</f>
        <v/>
      </c>
      <c r="N3180" s="22"/>
    </row>
    <row r="3181" spans="1:14" x14ac:dyDescent="0.3">
      <c r="A3181" s="15" t="str">
        <f>IF(COUNTA($B3181:$E3181,$K3181)=0,"",IF(AND($B3181&lt;&gt;"",$C3181&lt;&gt;"",$D3181&lt;&gt;"",$E3181&lt;&gt;""),"TXS"&amp;TEXT(COUNTIFS($B$2:$B3181,"&lt;&gt;",$C$2:$C3181,"&lt;&gt;",$D$2:$D3181,"&lt;&gt;",$E$2:$E3181,"&lt;&gt;"),"00000"),""))</f>
        <v/>
      </c>
      <c r="N3181" s="22"/>
    </row>
    <row r="3182" spans="1:14" x14ac:dyDescent="0.3">
      <c r="A3182" s="15" t="str">
        <f>IF(COUNTA($B3182:$E3182,$K3182)=0,"",IF(AND($B3182&lt;&gt;"",$C3182&lt;&gt;"",$D3182&lt;&gt;"",$E3182&lt;&gt;""),"TXS"&amp;TEXT(COUNTIFS($B$2:$B3182,"&lt;&gt;",$C$2:$C3182,"&lt;&gt;",$D$2:$D3182,"&lt;&gt;",$E$2:$E3182,"&lt;&gt;"),"00000"),""))</f>
        <v/>
      </c>
      <c r="N3182" s="22"/>
    </row>
    <row r="3183" spans="1:14" x14ac:dyDescent="0.3">
      <c r="A3183" s="15" t="str">
        <f>IF(COUNTA($B3183:$E3183,$K3183)=0,"",IF(AND($B3183&lt;&gt;"",$C3183&lt;&gt;"",$D3183&lt;&gt;"",$E3183&lt;&gt;""),"TXS"&amp;TEXT(COUNTIFS($B$2:$B3183,"&lt;&gt;",$C$2:$C3183,"&lt;&gt;",$D$2:$D3183,"&lt;&gt;",$E$2:$E3183,"&lt;&gt;"),"00000"),""))</f>
        <v/>
      </c>
      <c r="N3183" s="22"/>
    </row>
    <row r="3184" spans="1:14" x14ac:dyDescent="0.3">
      <c r="A3184" s="15" t="str">
        <f>IF(COUNTA($B3184:$E3184,$K3184)=0,"",IF(AND($B3184&lt;&gt;"",$C3184&lt;&gt;"",$D3184&lt;&gt;"",$E3184&lt;&gt;""),"TXS"&amp;TEXT(COUNTIFS($B$2:$B3184,"&lt;&gt;",$C$2:$C3184,"&lt;&gt;",$D$2:$D3184,"&lt;&gt;",$E$2:$E3184,"&lt;&gt;"),"00000"),""))</f>
        <v/>
      </c>
      <c r="N3184" s="22"/>
    </row>
    <row r="3185" spans="1:14" x14ac:dyDescent="0.3">
      <c r="A3185" s="15" t="str">
        <f>IF(COUNTA($B3185:$E3185,$K3185)=0,"",IF(AND($B3185&lt;&gt;"",$C3185&lt;&gt;"",$D3185&lt;&gt;"",$E3185&lt;&gt;""),"TXS"&amp;TEXT(COUNTIFS($B$2:$B3185,"&lt;&gt;",$C$2:$C3185,"&lt;&gt;",$D$2:$D3185,"&lt;&gt;",$E$2:$E3185,"&lt;&gt;"),"00000"),""))</f>
        <v/>
      </c>
      <c r="N3185" s="22"/>
    </row>
    <row r="3186" spans="1:14" x14ac:dyDescent="0.3">
      <c r="A3186" s="15" t="str">
        <f>IF(COUNTA($B3186:$E3186,$K3186)=0,"",IF(AND($B3186&lt;&gt;"",$C3186&lt;&gt;"",$D3186&lt;&gt;"",$E3186&lt;&gt;""),"TXS"&amp;TEXT(COUNTIFS($B$2:$B3186,"&lt;&gt;",$C$2:$C3186,"&lt;&gt;",$D$2:$D3186,"&lt;&gt;",$E$2:$E3186,"&lt;&gt;"),"00000"),""))</f>
        <v/>
      </c>
      <c r="N3186" s="22"/>
    </row>
    <row r="3187" spans="1:14" x14ac:dyDescent="0.3">
      <c r="A3187" s="15" t="str">
        <f>IF(COUNTA($B3187:$E3187,$K3187)=0,"",IF(AND($B3187&lt;&gt;"",$C3187&lt;&gt;"",$D3187&lt;&gt;"",$E3187&lt;&gt;""),"TXS"&amp;TEXT(COUNTIFS($B$2:$B3187,"&lt;&gt;",$C$2:$C3187,"&lt;&gt;",$D$2:$D3187,"&lt;&gt;",$E$2:$E3187,"&lt;&gt;"),"00000"),""))</f>
        <v/>
      </c>
      <c r="N3187" s="22"/>
    </row>
    <row r="3188" spans="1:14" x14ac:dyDescent="0.3">
      <c r="A3188" s="15" t="str">
        <f>IF(COUNTA($B3188:$E3188,$K3188)=0,"",IF(AND($B3188&lt;&gt;"",$C3188&lt;&gt;"",$D3188&lt;&gt;"",$E3188&lt;&gt;""),"TXS"&amp;TEXT(COUNTIFS($B$2:$B3188,"&lt;&gt;",$C$2:$C3188,"&lt;&gt;",$D$2:$D3188,"&lt;&gt;",$E$2:$E3188,"&lt;&gt;"),"00000"),""))</f>
        <v/>
      </c>
      <c r="N3188" s="22"/>
    </row>
    <row r="3189" spans="1:14" x14ac:dyDescent="0.3">
      <c r="A3189" s="15" t="str">
        <f>IF(COUNTA($B3189:$E3189,$K3189)=0,"",IF(AND($B3189&lt;&gt;"",$C3189&lt;&gt;"",$D3189&lt;&gt;"",$E3189&lt;&gt;""),"TXS"&amp;TEXT(COUNTIFS($B$2:$B3189,"&lt;&gt;",$C$2:$C3189,"&lt;&gt;",$D$2:$D3189,"&lt;&gt;",$E$2:$E3189,"&lt;&gt;"),"00000"),""))</f>
        <v/>
      </c>
      <c r="N3189" s="22"/>
    </row>
    <row r="3190" spans="1:14" x14ac:dyDescent="0.3">
      <c r="A3190" s="15" t="str">
        <f>IF(COUNTA($B3190:$E3190,$K3190)=0,"",IF(AND($B3190&lt;&gt;"",$C3190&lt;&gt;"",$D3190&lt;&gt;"",$E3190&lt;&gt;""),"TXS"&amp;TEXT(COUNTIFS($B$2:$B3190,"&lt;&gt;",$C$2:$C3190,"&lt;&gt;",$D$2:$D3190,"&lt;&gt;",$E$2:$E3190,"&lt;&gt;"),"00000"),""))</f>
        <v/>
      </c>
      <c r="N3190" s="22"/>
    </row>
    <row r="3191" spans="1:14" x14ac:dyDescent="0.3">
      <c r="A3191" s="15" t="str">
        <f>IF(COUNTA($B3191:$E3191,$K3191)=0,"",IF(AND($B3191&lt;&gt;"",$C3191&lt;&gt;"",$D3191&lt;&gt;"",$E3191&lt;&gt;""),"TXS"&amp;TEXT(COUNTIFS($B$2:$B3191,"&lt;&gt;",$C$2:$C3191,"&lt;&gt;",$D$2:$D3191,"&lt;&gt;",$E$2:$E3191,"&lt;&gt;"),"00000"),""))</f>
        <v/>
      </c>
      <c r="N3191" s="22"/>
    </row>
    <row r="3192" spans="1:14" x14ac:dyDescent="0.3">
      <c r="A3192" s="15" t="str">
        <f>IF(COUNTA($B3192:$E3192,$K3192)=0,"",IF(AND($B3192&lt;&gt;"",$C3192&lt;&gt;"",$D3192&lt;&gt;"",$E3192&lt;&gt;""),"TXS"&amp;TEXT(COUNTIFS($B$2:$B3192,"&lt;&gt;",$C$2:$C3192,"&lt;&gt;",$D$2:$D3192,"&lt;&gt;",$E$2:$E3192,"&lt;&gt;"),"00000"),""))</f>
        <v/>
      </c>
      <c r="N3192" s="22"/>
    </row>
    <row r="3193" spans="1:14" x14ac:dyDescent="0.3">
      <c r="A3193" s="15" t="str">
        <f>IF(COUNTA($B3193:$E3193,$K3193)=0,"",IF(AND($B3193&lt;&gt;"",$C3193&lt;&gt;"",$D3193&lt;&gt;"",$E3193&lt;&gt;""),"TXS"&amp;TEXT(COUNTIFS($B$2:$B3193,"&lt;&gt;",$C$2:$C3193,"&lt;&gt;",$D$2:$D3193,"&lt;&gt;",$E$2:$E3193,"&lt;&gt;"),"00000"),""))</f>
        <v/>
      </c>
      <c r="N3193" s="22"/>
    </row>
    <row r="3194" spans="1:14" x14ac:dyDescent="0.3">
      <c r="A3194" s="15" t="str">
        <f>IF(COUNTA($B3194:$E3194,$K3194)=0,"",IF(AND($B3194&lt;&gt;"",$C3194&lt;&gt;"",$D3194&lt;&gt;"",$E3194&lt;&gt;""),"TXS"&amp;TEXT(COUNTIFS($B$2:$B3194,"&lt;&gt;",$C$2:$C3194,"&lt;&gt;",$D$2:$D3194,"&lt;&gt;",$E$2:$E3194,"&lt;&gt;"),"00000"),""))</f>
        <v/>
      </c>
      <c r="N3194" s="22"/>
    </row>
    <row r="3195" spans="1:14" x14ac:dyDescent="0.3">
      <c r="A3195" s="15" t="str">
        <f>IF(COUNTA($B3195:$E3195,$K3195)=0,"",IF(AND($B3195&lt;&gt;"",$C3195&lt;&gt;"",$D3195&lt;&gt;"",$E3195&lt;&gt;""),"TXS"&amp;TEXT(COUNTIFS($B$2:$B3195,"&lt;&gt;",$C$2:$C3195,"&lt;&gt;",$D$2:$D3195,"&lt;&gt;",$E$2:$E3195,"&lt;&gt;"),"00000"),""))</f>
        <v/>
      </c>
      <c r="N3195" s="22"/>
    </row>
    <row r="3196" spans="1:14" x14ac:dyDescent="0.3">
      <c r="A3196" s="15" t="str">
        <f>IF(COUNTA($B3196:$E3196,$K3196)=0,"",IF(AND($B3196&lt;&gt;"",$C3196&lt;&gt;"",$D3196&lt;&gt;"",$E3196&lt;&gt;""),"TXS"&amp;TEXT(COUNTIFS($B$2:$B3196,"&lt;&gt;",$C$2:$C3196,"&lt;&gt;",$D$2:$D3196,"&lt;&gt;",$E$2:$E3196,"&lt;&gt;"),"00000"),""))</f>
        <v/>
      </c>
      <c r="N3196" s="22"/>
    </row>
    <row r="3197" spans="1:14" x14ac:dyDescent="0.3">
      <c r="A3197" s="15" t="str">
        <f>IF(COUNTA($B3197:$E3197,$K3197)=0,"",IF(AND($B3197&lt;&gt;"",$C3197&lt;&gt;"",$D3197&lt;&gt;"",$E3197&lt;&gt;""),"TXS"&amp;TEXT(COUNTIFS($B$2:$B3197,"&lt;&gt;",$C$2:$C3197,"&lt;&gt;",$D$2:$D3197,"&lt;&gt;",$E$2:$E3197,"&lt;&gt;"),"00000"),""))</f>
        <v/>
      </c>
      <c r="N3197" s="22"/>
    </row>
    <row r="3198" spans="1:14" x14ac:dyDescent="0.3">
      <c r="A3198" s="15" t="str">
        <f>IF(COUNTA($B3198:$E3198,$K3198)=0,"",IF(AND($B3198&lt;&gt;"",$C3198&lt;&gt;"",$D3198&lt;&gt;"",$E3198&lt;&gt;""),"TXS"&amp;TEXT(COUNTIFS($B$2:$B3198,"&lt;&gt;",$C$2:$C3198,"&lt;&gt;",$D$2:$D3198,"&lt;&gt;",$E$2:$E3198,"&lt;&gt;"),"00000"),""))</f>
        <v/>
      </c>
      <c r="N3198" s="22"/>
    </row>
    <row r="3199" spans="1:14" x14ac:dyDescent="0.3">
      <c r="A3199" s="15" t="str">
        <f>IF(COUNTA($B3199:$E3199,$K3199)=0,"",IF(AND($B3199&lt;&gt;"",$C3199&lt;&gt;"",$D3199&lt;&gt;"",$E3199&lt;&gt;""),"TXS"&amp;TEXT(COUNTIFS($B$2:$B3199,"&lt;&gt;",$C$2:$C3199,"&lt;&gt;",$D$2:$D3199,"&lt;&gt;",$E$2:$E3199,"&lt;&gt;"),"00000"),""))</f>
        <v/>
      </c>
      <c r="N3199" s="22"/>
    </row>
    <row r="3200" spans="1:14" x14ac:dyDescent="0.3">
      <c r="A3200" s="15" t="str">
        <f>IF(COUNTA($B3200:$E3200,$K3200)=0,"",IF(AND($B3200&lt;&gt;"",$C3200&lt;&gt;"",$D3200&lt;&gt;"",$E3200&lt;&gt;""),"TXS"&amp;TEXT(COUNTIFS($B$2:$B3200,"&lt;&gt;",$C$2:$C3200,"&lt;&gt;",$D$2:$D3200,"&lt;&gt;",$E$2:$E3200,"&lt;&gt;"),"00000"),""))</f>
        <v/>
      </c>
      <c r="N3200" s="22"/>
    </row>
    <row r="3201" spans="1:14" x14ac:dyDescent="0.3">
      <c r="A3201" s="15" t="str">
        <f>IF(COUNTA($B3201:$E3201,$K3201)=0,"",IF(AND($B3201&lt;&gt;"",$C3201&lt;&gt;"",$D3201&lt;&gt;"",$E3201&lt;&gt;""),"TXS"&amp;TEXT(COUNTIFS($B$2:$B3201,"&lt;&gt;",$C$2:$C3201,"&lt;&gt;",$D$2:$D3201,"&lt;&gt;",$E$2:$E3201,"&lt;&gt;"),"00000"),""))</f>
        <v/>
      </c>
      <c r="N3201" s="22"/>
    </row>
    <row r="3202" spans="1:14" x14ac:dyDescent="0.3">
      <c r="A3202" s="15" t="str">
        <f>IF(COUNTA($B3202:$E3202,$K3202)=0,"",IF(AND($B3202&lt;&gt;"",$C3202&lt;&gt;"",$D3202&lt;&gt;"",$E3202&lt;&gt;""),"TXS"&amp;TEXT(COUNTIFS($B$2:$B3202,"&lt;&gt;",$C$2:$C3202,"&lt;&gt;",$D$2:$D3202,"&lt;&gt;",$E$2:$E3202,"&lt;&gt;"),"00000"),""))</f>
        <v/>
      </c>
      <c r="N3202" s="22"/>
    </row>
    <row r="3203" spans="1:14" x14ac:dyDescent="0.3">
      <c r="A3203" s="15" t="str">
        <f>IF(COUNTA($B3203:$E3203,$K3203)=0,"",IF(AND($B3203&lt;&gt;"",$C3203&lt;&gt;"",$D3203&lt;&gt;"",$E3203&lt;&gt;""),"TXS"&amp;TEXT(COUNTIFS($B$2:$B3203,"&lt;&gt;",$C$2:$C3203,"&lt;&gt;",$D$2:$D3203,"&lt;&gt;",$E$2:$E3203,"&lt;&gt;"),"00000"),""))</f>
        <v/>
      </c>
      <c r="N3203" s="22"/>
    </row>
    <row r="3204" spans="1:14" x14ac:dyDescent="0.3">
      <c r="A3204" s="15" t="str">
        <f>IF(COUNTA($B3204:$E3204,$K3204)=0,"",IF(AND($B3204&lt;&gt;"",$C3204&lt;&gt;"",$D3204&lt;&gt;"",$E3204&lt;&gt;""),"TXS"&amp;TEXT(COUNTIFS($B$2:$B3204,"&lt;&gt;",$C$2:$C3204,"&lt;&gt;",$D$2:$D3204,"&lt;&gt;",$E$2:$E3204,"&lt;&gt;"),"00000"),""))</f>
        <v/>
      </c>
      <c r="N3204" s="22"/>
    </row>
    <row r="3205" spans="1:14" x14ac:dyDescent="0.3">
      <c r="A3205" s="15" t="str">
        <f>IF(COUNTA($B3205:$E3205,$K3205)=0,"",IF(AND($B3205&lt;&gt;"",$C3205&lt;&gt;"",$D3205&lt;&gt;"",$E3205&lt;&gt;""),"TXS"&amp;TEXT(COUNTIFS($B$2:$B3205,"&lt;&gt;",$C$2:$C3205,"&lt;&gt;",$D$2:$D3205,"&lt;&gt;",$E$2:$E3205,"&lt;&gt;"),"00000"),""))</f>
        <v/>
      </c>
      <c r="N3205" s="22"/>
    </row>
    <row r="3206" spans="1:14" x14ac:dyDescent="0.3">
      <c r="A3206" s="15" t="str">
        <f>IF(COUNTA($B3206:$E3206,$K3206)=0,"",IF(AND($B3206&lt;&gt;"",$C3206&lt;&gt;"",$D3206&lt;&gt;"",$E3206&lt;&gt;""),"TXS"&amp;TEXT(COUNTIFS($B$2:$B3206,"&lt;&gt;",$C$2:$C3206,"&lt;&gt;",$D$2:$D3206,"&lt;&gt;",$E$2:$E3206,"&lt;&gt;"),"00000"),""))</f>
        <v/>
      </c>
      <c r="N3206" s="22"/>
    </row>
    <row r="3207" spans="1:14" x14ac:dyDescent="0.3">
      <c r="A3207" s="15" t="str">
        <f>IF(COUNTA($B3207:$E3207,$K3207)=0,"",IF(AND($B3207&lt;&gt;"",$C3207&lt;&gt;"",$D3207&lt;&gt;"",$E3207&lt;&gt;""),"TXS"&amp;TEXT(COUNTIFS($B$2:$B3207,"&lt;&gt;",$C$2:$C3207,"&lt;&gt;",$D$2:$D3207,"&lt;&gt;",$E$2:$E3207,"&lt;&gt;"),"00000"),""))</f>
        <v/>
      </c>
      <c r="N3207" s="22"/>
    </row>
    <row r="3208" spans="1:14" x14ac:dyDescent="0.3">
      <c r="A3208" s="15" t="str">
        <f>IF(COUNTA($B3208:$E3208,$K3208)=0,"",IF(AND($B3208&lt;&gt;"",$C3208&lt;&gt;"",$D3208&lt;&gt;"",$E3208&lt;&gt;""),"TXS"&amp;TEXT(COUNTIFS($B$2:$B3208,"&lt;&gt;",$C$2:$C3208,"&lt;&gt;",$D$2:$D3208,"&lt;&gt;",$E$2:$E3208,"&lt;&gt;"),"00000"),""))</f>
        <v/>
      </c>
      <c r="N3208" s="22"/>
    </row>
    <row r="3209" spans="1:14" x14ac:dyDescent="0.3">
      <c r="A3209" s="15" t="str">
        <f>IF(COUNTA($B3209:$E3209,$K3209)=0,"",IF(AND($B3209&lt;&gt;"",$C3209&lt;&gt;"",$D3209&lt;&gt;"",$E3209&lt;&gt;""),"TXS"&amp;TEXT(COUNTIFS($B$2:$B3209,"&lt;&gt;",$C$2:$C3209,"&lt;&gt;",$D$2:$D3209,"&lt;&gt;",$E$2:$E3209,"&lt;&gt;"),"00000"),""))</f>
        <v/>
      </c>
      <c r="N3209" s="22"/>
    </row>
    <row r="3210" spans="1:14" x14ac:dyDescent="0.3">
      <c r="A3210" s="15" t="str">
        <f>IF(COUNTA($B3210:$E3210,$K3210)=0,"",IF(AND($B3210&lt;&gt;"",$C3210&lt;&gt;"",$D3210&lt;&gt;"",$E3210&lt;&gt;""),"TXS"&amp;TEXT(COUNTIFS($B$2:$B3210,"&lt;&gt;",$C$2:$C3210,"&lt;&gt;",$D$2:$D3210,"&lt;&gt;",$E$2:$E3210,"&lt;&gt;"),"00000"),""))</f>
        <v/>
      </c>
      <c r="N3210" s="22"/>
    </row>
    <row r="3211" spans="1:14" x14ac:dyDescent="0.3">
      <c r="A3211" s="15" t="str">
        <f>IF(COUNTA($B3211:$E3211,$K3211)=0,"",IF(AND($B3211&lt;&gt;"",$C3211&lt;&gt;"",$D3211&lt;&gt;"",$E3211&lt;&gt;""),"TXS"&amp;TEXT(COUNTIFS($B$2:$B3211,"&lt;&gt;",$C$2:$C3211,"&lt;&gt;",$D$2:$D3211,"&lt;&gt;",$E$2:$E3211,"&lt;&gt;"),"00000"),""))</f>
        <v/>
      </c>
      <c r="N3211" s="22"/>
    </row>
    <row r="3212" spans="1:14" x14ac:dyDescent="0.3">
      <c r="A3212" s="15" t="str">
        <f>IF(COUNTA($B3212:$E3212,$K3212)=0,"",IF(AND($B3212&lt;&gt;"",$C3212&lt;&gt;"",$D3212&lt;&gt;"",$E3212&lt;&gt;""),"TXS"&amp;TEXT(COUNTIFS($B$2:$B3212,"&lt;&gt;",$C$2:$C3212,"&lt;&gt;",$D$2:$D3212,"&lt;&gt;",$E$2:$E3212,"&lt;&gt;"),"00000"),""))</f>
        <v/>
      </c>
      <c r="N3212" s="22"/>
    </row>
    <row r="3213" spans="1:14" x14ac:dyDescent="0.3">
      <c r="A3213" s="15" t="str">
        <f>IF(COUNTA($B3213:$E3213,$K3213)=0,"",IF(AND($B3213&lt;&gt;"",$C3213&lt;&gt;"",$D3213&lt;&gt;"",$E3213&lt;&gt;""),"TXS"&amp;TEXT(COUNTIFS($B$2:$B3213,"&lt;&gt;",$C$2:$C3213,"&lt;&gt;",$D$2:$D3213,"&lt;&gt;",$E$2:$E3213,"&lt;&gt;"),"00000"),""))</f>
        <v/>
      </c>
      <c r="N3213" s="22"/>
    </row>
    <row r="3214" spans="1:14" x14ac:dyDescent="0.3">
      <c r="A3214" s="15" t="str">
        <f>IF(COUNTA($B3214:$E3214,$K3214)=0,"",IF(AND($B3214&lt;&gt;"",$C3214&lt;&gt;"",$D3214&lt;&gt;"",$E3214&lt;&gt;""),"TXS"&amp;TEXT(COUNTIFS($B$2:$B3214,"&lt;&gt;",$C$2:$C3214,"&lt;&gt;",$D$2:$D3214,"&lt;&gt;",$E$2:$E3214,"&lt;&gt;"),"00000"),""))</f>
        <v/>
      </c>
      <c r="N3214" s="22"/>
    </row>
    <row r="3215" spans="1:14" x14ac:dyDescent="0.3">
      <c r="A3215" s="15" t="str">
        <f>IF(COUNTA($B3215:$E3215,$K3215)=0,"",IF(AND($B3215&lt;&gt;"",$C3215&lt;&gt;"",$D3215&lt;&gt;"",$E3215&lt;&gt;""),"TXS"&amp;TEXT(COUNTIFS($B$2:$B3215,"&lt;&gt;",$C$2:$C3215,"&lt;&gt;",$D$2:$D3215,"&lt;&gt;",$E$2:$E3215,"&lt;&gt;"),"00000"),""))</f>
        <v/>
      </c>
      <c r="N3215" s="22"/>
    </row>
    <row r="3216" spans="1:14" x14ac:dyDescent="0.3">
      <c r="A3216" s="15" t="str">
        <f>IF(COUNTA($B3216:$E3216,$K3216)=0,"",IF(AND($B3216&lt;&gt;"",$C3216&lt;&gt;"",$D3216&lt;&gt;"",$E3216&lt;&gt;""),"TXS"&amp;TEXT(COUNTIFS($B$2:$B3216,"&lt;&gt;",$C$2:$C3216,"&lt;&gt;",$D$2:$D3216,"&lt;&gt;",$E$2:$E3216,"&lt;&gt;"),"00000"),""))</f>
        <v/>
      </c>
      <c r="N3216" s="22"/>
    </row>
    <row r="3217" spans="1:14" x14ac:dyDescent="0.3">
      <c r="A3217" s="15" t="str">
        <f>IF(COUNTA($B3217:$E3217,$K3217)=0,"",IF(AND($B3217&lt;&gt;"",$C3217&lt;&gt;"",$D3217&lt;&gt;"",$E3217&lt;&gt;""),"TXS"&amp;TEXT(COUNTIFS($B$2:$B3217,"&lt;&gt;",$C$2:$C3217,"&lt;&gt;",$D$2:$D3217,"&lt;&gt;",$E$2:$E3217,"&lt;&gt;"),"00000"),""))</f>
        <v/>
      </c>
      <c r="N3217" s="22"/>
    </row>
    <row r="3218" spans="1:14" x14ac:dyDescent="0.3">
      <c r="A3218" s="15" t="str">
        <f>IF(COUNTA($B3218:$E3218,$K3218)=0,"",IF(AND($B3218&lt;&gt;"",$C3218&lt;&gt;"",$D3218&lt;&gt;"",$E3218&lt;&gt;""),"TXS"&amp;TEXT(COUNTIFS($B$2:$B3218,"&lt;&gt;",$C$2:$C3218,"&lt;&gt;",$D$2:$D3218,"&lt;&gt;",$E$2:$E3218,"&lt;&gt;"),"00000"),""))</f>
        <v/>
      </c>
      <c r="N3218" s="22"/>
    </row>
    <row r="3219" spans="1:14" x14ac:dyDescent="0.3">
      <c r="A3219" s="15" t="str">
        <f>IF(COUNTA($B3219:$E3219,$K3219)=0,"",IF(AND($B3219&lt;&gt;"",$C3219&lt;&gt;"",$D3219&lt;&gt;"",$E3219&lt;&gt;""),"TXS"&amp;TEXT(COUNTIFS($B$2:$B3219,"&lt;&gt;",$C$2:$C3219,"&lt;&gt;",$D$2:$D3219,"&lt;&gt;",$E$2:$E3219,"&lt;&gt;"),"00000"),""))</f>
        <v/>
      </c>
      <c r="N3219" s="22"/>
    </row>
    <row r="3220" spans="1:14" x14ac:dyDescent="0.3">
      <c r="A3220" s="15" t="str">
        <f>IF(COUNTA($B3220:$E3220,$K3220)=0,"",IF(AND($B3220&lt;&gt;"",$C3220&lt;&gt;"",$D3220&lt;&gt;"",$E3220&lt;&gt;""),"TXS"&amp;TEXT(COUNTIFS($B$2:$B3220,"&lt;&gt;",$C$2:$C3220,"&lt;&gt;",$D$2:$D3220,"&lt;&gt;",$E$2:$E3220,"&lt;&gt;"),"00000"),""))</f>
        <v/>
      </c>
      <c r="N3220" s="22"/>
    </row>
    <row r="3221" spans="1:14" x14ac:dyDescent="0.3">
      <c r="A3221" s="15" t="str">
        <f>IF(COUNTA($B3221:$E3221,$K3221)=0,"",IF(AND($B3221&lt;&gt;"",$C3221&lt;&gt;"",$D3221&lt;&gt;"",$E3221&lt;&gt;""),"TXS"&amp;TEXT(COUNTIFS($B$2:$B3221,"&lt;&gt;",$C$2:$C3221,"&lt;&gt;",$D$2:$D3221,"&lt;&gt;",$E$2:$E3221,"&lt;&gt;"),"00000"),""))</f>
        <v/>
      </c>
      <c r="N3221" s="22"/>
    </row>
    <row r="3222" spans="1:14" x14ac:dyDescent="0.3">
      <c r="A3222" s="15" t="str">
        <f>IF(COUNTA($B3222:$E3222,$K3222)=0,"",IF(AND($B3222&lt;&gt;"",$C3222&lt;&gt;"",$D3222&lt;&gt;"",$E3222&lt;&gt;""),"TXS"&amp;TEXT(COUNTIFS($B$2:$B3222,"&lt;&gt;",$C$2:$C3222,"&lt;&gt;",$D$2:$D3222,"&lt;&gt;",$E$2:$E3222,"&lt;&gt;"),"00000"),""))</f>
        <v/>
      </c>
      <c r="N3222" s="22"/>
    </row>
    <row r="3223" spans="1:14" x14ac:dyDescent="0.3">
      <c r="A3223" s="15" t="str">
        <f>IF(COUNTA($B3223:$E3223,$K3223)=0,"",IF(AND($B3223&lt;&gt;"",$C3223&lt;&gt;"",$D3223&lt;&gt;"",$E3223&lt;&gt;""),"TXS"&amp;TEXT(COUNTIFS($B$2:$B3223,"&lt;&gt;",$C$2:$C3223,"&lt;&gt;",$D$2:$D3223,"&lt;&gt;",$E$2:$E3223,"&lt;&gt;"),"00000"),""))</f>
        <v/>
      </c>
      <c r="N3223" s="22"/>
    </row>
    <row r="3224" spans="1:14" x14ac:dyDescent="0.3">
      <c r="A3224" s="15" t="str">
        <f>IF(COUNTA($B3224:$E3224,$K3224)=0,"",IF(AND($B3224&lt;&gt;"",$C3224&lt;&gt;"",$D3224&lt;&gt;"",$E3224&lt;&gt;""),"TXS"&amp;TEXT(COUNTIFS($B$2:$B3224,"&lt;&gt;",$C$2:$C3224,"&lt;&gt;",$D$2:$D3224,"&lt;&gt;",$E$2:$E3224,"&lt;&gt;"),"00000"),""))</f>
        <v/>
      </c>
      <c r="N3224" s="22"/>
    </row>
    <row r="3225" spans="1:14" x14ac:dyDescent="0.3">
      <c r="A3225" s="15" t="str">
        <f>IF(COUNTA($B3225:$E3225,$K3225)=0,"",IF(AND($B3225&lt;&gt;"",$C3225&lt;&gt;"",$D3225&lt;&gt;"",$E3225&lt;&gt;""),"TXS"&amp;TEXT(COUNTIFS($B$2:$B3225,"&lt;&gt;",$C$2:$C3225,"&lt;&gt;",$D$2:$D3225,"&lt;&gt;",$E$2:$E3225,"&lt;&gt;"),"00000"),""))</f>
        <v/>
      </c>
      <c r="N3225" s="22"/>
    </row>
    <row r="3226" spans="1:14" x14ac:dyDescent="0.3">
      <c r="A3226" s="15" t="str">
        <f>IF(COUNTA($B3226:$E3226,$K3226)=0,"",IF(AND($B3226&lt;&gt;"",$C3226&lt;&gt;"",$D3226&lt;&gt;"",$E3226&lt;&gt;""),"TXS"&amp;TEXT(COUNTIFS($B$2:$B3226,"&lt;&gt;",$C$2:$C3226,"&lt;&gt;",$D$2:$D3226,"&lt;&gt;",$E$2:$E3226,"&lt;&gt;"),"00000"),""))</f>
        <v/>
      </c>
      <c r="N3226" s="22"/>
    </row>
    <row r="3227" spans="1:14" x14ac:dyDescent="0.3">
      <c r="A3227" s="15" t="str">
        <f>IF(COUNTA($B3227:$E3227,$K3227)=0,"",IF(AND($B3227&lt;&gt;"",$C3227&lt;&gt;"",$D3227&lt;&gt;"",$E3227&lt;&gt;""),"TXS"&amp;TEXT(COUNTIFS($B$2:$B3227,"&lt;&gt;",$C$2:$C3227,"&lt;&gt;",$D$2:$D3227,"&lt;&gt;",$E$2:$E3227,"&lt;&gt;"),"00000"),""))</f>
        <v/>
      </c>
      <c r="N3227" s="22"/>
    </row>
    <row r="3228" spans="1:14" x14ac:dyDescent="0.3">
      <c r="A3228" s="15" t="str">
        <f>IF(COUNTA($B3228:$E3228,$K3228)=0,"",IF(AND($B3228&lt;&gt;"",$C3228&lt;&gt;"",$D3228&lt;&gt;"",$E3228&lt;&gt;""),"TXS"&amp;TEXT(COUNTIFS($B$2:$B3228,"&lt;&gt;",$C$2:$C3228,"&lt;&gt;",$D$2:$D3228,"&lt;&gt;",$E$2:$E3228,"&lt;&gt;"),"00000"),""))</f>
        <v/>
      </c>
      <c r="N3228" s="22"/>
    </row>
    <row r="3229" spans="1:14" x14ac:dyDescent="0.3">
      <c r="A3229" s="15" t="str">
        <f>IF(COUNTA($B3229:$E3229,$K3229)=0,"",IF(AND($B3229&lt;&gt;"",$C3229&lt;&gt;"",$D3229&lt;&gt;"",$E3229&lt;&gt;""),"TXS"&amp;TEXT(COUNTIFS($B$2:$B3229,"&lt;&gt;",$C$2:$C3229,"&lt;&gt;",$D$2:$D3229,"&lt;&gt;",$E$2:$E3229,"&lt;&gt;"),"00000"),""))</f>
        <v/>
      </c>
      <c r="N3229" s="22"/>
    </row>
    <row r="3230" spans="1:14" x14ac:dyDescent="0.3">
      <c r="A3230" s="15" t="str">
        <f>IF(COUNTA($B3230:$E3230,$K3230)=0,"",IF(AND($B3230&lt;&gt;"",$C3230&lt;&gt;"",$D3230&lt;&gt;"",$E3230&lt;&gt;""),"TXS"&amp;TEXT(COUNTIFS($B$2:$B3230,"&lt;&gt;",$C$2:$C3230,"&lt;&gt;",$D$2:$D3230,"&lt;&gt;",$E$2:$E3230,"&lt;&gt;"),"00000"),""))</f>
        <v/>
      </c>
      <c r="N3230" s="22"/>
    </row>
    <row r="3231" spans="1:14" x14ac:dyDescent="0.3">
      <c r="A3231" s="15" t="str">
        <f>IF(COUNTA($B3231:$E3231,$K3231)=0,"",IF(AND($B3231&lt;&gt;"",$C3231&lt;&gt;"",$D3231&lt;&gt;"",$E3231&lt;&gt;""),"TXS"&amp;TEXT(COUNTIFS($B$2:$B3231,"&lt;&gt;",$C$2:$C3231,"&lt;&gt;",$D$2:$D3231,"&lt;&gt;",$E$2:$E3231,"&lt;&gt;"),"00000"),""))</f>
        <v/>
      </c>
      <c r="N3231" s="22"/>
    </row>
    <row r="3232" spans="1:14" x14ac:dyDescent="0.3">
      <c r="A3232" s="15" t="str">
        <f>IF(COUNTA($B3232:$E3232,$K3232)=0,"",IF(AND($B3232&lt;&gt;"",$C3232&lt;&gt;"",$D3232&lt;&gt;"",$E3232&lt;&gt;""),"TXS"&amp;TEXT(COUNTIFS($B$2:$B3232,"&lt;&gt;",$C$2:$C3232,"&lt;&gt;",$D$2:$D3232,"&lt;&gt;",$E$2:$E3232,"&lt;&gt;"),"00000"),""))</f>
        <v/>
      </c>
      <c r="N3232" s="22"/>
    </row>
    <row r="3233" spans="1:14" x14ac:dyDescent="0.3">
      <c r="A3233" s="15" t="str">
        <f>IF(COUNTA($B3233:$E3233,$K3233)=0,"",IF(AND($B3233&lt;&gt;"",$C3233&lt;&gt;"",$D3233&lt;&gt;"",$E3233&lt;&gt;""),"TXS"&amp;TEXT(COUNTIFS($B$2:$B3233,"&lt;&gt;",$C$2:$C3233,"&lt;&gt;",$D$2:$D3233,"&lt;&gt;",$E$2:$E3233,"&lt;&gt;"),"00000"),""))</f>
        <v/>
      </c>
      <c r="N3233" s="22"/>
    </row>
    <row r="3234" spans="1:14" x14ac:dyDescent="0.3">
      <c r="A3234" s="15" t="str">
        <f>IF(COUNTA($B3234:$E3234,$K3234)=0,"",IF(AND($B3234&lt;&gt;"",$C3234&lt;&gt;"",$D3234&lt;&gt;"",$E3234&lt;&gt;""),"TXS"&amp;TEXT(COUNTIFS($B$2:$B3234,"&lt;&gt;",$C$2:$C3234,"&lt;&gt;",$D$2:$D3234,"&lt;&gt;",$E$2:$E3234,"&lt;&gt;"),"00000"),""))</f>
        <v/>
      </c>
      <c r="N3234" s="22"/>
    </row>
    <row r="3235" spans="1:14" x14ac:dyDescent="0.3">
      <c r="A3235" s="15" t="str">
        <f>IF(COUNTA($B3235:$E3235,$K3235)=0,"",IF(AND($B3235&lt;&gt;"",$C3235&lt;&gt;"",$D3235&lt;&gt;"",$E3235&lt;&gt;""),"TXS"&amp;TEXT(COUNTIFS($B$2:$B3235,"&lt;&gt;",$C$2:$C3235,"&lt;&gt;",$D$2:$D3235,"&lt;&gt;",$E$2:$E3235,"&lt;&gt;"),"00000"),""))</f>
        <v/>
      </c>
      <c r="N3235" s="22"/>
    </row>
    <row r="3236" spans="1:14" x14ac:dyDescent="0.3">
      <c r="A3236" s="15" t="str">
        <f>IF(COUNTA($B3236:$E3236,$K3236)=0,"",IF(AND($B3236&lt;&gt;"",$C3236&lt;&gt;"",$D3236&lt;&gt;"",$E3236&lt;&gt;""),"TXS"&amp;TEXT(COUNTIFS($B$2:$B3236,"&lt;&gt;",$C$2:$C3236,"&lt;&gt;",$D$2:$D3236,"&lt;&gt;",$E$2:$E3236,"&lt;&gt;"),"00000"),""))</f>
        <v/>
      </c>
      <c r="N3236" s="22"/>
    </row>
    <row r="3237" spans="1:14" x14ac:dyDescent="0.3">
      <c r="A3237" s="15" t="str">
        <f>IF(COUNTA($B3237:$E3237,$K3237)=0,"",IF(AND($B3237&lt;&gt;"",$C3237&lt;&gt;"",$D3237&lt;&gt;"",$E3237&lt;&gt;""),"TXS"&amp;TEXT(COUNTIFS($B$2:$B3237,"&lt;&gt;",$C$2:$C3237,"&lt;&gt;",$D$2:$D3237,"&lt;&gt;",$E$2:$E3237,"&lt;&gt;"),"00000"),""))</f>
        <v/>
      </c>
      <c r="N3237" s="22"/>
    </row>
    <row r="3238" spans="1:14" x14ac:dyDescent="0.3">
      <c r="A3238" s="15" t="str">
        <f>IF(COUNTA($B3238:$E3238,$K3238)=0,"",IF(AND($B3238&lt;&gt;"",$C3238&lt;&gt;"",$D3238&lt;&gt;"",$E3238&lt;&gt;""),"TXS"&amp;TEXT(COUNTIFS($B$2:$B3238,"&lt;&gt;",$C$2:$C3238,"&lt;&gt;",$D$2:$D3238,"&lt;&gt;",$E$2:$E3238,"&lt;&gt;"),"00000"),""))</f>
        <v/>
      </c>
      <c r="N3238" s="22"/>
    </row>
    <row r="3239" spans="1:14" x14ac:dyDescent="0.3">
      <c r="A3239" s="15" t="str">
        <f>IF(COUNTA($B3239:$E3239,$K3239)=0,"",IF(AND($B3239&lt;&gt;"",$C3239&lt;&gt;"",$D3239&lt;&gt;"",$E3239&lt;&gt;""),"TXS"&amp;TEXT(COUNTIFS($B$2:$B3239,"&lt;&gt;",$C$2:$C3239,"&lt;&gt;",$D$2:$D3239,"&lt;&gt;",$E$2:$E3239,"&lt;&gt;"),"00000"),""))</f>
        <v/>
      </c>
      <c r="N3239" s="22"/>
    </row>
    <row r="3240" spans="1:14" x14ac:dyDescent="0.3">
      <c r="A3240" s="15" t="str">
        <f>IF(COUNTA($B3240:$E3240,$K3240)=0,"",IF(AND($B3240&lt;&gt;"",$C3240&lt;&gt;"",$D3240&lt;&gt;"",$E3240&lt;&gt;""),"TXS"&amp;TEXT(COUNTIFS($B$2:$B3240,"&lt;&gt;",$C$2:$C3240,"&lt;&gt;",$D$2:$D3240,"&lt;&gt;",$E$2:$E3240,"&lt;&gt;"),"00000"),""))</f>
        <v/>
      </c>
      <c r="N3240" s="22"/>
    </row>
    <row r="3241" spans="1:14" x14ac:dyDescent="0.3">
      <c r="A3241" s="15" t="str">
        <f>IF(COUNTA($B3241:$E3241,$K3241)=0,"",IF(AND($B3241&lt;&gt;"",$C3241&lt;&gt;"",$D3241&lt;&gt;"",$E3241&lt;&gt;""),"TXS"&amp;TEXT(COUNTIFS($B$2:$B3241,"&lt;&gt;",$C$2:$C3241,"&lt;&gt;",$D$2:$D3241,"&lt;&gt;",$E$2:$E3241,"&lt;&gt;"),"00000"),""))</f>
        <v/>
      </c>
      <c r="N3241" s="22"/>
    </row>
    <row r="3242" spans="1:14" x14ac:dyDescent="0.3">
      <c r="A3242" s="15" t="str">
        <f>IF(COUNTA($B3242:$E3242,$K3242)=0,"",IF(AND($B3242&lt;&gt;"",$C3242&lt;&gt;"",$D3242&lt;&gt;"",$E3242&lt;&gt;""),"TXS"&amp;TEXT(COUNTIFS($B$2:$B3242,"&lt;&gt;",$C$2:$C3242,"&lt;&gt;",$D$2:$D3242,"&lt;&gt;",$E$2:$E3242,"&lt;&gt;"),"00000"),""))</f>
        <v/>
      </c>
      <c r="N3242" s="22"/>
    </row>
    <row r="3243" spans="1:14" x14ac:dyDescent="0.3">
      <c r="A3243" s="15" t="str">
        <f>IF(COUNTA($B3243:$E3243,$K3243)=0,"",IF(AND($B3243&lt;&gt;"",$C3243&lt;&gt;"",$D3243&lt;&gt;"",$E3243&lt;&gt;""),"TXS"&amp;TEXT(COUNTIFS($B$2:$B3243,"&lt;&gt;",$C$2:$C3243,"&lt;&gt;",$D$2:$D3243,"&lt;&gt;",$E$2:$E3243,"&lt;&gt;"),"00000"),""))</f>
        <v/>
      </c>
      <c r="N3243" s="22"/>
    </row>
    <row r="3244" spans="1:14" x14ac:dyDescent="0.3">
      <c r="A3244" s="15" t="str">
        <f>IF(COUNTA($B3244:$E3244,$K3244)=0,"",IF(AND($B3244&lt;&gt;"",$C3244&lt;&gt;"",$D3244&lt;&gt;"",$E3244&lt;&gt;""),"TXS"&amp;TEXT(COUNTIFS($B$2:$B3244,"&lt;&gt;",$C$2:$C3244,"&lt;&gt;",$D$2:$D3244,"&lt;&gt;",$E$2:$E3244,"&lt;&gt;"),"00000"),""))</f>
        <v/>
      </c>
      <c r="N3244" s="22"/>
    </row>
    <row r="3245" spans="1:14" x14ac:dyDescent="0.3">
      <c r="A3245" s="15" t="str">
        <f>IF(COUNTA($B3245:$E3245,$K3245)=0,"",IF(AND($B3245&lt;&gt;"",$C3245&lt;&gt;"",$D3245&lt;&gt;"",$E3245&lt;&gt;""),"TXS"&amp;TEXT(COUNTIFS($B$2:$B3245,"&lt;&gt;",$C$2:$C3245,"&lt;&gt;",$D$2:$D3245,"&lt;&gt;",$E$2:$E3245,"&lt;&gt;"),"00000"),""))</f>
        <v/>
      </c>
      <c r="N3245" s="22"/>
    </row>
    <row r="3246" spans="1:14" x14ac:dyDescent="0.3">
      <c r="A3246" s="15" t="str">
        <f>IF(COUNTA($B3246:$E3246,$K3246)=0,"",IF(AND($B3246&lt;&gt;"",$C3246&lt;&gt;"",$D3246&lt;&gt;"",$E3246&lt;&gt;""),"TXS"&amp;TEXT(COUNTIFS($B$2:$B3246,"&lt;&gt;",$C$2:$C3246,"&lt;&gt;",$D$2:$D3246,"&lt;&gt;",$E$2:$E3246,"&lt;&gt;"),"00000"),""))</f>
        <v/>
      </c>
      <c r="N3246" s="22"/>
    </row>
    <row r="3247" spans="1:14" x14ac:dyDescent="0.3">
      <c r="A3247" s="15" t="str">
        <f>IF(COUNTA($B3247:$E3247,$K3247)=0,"",IF(AND($B3247&lt;&gt;"",$C3247&lt;&gt;"",$D3247&lt;&gt;"",$E3247&lt;&gt;""),"TXS"&amp;TEXT(COUNTIFS($B$2:$B3247,"&lt;&gt;",$C$2:$C3247,"&lt;&gt;",$D$2:$D3247,"&lt;&gt;",$E$2:$E3247,"&lt;&gt;"),"00000"),""))</f>
        <v/>
      </c>
      <c r="N3247" s="22"/>
    </row>
    <row r="3248" spans="1:14" x14ac:dyDescent="0.3">
      <c r="A3248" s="15" t="str">
        <f>IF(COUNTA($B3248:$E3248,$K3248)=0,"",IF(AND($B3248&lt;&gt;"",$C3248&lt;&gt;"",$D3248&lt;&gt;"",$E3248&lt;&gt;""),"TXS"&amp;TEXT(COUNTIFS($B$2:$B3248,"&lt;&gt;",$C$2:$C3248,"&lt;&gt;",$D$2:$D3248,"&lt;&gt;",$E$2:$E3248,"&lt;&gt;"),"00000"),""))</f>
        <v/>
      </c>
      <c r="N3248" s="22"/>
    </row>
    <row r="3249" spans="1:14" x14ac:dyDescent="0.3">
      <c r="A3249" s="15" t="str">
        <f>IF(COUNTA($B3249:$E3249,$K3249)=0,"",IF(AND($B3249&lt;&gt;"",$C3249&lt;&gt;"",$D3249&lt;&gt;"",$E3249&lt;&gt;""),"TXS"&amp;TEXT(COUNTIFS($B$2:$B3249,"&lt;&gt;",$C$2:$C3249,"&lt;&gt;",$D$2:$D3249,"&lt;&gt;",$E$2:$E3249,"&lt;&gt;"),"00000"),""))</f>
        <v/>
      </c>
      <c r="N3249" s="22"/>
    </row>
    <row r="3250" spans="1:14" x14ac:dyDescent="0.3">
      <c r="A3250" s="15" t="str">
        <f>IF(COUNTA($B3250:$E3250,$K3250)=0,"",IF(AND($B3250&lt;&gt;"",$C3250&lt;&gt;"",$D3250&lt;&gt;"",$E3250&lt;&gt;""),"TXS"&amp;TEXT(COUNTIFS($B$2:$B3250,"&lt;&gt;",$C$2:$C3250,"&lt;&gt;",$D$2:$D3250,"&lt;&gt;",$E$2:$E3250,"&lt;&gt;"),"00000"),""))</f>
        <v/>
      </c>
      <c r="N3250" s="22"/>
    </row>
    <row r="3251" spans="1:14" x14ac:dyDescent="0.3">
      <c r="A3251" s="15" t="str">
        <f>IF(COUNTA($B3251:$E3251,$K3251)=0,"",IF(AND($B3251&lt;&gt;"",$C3251&lt;&gt;"",$D3251&lt;&gt;"",$E3251&lt;&gt;""),"TXS"&amp;TEXT(COUNTIFS($B$2:$B3251,"&lt;&gt;",$C$2:$C3251,"&lt;&gt;",$D$2:$D3251,"&lt;&gt;",$E$2:$E3251,"&lt;&gt;"),"00000"),""))</f>
        <v/>
      </c>
      <c r="N3251" s="22"/>
    </row>
    <row r="3252" spans="1:14" x14ac:dyDescent="0.3">
      <c r="A3252" s="15" t="str">
        <f>IF(COUNTA($B3252:$E3252,$K3252)=0,"",IF(AND($B3252&lt;&gt;"",$C3252&lt;&gt;"",$D3252&lt;&gt;"",$E3252&lt;&gt;""),"TXS"&amp;TEXT(COUNTIFS($B$2:$B3252,"&lt;&gt;",$C$2:$C3252,"&lt;&gt;",$D$2:$D3252,"&lt;&gt;",$E$2:$E3252,"&lt;&gt;"),"00000"),""))</f>
        <v/>
      </c>
      <c r="N3252" s="22"/>
    </row>
    <row r="3253" spans="1:14" x14ac:dyDescent="0.3">
      <c r="A3253" s="15" t="str">
        <f>IF(COUNTA($B3253:$E3253,$K3253)=0,"",IF(AND($B3253&lt;&gt;"",$C3253&lt;&gt;"",$D3253&lt;&gt;"",$E3253&lt;&gt;""),"TXS"&amp;TEXT(COUNTIFS($B$2:$B3253,"&lt;&gt;",$C$2:$C3253,"&lt;&gt;",$D$2:$D3253,"&lt;&gt;",$E$2:$E3253,"&lt;&gt;"),"00000"),""))</f>
        <v/>
      </c>
      <c r="N3253" s="22"/>
    </row>
    <row r="3254" spans="1:14" x14ac:dyDescent="0.3">
      <c r="A3254" s="15" t="str">
        <f>IF(COUNTA($B3254:$E3254,$K3254)=0,"",IF(AND($B3254&lt;&gt;"",$C3254&lt;&gt;"",$D3254&lt;&gt;"",$E3254&lt;&gt;""),"TXS"&amp;TEXT(COUNTIFS($B$2:$B3254,"&lt;&gt;",$C$2:$C3254,"&lt;&gt;",$D$2:$D3254,"&lt;&gt;",$E$2:$E3254,"&lt;&gt;"),"00000"),""))</f>
        <v/>
      </c>
      <c r="N3254" s="22"/>
    </row>
    <row r="3255" spans="1:14" x14ac:dyDescent="0.3">
      <c r="A3255" s="15" t="str">
        <f>IF(COUNTA($B3255:$E3255,$K3255)=0,"",IF(AND($B3255&lt;&gt;"",$C3255&lt;&gt;"",$D3255&lt;&gt;"",$E3255&lt;&gt;""),"TXS"&amp;TEXT(COUNTIFS($B$2:$B3255,"&lt;&gt;",$C$2:$C3255,"&lt;&gt;",$D$2:$D3255,"&lt;&gt;",$E$2:$E3255,"&lt;&gt;"),"00000"),""))</f>
        <v/>
      </c>
      <c r="N3255" s="22"/>
    </row>
    <row r="3256" spans="1:14" x14ac:dyDescent="0.3">
      <c r="A3256" s="15" t="str">
        <f>IF(COUNTA($B3256:$E3256,$K3256)=0,"",IF(AND($B3256&lt;&gt;"",$C3256&lt;&gt;"",$D3256&lt;&gt;"",$E3256&lt;&gt;""),"TXS"&amp;TEXT(COUNTIFS($B$2:$B3256,"&lt;&gt;",$C$2:$C3256,"&lt;&gt;",$D$2:$D3256,"&lt;&gt;",$E$2:$E3256,"&lt;&gt;"),"00000"),""))</f>
        <v/>
      </c>
      <c r="N3256" s="22"/>
    </row>
    <row r="3257" spans="1:14" x14ac:dyDescent="0.3">
      <c r="A3257" s="15" t="str">
        <f>IF(COUNTA($B3257:$E3257,$K3257)=0,"",IF(AND($B3257&lt;&gt;"",$C3257&lt;&gt;"",$D3257&lt;&gt;"",$E3257&lt;&gt;""),"TXS"&amp;TEXT(COUNTIFS($B$2:$B3257,"&lt;&gt;",$C$2:$C3257,"&lt;&gt;",$D$2:$D3257,"&lt;&gt;",$E$2:$E3257,"&lt;&gt;"),"00000"),""))</f>
        <v/>
      </c>
      <c r="N3257" s="22"/>
    </row>
    <row r="3258" spans="1:14" x14ac:dyDescent="0.3">
      <c r="A3258" s="15" t="str">
        <f>IF(COUNTA($B3258:$E3258,$K3258)=0,"",IF(AND($B3258&lt;&gt;"",$C3258&lt;&gt;"",$D3258&lt;&gt;"",$E3258&lt;&gt;""),"TXS"&amp;TEXT(COUNTIFS($B$2:$B3258,"&lt;&gt;",$C$2:$C3258,"&lt;&gt;",$D$2:$D3258,"&lt;&gt;",$E$2:$E3258,"&lt;&gt;"),"00000"),""))</f>
        <v/>
      </c>
      <c r="N3258" s="22"/>
    </row>
    <row r="3259" spans="1:14" x14ac:dyDescent="0.3">
      <c r="A3259" s="15" t="str">
        <f>IF(COUNTA($B3259:$E3259,$K3259)=0,"",IF(AND($B3259&lt;&gt;"",$C3259&lt;&gt;"",$D3259&lt;&gt;"",$E3259&lt;&gt;""),"TXS"&amp;TEXT(COUNTIFS($B$2:$B3259,"&lt;&gt;",$C$2:$C3259,"&lt;&gt;",$D$2:$D3259,"&lt;&gt;",$E$2:$E3259,"&lt;&gt;"),"00000"),""))</f>
        <v/>
      </c>
      <c r="N3259" s="22"/>
    </row>
    <row r="3260" spans="1:14" x14ac:dyDescent="0.3">
      <c r="A3260" s="15" t="str">
        <f>IF(COUNTA($B3260:$E3260,$K3260)=0,"",IF(AND($B3260&lt;&gt;"",$C3260&lt;&gt;"",$D3260&lt;&gt;"",$E3260&lt;&gt;""),"TXS"&amp;TEXT(COUNTIFS($B$2:$B3260,"&lt;&gt;",$C$2:$C3260,"&lt;&gt;",$D$2:$D3260,"&lt;&gt;",$E$2:$E3260,"&lt;&gt;"),"00000"),""))</f>
        <v/>
      </c>
      <c r="N3260" s="22"/>
    </row>
    <row r="3261" spans="1:14" x14ac:dyDescent="0.3">
      <c r="A3261" s="15" t="str">
        <f>IF(COUNTA($B3261:$E3261,$K3261)=0,"",IF(AND($B3261&lt;&gt;"",$C3261&lt;&gt;"",$D3261&lt;&gt;"",$E3261&lt;&gt;""),"TXS"&amp;TEXT(COUNTIFS($B$2:$B3261,"&lt;&gt;",$C$2:$C3261,"&lt;&gt;",$D$2:$D3261,"&lt;&gt;",$E$2:$E3261,"&lt;&gt;"),"00000"),""))</f>
        <v/>
      </c>
      <c r="N3261" s="22"/>
    </row>
    <row r="3262" spans="1:14" x14ac:dyDescent="0.3">
      <c r="A3262" s="15" t="str">
        <f>IF(COUNTA($B3262:$E3262,$K3262)=0,"",IF(AND($B3262&lt;&gt;"",$C3262&lt;&gt;"",$D3262&lt;&gt;"",$E3262&lt;&gt;""),"TXS"&amp;TEXT(COUNTIFS($B$2:$B3262,"&lt;&gt;",$C$2:$C3262,"&lt;&gt;",$D$2:$D3262,"&lt;&gt;",$E$2:$E3262,"&lt;&gt;"),"00000"),""))</f>
        <v/>
      </c>
      <c r="N3262" s="22"/>
    </row>
    <row r="3263" spans="1:14" x14ac:dyDescent="0.3">
      <c r="A3263" s="15" t="str">
        <f>IF(COUNTA($B3263:$E3263,$K3263)=0,"",IF(AND($B3263&lt;&gt;"",$C3263&lt;&gt;"",$D3263&lt;&gt;"",$E3263&lt;&gt;""),"TXS"&amp;TEXT(COUNTIFS($B$2:$B3263,"&lt;&gt;",$C$2:$C3263,"&lt;&gt;",$D$2:$D3263,"&lt;&gt;",$E$2:$E3263,"&lt;&gt;"),"00000"),""))</f>
        <v/>
      </c>
      <c r="N3263" s="22"/>
    </row>
    <row r="3264" spans="1:14" x14ac:dyDescent="0.3">
      <c r="A3264" s="15" t="str">
        <f>IF(COUNTA($B3264:$E3264,$K3264)=0,"",IF(AND($B3264&lt;&gt;"",$C3264&lt;&gt;"",$D3264&lt;&gt;"",$E3264&lt;&gt;""),"TXS"&amp;TEXT(COUNTIFS($B$2:$B3264,"&lt;&gt;",$C$2:$C3264,"&lt;&gt;",$D$2:$D3264,"&lt;&gt;",$E$2:$E3264,"&lt;&gt;"),"00000"),""))</f>
        <v/>
      </c>
      <c r="N3264" s="22"/>
    </row>
    <row r="3265" spans="1:14" x14ac:dyDescent="0.3">
      <c r="A3265" s="15" t="str">
        <f>IF(COUNTA($B3265:$E3265,$K3265)=0,"",IF(AND($B3265&lt;&gt;"",$C3265&lt;&gt;"",$D3265&lt;&gt;"",$E3265&lt;&gt;""),"TXS"&amp;TEXT(COUNTIFS($B$2:$B3265,"&lt;&gt;",$C$2:$C3265,"&lt;&gt;",$D$2:$D3265,"&lt;&gt;",$E$2:$E3265,"&lt;&gt;"),"00000"),""))</f>
        <v/>
      </c>
      <c r="N3265" s="22"/>
    </row>
    <row r="3266" spans="1:14" x14ac:dyDescent="0.3">
      <c r="A3266" s="15" t="str">
        <f>IF(COUNTA($B3266:$E3266,$K3266)=0,"",IF(AND($B3266&lt;&gt;"",$C3266&lt;&gt;"",$D3266&lt;&gt;"",$E3266&lt;&gt;""),"TXS"&amp;TEXT(COUNTIFS($B$2:$B3266,"&lt;&gt;",$C$2:$C3266,"&lt;&gt;",$D$2:$D3266,"&lt;&gt;",$E$2:$E3266,"&lt;&gt;"),"00000"),""))</f>
        <v/>
      </c>
      <c r="N3266" s="22"/>
    </row>
    <row r="3267" spans="1:14" x14ac:dyDescent="0.3">
      <c r="A3267" s="15" t="str">
        <f>IF(COUNTA($B3267:$E3267,$K3267)=0,"",IF(AND($B3267&lt;&gt;"",$C3267&lt;&gt;"",$D3267&lt;&gt;"",$E3267&lt;&gt;""),"TXS"&amp;TEXT(COUNTIFS($B$2:$B3267,"&lt;&gt;",$C$2:$C3267,"&lt;&gt;",$D$2:$D3267,"&lt;&gt;",$E$2:$E3267,"&lt;&gt;"),"00000"),""))</f>
        <v/>
      </c>
      <c r="N3267" s="22"/>
    </row>
    <row r="3268" spans="1:14" x14ac:dyDescent="0.3">
      <c r="A3268" s="15" t="str">
        <f>IF(COUNTA($B3268:$E3268,$K3268)=0,"",IF(AND($B3268&lt;&gt;"",$C3268&lt;&gt;"",$D3268&lt;&gt;"",$E3268&lt;&gt;""),"TXS"&amp;TEXT(COUNTIFS($B$2:$B3268,"&lt;&gt;",$C$2:$C3268,"&lt;&gt;",$D$2:$D3268,"&lt;&gt;",$E$2:$E3268,"&lt;&gt;"),"00000"),""))</f>
        <v/>
      </c>
      <c r="N3268" s="22"/>
    </row>
    <row r="3269" spans="1:14" x14ac:dyDescent="0.3">
      <c r="A3269" s="15" t="str">
        <f>IF(COUNTA($B3269:$E3269,$K3269)=0,"",IF(AND($B3269&lt;&gt;"",$C3269&lt;&gt;"",$D3269&lt;&gt;"",$E3269&lt;&gt;""),"TXS"&amp;TEXT(COUNTIFS($B$2:$B3269,"&lt;&gt;",$C$2:$C3269,"&lt;&gt;",$D$2:$D3269,"&lt;&gt;",$E$2:$E3269,"&lt;&gt;"),"00000"),""))</f>
        <v/>
      </c>
      <c r="N3269" s="22"/>
    </row>
    <row r="3270" spans="1:14" x14ac:dyDescent="0.3">
      <c r="A3270" s="15" t="str">
        <f>IF(COUNTA($B3270:$E3270,$K3270)=0,"",IF(AND($B3270&lt;&gt;"",$C3270&lt;&gt;"",$D3270&lt;&gt;"",$E3270&lt;&gt;""),"TXS"&amp;TEXT(COUNTIFS($B$2:$B3270,"&lt;&gt;",$C$2:$C3270,"&lt;&gt;",$D$2:$D3270,"&lt;&gt;",$E$2:$E3270,"&lt;&gt;"),"00000"),""))</f>
        <v/>
      </c>
      <c r="N3270" s="22"/>
    </row>
    <row r="3271" spans="1:14" x14ac:dyDescent="0.3">
      <c r="A3271" s="15" t="str">
        <f>IF(COUNTA($B3271:$E3271,$K3271)=0,"",IF(AND($B3271&lt;&gt;"",$C3271&lt;&gt;"",$D3271&lt;&gt;"",$E3271&lt;&gt;""),"TXS"&amp;TEXT(COUNTIFS($B$2:$B3271,"&lt;&gt;",$C$2:$C3271,"&lt;&gt;",$D$2:$D3271,"&lt;&gt;",$E$2:$E3271,"&lt;&gt;"),"00000"),""))</f>
        <v/>
      </c>
      <c r="N3271" s="22"/>
    </row>
    <row r="3272" spans="1:14" x14ac:dyDescent="0.3">
      <c r="A3272" s="15" t="str">
        <f>IF(COUNTA($B3272:$E3272,$K3272)=0,"",IF(AND($B3272&lt;&gt;"",$C3272&lt;&gt;"",$D3272&lt;&gt;"",$E3272&lt;&gt;""),"TXS"&amp;TEXT(COUNTIFS($B$2:$B3272,"&lt;&gt;",$C$2:$C3272,"&lt;&gt;",$D$2:$D3272,"&lt;&gt;",$E$2:$E3272,"&lt;&gt;"),"00000"),""))</f>
        <v/>
      </c>
      <c r="N3272" s="22"/>
    </row>
    <row r="3273" spans="1:14" x14ac:dyDescent="0.3">
      <c r="A3273" s="15" t="str">
        <f>IF(COUNTA($B3273:$E3273,$K3273)=0,"",IF(AND($B3273&lt;&gt;"",$C3273&lt;&gt;"",$D3273&lt;&gt;"",$E3273&lt;&gt;""),"TXS"&amp;TEXT(COUNTIFS($B$2:$B3273,"&lt;&gt;",$C$2:$C3273,"&lt;&gt;",$D$2:$D3273,"&lt;&gt;",$E$2:$E3273,"&lt;&gt;"),"00000"),""))</f>
        <v/>
      </c>
      <c r="N3273" s="22"/>
    </row>
    <row r="3274" spans="1:14" x14ac:dyDescent="0.3">
      <c r="A3274" s="15" t="str">
        <f>IF(COUNTA($B3274:$E3274,$K3274)=0,"",IF(AND($B3274&lt;&gt;"",$C3274&lt;&gt;"",$D3274&lt;&gt;"",$E3274&lt;&gt;""),"TXS"&amp;TEXT(COUNTIFS($B$2:$B3274,"&lt;&gt;",$C$2:$C3274,"&lt;&gt;",$D$2:$D3274,"&lt;&gt;",$E$2:$E3274,"&lt;&gt;"),"00000"),""))</f>
        <v/>
      </c>
      <c r="N3274" s="22"/>
    </row>
    <row r="3275" spans="1:14" x14ac:dyDescent="0.3">
      <c r="A3275" s="15" t="str">
        <f>IF(COUNTA($B3275:$E3275,$K3275)=0,"",IF(AND($B3275&lt;&gt;"",$C3275&lt;&gt;"",$D3275&lt;&gt;"",$E3275&lt;&gt;""),"TXS"&amp;TEXT(COUNTIFS($B$2:$B3275,"&lt;&gt;",$C$2:$C3275,"&lt;&gt;",$D$2:$D3275,"&lt;&gt;",$E$2:$E3275,"&lt;&gt;"),"00000"),""))</f>
        <v/>
      </c>
      <c r="N3275" s="22"/>
    </row>
    <row r="3276" spans="1:14" x14ac:dyDescent="0.3">
      <c r="A3276" s="15" t="str">
        <f>IF(COUNTA($B3276:$E3276,$K3276)=0,"",IF(AND($B3276&lt;&gt;"",$C3276&lt;&gt;"",$D3276&lt;&gt;"",$E3276&lt;&gt;""),"TXS"&amp;TEXT(COUNTIFS($B$2:$B3276,"&lt;&gt;",$C$2:$C3276,"&lt;&gt;",$D$2:$D3276,"&lt;&gt;",$E$2:$E3276,"&lt;&gt;"),"00000"),""))</f>
        <v/>
      </c>
      <c r="N3276" s="22"/>
    </row>
    <row r="3277" spans="1:14" x14ac:dyDescent="0.3">
      <c r="A3277" s="15" t="str">
        <f>IF(COUNTA($B3277:$E3277,$K3277)=0,"",IF(AND($B3277&lt;&gt;"",$C3277&lt;&gt;"",$D3277&lt;&gt;"",$E3277&lt;&gt;""),"TXS"&amp;TEXT(COUNTIFS($B$2:$B3277,"&lt;&gt;",$C$2:$C3277,"&lt;&gt;",$D$2:$D3277,"&lt;&gt;",$E$2:$E3277,"&lt;&gt;"),"00000"),""))</f>
        <v/>
      </c>
      <c r="N3277" s="22"/>
    </row>
    <row r="3278" spans="1:14" x14ac:dyDescent="0.3">
      <c r="A3278" s="15" t="str">
        <f>IF(COUNTA($B3278:$E3278,$K3278)=0,"",IF(AND($B3278&lt;&gt;"",$C3278&lt;&gt;"",$D3278&lt;&gt;"",$E3278&lt;&gt;""),"TXS"&amp;TEXT(COUNTIFS($B$2:$B3278,"&lt;&gt;",$C$2:$C3278,"&lt;&gt;",$D$2:$D3278,"&lt;&gt;",$E$2:$E3278,"&lt;&gt;"),"00000"),""))</f>
        <v/>
      </c>
      <c r="N3278" s="22"/>
    </row>
    <row r="3279" spans="1:14" x14ac:dyDescent="0.3">
      <c r="A3279" s="15" t="str">
        <f>IF(COUNTA($B3279:$E3279,$K3279)=0,"",IF(AND($B3279&lt;&gt;"",$C3279&lt;&gt;"",$D3279&lt;&gt;"",$E3279&lt;&gt;""),"TXS"&amp;TEXT(COUNTIFS($B$2:$B3279,"&lt;&gt;",$C$2:$C3279,"&lt;&gt;",$D$2:$D3279,"&lt;&gt;",$E$2:$E3279,"&lt;&gt;"),"00000"),""))</f>
        <v/>
      </c>
      <c r="N3279" s="22"/>
    </row>
    <row r="3280" spans="1:14" x14ac:dyDescent="0.3">
      <c r="A3280" s="15" t="str">
        <f>IF(COUNTA($B3280:$E3280,$K3280)=0,"",IF(AND($B3280&lt;&gt;"",$C3280&lt;&gt;"",$D3280&lt;&gt;"",$E3280&lt;&gt;""),"TXS"&amp;TEXT(COUNTIFS($B$2:$B3280,"&lt;&gt;",$C$2:$C3280,"&lt;&gt;",$D$2:$D3280,"&lt;&gt;",$E$2:$E3280,"&lt;&gt;"),"00000"),""))</f>
        <v/>
      </c>
      <c r="N3280" s="22"/>
    </row>
    <row r="3281" spans="1:14" x14ac:dyDescent="0.3">
      <c r="A3281" s="15" t="str">
        <f>IF(COUNTA($B3281:$E3281,$K3281)=0,"",IF(AND($B3281&lt;&gt;"",$C3281&lt;&gt;"",$D3281&lt;&gt;"",$E3281&lt;&gt;""),"TXS"&amp;TEXT(COUNTIFS($B$2:$B3281,"&lt;&gt;",$C$2:$C3281,"&lt;&gt;",$D$2:$D3281,"&lt;&gt;",$E$2:$E3281,"&lt;&gt;"),"00000"),""))</f>
        <v/>
      </c>
      <c r="N3281" s="22"/>
    </row>
    <row r="3282" spans="1:14" x14ac:dyDescent="0.3">
      <c r="A3282" s="15" t="str">
        <f>IF(COUNTA($B3282:$E3282,$K3282)=0,"",IF(AND($B3282&lt;&gt;"",$C3282&lt;&gt;"",$D3282&lt;&gt;"",$E3282&lt;&gt;""),"TXS"&amp;TEXT(COUNTIFS($B$2:$B3282,"&lt;&gt;",$C$2:$C3282,"&lt;&gt;",$D$2:$D3282,"&lt;&gt;",$E$2:$E3282,"&lt;&gt;"),"00000"),""))</f>
        <v/>
      </c>
      <c r="N3282" s="22"/>
    </row>
    <row r="3283" spans="1:14" x14ac:dyDescent="0.3">
      <c r="A3283" s="15" t="str">
        <f>IF(COUNTA($B3283:$E3283,$K3283)=0,"",IF(AND($B3283&lt;&gt;"",$C3283&lt;&gt;"",$D3283&lt;&gt;"",$E3283&lt;&gt;""),"TXS"&amp;TEXT(COUNTIFS($B$2:$B3283,"&lt;&gt;",$C$2:$C3283,"&lt;&gt;",$D$2:$D3283,"&lt;&gt;",$E$2:$E3283,"&lt;&gt;"),"00000"),""))</f>
        <v/>
      </c>
      <c r="N3283" s="22"/>
    </row>
    <row r="3284" spans="1:14" x14ac:dyDescent="0.3">
      <c r="A3284" s="15" t="str">
        <f>IF(COUNTA($B3284:$E3284,$K3284)=0,"",IF(AND($B3284&lt;&gt;"",$C3284&lt;&gt;"",$D3284&lt;&gt;"",$E3284&lt;&gt;""),"TXS"&amp;TEXT(COUNTIFS($B$2:$B3284,"&lt;&gt;",$C$2:$C3284,"&lt;&gt;",$D$2:$D3284,"&lt;&gt;",$E$2:$E3284,"&lt;&gt;"),"00000"),""))</f>
        <v/>
      </c>
      <c r="N3284" s="22"/>
    </row>
    <row r="3285" spans="1:14" x14ac:dyDescent="0.3">
      <c r="A3285" s="15" t="str">
        <f>IF(COUNTA($B3285:$E3285,$K3285)=0,"",IF(AND($B3285&lt;&gt;"",$C3285&lt;&gt;"",$D3285&lt;&gt;"",$E3285&lt;&gt;""),"TXS"&amp;TEXT(COUNTIFS($B$2:$B3285,"&lt;&gt;",$C$2:$C3285,"&lt;&gt;",$D$2:$D3285,"&lt;&gt;",$E$2:$E3285,"&lt;&gt;"),"00000"),""))</f>
        <v/>
      </c>
      <c r="N3285" s="22"/>
    </row>
    <row r="3286" spans="1:14" x14ac:dyDescent="0.3">
      <c r="A3286" s="15" t="str">
        <f>IF(COUNTA($B3286:$E3286,$K3286)=0,"",IF(AND($B3286&lt;&gt;"",$C3286&lt;&gt;"",$D3286&lt;&gt;"",$E3286&lt;&gt;""),"TXS"&amp;TEXT(COUNTIFS($B$2:$B3286,"&lt;&gt;",$C$2:$C3286,"&lt;&gt;",$D$2:$D3286,"&lt;&gt;",$E$2:$E3286,"&lt;&gt;"),"00000"),""))</f>
        <v/>
      </c>
      <c r="N3286" s="22"/>
    </row>
    <row r="3287" spans="1:14" x14ac:dyDescent="0.3">
      <c r="A3287" s="15" t="str">
        <f>IF(COUNTA($B3287:$E3287,$K3287)=0,"",IF(AND($B3287&lt;&gt;"",$C3287&lt;&gt;"",$D3287&lt;&gt;"",$E3287&lt;&gt;""),"TXS"&amp;TEXT(COUNTIFS($B$2:$B3287,"&lt;&gt;",$C$2:$C3287,"&lt;&gt;",$D$2:$D3287,"&lt;&gt;",$E$2:$E3287,"&lt;&gt;"),"00000"),""))</f>
        <v/>
      </c>
      <c r="N3287" s="22"/>
    </row>
    <row r="3288" spans="1:14" x14ac:dyDescent="0.3">
      <c r="A3288" s="15" t="str">
        <f>IF(COUNTA($B3288:$E3288,$K3288)=0,"",IF(AND($B3288&lt;&gt;"",$C3288&lt;&gt;"",$D3288&lt;&gt;"",$E3288&lt;&gt;""),"TXS"&amp;TEXT(COUNTIFS($B$2:$B3288,"&lt;&gt;",$C$2:$C3288,"&lt;&gt;",$D$2:$D3288,"&lt;&gt;",$E$2:$E3288,"&lt;&gt;"),"00000"),""))</f>
        <v/>
      </c>
      <c r="N3288" s="22"/>
    </row>
    <row r="3289" spans="1:14" x14ac:dyDescent="0.3">
      <c r="A3289" s="15" t="str">
        <f>IF(COUNTA($B3289:$E3289,$K3289)=0,"",IF(AND($B3289&lt;&gt;"",$C3289&lt;&gt;"",$D3289&lt;&gt;"",$E3289&lt;&gt;""),"TXS"&amp;TEXT(COUNTIFS($B$2:$B3289,"&lt;&gt;",$C$2:$C3289,"&lt;&gt;",$D$2:$D3289,"&lt;&gt;",$E$2:$E3289,"&lt;&gt;"),"00000"),""))</f>
        <v/>
      </c>
      <c r="N3289" s="22"/>
    </row>
    <row r="3290" spans="1:14" x14ac:dyDescent="0.3">
      <c r="A3290" s="15" t="str">
        <f>IF(COUNTA($B3290:$E3290,$K3290)=0,"",IF(AND($B3290&lt;&gt;"",$C3290&lt;&gt;"",$D3290&lt;&gt;"",$E3290&lt;&gt;""),"TXS"&amp;TEXT(COUNTIFS($B$2:$B3290,"&lt;&gt;",$C$2:$C3290,"&lt;&gt;",$D$2:$D3290,"&lt;&gt;",$E$2:$E3290,"&lt;&gt;"),"00000"),""))</f>
        <v/>
      </c>
      <c r="N3290" s="22"/>
    </row>
    <row r="3291" spans="1:14" x14ac:dyDescent="0.3">
      <c r="A3291" s="15" t="str">
        <f>IF(COUNTA($B3291:$E3291,$K3291)=0,"",IF(AND($B3291&lt;&gt;"",$C3291&lt;&gt;"",$D3291&lt;&gt;"",$E3291&lt;&gt;""),"TXS"&amp;TEXT(COUNTIFS($B$2:$B3291,"&lt;&gt;",$C$2:$C3291,"&lt;&gt;",$D$2:$D3291,"&lt;&gt;",$E$2:$E3291,"&lt;&gt;"),"00000"),""))</f>
        <v/>
      </c>
      <c r="N3291" s="22"/>
    </row>
    <row r="3292" spans="1:14" x14ac:dyDescent="0.3">
      <c r="A3292" s="15" t="str">
        <f>IF(COUNTA($B3292:$E3292,$K3292)=0,"",IF(AND($B3292&lt;&gt;"",$C3292&lt;&gt;"",$D3292&lt;&gt;"",$E3292&lt;&gt;""),"TXS"&amp;TEXT(COUNTIFS($B$2:$B3292,"&lt;&gt;",$C$2:$C3292,"&lt;&gt;",$D$2:$D3292,"&lt;&gt;",$E$2:$E3292,"&lt;&gt;"),"00000"),""))</f>
        <v/>
      </c>
      <c r="N3292" s="22"/>
    </row>
    <row r="3293" spans="1:14" x14ac:dyDescent="0.3">
      <c r="A3293" s="15" t="str">
        <f>IF(COUNTA($B3293:$E3293,$K3293)=0,"",IF(AND($B3293&lt;&gt;"",$C3293&lt;&gt;"",$D3293&lt;&gt;"",$E3293&lt;&gt;""),"TXS"&amp;TEXT(COUNTIFS($B$2:$B3293,"&lt;&gt;",$C$2:$C3293,"&lt;&gt;",$D$2:$D3293,"&lt;&gt;",$E$2:$E3293,"&lt;&gt;"),"00000"),""))</f>
        <v/>
      </c>
      <c r="N3293" s="22"/>
    </row>
    <row r="3294" spans="1:14" x14ac:dyDescent="0.3">
      <c r="A3294" s="15" t="str">
        <f>IF(COUNTA($B3294:$E3294,$K3294)=0,"",IF(AND($B3294&lt;&gt;"",$C3294&lt;&gt;"",$D3294&lt;&gt;"",$E3294&lt;&gt;""),"TXS"&amp;TEXT(COUNTIFS($B$2:$B3294,"&lt;&gt;",$C$2:$C3294,"&lt;&gt;",$D$2:$D3294,"&lt;&gt;",$E$2:$E3294,"&lt;&gt;"),"00000"),""))</f>
        <v/>
      </c>
      <c r="N3294" s="22"/>
    </row>
    <row r="3295" spans="1:14" x14ac:dyDescent="0.3">
      <c r="A3295" s="15" t="str">
        <f>IF(COUNTA($B3295:$E3295,$K3295)=0,"",IF(AND($B3295&lt;&gt;"",$C3295&lt;&gt;"",$D3295&lt;&gt;"",$E3295&lt;&gt;""),"TXS"&amp;TEXT(COUNTIFS($B$2:$B3295,"&lt;&gt;",$C$2:$C3295,"&lt;&gt;",$D$2:$D3295,"&lt;&gt;",$E$2:$E3295,"&lt;&gt;"),"00000"),""))</f>
        <v/>
      </c>
      <c r="N3295" s="22"/>
    </row>
    <row r="3296" spans="1:14" x14ac:dyDescent="0.3">
      <c r="A3296" s="15" t="str">
        <f>IF(COUNTA($B3296:$E3296,$K3296)=0,"",IF(AND($B3296&lt;&gt;"",$C3296&lt;&gt;"",$D3296&lt;&gt;"",$E3296&lt;&gt;""),"TXS"&amp;TEXT(COUNTIFS($B$2:$B3296,"&lt;&gt;",$C$2:$C3296,"&lt;&gt;",$D$2:$D3296,"&lt;&gt;",$E$2:$E3296,"&lt;&gt;"),"00000"),""))</f>
        <v/>
      </c>
      <c r="N3296" s="22"/>
    </row>
    <row r="3297" spans="1:14" x14ac:dyDescent="0.3">
      <c r="A3297" s="15" t="str">
        <f>IF(COUNTA($B3297:$E3297,$K3297)=0,"",IF(AND($B3297&lt;&gt;"",$C3297&lt;&gt;"",$D3297&lt;&gt;"",$E3297&lt;&gt;""),"TXS"&amp;TEXT(COUNTIFS($B$2:$B3297,"&lt;&gt;",$C$2:$C3297,"&lt;&gt;",$D$2:$D3297,"&lt;&gt;",$E$2:$E3297,"&lt;&gt;"),"00000"),""))</f>
        <v/>
      </c>
      <c r="N3297" s="22"/>
    </row>
    <row r="3298" spans="1:14" x14ac:dyDescent="0.3">
      <c r="A3298" s="15" t="str">
        <f>IF(COUNTA($B3298:$E3298,$K3298)=0,"",IF(AND($B3298&lt;&gt;"",$C3298&lt;&gt;"",$D3298&lt;&gt;"",$E3298&lt;&gt;""),"TXS"&amp;TEXT(COUNTIFS($B$2:$B3298,"&lt;&gt;",$C$2:$C3298,"&lt;&gt;",$D$2:$D3298,"&lt;&gt;",$E$2:$E3298,"&lt;&gt;"),"00000"),""))</f>
        <v/>
      </c>
      <c r="N3298" s="22"/>
    </row>
    <row r="3299" spans="1:14" x14ac:dyDescent="0.3">
      <c r="A3299" s="15" t="str">
        <f>IF(COUNTA($B3299:$E3299,$K3299)=0,"",IF(AND($B3299&lt;&gt;"",$C3299&lt;&gt;"",$D3299&lt;&gt;"",$E3299&lt;&gt;""),"TXS"&amp;TEXT(COUNTIFS($B$2:$B3299,"&lt;&gt;",$C$2:$C3299,"&lt;&gt;",$D$2:$D3299,"&lt;&gt;",$E$2:$E3299,"&lt;&gt;"),"00000"),""))</f>
        <v/>
      </c>
      <c r="N3299" s="22"/>
    </row>
    <row r="3300" spans="1:14" x14ac:dyDescent="0.3">
      <c r="A3300" s="15" t="str">
        <f>IF(COUNTA($B3300:$E3300,$K3300)=0,"",IF(AND($B3300&lt;&gt;"",$C3300&lt;&gt;"",$D3300&lt;&gt;"",$E3300&lt;&gt;""),"TXS"&amp;TEXT(COUNTIFS($B$2:$B3300,"&lt;&gt;",$C$2:$C3300,"&lt;&gt;",$D$2:$D3300,"&lt;&gt;",$E$2:$E3300,"&lt;&gt;"),"00000"),""))</f>
        <v/>
      </c>
      <c r="N3300" s="22"/>
    </row>
    <row r="3301" spans="1:14" x14ac:dyDescent="0.3">
      <c r="A3301" s="15" t="str">
        <f>IF(COUNTA($B3301:$E3301,$K3301)=0,"",IF(AND($B3301&lt;&gt;"",$C3301&lt;&gt;"",$D3301&lt;&gt;"",$E3301&lt;&gt;""),"TXS"&amp;TEXT(COUNTIFS($B$2:$B3301,"&lt;&gt;",$C$2:$C3301,"&lt;&gt;",$D$2:$D3301,"&lt;&gt;",$E$2:$E3301,"&lt;&gt;"),"00000"),""))</f>
        <v/>
      </c>
      <c r="N3301" s="22"/>
    </row>
    <row r="3302" spans="1:14" x14ac:dyDescent="0.3">
      <c r="A3302" s="15" t="str">
        <f>IF(COUNTA($B3302:$E3302,$K3302)=0,"",IF(AND($B3302&lt;&gt;"",$C3302&lt;&gt;"",$D3302&lt;&gt;"",$E3302&lt;&gt;""),"TXS"&amp;TEXT(COUNTIFS($B$2:$B3302,"&lt;&gt;",$C$2:$C3302,"&lt;&gt;",$D$2:$D3302,"&lt;&gt;",$E$2:$E3302,"&lt;&gt;"),"00000"),""))</f>
        <v/>
      </c>
      <c r="N3302" s="22"/>
    </row>
    <row r="3303" spans="1:14" x14ac:dyDescent="0.3">
      <c r="A3303" s="15" t="str">
        <f>IF(COUNTA($B3303:$E3303,$K3303)=0,"",IF(AND($B3303&lt;&gt;"",$C3303&lt;&gt;"",$D3303&lt;&gt;"",$E3303&lt;&gt;""),"TXS"&amp;TEXT(COUNTIFS($B$2:$B3303,"&lt;&gt;",$C$2:$C3303,"&lt;&gt;",$D$2:$D3303,"&lt;&gt;",$E$2:$E3303,"&lt;&gt;"),"00000"),""))</f>
        <v/>
      </c>
      <c r="N3303" s="22"/>
    </row>
    <row r="3304" spans="1:14" x14ac:dyDescent="0.3">
      <c r="A3304" s="15" t="str">
        <f>IF(COUNTA($B3304:$E3304,$K3304)=0,"",IF(AND($B3304&lt;&gt;"",$C3304&lt;&gt;"",$D3304&lt;&gt;"",$E3304&lt;&gt;""),"TXS"&amp;TEXT(COUNTIFS($B$2:$B3304,"&lt;&gt;",$C$2:$C3304,"&lt;&gt;",$D$2:$D3304,"&lt;&gt;",$E$2:$E3304,"&lt;&gt;"),"00000"),""))</f>
        <v/>
      </c>
      <c r="N3304" s="22"/>
    </row>
    <row r="3305" spans="1:14" x14ac:dyDescent="0.3">
      <c r="A3305" s="15" t="str">
        <f>IF(COUNTA($B3305:$E3305,$K3305)=0,"",IF(AND($B3305&lt;&gt;"",$C3305&lt;&gt;"",$D3305&lt;&gt;"",$E3305&lt;&gt;""),"TXS"&amp;TEXT(COUNTIFS($B$2:$B3305,"&lt;&gt;",$C$2:$C3305,"&lt;&gt;",$D$2:$D3305,"&lt;&gt;",$E$2:$E3305,"&lt;&gt;"),"00000"),""))</f>
        <v/>
      </c>
      <c r="N3305" s="22"/>
    </row>
    <row r="3306" spans="1:14" x14ac:dyDescent="0.3">
      <c r="A3306" s="15" t="str">
        <f>IF(COUNTA($B3306:$E3306,$K3306)=0,"",IF(AND($B3306&lt;&gt;"",$C3306&lt;&gt;"",$D3306&lt;&gt;"",$E3306&lt;&gt;""),"TXS"&amp;TEXT(COUNTIFS($B$2:$B3306,"&lt;&gt;",$C$2:$C3306,"&lt;&gt;",$D$2:$D3306,"&lt;&gt;",$E$2:$E3306,"&lt;&gt;"),"00000"),""))</f>
        <v/>
      </c>
      <c r="N3306" s="22"/>
    </row>
    <row r="3307" spans="1:14" x14ac:dyDescent="0.3">
      <c r="A3307" s="15" t="str">
        <f>IF(COUNTA($B3307:$E3307,$K3307)=0,"",IF(AND($B3307&lt;&gt;"",$C3307&lt;&gt;"",$D3307&lt;&gt;"",$E3307&lt;&gt;""),"TXS"&amp;TEXT(COUNTIFS($B$2:$B3307,"&lt;&gt;",$C$2:$C3307,"&lt;&gt;",$D$2:$D3307,"&lt;&gt;",$E$2:$E3307,"&lt;&gt;"),"00000"),""))</f>
        <v/>
      </c>
      <c r="N3307" s="22"/>
    </row>
    <row r="3308" spans="1:14" x14ac:dyDescent="0.3">
      <c r="A3308" s="15" t="str">
        <f>IF(COUNTA($B3308:$E3308,$K3308)=0,"",IF(AND($B3308&lt;&gt;"",$C3308&lt;&gt;"",$D3308&lt;&gt;"",$E3308&lt;&gt;""),"TXS"&amp;TEXT(COUNTIFS($B$2:$B3308,"&lt;&gt;",$C$2:$C3308,"&lt;&gt;",$D$2:$D3308,"&lt;&gt;",$E$2:$E3308,"&lt;&gt;"),"00000"),""))</f>
        <v/>
      </c>
      <c r="N3308" s="22"/>
    </row>
    <row r="3309" spans="1:14" x14ac:dyDescent="0.3">
      <c r="A3309" s="15" t="str">
        <f>IF(COUNTA($B3309:$E3309,$K3309)=0,"",IF(AND($B3309&lt;&gt;"",$C3309&lt;&gt;"",$D3309&lt;&gt;"",$E3309&lt;&gt;""),"TXS"&amp;TEXT(COUNTIFS($B$2:$B3309,"&lt;&gt;",$C$2:$C3309,"&lt;&gt;",$D$2:$D3309,"&lt;&gt;",$E$2:$E3309,"&lt;&gt;"),"00000"),""))</f>
        <v/>
      </c>
      <c r="N3309" s="22"/>
    </row>
    <row r="3310" spans="1:14" x14ac:dyDescent="0.3">
      <c r="A3310" s="15" t="str">
        <f>IF(COUNTA($B3310:$E3310,$K3310)=0,"",IF(AND($B3310&lt;&gt;"",$C3310&lt;&gt;"",$D3310&lt;&gt;"",$E3310&lt;&gt;""),"TXS"&amp;TEXT(COUNTIFS($B$2:$B3310,"&lt;&gt;",$C$2:$C3310,"&lt;&gt;",$D$2:$D3310,"&lt;&gt;",$E$2:$E3310,"&lt;&gt;"),"00000"),""))</f>
        <v/>
      </c>
      <c r="N3310" s="22"/>
    </row>
    <row r="3311" spans="1:14" x14ac:dyDescent="0.3">
      <c r="A3311" s="15" t="str">
        <f>IF(COUNTA($B3311:$E3311,$K3311)=0,"",IF(AND($B3311&lt;&gt;"",$C3311&lt;&gt;"",$D3311&lt;&gt;"",$E3311&lt;&gt;""),"TXS"&amp;TEXT(COUNTIFS($B$2:$B3311,"&lt;&gt;",$C$2:$C3311,"&lt;&gt;",$D$2:$D3311,"&lt;&gt;",$E$2:$E3311,"&lt;&gt;"),"00000"),""))</f>
        <v/>
      </c>
      <c r="N3311" s="22"/>
    </row>
    <row r="3312" spans="1:14" x14ac:dyDescent="0.3">
      <c r="A3312" s="15" t="str">
        <f>IF(COUNTA($B3312:$E3312,$K3312)=0,"",IF(AND($B3312&lt;&gt;"",$C3312&lt;&gt;"",$D3312&lt;&gt;"",$E3312&lt;&gt;""),"TXS"&amp;TEXT(COUNTIFS($B$2:$B3312,"&lt;&gt;",$C$2:$C3312,"&lt;&gt;",$D$2:$D3312,"&lt;&gt;",$E$2:$E3312,"&lt;&gt;"),"00000"),""))</f>
        <v/>
      </c>
      <c r="N3312" s="22"/>
    </row>
    <row r="3313" spans="1:14" x14ac:dyDescent="0.3">
      <c r="A3313" s="15" t="str">
        <f>IF(COUNTA($B3313:$E3313,$K3313)=0,"",IF(AND($B3313&lt;&gt;"",$C3313&lt;&gt;"",$D3313&lt;&gt;"",$E3313&lt;&gt;""),"TXS"&amp;TEXT(COUNTIFS($B$2:$B3313,"&lt;&gt;",$C$2:$C3313,"&lt;&gt;",$D$2:$D3313,"&lt;&gt;",$E$2:$E3313,"&lt;&gt;"),"00000"),""))</f>
        <v/>
      </c>
      <c r="N3313" s="22"/>
    </row>
    <row r="3314" spans="1:14" x14ac:dyDescent="0.3">
      <c r="A3314" s="15" t="str">
        <f>IF(COUNTA($B3314:$E3314,$K3314)=0,"",IF(AND($B3314&lt;&gt;"",$C3314&lt;&gt;"",$D3314&lt;&gt;"",$E3314&lt;&gt;""),"TXS"&amp;TEXT(COUNTIFS($B$2:$B3314,"&lt;&gt;",$C$2:$C3314,"&lt;&gt;",$D$2:$D3314,"&lt;&gt;",$E$2:$E3314,"&lt;&gt;"),"00000"),""))</f>
        <v/>
      </c>
      <c r="N3314" s="22"/>
    </row>
    <row r="3315" spans="1:14" x14ac:dyDescent="0.3">
      <c r="A3315" s="15" t="str">
        <f>IF(COUNTA($B3315:$E3315,$K3315)=0,"",IF(AND($B3315&lt;&gt;"",$C3315&lt;&gt;"",$D3315&lt;&gt;"",$E3315&lt;&gt;""),"TXS"&amp;TEXT(COUNTIFS($B$2:$B3315,"&lt;&gt;",$C$2:$C3315,"&lt;&gt;",$D$2:$D3315,"&lt;&gt;",$E$2:$E3315,"&lt;&gt;"),"00000"),""))</f>
        <v/>
      </c>
      <c r="N3315" s="22"/>
    </row>
    <row r="3316" spans="1:14" x14ac:dyDescent="0.3">
      <c r="A3316" s="15" t="str">
        <f>IF(COUNTA($B3316:$E3316,$K3316)=0,"",IF(AND($B3316&lt;&gt;"",$C3316&lt;&gt;"",$D3316&lt;&gt;"",$E3316&lt;&gt;""),"TXS"&amp;TEXT(COUNTIFS($B$2:$B3316,"&lt;&gt;",$C$2:$C3316,"&lt;&gt;",$D$2:$D3316,"&lt;&gt;",$E$2:$E3316,"&lt;&gt;"),"00000"),""))</f>
        <v/>
      </c>
      <c r="N3316" s="22"/>
    </row>
    <row r="3317" spans="1:14" x14ac:dyDescent="0.3">
      <c r="A3317" s="15" t="str">
        <f>IF(COUNTA($B3317:$E3317,$K3317)=0,"",IF(AND($B3317&lt;&gt;"",$C3317&lt;&gt;"",$D3317&lt;&gt;"",$E3317&lt;&gt;""),"TXS"&amp;TEXT(COUNTIFS($B$2:$B3317,"&lt;&gt;",$C$2:$C3317,"&lt;&gt;",$D$2:$D3317,"&lt;&gt;",$E$2:$E3317,"&lt;&gt;"),"00000"),""))</f>
        <v/>
      </c>
      <c r="N3317" s="22"/>
    </row>
    <row r="3318" spans="1:14" x14ac:dyDescent="0.3">
      <c r="A3318" s="15" t="str">
        <f>IF(COUNTA($B3318:$E3318,$K3318)=0,"",IF(AND($B3318&lt;&gt;"",$C3318&lt;&gt;"",$D3318&lt;&gt;"",$E3318&lt;&gt;""),"TXS"&amp;TEXT(COUNTIFS($B$2:$B3318,"&lt;&gt;",$C$2:$C3318,"&lt;&gt;",$D$2:$D3318,"&lt;&gt;",$E$2:$E3318,"&lt;&gt;"),"00000"),""))</f>
        <v/>
      </c>
      <c r="N3318" s="22"/>
    </row>
    <row r="3319" spans="1:14" x14ac:dyDescent="0.3">
      <c r="A3319" s="15" t="str">
        <f>IF(COUNTA($B3319:$E3319,$K3319)=0,"",IF(AND($B3319&lt;&gt;"",$C3319&lt;&gt;"",$D3319&lt;&gt;"",$E3319&lt;&gt;""),"TXS"&amp;TEXT(COUNTIFS($B$2:$B3319,"&lt;&gt;",$C$2:$C3319,"&lt;&gt;",$D$2:$D3319,"&lt;&gt;",$E$2:$E3319,"&lt;&gt;"),"00000"),""))</f>
        <v/>
      </c>
      <c r="N3319" s="22"/>
    </row>
    <row r="3320" spans="1:14" x14ac:dyDescent="0.3">
      <c r="A3320" s="15" t="str">
        <f>IF(COUNTA($B3320:$E3320,$K3320)=0,"",IF(AND($B3320&lt;&gt;"",$C3320&lt;&gt;"",$D3320&lt;&gt;"",$E3320&lt;&gt;""),"TXS"&amp;TEXT(COUNTIFS($B$2:$B3320,"&lt;&gt;",$C$2:$C3320,"&lt;&gt;",$D$2:$D3320,"&lt;&gt;",$E$2:$E3320,"&lt;&gt;"),"00000"),""))</f>
        <v/>
      </c>
      <c r="N3320" s="22"/>
    </row>
    <row r="3321" spans="1:14" x14ac:dyDescent="0.3">
      <c r="A3321" s="15" t="str">
        <f>IF(COUNTA($B3321:$E3321,$K3321)=0,"",IF(AND($B3321&lt;&gt;"",$C3321&lt;&gt;"",$D3321&lt;&gt;"",$E3321&lt;&gt;""),"TXS"&amp;TEXT(COUNTIFS($B$2:$B3321,"&lt;&gt;",$C$2:$C3321,"&lt;&gt;",$D$2:$D3321,"&lt;&gt;",$E$2:$E3321,"&lt;&gt;"),"00000"),""))</f>
        <v/>
      </c>
      <c r="N3321" s="22"/>
    </row>
    <row r="3322" spans="1:14" x14ac:dyDescent="0.3">
      <c r="A3322" s="15" t="str">
        <f>IF(COUNTA($B3322:$E3322,$K3322)=0,"",IF(AND($B3322&lt;&gt;"",$C3322&lt;&gt;"",$D3322&lt;&gt;"",$E3322&lt;&gt;""),"TXS"&amp;TEXT(COUNTIFS($B$2:$B3322,"&lt;&gt;",$C$2:$C3322,"&lt;&gt;",$D$2:$D3322,"&lt;&gt;",$E$2:$E3322,"&lt;&gt;"),"00000"),""))</f>
        <v/>
      </c>
      <c r="N3322" s="22"/>
    </row>
    <row r="3323" spans="1:14" x14ac:dyDescent="0.3">
      <c r="A3323" s="15" t="str">
        <f>IF(COUNTA($B3323:$E3323,$K3323)=0,"",IF(AND($B3323&lt;&gt;"",$C3323&lt;&gt;"",$D3323&lt;&gt;"",$E3323&lt;&gt;""),"TXS"&amp;TEXT(COUNTIFS($B$2:$B3323,"&lt;&gt;",$C$2:$C3323,"&lt;&gt;",$D$2:$D3323,"&lt;&gt;",$E$2:$E3323,"&lt;&gt;"),"00000"),""))</f>
        <v/>
      </c>
      <c r="N3323" s="22"/>
    </row>
    <row r="3324" spans="1:14" x14ac:dyDescent="0.3">
      <c r="A3324" s="15" t="str">
        <f>IF(COUNTA($B3324:$E3324,$K3324)=0,"",IF(AND($B3324&lt;&gt;"",$C3324&lt;&gt;"",$D3324&lt;&gt;"",$E3324&lt;&gt;""),"TXS"&amp;TEXT(COUNTIFS($B$2:$B3324,"&lt;&gt;",$C$2:$C3324,"&lt;&gt;",$D$2:$D3324,"&lt;&gt;",$E$2:$E3324,"&lt;&gt;"),"00000"),""))</f>
        <v/>
      </c>
      <c r="N3324" s="22"/>
    </row>
    <row r="3325" spans="1:14" x14ac:dyDescent="0.3">
      <c r="A3325" s="15" t="str">
        <f>IF(COUNTA($B3325:$E3325,$K3325)=0,"",IF(AND($B3325&lt;&gt;"",$C3325&lt;&gt;"",$D3325&lt;&gt;"",$E3325&lt;&gt;""),"TXS"&amp;TEXT(COUNTIFS($B$2:$B3325,"&lt;&gt;",$C$2:$C3325,"&lt;&gt;",$D$2:$D3325,"&lt;&gt;",$E$2:$E3325,"&lt;&gt;"),"00000"),""))</f>
        <v/>
      </c>
      <c r="N3325" s="22"/>
    </row>
    <row r="3326" spans="1:14" x14ac:dyDescent="0.3">
      <c r="A3326" s="15" t="str">
        <f>IF(COUNTA($B3326:$E3326,$K3326)=0,"",IF(AND($B3326&lt;&gt;"",$C3326&lt;&gt;"",$D3326&lt;&gt;"",$E3326&lt;&gt;""),"TXS"&amp;TEXT(COUNTIFS($B$2:$B3326,"&lt;&gt;",$C$2:$C3326,"&lt;&gt;",$D$2:$D3326,"&lt;&gt;",$E$2:$E3326,"&lt;&gt;"),"00000"),""))</f>
        <v/>
      </c>
      <c r="N3326" s="22"/>
    </row>
    <row r="3327" spans="1:14" x14ac:dyDescent="0.3">
      <c r="A3327" s="15" t="str">
        <f>IF(COUNTA($B3327:$E3327,$K3327)=0,"",IF(AND($B3327&lt;&gt;"",$C3327&lt;&gt;"",$D3327&lt;&gt;"",$E3327&lt;&gt;""),"TXS"&amp;TEXT(COUNTIFS($B$2:$B3327,"&lt;&gt;",$C$2:$C3327,"&lt;&gt;",$D$2:$D3327,"&lt;&gt;",$E$2:$E3327,"&lt;&gt;"),"00000"),""))</f>
        <v/>
      </c>
      <c r="N3327" s="22"/>
    </row>
    <row r="3328" spans="1:14" x14ac:dyDescent="0.3">
      <c r="A3328" s="15" t="str">
        <f>IF(COUNTA($B3328:$E3328,$K3328)=0,"",IF(AND($B3328&lt;&gt;"",$C3328&lt;&gt;"",$D3328&lt;&gt;"",$E3328&lt;&gt;""),"TXS"&amp;TEXT(COUNTIFS($B$2:$B3328,"&lt;&gt;",$C$2:$C3328,"&lt;&gt;",$D$2:$D3328,"&lt;&gt;",$E$2:$E3328,"&lt;&gt;"),"00000"),""))</f>
        <v/>
      </c>
      <c r="N3328" s="22"/>
    </row>
    <row r="3329" spans="1:14" x14ac:dyDescent="0.3">
      <c r="A3329" s="15" t="str">
        <f>IF(COUNTA($B3329:$E3329,$K3329)=0,"",IF(AND($B3329&lt;&gt;"",$C3329&lt;&gt;"",$D3329&lt;&gt;"",$E3329&lt;&gt;""),"TXS"&amp;TEXT(COUNTIFS($B$2:$B3329,"&lt;&gt;",$C$2:$C3329,"&lt;&gt;",$D$2:$D3329,"&lt;&gt;",$E$2:$E3329,"&lt;&gt;"),"00000"),""))</f>
        <v/>
      </c>
      <c r="N3329" s="22"/>
    </row>
    <row r="3330" spans="1:14" x14ac:dyDescent="0.3">
      <c r="A3330" s="15" t="str">
        <f>IF(COUNTA($B3330:$E3330,$K3330)=0,"",IF(AND($B3330&lt;&gt;"",$C3330&lt;&gt;"",$D3330&lt;&gt;"",$E3330&lt;&gt;""),"TXS"&amp;TEXT(COUNTIFS($B$2:$B3330,"&lt;&gt;",$C$2:$C3330,"&lt;&gt;",$D$2:$D3330,"&lt;&gt;",$E$2:$E3330,"&lt;&gt;"),"00000"),""))</f>
        <v/>
      </c>
      <c r="N3330" s="22"/>
    </row>
    <row r="3331" spans="1:14" x14ac:dyDescent="0.3">
      <c r="A3331" s="15" t="str">
        <f>IF(COUNTA($B3331:$E3331,$K3331)=0,"",IF(AND($B3331&lt;&gt;"",$C3331&lt;&gt;"",$D3331&lt;&gt;"",$E3331&lt;&gt;""),"TXS"&amp;TEXT(COUNTIFS($B$2:$B3331,"&lt;&gt;",$C$2:$C3331,"&lt;&gt;",$D$2:$D3331,"&lt;&gt;",$E$2:$E3331,"&lt;&gt;"),"00000"),""))</f>
        <v/>
      </c>
      <c r="N3331" s="22"/>
    </row>
    <row r="3332" spans="1:14" x14ac:dyDescent="0.3">
      <c r="A3332" s="15" t="str">
        <f>IF(COUNTA($B3332:$E3332,$K3332)=0,"",IF(AND($B3332&lt;&gt;"",$C3332&lt;&gt;"",$D3332&lt;&gt;"",$E3332&lt;&gt;""),"TXS"&amp;TEXT(COUNTIFS($B$2:$B3332,"&lt;&gt;",$C$2:$C3332,"&lt;&gt;",$D$2:$D3332,"&lt;&gt;",$E$2:$E3332,"&lt;&gt;"),"00000"),""))</f>
        <v/>
      </c>
      <c r="N3332" s="22"/>
    </row>
    <row r="3333" spans="1:14" x14ac:dyDescent="0.3">
      <c r="A3333" s="15" t="str">
        <f>IF(COUNTA($B3333:$E3333,$K3333)=0,"",IF(AND($B3333&lt;&gt;"",$C3333&lt;&gt;"",$D3333&lt;&gt;"",$E3333&lt;&gt;""),"TXS"&amp;TEXT(COUNTIFS($B$2:$B3333,"&lt;&gt;",$C$2:$C3333,"&lt;&gt;",$D$2:$D3333,"&lt;&gt;",$E$2:$E3333,"&lt;&gt;"),"00000"),""))</f>
        <v/>
      </c>
      <c r="N3333" s="22"/>
    </row>
    <row r="3334" spans="1:14" x14ac:dyDescent="0.3">
      <c r="A3334" s="15" t="str">
        <f>IF(COUNTA($B3334:$E3334,$K3334)=0,"",IF(AND($B3334&lt;&gt;"",$C3334&lt;&gt;"",$D3334&lt;&gt;"",$E3334&lt;&gt;""),"TXS"&amp;TEXT(COUNTIFS($B$2:$B3334,"&lt;&gt;",$C$2:$C3334,"&lt;&gt;",$D$2:$D3334,"&lt;&gt;",$E$2:$E3334,"&lt;&gt;"),"00000"),""))</f>
        <v/>
      </c>
      <c r="N3334" s="22"/>
    </row>
    <row r="3335" spans="1:14" x14ac:dyDescent="0.3">
      <c r="A3335" s="15" t="str">
        <f>IF(COUNTA($B3335:$E3335,$K3335)=0,"",IF(AND($B3335&lt;&gt;"",$C3335&lt;&gt;"",$D3335&lt;&gt;"",$E3335&lt;&gt;""),"TXS"&amp;TEXT(COUNTIFS($B$2:$B3335,"&lt;&gt;",$C$2:$C3335,"&lt;&gt;",$D$2:$D3335,"&lt;&gt;",$E$2:$E3335,"&lt;&gt;"),"00000"),""))</f>
        <v/>
      </c>
      <c r="N3335" s="22"/>
    </row>
    <row r="3336" spans="1:14" x14ac:dyDescent="0.3">
      <c r="A3336" s="15" t="str">
        <f>IF(COUNTA($B3336:$E3336,$K3336)=0,"",IF(AND($B3336&lt;&gt;"",$C3336&lt;&gt;"",$D3336&lt;&gt;"",$E3336&lt;&gt;""),"TXS"&amp;TEXT(COUNTIFS($B$2:$B3336,"&lt;&gt;",$C$2:$C3336,"&lt;&gt;",$D$2:$D3336,"&lt;&gt;",$E$2:$E3336,"&lt;&gt;"),"00000"),""))</f>
        <v/>
      </c>
      <c r="N3336" s="22"/>
    </row>
    <row r="3337" spans="1:14" x14ac:dyDescent="0.3">
      <c r="A3337" s="15" t="str">
        <f>IF(COUNTA($B3337:$E3337,$K3337)=0,"",IF(AND($B3337&lt;&gt;"",$C3337&lt;&gt;"",$D3337&lt;&gt;"",$E3337&lt;&gt;""),"TXS"&amp;TEXT(COUNTIFS($B$2:$B3337,"&lt;&gt;",$C$2:$C3337,"&lt;&gt;",$D$2:$D3337,"&lt;&gt;",$E$2:$E3337,"&lt;&gt;"),"00000"),""))</f>
        <v/>
      </c>
      <c r="N3337" s="22"/>
    </row>
    <row r="3338" spans="1:14" x14ac:dyDescent="0.3">
      <c r="A3338" s="15" t="str">
        <f>IF(COUNTA($B3338:$E3338,$K3338)=0,"",IF(AND($B3338&lt;&gt;"",$C3338&lt;&gt;"",$D3338&lt;&gt;"",$E3338&lt;&gt;""),"TXS"&amp;TEXT(COUNTIFS($B$2:$B3338,"&lt;&gt;",$C$2:$C3338,"&lt;&gt;",$D$2:$D3338,"&lt;&gt;",$E$2:$E3338,"&lt;&gt;"),"00000"),""))</f>
        <v/>
      </c>
      <c r="N3338" s="22"/>
    </row>
    <row r="3339" spans="1:14" x14ac:dyDescent="0.3">
      <c r="A3339" s="15" t="str">
        <f>IF(COUNTA($B3339:$E3339,$K3339)=0,"",IF(AND($B3339&lt;&gt;"",$C3339&lt;&gt;"",$D3339&lt;&gt;"",$E3339&lt;&gt;""),"TXS"&amp;TEXT(COUNTIFS($B$2:$B3339,"&lt;&gt;",$C$2:$C3339,"&lt;&gt;",$D$2:$D3339,"&lt;&gt;",$E$2:$E3339,"&lt;&gt;"),"00000"),""))</f>
        <v/>
      </c>
      <c r="N3339" s="22"/>
    </row>
    <row r="3340" spans="1:14" x14ac:dyDescent="0.3">
      <c r="A3340" s="15" t="str">
        <f>IF(COUNTA($B3340:$E3340,$K3340)=0,"",IF(AND($B3340&lt;&gt;"",$C3340&lt;&gt;"",$D3340&lt;&gt;"",$E3340&lt;&gt;""),"TXS"&amp;TEXT(COUNTIFS($B$2:$B3340,"&lt;&gt;",$C$2:$C3340,"&lt;&gt;",$D$2:$D3340,"&lt;&gt;",$E$2:$E3340,"&lt;&gt;"),"00000"),""))</f>
        <v/>
      </c>
      <c r="N3340" s="22"/>
    </row>
    <row r="3341" spans="1:14" x14ac:dyDescent="0.3">
      <c r="A3341" s="15" t="str">
        <f>IF(COUNTA($B3341:$E3341,$K3341)=0,"",IF(AND($B3341&lt;&gt;"",$C3341&lt;&gt;"",$D3341&lt;&gt;"",$E3341&lt;&gt;""),"TXS"&amp;TEXT(COUNTIFS($B$2:$B3341,"&lt;&gt;",$C$2:$C3341,"&lt;&gt;",$D$2:$D3341,"&lt;&gt;",$E$2:$E3341,"&lt;&gt;"),"00000"),""))</f>
        <v/>
      </c>
      <c r="N3341" s="22"/>
    </row>
    <row r="3342" spans="1:14" x14ac:dyDescent="0.3">
      <c r="A3342" s="15" t="str">
        <f>IF(COUNTA($B3342:$E3342,$K3342)=0,"",IF(AND($B3342&lt;&gt;"",$C3342&lt;&gt;"",$D3342&lt;&gt;"",$E3342&lt;&gt;""),"TXS"&amp;TEXT(COUNTIFS($B$2:$B3342,"&lt;&gt;",$C$2:$C3342,"&lt;&gt;",$D$2:$D3342,"&lt;&gt;",$E$2:$E3342,"&lt;&gt;"),"00000"),""))</f>
        <v/>
      </c>
      <c r="N3342" s="22"/>
    </row>
    <row r="3343" spans="1:14" x14ac:dyDescent="0.3">
      <c r="A3343" s="15" t="str">
        <f>IF(COUNTA($B3343:$E3343,$K3343)=0,"",IF(AND($B3343&lt;&gt;"",$C3343&lt;&gt;"",$D3343&lt;&gt;"",$E3343&lt;&gt;""),"TXS"&amp;TEXT(COUNTIFS($B$2:$B3343,"&lt;&gt;",$C$2:$C3343,"&lt;&gt;",$D$2:$D3343,"&lt;&gt;",$E$2:$E3343,"&lt;&gt;"),"00000"),""))</f>
        <v/>
      </c>
      <c r="N3343" s="22"/>
    </row>
    <row r="3344" spans="1:14" x14ac:dyDescent="0.3">
      <c r="A3344" s="15" t="str">
        <f>IF(COUNTA($B3344:$E3344,$K3344)=0,"",IF(AND($B3344&lt;&gt;"",$C3344&lt;&gt;"",$D3344&lt;&gt;"",$E3344&lt;&gt;""),"TXS"&amp;TEXT(COUNTIFS($B$2:$B3344,"&lt;&gt;",$C$2:$C3344,"&lt;&gt;",$D$2:$D3344,"&lt;&gt;",$E$2:$E3344,"&lt;&gt;"),"00000"),""))</f>
        <v/>
      </c>
      <c r="N3344" s="22"/>
    </row>
    <row r="3345" spans="1:14" x14ac:dyDescent="0.3">
      <c r="A3345" s="15" t="str">
        <f>IF(COUNTA($B3345:$E3345,$K3345)=0,"",IF(AND($B3345&lt;&gt;"",$C3345&lt;&gt;"",$D3345&lt;&gt;"",$E3345&lt;&gt;""),"TXS"&amp;TEXT(COUNTIFS($B$2:$B3345,"&lt;&gt;",$C$2:$C3345,"&lt;&gt;",$D$2:$D3345,"&lt;&gt;",$E$2:$E3345,"&lt;&gt;"),"00000"),""))</f>
        <v/>
      </c>
      <c r="N3345" s="22"/>
    </row>
    <row r="3346" spans="1:14" x14ac:dyDescent="0.3">
      <c r="A3346" s="15" t="str">
        <f>IF(COUNTA($B3346:$E3346,$K3346)=0,"",IF(AND($B3346&lt;&gt;"",$C3346&lt;&gt;"",$D3346&lt;&gt;"",$E3346&lt;&gt;""),"TXS"&amp;TEXT(COUNTIFS($B$2:$B3346,"&lt;&gt;",$C$2:$C3346,"&lt;&gt;",$D$2:$D3346,"&lt;&gt;",$E$2:$E3346,"&lt;&gt;"),"00000"),""))</f>
        <v/>
      </c>
      <c r="N3346" s="22"/>
    </row>
    <row r="3347" spans="1:14" x14ac:dyDescent="0.3">
      <c r="A3347" s="15" t="str">
        <f>IF(COUNTA($B3347:$E3347,$K3347)=0,"",IF(AND($B3347&lt;&gt;"",$C3347&lt;&gt;"",$D3347&lt;&gt;"",$E3347&lt;&gt;""),"TXS"&amp;TEXT(COUNTIFS($B$2:$B3347,"&lt;&gt;",$C$2:$C3347,"&lt;&gt;",$D$2:$D3347,"&lt;&gt;",$E$2:$E3347,"&lt;&gt;"),"00000"),""))</f>
        <v/>
      </c>
      <c r="N3347" s="22"/>
    </row>
    <row r="3348" spans="1:14" x14ac:dyDescent="0.3">
      <c r="A3348" s="15" t="str">
        <f>IF(COUNTA($B3348:$E3348,$K3348)=0,"",IF(AND($B3348&lt;&gt;"",$C3348&lt;&gt;"",$D3348&lt;&gt;"",$E3348&lt;&gt;""),"TXS"&amp;TEXT(COUNTIFS($B$2:$B3348,"&lt;&gt;",$C$2:$C3348,"&lt;&gt;",$D$2:$D3348,"&lt;&gt;",$E$2:$E3348,"&lt;&gt;"),"00000"),""))</f>
        <v/>
      </c>
      <c r="N3348" s="22"/>
    </row>
    <row r="3349" spans="1:14" x14ac:dyDescent="0.3">
      <c r="A3349" s="15" t="str">
        <f>IF(COUNTA($B3349:$E3349,$K3349)=0,"",IF(AND($B3349&lt;&gt;"",$C3349&lt;&gt;"",$D3349&lt;&gt;"",$E3349&lt;&gt;""),"TXS"&amp;TEXT(COUNTIFS($B$2:$B3349,"&lt;&gt;",$C$2:$C3349,"&lt;&gt;",$D$2:$D3349,"&lt;&gt;",$E$2:$E3349,"&lt;&gt;"),"00000"),""))</f>
        <v/>
      </c>
      <c r="N3349" s="22"/>
    </row>
    <row r="3350" spans="1:14" x14ac:dyDescent="0.3">
      <c r="A3350" s="15" t="str">
        <f>IF(COUNTA($B3350:$E3350,$K3350)=0,"",IF(AND($B3350&lt;&gt;"",$C3350&lt;&gt;"",$D3350&lt;&gt;"",$E3350&lt;&gt;""),"TXS"&amp;TEXT(COUNTIFS($B$2:$B3350,"&lt;&gt;",$C$2:$C3350,"&lt;&gt;",$D$2:$D3350,"&lt;&gt;",$E$2:$E3350,"&lt;&gt;"),"00000"),""))</f>
        <v/>
      </c>
      <c r="N3350" s="22"/>
    </row>
    <row r="3351" spans="1:14" x14ac:dyDescent="0.3">
      <c r="A3351" s="15" t="str">
        <f>IF(COUNTA($B3351:$E3351,$K3351)=0,"",IF(AND($B3351&lt;&gt;"",$C3351&lt;&gt;"",$D3351&lt;&gt;"",$E3351&lt;&gt;""),"TXS"&amp;TEXT(COUNTIFS($B$2:$B3351,"&lt;&gt;",$C$2:$C3351,"&lt;&gt;",$D$2:$D3351,"&lt;&gt;",$E$2:$E3351,"&lt;&gt;"),"00000"),""))</f>
        <v/>
      </c>
      <c r="N3351" s="22"/>
    </row>
    <row r="3352" spans="1:14" x14ac:dyDescent="0.3">
      <c r="A3352" s="15" t="str">
        <f>IF(COUNTA($B3352:$E3352,$K3352)=0,"",IF(AND($B3352&lt;&gt;"",$C3352&lt;&gt;"",$D3352&lt;&gt;"",$E3352&lt;&gt;""),"TXS"&amp;TEXT(COUNTIFS($B$2:$B3352,"&lt;&gt;",$C$2:$C3352,"&lt;&gt;",$D$2:$D3352,"&lt;&gt;",$E$2:$E3352,"&lt;&gt;"),"00000"),""))</f>
        <v/>
      </c>
      <c r="N3352" s="22"/>
    </row>
    <row r="3353" spans="1:14" x14ac:dyDescent="0.3">
      <c r="A3353" s="15" t="str">
        <f>IF(COUNTA($B3353:$E3353,$K3353)=0,"",IF(AND($B3353&lt;&gt;"",$C3353&lt;&gt;"",$D3353&lt;&gt;"",$E3353&lt;&gt;""),"TXS"&amp;TEXT(COUNTIFS($B$2:$B3353,"&lt;&gt;",$C$2:$C3353,"&lt;&gt;",$D$2:$D3353,"&lt;&gt;",$E$2:$E3353,"&lt;&gt;"),"00000"),""))</f>
        <v/>
      </c>
      <c r="N3353" s="22"/>
    </row>
    <row r="3354" spans="1:14" x14ac:dyDescent="0.3">
      <c r="A3354" s="15" t="str">
        <f>IF(COUNTA($B3354:$E3354,$K3354)=0,"",IF(AND($B3354&lt;&gt;"",$C3354&lt;&gt;"",$D3354&lt;&gt;"",$E3354&lt;&gt;""),"TXS"&amp;TEXT(COUNTIFS($B$2:$B3354,"&lt;&gt;",$C$2:$C3354,"&lt;&gt;",$D$2:$D3354,"&lt;&gt;",$E$2:$E3354,"&lt;&gt;"),"00000"),""))</f>
        <v/>
      </c>
      <c r="N3354" s="22"/>
    </row>
    <row r="3355" spans="1:14" x14ac:dyDescent="0.3">
      <c r="A3355" s="15" t="str">
        <f>IF(COUNTA($B3355:$E3355,$K3355)=0,"",IF(AND($B3355&lt;&gt;"",$C3355&lt;&gt;"",$D3355&lt;&gt;"",$E3355&lt;&gt;""),"TXS"&amp;TEXT(COUNTIFS($B$2:$B3355,"&lt;&gt;",$C$2:$C3355,"&lt;&gt;",$D$2:$D3355,"&lt;&gt;",$E$2:$E3355,"&lt;&gt;"),"00000"),""))</f>
        <v/>
      </c>
      <c r="N3355" s="22"/>
    </row>
    <row r="3356" spans="1:14" x14ac:dyDescent="0.3">
      <c r="A3356" s="15" t="str">
        <f>IF(COUNTA($B3356:$E3356,$K3356)=0,"",IF(AND($B3356&lt;&gt;"",$C3356&lt;&gt;"",$D3356&lt;&gt;"",$E3356&lt;&gt;""),"TXS"&amp;TEXT(COUNTIFS($B$2:$B3356,"&lt;&gt;",$C$2:$C3356,"&lt;&gt;",$D$2:$D3356,"&lt;&gt;",$E$2:$E3356,"&lt;&gt;"),"00000"),""))</f>
        <v/>
      </c>
      <c r="N3356" s="22"/>
    </row>
    <row r="3357" spans="1:14" x14ac:dyDescent="0.3">
      <c r="A3357" s="15" t="str">
        <f>IF(COUNTA($B3357:$E3357,$K3357)=0,"",IF(AND($B3357&lt;&gt;"",$C3357&lt;&gt;"",$D3357&lt;&gt;"",$E3357&lt;&gt;""),"TXS"&amp;TEXT(COUNTIFS($B$2:$B3357,"&lt;&gt;",$C$2:$C3357,"&lt;&gt;",$D$2:$D3357,"&lt;&gt;",$E$2:$E3357,"&lt;&gt;"),"00000"),""))</f>
        <v/>
      </c>
      <c r="N3357" s="22"/>
    </row>
    <row r="3358" spans="1:14" x14ac:dyDescent="0.3">
      <c r="A3358" s="15" t="str">
        <f>IF(COUNTA($B3358:$E3358,$K3358)=0,"",IF(AND($B3358&lt;&gt;"",$C3358&lt;&gt;"",$D3358&lt;&gt;"",$E3358&lt;&gt;""),"TXS"&amp;TEXT(COUNTIFS($B$2:$B3358,"&lt;&gt;",$C$2:$C3358,"&lt;&gt;",$D$2:$D3358,"&lt;&gt;",$E$2:$E3358,"&lt;&gt;"),"00000"),""))</f>
        <v/>
      </c>
      <c r="N3358" s="22"/>
    </row>
    <row r="3359" spans="1:14" x14ac:dyDescent="0.3">
      <c r="A3359" s="15" t="str">
        <f>IF(COUNTA($B3359:$E3359,$K3359)=0,"",IF(AND($B3359&lt;&gt;"",$C3359&lt;&gt;"",$D3359&lt;&gt;"",$E3359&lt;&gt;""),"TXS"&amp;TEXT(COUNTIFS($B$2:$B3359,"&lt;&gt;",$C$2:$C3359,"&lt;&gt;",$D$2:$D3359,"&lt;&gt;",$E$2:$E3359,"&lt;&gt;"),"00000"),""))</f>
        <v/>
      </c>
      <c r="N3359" s="22"/>
    </row>
    <row r="3360" spans="1:14" x14ac:dyDescent="0.3">
      <c r="A3360" s="15" t="str">
        <f>IF(COUNTA($B3360:$E3360,$K3360)=0,"",IF(AND($B3360&lt;&gt;"",$C3360&lt;&gt;"",$D3360&lt;&gt;"",$E3360&lt;&gt;""),"TXS"&amp;TEXT(COUNTIFS($B$2:$B3360,"&lt;&gt;",$C$2:$C3360,"&lt;&gt;",$D$2:$D3360,"&lt;&gt;",$E$2:$E3360,"&lt;&gt;"),"00000"),""))</f>
        <v/>
      </c>
      <c r="N3360" s="22"/>
    </row>
    <row r="3361" spans="1:14" x14ac:dyDescent="0.3">
      <c r="A3361" s="15" t="str">
        <f>IF(COUNTA($B3361:$E3361,$K3361)=0,"",IF(AND($B3361&lt;&gt;"",$C3361&lt;&gt;"",$D3361&lt;&gt;"",$E3361&lt;&gt;""),"TXS"&amp;TEXT(COUNTIFS($B$2:$B3361,"&lt;&gt;",$C$2:$C3361,"&lt;&gt;",$D$2:$D3361,"&lt;&gt;",$E$2:$E3361,"&lt;&gt;"),"00000"),""))</f>
        <v/>
      </c>
      <c r="N3361" s="22"/>
    </row>
    <row r="3362" spans="1:14" x14ac:dyDescent="0.3">
      <c r="A3362" s="15" t="str">
        <f>IF(COUNTA($B3362:$E3362,$K3362)=0,"",IF(AND($B3362&lt;&gt;"",$C3362&lt;&gt;"",$D3362&lt;&gt;"",$E3362&lt;&gt;""),"TXS"&amp;TEXT(COUNTIFS($B$2:$B3362,"&lt;&gt;",$C$2:$C3362,"&lt;&gt;",$D$2:$D3362,"&lt;&gt;",$E$2:$E3362,"&lt;&gt;"),"00000"),""))</f>
        <v/>
      </c>
      <c r="N3362" s="22"/>
    </row>
    <row r="3363" spans="1:14" x14ac:dyDescent="0.3">
      <c r="A3363" s="15" t="str">
        <f>IF(COUNTA($B3363:$E3363,$K3363)=0,"",IF(AND($B3363&lt;&gt;"",$C3363&lt;&gt;"",$D3363&lt;&gt;"",$E3363&lt;&gt;""),"TXS"&amp;TEXT(COUNTIFS($B$2:$B3363,"&lt;&gt;",$C$2:$C3363,"&lt;&gt;",$D$2:$D3363,"&lt;&gt;",$E$2:$E3363,"&lt;&gt;"),"00000"),""))</f>
        <v/>
      </c>
      <c r="N3363" s="22"/>
    </row>
    <row r="3364" spans="1:14" x14ac:dyDescent="0.3">
      <c r="A3364" s="15" t="str">
        <f>IF(COUNTA($B3364:$E3364,$K3364)=0,"",IF(AND($B3364&lt;&gt;"",$C3364&lt;&gt;"",$D3364&lt;&gt;"",$E3364&lt;&gt;""),"TXS"&amp;TEXT(COUNTIFS($B$2:$B3364,"&lt;&gt;",$C$2:$C3364,"&lt;&gt;",$D$2:$D3364,"&lt;&gt;",$E$2:$E3364,"&lt;&gt;"),"00000"),""))</f>
        <v/>
      </c>
      <c r="N3364" s="22"/>
    </row>
    <row r="3365" spans="1:14" x14ac:dyDescent="0.3">
      <c r="A3365" s="15" t="str">
        <f>IF(COUNTA($B3365:$E3365,$K3365)=0,"",IF(AND($B3365&lt;&gt;"",$C3365&lt;&gt;"",$D3365&lt;&gt;"",$E3365&lt;&gt;""),"TXS"&amp;TEXT(COUNTIFS($B$2:$B3365,"&lt;&gt;",$C$2:$C3365,"&lt;&gt;",$D$2:$D3365,"&lt;&gt;",$E$2:$E3365,"&lt;&gt;"),"00000"),""))</f>
        <v/>
      </c>
      <c r="N3365" s="22"/>
    </row>
    <row r="3366" spans="1:14" x14ac:dyDescent="0.3">
      <c r="A3366" s="15" t="str">
        <f>IF(COUNTA($B3366:$E3366,$K3366)=0,"",IF(AND($B3366&lt;&gt;"",$C3366&lt;&gt;"",$D3366&lt;&gt;"",$E3366&lt;&gt;""),"TXS"&amp;TEXT(COUNTIFS($B$2:$B3366,"&lt;&gt;",$C$2:$C3366,"&lt;&gt;",$D$2:$D3366,"&lt;&gt;",$E$2:$E3366,"&lt;&gt;"),"00000"),""))</f>
        <v/>
      </c>
      <c r="N3366" s="22"/>
    </row>
    <row r="3367" spans="1:14" x14ac:dyDescent="0.3">
      <c r="A3367" s="15" t="str">
        <f>IF(COUNTA($B3367:$E3367,$K3367)=0,"",IF(AND($B3367&lt;&gt;"",$C3367&lt;&gt;"",$D3367&lt;&gt;"",$E3367&lt;&gt;""),"TXS"&amp;TEXT(COUNTIFS($B$2:$B3367,"&lt;&gt;",$C$2:$C3367,"&lt;&gt;",$D$2:$D3367,"&lt;&gt;",$E$2:$E3367,"&lt;&gt;"),"00000"),""))</f>
        <v/>
      </c>
      <c r="N3367" s="22"/>
    </row>
    <row r="3368" spans="1:14" x14ac:dyDescent="0.3">
      <c r="A3368" s="15" t="str">
        <f>IF(COUNTA($B3368:$E3368,$K3368)=0,"",IF(AND($B3368&lt;&gt;"",$C3368&lt;&gt;"",$D3368&lt;&gt;"",$E3368&lt;&gt;""),"TXS"&amp;TEXT(COUNTIFS($B$2:$B3368,"&lt;&gt;",$C$2:$C3368,"&lt;&gt;",$D$2:$D3368,"&lt;&gt;",$E$2:$E3368,"&lt;&gt;"),"00000"),""))</f>
        <v/>
      </c>
      <c r="N3368" s="22"/>
    </row>
    <row r="3369" spans="1:14" x14ac:dyDescent="0.3">
      <c r="A3369" s="15" t="str">
        <f>IF(COUNTA($B3369:$E3369,$K3369)=0,"",IF(AND($B3369&lt;&gt;"",$C3369&lt;&gt;"",$D3369&lt;&gt;"",$E3369&lt;&gt;""),"TXS"&amp;TEXT(COUNTIFS($B$2:$B3369,"&lt;&gt;",$C$2:$C3369,"&lt;&gt;",$D$2:$D3369,"&lt;&gt;",$E$2:$E3369,"&lt;&gt;"),"00000"),""))</f>
        <v/>
      </c>
      <c r="N3369" s="22"/>
    </row>
    <row r="3370" spans="1:14" x14ac:dyDescent="0.3">
      <c r="A3370" s="15" t="str">
        <f>IF(COUNTA($B3370:$E3370,$K3370)=0,"",IF(AND($B3370&lt;&gt;"",$C3370&lt;&gt;"",$D3370&lt;&gt;"",$E3370&lt;&gt;""),"TXS"&amp;TEXT(COUNTIFS($B$2:$B3370,"&lt;&gt;",$C$2:$C3370,"&lt;&gt;",$D$2:$D3370,"&lt;&gt;",$E$2:$E3370,"&lt;&gt;"),"00000"),""))</f>
        <v/>
      </c>
      <c r="N3370" s="22"/>
    </row>
    <row r="3371" spans="1:14" x14ac:dyDescent="0.3">
      <c r="A3371" s="15" t="str">
        <f>IF(COUNTA($B3371:$E3371,$K3371)=0,"",IF(AND($B3371&lt;&gt;"",$C3371&lt;&gt;"",$D3371&lt;&gt;"",$E3371&lt;&gt;""),"TXS"&amp;TEXT(COUNTIFS($B$2:$B3371,"&lt;&gt;",$C$2:$C3371,"&lt;&gt;",$D$2:$D3371,"&lt;&gt;",$E$2:$E3371,"&lt;&gt;"),"00000"),""))</f>
        <v/>
      </c>
      <c r="N3371" s="22"/>
    </row>
    <row r="3372" spans="1:14" x14ac:dyDescent="0.3">
      <c r="A3372" s="15" t="str">
        <f>IF(COUNTA($B3372:$E3372,$K3372)=0,"",IF(AND($B3372&lt;&gt;"",$C3372&lt;&gt;"",$D3372&lt;&gt;"",$E3372&lt;&gt;""),"TXS"&amp;TEXT(COUNTIFS($B$2:$B3372,"&lt;&gt;",$C$2:$C3372,"&lt;&gt;",$D$2:$D3372,"&lt;&gt;",$E$2:$E3372,"&lt;&gt;"),"00000"),""))</f>
        <v/>
      </c>
      <c r="N3372" s="22"/>
    </row>
    <row r="3373" spans="1:14" x14ac:dyDescent="0.3">
      <c r="A3373" s="15" t="str">
        <f>IF(COUNTA($B3373:$E3373,$K3373)=0,"",IF(AND($B3373&lt;&gt;"",$C3373&lt;&gt;"",$D3373&lt;&gt;"",$E3373&lt;&gt;""),"TXS"&amp;TEXT(COUNTIFS($B$2:$B3373,"&lt;&gt;",$C$2:$C3373,"&lt;&gt;",$D$2:$D3373,"&lt;&gt;",$E$2:$E3373,"&lt;&gt;"),"00000"),""))</f>
        <v/>
      </c>
      <c r="N3373" s="22"/>
    </row>
    <row r="3374" spans="1:14" x14ac:dyDescent="0.3">
      <c r="A3374" s="15" t="str">
        <f>IF(COUNTA($B3374:$E3374,$K3374)=0,"",IF(AND($B3374&lt;&gt;"",$C3374&lt;&gt;"",$D3374&lt;&gt;"",$E3374&lt;&gt;""),"TXS"&amp;TEXT(COUNTIFS($B$2:$B3374,"&lt;&gt;",$C$2:$C3374,"&lt;&gt;",$D$2:$D3374,"&lt;&gt;",$E$2:$E3374,"&lt;&gt;"),"00000"),""))</f>
        <v/>
      </c>
      <c r="N3374" s="22"/>
    </row>
    <row r="3375" spans="1:14" x14ac:dyDescent="0.3">
      <c r="A3375" s="15" t="str">
        <f>IF(COUNTA($B3375:$E3375,$K3375)=0,"",IF(AND($B3375&lt;&gt;"",$C3375&lt;&gt;"",$D3375&lt;&gt;"",$E3375&lt;&gt;""),"TXS"&amp;TEXT(COUNTIFS($B$2:$B3375,"&lt;&gt;",$C$2:$C3375,"&lt;&gt;",$D$2:$D3375,"&lt;&gt;",$E$2:$E3375,"&lt;&gt;"),"00000"),""))</f>
        <v/>
      </c>
      <c r="N3375" s="22"/>
    </row>
    <row r="3376" spans="1:14" x14ac:dyDescent="0.3">
      <c r="A3376" s="15" t="str">
        <f>IF(COUNTA($B3376:$E3376,$K3376)=0,"",IF(AND($B3376&lt;&gt;"",$C3376&lt;&gt;"",$D3376&lt;&gt;"",$E3376&lt;&gt;""),"TXS"&amp;TEXT(COUNTIFS($B$2:$B3376,"&lt;&gt;",$C$2:$C3376,"&lt;&gt;",$D$2:$D3376,"&lt;&gt;",$E$2:$E3376,"&lt;&gt;"),"00000"),""))</f>
        <v/>
      </c>
      <c r="N3376" s="22"/>
    </row>
    <row r="3377" spans="1:14" x14ac:dyDescent="0.3">
      <c r="A3377" s="15" t="str">
        <f>IF(COUNTA($B3377:$E3377,$K3377)=0,"",IF(AND($B3377&lt;&gt;"",$C3377&lt;&gt;"",$D3377&lt;&gt;"",$E3377&lt;&gt;""),"TXS"&amp;TEXT(COUNTIFS($B$2:$B3377,"&lt;&gt;",$C$2:$C3377,"&lt;&gt;",$D$2:$D3377,"&lt;&gt;",$E$2:$E3377,"&lt;&gt;"),"00000"),""))</f>
        <v/>
      </c>
      <c r="N3377" s="22"/>
    </row>
    <row r="3378" spans="1:14" x14ac:dyDescent="0.3">
      <c r="A3378" s="15" t="str">
        <f>IF(COUNTA($B3378:$E3378,$K3378)=0,"",IF(AND($B3378&lt;&gt;"",$C3378&lt;&gt;"",$D3378&lt;&gt;"",$E3378&lt;&gt;""),"TXS"&amp;TEXT(COUNTIFS($B$2:$B3378,"&lt;&gt;",$C$2:$C3378,"&lt;&gt;",$D$2:$D3378,"&lt;&gt;",$E$2:$E3378,"&lt;&gt;"),"00000"),""))</f>
        <v/>
      </c>
      <c r="N3378" s="22"/>
    </row>
    <row r="3379" spans="1:14" x14ac:dyDescent="0.3">
      <c r="A3379" s="15" t="str">
        <f>IF(COUNTA($B3379:$E3379,$K3379)=0,"",IF(AND($B3379&lt;&gt;"",$C3379&lt;&gt;"",$D3379&lt;&gt;"",$E3379&lt;&gt;""),"TXS"&amp;TEXT(COUNTIFS($B$2:$B3379,"&lt;&gt;",$C$2:$C3379,"&lt;&gt;",$D$2:$D3379,"&lt;&gt;",$E$2:$E3379,"&lt;&gt;"),"00000"),""))</f>
        <v/>
      </c>
      <c r="N3379" s="22"/>
    </row>
    <row r="3380" spans="1:14" x14ac:dyDescent="0.3">
      <c r="A3380" s="15" t="str">
        <f>IF(COUNTA($B3380:$E3380,$K3380)=0,"",IF(AND($B3380&lt;&gt;"",$C3380&lt;&gt;"",$D3380&lt;&gt;"",$E3380&lt;&gt;""),"TXS"&amp;TEXT(COUNTIFS($B$2:$B3380,"&lt;&gt;",$C$2:$C3380,"&lt;&gt;",$D$2:$D3380,"&lt;&gt;",$E$2:$E3380,"&lt;&gt;"),"00000"),""))</f>
        <v/>
      </c>
      <c r="N3380" s="22"/>
    </row>
    <row r="3381" spans="1:14" x14ac:dyDescent="0.3">
      <c r="A3381" s="15" t="str">
        <f>IF(COUNTA($B3381:$E3381,$K3381)=0,"",IF(AND($B3381&lt;&gt;"",$C3381&lt;&gt;"",$D3381&lt;&gt;"",$E3381&lt;&gt;""),"TXS"&amp;TEXT(COUNTIFS($B$2:$B3381,"&lt;&gt;",$C$2:$C3381,"&lt;&gt;",$D$2:$D3381,"&lt;&gt;",$E$2:$E3381,"&lt;&gt;"),"00000"),""))</f>
        <v/>
      </c>
      <c r="N3381" s="22"/>
    </row>
    <row r="3382" spans="1:14" x14ac:dyDescent="0.3">
      <c r="A3382" s="15" t="str">
        <f>IF(COUNTA($B3382:$E3382,$K3382)=0,"",IF(AND($B3382&lt;&gt;"",$C3382&lt;&gt;"",$D3382&lt;&gt;"",$E3382&lt;&gt;""),"TXS"&amp;TEXT(COUNTIFS($B$2:$B3382,"&lt;&gt;",$C$2:$C3382,"&lt;&gt;",$D$2:$D3382,"&lt;&gt;",$E$2:$E3382,"&lt;&gt;"),"00000"),""))</f>
        <v/>
      </c>
      <c r="N3382" s="22"/>
    </row>
    <row r="3383" spans="1:14" x14ac:dyDescent="0.3">
      <c r="A3383" s="15" t="str">
        <f>IF(COUNTA($B3383:$E3383,$K3383)=0,"",IF(AND($B3383&lt;&gt;"",$C3383&lt;&gt;"",$D3383&lt;&gt;"",$E3383&lt;&gt;""),"TXS"&amp;TEXT(COUNTIFS($B$2:$B3383,"&lt;&gt;",$C$2:$C3383,"&lt;&gt;",$D$2:$D3383,"&lt;&gt;",$E$2:$E3383,"&lt;&gt;"),"00000"),""))</f>
        <v/>
      </c>
      <c r="N3383" s="22"/>
    </row>
    <row r="3384" spans="1:14" x14ac:dyDescent="0.3">
      <c r="A3384" s="15" t="str">
        <f>IF(COUNTA($B3384:$E3384,$K3384)=0,"",IF(AND($B3384&lt;&gt;"",$C3384&lt;&gt;"",$D3384&lt;&gt;"",$E3384&lt;&gt;""),"TXS"&amp;TEXT(COUNTIFS($B$2:$B3384,"&lt;&gt;",$C$2:$C3384,"&lt;&gt;",$D$2:$D3384,"&lt;&gt;",$E$2:$E3384,"&lt;&gt;"),"00000"),""))</f>
        <v/>
      </c>
      <c r="N3384" s="22"/>
    </row>
    <row r="3385" spans="1:14" x14ac:dyDescent="0.3">
      <c r="A3385" s="15" t="str">
        <f>IF(COUNTA($B3385:$E3385,$K3385)=0,"",IF(AND($B3385&lt;&gt;"",$C3385&lt;&gt;"",$D3385&lt;&gt;"",$E3385&lt;&gt;""),"TXS"&amp;TEXT(COUNTIFS($B$2:$B3385,"&lt;&gt;",$C$2:$C3385,"&lt;&gt;",$D$2:$D3385,"&lt;&gt;",$E$2:$E3385,"&lt;&gt;"),"00000"),""))</f>
        <v/>
      </c>
      <c r="N3385" s="22"/>
    </row>
    <row r="3386" spans="1:14" x14ac:dyDescent="0.3">
      <c r="A3386" s="15" t="str">
        <f>IF(COUNTA($B3386:$E3386,$K3386)=0,"",IF(AND($B3386&lt;&gt;"",$C3386&lt;&gt;"",$D3386&lt;&gt;"",$E3386&lt;&gt;""),"TXS"&amp;TEXT(COUNTIFS($B$2:$B3386,"&lt;&gt;",$C$2:$C3386,"&lt;&gt;",$D$2:$D3386,"&lt;&gt;",$E$2:$E3386,"&lt;&gt;"),"00000"),""))</f>
        <v/>
      </c>
      <c r="N3386" s="22"/>
    </row>
    <row r="3387" spans="1:14" x14ac:dyDescent="0.3">
      <c r="A3387" s="15" t="str">
        <f>IF(COUNTA($B3387:$E3387,$K3387)=0,"",IF(AND($B3387&lt;&gt;"",$C3387&lt;&gt;"",$D3387&lt;&gt;"",$E3387&lt;&gt;""),"TXS"&amp;TEXT(COUNTIFS($B$2:$B3387,"&lt;&gt;",$C$2:$C3387,"&lt;&gt;",$D$2:$D3387,"&lt;&gt;",$E$2:$E3387,"&lt;&gt;"),"00000"),""))</f>
        <v/>
      </c>
      <c r="N3387" s="22"/>
    </row>
    <row r="3388" spans="1:14" x14ac:dyDescent="0.3">
      <c r="A3388" s="15" t="str">
        <f>IF(COUNTA($B3388:$E3388,$K3388)=0,"",IF(AND($B3388&lt;&gt;"",$C3388&lt;&gt;"",$D3388&lt;&gt;"",$E3388&lt;&gt;""),"TXS"&amp;TEXT(COUNTIFS($B$2:$B3388,"&lt;&gt;",$C$2:$C3388,"&lt;&gt;",$D$2:$D3388,"&lt;&gt;",$E$2:$E3388,"&lt;&gt;"),"00000"),""))</f>
        <v/>
      </c>
      <c r="N3388" s="22"/>
    </row>
    <row r="3389" spans="1:14" x14ac:dyDescent="0.3">
      <c r="A3389" s="15" t="str">
        <f>IF(COUNTA($B3389:$E3389,$K3389)=0,"",IF(AND($B3389&lt;&gt;"",$C3389&lt;&gt;"",$D3389&lt;&gt;"",$E3389&lt;&gt;""),"TXS"&amp;TEXT(COUNTIFS($B$2:$B3389,"&lt;&gt;",$C$2:$C3389,"&lt;&gt;",$D$2:$D3389,"&lt;&gt;",$E$2:$E3389,"&lt;&gt;"),"00000"),""))</f>
        <v/>
      </c>
      <c r="N3389" s="22"/>
    </row>
    <row r="3390" spans="1:14" x14ac:dyDescent="0.3">
      <c r="A3390" s="15" t="str">
        <f>IF(COUNTA($B3390:$E3390,$K3390)=0,"",IF(AND($B3390&lt;&gt;"",$C3390&lt;&gt;"",$D3390&lt;&gt;"",$E3390&lt;&gt;""),"TXS"&amp;TEXT(COUNTIFS($B$2:$B3390,"&lt;&gt;",$C$2:$C3390,"&lt;&gt;",$D$2:$D3390,"&lt;&gt;",$E$2:$E3390,"&lt;&gt;"),"00000"),""))</f>
        <v/>
      </c>
      <c r="N3390" s="22"/>
    </row>
    <row r="3391" spans="1:14" x14ac:dyDescent="0.3">
      <c r="A3391" s="15" t="str">
        <f>IF(COUNTA($B3391:$E3391,$K3391)=0,"",IF(AND($B3391&lt;&gt;"",$C3391&lt;&gt;"",$D3391&lt;&gt;"",$E3391&lt;&gt;""),"TXS"&amp;TEXT(COUNTIFS($B$2:$B3391,"&lt;&gt;",$C$2:$C3391,"&lt;&gt;",$D$2:$D3391,"&lt;&gt;",$E$2:$E3391,"&lt;&gt;"),"00000"),""))</f>
        <v/>
      </c>
      <c r="N3391" s="22"/>
    </row>
    <row r="3392" spans="1:14" x14ac:dyDescent="0.3">
      <c r="A3392" s="15" t="str">
        <f>IF(COUNTA($B3392:$E3392,$K3392)=0,"",IF(AND($B3392&lt;&gt;"",$C3392&lt;&gt;"",$D3392&lt;&gt;"",$E3392&lt;&gt;""),"TXS"&amp;TEXT(COUNTIFS($B$2:$B3392,"&lt;&gt;",$C$2:$C3392,"&lt;&gt;",$D$2:$D3392,"&lt;&gt;",$E$2:$E3392,"&lt;&gt;"),"00000"),""))</f>
        <v/>
      </c>
      <c r="N3392" s="22"/>
    </row>
    <row r="3393" spans="1:14" x14ac:dyDescent="0.3">
      <c r="A3393" s="15" t="str">
        <f>IF(COUNTA($B3393:$E3393,$K3393)=0,"",IF(AND($B3393&lt;&gt;"",$C3393&lt;&gt;"",$D3393&lt;&gt;"",$E3393&lt;&gt;""),"TXS"&amp;TEXT(COUNTIFS($B$2:$B3393,"&lt;&gt;",$C$2:$C3393,"&lt;&gt;",$D$2:$D3393,"&lt;&gt;",$E$2:$E3393,"&lt;&gt;"),"00000"),""))</f>
        <v/>
      </c>
      <c r="N3393" s="22"/>
    </row>
    <row r="3394" spans="1:14" x14ac:dyDescent="0.3">
      <c r="A3394" s="15" t="str">
        <f>IF(COUNTA($B3394:$E3394,$K3394)=0,"",IF(AND($B3394&lt;&gt;"",$C3394&lt;&gt;"",$D3394&lt;&gt;"",$E3394&lt;&gt;""),"TXS"&amp;TEXT(COUNTIFS($B$2:$B3394,"&lt;&gt;",$C$2:$C3394,"&lt;&gt;",$D$2:$D3394,"&lt;&gt;",$E$2:$E3394,"&lt;&gt;"),"00000"),""))</f>
        <v/>
      </c>
      <c r="N3394" s="22"/>
    </row>
    <row r="3395" spans="1:14" x14ac:dyDescent="0.3">
      <c r="A3395" s="15" t="str">
        <f>IF(COUNTA($B3395:$E3395,$K3395)=0,"",IF(AND($B3395&lt;&gt;"",$C3395&lt;&gt;"",$D3395&lt;&gt;"",$E3395&lt;&gt;""),"TXS"&amp;TEXT(COUNTIFS($B$2:$B3395,"&lt;&gt;",$C$2:$C3395,"&lt;&gt;",$D$2:$D3395,"&lt;&gt;",$E$2:$E3395,"&lt;&gt;"),"00000"),""))</f>
        <v/>
      </c>
      <c r="N3395" s="22"/>
    </row>
    <row r="3396" spans="1:14" x14ac:dyDescent="0.3">
      <c r="A3396" s="15" t="str">
        <f>IF(COUNTA($B3396:$E3396,$K3396)=0,"",IF(AND($B3396&lt;&gt;"",$C3396&lt;&gt;"",$D3396&lt;&gt;"",$E3396&lt;&gt;""),"TXS"&amp;TEXT(COUNTIFS($B$2:$B3396,"&lt;&gt;",$C$2:$C3396,"&lt;&gt;",$D$2:$D3396,"&lt;&gt;",$E$2:$E3396,"&lt;&gt;"),"00000"),""))</f>
        <v/>
      </c>
      <c r="N3396" s="22"/>
    </row>
    <row r="3397" spans="1:14" x14ac:dyDescent="0.3">
      <c r="A3397" s="15" t="str">
        <f>IF(COUNTA($B3397:$E3397,$K3397)=0,"",IF(AND($B3397&lt;&gt;"",$C3397&lt;&gt;"",$D3397&lt;&gt;"",$E3397&lt;&gt;""),"TXS"&amp;TEXT(COUNTIFS($B$2:$B3397,"&lt;&gt;",$C$2:$C3397,"&lt;&gt;",$D$2:$D3397,"&lt;&gt;",$E$2:$E3397,"&lt;&gt;"),"00000"),""))</f>
        <v/>
      </c>
      <c r="N3397" s="22"/>
    </row>
    <row r="3398" spans="1:14" x14ac:dyDescent="0.3">
      <c r="A3398" s="15" t="str">
        <f>IF(COUNTA($B3398:$E3398,$K3398)=0,"",IF(AND($B3398&lt;&gt;"",$C3398&lt;&gt;"",$D3398&lt;&gt;"",$E3398&lt;&gt;""),"TXS"&amp;TEXT(COUNTIFS($B$2:$B3398,"&lt;&gt;",$C$2:$C3398,"&lt;&gt;",$D$2:$D3398,"&lt;&gt;",$E$2:$E3398,"&lt;&gt;"),"00000"),""))</f>
        <v/>
      </c>
      <c r="N3398" s="22"/>
    </row>
    <row r="3399" spans="1:14" x14ac:dyDescent="0.3">
      <c r="A3399" s="15" t="str">
        <f>IF(COUNTA($B3399:$E3399,$K3399)=0,"",IF(AND($B3399&lt;&gt;"",$C3399&lt;&gt;"",$D3399&lt;&gt;"",$E3399&lt;&gt;""),"TXS"&amp;TEXT(COUNTIFS($B$2:$B3399,"&lt;&gt;",$C$2:$C3399,"&lt;&gt;",$D$2:$D3399,"&lt;&gt;",$E$2:$E3399,"&lt;&gt;"),"00000"),""))</f>
        <v/>
      </c>
      <c r="N3399" s="22"/>
    </row>
    <row r="3400" spans="1:14" x14ac:dyDescent="0.3">
      <c r="A3400" s="15" t="str">
        <f>IF(COUNTA($B3400:$E3400,$K3400)=0,"",IF(AND($B3400&lt;&gt;"",$C3400&lt;&gt;"",$D3400&lt;&gt;"",$E3400&lt;&gt;""),"TXS"&amp;TEXT(COUNTIFS($B$2:$B3400,"&lt;&gt;",$C$2:$C3400,"&lt;&gt;",$D$2:$D3400,"&lt;&gt;",$E$2:$E3400,"&lt;&gt;"),"00000"),""))</f>
        <v/>
      </c>
      <c r="N3400" s="22"/>
    </row>
    <row r="3401" spans="1:14" x14ac:dyDescent="0.3">
      <c r="A3401" s="15" t="str">
        <f>IF(COUNTA($B3401:$E3401,$K3401)=0,"",IF(AND($B3401&lt;&gt;"",$C3401&lt;&gt;"",$D3401&lt;&gt;"",$E3401&lt;&gt;""),"TXS"&amp;TEXT(COUNTIFS($B$2:$B3401,"&lt;&gt;",$C$2:$C3401,"&lt;&gt;",$D$2:$D3401,"&lt;&gt;",$E$2:$E3401,"&lt;&gt;"),"00000"),""))</f>
        <v/>
      </c>
      <c r="N3401" s="22"/>
    </row>
    <row r="3402" spans="1:14" x14ac:dyDescent="0.3">
      <c r="A3402" s="15" t="str">
        <f>IF(COUNTA($B3402:$E3402,$K3402)=0,"",IF(AND($B3402&lt;&gt;"",$C3402&lt;&gt;"",$D3402&lt;&gt;"",$E3402&lt;&gt;""),"TXS"&amp;TEXT(COUNTIFS($B$2:$B3402,"&lt;&gt;",$C$2:$C3402,"&lt;&gt;",$D$2:$D3402,"&lt;&gt;",$E$2:$E3402,"&lt;&gt;"),"00000"),""))</f>
        <v/>
      </c>
      <c r="N3402" s="22"/>
    </row>
    <row r="3403" spans="1:14" x14ac:dyDescent="0.3">
      <c r="A3403" s="15" t="str">
        <f>IF(COUNTA($B3403:$E3403,$K3403)=0,"",IF(AND($B3403&lt;&gt;"",$C3403&lt;&gt;"",$D3403&lt;&gt;"",$E3403&lt;&gt;""),"TXS"&amp;TEXT(COUNTIFS($B$2:$B3403,"&lt;&gt;",$C$2:$C3403,"&lt;&gt;",$D$2:$D3403,"&lt;&gt;",$E$2:$E3403,"&lt;&gt;"),"00000"),""))</f>
        <v/>
      </c>
      <c r="N3403" s="22"/>
    </row>
    <row r="3404" spans="1:14" x14ac:dyDescent="0.3">
      <c r="A3404" s="15" t="str">
        <f>IF(COUNTA($B3404:$E3404,$K3404)=0,"",IF(AND($B3404&lt;&gt;"",$C3404&lt;&gt;"",$D3404&lt;&gt;"",$E3404&lt;&gt;""),"TXS"&amp;TEXT(COUNTIFS($B$2:$B3404,"&lt;&gt;",$C$2:$C3404,"&lt;&gt;",$D$2:$D3404,"&lt;&gt;",$E$2:$E3404,"&lt;&gt;"),"00000"),""))</f>
        <v/>
      </c>
      <c r="N3404" s="22"/>
    </row>
    <row r="3405" spans="1:14" x14ac:dyDescent="0.3">
      <c r="A3405" s="15" t="str">
        <f>IF(COUNTA($B3405:$E3405,$K3405)=0,"",IF(AND($B3405&lt;&gt;"",$C3405&lt;&gt;"",$D3405&lt;&gt;"",$E3405&lt;&gt;""),"TXS"&amp;TEXT(COUNTIFS($B$2:$B3405,"&lt;&gt;",$C$2:$C3405,"&lt;&gt;",$D$2:$D3405,"&lt;&gt;",$E$2:$E3405,"&lt;&gt;"),"00000"),""))</f>
        <v/>
      </c>
      <c r="N3405" s="22"/>
    </row>
    <row r="3406" spans="1:14" x14ac:dyDescent="0.3">
      <c r="A3406" s="15" t="str">
        <f>IF(COUNTA($B3406:$E3406,$K3406)=0,"",IF(AND($B3406&lt;&gt;"",$C3406&lt;&gt;"",$D3406&lt;&gt;"",$E3406&lt;&gt;""),"TXS"&amp;TEXT(COUNTIFS($B$2:$B3406,"&lt;&gt;",$C$2:$C3406,"&lt;&gt;",$D$2:$D3406,"&lt;&gt;",$E$2:$E3406,"&lt;&gt;"),"00000"),""))</f>
        <v/>
      </c>
      <c r="N3406" s="22"/>
    </row>
    <row r="3407" spans="1:14" x14ac:dyDescent="0.3">
      <c r="A3407" s="15" t="str">
        <f>IF(COUNTA($B3407:$E3407,$K3407)=0,"",IF(AND($B3407&lt;&gt;"",$C3407&lt;&gt;"",$D3407&lt;&gt;"",$E3407&lt;&gt;""),"TXS"&amp;TEXT(COUNTIFS($B$2:$B3407,"&lt;&gt;",$C$2:$C3407,"&lt;&gt;",$D$2:$D3407,"&lt;&gt;",$E$2:$E3407,"&lt;&gt;"),"00000"),""))</f>
        <v/>
      </c>
      <c r="N3407" s="22"/>
    </row>
    <row r="3408" spans="1:14" x14ac:dyDescent="0.3">
      <c r="A3408" s="15" t="str">
        <f>IF(COUNTA($B3408:$E3408,$K3408)=0,"",IF(AND($B3408&lt;&gt;"",$C3408&lt;&gt;"",$D3408&lt;&gt;"",$E3408&lt;&gt;""),"TXS"&amp;TEXT(COUNTIFS($B$2:$B3408,"&lt;&gt;",$C$2:$C3408,"&lt;&gt;",$D$2:$D3408,"&lt;&gt;",$E$2:$E3408,"&lt;&gt;"),"00000"),""))</f>
        <v/>
      </c>
      <c r="N3408" s="22"/>
    </row>
    <row r="3409" spans="1:14" x14ac:dyDescent="0.3">
      <c r="A3409" s="15" t="str">
        <f>IF(COUNTA($B3409:$E3409,$K3409)=0,"",IF(AND($B3409&lt;&gt;"",$C3409&lt;&gt;"",$D3409&lt;&gt;"",$E3409&lt;&gt;""),"TXS"&amp;TEXT(COUNTIFS($B$2:$B3409,"&lt;&gt;",$C$2:$C3409,"&lt;&gt;",$D$2:$D3409,"&lt;&gt;",$E$2:$E3409,"&lt;&gt;"),"00000"),""))</f>
        <v/>
      </c>
      <c r="N3409" s="22"/>
    </row>
    <row r="3410" spans="1:14" x14ac:dyDescent="0.3">
      <c r="A3410" s="15" t="str">
        <f>IF(COUNTA($B3410:$E3410,$K3410)=0,"",IF(AND($B3410&lt;&gt;"",$C3410&lt;&gt;"",$D3410&lt;&gt;"",$E3410&lt;&gt;""),"TXS"&amp;TEXT(COUNTIFS($B$2:$B3410,"&lt;&gt;",$C$2:$C3410,"&lt;&gt;",$D$2:$D3410,"&lt;&gt;",$E$2:$E3410,"&lt;&gt;"),"00000"),""))</f>
        <v/>
      </c>
      <c r="N3410" s="22"/>
    </row>
    <row r="3411" spans="1:14" x14ac:dyDescent="0.3">
      <c r="A3411" s="15" t="str">
        <f>IF(COUNTA($B3411:$E3411,$K3411)=0,"",IF(AND($B3411&lt;&gt;"",$C3411&lt;&gt;"",$D3411&lt;&gt;"",$E3411&lt;&gt;""),"TXS"&amp;TEXT(COUNTIFS($B$2:$B3411,"&lt;&gt;",$C$2:$C3411,"&lt;&gt;",$D$2:$D3411,"&lt;&gt;",$E$2:$E3411,"&lt;&gt;"),"00000"),""))</f>
        <v/>
      </c>
      <c r="N3411" s="22"/>
    </row>
    <row r="3412" spans="1:14" x14ac:dyDescent="0.3">
      <c r="A3412" s="15" t="str">
        <f>IF(COUNTA($B3412:$E3412,$K3412)=0,"",IF(AND($B3412&lt;&gt;"",$C3412&lt;&gt;"",$D3412&lt;&gt;"",$E3412&lt;&gt;""),"TXS"&amp;TEXT(COUNTIFS($B$2:$B3412,"&lt;&gt;",$C$2:$C3412,"&lt;&gt;",$D$2:$D3412,"&lt;&gt;",$E$2:$E3412,"&lt;&gt;"),"00000"),""))</f>
        <v/>
      </c>
      <c r="N3412" s="22"/>
    </row>
    <row r="3413" spans="1:14" x14ac:dyDescent="0.3">
      <c r="A3413" s="15" t="str">
        <f>IF(COUNTA($B3413:$E3413,$K3413)=0,"",IF(AND($B3413&lt;&gt;"",$C3413&lt;&gt;"",$D3413&lt;&gt;"",$E3413&lt;&gt;""),"TXS"&amp;TEXT(COUNTIFS($B$2:$B3413,"&lt;&gt;",$C$2:$C3413,"&lt;&gt;",$D$2:$D3413,"&lt;&gt;",$E$2:$E3413,"&lt;&gt;"),"00000"),""))</f>
        <v/>
      </c>
      <c r="N3413" s="22"/>
    </row>
    <row r="3414" spans="1:14" x14ac:dyDescent="0.3">
      <c r="A3414" s="15" t="str">
        <f>IF(COUNTA($B3414:$E3414,$K3414)=0,"",IF(AND($B3414&lt;&gt;"",$C3414&lt;&gt;"",$D3414&lt;&gt;"",$E3414&lt;&gt;""),"TXS"&amp;TEXT(COUNTIFS($B$2:$B3414,"&lt;&gt;",$C$2:$C3414,"&lt;&gt;",$D$2:$D3414,"&lt;&gt;",$E$2:$E3414,"&lt;&gt;"),"00000"),""))</f>
        <v/>
      </c>
      <c r="N3414" s="22"/>
    </row>
    <row r="3415" spans="1:14" x14ac:dyDescent="0.3">
      <c r="A3415" s="15" t="str">
        <f>IF(COUNTA($B3415:$E3415,$K3415)=0,"",IF(AND($B3415&lt;&gt;"",$C3415&lt;&gt;"",$D3415&lt;&gt;"",$E3415&lt;&gt;""),"TXS"&amp;TEXT(COUNTIFS($B$2:$B3415,"&lt;&gt;",$C$2:$C3415,"&lt;&gt;",$D$2:$D3415,"&lt;&gt;",$E$2:$E3415,"&lt;&gt;"),"00000"),""))</f>
        <v/>
      </c>
      <c r="N3415" s="22"/>
    </row>
    <row r="3416" spans="1:14" x14ac:dyDescent="0.3">
      <c r="A3416" s="15" t="str">
        <f>IF(COUNTA($B3416:$E3416,$K3416)=0,"",IF(AND($B3416&lt;&gt;"",$C3416&lt;&gt;"",$D3416&lt;&gt;"",$E3416&lt;&gt;""),"TXS"&amp;TEXT(COUNTIFS($B$2:$B3416,"&lt;&gt;",$C$2:$C3416,"&lt;&gt;",$D$2:$D3416,"&lt;&gt;",$E$2:$E3416,"&lt;&gt;"),"00000"),""))</f>
        <v/>
      </c>
      <c r="N3416" s="22"/>
    </row>
    <row r="3417" spans="1:14" x14ac:dyDescent="0.3">
      <c r="A3417" s="15" t="str">
        <f>IF(COUNTA($B3417:$E3417,$K3417)=0,"",IF(AND($B3417&lt;&gt;"",$C3417&lt;&gt;"",$D3417&lt;&gt;"",$E3417&lt;&gt;""),"TXS"&amp;TEXT(COUNTIFS($B$2:$B3417,"&lt;&gt;",$C$2:$C3417,"&lt;&gt;",$D$2:$D3417,"&lt;&gt;",$E$2:$E3417,"&lt;&gt;"),"00000"),""))</f>
        <v/>
      </c>
      <c r="N3417" s="22"/>
    </row>
    <row r="3418" spans="1:14" x14ac:dyDescent="0.3">
      <c r="A3418" s="15" t="str">
        <f>IF(COUNTA($B3418:$E3418,$K3418)=0,"",IF(AND($B3418&lt;&gt;"",$C3418&lt;&gt;"",$D3418&lt;&gt;"",$E3418&lt;&gt;""),"TXS"&amp;TEXT(COUNTIFS($B$2:$B3418,"&lt;&gt;",$C$2:$C3418,"&lt;&gt;",$D$2:$D3418,"&lt;&gt;",$E$2:$E3418,"&lt;&gt;"),"00000"),""))</f>
        <v/>
      </c>
      <c r="N3418" s="22"/>
    </row>
    <row r="3419" spans="1:14" x14ac:dyDescent="0.3">
      <c r="A3419" s="15" t="str">
        <f>IF(COUNTA($B3419:$E3419,$K3419)=0,"",IF(AND($B3419&lt;&gt;"",$C3419&lt;&gt;"",$D3419&lt;&gt;"",$E3419&lt;&gt;""),"TXS"&amp;TEXT(COUNTIFS($B$2:$B3419,"&lt;&gt;",$C$2:$C3419,"&lt;&gt;",$D$2:$D3419,"&lt;&gt;",$E$2:$E3419,"&lt;&gt;"),"00000"),""))</f>
        <v/>
      </c>
      <c r="N3419" s="22"/>
    </row>
    <row r="3420" spans="1:14" x14ac:dyDescent="0.3">
      <c r="A3420" s="15" t="str">
        <f>IF(COUNTA($B3420:$E3420,$K3420)=0,"",IF(AND($B3420&lt;&gt;"",$C3420&lt;&gt;"",$D3420&lt;&gt;"",$E3420&lt;&gt;""),"TXS"&amp;TEXT(COUNTIFS($B$2:$B3420,"&lt;&gt;",$C$2:$C3420,"&lt;&gt;",$D$2:$D3420,"&lt;&gt;",$E$2:$E3420,"&lt;&gt;"),"00000"),""))</f>
        <v/>
      </c>
      <c r="N3420" s="22"/>
    </row>
    <row r="3421" spans="1:14" x14ac:dyDescent="0.3">
      <c r="A3421" s="15" t="str">
        <f>IF(COUNTA($B3421:$E3421,$K3421)=0,"",IF(AND($B3421&lt;&gt;"",$C3421&lt;&gt;"",$D3421&lt;&gt;"",$E3421&lt;&gt;""),"TXS"&amp;TEXT(COUNTIFS($B$2:$B3421,"&lt;&gt;",$C$2:$C3421,"&lt;&gt;",$D$2:$D3421,"&lt;&gt;",$E$2:$E3421,"&lt;&gt;"),"00000"),""))</f>
        <v/>
      </c>
      <c r="N3421" s="22"/>
    </row>
    <row r="3422" spans="1:14" x14ac:dyDescent="0.3">
      <c r="A3422" s="15" t="str">
        <f>IF(COUNTA($B3422:$E3422,$K3422)=0,"",IF(AND($B3422&lt;&gt;"",$C3422&lt;&gt;"",$D3422&lt;&gt;"",$E3422&lt;&gt;""),"TXS"&amp;TEXT(COUNTIFS($B$2:$B3422,"&lt;&gt;",$C$2:$C3422,"&lt;&gt;",$D$2:$D3422,"&lt;&gt;",$E$2:$E3422,"&lt;&gt;"),"00000"),""))</f>
        <v/>
      </c>
      <c r="N3422" s="22"/>
    </row>
    <row r="3423" spans="1:14" x14ac:dyDescent="0.3">
      <c r="A3423" s="15" t="str">
        <f>IF(COUNTA($B3423:$E3423,$K3423)=0,"",IF(AND($B3423&lt;&gt;"",$C3423&lt;&gt;"",$D3423&lt;&gt;"",$E3423&lt;&gt;""),"TXS"&amp;TEXT(COUNTIFS($B$2:$B3423,"&lt;&gt;",$C$2:$C3423,"&lt;&gt;",$D$2:$D3423,"&lt;&gt;",$E$2:$E3423,"&lt;&gt;"),"00000"),""))</f>
        <v/>
      </c>
      <c r="N3423" s="22"/>
    </row>
    <row r="3424" spans="1:14" x14ac:dyDescent="0.3">
      <c r="A3424" s="15" t="str">
        <f>IF(COUNTA($B3424:$E3424,$K3424)=0,"",IF(AND($B3424&lt;&gt;"",$C3424&lt;&gt;"",$D3424&lt;&gt;"",$E3424&lt;&gt;""),"TXS"&amp;TEXT(COUNTIFS($B$2:$B3424,"&lt;&gt;",$C$2:$C3424,"&lt;&gt;",$D$2:$D3424,"&lt;&gt;",$E$2:$E3424,"&lt;&gt;"),"00000"),""))</f>
        <v/>
      </c>
      <c r="N3424" s="22"/>
    </row>
    <row r="3425" spans="1:14" x14ac:dyDescent="0.3">
      <c r="A3425" s="15" t="str">
        <f>IF(COUNTA($B3425:$E3425,$K3425)=0,"",IF(AND($B3425&lt;&gt;"",$C3425&lt;&gt;"",$D3425&lt;&gt;"",$E3425&lt;&gt;""),"TXS"&amp;TEXT(COUNTIFS($B$2:$B3425,"&lt;&gt;",$C$2:$C3425,"&lt;&gt;",$D$2:$D3425,"&lt;&gt;",$E$2:$E3425,"&lt;&gt;"),"00000"),""))</f>
        <v/>
      </c>
      <c r="N3425" s="22"/>
    </row>
    <row r="3426" spans="1:14" x14ac:dyDescent="0.3">
      <c r="A3426" s="15" t="str">
        <f>IF(COUNTA($B3426:$E3426,$K3426)=0,"",IF(AND($B3426&lt;&gt;"",$C3426&lt;&gt;"",$D3426&lt;&gt;"",$E3426&lt;&gt;""),"TXS"&amp;TEXT(COUNTIFS($B$2:$B3426,"&lt;&gt;",$C$2:$C3426,"&lt;&gt;",$D$2:$D3426,"&lt;&gt;",$E$2:$E3426,"&lt;&gt;"),"00000"),""))</f>
        <v/>
      </c>
      <c r="N3426" s="22"/>
    </row>
    <row r="3427" spans="1:14" x14ac:dyDescent="0.3">
      <c r="A3427" s="15" t="str">
        <f>IF(COUNTA($B3427:$E3427,$K3427)=0,"",IF(AND($B3427&lt;&gt;"",$C3427&lt;&gt;"",$D3427&lt;&gt;"",$E3427&lt;&gt;""),"TXS"&amp;TEXT(COUNTIFS($B$2:$B3427,"&lt;&gt;",$C$2:$C3427,"&lt;&gt;",$D$2:$D3427,"&lt;&gt;",$E$2:$E3427,"&lt;&gt;"),"00000"),""))</f>
        <v/>
      </c>
      <c r="N3427" s="22"/>
    </row>
    <row r="3428" spans="1:14" x14ac:dyDescent="0.3">
      <c r="A3428" s="15" t="str">
        <f>IF(COUNTA($B3428:$E3428,$K3428)=0,"",IF(AND($B3428&lt;&gt;"",$C3428&lt;&gt;"",$D3428&lt;&gt;"",$E3428&lt;&gt;""),"TXS"&amp;TEXT(COUNTIFS($B$2:$B3428,"&lt;&gt;",$C$2:$C3428,"&lt;&gt;",$D$2:$D3428,"&lt;&gt;",$E$2:$E3428,"&lt;&gt;"),"00000"),""))</f>
        <v/>
      </c>
      <c r="N3428" s="22"/>
    </row>
    <row r="3429" spans="1:14" x14ac:dyDescent="0.3">
      <c r="A3429" s="15" t="str">
        <f>IF(COUNTA($B3429:$E3429,$K3429)=0,"",IF(AND($B3429&lt;&gt;"",$C3429&lt;&gt;"",$D3429&lt;&gt;"",$E3429&lt;&gt;""),"TXS"&amp;TEXT(COUNTIFS($B$2:$B3429,"&lt;&gt;",$C$2:$C3429,"&lt;&gt;",$D$2:$D3429,"&lt;&gt;",$E$2:$E3429,"&lt;&gt;"),"00000"),""))</f>
        <v/>
      </c>
      <c r="N3429" s="22"/>
    </row>
    <row r="3430" spans="1:14" x14ac:dyDescent="0.3">
      <c r="A3430" s="15" t="str">
        <f>IF(COUNTA($B3430:$E3430,$K3430)=0,"",IF(AND($B3430&lt;&gt;"",$C3430&lt;&gt;"",$D3430&lt;&gt;"",$E3430&lt;&gt;""),"TXS"&amp;TEXT(COUNTIFS($B$2:$B3430,"&lt;&gt;",$C$2:$C3430,"&lt;&gt;",$D$2:$D3430,"&lt;&gt;",$E$2:$E3430,"&lt;&gt;"),"00000"),""))</f>
        <v/>
      </c>
      <c r="N3430" s="22"/>
    </row>
    <row r="3431" spans="1:14" x14ac:dyDescent="0.3">
      <c r="A3431" s="15" t="str">
        <f>IF(COUNTA($B3431:$E3431,$K3431)=0,"",IF(AND($B3431&lt;&gt;"",$C3431&lt;&gt;"",$D3431&lt;&gt;"",$E3431&lt;&gt;""),"TXS"&amp;TEXT(COUNTIFS($B$2:$B3431,"&lt;&gt;",$C$2:$C3431,"&lt;&gt;",$D$2:$D3431,"&lt;&gt;",$E$2:$E3431,"&lt;&gt;"),"00000"),""))</f>
        <v/>
      </c>
      <c r="N3431" s="22"/>
    </row>
    <row r="3432" spans="1:14" x14ac:dyDescent="0.3">
      <c r="A3432" s="15" t="str">
        <f>IF(COUNTA($B3432:$E3432,$K3432)=0,"",IF(AND($B3432&lt;&gt;"",$C3432&lt;&gt;"",$D3432&lt;&gt;"",$E3432&lt;&gt;""),"TXS"&amp;TEXT(COUNTIFS($B$2:$B3432,"&lt;&gt;",$C$2:$C3432,"&lt;&gt;",$D$2:$D3432,"&lt;&gt;",$E$2:$E3432,"&lt;&gt;"),"00000"),""))</f>
        <v/>
      </c>
      <c r="N3432" s="22"/>
    </row>
    <row r="3433" spans="1:14" x14ac:dyDescent="0.3">
      <c r="A3433" s="15" t="str">
        <f>IF(COUNTA($B3433:$E3433,$K3433)=0,"",IF(AND($B3433&lt;&gt;"",$C3433&lt;&gt;"",$D3433&lt;&gt;"",$E3433&lt;&gt;""),"TXS"&amp;TEXT(COUNTIFS($B$2:$B3433,"&lt;&gt;",$C$2:$C3433,"&lt;&gt;",$D$2:$D3433,"&lt;&gt;",$E$2:$E3433,"&lt;&gt;"),"00000"),""))</f>
        <v/>
      </c>
      <c r="N3433" s="22"/>
    </row>
    <row r="3434" spans="1:14" x14ac:dyDescent="0.3">
      <c r="A3434" s="15" t="str">
        <f>IF(COUNTA($B3434:$E3434,$K3434)=0,"",IF(AND($B3434&lt;&gt;"",$C3434&lt;&gt;"",$D3434&lt;&gt;"",$E3434&lt;&gt;""),"TXS"&amp;TEXT(COUNTIFS($B$2:$B3434,"&lt;&gt;",$C$2:$C3434,"&lt;&gt;",$D$2:$D3434,"&lt;&gt;",$E$2:$E3434,"&lt;&gt;"),"00000"),""))</f>
        <v/>
      </c>
      <c r="N3434" s="22"/>
    </row>
    <row r="3435" spans="1:14" x14ac:dyDescent="0.3">
      <c r="A3435" s="15" t="str">
        <f>IF(COUNTA($B3435:$E3435,$K3435)=0,"",IF(AND($B3435&lt;&gt;"",$C3435&lt;&gt;"",$D3435&lt;&gt;"",$E3435&lt;&gt;""),"TXS"&amp;TEXT(COUNTIFS($B$2:$B3435,"&lt;&gt;",$C$2:$C3435,"&lt;&gt;",$D$2:$D3435,"&lt;&gt;",$E$2:$E3435,"&lt;&gt;"),"00000"),""))</f>
        <v/>
      </c>
      <c r="N3435" s="22"/>
    </row>
    <row r="3436" spans="1:14" x14ac:dyDescent="0.3">
      <c r="A3436" s="15" t="str">
        <f>IF(COUNTA($B3436:$E3436,$K3436)=0,"",IF(AND($B3436&lt;&gt;"",$C3436&lt;&gt;"",$D3436&lt;&gt;"",$E3436&lt;&gt;""),"TXS"&amp;TEXT(COUNTIFS($B$2:$B3436,"&lt;&gt;",$C$2:$C3436,"&lt;&gt;",$D$2:$D3436,"&lt;&gt;",$E$2:$E3436,"&lt;&gt;"),"00000"),""))</f>
        <v/>
      </c>
      <c r="N3436" s="22"/>
    </row>
    <row r="3437" spans="1:14" x14ac:dyDescent="0.3">
      <c r="A3437" s="15" t="str">
        <f>IF(COUNTA($B3437:$E3437,$K3437)=0,"",IF(AND($B3437&lt;&gt;"",$C3437&lt;&gt;"",$D3437&lt;&gt;"",$E3437&lt;&gt;""),"TXS"&amp;TEXT(COUNTIFS($B$2:$B3437,"&lt;&gt;",$C$2:$C3437,"&lt;&gt;",$D$2:$D3437,"&lt;&gt;",$E$2:$E3437,"&lt;&gt;"),"00000"),""))</f>
        <v/>
      </c>
      <c r="N3437" s="22"/>
    </row>
    <row r="3438" spans="1:14" x14ac:dyDescent="0.3">
      <c r="A3438" s="15" t="str">
        <f>IF(COUNTA($B3438:$E3438,$K3438)=0,"",IF(AND($B3438&lt;&gt;"",$C3438&lt;&gt;"",$D3438&lt;&gt;"",$E3438&lt;&gt;""),"TXS"&amp;TEXT(COUNTIFS($B$2:$B3438,"&lt;&gt;",$C$2:$C3438,"&lt;&gt;",$D$2:$D3438,"&lt;&gt;",$E$2:$E3438,"&lt;&gt;"),"00000"),""))</f>
        <v/>
      </c>
      <c r="N3438" s="22"/>
    </row>
    <row r="3439" spans="1:14" x14ac:dyDescent="0.3">
      <c r="A3439" s="15" t="str">
        <f>IF(COUNTA($B3439:$E3439,$K3439)=0,"",IF(AND($B3439&lt;&gt;"",$C3439&lt;&gt;"",$D3439&lt;&gt;"",$E3439&lt;&gt;""),"TXS"&amp;TEXT(COUNTIFS($B$2:$B3439,"&lt;&gt;",$C$2:$C3439,"&lt;&gt;",$D$2:$D3439,"&lt;&gt;",$E$2:$E3439,"&lt;&gt;"),"00000"),""))</f>
        <v/>
      </c>
      <c r="N3439" s="22"/>
    </row>
    <row r="3440" spans="1:14" x14ac:dyDescent="0.3">
      <c r="A3440" s="15" t="str">
        <f>IF(COUNTA($B3440:$E3440,$K3440)=0,"",IF(AND($B3440&lt;&gt;"",$C3440&lt;&gt;"",$D3440&lt;&gt;"",$E3440&lt;&gt;""),"TXS"&amp;TEXT(COUNTIFS($B$2:$B3440,"&lt;&gt;",$C$2:$C3440,"&lt;&gt;",$D$2:$D3440,"&lt;&gt;",$E$2:$E3440,"&lt;&gt;"),"00000"),""))</f>
        <v/>
      </c>
      <c r="N3440" s="22"/>
    </row>
    <row r="3441" spans="1:14" x14ac:dyDescent="0.3">
      <c r="A3441" s="15" t="str">
        <f>IF(COUNTA($B3441:$E3441,$K3441)=0,"",IF(AND($B3441&lt;&gt;"",$C3441&lt;&gt;"",$D3441&lt;&gt;"",$E3441&lt;&gt;""),"TXS"&amp;TEXT(COUNTIFS($B$2:$B3441,"&lt;&gt;",$C$2:$C3441,"&lt;&gt;",$D$2:$D3441,"&lt;&gt;",$E$2:$E3441,"&lt;&gt;"),"00000"),""))</f>
        <v/>
      </c>
      <c r="N3441" s="22"/>
    </row>
    <row r="3442" spans="1:14" x14ac:dyDescent="0.3">
      <c r="A3442" s="15" t="str">
        <f>IF(COUNTA($B3442:$E3442,$K3442)=0,"",IF(AND($B3442&lt;&gt;"",$C3442&lt;&gt;"",$D3442&lt;&gt;"",$E3442&lt;&gt;""),"TXS"&amp;TEXT(COUNTIFS($B$2:$B3442,"&lt;&gt;",$C$2:$C3442,"&lt;&gt;",$D$2:$D3442,"&lt;&gt;",$E$2:$E3442,"&lt;&gt;"),"00000"),""))</f>
        <v/>
      </c>
      <c r="N3442" s="22"/>
    </row>
    <row r="3443" spans="1:14" x14ac:dyDescent="0.3">
      <c r="A3443" s="15" t="str">
        <f>IF(COUNTA($B3443:$E3443,$K3443)=0,"",IF(AND($B3443&lt;&gt;"",$C3443&lt;&gt;"",$D3443&lt;&gt;"",$E3443&lt;&gt;""),"TXS"&amp;TEXT(COUNTIFS($B$2:$B3443,"&lt;&gt;",$C$2:$C3443,"&lt;&gt;",$D$2:$D3443,"&lt;&gt;",$E$2:$E3443,"&lt;&gt;"),"00000"),""))</f>
        <v/>
      </c>
      <c r="N3443" s="22"/>
    </row>
    <row r="3444" spans="1:14" x14ac:dyDescent="0.3">
      <c r="A3444" s="15" t="str">
        <f>IF(COUNTA($B3444:$E3444,$K3444)=0,"",IF(AND($B3444&lt;&gt;"",$C3444&lt;&gt;"",$D3444&lt;&gt;"",$E3444&lt;&gt;""),"TXS"&amp;TEXT(COUNTIFS($B$2:$B3444,"&lt;&gt;",$C$2:$C3444,"&lt;&gt;",$D$2:$D3444,"&lt;&gt;",$E$2:$E3444,"&lt;&gt;"),"00000"),""))</f>
        <v/>
      </c>
      <c r="N3444" s="22"/>
    </row>
    <row r="3445" spans="1:14" x14ac:dyDescent="0.3">
      <c r="A3445" s="15" t="str">
        <f>IF(COUNTA($B3445:$E3445,$K3445)=0,"",IF(AND($B3445&lt;&gt;"",$C3445&lt;&gt;"",$D3445&lt;&gt;"",$E3445&lt;&gt;""),"TXS"&amp;TEXT(COUNTIFS($B$2:$B3445,"&lt;&gt;",$C$2:$C3445,"&lt;&gt;",$D$2:$D3445,"&lt;&gt;",$E$2:$E3445,"&lt;&gt;"),"00000"),""))</f>
        <v/>
      </c>
      <c r="N3445" s="22"/>
    </row>
    <row r="3446" spans="1:14" x14ac:dyDescent="0.3">
      <c r="A3446" s="15" t="str">
        <f>IF(COUNTA($B3446:$E3446,$K3446)=0,"",IF(AND($B3446&lt;&gt;"",$C3446&lt;&gt;"",$D3446&lt;&gt;"",$E3446&lt;&gt;""),"TXS"&amp;TEXT(COUNTIFS($B$2:$B3446,"&lt;&gt;",$C$2:$C3446,"&lt;&gt;",$D$2:$D3446,"&lt;&gt;",$E$2:$E3446,"&lt;&gt;"),"00000"),""))</f>
        <v/>
      </c>
      <c r="N3446" s="22"/>
    </row>
    <row r="3447" spans="1:14" x14ac:dyDescent="0.3">
      <c r="A3447" s="15" t="str">
        <f>IF(COUNTA($B3447:$E3447,$K3447)=0,"",IF(AND($B3447&lt;&gt;"",$C3447&lt;&gt;"",$D3447&lt;&gt;"",$E3447&lt;&gt;""),"TXS"&amp;TEXT(COUNTIFS($B$2:$B3447,"&lt;&gt;",$C$2:$C3447,"&lt;&gt;",$D$2:$D3447,"&lt;&gt;",$E$2:$E3447,"&lt;&gt;"),"00000"),""))</f>
        <v/>
      </c>
      <c r="N3447" s="22"/>
    </row>
    <row r="3448" spans="1:14" x14ac:dyDescent="0.3">
      <c r="A3448" s="15" t="str">
        <f>IF(COUNTA($B3448:$E3448,$K3448)=0,"",IF(AND($B3448&lt;&gt;"",$C3448&lt;&gt;"",$D3448&lt;&gt;"",$E3448&lt;&gt;""),"TXS"&amp;TEXT(COUNTIFS($B$2:$B3448,"&lt;&gt;",$C$2:$C3448,"&lt;&gt;",$D$2:$D3448,"&lt;&gt;",$E$2:$E3448,"&lt;&gt;"),"00000"),""))</f>
        <v/>
      </c>
      <c r="N3448" s="22"/>
    </row>
    <row r="3449" spans="1:14" x14ac:dyDescent="0.3">
      <c r="A3449" s="15" t="str">
        <f>IF(COUNTA($B3449:$E3449,$K3449)=0,"",IF(AND($B3449&lt;&gt;"",$C3449&lt;&gt;"",$D3449&lt;&gt;"",$E3449&lt;&gt;""),"TXS"&amp;TEXT(COUNTIFS($B$2:$B3449,"&lt;&gt;",$C$2:$C3449,"&lt;&gt;",$D$2:$D3449,"&lt;&gt;",$E$2:$E3449,"&lt;&gt;"),"00000"),""))</f>
        <v/>
      </c>
      <c r="N3449" s="22"/>
    </row>
    <row r="3450" spans="1:14" x14ac:dyDescent="0.3">
      <c r="A3450" s="15" t="str">
        <f>IF(COUNTA($B3450:$E3450,$K3450)=0,"",IF(AND($B3450&lt;&gt;"",$C3450&lt;&gt;"",$D3450&lt;&gt;"",$E3450&lt;&gt;""),"TXS"&amp;TEXT(COUNTIFS($B$2:$B3450,"&lt;&gt;",$C$2:$C3450,"&lt;&gt;",$D$2:$D3450,"&lt;&gt;",$E$2:$E3450,"&lt;&gt;"),"00000"),""))</f>
        <v/>
      </c>
      <c r="N3450" s="22"/>
    </row>
    <row r="3451" spans="1:14" x14ac:dyDescent="0.3">
      <c r="A3451" s="15" t="str">
        <f>IF(COUNTA($B3451:$E3451,$K3451)=0,"",IF(AND($B3451&lt;&gt;"",$C3451&lt;&gt;"",$D3451&lt;&gt;"",$E3451&lt;&gt;""),"TXS"&amp;TEXT(COUNTIFS($B$2:$B3451,"&lt;&gt;",$C$2:$C3451,"&lt;&gt;",$D$2:$D3451,"&lt;&gt;",$E$2:$E3451,"&lt;&gt;"),"00000"),""))</f>
        <v/>
      </c>
      <c r="N3451" s="22"/>
    </row>
    <row r="3452" spans="1:14" x14ac:dyDescent="0.3">
      <c r="A3452" s="15" t="str">
        <f>IF(COUNTA($B3452:$E3452,$K3452)=0,"",IF(AND($B3452&lt;&gt;"",$C3452&lt;&gt;"",$D3452&lt;&gt;"",$E3452&lt;&gt;""),"TXS"&amp;TEXT(COUNTIFS($B$2:$B3452,"&lt;&gt;",$C$2:$C3452,"&lt;&gt;",$D$2:$D3452,"&lt;&gt;",$E$2:$E3452,"&lt;&gt;"),"00000"),""))</f>
        <v/>
      </c>
      <c r="N3452" s="22"/>
    </row>
    <row r="3453" spans="1:14" x14ac:dyDescent="0.3">
      <c r="A3453" s="15" t="str">
        <f>IF(COUNTA($B3453:$E3453,$K3453)=0,"",IF(AND($B3453&lt;&gt;"",$C3453&lt;&gt;"",$D3453&lt;&gt;"",$E3453&lt;&gt;""),"TXS"&amp;TEXT(COUNTIFS($B$2:$B3453,"&lt;&gt;",$C$2:$C3453,"&lt;&gt;",$D$2:$D3453,"&lt;&gt;",$E$2:$E3453,"&lt;&gt;"),"00000"),""))</f>
        <v/>
      </c>
      <c r="N3453" s="22"/>
    </row>
    <row r="3454" spans="1:14" x14ac:dyDescent="0.3">
      <c r="A3454" s="15" t="str">
        <f>IF(COUNTA($B3454:$E3454,$K3454)=0,"",IF(AND($B3454&lt;&gt;"",$C3454&lt;&gt;"",$D3454&lt;&gt;"",$E3454&lt;&gt;""),"TXS"&amp;TEXT(COUNTIFS($B$2:$B3454,"&lt;&gt;",$C$2:$C3454,"&lt;&gt;",$D$2:$D3454,"&lt;&gt;",$E$2:$E3454,"&lt;&gt;"),"00000"),""))</f>
        <v/>
      </c>
      <c r="N3454" s="22"/>
    </row>
    <row r="3455" spans="1:14" x14ac:dyDescent="0.3">
      <c r="A3455" s="15" t="str">
        <f>IF(COUNTA($B3455:$E3455,$K3455)=0,"",IF(AND($B3455&lt;&gt;"",$C3455&lt;&gt;"",$D3455&lt;&gt;"",$E3455&lt;&gt;""),"TXS"&amp;TEXT(COUNTIFS($B$2:$B3455,"&lt;&gt;",$C$2:$C3455,"&lt;&gt;",$D$2:$D3455,"&lt;&gt;",$E$2:$E3455,"&lt;&gt;"),"00000"),""))</f>
        <v/>
      </c>
      <c r="N3455" s="22"/>
    </row>
    <row r="3456" spans="1:14" x14ac:dyDescent="0.3">
      <c r="A3456" s="15" t="str">
        <f>IF(COUNTA($B3456:$E3456,$K3456)=0,"",IF(AND($B3456&lt;&gt;"",$C3456&lt;&gt;"",$D3456&lt;&gt;"",$E3456&lt;&gt;""),"TXS"&amp;TEXT(COUNTIFS($B$2:$B3456,"&lt;&gt;",$C$2:$C3456,"&lt;&gt;",$D$2:$D3456,"&lt;&gt;",$E$2:$E3456,"&lt;&gt;"),"00000"),""))</f>
        <v/>
      </c>
      <c r="N3456" s="22"/>
    </row>
    <row r="3457" spans="1:14" x14ac:dyDescent="0.3">
      <c r="A3457" s="15" t="str">
        <f>IF(COUNTA($B3457:$E3457,$K3457)=0,"",IF(AND($B3457&lt;&gt;"",$C3457&lt;&gt;"",$D3457&lt;&gt;"",$E3457&lt;&gt;""),"TXS"&amp;TEXT(COUNTIFS($B$2:$B3457,"&lt;&gt;",$C$2:$C3457,"&lt;&gt;",$D$2:$D3457,"&lt;&gt;",$E$2:$E3457,"&lt;&gt;"),"00000"),""))</f>
        <v/>
      </c>
      <c r="N3457" s="22"/>
    </row>
    <row r="3458" spans="1:14" x14ac:dyDescent="0.3">
      <c r="A3458" s="15" t="str">
        <f>IF(COUNTA($B3458:$E3458,$K3458)=0,"",IF(AND($B3458&lt;&gt;"",$C3458&lt;&gt;"",$D3458&lt;&gt;"",$E3458&lt;&gt;""),"TXS"&amp;TEXT(COUNTIFS($B$2:$B3458,"&lt;&gt;",$C$2:$C3458,"&lt;&gt;",$D$2:$D3458,"&lt;&gt;",$E$2:$E3458,"&lt;&gt;"),"00000"),""))</f>
        <v/>
      </c>
      <c r="N3458" s="22"/>
    </row>
    <row r="3459" spans="1:14" x14ac:dyDescent="0.3">
      <c r="A3459" s="15" t="str">
        <f>IF(COUNTA($B3459:$E3459,$K3459)=0,"",IF(AND($B3459&lt;&gt;"",$C3459&lt;&gt;"",$D3459&lt;&gt;"",$E3459&lt;&gt;""),"TXS"&amp;TEXT(COUNTIFS($B$2:$B3459,"&lt;&gt;",$C$2:$C3459,"&lt;&gt;",$D$2:$D3459,"&lt;&gt;",$E$2:$E3459,"&lt;&gt;"),"00000"),""))</f>
        <v/>
      </c>
      <c r="N3459" s="22"/>
    </row>
    <row r="3460" spans="1:14" x14ac:dyDescent="0.3">
      <c r="A3460" s="15" t="str">
        <f>IF(COUNTA($B3460:$E3460,$K3460)=0,"",IF(AND($B3460&lt;&gt;"",$C3460&lt;&gt;"",$D3460&lt;&gt;"",$E3460&lt;&gt;""),"TXS"&amp;TEXT(COUNTIFS($B$2:$B3460,"&lt;&gt;",$C$2:$C3460,"&lt;&gt;",$D$2:$D3460,"&lt;&gt;",$E$2:$E3460,"&lt;&gt;"),"00000"),""))</f>
        <v/>
      </c>
      <c r="N3460" s="22"/>
    </row>
    <row r="3461" spans="1:14" x14ac:dyDescent="0.3">
      <c r="A3461" s="15" t="str">
        <f>IF(COUNTA($B3461:$E3461,$K3461)=0,"",IF(AND($B3461&lt;&gt;"",$C3461&lt;&gt;"",$D3461&lt;&gt;"",$E3461&lt;&gt;""),"TXS"&amp;TEXT(COUNTIFS($B$2:$B3461,"&lt;&gt;",$C$2:$C3461,"&lt;&gt;",$D$2:$D3461,"&lt;&gt;",$E$2:$E3461,"&lt;&gt;"),"00000"),""))</f>
        <v/>
      </c>
      <c r="N3461" s="22"/>
    </row>
    <row r="3462" spans="1:14" x14ac:dyDescent="0.3">
      <c r="A3462" s="15" t="str">
        <f>IF(COUNTA($B3462:$E3462,$K3462)=0,"",IF(AND($B3462&lt;&gt;"",$C3462&lt;&gt;"",$D3462&lt;&gt;"",$E3462&lt;&gt;""),"TXS"&amp;TEXT(COUNTIFS($B$2:$B3462,"&lt;&gt;",$C$2:$C3462,"&lt;&gt;",$D$2:$D3462,"&lt;&gt;",$E$2:$E3462,"&lt;&gt;"),"00000"),""))</f>
        <v/>
      </c>
      <c r="N3462" s="22"/>
    </row>
    <row r="3463" spans="1:14" x14ac:dyDescent="0.3">
      <c r="A3463" s="15" t="str">
        <f>IF(COUNTA($B3463:$E3463,$K3463)=0,"",IF(AND($B3463&lt;&gt;"",$C3463&lt;&gt;"",$D3463&lt;&gt;"",$E3463&lt;&gt;""),"TXS"&amp;TEXT(COUNTIFS($B$2:$B3463,"&lt;&gt;",$C$2:$C3463,"&lt;&gt;",$D$2:$D3463,"&lt;&gt;",$E$2:$E3463,"&lt;&gt;"),"00000"),""))</f>
        <v/>
      </c>
      <c r="N3463" s="22"/>
    </row>
    <row r="3464" spans="1:14" x14ac:dyDescent="0.3">
      <c r="A3464" s="15" t="str">
        <f>IF(COUNTA($B3464:$E3464,$K3464)=0,"",IF(AND($B3464&lt;&gt;"",$C3464&lt;&gt;"",$D3464&lt;&gt;"",$E3464&lt;&gt;""),"TXS"&amp;TEXT(COUNTIFS($B$2:$B3464,"&lt;&gt;",$C$2:$C3464,"&lt;&gt;",$D$2:$D3464,"&lt;&gt;",$E$2:$E3464,"&lt;&gt;"),"00000"),""))</f>
        <v/>
      </c>
      <c r="N3464" s="22"/>
    </row>
    <row r="3465" spans="1:14" x14ac:dyDescent="0.3">
      <c r="A3465" s="15" t="str">
        <f>IF(COUNTA($B3465:$E3465,$K3465)=0,"",IF(AND($B3465&lt;&gt;"",$C3465&lt;&gt;"",$D3465&lt;&gt;"",$E3465&lt;&gt;""),"TXS"&amp;TEXT(COUNTIFS($B$2:$B3465,"&lt;&gt;",$C$2:$C3465,"&lt;&gt;",$D$2:$D3465,"&lt;&gt;",$E$2:$E3465,"&lt;&gt;"),"00000"),""))</f>
        <v/>
      </c>
      <c r="N3465" s="22"/>
    </row>
    <row r="3466" spans="1:14" x14ac:dyDescent="0.3">
      <c r="A3466" s="15" t="str">
        <f>IF(COUNTA($B3466:$E3466,$K3466)=0,"",IF(AND($B3466&lt;&gt;"",$C3466&lt;&gt;"",$D3466&lt;&gt;"",$E3466&lt;&gt;""),"TXS"&amp;TEXT(COUNTIFS($B$2:$B3466,"&lt;&gt;",$C$2:$C3466,"&lt;&gt;",$D$2:$D3466,"&lt;&gt;",$E$2:$E3466,"&lt;&gt;"),"00000"),""))</f>
        <v/>
      </c>
      <c r="N3466" s="22"/>
    </row>
    <row r="3467" spans="1:14" x14ac:dyDescent="0.3">
      <c r="A3467" s="15" t="str">
        <f>IF(COUNTA($B3467:$E3467,$K3467)=0,"",IF(AND($B3467&lt;&gt;"",$C3467&lt;&gt;"",$D3467&lt;&gt;"",$E3467&lt;&gt;""),"TXS"&amp;TEXT(COUNTIFS($B$2:$B3467,"&lt;&gt;",$C$2:$C3467,"&lt;&gt;",$D$2:$D3467,"&lt;&gt;",$E$2:$E3467,"&lt;&gt;"),"00000"),""))</f>
        <v/>
      </c>
      <c r="N3467" s="22"/>
    </row>
    <row r="3468" spans="1:14" x14ac:dyDescent="0.3">
      <c r="A3468" s="15" t="str">
        <f>IF(COUNTA($B3468:$E3468,$K3468)=0,"",IF(AND($B3468&lt;&gt;"",$C3468&lt;&gt;"",$D3468&lt;&gt;"",$E3468&lt;&gt;""),"TXS"&amp;TEXT(COUNTIFS($B$2:$B3468,"&lt;&gt;",$C$2:$C3468,"&lt;&gt;",$D$2:$D3468,"&lt;&gt;",$E$2:$E3468,"&lt;&gt;"),"00000"),""))</f>
        <v/>
      </c>
      <c r="N3468" s="22"/>
    </row>
    <row r="3469" spans="1:14" x14ac:dyDescent="0.3">
      <c r="A3469" s="15" t="str">
        <f>IF(COUNTA($B3469:$E3469,$K3469)=0,"",IF(AND($B3469&lt;&gt;"",$C3469&lt;&gt;"",$D3469&lt;&gt;"",$E3469&lt;&gt;""),"TXS"&amp;TEXT(COUNTIFS($B$2:$B3469,"&lt;&gt;",$C$2:$C3469,"&lt;&gt;",$D$2:$D3469,"&lt;&gt;",$E$2:$E3469,"&lt;&gt;"),"00000"),""))</f>
        <v/>
      </c>
      <c r="N3469" s="22"/>
    </row>
    <row r="3470" spans="1:14" x14ac:dyDescent="0.3">
      <c r="A3470" s="15" t="str">
        <f>IF(COUNTA($B3470:$E3470,$K3470)=0,"",IF(AND($B3470&lt;&gt;"",$C3470&lt;&gt;"",$D3470&lt;&gt;"",$E3470&lt;&gt;""),"TXS"&amp;TEXT(COUNTIFS($B$2:$B3470,"&lt;&gt;",$C$2:$C3470,"&lt;&gt;",$D$2:$D3470,"&lt;&gt;",$E$2:$E3470,"&lt;&gt;"),"00000"),""))</f>
        <v/>
      </c>
      <c r="N3470" s="22"/>
    </row>
    <row r="3471" spans="1:14" x14ac:dyDescent="0.3">
      <c r="A3471" s="15" t="str">
        <f>IF(COUNTA($B3471:$E3471,$K3471)=0,"",IF(AND($B3471&lt;&gt;"",$C3471&lt;&gt;"",$D3471&lt;&gt;"",$E3471&lt;&gt;""),"TXS"&amp;TEXT(COUNTIFS($B$2:$B3471,"&lt;&gt;",$C$2:$C3471,"&lt;&gt;",$D$2:$D3471,"&lt;&gt;",$E$2:$E3471,"&lt;&gt;"),"00000"),""))</f>
        <v/>
      </c>
      <c r="N3471" s="22"/>
    </row>
    <row r="3472" spans="1:14" x14ac:dyDescent="0.3">
      <c r="A3472" s="15" t="str">
        <f>IF(COUNTA($B3472:$E3472,$K3472)=0,"",IF(AND($B3472&lt;&gt;"",$C3472&lt;&gt;"",$D3472&lt;&gt;"",$E3472&lt;&gt;""),"TXS"&amp;TEXT(COUNTIFS($B$2:$B3472,"&lt;&gt;",$C$2:$C3472,"&lt;&gt;",$D$2:$D3472,"&lt;&gt;",$E$2:$E3472,"&lt;&gt;"),"00000"),""))</f>
        <v/>
      </c>
      <c r="N3472" s="22"/>
    </row>
    <row r="3473" spans="1:14" x14ac:dyDescent="0.3">
      <c r="A3473" s="15" t="str">
        <f>IF(COUNTA($B3473:$E3473,$K3473)=0,"",IF(AND($B3473&lt;&gt;"",$C3473&lt;&gt;"",$D3473&lt;&gt;"",$E3473&lt;&gt;""),"TXS"&amp;TEXT(COUNTIFS($B$2:$B3473,"&lt;&gt;",$C$2:$C3473,"&lt;&gt;",$D$2:$D3473,"&lt;&gt;",$E$2:$E3473,"&lt;&gt;"),"00000"),""))</f>
        <v/>
      </c>
      <c r="N3473" s="22"/>
    </row>
    <row r="3474" spans="1:14" x14ac:dyDescent="0.3">
      <c r="A3474" s="15" t="str">
        <f>IF(COUNTA($B3474:$E3474,$K3474)=0,"",IF(AND($B3474&lt;&gt;"",$C3474&lt;&gt;"",$D3474&lt;&gt;"",$E3474&lt;&gt;""),"TXS"&amp;TEXT(COUNTIFS($B$2:$B3474,"&lt;&gt;",$C$2:$C3474,"&lt;&gt;",$D$2:$D3474,"&lt;&gt;",$E$2:$E3474,"&lt;&gt;"),"00000"),""))</f>
        <v/>
      </c>
      <c r="N3474" s="22"/>
    </row>
    <row r="3475" spans="1:14" x14ac:dyDescent="0.3">
      <c r="A3475" s="15" t="str">
        <f>IF(COUNTA($B3475:$E3475,$K3475)=0,"",IF(AND($B3475&lt;&gt;"",$C3475&lt;&gt;"",$D3475&lt;&gt;"",$E3475&lt;&gt;""),"TXS"&amp;TEXT(COUNTIFS($B$2:$B3475,"&lt;&gt;",$C$2:$C3475,"&lt;&gt;",$D$2:$D3475,"&lt;&gt;",$E$2:$E3475,"&lt;&gt;"),"00000"),""))</f>
        <v/>
      </c>
      <c r="N3475" s="22"/>
    </row>
    <row r="3476" spans="1:14" x14ac:dyDescent="0.3">
      <c r="A3476" s="15" t="str">
        <f>IF(COUNTA($B3476:$E3476,$K3476)=0,"",IF(AND($B3476&lt;&gt;"",$C3476&lt;&gt;"",$D3476&lt;&gt;"",$E3476&lt;&gt;""),"TXS"&amp;TEXT(COUNTIFS($B$2:$B3476,"&lt;&gt;",$C$2:$C3476,"&lt;&gt;",$D$2:$D3476,"&lt;&gt;",$E$2:$E3476,"&lt;&gt;"),"00000"),""))</f>
        <v/>
      </c>
      <c r="N3476" s="22"/>
    </row>
    <row r="3477" spans="1:14" x14ac:dyDescent="0.3">
      <c r="A3477" s="15" t="str">
        <f>IF(COUNTA($B3477:$E3477,$K3477)=0,"",IF(AND($B3477&lt;&gt;"",$C3477&lt;&gt;"",$D3477&lt;&gt;"",$E3477&lt;&gt;""),"TXS"&amp;TEXT(COUNTIFS($B$2:$B3477,"&lt;&gt;",$C$2:$C3477,"&lt;&gt;",$D$2:$D3477,"&lt;&gt;",$E$2:$E3477,"&lt;&gt;"),"00000"),""))</f>
        <v/>
      </c>
      <c r="N3477" s="22"/>
    </row>
    <row r="3478" spans="1:14" x14ac:dyDescent="0.3">
      <c r="A3478" s="15" t="str">
        <f>IF(COUNTA($B3478:$E3478,$K3478)=0,"",IF(AND($B3478&lt;&gt;"",$C3478&lt;&gt;"",$D3478&lt;&gt;"",$E3478&lt;&gt;""),"TXS"&amp;TEXT(COUNTIFS($B$2:$B3478,"&lt;&gt;",$C$2:$C3478,"&lt;&gt;",$D$2:$D3478,"&lt;&gt;",$E$2:$E3478,"&lt;&gt;"),"00000"),""))</f>
        <v/>
      </c>
      <c r="N3478" s="22"/>
    </row>
    <row r="3479" spans="1:14" x14ac:dyDescent="0.3">
      <c r="A3479" s="15" t="str">
        <f>IF(COUNTA($B3479:$E3479,$K3479)=0,"",IF(AND($B3479&lt;&gt;"",$C3479&lt;&gt;"",$D3479&lt;&gt;"",$E3479&lt;&gt;""),"TXS"&amp;TEXT(COUNTIFS($B$2:$B3479,"&lt;&gt;",$C$2:$C3479,"&lt;&gt;",$D$2:$D3479,"&lt;&gt;",$E$2:$E3479,"&lt;&gt;"),"00000"),""))</f>
        <v/>
      </c>
      <c r="N3479" s="22"/>
    </row>
    <row r="3480" spans="1:14" x14ac:dyDescent="0.3">
      <c r="A3480" s="15" t="str">
        <f>IF(COUNTA($B3480:$E3480,$K3480)=0,"",IF(AND($B3480&lt;&gt;"",$C3480&lt;&gt;"",$D3480&lt;&gt;"",$E3480&lt;&gt;""),"TXS"&amp;TEXT(COUNTIFS($B$2:$B3480,"&lt;&gt;",$C$2:$C3480,"&lt;&gt;",$D$2:$D3480,"&lt;&gt;",$E$2:$E3480,"&lt;&gt;"),"00000"),""))</f>
        <v/>
      </c>
      <c r="N3480" s="22"/>
    </row>
    <row r="3481" spans="1:14" x14ac:dyDescent="0.3">
      <c r="A3481" s="15" t="str">
        <f>IF(COUNTA($B3481:$E3481,$K3481)=0,"",IF(AND($B3481&lt;&gt;"",$C3481&lt;&gt;"",$D3481&lt;&gt;"",$E3481&lt;&gt;""),"TXS"&amp;TEXT(COUNTIFS($B$2:$B3481,"&lt;&gt;",$C$2:$C3481,"&lt;&gt;",$D$2:$D3481,"&lt;&gt;",$E$2:$E3481,"&lt;&gt;"),"00000"),""))</f>
        <v/>
      </c>
      <c r="N3481" s="22"/>
    </row>
    <row r="3482" spans="1:14" x14ac:dyDescent="0.3">
      <c r="A3482" s="15" t="str">
        <f>IF(COUNTA($B3482:$E3482,$K3482)=0,"",IF(AND($B3482&lt;&gt;"",$C3482&lt;&gt;"",$D3482&lt;&gt;"",$E3482&lt;&gt;""),"TXS"&amp;TEXT(COUNTIFS($B$2:$B3482,"&lt;&gt;",$C$2:$C3482,"&lt;&gt;",$D$2:$D3482,"&lt;&gt;",$E$2:$E3482,"&lt;&gt;"),"00000"),""))</f>
        <v/>
      </c>
      <c r="N3482" s="22"/>
    </row>
    <row r="3483" spans="1:14" x14ac:dyDescent="0.3">
      <c r="A3483" s="15" t="str">
        <f>IF(COUNTA($B3483:$E3483,$K3483)=0,"",IF(AND($B3483&lt;&gt;"",$C3483&lt;&gt;"",$D3483&lt;&gt;"",$E3483&lt;&gt;""),"TXS"&amp;TEXT(COUNTIFS($B$2:$B3483,"&lt;&gt;",$C$2:$C3483,"&lt;&gt;",$D$2:$D3483,"&lt;&gt;",$E$2:$E3483,"&lt;&gt;"),"00000"),""))</f>
        <v/>
      </c>
      <c r="N3483" s="22"/>
    </row>
    <row r="3484" spans="1:14" x14ac:dyDescent="0.3">
      <c r="A3484" s="15" t="str">
        <f>IF(COUNTA($B3484:$E3484,$K3484)=0,"",IF(AND($B3484&lt;&gt;"",$C3484&lt;&gt;"",$D3484&lt;&gt;"",$E3484&lt;&gt;""),"TXS"&amp;TEXT(COUNTIFS($B$2:$B3484,"&lt;&gt;",$C$2:$C3484,"&lt;&gt;",$D$2:$D3484,"&lt;&gt;",$E$2:$E3484,"&lt;&gt;"),"00000"),""))</f>
        <v/>
      </c>
      <c r="N3484" s="22"/>
    </row>
    <row r="3485" spans="1:14" x14ac:dyDescent="0.3">
      <c r="A3485" s="15" t="str">
        <f>IF(COUNTA($B3485:$E3485,$K3485)=0,"",IF(AND($B3485&lt;&gt;"",$C3485&lt;&gt;"",$D3485&lt;&gt;"",$E3485&lt;&gt;""),"TXS"&amp;TEXT(COUNTIFS($B$2:$B3485,"&lt;&gt;",$C$2:$C3485,"&lt;&gt;",$D$2:$D3485,"&lt;&gt;",$E$2:$E3485,"&lt;&gt;"),"00000"),""))</f>
        <v/>
      </c>
      <c r="N3485" s="22"/>
    </row>
    <row r="3486" spans="1:14" x14ac:dyDescent="0.3">
      <c r="A3486" s="15" t="str">
        <f>IF(COUNTA($B3486:$E3486,$K3486)=0,"",IF(AND($B3486&lt;&gt;"",$C3486&lt;&gt;"",$D3486&lt;&gt;"",$E3486&lt;&gt;""),"TXS"&amp;TEXT(COUNTIFS($B$2:$B3486,"&lt;&gt;",$C$2:$C3486,"&lt;&gt;",$D$2:$D3486,"&lt;&gt;",$E$2:$E3486,"&lt;&gt;"),"00000"),""))</f>
        <v/>
      </c>
      <c r="N3486" s="22"/>
    </row>
    <row r="3487" spans="1:14" x14ac:dyDescent="0.3">
      <c r="A3487" s="15" t="str">
        <f>IF(COUNTA($B3487:$E3487,$K3487)=0,"",IF(AND($B3487&lt;&gt;"",$C3487&lt;&gt;"",$D3487&lt;&gt;"",$E3487&lt;&gt;""),"TXS"&amp;TEXT(COUNTIFS($B$2:$B3487,"&lt;&gt;",$C$2:$C3487,"&lt;&gt;",$D$2:$D3487,"&lt;&gt;",$E$2:$E3487,"&lt;&gt;"),"00000"),""))</f>
        <v/>
      </c>
      <c r="N3487" s="22"/>
    </row>
    <row r="3488" spans="1:14" x14ac:dyDescent="0.3">
      <c r="A3488" s="15" t="str">
        <f>IF(COUNTA($B3488:$E3488,$K3488)=0,"",IF(AND($B3488&lt;&gt;"",$C3488&lt;&gt;"",$D3488&lt;&gt;"",$E3488&lt;&gt;""),"TXS"&amp;TEXT(COUNTIFS($B$2:$B3488,"&lt;&gt;",$C$2:$C3488,"&lt;&gt;",$D$2:$D3488,"&lt;&gt;",$E$2:$E3488,"&lt;&gt;"),"00000"),""))</f>
        <v/>
      </c>
      <c r="N3488" s="22"/>
    </row>
    <row r="3489" spans="1:14" x14ac:dyDescent="0.3">
      <c r="A3489" s="15" t="str">
        <f>IF(COUNTA($B3489:$E3489,$K3489)=0,"",IF(AND($B3489&lt;&gt;"",$C3489&lt;&gt;"",$D3489&lt;&gt;"",$E3489&lt;&gt;""),"TXS"&amp;TEXT(COUNTIFS($B$2:$B3489,"&lt;&gt;",$C$2:$C3489,"&lt;&gt;",$D$2:$D3489,"&lt;&gt;",$E$2:$E3489,"&lt;&gt;"),"00000"),""))</f>
        <v/>
      </c>
      <c r="N3489" s="22"/>
    </row>
    <row r="3490" spans="1:14" x14ac:dyDescent="0.3">
      <c r="A3490" s="15" t="str">
        <f>IF(COUNTA($B3490:$E3490,$K3490)=0,"",IF(AND($B3490&lt;&gt;"",$C3490&lt;&gt;"",$D3490&lt;&gt;"",$E3490&lt;&gt;""),"TXS"&amp;TEXT(COUNTIFS($B$2:$B3490,"&lt;&gt;",$C$2:$C3490,"&lt;&gt;",$D$2:$D3490,"&lt;&gt;",$E$2:$E3490,"&lt;&gt;"),"00000"),""))</f>
        <v/>
      </c>
      <c r="N3490" s="22"/>
    </row>
    <row r="3491" spans="1:14" x14ac:dyDescent="0.3">
      <c r="A3491" s="15" t="str">
        <f>IF(COUNTA($B3491:$E3491,$K3491)=0,"",IF(AND($B3491&lt;&gt;"",$C3491&lt;&gt;"",$D3491&lt;&gt;"",$E3491&lt;&gt;""),"TXS"&amp;TEXT(COUNTIFS($B$2:$B3491,"&lt;&gt;",$C$2:$C3491,"&lt;&gt;",$D$2:$D3491,"&lt;&gt;",$E$2:$E3491,"&lt;&gt;"),"00000"),""))</f>
        <v/>
      </c>
      <c r="N3491" s="22"/>
    </row>
    <row r="3492" spans="1:14" x14ac:dyDescent="0.3">
      <c r="A3492" s="15" t="str">
        <f>IF(COUNTA($B3492:$E3492,$K3492)=0,"",IF(AND($B3492&lt;&gt;"",$C3492&lt;&gt;"",$D3492&lt;&gt;"",$E3492&lt;&gt;""),"TXS"&amp;TEXT(COUNTIFS($B$2:$B3492,"&lt;&gt;",$C$2:$C3492,"&lt;&gt;",$D$2:$D3492,"&lt;&gt;",$E$2:$E3492,"&lt;&gt;"),"00000"),""))</f>
        <v/>
      </c>
      <c r="N3492" s="22"/>
    </row>
    <row r="3493" spans="1:14" x14ac:dyDescent="0.3">
      <c r="A3493" s="15" t="str">
        <f>IF(COUNTA($B3493:$E3493,$K3493)=0,"",IF(AND($B3493&lt;&gt;"",$C3493&lt;&gt;"",$D3493&lt;&gt;"",$E3493&lt;&gt;""),"TXS"&amp;TEXT(COUNTIFS($B$2:$B3493,"&lt;&gt;",$C$2:$C3493,"&lt;&gt;",$D$2:$D3493,"&lt;&gt;",$E$2:$E3493,"&lt;&gt;"),"00000"),""))</f>
        <v/>
      </c>
      <c r="N3493" s="22"/>
    </row>
    <row r="3494" spans="1:14" x14ac:dyDescent="0.3">
      <c r="A3494" s="15" t="str">
        <f>IF(COUNTA($B3494:$E3494,$K3494)=0,"",IF(AND($B3494&lt;&gt;"",$C3494&lt;&gt;"",$D3494&lt;&gt;"",$E3494&lt;&gt;""),"TXS"&amp;TEXT(COUNTIFS($B$2:$B3494,"&lt;&gt;",$C$2:$C3494,"&lt;&gt;",$D$2:$D3494,"&lt;&gt;",$E$2:$E3494,"&lt;&gt;"),"00000"),""))</f>
        <v/>
      </c>
      <c r="N3494" s="22"/>
    </row>
    <row r="3495" spans="1:14" x14ac:dyDescent="0.3">
      <c r="A3495" s="15" t="str">
        <f>IF(COUNTA($B3495:$E3495,$K3495)=0,"",IF(AND($B3495&lt;&gt;"",$C3495&lt;&gt;"",$D3495&lt;&gt;"",$E3495&lt;&gt;""),"TXS"&amp;TEXT(COUNTIFS($B$2:$B3495,"&lt;&gt;",$C$2:$C3495,"&lt;&gt;",$D$2:$D3495,"&lt;&gt;",$E$2:$E3495,"&lt;&gt;"),"00000"),""))</f>
        <v/>
      </c>
      <c r="N3495" s="22"/>
    </row>
    <row r="3496" spans="1:14" x14ac:dyDescent="0.3">
      <c r="A3496" s="15" t="str">
        <f>IF(COUNTA($B3496:$E3496,$K3496)=0,"",IF(AND($B3496&lt;&gt;"",$C3496&lt;&gt;"",$D3496&lt;&gt;"",$E3496&lt;&gt;""),"TXS"&amp;TEXT(COUNTIFS($B$2:$B3496,"&lt;&gt;",$C$2:$C3496,"&lt;&gt;",$D$2:$D3496,"&lt;&gt;",$E$2:$E3496,"&lt;&gt;"),"00000"),""))</f>
        <v/>
      </c>
      <c r="N3496" s="22"/>
    </row>
    <row r="3497" spans="1:14" x14ac:dyDescent="0.3">
      <c r="A3497" s="15" t="str">
        <f>IF(COUNTA($B3497:$E3497,$K3497)=0,"",IF(AND($B3497&lt;&gt;"",$C3497&lt;&gt;"",$D3497&lt;&gt;"",$E3497&lt;&gt;""),"TXS"&amp;TEXT(COUNTIFS($B$2:$B3497,"&lt;&gt;",$C$2:$C3497,"&lt;&gt;",$D$2:$D3497,"&lt;&gt;",$E$2:$E3497,"&lt;&gt;"),"00000"),""))</f>
        <v/>
      </c>
      <c r="N3497" s="22"/>
    </row>
    <row r="3498" spans="1:14" x14ac:dyDescent="0.3">
      <c r="A3498" s="15" t="str">
        <f>IF(COUNTA($B3498:$E3498,$K3498)=0,"",IF(AND($B3498&lt;&gt;"",$C3498&lt;&gt;"",$D3498&lt;&gt;"",$E3498&lt;&gt;""),"TXS"&amp;TEXT(COUNTIFS($B$2:$B3498,"&lt;&gt;",$C$2:$C3498,"&lt;&gt;",$D$2:$D3498,"&lt;&gt;",$E$2:$E3498,"&lt;&gt;"),"00000"),""))</f>
        <v/>
      </c>
      <c r="N3498" s="22"/>
    </row>
    <row r="3499" spans="1:14" x14ac:dyDescent="0.3">
      <c r="A3499" s="15" t="str">
        <f>IF(COUNTA($B3499:$E3499,$K3499)=0,"",IF(AND($B3499&lt;&gt;"",$C3499&lt;&gt;"",$D3499&lt;&gt;"",$E3499&lt;&gt;""),"TXS"&amp;TEXT(COUNTIFS($B$2:$B3499,"&lt;&gt;",$C$2:$C3499,"&lt;&gt;",$D$2:$D3499,"&lt;&gt;",$E$2:$E3499,"&lt;&gt;"),"00000"),""))</f>
        <v/>
      </c>
      <c r="N3499" s="22"/>
    </row>
    <row r="3500" spans="1:14" x14ac:dyDescent="0.3">
      <c r="A3500" s="15" t="str">
        <f>IF(COUNTA($B3500:$E3500,$K3500)=0,"",IF(AND($B3500&lt;&gt;"",$C3500&lt;&gt;"",$D3500&lt;&gt;"",$E3500&lt;&gt;""),"TXS"&amp;TEXT(COUNTIFS($B$2:$B3500,"&lt;&gt;",$C$2:$C3500,"&lt;&gt;",$D$2:$D3500,"&lt;&gt;",$E$2:$E3500,"&lt;&gt;"),"00000"),""))</f>
        <v/>
      </c>
      <c r="N3500" s="22"/>
    </row>
    <row r="3501" spans="1:14" x14ac:dyDescent="0.3">
      <c r="A3501" s="15" t="str">
        <f>IF(COUNTA($B3501:$E3501,$K3501)=0,"",IF(AND($B3501&lt;&gt;"",$C3501&lt;&gt;"",$D3501&lt;&gt;"",$E3501&lt;&gt;""),"TXS"&amp;TEXT(COUNTIFS($B$2:$B3501,"&lt;&gt;",$C$2:$C3501,"&lt;&gt;",$D$2:$D3501,"&lt;&gt;",$E$2:$E3501,"&lt;&gt;"),"00000"),""))</f>
        <v/>
      </c>
      <c r="N3501" s="22"/>
    </row>
    <row r="3502" spans="1:14" x14ac:dyDescent="0.3">
      <c r="A3502" s="15" t="str">
        <f>IF(COUNTA($B3502:$E3502,$K3502)=0,"",IF(AND($B3502&lt;&gt;"",$C3502&lt;&gt;"",$D3502&lt;&gt;"",$E3502&lt;&gt;""),"TXS"&amp;TEXT(COUNTIFS($B$2:$B3502,"&lt;&gt;",$C$2:$C3502,"&lt;&gt;",$D$2:$D3502,"&lt;&gt;",$E$2:$E3502,"&lt;&gt;"),"00000"),""))</f>
        <v/>
      </c>
      <c r="N3502" s="22"/>
    </row>
    <row r="3503" spans="1:14" x14ac:dyDescent="0.3">
      <c r="A3503" s="15" t="str">
        <f>IF(COUNTA($B3503:$E3503,$K3503)=0,"",IF(AND($B3503&lt;&gt;"",$C3503&lt;&gt;"",$D3503&lt;&gt;"",$E3503&lt;&gt;""),"TXS"&amp;TEXT(COUNTIFS($B$2:$B3503,"&lt;&gt;",$C$2:$C3503,"&lt;&gt;",$D$2:$D3503,"&lt;&gt;",$E$2:$E3503,"&lt;&gt;"),"00000"),""))</f>
        <v/>
      </c>
      <c r="N3503" s="22"/>
    </row>
    <row r="3504" spans="1:14" x14ac:dyDescent="0.3">
      <c r="A3504" s="15" t="str">
        <f>IF(COUNTA($B3504:$E3504,$K3504)=0,"",IF(AND($B3504&lt;&gt;"",$C3504&lt;&gt;"",$D3504&lt;&gt;"",$E3504&lt;&gt;""),"TXS"&amp;TEXT(COUNTIFS($B$2:$B3504,"&lt;&gt;",$C$2:$C3504,"&lt;&gt;",$D$2:$D3504,"&lt;&gt;",$E$2:$E3504,"&lt;&gt;"),"00000"),""))</f>
        <v/>
      </c>
      <c r="N3504" s="22"/>
    </row>
    <row r="3505" spans="1:14" x14ac:dyDescent="0.3">
      <c r="A3505" s="15" t="str">
        <f>IF(COUNTA($B3505:$E3505,$K3505)=0,"",IF(AND($B3505&lt;&gt;"",$C3505&lt;&gt;"",$D3505&lt;&gt;"",$E3505&lt;&gt;""),"TXS"&amp;TEXT(COUNTIFS($B$2:$B3505,"&lt;&gt;",$C$2:$C3505,"&lt;&gt;",$D$2:$D3505,"&lt;&gt;",$E$2:$E3505,"&lt;&gt;"),"00000"),""))</f>
        <v/>
      </c>
      <c r="N3505" s="22"/>
    </row>
    <row r="3506" spans="1:14" x14ac:dyDescent="0.3">
      <c r="A3506" s="15" t="str">
        <f>IF(COUNTA($B3506:$E3506,$K3506)=0,"",IF(AND($B3506&lt;&gt;"",$C3506&lt;&gt;"",$D3506&lt;&gt;"",$E3506&lt;&gt;""),"TXS"&amp;TEXT(COUNTIFS($B$2:$B3506,"&lt;&gt;",$C$2:$C3506,"&lt;&gt;",$D$2:$D3506,"&lt;&gt;",$E$2:$E3506,"&lt;&gt;"),"00000"),""))</f>
        <v/>
      </c>
      <c r="N3506" s="22"/>
    </row>
    <row r="3507" spans="1:14" x14ac:dyDescent="0.3">
      <c r="A3507" s="15" t="str">
        <f>IF(COUNTA($B3507:$E3507,$K3507)=0,"",IF(AND($B3507&lt;&gt;"",$C3507&lt;&gt;"",$D3507&lt;&gt;"",$E3507&lt;&gt;""),"TXS"&amp;TEXT(COUNTIFS($B$2:$B3507,"&lt;&gt;",$C$2:$C3507,"&lt;&gt;",$D$2:$D3507,"&lt;&gt;",$E$2:$E3507,"&lt;&gt;"),"00000"),""))</f>
        <v/>
      </c>
      <c r="N3507" s="22"/>
    </row>
    <row r="3508" spans="1:14" x14ac:dyDescent="0.3">
      <c r="A3508" s="15" t="str">
        <f>IF(COUNTA($B3508:$E3508,$K3508)=0,"",IF(AND($B3508&lt;&gt;"",$C3508&lt;&gt;"",$D3508&lt;&gt;"",$E3508&lt;&gt;""),"TXS"&amp;TEXT(COUNTIFS($B$2:$B3508,"&lt;&gt;",$C$2:$C3508,"&lt;&gt;",$D$2:$D3508,"&lt;&gt;",$E$2:$E3508,"&lt;&gt;"),"00000"),""))</f>
        <v/>
      </c>
      <c r="N3508" s="22"/>
    </row>
    <row r="3509" spans="1:14" x14ac:dyDescent="0.3">
      <c r="A3509" s="15" t="str">
        <f>IF(COUNTA($B3509:$E3509,$K3509)=0,"",IF(AND($B3509&lt;&gt;"",$C3509&lt;&gt;"",$D3509&lt;&gt;"",$E3509&lt;&gt;""),"TXS"&amp;TEXT(COUNTIFS($B$2:$B3509,"&lt;&gt;",$C$2:$C3509,"&lt;&gt;",$D$2:$D3509,"&lt;&gt;",$E$2:$E3509,"&lt;&gt;"),"00000"),""))</f>
        <v/>
      </c>
      <c r="N3509" s="22"/>
    </row>
    <row r="3510" spans="1:14" x14ac:dyDescent="0.3">
      <c r="A3510" s="15" t="str">
        <f>IF(COUNTA($B3510:$E3510,$K3510)=0,"",IF(AND($B3510&lt;&gt;"",$C3510&lt;&gt;"",$D3510&lt;&gt;"",$E3510&lt;&gt;""),"TXS"&amp;TEXT(COUNTIFS($B$2:$B3510,"&lt;&gt;",$C$2:$C3510,"&lt;&gt;",$D$2:$D3510,"&lt;&gt;",$E$2:$E3510,"&lt;&gt;"),"00000"),""))</f>
        <v/>
      </c>
      <c r="N3510" s="22"/>
    </row>
    <row r="3511" spans="1:14" x14ac:dyDescent="0.3">
      <c r="A3511" s="15" t="str">
        <f>IF(COUNTA($B3511:$E3511,$K3511)=0,"",IF(AND($B3511&lt;&gt;"",$C3511&lt;&gt;"",$D3511&lt;&gt;"",$E3511&lt;&gt;""),"TXS"&amp;TEXT(COUNTIFS($B$2:$B3511,"&lt;&gt;",$C$2:$C3511,"&lt;&gt;",$D$2:$D3511,"&lt;&gt;",$E$2:$E3511,"&lt;&gt;"),"00000"),""))</f>
        <v/>
      </c>
      <c r="N3511" s="22"/>
    </row>
    <row r="3512" spans="1:14" x14ac:dyDescent="0.3">
      <c r="A3512" s="15" t="str">
        <f>IF(COUNTA($B3512:$E3512,$K3512)=0,"",IF(AND($B3512&lt;&gt;"",$C3512&lt;&gt;"",$D3512&lt;&gt;"",$E3512&lt;&gt;""),"TXS"&amp;TEXT(COUNTIFS($B$2:$B3512,"&lt;&gt;",$C$2:$C3512,"&lt;&gt;",$D$2:$D3512,"&lt;&gt;",$E$2:$E3512,"&lt;&gt;"),"00000"),""))</f>
        <v/>
      </c>
      <c r="N3512" s="22"/>
    </row>
    <row r="3513" spans="1:14" x14ac:dyDescent="0.3">
      <c r="A3513" s="15" t="str">
        <f>IF(COUNTA($B3513:$E3513,$K3513)=0,"",IF(AND($B3513&lt;&gt;"",$C3513&lt;&gt;"",$D3513&lt;&gt;"",$E3513&lt;&gt;""),"TXS"&amp;TEXT(COUNTIFS($B$2:$B3513,"&lt;&gt;",$C$2:$C3513,"&lt;&gt;",$D$2:$D3513,"&lt;&gt;",$E$2:$E3513,"&lt;&gt;"),"00000"),""))</f>
        <v/>
      </c>
      <c r="N3513" s="22"/>
    </row>
    <row r="3514" spans="1:14" x14ac:dyDescent="0.3">
      <c r="A3514" s="15" t="str">
        <f>IF(COUNTA($B3514:$E3514,$K3514)=0,"",IF(AND($B3514&lt;&gt;"",$C3514&lt;&gt;"",$D3514&lt;&gt;"",$E3514&lt;&gt;""),"TXS"&amp;TEXT(COUNTIFS($B$2:$B3514,"&lt;&gt;",$C$2:$C3514,"&lt;&gt;",$D$2:$D3514,"&lt;&gt;",$E$2:$E3514,"&lt;&gt;"),"00000"),""))</f>
        <v/>
      </c>
      <c r="N3514" s="22"/>
    </row>
    <row r="3515" spans="1:14" x14ac:dyDescent="0.3">
      <c r="A3515" s="15" t="str">
        <f>IF(COUNTA($B3515:$E3515,$K3515)=0,"",IF(AND($B3515&lt;&gt;"",$C3515&lt;&gt;"",$D3515&lt;&gt;"",$E3515&lt;&gt;""),"TXS"&amp;TEXT(COUNTIFS($B$2:$B3515,"&lt;&gt;",$C$2:$C3515,"&lt;&gt;",$D$2:$D3515,"&lt;&gt;",$E$2:$E3515,"&lt;&gt;"),"00000"),""))</f>
        <v/>
      </c>
      <c r="N3515" s="22"/>
    </row>
    <row r="3516" spans="1:14" x14ac:dyDescent="0.3">
      <c r="A3516" s="15" t="str">
        <f>IF(COUNTA($B3516:$E3516,$K3516)=0,"",IF(AND($B3516&lt;&gt;"",$C3516&lt;&gt;"",$D3516&lt;&gt;"",$E3516&lt;&gt;""),"TXS"&amp;TEXT(COUNTIFS($B$2:$B3516,"&lt;&gt;",$C$2:$C3516,"&lt;&gt;",$D$2:$D3516,"&lt;&gt;",$E$2:$E3516,"&lt;&gt;"),"00000"),""))</f>
        <v/>
      </c>
      <c r="N3516" s="22"/>
    </row>
    <row r="3517" spans="1:14" x14ac:dyDescent="0.3">
      <c r="A3517" s="15" t="str">
        <f>IF(COUNTA($B3517:$E3517,$K3517)=0,"",IF(AND($B3517&lt;&gt;"",$C3517&lt;&gt;"",$D3517&lt;&gt;"",$E3517&lt;&gt;""),"TXS"&amp;TEXT(COUNTIFS($B$2:$B3517,"&lt;&gt;",$C$2:$C3517,"&lt;&gt;",$D$2:$D3517,"&lt;&gt;",$E$2:$E3517,"&lt;&gt;"),"00000"),""))</f>
        <v/>
      </c>
      <c r="N3517" s="22"/>
    </row>
    <row r="3518" spans="1:14" x14ac:dyDescent="0.3">
      <c r="A3518" s="15" t="str">
        <f>IF(COUNTA($B3518:$E3518,$K3518)=0,"",IF(AND($B3518&lt;&gt;"",$C3518&lt;&gt;"",$D3518&lt;&gt;"",$E3518&lt;&gt;""),"TXS"&amp;TEXT(COUNTIFS($B$2:$B3518,"&lt;&gt;",$C$2:$C3518,"&lt;&gt;",$D$2:$D3518,"&lt;&gt;",$E$2:$E3518,"&lt;&gt;"),"00000"),""))</f>
        <v/>
      </c>
      <c r="N3518" s="22"/>
    </row>
    <row r="3519" spans="1:14" x14ac:dyDescent="0.3">
      <c r="A3519" s="15" t="str">
        <f>IF(COUNTA($B3519:$E3519,$K3519)=0,"",IF(AND($B3519&lt;&gt;"",$C3519&lt;&gt;"",$D3519&lt;&gt;"",$E3519&lt;&gt;""),"TXS"&amp;TEXT(COUNTIFS($B$2:$B3519,"&lt;&gt;",$C$2:$C3519,"&lt;&gt;",$D$2:$D3519,"&lt;&gt;",$E$2:$E3519,"&lt;&gt;"),"00000"),""))</f>
        <v/>
      </c>
      <c r="N3519" s="22"/>
    </row>
    <row r="3520" spans="1:14" x14ac:dyDescent="0.3">
      <c r="A3520" s="15" t="str">
        <f>IF(COUNTA($B3520:$E3520,$K3520)=0,"",IF(AND($B3520&lt;&gt;"",$C3520&lt;&gt;"",$D3520&lt;&gt;"",$E3520&lt;&gt;""),"TXS"&amp;TEXT(COUNTIFS($B$2:$B3520,"&lt;&gt;",$C$2:$C3520,"&lt;&gt;",$D$2:$D3520,"&lt;&gt;",$E$2:$E3520,"&lt;&gt;"),"00000"),""))</f>
        <v/>
      </c>
      <c r="N3520" s="22"/>
    </row>
    <row r="3521" spans="1:14" x14ac:dyDescent="0.3">
      <c r="A3521" s="15" t="str">
        <f>IF(COUNTA($B3521:$E3521,$K3521)=0,"",IF(AND($B3521&lt;&gt;"",$C3521&lt;&gt;"",$D3521&lt;&gt;"",$E3521&lt;&gt;""),"TXS"&amp;TEXT(COUNTIFS($B$2:$B3521,"&lt;&gt;",$C$2:$C3521,"&lt;&gt;",$D$2:$D3521,"&lt;&gt;",$E$2:$E3521,"&lt;&gt;"),"00000"),""))</f>
        <v/>
      </c>
      <c r="N3521" s="22"/>
    </row>
    <row r="3522" spans="1:14" x14ac:dyDescent="0.3">
      <c r="A3522" s="15" t="str">
        <f>IF(COUNTA($B3522:$E3522,$K3522)=0,"",IF(AND($B3522&lt;&gt;"",$C3522&lt;&gt;"",$D3522&lt;&gt;"",$E3522&lt;&gt;""),"TXS"&amp;TEXT(COUNTIFS($B$2:$B3522,"&lt;&gt;",$C$2:$C3522,"&lt;&gt;",$D$2:$D3522,"&lt;&gt;",$E$2:$E3522,"&lt;&gt;"),"00000"),""))</f>
        <v/>
      </c>
      <c r="N3522" s="22"/>
    </row>
    <row r="3523" spans="1:14" x14ac:dyDescent="0.3">
      <c r="A3523" s="15" t="str">
        <f>IF(COUNTA($B3523:$E3523,$K3523)=0,"",IF(AND($B3523&lt;&gt;"",$C3523&lt;&gt;"",$D3523&lt;&gt;"",$E3523&lt;&gt;""),"TXS"&amp;TEXT(COUNTIFS($B$2:$B3523,"&lt;&gt;",$C$2:$C3523,"&lt;&gt;",$D$2:$D3523,"&lt;&gt;",$E$2:$E3523,"&lt;&gt;"),"00000"),""))</f>
        <v/>
      </c>
      <c r="N3523" s="22"/>
    </row>
    <row r="3524" spans="1:14" x14ac:dyDescent="0.3">
      <c r="A3524" s="15" t="str">
        <f>IF(COUNTA($B3524:$E3524,$K3524)=0,"",IF(AND($B3524&lt;&gt;"",$C3524&lt;&gt;"",$D3524&lt;&gt;"",$E3524&lt;&gt;""),"TXS"&amp;TEXT(COUNTIFS($B$2:$B3524,"&lt;&gt;",$C$2:$C3524,"&lt;&gt;",$D$2:$D3524,"&lt;&gt;",$E$2:$E3524,"&lt;&gt;"),"00000"),""))</f>
        <v/>
      </c>
      <c r="N3524" s="22"/>
    </row>
    <row r="3525" spans="1:14" x14ac:dyDescent="0.3">
      <c r="A3525" s="15" t="str">
        <f>IF(COUNTA($B3525:$E3525,$K3525)=0,"",IF(AND($B3525&lt;&gt;"",$C3525&lt;&gt;"",$D3525&lt;&gt;"",$E3525&lt;&gt;""),"TXS"&amp;TEXT(COUNTIFS($B$2:$B3525,"&lt;&gt;",$C$2:$C3525,"&lt;&gt;",$D$2:$D3525,"&lt;&gt;",$E$2:$E3525,"&lt;&gt;"),"00000"),""))</f>
        <v/>
      </c>
      <c r="N3525" s="22"/>
    </row>
    <row r="3526" spans="1:14" x14ac:dyDescent="0.3">
      <c r="A3526" s="15" t="str">
        <f>IF(COUNTA($B3526:$E3526,$K3526)=0,"",IF(AND($B3526&lt;&gt;"",$C3526&lt;&gt;"",$D3526&lt;&gt;"",$E3526&lt;&gt;""),"TXS"&amp;TEXT(COUNTIFS($B$2:$B3526,"&lt;&gt;",$C$2:$C3526,"&lt;&gt;",$D$2:$D3526,"&lt;&gt;",$E$2:$E3526,"&lt;&gt;"),"00000"),""))</f>
        <v/>
      </c>
      <c r="N3526" s="22"/>
    </row>
    <row r="3527" spans="1:14" x14ac:dyDescent="0.3">
      <c r="A3527" s="15" t="str">
        <f>IF(COUNTA($B3527:$E3527,$K3527)=0,"",IF(AND($B3527&lt;&gt;"",$C3527&lt;&gt;"",$D3527&lt;&gt;"",$E3527&lt;&gt;""),"TXS"&amp;TEXT(COUNTIFS($B$2:$B3527,"&lt;&gt;",$C$2:$C3527,"&lt;&gt;",$D$2:$D3527,"&lt;&gt;",$E$2:$E3527,"&lt;&gt;"),"00000"),""))</f>
        <v/>
      </c>
      <c r="N3527" s="22"/>
    </row>
    <row r="3528" spans="1:14" x14ac:dyDescent="0.3">
      <c r="A3528" s="15" t="str">
        <f>IF(COUNTA($B3528:$E3528,$K3528)=0,"",IF(AND($B3528&lt;&gt;"",$C3528&lt;&gt;"",$D3528&lt;&gt;"",$E3528&lt;&gt;""),"TXS"&amp;TEXT(COUNTIFS($B$2:$B3528,"&lt;&gt;",$C$2:$C3528,"&lt;&gt;",$D$2:$D3528,"&lt;&gt;",$E$2:$E3528,"&lt;&gt;"),"00000"),""))</f>
        <v/>
      </c>
      <c r="N3528" s="22"/>
    </row>
    <row r="3529" spans="1:14" x14ac:dyDescent="0.3">
      <c r="A3529" s="15" t="str">
        <f>IF(COUNTA($B3529:$E3529,$K3529)=0,"",IF(AND($B3529&lt;&gt;"",$C3529&lt;&gt;"",$D3529&lt;&gt;"",$E3529&lt;&gt;""),"TXS"&amp;TEXT(COUNTIFS($B$2:$B3529,"&lt;&gt;",$C$2:$C3529,"&lt;&gt;",$D$2:$D3529,"&lt;&gt;",$E$2:$E3529,"&lt;&gt;"),"00000"),""))</f>
        <v/>
      </c>
      <c r="N3529" s="22"/>
    </row>
    <row r="3530" spans="1:14" x14ac:dyDescent="0.3">
      <c r="A3530" s="15" t="str">
        <f>IF(COUNTA($B3530:$E3530,$K3530)=0,"",IF(AND($B3530&lt;&gt;"",$C3530&lt;&gt;"",$D3530&lt;&gt;"",$E3530&lt;&gt;""),"TXS"&amp;TEXT(COUNTIFS($B$2:$B3530,"&lt;&gt;",$C$2:$C3530,"&lt;&gt;",$D$2:$D3530,"&lt;&gt;",$E$2:$E3530,"&lt;&gt;"),"00000"),""))</f>
        <v/>
      </c>
      <c r="N3530" s="22"/>
    </row>
    <row r="3531" spans="1:14" x14ac:dyDescent="0.3">
      <c r="A3531" s="15" t="str">
        <f>IF(COUNTA($B3531:$E3531,$K3531)=0,"",IF(AND($B3531&lt;&gt;"",$C3531&lt;&gt;"",$D3531&lt;&gt;"",$E3531&lt;&gt;""),"TXS"&amp;TEXT(COUNTIFS($B$2:$B3531,"&lt;&gt;",$C$2:$C3531,"&lt;&gt;",$D$2:$D3531,"&lt;&gt;",$E$2:$E3531,"&lt;&gt;"),"00000"),""))</f>
        <v/>
      </c>
      <c r="N3531" s="22"/>
    </row>
    <row r="3532" spans="1:14" x14ac:dyDescent="0.3">
      <c r="A3532" s="15" t="str">
        <f>IF(COUNTA($B3532:$E3532,$K3532)=0,"",IF(AND($B3532&lt;&gt;"",$C3532&lt;&gt;"",$D3532&lt;&gt;"",$E3532&lt;&gt;""),"TXS"&amp;TEXT(COUNTIFS($B$2:$B3532,"&lt;&gt;",$C$2:$C3532,"&lt;&gt;",$D$2:$D3532,"&lt;&gt;",$E$2:$E3532,"&lt;&gt;"),"00000"),""))</f>
        <v/>
      </c>
      <c r="N3532" s="22"/>
    </row>
    <row r="3533" spans="1:14" x14ac:dyDescent="0.3">
      <c r="A3533" s="15" t="str">
        <f>IF(COUNTA($B3533:$E3533,$K3533)=0,"",IF(AND($B3533&lt;&gt;"",$C3533&lt;&gt;"",$D3533&lt;&gt;"",$E3533&lt;&gt;""),"TXS"&amp;TEXT(COUNTIFS($B$2:$B3533,"&lt;&gt;",$C$2:$C3533,"&lt;&gt;",$D$2:$D3533,"&lt;&gt;",$E$2:$E3533,"&lt;&gt;"),"00000"),""))</f>
        <v/>
      </c>
      <c r="N3533" s="22"/>
    </row>
    <row r="3534" spans="1:14" x14ac:dyDescent="0.3">
      <c r="A3534" s="15" t="str">
        <f>IF(COUNTA($B3534:$E3534,$K3534)=0,"",IF(AND($B3534&lt;&gt;"",$C3534&lt;&gt;"",$D3534&lt;&gt;"",$E3534&lt;&gt;""),"TXS"&amp;TEXT(COUNTIFS($B$2:$B3534,"&lt;&gt;",$C$2:$C3534,"&lt;&gt;",$D$2:$D3534,"&lt;&gt;",$E$2:$E3534,"&lt;&gt;"),"00000"),""))</f>
        <v/>
      </c>
      <c r="N3534" s="22"/>
    </row>
    <row r="3535" spans="1:14" x14ac:dyDescent="0.3">
      <c r="A3535" s="15" t="str">
        <f>IF(COUNTA($B3535:$E3535,$K3535)=0,"",IF(AND($B3535&lt;&gt;"",$C3535&lt;&gt;"",$D3535&lt;&gt;"",$E3535&lt;&gt;""),"TXS"&amp;TEXT(COUNTIFS($B$2:$B3535,"&lt;&gt;",$C$2:$C3535,"&lt;&gt;",$D$2:$D3535,"&lt;&gt;",$E$2:$E3535,"&lt;&gt;"),"00000"),""))</f>
        <v/>
      </c>
      <c r="N3535" s="22"/>
    </row>
    <row r="3536" spans="1:14" x14ac:dyDescent="0.3">
      <c r="A3536" s="15" t="str">
        <f>IF(COUNTA($B3536:$E3536,$K3536)=0,"",IF(AND($B3536&lt;&gt;"",$C3536&lt;&gt;"",$D3536&lt;&gt;"",$E3536&lt;&gt;""),"TXS"&amp;TEXT(COUNTIFS($B$2:$B3536,"&lt;&gt;",$C$2:$C3536,"&lt;&gt;",$D$2:$D3536,"&lt;&gt;",$E$2:$E3536,"&lt;&gt;"),"00000"),""))</f>
        <v/>
      </c>
      <c r="N3536" s="22"/>
    </row>
    <row r="3537" spans="1:14" x14ac:dyDescent="0.3">
      <c r="A3537" s="15" t="str">
        <f>IF(COUNTA($B3537:$E3537,$K3537)=0,"",IF(AND($B3537&lt;&gt;"",$C3537&lt;&gt;"",$D3537&lt;&gt;"",$E3537&lt;&gt;""),"TXS"&amp;TEXT(COUNTIFS($B$2:$B3537,"&lt;&gt;",$C$2:$C3537,"&lt;&gt;",$D$2:$D3537,"&lt;&gt;",$E$2:$E3537,"&lt;&gt;"),"00000"),""))</f>
        <v/>
      </c>
      <c r="N3537" s="22"/>
    </row>
    <row r="3538" spans="1:14" x14ac:dyDescent="0.3">
      <c r="A3538" s="15" t="str">
        <f>IF(COUNTA($B3538:$E3538,$K3538)=0,"",IF(AND($B3538&lt;&gt;"",$C3538&lt;&gt;"",$D3538&lt;&gt;"",$E3538&lt;&gt;""),"TXS"&amp;TEXT(COUNTIFS($B$2:$B3538,"&lt;&gt;",$C$2:$C3538,"&lt;&gt;",$D$2:$D3538,"&lt;&gt;",$E$2:$E3538,"&lt;&gt;"),"00000"),""))</f>
        <v/>
      </c>
      <c r="N3538" s="22"/>
    </row>
    <row r="3539" spans="1:14" x14ac:dyDescent="0.3">
      <c r="A3539" s="15" t="str">
        <f>IF(COUNTA($B3539:$E3539,$K3539)=0,"",IF(AND($B3539&lt;&gt;"",$C3539&lt;&gt;"",$D3539&lt;&gt;"",$E3539&lt;&gt;""),"TXS"&amp;TEXT(COUNTIFS($B$2:$B3539,"&lt;&gt;",$C$2:$C3539,"&lt;&gt;",$D$2:$D3539,"&lt;&gt;",$E$2:$E3539,"&lt;&gt;"),"00000"),""))</f>
        <v/>
      </c>
      <c r="N3539" s="22"/>
    </row>
    <row r="3540" spans="1:14" x14ac:dyDescent="0.3">
      <c r="A3540" s="15" t="str">
        <f>IF(COUNTA($B3540:$E3540,$K3540)=0,"",IF(AND($B3540&lt;&gt;"",$C3540&lt;&gt;"",$D3540&lt;&gt;"",$E3540&lt;&gt;""),"TXS"&amp;TEXT(COUNTIFS($B$2:$B3540,"&lt;&gt;",$C$2:$C3540,"&lt;&gt;",$D$2:$D3540,"&lt;&gt;",$E$2:$E3540,"&lt;&gt;"),"00000"),""))</f>
        <v/>
      </c>
      <c r="N3540" s="22"/>
    </row>
    <row r="3541" spans="1:14" x14ac:dyDescent="0.3">
      <c r="A3541" s="15" t="str">
        <f>IF(COUNTA($B3541:$E3541,$K3541)=0,"",IF(AND($B3541&lt;&gt;"",$C3541&lt;&gt;"",$D3541&lt;&gt;"",$E3541&lt;&gt;""),"TXS"&amp;TEXT(COUNTIFS($B$2:$B3541,"&lt;&gt;",$C$2:$C3541,"&lt;&gt;",$D$2:$D3541,"&lt;&gt;",$E$2:$E3541,"&lt;&gt;"),"00000"),""))</f>
        <v/>
      </c>
      <c r="N3541" s="22"/>
    </row>
    <row r="3542" spans="1:14" x14ac:dyDescent="0.3">
      <c r="A3542" s="15" t="str">
        <f>IF(COUNTA($B3542:$E3542,$K3542)=0,"",IF(AND($B3542&lt;&gt;"",$C3542&lt;&gt;"",$D3542&lt;&gt;"",$E3542&lt;&gt;""),"TXS"&amp;TEXT(COUNTIFS($B$2:$B3542,"&lt;&gt;",$C$2:$C3542,"&lt;&gt;",$D$2:$D3542,"&lt;&gt;",$E$2:$E3542,"&lt;&gt;"),"00000"),""))</f>
        <v/>
      </c>
      <c r="N3542" s="22"/>
    </row>
    <row r="3543" spans="1:14" x14ac:dyDescent="0.3">
      <c r="A3543" s="15" t="str">
        <f>IF(COUNTA($B3543:$E3543,$K3543)=0,"",IF(AND($B3543&lt;&gt;"",$C3543&lt;&gt;"",$D3543&lt;&gt;"",$E3543&lt;&gt;""),"TXS"&amp;TEXT(COUNTIFS($B$2:$B3543,"&lt;&gt;",$C$2:$C3543,"&lt;&gt;",$D$2:$D3543,"&lt;&gt;",$E$2:$E3543,"&lt;&gt;"),"00000"),""))</f>
        <v/>
      </c>
      <c r="N3543" s="22"/>
    </row>
    <row r="3544" spans="1:14" x14ac:dyDescent="0.3">
      <c r="A3544" s="15" t="str">
        <f>IF(COUNTA($B3544:$E3544,$K3544)=0,"",IF(AND($B3544&lt;&gt;"",$C3544&lt;&gt;"",$D3544&lt;&gt;"",$E3544&lt;&gt;""),"TXS"&amp;TEXT(COUNTIFS($B$2:$B3544,"&lt;&gt;",$C$2:$C3544,"&lt;&gt;",$D$2:$D3544,"&lt;&gt;",$E$2:$E3544,"&lt;&gt;"),"00000"),""))</f>
        <v/>
      </c>
      <c r="N3544" s="22"/>
    </row>
    <row r="3545" spans="1:14" x14ac:dyDescent="0.3">
      <c r="A3545" s="15" t="str">
        <f>IF(COUNTA($B3545:$E3545,$K3545)=0,"",IF(AND($B3545&lt;&gt;"",$C3545&lt;&gt;"",$D3545&lt;&gt;"",$E3545&lt;&gt;""),"TXS"&amp;TEXT(COUNTIFS($B$2:$B3545,"&lt;&gt;",$C$2:$C3545,"&lt;&gt;",$D$2:$D3545,"&lt;&gt;",$E$2:$E3545,"&lt;&gt;"),"00000"),""))</f>
        <v/>
      </c>
      <c r="N3545" s="22"/>
    </row>
    <row r="3546" spans="1:14" x14ac:dyDescent="0.3">
      <c r="A3546" s="15" t="str">
        <f>IF(COUNTA($B3546:$E3546,$K3546)=0,"",IF(AND($B3546&lt;&gt;"",$C3546&lt;&gt;"",$D3546&lt;&gt;"",$E3546&lt;&gt;""),"TXS"&amp;TEXT(COUNTIFS($B$2:$B3546,"&lt;&gt;",$C$2:$C3546,"&lt;&gt;",$D$2:$D3546,"&lt;&gt;",$E$2:$E3546,"&lt;&gt;"),"00000"),""))</f>
        <v/>
      </c>
      <c r="N3546" s="22"/>
    </row>
    <row r="3547" spans="1:14" x14ac:dyDescent="0.3">
      <c r="A3547" s="15" t="str">
        <f>IF(COUNTA($B3547:$E3547,$K3547)=0,"",IF(AND($B3547&lt;&gt;"",$C3547&lt;&gt;"",$D3547&lt;&gt;"",$E3547&lt;&gt;""),"TXS"&amp;TEXT(COUNTIFS($B$2:$B3547,"&lt;&gt;",$C$2:$C3547,"&lt;&gt;",$D$2:$D3547,"&lt;&gt;",$E$2:$E3547,"&lt;&gt;"),"00000"),""))</f>
        <v/>
      </c>
      <c r="N3547" s="22"/>
    </row>
    <row r="3548" spans="1:14" x14ac:dyDescent="0.3">
      <c r="A3548" s="15" t="str">
        <f>IF(COUNTA($B3548:$E3548,$K3548)=0,"",IF(AND($B3548&lt;&gt;"",$C3548&lt;&gt;"",$D3548&lt;&gt;"",$E3548&lt;&gt;""),"TXS"&amp;TEXT(COUNTIFS($B$2:$B3548,"&lt;&gt;",$C$2:$C3548,"&lt;&gt;",$D$2:$D3548,"&lt;&gt;",$E$2:$E3548,"&lt;&gt;"),"00000"),""))</f>
        <v/>
      </c>
      <c r="N3548" s="22"/>
    </row>
    <row r="3549" spans="1:14" x14ac:dyDescent="0.3">
      <c r="A3549" s="15" t="str">
        <f>IF(COUNTA($B3549:$E3549,$K3549)=0,"",IF(AND($B3549&lt;&gt;"",$C3549&lt;&gt;"",$D3549&lt;&gt;"",$E3549&lt;&gt;""),"TXS"&amp;TEXT(COUNTIFS($B$2:$B3549,"&lt;&gt;",$C$2:$C3549,"&lt;&gt;",$D$2:$D3549,"&lt;&gt;",$E$2:$E3549,"&lt;&gt;"),"00000"),""))</f>
        <v/>
      </c>
      <c r="N3549" s="22"/>
    </row>
    <row r="3550" spans="1:14" x14ac:dyDescent="0.3">
      <c r="A3550" s="15" t="str">
        <f>IF(COUNTA($B3550:$E3550,$K3550)=0,"",IF(AND($B3550&lt;&gt;"",$C3550&lt;&gt;"",$D3550&lt;&gt;"",$E3550&lt;&gt;""),"TXS"&amp;TEXT(COUNTIFS($B$2:$B3550,"&lt;&gt;",$C$2:$C3550,"&lt;&gt;",$D$2:$D3550,"&lt;&gt;",$E$2:$E3550,"&lt;&gt;"),"00000"),""))</f>
        <v/>
      </c>
      <c r="N3550" s="22"/>
    </row>
    <row r="3551" spans="1:14" x14ac:dyDescent="0.3">
      <c r="A3551" s="15" t="str">
        <f>IF(COUNTA($B3551:$E3551,$K3551)=0,"",IF(AND($B3551&lt;&gt;"",$C3551&lt;&gt;"",$D3551&lt;&gt;"",$E3551&lt;&gt;""),"TXS"&amp;TEXT(COUNTIFS($B$2:$B3551,"&lt;&gt;",$C$2:$C3551,"&lt;&gt;",$D$2:$D3551,"&lt;&gt;",$E$2:$E3551,"&lt;&gt;"),"00000"),""))</f>
        <v/>
      </c>
      <c r="N3551" s="22"/>
    </row>
    <row r="3552" spans="1:14" x14ac:dyDescent="0.3">
      <c r="A3552" s="15" t="str">
        <f>IF(COUNTA($B3552:$E3552,$K3552)=0,"",IF(AND($B3552&lt;&gt;"",$C3552&lt;&gt;"",$D3552&lt;&gt;"",$E3552&lt;&gt;""),"TXS"&amp;TEXT(COUNTIFS($B$2:$B3552,"&lt;&gt;",$C$2:$C3552,"&lt;&gt;",$D$2:$D3552,"&lt;&gt;",$E$2:$E3552,"&lt;&gt;"),"00000"),""))</f>
        <v/>
      </c>
      <c r="N3552" s="22"/>
    </row>
    <row r="3553" spans="1:14" x14ac:dyDescent="0.3">
      <c r="A3553" s="15" t="str">
        <f>IF(COUNTA($B3553:$E3553,$K3553)=0,"",IF(AND($B3553&lt;&gt;"",$C3553&lt;&gt;"",$D3553&lt;&gt;"",$E3553&lt;&gt;""),"TXS"&amp;TEXT(COUNTIFS($B$2:$B3553,"&lt;&gt;",$C$2:$C3553,"&lt;&gt;",$D$2:$D3553,"&lt;&gt;",$E$2:$E3553,"&lt;&gt;"),"00000"),""))</f>
        <v/>
      </c>
      <c r="N3553" s="22"/>
    </row>
    <row r="3554" spans="1:14" x14ac:dyDescent="0.3">
      <c r="A3554" s="15" t="str">
        <f>IF(COUNTA($B3554:$E3554,$K3554)=0,"",IF(AND($B3554&lt;&gt;"",$C3554&lt;&gt;"",$D3554&lt;&gt;"",$E3554&lt;&gt;""),"TXS"&amp;TEXT(COUNTIFS($B$2:$B3554,"&lt;&gt;",$C$2:$C3554,"&lt;&gt;",$D$2:$D3554,"&lt;&gt;",$E$2:$E3554,"&lt;&gt;"),"00000"),""))</f>
        <v/>
      </c>
      <c r="N3554" s="22"/>
    </row>
    <row r="3555" spans="1:14" x14ac:dyDescent="0.3">
      <c r="A3555" s="15" t="str">
        <f>IF(COUNTA($B3555:$E3555,$K3555)=0,"",IF(AND($B3555&lt;&gt;"",$C3555&lt;&gt;"",$D3555&lt;&gt;"",$E3555&lt;&gt;""),"TXS"&amp;TEXT(COUNTIFS($B$2:$B3555,"&lt;&gt;",$C$2:$C3555,"&lt;&gt;",$D$2:$D3555,"&lt;&gt;",$E$2:$E3555,"&lt;&gt;"),"00000"),""))</f>
        <v/>
      </c>
      <c r="N3555" s="22"/>
    </row>
    <row r="3556" spans="1:14" x14ac:dyDescent="0.3">
      <c r="A3556" s="15" t="str">
        <f>IF(COUNTA($B3556:$E3556,$K3556)=0,"",IF(AND($B3556&lt;&gt;"",$C3556&lt;&gt;"",$D3556&lt;&gt;"",$E3556&lt;&gt;""),"TXS"&amp;TEXT(COUNTIFS($B$2:$B3556,"&lt;&gt;",$C$2:$C3556,"&lt;&gt;",$D$2:$D3556,"&lt;&gt;",$E$2:$E3556,"&lt;&gt;"),"00000"),""))</f>
        <v/>
      </c>
      <c r="N3556" s="22"/>
    </row>
    <row r="3557" spans="1:14" x14ac:dyDescent="0.3">
      <c r="A3557" s="15" t="str">
        <f>IF(COUNTA($B3557:$E3557,$K3557)=0,"",IF(AND($B3557&lt;&gt;"",$C3557&lt;&gt;"",$D3557&lt;&gt;"",$E3557&lt;&gt;""),"TXS"&amp;TEXT(COUNTIFS($B$2:$B3557,"&lt;&gt;",$C$2:$C3557,"&lt;&gt;",$D$2:$D3557,"&lt;&gt;",$E$2:$E3557,"&lt;&gt;"),"00000"),""))</f>
        <v/>
      </c>
      <c r="N3557" s="22"/>
    </row>
    <row r="3558" spans="1:14" x14ac:dyDescent="0.3">
      <c r="A3558" s="15" t="str">
        <f>IF(COUNTA($B3558:$E3558,$K3558)=0,"",IF(AND($B3558&lt;&gt;"",$C3558&lt;&gt;"",$D3558&lt;&gt;"",$E3558&lt;&gt;""),"TXS"&amp;TEXT(COUNTIFS($B$2:$B3558,"&lt;&gt;",$C$2:$C3558,"&lt;&gt;",$D$2:$D3558,"&lt;&gt;",$E$2:$E3558,"&lt;&gt;"),"00000"),""))</f>
        <v/>
      </c>
      <c r="N3558" s="22"/>
    </row>
    <row r="3559" spans="1:14" x14ac:dyDescent="0.3">
      <c r="A3559" s="15" t="str">
        <f>IF(COUNTA($B3559:$E3559,$K3559)=0,"",IF(AND($B3559&lt;&gt;"",$C3559&lt;&gt;"",$D3559&lt;&gt;"",$E3559&lt;&gt;""),"TXS"&amp;TEXT(COUNTIFS($B$2:$B3559,"&lt;&gt;",$C$2:$C3559,"&lt;&gt;",$D$2:$D3559,"&lt;&gt;",$E$2:$E3559,"&lt;&gt;"),"00000"),""))</f>
        <v/>
      </c>
      <c r="N3559" s="22"/>
    </row>
    <row r="3560" spans="1:14" x14ac:dyDescent="0.3">
      <c r="A3560" s="15" t="str">
        <f>IF(COUNTA($B3560:$E3560,$K3560)=0,"",IF(AND($B3560&lt;&gt;"",$C3560&lt;&gt;"",$D3560&lt;&gt;"",$E3560&lt;&gt;""),"TXS"&amp;TEXT(COUNTIFS($B$2:$B3560,"&lt;&gt;",$C$2:$C3560,"&lt;&gt;",$D$2:$D3560,"&lt;&gt;",$E$2:$E3560,"&lt;&gt;"),"00000"),""))</f>
        <v/>
      </c>
      <c r="N3560" s="22"/>
    </row>
    <row r="3561" spans="1:14" x14ac:dyDescent="0.3">
      <c r="A3561" s="15" t="str">
        <f>IF(COUNTA($B3561:$E3561,$K3561)=0,"",IF(AND($B3561&lt;&gt;"",$C3561&lt;&gt;"",$D3561&lt;&gt;"",$E3561&lt;&gt;""),"TXS"&amp;TEXT(COUNTIFS($B$2:$B3561,"&lt;&gt;",$C$2:$C3561,"&lt;&gt;",$D$2:$D3561,"&lt;&gt;",$E$2:$E3561,"&lt;&gt;"),"00000"),""))</f>
        <v/>
      </c>
      <c r="N3561" s="22"/>
    </row>
    <row r="3562" spans="1:14" x14ac:dyDescent="0.3">
      <c r="A3562" s="15" t="str">
        <f>IF(COUNTA($B3562:$E3562,$K3562)=0,"",IF(AND($B3562&lt;&gt;"",$C3562&lt;&gt;"",$D3562&lt;&gt;"",$E3562&lt;&gt;""),"TXS"&amp;TEXT(COUNTIFS($B$2:$B3562,"&lt;&gt;",$C$2:$C3562,"&lt;&gt;",$D$2:$D3562,"&lt;&gt;",$E$2:$E3562,"&lt;&gt;"),"00000"),""))</f>
        <v/>
      </c>
      <c r="N3562" s="22"/>
    </row>
    <row r="3563" spans="1:14" x14ac:dyDescent="0.3">
      <c r="A3563" s="15" t="str">
        <f>IF(COUNTA($B3563:$E3563,$K3563)=0,"",IF(AND($B3563&lt;&gt;"",$C3563&lt;&gt;"",$D3563&lt;&gt;"",$E3563&lt;&gt;""),"TXS"&amp;TEXT(COUNTIFS($B$2:$B3563,"&lt;&gt;",$C$2:$C3563,"&lt;&gt;",$D$2:$D3563,"&lt;&gt;",$E$2:$E3563,"&lt;&gt;"),"00000"),""))</f>
        <v/>
      </c>
      <c r="N3563" s="22"/>
    </row>
    <row r="3564" spans="1:14" x14ac:dyDescent="0.3">
      <c r="A3564" s="15" t="str">
        <f>IF(COUNTA($B3564:$E3564,$K3564)=0,"",IF(AND($B3564&lt;&gt;"",$C3564&lt;&gt;"",$D3564&lt;&gt;"",$E3564&lt;&gt;""),"TXS"&amp;TEXT(COUNTIFS($B$2:$B3564,"&lt;&gt;",$C$2:$C3564,"&lt;&gt;",$D$2:$D3564,"&lt;&gt;",$E$2:$E3564,"&lt;&gt;"),"00000"),""))</f>
        <v/>
      </c>
      <c r="N3564" s="22"/>
    </row>
    <row r="3565" spans="1:14" x14ac:dyDescent="0.3">
      <c r="A3565" s="15" t="str">
        <f>IF(COUNTA($B3565:$E3565,$K3565)=0,"",IF(AND($B3565&lt;&gt;"",$C3565&lt;&gt;"",$D3565&lt;&gt;"",$E3565&lt;&gt;""),"TXS"&amp;TEXT(COUNTIFS($B$2:$B3565,"&lt;&gt;",$C$2:$C3565,"&lt;&gt;",$D$2:$D3565,"&lt;&gt;",$E$2:$E3565,"&lt;&gt;"),"00000"),""))</f>
        <v/>
      </c>
      <c r="N3565" s="22"/>
    </row>
    <row r="3566" spans="1:14" x14ac:dyDescent="0.3">
      <c r="A3566" s="15" t="str">
        <f>IF(COUNTA($B3566:$E3566,$K3566)=0,"",IF(AND($B3566&lt;&gt;"",$C3566&lt;&gt;"",$D3566&lt;&gt;"",$E3566&lt;&gt;""),"TXS"&amp;TEXT(COUNTIFS($B$2:$B3566,"&lt;&gt;",$C$2:$C3566,"&lt;&gt;",$D$2:$D3566,"&lt;&gt;",$E$2:$E3566,"&lt;&gt;"),"00000"),""))</f>
        <v/>
      </c>
      <c r="N3566" s="22"/>
    </row>
    <row r="3567" spans="1:14" x14ac:dyDescent="0.3">
      <c r="A3567" s="15" t="str">
        <f>IF(COUNTA($B3567:$E3567,$K3567)=0,"",IF(AND($B3567&lt;&gt;"",$C3567&lt;&gt;"",$D3567&lt;&gt;"",$E3567&lt;&gt;""),"TXS"&amp;TEXT(COUNTIFS($B$2:$B3567,"&lt;&gt;",$C$2:$C3567,"&lt;&gt;",$D$2:$D3567,"&lt;&gt;",$E$2:$E3567,"&lt;&gt;"),"00000"),""))</f>
        <v/>
      </c>
      <c r="N3567" s="22"/>
    </row>
    <row r="3568" spans="1:14" x14ac:dyDescent="0.3">
      <c r="A3568" s="15" t="str">
        <f>IF(COUNTA($B3568:$E3568,$K3568)=0,"",IF(AND($B3568&lt;&gt;"",$C3568&lt;&gt;"",$D3568&lt;&gt;"",$E3568&lt;&gt;""),"TXS"&amp;TEXT(COUNTIFS($B$2:$B3568,"&lt;&gt;",$C$2:$C3568,"&lt;&gt;",$D$2:$D3568,"&lt;&gt;",$E$2:$E3568,"&lt;&gt;"),"00000"),""))</f>
        <v/>
      </c>
      <c r="N3568" s="22"/>
    </row>
    <row r="3569" spans="1:14" x14ac:dyDescent="0.3">
      <c r="A3569" s="15" t="str">
        <f>IF(COUNTA($B3569:$E3569,$K3569)=0,"",IF(AND($B3569&lt;&gt;"",$C3569&lt;&gt;"",$D3569&lt;&gt;"",$E3569&lt;&gt;""),"TXS"&amp;TEXT(COUNTIFS($B$2:$B3569,"&lt;&gt;",$C$2:$C3569,"&lt;&gt;",$D$2:$D3569,"&lt;&gt;",$E$2:$E3569,"&lt;&gt;"),"00000"),""))</f>
        <v/>
      </c>
      <c r="N3569" s="22"/>
    </row>
    <row r="3570" spans="1:14" x14ac:dyDescent="0.3">
      <c r="A3570" s="15" t="str">
        <f>IF(COUNTA($B3570:$E3570,$K3570)=0,"",IF(AND($B3570&lt;&gt;"",$C3570&lt;&gt;"",$D3570&lt;&gt;"",$E3570&lt;&gt;""),"TXS"&amp;TEXT(COUNTIFS($B$2:$B3570,"&lt;&gt;",$C$2:$C3570,"&lt;&gt;",$D$2:$D3570,"&lt;&gt;",$E$2:$E3570,"&lt;&gt;"),"00000"),""))</f>
        <v/>
      </c>
      <c r="N3570" s="22"/>
    </row>
    <row r="3571" spans="1:14" x14ac:dyDescent="0.3">
      <c r="A3571" s="15" t="str">
        <f>IF(COUNTA($B3571:$E3571,$K3571)=0,"",IF(AND($B3571&lt;&gt;"",$C3571&lt;&gt;"",$D3571&lt;&gt;"",$E3571&lt;&gt;""),"TXS"&amp;TEXT(COUNTIFS($B$2:$B3571,"&lt;&gt;",$C$2:$C3571,"&lt;&gt;",$D$2:$D3571,"&lt;&gt;",$E$2:$E3571,"&lt;&gt;"),"00000"),""))</f>
        <v/>
      </c>
      <c r="N3571" s="22"/>
    </row>
    <row r="3572" spans="1:14" x14ac:dyDescent="0.3">
      <c r="A3572" s="15" t="str">
        <f>IF(COUNTA($B3572:$E3572,$K3572)=0,"",IF(AND($B3572&lt;&gt;"",$C3572&lt;&gt;"",$D3572&lt;&gt;"",$E3572&lt;&gt;""),"TXS"&amp;TEXT(COUNTIFS($B$2:$B3572,"&lt;&gt;",$C$2:$C3572,"&lt;&gt;",$D$2:$D3572,"&lt;&gt;",$E$2:$E3572,"&lt;&gt;"),"00000"),""))</f>
        <v/>
      </c>
      <c r="N3572" s="22"/>
    </row>
    <row r="3573" spans="1:14" x14ac:dyDescent="0.3">
      <c r="A3573" s="15" t="str">
        <f>IF(COUNTA($B3573:$E3573,$K3573)=0,"",IF(AND($B3573&lt;&gt;"",$C3573&lt;&gt;"",$D3573&lt;&gt;"",$E3573&lt;&gt;""),"TXS"&amp;TEXT(COUNTIFS($B$2:$B3573,"&lt;&gt;",$C$2:$C3573,"&lt;&gt;",$D$2:$D3573,"&lt;&gt;",$E$2:$E3573,"&lt;&gt;"),"00000"),""))</f>
        <v/>
      </c>
      <c r="N3573" s="22"/>
    </row>
    <row r="3574" spans="1:14" x14ac:dyDescent="0.3">
      <c r="A3574" s="15" t="str">
        <f>IF(COUNTA($B3574:$E3574,$K3574)=0,"",IF(AND($B3574&lt;&gt;"",$C3574&lt;&gt;"",$D3574&lt;&gt;"",$E3574&lt;&gt;""),"TXS"&amp;TEXT(COUNTIFS($B$2:$B3574,"&lt;&gt;",$C$2:$C3574,"&lt;&gt;",$D$2:$D3574,"&lt;&gt;",$E$2:$E3574,"&lt;&gt;"),"00000"),""))</f>
        <v/>
      </c>
      <c r="N3574" s="22"/>
    </row>
    <row r="3575" spans="1:14" x14ac:dyDescent="0.3">
      <c r="A3575" s="15" t="str">
        <f>IF(COUNTA($B3575:$E3575,$K3575)=0,"",IF(AND($B3575&lt;&gt;"",$C3575&lt;&gt;"",$D3575&lt;&gt;"",$E3575&lt;&gt;""),"TXS"&amp;TEXT(COUNTIFS($B$2:$B3575,"&lt;&gt;",$C$2:$C3575,"&lt;&gt;",$D$2:$D3575,"&lt;&gt;",$E$2:$E3575,"&lt;&gt;"),"00000"),""))</f>
        <v/>
      </c>
      <c r="N3575" s="22"/>
    </row>
    <row r="3576" spans="1:14" x14ac:dyDescent="0.3">
      <c r="A3576" s="15" t="str">
        <f>IF(COUNTA($B3576:$E3576,$K3576)=0,"",IF(AND($B3576&lt;&gt;"",$C3576&lt;&gt;"",$D3576&lt;&gt;"",$E3576&lt;&gt;""),"TXS"&amp;TEXT(COUNTIFS($B$2:$B3576,"&lt;&gt;",$C$2:$C3576,"&lt;&gt;",$D$2:$D3576,"&lt;&gt;",$E$2:$E3576,"&lt;&gt;"),"00000"),""))</f>
        <v/>
      </c>
      <c r="N3576" s="22"/>
    </row>
    <row r="3577" spans="1:14" x14ac:dyDescent="0.3">
      <c r="A3577" s="15" t="str">
        <f>IF(COUNTA($B3577:$E3577,$K3577)=0,"",IF(AND($B3577&lt;&gt;"",$C3577&lt;&gt;"",$D3577&lt;&gt;"",$E3577&lt;&gt;""),"TXS"&amp;TEXT(COUNTIFS($B$2:$B3577,"&lt;&gt;",$C$2:$C3577,"&lt;&gt;",$D$2:$D3577,"&lt;&gt;",$E$2:$E3577,"&lt;&gt;"),"00000"),""))</f>
        <v/>
      </c>
      <c r="N3577" s="22"/>
    </row>
    <row r="3578" spans="1:14" x14ac:dyDescent="0.3">
      <c r="A3578" s="15" t="str">
        <f>IF(COUNTA($B3578:$E3578,$K3578)=0,"",IF(AND($B3578&lt;&gt;"",$C3578&lt;&gt;"",$D3578&lt;&gt;"",$E3578&lt;&gt;""),"TXS"&amp;TEXT(COUNTIFS($B$2:$B3578,"&lt;&gt;",$C$2:$C3578,"&lt;&gt;",$D$2:$D3578,"&lt;&gt;",$E$2:$E3578,"&lt;&gt;"),"00000"),""))</f>
        <v/>
      </c>
      <c r="N3578" s="22"/>
    </row>
    <row r="3579" spans="1:14" x14ac:dyDescent="0.3">
      <c r="A3579" s="15" t="str">
        <f>IF(COUNTA($B3579:$E3579,$K3579)=0,"",IF(AND($B3579&lt;&gt;"",$C3579&lt;&gt;"",$D3579&lt;&gt;"",$E3579&lt;&gt;""),"TXS"&amp;TEXT(COUNTIFS($B$2:$B3579,"&lt;&gt;",$C$2:$C3579,"&lt;&gt;",$D$2:$D3579,"&lt;&gt;",$E$2:$E3579,"&lt;&gt;"),"00000"),""))</f>
        <v/>
      </c>
      <c r="N3579" s="22"/>
    </row>
    <row r="3580" spans="1:14" x14ac:dyDescent="0.3">
      <c r="A3580" s="15" t="str">
        <f>IF(COUNTA($B3580:$E3580,$K3580)=0,"",IF(AND($B3580&lt;&gt;"",$C3580&lt;&gt;"",$D3580&lt;&gt;"",$E3580&lt;&gt;""),"TXS"&amp;TEXT(COUNTIFS($B$2:$B3580,"&lt;&gt;",$C$2:$C3580,"&lt;&gt;",$D$2:$D3580,"&lt;&gt;",$E$2:$E3580,"&lt;&gt;"),"00000"),""))</f>
        <v/>
      </c>
      <c r="N3580" s="22"/>
    </row>
    <row r="3581" spans="1:14" x14ac:dyDescent="0.3">
      <c r="A3581" s="15" t="str">
        <f>IF(COUNTA($B3581:$E3581,$K3581)=0,"",IF(AND($B3581&lt;&gt;"",$C3581&lt;&gt;"",$D3581&lt;&gt;"",$E3581&lt;&gt;""),"TXS"&amp;TEXT(COUNTIFS($B$2:$B3581,"&lt;&gt;",$C$2:$C3581,"&lt;&gt;",$D$2:$D3581,"&lt;&gt;",$E$2:$E3581,"&lt;&gt;"),"00000"),""))</f>
        <v/>
      </c>
      <c r="N3581" s="22"/>
    </row>
    <row r="3582" spans="1:14" x14ac:dyDescent="0.3">
      <c r="A3582" s="15" t="str">
        <f>IF(COUNTA($B3582:$E3582,$K3582)=0,"",IF(AND($B3582&lt;&gt;"",$C3582&lt;&gt;"",$D3582&lt;&gt;"",$E3582&lt;&gt;""),"TXS"&amp;TEXT(COUNTIFS($B$2:$B3582,"&lt;&gt;",$C$2:$C3582,"&lt;&gt;",$D$2:$D3582,"&lt;&gt;",$E$2:$E3582,"&lt;&gt;"),"00000"),""))</f>
        <v/>
      </c>
      <c r="N3582" s="22"/>
    </row>
    <row r="3583" spans="1:14" x14ac:dyDescent="0.3">
      <c r="A3583" s="15" t="str">
        <f>IF(COUNTA($B3583:$E3583,$K3583)=0,"",IF(AND($B3583&lt;&gt;"",$C3583&lt;&gt;"",$D3583&lt;&gt;"",$E3583&lt;&gt;""),"TXS"&amp;TEXT(COUNTIFS($B$2:$B3583,"&lt;&gt;",$C$2:$C3583,"&lt;&gt;",$D$2:$D3583,"&lt;&gt;",$E$2:$E3583,"&lt;&gt;"),"00000"),""))</f>
        <v/>
      </c>
      <c r="N3583" s="22"/>
    </row>
    <row r="3584" spans="1:14" x14ac:dyDescent="0.3">
      <c r="A3584" s="15" t="str">
        <f>IF(COUNTA($B3584:$E3584,$K3584)=0,"",IF(AND($B3584&lt;&gt;"",$C3584&lt;&gt;"",$D3584&lt;&gt;"",$E3584&lt;&gt;""),"TXS"&amp;TEXT(COUNTIFS($B$2:$B3584,"&lt;&gt;",$C$2:$C3584,"&lt;&gt;",$D$2:$D3584,"&lt;&gt;",$E$2:$E3584,"&lt;&gt;"),"00000"),""))</f>
        <v/>
      </c>
      <c r="N3584" s="22"/>
    </row>
    <row r="3585" spans="1:14" x14ac:dyDescent="0.3">
      <c r="A3585" s="15" t="str">
        <f>IF(COUNTA($B3585:$E3585,$K3585)=0,"",IF(AND($B3585&lt;&gt;"",$C3585&lt;&gt;"",$D3585&lt;&gt;"",$E3585&lt;&gt;""),"TXS"&amp;TEXT(COUNTIFS($B$2:$B3585,"&lt;&gt;",$C$2:$C3585,"&lt;&gt;",$D$2:$D3585,"&lt;&gt;",$E$2:$E3585,"&lt;&gt;"),"00000"),""))</f>
        <v/>
      </c>
      <c r="N3585" s="22"/>
    </row>
    <row r="3586" spans="1:14" x14ac:dyDescent="0.3">
      <c r="A3586" s="15" t="str">
        <f>IF(COUNTA($B3586:$E3586,$K3586)=0,"",IF(AND($B3586&lt;&gt;"",$C3586&lt;&gt;"",$D3586&lt;&gt;"",$E3586&lt;&gt;""),"TXS"&amp;TEXT(COUNTIFS($B$2:$B3586,"&lt;&gt;",$C$2:$C3586,"&lt;&gt;",$D$2:$D3586,"&lt;&gt;",$E$2:$E3586,"&lt;&gt;"),"00000"),""))</f>
        <v/>
      </c>
      <c r="N3586" s="22"/>
    </row>
    <row r="3587" spans="1:14" x14ac:dyDescent="0.3">
      <c r="A3587" s="15" t="str">
        <f>IF(COUNTA($B3587:$E3587,$K3587)=0,"",IF(AND($B3587&lt;&gt;"",$C3587&lt;&gt;"",$D3587&lt;&gt;"",$E3587&lt;&gt;""),"TXS"&amp;TEXT(COUNTIFS($B$2:$B3587,"&lt;&gt;",$C$2:$C3587,"&lt;&gt;",$D$2:$D3587,"&lt;&gt;",$E$2:$E3587,"&lt;&gt;"),"00000"),""))</f>
        <v/>
      </c>
      <c r="N3587" s="22"/>
    </row>
    <row r="3588" spans="1:14" x14ac:dyDescent="0.3">
      <c r="A3588" s="15" t="str">
        <f>IF(COUNTA($B3588:$E3588,$K3588)=0,"",IF(AND($B3588&lt;&gt;"",$C3588&lt;&gt;"",$D3588&lt;&gt;"",$E3588&lt;&gt;""),"TXS"&amp;TEXT(COUNTIFS($B$2:$B3588,"&lt;&gt;",$C$2:$C3588,"&lt;&gt;",$D$2:$D3588,"&lt;&gt;",$E$2:$E3588,"&lt;&gt;"),"00000"),""))</f>
        <v/>
      </c>
      <c r="N3588" s="22"/>
    </row>
    <row r="3589" spans="1:14" x14ac:dyDescent="0.3">
      <c r="A3589" s="15" t="str">
        <f>IF(COUNTA($B3589:$E3589,$K3589)=0,"",IF(AND($B3589&lt;&gt;"",$C3589&lt;&gt;"",$D3589&lt;&gt;"",$E3589&lt;&gt;""),"TXS"&amp;TEXT(COUNTIFS($B$2:$B3589,"&lt;&gt;",$C$2:$C3589,"&lt;&gt;",$D$2:$D3589,"&lt;&gt;",$E$2:$E3589,"&lt;&gt;"),"00000"),""))</f>
        <v/>
      </c>
      <c r="N3589" s="22"/>
    </row>
    <row r="3590" spans="1:14" x14ac:dyDescent="0.3">
      <c r="A3590" s="15" t="str">
        <f>IF(COUNTA($B3590:$E3590,$K3590)=0,"",IF(AND($B3590&lt;&gt;"",$C3590&lt;&gt;"",$D3590&lt;&gt;"",$E3590&lt;&gt;""),"TXS"&amp;TEXT(COUNTIFS($B$2:$B3590,"&lt;&gt;",$C$2:$C3590,"&lt;&gt;",$D$2:$D3590,"&lt;&gt;",$E$2:$E3590,"&lt;&gt;"),"00000"),""))</f>
        <v/>
      </c>
      <c r="N3590" s="22"/>
    </row>
    <row r="3591" spans="1:14" x14ac:dyDescent="0.3">
      <c r="A3591" s="15" t="str">
        <f>IF(COUNTA($B3591:$E3591,$K3591)=0,"",IF(AND($B3591&lt;&gt;"",$C3591&lt;&gt;"",$D3591&lt;&gt;"",$E3591&lt;&gt;""),"TXS"&amp;TEXT(COUNTIFS($B$2:$B3591,"&lt;&gt;",$C$2:$C3591,"&lt;&gt;",$D$2:$D3591,"&lt;&gt;",$E$2:$E3591,"&lt;&gt;"),"00000"),""))</f>
        <v/>
      </c>
      <c r="N3591" s="22"/>
    </row>
    <row r="3592" spans="1:14" x14ac:dyDescent="0.3">
      <c r="A3592" s="15" t="str">
        <f>IF(COUNTA($B3592:$E3592,$K3592)=0,"",IF(AND($B3592&lt;&gt;"",$C3592&lt;&gt;"",$D3592&lt;&gt;"",$E3592&lt;&gt;""),"TXS"&amp;TEXT(COUNTIFS($B$2:$B3592,"&lt;&gt;",$C$2:$C3592,"&lt;&gt;",$D$2:$D3592,"&lt;&gt;",$E$2:$E3592,"&lt;&gt;"),"00000"),""))</f>
        <v/>
      </c>
      <c r="N3592" s="22"/>
    </row>
    <row r="3593" spans="1:14" x14ac:dyDescent="0.3">
      <c r="A3593" s="15" t="str">
        <f>IF(COUNTA($B3593:$E3593,$K3593)=0,"",IF(AND($B3593&lt;&gt;"",$C3593&lt;&gt;"",$D3593&lt;&gt;"",$E3593&lt;&gt;""),"TXS"&amp;TEXT(COUNTIFS($B$2:$B3593,"&lt;&gt;",$C$2:$C3593,"&lt;&gt;",$D$2:$D3593,"&lt;&gt;",$E$2:$E3593,"&lt;&gt;"),"00000"),""))</f>
        <v/>
      </c>
      <c r="N3593" s="22"/>
    </row>
    <row r="3594" spans="1:14" x14ac:dyDescent="0.3">
      <c r="A3594" s="15" t="str">
        <f>IF(COUNTA($B3594:$E3594,$K3594)=0,"",IF(AND($B3594&lt;&gt;"",$C3594&lt;&gt;"",$D3594&lt;&gt;"",$E3594&lt;&gt;""),"TXS"&amp;TEXT(COUNTIFS($B$2:$B3594,"&lt;&gt;",$C$2:$C3594,"&lt;&gt;",$D$2:$D3594,"&lt;&gt;",$E$2:$E3594,"&lt;&gt;"),"00000"),""))</f>
        <v/>
      </c>
      <c r="N3594" s="22"/>
    </row>
    <row r="3595" spans="1:14" x14ac:dyDescent="0.3">
      <c r="A3595" s="15" t="str">
        <f>IF(COUNTA($B3595:$E3595,$K3595)=0,"",IF(AND($B3595&lt;&gt;"",$C3595&lt;&gt;"",$D3595&lt;&gt;"",$E3595&lt;&gt;""),"TXS"&amp;TEXT(COUNTIFS($B$2:$B3595,"&lt;&gt;",$C$2:$C3595,"&lt;&gt;",$D$2:$D3595,"&lt;&gt;",$E$2:$E3595,"&lt;&gt;"),"00000"),""))</f>
        <v/>
      </c>
      <c r="N3595" s="22"/>
    </row>
    <row r="3596" spans="1:14" x14ac:dyDescent="0.3">
      <c r="A3596" s="15" t="str">
        <f>IF(COUNTA($B3596:$E3596,$K3596)=0,"",IF(AND($B3596&lt;&gt;"",$C3596&lt;&gt;"",$D3596&lt;&gt;"",$E3596&lt;&gt;""),"TXS"&amp;TEXT(COUNTIFS($B$2:$B3596,"&lt;&gt;",$C$2:$C3596,"&lt;&gt;",$D$2:$D3596,"&lt;&gt;",$E$2:$E3596,"&lt;&gt;"),"00000"),""))</f>
        <v/>
      </c>
      <c r="N3596" s="22"/>
    </row>
    <row r="3597" spans="1:14" x14ac:dyDescent="0.3">
      <c r="A3597" s="15" t="str">
        <f>IF(COUNTA($B3597:$E3597,$K3597)=0,"",IF(AND($B3597&lt;&gt;"",$C3597&lt;&gt;"",$D3597&lt;&gt;"",$E3597&lt;&gt;""),"TXS"&amp;TEXT(COUNTIFS($B$2:$B3597,"&lt;&gt;",$C$2:$C3597,"&lt;&gt;",$D$2:$D3597,"&lt;&gt;",$E$2:$E3597,"&lt;&gt;"),"00000"),""))</f>
        <v/>
      </c>
      <c r="N3597" s="22"/>
    </row>
    <row r="3598" spans="1:14" x14ac:dyDescent="0.3">
      <c r="A3598" s="15" t="str">
        <f>IF(COUNTA($B3598:$E3598,$K3598)=0,"",IF(AND($B3598&lt;&gt;"",$C3598&lt;&gt;"",$D3598&lt;&gt;"",$E3598&lt;&gt;""),"TXS"&amp;TEXT(COUNTIFS($B$2:$B3598,"&lt;&gt;",$C$2:$C3598,"&lt;&gt;",$D$2:$D3598,"&lt;&gt;",$E$2:$E3598,"&lt;&gt;"),"00000"),""))</f>
        <v/>
      </c>
      <c r="N3598" s="22"/>
    </row>
    <row r="3599" spans="1:14" x14ac:dyDescent="0.3">
      <c r="A3599" s="15" t="str">
        <f>IF(COUNTA($B3599:$E3599,$K3599)=0,"",IF(AND($B3599&lt;&gt;"",$C3599&lt;&gt;"",$D3599&lt;&gt;"",$E3599&lt;&gt;""),"TXS"&amp;TEXT(COUNTIFS($B$2:$B3599,"&lt;&gt;",$C$2:$C3599,"&lt;&gt;",$D$2:$D3599,"&lt;&gt;",$E$2:$E3599,"&lt;&gt;"),"00000"),""))</f>
        <v/>
      </c>
      <c r="N3599" s="22"/>
    </row>
    <row r="3600" spans="1:14" x14ac:dyDescent="0.3">
      <c r="A3600" s="15" t="str">
        <f>IF(COUNTA($B3600:$E3600,$K3600)=0,"",IF(AND($B3600&lt;&gt;"",$C3600&lt;&gt;"",$D3600&lt;&gt;"",$E3600&lt;&gt;""),"TXS"&amp;TEXT(COUNTIFS($B$2:$B3600,"&lt;&gt;",$C$2:$C3600,"&lt;&gt;",$D$2:$D3600,"&lt;&gt;",$E$2:$E3600,"&lt;&gt;"),"00000"),""))</f>
        <v/>
      </c>
      <c r="N3600" s="22"/>
    </row>
    <row r="3601" spans="1:14" x14ac:dyDescent="0.3">
      <c r="A3601" s="15" t="str">
        <f>IF(COUNTA($B3601:$E3601,$K3601)=0,"",IF(AND($B3601&lt;&gt;"",$C3601&lt;&gt;"",$D3601&lt;&gt;"",$E3601&lt;&gt;""),"TXS"&amp;TEXT(COUNTIFS($B$2:$B3601,"&lt;&gt;",$C$2:$C3601,"&lt;&gt;",$D$2:$D3601,"&lt;&gt;",$E$2:$E3601,"&lt;&gt;"),"00000"),""))</f>
        <v/>
      </c>
      <c r="N3601" s="22"/>
    </row>
    <row r="3602" spans="1:14" x14ac:dyDescent="0.3">
      <c r="A3602" s="15" t="str">
        <f>IF(COUNTA($B3602:$E3602,$K3602)=0,"",IF(AND($B3602&lt;&gt;"",$C3602&lt;&gt;"",$D3602&lt;&gt;"",$E3602&lt;&gt;""),"TXS"&amp;TEXT(COUNTIFS($B$2:$B3602,"&lt;&gt;",$C$2:$C3602,"&lt;&gt;",$D$2:$D3602,"&lt;&gt;",$E$2:$E3602,"&lt;&gt;"),"00000"),""))</f>
        <v/>
      </c>
      <c r="N3602" s="22"/>
    </row>
    <row r="3603" spans="1:14" x14ac:dyDescent="0.3">
      <c r="A3603" s="15" t="str">
        <f>IF(COUNTA($B3603:$E3603,$K3603)=0,"",IF(AND($B3603&lt;&gt;"",$C3603&lt;&gt;"",$D3603&lt;&gt;"",$E3603&lt;&gt;""),"TXS"&amp;TEXT(COUNTIFS($B$2:$B3603,"&lt;&gt;",$C$2:$C3603,"&lt;&gt;",$D$2:$D3603,"&lt;&gt;",$E$2:$E3603,"&lt;&gt;"),"00000"),""))</f>
        <v/>
      </c>
      <c r="N3603" s="22"/>
    </row>
    <row r="3604" spans="1:14" x14ac:dyDescent="0.3">
      <c r="A3604" s="15" t="str">
        <f>IF(COUNTA($B3604:$E3604,$K3604)=0,"",IF(AND($B3604&lt;&gt;"",$C3604&lt;&gt;"",$D3604&lt;&gt;"",$E3604&lt;&gt;""),"TXS"&amp;TEXT(COUNTIFS($B$2:$B3604,"&lt;&gt;",$C$2:$C3604,"&lt;&gt;",$D$2:$D3604,"&lt;&gt;",$E$2:$E3604,"&lt;&gt;"),"00000"),""))</f>
        <v/>
      </c>
      <c r="N3604" s="22"/>
    </row>
    <row r="3605" spans="1:14" x14ac:dyDescent="0.3">
      <c r="A3605" s="15" t="str">
        <f>IF(COUNTA($B3605:$E3605,$K3605)=0,"",IF(AND($B3605&lt;&gt;"",$C3605&lt;&gt;"",$D3605&lt;&gt;"",$E3605&lt;&gt;""),"TXS"&amp;TEXT(COUNTIFS($B$2:$B3605,"&lt;&gt;",$C$2:$C3605,"&lt;&gt;",$D$2:$D3605,"&lt;&gt;",$E$2:$E3605,"&lt;&gt;"),"00000"),""))</f>
        <v/>
      </c>
      <c r="N3605" s="22"/>
    </row>
    <row r="3606" spans="1:14" x14ac:dyDescent="0.3">
      <c r="A3606" s="15" t="str">
        <f>IF(COUNTA($B3606:$E3606,$K3606)=0,"",IF(AND($B3606&lt;&gt;"",$C3606&lt;&gt;"",$D3606&lt;&gt;"",$E3606&lt;&gt;""),"TXS"&amp;TEXT(COUNTIFS($B$2:$B3606,"&lt;&gt;",$C$2:$C3606,"&lt;&gt;",$D$2:$D3606,"&lt;&gt;",$E$2:$E3606,"&lt;&gt;"),"00000"),""))</f>
        <v/>
      </c>
      <c r="N3606" s="22"/>
    </row>
    <row r="3607" spans="1:14" x14ac:dyDescent="0.3">
      <c r="A3607" s="15" t="str">
        <f>IF(COUNTA($B3607:$E3607,$K3607)=0,"",IF(AND($B3607&lt;&gt;"",$C3607&lt;&gt;"",$D3607&lt;&gt;"",$E3607&lt;&gt;""),"TXS"&amp;TEXT(COUNTIFS($B$2:$B3607,"&lt;&gt;",$C$2:$C3607,"&lt;&gt;",$D$2:$D3607,"&lt;&gt;",$E$2:$E3607,"&lt;&gt;"),"00000"),""))</f>
        <v/>
      </c>
      <c r="N3607" s="22"/>
    </row>
    <row r="3608" spans="1:14" x14ac:dyDescent="0.3">
      <c r="A3608" s="15" t="str">
        <f>IF(COUNTA($B3608:$E3608,$K3608)=0,"",IF(AND($B3608&lt;&gt;"",$C3608&lt;&gt;"",$D3608&lt;&gt;"",$E3608&lt;&gt;""),"TXS"&amp;TEXT(COUNTIFS($B$2:$B3608,"&lt;&gt;",$C$2:$C3608,"&lt;&gt;",$D$2:$D3608,"&lt;&gt;",$E$2:$E3608,"&lt;&gt;"),"00000"),""))</f>
        <v/>
      </c>
      <c r="N3608" s="22"/>
    </row>
    <row r="3609" spans="1:14" x14ac:dyDescent="0.3">
      <c r="A3609" s="15" t="str">
        <f>IF(COUNTA($B3609:$E3609,$K3609)=0,"",IF(AND($B3609&lt;&gt;"",$C3609&lt;&gt;"",$D3609&lt;&gt;"",$E3609&lt;&gt;""),"TXS"&amp;TEXT(COUNTIFS($B$2:$B3609,"&lt;&gt;",$C$2:$C3609,"&lt;&gt;",$D$2:$D3609,"&lt;&gt;",$E$2:$E3609,"&lt;&gt;"),"00000"),""))</f>
        <v/>
      </c>
      <c r="N3609" s="22"/>
    </row>
    <row r="3610" spans="1:14" x14ac:dyDescent="0.3">
      <c r="A3610" s="15" t="str">
        <f>IF(COUNTA($B3610:$E3610,$K3610)=0,"",IF(AND($B3610&lt;&gt;"",$C3610&lt;&gt;"",$D3610&lt;&gt;"",$E3610&lt;&gt;""),"TXS"&amp;TEXT(COUNTIFS($B$2:$B3610,"&lt;&gt;",$C$2:$C3610,"&lt;&gt;",$D$2:$D3610,"&lt;&gt;",$E$2:$E3610,"&lt;&gt;"),"00000"),""))</f>
        <v/>
      </c>
      <c r="N3610" s="22"/>
    </row>
    <row r="3611" spans="1:14" x14ac:dyDescent="0.3">
      <c r="A3611" s="15" t="str">
        <f>IF(COUNTA($B3611:$E3611,$K3611)=0,"",IF(AND($B3611&lt;&gt;"",$C3611&lt;&gt;"",$D3611&lt;&gt;"",$E3611&lt;&gt;""),"TXS"&amp;TEXT(COUNTIFS($B$2:$B3611,"&lt;&gt;",$C$2:$C3611,"&lt;&gt;",$D$2:$D3611,"&lt;&gt;",$E$2:$E3611,"&lt;&gt;"),"00000"),""))</f>
        <v/>
      </c>
      <c r="N3611" s="22"/>
    </row>
    <row r="3612" spans="1:14" x14ac:dyDescent="0.3">
      <c r="A3612" s="15" t="str">
        <f>IF(COUNTA($B3612:$E3612,$K3612)=0,"",IF(AND($B3612&lt;&gt;"",$C3612&lt;&gt;"",$D3612&lt;&gt;"",$E3612&lt;&gt;""),"TXS"&amp;TEXT(COUNTIFS($B$2:$B3612,"&lt;&gt;",$C$2:$C3612,"&lt;&gt;",$D$2:$D3612,"&lt;&gt;",$E$2:$E3612,"&lt;&gt;"),"00000"),""))</f>
        <v/>
      </c>
      <c r="N3612" s="22"/>
    </row>
    <row r="3613" spans="1:14" x14ac:dyDescent="0.3">
      <c r="A3613" s="15" t="str">
        <f>IF(COUNTA($B3613:$E3613,$K3613)=0,"",IF(AND($B3613&lt;&gt;"",$C3613&lt;&gt;"",$D3613&lt;&gt;"",$E3613&lt;&gt;""),"TXS"&amp;TEXT(COUNTIFS($B$2:$B3613,"&lt;&gt;",$C$2:$C3613,"&lt;&gt;",$D$2:$D3613,"&lt;&gt;",$E$2:$E3613,"&lt;&gt;"),"00000"),""))</f>
        <v/>
      </c>
      <c r="N3613" s="22"/>
    </row>
    <row r="3614" spans="1:14" x14ac:dyDescent="0.3">
      <c r="A3614" s="15" t="str">
        <f>IF(COUNTA($B3614:$E3614,$K3614)=0,"",IF(AND($B3614&lt;&gt;"",$C3614&lt;&gt;"",$D3614&lt;&gt;"",$E3614&lt;&gt;""),"TXS"&amp;TEXT(COUNTIFS($B$2:$B3614,"&lt;&gt;",$C$2:$C3614,"&lt;&gt;",$D$2:$D3614,"&lt;&gt;",$E$2:$E3614,"&lt;&gt;"),"00000"),""))</f>
        <v/>
      </c>
      <c r="N3614" s="22"/>
    </row>
    <row r="3615" spans="1:14" x14ac:dyDescent="0.3">
      <c r="A3615" s="15" t="str">
        <f>IF(COUNTA($B3615:$E3615,$K3615)=0,"",IF(AND($B3615&lt;&gt;"",$C3615&lt;&gt;"",$D3615&lt;&gt;"",$E3615&lt;&gt;""),"TXS"&amp;TEXT(COUNTIFS($B$2:$B3615,"&lt;&gt;",$C$2:$C3615,"&lt;&gt;",$D$2:$D3615,"&lt;&gt;",$E$2:$E3615,"&lt;&gt;"),"00000"),""))</f>
        <v/>
      </c>
      <c r="N3615" s="22"/>
    </row>
    <row r="3616" spans="1:14" x14ac:dyDescent="0.3">
      <c r="A3616" s="15" t="str">
        <f>IF(COUNTA($B3616:$E3616,$K3616)=0,"",IF(AND($B3616&lt;&gt;"",$C3616&lt;&gt;"",$D3616&lt;&gt;"",$E3616&lt;&gt;""),"TXS"&amp;TEXT(COUNTIFS($B$2:$B3616,"&lt;&gt;",$C$2:$C3616,"&lt;&gt;",$D$2:$D3616,"&lt;&gt;",$E$2:$E3616,"&lt;&gt;"),"00000"),""))</f>
        <v/>
      </c>
      <c r="N3616" s="22"/>
    </row>
    <row r="3617" spans="1:14" x14ac:dyDescent="0.3">
      <c r="A3617" s="15" t="str">
        <f>IF(COUNTA($B3617:$E3617,$K3617)=0,"",IF(AND($B3617&lt;&gt;"",$C3617&lt;&gt;"",$D3617&lt;&gt;"",$E3617&lt;&gt;""),"TXS"&amp;TEXT(COUNTIFS($B$2:$B3617,"&lt;&gt;",$C$2:$C3617,"&lt;&gt;",$D$2:$D3617,"&lt;&gt;",$E$2:$E3617,"&lt;&gt;"),"00000"),""))</f>
        <v/>
      </c>
      <c r="N3617" s="22"/>
    </row>
    <row r="3618" spans="1:14" x14ac:dyDescent="0.3">
      <c r="A3618" s="15" t="str">
        <f>IF(COUNTA($B3618:$E3618,$K3618)=0,"",IF(AND($B3618&lt;&gt;"",$C3618&lt;&gt;"",$D3618&lt;&gt;"",$E3618&lt;&gt;""),"TXS"&amp;TEXT(COUNTIFS($B$2:$B3618,"&lt;&gt;",$C$2:$C3618,"&lt;&gt;",$D$2:$D3618,"&lt;&gt;",$E$2:$E3618,"&lt;&gt;"),"00000"),""))</f>
        <v/>
      </c>
      <c r="N3618" s="22"/>
    </row>
    <row r="3619" spans="1:14" x14ac:dyDescent="0.3">
      <c r="A3619" s="15" t="str">
        <f>IF(COUNTA($B3619:$E3619,$K3619)=0,"",IF(AND($B3619&lt;&gt;"",$C3619&lt;&gt;"",$D3619&lt;&gt;"",$E3619&lt;&gt;""),"TXS"&amp;TEXT(COUNTIFS($B$2:$B3619,"&lt;&gt;",$C$2:$C3619,"&lt;&gt;",$D$2:$D3619,"&lt;&gt;",$E$2:$E3619,"&lt;&gt;"),"00000"),""))</f>
        <v/>
      </c>
      <c r="N3619" s="22"/>
    </row>
    <row r="3620" spans="1:14" x14ac:dyDescent="0.3">
      <c r="A3620" s="15" t="str">
        <f>IF(COUNTA($B3620:$E3620,$K3620)=0,"",IF(AND($B3620&lt;&gt;"",$C3620&lt;&gt;"",$D3620&lt;&gt;"",$E3620&lt;&gt;""),"TXS"&amp;TEXT(COUNTIFS($B$2:$B3620,"&lt;&gt;",$C$2:$C3620,"&lt;&gt;",$D$2:$D3620,"&lt;&gt;",$E$2:$E3620,"&lt;&gt;"),"00000"),""))</f>
        <v/>
      </c>
      <c r="N3620" s="22"/>
    </row>
    <row r="3621" spans="1:14" x14ac:dyDescent="0.3">
      <c r="A3621" s="15" t="str">
        <f>IF(COUNTA($B3621:$E3621,$K3621)=0,"",IF(AND($B3621&lt;&gt;"",$C3621&lt;&gt;"",$D3621&lt;&gt;"",$E3621&lt;&gt;""),"TXS"&amp;TEXT(COUNTIFS($B$2:$B3621,"&lt;&gt;",$C$2:$C3621,"&lt;&gt;",$D$2:$D3621,"&lt;&gt;",$E$2:$E3621,"&lt;&gt;"),"00000"),""))</f>
        <v/>
      </c>
      <c r="N3621" s="22"/>
    </row>
    <row r="3622" spans="1:14" x14ac:dyDescent="0.3">
      <c r="A3622" s="15" t="str">
        <f>IF(COUNTA($B3622:$E3622,$K3622)=0,"",IF(AND($B3622&lt;&gt;"",$C3622&lt;&gt;"",$D3622&lt;&gt;"",$E3622&lt;&gt;""),"TXS"&amp;TEXT(COUNTIFS($B$2:$B3622,"&lt;&gt;",$C$2:$C3622,"&lt;&gt;",$D$2:$D3622,"&lt;&gt;",$E$2:$E3622,"&lt;&gt;"),"00000"),""))</f>
        <v/>
      </c>
      <c r="N3622" s="22"/>
    </row>
    <row r="3623" spans="1:14" x14ac:dyDescent="0.3">
      <c r="A3623" s="15" t="str">
        <f>IF(COUNTA($B3623:$E3623,$K3623)=0,"",IF(AND($B3623&lt;&gt;"",$C3623&lt;&gt;"",$D3623&lt;&gt;"",$E3623&lt;&gt;""),"TXS"&amp;TEXT(COUNTIFS($B$2:$B3623,"&lt;&gt;",$C$2:$C3623,"&lt;&gt;",$D$2:$D3623,"&lt;&gt;",$E$2:$E3623,"&lt;&gt;"),"00000"),""))</f>
        <v/>
      </c>
      <c r="N3623" s="22"/>
    </row>
    <row r="3624" spans="1:14" x14ac:dyDescent="0.3">
      <c r="A3624" s="15" t="str">
        <f>IF(COUNTA($B3624:$E3624,$K3624)=0,"",IF(AND($B3624&lt;&gt;"",$C3624&lt;&gt;"",$D3624&lt;&gt;"",$E3624&lt;&gt;""),"TXS"&amp;TEXT(COUNTIFS($B$2:$B3624,"&lt;&gt;",$C$2:$C3624,"&lt;&gt;",$D$2:$D3624,"&lt;&gt;",$E$2:$E3624,"&lt;&gt;"),"00000"),""))</f>
        <v/>
      </c>
      <c r="N3624" s="22"/>
    </row>
    <row r="3625" spans="1:14" x14ac:dyDescent="0.3">
      <c r="A3625" s="15" t="str">
        <f>IF(COUNTA($B3625:$E3625,$K3625)=0,"",IF(AND($B3625&lt;&gt;"",$C3625&lt;&gt;"",$D3625&lt;&gt;"",$E3625&lt;&gt;""),"TXS"&amp;TEXT(COUNTIFS($B$2:$B3625,"&lt;&gt;",$C$2:$C3625,"&lt;&gt;",$D$2:$D3625,"&lt;&gt;",$E$2:$E3625,"&lt;&gt;"),"00000"),""))</f>
        <v/>
      </c>
      <c r="N3625" s="22"/>
    </row>
    <row r="3626" spans="1:14" x14ac:dyDescent="0.3">
      <c r="A3626" s="15" t="str">
        <f>IF(COUNTA($B3626:$E3626,$K3626)=0,"",IF(AND($B3626&lt;&gt;"",$C3626&lt;&gt;"",$D3626&lt;&gt;"",$E3626&lt;&gt;""),"TXS"&amp;TEXT(COUNTIFS($B$2:$B3626,"&lt;&gt;",$C$2:$C3626,"&lt;&gt;",$D$2:$D3626,"&lt;&gt;",$E$2:$E3626,"&lt;&gt;"),"00000"),""))</f>
        <v/>
      </c>
      <c r="N3626" s="22"/>
    </row>
    <row r="3627" spans="1:14" x14ac:dyDescent="0.3">
      <c r="A3627" s="15" t="str">
        <f>IF(COUNTA($B3627:$E3627,$K3627)=0,"",IF(AND($B3627&lt;&gt;"",$C3627&lt;&gt;"",$D3627&lt;&gt;"",$E3627&lt;&gt;""),"TXS"&amp;TEXT(COUNTIFS($B$2:$B3627,"&lt;&gt;",$C$2:$C3627,"&lt;&gt;",$D$2:$D3627,"&lt;&gt;",$E$2:$E3627,"&lt;&gt;"),"00000"),""))</f>
        <v/>
      </c>
      <c r="N3627" s="22"/>
    </row>
    <row r="3628" spans="1:14" x14ac:dyDescent="0.3">
      <c r="A3628" s="15" t="str">
        <f>IF(COUNTA($B3628:$E3628,$K3628)=0,"",IF(AND($B3628&lt;&gt;"",$C3628&lt;&gt;"",$D3628&lt;&gt;"",$E3628&lt;&gt;""),"TXS"&amp;TEXT(COUNTIFS($B$2:$B3628,"&lt;&gt;",$C$2:$C3628,"&lt;&gt;",$D$2:$D3628,"&lt;&gt;",$E$2:$E3628,"&lt;&gt;"),"00000"),""))</f>
        <v/>
      </c>
      <c r="N3628" s="22"/>
    </row>
    <row r="3629" spans="1:14" x14ac:dyDescent="0.3">
      <c r="A3629" s="15" t="str">
        <f>IF(COUNTA($B3629:$E3629,$K3629)=0,"",IF(AND($B3629&lt;&gt;"",$C3629&lt;&gt;"",$D3629&lt;&gt;"",$E3629&lt;&gt;""),"TXS"&amp;TEXT(COUNTIFS($B$2:$B3629,"&lt;&gt;",$C$2:$C3629,"&lt;&gt;",$D$2:$D3629,"&lt;&gt;",$E$2:$E3629,"&lt;&gt;"),"00000"),""))</f>
        <v/>
      </c>
      <c r="N3629" s="22"/>
    </row>
    <row r="3630" spans="1:14" x14ac:dyDescent="0.3">
      <c r="A3630" s="15" t="str">
        <f>IF(COUNTA($B3630:$E3630,$K3630)=0,"",IF(AND($B3630&lt;&gt;"",$C3630&lt;&gt;"",$D3630&lt;&gt;"",$E3630&lt;&gt;""),"TXS"&amp;TEXT(COUNTIFS($B$2:$B3630,"&lt;&gt;",$C$2:$C3630,"&lt;&gt;",$D$2:$D3630,"&lt;&gt;",$E$2:$E3630,"&lt;&gt;"),"00000"),""))</f>
        <v/>
      </c>
      <c r="N3630" s="22"/>
    </row>
    <row r="3631" spans="1:14" x14ac:dyDescent="0.3">
      <c r="A3631" s="15" t="str">
        <f>IF(COUNTA($B3631:$E3631,$K3631)=0,"",IF(AND($B3631&lt;&gt;"",$C3631&lt;&gt;"",$D3631&lt;&gt;"",$E3631&lt;&gt;""),"TXS"&amp;TEXT(COUNTIFS($B$2:$B3631,"&lt;&gt;",$C$2:$C3631,"&lt;&gt;",$D$2:$D3631,"&lt;&gt;",$E$2:$E3631,"&lt;&gt;"),"00000"),""))</f>
        <v/>
      </c>
      <c r="N3631" s="22"/>
    </row>
    <row r="3632" spans="1:14" x14ac:dyDescent="0.3">
      <c r="A3632" s="15" t="str">
        <f>IF(COUNTA($B3632:$E3632,$K3632)=0,"",IF(AND($B3632&lt;&gt;"",$C3632&lt;&gt;"",$D3632&lt;&gt;"",$E3632&lt;&gt;""),"TXS"&amp;TEXT(COUNTIFS($B$2:$B3632,"&lt;&gt;",$C$2:$C3632,"&lt;&gt;",$D$2:$D3632,"&lt;&gt;",$E$2:$E3632,"&lt;&gt;"),"00000"),""))</f>
        <v/>
      </c>
      <c r="N3632" s="22"/>
    </row>
    <row r="3633" spans="1:14" x14ac:dyDescent="0.3">
      <c r="A3633" s="15" t="str">
        <f>IF(COUNTA($B3633:$E3633,$K3633)=0,"",IF(AND($B3633&lt;&gt;"",$C3633&lt;&gt;"",$D3633&lt;&gt;"",$E3633&lt;&gt;""),"TXS"&amp;TEXT(COUNTIFS($B$2:$B3633,"&lt;&gt;",$C$2:$C3633,"&lt;&gt;",$D$2:$D3633,"&lt;&gt;",$E$2:$E3633,"&lt;&gt;"),"00000"),""))</f>
        <v/>
      </c>
      <c r="N3633" s="22"/>
    </row>
    <row r="3634" spans="1:14" x14ac:dyDescent="0.3">
      <c r="A3634" s="15" t="str">
        <f>IF(COUNTA($B3634:$E3634,$K3634)=0,"",IF(AND($B3634&lt;&gt;"",$C3634&lt;&gt;"",$D3634&lt;&gt;"",$E3634&lt;&gt;""),"TXS"&amp;TEXT(COUNTIFS($B$2:$B3634,"&lt;&gt;",$C$2:$C3634,"&lt;&gt;",$D$2:$D3634,"&lt;&gt;",$E$2:$E3634,"&lt;&gt;"),"00000"),""))</f>
        <v/>
      </c>
      <c r="N3634" s="22"/>
    </row>
    <row r="3635" spans="1:14" x14ac:dyDescent="0.3">
      <c r="A3635" s="15" t="str">
        <f>IF(COUNTA($B3635:$E3635,$K3635)=0,"",IF(AND($B3635&lt;&gt;"",$C3635&lt;&gt;"",$D3635&lt;&gt;"",$E3635&lt;&gt;""),"TXS"&amp;TEXT(COUNTIFS($B$2:$B3635,"&lt;&gt;",$C$2:$C3635,"&lt;&gt;",$D$2:$D3635,"&lt;&gt;",$E$2:$E3635,"&lt;&gt;"),"00000"),""))</f>
        <v/>
      </c>
      <c r="N3635" s="22"/>
    </row>
    <row r="3636" spans="1:14" x14ac:dyDescent="0.3">
      <c r="A3636" s="15" t="str">
        <f>IF(COUNTA($B3636:$E3636,$K3636)=0,"",IF(AND($B3636&lt;&gt;"",$C3636&lt;&gt;"",$D3636&lt;&gt;"",$E3636&lt;&gt;""),"TXS"&amp;TEXT(COUNTIFS($B$2:$B3636,"&lt;&gt;",$C$2:$C3636,"&lt;&gt;",$D$2:$D3636,"&lt;&gt;",$E$2:$E3636,"&lt;&gt;"),"00000"),""))</f>
        <v/>
      </c>
      <c r="N3636" s="22"/>
    </row>
    <row r="3637" spans="1:14" x14ac:dyDescent="0.3">
      <c r="A3637" s="15" t="str">
        <f>IF(COUNTA($B3637:$E3637,$K3637)=0,"",IF(AND($B3637&lt;&gt;"",$C3637&lt;&gt;"",$D3637&lt;&gt;"",$E3637&lt;&gt;""),"TXS"&amp;TEXT(COUNTIFS($B$2:$B3637,"&lt;&gt;",$C$2:$C3637,"&lt;&gt;",$D$2:$D3637,"&lt;&gt;",$E$2:$E3637,"&lt;&gt;"),"00000"),""))</f>
        <v/>
      </c>
      <c r="N3637" s="22"/>
    </row>
    <row r="3638" spans="1:14" x14ac:dyDescent="0.3">
      <c r="A3638" s="15" t="str">
        <f>IF(COUNTA($B3638:$E3638,$K3638)=0,"",IF(AND($B3638&lt;&gt;"",$C3638&lt;&gt;"",$D3638&lt;&gt;"",$E3638&lt;&gt;""),"TXS"&amp;TEXT(COUNTIFS($B$2:$B3638,"&lt;&gt;",$C$2:$C3638,"&lt;&gt;",$D$2:$D3638,"&lt;&gt;",$E$2:$E3638,"&lt;&gt;"),"00000"),""))</f>
        <v/>
      </c>
      <c r="N3638" s="22"/>
    </row>
    <row r="3639" spans="1:14" x14ac:dyDescent="0.3">
      <c r="A3639" s="15" t="str">
        <f>IF(COUNTA($B3639:$E3639,$K3639)=0,"",IF(AND($B3639&lt;&gt;"",$C3639&lt;&gt;"",$D3639&lt;&gt;"",$E3639&lt;&gt;""),"TXS"&amp;TEXT(COUNTIFS($B$2:$B3639,"&lt;&gt;",$C$2:$C3639,"&lt;&gt;",$D$2:$D3639,"&lt;&gt;",$E$2:$E3639,"&lt;&gt;"),"00000"),""))</f>
        <v/>
      </c>
      <c r="N3639" s="22"/>
    </row>
    <row r="3640" spans="1:14" x14ac:dyDescent="0.3">
      <c r="A3640" s="15" t="str">
        <f>IF(COUNTA($B3640:$E3640,$K3640)=0,"",IF(AND($B3640&lt;&gt;"",$C3640&lt;&gt;"",$D3640&lt;&gt;"",$E3640&lt;&gt;""),"TXS"&amp;TEXT(COUNTIFS($B$2:$B3640,"&lt;&gt;",$C$2:$C3640,"&lt;&gt;",$D$2:$D3640,"&lt;&gt;",$E$2:$E3640,"&lt;&gt;"),"00000"),""))</f>
        <v/>
      </c>
      <c r="N3640" s="22"/>
    </row>
    <row r="3641" spans="1:14" x14ac:dyDescent="0.3">
      <c r="A3641" s="15" t="str">
        <f>IF(COUNTA($B3641:$E3641,$K3641)=0,"",IF(AND($B3641&lt;&gt;"",$C3641&lt;&gt;"",$D3641&lt;&gt;"",$E3641&lt;&gt;""),"TXS"&amp;TEXT(COUNTIFS($B$2:$B3641,"&lt;&gt;",$C$2:$C3641,"&lt;&gt;",$D$2:$D3641,"&lt;&gt;",$E$2:$E3641,"&lt;&gt;"),"00000"),""))</f>
        <v/>
      </c>
      <c r="N3641" s="22"/>
    </row>
    <row r="3642" spans="1:14" x14ac:dyDescent="0.3">
      <c r="A3642" s="15" t="str">
        <f>IF(COUNTA($B3642:$E3642,$K3642)=0,"",IF(AND($B3642&lt;&gt;"",$C3642&lt;&gt;"",$D3642&lt;&gt;"",$E3642&lt;&gt;""),"TXS"&amp;TEXT(COUNTIFS($B$2:$B3642,"&lt;&gt;",$C$2:$C3642,"&lt;&gt;",$D$2:$D3642,"&lt;&gt;",$E$2:$E3642,"&lt;&gt;"),"00000"),""))</f>
        <v/>
      </c>
      <c r="N3642" s="22"/>
    </row>
    <row r="3643" spans="1:14" x14ac:dyDescent="0.3">
      <c r="A3643" s="15" t="str">
        <f>IF(COUNTA($B3643:$E3643,$K3643)=0,"",IF(AND($B3643&lt;&gt;"",$C3643&lt;&gt;"",$D3643&lt;&gt;"",$E3643&lt;&gt;""),"TXS"&amp;TEXT(COUNTIFS($B$2:$B3643,"&lt;&gt;",$C$2:$C3643,"&lt;&gt;",$D$2:$D3643,"&lt;&gt;",$E$2:$E3643,"&lt;&gt;"),"00000"),""))</f>
        <v/>
      </c>
      <c r="N3643" s="22"/>
    </row>
    <row r="3644" spans="1:14" x14ac:dyDescent="0.3">
      <c r="A3644" s="15" t="str">
        <f>IF(COUNTA($B3644:$E3644,$K3644)=0,"",IF(AND($B3644&lt;&gt;"",$C3644&lt;&gt;"",$D3644&lt;&gt;"",$E3644&lt;&gt;""),"TXS"&amp;TEXT(COUNTIFS($B$2:$B3644,"&lt;&gt;",$C$2:$C3644,"&lt;&gt;",$D$2:$D3644,"&lt;&gt;",$E$2:$E3644,"&lt;&gt;"),"00000"),""))</f>
        <v/>
      </c>
      <c r="N3644" s="22"/>
    </row>
    <row r="3645" spans="1:14" x14ac:dyDescent="0.3">
      <c r="A3645" s="15" t="str">
        <f>IF(COUNTA($B3645:$E3645,$K3645)=0,"",IF(AND($B3645&lt;&gt;"",$C3645&lt;&gt;"",$D3645&lt;&gt;"",$E3645&lt;&gt;""),"TXS"&amp;TEXT(COUNTIFS($B$2:$B3645,"&lt;&gt;",$C$2:$C3645,"&lt;&gt;",$D$2:$D3645,"&lt;&gt;",$E$2:$E3645,"&lt;&gt;"),"00000"),""))</f>
        <v/>
      </c>
      <c r="N3645" s="22"/>
    </row>
    <row r="3646" spans="1:14" x14ac:dyDescent="0.3">
      <c r="A3646" s="15" t="str">
        <f>IF(COUNTA($B3646:$E3646,$K3646)=0,"",IF(AND($B3646&lt;&gt;"",$C3646&lt;&gt;"",$D3646&lt;&gt;"",$E3646&lt;&gt;""),"TXS"&amp;TEXT(COUNTIFS($B$2:$B3646,"&lt;&gt;",$C$2:$C3646,"&lt;&gt;",$D$2:$D3646,"&lt;&gt;",$E$2:$E3646,"&lt;&gt;"),"00000"),""))</f>
        <v/>
      </c>
      <c r="N3646" s="22"/>
    </row>
    <row r="3647" spans="1:14" x14ac:dyDescent="0.3">
      <c r="A3647" s="15" t="str">
        <f>IF(COUNTA($B3647:$E3647,$K3647)=0,"",IF(AND($B3647&lt;&gt;"",$C3647&lt;&gt;"",$D3647&lt;&gt;"",$E3647&lt;&gt;""),"TXS"&amp;TEXT(COUNTIFS($B$2:$B3647,"&lt;&gt;",$C$2:$C3647,"&lt;&gt;",$D$2:$D3647,"&lt;&gt;",$E$2:$E3647,"&lt;&gt;"),"00000"),""))</f>
        <v/>
      </c>
      <c r="N3647" s="22"/>
    </row>
    <row r="3648" spans="1:14" x14ac:dyDescent="0.3">
      <c r="A3648" s="15" t="str">
        <f>IF(COUNTA($B3648:$E3648,$K3648)=0,"",IF(AND($B3648&lt;&gt;"",$C3648&lt;&gt;"",$D3648&lt;&gt;"",$E3648&lt;&gt;""),"TXS"&amp;TEXT(COUNTIFS($B$2:$B3648,"&lt;&gt;",$C$2:$C3648,"&lt;&gt;",$D$2:$D3648,"&lt;&gt;",$E$2:$E3648,"&lt;&gt;"),"00000"),""))</f>
        <v/>
      </c>
      <c r="N3648" s="22"/>
    </row>
    <row r="3649" spans="1:14" x14ac:dyDescent="0.3">
      <c r="A3649" s="15" t="str">
        <f>IF(COUNTA($B3649:$E3649,$K3649)=0,"",IF(AND($B3649&lt;&gt;"",$C3649&lt;&gt;"",$D3649&lt;&gt;"",$E3649&lt;&gt;""),"TXS"&amp;TEXT(COUNTIFS($B$2:$B3649,"&lt;&gt;",$C$2:$C3649,"&lt;&gt;",$D$2:$D3649,"&lt;&gt;",$E$2:$E3649,"&lt;&gt;"),"00000"),""))</f>
        <v/>
      </c>
      <c r="N3649" s="22"/>
    </row>
    <row r="3650" spans="1:14" x14ac:dyDescent="0.3">
      <c r="A3650" s="15" t="str">
        <f>IF(COUNTA($B3650:$E3650,$K3650)=0,"",IF(AND($B3650&lt;&gt;"",$C3650&lt;&gt;"",$D3650&lt;&gt;"",$E3650&lt;&gt;""),"TXS"&amp;TEXT(COUNTIFS($B$2:$B3650,"&lt;&gt;",$C$2:$C3650,"&lt;&gt;",$D$2:$D3650,"&lt;&gt;",$E$2:$E3650,"&lt;&gt;"),"00000"),""))</f>
        <v/>
      </c>
      <c r="N3650" s="22"/>
    </row>
    <row r="3651" spans="1:14" x14ac:dyDescent="0.3">
      <c r="A3651" s="15" t="str">
        <f>IF(COUNTA($B3651:$E3651,$K3651)=0,"",IF(AND($B3651&lt;&gt;"",$C3651&lt;&gt;"",$D3651&lt;&gt;"",$E3651&lt;&gt;""),"TXS"&amp;TEXT(COUNTIFS($B$2:$B3651,"&lt;&gt;",$C$2:$C3651,"&lt;&gt;",$D$2:$D3651,"&lt;&gt;",$E$2:$E3651,"&lt;&gt;"),"00000"),""))</f>
        <v/>
      </c>
      <c r="N3651" s="22"/>
    </row>
    <row r="3652" spans="1:14" x14ac:dyDescent="0.3">
      <c r="A3652" s="15" t="str">
        <f>IF(COUNTA($B3652:$E3652,$K3652)=0,"",IF(AND($B3652&lt;&gt;"",$C3652&lt;&gt;"",$D3652&lt;&gt;"",$E3652&lt;&gt;""),"TXS"&amp;TEXT(COUNTIFS($B$2:$B3652,"&lt;&gt;",$C$2:$C3652,"&lt;&gt;",$D$2:$D3652,"&lt;&gt;",$E$2:$E3652,"&lt;&gt;"),"00000"),""))</f>
        <v/>
      </c>
      <c r="N3652" s="22"/>
    </row>
    <row r="3653" spans="1:14" x14ac:dyDescent="0.3">
      <c r="A3653" s="15" t="str">
        <f>IF(COUNTA($B3653:$E3653,$K3653)=0,"",IF(AND($B3653&lt;&gt;"",$C3653&lt;&gt;"",$D3653&lt;&gt;"",$E3653&lt;&gt;""),"TXS"&amp;TEXT(COUNTIFS($B$2:$B3653,"&lt;&gt;",$C$2:$C3653,"&lt;&gt;",$D$2:$D3653,"&lt;&gt;",$E$2:$E3653,"&lt;&gt;"),"00000"),""))</f>
        <v/>
      </c>
      <c r="N3653" s="22"/>
    </row>
    <row r="3654" spans="1:14" x14ac:dyDescent="0.3">
      <c r="A3654" s="15" t="str">
        <f>IF(COUNTA($B3654:$E3654,$K3654)=0,"",IF(AND($B3654&lt;&gt;"",$C3654&lt;&gt;"",$D3654&lt;&gt;"",$E3654&lt;&gt;""),"TXS"&amp;TEXT(COUNTIFS($B$2:$B3654,"&lt;&gt;",$C$2:$C3654,"&lt;&gt;",$D$2:$D3654,"&lt;&gt;",$E$2:$E3654,"&lt;&gt;"),"00000"),""))</f>
        <v/>
      </c>
      <c r="N3654" s="22"/>
    </row>
    <row r="3655" spans="1:14" x14ac:dyDescent="0.3">
      <c r="A3655" s="15" t="str">
        <f>IF(COUNTA($B3655:$E3655,$K3655)=0,"",IF(AND($B3655&lt;&gt;"",$C3655&lt;&gt;"",$D3655&lt;&gt;"",$E3655&lt;&gt;""),"TXS"&amp;TEXT(COUNTIFS($B$2:$B3655,"&lt;&gt;",$C$2:$C3655,"&lt;&gt;",$D$2:$D3655,"&lt;&gt;",$E$2:$E3655,"&lt;&gt;"),"00000"),""))</f>
        <v/>
      </c>
      <c r="N3655" s="22"/>
    </row>
    <row r="3656" spans="1:14" x14ac:dyDescent="0.3">
      <c r="A3656" s="15" t="str">
        <f>IF(COUNTA($B3656:$E3656,$K3656)=0,"",IF(AND($B3656&lt;&gt;"",$C3656&lt;&gt;"",$D3656&lt;&gt;"",$E3656&lt;&gt;""),"TXS"&amp;TEXT(COUNTIFS($B$2:$B3656,"&lt;&gt;",$C$2:$C3656,"&lt;&gt;",$D$2:$D3656,"&lt;&gt;",$E$2:$E3656,"&lt;&gt;"),"00000"),""))</f>
        <v/>
      </c>
      <c r="N3656" s="22"/>
    </row>
    <row r="3657" spans="1:14" x14ac:dyDescent="0.3">
      <c r="A3657" s="15" t="str">
        <f>IF(COUNTA($B3657:$E3657,$K3657)=0,"",IF(AND($B3657&lt;&gt;"",$C3657&lt;&gt;"",$D3657&lt;&gt;"",$E3657&lt;&gt;""),"TXS"&amp;TEXT(COUNTIFS($B$2:$B3657,"&lt;&gt;",$C$2:$C3657,"&lt;&gt;",$D$2:$D3657,"&lt;&gt;",$E$2:$E3657,"&lt;&gt;"),"00000"),""))</f>
        <v/>
      </c>
      <c r="N3657" s="22"/>
    </row>
    <row r="3658" spans="1:14" x14ac:dyDescent="0.3">
      <c r="A3658" s="15" t="str">
        <f>IF(COUNTA($B3658:$E3658,$K3658)=0,"",IF(AND($B3658&lt;&gt;"",$C3658&lt;&gt;"",$D3658&lt;&gt;"",$E3658&lt;&gt;""),"TXS"&amp;TEXT(COUNTIFS($B$2:$B3658,"&lt;&gt;",$C$2:$C3658,"&lt;&gt;",$D$2:$D3658,"&lt;&gt;",$E$2:$E3658,"&lt;&gt;"),"00000"),""))</f>
        <v/>
      </c>
      <c r="N3658" s="22"/>
    </row>
    <row r="3659" spans="1:14" x14ac:dyDescent="0.3">
      <c r="A3659" s="15" t="str">
        <f>IF(COUNTA($B3659:$E3659,$K3659)=0,"",IF(AND($B3659&lt;&gt;"",$C3659&lt;&gt;"",$D3659&lt;&gt;"",$E3659&lt;&gt;""),"TXS"&amp;TEXT(COUNTIFS($B$2:$B3659,"&lt;&gt;",$C$2:$C3659,"&lt;&gt;",$D$2:$D3659,"&lt;&gt;",$E$2:$E3659,"&lt;&gt;"),"00000"),""))</f>
        <v/>
      </c>
      <c r="N3659" s="22"/>
    </row>
    <row r="3660" spans="1:14" x14ac:dyDescent="0.3">
      <c r="A3660" s="15" t="str">
        <f>IF(COUNTA($B3660:$E3660,$K3660)=0,"",IF(AND($B3660&lt;&gt;"",$C3660&lt;&gt;"",$D3660&lt;&gt;"",$E3660&lt;&gt;""),"TXS"&amp;TEXT(COUNTIFS($B$2:$B3660,"&lt;&gt;",$C$2:$C3660,"&lt;&gt;",$D$2:$D3660,"&lt;&gt;",$E$2:$E3660,"&lt;&gt;"),"00000"),""))</f>
        <v/>
      </c>
      <c r="N3660" s="22"/>
    </row>
    <row r="3661" spans="1:14" x14ac:dyDescent="0.3">
      <c r="A3661" s="15" t="str">
        <f>IF(COUNTA($B3661:$E3661,$K3661)=0,"",IF(AND($B3661&lt;&gt;"",$C3661&lt;&gt;"",$D3661&lt;&gt;"",$E3661&lt;&gt;""),"TXS"&amp;TEXT(COUNTIFS($B$2:$B3661,"&lt;&gt;",$C$2:$C3661,"&lt;&gt;",$D$2:$D3661,"&lt;&gt;",$E$2:$E3661,"&lt;&gt;"),"00000"),""))</f>
        <v/>
      </c>
      <c r="N3661" s="22"/>
    </row>
    <row r="3662" spans="1:14" x14ac:dyDescent="0.3">
      <c r="A3662" s="15" t="str">
        <f>IF(COUNTA($B3662:$E3662,$K3662)=0,"",IF(AND($B3662&lt;&gt;"",$C3662&lt;&gt;"",$D3662&lt;&gt;"",$E3662&lt;&gt;""),"TXS"&amp;TEXT(COUNTIFS($B$2:$B3662,"&lt;&gt;",$C$2:$C3662,"&lt;&gt;",$D$2:$D3662,"&lt;&gt;",$E$2:$E3662,"&lt;&gt;"),"00000"),""))</f>
        <v/>
      </c>
      <c r="N3662" s="22"/>
    </row>
    <row r="3663" spans="1:14" x14ac:dyDescent="0.3">
      <c r="A3663" s="15" t="str">
        <f>IF(COUNTA($B3663:$E3663,$K3663)=0,"",IF(AND($B3663&lt;&gt;"",$C3663&lt;&gt;"",$D3663&lt;&gt;"",$E3663&lt;&gt;""),"TXS"&amp;TEXT(COUNTIFS($B$2:$B3663,"&lt;&gt;",$C$2:$C3663,"&lt;&gt;",$D$2:$D3663,"&lt;&gt;",$E$2:$E3663,"&lt;&gt;"),"00000"),""))</f>
        <v/>
      </c>
      <c r="N3663" s="22"/>
    </row>
    <row r="3664" spans="1:14" x14ac:dyDescent="0.3">
      <c r="A3664" s="15" t="str">
        <f>IF(COUNTA($B3664:$E3664,$K3664)=0,"",IF(AND($B3664&lt;&gt;"",$C3664&lt;&gt;"",$D3664&lt;&gt;"",$E3664&lt;&gt;""),"TXS"&amp;TEXT(COUNTIFS($B$2:$B3664,"&lt;&gt;",$C$2:$C3664,"&lt;&gt;",$D$2:$D3664,"&lt;&gt;",$E$2:$E3664,"&lt;&gt;"),"00000"),""))</f>
        <v/>
      </c>
      <c r="N3664" s="22"/>
    </row>
    <row r="3665" spans="1:14" x14ac:dyDescent="0.3">
      <c r="A3665" s="15" t="str">
        <f>IF(COUNTA($B3665:$E3665,$K3665)=0,"",IF(AND($B3665&lt;&gt;"",$C3665&lt;&gt;"",$D3665&lt;&gt;"",$E3665&lt;&gt;""),"TXS"&amp;TEXT(COUNTIFS($B$2:$B3665,"&lt;&gt;",$C$2:$C3665,"&lt;&gt;",$D$2:$D3665,"&lt;&gt;",$E$2:$E3665,"&lt;&gt;"),"00000"),""))</f>
        <v/>
      </c>
      <c r="N3665" s="22"/>
    </row>
    <row r="3666" spans="1:14" x14ac:dyDescent="0.3">
      <c r="A3666" s="15" t="str">
        <f>IF(COUNTA($B3666:$E3666,$K3666)=0,"",IF(AND($B3666&lt;&gt;"",$C3666&lt;&gt;"",$D3666&lt;&gt;"",$E3666&lt;&gt;""),"TXS"&amp;TEXT(COUNTIFS($B$2:$B3666,"&lt;&gt;",$C$2:$C3666,"&lt;&gt;",$D$2:$D3666,"&lt;&gt;",$E$2:$E3666,"&lt;&gt;"),"00000"),""))</f>
        <v/>
      </c>
      <c r="N3666" s="22"/>
    </row>
    <row r="3667" spans="1:14" x14ac:dyDescent="0.3">
      <c r="A3667" s="15" t="str">
        <f>IF(COUNTA($B3667:$E3667,$K3667)=0,"",IF(AND($B3667&lt;&gt;"",$C3667&lt;&gt;"",$D3667&lt;&gt;"",$E3667&lt;&gt;""),"TXS"&amp;TEXT(COUNTIFS($B$2:$B3667,"&lt;&gt;",$C$2:$C3667,"&lt;&gt;",$D$2:$D3667,"&lt;&gt;",$E$2:$E3667,"&lt;&gt;"),"00000"),""))</f>
        <v/>
      </c>
      <c r="N3667" s="22"/>
    </row>
    <row r="3668" spans="1:14" x14ac:dyDescent="0.3">
      <c r="A3668" s="15" t="str">
        <f>IF(COUNTA($B3668:$E3668,$K3668)=0,"",IF(AND($B3668&lt;&gt;"",$C3668&lt;&gt;"",$D3668&lt;&gt;"",$E3668&lt;&gt;""),"TXS"&amp;TEXT(COUNTIFS($B$2:$B3668,"&lt;&gt;",$C$2:$C3668,"&lt;&gt;",$D$2:$D3668,"&lt;&gt;",$E$2:$E3668,"&lt;&gt;"),"00000"),""))</f>
        <v/>
      </c>
      <c r="N3668" s="22"/>
    </row>
    <row r="3669" spans="1:14" x14ac:dyDescent="0.3">
      <c r="A3669" s="15" t="str">
        <f>IF(COUNTA($B3669:$E3669,$K3669)=0,"",IF(AND($B3669&lt;&gt;"",$C3669&lt;&gt;"",$D3669&lt;&gt;"",$E3669&lt;&gt;""),"TXS"&amp;TEXT(COUNTIFS($B$2:$B3669,"&lt;&gt;",$C$2:$C3669,"&lt;&gt;",$D$2:$D3669,"&lt;&gt;",$E$2:$E3669,"&lt;&gt;"),"00000"),""))</f>
        <v/>
      </c>
      <c r="N3669" s="22"/>
    </row>
    <row r="3670" spans="1:14" x14ac:dyDescent="0.3">
      <c r="A3670" s="15" t="str">
        <f>IF(COUNTA($B3670:$E3670,$K3670)=0,"",IF(AND($B3670&lt;&gt;"",$C3670&lt;&gt;"",$D3670&lt;&gt;"",$E3670&lt;&gt;""),"TXS"&amp;TEXT(COUNTIFS($B$2:$B3670,"&lt;&gt;",$C$2:$C3670,"&lt;&gt;",$D$2:$D3670,"&lt;&gt;",$E$2:$E3670,"&lt;&gt;"),"00000"),""))</f>
        <v/>
      </c>
      <c r="N3670" s="22"/>
    </row>
    <row r="3671" spans="1:14" x14ac:dyDescent="0.3">
      <c r="A3671" s="15" t="str">
        <f>IF(COUNTA($B3671:$E3671,$K3671)=0,"",IF(AND($B3671&lt;&gt;"",$C3671&lt;&gt;"",$D3671&lt;&gt;"",$E3671&lt;&gt;""),"TXS"&amp;TEXT(COUNTIFS($B$2:$B3671,"&lt;&gt;",$C$2:$C3671,"&lt;&gt;",$D$2:$D3671,"&lt;&gt;",$E$2:$E3671,"&lt;&gt;"),"00000"),""))</f>
        <v/>
      </c>
      <c r="N3671" s="22"/>
    </row>
    <row r="3672" spans="1:14" x14ac:dyDescent="0.3">
      <c r="A3672" s="15" t="str">
        <f>IF(COUNTA($B3672:$E3672,$K3672)=0,"",IF(AND($B3672&lt;&gt;"",$C3672&lt;&gt;"",$D3672&lt;&gt;"",$E3672&lt;&gt;""),"TXS"&amp;TEXT(COUNTIFS($B$2:$B3672,"&lt;&gt;",$C$2:$C3672,"&lt;&gt;",$D$2:$D3672,"&lt;&gt;",$E$2:$E3672,"&lt;&gt;"),"00000"),""))</f>
        <v/>
      </c>
      <c r="N3672" s="22"/>
    </row>
    <row r="3673" spans="1:14" x14ac:dyDescent="0.3">
      <c r="A3673" s="15" t="str">
        <f>IF(COUNTA($B3673:$E3673,$K3673)=0,"",IF(AND($B3673&lt;&gt;"",$C3673&lt;&gt;"",$D3673&lt;&gt;"",$E3673&lt;&gt;""),"TXS"&amp;TEXT(COUNTIFS($B$2:$B3673,"&lt;&gt;",$C$2:$C3673,"&lt;&gt;",$D$2:$D3673,"&lt;&gt;",$E$2:$E3673,"&lt;&gt;"),"00000"),""))</f>
        <v/>
      </c>
      <c r="N3673" s="22"/>
    </row>
    <row r="3674" spans="1:14" x14ac:dyDescent="0.3">
      <c r="A3674" s="15" t="str">
        <f>IF(COUNTA($B3674:$E3674,$K3674)=0,"",IF(AND($B3674&lt;&gt;"",$C3674&lt;&gt;"",$D3674&lt;&gt;"",$E3674&lt;&gt;""),"TXS"&amp;TEXT(COUNTIFS($B$2:$B3674,"&lt;&gt;",$C$2:$C3674,"&lt;&gt;",$D$2:$D3674,"&lt;&gt;",$E$2:$E3674,"&lt;&gt;"),"00000"),""))</f>
        <v/>
      </c>
      <c r="N3674" s="22"/>
    </row>
    <row r="3675" spans="1:14" x14ac:dyDescent="0.3">
      <c r="A3675" s="15" t="str">
        <f>IF(COUNTA($B3675:$E3675,$K3675)=0,"",IF(AND($B3675&lt;&gt;"",$C3675&lt;&gt;"",$D3675&lt;&gt;"",$E3675&lt;&gt;""),"TXS"&amp;TEXT(COUNTIFS($B$2:$B3675,"&lt;&gt;",$C$2:$C3675,"&lt;&gt;",$D$2:$D3675,"&lt;&gt;",$E$2:$E3675,"&lt;&gt;"),"00000"),""))</f>
        <v/>
      </c>
      <c r="N3675" s="22"/>
    </row>
    <row r="3676" spans="1:14" x14ac:dyDescent="0.3">
      <c r="A3676" s="15" t="str">
        <f>IF(COUNTA($B3676:$E3676,$K3676)=0,"",IF(AND($B3676&lt;&gt;"",$C3676&lt;&gt;"",$D3676&lt;&gt;"",$E3676&lt;&gt;""),"TXS"&amp;TEXT(COUNTIFS($B$2:$B3676,"&lt;&gt;",$C$2:$C3676,"&lt;&gt;",$D$2:$D3676,"&lt;&gt;",$E$2:$E3676,"&lt;&gt;"),"00000"),""))</f>
        <v/>
      </c>
      <c r="N3676" s="22"/>
    </row>
    <row r="3677" spans="1:14" x14ac:dyDescent="0.3">
      <c r="A3677" s="15" t="str">
        <f>IF(COUNTA($B3677:$E3677,$K3677)=0,"",IF(AND($B3677&lt;&gt;"",$C3677&lt;&gt;"",$D3677&lt;&gt;"",$E3677&lt;&gt;""),"TXS"&amp;TEXT(COUNTIFS($B$2:$B3677,"&lt;&gt;",$C$2:$C3677,"&lt;&gt;",$D$2:$D3677,"&lt;&gt;",$E$2:$E3677,"&lt;&gt;"),"00000"),""))</f>
        <v/>
      </c>
      <c r="N3677" s="22"/>
    </row>
    <row r="3678" spans="1:14" x14ac:dyDescent="0.3">
      <c r="A3678" s="15" t="str">
        <f>IF(COUNTA($B3678:$E3678,$K3678)=0,"",IF(AND($B3678&lt;&gt;"",$C3678&lt;&gt;"",$D3678&lt;&gt;"",$E3678&lt;&gt;""),"TXS"&amp;TEXT(COUNTIFS($B$2:$B3678,"&lt;&gt;",$C$2:$C3678,"&lt;&gt;",$D$2:$D3678,"&lt;&gt;",$E$2:$E3678,"&lt;&gt;"),"00000"),""))</f>
        <v/>
      </c>
      <c r="N3678" s="22"/>
    </row>
    <row r="3679" spans="1:14" x14ac:dyDescent="0.3">
      <c r="A3679" s="15" t="str">
        <f>IF(COUNTA($B3679:$E3679,$K3679)=0,"",IF(AND($B3679&lt;&gt;"",$C3679&lt;&gt;"",$D3679&lt;&gt;"",$E3679&lt;&gt;""),"TXS"&amp;TEXT(COUNTIFS($B$2:$B3679,"&lt;&gt;",$C$2:$C3679,"&lt;&gt;",$D$2:$D3679,"&lt;&gt;",$E$2:$E3679,"&lt;&gt;"),"00000"),""))</f>
        <v/>
      </c>
      <c r="N3679" s="22"/>
    </row>
    <row r="3680" spans="1:14" x14ac:dyDescent="0.3">
      <c r="A3680" s="15" t="str">
        <f>IF(COUNTA($B3680:$E3680,$K3680)=0,"",IF(AND($B3680&lt;&gt;"",$C3680&lt;&gt;"",$D3680&lt;&gt;"",$E3680&lt;&gt;""),"TXS"&amp;TEXT(COUNTIFS($B$2:$B3680,"&lt;&gt;",$C$2:$C3680,"&lt;&gt;",$D$2:$D3680,"&lt;&gt;",$E$2:$E3680,"&lt;&gt;"),"00000"),""))</f>
        <v/>
      </c>
      <c r="N3680" s="22"/>
    </row>
    <row r="3681" spans="1:14" x14ac:dyDescent="0.3">
      <c r="A3681" s="15" t="str">
        <f>IF(COUNTA($B3681:$E3681,$K3681)=0,"",IF(AND($B3681&lt;&gt;"",$C3681&lt;&gt;"",$D3681&lt;&gt;"",$E3681&lt;&gt;""),"TXS"&amp;TEXT(COUNTIFS($B$2:$B3681,"&lt;&gt;",$C$2:$C3681,"&lt;&gt;",$D$2:$D3681,"&lt;&gt;",$E$2:$E3681,"&lt;&gt;"),"00000"),""))</f>
        <v/>
      </c>
      <c r="N3681" s="22"/>
    </row>
    <row r="3682" spans="1:14" x14ac:dyDescent="0.3">
      <c r="A3682" s="15" t="str">
        <f>IF(COUNTA($B3682:$E3682,$K3682)=0,"",IF(AND($B3682&lt;&gt;"",$C3682&lt;&gt;"",$D3682&lt;&gt;"",$E3682&lt;&gt;""),"TXS"&amp;TEXT(COUNTIFS($B$2:$B3682,"&lt;&gt;",$C$2:$C3682,"&lt;&gt;",$D$2:$D3682,"&lt;&gt;",$E$2:$E3682,"&lt;&gt;"),"00000"),""))</f>
        <v/>
      </c>
      <c r="N3682" s="22"/>
    </row>
    <row r="3683" spans="1:14" x14ac:dyDescent="0.3">
      <c r="A3683" s="15" t="str">
        <f>IF(COUNTA($B3683:$E3683,$K3683)=0,"",IF(AND($B3683&lt;&gt;"",$C3683&lt;&gt;"",$D3683&lt;&gt;"",$E3683&lt;&gt;""),"TXS"&amp;TEXT(COUNTIFS($B$2:$B3683,"&lt;&gt;",$C$2:$C3683,"&lt;&gt;",$D$2:$D3683,"&lt;&gt;",$E$2:$E3683,"&lt;&gt;"),"00000"),""))</f>
        <v/>
      </c>
      <c r="N3683" s="22"/>
    </row>
    <row r="3684" spans="1:14" x14ac:dyDescent="0.3">
      <c r="A3684" s="15" t="str">
        <f>IF(COUNTA($B3684:$E3684,$K3684)=0,"",IF(AND($B3684&lt;&gt;"",$C3684&lt;&gt;"",$D3684&lt;&gt;"",$E3684&lt;&gt;""),"TXS"&amp;TEXT(COUNTIFS($B$2:$B3684,"&lt;&gt;",$C$2:$C3684,"&lt;&gt;",$D$2:$D3684,"&lt;&gt;",$E$2:$E3684,"&lt;&gt;"),"00000"),""))</f>
        <v/>
      </c>
      <c r="N3684" s="22"/>
    </row>
    <row r="3685" spans="1:14" x14ac:dyDescent="0.3">
      <c r="A3685" s="15" t="str">
        <f>IF(COUNTA($B3685:$E3685,$K3685)=0,"",IF(AND($B3685&lt;&gt;"",$C3685&lt;&gt;"",$D3685&lt;&gt;"",$E3685&lt;&gt;""),"TXS"&amp;TEXT(COUNTIFS($B$2:$B3685,"&lt;&gt;",$C$2:$C3685,"&lt;&gt;",$D$2:$D3685,"&lt;&gt;",$E$2:$E3685,"&lt;&gt;"),"00000"),""))</f>
        <v/>
      </c>
      <c r="N3685" s="22"/>
    </row>
    <row r="3686" spans="1:14" x14ac:dyDescent="0.3">
      <c r="A3686" s="15" t="str">
        <f>IF(COUNTA($B3686:$E3686,$K3686)=0,"",IF(AND($B3686&lt;&gt;"",$C3686&lt;&gt;"",$D3686&lt;&gt;"",$E3686&lt;&gt;""),"TXS"&amp;TEXT(COUNTIFS($B$2:$B3686,"&lt;&gt;",$C$2:$C3686,"&lt;&gt;",$D$2:$D3686,"&lt;&gt;",$E$2:$E3686,"&lt;&gt;"),"00000"),""))</f>
        <v/>
      </c>
      <c r="N3686" s="22"/>
    </row>
    <row r="3687" spans="1:14" x14ac:dyDescent="0.3">
      <c r="A3687" s="15" t="str">
        <f>IF(COUNTA($B3687:$E3687,$K3687)=0,"",IF(AND($B3687&lt;&gt;"",$C3687&lt;&gt;"",$D3687&lt;&gt;"",$E3687&lt;&gt;""),"TXS"&amp;TEXT(COUNTIFS($B$2:$B3687,"&lt;&gt;",$C$2:$C3687,"&lt;&gt;",$D$2:$D3687,"&lt;&gt;",$E$2:$E3687,"&lt;&gt;"),"00000"),""))</f>
        <v/>
      </c>
      <c r="N3687" s="22"/>
    </row>
    <row r="3688" spans="1:14" x14ac:dyDescent="0.3">
      <c r="A3688" s="15" t="str">
        <f>IF(COUNTA($B3688:$E3688,$K3688)=0,"",IF(AND($B3688&lt;&gt;"",$C3688&lt;&gt;"",$D3688&lt;&gt;"",$E3688&lt;&gt;""),"TXS"&amp;TEXT(COUNTIFS($B$2:$B3688,"&lt;&gt;",$C$2:$C3688,"&lt;&gt;",$D$2:$D3688,"&lt;&gt;",$E$2:$E3688,"&lt;&gt;"),"00000"),""))</f>
        <v/>
      </c>
      <c r="N3688" s="22"/>
    </row>
    <row r="3689" spans="1:14" x14ac:dyDescent="0.3">
      <c r="A3689" s="15" t="str">
        <f>IF(COUNTA($B3689:$E3689,$K3689)=0,"",IF(AND($B3689&lt;&gt;"",$C3689&lt;&gt;"",$D3689&lt;&gt;"",$E3689&lt;&gt;""),"TXS"&amp;TEXT(COUNTIFS($B$2:$B3689,"&lt;&gt;",$C$2:$C3689,"&lt;&gt;",$D$2:$D3689,"&lt;&gt;",$E$2:$E3689,"&lt;&gt;"),"00000"),""))</f>
        <v/>
      </c>
      <c r="N3689" s="22"/>
    </row>
    <row r="3690" spans="1:14" x14ac:dyDescent="0.3">
      <c r="A3690" s="15" t="str">
        <f>IF(COUNTA($B3690:$E3690,$K3690)=0,"",IF(AND($B3690&lt;&gt;"",$C3690&lt;&gt;"",$D3690&lt;&gt;"",$E3690&lt;&gt;""),"TXS"&amp;TEXT(COUNTIFS($B$2:$B3690,"&lt;&gt;",$C$2:$C3690,"&lt;&gt;",$D$2:$D3690,"&lt;&gt;",$E$2:$E3690,"&lt;&gt;"),"00000"),""))</f>
        <v/>
      </c>
      <c r="N3690" s="22"/>
    </row>
    <row r="3691" spans="1:14" x14ac:dyDescent="0.3">
      <c r="A3691" s="15" t="str">
        <f>IF(COUNTA($B3691:$E3691,$K3691)=0,"",IF(AND($B3691&lt;&gt;"",$C3691&lt;&gt;"",$D3691&lt;&gt;"",$E3691&lt;&gt;""),"TXS"&amp;TEXT(COUNTIFS($B$2:$B3691,"&lt;&gt;",$C$2:$C3691,"&lt;&gt;",$D$2:$D3691,"&lt;&gt;",$E$2:$E3691,"&lt;&gt;"),"00000"),""))</f>
        <v/>
      </c>
      <c r="N3691" s="22"/>
    </row>
    <row r="3692" spans="1:14" x14ac:dyDescent="0.3">
      <c r="A3692" s="15" t="str">
        <f>IF(COUNTA($B3692:$E3692,$K3692)=0,"",IF(AND($B3692&lt;&gt;"",$C3692&lt;&gt;"",$D3692&lt;&gt;"",$E3692&lt;&gt;""),"TXS"&amp;TEXT(COUNTIFS($B$2:$B3692,"&lt;&gt;",$C$2:$C3692,"&lt;&gt;",$D$2:$D3692,"&lt;&gt;",$E$2:$E3692,"&lt;&gt;"),"00000"),""))</f>
        <v/>
      </c>
      <c r="N3692" s="22"/>
    </row>
    <row r="3693" spans="1:14" x14ac:dyDescent="0.3">
      <c r="A3693" s="15" t="str">
        <f>IF(COUNTA($B3693:$E3693,$K3693)=0,"",IF(AND($B3693&lt;&gt;"",$C3693&lt;&gt;"",$D3693&lt;&gt;"",$E3693&lt;&gt;""),"TXS"&amp;TEXT(COUNTIFS($B$2:$B3693,"&lt;&gt;",$C$2:$C3693,"&lt;&gt;",$D$2:$D3693,"&lt;&gt;",$E$2:$E3693,"&lt;&gt;"),"00000"),""))</f>
        <v/>
      </c>
      <c r="N3693" s="22"/>
    </row>
    <row r="3694" spans="1:14" x14ac:dyDescent="0.3">
      <c r="A3694" s="15" t="str">
        <f>IF(COUNTA($B3694:$E3694,$K3694)=0,"",IF(AND($B3694&lt;&gt;"",$C3694&lt;&gt;"",$D3694&lt;&gt;"",$E3694&lt;&gt;""),"TXS"&amp;TEXT(COUNTIFS($B$2:$B3694,"&lt;&gt;",$C$2:$C3694,"&lt;&gt;",$D$2:$D3694,"&lt;&gt;",$E$2:$E3694,"&lt;&gt;"),"00000"),""))</f>
        <v/>
      </c>
      <c r="N3694" s="22"/>
    </row>
    <row r="3695" spans="1:14" x14ac:dyDescent="0.3">
      <c r="A3695" s="15" t="str">
        <f>IF(COUNTA($B3695:$E3695,$K3695)=0,"",IF(AND($B3695&lt;&gt;"",$C3695&lt;&gt;"",$D3695&lt;&gt;"",$E3695&lt;&gt;""),"TXS"&amp;TEXT(COUNTIFS($B$2:$B3695,"&lt;&gt;",$C$2:$C3695,"&lt;&gt;",$D$2:$D3695,"&lt;&gt;",$E$2:$E3695,"&lt;&gt;"),"00000"),""))</f>
        <v/>
      </c>
      <c r="N3695" s="22"/>
    </row>
    <row r="3696" spans="1:14" x14ac:dyDescent="0.3">
      <c r="A3696" s="15" t="str">
        <f>IF(COUNTA($B3696:$E3696,$K3696)=0,"",IF(AND($B3696&lt;&gt;"",$C3696&lt;&gt;"",$D3696&lt;&gt;"",$E3696&lt;&gt;""),"TXS"&amp;TEXT(COUNTIFS($B$2:$B3696,"&lt;&gt;",$C$2:$C3696,"&lt;&gt;",$D$2:$D3696,"&lt;&gt;",$E$2:$E3696,"&lt;&gt;"),"00000"),""))</f>
        <v/>
      </c>
      <c r="N3696" s="22"/>
    </row>
    <row r="3697" spans="1:14" x14ac:dyDescent="0.3">
      <c r="A3697" s="15" t="str">
        <f>IF(COUNTA($B3697:$E3697,$K3697)=0,"",IF(AND($B3697&lt;&gt;"",$C3697&lt;&gt;"",$D3697&lt;&gt;"",$E3697&lt;&gt;""),"TXS"&amp;TEXT(COUNTIFS($B$2:$B3697,"&lt;&gt;",$C$2:$C3697,"&lt;&gt;",$D$2:$D3697,"&lt;&gt;",$E$2:$E3697,"&lt;&gt;"),"00000"),""))</f>
        <v/>
      </c>
      <c r="N3697" s="22"/>
    </row>
    <row r="3698" spans="1:14" x14ac:dyDescent="0.3">
      <c r="A3698" s="15" t="str">
        <f>IF(COUNTA($B3698:$E3698,$K3698)=0,"",IF(AND($B3698&lt;&gt;"",$C3698&lt;&gt;"",$D3698&lt;&gt;"",$E3698&lt;&gt;""),"TXS"&amp;TEXT(COUNTIFS($B$2:$B3698,"&lt;&gt;",$C$2:$C3698,"&lt;&gt;",$D$2:$D3698,"&lt;&gt;",$E$2:$E3698,"&lt;&gt;"),"00000"),""))</f>
        <v/>
      </c>
      <c r="N3698" s="22"/>
    </row>
    <row r="3699" spans="1:14" x14ac:dyDescent="0.3">
      <c r="A3699" s="15" t="str">
        <f>IF(COUNTA($B3699:$E3699,$K3699)=0,"",IF(AND($B3699&lt;&gt;"",$C3699&lt;&gt;"",$D3699&lt;&gt;"",$E3699&lt;&gt;""),"TXS"&amp;TEXT(COUNTIFS($B$2:$B3699,"&lt;&gt;",$C$2:$C3699,"&lt;&gt;",$D$2:$D3699,"&lt;&gt;",$E$2:$E3699,"&lt;&gt;"),"00000"),""))</f>
        <v/>
      </c>
      <c r="N3699" s="22"/>
    </row>
    <row r="3700" spans="1:14" x14ac:dyDescent="0.3">
      <c r="A3700" s="15" t="str">
        <f>IF(COUNTA($B3700:$E3700,$K3700)=0,"",IF(AND($B3700&lt;&gt;"",$C3700&lt;&gt;"",$D3700&lt;&gt;"",$E3700&lt;&gt;""),"TXS"&amp;TEXT(COUNTIFS($B$2:$B3700,"&lt;&gt;",$C$2:$C3700,"&lt;&gt;",$D$2:$D3700,"&lt;&gt;",$E$2:$E3700,"&lt;&gt;"),"00000"),""))</f>
        <v/>
      </c>
      <c r="N3700" s="22"/>
    </row>
    <row r="3701" spans="1:14" x14ac:dyDescent="0.3">
      <c r="A3701" s="15" t="str">
        <f>IF(COUNTA($B3701:$E3701,$K3701)=0,"",IF(AND($B3701&lt;&gt;"",$C3701&lt;&gt;"",$D3701&lt;&gt;"",$E3701&lt;&gt;""),"TXS"&amp;TEXT(COUNTIFS($B$2:$B3701,"&lt;&gt;",$C$2:$C3701,"&lt;&gt;",$D$2:$D3701,"&lt;&gt;",$E$2:$E3701,"&lt;&gt;"),"00000"),""))</f>
        <v/>
      </c>
      <c r="N3701" s="22"/>
    </row>
    <row r="3702" spans="1:14" x14ac:dyDescent="0.3">
      <c r="A3702" s="15" t="str">
        <f>IF(COUNTA($B3702:$E3702,$K3702)=0,"",IF(AND($B3702&lt;&gt;"",$C3702&lt;&gt;"",$D3702&lt;&gt;"",$E3702&lt;&gt;""),"TXS"&amp;TEXT(COUNTIFS($B$2:$B3702,"&lt;&gt;",$C$2:$C3702,"&lt;&gt;",$D$2:$D3702,"&lt;&gt;",$E$2:$E3702,"&lt;&gt;"),"00000"),""))</f>
        <v/>
      </c>
      <c r="N3702" s="22"/>
    </row>
    <row r="3703" spans="1:14" x14ac:dyDescent="0.3">
      <c r="A3703" s="15" t="str">
        <f>IF(COUNTA($B3703:$E3703,$K3703)=0,"",IF(AND($B3703&lt;&gt;"",$C3703&lt;&gt;"",$D3703&lt;&gt;"",$E3703&lt;&gt;""),"TXS"&amp;TEXT(COUNTIFS($B$2:$B3703,"&lt;&gt;",$C$2:$C3703,"&lt;&gt;",$D$2:$D3703,"&lt;&gt;",$E$2:$E3703,"&lt;&gt;"),"00000"),""))</f>
        <v/>
      </c>
      <c r="N3703" s="22"/>
    </row>
    <row r="3704" spans="1:14" x14ac:dyDescent="0.3">
      <c r="A3704" s="15" t="str">
        <f>IF(COUNTA($B3704:$E3704,$K3704)=0,"",IF(AND($B3704&lt;&gt;"",$C3704&lt;&gt;"",$D3704&lt;&gt;"",$E3704&lt;&gt;""),"TXS"&amp;TEXT(COUNTIFS($B$2:$B3704,"&lt;&gt;",$C$2:$C3704,"&lt;&gt;",$D$2:$D3704,"&lt;&gt;",$E$2:$E3704,"&lt;&gt;"),"00000"),""))</f>
        <v/>
      </c>
      <c r="N3704" s="22"/>
    </row>
    <row r="3705" spans="1:14" x14ac:dyDescent="0.3">
      <c r="A3705" s="15" t="str">
        <f>IF(COUNTA($B3705:$E3705,$K3705)=0,"",IF(AND($B3705&lt;&gt;"",$C3705&lt;&gt;"",$D3705&lt;&gt;"",$E3705&lt;&gt;""),"TXS"&amp;TEXT(COUNTIFS($B$2:$B3705,"&lt;&gt;",$C$2:$C3705,"&lt;&gt;",$D$2:$D3705,"&lt;&gt;",$E$2:$E3705,"&lt;&gt;"),"00000"),""))</f>
        <v/>
      </c>
      <c r="N3705" s="22"/>
    </row>
    <row r="3706" spans="1:14" x14ac:dyDescent="0.3">
      <c r="A3706" s="15" t="str">
        <f>IF(COUNTA($B3706:$E3706,$K3706)=0,"",IF(AND($B3706&lt;&gt;"",$C3706&lt;&gt;"",$D3706&lt;&gt;"",$E3706&lt;&gt;""),"TXS"&amp;TEXT(COUNTIFS($B$2:$B3706,"&lt;&gt;",$C$2:$C3706,"&lt;&gt;",$D$2:$D3706,"&lt;&gt;",$E$2:$E3706,"&lt;&gt;"),"00000"),""))</f>
        <v/>
      </c>
      <c r="N3706" s="22"/>
    </row>
    <row r="3707" spans="1:14" x14ac:dyDescent="0.3">
      <c r="A3707" s="15" t="str">
        <f>IF(COUNTA($B3707:$E3707,$K3707)=0,"",IF(AND($B3707&lt;&gt;"",$C3707&lt;&gt;"",$D3707&lt;&gt;"",$E3707&lt;&gt;""),"TXS"&amp;TEXT(COUNTIFS($B$2:$B3707,"&lt;&gt;",$C$2:$C3707,"&lt;&gt;",$D$2:$D3707,"&lt;&gt;",$E$2:$E3707,"&lt;&gt;"),"00000"),""))</f>
        <v/>
      </c>
      <c r="N3707" s="22"/>
    </row>
    <row r="3708" spans="1:14" x14ac:dyDescent="0.3">
      <c r="A3708" s="15" t="str">
        <f>IF(COUNTA($B3708:$E3708,$K3708)=0,"",IF(AND($B3708&lt;&gt;"",$C3708&lt;&gt;"",$D3708&lt;&gt;"",$E3708&lt;&gt;""),"TXS"&amp;TEXT(COUNTIFS($B$2:$B3708,"&lt;&gt;",$C$2:$C3708,"&lt;&gt;",$D$2:$D3708,"&lt;&gt;",$E$2:$E3708,"&lt;&gt;"),"00000"),""))</f>
        <v/>
      </c>
      <c r="N3708" s="22"/>
    </row>
    <row r="3709" spans="1:14" x14ac:dyDescent="0.3">
      <c r="A3709" s="15" t="str">
        <f>IF(COUNTA($B3709:$E3709,$K3709)=0,"",IF(AND($B3709&lt;&gt;"",$C3709&lt;&gt;"",$D3709&lt;&gt;"",$E3709&lt;&gt;""),"TXS"&amp;TEXT(COUNTIFS($B$2:$B3709,"&lt;&gt;",$C$2:$C3709,"&lt;&gt;",$D$2:$D3709,"&lt;&gt;",$E$2:$E3709,"&lt;&gt;"),"00000"),""))</f>
        <v/>
      </c>
      <c r="N3709" s="22"/>
    </row>
    <row r="3710" spans="1:14" x14ac:dyDescent="0.3">
      <c r="A3710" s="15" t="str">
        <f>IF(COUNTA($B3710:$E3710,$K3710)=0,"",IF(AND($B3710&lt;&gt;"",$C3710&lt;&gt;"",$D3710&lt;&gt;"",$E3710&lt;&gt;""),"TXS"&amp;TEXT(COUNTIFS($B$2:$B3710,"&lt;&gt;",$C$2:$C3710,"&lt;&gt;",$D$2:$D3710,"&lt;&gt;",$E$2:$E3710,"&lt;&gt;"),"00000"),""))</f>
        <v/>
      </c>
      <c r="N3710" s="22"/>
    </row>
    <row r="3711" spans="1:14" x14ac:dyDescent="0.3">
      <c r="A3711" s="15" t="str">
        <f>IF(COUNTA($B3711:$E3711,$K3711)=0,"",IF(AND($B3711&lt;&gt;"",$C3711&lt;&gt;"",$D3711&lt;&gt;"",$E3711&lt;&gt;""),"TXS"&amp;TEXT(COUNTIFS($B$2:$B3711,"&lt;&gt;",$C$2:$C3711,"&lt;&gt;",$D$2:$D3711,"&lt;&gt;",$E$2:$E3711,"&lt;&gt;"),"00000"),""))</f>
        <v/>
      </c>
      <c r="N3711" s="22"/>
    </row>
    <row r="3712" spans="1:14" x14ac:dyDescent="0.3">
      <c r="A3712" s="15" t="str">
        <f>IF(COUNTA($B3712:$E3712,$K3712)=0,"",IF(AND($B3712&lt;&gt;"",$C3712&lt;&gt;"",$D3712&lt;&gt;"",$E3712&lt;&gt;""),"TXS"&amp;TEXT(COUNTIFS($B$2:$B3712,"&lt;&gt;",$C$2:$C3712,"&lt;&gt;",$D$2:$D3712,"&lt;&gt;",$E$2:$E3712,"&lt;&gt;"),"00000"),""))</f>
        <v/>
      </c>
      <c r="N3712" s="22"/>
    </row>
    <row r="3713" spans="1:14" x14ac:dyDescent="0.3">
      <c r="A3713" s="15" t="str">
        <f>IF(COUNTA($B3713:$E3713,$K3713)=0,"",IF(AND($B3713&lt;&gt;"",$C3713&lt;&gt;"",$D3713&lt;&gt;"",$E3713&lt;&gt;""),"TXS"&amp;TEXT(COUNTIFS($B$2:$B3713,"&lt;&gt;",$C$2:$C3713,"&lt;&gt;",$D$2:$D3713,"&lt;&gt;",$E$2:$E3713,"&lt;&gt;"),"00000"),""))</f>
        <v/>
      </c>
      <c r="N3713" s="22"/>
    </row>
    <row r="3714" spans="1:14" x14ac:dyDescent="0.3">
      <c r="A3714" s="15" t="str">
        <f>IF(COUNTA($B3714:$E3714,$K3714)=0,"",IF(AND($B3714&lt;&gt;"",$C3714&lt;&gt;"",$D3714&lt;&gt;"",$E3714&lt;&gt;""),"TXS"&amp;TEXT(COUNTIFS($B$2:$B3714,"&lt;&gt;",$C$2:$C3714,"&lt;&gt;",$D$2:$D3714,"&lt;&gt;",$E$2:$E3714,"&lt;&gt;"),"00000"),""))</f>
        <v/>
      </c>
      <c r="N3714" s="22"/>
    </row>
    <row r="3715" spans="1:14" x14ac:dyDescent="0.3">
      <c r="A3715" s="15" t="str">
        <f>IF(COUNTA($B3715:$E3715,$K3715)=0,"",IF(AND($B3715&lt;&gt;"",$C3715&lt;&gt;"",$D3715&lt;&gt;"",$E3715&lt;&gt;""),"TXS"&amp;TEXT(COUNTIFS($B$2:$B3715,"&lt;&gt;",$C$2:$C3715,"&lt;&gt;",$D$2:$D3715,"&lt;&gt;",$E$2:$E3715,"&lt;&gt;"),"00000"),""))</f>
        <v/>
      </c>
      <c r="N3715" s="22"/>
    </row>
    <row r="3716" spans="1:14" x14ac:dyDescent="0.3">
      <c r="A3716" s="15" t="str">
        <f>IF(COUNTA($B3716:$E3716,$K3716)=0,"",IF(AND($B3716&lt;&gt;"",$C3716&lt;&gt;"",$D3716&lt;&gt;"",$E3716&lt;&gt;""),"TXS"&amp;TEXT(COUNTIFS($B$2:$B3716,"&lt;&gt;",$C$2:$C3716,"&lt;&gt;",$D$2:$D3716,"&lt;&gt;",$E$2:$E3716,"&lt;&gt;"),"00000"),""))</f>
        <v/>
      </c>
      <c r="N3716" s="22"/>
    </row>
    <row r="3717" spans="1:14" x14ac:dyDescent="0.3">
      <c r="A3717" s="15" t="str">
        <f>IF(COUNTA($B3717:$E3717,$K3717)=0,"",IF(AND($B3717&lt;&gt;"",$C3717&lt;&gt;"",$D3717&lt;&gt;"",$E3717&lt;&gt;""),"TXS"&amp;TEXT(COUNTIFS($B$2:$B3717,"&lt;&gt;",$C$2:$C3717,"&lt;&gt;",$D$2:$D3717,"&lt;&gt;",$E$2:$E3717,"&lt;&gt;"),"00000"),""))</f>
        <v/>
      </c>
      <c r="N3717" s="22"/>
    </row>
    <row r="3718" spans="1:14" x14ac:dyDescent="0.3">
      <c r="A3718" s="15" t="str">
        <f>IF(COUNTA($B3718:$E3718,$K3718)=0,"",IF(AND($B3718&lt;&gt;"",$C3718&lt;&gt;"",$D3718&lt;&gt;"",$E3718&lt;&gt;""),"TXS"&amp;TEXT(COUNTIFS($B$2:$B3718,"&lt;&gt;",$C$2:$C3718,"&lt;&gt;",$D$2:$D3718,"&lt;&gt;",$E$2:$E3718,"&lt;&gt;"),"00000"),""))</f>
        <v/>
      </c>
      <c r="N3718" s="22"/>
    </row>
    <row r="3719" spans="1:14" x14ac:dyDescent="0.3">
      <c r="A3719" s="15" t="str">
        <f>IF(COUNTA($B3719:$E3719,$K3719)=0,"",IF(AND($B3719&lt;&gt;"",$C3719&lt;&gt;"",$D3719&lt;&gt;"",$E3719&lt;&gt;""),"TXS"&amp;TEXT(COUNTIFS($B$2:$B3719,"&lt;&gt;",$C$2:$C3719,"&lt;&gt;",$D$2:$D3719,"&lt;&gt;",$E$2:$E3719,"&lt;&gt;"),"00000"),""))</f>
        <v/>
      </c>
      <c r="N3719" s="22"/>
    </row>
    <row r="3720" spans="1:14" x14ac:dyDescent="0.3">
      <c r="A3720" s="15" t="str">
        <f>IF(COUNTA($B3720:$E3720,$K3720)=0,"",IF(AND($B3720&lt;&gt;"",$C3720&lt;&gt;"",$D3720&lt;&gt;"",$E3720&lt;&gt;""),"TXS"&amp;TEXT(COUNTIFS($B$2:$B3720,"&lt;&gt;",$C$2:$C3720,"&lt;&gt;",$D$2:$D3720,"&lt;&gt;",$E$2:$E3720,"&lt;&gt;"),"00000"),""))</f>
        <v/>
      </c>
      <c r="N3720" s="22"/>
    </row>
    <row r="3721" spans="1:14" x14ac:dyDescent="0.3">
      <c r="A3721" s="15" t="str">
        <f>IF(COUNTA($B3721:$E3721,$K3721)=0,"",IF(AND($B3721&lt;&gt;"",$C3721&lt;&gt;"",$D3721&lt;&gt;"",$E3721&lt;&gt;""),"TXS"&amp;TEXT(COUNTIFS($B$2:$B3721,"&lt;&gt;",$C$2:$C3721,"&lt;&gt;",$D$2:$D3721,"&lt;&gt;",$E$2:$E3721,"&lt;&gt;"),"00000"),""))</f>
        <v/>
      </c>
      <c r="N3721" s="22"/>
    </row>
    <row r="3722" spans="1:14" x14ac:dyDescent="0.3">
      <c r="A3722" s="15" t="str">
        <f>IF(COUNTA($B3722:$E3722,$K3722)=0,"",IF(AND($B3722&lt;&gt;"",$C3722&lt;&gt;"",$D3722&lt;&gt;"",$E3722&lt;&gt;""),"TXS"&amp;TEXT(COUNTIFS($B$2:$B3722,"&lt;&gt;",$C$2:$C3722,"&lt;&gt;",$D$2:$D3722,"&lt;&gt;",$E$2:$E3722,"&lt;&gt;"),"00000"),""))</f>
        <v/>
      </c>
      <c r="N3722" s="22"/>
    </row>
    <row r="3723" spans="1:14" x14ac:dyDescent="0.3">
      <c r="A3723" s="15" t="str">
        <f>IF(COUNTA($B3723:$E3723,$K3723)=0,"",IF(AND($B3723&lt;&gt;"",$C3723&lt;&gt;"",$D3723&lt;&gt;"",$E3723&lt;&gt;""),"TXS"&amp;TEXT(COUNTIFS($B$2:$B3723,"&lt;&gt;",$C$2:$C3723,"&lt;&gt;",$D$2:$D3723,"&lt;&gt;",$E$2:$E3723,"&lt;&gt;"),"00000"),""))</f>
        <v/>
      </c>
      <c r="N3723" s="22"/>
    </row>
    <row r="3724" spans="1:14" x14ac:dyDescent="0.3">
      <c r="A3724" s="15" t="str">
        <f>IF(COUNTA($B3724:$E3724,$K3724)=0,"",IF(AND($B3724&lt;&gt;"",$C3724&lt;&gt;"",$D3724&lt;&gt;"",$E3724&lt;&gt;""),"TXS"&amp;TEXT(COUNTIFS($B$2:$B3724,"&lt;&gt;",$C$2:$C3724,"&lt;&gt;",$D$2:$D3724,"&lt;&gt;",$E$2:$E3724,"&lt;&gt;"),"00000"),""))</f>
        <v/>
      </c>
      <c r="N3724" s="22"/>
    </row>
    <row r="3725" spans="1:14" x14ac:dyDescent="0.3">
      <c r="A3725" s="15" t="str">
        <f>IF(COUNTA($B3725:$E3725,$K3725)=0,"",IF(AND($B3725&lt;&gt;"",$C3725&lt;&gt;"",$D3725&lt;&gt;"",$E3725&lt;&gt;""),"TXS"&amp;TEXT(COUNTIFS($B$2:$B3725,"&lt;&gt;",$C$2:$C3725,"&lt;&gt;",$D$2:$D3725,"&lt;&gt;",$E$2:$E3725,"&lt;&gt;"),"00000"),""))</f>
        <v/>
      </c>
      <c r="N3725" s="22"/>
    </row>
    <row r="3726" spans="1:14" x14ac:dyDescent="0.3">
      <c r="A3726" s="15" t="str">
        <f>IF(COUNTA($B3726:$E3726,$K3726)=0,"",IF(AND($B3726&lt;&gt;"",$C3726&lt;&gt;"",$D3726&lt;&gt;"",$E3726&lt;&gt;""),"TXS"&amp;TEXT(COUNTIFS($B$2:$B3726,"&lt;&gt;",$C$2:$C3726,"&lt;&gt;",$D$2:$D3726,"&lt;&gt;",$E$2:$E3726,"&lt;&gt;"),"00000"),""))</f>
        <v/>
      </c>
      <c r="N3726" s="22"/>
    </row>
    <row r="3727" spans="1:14" x14ac:dyDescent="0.3">
      <c r="A3727" s="15" t="str">
        <f>IF(COUNTA($B3727:$E3727,$K3727)=0,"",IF(AND($B3727&lt;&gt;"",$C3727&lt;&gt;"",$D3727&lt;&gt;"",$E3727&lt;&gt;""),"TXS"&amp;TEXT(COUNTIFS($B$2:$B3727,"&lt;&gt;",$C$2:$C3727,"&lt;&gt;",$D$2:$D3727,"&lt;&gt;",$E$2:$E3727,"&lt;&gt;"),"00000"),""))</f>
        <v/>
      </c>
      <c r="N3727" s="22"/>
    </row>
    <row r="3728" spans="1:14" x14ac:dyDescent="0.3">
      <c r="A3728" s="15" t="str">
        <f>IF(COUNTA($B3728:$E3728,$K3728)=0,"",IF(AND($B3728&lt;&gt;"",$C3728&lt;&gt;"",$D3728&lt;&gt;"",$E3728&lt;&gt;""),"TXS"&amp;TEXT(COUNTIFS($B$2:$B3728,"&lt;&gt;",$C$2:$C3728,"&lt;&gt;",$D$2:$D3728,"&lt;&gt;",$E$2:$E3728,"&lt;&gt;"),"00000"),""))</f>
        <v/>
      </c>
      <c r="N3728" s="22"/>
    </row>
    <row r="3729" spans="1:14" x14ac:dyDescent="0.3">
      <c r="A3729" s="15" t="str">
        <f>IF(COUNTA($B3729:$E3729,$K3729)=0,"",IF(AND($B3729&lt;&gt;"",$C3729&lt;&gt;"",$D3729&lt;&gt;"",$E3729&lt;&gt;""),"TXS"&amp;TEXT(COUNTIFS($B$2:$B3729,"&lt;&gt;",$C$2:$C3729,"&lt;&gt;",$D$2:$D3729,"&lt;&gt;",$E$2:$E3729,"&lt;&gt;"),"00000"),""))</f>
        <v/>
      </c>
      <c r="N3729" s="22"/>
    </row>
    <row r="3730" spans="1:14" x14ac:dyDescent="0.3">
      <c r="A3730" s="15" t="str">
        <f>IF(COUNTA($B3730:$E3730,$K3730)=0,"",IF(AND($B3730&lt;&gt;"",$C3730&lt;&gt;"",$D3730&lt;&gt;"",$E3730&lt;&gt;""),"TXS"&amp;TEXT(COUNTIFS($B$2:$B3730,"&lt;&gt;",$C$2:$C3730,"&lt;&gt;",$D$2:$D3730,"&lt;&gt;",$E$2:$E3730,"&lt;&gt;"),"00000"),""))</f>
        <v/>
      </c>
      <c r="N3730" s="22"/>
    </row>
    <row r="3731" spans="1:14" x14ac:dyDescent="0.3">
      <c r="A3731" s="15" t="str">
        <f>IF(COUNTA($B3731:$E3731,$K3731)=0,"",IF(AND($B3731&lt;&gt;"",$C3731&lt;&gt;"",$D3731&lt;&gt;"",$E3731&lt;&gt;""),"TXS"&amp;TEXT(COUNTIFS($B$2:$B3731,"&lt;&gt;",$C$2:$C3731,"&lt;&gt;",$D$2:$D3731,"&lt;&gt;",$E$2:$E3731,"&lt;&gt;"),"00000"),""))</f>
        <v/>
      </c>
      <c r="N3731" s="22"/>
    </row>
    <row r="3732" spans="1:14" x14ac:dyDescent="0.3">
      <c r="A3732" s="15" t="str">
        <f>IF(COUNTA($B3732:$E3732,$K3732)=0,"",IF(AND($B3732&lt;&gt;"",$C3732&lt;&gt;"",$D3732&lt;&gt;"",$E3732&lt;&gt;""),"TXS"&amp;TEXT(COUNTIFS($B$2:$B3732,"&lt;&gt;",$C$2:$C3732,"&lt;&gt;",$D$2:$D3732,"&lt;&gt;",$E$2:$E3732,"&lt;&gt;"),"00000"),""))</f>
        <v/>
      </c>
      <c r="N3732" s="22"/>
    </row>
    <row r="3733" spans="1:14" x14ac:dyDescent="0.3">
      <c r="A3733" s="15" t="str">
        <f>IF(COUNTA($B3733:$E3733,$K3733)=0,"",IF(AND($B3733&lt;&gt;"",$C3733&lt;&gt;"",$D3733&lt;&gt;"",$E3733&lt;&gt;""),"TXS"&amp;TEXT(COUNTIFS($B$2:$B3733,"&lt;&gt;",$C$2:$C3733,"&lt;&gt;",$D$2:$D3733,"&lt;&gt;",$E$2:$E3733,"&lt;&gt;"),"00000"),""))</f>
        <v/>
      </c>
      <c r="N3733" s="22"/>
    </row>
    <row r="3734" spans="1:14" x14ac:dyDescent="0.3">
      <c r="A3734" s="15" t="str">
        <f>IF(COUNTA($B3734:$E3734,$K3734)=0,"",IF(AND($B3734&lt;&gt;"",$C3734&lt;&gt;"",$D3734&lt;&gt;"",$E3734&lt;&gt;""),"TXS"&amp;TEXT(COUNTIFS($B$2:$B3734,"&lt;&gt;",$C$2:$C3734,"&lt;&gt;",$D$2:$D3734,"&lt;&gt;",$E$2:$E3734,"&lt;&gt;"),"00000"),""))</f>
        <v/>
      </c>
      <c r="N3734" s="22"/>
    </row>
    <row r="3735" spans="1:14" x14ac:dyDescent="0.3">
      <c r="A3735" s="15" t="str">
        <f>IF(COUNTA($B3735:$E3735,$K3735)=0,"",IF(AND($B3735&lt;&gt;"",$C3735&lt;&gt;"",$D3735&lt;&gt;"",$E3735&lt;&gt;""),"TXS"&amp;TEXT(COUNTIFS($B$2:$B3735,"&lt;&gt;",$C$2:$C3735,"&lt;&gt;",$D$2:$D3735,"&lt;&gt;",$E$2:$E3735,"&lt;&gt;"),"00000"),""))</f>
        <v/>
      </c>
      <c r="N3735" s="22"/>
    </row>
    <row r="3736" spans="1:14" x14ac:dyDescent="0.3">
      <c r="A3736" s="15" t="str">
        <f>IF(COUNTA($B3736:$E3736,$K3736)=0,"",IF(AND($B3736&lt;&gt;"",$C3736&lt;&gt;"",$D3736&lt;&gt;"",$E3736&lt;&gt;""),"TXS"&amp;TEXT(COUNTIFS($B$2:$B3736,"&lt;&gt;",$C$2:$C3736,"&lt;&gt;",$D$2:$D3736,"&lt;&gt;",$E$2:$E3736,"&lt;&gt;"),"00000"),""))</f>
        <v/>
      </c>
      <c r="N3736" s="22"/>
    </row>
    <row r="3737" spans="1:14" x14ac:dyDescent="0.3">
      <c r="A3737" s="15" t="str">
        <f>IF(COUNTA($B3737:$E3737,$K3737)=0,"",IF(AND($B3737&lt;&gt;"",$C3737&lt;&gt;"",$D3737&lt;&gt;"",$E3737&lt;&gt;""),"TXS"&amp;TEXT(COUNTIFS($B$2:$B3737,"&lt;&gt;",$C$2:$C3737,"&lt;&gt;",$D$2:$D3737,"&lt;&gt;",$E$2:$E3737,"&lt;&gt;"),"00000"),""))</f>
        <v/>
      </c>
      <c r="N3737" s="22"/>
    </row>
    <row r="3738" spans="1:14" x14ac:dyDescent="0.3">
      <c r="A3738" s="15" t="str">
        <f>IF(COUNTA($B3738:$E3738,$K3738)=0,"",IF(AND($B3738&lt;&gt;"",$C3738&lt;&gt;"",$D3738&lt;&gt;"",$E3738&lt;&gt;""),"TXS"&amp;TEXT(COUNTIFS($B$2:$B3738,"&lt;&gt;",$C$2:$C3738,"&lt;&gt;",$D$2:$D3738,"&lt;&gt;",$E$2:$E3738,"&lt;&gt;"),"00000"),""))</f>
        <v/>
      </c>
      <c r="N3738" s="22"/>
    </row>
    <row r="3739" spans="1:14" x14ac:dyDescent="0.3">
      <c r="A3739" s="15" t="str">
        <f>IF(COUNTA($B3739:$E3739,$K3739)=0,"",IF(AND($B3739&lt;&gt;"",$C3739&lt;&gt;"",$D3739&lt;&gt;"",$E3739&lt;&gt;""),"TXS"&amp;TEXT(COUNTIFS($B$2:$B3739,"&lt;&gt;",$C$2:$C3739,"&lt;&gt;",$D$2:$D3739,"&lt;&gt;",$E$2:$E3739,"&lt;&gt;"),"00000"),""))</f>
        <v/>
      </c>
      <c r="N3739" s="22"/>
    </row>
    <row r="3740" spans="1:14" x14ac:dyDescent="0.3">
      <c r="A3740" s="15" t="str">
        <f>IF(COUNTA($B3740:$E3740,$K3740)=0,"",IF(AND($B3740&lt;&gt;"",$C3740&lt;&gt;"",$D3740&lt;&gt;"",$E3740&lt;&gt;""),"TXS"&amp;TEXT(COUNTIFS($B$2:$B3740,"&lt;&gt;",$C$2:$C3740,"&lt;&gt;",$D$2:$D3740,"&lt;&gt;",$E$2:$E3740,"&lt;&gt;"),"00000"),""))</f>
        <v/>
      </c>
      <c r="N3740" s="22"/>
    </row>
    <row r="3741" spans="1:14" x14ac:dyDescent="0.3">
      <c r="A3741" s="15" t="str">
        <f>IF(COUNTA($B3741:$E3741,$K3741)=0,"",IF(AND($B3741&lt;&gt;"",$C3741&lt;&gt;"",$D3741&lt;&gt;"",$E3741&lt;&gt;""),"TXS"&amp;TEXT(COUNTIFS($B$2:$B3741,"&lt;&gt;",$C$2:$C3741,"&lt;&gt;",$D$2:$D3741,"&lt;&gt;",$E$2:$E3741,"&lt;&gt;"),"00000"),""))</f>
        <v/>
      </c>
      <c r="N3741" s="22"/>
    </row>
    <row r="3742" spans="1:14" x14ac:dyDescent="0.3">
      <c r="A3742" s="15" t="str">
        <f>IF(COUNTA($B3742:$E3742,$K3742)=0,"",IF(AND($B3742&lt;&gt;"",$C3742&lt;&gt;"",$D3742&lt;&gt;"",$E3742&lt;&gt;""),"TXS"&amp;TEXT(COUNTIFS($B$2:$B3742,"&lt;&gt;",$C$2:$C3742,"&lt;&gt;",$D$2:$D3742,"&lt;&gt;",$E$2:$E3742,"&lt;&gt;"),"00000"),""))</f>
        <v/>
      </c>
      <c r="N3742" s="22"/>
    </row>
    <row r="3743" spans="1:14" x14ac:dyDescent="0.3">
      <c r="A3743" s="15" t="str">
        <f>IF(COUNTA($B3743:$E3743,$K3743)=0,"",IF(AND($B3743&lt;&gt;"",$C3743&lt;&gt;"",$D3743&lt;&gt;"",$E3743&lt;&gt;""),"TXS"&amp;TEXT(COUNTIFS($B$2:$B3743,"&lt;&gt;",$C$2:$C3743,"&lt;&gt;",$D$2:$D3743,"&lt;&gt;",$E$2:$E3743,"&lt;&gt;"),"00000"),""))</f>
        <v/>
      </c>
      <c r="N3743" s="22"/>
    </row>
    <row r="3744" spans="1:14" x14ac:dyDescent="0.3">
      <c r="A3744" s="15" t="str">
        <f>IF(COUNTA($B3744:$E3744,$K3744)=0,"",IF(AND($B3744&lt;&gt;"",$C3744&lt;&gt;"",$D3744&lt;&gt;"",$E3744&lt;&gt;""),"TXS"&amp;TEXT(COUNTIFS($B$2:$B3744,"&lt;&gt;",$C$2:$C3744,"&lt;&gt;",$D$2:$D3744,"&lt;&gt;",$E$2:$E3744,"&lt;&gt;"),"00000"),""))</f>
        <v/>
      </c>
      <c r="N3744" s="22"/>
    </row>
    <row r="3745" spans="1:14" x14ac:dyDescent="0.3">
      <c r="A3745" s="15" t="str">
        <f>IF(COUNTA($B3745:$E3745,$K3745)=0,"",IF(AND($B3745&lt;&gt;"",$C3745&lt;&gt;"",$D3745&lt;&gt;"",$E3745&lt;&gt;""),"TXS"&amp;TEXT(COUNTIFS($B$2:$B3745,"&lt;&gt;",$C$2:$C3745,"&lt;&gt;",$D$2:$D3745,"&lt;&gt;",$E$2:$E3745,"&lt;&gt;"),"00000"),""))</f>
        <v/>
      </c>
      <c r="N3745" s="22"/>
    </row>
    <row r="3746" spans="1:14" x14ac:dyDescent="0.3">
      <c r="A3746" s="15" t="str">
        <f>IF(COUNTA($B3746:$E3746,$K3746)=0,"",IF(AND($B3746&lt;&gt;"",$C3746&lt;&gt;"",$D3746&lt;&gt;"",$E3746&lt;&gt;""),"TXS"&amp;TEXT(COUNTIFS($B$2:$B3746,"&lt;&gt;",$C$2:$C3746,"&lt;&gt;",$D$2:$D3746,"&lt;&gt;",$E$2:$E3746,"&lt;&gt;"),"00000"),""))</f>
        <v/>
      </c>
      <c r="N3746" s="22"/>
    </row>
    <row r="3747" spans="1:14" x14ac:dyDescent="0.3">
      <c r="A3747" s="15" t="str">
        <f>IF(COUNTA($B3747:$E3747,$K3747)=0,"",IF(AND($B3747&lt;&gt;"",$C3747&lt;&gt;"",$D3747&lt;&gt;"",$E3747&lt;&gt;""),"TXS"&amp;TEXT(COUNTIFS($B$2:$B3747,"&lt;&gt;",$C$2:$C3747,"&lt;&gt;",$D$2:$D3747,"&lt;&gt;",$E$2:$E3747,"&lt;&gt;"),"00000"),""))</f>
        <v/>
      </c>
      <c r="N3747" s="22"/>
    </row>
    <row r="3748" spans="1:14" x14ac:dyDescent="0.3">
      <c r="A3748" s="15" t="str">
        <f>IF(COUNTA($B3748:$E3748,$K3748)=0,"",IF(AND($B3748&lt;&gt;"",$C3748&lt;&gt;"",$D3748&lt;&gt;"",$E3748&lt;&gt;""),"TXS"&amp;TEXT(COUNTIFS($B$2:$B3748,"&lt;&gt;",$C$2:$C3748,"&lt;&gt;",$D$2:$D3748,"&lt;&gt;",$E$2:$E3748,"&lt;&gt;"),"00000"),""))</f>
        <v/>
      </c>
      <c r="N3748" s="22"/>
    </row>
    <row r="3749" spans="1:14" x14ac:dyDescent="0.3">
      <c r="A3749" s="15" t="str">
        <f>IF(COUNTA($B3749:$E3749,$K3749)=0,"",IF(AND($B3749&lt;&gt;"",$C3749&lt;&gt;"",$D3749&lt;&gt;"",$E3749&lt;&gt;""),"TXS"&amp;TEXT(COUNTIFS($B$2:$B3749,"&lt;&gt;",$C$2:$C3749,"&lt;&gt;",$D$2:$D3749,"&lt;&gt;",$E$2:$E3749,"&lt;&gt;"),"00000"),""))</f>
        <v/>
      </c>
      <c r="N3749" s="22"/>
    </row>
    <row r="3750" spans="1:14" x14ac:dyDescent="0.3">
      <c r="A3750" s="15" t="str">
        <f>IF(COUNTA($B3750:$E3750,$K3750)=0,"",IF(AND($B3750&lt;&gt;"",$C3750&lt;&gt;"",$D3750&lt;&gt;"",$E3750&lt;&gt;""),"TXS"&amp;TEXT(COUNTIFS($B$2:$B3750,"&lt;&gt;",$C$2:$C3750,"&lt;&gt;",$D$2:$D3750,"&lt;&gt;",$E$2:$E3750,"&lt;&gt;"),"00000"),""))</f>
        <v/>
      </c>
      <c r="N3750" s="22"/>
    </row>
    <row r="3751" spans="1:14" x14ac:dyDescent="0.3">
      <c r="A3751" s="15" t="str">
        <f>IF(COUNTA($B3751:$E3751,$K3751)=0,"",IF(AND($B3751&lt;&gt;"",$C3751&lt;&gt;"",$D3751&lt;&gt;"",$E3751&lt;&gt;""),"TXS"&amp;TEXT(COUNTIFS($B$2:$B3751,"&lt;&gt;",$C$2:$C3751,"&lt;&gt;",$D$2:$D3751,"&lt;&gt;",$E$2:$E3751,"&lt;&gt;"),"00000"),""))</f>
        <v/>
      </c>
      <c r="N3751" s="22"/>
    </row>
    <row r="3752" spans="1:14" x14ac:dyDescent="0.3">
      <c r="A3752" s="15" t="str">
        <f>IF(COUNTA($B3752:$E3752,$K3752)=0,"",IF(AND($B3752&lt;&gt;"",$C3752&lt;&gt;"",$D3752&lt;&gt;"",$E3752&lt;&gt;""),"TXS"&amp;TEXT(COUNTIFS($B$2:$B3752,"&lt;&gt;",$C$2:$C3752,"&lt;&gt;",$D$2:$D3752,"&lt;&gt;",$E$2:$E3752,"&lt;&gt;"),"00000"),""))</f>
        <v/>
      </c>
      <c r="N3752" s="22"/>
    </row>
    <row r="3753" spans="1:14" x14ac:dyDescent="0.3">
      <c r="A3753" s="15" t="str">
        <f>IF(COUNTA($B3753:$E3753,$K3753)=0,"",IF(AND($B3753&lt;&gt;"",$C3753&lt;&gt;"",$D3753&lt;&gt;"",$E3753&lt;&gt;""),"TXS"&amp;TEXT(COUNTIFS($B$2:$B3753,"&lt;&gt;",$C$2:$C3753,"&lt;&gt;",$D$2:$D3753,"&lt;&gt;",$E$2:$E3753,"&lt;&gt;"),"00000"),""))</f>
        <v/>
      </c>
      <c r="N3753" s="22"/>
    </row>
    <row r="3754" spans="1:14" x14ac:dyDescent="0.3">
      <c r="A3754" s="15" t="str">
        <f>IF(COUNTA($B3754:$E3754,$K3754)=0,"",IF(AND($B3754&lt;&gt;"",$C3754&lt;&gt;"",$D3754&lt;&gt;"",$E3754&lt;&gt;""),"TXS"&amp;TEXT(COUNTIFS($B$2:$B3754,"&lt;&gt;",$C$2:$C3754,"&lt;&gt;",$D$2:$D3754,"&lt;&gt;",$E$2:$E3754,"&lt;&gt;"),"00000"),""))</f>
        <v/>
      </c>
      <c r="N3754" s="22"/>
    </row>
    <row r="3755" spans="1:14" x14ac:dyDescent="0.3">
      <c r="A3755" s="15" t="str">
        <f>IF(COUNTA($B3755:$E3755,$K3755)=0,"",IF(AND($B3755&lt;&gt;"",$C3755&lt;&gt;"",$D3755&lt;&gt;"",$E3755&lt;&gt;""),"TXS"&amp;TEXT(COUNTIFS($B$2:$B3755,"&lt;&gt;",$C$2:$C3755,"&lt;&gt;",$D$2:$D3755,"&lt;&gt;",$E$2:$E3755,"&lt;&gt;"),"00000"),""))</f>
        <v/>
      </c>
      <c r="N3755" s="22"/>
    </row>
    <row r="3756" spans="1:14" x14ac:dyDescent="0.3">
      <c r="A3756" s="15" t="str">
        <f>IF(COUNTA($B3756:$E3756,$K3756)=0,"",IF(AND($B3756&lt;&gt;"",$C3756&lt;&gt;"",$D3756&lt;&gt;"",$E3756&lt;&gt;""),"TXS"&amp;TEXT(COUNTIFS($B$2:$B3756,"&lt;&gt;",$C$2:$C3756,"&lt;&gt;",$D$2:$D3756,"&lt;&gt;",$E$2:$E3756,"&lt;&gt;"),"00000"),""))</f>
        <v/>
      </c>
      <c r="N3756" s="22"/>
    </row>
    <row r="3757" spans="1:14" x14ac:dyDescent="0.3">
      <c r="A3757" s="15" t="str">
        <f>IF(COUNTA($B3757:$E3757,$K3757)=0,"",IF(AND($B3757&lt;&gt;"",$C3757&lt;&gt;"",$D3757&lt;&gt;"",$E3757&lt;&gt;""),"TXS"&amp;TEXT(COUNTIFS($B$2:$B3757,"&lt;&gt;",$C$2:$C3757,"&lt;&gt;",$D$2:$D3757,"&lt;&gt;",$E$2:$E3757,"&lt;&gt;"),"00000"),""))</f>
        <v/>
      </c>
      <c r="N3757" s="22"/>
    </row>
    <row r="3758" spans="1:14" x14ac:dyDescent="0.3">
      <c r="A3758" s="15" t="str">
        <f>IF(COUNTA($B3758:$E3758,$K3758)=0,"",IF(AND($B3758&lt;&gt;"",$C3758&lt;&gt;"",$D3758&lt;&gt;"",$E3758&lt;&gt;""),"TXS"&amp;TEXT(COUNTIFS($B$2:$B3758,"&lt;&gt;",$C$2:$C3758,"&lt;&gt;",$D$2:$D3758,"&lt;&gt;",$E$2:$E3758,"&lt;&gt;"),"00000"),""))</f>
        <v/>
      </c>
      <c r="N3758" s="22"/>
    </row>
    <row r="3759" spans="1:14" x14ac:dyDescent="0.3">
      <c r="A3759" s="15" t="str">
        <f>IF(COUNTA($B3759:$E3759,$K3759)=0,"",IF(AND($B3759&lt;&gt;"",$C3759&lt;&gt;"",$D3759&lt;&gt;"",$E3759&lt;&gt;""),"TXS"&amp;TEXT(COUNTIFS($B$2:$B3759,"&lt;&gt;",$C$2:$C3759,"&lt;&gt;",$D$2:$D3759,"&lt;&gt;",$E$2:$E3759,"&lt;&gt;"),"00000"),""))</f>
        <v/>
      </c>
      <c r="N3759" s="22"/>
    </row>
    <row r="3760" spans="1:14" x14ac:dyDescent="0.3">
      <c r="A3760" s="15" t="str">
        <f>IF(COUNTA($B3760:$E3760,$K3760)=0,"",IF(AND($B3760&lt;&gt;"",$C3760&lt;&gt;"",$D3760&lt;&gt;"",$E3760&lt;&gt;""),"TXS"&amp;TEXT(COUNTIFS($B$2:$B3760,"&lt;&gt;",$C$2:$C3760,"&lt;&gt;",$D$2:$D3760,"&lt;&gt;",$E$2:$E3760,"&lt;&gt;"),"00000"),""))</f>
        <v/>
      </c>
      <c r="N3760" s="22"/>
    </row>
    <row r="3761" spans="1:14" x14ac:dyDescent="0.3">
      <c r="A3761" s="15" t="str">
        <f>IF(COUNTA($B3761:$E3761,$K3761)=0,"",IF(AND($B3761&lt;&gt;"",$C3761&lt;&gt;"",$D3761&lt;&gt;"",$E3761&lt;&gt;""),"TXS"&amp;TEXT(COUNTIFS($B$2:$B3761,"&lt;&gt;",$C$2:$C3761,"&lt;&gt;",$D$2:$D3761,"&lt;&gt;",$E$2:$E3761,"&lt;&gt;"),"00000"),""))</f>
        <v/>
      </c>
      <c r="N3761" s="22"/>
    </row>
    <row r="3762" spans="1:14" x14ac:dyDescent="0.3">
      <c r="A3762" s="15" t="str">
        <f>IF(COUNTA($B3762:$E3762,$K3762)=0,"",IF(AND($B3762&lt;&gt;"",$C3762&lt;&gt;"",$D3762&lt;&gt;"",$E3762&lt;&gt;""),"TXS"&amp;TEXT(COUNTIFS($B$2:$B3762,"&lt;&gt;",$C$2:$C3762,"&lt;&gt;",$D$2:$D3762,"&lt;&gt;",$E$2:$E3762,"&lt;&gt;"),"00000"),""))</f>
        <v/>
      </c>
      <c r="N3762" s="22"/>
    </row>
    <row r="3763" spans="1:14" x14ac:dyDescent="0.3">
      <c r="A3763" s="15" t="str">
        <f>IF(COUNTA($B3763:$E3763,$K3763)=0,"",IF(AND($B3763&lt;&gt;"",$C3763&lt;&gt;"",$D3763&lt;&gt;"",$E3763&lt;&gt;""),"TXS"&amp;TEXT(COUNTIFS($B$2:$B3763,"&lt;&gt;",$C$2:$C3763,"&lt;&gt;",$D$2:$D3763,"&lt;&gt;",$E$2:$E3763,"&lt;&gt;"),"00000"),""))</f>
        <v/>
      </c>
      <c r="N3763" s="22"/>
    </row>
    <row r="3764" spans="1:14" x14ac:dyDescent="0.3">
      <c r="A3764" s="15" t="str">
        <f>IF(COUNTA($B3764:$E3764,$K3764)=0,"",IF(AND($B3764&lt;&gt;"",$C3764&lt;&gt;"",$D3764&lt;&gt;"",$E3764&lt;&gt;""),"TXS"&amp;TEXT(COUNTIFS($B$2:$B3764,"&lt;&gt;",$C$2:$C3764,"&lt;&gt;",$D$2:$D3764,"&lt;&gt;",$E$2:$E3764,"&lt;&gt;"),"00000"),""))</f>
        <v/>
      </c>
      <c r="N3764" s="22"/>
    </row>
    <row r="3765" spans="1:14" x14ac:dyDescent="0.3">
      <c r="A3765" s="15" t="str">
        <f>IF(COUNTA($B3765:$E3765,$K3765)=0,"",IF(AND($B3765&lt;&gt;"",$C3765&lt;&gt;"",$D3765&lt;&gt;"",$E3765&lt;&gt;""),"TXS"&amp;TEXT(COUNTIFS($B$2:$B3765,"&lt;&gt;",$C$2:$C3765,"&lt;&gt;",$D$2:$D3765,"&lt;&gt;",$E$2:$E3765,"&lt;&gt;"),"00000"),""))</f>
        <v/>
      </c>
      <c r="N3765" s="22"/>
    </row>
    <row r="3766" spans="1:14" x14ac:dyDescent="0.3">
      <c r="A3766" s="15" t="str">
        <f>IF(COUNTA($B3766:$E3766,$K3766)=0,"",IF(AND($B3766&lt;&gt;"",$C3766&lt;&gt;"",$D3766&lt;&gt;"",$E3766&lt;&gt;""),"TXS"&amp;TEXT(COUNTIFS($B$2:$B3766,"&lt;&gt;",$C$2:$C3766,"&lt;&gt;",$D$2:$D3766,"&lt;&gt;",$E$2:$E3766,"&lt;&gt;"),"00000"),""))</f>
        <v/>
      </c>
      <c r="N3766" s="22"/>
    </row>
    <row r="3767" spans="1:14" x14ac:dyDescent="0.3">
      <c r="A3767" s="15" t="str">
        <f>IF(COUNTA($B3767:$E3767,$K3767)=0,"",IF(AND($B3767&lt;&gt;"",$C3767&lt;&gt;"",$D3767&lt;&gt;"",$E3767&lt;&gt;""),"TXS"&amp;TEXT(COUNTIFS($B$2:$B3767,"&lt;&gt;",$C$2:$C3767,"&lt;&gt;",$D$2:$D3767,"&lt;&gt;",$E$2:$E3767,"&lt;&gt;"),"00000"),""))</f>
        <v/>
      </c>
      <c r="N3767" s="22"/>
    </row>
    <row r="3768" spans="1:14" x14ac:dyDescent="0.3">
      <c r="A3768" s="15" t="str">
        <f>IF(COUNTA($B3768:$E3768,$K3768)=0,"",IF(AND($B3768&lt;&gt;"",$C3768&lt;&gt;"",$D3768&lt;&gt;"",$E3768&lt;&gt;""),"TXS"&amp;TEXT(COUNTIFS($B$2:$B3768,"&lt;&gt;",$C$2:$C3768,"&lt;&gt;",$D$2:$D3768,"&lt;&gt;",$E$2:$E3768,"&lt;&gt;"),"00000"),""))</f>
        <v/>
      </c>
      <c r="N3768" s="22"/>
    </row>
    <row r="3769" spans="1:14" x14ac:dyDescent="0.3">
      <c r="A3769" s="15" t="str">
        <f>IF(COUNTA($B3769:$E3769,$K3769)=0,"",IF(AND($B3769&lt;&gt;"",$C3769&lt;&gt;"",$D3769&lt;&gt;"",$E3769&lt;&gt;""),"TXS"&amp;TEXT(COUNTIFS($B$2:$B3769,"&lt;&gt;",$C$2:$C3769,"&lt;&gt;",$D$2:$D3769,"&lt;&gt;",$E$2:$E3769,"&lt;&gt;"),"00000"),""))</f>
        <v/>
      </c>
      <c r="N3769" s="22"/>
    </row>
    <row r="3770" spans="1:14" x14ac:dyDescent="0.3">
      <c r="A3770" s="15" t="str">
        <f>IF(COUNTA($B3770:$E3770,$K3770)=0,"",IF(AND($B3770&lt;&gt;"",$C3770&lt;&gt;"",$D3770&lt;&gt;"",$E3770&lt;&gt;""),"TXS"&amp;TEXT(COUNTIFS($B$2:$B3770,"&lt;&gt;",$C$2:$C3770,"&lt;&gt;",$D$2:$D3770,"&lt;&gt;",$E$2:$E3770,"&lt;&gt;"),"00000"),""))</f>
        <v/>
      </c>
      <c r="N3770" s="22"/>
    </row>
    <row r="3771" spans="1:14" x14ac:dyDescent="0.3">
      <c r="A3771" s="15" t="str">
        <f>IF(COUNTA($B3771:$E3771,$K3771)=0,"",IF(AND($B3771&lt;&gt;"",$C3771&lt;&gt;"",$D3771&lt;&gt;"",$E3771&lt;&gt;""),"TXS"&amp;TEXT(COUNTIFS($B$2:$B3771,"&lt;&gt;",$C$2:$C3771,"&lt;&gt;",$D$2:$D3771,"&lt;&gt;",$E$2:$E3771,"&lt;&gt;"),"00000"),""))</f>
        <v/>
      </c>
      <c r="N3771" s="22"/>
    </row>
    <row r="3772" spans="1:14" x14ac:dyDescent="0.3">
      <c r="A3772" s="15" t="str">
        <f>IF(COUNTA($B3772:$E3772,$K3772)=0,"",IF(AND($B3772&lt;&gt;"",$C3772&lt;&gt;"",$D3772&lt;&gt;"",$E3772&lt;&gt;""),"TXS"&amp;TEXT(COUNTIFS($B$2:$B3772,"&lt;&gt;",$C$2:$C3772,"&lt;&gt;",$D$2:$D3772,"&lt;&gt;",$E$2:$E3772,"&lt;&gt;"),"00000"),""))</f>
        <v/>
      </c>
      <c r="N3772" s="22"/>
    </row>
    <row r="3773" spans="1:14" x14ac:dyDescent="0.3">
      <c r="A3773" s="15" t="str">
        <f>IF(COUNTA($B3773:$E3773,$K3773)=0,"",IF(AND($B3773&lt;&gt;"",$C3773&lt;&gt;"",$D3773&lt;&gt;"",$E3773&lt;&gt;""),"TXS"&amp;TEXT(COUNTIFS($B$2:$B3773,"&lt;&gt;",$C$2:$C3773,"&lt;&gt;",$D$2:$D3773,"&lt;&gt;",$E$2:$E3773,"&lt;&gt;"),"00000"),""))</f>
        <v/>
      </c>
      <c r="N3773" s="22"/>
    </row>
    <row r="3774" spans="1:14" x14ac:dyDescent="0.3">
      <c r="A3774" s="15" t="str">
        <f>IF(COUNTA($B3774:$E3774,$K3774)=0,"",IF(AND($B3774&lt;&gt;"",$C3774&lt;&gt;"",$D3774&lt;&gt;"",$E3774&lt;&gt;""),"TXS"&amp;TEXT(COUNTIFS($B$2:$B3774,"&lt;&gt;",$C$2:$C3774,"&lt;&gt;",$D$2:$D3774,"&lt;&gt;",$E$2:$E3774,"&lt;&gt;"),"00000"),""))</f>
        <v/>
      </c>
      <c r="N3774" s="22"/>
    </row>
    <row r="3775" spans="1:14" x14ac:dyDescent="0.3">
      <c r="A3775" s="15" t="str">
        <f>IF(COUNTA($B3775:$E3775,$K3775)=0,"",IF(AND($B3775&lt;&gt;"",$C3775&lt;&gt;"",$D3775&lt;&gt;"",$E3775&lt;&gt;""),"TXS"&amp;TEXT(COUNTIFS($B$2:$B3775,"&lt;&gt;",$C$2:$C3775,"&lt;&gt;",$D$2:$D3775,"&lt;&gt;",$E$2:$E3775,"&lt;&gt;"),"00000"),""))</f>
        <v/>
      </c>
      <c r="N3775" s="22"/>
    </row>
    <row r="3776" spans="1:14" x14ac:dyDescent="0.3">
      <c r="A3776" s="15" t="str">
        <f>IF(COUNTA($B3776:$E3776,$K3776)=0,"",IF(AND($B3776&lt;&gt;"",$C3776&lt;&gt;"",$D3776&lt;&gt;"",$E3776&lt;&gt;""),"TXS"&amp;TEXT(COUNTIFS($B$2:$B3776,"&lt;&gt;",$C$2:$C3776,"&lt;&gt;",$D$2:$D3776,"&lt;&gt;",$E$2:$E3776,"&lt;&gt;"),"00000"),""))</f>
        <v/>
      </c>
      <c r="N3776" s="22"/>
    </row>
    <row r="3777" spans="1:14" x14ac:dyDescent="0.3">
      <c r="A3777" s="15" t="str">
        <f>IF(COUNTA($B3777:$E3777,$K3777)=0,"",IF(AND($B3777&lt;&gt;"",$C3777&lt;&gt;"",$D3777&lt;&gt;"",$E3777&lt;&gt;""),"TXS"&amp;TEXT(COUNTIFS($B$2:$B3777,"&lt;&gt;",$C$2:$C3777,"&lt;&gt;",$D$2:$D3777,"&lt;&gt;",$E$2:$E3777,"&lt;&gt;"),"00000"),""))</f>
        <v/>
      </c>
      <c r="N3777" s="22"/>
    </row>
    <row r="3778" spans="1:14" x14ac:dyDescent="0.3">
      <c r="A3778" s="15" t="str">
        <f>IF(COUNTA($B3778:$E3778,$K3778)=0,"",IF(AND($B3778&lt;&gt;"",$C3778&lt;&gt;"",$D3778&lt;&gt;"",$E3778&lt;&gt;""),"TXS"&amp;TEXT(COUNTIFS($B$2:$B3778,"&lt;&gt;",$C$2:$C3778,"&lt;&gt;",$D$2:$D3778,"&lt;&gt;",$E$2:$E3778,"&lt;&gt;"),"00000"),""))</f>
        <v/>
      </c>
      <c r="N3778" s="22"/>
    </row>
    <row r="3779" spans="1:14" x14ac:dyDescent="0.3">
      <c r="A3779" s="15" t="str">
        <f>IF(COUNTA($B3779:$E3779,$K3779)=0,"",IF(AND($B3779&lt;&gt;"",$C3779&lt;&gt;"",$D3779&lt;&gt;"",$E3779&lt;&gt;""),"TXS"&amp;TEXT(COUNTIFS($B$2:$B3779,"&lt;&gt;",$C$2:$C3779,"&lt;&gt;",$D$2:$D3779,"&lt;&gt;",$E$2:$E3779,"&lt;&gt;"),"00000"),""))</f>
        <v/>
      </c>
      <c r="N3779" s="22"/>
    </row>
    <row r="3780" spans="1:14" x14ac:dyDescent="0.3">
      <c r="A3780" s="15" t="str">
        <f>IF(COUNTA($B3780:$E3780,$K3780)=0,"",IF(AND($B3780&lt;&gt;"",$C3780&lt;&gt;"",$D3780&lt;&gt;"",$E3780&lt;&gt;""),"TXS"&amp;TEXT(COUNTIFS($B$2:$B3780,"&lt;&gt;",$C$2:$C3780,"&lt;&gt;",$D$2:$D3780,"&lt;&gt;",$E$2:$E3780,"&lt;&gt;"),"00000"),""))</f>
        <v/>
      </c>
      <c r="N3780" s="22"/>
    </row>
    <row r="3781" spans="1:14" x14ac:dyDescent="0.3">
      <c r="A3781" s="15" t="str">
        <f>IF(COUNTA($B3781:$E3781,$K3781)=0,"",IF(AND($B3781&lt;&gt;"",$C3781&lt;&gt;"",$D3781&lt;&gt;"",$E3781&lt;&gt;""),"TXS"&amp;TEXT(COUNTIFS($B$2:$B3781,"&lt;&gt;",$C$2:$C3781,"&lt;&gt;",$D$2:$D3781,"&lt;&gt;",$E$2:$E3781,"&lt;&gt;"),"00000"),""))</f>
        <v/>
      </c>
      <c r="N3781" s="22"/>
    </row>
    <row r="3782" spans="1:14" x14ac:dyDescent="0.3">
      <c r="A3782" s="15" t="str">
        <f>IF(COUNTA($B3782:$E3782,$K3782)=0,"",IF(AND($B3782&lt;&gt;"",$C3782&lt;&gt;"",$D3782&lt;&gt;"",$E3782&lt;&gt;""),"TXS"&amp;TEXT(COUNTIFS($B$2:$B3782,"&lt;&gt;",$C$2:$C3782,"&lt;&gt;",$D$2:$D3782,"&lt;&gt;",$E$2:$E3782,"&lt;&gt;"),"00000"),""))</f>
        <v/>
      </c>
      <c r="N3782" s="22"/>
    </row>
    <row r="3783" spans="1:14" x14ac:dyDescent="0.3">
      <c r="A3783" s="15" t="str">
        <f>IF(COUNTA($B3783:$E3783,$K3783)=0,"",IF(AND($B3783&lt;&gt;"",$C3783&lt;&gt;"",$D3783&lt;&gt;"",$E3783&lt;&gt;""),"TXS"&amp;TEXT(COUNTIFS($B$2:$B3783,"&lt;&gt;",$C$2:$C3783,"&lt;&gt;",$D$2:$D3783,"&lt;&gt;",$E$2:$E3783,"&lt;&gt;"),"00000"),""))</f>
        <v/>
      </c>
      <c r="N3783" s="22"/>
    </row>
    <row r="3784" spans="1:14" x14ac:dyDescent="0.3">
      <c r="A3784" s="15" t="str">
        <f>IF(COUNTA($B3784:$E3784,$K3784)=0,"",IF(AND($B3784&lt;&gt;"",$C3784&lt;&gt;"",$D3784&lt;&gt;"",$E3784&lt;&gt;""),"TXS"&amp;TEXT(COUNTIFS($B$2:$B3784,"&lt;&gt;",$C$2:$C3784,"&lt;&gt;",$D$2:$D3784,"&lt;&gt;",$E$2:$E3784,"&lt;&gt;"),"00000"),""))</f>
        <v/>
      </c>
      <c r="N3784" s="22"/>
    </row>
    <row r="3785" spans="1:14" x14ac:dyDescent="0.3">
      <c r="A3785" s="15" t="str">
        <f>IF(COUNTA($B3785:$E3785,$K3785)=0,"",IF(AND($B3785&lt;&gt;"",$C3785&lt;&gt;"",$D3785&lt;&gt;"",$E3785&lt;&gt;""),"TXS"&amp;TEXT(COUNTIFS($B$2:$B3785,"&lt;&gt;",$C$2:$C3785,"&lt;&gt;",$D$2:$D3785,"&lt;&gt;",$E$2:$E3785,"&lt;&gt;"),"00000"),""))</f>
        <v/>
      </c>
      <c r="N3785" s="22"/>
    </row>
    <row r="3786" spans="1:14" x14ac:dyDescent="0.3">
      <c r="A3786" s="15" t="str">
        <f>IF(COUNTA($B3786:$E3786,$K3786)=0,"",IF(AND($B3786&lt;&gt;"",$C3786&lt;&gt;"",$D3786&lt;&gt;"",$E3786&lt;&gt;""),"TXS"&amp;TEXT(COUNTIFS($B$2:$B3786,"&lt;&gt;",$C$2:$C3786,"&lt;&gt;",$D$2:$D3786,"&lt;&gt;",$E$2:$E3786,"&lt;&gt;"),"00000"),""))</f>
        <v/>
      </c>
      <c r="N3786" s="22"/>
    </row>
    <row r="3787" spans="1:14" x14ac:dyDescent="0.3">
      <c r="A3787" s="15" t="str">
        <f>IF(COUNTA($B3787:$E3787,$K3787)=0,"",IF(AND($B3787&lt;&gt;"",$C3787&lt;&gt;"",$D3787&lt;&gt;"",$E3787&lt;&gt;""),"TXS"&amp;TEXT(COUNTIFS($B$2:$B3787,"&lt;&gt;",$C$2:$C3787,"&lt;&gt;",$D$2:$D3787,"&lt;&gt;",$E$2:$E3787,"&lt;&gt;"),"00000"),""))</f>
        <v/>
      </c>
      <c r="N3787" s="22"/>
    </row>
    <row r="3788" spans="1:14" x14ac:dyDescent="0.3">
      <c r="A3788" s="15" t="str">
        <f>IF(COUNTA($B3788:$E3788,$K3788)=0,"",IF(AND($B3788&lt;&gt;"",$C3788&lt;&gt;"",$D3788&lt;&gt;"",$E3788&lt;&gt;""),"TXS"&amp;TEXT(COUNTIFS($B$2:$B3788,"&lt;&gt;",$C$2:$C3788,"&lt;&gt;",$D$2:$D3788,"&lt;&gt;",$E$2:$E3788,"&lt;&gt;"),"00000"),""))</f>
        <v/>
      </c>
      <c r="N3788" s="22"/>
    </row>
    <row r="3789" spans="1:14" x14ac:dyDescent="0.3">
      <c r="A3789" s="15" t="str">
        <f>IF(COUNTA($B3789:$E3789,$K3789)=0,"",IF(AND($B3789&lt;&gt;"",$C3789&lt;&gt;"",$D3789&lt;&gt;"",$E3789&lt;&gt;""),"TXS"&amp;TEXT(COUNTIFS($B$2:$B3789,"&lt;&gt;",$C$2:$C3789,"&lt;&gt;",$D$2:$D3789,"&lt;&gt;",$E$2:$E3789,"&lt;&gt;"),"00000"),""))</f>
        <v/>
      </c>
      <c r="N3789" s="22"/>
    </row>
    <row r="3790" spans="1:14" x14ac:dyDescent="0.3">
      <c r="A3790" s="15" t="str">
        <f>IF(COUNTA($B3790:$E3790,$K3790)=0,"",IF(AND($B3790&lt;&gt;"",$C3790&lt;&gt;"",$D3790&lt;&gt;"",$E3790&lt;&gt;""),"TXS"&amp;TEXT(COUNTIFS($B$2:$B3790,"&lt;&gt;",$C$2:$C3790,"&lt;&gt;",$D$2:$D3790,"&lt;&gt;",$E$2:$E3790,"&lt;&gt;"),"00000"),""))</f>
        <v/>
      </c>
      <c r="N3790" s="22"/>
    </row>
    <row r="3791" spans="1:14" x14ac:dyDescent="0.3">
      <c r="A3791" s="15" t="str">
        <f>IF(COUNTA($B3791:$E3791,$K3791)=0,"",IF(AND($B3791&lt;&gt;"",$C3791&lt;&gt;"",$D3791&lt;&gt;"",$E3791&lt;&gt;""),"TXS"&amp;TEXT(COUNTIFS($B$2:$B3791,"&lt;&gt;",$C$2:$C3791,"&lt;&gt;",$D$2:$D3791,"&lt;&gt;",$E$2:$E3791,"&lt;&gt;"),"00000"),""))</f>
        <v/>
      </c>
      <c r="N3791" s="22"/>
    </row>
    <row r="3792" spans="1:14" x14ac:dyDescent="0.3">
      <c r="A3792" s="15" t="str">
        <f>IF(COUNTA($B3792:$E3792,$K3792)=0,"",IF(AND($B3792&lt;&gt;"",$C3792&lt;&gt;"",$D3792&lt;&gt;"",$E3792&lt;&gt;""),"TXS"&amp;TEXT(COUNTIFS($B$2:$B3792,"&lt;&gt;",$C$2:$C3792,"&lt;&gt;",$D$2:$D3792,"&lt;&gt;",$E$2:$E3792,"&lt;&gt;"),"00000"),""))</f>
        <v/>
      </c>
      <c r="N3792" s="22"/>
    </row>
    <row r="3793" spans="1:14" x14ac:dyDescent="0.3">
      <c r="A3793" s="15" t="str">
        <f>IF(COUNTA($B3793:$E3793,$K3793)=0,"",IF(AND($B3793&lt;&gt;"",$C3793&lt;&gt;"",$D3793&lt;&gt;"",$E3793&lt;&gt;""),"TXS"&amp;TEXT(COUNTIFS($B$2:$B3793,"&lt;&gt;",$C$2:$C3793,"&lt;&gt;",$D$2:$D3793,"&lt;&gt;",$E$2:$E3793,"&lt;&gt;"),"00000"),""))</f>
        <v/>
      </c>
      <c r="N3793" s="22"/>
    </row>
    <row r="3794" spans="1:14" x14ac:dyDescent="0.3">
      <c r="A3794" s="15" t="str">
        <f>IF(COUNTA($B3794:$E3794,$K3794)=0,"",IF(AND($B3794&lt;&gt;"",$C3794&lt;&gt;"",$D3794&lt;&gt;"",$E3794&lt;&gt;""),"TXS"&amp;TEXT(COUNTIFS($B$2:$B3794,"&lt;&gt;",$C$2:$C3794,"&lt;&gt;",$D$2:$D3794,"&lt;&gt;",$E$2:$E3794,"&lt;&gt;"),"00000"),""))</f>
        <v/>
      </c>
      <c r="N3794" s="22"/>
    </row>
    <row r="3795" spans="1:14" x14ac:dyDescent="0.3">
      <c r="A3795" s="15" t="str">
        <f>IF(COUNTA($B3795:$E3795,$K3795)=0,"",IF(AND($B3795&lt;&gt;"",$C3795&lt;&gt;"",$D3795&lt;&gt;"",$E3795&lt;&gt;""),"TXS"&amp;TEXT(COUNTIFS($B$2:$B3795,"&lt;&gt;",$C$2:$C3795,"&lt;&gt;",$D$2:$D3795,"&lt;&gt;",$E$2:$E3795,"&lt;&gt;"),"00000"),""))</f>
        <v/>
      </c>
      <c r="N3795" s="22"/>
    </row>
    <row r="3796" spans="1:14" x14ac:dyDescent="0.3">
      <c r="A3796" s="15" t="str">
        <f>IF(COUNTA($B3796:$E3796,$K3796)=0,"",IF(AND($B3796&lt;&gt;"",$C3796&lt;&gt;"",$D3796&lt;&gt;"",$E3796&lt;&gt;""),"TXS"&amp;TEXT(COUNTIFS($B$2:$B3796,"&lt;&gt;",$C$2:$C3796,"&lt;&gt;",$D$2:$D3796,"&lt;&gt;",$E$2:$E3796,"&lt;&gt;"),"00000"),""))</f>
        <v/>
      </c>
      <c r="N3796" s="22"/>
    </row>
    <row r="3797" spans="1:14" x14ac:dyDescent="0.3">
      <c r="A3797" s="15" t="str">
        <f>IF(COUNTA($B3797:$E3797,$K3797)=0,"",IF(AND($B3797&lt;&gt;"",$C3797&lt;&gt;"",$D3797&lt;&gt;"",$E3797&lt;&gt;""),"TXS"&amp;TEXT(COUNTIFS($B$2:$B3797,"&lt;&gt;",$C$2:$C3797,"&lt;&gt;",$D$2:$D3797,"&lt;&gt;",$E$2:$E3797,"&lt;&gt;"),"00000"),""))</f>
        <v/>
      </c>
      <c r="N3797" s="22"/>
    </row>
    <row r="3798" spans="1:14" x14ac:dyDescent="0.3">
      <c r="A3798" s="15" t="str">
        <f>IF(COUNTA($B3798:$E3798,$K3798)=0,"",IF(AND($B3798&lt;&gt;"",$C3798&lt;&gt;"",$D3798&lt;&gt;"",$E3798&lt;&gt;""),"TXS"&amp;TEXT(COUNTIFS($B$2:$B3798,"&lt;&gt;",$C$2:$C3798,"&lt;&gt;",$D$2:$D3798,"&lt;&gt;",$E$2:$E3798,"&lt;&gt;"),"00000"),""))</f>
        <v/>
      </c>
      <c r="N3798" s="22"/>
    </row>
    <row r="3799" spans="1:14" x14ac:dyDescent="0.3">
      <c r="A3799" s="15" t="str">
        <f>IF(COUNTA($B3799:$E3799,$K3799)=0,"",IF(AND($B3799&lt;&gt;"",$C3799&lt;&gt;"",$D3799&lt;&gt;"",$E3799&lt;&gt;""),"TXS"&amp;TEXT(COUNTIFS($B$2:$B3799,"&lt;&gt;",$C$2:$C3799,"&lt;&gt;",$D$2:$D3799,"&lt;&gt;",$E$2:$E3799,"&lt;&gt;"),"00000"),""))</f>
        <v/>
      </c>
      <c r="N3799" s="22"/>
    </row>
    <row r="3800" spans="1:14" x14ac:dyDescent="0.3">
      <c r="A3800" s="15" t="str">
        <f>IF(COUNTA($B3800:$E3800,$K3800)=0,"",IF(AND($B3800&lt;&gt;"",$C3800&lt;&gt;"",$D3800&lt;&gt;"",$E3800&lt;&gt;""),"TXS"&amp;TEXT(COUNTIFS($B$2:$B3800,"&lt;&gt;",$C$2:$C3800,"&lt;&gt;",$D$2:$D3800,"&lt;&gt;",$E$2:$E3800,"&lt;&gt;"),"00000"),""))</f>
        <v/>
      </c>
      <c r="N3800" s="22"/>
    </row>
    <row r="3801" spans="1:14" x14ac:dyDescent="0.3">
      <c r="A3801" s="15" t="str">
        <f>IF(COUNTA($B3801:$E3801,$K3801)=0,"",IF(AND($B3801&lt;&gt;"",$C3801&lt;&gt;"",$D3801&lt;&gt;"",$E3801&lt;&gt;""),"TXS"&amp;TEXT(COUNTIFS($B$2:$B3801,"&lt;&gt;",$C$2:$C3801,"&lt;&gt;",$D$2:$D3801,"&lt;&gt;",$E$2:$E3801,"&lt;&gt;"),"00000"),""))</f>
        <v/>
      </c>
      <c r="N3801" s="22"/>
    </row>
    <row r="3802" spans="1:14" x14ac:dyDescent="0.3">
      <c r="A3802" s="15" t="str">
        <f>IF(COUNTA($B3802:$E3802,$K3802)=0,"",IF(AND($B3802&lt;&gt;"",$C3802&lt;&gt;"",$D3802&lt;&gt;"",$E3802&lt;&gt;""),"TXS"&amp;TEXT(COUNTIFS($B$2:$B3802,"&lt;&gt;",$C$2:$C3802,"&lt;&gt;",$D$2:$D3802,"&lt;&gt;",$E$2:$E3802,"&lt;&gt;"),"00000"),""))</f>
        <v/>
      </c>
      <c r="N3802" s="22"/>
    </row>
    <row r="3803" spans="1:14" x14ac:dyDescent="0.3">
      <c r="A3803" s="15" t="str">
        <f>IF(COUNTA($B3803:$E3803,$K3803)=0,"",IF(AND($B3803&lt;&gt;"",$C3803&lt;&gt;"",$D3803&lt;&gt;"",$E3803&lt;&gt;""),"TXS"&amp;TEXT(COUNTIFS($B$2:$B3803,"&lt;&gt;",$C$2:$C3803,"&lt;&gt;",$D$2:$D3803,"&lt;&gt;",$E$2:$E3803,"&lt;&gt;"),"00000"),""))</f>
        <v/>
      </c>
      <c r="N3803" s="22"/>
    </row>
    <row r="3804" spans="1:14" x14ac:dyDescent="0.3">
      <c r="A3804" s="15" t="str">
        <f>IF(COUNTA($B3804:$E3804,$K3804)=0,"",IF(AND($B3804&lt;&gt;"",$C3804&lt;&gt;"",$D3804&lt;&gt;"",$E3804&lt;&gt;""),"TXS"&amp;TEXT(COUNTIFS($B$2:$B3804,"&lt;&gt;",$C$2:$C3804,"&lt;&gt;",$D$2:$D3804,"&lt;&gt;",$E$2:$E3804,"&lt;&gt;"),"00000"),""))</f>
        <v/>
      </c>
      <c r="N3804" s="22"/>
    </row>
    <row r="3805" spans="1:14" x14ac:dyDescent="0.3">
      <c r="A3805" s="15" t="str">
        <f>IF(COUNTA($B3805:$E3805,$K3805)=0,"",IF(AND($B3805&lt;&gt;"",$C3805&lt;&gt;"",$D3805&lt;&gt;"",$E3805&lt;&gt;""),"TXS"&amp;TEXT(COUNTIFS($B$2:$B3805,"&lt;&gt;",$C$2:$C3805,"&lt;&gt;",$D$2:$D3805,"&lt;&gt;",$E$2:$E3805,"&lt;&gt;"),"00000"),""))</f>
        <v/>
      </c>
      <c r="N3805" s="22"/>
    </row>
    <row r="3806" spans="1:14" x14ac:dyDescent="0.3">
      <c r="A3806" s="15" t="str">
        <f>IF(COUNTA($B3806:$E3806,$K3806)=0,"",IF(AND($B3806&lt;&gt;"",$C3806&lt;&gt;"",$D3806&lt;&gt;"",$E3806&lt;&gt;""),"TXS"&amp;TEXT(COUNTIFS($B$2:$B3806,"&lt;&gt;",$C$2:$C3806,"&lt;&gt;",$D$2:$D3806,"&lt;&gt;",$E$2:$E3806,"&lt;&gt;"),"00000"),""))</f>
        <v/>
      </c>
      <c r="N3806" s="22"/>
    </row>
    <row r="3807" spans="1:14" x14ac:dyDescent="0.3">
      <c r="A3807" s="15" t="str">
        <f>IF(COUNTA($B3807:$E3807,$K3807)=0,"",IF(AND($B3807&lt;&gt;"",$C3807&lt;&gt;"",$D3807&lt;&gt;"",$E3807&lt;&gt;""),"TXS"&amp;TEXT(COUNTIFS($B$2:$B3807,"&lt;&gt;",$C$2:$C3807,"&lt;&gt;",$D$2:$D3807,"&lt;&gt;",$E$2:$E3807,"&lt;&gt;"),"00000"),""))</f>
        <v/>
      </c>
      <c r="N3807" s="22"/>
    </row>
    <row r="3808" spans="1:14" x14ac:dyDescent="0.3">
      <c r="A3808" s="15" t="str">
        <f>IF(COUNTA($B3808:$E3808,$K3808)=0,"",IF(AND($B3808&lt;&gt;"",$C3808&lt;&gt;"",$D3808&lt;&gt;"",$E3808&lt;&gt;""),"TXS"&amp;TEXT(COUNTIFS($B$2:$B3808,"&lt;&gt;",$C$2:$C3808,"&lt;&gt;",$D$2:$D3808,"&lt;&gt;",$E$2:$E3808,"&lt;&gt;"),"00000"),""))</f>
        <v/>
      </c>
      <c r="N3808" s="22"/>
    </row>
    <row r="3809" spans="1:14" x14ac:dyDescent="0.3">
      <c r="A3809" s="15" t="str">
        <f>IF(COUNTA($B3809:$E3809,$K3809)=0,"",IF(AND($B3809&lt;&gt;"",$C3809&lt;&gt;"",$D3809&lt;&gt;"",$E3809&lt;&gt;""),"TXS"&amp;TEXT(COUNTIFS($B$2:$B3809,"&lt;&gt;",$C$2:$C3809,"&lt;&gt;",$D$2:$D3809,"&lt;&gt;",$E$2:$E3809,"&lt;&gt;"),"00000"),""))</f>
        <v/>
      </c>
      <c r="N3809" s="22"/>
    </row>
    <row r="3810" spans="1:14" x14ac:dyDescent="0.3">
      <c r="A3810" s="15" t="str">
        <f>IF(COUNTA($B3810:$E3810,$K3810)=0,"",IF(AND($B3810&lt;&gt;"",$C3810&lt;&gt;"",$D3810&lt;&gt;"",$E3810&lt;&gt;""),"TXS"&amp;TEXT(COUNTIFS($B$2:$B3810,"&lt;&gt;",$C$2:$C3810,"&lt;&gt;",$D$2:$D3810,"&lt;&gt;",$E$2:$E3810,"&lt;&gt;"),"00000"),""))</f>
        <v/>
      </c>
      <c r="N3810" s="22"/>
    </row>
    <row r="3811" spans="1:14" x14ac:dyDescent="0.3">
      <c r="A3811" s="15" t="str">
        <f>IF(COUNTA($B3811:$E3811,$K3811)=0,"",IF(AND($B3811&lt;&gt;"",$C3811&lt;&gt;"",$D3811&lt;&gt;"",$E3811&lt;&gt;""),"TXS"&amp;TEXT(COUNTIFS($B$2:$B3811,"&lt;&gt;",$C$2:$C3811,"&lt;&gt;",$D$2:$D3811,"&lt;&gt;",$E$2:$E3811,"&lt;&gt;"),"00000"),""))</f>
        <v/>
      </c>
      <c r="N3811" s="22"/>
    </row>
    <row r="3812" spans="1:14" x14ac:dyDescent="0.3">
      <c r="A3812" s="15" t="str">
        <f>IF(COUNTA($B3812:$E3812,$K3812)=0,"",IF(AND($B3812&lt;&gt;"",$C3812&lt;&gt;"",$D3812&lt;&gt;"",$E3812&lt;&gt;""),"TXS"&amp;TEXT(COUNTIFS($B$2:$B3812,"&lt;&gt;",$C$2:$C3812,"&lt;&gt;",$D$2:$D3812,"&lt;&gt;",$E$2:$E3812,"&lt;&gt;"),"00000"),""))</f>
        <v/>
      </c>
      <c r="N3812" s="22"/>
    </row>
    <row r="3813" spans="1:14" x14ac:dyDescent="0.3">
      <c r="A3813" s="15" t="str">
        <f>IF(COUNTA($B3813:$E3813,$K3813)=0,"",IF(AND($B3813&lt;&gt;"",$C3813&lt;&gt;"",$D3813&lt;&gt;"",$E3813&lt;&gt;""),"TXS"&amp;TEXT(COUNTIFS($B$2:$B3813,"&lt;&gt;",$C$2:$C3813,"&lt;&gt;",$D$2:$D3813,"&lt;&gt;",$E$2:$E3813,"&lt;&gt;"),"00000"),""))</f>
        <v/>
      </c>
      <c r="N3813" s="22"/>
    </row>
    <row r="3814" spans="1:14" x14ac:dyDescent="0.3">
      <c r="A3814" s="15" t="str">
        <f>IF(COUNTA($B3814:$E3814,$K3814)=0,"",IF(AND($B3814&lt;&gt;"",$C3814&lt;&gt;"",$D3814&lt;&gt;"",$E3814&lt;&gt;""),"TXS"&amp;TEXT(COUNTIFS($B$2:$B3814,"&lt;&gt;",$C$2:$C3814,"&lt;&gt;",$D$2:$D3814,"&lt;&gt;",$E$2:$E3814,"&lt;&gt;"),"00000"),""))</f>
        <v/>
      </c>
      <c r="N3814" s="22"/>
    </row>
    <row r="3815" spans="1:14" x14ac:dyDescent="0.3">
      <c r="A3815" s="15" t="str">
        <f>IF(COUNTA($B3815:$E3815,$K3815)=0,"",IF(AND($B3815&lt;&gt;"",$C3815&lt;&gt;"",$D3815&lt;&gt;"",$E3815&lt;&gt;""),"TXS"&amp;TEXT(COUNTIFS($B$2:$B3815,"&lt;&gt;",$C$2:$C3815,"&lt;&gt;",$D$2:$D3815,"&lt;&gt;",$E$2:$E3815,"&lt;&gt;"),"00000"),""))</f>
        <v/>
      </c>
      <c r="N3815" s="22"/>
    </row>
    <row r="3816" spans="1:14" x14ac:dyDescent="0.3">
      <c r="A3816" s="15" t="str">
        <f>IF(COUNTA($B3816:$E3816,$K3816)=0,"",IF(AND($B3816&lt;&gt;"",$C3816&lt;&gt;"",$D3816&lt;&gt;"",$E3816&lt;&gt;""),"TXS"&amp;TEXT(COUNTIFS($B$2:$B3816,"&lt;&gt;",$C$2:$C3816,"&lt;&gt;",$D$2:$D3816,"&lt;&gt;",$E$2:$E3816,"&lt;&gt;"),"00000"),""))</f>
        <v/>
      </c>
      <c r="N3816" s="22"/>
    </row>
    <row r="3817" spans="1:14" x14ac:dyDescent="0.3">
      <c r="A3817" s="15" t="str">
        <f>IF(COUNTA($B3817:$E3817,$K3817)=0,"",IF(AND($B3817&lt;&gt;"",$C3817&lt;&gt;"",$D3817&lt;&gt;"",$E3817&lt;&gt;""),"TXS"&amp;TEXT(COUNTIFS($B$2:$B3817,"&lt;&gt;",$C$2:$C3817,"&lt;&gt;",$D$2:$D3817,"&lt;&gt;",$E$2:$E3817,"&lt;&gt;"),"00000"),""))</f>
        <v/>
      </c>
      <c r="N3817" s="22"/>
    </row>
    <row r="3818" spans="1:14" x14ac:dyDescent="0.3">
      <c r="A3818" s="15" t="str">
        <f>IF(COUNTA($B3818:$E3818,$K3818)=0,"",IF(AND($B3818&lt;&gt;"",$C3818&lt;&gt;"",$D3818&lt;&gt;"",$E3818&lt;&gt;""),"TXS"&amp;TEXT(COUNTIFS($B$2:$B3818,"&lt;&gt;",$C$2:$C3818,"&lt;&gt;",$D$2:$D3818,"&lt;&gt;",$E$2:$E3818,"&lt;&gt;"),"00000"),""))</f>
        <v/>
      </c>
      <c r="N3818" s="22"/>
    </row>
    <row r="3819" spans="1:14" x14ac:dyDescent="0.3">
      <c r="A3819" s="15" t="str">
        <f>IF(COUNTA($B3819:$E3819,$K3819)=0,"",IF(AND($B3819&lt;&gt;"",$C3819&lt;&gt;"",$D3819&lt;&gt;"",$E3819&lt;&gt;""),"TXS"&amp;TEXT(COUNTIFS($B$2:$B3819,"&lt;&gt;",$C$2:$C3819,"&lt;&gt;",$D$2:$D3819,"&lt;&gt;",$E$2:$E3819,"&lt;&gt;"),"00000"),""))</f>
        <v/>
      </c>
      <c r="N3819" s="22"/>
    </row>
    <row r="3820" spans="1:14" x14ac:dyDescent="0.3">
      <c r="A3820" s="15" t="str">
        <f>IF(COUNTA($B3820:$E3820,$K3820)=0,"",IF(AND($B3820&lt;&gt;"",$C3820&lt;&gt;"",$D3820&lt;&gt;"",$E3820&lt;&gt;""),"TXS"&amp;TEXT(COUNTIFS($B$2:$B3820,"&lt;&gt;",$C$2:$C3820,"&lt;&gt;",$D$2:$D3820,"&lt;&gt;",$E$2:$E3820,"&lt;&gt;"),"00000"),""))</f>
        <v/>
      </c>
      <c r="N3820" s="22"/>
    </row>
    <row r="3821" spans="1:14" x14ac:dyDescent="0.3">
      <c r="A3821" s="15" t="str">
        <f>IF(COUNTA($B3821:$E3821,$K3821)=0,"",IF(AND($B3821&lt;&gt;"",$C3821&lt;&gt;"",$D3821&lt;&gt;"",$E3821&lt;&gt;""),"TXS"&amp;TEXT(COUNTIFS($B$2:$B3821,"&lt;&gt;",$C$2:$C3821,"&lt;&gt;",$D$2:$D3821,"&lt;&gt;",$E$2:$E3821,"&lt;&gt;"),"00000"),""))</f>
        <v/>
      </c>
      <c r="N3821" s="22"/>
    </row>
    <row r="3822" spans="1:14" x14ac:dyDescent="0.3">
      <c r="A3822" s="15" t="str">
        <f>IF(COUNTA($B3822:$E3822,$K3822)=0,"",IF(AND($B3822&lt;&gt;"",$C3822&lt;&gt;"",$D3822&lt;&gt;"",$E3822&lt;&gt;""),"TXS"&amp;TEXT(COUNTIFS($B$2:$B3822,"&lt;&gt;",$C$2:$C3822,"&lt;&gt;",$D$2:$D3822,"&lt;&gt;",$E$2:$E3822,"&lt;&gt;"),"00000"),""))</f>
        <v/>
      </c>
      <c r="N3822" s="22"/>
    </row>
    <row r="3823" spans="1:14" x14ac:dyDescent="0.3">
      <c r="A3823" s="15" t="str">
        <f>IF(COUNTA($B3823:$E3823,$K3823)=0,"",IF(AND($B3823&lt;&gt;"",$C3823&lt;&gt;"",$D3823&lt;&gt;"",$E3823&lt;&gt;""),"TXS"&amp;TEXT(COUNTIFS($B$2:$B3823,"&lt;&gt;",$C$2:$C3823,"&lt;&gt;",$D$2:$D3823,"&lt;&gt;",$E$2:$E3823,"&lt;&gt;"),"00000"),""))</f>
        <v/>
      </c>
      <c r="N3823" s="22"/>
    </row>
    <row r="3824" spans="1:14" x14ac:dyDescent="0.3">
      <c r="A3824" s="15" t="str">
        <f>IF(COUNTA($B3824:$E3824,$K3824)=0,"",IF(AND($B3824&lt;&gt;"",$C3824&lt;&gt;"",$D3824&lt;&gt;"",$E3824&lt;&gt;""),"TXS"&amp;TEXT(COUNTIFS($B$2:$B3824,"&lt;&gt;",$C$2:$C3824,"&lt;&gt;",$D$2:$D3824,"&lt;&gt;",$E$2:$E3824,"&lt;&gt;"),"00000"),""))</f>
        <v/>
      </c>
      <c r="N3824" s="22"/>
    </row>
    <row r="3825" spans="1:14" x14ac:dyDescent="0.3">
      <c r="A3825" s="15" t="str">
        <f>IF(COUNTA($B3825:$E3825,$K3825)=0,"",IF(AND($B3825&lt;&gt;"",$C3825&lt;&gt;"",$D3825&lt;&gt;"",$E3825&lt;&gt;""),"TXS"&amp;TEXT(COUNTIFS($B$2:$B3825,"&lt;&gt;",$C$2:$C3825,"&lt;&gt;",$D$2:$D3825,"&lt;&gt;",$E$2:$E3825,"&lt;&gt;"),"00000"),""))</f>
        <v/>
      </c>
      <c r="N3825" s="22"/>
    </row>
    <row r="3826" spans="1:14" x14ac:dyDescent="0.3">
      <c r="A3826" s="15" t="str">
        <f>IF(COUNTA($B3826:$E3826,$K3826)=0,"",IF(AND($B3826&lt;&gt;"",$C3826&lt;&gt;"",$D3826&lt;&gt;"",$E3826&lt;&gt;""),"TXS"&amp;TEXT(COUNTIFS($B$2:$B3826,"&lt;&gt;",$C$2:$C3826,"&lt;&gt;",$D$2:$D3826,"&lt;&gt;",$E$2:$E3826,"&lt;&gt;"),"00000"),""))</f>
        <v/>
      </c>
      <c r="N3826" s="22"/>
    </row>
    <row r="3827" spans="1:14" x14ac:dyDescent="0.3">
      <c r="A3827" s="15" t="str">
        <f>IF(COUNTA($B3827:$E3827,$K3827)=0,"",IF(AND($B3827&lt;&gt;"",$C3827&lt;&gt;"",$D3827&lt;&gt;"",$E3827&lt;&gt;""),"TXS"&amp;TEXT(COUNTIFS($B$2:$B3827,"&lt;&gt;",$C$2:$C3827,"&lt;&gt;",$D$2:$D3827,"&lt;&gt;",$E$2:$E3827,"&lt;&gt;"),"00000"),""))</f>
        <v/>
      </c>
      <c r="N3827" s="22"/>
    </row>
    <row r="3828" spans="1:14" x14ac:dyDescent="0.3">
      <c r="A3828" s="15" t="str">
        <f>IF(COUNTA($B3828:$E3828,$K3828)=0,"",IF(AND($B3828&lt;&gt;"",$C3828&lt;&gt;"",$D3828&lt;&gt;"",$E3828&lt;&gt;""),"TXS"&amp;TEXT(COUNTIFS($B$2:$B3828,"&lt;&gt;",$C$2:$C3828,"&lt;&gt;",$D$2:$D3828,"&lt;&gt;",$E$2:$E3828,"&lt;&gt;"),"00000"),""))</f>
        <v/>
      </c>
      <c r="N3828" s="22"/>
    </row>
    <row r="3829" spans="1:14" x14ac:dyDescent="0.3">
      <c r="A3829" s="15" t="str">
        <f>IF(COUNTA($B3829:$E3829,$K3829)=0,"",IF(AND($B3829&lt;&gt;"",$C3829&lt;&gt;"",$D3829&lt;&gt;"",$E3829&lt;&gt;""),"TXS"&amp;TEXT(COUNTIFS($B$2:$B3829,"&lt;&gt;",$C$2:$C3829,"&lt;&gt;",$D$2:$D3829,"&lt;&gt;",$E$2:$E3829,"&lt;&gt;"),"00000"),""))</f>
        <v/>
      </c>
      <c r="N3829" s="22"/>
    </row>
    <row r="3830" spans="1:14" x14ac:dyDescent="0.3">
      <c r="A3830" s="15" t="str">
        <f>IF(COUNTA($B3830:$E3830,$K3830)=0,"",IF(AND($B3830&lt;&gt;"",$C3830&lt;&gt;"",$D3830&lt;&gt;"",$E3830&lt;&gt;""),"TXS"&amp;TEXT(COUNTIFS($B$2:$B3830,"&lt;&gt;",$C$2:$C3830,"&lt;&gt;",$D$2:$D3830,"&lt;&gt;",$E$2:$E3830,"&lt;&gt;"),"00000"),""))</f>
        <v/>
      </c>
      <c r="N3830" s="22"/>
    </row>
    <row r="3831" spans="1:14" x14ac:dyDescent="0.3">
      <c r="A3831" s="15" t="str">
        <f>IF(COUNTA($B3831:$E3831,$K3831)=0,"",IF(AND($B3831&lt;&gt;"",$C3831&lt;&gt;"",$D3831&lt;&gt;"",$E3831&lt;&gt;""),"TXS"&amp;TEXT(COUNTIFS($B$2:$B3831,"&lt;&gt;",$C$2:$C3831,"&lt;&gt;",$D$2:$D3831,"&lt;&gt;",$E$2:$E3831,"&lt;&gt;"),"00000"),""))</f>
        <v/>
      </c>
      <c r="N3831" s="22"/>
    </row>
    <row r="3832" spans="1:14" x14ac:dyDescent="0.3">
      <c r="A3832" s="15" t="str">
        <f>IF(COUNTA($B3832:$E3832,$K3832)=0,"",IF(AND($B3832&lt;&gt;"",$C3832&lt;&gt;"",$D3832&lt;&gt;"",$E3832&lt;&gt;""),"TXS"&amp;TEXT(COUNTIFS($B$2:$B3832,"&lt;&gt;",$C$2:$C3832,"&lt;&gt;",$D$2:$D3832,"&lt;&gt;",$E$2:$E3832,"&lt;&gt;"),"00000"),""))</f>
        <v/>
      </c>
      <c r="N3832" s="22"/>
    </row>
    <row r="3833" spans="1:14" x14ac:dyDescent="0.3">
      <c r="A3833" s="15" t="str">
        <f>IF(COUNTA($B3833:$E3833,$K3833)=0,"",IF(AND($B3833&lt;&gt;"",$C3833&lt;&gt;"",$D3833&lt;&gt;"",$E3833&lt;&gt;""),"TXS"&amp;TEXT(COUNTIFS($B$2:$B3833,"&lt;&gt;",$C$2:$C3833,"&lt;&gt;",$D$2:$D3833,"&lt;&gt;",$E$2:$E3833,"&lt;&gt;"),"00000"),""))</f>
        <v/>
      </c>
      <c r="N3833" s="22"/>
    </row>
    <row r="3834" spans="1:14" x14ac:dyDescent="0.3">
      <c r="A3834" s="15" t="str">
        <f>IF(COUNTA($B3834:$E3834,$K3834)=0,"",IF(AND($B3834&lt;&gt;"",$C3834&lt;&gt;"",$D3834&lt;&gt;"",$E3834&lt;&gt;""),"TXS"&amp;TEXT(COUNTIFS($B$2:$B3834,"&lt;&gt;",$C$2:$C3834,"&lt;&gt;",$D$2:$D3834,"&lt;&gt;",$E$2:$E3834,"&lt;&gt;"),"00000"),""))</f>
        <v/>
      </c>
      <c r="N3834" s="22"/>
    </row>
    <row r="3835" spans="1:14" x14ac:dyDescent="0.3">
      <c r="A3835" s="15" t="str">
        <f>IF(COUNTA($B3835:$E3835,$K3835)=0,"",IF(AND($B3835&lt;&gt;"",$C3835&lt;&gt;"",$D3835&lt;&gt;"",$E3835&lt;&gt;""),"TXS"&amp;TEXT(COUNTIFS($B$2:$B3835,"&lt;&gt;",$C$2:$C3835,"&lt;&gt;",$D$2:$D3835,"&lt;&gt;",$E$2:$E3835,"&lt;&gt;"),"00000"),""))</f>
        <v/>
      </c>
      <c r="N3835" s="22"/>
    </row>
    <row r="3836" spans="1:14" x14ac:dyDescent="0.3">
      <c r="A3836" s="15" t="str">
        <f>IF(COUNTA($B3836:$E3836,$K3836)=0,"",IF(AND($B3836&lt;&gt;"",$C3836&lt;&gt;"",$D3836&lt;&gt;"",$E3836&lt;&gt;""),"TXS"&amp;TEXT(COUNTIFS($B$2:$B3836,"&lt;&gt;",$C$2:$C3836,"&lt;&gt;",$D$2:$D3836,"&lt;&gt;",$E$2:$E3836,"&lt;&gt;"),"00000"),""))</f>
        <v/>
      </c>
      <c r="N3836" s="22"/>
    </row>
    <row r="3837" spans="1:14" x14ac:dyDescent="0.3">
      <c r="A3837" s="15" t="str">
        <f>IF(COUNTA($B3837:$E3837,$K3837)=0,"",IF(AND($B3837&lt;&gt;"",$C3837&lt;&gt;"",$D3837&lt;&gt;"",$E3837&lt;&gt;""),"TXS"&amp;TEXT(COUNTIFS($B$2:$B3837,"&lt;&gt;",$C$2:$C3837,"&lt;&gt;",$D$2:$D3837,"&lt;&gt;",$E$2:$E3837,"&lt;&gt;"),"00000"),""))</f>
        <v/>
      </c>
      <c r="N3837" s="22"/>
    </row>
    <row r="3838" spans="1:14" x14ac:dyDescent="0.3">
      <c r="A3838" s="15" t="str">
        <f>IF(COUNTA($B3838:$E3838,$K3838)=0,"",IF(AND($B3838&lt;&gt;"",$C3838&lt;&gt;"",$D3838&lt;&gt;"",$E3838&lt;&gt;""),"TXS"&amp;TEXT(COUNTIFS($B$2:$B3838,"&lt;&gt;",$C$2:$C3838,"&lt;&gt;",$D$2:$D3838,"&lt;&gt;",$E$2:$E3838,"&lt;&gt;"),"00000"),""))</f>
        <v/>
      </c>
      <c r="N3838" s="22"/>
    </row>
    <row r="3839" spans="1:14" x14ac:dyDescent="0.3">
      <c r="A3839" s="15" t="str">
        <f>IF(COUNTA($B3839:$E3839,$K3839)=0,"",IF(AND($B3839&lt;&gt;"",$C3839&lt;&gt;"",$D3839&lt;&gt;"",$E3839&lt;&gt;""),"TXS"&amp;TEXT(COUNTIFS($B$2:$B3839,"&lt;&gt;",$C$2:$C3839,"&lt;&gt;",$D$2:$D3839,"&lt;&gt;",$E$2:$E3839,"&lt;&gt;"),"00000"),""))</f>
        <v/>
      </c>
      <c r="N3839" s="22"/>
    </row>
    <row r="3840" spans="1:14" x14ac:dyDescent="0.3">
      <c r="A3840" s="15" t="str">
        <f>IF(COUNTA($B3840:$E3840,$K3840)=0,"",IF(AND($B3840&lt;&gt;"",$C3840&lt;&gt;"",$D3840&lt;&gt;"",$E3840&lt;&gt;""),"TXS"&amp;TEXT(COUNTIFS($B$2:$B3840,"&lt;&gt;",$C$2:$C3840,"&lt;&gt;",$D$2:$D3840,"&lt;&gt;",$E$2:$E3840,"&lt;&gt;"),"00000"),""))</f>
        <v/>
      </c>
      <c r="N3840" s="22"/>
    </row>
    <row r="3841" spans="1:14" x14ac:dyDescent="0.3">
      <c r="A3841" s="15" t="str">
        <f>IF(COUNTA($B3841:$E3841,$K3841)=0,"",IF(AND($B3841&lt;&gt;"",$C3841&lt;&gt;"",$D3841&lt;&gt;"",$E3841&lt;&gt;""),"TXS"&amp;TEXT(COUNTIFS($B$2:$B3841,"&lt;&gt;",$C$2:$C3841,"&lt;&gt;",$D$2:$D3841,"&lt;&gt;",$E$2:$E3841,"&lt;&gt;"),"00000"),""))</f>
        <v/>
      </c>
      <c r="N3841" s="22"/>
    </row>
    <row r="3842" spans="1:14" x14ac:dyDescent="0.3">
      <c r="A3842" s="15" t="str">
        <f>IF(COUNTA($B3842:$E3842,$K3842)=0,"",IF(AND($B3842&lt;&gt;"",$C3842&lt;&gt;"",$D3842&lt;&gt;"",$E3842&lt;&gt;""),"TXS"&amp;TEXT(COUNTIFS($B$2:$B3842,"&lt;&gt;",$C$2:$C3842,"&lt;&gt;",$D$2:$D3842,"&lt;&gt;",$E$2:$E3842,"&lt;&gt;"),"00000"),""))</f>
        <v/>
      </c>
      <c r="N3842" s="22"/>
    </row>
    <row r="3843" spans="1:14" x14ac:dyDescent="0.3">
      <c r="A3843" s="15" t="str">
        <f>IF(COUNTA($B3843:$E3843,$K3843)=0,"",IF(AND($B3843&lt;&gt;"",$C3843&lt;&gt;"",$D3843&lt;&gt;"",$E3843&lt;&gt;""),"TXS"&amp;TEXT(COUNTIFS($B$2:$B3843,"&lt;&gt;",$C$2:$C3843,"&lt;&gt;",$D$2:$D3843,"&lt;&gt;",$E$2:$E3843,"&lt;&gt;"),"00000"),""))</f>
        <v/>
      </c>
      <c r="N3843" s="22"/>
    </row>
    <row r="3844" spans="1:14" x14ac:dyDescent="0.3">
      <c r="A3844" s="15" t="str">
        <f>IF(COUNTA($B3844:$E3844,$K3844)=0,"",IF(AND($B3844&lt;&gt;"",$C3844&lt;&gt;"",$D3844&lt;&gt;"",$E3844&lt;&gt;""),"TXS"&amp;TEXT(COUNTIFS($B$2:$B3844,"&lt;&gt;",$C$2:$C3844,"&lt;&gt;",$D$2:$D3844,"&lt;&gt;",$E$2:$E3844,"&lt;&gt;"),"00000"),""))</f>
        <v/>
      </c>
      <c r="N3844" s="22"/>
    </row>
    <row r="3845" spans="1:14" x14ac:dyDescent="0.3">
      <c r="A3845" s="15" t="str">
        <f>IF(COUNTA($B3845:$E3845,$K3845)=0,"",IF(AND($B3845&lt;&gt;"",$C3845&lt;&gt;"",$D3845&lt;&gt;"",$E3845&lt;&gt;""),"TXS"&amp;TEXT(COUNTIFS($B$2:$B3845,"&lt;&gt;",$C$2:$C3845,"&lt;&gt;",$D$2:$D3845,"&lt;&gt;",$E$2:$E3845,"&lt;&gt;"),"00000"),""))</f>
        <v/>
      </c>
      <c r="N3845" s="22"/>
    </row>
    <row r="3846" spans="1:14" x14ac:dyDescent="0.3">
      <c r="A3846" s="15" t="str">
        <f>IF(COUNTA($B3846:$E3846,$K3846)=0,"",IF(AND($B3846&lt;&gt;"",$C3846&lt;&gt;"",$D3846&lt;&gt;"",$E3846&lt;&gt;""),"TXS"&amp;TEXT(COUNTIFS($B$2:$B3846,"&lt;&gt;",$C$2:$C3846,"&lt;&gt;",$D$2:$D3846,"&lt;&gt;",$E$2:$E3846,"&lt;&gt;"),"00000"),""))</f>
        <v/>
      </c>
      <c r="N3846" s="22"/>
    </row>
    <row r="3847" spans="1:14" x14ac:dyDescent="0.3">
      <c r="A3847" s="15" t="str">
        <f>IF(COUNTA($B3847:$E3847,$K3847)=0,"",IF(AND($B3847&lt;&gt;"",$C3847&lt;&gt;"",$D3847&lt;&gt;"",$E3847&lt;&gt;""),"TXS"&amp;TEXT(COUNTIFS($B$2:$B3847,"&lt;&gt;",$C$2:$C3847,"&lt;&gt;",$D$2:$D3847,"&lt;&gt;",$E$2:$E3847,"&lt;&gt;"),"00000"),""))</f>
        <v/>
      </c>
      <c r="N3847" s="22"/>
    </row>
    <row r="3848" spans="1:14" x14ac:dyDescent="0.3">
      <c r="A3848" s="15" t="str">
        <f>IF(COUNTA($B3848:$E3848,$K3848)=0,"",IF(AND($B3848&lt;&gt;"",$C3848&lt;&gt;"",$D3848&lt;&gt;"",$E3848&lt;&gt;""),"TXS"&amp;TEXT(COUNTIFS($B$2:$B3848,"&lt;&gt;",$C$2:$C3848,"&lt;&gt;",$D$2:$D3848,"&lt;&gt;",$E$2:$E3848,"&lt;&gt;"),"00000"),""))</f>
        <v/>
      </c>
      <c r="N3848" s="22"/>
    </row>
    <row r="3849" spans="1:14" x14ac:dyDescent="0.3">
      <c r="A3849" s="15" t="str">
        <f>IF(COUNTA($B3849:$E3849,$K3849)=0,"",IF(AND($B3849&lt;&gt;"",$C3849&lt;&gt;"",$D3849&lt;&gt;"",$E3849&lt;&gt;""),"TXS"&amp;TEXT(COUNTIFS($B$2:$B3849,"&lt;&gt;",$C$2:$C3849,"&lt;&gt;",$D$2:$D3849,"&lt;&gt;",$E$2:$E3849,"&lt;&gt;"),"00000"),""))</f>
        <v/>
      </c>
      <c r="N3849" s="22"/>
    </row>
    <row r="3850" spans="1:14" x14ac:dyDescent="0.3">
      <c r="A3850" s="15" t="str">
        <f>IF(COUNTA($B3850:$E3850,$K3850)=0,"",IF(AND($B3850&lt;&gt;"",$C3850&lt;&gt;"",$D3850&lt;&gt;"",$E3850&lt;&gt;""),"TXS"&amp;TEXT(COUNTIFS($B$2:$B3850,"&lt;&gt;",$C$2:$C3850,"&lt;&gt;",$D$2:$D3850,"&lt;&gt;",$E$2:$E3850,"&lt;&gt;"),"00000"),""))</f>
        <v/>
      </c>
      <c r="N3850" s="22"/>
    </row>
    <row r="3851" spans="1:14" x14ac:dyDescent="0.3">
      <c r="A3851" s="15" t="str">
        <f>IF(COUNTA($B3851:$E3851,$K3851)=0,"",IF(AND($B3851&lt;&gt;"",$C3851&lt;&gt;"",$D3851&lt;&gt;"",$E3851&lt;&gt;""),"TXS"&amp;TEXT(COUNTIFS($B$2:$B3851,"&lt;&gt;",$C$2:$C3851,"&lt;&gt;",$D$2:$D3851,"&lt;&gt;",$E$2:$E3851,"&lt;&gt;"),"00000"),""))</f>
        <v/>
      </c>
      <c r="N3851" s="22"/>
    </row>
    <row r="3852" spans="1:14" x14ac:dyDescent="0.3">
      <c r="A3852" s="15" t="str">
        <f>IF(COUNTA($B3852:$E3852,$K3852)=0,"",IF(AND($B3852&lt;&gt;"",$C3852&lt;&gt;"",$D3852&lt;&gt;"",$E3852&lt;&gt;""),"TXS"&amp;TEXT(COUNTIFS($B$2:$B3852,"&lt;&gt;",$C$2:$C3852,"&lt;&gt;",$D$2:$D3852,"&lt;&gt;",$E$2:$E3852,"&lt;&gt;"),"00000"),""))</f>
        <v/>
      </c>
      <c r="N3852" s="22"/>
    </row>
    <row r="3853" spans="1:14" x14ac:dyDescent="0.3">
      <c r="A3853" s="15" t="str">
        <f>IF(COUNTA($B3853:$E3853,$K3853)=0,"",IF(AND($B3853&lt;&gt;"",$C3853&lt;&gt;"",$D3853&lt;&gt;"",$E3853&lt;&gt;""),"TXS"&amp;TEXT(COUNTIFS($B$2:$B3853,"&lt;&gt;",$C$2:$C3853,"&lt;&gt;",$D$2:$D3853,"&lt;&gt;",$E$2:$E3853,"&lt;&gt;"),"00000"),""))</f>
        <v/>
      </c>
      <c r="N3853" s="22"/>
    </row>
    <row r="3854" spans="1:14" x14ac:dyDescent="0.3">
      <c r="A3854" s="15" t="str">
        <f>IF(COUNTA($B3854:$E3854,$K3854)=0,"",IF(AND($B3854&lt;&gt;"",$C3854&lt;&gt;"",$D3854&lt;&gt;"",$E3854&lt;&gt;""),"TXS"&amp;TEXT(COUNTIFS($B$2:$B3854,"&lt;&gt;",$C$2:$C3854,"&lt;&gt;",$D$2:$D3854,"&lt;&gt;",$E$2:$E3854,"&lt;&gt;"),"00000"),""))</f>
        <v/>
      </c>
      <c r="N3854" s="22"/>
    </row>
    <row r="3855" spans="1:14" x14ac:dyDescent="0.3">
      <c r="A3855" s="15" t="str">
        <f>IF(COUNTA($B3855:$E3855,$K3855)=0,"",IF(AND($B3855&lt;&gt;"",$C3855&lt;&gt;"",$D3855&lt;&gt;"",$E3855&lt;&gt;""),"TXS"&amp;TEXT(COUNTIFS($B$2:$B3855,"&lt;&gt;",$C$2:$C3855,"&lt;&gt;",$D$2:$D3855,"&lt;&gt;",$E$2:$E3855,"&lt;&gt;"),"00000"),""))</f>
        <v/>
      </c>
      <c r="N3855" s="22"/>
    </row>
    <row r="3856" spans="1:14" x14ac:dyDescent="0.3">
      <c r="A3856" s="15" t="str">
        <f>IF(COUNTA($B3856:$E3856,$K3856)=0,"",IF(AND($B3856&lt;&gt;"",$C3856&lt;&gt;"",$D3856&lt;&gt;"",$E3856&lt;&gt;""),"TXS"&amp;TEXT(COUNTIFS($B$2:$B3856,"&lt;&gt;",$C$2:$C3856,"&lt;&gt;",$D$2:$D3856,"&lt;&gt;",$E$2:$E3856,"&lt;&gt;"),"00000"),""))</f>
        <v/>
      </c>
      <c r="N3856" s="22"/>
    </row>
    <row r="3857" spans="1:14" x14ac:dyDescent="0.3">
      <c r="A3857" s="15" t="str">
        <f>IF(COUNTA($B3857:$E3857,$K3857)=0,"",IF(AND($B3857&lt;&gt;"",$C3857&lt;&gt;"",$D3857&lt;&gt;"",$E3857&lt;&gt;""),"TXS"&amp;TEXT(COUNTIFS($B$2:$B3857,"&lt;&gt;",$C$2:$C3857,"&lt;&gt;",$D$2:$D3857,"&lt;&gt;",$E$2:$E3857,"&lt;&gt;"),"00000"),""))</f>
        <v/>
      </c>
      <c r="N3857" s="22"/>
    </row>
    <row r="3858" spans="1:14" x14ac:dyDescent="0.3">
      <c r="A3858" s="15" t="str">
        <f>IF(COUNTA($B3858:$E3858,$K3858)=0,"",IF(AND($B3858&lt;&gt;"",$C3858&lt;&gt;"",$D3858&lt;&gt;"",$E3858&lt;&gt;""),"TXS"&amp;TEXT(COUNTIFS($B$2:$B3858,"&lt;&gt;",$C$2:$C3858,"&lt;&gt;",$D$2:$D3858,"&lt;&gt;",$E$2:$E3858,"&lt;&gt;"),"00000"),""))</f>
        <v/>
      </c>
      <c r="N3858" s="22"/>
    </row>
    <row r="3859" spans="1:14" x14ac:dyDescent="0.3">
      <c r="A3859" s="15" t="str">
        <f>IF(COUNTA($B3859:$E3859,$K3859)=0,"",IF(AND($B3859&lt;&gt;"",$C3859&lt;&gt;"",$D3859&lt;&gt;"",$E3859&lt;&gt;""),"TXS"&amp;TEXT(COUNTIFS($B$2:$B3859,"&lt;&gt;",$C$2:$C3859,"&lt;&gt;",$D$2:$D3859,"&lt;&gt;",$E$2:$E3859,"&lt;&gt;"),"00000"),""))</f>
        <v/>
      </c>
      <c r="N3859" s="22"/>
    </row>
    <row r="3860" spans="1:14" x14ac:dyDescent="0.3">
      <c r="A3860" s="15" t="str">
        <f>IF(COUNTA($B3860:$E3860,$K3860)=0,"",IF(AND($B3860&lt;&gt;"",$C3860&lt;&gt;"",$D3860&lt;&gt;"",$E3860&lt;&gt;""),"TXS"&amp;TEXT(COUNTIFS($B$2:$B3860,"&lt;&gt;",$C$2:$C3860,"&lt;&gt;",$D$2:$D3860,"&lt;&gt;",$E$2:$E3860,"&lt;&gt;"),"00000"),""))</f>
        <v/>
      </c>
      <c r="N3860" s="22"/>
    </row>
    <row r="3861" spans="1:14" x14ac:dyDescent="0.3">
      <c r="A3861" s="15" t="str">
        <f>IF(COUNTA($B3861:$E3861,$K3861)=0,"",IF(AND($B3861&lt;&gt;"",$C3861&lt;&gt;"",$D3861&lt;&gt;"",$E3861&lt;&gt;""),"TXS"&amp;TEXT(COUNTIFS($B$2:$B3861,"&lt;&gt;",$C$2:$C3861,"&lt;&gt;",$D$2:$D3861,"&lt;&gt;",$E$2:$E3861,"&lt;&gt;"),"00000"),""))</f>
        <v/>
      </c>
      <c r="N3861" s="22"/>
    </row>
    <row r="3862" spans="1:14" x14ac:dyDescent="0.3">
      <c r="A3862" s="15" t="str">
        <f>IF(COUNTA($B3862:$E3862,$K3862)=0,"",IF(AND($B3862&lt;&gt;"",$C3862&lt;&gt;"",$D3862&lt;&gt;"",$E3862&lt;&gt;""),"TXS"&amp;TEXT(COUNTIFS($B$2:$B3862,"&lt;&gt;",$C$2:$C3862,"&lt;&gt;",$D$2:$D3862,"&lt;&gt;",$E$2:$E3862,"&lt;&gt;"),"00000"),""))</f>
        <v/>
      </c>
      <c r="N3862" s="22"/>
    </row>
    <row r="3863" spans="1:14" x14ac:dyDescent="0.3">
      <c r="A3863" s="15" t="str">
        <f>IF(COUNTA($B3863:$E3863,$K3863)=0,"",IF(AND($B3863&lt;&gt;"",$C3863&lt;&gt;"",$D3863&lt;&gt;"",$E3863&lt;&gt;""),"TXS"&amp;TEXT(COUNTIFS($B$2:$B3863,"&lt;&gt;",$C$2:$C3863,"&lt;&gt;",$D$2:$D3863,"&lt;&gt;",$E$2:$E3863,"&lt;&gt;"),"00000"),""))</f>
        <v/>
      </c>
      <c r="N3863" s="22"/>
    </row>
    <row r="3864" spans="1:14" x14ac:dyDescent="0.3">
      <c r="A3864" s="15" t="str">
        <f>IF(COUNTA($B3864:$E3864,$K3864)=0,"",IF(AND($B3864&lt;&gt;"",$C3864&lt;&gt;"",$D3864&lt;&gt;"",$E3864&lt;&gt;""),"TXS"&amp;TEXT(COUNTIFS($B$2:$B3864,"&lt;&gt;",$C$2:$C3864,"&lt;&gt;",$D$2:$D3864,"&lt;&gt;",$E$2:$E3864,"&lt;&gt;"),"00000"),""))</f>
        <v/>
      </c>
      <c r="N3864" s="22"/>
    </row>
    <row r="3865" spans="1:14" x14ac:dyDescent="0.3">
      <c r="A3865" s="15" t="str">
        <f>IF(COUNTA($B3865:$E3865,$K3865)=0,"",IF(AND($B3865&lt;&gt;"",$C3865&lt;&gt;"",$D3865&lt;&gt;"",$E3865&lt;&gt;""),"TXS"&amp;TEXT(COUNTIFS($B$2:$B3865,"&lt;&gt;",$C$2:$C3865,"&lt;&gt;",$D$2:$D3865,"&lt;&gt;",$E$2:$E3865,"&lt;&gt;"),"00000"),""))</f>
        <v/>
      </c>
      <c r="N3865" s="22"/>
    </row>
    <row r="3866" spans="1:14" x14ac:dyDescent="0.3">
      <c r="A3866" s="15" t="str">
        <f>IF(COUNTA($B3866:$E3866,$K3866)=0,"",IF(AND($B3866&lt;&gt;"",$C3866&lt;&gt;"",$D3866&lt;&gt;"",$E3866&lt;&gt;""),"TXS"&amp;TEXT(COUNTIFS($B$2:$B3866,"&lt;&gt;",$C$2:$C3866,"&lt;&gt;",$D$2:$D3866,"&lt;&gt;",$E$2:$E3866,"&lt;&gt;"),"00000"),""))</f>
        <v/>
      </c>
      <c r="N3866" s="22"/>
    </row>
    <row r="3867" spans="1:14" x14ac:dyDescent="0.3">
      <c r="A3867" s="15" t="str">
        <f>IF(COUNTA($B3867:$E3867,$K3867)=0,"",IF(AND($B3867&lt;&gt;"",$C3867&lt;&gt;"",$D3867&lt;&gt;"",$E3867&lt;&gt;""),"TXS"&amp;TEXT(COUNTIFS($B$2:$B3867,"&lt;&gt;",$C$2:$C3867,"&lt;&gt;",$D$2:$D3867,"&lt;&gt;",$E$2:$E3867,"&lt;&gt;"),"00000"),""))</f>
        <v/>
      </c>
      <c r="N3867" s="22"/>
    </row>
    <row r="3868" spans="1:14" x14ac:dyDescent="0.3">
      <c r="A3868" s="15" t="str">
        <f>IF(COUNTA($B3868:$E3868,$K3868)=0,"",IF(AND($B3868&lt;&gt;"",$C3868&lt;&gt;"",$D3868&lt;&gt;"",$E3868&lt;&gt;""),"TXS"&amp;TEXT(COUNTIFS($B$2:$B3868,"&lt;&gt;",$C$2:$C3868,"&lt;&gt;",$D$2:$D3868,"&lt;&gt;",$E$2:$E3868,"&lt;&gt;"),"00000"),""))</f>
        <v/>
      </c>
      <c r="N3868" s="22"/>
    </row>
    <row r="3869" spans="1:14" x14ac:dyDescent="0.3">
      <c r="A3869" s="15" t="str">
        <f>IF(COUNTA($B3869:$E3869,$K3869)=0,"",IF(AND($B3869&lt;&gt;"",$C3869&lt;&gt;"",$D3869&lt;&gt;"",$E3869&lt;&gt;""),"TXS"&amp;TEXT(COUNTIFS($B$2:$B3869,"&lt;&gt;",$C$2:$C3869,"&lt;&gt;",$D$2:$D3869,"&lt;&gt;",$E$2:$E3869,"&lt;&gt;"),"00000"),""))</f>
        <v/>
      </c>
      <c r="N3869" s="22"/>
    </row>
    <row r="3870" spans="1:14" x14ac:dyDescent="0.3">
      <c r="A3870" s="15" t="str">
        <f>IF(COUNTA($B3870:$E3870,$K3870)=0,"",IF(AND($B3870&lt;&gt;"",$C3870&lt;&gt;"",$D3870&lt;&gt;"",$E3870&lt;&gt;""),"TXS"&amp;TEXT(COUNTIFS($B$2:$B3870,"&lt;&gt;",$C$2:$C3870,"&lt;&gt;",$D$2:$D3870,"&lt;&gt;",$E$2:$E3870,"&lt;&gt;"),"00000"),""))</f>
        <v/>
      </c>
      <c r="N3870" s="22"/>
    </row>
    <row r="3871" spans="1:14" x14ac:dyDescent="0.3">
      <c r="A3871" s="15" t="str">
        <f>IF(COUNTA($B3871:$E3871,$K3871)=0,"",IF(AND($B3871&lt;&gt;"",$C3871&lt;&gt;"",$D3871&lt;&gt;"",$E3871&lt;&gt;""),"TXS"&amp;TEXT(COUNTIFS($B$2:$B3871,"&lt;&gt;",$C$2:$C3871,"&lt;&gt;",$D$2:$D3871,"&lt;&gt;",$E$2:$E3871,"&lt;&gt;"),"00000"),""))</f>
        <v/>
      </c>
      <c r="N3871" s="22"/>
    </row>
    <row r="3872" spans="1:14" x14ac:dyDescent="0.3">
      <c r="A3872" s="15" t="str">
        <f>IF(COUNTA($B3872:$E3872,$K3872)=0,"",IF(AND($B3872&lt;&gt;"",$C3872&lt;&gt;"",$D3872&lt;&gt;"",$E3872&lt;&gt;""),"TXS"&amp;TEXT(COUNTIFS($B$2:$B3872,"&lt;&gt;",$C$2:$C3872,"&lt;&gt;",$D$2:$D3872,"&lt;&gt;",$E$2:$E3872,"&lt;&gt;"),"00000"),""))</f>
        <v/>
      </c>
      <c r="N3872" s="22"/>
    </row>
    <row r="3873" spans="1:14" x14ac:dyDescent="0.3">
      <c r="A3873" s="15" t="str">
        <f>IF(COUNTA($B3873:$E3873,$K3873)=0,"",IF(AND($B3873&lt;&gt;"",$C3873&lt;&gt;"",$D3873&lt;&gt;"",$E3873&lt;&gt;""),"TXS"&amp;TEXT(COUNTIFS($B$2:$B3873,"&lt;&gt;",$C$2:$C3873,"&lt;&gt;",$D$2:$D3873,"&lt;&gt;",$E$2:$E3873,"&lt;&gt;"),"00000"),""))</f>
        <v/>
      </c>
      <c r="N3873" s="22"/>
    </row>
    <row r="3874" spans="1:14" x14ac:dyDescent="0.3">
      <c r="A3874" s="15" t="str">
        <f>IF(COUNTA($B3874:$E3874,$K3874)=0,"",IF(AND($B3874&lt;&gt;"",$C3874&lt;&gt;"",$D3874&lt;&gt;"",$E3874&lt;&gt;""),"TXS"&amp;TEXT(COUNTIFS($B$2:$B3874,"&lt;&gt;",$C$2:$C3874,"&lt;&gt;",$D$2:$D3874,"&lt;&gt;",$E$2:$E3874,"&lt;&gt;"),"00000"),""))</f>
        <v/>
      </c>
      <c r="N3874" s="22"/>
    </row>
    <row r="3875" spans="1:14" x14ac:dyDescent="0.3">
      <c r="A3875" s="15" t="str">
        <f>IF(COUNTA($B3875:$E3875,$K3875)=0,"",IF(AND($B3875&lt;&gt;"",$C3875&lt;&gt;"",$D3875&lt;&gt;"",$E3875&lt;&gt;""),"TXS"&amp;TEXT(COUNTIFS($B$2:$B3875,"&lt;&gt;",$C$2:$C3875,"&lt;&gt;",$D$2:$D3875,"&lt;&gt;",$E$2:$E3875,"&lt;&gt;"),"00000"),""))</f>
        <v/>
      </c>
      <c r="N3875" s="22"/>
    </row>
    <row r="3876" spans="1:14" x14ac:dyDescent="0.3">
      <c r="A3876" s="15" t="str">
        <f>IF(COUNTA($B3876:$E3876,$K3876)=0,"",IF(AND($B3876&lt;&gt;"",$C3876&lt;&gt;"",$D3876&lt;&gt;"",$E3876&lt;&gt;""),"TXS"&amp;TEXT(COUNTIFS($B$2:$B3876,"&lt;&gt;",$C$2:$C3876,"&lt;&gt;",$D$2:$D3876,"&lt;&gt;",$E$2:$E3876,"&lt;&gt;"),"00000"),""))</f>
        <v/>
      </c>
      <c r="N3876" s="22"/>
    </row>
    <row r="3877" spans="1:14" x14ac:dyDescent="0.3">
      <c r="A3877" s="15" t="str">
        <f>IF(COUNTA($B3877:$E3877,$K3877)=0,"",IF(AND($B3877&lt;&gt;"",$C3877&lt;&gt;"",$D3877&lt;&gt;"",$E3877&lt;&gt;""),"TXS"&amp;TEXT(COUNTIFS($B$2:$B3877,"&lt;&gt;",$C$2:$C3877,"&lt;&gt;",$D$2:$D3877,"&lt;&gt;",$E$2:$E3877,"&lt;&gt;"),"00000"),""))</f>
        <v/>
      </c>
      <c r="N3877" s="22"/>
    </row>
    <row r="3878" spans="1:14" x14ac:dyDescent="0.3">
      <c r="A3878" s="15" t="str">
        <f>IF(COUNTA($B3878:$E3878,$K3878)=0,"",IF(AND($B3878&lt;&gt;"",$C3878&lt;&gt;"",$D3878&lt;&gt;"",$E3878&lt;&gt;""),"TXS"&amp;TEXT(COUNTIFS($B$2:$B3878,"&lt;&gt;",$C$2:$C3878,"&lt;&gt;",$D$2:$D3878,"&lt;&gt;",$E$2:$E3878,"&lt;&gt;"),"00000"),""))</f>
        <v/>
      </c>
      <c r="N3878" s="22"/>
    </row>
    <row r="3879" spans="1:14" x14ac:dyDescent="0.3">
      <c r="A3879" s="15" t="str">
        <f>IF(COUNTA($B3879:$E3879,$K3879)=0,"",IF(AND($B3879&lt;&gt;"",$C3879&lt;&gt;"",$D3879&lt;&gt;"",$E3879&lt;&gt;""),"TXS"&amp;TEXT(COUNTIFS($B$2:$B3879,"&lt;&gt;",$C$2:$C3879,"&lt;&gt;",$D$2:$D3879,"&lt;&gt;",$E$2:$E3879,"&lt;&gt;"),"00000"),""))</f>
        <v/>
      </c>
      <c r="N3879" s="22"/>
    </row>
    <row r="3880" spans="1:14" x14ac:dyDescent="0.3">
      <c r="A3880" s="15" t="str">
        <f>IF(COUNTA($B3880:$E3880,$K3880)=0,"",IF(AND($B3880&lt;&gt;"",$C3880&lt;&gt;"",$D3880&lt;&gt;"",$E3880&lt;&gt;""),"TXS"&amp;TEXT(COUNTIFS($B$2:$B3880,"&lt;&gt;",$C$2:$C3880,"&lt;&gt;",$D$2:$D3880,"&lt;&gt;",$E$2:$E3880,"&lt;&gt;"),"00000"),""))</f>
        <v/>
      </c>
      <c r="N3880" s="22"/>
    </row>
    <row r="3881" spans="1:14" x14ac:dyDescent="0.3">
      <c r="A3881" s="15" t="str">
        <f>IF(COUNTA($B3881:$E3881,$K3881)=0,"",IF(AND($B3881&lt;&gt;"",$C3881&lt;&gt;"",$D3881&lt;&gt;"",$E3881&lt;&gt;""),"TXS"&amp;TEXT(COUNTIFS($B$2:$B3881,"&lt;&gt;",$C$2:$C3881,"&lt;&gt;",$D$2:$D3881,"&lt;&gt;",$E$2:$E3881,"&lt;&gt;"),"00000"),""))</f>
        <v/>
      </c>
      <c r="N3881" s="22"/>
    </row>
    <row r="3882" spans="1:14" x14ac:dyDescent="0.3">
      <c r="A3882" s="15" t="str">
        <f>IF(COUNTA($B3882:$E3882,$K3882)=0,"",IF(AND($B3882&lt;&gt;"",$C3882&lt;&gt;"",$D3882&lt;&gt;"",$E3882&lt;&gt;""),"TXS"&amp;TEXT(COUNTIFS($B$2:$B3882,"&lt;&gt;",$C$2:$C3882,"&lt;&gt;",$D$2:$D3882,"&lt;&gt;",$E$2:$E3882,"&lt;&gt;"),"00000"),""))</f>
        <v/>
      </c>
      <c r="N3882" s="22"/>
    </row>
    <row r="3883" spans="1:14" x14ac:dyDescent="0.3">
      <c r="A3883" s="15" t="str">
        <f>IF(COUNTA($B3883:$E3883,$K3883)=0,"",IF(AND($B3883&lt;&gt;"",$C3883&lt;&gt;"",$D3883&lt;&gt;"",$E3883&lt;&gt;""),"TXS"&amp;TEXT(COUNTIFS($B$2:$B3883,"&lt;&gt;",$C$2:$C3883,"&lt;&gt;",$D$2:$D3883,"&lt;&gt;",$E$2:$E3883,"&lt;&gt;"),"00000"),""))</f>
        <v/>
      </c>
      <c r="N3883" s="22"/>
    </row>
    <row r="3884" spans="1:14" x14ac:dyDescent="0.3">
      <c r="A3884" s="15" t="str">
        <f>IF(COUNTA($B3884:$E3884,$K3884)=0,"",IF(AND($B3884&lt;&gt;"",$C3884&lt;&gt;"",$D3884&lt;&gt;"",$E3884&lt;&gt;""),"TXS"&amp;TEXT(COUNTIFS($B$2:$B3884,"&lt;&gt;",$C$2:$C3884,"&lt;&gt;",$D$2:$D3884,"&lt;&gt;",$E$2:$E3884,"&lt;&gt;"),"00000"),""))</f>
        <v/>
      </c>
      <c r="N3884" s="22"/>
    </row>
    <row r="3885" spans="1:14" x14ac:dyDescent="0.3">
      <c r="A3885" s="15" t="str">
        <f>IF(COUNTA($B3885:$E3885,$K3885)=0,"",IF(AND($B3885&lt;&gt;"",$C3885&lt;&gt;"",$D3885&lt;&gt;"",$E3885&lt;&gt;""),"TXS"&amp;TEXT(COUNTIFS($B$2:$B3885,"&lt;&gt;",$C$2:$C3885,"&lt;&gt;",$D$2:$D3885,"&lt;&gt;",$E$2:$E3885,"&lt;&gt;"),"00000"),""))</f>
        <v/>
      </c>
      <c r="N3885" s="22"/>
    </row>
    <row r="3886" spans="1:14" x14ac:dyDescent="0.3">
      <c r="A3886" s="15" t="str">
        <f>IF(COUNTA($B3886:$E3886,$K3886)=0,"",IF(AND($B3886&lt;&gt;"",$C3886&lt;&gt;"",$D3886&lt;&gt;"",$E3886&lt;&gt;""),"TXS"&amp;TEXT(COUNTIFS($B$2:$B3886,"&lt;&gt;",$C$2:$C3886,"&lt;&gt;",$D$2:$D3886,"&lt;&gt;",$E$2:$E3886,"&lt;&gt;"),"00000"),""))</f>
        <v/>
      </c>
      <c r="N3886" s="22"/>
    </row>
    <row r="3887" spans="1:14" x14ac:dyDescent="0.3">
      <c r="A3887" s="15" t="str">
        <f>IF(COUNTA($B3887:$E3887,$K3887)=0,"",IF(AND($B3887&lt;&gt;"",$C3887&lt;&gt;"",$D3887&lt;&gt;"",$E3887&lt;&gt;""),"TXS"&amp;TEXT(COUNTIFS($B$2:$B3887,"&lt;&gt;",$C$2:$C3887,"&lt;&gt;",$D$2:$D3887,"&lt;&gt;",$E$2:$E3887,"&lt;&gt;"),"00000"),""))</f>
        <v/>
      </c>
      <c r="N3887" s="22"/>
    </row>
    <row r="3888" spans="1:14" x14ac:dyDescent="0.3">
      <c r="A3888" s="15" t="str">
        <f>IF(COUNTA($B3888:$E3888,$K3888)=0,"",IF(AND($B3888&lt;&gt;"",$C3888&lt;&gt;"",$D3888&lt;&gt;"",$E3888&lt;&gt;""),"TXS"&amp;TEXT(COUNTIFS($B$2:$B3888,"&lt;&gt;",$C$2:$C3888,"&lt;&gt;",$D$2:$D3888,"&lt;&gt;",$E$2:$E3888,"&lt;&gt;"),"00000"),""))</f>
        <v/>
      </c>
      <c r="N3888" s="22"/>
    </row>
    <row r="3889" spans="1:14" x14ac:dyDescent="0.3">
      <c r="A3889" s="15" t="str">
        <f>IF(COUNTA($B3889:$E3889,$K3889)=0,"",IF(AND($B3889&lt;&gt;"",$C3889&lt;&gt;"",$D3889&lt;&gt;"",$E3889&lt;&gt;""),"TXS"&amp;TEXT(COUNTIFS($B$2:$B3889,"&lt;&gt;",$C$2:$C3889,"&lt;&gt;",$D$2:$D3889,"&lt;&gt;",$E$2:$E3889,"&lt;&gt;"),"00000"),""))</f>
        <v/>
      </c>
      <c r="N3889" s="22"/>
    </row>
    <row r="3890" spans="1:14" x14ac:dyDescent="0.3">
      <c r="A3890" s="15" t="str">
        <f>IF(COUNTA($B3890:$E3890,$K3890)=0,"",IF(AND($B3890&lt;&gt;"",$C3890&lt;&gt;"",$D3890&lt;&gt;"",$E3890&lt;&gt;""),"TXS"&amp;TEXT(COUNTIFS($B$2:$B3890,"&lt;&gt;",$C$2:$C3890,"&lt;&gt;",$D$2:$D3890,"&lt;&gt;",$E$2:$E3890,"&lt;&gt;"),"00000"),""))</f>
        <v/>
      </c>
      <c r="N3890" s="22"/>
    </row>
    <row r="3891" spans="1:14" x14ac:dyDescent="0.3">
      <c r="A3891" s="15" t="str">
        <f>IF(COUNTA($B3891:$E3891,$K3891)=0,"",IF(AND($B3891&lt;&gt;"",$C3891&lt;&gt;"",$D3891&lt;&gt;"",$E3891&lt;&gt;""),"TXS"&amp;TEXT(COUNTIFS($B$2:$B3891,"&lt;&gt;",$C$2:$C3891,"&lt;&gt;",$D$2:$D3891,"&lt;&gt;",$E$2:$E3891,"&lt;&gt;"),"00000"),""))</f>
        <v/>
      </c>
      <c r="N3891" s="22"/>
    </row>
    <row r="3892" spans="1:14" x14ac:dyDescent="0.3">
      <c r="A3892" s="15" t="str">
        <f>IF(COUNTA($B3892:$E3892,$K3892)=0,"",IF(AND($B3892&lt;&gt;"",$C3892&lt;&gt;"",$D3892&lt;&gt;"",$E3892&lt;&gt;""),"TXS"&amp;TEXT(COUNTIFS($B$2:$B3892,"&lt;&gt;",$C$2:$C3892,"&lt;&gt;",$D$2:$D3892,"&lt;&gt;",$E$2:$E3892,"&lt;&gt;"),"00000"),""))</f>
        <v/>
      </c>
      <c r="N3892" s="22"/>
    </row>
    <row r="3893" spans="1:14" x14ac:dyDescent="0.3">
      <c r="A3893" s="15" t="str">
        <f>IF(COUNTA($B3893:$E3893,$K3893)=0,"",IF(AND($B3893&lt;&gt;"",$C3893&lt;&gt;"",$D3893&lt;&gt;"",$E3893&lt;&gt;""),"TXS"&amp;TEXT(COUNTIFS($B$2:$B3893,"&lt;&gt;",$C$2:$C3893,"&lt;&gt;",$D$2:$D3893,"&lt;&gt;",$E$2:$E3893,"&lt;&gt;"),"00000"),""))</f>
        <v/>
      </c>
      <c r="N3893" s="22"/>
    </row>
    <row r="3894" spans="1:14" x14ac:dyDescent="0.3">
      <c r="A3894" s="15" t="str">
        <f>IF(COUNTA($B3894:$E3894,$K3894)=0,"",IF(AND($B3894&lt;&gt;"",$C3894&lt;&gt;"",$D3894&lt;&gt;"",$E3894&lt;&gt;""),"TXS"&amp;TEXT(COUNTIFS($B$2:$B3894,"&lt;&gt;",$C$2:$C3894,"&lt;&gt;",$D$2:$D3894,"&lt;&gt;",$E$2:$E3894,"&lt;&gt;"),"00000"),""))</f>
        <v/>
      </c>
      <c r="N3894" s="22"/>
    </row>
    <row r="3895" spans="1:14" x14ac:dyDescent="0.3">
      <c r="A3895" s="15" t="str">
        <f>IF(COUNTA($B3895:$E3895,$K3895)=0,"",IF(AND($B3895&lt;&gt;"",$C3895&lt;&gt;"",$D3895&lt;&gt;"",$E3895&lt;&gt;""),"TXS"&amp;TEXT(COUNTIFS($B$2:$B3895,"&lt;&gt;",$C$2:$C3895,"&lt;&gt;",$D$2:$D3895,"&lt;&gt;",$E$2:$E3895,"&lt;&gt;"),"00000"),""))</f>
        <v/>
      </c>
      <c r="N3895" s="22"/>
    </row>
    <row r="3896" spans="1:14" x14ac:dyDescent="0.3">
      <c r="A3896" s="15" t="str">
        <f>IF(COUNTA($B3896:$E3896,$K3896)=0,"",IF(AND($B3896&lt;&gt;"",$C3896&lt;&gt;"",$D3896&lt;&gt;"",$E3896&lt;&gt;""),"TXS"&amp;TEXT(COUNTIFS($B$2:$B3896,"&lt;&gt;",$C$2:$C3896,"&lt;&gt;",$D$2:$D3896,"&lt;&gt;",$E$2:$E3896,"&lt;&gt;"),"00000"),""))</f>
        <v/>
      </c>
      <c r="N3896" s="22"/>
    </row>
    <row r="3897" spans="1:14" x14ac:dyDescent="0.3">
      <c r="A3897" s="15" t="str">
        <f>IF(COUNTA($B3897:$E3897,$K3897)=0,"",IF(AND($B3897&lt;&gt;"",$C3897&lt;&gt;"",$D3897&lt;&gt;"",$E3897&lt;&gt;""),"TXS"&amp;TEXT(COUNTIFS($B$2:$B3897,"&lt;&gt;",$C$2:$C3897,"&lt;&gt;",$D$2:$D3897,"&lt;&gt;",$E$2:$E3897,"&lt;&gt;"),"00000"),""))</f>
        <v/>
      </c>
      <c r="N3897" s="22"/>
    </row>
    <row r="3898" spans="1:14" x14ac:dyDescent="0.3">
      <c r="A3898" s="15" t="str">
        <f>IF(COUNTA($B3898:$E3898,$K3898)=0,"",IF(AND($B3898&lt;&gt;"",$C3898&lt;&gt;"",$D3898&lt;&gt;"",$E3898&lt;&gt;""),"TXS"&amp;TEXT(COUNTIFS($B$2:$B3898,"&lt;&gt;",$C$2:$C3898,"&lt;&gt;",$D$2:$D3898,"&lt;&gt;",$E$2:$E3898,"&lt;&gt;"),"00000"),""))</f>
        <v/>
      </c>
      <c r="N3898" s="22"/>
    </row>
    <row r="3899" spans="1:14" x14ac:dyDescent="0.3">
      <c r="A3899" s="15" t="str">
        <f>IF(COUNTA($B3899:$E3899,$K3899)=0,"",IF(AND($B3899&lt;&gt;"",$C3899&lt;&gt;"",$D3899&lt;&gt;"",$E3899&lt;&gt;""),"TXS"&amp;TEXT(COUNTIFS($B$2:$B3899,"&lt;&gt;",$C$2:$C3899,"&lt;&gt;",$D$2:$D3899,"&lt;&gt;",$E$2:$E3899,"&lt;&gt;"),"00000"),""))</f>
        <v/>
      </c>
      <c r="N3899" s="22"/>
    </row>
    <row r="3900" spans="1:14" x14ac:dyDescent="0.3">
      <c r="A3900" s="15" t="str">
        <f>IF(COUNTA($B3900:$E3900,$K3900)=0,"",IF(AND($B3900&lt;&gt;"",$C3900&lt;&gt;"",$D3900&lt;&gt;"",$E3900&lt;&gt;""),"TXS"&amp;TEXT(COUNTIFS($B$2:$B3900,"&lt;&gt;",$C$2:$C3900,"&lt;&gt;",$D$2:$D3900,"&lt;&gt;",$E$2:$E3900,"&lt;&gt;"),"00000"),""))</f>
        <v/>
      </c>
      <c r="N3900" s="22"/>
    </row>
    <row r="3901" spans="1:14" x14ac:dyDescent="0.3">
      <c r="A3901" s="15" t="str">
        <f>IF(COUNTA($B3901:$E3901,$K3901)=0,"",IF(AND($B3901&lt;&gt;"",$C3901&lt;&gt;"",$D3901&lt;&gt;"",$E3901&lt;&gt;""),"TXS"&amp;TEXT(COUNTIFS($B$2:$B3901,"&lt;&gt;",$C$2:$C3901,"&lt;&gt;",$D$2:$D3901,"&lt;&gt;",$E$2:$E3901,"&lt;&gt;"),"00000"),""))</f>
        <v/>
      </c>
      <c r="N3901" s="22"/>
    </row>
    <row r="3902" spans="1:14" x14ac:dyDescent="0.3">
      <c r="A3902" s="15" t="str">
        <f>IF(COUNTA($B3902:$E3902,$K3902)=0,"",IF(AND($B3902&lt;&gt;"",$C3902&lt;&gt;"",$D3902&lt;&gt;"",$E3902&lt;&gt;""),"TXS"&amp;TEXT(COUNTIFS($B$2:$B3902,"&lt;&gt;",$C$2:$C3902,"&lt;&gt;",$D$2:$D3902,"&lt;&gt;",$E$2:$E3902,"&lt;&gt;"),"00000"),""))</f>
        <v/>
      </c>
      <c r="N3902" s="22"/>
    </row>
    <row r="3903" spans="1:14" x14ac:dyDescent="0.3">
      <c r="A3903" s="15" t="str">
        <f>IF(COUNTA($B3903:$E3903,$K3903)=0,"",IF(AND($B3903&lt;&gt;"",$C3903&lt;&gt;"",$D3903&lt;&gt;"",$E3903&lt;&gt;""),"TXS"&amp;TEXT(COUNTIFS($B$2:$B3903,"&lt;&gt;",$C$2:$C3903,"&lt;&gt;",$D$2:$D3903,"&lt;&gt;",$E$2:$E3903,"&lt;&gt;"),"00000"),""))</f>
        <v/>
      </c>
      <c r="N3903" s="22"/>
    </row>
    <row r="3904" spans="1:14" x14ac:dyDescent="0.3">
      <c r="A3904" s="15" t="str">
        <f>IF(COUNTA($B3904:$E3904,$K3904)=0,"",IF(AND($B3904&lt;&gt;"",$C3904&lt;&gt;"",$D3904&lt;&gt;"",$E3904&lt;&gt;""),"TXS"&amp;TEXT(COUNTIFS($B$2:$B3904,"&lt;&gt;",$C$2:$C3904,"&lt;&gt;",$D$2:$D3904,"&lt;&gt;",$E$2:$E3904,"&lt;&gt;"),"00000"),""))</f>
        <v/>
      </c>
      <c r="N3904" s="22"/>
    </row>
    <row r="3905" spans="1:14" x14ac:dyDescent="0.3">
      <c r="A3905" s="15" t="str">
        <f>IF(COUNTA($B3905:$E3905,$K3905)=0,"",IF(AND($B3905&lt;&gt;"",$C3905&lt;&gt;"",$D3905&lt;&gt;"",$E3905&lt;&gt;""),"TXS"&amp;TEXT(COUNTIFS($B$2:$B3905,"&lt;&gt;",$C$2:$C3905,"&lt;&gt;",$D$2:$D3905,"&lt;&gt;",$E$2:$E3905,"&lt;&gt;"),"00000"),""))</f>
        <v/>
      </c>
      <c r="N3905" s="22"/>
    </row>
    <row r="3906" spans="1:14" x14ac:dyDescent="0.3">
      <c r="A3906" s="15" t="str">
        <f>IF(COUNTA($B3906:$E3906,$K3906)=0,"",IF(AND($B3906&lt;&gt;"",$C3906&lt;&gt;"",$D3906&lt;&gt;"",$E3906&lt;&gt;""),"TXS"&amp;TEXT(COUNTIFS($B$2:$B3906,"&lt;&gt;",$C$2:$C3906,"&lt;&gt;",$D$2:$D3906,"&lt;&gt;",$E$2:$E3906,"&lt;&gt;"),"00000"),""))</f>
        <v/>
      </c>
      <c r="N3906" s="22"/>
    </row>
    <row r="3907" spans="1:14" x14ac:dyDescent="0.3">
      <c r="A3907" s="15" t="str">
        <f>IF(COUNTA($B3907:$E3907,$K3907)=0,"",IF(AND($B3907&lt;&gt;"",$C3907&lt;&gt;"",$D3907&lt;&gt;"",$E3907&lt;&gt;""),"TXS"&amp;TEXT(COUNTIFS($B$2:$B3907,"&lt;&gt;",$C$2:$C3907,"&lt;&gt;",$D$2:$D3907,"&lt;&gt;",$E$2:$E3907,"&lt;&gt;"),"00000"),""))</f>
        <v/>
      </c>
      <c r="N3907" s="22"/>
    </row>
    <row r="3908" spans="1:14" x14ac:dyDescent="0.3">
      <c r="A3908" s="15" t="str">
        <f>IF(COUNTA($B3908:$E3908,$K3908)=0,"",IF(AND($B3908&lt;&gt;"",$C3908&lt;&gt;"",$D3908&lt;&gt;"",$E3908&lt;&gt;""),"TXS"&amp;TEXT(COUNTIFS($B$2:$B3908,"&lt;&gt;",$C$2:$C3908,"&lt;&gt;",$D$2:$D3908,"&lt;&gt;",$E$2:$E3908,"&lt;&gt;"),"00000"),""))</f>
        <v/>
      </c>
      <c r="N3908" s="22"/>
    </row>
    <row r="3909" spans="1:14" x14ac:dyDescent="0.3">
      <c r="A3909" s="15" t="str">
        <f>IF(COUNTA($B3909:$E3909,$K3909)=0,"",IF(AND($B3909&lt;&gt;"",$C3909&lt;&gt;"",$D3909&lt;&gt;"",$E3909&lt;&gt;""),"TXS"&amp;TEXT(COUNTIFS($B$2:$B3909,"&lt;&gt;",$C$2:$C3909,"&lt;&gt;",$D$2:$D3909,"&lt;&gt;",$E$2:$E3909,"&lt;&gt;"),"00000"),""))</f>
        <v/>
      </c>
      <c r="N3909" s="22"/>
    </row>
    <row r="3910" spans="1:14" x14ac:dyDescent="0.3">
      <c r="A3910" s="15" t="str">
        <f>IF(COUNTA($B3910:$E3910,$K3910)=0,"",IF(AND($B3910&lt;&gt;"",$C3910&lt;&gt;"",$D3910&lt;&gt;"",$E3910&lt;&gt;""),"TXS"&amp;TEXT(COUNTIFS($B$2:$B3910,"&lt;&gt;",$C$2:$C3910,"&lt;&gt;",$D$2:$D3910,"&lt;&gt;",$E$2:$E3910,"&lt;&gt;"),"00000"),""))</f>
        <v/>
      </c>
      <c r="N3910" s="22"/>
    </row>
    <row r="3911" spans="1:14" x14ac:dyDescent="0.3">
      <c r="A3911" s="15" t="str">
        <f>IF(COUNTA($B3911:$E3911,$K3911)=0,"",IF(AND($B3911&lt;&gt;"",$C3911&lt;&gt;"",$D3911&lt;&gt;"",$E3911&lt;&gt;""),"TXS"&amp;TEXT(COUNTIFS($B$2:$B3911,"&lt;&gt;",$C$2:$C3911,"&lt;&gt;",$D$2:$D3911,"&lt;&gt;",$E$2:$E3911,"&lt;&gt;"),"00000"),""))</f>
        <v/>
      </c>
      <c r="N3911" s="22"/>
    </row>
    <row r="3912" spans="1:14" x14ac:dyDescent="0.3">
      <c r="A3912" s="15" t="str">
        <f>IF(COUNTA($B3912:$E3912,$K3912)=0,"",IF(AND($B3912&lt;&gt;"",$C3912&lt;&gt;"",$D3912&lt;&gt;"",$E3912&lt;&gt;""),"TXS"&amp;TEXT(COUNTIFS($B$2:$B3912,"&lt;&gt;",$C$2:$C3912,"&lt;&gt;",$D$2:$D3912,"&lt;&gt;",$E$2:$E3912,"&lt;&gt;"),"00000"),""))</f>
        <v/>
      </c>
      <c r="N3912" s="22"/>
    </row>
    <row r="3913" spans="1:14" x14ac:dyDescent="0.3">
      <c r="A3913" s="15" t="str">
        <f>IF(COUNTA($B3913:$E3913,$K3913)=0,"",IF(AND($B3913&lt;&gt;"",$C3913&lt;&gt;"",$D3913&lt;&gt;"",$E3913&lt;&gt;""),"TXS"&amp;TEXT(COUNTIFS($B$2:$B3913,"&lt;&gt;",$C$2:$C3913,"&lt;&gt;",$D$2:$D3913,"&lt;&gt;",$E$2:$E3913,"&lt;&gt;"),"00000"),""))</f>
        <v/>
      </c>
      <c r="N3913" s="22"/>
    </row>
    <row r="3914" spans="1:14" x14ac:dyDescent="0.3">
      <c r="A3914" s="15" t="str">
        <f>IF(COUNTA($B3914:$E3914,$K3914)=0,"",IF(AND($B3914&lt;&gt;"",$C3914&lt;&gt;"",$D3914&lt;&gt;"",$E3914&lt;&gt;""),"TXS"&amp;TEXT(COUNTIFS($B$2:$B3914,"&lt;&gt;",$C$2:$C3914,"&lt;&gt;",$D$2:$D3914,"&lt;&gt;",$E$2:$E3914,"&lt;&gt;"),"00000"),""))</f>
        <v/>
      </c>
      <c r="N3914" s="22"/>
    </row>
    <row r="3915" spans="1:14" x14ac:dyDescent="0.3">
      <c r="A3915" s="15" t="str">
        <f>IF(COUNTA($B3915:$E3915,$K3915)=0,"",IF(AND($B3915&lt;&gt;"",$C3915&lt;&gt;"",$D3915&lt;&gt;"",$E3915&lt;&gt;""),"TXS"&amp;TEXT(COUNTIFS($B$2:$B3915,"&lt;&gt;",$C$2:$C3915,"&lt;&gt;",$D$2:$D3915,"&lt;&gt;",$E$2:$E3915,"&lt;&gt;"),"00000"),""))</f>
        <v/>
      </c>
      <c r="N3915" s="22"/>
    </row>
    <row r="3916" spans="1:14" x14ac:dyDescent="0.3">
      <c r="A3916" s="15" t="str">
        <f>IF(COUNTA($B3916:$E3916,$K3916)=0,"",IF(AND($B3916&lt;&gt;"",$C3916&lt;&gt;"",$D3916&lt;&gt;"",$E3916&lt;&gt;""),"TXS"&amp;TEXT(COUNTIFS($B$2:$B3916,"&lt;&gt;",$C$2:$C3916,"&lt;&gt;",$D$2:$D3916,"&lt;&gt;",$E$2:$E3916,"&lt;&gt;"),"00000"),""))</f>
        <v/>
      </c>
      <c r="N3916" s="22"/>
    </row>
    <row r="3917" spans="1:14" x14ac:dyDescent="0.3">
      <c r="A3917" s="15" t="str">
        <f>IF(COUNTA($B3917:$E3917,$K3917)=0,"",IF(AND($B3917&lt;&gt;"",$C3917&lt;&gt;"",$D3917&lt;&gt;"",$E3917&lt;&gt;""),"TXS"&amp;TEXT(COUNTIFS($B$2:$B3917,"&lt;&gt;",$C$2:$C3917,"&lt;&gt;",$D$2:$D3917,"&lt;&gt;",$E$2:$E3917,"&lt;&gt;"),"00000"),""))</f>
        <v/>
      </c>
      <c r="N3917" s="22"/>
    </row>
    <row r="3918" spans="1:14" x14ac:dyDescent="0.3">
      <c r="A3918" s="15" t="str">
        <f>IF(COUNTA($B3918:$E3918,$K3918)=0,"",IF(AND($B3918&lt;&gt;"",$C3918&lt;&gt;"",$D3918&lt;&gt;"",$E3918&lt;&gt;""),"TXS"&amp;TEXT(COUNTIFS($B$2:$B3918,"&lt;&gt;",$C$2:$C3918,"&lt;&gt;",$D$2:$D3918,"&lt;&gt;",$E$2:$E3918,"&lt;&gt;"),"00000"),""))</f>
        <v/>
      </c>
      <c r="N3918" s="22"/>
    </row>
    <row r="3919" spans="1:14" x14ac:dyDescent="0.3">
      <c r="A3919" s="15" t="str">
        <f>IF(COUNTA($B3919:$E3919,$K3919)=0,"",IF(AND($B3919&lt;&gt;"",$C3919&lt;&gt;"",$D3919&lt;&gt;"",$E3919&lt;&gt;""),"TXS"&amp;TEXT(COUNTIFS($B$2:$B3919,"&lt;&gt;",$C$2:$C3919,"&lt;&gt;",$D$2:$D3919,"&lt;&gt;",$E$2:$E3919,"&lt;&gt;"),"00000"),""))</f>
        <v/>
      </c>
      <c r="N3919" s="22"/>
    </row>
    <row r="3920" spans="1:14" x14ac:dyDescent="0.3">
      <c r="A3920" s="15" t="str">
        <f>IF(COUNTA($B3920:$E3920,$K3920)=0,"",IF(AND($B3920&lt;&gt;"",$C3920&lt;&gt;"",$D3920&lt;&gt;"",$E3920&lt;&gt;""),"TXS"&amp;TEXT(COUNTIFS($B$2:$B3920,"&lt;&gt;",$C$2:$C3920,"&lt;&gt;",$D$2:$D3920,"&lt;&gt;",$E$2:$E3920,"&lt;&gt;"),"00000"),""))</f>
        <v/>
      </c>
      <c r="N3920" s="22"/>
    </row>
    <row r="3921" spans="1:14" x14ac:dyDescent="0.3">
      <c r="A3921" s="15" t="str">
        <f>IF(COUNTA($B3921:$E3921,$K3921)=0,"",IF(AND($B3921&lt;&gt;"",$C3921&lt;&gt;"",$D3921&lt;&gt;"",$E3921&lt;&gt;""),"TXS"&amp;TEXT(COUNTIFS($B$2:$B3921,"&lt;&gt;",$C$2:$C3921,"&lt;&gt;",$D$2:$D3921,"&lt;&gt;",$E$2:$E3921,"&lt;&gt;"),"00000"),""))</f>
        <v/>
      </c>
      <c r="N3921" s="22"/>
    </row>
    <row r="3922" spans="1:14" x14ac:dyDescent="0.3">
      <c r="A3922" s="15" t="str">
        <f>IF(COUNTA($B3922:$E3922,$K3922)=0,"",IF(AND($B3922&lt;&gt;"",$C3922&lt;&gt;"",$D3922&lt;&gt;"",$E3922&lt;&gt;""),"TXS"&amp;TEXT(COUNTIFS($B$2:$B3922,"&lt;&gt;",$C$2:$C3922,"&lt;&gt;",$D$2:$D3922,"&lt;&gt;",$E$2:$E3922,"&lt;&gt;"),"00000"),""))</f>
        <v/>
      </c>
      <c r="N3922" s="22"/>
    </row>
    <row r="3923" spans="1:14" x14ac:dyDescent="0.3">
      <c r="A3923" s="15" t="str">
        <f>IF(COUNTA($B3923:$E3923,$K3923)=0,"",IF(AND($B3923&lt;&gt;"",$C3923&lt;&gt;"",$D3923&lt;&gt;"",$E3923&lt;&gt;""),"TXS"&amp;TEXT(COUNTIFS($B$2:$B3923,"&lt;&gt;",$C$2:$C3923,"&lt;&gt;",$D$2:$D3923,"&lt;&gt;",$E$2:$E3923,"&lt;&gt;"),"00000"),""))</f>
        <v/>
      </c>
      <c r="N3923" s="22"/>
    </row>
    <row r="3924" spans="1:14" x14ac:dyDescent="0.3">
      <c r="A3924" s="15" t="str">
        <f>IF(COUNTA($B3924:$E3924,$K3924)=0,"",IF(AND($B3924&lt;&gt;"",$C3924&lt;&gt;"",$D3924&lt;&gt;"",$E3924&lt;&gt;""),"TXS"&amp;TEXT(COUNTIFS($B$2:$B3924,"&lt;&gt;",$C$2:$C3924,"&lt;&gt;",$D$2:$D3924,"&lt;&gt;",$E$2:$E3924,"&lt;&gt;"),"00000"),""))</f>
        <v/>
      </c>
      <c r="N3924" s="22"/>
    </row>
    <row r="3925" spans="1:14" x14ac:dyDescent="0.3">
      <c r="A3925" s="15" t="str">
        <f>IF(COUNTA($B3925:$E3925,$K3925)=0,"",IF(AND($B3925&lt;&gt;"",$C3925&lt;&gt;"",$D3925&lt;&gt;"",$E3925&lt;&gt;""),"TXS"&amp;TEXT(COUNTIFS($B$2:$B3925,"&lt;&gt;",$C$2:$C3925,"&lt;&gt;",$D$2:$D3925,"&lt;&gt;",$E$2:$E3925,"&lt;&gt;"),"00000"),""))</f>
        <v/>
      </c>
      <c r="N3925" s="22"/>
    </row>
    <row r="3926" spans="1:14" x14ac:dyDescent="0.3">
      <c r="A3926" s="15" t="str">
        <f>IF(COUNTA($B3926:$E3926,$K3926)=0,"",IF(AND($B3926&lt;&gt;"",$C3926&lt;&gt;"",$D3926&lt;&gt;"",$E3926&lt;&gt;""),"TXS"&amp;TEXT(COUNTIFS($B$2:$B3926,"&lt;&gt;",$C$2:$C3926,"&lt;&gt;",$D$2:$D3926,"&lt;&gt;",$E$2:$E3926,"&lt;&gt;"),"00000"),""))</f>
        <v/>
      </c>
      <c r="N3926" s="22"/>
    </row>
    <row r="3927" spans="1:14" x14ac:dyDescent="0.3">
      <c r="A3927" s="15" t="str">
        <f>IF(COUNTA($B3927:$E3927,$K3927)=0,"",IF(AND($B3927&lt;&gt;"",$C3927&lt;&gt;"",$D3927&lt;&gt;"",$E3927&lt;&gt;""),"TXS"&amp;TEXT(COUNTIFS($B$2:$B3927,"&lt;&gt;",$C$2:$C3927,"&lt;&gt;",$D$2:$D3927,"&lt;&gt;",$E$2:$E3927,"&lt;&gt;"),"00000"),""))</f>
        <v/>
      </c>
      <c r="N3927" s="22"/>
    </row>
    <row r="3928" spans="1:14" x14ac:dyDescent="0.3">
      <c r="A3928" s="15" t="str">
        <f>IF(COUNTA($B3928:$E3928,$K3928)=0,"",IF(AND($B3928&lt;&gt;"",$C3928&lt;&gt;"",$D3928&lt;&gt;"",$E3928&lt;&gt;""),"TXS"&amp;TEXT(COUNTIFS($B$2:$B3928,"&lt;&gt;",$C$2:$C3928,"&lt;&gt;",$D$2:$D3928,"&lt;&gt;",$E$2:$E3928,"&lt;&gt;"),"00000"),""))</f>
        <v/>
      </c>
      <c r="N3928" s="22"/>
    </row>
    <row r="3929" spans="1:14" x14ac:dyDescent="0.3">
      <c r="A3929" s="15" t="str">
        <f>IF(COUNTA($B3929:$E3929,$K3929)=0,"",IF(AND($B3929&lt;&gt;"",$C3929&lt;&gt;"",$D3929&lt;&gt;"",$E3929&lt;&gt;""),"TXS"&amp;TEXT(COUNTIFS($B$2:$B3929,"&lt;&gt;",$C$2:$C3929,"&lt;&gt;",$D$2:$D3929,"&lt;&gt;",$E$2:$E3929,"&lt;&gt;"),"00000"),""))</f>
        <v/>
      </c>
      <c r="N3929" s="22"/>
    </row>
    <row r="3930" spans="1:14" x14ac:dyDescent="0.3">
      <c r="A3930" s="15" t="str">
        <f>IF(COUNTA($B3930:$E3930,$K3930)=0,"",IF(AND($B3930&lt;&gt;"",$C3930&lt;&gt;"",$D3930&lt;&gt;"",$E3930&lt;&gt;""),"TXS"&amp;TEXT(COUNTIFS($B$2:$B3930,"&lt;&gt;",$C$2:$C3930,"&lt;&gt;",$D$2:$D3930,"&lt;&gt;",$E$2:$E3930,"&lt;&gt;"),"00000"),""))</f>
        <v/>
      </c>
      <c r="N3930" s="22"/>
    </row>
    <row r="3931" spans="1:14" x14ac:dyDescent="0.3">
      <c r="A3931" s="15" t="str">
        <f>IF(COUNTA($B3931:$E3931,$K3931)=0,"",IF(AND($B3931&lt;&gt;"",$C3931&lt;&gt;"",$D3931&lt;&gt;"",$E3931&lt;&gt;""),"TXS"&amp;TEXT(COUNTIFS($B$2:$B3931,"&lt;&gt;",$C$2:$C3931,"&lt;&gt;",$D$2:$D3931,"&lt;&gt;",$E$2:$E3931,"&lt;&gt;"),"00000"),""))</f>
        <v/>
      </c>
      <c r="N3931" s="22"/>
    </row>
    <row r="3932" spans="1:14" x14ac:dyDescent="0.3">
      <c r="A3932" s="15" t="str">
        <f>IF(COUNTA($B3932:$E3932,$K3932)=0,"",IF(AND($B3932&lt;&gt;"",$C3932&lt;&gt;"",$D3932&lt;&gt;"",$E3932&lt;&gt;""),"TXS"&amp;TEXT(COUNTIFS($B$2:$B3932,"&lt;&gt;",$C$2:$C3932,"&lt;&gt;",$D$2:$D3932,"&lt;&gt;",$E$2:$E3932,"&lt;&gt;"),"00000"),""))</f>
        <v/>
      </c>
      <c r="N3932" s="22"/>
    </row>
    <row r="3933" spans="1:14" x14ac:dyDescent="0.3">
      <c r="A3933" s="15" t="str">
        <f>IF(COUNTA($B3933:$E3933,$K3933)=0,"",IF(AND($B3933&lt;&gt;"",$C3933&lt;&gt;"",$D3933&lt;&gt;"",$E3933&lt;&gt;""),"TXS"&amp;TEXT(COUNTIFS($B$2:$B3933,"&lt;&gt;",$C$2:$C3933,"&lt;&gt;",$D$2:$D3933,"&lt;&gt;",$E$2:$E3933,"&lt;&gt;"),"00000"),""))</f>
        <v/>
      </c>
      <c r="N3933" s="22"/>
    </row>
    <row r="3934" spans="1:14" x14ac:dyDescent="0.3">
      <c r="A3934" s="15" t="str">
        <f>IF(COUNTA($B3934:$E3934,$K3934)=0,"",IF(AND($B3934&lt;&gt;"",$C3934&lt;&gt;"",$D3934&lt;&gt;"",$E3934&lt;&gt;""),"TXS"&amp;TEXT(COUNTIFS($B$2:$B3934,"&lt;&gt;",$C$2:$C3934,"&lt;&gt;",$D$2:$D3934,"&lt;&gt;",$E$2:$E3934,"&lt;&gt;"),"00000"),""))</f>
        <v/>
      </c>
      <c r="N3934" s="22"/>
    </row>
    <row r="3935" spans="1:14" x14ac:dyDescent="0.3">
      <c r="A3935" s="15" t="str">
        <f>IF(COUNTA($B3935:$E3935,$K3935)=0,"",IF(AND($B3935&lt;&gt;"",$C3935&lt;&gt;"",$D3935&lt;&gt;"",$E3935&lt;&gt;""),"TXS"&amp;TEXT(COUNTIFS($B$2:$B3935,"&lt;&gt;",$C$2:$C3935,"&lt;&gt;",$D$2:$D3935,"&lt;&gt;",$E$2:$E3935,"&lt;&gt;"),"00000"),""))</f>
        <v/>
      </c>
      <c r="N3935" s="22"/>
    </row>
    <row r="3936" spans="1:14" x14ac:dyDescent="0.3">
      <c r="A3936" s="15" t="str">
        <f>IF(COUNTA($B3936:$E3936,$K3936)=0,"",IF(AND($B3936&lt;&gt;"",$C3936&lt;&gt;"",$D3936&lt;&gt;"",$E3936&lt;&gt;""),"TXS"&amp;TEXT(COUNTIFS($B$2:$B3936,"&lt;&gt;",$C$2:$C3936,"&lt;&gt;",$D$2:$D3936,"&lt;&gt;",$E$2:$E3936,"&lt;&gt;"),"00000"),""))</f>
        <v/>
      </c>
      <c r="N3936" s="22"/>
    </row>
    <row r="3937" spans="1:14" x14ac:dyDescent="0.3">
      <c r="A3937" s="15" t="str">
        <f>IF(COUNTA($B3937:$E3937,$K3937)=0,"",IF(AND($B3937&lt;&gt;"",$C3937&lt;&gt;"",$D3937&lt;&gt;"",$E3937&lt;&gt;""),"TXS"&amp;TEXT(COUNTIFS($B$2:$B3937,"&lt;&gt;",$C$2:$C3937,"&lt;&gt;",$D$2:$D3937,"&lt;&gt;",$E$2:$E3937,"&lt;&gt;"),"00000"),""))</f>
        <v/>
      </c>
      <c r="N3937" s="22"/>
    </row>
    <row r="3938" spans="1:14" x14ac:dyDescent="0.3">
      <c r="A3938" s="15" t="str">
        <f>IF(COUNTA($B3938:$E3938,$K3938)=0,"",IF(AND($B3938&lt;&gt;"",$C3938&lt;&gt;"",$D3938&lt;&gt;"",$E3938&lt;&gt;""),"TXS"&amp;TEXT(COUNTIFS($B$2:$B3938,"&lt;&gt;",$C$2:$C3938,"&lt;&gt;",$D$2:$D3938,"&lt;&gt;",$E$2:$E3938,"&lt;&gt;"),"00000"),""))</f>
        <v/>
      </c>
      <c r="N3938" s="22"/>
    </row>
    <row r="3939" spans="1:14" x14ac:dyDescent="0.3">
      <c r="A3939" s="15" t="str">
        <f>IF(COUNTA($B3939:$E3939,$K3939)=0,"",IF(AND($B3939&lt;&gt;"",$C3939&lt;&gt;"",$D3939&lt;&gt;"",$E3939&lt;&gt;""),"TXS"&amp;TEXT(COUNTIFS($B$2:$B3939,"&lt;&gt;",$C$2:$C3939,"&lt;&gt;",$D$2:$D3939,"&lt;&gt;",$E$2:$E3939,"&lt;&gt;"),"00000"),""))</f>
        <v/>
      </c>
      <c r="N3939" s="22"/>
    </row>
    <row r="3940" spans="1:14" x14ac:dyDescent="0.3">
      <c r="A3940" s="15" t="str">
        <f>IF(COUNTA($B3940:$E3940,$K3940)=0,"",IF(AND($B3940&lt;&gt;"",$C3940&lt;&gt;"",$D3940&lt;&gt;"",$E3940&lt;&gt;""),"TXS"&amp;TEXT(COUNTIFS($B$2:$B3940,"&lt;&gt;",$C$2:$C3940,"&lt;&gt;",$D$2:$D3940,"&lt;&gt;",$E$2:$E3940,"&lt;&gt;"),"00000"),""))</f>
        <v/>
      </c>
      <c r="N3940" s="22"/>
    </row>
    <row r="3941" spans="1:14" x14ac:dyDescent="0.3">
      <c r="A3941" s="15" t="str">
        <f>IF(COUNTA($B3941:$E3941,$K3941)=0,"",IF(AND($B3941&lt;&gt;"",$C3941&lt;&gt;"",$D3941&lt;&gt;"",$E3941&lt;&gt;""),"TXS"&amp;TEXT(COUNTIFS($B$2:$B3941,"&lt;&gt;",$C$2:$C3941,"&lt;&gt;",$D$2:$D3941,"&lt;&gt;",$E$2:$E3941,"&lt;&gt;"),"00000"),""))</f>
        <v/>
      </c>
      <c r="N3941" s="22"/>
    </row>
    <row r="3942" spans="1:14" x14ac:dyDescent="0.3">
      <c r="A3942" s="15" t="str">
        <f>IF(COUNTA($B3942:$E3942,$K3942)=0,"",IF(AND($B3942&lt;&gt;"",$C3942&lt;&gt;"",$D3942&lt;&gt;"",$E3942&lt;&gt;""),"TXS"&amp;TEXT(COUNTIFS($B$2:$B3942,"&lt;&gt;",$C$2:$C3942,"&lt;&gt;",$D$2:$D3942,"&lt;&gt;",$E$2:$E3942,"&lt;&gt;"),"00000"),""))</f>
        <v/>
      </c>
      <c r="N3942" s="22"/>
    </row>
    <row r="3943" spans="1:14" x14ac:dyDescent="0.3">
      <c r="A3943" s="15" t="str">
        <f>IF(COUNTA($B3943:$E3943,$K3943)=0,"",IF(AND($B3943&lt;&gt;"",$C3943&lt;&gt;"",$D3943&lt;&gt;"",$E3943&lt;&gt;""),"TXS"&amp;TEXT(COUNTIFS($B$2:$B3943,"&lt;&gt;",$C$2:$C3943,"&lt;&gt;",$D$2:$D3943,"&lt;&gt;",$E$2:$E3943,"&lt;&gt;"),"00000"),""))</f>
        <v/>
      </c>
      <c r="N3943" s="22"/>
    </row>
    <row r="3944" spans="1:14" x14ac:dyDescent="0.3">
      <c r="A3944" s="15" t="str">
        <f>IF(COUNTA($B3944:$E3944,$K3944)=0,"",IF(AND($B3944&lt;&gt;"",$C3944&lt;&gt;"",$D3944&lt;&gt;"",$E3944&lt;&gt;""),"TXS"&amp;TEXT(COUNTIFS($B$2:$B3944,"&lt;&gt;",$C$2:$C3944,"&lt;&gt;",$D$2:$D3944,"&lt;&gt;",$E$2:$E3944,"&lt;&gt;"),"00000"),""))</f>
        <v/>
      </c>
      <c r="N3944" s="22"/>
    </row>
    <row r="3945" spans="1:14" x14ac:dyDescent="0.3">
      <c r="A3945" s="15" t="str">
        <f>IF(COUNTA($B3945:$E3945,$K3945)=0,"",IF(AND($B3945&lt;&gt;"",$C3945&lt;&gt;"",$D3945&lt;&gt;"",$E3945&lt;&gt;""),"TXS"&amp;TEXT(COUNTIFS($B$2:$B3945,"&lt;&gt;",$C$2:$C3945,"&lt;&gt;",$D$2:$D3945,"&lt;&gt;",$E$2:$E3945,"&lt;&gt;"),"00000"),""))</f>
        <v/>
      </c>
      <c r="N3945" s="22"/>
    </row>
    <row r="3946" spans="1:14" x14ac:dyDescent="0.3">
      <c r="A3946" s="15" t="str">
        <f>IF(COUNTA($B3946:$E3946,$K3946)=0,"",IF(AND($B3946&lt;&gt;"",$C3946&lt;&gt;"",$D3946&lt;&gt;"",$E3946&lt;&gt;""),"TXS"&amp;TEXT(COUNTIFS($B$2:$B3946,"&lt;&gt;",$C$2:$C3946,"&lt;&gt;",$D$2:$D3946,"&lt;&gt;",$E$2:$E3946,"&lt;&gt;"),"00000"),""))</f>
        <v/>
      </c>
      <c r="N3946" s="22"/>
    </row>
    <row r="3947" spans="1:14" x14ac:dyDescent="0.3">
      <c r="A3947" s="15" t="str">
        <f>IF(COUNTA($B3947:$E3947,$K3947)=0,"",IF(AND($B3947&lt;&gt;"",$C3947&lt;&gt;"",$D3947&lt;&gt;"",$E3947&lt;&gt;""),"TXS"&amp;TEXT(COUNTIFS($B$2:$B3947,"&lt;&gt;",$C$2:$C3947,"&lt;&gt;",$D$2:$D3947,"&lt;&gt;",$E$2:$E3947,"&lt;&gt;"),"00000"),""))</f>
        <v/>
      </c>
      <c r="N3947" s="22"/>
    </row>
    <row r="3948" spans="1:14" x14ac:dyDescent="0.3">
      <c r="A3948" s="15" t="str">
        <f>IF(COUNTA($B3948:$E3948,$K3948)=0,"",IF(AND($B3948&lt;&gt;"",$C3948&lt;&gt;"",$D3948&lt;&gt;"",$E3948&lt;&gt;""),"TXS"&amp;TEXT(COUNTIFS($B$2:$B3948,"&lt;&gt;",$C$2:$C3948,"&lt;&gt;",$D$2:$D3948,"&lt;&gt;",$E$2:$E3948,"&lt;&gt;"),"00000"),""))</f>
        <v/>
      </c>
      <c r="N3948" s="22"/>
    </row>
    <row r="3949" spans="1:14" x14ac:dyDescent="0.3">
      <c r="A3949" s="15" t="str">
        <f>IF(COUNTA($B3949:$E3949,$K3949)=0,"",IF(AND($B3949&lt;&gt;"",$C3949&lt;&gt;"",$D3949&lt;&gt;"",$E3949&lt;&gt;""),"TXS"&amp;TEXT(COUNTIFS($B$2:$B3949,"&lt;&gt;",$C$2:$C3949,"&lt;&gt;",$D$2:$D3949,"&lt;&gt;",$E$2:$E3949,"&lt;&gt;"),"00000"),""))</f>
        <v/>
      </c>
      <c r="N3949" s="22"/>
    </row>
    <row r="3950" spans="1:14" x14ac:dyDescent="0.3">
      <c r="A3950" s="15" t="str">
        <f>IF(COUNTA($B3950:$E3950,$K3950)=0,"",IF(AND($B3950&lt;&gt;"",$C3950&lt;&gt;"",$D3950&lt;&gt;"",$E3950&lt;&gt;""),"TXS"&amp;TEXT(COUNTIFS($B$2:$B3950,"&lt;&gt;",$C$2:$C3950,"&lt;&gt;",$D$2:$D3950,"&lt;&gt;",$E$2:$E3950,"&lt;&gt;"),"00000"),""))</f>
        <v/>
      </c>
      <c r="N3950" s="22"/>
    </row>
    <row r="3951" spans="1:14" x14ac:dyDescent="0.3">
      <c r="A3951" s="15" t="str">
        <f>IF(COUNTA($B3951:$E3951,$K3951)=0,"",IF(AND($B3951&lt;&gt;"",$C3951&lt;&gt;"",$D3951&lt;&gt;"",$E3951&lt;&gt;""),"TXS"&amp;TEXT(COUNTIFS($B$2:$B3951,"&lt;&gt;",$C$2:$C3951,"&lt;&gt;",$D$2:$D3951,"&lt;&gt;",$E$2:$E3951,"&lt;&gt;"),"00000"),""))</f>
        <v/>
      </c>
      <c r="N3951" s="22"/>
    </row>
    <row r="3952" spans="1:14" x14ac:dyDescent="0.3">
      <c r="A3952" s="15" t="str">
        <f>IF(COUNTA($B3952:$E3952,$K3952)=0,"",IF(AND($B3952&lt;&gt;"",$C3952&lt;&gt;"",$D3952&lt;&gt;"",$E3952&lt;&gt;""),"TXS"&amp;TEXT(COUNTIFS($B$2:$B3952,"&lt;&gt;",$C$2:$C3952,"&lt;&gt;",$D$2:$D3952,"&lt;&gt;",$E$2:$E3952,"&lt;&gt;"),"00000"),""))</f>
        <v/>
      </c>
      <c r="N3952" s="22"/>
    </row>
    <row r="3953" spans="1:14" x14ac:dyDescent="0.3">
      <c r="A3953" s="15" t="str">
        <f>IF(COUNTA($B3953:$E3953,$K3953)=0,"",IF(AND($B3953&lt;&gt;"",$C3953&lt;&gt;"",$D3953&lt;&gt;"",$E3953&lt;&gt;""),"TXS"&amp;TEXT(COUNTIFS($B$2:$B3953,"&lt;&gt;",$C$2:$C3953,"&lt;&gt;",$D$2:$D3953,"&lt;&gt;",$E$2:$E3953,"&lt;&gt;"),"00000"),""))</f>
        <v/>
      </c>
      <c r="N3953" s="22"/>
    </row>
    <row r="3954" spans="1:14" x14ac:dyDescent="0.3">
      <c r="A3954" s="15" t="str">
        <f>IF(COUNTA($B3954:$E3954,$K3954)=0,"",IF(AND($B3954&lt;&gt;"",$C3954&lt;&gt;"",$D3954&lt;&gt;"",$E3954&lt;&gt;""),"TXS"&amp;TEXT(COUNTIFS($B$2:$B3954,"&lt;&gt;",$C$2:$C3954,"&lt;&gt;",$D$2:$D3954,"&lt;&gt;",$E$2:$E3954,"&lt;&gt;"),"00000"),""))</f>
        <v/>
      </c>
      <c r="N3954" s="22"/>
    </row>
    <row r="3955" spans="1:14" x14ac:dyDescent="0.3">
      <c r="A3955" s="15" t="str">
        <f>IF(COUNTA($B3955:$E3955,$K3955)=0,"",IF(AND($B3955&lt;&gt;"",$C3955&lt;&gt;"",$D3955&lt;&gt;"",$E3955&lt;&gt;""),"TXS"&amp;TEXT(COUNTIFS($B$2:$B3955,"&lt;&gt;",$C$2:$C3955,"&lt;&gt;",$D$2:$D3955,"&lt;&gt;",$E$2:$E3955,"&lt;&gt;"),"00000"),""))</f>
        <v/>
      </c>
      <c r="N3955" s="22"/>
    </row>
    <row r="3956" spans="1:14" x14ac:dyDescent="0.3">
      <c r="A3956" s="15" t="str">
        <f>IF(COUNTA($B3956:$E3956,$K3956)=0,"",IF(AND($B3956&lt;&gt;"",$C3956&lt;&gt;"",$D3956&lt;&gt;"",$E3956&lt;&gt;""),"TXS"&amp;TEXT(COUNTIFS($B$2:$B3956,"&lt;&gt;",$C$2:$C3956,"&lt;&gt;",$D$2:$D3956,"&lt;&gt;",$E$2:$E3956,"&lt;&gt;"),"00000"),""))</f>
        <v/>
      </c>
      <c r="N3956" s="22"/>
    </row>
    <row r="3957" spans="1:14" x14ac:dyDescent="0.3">
      <c r="A3957" s="15" t="str">
        <f>IF(COUNTA($B3957:$E3957,$K3957)=0,"",IF(AND($B3957&lt;&gt;"",$C3957&lt;&gt;"",$D3957&lt;&gt;"",$E3957&lt;&gt;""),"TXS"&amp;TEXT(COUNTIFS($B$2:$B3957,"&lt;&gt;",$C$2:$C3957,"&lt;&gt;",$D$2:$D3957,"&lt;&gt;",$E$2:$E3957,"&lt;&gt;"),"00000"),""))</f>
        <v/>
      </c>
      <c r="N3957" s="22"/>
    </row>
    <row r="3958" spans="1:14" x14ac:dyDescent="0.3">
      <c r="A3958" s="15" t="str">
        <f>IF(COUNTA($B3958:$E3958,$K3958)=0,"",IF(AND($B3958&lt;&gt;"",$C3958&lt;&gt;"",$D3958&lt;&gt;"",$E3958&lt;&gt;""),"TXS"&amp;TEXT(COUNTIFS($B$2:$B3958,"&lt;&gt;",$C$2:$C3958,"&lt;&gt;",$D$2:$D3958,"&lt;&gt;",$E$2:$E3958,"&lt;&gt;"),"00000"),""))</f>
        <v/>
      </c>
      <c r="N3958" s="22"/>
    </row>
    <row r="3959" spans="1:14" x14ac:dyDescent="0.3">
      <c r="A3959" s="15" t="str">
        <f>IF(COUNTA($B3959:$E3959,$K3959)=0,"",IF(AND($B3959&lt;&gt;"",$C3959&lt;&gt;"",$D3959&lt;&gt;"",$E3959&lt;&gt;""),"TXS"&amp;TEXT(COUNTIFS($B$2:$B3959,"&lt;&gt;",$C$2:$C3959,"&lt;&gt;",$D$2:$D3959,"&lt;&gt;",$E$2:$E3959,"&lt;&gt;"),"00000"),""))</f>
        <v/>
      </c>
      <c r="N3959" s="22"/>
    </row>
    <row r="3960" spans="1:14" x14ac:dyDescent="0.3">
      <c r="A3960" s="15" t="str">
        <f>IF(COUNTA($B3960:$E3960,$K3960)=0,"",IF(AND($B3960&lt;&gt;"",$C3960&lt;&gt;"",$D3960&lt;&gt;"",$E3960&lt;&gt;""),"TXS"&amp;TEXT(COUNTIFS($B$2:$B3960,"&lt;&gt;",$C$2:$C3960,"&lt;&gt;",$D$2:$D3960,"&lt;&gt;",$E$2:$E3960,"&lt;&gt;"),"00000"),""))</f>
        <v/>
      </c>
      <c r="N3960" s="22"/>
    </row>
    <row r="3961" spans="1:14" x14ac:dyDescent="0.3">
      <c r="A3961" s="15" t="str">
        <f>IF(COUNTA($B3961:$E3961,$K3961)=0,"",IF(AND($B3961&lt;&gt;"",$C3961&lt;&gt;"",$D3961&lt;&gt;"",$E3961&lt;&gt;""),"TXS"&amp;TEXT(COUNTIFS($B$2:$B3961,"&lt;&gt;",$C$2:$C3961,"&lt;&gt;",$D$2:$D3961,"&lt;&gt;",$E$2:$E3961,"&lt;&gt;"),"00000"),""))</f>
        <v/>
      </c>
      <c r="N3961" s="22"/>
    </row>
    <row r="3962" spans="1:14" x14ac:dyDescent="0.3">
      <c r="A3962" s="15" t="str">
        <f>IF(COUNTA($B3962:$E3962,$K3962)=0,"",IF(AND($B3962&lt;&gt;"",$C3962&lt;&gt;"",$D3962&lt;&gt;"",$E3962&lt;&gt;""),"TXS"&amp;TEXT(COUNTIFS($B$2:$B3962,"&lt;&gt;",$C$2:$C3962,"&lt;&gt;",$D$2:$D3962,"&lt;&gt;",$E$2:$E3962,"&lt;&gt;"),"00000"),""))</f>
        <v/>
      </c>
      <c r="N3962" s="22"/>
    </row>
    <row r="3963" spans="1:14" x14ac:dyDescent="0.3">
      <c r="A3963" s="15" t="str">
        <f>IF(COUNTA($B3963:$E3963,$K3963)=0,"",IF(AND($B3963&lt;&gt;"",$C3963&lt;&gt;"",$D3963&lt;&gt;"",$E3963&lt;&gt;""),"TXS"&amp;TEXT(COUNTIFS($B$2:$B3963,"&lt;&gt;",$C$2:$C3963,"&lt;&gt;",$D$2:$D3963,"&lt;&gt;",$E$2:$E3963,"&lt;&gt;"),"00000"),""))</f>
        <v/>
      </c>
      <c r="N3963" s="22"/>
    </row>
    <row r="3964" spans="1:14" x14ac:dyDescent="0.3">
      <c r="A3964" s="15" t="str">
        <f>IF(COUNTA($B3964:$E3964,$K3964)=0,"",IF(AND($B3964&lt;&gt;"",$C3964&lt;&gt;"",$D3964&lt;&gt;"",$E3964&lt;&gt;""),"TXS"&amp;TEXT(COUNTIFS($B$2:$B3964,"&lt;&gt;",$C$2:$C3964,"&lt;&gt;",$D$2:$D3964,"&lt;&gt;",$E$2:$E3964,"&lt;&gt;"),"00000"),""))</f>
        <v/>
      </c>
      <c r="N3964" s="22"/>
    </row>
    <row r="3965" spans="1:14" x14ac:dyDescent="0.3">
      <c r="A3965" s="15" t="str">
        <f>IF(COUNTA($B3965:$E3965,$K3965)=0,"",IF(AND($B3965&lt;&gt;"",$C3965&lt;&gt;"",$D3965&lt;&gt;"",$E3965&lt;&gt;""),"TXS"&amp;TEXT(COUNTIFS($B$2:$B3965,"&lt;&gt;",$C$2:$C3965,"&lt;&gt;",$D$2:$D3965,"&lt;&gt;",$E$2:$E3965,"&lt;&gt;"),"00000"),""))</f>
        <v/>
      </c>
      <c r="N3965" s="22"/>
    </row>
    <row r="3966" spans="1:14" x14ac:dyDescent="0.3">
      <c r="A3966" s="15" t="str">
        <f>IF(COUNTA($B3966:$E3966,$K3966)=0,"",IF(AND($B3966&lt;&gt;"",$C3966&lt;&gt;"",$D3966&lt;&gt;"",$E3966&lt;&gt;""),"TXS"&amp;TEXT(COUNTIFS($B$2:$B3966,"&lt;&gt;",$C$2:$C3966,"&lt;&gt;",$D$2:$D3966,"&lt;&gt;",$E$2:$E3966,"&lt;&gt;"),"00000"),""))</f>
        <v/>
      </c>
      <c r="N3966" s="22"/>
    </row>
    <row r="3967" spans="1:14" x14ac:dyDescent="0.3">
      <c r="A3967" s="15" t="str">
        <f>IF(COUNTA($B3967:$E3967,$K3967)=0,"",IF(AND($B3967&lt;&gt;"",$C3967&lt;&gt;"",$D3967&lt;&gt;"",$E3967&lt;&gt;""),"TXS"&amp;TEXT(COUNTIFS($B$2:$B3967,"&lt;&gt;",$C$2:$C3967,"&lt;&gt;",$D$2:$D3967,"&lt;&gt;",$E$2:$E3967,"&lt;&gt;"),"00000"),""))</f>
        <v/>
      </c>
      <c r="N3967" s="22"/>
    </row>
    <row r="3968" spans="1:14" x14ac:dyDescent="0.3">
      <c r="A3968" s="15" t="str">
        <f>IF(COUNTA($B3968:$E3968,$K3968)=0,"",IF(AND($B3968&lt;&gt;"",$C3968&lt;&gt;"",$D3968&lt;&gt;"",$E3968&lt;&gt;""),"TXS"&amp;TEXT(COUNTIFS($B$2:$B3968,"&lt;&gt;",$C$2:$C3968,"&lt;&gt;",$D$2:$D3968,"&lt;&gt;",$E$2:$E3968,"&lt;&gt;"),"00000"),""))</f>
        <v/>
      </c>
      <c r="N3968" s="22"/>
    </row>
    <row r="3969" spans="1:14" x14ac:dyDescent="0.3">
      <c r="A3969" s="15" t="str">
        <f>IF(COUNTA($B3969:$E3969,$K3969)=0,"",IF(AND($B3969&lt;&gt;"",$C3969&lt;&gt;"",$D3969&lt;&gt;"",$E3969&lt;&gt;""),"TXS"&amp;TEXT(COUNTIFS($B$2:$B3969,"&lt;&gt;",$C$2:$C3969,"&lt;&gt;",$D$2:$D3969,"&lt;&gt;",$E$2:$E3969,"&lt;&gt;"),"00000"),""))</f>
        <v/>
      </c>
      <c r="N3969" s="22"/>
    </row>
    <row r="3970" spans="1:14" x14ac:dyDescent="0.3">
      <c r="A3970" s="15" t="str">
        <f>IF(COUNTA($B3970:$E3970,$K3970)=0,"",IF(AND($B3970&lt;&gt;"",$C3970&lt;&gt;"",$D3970&lt;&gt;"",$E3970&lt;&gt;""),"TXS"&amp;TEXT(COUNTIFS($B$2:$B3970,"&lt;&gt;",$C$2:$C3970,"&lt;&gt;",$D$2:$D3970,"&lt;&gt;",$E$2:$E3970,"&lt;&gt;"),"00000"),""))</f>
        <v/>
      </c>
      <c r="N3970" s="22"/>
    </row>
    <row r="3971" spans="1:14" x14ac:dyDescent="0.3">
      <c r="A3971" s="15" t="str">
        <f>IF(COUNTA($B3971:$E3971,$K3971)=0,"",IF(AND($B3971&lt;&gt;"",$C3971&lt;&gt;"",$D3971&lt;&gt;"",$E3971&lt;&gt;""),"TXS"&amp;TEXT(COUNTIFS($B$2:$B3971,"&lt;&gt;",$C$2:$C3971,"&lt;&gt;",$D$2:$D3971,"&lt;&gt;",$E$2:$E3971,"&lt;&gt;"),"00000"),""))</f>
        <v/>
      </c>
      <c r="N3971" s="22"/>
    </row>
    <row r="3972" spans="1:14" x14ac:dyDescent="0.3">
      <c r="A3972" s="15" t="str">
        <f>IF(COUNTA($B3972:$E3972,$K3972)=0,"",IF(AND($B3972&lt;&gt;"",$C3972&lt;&gt;"",$D3972&lt;&gt;"",$E3972&lt;&gt;""),"TXS"&amp;TEXT(COUNTIFS($B$2:$B3972,"&lt;&gt;",$C$2:$C3972,"&lt;&gt;",$D$2:$D3972,"&lt;&gt;",$E$2:$E3972,"&lt;&gt;"),"00000"),""))</f>
        <v/>
      </c>
      <c r="N3972" s="22"/>
    </row>
    <row r="3973" spans="1:14" x14ac:dyDescent="0.3">
      <c r="A3973" s="15" t="str">
        <f>IF(COUNTA($B3973:$E3973,$K3973)=0,"",IF(AND($B3973&lt;&gt;"",$C3973&lt;&gt;"",$D3973&lt;&gt;"",$E3973&lt;&gt;""),"TXS"&amp;TEXT(COUNTIFS($B$2:$B3973,"&lt;&gt;",$C$2:$C3973,"&lt;&gt;",$D$2:$D3973,"&lt;&gt;",$E$2:$E3973,"&lt;&gt;"),"00000"),""))</f>
        <v/>
      </c>
      <c r="N3973" s="22"/>
    </row>
    <row r="3974" spans="1:14" x14ac:dyDescent="0.3">
      <c r="A3974" s="15" t="str">
        <f>IF(COUNTA($B3974:$E3974,$K3974)=0,"",IF(AND($B3974&lt;&gt;"",$C3974&lt;&gt;"",$D3974&lt;&gt;"",$E3974&lt;&gt;""),"TXS"&amp;TEXT(COUNTIFS($B$2:$B3974,"&lt;&gt;",$C$2:$C3974,"&lt;&gt;",$D$2:$D3974,"&lt;&gt;",$E$2:$E3974,"&lt;&gt;"),"00000"),""))</f>
        <v/>
      </c>
      <c r="N3974" s="22"/>
    </row>
    <row r="3975" spans="1:14" x14ac:dyDescent="0.3">
      <c r="A3975" s="15" t="str">
        <f>IF(COUNTA($B3975:$E3975,$K3975)=0,"",IF(AND($B3975&lt;&gt;"",$C3975&lt;&gt;"",$D3975&lt;&gt;"",$E3975&lt;&gt;""),"TXS"&amp;TEXT(COUNTIFS($B$2:$B3975,"&lt;&gt;",$C$2:$C3975,"&lt;&gt;",$D$2:$D3975,"&lt;&gt;",$E$2:$E3975,"&lt;&gt;"),"00000"),""))</f>
        <v/>
      </c>
      <c r="N3975" s="22"/>
    </row>
    <row r="3976" spans="1:14" x14ac:dyDescent="0.3">
      <c r="A3976" s="15" t="str">
        <f>IF(COUNTA($B3976:$E3976,$K3976)=0,"",IF(AND($B3976&lt;&gt;"",$C3976&lt;&gt;"",$D3976&lt;&gt;"",$E3976&lt;&gt;""),"TXS"&amp;TEXT(COUNTIFS($B$2:$B3976,"&lt;&gt;",$C$2:$C3976,"&lt;&gt;",$D$2:$D3976,"&lt;&gt;",$E$2:$E3976,"&lt;&gt;"),"00000"),""))</f>
        <v/>
      </c>
      <c r="N3976" s="22"/>
    </row>
    <row r="3977" spans="1:14" x14ac:dyDescent="0.3">
      <c r="A3977" s="15" t="str">
        <f>IF(COUNTA($B3977:$E3977,$K3977)=0,"",IF(AND($B3977&lt;&gt;"",$C3977&lt;&gt;"",$D3977&lt;&gt;"",$E3977&lt;&gt;""),"TXS"&amp;TEXT(COUNTIFS($B$2:$B3977,"&lt;&gt;",$C$2:$C3977,"&lt;&gt;",$D$2:$D3977,"&lt;&gt;",$E$2:$E3977,"&lt;&gt;"),"00000"),""))</f>
        <v/>
      </c>
      <c r="N3977" s="22"/>
    </row>
    <row r="3978" spans="1:14" x14ac:dyDescent="0.3">
      <c r="A3978" s="15" t="str">
        <f>IF(COUNTA($B3978:$E3978,$K3978)=0,"",IF(AND($B3978&lt;&gt;"",$C3978&lt;&gt;"",$D3978&lt;&gt;"",$E3978&lt;&gt;""),"TXS"&amp;TEXT(COUNTIFS($B$2:$B3978,"&lt;&gt;",$C$2:$C3978,"&lt;&gt;",$D$2:$D3978,"&lt;&gt;",$E$2:$E3978,"&lt;&gt;"),"00000"),""))</f>
        <v/>
      </c>
      <c r="N3978" s="22"/>
    </row>
    <row r="3979" spans="1:14" x14ac:dyDescent="0.3">
      <c r="A3979" s="15" t="str">
        <f>IF(COUNTA($B3979:$E3979,$K3979)=0,"",IF(AND($B3979&lt;&gt;"",$C3979&lt;&gt;"",$D3979&lt;&gt;"",$E3979&lt;&gt;""),"TXS"&amp;TEXT(COUNTIFS($B$2:$B3979,"&lt;&gt;",$C$2:$C3979,"&lt;&gt;",$D$2:$D3979,"&lt;&gt;",$E$2:$E3979,"&lt;&gt;"),"00000"),""))</f>
        <v/>
      </c>
      <c r="N3979" s="22"/>
    </row>
    <row r="3980" spans="1:14" x14ac:dyDescent="0.3">
      <c r="A3980" s="15" t="str">
        <f>IF(COUNTA($B3980:$E3980,$K3980)=0,"",IF(AND($B3980&lt;&gt;"",$C3980&lt;&gt;"",$D3980&lt;&gt;"",$E3980&lt;&gt;""),"TXS"&amp;TEXT(COUNTIFS($B$2:$B3980,"&lt;&gt;",$C$2:$C3980,"&lt;&gt;",$D$2:$D3980,"&lt;&gt;",$E$2:$E3980,"&lt;&gt;"),"00000"),""))</f>
        <v/>
      </c>
      <c r="N3980" s="22"/>
    </row>
    <row r="3981" spans="1:14" x14ac:dyDescent="0.3">
      <c r="A3981" s="15" t="str">
        <f>IF(COUNTA($B3981:$E3981,$K3981)=0,"",IF(AND($B3981&lt;&gt;"",$C3981&lt;&gt;"",$D3981&lt;&gt;"",$E3981&lt;&gt;""),"TXS"&amp;TEXT(COUNTIFS($B$2:$B3981,"&lt;&gt;",$C$2:$C3981,"&lt;&gt;",$D$2:$D3981,"&lt;&gt;",$E$2:$E3981,"&lt;&gt;"),"00000"),""))</f>
        <v/>
      </c>
      <c r="N3981" s="22"/>
    </row>
    <row r="3982" spans="1:14" x14ac:dyDescent="0.3">
      <c r="A3982" s="15" t="str">
        <f>IF(COUNTA($B3982:$E3982,$K3982)=0,"",IF(AND($B3982&lt;&gt;"",$C3982&lt;&gt;"",$D3982&lt;&gt;"",$E3982&lt;&gt;""),"TXS"&amp;TEXT(COUNTIFS($B$2:$B3982,"&lt;&gt;",$C$2:$C3982,"&lt;&gt;",$D$2:$D3982,"&lt;&gt;",$E$2:$E3982,"&lt;&gt;"),"00000"),""))</f>
        <v/>
      </c>
      <c r="N3982" s="22"/>
    </row>
    <row r="3983" spans="1:14" x14ac:dyDescent="0.3">
      <c r="A3983" s="15" t="str">
        <f>IF(COUNTA($B3983:$E3983,$K3983)=0,"",IF(AND($B3983&lt;&gt;"",$C3983&lt;&gt;"",$D3983&lt;&gt;"",$E3983&lt;&gt;""),"TXS"&amp;TEXT(COUNTIFS($B$2:$B3983,"&lt;&gt;",$C$2:$C3983,"&lt;&gt;",$D$2:$D3983,"&lt;&gt;",$E$2:$E3983,"&lt;&gt;"),"00000"),""))</f>
        <v/>
      </c>
      <c r="N3983" s="22"/>
    </row>
    <row r="3984" spans="1:14" x14ac:dyDescent="0.3">
      <c r="A3984" s="15" t="str">
        <f>IF(COUNTA($B3984:$E3984,$K3984)=0,"",IF(AND($B3984&lt;&gt;"",$C3984&lt;&gt;"",$D3984&lt;&gt;"",$E3984&lt;&gt;""),"TXS"&amp;TEXT(COUNTIFS($B$2:$B3984,"&lt;&gt;",$C$2:$C3984,"&lt;&gt;",$D$2:$D3984,"&lt;&gt;",$E$2:$E3984,"&lt;&gt;"),"00000"),""))</f>
        <v/>
      </c>
      <c r="N3984" s="22"/>
    </row>
    <row r="3985" spans="1:14" x14ac:dyDescent="0.3">
      <c r="A3985" s="15" t="str">
        <f>IF(COUNTA($B3985:$E3985,$K3985)=0,"",IF(AND($B3985&lt;&gt;"",$C3985&lt;&gt;"",$D3985&lt;&gt;"",$E3985&lt;&gt;""),"TXS"&amp;TEXT(COUNTIFS($B$2:$B3985,"&lt;&gt;",$C$2:$C3985,"&lt;&gt;",$D$2:$D3985,"&lt;&gt;",$E$2:$E3985,"&lt;&gt;"),"00000"),""))</f>
        <v/>
      </c>
      <c r="N3985" s="22"/>
    </row>
    <row r="3986" spans="1:14" x14ac:dyDescent="0.3">
      <c r="A3986" s="15" t="str">
        <f>IF(COUNTA($B3986:$E3986,$K3986)=0,"",IF(AND($B3986&lt;&gt;"",$C3986&lt;&gt;"",$D3986&lt;&gt;"",$E3986&lt;&gt;""),"TXS"&amp;TEXT(COUNTIFS($B$2:$B3986,"&lt;&gt;",$C$2:$C3986,"&lt;&gt;",$D$2:$D3986,"&lt;&gt;",$E$2:$E3986,"&lt;&gt;"),"00000"),""))</f>
        <v/>
      </c>
      <c r="N3986" s="22"/>
    </row>
    <row r="3987" spans="1:14" x14ac:dyDescent="0.3">
      <c r="A3987" s="15" t="str">
        <f>IF(COUNTA($B3987:$E3987,$K3987)=0,"",IF(AND($B3987&lt;&gt;"",$C3987&lt;&gt;"",$D3987&lt;&gt;"",$E3987&lt;&gt;""),"TXS"&amp;TEXT(COUNTIFS($B$2:$B3987,"&lt;&gt;",$C$2:$C3987,"&lt;&gt;",$D$2:$D3987,"&lt;&gt;",$E$2:$E3987,"&lt;&gt;"),"00000"),""))</f>
        <v/>
      </c>
      <c r="N3987" s="22"/>
    </row>
    <row r="3988" spans="1:14" x14ac:dyDescent="0.3">
      <c r="A3988" s="15" t="str">
        <f>IF(COUNTA($B3988:$E3988,$K3988)=0,"",IF(AND($B3988&lt;&gt;"",$C3988&lt;&gt;"",$D3988&lt;&gt;"",$E3988&lt;&gt;""),"TXS"&amp;TEXT(COUNTIFS($B$2:$B3988,"&lt;&gt;",$C$2:$C3988,"&lt;&gt;",$D$2:$D3988,"&lt;&gt;",$E$2:$E3988,"&lt;&gt;"),"00000"),""))</f>
        <v/>
      </c>
      <c r="N3988" s="22"/>
    </row>
    <row r="3989" spans="1:14" x14ac:dyDescent="0.3">
      <c r="A3989" s="15" t="str">
        <f>IF(COUNTA($B3989:$E3989,$K3989)=0,"",IF(AND($B3989&lt;&gt;"",$C3989&lt;&gt;"",$D3989&lt;&gt;"",$E3989&lt;&gt;""),"TXS"&amp;TEXT(COUNTIFS($B$2:$B3989,"&lt;&gt;",$C$2:$C3989,"&lt;&gt;",$D$2:$D3989,"&lt;&gt;",$E$2:$E3989,"&lt;&gt;"),"00000"),""))</f>
        <v/>
      </c>
      <c r="N3989" s="22"/>
    </row>
    <row r="3990" spans="1:14" x14ac:dyDescent="0.3">
      <c r="A3990" s="15" t="str">
        <f>IF(COUNTA($B3990:$E3990,$K3990)=0,"",IF(AND($B3990&lt;&gt;"",$C3990&lt;&gt;"",$D3990&lt;&gt;"",$E3990&lt;&gt;""),"TXS"&amp;TEXT(COUNTIFS($B$2:$B3990,"&lt;&gt;",$C$2:$C3990,"&lt;&gt;",$D$2:$D3990,"&lt;&gt;",$E$2:$E3990,"&lt;&gt;"),"00000"),""))</f>
        <v/>
      </c>
      <c r="N3990" s="22"/>
    </row>
    <row r="3991" spans="1:14" x14ac:dyDescent="0.3">
      <c r="A3991" s="15" t="str">
        <f>IF(COUNTA($B3991:$E3991,$K3991)=0,"",IF(AND($B3991&lt;&gt;"",$C3991&lt;&gt;"",$D3991&lt;&gt;"",$E3991&lt;&gt;""),"TXS"&amp;TEXT(COUNTIFS($B$2:$B3991,"&lt;&gt;",$C$2:$C3991,"&lt;&gt;",$D$2:$D3991,"&lt;&gt;",$E$2:$E3991,"&lt;&gt;"),"00000"),""))</f>
        <v/>
      </c>
      <c r="N3991" s="22"/>
    </row>
    <row r="3992" spans="1:14" x14ac:dyDescent="0.3">
      <c r="A3992" s="15" t="str">
        <f>IF(COUNTA($B3992:$E3992,$K3992)=0,"",IF(AND($B3992&lt;&gt;"",$C3992&lt;&gt;"",$D3992&lt;&gt;"",$E3992&lt;&gt;""),"TXS"&amp;TEXT(COUNTIFS($B$2:$B3992,"&lt;&gt;",$C$2:$C3992,"&lt;&gt;",$D$2:$D3992,"&lt;&gt;",$E$2:$E3992,"&lt;&gt;"),"00000"),""))</f>
        <v/>
      </c>
      <c r="N3992" s="22"/>
    </row>
    <row r="3993" spans="1:14" x14ac:dyDescent="0.3">
      <c r="A3993" s="15" t="str">
        <f>IF(COUNTA($B3993:$E3993,$K3993)=0,"",IF(AND($B3993&lt;&gt;"",$C3993&lt;&gt;"",$D3993&lt;&gt;"",$E3993&lt;&gt;""),"TXS"&amp;TEXT(COUNTIFS($B$2:$B3993,"&lt;&gt;",$C$2:$C3993,"&lt;&gt;",$D$2:$D3993,"&lt;&gt;",$E$2:$E3993,"&lt;&gt;"),"00000"),""))</f>
        <v/>
      </c>
      <c r="N3993" s="22"/>
    </row>
    <row r="3994" spans="1:14" x14ac:dyDescent="0.3">
      <c r="A3994" s="15" t="str">
        <f>IF(COUNTA($B3994:$E3994,$K3994)=0,"",IF(AND($B3994&lt;&gt;"",$C3994&lt;&gt;"",$D3994&lt;&gt;"",$E3994&lt;&gt;""),"TXS"&amp;TEXT(COUNTIFS($B$2:$B3994,"&lt;&gt;",$C$2:$C3994,"&lt;&gt;",$D$2:$D3994,"&lt;&gt;",$E$2:$E3994,"&lt;&gt;"),"00000"),""))</f>
        <v/>
      </c>
      <c r="N3994" s="22"/>
    </row>
    <row r="3995" spans="1:14" x14ac:dyDescent="0.3">
      <c r="A3995" s="15" t="str">
        <f>IF(COUNTA($B3995:$E3995,$K3995)=0,"",IF(AND($B3995&lt;&gt;"",$C3995&lt;&gt;"",$D3995&lt;&gt;"",$E3995&lt;&gt;""),"TXS"&amp;TEXT(COUNTIFS($B$2:$B3995,"&lt;&gt;",$C$2:$C3995,"&lt;&gt;",$D$2:$D3995,"&lt;&gt;",$E$2:$E3995,"&lt;&gt;"),"00000"),""))</f>
        <v/>
      </c>
      <c r="N3995" s="22"/>
    </row>
    <row r="3996" spans="1:14" x14ac:dyDescent="0.3">
      <c r="A3996" s="15" t="str">
        <f>IF(COUNTA($B3996:$E3996,$K3996)=0,"",IF(AND($B3996&lt;&gt;"",$C3996&lt;&gt;"",$D3996&lt;&gt;"",$E3996&lt;&gt;""),"TXS"&amp;TEXT(COUNTIFS($B$2:$B3996,"&lt;&gt;",$C$2:$C3996,"&lt;&gt;",$D$2:$D3996,"&lt;&gt;",$E$2:$E3996,"&lt;&gt;"),"00000"),""))</f>
        <v/>
      </c>
      <c r="N3996" s="22"/>
    </row>
    <row r="3997" spans="1:14" x14ac:dyDescent="0.3">
      <c r="A3997" s="15" t="str">
        <f>IF(COUNTA($B3997:$E3997,$K3997)=0,"",IF(AND($B3997&lt;&gt;"",$C3997&lt;&gt;"",$D3997&lt;&gt;"",$E3997&lt;&gt;""),"TXS"&amp;TEXT(COUNTIFS($B$2:$B3997,"&lt;&gt;",$C$2:$C3997,"&lt;&gt;",$D$2:$D3997,"&lt;&gt;",$E$2:$E3997,"&lt;&gt;"),"00000"),""))</f>
        <v/>
      </c>
      <c r="N3997" s="22"/>
    </row>
    <row r="3998" spans="1:14" x14ac:dyDescent="0.3">
      <c r="A3998" s="15" t="str">
        <f>IF(COUNTA($B3998:$E3998,$K3998)=0,"",IF(AND($B3998&lt;&gt;"",$C3998&lt;&gt;"",$D3998&lt;&gt;"",$E3998&lt;&gt;""),"TXS"&amp;TEXT(COUNTIFS($B$2:$B3998,"&lt;&gt;",$C$2:$C3998,"&lt;&gt;",$D$2:$D3998,"&lt;&gt;",$E$2:$E3998,"&lt;&gt;"),"00000"),""))</f>
        <v/>
      </c>
      <c r="N3998" s="22"/>
    </row>
    <row r="3999" spans="1:14" x14ac:dyDescent="0.3">
      <c r="A3999" s="15" t="str">
        <f>IF(COUNTA($B3999:$E3999,$K3999)=0,"",IF(AND($B3999&lt;&gt;"",$C3999&lt;&gt;"",$D3999&lt;&gt;"",$E3999&lt;&gt;""),"TXS"&amp;TEXT(COUNTIFS($B$2:$B3999,"&lt;&gt;",$C$2:$C3999,"&lt;&gt;",$D$2:$D3999,"&lt;&gt;",$E$2:$E3999,"&lt;&gt;"),"00000"),""))</f>
        <v/>
      </c>
      <c r="N3999" s="22"/>
    </row>
    <row r="4000" spans="1:14" x14ac:dyDescent="0.3">
      <c r="A4000" s="15" t="str">
        <f>IF(COUNTA($B4000:$E4000,$K4000)=0,"",IF(AND($B4000&lt;&gt;"",$C4000&lt;&gt;"",$D4000&lt;&gt;"",$E4000&lt;&gt;""),"TXS"&amp;TEXT(COUNTIFS($B$2:$B4000,"&lt;&gt;",$C$2:$C4000,"&lt;&gt;",$D$2:$D4000,"&lt;&gt;",$E$2:$E4000,"&lt;&gt;"),"00000"),""))</f>
        <v/>
      </c>
      <c r="N4000" s="22"/>
    </row>
    <row r="4001" spans="1:14" x14ac:dyDescent="0.3">
      <c r="A4001" s="15" t="str">
        <f>IF(COUNTA($B4001:$E4001,$K4001)=0,"",IF(AND($B4001&lt;&gt;"",$C4001&lt;&gt;"",$D4001&lt;&gt;"",$E4001&lt;&gt;""),"TXS"&amp;TEXT(COUNTIFS($B$2:$B4001,"&lt;&gt;",$C$2:$C4001,"&lt;&gt;",$D$2:$D4001,"&lt;&gt;",$E$2:$E4001,"&lt;&gt;"),"00000"),""))</f>
        <v/>
      </c>
      <c r="N4001" s="22"/>
    </row>
    <row r="4002" spans="1:14" x14ac:dyDescent="0.3">
      <c r="A4002" s="15" t="str">
        <f>IF(COUNTA($B4002:$E4002,$K4002)=0,"",IF(AND($B4002&lt;&gt;"",$C4002&lt;&gt;"",$D4002&lt;&gt;"",$E4002&lt;&gt;""),"TXS"&amp;TEXT(COUNTIFS($B$2:$B4002,"&lt;&gt;",$C$2:$C4002,"&lt;&gt;",$D$2:$D4002,"&lt;&gt;",$E$2:$E4002,"&lt;&gt;"),"00000"),""))</f>
        <v/>
      </c>
      <c r="N4002" s="22"/>
    </row>
    <row r="4003" spans="1:14" x14ac:dyDescent="0.3">
      <c r="A4003" s="15" t="str">
        <f>IF(COUNTA($B4003:$E4003,$K4003)=0,"",IF(AND($B4003&lt;&gt;"",$C4003&lt;&gt;"",$D4003&lt;&gt;"",$E4003&lt;&gt;""),"TXS"&amp;TEXT(COUNTIFS($B$2:$B4003,"&lt;&gt;",$C$2:$C4003,"&lt;&gt;",$D$2:$D4003,"&lt;&gt;",$E$2:$E4003,"&lt;&gt;"),"00000"),""))</f>
        <v/>
      </c>
      <c r="N4003" s="22"/>
    </row>
    <row r="4004" spans="1:14" x14ac:dyDescent="0.3">
      <c r="A4004" s="15" t="str">
        <f>IF(COUNTA($B4004:$E4004,$K4004)=0,"",IF(AND($B4004&lt;&gt;"",$C4004&lt;&gt;"",$D4004&lt;&gt;"",$E4004&lt;&gt;""),"TXS"&amp;TEXT(COUNTIFS($B$2:$B4004,"&lt;&gt;",$C$2:$C4004,"&lt;&gt;",$D$2:$D4004,"&lt;&gt;",$E$2:$E4004,"&lt;&gt;"),"00000"),""))</f>
        <v/>
      </c>
      <c r="N4004" s="22"/>
    </row>
    <row r="4005" spans="1:14" x14ac:dyDescent="0.3">
      <c r="A4005" s="15" t="str">
        <f>IF(COUNTA($B4005:$E4005,$K4005)=0,"",IF(AND($B4005&lt;&gt;"",$C4005&lt;&gt;"",$D4005&lt;&gt;"",$E4005&lt;&gt;""),"TXS"&amp;TEXT(COUNTIFS($B$2:$B4005,"&lt;&gt;",$C$2:$C4005,"&lt;&gt;",$D$2:$D4005,"&lt;&gt;",$E$2:$E4005,"&lt;&gt;"),"00000"),""))</f>
        <v/>
      </c>
      <c r="N4005" s="22"/>
    </row>
    <row r="4006" spans="1:14" x14ac:dyDescent="0.3">
      <c r="A4006" s="15" t="str">
        <f>IF(COUNTA($B4006:$E4006,$K4006)=0,"",IF(AND($B4006&lt;&gt;"",$C4006&lt;&gt;"",$D4006&lt;&gt;"",$E4006&lt;&gt;""),"TXS"&amp;TEXT(COUNTIFS($B$2:$B4006,"&lt;&gt;",$C$2:$C4006,"&lt;&gt;",$D$2:$D4006,"&lt;&gt;",$E$2:$E4006,"&lt;&gt;"),"00000"),""))</f>
        <v/>
      </c>
      <c r="N4006" s="22"/>
    </row>
    <row r="4007" spans="1:14" x14ac:dyDescent="0.3">
      <c r="A4007" s="15" t="str">
        <f>IF(COUNTA($B4007:$E4007,$K4007)=0,"",IF(AND($B4007&lt;&gt;"",$C4007&lt;&gt;"",$D4007&lt;&gt;"",$E4007&lt;&gt;""),"TXS"&amp;TEXT(COUNTIFS($B$2:$B4007,"&lt;&gt;",$C$2:$C4007,"&lt;&gt;",$D$2:$D4007,"&lt;&gt;",$E$2:$E4007,"&lt;&gt;"),"00000"),""))</f>
        <v/>
      </c>
      <c r="N4007" s="22"/>
    </row>
    <row r="4008" spans="1:14" x14ac:dyDescent="0.3">
      <c r="A4008" s="15" t="str">
        <f>IF(COUNTA($B4008:$E4008,$K4008)=0,"",IF(AND($B4008&lt;&gt;"",$C4008&lt;&gt;"",$D4008&lt;&gt;"",$E4008&lt;&gt;""),"TXS"&amp;TEXT(COUNTIFS($B$2:$B4008,"&lt;&gt;",$C$2:$C4008,"&lt;&gt;",$D$2:$D4008,"&lt;&gt;",$E$2:$E4008,"&lt;&gt;"),"00000"),""))</f>
        <v/>
      </c>
      <c r="N4008" s="22"/>
    </row>
    <row r="4009" spans="1:14" x14ac:dyDescent="0.3">
      <c r="A4009" s="15" t="str">
        <f>IF(COUNTA($B4009:$E4009,$K4009)=0,"",IF(AND($B4009&lt;&gt;"",$C4009&lt;&gt;"",$D4009&lt;&gt;"",$E4009&lt;&gt;""),"TXS"&amp;TEXT(COUNTIFS($B$2:$B4009,"&lt;&gt;",$C$2:$C4009,"&lt;&gt;",$D$2:$D4009,"&lt;&gt;",$E$2:$E4009,"&lt;&gt;"),"00000"),""))</f>
        <v/>
      </c>
      <c r="N4009" s="22"/>
    </row>
    <row r="4010" spans="1:14" x14ac:dyDescent="0.3">
      <c r="A4010" s="15" t="str">
        <f>IF(COUNTA($B4010:$E4010,$K4010)=0,"",IF(AND($B4010&lt;&gt;"",$C4010&lt;&gt;"",$D4010&lt;&gt;"",$E4010&lt;&gt;""),"TXS"&amp;TEXT(COUNTIFS($B$2:$B4010,"&lt;&gt;",$C$2:$C4010,"&lt;&gt;",$D$2:$D4010,"&lt;&gt;",$E$2:$E4010,"&lt;&gt;"),"00000"),""))</f>
        <v/>
      </c>
      <c r="N4010" s="22"/>
    </row>
    <row r="4011" spans="1:14" x14ac:dyDescent="0.3">
      <c r="A4011" s="15" t="str">
        <f>IF(COUNTA($B4011:$E4011,$K4011)=0,"",IF(AND($B4011&lt;&gt;"",$C4011&lt;&gt;"",$D4011&lt;&gt;"",$E4011&lt;&gt;""),"TXS"&amp;TEXT(COUNTIFS($B$2:$B4011,"&lt;&gt;",$C$2:$C4011,"&lt;&gt;",$D$2:$D4011,"&lt;&gt;",$E$2:$E4011,"&lt;&gt;"),"00000"),""))</f>
        <v/>
      </c>
      <c r="N4011" s="22"/>
    </row>
    <row r="4012" spans="1:14" x14ac:dyDescent="0.3">
      <c r="A4012" s="15" t="str">
        <f>IF(COUNTA($B4012:$E4012,$K4012)=0,"",IF(AND($B4012&lt;&gt;"",$C4012&lt;&gt;"",$D4012&lt;&gt;"",$E4012&lt;&gt;""),"TXS"&amp;TEXT(COUNTIFS($B$2:$B4012,"&lt;&gt;",$C$2:$C4012,"&lt;&gt;",$D$2:$D4012,"&lt;&gt;",$E$2:$E4012,"&lt;&gt;"),"00000"),""))</f>
        <v/>
      </c>
      <c r="N4012" s="22"/>
    </row>
    <row r="4013" spans="1:14" x14ac:dyDescent="0.3">
      <c r="A4013" s="15" t="str">
        <f>IF(COUNTA($B4013:$E4013,$K4013)=0,"",IF(AND($B4013&lt;&gt;"",$C4013&lt;&gt;"",$D4013&lt;&gt;"",$E4013&lt;&gt;""),"TXS"&amp;TEXT(COUNTIFS($B$2:$B4013,"&lt;&gt;",$C$2:$C4013,"&lt;&gt;",$D$2:$D4013,"&lt;&gt;",$E$2:$E4013,"&lt;&gt;"),"00000"),""))</f>
        <v/>
      </c>
      <c r="N4013" s="22"/>
    </row>
    <row r="4014" spans="1:14" x14ac:dyDescent="0.3">
      <c r="A4014" s="15" t="str">
        <f>IF(COUNTA($B4014:$E4014,$K4014)=0,"",IF(AND($B4014&lt;&gt;"",$C4014&lt;&gt;"",$D4014&lt;&gt;"",$E4014&lt;&gt;""),"TXS"&amp;TEXT(COUNTIFS($B$2:$B4014,"&lt;&gt;",$C$2:$C4014,"&lt;&gt;",$D$2:$D4014,"&lt;&gt;",$E$2:$E4014,"&lt;&gt;"),"00000"),""))</f>
        <v/>
      </c>
      <c r="N4014" s="22"/>
    </row>
    <row r="4015" spans="1:14" x14ac:dyDescent="0.3">
      <c r="A4015" s="15" t="str">
        <f>IF(COUNTA($B4015:$E4015,$K4015)=0,"",IF(AND($B4015&lt;&gt;"",$C4015&lt;&gt;"",$D4015&lt;&gt;"",$E4015&lt;&gt;""),"TXS"&amp;TEXT(COUNTIFS($B$2:$B4015,"&lt;&gt;",$C$2:$C4015,"&lt;&gt;",$D$2:$D4015,"&lt;&gt;",$E$2:$E4015,"&lt;&gt;"),"00000"),""))</f>
        <v/>
      </c>
      <c r="N4015" s="22"/>
    </row>
    <row r="4016" spans="1:14" x14ac:dyDescent="0.3">
      <c r="A4016" s="15" t="str">
        <f>IF(COUNTA($B4016:$E4016,$K4016)=0,"",IF(AND($B4016&lt;&gt;"",$C4016&lt;&gt;"",$D4016&lt;&gt;"",$E4016&lt;&gt;""),"TXS"&amp;TEXT(COUNTIFS($B$2:$B4016,"&lt;&gt;",$C$2:$C4016,"&lt;&gt;",$D$2:$D4016,"&lt;&gt;",$E$2:$E4016,"&lt;&gt;"),"00000"),""))</f>
        <v/>
      </c>
      <c r="N4016" s="22"/>
    </row>
    <row r="4017" spans="1:14" x14ac:dyDescent="0.3">
      <c r="A4017" s="15" t="str">
        <f>IF(COUNTA($B4017:$E4017,$K4017)=0,"",IF(AND($B4017&lt;&gt;"",$C4017&lt;&gt;"",$D4017&lt;&gt;"",$E4017&lt;&gt;""),"TXS"&amp;TEXT(COUNTIFS($B$2:$B4017,"&lt;&gt;",$C$2:$C4017,"&lt;&gt;",$D$2:$D4017,"&lt;&gt;",$E$2:$E4017,"&lt;&gt;"),"00000"),""))</f>
        <v/>
      </c>
      <c r="N4017" s="22"/>
    </row>
    <row r="4018" spans="1:14" x14ac:dyDescent="0.3">
      <c r="A4018" s="15" t="str">
        <f>IF(COUNTA($B4018:$E4018,$K4018)=0,"",IF(AND($B4018&lt;&gt;"",$C4018&lt;&gt;"",$D4018&lt;&gt;"",$E4018&lt;&gt;""),"TXS"&amp;TEXT(COUNTIFS($B$2:$B4018,"&lt;&gt;",$C$2:$C4018,"&lt;&gt;",$D$2:$D4018,"&lt;&gt;",$E$2:$E4018,"&lt;&gt;"),"00000"),""))</f>
        <v/>
      </c>
      <c r="N4018" s="22"/>
    </row>
    <row r="4019" spans="1:14" x14ac:dyDescent="0.3">
      <c r="A4019" s="15" t="str">
        <f>IF(COUNTA($B4019:$E4019,$K4019)=0,"",IF(AND($B4019&lt;&gt;"",$C4019&lt;&gt;"",$D4019&lt;&gt;"",$E4019&lt;&gt;""),"TXS"&amp;TEXT(COUNTIFS($B$2:$B4019,"&lt;&gt;",$C$2:$C4019,"&lt;&gt;",$D$2:$D4019,"&lt;&gt;",$E$2:$E4019,"&lt;&gt;"),"00000"),""))</f>
        <v/>
      </c>
      <c r="N4019" s="22"/>
    </row>
    <row r="4020" spans="1:14" x14ac:dyDescent="0.3">
      <c r="A4020" s="15" t="str">
        <f>IF(COUNTA($B4020:$E4020,$K4020)=0,"",IF(AND($B4020&lt;&gt;"",$C4020&lt;&gt;"",$D4020&lt;&gt;"",$E4020&lt;&gt;""),"TXS"&amp;TEXT(COUNTIFS($B$2:$B4020,"&lt;&gt;",$C$2:$C4020,"&lt;&gt;",$D$2:$D4020,"&lt;&gt;",$E$2:$E4020,"&lt;&gt;"),"00000"),""))</f>
        <v/>
      </c>
      <c r="N4020" s="22"/>
    </row>
    <row r="4021" spans="1:14" x14ac:dyDescent="0.3">
      <c r="A4021" s="15" t="str">
        <f>IF(COUNTA($B4021:$E4021,$K4021)=0,"",IF(AND($B4021&lt;&gt;"",$C4021&lt;&gt;"",$D4021&lt;&gt;"",$E4021&lt;&gt;""),"TXS"&amp;TEXT(COUNTIFS($B$2:$B4021,"&lt;&gt;",$C$2:$C4021,"&lt;&gt;",$D$2:$D4021,"&lt;&gt;",$E$2:$E4021,"&lt;&gt;"),"00000"),""))</f>
        <v/>
      </c>
      <c r="N4021" s="22"/>
    </row>
    <row r="4022" spans="1:14" x14ac:dyDescent="0.3">
      <c r="A4022" s="15" t="str">
        <f>IF(COUNTA($B4022:$E4022,$K4022)=0,"",IF(AND($B4022&lt;&gt;"",$C4022&lt;&gt;"",$D4022&lt;&gt;"",$E4022&lt;&gt;""),"TXS"&amp;TEXT(COUNTIFS($B$2:$B4022,"&lt;&gt;",$C$2:$C4022,"&lt;&gt;",$D$2:$D4022,"&lt;&gt;",$E$2:$E4022,"&lt;&gt;"),"00000"),""))</f>
        <v/>
      </c>
      <c r="N4022" s="22"/>
    </row>
    <row r="4023" spans="1:14" x14ac:dyDescent="0.3">
      <c r="A4023" s="15" t="str">
        <f>IF(COUNTA($B4023:$E4023,$K4023)=0,"",IF(AND($B4023&lt;&gt;"",$C4023&lt;&gt;"",$D4023&lt;&gt;"",$E4023&lt;&gt;""),"TXS"&amp;TEXT(COUNTIFS($B$2:$B4023,"&lt;&gt;",$C$2:$C4023,"&lt;&gt;",$D$2:$D4023,"&lt;&gt;",$E$2:$E4023,"&lt;&gt;"),"00000"),""))</f>
        <v/>
      </c>
      <c r="N4023" s="22"/>
    </row>
    <row r="4024" spans="1:14" x14ac:dyDescent="0.3">
      <c r="A4024" s="15" t="str">
        <f>IF(COUNTA($B4024:$E4024,$K4024)=0,"",IF(AND($B4024&lt;&gt;"",$C4024&lt;&gt;"",$D4024&lt;&gt;"",$E4024&lt;&gt;""),"TXS"&amp;TEXT(COUNTIFS($B$2:$B4024,"&lt;&gt;",$C$2:$C4024,"&lt;&gt;",$D$2:$D4024,"&lt;&gt;",$E$2:$E4024,"&lt;&gt;"),"00000"),""))</f>
        <v/>
      </c>
      <c r="N4024" s="22"/>
    </row>
    <row r="4025" spans="1:14" x14ac:dyDescent="0.3">
      <c r="A4025" s="15" t="str">
        <f>IF(COUNTA($B4025:$E4025,$K4025)=0,"",IF(AND($B4025&lt;&gt;"",$C4025&lt;&gt;"",$D4025&lt;&gt;"",$E4025&lt;&gt;""),"TXS"&amp;TEXT(COUNTIFS($B$2:$B4025,"&lt;&gt;",$C$2:$C4025,"&lt;&gt;",$D$2:$D4025,"&lt;&gt;",$E$2:$E4025,"&lt;&gt;"),"00000"),""))</f>
        <v/>
      </c>
      <c r="N4025" s="22"/>
    </row>
    <row r="4026" spans="1:14" x14ac:dyDescent="0.3">
      <c r="A4026" s="15" t="str">
        <f>IF(COUNTA($B4026:$E4026,$K4026)=0,"",IF(AND($B4026&lt;&gt;"",$C4026&lt;&gt;"",$D4026&lt;&gt;"",$E4026&lt;&gt;""),"TXS"&amp;TEXT(COUNTIFS($B$2:$B4026,"&lt;&gt;",$C$2:$C4026,"&lt;&gt;",$D$2:$D4026,"&lt;&gt;",$E$2:$E4026,"&lt;&gt;"),"00000"),""))</f>
        <v/>
      </c>
      <c r="N4026" s="22"/>
    </row>
    <row r="4027" spans="1:14" x14ac:dyDescent="0.3">
      <c r="A4027" s="15" t="str">
        <f>IF(COUNTA($B4027:$E4027,$K4027)=0,"",IF(AND($B4027&lt;&gt;"",$C4027&lt;&gt;"",$D4027&lt;&gt;"",$E4027&lt;&gt;""),"TXS"&amp;TEXT(COUNTIFS($B$2:$B4027,"&lt;&gt;",$C$2:$C4027,"&lt;&gt;",$D$2:$D4027,"&lt;&gt;",$E$2:$E4027,"&lt;&gt;"),"00000"),""))</f>
        <v/>
      </c>
      <c r="N4027" s="22"/>
    </row>
    <row r="4028" spans="1:14" x14ac:dyDescent="0.3">
      <c r="A4028" s="15" t="str">
        <f>IF(COUNTA($B4028:$E4028,$K4028)=0,"",IF(AND($B4028&lt;&gt;"",$C4028&lt;&gt;"",$D4028&lt;&gt;"",$E4028&lt;&gt;""),"TXS"&amp;TEXT(COUNTIFS($B$2:$B4028,"&lt;&gt;",$C$2:$C4028,"&lt;&gt;",$D$2:$D4028,"&lt;&gt;",$E$2:$E4028,"&lt;&gt;"),"00000"),""))</f>
        <v/>
      </c>
      <c r="N4028" s="22"/>
    </row>
    <row r="4029" spans="1:14" x14ac:dyDescent="0.3">
      <c r="A4029" s="15" t="str">
        <f>IF(COUNTA($B4029:$E4029,$K4029)=0,"",IF(AND($B4029&lt;&gt;"",$C4029&lt;&gt;"",$D4029&lt;&gt;"",$E4029&lt;&gt;""),"TXS"&amp;TEXT(COUNTIFS($B$2:$B4029,"&lt;&gt;",$C$2:$C4029,"&lt;&gt;",$D$2:$D4029,"&lt;&gt;",$E$2:$E4029,"&lt;&gt;"),"00000"),""))</f>
        <v/>
      </c>
      <c r="N4029" s="22"/>
    </row>
    <row r="4030" spans="1:14" x14ac:dyDescent="0.3">
      <c r="A4030" s="15" t="str">
        <f>IF(COUNTA($B4030:$E4030,$K4030)=0,"",IF(AND($B4030&lt;&gt;"",$C4030&lt;&gt;"",$D4030&lt;&gt;"",$E4030&lt;&gt;""),"TXS"&amp;TEXT(COUNTIFS($B$2:$B4030,"&lt;&gt;",$C$2:$C4030,"&lt;&gt;",$D$2:$D4030,"&lt;&gt;",$E$2:$E4030,"&lt;&gt;"),"00000"),""))</f>
        <v/>
      </c>
      <c r="N4030" s="22"/>
    </row>
    <row r="4031" spans="1:14" x14ac:dyDescent="0.3">
      <c r="A4031" s="15" t="str">
        <f>IF(COUNTA($B4031:$E4031,$K4031)=0,"",IF(AND($B4031&lt;&gt;"",$C4031&lt;&gt;"",$D4031&lt;&gt;"",$E4031&lt;&gt;""),"TXS"&amp;TEXT(COUNTIFS($B$2:$B4031,"&lt;&gt;",$C$2:$C4031,"&lt;&gt;",$D$2:$D4031,"&lt;&gt;",$E$2:$E4031,"&lt;&gt;"),"00000"),""))</f>
        <v/>
      </c>
      <c r="N4031" s="22"/>
    </row>
    <row r="4032" spans="1:14" x14ac:dyDescent="0.3">
      <c r="A4032" s="15" t="str">
        <f>IF(COUNTA($B4032:$E4032,$K4032)=0,"",IF(AND($B4032&lt;&gt;"",$C4032&lt;&gt;"",$D4032&lt;&gt;"",$E4032&lt;&gt;""),"TXS"&amp;TEXT(COUNTIFS($B$2:$B4032,"&lt;&gt;",$C$2:$C4032,"&lt;&gt;",$D$2:$D4032,"&lt;&gt;",$E$2:$E4032,"&lt;&gt;"),"00000"),""))</f>
        <v/>
      </c>
      <c r="N4032" s="22"/>
    </row>
    <row r="4033" spans="1:14" x14ac:dyDescent="0.3">
      <c r="A4033" s="15" t="str">
        <f>IF(COUNTA($B4033:$E4033,$K4033)=0,"",IF(AND($B4033&lt;&gt;"",$C4033&lt;&gt;"",$D4033&lt;&gt;"",$E4033&lt;&gt;""),"TXS"&amp;TEXT(COUNTIFS($B$2:$B4033,"&lt;&gt;",$C$2:$C4033,"&lt;&gt;",$D$2:$D4033,"&lt;&gt;",$E$2:$E4033,"&lt;&gt;"),"00000"),""))</f>
        <v/>
      </c>
      <c r="N4033" s="22"/>
    </row>
    <row r="4034" spans="1:14" x14ac:dyDescent="0.3">
      <c r="A4034" s="15" t="str">
        <f>IF(COUNTA($B4034:$E4034,$K4034)=0,"",IF(AND($B4034&lt;&gt;"",$C4034&lt;&gt;"",$D4034&lt;&gt;"",$E4034&lt;&gt;""),"TXS"&amp;TEXT(COUNTIFS($B$2:$B4034,"&lt;&gt;",$C$2:$C4034,"&lt;&gt;",$D$2:$D4034,"&lt;&gt;",$E$2:$E4034,"&lt;&gt;"),"00000"),""))</f>
        <v/>
      </c>
      <c r="N4034" s="22"/>
    </row>
    <row r="4035" spans="1:14" x14ac:dyDescent="0.3">
      <c r="A4035" s="15" t="str">
        <f>IF(COUNTA($B4035:$E4035,$K4035)=0,"",IF(AND($B4035&lt;&gt;"",$C4035&lt;&gt;"",$D4035&lt;&gt;"",$E4035&lt;&gt;""),"TXS"&amp;TEXT(COUNTIFS($B$2:$B4035,"&lt;&gt;",$C$2:$C4035,"&lt;&gt;",$D$2:$D4035,"&lt;&gt;",$E$2:$E4035,"&lt;&gt;"),"00000"),""))</f>
        <v/>
      </c>
      <c r="N4035" s="22"/>
    </row>
    <row r="4036" spans="1:14" x14ac:dyDescent="0.3">
      <c r="A4036" s="15" t="str">
        <f>IF(COUNTA($B4036:$E4036,$K4036)=0,"",IF(AND($B4036&lt;&gt;"",$C4036&lt;&gt;"",$D4036&lt;&gt;"",$E4036&lt;&gt;""),"TXS"&amp;TEXT(COUNTIFS($B$2:$B4036,"&lt;&gt;",$C$2:$C4036,"&lt;&gt;",$D$2:$D4036,"&lt;&gt;",$E$2:$E4036,"&lt;&gt;"),"00000"),""))</f>
        <v/>
      </c>
      <c r="N4036" s="22"/>
    </row>
    <row r="4037" spans="1:14" x14ac:dyDescent="0.3">
      <c r="A4037" s="15" t="str">
        <f>IF(COUNTA($B4037:$E4037,$K4037)=0,"",IF(AND($B4037&lt;&gt;"",$C4037&lt;&gt;"",$D4037&lt;&gt;"",$E4037&lt;&gt;""),"TXS"&amp;TEXT(COUNTIFS($B$2:$B4037,"&lt;&gt;",$C$2:$C4037,"&lt;&gt;",$D$2:$D4037,"&lt;&gt;",$E$2:$E4037,"&lt;&gt;"),"00000"),""))</f>
        <v/>
      </c>
      <c r="N4037" s="22"/>
    </row>
    <row r="4038" spans="1:14" x14ac:dyDescent="0.3">
      <c r="A4038" s="15" t="str">
        <f>IF(COUNTA($B4038:$E4038,$K4038)=0,"",IF(AND($B4038&lt;&gt;"",$C4038&lt;&gt;"",$D4038&lt;&gt;"",$E4038&lt;&gt;""),"TXS"&amp;TEXT(COUNTIFS($B$2:$B4038,"&lt;&gt;",$C$2:$C4038,"&lt;&gt;",$D$2:$D4038,"&lt;&gt;",$E$2:$E4038,"&lt;&gt;"),"00000"),""))</f>
        <v/>
      </c>
      <c r="N4038" s="22"/>
    </row>
    <row r="4039" spans="1:14" x14ac:dyDescent="0.3">
      <c r="A4039" s="15" t="str">
        <f>IF(COUNTA($B4039:$E4039,$K4039)=0,"",IF(AND($B4039&lt;&gt;"",$C4039&lt;&gt;"",$D4039&lt;&gt;"",$E4039&lt;&gt;""),"TXS"&amp;TEXT(COUNTIFS($B$2:$B4039,"&lt;&gt;",$C$2:$C4039,"&lt;&gt;",$D$2:$D4039,"&lt;&gt;",$E$2:$E4039,"&lt;&gt;"),"00000"),""))</f>
        <v/>
      </c>
      <c r="N4039" s="22"/>
    </row>
    <row r="4040" spans="1:14" x14ac:dyDescent="0.3">
      <c r="A4040" s="15" t="str">
        <f>IF(COUNTA($B4040:$E4040,$K4040)=0,"",IF(AND($B4040&lt;&gt;"",$C4040&lt;&gt;"",$D4040&lt;&gt;"",$E4040&lt;&gt;""),"TXS"&amp;TEXT(COUNTIFS($B$2:$B4040,"&lt;&gt;",$C$2:$C4040,"&lt;&gt;",$D$2:$D4040,"&lt;&gt;",$E$2:$E4040,"&lt;&gt;"),"00000"),""))</f>
        <v/>
      </c>
      <c r="N4040" s="22"/>
    </row>
    <row r="4041" spans="1:14" x14ac:dyDescent="0.3">
      <c r="A4041" s="15" t="str">
        <f>IF(COUNTA($B4041:$E4041,$K4041)=0,"",IF(AND($B4041&lt;&gt;"",$C4041&lt;&gt;"",$D4041&lt;&gt;"",$E4041&lt;&gt;""),"TXS"&amp;TEXT(COUNTIFS($B$2:$B4041,"&lt;&gt;",$C$2:$C4041,"&lt;&gt;",$D$2:$D4041,"&lt;&gt;",$E$2:$E4041,"&lt;&gt;"),"00000"),""))</f>
        <v/>
      </c>
      <c r="N4041" s="22"/>
    </row>
    <row r="4042" spans="1:14" x14ac:dyDescent="0.3">
      <c r="A4042" s="15" t="str">
        <f>IF(COUNTA($B4042:$E4042,$K4042)=0,"",IF(AND($B4042&lt;&gt;"",$C4042&lt;&gt;"",$D4042&lt;&gt;"",$E4042&lt;&gt;""),"TXS"&amp;TEXT(COUNTIFS($B$2:$B4042,"&lt;&gt;",$C$2:$C4042,"&lt;&gt;",$D$2:$D4042,"&lt;&gt;",$E$2:$E4042,"&lt;&gt;"),"00000"),""))</f>
        <v/>
      </c>
      <c r="N4042" s="22"/>
    </row>
    <row r="4043" spans="1:14" x14ac:dyDescent="0.3">
      <c r="A4043" s="15" t="str">
        <f>IF(COUNTA($B4043:$E4043,$K4043)=0,"",IF(AND($B4043&lt;&gt;"",$C4043&lt;&gt;"",$D4043&lt;&gt;"",$E4043&lt;&gt;""),"TXS"&amp;TEXT(COUNTIFS($B$2:$B4043,"&lt;&gt;",$C$2:$C4043,"&lt;&gt;",$D$2:$D4043,"&lt;&gt;",$E$2:$E4043,"&lt;&gt;"),"00000"),""))</f>
        <v/>
      </c>
      <c r="N4043" s="22"/>
    </row>
    <row r="4044" spans="1:14" x14ac:dyDescent="0.3">
      <c r="A4044" s="15" t="str">
        <f>IF(COUNTA($B4044:$E4044,$K4044)=0,"",IF(AND($B4044&lt;&gt;"",$C4044&lt;&gt;"",$D4044&lt;&gt;"",$E4044&lt;&gt;""),"TXS"&amp;TEXT(COUNTIFS($B$2:$B4044,"&lt;&gt;",$C$2:$C4044,"&lt;&gt;",$D$2:$D4044,"&lt;&gt;",$E$2:$E4044,"&lt;&gt;"),"00000"),""))</f>
        <v/>
      </c>
      <c r="N4044" s="22"/>
    </row>
    <row r="4045" spans="1:14" x14ac:dyDescent="0.3">
      <c r="A4045" s="15" t="str">
        <f>IF(COUNTA($B4045:$E4045,$K4045)=0,"",IF(AND($B4045&lt;&gt;"",$C4045&lt;&gt;"",$D4045&lt;&gt;"",$E4045&lt;&gt;""),"TXS"&amp;TEXT(COUNTIFS($B$2:$B4045,"&lt;&gt;",$C$2:$C4045,"&lt;&gt;",$D$2:$D4045,"&lt;&gt;",$E$2:$E4045,"&lt;&gt;"),"00000"),""))</f>
        <v/>
      </c>
      <c r="N4045" s="22"/>
    </row>
    <row r="4046" spans="1:14" x14ac:dyDescent="0.3">
      <c r="A4046" s="15" t="str">
        <f>IF(COUNTA($B4046:$E4046,$K4046)=0,"",IF(AND($B4046&lt;&gt;"",$C4046&lt;&gt;"",$D4046&lt;&gt;"",$E4046&lt;&gt;""),"TXS"&amp;TEXT(COUNTIFS($B$2:$B4046,"&lt;&gt;",$C$2:$C4046,"&lt;&gt;",$D$2:$D4046,"&lt;&gt;",$E$2:$E4046,"&lt;&gt;"),"00000"),""))</f>
        <v/>
      </c>
      <c r="N4046" s="22"/>
    </row>
    <row r="4047" spans="1:14" x14ac:dyDescent="0.3">
      <c r="A4047" s="15" t="str">
        <f>IF(COUNTA($B4047:$E4047,$K4047)=0,"",IF(AND($B4047&lt;&gt;"",$C4047&lt;&gt;"",$D4047&lt;&gt;"",$E4047&lt;&gt;""),"TXS"&amp;TEXT(COUNTIFS($B$2:$B4047,"&lt;&gt;",$C$2:$C4047,"&lt;&gt;",$D$2:$D4047,"&lt;&gt;",$E$2:$E4047,"&lt;&gt;"),"00000"),""))</f>
        <v/>
      </c>
      <c r="N4047" s="22"/>
    </row>
    <row r="4048" spans="1:14" x14ac:dyDescent="0.3">
      <c r="A4048" s="15" t="str">
        <f>IF(COUNTA($B4048:$E4048,$K4048)=0,"",IF(AND($B4048&lt;&gt;"",$C4048&lt;&gt;"",$D4048&lt;&gt;"",$E4048&lt;&gt;""),"TXS"&amp;TEXT(COUNTIFS($B$2:$B4048,"&lt;&gt;",$C$2:$C4048,"&lt;&gt;",$D$2:$D4048,"&lt;&gt;",$E$2:$E4048,"&lt;&gt;"),"00000"),""))</f>
        <v/>
      </c>
      <c r="N4048" s="22"/>
    </row>
    <row r="4049" spans="1:14" x14ac:dyDescent="0.3">
      <c r="A4049" s="15" t="str">
        <f>IF(COUNTA($B4049:$E4049,$K4049)=0,"",IF(AND($B4049&lt;&gt;"",$C4049&lt;&gt;"",$D4049&lt;&gt;"",$E4049&lt;&gt;""),"TXS"&amp;TEXT(COUNTIFS($B$2:$B4049,"&lt;&gt;",$C$2:$C4049,"&lt;&gt;",$D$2:$D4049,"&lt;&gt;",$E$2:$E4049,"&lt;&gt;"),"00000"),""))</f>
        <v/>
      </c>
      <c r="N4049" s="22"/>
    </row>
    <row r="4050" spans="1:14" x14ac:dyDescent="0.3">
      <c r="A4050" s="15" t="str">
        <f>IF(COUNTA($B4050:$E4050,$K4050)=0,"",IF(AND($B4050&lt;&gt;"",$C4050&lt;&gt;"",$D4050&lt;&gt;"",$E4050&lt;&gt;""),"TXS"&amp;TEXT(COUNTIFS($B$2:$B4050,"&lt;&gt;",$C$2:$C4050,"&lt;&gt;",$D$2:$D4050,"&lt;&gt;",$E$2:$E4050,"&lt;&gt;"),"00000"),""))</f>
        <v/>
      </c>
      <c r="N4050" s="22"/>
    </row>
    <row r="4051" spans="1:14" x14ac:dyDescent="0.3">
      <c r="A4051" s="15" t="str">
        <f>IF(COUNTA($B4051:$E4051,$K4051)=0,"",IF(AND($B4051&lt;&gt;"",$C4051&lt;&gt;"",$D4051&lt;&gt;"",$E4051&lt;&gt;""),"TXS"&amp;TEXT(COUNTIFS($B$2:$B4051,"&lt;&gt;",$C$2:$C4051,"&lt;&gt;",$D$2:$D4051,"&lt;&gt;",$E$2:$E4051,"&lt;&gt;"),"00000"),""))</f>
        <v/>
      </c>
      <c r="N4051" s="22"/>
    </row>
    <row r="4052" spans="1:14" x14ac:dyDescent="0.3">
      <c r="A4052" s="15" t="str">
        <f>IF(COUNTA($B4052:$E4052,$K4052)=0,"",IF(AND($B4052&lt;&gt;"",$C4052&lt;&gt;"",$D4052&lt;&gt;"",$E4052&lt;&gt;""),"TXS"&amp;TEXT(COUNTIFS($B$2:$B4052,"&lt;&gt;",$C$2:$C4052,"&lt;&gt;",$D$2:$D4052,"&lt;&gt;",$E$2:$E4052,"&lt;&gt;"),"00000"),""))</f>
        <v/>
      </c>
      <c r="N4052" s="22"/>
    </row>
    <row r="4053" spans="1:14" x14ac:dyDescent="0.3">
      <c r="A4053" s="15" t="str">
        <f>IF(COUNTA($B4053:$E4053,$K4053)=0,"",IF(AND($B4053&lt;&gt;"",$C4053&lt;&gt;"",$D4053&lt;&gt;"",$E4053&lt;&gt;""),"TXS"&amp;TEXT(COUNTIFS($B$2:$B4053,"&lt;&gt;",$C$2:$C4053,"&lt;&gt;",$D$2:$D4053,"&lt;&gt;",$E$2:$E4053,"&lt;&gt;"),"00000"),""))</f>
        <v/>
      </c>
      <c r="N4053" s="22"/>
    </row>
    <row r="4054" spans="1:14" x14ac:dyDescent="0.3">
      <c r="A4054" s="15" t="str">
        <f>IF(COUNTA($B4054:$E4054,$K4054)=0,"",IF(AND($B4054&lt;&gt;"",$C4054&lt;&gt;"",$D4054&lt;&gt;"",$E4054&lt;&gt;""),"TXS"&amp;TEXT(COUNTIFS($B$2:$B4054,"&lt;&gt;",$C$2:$C4054,"&lt;&gt;",$D$2:$D4054,"&lt;&gt;",$E$2:$E4054,"&lt;&gt;"),"00000"),""))</f>
        <v/>
      </c>
      <c r="N4054" s="22"/>
    </row>
    <row r="4055" spans="1:14" x14ac:dyDescent="0.3">
      <c r="A4055" s="15" t="str">
        <f>IF(COUNTA($B4055:$E4055,$K4055)=0,"",IF(AND($B4055&lt;&gt;"",$C4055&lt;&gt;"",$D4055&lt;&gt;"",$E4055&lt;&gt;""),"TXS"&amp;TEXT(COUNTIFS($B$2:$B4055,"&lt;&gt;",$C$2:$C4055,"&lt;&gt;",$D$2:$D4055,"&lt;&gt;",$E$2:$E4055,"&lt;&gt;"),"00000"),""))</f>
        <v/>
      </c>
      <c r="N4055" s="22"/>
    </row>
    <row r="4056" spans="1:14" x14ac:dyDescent="0.3">
      <c r="A4056" s="15" t="str">
        <f>IF(COUNTA($B4056:$E4056,$K4056)=0,"",IF(AND($B4056&lt;&gt;"",$C4056&lt;&gt;"",$D4056&lt;&gt;"",$E4056&lt;&gt;""),"TXS"&amp;TEXT(COUNTIFS($B$2:$B4056,"&lt;&gt;",$C$2:$C4056,"&lt;&gt;",$D$2:$D4056,"&lt;&gt;",$E$2:$E4056,"&lt;&gt;"),"00000"),""))</f>
        <v/>
      </c>
      <c r="N4056" s="22"/>
    </row>
    <row r="4057" spans="1:14" x14ac:dyDescent="0.3">
      <c r="A4057" s="15" t="str">
        <f>IF(COUNTA($B4057:$E4057,$K4057)=0,"",IF(AND($B4057&lt;&gt;"",$C4057&lt;&gt;"",$D4057&lt;&gt;"",$E4057&lt;&gt;""),"TXS"&amp;TEXT(COUNTIFS($B$2:$B4057,"&lt;&gt;",$C$2:$C4057,"&lt;&gt;",$D$2:$D4057,"&lt;&gt;",$E$2:$E4057,"&lt;&gt;"),"00000"),""))</f>
        <v/>
      </c>
      <c r="N4057" s="22"/>
    </row>
    <row r="4058" spans="1:14" x14ac:dyDescent="0.3">
      <c r="A4058" s="15" t="str">
        <f>IF(COUNTA($B4058:$E4058,$K4058)=0,"",IF(AND($B4058&lt;&gt;"",$C4058&lt;&gt;"",$D4058&lt;&gt;"",$E4058&lt;&gt;""),"TXS"&amp;TEXT(COUNTIFS($B$2:$B4058,"&lt;&gt;",$C$2:$C4058,"&lt;&gt;",$D$2:$D4058,"&lt;&gt;",$E$2:$E4058,"&lt;&gt;"),"00000"),""))</f>
        <v/>
      </c>
      <c r="N4058" s="22"/>
    </row>
    <row r="4059" spans="1:14" x14ac:dyDescent="0.3">
      <c r="A4059" s="15" t="str">
        <f>IF(COUNTA($B4059:$E4059,$K4059)=0,"",IF(AND($B4059&lt;&gt;"",$C4059&lt;&gt;"",$D4059&lt;&gt;"",$E4059&lt;&gt;""),"TXS"&amp;TEXT(COUNTIFS($B$2:$B4059,"&lt;&gt;",$C$2:$C4059,"&lt;&gt;",$D$2:$D4059,"&lt;&gt;",$E$2:$E4059,"&lt;&gt;"),"00000"),""))</f>
        <v/>
      </c>
      <c r="N4059" s="22"/>
    </row>
    <row r="4060" spans="1:14" x14ac:dyDescent="0.3">
      <c r="A4060" s="15" t="str">
        <f>IF(COUNTA($B4060:$E4060,$K4060)=0,"",IF(AND($B4060&lt;&gt;"",$C4060&lt;&gt;"",$D4060&lt;&gt;"",$E4060&lt;&gt;""),"TXS"&amp;TEXT(COUNTIFS($B$2:$B4060,"&lt;&gt;",$C$2:$C4060,"&lt;&gt;",$D$2:$D4060,"&lt;&gt;",$E$2:$E4060,"&lt;&gt;"),"00000"),""))</f>
        <v/>
      </c>
      <c r="N4060" s="22"/>
    </row>
    <row r="4061" spans="1:14" x14ac:dyDescent="0.3">
      <c r="A4061" s="15" t="str">
        <f>IF(COUNTA($B4061:$E4061,$K4061)=0,"",IF(AND($B4061&lt;&gt;"",$C4061&lt;&gt;"",$D4061&lt;&gt;"",$E4061&lt;&gt;""),"TXS"&amp;TEXT(COUNTIFS($B$2:$B4061,"&lt;&gt;",$C$2:$C4061,"&lt;&gt;",$D$2:$D4061,"&lt;&gt;",$E$2:$E4061,"&lt;&gt;"),"00000"),""))</f>
        <v/>
      </c>
      <c r="N4061" s="22"/>
    </row>
    <row r="4062" spans="1:14" x14ac:dyDescent="0.3">
      <c r="A4062" s="15" t="str">
        <f>IF(COUNTA($B4062:$E4062,$K4062)=0,"",IF(AND($B4062&lt;&gt;"",$C4062&lt;&gt;"",$D4062&lt;&gt;"",$E4062&lt;&gt;""),"TXS"&amp;TEXT(COUNTIFS($B$2:$B4062,"&lt;&gt;",$C$2:$C4062,"&lt;&gt;",$D$2:$D4062,"&lt;&gt;",$E$2:$E4062,"&lt;&gt;"),"00000"),""))</f>
        <v/>
      </c>
      <c r="N4062" s="22"/>
    </row>
    <row r="4063" spans="1:14" x14ac:dyDescent="0.3">
      <c r="A4063" s="15" t="str">
        <f>IF(COUNTA($B4063:$E4063,$K4063)=0,"",IF(AND($B4063&lt;&gt;"",$C4063&lt;&gt;"",$D4063&lt;&gt;"",$E4063&lt;&gt;""),"TXS"&amp;TEXT(COUNTIFS($B$2:$B4063,"&lt;&gt;",$C$2:$C4063,"&lt;&gt;",$D$2:$D4063,"&lt;&gt;",$E$2:$E4063,"&lt;&gt;"),"00000"),""))</f>
        <v/>
      </c>
      <c r="N4063" s="22"/>
    </row>
    <row r="4064" spans="1:14" x14ac:dyDescent="0.3">
      <c r="A4064" s="15" t="str">
        <f>IF(COUNTA($B4064:$E4064,$K4064)=0,"",IF(AND($B4064&lt;&gt;"",$C4064&lt;&gt;"",$D4064&lt;&gt;"",$E4064&lt;&gt;""),"TXS"&amp;TEXT(COUNTIFS($B$2:$B4064,"&lt;&gt;",$C$2:$C4064,"&lt;&gt;",$D$2:$D4064,"&lt;&gt;",$E$2:$E4064,"&lt;&gt;"),"00000"),""))</f>
        <v/>
      </c>
      <c r="N4064" s="22"/>
    </row>
    <row r="4065" spans="1:14" x14ac:dyDescent="0.3">
      <c r="A4065" s="15" t="str">
        <f>IF(COUNTA($B4065:$E4065,$K4065)=0,"",IF(AND($B4065&lt;&gt;"",$C4065&lt;&gt;"",$D4065&lt;&gt;"",$E4065&lt;&gt;""),"TXS"&amp;TEXT(COUNTIFS($B$2:$B4065,"&lt;&gt;",$C$2:$C4065,"&lt;&gt;",$D$2:$D4065,"&lt;&gt;",$E$2:$E4065,"&lt;&gt;"),"00000"),""))</f>
        <v/>
      </c>
      <c r="N4065" s="22"/>
    </row>
    <row r="4066" spans="1:14" x14ac:dyDescent="0.3">
      <c r="A4066" s="15" t="str">
        <f>IF(COUNTA($B4066:$E4066,$K4066)=0,"",IF(AND($B4066&lt;&gt;"",$C4066&lt;&gt;"",$D4066&lt;&gt;"",$E4066&lt;&gt;""),"TXS"&amp;TEXT(COUNTIFS($B$2:$B4066,"&lt;&gt;",$C$2:$C4066,"&lt;&gt;",$D$2:$D4066,"&lt;&gt;",$E$2:$E4066,"&lt;&gt;"),"00000"),""))</f>
        <v/>
      </c>
      <c r="N4066" s="22"/>
    </row>
    <row r="4067" spans="1:14" x14ac:dyDescent="0.3">
      <c r="A4067" s="15" t="str">
        <f>IF(COUNTA($B4067:$E4067,$K4067)=0,"",IF(AND($B4067&lt;&gt;"",$C4067&lt;&gt;"",$D4067&lt;&gt;"",$E4067&lt;&gt;""),"TXS"&amp;TEXT(COUNTIFS($B$2:$B4067,"&lt;&gt;",$C$2:$C4067,"&lt;&gt;",$D$2:$D4067,"&lt;&gt;",$E$2:$E4067,"&lt;&gt;"),"00000"),""))</f>
        <v/>
      </c>
      <c r="N4067" s="22"/>
    </row>
    <row r="4068" spans="1:14" x14ac:dyDescent="0.3">
      <c r="A4068" s="15" t="str">
        <f>IF(COUNTA($B4068:$E4068,$K4068)=0,"",IF(AND($B4068&lt;&gt;"",$C4068&lt;&gt;"",$D4068&lt;&gt;"",$E4068&lt;&gt;""),"TXS"&amp;TEXT(COUNTIFS($B$2:$B4068,"&lt;&gt;",$C$2:$C4068,"&lt;&gt;",$D$2:$D4068,"&lt;&gt;",$E$2:$E4068,"&lt;&gt;"),"00000"),""))</f>
        <v/>
      </c>
      <c r="N4068" s="22"/>
    </row>
    <row r="4069" spans="1:14" x14ac:dyDescent="0.3">
      <c r="A4069" s="15" t="str">
        <f>IF(COUNTA($B4069:$E4069,$K4069)=0,"",IF(AND($B4069&lt;&gt;"",$C4069&lt;&gt;"",$D4069&lt;&gt;"",$E4069&lt;&gt;""),"TXS"&amp;TEXT(COUNTIFS($B$2:$B4069,"&lt;&gt;",$C$2:$C4069,"&lt;&gt;",$D$2:$D4069,"&lt;&gt;",$E$2:$E4069,"&lt;&gt;"),"00000"),""))</f>
        <v/>
      </c>
      <c r="N4069" s="22"/>
    </row>
    <row r="4070" spans="1:14" x14ac:dyDescent="0.3">
      <c r="A4070" s="15" t="str">
        <f>IF(COUNTA($B4070:$E4070,$K4070)=0,"",IF(AND($B4070&lt;&gt;"",$C4070&lt;&gt;"",$D4070&lt;&gt;"",$E4070&lt;&gt;""),"TXS"&amp;TEXT(COUNTIFS($B$2:$B4070,"&lt;&gt;",$C$2:$C4070,"&lt;&gt;",$D$2:$D4070,"&lt;&gt;",$E$2:$E4070,"&lt;&gt;"),"00000"),""))</f>
        <v/>
      </c>
      <c r="N4070" s="22"/>
    </row>
    <row r="4071" spans="1:14" x14ac:dyDescent="0.3">
      <c r="A4071" s="15" t="str">
        <f>IF(COUNTA($B4071:$E4071,$K4071)=0,"",IF(AND($B4071&lt;&gt;"",$C4071&lt;&gt;"",$D4071&lt;&gt;"",$E4071&lt;&gt;""),"TXS"&amp;TEXT(COUNTIFS($B$2:$B4071,"&lt;&gt;",$C$2:$C4071,"&lt;&gt;",$D$2:$D4071,"&lt;&gt;",$E$2:$E4071,"&lt;&gt;"),"00000"),""))</f>
        <v/>
      </c>
      <c r="N4071" s="22"/>
    </row>
    <row r="4072" spans="1:14" x14ac:dyDescent="0.3">
      <c r="A4072" s="15" t="str">
        <f>IF(COUNTA($B4072:$E4072,$K4072)=0,"",IF(AND($B4072&lt;&gt;"",$C4072&lt;&gt;"",$D4072&lt;&gt;"",$E4072&lt;&gt;""),"TXS"&amp;TEXT(COUNTIFS($B$2:$B4072,"&lt;&gt;",$C$2:$C4072,"&lt;&gt;",$D$2:$D4072,"&lt;&gt;",$E$2:$E4072,"&lt;&gt;"),"00000"),""))</f>
        <v/>
      </c>
      <c r="N4072" s="22"/>
    </row>
    <row r="4073" spans="1:14" x14ac:dyDescent="0.3">
      <c r="A4073" s="15" t="str">
        <f>IF(COUNTA($B4073:$E4073,$K4073)=0,"",IF(AND($B4073&lt;&gt;"",$C4073&lt;&gt;"",$D4073&lt;&gt;"",$E4073&lt;&gt;""),"TXS"&amp;TEXT(COUNTIFS($B$2:$B4073,"&lt;&gt;",$C$2:$C4073,"&lt;&gt;",$D$2:$D4073,"&lt;&gt;",$E$2:$E4073,"&lt;&gt;"),"00000"),""))</f>
        <v/>
      </c>
      <c r="N4073" s="22"/>
    </row>
    <row r="4074" spans="1:14" x14ac:dyDescent="0.3">
      <c r="A4074" s="15" t="str">
        <f>IF(COUNTA($B4074:$E4074,$K4074)=0,"",IF(AND($B4074&lt;&gt;"",$C4074&lt;&gt;"",$D4074&lt;&gt;"",$E4074&lt;&gt;""),"TXS"&amp;TEXT(COUNTIFS($B$2:$B4074,"&lt;&gt;",$C$2:$C4074,"&lt;&gt;",$D$2:$D4074,"&lt;&gt;",$E$2:$E4074,"&lt;&gt;"),"00000"),""))</f>
        <v/>
      </c>
      <c r="N4074" s="22"/>
    </row>
    <row r="4075" spans="1:14" x14ac:dyDescent="0.3">
      <c r="A4075" s="15" t="str">
        <f>IF(COUNTA($B4075:$E4075,$K4075)=0,"",IF(AND($B4075&lt;&gt;"",$C4075&lt;&gt;"",$D4075&lt;&gt;"",$E4075&lt;&gt;""),"TXS"&amp;TEXT(COUNTIFS($B$2:$B4075,"&lt;&gt;",$C$2:$C4075,"&lt;&gt;",$D$2:$D4075,"&lt;&gt;",$E$2:$E4075,"&lt;&gt;"),"00000"),""))</f>
        <v/>
      </c>
      <c r="N4075" s="22"/>
    </row>
    <row r="4076" spans="1:14" x14ac:dyDescent="0.3">
      <c r="A4076" s="15" t="str">
        <f>IF(COUNTA($B4076:$E4076,$K4076)=0,"",IF(AND($B4076&lt;&gt;"",$C4076&lt;&gt;"",$D4076&lt;&gt;"",$E4076&lt;&gt;""),"TXS"&amp;TEXT(COUNTIFS($B$2:$B4076,"&lt;&gt;",$C$2:$C4076,"&lt;&gt;",$D$2:$D4076,"&lt;&gt;",$E$2:$E4076,"&lt;&gt;"),"00000"),""))</f>
        <v/>
      </c>
      <c r="N4076" s="22"/>
    </row>
    <row r="4077" spans="1:14" x14ac:dyDescent="0.3">
      <c r="A4077" s="15" t="str">
        <f>IF(COUNTA($B4077:$E4077,$K4077)=0,"",IF(AND($B4077&lt;&gt;"",$C4077&lt;&gt;"",$D4077&lt;&gt;"",$E4077&lt;&gt;""),"TXS"&amp;TEXT(COUNTIFS($B$2:$B4077,"&lt;&gt;",$C$2:$C4077,"&lt;&gt;",$D$2:$D4077,"&lt;&gt;",$E$2:$E4077,"&lt;&gt;"),"00000"),""))</f>
        <v/>
      </c>
      <c r="N4077" s="22"/>
    </row>
    <row r="4078" spans="1:14" x14ac:dyDescent="0.3">
      <c r="A4078" s="15" t="str">
        <f>IF(COUNTA($B4078:$E4078,$K4078)=0,"",IF(AND($B4078&lt;&gt;"",$C4078&lt;&gt;"",$D4078&lt;&gt;"",$E4078&lt;&gt;""),"TXS"&amp;TEXT(COUNTIFS($B$2:$B4078,"&lt;&gt;",$C$2:$C4078,"&lt;&gt;",$D$2:$D4078,"&lt;&gt;",$E$2:$E4078,"&lt;&gt;"),"00000"),""))</f>
        <v/>
      </c>
      <c r="N4078" s="22"/>
    </row>
    <row r="4079" spans="1:14" x14ac:dyDescent="0.3">
      <c r="A4079" s="15" t="str">
        <f>IF(COUNTA($B4079:$E4079,$K4079)=0,"",IF(AND($B4079&lt;&gt;"",$C4079&lt;&gt;"",$D4079&lt;&gt;"",$E4079&lt;&gt;""),"TXS"&amp;TEXT(COUNTIFS($B$2:$B4079,"&lt;&gt;",$C$2:$C4079,"&lt;&gt;",$D$2:$D4079,"&lt;&gt;",$E$2:$E4079,"&lt;&gt;"),"00000"),""))</f>
        <v/>
      </c>
      <c r="N4079" s="22"/>
    </row>
    <row r="4080" spans="1:14" x14ac:dyDescent="0.3">
      <c r="A4080" s="15" t="str">
        <f>IF(COUNTA($B4080:$E4080,$K4080)=0,"",IF(AND($B4080&lt;&gt;"",$C4080&lt;&gt;"",$D4080&lt;&gt;"",$E4080&lt;&gt;""),"TXS"&amp;TEXT(COUNTIFS($B$2:$B4080,"&lt;&gt;",$C$2:$C4080,"&lt;&gt;",$D$2:$D4080,"&lt;&gt;",$E$2:$E4080,"&lt;&gt;"),"00000"),""))</f>
        <v/>
      </c>
      <c r="N4080" s="22"/>
    </row>
    <row r="4081" spans="1:14" x14ac:dyDescent="0.3">
      <c r="A4081" s="15" t="str">
        <f>IF(COUNTA($B4081:$E4081,$K4081)=0,"",IF(AND($B4081&lt;&gt;"",$C4081&lt;&gt;"",$D4081&lt;&gt;"",$E4081&lt;&gt;""),"TXS"&amp;TEXT(COUNTIFS($B$2:$B4081,"&lt;&gt;",$C$2:$C4081,"&lt;&gt;",$D$2:$D4081,"&lt;&gt;",$E$2:$E4081,"&lt;&gt;"),"00000"),""))</f>
        <v/>
      </c>
      <c r="N4081" s="22"/>
    </row>
    <row r="4082" spans="1:14" x14ac:dyDescent="0.3">
      <c r="A4082" s="15" t="str">
        <f>IF(COUNTA($B4082:$E4082,$K4082)=0,"",IF(AND($B4082&lt;&gt;"",$C4082&lt;&gt;"",$D4082&lt;&gt;"",$E4082&lt;&gt;""),"TXS"&amp;TEXT(COUNTIFS($B$2:$B4082,"&lt;&gt;",$C$2:$C4082,"&lt;&gt;",$D$2:$D4082,"&lt;&gt;",$E$2:$E4082,"&lt;&gt;"),"00000"),""))</f>
        <v/>
      </c>
      <c r="N4082" s="22"/>
    </row>
    <row r="4083" spans="1:14" x14ac:dyDescent="0.3">
      <c r="A4083" s="15" t="str">
        <f>IF(COUNTA($B4083:$E4083,$K4083)=0,"",IF(AND($B4083&lt;&gt;"",$C4083&lt;&gt;"",$D4083&lt;&gt;"",$E4083&lt;&gt;""),"TXS"&amp;TEXT(COUNTIFS($B$2:$B4083,"&lt;&gt;",$C$2:$C4083,"&lt;&gt;",$D$2:$D4083,"&lt;&gt;",$E$2:$E4083,"&lt;&gt;"),"00000"),""))</f>
        <v/>
      </c>
      <c r="N4083" s="22"/>
    </row>
    <row r="4084" spans="1:14" x14ac:dyDescent="0.3">
      <c r="A4084" s="15" t="str">
        <f>IF(COUNTA($B4084:$E4084,$K4084)=0,"",IF(AND($B4084&lt;&gt;"",$C4084&lt;&gt;"",$D4084&lt;&gt;"",$E4084&lt;&gt;""),"TXS"&amp;TEXT(COUNTIFS($B$2:$B4084,"&lt;&gt;",$C$2:$C4084,"&lt;&gt;",$D$2:$D4084,"&lt;&gt;",$E$2:$E4084,"&lt;&gt;"),"00000"),""))</f>
        <v/>
      </c>
      <c r="N4084" s="22"/>
    </row>
    <row r="4085" spans="1:14" x14ac:dyDescent="0.3">
      <c r="A4085" s="15" t="str">
        <f>IF(COUNTA($B4085:$E4085,$K4085)=0,"",IF(AND($B4085&lt;&gt;"",$C4085&lt;&gt;"",$D4085&lt;&gt;"",$E4085&lt;&gt;""),"TXS"&amp;TEXT(COUNTIFS($B$2:$B4085,"&lt;&gt;",$C$2:$C4085,"&lt;&gt;",$D$2:$D4085,"&lt;&gt;",$E$2:$E4085,"&lt;&gt;"),"00000"),""))</f>
        <v/>
      </c>
      <c r="N4085" s="22"/>
    </row>
    <row r="4086" spans="1:14" x14ac:dyDescent="0.3">
      <c r="A4086" s="15" t="str">
        <f>IF(COUNTA($B4086:$E4086,$K4086)=0,"",IF(AND($B4086&lt;&gt;"",$C4086&lt;&gt;"",$D4086&lt;&gt;"",$E4086&lt;&gt;""),"TXS"&amp;TEXT(COUNTIFS($B$2:$B4086,"&lt;&gt;",$C$2:$C4086,"&lt;&gt;",$D$2:$D4086,"&lt;&gt;",$E$2:$E4086,"&lt;&gt;"),"00000"),""))</f>
        <v/>
      </c>
      <c r="N4086" s="22"/>
    </row>
    <row r="4087" spans="1:14" x14ac:dyDescent="0.3">
      <c r="A4087" s="15" t="str">
        <f>IF(COUNTA($B4087:$E4087,$K4087)=0,"",IF(AND($B4087&lt;&gt;"",$C4087&lt;&gt;"",$D4087&lt;&gt;"",$E4087&lt;&gt;""),"TXS"&amp;TEXT(COUNTIFS($B$2:$B4087,"&lt;&gt;",$C$2:$C4087,"&lt;&gt;",$D$2:$D4087,"&lt;&gt;",$E$2:$E4087,"&lt;&gt;"),"00000"),""))</f>
        <v/>
      </c>
      <c r="N4087" s="22"/>
    </row>
    <row r="4088" spans="1:14" x14ac:dyDescent="0.3">
      <c r="A4088" s="15" t="str">
        <f>IF(COUNTA($B4088:$E4088,$K4088)=0,"",IF(AND($B4088&lt;&gt;"",$C4088&lt;&gt;"",$D4088&lt;&gt;"",$E4088&lt;&gt;""),"TXS"&amp;TEXT(COUNTIFS($B$2:$B4088,"&lt;&gt;",$C$2:$C4088,"&lt;&gt;",$D$2:$D4088,"&lt;&gt;",$E$2:$E4088,"&lt;&gt;"),"00000"),""))</f>
        <v/>
      </c>
      <c r="N4088" s="22"/>
    </row>
    <row r="4089" spans="1:14" x14ac:dyDescent="0.3">
      <c r="A4089" s="15" t="str">
        <f>IF(COUNTA($B4089:$E4089,$K4089)=0,"",IF(AND($B4089&lt;&gt;"",$C4089&lt;&gt;"",$D4089&lt;&gt;"",$E4089&lt;&gt;""),"TXS"&amp;TEXT(COUNTIFS($B$2:$B4089,"&lt;&gt;",$C$2:$C4089,"&lt;&gt;",$D$2:$D4089,"&lt;&gt;",$E$2:$E4089,"&lt;&gt;"),"00000"),""))</f>
        <v/>
      </c>
      <c r="N4089" s="22"/>
    </row>
    <row r="4090" spans="1:14" x14ac:dyDescent="0.3">
      <c r="A4090" s="15" t="str">
        <f>IF(COUNTA($B4090:$E4090,$K4090)=0,"",IF(AND($B4090&lt;&gt;"",$C4090&lt;&gt;"",$D4090&lt;&gt;"",$E4090&lt;&gt;""),"TXS"&amp;TEXT(COUNTIFS($B$2:$B4090,"&lt;&gt;",$C$2:$C4090,"&lt;&gt;",$D$2:$D4090,"&lt;&gt;",$E$2:$E4090,"&lt;&gt;"),"00000"),""))</f>
        <v/>
      </c>
      <c r="N4090" s="22"/>
    </row>
    <row r="4091" spans="1:14" x14ac:dyDescent="0.3">
      <c r="A4091" s="15" t="str">
        <f>IF(COUNTA($B4091:$E4091,$K4091)=0,"",IF(AND($B4091&lt;&gt;"",$C4091&lt;&gt;"",$D4091&lt;&gt;"",$E4091&lt;&gt;""),"TXS"&amp;TEXT(COUNTIFS($B$2:$B4091,"&lt;&gt;",$C$2:$C4091,"&lt;&gt;",$D$2:$D4091,"&lt;&gt;",$E$2:$E4091,"&lt;&gt;"),"00000"),""))</f>
        <v/>
      </c>
      <c r="N4091" s="22"/>
    </row>
    <row r="4092" spans="1:14" x14ac:dyDescent="0.3">
      <c r="A4092" s="15" t="str">
        <f>IF(COUNTA($B4092:$E4092,$K4092)=0,"",IF(AND($B4092&lt;&gt;"",$C4092&lt;&gt;"",$D4092&lt;&gt;"",$E4092&lt;&gt;""),"TXS"&amp;TEXT(COUNTIFS($B$2:$B4092,"&lt;&gt;",$C$2:$C4092,"&lt;&gt;",$D$2:$D4092,"&lt;&gt;",$E$2:$E4092,"&lt;&gt;"),"00000"),""))</f>
        <v/>
      </c>
      <c r="N4092" s="22"/>
    </row>
    <row r="4093" spans="1:14" x14ac:dyDescent="0.3">
      <c r="A4093" s="15" t="str">
        <f>IF(COUNTA($B4093:$E4093,$K4093)=0,"",IF(AND($B4093&lt;&gt;"",$C4093&lt;&gt;"",$D4093&lt;&gt;"",$E4093&lt;&gt;""),"TXS"&amp;TEXT(COUNTIFS($B$2:$B4093,"&lt;&gt;",$C$2:$C4093,"&lt;&gt;",$D$2:$D4093,"&lt;&gt;",$E$2:$E4093,"&lt;&gt;"),"00000"),""))</f>
        <v/>
      </c>
      <c r="N4093" s="22"/>
    </row>
    <row r="4094" spans="1:14" x14ac:dyDescent="0.3">
      <c r="A4094" s="15" t="str">
        <f>IF(COUNTA($B4094:$E4094,$K4094)=0,"",IF(AND($B4094&lt;&gt;"",$C4094&lt;&gt;"",$D4094&lt;&gt;"",$E4094&lt;&gt;""),"TXS"&amp;TEXT(COUNTIFS($B$2:$B4094,"&lt;&gt;",$C$2:$C4094,"&lt;&gt;",$D$2:$D4094,"&lt;&gt;",$E$2:$E4094,"&lt;&gt;"),"00000"),""))</f>
        <v/>
      </c>
      <c r="N4094" s="22"/>
    </row>
    <row r="4095" spans="1:14" x14ac:dyDescent="0.3">
      <c r="A4095" s="15" t="str">
        <f>IF(COUNTA($B4095:$E4095,$K4095)=0,"",IF(AND($B4095&lt;&gt;"",$C4095&lt;&gt;"",$D4095&lt;&gt;"",$E4095&lt;&gt;""),"TXS"&amp;TEXT(COUNTIFS($B$2:$B4095,"&lt;&gt;",$C$2:$C4095,"&lt;&gt;",$D$2:$D4095,"&lt;&gt;",$E$2:$E4095,"&lt;&gt;"),"00000"),""))</f>
        <v/>
      </c>
      <c r="N4095" s="22"/>
    </row>
    <row r="4096" spans="1:14" x14ac:dyDescent="0.3">
      <c r="A4096" s="15" t="str">
        <f>IF(COUNTA($B4096:$E4096,$K4096)=0,"",IF(AND($B4096&lt;&gt;"",$C4096&lt;&gt;"",$D4096&lt;&gt;"",$E4096&lt;&gt;""),"TXS"&amp;TEXT(COUNTIFS($B$2:$B4096,"&lt;&gt;",$C$2:$C4096,"&lt;&gt;",$D$2:$D4096,"&lt;&gt;",$E$2:$E4096,"&lt;&gt;"),"00000"),""))</f>
        <v/>
      </c>
      <c r="N4096" s="22"/>
    </row>
    <row r="4097" spans="1:14" x14ac:dyDescent="0.3">
      <c r="A4097" s="15" t="str">
        <f>IF(COUNTA($B4097:$E4097,$K4097)=0,"",IF(AND($B4097&lt;&gt;"",$C4097&lt;&gt;"",$D4097&lt;&gt;"",$E4097&lt;&gt;""),"TXS"&amp;TEXT(COUNTIFS($B$2:$B4097,"&lt;&gt;",$C$2:$C4097,"&lt;&gt;",$D$2:$D4097,"&lt;&gt;",$E$2:$E4097,"&lt;&gt;"),"00000"),""))</f>
        <v/>
      </c>
      <c r="N4097" s="22"/>
    </row>
    <row r="4098" spans="1:14" x14ac:dyDescent="0.3">
      <c r="A4098" s="15" t="str">
        <f>IF(COUNTA($B4098:$E4098,$K4098)=0,"",IF(AND($B4098&lt;&gt;"",$C4098&lt;&gt;"",$D4098&lt;&gt;"",$E4098&lt;&gt;""),"TXS"&amp;TEXT(COUNTIFS($B$2:$B4098,"&lt;&gt;",$C$2:$C4098,"&lt;&gt;",$D$2:$D4098,"&lt;&gt;",$E$2:$E4098,"&lt;&gt;"),"00000"),""))</f>
        <v/>
      </c>
      <c r="N4098" s="22"/>
    </row>
    <row r="4099" spans="1:14" x14ac:dyDescent="0.3">
      <c r="A4099" s="15" t="str">
        <f>IF(COUNTA($B4099:$E4099,$K4099)=0,"",IF(AND($B4099&lt;&gt;"",$C4099&lt;&gt;"",$D4099&lt;&gt;"",$E4099&lt;&gt;""),"TXS"&amp;TEXT(COUNTIFS($B$2:$B4099,"&lt;&gt;",$C$2:$C4099,"&lt;&gt;",$D$2:$D4099,"&lt;&gt;",$E$2:$E4099,"&lt;&gt;"),"00000"),""))</f>
        <v/>
      </c>
      <c r="N4099" s="22"/>
    </row>
    <row r="4100" spans="1:14" x14ac:dyDescent="0.3">
      <c r="A4100" s="15" t="str">
        <f>IF(COUNTA($B4100:$E4100,$K4100)=0,"",IF(AND($B4100&lt;&gt;"",$C4100&lt;&gt;"",$D4100&lt;&gt;"",$E4100&lt;&gt;""),"TXS"&amp;TEXT(COUNTIFS($B$2:$B4100,"&lt;&gt;",$C$2:$C4100,"&lt;&gt;",$D$2:$D4100,"&lt;&gt;",$E$2:$E4100,"&lt;&gt;"),"00000"),""))</f>
        <v/>
      </c>
      <c r="N4100" s="22"/>
    </row>
    <row r="4101" spans="1:14" x14ac:dyDescent="0.3">
      <c r="A4101" s="15" t="str">
        <f>IF(COUNTA($B4101:$E4101,$K4101)=0,"",IF(AND($B4101&lt;&gt;"",$C4101&lt;&gt;"",$D4101&lt;&gt;"",$E4101&lt;&gt;""),"TXS"&amp;TEXT(COUNTIFS($B$2:$B4101,"&lt;&gt;",$C$2:$C4101,"&lt;&gt;",$D$2:$D4101,"&lt;&gt;",$E$2:$E4101,"&lt;&gt;"),"00000"),""))</f>
        <v/>
      </c>
      <c r="N4101" s="22"/>
    </row>
    <row r="4102" spans="1:14" x14ac:dyDescent="0.3">
      <c r="A4102" s="15" t="str">
        <f>IF(COUNTA($B4102:$E4102,$K4102)=0,"",IF(AND($B4102&lt;&gt;"",$C4102&lt;&gt;"",$D4102&lt;&gt;"",$E4102&lt;&gt;""),"TXS"&amp;TEXT(COUNTIFS($B$2:$B4102,"&lt;&gt;",$C$2:$C4102,"&lt;&gt;",$D$2:$D4102,"&lt;&gt;",$E$2:$E4102,"&lt;&gt;"),"00000"),""))</f>
        <v/>
      </c>
      <c r="N4102" s="22"/>
    </row>
    <row r="4103" spans="1:14" x14ac:dyDescent="0.3">
      <c r="A4103" s="15" t="str">
        <f>IF(COUNTA($B4103:$E4103,$K4103)=0,"",IF(AND($B4103&lt;&gt;"",$C4103&lt;&gt;"",$D4103&lt;&gt;"",$E4103&lt;&gt;""),"TXS"&amp;TEXT(COUNTIFS($B$2:$B4103,"&lt;&gt;",$C$2:$C4103,"&lt;&gt;",$D$2:$D4103,"&lt;&gt;",$E$2:$E4103,"&lt;&gt;"),"00000"),""))</f>
        <v/>
      </c>
      <c r="N4103" s="22"/>
    </row>
    <row r="4104" spans="1:14" x14ac:dyDescent="0.3">
      <c r="A4104" s="15" t="str">
        <f>IF(COUNTA($B4104:$E4104,$K4104)=0,"",IF(AND($B4104&lt;&gt;"",$C4104&lt;&gt;"",$D4104&lt;&gt;"",$E4104&lt;&gt;""),"TXS"&amp;TEXT(COUNTIFS($B$2:$B4104,"&lt;&gt;",$C$2:$C4104,"&lt;&gt;",$D$2:$D4104,"&lt;&gt;",$E$2:$E4104,"&lt;&gt;"),"00000"),""))</f>
        <v/>
      </c>
      <c r="N4104" s="22"/>
    </row>
    <row r="4105" spans="1:14" x14ac:dyDescent="0.3">
      <c r="A4105" s="15" t="str">
        <f>IF(COUNTA($B4105:$E4105,$K4105)=0,"",IF(AND($B4105&lt;&gt;"",$C4105&lt;&gt;"",$D4105&lt;&gt;"",$E4105&lt;&gt;""),"TXS"&amp;TEXT(COUNTIFS($B$2:$B4105,"&lt;&gt;",$C$2:$C4105,"&lt;&gt;",$D$2:$D4105,"&lt;&gt;",$E$2:$E4105,"&lt;&gt;"),"00000"),""))</f>
        <v/>
      </c>
      <c r="N4105" s="22"/>
    </row>
    <row r="4106" spans="1:14" x14ac:dyDescent="0.3">
      <c r="A4106" s="15" t="str">
        <f>IF(COUNTA($B4106:$E4106,$K4106)=0,"",IF(AND($B4106&lt;&gt;"",$C4106&lt;&gt;"",$D4106&lt;&gt;"",$E4106&lt;&gt;""),"TXS"&amp;TEXT(COUNTIFS($B$2:$B4106,"&lt;&gt;",$C$2:$C4106,"&lt;&gt;",$D$2:$D4106,"&lt;&gt;",$E$2:$E4106,"&lt;&gt;"),"00000"),""))</f>
        <v/>
      </c>
      <c r="N4106" s="22"/>
    </row>
    <row r="4107" spans="1:14" x14ac:dyDescent="0.3">
      <c r="A4107" s="15" t="str">
        <f>IF(COUNTA($B4107:$E4107,$K4107)=0,"",IF(AND($B4107&lt;&gt;"",$C4107&lt;&gt;"",$D4107&lt;&gt;"",$E4107&lt;&gt;""),"TXS"&amp;TEXT(COUNTIFS($B$2:$B4107,"&lt;&gt;",$C$2:$C4107,"&lt;&gt;",$D$2:$D4107,"&lt;&gt;",$E$2:$E4107,"&lt;&gt;"),"00000"),""))</f>
        <v/>
      </c>
      <c r="N4107" s="22"/>
    </row>
    <row r="4108" spans="1:14" x14ac:dyDescent="0.3">
      <c r="A4108" s="15" t="str">
        <f>IF(COUNTA($B4108:$E4108,$K4108)=0,"",IF(AND($B4108&lt;&gt;"",$C4108&lt;&gt;"",$D4108&lt;&gt;"",$E4108&lt;&gt;""),"TXS"&amp;TEXT(COUNTIFS($B$2:$B4108,"&lt;&gt;",$C$2:$C4108,"&lt;&gt;",$D$2:$D4108,"&lt;&gt;",$E$2:$E4108,"&lt;&gt;"),"00000"),""))</f>
        <v/>
      </c>
      <c r="N4108" s="22"/>
    </row>
    <row r="4109" spans="1:14" x14ac:dyDescent="0.3">
      <c r="A4109" s="15" t="str">
        <f>IF(COUNTA($B4109:$E4109,$K4109)=0,"",IF(AND($B4109&lt;&gt;"",$C4109&lt;&gt;"",$D4109&lt;&gt;"",$E4109&lt;&gt;""),"TXS"&amp;TEXT(COUNTIFS($B$2:$B4109,"&lt;&gt;",$C$2:$C4109,"&lt;&gt;",$D$2:$D4109,"&lt;&gt;",$E$2:$E4109,"&lt;&gt;"),"00000"),""))</f>
        <v/>
      </c>
      <c r="N4109" s="22"/>
    </row>
    <row r="4110" spans="1:14" x14ac:dyDescent="0.3">
      <c r="A4110" s="15" t="str">
        <f>IF(COUNTA($B4110:$E4110,$K4110)=0,"",IF(AND($B4110&lt;&gt;"",$C4110&lt;&gt;"",$D4110&lt;&gt;"",$E4110&lt;&gt;""),"TXS"&amp;TEXT(COUNTIFS($B$2:$B4110,"&lt;&gt;",$C$2:$C4110,"&lt;&gt;",$D$2:$D4110,"&lt;&gt;",$E$2:$E4110,"&lt;&gt;"),"00000"),""))</f>
        <v/>
      </c>
      <c r="N4110" s="22"/>
    </row>
    <row r="4111" spans="1:14" x14ac:dyDescent="0.3">
      <c r="A4111" s="15" t="str">
        <f>IF(COUNTA($B4111:$E4111,$K4111)=0,"",IF(AND($B4111&lt;&gt;"",$C4111&lt;&gt;"",$D4111&lt;&gt;"",$E4111&lt;&gt;""),"TXS"&amp;TEXT(COUNTIFS($B$2:$B4111,"&lt;&gt;",$C$2:$C4111,"&lt;&gt;",$D$2:$D4111,"&lt;&gt;",$E$2:$E4111,"&lt;&gt;"),"00000"),""))</f>
        <v/>
      </c>
      <c r="N4111" s="22"/>
    </row>
    <row r="4112" spans="1:14" x14ac:dyDescent="0.3">
      <c r="A4112" s="15" t="str">
        <f>IF(COUNTA($B4112:$E4112,$K4112)=0,"",IF(AND($B4112&lt;&gt;"",$C4112&lt;&gt;"",$D4112&lt;&gt;"",$E4112&lt;&gt;""),"TXS"&amp;TEXT(COUNTIFS($B$2:$B4112,"&lt;&gt;",$C$2:$C4112,"&lt;&gt;",$D$2:$D4112,"&lt;&gt;",$E$2:$E4112,"&lt;&gt;"),"00000"),""))</f>
        <v/>
      </c>
      <c r="N4112" s="22"/>
    </row>
    <row r="4113" spans="1:14" x14ac:dyDescent="0.3">
      <c r="A4113" s="15" t="str">
        <f>IF(COUNTA($B4113:$E4113,$K4113)=0,"",IF(AND($B4113&lt;&gt;"",$C4113&lt;&gt;"",$D4113&lt;&gt;"",$E4113&lt;&gt;""),"TXS"&amp;TEXT(COUNTIFS($B$2:$B4113,"&lt;&gt;",$C$2:$C4113,"&lt;&gt;",$D$2:$D4113,"&lt;&gt;",$E$2:$E4113,"&lt;&gt;"),"00000"),""))</f>
        <v/>
      </c>
      <c r="N4113" s="22"/>
    </row>
    <row r="4114" spans="1:14" x14ac:dyDescent="0.3">
      <c r="A4114" s="15" t="str">
        <f>IF(COUNTA($B4114:$E4114,$K4114)=0,"",IF(AND($B4114&lt;&gt;"",$C4114&lt;&gt;"",$D4114&lt;&gt;"",$E4114&lt;&gt;""),"TXS"&amp;TEXT(COUNTIFS($B$2:$B4114,"&lt;&gt;",$C$2:$C4114,"&lt;&gt;",$D$2:$D4114,"&lt;&gt;",$E$2:$E4114,"&lt;&gt;"),"00000"),""))</f>
        <v/>
      </c>
      <c r="N4114" s="22"/>
    </row>
    <row r="4115" spans="1:14" x14ac:dyDescent="0.3">
      <c r="A4115" s="15" t="str">
        <f>IF(COUNTA($B4115:$E4115,$K4115)=0,"",IF(AND($B4115&lt;&gt;"",$C4115&lt;&gt;"",$D4115&lt;&gt;"",$E4115&lt;&gt;""),"TXS"&amp;TEXT(COUNTIFS($B$2:$B4115,"&lt;&gt;",$C$2:$C4115,"&lt;&gt;",$D$2:$D4115,"&lt;&gt;",$E$2:$E4115,"&lt;&gt;"),"00000"),""))</f>
        <v/>
      </c>
      <c r="N4115" s="22"/>
    </row>
    <row r="4116" spans="1:14" x14ac:dyDescent="0.3">
      <c r="A4116" s="15" t="str">
        <f>IF(COUNTA($B4116:$E4116,$K4116)=0,"",IF(AND($B4116&lt;&gt;"",$C4116&lt;&gt;"",$D4116&lt;&gt;"",$E4116&lt;&gt;""),"TXS"&amp;TEXT(COUNTIFS($B$2:$B4116,"&lt;&gt;",$C$2:$C4116,"&lt;&gt;",$D$2:$D4116,"&lt;&gt;",$E$2:$E4116,"&lt;&gt;"),"00000"),""))</f>
        <v/>
      </c>
      <c r="N4116" s="22"/>
    </row>
    <row r="4117" spans="1:14" x14ac:dyDescent="0.3">
      <c r="A4117" s="15" t="str">
        <f>IF(COUNTA($B4117:$E4117,$K4117)=0,"",IF(AND($B4117&lt;&gt;"",$C4117&lt;&gt;"",$D4117&lt;&gt;"",$E4117&lt;&gt;""),"TXS"&amp;TEXT(COUNTIFS($B$2:$B4117,"&lt;&gt;",$C$2:$C4117,"&lt;&gt;",$D$2:$D4117,"&lt;&gt;",$E$2:$E4117,"&lt;&gt;"),"00000"),""))</f>
        <v/>
      </c>
      <c r="N4117" s="22"/>
    </row>
    <row r="4118" spans="1:14" x14ac:dyDescent="0.3">
      <c r="A4118" s="15" t="str">
        <f>IF(COUNTA($B4118:$E4118,$K4118)=0,"",IF(AND($B4118&lt;&gt;"",$C4118&lt;&gt;"",$D4118&lt;&gt;"",$E4118&lt;&gt;""),"TXS"&amp;TEXT(COUNTIFS($B$2:$B4118,"&lt;&gt;",$C$2:$C4118,"&lt;&gt;",$D$2:$D4118,"&lt;&gt;",$E$2:$E4118,"&lt;&gt;"),"00000"),""))</f>
        <v/>
      </c>
      <c r="N4118" s="22"/>
    </row>
    <row r="4119" spans="1:14" x14ac:dyDescent="0.3">
      <c r="A4119" s="15" t="str">
        <f>IF(COUNTA($B4119:$E4119,$K4119)=0,"",IF(AND($B4119&lt;&gt;"",$C4119&lt;&gt;"",$D4119&lt;&gt;"",$E4119&lt;&gt;""),"TXS"&amp;TEXT(COUNTIFS($B$2:$B4119,"&lt;&gt;",$C$2:$C4119,"&lt;&gt;",$D$2:$D4119,"&lt;&gt;",$E$2:$E4119,"&lt;&gt;"),"00000"),""))</f>
        <v/>
      </c>
      <c r="N4119" s="22"/>
    </row>
    <row r="4120" spans="1:14" x14ac:dyDescent="0.3">
      <c r="A4120" s="15" t="str">
        <f>IF(COUNTA($B4120:$E4120,$K4120)=0,"",IF(AND($B4120&lt;&gt;"",$C4120&lt;&gt;"",$D4120&lt;&gt;"",$E4120&lt;&gt;""),"TXS"&amp;TEXT(COUNTIFS($B$2:$B4120,"&lt;&gt;",$C$2:$C4120,"&lt;&gt;",$D$2:$D4120,"&lt;&gt;",$E$2:$E4120,"&lt;&gt;"),"00000"),""))</f>
        <v/>
      </c>
      <c r="N4120" s="22"/>
    </row>
    <row r="4121" spans="1:14" x14ac:dyDescent="0.3">
      <c r="A4121" s="15" t="str">
        <f>IF(COUNTA($B4121:$E4121,$K4121)=0,"",IF(AND($B4121&lt;&gt;"",$C4121&lt;&gt;"",$D4121&lt;&gt;"",$E4121&lt;&gt;""),"TXS"&amp;TEXT(COUNTIFS($B$2:$B4121,"&lt;&gt;",$C$2:$C4121,"&lt;&gt;",$D$2:$D4121,"&lt;&gt;",$E$2:$E4121,"&lt;&gt;"),"00000"),""))</f>
        <v/>
      </c>
      <c r="N4121" s="22"/>
    </row>
    <row r="4122" spans="1:14" x14ac:dyDescent="0.3">
      <c r="A4122" s="15" t="str">
        <f>IF(COUNTA($B4122:$E4122,$K4122)=0,"",IF(AND($B4122&lt;&gt;"",$C4122&lt;&gt;"",$D4122&lt;&gt;"",$E4122&lt;&gt;""),"TXS"&amp;TEXT(COUNTIFS($B$2:$B4122,"&lt;&gt;",$C$2:$C4122,"&lt;&gt;",$D$2:$D4122,"&lt;&gt;",$E$2:$E4122,"&lt;&gt;"),"00000"),""))</f>
        <v/>
      </c>
      <c r="N4122" s="22"/>
    </row>
    <row r="4123" spans="1:14" x14ac:dyDescent="0.3">
      <c r="A4123" s="15" t="str">
        <f>IF(COUNTA($B4123:$E4123,$K4123)=0,"",IF(AND($B4123&lt;&gt;"",$C4123&lt;&gt;"",$D4123&lt;&gt;"",$E4123&lt;&gt;""),"TXS"&amp;TEXT(COUNTIFS($B$2:$B4123,"&lt;&gt;",$C$2:$C4123,"&lt;&gt;",$D$2:$D4123,"&lt;&gt;",$E$2:$E4123,"&lt;&gt;"),"00000"),""))</f>
        <v/>
      </c>
      <c r="N4123" s="22"/>
    </row>
    <row r="4124" spans="1:14" x14ac:dyDescent="0.3">
      <c r="A4124" s="15" t="str">
        <f>IF(COUNTA($B4124:$E4124,$K4124)=0,"",IF(AND($B4124&lt;&gt;"",$C4124&lt;&gt;"",$D4124&lt;&gt;"",$E4124&lt;&gt;""),"TXS"&amp;TEXT(COUNTIFS($B$2:$B4124,"&lt;&gt;",$C$2:$C4124,"&lt;&gt;",$D$2:$D4124,"&lt;&gt;",$E$2:$E4124,"&lt;&gt;"),"00000"),""))</f>
        <v/>
      </c>
      <c r="N4124" s="22"/>
    </row>
    <row r="4125" spans="1:14" x14ac:dyDescent="0.3">
      <c r="A4125" s="15" t="str">
        <f>IF(COUNTA($B4125:$E4125,$K4125)=0,"",IF(AND($B4125&lt;&gt;"",$C4125&lt;&gt;"",$D4125&lt;&gt;"",$E4125&lt;&gt;""),"TXS"&amp;TEXT(COUNTIFS($B$2:$B4125,"&lt;&gt;",$C$2:$C4125,"&lt;&gt;",$D$2:$D4125,"&lt;&gt;",$E$2:$E4125,"&lt;&gt;"),"00000"),""))</f>
        <v/>
      </c>
      <c r="N4125" s="22"/>
    </row>
    <row r="4126" spans="1:14" x14ac:dyDescent="0.3">
      <c r="A4126" s="15" t="str">
        <f>IF(COUNTA($B4126:$E4126,$K4126)=0,"",IF(AND($B4126&lt;&gt;"",$C4126&lt;&gt;"",$D4126&lt;&gt;"",$E4126&lt;&gt;""),"TXS"&amp;TEXT(COUNTIFS($B$2:$B4126,"&lt;&gt;",$C$2:$C4126,"&lt;&gt;",$D$2:$D4126,"&lt;&gt;",$E$2:$E4126,"&lt;&gt;"),"00000"),""))</f>
        <v/>
      </c>
      <c r="N4126" s="22"/>
    </row>
    <row r="4127" spans="1:14" x14ac:dyDescent="0.3">
      <c r="A4127" s="15" t="str">
        <f>IF(COUNTA($B4127:$E4127,$K4127)=0,"",IF(AND($B4127&lt;&gt;"",$C4127&lt;&gt;"",$D4127&lt;&gt;"",$E4127&lt;&gt;""),"TXS"&amp;TEXT(COUNTIFS($B$2:$B4127,"&lt;&gt;",$C$2:$C4127,"&lt;&gt;",$D$2:$D4127,"&lt;&gt;",$E$2:$E4127,"&lt;&gt;"),"00000"),""))</f>
        <v/>
      </c>
      <c r="N4127" s="22"/>
    </row>
    <row r="4128" spans="1:14" x14ac:dyDescent="0.3">
      <c r="A4128" s="15" t="str">
        <f>IF(COUNTA($B4128:$E4128,$K4128)=0,"",IF(AND($B4128&lt;&gt;"",$C4128&lt;&gt;"",$D4128&lt;&gt;"",$E4128&lt;&gt;""),"TXS"&amp;TEXT(COUNTIFS($B$2:$B4128,"&lt;&gt;",$C$2:$C4128,"&lt;&gt;",$D$2:$D4128,"&lt;&gt;",$E$2:$E4128,"&lt;&gt;"),"00000"),""))</f>
        <v/>
      </c>
      <c r="N4128" s="22"/>
    </row>
    <row r="4129" spans="1:14" x14ac:dyDescent="0.3">
      <c r="A4129" s="15" t="str">
        <f>IF(COUNTA($B4129:$E4129,$K4129)=0,"",IF(AND($B4129&lt;&gt;"",$C4129&lt;&gt;"",$D4129&lt;&gt;"",$E4129&lt;&gt;""),"TXS"&amp;TEXT(COUNTIFS($B$2:$B4129,"&lt;&gt;",$C$2:$C4129,"&lt;&gt;",$D$2:$D4129,"&lt;&gt;",$E$2:$E4129,"&lt;&gt;"),"00000"),""))</f>
        <v/>
      </c>
      <c r="N4129" s="22"/>
    </row>
    <row r="4130" spans="1:14" x14ac:dyDescent="0.3">
      <c r="A4130" s="15" t="str">
        <f>IF(COUNTA($B4130:$E4130,$K4130)=0,"",IF(AND($B4130&lt;&gt;"",$C4130&lt;&gt;"",$D4130&lt;&gt;"",$E4130&lt;&gt;""),"TXS"&amp;TEXT(COUNTIFS($B$2:$B4130,"&lt;&gt;",$C$2:$C4130,"&lt;&gt;",$D$2:$D4130,"&lt;&gt;",$E$2:$E4130,"&lt;&gt;"),"00000"),""))</f>
        <v/>
      </c>
      <c r="N4130" s="22"/>
    </row>
    <row r="4131" spans="1:14" x14ac:dyDescent="0.3">
      <c r="A4131" s="15" t="str">
        <f>IF(COUNTA($B4131:$E4131,$K4131)=0,"",IF(AND($B4131&lt;&gt;"",$C4131&lt;&gt;"",$D4131&lt;&gt;"",$E4131&lt;&gt;""),"TXS"&amp;TEXT(COUNTIFS($B$2:$B4131,"&lt;&gt;",$C$2:$C4131,"&lt;&gt;",$D$2:$D4131,"&lt;&gt;",$E$2:$E4131,"&lt;&gt;"),"00000"),""))</f>
        <v/>
      </c>
      <c r="N4131" s="22"/>
    </row>
    <row r="4132" spans="1:14" x14ac:dyDescent="0.3">
      <c r="A4132" s="15" t="str">
        <f>IF(COUNTA($B4132:$E4132,$K4132)=0,"",IF(AND($B4132&lt;&gt;"",$C4132&lt;&gt;"",$D4132&lt;&gt;"",$E4132&lt;&gt;""),"TXS"&amp;TEXT(COUNTIFS($B$2:$B4132,"&lt;&gt;",$C$2:$C4132,"&lt;&gt;",$D$2:$D4132,"&lt;&gt;",$E$2:$E4132,"&lt;&gt;"),"00000"),""))</f>
        <v/>
      </c>
      <c r="N4132" s="22"/>
    </row>
    <row r="4133" spans="1:14" x14ac:dyDescent="0.3">
      <c r="A4133" s="15" t="str">
        <f>IF(COUNTA($B4133:$E4133,$K4133)=0,"",IF(AND($B4133&lt;&gt;"",$C4133&lt;&gt;"",$D4133&lt;&gt;"",$E4133&lt;&gt;""),"TXS"&amp;TEXT(COUNTIFS($B$2:$B4133,"&lt;&gt;",$C$2:$C4133,"&lt;&gt;",$D$2:$D4133,"&lt;&gt;",$E$2:$E4133,"&lt;&gt;"),"00000"),""))</f>
        <v/>
      </c>
      <c r="N4133" s="22"/>
    </row>
    <row r="4134" spans="1:14" x14ac:dyDescent="0.3">
      <c r="A4134" s="15" t="str">
        <f>IF(COUNTA($B4134:$E4134,$K4134)=0,"",IF(AND($B4134&lt;&gt;"",$C4134&lt;&gt;"",$D4134&lt;&gt;"",$E4134&lt;&gt;""),"TXS"&amp;TEXT(COUNTIFS($B$2:$B4134,"&lt;&gt;",$C$2:$C4134,"&lt;&gt;",$D$2:$D4134,"&lt;&gt;",$E$2:$E4134,"&lt;&gt;"),"00000"),""))</f>
        <v/>
      </c>
      <c r="N4134" s="22"/>
    </row>
    <row r="4135" spans="1:14" x14ac:dyDescent="0.3">
      <c r="A4135" s="15" t="str">
        <f>IF(COUNTA($B4135:$E4135,$K4135)=0,"",IF(AND($B4135&lt;&gt;"",$C4135&lt;&gt;"",$D4135&lt;&gt;"",$E4135&lt;&gt;""),"TXS"&amp;TEXT(COUNTIFS($B$2:$B4135,"&lt;&gt;",$C$2:$C4135,"&lt;&gt;",$D$2:$D4135,"&lt;&gt;",$E$2:$E4135,"&lt;&gt;"),"00000"),""))</f>
        <v/>
      </c>
      <c r="N4135" s="22"/>
    </row>
    <row r="4136" spans="1:14" x14ac:dyDescent="0.3">
      <c r="A4136" s="15" t="str">
        <f>IF(COUNTA($B4136:$E4136,$K4136)=0,"",IF(AND($B4136&lt;&gt;"",$C4136&lt;&gt;"",$D4136&lt;&gt;"",$E4136&lt;&gt;""),"TXS"&amp;TEXT(COUNTIFS($B$2:$B4136,"&lt;&gt;",$C$2:$C4136,"&lt;&gt;",$D$2:$D4136,"&lt;&gt;",$E$2:$E4136,"&lt;&gt;"),"00000"),""))</f>
        <v/>
      </c>
      <c r="N4136" s="22"/>
    </row>
    <row r="4137" spans="1:14" x14ac:dyDescent="0.3">
      <c r="A4137" s="15" t="str">
        <f>IF(COUNTA($B4137:$E4137,$K4137)=0,"",IF(AND($B4137&lt;&gt;"",$C4137&lt;&gt;"",$D4137&lt;&gt;"",$E4137&lt;&gt;""),"TXS"&amp;TEXT(COUNTIFS($B$2:$B4137,"&lt;&gt;",$C$2:$C4137,"&lt;&gt;",$D$2:$D4137,"&lt;&gt;",$E$2:$E4137,"&lt;&gt;"),"00000"),""))</f>
        <v/>
      </c>
      <c r="N4137" s="22"/>
    </row>
    <row r="4138" spans="1:14" x14ac:dyDescent="0.3">
      <c r="A4138" s="15" t="str">
        <f>IF(COUNTA($B4138:$E4138,$K4138)=0,"",IF(AND($B4138&lt;&gt;"",$C4138&lt;&gt;"",$D4138&lt;&gt;"",$E4138&lt;&gt;""),"TXS"&amp;TEXT(COUNTIFS($B$2:$B4138,"&lt;&gt;",$C$2:$C4138,"&lt;&gt;",$D$2:$D4138,"&lt;&gt;",$E$2:$E4138,"&lt;&gt;"),"00000"),""))</f>
        <v/>
      </c>
      <c r="N4138" s="22"/>
    </row>
    <row r="4139" spans="1:14" x14ac:dyDescent="0.3">
      <c r="A4139" s="15" t="str">
        <f>IF(COUNTA($B4139:$E4139,$K4139)=0,"",IF(AND($B4139&lt;&gt;"",$C4139&lt;&gt;"",$D4139&lt;&gt;"",$E4139&lt;&gt;""),"TXS"&amp;TEXT(COUNTIFS($B$2:$B4139,"&lt;&gt;",$C$2:$C4139,"&lt;&gt;",$D$2:$D4139,"&lt;&gt;",$E$2:$E4139,"&lt;&gt;"),"00000"),""))</f>
        <v/>
      </c>
      <c r="N4139" s="22"/>
    </row>
    <row r="4140" spans="1:14" x14ac:dyDescent="0.3">
      <c r="A4140" s="15" t="str">
        <f>IF(COUNTA($B4140:$E4140,$K4140)=0,"",IF(AND($B4140&lt;&gt;"",$C4140&lt;&gt;"",$D4140&lt;&gt;"",$E4140&lt;&gt;""),"TXS"&amp;TEXT(COUNTIFS($B$2:$B4140,"&lt;&gt;",$C$2:$C4140,"&lt;&gt;",$D$2:$D4140,"&lt;&gt;",$E$2:$E4140,"&lt;&gt;"),"00000"),""))</f>
        <v/>
      </c>
      <c r="N4140" s="22"/>
    </row>
    <row r="4141" spans="1:14" x14ac:dyDescent="0.3">
      <c r="A4141" s="15" t="str">
        <f>IF(COUNTA($B4141:$E4141,$K4141)=0,"",IF(AND($B4141&lt;&gt;"",$C4141&lt;&gt;"",$D4141&lt;&gt;"",$E4141&lt;&gt;""),"TXS"&amp;TEXT(COUNTIFS($B$2:$B4141,"&lt;&gt;",$C$2:$C4141,"&lt;&gt;",$D$2:$D4141,"&lt;&gt;",$E$2:$E4141,"&lt;&gt;"),"00000"),""))</f>
        <v/>
      </c>
      <c r="N4141" s="22"/>
    </row>
    <row r="4142" spans="1:14" x14ac:dyDescent="0.3">
      <c r="A4142" s="15" t="str">
        <f>IF(COUNTA($B4142:$E4142,$K4142)=0,"",IF(AND($B4142&lt;&gt;"",$C4142&lt;&gt;"",$D4142&lt;&gt;"",$E4142&lt;&gt;""),"TXS"&amp;TEXT(COUNTIFS($B$2:$B4142,"&lt;&gt;",$C$2:$C4142,"&lt;&gt;",$D$2:$D4142,"&lt;&gt;",$E$2:$E4142,"&lt;&gt;"),"00000"),""))</f>
        <v/>
      </c>
      <c r="N4142" s="22"/>
    </row>
    <row r="4143" spans="1:14" x14ac:dyDescent="0.3">
      <c r="A4143" s="15" t="str">
        <f>IF(COUNTA($B4143:$E4143,$K4143)=0,"",IF(AND($B4143&lt;&gt;"",$C4143&lt;&gt;"",$D4143&lt;&gt;"",$E4143&lt;&gt;""),"TXS"&amp;TEXT(COUNTIFS($B$2:$B4143,"&lt;&gt;",$C$2:$C4143,"&lt;&gt;",$D$2:$D4143,"&lt;&gt;",$E$2:$E4143,"&lt;&gt;"),"00000"),""))</f>
        <v/>
      </c>
      <c r="N4143" s="22"/>
    </row>
    <row r="4144" spans="1:14" x14ac:dyDescent="0.3">
      <c r="A4144" s="15" t="str">
        <f>IF(COUNTA($B4144:$E4144,$K4144)=0,"",IF(AND($B4144&lt;&gt;"",$C4144&lt;&gt;"",$D4144&lt;&gt;"",$E4144&lt;&gt;""),"TXS"&amp;TEXT(COUNTIFS($B$2:$B4144,"&lt;&gt;",$C$2:$C4144,"&lt;&gt;",$D$2:$D4144,"&lt;&gt;",$E$2:$E4144,"&lt;&gt;"),"00000"),""))</f>
        <v/>
      </c>
      <c r="N4144" s="22"/>
    </row>
    <row r="4145" spans="1:14" x14ac:dyDescent="0.3">
      <c r="A4145" s="15" t="str">
        <f>IF(COUNTA($B4145:$E4145,$K4145)=0,"",IF(AND($B4145&lt;&gt;"",$C4145&lt;&gt;"",$D4145&lt;&gt;"",$E4145&lt;&gt;""),"TXS"&amp;TEXT(COUNTIFS($B$2:$B4145,"&lt;&gt;",$C$2:$C4145,"&lt;&gt;",$D$2:$D4145,"&lt;&gt;",$E$2:$E4145,"&lt;&gt;"),"00000"),""))</f>
        <v/>
      </c>
      <c r="N4145" s="22"/>
    </row>
    <row r="4146" spans="1:14" x14ac:dyDescent="0.3">
      <c r="A4146" s="15" t="str">
        <f>IF(COUNTA($B4146:$E4146,$K4146)=0,"",IF(AND($B4146&lt;&gt;"",$C4146&lt;&gt;"",$D4146&lt;&gt;"",$E4146&lt;&gt;""),"TXS"&amp;TEXT(COUNTIFS($B$2:$B4146,"&lt;&gt;",$C$2:$C4146,"&lt;&gt;",$D$2:$D4146,"&lt;&gt;",$E$2:$E4146,"&lt;&gt;"),"00000"),""))</f>
        <v/>
      </c>
      <c r="N4146" s="22"/>
    </row>
    <row r="4147" spans="1:14" x14ac:dyDescent="0.3">
      <c r="A4147" s="15" t="str">
        <f>IF(COUNTA($B4147:$E4147,$K4147)=0,"",IF(AND($B4147&lt;&gt;"",$C4147&lt;&gt;"",$D4147&lt;&gt;"",$E4147&lt;&gt;""),"TXS"&amp;TEXT(COUNTIFS($B$2:$B4147,"&lt;&gt;",$C$2:$C4147,"&lt;&gt;",$D$2:$D4147,"&lt;&gt;",$E$2:$E4147,"&lt;&gt;"),"00000"),""))</f>
        <v/>
      </c>
      <c r="N4147" s="22"/>
    </row>
    <row r="4148" spans="1:14" x14ac:dyDescent="0.3">
      <c r="A4148" s="15" t="str">
        <f>IF(COUNTA($B4148:$E4148,$K4148)=0,"",IF(AND($B4148&lt;&gt;"",$C4148&lt;&gt;"",$D4148&lt;&gt;"",$E4148&lt;&gt;""),"TXS"&amp;TEXT(COUNTIFS($B$2:$B4148,"&lt;&gt;",$C$2:$C4148,"&lt;&gt;",$D$2:$D4148,"&lt;&gt;",$E$2:$E4148,"&lt;&gt;"),"00000"),""))</f>
        <v/>
      </c>
      <c r="N4148" s="22"/>
    </row>
    <row r="4149" spans="1:14" x14ac:dyDescent="0.3">
      <c r="A4149" s="15" t="str">
        <f>IF(COUNTA($B4149:$E4149,$K4149)=0,"",IF(AND($B4149&lt;&gt;"",$C4149&lt;&gt;"",$D4149&lt;&gt;"",$E4149&lt;&gt;""),"TXS"&amp;TEXT(COUNTIFS($B$2:$B4149,"&lt;&gt;",$C$2:$C4149,"&lt;&gt;",$D$2:$D4149,"&lt;&gt;",$E$2:$E4149,"&lt;&gt;"),"00000"),""))</f>
        <v/>
      </c>
      <c r="N4149" s="22"/>
    </row>
    <row r="4150" spans="1:14" x14ac:dyDescent="0.3">
      <c r="A4150" s="15" t="str">
        <f>IF(COUNTA($B4150:$E4150,$K4150)=0,"",IF(AND($B4150&lt;&gt;"",$C4150&lt;&gt;"",$D4150&lt;&gt;"",$E4150&lt;&gt;""),"TXS"&amp;TEXT(COUNTIFS($B$2:$B4150,"&lt;&gt;",$C$2:$C4150,"&lt;&gt;",$D$2:$D4150,"&lt;&gt;",$E$2:$E4150,"&lt;&gt;"),"00000"),""))</f>
        <v/>
      </c>
      <c r="N4150" s="22"/>
    </row>
    <row r="4151" spans="1:14" x14ac:dyDescent="0.3">
      <c r="A4151" s="15" t="str">
        <f>IF(COUNTA($B4151:$E4151,$K4151)=0,"",IF(AND($B4151&lt;&gt;"",$C4151&lt;&gt;"",$D4151&lt;&gt;"",$E4151&lt;&gt;""),"TXS"&amp;TEXT(COUNTIFS($B$2:$B4151,"&lt;&gt;",$C$2:$C4151,"&lt;&gt;",$D$2:$D4151,"&lt;&gt;",$E$2:$E4151,"&lt;&gt;"),"00000"),""))</f>
        <v/>
      </c>
      <c r="N4151" s="22"/>
    </row>
    <row r="4152" spans="1:14" x14ac:dyDescent="0.3">
      <c r="A4152" s="15" t="str">
        <f>IF(COUNTA($B4152:$E4152,$K4152)=0,"",IF(AND($B4152&lt;&gt;"",$C4152&lt;&gt;"",$D4152&lt;&gt;"",$E4152&lt;&gt;""),"TXS"&amp;TEXT(COUNTIFS($B$2:$B4152,"&lt;&gt;",$C$2:$C4152,"&lt;&gt;",$D$2:$D4152,"&lt;&gt;",$E$2:$E4152,"&lt;&gt;"),"00000"),""))</f>
        <v/>
      </c>
      <c r="N4152" s="22"/>
    </row>
    <row r="4153" spans="1:14" x14ac:dyDescent="0.3">
      <c r="A4153" s="15" t="str">
        <f>IF(COUNTA($B4153:$E4153,$K4153)=0,"",IF(AND($B4153&lt;&gt;"",$C4153&lt;&gt;"",$D4153&lt;&gt;"",$E4153&lt;&gt;""),"TXS"&amp;TEXT(COUNTIFS($B$2:$B4153,"&lt;&gt;",$C$2:$C4153,"&lt;&gt;",$D$2:$D4153,"&lt;&gt;",$E$2:$E4153,"&lt;&gt;"),"00000"),""))</f>
        <v/>
      </c>
      <c r="N4153" s="22"/>
    </row>
    <row r="4154" spans="1:14" x14ac:dyDescent="0.3">
      <c r="A4154" s="15" t="str">
        <f>IF(COUNTA($B4154:$E4154,$K4154)=0,"",IF(AND($B4154&lt;&gt;"",$C4154&lt;&gt;"",$D4154&lt;&gt;"",$E4154&lt;&gt;""),"TXS"&amp;TEXT(COUNTIFS($B$2:$B4154,"&lt;&gt;",$C$2:$C4154,"&lt;&gt;",$D$2:$D4154,"&lt;&gt;",$E$2:$E4154,"&lt;&gt;"),"00000"),""))</f>
        <v/>
      </c>
      <c r="N4154" s="22"/>
    </row>
    <row r="4155" spans="1:14" x14ac:dyDescent="0.3">
      <c r="A4155" s="15" t="str">
        <f>IF(COUNTA($B4155:$E4155,$K4155)=0,"",IF(AND($B4155&lt;&gt;"",$C4155&lt;&gt;"",$D4155&lt;&gt;"",$E4155&lt;&gt;""),"TXS"&amp;TEXT(COUNTIFS($B$2:$B4155,"&lt;&gt;",$C$2:$C4155,"&lt;&gt;",$D$2:$D4155,"&lt;&gt;",$E$2:$E4155,"&lt;&gt;"),"00000"),""))</f>
        <v/>
      </c>
      <c r="N4155" s="22"/>
    </row>
    <row r="4156" spans="1:14" x14ac:dyDescent="0.3">
      <c r="A4156" s="15" t="str">
        <f>IF(COUNTA($B4156:$E4156,$K4156)=0,"",IF(AND($B4156&lt;&gt;"",$C4156&lt;&gt;"",$D4156&lt;&gt;"",$E4156&lt;&gt;""),"TXS"&amp;TEXT(COUNTIFS($B$2:$B4156,"&lt;&gt;",$C$2:$C4156,"&lt;&gt;",$D$2:$D4156,"&lt;&gt;",$E$2:$E4156,"&lt;&gt;"),"00000"),""))</f>
        <v/>
      </c>
      <c r="N4156" s="22"/>
    </row>
    <row r="4157" spans="1:14" x14ac:dyDescent="0.3">
      <c r="A4157" s="15" t="str">
        <f>IF(COUNTA($B4157:$E4157,$K4157)=0,"",IF(AND($B4157&lt;&gt;"",$C4157&lt;&gt;"",$D4157&lt;&gt;"",$E4157&lt;&gt;""),"TXS"&amp;TEXT(COUNTIFS($B$2:$B4157,"&lt;&gt;",$C$2:$C4157,"&lt;&gt;",$D$2:$D4157,"&lt;&gt;",$E$2:$E4157,"&lt;&gt;"),"00000"),""))</f>
        <v/>
      </c>
      <c r="N4157" s="22"/>
    </row>
    <row r="4158" spans="1:14" x14ac:dyDescent="0.3">
      <c r="A4158" s="15" t="str">
        <f>IF(COUNTA($B4158:$E4158,$K4158)=0,"",IF(AND($B4158&lt;&gt;"",$C4158&lt;&gt;"",$D4158&lt;&gt;"",$E4158&lt;&gt;""),"TXS"&amp;TEXT(COUNTIFS($B$2:$B4158,"&lt;&gt;",$C$2:$C4158,"&lt;&gt;",$D$2:$D4158,"&lt;&gt;",$E$2:$E4158,"&lt;&gt;"),"00000"),""))</f>
        <v/>
      </c>
      <c r="N4158" s="22"/>
    </row>
    <row r="4159" spans="1:14" x14ac:dyDescent="0.3">
      <c r="A4159" s="15" t="str">
        <f>IF(COUNTA($B4159:$E4159,$K4159)=0,"",IF(AND($B4159&lt;&gt;"",$C4159&lt;&gt;"",$D4159&lt;&gt;"",$E4159&lt;&gt;""),"TXS"&amp;TEXT(COUNTIFS($B$2:$B4159,"&lt;&gt;",$C$2:$C4159,"&lt;&gt;",$D$2:$D4159,"&lt;&gt;",$E$2:$E4159,"&lt;&gt;"),"00000"),""))</f>
        <v/>
      </c>
      <c r="N4159" s="22"/>
    </row>
    <row r="4160" spans="1:14" x14ac:dyDescent="0.3">
      <c r="A4160" s="15" t="str">
        <f>IF(COUNTA($B4160:$E4160,$K4160)=0,"",IF(AND($B4160&lt;&gt;"",$C4160&lt;&gt;"",$D4160&lt;&gt;"",$E4160&lt;&gt;""),"TXS"&amp;TEXT(COUNTIFS($B$2:$B4160,"&lt;&gt;",$C$2:$C4160,"&lt;&gt;",$D$2:$D4160,"&lt;&gt;",$E$2:$E4160,"&lt;&gt;"),"00000"),""))</f>
        <v/>
      </c>
      <c r="N4160" s="22"/>
    </row>
    <row r="4161" spans="1:14" x14ac:dyDescent="0.3">
      <c r="A4161" s="15" t="str">
        <f>IF(COUNTA($B4161:$E4161,$K4161)=0,"",IF(AND($B4161&lt;&gt;"",$C4161&lt;&gt;"",$D4161&lt;&gt;"",$E4161&lt;&gt;""),"TXS"&amp;TEXT(COUNTIFS($B$2:$B4161,"&lt;&gt;",$C$2:$C4161,"&lt;&gt;",$D$2:$D4161,"&lt;&gt;",$E$2:$E4161,"&lt;&gt;"),"00000"),""))</f>
        <v/>
      </c>
      <c r="N4161" s="22"/>
    </row>
    <row r="4162" spans="1:14" x14ac:dyDescent="0.3">
      <c r="A4162" s="15" t="str">
        <f>IF(COUNTA($B4162:$E4162,$K4162)=0,"",IF(AND($B4162&lt;&gt;"",$C4162&lt;&gt;"",$D4162&lt;&gt;"",$E4162&lt;&gt;""),"TXS"&amp;TEXT(COUNTIFS($B$2:$B4162,"&lt;&gt;",$C$2:$C4162,"&lt;&gt;",$D$2:$D4162,"&lt;&gt;",$E$2:$E4162,"&lt;&gt;"),"00000"),""))</f>
        <v/>
      </c>
      <c r="N4162" s="22"/>
    </row>
    <row r="4163" spans="1:14" x14ac:dyDescent="0.3">
      <c r="A4163" s="15" t="str">
        <f>IF(COUNTA($B4163:$E4163,$K4163)=0,"",IF(AND($B4163&lt;&gt;"",$C4163&lt;&gt;"",$D4163&lt;&gt;"",$E4163&lt;&gt;""),"TXS"&amp;TEXT(COUNTIFS($B$2:$B4163,"&lt;&gt;",$C$2:$C4163,"&lt;&gt;",$D$2:$D4163,"&lt;&gt;",$E$2:$E4163,"&lt;&gt;"),"00000"),""))</f>
        <v/>
      </c>
      <c r="N4163" s="22"/>
    </row>
    <row r="4164" spans="1:14" x14ac:dyDescent="0.3">
      <c r="A4164" s="15" t="str">
        <f>IF(COUNTA($B4164:$E4164,$K4164)=0,"",IF(AND($B4164&lt;&gt;"",$C4164&lt;&gt;"",$D4164&lt;&gt;"",$E4164&lt;&gt;""),"TXS"&amp;TEXT(COUNTIFS($B$2:$B4164,"&lt;&gt;",$C$2:$C4164,"&lt;&gt;",$D$2:$D4164,"&lt;&gt;",$E$2:$E4164,"&lt;&gt;"),"00000"),""))</f>
        <v/>
      </c>
      <c r="N4164" s="22"/>
    </row>
    <row r="4165" spans="1:14" x14ac:dyDescent="0.3">
      <c r="A4165" s="15" t="str">
        <f>IF(COUNTA($B4165:$E4165,$K4165)=0,"",IF(AND($B4165&lt;&gt;"",$C4165&lt;&gt;"",$D4165&lt;&gt;"",$E4165&lt;&gt;""),"TXS"&amp;TEXT(COUNTIFS($B$2:$B4165,"&lt;&gt;",$C$2:$C4165,"&lt;&gt;",$D$2:$D4165,"&lt;&gt;",$E$2:$E4165,"&lt;&gt;"),"00000"),""))</f>
        <v/>
      </c>
      <c r="N4165" s="22"/>
    </row>
    <row r="4166" spans="1:14" x14ac:dyDescent="0.3">
      <c r="A4166" s="15" t="str">
        <f>IF(COUNTA($B4166:$E4166,$K4166)=0,"",IF(AND($B4166&lt;&gt;"",$C4166&lt;&gt;"",$D4166&lt;&gt;"",$E4166&lt;&gt;""),"TXS"&amp;TEXT(COUNTIFS($B$2:$B4166,"&lt;&gt;",$C$2:$C4166,"&lt;&gt;",$D$2:$D4166,"&lt;&gt;",$E$2:$E4166,"&lt;&gt;"),"00000"),""))</f>
        <v/>
      </c>
      <c r="N4166" s="22"/>
    </row>
    <row r="4167" spans="1:14" x14ac:dyDescent="0.3">
      <c r="A4167" s="15" t="str">
        <f>IF(COUNTA($B4167:$E4167,$K4167)=0,"",IF(AND($B4167&lt;&gt;"",$C4167&lt;&gt;"",$D4167&lt;&gt;"",$E4167&lt;&gt;""),"TXS"&amp;TEXT(COUNTIFS($B$2:$B4167,"&lt;&gt;",$C$2:$C4167,"&lt;&gt;",$D$2:$D4167,"&lt;&gt;",$E$2:$E4167,"&lt;&gt;"),"00000"),""))</f>
        <v/>
      </c>
      <c r="N4167" s="22"/>
    </row>
    <row r="4168" spans="1:14" x14ac:dyDescent="0.3">
      <c r="A4168" s="15" t="str">
        <f>IF(COUNTA($B4168:$E4168,$K4168)=0,"",IF(AND($B4168&lt;&gt;"",$C4168&lt;&gt;"",$D4168&lt;&gt;"",$E4168&lt;&gt;""),"TXS"&amp;TEXT(COUNTIFS($B$2:$B4168,"&lt;&gt;",$C$2:$C4168,"&lt;&gt;",$D$2:$D4168,"&lt;&gt;",$E$2:$E4168,"&lt;&gt;"),"00000"),""))</f>
        <v/>
      </c>
      <c r="N4168" s="22"/>
    </row>
    <row r="4169" spans="1:14" x14ac:dyDescent="0.3">
      <c r="A4169" s="15" t="str">
        <f>IF(COUNTA($B4169:$E4169,$K4169)=0,"",IF(AND($B4169&lt;&gt;"",$C4169&lt;&gt;"",$D4169&lt;&gt;"",$E4169&lt;&gt;""),"TXS"&amp;TEXT(COUNTIFS($B$2:$B4169,"&lt;&gt;",$C$2:$C4169,"&lt;&gt;",$D$2:$D4169,"&lt;&gt;",$E$2:$E4169,"&lt;&gt;"),"00000"),""))</f>
        <v/>
      </c>
      <c r="N4169" s="22"/>
    </row>
    <row r="4170" spans="1:14" x14ac:dyDescent="0.3">
      <c r="A4170" s="15" t="str">
        <f>IF(COUNTA($B4170:$E4170,$K4170)=0,"",IF(AND($B4170&lt;&gt;"",$C4170&lt;&gt;"",$D4170&lt;&gt;"",$E4170&lt;&gt;""),"TXS"&amp;TEXT(COUNTIFS($B$2:$B4170,"&lt;&gt;",$C$2:$C4170,"&lt;&gt;",$D$2:$D4170,"&lt;&gt;",$E$2:$E4170,"&lt;&gt;"),"00000"),""))</f>
        <v/>
      </c>
      <c r="N4170" s="22"/>
    </row>
    <row r="4171" spans="1:14" x14ac:dyDescent="0.3">
      <c r="A4171" s="15" t="str">
        <f>IF(COUNTA($B4171:$E4171,$K4171)=0,"",IF(AND($B4171&lt;&gt;"",$C4171&lt;&gt;"",$D4171&lt;&gt;"",$E4171&lt;&gt;""),"TXS"&amp;TEXT(COUNTIFS($B$2:$B4171,"&lt;&gt;",$C$2:$C4171,"&lt;&gt;",$D$2:$D4171,"&lt;&gt;",$E$2:$E4171,"&lt;&gt;"),"00000"),""))</f>
        <v/>
      </c>
      <c r="N4171" s="22"/>
    </row>
    <row r="4172" spans="1:14" x14ac:dyDescent="0.3">
      <c r="A4172" s="15" t="str">
        <f>IF(COUNTA($B4172:$E4172,$K4172)=0,"",IF(AND($B4172&lt;&gt;"",$C4172&lt;&gt;"",$D4172&lt;&gt;"",$E4172&lt;&gt;""),"TXS"&amp;TEXT(COUNTIFS($B$2:$B4172,"&lt;&gt;",$C$2:$C4172,"&lt;&gt;",$D$2:$D4172,"&lt;&gt;",$E$2:$E4172,"&lt;&gt;"),"00000"),""))</f>
        <v/>
      </c>
      <c r="N4172" s="22"/>
    </row>
    <row r="4173" spans="1:14" x14ac:dyDescent="0.3">
      <c r="A4173" s="15" t="str">
        <f>IF(COUNTA($B4173:$E4173,$K4173)=0,"",IF(AND($B4173&lt;&gt;"",$C4173&lt;&gt;"",$D4173&lt;&gt;"",$E4173&lt;&gt;""),"TXS"&amp;TEXT(COUNTIFS($B$2:$B4173,"&lt;&gt;",$C$2:$C4173,"&lt;&gt;",$D$2:$D4173,"&lt;&gt;",$E$2:$E4173,"&lt;&gt;"),"00000"),""))</f>
        <v/>
      </c>
      <c r="N4173" s="22"/>
    </row>
    <row r="4174" spans="1:14" x14ac:dyDescent="0.3">
      <c r="A4174" s="15" t="str">
        <f>IF(COUNTA($B4174:$E4174,$K4174)=0,"",IF(AND($B4174&lt;&gt;"",$C4174&lt;&gt;"",$D4174&lt;&gt;"",$E4174&lt;&gt;""),"TXS"&amp;TEXT(COUNTIFS($B$2:$B4174,"&lt;&gt;",$C$2:$C4174,"&lt;&gt;",$D$2:$D4174,"&lt;&gt;",$E$2:$E4174,"&lt;&gt;"),"00000"),""))</f>
        <v/>
      </c>
      <c r="N4174" s="22"/>
    </row>
    <row r="4175" spans="1:14" x14ac:dyDescent="0.3">
      <c r="A4175" s="15" t="str">
        <f>IF(COUNTA($B4175:$E4175,$K4175)=0,"",IF(AND($B4175&lt;&gt;"",$C4175&lt;&gt;"",$D4175&lt;&gt;"",$E4175&lt;&gt;""),"TXS"&amp;TEXT(COUNTIFS($B$2:$B4175,"&lt;&gt;",$C$2:$C4175,"&lt;&gt;",$D$2:$D4175,"&lt;&gt;",$E$2:$E4175,"&lt;&gt;"),"00000"),""))</f>
        <v/>
      </c>
      <c r="N4175" s="22"/>
    </row>
    <row r="4176" spans="1:14" x14ac:dyDescent="0.3">
      <c r="A4176" s="15" t="str">
        <f>IF(COUNTA($B4176:$E4176,$K4176)=0,"",IF(AND($B4176&lt;&gt;"",$C4176&lt;&gt;"",$D4176&lt;&gt;"",$E4176&lt;&gt;""),"TXS"&amp;TEXT(COUNTIFS($B$2:$B4176,"&lt;&gt;",$C$2:$C4176,"&lt;&gt;",$D$2:$D4176,"&lt;&gt;",$E$2:$E4176,"&lt;&gt;"),"00000"),""))</f>
        <v/>
      </c>
      <c r="N4176" s="22"/>
    </row>
    <row r="4177" spans="1:14" x14ac:dyDescent="0.3">
      <c r="A4177" s="15" t="str">
        <f>IF(COUNTA($B4177:$E4177,$K4177)=0,"",IF(AND($B4177&lt;&gt;"",$C4177&lt;&gt;"",$D4177&lt;&gt;"",$E4177&lt;&gt;""),"TXS"&amp;TEXT(COUNTIFS($B$2:$B4177,"&lt;&gt;",$C$2:$C4177,"&lt;&gt;",$D$2:$D4177,"&lt;&gt;",$E$2:$E4177,"&lt;&gt;"),"00000"),""))</f>
        <v/>
      </c>
      <c r="N4177" s="22"/>
    </row>
    <row r="4178" spans="1:14" x14ac:dyDescent="0.3">
      <c r="A4178" s="15" t="str">
        <f>IF(COUNTA($B4178:$E4178,$K4178)=0,"",IF(AND($B4178&lt;&gt;"",$C4178&lt;&gt;"",$D4178&lt;&gt;"",$E4178&lt;&gt;""),"TXS"&amp;TEXT(COUNTIFS($B$2:$B4178,"&lt;&gt;",$C$2:$C4178,"&lt;&gt;",$D$2:$D4178,"&lt;&gt;",$E$2:$E4178,"&lt;&gt;"),"00000"),""))</f>
        <v/>
      </c>
      <c r="N4178" s="22"/>
    </row>
    <row r="4179" spans="1:14" x14ac:dyDescent="0.3">
      <c r="A4179" s="15" t="str">
        <f>IF(COUNTA($B4179:$E4179,$K4179)=0,"",IF(AND($B4179&lt;&gt;"",$C4179&lt;&gt;"",$D4179&lt;&gt;"",$E4179&lt;&gt;""),"TXS"&amp;TEXT(COUNTIFS($B$2:$B4179,"&lt;&gt;",$C$2:$C4179,"&lt;&gt;",$D$2:$D4179,"&lt;&gt;",$E$2:$E4179,"&lt;&gt;"),"00000"),""))</f>
        <v/>
      </c>
      <c r="N4179" s="22"/>
    </row>
    <row r="4180" spans="1:14" x14ac:dyDescent="0.3">
      <c r="A4180" s="15" t="str">
        <f>IF(COUNTA($B4180:$E4180,$K4180)=0,"",IF(AND($B4180&lt;&gt;"",$C4180&lt;&gt;"",$D4180&lt;&gt;"",$E4180&lt;&gt;""),"TXS"&amp;TEXT(COUNTIFS($B$2:$B4180,"&lt;&gt;",$C$2:$C4180,"&lt;&gt;",$D$2:$D4180,"&lt;&gt;",$E$2:$E4180,"&lt;&gt;"),"00000"),""))</f>
        <v/>
      </c>
      <c r="N4180" s="22"/>
    </row>
    <row r="4181" spans="1:14" x14ac:dyDescent="0.3">
      <c r="A4181" s="15" t="str">
        <f>IF(COUNTA($B4181:$E4181,$K4181)=0,"",IF(AND($B4181&lt;&gt;"",$C4181&lt;&gt;"",$D4181&lt;&gt;"",$E4181&lt;&gt;""),"TXS"&amp;TEXT(COUNTIFS($B$2:$B4181,"&lt;&gt;",$C$2:$C4181,"&lt;&gt;",$D$2:$D4181,"&lt;&gt;",$E$2:$E4181,"&lt;&gt;"),"00000"),""))</f>
        <v/>
      </c>
      <c r="N4181" s="22"/>
    </row>
    <row r="4182" spans="1:14" x14ac:dyDescent="0.3">
      <c r="A4182" s="15" t="str">
        <f>IF(COUNTA($B4182:$E4182,$K4182)=0,"",IF(AND($B4182&lt;&gt;"",$C4182&lt;&gt;"",$D4182&lt;&gt;"",$E4182&lt;&gt;""),"TXS"&amp;TEXT(COUNTIFS($B$2:$B4182,"&lt;&gt;",$C$2:$C4182,"&lt;&gt;",$D$2:$D4182,"&lt;&gt;",$E$2:$E4182,"&lt;&gt;"),"00000"),""))</f>
        <v/>
      </c>
      <c r="N4182" s="22"/>
    </row>
    <row r="4183" spans="1:14" x14ac:dyDescent="0.3">
      <c r="A4183" s="15" t="str">
        <f>IF(COUNTA($B4183:$E4183,$K4183)=0,"",IF(AND($B4183&lt;&gt;"",$C4183&lt;&gt;"",$D4183&lt;&gt;"",$E4183&lt;&gt;""),"TXS"&amp;TEXT(COUNTIFS($B$2:$B4183,"&lt;&gt;",$C$2:$C4183,"&lt;&gt;",$D$2:$D4183,"&lt;&gt;",$E$2:$E4183,"&lt;&gt;"),"00000"),""))</f>
        <v/>
      </c>
      <c r="N4183" s="22"/>
    </row>
    <row r="4184" spans="1:14" x14ac:dyDescent="0.3">
      <c r="A4184" s="15" t="str">
        <f>IF(COUNTA($B4184:$E4184,$K4184)=0,"",IF(AND($B4184&lt;&gt;"",$C4184&lt;&gt;"",$D4184&lt;&gt;"",$E4184&lt;&gt;""),"TXS"&amp;TEXT(COUNTIFS($B$2:$B4184,"&lt;&gt;",$C$2:$C4184,"&lt;&gt;",$D$2:$D4184,"&lt;&gt;",$E$2:$E4184,"&lt;&gt;"),"00000"),""))</f>
        <v/>
      </c>
      <c r="N4184" s="22"/>
    </row>
    <row r="4185" spans="1:14" x14ac:dyDescent="0.3">
      <c r="A4185" s="15" t="str">
        <f>IF(COUNTA($B4185:$E4185,$K4185)=0,"",IF(AND($B4185&lt;&gt;"",$C4185&lt;&gt;"",$D4185&lt;&gt;"",$E4185&lt;&gt;""),"TXS"&amp;TEXT(COUNTIFS($B$2:$B4185,"&lt;&gt;",$C$2:$C4185,"&lt;&gt;",$D$2:$D4185,"&lt;&gt;",$E$2:$E4185,"&lt;&gt;"),"00000"),""))</f>
        <v/>
      </c>
      <c r="N4185" s="22"/>
    </row>
    <row r="4186" spans="1:14" x14ac:dyDescent="0.3">
      <c r="A4186" s="15" t="str">
        <f>IF(COUNTA($B4186:$E4186,$K4186)=0,"",IF(AND($B4186&lt;&gt;"",$C4186&lt;&gt;"",$D4186&lt;&gt;"",$E4186&lt;&gt;""),"TXS"&amp;TEXT(COUNTIFS($B$2:$B4186,"&lt;&gt;",$C$2:$C4186,"&lt;&gt;",$D$2:$D4186,"&lt;&gt;",$E$2:$E4186,"&lt;&gt;"),"00000"),""))</f>
        <v/>
      </c>
      <c r="N4186" s="22"/>
    </row>
    <row r="4187" spans="1:14" x14ac:dyDescent="0.3">
      <c r="A4187" s="15" t="str">
        <f>IF(COUNTA($B4187:$E4187,$K4187)=0,"",IF(AND($B4187&lt;&gt;"",$C4187&lt;&gt;"",$D4187&lt;&gt;"",$E4187&lt;&gt;""),"TXS"&amp;TEXT(COUNTIFS($B$2:$B4187,"&lt;&gt;",$C$2:$C4187,"&lt;&gt;",$D$2:$D4187,"&lt;&gt;",$E$2:$E4187,"&lt;&gt;"),"00000"),""))</f>
        <v/>
      </c>
      <c r="N4187" s="22"/>
    </row>
    <row r="4188" spans="1:14" x14ac:dyDescent="0.3">
      <c r="A4188" s="15" t="str">
        <f>IF(COUNTA($B4188:$E4188,$K4188)=0,"",IF(AND($B4188&lt;&gt;"",$C4188&lt;&gt;"",$D4188&lt;&gt;"",$E4188&lt;&gt;""),"TXS"&amp;TEXT(COUNTIFS($B$2:$B4188,"&lt;&gt;",$C$2:$C4188,"&lt;&gt;",$D$2:$D4188,"&lt;&gt;",$E$2:$E4188,"&lt;&gt;"),"00000"),""))</f>
        <v/>
      </c>
      <c r="N4188" s="22"/>
    </row>
    <row r="4189" spans="1:14" x14ac:dyDescent="0.3">
      <c r="A4189" s="15" t="str">
        <f>IF(COUNTA($B4189:$E4189,$K4189)=0,"",IF(AND($B4189&lt;&gt;"",$C4189&lt;&gt;"",$D4189&lt;&gt;"",$E4189&lt;&gt;""),"TXS"&amp;TEXT(COUNTIFS($B$2:$B4189,"&lt;&gt;",$C$2:$C4189,"&lt;&gt;",$D$2:$D4189,"&lt;&gt;",$E$2:$E4189,"&lt;&gt;"),"00000"),""))</f>
        <v/>
      </c>
      <c r="N4189" s="22"/>
    </row>
    <row r="4190" spans="1:14" x14ac:dyDescent="0.3">
      <c r="A4190" s="15" t="str">
        <f>IF(COUNTA($B4190:$E4190,$K4190)=0,"",IF(AND($B4190&lt;&gt;"",$C4190&lt;&gt;"",$D4190&lt;&gt;"",$E4190&lt;&gt;""),"TXS"&amp;TEXT(COUNTIFS($B$2:$B4190,"&lt;&gt;",$C$2:$C4190,"&lt;&gt;",$D$2:$D4190,"&lt;&gt;",$E$2:$E4190,"&lt;&gt;"),"00000"),""))</f>
        <v/>
      </c>
      <c r="N4190" s="22"/>
    </row>
    <row r="4191" spans="1:14" x14ac:dyDescent="0.3">
      <c r="A4191" s="15" t="str">
        <f>IF(COUNTA($B4191:$E4191,$K4191)=0,"",IF(AND($B4191&lt;&gt;"",$C4191&lt;&gt;"",$D4191&lt;&gt;"",$E4191&lt;&gt;""),"TXS"&amp;TEXT(COUNTIFS($B$2:$B4191,"&lt;&gt;",$C$2:$C4191,"&lt;&gt;",$D$2:$D4191,"&lt;&gt;",$E$2:$E4191,"&lt;&gt;"),"00000"),""))</f>
        <v/>
      </c>
      <c r="N4191" s="22"/>
    </row>
    <row r="4192" spans="1:14" x14ac:dyDescent="0.3">
      <c r="A4192" s="15" t="str">
        <f>IF(COUNTA($B4192:$E4192,$K4192)=0,"",IF(AND($B4192&lt;&gt;"",$C4192&lt;&gt;"",$D4192&lt;&gt;"",$E4192&lt;&gt;""),"TXS"&amp;TEXT(COUNTIFS($B$2:$B4192,"&lt;&gt;",$C$2:$C4192,"&lt;&gt;",$D$2:$D4192,"&lt;&gt;",$E$2:$E4192,"&lt;&gt;"),"00000"),""))</f>
        <v/>
      </c>
      <c r="N4192" s="22"/>
    </row>
    <row r="4193" spans="1:14" x14ac:dyDescent="0.3">
      <c r="A4193" s="15" t="str">
        <f>IF(COUNTA($B4193:$E4193,$K4193)=0,"",IF(AND($B4193&lt;&gt;"",$C4193&lt;&gt;"",$D4193&lt;&gt;"",$E4193&lt;&gt;""),"TXS"&amp;TEXT(COUNTIFS($B$2:$B4193,"&lt;&gt;",$C$2:$C4193,"&lt;&gt;",$D$2:$D4193,"&lt;&gt;",$E$2:$E4193,"&lt;&gt;"),"00000"),""))</f>
        <v/>
      </c>
      <c r="N4193" s="22"/>
    </row>
    <row r="4194" spans="1:14" x14ac:dyDescent="0.3">
      <c r="A4194" s="15" t="str">
        <f>IF(COUNTA($B4194:$E4194,$K4194)=0,"",IF(AND($B4194&lt;&gt;"",$C4194&lt;&gt;"",$D4194&lt;&gt;"",$E4194&lt;&gt;""),"TXS"&amp;TEXT(COUNTIFS($B$2:$B4194,"&lt;&gt;",$C$2:$C4194,"&lt;&gt;",$D$2:$D4194,"&lt;&gt;",$E$2:$E4194,"&lt;&gt;"),"00000"),""))</f>
        <v/>
      </c>
      <c r="N4194" s="22"/>
    </row>
    <row r="4195" spans="1:14" x14ac:dyDescent="0.3">
      <c r="A4195" s="15" t="str">
        <f>IF(COUNTA($B4195:$E4195,$K4195)=0,"",IF(AND($B4195&lt;&gt;"",$C4195&lt;&gt;"",$D4195&lt;&gt;"",$E4195&lt;&gt;""),"TXS"&amp;TEXT(COUNTIFS($B$2:$B4195,"&lt;&gt;",$C$2:$C4195,"&lt;&gt;",$D$2:$D4195,"&lt;&gt;",$E$2:$E4195,"&lt;&gt;"),"00000"),""))</f>
        <v/>
      </c>
      <c r="N4195" s="22"/>
    </row>
    <row r="4196" spans="1:14" x14ac:dyDescent="0.3">
      <c r="A4196" s="15" t="str">
        <f>IF(COUNTA($B4196:$E4196,$K4196)=0,"",IF(AND($B4196&lt;&gt;"",$C4196&lt;&gt;"",$D4196&lt;&gt;"",$E4196&lt;&gt;""),"TXS"&amp;TEXT(COUNTIFS($B$2:$B4196,"&lt;&gt;",$C$2:$C4196,"&lt;&gt;",$D$2:$D4196,"&lt;&gt;",$E$2:$E4196,"&lt;&gt;"),"00000"),""))</f>
        <v/>
      </c>
      <c r="N4196" s="22"/>
    </row>
    <row r="4197" spans="1:14" x14ac:dyDescent="0.3">
      <c r="A4197" s="15" t="str">
        <f>IF(COUNTA($B4197:$E4197,$K4197)=0,"",IF(AND($B4197&lt;&gt;"",$C4197&lt;&gt;"",$D4197&lt;&gt;"",$E4197&lt;&gt;""),"TXS"&amp;TEXT(COUNTIFS($B$2:$B4197,"&lt;&gt;",$C$2:$C4197,"&lt;&gt;",$D$2:$D4197,"&lt;&gt;",$E$2:$E4197,"&lt;&gt;"),"00000"),""))</f>
        <v/>
      </c>
      <c r="N4197" s="22"/>
    </row>
    <row r="4198" spans="1:14" x14ac:dyDescent="0.3">
      <c r="A4198" s="15" t="str">
        <f>IF(COUNTA($B4198:$E4198,$K4198)=0,"",IF(AND($B4198&lt;&gt;"",$C4198&lt;&gt;"",$D4198&lt;&gt;"",$E4198&lt;&gt;""),"TXS"&amp;TEXT(COUNTIFS($B$2:$B4198,"&lt;&gt;",$C$2:$C4198,"&lt;&gt;",$D$2:$D4198,"&lt;&gt;",$E$2:$E4198,"&lt;&gt;"),"00000"),""))</f>
        <v/>
      </c>
      <c r="N4198" s="22"/>
    </row>
    <row r="4199" spans="1:14" x14ac:dyDescent="0.3">
      <c r="A4199" s="15" t="str">
        <f>IF(COUNTA($B4199:$E4199,$K4199)=0,"",IF(AND($B4199&lt;&gt;"",$C4199&lt;&gt;"",$D4199&lt;&gt;"",$E4199&lt;&gt;""),"TXS"&amp;TEXT(COUNTIFS($B$2:$B4199,"&lt;&gt;",$C$2:$C4199,"&lt;&gt;",$D$2:$D4199,"&lt;&gt;",$E$2:$E4199,"&lt;&gt;"),"00000"),""))</f>
        <v/>
      </c>
      <c r="N4199" s="22"/>
    </row>
    <row r="4200" spans="1:14" x14ac:dyDescent="0.3">
      <c r="A4200" s="15" t="str">
        <f>IF(COUNTA($B4200:$E4200,$K4200)=0,"",IF(AND($B4200&lt;&gt;"",$C4200&lt;&gt;"",$D4200&lt;&gt;"",$E4200&lt;&gt;""),"TXS"&amp;TEXT(COUNTIFS($B$2:$B4200,"&lt;&gt;",$C$2:$C4200,"&lt;&gt;",$D$2:$D4200,"&lt;&gt;",$E$2:$E4200,"&lt;&gt;"),"00000"),""))</f>
        <v/>
      </c>
      <c r="N4200" s="22"/>
    </row>
    <row r="4201" spans="1:14" x14ac:dyDescent="0.3">
      <c r="A4201" s="15" t="str">
        <f>IF(COUNTA($B4201:$E4201,$K4201)=0,"",IF(AND($B4201&lt;&gt;"",$C4201&lt;&gt;"",$D4201&lt;&gt;"",$E4201&lt;&gt;""),"TXS"&amp;TEXT(COUNTIFS($B$2:$B4201,"&lt;&gt;",$C$2:$C4201,"&lt;&gt;",$D$2:$D4201,"&lt;&gt;",$E$2:$E4201,"&lt;&gt;"),"00000"),""))</f>
        <v/>
      </c>
      <c r="N4201" s="22"/>
    </row>
    <row r="4202" spans="1:14" x14ac:dyDescent="0.3">
      <c r="A4202" s="15" t="str">
        <f>IF(COUNTA($B4202:$E4202,$K4202)=0,"",IF(AND($B4202&lt;&gt;"",$C4202&lt;&gt;"",$D4202&lt;&gt;"",$E4202&lt;&gt;""),"TXS"&amp;TEXT(COUNTIFS($B$2:$B4202,"&lt;&gt;",$C$2:$C4202,"&lt;&gt;",$D$2:$D4202,"&lt;&gt;",$E$2:$E4202,"&lt;&gt;"),"00000"),""))</f>
        <v/>
      </c>
      <c r="N4202" s="22"/>
    </row>
    <row r="4203" spans="1:14" x14ac:dyDescent="0.3">
      <c r="A4203" s="15" t="str">
        <f>IF(COUNTA($B4203:$E4203,$K4203)=0,"",IF(AND($B4203&lt;&gt;"",$C4203&lt;&gt;"",$D4203&lt;&gt;"",$E4203&lt;&gt;""),"TXS"&amp;TEXT(COUNTIFS($B$2:$B4203,"&lt;&gt;",$C$2:$C4203,"&lt;&gt;",$D$2:$D4203,"&lt;&gt;",$E$2:$E4203,"&lt;&gt;"),"00000"),""))</f>
        <v/>
      </c>
      <c r="N4203" s="22"/>
    </row>
    <row r="4204" spans="1:14" x14ac:dyDescent="0.3">
      <c r="A4204" s="15" t="str">
        <f>IF(COUNTA($B4204:$E4204,$K4204)=0,"",IF(AND($B4204&lt;&gt;"",$C4204&lt;&gt;"",$D4204&lt;&gt;"",$E4204&lt;&gt;""),"TXS"&amp;TEXT(COUNTIFS($B$2:$B4204,"&lt;&gt;",$C$2:$C4204,"&lt;&gt;",$D$2:$D4204,"&lt;&gt;",$E$2:$E4204,"&lt;&gt;"),"00000"),""))</f>
        <v/>
      </c>
      <c r="N4204" s="22"/>
    </row>
    <row r="4205" spans="1:14" x14ac:dyDescent="0.3">
      <c r="A4205" s="15" t="str">
        <f>IF(COUNTA($B4205:$E4205,$K4205)=0,"",IF(AND($B4205&lt;&gt;"",$C4205&lt;&gt;"",$D4205&lt;&gt;"",$E4205&lt;&gt;""),"TXS"&amp;TEXT(COUNTIFS($B$2:$B4205,"&lt;&gt;",$C$2:$C4205,"&lt;&gt;",$D$2:$D4205,"&lt;&gt;",$E$2:$E4205,"&lt;&gt;"),"00000"),""))</f>
        <v/>
      </c>
      <c r="N4205" s="22"/>
    </row>
    <row r="4206" spans="1:14" x14ac:dyDescent="0.3">
      <c r="A4206" s="15" t="str">
        <f>IF(COUNTA($B4206:$E4206,$K4206)=0,"",IF(AND($B4206&lt;&gt;"",$C4206&lt;&gt;"",$D4206&lt;&gt;"",$E4206&lt;&gt;""),"TXS"&amp;TEXT(COUNTIFS($B$2:$B4206,"&lt;&gt;",$C$2:$C4206,"&lt;&gt;",$D$2:$D4206,"&lt;&gt;",$E$2:$E4206,"&lt;&gt;"),"00000"),""))</f>
        <v/>
      </c>
      <c r="N4206" s="22"/>
    </row>
    <row r="4207" spans="1:14" x14ac:dyDescent="0.3">
      <c r="A4207" s="15" t="str">
        <f>IF(COUNTA($B4207:$E4207,$K4207)=0,"",IF(AND($B4207&lt;&gt;"",$C4207&lt;&gt;"",$D4207&lt;&gt;"",$E4207&lt;&gt;""),"TXS"&amp;TEXT(COUNTIFS($B$2:$B4207,"&lt;&gt;",$C$2:$C4207,"&lt;&gt;",$D$2:$D4207,"&lt;&gt;",$E$2:$E4207,"&lt;&gt;"),"00000"),""))</f>
        <v/>
      </c>
      <c r="N4207" s="22"/>
    </row>
    <row r="4208" spans="1:14" x14ac:dyDescent="0.3">
      <c r="A4208" s="15" t="str">
        <f>IF(COUNTA($B4208:$E4208,$K4208)=0,"",IF(AND($B4208&lt;&gt;"",$C4208&lt;&gt;"",$D4208&lt;&gt;"",$E4208&lt;&gt;""),"TXS"&amp;TEXT(COUNTIFS($B$2:$B4208,"&lt;&gt;",$C$2:$C4208,"&lt;&gt;",$D$2:$D4208,"&lt;&gt;",$E$2:$E4208,"&lt;&gt;"),"00000"),""))</f>
        <v/>
      </c>
      <c r="N4208" s="22"/>
    </row>
    <row r="4209" spans="1:14" x14ac:dyDescent="0.3">
      <c r="A4209" s="15" t="str">
        <f>IF(COUNTA($B4209:$E4209,$K4209)=0,"",IF(AND($B4209&lt;&gt;"",$C4209&lt;&gt;"",$D4209&lt;&gt;"",$E4209&lt;&gt;""),"TXS"&amp;TEXT(COUNTIFS($B$2:$B4209,"&lt;&gt;",$C$2:$C4209,"&lt;&gt;",$D$2:$D4209,"&lt;&gt;",$E$2:$E4209,"&lt;&gt;"),"00000"),""))</f>
        <v/>
      </c>
      <c r="N4209" s="22"/>
    </row>
    <row r="4210" spans="1:14" x14ac:dyDescent="0.3">
      <c r="A4210" s="15" t="str">
        <f>IF(COUNTA($B4210:$E4210,$K4210)=0,"",IF(AND($B4210&lt;&gt;"",$C4210&lt;&gt;"",$D4210&lt;&gt;"",$E4210&lt;&gt;""),"TXS"&amp;TEXT(COUNTIFS($B$2:$B4210,"&lt;&gt;",$C$2:$C4210,"&lt;&gt;",$D$2:$D4210,"&lt;&gt;",$E$2:$E4210,"&lt;&gt;"),"00000"),""))</f>
        <v/>
      </c>
      <c r="N4210" s="22"/>
    </row>
    <row r="4211" spans="1:14" x14ac:dyDescent="0.3">
      <c r="A4211" s="15" t="str">
        <f>IF(COUNTA($B4211:$E4211,$K4211)=0,"",IF(AND($B4211&lt;&gt;"",$C4211&lt;&gt;"",$D4211&lt;&gt;"",$E4211&lt;&gt;""),"TXS"&amp;TEXT(COUNTIFS($B$2:$B4211,"&lt;&gt;",$C$2:$C4211,"&lt;&gt;",$D$2:$D4211,"&lt;&gt;",$E$2:$E4211,"&lt;&gt;"),"00000"),""))</f>
        <v/>
      </c>
      <c r="N4211" s="22"/>
    </row>
    <row r="4212" spans="1:14" x14ac:dyDescent="0.3">
      <c r="A4212" s="15" t="str">
        <f>IF(COUNTA($B4212:$E4212,$K4212)=0,"",IF(AND($B4212&lt;&gt;"",$C4212&lt;&gt;"",$D4212&lt;&gt;"",$E4212&lt;&gt;""),"TXS"&amp;TEXT(COUNTIFS($B$2:$B4212,"&lt;&gt;",$C$2:$C4212,"&lt;&gt;",$D$2:$D4212,"&lt;&gt;",$E$2:$E4212,"&lt;&gt;"),"00000"),""))</f>
        <v/>
      </c>
      <c r="N4212" s="22"/>
    </row>
    <row r="4213" spans="1:14" x14ac:dyDescent="0.3">
      <c r="A4213" s="15" t="str">
        <f>IF(COUNTA($B4213:$E4213,$K4213)=0,"",IF(AND($B4213&lt;&gt;"",$C4213&lt;&gt;"",$D4213&lt;&gt;"",$E4213&lt;&gt;""),"TXS"&amp;TEXT(COUNTIFS($B$2:$B4213,"&lt;&gt;",$C$2:$C4213,"&lt;&gt;",$D$2:$D4213,"&lt;&gt;",$E$2:$E4213,"&lt;&gt;"),"00000"),""))</f>
        <v/>
      </c>
      <c r="N4213" s="22"/>
    </row>
    <row r="4214" spans="1:14" x14ac:dyDescent="0.3">
      <c r="A4214" s="15" t="str">
        <f>IF(COUNTA($B4214:$E4214,$K4214)=0,"",IF(AND($B4214&lt;&gt;"",$C4214&lt;&gt;"",$D4214&lt;&gt;"",$E4214&lt;&gt;""),"TXS"&amp;TEXT(COUNTIFS($B$2:$B4214,"&lt;&gt;",$C$2:$C4214,"&lt;&gt;",$D$2:$D4214,"&lt;&gt;",$E$2:$E4214,"&lt;&gt;"),"00000"),""))</f>
        <v/>
      </c>
      <c r="N4214" s="22"/>
    </row>
    <row r="4215" spans="1:14" x14ac:dyDescent="0.3">
      <c r="A4215" s="15" t="str">
        <f>IF(COUNTA($B4215:$E4215,$K4215)=0,"",IF(AND($B4215&lt;&gt;"",$C4215&lt;&gt;"",$D4215&lt;&gt;"",$E4215&lt;&gt;""),"TXS"&amp;TEXT(COUNTIFS($B$2:$B4215,"&lt;&gt;",$C$2:$C4215,"&lt;&gt;",$D$2:$D4215,"&lt;&gt;",$E$2:$E4215,"&lt;&gt;"),"00000"),""))</f>
        <v/>
      </c>
      <c r="N4215" s="22"/>
    </row>
    <row r="4216" spans="1:14" x14ac:dyDescent="0.3">
      <c r="A4216" s="15" t="str">
        <f>IF(COUNTA($B4216:$E4216,$K4216)=0,"",IF(AND($B4216&lt;&gt;"",$C4216&lt;&gt;"",$D4216&lt;&gt;"",$E4216&lt;&gt;""),"TXS"&amp;TEXT(COUNTIFS($B$2:$B4216,"&lt;&gt;",$C$2:$C4216,"&lt;&gt;",$D$2:$D4216,"&lt;&gt;",$E$2:$E4216,"&lt;&gt;"),"00000"),""))</f>
        <v/>
      </c>
      <c r="N4216" s="22"/>
    </row>
    <row r="4217" spans="1:14" x14ac:dyDescent="0.3">
      <c r="A4217" s="15" t="str">
        <f>IF(COUNTA($B4217:$E4217,$K4217)=0,"",IF(AND($B4217&lt;&gt;"",$C4217&lt;&gt;"",$D4217&lt;&gt;"",$E4217&lt;&gt;""),"TXS"&amp;TEXT(COUNTIFS($B$2:$B4217,"&lt;&gt;",$C$2:$C4217,"&lt;&gt;",$D$2:$D4217,"&lt;&gt;",$E$2:$E4217,"&lt;&gt;"),"00000"),""))</f>
        <v/>
      </c>
      <c r="N4217" s="22"/>
    </row>
    <row r="4218" spans="1:14" x14ac:dyDescent="0.3">
      <c r="A4218" s="15" t="str">
        <f>IF(COUNTA($B4218:$E4218,$K4218)=0,"",IF(AND($B4218&lt;&gt;"",$C4218&lt;&gt;"",$D4218&lt;&gt;"",$E4218&lt;&gt;""),"TXS"&amp;TEXT(COUNTIFS($B$2:$B4218,"&lt;&gt;",$C$2:$C4218,"&lt;&gt;",$D$2:$D4218,"&lt;&gt;",$E$2:$E4218,"&lt;&gt;"),"00000"),""))</f>
        <v/>
      </c>
      <c r="N4218" s="22"/>
    </row>
    <row r="4219" spans="1:14" x14ac:dyDescent="0.3">
      <c r="A4219" s="15" t="str">
        <f>IF(COUNTA($B4219:$E4219,$K4219)=0,"",IF(AND($B4219&lt;&gt;"",$C4219&lt;&gt;"",$D4219&lt;&gt;"",$E4219&lt;&gt;""),"TXS"&amp;TEXT(COUNTIFS($B$2:$B4219,"&lt;&gt;",$C$2:$C4219,"&lt;&gt;",$D$2:$D4219,"&lt;&gt;",$E$2:$E4219,"&lt;&gt;"),"00000"),""))</f>
        <v/>
      </c>
      <c r="N4219" s="22"/>
    </row>
    <row r="4220" spans="1:14" x14ac:dyDescent="0.3">
      <c r="A4220" s="15" t="str">
        <f>IF(COUNTA($B4220:$E4220,$K4220)=0,"",IF(AND($B4220&lt;&gt;"",$C4220&lt;&gt;"",$D4220&lt;&gt;"",$E4220&lt;&gt;""),"TXS"&amp;TEXT(COUNTIFS($B$2:$B4220,"&lt;&gt;",$C$2:$C4220,"&lt;&gt;",$D$2:$D4220,"&lt;&gt;",$E$2:$E4220,"&lt;&gt;"),"00000"),""))</f>
        <v/>
      </c>
      <c r="N4220" s="22"/>
    </row>
    <row r="4221" spans="1:14" x14ac:dyDescent="0.3">
      <c r="A4221" s="15" t="str">
        <f>IF(COUNTA($B4221:$E4221,$K4221)=0,"",IF(AND($B4221&lt;&gt;"",$C4221&lt;&gt;"",$D4221&lt;&gt;"",$E4221&lt;&gt;""),"TXS"&amp;TEXT(COUNTIFS($B$2:$B4221,"&lt;&gt;",$C$2:$C4221,"&lt;&gt;",$D$2:$D4221,"&lt;&gt;",$E$2:$E4221,"&lt;&gt;"),"00000"),""))</f>
        <v/>
      </c>
      <c r="N4221" s="22"/>
    </row>
    <row r="4222" spans="1:14" x14ac:dyDescent="0.3">
      <c r="A4222" s="15" t="str">
        <f>IF(COUNTA($B4222:$E4222,$K4222)=0,"",IF(AND($B4222&lt;&gt;"",$C4222&lt;&gt;"",$D4222&lt;&gt;"",$E4222&lt;&gt;""),"TXS"&amp;TEXT(COUNTIFS($B$2:$B4222,"&lt;&gt;",$C$2:$C4222,"&lt;&gt;",$D$2:$D4222,"&lt;&gt;",$E$2:$E4222,"&lt;&gt;"),"00000"),""))</f>
        <v/>
      </c>
      <c r="N4222" s="22"/>
    </row>
    <row r="4223" spans="1:14" x14ac:dyDescent="0.3">
      <c r="A4223" s="15" t="str">
        <f>IF(COUNTA($B4223:$E4223,$K4223)=0,"",IF(AND($B4223&lt;&gt;"",$C4223&lt;&gt;"",$D4223&lt;&gt;"",$E4223&lt;&gt;""),"TXS"&amp;TEXT(COUNTIFS($B$2:$B4223,"&lt;&gt;",$C$2:$C4223,"&lt;&gt;",$D$2:$D4223,"&lt;&gt;",$E$2:$E4223,"&lt;&gt;"),"00000"),""))</f>
        <v/>
      </c>
      <c r="N4223" s="22"/>
    </row>
    <row r="4224" spans="1:14" x14ac:dyDescent="0.3">
      <c r="A4224" s="15" t="str">
        <f>IF(COUNTA($B4224:$E4224,$K4224)=0,"",IF(AND($B4224&lt;&gt;"",$C4224&lt;&gt;"",$D4224&lt;&gt;"",$E4224&lt;&gt;""),"TXS"&amp;TEXT(COUNTIFS($B$2:$B4224,"&lt;&gt;",$C$2:$C4224,"&lt;&gt;",$D$2:$D4224,"&lt;&gt;",$E$2:$E4224,"&lt;&gt;"),"00000"),""))</f>
        <v/>
      </c>
      <c r="N4224" s="22"/>
    </row>
    <row r="4225" spans="1:14" x14ac:dyDescent="0.3">
      <c r="A4225" s="15" t="str">
        <f>IF(COUNTA($B4225:$E4225,$K4225)=0,"",IF(AND($B4225&lt;&gt;"",$C4225&lt;&gt;"",$D4225&lt;&gt;"",$E4225&lt;&gt;""),"TXS"&amp;TEXT(COUNTIFS($B$2:$B4225,"&lt;&gt;",$C$2:$C4225,"&lt;&gt;",$D$2:$D4225,"&lt;&gt;",$E$2:$E4225,"&lt;&gt;"),"00000"),""))</f>
        <v/>
      </c>
      <c r="N4225" s="22"/>
    </row>
    <row r="4226" spans="1:14" x14ac:dyDescent="0.3">
      <c r="A4226" s="15" t="str">
        <f>IF(COUNTA($B4226:$E4226,$K4226)=0,"",IF(AND($B4226&lt;&gt;"",$C4226&lt;&gt;"",$D4226&lt;&gt;"",$E4226&lt;&gt;""),"TXS"&amp;TEXT(COUNTIFS($B$2:$B4226,"&lt;&gt;",$C$2:$C4226,"&lt;&gt;",$D$2:$D4226,"&lt;&gt;",$E$2:$E4226,"&lt;&gt;"),"00000"),""))</f>
        <v/>
      </c>
      <c r="N4226" s="22"/>
    </row>
    <row r="4227" spans="1:14" x14ac:dyDescent="0.3">
      <c r="A4227" s="15" t="str">
        <f>IF(COUNTA($B4227:$E4227,$K4227)=0,"",IF(AND($B4227&lt;&gt;"",$C4227&lt;&gt;"",$D4227&lt;&gt;"",$E4227&lt;&gt;""),"TXS"&amp;TEXT(COUNTIFS($B$2:$B4227,"&lt;&gt;",$C$2:$C4227,"&lt;&gt;",$D$2:$D4227,"&lt;&gt;",$E$2:$E4227,"&lt;&gt;"),"00000"),""))</f>
        <v/>
      </c>
      <c r="N4227" s="22"/>
    </row>
    <row r="4228" spans="1:14" x14ac:dyDescent="0.3">
      <c r="A4228" s="15" t="str">
        <f>IF(COUNTA($B4228:$E4228,$K4228)=0,"",IF(AND($B4228&lt;&gt;"",$C4228&lt;&gt;"",$D4228&lt;&gt;"",$E4228&lt;&gt;""),"TXS"&amp;TEXT(COUNTIFS($B$2:$B4228,"&lt;&gt;",$C$2:$C4228,"&lt;&gt;",$D$2:$D4228,"&lt;&gt;",$E$2:$E4228,"&lt;&gt;"),"00000"),""))</f>
        <v/>
      </c>
      <c r="N4228" s="22"/>
    </row>
    <row r="4229" spans="1:14" x14ac:dyDescent="0.3">
      <c r="A4229" s="15" t="str">
        <f>IF(COUNTA($B4229:$E4229,$K4229)=0,"",IF(AND($B4229&lt;&gt;"",$C4229&lt;&gt;"",$D4229&lt;&gt;"",$E4229&lt;&gt;""),"TXS"&amp;TEXT(COUNTIFS($B$2:$B4229,"&lt;&gt;",$C$2:$C4229,"&lt;&gt;",$D$2:$D4229,"&lt;&gt;",$E$2:$E4229,"&lt;&gt;"),"00000"),""))</f>
        <v/>
      </c>
      <c r="N4229" s="22"/>
    </row>
    <row r="4230" spans="1:14" x14ac:dyDescent="0.3">
      <c r="A4230" s="15" t="str">
        <f>IF(COUNTA($B4230:$E4230,$K4230)=0,"",IF(AND($B4230&lt;&gt;"",$C4230&lt;&gt;"",$D4230&lt;&gt;"",$E4230&lt;&gt;""),"TXS"&amp;TEXT(COUNTIFS($B$2:$B4230,"&lt;&gt;",$C$2:$C4230,"&lt;&gt;",$D$2:$D4230,"&lt;&gt;",$E$2:$E4230,"&lt;&gt;"),"00000"),""))</f>
        <v/>
      </c>
      <c r="N4230" s="22"/>
    </row>
    <row r="4231" spans="1:14" x14ac:dyDescent="0.3">
      <c r="A4231" s="15" t="str">
        <f>IF(COUNTA($B4231:$E4231,$K4231)=0,"",IF(AND($B4231&lt;&gt;"",$C4231&lt;&gt;"",$D4231&lt;&gt;"",$E4231&lt;&gt;""),"TXS"&amp;TEXT(COUNTIFS($B$2:$B4231,"&lt;&gt;",$C$2:$C4231,"&lt;&gt;",$D$2:$D4231,"&lt;&gt;",$E$2:$E4231,"&lt;&gt;"),"00000"),""))</f>
        <v/>
      </c>
      <c r="N4231" s="22"/>
    </row>
    <row r="4232" spans="1:14" x14ac:dyDescent="0.3">
      <c r="A4232" s="15" t="str">
        <f>IF(COUNTA($B4232:$E4232,$K4232)=0,"",IF(AND($B4232&lt;&gt;"",$C4232&lt;&gt;"",$D4232&lt;&gt;"",$E4232&lt;&gt;""),"TXS"&amp;TEXT(COUNTIFS($B$2:$B4232,"&lt;&gt;",$C$2:$C4232,"&lt;&gt;",$D$2:$D4232,"&lt;&gt;",$E$2:$E4232,"&lt;&gt;"),"00000"),""))</f>
        <v/>
      </c>
      <c r="N4232" s="22"/>
    </row>
    <row r="4233" spans="1:14" x14ac:dyDescent="0.3">
      <c r="A4233" s="15" t="str">
        <f>IF(COUNTA($B4233:$E4233,$K4233)=0,"",IF(AND($B4233&lt;&gt;"",$C4233&lt;&gt;"",$D4233&lt;&gt;"",$E4233&lt;&gt;""),"TXS"&amp;TEXT(COUNTIFS($B$2:$B4233,"&lt;&gt;",$C$2:$C4233,"&lt;&gt;",$D$2:$D4233,"&lt;&gt;",$E$2:$E4233,"&lt;&gt;"),"00000"),""))</f>
        <v/>
      </c>
      <c r="N4233" s="22"/>
    </row>
    <row r="4234" spans="1:14" x14ac:dyDescent="0.3">
      <c r="A4234" s="15" t="str">
        <f>IF(COUNTA($B4234:$E4234,$K4234)=0,"",IF(AND($B4234&lt;&gt;"",$C4234&lt;&gt;"",$D4234&lt;&gt;"",$E4234&lt;&gt;""),"TXS"&amp;TEXT(COUNTIFS($B$2:$B4234,"&lt;&gt;",$C$2:$C4234,"&lt;&gt;",$D$2:$D4234,"&lt;&gt;",$E$2:$E4234,"&lt;&gt;"),"00000"),""))</f>
        <v/>
      </c>
      <c r="N4234" s="22"/>
    </row>
    <row r="4235" spans="1:14" x14ac:dyDescent="0.3">
      <c r="A4235" s="15" t="str">
        <f>IF(COUNTA($B4235:$E4235,$K4235)=0,"",IF(AND($B4235&lt;&gt;"",$C4235&lt;&gt;"",$D4235&lt;&gt;"",$E4235&lt;&gt;""),"TXS"&amp;TEXT(COUNTIFS($B$2:$B4235,"&lt;&gt;",$C$2:$C4235,"&lt;&gt;",$D$2:$D4235,"&lt;&gt;",$E$2:$E4235,"&lt;&gt;"),"00000"),""))</f>
        <v/>
      </c>
      <c r="N4235" s="22"/>
    </row>
    <row r="4236" spans="1:14" x14ac:dyDescent="0.3">
      <c r="A4236" s="15" t="str">
        <f>IF(COUNTA($B4236:$E4236,$K4236)=0,"",IF(AND($B4236&lt;&gt;"",$C4236&lt;&gt;"",$D4236&lt;&gt;"",$E4236&lt;&gt;""),"TXS"&amp;TEXT(COUNTIFS($B$2:$B4236,"&lt;&gt;",$C$2:$C4236,"&lt;&gt;",$D$2:$D4236,"&lt;&gt;",$E$2:$E4236,"&lt;&gt;"),"00000"),""))</f>
        <v/>
      </c>
      <c r="N4236" s="22"/>
    </row>
    <row r="4237" spans="1:14" x14ac:dyDescent="0.3">
      <c r="A4237" s="15" t="str">
        <f>IF(COUNTA($B4237:$E4237,$K4237)=0,"",IF(AND($B4237&lt;&gt;"",$C4237&lt;&gt;"",$D4237&lt;&gt;"",$E4237&lt;&gt;""),"TXS"&amp;TEXT(COUNTIFS($B$2:$B4237,"&lt;&gt;",$C$2:$C4237,"&lt;&gt;",$D$2:$D4237,"&lt;&gt;",$E$2:$E4237,"&lt;&gt;"),"00000"),""))</f>
        <v/>
      </c>
      <c r="N4237" s="22"/>
    </row>
    <row r="4238" spans="1:14" x14ac:dyDescent="0.3">
      <c r="A4238" s="15" t="str">
        <f>IF(COUNTA($B4238:$E4238,$K4238)=0,"",IF(AND($B4238&lt;&gt;"",$C4238&lt;&gt;"",$D4238&lt;&gt;"",$E4238&lt;&gt;""),"TXS"&amp;TEXT(COUNTIFS($B$2:$B4238,"&lt;&gt;",$C$2:$C4238,"&lt;&gt;",$D$2:$D4238,"&lt;&gt;",$E$2:$E4238,"&lt;&gt;"),"00000"),""))</f>
        <v/>
      </c>
      <c r="N4238" s="22"/>
    </row>
    <row r="4239" spans="1:14" x14ac:dyDescent="0.3">
      <c r="A4239" s="15" t="str">
        <f>IF(COUNTA($B4239:$E4239,$K4239)=0,"",IF(AND($B4239&lt;&gt;"",$C4239&lt;&gt;"",$D4239&lt;&gt;"",$E4239&lt;&gt;""),"TXS"&amp;TEXT(COUNTIFS($B$2:$B4239,"&lt;&gt;",$C$2:$C4239,"&lt;&gt;",$D$2:$D4239,"&lt;&gt;",$E$2:$E4239,"&lt;&gt;"),"00000"),""))</f>
        <v/>
      </c>
      <c r="N4239" s="22"/>
    </row>
    <row r="4240" spans="1:14" x14ac:dyDescent="0.3">
      <c r="A4240" s="15" t="str">
        <f>IF(COUNTA($B4240:$E4240,$K4240)=0,"",IF(AND($B4240&lt;&gt;"",$C4240&lt;&gt;"",$D4240&lt;&gt;"",$E4240&lt;&gt;""),"TXS"&amp;TEXT(COUNTIFS($B$2:$B4240,"&lt;&gt;",$C$2:$C4240,"&lt;&gt;",$D$2:$D4240,"&lt;&gt;",$E$2:$E4240,"&lt;&gt;"),"00000"),""))</f>
        <v/>
      </c>
      <c r="N4240" s="22"/>
    </row>
    <row r="4241" spans="1:14" x14ac:dyDescent="0.3">
      <c r="A4241" s="15" t="str">
        <f>IF(COUNTA($B4241:$E4241,$K4241)=0,"",IF(AND($B4241&lt;&gt;"",$C4241&lt;&gt;"",$D4241&lt;&gt;"",$E4241&lt;&gt;""),"TXS"&amp;TEXT(COUNTIFS($B$2:$B4241,"&lt;&gt;",$C$2:$C4241,"&lt;&gt;",$D$2:$D4241,"&lt;&gt;",$E$2:$E4241,"&lt;&gt;"),"00000"),""))</f>
        <v/>
      </c>
      <c r="N4241" s="22"/>
    </row>
    <row r="4242" spans="1:14" x14ac:dyDescent="0.3">
      <c r="A4242" s="15" t="str">
        <f>IF(COUNTA($B4242:$E4242,$K4242)=0,"",IF(AND($B4242&lt;&gt;"",$C4242&lt;&gt;"",$D4242&lt;&gt;"",$E4242&lt;&gt;""),"TXS"&amp;TEXT(COUNTIFS($B$2:$B4242,"&lt;&gt;",$C$2:$C4242,"&lt;&gt;",$D$2:$D4242,"&lt;&gt;",$E$2:$E4242,"&lt;&gt;"),"00000"),""))</f>
        <v/>
      </c>
      <c r="N4242" s="22"/>
    </row>
    <row r="4243" spans="1:14" x14ac:dyDescent="0.3">
      <c r="A4243" s="15" t="str">
        <f>IF(COUNTA($B4243:$E4243,$K4243)=0,"",IF(AND($B4243&lt;&gt;"",$C4243&lt;&gt;"",$D4243&lt;&gt;"",$E4243&lt;&gt;""),"TXS"&amp;TEXT(COUNTIFS($B$2:$B4243,"&lt;&gt;",$C$2:$C4243,"&lt;&gt;",$D$2:$D4243,"&lt;&gt;",$E$2:$E4243,"&lt;&gt;"),"00000"),""))</f>
        <v/>
      </c>
      <c r="N4243" s="22"/>
    </row>
    <row r="4244" spans="1:14" x14ac:dyDescent="0.3">
      <c r="A4244" s="15" t="str">
        <f>IF(COUNTA($B4244:$E4244,$K4244)=0,"",IF(AND($B4244&lt;&gt;"",$C4244&lt;&gt;"",$D4244&lt;&gt;"",$E4244&lt;&gt;""),"TXS"&amp;TEXT(COUNTIFS($B$2:$B4244,"&lt;&gt;",$C$2:$C4244,"&lt;&gt;",$D$2:$D4244,"&lt;&gt;",$E$2:$E4244,"&lt;&gt;"),"00000"),""))</f>
        <v/>
      </c>
      <c r="N4244" s="22"/>
    </row>
    <row r="4245" spans="1:14" x14ac:dyDescent="0.3">
      <c r="A4245" s="15" t="str">
        <f>IF(COUNTA($B4245:$E4245,$K4245)=0,"",IF(AND($B4245&lt;&gt;"",$C4245&lt;&gt;"",$D4245&lt;&gt;"",$E4245&lt;&gt;""),"TXS"&amp;TEXT(COUNTIFS($B$2:$B4245,"&lt;&gt;",$C$2:$C4245,"&lt;&gt;",$D$2:$D4245,"&lt;&gt;",$E$2:$E4245,"&lt;&gt;"),"00000"),""))</f>
        <v/>
      </c>
      <c r="N4245" s="22"/>
    </row>
    <row r="4246" spans="1:14" x14ac:dyDescent="0.3">
      <c r="A4246" s="15" t="str">
        <f>IF(COUNTA($B4246:$E4246,$K4246)=0,"",IF(AND($B4246&lt;&gt;"",$C4246&lt;&gt;"",$D4246&lt;&gt;"",$E4246&lt;&gt;""),"TXS"&amp;TEXT(COUNTIFS($B$2:$B4246,"&lt;&gt;",$C$2:$C4246,"&lt;&gt;",$D$2:$D4246,"&lt;&gt;",$E$2:$E4246,"&lt;&gt;"),"00000"),""))</f>
        <v/>
      </c>
      <c r="N4246" s="22"/>
    </row>
    <row r="4247" spans="1:14" x14ac:dyDescent="0.3">
      <c r="A4247" s="15" t="str">
        <f>IF(COUNTA($B4247:$E4247,$K4247)=0,"",IF(AND($B4247&lt;&gt;"",$C4247&lt;&gt;"",$D4247&lt;&gt;"",$E4247&lt;&gt;""),"TXS"&amp;TEXT(COUNTIFS($B$2:$B4247,"&lt;&gt;",$C$2:$C4247,"&lt;&gt;",$D$2:$D4247,"&lt;&gt;",$E$2:$E4247,"&lt;&gt;"),"00000"),""))</f>
        <v/>
      </c>
      <c r="N4247" s="22"/>
    </row>
    <row r="4248" spans="1:14" x14ac:dyDescent="0.3">
      <c r="A4248" s="15" t="str">
        <f>IF(COUNTA($B4248:$E4248,$K4248)=0,"",IF(AND($B4248&lt;&gt;"",$C4248&lt;&gt;"",$D4248&lt;&gt;"",$E4248&lt;&gt;""),"TXS"&amp;TEXT(COUNTIFS($B$2:$B4248,"&lt;&gt;",$C$2:$C4248,"&lt;&gt;",$D$2:$D4248,"&lt;&gt;",$E$2:$E4248,"&lt;&gt;"),"00000"),""))</f>
        <v/>
      </c>
      <c r="N4248" s="22"/>
    </row>
    <row r="4249" spans="1:14" x14ac:dyDescent="0.3">
      <c r="A4249" s="15" t="str">
        <f>IF(COUNTA($B4249:$E4249,$K4249)=0,"",IF(AND($B4249&lt;&gt;"",$C4249&lt;&gt;"",$D4249&lt;&gt;"",$E4249&lt;&gt;""),"TXS"&amp;TEXT(COUNTIFS($B$2:$B4249,"&lt;&gt;",$C$2:$C4249,"&lt;&gt;",$D$2:$D4249,"&lt;&gt;",$E$2:$E4249,"&lt;&gt;"),"00000"),""))</f>
        <v/>
      </c>
      <c r="N4249" s="22"/>
    </row>
    <row r="4250" spans="1:14" x14ac:dyDescent="0.3">
      <c r="A4250" s="15" t="str">
        <f>IF(COUNTA($B4250:$E4250,$K4250)=0,"",IF(AND($B4250&lt;&gt;"",$C4250&lt;&gt;"",$D4250&lt;&gt;"",$E4250&lt;&gt;""),"TXS"&amp;TEXT(COUNTIFS($B$2:$B4250,"&lt;&gt;",$C$2:$C4250,"&lt;&gt;",$D$2:$D4250,"&lt;&gt;",$E$2:$E4250,"&lt;&gt;"),"00000"),""))</f>
        <v/>
      </c>
      <c r="N4250" s="22"/>
    </row>
    <row r="4251" spans="1:14" x14ac:dyDescent="0.3">
      <c r="A4251" s="15" t="str">
        <f>IF(COUNTA($B4251:$E4251,$K4251)=0,"",IF(AND($B4251&lt;&gt;"",$C4251&lt;&gt;"",$D4251&lt;&gt;"",$E4251&lt;&gt;""),"TXS"&amp;TEXT(COUNTIFS($B$2:$B4251,"&lt;&gt;",$C$2:$C4251,"&lt;&gt;",$D$2:$D4251,"&lt;&gt;",$E$2:$E4251,"&lt;&gt;"),"00000"),""))</f>
        <v/>
      </c>
      <c r="N4251" s="22"/>
    </row>
    <row r="4252" spans="1:14" x14ac:dyDescent="0.3">
      <c r="A4252" s="15" t="str">
        <f>IF(COUNTA($B4252:$E4252,$K4252)=0,"",IF(AND($B4252&lt;&gt;"",$C4252&lt;&gt;"",$D4252&lt;&gt;"",$E4252&lt;&gt;""),"TXS"&amp;TEXT(COUNTIFS($B$2:$B4252,"&lt;&gt;",$C$2:$C4252,"&lt;&gt;",$D$2:$D4252,"&lt;&gt;",$E$2:$E4252,"&lt;&gt;"),"00000"),""))</f>
        <v/>
      </c>
      <c r="N4252" s="22"/>
    </row>
    <row r="4253" spans="1:14" x14ac:dyDescent="0.3">
      <c r="A4253" s="15" t="str">
        <f>IF(COUNTA($B4253:$E4253,$K4253)=0,"",IF(AND($B4253&lt;&gt;"",$C4253&lt;&gt;"",$D4253&lt;&gt;"",$E4253&lt;&gt;""),"TXS"&amp;TEXT(COUNTIFS($B$2:$B4253,"&lt;&gt;",$C$2:$C4253,"&lt;&gt;",$D$2:$D4253,"&lt;&gt;",$E$2:$E4253,"&lt;&gt;"),"00000"),""))</f>
        <v/>
      </c>
      <c r="N4253" s="22"/>
    </row>
    <row r="4254" spans="1:14" x14ac:dyDescent="0.3">
      <c r="A4254" s="15" t="str">
        <f>IF(COUNTA($B4254:$E4254,$K4254)=0,"",IF(AND($B4254&lt;&gt;"",$C4254&lt;&gt;"",$D4254&lt;&gt;"",$E4254&lt;&gt;""),"TXS"&amp;TEXT(COUNTIFS($B$2:$B4254,"&lt;&gt;",$C$2:$C4254,"&lt;&gt;",$D$2:$D4254,"&lt;&gt;",$E$2:$E4254,"&lt;&gt;"),"00000"),""))</f>
        <v/>
      </c>
      <c r="N4254" s="22"/>
    </row>
    <row r="4255" spans="1:14" x14ac:dyDescent="0.3">
      <c r="A4255" s="15" t="str">
        <f>IF(COUNTA($B4255:$E4255,$K4255)=0,"",IF(AND($B4255&lt;&gt;"",$C4255&lt;&gt;"",$D4255&lt;&gt;"",$E4255&lt;&gt;""),"TXS"&amp;TEXT(COUNTIFS($B$2:$B4255,"&lt;&gt;",$C$2:$C4255,"&lt;&gt;",$D$2:$D4255,"&lt;&gt;",$E$2:$E4255,"&lt;&gt;"),"00000"),""))</f>
        <v/>
      </c>
      <c r="N4255" s="22"/>
    </row>
    <row r="4256" spans="1:14" x14ac:dyDescent="0.3">
      <c r="A4256" s="15" t="str">
        <f>IF(COUNTA($B4256:$E4256,$K4256)=0,"",IF(AND($B4256&lt;&gt;"",$C4256&lt;&gt;"",$D4256&lt;&gt;"",$E4256&lt;&gt;""),"TXS"&amp;TEXT(COUNTIFS($B$2:$B4256,"&lt;&gt;",$C$2:$C4256,"&lt;&gt;",$D$2:$D4256,"&lt;&gt;",$E$2:$E4256,"&lt;&gt;"),"00000"),""))</f>
        <v/>
      </c>
      <c r="N4256" s="22"/>
    </row>
    <row r="4257" spans="1:14" x14ac:dyDescent="0.3">
      <c r="A4257" s="15" t="str">
        <f>IF(COUNTA($B4257:$E4257,$K4257)=0,"",IF(AND($B4257&lt;&gt;"",$C4257&lt;&gt;"",$D4257&lt;&gt;"",$E4257&lt;&gt;""),"TXS"&amp;TEXT(COUNTIFS($B$2:$B4257,"&lt;&gt;",$C$2:$C4257,"&lt;&gt;",$D$2:$D4257,"&lt;&gt;",$E$2:$E4257,"&lt;&gt;"),"00000"),""))</f>
        <v/>
      </c>
      <c r="N4257" s="22"/>
    </row>
    <row r="4258" spans="1:14" x14ac:dyDescent="0.3">
      <c r="A4258" s="15" t="str">
        <f>IF(COUNTA($B4258:$E4258,$K4258)=0,"",IF(AND($B4258&lt;&gt;"",$C4258&lt;&gt;"",$D4258&lt;&gt;"",$E4258&lt;&gt;""),"TXS"&amp;TEXT(COUNTIFS($B$2:$B4258,"&lt;&gt;",$C$2:$C4258,"&lt;&gt;",$D$2:$D4258,"&lt;&gt;",$E$2:$E4258,"&lt;&gt;"),"00000"),""))</f>
        <v/>
      </c>
      <c r="N4258" s="22"/>
    </row>
    <row r="4259" spans="1:14" x14ac:dyDescent="0.3">
      <c r="A4259" s="15" t="str">
        <f>IF(COUNTA($B4259:$E4259,$K4259)=0,"",IF(AND($B4259&lt;&gt;"",$C4259&lt;&gt;"",$D4259&lt;&gt;"",$E4259&lt;&gt;""),"TXS"&amp;TEXT(COUNTIFS($B$2:$B4259,"&lt;&gt;",$C$2:$C4259,"&lt;&gt;",$D$2:$D4259,"&lt;&gt;",$E$2:$E4259,"&lt;&gt;"),"00000"),""))</f>
        <v/>
      </c>
      <c r="N4259" s="22"/>
    </row>
    <row r="4260" spans="1:14" x14ac:dyDescent="0.3">
      <c r="A4260" s="15" t="str">
        <f>IF(COUNTA($B4260:$E4260,$K4260)=0,"",IF(AND($B4260&lt;&gt;"",$C4260&lt;&gt;"",$D4260&lt;&gt;"",$E4260&lt;&gt;""),"TXS"&amp;TEXT(COUNTIFS($B$2:$B4260,"&lt;&gt;",$C$2:$C4260,"&lt;&gt;",$D$2:$D4260,"&lt;&gt;",$E$2:$E4260,"&lt;&gt;"),"00000"),""))</f>
        <v/>
      </c>
      <c r="N4260" s="22"/>
    </row>
    <row r="4261" spans="1:14" x14ac:dyDescent="0.3">
      <c r="A4261" s="15" t="str">
        <f>IF(COUNTA($B4261:$E4261,$K4261)=0,"",IF(AND($B4261&lt;&gt;"",$C4261&lt;&gt;"",$D4261&lt;&gt;"",$E4261&lt;&gt;""),"TXS"&amp;TEXT(COUNTIFS($B$2:$B4261,"&lt;&gt;",$C$2:$C4261,"&lt;&gt;",$D$2:$D4261,"&lt;&gt;",$E$2:$E4261,"&lt;&gt;"),"00000"),""))</f>
        <v/>
      </c>
      <c r="N4261" s="22"/>
    </row>
    <row r="4262" spans="1:14" x14ac:dyDescent="0.3">
      <c r="A4262" s="15" t="str">
        <f>IF(COUNTA($B4262:$E4262,$K4262)=0,"",IF(AND($B4262&lt;&gt;"",$C4262&lt;&gt;"",$D4262&lt;&gt;"",$E4262&lt;&gt;""),"TXS"&amp;TEXT(COUNTIFS($B$2:$B4262,"&lt;&gt;",$C$2:$C4262,"&lt;&gt;",$D$2:$D4262,"&lt;&gt;",$E$2:$E4262,"&lt;&gt;"),"00000"),""))</f>
        <v/>
      </c>
      <c r="N4262" s="22"/>
    </row>
    <row r="4263" spans="1:14" x14ac:dyDescent="0.3">
      <c r="A4263" s="15" t="str">
        <f>IF(COUNTA($B4263:$E4263,$K4263)=0,"",IF(AND($B4263&lt;&gt;"",$C4263&lt;&gt;"",$D4263&lt;&gt;"",$E4263&lt;&gt;""),"TXS"&amp;TEXT(COUNTIFS($B$2:$B4263,"&lt;&gt;",$C$2:$C4263,"&lt;&gt;",$D$2:$D4263,"&lt;&gt;",$E$2:$E4263,"&lt;&gt;"),"00000"),""))</f>
        <v/>
      </c>
      <c r="N4263" s="22"/>
    </row>
    <row r="4264" spans="1:14" x14ac:dyDescent="0.3">
      <c r="A4264" s="15" t="str">
        <f>IF(COUNTA($B4264:$E4264,$K4264)=0,"",IF(AND($B4264&lt;&gt;"",$C4264&lt;&gt;"",$D4264&lt;&gt;"",$E4264&lt;&gt;""),"TXS"&amp;TEXT(COUNTIFS($B$2:$B4264,"&lt;&gt;",$C$2:$C4264,"&lt;&gt;",$D$2:$D4264,"&lt;&gt;",$E$2:$E4264,"&lt;&gt;"),"00000"),""))</f>
        <v/>
      </c>
      <c r="N4264" s="22"/>
    </row>
    <row r="4265" spans="1:14" x14ac:dyDescent="0.3">
      <c r="A4265" s="15" t="str">
        <f>IF(COUNTA($B4265:$E4265,$K4265)=0,"",IF(AND($B4265&lt;&gt;"",$C4265&lt;&gt;"",$D4265&lt;&gt;"",$E4265&lt;&gt;""),"TXS"&amp;TEXT(COUNTIFS($B$2:$B4265,"&lt;&gt;",$C$2:$C4265,"&lt;&gt;",$D$2:$D4265,"&lt;&gt;",$E$2:$E4265,"&lt;&gt;"),"00000"),""))</f>
        <v/>
      </c>
      <c r="N4265" s="22"/>
    </row>
    <row r="4266" spans="1:14" x14ac:dyDescent="0.3">
      <c r="A4266" s="15" t="str">
        <f>IF(COUNTA($B4266:$E4266,$K4266)=0,"",IF(AND($B4266&lt;&gt;"",$C4266&lt;&gt;"",$D4266&lt;&gt;"",$E4266&lt;&gt;""),"TXS"&amp;TEXT(COUNTIFS($B$2:$B4266,"&lt;&gt;",$C$2:$C4266,"&lt;&gt;",$D$2:$D4266,"&lt;&gt;",$E$2:$E4266,"&lt;&gt;"),"00000"),""))</f>
        <v/>
      </c>
      <c r="N4266" s="22"/>
    </row>
    <row r="4267" spans="1:14" x14ac:dyDescent="0.3">
      <c r="A4267" s="15" t="str">
        <f>IF(COUNTA($B4267:$E4267,$K4267)=0,"",IF(AND($B4267&lt;&gt;"",$C4267&lt;&gt;"",$D4267&lt;&gt;"",$E4267&lt;&gt;""),"TXS"&amp;TEXT(COUNTIFS($B$2:$B4267,"&lt;&gt;",$C$2:$C4267,"&lt;&gt;",$D$2:$D4267,"&lt;&gt;",$E$2:$E4267,"&lt;&gt;"),"00000"),""))</f>
        <v/>
      </c>
      <c r="N4267" s="22"/>
    </row>
    <row r="4268" spans="1:14" x14ac:dyDescent="0.3">
      <c r="A4268" s="15" t="str">
        <f>IF(COUNTA($B4268:$E4268,$K4268)=0,"",IF(AND($B4268&lt;&gt;"",$C4268&lt;&gt;"",$D4268&lt;&gt;"",$E4268&lt;&gt;""),"TXS"&amp;TEXT(COUNTIFS($B$2:$B4268,"&lt;&gt;",$C$2:$C4268,"&lt;&gt;",$D$2:$D4268,"&lt;&gt;",$E$2:$E4268,"&lt;&gt;"),"00000"),""))</f>
        <v/>
      </c>
      <c r="N4268" s="22"/>
    </row>
    <row r="4269" spans="1:14" x14ac:dyDescent="0.3">
      <c r="A4269" s="15" t="str">
        <f>IF(COUNTA($B4269:$E4269,$K4269)=0,"",IF(AND($B4269&lt;&gt;"",$C4269&lt;&gt;"",$D4269&lt;&gt;"",$E4269&lt;&gt;""),"TXS"&amp;TEXT(COUNTIFS($B$2:$B4269,"&lt;&gt;",$C$2:$C4269,"&lt;&gt;",$D$2:$D4269,"&lt;&gt;",$E$2:$E4269,"&lt;&gt;"),"00000"),""))</f>
        <v/>
      </c>
      <c r="N4269" s="22"/>
    </row>
    <row r="4270" spans="1:14" x14ac:dyDescent="0.3">
      <c r="A4270" s="15" t="str">
        <f>IF(COUNTA($B4270:$E4270,$K4270)=0,"",IF(AND($B4270&lt;&gt;"",$C4270&lt;&gt;"",$D4270&lt;&gt;"",$E4270&lt;&gt;""),"TXS"&amp;TEXT(COUNTIFS($B$2:$B4270,"&lt;&gt;",$C$2:$C4270,"&lt;&gt;",$D$2:$D4270,"&lt;&gt;",$E$2:$E4270,"&lt;&gt;"),"00000"),""))</f>
        <v/>
      </c>
      <c r="N4270" s="22"/>
    </row>
    <row r="4271" spans="1:14" x14ac:dyDescent="0.3">
      <c r="A4271" s="15" t="str">
        <f>IF(COUNTA($B4271:$E4271,$K4271)=0,"",IF(AND($B4271&lt;&gt;"",$C4271&lt;&gt;"",$D4271&lt;&gt;"",$E4271&lt;&gt;""),"TXS"&amp;TEXT(COUNTIFS($B$2:$B4271,"&lt;&gt;",$C$2:$C4271,"&lt;&gt;",$D$2:$D4271,"&lt;&gt;",$E$2:$E4271,"&lt;&gt;"),"00000"),""))</f>
        <v/>
      </c>
      <c r="N4271" s="22"/>
    </row>
    <row r="4272" spans="1:14" x14ac:dyDescent="0.3">
      <c r="A4272" s="15" t="str">
        <f>IF(COUNTA($B4272:$E4272,$K4272)=0,"",IF(AND($B4272&lt;&gt;"",$C4272&lt;&gt;"",$D4272&lt;&gt;"",$E4272&lt;&gt;""),"TXS"&amp;TEXT(COUNTIFS($B$2:$B4272,"&lt;&gt;",$C$2:$C4272,"&lt;&gt;",$D$2:$D4272,"&lt;&gt;",$E$2:$E4272,"&lt;&gt;"),"00000"),""))</f>
        <v/>
      </c>
      <c r="N4272" s="22"/>
    </row>
    <row r="4273" spans="1:14" x14ac:dyDescent="0.3">
      <c r="A4273" s="15" t="str">
        <f>IF(COUNTA($B4273:$E4273,$K4273)=0,"",IF(AND($B4273&lt;&gt;"",$C4273&lt;&gt;"",$D4273&lt;&gt;"",$E4273&lt;&gt;""),"TXS"&amp;TEXT(COUNTIFS($B$2:$B4273,"&lt;&gt;",$C$2:$C4273,"&lt;&gt;",$D$2:$D4273,"&lt;&gt;",$E$2:$E4273,"&lt;&gt;"),"00000"),""))</f>
        <v/>
      </c>
      <c r="N4273" s="22"/>
    </row>
    <row r="4274" spans="1:14" x14ac:dyDescent="0.3">
      <c r="A4274" s="15" t="str">
        <f>IF(COUNTA($B4274:$E4274,$K4274)=0,"",IF(AND($B4274&lt;&gt;"",$C4274&lt;&gt;"",$D4274&lt;&gt;"",$E4274&lt;&gt;""),"TXS"&amp;TEXT(COUNTIFS($B$2:$B4274,"&lt;&gt;",$C$2:$C4274,"&lt;&gt;",$D$2:$D4274,"&lt;&gt;",$E$2:$E4274,"&lt;&gt;"),"00000"),""))</f>
        <v/>
      </c>
      <c r="N4274" s="22"/>
    </row>
    <row r="4275" spans="1:14" x14ac:dyDescent="0.3">
      <c r="A4275" s="15" t="str">
        <f>IF(COUNTA($B4275:$E4275,$K4275)=0,"",IF(AND($B4275&lt;&gt;"",$C4275&lt;&gt;"",$D4275&lt;&gt;"",$E4275&lt;&gt;""),"TXS"&amp;TEXT(COUNTIFS($B$2:$B4275,"&lt;&gt;",$C$2:$C4275,"&lt;&gt;",$D$2:$D4275,"&lt;&gt;",$E$2:$E4275,"&lt;&gt;"),"00000"),""))</f>
        <v/>
      </c>
      <c r="N4275" s="22"/>
    </row>
    <row r="4276" spans="1:14" x14ac:dyDescent="0.3">
      <c r="A4276" s="15" t="str">
        <f>IF(COUNTA($B4276:$E4276,$K4276)=0,"",IF(AND($B4276&lt;&gt;"",$C4276&lt;&gt;"",$D4276&lt;&gt;"",$E4276&lt;&gt;""),"TXS"&amp;TEXT(COUNTIFS($B$2:$B4276,"&lt;&gt;",$C$2:$C4276,"&lt;&gt;",$D$2:$D4276,"&lt;&gt;",$E$2:$E4276,"&lt;&gt;"),"00000"),""))</f>
        <v/>
      </c>
      <c r="N4276" s="22"/>
    </row>
    <row r="4277" spans="1:14" x14ac:dyDescent="0.3">
      <c r="A4277" s="15" t="str">
        <f>IF(COUNTA($B4277:$E4277,$K4277)=0,"",IF(AND($B4277&lt;&gt;"",$C4277&lt;&gt;"",$D4277&lt;&gt;"",$E4277&lt;&gt;""),"TXS"&amp;TEXT(COUNTIFS($B$2:$B4277,"&lt;&gt;",$C$2:$C4277,"&lt;&gt;",$D$2:$D4277,"&lt;&gt;",$E$2:$E4277,"&lt;&gt;"),"00000"),""))</f>
        <v/>
      </c>
      <c r="N4277" s="22"/>
    </row>
    <row r="4278" spans="1:14" x14ac:dyDescent="0.3">
      <c r="A4278" s="15" t="str">
        <f>IF(COUNTA($B4278:$E4278,$K4278)=0,"",IF(AND($B4278&lt;&gt;"",$C4278&lt;&gt;"",$D4278&lt;&gt;"",$E4278&lt;&gt;""),"TXS"&amp;TEXT(COUNTIFS($B$2:$B4278,"&lt;&gt;",$C$2:$C4278,"&lt;&gt;",$D$2:$D4278,"&lt;&gt;",$E$2:$E4278,"&lt;&gt;"),"00000"),""))</f>
        <v/>
      </c>
      <c r="N4278" s="22"/>
    </row>
    <row r="4279" spans="1:14" x14ac:dyDescent="0.3">
      <c r="A4279" s="15" t="str">
        <f>IF(COUNTA($B4279:$E4279,$K4279)=0,"",IF(AND($B4279&lt;&gt;"",$C4279&lt;&gt;"",$D4279&lt;&gt;"",$E4279&lt;&gt;""),"TXS"&amp;TEXT(COUNTIFS($B$2:$B4279,"&lt;&gt;",$C$2:$C4279,"&lt;&gt;",$D$2:$D4279,"&lt;&gt;",$E$2:$E4279,"&lt;&gt;"),"00000"),""))</f>
        <v/>
      </c>
      <c r="N4279" s="22"/>
    </row>
    <row r="4280" spans="1:14" x14ac:dyDescent="0.3">
      <c r="A4280" s="15" t="str">
        <f>IF(COUNTA($B4280:$E4280,$K4280)=0,"",IF(AND($B4280&lt;&gt;"",$C4280&lt;&gt;"",$D4280&lt;&gt;"",$E4280&lt;&gt;""),"TXS"&amp;TEXT(COUNTIFS($B$2:$B4280,"&lt;&gt;",$C$2:$C4280,"&lt;&gt;",$D$2:$D4280,"&lt;&gt;",$E$2:$E4280,"&lt;&gt;"),"00000"),""))</f>
        <v/>
      </c>
      <c r="N4280" s="22"/>
    </row>
    <row r="4281" spans="1:14" x14ac:dyDescent="0.3">
      <c r="A4281" s="15" t="str">
        <f>IF(COUNTA($B4281:$E4281,$K4281)=0,"",IF(AND($B4281&lt;&gt;"",$C4281&lt;&gt;"",$D4281&lt;&gt;"",$E4281&lt;&gt;""),"TXS"&amp;TEXT(COUNTIFS($B$2:$B4281,"&lt;&gt;",$C$2:$C4281,"&lt;&gt;",$D$2:$D4281,"&lt;&gt;",$E$2:$E4281,"&lt;&gt;"),"00000"),""))</f>
        <v/>
      </c>
      <c r="N4281" s="22"/>
    </row>
    <row r="4282" spans="1:14" x14ac:dyDescent="0.3">
      <c r="A4282" s="15" t="str">
        <f>IF(COUNTA($B4282:$E4282,$K4282)=0,"",IF(AND($B4282&lt;&gt;"",$C4282&lt;&gt;"",$D4282&lt;&gt;"",$E4282&lt;&gt;""),"TXS"&amp;TEXT(COUNTIFS($B$2:$B4282,"&lt;&gt;",$C$2:$C4282,"&lt;&gt;",$D$2:$D4282,"&lt;&gt;",$E$2:$E4282,"&lt;&gt;"),"00000"),""))</f>
        <v/>
      </c>
      <c r="N4282" s="22"/>
    </row>
    <row r="4283" spans="1:14" x14ac:dyDescent="0.3">
      <c r="A4283" s="15" t="str">
        <f>IF(COUNTA($B4283:$E4283,$K4283)=0,"",IF(AND($B4283&lt;&gt;"",$C4283&lt;&gt;"",$D4283&lt;&gt;"",$E4283&lt;&gt;""),"TXS"&amp;TEXT(COUNTIFS($B$2:$B4283,"&lt;&gt;",$C$2:$C4283,"&lt;&gt;",$D$2:$D4283,"&lt;&gt;",$E$2:$E4283,"&lt;&gt;"),"00000"),""))</f>
        <v/>
      </c>
      <c r="N4283" s="22"/>
    </row>
    <row r="4284" spans="1:14" x14ac:dyDescent="0.3">
      <c r="A4284" s="15" t="str">
        <f>IF(COUNTA($B4284:$E4284,$K4284)=0,"",IF(AND($B4284&lt;&gt;"",$C4284&lt;&gt;"",$D4284&lt;&gt;"",$E4284&lt;&gt;""),"TXS"&amp;TEXT(COUNTIFS($B$2:$B4284,"&lt;&gt;",$C$2:$C4284,"&lt;&gt;",$D$2:$D4284,"&lt;&gt;",$E$2:$E4284,"&lt;&gt;"),"00000"),""))</f>
        <v/>
      </c>
      <c r="N4284" s="22"/>
    </row>
    <row r="4285" spans="1:14" x14ac:dyDescent="0.3">
      <c r="A4285" s="15" t="str">
        <f>IF(COUNTA($B4285:$E4285,$K4285)=0,"",IF(AND($B4285&lt;&gt;"",$C4285&lt;&gt;"",$D4285&lt;&gt;"",$E4285&lt;&gt;""),"TXS"&amp;TEXT(COUNTIFS($B$2:$B4285,"&lt;&gt;",$C$2:$C4285,"&lt;&gt;",$D$2:$D4285,"&lt;&gt;",$E$2:$E4285,"&lt;&gt;"),"00000"),""))</f>
        <v/>
      </c>
      <c r="N4285" s="22"/>
    </row>
    <row r="4286" spans="1:14" x14ac:dyDescent="0.3">
      <c r="A4286" s="15" t="str">
        <f>IF(COUNTA($B4286:$E4286,$K4286)=0,"",IF(AND($B4286&lt;&gt;"",$C4286&lt;&gt;"",$D4286&lt;&gt;"",$E4286&lt;&gt;""),"TXS"&amp;TEXT(COUNTIFS($B$2:$B4286,"&lt;&gt;",$C$2:$C4286,"&lt;&gt;",$D$2:$D4286,"&lt;&gt;",$E$2:$E4286,"&lt;&gt;"),"00000"),""))</f>
        <v/>
      </c>
      <c r="N4286" s="22"/>
    </row>
    <row r="4287" spans="1:14" x14ac:dyDescent="0.3">
      <c r="A4287" s="15" t="str">
        <f>IF(COUNTA($B4287:$E4287,$K4287)=0,"",IF(AND($B4287&lt;&gt;"",$C4287&lt;&gt;"",$D4287&lt;&gt;"",$E4287&lt;&gt;""),"TXS"&amp;TEXT(COUNTIFS($B$2:$B4287,"&lt;&gt;",$C$2:$C4287,"&lt;&gt;",$D$2:$D4287,"&lt;&gt;",$E$2:$E4287,"&lt;&gt;"),"00000"),""))</f>
        <v/>
      </c>
      <c r="N4287" s="22"/>
    </row>
    <row r="4288" spans="1:14" x14ac:dyDescent="0.3">
      <c r="A4288" s="15" t="str">
        <f>IF(COUNTA($B4288:$E4288,$K4288)=0,"",IF(AND($B4288&lt;&gt;"",$C4288&lt;&gt;"",$D4288&lt;&gt;"",$E4288&lt;&gt;""),"TXS"&amp;TEXT(COUNTIFS($B$2:$B4288,"&lt;&gt;",$C$2:$C4288,"&lt;&gt;",$D$2:$D4288,"&lt;&gt;",$E$2:$E4288,"&lt;&gt;"),"00000"),""))</f>
        <v/>
      </c>
      <c r="N4288" s="22"/>
    </row>
    <row r="4289" spans="1:14" x14ac:dyDescent="0.3">
      <c r="A4289" s="15" t="str">
        <f>IF(COUNTA($B4289:$E4289,$K4289)=0,"",IF(AND($B4289&lt;&gt;"",$C4289&lt;&gt;"",$D4289&lt;&gt;"",$E4289&lt;&gt;""),"TXS"&amp;TEXT(COUNTIFS($B$2:$B4289,"&lt;&gt;",$C$2:$C4289,"&lt;&gt;",$D$2:$D4289,"&lt;&gt;",$E$2:$E4289,"&lt;&gt;"),"00000"),""))</f>
        <v/>
      </c>
      <c r="N4289" s="22"/>
    </row>
    <row r="4290" spans="1:14" x14ac:dyDescent="0.3">
      <c r="A4290" s="15" t="str">
        <f>IF(COUNTA($B4290:$E4290,$K4290)=0,"",IF(AND($B4290&lt;&gt;"",$C4290&lt;&gt;"",$D4290&lt;&gt;"",$E4290&lt;&gt;""),"TXS"&amp;TEXT(COUNTIFS($B$2:$B4290,"&lt;&gt;",$C$2:$C4290,"&lt;&gt;",$D$2:$D4290,"&lt;&gt;",$E$2:$E4290,"&lt;&gt;"),"00000"),""))</f>
        <v/>
      </c>
      <c r="N4290" s="22"/>
    </row>
    <row r="4291" spans="1:14" x14ac:dyDescent="0.3">
      <c r="A4291" s="15" t="str">
        <f>IF(COUNTA($B4291:$E4291,$K4291)=0,"",IF(AND($B4291&lt;&gt;"",$C4291&lt;&gt;"",$D4291&lt;&gt;"",$E4291&lt;&gt;""),"TXS"&amp;TEXT(COUNTIFS($B$2:$B4291,"&lt;&gt;",$C$2:$C4291,"&lt;&gt;",$D$2:$D4291,"&lt;&gt;",$E$2:$E4291,"&lt;&gt;"),"00000"),""))</f>
        <v/>
      </c>
      <c r="N4291" s="22"/>
    </row>
    <row r="4292" spans="1:14" x14ac:dyDescent="0.3">
      <c r="A4292" s="15" t="str">
        <f>IF(COUNTA($B4292:$E4292,$K4292)=0,"",IF(AND($B4292&lt;&gt;"",$C4292&lt;&gt;"",$D4292&lt;&gt;"",$E4292&lt;&gt;""),"TXS"&amp;TEXT(COUNTIFS($B$2:$B4292,"&lt;&gt;",$C$2:$C4292,"&lt;&gt;",$D$2:$D4292,"&lt;&gt;",$E$2:$E4292,"&lt;&gt;"),"00000"),""))</f>
        <v/>
      </c>
      <c r="N4292" s="22"/>
    </row>
    <row r="4293" spans="1:14" x14ac:dyDescent="0.3">
      <c r="A4293" s="15" t="str">
        <f>IF(COUNTA($B4293:$E4293,$K4293)=0,"",IF(AND($B4293&lt;&gt;"",$C4293&lt;&gt;"",$D4293&lt;&gt;"",$E4293&lt;&gt;""),"TXS"&amp;TEXT(COUNTIFS($B$2:$B4293,"&lt;&gt;",$C$2:$C4293,"&lt;&gt;",$D$2:$D4293,"&lt;&gt;",$E$2:$E4293,"&lt;&gt;"),"00000"),""))</f>
        <v/>
      </c>
      <c r="N4293" s="22"/>
    </row>
    <row r="4294" spans="1:14" x14ac:dyDescent="0.3">
      <c r="A4294" s="15" t="str">
        <f>IF(COUNTA($B4294:$E4294,$K4294)=0,"",IF(AND($B4294&lt;&gt;"",$C4294&lt;&gt;"",$D4294&lt;&gt;"",$E4294&lt;&gt;""),"TXS"&amp;TEXT(COUNTIFS($B$2:$B4294,"&lt;&gt;",$C$2:$C4294,"&lt;&gt;",$D$2:$D4294,"&lt;&gt;",$E$2:$E4294,"&lt;&gt;"),"00000"),""))</f>
        <v/>
      </c>
      <c r="N4294" s="22"/>
    </row>
    <row r="4295" spans="1:14" x14ac:dyDescent="0.3">
      <c r="A4295" s="15" t="str">
        <f>IF(COUNTA($B4295:$E4295,$K4295)=0,"",IF(AND($B4295&lt;&gt;"",$C4295&lt;&gt;"",$D4295&lt;&gt;"",$E4295&lt;&gt;""),"TXS"&amp;TEXT(COUNTIFS($B$2:$B4295,"&lt;&gt;",$C$2:$C4295,"&lt;&gt;",$D$2:$D4295,"&lt;&gt;",$E$2:$E4295,"&lt;&gt;"),"00000"),""))</f>
        <v/>
      </c>
      <c r="N4295" s="22"/>
    </row>
    <row r="4296" spans="1:14" x14ac:dyDescent="0.3">
      <c r="A4296" s="15" t="str">
        <f>IF(COUNTA($B4296:$E4296,$K4296)=0,"",IF(AND($B4296&lt;&gt;"",$C4296&lt;&gt;"",$D4296&lt;&gt;"",$E4296&lt;&gt;""),"TXS"&amp;TEXT(COUNTIFS($B$2:$B4296,"&lt;&gt;",$C$2:$C4296,"&lt;&gt;",$D$2:$D4296,"&lt;&gt;",$E$2:$E4296,"&lt;&gt;"),"00000"),""))</f>
        <v/>
      </c>
      <c r="N4296" s="22"/>
    </row>
    <row r="4297" spans="1:14" x14ac:dyDescent="0.3">
      <c r="A4297" s="15" t="str">
        <f>IF(COUNTA($B4297:$E4297,$K4297)=0,"",IF(AND($B4297&lt;&gt;"",$C4297&lt;&gt;"",$D4297&lt;&gt;"",$E4297&lt;&gt;""),"TXS"&amp;TEXT(COUNTIFS($B$2:$B4297,"&lt;&gt;",$C$2:$C4297,"&lt;&gt;",$D$2:$D4297,"&lt;&gt;",$E$2:$E4297,"&lt;&gt;"),"00000"),""))</f>
        <v/>
      </c>
      <c r="N4297" s="22"/>
    </row>
    <row r="4298" spans="1:14" x14ac:dyDescent="0.3">
      <c r="A4298" s="15" t="str">
        <f>IF(COUNTA($B4298:$E4298,$K4298)=0,"",IF(AND($B4298&lt;&gt;"",$C4298&lt;&gt;"",$D4298&lt;&gt;"",$E4298&lt;&gt;""),"TXS"&amp;TEXT(COUNTIFS($B$2:$B4298,"&lt;&gt;",$C$2:$C4298,"&lt;&gt;",$D$2:$D4298,"&lt;&gt;",$E$2:$E4298,"&lt;&gt;"),"00000"),""))</f>
        <v/>
      </c>
      <c r="N4298" s="22"/>
    </row>
    <row r="4299" spans="1:14" x14ac:dyDescent="0.3">
      <c r="A4299" s="15" t="str">
        <f>IF(COUNTA($B4299:$E4299,$K4299)=0,"",IF(AND($B4299&lt;&gt;"",$C4299&lt;&gt;"",$D4299&lt;&gt;"",$E4299&lt;&gt;""),"TXS"&amp;TEXT(COUNTIFS($B$2:$B4299,"&lt;&gt;",$C$2:$C4299,"&lt;&gt;",$D$2:$D4299,"&lt;&gt;",$E$2:$E4299,"&lt;&gt;"),"00000"),""))</f>
        <v/>
      </c>
      <c r="N4299" s="22"/>
    </row>
    <row r="4300" spans="1:14" x14ac:dyDescent="0.3">
      <c r="A4300" s="15" t="str">
        <f>IF(COUNTA($B4300:$E4300,$K4300)=0,"",IF(AND($B4300&lt;&gt;"",$C4300&lt;&gt;"",$D4300&lt;&gt;"",$E4300&lt;&gt;""),"TXS"&amp;TEXT(COUNTIFS($B$2:$B4300,"&lt;&gt;",$C$2:$C4300,"&lt;&gt;",$D$2:$D4300,"&lt;&gt;",$E$2:$E4300,"&lt;&gt;"),"00000"),""))</f>
        <v/>
      </c>
      <c r="N4300" s="22"/>
    </row>
    <row r="4301" spans="1:14" x14ac:dyDescent="0.3">
      <c r="A4301" s="15" t="str">
        <f>IF(COUNTA($B4301:$E4301,$K4301)=0,"",IF(AND($B4301&lt;&gt;"",$C4301&lt;&gt;"",$D4301&lt;&gt;"",$E4301&lt;&gt;""),"TXS"&amp;TEXT(COUNTIFS($B$2:$B4301,"&lt;&gt;",$C$2:$C4301,"&lt;&gt;",$D$2:$D4301,"&lt;&gt;",$E$2:$E4301,"&lt;&gt;"),"00000"),""))</f>
        <v/>
      </c>
      <c r="N4301" s="22"/>
    </row>
    <row r="4302" spans="1:14" x14ac:dyDescent="0.3">
      <c r="A4302" s="15" t="str">
        <f>IF(COUNTA($B4302:$E4302,$K4302)=0,"",IF(AND($B4302&lt;&gt;"",$C4302&lt;&gt;"",$D4302&lt;&gt;"",$E4302&lt;&gt;""),"TXS"&amp;TEXT(COUNTIFS($B$2:$B4302,"&lt;&gt;",$C$2:$C4302,"&lt;&gt;",$D$2:$D4302,"&lt;&gt;",$E$2:$E4302,"&lt;&gt;"),"00000"),""))</f>
        <v/>
      </c>
      <c r="N4302" s="22"/>
    </row>
    <row r="4303" spans="1:14" x14ac:dyDescent="0.3">
      <c r="A4303" s="15" t="str">
        <f>IF(COUNTA($B4303:$E4303,$K4303)=0,"",IF(AND($B4303&lt;&gt;"",$C4303&lt;&gt;"",$D4303&lt;&gt;"",$E4303&lt;&gt;""),"TXS"&amp;TEXT(COUNTIFS($B$2:$B4303,"&lt;&gt;",$C$2:$C4303,"&lt;&gt;",$D$2:$D4303,"&lt;&gt;",$E$2:$E4303,"&lt;&gt;"),"00000"),""))</f>
        <v/>
      </c>
      <c r="N4303" s="22"/>
    </row>
    <row r="4304" spans="1:14" x14ac:dyDescent="0.3">
      <c r="A4304" s="15" t="str">
        <f>IF(COUNTA($B4304:$E4304,$K4304)=0,"",IF(AND($B4304&lt;&gt;"",$C4304&lt;&gt;"",$D4304&lt;&gt;"",$E4304&lt;&gt;""),"TXS"&amp;TEXT(COUNTIFS($B$2:$B4304,"&lt;&gt;",$C$2:$C4304,"&lt;&gt;",$D$2:$D4304,"&lt;&gt;",$E$2:$E4304,"&lt;&gt;"),"00000"),""))</f>
        <v/>
      </c>
      <c r="N4304" s="22"/>
    </row>
    <row r="4305" spans="1:14" x14ac:dyDescent="0.3">
      <c r="A4305" s="15" t="str">
        <f>IF(COUNTA($B4305:$E4305,$K4305)=0,"",IF(AND($B4305&lt;&gt;"",$C4305&lt;&gt;"",$D4305&lt;&gt;"",$E4305&lt;&gt;""),"TXS"&amp;TEXT(COUNTIFS($B$2:$B4305,"&lt;&gt;",$C$2:$C4305,"&lt;&gt;",$D$2:$D4305,"&lt;&gt;",$E$2:$E4305,"&lt;&gt;"),"00000"),""))</f>
        <v/>
      </c>
      <c r="N4305" s="22"/>
    </row>
    <row r="4306" spans="1:14" x14ac:dyDescent="0.3">
      <c r="A4306" s="15" t="str">
        <f>IF(COUNTA($B4306:$E4306,$K4306)=0,"",IF(AND($B4306&lt;&gt;"",$C4306&lt;&gt;"",$D4306&lt;&gt;"",$E4306&lt;&gt;""),"TXS"&amp;TEXT(COUNTIFS($B$2:$B4306,"&lt;&gt;",$C$2:$C4306,"&lt;&gt;",$D$2:$D4306,"&lt;&gt;",$E$2:$E4306,"&lt;&gt;"),"00000"),""))</f>
        <v/>
      </c>
      <c r="N4306" s="22"/>
    </row>
    <row r="4307" spans="1:14" x14ac:dyDescent="0.3">
      <c r="A4307" s="15" t="str">
        <f>IF(COUNTA($B4307:$E4307,$K4307)=0,"",IF(AND($B4307&lt;&gt;"",$C4307&lt;&gt;"",$D4307&lt;&gt;"",$E4307&lt;&gt;""),"TXS"&amp;TEXT(COUNTIFS($B$2:$B4307,"&lt;&gt;",$C$2:$C4307,"&lt;&gt;",$D$2:$D4307,"&lt;&gt;",$E$2:$E4307,"&lt;&gt;"),"00000"),""))</f>
        <v/>
      </c>
      <c r="N4307" s="22"/>
    </row>
    <row r="4308" spans="1:14" x14ac:dyDescent="0.3">
      <c r="A4308" s="15" t="str">
        <f>IF(COUNTA($B4308:$E4308,$K4308)=0,"",IF(AND($B4308&lt;&gt;"",$C4308&lt;&gt;"",$D4308&lt;&gt;"",$E4308&lt;&gt;""),"TXS"&amp;TEXT(COUNTIFS($B$2:$B4308,"&lt;&gt;",$C$2:$C4308,"&lt;&gt;",$D$2:$D4308,"&lt;&gt;",$E$2:$E4308,"&lt;&gt;"),"00000"),""))</f>
        <v/>
      </c>
      <c r="N4308" s="22"/>
    </row>
    <row r="4309" spans="1:14" x14ac:dyDescent="0.3">
      <c r="A4309" s="15" t="str">
        <f>IF(COUNTA($B4309:$E4309,$K4309)=0,"",IF(AND($B4309&lt;&gt;"",$C4309&lt;&gt;"",$D4309&lt;&gt;"",$E4309&lt;&gt;""),"TXS"&amp;TEXT(COUNTIFS($B$2:$B4309,"&lt;&gt;",$C$2:$C4309,"&lt;&gt;",$D$2:$D4309,"&lt;&gt;",$E$2:$E4309,"&lt;&gt;"),"00000"),""))</f>
        <v/>
      </c>
      <c r="N4309" s="22"/>
    </row>
    <row r="4310" spans="1:14" x14ac:dyDescent="0.3">
      <c r="A4310" s="15" t="str">
        <f>IF(COUNTA($B4310:$E4310,$K4310)=0,"",IF(AND($B4310&lt;&gt;"",$C4310&lt;&gt;"",$D4310&lt;&gt;"",$E4310&lt;&gt;""),"TXS"&amp;TEXT(COUNTIFS($B$2:$B4310,"&lt;&gt;",$C$2:$C4310,"&lt;&gt;",$D$2:$D4310,"&lt;&gt;",$E$2:$E4310,"&lt;&gt;"),"00000"),""))</f>
        <v/>
      </c>
      <c r="N4310" s="22"/>
    </row>
    <row r="4311" spans="1:14" x14ac:dyDescent="0.3">
      <c r="A4311" s="15" t="str">
        <f>IF(COUNTA($B4311:$E4311,$K4311)=0,"",IF(AND($B4311&lt;&gt;"",$C4311&lt;&gt;"",$D4311&lt;&gt;"",$E4311&lt;&gt;""),"TXS"&amp;TEXT(COUNTIFS($B$2:$B4311,"&lt;&gt;",$C$2:$C4311,"&lt;&gt;",$D$2:$D4311,"&lt;&gt;",$E$2:$E4311,"&lt;&gt;"),"00000"),""))</f>
        <v/>
      </c>
      <c r="N4311" s="22"/>
    </row>
    <row r="4312" spans="1:14" x14ac:dyDescent="0.3">
      <c r="A4312" s="15" t="str">
        <f>IF(COUNTA($B4312:$E4312,$K4312)=0,"",IF(AND($B4312&lt;&gt;"",$C4312&lt;&gt;"",$D4312&lt;&gt;"",$E4312&lt;&gt;""),"TXS"&amp;TEXT(COUNTIFS($B$2:$B4312,"&lt;&gt;",$C$2:$C4312,"&lt;&gt;",$D$2:$D4312,"&lt;&gt;",$E$2:$E4312,"&lt;&gt;"),"00000"),""))</f>
        <v/>
      </c>
      <c r="N4312" s="22"/>
    </row>
    <row r="4313" spans="1:14" x14ac:dyDescent="0.3">
      <c r="A4313" s="15" t="str">
        <f>IF(COUNTA($B4313:$E4313,$K4313)=0,"",IF(AND($B4313&lt;&gt;"",$C4313&lt;&gt;"",$D4313&lt;&gt;"",$E4313&lt;&gt;""),"TXS"&amp;TEXT(COUNTIFS($B$2:$B4313,"&lt;&gt;",$C$2:$C4313,"&lt;&gt;",$D$2:$D4313,"&lt;&gt;",$E$2:$E4313,"&lt;&gt;"),"00000"),""))</f>
        <v/>
      </c>
      <c r="N4313" s="22"/>
    </row>
    <row r="4314" spans="1:14" x14ac:dyDescent="0.3">
      <c r="A4314" s="15" t="str">
        <f>IF(COUNTA($B4314:$E4314,$K4314)=0,"",IF(AND($B4314&lt;&gt;"",$C4314&lt;&gt;"",$D4314&lt;&gt;"",$E4314&lt;&gt;""),"TXS"&amp;TEXT(COUNTIFS($B$2:$B4314,"&lt;&gt;",$C$2:$C4314,"&lt;&gt;",$D$2:$D4314,"&lt;&gt;",$E$2:$E4314,"&lt;&gt;"),"00000"),""))</f>
        <v/>
      </c>
      <c r="N4314" s="22"/>
    </row>
    <row r="4315" spans="1:14" x14ac:dyDescent="0.3">
      <c r="A4315" s="15" t="str">
        <f>IF(COUNTA($B4315:$E4315,$K4315)=0,"",IF(AND($B4315&lt;&gt;"",$C4315&lt;&gt;"",$D4315&lt;&gt;"",$E4315&lt;&gt;""),"TXS"&amp;TEXT(COUNTIFS($B$2:$B4315,"&lt;&gt;",$C$2:$C4315,"&lt;&gt;",$D$2:$D4315,"&lt;&gt;",$E$2:$E4315,"&lt;&gt;"),"00000"),""))</f>
        <v/>
      </c>
      <c r="N4315" s="22"/>
    </row>
    <row r="4316" spans="1:14" x14ac:dyDescent="0.3">
      <c r="A4316" s="15" t="str">
        <f>IF(COUNTA($B4316:$E4316,$K4316)=0,"",IF(AND($B4316&lt;&gt;"",$C4316&lt;&gt;"",$D4316&lt;&gt;"",$E4316&lt;&gt;""),"TXS"&amp;TEXT(COUNTIFS($B$2:$B4316,"&lt;&gt;",$C$2:$C4316,"&lt;&gt;",$D$2:$D4316,"&lt;&gt;",$E$2:$E4316,"&lt;&gt;"),"00000"),""))</f>
        <v/>
      </c>
      <c r="N4316" s="22"/>
    </row>
    <row r="4317" spans="1:14" x14ac:dyDescent="0.3">
      <c r="A4317" s="15" t="str">
        <f>IF(COUNTA($B4317:$E4317,$K4317)=0,"",IF(AND($B4317&lt;&gt;"",$C4317&lt;&gt;"",$D4317&lt;&gt;"",$E4317&lt;&gt;""),"TXS"&amp;TEXT(COUNTIFS($B$2:$B4317,"&lt;&gt;",$C$2:$C4317,"&lt;&gt;",$D$2:$D4317,"&lt;&gt;",$E$2:$E4317,"&lt;&gt;"),"00000"),""))</f>
        <v/>
      </c>
      <c r="N4317" s="22"/>
    </row>
    <row r="4318" spans="1:14" x14ac:dyDescent="0.3">
      <c r="A4318" s="15" t="str">
        <f>IF(COUNTA($B4318:$E4318,$K4318)=0,"",IF(AND($B4318&lt;&gt;"",$C4318&lt;&gt;"",$D4318&lt;&gt;"",$E4318&lt;&gt;""),"TXS"&amp;TEXT(COUNTIFS($B$2:$B4318,"&lt;&gt;",$C$2:$C4318,"&lt;&gt;",$D$2:$D4318,"&lt;&gt;",$E$2:$E4318,"&lt;&gt;"),"00000"),""))</f>
        <v/>
      </c>
      <c r="N4318" s="22"/>
    </row>
    <row r="4319" spans="1:14" x14ac:dyDescent="0.3">
      <c r="A4319" s="15" t="str">
        <f>IF(COUNTA($B4319:$E4319,$K4319)=0,"",IF(AND($B4319&lt;&gt;"",$C4319&lt;&gt;"",$D4319&lt;&gt;"",$E4319&lt;&gt;""),"TXS"&amp;TEXT(COUNTIFS($B$2:$B4319,"&lt;&gt;",$C$2:$C4319,"&lt;&gt;",$D$2:$D4319,"&lt;&gt;",$E$2:$E4319,"&lt;&gt;"),"00000"),""))</f>
        <v/>
      </c>
      <c r="N4319" s="22"/>
    </row>
    <row r="4320" spans="1:14" x14ac:dyDescent="0.3">
      <c r="A4320" s="15" t="str">
        <f>IF(COUNTA($B4320:$E4320,$K4320)=0,"",IF(AND($B4320&lt;&gt;"",$C4320&lt;&gt;"",$D4320&lt;&gt;"",$E4320&lt;&gt;""),"TXS"&amp;TEXT(COUNTIFS($B$2:$B4320,"&lt;&gt;",$C$2:$C4320,"&lt;&gt;",$D$2:$D4320,"&lt;&gt;",$E$2:$E4320,"&lt;&gt;"),"00000"),""))</f>
        <v/>
      </c>
      <c r="N4320" s="22"/>
    </row>
    <row r="4321" spans="1:14" x14ac:dyDescent="0.3">
      <c r="A4321" s="15" t="str">
        <f>IF(COUNTA($B4321:$E4321,$K4321)=0,"",IF(AND($B4321&lt;&gt;"",$C4321&lt;&gt;"",$D4321&lt;&gt;"",$E4321&lt;&gt;""),"TXS"&amp;TEXT(COUNTIFS($B$2:$B4321,"&lt;&gt;",$C$2:$C4321,"&lt;&gt;",$D$2:$D4321,"&lt;&gt;",$E$2:$E4321,"&lt;&gt;"),"00000"),""))</f>
        <v/>
      </c>
      <c r="N4321" s="22"/>
    </row>
    <row r="4322" spans="1:14" x14ac:dyDescent="0.3">
      <c r="A4322" s="15" t="str">
        <f>IF(COUNTA($B4322:$E4322,$K4322)=0,"",IF(AND($B4322&lt;&gt;"",$C4322&lt;&gt;"",$D4322&lt;&gt;"",$E4322&lt;&gt;""),"TXS"&amp;TEXT(COUNTIFS($B$2:$B4322,"&lt;&gt;",$C$2:$C4322,"&lt;&gt;",$D$2:$D4322,"&lt;&gt;",$E$2:$E4322,"&lt;&gt;"),"00000"),""))</f>
        <v/>
      </c>
      <c r="N4322" s="22"/>
    </row>
    <row r="4323" spans="1:14" x14ac:dyDescent="0.3">
      <c r="A4323" s="15" t="str">
        <f>IF(COUNTA($B4323:$E4323,$K4323)=0,"",IF(AND($B4323&lt;&gt;"",$C4323&lt;&gt;"",$D4323&lt;&gt;"",$E4323&lt;&gt;""),"TXS"&amp;TEXT(COUNTIFS($B$2:$B4323,"&lt;&gt;",$C$2:$C4323,"&lt;&gt;",$D$2:$D4323,"&lt;&gt;",$E$2:$E4323,"&lt;&gt;"),"00000"),""))</f>
        <v/>
      </c>
      <c r="N4323" s="22"/>
    </row>
    <row r="4324" spans="1:14" x14ac:dyDescent="0.3">
      <c r="A4324" s="15" t="str">
        <f>IF(COUNTA($B4324:$E4324,$K4324)=0,"",IF(AND($B4324&lt;&gt;"",$C4324&lt;&gt;"",$D4324&lt;&gt;"",$E4324&lt;&gt;""),"TXS"&amp;TEXT(COUNTIFS($B$2:$B4324,"&lt;&gt;",$C$2:$C4324,"&lt;&gt;",$D$2:$D4324,"&lt;&gt;",$E$2:$E4324,"&lt;&gt;"),"00000"),""))</f>
        <v/>
      </c>
      <c r="N4324" s="22"/>
    </row>
    <row r="4325" spans="1:14" x14ac:dyDescent="0.3">
      <c r="A4325" s="15" t="str">
        <f>IF(COUNTA($B4325:$E4325,$K4325)=0,"",IF(AND($B4325&lt;&gt;"",$C4325&lt;&gt;"",$D4325&lt;&gt;"",$E4325&lt;&gt;""),"TXS"&amp;TEXT(COUNTIFS($B$2:$B4325,"&lt;&gt;",$C$2:$C4325,"&lt;&gt;",$D$2:$D4325,"&lt;&gt;",$E$2:$E4325,"&lt;&gt;"),"00000"),""))</f>
        <v/>
      </c>
      <c r="N4325" s="22"/>
    </row>
    <row r="4326" spans="1:14" x14ac:dyDescent="0.3">
      <c r="A4326" s="15" t="str">
        <f>IF(COUNTA($B4326:$E4326,$K4326)=0,"",IF(AND($B4326&lt;&gt;"",$C4326&lt;&gt;"",$D4326&lt;&gt;"",$E4326&lt;&gt;""),"TXS"&amp;TEXT(COUNTIFS($B$2:$B4326,"&lt;&gt;",$C$2:$C4326,"&lt;&gt;",$D$2:$D4326,"&lt;&gt;",$E$2:$E4326,"&lt;&gt;"),"00000"),""))</f>
        <v/>
      </c>
      <c r="N4326" s="22"/>
    </row>
    <row r="4327" spans="1:14" x14ac:dyDescent="0.3">
      <c r="A4327" s="15" t="str">
        <f>IF(COUNTA($B4327:$E4327,$K4327)=0,"",IF(AND($B4327&lt;&gt;"",$C4327&lt;&gt;"",$D4327&lt;&gt;"",$E4327&lt;&gt;""),"TXS"&amp;TEXT(COUNTIFS($B$2:$B4327,"&lt;&gt;",$C$2:$C4327,"&lt;&gt;",$D$2:$D4327,"&lt;&gt;",$E$2:$E4327,"&lt;&gt;"),"00000"),""))</f>
        <v/>
      </c>
      <c r="N4327" s="22"/>
    </row>
    <row r="4328" spans="1:14" x14ac:dyDescent="0.3">
      <c r="A4328" s="15" t="str">
        <f>IF(COUNTA($B4328:$E4328,$K4328)=0,"",IF(AND($B4328&lt;&gt;"",$C4328&lt;&gt;"",$D4328&lt;&gt;"",$E4328&lt;&gt;""),"TXS"&amp;TEXT(COUNTIFS($B$2:$B4328,"&lt;&gt;",$C$2:$C4328,"&lt;&gt;",$D$2:$D4328,"&lt;&gt;",$E$2:$E4328,"&lt;&gt;"),"00000"),""))</f>
        <v/>
      </c>
      <c r="N4328" s="22"/>
    </row>
    <row r="4329" spans="1:14" x14ac:dyDescent="0.3">
      <c r="A4329" s="15" t="str">
        <f>IF(COUNTA($B4329:$E4329,$K4329)=0,"",IF(AND($B4329&lt;&gt;"",$C4329&lt;&gt;"",$D4329&lt;&gt;"",$E4329&lt;&gt;""),"TXS"&amp;TEXT(COUNTIFS($B$2:$B4329,"&lt;&gt;",$C$2:$C4329,"&lt;&gt;",$D$2:$D4329,"&lt;&gt;",$E$2:$E4329,"&lt;&gt;"),"00000"),""))</f>
        <v/>
      </c>
      <c r="N4329" s="22"/>
    </row>
    <row r="4330" spans="1:14" x14ac:dyDescent="0.3">
      <c r="A4330" s="15" t="str">
        <f>IF(COUNTA($B4330:$E4330,$K4330)=0,"",IF(AND($B4330&lt;&gt;"",$C4330&lt;&gt;"",$D4330&lt;&gt;"",$E4330&lt;&gt;""),"TXS"&amp;TEXT(COUNTIFS($B$2:$B4330,"&lt;&gt;",$C$2:$C4330,"&lt;&gt;",$D$2:$D4330,"&lt;&gt;",$E$2:$E4330,"&lt;&gt;"),"00000"),""))</f>
        <v/>
      </c>
      <c r="N4330" s="22"/>
    </row>
    <row r="4331" spans="1:14" x14ac:dyDescent="0.3">
      <c r="A4331" s="15" t="str">
        <f>IF(COUNTA($B4331:$E4331,$K4331)=0,"",IF(AND($B4331&lt;&gt;"",$C4331&lt;&gt;"",$D4331&lt;&gt;"",$E4331&lt;&gt;""),"TXS"&amp;TEXT(COUNTIFS($B$2:$B4331,"&lt;&gt;",$C$2:$C4331,"&lt;&gt;",$D$2:$D4331,"&lt;&gt;",$E$2:$E4331,"&lt;&gt;"),"00000"),""))</f>
        <v/>
      </c>
      <c r="N4331" s="22"/>
    </row>
    <row r="4332" spans="1:14" x14ac:dyDescent="0.3">
      <c r="A4332" s="15" t="str">
        <f>IF(COUNTA($B4332:$E4332,$K4332)=0,"",IF(AND($B4332&lt;&gt;"",$C4332&lt;&gt;"",$D4332&lt;&gt;"",$E4332&lt;&gt;""),"TXS"&amp;TEXT(COUNTIFS($B$2:$B4332,"&lt;&gt;",$C$2:$C4332,"&lt;&gt;",$D$2:$D4332,"&lt;&gt;",$E$2:$E4332,"&lt;&gt;"),"00000"),""))</f>
        <v/>
      </c>
      <c r="N4332" s="22"/>
    </row>
    <row r="4333" spans="1:14" x14ac:dyDescent="0.3">
      <c r="A4333" s="15" t="str">
        <f>IF(COUNTA($B4333:$E4333,$K4333)=0,"",IF(AND($B4333&lt;&gt;"",$C4333&lt;&gt;"",$D4333&lt;&gt;"",$E4333&lt;&gt;""),"TXS"&amp;TEXT(COUNTIFS($B$2:$B4333,"&lt;&gt;",$C$2:$C4333,"&lt;&gt;",$D$2:$D4333,"&lt;&gt;",$E$2:$E4333,"&lt;&gt;"),"00000"),""))</f>
        <v/>
      </c>
      <c r="N4333" s="22"/>
    </row>
    <row r="4334" spans="1:14" x14ac:dyDescent="0.3">
      <c r="A4334" s="15" t="str">
        <f>IF(COUNTA($B4334:$E4334,$K4334)=0,"",IF(AND($B4334&lt;&gt;"",$C4334&lt;&gt;"",$D4334&lt;&gt;"",$E4334&lt;&gt;""),"TXS"&amp;TEXT(COUNTIFS($B$2:$B4334,"&lt;&gt;",$C$2:$C4334,"&lt;&gt;",$D$2:$D4334,"&lt;&gt;",$E$2:$E4334,"&lt;&gt;"),"00000"),""))</f>
        <v/>
      </c>
      <c r="N4334" s="22"/>
    </row>
    <row r="4335" spans="1:14" x14ac:dyDescent="0.3">
      <c r="A4335" s="15" t="str">
        <f>IF(COUNTA($B4335:$E4335,$K4335)=0,"",IF(AND($B4335&lt;&gt;"",$C4335&lt;&gt;"",$D4335&lt;&gt;"",$E4335&lt;&gt;""),"TXS"&amp;TEXT(COUNTIFS($B$2:$B4335,"&lt;&gt;",$C$2:$C4335,"&lt;&gt;",$D$2:$D4335,"&lt;&gt;",$E$2:$E4335,"&lt;&gt;"),"00000"),""))</f>
        <v/>
      </c>
      <c r="N4335" s="22"/>
    </row>
    <row r="4336" spans="1:14" x14ac:dyDescent="0.3">
      <c r="A4336" s="15" t="str">
        <f>IF(COUNTA($B4336:$E4336,$K4336)=0,"",IF(AND($B4336&lt;&gt;"",$C4336&lt;&gt;"",$D4336&lt;&gt;"",$E4336&lt;&gt;""),"TXS"&amp;TEXT(COUNTIFS($B$2:$B4336,"&lt;&gt;",$C$2:$C4336,"&lt;&gt;",$D$2:$D4336,"&lt;&gt;",$E$2:$E4336,"&lt;&gt;"),"00000"),""))</f>
        <v/>
      </c>
      <c r="N4336" s="22"/>
    </row>
    <row r="4337" spans="1:14" x14ac:dyDescent="0.3">
      <c r="A4337" s="15" t="str">
        <f>IF(COUNTA($B4337:$E4337,$K4337)=0,"",IF(AND($B4337&lt;&gt;"",$C4337&lt;&gt;"",$D4337&lt;&gt;"",$E4337&lt;&gt;""),"TXS"&amp;TEXT(COUNTIFS($B$2:$B4337,"&lt;&gt;",$C$2:$C4337,"&lt;&gt;",$D$2:$D4337,"&lt;&gt;",$E$2:$E4337,"&lt;&gt;"),"00000"),""))</f>
        <v/>
      </c>
      <c r="N4337" s="22"/>
    </row>
    <row r="4338" spans="1:14" x14ac:dyDescent="0.3">
      <c r="A4338" s="15" t="str">
        <f>IF(COUNTA($B4338:$E4338,$K4338)=0,"",IF(AND($B4338&lt;&gt;"",$C4338&lt;&gt;"",$D4338&lt;&gt;"",$E4338&lt;&gt;""),"TXS"&amp;TEXT(COUNTIFS($B$2:$B4338,"&lt;&gt;",$C$2:$C4338,"&lt;&gt;",$D$2:$D4338,"&lt;&gt;",$E$2:$E4338,"&lt;&gt;"),"00000"),""))</f>
        <v/>
      </c>
      <c r="N4338" s="22"/>
    </row>
    <row r="4339" spans="1:14" x14ac:dyDescent="0.3">
      <c r="A4339" s="15" t="str">
        <f>IF(COUNTA($B4339:$E4339,$K4339)=0,"",IF(AND($B4339&lt;&gt;"",$C4339&lt;&gt;"",$D4339&lt;&gt;"",$E4339&lt;&gt;""),"TXS"&amp;TEXT(COUNTIFS($B$2:$B4339,"&lt;&gt;",$C$2:$C4339,"&lt;&gt;",$D$2:$D4339,"&lt;&gt;",$E$2:$E4339,"&lt;&gt;"),"00000"),""))</f>
        <v/>
      </c>
      <c r="N4339" s="22"/>
    </row>
    <row r="4340" spans="1:14" x14ac:dyDescent="0.3">
      <c r="A4340" s="15" t="str">
        <f>IF(COUNTA($B4340:$E4340,$K4340)=0,"",IF(AND($B4340&lt;&gt;"",$C4340&lt;&gt;"",$D4340&lt;&gt;"",$E4340&lt;&gt;""),"TXS"&amp;TEXT(COUNTIFS($B$2:$B4340,"&lt;&gt;",$C$2:$C4340,"&lt;&gt;",$D$2:$D4340,"&lt;&gt;",$E$2:$E4340,"&lt;&gt;"),"00000"),""))</f>
        <v/>
      </c>
      <c r="N4340" s="22"/>
    </row>
    <row r="4341" spans="1:14" x14ac:dyDescent="0.3">
      <c r="A4341" s="15" t="str">
        <f>IF(COUNTA($B4341:$E4341,$K4341)=0,"",IF(AND($B4341&lt;&gt;"",$C4341&lt;&gt;"",$D4341&lt;&gt;"",$E4341&lt;&gt;""),"TXS"&amp;TEXT(COUNTIFS($B$2:$B4341,"&lt;&gt;",$C$2:$C4341,"&lt;&gt;",$D$2:$D4341,"&lt;&gt;",$E$2:$E4341,"&lt;&gt;"),"00000"),""))</f>
        <v/>
      </c>
      <c r="N4341" s="22"/>
    </row>
    <row r="4342" spans="1:14" x14ac:dyDescent="0.3">
      <c r="A4342" s="15" t="str">
        <f>IF(COUNTA($B4342:$E4342,$K4342)=0,"",IF(AND($B4342&lt;&gt;"",$C4342&lt;&gt;"",$D4342&lt;&gt;"",$E4342&lt;&gt;""),"TXS"&amp;TEXT(COUNTIFS($B$2:$B4342,"&lt;&gt;",$C$2:$C4342,"&lt;&gt;",$D$2:$D4342,"&lt;&gt;",$E$2:$E4342,"&lt;&gt;"),"00000"),""))</f>
        <v/>
      </c>
      <c r="N4342" s="22"/>
    </row>
    <row r="4343" spans="1:14" x14ac:dyDescent="0.3">
      <c r="A4343" s="15" t="str">
        <f>IF(COUNTA($B4343:$E4343,$K4343)=0,"",IF(AND($B4343&lt;&gt;"",$C4343&lt;&gt;"",$D4343&lt;&gt;"",$E4343&lt;&gt;""),"TXS"&amp;TEXT(COUNTIFS($B$2:$B4343,"&lt;&gt;",$C$2:$C4343,"&lt;&gt;",$D$2:$D4343,"&lt;&gt;",$E$2:$E4343,"&lt;&gt;"),"00000"),""))</f>
        <v/>
      </c>
      <c r="N4343" s="22"/>
    </row>
    <row r="4344" spans="1:14" x14ac:dyDescent="0.3">
      <c r="A4344" s="15" t="str">
        <f>IF(COUNTA($B4344:$E4344,$K4344)=0,"",IF(AND($B4344&lt;&gt;"",$C4344&lt;&gt;"",$D4344&lt;&gt;"",$E4344&lt;&gt;""),"TXS"&amp;TEXT(COUNTIFS($B$2:$B4344,"&lt;&gt;",$C$2:$C4344,"&lt;&gt;",$D$2:$D4344,"&lt;&gt;",$E$2:$E4344,"&lt;&gt;"),"00000"),""))</f>
        <v/>
      </c>
      <c r="N4344" s="22"/>
    </row>
    <row r="4345" spans="1:14" x14ac:dyDescent="0.3">
      <c r="A4345" s="15" t="str">
        <f>IF(COUNTA($B4345:$E4345,$K4345)=0,"",IF(AND($B4345&lt;&gt;"",$C4345&lt;&gt;"",$D4345&lt;&gt;"",$E4345&lt;&gt;""),"TXS"&amp;TEXT(COUNTIFS($B$2:$B4345,"&lt;&gt;",$C$2:$C4345,"&lt;&gt;",$D$2:$D4345,"&lt;&gt;",$E$2:$E4345,"&lt;&gt;"),"00000"),""))</f>
        <v/>
      </c>
      <c r="N4345" s="22"/>
    </row>
    <row r="4346" spans="1:14" x14ac:dyDescent="0.3">
      <c r="A4346" s="15" t="str">
        <f>IF(COUNTA($B4346:$E4346,$K4346)=0,"",IF(AND($B4346&lt;&gt;"",$C4346&lt;&gt;"",$D4346&lt;&gt;"",$E4346&lt;&gt;""),"TXS"&amp;TEXT(COUNTIFS($B$2:$B4346,"&lt;&gt;",$C$2:$C4346,"&lt;&gt;",$D$2:$D4346,"&lt;&gt;",$E$2:$E4346,"&lt;&gt;"),"00000"),""))</f>
        <v/>
      </c>
      <c r="N4346" s="22"/>
    </row>
    <row r="4347" spans="1:14" x14ac:dyDescent="0.3">
      <c r="A4347" s="15" t="str">
        <f>IF(COUNTA($B4347:$E4347,$K4347)=0,"",IF(AND($B4347&lt;&gt;"",$C4347&lt;&gt;"",$D4347&lt;&gt;"",$E4347&lt;&gt;""),"TXS"&amp;TEXT(COUNTIFS($B$2:$B4347,"&lt;&gt;",$C$2:$C4347,"&lt;&gt;",$D$2:$D4347,"&lt;&gt;",$E$2:$E4347,"&lt;&gt;"),"00000"),""))</f>
        <v/>
      </c>
      <c r="N4347" s="22"/>
    </row>
    <row r="4348" spans="1:14" x14ac:dyDescent="0.3">
      <c r="A4348" s="15" t="str">
        <f>IF(COUNTA($B4348:$E4348,$K4348)=0,"",IF(AND($B4348&lt;&gt;"",$C4348&lt;&gt;"",$D4348&lt;&gt;"",$E4348&lt;&gt;""),"TXS"&amp;TEXT(COUNTIFS($B$2:$B4348,"&lt;&gt;",$C$2:$C4348,"&lt;&gt;",$D$2:$D4348,"&lt;&gt;",$E$2:$E4348,"&lt;&gt;"),"00000"),""))</f>
        <v/>
      </c>
      <c r="N4348" s="22"/>
    </row>
    <row r="4349" spans="1:14" x14ac:dyDescent="0.3">
      <c r="A4349" s="15" t="str">
        <f>IF(COUNTA($B4349:$E4349,$K4349)=0,"",IF(AND($B4349&lt;&gt;"",$C4349&lt;&gt;"",$D4349&lt;&gt;"",$E4349&lt;&gt;""),"TXS"&amp;TEXT(COUNTIFS($B$2:$B4349,"&lt;&gt;",$C$2:$C4349,"&lt;&gt;",$D$2:$D4349,"&lt;&gt;",$E$2:$E4349,"&lt;&gt;"),"00000"),""))</f>
        <v/>
      </c>
      <c r="N4349" s="22"/>
    </row>
    <row r="4350" spans="1:14" x14ac:dyDescent="0.3">
      <c r="A4350" s="15" t="str">
        <f>IF(COUNTA($B4350:$E4350,$K4350)=0,"",IF(AND($B4350&lt;&gt;"",$C4350&lt;&gt;"",$D4350&lt;&gt;"",$E4350&lt;&gt;""),"TXS"&amp;TEXT(COUNTIFS($B$2:$B4350,"&lt;&gt;",$C$2:$C4350,"&lt;&gt;",$D$2:$D4350,"&lt;&gt;",$E$2:$E4350,"&lt;&gt;"),"00000"),""))</f>
        <v/>
      </c>
      <c r="N4350" s="22"/>
    </row>
    <row r="4351" spans="1:14" x14ac:dyDescent="0.3">
      <c r="A4351" s="15" t="str">
        <f>IF(COUNTA($B4351:$E4351,$K4351)=0,"",IF(AND($B4351&lt;&gt;"",$C4351&lt;&gt;"",$D4351&lt;&gt;"",$E4351&lt;&gt;""),"TXS"&amp;TEXT(COUNTIFS($B$2:$B4351,"&lt;&gt;",$C$2:$C4351,"&lt;&gt;",$D$2:$D4351,"&lt;&gt;",$E$2:$E4351,"&lt;&gt;"),"00000"),""))</f>
        <v/>
      </c>
      <c r="N4351" s="22"/>
    </row>
    <row r="4352" spans="1:14" x14ac:dyDescent="0.3">
      <c r="A4352" s="15" t="str">
        <f>IF(COUNTA($B4352:$E4352,$K4352)=0,"",IF(AND($B4352&lt;&gt;"",$C4352&lt;&gt;"",$D4352&lt;&gt;"",$E4352&lt;&gt;""),"TXS"&amp;TEXT(COUNTIFS($B$2:$B4352,"&lt;&gt;",$C$2:$C4352,"&lt;&gt;",$D$2:$D4352,"&lt;&gt;",$E$2:$E4352,"&lt;&gt;"),"00000"),""))</f>
        <v/>
      </c>
      <c r="N4352" s="22"/>
    </row>
    <row r="4353" spans="1:14" x14ac:dyDescent="0.3">
      <c r="A4353" s="15" t="str">
        <f>IF(COUNTA($B4353:$E4353,$K4353)=0,"",IF(AND($B4353&lt;&gt;"",$C4353&lt;&gt;"",$D4353&lt;&gt;"",$E4353&lt;&gt;""),"TXS"&amp;TEXT(COUNTIFS($B$2:$B4353,"&lt;&gt;",$C$2:$C4353,"&lt;&gt;",$D$2:$D4353,"&lt;&gt;",$E$2:$E4353,"&lt;&gt;"),"00000"),""))</f>
        <v/>
      </c>
      <c r="N4353" s="22"/>
    </row>
    <row r="4354" spans="1:14" x14ac:dyDescent="0.3">
      <c r="A4354" s="15" t="str">
        <f>IF(COUNTA($B4354:$E4354,$K4354)=0,"",IF(AND($B4354&lt;&gt;"",$C4354&lt;&gt;"",$D4354&lt;&gt;"",$E4354&lt;&gt;""),"TXS"&amp;TEXT(COUNTIFS($B$2:$B4354,"&lt;&gt;",$C$2:$C4354,"&lt;&gt;",$D$2:$D4354,"&lt;&gt;",$E$2:$E4354,"&lt;&gt;"),"00000"),""))</f>
        <v/>
      </c>
      <c r="N4354" s="22"/>
    </row>
    <row r="4355" spans="1:14" x14ac:dyDescent="0.3">
      <c r="A4355" s="15" t="str">
        <f>IF(COUNTA($B4355:$E4355,$K4355)=0,"",IF(AND($B4355&lt;&gt;"",$C4355&lt;&gt;"",$D4355&lt;&gt;"",$E4355&lt;&gt;""),"TXS"&amp;TEXT(COUNTIFS($B$2:$B4355,"&lt;&gt;",$C$2:$C4355,"&lt;&gt;",$D$2:$D4355,"&lt;&gt;",$E$2:$E4355,"&lt;&gt;"),"00000"),""))</f>
        <v/>
      </c>
      <c r="N4355" s="22"/>
    </row>
    <row r="4356" spans="1:14" x14ac:dyDescent="0.3">
      <c r="A4356" s="15" t="str">
        <f>IF(COUNTA($B4356:$E4356,$K4356)=0,"",IF(AND($B4356&lt;&gt;"",$C4356&lt;&gt;"",$D4356&lt;&gt;"",$E4356&lt;&gt;""),"TXS"&amp;TEXT(COUNTIFS($B$2:$B4356,"&lt;&gt;",$C$2:$C4356,"&lt;&gt;",$D$2:$D4356,"&lt;&gt;",$E$2:$E4356,"&lt;&gt;"),"00000"),""))</f>
        <v/>
      </c>
      <c r="N4356" s="22"/>
    </row>
    <row r="4357" spans="1:14" x14ac:dyDescent="0.3">
      <c r="A4357" s="15" t="str">
        <f>IF(COUNTA($B4357:$E4357,$K4357)=0,"",IF(AND($B4357&lt;&gt;"",$C4357&lt;&gt;"",$D4357&lt;&gt;"",$E4357&lt;&gt;""),"TXS"&amp;TEXT(COUNTIFS($B$2:$B4357,"&lt;&gt;",$C$2:$C4357,"&lt;&gt;",$D$2:$D4357,"&lt;&gt;",$E$2:$E4357,"&lt;&gt;"),"00000"),""))</f>
        <v/>
      </c>
      <c r="N4357" s="22"/>
    </row>
    <row r="4358" spans="1:14" x14ac:dyDescent="0.3">
      <c r="A4358" s="15" t="str">
        <f>IF(COUNTA($B4358:$E4358,$K4358)=0,"",IF(AND($B4358&lt;&gt;"",$C4358&lt;&gt;"",$D4358&lt;&gt;"",$E4358&lt;&gt;""),"TXS"&amp;TEXT(COUNTIFS($B$2:$B4358,"&lt;&gt;",$C$2:$C4358,"&lt;&gt;",$D$2:$D4358,"&lt;&gt;",$E$2:$E4358,"&lt;&gt;"),"00000"),""))</f>
        <v/>
      </c>
      <c r="N4358" s="22"/>
    </row>
    <row r="4359" spans="1:14" x14ac:dyDescent="0.3">
      <c r="A4359" s="15" t="str">
        <f>IF(COUNTA($B4359:$E4359,$K4359)=0,"",IF(AND($B4359&lt;&gt;"",$C4359&lt;&gt;"",$D4359&lt;&gt;"",$E4359&lt;&gt;""),"TXS"&amp;TEXT(COUNTIFS($B$2:$B4359,"&lt;&gt;",$C$2:$C4359,"&lt;&gt;",$D$2:$D4359,"&lt;&gt;",$E$2:$E4359,"&lt;&gt;"),"00000"),""))</f>
        <v/>
      </c>
      <c r="N4359" s="22"/>
    </row>
    <row r="4360" spans="1:14" x14ac:dyDescent="0.3">
      <c r="A4360" s="15" t="str">
        <f>IF(COUNTA($B4360:$E4360,$K4360)=0,"",IF(AND($B4360&lt;&gt;"",$C4360&lt;&gt;"",$D4360&lt;&gt;"",$E4360&lt;&gt;""),"TXS"&amp;TEXT(COUNTIFS($B$2:$B4360,"&lt;&gt;",$C$2:$C4360,"&lt;&gt;",$D$2:$D4360,"&lt;&gt;",$E$2:$E4360,"&lt;&gt;"),"00000"),""))</f>
        <v/>
      </c>
      <c r="N4360" s="22"/>
    </row>
    <row r="4361" spans="1:14" x14ac:dyDescent="0.3">
      <c r="A4361" s="15" t="str">
        <f>IF(COUNTA($B4361:$E4361,$K4361)=0,"",IF(AND($B4361&lt;&gt;"",$C4361&lt;&gt;"",$D4361&lt;&gt;"",$E4361&lt;&gt;""),"TXS"&amp;TEXT(COUNTIFS($B$2:$B4361,"&lt;&gt;",$C$2:$C4361,"&lt;&gt;",$D$2:$D4361,"&lt;&gt;",$E$2:$E4361,"&lt;&gt;"),"00000"),""))</f>
        <v/>
      </c>
      <c r="N4361" s="22"/>
    </row>
    <row r="4362" spans="1:14" x14ac:dyDescent="0.3">
      <c r="A4362" s="15" t="str">
        <f>IF(COUNTA($B4362:$E4362,$K4362)=0,"",IF(AND($B4362&lt;&gt;"",$C4362&lt;&gt;"",$D4362&lt;&gt;"",$E4362&lt;&gt;""),"TXS"&amp;TEXT(COUNTIFS($B$2:$B4362,"&lt;&gt;",$C$2:$C4362,"&lt;&gt;",$D$2:$D4362,"&lt;&gt;",$E$2:$E4362,"&lt;&gt;"),"00000"),""))</f>
        <v/>
      </c>
      <c r="N4362" s="22"/>
    </row>
    <row r="4363" spans="1:14" x14ac:dyDescent="0.3">
      <c r="A4363" s="15" t="str">
        <f>IF(COUNTA($B4363:$E4363,$K4363)=0,"",IF(AND($B4363&lt;&gt;"",$C4363&lt;&gt;"",$D4363&lt;&gt;"",$E4363&lt;&gt;""),"TXS"&amp;TEXT(COUNTIFS($B$2:$B4363,"&lt;&gt;",$C$2:$C4363,"&lt;&gt;",$D$2:$D4363,"&lt;&gt;",$E$2:$E4363,"&lt;&gt;"),"00000"),""))</f>
        <v/>
      </c>
      <c r="N4363" s="22"/>
    </row>
    <row r="4364" spans="1:14" x14ac:dyDescent="0.3">
      <c r="A4364" s="15" t="str">
        <f>IF(COUNTA($B4364:$E4364,$K4364)=0,"",IF(AND($B4364&lt;&gt;"",$C4364&lt;&gt;"",$D4364&lt;&gt;"",$E4364&lt;&gt;""),"TXS"&amp;TEXT(COUNTIFS($B$2:$B4364,"&lt;&gt;",$C$2:$C4364,"&lt;&gt;",$D$2:$D4364,"&lt;&gt;",$E$2:$E4364,"&lt;&gt;"),"00000"),""))</f>
        <v/>
      </c>
      <c r="N4364" s="22"/>
    </row>
    <row r="4365" spans="1:14" x14ac:dyDescent="0.3">
      <c r="A4365" s="15" t="str">
        <f>IF(COUNTA($B4365:$E4365,$K4365)=0,"",IF(AND($B4365&lt;&gt;"",$C4365&lt;&gt;"",$D4365&lt;&gt;"",$E4365&lt;&gt;""),"TXS"&amp;TEXT(COUNTIFS($B$2:$B4365,"&lt;&gt;",$C$2:$C4365,"&lt;&gt;",$D$2:$D4365,"&lt;&gt;",$E$2:$E4365,"&lt;&gt;"),"00000"),""))</f>
        <v/>
      </c>
      <c r="N4365" s="22"/>
    </row>
    <row r="4366" spans="1:14" x14ac:dyDescent="0.3">
      <c r="A4366" s="15" t="str">
        <f>IF(COUNTA($B4366:$E4366,$K4366)=0,"",IF(AND($B4366&lt;&gt;"",$C4366&lt;&gt;"",$D4366&lt;&gt;"",$E4366&lt;&gt;""),"TXS"&amp;TEXT(COUNTIFS($B$2:$B4366,"&lt;&gt;",$C$2:$C4366,"&lt;&gt;",$D$2:$D4366,"&lt;&gt;",$E$2:$E4366,"&lt;&gt;"),"00000"),""))</f>
        <v/>
      </c>
      <c r="N4366" s="22"/>
    </row>
    <row r="4367" spans="1:14" x14ac:dyDescent="0.3">
      <c r="A4367" s="15" t="str">
        <f>IF(COUNTA($B4367:$E4367,$K4367)=0,"",IF(AND($B4367&lt;&gt;"",$C4367&lt;&gt;"",$D4367&lt;&gt;"",$E4367&lt;&gt;""),"TXS"&amp;TEXT(COUNTIFS($B$2:$B4367,"&lt;&gt;",$C$2:$C4367,"&lt;&gt;",$D$2:$D4367,"&lt;&gt;",$E$2:$E4367,"&lt;&gt;"),"00000"),""))</f>
        <v/>
      </c>
      <c r="N4367" s="22"/>
    </row>
    <row r="4368" spans="1:14" x14ac:dyDescent="0.3">
      <c r="A4368" s="15" t="str">
        <f>IF(COUNTA($B4368:$E4368,$K4368)=0,"",IF(AND($B4368&lt;&gt;"",$C4368&lt;&gt;"",$D4368&lt;&gt;"",$E4368&lt;&gt;""),"TXS"&amp;TEXT(COUNTIFS($B$2:$B4368,"&lt;&gt;",$C$2:$C4368,"&lt;&gt;",$D$2:$D4368,"&lt;&gt;",$E$2:$E4368,"&lt;&gt;"),"00000"),""))</f>
        <v/>
      </c>
      <c r="N4368" s="22"/>
    </row>
    <row r="4369" spans="1:14" x14ac:dyDescent="0.3">
      <c r="A4369" s="15" t="str">
        <f>IF(COUNTA($B4369:$E4369,$K4369)=0,"",IF(AND($B4369&lt;&gt;"",$C4369&lt;&gt;"",$D4369&lt;&gt;"",$E4369&lt;&gt;""),"TXS"&amp;TEXT(COUNTIFS($B$2:$B4369,"&lt;&gt;",$C$2:$C4369,"&lt;&gt;",$D$2:$D4369,"&lt;&gt;",$E$2:$E4369,"&lt;&gt;"),"00000"),""))</f>
        <v/>
      </c>
      <c r="N4369" s="22"/>
    </row>
    <row r="4370" spans="1:14" x14ac:dyDescent="0.3">
      <c r="A4370" s="15" t="str">
        <f>IF(COUNTA($B4370:$E4370,$K4370)=0,"",IF(AND($B4370&lt;&gt;"",$C4370&lt;&gt;"",$D4370&lt;&gt;"",$E4370&lt;&gt;""),"TXS"&amp;TEXT(COUNTIFS($B$2:$B4370,"&lt;&gt;",$C$2:$C4370,"&lt;&gt;",$D$2:$D4370,"&lt;&gt;",$E$2:$E4370,"&lt;&gt;"),"00000"),""))</f>
        <v/>
      </c>
      <c r="N4370" s="22"/>
    </row>
    <row r="4371" spans="1:14" x14ac:dyDescent="0.3">
      <c r="A4371" s="15" t="str">
        <f>IF(COUNTA($B4371:$E4371,$K4371)=0,"",IF(AND($B4371&lt;&gt;"",$C4371&lt;&gt;"",$D4371&lt;&gt;"",$E4371&lt;&gt;""),"TXS"&amp;TEXT(COUNTIFS($B$2:$B4371,"&lt;&gt;",$C$2:$C4371,"&lt;&gt;",$D$2:$D4371,"&lt;&gt;",$E$2:$E4371,"&lt;&gt;"),"00000"),""))</f>
        <v/>
      </c>
      <c r="N4371" s="22"/>
    </row>
    <row r="4372" spans="1:14" x14ac:dyDescent="0.3">
      <c r="A4372" s="15" t="str">
        <f>IF(COUNTA($B4372:$E4372,$K4372)=0,"",IF(AND($B4372&lt;&gt;"",$C4372&lt;&gt;"",$D4372&lt;&gt;"",$E4372&lt;&gt;""),"TXS"&amp;TEXT(COUNTIFS($B$2:$B4372,"&lt;&gt;",$C$2:$C4372,"&lt;&gt;",$D$2:$D4372,"&lt;&gt;",$E$2:$E4372,"&lt;&gt;"),"00000"),""))</f>
        <v/>
      </c>
      <c r="N4372" s="22"/>
    </row>
    <row r="4373" spans="1:14" x14ac:dyDescent="0.3">
      <c r="A4373" s="15" t="str">
        <f>IF(COUNTA($B4373:$E4373,$K4373)=0,"",IF(AND($B4373&lt;&gt;"",$C4373&lt;&gt;"",$D4373&lt;&gt;"",$E4373&lt;&gt;""),"TXS"&amp;TEXT(COUNTIFS($B$2:$B4373,"&lt;&gt;",$C$2:$C4373,"&lt;&gt;",$D$2:$D4373,"&lt;&gt;",$E$2:$E4373,"&lt;&gt;"),"00000"),""))</f>
        <v/>
      </c>
      <c r="N4373" s="22"/>
    </row>
    <row r="4374" spans="1:14" x14ac:dyDescent="0.3">
      <c r="A4374" s="15" t="str">
        <f>IF(COUNTA($B4374:$E4374,$K4374)=0,"",IF(AND($B4374&lt;&gt;"",$C4374&lt;&gt;"",$D4374&lt;&gt;"",$E4374&lt;&gt;""),"TXS"&amp;TEXT(COUNTIFS($B$2:$B4374,"&lt;&gt;",$C$2:$C4374,"&lt;&gt;",$D$2:$D4374,"&lt;&gt;",$E$2:$E4374,"&lt;&gt;"),"00000"),""))</f>
        <v/>
      </c>
      <c r="N4374" s="22"/>
    </row>
    <row r="4375" spans="1:14" x14ac:dyDescent="0.3">
      <c r="A4375" s="15" t="str">
        <f>IF(COUNTA($B4375:$E4375,$K4375)=0,"",IF(AND($B4375&lt;&gt;"",$C4375&lt;&gt;"",$D4375&lt;&gt;"",$E4375&lt;&gt;""),"TXS"&amp;TEXT(COUNTIFS($B$2:$B4375,"&lt;&gt;",$C$2:$C4375,"&lt;&gt;",$D$2:$D4375,"&lt;&gt;",$E$2:$E4375,"&lt;&gt;"),"00000"),""))</f>
        <v/>
      </c>
      <c r="N4375" s="22"/>
    </row>
    <row r="4376" spans="1:14" x14ac:dyDescent="0.3">
      <c r="A4376" s="15" t="str">
        <f>IF(COUNTA($B4376:$E4376,$K4376)=0,"",IF(AND($B4376&lt;&gt;"",$C4376&lt;&gt;"",$D4376&lt;&gt;"",$E4376&lt;&gt;""),"TXS"&amp;TEXT(COUNTIFS($B$2:$B4376,"&lt;&gt;",$C$2:$C4376,"&lt;&gt;",$D$2:$D4376,"&lt;&gt;",$E$2:$E4376,"&lt;&gt;"),"00000"),""))</f>
        <v/>
      </c>
      <c r="N4376" s="22"/>
    </row>
    <row r="4377" spans="1:14" x14ac:dyDescent="0.3">
      <c r="A4377" s="15" t="str">
        <f>IF(COUNTA($B4377:$E4377,$K4377)=0,"",IF(AND($B4377&lt;&gt;"",$C4377&lt;&gt;"",$D4377&lt;&gt;"",$E4377&lt;&gt;""),"TXS"&amp;TEXT(COUNTIFS($B$2:$B4377,"&lt;&gt;",$C$2:$C4377,"&lt;&gt;",$D$2:$D4377,"&lt;&gt;",$E$2:$E4377,"&lt;&gt;"),"00000"),""))</f>
        <v/>
      </c>
      <c r="N4377" s="22"/>
    </row>
    <row r="4378" spans="1:14" x14ac:dyDescent="0.3">
      <c r="A4378" s="15" t="str">
        <f>IF(COUNTA($B4378:$E4378,$K4378)=0,"",IF(AND($B4378&lt;&gt;"",$C4378&lt;&gt;"",$D4378&lt;&gt;"",$E4378&lt;&gt;""),"TXS"&amp;TEXT(COUNTIFS($B$2:$B4378,"&lt;&gt;",$C$2:$C4378,"&lt;&gt;",$D$2:$D4378,"&lt;&gt;",$E$2:$E4378,"&lt;&gt;"),"00000"),""))</f>
        <v/>
      </c>
      <c r="N4378" s="22"/>
    </row>
    <row r="4379" spans="1:14" x14ac:dyDescent="0.3">
      <c r="A4379" s="15" t="str">
        <f>IF(COUNTA($B4379:$E4379,$K4379)=0,"",IF(AND($B4379&lt;&gt;"",$C4379&lt;&gt;"",$D4379&lt;&gt;"",$E4379&lt;&gt;""),"TXS"&amp;TEXT(COUNTIFS($B$2:$B4379,"&lt;&gt;",$C$2:$C4379,"&lt;&gt;",$D$2:$D4379,"&lt;&gt;",$E$2:$E4379,"&lt;&gt;"),"00000"),""))</f>
        <v/>
      </c>
      <c r="N4379" s="22"/>
    </row>
    <row r="4380" spans="1:14" x14ac:dyDescent="0.3">
      <c r="A4380" s="15" t="str">
        <f>IF(COUNTA($B4380:$E4380,$K4380)=0,"",IF(AND($B4380&lt;&gt;"",$C4380&lt;&gt;"",$D4380&lt;&gt;"",$E4380&lt;&gt;""),"TXS"&amp;TEXT(COUNTIFS($B$2:$B4380,"&lt;&gt;",$C$2:$C4380,"&lt;&gt;",$D$2:$D4380,"&lt;&gt;",$E$2:$E4380,"&lt;&gt;"),"00000"),""))</f>
        <v/>
      </c>
      <c r="N4380" s="22"/>
    </row>
    <row r="4381" spans="1:14" x14ac:dyDescent="0.3">
      <c r="A4381" s="15" t="str">
        <f>IF(COUNTA($B4381:$E4381,$K4381)=0,"",IF(AND($B4381&lt;&gt;"",$C4381&lt;&gt;"",$D4381&lt;&gt;"",$E4381&lt;&gt;""),"TXS"&amp;TEXT(COUNTIFS($B$2:$B4381,"&lt;&gt;",$C$2:$C4381,"&lt;&gt;",$D$2:$D4381,"&lt;&gt;",$E$2:$E4381,"&lt;&gt;"),"00000"),""))</f>
        <v/>
      </c>
      <c r="N4381" s="22"/>
    </row>
    <row r="4382" spans="1:14" x14ac:dyDescent="0.3">
      <c r="A4382" s="15" t="str">
        <f>IF(COUNTA($B4382:$E4382,$K4382)=0,"",IF(AND($B4382&lt;&gt;"",$C4382&lt;&gt;"",$D4382&lt;&gt;"",$E4382&lt;&gt;""),"TXS"&amp;TEXT(COUNTIFS($B$2:$B4382,"&lt;&gt;",$C$2:$C4382,"&lt;&gt;",$D$2:$D4382,"&lt;&gt;",$E$2:$E4382,"&lt;&gt;"),"00000"),""))</f>
        <v/>
      </c>
      <c r="N4382" s="22"/>
    </row>
    <row r="4383" spans="1:14" x14ac:dyDescent="0.3">
      <c r="A4383" s="15" t="str">
        <f>IF(COUNTA($B4383:$E4383,$K4383)=0,"",IF(AND($B4383&lt;&gt;"",$C4383&lt;&gt;"",$D4383&lt;&gt;"",$E4383&lt;&gt;""),"TXS"&amp;TEXT(COUNTIFS($B$2:$B4383,"&lt;&gt;",$C$2:$C4383,"&lt;&gt;",$D$2:$D4383,"&lt;&gt;",$E$2:$E4383,"&lt;&gt;"),"00000"),""))</f>
        <v/>
      </c>
      <c r="N4383" s="22"/>
    </row>
    <row r="4384" spans="1:14" x14ac:dyDescent="0.3">
      <c r="A4384" s="15" t="str">
        <f>IF(COUNTA($B4384:$E4384,$K4384)=0,"",IF(AND($B4384&lt;&gt;"",$C4384&lt;&gt;"",$D4384&lt;&gt;"",$E4384&lt;&gt;""),"TXS"&amp;TEXT(COUNTIFS($B$2:$B4384,"&lt;&gt;",$C$2:$C4384,"&lt;&gt;",$D$2:$D4384,"&lt;&gt;",$E$2:$E4384,"&lt;&gt;"),"00000"),""))</f>
        <v/>
      </c>
      <c r="N4384" s="22"/>
    </row>
    <row r="4385" spans="1:14" x14ac:dyDescent="0.3">
      <c r="A4385" s="15" t="str">
        <f>IF(COUNTA($B4385:$E4385,$K4385)=0,"",IF(AND($B4385&lt;&gt;"",$C4385&lt;&gt;"",$D4385&lt;&gt;"",$E4385&lt;&gt;""),"TXS"&amp;TEXT(COUNTIFS($B$2:$B4385,"&lt;&gt;",$C$2:$C4385,"&lt;&gt;",$D$2:$D4385,"&lt;&gt;",$E$2:$E4385,"&lt;&gt;"),"00000"),""))</f>
        <v/>
      </c>
      <c r="N4385" s="22"/>
    </row>
    <row r="4386" spans="1:14" x14ac:dyDescent="0.3">
      <c r="A4386" s="15" t="str">
        <f>IF(COUNTA($B4386:$E4386,$K4386)=0,"",IF(AND($B4386&lt;&gt;"",$C4386&lt;&gt;"",$D4386&lt;&gt;"",$E4386&lt;&gt;""),"TXS"&amp;TEXT(COUNTIFS($B$2:$B4386,"&lt;&gt;",$C$2:$C4386,"&lt;&gt;",$D$2:$D4386,"&lt;&gt;",$E$2:$E4386,"&lt;&gt;"),"00000"),""))</f>
        <v/>
      </c>
      <c r="N4386" s="22"/>
    </row>
    <row r="4387" spans="1:14" x14ac:dyDescent="0.3">
      <c r="A4387" s="15" t="str">
        <f>IF(COUNTA($B4387:$E4387,$K4387)=0,"",IF(AND($B4387&lt;&gt;"",$C4387&lt;&gt;"",$D4387&lt;&gt;"",$E4387&lt;&gt;""),"TXS"&amp;TEXT(COUNTIFS($B$2:$B4387,"&lt;&gt;",$C$2:$C4387,"&lt;&gt;",$D$2:$D4387,"&lt;&gt;",$E$2:$E4387,"&lt;&gt;"),"00000"),""))</f>
        <v/>
      </c>
      <c r="N4387" s="22"/>
    </row>
    <row r="4388" spans="1:14" x14ac:dyDescent="0.3">
      <c r="A4388" s="15" t="str">
        <f>IF(COUNTA($B4388:$E4388,$K4388)=0,"",IF(AND($B4388&lt;&gt;"",$C4388&lt;&gt;"",$D4388&lt;&gt;"",$E4388&lt;&gt;""),"TXS"&amp;TEXT(COUNTIFS($B$2:$B4388,"&lt;&gt;",$C$2:$C4388,"&lt;&gt;",$D$2:$D4388,"&lt;&gt;",$E$2:$E4388,"&lt;&gt;"),"00000"),""))</f>
        <v/>
      </c>
      <c r="N4388" s="22"/>
    </row>
    <row r="4389" spans="1:14" x14ac:dyDescent="0.3">
      <c r="A4389" s="15" t="str">
        <f>IF(COUNTA($B4389:$E4389,$K4389)=0,"",IF(AND($B4389&lt;&gt;"",$C4389&lt;&gt;"",$D4389&lt;&gt;"",$E4389&lt;&gt;""),"TXS"&amp;TEXT(COUNTIFS($B$2:$B4389,"&lt;&gt;",$C$2:$C4389,"&lt;&gt;",$D$2:$D4389,"&lt;&gt;",$E$2:$E4389,"&lt;&gt;"),"00000"),""))</f>
        <v/>
      </c>
      <c r="N4389" s="22"/>
    </row>
    <row r="4390" spans="1:14" x14ac:dyDescent="0.3">
      <c r="A4390" s="15" t="str">
        <f>IF(COUNTA($B4390:$E4390,$K4390)=0,"",IF(AND($B4390&lt;&gt;"",$C4390&lt;&gt;"",$D4390&lt;&gt;"",$E4390&lt;&gt;""),"TXS"&amp;TEXT(COUNTIFS($B$2:$B4390,"&lt;&gt;",$C$2:$C4390,"&lt;&gt;",$D$2:$D4390,"&lt;&gt;",$E$2:$E4390,"&lt;&gt;"),"00000"),""))</f>
        <v/>
      </c>
      <c r="N4390" s="22"/>
    </row>
    <row r="4391" spans="1:14" x14ac:dyDescent="0.3">
      <c r="A4391" s="15" t="str">
        <f>IF(COUNTA($B4391:$E4391,$K4391)=0,"",IF(AND($B4391&lt;&gt;"",$C4391&lt;&gt;"",$D4391&lt;&gt;"",$E4391&lt;&gt;""),"TXS"&amp;TEXT(COUNTIFS($B$2:$B4391,"&lt;&gt;",$C$2:$C4391,"&lt;&gt;",$D$2:$D4391,"&lt;&gt;",$E$2:$E4391,"&lt;&gt;"),"00000"),""))</f>
        <v/>
      </c>
      <c r="N4391" s="22"/>
    </row>
    <row r="4392" spans="1:14" x14ac:dyDescent="0.3">
      <c r="A4392" s="15" t="str">
        <f>IF(COUNTA($B4392:$E4392,$K4392)=0,"",IF(AND($B4392&lt;&gt;"",$C4392&lt;&gt;"",$D4392&lt;&gt;"",$E4392&lt;&gt;""),"TXS"&amp;TEXT(COUNTIFS($B$2:$B4392,"&lt;&gt;",$C$2:$C4392,"&lt;&gt;",$D$2:$D4392,"&lt;&gt;",$E$2:$E4392,"&lt;&gt;"),"00000"),""))</f>
        <v/>
      </c>
      <c r="N4392" s="22"/>
    </row>
    <row r="4393" spans="1:14" x14ac:dyDescent="0.3">
      <c r="A4393" s="15" t="str">
        <f>IF(COUNTA($B4393:$E4393,$K4393)=0,"",IF(AND($B4393&lt;&gt;"",$C4393&lt;&gt;"",$D4393&lt;&gt;"",$E4393&lt;&gt;""),"TXS"&amp;TEXT(COUNTIFS($B$2:$B4393,"&lt;&gt;",$C$2:$C4393,"&lt;&gt;",$D$2:$D4393,"&lt;&gt;",$E$2:$E4393,"&lt;&gt;"),"00000"),""))</f>
        <v/>
      </c>
      <c r="N4393" s="22"/>
    </row>
    <row r="4394" spans="1:14" x14ac:dyDescent="0.3">
      <c r="A4394" s="15" t="str">
        <f>IF(COUNTA($B4394:$E4394,$K4394)=0,"",IF(AND($B4394&lt;&gt;"",$C4394&lt;&gt;"",$D4394&lt;&gt;"",$E4394&lt;&gt;""),"TXS"&amp;TEXT(COUNTIFS($B$2:$B4394,"&lt;&gt;",$C$2:$C4394,"&lt;&gt;",$D$2:$D4394,"&lt;&gt;",$E$2:$E4394,"&lt;&gt;"),"00000"),""))</f>
        <v/>
      </c>
      <c r="N4394" s="22"/>
    </row>
    <row r="4395" spans="1:14" x14ac:dyDescent="0.3">
      <c r="A4395" s="15" t="str">
        <f>IF(COUNTA($B4395:$E4395,$K4395)=0,"",IF(AND($B4395&lt;&gt;"",$C4395&lt;&gt;"",$D4395&lt;&gt;"",$E4395&lt;&gt;""),"TXS"&amp;TEXT(COUNTIFS($B$2:$B4395,"&lt;&gt;",$C$2:$C4395,"&lt;&gt;",$D$2:$D4395,"&lt;&gt;",$E$2:$E4395,"&lt;&gt;"),"00000"),""))</f>
        <v/>
      </c>
      <c r="N4395" s="22"/>
    </row>
    <row r="4396" spans="1:14" x14ac:dyDescent="0.3">
      <c r="A4396" s="15" t="str">
        <f>IF(COUNTA($B4396:$E4396,$K4396)=0,"",IF(AND($B4396&lt;&gt;"",$C4396&lt;&gt;"",$D4396&lt;&gt;"",$E4396&lt;&gt;""),"TXS"&amp;TEXT(COUNTIFS($B$2:$B4396,"&lt;&gt;",$C$2:$C4396,"&lt;&gt;",$D$2:$D4396,"&lt;&gt;",$E$2:$E4396,"&lt;&gt;"),"00000"),""))</f>
        <v/>
      </c>
      <c r="N4396" s="22"/>
    </row>
    <row r="4397" spans="1:14" x14ac:dyDescent="0.3">
      <c r="A4397" s="15" t="str">
        <f>IF(COUNTA($B4397:$E4397,$K4397)=0,"",IF(AND($B4397&lt;&gt;"",$C4397&lt;&gt;"",$D4397&lt;&gt;"",$E4397&lt;&gt;""),"TXS"&amp;TEXT(COUNTIFS($B$2:$B4397,"&lt;&gt;",$C$2:$C4397,"&lt;&gt;",$D$2:$D4397,"&lt;&gt;",$E$2:$E4397,"&lt;&gt;"),"00000"),""))</f>
        <v/>
      </c>
      <c r="N4397" s="22"/>
    </row>
    <row r="4398" spans="1:14" x14ac:dyDescent="0.3">
      <c r="A4398" s="15" t="str">
        <f>IF(COUNTA($B4398:$E4398,$K4398)=0,"",IF(AND($B4398&lt;&gt;"",$C4398&lt;&gt;"",$D4398&lt;&gt;"",$E4398&lt;&gt;""),"TXS"&amp;TEXT(COUNTIFS($B$2:$B4398,"&lt;&gt;",$C$2:$C4398,"&lt;&gt;",$D$2:$D4398,"&lt;&gt;",$E$2:$E4398,"&lt;&gt;"),"00000"),""))</f>
        <v/>
      </c>
      <c r="N4398" s="22"/>
    </row>
    <row r="4399" spans="1:14" x14ac:dyDescent="0.3">
      <c r="A4399" s="15" t="str">
        <f>IF(COUNTA($B4399:$E4399,$K4399)=0,"",IF(AND($B4399&lt;&gt;"",$C4399&lt;&gt;"",$D4399&lt;&gt;"",$E4399&lt;&gt;""),"TXS"&amp;TEXT(COUNTIFS($B$2:$B4399,"&lt;&gt;",$C$2:$C4399,"&lt;&gt;",$D$2:$D4399,"&lt;&gt;",$E$2:$E4399,"&lt;&gt;"),"00000"),""))</f>
        <v/>
      </c>
      <c r="N4399" s="22"/>
    </row>
    <row r="4400" spans="1:14" x14ac:dyDescent="0.3">
      <c r="A4400" s="15" t="str">
        <f>IF(COUNTA($B4400:$E4400,$K4400)=0,"",IF(AND($B4400&lt;&gt;"",$C4400&lt;&gt;"",$D4400&lt;&gt;"",$E4400&lt;&gt;""),"TXS"&amp;TEXT(COUNTIFS($B$2:$B4400,"&lt;&gt;",$C$2:$C4400,"&lt;&gt;",$D$2:$D4400,"&lt;&gt;",$E$2:$E4400,"&lt;&gt;"),"00000"),""))</f>
        <v/>
      </c>
      <c r="N4400" s="22"/>
    </row>
    <row r="4401" spans="1:14" x14ac:dyDescent="0.3">
      <c r="A4401" s="15" t="str">
        <f>IF(COUNTA($B4401:$E4401,$K4401)=0,"",IF(AND($B4401&lt;&gt;"",$C4401&lt;&gt;"",$D4401&lt;&gt;"",$E4401&lt;&gt;""),"TXS"&amp;TEXT(COUNTIFS($B$2:$B4401,"&lt;&gt;",$C$2:$C4401,"&lt;&gt;",$D$2:$D4401,"&lt;&gt;",$E$2:$E4401,"&lt;&gt;"),"00000"),""))</f>
        <v/>
      </c>
      <c r="N4401" s="22"/>
    </row>
    <row r="4402" spans="1:14" x14ac:dyDescent="0.3">
      <c r="A4402" s="15" t="str">
        <f>IF(COUNTA($B4402:$E4402,$K4402)=0,"",IF(AND($B4402&lt;&gt;"",$C4402&lt;&gt;"",$D4402&lt;&gt;"",$E4402&lt;&gt;""),"TXS"&amp;TEXT(COUNTIFS($B$2:$B4402,"&lt;&gt;",$C$2:$C4402,"&lt;&gt;",$D$2:$D4402,"&lt;&gt;",$E$2:$E4402,"&lt;&gt;"),"00000"),""))</f>
        <v/>
      </c>
      <c r="N4402" s="22"/>
    </row>
    <row r="4403" spans="1:14" x14ac:dyDescent="0.3">
      <c r="A4403" s="15" t="str">
        <f>IF(COUNTA($B4403:$E4403,$K4403)=0,"",IF(AND($B4403&lt;&gt;"",$C4403&lt;&gt;"",$D4403&lt;&gt;"",$E4403&lt;&gt;""),"TXS"&amp;TEXT(COUNTIFS($B$2:$B4403,"&lt;&gt;",$C$2:$C4403,"&lt;&gt;",$D$2:$D4403,"&lt;&gt;",$E$2:$E4403,"&lt;&gt;"),"00000"),""))</f>
        <v/>
      </c>
      <c r="N4403" s="22"/>
    </row>
    <row r="4404" spans="1:14" x14ac:dyDescent="0.3">
      <c r="A4404" s="15" t="str">
        <f>IF(COUNTA($B4404:$E4404,$K4404)=0,"",IF(AND($B4404&lt;&gt;"",$C4404&lt;&gt;"",$D4404&lt;&gt;"",$E4404&lt;&gt;""),"TXS"&amp;TEXT(COUNTIFS($B$2:$B4404,"&lt;&gt;",$C$2:$C4404,"&lt;&gt;",$D$2:$D4404,"&lt;&gt;",$E$2:$E4404,"&lt;&gt;"),"00000"),""))</f>
        <v/>
      </c>
      <c r="N4404" s="22"/>
    </row>
    <row r="4405" spans="1:14" x14ac:dyDescent="0.3">
      <c r="A4405" s="15" t="str">
        <f>IF(COUNTA($B4405:$E4405,$K4405)=0,"",IF(AND($B4405&lt;&gt;"",$C4405&lt;&gt;"",$D4405&lt;&gt;"",$E4405&lt;&gt;""),"TXS"&amp;TEXT(COUNTIFS($B$2:$B4405,"&lt;&gt;",$C$2:$C4405,"&lt;&gt;",$D$2:$D4405,"&lt;&gt;",$E$2:$E4405,"&lt;&gt;"),"00000"),""))</f>
        <v/>
      </c>
      <c r="N4405" s="22"/>
    </row>
    <row r="4406" spans="1:14" x14ac:dyDescent="0.3">
      <c r="A4406" s="15" t="str">
        <f>IF(COUNTA($B4406:$E4406,$K4406)=0,"",IF(AND($B4406&lt;&gt;"",$C4406&lt;&gt;"",$D4406&lt;&gt;"",$E4406&lt;&gt;""),"TXS"&amp;TEXT(COUNTIFS($B$2:$B4406,"&lt;&gt;",$C$2:$C4406,"&lt;&gt;",$D$2:$D4406,"&lt;&gt;",$E$2:$E4406,"&lt;&gt;"),"00000"),""))</f>
        <v/>
      </c>
      <c r="N4406" s="22"/>
    </row>
    <row r="4407" spans="1:14" x14ac:dyDescent="0.3">
      <c r="A4407" s="15" t="str">
        <f>IF(COUNTA($B4407:$E4407,$K4407)=0,"",IF(AND($B4407&lt;&gt;"",$C4407&lt;&gt;"",$D4407&lt;&gt;"",$E4407&lt;&gt;""),"TXS"&amp;TEXT(COUNTIFS($B$2:$B4407,"&lt;&gt;",$C$2:$C4407,"&lt;&gt;",$D$2:$D4407,"&lt;&gt;",$E$2:$E4407,"&lt;&gt;"),"00000"),""))</f>
        <v/>
      </c>
      <c r="N4407" s="22"/>
    </row>
    <row r="4408" spans="1:14" x14ac:dyDescent="0.3">
      <c r="A4408" s="15" t="str">
        <f>IF(COUNTA($B4408:$E4408,$K4408)=0,"",IF(AND($B4408&lt;&gt;"",$C4408&lt;&gt;"",$D4408&lt;&gt;"",$E4408&lt;&gt;""),"TXS"&amp;TEXT(COUNTIFS($B$2:$B4408,"&lt;&gt;",$C$2:$C4408,"&lt;&gt;",$D$2:$D4408,"&lt;&gt;",$E$2:$E4408,"&lt;&gt;"),"00000"),""))</f>
        <v/>
      </c>
      <c r="N4408" s="22"/>
    </row>
    <row r="4409" spans="1:14" x14ac:dyDescent="0.3">
      <c r="A4409" s="15" t="str">
        <f>IF(COUNTA($B4409:$E4409,$K4409)=0,"",IF(AND($B4409&lt;&gt;"",$C4409&lt;&gt;"",$D4409&lt;&gt;"",$E4409&lt;&gt;""),"TXS"&amp;TEXT(COUNTIFS($B$2:$B4409,"&lt;&gt;",$C$2:$C4409,"&lt;&gt;",$D$2:$D4409,"&lt;&gt;",$E$2:$E4409,"&lt;&gt;"),"00000"),""))</f>
        <v/>
      </c>
      <c r="N4409" s="22"/>
    </row>
    <row r="4410" spans="1:14" x14ac:dyDescent="0.3">
      <c r="A4410" s="15" t="str">
        <f>IF(COUNTA($B4410:$E4410,$K4410)=0,"",IF(AND($B4410&lt;&gt;"",$C4410&lt;&gt;"",$D4410&lt;&gt;"",$E4410&lt;&gt;""),"TXS"&amp;TEXT(COUNTIFS($B$2:$B4410,"&lt;&gt;",$C$2:$C4410,"&lt;&gt;",$D$2:$D4410,"&lt;&gt;",$E$2:$E4410,"&lt;&gt;"),"00000"),""))</f>
        <v/>
      </c>
      <c r="N4410" s="22"/>
    </row>
    <row r="4411" spans="1:14" x14ac:dyDescent="0.3">
      <c r="A4411" s="15" t="str">
        <f>IF(COUNTA($B4411:$E4411,$K4411)=0,"",IF(AND($B4411&lt;&gt;"",$C4411&lt;&gt;"",$D4411&lt;&gt;"",$E4411&lt;&gt;""),"TXS"&amp;TEXT(COUNTIFS($B$2:$B4411,"&lt;&gt;",$C$2:$C4411,"&lt;&gt;",$D$2:$D4411,"&lt;&gt;",$E$2:$E4411,"&lt;&gt;"),"00000"),""))</f>
        <v/>
      </c>
      <c r="N4411" s="22"/>
    </row>
    <row r="4412" spans="1:14" x14ac:dyDescent="0.3">
      <c r="A4412" s="15" t="str">
        <f>IF(COUNTA($B4412:$E4412,$K4412)=0,"",IF(AND($B4412&lt;&gt;"",$C4412&lt;&gt;"",$D4412&lt;&gt;"",$E4412&lt;&gt;""),"TXS"&amp;TEXT(COUNTIFS($B$2:$B4412,"&lt;&gt;",$C$2:$C4412,"&lt;&gt;",$D$2:$D4412,"&lt;&gt;",$E$2:$E4412,"&lt;&gt;"),"00000"),""))</f>
        <v/>
      </c>
      <c r="N4412" s="22"/>
    </row>
    <row r="4413" spans="1:14" x14ac:dyDescent="0.3">
      <c r="A4413" s="15" t="str">
        <f>IF(COUNTA($B4413:$E4413,$K4413)=0,"",IF(AND($B4413&lt;&gt;"",$C4413&lt;&gt;"",$D4413&lt;&gt;"",$E4413&lt;&gt;""),"TXS"&amp;TEXT(COUNTIFS($B$2:$B4413,"&lt;&gt;",$C$2:$C4413,"&lt;&gt;",$D$2:$D4413,"&lt;&gt;",$E$2:$E4413,"&lt;&gt;"),"00000"),""))</f>
        <v/>
      </c>
      <c r="N4413" s="22"/>
    </row>
    <row r="4414" spans="1:14" x14ac:dyDescent="0.3">
      <c r="A4414" s="15" t="str">
        <f>IF(COUNTA($B4414:$E4414,$K4414)=0,"",IF(AND($B4414&lt;&gt;"",$C4414&lt;&gt;"",$D4414&lt;&gt;"",$E4414&lt;&gt;""),"TXS"&amp;TEXT(COUNTIFS($B$2:$B4414,"&lt;&gt;",$C$2:$C4414,"&lt;&gt;",$D$2:$D4414,"&lt;&gt;",$E$2:$E4414,"&lt;&gt;"),"00000"),""))</f>
        <v/>
      </c>
      <c r="N4414" s="22"/>
    </row>
    <row r="4415" spans="1:14" x14ac:dyDescent="0.3">
      <c r="A4415" s="15" t="str">
        <f>IF(COUNTA($B4415:$E4415,$K4415)=0,"",IF(AND($B4415&lt;&gt;"",$C4415&lt;&gt;"",$D4415&lt;&gt;"",$E4415&lt;&gt;""),"TXS"&amp;TEXT(COUNTIFS($B$2:$B4415,"&lt;&gt;",$C$2:$C4415,"&lt;&gt;",$D$2:$D4415,"&lt;&gt;",$E$2:$E4415,"&lt;&gt;"),"00000"),""))</f>
        <v/>
      </c>
      <c r="N4415" s="22"/>
    </row>
    <row r="4416" spans="1:14" x14ac:dyDescent="0.3">
      <c r="A4416" s="15" t="str">
        <f>IF(COUNTA($B4416:$E4416,$K4416)=0,"",IF(AND($B4416&lt;&gt;"",$C4416&lt;&gt;"",$D4416&lt;&gt;"",$E4416&lt;&gt;""),"TXS"&amp;TEXT(COUNTIFS($B$2:$B4416,"&lt;&gt;",$C$2:$C4416,"&lt;&gt;",$D$2:$D4416,"&lt;&gt;",$E$2:$E4416,"&lt;&gt;"),"00000"),""))</f>
        <v/>
      </c>
      <c r="N4416" s="22"/>
    </row>
    <row r="4417" spans="1:14" x14ac:dyDescent="0.3">
      <c r="A4417" s="15" t="str">
        <f>IF(COUNTA($B4417:$E4417,$K4417)=0,"",IF(AND($B4417&lt;&gt;"",$C4417&lt;&gt;"",$D4417&lt;&gt;"",$E4417&lt;&gt;""),"TXS"&amp;TEXT(COUNTIFS($B$2:$B4417,"&lt;&gt;",$C$2:$C4417,"&lt;&gt;",$D$2:$D4417,"&lt;&gt;",$E$2:$E4417,"&lt;&gt;"),"00000"),""))</f>
        <v/>
      </c>
      <c r="N4417" s="22"/>
    </row>
    <row r="4418" spans="1:14" x14ac:dyDescent="0.3">
      <c r="A4418" s="15" t="str">
        <f>IF(COUNTA($B4418:$E4418,$K4418)=0,"",IF(AND($B4418&lt;&gt;"",$C4418&lt;&gt;"",$D4418&lt;&gt;"",$E4418&lt;&gt;""),"TXS"&amp;TEXT(COUNTIFS($B$2:$B4418,"&lt;&gt;",$C$2:$C4418,"&lt;&gt;",$D$2:$D4418,"&lt;&gt;",$E$2:$E4418,"&lt;&gt;"),"00000"),""))</f>
        <v/>
      </c>
      <c r="N4418" s="22"/>
    </row>
    <row r="4419" spans="1:14" x14ac:dyDescent="0.3">
      <c r="A4419" s="15" t="str">
        <f>IF(COUNTA($B4419:$E4419,$K4419)=0,"",IF(AND($B4419&lt;&gt;"",$C4419&lt;&gt;"",$D4419&lt;&gt;"",$E4419&lt;&gt;""),"TXS"&amp;TEXT(COUNTIFS($B$2:$B4419,"&lt;&gt;",$C$2:$C4419,"&lt;&gt;",$D$2:$D4419,"&lt;&gt;",$E$2:$E4419,"&lt;&gt;"),"00000"),""))</f>
        <v/>
      </c>
      <c r="N4419" s="22"/>
    </row>
    <row r="4420" spans="1:14" x14ac:dyDescent="0.3">
      <c r="A4420" s="15" t="str">
        <f>IF(COUNTA($B4420:$E4420,$K4420)=0,"",IF(AND($B4420&lt;&gt;"",$C4420&lt;&gt;"",$D4420&lt;&gt;"",$E4420&lt;&gt;""),"TXS"&amp;TEXT(COUNTIFS($B$2:$B4420,"&lt;&gt;",$C$2:$C4420,"&lt;&gt;",$D$2:$D4420,"&lt;&gt;",$E$2:$E4420,"&lt;&gt;"),"00000"),""))</f>
        <v/>
      </c>
      <c r="N4420" s="22"/>
    </row>
    <row r="4421" spans="1:14" x14ac:dyDescent="0.3">
      <c r="A4421" s="15" t="str">
        <f>IF(COUNTA($B4421:$E4421,$K4421)=0,"",IF(AND($B4421&lt;&gt;"",$C4421&lt;&gt;"",$D4421&lt;&gt;"",$E4421&lt;&gt;""),"TXS"&amp;TEXT(COUNTIFS($B$2:$B4421,"&lt;&gt;",$C$2:$C4421,"&lt;&gt;",$D$2:$D4421,"&lt;&gt;",$E$2:$E4421,"&lt;&gt;"),"00000"),""))</f>
        <v/>
      </c>
      <c r="N4421" s="22"/>
    </row>
    <row r="4422" spans="1:14" x14ac:dyDescent="0.3">
      <c r="A4422" s="15" t="str">
        <f>IF(COUNTA($B4422:$E4422,$K4422)=0,"",IF(AND($B4422&lt;&gt;"",$C4422&lt;&gt;"",$D4422&lt;&gt;"",$E4422&lt;&gt;""),"TXS"&amp;TEXT(COUNTIFS($B$2:$B4422,"&lt;&gt;",$C$2:$C4422,"&lt;&gt;",$D$2:$D4422,"&lt;&gt;",$E$2:$E4422,"&lt;&gt;"),"00000"),""))</f>
        <v/>
      </c>
      <c r="N4422" s="22"/>
    </row>
    <row r="4423" spans="1:14" x14ac:dyDescent="0.3">
      <c r="A4423" s="15" t="str">
        <f>IF(COUNTA($B4423:$E4423,$K4423)=0,"",IF(AND($B4423&lt;&gt;"",$C4423&lt;&gt;"",$D4423&lt;&gt;"",$E4423&lt;&gt;""),"TXS"&amp;TEXT(COUNTIFS($B$2:$B4423,"&lt;&gt;",$C$2:$C4423,"&lt;&gt;",$D$2:$D4423,"&lt;&gt;",$E$2:$E4423,"&lt;&gt;"),"00000"),""))</f>
        <v/>
      </c>
      <c r="N4423" s="22"/>
    </row>
    <row r="4424" spans="1:14" x14ac:dyDescent="0.3">
      <c r="A4424" s="15" t="str">
        <f>IF(COUNTA($B4424:$E4424,$K4424)=0,"",IF(AND($B4424&lt;&gt;"",$C4424&lt;&gt;"",$D4424&lt;&gt;"",$E4424&lt;&gt;""),"TXS"&amp;TEXT(COUNTIFS($B$2:$B4424,"&lt;&gt;",$C$2:$C4424,"&lt;&gt;",$D$2:$D4424,"&lt;&gt;",$E$2:$E4424,"&lt;&gt;"),"00000"),""))</f>
        <v/>
      </c>
      <c r="N4424" s="22"/>
    </row>
    <row r="4425" spans="1:14" x14ac:dyDescent="0.3">
      <c r="A4425" s="15" t="str">
        <f>IF(COUNTA($B4425:$E4425,$K4425)=0,"",IF(AND($B4425&lt;&gt;"",$C4425&lt;&gt;"",$D4425&lt;&gt;"",$E4425&lt;&gt;""),"TXS"&amp;TEXT(COUNTIFS($B$2:$B4425,"&lt;&gt;",$C$2:$C4425,"&lt;&gt;",$D$2:$D4425,"&lt;&gt;",$E$2:$E4425,"&lt;&gt;"),"00000"),""))</f>
        <v/>
      </c>
      <c r="N4425" s="22"/>
    </row>
    <row r="4426" spans="1:14" x14ac:dyDescent="0.3">
      <c r="A4426" s="15" t="str">
        <f>IF(COUNTA($B4426:$E4426,$K4426)=0,"",IF(AND($B4426&lt;&gt;"",$C4426&lt;&gt;"",$D4426&lt;&gt;"",$E4426&lt;&gt;""),"TXS"&amp;TEXT(COUNTIFS($B$2:$B4426,"&lt;&gt;",$C$2:$C4426,"&lt;&gt;",$D$2:$D4426,"&lt;&gt;",$E$2:$E4426,"&lt;&gt;"),"00000"),""))</f>
        <v/>
      </c>
      <c r="N4426" s="22"/>
    </row>
    <row r="4427" spans="1:14" x14ac:dyDescent="0.3">
      <c r="A4427" s="15" t="str">
        <f>IF(COUNTA($B4427:$E4427,$K4427)=0,"",IF(AND($B4427&lt;&gt;"",$C4427&lt;&gt;"",$D4427&lt;&gt;"",$E4427&lt;&gt;""),"TXS"&amp;TEXT(COUNTIFS($B$2:$B4427,"&lt;&gt;",$C$2:$C4427,"&lt;&gt;",$D$2:$D4427,"&lt;&gt;",$E$2:$E4427,"&lt;&gt;"),"00000"),""))</f>
        <v/>
      </c>
      <c r="N4427" s="22"/>
    </row>
    <row r="4428" spans="1:14" x14ac:dyDescent="0.3">
      <c r="A4428" s="15" t="str">
        <f>IF(COUNTA($B4428:$E4428,$K4428)=0,"",IF(AND($B4428&lt;&gt;"",$C4428&lt;&gt;"",$D4428&lt;&gt;"",$E4428&lt;&gt;""),"TXS"&amp;TEXT(COUNTIFS($B$2:$B4428,"&lt;&gt;",$C$2:$C4428,"&lt;&gt;",$D$2:$D4428,"&lt;&gt;",$E$2:$E4428,"&lt;&gt;"),"00000"),""))</f>
        <v/>
      </c>
      <c r="N4428" s="22"/>
    </row>
    <row r="4429" spans="1:14" x14ac:dyDescent="0.3">
      <c r="A4429" s="15" t="str">
        <f>IF(COUNTA($B4429:$E4429,$K4429)=0,"",IF(AND($B4429&lt;&gt;"",$C4429&lt;&gt;"",$D4429&lt;&gt;"",$E4429&lt;&gt;""),"TXS"&amp;TEXT(COUNTIFS($B$2:$B4429,"&lt;&gt;",$C$2:$C4429,"&lt;&gt;",$D$2:$D4429,"&lt;&gt;",$E$2:$E4429,"&lt;&gt;"),"00000"),""))</f>
        <v/>
      </c>
      <c r="N4429" s="22"/>
    </row>
    <row r="4430" spans="1:14" x14ac:dyDescent="0.3">
      <c r="A4430" s="15" t="str">
        <f>IF(COUNTA($B4430:$E4430,$K4430)=0,"",IF(AND($B4430&lt;&gt;"",$C4430&lt;&gt;"",$D4430&lt;&gt;"",$E4430&lt;&gt;""),"TXS"&amp;TEXT(COUNTIFS($B$2:$B4430,"&lt;&gt;",$C$2:$C4430,"&lt;&gt;",$D$2:$D4430,"&lt;&gt;",$E$2:$E4430,"&lt;&gt;"),"00000"),""))</f>
        <v/>
      </c>
      <c r="N4430" s="22"/>
    </row>
    <row r="4431" spans="1:14" x14ac:dyDescent="0.3">
      <c r="A4431" s="15" t="str">
        <f>IF(COUNTA($B4431:$E4431,$K4431)=0,"",IF(AND($B4431&lt;&gt;"",$C4431&lt;&gt;"",$D4431&lt;&gt;"",$E4431&lt;&gt;""),"TXS"&amp;TEXT(COUNTIFS($B$2:$B4431,"&lt;&gt;",$C$2:$C4431,"&lt;&gt;",$D$2:$D4431,"&lt;&gt;",$E$2:$E4431,"&lt;&gt;"),"00000"),""))</f>
        <v/>
      </c>
      <c r="N4431" s="22"/>
    </row>
    <row r="4432" spans="1:14" x14ac:dyDescent="0.3">
      <c r="A4432" s="15" t="str">
        <f>IF(COUNTA($B4432:$E4432,$K4432)=0,"",IF(AND($B4432&lt;&gt;"",$C4432&lt;&gt;"",$D4432&lt;&gt;"",$E4432&lt;&gt;""),"TXS"&amp;TEXT(COUNTIFS($B$2:$B4432,"&lt;&gt;",$C$2:$C4432,"&lt;&gt;",$D$2:$D4432,"&lt;&gt;",$E$2:$E4432,"&lt;&gt;"),"00000"),""))</f>
        <v/>
      </c>
      <c r="N4432" s="22"/>
    </row>
    <row r="4433" spans="1:14" x14ac:dyDescent="0.3">
      <c r="A4433" s="15" t="str">
        <f>IF(COUNTA($B4433:$E4433,$K4433)=0,"",IF(AND($B4433&lt;&gt;"",$C4433&lt;&gt;"",$D4433&lt;&gt;"",$E4433&lt;&gt;""),"TXS"&amp;TEXT(COUNTIFS($B$2:$B4433,"&lt;&gt;",$C$2:$C4433,"&lt;&gt;",$D$2:$D4433,"&lt;&gt;",$E$2:$E4433,"&lt;&gt;"),"00000"),""))</f>
        <v/>
      </c>
      <c r="N4433" s="22"/>
    </row>
    <row r="4434" spans="1:14" x14ac:dyDescent="0.3">
      <c r="A4434" s="15" t="str">
        <f>IF(COUNTA($B4434:$E4434,$K4434)=0,"",IF(AND($B4434&lt;&gt;"",$C4434&lt;&gt;"",$D4434&lt;&gt;"",$E4434&lt;&gt;""),"TXS"&amp;TEXT(COUNTIFS($B$2:$B4434,"&lt;&gt;",$C$2:$C4434,"&lt;&gt;",$D$2:$D4434,"&lt;&gt;",$E$2:$E4434,"&lt;&gt;"),"00000"),""))</f>
        <v/>
      </c>
      <c r="N4434" s="22"/>
    </row>
    <row r="4435" spans="1:14" x14ac:dyDescent="0.3">
      <c r="A4435" s="15" t="str">
        <f>IF(COUNTA($B4435:$E4435,$K4435)=0,"",IF(AND($B4435&lt;&gt;"",$C4435&lt;&gt;"",$D4435&lt;&gt;"",$E4435&lt;&gt;""),"TXS"&amp;TEXT(COUNTIFS($B$2:$B4435,"&lt;&gt;",$C$2:$C4435,"&lt;&gt;",$D$2:$D4435,"&lt;&gt;",$E$2:$E4435,"&lt;&gt;"),"00000"),""))</f>
        <v/>
      </c>
      <c r="N4435" s="22"/>
    </row>
    <row r="4436" spans="1:14" x14ac:dyDescent="0.3">
      <c r="A4436" s="15" t="str">
        <f>IF(COUNTA($B4436:$E4436,$K4436)=0,"",IF(AND($B4436&lt;&gt;"",$C4436&lt;&gt;"",$D4436&lt;&gt;"",$E4436&lt;&gt;""),"TXS"&amp;TEXT(COUNTIFS($B$2:$B4436,"&lt;&gt;",$C$2:$C4436,"&lt;&gt;",$D$2:$D4436,"&lt;&gt;",$E$2:$E4436,"&lt;&gt;"),"00000"),""))</f>
        <v/>
      </c>
      <c r="N4436" s="22"/>
    </row>
    <row r="4437" spans="1:14" x14ac:dyDescent="0.3">
      <c r="A4437" s="15" t="str">
        <f>IF(COUNTA($B4437:$E4437,$K4437)=0,"",IF(AND($B4437&lt;&gt;"",$C4437&lt;&gt;"",$D4437&lt;&gt;"",$E4437&lt;&gt;""),"TXS"&amp;TEXT(COUNTIFS($B$2:$B4437,"&lt;&gt;",$C$2:$C4437,"&lt;&gt;",$D$2:$D4437,"&lt;&gt;",$E$2:$E4437,"&lt;&gt;"),"00000"),""))</f>
        <v/>
      </c>
      <c r="N4437" s="22"/>
    </row>
    <row r="4438" spans="1:14" x14ac:dyDescent="0.3">
      <c r="A4438" s="15" t="str">
        <f>IF(COUNTA($B4438:$E4438,$K4438)=0,"",IF(AND($B4438&lt;&gt;"",$C4438&lt;&gt;"",$D4438&lt;&gt;"",$E4438&lt;&gt;""),"TXS"&amp;TEXT(COUNTIFS($B$2:$B4438,"&lt;&gt;",$C$2:$C4438,"&lt;&gt;",$D$2:$D4438,"&lt;&gt;",$E$2:$E4438,"&lt;&gt;"),"00000"),""))</f>
        <v/>
      </c>
      <c r="N4438" s="22"/>
    </row>
    <row r="4439" spans="1:14" x14ac:dyDescent="0.3">
      <c r="A4439" s="15" t="str">
        <f>IF(COUNTA($B4439:$E4439,$K4439)=0,"",IF(AND($B4439&lt;&gt;"",$C4439&lt;&gt;"",$D4439&lt;&gt;"",$E4439&lt;&gt;""),"TXS"&amp;TEXT(COUNTIFS($B$2:$B4439,"&lt;&gt;",$C$2:$C4439,"&lt;&gt;",$D$2:$D4439,"&lt;&gt;",$E$2:$E4439,"&lt;&gt;"),"00000"),""))</f>
        <v/>
      </c>
      <c r="N4439" s="22"/>
    </row>
    <row r="4440" spans="1:14" x14ac:dyDescent="0.3">
      <c r="A4440" s="15" t="str">
        <f>IF(COUNTA($B4440:$E4440,$K4440)=0,"",IF(AND($B4440&lt;&gt;"",$C4440&lt;&gt;"",$D4440&lt;&gt;"",$E4440&lt;&gt;""),"TXS"&amp;TEXT(COUNTIFS($B$2:$B4440,"&lt;&gt;",$C$2:$C4440,"&lt;&gt;",$D$2:$D4440,"&lt;&gt;",$E$2:$E4440,"&lt;&gt;"),"00000"),""))</f>
        <v/>
      </c>
      <c r="N4440" s="22"/>
    </row>
    <row r="4441" spans="1:14" x14ac:dyDescent="0.3">
      <c r="A4441" s="15" t="str">
        <f>IF(COUNTA($B4441:$E4441,$K4441)=0,"",IF(AND($B4441&lt;&gt;"",$C4441&lt;&gt;"",$D4441&lt;&gt;"",$E4441&lt;&gt;""),"TXS"&amp;TEXT(COUNTIFS($B$2:$B4441,"&lt;&gt;",$C$2:$C4441,"&lt;&gt;",$D$2:$D4441,"&lt;&gt;",$E$2:$E4441,"&lt;&gt;"),"00000"),""))</f>
        <v/>
      </c>
      <c r="N4441" s="22"/>
    </row>
    <row r="4442" spans="1:14" x14ac:dyDescent="0.3">
      <c r="A4442" s="15" t="str">
        <f>IF(COUNTA($B4442:$E4442,$K4442)=0,"",IF(AND($B4442&lt;&gt;"",$C4442&lt;&gt;"",$D4442&lt;&gt;"",$E4442&lt;&gt;""),"TXS"&amp;TEXT(COUNTIFS($B$2:$B4442,"&lt;&gt;",$C$2:$C4442,"&lt;&gt;",$D$2:$D4442,"&lt;&gt;",$E$2:$E4442,"&lt;&gt;"),"00000"),""))</f>
        <v/>
      </c>
      <c r="N4442" s="22"/>
    </row>
    <row r="4443" spans="1:14" x14ac:dyDescent="0.3">
      <c r="A4443" s="15" t="str">
        <f>IF(COUNTA($B4443:$E4443,$K4443)=0,"",IF(AND($B4443&lt;&gt;"",$C4443&lt;&gt;"",$D4443&lt;&gt;"",$E4443&lt;&gt;""),"TXS"&amp;TEXT(COUNTIFS($B$2:$B4443,"&lt;&gt;",$C$2:$C4443,"&lt;&gt;",$D$2:$D4443,"&lt;&gt;",$E$2:$E4443,"&lt;&gt;"),"00000"),""))</f>
        <v/>
      </c>
      <c r="N4443" s="22"/>
    </row>
    <row r="4444" spans="1:14" x14ac:dyDescent="0.3">
      <c r="A4444" s="15" t="str">
        <f>IF(COUNTA($B4444:$E4444,$K4444)=0,"",IF(AND($B4444&lt;&gt;"",$C4444&lt;&gt;"",$D4444&lt;&gt;"",$E4444&lt;&gt;""),"TXS"&amp;TEXT(COUNTIFS($B$2:$B4444,"&lt;&gt;",$C$2:$C4444,"&lt;&gt;",$D$2:$D4444,"&lt;&gt;",$E$2:$E4444,"&lt;&gt;"),"00000"),""))</f>
        <v/>
      </c>
      <c r="N4444" s="22"/>
    </row>
    <row r="4445" spans="1:14" x14ac:dyDescent="0.3">
      <c r="A4445" s="15" t="str">
        <f>IF(COUNTA($B4445:$E4445,$K4445)=0,"",IF(AND($B4445&lt;&gt;"",$C4445&lt;&gt;"",$D4445&lt;&gt;"",$E4445&lt;&gt;""),"TXS"&amp;TEXT(COUNTIFS($B$2:$B4445,"&lt;&gt;",$C$2:$C4445,"&lt;&gt;",$D$2:$D4445,"&lt;&gt;",$E$2:$E4445,"&lt;&gt;"),"00000"),""))</f>
        <v/>
      </c>
      <c r="N4445" s="22"/>
    </row>
    <row r="4446" spans="1:14" x14ac:dyDescent="0.3">
      <c r="A4446" s="15" t="str">
        <f>IF(COUNTA($B4446:$E4446,$K4446)=0,"",IF(AND($B4446&lt;&gt;"",$C4446&lt;&gt;"",$D4446&lt;&gt;"",$E4446&lt;&gt;""),"TXS"&amp;TEXT(COUNTIFS($B$2:$B4446,"&lt;&gt;",$C$2:$C4446,"&lt;&gt;",$D$2:$D4446,"&lt;&gt;",$E$2:$E4446,"&lt;&gt;"),"00000"),""))</f>
        <v/>
      </c>
      <c r="N4446" s="22"/>
    </row>
    <row r="4447" spans="1:14" x14ac:dyDescent="0.3">
      <c r="A4447" s="15" t="str">
        <f>IF(COUNTA($B4447:$E4447,$K4447)=0,"",IF(AND($B4447&lt;&gt;"",$C4447&lt;&gt;"",$D4447&lt;&gt;"",$E4447&lt;&gt;""),"TXS"&amp;TEXT(COUNTIFS($B$2:$B4447,"&lt;&gt;",$C$2:$C4447,"&lt;&gt;",$D$2:$D4447,"&lt;&gt;",$E$2:$E4447,"&lt;&gt;"),"00000"),""))</f>
        <v/>
      </c>
      <c r="N4447" s="22"/>
    </row>
    <row r="4448" spans="1:14" x14ac:dyDescent="0.3">
      <c r="A4448" s="15" t="str">
        <f>IF(COUNTA($B4448:$E4448,$K4448)=0,"",IF(AND($B4448&lt;&gt;"",$C4448&lt;&gt;"",$D4448&lt;&gt;"",$E4448&lt;&gt;""),"TXS"&amp;TEXT(COUNTIFS($B$2:$B4448,"&lt;&gt;",$C$2:$C4448,"&lt;&gt;",$D$2:$D4448,"&lt;&gt;",$E$2:$E4448,"&lt;&gt;"),"00000"),""))</f>
        <v/>
      </c>
      <c r="N4448" s="22"/>
    </row>
    <row r="4449" spans="1:14" x14ac:dyDescent="0.3">
      <c r="A4449" s="15" t="str">
        <f>IF(COUNTA($B4449:$E4449,$K4449)=0,"",IF(AND($B4449&lt;&gt;"",$C4449&lt;&gt;"",$D4449&lt;&gt;"",$E4449&lt;&gt;""),"TXS"&amp;TEXT(COUNTIFS($B$2:$B4449,"&lt;&gt;",$C$2:$C4449,"&lt;&gt;",$D$2:$D4449,"&lt;&gt;",$E$2:$E4449,"&lt;&gt;"),"00000"),""))</f>
        <v/>
      </c>
      <c r="N4449" s="22"/>
    </row>
    <row r="4450" spans="1:14" x14ac:dyDescent="0.3">
      <c r="A4450" s="15" t="str">
        <f>IF(COUNTA($B4450:$E4450,$K4450)=0,"",IF(AND($B4450&lt;&gt;"",$C4450&lt;&gt;"",$D4450&lt;&gt;"",$E4450&lt;&gt;""),"TXS"&amp;TEXT(COUNTIFS($B$2:$B4450,"&lt;&gt;",$C$2:$C4450,"&lt;&gt;",$D$2:$D4450,"&lt;&gt;",$E$2:$E4450,"&lt;&gt;"),"00000"),""))</f>
        <v/>
      </c>
      <c r="N4450" s="22"/>
    </row>
    <row r="4451" spans="1:14" x14ac:dyDescent="0.3">
      <c r="A4451" s="15" t="str">
        <f>IF(COUNTA($B4451:$E4451,$K4451)=0,"",IF(AND($B4451&lt;&gt;"",$C4451&lt;&gt;"",$D4451&lt;&gt;"",$E4451&lt;&gt;""),"TXS"&amp;TEXT(COUNTIFS($B$2:$B4451,"&lt;&gt;",$C$2:$C4451,"&lt;&gt;",$D$2:$D4451,"&lt;&gt;",$E$2:$E4451,"&lt;&gt;"),"00000"),""))</f>
        <v/>
      </c>
      <c r="N4451" s="22"/>
    </row>
    <row r="4452" spans="1:14" x14ac:dyDescent="0.3">
      <c r="A4452" s="15" t="str">
        <f>IF(COUNTA($B4452:$E4452,$K4452)=0,"",IF(AND($B4452&lt;&gt;"",$C4452&lt;&gt;"",$D4452&lt;&gt;"",$E4452&lt;&gt;""),"TXS"&amp;TEXT(COUNTIFS($B$2:$B4452,"&lt;&gt;",$C$2:$C4452,"&lt;&gt;",$D$2:$D4452,"&lt;&gt;",$E$2:$E4452,"&lt;&gt;"),"00000"),""))</f>
        <v/>
      </c>
      <c r="N4452" s="22"/>
    </row>
    <row r="4453" spans="1:14" x14ac:dyDescent="0.3">
      <c r="A4453" s="15" t="str">
        <f>IF(COUNTA($B4453:$E4453,$K4453)=0,"",IF(AND($B4453&lt;&gt;"",$C4453&lt;&gt;"",$D4453&lt;&gt;"",$E4453&lt;&gt;""),"TXS"&amp;TEXT(COUNTIFS($B$2:$B4453,"&lt;&gt;",$C$2:$C4453,"&lt;&gt;",$D$2:$D4453,"&lt;&gt;",$E$2:$E4453,"&lt;&gt;"),"00000"),""))</f>
        <v/>
      </c>
      <c r="N4453" s="22"/>
    </row>
    <row r="4454" spans="1:14" x14ac:dyDescent="0.3">
      <c r="A4454" s="15" t="str">
        <f>IF(COUNTA($B4454:$E4454,$K4454)=0,"",IF(AND($B4454&lt;&gt;"",$C4454&lt;&gt;"",$D4454&lt;&gt;"",$E4454&lt;&gt;""),"TXS"&amp;TEXT(COUNTIFS($B$2:$B4454,"&lt;&gt;",$C$2:$C4454,"&lt;&gt;",$D$2:$D4454,"&lt;&gt;",$E$2:$E4454,"&lt;&gt;"),"00000"),""))</f>
        <v/>
      </c>
      <c r="N4454" s="22"/>
    </row>
    <row r="4455" spans="1:14" x14ac:dyDescent="0.3">
      <c r="A4455" s="15" t="str">
        <f>IF(COUNTA($B4455:$E4455,$K4455)=0,"",IF(AND($B4455&lt;&gt;"",$C4455&lt;&gt;"",$D4455&lt;&gt;"",$E4455&lt;&gt;""),"TXS"&amp;TEXT(COUNTIFS($B$2:$B4455,"&lt;&gt;",$C$2:$C4455,"&lt;&gt;",$D$2:$D4455,"&lt;&gt;",$E$2:$E4455,"&lt;&gt;"),"00000"),""))</f>
        <v/>
      </c>
      <c r="N4455" s="22"/>
    </row>
    <row r="4456" spans="1:14" x14ac:dyDescent="0.3">
      <c r="A4456" s="15" t="str">
        <f>IF(COUNTA($B4456:$E4456,$K4456)=0,"",IF(AND($B4456&lt;&gt;"",$C4456&lt;&gt;"",$D4456&lt;&gt;"",$E4456&lt;&gt;""),"TXS"&amp;TEXT(COUNTIFS($B$2:$B4456,"&lt;&gt;",$C$2:$C4456,"&lt;&gt;",$D$2:$D4456,"&lt;&gt;",$E$2:$E4456,"&lt;&gt;"),"00000"),""))</f>
        <v/>
      </c>
      <c r="N4456" s="22"/>
    </row>
    <row r="4457" spans="1:14" x14ac:dyDescent="0.3">
      <c r="A4457" s="15" t="str">
        <f>IF(COUNTA($B4457:$E4457,$K4457)=0,"",IF(AND($B4457&lt;&gt;"",$C4457&lt;&gt;"",$D4457&lt;&gt;"",$E4457&lt;&gt;""),"TXS"&amp;TEXT(COUNTIFS($B$2:$B4457,"&lt;&gt;",$C$2:$C4457,"&lt;&gt;",$D$2:$D4457,"&lt;&gt;",$E$2:$E4457,"&lt;&gt;"),"00000"),""))</f>
        <v/>
      </c>
      <c r="N4457" s="22"/>
    </row>
    <row r="4458" spans="1:14" x14ac:dyDescent="0.3">
      <c r="A4458" s="15" t="str">
        <f>IF(COUNTA($B4458:$E4458,$K4458)=0,"",IF(AND($B4458&lt;&gt;"",$C4458&lt;&gt;"",$D4458&lt;&gt;"",$E4458&lt;&gt;""),"TXS"&amp;TEXT(COUNTIFS($B$2:$B4458,"&lt;&gt;",$C$2:$C4458,"&lt;&gt;",$D$2:$D4458,"&lt;&gt;",$E$2:$E4458,"&lt;&gt;"),"00000"),""))</f>
        <v/>
      </c>
      <c r="N4458" s="22"/>
    </row>
    <row r="4459" spans="1:14" x14ac:dyDescent="0.3">
      <c r="A4459" s="15" t="str">
        <f>IF(COUNTA($B4459:$E4459,$K4459)=0,"",IF(AND($B4459&lt;&gt;"",$C4459&lt;&gt;"",$D4459&lt;&gt;"",$E4459&lt;&gt;""),"TXS"&amp;TEXT(COUNTIFS($B$2:$B4459,"&lt;&gt;",$C$2:$C4459,"&lt;&gt;",$D$2:$D4459,"&lt;&gt;",$E$2:$E4459,"&lt;&gt;"),"00000"),""))</f>
        <v/>
      </c>
      <c r="N4459" s="22"/>
    </row>
    <row r="4460" spans="1:14" x14ac:dyDescent="0.3">
      <c r="A4460" s="15" t="str">
        <f>IF(COUNTA($B4460:$E4460,$K4460)=0,"",IF(AND($B4460&lt;&gt;"",$C4460&lt;&gt;"",$D4460&lt;&gt;"",$E4460&lt;&gt;""),"TXS"&amp;TEXT(COUNTIFS($B$2:$B4460,"&lt;&gt;",$C$2:$C4460,"&lt;&gt;",$D$2:$D4460,"&lt;&gt;",$E$2:$E4460,"&lt;&gt;"),"00000"),""))</f>
        <v/>
      </c>
      <c r="N4460" s="22"/>
    </row>
    <row r="4461" spans="1:14" x14ac:dyDescent="0.3">
      <c r="A4461" s="15" t="str">
        <f>IF(COUNTA($B4461:$E4461,$K4461)=0,"",IF(AND($B4461&lt;&gt;"",$C4461&lt;&gt;"",$D4461&lt;&gt;"",$E4461&lt;&gt;""),"TXS"&amp;TEXT(COUNTIFS($B$2:$B4461,"&lt;&gt;",$C$2:$C4461,"&lt;&gt;",$D$2:$D4461,"&lt;&gt;",$E$2:$E4461,"&lt;&gt;"),"00000"),""))</f>
        <v/>
      </c>
      <c r="N4461" s="22"/>
    </row>
    <row r="4462" spans="1:14" x14ac:dyDescent="0.3">
      <c r="A4462" s="15" t="str">
        <f>IF(COUNTA($B4462:$E4462,$K4462)=0,"",IF(AND($B4462&lt;&gt;"",$C4462&lt;&gt;"",$D4462&lt;&gt;"",$E4462&lt;&gt;""),"TXS"&amp;TEXT(COUNTIFS($B$2:$B4462,"&lt;&gt;",$C$2:$C4462,"&lt;&gt;",$D$2:$D4462,"&lt;&gt;",$E$2:$E4462,"&lt;&gt;"),"00000"),""))</f>
        <v/>
      </c>
      <c r="N4462" s="22"/>
    </row>
    <row r="4463" spans="1:14" x14ac:dyDescent="0.3">
      <c r="A4463" s="15" t="str">
        <f>IF(COUNTA($B4463:$E4463,$K4463)=0,"",IF(AND($B4463&lt;&gt;"",$C4463&lt;&gt;"",$D4463&lt;&gt;"",$E4463&lt;&gt;""),"TXS"&amp;TEXT(COUNTIFS($B$2:$B4463,"&lt;&gt;",$C$2:$C4463,"&lt;&gt;",$D$2:$D4463,"&lt;&gt;",$E$2:$E4463,"&lt;&gt;"),"00000"),""))</f>
        <v/>
      </c>
      <c r="N4463" s="22"/>
    </row>
    <row r="4464" spans="1:14" x14ac:dyDescent="0.3">
      <c r="A4464" s="15" t="str">
        <f>IF(COUNTA($B4464:$E4464,$K4464)=0,"",IF(AND($B4464&lt;&gt;"",$C4464&lt;&gt;"",$D4464&lt;&gt;"",$E4464&lt;&gt;""),"TXS"&amp;TEXT(COUNTIFS($B$2:$B4464,"&lt;&gt;",$C$2:$C4464,"&lt;&gt;",$D$2:$D4464,"&lt;&gt;",$E$2:$E4464,"&lt;&gt;"),"00000"),""))</f>
        <v/>
      </c>
      <c r="N4464" s="22"/>
    </row>
    <row r="4465" spans="1:14" x14ac:dyDescent="0.3">
      <c r="A4465" s="15" t="str">
        <f>IF(COUNTA($B4465:$E4465,$K4465)=0,"",IF(AND($B4465&lt;&gt;"",$C4465&lt;&gt;"",$D4465&lt;&gt;"",$E4465&lt;&gt;""),"TXS"&amp;TEXT(COUNTIFS($B$2:$B4465,"&lt;&gt;",$C$2:$C4465,"&lt;&gt;",$D$2:$D4465,"&lt;&gt;",$E$2:$E4465,"&lt;&gt;"),"00000"),""))</f>
        <v/>
      </c>
      <c r="N4465" s="22"/>
    </row>
    <row r="4466" spans="1:14" x14ac:dyDescent="0.3">
      <c r="A4466" s="15" t="str">
        <f>IF(COUNTA($B4466:$E4466,$K4466)=0,"",IF(AND($B4466&lt;&gt;"",$C4466&lt;&gt;"",$D4466&lt;&gt;"",$E4466&lt;&gt;""),"TXS"&amp;TEXT(COUNTIFS($B$2:$B4466,"&lt;&gt;",$C$2:$C4466,"&lt;&gt;",$D$2:$D4466,"&lt;&gt;",$E$2:$E4466,"&lt;&gt;"),"00000"),""))</f>
        <v/>
      </c>
      <c r="N4466" s="22"/>
    </row>
    <row r="4467" spans="1:14" x14ac:dyDescent="0.3">
      <c r="A4467" s="15" t="str">
        <f>IF(COUNTA($B4467:$E4467,$K4467)=0,"",IF(AND($B4467&lt;&gt;"",$C4467&lt;&gt;"",$D4467&lt;&gt;"",$E4467&lt;&gt;""),"TXS"&amp;TEXT(COUNTIFS($B$2:$B4467,"&lt;&gt;",$C$2:$C4467,"&lt;&gt;",$D$2:$D4467,"&lt;&gt;",$E$2:$E4467,"&lt;&gt;"),"00000"),""))</f>
        <v/>
      </c>
      <c r="N4467" s="22"/>
    </row>
    <row r="4468" spans="1:14" x14ac:dyDescent="0.3">
      <c r="A4468" s="15" t="str">
        <f>IF(COUNTA($B4468:$E4468,$K4468)=0,"",IF(AND($B4468&lt;&gt;"",$C4468&lt;&gt;"",$D4468&lt;&gt;"",$E4468&lt;&gt;""),"TXS"&amp;TEXT(COUNTIFS($B$2:$B4468,"&lt;&gt;",$C$2:$C4468,"&lt;&gt;",$D$2:$D4468,"&lt;&gt;",$E$2:$E4468,"&lt;&gt;"),"00000"),""))</f>
        <v/>
      </c>
      <c r="N4468" s="22"/>
    </row>
    <row r="4469" spans="1:14" x14ac:dyDescent="0.3">
      <c r="A4469" s="15" t="str">
        <f>IF(COUNTA($B4469:$E4469,$K4469)=0,"",IF(AND($B4469&lt;&gt;"",$C4469&lt;&gt;"",$D4469&lt;&gt;"",$E4469&lt;&gt;""),"TXS"&amp;TEXT(COUNTIFS($B$2:$B4469,"&lt;&gt;",$C$2:$C4469,"&lt;&gt;",$D$2:$D4469,"&lt;&gt;",$E$2:$E4469,"&lt;&gt;"),"00000"),""))</f>
        <v/>
      </c>
      <c r="N4469" s="22"/>
    </row>
    <row r="4470" spans="1:14" x14ac:dyDescent="0.3">
      <c r="A4470" s="15" t="str">
        <f>IF(COUNTA($B4470:$E4470,$K4470)=0,"",IF(AND($B4470&lt;&gt;"",$C4470&lt;&gt;"",$D4470&lt;&gt;"",$E4470&lt;&gt;""),"TXS"&amp;TEXT(COUNTIFS($B$2:$B4470,"&lt;&gt;",$C$2:$C4470,"&lt;&gt;",$D$2:$D4470,"&lt;&gt;",$E$2:$E4470,"&lt;&gt;"),"00000"),""))</f>
        <v/>
      </c>
      <c r="N4470" s="22"/>
    </row>
    <row r="4471" spans="1:14" x14ac:dyDescent="0.3">
      <c r="A4471" s="15" t="str">
        <f>IF(COUNTA($B4471:$E4471,$K4471)=0,"",IF(AND($B4471&lt;&gt;"",$C4471&lt;&gt;"",$D4471&lt;&gt;"",$E4471&lt;&gt;""),"TXS"&amp;TEXT(COUNTIFS($B$2:$B4471,"&lt;&gt;",$C$2:$C4471,"&lt;&gt;",$D$2:$D4471,"&lt;&gt;",$E$2:$E4471,"&lt;&gt;"),"00000"),""))</f>
        <v/>
      </c>
      <c r="N4471" s="22"/>
    </row>
    <row r="4472" spans="1:14" x14ac:dyDescent="0.3">
      <c r="A4472" s="15" t="str">
        <f>IF(COUNTA($B4472:$E4472,$K4472)=0,"",IF(AND($B4472&lt;&gt;"",$C4472&lt;&gt;"",$D4472&lt;&gt;"",$E4472&lt;&gt;""),"TXS"&amp;TEXT(COUNTIFS($B$2:$B4472,"&lt;&gt;",$C$2:$C4472,"&lt;&gt;",$D$2:$D4472,"&lt;&gt;",$E$2:$E4472,"&lt;&gt;"),"00000"),""))</f>
        <v/>
      </c>
      <c r="N4472" s="22"/>
    </row>
    <row r="4473" spans="1:14" x14ac:dyDescent="0.3">
      <c r="A4473" s="15" t="str">
        <f>IF(COUNTA($B4473:$E4473,$K4473)=0,"",IF(AND($B4473&lt;&gt;"",$C4473&lt;&gt;"",$D4473&lt;&gt;"",$E4473&lt;&gt;""),"TXS"&amp;TEXT(COUNTIFS($B$2:$B4473,"&lt;&gt;",$C$2:$C4473,"&lt;&gt;",$D$2:$D4473,"&lt;&gt;",$E$2:$E4473,"&lt;&gt;"),"00000"),""))</f>
        <v/>
      </c>
      <c r="N4473" s="22"/>
    </row>
    <row r="4474" spans="1:14" x14ac:dyDescent="0.3">
      <c r="A4474" s="15" t="str">
        <f>IF(COUNTA($B4474:$E4474,$K4474)=0,"",IF(AND($B4474&lt;&gt;"",$C4474&lt;&gt;"",$D4474&lt;&gt;"",$E4474&lt;&gt;""),"TXS"&amp;TEXT(COUNTIFS($B$2:$B4474,"&lt;&gt;",$C$2:$C4474,"&lt;&gt;",$D$2:$D4474,"&lt;&gt;",$E$2:$E4474,"&lt;&gt;"),"00000"),""))</f>
        <v/>
      </c>
      <c r="N4474" s="22"/>
    </row>
    <row r="4475" spans="1:14" x14ac:dyDescent="0.3">
      <c r="A4475" s="15" t="str">
        <f>IF(COUNTA($B4475:$E4475,$K4475)=0,"",IF(AND($B4475&lt;&gt;"",$C4475&lt;&gt;"",$D4475&lt;&gt;"",$E4475&lt;&gt;""),"TXS"&amp;TEXT(COUNTIFS($B$2:$B4475,"&lt;&gt;",$C$2:$C4475,"&lt;&gt;",$D$2:$D4475,"&lt;&gt;",$E$2:$E4475,"&lt;&gt;"),"00000"),""))</f>
        <v/>
      </c>
      <c r="N4475" s="22"/>
    </row>
    <row r="4476" spans="1:14" x14ac:dyDescent="0.3">
      <c r="A4476" s="15" t="str">
        <f>IF(COUNTA($B4476:$E4476,$K4476)=0,"",IF(AND($B4476&lt;&gt;"",$C4476&lt;&gt;"",$D4476&lt;&gt;"",$E4476&lt;&gt;""),"TXS"&amp;TEXT(COUNTIFS($B$2:$B4476,"&lt;&gt;",$C$2:$C4476,"&lt;&gt;",$D$2:$D4476,"&lt;&gt;",$E$2:$E4476,"&lt;&gt;"),"00000"),""))</f>
        <v/>
      </c>
      <c r="N4476" s="22"/>
    </row>
    <row r="4477" spans="1:14" x14ac:dyDescent="0.3">
      <c r="A4477" s="15" t="str">
        <f>IF(COUNTA($B4477:$E4477,$K4477)=0,"",IF(AND($B4477&lt;&gt;"",$C4477&lt;&gt;"",$D4477&lt;&gt;"",$E4477&lt;&gt;""),"TXS"&amp;TEXT(COUNTIFS($B$2:$B4477,"&lt;&gt;",$C$2:$C4477,"&lt;&gt;",$D$2:$D4477,"&lt;&gt;",$E$2:$E4477,"&lt;&gt;"),"00000"),""))</f>
        <v/>
      </c>
      <c r="N4477" s="22"/>
    </row>
    <row r="4478" spans="1:14" x14ac:dyDescent="0.3">
      <c r="A4478" s="15" t="str">
        <f>IF(COUNTA($B4478:$E4478,$K4478)=0,"",IF(AND($B4478&lt;&gt;"",$C4478&lt;&gt;"",$D4478&lt;&gt;"",$E4478&lt;&gt;""),"TXS"&amp;TEXT(COUNTIFS($B$2:$B4478,"&lt;&gt;",$C$2:$C4478,"&lt;&gt;",$D$2:$D4478,"&lt;&gt;",$E$2:$E4478,"&lt;&gt;"),"00000"),""))</f>
        <v/>
      </c>
      <c r="N4478" s="22"/>
    </row>
    <row r="4479" spans="1:14" x14ac:dyDescent="0.3">
      <c r="A4479" s="15" t="str">
        <f>IF(COUNTA($B4479:$E4479,$K4479)=0,"",IF(AND($B4479&lt;&gt;"",$C4479&lt;&gt;"",$D4479&lt;&gt;"",$E4479&lt;&gt;""),"TXS"&amp;TEXT(COUNTIFS($B$2:$B4479,"&lt;&gt;",$C$2:$C4479,"&lt;&gt;",$D$2:$D4479,"&lt;&gt;",$E$2:$E4479,"&lt;&gt;"),"00000"),""))</f>
        <v/>
      </c>
      <c r="N4479" s="22"/>
    </row>
    <row r="4480" spans="1:14" x14ac:dyDescent="0.3">
      <c r="A4480" s="15" t="str">
        <f>IF(COUNTA($B4480:$E4480,$K4480)=0,"",IF(AND($B4480&lt;&gt;"",$C4480&lt;&gt;"",$D4480&lt;&gt;"",$E4480&lt;&gt;""),"TXS"&amp;TEXT(COUNTIFS($B$2:$B4480,"&lt;&gt;",$C$2:$C4480,"&lt;&gt;",$D$2:$D4480,"&lt;&gt;",$E$2:$E4480,"&lt;&gt;"),"00000"),""))</f>
        <v/>
      </c>
      <c r="N4480" s="22"/>
    </row>
    <row r="4481" spans="1:14" x14ac:dyDescent="0.3">
      <c r="A4481" s="15" t="str">
        <f>IF(COUNTA($B4481:$E4481,$K4481)=0,"",IF(AND($B4481&lt;&gt;"",$C4481&lt;&gt;"",$D4481&lt;&gt;"",$E4481&lt;&gt;""),"TXS"&amp;TEXT(COUNTIFS($B$2:$B4481,"&lt;&gt;",$C$2:$C4481,"&lt;&gt;",$D$2:$D4481,"&lt;&gt;",$E$2:$E4481,"&lt;&gt;"),"00000"),""))</f>
        <v/>
      </c>
      <c r="N4481" s="22"/>
    </row>
    <row r="4482" spans="1:14" x14ac:dyDescent="0.3">
      <c r="A4482" s="15" t="str">
        <f>IF(COUNTA($B4482:$E4482,$K4482)=0,"",IF(AND($B4482&lt;&gt;"",$C4482&lt;&gt;"",$D4482&lt;&gt;"",$E4482&lt;&gt;""),"TXS"&amp;TEXT(COUNTIFS($B$2:$B4482,"&lt;&gt;",$C$2:$C4482,"&lt;&gt;",$D$2:$D4482,"&lt;&gt;",$E$2:$E4482,"&lt;&gt;"),"00000"),""))</f>
        <v/>
      </c>
      <c r="N4482" s="22"/>
    </row>
    <row r="4483" spans="1:14" x14ac:dyDescent="0.3">
      <c r="A4483" s="15" t="str">
        <f>IF(COUNTA($B4483:$E4483,$K4483)=0,"",IF(AND($B4483&lt;&gt;"",$C4483&lt;&gt;"",$D4483&lt;&gt;"",$E4483&lt;&gt;""),"TXS"&amp;TEXT(COUNTIFS($B$2:$B4483,"&lt;&gt;",$C$2:$C4483,"&lt;&gt;",$D$2:$D4483,"&lt;&gt;",$E$2:$E4483,"&lt;&gt;"),"00000"),""))</f>
        <v/>
      </c>
      <c r="N4483" s="22"/>
    </row>
    <row r="4484" spans="1:14" x14ac:dyDescent="0.3">
      <c r="A4484" s="15" t="str">
        <f>IF(COUNTA($B4484:$E4484,$K4484)=0,"",IF(AND($B4484&lt;&gt;"",$C4484&lt;&gt;"",$D4484&lt;&gt;"",$E4484&lt;&gt;""),"TXS"&amp;TEXT(COUNTIFS($B$2:$B4484,"&lt;&gt;",$C$2:$C4484,"&lt;&gt;",$D$2:$D4484,"&lt;&gt;",$E$2:$E4484,"&lt;&gt;"),"00000"),""))</f>
        <v/>
      </c>
      <c r="N4484" s="22"/>
    </row>
    <row r="4485" spans="1:14" x14ac:dyDescent="0.3">
      <c r="A4485" s="15" t="str">
        <f>IF(COUNTA($B4485:$E4485,$K4485)=0,"",IF(AND($B4485&lt;&gt;"",$C4485&lt;&gt;"",$D4485&lt;&gt;"",$E4485&lt;&gt;""),"TXS"&amp;TEXT(COUNTIFS($B$2:$B4485,"&lt;&gt;",$C$2:$C4485,"&lt;&gt;",$D$2:$D4485,"&lt;&gt;",$E$2:$E4485,"&lt;&gt;"),"00000"),""))</f>
        <v/>
      </c>
      <c r="N4485" s="22"/>
    </row>
    <row r="4486" spans="1:14" x14ac:dyDescent="0.3">
      <c r="A4486" s="15" t="str">
        <f>IF(COUNTA($B4486:$E4486,$K4486)=0,"",IF(AND($B4486&lt;&gt;"",$C4486&lt;&gt;"",$D4486&lt;&gt;"",$E4486&lt;&gt;""),"TXS"&amp;TEXT(COUNTIFS($B$2:$B4486,"&lt;&gt;",$C$2:$C4486,"&lt;&gt;",$D$2:$D4486,"&lt;&gt;",$E$2:$E4486,"&lt;&gt;"),"00000"),""))</f>
        <v/>
      </c>
      <c r="N4486" s="22"/>
    </row>
    <row r="4487" spans="1:14" x14ac:dyDescent="0.3">
      <c r="A4487" s="15" t="str">
        <f>IF(COUNTA($B4487:$E4487,$K4487)=0,"",IF(AND($B4487&lt;&gt;"",$C4487&lt;&gt;"",$D4487&lt;&gt;"",$E4487&lt;&gt;""),"TXS"&amp;TEXT(COUNTIFS($B$2:$B4487,"&lt;&gt;",$C$2:$C4487,"&lt;&gt;",$D$2:$D4487,"&lt;&gt;",$E$2:$E4487,"&lt;&gt;"),"00000"),""))</f>
        <v/>
      </c>
      <c r="N4487" s="22"/>
    </row>
    <row r="4488" spans="1:14" x14ac:dyDescent="0.3">
      <c r="A4488" s="15" t="str">
        <f>IF(COUNTA($B4488:$E4488,$K4488)=0,"",IF(AND($B4488&lt;&gt;"",$C4488&lt;&gt;"",$D4488&lt;&gt;"",$E4488&lt;&gt;""),"TXS"&amp;TEXT(COUNTIFS($B$2:$B4488,"&lt;&gt;",$C$2:$C4488,"&lt;&gt;",$D$2:$D4488,"&lt;&gt;",$E$2:$E4488,"&lt;&gt;"),"00000"),""))</f>
        <v/>
      </c>
      <c r="N4488" s="22"/>
    </row>
    <row r="4489" spans="1:14" x14ac:dyDescent="0.3">
      <c r="A4489" s="15" t="str">
        <f>IF(COUNTA($B4489:$E4489,$K4489)=0,"",IF(AND($B4489&lt;&gt;"",$C4489&lt;&gt;"",$D4489&lt;&gt;"",$E4489&lt;&gt;""),"TXS"&amp;TEXT(COUNTIFS($B$2:$B4489,"&lt;&gt;",$C$2:$C4489,"&lt;&gt;",$D$2:$D4489,"&lt;&gt;",$E$2:$E4489,"&lt;&gt;"),"00000"),""))</f>
        <v/>
      </c>
      <c r="N4489" s="22"/>
    </row>
    <row r="4490" spans="1:14" x14ac:dyDescent="0.3">
      <c r="A4490" s="15" t="str">
        <f>IF(COUNTA($B4490:$E4490,$K4490)=0,"",IF(AND($B4490&lt;&gt;"",$C4490&lt;&gt;"",$D4490&lt;&gt;"",$E4490&lt;&gt;""),"TXS"&amp;TEXT(COUNTIFS($B$2:$B4490,"&lt;&gt;",$C$2:$C4490,"&lt;&gt;",$D$2:$D4490,"&lt;&gt;",$E$2:$E4490,"&lt;&gt;"),"00000"),""))</f>
        <v/>
      </c>
      <c r="N4490" s="22"/>
    </row>
    <row r="4491" spans="1:14" x14ac:dyDescent="0.3">
      <c r="A4491" s="15" t="str">
        <f>IF(COUNTA($B4491:$E4491,$K4491)=0,"",IF(AND($B4491&lt;&gt;"",$C4491&lt;&gt;"",$D4491&lt;&gt;"",$E4491&lt;&gt;""),"TXS"&amp;TEXT(COUNTIFS($B$2:$B4491,"&lt;&gt;",$C$2:$C4491,"&lt;&gt;",$D$2:$D4491,"&lt;&gt;",$E$2:$E4491,"&lt;&gt;"),"00000"),""))</f>
        <v/>
      </c>
      <c r="N4491" s="22"/>
    </row>
    <row r="4492" spans="1:14" x14ac:dyDescent="0.3">
      <c r="A4492" s="15" t="str">
        <f>IF(COUNTA($B4492:$E4492,$K4492)=0,"",IF(AND($B4492&lt;&gt;"",$C4492&lt;&gt;"",$D4492&lt;&gt;"",$E4492&lt;&gt;""),"TXS"&amp;TEXT(COUNTIFS($B$2:$B4492,"&lt;&gt;",$C$2:$C4492,"&lt;&gt;",$D$2:$D4492,"&lt;&gt;",$E$2:$E4492,"&lt;&gt;"),"00000"),""))</f>
        <v/>
      </c>
      <c r="N4492" s="22"/>
    </row>
    <row r="4493" spans="1:14" x14ac:dyDescent="0.3">
      <c r="A4493" s="15" t="str">
        <f>IF(COUNTA($B4493:$E4493,$K4493)=0,"",IF(AND($B4493&lt;&gt;"",$C4493&lt;&gt;"",$D4493&lt;&gt;"",$E4493&lt;&gt;""),"TXS"&amp;TEXT(COUNTIFS($B$2:$B4493,"&lt;&gt;",$C$2:$C4493,"&lt;&gt;",$D$2:$D4493,"&lt;&gt;",$E$2:$E4493,"&lt;&gt;"),"00000"),""))</f>
        <v/>
      </c>
      <c r="N4493" s="22"/>
    </row>
    <row r="4494" spans="1:14" x14ac:dyDescent="0.3">
      <c r="A4494" s="15" t="str">
        <f>IF(COUNTA($B4494:$E4494,$K4494)=0,"",IF(AND($B4494&lt;&gt;"",$C4494&lt;&gt;"",$D4494&lt;&gt;"",$E4494&lt;&gt;""),"TXS"&amp;TEXT(COUNTIFS($B$2:$B4494,"&lt;&gt;",$C$2:$C4494,"&lt;&gt;",$D$2:$D4494,"&lt;&gt;",$E$2:$E4494,"&lt;&gt;"),"00000"),""))</f>
        <v/>
      </c>
      <c r="N4494" s="22"/>
    </row>
    <row r="4495" spans="1:14" x14ac:dyDescent="0.3">
      <c r="A4495" s="15" t="str">
        <f>IF(COUNTA($B4495:$E4495,$K4495)=0,"",IF(AND($B4495&lt;&gt;"",$C4495&lt;&gt;"",$D4495&lt;&gt;"",$E4495&lt;&gt;""),"TXS"&amp;TEXT(COUNTIFS($B$2:$B4495,"&lt;&gt;",$C$2:$C4495,"&lt;&gt;",$D$2:$D4495,"&lt;&gt;",$E$2:$E4495,"&lt;&gt;"),"00000"),""))</f>
        <v/>
      </c>
      <c r="N4495" s="22"/>
    </row>
    <row r="4496" spans="1:14" x14ac:dyDescent="0.3">
      <c r="A4496" s="15" t="str">
        <f>IF(COUNTA($B4496:$E4496,$K4496)=0,"",IF(AND($B4496&lt;&gt;"",$C4496&lt;&gt;"",$D4496&lt;&gt;"",$E4496&lt;&gt;""),"TXS"&amp;TEXT(COUNTIFS($B$2:$B4496,"&lt;&gt;",$C$2:$C4496,"&lt;&gt;",$D$2:$D4496,"&lt;&gt;",$E$2:$E4496,"&lt;&gt;"),"00000"),""))</f>
        <v/>
      </c>
      <c r="N4496" s="22"/>
    </row>
    <row r="4497" spans="1:14" x14ac:dyDescent="0.3">
      <c r="A4497" s="15" t="str">
        <f>IF(COUNTA($B4497:$E4497,$K4497)=0,"",IF(AND($B4497&lt;&gt;"",$C4497&lt;&gt;"",$D4497&lt;&gt;"",$E4497&lt;&gt;""),"TXS"&amp;TEXT(COUNTIFS($B$2:$B4497,"&lt;&gt;",$C$2:$C4497,"&lt;&gt;",$D$2:$D4497,"&lt;&gt;",$E$2:$E4497,"&lt;&gt;"),"00000"),""))</f>
        <v/>
      </c>
      <c r="N4497" s="22"/>
    </row>
    <row r="4498" spans="1:14" x14ac:dyDescent="0.3">
      <c r="A4498" s="15" t="str">
        <f>IF(COUNTA($B4498:$E4498,$K4498)=0,"",IF(AND($B4498&lt;&gt;"",$C4498&lt;&gt;"",$D4498&lt;&gt;"",$E4498&lt;&gt;""),"TXS"&amp;TEXT(COUNTIFS($B$2:$B4498,"&lt;&gt;",$C$2:$C4498,"&lt;&gt;",$D$2:$D4498,"&lt;&gt;",$E$2:$E4498,"&lt;&gt;"),"00000"),""))</f>
        <v/>
      </c>
      <c r="N4498" s="22"/>
    </row>
    <row r="4499" spans="1:14" x14ac:dyDescent="0.3">
      <c r="A4499" s="15" t="str">
        <f>IF(COUNTA($B4499:$E4499,$K4499)=0,"",IF(AND($B4499&lt;&gt;"",$C4499&lt;&gt;"",$D4499&lt;&gt;"",$E4499&lt;&gt;""),"TXS"&amp;TEXT(COUNTIFS($B$2:$B4499,"&lt;&gt;",$C$2:$C4499,"&lt;&gt;",$D$2:$D4499,"&lt;&gt;",$E$2:$E4499,"&lt;&gt;"),"00000"),""))</f>
        <v/>
      </c>
      <c r="N4499" s="22"/>
    </row>
    <row r="4500" spans="1:14" x14ac:dyDescent="0.3">
      <c r="A4500" s="15" t="str">
        <f>IF(COUNTA($B4500:$E4500,$K4500)=0,"",IF(AND($B4500&lt;&gt;"",$C4500&lt;&gt;"",$D4500&lt;&gt;"",$E4500&lt;&gt;""),"TXS"&amp;TEXT(COUNTIFS($B$2:$B4500,"&lt;&gt;",$C$2:$C4500,"&lt;&gt;",$D$2:$D4500,"&lt;&gt;",$E$2:$E4500,"&lt;&gt;"),"00000"),""))</f>
        <v/>
      </c>
      <c r="N4500" s="22"/>
    </row>
    <row r="4501" spans="1:14" x14ac:dyDescent="0.3">
      <c r="A4501" s="15" t="str">
        <f>IF(COUNTA($B4501:$E4501,$K4501)=0,"",IF(AND($B4501&lt;&gt;"",$C4501&lt;&gt;"",$D4501&lt;&gt;"",$E4501&lt;&gt;""),"TXS"&amp;TEXT(COUNTIFS($B$2:$B4501,"&lt;&gt;",$C$2:$C4501,"&lt;&gt;",$D$2:$D4501,"&lt;&gt;",$E$2:$E4501,"&lt;&gt;"),"00000"),""))</f>
        <v/>
      </c>
      <c r="N4501" s="22"/>
    </row>
    <row r="4502" spans="1:14" x14ac:dyDescent="0.3">
      <c r="A4502" s="15" t="str">
        <f>IF(COUNTA($B4502:$E4502,$K4502)=0,"",IF(AND($B4502&lt;&gt;"",$C4502&lt;&gt;"",$D4502&lt;&gt;"",$E4502&lt;&gt;""),"TXS"&amp;TEXT(COUNTIFS($B$2:$B4502,"&lt;&gt;",$C$2:$C4502,"&lt;&gt;",$D$2:$D4502,"&lt;&gt;",$E$2:$E4502,"&lt;&gt;"),"00000"),""))</f>
        <v/>
      </c>
      <c r="N4502" s="22"/>
    </row>
    <row r="4503" spans="1:14" x14ac:dyDescent="0.3">
      <c r="A4503" s="15" t="str">
        <f>IF(COUNTA($B4503:$E4503,$K4503)=0,"",IF(AND($B4503&lt;&gt;"",$C4503&lt;&gt;"",$D4503&lt;&gt;"",$E4503&lt;&gt;""),"TXS"&amp;TEXT(COUNTIFS($B$2:$B4503,"&lt;&gt;",$C$2:$C4503,"&lt;&gt;",$D$2:$D4503,"&lt;&gt;",$E$2:$E4503,"&lt;&gt;"),"00000"),""))</f>
        <v/>
      </c>
      <c r="N4503" s="22"/>
    </row>
    <row r="4504" spans="1:14" x14ac:dyDescent="0.3">
      <c r="A4504" s="15" t="str">
        <f>IF(COUNTA($B4504:$E4504,$K4504)=0,"",IF(AND($B4504&lt;&gt;"",$C4504&lt;&gt;"",$D4504&lt;&gt;"",$E4504&lt;&gt;""),"TXS"&amp;TEXT(COUNTIFS($B$2:$B4504,"&lt;&gt;",$C$2:$C4504,"&lt;&gt;",$D$2:$D4504,"&lt;&gt;",$E$2:$E4504,"&lt;&gt;"),"00000"),""))</f>
        <v/>
      </c>
      <c r="N4504" s="22"/>
    </row>
    <row r="4505" spans="1:14" x14ac:dyDescent="0.3">
      <c r="A4505" s="15" t="str">
        <f>IF(COUNTA($B4505:$E4505,$K4505)=0,"",IF(AND($B4505&lt;&gt;"",$C4505&lt;&gt;"",$D4505&lt;&gt;"",$E4505&lt;&gt;""),"TXS"&amp;TEXT(COUNTIFS($B$2:$B4505,"&lt;&gt;",$C$2:$C4505,"&lt;&gt;",$D$2:$D4505,"&lt;&gt;",$E$2:$E4505,"&lt;&gt;"),"00000"),""))</f>
        <v/>
      </c>
      <c r="N4505" s="22"/>
    </row>
    <row r="4506" spans="1:14" x14ac:dyDescent="0.3">
      <c r="A4506" s="15" t="str">
        <f>IF(COUNTA($B4506:$E4506,$K4506)=0,"",IF(AND($B4506&lt;&gt;"",$C4506&lt;&gt;"",$D4506&lt;&gt;"",$E4506&lt;&gt;""),"TXS"&amp;TEXT(COUNTIFS($B$2:$B4506,"&lt;&gt;",$C$2:$C4506,"&lt;&gt;",$D$2:$D4506,"&lt;&gt;",$E$2:$E4506,"&lt;&gt;"),"00000"),""))</f>
        <v/>
      </c>
      <c r="N4506" s="22"/>
    </row>
    <row r="4507" spans="1:14" x14ac:dyDescent="0.3">
      <c r="A4507" s="15" t="str">
        <f>IF(COUNTA($B4507:$E4507,$K4507)=0,"",IF(AND($B4507&lt;&gt;"",$C4507&lt;&gt;"",$D4507&lt;&gt;"",$E4507&lt;&gt;""),"TXS"&amp;TEXT(COUNTIFS($B$2:$B4507,"&lt;&gt;",$C$2:$C4507,"&lt;&gt;",$D$2:$D4507,"&lt;&gt;",$E$2:$E4507,"&lt;&gt;"),"00000"),""))</f>
        <v/>
      </c>
      <c r="N4507" s="22"/>
    </row>
    <row r="4508" spans="1:14" x14ac:dyDescent="0.3">
      <c r="A4508" s="15" t="str">
        <f>IF(COUNTA($B4508:$E4508,$K4508)=0,"",IF(AND($B4508&lt;&gt;"",$C4508&lt;&gt;"",$D4508&lt;&gt;"",$E4508&lt;&gt;""),"TXS"&amp;TEXT(COUNTIFS($B$2:$B4508,"&lt;&gt;",$C$2:$C4508,"&lt;&gt;",$D$2:$D4508,"&lt;&gt;",$E$2:$E4508,"&lt;&gt;"),"00000"),""))</f>
        <v/>
      </c>
      <c r="N4508" s="22"/>
    </row>
    <row r="4509" spans="1:14" x14ac:dyDescent="0.3">
      <c r="A4509" s="15" t="str">
        <f>IF(COUNTA($B4509:$E4509,$K4509)=0,"",IF(AND($B4509&lt;&gt;"",$C4509&lt;&gt;"",$D4509&lt;&gt;"",$E4509&lt;&gt;""),"TXS"&amp;TEXT(COUNTIFS($B$2:$B4509,"&lt;&gt;",$C$2:$C4509,"&lt;&gt;",$D$2:$D4509,"&lt;&gt;",$E$2:$E4509,"&lt;&gt;"),"00000"),""))</f>
        <v/>
      </c>
      <c r="N4509" s="22"/>
    </row>
    <row r="4510" spans="1:14" x14ac:dyDescent="0.3">
      <c r="A4510" s="15" t="str">
        <f>IF(COUNTA($B4510:$E4510,$K4510)=0,"",IF(AND($B4510&lt;&gt;"",$C4510&lt;&gt;"",$D4510&lt;&gt;"",$E4510&lt;&gt;""),"TXS"&amp;TEXT(COUNTIFS($B$2:$B4510,"&lt;&gt;",$C$2:$C4510,"&lt;&gt;",$D$2:$D4510,"&lt;&gt;",$E$2:$E4510,"&lt;&gt;"),"00000"),""))</f>
        <v/>
      </c>
      <c r="N4510" s="22"/>
    </row>
    <row r="4511" spans="1:14" x14ac:dyDescent="0.3">
      <c r="A4511" s="15" t="str">
        <f>IF(COUNTA($B4511:$E4511,$K4511)=0,"",IF(AND($B4511&lt;&gt;"",$C4511&lt;&gt;"",$D4511&lt;&gt;"",$E4511&lt;&gt;""),"TXS"&amp;TEXT(COUNTIFS($B$2:$B4511,"&lt;&gt;",$C$2:$C4511,"&lt;&gt;",$D$2:$D4511,"&lt;&gt;",$E$2:$E4511,"&lt;&gt;"),"00000"),""))</f>
        <v/>
      </c>
      <c r="N4511" s="22"/>
    </row>
    <row r="4512" spans="1:14" x14ac:dyDescent="0.3">
      <c r="A4512" s="15" t="str">
        <f>IF(COUNTA($B4512:$E4512,$K4512)=0,"",IF(AND($B4512&lt;&gt;"",$C4512&lt;&gt;"",$D4512&lt;&gt;"",$E4512&lt;&gt;""),"TXS"&amp;TEXT(COUNTIFS($B$2:$B4512,"&lt;&gt;",$C$2:$C4512,"&lt;&gt;",$D$2:$D4512,"&lt;&gt;",$E$2:$E4512,"&lt;&gt;"),"00000"),""))</f>
        <v/>
      </c>
      <c r="N4512" s="22"/>
    </row>
    <row r="4513" spans="1:14" x14ac:dyDescent="0.3">
      <c r="A4513" s="15" t="str">
        <f>IF(COUNTA($B4513:$E4513,$K4513)=0,"",IF(AND($B4513&lt;&gt;"",$C4513&lt;&gt;"",$D4513&lt;&gt;"",$E4513&lt;&gt;""),"TXS"&amp;TEXT(COUNTIFS($B$2:$B4513,"&lt;&gt;",$C$2:$C4513,"&lt;&gt;",$D$2:$D4513,"&lt;&gt;",$E$2:$E4513,"&lt;&gt;"),"00000"),""))</f>
        <v/>
      </c>
      <c r="N4513" s="22"/>
    </row>
    <row r="4514" spans="1:14" x14ac:dyDescent="0.3">
      <c r="A4514" s="15" t="str">
        <f>IF(COUNTA($B4514:$E4514,$K4514)=0,"",IF(AND($B4514&lt;&gt;"",$C4514&lt;&gt;"",$D4514&lt;&gt;"",$E4514&lt;&gt;""),"TXS"&amp;TEXT(COUNTIFS($B$2:$B4514,"&lt;&gt;",$C$2:$C4514,"&lt;&gt;",$D$2:$D4514,"&lt;&gt;",$E$2:$E4514,"&lt;&gt;"),"00000"),""))</f>
        <v/>
      </c>
      <c r="N4514" s="22"/>
    </row>
    <row r="4515" spans="1:14" x14ac:dyDescent="0.3">
      <c r="A4515" s="15" t="str">
        <f>IF(COUNTA($B4515:$E4515,$K4515)=0,"",IF(AND($B4515&lt;&gt;"",$C4515&lt;&gt;"",$D4515&lt;&gt;"",$E4515&lt;&gt;""),"TXS"&amp;TEXT(COUNTIFS($B$2:$B4515,"&lt;&gt;",$C$2:$C4515,"&lt;&gt;",$D$2:$D4515,"&lt;&gt;",$E$2:$E4515,"&lt;&gt;"),"00000"),""))</f>
        <v/>
      </c>
      <c r="N4515" s="22"/>
    </row>
    <row r="4516" spans="1:14" x14ac:dyDescent="0.3">
      <c r="A4516" s="15" t="str">
        <f>IF(COUNTA($B4516:$E4516,$K4516)=0,"",IF(AND($B4516&lt;&gt;"",$C4516&lt;&gt;"",$D4516&lt;&gt;"",$E4516&lt;&gt;""),"TXS"&amp;TEXT(COUNTIFS($B$2:$B4516,"&lt;&gt;",$C$2:$C4516,"&lt;&gt;",$D$2:$D4516,"&lt;&gt;",$E$2:$E4516,"&lt;&gt;"),"00000"),""))</f>
        <v/>
      </c>
      <c r="N4516" s="22"/>
    </row>
    <row r="4517" spans="1:14" x14ac:dyDescent="0.3">
      <c r="A4517" s="15" t="str">
        <f>IF(COUNTA($B4517:$E4517,$K4517)=0,"",IF(AND($B4517&lt;&gt;"",$C4517&lt;&gt;"",$D4517&lt;&gt;"",$E4517&lt;&gt;""),"TXS"&amp;TEXT(COUNTIFS($B$2:$B4517,"&lt;&gt;",$C$2:$C4517,"&lt;&gt;",$D$2:$D4517,"&lt;&gt;",$E$2:$E4517,"&lt;&gt;"),"00000"),""))</f>
        <v/>
      </c>
      <c r="N4517" s="22"/>
    </row>
    <row r="4518" spans="1:14" x14ac:dyDescent="0.3">
      <c r="A4518" s="15" t="str">
        <f>IF(COUNTA($B4518:$E4518,$K4518)=0,"",IF(AND($B4518&lt;&gt;"",$C4518&lt;&gt;"",$D4518&lt;&gt;"",$E4518&lt;&gt;""),"TXS"&amp;TEXT(COUNTIFS($B$2:$B4518,"&lt;&gt;",$C$2:$C4518,"&lt;&gt;",$D$2:$D4518,"&lt;&gt;",$E$2:$E4518,"&lt;&gt;"),"00000"),""))</f>
        <v/>
      </c>
      <c r="N4518" s="22"/>
    </row>
    <row r="4519" spans="1:14" x14ac:dyDescent="0.3">
      <c r="A4519" s="15" t="str">
        <f>IF(COUNTA($B4519:$E4519,$K4519)=0,"",IF(AND($B4519&lt;&gt;"",$C4519&lt;&gt;"",$D4519&lt;&gt;"",$E4519&lt;&gt;""),"TXS"&amp;TEXT(COUNTIFS($B$2:$B4519,"&lt;&gt;",$C$2:$C4519,"&lt;&gt;",$D$2:$D4519,"&lt;&gt;",$E$2:$E4519,"&lt;&gt;"),"00000"),""))</f>
        <v/>
      </c>
      <c r="N4519" s="22"/>
    </row>
    <row r="4520" spans="1:14" x14ac:dyDescent="0.3">
      <c r="A4520" s="15" t="str">
        <f>IF(COUNTA($B4520:$E4520,$K4520)=0,"",IF(AND($B4520&lt;&gt;"",$C4520&lt;&gt;"",$D4520&lt;&gt;"",$E4520&lt;&gt;""),"TXS"&amp;TEXT(COUNTIFS($B$2:$B4520,"&lt;&gt;",$C$2:$C4520,"&lt;&gt;",$D$2:$D4520,"&lt;&gt;",$E$2:$E4520,"&lt;&gt;"),"00000"),""))</f>
        <v/>
      </c>
      <c r="N4520" s="22"/>
    </row>
    <row r="4521" spans="1:14" x14ac:dyDescent="0.3">
      <c r="A4521" s="15" t="str">
        <f>IF(COUNTA($B4521:$E4521,$K4521)=0,"",IF(AND($B4521&lt;&gt;"",$C4521&lt;&gt;"",$D4521&lt;&gt;"",$E4521&lt;&gt;""),"TXS"&amp;TEXT(COUNTIFS($B$2:$B4521,"&lt;&gt;",$C$2:$C4521,"&lt;&gt;",$D$2:$D4521,"&lt;&gt;",$E$2:$E4521,"&lt;&gt;"),"00000"),""))</f>
        <v/>
      </c>
      <c r="N4521" s="22"/>
    </row>
    <row r="4522" spans="1:14" x14ac:dyDescent="0.3">
      <c r="A4522" s="15" t="str">
        <f>IF(COUNTA($B4522:$E4522,$K4522)=0,"",IF(AND($B4522&lt;&gt;"",$C4522&lt;&gt;"",$D4522&lt;&gt;"",$E4522&lt;&gt;""),"TXS"&amp;TEXT(COUNTIFS($B$2:$B4522,"&lt;&gt;",$C$2:$C4522,"&lt;&gt;",$D$2:$D4522,"&lt;&gt;",$E$2:$E4522,"&lt;&gt;"),"00000"),""))</f>
        <v/>
      </c>
      <c r="N4522" s="22"/>
    </row>
    <row r="4523" spans="1:14" x14ac:dyDescent="0.3">
      <c r="A4523" s="15" t="str">
        <f>IF(COUNTA($B4523:$E4523,$K4523)=0,"",IF(AND($B4523&lt;&gt;"",$C4523&lt;&gt;"",$D4523&lt;&gt;"",$E4523&lt;&gt;""),"TXS"&amp;TEXT(COUNTIFS($B$2:$B4523,"&lt;&gt;",$C$2:$C4523,"&lt;&gt;",$D$2:$D4523,"&lt;&gt;",$E$2:$E4523,"&lt;&gt;"),"00000"),""))</f>
        <v/>
      </c>
      <c r="N4523" s="22"/>
    </row>
    <row r="4524" spans="1:14" x14ac:dyDescent="0.3">
      <c r="A4524" s="15" t="str">
        <f>IF(COUNTA($B4524:$E4524,$K4524)=0,"",IF(AND($B4524&lt;&gt;"",$C4524&lt;&gt;"",$D4524&lt;&gt;"",$E4524&lt;&gt;""),"TXS"&amp;TEXT(COUNTIFS($B$2:$B4524,"&lt;&gt;",$C$2:$C4524,"&lt;&gt;",$D$2:$D4524,"&lt;&gt;",$E$2:$E4524,"&lt;&gt;"),"00000"),""))</f>
        <v/>
      </c>
      <c r="N4524" s="22"/>
    </row>
    <row r="4525" spans="1:14" x14ac:dyDescent="0.3">
      <c r="A4525" s="15" t="str">
        <f>IF(COUNTA($B4525:$E4525,$K4525)=0,"",IF(AND($B4525&lt;&gt;"",$C4525&lt;&gt;"",$D4525&lt;&gt;"",$E4525&lt;&gt;""),"TXS"&amp;TEXT(COUNTIFS($B$2:$B4525,"&lt;&gt;",$C$2:$C4525,"&lt;&gt;",$D$2:$D4525,"&lt;&gt;",$E$2:$E4525,"&lt;&gt;"),"00000"),""))</f>
        <v/>
      </c>
      <c r="N4525" s="22"/>
    </row>
    <row r="4526" spans="1:14" x14ac:dyDescent="0.3">
      <c r="A4526" s="15" t="str">
        <f>IF(COUNTA($B4526:$E4526,$K4526)=0,"",IF(AND($B4526&lt;&gt;"",$C4526&lt;&gt;"",$D4526&lt;&gt;"",$E4526&lt;&gt;""),"TXS"&amp;TEXT(COUNTIFS($B$2:$B4526,"&lt;&gt;",$C$2:$C4526,"&lt;&gt;",$D$2:$D4526,"&lt;&gt;",$E$2:$E4526,"&lt;&gt;"),"00000"),""))</f>
        <v/>
      </c>
      <c r="N4526" s="22"/>
    </row>
    <row r="4527" spans="1:14" x14ac:dyDescent="0.3">
      <c r="A4527" s="15" t="str">
        <f>IF(COUNTA($B4527:$E4527,$K4527)=0,"",IF(AND($B4527&lt;&gt;"",$C4527&lt;&gt;"",$D4527&lt;&gt;"",$E4527&lt;&gt;""),"TXS"&amp;TEXT(COUNTIFS($B$2:$B4527,"&lt;&gt;",$C$2:$C4527,"&lt;&gt;",$D$2:$D4527,"&lt;&gt;",$E$2:$E4527,"&lt;&gt;"),"00000"),""))</f>
        <v/>
      </c>
      <c r="N4527" s="22"/>
    </row>
    <row r="4528" spans="1:14" x14ac:dyDescent="0.3">
      <c r="A4528" s="15" t="str">
        <f>IF(COUNTA($B4528:$E4528,$K4528)=0,"",IF(AND($B4528&lt;&gt;"",$C4528&lt;&gt;"",$D4528&lt;&gt;"",$E4528&lt;&gt;""),"TXS"&amp;TEXT(COUNTIFS($B$2:$B4528,"&lt;&gt;",$C$2:$C4528,"&lt;&gt;",$D$2:$D4528,"&lt;&gt;",$E$2:$E4528,"&lt;&gt;"),"00000"),""))</f>
        <v/>
      </c>
      <c r="N4528" s="22"/>
    </row>
    <row r="4529" spans="1:14" x14ac:dyDescent="0.3">
      <c r="A4529" s="15" t="str">
        <f>IF(COUNTA($B4529:$E4529,$K4529)=0,"",IF(AND($B4529&lt;&gt;"",$C4529&lt;&gt;"",$D4529&lt;&gt;"",$E4529&lt;&gt;""),"TXS"&amp;TEXT(COUNTIFS($B$2:$B4529,"&lt;&gt;",$C$2:$C4529,"&lt;&gt;",$D$2:$D4529,"&lt;&gt;",$E$2:$E4529,"&lt;&gt;"),"00000"),""))</f>
        <v/>
      </c>
      <c r="N4529" s="22"/>
    </row>
    <row r="4530" spans="1:14" x14ac:dyDescent="0.3">
      <c r="A4530" s="15" t="str">
        <f>IF(COUNTA($B4530:$E4530,$K4530)=0,"",IF(AND($B4530&lt;&gt;"",$C4530&lt;&gt;"",$D4530&lt;&gt;"",$E4530&lt;&gt;""),"TXS"&amp;TEXT(COUNTIFS($B$2:$B4530,"&lt;&gt;",$C$2:$C4530,"&lt;&gt;",$D$2:$D4530,"&lt;&gt;",$E$2:$E4530,"&lt;&gt;"),"00000"),""))</f>
        <v/>
      </c>
      <c r="N4530" s="22"/>
    </row>
    <row r="4531" spans="1:14" x14ac:dyDescent="0.3">
      <c r="A4531" s="15" t="str">
        <f>IF(COUNTA($B4531:$E4531,$K4531)=0,"",IF(AND($B4531&lt;&gt;"",$C4531&lt;&gt;"",$D4531&lt;&gt;"",$E4531&lt;&gt;""),"TXS"&amp;TEXT(COUNTIFS($B$2:$B4531,"&lt;&gt;",$C$2:$C4531,"&lt;&gt;",$D$2:$D4531,"&lt;&gt;",$E$2:$E4531,"&lt;&gt;"),"00000"),""))</f>
        <v/>
      </c>
      <c r="N4531" s="22"/>
    </row>
    <row r="4532" spans="1:14" x14ac:dyDescent="0.3">
      <c r="A4532" s="15" t="str">
        <f>IF(COUNTA($B4532:$E4532,$K4532)=0,"",IF(AND($B4532&lt;&gt;"",$C4532&lt;&gt;"",$D4532&lt;&gt;"",$E4532&lt;&gt;""),"TXS"&amp;TEXT(COUNTIFS($B$2:$B4532,"&lt;&gt;",$C$2:$C4532,"&lt;&gt;",$D$2:$D4532,"&lt;&gt;",$E$2:$E4532,"&lt;&gt;"),"00000"),""))</f>
        <v/>
      </c>
      <c r="N4532" s="22"/>
    </row>
    <row r="4533" spans="1:14" x14ac:dyDescent="0.3">
      <c r="A4533" s="15" t="str">
        <f>IF(COUNTA($B4533:$E4533,$K4533)=0,"",IF(AND($B4533&lt;&gt;"",$C4533&lt;&gt;"",$D4533&lt;&gt;"",$E4533&lt;&gt;""),"TXS"&amp;TEXT(COUNTIFS($B$2:$B4533,"&lt;&gt;",$C$2:$C4533,"&lt;&gt;",$D$2:$D4533,"&lt;&gt;",$E$2:$E4533,"&lt;&gt;"),"00000"),""))</f>
        <v/>
      </c>
      <c r="N4533" s="22"/>
    </row>
    <row r="4534" spans="1:14" x14ac:dyDescent="0.3">
      <c r="A4534" s="15" t="str">
        <f>IF(COUNTA($B4534:$E4534,$K4534)=0,"",IF(AND($B4534&lt;&gt;"",$C4534&lt;&gt;"",$D4534&lt;&gt;"",$E4534&lt;&gt;""),"TXS"&amp;TEXT(COUNTIFS($B$2:$B4534,"&lt;&gt;",$C$2:$C4534,"&lt;&gt;",$D$2:$D4534,"&lt;&gt;",$E$2:$E4534,"&lt;&gt;"),"00000"),""))</f>
        <v/>
      </c>
      <c r="N4534" s="22"/>
    </row>
    <row r="4535" spans="1:14" x14ac:dyDescent="0.3">
      <c r="A4535" s="15" t="str">
        <f>IF(COUNTA($B4535:$E4535,$K4535)=0,"",IF(AND($B4535&lt;&gt;"",$C4535&lt;&gt;"",$D4535&lt;&gt;"",$E4535&lt;&gt;""),"TXS"&amp;TEXT(COUNTIFS($B$2:$B4535,"&lt;&gt;",$C$2:$C4535,"&lt;&gt;",$D$2:$D4535,"&lt;&gt;",$E$2:$E4535,"&lt;&gt;"),"00000"),""))</f>
        <v/>
      </c>
      <c r="N4535" s="22"/>
    </row>
    <row r="4536" spans="1:14" x14ac:dyDescent="0.3">
      <c r="A4536" s="15" t="str">
        <f>IF(COUNTA($B4536:$E4536,$K4536)=0,"",IF(AND($B4536&lt;&gt;"",$C4536&lt;&gt;"",$D4536&lt;&gt;"",$E4536&lt;&gt;""),"TXS"&amp;TEXT(COUNTIFS($B$2:$B4536,"&lt;&gt;",$C$2:$C4536,"&lt;&gt;",$D$2:$D4536,"&lt;&gt;",$E$2:$E4536,"&lt;&gt;"),"00000"),""))</f>
        <v/>
      </c>
      <c r="N4536" s="22"/>
    </row>
    <row r="4537" spans="1:14" x14ac:dyDescent="0.3">
      <c r="A4537" s="15" t="str">
        <f>IF(COUNTA($B4537:$E4537,$K4537)=0,"",IF(AND($B4537&lt;&gt;"",$C4537&lt;&gt;"",$D4537&lt;&gt;"",$E4537&lt;&gt;""),"TXS"&amp;TEXT(COUNTIFS($B$2:$B4537,"&lt;&gt;",$C$2:$C4537,"&lt;&gt;",$D$2:$D4537,"&lt;&gt;",$E$2:$E4537,"&lt;&gt;"),"00000"),""))</f>
        <v/>
      </c>
      <c r="N4537" s="22"/>
    </row>
    <row r="4538" spans="1:14" x14ac:dyDescent="0.3">
      <c r="A4538" s="15" t="str">
        <f>IF(COUNTA($B4538:$E4538,$K4538)=0,"",IF(AND($B4538&lt;&gt;"",$C4538&lt;&gt;"",$D4538&lt;&gt;"",$E4538&lt;&gt;""),"TXS"&amp;TEXT(COUNTIFS($B$2:$B4538,"&lt;&gt;",$C$2:$C4538,"&lt;&gt;",$D$2:$D4538,"&lt;&gt;",$E$2:$E4538,"&lt;&gt;"),"00000"),""))</f>
        <v/>
      </c>
      <c r="N4538" s="22"/>
    </row>
    <row r="4539" spans="1:14" x14ac:dyDescent="0.3">
      <c r="A4539" s="15" t="str">
        <f>IF(COUNTA($B4539:$E4539,$K4539)=0,"",IF(AND($B4539&lt;&gt;"",$C4539&lt;&gt;"",$D4539&lt;&gt;"",$E4539&lt;&gt;""),"TXS"&amp;TEXT(COUNTIFS($B$2:$B4539,"&lt;&gt;",$C$2:$C4539,"&lt;&gt;",$D$2:$D4539,"&lt;&gt;",$E$2:$E4539,"&lt;&gt;"),"00000"),""))</f>
        <v/>
      </c>
      <c r="N4539" s="22"/>
    </row>
    <row r="4540" spans="1:14" x14ac:dyDescent="0.3">
      <c r="A4540" s="15" t="str">
        <f>IF(COUNTA($B4540:$E4540,$K4540)=0,"",IF(AND($B4540&lt;&gt;"",$C4540&lt;&gt;"",$D4540&lt;&gt;"",$E4540&lt;&gt;""),"TXS"&amp;TEXT(COUNTIFS($B$2:$B4540,"&lt;&gt;",$C$2:$C4540,"&lt;&gt;",$D$2:$D4540,"&lt;&gt;",$E$2:$E4540,"&lt;&gt;"),"00000"),""))</f>
        <v/>
      </c>
      <c r="N4540" s="22"/>
    </row>
    <row r="4541" spans="1:14" x14ac:dyDescent="0.3">
      <c r="A4541" s="15" t="str">
        <f>IF(COUNTA($B4541:$E4541,$K4541)=0,"",IF(AND($B4541&lt;&gt;"",$C4541&lt;&gt;"",$D4541&lt;&gt;"",$E4541&lt;&gt;""),"TXS"&amp;TEXT(COUNTIFS($B$2:$B4541,"&lt;&gt;",$C$2:$C4541,"&lt;&gt;",$D$2:$D4541,"&lt;&gt;",$E$2:$E4541,"&lt;&gt;"),"00000"),""))</f>
        <v/>
      </c>
      <c r="N4541" s="22"/>
    </row>
    <row r="4542" spans="1:14" x14ac:dyDescent="0.3">
      <c r="A4542" s="15" t="str">
        <f>IF(COUNTA($B4542:$E4542,$K4542)=0,"",IF(AND($B4542&lt;&gt;"",$C4542&lt;&gt;"",$D4542&lt;&gt;"",$E4542&lt;&gt;""),"TXS"&amp;TEXT(COUNTIFS($B$2:$B4542,"&lt;&gt;",$C$2:$C4542,"&lt;&gt;",$D$2:$D4542,"&lt;&gt;",$E$2:$E4542,"&lt;&gt;"),"00000"),""))</f>
        <v/>
      </c>
      <c r="N4542" s="22"/>
    </row>
    <row r="4543" spans="1:14" x14ac:dyDescent="0.3">
      <c r="A4543" s="15" t="str">
        <f>IF(COUNTA($B4543:$E4543,$K4543)=0,"",IF(AND($B4543&lt;&gt;"",$C4543&lt;&gt;"",$D4543&lt;&gt;"",$E4543&lt;&gt;""),"TXS"&amp;TEXT(COUNTIFS($B$2:$B4543,"&lt;&gt;",$C$2:$C4543,"&lt;&gt;",$D$2:$D4543,"&lt;&gt;",$E$2:$E4543,"&lt;&gt;"),"00000"),""))</f>
        <v/>
      </c>
      <c r="N4543" s="22"/>
    </row>
    <row r="4544" spans="1:14" x14ac:dyDescent="0.3">
      <c r="A4544" s="15" t="str">
        <f>IF(COUNTA($B4544:$E4544,$K4544)=0,"",IF(AND($B4544&lt;&gt;"",$C4544&lt;&gt;"",$D4544&lt;&gt;"",$E4544&lt;&gt;""),"TXS"&amp;TEXT(COUNTIFS($B$2:$B4544,"&lt;&gt;",$C$2:$C4544,"&lt;&gt;",$D$2:$D4544,"&lt;&gt;",$E$2:$E4544,"&lt;&gt;"),"00000"),""))</f>
        <v/>
      </c>
      <c r="N4544" s="22"/>
    </row>
    <row r="4545" spans="1:14" x14ac:dyDescent="0.3">
      <c r="A4545" s="15" t="str">
        <f>IF(COUNTA($B4545:$E4545,$K4545)=0,"",IF(AND($B4545&lt;&gt;"",$C4545&lt;&gt;"",$D4545&lt;&gt;"",$E4545&lt;&gt;""),"TXS"&amp;TEXT(COUNTIFS($B$2:$B4545,"&lt;&gt;",$C$2:$C4545,"&lt;&gt;",$D$2:$D4545,"&lt;&gt;",$E$2:$E4545,"&lt;&gt;"),"00000"),""))</f>
        <v/>
      </c>
      <c r="N4545" s="22"/>
    </row>
    <row r="4546" spans="1:14" x14ac:dyDescent="0.3">
      <c r="A4546" s="15" t="str">
        <f>IF(COUNTA($B4546:$E4546,$K4546)=0,"",IF(AND($B4546&lt;&gt;"",$C4546&lt;&gt;"",$D4546&lt;&gt;"",$E4546&lt;&gt;""),"TXS"&amp;TEXT(COUNTIFS($B$2:$B4546,"&lt;&gt;",$C$2:$C4546,"&lt;&gt;",$D$2:$D4546,"&lt;&gt;",$E$2:$E4546,"&lt;&gt;"),"00000"),""))</f>
        <v/>
      </c>
      <c r="N4546" s="22"/>
    </row>
    <row r="4547" spans="1:14" x14ac:dyDescent="0.3">
      <c r="A4547" s="15" t="str">
        <f>IF(COUNTA($B4547:$E4547,$K4547)=0,"",IF(AND($B4547&lt;&gt;"",$C4547&lt;&gt;"",$D4547&lt;&gt;"",$E4547&lt;&gt;""),"TXS"&amp;TEXT(COUNTIFS($B$2:$B4547,"&lt;&gt;",$C$2:$C4547,"&lt;&gt;",$D$2:$D4547,"&lt;&gt;",$E$2:$E4547,"&lt;&gt;"),"00000"),""))</f>
        <v/>
      </c>
      <c r="N4547" s="22"/>
    </row>
    <row r="4548" spans="1:14" x14ac:dyDescent="0.3">
      <c r="A4548" s="15" t="str">
        <f>IF(COUNTA($B4548:$E4548,$K4548)=0,"",IF(AND($B4548&lt;&gt;"",$C4548&lt;&gt;"",$D4548&lt;&gt;"",$E4548&lt;&gt;""),"TXS"&amp;TEXT(COUNTIFS($B$2:$B4548,"&lt;&gt;",$C$2:$C4548,"&lt;&gt;",$D$2:$D4548,"&lt;&gt;",$E$2:$E4548,"&lt;&gt;"),"00000"),""))</f>
        <v/>
      </c>
      <c r="N4548" s="22"/>
    </row>
    <row r="4549" spans="1:14" x14ac:dyDescent="0.3">
      <c r="A4549" s="15" t="str">
        <f>IF(COUNTA($B4549:$E4549,$K4549)=0,"",IF(AND($B4549&lt;&gt;"",$C4549&lt;&gt;"",$D4549&lt;&gt;"",$E4549&lt;&gt;""),"TXS"&amp;TEXT(COUNTIFS($B$2:$B4549,"&lt;&gt;",$C$2:$C4549,"&lt;&gt;",$D$2:$D4549,"&lt;&gt;",$E$2:$E4549,"&lt;&gt;"),"00000"),""))</f>
        <v/>
      </c>
      <c r="N4549" s="22"/>
    </row>
    <row r="4550" spans="1:14" x14ac:dyDescent="0.3">
      <c r="A4550" s="15" t="str">
        <f>IF(COUNTA($B4550:$E4550,$K4550)=0,"",IF(AND($B4550&lt;&gt;"",$C4550&lt;&gt;"",$D4550&lt;&gt;"",$E4550&lt;&gt;""),"TXS"&amp;TEXT(COUNTIFS($B$2:$B4550,"&lt;&gt;",$C$2:$C4550,"&lt;&gt;",$D$2:$D4550,"&lt;&gt;",$E$2:$E4550,"&lt;&gt;"),"00000"),""))</f>
        <v/>
      </c>
      <c r="N4550" s="22"/>
    </row>
    <row r="4551" spans="1:14" x14ac:dyDescent="0.3">
      <c r="A4551" s="15" t="str">
        <f>IF(COUNTA($B4551:$E4551,$K4551)=0,"",IF(AND($B4551&lt;&gt;"",$C4551&lt;&gt;"",$D4551&lt;&gt;"",$E4551&lt;&gt;""),"TXS"&amp;TEXT(COUNTIFS($B$2:$B4551,"&lt;&gt;",$C$2:$C4551,"&lt;&gt;",$D$2:$D4551,"&lt;&gt;",$E$2:$E4551,"&lt;&gt;"),"00000"),""))</f>
        <v/>
      </c>
      <c r="N4551" s="22"/>
    </row>
    <row r="4552" spans="1:14" x14ac:dyDescent="0.3">
      <c r="A4552" s="15" t="str">
        <f>IF(COUNTA($B4552:$E4552,$K4552)=0,"",IF(AND($B4552&lt;&gt;"",$C4552&lt;&gt;"",$D4552&lt;&gt;"",$E4552&lt;&gt;""),"TXS"&amp;TEXT(COUNTIFS($B$2:$B4552,"&lt;&gt;",$C$2:$C4552,"&lt;&gt;",$D$2:$D4552,"&lt;&gt;",$E$2:$E4552,"&lt;&gt;"),"00000"),""))</f>
        <v/>
      </c>
      <c r="N4552" s="22"/>
    </row>
    <row r="4553" spans="1:14" x14ac:dyDescent="0.3">
      <c r="A4553" s="15" t="str">
        <f>IF(COUNTA($B4553:$E4553,$K4553)=0,"",IF(AND($B4553&lt;&gt;"",$C4553&lt;&gt;"",$D4553&lt;&gt;"",$E4553&lt;&gt;""),"TXS"&amp;TEXT(COUNTIFS($B$2:$B4553,"&lt;&gt;",$C$2:$C4553,"&lt;&gt;",$D$2:$D4553,"&lt;&gt;",$E$2:$E4553,"&lt;&gt;"),"00000"),""))</f>
        <v/>
      </c>
      <c r="N4553" s="22"/>
    </row>
    <row r="4554" spans="1:14" x14ac:dyDescent="0.3">
      <c r="A4554" s="15" t="str">
        <f>IF(COUNTA($B4554:$E4554,$K4554)=0,"",IF(AND($B4554&lt;&gt;"",$C4554&lt;&gt;"",$D4554&lt;&gt;"",$E4554&lt;&gt;""),"TXS"&amp;TEXT(COUNTIFS($B$2:$B4554,"&lt;&gt;",$C$2:$C4554,"&lt;&gt;",$D$2:$D4554,"&lt;&gt;",$E$2:$E4554,"&lt;&gt;"),"00000"),""))</f>
        <v/>
      </c>
      <c r="N4554" s="22"/>
    </row>
    <row r="4555" spans="1:14" x14ac:dyDescent="0.3">
      <c r="A4555" s="15" t="str">
        <f>IF(COUNTA($B4555:$E4555,$K4555)=0,"",IF(AND($B4555&lt;&gt;"",$C4555&lt;&gt;"",$D4555&lt;&gt;"",$E4555&lt;&gt;""),"TXS"&amp;TEXT(COUNTIFS($B$2:$B4555,"&lt;&gt;",$C$2:$C4555,"&lt;&gt;",$D$2:$D4555,"&lt;&gt;",$E$2:$E4555,"&lt;&gt;"),"00000"),""))</f>
        <v/>
      </c>
      <c r="N4555" s="22"/>
    </row>
    <row r="4556" spans="1:14" x14ac:dyDescent="0.3">
      <c r="A4556" s="15" t="str">
        <f>IF(COUNTA($B4556:$E4556,$K4556)=0,"",IF(AND($B4556&lt;&gt;"",$C4556&lt;&gt;"",$D4556&lt;&gt;"",$E4556&lt;&gt;""),"TXS"&amp;TEXT(COUNTIFS($B$2:$B4556,"&lt;&gt;",$C$2:$C4556,"&lt;&gt;",$D$2:$D4556,"&lt;&gt;",$E$2:$E4556,"&lt;&gt;"),"00000"),""))</f>
        <v/>
      </c>
      <c r="N4556" s="22"/>
    </row>
    <row r="4557" spans="1:14" x14ac:dyDescent="0.3">
      <c r="A4557" s="15" t="str">
        <f>IF(COUNTA($B4557:$E4557,$K4557)=0,"",IF(AND($B4557&lt;&gt;"",$C4557&lt;&gt;"",$D4557&lt;&gt;"",$E4557&lt;&gt;""),"TXS"&amp;TEXT(COUNTIFS($B$2:$B4557,"&lt;&gt;",$C$2:$C4557,"&lt;&gt;",$D$2:$D4557,"&lt;&gt;",$E$2:$E4557,"&lt;&gt;"),"00000"),""))</f>
        <v/>
      </c>
      <c r="N4557" s="22"/>
    </row>
    <row r="4558" spans="1:14" x14ac:dyDescent="0.3">
      <c r="A4558" s="15" t="str">
        <f>IF(COUNTA($B4558:$E4558,$K4558)=0,"",IF(AND($B4558&lt;&gt;"",$C4558&lt;&gt;"",$D4558&lt;&gt;"",$E4558&lt;&gt;""),"TXS"&amp;TEXT(COUNTIFS($B$2:$B4558,"&lt;&gt;",$C$2:$C4558,"&lt;&gt;",$D$2:$D4558,"&lt;&gt;",$E$2:$E4558,"&lt;&gt;"),"00000"),""))</f>
        <v/>
      </c>
      <c r="N4558" s="22"/>
    </row>
    <row r="4559" spans="1:14" x14ac:dyDescent="0.3">
      <c r="A4559" s="15" t="str">
        <f>IF(COUNTA($B4559:$E4559,$K4559)=0,"",IF(AND($B4559&lt;&gt;"",$C4559&lt;&gt;"",$D4559&lt;&gt;"",$E4559&lt;&gt;""),"TXS"&amp;TEXT(COUNTIFS($B$2:$B4559,"&lt;&gt;",$C$2:$C4559,"&lt;&gt;",$D$2:$D4559,"&lt;&gt;",$E$2:$E4559,"&lt;&gt;"),"00000"),""))</f>
        <v/>
      </c>
      <c r="N4559" s="22"/>
    </row>
    <row r="4560" spans="1:14" x14ac:dyDescent="0.3">
      <c r="A4560" s="15" t="str">
        <f>IF(COUNTA($B4560:$E4560,$K4560)=0,"",IF(AND($B4560&lt;&gt;"",$C4560&lt;&gt;"",$D4560&lt;&gt;"",$E4560&lt;&gt;""),"TXS"&amp;TEXT(COUNTIFS($B$2:$B4560,"&lt;&gt;",$C$2:$C4560,"&lt;&gt;",$D$2:$D4560,"&lt;&gt;",$E$2:$E4560,"&lt;&gt;"),"00000"),""))</f>
        <v/>
      </c>
      <c r="N4560" s="22"/>
    </row>
    <row r="4561" spans="1:14" x14ac:dyDescent="0.3">
      <c r="A4561" s="15" t="str">
        <f>IF(COUNTA($B4561:$E4561,$K4561)=0,"",IF(AND($B4561&lt;&gt;"",$C4561&lt;&gt;"",$D4561&lt;&gt;"",$E4561&lt;&gt;""),"TXS"&amp;TEXT(COUNTIFS($B$2:$B4561,"&lt;&gt;",$C$2:$C4561,"&lt;&gt;",$D$2:$D4561,"&lt;&gt;",$E$2:$E4561,"&lt;&gt;"),"00000"),""))</f>
        <v/>
      </c>
      <c r="N4561" s="22"/>
    </row>
    <row r="4562" spans="1:14" x14ac:dyDescent="0.3">
      <c r="A4562" s="15" t="str">
        <f>IF(COUNTA($B4562:$E4562,$K4562)=0,"",IF(AND($B4562&lt;&gt;"",$C4562&lt;&gt;"",$D4562&lt;&gt;"",$E4562&lt;&gt;""),"TXS"&amp;TEXT(COUNTIFS($B$2:$B4562,"&lt;&gt;",$C$2:$C4562,"&lt;&gt;",$D$2:$D4562,"&lt;&gt;",$E$2:$E4562,"&lt;&gt;"),"00000"),""))</f>
        <v/>
      </c>
      <c r="N4562" s="22"/>
    </row>
    <row r="4563" spans="1:14" x14ac:dyDescent="0.3">
      <c r="A4563" s="15" t="str">
        <f>IF(COUNTA($B4563:$E4563,$K4563)=0,"",IF(AND($B4563&lt;&gt;"",$C4563&lt;&gt;"",$D4563&lt;&gt;"",$E4563&lt;&gt;""),"TXS"&amp;TEXT(COUNTIFS($B$2:$B4563,"&lt;&gt;",$C$2:$C4563,"&lt;&gt;",$D$2:$D4563,"&lt;&gt;",$E$2:$E4563,"&lt;&gt;"),"00000"),""))</f>
        <v/>
      </c>
      <c r="N4563" s="22"/>
    </row>
    <row r="4564" spans="1:14" x14ac:dyDescent="0.3">
      <c r="A4564" s="15" t="str">
        <f>IF(COUNTA($B4564:$E4564,$K4564)=0,"",IF(AND($B4564&lt;&gt;"",$C4564&lt;&gt;"",$D4564&lt;&gt;"",$E4564&lt;&gt;""),"TXS"&amp;TEXT(COUNTIFS($B$2:$B4564,"&lt;&gt;",$C$2:$C4564,"&lt;&gt;",$D$2:$D4564,"&lt;&gt;",$E$2:$E4564,"&lt;&gt;"),"00000"),""))</f>
        <v/>
      </c>
      <c r="N4564" s="22"/>
    </row>
    <row r="4565" spans="1:14" x14ac:dyDescent="0.3">
      <c r="A4565" s="15" t="str">
        <f>IF(COUNTA($B4565:$E4565,$K4565)=0,"",IF(AND($B4565&lt;&gt;"",$C4565&lt;&gt;"",$D4565&lt;&gt;"",$E4565&lt;&gt;""),"TXS"&amp;TEXT(COUNTIFS($B$2:$B4565,"&lt;&gt;",$C$2:$C4565,"&lt;&gt;",$D$2:$D4565,"&lt;&gt;",$E$2:$E4565,"&lt;&gt;"),"00000"),""))</f>
        <v/>
      </c>
      <c r="N4565" s="22"/>
    </row>
    <row r="4566" spans="1:14" x14ac:dyDescent="0.3">
      <c r="A4566" s="15" t="str">
        <f>IF(COUNTA($B4566:$E4566,$K4566)=0,"",IF(AND($B4566&lt;&gt;"",$C4566&lt;&gt;"",$D4566&lt;&gt;"",$E4566&lt;&gt;""),"TXS"&amp;TEXT(COUNTIFS($B$2:$B4566,"&lt;&gt;",$C$2:$C4566,"&lt;&gt;",$D$2:$D4566,"&lt;&gt;",$E$2:$E4566,"&lt;&gt;"),"00000"),""))</f>
        <v/>
      </c>
      <c r="N4566" s="22"/>
    </row>
    <row r="4567" spans="1:14" x14ac:dyDescent="0.3">
      <c r="A4567" s="15" t="str">
        <f>IF(COUNTA($B4567:$E4567,$K4567)=0,"",IF(AND($B4567&lt;&gt;"",$C4567&lt;&gt;"",$D4567&lt;&gt;"",$E4567&lt;&gt;""),"TXS"&amp;TEXT(COUNTIFS($B$2:$B4567,"&lt;&gt;",$C$2:$C4567,"&lt;&gt;",$D$2:$D4567,"&lt;&gt;",$E$2:$E4567,"&lt;&gt;"),"00000"),""))</f>
        <v/>
      </c>
      <c r="N4567" s="22"/>
    </row>
    <row r="4568" spans="1:14" x14ac:dyDescent="0.3">
      <c r="A4568" s="15" t="str">
        <f>IF(COUNTA($B4568:$E4568,$K4568)=0,"",IF(AND($B4568&lt;&gt;"",$C4568&lt;&gt;"",$D4568&lt;&gt;"",$E4568&lt;&gt;""),"TXS"&amp;TEXT(COUNTIFS($B$2:$B4568,"&lt;&gt;",$C$2:$C4568,"&lt;&gt;",$D$2:$D4568,"&lt;&gt;",$E$2:$E4568,"&lt;&gt;"),"00000"),""))</f>
        <v/>
      </c>
      <c r="N4568" s="22"/>
    </row>
    <row r="4569" spans="1:14" x14ac:dyDescent="0.3">
      <c r="A4569" s="15" t="str">
        <f>IF(COUNTA($B4569:$E4569,$K4569)=0,"",IF(AND($B4569&lt;&gt;"",$C4569&lt;&gt;"",$D4569&lt;&gt;"",$E4569&lt;&gt;""),"TXS"&amp;TEXT(COUNTIFS($B$2:$B4569,"&lt;&gt;",$C$2:$C4569,"&lt;&gt;",$D$2:$D4569,"&lt;&gt;",$E$2:$E4569,"&lt;&gt;"),"00000"),""))</f>
        <v/>
      </c>
      <c r="N4569" s="22"/>
    </row>
    <row r="4570" spans="1:14" x14ac:dyDescent="0.3">
      <c r="A4570" s="15" t="str">
        <f>IF(COUNTA($B4570:$E4570,$K4570)=0,"",IF(AND($B4570&lt;&gt;"",$C4570&lt;&gt;"",$D4570&lt;&gt;"",$E4570&lt;&gt;""),"TXS"&amp;TEXT(COUNTIFS($B$2:$B4570,"&lt;&gt;",$C$2:$C4570,"&lt;&gt;",$D$2:$D4570,"&lt;&gt;",$E$2:$E4570,"&lt;&gt;"),"00000"),""))</f>
        <v/>
      </c>
      <c r="N4570" s="22"/>
    </row>
    <row r="4571" spans="1:14" x14ac:dyDescent="0.3">
      <c r="A4571" s="15" t="str">
        <f>IF(COUNTA($B4571:$E4571,$K4571)=0,"",IF(AND($B4571&lt;&gt;"",$C4571&lt;&gt;"",$D4571&lt;&gt;"",$E4571&lt;&gt;""),"TXS"&amp;TEXT(COUNTIFS($B$2:$B4571,"&lt;&gt;",$C$2:$C4571,"&lt;&gt;",$D$2:$D4571,"&lt;&gt;",$E$2:$E4571,"&lt;&gt;"),"00000"),""))</f>
        <v/>
      </c>
      <c r="N4571" s="22"/>
    </row>
    <row r="4572" spans="1:14" x14ac:dyDescent="0.3">
      <c r="A4572" s="15" t="str">
        <f>IF(COUNTA($B4572:$E4572,$K4572)=0,"",IF(AND($B4572&lt;&gt;"",$C4572&lt;&gt;"",$D4572&lt;&gt;"",$E4572&lt;&gt;""),"TXS"&amp;TEXT(COUNTIFS($B$2:$B4572,"&lt;&gt;",$C$2:$C4572,"&lt;&gt;",$D$2:$D4572,"&lt;&gt;",$E$2:$E4572,"&lt;&gt;"),"00000"),""))</f>
        <v/>
      </c>
      <c r="N4572" s="22"/>
    </row>
    <row r="4573" spans="1:14" x14ac:dyDescent="0.3">
      <c r="A4573" s="15" t="str">
        <f>IF(COUNTA($B4573:$E4573,$K4573)=0,"",IF(AND($B4573&lt;&gt;"",$C4573&lt;&gt;"",$D4573&lt;&gt;"",$E4573&lt;&gt;""),"TXS"&amp;TEXT(COUNTIFS($B$2:$B4573,"&lt;&gt;",$C$2:$C4573,"&lt;&gt;",$D$2:$D4573,"&lt;&gt;",$E$2:$E4573,"&lt;&gt;"),"00000"),""))</f>
        <v/>
      </c>
      <c r="N4573" s="22"/>
    </row>
    <row r="4574" spans="1:14" x14ac:dyDescent="0.3">
      <c r="A4574" s="15" t="str">
        <f>IF(COUNTA($B4574:$E4574,$K4574)=0,"",IF(AND($B4574&lt;&gt;"",$C4574&lt;&gt;"",$D4574&lt;&gt;"",$E4574&lt;&gt;""),"TXS"&amp;TEXT(COUNTIFS($B$2:$B4574,"&lt;&gt;",$C$2:$C4574,"&lt;&gt;",$D$2:$D4574,"&lt;&gt;",$E$2:$E4574,"&lt;&gt;"),"00000"),""))</f>
        <v/>
      </c>
      <c r="N4574" s="22"/>
    </row>
    <row r="4575" spans="1:14" x14ac:dyDescent="0.3">
      <c r="A4575" s="15" t="str">
        <f>IF(COUNTA($B4575:$E4575,$K4575)=0,"",IF(AND($B4575&lt;&gt;"",$C4575&lt;&gt;"",$D4575&lt;&gt;"",$E4575&lt;&gt;""),"TXS"&amp;TEXT(COUNTIFS($B$2:$B4575,"&lt;&gt;",$C$2:$C4575,"&lt;&gt;",$D$2:$D4575,"&lt;&gt;",$E$2:$E4575,"&lt;&gt;"),"00000"),""))</f>
        <v/>
      </c>
      <c r="N4575" s="22"/>
    </row>
    <row r="4576" spans="1:14" x14ac:dyDescent="0.3">
      <c r="A4576" s="15" t="str">
        <f>IF(COUNTA($B4576:$E4576,$K4576)=0,"",IF(AND($B4576&lt;&gt;"",$C4576&lt;&gt;"",$D4576&lt;&gt;"",$E4576&lt;&gt;""),"TXS"&amp;TEXT(COUNTIFS($B$2:$B4576,"&lt;&gt;",$C$2:$C4576,"&lt;&gt;",$D$2:$D4576,"&lt;&gt;",$E$2:$E4576,"&lt;&gt;"),"00000"),""))</f>
        <v/>
      </c>
      <c r="N4576" s="22"/>
    </row>
    <row r="4577" spans="1:14" x14ac:dyDescent="0.3">
      <c r="A4577" s="15" t="str">
        <f>IF(COUNTA($B4577:$E4577,$K4577)=0,"",IF(AND($B4577&lt;&gt;"",$C4577&lt;&gt;"",$D4577&lt;&gt;"",$E4577&lt;&gt;""),"TXS"&amp;TEXT(COUNTIFS($B$2:$B4577,"&lt;&gt;",$C$2:$C4577,"&lt;&gt;",$D$2:$D4577,"&lt;&gt;",$E$2:$E4577,"&lt;&gt;"),"00000"),""))</f>
        <v/>
      </c>
      <c r="N4577" s="22"/>
    </row>
    <row r="4578" spans="1:14" x14ac:dyDescent="0.3">
      <c r="A4578" s="15" t="str">
        <f>IF(COUNTA($B4578:$E4578,$K4578)=0,"",IF(AND($B4578&lt;&gt;"",$C4578&lt;&gt;"",$D4578&lt;&gt;"",$E4578&lt;&gt;""),"TXS"&amp;TEXT(COUNTIFS($B$2:$B4578,"&lt;&gt;",$C$2:$C4578,"&lt;&gt;",$D$2:$D4578,"&lt;&gt;",$E$2:$E4578,"&lt;&gt;"),"00000"),""))</f>
        <v/>
      </c>
      <c r="N4578" s="22"/>
    </row>
    <row r="4579" spans="1:14" x14ac:dyDescent="0.3">
      <c r="A4579" s="15" t="str">
        <f>IF(COUNTA($B4579:$E4579,$K4579)=0,"",IF(AND($B4579&lt;&gt;"",$C4579&lt;&gt;"",$D4579&lt;&gt;"",$E4579&lt;&gt;""),"TXS"&amp;TEXT(COUNTIFS($B$2:$B4579,"&lt;&gt;",$C$2:$C4579,"&lt;&gt;",$D$2:$D4579,"&lt;&gt;",$E$2:$E4579,"&lt;&gt;"),"00000"),""))</f>
        <v/>
      </c>
      <c r="N4579" s="22"/>
    </row>
    <row r="4580" spans="1:14" x14ac:dyDescent="0.3">
      <c r="A4580" s="15" t="str">
        <f>IF(COUNTA($B4580:$E4580,$K4580)=0,"",IF(AND($B4580&lt;&gt;"",$C4580&lt;&gt;"",$D4580&lt;&gt;"",$E4580&lt;&gt;""),"TXS"&amp;TEXT(COUNTIFS($B$2:$B4580,"&lt;&gt;",$C$2:$C4580,"&lt;&gt;",$D$2:$D4580,"&lt;&gt;",$E$2:$E4580,"&lt;&gt;"),"00000"),""))</f>
        <v/>
      </c>
      <c r="N4580" s="22"/>
    </row>
    <row r="4581" spans="1:14" x14ac:dyDescent="0.3">
      <c r="A4581" s="15" t="str">
        <f>IF(COUNTA($B4581:$E4581,$K4581)=0,"",IF(AND($B4581&lt;&gt;"",$C4581&lt;&gt;"",$D4581&lt;&gt;"",$E4581&lt;&gt;""),"TXS"&amp;TEXT(COUNTIFS($B$2:$B4581,"&lt;&gt;",$C$2:$C4581,"&lt;&gt;",$D$2:$D4581,"&lt;&gt;",$E$2:$E4581,"&lt;&gt;"),"00000"),""))</f>
        <v/>
      </c>
      <c r="N4581" s="22"/>
    </row>
    <row r="4582" spans="1:14" x14ac:dyDescent="0.3">
      <c r="A4582" s="15" t="str">
        <f>IF(COUNTA($B4582:$E4582,$K4582)=0,"",IF(AND($B4582&lt;&gt;"",$C4582&lt;&gt;"",$D4582&lt;&gt;"",$E4582&lt;&gt;""),"TXS"&amp;TEXT(COUNTIFS($B$2:$B4582,"&lt;&gt;",$C$2:$C4582,"&lt;&gt;",$D$2:$D4582,"&lt;&gt;",$E$2:$E4582,"&lt;&gt;"),"00000"),""))</f>
        <v/>
      </c>
      <c r="N4582" s="22"/>
    </row>
    <row r="4583" spans="1:14" x14ac:dyDescent="0.3">
      <c r="A4583" s="15" t="str">
        <f>IF(COUNTA($B4583:$E4583,$K4583)=0,"",IF(AND($B4583&lt;&gt;"",$C4583&lt;&gt;"",$D4583&lt;&gt;"",$E4583&lt;&gt;""),"TXS"&amp;TEXT(COUNTIFS($B$2:$B4583,"&lt;&gt;",$C$2:$C4583,"&lt;&gt;",$D$2:$D4583,"&lt;&gt;",$E$2:$E4583,"&lt;&gt;"),"00000"),""))</f>
        <v/>
      </c>
      <c r="N4583" s="22"/>
    </row>
    <row r="4584" spans="1:14" x14ac:dyDescent="0.3">
      <c r="A4584" s="15" t="str">
        <f>IF(COUNTA($B4584:$E4584,$K4584)=0,"",IF(AND($B4584&lt;&gt;"",$C4584&lt;&gt;"",$D4584&lt;&gt;"",$E4584&lt;&gt;""),"TXS"&amp;TEXT(COUNTIFS($B$2:$B4584,"&lt;&gt;",$C$2:$C4584,"&lt;&gt;",$D$2:$D4584,"&lt;&gt;",$E$2:$E4584,"&lt;&gt;"),"00000"),""))</f>
        <v/>
      </c>
      <c r="N4584" s="22"/>
    </row>
    <row r="4585" spans="1:14" x14ac:dyDescent="0.3">
      <c r="A4585" s="15" t="str">
        <f>IF(COUNTA($B4585:$E4585,$K4585)=0,"",IF(AND($B4585&lt;&gt;"",$C4585&lt;&gt;"",$D4585&lt;&gt;"",$E4585&lt;&gt;""),"TXS"&amp;TEXT(COUNTIFS($B$2:$B4585,"&lt;&gt;",$C$2:$C4585,"&lt;&gt;",$D$2:$D4585,"&lt;&gt;",$E$2:$E4585,"&lt;&gt;"),"00000"),""))</f>
        <v/>
      </c>
      <c r="N4585" s="22"/>
    </row>
    <row r="4586" spans="1:14" x14ac:dyDescent="0.3">
      <c r="A4586" s="15" t="str">
        <f>IF(COUNTA($B4586:$E4586,$K4586)=0,"",IF(AND($B4586&lt;&gt;"",$C4586&lt;&gt;"",$D4586&lt;&gt;"",$E4586&lt;&gt;""),"TXS"&amp;TEXT(COUNTIFS($B$2:$B4586,"&lt;&gt;",$C$2:$C4586,"&lt;&gt;",$D$2:$D4586,"&lt;&gt;",$E$2:$E4586,"&lt;&gt;"),"00000"),""))</f>
        <v/>
      </c>
      <c r="N4586" s="22"/>
    </row>
    <row r="4587" spans="1:14" x14ac:dyDescent="0.3">
      <c r="A4587" s="15" t="str">
        <f>IF(COUNTA($B4587:$E4587,$K4587)=0,"",IF(AND($B4587&lt;&gt;"",$C4587&lt;&gt;"",$D4587&lt;&gt;"",$E4587&lt;&gt;""),"TXS"&amp;TEXT(COUNTIFS($B$2:$B4587,"&lt;&gt;",$C$2:$C4587,"&lt;&gt;",$D$2:$D4587,"&lt;&gt;",$E$2:$E4587,"&lt;&gt;"),"00000"),""))</f>
        <v/>
      </c>
      <c r="N4587" s="22"/>
    </row>
    <row r="4588" spans="1:14" x14ac:dyDescent="0.3">
      <c r="A4588" s="15" t="str">
        <f>IF(COUNTA($B4588:$E4588,$K4588)=0,"",IF(AND($B4588&lt;&gt;"",$C4588&lt;&gt;"",$D4588&lt;&gt;"",$E4588&lt;&gt;""),"TXS"&amp;TEXT(COUNTIFS($B$2:$B4588,"&lt;&gt;",$C$2:$C4588,"&lt;&gt;",$D$2:$D4588,"&lt;&gt;",$E$2:$E4588,"&lt;&gt;"),"00000"),""))</f>
        <v/>
      </c>
      <c r="N4588" s="22"/>
    </row>
    <row r="4589" spans="1:14" x14ac:dyDescent="0.3">
      <c r="A4589" s="15" t="str">
        <f>IF(COUNTA($B4589:$E4589,$K4589)=0,"",IF(AND($B4589&lt;&gt;"",$C4589&lt;&gt;"",$D4589&lt;&gt;"",$E4589&lt;&gt;""),"TXS"&amp;TEXT(COUNTIFS($B$2:$B4589,"&lt;&gt;",$C$2:$C4589,"&lt;&gt;",$D$2:$D4589,"&lt;&gt;",$E$2:$E4589,"&lt;&gt;"),"00000"),""))</f>
        <v/>
      </c>
      <c r="N4589" s="22"/>
    </row>
    <row r="4590" spans="1:14" x14ac:dyDescent="0.3">
      <c r="A4590" s="15" t="str">
        <f>IF(COUNTA($B4590:$E4590,$K4590)=0,"",IF(AND($B4590&lt;&gt;"",$C4590&lt;&gt;"",$D4590&lt;&gt;"",$E4590&lt;&gt;""),"TXS"&amp;TEXT(COUNTIFS($B$2:$B4590,"&lt;&gt;",$C$2:$C4590,"&lt;&gt;",$D$2:$D4590,"&lt;&gt;",$E$2:$E4590,"&lt;&gt;"),"00000"),""))</f>
        <v/>
      </c>
      <c r="N4590" s="22"/>
    </row>
    <row r="4591" spans="1:14" x14ac:dyDescent="0.3">
      <c r="A4591" s="15" t="str">
        <f>IF(COUNTA($B4591:$E4591,$K4591)=0,"",IF(AND($B4591&lt;&gt;"",$C4591&lt;&gt;"",$D4591&lt;&gt;"",$E4591&lt;&gt;""),"TXS"&amp;TEXT(COUNTIFS($B$2:$B4591,"&lt;&gt;",$C$2:$C4591,"&lt;&gt;",$D$2:$D4591,"&lt;&gt;",$E$2:$E4591,"&lt;&gt;"),"00000"),""))</f>
        <v/>
      </c>
      <c r="N4591" s="22"/>
    </row>
    <row r="4592" spans="1:14" x14ac:dyDescent="0.3">
      <c r="A4592" s="15" t="str">
        <f>IF(COUNTA($B4592:$E4592,$K4592)=0,"",IF(AND($B4592&lt;&gt;"",$C4592&lt;&gt;"",$D4592&lt;&gt;"",$E4592&lt;&gt;""),"TXS"&amp;TEXT(COUNTIFS($B$2:$B4592,"&lt;&gt;",$C$2:$C4592,"&lt;&gt;",$D$2:$D4592,"&lt;&gt;",$E$2:$E4592,"&lt;&gt;"),"00000"),""))</f>
        <v/>
      </c>
      <c r="N4592" s="22"/>
    </row>
    <row r="4593" spans="1:14" x14ac:dyDescent="0.3">
      <c r="A4593" s="15" t="str">
        <f>IF(COUNTA($B4593:$E4593,$K4593)=0,"",IF(AND($B4593&lt;&gt;"",$C4593&lt;&gt;"",$D4593&lt;&gt;"",$E4593&lt;&gt;""),"TXS"&amp;TEXT(COUNTIFS($B$2:$B4593,"&lt;&gt;",$C$2:$C4593,"&lt;&gt;",$D$2:$D4593,"&lt;&gt;",$E$2:$E4593,"&lt;&gt;"),"00000"),""))</f>
        <v/>
      </c>
      <c r="N4593" s="22"/>
    </row>
    <row r="4594" spans="1:14" x14ac:dyDescent="0.3">
      <c r="A4594" s="15" t="str">
        <f>IF(COUNTA($B4594:$E4594,$K4594)=0,"",IF(AND($B4594&lt;&gt;"",$C4594&lt;&gt;"",$D4594&lt;&gt;"",$E4594&lt;&gt;""),"TXS"&amp;TEXT(COUNTIFS($B$2:$B4594,"&lt;&gt;",$C$2:$C4594,"&lt;&gt;",$D$2:$D4594,"&lt;&gt;",$E$2:$E4594,"&lt;&gt;"),"00000"),""))</f>
        <v/>
      </c>
      <c r="N4594" s="22"/>
    </row>
    <row r="4595" spans="1:14" x14ac:dyDescent="0.3">
      <c r="A4595" s="15" t="str">
        <f>IF(COUNTA($B4595:$E4595,$K4595)=0,"",IF(AND($B4595&lt;&gt;"",$C4595&lt;&gt;"",$D4595&lt;&gt;"",$E4595&lt;&gt;""),"TXS"&amp;TEXT(COUNTIFS($B$2:$B4595,"&lt;&gt;",$C$2:$C4595,"&lt;&gt;",$D$2:$D4595,"&lt;&gt;",$E$2:$E4595,"&lt;&gt;"),"00000"),""))</f>
        <v/>
      </c>
      <c r="N4595" s="22"/>
    </row>
    <row r="4596" spans="1:14" x14ac:dyDescent="0.3">
      <c r="A4596" s="15" t="str">
        <f>IF(COUNTA($B4596:$E4596,$K4596)=0,"",IF(AND($B4596&lt;&gt;"",$C4596&lt;&gt;"",$D4596&lt;&gt;"",$E4596&lt;&gt;""),"TXS"&amp;TEXT(COUNTIFS($B$2:$B4596,"&lt;&gt;",$C$2:$C4596,"&lt;&gt;",$D$2:$D4596,"&lt;&gt;",$E$2:$E4596,"&lt;&gt;"),"00000"),""))</f>
        <v/>
      </c>
      <c r="N4596" s="22"/>
    </row>
    <row r="4597" spans="1:14" x14ac:dyDescent="0.3">
      <c r="A4597" s="15" t="str">
        <f>IF(COUNTA($B4597:$E4597,$K4597)=0,"",IF(AND($B4597&lt;&gt;"",$C4597&lt;&gt;"",$D4597&lt;&gt;"",$E4597&lt;&gt;""),"TXS"&amp;TEXT(COUNTIFS($B$2:$B4597,"&lt;&gt;",$C$2:$C4597,"&lt;&gt;",$D$2:$D4597,"&lt;&gt;",$E$2:$E4597,"&lt;&gt;"),"00000"),""))</f>
        <v/>
      </c>
      <c r="N4597" s="22"/>
    </row>
    <row r="4598" spans="1:14" x14ac:dyDescent="0.3">
      <c r="A4598" s="15" t="str">
        <f>IF(COUNTA($B4598:$E4598,$K4598)=0,"",IF(AND($B4598&lt;&gt;"",$C4598&lt;&gt;"",$D4598&lt;&gt;"",$E4598&lt;&gt;""),"TXS"&amp;TEXT(COUNTIFS($B$2:$B4598,"&lt;&gt;",$C$2:$C4598,"&lt;&gt;",$D$2:$D4598,"&lt;&gt;",$E$2:$E4598,"&lt;&gt;"),"00000"),""))</f>
        <v/>
      </c>
      <c r="N4598" s="22"/>
    </row>
    <row r="4599" spans="1:14" x14ac:dyDescent="0.3">
      <c r="A4599" s="15" t="str">
        <f>IF(COUNTA($B4599:$E4599,$K4599)=0,"",IF(AND($B4599&lt;&gt;"",$C4599&lt;&gt;"",$D4599&lt;&gt;"",$E4599&lt;&gt;""),"TXS"&amp;TEXT(COUNTIFS($B$2:$B4599,"&lt;&gt;",$C$2:$C4599,"&lt;&gt;",$D$2:$D4599,"&lt;&gt;",$E$2:$E4599,"&lt;&gt;"),"00000"),""))</f>
        <v/>
      </c>
      <c r="N4599" s="22"/>
    </row>
    <row r="4600" spans="1:14" x14ac:dyDescent="0.3">
      <c r="A4600" s="15" t="str">
        <f>IF(COUNTA($B4600:$E4600,$K4600)=0,"",IF(AND($B4600&lt;&gt;"",$C4600&lt;&gt;"",$D4600&lt;&gt;"",$E4600&lt;&gt;""),"TXS"&amp;TEXT(COUNTIFS($B$2:$B4600,"&lt;&gt;",$C$2:$C4600,"&lt;&gt;",$D$2:$D4600,"&lt;&gt;",$E$2:$E4600,"&lt;&gt;"),"00000"),""))</f>
        <v/>
      </c>
      <c r="N4600" s="22"/>
    </row>
    <row r="4601" spans="1:14" x14ac:dyDescent="0.3">
      <c r="A4601" s="15" t="str">
        <f>IF(COUNTA($B4601:$E4601,$K4601)=0,"",IF(AND($B4601&lt;&gt;"",$C4601&lt;&gt;"",$D4601&lt;&gt;"",$E4601&lt;&gt;""),"TXS"&amp;TEXT(COUNTIFS($B$2:$B4601,"&lt;&gt;",$C$2:$C4601,"&lt;&gt;",$D$2:$D4601,"&lt;&gt;",$E$2:$E4601,"&lt;&gt;"),"00000"),""))</f>
        <v/>
      </c>
      <c r="N4601" s="22"/>
    </row>
    <row r="4602" spans="1:14" x14ac:dyDescent="0.3">
      <c r="A4602" s="15" t="str">
        <f>IF(COUNTA($B4602:$E4602,$K4602)=0,"",IF(AND($B4602&lt;&gt;"",$C4602&lt;&gt;"",$D4602&lt;&gt;"",$E4602&lt;&gt;""),"TXS"&amp;TEXT(COUNTIFS($B$2:$B4602,"&lt;&gt;",$C$2:$C4602,"&lt;&gt;",$D$2:$D4602,"&lt;&gt;",$E$2:$E4602,"&lt;&gt;"),"00000"),""))</f>
        <v/>
      </c>
      <c r="N4602" s="22"/>
    </row>
    <row r="4603" spans="1:14" x14ac:dyDescent="0.3">
      <c r="A4603" s="15" t="str">
        <f>IF(COUNTA($B4603:$E4603,$K4603)=0,"",IF(AND($B4603&lt;&gt;"",$C4603&lt;&gt;"",$D4603&lt;&gt;"",$E4603&lt;&gt;""),"TXS"&amp;TEXT(COUNTIFS($B$2:$B4603,"&lt;&gt;",$C$2:$C4603,"&lt;&gt;",$D$2:$D4603,"&lt;&gt;",$E$2:$E4603,"&lt;&gt;"),"00000"),""))</f>
        <v/>
      </c>
      <c r="N4603" s="22"/>
    </row>
    <row r="4604" spans="1:14" x14ac:dyDescent="0.3">
      <c r="A4604" s="15" t="str">
        <f>IF(COUNTA($B4604:$E4604,$K4604)=0,"",IF(AND($B4604&lt;&gt;"",$C4604&lt;&gt;"",$D4604&lt;&gt;"",$E4604&lt;&gt;""),"TXS"&amp;TEXT(COUNTIFS($B$2:$B4604,"&lt;&gt;",$C$2:$C4604,"&lt;&gt;",$D$2:$D4604,"&lt;&gt;",$E$2:$E4604,"&lt;&gt;"),"00000"),""))</f>
        <v/>
      </c>
      <c r="N4604" s="22"/>
    </row>
    <row r="4605" spans="1:14" x14ac:dyDescent="0.3">
      <c r="A4605" s="15" t="str">
        <f>IF(COUNTA($B4605:$E4605,$K4605)=0,"",IF(AND($B4605&lt;&gt;"",$C4605&lt;&gt;"",$D4605&lt;&gt;"",$E4605&lt;&gt;""),"TXS"&amp;TEXT(COUNTIFS($B$2:$B4605,"&lt;&gt;",$C$2:$C4605,"&lt;&gt;",$D$2:$D4605,"&lt;&gt;",$E$2:$E4605,"&lt;&gt;"),"00000"),""))</f>
        <v/>
      </c>
      <c r="N4605" s="22"/>
    </row>
    <row r="4606" spans="1:14" x14ac:dyDescent="0.3">
      <c r="A4606" s="15" t="str">
        <f>IF(COUNTA($B4606:$E4606,$K4606)=0,"",IF(AND($B4606&lt;&gt;"",$C4606&lt;&gt;"",$D4606&lt;&gt;"",$E4606&lt;&gt;""),"TXS"&amp;TEXT(COUNTIFS($B$2:$B4606,"&lt;&gt;",$C$2:$C4606,"&lt;&gt;",$D$2:$D4606,"&lt;&gt;",$E$2:$E4606,"&lt;&gt;"),"00000"),""))</f>
        <v/>
      </c>
      <c r="N4606" s="22"/>
    </row>
    <row r="4607" spans="1:14" x14ac:dyDescent="0.3">
      <c r="A4607" s="15" t="str">
        <f>IF(COUNTA($B4607:$E4607,$K4607)=0,"",IF(AND($B4607&lt;&gt;"",$C4607&lt;&gt;"",$D4607&lt;&gt;"",$E4607&lt;&gt;""),"TXS"&amp;TEXT(COUNTIFS($B$2:$B4607,"&lt;&gt;",$C$2:$C4607,"&lt;&gt;",$D$2:$D4607,"&lt;&gt;",$E$2:$E4607,"&lt;&gt;"),"00000"),""))</f>
        <v/>
      </c>
      <c r="N4607" s="22"/>
    </row>
    <row r="4608" spans="1:14" x14ac:dyDescent="0.3">
      <c r="A4608" s="15" t="str">
        <f>IF(COUNTA($B4608:$E4608,$K4608)=0,"",IF(AND($B4608&lt;&gt;"",$C4608&lt;&gt;"",$D4608&lt;&gt;"",$E4608&lt;&gt;""),"TXS"&amp;TEXT(COUNTIFS($B$2:$B4608,"&lt;&gt;",$C$2:$C4608,"&lt;&gt;",$D$2:$D4608,"&lt;&gt;",$E$2:$E4608,"&lt;&gt;"),"00000"),""))</f>
        <v/>
      </c>
      <c r="N4608" s="22"/>
    </row>
    <row r="4609" spans="1:14" x14ac:dyDescent="0.3">
      <c r="A4609" s="15" t="str">
        <f>IF(COUNTA($B4609:$E4609,$K4609)=0,"",IF(AND($B4609&lt;&gt;"",$C4609&lt;&gt;"",$D4609&lt;&gt;"",$E4609&lt;&gt;""),"TXS"&amp;TEXT(COUNTIFS($B$2:$B4609,"&lt;&gt;",$C$2:$C4609,"&lt;&gt;",$D$2:$D4609,"&lt;&gt;",$E$2:$E4609,"&lt;&gt;"),"00000"),""))</f>
        <v/>
      </c>
      <c r="N4609" s="22"/>
    </row>
    <row r="4610" spans="1:14" x14ac:dyDescent="0.3">
      <c r="A4610" s="15" t="str">
        <f>IF(COUNTA($B4610:$E4610,$K4610)=0,"",IF(AND($B4610&lt;&gt;"",$C4610&lt;&gt;"",$D4610&lt;&gt;"",$E4610&lt;&gt;""),"TXS"&amp;TEXT(COUNTIFS($B$2:$B4610,"&lt;&gt;",$C$2:$C4610,"&lt;&gt;",$D$2:$D4610,"&lt;&gt;",$E$2:$E4610,"&lt;&gt;"),"00000"),""))</f>
        <v/>
      </c>
      <c r="N4610" s="22"/>
    </row>
    <row r="4611" spans="1:14" x14ac:dyDescent="0.3">
      <c r="A4611" s="15" t="str">
        <f>IF(COUNTA($B4611:$E4611,$K4611)=0,"",IF(AND($B4611&lt;&gt;"",$C4611&lt;&gt;"",$D4611&lt;&gt;"",$E4611&lt;&gt;""),"TXS"&amp;TEXT(COUNTIFS($B$2:$B4611,"&lt;&gt;",$C$2:$C4611,"&lt;&gt;",$D$2:$D4611,"&lt;&gt;",$E$2:$E4611,"&lt;&gt;"),"00000"),""))</f>
        <v/>
      </c>
      <c r="N4611" s="22"/>
    </row>
    <row r="4612" spans="1:14" x14ac:dyDescent="0.3">
      <c r="A4612" s="15" t="str">
        <f>IF(COUNTA($B4612:$E4612,$K4612)=0,"",IF(AND($B4612&lt;&gt;"",$C4612&lt;&gt;"",$D4612&lt;&gt;"",$E4612&lt;&gt;""),"TXS"&amp;TEXT(COUNTIFS($B$2:$B4612,"&lt;&gt;",$C$2:$C4612,"&lt;&gt;",$D$2:$D4612,"&lt;&gt;",$E$2:$E4612,"&lt;&gt;"),"00000"),""))</f>
        <v/>
      </c>
      <c r="N4612" s="22"/>
    </row>
    <row r="4613" spans="1:14" x14ac:dyDescent="0.3">
      <c r="A4613" s="15" t="str">
        <f>IF(COUNTA($B4613:$E4613,$K4613)=0,"",IF(AND($B4613&lt;&gt;"",$C4613&lt;&gt;"",$D4613&lt;&gt;"",$E4613&lt;&gt;""),"TXS"&amp;TEXT(COUNTIFS($B$2:$B4613,"&lt;&gt;",$C$2:$C4613,"&lt;&gt;",$D$2:$D4613,"&lt;&gt;",$E$2:$E4613,"&lt;&gt;"),"00000"),""))</f>
        <v/>
      </c>
      <c r="N4613" s="22"/>
    </row>
    <row r="4614" spans="1:14" x14ac:dyDescent="0.3">
      <c r="A4614" s="15" t="str">
        <f>IF(COUNTA($B4614:$E4614,$K4614)=0,"",IF(AND($B4614&lt;&gt;"",$C4614&lt;&gt;"",$D4614&lt;&gt;"",$E4614&lt;&gt;""),"TXS"&amp;TEXT(COUNTIFS($B$2:$B4614,"&lt;&gt;",$C$2:$C4614,"&lt;&gt;",$D$2:$D4614,"&lt;&gt;",$E$2:$E4614,"&lt;&gt;"),"00000"),""))</f>
        <v/>
      </c>
      <c r="N4614" s="22"/>
    </row>
    <row r="4615" spans="1:14" x14ac:dyDescent="0.3">
      <c r="A4615" s="15" t="str">
        <f>IF(COUNTA($B4615:$E4615,$K4615)=0,"",IF(AND($B4615&lt;&gt;"",$C4615&lt;&gt;"",$D4615&lt;&gt;"",$E4615&lt;&gt;""),"TXS"&amp;TEXT(COUNTIFS($B$2:$B4615,"&lt;&gt;",$C$2:$C4615,"&lt;&gt;",$D$2:$D4615,"&lt;&gt;",$E$2:$E4615,"&lt;&gt;"),"00000"),""))</f>
        <v/>
      </c>
      <c r="N4615" s="22"/>
    </row>
    <row r="4616" spans="1:14" x14ac:dyDescent="0.3">
      <c r="A4616" s="15" t="str">
        <f>IF(COUNTA($B4616:$E4616,$K4616)=0,"",IF(AND($B4616&lt;&gt;"",$C4616&lt;&gt;"",$D4616&lt;&gt;"",$E4616&lt;&gt;""),"TXS"&amp;TEXT(COUNTIFS($B$2:$B4616,"&lt;&gt;",$C$2:$C4616,"&lt;&gt;",$D$2:$D4616,"&lt;&gt;",$E$2:$E4616,"&lt;&gt;"),"00000"),""))</f>
        <v/>
      </c>
      <c r="N4616" s="22"/>
    </row>
    <row r="4617" spans="1:14" x14ac:dyDescent="0.3">
      <c r="A4617" s="15" t="str">
        <f>IF(COUNTA($B4617:$E4617,$K4617)=0,"",IF(AND($B4617&lt;&gt;"",$C4617&lt;&gt;"",$D4617&lt;&gt;"",$E4617&lt;&gt;""),"TXS"&amp;TEXT(COUNTIFS($B$2:$B4617,"&lt;&gt;",$C$2:$C4617,"&lt;&gt;",$D$2:$D4617,"&lt;&gt;",$E$2:$E4617,"&lt;&gt;"),"00000"),""))</f>
        <v/>
      </c>
      <c r="N4617" s="22"/>
    </row>
    <row r="4618" spans="1:14" x14ac:dyDescent="0.3">
      <c r="A4618" s="15" t="str">
        <f>IF(COUNTA($B4618:$E4618,$K4618)=0,"",IF(AND($B4618&lt;&gt;"",$C4618&lt;&gt;"",$D4618&lt;&gt;"",$E4618&lt;&gt;""),"TXS"&amp;TEXT(COUNTIFS($B$2:$B4618,"&lt;&gt;",$C$2:$C4618,"&lt;&gt;",$D$2:$D4618,"&lt;&gt;",$E$2:$E4618,"&lt;&gt;"),"00000"),""))</f>
        <v/>
      </c>
      <c r="N4618" s="22"/>
    </row>
    <row r="4619" spans="1:14" x14ac:dyDescent="0.3">
      <c r="A4619" s="15" t="str">
        <f>IF(COUNTA($B4619:$E4619,$K4619)=0,"",IF(AND($B4619&lt;&gt;"",$C4619&lt;&gt;"",$D4619&lt;&gt;"",$E4619&lt;&gt;""),"TXS"&amp;TEXT(COUNTIFS($B$2:$B4619,"&lt;&gt;",$C$2:$C4619,"&lt;&gt;",$D$2:$D4619,"&lt;&gt;",$E$2:$E4619,"&lt;&gt;"),"00000"),""))</f>
        <v/>
      </c>
      <c r="N4619" s="22"/>
    </row>
    <row r="4620" spans="1:14" x14ac:dyDescent="0.3">
      <c r="A4620" s="15" t="str">
        <f>IF(COUNTA($B4620:$E4620,$K4620)=0,"",IF(AND($B4620&lt;&gt;"",$C4620&lt;&gt;"",$D4620&lt;&gt;"",$E4620&lt;&gt;""),"TXS"&amp;TEXT(COUNTIFS($B$2:$B4620,"&lt;&gt;",$C$2:$C4620,"&lt;&gt;",$D$2:$D4620,"&lt;&gt;",$E$2:$E4620,"&lt;&gt;"),"00000"),""))</f>
        <v/>
      </c>
      <c r="N4620" s="22"/>
    </row>
    <row r="4621" spans="1:14" x14ac:dyDescent="0.3">
      <c r="A4621" s="15" t="str">
        <f>IF(COUNTA($B4621:$E4621,$K4621)=0,"",IF(AND($B4621&lt;&gt;"",$C4621&lt;&gt;"",$D4621&lt;&gt;"",$E4621&lt;&gt;""),"TXS"&amp;TEXT(COUNTIFS($B$2:$B4621,"&lt;&gt;",$C$2:$C4621,"&lt;&gt;",$D$2:$D4621,"&lt;&gt;",$E$2:$E4621,"&lt;&gt;"),"00000"),""))</f>
        <v/>
      </c>
      <c r="N4621" s="22"/>
    </row>
    <row r="4622" spans="1:14" x14ac:dyDescent="0.3">
      <c r="A4622" s="15" t="str">
        <f>IF(COUNTA($B4622:$E4622,$K4622)=0,"",IF(AND($B4622&lt;&gt;"",$C4622&lt;&gt;"",$D4622&lt;&gt;"",$E4622&lt;&gt;""),"TXS"&amp;TEXT(COUNTIFS($B$2:$B4622,"&lt;&gt;",$C$2:$C4622,"&lt;&gt;",$D$2:$D4622,"&lt;&gt;",$E$2:$E4622,"&lt;&gt;"),"00000"),""))</f>
        <v/>
      </c>
      <c r="N4622" s="22"/>
    </row>
    <row r="4623" spans="1:14" x14ac:dyDescent="0.3">
      <c r="A4623" s="15" t="str">
        <f>IF(COUNTA($B4623:$E4623,$K4623)=0,"",IF(AND($B4623&lt;&gt;"",$C4623&lt;&gt;"",$D4623&lt;&gt;"",$E4623&lt;&gt;""),"TXS"&amp;TEXT(COUNTIFS($B$2:$B4623,"&lt;&gt;",$C$2:$C4623,"&lt;&gt;",$D$2:$D4623,"&lt;&gt;",$E$2:$E4623,"&lt;&gt;"),"00000"),""))</f>
        <v/>
      </c>
      <c r="N4623" s="22"/>
    </row>
    <row r="4624" spans="1:14" x14ac:dyDescent="0.3">
      <c r="A4624" s="15" t="str">
        <f>IF(COUNTA($B4624:$E4624,$K4624)=0,"",IF(AND($B4624&lt;&gt;"",$C4624&lt;&gt;"",$D4624&lt;&gt;"",$E4624&lt;&gt;""),"TXS"&amp;TEXT(COUNTIFS($B$2:$B4624,"&lt;&gt;",$C$2:$C4624,"&lt;&gt;",$D$2:$D4624,"&lt;&gt;",$E$2:$E4624,"&lt;&gt;"),"00000"),""))</f>
        <v/>
      </c>
      <c r="N4624" s="22"/>
    </row>
    <row r="4625" spans="1:14" x14ac:dyDescent="0.3">
      <c r="A4625" s="15" t="str">
        <f>IF(COUNTA($B4625:$E4625,$K4625)=0,"",IF(AND($B4625&lt;&gt;"",$C4625&lt;&gt;"",$D4625&lt;&gt;"",$E4625&lt;&gt;""),"TXS"&amp;TEXT(COUNTIFS($B$2:$B4625,"&lt;&gt;",$C$2:$C4625,"&lt;&gt;",$D$2:$D4625,"&lt;&gt;",$E$2:$E4625,"&lt;&gt;"),"00000"),""))</f>
        <v/>
      </c>
      <c r="N4625" s="22"/>
    </row>
    <row r="4626" spans="1:14" x14ac:dyDescent="0.3">
      <c r="A4626" s="15" t="str">
        <f>IF(COUNTA($B4626:$E4626,$K4626)=0,"",IF(AND($B4626&lt;&gt;"",$C4626&lt;&gt;"",$D4626&lt;&gt;"",$E4626&lt;&gt;""),"TXS"&amp;TEXT(COUNTIFS($B$2:$B4626,"&lt;&gt;",$C$2:$C4626,"&lt;&gt;",$D$2:$D4626,"&lt;&gt;",$E$2:$E4626,"&lt;&gt;"),"00000"),""))</f>
        <v/>
      </c>
      <c r="N4626" s="22"/>
    </row>
    <row r="4627" spans="1:14" x14ac:dyDescent="0.3">
      <c r="A4627" s="15" t="str">
        <f>IF(COUNTA($B4627:$E4627,$K4627)=0,"",IF(AND($B4627&lt;&gt;"",$C4627&lt;&gt;"",$D4627&lt;&gt;"",$E4627&lt;&gt;""),"TXS"&amp;TEXT(COUNTIFS($B$2:$B4627,"&lt;&gt;",$C$2:$C4627,"&lt;&gt;",$D$2:$D4627,"&lt;&gt;",$E$2:$E4627,"&lt;&gt;"),"00000"),""))</f>
        <v/>
      </c>
      <c r="N4627" s="22"/>
    </row>
    <row r="4628" spans="1:14" x14ac:dyDescent="0.3">
      <c r="A4628" s="15" t="str">
        <f>IF(COUNTA($B4628:$E4628,$K4628)=0,"",IF(AND($B4628&lt;&gt;"",$C4628&lt;&gt;"",$D4628&lt;&gt;"",$E4628&lt;&gt;""),"TXS"&amp;TEXT(COUNTIFS($B$2:$B4628,"&lt;&gt;",$C$2:$C4628,"&lt;&gt;",$D$2:$D4628,"&lt;&gt;",$E$2:$E4628,"&lt;&gt;"),"00000"),""))</f>
        <v/>
      </c>
      <c r="N4628" s="22"/>
    </row>
    <row r="4629" spans="1:14" x14ac:dyDescent="0.3">
      <c r="A4629" s="15" t="str">
        <f>IF(COUNTA($B4629:$E4629,$K4629)=0,"",IF(AND($B4629&lt;&gt;"",$C4629&lt;&gt;"",$D4629&lt;&gt;"",$E4629&lt;&gt;""),"TXS"&amp;TEXT(COUNTIFS($B$2:$B4629,"&lt;&gt;",$C$2:$C4629,"&lt;&gt;",$D$2:$D4629,"&lt;&gt;",$E$2:$E4629,"&lt;&gt;"),"00000"),""))</f>
        <v/>
      </c>
      <c r="N4629" s="22"/>
    </row>
    <row r="4630" spans="1:14" x14ac:dyDescent="0.3">
      <c r="A4630" s="15" t="str">
        <f>IF(COUNTA($B4630:$E4630,$K4630)=0,"",IF(AND($B4630&lt;&gt;"",$C4630&lt;&gt;"",$D4630&lt;&gt;"",$E4630&lt;&gt;""),"TXS"&amp;TEXT(COUNTIFS($B$2:$B4630,"&lt;&gt;",$C$2:$C4630,"&lt;&gt;",$D$2:$D4630,"&lt;&gt;",$E$2:$E4630,"&lt;&gt;"),"00000"),""))</f>
        <v/>
      </c>
      <c r="N4630" s="22"/>
    </row>
    <row r="4631" spans="1:14" x14ac:dyDescent="0.3">
      <c r="A4631" s="15" t="str">
        <f>IF(COUNTA($B4631:$E4631,$K4631)=0,"",IF(AND($B4631&lt;&gt;"",$C4631&lt;&gt;"",$D4631&lt;&gt;"",$E4631&lt;&gt;""),"TXS"&amp;TEXT(COUNTIFS($B$2:$B4631,"&lt;&gt;",$C$2:$C4631,"&lt;&gt;",$D$2:$D4631,"&lt;&gt;",$E$2:$E4631,"&lt;&gt;"),"00000"),""))</f>
        <v/>
      </c>
      <c r="N4631" s="22"/>
    </row>
    <row r="4632" spans="1:14" x14ac:dyDescent="0.3">
      <c r="A4632" s="15" t="str">
        <f>IF(COUNTA($B4632:$E4632,$K4632)=0,"",IF(AND($B4632&lt;&gt;"",$C4632&lt;&gt;"",$D4632&lt;&gt;"",$E4632&lt;&gt;""),"TXS"&amp;TEXT(COUNTIFS($B$2:$B4632,"&lt;&gt;",$C$2:$C4632,"&lt;&gt;",$D$2:$D4632,"&lt;&gt;",$E$2:$E4632,"&lt;&gt;"),"00000"),""))</f>
        <v/>
      </c>
      <c r="N4632" s="22"/>
    </row>
    <row r="4633" spans="1:14" x14ac:dyDescent="0.3">
      <c r="A4633" s="15" t="str">
        <f>IF(COUNTA($B4633:$E4633,$K4633)=0,"",IF(AND($B4633&lt;&gt;"",$C4633&lt;&gt;"",$D4633&lt;&gt;"",$E4633&lt;&gt;""),"TXS"&amp;TEXT(COUNTIFS($B$2:$B4633,"&lt;&gt;",$C$2:$C4633,"&lt;&gt;",$D$2:$D4633,"&lt;&gt;",$E$2:$E4633,"&lt;&gt;"),"00000"),""))</f>
        <v/>
      </c>
      <c r="N4633" s="22"/>
    </row>
    <row r="4634" spans="1:14" x14ac:dyDescent="0.3">
      <c r="A4634" s="15" t="str">
        <f>IF(COUNTA($B4634:$E4634,$K4634)=0,"",IF(AND($B4634&lt;&gt;"",$C4634&lt;&gt;"",$D4634&lt;&gt;"",$E4634&lt;&gt;""),"TXS"&amp;TEXT(COUNTIFS($B$2:$B4634,"&lt;&gt;",$C$2:$C4634,"&lt;&gt;",$D$2:$D4634,"&lt;&gt;",$E$2:$E4634,"&lt;&gt;"),"00000"),""))</f>
        <v/>
      </c>
      <c r="N4634" s="22"/>
    </row>
    <row r="4635" spans="1:14" x14ac:dyDescent="0.3">
      <c r="A4635" s="15" t="str">
        <f>IF(COUNTA($B4635:$E4635,$K4635)=0,"",IF(AND($B4635&lt;&gt;"",$C4635&lt;&gt;"",$D4635&lt;&gt;"",$E4635&lt;&gt;""),"TXS"&amp;TEXT(COUNTIFS($B$2:$B4635,"&lt;&gt;",$C$2:$C4635,"&lt;&gt;",$D$2:$D4635,"&lt;&gt;",$E$2:$E4635,"&lt;&gt;"),"00000"),""))</f>
        <v/>
      </c>
      <c r="N4635" s="22"/>
    </row>
    <row r="4636" spans="1:14" x14ac:dyDescent="0.3">
      <c r="A4636" s="15" t="str">
        <f>IF(COUNTA($B4636:$E4636,$K4636)=0,"",IF(AND($B4636&lt;&gt;"",$C4636&lt;&gt;"",$D4636&lt;&gt;"",$E4636&lt;&gt;""),"TXS"&amp;TEXT(COUNTIFS($B$2:$B4636,"&lt;&gt;",$C$2:$C4636,"&lt;&gt;",$D$2:$D4636,"&lt;&gt;",$E$2:$E4636,"&lt;&gt;"),"00000"),""))</f>
        <v/>
      </c>
      <c r="N4636" s="22"/>
    </row>
    <row r="4637" spans="1:14" x14ac:dyDescent="0.3">
      <c r="A4637" s="15" t="str">
        <f>IF(COUNTA($B4637:$E4637,$K4637)=0,"",IF(AND($B4637&lt;&gt;"",$C4637&lt;&gt;"",$D4637&lt;&gt;"",$E4637&lt;&gt;""),"TXS"&amp;TEXT(COUNTIFS($B$2:$B4637,"&lt;&gt;",$C$2:$C4637,"&lt;&gt;",$D$2:$D4637,"&lt;&gt;",$E$2:$E4637,"&lt;&gt;"),"00000"),""))</f>
        <v/>
      </c>
      <c r="N4637" s="22"/>
    </row>
    <row r="4638" spans="1:14" x14ac:dyDescent="0.3">
      <c r="A4638" s="15" t="str">
        <f>IF(COUNTA($B4638:$E4638,$K4638)=0,"",IF(AND($B4638&lt;&gt;"",$C4638&lt;&gt;"",$D4638&lt;&gt;"",$E4638&lt;&gt;""),"TXS"&amp;TEXT(COUNTIFS($B$2:$B4638,"&lt;&gt;",$C$2:$C4638,"&lt;&gt;",$D$2:$D4638,"&lt;&gt;",$E$2:$E4638,"&lt;&gt;"),"00000"),""))</f>
        <v/>
      </c>
      <c r="N4638" s="22"/>
    </row>
    <row r="4639" spans="1:14" x14ac:dyDescent="0.3">
      <c r="A4639" s="15" t="str">
        <f>IF(COUNTA($B4639:$E4639,$K4639)=0,"",IF(AND($B4639&lt;&gt;"",$C4639&lt;&gt;"",$D4639&lt;&gt;"",$E4639&lt;&gt;""),"TXS"&amp;TEXT(COUNTIFS($B$2:$B4639,"&lt;&gt;",$C$2:$C4639,"&lt;&gt;",$D$2:$D4639,"&lt;&gt;",$E$2:$E4639,"&lt;&gt;"),"00000"),""))</f>
        <v/>
      </c>
      <c r="N4639" s="22"/>
    </row>
    <row r="4640" spans="1:14" x14ac:dyDescent="0.3">
      <c r="A4640" s="15" t="str">
        <f>IF(COUNTA($B4640:$E4640,$K4640)=0,"",IF(AND($B4640&lt;&gt;"",$C4640&lt;&gt;"",$D4640&lt;&gt;"",$E4640&lt;&gt;""),"TXS"&amp;TEXT(COUNTIFS($B$2:$B4640,"&lt;&gt;",$C$2:$C4640,"&lt;&gt;",$D$2:$D4640,"&lt;&gt;",$E$2:$E4640,"&lt;&gt;"),"00000"),""))</f>
        <v/>
      </c>
      <c r="N4640" s="22"/>
    </row>
    <row r="4641" spans="1:14" x14ac:dyDescent="0.3">
      <c r="A4641" s="15" t="str">
        <f>IF(COUNTA($B4641:$E4641,$K4641)=0,"",IF(AND($B4641&lt;&gt;"",$C4641&lt;&gt;"",$D4641&lt;&gt;"",$E4641&lt;&gt;""),"TXS"&amp;TEXT(COUNTIFS($B$2:$B4641,"&lt;&gt;",$C$2:$C4641,"&lt;&gt;",$D$2:$D4641,"&lt;&gt;",$E$2:$E4641,"&lt;&gt;"),"00000"),""))</f>
        <v/>
      </c>
      <c r="N4641" s="22"/>
    </row>
    <row r="4642" spans="1:14" x14ac:dyDescent="0.3">
      <c r="A4642" s="15" t="str">
        <f>IF(COUNTA($B4642:$E4642,$K4642)=0,"",IF(AND($B4642&lt;&gt;"",$C4642&lt;&gt;"",$D4642&lt;&gt;"",$E4642&lt;&gt;""),"TXS"&amp;TEXT(COUNTIFS($B$2:$B4642,"&lt;&gt;",$C$2:$C4642,"&lt;&gt;",$D$2:$D4642,"&lt;&gt;",$E$2:$E4642,"&lt;&gt;"),"00000"),""))</f>
        <v/>
      </c>
      <c r="N4642" s="22"/>
    </row>
    <row r="4643" spans="1:14" x14ac:dyDescent="0.3">
      <c r="A4643" s="15" t="str">
        <f>IF(COUNTA($B4643:$E4643,$K4643)=0,"",IF(AND($B4643&lt;&gt;"",$C4643&lt;&gt;"",$D4643&lt;&gt;"",$E4643&lt;&gt;""),"TXS"&amp;TEXT(COUNTIFS($B$2:$B4643,"&lt;&gt;",$C$2:$C4643,"&lt;&gt;",$D$2:$D4643,"&lt;&gt;",$E$2:$E4643,"&lt;&gt;"),"00000"),""))</f>
        <v/>
      </c>
      <c r="N4643" s="22"/>
    </row>
    <row r="4644" spans="1:14" x14ac:dyDescent="0.3">
      <c r="A4644" s="15" t="str">
        <f>IF(COUNTA($B4644:$E4644,$K4644)=0,"",IF(AND($B4644&lt;&gt;"",$C4644&lt;&gt;"",$D4644&lt;&gt;"",$E4644&lt;&gt;""),"TXS"&amp;TEXT(COUNTIFS($B$2:$B4644,"&lt;&gt;",$C$2:$C4644,"&lt;&gt;",$D$2:$D4644,"&lt;&gt;",$E$2:$E4644,"&lt;&gt;"),"00000"),""))</f>
        <v/>
      </c>
      <c r="N4644" s="22"/>
    </row>
    <row r="4645" spans="1:14" x14ac:dyDescent="0.3">
      <c r="A4645" s="15" t="str">
        <f>IF(COUNTA($B4645:$E4645,$K4645)=0,"",IF(AND($B4645&lt;&gt;"",$C4645&lt;&gt;"",$D4645&lt;&gt;"",$E4645&lt;&gt;""),"TXS"&amp;TEXT(COUNTIFS($B$2:$B4645,"&lt;&gt;",$C$2:$C4645,"&lt;&gt;",$D$2:$D4645,"&lt;&gt;",$E$2:$E4645,"&lt;&gt;"),"00000"),""))</f>
        <v/>
      </c>
      <c r="N4645" s="22"/>
    </row>
    <row r="4646" spans="1:14" x14ac:dyDescent="0.3">
      <c r="A4646" s="15" t="str">
        <f>IF(COUNTA($B4646:$E4646,$K4646)=0,"",IF(AND($B4646&lt;&gt;"",$C4646&lt;&gt;"",$D4646&lt;&gt;"",$E4646&lt;&gt;""),"TXS"&amp;TEXT(COUNTIFS($B$2:$B4646,"&lt;&gt;",$C$2:$C4646,"&lt;&gt;",$D$2:$D4646,"&lt;&gt;",$E$2:$E4646,"&lt;&gt;"),"00000"),""))</f>
        <v/>
      </c>
      <c r="N4646" s="22"/>
    </row>
    <row r="4647" spans="1:14" x14ac:dyDescent="0.3">
      <c r="A4647" s="15" t="str">
        <f>IF(COUNTA($B4647:$E4647,$K4647)=0,"",IF(AND($B4647&lt;&gt;"",$C4647&lt;&gt;"",$D4647&lt;&gt;"",$E4647&lt;&gt;""),"TXS"&amp;TEXT(COUNTIFS($B$2:$B4647,"&lt;&gt;",$C$2:$C4647,"&lt;&gt;",$D$2:$D4647,"&lt;&gt;",$E$2:$E4647,"&lt;&gt;"),"00000"),""))</f>
        <v/>
      </c>
      <c r="N4647" s="22"/>
    </row>
    <row r="4648" spans="1:14" x14ac:dyDescent="0.3">
      <c r="A4648" s="15" t="str">
        <f>IF(COUNTA($B4648:$E4648,$K4648)=0,"",IF(AND($B4648&lt;&gt;"",$C4648&lt;&gt;"",$D4648&lt;&gt;"",$E4648&lt;&gt;""),"TXS"&amp;TEXT(COUNTIFS($B$2:$B4648,"&lt;&gt;",$C$2:$C4648,"&lt;&gt;",$D$2:$D4648,"&lt;&gt;",$E$2:$E4648,"&lt;&gt;"),"00000"),""))</f>
        <v/>
      </c>
      <c r="N4648" s="22"/>
    </row>
    <row r="4649" spans="1:14" x14ac:dyDescent="0.3">
      <c r="A4649" s="15" t="str">
        <f>IF(COUNTA($B4649:$E4649,$K4649)=0,"",IF(AND($B4649&lt;&gt;"",$C4649&lt;&gt;"",$D4649&lt;&gt;"",$E4649&lt;&gt;""),"TXS"&amp;TEXT(COUNTIFS($B$2:$B4649,"&lt;&gt;",$C$2:$C4649,"&lt;&gt;",$D$2:$D4649,"&lt;&gt;",$E$2:$E4649,"&lt;&gt;"),"00000"),""))</f>
        <v/>
      </c>
      <c r="N4649" s="22"/>
    </row>
    <row r="4650" spans="1:14" x14ac:dyDescent="0.3">
      <c r="A4650" s="15" t="str">
        <f>IF(COUNTA($B4650:$E4650,$K4650)=0,"",IF(AND($B4650&lt;&gt;"",$C4650&lt;&gt;"",$D4650&lt;&gt;"",$E4650&lt;&gt;""),"TXS"&amp;TEXT(COUNTIFS($B$2:$B4650,"&lt;&gt;",$C$2:$C4650,"&lt;&gt;",$D$2:$D4650,"&lt;&gt;",$E$2:$E4650,"&lt;&gt;"),"00000"),""))</f>
        <v/>
      </c>
      <c r="N4650" s="22"/>
    </row>
    <row r="4651" spans="1:14" x14ac:dyDescent="0.3">
      <c r="A4651" s="15" t="str">
        <f>IF(COUNTA($B4651:$E4651,$K4651)=0,"",IF(AND($B4651&lt;&gt;"",$C4651&lt;&gt;"",$D4651&lt;&gt;"",$E4651&lt;&gt;""),"TXS"&amp;TEXT(COUNTIFS($B$2:$B4651,"&lt;&gt;",$C$2:$C4651,"&lt;&gt;",$D$2:$D4651,"&lt;&gt;",$E$2:$E4651,"&lt;&gt;"),"00000"),""))</f>
        <v/>
      </c>
      <c r="N4651" s="22"/>
    </row>
    <row r="4652" spans="1:14" x14ac:dyDescent="0.3">
      <c r="A4652" s="15" t="str">
        <f>IF(COUNTA($B4652:$E4652,$K4652)=0,"",IF(AND($B4652&lt;&gt;"",$C4652&lt;&gt;"",$D4652&lt;&gt;"",$E4652&lt;&gt;""),"TXS"&amp;TEXT(COUNTIFS($B$2:$B4652,"&lt;&gt;",$C$2:$C4652,"&lt;&gt;",$D$2:$D4652,"&lt;&gt;",$E$2:$E4652,"&lt;&gt;"),"00000"),""))</f>
        <v/>
      </c>
      <c r="N4652" s="22"/>
    </row>
    <row r="4653" spans="1:14" x14ac:dyDescent="0.3">
      <c r="A4653" s="15" t="str">
        <f>IF(COUNTA($B4653:$E4653,$K4653)=0,"",IF(AND($B4653&lt;&gt;"",$C4653&lt;&gt;"",$D4653&lt;&gt;"",$E4653&lt;&gt;""),"TXS"&amp;TEXT(COUNTIFS($B$2:$B4653,"&lt;&gt;",$C$2:$C4653,"&lt;&gt;",$D$2:$D4653,"&lt;&gt;",$E$2:$E4653,"&lt;&gt;"),"00000"),""))</f>
        <v/>
      </c>
      <c r="N4653" s="22"/>
    </row>
    <row r="4654" spans="1:14" x14ac:dyDescent="0.3">
      <c r="A4654" s="15" t="str">
        <f>IF(COUNTA($B4654:$E4654,$K4654)=0,"",IF(AND($B4654&lt;&gt;"",$C4654&lt;&gt;"",$D4654&lt;&gt;"",$E4654&lt;&gt;""),"TXS"&amp;TEXT(COUNTIFS($B$2:$B4654,"&lt;&gt;",$C$2:$C4654,"&lt;&gt;",$D$2:$D4654,"&lt;&gt;",$E$2:$E4654,"&lt;&gt;"),"00000"),""))</f>
        <v/>
      </c>
      <c r="N4654" s="22"/>
    </row>
    <row r="4655" spans="1:14" x14ac:dyDescent="0.3">
      <c r="A4655" s="15" t="str">
        <f>IF(COUNTA($B4655:$E4655,$K4655)=0,"",IF(AND($B4655&lt;&gt;"",$C4655&lt;&gt;"",$D4655&lt;&gt;"",$E4655&lt;&gt;""),"TXS"&amp;TEXT(COUNTIFS($B$2:$B4655,"&lt;&gt;",$C$2:$C4655,"&lt;&gt;",$D$2:$D4655,"&lt;&gt;",$E$2:$E4655,"&lt;&gt;"),"00000"),""))</f>
        <v/>
      </c>
      <c r="N4655" s="22"/>
    </row>
    <row r="4656" spans="1:14" x14ac:dyDescent="0.3">
      <c r="A4656" s="15" t="str">
        <f>IF(COUNTA($B4656:$E4656,$K4656)=0,"",IF(AND($B4656&lt;&gt;"",$C4656&lt;&gt;"",$D4656&lt;&gt;"",$E4656&lt;&gt;""),"TXS"&amp;TEXT(COUNTIFS($B$2:$B4656,"&lt;&gt;",$C$2:$C4656,"&lt;&gt;",$D$2:$D4656,"&lt;&gt;",$E$2:$E4656,"&lt;&gt;"),"00000"),""))</f>
        <v/>
      </c>
      <c r="N4656" s="22"/>
    </row>
    <row r="4657" spans="1:14" x14ac:dyDescent="0.3">
      <c r="A4657" s="15" t="str">
        <f>IF(COUNTA($B4657:$E4657,$K4657)=0,"",IF(AND($B4657&lt;&gt;"",$C4657&lt;&gt;"",$D4657&lt;&gt;"",$E4657&lt;&gt;""),"TXS"&amp;TEXT(COUNTIFS($B$2:$B4657,"&lt;&gt;",$C$2:$C4657,"&lt;&gt;",$D$2:$D4657,"&lt;&gt;",$E$2:$E4657,"&lt;&gt;"),"00000"),""))</f>
        <v/>
      </c>
      <c r="N4657" s="22"/>
    </row>
    <row r="4658" spans="1:14" x14ac:dyDescent="0.3">
      <c r="A4658" s="15" t="str">
        <f>IF(COUNTA($B4658:$E4658,$K4658)=0,"",IF(AND($B4658&lt;&gt;"",$C4658&lt;&gt;"",$D4658&lt;&gt;"",$E4658&lt;&gt;""),"TXS"&amp;TEXT(COUNTIFS($B$2:$B4658,"&lt;&gt;",$C$2:$C4658,"&lt;&gt;",$D$2:$D4658,"&lt;&gt;",$E$2:$E4658,"&lt;&gt;"),"00000"),""))</f>
        <v/>
      </c>
      <c r="N4658" s="22"/>
    </row>
    <row r="4659" spans="1:14" x14ac:dyDescent="0.3">
      <c r="A4659" s="15" t="str">
        <f>IF(COUNTA($B4659:$E4659,$K4659)=0,"",IF(AND($B4659&lt;&gt;"",$C4659&lt;&gt;"",$D4659&lt;&gt;"",$E4659&lt;&gt;""),"TXS"&amp;TEXT(COUNTIFS($B$2:$B4659,"&lt;&gt;",$C$2:$C4659,"&lt;&gt;",$D$2:$D4659,"&lt;&gt;",$E$2:$E4659,"&lt;&gt;"),"00000"),""))</f>
        <v/>
      </c>
      <c r="N4659" s="22"/>
    </row>
    <row r="4660" spans="1:14" x14ac:dyDescent="0.3">
      <c r="A4660" s="15" t="str">
        <f>IF(COUNTA($B4660:$E4660,$K4660)=0,"",IF(AND($B4660&lt;&gt;"",$C4660&lt;&gt;"",$D4660&lt;&gt;"",$E4660&lt;&gt;""),"TXS"&amp;TEXT(COUNTIFS($B$2:$B4660,"&lt;&gt;",$C$2:$C4660,"&lt;&gt;",$D$2:$D4660,"&lt;&gt;",$E$2:$E4660,"&lt;&gt;"),"00000"),""))</f>
        <v/>
      </c>
      <c r="N4660" s="22"/>
    </row>
    <row r="4661" spans="1:14" x14ac:dyDescent="0.3">
      <c r="A4661" s="15" t="str">
        <f>IF(COUNTA($B4661:$E4661,$K4661)=0,"",IF(AND($B4661&lt;&gt;"",$C4661&lt;&gt;"",$D4661&lt;&gt;"",$E4661&lt;&gt;""),"TXS"&amp;TEXT(COUNTIFS($B$2:$B4661,"&lt;&gt;",$C$2:$C4661,"&lt;&gt;",$D$2:$D4661,"&lt;&gt;",$E$2:$E4661,"&lt;&gt;"),"00000"),""))</f>
        <v/>
      </c>
      <c r="N4661" s="22"/>
    </row>
    <row r="4662" spans="1:14" x14ac:dyDescent="0.3">
      <c r="A4662" s="15" t="str">
        <f>IF(COUNTA($B4662:$E4662,$K4662)=0,"",IF(AND($B4662&lt;&gt;"",$C4662&lt;&gt;"",$D4662&lt;&gt;"",$E4662&lt;&gt;""),"TXS"&amp;TEXT(COUNTIFS($B$2:$B4662,"&lt;&gt;",$C$2:$C4662,"&lt;&gt;",$D$2:$D4662,"&lt;&gt;",$E$2:$E4662,"&lt;&gt;"),"00000"),""))</f>
        <v/>
      </c>
      <c r="N4662" s="22"/>
    </row>
    <row r="4663" spans="1:14" x14ac:dyDescent="0.3">
      <c r="A4663" s="15" t="str">
        <f>IF(COUNTA($B4663:$E4663,$K4663)=0,"",IF(AND($B4663&lt;&gt;"",$C4663&lt;&gt;"",$D4663&lt;&gt;"",$E4663&lt;&gt;""),"TXS"&amp;TEXT(COUNTIFS($B$2:$B4663,"&lt;&gt;",$C$2:$C4663,"&lt;&gt;",$D$2:$D4663,"&lt;&gt;",$E$2:$E4663,"&lt;&gt;"),"00000"),""))</f>
        <v/>
      </c>
      <c r="N4663" s="22"/>
    </row>
    <row r="4664" spans="1:14" x14ac:dyDescent="0.3">
      <c r="A4664" s="15" t="str">
        <f>IF(COUNTA($B4664:$E4664,$K4664)=0,"",IF(AND($B4664&lt;&gt;"",$C4664&lt;&gt;"",$D4664&lt;&gt;"",$E4664&lt;&gt;""),"TXS"&amp;TEXT(COUNTIFS($B$2:$B4664,"&lt;&gt;",$C$2:$C4664,"&lt;&gt;",$D$2:$D4664,"&lt;&gt;",$E$2:$E4664,"&lt;&gt;"),"00000"),""))</f>
        <v/>
      </c>
      <c r="N4664" s="22"/>
    </row>
    <row r="4665" spans="1:14" x14ac:dyDescent="0.3">
      <c r="A4665" s="15" t="str">
        <f>IF(COUNTA($B4665:$E4665,$K4665)=0,"",IF(AND($B4665&lt;&gt;"",$C4665&lt;&gt;"",$D4665&lt;&gt;"",$E4665&lt;&gt;""),"TXS"&amp;TEXT(COUNTIFS($B$2:$B4665,"&lt;&gt;",$C$2:$C4665,"&lt;&gt;",$D$2:$D4665,"&lt;&gt;",$E$2:$E4665,"&lt;&gt;"),"00000"),""))</f>
        <v/>
      </c>
      <c r="N4665" s="22"/>
    </row>
    <row r="4666" spans="1:14" x14ac:dyDescent="0.3">
      <c r="A4666" s="15" t="str">
        <f>IF(COUNTA($B4666:$E4666,$K4666)=0,"",IF(AND($B4666&lt;&gt;"",$C4666&lt;&gt;"",$D4666&lt;&gt;"",$E4666&lt;&gt;""),"TXS"&amp;TEXT(COUNTIFS($B$2:$B4666,"&lt;&gt;",$C$2:$C4666,"&lt;&gt;",$D$2:$D4666,"&lt;&gt;",$E$2:$E4666,"&lt;&gt;"),"00000"),""))</f>
        <v/>
      </c>
      <c r="N4666" s="22"/>
    </row>
    <row r="4667" spans="1:14" x14ac:dyDescent="0.3">
      <c r="A4667" s="15" t="str">
        <f>IF(COUNTA($B4667:$E4667,$K4667)=0,"",IF(AND($B4667&lt;&gt;"",$C4667&lt;&gt;"",$D4667&lt;&gt;"",$E4667&lt;&gt;""),"TXS"&amp;TEXT(COUNTIFS($B$2:$B4667,"&lt;&gt;",$C$2:$C4667,"&lt;&gt;",$D$2:$D4667,"&lt;&gt;",$E$2:$E4667,"&lt;&gt;"),"00000"),""))</f>
        <v/>
      </c>
      <c r="N4667" s="22"/>
    </row>
    <row r="4668" spans="1:14" x14ac:dyDescent="0.3">
      <c r="A4668" s="15" t="str">
        <f>IF(COUNTA($B4668:$E4668,$K4668)=0,"",IF(AND($B4668&lt;&gt;"",$C4668&lt;&gt;"",$D4668&lt;&gt;"",$E4668&lt;&gt;""),"TXS"&amp;TEXT(COUNTIFS($B$2:$B4668,"&lt;&gt;",$C$2:$C4668,"&lt;&gt;",$D$2:$D4668,"&lt;&gt;",$E$2:$E4668,"&lt;&gt;"),"00000"),""))</f>
        <v/>
      </c>
      <c r="N4668" s="22"/>
    </row>
    <row r="4669" spans="1:14" x14ac:dyDescent="0.3">
      <c r="A4669" s="15" t="str">
        <f>IF(COUNTA($B4669:$E4669,$K4669)=0,"",IF(AND($B4669&lt;&gt;"",$C4669&lt;&gt;"",$D4669&lt;&gt;"",$E4669&lt;&gt;""),"TXS"&amp;TEXT(COUNTIFS($B$2:$B4669,"&lt;&gt;",$C$2:$C4669,"&lt;&gt;",$D$2:$D4669,"&lt;&gt;",$E$2:$E4669,"&lt;&gt;"),"00000"),""))</f>
        <v/>
      </c>
      <c r="N4669" s="22"/>
    </row>
    <row r="4670" spans="1:14" x14ac:dyDescent="0.3">
      <c r="A4670" s="15" t="str">
        <f>IF(COUNTA($B4670:$E4670,$K4670)=0,"",IF(AND($B4670&lt;&gt;"",$C4670&lt;&gt;"",$D4670&lt;&gt;"",$E4670&lt;&gt;""),"TXS"&amp;TEXT(COUNTIFS($B$2:$B4670,"&lt;&gt;",$C$2:$C4670,"&lt;&gt;",$D$2:$D4670,"&lt;&gt;",$E$2:$E4670,"&lt;&gt;"),"00000"),""))</f>
        <v/>
      </c>
      <c r="N4670" s="22"/>
    </row>
    <row r="4671" spans="1:14" x14ac:dyDescent="0.3">
      <c r="A4671" s="15" t="str">
        <f>IF(COUNTA($B4671:$E4671,$K4671)=0,"",IF(AND($B4671&lt;&gt;"",$C4671&lt;&gt;"",$D4671&lt;&gt;"",$E4671&lt;&gt;""),"TXS"&amp;TEXT(COUNTIFS($B$2:$B4671,"&lt;&gt;",$C$2:$C4671,"&lt;&gt;",$D$2:$D4671,"&lt;&gt;",$E$2:$E4671,"&lt;&gt;"),"00000"),""))</f>
        <v/>
      </c>
      <c r="N4671" s="22"/>
    </row>
    <row r="4672" spans="1:14" x14ac:dyDescent="0.3">
      <c r="A4672" s="15" t="str">
        <f>IF(COUNTA($B4672:$E4672,$K4672)=0,"",IF(AND($B4672&lt;&gt;"",$C4672&lt;&gt;"",$D4672&lt;&gt;"",$E4672&lt;&gt;""),"TXS"&amp;TEXT(COUNTIFS($B$2:$B4672,"&lt;&gt;",$C$2:$C4672,"&lt;&gt;",$D$2:$D4672,"&lt;&gt;",$E$2:$E4672,"&lt;&gt;"),"00000"),""))</f>
        <v/>
      </c>
      <c r="N4672" s="22"/>
    </row>
    <row r="4673" spans="1:14" x14ac:dyDescent="0.3">
      <c r="A4673" s="15" t="str">
        <f>IF(COUNTA($B4673:$E4673,$K4673)=0,"",IF(AND($B4673&lt;&gt;"",$C4673&lt;&gt;"",$D4673&lt;&gt;"",$E4673&lt;&gt;""),"TXS"&amp;TEXT(COUNTIFS($B$2:$B4673,"&lt;&gt;",$C$2:$C4673,"&lt;&gt;",$D$2:$D4673,"&lt;&gt;",$E$2:$E4673,"&lt;&gt;"),"00000"),""))</f>
        <v/>
      </c>
      <c r="N4673" s="22"/>
    </row>
    <row r="4674" spans="1:14" x14ac:dyDescent="0.3">
      <c r="A4674" s="15" t="str">
        <f>IF(COUNTA($B4674:$E4674,$K4674)=0,"",IF(AND($B4674&lt;&gt;"",$C4674&lt;&gt;"",$D4674&lt;&gt;"",$E4674&lt;&gt;""),"TXS"&amp;TEXT(COUNTIFS($B$2:$B4674,"&lt;&gt;",$C$2:$C4674,"&lt;&gt;",$D$2:$D4674,"&lt;&gt;",$E$2:$E4674,"&lt;&gt;"),"00000"),""))</f>
        <v/>
      </c>
      <c r="N4674" s="22"/>
    </row>
    <row r="4675" spans="1:14" x14ac:dyDescent="0.3">
      <c r="A4675" s="15" t="str">
        <f>IF(COUNTA($B4675:$E4675,$K4675)=0,"",IF(AND($B4675&lt;&gt;"",$C4675&lt;&gt;"",$D4675&lt;&gt;"",$E4675&lt;&gt;""),"TXS"&amp;TEXT(COUNTIFS($B$2:$B4675,"&lt;&gt;",$C$2:$C4675,"&lt;&gt;",$D$2:$D4675,"&lt;&gt;",$E$2:$E4675,"&lt;&gt;"),"00000"),""))</f>
        <v/>
      </c>
      <c r="N4675" s="22"/>
    </row>
    <row r="4676" spans="1:14" x14ac:dyDescent="0.3">
      <c r="A4676" s="15" t="str">
        <f>IF(COUNTA($B4676:$E4676,$K4676)=0,"",IF(AND($B4676&lt;&gt;"",$C4676&lt;&gt;"",$D4676&lt;&gt;"",$E4676&lt;&gt;""),"TXS"&amp;TEXT(COUNTIFS($B$2:$B4676,"&lt;&gt;",$C$2:$C4676,"&lt;&gt;",$D$2:$D4676,"&lt;&gt;",$E$2:$E4676,"&lt;&gt;"),"00000"),""))</f>
        <v/>
      </c>
      <c r="N4676" s="22"/>
    </row>
    <row r="4677" spans="1:14" x14ac:dyDescent="0.3">
      <c r="A4677" s="15" t="str">
        <f>IF(COUNTA($B4677:$E4677,$K4677)=0,"",IF(AND($B4677&lt;&gt;"",$C4677&lt;&gt;"",$D4677&lt;&gt;"",$E4677&lt;&gt;""),"TXS"&amp;TEXT(COUNTIFS($B$2:$B4677,"&lt;&gt;",$C$2:$C4677,"&lt;&gt;",$D$2:$D4677,"&lt;&gt;",$E$2:$E4677,"&lt;&gt;"),"00000"),""))</f>
        <v/>
      </c>
      <c r="N4677" s="22"/>
    </row>
    <row r="4678" spans="1:14" x14ac:dyDescent="0.3">
      <c r="A4678" s="15" t="str">
        <f>IF(COUNTA($B4678:$E4678,$K4678)=0,"",IF(AND($B4678&lt;&gt;"",$C4678&lt;&gt;"",$D4678&lt;&gt;"",$E4678&lt;&gt;""),"TXS"&amp;TEXT(COUNTIFS($B$2:$B4678,"&lt;&gt;",$C$2:$C4678,"&lt;&gt;",$D$2:$D4678,"&lt;&gt;",$E$2:$E4678,"&lt;&gt;"),"00000"),""))</f>
        <v/>
      </c>
      <c r="N4678" s="22"/>
    </row>
    <row r="4679" spans="1:14" x14ac:dyDescent="0.3">
      <c r="A4679" s="15" t="str">
        <f>IF(COUNTA($B4679:$E4679,$K4679)=0,"",IF(AND($B4679&lt;&gt;"",$C4679&lt;&gt;"",$D4679&lt;&gt;"",$E4679&lt;&gt;""),"TXS"&amp;TEXT(COUNTIFS($B$2:$B4679,"&lt;&gt;",$C$2:$C4679,"&lt;&gt;",$D$2:$D4679,"&lt;&gt;",$E$2:$E4679,"&lt;&gt;"),"00000"),""))</f>
        <v/>
      </c>
      <c r="N4679" s="22"/>
    </row>
    <row r="4680" spans="1:14" x14ac:dyDescent="0.3">
      <c r="A4680" s="15" t="str">
        <f>IF(COUNTA($B4680:$E4680,$K4680)=0,"",IF(AND($B4680&lt;&gt;"",$C4680&lt;&gt;"",$D4680&lt;&gt;"",$E4680&lt;&gt;""),"TXS"&amp;TEXT(COUNTIFS($B$2:$B4680,"&lt;&gt;",$C$2:$C4680,"&lt;&gt;",$D$2:$D4680,"&lt;&gt;",$E$2:$E4680,"&lt;&gt;"),"00000"),""))</f>
        <v/>
      </c>
      <c r="N4680" s="22"/>
    </row>
    <row r="4681" spans="1:14" x14ac:dyDescent="0.3">
      <c r="A4681" s="15" t="str">
        <f>IF(COUNTA($B4681:$E4681,$K4681)=0,"",IF(AND($B4681&lt;&gt;"",$C4681&lt;&gt;"",$D4681&lt;&gt;"",$E4681&lt;&gt;""),"TXS"&amp;TEXT(COUNTIFS($B$2:$B4681,"&lt;&gt;",$C$2:$C4681,"&lt;&gt;",$D$2:$D4681,"&lt;&gt;",$E$2:$E4681,"&lt;&gt;"),"00000"),""))</f>
        <v/>
      </c>
      <c r="N4681" s="22"/>
    </row>
    <row r="4682" spans="1:14" x14ac:dyDescent="0.3">
      <c r="A4682" s="15" t="str">
        <f>IF(COUNTA($B4682:$E4682,$K4682)=0,"",IF(AND($B4682&lt;&gt;"",$C4682&lt;&gt;"",$D4682&lt;&gt;"",$E4682&lt;&gt;""),"TXS"&amp;TEXT(COUNTIFS($B$2:$B4682,"&lt;&gt;",$C$2:$C4682,"&lt;&gt;",$D$2:$D4682,"&lt;&gt;",$E$2:$E4682,"&lt;&gt;"),"00000"),""))</f>
        <v/>
      </c>
      <c r="N4682" s="22"/>
    </row>
    <row r="4683" spans="1:14" x14ac:dyDescent="0.3">
      <c r="A4683" s="15" t="str">
        <f>IF(COUNTA($B4683:$E4683,$K4683)=0,"",IF(AND($B4683&lt;&gt;"",$C4683&lt;&gt;"",$D4683&lt;&gt;"",$E4683&lt;&gt;""),"TXS"&amp;TEXT(COUNTIFS($B$2:$B4683,"&lt;&gt;",$C$2:$C4683,"&lt;&gt;",$D$2:$D4683,"&lt;&gt;",$E$2:$E4683,"&lt;&gt;"),"00000"),""))</f>
        <v/>
      </c>
      <c r="N4683" s="22"/>
    </row>
    <row r="4684" spans="1:14" x14ac:dyDescent="0.3">
      <c r="A4684" s="15" t="str">
        <f>IF(COUNTA($B4684:$E4684,$K4684)=0,"",IF(AND($B4684&lt;&gt;"",$C4684&lt;&gt;"",$D4684&lt;&gt;"",$E4684&lt;&gt;""),"TXS"&amp;TEXT(COUNTIFS($B$2:$B4684,"&lt;&gt;",$C$2:$C4684,"&lt;&gt;",$D$2:$D4684,"&lt;&gt;",$E$2:$E4684,"&lt;&gt;"),"00000"),""))</f>
        <v/>
      </c>
      <c r="N4684" s="22"/>
    </row>
    <row r="4685" spans="1:14" x14ac:dyDescent="0.3">
      <c r="A4685" s="15" t="str">
        <f>IF(COUNTA($B4685:$E4685,$K4685)=0,"",IF(AND($B4685&lt;&gt;"",$C4685&lt;&gt;"",$D4685&lt;&gt;"",$E4685&lt;&gt;""),"TXS"&amp;TEXT(COUNTIFS($B$2:$B4685,"&lt;&gt;",$C$2:$C4685,"&lt;&gt;",$D$2:$D4685,"&lt;&gt;",$E$2:$E4685,"&lt;&gt;"),"00000"),""))</f>
        <v/>
      </c>
      <c r="N4685" s="22"/>
    </row>
    <row r="4686" spans="1:14" x14ac:dyDescent="0.3">
      <c r="A4686" s="15" t="str">
        <f>IF(COUNTA($B4686:$E4686,$K4686)=0,"",IF(AND($B4686&lt;&gt;"",$C4686&lt;&gt;"",$D4686&lt;&gt;"",$E4686&lt;&gt;""),"TXS"&amp;TEXT(COUNTIFS($B$2:$B4686,"&lt;&gt;",$C$2:$C4686,"&lt;&gt;",$D$2:$D4686,"&lt;&gt;",$E$2:$E4686,"&lt;&gt;"),"00000"),""))</f>
        <v/>
      </c>
      <c r="N4686" s="22"/>
    </row>
    <row r="4687" spans="1:14" x14ac:dyDescent="0.3">
      <c r="A4687" s="15" t="str">
        <f>IF(COUNTA($B4687:$E4687,$K4687)=0,"",IF(AND($B4687&lt;&gt;"",$C4687&lt;&gt;"",$D4687&lt;&gt;"",$E4687&lt;&gt;""),"TXS"&amp;TEXT(COUNTIFS($B$2:$B4687,"&lt;&gt;",$C$2:$C4687,"&lt;&gt;",$D$2:$D4687,"&lt;&gt;",$E$2:$E4687,"&lt;&gt;"),"00000"),""))</f>
        <v/>
      </c>
      <c r="N4687" s="22"/>
    </row>
    <row r="4688" spans="1:14" x14ac:dyDescent="0.3">
      <c r="A4688" s="15" t="str">
        <f>IF(COUNTA($B4688:$E4688,$K4688)=0,"",IF(AND($B4688&lt;&gt;"",$C4688&lt;&gt;"",$D4688&lt;&gt;"",$E4688&lt;&gt;""),"TXS"&amp;TEXT(COUNTIFS($B$2:$B4688,"&lt;&gt;",$C$2:$C4688,"&lt;&gt;",$D$2:$D4688,"&lt;&gt;",$E$2:$E4688,"&lt;&gt;"),"00000"),""))</f>
        <v/>
      </c>
      <c r="N4688" s="22"/>
    </row>
    <row r="4689" spans="1:14" x14ac:dyDescent="0.3">
      <c r="A4689" s="15" t="str">
        <f>IF(COUNTA($B4689:$E4689,$K4689)=0,"",IF(AND($B4689&lt;&gt;"",$C4689&lt;&gt;"",$D4689&lt;&gt;"",$E4689&lt;&gt;""),"TXS"&amp;TEXT(COUNTIFS($B$2:$B4689,"&lt;&gt;",$C$2:$C4689,"&lt;&gt;",$D$2:$D4689,"&lt;&gt;",$E$2:$E4689,"&lt;&gt;"),"00000"),""))</f>
        <v/>
      </c>
      <c r="N4689" s="22"/>
    </row>
    <row r="4690" spans="1:14" x14ac:dyDescent="0.3">
      <c r="A4690" s="15" t="str">
        <f>IF(COUNTA($B4690:$E4690,$K4690)=0,"",IF(AND($B4690&lt;&gt;"",$C4690&lt;&gt;"",$D4690&lt;&gt;"",$E4690&lt;&gt;""),"TXS"&amp;TEXT(COUNTIFS($B$2:$B4690,"&lt;&gt;",$C$2:$C4690,"&lt;&gt;",$D$2:$D4690,"&lt;&gt;",$E$2:$E4690,"&lt;&gt;"),"00000"),""))</f>
        <v/>
      </c>
      <c r="N4690" s="22"/>
    </row>
    <row r="4691" spans="1:14" x14ac:dyDescent="0.3">
      <c r="A4691" s="15" t="str">
        <f>IF(COUNTA($B4691:$E4691,$K4691)=0,"",IF(AND($B4691&lt;&gt;"",$C4691&lt;&gt;"",$D4691&lt;&gt;"",$E4691&lt;&gt;""),"TXS"&amp;TEXT(COUNTIFS($B$2:$B4691,"&lt;&gt;",$C$2:$C4691,"&lt;&gt;",$D$2:$D4691,"&lt;&gt;",$E$2:$E4691,"&lt;&gt;"),"00000"),""))</f>
        <v/>
      </c>
      <c r="N4691" s="22"/>
    </row>
    <row r="4692" spans="1:14" x14ac:dyDescent="0.3">
      <c r="A4692" s="15" t="str">
        <f>IF(COUNTA($B4692:$E4692,$K4692)=0,"",IF(AND($B4692&lt;&gt;"",$C4692&lt;&gt;"",$D4692&lt;&gt;"",$E4692&lt;&gt;""),"TXS"&amp;TEXT(COUNTIFS($B$2:$B4692,"&lt;&gt;",$C$2:$C4692,"&lt;&gt;",$D$2:$D4692,"&lt;&gt;",$E$2:$E4692,"&lt;&gt;"),"00000"),""))</f>
        <v/>
      </c>
      <c r="N4692" s="22"/>
    </row>
    <row r="4693" spans="1:14" x14ac:dyDescent="0.3">
      <c r="A4693" s="15" t="str">
        <f>IF(COUNTA($B4693:$E4693,$K4693)=0,"",IF(AND($B4693&lt;&gt;"",$C4693&lt;&gt;"",$D4693&lt;&gt;"",$E4693&lt;&gt;""),"TXS"&amp;TEXT(COUNTIFS($B$2:$B4693,"&lt;&gt;",$C$2:$C4693,"&lt;&gt;",$D$2:$D4693,"&lt;&gt;",$E$2:$E4693,"&lt;&gt;"),"00000"),""))</f>
        <v/>
      </c>
      <c r="N4693" s="22"/>
    </row>
    <row r="4694" spans="1:14" x14ac:dyDescent="0.3">
      <c r="A4694" s="15" t="str">
        <f>IF(COUNTA($B4694:$E4694,$K4694)=0,"",IF(AND($B4694&lt;&gt;"",$C4694&lt;&gt;"",$D4694&lt;&gt;"",$E4694&lt;&gt;""),"TXS"&amp;TEXT(COUNTIFS($B$2:$B4694,"&lt;&gt;",$C$2:$C4694,"&lt;&gt;",$D$2:$D4694,"&lt;&gt;",$E$2:$E4694,"&lt;&gt;"),"00000"),""))</f>
        <v/>
      </c>
      <c r="N4694" s="22"/>
    </row>
    <row r="4695" spans="1:14" x14ac:dyDescent="0.3">
      <c r="A4695" s="15" t="str">
        <f>IF(COUNTA($B4695:$E4695,$K4695)=0,"",IF(AND($B4695&lt;&gt;"",$C4695&lt;&gt;"",$D4695&lt;&gt;"",$E4695&lt;&gt;""),"TXS"&amp;TEXT(COUNTIFS($B$2:$B4695,"&lt;&gt;",$C$2:$C4695,"&lt;&gt;",$D$2:$D4695,"&lt;&gt;",$E$2:$E4695,"&lt;&gt;"),"00000"),""))</f>
        <v/>
      </c>
      <c r="N4695" s="22"/>
    </row>
    <row r="4696" spans="1:14" x14ac:dyDescent="0.3">
      <c r="A4696" s="15" t="str">
        <f>IF(COUNTA($B4696:$E4696,$K4696)=0,"",IF(AND($B4696&lt;&gt;"",$C4696&lt;&gt;"",$D4696&lt;&gt;"",$E4696&lt;&gt;""),"TXS"&amp;TEXT(COUNTIFS($B$2:$B4696,"&lt;&gt;",$C$2:$C4696,"&lt;&gt;",$D$2:$D4696,"&lt;&gt;",$E$2:$E4696,"&lt;&gt;"),"00000"),""))</f>
        <v/>
      </c>
      <c r="N4696" s="22"/>
    </row>
    <row r="4697" spans="1:14" x14ac:dyDescent="0.3">
      <c r="A4697" s="15" t="str">
        <f>IF(COUNTA($B4697:$E4697,$K4697)=0,"",IF(AND($B4697&lt;&gt;"",$C4697&lt;&gt;"",$D4697&lt;&gt;"",$E4697&lt;&gt;""),"TXS"&amp;TEXT(COUNTIFS($B$2:$B4697,"&lt;&gt;",$C$2:$C4697,"&lt;&gt;",$D$2:$D4697,"&lt;&gt;",$E$2:$E4697,"&lt;&gt;"),"00000"),""))</f>
        <v/>
      </c>
      <c r="N4697" s="22"/>
    </row>
    <row r="4698" spans="1:14" x14ac:dyDescent="0.3">
      <c r="A4698" s="15" t="str">
        <f>IF(COUNTA($B4698:$E4698,$K4698)=0,"",IF(AND($B4698&lt;&gt;"",$C4698&lt;&gt;"",$D4698&lt;&gt;"",$E4698&lt;&gt;""),"TXS"&amp;TEXT(COUNTIFS($B$2:$B4698,"&lt;&gt;",$C$2:$C4698,"&lt;&gt;",$D$2:$D4698,"&lt;&gt;",$E$2:$E4698,"&lt;&gt;"),"00000"),""))</f>
        <v/>
      </c>
      <c r="N4698" s="22"/>
    </row>
    <row r="4699" spans="1:14" x14ac:dyDescent="0.3">
      <c r="A4699" s="15" t="str">
        <f>IF(COUNTA($B4699:$E4699,$K4699)=0,"",IF(AND($B4699&lt;&gt;"",$C4699&lt;&gt;"",$D4699&lt;&gt;"",$E4699&lt;&gt;""),"TXS"&amp;TEXT(COUNTIFS($B$2:$B4699,"&lt;&gt;",$C$2:$C4699,"&lt;&gt;",$D$2:$D4699,"&lt;&gt;",$E$2:$E4699,"&lt;&gt;"),"00000"),""))</f>
        <v/>
      </c>
      <c r="N4699" s="22"/>
    </row>
    <row r="4700" spans="1:14" x14ac:dyDescent="0.3">
      <c r="A4700" s="15" t="str">
        <f>IF(COUNTA($B4700:$E4700,$K4700)=0,"",IF(AND($B4700&lt;&gt;"",$C4700&lt;&gt;"",$D4700&lt;&gt;"",$E4700&lt;&gt;""),"TXS"&amp;TEXT(COUNTIFS($B$2:$B4700,"&lt;&gt;",$C$2:$C4700,"&lt;&gt;",$D$2:$D4700,"&lt;&gt;",$E$2:$E4700,"&lt;&gt;"),"00000"),""))</f>
        <v/>
      </c>
      <c r="N4700" s="22"/>
    </row>
    <row r="4701" spans="1:14" x14ac:dyDescent="0.3">
      <c r="A4701" s="15" t="str">
        <f>IF(COUNTA($B4701:$E4701,$K4701)=0,"",IF(AND($B4701&lt;&gt;"",$C4701&lt;&gt;"",$D4701&lt;&gt;"",$E4701&lt;&gt;""),"TXS"&amp;TEXT(COUNTIFS($B$2:$B4701,"&lt;&gt;",$C$2:$C4701,"&lt;&gt;",$D$2:$D4701,"&lt;&gt;",$E$2:$E4701,"&lt;&gt;"),"00000"),""))</f>
        <v/>
      </c>
      <c r="N4701" s="22"/>
    </row>
    <row r="4702" spans="1:14" x14ac:dyDescent="0.3">
      <c r="A4702" s="15" t="str">
        <f>IF(COUNTA($B4702:$E4702,$K4702)=0,"",IF(AND($B4702&lt;&gt;"",$C4702&lt;&gt;"",$D4702&lt;&gt;"",$E4702&lt;&gt;""),"TXS"&amp;TEXT(COUNTIFS($B$2:$B4702,"&lt;&gt;",$C$2:$C4702,"&lt;&gt;",$D$2:$D4702,"&lt;&gt;",$E$2:$E4702,"&lt;&gt;"),"00000"),""))</f>
        <v/>
      </c>
      <c r="N4702" s="22"/>
    </row>
    <row r="4703" spans="1:14" x14ac:dyDescent="0.3">
      <c r="A4703" s="15" t="str">
        <f>IF(COUNTA($B4703:$E4703,$K4703)=0,"",IF(AND($B4703&lt;&gt;"",$C4703&lt;&gt;"",$D4703&lt;&gt;"",$E4703&lt;&gt;""),"TXS"&amp;TEXT(COUNTIFS($B$2:$B4703,"&lt;&gt;",$C$2:$C4703,"&lt;&gt;",$D$2:$D4703,"&lt;&gt;",$E$2:$E4703,"&lt;&gt;"),"00000"),""))</f>
        <v/>
      </c>
      <c r="N4703" s="22"/>
    </row>
    <row r="4704" spans="1:14" x14ac:dyDescent="0.3">
      <c r="A4704" s="15" t="str">
        <f>IF(COUNTA($B4704:$E4704,$K4704)=0,"",IF(AND($B4704&lt;&gt;"",$C4704&lt;&gt;"",$D4704&lt;&gt;"",$E4704&lt;&gt;""),"TXS"&amp;TEXT(COUNTIFS($B$2:$B4704,"&lt;&gt;",$C$2:$C4704,"&lt;&gt;",$D$2:$D4704,"&lt;&gt;",$E$2:$E4704,"&lt;&gt;"),"00000"),""))</f>
        <v/>
      </c>
      <c r="N4704" s="22"/>
    </row>
    <row r="4705" spans="1:14" x14ac:dyDescent="0.3">
      <c r="A4705" s="15" t="str">
        <f>IF(COUNTA($B4705:$E4705,$K4705)=0,"",IF(AND($B4705&lt;&gt;"",$C4705&lt;&gt;"",$D4705&lt;&gt;"",$E4705&lt;&gt;""),"TXS"&amp;TEXT(COUNTIFS($B$2:$B4705,"&lt;&gt;",$C$2:$C4705,"&lt;&gt;",$D$2:$D4705,"&lt;&gt;",$E$2:$E4705,"&lt;&gt;"),"00000"),""))</f>
        <v/>
      </c>
      <c r="N4705" s="22"/>
    </row>
    <row r="4706" spans="1:14" x14ac:dyDescent="0.3">
      <c r="A4706" s="15" t="str">
        <f>IF(COUNTA($B4706:$E4706,$K4706)=0,"",IF(AND($B4706&lt;&gt;"",$C4706&lt;&gt;"",$D4706&lt;&gt;"",$E4706&lt;&gt;""),"TXS"&amp;TEXT(COUNTIFS($B$2:$B4706,"&lt;&gt;",$C$2:$C4706,"&lt;&gt;",$D$2:$D4706,"&lt;&gt;",$E$2:$E4706,"&lt;&gt;"),"00000"),""))</f>
        <v/>
      </c>
      <c r="N4706" s="22"/>
    </row>
    <row r="4707" spans="1:14" x14ac:dyDescent="0.3">
      <c r="A4707" s="15" t="str">
        <f>IF(COUNTA($B4707:$E4707,$K4707)=0,"",IF(AND($B4707&lt;&gt;"",$C4707&lt;&gt;"",$D4707&lt;&gt;"",$E4707&lt;&gt;""),"TXS"&amp;TEXT(COUNTIFS($B$2:$B4707,"&lt;&gt;",$C$2:$C4707,"&lt;&gt;",$D$2:$D4707,"&lt;&gt;",$E$2:$E4707,"&lt;&gt;"),"00000"),""))</f>
        <v/>
      </c>
      <c r="N4707" s="22"/>
    </row>
    <row r="4708" spans="1:14" x14ac:dyDescent="0.3">
      <c r="A4708" s="15" t="str">
        <f>IF(COUNTA($B4708:$E4708,$K4708)=0,"",IF(AND($B4708&lt;&gt;"",$C4708&lt;&gt;"",$D4708&lt;&gt;"",$E4708&lt;&gt;""),"TXS"&amp;TEXT(COUNTIFS($B$2:$B4708,"&lt;&gt;",$C$2:$C4708,"&lt;&gt;",$D$2:$D4708,"&lt;&gt;",$E$2:$E4708,"&lt;&gt;"),"00000"),""))</f>
        <v/>
      </c>
      <c r="N4708" s="22"/>
    </row>
    <row r="4709" spans="1:14" x14ac:dyDescent="0.3">
      <c r="A4709" s="15" t="str">
        <f>IF(COUNTA($B4709:$E4709,$K4709)=0,"",IF(AND($B4709&lt;&gt;"",$C4709&lt;&gt;"",$D4709&lt;&gt;"",$E4709&lt;&gt;""),"TXS"&amp;TEXT(COUNTIFS($B$2:$B4709,"&lt;&gt;",$C$2:$C4709,"&lt;&gt;",$D$2:$D4709,"&lt;&gt;",$E$2:$E4709,"&lt;&gt;"),"00000"),""))</f>
        <v/>
      </c>
      <c r="N4709" s="22"/>
    </row>
    <row r="4710" spans="1:14" x14ac:dyDescent="0.3">
      <c r="A4710" s="15" t="str">
        <f>IF(COUNTA($B4710:$E4710,$K4710)=0,"",IF(AND($B4710&lt;&gt;"",$C4710&lt;&gt;"",$D4710&lt;&gt;"",$E4710&lt;&gt;""),"TXS"&amp;TEXT(COUNTIFS($B$2:$B4710,"&lt;&gt;",$C$2:$C4710,"&lt;&gt;",$D$2:$D4710,"&lt;&gt;",$E$2:$E4710,"&lt;&gt;"),"00000"),""))</f>
        <v/>
      </c>
      <c r="N4710" s="22"/>
    </row>
    <row r="4711" spans="1:14" x14ac:dyDescent="0.3">
      <c r="A4711" s="15" t="str">
        <f>IF(COUNTA($B4711:$E4711,$K4711)=0,"",IF(AND($B4711&lt;&gt;"",$C4711&lt;&gt;"",$D4711&lt;&gt;"",$E4711&lt;&gt;""),"TXS"&amp;TEXT(COUNTIFS($B$2:$B4711,"&lt;&gt;",$C$2:$C4711,"&lt;&gt;",$D$2:$D4711,"&lt;&gt;",$E$2:$E4711,"&lt;&gt;"),"00000"),""))</f>
        <v/>
      </c>
      <c r="N4711" s="22"/>
    </row>
    <row r="4712" spans="1:14" x14ac:dyDescent="0.3">
      <c r="A4712" s="15" t="str">
        <f>IF(COUNTA($B4712:$E4712,$K4712)=0,"",IF(AND($B4712&lt;&gt;"",$C4712&lt;&gt;"",$D4712&lt;&gt;"",$E4712&lt;&gt;""),"TXS"&amp;TEXT(COUNTIFS($B$2:$B4712,"&lt;&gt;",$C$2:$C4712,"&lt;&gt;",$D$2:$D4712,"&lt;&gt;",$E$2:$E4712,"&lt;&gt;"),"00000"),""))</f>
        <v/>
      </c>
      <c r="N4712" s="22"/>
    </row>
    <row r="4713" spans="1:14" x14ac:dyDescent="0.3">
      <c r="A4713" s="15" t="str">
        <f>IF(COUNTA($B4713:$E4713,$K4713)=0,"",IF(AND($B4713&lt;&gt;"",$C4713&lt;&gt;"",$D4713&lt;&gt;"",$E4713&lt;&gt;""),"TXS"&amp;TEXT(COUNTIFS($B$2:$B4713,"&lt;&gt;",$C$2:$C4713,"&lt;&gt;",$D$2:$D4713,"&lt;&gt;",$E$2:$E4713,"&lt;&gt;"),"00000"),""))</f>
        <v/>
      </c>
      <c r="N4713" s="22"/>
    </row>
    <row r="4714" spans="1:14" x14ac:dyDescent="0.3">
      <c r="A4714" s="15" t="str">
        <f>IF(COUNTA($B4714:$E4714,$K4714)=0,"",IF(AND($B4714&lt;&gt;"",$C4714&lt;&gt;"",$D4714&lt;&gt;"",$E4714&lt;&gt;""),"TXS"&amp;TEXT(COUNTIFS($B$2:$B4714,"&lt;&gt;",$C$2:$C4714,"&lt;&gt;",$D$2:$D4714,"&lt;&gt;",$E$2:$E4714,"&lt;&gt;"),"00000"),""))</f>
        <v/>
      </c>
      <c r="N4714" s="22"/>
    </row>
    <row r="4715" spans="1:14" x14ac:dyDescent="0.3">
      <c r="A4715" s="15" t="str">
        <f>IF(COUNTA($B4715:$E4715,$K4715)=0,"",IF(AND($B4715&lt;&gt;"",$C4715&lt;&gt;"",$D4715&lt;&gt;"",$E4715&lt;&gt;""),"TXS"&amp;TEXT(COUNTIFS($B$2:$B4715,"&lt;&gt;",$C$2:$C4715,"&lt;&gt;",$D$2:$D4715,"&lt;&gt;",$E$2:$E4715,"&lt;&gt;"),"00000"),""))</f>
        <v/>
      </c>
      <c r="N4715" s="22"/>
    </row>
    <row r="4716" spans="1:14" x14ac:dyDescent="0.3">
      <c r="A4716" s="15" t="str">
        <f>IF(COUNTA($B4716:$E4716,$K4716)=0,"",IF(AND($B4716&lt;&gt;"",$C4716&lt;&gt;"",$D4716&lt;&gt;"",$E4716&lt;&gt;""),"TXS"&amp;TEXT(COUNTIFS($B$2:$B4716,"&lt;&gt;",$C$2:$C4716,"&lt;&gt;",$D$2:$D4716,"&lt;&gt;",$E$2:$E4716,"&lt;&gt;"),"00000"),""))</f>
        <v/>
      </c>
      <c r="N4716" s="22"/>
    </row>
    <row r="4717" spans="1:14" x14ac:dyDescent="0.3">
      <c r="A4717" s="15" t="str">
        <f>IF(COUNTA($B4717:$E4717,$K4717)=0,"",IF(AND($B4717&lt;&gt;"",$C4717&lt;&gt;"",$D4717&lt;&gt;"",$E4717&lt;&gt;""),"TXS"&amp;TEXT(COUNTIFS($B$2:$B4717,"&lt;&gt;",$C$2:$C4717,"&lt;&gt;",$D$2:$D4717,"&lt;&gt;",$E$2:$E4717,"&lt;&gt;"),"00000"),""))</f>
        <v/>
      </c>
      <c r="N4717" s="22"/>
    </row>
    <row r="4718" spans="1:14" x14ac:dyDescent="0.3">
      <c r="A4718" s="15" t="str">
        <f>IF(COUNTA($B4718:$E4718,$K4718)=0,"",IF(AND($B4718&lt;&gt;"",$C4718&lt;&gt;"",$D4718&lt;&gt;"",$E4718&lt;&gt;""),"TXS"&amp;TEXT(COUNTIFS($B$2:$B4718,"&lt;&gt;",$C$2:$C4718,"&lt;&gt;",$D$2:$D4718,"&lt;&gt;",$E$2:$E4718,"&lt;&gt;"),"00000"),""))</f>
        <v/>
      </c>
      <c r="N4718" s="22"/>
    </row>
    <row r="4719" spans="1:14" x14ac:dyDescent="0.3">
      <c r="A4719" s="15" t="str">
        <f>IF(COUNTA($B4719:$E4719,$K4719)=0,"",IF(AND($B4719&lt;&gt;"",$C4719&lt;&gt;"",$D4719&lt;&gt;"",$E4719&lt;&gt;""),"TXS"&amp;TEXT(COUNTIFS($B$2:$B4719,"&lt;&gt;",$C$2:$C4719,"&lt;&gt;",$D$2:$D4719,"&lt;&gt;",$E$2:$E4719,"&lt;&gt;"),"00000"),""))</f>
        <v/>
      </c>
      <c r="N4719" s="22"/>
    </row>
    <row r="4720" spans="1:14" x14ac:dyDescent="0.3">
      <c r="A4720" s="15" t="str">
        <f>IF(COUNTA($B4720:$E4720,$K4720)=0,"",IF(AND($B4720&lt;&gt;"",$C4720&lt;&gt;"",$D4720&lt;&gt;"",$E4720&lt;&gt;""),"TXS"&amp;TEXT(COUNTIFS($B$2:$B4720,"&lt;&gt;",$C$2:$C4720,"&lt;&gt;",$D$2:$D4720,"&lt;&gt;",$E$2:$E4720,"&lt;&gt;"),"00000"),""))</f>
        <v/>
      </c>
      <c r="N4720" s="22"/>
    </row>
    <row r="4721" spans="1:14" x14ac:dyDescent="0.3">
      <c r="A4721" s="15" t="str">
        <f>IF(COUNTA($B4721:$E4721,$K4721)=0,"",IF(AND($B4721&lt;&gt;"",$C4721&lt;&gt;"",$D4721&lt;&gt;"",$E4721&lt;&gt;""),"TXS"&amp;TEXT(COUNTIFS($B$2:$B4721,"&lt;&gt;",$C$2:$C4721,"&lt;&gt;",$D$2:$D4721,"&lt;&gt;",$E$2:$E4721,"&lt;&gt;"),"00000"),""))</f>
        <v/>
      </c>
      <c r="N4721" s="22"/>
    </row>
    <row r="4722" spans="1:14" x14ac:dyDescent="0.3">
      <c r="A4722" s="15" t="str">
        <f>IF(COUNTA($B4722:$E4722,$K4722)=0,"",IF(AND($B4722&lt;&gt;"",$C4722&lt;&gt;"",$D4722&lt;&gt;"",$E4722&lt;&gt;""),"TXS"&amp;TEXT(COUNTIFS($B$2:$B4722,"&lt;&gt;",$C$2:$C4722,"&lt;&gt;",$D$2:$D4722,"&lt;&gt;",$E$2:$E4722,"&lt;&gt;"),"00000"),""))</f>
        <v/>
      </c>
      <c r="N4722" s="22"/>
    </row>
    <row r="4723" spans="1:14" x14ac:dyDescent="0.3">
      <c r="A4723" s="15" t="str">
        <f>IF(COUNTA($B4723:$E4723,$K4723)=0,"",IF(AND($B4723&lt;&gt;"",$C4723&lt;&gt;"",$D4723&lt;&gt;"",$E4723&lt;&gt;""),"TXS"&amp;TEXT(COUNTIFS($B$2:$B4723,"&lt;&gt;",$C$2:$C4723,"&lt;&gt;",$D$2:$D4723,"&lt;&gt;",$E$2:$E4723,"&lt;&gt;"),"00000"),""))</f>
        <v/>
      </c>
      <c r="N4723" s="22"/>
    </row>
    <row r="4724" spans="1:14" x14ac:dyDescent="0.3">
      <c r="A4724" s="15" t="str">
        <f>IF(COUNTA($B4724:$E4724,$K4724)=0,"",IF(AND($B4724&lt;&gt;"",$C4724&lt;&gt;"",$D4724&lt;&gt;"",$E4724&lt;&gt;""),"TXS"&amp;TEXT(COUNTIFS($B$2:$B4724,"&lt;&gt;",$C$2:$C4724,"&lt;&gt;",$D$2:$D4724,"&lt;&gt;",$E$2:$E4724,"&lt;&gt;"),"00000"),""))</f>
        <v/>
      </c>
      <c r="N4724" s="22"/>
    </row>
    <row r="4725" spans="1:14" x14ac:dyDescent="0.3">
      <c r="A4725" s="15" t="str">
        <f>IF(COUNTA($B4725:$E4725,$K4725)=0,"",IF(AND($B4725&lt;&gt;"",$C4725&lt;&gt;"",$D4725&lt;&gt;"",$E4725&lt;&gt;""),"TXS"&amp;TEXT(COUNTIFS($B$2:$B4725,"&lt;&gt;",$C$2:$C4725,"&lt;&gt;",$D$2:$D4725,"&lt;&gt;",$E$2:$E4725,"&lt;&gt;"),"00000"),""))</f>
        <v/>
      </c>
      <c r="N4725" s="22"/>
    </row>
    <row r="4726" spans="1:14" x14ac:dyDescent="0.3">
      <c r="A4726" s="15" t="str">
        <f>IF(COUNTA($B4726:$E4726,$K4726)=0,"",IF(AND($B4726&lt;&gt;"",$C4726&lt;&gt;"",$D4726&lt;&gt;"",$E4726&lt;&gt;""),"TXS"&amp;TEXT(COUNTIFS($B$2:$B4726,"&lt;&gt;",$C$2:$C4726,"&lt;&gt;",$D$2:$D4726,"&lt;&gt;",$E$2:$E4726,"&lt;&gt;"),"00000"),""))</f>
        <v/>
      </c>
      <c r="N4726" s="22"/>
    </row>
    <row r="4727" spans="1:14" x14ac:dyDescent="0.3">
      <c r="A4727" s="15" t="str">
        <f>IF(COUNTA($B4727:$E4727,$K4727)=0,"",IF(AND($B4727&lt;&gt;"",$C4727&lt;&gt;"",$D4727&lt;&gt;"",$E4727&lt;&gt;""),"TXS"&amp;TEXT(COUNTIFS($B$2:$B4727,"&lt;&gt;",$C$2:$C4727,"&lt;&gt;",$D$2:$D4727,"&lt;&gt;",$E$2:$E4727,"&lt;&gt;"),"00000"),""))</f>
        <v/>
      </c>
      <c r="N4727" s="22"/>
    </row>
    <row r="4728" spans="1:14" x14ac:dyDescent="0.3">
      <c r="A4728" s="15" t="str">
        <f>IF(COUNTA($B4728:$E4728,$K4728)=0,"",IF(AND($B4728&lt;&gt;"",$C4728&lt;&gt;"",$D4728&lt;&gt;"",$E4728&lt;&gt;""),"TXS"&amp;TEXT(COUNTIFS($B$2:$B4728,"&lt;&gt;",$C$2:$C4728,"&lt;&gt;",$D$2:$D4728,"&lt;&gt;",$E$2:$E4728,"&lt;&gt;"),"00000"),""))</f>
        <v/>
      </c>
      <c r="N4728" s="22"/>
    </row>
    <row r="4729" spans="1:14" x14ac:dyDescent="0.3">
      <c r="A4729" s="15" t="str">
        <f>IF(COUNTA($B4729:$E4729,$K4729)=0,"",IF(AND($B4729&lt;&gt;"",$C4729&lt;&gt;"",$D4729&lt;&gt;"",$E4729&lt;&gt;""),"TXS"&amp;TEXT(COUNTIFS($B$2:$B4729,"&lt;&gt;",$C$2:$C4729,"&lt;&gt;",$D$2:$D4729,"&lt;&gt;",$E$2:$E4729,"&lt;&gt;"),"00000"),""))</f>
        <v/>
      </c>
      <c r="N4729" s="22"/>
    </row>
    <row r="4730" spans="1:14" x14ac:dyDescent="0.3">
      <c r="A4730" s="15" t="str">
        <f>IF(COUNTA($B4730:$E4730,$K4730)=0,"",IF(AND($B4730&lt;&gt;"",$C4730&lt;&gt;"",$D4730&lt;&gt;"",$E4730&lt;&gt;""),"TXS"&amp;TEXT(COUNTIFS($B$2:$B4730,"&lt;&gt;",$C$2:$C4730,"&lt;&gt;",$D$2:$D4730,"&lt;&gt;",$E$2:$E4730,"&lt;&gt;"),"00000"),""))</f>
        <v/>
      </c>
      <c r="N4730" s="22"/>
    </row>
    <row r="4731" spans="1:14" x14ac:dyDescent="0.3">
      <c r="A4731" s="15" t="str">
        <f>IF(COUNTA($B4731:$E4731,$K4731)=0,"",IF(AND($B4731&lt;&gt;"",$C4731&lt;&gt;"",$D4731&lt;&gt;"",$E4731&lt;&gt;""),"TXS"&amp;TEXT(COUNTIFS($B$2:$B4731,"&lt;&gt;",$C$2:$C4731,"&lt;&gt;",$D$2:$D4731,"&lt;&gt;",$E$2:$E4731,"&lt;&gt;"),"00000"),""))</f>
        <v/>
      </c>
      <c r="N4731" s="22"/>
    </row>
    <row r="4732" spans="1:14" x14ac:dyDescent="0.3">
      <c r="A4732" s="15" t="str">
        <f>IF(COUNTA($B4732:$E4732,$K4732)=0,"",IF(AND($B4732&lt;&gt;"",$C4732&lt;&gt;"",$D4732&lt;&gt;"",$E4732&lt;&gt;""),"TXS"&amp;TEXT(COUNTIFS($B$2:$B4732,"&lt;&gt;",$C$2:$C4732,"&lt;&gt;",$D$2:$D4732,"&lt;&gt;",$E$2:$E4732,"&lt;&gt;"),"00000"),""))</f>
        <v/>
      </c>
      <c r="N4732" s="22"/>
    </row>
    <row r="4733" spans="1:14" x14ac:dyDescent="0.3">
      <c r="A4733" s="15" t="str">
        <f>IF(COUNTA($B4733:$E4733,$K4733)=0,"",IF(AND($B4733&lt;&gt;"",$C4733&lt;&gt;"",$D4733&lt;&gt;"",$E4733&lt;&gt;""),"TXS"&amp;TEXT(COUNTIFS($B$2:$B4733,"&lt;&gt;",$C$2:$C4733,"&lt;&gt;",$D$2:$D4733,"&lt;&gt;",$E$2:$E4733,"&lt;&gt;"),"00000"),""))</f>
        <v/>
      </c>
      <c r="N4733" s="22"/>
    </row>
    <row r="4734" spans="1:14" x14ac:dyDescent="0.3">
      <c r="A4734" s="15" t="str">
        <f>IF(COUNTA($B4734:$E4734,$K4734)=0,"",IF(AND($B4734&lt;&gt;"",$C4734&lt;&gt;"",$D4734&lt;&gt;"",$E4734&lt;&gt;""),"TXS"&amp;TEXT(COUNTIFS($B$2:$B4734,"&lt;&gt;",$C$2:$C4734,"&lt;&gt;",$D$2:$D4734,"&lt;&gt;",$E$2:$E4734,"&lt;&gt;"),"00000"),""))</f>
        <v/>
      </c>
      <c r="N4734" s="22"/>
    </row>
    <row r="4735" spans="1:14" x14ac:dyDescent="0.3">
      <c r="A4735" s="15" t="str">
        <f>IF(COUNTA($B4735:$E4735,$K4735)=0,"",IF(AND($B4735&lt;&gt;"",$C4735&lt;&gt;"",$D4735&lt;&gt;"",$E4735&lt;&gt;""),"TXS"&amp;TEXT(COUNTIFS($B$2:$B4735,"&lt;&gt;",$C$2:$C4735,"&lt;&gt;",$D$2:$D4735,"&lt;&gt;",$E$2:$E4735,"&lt;&gt;"),"00000"),""))</f>
        <v/>
      </c>
      <c r="N4735" s="22"/>
    </row>
    <row r="4736" spans="1:14" x14ac:dyDescent="0.3">
      <c r="A4736" s="15" t="str">
        <f>IF(COUNTA($B4736:$E4736,$K4736)=0,"",IF(AND($B4736&lt;&gt;"",$C4736&lt;&gt;"",$D4736&lt;&gt;"",$E4736&lt;&gt;""),"TXS"&amp;TEXT(COUNTIFS($B$2:$B4736,"&lt;&gt;",$C$2:$C4736,"&lt;&gt;",$D$2:$D4736,"&lt;&gt;",$E$2:$E4736,"&lt;&gt;"),"00000"),""))</f>
        <v/>
      </c>
      <c r="N4736" s="22"/>
    </row>
    <row r="4737" spans="1:14" x14ac:dyDescent="0.3">
      <c r="A4737" s="15" t="str">
        <f>IF(COUNTA($B4737:$E4737,$K4737)=0,"",IF(AND($B4737&lt;&gt;"",$C4737&lt;&gt;"",$D4737&lt;&gt;"",$E4737&lt;&gt;""),"TXS"&amp;TEXT(COUNTIFS($B$2:$B4737,"&lt;&gt;",$C$2:$C4737,"&lt;&gt;",$D$2:$D4737,"&lt;&gt;",$E$2:$E4737,"&lt;&gt;"),"00000"),""))</f>
        <v/>
      </c>
      <c r="N4737" s="22"/>
    </row>
    <row r="4738" spans="1:14" x14ac:dyDescent="0.3">
      <c r="A4738" s="15" t="str">
        <f>IF(COUNTA($B4738:$E4738,$K4738)=0,"",IF(AND($B4738&lt;&gt;"",$C4738&lt;&gt;"",$D4738&lt;&gt;"",$E4738&lt;&gt;""),"TXS"&amp;TEXT(COUNTIFS($B$2:$B4738,"&lt;&gt;",$C$2:$C4738,"&lt;&gt;",$D$2:$D4738,"&lt;&gt;",$E$2:$E4738,"&lt;&gt;"),"00000"),""))</f>
        <v/>
      </c>
      <c r="N4738" s="22"/>
    </row>
    <row r="4739" spans="1:14" x14ac:dyDescent="0.3">
      <c r="A4739" s="15" t="str">
        <f>IF(COUNTA($B4739:$E4739,$K4739)=0,"",IF(AND($B4739&lt;&gt;"",$C4739&lt;&gt;"",$D4739&lt;&gt;"",$E4739&lt;&gt;""),"TXS"&amp;TEXT(COUNTIFS($B$2:$B4739,"&lt;&gt;",$C$2:$C4739,"&lt;&gt;",$D$2:$D4739,"&lt;&gt;",$E$2:$E4739,"&lt;&gt;"),"00000"),""))</f>
        <v/>
      </c>
      <c r="N4739" s="22"/>
    </row>
    <row r="4740" spans="1:14" x14ac:dyDescent="0.3">
      <c r="A4740" s="15" t="str">
        <f>IF(COUNTA($B4740:$E4740,$K4740)=0,"",IF(AND($B4740&lt;&gt;"",$C4740&lt;&gt;"",$D4740&lt;&gt;"",$E4740&lt;&gt;""),"TXS"&amp;TEXT(COUNTIFS($B$2:$B4740,"&lt;&gt;",$C$2:$C4740,"&lt;&gt;",$D$2:$D4740,"&lt;&gt;",$E$2:$E4740,"&lt;&gt;"),"00000"),""))</f>
        <v/>
      </c>
      <c r="N4740" s="22"/>
    </row>
    <row r="4741" spans="1:14" x14ac:dyDescent="0.3">
      <c r="A4741" s="15" t="str">
        <f>IF(COUNTA($B4741:$E4741,$K4741)=0,"",IF(AND($B4741&lt;&gt;"",$C4741&lt;&gt;"",$D4741&lt;&gt;"",$E4741&lt;&gt;""),"TXS"&amp;TEXT(COUNTIFS($B$2:$B4741,"&lt;&gt;",$C$2:$C4741,"&lt;&gt;",$D$2:$D4741,"&lt;&gt;",$E$2:$E4741,"&lt;&gt;"),"00000"),""))</f>
        <v/>
      </c>
      <c r="N4741" s="22"/>
    </row>
    <row r="4742" spans="1:14" x14ac:dyDescent="0.3">
      <c r="A4742" s="15" t="str">
        <f>IF(COUNTA($B4742:$E4742,$K4742)=0,"",IF(AND($B4742&lt;&gt;"",$C4742&lt;&gt;"",$D4742&lt;&gt;"",$E4742&lt;&gt;""),"TXS"&amp;TEXT(COUNTIFS($B$2:$B4742,"&lt;&gt;",$C$2:$C4742,"&lt;&gt;",$D$2:$D4742,"&lt;&gt;",$E$2:$E4742,"&lt;&gt;"),"00000"),""))</f>
        <v/>
      </c>
      <c r="N4742" s="22"/>
    </row>
    <row r="4743" spans="1:14" x14ac:dyDescent="0.3">
      <c r="A4743" s="15" t="str">
        <f>IF(COUNTA($B4743:$E4743,$K4743)=0,"",IF(AND($B4743&lt;&gt;"",$C4743&lt;&gt;"",$D4743&lt;&gt;"",$E4743&lt;&gt;""),"TXS"&amp;TEXT(COUNTIFS($B$2:$B4743,"&lt;&gt;",$C$2:$C4743,"&lt;&gt;",$D$2:$D4743,"&lt;&gt;",$E$2:$E4743,"&lt;&gt;"),"00000"),""))</f>
        <v/>
      </c>
      <c r="N4743" s="22"/>
    </row>
    <row r="4744" spans="1:14" x14ac:dyDescent="0.3">
      <c r="A4744" s="15" t="str">
        <f>IF(COUNTA($B4744:$E4744,$K4744)=0,"",IF(AND($B4744&lt;&gt;"",$C4744&lt;&gt;"",$D4744&lt;&gt;"",$E4744&lt;&gt;""),"TXS"&amp;TEXT(COUNTIFS($B$2:$B4744,"&lt;&gt;",$C$2:$C4744,"&lt;&gt;",$D$2:$D4744,"&lt;&gt;",$E$2:$E4744,"&lt;&gt;"),"00000"),""))</f>
        <v/>
      </c>
      <c r="N4744" s="22"/>
    </row>
    <row r="4745" spans="1:14" x14ac:dyDescent="0.3">
      <c r="A4745" s="15" t="str">
        <f>IF(COUNTA($B4745:$E4745,$K4745)=0,"",IF(AND($B4745&lt;&gt;"",$C4745&lt;&gt;"",$D4745&lt;&gt;"",$E4745&lt;&gt;""),"TXS"&amp;TEXT(COUNTIFS($B$2:$B4745,"&lt;&gt;",$C$2:$C4745,"&lt;&gt;",$D$2:$D4745,"&lt;&gt;",$E$2:$E4745,"&lt;&gt;"),"00000"),""))</f>
        <v/>
      </c>
      <c r="N4745" s="22"/>
    </row>
    <row r="4746" spans="1:14" x14ac:dyDescent="0.3">
      <c r="A4746" s="15" t="str">
        <f>IF(COUNTA($B4746:$E4746,$K4746)=0,"",IF(AND($B4746&lt;&gt;"",$C4746&lt;&gt;"",$D4746&lt;&gt;"",$E4746&lt;&gt;""),"TXS"&amp;TEXT(COUNTIFS($B$2:$B4746,"&lt;&gt;",$C$2:$C4746,"&lt;&gt;",$D$2:$D4746,"&lt;&gt;",$E$2:$E4746,"&lt;&gt;"),"00000"),""))</f>
        <v/>
      </c>
      <c r="N4746" s="22"/>
    </row>
    <row r="4747" spans="1:14" x14ac:dyDescent="0.3">
      <c r="A4747" s="15" t="str">
        <f>IF(COUNTA($B4747:$E4747,$K4747)=0,"",IF(AND($B4747&lt;&gt;"",$C4747&lt;&gt;"",$D4747&lt;&gt;"",$E4747&lt;&gt;""),"TXS"&amp;TEXT(COUNTIFS($B$2:$B4747,"&lt;&gt;",$C$2:$C4747,"&lt;&gt;",$D$2:$D4747,"&lt;&gt;",$E$2:$E4747,"&lt;&gt;"),"00000"),""))</f>
        <v/>
      </c>
      <c r="N4747" s="22"/>
    </row>
    <row r="4748" spans="1:14" x14ac:dyDescent="0.3">
      <c r="A4748" s="15" t="str">
        <f>IF(COUNTA($B4748:$E4748,$K4748)=0,"",IF(AND($B4748&lt;&gt;"",$C4748&lt;&gt;"",$D4748&lt;&gt;"",$E4748&lt;&gt;""),"TXS"&amp;TEXT(COUNTIFS($B$2:$B4748,"&lt;&gt;",$C$2:$C4748,"&lt;&gt;",$D$2:$D4748,"&lt;&gt;",$E$2:$E4748,"&lt;&gt;"),"00000"),""))</f>
        <v/>
      </c>
      <c r="N4748" s="22"/>
    </row>
    <row r="4749" spans="1:14" x14ac:dyDescent="0.3">
      <c r="A4749" s="15" t="str">
        <f>IF(COUNTA($B4749:$E4749,$K4749)=0,"",IF(AND($B4749&lt;&gt;"",$C4749&lt;&gt;"",$D4749&lt;&gt;"",$E4749&lt;&gt;""),"TXS"&amp;TEXT(COUNTIFS($B$2:$B4749,"&lt;&gt;",$C$2:$C4749,"&lt;&gt;",$D$2:$D4749,"&lt;&gt;",$E$2:$E4749,"&lt;&gt;"),"00000"),""))</f>
        <v/>
      </c>
      <c r="N4749" s="22"/>
    </row>
    <row r="4750" spans="1:14" x14ac:dyDescent="0.3">
      <c r="A4750" s="15" t="str">
        <f>IF(COUNTA($B4750:$E4750,$K4750)=0,"",IF(AND($B4750&lt;&gt;"",$C4750&lt;&gt;"",$D4750&lt;&gt;"",$E4750&lt;&gt;""),"TXS"&amp;TEXT(COUNTIFS($B$2:$B4750,"&lt;&gt;",$C$2:$C4750,"&lt;&gt;",$D$2:$D4750,"&lt;&gt;",$E$2:$E4750,"&lt;&gt;"),"00000"),""))</f>
        <v/>
      </c>
      <c r="N4750" s="22"/>
    </row>
    <row r="4751" spans="1:14" x14ac:dyDescent="0.3">
      <c r="A4751" s="15" t="str">
        <f>IF(COUNTA($B4751:$E4751,$K4751)=0,"",IF(AND($B4751&lt;&gt;"",$C4751&lt;&gt;"",$D4751&lt;&gt;"",$E4751&lt;&gt;""),"TXS"&amp;TEXT(COUNTIFS($B$2:$B4751,"&lt;&gt;",$C$2:$C4751,"&lt;&gt;",$D$2:$D4751,"&lt;&gt;",$E$2:$E4751,"&lt;&gt;"),"00000"),""))</f>
        <v/>
      </c>
      <c r="N4751" s="22"/>
    </row>
    <row r="4752" spans="1:14" x14ac:dyDescent="0.3">
      <c r="A4752" s="15" t="str">
        <f>IF(COUNTA($B4752:$E4752,$K4752)=0,"",IF(AND($B4752&lt;&gt;"",$C4752&lt;&gt;"",$D4752&lt;&gt;"",$E4752&lt;&gt;""),"TXS"&amp;TEXT(COUNTIFS($B$2:$B4752,"&lt;&gt;",$C$2:$C4752,"&lt;&gt;",$D$2:$D4752,"&lt;&gt;",$E$2:$E4752,"&lt;&gt;"),"00000"),""))</f>
        <v/>
      </c>
      <c r="N4752" s="22"/>
    </row>
    <row r="4753" spans="1:14" x14ac:dyDescent="0.3">
      <c r="A4753" s="15" t="str">
        <f>IF(COUNTA($B4753:$E4753,$K4753)=0,"",IF(AND($B4753&lt;&gt;"",$C4753&lt;&gt;"",$D4753&lt;&gt;"",$E4753&lt;&gt;""),"TXS"&amp;TEXT(COUNTIFS($B$2:$B4753,"&lt;&gt;",$C$2:$C4753,"&lt;&gt;",$D$2:$D4753,"&lt;&gt;",$E$2:$E4753,"&lt;&gt;"),"00000"),""))</f>
        <v/>
      </c>
      <c r="N4753" s="22"/>
    </row>
    <row r="4754" spans="1:14" x14ac:dyDescent="0.3">
      <c r="A4754" s="15" t="str">
        <f>IF(COUNTA($B4754:$E4754,$K4754)=0,"",IF(AND($B4754&lt;&gt;"",$C4754&lt;&gt;"",$D4754&lt;&gt;"",$E4754&lt;&gt;""),"TXS"&amp;TEXT(COUNTIFS($B$2:$B4754,"&lt;&gt;",$C$2:$C4754,"&lt;&gt;",$D$2:$D4754,"&lt;&gt;",$E$2:$E4754,"&lt;&gt;"),"00000"),""))</f>
        <v/>
      </c>
      <c r="N4754" s="22"/>
    </row>
    <row r="4755" spans="1:14" x14ac:dyDescent="0.3">
      <c r="A4755" s="15" t="str">
        <f>IF(COUNTA($B4755:$E4755,$K4755)=0,"",IF(AND($B4755&lt;&gt;"",$C4755&lt;&gt;"",$D4755&lt;&gt;"",$E4755&lt;&gt;""),"TXS"&amp;TEXT(COUNTIFS($B$2:$B4755,"&lt;&gt;",$C$2:$C4755,"&lt;&gt;",$D$2:$D4755,"&lt;&gt;",$E$2:$E4755,"&lt;&gt;"),"00000"),""))</f>
        <v/>
      </c>
      <c r="N4755" s="22"/>
    </row>
    <row r="4756" spans="1:14" x14ac:dyDescent="0.3">
      <c r="A4756" s="15" t="str">
        <f>IF(COUNTA($B4756:$E4756,$K4756)=0,"",IF(AND($B4756&lt;&gt;"",$C4756&lt;&gt;"",$D4756&lt;&gt;"",$E4756&lt;&gt;""),"TXS"&amp;TEXT(COUNTIFS($B$2:$B4756,"&lt;&gt;",$C$2:$C4756,"&lt;&gt;",$D$2:$D4756,"&lt;&gt;",$E$2:$E4756,"&lt;&gt;"),"00000"),""))</f>
        <v/>
      </c>
      <c r="N4756" s="22"/>
    </row>
    <row r="4757" spans="1:14" x14ac:dyDescent="0.3">
      <c r="A4757" s="15" t="str">
        <f>IF(COUNTA($B4757:$E4757,$K4757)=0,"",IF(AND($B4757&lt;&gt;"",$C4757&lt;&gt;"",$D4757&lt;&gt;"",$E4757&lt;&gt;""),"TXS"&amp;TEXT(COUNTIFS($B$2:$B4757,"&lt;&gt;",$C$2:$C4757,"&lt;&gt;",$D$2:$D4757,"&lt;&gt;",$E$2:$E4757,"&lt;&gt;"),"00000"),""))</f>
        <v/>
      </c>
      <c r="N4757" s="22"/>
    </row>
    <row r="4758" spans="1:14" x14ac:dyDescent="0.3">
      <c r="A4758" s="15" t="str">
        <f>IF(COUNTA($B4758:$E4758,$K4758)=0,"",IF(AND($B4758&lt;&gt;"",$C4758&lt;&gt;"",$D4758&lt;&gt;"",$E4758&lt;&gt;""),"TXS"&amp;TEXT(COUNTIFS($B$2:$B4758,"&lt;&gt;",$C$2:$C4758,"&lt;&gt;",$D$2:$D4758,"&lt;&gt;",$E$2:$E4758,"&lt;&gt;"),"00000"),""))</f>
        <v/>
      </c>
      <c r="N4758" s="22"/>
    </row>
    <row r="4759" spans="1:14" x14ac:dyDescent="0.3">
      <c r="A4759" s="15" t="str">
        <f>IF(COUNTA($B4759:$E4759,$K4759)=0,"",IF(AND($B4759&lt;&gt;"",$C4759&lt;&gt;"",$D4759&lt;&gt;"",$E4759&lt;&gt;""),"TXS"&amp;TEXT(COUNTIFS($B$2:$B4759,"&lt;&gt;",$C$2:$C4759,"&lt;&gt;",$D$2:$D4759,"&lt;&gt;",$E$2:$E4759,"&lt;&gt;"),"00000"),""))</f>
        <v/>
      </c>
      <c r="N4759" s="22"/>
    </row>
    <row r="4760" spans="1:14" x14ac:dyDescent="0.3">
      <c r="A4760" s="15" t="str">
        <f>IF(COUNTA($B4760:$E4760,$K4760)=0,"",IF(AND($B4760&lt;&gt;"",$C4760&lt;&gt;"",$D4760&lt;&gt;"",$E4760&lt;&gt;""),"TXS"&amp;TEXT(COUNTIFS($B$2:$B4760,"&lt;&gt;",$C$2:$C4760,"&lt;&gt;",$D$2:$D4760,"&lt;&gt;",$E$2:$E4760,"&lt;&gt;"),"00000"),""))</f>
        <v/>
      </c>
      <c r="N4760" s="22"/>
    </row>
    <row r="4761" spans="1:14" x14ac:dyDescent="0.3">
      <c r="A4761" s="15" t="str">
        <f>IF(COUNTA($B4761:$E4761,$K4761)=0,"",IF(AND($B4761&lt;&gt;"",$C4761&lt;&gt;"",$D4761&lt;&gt;"",$E4761&lt;&gt;""),"TXS"&amp;TEXT(COUNTIFS($B$2:$B4761,"&lt;&gt;",$C$2:$C4761,"&lt;&gt;",$D$2:$D4761,"&lt;&gt;",$E$2:$E4761,"&lt;&gt;"),"00000"),""))</f>
        <v/>
      </c>
      <c r="N4761" s="22"/>
    </row>
    <row r="4762" spans="1:14" x14ac:dyDescent="0.3">
      <c r="A4762" s="15" t="str">
        <f>IF(COUNTA($B4762:$E4762,$K4762)=0,"",IF(AND($B4762&lt;&gt;"",$C4762&lt;&gt;"",$D4762&lt;&gt;"",$E4762&lt;&gt;""),"TXS"&amp;TEXT(COUNTIFS($B$2:$B4762,"&lt;&gt;",$C$2:$C4762,"&lt;&gt;",$D$2:$D4762,"&lt;&gt;",$E$2:$E4762,"&lt;&gt;"),"00000"),""))</f>
        <v/>
      </c>
      <c r="N4762" s="22"/>
    </row>
    <row r="4763" spans="1:14" x14ac:dyDescent="0.3">
      <c r="A4763" s="15" t="str">
        <f>IF(COUNTA($B4763:$E4763,$K4763)=0,"",IF(AND($B4763&lt;&gt;"",$C4763&lt;&gt;"",$D4763&lt;&gt;"",$E4763&lt;&gt;""),"TXS"&amp;TEXT(COUNTIFS($B$2:$B4763,"&lt;&gt;",$C$2:$C4763,"&lt;&gt;",$D$2:$D4763,"&lt;&gt;",$E$2:$E4763,"&lt;&gt;"),"00000"),""))</f>
        <v/>
      </c>
      <c r="N4763" s="22"/>
    </row>
    <row r="4764" spans="1:14" x14ac:dyDescent="0.3">
      <c r="A4764" s="15" t="str">
        <f>IF(COUNTA($B4764:$E4764,$K4764)=0,"",IF(AND($B4764&lt;&gt;"",$C4764&lt;&gt;"",$D4764&lt;&gt;"",$E4764&lt;&gt;""),"TXS"&amp;TEXT(COUNTIFS($B$2:$B4764,"&lt;&gt;",$C$2:$C4764,"&lt;&gt;",$D$2:$D4764,"&lt;&gt;",$E$2:$E4764,"&lt;&gt;"),"00000"),""))</f>
        <v/>
      </c>
      <c r="N4764" s="22"/>
    </row>
    <row r="4765" spans="1:14" x14ac:dyDescent="0.3">
      <c r="A4765" s="15" t="str">
        <f>IF(COUNTA($B4765:$E4765,$K4765)=0,"",IF(AND($B4765&lt;&gt;"",$C4765&lt;&gt;"",$D4765&lt;&gt;"",$E4765&lt;&gt;""),"TXS"&amp;TEXT(COUNTIFS($B$2:$B4765,"&lt;&gt;",$C$2:$C4765,"&lt;&gt;",$D$2:$D4765,"&lt;&gt;",$E$2:$E4765,"&lt;&gt;"),"00000"),""))</f>
        <v/>
      </c>
      <c r="N4765" s="22"/>
    </row>
    <row r="4766" spans="1:14" x14ac:dyDescent="0.3">
      <c r="A4766" s="15" t="str">
        <f>IF(COUNTA($B4766:$E4766,$K4766)=0,"",IF(AND($B4766&lt;&gt;"",$C4766&lt;&gt;"",$D4766&lt;&gt;"",$E4766&lt;&gt;""),"TXS"&amp;TEXT(COUNTIFS($B$2:$B4766,"&lt;&gt;",$C$2:$C4766,"&lt;&gt;",$D$2:$D4766,"&lt;&gt;",$E$2:$E4766,"&lt;&gt;"),"00000"),""))</f>
        <v/>
      </c>
      <c r="N4766" s="22"/>
    </row>
    <row r="4767" spans="1:14" x14ac:dyDescent="0.3">
      <c r="A4767" s="15" t="str">
        <f>IF(COUNTA($B4767:$E4767,$K4767)=0,"",IF(AND($B4767&lt;&gt;"",$C4767&lt;&gt;"",$D4767&lt;&gt;"",$E4767&lt;&gt;""),"TXS"&amp;TEXT(COUNTIFS($B$2:$B4767,"&lt;&gt;",$C$2:$C4767,"&lt;&gt;",$D$2:$D4767,"&lt;&gt;",$E$2:$E4767,"&lt;&gt;"),"00000"),""))</f>
        <v/>
      </c>
      <c r="N4767" s="22"/>
    </row>
    <row r="4768" spans="1:14" x14ac:dyDescent="0.3">
      <c r="A4768" s="15" t="str">
        <f>IF(COUNTA($B4768:$E4768,$K4768)=0,"",IF(AND($B4768&lt;&gt;"",$C4768&lt;&gt;"",$D4768&lt;&gt;"",$E4768&lt;&gt;""),"TXS"&amp;TEXT(COUNTIFS($B$2:$B4768,"&lt;&gt;",$C$2:$C4768,"&lt;&gt;",$D$2:$D4768,"&lt;&gt;",$E$2:$E4768,"&lt;&gt;"),"00000"),""))</f>
        <v/>
      </c>
      <c r="N4768" s="22"/>
    </row>
    <row r="4769" spans="1:14" x14ac:dyDescent="0.3">
      <c r="A4769" s="15" t="str">
        <f>IF(COUNTA($B4769:$E4769,$K4769)=0,"",IF(AND($B4769&lt;&gt;"",$C4769&lt;&gt;"",$D4769&lt;&gt;"",$E4769&lt;&gt;""),"TXS"&amp;TEXT(COUNTIFS($B$2:$B4769,"&lt;&gt;",$C$2:$C4769,"&lt;&gt;",$D$2:$D4769,"&lt;&gt;",$E$2:$E4769,"&lt;&gt;"),"00000"),""))</f>
        <v/>
      </c>
      <c r="N4769" s="22"/>
    </row>
    <row r="4770" spans="1:14" x14ac:dyDescent="0.3">
      <c r="A4770" s="15" t="str">
        <f>IF(COUNTA($B4770:$E4770,$K4770)=0,"",IF(AND($B4770&lt;&gt;"",$C4770&lt;&gt;"",$D4770&lt;&gt;"",$E4770&lt;&gt;""),"TXS"&amp;TEXT(COUNTIFS($B$2:$B4770,"&lt;&gt;",$C$2:$C4770,"&lt;&gt;",$D$2:$D4770,"&lt;&gt;",$E$2:$E4770,"&lt;&gt;"),"00000"),""))</f>
        <v/>
      </c>
      <c r="N4770" s="22"/>
    </row>
    <row r="4771" spans="1:14" x14ac:dyDescent="0.3">
      <c r="A4771" s="15" t="str">
        <f>IF(COUNTA($B4771:$E4771,$K4771)=0,"",IF(AND($B4771&lt;&gt;"",$C4771&lt;&gt;"",$D4771&lt;&gt;"",$E4771&lt;&gt;""),"TXS"&amp;TEXT(COUNTIFS($B$2:$B4771,"&lt;&gt;",$C$2:$C4771,"&lt;&gt;",$D$2:$D4771,"&lt;&gt;",$E$2:$E4771,"&lt;&gt;"),"00000"),""))</f>
        <v/>
      </c>
      <c r="N4771" s="22"/>
    </row>
    <row r="4772" spans="1:14" x14ac:dyDescent="0.3">
      <c r="A4772" s="15" t="str">
        <f>IF(COUNTA($B4772:$E4772,$K4772)=0,"",IF(AND($B4772&lt;&gt;"",$C4772&lt;&gt;"",$D4772&lt;&gt;"",$E4772&lt;&gt;""),"TXS"&amp;TEXT(COUNTIFS($B$2:$B4772,"&lt;&gt;",$C$2:$C4772,"&lt;&gt;",$D$2:$D4772,"&lt;&gt;",$E$2:$E4772,"&lt;&gt;"),"00000"),""))</f>
        <v/>
      </c>
      <c r="N4772" s="22"/>
    </row>
    <row r="4773" spans="1:14" x14ac:dyDescent="0.3">
      <c r="A4773" s="15" t="str">
        <f>IF(COUNTA($B4773:$E4773,$K4773)=0,"",IF(AND($B4773&lt;&gt;"",$C4773&lt;&gt;"",$D4773&lt;&gt;"",$E4773&lt;&gt;""),"TXS"&amp;TEXT(COUNTIFS($B$2:$B4773,"&lt;&gt;",$C$2:$C4773,"&lt;&gt;",$D$2:$D4773,"&lt;&gt;",$E$2:$E4773,"&lt;&gt;"),"00000"),""))</f>
        <v/>
      </c>
      <c r="N4773" s="22"/>
    </row>
    <row r="4774" spans="1:14" x14ac:dyDescent="0.3">
      <c r="A4774" s="15" t="str">
        <f>IF(COUNTA($B4774:$E4774,$K4774)=0,"",IF(AND($B4774&lt;&gt;"",$C4774&lt;&gt;"",$D4774&lt;&gt;"",$E4774&lt;&gt;""),"TXS"&amp;TEXT(COUNTIFS($B$2:$B4774,"&lt;&gt;",$C$2:$C4774,"&lt;&gt;",$D$2:$D4774,"&lt;&gt;",$E$2:$E4774,"&lt;&gt;"),"00000"),""))</f>
        <v/>
      </c>
      <c r="N4774" s="22"/>
    </row>
    <row r="4775" spans="1:14" x14ac:dyDescent="0.3">
      <c r="A4775" s="15" t="str">
        <f>IF(COUNTA($B4775:$E4775,$K4775)=0,"",IF(AND($B4775&lt;&gt;"",$C4775&lt;&gt;"",$D4775&lt;&gt;"",$E4775&lt;&gt;""),"TXS"&amp;TEXT(COUNTIFS($B$2:$B4775,"&lt;&gt;",$C$2:$C4775,"&lt;&gt;",$D$2:$D4775,"&lt;&gt;",$E$2:$E4775,"&lt;&gt;"),"00000"),""))</f>
        <v/>
      </c>
      <c r="N4775" s="22"/>
    </row>
    <row r="4776" spans="1:14" x14ac:dyDescent="0.3">
      <c r="A4776" s="15" t="str">
        <f>IF(COUNTA($B4776:$E4776,$K4776)=0,"",IF(AND($B4776&lt;&gt;"",$C4776&lt;&gt;"",$D4776&lt;&gt;"",$E4776&lt;&gt;""),"TXS"&amp;TEXT(COUNTIFS($B$2:$B4776,"&lt;&gt;",$C$2:$C4776,"&lt;&gt;",$D$2:$D4776,"&lt;&gt;",$E$2:$E4776,"&lt;&gt;"),"00000"),""))</f>
        <v/>
      </c>
      <c r="N4776" s="22"/>
    </row>
    <row r="4777" spans="1:14" x14ac:dyDescent="0.3">
      <c r="A4777" s="15" t="str">
        <f>IF(COUNTA($B4777:$E4777,$K4777)=0,"",IF(AND($B4777&lt;&gt;"",$C4777&lt;&gt;"",$D4777&lt;&gt;"",$E4777&lt;&gt;""),"TXS"&amp;TEXT(COUNTIFS($B$2:$B4777,"&lt;&gt;",$C$2:$C4777,"&lt;&gt;",$D$2:$D4777,"&lt;&gt;",$E$2:$E4777,"&lt;&gt;"),"00000"),""))</f>
        <v/>
      </c>
      <c r="N4777" s="22"/>
    </row>
    <row r="4778" spans="1:14" x14ac:dyDescent="0.3">
      <c r="A4778" s="15" t="str">
        <f>IF(COUNTA($B4778:$E4778,$K4778)=0,"",IF(AND($B4778&lt;&gt;"",$C4778&lt;&gt;"",$D4778&lt;&gt;"",$E4778&lt;&gt;""),"TXS"&amp;TEXT(COUNTIFS($B$2:$B4778,"&lt;&gt;",$C$2:$C4778,"&lt;&gt;",$D$2:$D4778,"&lt;&gt;",$E$2:$E4778,"&lt;&gt;"),"00000"),""))</f>
        <v/>
      </c>
      <c r="N4778" s="22"/>
    </row>
    <row r="4779" spans="1:14" x14ac:dyDescent="0.3">
      <c r="A4779" s="15" t="str">
        <f>IF(COUNTA($B4779:$E4779,$K4779)=0,"",IF(AND($B4779&lt;&gt;"",$C4779&lt;&gt;"",$D4779&lt;&gt;"",$E4779&lt;&gt;""),"TXS"&amp;TEXT(COUNTIFS($B$2:$B4779,"&lt;&gt;",$C$2:$C4779,"&lt;&gt;",$D$2:$D4779,"&lt;&gt;",$E$2:$E4779,"&lt;&gt;"),"00000"),""))</f>
        <v/>
      </c>
      <c r="N4779" s="22"/>
    </row>
    <row r="4780" spans="1:14" x14ac:dyDescent="0.3">
      <c r="A4780" s="15" t="str">
        <f>IF(COUNTA($B4780:$E4780,$K4780)=0,"",IF(AND($B4780&lt;&gt;"",$C4780&lt;&gt;"",$D4780&lt;&gt;"",$E4780&lt;&gt;""),"TXS"&amp;TEXT(COUNTIFS($B$2:$B4780,"&lt;&gt;",$C$2:$C4780,"&lt;&gt;",$D$2:$D4780,"&lt;&gt;",$E$2:$E4780,"&lt;&gt;"),"00000"),""))</f>
        <v/>
      </c>
      <c r="N4780" s="22"/>
    </row>
    <row r="4781" spans="1:14" x14ac:dyDescent="0.3">
      <c r="A4781" s="15" t="str">
        <f>IF(COUNTA($B4781:$E4781,$K4781)=0,"",IF(AND($B4781&lt;&gt;"",$C4781&lt;&gt;"",$D4781&lt;&gt;"",$E4781&lt;&gt;""),"TXS"&amp;TEXT(COUNTIFS($B$2:$B4781,"&lt;&gt;",$C$2:$C4781,"&lt;&gt;",$D$2:$D4781,"&lt;&gt;",$E$2:$E4781,"&lt;&gt;"),"00000"),""))</f>
        <v/>
      </c>
      <c r="N4781" s="22"/>
    </row>
    <row r="4782" spans="1:14" x14ac:dyDescent="0.3">
      <c r="A4782" s="15" t="str">
        <f>IF(COUNTA($B4782:$E4782,$K4782)=0,"",IF(AND($B4782&lt;&gt;"",$C4782&lt;&gt;"",$D4782&lt;&gt;"",$E4782&lt;&gt;""),"TXS"&amp;TEXT(COUNTIFS($B$2:$B4782,"&lt;&gt;",$C$2:$C4782,"&lt;&gt;",$D$2:$D4782,"&lt;&gt;",$E$2:$E4782,"&lt;&gt;"),"00000"),""))</f>
        <v/>
      </c>
      <c r="N4782" s="22"/>
    </row>
    <row r="4783" spans="1:14" x14ac:dyDescent="0.3">
      <c r="A4783" s="15" t="str">
        <f>IF(COUNTA($B4783:$E4783,$K4783)=0,"",IF(AND($B4783&lt;&gt;"",$C4783&lt;&gt;"",$D4783&lt;&gt;"",$E4783&lt;&gt;""),"TXS"&amp;TEXT(COUNTIFS($B$2:$B4783,"&lt;&gt;",$C$2:$C4783,"&lt;&gt;",$D$2:$D4783,"&lt;&gt;",$E$2:$E4783,"&lt;&gt;"),"00000"),""))</f>
        <v/>
      </c>
      <c r="N4783" s="22"/>
    </row>
    <row r="4784" spans="1:14" x14ac:dyDescent="0.3">
      <c r="A4784" s="15" t="str">
        <f>IF(COUNTA($B4784:$E4784,$K4784)=0,"",IF(AND($B4784&lt;&gt;"",$C4784&lt;&gt;"",$D4784&lt;&gt;"",$E4784&lt;&gt;""),"TXS"&amp;TEXT(COUNTIFS($B$2:$B4784,"&lt;&gt;",$C$2:$C4784,"&lt;&gt;",$D$2:$D4784,"&lt;&gt;",$E$2:$E4784,"&lt;&gt;"),"00000"),""))</f>
        <v/>
      </c>
      <c r="N4784" s="22"/>
    </row>
    <row r="4785" spans="1:14" x14ac:dyDescent="0.3">
      <c r="A4785" s="15" t="str">
        <f>IF(COUNTA($B4785:$E4785,$K4785)=0,"",IF(AND($B4785&lt;&gt;"",$C4785&lt;&gt;"",$D4785&lt;&gt;"",$E4785&lt;&gt;""),"TXS"&amp;TEXT(COUNTIFS($B$2:$B4785,"&lt;&gt;",$C$2:$C4785,"&lt;&gt;",$D$2:$D4785,"&lt;&gt;",$E$2:$E4785,"&lt;&gt;"),"00000"),""))</f>
        <v/>
      </c>
      <c r="N4785" s="22"/>
    </row>
    <row r="4786" spans="1:14" x14ac:dyDescent="0.3">
      <c r="A4786" s="15" t="str">
        <f>IF(COUNTA($B4786:$E4786,$K4786)=0,"",IF(AND($B4786&lt;&gt;"",$C4786&lt;&gt;"",$D4786&lt;&gt;"",$E4786&lt;&gt;""),"TXS"&amp;TEXT(COUNTIFS($B$2:$B4786,"&lt;&gt;",$C$2:$C4786,"&lt;&gt;",$D$2:$D4786,"&lt;&gt;",$E$2:$E4786,"&lt;&gt;"),"00000"),""))</f>
        <v/>
      </c>
      <c r="N4786" s="22"/>
    </row>
    <row r="4787" spans="1:14" x14ac:dyDescent="0.3">
      <c r="A4787" s="15" t="str">
        <f>IF(COUNTA($B4787:$E4787,$K4787)=0,"",IF(AND($B4787&lt;&gt;"",$C4787&lt;&gt;"",$D4787&lt;&gt;"",$E4787&lt;&gt;""),"TXS"&amp;TEXT(COUNTIFS($B$2:$B4787,"&lt;&gt;",$C$2:$C4787,"&lt;&gt;",$D$2:$D4787,"&lt;&gt;",$E$2:$E4787,"&lt;&gt;"),"00000"),""))</f>
        <v/>
      </c>
      <c r="N4787" s="22"/>
    </row>
    <row r="4788" spans="1:14" x14ac:dyDescent="0.3">
      <c r="A4788" s="15" t="str">
        <f>IF(COUNTA($B4788:$E4788,$K4788)=0,"",IF(AND($B4788&lt;&gt;"",$C4788&lt;&gt;"",$D4788&lt;&gt;"",$E4788&lt;&gt;""),"TXS"&amp;TEXT(COUNTIFS($B$2:$B4788,"&lt;&gt;",$C$2:$C4788,"&lt;&gt;",$D$2:$D4788,"&lt;&gt;",$E$2:$E4788,"&lt;&gt;"),"00000"),""))</f>
        <v/>
      </c>
      <c r="N4788" s="22"/>
    </row>
    <row r="4789" spans="1:14" x14ac:dyDescent="0.3">
      <c r="A4789" s="15" t="str">
        <f>IF(COUNTA($B4789:$E4789,$K4789)=0,"",IF(AND($B4789&lt;&gt;"",$C4789&lt;&gt;"",$D4789&lt;&gt;"",$E4789&lt;&gt;""),"TXS"&amp;TEXT(COUNTIFS($B$2:$B4789,"&lt;&gt;",$C$2:$C4789,"&lt;&gt;",$D$2:$D4789,"&lt;&gt;",$E$2:$E4789,"&lt;&gt;"),"00000"),""))</f>
        <v/>
      </c>
      <c r="N4789" s="22"/>
    </row>
    <row r="4790" spans="1:14" x14ac:dyDescent="0.3">
      <c r="A4790" s="15" t="str">
        <f>IF(COUNTA($B4790:$E4790,$K4790)=0,"",IF(AND($B4790&lt;&gt;"",$C4790&lt;&gt;"",$D4790&lt;&gt;"",$E4790&lt;&gt;""),"TXS"&amp;TEXT(COUNTIFS($B$2:$B4790,"&lt;&gt;",$C$2:$C4790,"&lt;&gt;",$D$2:$D4790,"&lt;&gt;",$E$2:$E4790,"&lt;&gt;"),"00000"),""))</f>
        <v/>
      </c>
      <c r="N4790" s="22"/>
    </row>
    <row r="4791" spans="1:14" x14ac:dyDescent="0.3">
      <c r="A4791" s="15" t="str">
        <f>IF(COUNTA($B4791:$E4791,$K4791)=0,"",IF(AND($B4791&lt;&gt;"",$C4791&lt;&gt;"",$D4791&lt;&gt;"",$E4791&lt;&gt;""),"TXS"&amp;TEXT(COUNTIFS($B$2:$B4791,"&lt;&gt;",$C$2:$C4791,"&lt;&gt;",$D$2:$D4791,"&lt;&gt;",$E$2:$E4791,"&lt;&gt;"),"00000"),""))</f>
        <v/>
      </c>
      <c r="N4791" s="22"/>
    </row>
    <row r="4792" spans="1:14" x14ac:dyDescent="0.3">
      <c r="A4792" s="15" t="str">
        <f>IF(COUNTA($B4792:$E4792,$K4792)=0,"",IF(AND($B4792&lt;&gt;"",$C4792&lt;&gt;"",$D4792&lt;&gt;"",$E4792&lt;&gt;""),"TXS"&amp;TEXT(COUNTIFS($B$2:$B4792,"&lt;&gt;",$C$2:$C4792,"&lt;&gt;",$D$2:$D4792,"&lt;&gt;",$E$2:$E4792,"&lt;&gt;"),"00000"),""))</f>
        <v/>
      </c>
      <c r="N4792" s="22"/>
    </row>
    <row r="4793" spans="1:14" x14ac:dyDescent="0.3">
      <c r="A4793" s="15" t="str">
        <f>IF(COUNTA($B4793:$E4793,$K4793)=0,"",IF(AND($B4793&lt;&gt;"",$C4793&lt;&gt;"",$D4793&lt;&gt;"",$E4793&lt;&gt;""),"TXS"&amp;TEXT(COUNTIFS($B$2:$B4793,"&lt;&gt;",$C$2:$C4793,"&lt;&gt;",$D$2:$D4793,"&lt;&gt;",$E$2:$E4793,"&lt;&gt;"),"00000"),""))</f>
        <v/>
      </c>
      <c r="N4793" s="22"/>
    </row>
    <row r="4794" spans="1:14" x14ac:dyDescent="0.3">
      <c r="A4794" s="15" t="str">
        <f>IF(COUNTA($B4794:$E4794,$K4794)=0,"",IF(AND($B4794&lt;&gt;"",$C4794&lt;&gt;"",$D4794&lt;&gt;"",$E4794&lt;&gt;""),"TXS"&amp;TEXT(COUNTIFS($B$2:$B4794,"&lt;&gt;",$C$2:$C4794,"&lt;&gt;",$D$2:$D4794,"&lt;&gt;",$E$2:$E4794,"&lt;&gt;"),"00000"),""))</f>
        <v/>
      </c>
      <c r="N4794" s="22"/>
    </row>
    <row r="4795" spans="1:14" x14ac:dyDescent="0.3">
      <c r="A4795" s="15" t="str">
        <f>IF(COUNTA($B4795:$E4795,$K4795)=0,"",IF(AND($B4795&lt;&gt;"",$C4795&lt;&gt;"",$D4795&lt;&gt;"",$E4795&lt;&gt;""),"TXS"&amp;TEXT(COUNTIFS($B$2:$B4795,"&lt;&gt;",$C$2:$C4795,"&lt;&gt;",$D$2:$D4795,"&lt;&gt;",$E$2:$E4795,"&lt;&gt;"),"00000"),""))</f>
        <v/>
      </c>
      <c r="N4795" s="22"/>
    </row>
    <row r="4796" spans="1:14" x14ac:dyDescent="0.3">
      <c r="A4796" s="15" t="str">
        <f>IF(COUNTA($B4796:$E4796,$K4796)=0,"",IF(AND($B4796&lt;&gt;"",$C4796&lt;&gt;"",$D4796&lt;&gt;"",$E4796&lt;&gt;""),"TXS"&amp;TEXT(COUNTIFS($B$2:$B4796,"&lt;&gt;",$C$2:$C4796,"&lt;&gt;",$D$2:$D4796,"&lt;&gt;",$E$2:$E4796,"&lt;&gt;"),"00000"),""))</f>
        <v/>
      </c>
      <c r="N4796" s="22"/>
    </row>
    <row r="4797" spans="1:14" x14ac:dyDescent="0.3">
      <c r="A4797" s="15" t="str">
        <f>IF(COUNTA($B4797:$E4797,$K4797)=0,"",IF(AND($B4797&lt;&gt;"",$C4797&lt;&gt;"",$D4797&lt;&gt;"",$E4797&lt;&gt;""),"TXS"&amp;TEXT(COUNTIFS($B$2:$B4797,"&lt;&gt;",$C$2:$C4797,"&lt;&gt;",$D$2:$D4797,"&lt;&gt;",$E$2:$E4797,"&lt;&gt;"),"00000"),""))</f>
        <v/>
      </c>
      <c r="N4797" s="22"/>
    </row>
    <row r="4798" spans="1:14" x14ac:dyDescent="0.3">
      <c r="A4798" s="15" t="str">
        <f>IF(COUNTA($B4798:$E4798,$K4798)=0,"",IF(AND($B4798&lt;&gt;"",$C4798&lt;&gt;"",$D4798&lt;&gt;"",$E4798&lt;&gt;""),"TXS"&amp;TEXT(COUNTIFS($B$2:$B4798,"&lt;&gt;",$C$2:$C4798,"&lt;&gt;",$D$2:$D4798,"&lt;&gt;",$E$2:$E4798,"&lt;&gt;"),"00000"),""))</f>
        <v/>
      </c>
      <c r="N4798" s="22"/>
    </row>
    <row r="4799" spans="1:14" x14ac:dyDescent="0.3">
      <c r="A4799" s="15" t="str">
        <f>IF(COUNTA($B4799:$E4799,$K4799)=0,"",IF(AND($B4799&lt;&gt;"",$C4799&lt;&gt;"",$D4799&lt;&gt;"",$E4799&lt;&gt;""),"TXS"&amp;TEXT(COUNTIFS($B$2:$B4799,"&lt;&gt;",$C$2:$C4799,"&lt;&gt;",$D$2:$D4799,"&lt;&gt;",$E$2:$E4799,"&lt;&gt;"),"00000"),""))</f>
        <v/>
      </c>
      <c r="N4799" s="22"/>
    </row>
    <row r="4800" spans="1:14" x14ac:dyDescent="0.3">
      <c r="A4800" s="15" t="str">
        <f>IF(COUNTA($B4800:$E4800,$K4800)=0,"",IF(AND($B4800&lt;&gt;"",$C4800&lt;&gt;"",$D4800&lt;&gt;"",$E4800&lt;&gt;""),"TXS"&amp;TEXT(COUNTIFS($B$2:$B4800,"&lt;&gt;",$C$2:$C4800,"&lt;&gt;",$D$2:$D4800,"&lt;&gt;",$E$2:$E4800,"&lt;&gt;"),"00000"),""))</f>
        <v/>
      </c>
      <c r="N4800" s="22"/>
    </row>
    <row r="4801" spans="1:14" x14ac:dyDescent="0.3">
      <c r="A4801" s="15" t="str">
        <f>IF(COUNTA($B4801:$E4801,$K4801)=0,"",IF(AND($B4801&lt;&gt;"",$C4801&lt;&gt;"",$D4801&lt;&gt;"",$E4801&lt;&gt;""),"TXS"&amp;TEXT(COUNTIFS($B$2:$B4801,"&lt;&gt;",$C$2:$C4801,"&lt;&gt;",$D$2:$D4801,"&lt;&gt;",$E$2:$E4801,"&lt;&gt;"),"00000"),""))</f>
        <v/>
      </c>
      <c r="N4801" s="22"/>
    </row>
    <row r="4802" spans="1:14" x14ac:dyDescent="0.3">
      <c r="A4802" s="15" t="str">
        <f>IF(COUNTA($B4802:$E4802,$K4802)=0,"",IF(AND($B4802&lt;&gt;"",$C4802&lt;&gt;"",$D4802&lt;&gt;"",$E4802&lt;&gt;""),"TXS"&amp;TEXT(COUNTIFS($B$2:$B4802,"&lt;&gt;",$C$2:$C4802,"&lt;&gt;",$D$2:$D4802,"&lt;&gt;",$E$2:$E4802,"&lt;&gt;"),"00000"),""))</f>
        <v/>
      </c>
      <c r="N4802" s="22"/>
    </row>
    <row r="4803" spans="1:14" x14ac:dyDescent="0.3">
      <c r="A4803" s="15" t="str">
        <f>IF(COUNTA($B4803:$E4803,$K4803)=0,"",IF(AND($B4803&lt;&gt;"",$C4803&lt;&gt;"",$D4803&lt;&gt;"",$E4803&lt;&gt;""),"TXS"&amp;TEXT(COUNTIFS($B$2:$B4803,"&lt;&gt;",$C$2:$C4803,"&lt;&gt;",$D$2:$D4803,"&lt;&gt;",$E$2:$E4803,"&lt;&gt;"),"00000"),""))</f>
        <v/>
      </c>
      <c r="N4803" s="22"/>
    </row>
    <row r="4804" spans="1:14" x14ac:dyDescent="0.3">
      <c r="A4804" s="15" t="str">
        <f>IF(COUNTA($B4804:$E4804,$K4804)=0,"",IF(AND($B4804&lt;&gt;"",$C4804&lt;&gt;"",$D4804&lt;&gt;"",$E4804&lt;&gt;""),"TXS"&amp;TEXT(COUNTIFS($B$2:$B4804,"&lt;&gt;",$C$2:$C4804,"&lt;&gt;",$D$2:$D4804,"&lt;&gt;",$E$2:$E4804,"&lt;&gt;"),"00000"),""))</f>
        <v/>
      </c>
      <c r="N4804" s="22"/>
    </row>
    <row r="4805" spans="1:14" x14ac:dyDescent="0.3">
      <c r="A4805" s="15" t="str">
        <f>IF(COUNTA($B4805:$E4805,$K4805)=0,"",IF(AND($B4805&lt;&gt;"",$C4805&lt;&gt;"",$D4805&lt;&gt;"",$E4805&lt;&gt;""),"TXS"&amp;TEXT(COUNTIFS($B$2:$B4805,"&lt;&gt;",$C$2:$C4805,"&lt;&gt;",$D$2:$D4805,"&lt;&gt;",$E$2:$E4805,"&lt;&gt;"),"00000"),""))</f>
        <v/>
      </c>
      <c r="N4805" s="22"/>
    </row>
    <row r="4806" spans="1:14" x14ac:dyDescent="0.3">
      <c r="A4806" s="15" t="str">
        <f>IF(COUNTA($B4806:$E4806,$K4806)=0,"",IF(AND($B4806&lt;&gt;"",$C4806&lt;&gt;"",$D4806&lt;&gt;"",$E4806&lt;&gt;""),"TXS"&amp;TEXT(COUNTIFS($B$2:$B4806,"&lt;&gt;",$C$2:$C4806,"&lt;&gt;",$D$2:$D4806,"&lt;&gt;",$E$2:$E4806,"&lt;&gt;"),"00000"),""))</f>
        <v/>
      </c>
      <c r="N4806" s="22"/>
    </row>
    <row r="4807" spans="1:14" x14ac:dyDescent="0.3">
      <c r="A4807" s="15" t="str">
        <f>IF(COUNTA($B4807:$E4807,$K4807)=0,"",IF(AND($B4807&lt;&gt;"",$C4807&lt;&gt;"",$D4807&lt;&gt;"",$E4807&lt;&gt;""),"TXS"&amp;TEXT(COUNTIFS($B$2:$B4807,"&lt;&gt;",$C$2:$C4807,"&lt;&gt;",$D$2:$D4807,"&lt;&gt;",$E$2:$E4807,"&lt;&gt;"),"00000"),""))</f>
        <v/>
      </c>
      <c r="N4807" s="22"/>
    </row>
    <row r="4808" spans="1:14" x14ac:dyDescent="0.3">
      <c r="A4808" s="15" t="str">
        <f>IF(COUNTA($B4808:$E4808,$K4808)=0,"",IF(AND($B4808&lt;&gt;"",$C4808&lt;&gt;"",$D4808&lt;&gt;"",$E4808&lt;&gt;""),"TXS"&amp;TEXT(COUNTIFS($B$2:$B4808,"&lt;&gt;",$C$2:$C4808,"&lt;&gt;",$D$2:$D4808,"&lt;&gt;",$E$2:$E4808,"&lt;&gt;"),"00000"),""))</f>
        <v/>
      </c>
      <c r="N4808" s="22"/>
    </row>
    <row r="4809" spans="1:14" x14ac:dyDescent="0.3">
      <c r="A4809" s="15" t="str">
        <f>IF(COUNTA($B4809:$E4809,$K4809)=0,"",IF(AND($B4809&lt;&gt;"",$C4809&lt;&gt;"",$D4809&lt;&gt;"",$E4809&lt;&gt;""),"TXS"&amp;TEXT(COUNTIFS($B$2:$B4809,"&lt;&gt;",$C$2:$C4809,"&lt;&gt;",$D$2:$D4809,"&lt;&gt;",$E$2:$E4809,"&lt;&gt;"),"00000"),""))</f>
        <v/>
      </c>
      <c r="N4809" s="22"/>
    </row>
    <row r="4810" spans="1:14" x14ac:dyDescent="0.3">
      <c r="A4810" s="15" t="str">
        <f>IF(COUNTA($B4810:$E4810,$K4810)=0,"",IF(AND($B4810&lt;&gt;"",$C4810&lt;&gt;"",$D4810&lt;&gt;"",$E4810&lt;&gt;""),"TXS"&amp;TEXT(COUNTIFS($B$2:$B4810,"&lt;&gt;",$C$2:$C4810,"&lt;&gt;",$D$2:$D4810,"&lt;&gt;",$E$2:$E4810,"&lt;&gt;"),"00000"),""))</f>
        <v/>
      </c>
      <c r="N4810" s="22"/>
    </row>
    <row r="4811" spans="1:14" x14ac:dyDescent="0.3">
      <c r="A4811" s="15" t="str">
        <f>IF(COUNTA($B4811:$E4811,$K4811)=0,"",IF(AND($B4811&lt;&gt;"",$C4811&lt;&gt;"",$D4811&lt;&gt;"",$E4811&lt;&gt;""),"TXS"&amp;TEXT(COUNTIFS($B$2:$B4811,"&lt;&gt;",$C$2:$C4811,"&lt;&gt;",$D$2:$D4811,"&lt;&gt;",$E$2:$E4811,"&lt;&gt;"),"00000"),""))</f>
        <v/>
      </c>
      <c r="N4811" s="22"/>
    </row>
    <row r="4812" spans="1:14" x14ac:dyDescent="0.3">
      <c r="A4812" s="15" t="str">
        <f>IF(COUNTA($B4812:$E4812,$K4812)=0,"",IF(AND($B4812&lt;&gt;"",$C4812&lt;&gt;"",$D4812&lt;&gt;"",$E4812&lt;&gt;""),"TXS"&amp;TEXT(COUNTIFS($B$2:$B4812,"&lt;&gt;",$C$2:$C4812,"&lt;&gt;",$D$2:$D4812,"&lt;&gt;",$E$2:$E4812,"&lt;&gt;"),"00000"),""))</f>
        <v/>
      </c>
      <c r="N4812" s="22"/>
    </row>
    <row r="4813" spans="1:14" x14ac:dyDescent="0.3">
      <c r="A4813" s="15" t="str">
        <f>IF(COUNTA($B4813:$E4813,$K4813)=0,"",IF(AND($B4813&lt;&gt;"",$C4813&lt;&gt;"",$D4813&lt;&gt;"",$E4813&lt;&gt;""),"TXS"&amp;TEXT(COUNTIFS($B$2:$B4813,"&lt;&gt;",$C$2:$C4813,"&lt;&gt;",$D$2:$D4813,"&lt;&gt;",$E$2:$E4813,"&lt;&gt;"),"00000"),""))</f>
        <v/>
      </c>
      <c r="N4813" s="22"/>
    </row>
    <row r="4814" spans="1:14" x14ac:dyDescent="0.3">
      <c r="A4814" s="15" t="str">
        <f>IF(COUNTA($B4814:$E4814,$K4814)=0,"",IF(AND($B4814&lt;&gt;"",$C4814&lt;&gt;"",$D4814&lt;&gt;"",$E4814&lt;&gt;""),"TXS"&amp;TEXT(COUNTIFS($B$2:$B4814,"&lt;&gt;",$C$2:$C4814,"&lt;&gt;",$D$2:$D4814,"&lt;&gt;",$E$2:$E4814,"&lt;&gt;"),"00000"),""))</f>
        <v/>
      </c>
      <c r="N4814" s="22"/>
    </row>
    <row r="4815" spans="1:14" x14ac:dyDescent="0.3">
      <c r="A4815" s="15" t="str">
        <f>IF(COUNTA($B4815:$E4815,$K4815)=0,"",IF(AND($B4815&lt;&gt;"",$C4815&lt;&gt;"",$D4815&lt;&gt;"",$E4815&lt;&gt;""),"TXS"&amp;TEXT(COUNTIFS($B$2:$B4815,"&lt;&gt;",$C$2:$C4815,"&lt;&gt;",$D$2:$D4815,"&lt;&gt;",$E$2:$E4815,"&lt;&gt;"),"00000"),""))</f>
        <v/>
      </c>
      <c r="N4815" s="22"/>
    </row>
    <row r="4816" spans="1:14" x14ac:dyDescent="0.3">
      <c r="A4816" s="15" t="str">
        <f>IF(COUNTA($B4816:$E4816,$K4816)=0,"",IF(AND($B4816&lt;&gt;"",$C4816&lt;&gt;"",$D4816&lt;&gt;"",$E4816&lt;&gt;""),"TXS"&amp;TEXT(COUNTIFS($B$2:$B4816,"&lt;&gt;",$C$2:$C4816,"&lt;&gt;",$D$2:$D4816,"&lt;&gt;",$E$2:$E4816,"&lt;&gt;"),"00000"),""))</f>
        <v/>
      </c>
      <c r="N4816" s="22"/>
    </row>
    <row r="4817" spans="1:14" x14ac:dyDescent="0.3">
      <c r="A4817" s="15" t="str">
        <f>IF(COUNTA($B4817:$E4817,$K4817)=0,"",IF(AND($B4817&lt;&gt;"",$C4817&lt;&gt;"",$D4817&lt;&gt;"",$E4817&lt;&gt;""),"TXS"&amp;TEXT(COUNTIFS($B$2:$B4817,"&lt;&gt;",$C$2:$C4817,"&lt;&gt;",$D$2:$D4817,"&lt;&gt;",$E$2:$E4817,"&lt;&gt;"),"00000"),""))</f>
        <v/>
      </c>
      <c r="N4817" s="22"/>
    </row>
    <row r="4818" spans="1:14" x14ac:dyDescent="0.3">
      <c r="A4818" s="15" t="str">
        <f>IF(COUNTA($B4818:$E4818,$K4818)=0,"",IF(AND($B4818&lt;&gt;"",$C4818&lt;&gt;"",$D4818&lt;&gt;"",$E4818&lt;&gt;""),"TXS"&amp;TEXT(COUNTIFS($B$2:$B4818,"&lt;&gt;",$C$2:$C4818,"&lt;&gt;",$D$2:$D4818,"&lt;&gt;",$E$2:$E4818,"&lt;&gt;"),"00000"),""))</f>
        <v/>
      </c>
      <c r="N4818" s="22"/>
    </row>
    <row r="4819" spans="1:14" x14ac:dyDescent="0.3">
      <c r="A4819" s="15" t="str">
        <f>IF(COUNTA($B4819:$E4819,$K4819)=0,"",IF(AND($B4819&lt;&gt;"",$C4819&lt;&gt;"",$D4819&lt;&gt;"",$E4819&lt;&gt;""),"TXS"&amp;TEXT(COUNTIFS($B$2:$B4819,"&lt;&gt;",$C$2:$C4819,"&lt;&gt;",$D$2:$D4819,"&lt;&gt;",$E$2:$E4819,"&lt;&gt;"),"00000"),""))</f>
        <v/>
      </c>
      <c r="N4819" s="22"/>
    </row>
    <row r="4820" spans="1:14" x14ac:dyDescent="0.3">
      <c r="A4820" s="15" t="str">
        <f>IF(COUNTA($B4820:$E4820,$K4820)=0,"",IF(AND($B4820&lt;&gt;"",$C4820&lt;&gt;"",$D4820&lt;&gt;"",$E4820&lt;&gt;""),"TXS"&amp;TEXT(COUNTIFS($B$2:$B4820,"&lt;&gt;",$C$2:$C4820,"&lt;&gt;",$D$2:$D4820,"&lt;&gt;",$E$2:$E4820,"&lt;&gt;"),"00000"),""))</f>
        <v/>
      </c>
      <c r="N4820" s="22"/>
    </row>
    <row r="4821" spans="1:14" x14ac:dyDescent="0.3">
      <c r="A4821" s="15" t="str">
        <f>IF(COUNTA($B4821:$E4821,$K4821)=0,"",IF(AND($B4821&lt;&gt;"",$C4821&lt;&gt;"",$D4821&lt;&gt;"",$E4821&lt;&gt;""),"TXS"&amp;TEXT(COUNTIFS($B$2:$B4821,"&lt;&gt;",$C$2:$C4821,"&lt;&gt;",$D$2:$D4821,"&lt;&gt;",$E$2:$E4821,"&lt;&gt;"),"00000"),""))</f>
        <v/>
      </c>
      <c r="N4821" s="22"/>
    </row>
    <row r="4822" spans="1:14" x14ac:dyDescent="0.3">
      <c r="A4822" s="15" t="str">
        <f>IF(COUNTA($B4822:$E4822,$K4822)=0,"",IF(AND($B4822&lt;&gt;"",$C4822&lt;&gt;"",$D4822&lt;&gt;"",$E4822&lt;&gt;""),"TXS"&amp;TEXT(COUNTIFS($B$2:$B4822,"&lt;&gt;",$C$2:$C4822,"&lt;&gt;",$D$2:$D4822,"&lt;&gt;",$E$2:$E4822,"&lt;&gt;"),"00000"),""))</f>
        <v/>
      </c>
      <c r="N4822" s="22"/>
    </row>
    <row r="4823" spans="1:14" x14ac:dyDescent="0.3">
      <c r="A4823" s="15" t="str">
        <f>IF(COUNTA($B4823:$E4823,$K4823)=0,"",IF(AND($B4823&lt;&gt;"",$C4823&lt;&gt;"",$D4823&lt;&gt;"",$E4823&lt;&gt;""),"TXS"&amp;TEXT(COUNTIFS($B$2:$B4823,"&lt;&gt;",$C$2:$C4823,"&lt;&gt;",$D$2:$D4823,"&lt;&gt;",$E$2:$E4823,"&lt;&gt;"),"00000"),""))</f>
        <v/>
      </c>
      <c r="N4823" s="22"/>
    </row>
    <row r="4824" spans="1:14" x14ac:dyDescent="0.3">
      <c r="A4824" s="15" t="str">
        <f>IF(COUNTA($B4824:$E4824,$K4824)=0,"",IF(AND($B4824&lt;&gt;"",$C4824&lt;&gt;"",$D4824&lt;&gt;"",$E4824&lt;&gt;""),"TXS"&amp;TEXT(COUNTIFS($B$2:$B4824,"&lt;&gt;",$C$2:$C4824,"&lt;&gt;",$D$2:$D4824,"&lt;&gt;",$E$2:$E4824,"&lt;&gt;"),"00000"),""))</f>
        <v/>
      </c>
      <c r="N4824" s="22"/>
    </row>
    <row r="4825" spans="1:14" x14ac:dyDescent="0.3">
      <c r="A4825" s="15" t="str">
        <f>IF(COUNTA($B4825:$E4825,$K4825)=0,"",IF(AND($B4825&lt;&gt;"",$C4825&lt;&gt;"",$D4825&lt;&gt;"",$E4825&lt;&gt;""),"TXS"&amp;TEXT(COUNTIFS($B$2:$B4825,"&lt;&gt;",$C$2:$C4825,"&lt;&gt;",$D$2:$D4825,"&lt;&gt;",$E$2:$E4825,"&lt;&gt;"),"00000"),""))</f>
        <v/>
      </c>
      <c r="N4825" s="22"/>
    </row>
    <row r="4826" spans="1:14" x14ac:dyDescent="0.3">
      <c r="A4826" s="15" t="str">
        <f>IF(COUNTA($B4826:$E4826,$K4826)=0,"",IF(AND($B4826&lt;&gt;"",$C4826&lt;&gt;"",$D4826&lt;&gt;"",$E4826&lt;&gt;""),"TXS"&amp;TEXT(COUNTIFS($B$2:$B4826,"&lt;&gt;",$C$2:$C4826,"&lt;&gt;",$D$2:$D4826,"&lt;&gt;",$E$2:$E4826,"&lt;&gt;"),"00000"),""))</f>
        <v/>
      </c>
      <c r="N4826" s="22"/>
    </row>
    <row r="4827" spans="1:14" x14ac:dyDescent="0.3">
      <c r="A4827" s="15" t="str">
        <f>IF(COUNTA($B4827:$E4827,$K4827)=0,"",IF(AND($B4827&lt;&gt;"",$C4827&lt;&gt;"",$D4827&lt;&gt;"",$E4827&lt;&gt;""),"TXS"&amp;TEXT(COUNTIFS($B$2:$B4827,"&lt;&gt;",$C$2:$C4827,"&lt;&gt;",$D$2:$D4827,"&lt;&gt;",$E$2:$E4827,"&lt;&gt;"),"00000"),""))</f>
        <v/>
      </c>
      <c r="N4827" s="22"/>
    </row>
    <row r="4828" spans="1:14" x14ac:dyDescent="0.3">
      <c r="A4828" s="15" t="str">
        <f>IF(COUNTA($B4828:$E4828,$K4828)=0,"",IF(AND($B4828&lt;&gt;"",$C4828&lt;&gt;"",$D4828&lt;&gt;"",$E4828&lt;&gt;""),"TXS"&amp;TEXT(COUNTIFS($B$2:$B4828,"&lt;&gt;",$C$2:$C4828,"&lt;&gt;",$D$2:$D4828,"&lt;&gt;",$E$2:$E4828,"&lt;&gt;"),"00000"),""))</f>
        <v/>
      </c>
      <c r="N4828" s="22"/>
    </row>
    <row r="4829" spans="1:14" x14ac:dyDescent="0.3">
      <c r="A4829" s="15" t="str">
        <f>IF(COUNTA($B4829:$E4829,$K4829)=0,"",IF(AND($B4829&lt;&gt;"",$C4829&lt;&gt;"",$D4829&lt;&gt;"",$E4829&lt;&gt;""),"TXS"&amp;TEXT(COUNTIFS($B$2:$B4829,"&lt;&gt;",$C$2:$C4829,"&lt;&gt;",$D$2:$D4829,"&lt;&gt;",$E$2:$E4829,"&lt;&gt;"),"00000"),""))</f>
        <v/>
      </c>
      <c r="N4829" s="22"/>
    </row>
    <row r="4830" spans="1:14" x14ac:dyDescent="0.3">
      <c r="A4830" s="15" t="str">
        <f>IF(COUNTA($B4830:$E4830,$K4830)=0,"",IF(AND($B4830&lt;&gt;"",$C4830&lt;&gt;"",$D4830&lt;&gt;"",$E4830&lt;&gt;""),"TXS"&amp;TEXT(COUNTIFS($B$2:$B4830,"&lt;&gt;",$C$2:$C4830,"&lt;&gt;",$D$2:$D4830,"&lt;&gt;",$E$2:$E4830,"&lt;&gt;"),"00000"),""))</f>
        <v/>
      </c>
      <c r="N4830" s="22"/>
    </row>
    <row r="4831" spans="1:14" x14ac:dyDescent="0.3">
      <c r="A4831" s="15" t="str">
        <f>IF(COUNTA($B4831:$E4831,$K4831)=0,"",IF(AND($B4831&lt;&gt;"",$C4831&lt;&gt;"",$D4831&lt;&gt;"",$E4831&lt;&gt;""),"TXS"&amp;TEXT(COUNTIFS($B$2:$B4831,"&lt;&gt;",$C$2:$C4831,"&lt;&gt;",$D$2:$D4831,"&lt;&gt;",$E$2:$E4831,"&lt;&gt;"),"00000"),""))</f>
        <v/>
      </c>
      <c r="N4831" s="22"/>
    </row>
    <row r="4832" spans="1:14" x14ac:dyDescent="0.3">
      <c r="A4832" s="15" t="str">
        <f>IF(COUNTA($B4832:$E4832,$K4832)=0,"",IF(AND($B4832&lt;&gt;"",$C4832&lt;&gt;"",$D4832&lt;&gt;"",$E4832&lt;&gt;""),"TXS"&amp;TEXT(COUNTIFS($B$2:$B4832,"&lt;&gt;",$C$2:$C4832,"&lt;&gt;",$D$2:$D4832,"&lt;&gt;",$E$2:$E4832,"&lt;&gt;"),"00000"),""))</f>
        <v/>
      </c>
      <c r="N4832" s="22"/>
    </row>
    <row r="4833" spans="1:14" x14ac:dyDescent="0.3">
      <c r="A4833" s="15" t="str">
        <f>IF(COUNTA($B4833:$E4833,$K4833)=0,"",IF(AND($B4833&lt;&gt;"",$C4833&lt;&gt;"",$D4833&lt;&gt;"",$E4833&lt;&gt;""),"TXS"&amp;TEXT(COUNTIFS($B$2:$B4833,"&lt;&gt;",$C$2:$C4833,"&lt;&gt;",$D$2:$D4833,"&lt;&gt;",$E$2:$E4833,"&lt;&gt;"),"00000"),""))</f>
        <v/>
      </c>
      <c r="N4833" s="22"/>
    </row>
    <row r="4834" spans="1:14" x14ac:dyDescent="0.3">
      <c r="A4834" s="15" t="str">
        <f>IF(COUNTA($B4834:$E4834,$K4834)=0,"",IF(AND($B4834&lt;&gt;"",$C4834&lt;&gt;"",$D4834&lt;&gt;"",$E4834&lt;&gt;""),"TXS"&amp;TEXT(COUNTIFS($B$2:$B4834,"&lt;&gt;",$C$2:$C4834,"&lt;&gt;",$D$2:$D4834,"&lt;&gt;",$E$2:$E4834,"&lt;&gt;"),"00000"),""))</f>
        <v/>
      </c>
      <c r="N4834" s="22"/>
    </row>
    <row r="4835" spans="1:14" x14ac:dyDescent="0.3">
      <c r="A4835" s="15" t="str">
        <f>IF(COUNTA($B4835:$E4835,$K4835)=0,"",IF(AND($B4835&lt;&gt;"",$C4835&lt;&gt;"",$D4835&lt;&gt;"",$E4835&lt;&gt;""),"TXS"&amp;TEXT(COUNTIFS($B$2:$B4835,"&lt;&gt;",$C$2:$C4835,"&lt;&gt;",$D$2:$D4835,"&lt;&gt;",$E$2:$E4835,"&lt;&gt;"),"00000"),""))</f>
        <v/>
      </c>
      <c r="N4835" s="22"/>
    </row>
    <row r="4836" spans="1:14" x14ac:dyDescent="0.3">
      <c r="A4836" s="15" t="str">
        <f>IF(COUNTA($B4836:$E4836,$K4836)=0,"",IF(AND($B4836&lt;&gt;"",$C4836&lt;&gt;"",$D4836&lt;&gt;"",$E4836&lt;&gt;""),"TXS"&amp;TEXT(COUNTIFS($B$2:$B4836,"&lt;&gt;",$C$2:$C4836,"&lt;&gt;",$D$2:$D4836,"&lt;&gt;",$E$2:$E4836,"&lt;&gt;"),"00000"),""))</f>
        <v/>
      </c>
      <c r="N4836" s="22"/>
    </row>
    <row r="4837" spans="1:14" x14ac:dyDescent="0.3">
      <c r="A4837" s="15" t="str">
        <f>IF(COUNTA($B4837:$E4837,$K4837)=0,"",IF(AND($B4837&lt;&gt;"",$C4837&lt;&gt;"",$D4837&lt;&gt;"",$E4837&lt;&gt;""),"TXS"&amp;TEXT(COUNTIFS($B$2:$B4837,"&lt;&gt;",$C$2:$C4837,"&lt;&gt;",$D$2:$D4837,"&lt;&gt;",$E$2:$E4837,"&lt;&gt;"),"00000"),""))</f>
        <v/>
      </c>
      <c r="N4837" s="22"/>
    </row>
    <row r="4838" spans="1:14" x14ac:dyDescent="0.3">
      <c r="A4838" s="15" t="str">
        <f>IF(COUNTA($B4838:$E4838,$K4838)=0,"",IF(AND($B4838&lt;&gt;"",$C4838&lt;&gt;"",$D4838&lt;&gt;"",$E4838&lt;&gt;""),"TXS"&amp;TEXT(COUNTIFS($B$2:$B4838,"&lt;&gt;",$C$2:$C4838,"&lt;&gt;",$D$2:$D4838,"&lt;&gt;",$E$2:$E4838,"&lt;&gt;"),"00000"),""))</f>
        <v/>
      </c>
      <c r="N4838" s="22"/>
    </row>
    <row r="4839" spans="1:14" x14ac:dyDescent="0.3">
      <c r="A4839" s="15" t="str">
        <f>IF(COUNTA($B4839:$E4839,$K4839)=0,"",IF(AND($B4839&lt;&gt;"",$C4839&lt;&gt;"",$D4839&lt;&gt;"",$E4839&lt;&gt;""),"TXS"&amp;TEXT(COUNTIFS($B$2:$B4839,"&lt;&gt;",$C$2:$C4839,"&lt;&gt;",$D$2:$D4839,"&lt;&gt;",$E$2:$E4839,"&lt;&gt;"),"00000"),""))</f>
        <v/>
      </c>
      <c r="N4839" s="22"/>
    </row>
    <row r="4840" spans="1:14" x14ac:dyDescent="0.3">
      <c r="A4840" s="15" t="str">
        <f>IF(COUNTA($B4840:$E4840,$K4840)=0,"",IF(AND($B4840&lt;&gt;"",$C4840&lt;&gt;"",$D4840&lt;&gt;"",$E4840&lt;&gt;""),"TXS"&amp;TEXT(COUNTIFS($B$2:$B4840,"&lt;&gt;",$C$2:$C4840,"&lt;&gt;",$D$2:$D4840,"&lt;&gt;",$E$2:$E4840,"&lt;&gt;"),"00000"),""))</f>
        <v/>
      </c>
      <c r="N4840" s="22"/>
    </row>
    <row r="4841" spans="1:14" x14ac:dyDescent="0.3">
      <c r="A4841" s="15" t="str">
        <f>IF(COUNTA($B4841:$E4841,$K4841)=0,"",IF(AND($B4841&lt;&gt;"",$C4841&lt;&gt;"",$D4841&lt;&gt;"",$E4841&lt;&gt;""),"TXS"&amp;TEXT(COUNTIFS($B$2:$B4841,"&lt;&gt;",$C$2:$C4841,"&lt;&gt;",$D$2:$D4841,"&lt;&gt;",$E$2:$E4841,"&lt;&gt;"),"00000"),""))</f>
        <v/>
      </c>
      <c r="N4841" s="22"/>
    </row>
    <row r="4842" spans="1:14" x14ac:dyDescent="0.3">
      <c r="A4842" s="15" t="str">
        <f>IF(COUNTA($B4842:$E4842,$K4842)=0,"",IF(AND($B4842&lt;&gt;"",$C4842&lt;&gt;"",$D4842&lt;&gt;"",$E4842&lt;&gt;""),"TXS"&amp;TEXT(COUNTIFS($B$2:$B4842,"&lt;&gt;",$C$2:$C4842,"&lt;&gt;",$D$2:$D4842,"&lt;&gt;",$E$2:$E4842,"&lt;&gt;"),"00000"),""))</f>
        <v/>
      </c>
      <c r="N4842" s="22"/>
    </row>
    <row r="4843" spans="1:14" x14ac:dyDescent="0.3">
      <c r="A4843" s="15" t="str">
        <f>IF(COUNTA($B4843:$E4843,$K4843)=0,"",IF(AND($B4843&lt;&gt;"",$C4843&lt;&gt;"",$D4843&lt;&gt;"",$E4843&lt;&gt;""),"TXS"&amp;TEXT(COUNTIFS($B$2:$B4843,"&lt;&gt;",$C$2:$C4843,"&lt;&gt;",$D$2:$D4843,"&lt;&gt;",$E$2:$E4843,"&lt;&gt;"),"00000"),""))</f>
        <v/>
      </c>
      <c r="N4843" s="22"/>
    </row>
    <row r="4844" spans="1:14" x14ac:dyDescent="0.3">
      <c r="A4844" s="15" t="str">
        <f>IF(COUNTA($B4844:$E4844,$K4844)=0,"",IF(AND($B4844&lt;&gt;"",$C4844&lt;&gt;"",$D4844&lt;&gt;"",$E4844&lt;&gt;""),"TXS"&amp;TEXT(COUNTIFS($B$2:$B4844,"&lt;&gt;",$C$2:$C4844,"&lt;&gt;",$D$2:$D4844,"&lt;&gt;",$E$2:$E4844,"&lt;&gt;"),"00000"),""))</f>
        <v/>
      </c>
      <c r="N4844" s="22"/>
    </row>
    <row r="4845" spans="1:14" x14ac:dyDescent="0.3">
      <c r="A4845" s="15" t="str">
        <f>IF(COUNTA($B4845:$E4845,$K4845)=0,"",IF(AND($B4845&lt;&gt;"",$C4845&lt;&gt;"",$D4845&lt;&gt;"",$E4845&lt;&gt;""),"TXS"&amp;TEXT(COUNTIFS($B$2:$B4845,"&lt;&gt;",$C$2:$C4845,"&lt;&gt;",$D$2:$D4845,"&lt;&gt;",$E$2:$E4845,"&lt;&gt;"),"00000"),""))</f>
        <v/>
      </c>
      <c r="N4845" s="22"/>
    </row>
    <row r="4846" spans="1:14" x14ac:dyDescent="0.3">
      <c r="A4846" s="15" t="str">
        <f>IF(COUNTA($B4846:$E4846,$K4846)=0,"",IF(AND($B4846&lt;&gt;"",$C4846&lt;&gt;"",$D4846&lt;&gt;"",$E4846&lt;&gt;""),"TXS"&amp;TEXT(COUNTIFS($B$2:$B4846,"&lt;&gt;",$C$2:$C4846,"&lt;&gt;",$D$2:$D4846,"&lt;&gt;",$E$2:$E4846,"&lt;&gt;"),"00000"),""))</f>
        <v/>
      </c>
      <c r="N4846" s="22"/>
    </row>
    <row r="4847" spans="1:14" x14ac:dyDescent="0.3">
      <c r="A4847" s="15" t="str">
        <f>IF(COUNTA($B4847:$E4847,$K4847)=0,"",IF(AND($B4847&lt;&gt;"",$C4847&lt;&gt;"",$D4847&lt;&gt;"",$E4847&lt;&gt;""),"TXS"&amp;TEXT(COUNTIFS($B$2:$B4847,"&lt;&gt;",$C$2:$C4847,"&lt;&gt;",$D$2:$D4847,"&lt;&gt;",$E$2:$E4847,"&lt;&gt;"),"00000"),""))</f>
        <v/>
      </c>
      <c r="N4847" s="22"/>
    </row>
    <row r="4848" spans="1:14" x14ac:dyDescent="0.3">
      <c r="A4848" s="15" t="str">
        <f>IF(COUNTA($B4848:$E4848,$K4848)=0,"",IF(AND($B4848&lt;&gt;"",$C4848&lt;&gt;"",$D4848&lt;&gt;"",$E4848&lt;&gt;""),"TXS"&amp;TEXT(COUNTIFS($B$2:$B4848,"&lt;&gt;",$C$2:$C4848,"&lt;&gt;",$D$2:$D4848,"&lt;&gt;",$E$2:$E4848,"&lt;&gt;"),"00000"),""))</f>
        <v/>
      </c>
      <c r="N4848" s="22"/>
    </row>
    <row r="4849" spans="1:14" x14ac:dyDescent="0.3">
      <c r="A4849" s="15" t="str">
        <f>IF(COUNTA($B4849:$E4849,$K4849)=0,"",IF(AND($B4849&lt;&gt;"",$C4849&lt;&gt;"",$D4849&lt;&gt;"",$E4849&lt;&gt;""),"TXS"&amp;TEXT(COUNTIFS($B$2:$B4849,"&lt;&gt;",$C$2:$C4849,"&lt;&gt;",$D$2:$D4849,"&lt;&gt;",$E$2:$E4849,"&lt;&gt;"),"00000"),""))</f>
        <v/>
      </c>
      <c r="N4849" s="22"/>
    </row>
    <row r="4850" spans="1:14" x14ac:dyDescent="0.3">
      <c r="A4850" s="15" t="str">
        <f>IF(COUNTA($B4850:$E4850,$K4850)=0,"",IF(AND($B4850&lt;&gt;"",$C4850&lt;&gt;"",$D4850&lt;&gt;"",$E4850&lt;&gt;""),"TXS"&amp;TEXT(COUNTIFS($B$2:$B4850,"&lt;&gt;",$C$2:$C4850,"&lt;&gt;",$D$2:$D4850,"&lt;&gt;",$E$2:$E4850,"&lt;&gt;"),"00000"),""))</f>
        <v/>
      </c>
      <c r="N4850" s="22"/>
    </row>
    <row r="4851" spans="1:14" x14ac:dyDescent="0.3">
      <c r="A4851" s="15" t="str">
        <f>IF(COUNTA($B4851:$E4851,$K4851)=0,"",IF(AND($B4851&lt;&gt;"",$C4851&lt;&gt;"",$D4851&lt;&gt;"",$E4851&lt;&gt;""),"TXS"&amp;TEXT(COUNTIFS($B$2:$B4851,"&lt;&gt;",$C$2:$C4851,"&lt;&gt;",$D$2:$D4851,"&lt;&gt;",$E$2:$E4851,"&lt;&gt;"),"00000"),""))</f>
        <v/>
      </c>
      <c r="N4851" s="22"/>
    </row>
    <row r="4852" spans="1:14" x14ac:dyDescent="0.3">
      <c r="A4852" s="15" t="str">
        <f>IF(COUNTA($B4852:$E4852,$K4852)=0,"",IF(AND($B4852&lt;&gt;"",$C4852&lt;&gt;"",$D4852&lt;&gt;"",$E4852&lt;&gt;""),"TXS"&amp;TEXT(COUNTIFS($B$2:$B4852,"&lt;&gt;",$C$2:$C4852,"&lt;&gt;",$D$2:$D4852,"&lt;&gt;",$E$2:$E4852,"&lt;&gt;"),"00000"),""))</f>
        <v/>
      </c>
      <c r="N4852" s="22"/>
    </row>
    <row r="4853" spans="1:14" x14ac:dyDescent="0.3">
      <c r="A4853" s="15" t="str">
        <f>IF(COUNTA($B4853:$E4853,$K4853)=0,"",IF(AND($B4853&lt;&gt;"",$C4853&lt;&gt;"",$D4853&lt;&gt;"",$E4853&lt;&gt;""),"TXS"&amp;TEXT(COUNTIFS($B$2:$B4853,"&lt;&gt;",$C$2:$C4853,"&lt;&gt;",$D$2:$D4853,"&lt;&gt;",$E$2:$E4853,"&lt;&gt;"),"00000"),""))</f>
        <v/>
      </c>
      <c r="N4853" s="22"/>
    </row>
    <row r="4854" spans="1:14" x14ac:dyDescent="0.3">
      <c r="A4854" s="15" t="str">
        <f>IF(COUNTA($B4854:$E4854,$K4854)=0,"",IF(AND($B4854&lt;&gt;"",$C4854&lt;&gt;"",$D4854&lt;&gt;"",$E4854&lt;&gt;""),"TXS"&amp;TEXT(COUNTIFS($B$2:$B4854,"&lt;&gt;",$C$2:$C4854,"&lt;&gt;",$D$2:$D4854,"&lt;&gt;",$E$2:$E4854,"&lt;&gt;"),"00000"),""))</f>
        <v/>
      </c>
      <c r="N4854" s="22"/>
    </row>
    <row r="4855" spans="1:14" x14ac:dyDescent="0.3">
      <c r="A4855" s="15" t="str">
        <f>IF(COUNTA($B4855:$E4855,$K4855)=0,"",IF(AND($B4855&lt;&gt;"",$C4855&lt;&gt;"",$D4855&lt;&gt;"",$E4855&lt;&gt;""),"TXS"&amp;TEXT(COUNTIFS($B$2:$B4855,"&lt;&gt;",$C$2:$C4855,"&lt;&gt;",$D$2:$D4855,"&lt;&gt;",$E$2:$E4855,"&lt;&gt;"),"00000"),""))</f>
        <v/>
      </c>
      <c r="N4855" s="22"/>
    </row>
    <row r="4856" spans="1:14" x14ac:dyDescent="0.3">
      <c r="A4856" s="15" t="str">
        <f>IF(COUNTA($B4856:$E4856,$K4856)=0,"",IF(AND($B4856&lt;&gt;"",$C4856&lt;&gt;"",$D4856&lt;&gt;"",$E4856&lt;&gt;""),"TXS"&amp;TEXT(COUNTIFS($B$2:$B4856,"&lt;&gt;",$C$2:$C4856,"&lt;&gt;",$D$2:$D4856,"&lt;&gt;",$E$2:$E4856,"&lt;&gt;"),"00000"),""))</f>
        <v/>
      </c>
      <c r="N4856" s="22"/>
    </row>
    <row r="4857" spans="1:14" x14ac:dyDescent="0.3">
      <c r="A4857" s="15" t="str">
        <f>IF(COUNTA($B4857:$E4857,$K4857)=0,"",IF(AND($B4857&lt;&gt;"",$C4857&lt;&gt;"",$D4857&lt;&gt;"",$E4857&lt;&gt;""),"TXS"&amp;TEXT(COUNTIFS($B$2:$B4857,"&lt;&gt;",$C$2:$C4857,"&lt;&gt;",$D$2:$D4857,"&lt;&gt;",$E$2:$E4857,"&lt;&gt;"),"00000"),""))</f>
        <v/>
      </c>
      <c r="N4857" s="22"/>
    </row>
    <row r="4858" spans="1:14" x14ac:dyDescent="0.3">
      <c r="A4858" s="15" t="str">
        <f>IF(COUNTA($B4858:$E4858,$K4858)=0,"",IF(AND($B4858&lt;&gt;"",$C4858&lt;&gt;"",$D4858&lt;&gt;"",$E4858&lt;&gt;""),"TXS"&amp;TEXT(COUNTIFS($B$2:$B4858,"&lt;&gt;",$C$2:$C4858,"&lt;&gt;",$D$2:$D4858,"&lt;&gt;",$E$2:$E4858,"&lt;&gt;"),"00000"),""))</f>
        <v/>
      </c>
      <c r="N4858" s="22"/>
    </row>
    <row r="4859" spans="1:14" x14ac:dyDescent="0.3">
      <c r="A4859" s="15" t="str">
        <f>IF(COUNTA($B4859:$E4859,$K4859)=0,"",IF(AND($B4859&lt;&gt;"",$C4859&lt;&gt;"",$D4859&lt;&gt;"",$E4859&lt;&gt;""),"TXS"&amp;TEXT(COUNTIFS($B$2:$B4859,"&lt;&gt;",$C$2:$C4859,"&lt;&gt;",$D$2:$D4859,"&lt;&gt;",$E$2:$E4859,"&lt;&gt;"),"00000"),""))</f>
        <v/>
      </c>
      <c r="N4859" s="22"/>
    </row>
    <row r="4860" spans="1:14" x14ac:dyDescent="0.3">
      <c r="A4860" s="15" t="str">
        <f>IF(COUNTA($B4860:$E4860,$K4860)=0,"",IF(AND($B4860&lt;&gt;"",$C4860&lt;&gt;"",$D4860&lt;&gt;"",$E4860&lt;&gt;""),"TXS"&amp;TEXT(COUNTIFS($B$2:$B4860,"&lt;&gt;",$C$2:$C4860,"&lt;&gt;",$D$2:$D4860,"&lt;&gt;",$E$2:$E4860,"&lt;&gt;"),"00000"),""))</f>
        <v/>
      </c>
      <c r="N4860" s="22"/>
    </row>
    <row r="4861" spans="1:14" x14ac:dyDescent="0.3">
      <c r="A4861" s="15" t="str">
        <f>IF(COUNTA($B4861:$E4861,$K4861)=0,"",IF(AND($B4861&lt;&gt;"",$C4861&lt;&gt;"",$D4861&lt;&gt;"",$E4861&lt;&gt;""),"TXS"&amp;TEXT(COUNTIFS($B$2:$B4861,"&lt;&gt;",$C$2:$C4861,"&lt;&gt;",$D$2:$D4861,"&lt;&gt;",$E$2:$E4861,"&lt;&gt;"),"00000"),""))</f>
        <v/>
      </c>
      <c r="N4861" s="22"/>
    </row>
    <row r="4862" spans="1:14" x14ac:dyDescent="0.3">
      <c r="A4862" s="15" t="str">
        <f>IF(COUNTA($B4862:$E4862,$K4862)=0,"",IF(AND($B4862&lt;&gt;"",$C4862&lt;&gt;"",$D4862&lt;&gt;"",$E4862&lt;&gt;""),"TXS"&amp;TEXT(COUNTIFS($B$2:$B4862,"&lt;&gt;",$C$2:$C4862,"&lt;&gt;",$D$2:$D4862,"&lt;&gt;",$E$2:$E4862,"&lt;&gt;"),"00000"),""))</f>
        <v/>
      </c>
      <c r="N4862" s="22"/>
    </row>
    <row r="4863" spans="1:14" x14ac:dyDescent="0.3">
      <c r="A4863" s="15" t="str">
        <f>IF(COUNTA($B4863:$E4863,$K4863)=0,"",IF(AND($B4863&lt;&gt;"",$C4863&lt;&gt;"",$D4863&lt;&gt;"",$E4863&lt;&gt;""),"TXS"&amp;TEXT(COUNTIFS($B$2:$B4863,"&lt;&gt;",$C$2:$C4863,"&lt;&gt;",$D$2:$D4863,"&lt;&gt;",$E$2:$E4863,"&lt;&gt;"),"00000"),""))</f>
        <v/>
      </c>
      <c r="N4863" s="22"/>
    </row>
    <row r="4864" spans="1:14" x14ac:dyDescent="0.3">
      <c r="A4864" s="15" t="str">
        <f>IF(COUNTA($B4864:$E4864,$K4864)=0,"",IF(AND($B4864&lt;&gt;"",$C4864&lt;&gt;"",$D4864&lt;&gt;"",$E4864&lt;&gt;""),"TXS"&amp;TEXT(COUNTIFS($B$2:$B4864,"&lt;&gt;",$C$2:$C4864,"&lt;&gt;",$D$2:$D4864,"&lt;&gt;",$E$2:$E4864,"&lt;&gt;"),"00000"),""))</f>
        <v/>
      </c>
      <c r="N4864" s="22"/>
    </row>
    <row r="4865" spans="1:14" x14ac:dyDescent="0.3">
      <c r="A4865" s="15" t="str">
        <f>IF(COUNTA($B4865:$E4865,$K4865)=0,"",IF(AND($B4865&lt;&gt;"",$C4865&lt;&gt;"",$D4865&lt;&gt;"",$E4865&lt;&gt;""),"TXS"&amp;TEXT(COUNTIFS($B$2:$B4865,"&lt;&gt;",$C$2:$C4865,"&lt;&gt;",$D$2:$D4865,"&lt;&gt;",$E$2:$E4865,"&lt;&gt;"),"00000"),""))</f>
        <v/>
      </c>
      <c r="N4865" s="22"/>
    </row>
    <row r="4866" spans="1:14" x14ac:dyDescent="0.3">
      <c r="A4866" s="15" t="str">
        <f>IF(COUNTA($B4866:$E4866,$K4866)=0,"",IF(AND($B4866&lt;&gt;"",$C4866&lt;&gt;"",$D4866&lt;&gt;"",$E4866&lt;&gt;""),"TXS"&amp;TEXT(COUNTIFS($B$2:$B4866,"&lt;&gt;",$C$2:$C4866,"&lt;&gt;",$D$2:$D4866,"&lt;&gt;",$E$2:$E4866,"&lt;&gt;"),"00000"),""))</f>
        <v/>
      </c>
      <c r="N4866" s="22"/>
    </row>
    <row r="4867" spans="1:14" x14ac:dyDescent="0.3">
      <c r="A4867" s="15" t="str">
        <f>IF(COUNTA($B4867:$E4867,$K4867)=0,"",IF(AND($B4867&lt;&gt;"",$C4867&lt;&gt;"",$D4867&lt;&gt;"",$E4867&lt;&gt;""),"TXS"&amp;TEXT(COUNTIFS($B$2:$B4867,"&lt;&gt;",$C$2:$C4867,"&lt;&gt;",$D$2:$D4867,"&lt;&gt;",$E$2:$E4867,"&lt;&gt;"),"00000"),""))</f>
        <v/>
      </c>
      <c r="N4867" s="22"/>
    </row>
    <row r="4868" spans="1:14" x14ac:dyDescent="0.3">
      <c r="A4868" s="15" t="str">
        <f>IF(COUNTA($B4868:$E4868,$K4868)=0,"",IF(AND($B4868&lt;&gt;"",$C4868&lt;&gt;"",$D4868&lt;&gt;"",$E4868&lt;&gt;""),"TXS"&amp;TEXT(COUNTIFS($B$2:$B4868,"&lt;&gt;",$C$2:$C4868,"&lt;&gt;",$D$2:$D4868,"&lt;&gt;",$E$2:$E4868,"&lt;&gt;"),"00000"),""))</f>
        <v/>
      </c>
      <c r="N4868" s="22"/>
    </row>
    <row r="4869" spans="1:14" x14ac:dyDescent="0.3">
      <c r="A4869" s="15" t="str">
        <f>IF(COUNTA($B4869:$E4869,$K4869)=0,"",IF(AND($B4869&lt;&gt;"",$C4869&lt;&gt;"",$D4869&lt;&gt;"",$E4869&lt;&gt;""),"TXS"&amp;TEXT(COUNTIFS($B$2:$B4869,"&lt;&gt;",$C$2:$C4869,"&lt;&gt;",$D$2:$D4869,"&lt;&gt;",$E$2:$E4869,"&lt;&gt;"),"00000"),""))</f>
        <v/>
      </c>
      <c r="N4869" s="22"/>
    </row>
    <row r="4870" spans="1:14" x14ac:dyDescent="0.3">
      <c r="A4870" s="15" t="str">
        <f>IF(COUNTA($B4870:$E4870,$K4870)=0,"",IF(AND($B4870&lt;&gt;"",$C4870&lt;&gt;"",$D4870&lt;&gt;"",$E4870&lt;&gt;""),"TXS"&amp;TEXT(COUNTIFS($B$2:$B4870,"&lt;&gt;",$C$2:$C4870,"&lt;&gt;",$D$2:$D4870,"&lt;&gt;",$E$2:$E4870,"&lt;&gt;"),"00000"),""))</f>
        <v/>
      </c>
      <c r="N4870" s="22"/>
    </row>
    <row r="4871" spans="1:14" x14ac:dyDescent="0.3">
      <c r="A4871" s="15" t="str">
        <f>IF(COUNTA($B4871:$E4871,$K4871)=0,"",IF(AND($B4871&lt;&gt;"",$C4871&lt;&gt;"",$D4871&lt;&gt;"",$E4871&lt;&gt;""),"TXS"&amp;TEXT(COUNTIFS($B$2:$B4871,"&lt;&gt;",$C$2:$C4871,"&lt;&gt;",$D$2:$D4871,"&lt;&gt;",$E$2:$E4871,"&lt;&gt;"),"00000"),""))</f>
        <v/>
      </c>
      <c r="N4871" s="22"/>
    </row>
    <row r="4872" spans="1:14" x14ac:dyDescent="0.3">
      <c r="A4872" s="15" t="str">
        <f>IF(COUNTA($B4872:$E4872,$K4872)=0,"",IF(AND($B4872&lt;&gt;"",$C4872&lt;&gt;"",$D4872&lt;&gt;"",$E4872&lt;&gt;""),"TXS"&amp;TEXT(COUNTIFS($B$2:$B4872,"&lt;&gt;",$C$2:$C4872,"&lt;&gt;",$D$2:$D4872,"&lt;&gt;",$E$2:$E4872,"&lt;&gt;"),"00000"),""))</f>
        <v/>
      </c>
      <c r="N4872" s="22"/>
    </row>
    <row r="4873" spans="1:14" x14ac:dyDescent="0.3">
      <c r="A4873" s="15" t="str">
        <f>IF(COUNTA($B4873:$E4873,$K4873)=0,"",IF(AND($B4873&lt;&gt;"",$C4873&lt;&gt;"",$D4873&lt;&gt;"",$E4873&lt;&gt;""),"TXS"&amp;TEXT(COUNTIFS($B$2:$B4873,"&lt;&gt;",$C$2:$C4873,"&lt;&gt;",$D$2:$D4873,"&lt;&gt;",$E$2:$E4873,"&lt;&gt;"),"00000"),""))</f>
        <v/>
      </c>
      <c r="N4873" s="22"/>
    </row>
    <row r="4874" spans="1:14" x14ac:dyDescent="0.3">
      <c r="A4874" s="15" t="str">
        <f>IF(COUNTA($B4874:$E4874,$K4874)=0,"",IF(AND($B4874&lt;&gt;"",$C4874&lt;&gt;"",$D4874&lt;&gt;"",$E4874&lt;&gt;""),"TXS"&amp;TEXT(COUNTIFS($B$2:$B4874,"&lt;&gt;",$C$2:$C4874,"&lt;&gt;",$D$2:$D4874,"&lt;&gt;",$E$2:$E4874,"&lt;&gt;"),"00000"),""))</f>
        <v/>
      </c>
      <c r="N4874" s="22"/>
    </row>
    <row r="4875" spans="1:14" x14ac:dyDescent="0.3">
      <c r="A4875" s="15" t="str">
        <f>IF(COUNTA($B4875:$E4875,$K4875)=0,"",IF(AND($B4875&lt;&gt;"",$C4875&lt;&gt;"",$D4875&lt;&gt;"",$E4875&lt;&gt;""),"TXS"&amp;TEXT(COUNTIFS($B$2:$B4875,"&lt;&gt;",$C$2:$C4875,"&lt;&gt;",$D$2:$D4875,"&lt;&gt;",$E$2:$E4875,"&lt;&gt;"),"00000"),""))</f>
        <v/>
      </c>
      <c r="N4875" s="22"/>
    </row>
    <row r="4876" spans="1:14" x14ac:dyDescent="0.3">
      <c r="A4876" s="15" t="str">
        <f>IF(COUNTA($B4876:$E4876,$K4876)=0,"",IF(AND($B4876&lt;&gt;"",$C4876&lt;&gt;"",$D4876&lt;&gt;"",$E4876&lt;&gt;""),"TXS"&amp;TEXT(COUNTIFS($B$2:$B4876,"&lt;&gt;",$C$2:$C4876,"&lt;&gt;",$D$2:$D4876,"&lt;&gt;",$E$2:$E4876,"&lt;&gt;"),"00000"),""))</f>
        <v/>
      </c>
      <c r="N4876" s="22"/>
    </row>
    <row r="4877" spans="1:14" x14ac:dyDescent="0.3">
      <c r="A4877" s="15" t="str">
        <f>IF(COUNTA($B4877:$E4877,$K4877)=0,"",IF(AND($B4877&lt;&gt;"",$C4877&lt;&gt;"",$D4877&lt;&gt;"",$E4877&lt;&gt;""),"TXS"&amp;TEXT(COUNTIFS($B$2:$B4877,"&lt;&gt;",$C$2:$C4877,"&lt;&gt;",$D$2:$D4877,"&lt;&gt;",$E$2:$E4877,"&lt;&gt;"),"00000"),""))</f>
        <v/>
      </c>
      <c r="N4877" s="22"/>
    </row>
    <row r="4878" spans="1:14" x14ac:dyDescent="0.3">
      <c r="A4878" s="15" t="str">
        <f>IF(COUNTA($B4878:$E4878,$K4878)=0,"",IF(AND($B4878&lt;&gt;"",$C4878&lt;&gt;"",$D4878&lt;&gt;"",$E4878&lt;&gt;""),"TXS"&amp;TEXT(COUNTIFS($B$2:$B4878,"&lt;&gt;",$C$2:$C4878,"&lt;&gt;",$D$2:$D4878,"&lt;&gt;",$E$2:$E4878,"&lt;&gt;"),"00000"),""))</f>
        <v/>
      </c>
      <c r="N4878" s="22"/>
    </row>
    <row r="4879" spans="1:14" x14ac:dyDescent="0.3">
      <c r="A4879" s="15" t="str">
        <f>IF(COUNTA($B4879:$E4879,$K4879)=0,"",IF(AND($B4879&lt;&gt;"",$C4879&lt;&gt;"",$D4879&lt;&gt;"",$E4879&lt;&gt;""),"TXS"&amp;TEXT(COUNTIFS($B$2:$B4879,"&lt;&gt;",$C$2:$C4879,"&lt;&gt;",$D$2:$D4879,"&lt;&gt;",$E$2:$E4879,"&lt;&gt;"),"00000"),""))</f>
        <v/>
      </c>
      <c r="N4879" s="22"/>
    </row>
    <row r="4880" spans="1:14" x14ac:dyDescent="0.3">
      <c r="A4880" s="15" t="str">
        <f>IF(COUNTA($B4880:$E4880,$K4880)=0,"",IF(AND($B4880&lt;&gt;"",$C4880&lt;&gt;"",$D4880&lt;&gt;"",$E4880&lt;&gt;""),"TXS"&amp;TEXT(COUNTIFS($B$2:$B4880,"&lt;&gt;",$C$2:$C4880,"&lt;&gt;",$D$2:$D4880,"&lt;&gt;",$E$2:$E4880,"&lt;&gt;"),"00000"),""))</f>
        <v/>
      </c>
      <c r="N4880" s="22"/>
    </row>
    <row r="4881" spans="1:14" x14ac:dyDescent="0.3">
      <c r="A4881" s="15" t="str">
        <f>IF(COUNTA($B4881:$E4881,$K4881)=0,"",IF(AND($B4881&lt;&gt;"",$C4881&lt;&gt;"",$D4881&lt;&gt;"",$E4881&lt;&gt;""),"TXS"&amp;TEXT(COUNTIFS($B$2:$B4881,"&lt;&gt;",$C$2:$C4881,"&lt;&gt;",$D$2:$D4881,"&lt;&gt;",$E$2:$E4881,"&lt;&gt;"),"00000"),""))</f>
        <v/>
      </c>
      <c r="N4881" s="22"/>
    </row>
    <row r="4882" spans="1:14" x14ac:dyDescent="0.3">
      <c r="A4882" s="15" t="str">
        <f>IF(COUNTA($B4882:$E4882,$K4882)=0,"",IF(AND($B4882&lt;&gt;"",$C4882&lt;&gt;"",$D4882&lt;&gt;"",$E4882&lt;&gt;""),"TXS"&amp;TEXT(COUNTIFS($B$2:$B4882,"&lt;&gt;",$C$2:$C4882,"&lt;&gt;",$D$2:$D4882,"&lt;&gt;",$E$2:$E4882,"&lt;&gt;"),"00000"),""))</f>
        <v/>
      </c>
      <c r="N4882" s="22"/>
    </row>
    <row r="4883" spans="1:14" x14ac:dyDescent="0.3">
      <c r="A4883" s="15" t="str">
        <f>IF(COUNTA($B4883:$E4883,$K4883)=0,"",IF(AND($B4883&lt;&gt;"",$C4883&lt;&gt;"",$D4883&lt;&gt;"",$E4883&lt;&gt;""),"TXS"&amp;TEXT(COUNTIFS($B$2:$B4883,"&lt;&gt;",$C$2:$C4883,"&lt;&gt;",$D$2:$D4883,"&lt;&gt;",$E$2:$E4883,"&lt;&gt;"),"00000"),""))</f>
        <v/>
      </c>
      <c r="N4883" s="22"/>
    </row>
    <row r="4884" spans="1:14" x14ac:dyDescent="0.3">
      <c r="A4884" s="15" t="str">
        <f>IF(COUNTA($B4884:$E4884,$K4884)=0,"",IF(AND($B4884&lt;&gt;"",$C4884&lt;&gt;"",$D4884&lt;&gt;"",$E4884&lt;&gt;""),"TXS"&amp;TEXT(COUNTIFS($B$2:$B4884,"&lt;&gt;",$C$2:$C4884,"&lt;&gt;",$D$2:$D4884,"&lt;&gt;",$E$2:$E4884,"&lt;&gt;"),"00000"),""))</f>
        <v/>
      </c>
      <c r="N4884" s="22"/>
    </row>
    <row r="4885" spans="1:14" x14ac:dyDescent="0.3">
      <c r="A4885" s="15" t="str">
        <f>IF(COUNTA($B4885:$E4885,$K4885)=0,"",IF(AND($B4885&lt;&gt;"",$C4885&lt;&gt;"",$D4885&lt;&gt;"",$E4885&lt;&gt;""),"TXS"&amp;TEXT(COUNTIFS($B$2:$B4885,"&lt;&gt;",$C$2:$C4885,"&lt;&gt;",$D$2:$D4885,"&lt;&gt;",$E$2:$E4885,"&lt;&gt;"),"00000"),""))</f>
        <v/>
      </c>
      <c r="N4885" s="22"/>
    </row>
    <row r="4886" spans="1:14" x14ac:dyDescent="0.3">
      <c r="A4886" s="15" t="str">
        <f>IF(COUNTA($B4886:$E4886,$K4886)=0,"",IF(AND($B4886&lt;&gt;"",$C4886&lt;&gt;"",$D4886&lt;&gt;"",$E4886&lt;&gt;""),"TXS"&amp;TEXT(COUNTIFS($B$2:$B4886,"&lt;&gt;",$C$2:$C4886,"&lt;&gt;",$D$2:$D4886,"&lt;&gt;",$E$2:$E4886,"&lt;&gt;"),"00000"),""))</f>
        <v/>
      </c>
      <c r="N4886" s="22"/>
    </row>
    <row r="4887" spans="1:14" x14ac:dyDescent="0.3">
      <c r="A4887" s="15" t="str">
        <f>IF(COUNTA($B4887:$E4887,$K4887)=0,"",IF(AND($B4887&lt;&gt;"",$C4887&lt;&gt;"",$D4887&lt;&gt;"",$E4887&lt;&gt;""),"TXS"&amp;TEXT(COUNTIFS($B$2:$B4887,"&lt;&gt;",$C$2:$C4887,"&lt;&gt;",$D$2:$D4887,"&lt;&gt;",$E$2:$E4887,"&lt;&gt;"),"00000"),""))</f>
        <v/>
      </c>
      <c r="N4887" s="22"/>
    </row>
    <row r="4888" spans="1:14" x14ac:dyDescent="0.3">
      <c r="A4888" s="15" t="str">
        <f>IF(COUNTA($B4888:$E4888,$K4888)=0,"",IF(AND($B4888&lt;&gt;"",$C4888&lt;&gt;"",$D4888&lt;&gt;"",$E4888&lt;&gt;""),"TXS"&amp;TEXT(COUNTIFS($B$2:$B4888,"&lt;&gt;",$C$2:$C4888,"&lt;&gt;",$D$2:$D4888,"&lt;&gt;",$E$2:$E4888,"&lt;&gt;"),"00000"),""))</f>
        <v/>
      </c>
      <c r="N4888" s="22"/>
    </row>
    <row r="4889" spans="1:14" x14ac:dyDescent="0.3">
      <c r="A4889" s="15" t="str">
        <f>IF(COUNTA($B4889:$E4889,$K4889)=0,"",IF(AND($B4889&lt;&gt;"",$C4889&lt;&gt;"",$D4889&lt;&gt;"",$E4889&lt;&gt;""),"TXS"&amp;TEXT(COUNTIFS($B$2:$B4889,"&lt;&gt;",$C$2:$C4889,"&lt;&gt;",$D$2:$D4889,"&lt;&gt;",$E$2:$E4889,"&lt;&gt;"),"00000"),""))</f>
        <v/>
      </c>
      <c r="N4889" s="22"/>
    </row>
    <row r="4890" spans="1:14" x14ac:dyDescent="0.3">
      <c r="A4890" s="15" t="str">
        <f>IF(COUNTA($B4890:$E4890,$K4890)=0,"",IF(AND($B4890&lt;&gt;"",$C4890&lt;&gt;"",$D4890&lt;&gt;"",$E4890&lt;&gt;""),"TXS"&amp;TEXT(COUNTIFS($B$2:$B4890,"&lt;&gt;",$C$2:$C4890,"&lt;&gt;",$D$2:$D4890,"&lt;&gt;",$E$2:$E4890,"&lt;&gt;"),"00000"),""))</f>
        <v/>
      </c>
      <c r="N4890" s="22"/>
    </row>
    <row r="4891" spans="1:14" x14ac:dyDescent="0.3">
      <c r="A4891" s="15" t="str">
        <f>IF(COUNTA($B4891:$E4891,$K4891)=0,"",IF(AND($B4891&lt;&gt;"",$C4891&lt;&gt;"",$D4891&lt;&gt;"",$E4891&lt;&gt;""),"TXS"&amp;TEXT(COUNTIFS($B$2:$B4891,"&lt;&gt;",$C$2:$C4891,"&lt;&gt;",$D$2:$D4891,"&lt;&gt;",$E$2:$E4891,"&lt;&gt;"),"00000"),""))</f>
        <v/>
      </c>
      <c r="N4891" s="22"/>
    </row>
    <row r="4892" spans="1:14" x14ac:dyDescent="0.3">
      <c r="A4892" s="15" t="str">
        <f>IF(COUNTA($B4892:$E4892,$K4892)=0,"",IF(AND($B4892&lt;&gt;"",$C4892&lt;&gt;"",$D4892&lt;&gt;"",$E4892&lt;&gt;""),"TXS"&amp;TEXT(COUNTIFS($B$2:$B4892,"&lt;&gt;",$C$2:$C4892,"&lt;&gt;",$D$2:$D4892,"&lt;&gt;",$E$2:$E4892,"&lt;&gt;"),"00000"),""))</f>
        <v/>
      </c>
      <c r="N4892" s="22"/>
    </row>
    <row r="4893" spans="1:14" x14ac:dyDescent="0.3">
      <c r="A4893" s="15" t="str">
        <f>IF(COUNTA($B4893:$E4893,$K4893)=0,"",IF(AND($B4893&lt;&gt;"",$C4893&lt;&gt;"",$D4893&lt;&gt;"",$E4893&lt;&gt;""),"TXS"&amp;TEXT(COUNTIFS($B$2:$B4893,"&lt;&gt;",$C$2:$C4893,"&lt;&gt;",$D$2:$D4893,"&lt;&gt;",$E$2:$E4893,"&lt;&gt;"),"00000"),""))</f>
        <v/>
      </c>
      <c r="N4893" s="22"/>
    </row>
    <row r="4894" spans="1:14" x14ac:dyDescent="0.3">
      <c r="A4894" s="15" t="str">
        <f>IF(COUNTA($B4894:$E4894,$K4894)=0,"",IF(AND($B4894&lt;&gt;"",$C4894&lt;&gt;"",$D4894&lt;&gt;"",$E4894&lt;&gt;""),"TXS"&amp;TEXT(COUNTIFS($B$2:$B4894,"&lt;&gt;",$C$2:$C4894,"&lt;&gt;",$D$2:$D4894,"&lt;&gt;",$E$2:$E4894,"&lt;&gt;"),"00000"),""))</f>
        <v/>
      </c>
      <c r="N4894" s="22"/>
    </row>
    <row r="4895" spans="1:14" x14ac:dyDescent="0.3">
      <c r="A4895" s="15" t="str">
        <f>IF(COUNTA($B4895:$E4895,$K4895)=0,"",IF(AND($B4895&lt;&gt;"",$C4895&lt;&gt;"",$D4895&lt;&gt;"",$E4895&lt;&gt;""),"TXS"&amp;TEXT(COUNTIFS($B$2:$B4895,"&lt;&gt;",$C$2:$C4895,"&lt;&gt;",$D$2:$D4895,"&lt;&gt;",$E$2:$E4895,"&lt;&gt;"),"00000"),""))</f>
        <v/>
      </c>
      <c r="N4895" s="22"/>
    </row>
    <row r="4896" spans="1:14" x14ac:dyDescent="0.3">
      <c r="A4896" s="15" t="str">
        <f>IF(COUNTA($B4896:$E4896,$K4896)=0,"",IF(AND($B4896&lt;&gt;"",$C4896&lt;&gt;"",$D4896&lt;&gt;"",$E4896&lt;&gt;""),"TXS"&amp;TEXT(COUNTIFS($B$2:$B4896,"&lt;&gt;",$C$2:$C4896,"&lt;&gt;",$D$2:$D4896,"&lt;&gt;",$E$2:$E4896,"&lt;&gt;"),"00000"),""))</f>
        <v/>
      </c>
      <c r="N4896" s="22"/>
    </row>
    <row r="4897" spans="1:14" x14ac:dyDescent="0.3">
      <c r="A4897" s="15" t="str">
        <f>IF(COUNTA($B4897:$E4897,$K4897)=0,"",IF(AND($B4897&lt;&gt;"",$C4897&lt;&gt;"",$D4897&lt;&gt;"",$E4897&lt;&gt;""),"TXS"&amp;TEXT(COUNTIFS($B$2:$B4897,"&lt;&gt;",$C$2:$C4897,"&lt;&gt;",$D$2:$D4897,"&lt;&gt;",$E$2:$E4897,"&lt;&gt;"),"00000"),""))</f>
        <v/>
      </c>
      <c r="N4897" s="22"/>
    </row>
    <row r="4898" spans="1:14" x14ac:dyDescent="0.3">
      <c r="A4898" s="15" t="str">
        <f>IF(COUNTA($B4898:$E4898,$K4898)=0,"",IF(AND($B4898&lt;&gt;"",$C4898&lt;&gt;"",$D4898&lt;&gt;"",$E4898&lt;&gt;""),"TXS"&amp;TEXT(COUNTIFS($B$2:$B4898,"&lt;&gt;",$C$2:$C4898,"&lt;&gt;",$D$2:$D4898,"&lt;&gt;",$E$2:$E4898,"&lt;&gt;"),"00000"),""))</f>
        <v/>
      </c>
      <c r="N4898" s="22"/>
    </row>
    <row r="4899" spans="1:14" x14ac:dyDescent="0.3">
      <c r="A4899" s="15" t="str">
        <f>IF(COUNTA($B4899:$E4899,$K4899)=0,"",IF(AND($B4899&lt;&gt;"",$C4899&lt;&gt;"",$D4899&lt;&gt;"",$E4899&lt;&gt;""),"TXS"&amp;TEXT(COUNTIFS($B$2:$B4899,"&lt;&gt;",$C$2:$C4899,"&lt;&gt;",$D$2:$D4899,"&lt;&gt;",$E$2:$E4899,"&lt;&gt;"),"00000"),""))</f>
        <v/>
      </c>
      <c r="N4899" s="22"/>
    </row>
    <row r="4900" spans="1:14" x14ac:dyDescent="0.3">
      <c r="A4900" s="15" t="str">
        <f>IF(COUNTA($B4900:$E4900,$K4900)=0,"",IF(AND($B4900&lt;&gt;"",$C4900&lt;&gt;"",$D4900&lt;&gt;"",$E4900&lt;&gt;""),"TXS"&amp;TEXT(COUNTIFS($B$2:$B4900,"&lt;&gt;",$C$2:$C4900,"&lt;&gt;",$D$2:$D4900,"&lt;&gt;",$E$2:$E4900,"&lt;&gt;"),"00000"),""))</f>
        <v/>
      </c>
      <c r="N4900" s="22"/>
    </row>
    <row r="4901" spans="1:14" x14ac:dyDescent="0.3">
      <c r="A4901" s="15" t="str">
        <f>IF(COUNTA($B4901:$E4901,$K4901)=0,"",IF(AND($B4901&lt;&gt;"",$C4901&lt;&gt;"",$D4901&lt;&gt;"",$E4901&lt;&gt;""),"TXS"&amp;TEXT(COUNTIFS($B$2:$B4901,"&lt;&gt;",$C$2:$C4901,"&lt;&gt;",$D$2:$D4901,"&lt;&gt;",$E$2:$E4901,"&lt;&gt;"),"00000"),""))</f>
        <v/>
      </c>
      <c r="N4901" s="22"/>
    </row>
    <row r="4902" spans="1:14" x14ac:dyDescent="0.3">
      <c r="A4902" s="15" t="str">
        <f>IF(COUNTA($B4902:$E4902,$K4902)=0,"",IF(AND($B4902&lt;&gt;"",$C4902&lt;&gt;"",$D4902&lt;&gt;"",$E4902&lt;&gt;""),"TXS"&amp;TEXT(COUNTIFS($B$2:$B4902,"&lt;&gt;",$C$2:$C4902,"&lt;&gt;",$D$2:$D4902,"&lt;&gt;",$E$2:$E4902,"&lt;&gt;"),"00000"),""))</f>
        <v/>
      </c>
      <c r="N4902" s="22"/>
    </row>
    <row r="4903" spans="1:14" x14ac:dyDescent="0.3">
      <c r="A4903" s="15" t="str">
        <f>IF(COUNTA($B4903:$E4903,$K4903)=0,"",IF(AND($B4903&lt;&gt;"",$C4903&lt;&gt;"",$D4903&lt;&gt;"",$E4903&lt;&gt;""),"TXS"&amp;TEXT(COUNTIFS($B$2:$B4903,"&lt;&gt;",$C$2:$C4903,"&lt;&gt;",$D$2:$D4903,"&lt;&gt;",$E$2:$E4903,"&lt;&gt;"),"00000"),""))</f>
        <v/>
      </c>
      <c r="N4903" s="22"/>
    </row>
    <row r="4904" spans="1:14" x14ac:dyDescent="0.3">
      <c r="A4904" s="15" t="str">
        <f>IF(COUNTA($B4904:$E4904,$K4904)=0,"",IF(AND($B4904&lt;&gt;"",$C4904&lt;&gt;"",$D4904&lt;&gt;"",$E4904&lt;&gt;""),"TXS"&amp;TEXT(COUNTIFS($B$2:$B4904,"&lt;&gt;",$C$2:$C4904,"&lt;&gt;",$D$2:$D4904,"&lt;&gt;",$E$2:$E4904,"&lt;&gt;"),"00000"),""))</f>
        <v/>
      </c>
      <c r="N4904" s="22"/>
    </row>
    <row r="4905" spans="1:14" x14ac:dyDescent="0.3">
      <c r="A4905" s="15" t="str">
        <f>IF(COUNTA($B4905:$E4905,$K4905)=0,"",IF(AND($B4905&lt;&gt;"",$C4905&lt;&gt;"",$D4905&lt;&gt;"",$E4905&lt;&gt;""),"TXS"&amp;TEXT(COUNTIFS($B$2:$B4905,"&lt;&gt;",$C$2:$C4905,"&lt;&gt;",$D$2:$D4905,"&lt;&gt;",$E$2:$E4905,"&lt;&gt;"),"00000"),""))</f>
        <v/>
      </c>
      <c r="N4905" s="22"/>
    </row>
    <row r="4906" spans="1:14" x14ac:dyDescent="0.3">
      <c r="A4906" s="15" t="str">
        <f>IF(COUNTA($B4906:$E4906,$K4906)=0,"",IF(AND($B4906&lt;&gt;"",$C4906&lt;&gt;"",$D4906&lt;&gt;"",$E4906&lt;&gt;""),"TXS"&amp;TEXT(COUNTIFS($B$2:$B4906,"&lt;&gt;",$C$2:$C4906,"&lt;&gt;",$D$2:$D4906,"&lt;&gt;",$E$2:$E4906,"&lt;&gt;"),"00000"),""))</f>
        <v/>
      </c>
      <c r="N4906" s="22"/>
    </row>
    <row r="4907" spans="1:14" x14ac:dyDescent="0.3">
      <c r="A4907" s="15" t="str">
        <f>IF(COUNTA($B4907:$E4907,$K4907)=0,"",IF(AND($B4907&lt;&gt;"",$C4907&lt;&gt;"",$D4907&lt;&gt;"",$E4907&lt;&gt;""),"TXS"&amp;TEXT(COUNTIFS($B$2:$B4907,"&lt;&gt;",$C$2:$C4907,"&lt;&gt;",$D$2:$D4907,"&lt;&gt;",$E$2:$E4907,"&lt;&gt;"),"00000"),""))</f>
        <v/>
      </c>
      <c r="N4907" s="22"/>
    </row>
    <row r="4908" spans="1:14" x14ac:dyDescent="0.3">
      <c r="A4908" s="15" t="str">
        <f>IF(COUNTA($B4908:$E4908,$K4908)=0,"",IF(AND($B4908&lt;&gt;"",$C4908&lt;&gt;"",$D4908&lt;&gt;"",$E4908&lt;&gt;""),"TXS"&amp;TEXT(COUNTIFS($B$2:$B4908,"&lt;&gt;",$C$2:$C4908,"&lt;&gt;",$D$2:$D4908,"&lt;&gt;",$E$2:$E4908,"&lt;&gt;"),"00000"),""))</f>
        <v/>
      </c>
      <c r="N4908" s="22"/>
    </row>
    <row r="4909" spans="1:14" x14ac:dyDescent="0.3">
      <c r="A4909" s="15" t="str">
        <f>IF(COUNTA($B4909:$E4909,$K4909)=0,"",IF(AND($B4909&lt;&gt;"",$C4909&lt;&gt;"",$D4909&lt;&gt;"",$E4909&lt;&gt;""),"TXS"&amp;TEXT(COUNTIFS($B$2:$B4909,"&lt;&gt;",$C$2:$C4909,"&lt;&gt;",$D$2:$D4909,"&lt;&gt;",$E$2:$E4909,"&lt;&gt;"),"00000"),""))</f>
        <v/>
      </c>
      <c r="N4909" s="22"/>
    </row>
    <row r="4910" spans="1:14" x14ac:dyDescent="0.3">
      <c r="A4910" s="15" t="str">
        <f>IF(COUNTA($B4910:$E4910,$K4910)=0,"",IF(AND($B4910&lt;&gt;"",$C4910&lt;&gt;"",$D4910&lt;&gt;"",$E4910&lt;&gt;""),"TXS"&amp;TEXT(COUNTIFS($B$2:$B4910,"&lt;&gt;",$C$2:$C4910,"&lt;&gt;",$D$2:$D4910,"&lt;&gt;",$E$2:$E4910,"&lt;&gt;"),"00000"),""))</f>
        <v/>
      </c>
      <c r="N4910" s="22"/>
    </row>
    <row r="4911" spans="1:14" x14ac:dyDescent="0.3">
      <c r="A4911" s="15" t="str">
        <f>IF(COUNTA($B4911:$E4911,$K4911)=0,"",IF(AND($B4911&lt;&gt;"",$C4911&lt;&gt;"",$D4911&lt;&gt;"",$E4911&lt;&gt;""),"TXS"&amp;TEXT(COUNTIFS($B$2:$B4911,"&lt;&gt;",$C$2:$C4911,"&lt;&gt;",$D$2:$D4911,"&lt;&gt;",$E$2:$E4911,"&lt;&gt;"),"00000"),""))</f>
        <v/>
      </c>
      <c r="N4911" s="22"/>
    </row>
    <row r="4912" spans="1:14" x14ac:dyDescent="0.3">
      <c r="A4912" s="15" t="str">
        <f>IF(COUNTA($B4912:$E4912,$K4912)=0,"",IF(AND($B4912&lt;&gt;"",$C4912&lt;&gt;"",$D4912&lt;&gt;"",$E4912&lt;&gt;""),"TXS"&amp;TEXT(COUNTIFS($B$2:$B4912,"&lt;&gt;",$C$2:$C4912,"&lt;&gt;",$D$2:$D4912,"&lt;&gt;",$E$2:$E4912,"&lt;&gt;"),"00000"),""))</f>
        <v/>
      </c>
      <c r="N4912" s="22"/>
    </row>
    <row r="4913" spans="1:14" x14ac:dyDescent="0.3">
      <c r="A4913" s="15" t="str">
        <f>IF(COUNTA($B4913:$E4913,$K4913)=0,"",IF(AND($B4913&lt;&gt;"",$C4913&lt;&gt;"",$D4913&lt;&gt;"",$E4913&lt;&gt;""),"TXS"&amp;TEXT(COUNTIFS($B$2:$B4913,"&lt;&gt;",$C$2:$C4913,"&lt;&gt;",$D$2:$D4913,"&lt;&gt;",$E$2:$E4913,"&lt;&gt;"),"00000"),""))</f>
        <v/>
      </c>
      <c r="N4913" s="22"/>
    </row>
    <row r="4914" spans="1:14" x14ac:dyDescent="0.3">
      <c r="A4914" s="15" t="str">
        <f>IF(COUNTA($B4914:$E4914,$K4914)=0,"",IF(AND($B4914&lt;&gt;"",$C4914&lt;&gt;"",$D4914&lt;&gt;"",$E4914&lt;&gt;""),"TXS"&amp;TEXT(COUNTIFS($B$2:$B4914,"&lt;&gt;",$C$2:$C4914,"&lt;&gt;",$D$2:$D4914,"&lt;&gt;",$E$2:$E4914,"&lt;&gt;"),"00000"),""))</f>
        <v/>
      </c>
      <c r="N4914" s="22"/>
    </row>
    <row r="4915" spans="1:14" x14ac:dyDescent="0.3">
      <c r="A4915" s="15" t="str">
        <f>IF(COUNTA($B4915:$E4915,$K4915)=0,"",IF(AND($B4915&lt;&gt;"",$C4915&lt;&gt;"",$D4915&lt;&gt;"",$E4915&lt;&gt;""),"TXS"&amp;TEXT(COUNTIFS($B$2:$B4915,"&lt;&gt;",$C$2:$C4915,"&lt;&gt;",$D$2:$D4915,"&lt;&gt;",$E$2:$E4915,"&lt;&gt;"),"00000"),""))</f>
        <v/>
      </c>
      <c r="N4915" s="22"/>
    </row>
    <row r="4916" spans="1:14" x14ac:dyDescent="0.3">
      <c r="A4916" s="15" t="str">
        <f>IF(COUNTA($B4916:$E4916,$K4916)=0,"",IF(AND($B4916&lt;&gt;"",$C4916&lt;&gt;"",$D4916&lt;&gt;"",$E4916&lt;&gt;""),"TXS"&amp;TEXT(COUNTIFS($B$2:$B4916,"&lt;&gt;",$C$2:$C4916,"&lt;&gt;",$D$2:$D4916,"&lt;&gt;",$E$2:$E4916,"&lt;&gt;"),"00000"),""))</f>
        <v/>
      </c>
      <c r="N4916" s="22"/>
    </row>
    <row r="4917" spans="1:14" x14ac:dyDescent="0.3">
      <c r="A4917" s="15" t="str">
        <f>IF(COUNTA($B4917:$E4917,$K4917)=0,"",IF(AND($B4917&lt;&gt;"",$C4917&lt;&gt;"",$D4917&lt;&gt;"",$E4917&lt;&gt;""),"TXS"&amp;TEXT(COUNTIFS($B$2:$B4917,"&lt;&gt;",$C$2:$C4917,"&lt;&gt;",$D$2:$D4917,"&lt;&gt;",$E$2:$E4917,"&lt;&gt;"),"00000"),""))</f>
        <v/>
      </c>
      <c r="N4917" s="22"/>
    </row>
    <row r="4918" spans="1:14" x14ac:dyDescent="0.3">
      <c r="A4918" s="15" t="str">
        <f>IF(COUNTA($B4918:$E4918,$K4918)=0,"",IF(AND($B4918&lt;&gt;"",$C4918&lt;&gt;"",$D4918&lt;&gt;"",$E4918&lt;&gt;""),"TXS"&amp;TEXT(COUNTIFS($B$2:$B4918,"&lt;&gt;",$C$2:$C4918,"&lt;&gt;",$D$2:$D4918,"&lt;&gt;",$E$2:$E4918,"&lt;&gt;"),"00000"),""))</f>
        <v/>
      </c>
      <c r="N4918" s="22"/>
    </row>
    <row r="4919" spans="1:14" x14ac:dyDescent="0.3">
      <c r="A4919" s="15" t="str">
        <f>IF(COUNTA($B4919:$E4919,$K4919)=0,"",IF(AND($B4919&lt;&gt;"",$C4919&lt;&gt;"",$D4919&lt;&gt;"",$E4919&lt;&gt;""),"TXS"&amp;TEXT(COUNTIFS($B$2:$B4919,"&lt;&gt;",$C$2:$C4919,"&lt;&gt;",$D$2:$D4919,"&lt;&gt;",$E$2:$E4919,"&lt;&gt;"),"00000"),""))</f>
        <v/>
      </c>
      <c r="N4919" s="22"/>
    </row>
    <row r="4920" spans="1:14" x14ac:dyDescent="0.3">
      <c r="A4920" s="15" t="str">
        <f>IF(COUNTA($B4920:$E4920,$K4920)=0,"",IF(AND($B4920&lt;&gt;"",$C4920&lt;&gt;"",$D4920&lt;&gt;"",$E4920&lt;&gt;""),"TXS"&amp;TEXT(COUNTIFS($B$2:$B4920,"&lt;&gt;",$C$2:$C4920,"&lt;&gt;",$D$2:$D4920,"&lt;&gt;",$E$2:$E4920,"&lt;&gt;"),"00000"),""))</f>
        <v/>
      </c>
      <c r="N4920" s="22"/>
    </row>
    <row r="4921" spans="1:14" x14ac:dyDescent="0.3">
      <c r="A4921" s="15" t="str">
        <f>IF(COUNTA($B4921:$E4921,$K4921)=0,"",IF(AND($B4921&lt;&gt;"",$C4921&lt;&gt;"",$D4921&lt;&gt;"",$E4921&lt;&gt;""),"TXS"&amp;TEXT(COUNTIFS($B$2:$B4921,"&lt;&gt;",$C$2:$C4921,"&lt;&gt;",$D$2:$D4921,"&lt;&gt;",$E$2:$E4921,"&lt;&gt;"),"00000"),""))</f>
        <v/>
      </c>
      <c r="N4921" s="22"/>
    </row>
    <row r="4922" spans="1:14" x14ac:dyDescent="0.3">
      <c r="A4922" s="15" t="str">
        <f>IF(COUNTA($B4922:$E4922,$K4922)=0,"",IF(AND($B4922&lt;&gt;"",$C4922&lt;&gt;"",$D4922&lt;&gt;"",$E4922&lt;&gt;""),"TXS"&amp;TEXT(COUNTIFS($B$2:$B4922,"&lt;&gt;",$C$2:$C4922,"&lt;&gt;",$D$2:$D4922,"&lt;&gt;",$E$2:$E4922,"&lt;&gt;"),"00000"),""))</f>
        <v/>
      </c>
      <c r="N4922" s="22"/>
    </row>
    <row r="4923" spans="1:14" x14ac:dyDescent="0.3">
      <c r="A4923" s="15" t="str">
        <f>IF(COUNTA($B4923:$E4923,$K4923)=0,"",IF(AND($B4923&lt;&gt;"",$C4923&lt;&gt;"",$D4923&lt;&gt;"",$E4923&lt;&gt;""),"TXS"&amp;TEXT(COUNTIFS($B$2:$B4923,"&lt;&gt;",$C$2:$C4923,"&lt;&gt;",$D$2:$D4923,"&lt;&gt;",$E$2:$E4923,"&lt;&gt;"),"00000"),""))</f>
        <v/>
      </c>
      <c r="N4923" s="22"/>
    </row>
    <row r="4924" spans="1:14" x14ac:dyDescent="0.3">
      <c r="A4924" s="15" t="str">
        <f>IF(COUNTA($B4924:$E4924,$K4924)=0,"",IF(AND($B4924&lt;&gt;"",$C4924&lt;&gt;"",$D4924&lt;&gt;"",$E4924&lt;&gt;""),"TXS"&amp;TEXT(COUNTIFS($B$2:$B4924,"&lt;&gt;",$C$2:$C4924,"&lt;&gt;",$D$2:$D4924,"&lt;&gt;",$E$2:$E4924,"&lt;&gt;"),"00000"),""))</f>
        <v/>
      </c>
      <c r="N4924" s="22"/>
    </row>
    <row r="4925" spans="1:14" x14ac:dyDescent="0.3">
      <c r="A4925" s="15" t="str">
        <f>IF(COUNTA($B4925:$E4925,$K4925)=0,"",IF(AND($B4925&lt;&gt;"",$C4925&lt;&gt;"",$D4925&lt;&gt;"",$E4925&lt;&gt;""),"TXS"&amp;TEXT(COUNTIFS($B$2:$B4925,"&lt;&gt;",$C$2:$C4925,"&lt;&gt;",$D$2:$D4925,"&lt;&gt;",$E$2:$E4925,"&lt;&gt;"),"00000"),""))</f>
        <v/>
      </c>
      <c r="N4925" s="22"/>
    </row>
    <row r="4926" spans="1:14" x14ac:dyDescent="0.3">
      <c r="A4926" s="15" t="str">
        <f>IF(COUNTA($B4926:$E4926,$K4926)=0,"",IF(AND($B4926&lt;&gt;"",$C4926&lt;&gt;"",$D4926&lt;&gt;"",$E4926&lt;&gt;""),"TXS"&amp;TEXT(COUNTIFS($B$2:$B4926,"&lt;&gt;",$C$2:$C4926,"&lt;&gt;",$D$2:$D4926,"&lt;&gt;",$E$2:$E4926,"&lt;&gt;"),"00000"),""))</f>
        <v/>
      </c>
      <c r="N4926" s="22"/>
    </row>
    <row r="4927" spans="1:14" x14ac:dyDescent="0.3">
      <c r="A4927" s="15" t="str">
        <f>IF(COUNTA($B4927:$E4927,$K4927)=0,"",IF(AND($B4927&lt;&gt;"",$C4927&lt;&gt;"",$D4927&lt;&gt;"",$E4927&lt;&gt;""),"TXS"&amp;TEXT(COUNTIFS($B$2:$B4927,"&lt;&gt;",$C$2:$C4927,"&lt;&gt;",$D$2:$D4927,"&lt;&gt;",$E$2:$E4927,"&lt;&gt;"),"00000"),""))</f>
        <v/>
      </c>
      <c r="N4927" s="22"/>
    </row>
    <row r="4928" spans="1:14" x14ac:dyDescent="0.3">
      <c r="A4928" s="15" t="str">
        <f>IF(COUNTA($B4928:$E4928,$K4928)=0,"",IF(AND($B4928&lt;&gt;"",$C4928&lt;&gt;"",$D4928&lt;&gt;"",$E4928&lt;&gt;""),"TXS"&amp;TEXT(COUNTIFS($B$2:$B4928,"&lt;&gt;",$C$2:$C4928,"&lt;&gt;",$D$2:$D4928,"&lt;&gt;",$E$2:$E4928,"&lt;&gt;"),"00000"),""))</f>
        <v/>
      </c>
      <c r="N4928" s="22"/>
    </row>
    <row r="4929" spans="1:14" x14ac:dyDescent="0.3">
      <c r="A4929" s="15" t="str">
        <f>IF(COUNTA($B4929:$E4929,$K4929)=0,"",IF(AND($B4929&lt;&gt;"",$C4929&lt;&gt;"",$D4929&lt;&gt;"",$E4929&lt;&gt;""),"TXS"&amp;TEXT(COUNTIFS($B$2:$B4929,"&lt;&gt;",$C$2:$C4929,"&lt;&gt;",$D$2:$D4929,"&lt;&gt;",$E$2:$E4929,"&lt;&gt;"),"00000"),""))</f>
        <v/>
      </c>
      <c r="N4929" s="22"/>
    </row>
    <row r="4930" spans="1:14" x14ac:dyDescent="0.3">
      <c r="A4930" s="15" t="str">
        <f>IF(COUNTA($B4930:$E4930,$K4930)=0,"",IF(AND($B4930&lt;&gt;"",$C4930&lt;&gt;"",$D4930&lt;&gt;"",$E4930&lt;&gt;""),"TXS"&amp;TEXT(COUNTIFS($B$2:$B4930,"&lt;&gt;",$C$2:$C4930,"&lt;&gt;",$D$2:$D4930,"&lt;&gt;",$E$2:$E4930,"&lt;&gt;"),"00000"),""))</f>
        <v/>
      </c>
      <c r="N4930" s="22"/>
    </row>
    <row r="4931" spans="1:14" x14ac:dyDescent="0.3">
      <c r="A4931" s="15" t="str">
        <f>IF(COUNTA($B4931:$E4931,$K4931)=0,"",IF(AND($B4931&lt;&gt;"",$C4931&lt;&gt;"",$D4931&lt;&gt;"",$E4931&lt;&gt;""),"TXS"&amp;TEXT(COUNTIFS($B$2:$B4931,"&lt;&gt;",$C$2:$C4931,"&lt;&gt;",$D$2:$D4931,"&lt;&gt;",$E$2:$E4931,"&lt;&gt;"),"00000"),""))</f>
        <v/>
      </c>
      <c r="N4931" s="22"/>
    </row>
    <row r="4932" spans="1:14" x14ac:dyDescent="0.3">
      <c r="A4932" s="15" t="str">
        <f>IF(COUNTA($B4932:$E4932,$K4932)=0,"",IF(AND($B4932&lt;&gt;"",$C4932&lt;&gt;"",$D4932&lt;&gt;"",$E4932&lt;&gt;""),"TXS"&amp;TEXT(COUNTIFS($B$2:$B4932,"&lt;&gt;",$C$2:$C4932,"&lt;&gt;",$D$2:$D4932,"&lt;&gt;",$E$2:$E4932,"&lt;&gt;"),"00000"),""))</f>
        <v/>
      </c>
      <c r="N4932" s="22"/>
    </row>
    <row r="4933" spans="1:14" x14ac:dyDescent="0.3">
      <c r="A4933" s="15" t="str">
        <f>IF(COUNTA($B4933:$E4933,$K4933)=0,"",IF(AND($B4933&lt;&gt;"",$C4933&lt;&gt;"",$D4933&lt;&gt;"",$E4933&lt;&gt;""),"TXS"&amp;TEXT(COUNTIFS($B$2:$B4933,"&lt;&gt;",$C$2:$C4933,"&lt;&gt;",$D$2:$D4933,"&lt;&gt;",$E$2:$E4933,"&lt;&gt;"),"00000"),""))</f>
        <v/>
      </c>
      <c r="N4933" s="22"/>
    </row>
    <row r="4934" spans="1:14" x14ac:dyDescent="0.3">
      <c r="A4934" s="15" t="str">
        <f>IF(COUNTA($B4934:$E4934,$K4934)=0,"",IF(AND($B4934&lt;&gt;"",$C4934&lt;&gt;"",$D4934&lt;&gt;"",$E4934&lt;&gt;""),"TXS"&amp;TEXT(COUNTIFS($B$2:$B4934,"&lt;&gt;",$C$2:$C4934,"&lt;&gt;",$D$2:$D4934,"&lt;&gt;",$E$2:$E4934,"&lt;&gt;"),"00000"),""))</f>
        <v/>
      </c>
      <c r="N4934" s="22"/>
    </row>
    <row r="4935" spans="1:14" x14ac:dyDescent="0.3">
      <c r="A4935" s="15" t="str">
        <f>IF(COUNTA($B4935:$E4935,$K4935)=0,"",IF(AND($B4935&lt;&gt;"",$C4935&lt;&gt;"",$D4935&lt;&gt;"",$E4935&lt;&gt;""),"TXS"&amp;TEXT(COUNTIFS($B$2:$B4935,"&lt;&gt;",$C$2:$C4935,"&lt;&gt;",$D$2:$D4935,"&lt;&gt;",$E$2:$E4935,"&lt;&gt;"),"00000"),""))</f>
        <v/>
      </c>
      <c r="N4935" s="22"/>
    </row>
    <row r="4936" spans="1:14" x14ac:dyDescent="0.3">
      <c r="A4936" s="15" t="str">
        <f>IF(COUNTA($B4936:$E4936,$K4936)=0,"",IF(AND($B4936&lt;&gt;"",$C4936&lt;&gt;"",$D4936&lt;&gt;"",$E4936&lt;&gt;""),"TXS"&amp;TEXT(COUNTIFS($B$2:$B4936,"&lt;&gt;",$C$2:$C4936,"&lt;&gt;",$D$2:$D4936,"&lt;&gt;",$E$2:$E4936,"&lt;&gt;"),"00000"),""))</f>
        <v/>
      </c>
      <c r="N4936" s="22"/>
    </row>
    <row r="4937" spans="1:14" x14ac:dyDescent="0.3">
      <c r="A4937" s="15" t="str">
        <f>IF(COUNTA($B4937:$E4937,$K4937)=0,"",IF(AND($B4937&lt;&gt;"",$C4937&lt;&gt;"",$D4937&lt;&gt;"",$E4937&lt;&gt;""),"TXS"&amp;TEXT(COUNTIFS($B$2:$B4937,"&lt;&gt;",$C$2:$C4937,"&lt;&gt;",$D$2:$D4937,"&lt;&gt;",$E$2:$E4937,"&lt;&gt;"),"00000"),""))</f>
        <v/>
      </c>
      <c r="N4937" s="22"/>
    </row>
    <row r="4938" spans="1:14" x14ac:dyDescent="0.3">
      <c r="A4938" s="15" t="str">
        <f>IF(COUNTA($B4938:$E4938,$K4938)=0,"",IF(AND($B4938&lt;&gt;"",$C4938&lt;&gt;"",$D4938&lt;&gt;"",$E4938&lt;&gt;""),"TXS"&amp;TEXT(COUNTIFS($B$2:$B4938,"&lt;&gt;",$C$2:$C4938,"&lt;&gt;",$D$2:$D4938,"&lt;&gt;",$E$2:$E4938,"&lt;&gt;"),"00000"),""))</f>
        <v/>
      </c>
      <c r="N4938" s="22"/>
    </row>
    <row r="4939" spans="1:14" x14ac:dyDescent="0.3">
      <c r="A4939" s="15" t="str">
        <f>IF(COUNTA($B4939:$E4939,$K4939)=0,"",IF(AND($B4939&lt;&gt;"",$C4939&lt;&gt;"",$D4939&lt;&gt;"",$E4939&lt;&gt;""),"TXS"&amp;TEXT(COUNTIFS($B$2:$B4939,"&lt;&gt;",$C$2:$C4939,"&lt;&gt;",$D$2:$D4939,"&lt;&gt;",$E$2:$E4939,"&lt;&gt;"),"00000"),""))</f>
        <v/>
      </c>
      <c r="N4939" s="22"/>
    </row>
    <row r="4940" spans="1:14" x14ac:dyDescent="0.3">
      <c r="A4940" s="15" t="str">
        <f>IF(COUNTA($B4940:$E4940,$K4940)=0,"",IF(AND($B4940&lt;&gt;"",$C4940&lt;&gt;"",$D4940&lt;&gt;"",$E4940&lt;&gt;""),"TXS"&amp;TEXT(COUNTIFS($B$2:$B4940,"&lt;&gt;",$C$2:$C4940,"&lt;&gt;",$D$2:$D4940,"&lt;&gt;",$E$2:$E4940,"&lt;&gt;"),"00000"),""))</f>
        <v/>
      </c>
      <c r="N4940" s="22"/>
    </row>
    <row r="4941" spans="1:14" x14ac:dyDescent="0.3">
      <c r="A4941" s="15" t="str">
        <f>IF(COUNTA($B4941:$E4941,$K4941)=0,"",IF(AND($B4941&lt;&gt;"",$C4941&lt;&gt;"",$D4941&lt;&gt;"",$E4941&lt;&gt;""),"TXS"&amp;TEXT(COUNTIFS($B$2:$B4941,"&lt;&gt;",$C$2:$C4941,"&lt;&gt;",$D$2:$D4941,"&lt;&gt;",$E$2:$E4941,"&lt;&gt;"),"00000"),""))</f>
        <v/>
      </c>
      <c r="N4941" s="22"/>
    </row>
    <row r="4942" spans="1:14" x14ac:dyDescent="0.3">
      <c r="A4942" s="15" t="str">
        <f>IF(COUNTA($B4942:$E4942,$K4942)=0,"",IF(AND($B4942&lt;&gt;"",$C4942&lt;&gt;"",$D4942&lt;&gt;"",$E4942&lt;&gt;""),"TXS"&amp;TEXT(COUNTIFS($B$2:$B4942,"&lt;&gt;",$C$2:$C4942,"&lt;&gt;",$D$2:$D4942,"&lt;&gt;",$E$2:$E4942,"&lt;&gt;"),"00000"),""))</f>
        <v/>
      </c>
      <c r="N4942" s="22"/>
    </row>
    <row r="4943" spans="1:14" x14ac:dyDescent="0.3">
      <c r="A4943" s="15" t="str">
        <f>IF(COUNTA($B4943:$E4943,$K4943)=0,"",IF(AND($B4943&lt;&gt;"",$C4943&lt;&gt;"",$D4943&lt;&gt;"",$E4943&lt;&gt;""),"TXS"&amp;TEXT(COUNTIFS($B$2:$B4943,"&lt;&gt;",$C$2:$C4943,"&lt;&gt;",$D$2:$D4943,"&lt;&gt;",$E$2:$E4943,"&lt;&gt;"),"00000"),""))</f>
        <v/>
      </c>
      <c r="N4943" s="22"/>
    </row>
    <row r="4944" spans="1:14" x14ac:dyDescent="0.3">
      <c r="A4944" s="15" t="str">
        <f>IF(COUNTA($B4944:$E4944,$K4944)=0,"",IF(AND($B4944&lt;&gt;"",$C4944&lt;&gt;"",$D4944&lt;&gt;"",$E4944&lt;&gt;""),"TXS"&amp;TEXT(COUNTIFS($B$2:$B4944,"&lt;&gt;",$C$2:$C4944,"&lt;&gt;",$D$2:$D4944,"&lt;&gt;",$E$2:$E4944,"&lt;&gt;"),"00000"),""))</f>
        <v/>
      </c>
      <c r="N4944" s="22"/>
    </row>
    <row r="4945" spans="1:14" x14ac:dyDescent="0.3">
      <c r="A4945" s="15" t="str">
        <f>IF(COUNTA($B4945:$E4945,$K4945)=0,"",IF(AND($B4945&lt;&gt;"",$C4945&lt;&gt;"",$D4945&lt;&gt;"",$E4945&lt;&gt;""),"TXS"&amp;TEXT(COUNTIFS($B$2:$B4945,"&lt;&gt;",$C$2:$C4945,"&lt;&gt;",$D$2:$D4945,"&lt;&gt;",$E$2:$E4945,"&lt;&gt;"),"00000"),""))</f>
        <v/>
      </c>
      <c r="N4945" s="22"/>
    </row>
    <row r="4946" spans="1:14" x14ac:dyDescent="0.3">
      <c r="A4946" s="15" t="str">
        <f>IF(COUNTA($B4946:$E4946,$K4946)=0,"",IF(AND($B4946&lt;&gt;"",$C4946&lt;&gt;"",$D4946&lt;&gt;"",$E4946&lt;&gt;""),"TXS"&amp;TEXT(COUNTIFS($B$2:$B4946,"&lt;&gt;",$C$2:$C4946,"&lt;&gt;",$D$2:$D4946,"&lt;&gt;",$E$2:$E4946,"&lt;&gt;"),"00000"),""))</f>
        <v/>
      </c>
      <c r="N4946" s="22"/>
    </row>
    <row r="4947" spans="1:14" x14ac:dyDescent="0.3">
      <c r="A4947" s="15" t="str">
        <f>IF(COUNTA($B4947:$E4947,$K4947)=0,"",IF(AND($B4947&lt;&gt;"",$C4947&lt;&gt;"",$D4947&lt;&gt;"",$E4947&lt;&gt;""),"TXS"&amp;TEXT(COUNTIFS($B$2:$B4947,"&lt;&gt;",$C$2:$C4947,"&lt;&gt;",$D$2:$D4947,"&lt;&gt;",$E$2:$E4947,"&lt;&gt;"),"00000"),""))</f>
        <v/>
      </c>
      <c r="N4947" s="22"/>
    </row>
    <row r="4948" spans="1:14" x14ac:dyDescent="0.3">
      <c r="A4948" s="15" t="str">
        <f>IF(COUNTA($B4948:$E4948,$K4948)=0,"",IF(AND($B4948&lt;&gt;"",$C4948&lt;&gt;"",$D4948&lt;&gt;"",$E4948&lt;&gt;""),"TXS"&amp;TEXT(COUNTIFS($B$2:$B4948,"&lt;&gt;",$C$2:$C4948,"&lt;&gt;",$D$2:$D4948,"&lt;&gt;",$E$2:$E4948,"&lt;&gt;"),"00000"),""))</f>
        <v/>
      </c>
      <c r="N4948" s="22"/>
    </row>
    <row r="4949" spans="1:14" x14ac:dyDescent="0.3">
      <c r="A4949" s="15" t="str">
        <f>IF(COUNTA($B4949:$E4949,$K4949)=0,"",IF(AND($B4949&lt;&gt;"",$C4949&lt;&gt;"",$D4949&lt;&gt;"",$E4949&lt;&gt;""),"TXS"&amp;TEXT(COUNTIFS($B$2:$B4949,"&lt;&gt;",$C$2:$C4949,"&lt;&gt;",$D$2:$D4949,"&lt;&gt;",$E$2:$E4949,"&lt;&gt;"),"00000"),""))</f>
        <v/>
      </c>
      <c r="N4949" s="22"/>
    </row>
    <row r="4950" spans="1:14" x14ac:dyDescent="0.3">
      <c r="A4950" s="15" t="str">
        <f>IF(COUNTA($B4950:$E4950,$K4950)=0,"",IF(AND($B4950&lt;&gt;"",$C4950&lt;&gt;"",$D4950&lt;&gt;"",$E4950&lt;&gt;""),"TXS"&amp;TEXT(COUNTIFS($B$2:$B4950,"&lt;&gt;",$C$2:$C4950,"&lt;&gt;",$D$2:$D4950,"&lt;&gt;",$E$2:$E4950,"&lt;&gt;"),"00000"),""))</f>
        <v/>
      </c>
      <c r="N4950" s="22"/>
    </row>
    <row r="4951" spans="1:14" x14ac:dyDescent="0.3">
      <c r="A4951" s="15" t="str">
        <f>IF(COUNTA($B4951:$E4951,$K4951)=0,"",IF(AND($B4951&lt;&gt;"",$C4951&lt;&gt;"",$D4951&lt;&gt;"",$E4951&lt;&gt;""),"TXS"&amp;TEXT(COUNTIFS($B$2:$B4951,"&lt;&gt;",$C$2:$C4951,"&lt;&gt;",$D$2:$D4951,"&lt;&gt;",$E$2:$E4951,"&lt;&gt;"),"00000"),""))</f>
        <v/>
      </c>
      <c r="N4951" s="22"/>
    </row>
    <row r="4952" spans="1:14" x14ac:dyDescent="0.3">
      <c r="A4952" s="15" t="str">
        <f>IF(COUNTA($B4952:$E4952,$K4952)=0,"",IF(AND($B4952&lt;&gt;"",$C4952&lt;&gt;"",$D4952&lt;&gt;"",$E4952&lt;&gt;""),"TXS"&amp;TEXT(COUNTIFS($B$2:$B4952,"&lt;&gt;",$C$2:$C4952,"&lt;&gt;",$D$2:$D4952,"&lt;&gt;",$E$2:$E4952,"&lt;&gt;"),"00000"),""))</f>
        <v/>
      </c>
      <c r="N4952" s="22"/>
    </row>
    <row r="4953" spans="1:14" x14ac:dyDescent="0.3">
      <c r="A4953" s="15" t="str">
        <f>IF(COUNTA($B4953:$E4953,$K4953)=0,"",IF(AND($B4953&lt;&gt;"",$C4953&lt;&gt;"",$D4953&lt;&gt;"",$E4953&lt;&gt;""),"TXS"&amp;TEXT(COUNTIFS($B$2:$B4953,"&lt;&gt;",$C$2:$C4953,"&lt;&gt;",$D$2:$D4953,"&lt;&gt;",$E$2:$E4953,"&lt;&gt;"),"00000"),""))</f>
        <v/>
      </c>
      <c r="N4953" s="22"/>
    </row>
    <row r="4954" spans="1:14" x14ac:dyDescent="0.3">
      <c r="A4954" s="15" t="str">
        <f>IF(COUNTA($B4954:$E4954,$K4954)=0,"",IF(AND($B4954&lt;&gt;"",$C4954&lt;&gt;"",$D4954&lt;&gt;"",$E4954&lt;&gt;""),"TXS"&amp;TEXT(COUNTIFS($B$2:$B4954,"&lt;&gt;",$C$2:$C4954,"&lt;&gt;",$D$2:$D4954,"&lt;&gt;",$E$2:$E4954,"&lt;&gt;"),"00000"),""))</f>
        <v/>
      </c>
      <c r="N4954" s="22"/>
    </row>
    <row r="4955" spans="1:14" x14ac:dyDescent="0.3">
      <c r="A4955" s="15" t="str">
        <f>IF(COUNTA($B4955:$E4955,$K4955)=0,"",IF(AND($B4955&lt;&gt;"",$C4955&lt;&gt;"",$D4955&lt;&gt;"",$E4955&lt;&gt;""),"TXS"&amp;TEXT(COUNTIFS($B$2:$B4955,"&lt;&gt;",$C$2:$C4955,"&lt;&gt;",$D$2:$D4955,"&lt;&gt;",$E$2:$E4955,"&lt;&gt;"),"00000"),""))</f>
        <v/>
      </c>
      <c r="N4955" s="22"/>
    </row>
    <row r="4956" spans="1:14" x14ac:dyDescent="0.3">
      <c r="A4956" s="15" t="str">
        <f>IF(COUNTA($B4956:$E4956,$K4956)=0,"",IF(AND($B4956&lt;&gt;"",$C4956&lt;&gt;"",$D4956&lt;&gt;"",$E4956&lt;&gt;""),"TXS"&amp;TEXT(COUNTIFS($B$2:$B4956,"&lt;&gt;",$C$2:$C4956,"&lt;&gt;",$D$2:$D4956,"&lt;&gt;",$E$2:$E4956,"&lt;&gt;"),"00000"),""))</f>
        <v/>
      </c>
      <c r="N4956" s="22"/>
    </row>
    <row r="4957" spans="1:14" x14ac:dyDescent="0.3">
      <c r="A4957" s="15" t="str">
        <f>IF(COUNTA($B4957:$E4957,$K4957)=0,"",IF(AND($B4957&lt;&gt;"",$C4957&lt;&gt;"",$D4957&lt;&gt;"",$E4957&lt;&gt;""),"TXS"&amp;TEXT(COUNTIFS($B$2:$B4957,"&lt;&gt;",$C$2:$C4957,"&lt;&gt;",$D$2:$D4957,"&lt;&gt;",$E$2:$E4957,"&lt;&gt;"),"00000"),""))</f>
        <v/>
      </c>
      <c r="N4957" s="22"/>
    </row>
    <row r="4958" spans="1:14" x14ac:dyDescent="0.3">
      <c r="A4958" s="15" t="str">
        <f>IF(COUNTA($B4958:$E4958,$K4958)=0,"",IF(AND($B4958&lt;&gt;"",$C4958&lt;&gt;"",$D4958&lt;&gt;"",$E4958&lt;&gt;""),"TXS"&amp;TEXT(COUNTIFS($B$2:$B4958,"&lt;&gt;",$C$2:$C4958,"&lt;&gt;",$D$2:$D4958,"&lt;&gt;",$E$2:$E4958,"&lt;&gt;"),"00000"),""))</f>
        <v/>
      </c>
      <c r="N4958" s="22"/>
    </row>
    <row r="4959" spans="1:14" x14ac:dyDescent="0.3">
      <c r="A4959" s="15" t="str">
        <f>IF(COUNTA($B4959:$E4959,$K4959)=0,"",IF(AND($B4959&lt;&gt;"",$C4959&lt;&gt;"",$D4959&lt;&gt;"",$E4959&lt;&gt;""),"TXS"&amp;TEXT(COUNTIFS($B$2:$B4959,"&lt;&gt;",$C$2:$C4959,"&lt;&gt;",$D$2:$D4959,"&lt;&gt;",$E$2:$E4959,"&lt;&gt;"),"00000"),""))</f>
        <v/>
      </c>
      <c r="N4959" s="22"/>
    </row>
    <row r="4960" spans="1:14" x14ac:dyDescent="0.3">
      <c r="A4960" s="15" t="str">
        <f>IF(COUNTA($B4960:$E4960,$K4960)=0,"",IF(AND($B4960&lt;&gt;"",$C4960&lt;&gt;"",$D4960&lt;&gt;"",$E4960&lt;&gt;""),"TXS"&amp;TEXT(COUNTIFS($B$2:$B4960,"&lt;&gt;",$C$2:$C4960,"&lt;&gt;",$D$2:$D4960,"&lt;&gt;",$E$2:$E4960,"&lt;&gt;"),"00000"),""))</f>
        <v/>
      </c>
      <c r="N4960" s="22"/>
    </row>
    <row r="4961" spans="1:14" x14ac:dyDescent="0.3">
      <c r="A4961" s="15" t="str">
        <f>IF(COUNTA($B4961:$E4961,$K4961)=0,"",IF(AND($B4961&lt;&gt;"",$C4961&lt;&gt;"",$D4961&lt;&gt;"",$E4961&lt;&gt;""),"TXS"&amp;TEXT(COUNTIFS($B$2:$B4961,"&lt;&gt;",$C$2:$C4961,"&lt;&gt;",$D$2:$D4961,"&lt;&gt;",$E$2:$E4961,"&lt;&gt;"),"00000"),""))</f>
        <v/>
      </c>
      <c r="N4961" s="22"/>
    </row>
    <row r="4962" spans="1:14" x14ac:dyDescent="0.3">
      <c r="A4962" s="15" t="str">
        <f>IF(COUNTA($B4962:$E4962,$K4962)=0,"",IF(AND($B4962&lt;&gt;"",$C4962&lt;&gt;"",$D4962&lt;&gt;"",$E4962&lt;&gt;""),"TXS"&amp;TEXT(COUNTIFS($B$2:$B4962,"&lt;&gt;",$C$2:$C4962,"&lt;&gt;",$D$2:$D4962,"&lt;&gt;",$E$2:$E4962,"&lt;&gt;"),"00000"),""))</f>
        <v/>
      </c>
      <c r="N4962" s="22"/>
    </row>
    <row r="4963" spans="1:14" x14ac:dyDescent="0.3">
      <c r="A4963" s="15" t="str">
        <f>IF(COUNTA($B4963:$E4963,$K4963)=0,"",IF(AND($B4963&lt;&gt;"",$C4963&lt;&gt;"",$D4963&lt;&gt;"",$E4963&lt;&gt;""),"TXS"&amp;TEXT(COUNTIFS($B$2:$B4963,"&lt;&gt;",$C$2:$C4963,"&lt;&gt;",$D$2:$D4963,"&lt;&gt;",$E$2:$E4963,"&lt;&gt;"),"00000"),""))</f>
        <v/>
      </c>
      <c r="N4963" s="22"/>
    </row>
    <row r="4964" spans="1:14" x14ac:dyDescent="0.3">
      <c r="A4964" s="15" t="str">
        <f>IF(COUNTA($B4964:$E4964,$K4964)=0,"",IF(AND($B4964&lt;&gt;"",$C4964&lt;&gt;"",$D4964&lt;&gt;"",$E4964&lt;&gt;""),"TXS"&amp;TEXT(COUNTIFS($B$2:$B4964,"&lt;&gt;",$C$2:$C4964,"&lt;&gt;",$D$2:$D4964,"&lt;&gt;",$E$2:$E4964,"&lt;&gt;"),"00000"),""))</f>
        <v/>
      </c>
      <c r="N4964" s="22"/>
    </row>
    <row r="4965" spans="1:14" x14ac:dyDescent="0.3">
      <c r="A4965" s="15" t="str">
        <f>IF(COUNTA($B4965:$E4965,$K4965)=0,"",IF(AND($B4965&lt;&gt;"",$C4965&lt;&gt;"",$D4965&lt;&gt;"",$E4965&lt;&gt;""),"TXS"&amp;TEXT(COUNTIFS($B$2:$B4965,"&lt;&gt;",$C$2:$C4965,"&lt;&gt;",$D$2:$D4965,"&lt;&gt;",$E$2:$E4965,"&lt;&gt;"),"00000"),""))</f>
        <v/>
      </c>
      <c r="N4965" s="22"/>
    </row>
    <row r="4966" spans="1:14" x14ac:dyDescent="0.3">
      <c r="A4966" s="15" t="str">
        <f>IF(COUNTA($B4966:$E4966,$K4966)=0,"",IF(AND($B4966&lt;&gt;"",$C4966&lt;&gt;"",$D4966&lt;&gt;"",$E4966&lt;&gt;""),"TXS"&amp;TEXT(COUNTIFS($B$2:$B4966,"&lt;&gt;",$C$2:$C4966,"&lt;&gt;",$D$2:$D4966,"&lt;&gt;",$E$2:$E4966,"&lt;&gt;"),"00000"),""))</f>
        <v/>
      </c>
      <c r="N4966" s="22"/>
    </row>
    <row r="4967" spans="1:14" x14ac:dyDescent="0.3">
      <c r="A4967" s="15" t="str">
        <f>IF(COUNTA($B4967:$E4967,$K4967)=0,"",IF(AND($B4967&lt;&gt;"",$C4967&lt;&gt;"",$D4967&lt;&gt;"",$E4967&lt;&gt;""),"TXS"&amp;TEXT(COUNTIFS($B$2:$B4967,"&lt;&gt;",$C$2:$C4967,"&lt;&gt;",$D$2:$D4967,"&lt;&gt;",$E$2:$E4967,"&lt;&gt;"),"00000"),""))</f>
        <v/>
      </c>
      <c r="N4967" s="22"/>
    </row>
    <row r="4968" spans="1:14" x14ac:dyDescent="0.3">
      <c r="A4968" s="15" t="str">
        <f>IF(COUNTA($B4968:$E4968,$K4968)=0,"",IF(AND($B4968&lt;&gt;"",$C4968&lt;&gt;"",$D4968&lt;&gt;"",$E4968&lt;&gt;""),"TXS"&amp;TEXT(COUNTIFS($B$2:$B4968,"&lt;&gt;",$C$2:$C4968,"&lt;&gt;",$D$2:$D4968,"&lt;&gt;",$E$2:$E4968,"&lt;&gt;"),"00000"),""))</f>
        <v/>
      </c>
      <c r="N4968" s="22"/>
    </row>
    <row r="4969" spans="1:14" x14ac:dyDescent="0.3">
      <c r="A4969" s="15" t="str">
        <f>IF(COUNTA($B4969:$E4969,$K4969)=0,"",IF(AND($B4969&lt;&gt;"",$C4969&lt;&gt;"",$D4969&lt;&gt;"",$E4969&lt;&gt;""),"TXS"&amp;TEXT(COUNTIFS($B$2:$B4969,"&lt;&gt;",$C$2:$C4969,"&lt;&gt;",$D$2:$D4969,"&lt;&gt;",$E$2:$E4969,"&lt;&gt;"),"00000"),""))</f>
        <v/>
      </c>
      <c r="N4969" s="22"/>
    </row>
    <row r="4970" spans="1:14" x14ac:dyDescent="0.3">
      <c r="A4970" s="15" t="str">
        <f>IF(COUNTA($B4970:$E4970,$K4970)=0,"",IF(AND($B4970&lt;&gt;"",$C4970&lt;&gt;"",$D4970&lt;&gt;"",$E4970&lt;&gt;""),"TXS"&amp;TEXT(COUNTIFS($B$2:$B4970,"&lt;&gt;",$C$2:$C4970,"&lt;&gt;",$D$2:$D4970,"&lt;&gt;",$E$2:$E4970,"&lt;&gt;"),"00000"),""))</f>
        <v/>
      </c>
      <c r="N4970" s="22"/>
    </row>
    <row r="4971" spans="1:14" x14ac:dyDescent="0.3">
      <c r="A4971" s="15" t="str">
        <f>IF(COUNTA($B4971:$E4971,$K4971)=0,"",IF(AND($B4971&lt;&gt;"",$C4971&lt;&gt;"",$D4971&lt;&gt;"",$E4971&lt;&gt;""),"TXS"&amp;TEXT(COUNTIFS($B$2:$B4971,"&lt;&gt;",$C$2:$C4971,"&lt;&gt;",$D$2:$D4971,"&lt;&gt;",$E$2:$E4971,"&lt;&gt;"),"00000"),""))</f>
        <v/>
      </c>
      <c r="N4971" s="22"/>
    </row>
    <row r="4972" spans="1:14" x14ac:dyDescent="0.3">
      <c r="A4972" s="15" t="str">
        <f>IF(COUNTA($B4972:$E4972,$K4972)=0,"",IF(AND($B4972&lt;&gt;"",$C4972&lt;&gt;"",$D4972&lt;&gt;"",$E4972&lt;&gt;""),"TXS"&amp;TEXT(COUNTIFS($B$2:$B4972,"&lt;&gt;",$C$2:$C4972,"&lt;&gt;",$D$2:$D4972,"&lt;&gt;",$E$2:$E4972,"&lt;&gt;"),"00000"),""))</f>
        <v/>
      </c>
      <c r="N4972" s="22"/>
    </row>
    <row r="4973" spans="1:14" x14ac:dyDescent="0.3">
      <c r="A4973" s="15" t="str">
        <f>IF(COUNTA($B4973:$E4973,$K4973)=0,"",IF(AND($B4973&lt;&gt;"",$C4973&lt;&gt;"",$D4973&lt;&gt;"",$E4973&lt;&gt;""),"TXS"&amp;TEXT(COUNTIFS($B$2:$B4973,"&lt;&gt;",$C$2:$C4973,"&lt;&gt;",$D$2:$D4973,"&lt;&gt;",$E$2:$E4973,"&lt;&gt;"),"00000"),""))</f>
        <v/>
      </c>
      <c r="N4973" s="22"/>
    </row>
    <row r="4974" spans="1:14" x14ac:dyDescent="0.3">
      <c r="A4974" s="15" t="str">
        <f>IF(COUNTA($B4974:$E4974,$K4974)=0,"",IF(AND($B4974&lt;&gt;"",$C4974&lt;&gt;"",$D4974&lt;&gt;"",$E4974&lt;&gt;""),"TXS"&amp;TEXT(COUNTIFS($B$2:$B4974,"&lt;&gt;",$C$2:$C4974,"&lt;&gt;",$D$2:$D4974,"&lt;&gt;",$E$2:$E4974,"&lt;&gt;"),"00000"),""))</f>
        <v/>
      </c>
      <c r="N4974" s="22"/>
    </row>
    <row r="4975" spans="1:14" x14ac:dyDescent="0.3">
      <c r="A4975" s="15" t="str">
        <f>IF(COUNTA($B4975:$E4975,$K4975)=0,"",IF(AND($B4975&lt;&gt;"",$C4975&lt;&gt;"",$D4975&lt;&gt;"",$E4975&lt;&gt;""),"TXS"&amp;TEXT(COUNTIFS($B$2:$B4975,"&lt;&gt;",$C$2:$C4975,"&lt;&gt;",$D$2:$D4975,"&lt;&gt;",$E$2:$E4975,"&lt;&gt;"),"00000"),""))</f>
        <v/>
      </c>
      <c r="N4975" s="22"/>
    </row>
    <row r="4976" spans="1:14" x14ac:dyDescent="0.3">
      <c r="A4976" s="15" t="str">
        <f>IF(COUNTA($B4976:$E4976,$K4976)=0,"",IF(AND($B4976&lt;&gt;"",$C4976&lt;&gt;"",$D4976&lt;&gt;"",$E4976&lt;&gt;""),"TXS"&amp;TEXT(COUNTIFS($B$2:$B4976,"&lt;&gt;",$C$2:$C4976,"&lt;&gt;",$D$2:$D4976,"&lt;&gt;",$E$2:$E4976,"&lt;&gt;"),"00000"),""))</f>
        <v/>
      </c>
      <c r="N4976" s="22"/>
    </row>
    <row r="4977" spans="1:14" x14ac:dyDescent="0.3">
      <c r="A4977" s="15" t="str">
        <f>IF(COUNTA($B4977:$E4977,$K4977)=0,"",IF(AND($B4977&lt;&gt;"",$C4977&lt;&gt;"",$D4977&lt;&gt;"",$E4977&lt;&gt;""),"TXS"&amp;TEXT(COUNTIFS($B$2:$B4977,"&lt;&gt;",$C$2:$C4977,"&lt;&gt;",$D$2:$D4977,"&lt;&gt;",$E$2:$E4977,"&lt;&gt;"),"00000"),""))</f>
        <v/>
      </c>
      <c r="N4977" s="22"/>
    </row>
    <row r="4978" spans="1:14" x14ac:dyDescent="0.3">
      <c r="A4978" s="15" t="str">
        <f>IF(COUNTA($B4978:$E4978,$K4978)=0,"",IF(AND($B4978&lt;&gt;"",$C4978&lt;&gt;"",$D4978&lt;&gt;"",$E4978&lt;&gt;""),"TXS"&amp;TEXT(COUNTIFS($B$2:$B4978,"&lt;&gt;",$C$2:$C4978,"&lt;&gt;",$D$2:$D4978,"&lt;&gt;",$E$2:$E4978,"&lt;&gt;"),"00000"),""))</f>
        <v/>
      </c>
      <c r="N4978" s="22"/>
    </row>
    <row r="4979" spans="1:14" x14ac:dyDescent="0.3">
      <c r="A4979" s="15" t="str">
        <f>IF(COUNTA($B4979:$E4979,$K4979)=0,"",IF(AND($B4979&lt;&gt;"",$C4979&lt;&gt;"",$D4979&lt;&gt;"",$E4979&lt;&gt;""),"TXS"&amp;TEXT(COUNTIFS($B$2:$B4979,"&lt;&gt;",$C$2:$C4979,"&lt;&gt;",$D$2:$D4979,"&lt;&gt;",$E$2:$E4979,"&lt;&gt;"),"00000"),""))</f>
        <v/>
      </c>
      <c r="N4979" s="22"/>
    </row>
    <row r="4980" spans="1:14" x14ac:dyDescent="0.3">
      <c r="A4980" s="15" t="str">
        <f>IF(COUNTA($B4980:$E4980,$K4980)=0,"",IF(AND($B4980&lt;&gt;"",$C4980&lt;&gt;"",$D4980&lt;&gt;"",$E4980&lt;&gt;""),"TXS"&amp;TEXT(COUNTIFS($B$2:$B4980,"&lt;&gt;",$C$2:$C4980,"&lt;&gt;",$D$2:$D4980,"&lt;&gt;",$E$2:$E4980,"&lt;&gt;"),"00000"),""))</f>
        <v/>
      </c>
      <c r="N4980" s="22"/>
    </row>
    <row r="4981" spans="1:14" x14ac:dyDescent="0.3">
      <c r="A4981" s="15" t="str">
        <f>IF(COUNTA($B4981:$E4981,$K4981)=0,"",IF(AND($B4981&lt;&gt;"",$C4981&lt;&gt;"",$D4981&lt;&gt;"",$E4981&lt;&gt;""),"TXS"&amp;TEXT(COUNTIFS($B$2:$B4981,"&lt;&gt;",$C$2:$C4981,"&lt;&gt;",$D$2:$D4981,"&lt;&gt;",$E$2:$E4981,"&lt;&gt;"),"00000"),""))</f>
        <v/>
      </c>
      <c r="N4981" s="22"/>
    </row>
    <row r="4982" spans="1:14" x14ac:dyDescent="0.3">
      <c r="A4982" s="15" t="str">
        <f>IF(COUNTA($B4982:$E4982,$K4982)=0,"",IF(AND($B4982&lt;&gt;"",$C4982&lt;&gt;"",$D4982&lt;&gt;"",$E4982&lt;&gt;""),"TXS"&amp;TEXT(COUNTIFS($B$2:$B4982,"&lt;&gt;",$C$2:$C4982,"&lt;&gt;",$D$2:$D4982,"&lt;&gt;",$E$2:$E4982,"&lt;&gt;"),"00000"),""))</f>
        <v/>
      </c>
      <c r="N4982" s="22"/>
    </row>
    <row r="4983" spans="1:14" x14ac:dyDescent="0.3">
      <c r="A4983" s="15" t="str">
        <f>IF(COUNTA($B4983:$E4983,$K4983)=0,"",IF(AND($B4983&lt;&gt;"",$C4983&lt;&gt;"",$D4983&lt;&gt;"",$E4983&lt;&gt;""),"TXS"&amp;TEXT(COUNTIFS($B$2:$B4983,"&lt;&gt;",$C$2:$C4983,"&lt;&gt;",$D$2:$D4983,"&lt;&gt;",$E$2:$E4983,"&lt;&gt;"),"00000"),""))</f>
        <v/>
      </c>
      <c r="N4983" s="22"/>
    </row>
    <row r="4984" spans="1:14" x14ac:dyDescent="0.3">
      <c r="A4984" s="15" t="str">
        <f>IF(COUNTA($B4984:$E4984,$K4984)=0,"",IF(AND($B4984&lt;&gt;"",$C4984&lt;&gt;"",$D4984&lt;&gt;"",$E4984&lt;&gt;""),"TXS"&amp;TEXT(COUNTIFS($B$2:$B4984,"&lt;&gt;",$C$2:$C4984,"&lt;&gt;",$D$2:$D4984,"&lt;&gt;",$E$2:$E4984,"&lt;&gt;"),"00000"),""))</f>
        <v/>
      </c>
      <c r="N4984" s="22"/>
    </row>
    <row r="4985" spans="1:14" x14ac:dyDescent="0.3">
      <c r="A4985" s="15" t="str">
        <f>IF(COUNTA($B4985:$E4985,$K4985)=0,"",IF(AND($B4985&lt;&gt;"",$C4985&lt;&gt;"",$D4985&lt;&gt;"",$E4985&lt;&gt;""),"TXS"&amp;TEXT(COUNTIFS($B$2:$B4985,"&lt;&gt;",$C$2:$C4985,"&lt;&gt;",$D$2:$D4985,"&lt;&gt;",$E$2:$E4985,"&lt;&gt;"),"00000"),""))</f>
        <v/>
      </c>
      <c r="N4985" s="22"/>
    </row>
    <row r="4986" spans="1:14" x14ac:dyDescent="0.3">
      <c r="A4986" s="15" t="str">
        <f>IF(COUNTA($B4986:$E4986,$K4986)=0,"",IF(AND($B4986&lt;&gt;"",$C4986&lt;&gt;"",$D4986&lt;&gt;"",$E4986&lt;&gt;""),"TXS"&amp;TEXT(COUNTIFS($B$2:$B4986,"&lt;&gt;",$C$2:$C4986,"&lt;&gt;",$D$2:$D4986,"&lt;&gt;",$E$2:$E4986,"&lt;&gt;"),"00000"),""))</f>
        <v/>
      </c>
      <c r="N4986" s="22"/>
    </row>
    <row r="4987" spans="1:14" x14ac:dyDescent="0.3">
      <c r="A4987" s="15" t="str">
        <f>IF(COUNTA($B4987:$E4987,$K4987)=0,"",IF(AND($B4987&lt;&gt;"",$C4987&lt;&gt;"",$D4987&lt;&gt;"",$E4987&lt;&gt;""),"TXS"&amp;TEXT(COUNTIFS($B$2:$B4987,"&lt;&gt;",$C$2:$C4987,"&lt;&gt;",$D$2:$D4987,"&lt;&gt;",$E$2:$E4987,"&lt;&gt;"),"00000"),""))</f>
        <v/>
      </c>
      <c r="N4987" s="22"/>
    </row>
    <row r="4988" spans="1:14" x14ac:dyDescent="0.3">
      <c r="A4988" s="15" t="str">
        <f>IF(COUNTA($B4988:$E4988,$K4988)=0,"",IF(AND($B4988&lt;&gt;"",$C4988&lt;&gt;"",$D4988&lt;&gt;"",$E4988&lt;&gt;""),"TXS"&amp;TEXT(COUNTIFS($B$2:$B4988,"&lt;&gt;",$C$2:$C4988,"&lt;&gt;",$D$2:$D4988,"&lt;&gt;",$E$2:$E4988,"&lt;&gt;"),"00000"),""))</f>
        <v/>
      </c>
      <c r="N4988" s="22"/>
    </row>
    <row r="4989" spans="1:14" x14ac:dyDescent="0.3">
      <c r="A4989" s="15" t="str">
        <f>IF(COUNTA($B4989:$E4989,$K4989)=0,"",IF(AND($B4989&lt;&gt;"",$C4989&lt;&gt;"",$D4989&lt;&gt;"",$E4989&lt;&gt;""),"TXS"&amp;TEXT(COUNTIFS($B$2:$B4989,"&lt;&gt;",$C$2:$C4989,"&lt;&gt;",$D$2:$D4989,"&lt;&gt;",$E$2:$E4989,"&lt;&gt;"),"00000"),""))</f>
        <v/>
      </c>
      <c r="N4989" s="22"/>
    </row>
    <row r="4990" spans="1:14" x14ac:dyDescent="0.3">
      <c r="A4990" s="15" t="str">
        <f>IF(COUNTA($B4990:$E4990,$K4990)=0,"",IF(AND($B4990&lt;&gt;"",$C4990&lt;&gt;"",$D4990&lt;&gt;"",$E4990&lt;&gt;""),"TXS"&amp;TEXT(COUNTIFS($B$2:$B4990,"&lt;&gt;",$C$2:$C4990,"&lt;&gt;",$D$2:$D4990,"&lt;&gt;",$E$2:$E4990,"&lt;&gt;"),"00000"),""))</f>
        <v/>
      </c>
      <c r="N4990" s="22"/>
    </row>
    <row r="4991" spans="1:14" x14ac:dyDescent="0.3">
      <c r="A4991" s="15" t="str">
        <f>IF(COUNTA($B4991:$E4991,$K4991)=0,"",IF(AND($B4991&lt;&gt;"",$C4991&lt;&gt;"",$D4991&lt;&gt;"",$E4991&lt;&gt;""),"TXS"&amp;TEXT(COUNTIFS($B$2:$B4991,"&lt;&gt;",$C$2:$C4991,"&lt;&gt;",$D$2:$D4991,"&lt;&gt;",$E$2:$E4991,"&lt;&gt;"),"00000"),""))</f>
        <v/>
      </c>
      <c r="N4991" s="22"/>
    </row>
    <row r="4992" spans="1:14" x14ac:dyDescent="0.3">
      <c r="A4992" s="15" t="str">
        <f>IF(COUNTA($B4992:$E4992,$K4992)=0,"",IF(AND($B4992&lt;&gt;"",$C4992&lt;&gt;"",$D4992&lt;&gt;"",$E4992&lt;&gt;""),"TXS"&amp;TEXT(COUNTIFS($B$2:$B4992,"&lt;&gt;",$C$2:$C4992,"&lt;&gt;",$D$2:$D4992,"&lt;&gt;",$E$2:$E4992,"&lt;&gt;"),"00000"),""))</f>
        <v/>
      </c>
      <c r="N4992" s="22"/>
    </row>
    <row r="4993" spans="1:14" x14ac:dyDescent="0.3">
      <c r="A4993" s="15" t="str">
        <f>IF(COUNTA($B4993:$E4993,$K4993)=0,"",IF(AND($B4993&lt;&gt;"",$C4993&lt;&gt;"",$D4993&lt;&gt;"",$E4993&lt;&gt;""),"TXS"&amp;TEXT(COUNTIFS($B$2:$B4993,"&lt;&gt;",$C$2:$C4993,"&lt;&gt;",$D$2:$D4993,"&lt;&gt;",$E$2:$E4993,"&lt;&gt;"),"00000"),""))</f>
        <v/>
      </c>
      <c r="N4993" s="22"/>
    </row>
    <row r="4994" spans="1:14" x14ac:dyDescent="0.3">
      <c r="A4994" s="15" t="str">
        <f>IF(COUNTA($B4994:$E4994,$K4994)=0,"",IF(AND($B4994&lt;&gt;"",$C4994&lt;&gt;"",$D4994&lt;&gt;"",$E4994&lt;&gt;""),"TXS"&amp;TEXT(COUNTIFS($B$2:$B4994,"&lt;&gt;",$C$2:$C4994,"&lt;&gt;",$D$2:$D4994,"&lt;&gt;",$E$2:$E4994,"&lt;&gt;"),"00000"),""))</f>
        <v/>
      </c>
      <c r="N4994" s="22"/>
    </row>
    <row r="4995" spans="1:14" x14ac:dyDescent="0.3">
      <c r="A4995" s="15" t="str">
        <f>IF(COUNTA($B4995:$E4995,$K4995)=0,"",IF(AND($B4995&lt;&gt;"",$C4995&lt;&gt;"",$D4995&lt;&gt;"",$E4995&lt;&gt;""),"TXS"&amp;TEXT(COUNTIFS($B$2:$B4995,"&lt;&gt;",$C$2:$C4995,"&lt;&gt;",$D$2:$D4995,"&lt;&gt;",$E$2:$E4995,"&lt;&gt;"),"00000"),""))</f>
        <v/>
      </c>
      <c r="N4995" s="22"/>
    </row>
    <row r="4996" spans="1:14" x14ac:dyDescent="0.3">
      <c r="A4996" s="15" t="str">
        <f>IF(COUNTA($B4996:$E4996,$K4996)=0,"",IF(AND($B4996&lt;&gt;"",$C4996&lt;&gt;"",$D4996&lt;&gt;"",$E4996&lt;&gt;""),"TXS"&amp;TEXT(COUNTIFS($B$2:$B4996,"&lt;&gt;",$C$2:$C4996,"&lt;&gt;",$D$2:$D4996,"&lt;&gt;",$E$2:$E4996,"&lt;&gt;"),"00000"),""))</f>
        <v/>
      </c>
      <c r="N4996" s="22"/>
    </row>
    <row r="4997" spans="1:14" x14ac:dyDescent="0.3">
      <c r="A4997" s="15" t="str">
        <f>IF(COUNTA($B4997:$E4997,$K4997)=0,"",IF(AND($B4997&lt;&gt;"",$C4997&lt;&gt;"",$D4997&lt;&gt;"",$E4997&lt;&gt;""),"TXS"&amp;TEXT(COUNTIFS($B$2:$B4997,"&lt;&gt;",$C$2:$C4997,"&lt;&gt;",$D$2:$D4997,"&lt;&gt;",$E$2:$E4997,"&lt;&gt;"),"00000"),""))</f>
        <v/>
      </c>
      <c r="N4997" s="22"/>
    </row>
    <row r="4998" spans="1:14" x14ac:dyDescent="0.3">
      <c r="A4998" s="15" t="str">
        <f>IF(COUNTA($B4998:$E4998,$K4998)=0,"",IF(AND($B4998&lt;&gt;"",$C4998&lt;&gt;"",$D4998&lt;&gt;"",$E4998&lt;&gt;""),"TXS"&amp;TEXT(COUNTIFS($B$2:$B4998,"&lt;&gt;",$C$2:$C4998,"&lt;&gt;",$D$2:$D4998,"&lt;&gt;",$E$2:$E4998,"&lt;&gt;"),"00000"),""))</f>
        <v/>
      </c>
      <c r="N4998" s="22"/>
    </row>
    <row r="4999" spans="1:14" x14ac:dyDescent="0.3">
      <c r="A4999" s="15" t="str">
        <f>IF(COUNTA($B4999:$E4999,$K4999)=0,"",IF(AND($B4999&lt;&gt;"",$C4999&lt;&gt;"",$D4999&lt;&gt;"",$E4999&lt;&gt;""),"TXS"&amp;TEXT(COUNTIFS($B$2:$B4999,"&lt;&gt;",$C$2:$C4999,"&lt;&gt;",$D$2:$D4999,"&lt;&gt;",$E$2:$E4999,"&lt;&gt;"),"00000"),""))</f>
        <v/>
      </c>
      <c r="N4999" s="22"/>
    </row>
    <row r="5000" spans="1:14" x14ac:dyDescent="0.3">
      <c r="A5000" s="15" t="str">
        <f>IF(COUNTA($B5000:$E5000,$K5000)=0,"",IF(AND($B5000&lt;&gt;"",$C5000&lt;&gt;"",$D5000&lt;&gt;"",$E5000&lt;&gt;""),"TXS"&amp;TEXT(COUNTIFS($B$2:$B5000,"&lt;&gt;",$C$2:$C5000,"&lt;&gt;",$D$2:$D5000,"&lt;&gt;",$E$2:$E5000,"&lt;&gt;"),"00000"),""))</f>
        <v/>
      </c>
      <c r="N5000" s="22"/>
    </row>
    <row r="5001" spans="1:14" x14ac:dyDescent="0.3">
      <c r="A5001" s="15" t="str">
        <f>IF(COUNTA($B5001:$E5001,$K5001)=0,"",IF(AND($B5001&lt;&gt;"",$C5001&lt;&gt;"",$D5001&lt;&gt;"",$E5001&lt;&gt;""),"TXS"&amp;TEXT(COUNTIFS($B$2:$B5001,"&lt;&gt;",$C$2:$C5001,"&lt;&gt;",$D$2:$D5001,"&lt;&gt;",$E$2:$E5001,"&lt;&gt;"),"00000"),""))</f>
        <v/>
      </c>
      <c r="N5001" s="22"/>
    </row>
    <row r="5002" spans="1:14" x14ac:dyDescent="0.3">
      <c r="A5002" s="15" t="str">
        <f>IF(COUNTA($B5002:$E5002,$K5002)=0,"",IF(AND($B5002&lt;&gt;"",$C5002&lt;&gt;"",$D5002&lt;&gt;"",$E5002&lt;&gt;""),"TXS"&amp;TEXT(COUNTIFS($B$2:$B5002,"&lt;&gt;",$C$2:$C5002,"&lt;&gt;",$D$2:$D5002,"&lt;&gt;",$E$2:$E5002,"&lt;&gt;"),"00000"),""))</f>
        <v/>
      </c>
      <c r="N5002" s="22"/>
    </row>
    <row r="5003" spans="1:14" x14ac:dyDescent="0.3">
      <c r="A5003" s="15" t="str">
        <f>IF(COUNTA($B5003:$E5003,$K5003)=0,"",IF(AND($B5003&lt;&gt;"",$C5003&lt;&gt;"",$D5003&lt;&gt;"",$E5003&lt;&gt;""),"TXS"&amp;TEXT(COUNTIFS($B$2:$B5003,"&lt;&gt;",$C$2:$C5003,"&lt;&gt;",$D$2:$D5003,"&lt;&gt;",$E$2:$E5003,"&lt;&gt;"),"00000"),""))</f>
        <v/>
      </c>
      <c r="N5003" s="22"/>
    </row>
    <row r="5004" spans="1:14" x14ac:dyDescent="0.3">
      <c r="A5004" s="15" t="str">
        <f>IF(COUNTA($B5004:$E5004,$K5004)=0,"",IF(AND($B5004&lt;&gt;"",$C5004&lt;&gt;"",$D5004&lt;&gt;"",$E5004&lt;&gt;""),"TXS"&amp;TEXT(COUNTIFS($B$2:$B5004,"&lt;&gt;",$C$2:$C5004,"&lt;&gt;",$D$2:$D5004,"&lt;&gt;",$E$2:$E5004,"&lt;&gt;"),"00000"),""))</f>
        <v/>
      </c>
      <c r="N5004" s="22"/>
    </row>
    <row r="5005" spans="1:14" x14ac:dyDescent="0.3">
      <c r="A5005" s="15" t="str">
        <f>IF(COUNTA($B5005:$E5005,$K5005)=0,"",IF(AND($B5005&lt;&gt;"",$C5005&lt;&gt;"",$D5005&lt;&gt;"",$E5005&lt;&gt;""),"TXS"&amp;TEXT(COUNTIFS($B$2:$B5005,"&lt;&gt;",$C$2:$C5005,"&lt;&gt;",$D$2:$D5005,"&lt;&gt;",$E$2:$E5005,"&lt;&gt;"),"00000"),""))</f>
        <v/>
      </c>
      <c r="N5005" s="22"/>
    </row>
    <row r="5006" spans="1:14" x14ac:dyDescent="0.3">
      <c r="A5006" s="15" t="str">
        <f>IF(COUNTA($B5006:$E5006,$K5006)=0,"",IF(AND($B5006&lt;&gt;"",$C5006&lt;&gt;"",$D5006&lt;&gt;"",$E5006&lt;&gt;""),"TXS"&amp;TEXT(COUNTIFS($B$2:$B5006,"&lt;&gt;",$C$2:$C5006,"&lt;&gt;",$D$2:$D5006,"&lt;&gt;",$E$2:$E5006,"&lt;&gt;"),"00000"),""))</f>
        <v/>
      </c>
      <c r="N5006" s="22"/>
    </row>
    <row r="5007" spans="1:14" x14ac:dyDescent="0.3">
      <c r="A5007" s="15" t="str">
        <f>IF(COUNTA($B5007:$E5007,$K5007)=0,"",IF(AND($B5007&lt;&gt;"",$C5007&lt;&gt;"",$D5007&lt;&gt;"",$E5007&lt;&gt;""),"TXS"&amp;TEXT(COUNTIFS($B$2:$B5007,"&lt;&gt;",$C$2:$C5007,"&lt;&gt;",$D$2:$D5007,"&lt;&gt;",$E$2:$E5007,"&lt;&gt;"),"00000"),""))</f>
        <v/>
      </c>
      <c r="N5007" s="22"/>
    </row>
    <row r="5008" spans="1:14" x14ac:dyDescent="0.3">
      <c r="A5008" s="15" t="str">
        <f>IF(COUNTA($B5008:$E5008,$K5008)=0,"",IF(AND($B5008&lt;&gt;"",$C5008&lt;&gt;"",$D5008&lt;&gt;"",$E5008&lt;&gt;""),"TXS"&amp;TEXT(COUNTIFS($B$2:$B5008,"&lt;&gt;",$C$2:$C5008,"&lt;&gt;",$D$2:$D5008,"&lt;&gt;",$E$2:$E5008,"&lt;&gt;"),"00000"),""))</f>
        <v/>
      </c>
      <c r="N5008" s="22"/>
    </row>
    <row r="5009" spans="1:14" x14ac:dyDescent="0.3">
      <c r="A5009" s="15" t="str">
        <f>IF(COUNTA($B5009:$E5009,$K5009)=0,"",IF(AND($B5009&lt;&gt;"",$C5009&lt;&gt;"",$D5009&lt;&gt;"",$E5009&lt;&gt;""),"TXS"&amp;TEXT(COUNTIFS($B$2:$B5009,"&lt;&gt;",$C$2:$C5009,"&lt;&gt;",$D$2:$D5009,"&lt;&gt;",$E$2:$E5009,"&lt;&gt;"),"00000"),""))</f>
        <v/>
      </c>
      <c r="N5009" s="22"/>
    </row>
    <row r="5010" spans="1:14" x14ac:dyDescent="0.3">
      <c r="A5010" s="15" t="str">
        <f>IF(COUNTA($B5010:$E5010,$K5010)=0,"",IF(AND($B5010&lt;&gt;"",$C5010&lt;&gt;"",$D5010&lt;&gt;"",$E5010&lt;&gt;""),"TXS"&amp;TEXT(COUNTIFS($B$2:$B5010,"&lt;&gt;",$C$2:$C5010,"&lt;&gt;",$D$2:$D5010,"&lt;&gt;",$E$2:$E5010,"&lt;&gt;"),"00000"),""))</f>
        <v/>
      </c>
      <c r="N5010" s="22"/>
    </row>
    <row r="5011" spans="1:14" x14ac:dyDescent="0.3">
      <c r="A5011" s="15" t="str">
        <f>IF(COUNTA($B5011:$E5011,$K5011)=0,"",IF(AND($B5011&lt;&gt;"",$C5011&lt;&gt;"",$D5011&lt;&gt;"",$E5011&lt;&gt;""),"TXS"&amp;TEXT(COUNTIFS($B$2:$B5011,"&lt;&gt;",$C$2:$C5011,"&lt;&gt;",$D$2:$D5011,"&lt;&gt;",$E$2:$E5011,"&lt;&gt;"),"00000"),""))</f>
        <v/>
      </c>
      <c r="N5011" s="22"/>
    </row>
    <row r="5012" spans="1:14" x14ac:dyDescent="0.3">
      <c r="A5012" s="15" t="str">
        <f>IF(COUNTA($B5012:$E5012,$K5012)=0,"",IF(AND($B5012&lt;&gt;"",$C5012&lt;&gt;"",$D5012&lt;&gt;"",$E5012&lt;&gt;""),"TXS"&amp;TEXT(COUNTIFS($B$2:$B5012,"&lt;&gt;",$C$2:$C5012,"&lt;&gt;",$D$2:$D5012,"&lt;&gt;",$E$2:$E5012,"&lt;&gt;"),"00000"),""))</f>
        <v/>
      </c>
      <c r="N5012" s="22"/>
    </row>
    <row r="5013" spans="1:14" x14ac:dyDescent="0.3">
      <c r="A5013" s="15" t="str">
        <f>IF(COUNTA($B5013:$E5013,$K5013)=0,"",IF(AND($B5013&lt;&gt;"",$C5013&lt;&gt;"",$D5013&lt;&gt;"",$E5013&lt;&gt;""),"TXS"&amp;TEXT(COUNTIFS($B$2:$B5013,"&lt;&gt;",$C$2:$C5013,"&lt;&gt;",$D$2:$D5013,"&lt;&gt;",$E$2:$E5013,"&lt;&gt;"),"00000"),""))</f>
        <v/>
      </c>
      <c r="N5013" s="22"/>
    </row>
    <row r="5014" spans="1:14" x14ac:dyDescent="0.3">
      <c r="A5014" s="15" t="str">
        <f>IF(COUNTA($B5014:$E5014,$K5014)=0,"",IF(AND($B5014&lt;&gt;"",$C5014&lt;&gt;"",$D5014&lt;&gt;"",$E5014&lt;&gt;""),"TXS"&amp;TEXT(COUNTIFS($B$2:$B5014,"&lt;&gt;",$C$2:$C5014,"&lt;&gt;",$D$2:$D5014,"&lt;&gt;",$E$2:$E5014,"&lt;&gt;"),"00000"),""))</f>
        <v/>
      </c>
      <c r="N5014" s="22"/>
    </row>
    <row r="5015" spans="1:14" x14ac:dyDescent="0.3">
      <c r="A5015" s="15" t="str">
        <f>IF(COUNTA($B5015:$E5015,$K5015)=0,"",IF(AND($B5015&lt;&gt;"",$C5015&lt;&gt;"",$D5015&lt;&gt;"",$E5015&lt;&gt;""),"TXS"&amp;TEXT(COUNTIFS($B$2:$B5015,"&lt;&gt;",$C$2:$C5015,"&lt;&gt;",$D$2:$D5015,"&lt;&gt;",$E$2:$E5015,"&lt;&gt;"),"00000"),""))</f>
        <v/>
      </c>
      <c r="N5015" s="22"/>
    </row>
    <row r="5016" spans="1:14" x14ac:dyDescent="0.3">
      <c r="A5016" s="15" t="str">
        <f>IF(COUNTA($B5016:$E5016,$K5016)=0,"",IF(AND($B5016&lt;&gt;"",$C5016&lt;&gt;"",$D5016&lt;&gt;"",$E5016&lt;&gt;""),"TXS"&amp;TEXT(COUNTIFS($B$2:$B5016,"&lt;&gt;",$C$2:$C5016,"&lt;&gt;",$D$2:$D5016,"&lt;&gt;",$E$2:$E5016,"&lt;&gt;"),"00000"),""))</f>
        <v/>
      </c>
      <c r="N5016" s="22"/>
    </row>
    <row r="5017" spans="1:14" x14ac:dyDescent="0.3">
      <c r="A5017" s="15" t="str">
        <f>IF(COUNTA($B5017:$E5017,$K5017)=0,"",IF(AND($B5017&lt;&gt;"",$C5017&lt;&gt;"",$D5017&lt;&gt;"",$E5017&lt;&gt;""),"TXS"&amp;TEXT(COUNTIFS($B$2:$B5017,"&lt;&gt;",$C$2:$C5017,"&lt;&gt;",$D$2:$D5017,"&lt;&gt;",$E$2:$E5017,"&lt;&gt;"),"00000"),""))</f>
        <v/>
      </c>
      <c r="N5017" s="22"/>
    </row>
    <row r="5018" spans="1:14" x14ac:dyDescent="0.3">
      <c r="A5018" s="15" t="str">
        <f>IF(COUNTA($B5018:$E5018,$K5018)=0,"",IF(AND($B5018&lt;&gt;"",$C5018&lt;&gt;"",$D5018&lt;&gt;"",$E5018&lt;&gt;""),"TXS"&amp;TEXT(COUNTIFS($B$2:$B5018,"&lt;&gt;",$C$2:$C5018,"&lt;&gt;",$D$2:$D5018,"&lt;&gt;",$E$2:$E5018,"&lt;&gt;"),"00000"),""))</f>
        <v/>
      </c>
      <c r="N5018" s="22"/>
    </row>
    <row r="5019" spans="1:14" x14ac:dyDescent="0.3">
      <c r="A5019" s="15" t="str">
        <f>IF(COUNTA($B5019:$E5019,$K5019)=0,"",IF(AND($B5019&lt;&gt;"",$C5019&lt;&gt;"",$D5019&lt;&gt;"",$E5019&lt;&gt;""),"TXS"&amp;TEXT(COUNTIFS($B$2:$B5019,"&lt;&gt;",$C$2:$C5019,"&lt;&gt;",$D$2:$D5019,"&lt;&gt;",$E$2:$E5019,"&lt;&gt;"),"00000"),""))</f>
        <v/>
      </c>
      <c r="N5019" s="22"/>
    </row>
    <row r="5020" spans="1:14" x14ac:dyDescent="0.3">
      <c r="A5020" s="15" t="str">
        <f>IF(COUNTA($B5020:$E5020,$K5020)=0,"",IF(AND($B5020&lt;&gt;"",$C5020&lt;&gt;"",$D5020&lt;&gt;"",$E5020&lt;&gt;""),"TXS"&amp;TEXT(COUNTIFS($B$2:$B5020,"&lt;&gt;",$C$2:$C5020,"&lt;&gt;",$D$2:$D5020,"&lt;&gt;",$E$2:$E5020,"&lt;&gt;"),"00000"),""))</f>
        <v/>
      </c>
      <c r="N5020" s="22"/>
    </row>
    <row r="5021" spans="1:14" x14ac:dyDescent="0.3">
      <c r="A5021" s="15" t="str">
        <f>IF(COUNTA($B5021:$E5021,$K5021)=0,"",IF(AND($B5021&lt;&gt;"",$C5021&lt;&gt;"",$D5021&lt;&gt;"",$E5021&lt;&gt;""),"TXS"&amp;TEXT(COUNTIFS($B$2:$B5021,"&lt;&gt;",$C$2:$C5021,"&lt;&gt;",$D$2:$D5021,"&lt;&gt;",$E$2:$E5021,"&lt;&gt;"),"00000"),""))</f>
        <v/>
      </c>
      <c r="N5021" s="22"/>
    </row>
    <row r="5022" spans="1:14" x14ac:dyDescent="0.3">
      <c r="A5022" s="15" t="str">
        <f>IF(COUNTA($B5022:$E5022,$K5022)=0,"",IF(AND($B5022&lt;&gt;"",$C5022&lt;&gt;"",$D5022&lt;&gt;"",$E5022&lt;&gt;""),"TXS"&amp;TEXT(COUNTIFS($B$2:$B5022,"&lt;&gt;",$C$2:$C5022,"&lt;&gt;",$D$2:$D5022,"&lt;&gt;",$E$2:$E5022,"&lt;&gt;"),"00000"),""))</f>
        <v/>
      </c>
      <c r="N5022" s="22"/>
    </row>
    <row r="5023" spans="1:14" x14ac:dyDescent="0.3">
      <c r="A5023" s="15" t="str">
        <f>IF(COUNTA($B5023:$E5023,$K5023)=0,"",IF(AND($B5023&lt;&gt;"",$C5023&lt;&gt;"",$D5023&lt;&gt;"",$E5023&lt;&gt;""),"TXS"&amp;TEXT(COUNTIFS($B$2:$B5023,"&lt;&gt;",$C$2:$C5023,"&lt;&gt;",$D$2:$D5023,"&lt;&gt;",$E$2:$E5023,"&lt;&gt;"),"00000"),""))</f>
        <v/>
      </c>
      <c r="N5023" s="22"/>
    </row>
    <row r="5024" spans="1:14" x14ac:dyDescent="0.3">
      <c r="A5024" s="15" t="str">
        <f>IF(COUNTA($B5024:$E5024,$K5024)=0,"",IF(AND($B5024&lt;&gt;"",$C5024&lt;&gt;"",$D5024&lt;&gt;"",$E5024&lt;&gt;""),"TXS"&amp;TEXT(COUNTIFS($B$2:$B5024,"&lt;&gt;",$C$2:$C5024,"&lt;&gt;",$D$2:$D5024,"&lt;&gt;",$E$2:$E5024,"&lt;&gt;"),"00000"),""))</f>
        <v/>
      </c>
      <c r="N5024" s="22"/>
    </row>
    <row r="5025" spans="1:14" x14ac:dyDescent="0.3">
      <c r="A5025" s="15" t="str">
        <f>IF(COUNTA($B5025:$E5025,$K5025)=0,"",IF(AND($B5025&lt;&gt;"",$C5025&lt;&gt;"",$D5025&lt;&gt;"",$E5025&lt;&gt;""),"TXS"&amp;TEXT(COUNTIFS($B$2:$B5025,"&lt;&gt;",$C$2:$C5025,"&lt;&gt;",$D$2:$D5025,"&lt;&gt;",$E$2:$E5025,"&lt;&gt;"),"00000"),""))</f>
        <v/>
      </c>
      <c r="N5025" s="22"/>
    </row>
    <row r="5026" spans="1:14" x14ac:dyDescent="0.3">
      <c r="A5026" s="15" t="str">
        <f>IF(COUNTA($B5026:$E5026,$K5026)=0,"",IF(AND($B5026&lt;&gt;"",$C5026&lt;&gt;"",$D5026&lt;&gt;"",$E5026&lt;&gt;""),"TXS"&amp;TEXT(COUNTIFS($B$2:$B5026,"&lt;&gt;",$C$2:$C5026,"&lt;&gt;",$D$2:$D5026,"&lt;&gt;",$E$2:$E5026,"&lt;&gt;"),"00000"),""))</f>
        <v/>
      </c>
      <c r="N5026" s="22"/>
    </row>
    <row r="5027" spans="1:14" x14ac:dyDescent="0.3">
      <c r="A5027" s="15" t="str">
        <f>IF(COUNTA($B5027:$E5027,$K5027)=0,"",IF(AND($B5027&lt;&gt;"",$C5027&lt;&gt;"",$D5027&lt;&gt;"",$E5027&lt;&gt;""),"TXS"&amp;TEXT(COUNTIFS($B$2:$B5027,"&lt;&gt;",$C$2:$C5027,"&lt;&gt;",$D$2:$D5027,"&lt;&gt;",$E$2:$E5027,"&lt;&gt;"),"00000"),""))</f>
        <v/>
      </c>
      <c r="N5027" s="22"/>
    </row>
    <row r="5028" spans="1:14" x14ac:dyDescent="0.3">
      <c r="A5028" s="15" t="str">
        <f>IF(COUNTA($B5028:$E5028,$K5028)=0,"",IF(AND($B5028&lt;&gt;"",$C5028&lt;&gt;"",$D5028&lt;&gt;"",$E5028&lt;&gt;""),"TXS"&amp;TEXT(COUNTIFS($B$2:$B5028,"&lt;&gt;",$C$2:$C5028,"&lt;&gt;",$D$2:$D5028,"&lt;&gt;",$E$2:$E5028,"&lt;&gt;"),"00000"),""))</f>
        <v/>
      </c>
      <c r="N5028" s="22"/>
    </row>
    <row r="5029" spans="1:14" x14ac:dyDescent="0.3">
      <c r="A5029" s="15" t="str">
        <f>IF(COUNTA($B5029:$E5029,$K5029)=0,"",IF(AND($B5029&lt;&gt;"",$C5029&lt;&gt;"",$D5029&lt;&gt;"",$E5029&lt;&gt;""),"TXS"&amp;TEXT(COUNTIFS($B$2:$B5029,"&lt;&gt;",$C$2:$C5029,"&lt;&gt;",$D$2:$D5029,"&lt;&gt;",$E$2:$E5029,"&lt;&gt;"),"00000"),""))</f>
        <v/>
      </c>
      <c r="N5029" s="22"/>
    </row>
    <row r="5030" spans="1:14" x14ac:dyDescent="0.3">
      <c r="A5030" s="15" t="str">
        <f>IF(COUNTA($B5030:$E5030,$K5030)=0,"",IF(AND($B5030&lt;&gt;"",$C5030&lt;&gt;"",$D5030&lt;&gt;"",$E5030&lt;&gt;""),"TXS"&amp;TEXT(COUNTIFS($B$2:$B5030,"&lt;&gt;",$C$2:$C5030,"&lt;&gt;",$D$2:$D5030,"&lt;&gt;",$E$2:$E5030,"&lt;&gt;"),"00000"),""))</f>
        <v/>
      </c>
      <c r="N5030" s="22"/>
    </row>
    <row r="5031" spans="1:14" x14ac:dyDescent="0.3">
      <c r="A5031" s="15" t="str">
        <f>IF(COUNTA($B5031:$E5031,$K5031)=0,"",IF(AND($B5031&lt;&gt;"",$C5031&lt;&gt;"",$D5031&lt;&gt;"",$E5031&lt;&gt;""),"TXS"&amp;TEXT(COUNTIFS($B$2:$B5031,"&lt;&gt;",$C$2:$C5031,"&lt;&gt;",$D$2:$D5031,"&lt;&gt;",$E$2:$E5031,"&lt;&gt;"),"00000"),""))</f>
        <v/>
      </c>
      <c r="N5031" s="22"/>
    </row>
    <row r="5032" spans="1:14" x14ac:dyDescent="0.3">
      <c r="A5032" s="15" t="str">
        <f>IF(COUNTA($B5032:$E5032,$K5032)=0,"",IF(AND($B5032&lt;&gt;"",$C5032&lt;&gt;"",$D5032&lt;&gt;"",$E5032&lt;&gt;""),"TXS"&amp;TEXT(COUNTIFS($B$2:$B5032,"&lt;&gt;",$C$2:$C5032,"&lt;&gt;",$D$2:$D5032,"&lt;&gt;",$E$2:$E5032,"&lt;&gt;"),"00000"),""))</f>
        <v/>
      </c>
      <c r="N5032" s="22"/>
    </row>
    <row r="5033" spans="1:14" x14ac:dyDescent="0.3">
      <c r="A5033" s="15" t="str">
        <f>IF(COUNTA($B5033:$E5033,$K5033)=0,"",IF(AND($B5033&lt;&gt;"",$C5033&lt;&gt;"",$D5033&lt;&gt;"",$E5033&lt;&gt;""),"TXS"&amp;TEXT(COUNTIFS($B$2:$B5033,"&lt;&gt;",$C$2:$C5033,"&lt;&gt;",$D$2:$D5033,"&lt;&gt;",$E$2:$E5033,"&lt;&gt;"),"00000"),""))</f>
        <v/>
      </c>
      <c r="N5033" s="22"/>
    </row>
    <row r="5034" spans="1:14" x14ac:dyDescent="0.3">
      <c r="A5034" s="15" t="str">
        <f>IF(COUNTA($B5034:$E5034,$K5034)=0,"",IF(AND($B5034&lt;&gt;"",$C5034&lt;&gt;"",$D5034&lt;&gt;"",$E5034&lt;&gt;""),"TXS"&amp;TEXT(COUNTIFS($B$2:$B5034,"&lt;&gt;",$C$2:$C5034,"&lt;&gt;",$D$2:$D5034,"&lt;&gt;",$E$2:$E5034,"&lt;&gt;"),"00000"),""))</f>
        <v/>
      </c>
      <c r="N5034" s="22"/>
    </row>
    <row r="5035" spans="1:14" x14ac:dyDescent="0.3">
      <c r="A5035" s="15" t="str">
        <f>IF(COUNTA($B5035:$E5035,$K5035)=0,"",IF(AND($B5035&lt;&gt;"",$C5035&lt;&gt;"",$D5035&lt;&gt;"",$E5035&lt;&gt;""),"TXS"&amp;TEXT(COUNTIFS($B$2:$B5035,"&lt;&gt;",$C$2:$C5035,"&lt;&gt;",$D$2:$D5035,"&lt;&gt;",$E$2:$E5035,"&lt;&gt;"),"00000"),""))</f>
        <v/>
      </c>
      <c r="N5035" s="22"/>
    </row>
    <row r="5036" spans="1:14" x14ac:dyDescent="0.3">
      <c r="A5036" s="15" t="str">
        <f>IF(COUNTA($B5036:$E5036,$K5036)=0,"",IF(AND($B5036&lt;&gt;"",$C5036&lt;&gt;"",$D5036&lt;&gt;"",$E5036&lt;&gt;""),"TXS"&amp;TEXT(COUNTIFS($B$2:$B5036,"&lt;&gt;",$C$2:$C5036,"&lt;&gt;",$D$2:$D5036,"&lt;&gt;",$E$2:$E5036,"&lt;&gt;"),"00000"),""))</f>
        <v/>
      </c>
      <c r="N5036" s="22"/>
    </row>
    <row r="5037" spans="1:14" x14ac:dyDescent="0.3">
      <c r="A5037" s="15" t="str">
        <f>IF(COUNTA($B5037:$E5037,$K5037)=0,"",IF(AND($B5037&lt;&gt;"",$C5037&lt;&gt;"",$D5037&lt;&gt;"",$E5037&lt;&gt;""),"TXS"&amp;TEXT(COUNTIFS($B$2:$B5037,"&lt;&gt;",$C$2:$C5037,"&lt;&gt;",$D$2:$D5037,"&lt;&gt;",$E$2:$E5037,"&lt;&gt;"),"00000"),""))</f>
        <v/>
      </c>
      <c r="N5037" s="22"/>
    </row>
    <row r="5038" spans="1:14" x14ac:dyDescent="0.3">
      <c r="A5038" s="15" t="str">
        <f>IF(COUNTA($B5038:$E5038,$K5038)=0,"",IF(AND($B5038&lt;&gt;"",$C5038&lt;&gt;"",$D5038&lt;&gt;"",$E5038&lt;&gt;""),"TXS"&amp;TEXT(COUNTIFS($B$2:$B5038,"&lt;&gt;",$C$2:$C5038,"&lt;&gt;",$D$2:$D5038,"&lt;&gt;",$E$2:$E5038,"&lt;&gt;"),"00000"),""))</f>
        <v/>
      </c>
      <c r="N5038" s="22"/>
    </row>
    <row r="5039" spans="1:14" x14ac:dyDescent="0.3">
      <c r="A5039" s="15" t="str">
        <f>IF(COUNTA($B5039:$E5039,$K5039)=0,"",IF(AND($B5039&lt;&gt;"",$C5039&lt;&gt;"",$D5039&lt;&gt;"",$E5039&lt;&gt;""),"TXS"&amp;TEXT(COUNTIFS($B$2:$B5039,"&lt;&gt;",$C$2:$C5039,"&lt;&gt;",$D$2:$D5039,"&lt;&gt;",$E$2:$E5039,"&lt;&gt;"),"00000"),""))</f>
        <v/>
      </c>
      <c r="N5039" s="22"/>
    </row>
    <row r="5040" spans="1:14" x14ac:dyDescent="0.3">
      <c r="A5040" s="15" t="str">
        <f>IF(COUNTA($B5040:$E5040,$K5040)=0,"",IF(AND($B5040&lt;&gt;"",$C5040&lt;&gt;"",$D5040&lt;&gt;"",$E5040&lt;&gt;""),"TXS"&amp;TEXT(COUNTIFS($B$2:$B5040,"&lt;&gt;",$C$2:$C5040,"&lt;&gt;",$D$2:$D5040,"&lt;&gt;",$E$2:$E5040,"&lt;&gt;"),"00000"),""))</f>
        <v/>
      </c>
      <c r="N5040" s="22"/>
    </row>
    <row r="5041" spans="1:14" x14ac:dyDescent="0.3">
      <c r="A5041" s="15" t="str">
        <f>IF(COUNTA($B5041:$E5041,$K5041)=0,"",IF(AND($B5041&lt;&gt;"",$C5041&lt;&gt;"",$D5041&lt;&gt;"",$E5041&lt;&gt;""),"TXS"&amp;TEXT(COUNTIFS($B$2:$B5041,"&lt;&gt;",$C$2:$C5041,"&lt;&gt;",$D$2:$D5041,"&lt;&gt;",$E$2:$E5041,"&lt;&gt;"),"00000"),""))</f>
        <v/>
      </c>
      <c r="N5041" s="22"/>
    </row>
    <row r="5042" spans="1:14" x14ac:dyDescent="0.3">
      <c r="A5042" s="15" t="str">
        <f>IF(COUNTA($B5042:$E5042,$K5042)=0,"",IF(AND($B5042&lt;&gt;"",$C5042&lt;&gt;"",$D5042&lt;&gt;"",$E5042&lt;&gt;""),"TXS"&amp;TEXT(COUNTIFS($B$2:$B5042,"&lt;&gt;",$C$2:$C5042,"&lt;&gt;",$D$2:$D5042,"&lt;&gt;",$E$2:$E5042,"&lt;&gt;"),"00000"),""))</f>
        <v/>
      </c>
      <c r="N5042" s="22"/>
    </row>
    <row r="5043" spans="1:14" x14ac:dyDescent="0.3">
      <c r="A5043" s="15" t="str">
        <f>IF(COUNTA($B5043:$E5043,$K5043)=0,"",IF(AND($B5043&lt;&gt;"",$C5043&lt;&gt;"",$D5043&lt;&gt;"",$E5043&lt;&gt;""),"TXS"&amp;TEXT(COUNTIFS($B$2:$B5043,"&lt;&gt;",$C$2:$C5043,"&lt;&gt;",$D$2:$D5043,"&lt;&gt;",$E$2:$E5043,"&lt;&gt;"),"00000"),""))</f>
        <v/>
      </c>
      <c r="N5043" s="22"/>
    </row>
    <row r="5044" spans="1:14" x14ac:dyDescent="0.3">
      <c r="A5044" s="15" t="str">
        <f>IF(COUNTA($B5044:$E5044,$K5044)=0,"",IF(AND($B5044&lt;&gt;"",$C5044&lt;&gt;"",$D5044&lt;&gt;"",$E5044&lt;&gt;""),"TXS"&amp;TEXT(COUNTIFS($B$2:$B5044,"&lt;&gt;",$C$2:$C5044,"&lt;&gt;",$D$2:$D5044,"&lt;&gt;",$E$2:$E5044,"&lt;&gt;"),"00000"),""))</f>
        <v/>
      </c>
      <c r="N5044" s="22"/>
    </row>
    <row r="5045" spans="1:14" x14ac:dyDescent="0.3">
      <c r="A5045" s="15" t="str">
        <f>IF(COUNTA($B5045:$E5045,$K5045)=0,"",IF(AND($B5045&lt;&gt;"",$C5045&lt;&gt;"",$D5045&lt;&gt;"",$E5045&lt;&gt;""),"TXS"&amp;TEXT(COUNTIFS($B$2:$B5045,"&lt;&gt;",$C$2:$C5045,"&lt;&gt;",$D$2:$D5045,"&lt;&gt;",$E$2:$E5045,"&lt;&gt;"),"00000"),""))</f>
        <v/>
      </c>
      <c r="N5045" s="22"/>
    </row>
    <row r="5046" spans="1:14" x14ac:dyDescent="0.3">
      <c r="A5046" s="15" t="str">
        <f>IF(COUNTA($B5046:$E5046,$K5046)=0,"",IF(AND($B5046&lt;&gt;"",$C5046&lt;&gt;"",$D5046&lt;&gt;"",$E5046&lt;&gt;""),"TXS"&amp;TEXT(COUNTIFS($B$2:$B5046,"&lt;&gt;",$C$2:$C5046,"&lt;&gt;",$D$2:$D5046,"&lt;&gt;",$E$2:$E5046,"&lt;&gt;"),"00000"),""))</f>
        <v/>
      </c>
      <c r="N5046" s="22"/>
    </row>
    <row r="5047" spans="1:14" x14ac:dyDescent="0.3">
      <c r="A5047" s="15" t="str">
        <f>IF(COUNTA($B5047:$E5047,$K5047)=0,"",IF(AND($B5047&lt;&gt;"",$C5047&lt;&gt;"",$D5047&lt;&gt;"",$E5047&lt;&gt;""),"TXS"&amp;TEXT(COUNTIFS($B$2:$B5047,"&lt;&gt;",$C$2:$C5047,"&lt;&gt;",$D$2:$D5047,"&lt;&gt;",$E$2:$E5047,"&lt;&gt;"),"00000"),""))</f>
        <v/>
      </c>
      <c r="N5047" s="22"/>
    </row>
    <row r="5048" spans="1:14" x14ac:dyDescent="0.3">
      <c r="A5048" s="15" t="str">
        <f>IF(COUNTA($B5048:$E5048,$K5048)=0,"",IF(AND($B5048&lt;&gt;"",$C5048&lt;&gt;"",$D5048&lt;&gt;"",$E5048&lt;&gt;""),"TXS"&amp;TEXT(COUNTIFS($B$2:$B5048,"&lt;&gt;",$C$2:$C5048,"&lt;&gt;",$D$2:$D5048,"&lt;&gt;",$E$2:$E5048,"&lt;&gt;"),"00000"),""))</f>
        <v/>
      </c>
      <c r="N5048" s="22"/>
    </row>
    <row r="5049" spans="1:14" x14ac:dyDescent="0.3">
      <c r="A5049" s="15" t="str">
        <f>IF(COUNTA($B5049:$E5049,$K5049)=0,"",IF(AND($B5049&lt;&gt;"",$C5049&lt;&gt;"",$D5049&lt;&gt;"",$E5049&lt;&gt;""),"TXS"&amp;TEXT(COUNTIFS($B$2:$B5049,"&lt;&gt;",$C$2:$C5049,"&lt;&gt;",$D$2:$D5049,"&lt;&gt;",$E$2:$E5049,"&lt;&gt;"),"00000"),""))</f>
        <v/>
      </c>
      <c r="N5049" s="22"/>
    </row>
    <row r="5050" spans="1:14" x14ac:dyDescent="0.3">
      <c r="A5050" s="15" t="str">
        <f>IF(COUNTA($B5050:$E5050,$K5050)=0,"",IF(AND($B5050&lt;&gt;"",$C5050&lt;&gt;"",$D5050&lt;&gt;"",$E5050&lt;&gt;""),"TXS"&amp;TEXT(COUNTIFS($B$2:$B5050,"&lt;&gt;",$C$2:$C5050,"&lt;&gt;",$D$2:$D5050,"&lt;&gt;",$E$2:$E5050,"&lt;&gt;"),"00000"),""))</f>
        <v/>
      </c>
      <c r="N5050" s="22"/>
    </row>
    <row r="5051" spans="1:14" x14ac:dyDescent="0.3">
      <c r="A5051" s="15" t="str">
        <f>IF(COUNTA($B5051:$E5051,$K5051)=0,"",IF(AND($B5051&lt;&gt;"",$C5051&lt;&gt;"",$D5051&lt;&gt;"",$E5051&lt;&gt;""),"TXS"&amp;TEXT(COUNTIFS($B$2:$B5051,"&lt;&gt;",$C$2:$C5051,"&lt;&gt;",$D$2:$D5051,"&lt;&gt;",$E$2:$E5051,"&lt;&gt;"),"00000"),""))</f>
        <v/>
      </c>
      <c r="N5051" s="22"/>
    </row>
    <row r="5052" spans="1:14" x14ac:dyDescent="0.3">
      <c r="A5052" s="15" t="str">
        <f>IF(COUNTA($B5052:$E5052,$K5052)=0,"",IF(AND($B5052&lt;&gt;"",$C5052&lt;&gt;"",$D5052&lt;&gt;"",$E5052&lt;&gt;""),"TXS"&amp;TEXT(COUNTIFS($B$2:$B5052,"&lt;&gt;",$C$2:$C5052,"&lt;&gt;",$D$2:$D5052,"&lt;&gt;",$E$2:$E5052,"&lt;&gt;"),"00000"),""))</f>
        <v/>
      </c>
      <c r="N5052" s="22"/>
    </row>
    <row r="5053" spans="1:14" x14ac:dyDescent="0.3">
      <c r="A5053" s="15" t="str">
        <f>IF(COUNTA($B5053:$E5053,$K5053)=0,"",IF(AND($B5053&lt;&gt;"",$C5053&lt;&gt;"",$D5053&lt;&gt;"",$E5053&lt;&gt;""),"TXS"&amp;TEXT(COUNTIFS($B$2:$B5053,"&lt;&gt;",$C$2:$C5053,"&lt;&gt;",$D$2:$D5053,"&lt;&gt;",$E$2:$E5053,"&lt;&gt;"),"00000"),""))</f>
        <v/>
      </c>
      <c r="N5053" s="22"/>
    </row>
    <row r="5054" spans="1:14" x14ac:dyDescent="0.3">
      <c r="A5054" s="15" t="str">
        <f>IF(COUNTA($B5054:$E5054,$K5054)=0,"",IF(AND($B5054&lt;&gt;"",$C5054&lt;&gt;"",$D5054&lt;&gt;"",$E5054&lt;&gt;""),"TXS"&amp;TEXT(COUNTIFS($B$2:$B5054,"&lt;&gt;",$C$2:$C5054,"&lt;&gt;",$D$2:$D5054,"&lt;&gt;",$E$2:$E5054,"&lt;&gt;"),"00000"),""))</f>
        <v/>
      </c>
      <c r="N5054" s="22"/>
    </row>
    <row r="5055" spans="1:14" x14ac:dyDescent="0.3">
      <c r="A5055" s="15" t="str">
        <f>IF(COUNTA($B5055:$E5055,$K5055)=0,"",IF(AND($B5055&lt;&gt;"",$C5055&lt;&gt;"",$D5055&lt;&gt;"",$E5055&lt;&gt;""),"TXS"&amp;TEXT(COUNTIFS($B$2:$B5055,"&lt;&gt;",$C$2:$C5055,"&lt;&gt;",$D$2:$D5055,"&lt;&gt;",$E$2:$E5055,"&lt;&gt;"),"00000"),""))</f>
        <v/>
      </c>
      <c r="N5055" s="22"/>
    </row>
    <row r="5056" spans="1:14" x14ac:dyDescent="0.3">
      <c r="A5056" s="15" t="str">
        <f>IF(COUNTA($B5056:$E5056,$K5056)=0,"",IF(AND($B5056&lt;&gt;"",$C5056&lt;&gt;"",$D5056&lt;&gt;"",$E5056&lt;&gt;""),"TXS"&amp;TEXT(COUNTIFS($B$2:$B5056,"&lt;&gt;",$C$2:$C5056,"&lt;&gt;",$D$2:$D5056,"&lt;&gt;",$E$2:$E5056,"&lt;&gt;"),"00000"),""))</f>
        <v/>
      </c>
      <c r="N5056" s="22"/>
    </row>
    <row r="5057" spans="1:14" x14ac:dyDescent="0.3">
      <c r="A5057" s="15" t="str">
        <f>IF(COUNTA($B5057:$E5057,$K5057)=0,"",IF(AND($B5057&lt;&gt;"",$C5057&lt;&gt;"",$D5057&lt;&gt;"",$E5057&lt;&gt;""),"TXS"&amp;TEXT(COUNTIFS($B$2:$B5057,"&lt;&gt;",$C$2:$C5057,"&lt;&gt;",$D$2:$D5057,"&lt;&gt;",$E$2:$E5057,"&lt;&gt;"),"00000"),""))</f>
        <v/>
      </c>
      <c r="N5057" s="22"/>
    </row>
    <row r="5058" spans="1:14" x14ac:dyDescent="0.3">
      <c r="A5058" s="15" t="str">
        <f>IF(COUNTA($B5058:$E5058,$K5058)=0,"",IF(AND($B5058&lt;&gt;"",$C5058&lt;&gt;"",$D5058&lt;&gt;"",$E5058&lt;&gt;""),"TXS"&amp;TEXT(COUNTIFS($B$2:$B5058,"&lt;&gt;",$C$2:$C5058,"&lt;&gt;",$D$2:$D5058,"&lt;&gt;",$E$2:$E5058,"&lt;&gt;"),"00000"),""))</f>
        <v/>
      </c>
      <c r="N5058" s="22"/>
    </row>
    <row r="5059" spans="1:14" x14ac:dyDescent="0.3">
      <c r="A5059" s="15" t="str">
        <f>IF(COUNTA($B5059:$E5059,$K5059)=0,"",IF(AND($B5059&lt;&gt;"",$C5059&lt;&gt;"",$D5059&lt;&gt;"",$E5059&lt;&gt;""),"TXS"&amp;TEXT(COUNTIFS($B$2:$B5059,"&lt;&gt;",$C$2:$C5059,"&lt;&gt;",$D$2:$D5059,"&lt;&gt;",$E$2:$E5059,"&lt;&gt;"),"00000"),""))</f>
        <v/>
      </c>
      <c r="N5059" s="22"/>
    </row>
    <row r="5060" spans="1:14" x14ac:dyDescent="0.3">
      <c r="A5060" s="15" t="str">
        <f>IF(COUNTA($B5060:$E5060,$K5060)=0,"",IF(AND($B5060&lt;&gt;"",$C5060&lt;&gt;"",$D5060&lt;&gt;"",$E5060&lt;&gt;""),"TXS"&amp;TEXT(COUNTIFS($B$2:$B5060,"&lt;&gt;",$C$2:$C5060,"&lt;&gt;",$D$2:$D5060,"&lt;&gt;",$E$2:$E5060,"&lt;&gt;"),"00000"),""))</f>
        <v/>
      </c>
      <c r="N5060" s="22"/>
    </row>
    <row r="5061" spans="1:14" x14ac:dyDescent="0.3">
      <c r="A5061" s="15" t="str">
        <f>IF(COUNTA($B5061:$E5061,$K5061)=0,"",IF(AND($B5061&lt;&gt;"",$C5061&lt;&gt;"",$D5061&lt;&gt;"",$E5061&lt;&gt;""),"TXS"&amp;TEXT(COUNTIFS($B$2:$B5061,"&lt;&gt;",$C$2:$C5061,"&lt;&gt;",$D$2:$D5061,"&lt;&gt;",$E$2:$E5061,"&lt;&gt;"),"00000"),""))</f>
        <v/>
      </c>
      <c r="N5061" s="22"/>
    </row>
    <row r="5062" spans="1:14" x14ac:dyDescent="0.3">
      <c r="A5062" s="15" t="str">
        <f>IF(COUNTA($B5062:$E5062,$K5062)=0,"",IF(AND($B5062&lt;&gt;"",$C5062&lt;&gt;"",$D5062&lt;&gt;"",$E5062&lt;&gt;""),"TXS"&amp;TEXT(COUNTIFS($B$2:$B5062,"&lt;&gt;",$C$2:$C5062,"&lt;&gt;",$D$2:$D5062,"&lt;&gt;",$E$2:$E5062,"&lt;&gt;"),"00000"),""))</f>
        <v/>
      </c>
      <c r="N5062" s="22"/>
    </row>
    <row r="5063" spans="1:14" x14ac:dyDescent="0.3">
      <c r="A5063" s="15" t="str">
        <f>IF(COUNTA($B5063:$E5063,$K5063)=0,"",IF(AND($B5063&lt;&gt;"",$C5063&lt;&gt;"",$D5063&lt;&gt;"",$E5063&lt;&gt;""),"TXS"&amp;TEXT(COUNTIFS($B$2:$B5063,"&lt;&gt;",$C$2:$C5063,"&lt;&gt;",$D$2:$D5063,"&lt;&gt;",$E$2:$E5063,"&lt;&gt;"),"00000"),""))</f>
        <v/>
      </c>
      <c r="N5063" s="22"/>
    </row>
    <row r="5064" spans="1:14" x14ac:dyDescent="0.3">
      <c r="A5064" s="15" t="str">
        <f>IF(COUNTA($B5064:$E5064,$K5064)=0,"",IF(AND($B5064&lt;&gt;"",$C5064&lt;&gt;"",$D5064&lt;&gt;"",$E5064&lt;&gt;""),"TXS"&amp;TEXT(COUNTIFS($B$2:$B5064,"&lt;&gt;",$C$2:$C5064,"&lt;&gt;",$D$2:$D5064,"&lt;&gt;",$E$2:$E5064,"&lt;&gt;"),"00000"),""))</f>
        <v/>
      </c>
      <c r="N5064" s="22"/>
    </row>
    <row r="5065" spans="1:14" x14ac:dyDescent="0.3">
      <c r="A5065" s="15" t="str">
        <f>IF(COUNTA($B5065:$E5065,$K5065)=0,"",IF(AND($B5065&lt;&gt;"",$C5065&lt;&gt;"",$D5065&lt;&gt;"",$E5065&lt;&gt;""),"TXS"&amp;TEXT(COUNTIFS($B$2:$B5065,"&lt;&gt;",$C$2:$C5065,"&lt;&gt;",$D$2:$D5065,"&lt;&gt;",$E$2:$E5065,"&lt;&gt;"),"00000"),""))</f>
        <v/>
      </c>
      <c r="N5065" s="22"/>
    </row>
    <row r="5066" spans="1:14" x14ac:dyDescent="0.3">
      <c r="A5066" s="15" t="str">
        <f>IF(COUNTA($B5066:$E5066,$K5066)=0,"",IF(AND($B5066&lt;&gt;"",$C5066&lt;&gt;"",$D5066&lt;&gt;"",$E5066&lt;&gt;""),"TXS"&amp;TEXT(COUNTIFS($B$2:$B5066,"&lt;&gt;",$C$2:$C5066,"&lt;&gt;",$D$2:$D5066,"&lt;&gt;",$E$2:$E5066,"&lt;&gt;"),"00000"),""))</f>
        <v/>
      </c>
      <c r="N5066" s="22"/>
    </row>
    <row r="5067" spans="1:14" x14ac:dyDescent="0.3">
      <c r="A5067" s="15" t="str">
        <f>IF(COUNTA($B5067:$E5067,$K5067)=0,"",IF(AND($B5067&lt;&gt;"",$C5067&lt;&gt;"",$D5067&lt;&gt;"",$E5067&lt;&gt;""),"TXS"&amp;TEXT(COUNTIFS($B$2:$B5067,"&lt;&gt;",$C$2:$C5067,"&lt;&gt;",$D$2:$D5067,"&lt;&gt;",$E$2:$E5067,"&lt;&gt;"),"00000"),""))</f>
        <v/>
      </c>
      <c r="N5067" s="22"/>
    </row>
    <row r="5068" spans="1:14" x14ac:dyDescent="0.3">
      <c r="A5068" s="15" t="str">
        <f>IF(COUNTA($B5068:$E5068,$K5068)=0,"",IF(AND($B5068&lt;&gt;"",$C5068&lt;&gt;"",$D5068&lt;&gt;"",$E5068&lt;&gt;""),"TXS"&amp;TEXT(COUNTIFS($B$2:$B5068,"&lt;&gt;",$C$2:$C5068,"&lt;&gt;",$D$2:$D5068,"&lt;&gt;",$E$2:$E5068,"&lt;&gt;"),"00000"),""))</f>
        <v/>
      </c>
      <c r="N5068" s="22"/>
    </row>
    <row r="5069" spans="1:14" x14ac:dyDescent="0.3">
      <c r="A5069" s="15" t="str">
        <f>IF(COUNTA($B5069:$E5069,$K5069)=0,"",IF(AND($B5069&lt;&gt;"",$C5069&lt;&gt;"",$D5069&lt;&gt;"",$E5069&lt;&gt;""),"TXS"&amp;TEXT(COUNTIFS($B$2:$B5069,"&lt;&gt;",$C$2:$C5069,"&lt;&gt;",$D$2:$D5069,"&lt;&gt;",$E$2:$E5069,"&lt;&gt;"),"00000"),""))</f>
        <v/>
      </c>
      <c r="N5069" s="22"/>
    </row>
    <row r="5070" spans="1:14" x14ac:dyDescent="0.3">
      <c r="A5070" s="15" t="str">
        <f>IF(COUNTA($B5070:$E5070,$K5070)=0,"",IF(AND($B5070&lt;&gt;"",$C5070&lt;&gt;"",$D5070&lt;&gt;"",$E5070&lt;&gt;""),"TXS"&amp;TEXT(COUNTIFS($B$2:$B5070,"&lt;&gt;",$C$2:$C5070,"&lt;&gt;",$D$2:$D5070,"&lt;&gt;",$E$2:$E5070,"&lt;&gt;"),"00000"),""))</f>
        <v/>
      </c>
      <c r="N5070" s="22"/>
    </row>
    <row r="5071" spans="1:14" x14ac:dyDescent="0.3">
      <c r="A5071" s="15" t="str">
        <f>IF(COUNTA($B5071:$E5071,$K5071)=0,"",IF(AND($B5071&lt;&gt;"",$C5071&lt;&gt;"",$D5071&lt;&gt;"",$E5071&lt;&gt;""),"TXS"&amp;TEXT(COUNTIFS($B$2:$B5071,"&lt;&gt;",$C$2:$C5071,"&lt;&gt;",$D$2:$D5071,"&lt;&gt;",$E$2:$E5071,"&lt;&gt;"),"00000"),""))</f>
        <v/>
      </c>
      <c r="N5071" s="22"/>
    </row>
    <row r="5072" spans="1:14" x14ac:dyDescent="0.3">
      <c r="A5072" s="15" t="str">
        <f>IF(COUNTA($B5072:$E5072,$K5072)=0,"",IF(AND($B5072&lt;&gt;"",$C5072&lt;&gt;"",$D5072&lt;&gt;"",$E5072&lt;&gt;""),"TXS"&amp;TEXT(COUNTIFS($B$2:$B5072,"&lt;&gt;",$C$2:$C5072,"&lt;&gt;",$D$2:$D5072,"&lt;&gt;",$E$2:$E5072,"&lt;&gt;"),"00000"),""))</f>
        <v/>
      </c>
      <c r="N5072" s="22"/>
    </row>
    <row r="5073" spans="1:14" x14ac:dyDescent="0.3">
      <c r="A5073" s="15" t="str">
        <f>IF(COUNTA($B5073:$E5073,$K5073)=0,"",IF(AND($B5073&lt;&gt;"",$C5073&lt;&gt;"",$D5073&lt;&gt;"",$E5073&lt;&gt;""),"TXS"&amp;TEXT(COUNTIFS($B$2:$B5073,"&lt;&gt;",$C$2:$C5073,"&lt;&gt;",$D$2:$D5073,"&lt;&gt;",$E$2:$E5073,"&lt;&gt;"),"00000"),""))</f>
        <v/>
      </c>
      <c r="N5073" s="22"/>
    </row>
    <row r="5074" spans="1:14" x14ac:dyDescent="0.3">
      <c r="A5074" s="15" t="str">
        <f>IF(COUNTA($B5074:$E5074,$K5074)=0,"",IF(AND($B5074&lt;&gt;"",$C5074&lt;&gt;"",$D5074&lt;&gt;"",$E5074&lt;&gt;""),"TXS"&amp;TEXT(COUNTIFS($B$2:$B5074,"&lt;&gt;",$C$2:$C5074,"&lt;&gt;",$D$2:$D5074,"&lt;&gt;",$E$2:$E5074,"&lt;&gt;"),"00000"),""))</f>
        <v/>
      </c>
      <c r="N5074" s="22"/>
    </row>
    <row r="5075" spans="1:14" x14ac:dyDescent="0.3">
      <c r="A5075" s="15" t="str">
        <f>IF(COUNTA($B5075:$E5075,$K5075)=0,"",IF(AND($B5075&lt;&gt;"",$C5075&lt;&gt;"",$D5075&lt;&gt;"",$E5075&lt;&gt;""),"TXS"&amp;TEXT(COUNTIFS($B$2:$B5075,"&lt;&gt;",$C$2:$C5075,"&lt;&gt;",$D$2:$D5075,"&lt;&gt;",$E$2:$E5075,"&lt;&gt;"),"00000"),""))</f>
        <v/>
      </c>
      <c r="N5075" s="22"/>
    </row>
    <row r="5076" spans="1:14" x14ac:dyDescent="0.3">
      <c r="A5076" s="15" t="str">
        <f>IF(COUNTA($B5076:$E5076,$K5076)=0,"",IF(AND($B5076&lt;&gt;"",$C5076&lt;&gt;"",$D5076&lt;&gt;"",$E5076&lt;&gt;""),"TXS"&amp;TEXT(COUNTIFS($B$2:$B5076,"&lt;&gt;",$C$2:$C5076,"&lt;&gt;",$D$2:$D5076,"&lt;&gt;",$E$2:$E5076,"&lt;&gt;"),"00000"),""))</f>
        <v/>
      </c>
      <c r="N5076" s="22"/>
    </row>
    <row r="5077" spans="1:14" x14ac:dyDescent="0.3">
      <c r="A5077" s="15" t="str">
        <f>IF(COUNTA($B5077:$E5077,$K5077)=0,"",IF(AND($B5077&lt;&gt;"",$C5077&lt;&gt;"",$D5077&lt;&gt;"",$E5077&lt;&gt;""),"TXS"&amp;TEXT(COUNTIFS($B$2:$B5077,"&lt;&gt;",$C$2:$C5077,"&lt;&gt;",$D$2:$D5077,"&lt;&gt;",$E$2:$E5077,"&lt;&gt;"),"00000"),""))</f>
        <v/>
      </c>
      <c r="N5077" s="22"/>
    </row>
    <row r="5078" spans="1:14" x14ac:dyDescent="0.3">
      <c r="A5078" s="15" t="str">
        <f>IF(COUNTA($B5078:$E5078,$K5078)=0,"",IF(AND($B5078&lt;&gt;"",$C5078&lt;&gt;"",$D5078&lt;&gt;"",$E5078&lt;&gt;""),"TXS"&amp;TEXT(COUNTIFS($B$2:$B5078,"&lt;&gt;",$C$2:$C5078,"&lt;&gt;",$D$2:$D5078,"&lt;&gt;",$E$2:$E5078,"&lt;&gt;"),"00000"),""))</f>
        <v/>
      </c>
      <c r="N5078" s="22"/>
    </row>
    <row r="5079" spans="1:14" x14ac:dyDescent="0.3">
      <c r="A5079" s="15" t="str">
        <f>IF(COUNTA($B5079:$E5079,$K5079)=0,"",IF(AND($B5079&lt;&gt;"",$C5079&lt;&gt;"",$D5079&lt;&gt;"",$E5079&lt;&gt;""),"TXS"&amp;TEXT(COUNTIFS($B$2:$B5079,"&lt;&gt;",$C$2:$C5079,"&lt;&gt;",$D$2:$D5079,"&lt;&gt;",$E$2:$E5079,"&lt;&gt;"),"00000"),""))</f>
        <v/>
      </c>
      <c r="N5079" s="22"/>
    </row>
    <row r="5080" spans="1:14" x14ac:dyDescent="0.3">
      <c r="A5080" s="15" t="str">
        <f>IF(COUNTA($B5080:$E5080,$K5080)=0,"",IF(AND($B5080&lt;&gt;"",$C5080&lt;&gt;"",$D5080&lt;&gt;"",$E5080&lt;&gt;""),"TXS"&amp;TEXT(COUNTIFS($B$2:$B5080,"&lt;&gt;",$C$2:$C5080,"&lt;&gt;",$D$2:$D5080,"&lt;&gt;",$E$2:$E5080,"&lt;&gt;"),"00000"),""))</f>
        <v/>
      </c>
      <c r="N5080" s="22"/>
    </row>
    <row r="5081" spans="1:14" x14ac:dyDescent="0.3">
      <c r="A5081" s="15" t="str">
        <f>IF(COUNTA($B5081:$E5081,$K5081)=0,"",IF(AND($B5081&lt;&gt;"",$C5081&lt;&gt;"",$D5081&lt;&gt;"",$E5081&lt;&gt;""),"TXS"&amp;TEXT(COUNTIFS($B$2:$B5081,"&lt;&gt;",$C$2:$C5081,"&lt;&gt;",$D$2:$D5081,"&lt;&gt;",$E$2:$E5081,"&lt;&gt;"),"00000"),""))</f>
        <v/>
      </c>
      <c r="N5081" s="22"/>
    </row>
    <row r="5082" spans="1:14" x14ac:dyDescent="0.3">
      <c r="A5082" s="15" t="str">
        <f>IF(COUNTA($B5082:$E5082,$K5082)=0,"",IF(AND($B5082&lt;&gt;"",$C5082&lt;&gt;"",$D5082&lt;&gt;"",$E5082&lt;&gt;""),"TXS"&amp;TEXT(COUNTIFS($B$2:$B5082,"&lt;&gt;",$C$2:$C5082,"&lt;&gt;",$D$2:$D5082,"&lt;&gt;",$E$2:$E5082,"&lt;&gt;"),"00000"),""))</f>
        <v/>
      </c>
      <c r="N5082" s="22"/>
    </row>
    <row r="5083" spans="1:14" x14ac:dyDescent="0.3">
      <c r="A5083" s="15" t="str">
        <f>IF(COUNTA($B5083:$E5083,$K5083)=0,"",IF(AND($B5083&lt;&gt;"",$C5083&lt;&gt;"",$D5083&lt;&gt;"",$E5083&lt;&gt;""),"TXS"&amp;TEXT(COUNTIFS($B$2:$B5083,"&lt;&gt;",$C$2:$C5083,"&lt;&gt;",$D$2:$D5083,"&lt;&gt;",$E$2:$E5083,"&lt;&gt;"),"00000"),""))</f>
        <v/>
      </c>
      <c r="N5083" s="22"/>
    </row>
    <row r="5084" spans="1:14" x14ac:dyDescent="0.3">
      <c r="A5084" s="15" t="str">
        <f>IF(COUNTA($B5084:$E5084,$K5084)=0,"",IF(AND($B5084&lt;&gt;"",$C5084&lt;&gt;"",$D5084&lt;&gt;"",$E5084&lt;&gt;""),"TXS"&amp;TEXT(COUNTIFS($B$2:$B5084,"&lt;&gt;",$C$2:$C5084,"&lt;&gt;",$D$2:$D5084,"&lt;&gt;",$E$2:$E5084,"&lt;&gt;"),"00000"),""))</f>
        <v/>
      </c>
      <c r="N5084" s="22"/>
    </row>
    <row r="5085" spans="1:14" x14ac:dyDescent="0.3">
      <c r="A5085" s="15" t="str">
        <f>IF(COUNTA($B5085:$E5085,$K5085)=0,"",IF(AND($B5085&lt;&gt;"",$C5085&lt;&gt;"",$D5085&lt;&gt;"",$E5085&lt;&gt;""),"TXS"&amp;TEXT(COUNTIFS($B$2:$B5085,"&lt;&gt;",$C$2:$C5085,"&lt;&gt;",$D$2:$D5085,"&lt;&gt;",$E$2:$E5085,"&lt;&gt;"),"00000"),""))</f>
        <v/>
      </c>
      <c r="N5085" s="22"/>
    </row>
    <row r="5086" spans="1:14" x14ac:dyDescent="0.3">
      <c r="A5086" s="15" t="str">
        <f>IF(COUNTA($B5086:$E5086,$K5086)=0,"",IF(AND($B5086&lt;&gt;"",$C5086&lt;&gt;"",$D5086&lt;&gt;"",$E5086&lt;&gt;""),"TXS"&amp;TEXT(COUNTIFS($B$2:$B5086,"&lt;&gt;",$C$2:$C5086,"&lt;&gt;",$D$2:$D5086,"&lt;&gt;",$E$2:$E5086,"&lt;&gt;"),"00000"),""))</f>
        <v/>
      </c>
      <c r="N5086" s="22"/>
    </row>
    <row r="5087" spans="1:14" x14ac:dyDescent="0.3">
      <c r="A5087" s="15" t="str">
        <f>IF(COUNTA($B5087:$E5087,$K5087)=0,"",IF(AND($B5087&lt;&gt;"",$C5087&lt;&gt;"",$D5087&lt;&gt;"",$E5087&lt;&gt;""),"TXS"&amp;TEXT(COUNTIFS($B$2:$B5087,"&lt;&gt;",$C$2:$C5087,"&lt;&gt;",$D$2:$D5087,"&lt;&gt;",$E$2:$E5087,"&lt;&gt;"),"00000"),""))</f>
        <v/>
      </c>
      <c r="N5087" s="22"/>
    </row>
    <row r="5088" spans="1:14" x14ac:dyDescent="0.3">
      <c r="A5088" s="15" t="str">
        <f>IF(COUNTA($B5088:$E5088,$K5088)=0,"",IF(AND($B5088&lt;&gt;"",$C5088&lt;&gt;"",$D5088&lt;&gt;"",$E5088&lt;&gt;""),"TXS"&amp;TEXT(COUNTIFS($B$2:$B5088,"&lt;&gt;",$C$2:$C5088,"&lt;&gt;",$D$2:$D5088,"&lt;&gt;",$E$2:$E5088,"&lt;&gt;"),"00000"),""))</f>
        <v/>
      </c>
      <c r="N5088" s="22"/>
    </row>
    <row r="5089" spans="1:14" x14ac:dyDescent="0.3">
      <c r="A5089" s="15" t="str">
        <f>IF(COUNTA($B5089:$E5089,$K5089)=0,"",IF(AND($B5089&lt;&gt;"",$C5089&lt;&gt;"",$D5089&lt;&gt;"",$E5089&lt;&gt;""),"TXS"&amp;TEXT(COUNTIFS($B$2:$B5089,"&lt;&gt;",$C$2:$C5089,"&lt;&gt;",$D$2:$D5089,"&lt;&gt;",$E$2:$E5089,"&lt;&gt;"),"00000"),""))</f>
        <v/>
      </c>
      <c r="N5089" s="22"/>
    </row>
    <row r="5090" spans="1:14" x14ac:dyDescent="0.3">
      <c r="A5090" s="15" t="str">
        <f>IF(COUNTA($B5090:$E5090,$K5090)=0,"",IF(AND($B5090&lt;&gt;"",$C5090&lt;&gt;"",$D5090&lt;&gt;"",$E5090&lt;&gt;""),"TXS"&amp;TEXT(COUNTIFS($B$2:$B5090,"&lt;&gt;",$C$2:$C5090,"&lt;&gt;",$D$2:$D5090,"&lt;&gt;",$E$2:$E5090,"&lt;&gt;"),"00000"),""))</f>
        <v/>
      </c>
      <c r="N5090" s="22"/>
    </row>
    <row r="5091" spans="1:14" x14ac:dyDescent="0.3">
      <c r="A5091" s="15" t="str">
        <f>IF(COUNTA($B5091:$E5091,$K5091)=0,"",IF(AND($B5091&lt;&gt;"",$C5091&lt;&gt;"",$D5091&lt;&gt;"",$E5091&lt;&gt;""),"TXS"&amp;TEXT(COUNTIFS($B$2:$B5091,"&lt;&gt;",$C$2:$C5091,"&lt;&gt;",$D$2:$D5091,"&lt;&gt;",$E$2:$E5091,"&lt;&gt;"),"00000"),""))</f>
        <v/>
      </c>
      <c r="N5091" s="22"/>
    </row>
    <row r="5092" spans="1:14" x14ac:dyDescent="0.3">
      <c r="A5092" s="15" t="str">
        <f>IF(COUNTA($B5092:$E5092,$K5092)=0,"",IF(AND($B5092&lt;&gt;"",$C5092&lt;&gt;"",$D5092&lt;&gt;"",$E5092&lt;&gt;""),"TXS"&amp;TEXT(COUNTIFS($B$2:$B5092,"&lt;&gt;",$C$2:$C5092,"&lt;&gt;",$D$2:$D5092,"&lt;&gt;",$E$2:$E5092,"&lt;&gt;"),"00000"),""))</f>
        <v/>
      </c>
      <c r="N5092" s="22"/>
    </row>
    <row r="5093" spans="1:14" x14ac:dyDescent="0.3">
      <c r="A5093" s="15" t="str">
        <f>IF(COUNTA($B5093:$E5093,$K5093)=0,"",IF(AND($B5093&lt;&gt;"",$C5093&lt;&gt;"",$D5093&lt;&gt;"",$E5093&lt;&gt;""),"TXS"&amp;TEXT(COUNTIFS($B$2:$B5093,"&lt;&gt;",$C$2:$C5093,"&lt;&gt;",$D$2:$D5093,"&lt;&gt;",$E$2:$E5093,"&lt;&gt;"),"00000"),""))</f>
        <v/>
      </c>
      <c r="N5093" s="22"/>
    </row>
    <row r="5094" spans="1:14" x14ac:dyDescent="0.3">
      <c r="A5094" s="15" t="str">
        <f>IF(COUNTA($B5094:$E5094,$K5094)=0,"",IF(AND($B5094&lt;&gt;"",$C5094&lt;&gt;"",$D5094&lt;&gt;"",$E5094&lt;&gt;""),"TXS"&amp;TEXT(COUNTIFS($B$2:$B5094,"&lt;&gt;",$C$2:$C5094,"&lt;&gt;",$D$2:$D5094,"&lt;&gt;",$E$2:$E5094,"&lt;&gt;"),"00000"),""))</f>
        <v/>
      </c>
      <c r="N5094" s="22"/>
    </row>
    <row r="5095" spans="1:14" x14ac:dyDescent="0.3">
      <c r="A5095" s="15" t="str">
        <f>IF(COUNTA($B5095:$E5095,$K5095)=0,"",IF(AND($B5095&lt;&gt;"",$C5095&lt;&gt;"",$D5095&lt;&gt;"",$E5095&lt;&gt;""),"TXS"&amp;TEXT(COUNTIFS($B$2:$B5095,"&lt;&gt;",$C$2:$C5095,"&lt;&gt;",$D$2:$D5095,"&lt;&gt;",$E$2:$E5095,"&lt;&gt;"),"00000"),""))</f>
        <v/>
      </c>
      <c r="N5095" s="22"/>
    </row>
    <row r="5096" spans="1:14" x14ac:dyDescent="0.3">
      <c r="A5096" s="15" t="str">
        <f>IF(COUNTA($B5096:$E5096,$K5096)=0,"",IF(AND($B5096&lt;&gt;"",$C5096&lt;&gt;"",$D5096&lt;&gt;"",$E5096&lt;&gt;""),"TXS"&amp;TEXT(COUNTIFS($B$2:$B5096,"&lt;&gt;",$C$2:$C5096,"&lt;&gt;",$D$2:$D5096,"&lt;&gt;",$E$2:$E5096,"&lt;&gt;"),"00000"),""))</f>
        <v/>
      </c>
      <c r="N5096" s="22"/>
    </row>
    <row r="5097" spans="1:14" x14ac:dyDescent="0.3">
      <c r="A5097" s="15" t="str">
        <f>IF(COUNTA($B5097:$E5097,$K5097)=0,"",IF(AND($B5097&lt;&gt;"",$C5097&lt;&gt;"",$D5097&lt;&gt;"",$E5097&lt;&gt;""),"TXS"&amp;TEXT(COUNTIFS($B$2:$B5097,"&lt;&gt;",$C$2:$C5097,"&lt;&gt;",$D$2:$D5097,"&lt;&gt;",$E$2:$E5097,"&lt;&gt;"),"00000"),""))</f>
        <v/>
      </c>
      <c r="N5097" s="22"/>
    </row>
    <row r="5098" spans="1:14" x14ac:dyDescent="0.3">
      <c r="A5098" s="15" t="str">
        <f>IF(COUNTA($B5098:$E5098,$K5098)=0,"",IF(AND($B5098&lt;&gt;"",$C5098&lt;&gt;"",$D5098&lt;&gt;"",$E5098&lt;&gt;""),"TXS"&amp;TEXT(COUNTIFS($B$2:$B5098,"&lt;&gt;",$C$2:$C5098,"&lt;&gt;",$D$2:$D5098,"&lt;&gt;",$E$2:$E5098,"&lt;&gt;"),"00000"),""))</f>
        <v/>
      </c>
      <c r="N5098" s="22"/>
    </row>
    <row r="5099" spans="1:14" x14ac:dyDescent="0.3">
      <c r="A5099" s="15" t="str">
        <f>IF(COUNTA($B5099:$E5099,$K5099)=0,"",IF(AND($B5099&lt;&gt;"",$C5099&lt;&gt;"",$D5099&lt;&gt;"",$E5099&lt;&gt;""),"TXS"&amp;TEXT(COUNTIFS($B$2:$B5099,"&lt;&gt;",$C$2:$C5099,"&lt;&gt;",$D$2:$D5099,"&lt;&gt;",$E$2:$E5099,"&lt;&gt;"),"00000"),""))</f>
        <v/>
      </c>
      <c r="N5099" s="22"/>
    </row>
    <row r="5100" spans="1:14" x14ac:dyDescent="0.3">
      <c r="A5100" s="15" t="str">
        <f>IF(COUNTA($B5100:$E5100,$K5100)=0,"",IF(AND($B5100&lt;&gt;"",$C5100&lt;&gt;"",$D5100&lt;&gt;"",$E5100&lt;&gt;""),"TXS"&amp;TEXT(COUNTIFS($B$2:$B5100,"&lt;&gt;",$C$2:$C5100,"&lt;&gt;",$D$2:$D5100,"&lt;&gt;",$E$2:$E5100,"&lt;&gt;"),"00000"),""))</f>
        <v/>
      </c>
      <c r="N5100" s="22"/>
    </row>
    <row r="5101" spans="1:14" x14ac:dyDescent="0.3">
      <c r="A5101" s="15" t="str">
        <f>IF(COUNTA($B5101:$E5101,$K5101)=0,"",IF(AND($B5101&lt;&gt;"",$C5101&lt;&gt;"",$D5101&lt;&gt;"",$E5101&lt;&gt;""),"TXS"&amp;TEXT(COUNTIFS($B$2:$B5101,"&lt;&gt;",$C$2:$C5101,"&lt;&gt;",$D$2:$D5101,"&lt;&gt;",$E$2:$E5101,"&lt;&gt;"),"00000"),""))</f>
        <v/>
      </c>
      <c r="N5101" s="22"/>
    </row>
    <row r="5102" spans="1:14" x14ac:dyDescent="0.3">
      <c r="A5102" s="15" t="str">
        <f>IF(COUNTA($B5102:$E5102,$K5102)=0,"",IF(AND($B5102&lt;&gt;"",$C5102&lt;&gt;"",$D5102&lt;&gt;"",$E5102&lt;&gt;""),"TXS"&amp;TEXT(COUNTIFS($B$2:$B5102,"&lt;&gt;",$C$2:$C5102,"&lt;&gt;",$D$2:$D5102,"&lt;&gt;",$E$2:$E5102,"&lt;&gt;"),"00000"),""))</f>
        <v/>
      </c>
      <c r="N5102" s="22"/>
    </row>
    <row r="5103" spans="1:14" x14ac:dyDescent="0.3">
      <c r="A5103" s="15" t="str">
        <f>IF(COUNTA($B5103:$E5103,$K5103)=0,"",IF(AND($B5103&lt;&gt;"",$C5103&lt;&gt;"",$D5103&lt;&gt;"",$E5103&lt;&gt;""),"TXS"&amp;TEXT(COUNTIFS($B$2:$B5103,"&lt;&gt;",$C$2:$C5103,"&lt;&gt;",$D$2:$D5103,"&lt;&gt;",$E$2:$E5103,"&lt;&gt;"),"00000"),""))</f>
        <v/>
      </c>
      <c r="N5103" s="22"/>
    </row>
    <row r="5104" spans="1:14" x14ac:dyDescent="0.3">
      <c r="A5104" s="15" t="str">
        <f>IF(COUNTA($B5104:$E5104,$K5104)=0,"",IF(AND($B5104&lt;&gt;"",$C5104&lt;&gt;"",$D5104&lt;&gt;"",$E5104&lt;&gt;""),"TXS"&amp;TEXT(COUNTIFS($B$2:$B5104,"&lt;&gt;",$C$2:$C5104,"&lt;&gt;",$D$2:$D5104,"&lt;&gt;",$E$2:$E5104,"&lt;&gt;"),"00000"),""))</f>
        <v/>
      </c>
      <c r="N5104" s="22"/>
    </row>
    <row r="5105" spans="1:14" x14ac:dyDescent="0.3">
      <c r="A5105" s="15" t="str">
        <f>IF(COUNTA($B5105:$E5105,$K5105)=0,"",IF(AND($B5105&lt;&gt;"",$C5105&lt;&gt;"",$D5105&lt;&gt;"",$E5105&lt;&gt;""),"TXS"&amp;TEXT(COUNTIFS($B$2:$B5105,"&lt;&gt;",$C$2:$C5105,"&lt;&gt;",$D$2:$D5105,"&lt;&gt;",$E$2:$E5105,"&lt;&gt;"),"00000"),""))</f>
        <v/>
      </c>
      <c r="N5105" s="22"/>
    </row>
    <row r="5106" spans="1:14" x14ac:dyDescent="0.3">
      <c r="A5106" s="15" t="str">
        <f>IF(COUNTA($B5106:$E5106,$K5106)=0,"",IF(AND($B5106&lt;&gt;"",$C5106&lt;&gt;"",$D5106&lt;&gt;"",$E5106&lt;&gt;""),"TXS"&amp;TEXT(COUNTIFS($B$2:$B5106,"&lt;&gt;",$C$2:$C5106,"&lt;&gt;",$D$2:$D5106,"&lt;&gt;",$E$2:$E5106,"&lt;&gt;"),"00000"),""))</f>
        <v/>
      </c>
      <c r="N5106" s="22"/>
    </row>
    <row r="5107" spans="1:14" x14ac:dyDescent="0.3">
      <c r="A5107" s="15" t="str">
        <f>IF(COUNTA($B5107:$E5107,$K5107)=0,"",IF(AND($B5107&lt;&gt;"",$C5107&lt;&gt;"",$D5107&lt;&gt;"",$E5107&lt;&gt;""),"TXS"&amp;TEXT(COUNTIFS($B$2:$B5107,"&lt;&gt;",$C$2:$C5107,"&lt;&gt;",$D$2:$D5107,"&lt;&gt;",$E$2:$E5107,"&lt;&gt;"),"00000"),""))</f>
        <v/>
      </c>
      <c r="N5107" s="22"/>
    </row>
    <row r="5108" spans="1:14" x14ac:dyDescent="0.3">
      <c r="A5108" s="15" t="str">
        <f>IF(COUNTA($B5108:$E5108,$K5108)=0,"",IF(AND($B5108&lt;&gt;"",$C5108&lt;&gt;"",$D5108&lt;&gt;"",$E5108&lt;&gt;""),"TXS"&amp;TEXT(COUNTIFS($B$2:$B5108,"&lt;&gt;",$C$2:$C5108,"&lt;&gt;",$D$2:$D5108,"&lt;&gt;",$E$2:$E5108,"&lt;&gt;"),"00000"),""))</f>
        <v/>
      </c>
      <c r="N5108" s="22"/>
    </row>
    <row r="5109" spans="1:14" x14ac:dyDescent="0.3">
      <c r="A5109" s="15" t="str">
        <f>IF(COUNTA($B5109:$E5109,$K5109)=0,"",IF(AND($B5109&lt;&gt;"",$C5109&lt;&gt;"",$D5109&lt;&gt;"",$E5109&lt;&gt;""),"TXS"&amp;TEXT(COUNTIFS($B$2:$B5109,"&lt;&gt;",$C$2:$C5109,"&lt;&gt;",$D$2:$D5109,"&lt;&gt;",$E$2:$E5109,"&lt;&gt;"),"00000"),""))</f>
        <v/>
      </c>
      <c r="N5109" s="22"/>
    </row>
    <row r="5110" spans="1:14" x14ac:dyDescent="0.3">
      <c r="A5110" s="15" t="str">
        <f>IF(COUNTA($B5110:$E5110,$K5110)=0,"",IF(AND($B5110&lt;&gt;"",$C5110&lt;&gt;"",$D5110&lt;&gt;"",$E5110&lt;&gt;""),"TXS"&amp;TEXT(COUNTIFS($B$2:$B5110,"&lt;&gt;",$C$2:$C5110,"&lt;&gt;",$D$2:$D5110,"&lt;&gt;",$E$2:$E5110,"&lt;&gt;"),"00000"),""))</f>
        <v/>
      </c>
      <c r="N5110" s="22"/>
    </row>
    <row r="5111" spans="1:14" x14ac:dyDescent="0.3">
      <c r="A5111" s="15" t="str">
        <f>IF(COUNTA($B5111:$E5111,$K5111)=0,"",IF(AND($B5111&lt;&gt;"",$C5111&lt;&gt;"",$D5111&lt;&gt;"",$E5111&lt;&gt;""),"TXS"&amp;TEXT(COUNTIFS($B$2:$B5111,"&lt;&gt;",$C$2:$C5111,"&lt;&gt;",$D$2:$D5111,"&lt;&gt;",$E$2:$E5111,"&lt;&gt;"),"00000"),""))</f>
        <v/>
      </c>
      <c r="N5111" s="22"/>
    </row>
    <row r="5112" spans="1:14" x14ac:dyDescent="0.3">
      <c r="A5112" s="15" t="str">
        <f>IF(COUNTA($B5112:$E5112,$K5112)=0,"",IF(AND($B5112&lt;&gt;"",$C5112&lt;&gt;"",$D5112&lt;&gt;"",$E5112&lt;&gt;""),"TXS"&amp;TEXT(COUNTIFS($B$2:$B5112,"&lt;&gt;",$C$2:$C5112,"&lt;&gt;",$D$2:$D5112,"&lt;&gt;",$E$2:$E5112,"&lt;&gt;"),"00000"),""))</f>
        <v/>
      </c>
      <c r="N5112" s="22"/>
    </row>
    <row r="5113" spans="1:14" x14ac:dyDescent="0.3">
      <c r="A5113" s="15" t="str">
        <f>IF(COUNTA($B5113:$E5113,$K5113)=0,"",IF(AND($B5113&lt;&gt;"",$C5113&lt;&gt;"",$D5113&lt;&gt;"",$E5113&lt;&gt;""),"TXS"&amp;TEXT(COUNTIFS($B$2:$B5113,"&lt;&gt;",$C$2:$C5113,"&lt;&gt;",$D$2:$D5113,"&lt;&gt;",$E$2:$E5113,"&lt;&gt;"),"00000"),""))</f>
        <v/>
      </c>
      <c r="N5113" s="22"/>
    </row>
    <row r="5114" spans="1:14" x14ac:dyDescent="0.3">
      <c r="A5114" s="15" t="str">
        <f>IF(COUNTA($B5114:$E5114,$K5114)=0,"",IF(AND($B5114&lt;&gt;"",$C5114&lt;&gt;"",$D5114&lt;&gt;"",$E5114&lt;&gt;""),"TXS"&amp;TEXT(COUNTIFS($B$2:$B5114,"&lt;&gt;",$C$2:$C5114,"&lt;&gt;",$D$2:$D5114,"&lt;&gt;",$E$2:$E5114,"&lt;&gt;"),"00000"),""))</f>
        <v/>
      </c>
      <c r="N5114" s="22"/>
    </row>
    <row r="5115" spans="1:14" x14ac:dyDescent="0.3">
      <c r="A5115" s="15" t="str">
        <f>IF(COUNTA($B5115:$E5115,$K5115)=0,"",IF(AND($B5115&lt;&gt;"",$C5115&lt;&gt;"",$D5115&lt;&gt;"",$E5115&lt;&gt;""),"TXS"&amp;TEXT(COUNTIFS($B$2:$B5115,"&lt;&gt;",$C$2:$C5115,"&lt;&gt;",$D$2:$D5115,"&lt;&gt;",$E$2:$E5115,"&lt;&gt;"),"00000"),""))</f>
        <v/>
      </c>
      <c r="N5115" s="22"/>
    </row>
    <row r="5116" spans="1:14" x14ac:dyDescent="0.3">
      <c r="A5116" s="15" t="str">
        <f>IF(COUNTA($B5116:$E5116,$K5116)=0,"",IF(AND($B5116&lt;&gt;"",$C5116&lt;&gt;"",$D5116&lt;&gt;"",$E5116&lt;&gt;""),"TXS"&amp;TEXT(COUNTIFS($B$2:$B5116,"&lt;&gt;",$C$2:$C5116,"&lt;&gt;",$D$2:$D5116,"&lt;&gt;",$E$2:$E5116,"&lt;&gt;"),"00000"),""))</f>
        <v/>
      </c>
      <c r="N5116" s="22"/>
    </row>
    <row r="5117" spans="1:14" x14ac:dyDescent="0.3">
      <c r="A5117" s="15" t="str">
        <f>IF(COUNTA($B5117:$E5117,$K5117)=0,"",IF(AND($B5117&lt;&gt;"",$C5117&lt;&gt;"",$D5117&lt;&gt;"",$E5117&lt;&gt;""),"TXS"&amp;TEXT(COUNTIFS($B$2:$B5117,"&lt;&gt;",$C$2:$C5117,"&lt;&gt;",$D$2:$D5117,"&lt;&gt;",$E$2:$E5117,"&lt;&gt;"),"00000"),""))</f>
        <v/>
      </c>
      <c r="N5117" s="22"/>
    </row>
    <row r="5118" spans="1:14" x14ac:dyDescent="0.3">
      <c r="A5118" s="15" t="str">
        <f>IF(COUNTA($B5118:$E5118,$K5118)=0,"",IF(AND($B5118&lt;&gt;"",$C5118&lt;&gt;"",$D5118&lt;&gt;"",$E5118&lt;&gt;""),"TXS"&amp;TEXT(COUNTIFS($B$2:$B5118,"&lt;&gt;",$C$2:$C5118,"&lt;&gt;",$D$2:$D5118,"&lt;&gt;",$E$2:$E5118,"&lt;&gt;"),"00000"),""))</f>
        <v/>
      </c>
      <c r="N5118" s="22"/>
    </row>
    <row r="5119" spans="1:14" x14ac:dyDescent="0.3">
      <c r="A5119" s="15" t="str">
        <f>IF(COUNTA($B5119:$E5119,$K5119)=0,"",IF(AND($B5119&lt;&gt;"",$C5119&lt;&gt;"",$D5119&lt;&gt;"",$E5119&lt;&gt;""),"TXS"&amp;TEXT(COUNTIFS($B$2:$B5119,"&lt;&gt;",$C$2:$C5119,"&lt;&gt;",$D$2:$D5119,"&lt;&gt;",$E$2:$E5119,"&lt;&gt;"),"00000"),""))</f>
        <v/>
      </c>
      <c r="N5119" s="22"/>
    </row>
    <row r="5120" spans="1:14" x14ac:dyDescent="0.3">
      <c r="A5120" s="15" t="str">
        <f>IF(COUNTA($B5120:$E5120,$K5120)=0,"",IF(AND($B5120&lt;&gt;"",$C5120&lt;&gt;"",$D5120&lt;&gt;"",$E5120&lt;&gt;""),"TXS"&amp;TEXT(COUNTIFS($B$2:$B5120,"&lt;&gt;",$C$2:$C5120,"&lt;&gt;",$D$2:$D5120,"&lt;&gt;",$E$2:$E5120,"&lt;&gt;"),"00000"),""))</f>
        <v/>
      </c>
      <c r="N5120" s="22"/>
    </row>
    <row r="5121" spans="1:14" x14ac:dyDescent="0.3">
      <c r="A5121" s="15" t="str">
        <f>IF(COUNTA($B5121:$E5121,$K5121)=0,"",IF(AND($B5121&lt;&gt;"",$C5121&lt;&gt;"",$D5121&lt;&gt;"",$E5121&lt;&gt;""),"TXS"&amp;TEXT(COUNTIFS($B$2:$B5121,"&lt;&gt;",$C$2:$C5121,"&lt;&gt;",$D$2:$D5121,"&lt;&gt;",$E$2:$E5121,"&lt;&gt;"),"00000"),""))</f>
        <v/>
      </c>
      <c r="N5121" s="22"/>
    </row>
    <row r="5122" spans="1:14" x14ac:dyDescent="0.3">
      <c r="A5122" s="15" t="str">
        <f>IF(COUNTA($B5122:$E5122,$K5122)=0,"",IF(AND($B5122&lt;&gt;"",$C5122&lt;&gt;"",$D5122&lt;&gt;"",$E5122&lt;&gt;""),"TXS"&amp;TEXT(COUNTIFS($B$2:$B5122,"&lt;&gt;",$C$2:$C5122,"&lt;&gt;",$D$2:$D5122,"&lt;&gt;",$E$2:$E5122,"&lt;&gt;"),"00000"),""))</f>
        <v/>
      </c>
      <c r="N5122" s="22"/>
    </row>
    <row r="5123" spans="1:14" x14ac:dyDescent="0.3">
      <c r="A5123" s="15" t="str">
        <f>IF(COUNTA($B5123:$E5123,$K5123)=0,"",IF(AND($B5123&lt;&gt;"",$C5123&lt;&gt;"",$D5123&lt;&gt;"",$E5123&lt;&gt;""),"TXS"&amp;TEXT(COUNTIFS($B$2:$B5123,"&lt;&gt;",$C$2:$C5123,"&lt;&gt;",$D$2:$D5123,"&lt;&gt;",$E$2:$E5123,"&lt;&gt;"),"00000"),""))</f>
        <v/>
      </c>
      <c r="N5123" s="22"/>
    </row>
    <row r="5124" spans="1:14" x14ac:dyDescent="0.3">
      <c r="A5124" s="15" t="str">
        <f>IF(COUNTA($B5124:$E5124,$K5124)=0,"",IF(AND($B5124&lt;&gt;"",$C5124&lt;&gt;"",$D5124&lt;&gt;"",$E5124&lt;&gt;""),"TXS"&amp;TEXT(COUNTIFS($B$2:$B5124,"&lt;&gt;",$C$2:$C5124,"&lt;&gt;",$D$2:$D5124,"&lt;&gt;",$E$2:$E5124,"&lt;&gt;"),"00000"),""))</f>
        <v/>
      </c>
      <c r="N5124" s="22"/>
    </row>
    <row r="5125" spans="1:14" x14ac:dyDescent="0.3">
      <c r="A5125" s="15" t="str">
        <f>IF(COUNTA($B5125:$E5125,$K5125)=0,"",IF(AND($B5125&lt;&gt;"",$C5125&lt;&gt;"",$D5125&lt;&gt;"",$E5125&lt;&gt;""),"TXS"&amp;TEXT(COUNTIFS($B$2:$B5125,"&lt;&gt;",$C$2:$C5125,"&lt;&gt;",$D$2:$D5125,"&lt;&gt;",$E$2:$E5125,"&lt;&gt;"),"00000"),""))</f>
        <v/>
      </c>
      <c r="N5125" s="22"/>
    </row>
    <row r="5126" spans="1:14" x14ac:dyDescent="0.3">
      <c r="A5126" s="15" t="str">
        <f>IF(COUNTA($B5126:$E5126,$K5126)=0,"",IF(AND($B5126&lt;&gt;"",$C5126&lt;&gt;"",$D5126&lt;&gt;"",$E5126&lt;&gt;""),"TXS"&amp;TEXT(COUNTIFS($B$2:$B5126,"&lt;&gt;",$C$2:$C5126,"&lt;&gt;",$D$2:$D5126,"&lt;&gt;",$E$2:$E5126,"&lt;&gt;"),"00000"),""))</f>
        <v/>
      </c>
      <c r="N5126" s="22"/>
    </row>
    <row r="5127" spans="1:14" x14ac:dyDescent="0.3">
      <c r="A5127" s="15" t="str">
        <f>IF(COUNTA($B5127:$E5127,$K5127)=0,"",IF(AND($B5127&lt;&gt;"",$C5127&lt;&gt;"",$D5127&lt;&gt;"",$E5127&lt;&gt;""),"TXS"&amp;TEXT(COUNTIFS($B$2:$B5127,"&lt;&gt;",$C$2:$C5127,"&lt;&gt;",$D$2:$D5127,"&lt;&gt;",$E$2:$E5127,"&lt;&gt;"),"00000"),""))</f>
        <v/>
      </c>
      <c r="N5127" s="22"/>
    </row>
    <row r="5128" spans="1:14" x14ac:dyDescent="0.3">
      <c r="A5128" s="15" t="str">
        <f>IF(COUNTA($B5128:$E5128,$K5128)=0,"",IF(AND($B5128&lt;&gt;"",$C5128&lt;&gt;"",$D5128&lt;&gt;"",$E5128&lt;&gt;""),"TXS"&amp;TEXT(COUNTIFS($B$2:$B5128,"&lt;&gt;",$C$2:$C5128,"&lt;&gt;",$D$2:$D5128,"&lt;&gt;",$E$2:$E5128,"&lt;&gt;"),"00000"),""))</f>
        <v/>
      </c>
      <c r="N5128" s="22"/>
    </row>
    <row r="5129" spans="1:14" x14ac:dyDescent="0.3">
      <c r="A5129" s="15" t="str">
        <f>IF(COUNTA($B5129:$E5129,$K5129)=0,"",IF(AND($B5129&lt;&gt;"",$C5129&lt;&gt;"",$D5129&lt;&gt;"",$E5129&lt;&gt;""),"TXS"&amp;TEXT(COUNTIFS($B$2:$B5129,"&lt;&gt;",$C$2:$C5129,"&lt;&gt;",$D$2:$D5129,"&lt;&gt;",$E$2:$E5129,"&lt;&gt;"),"00000"),""))</f>
        <v/>
      </c>
      <c r="N5129" s="22"/>
    </row>
    <row r="5130" spans="1:14" x14ac:dyDescent="0.3">
      <c r="A5130" s="15" t="str">
        <f>IF(COUNTA($B5130:$E5130,$K5130)=0,"",IF(AND($B5130&lt;&gt;"",$C5130&lt;&gt;"",$D5130&lt;&gt;"",$E5130&lt;&gt;""),"TXS"&amp;TEXT(COUNTIFS($B$2:$B5130,"&lt;&gt;",$C$2:$C5130,"&lt;&gt;",$D$2:$D5130,"&lt;&gt;",$E$2:$E5130,"&lt;&gt;"),"00000"),""))</f>
        <v/>
      </c>
      <c r="N5130" s="22"/>
    </row>
    <row r="5131" spans="1:14" x14ac:dyDescent="0.3">
      <c r="A5131" s="15" t="str">
        <f>IF(COUNTA($B5131:$E5131,$K5131)=0,"",IF(AND($B5131&lt;&gt;"",$C5131&lt;&gt;"",$D5131&lt;&gt;"",$E5131&lt;&gt;""),"TXS"&amp;TEXT(COUNTIFS($B$2:$B5131,"&lt;&gt;",$C$2:$C5131,"&lt;&gt;",$D$2:$D5131,"&lt;&gt;",$E$2:$E5131,"&lt;&gt;"),"00000"),""))</f>
        <v/>
      </c>
      <c r="N5131" s="22"/>
    </row>
    <row r="5132" spans="1:14" x14ac:dyDescent="0.3">
      <c r="A5132" s="15" t="str">
        <f>IF(COUNTA($B5132:$E5132,$K5132)=0,"",IF(AND($B5132&lt;&gt;"",$C5132&lt;&gt;"",$D5132&lt;&gt;"",$E5132&lt;&gt;""),"TXS"&amp;TEXT(COUNTIFS($B$2:$B5132,"&lt;&gt;",$C$2:$C5132,"&lt;&gt;",$D$2:$D5132,"&lt;&gt;",$E$2:$E5132,"&lt;&gt;"),"00000"),""))</f>
        <v/>
      </c>
      <c r="N5132" s="22"/>
    </row>
    <row r="5133" spans="1:14" x14ac:dyDescent="0.3">
      <c r="A5133" s="15" t="str">
        <f>IF(COUNTA($B5133:$E5133,$K5133)=0,"",IF(AND($B5133&lt;&gt;"",$C5133&lt;&gt;"",$D5133&lt;&gt;"",$E5133&lt;&gt;""),"TXS"&amp;TEXT(COUNTIFS($B$2:$B5133,"&lt;&gt;",$C$2:$C5133,"&lt;&gt;",$D$2:$D5133,"&lt;&gt;",$E$2:$E5133,"&lt;&gt;"),"00000"),""))</f>
        <v/>
      </c>
      <c r="N5133" s="22"/>
    </row>
    <row r="5134" spans="1:14" x14ac:dyDescent="0.3">
      <c r="A5134" s="15" t="str">
        <f>IF(COUNTA($B5134:$E5134,$K5134)=0,"",IF(AND($B5134&lt;&gt;"",$C5134&lt;&gt;"",$D5134&lt;&gt;"",$E5134&lt;&gt;""),"TXS"&amp;TEXT(COUNTIFS($B$2:$B5134,"&lt;&gt;",$C$2:$C5134,"&lt;&gt;",$D$2:$D5134,"&lt;&gt;",$E$2:$E5134,"&lt;&gt;"),"00000"),""))</f>
        <v/>
      </c>
      <c r="N5134" s="22"/>
    </row>
    <row r="5135" spans="1:14" x14ac:dyDescent="0.3">
      <c r="A5135" s="15" t="str">
        <f>IF(COUNTA($B5135:$E5135,$K5135)=0,"",IF(AND($B5135&lt;&gt;"",$C5135&lt;&gt;"",$D5135&lt;&gt;"",$E5135&lt;&gt;""),"TXS"&amp;TEXT(COUNTIFS($B$2:$B5135,"&lt;&gt;",$C$2:$C5135,"&lt;&gt;",$D$2:$D5135,"&lt;&gt;",$E$2:$E5135,"&lt;&gt;"),"00000"),""))</f>
        <v/>
      </c>
      <c r="N5135" s="22"/>
    </row>
    <row r="5136" spans="1:14" x14ac:dyDescent="0.3">
      <c r="A5136" s="15" t="str">
        <f>IF(COUNTA($B5136:$E5136,$K5136)=0,"",IF(AND($B5136&lt;&gt;"",$C5136&lt;&gt;"",$D5136&lt;&gt;"",$E5136&lt;&gt;""),"TXS"&amp;TEXT(COUNTIFS($B$2:$B5136,"&lt;&gt;",$C$2:$C5136,"&lt;&gt;",$D$2:$D5136,"&lt;&gt;",$E$2:$E5136,"&lt;&gt;"),"00000"),""))</f>
        <v/>
      </c>
      <c r="N5136" s="22"/>
    </row>
    <row r="5137" spans="1:14" x14ac:dyDescent="0.3">
      <c r="A5137" s="15" t="str">
        <f>IF(COUNTA($B5137:$E5137,$K5137)=0,"",IF(AND($B5137&lt;&gt;"",$C5137&lt;&gt;"",$D5137&lt;&gt;"",$E5137&lt;&gt;""),"TXS"&amp;TEXT(COUNTIFS($B$2:$B5137,"&lt;&gt;",$C$2:$C5137,"&lt;&gt;",$D$2:$D5137,"&lt;&gt;",$E$2:$E5137,"&lt;&gt;"),"00000"),""))</f>
        <v/>
      </c>
      <c r="N5137" s="22"/>
    </row>
    <row r="5138" spans="1:14" x14ac:dyDescent="0.3">
      <c r="A5138" s="15" t="str">
        <f>IF(COUNTA($B5138:$E5138,$K5138)=0,"",IF(AND($B5138&lt;&gt;"",$C5138&lt;&gt;"",$D5138&lt;&gt;"",$E5138&lt;&gt;""),"TXS"&amp;TEXT(COUNTIFS($B$2:$B5138,"&lt;&gt;",$C$2:$C5138,"&lt;&gt;",$D$2:$D5138,"&lt;&gt;",$E$2:$E5138,"&lt;&gt;"),"00000"),""))</f>
        <v/>
      </c>
      <c r="N5138" s="22"/>
    </row>
    <row r="5139" spans="1:14" x14ac:dyDescent="0.3">
      <c r="A5139" s="15" t="str">
        <f>IF(COUNTA($B5139:$E5139,$K5139)=0,"",IF(AND($B5139&lt;&gt;"",$C5139&lt;&gt;"",$D5139&lt;&gt;"",$E5139&lt;&gt;""),"TXS"&amp;TEXT(COUNTIFS($B$2:$B5139,"&lt;&gt;",$C$2:$C5139,"&lt;&gt;",$D$2:$D5139,"&lt;&gt;",$E$2:$E5139,"&lt;&gt;"),"00000"),""))</f>
        <v/>
      </c>
      <c r="N5139" s="22"/>
    </row>
    <row r="5140" spans="1:14" x14ac:dyDescent="0.3">
      <c r="A5140" s="15" t="str">
        <f>IF(COUNTA($B5140:$E5140,$K5140)=0,"",IF(AND($B5140&lt;&gt;"",$C5140&lt;&gt;"",$D5140&lt;&gt;"",$E5140&lt;&gt;""),"TXS"&amp;TEXT(COUNTIFS($B$2:$B5140,"&lt;&gt;",$C$2:$C5140,"&lt;&gt;",$D$2:$D5140,"&lt;&gt;",$E$2:$E5140,"&lt;&gt;"),"00000"),""))</f>
        <v/>
      </c>
      <c r="N5140" s="22"/>
    </row>
    <row r="5141" spans="1:14" x14ac:dyDescent="0.3">
      <c r="A5141" s="15" t="str">
        <f>IF(COUNTA($B5141:$E5141,$K5141)=0,"",IF(AND($B5141&lt;&gt;"",$C5141&lt;&gt;"",$D5141&lt;&gt;"",$E5141&lt;&gt;""),"TXS"&amp;TEXT(COUNTIFS($B$2:$B5141,"&lt;&gt;",$C$2:$C5141,"&lt;&gt;",$D$2:$D5141,"&lt;&gt;",$E$2:$E5141,"&lt;&gt;"),"00000"),""))</f>
        <v/>
      </c>
      <c r="N5141" s="22"/>
    </row>
    <row r="5142" spans="1:14" x14ac:dyDescent="0.3">
      <c r="A5142" s="15" t="str">
        <f>IF(COUNTA($B5142:$E5142,$K5142)=0,"",IF(AND($B5142&lt;&gt;"",$C5142&lt;&gt;"",$D5142&lt;&gt;"",$E5142&lt;&gt;""),"TXS"&amp;TEXT(COUNTIFS($B$2:$B5142,"&lt;&gt;",$C$2:$C5142,"&lt;&gt;",$D$2:$D5142,"&lt;&gt;",$E$2:$E5142,"&lt;&gt;"),"00000"),""))</f>
        <v/>
      </c>
      <c r="N5142" s="22"/>
    </row>
    <row r="5143" spans="1:14" x14ac:dyDescent="0.3">
      <c r="A5143" s="15" t="str">
        <f>IF(COUNTA($B5143:$E5143,$K5143)=0,"",IF(AND($B5143&lt;&gt;"",$C5143&lt;&gt;"",$D5143&lt;&gt;"",$E5143&lt;&gt;""),"TXS"&amp;TEXT(COUNTIFS($B$2:$B5143,"&lt;&gt;",$C$2:$C5143,"&lt;&gt;",$D$2:$D5143,"&lt;&gt;",$E$2:$E5143,"&lt;&gt;"),"00000"),""))</f>
        <v/>
      </c>
      <c r="N5143" s="22"/>
    </row>
    <row r="5144" spans="1:14" x14ac:dyDescent="0.3">
      <c r="A5144" s="15" t="str">
        <f>IF(COUNTA($B5144:$E5144,$K5144)=0,"",IF(AND($B5144&lt;&gt;"",$C5144&lt;&gt;"",$D5144&lt;&gt;"",$E5144&lt;&gt;""),"TXS"&amp;TEXT(COUNTIFS($B$2:$B5144,"&lt;&gt;",$C$2:$C5144,"&lt;&gt;",$D$2:$D5144,"&lt;&gt;",$E$2:$E5144,"&lt;&gt;"),"00000"),""))</f>
        <v/>
      </c>
      <c r="N5144" s="22"/>
    </row>
    <row r="5145" spans="1:14" x14ac:dyDescent="0.3">
      <c r="A5145" s="15" t="str">
        <f>IF(COUNTA($B5145:$E5145,$K5145)=0,"",IF(AND($B5145&lt;&gt;"",$C5145&lt;&gt;"",$D5145&lt;&gt;"",$E5145&lt;&gt;""),"TXS"&amp;TEXT(COUNTIFS($B$2:$B5145,"&lt;&gt;",$C$2:$C5145,"&lt;&gt;",$D$2:$D5145,"&lt;&gt;",$E$2:$E5145,"&lt;&gt;"),"00000"),""))</f>
        <v/>
      </c>
      <c r="N5145" s="22"/>
    </row>
    <row r="5146" spans="1:14" x14ac:dyDescent="0.3">
      <c r="A5146" s="15" t="str">
        <f>IF(COUNTA($B5146:$E5146,$K5146)=0,"",IF(AND($B5146&lt;&gt;"",$C5146&lt;&gt;"",$D5146&lt;&gt;"",$E5146&lt;&gt;""),"TXS"&amp;TEXT(COUNTIFS($B$2:$B5146,"&lt;&gt;",$C$2:$C5146,"&lt;&gt;",$D$2:$D5146,"&lt;&gt;",$E$2:$E5146,"&lt;&gt;"),"00000"),""))</f>
        <v/>
      </c>
      <c r="N5146" s="22"/>
    </row>
    <row r="5147" spans="1:14" x14ac:dyDescent="0.3">
      <c r="A5147" s="15" t="str">
        <f>IF(COUNTA($B5147:$E5147,$K5147)=0,"",IF(AND($B5147&lt;&gt;"",$C5147&lt;&gt;"",$D5147&lt;&gt;"",$E5147&lt;&gt;""),"TXS"&amp;TEXT(COUNTIFS($B$2:$B5147,"&lt;&gt;",$C$2:$C5147,"&lt;&gt;",$D$2:$D5147,"&lt;&gt;",$E$2:$E5147,"&lt;&gt;"),"00000"),""))</f>
        <v/>
      </c>
      <c r="N5147" s="22"/>
    </row>
    <row r="5148" spans="1:14" x14ac:dyDescent="0.3">
      <c r="A5148" s="15" t="str">
        <f>IF(COUNTA($B5148:$E5148,$K5148)=0,"",IF(AND($B5148&lt;&gt;"",$C5148&lt;&gt;"",$D5148&lt;&gt;"",$E5148&lt;&gt;""),"TXS"&amp;TEXT(COUNTIFS($B$2:$B5148,"&lt;&gt;",$C$2:$C5148,"&lt;&gt;",$D$2:$D5148,"&lt;&gt;",$E$2:$E5148,"&lt;&gt;"),"00000"),""))</f>
        <v/>
      </c>
      <c r="N5148" s="22"/>
    </row>
    <row r="5149" spans="1:14" x14ac:dyDescent="0.3">
      <c r="A5149" s="15" t="str">
        <f>IF(COUNTA($B5149:$E5149,$K5149)=0,"",IF(AND($B5149&lt;&gt;"",$C5149&lt;&gt;"",$D5149&lt;&gt;"",$E5149&lt;&gt;""),"TXS"&amp;TEXT(COUNTIFS($B$2:$B5149,"&lt;&gt;",$C$2:$C5149,"&lt;&gt;",$D$2:$D5149,"&lt;&gt;",$E$2:$E5149,"&lt;&gt;"),"00000"),""))</f>
        <v/>
      </c>
      <c r="N5149" s="22"/>
    </row>
    <row r="5150" spans="1:14" x14ac:dyDescent="0.3">
      <c r="A5150" s="15" t="str">
        <f>IF(COUNTA($B5150:$E5150,$K5150)=0,"",IF(AND($B5150&lt;&gt;"",$C5150&lt;&gt;"",$D5150&lt;&gt;"",$E5150&lt;&gt;""),"TXS"&amp;TEXT(COUNTIFS($B$2:$B5150,"&lt;&gt;",$C$2:$C5150,"&lt;&gt;",$D$2:$D5150,"&lt;&gt;",$E$2:$E5150,"&lt;&gt;"),"00000"),""))</f>
        <v/>
      </c>
      <c r="N5150" s="22"/>
    </row>
    <row r="5151" spans="1:14" x14ac:dyDescent="0.3">
      <c r="A5151" s="15" t="str">
        <f>IF(COUNTA($B5151:$E5151,$K5151)=0,"",IF(AND($B5151&lt;&gt;"",$C5151&lt;&gt;"",$D5151&lt;&gt;"",$E5151&lt;&gt;""),"TXS"&amp;TEXT(COUNTIFS($B$2:$B5151,"&lt;&gt;",$C$2:$C5151,"&lt;&gt;",$D$2:$D5151,"&lt;&gt;",$E$2:$E5151,"&lt;&gt;"),"00000"),""))</f>
        <v/>
      </c>
      <c r="N5151" s="22"/>
    </row>
    <row r="5152" spans="1:14" x14ac:dyDescent="0.3">
      <c r="A5152" s="15" t="str">
        <f>IF(COUNTA($B5152:$E5152,$K5152)=0,"",IF(AND($B5152&lt;&gt;"",$C5152&lt;&gt;"",$D5152&lt;&gt;"",$E5152&lt;&gt;""),"TXS"&amp;TEXT(COUNTIFS($B$2:$B5152,"&lt;&gt;",$C$2:$C5152,"&lt;&gt;",$D$2:$D5152,"&lt;&gt;",$E$2:$E5152,"&lt;&gt;"),"00000"),""))</f>
        <v/>
      </c>
      <c r="N5152" s="22"/>
    </row>
    <row r="5153" spans="1:14" x14ac:dyDescent="0.3">
      <c r="A5153" s="15" t="str">
        <f>IF(COUNTA($B5153:$E5153,$K5153)=0,"",IF(AND($B5153&lt;&gt;"",$C5153&lt;&gt;"",$D5153&lt;&gt;"",$E5153&lt;&gt;""),"TXS"&amp;TEXT(COUNTIFS($B$2:$B5153,"&lt;&gt;",$C$2:$C5153,"&lt;&gt;",$D$2:$D5153,"&lt;&gt;",$E$2:$E5153,"&lt;&gt;"),"00000"),""))</f>
        <v/>
      </c>
      <c r="N5153" s="22"/>
    </row>
    <row r="5154" spans="1:14" x14ac:dyDescent="0.3">
      <c r="A5154" s="15" t="str">
        <f>IF(COUNTA($B5154:$E5154,$K5154)=0,"",IF(AND($B5154&lt;&gt;"",$C5154&lt;&gt;"",$D5154&lt;&gt;"",$E5154&lt;&gt;""),"TXS"&amp;TEXT(COUNTIFS($B$2:$B5154,"&lt;&gt;",$C$2:$C5154,"&lt;&gt;",$D$2:$D5154,"&lt;&gt;",$E$2:$E5154,"&lt;&gt;"),"00000"),""))</f>
        <v/>
      </c>
      <c r="N5154" s="22"/>
    </row>
    <row r="5155" spans="1:14" x14ac:dyDescent="0.3">
      <c r="A5155" s="15" t="str">
        <f>IF(COUNTA($B5155:$E5155,$K5155)=0,"",IF(AND($B5155&lt;&gt;"",$C5155&lt;&gt;"",$D5155&lt;&gt;"",$E5155&lt;&gt;""),"TXS"&amp;TEXT(COUNTIFS($B$2:$B5155,"&lt;&gt;",$C$2:$C5155,"&lt;&gt;",$D$2:$D5155,"&lt;&gt;",$E$2:$E5155,"&lt;&gt;"),"00000"),""))</f>
        <v/>
      </c>
      <c r="N5155" s="22"/>
    </row>
    <row r="5156" spans="1:14" x14ac:dyDescent="0.3">
      <c r="A5156" s="15" t="str">
        <f>IF(COUNTA($B5156:$E5156,$K5156)=0,"",IF(AND($B5156&lt;&gt;"",$C5156&lt;&gt;"",$D5156&lt;&gt;"",$E5156&lt;&gt;""),"TXS"&amp;TEXT(COUNTIFS($B$2:$B5156,"&lt;&gt;",$C$2:$C5156,"&lt;&gt;",$D$2:$D5156,"&lt;&gt;",$E$2:$E5156,"&lt;&gt;"),"00000"),""))</f>
        <v/>
      </c>
      <c r="N5156" s="22"/>
    </row>
    <row r="5157" spans="1:14" x14ac:dyDescent="0.3">
      <c r="A5157" s="15" t="str">
        <f>IF(COUNTA($B5157:$E5157,$K5157)=0,"",IF(AND($B5157&lt;&gt;"",$C5157&lt;&gt;"",$D5157&lt;&gt;"",$E5157&lt;&gt;""),"TXS"&amp;TEXT(COUNTIFS($B$2:$B5157,"&lt;&gt;",$C$2:$C5157,"&lt;&gt;",$D$2:$D5157,"&lt;&gt;",$E$2:$E5157,"&lt;&gt;"),"00000"),""))</f>
        <v/>
      </c>
      <c r="N5157" s="22"/>
    </row>
    <row r="5158" spans="1:14" x14ac:dyDescent="0.3">
      <c r="A5158" s="15" t="str">
        <f>IF(COUNTA($B5158:$E5158,$K5158)=0,"",IF(AND($B5158&lt;&gt;"",$C5158&lt;&gt;"",$D5158&lt;&gt;"",$E5158&lt;&gt;""),"TXS"&amp;TEXT(COUNTIFS($B$2:$B5158,"&lt;&gt;",$C$2:$C5158,"&lt;&gt;",$D$2:$D5158,"&lt;&gt;",$E$2:$E5158,"&lt;&gt;"),"00000"),""))</f>
        <v/>
      </c>
      <c r="N5158" s="22"/>
    </row>
    <row r="5159" spans="1:14" x14ac:dyDescent="0.3">
      <c r="A5159" s="15" t="str">
        <f>IF(COUNTA($B5159:$E5159,$K5159)=0,"",IF(AND($B5159&lt;&gt;"",$C5159&lt;&gt;"",$D5159&lt;&gt;"",$E5159&lt;&gt;""),"TXS"&amp;TEXT(COUNTIFS($B$2:$B5159,"&lt;&gt;",$C$2:$C5159,"&lt;&gt;",$D$2:$D5159,"&lt;&gt;",$E$2:$E5159,"&lt;&gt;"),"00000"),""))</f>
        <v/>
      </c>
      <c r="N5159" s="22"/>
    </row>
    <row r="5160" spans="1:14" x14ac:dyDescent="0.3">
      <c r="A5160" s="15" t="str">
        <f>IF(COUNTA($B5160:$E5160,$K5160)=0,"",IF(AND($B5160&lt;&gt;"",$C5160&lt;&gt;"",$D5160&lt;&gt;"",$E5160&lt;&gt;""),"TXS"&amp;TEXT(COUNTIFS($B$2:$B5160,"&lt;&gt;",$C$2:$C5160,"&lt;&gt;",$D$2:$D5160,"&lt;&gt;",$E$2:$E5160,"&lt;&gt;"),"00000"),""))</f>
        <v/>
      </c>
      <c r="N5160" s="22"/>
    </row>
    <row r="5161" spans="1:14" x14ac:dyDescent="0.3">
      <c r="A5161" s="15" t="str">
        <f>IF(COUNTA($B5161:$E5161,$K5161)=0,"",IF(AND($B5161&lt;&gt;"",$C5161&lt;&gt;"",$D5161&lt;&gt;"",$E5161&lt;&gt;""),"TXS"&amp;TEXT(COUNTIFS($B$2:$B5161,"&lt;&gt;",$C$2:$C5161,"&lt;&gt;",$D$2:$D5161,"&lt;&gt;",$E$2:$E5161,"&lt;&gt;"),"00000"),""))</f>
        <v/>
      </c>
      <c r="N5161" s="22"/>
    </row>
    <row r="5162" spans="1:14" x14ac:dyDescent="0.3">
      <c r="A5162" s="15" t="str">
        <f>IF(COUNTA($B5162:$E5162,$K5162)=0,"",IF(AND($B5162&lt;&gt;"",$C5162&lt;&gt;"",$D5162&lt;&gt;"",$E5162&lt;&gt;""),"TXS"&amp;TEXT(COUNTIFS($B$2:$B5162,"&lt;&gt;",$C$2:$C5162,"&lt;&gt;",$D$2:$D5162,"&lt;&gt;",$E$2:$E5162,"&lt;&gt;"),"00000"),""))</f>
        <v/>
      </c>
      <c r="N5162" s="22"/>
    </row>
    <row r="5163" spans="1:14" x14ac:dyDescent="0.3">
      <c r="A5163" s="15" t="str">
        <f>IF(COUNTA($B5163:$E5163,$K5163)=0,"",IF(AND($B5163&lt;&gt;"",$C5163&lt;&gt;"",$D5163&lt;&gt;"",$E5163&lt;&gt;""),"TXS"&amp;TEXT(COUNTIFS($B$2:$B5163,"&lt;&gt;",$C$2:$C5163,"&lt;&gt;",$D$2:$D5163,"&lt;&gt;",$E$2:$E5163,"&lt;&gt;"),"00000"),""))</f>
        <v/>
      </c>
      <c r="N5163" s="22"/>
    </row>
    <row r="5164" spans="1:14" x14ac:dyDescent="0.3">
      <c r="A5164" s="15" t="str">
        <f>IF(COUNTA($B5164:$E5164,$K5164)=0,"",IF(AND($B5164&lt;&gt;"",$C5164&lt;&gt;"",$D5164&lt;&gt;"",$E5164&lt;&gt;""),"TXS"&amp;TEXT(COUNTIFS($B$2:$B5164,"&lt;&gt;",$C$2:$C5164,"&lt;&gt;",$D$2:$D5164,"&lt;&gt;",$E$2:$E5164,"&lt;&gt;"),"00000"),""))</f>
        <v/>
      </c>
      <c r="N5164" s="22"/>
    </row>
    <row r="5165" spans="1:14" x14ac:dyDescent="0.3">
      <c r="A5165" s="15" t="str">
        <f>IF(COUNTA($B5165:$E5165,$K5165)=0,"",IF(AND($B5165&lt;&gt;"",$C5165&lt;&gt;"",$D5165&lt;&gt;"",$E5165&lt;&gt;""),"TXS"&amp;TEXT(COUNTIFS($B$2:$B5165,"&lt;&gt;",$C$2:$C5165,"&lt;&gt;",$D$2:$D5165,"&lt;&gt;",$E$2:$E5165,"&lt;&gt;"),"00000"),""))</f>
        <v/>
      </c>
      <c r="N5165" s="22"/>
    </row>
    <row r="5166" spans="1:14" x14ac:dyDescent="0.3">
      <c r="A5166" s="15" t="str">
        <f>IF(COUNTA($B5166:$E5166,$K5166)=0,"",IF(AND($B5166&lt;&gt;"",$C5166&lt;&gt;"",$D5166&lt;&gt;"",$E5166&lt;&gt;""),"TXS"&amp;TEXT(COUNTIFS($B$2:$B5166,"&lt;&gt;",$C$2:$C5166,"&lt;&gt;",$D$2:$D5166,"&lt;&gt;",$E$2:$E5166,"&lt;&gt;"),"00000"),""))</f>
        <v/>
      </c>
      <c r="N5166" s="22"/>
    </row>
    <row r="5167" spans="1:14" x14ac:dyDescent="0.3">
      <c r="A5167" s="15" t="str">
        <f>IF(COUNTA($B5167:$E5167,$K5167)=0,"",IF(AND($B5167&lt;&gt;"",$C5167&lt;&gt;"",$D5167&lt;&gt;"",$E5167&lt;&gt;""),"TXS"&amp;TEXT(COUNTIFS($B$2:$B5167,"&lt;&gt;",$C$2:$C5167,"&lt;&gt;",$D$2:$D5167,"&lt;&gt;",$E$2:$E5167,"&lt;&gt;"),"00000"),""))</f>
        <v/>
      </c>
      <c r="N5167" s="22"/>
    </row>
    <row r="5168" spans="1:14" x14ac:dyDescent="0.3">
      <c r="A5168" s="15" t="str">
        <f>IF(COUNTA($B5168:$E5168,$K5168)=0,"",IF(AND($B5168&lt;&gt;"",$C5168&lt;&gt;"",$D5168&lt;&gt;"",$E5168&lt;&gt;""),"TXS"&amp;TEXT(COUNTIFS($B$2:$B5168,"&lt;&gt;",$C$2:$C5168,"&lt;&gt;",$D$2:$D5168,"&lt;&gt;",$E$2:$E5168,"&lt;&gt;"),"00000"),""))</f>
        <v/>
      </c>
      <c r="N5168" s="22"/>
    </row>
    <row r="5169" spans="1:14" x14ac:dyDescent="0.3">
      <c r="A5169" s="15" t="str">
        <f>IF(COUNTA($B5169:$E5169,$K5169)=0,"",IF(AND($B5169&lt;&gt;"",$C5169&lt;&gt;"",$D5169&lt;&gt;"",$E5169&lt;&gt;""),"TXS"&amp;TEXT(COUNTIFS($B$2:$B5169,"&lt;&gt;",$C$2:$C5169,"&lt;&gt;",$D$2:$D5169,"&lt;&gt;",$E$2:$E5169,"&lt;&gt;"),"00000"),""))</f>
        <v/>
      </c>
      <c r="N5169" s="22"/>
    </row>
    <row r="5170" spans="1:14" x14ac:dyDescent="0.3">
      <c r="A5170" s="15" t="str">
        <f>IF(COUNTA($B5170:$E5170,$K5170)=0,"",IF(AND($B5170&lt;&gt;"",$C5170&lt;&gt;"",$D5170&lt;&gt;"",$E5170&lt;&gt;""),"TXS"&amp;TEXT(COUNTIFS($B$2:$B5170,"&lt;&gt;",$C$2:$C5170,"&lt;&gt;",$D$2:$D5170,"&lt;&gt;",$E$2:$E5170,"&lt;&gt;"),"00000"),""))</f>
        <v/>
      </c>
      <c r="N5170" s="22"/>
    </row>
    <row r="5171" spans="1:14" x14ac:dyDescent="0.3">
      <c r="A5171" s="15" t="str">
        <f>IF(COUNTA($B5171:$E5171,$K5171)=0,"",IF(AND($B5171&lt;&gt;"",$C5171&lt;&gt;"",$D5171&lt;&gt;"",$E5171&lt;&gt;""),"TXS"&amp;TEXT(COUNTIFS($B$2:$B5171,"&lt;&gt;",$C$2:$C5171,"&lt;&gt;",$D$2:$D5171,"&lt;&gt;",$E$2:$E5171,"&lt;&gt;"),"00000"),""))</f>
        <v/>
      </c>
      <c r="N5171" s="22"/>
    </row>
    <row r="5172" spans="1:14" x14ac:dyDescent="0.3">
      <c r="A5172" s="15" t="str">
        <f>IF(COUNTA($B5172:$E5172,$K5172)=0,"",IF(AND($B5172&lt;&gt;"",$C5172&lt;&gt;"",$D5172&lt;&gt;"",$E5172&lt;&gt;""),"TXS"&amp;TEXT(COUNTIFS($B$2:$B5172,"&lt;&gt;",$C$2:$C5172,"&lt;&gt;",$D$2:$D5172,"&lt;&gt;",$E$2:$E5172,"&lt;&gt;"),"00000"),""))</f>
        <v/>
      </c>
      <c r="N5172" s="22"/>
    </row>
    <row r="5173" spans="1:14" x14ac:dyDescent="0.3">
      <c r="A5173" s="15" t="str">
        <f>IF(COUNTA($B5173:$E5173,$K5173)=0,"",IF(AND($B5173&lt;&gt;"",$C5173&lt;&gt;"",$D5173&lt;&gt;"",$E5173&lt;&gt;""),"TXS"&amp;TEXT(COUNTIFS($B$2:$B5173,"&lt;&gt;",$C$2:$C5173,"&lt;&gt;",$D$2:$D5173,"&lt;&gt;",$E$2:$E5173,"&lt;&gt;"),"00000"),""))</f>
        <v/>
      </c>
      <c r="N5173" s="22"/>
    </row>
    <row r="5174" spans="1:14" x14ac:dyDescent="0.3">
      <c r="A5174" s="15" t="str">
        <f>IF(COUNTA($B5174:$E5174,$K5174)=0,"",IF(AND($B5174&lt;&gt;"",$C5174&lt;&gt;"",$D5174&lt;&gt;"",$E5174&lt;&gt;""),"TXS"&amp;TEXT(COUNTIFS($B$2:$B5174,"&lt;&gt;",$C$2:$C5174,"&lt;&gt;",$D$2:$D5174,"&lt;&gt;",$E$2:$E5174,"&lt;&gt;"),"00000"),""))</f>
        <v/>
      </c>
      <c r="N5174" s="22"/>
    </row>
    <row r="5175" spans="1:14" x14ac:dyDescent="0.3">
      <c r="A5175" s="15" t="str">
        <f>IF(COUNTA($B5175:$E5175,$K5175)=0,"",IF(AND($B5175&lt;&gt;"",$C5175&lt;&gt;"",$D5175&lt;&gt;"",$E5175&lt;&gt;""),"TXS"&amp;TEXT(COUNTIFS($B$2:$B5175,"&lt;&gt;",$C$2:$C5175,"&lt;&gt;",$D$2:$D5175,"&lt;&gt;",$E$2:$E5175,"&lt;&gt;"),"00000"),""))</f>
        <v/>
      </c>
      <c r="N5175" s="22"/>
    </row>
    <row r="5176" spans="1:14" x14ac:dyDescent="0.3">
      <c r="A5176" s="15" t="str">
        <f>IF(COUNTA($B5176:$E5176,$K5176)=0,"",IF(AND($B5176&lt;&gt;"",$C5176&lt;&gt;"",$D5176&lt;&gt;"",$E5176&lt;&gt;""),"TXS"&amp;TEXT(COUNTIFS($B$2:$B5176,"&lt;&gt;",$C$2:$C5176,"&lt;&gt;",$D$2:$D5176,"&lt;&gt;",$E$2:$E5176,"&lt;&gt;"),"00000"),""))</f>
        <v/>
      </c>
      <c r="N5176" s="22"/>
    </row>
    <row r="5177" spans="1:14" x14ac:dyDescent="0.3">
      <c r="A5177" s="15" t="str">
        <f>IF(COUNTA($B5177:$E5177,$K5177)=0,"",IF(AND($B5177&lt;&gt;"",$C5177&lt;&gt;"",$D5177&lt;&gt;"",$E5177&lt;&gt;""),"TXS"&amp;TEXT(COUNTIFS($B$2:$B5177,"&lt;&gt;",$C$2:$C5177,"&lt;&gt;",$D$2:$D5177,"&lt;&gt;",$E$2:$E5177,"&lt;&gt;"),"00000"),""))</f>
        <v/>
      </c>
      <c r="N5177" s="22"/>
    </row>
    <row r="5178" spans="1:14" x14ac:dyDescent="0.3">
      <c r="A5178" s="15" t="str">
        <f>IF(COUNTA($B5178:$E5178,$K5178)=0,"",IF(AND($B5178&lt;&gt;"",$C5178&lt;&gt;"",$D5178&lt;&gt;"",$E5178&lt;&gt;""),"TXS"&amp;TEXT(COUNTIFS($B$2:$B5178,"&lt;&gt;",$C$2:$C5178,"&lt;&gt;",$D$2:$D5178,"&lt;&gt;",$E$2:$E5178,"&lt;&gt;"),"00000"),""))</f>
        <v/>
      </c>
      <c r="N5178" s="22"/>
    </row>
    <row r="5179" spans="1:14" x14ac:dyDescent="0.3">
      <c r="A5179" s="15" t="str">
        <f>IF(COUNTA($B5179:$E5179,$K5179)=0,"",IF(AND($B5179&lt;&gt;"",$C5179&lt;&gt;"",$D5179&lt;&gt;"",$E5179&lt;&gt;""),"TXS"&amp;TEXT(COUNTIFS($B$2:$B5179,"&lt;&gt;",$C$2:$C5179,"&lt;&gt;",$D$2:$D5179,"&lt;&gt;",$E$2:$E5179,"&lt;&gt;"),"00000"),""))</f>
        <v/>
      </c>
      <c r="N5179" s="22"/>
    </row>
    <row r="5180" spans="1:14" x14ac:dyDescent="0.3">
      <c r="A5180" s="15" t="str">
        <f>IF(COUNTA($B5180:$E5180,$K5180)=0,"",IF(AND($B5180&lt;&gt;"",$C5180&lt;&gt;"",$D5180&lt;&gt;"",$E5180&lt;&gt;""),"TXS"&amp;TEXT(COUNTIFS($B$2:$B5180,"&lt;&gt;",$C$2:$C5180,"&lt;&gt;",$D$2:$D5180,"&lt;&gt;",$E$2:$E5180,"&lt;&gt;"),"00000"),""))</f>
        <v/>
      </c>
      <c r="N5180" s="22"/>
    </row>
    <row r="5181" spans="1:14" x14ac:dyDescent="0.3">
      <c r="A5181" s="15" t="str">
        <f>IF(COUNTA($B5181:$E5181,$K5181)=0,"",IF(AND($B5181&lt;&gt;"",$C5181&lt;&gt;"",$D5181&lt;&gt;"",$E5181&lt;&gt;""),"TXS"&amp;TEXT(COUNTIFS($B$2:$B5181,"&lt;&gt;",$C$2:$C5181,"&lt;&gt;",$D$2:$D5181,"&lt;&gt;",$E$2:$E5181,"&lt;&gt;"),"00000"),""))</f>
        <v/>
      </c>
      <c r="N5181" s="22"/>
    </row>
    <row r="5182" spans="1:14" x14ac:dyDescent="0.3">
      <c r="A5182" s="15" t="str">
        <f>IF(COUNTA($B5182:$E5182,$K5182)=0,"",IF(AND($B5182&lt;&gt;"",$C5182&lt;&gt;"",$D5182&lt;&gt;"",$E5182&lt;&gt;""),"TXS"&amp;TEXT(COUNTIFS($B$2:$B5182,"&lt;&gt;",$C$2:$C5182,"&lt;&gt;",$D$2:$D5182,"&lt;&gt;",$E$2:$E5182,"&lt;&gt;"),"00000"),""))</f>
        <v/>
      </c>
      <c r="N5182" s="22"/>
    </row>
    <row r="5183" spans="1:14" x14ac:dyDescent="0.3">
      <c r="A5183" s="15" t="str">
        <f>IF(COUNTA($B5183:$E5183,$K5183)=0,"",IF(AND($B5183&lt;&gt;"",$C5183&lt;&gt;"",$D5183&lt;&gt;"",$E5183&lt;&gt;""),"TXS"&amp;TEXT(COUNTIFS($B$2:$B5183,"&lt;&gt;",$C$2:$C5183,"&lt;&gt;",$D$2:$D5183,"&lt;&gt;",$E$2:$E5183,"&lt;&gt;"),"00000"),""))</f>
        <v/>
      </c>
      <c r="N5183" s="22"/>
    </row>
    <row r="5184" spans="1:14" x14ac:dyDescent="0.3">
      <c r="A5184" s="15" t="str">
        <f>IF(COUNTA($B5184:$E5184,$K5184)=0,"",IF(AND($B5184&lt;&gt;"",$C5184&lt;&gt;"",$D5184&lt;&gt;"",$E5184&lt;&gt;""),"TXS"&amp;TEXT(COUNTIFS($B$2:$B5184,"&lt;&gt;",$C$2:$C5184,"&lt;&gt;",$D$2:$D5184,"&lt;&gt;",$E$2:$E5184,"&lt;&gt;"),"00000"),""))</f>
        <v/>
      </c>
      <c r="N5184" s="22"/>
    </row>
    <row r="5185" spans="1:14" x14ac:dyDescent="0.3">
      <c r="A5185" s="15" t="str">
        <f>IF(COUNTA($B5185:$E5185,$K5185)=0,"",IF(AND($B5185&lt;&gt;"",$C5185&lt;&gt;"",$D5185&lt;&gt;"",$E5185&lt;&gt;""),"TXS"&amp;TEXT(COUNTIFS($B$2:$B5185,"&lt;&gt;",$C$2:$C5185,"&lt;&gt;",$D$2:$D5185,"&lt;&gt;",$E$2:$E5185,"&lt;&gt;"),"00000"),""))</f>
        <v/>
      </c>
      <c r="N5185" s="22"/>
    </row>
    <row r="5186" spans="1:14" x14ac:dyDescent="0.3">
      <c r="A5186" s="15" t="str">
        <f>IF(COUNTA($B5186:$E5186,$K5186)=0,"",IF(AND($B5186&lt;&gt;"",$C5186&lt;&gt;"",$D5186&lt;&gt;"",$E5186&lt;&gt;""),"TXS"&amp;TEXT(COUNTIFS($B$2:$B5186,"&lt;&gt;",$C$2:$C5186,"&lt;&gt;",$D$2:$D5186,"&lt;&gt;",$E$2:$E5186,"&lt;&gt;"),"00000"),""))</f>
        <v/>
      </c>
      <c r="N5186" s="22"/>
    </row>
    <row r="5187" spans="1:14" x14ac:dyDescent="0.3">
      <c r="A5187" s="15" t="str">
        <f>IF(COUNTA($B5187:$E5187,$K5187)=0,"",IF(AND($B5187&lt;&gt;"",$C5187&lt;&gt;"",$D5187&lt;&gt;"",$E5187&lt;&gt;""),"TXS"&amp;TEXT(COUNTIFS($B$2:$B5187,"&lt;&gt;",$C$2:$C5187,"&lt;&gt;",$D$2:$D5187,"&lt;&gt;",$E$2:$E5187,"&lt;&gt;"),"00000"),""))</f>
        <v/>
      </c>
      <c r="N5187" s="22"/>
    </row>
    <row r="5188" spans="1:14" x14ac:dyDescent="0.3">
      <c r="A5188" s="15" t="str">
        <f>IF(COUNTA($B5188:$E5188,$K5188)=0,"",IF(AND($B5188&lt;&gt;"",$C5188&lt;&gt;"",$D5188&lt;&gt;"",$E5188&lt;&gt;""),"TXS"&amp;TEXT(COUNTIFS($B$2:$B5188,"&lt;&gt;",$C$2:$C5188,"&lt;&gt;",$D$2:$D5188,"&lt;&gt;",$E$2:$E5188,"&lt;&gt;"),"00000"),""))</f>
        <v/>
      </c>
      <c r="N5188" s="22"/>
    </row>
    <row r="5189" spans="1:14" x14ac:dyDescent="0.3">
      <c r="A5189" s="15" t="str">
        <f>IF(COUNTA($B5189:$E5189,$K5189)=0,"",IF(AND($B5189&lt;&gt;"",$C5189&lt;&gt;"",$D5189&lt;&gt;"",$E5189&lt;&gt;""),"TXS"&amp;TEXT(COUNTIFS($B$2:$B5189,"&lt;&gt;",$C$2:$C5189,"&lt;&gt;",$D$2:$D5189,"&lt;&gt;",$E$2:$E5189,"&lt;&gt;"),"00000"),""))</f>
        <v/>
      </c>
      <c r="N5189" s="22"/>
    </row>
    <row r="5190" spans="1:14" x14ac:dyDescent="0.3">
      <c r="A5190" s="15" t="str">
        <f>IF(COUNTA($B5190:$E5190,$K5190)=0,"",IF(AND($B5190&lt;&gt;"",$C5190&lt;&gt;"",$D5190&lt;&gt;"",$E5190&lt;&gt;""),"TXS"&amp;TEXT(COUNTIFS($B$2:$B5190,"&lt;&gt;",$C$2:$C5190,"&lt;&gt;",$D$2:$D5190,"&lt;&gt;",$E$2:$E5190,"&lt;&gt;"),"00000"),""))</f>
        <v/>
      </c>
      <c r="N5190" s="22"/>
    </row>
    <row r="5191" spans="1:14" x14ac:dyDescent="0.3">
      <c r="A5191" s="15" t="str">
        <f>IF(COUNTA($B5191:$E5191,$K5191)=0,"",IF(AND($B5191&lt;&gt;"",$C5191&lt;&gt;"",$D5191&lt;&gt;"",$E5191&lt;&gt;""),"TXS"&amp;TEXT(COUNTIFS($B$2:$B5191,"&lt;&gt;",$C$2:$C5191,"&lt;&gt;",$D$2:$D5191,"&lt;&gt;",$E$2:$E5191,"&lt;&gt;"),"00000"),""))</f>
        <v/>
      </c>
      <c r="N5191" s="22"/>
    </row>
    <row r="5192" spans="1:14" x14ac:dyDescent="0.3">
      <c r="A5192" s="15" t="str">
        <f>IF(COUNTA($B5192:$E5192,$K5192)=0,"",IF(AND($B5192&lt;&gt;"",$C5192&lt;&gt;"",$D5192&lt;&gt;"",$E5192&lt;&gt;""),"TXS"&amp;TEXT(COUNTIFS($B$2:$B5192,"&lt;&gt;",$C$2:$C5192,"&lt;&gt;",$D$2:$D5192,"&lt;&gt;",$E$2:$E5192,"&lt;&gt;"),"00000"),""))</f>
        <v/>
      </c>
      <c r="N5192" s="22"/>
    </row>
    <row r="5193" spans="1:14" x14ac:dyDescent="0.3">
      <c r="A5193" s="15" t="str">
        <f>IF(COUNTA($B5193:$E5193,$K5193)=0,"",IF(AND($B5193&lt;&gt;"",$C5193&lt;&gt;"",$D5193&lt;&gt;"",$E5193&lt;&gt;""),"TXS"&amp;TEXT(COUNTIFS($B$2:$B5193,"&lt;&gt;",$C$2:$C5193,"&lt;&gt;",$D$2:$D5193,"&lt;&gt;",$E$2:$E5193,"&lt;&gt;"),"00000"),""))</f>
        <v/>
      </c>
      <c r="N5193" s="22"/>
    </row>
    <row r="5194" spans="1:14" x14ac:dyDescent="0.3">
      <c r="A5194" s="15" t="str">
        <f>IF(COUNTA($B5194:$E5194,$K5194)=0,"",IF(AND($B5194&lt;&gt;"",$C5194&lt;&gt;"",$D5194&lt;&gt;"",$E5194&lt;&gt;""),"TXS"&amp;TEXT(COUNTIFS($B$2:$B5194,"&lt;&gt;",$C$2:$C5194,"&lt;&gt;",$D$2:$D5194,"&lt;&gt;",$E$2:$E5194,"&lt;&gt;"),"00000"),""))</f>
        <v/>
      </c>
      <c r="N5194" s="22"/>
    </row>
    <row r="5195" spans="1:14" x14ac:dyDescent="0.3">
      <c r="A5195" s="15" t="str">
        <f>IF(COUNTA($B5195:$E5195,$K5195)=0,"",IF(AND($B5195&lt;&gt;"",$C5195&lt;&gt;"",$D5195&lt;&gt;"",$E5195&lt;&gt;""),"TXS"&amp;TEXT(COUNTIFS($B$2:$B5195,"&lt;&gt;",$C$2:$C5195,"&lt;&gt;",$D$2:$D5195,"&lt;&gt;",$E$2:$E5195,"&lt;&gt;"),"00000"),""))</f>
        <v/>
      </c>
      <c r="N5195" s="22"/>
    </row>
    <row r="5196" spans="1:14" x14ac:dyDescent="0.3">
      <c r="A5196" s="15" t="str">
        <f>IF(COUNTA($B5196:$E5196,$K5196)=0,"",IF(AND($B5196&lt;&gt;"",$C5196&lt;&gt;"",$D5196&lt;&gt;"",$E5196&lt;&gt;""),"TXS"&amp;TEXT(COUNTIFS($B$2:$B5196,"&lt;&gt;",$C$2:$C5196,"&lt;&gt;",$D$2:$D5196,"&lt;&gt;",$E$2:$E5196,"&lt;&gt;"),"00000"),""))</f>
        <v/>
      </c>
      <c r="N5196" s="22"/>
    </row>
    <row r="5197" spans="1:14" x14ac:dyDescent="0.3">
      <c r="A5197" s="15" t="str">
        <f>IF(COUNTA($B5197:$E5197,$K5197)=0,"",IF(AND($B5197&lt;&gt;"",$C5197&lt;&gt;"",$D5197&lt;&gt;"",$E5197&lt;&gt;""),"TXS"&amp;TEXT(COUNTIFS($B$2:$B5197,"&lt;&gt;",$C$2:$C5197,"&lt;&gt;",$D$2:$D5197,"&lt;&gt;",$E$2:$E5197,"&lt;&gt;"),"00000"),""))</f>
        <v/>
      </c>
      <c r="N5197" s="22"/>
    </row>
    <row r="5198" spans="1:14" x14ac:dyDescent="0.3">
      <c r="A5198" s="15" t="str">
        <f>IF(COUNTA($B5198:$E5198,$K5198)=0,"",IF(AND($B5198&lt;&gt;"",$C5198&lt;&gt;"",$D5198&lt;&gt;"",$E5198&lt;&gt;""),"TXS"&amp;TEXT(COUNTIFS($B$2:$B5198,"&lt;&gt;",$C$2:$C5198,"&lt;&gt;",$D$2:$D5198,"&lt;&gt;",$E$2:$E5198,"&lt;&gt;"),"00000"),""))</f>
        <v/>
      </c>
      <c r="N5198" s="22"/>
    </row>
    <row r="5199" spans="1:14" x14ac:dyDescent="0.3">
      <c r="A5199" s="15" t="str">
        <f>IF(COUNTA($B5199:$E5199,$K5199)=0,"",IF(AND($B5199&lt;&gt;"",$C5199&lt;&gt;"",$D5199&lt;&gt;"",$E5199&lt;&gt;""),"TXS"&amp;TEXT(COUNTIFS($B$2:$B5199,"&lt;&gt;",$C$2:$C5199,"&lt;&gt;",$D$2:$D5199,"&lt;&gt;",$E$2:$E5199,"&lt;&gt;"),"00000"),""))</f>
        <v/>
      </c>
      <c r="N5199" s="22"/>
    </row>
    <row r="5200" spans="1:14" x14ac:dyDescent="0.3">
      <c r="A5200" s="15" t="str">
        <f>IF(COUNTA($B5200:$E5200,$K5200)=0,"",IF(AND($B5200&lt;&gt;"",$C5200&lt;&gt;"",$D5200&lt;&gt;"",$E5200&lt;&gt;""),"TXS"&amp;TEXT(COUNTIFS($B$2:$B5200,"&lt;&gt;",$C$2:$C5200,"&lt;&gt;",$D$2:$D5200,"&lt;&gt;",$E$2:$E5200,"&lt;&gt;"),"00000"),""))</f>
        <v/>
      </c>
      <c r="N5200" s="22"/>
    </row>
    <row r="5201" spans="1:14" x14ac:dyDescent="0.3">
      <c r="A5201" s="15" t="str">
        <f>IF(COUNTA($B5201:$E5201,$K5201)=0,"",IF(AND($B5201&lt;&gt;"",$C5201&lt;&gt;"",$D5201&lt;&gt;"",$E5201&lt;&gt;""),"TXS"&amp;TEXT(COUNTIFS($B$2:$B5201,"&lt;&gt;",$C$2:$C5201,"&lt;&gt;",$D$2:$D5201,"&lt;&gt;",$E$2:$E5201,"&lt;&gt;"),"00000"),""))</f>
        <v/>
      </c>
      <c r="N5201" s="22"/>
    </row>
    <row r="5202" spans="1:14" x14ac:dyDescent="0.3">
      <c r="A5202" s="15" t="str">
        <f>IF(COUNTA($B5202:$E5202,$K5202)=0,"",IF(AND($B5202&lt;&gt;"",$C5202&lt;&gt;"",$D5202&lt;&gt;"",$E5202&lt;&gt;""),"TXS"&amp;TEXT(COUNTIFS($B$2:$B5202,"&lt;&gt;",$C$2:$C5202,"&lt;&gt;",$D$2:$D5202,"&lt;&gt;",$E$2:$E5202,"&lt;&gt;"),"00000"),""))</f>
        <v/>
      </c>
      <c r="N5202" s="22"/>
    </row>
    <row r="5203" spans="1:14" x14ac:dyDescent="0.3">
      <c r="A5203" s="15" t="str">
        <f>IF(COUNTA($B5203:$E5203,$K5203)=0,"",IF(AND($B5203&lt;&gt;"",$C5203&lt;&gt;"",$D5203&lt;&gt;"",$E5203&lt;&gt;""),"TXS"&amp;TEXT(COUNTIFS($B$2:$B5203,"&lt;&gt;",$C$2:$C5203,"&lt;&gt;",$D$2:$D5203,"&lt;&gt;",$E$2:$E5203,"&lt;&gt;"),"00000"),""))</f>
        <v/>
      </c>
      <c r="N5203" s="22"/>
    </row>
    <row r="5204" spans="1:14" x14ac:dyDescent="0.3">
      <c r="A5204" s="15" t="str">
        <f>IF(COUNTA($B5204:$E5204,$K5204)=0,"",IF(AND($B5204&lt;&gt;"",$C5204&lt;&gt;"",$D5204&lt;&gt;"",$E5204&lt;&gt;""),"TXS"&amp;TEXT(COUNTIFS($B$2:$B5204,"&lt;&gt;",$C$2:$C5204,"&lt;&gt;",$D$2:$D5204,"&lt;&gt;",$E$2:$E5204,"&lt;&gt;"),"00000"),""))</f>
        <v/>
      </c>
      <c r="N5204" s="22"/>
    </row>
    <row r="5205" spans="1:14" x14ac:dyDescent="0.3">
      <c r="A5205" s="15" t="str">
        <f>IF(COUNTA($B5205:$E5205,$K5205)=0,"",IF(AND($B5205&lt;&gt;"",$C5205&lt;&gt;"",$D5205&lt;&gt;"",$E5205&lt;&gt;""),"TXS"&amp;TEXT(COUNTIFS($B$2:$B5205,"&lt;&gt;",$C$2:$C5205,"&lt;&gt;",$D$2:$D5205,"&lt;&gt;",$E$2:$E5205,"&lt;&gt;"),"00000"),""))</f>
        <v/>
      </c>
      <c r="N5205" s="22"/>
    </row>
    <row r="5206" spans="1:14" x14ac:dyDescent="0.3">
      <c r="A5206" s="15" t="str">
        <f>IF(COUNTA($B5206:$E5206,$K5206)=0,"",IF(AND($B5206&lt;&gt;"",$C5206&lt;&gt;"",$D5206&lt;&gt;"",$E5206&lt;&gt;""),"TXS"&amp;TEXT(COUNTIFS($B$2:$B5206,"&lt;&gt;",$C$2:$C5206,"&lt;&gt;",$D$2:$D5206,"&lt;&gt;",$E$2:$E5206,"&lt;&gt;"),"00000"),""))</f>
        <v/>
      </c>
      <c r="N5206" s="22"/>
    </row>
    <row r="5207" spans="1:14" x14ac:dyDescent="0.3">
      <c r="A5207" s="15" t="str">
        <f>IF(COUNTA($B5207:$E5207,$K5207)=0,"",IF(AND($B5207&lt;&gt;"",$C5207&lt;&gt;"",$D5207&lt;&gt;"",$E5207&lt;&gt;""),"TXS"&amp;TEXT(COUNTIFS($B$2:$B5207,"&lt;&gt;",$C$2:$C5207,"&lt;&gt;",$D$2:$D5207,"&lt;&gt;",$E$2:$E5207,"&lt;&gt;"),"00000"),""))</f>
        <v/>
      </c>
      <c r="N5207" s="22"/>
    </row>
    <row r="5208" spans="1:14" x14ac:dyDescent="0.3">
      <c r="A5208" s="15" t="str">
        <f>IF(COUNTA($B5208:$E5208,$K5208)=0,"",IF(AND($B5208&lt;&gt;"",$C5208&lt;&gt;"",$D5208&lt;&gt;"",$E5208&lt;&gt;""),"TXS"&amp;TEXT(COUNTIFS($B$2:$B5208,"&lt;&gt;",$C$2:$C5208,"&lt;&gt;",$D$2:$D5208,"&lt;&gt;",$E$2:$E5208,"&lt;&gt;"),"00000"),""))</f>
        <v/>
      </c>
      <c r="N5208" s="22"/>
    </row>
    <row r="5209" spans="1:14" x14ac:dyDescent="0.3">
      <c r="A5209" s="15" t="str">
        <f>IF(COUNTA($B5209:$E5209,$K5209)=0,"",IF(AND($B5209&lt;&gt;"",$C5209&lt;&gt;"",$D5209&lt;&gt;"",$E5209&lt;&gt;""),"TXS"&amp;TEXT(COUNTIFS($B$2:$B5209,"&lt;&gt;",$C$2:$C5209,"&lt;&gt;",$D$2:$D5209,"&lt;&gt;",$E$2:$E5209,"&lt;&gt;"),"00000"),""))</f>
        <v/>
      </c>
      <c r="N5209" s="22"/>
    </row>
    <row r="5210" spans="1:14" x14ac:dyDescent="0.3">
      <c r="A5210" s="15" t="str">
        <f>IF(COUNTA($B5210:$E5210,$K5210)=0,"",IF(AND($B5210&lt;&gt;"",$C5210&lt;&gt;"",$D5210&lt;&gt;"",$E5210&lt;&gt;""),"TXS"&amp;TEXT(COUNTIFS($B$2:$B5210,"&lt;&gt;",$C$2:$C5210,"&lt;&gt;",$D$2:$D5210,"&lt;&gt;",$E$2:$E5210,"&lt;&gt;"),"00000"),""))</f>
        <v/>
      </c>
      <c r="N5210" s="22"/>
    </row>
    <row r="5211" spans="1:14" x14ac:dyDescent="0.3">
      <c r="A5211" s="15" t="str">
        <f>IF(COUNTA($B5211:$E5211,$K5211)=0,"",IF(AND($B5211&lt;&gt;"",$C5211&lt;&gt;"",$D5211&lt;&gt;"",$E5211&lt;&gt;""),"TXS"&amp;TEXT(COUNTIFS($B$2:$B5211,"&lt;&gt;",$C$2:$C5211,"&lt;&gt;",$D$2:$D5211,"&lt;&gt;",$E$2:$E5211,"&lt;&gt;"),"00000"),""))</f>
        <v/>
      </c>
      <c r="N5211" s="22"/>
    </row>
    <row r="5212" spans="1:14" x14ac:dyDescent="0.3">
      <c r="A5212" s="15" t="str">
        <f>IF(COUNTA($B5212:$E5212,$K5212)=0,"",IF(AND($B5212&lt;&gt;"",$C5212&lt;&gt;"",$D5212&lt;&gt;"",$E5212&lt;&gt;""),"TXS"&amp;TEXT(COUNTIFS($B$2:$B5212,"&lt;&gt;",$C$2:$C5212,"&lt;&gt;",$D$2:$D5212,"&lt;&gt;",$E$2:$E5212,"&lt;&gt;"),"00000"),""))</f>
        <v/>
      </c>
      <c r="N5212" s="22"/>
    </row>
    <row r="5213" spans="1:14" x14ac:dyDescent="0.3">
      <c r="A5213" s="15" t="str">
        <f>IF(COUNTA($B5213:$E5213,$K5213)=0,"",IF(AND($B5213&lt;&gt;"",$C5213&lt;&gt;"",$D5213&lt;&gt;"",$E5213&lt;&gt;""),"TXS"&amp;TEXT(COUNTIFS($B$2:$B5213,"&lt;&gt;",$C$2:$C5213,"&lt;&gt;",$D$2:$D5213,"&lt;&gt;",$E$2:$E5213,"&lt;&gt;"),"00000"),""))</f>
        <v/>
      </c>
      <c r="N5213" s="22"/>
    </row>
    <row r="5214" spans="1:14" x14ac:dyDescent="0.3">
      <c r="A5214" s="15" t="str">
        <f>IF(COUNTA($B5214:$E5214,$K5214)=0,"",IF(AND($B5214&lt;&gt;"",$C5214&lt;&gt;"",$D5214&lt;&gt;"",$E5214&lt;&gt;""),"TXS"&amp;TEXT(COUNTIFS($B$2:$B5214,"&lt;&gt;",$C$2:$C5214,"&lt;&gt;",$D$2:$D5214,"&lt;&gt;",$E$2:$E5214,"&lt;&gt;"),"00000"),""))</f>
        <v/>
      </c>
      <c r="N5214" s="22"/>
    </row>
    <row r="5215" spans="1:14" x14ac:dyDescent="0.3">
      <c r="A5215" s="15" t="str">
        <f>IF(COUNTA($B5215:$E5215,$K5215)=0,"",IF(AND($B5215&lt;&gt;"",$C5215&lt;&gt;"",$D5215&lt;&gt;"",$E5215&lt;&gt;""),"TXS"&amp;TEXT(COUNTIFS($B$2:$B5215,"&lt;&gt;",$C$2:$C5215,"&lt;&gt;",$D$2:$D5215,"&lt;&gt;",$E$2:$E5215,"&lt;&gt;"),"00000"),""))</f>
        <v/>
      </c>
      <c r="N5215" s="22"/>
    </row>
    <row r="5216" spans="1:14" x14ac:dyDescent="0.3">
      <c r="A5216" s="15" t="str">
        <f>IF(COUNTA($B5216:$E5216,$K5216)=0,"",IF(AND($B5216&lt;&gt;"",$C5216&lt;&gt;"",$D5216&lt;&gt;"",$E5216&lt;&gt;""),"TXS"&amp;TEXT(COUNTIFS($B$2:$B5216,"&lt;&gt;",$C$2:$C5216,"&lt;&gt;",$D$2:$D5216,"&lt;&gt;",$E$2:$E5216,"&lt;&gt;"),"00000"),""))</f>
        <v/>
      </c>
      <c r="N5216" s="22"/>
    </row>
    <row r="5217" spans="1:14" x14ac:dyDescent="0.3">
      <c r="A5217" s="15" t="str">
        <f>IF(COUNTA($B5217:$E5217,$K5217)=0,"",IF(AND($B5217&lt;&gt;"",$C5217&lt;&gt;"",$D5217&lt;&gt;"",$E5217&lt;&gt;""),"TXS"&amp;TEXT(COUNTIFS($B$2:$B5217,"&lt;&gt;",$C$2:$C5217,"&lt;&gt;",$D$2:$D5217,"&lt;&gt;",$E$2:$E5217,"&lt;&gt;"),"00000"),""))</f>
        <v/>
      </c>
      <c r="N5217" s="22"/>
    </row>
    <row r="5218" spans="1:14" x14ac:dyDescent="0.3">
      <c r="A5218" s="15" t="str">
        <f>IF(COUNTA($B5218:$E5218,$K5218)=0,"",IF(AND($B5218&lt;&gt;"",$C5218&lt;&gt;"",$D5218&lt;&gt;"",$E5218&lt;&gt;""),"TXS"&amp;TEXT(COUNTIFS($B$2:$B5218,"&lt;&gt;",$C$2:$C5218,"&lt;&gt;",$D$2:$D5218,"&lt;&gt;",$E$2:$E5218,"&lt;&gt;"),"00000"),""))</f>
        <v/>
      </c>
      <c r="N5218" s="22"/>
    </row>
    <row r="5219" spans="1:14" x14ac:dyDescent="0.3">
      <c r="A5219" s="15" t="str">
        <f>IF(COUNTA($B5219:$E5219,$K5219)=0,"",IF(AND($B5219&lt;&gt;"",$C5219&lt;&gt;"",$D5219&lt;&gt;"",$E5219&lt;&gt;""),"TXS"&amp;TEXT(COUNTIFS($B$2:$B5219,"&lt;&gt;",$C$2:$C5219,"&lt;&gt;",$D$2:$D5219,"&lt;&gt;",$E$2:$E5219,"&lt;&gt;"),"00000"),""))</f>
        <v/>
      </c>
      <c r="N5219" s="22"/>
    </row>
    <row r="5220" spans="1:14" x14ac:dyDescent="0.3">
      <c r="A5220" s="15" t="str">
        <f>IF(COUNTA($B5220:$E5220,$K5220)=0,"",IF(AND($B5220&lt;&gt;"",$C5220&lt;&gt;"",$D5220&lt;&gt;"",$E5220&lt;&gt;""),"TXS"&amp;TEXT(COUNTIFS($B$2:$B5220,"&lt;&gt;",$C$2:$C5220,"&lt;&gt;",$D$2:$D5220,"&lt;&gt;",$E$2:$E5220,"&lt;&gt;"),"00000"),""))</f>
        <v/>
      </c>
      <c r="N5220" s="22"/>
    </row>
    <row r="5221" spans="1:14" x14ac:dyDescent="0.3">
      <c r="A5221" s="15" t="str">
        <f>IF(COUNTA($B5221:$E5221,$K5221)=0,"",IF(AND($B5221&lt;&gt;"",$C5221&lt;&gt;"",$D5221&lt;&gt;"",$E5221&lt;&gt;""),"TXS"&amp;TEXT(COUNTIFS($B$2:$B5221,"&lt;&gt;",$C$2:$C5221,"&lt;&gt;",$D$2:$D5221,"&lt;&gt;",$E$2:$E5221,"&lt;&gt;"),"00000"),""))</f>
        <v/>
      </c>
      <c r="N5221" s="22"/>
    </row>
    <row r="5222" spans="1:14" x14ac:dyDescent="0.3">
      <c r="A5222" s="15" t="str">
        <f>IF(COUNTA($B5222:$E5222,$K5222)=0,"",IF(AND($B5222&lt;&gt;"",$C5222&lt;&gt;"",$D5222&lt;&gt;"",$E5222&lt;&gt;""),"TXS"&amp;TEXT(COUNTIFS($B$2:$B5222,"&lt;&gt;",$C$2:$C5222,"&lt;&gt;",$D$2:$D5222,"&lt;&gt;",$E$2:$E5222,"&lt;&gt;"),"00000"),""))</f>
        <v/>
      </c>
      <c r="N5222" s="22"/>
    </row>
    <row r="5223" spans="1:14" x14ac:dyDescent="0.3">
      <c r="A5223" s="15" t="str">
        <f>IF(COUNTA($B5223:$E5223,$K5223)=0,"",IF(AND($B5223&lt;&gt;"",$C5223&lt;&gt;"",$D5223&lt;&gt;"",$E5223&lt;&gt;""),"TXS"&amp;TEXT(COUNTIFS($B$2:$B5223,"&lt;&gt;",$C$2:$C5223,"&lt;&gt;",$D$2:$D5223,"&lt;&gt;",$E$2:$E5223,"&lt;&gt;"),"00000"),""))</f>
        <v/>
      </c>
      <c r="N5223" s="22"/>
    </row>
    <row r="5224" spans="1:14" x14ac:dyDescent="0.3">
      <c r="A5224" s="15" t="str">
        <f>IF(COUNTA($B5224:$E5224,$K5224)=0,"",IF(AND($B5224&lt;&gt;"",$C5224&lt;&gt;"",$D5224&lt;&gt;"",$E5224&lt;&gt;""),"TXS"&amp;TEXT(COUNTIFS($B$2:$B5224,"&lt;&gt;",$C$2:$C5224,"&lt;&gt;",$D$2:$D5224,"&lt;&gt;",$E$2:$E5224,"&lt;&gt;"),"00000"),""))</f>
        <v/>
      </c>
      <c r="N5224" s="22"/>
    </row>
    <row r="5225" spans="1:14" x14ac:dyDescent="0.3">
      <c r="A5225" s="15" t="str">
        <f>IF(COUNTA($B5225:$E5225,$K5225)=0,"",IF(AND($B5225&lt;&gt;"",$C5225&lt;&gt;"",$D5225&lt;&gt;"",$E5225&lt;&gt;""),"TXS"&amp;TEXT(COUNTIFS($B$2:$B5225,"&lt;&gt;",$C$2:$C5225,"&lt;&gt;",$D$2:$D5225,"&lt;&gt;",$E$2:$E5225,"&lt;&gt;"),"00000"),""))</f>
        <v/>
      </c>
      <c r="N5225" s="22"/>
    </row>
    <row r="5226" spans="1:14" x14ac:dyDescent="0.3">
      <c r="A5226" s="15" t="str">
        <f>IF(COUNTA($B5226:$E5226,$K5226)=0,"",IF(AND($B5226&lt;&gt;"",$C5226&lt;&gt;"",$D5226&lt;&gt;"",$E5226&lt;&gt;""),"TXS"&amp;TEXT(COUNTIFS($B$2:$B5226,"&lt;&gt;",$C$2:$C5226,"&lt;&gt;",$D$2:$D5226,"&lt;&gt;",$E$2:$E5226,"&lt;&gt;"),"00000"),""))</f>
        <v/>
      </c>
      <c r="N5226" s="22"/>
    </row>
    <row r="5227" spans="1:14" x14ac:dyDescent="0.3">
      <c r="A5227" s="15" t="str">
        <f>IF(COUNTA($B5227:$E5227,$K5227)=0,"",IF(AND($B5227&lt;&gt;"",$C5227&lt;&gt;"",$D5227&lt;&gt;"",$E5227&lt;&gt;""),"TXS"&amp;TEXT(COUNTIFS($B$2:$B5227,"&lt;&gt;",$C$2:$C5227,"&lt;&gt;",$D$2:$D5227,"&lt;&gt;",$E$2:$E5227,"&lt;&gt;"),"00000"),""))</f>
        <v/>
      </c>
      <c r="N5227" s="22"/>
    </row>
    <row r="5228" spans="1:14" x14ac:dyDescent="0.3">
      <c r="A5228" s="15" t="str">
        <f>IF(COUNTA($B5228:$E5228,$K5228)=0,"",IF(AND($B5228&lt;&gt;"",$C5228&lt;&gt;"",$D5228&lt;&gt;"",$E5228&lt;&gt;""),"TXS"&amp;TEXT(COUNTIFS($B$2:$B5228,"&lt;&gt;",$C$2:$C5228,"&lt;&gt;",$D$2:$D5228,"&lt;&gt;",$E$2:$E5228,"&lt;&gt;"),"00000"),""))</f>
        <v/>
      </c>
      <c r="N5228" s="22"/>
    </row>
    <row r="5229" spans="1:14" x14ac:dyDescent="0.3">
      <c r="A5229" s="15" t="str">
        <f>IF(COUNTA($B5229:$E5229,$K5229)=0,"",IF(AND($B5229&lt;&gt;"",$C5229&lt;&gt;"",$D5229&lt;&gt;"",$E5229&lt;&gt;""),"TXS"&amp;TEXT(COUNTIFS($B$2:$B5229,"&lt;&gt;",$C$2:$C5229,"&lt;&gt;",$D$2:$D5229,"&lt;&gt;",$E$2:$E5229,"&lt;&gt;"),"00000"),""))</f>
        <v/>
      </c>
      <c r="N5229" s="22"/>
    </row>
    <row r="5230" spans="1:14" x14ac:dyDescent="0.3">
      <c r="A5230" s="15" t="str">
        <f>IF(COUNTA($B5230:$E5230,$K5230)=0,"",IF(AND($B5230&lt;&gt;"",$C5230&lt;&gt;"",$D5230&lt;&gt;"",$E5230&lt;&gt;""),"TXS"&amp;TEXT(COUNTIFS($B$2:$B5230,"&lt;&gt;",$C$2:$C5230,"&lt;&gt;",$D$2:$D5230,"&lt;&gt;",$E$2:$E5230,"&lt;&gt;"),"00000"),""))</f>
        <v/>
      </c>
      <c r="N5230" s="22"/>
    </row>
    <row r="5231" spans="1:14" x14ac:dyDescent="0.3">
      <c r="A5231" s="15" t="str">
        <f>IF(COUNTA($B5231:$E5231,$K5231)=0,"",IF(AND($B5231&lt;&gt;"",$C5231&lt;&gt;"",$D5231&lt;&gt;"",$E5231&lt;&gt;""),"TXS"&amp;TEXT(COUNTIFS($B$2:$B5231,"&lt;&gt;",$C$2:$C5231,"&lt;&gt;",$D$2:$D5231,"&lt;&gt;",$E$2:$E5231,"&lt;&gt;"),"00000"),""))</f>
        <v/>
      </c>
      <c r="N5231" s="22"/>
    </row>
    <row r="5232" spans="1:14" x14ac:dyDescent="0.3">
      <c r="A5232" s="15" t="str">
        <f>IF(COUNTA($B5232:$E5232,$K5232)=0,"",IF(AND($B5232&lt;&gt;"",$C5232&lt;&gt;"",$D5232&lt;&gt;"",$E5232&lt;&gt;""),"TXS"&amp;TEXT(COUNTIFS($B$2:$B5232,"&lt;&gt;",$C$2:$C5232,"&lt;&gt;",$D$2:$D5232,"&lt;&gt;",$E$2:$E5232,"&lt;&gt;"),"00000"),""))</f>
        <v/>
      </c>
      <c r="N5232" s="22"/>
    </row>
    <row r="5233" spans="1:14" x14ac:dyDescent="0.3">
      <c r="A5233" s="15" t="str">
        <f>IF(COUNTA($B5233:$E5233,$K5233)=0,"",IF(AND($B5233&lt;&gt;"",$C5233&lt;&gt;"",$D5233&lt;&gt;"",$E5233&lt;&gt;""),"TXS"&amp;TEXT(COUNTIFS($B$2:$B5233,"&lt;&gt;",$C$2:$C5233,"&lt;&gt;",$D$2:$D5233,"&lt;&gt;",$E$2:$E5233,"&lt;&gt;"),"00000"),""))</f>
        <v/>
      </c>
      <c r="N5233" s="22"/>
    </row>
    <row r="5234" spans="1:14" x14ac:dyDescent="0.3">
      <c r="A5234" s="15" t="str">
        <f>IF(COUNTA($B5234:$E5234,$K5234)=0,"",IF(AND($B5234&lt;&gt;"",$C5234&lt;&gt;"",$D5234&lt;&gt;"",$E5234&lt;&gt;""),"TXS"&amp;TEXT(COUNTIFS($B$2:$B5234,"&lt;&gt;",$C$2:$C5234,"&lt;&gt;",$D$2:$D5234,"&lt;&gt;",$E$2:$E5234,"&lt;&gt;"),"00000"),""))</f>
        <v/>
      </c>
      <c r="N5234" s="22"/>
    </row>
    <row r="5235" spans="1:14" x14ac:dyDescent="0.3">
      <c r="A5235" s="15" t="str">
        <f>IF(COUNTA($B5235:$E5235,$K5235)=0,"",IF(AND($B5235&lt;&gt;"",$C5235&lt;&gt;"",$D5235&lt;&gt;"",$E5235&lt;&gt;""),"TXS"&amp;TEXT(COUNTIFS($B$2:$B5235,"&lt;&gt;",$C$2:$C5235,"&lt;&gt;",$D$2:$D5235,"&lt;&gt;",$E$2:$E5235,"&lt;&gt;"),"00000"),""))</f>
        <v/>
      </c>
      <c r="N5235" s="22"/>
    </row>
    <row r="5236" spans="1:14" x14ac:dyDescent="0.3">
      <c r="A5236" s="15" t="str">
        <f>IF(COUNTA($B5236:$E5236,$K5236)=0,"",IF(AND($B5236&lt;&gt;"",$C5236&lt;&gt;"",$D5236&lt;&gt;"",$E5236&lt;&gt;""),"TXS"&amp;TEXT(COUNTIFS($B$2:$B5236,"&lt;&gt;",$C$2:$C5236,"&lt;&gt;",$D$2:$D5236,"&lt;&gt;",$E$2:$E5236,"&lt;&gt;"),"00000"),""))</f>
        <v/>
      </c>
      <c r="N5236" s="22"/>
    </row>
    <row r="5237" spans="1:14" x14ac:dyDescent="0.3">
      <c r="A5237" s="15" t="str">
        <f>IF(COUNTA($B5237:$E5237,$K5237)=0,"",IF(AND($B5237&lt;&gt;"",$C5237&lt;&gt;"",$D5237&lt;&gt;"",$E5237&lt;&gt;""),"TXS"&amp;TEXT(COUNTIFS($B$2:$B5237,"&lt;&gt;",$C$2:$C5237,"&lt;&gt;",$D$2:$D5237,"&lt;&gt;",$E$2:$E5237,"&lt;&gt;"),"00000"),""))</f>
        <v/>
      </c>
      <c r="N5237" s="22"/>
    </row>
    <row r="5238" spans="1:14" x14ac:dyDescent="0.3">
      <c r="A5238" s="15" t="str">
        <f>IF(COUNTA($B5238:$E5238,$K5238)=0,"",IF(AND($B5238&lt;&gt;"",$C5238&lt;&gt;"",$D5238&lt;&gt;"",$E5238&lt;&gt;""),"TXS"&amp;TEXT(COUNTIFS($B$2:$B5238,"&lt;&gt;",$C$2:$C5238,"&lt;&gt;",$D$2:$D5238,"&lt;&gt;",$E$2:$E5238,"&lt;&gt;"),"00000"),""))</f>
        <v/>
      </c>
      <c r="N5238" s="22"/>
    </row>
    <row r="5239" spans="1:14" x14ac:dyDescent="0.3">
      <c r="A5239" s="15" t="str">
        <f>IF(COUNTA($B5239:$E5239,$K5239)=0,"",IF(AND($B5239&lt;&gt;"",$C5239&lt;&gt;"",$D5239&lt;&gt;"",$E5239&lt;&gt;""),"TXS"&amp;TEXT(COUNTIFS($B$2:$B5239,"&lt;&gt;",$C$2:$C5239,"&lt;&gt;",$D$2:$D5239,"&lt;&gt;",$E$2:$E5239,"&lt;&gt;"),"00000"),""))</f>
        <v/>
      </c>
      <c r="N5239" s="22"/>
    </row>
    <row r="5240" spans="1:14" x14ac:dyDescent="0.3">
      <c r="A5240" s="15" t="str">
        <f>IF(COUNTA($B5240:$E5240,$K5240)=0,"",IF(AND($B5240&lt;&gt;"",$C5240&lt;&gt;"",$D5240&lt;&gt;"",$E5240&lt;&gt;""),"TXS"&amp;TEXT(COUNTIFS($B$2:$B5240,"&lt;&gt;",$C$2:$C5240,"&lt;&gt;",$D$2:$D5240,"&lt;&gt;",$E$2:$E5240,"&lt;&gt;"),"00000"),""))</f>
        <v/>
      </c>
      <c r="N5240" s="22"/>
    </row>
    <row r="5241" spans="1:14" x14ac:dyDescent="0.3">
      <c r="A5241" s="15" t="str">
        <f>IF(COUNTA($B5241:$E5241,$K5241)=0,"",IF(AND($B5241&lt;&gt;"",$C5241&lt;&gt;"",$D5241&lt;&gt;"",$E5241&lt;&gt;""),"TXS"&amp;TEXT(COUNTIFS($B$2:$B5241,"&lt;&gt;",$C$2:$C5241,"&lt;&gt;",$D$2:$D5241,"&lt;&gt;",$E$2:$E5241,"&lt;&gt;"),"00000"),""))</f>
        <v/>
      </c>
      <c r="N5241" s="22"/>
    </row>
    <row r="5242" spans="1:14" x14ac:dyDescent="0.3">
      <c r="A5242" s="15" t="str">
        <f>IF(COUNTA($B5242:$E5242,$K5242)=0,"",IF(AND($B5242&lt;&gt;"",$C5242&lt;&gt;"",$D5242&lt;&gt;"",$E5242&lt;&gt;""),"TXS"&amp;TEXT(COUNTIFS($B$2:$B5242,"&lt;&gt;",$C$2:$C5242,"&lt;&gt;",$D$2:$D5242,"&lt;&gt;",$E$2:$E5242,"&lt;&gt;"),"00000"),""))</f>
        <v/>
      </c>
      <c r="N5242" s="22"/>
    </row>
    <row r="5243" spans="1:14" x14ac:dyDescent="0.3">
      <c r="A5243" s="15" t="str">
        <f>IF(COUNTA($B5243:$E5243,$K5243)=0,"",IF(AND($B5243&lt;&gt;"",$C5243&lt;&gt;"",$D5243&lt;&gt;"",$E5243&lt;&gt;""),"TXS"&amp;TEXT(COUNTIFS($B$2:$B5243,"&lt;&gt;",$C$2:$C5243,"&lt;&gt;",$D$2:$D5243,"&lt;&gt;",$E$2:$E5243,"&lt;&gt;"),"00000"),""))</f>
        <v/>
      </c>
      <c r="N5243" s="22"/>
    </row>
    <row r="5244" spans="1:14" x14ac:dyDescent="0.3">
      <c r="A5244" s="15" t="str">
        <f>IF(COUNTA($B5244:$E5244,$K5244)=0,"",IF(AND($B5244&lt;&gt;"",$C5244&lt;&gt;"",$D5244&lt;&gt;"",$E5244&lt;&gt;""),"TXS"&amp;TEXT(COUNTIFS($B$2:$B5244,"&lt;&gt;",$C$2:$C5244,"&lt;&gt;",$D$2:$D5244,"&lt;&gt;",$E$2:$E5244,"&lt;&gt;"),"00000"),""))</f>
        <v/>
      </c>
      <c r="N5244" s="22"/>
    </row>
    <row r="5245" spans="1:14" x14ac:dyDescent="0.3">
      <c r="A5245" s="15" t="str">
        <f>IF(COUNTA($B5245:$E5245,$K5245)=0,"",IF(AND($B5245&lt;&gt;"",$C5245&lt;&gt;"",$D5245&lt;&gt;"",$E5245&lt;&gt;""),"TXS"&amp;TEXT(COUNTIFS($B$2:$B5245,"&lt;&gt;",$C$2:$C5245,"&lt;&gt;",$D$2:$D5245,"&lt;&gt;",$E$2:$E5245,"&lt;&gt;"),"00000"),""))</f>
        <v/>
      </c>
      <c r="N5245" s="22"/>
    </row>
    <row r="5246" spans="1:14" x14ac:dyDescent="0.3">
      <c r="A5246" s="15" t="str">
        <f>IF(COUNTA($B5246:$E5246,$K5246)=0,"",IF(AND($B5246&lt;&gt;"",$C5246&lt;&gt;"",$D5246&lt;&gt;"",$E5246&lt;&gt;""),"TXS"&amp;TEXT(COUNTIFS($B$2:$B5246,"&lt;&gt;",$C$2:$C5246,"&lt;&gt;",$D$2:$D5246,"&lt;&gt;",$E$2:$E5246,"&lt;&gt;"),"00000"),""))</f>
        <v/>
      </c>
      <c r="N5246" s="22"/>
    </row>
    <row r="5247" spans="1:14" x14ac:dyDescent="0.3">
      <c r="A5247" s="15" t="str">
        <f>IF(COUNTA($B5247:$E5247,$K5247)=0,"",IF(AND($B5247&lt;&gt;"",$C5247&lt;&gt;"",$D5247&lt;&gt;"",$E5247&lt;&gt;""),"TXS"&amp;TEXT(COUNTIFS($B$2:$B5247,"&lt;&gt;",$C$2:$C5247,"&lt;&gt;",$D$2:$D5247,"&lt;&gt;",$E$2:$E5247,"&lt;&gt;"),"00000"),""))</f>
        <v/>
      </c>
      <c r="N5247" s="22"/>
    </row>
    <row r="5248" spans="1:14" x14ac:dyDescent="0.3">
      <c r="A5248" s="15" t="str">
        <f>IF(COUNTA($B5248:$E5248,$K5248)=0,"",IF(AND($B5248&lt;&gt;"",$C5248&lt;&gt;"",$D5248&lt;&gt;"",$E5248&lt;&gt;""),"TXS"&amp;TEXT(COUNTIFS($B$2:$B5248,"&lt;&gt;",$C$2:$C5248,"&lt;&gt;",$D$2:$D5248,"&lt;&gt;",$E$2:$E5248,"&lt;&gt;"),"00000"),""))</f>
        <v/>
      </c>
      <c r="N5248" s="22"/>
    </row>
    <row r="5249" spans="1:14" x14ac:dyDescent="0.3">
      <c r="A5249" s="15" t="str">
        <f>IF(COUNTA($B5249:$E5249,$K5249)=0,"",IF(AND($B5249&lt;&gt;"",$C5249&lt;&gt;"",$D5249&lt;&gt;"",$E5249&lt;&gt;""),"TXS"&amp;TEXT(COUNTIFS($B$2:$B5249,"&lt;&gt;",$C$2:$C5249,"&lt;&gt;",$D$2:$D5249,"&lt;&gt;",$E$2:$E5249,"&lt;&gt;"),"00000"),""))</f>
        <v/>
      </c>
      <c r="N5249" s="22"/>
    </row>
    <row r="5250" spans="1:14" x14ac:dyDescent="0.3">
      <c r="A5250" s="15" t="str">
        <f>IF(COUNTA($B5250:$E5250,$K5250)=0,"",IF(AND($B5250&lt;&gt;"",$C5250&lt;&gt;"",$D5250&lt;&gt;"",$E5250&lt;&gt;""),"TXS"&amp;TEXT(COUNTIFS($B$2:$B5250,"&lt;&gt;",$C$2:$C5250,"&lt;&gt;",$D$2:$D5250,"&lt;&gt;",$E$2:$E5250,"&lt;&gt;"),"00000"),""))</f>
        <v/>
      </c>
      <c r="N5250" s="22"/>
    </row>
    <row r="5251" spans="1:14" x14ac:dyDescent="0.3">
      <c r="A5251" s="15" t="str">
        <f>IF(COUNTA($B5251:$E5251,$K5251)=0,"",IF(AND($B5251&lt;&gt;"",$C5251&lt;&gt;"",$D5251&lt;&gt;"",$E5251&lt;&gt;""),"TXS"&amp;TEXT(COUNTIFS($B$2:$B5251,"&lt;&gt;",$C$2:$C5251,"&lt;&gt;",$D$2:$D5251,"&lt;&gt;",$E$2:$E5251,"&lt;&gt;"),"00000"),""))</f>
        <v/>
      </c>
      <c r="N5251" s="22"/>
    </row>
    <row r="5252" spans="1:14" x14ac:dyDescent="0.3">
      <c r="A5252" s="15" t="str">
        <f>IF(COUNTA($B5252:$E5252,$K5252)=0,"",IF(AND($B5252&lt;&gt;"",$C5252&lt;&gt;"",$D5252&lt;&gt;"",$E5252&lt;&gt;""),"TXS"&amp;TEXT(COUNTIFS($B$2:$B5252,"&lt;&gt;",$C$2:$C5252,"&lt;&gt;",$D$2:$D5252,"&lt;&gt;",$E$2:$E5252,"&lt;&gt;"),"00000"),""))</f>
        <v/>
      </c>
      <c r="N5252" s="22"/>
    </row>
    <row r="5253" spans="1:14" x14ac:dyDescent="0.3">
      <c r="A5253" s="15" t="str">
        <f>IF(COUNTA($B5253:$E5253,$K5253)=0,"",IF(AND($B5253&lt;&gt;"",$C5253&lt;&gt;"",$D5253&lt;&gt;"",$E5253&lt;&gt;""),"TXS"&amp;TEXT(COUNTIFS($B$2:$B5253,"&lt;&gt;",$C$2:$C5253,"&lt;&gt;",$D$2:$D5253,"&lt;&gt;",$E$2:$E5253,"&lt;&gt;"),"00000"),""))</f>
        <v/>
      </c>
      <c r="N5253" s="22"/>
    </row>
    <row r="5254" spans="1:14" x14ac:dyDescent="0.3">
      <c r="A5254" s="15" t="str">
        <f>IF(COUNTA($B5254:$E5254,$K5254)=0,"",IF(AND($B5254&lt;&gt;"",$C5254&lt;&gt;"",$D5254&lt;&gt;"",$E5254&lt;&gt;""),"TXS"&amp;TEXT(COUNTIFS($B$2:$B5254,"&lt;&gt;",$C$2:$C5254,"&lt;&gt;",$D$2:$D5254,"&lt;&gt;",$E$2:$E5254,"&lt;&gt;"),"00000"),""))</f>
        <v/>
      </c>
      <c r="N5254" s="22"/>
    </row>
    <row r="5255" spans="1:14" x14ac:dyDescent="0.3">
      <c r="A5255" s="15" t="str">
        <f>IF(COUNTA($B5255:$E5255,$K5255)=0,"",IF(AND($B5255&lt;&gt;"",$C5255&lt;&gt;"",$D5255&lt;&gt;"",$E5255&lt;&gt;""),"TXS"&amp;TEXT(COUNTIFS($B$2:$B5255,"&lt;&gt;",$C$2:$C5255,"&lt;&gt;",$D$2:$D5255,"&lt;&gt;",$E$2:$E5255,"&lt;&gt;"),"00000"),""))</f>
        <v/>
      </c>
      <c r="N5255" s="22"/>
    </row>
    <row r="5256" spans="1:14" x14ac:dyDescent="0.3">
      <c r="A5256" s="15" t="str">
        <f>IF(COUNTA($B5256:$E5256,$K5256)=0,"",IF(AND($B5256&lt;&gt;"",$C5256&lt;&gt;"",$D5256&lt;&gt;"",$E5256&lt;&gt;""),"TXS"&amp;TEXT(COUNTIFS($B$2:$B5256,"&lt;&gt;",$C$2:$C5256,"&lt;&gt;",$D$2:$D5256,"&lt;&gt;",$E$2:$E5256,"&lt;&gt;"),"00000"),""))</f>
        <v/>
      </c>
      <c r="N5256" s="22"/>
    </row>
    <row r="5257" spans="1:14" x14ac:dyDescent="0.3">
      <c r="A5257" s="15" t="str">
        <f>IF(COUNTA($B5257:$E5257,$K5257)=0,"",IF(AND($B5257&lt;&gt;"",$C5257&lt;&gt;"",$D5257&lt;&gt;"",$E5257&lt;&gt;""),"TXS"&amp;TEXT(COUNTIFS($B$2:$B5257,"&lt;&gt;",$C$2:$C5257,"&lt;&gt;",$D$2:$D5257,"&lt;&gt;",$E$2:$E5257,"&lt;&gt;"),"00000"),""))</f>
        <v/>
      </c>
      <c r="N5257" s="22"/>
    </row>
    <row r="5258" spans="1:14" x14ac:dyDescent="0.3">
      <c r="A5258" s="15" t="str">
        <f>IF(COUNTA($B5258:$E5258,$K5258)=0,"",IF(AND($B5258&lt;&gt;"",$C5258&lt;&gt;"",$D5258&lt;&gt;"",$E5258&lt;&gt;""),"TXS"&amp;TEXT(COUNTIFS($B$2:$B5258,"&lt;&gt;",$C$2:$C5258,"&lt;&gt;",$D$2:$D5258,"&lt;&gt;",$E$2:$E5258,"&lt;&gt;"),"00000"),""))</f>
        <v/>
      </c>
      <c r="N5258" s="22"/>
    </row>
    <row r="5259" spans="1:14" x14ac:dyDescent="0.3">
      <c r="A5259" s="15" t="str">
        <f>IF(COUNTA($B5259:$E5259,$K5259)=0,"",IF(AND($B5259&lt;&gt;"",$C5259&lt;&gt;"",$D5259&lt;&gt;"",$E5259&lt;&gt;""),"TXS"&amp;TEXT(COUNTIFS($B$2:$B5259,"&lt;&gt;",$C$2:$C5259,"&lt;&gt;",$D$2:$D5259,"&lt;&gt;",$E$2:$E5259,"&lt;&gt;"),"00000"),""))</f>
        <v/>
      </c>
      <c r="N5259" s="22"/>
    </row>
    <row r="5260" spans="1:14" x14ac:dyDescent="0.3">
      <c r="A5260" s="15" t="str">
        <f>IF(COUNTA($B5260:$E5260,$K5260)=0,"",IF(AND($B5260&lt;&gt;"",$C5260&lt;&gt;"",$D5260&lt;&gt;"",$E5260&lt;&gt;""),"TXS"&amp;TEXT(COUNTIFS($B$2:$B5260,"&lt;&gt;",$C$2:$C5260,"&lt;&gt;",$D$2:$D5260,"&lt;&gt;",$E$2:$E5260,"&lt;&gt;"),"00000"),""))</f>
        <v/>
      </c>
      <c r="N5260" s="22"/>
    </row>
    <row r="5261" spans="1:14" x14ac:dyDescent="0.3">
      <c r="A5261" s="15" t="str">
        <f>IF(COUNTA($B5261:$E5261,$K5261)=0,"",IF(AND($B5261&lt;&gt;"",$C5261&lt;&gt;"",$D5261&lt;&gt;"",$E5261&lt;&gt;""),"TXS"&amp;TEXT(COUNTIFS($B$2:$B5261,"&lt;&gt;",$C$2:$C5261,"&lt;&gt;",$D$2:$D5261,"&lt;&gt;",$E$2:$E5261,"&lt;&gt;"),"00000"),""))</f>
        <v/>
      </c>
      <c r="N5261" s="22"/>
    </row>
    <row r="5262" spans="1:14" x14ac:dyDescent="0.3">
      <c r="A5262" s="15" t="str">
        <f>IF(COUNTA($B5262:$E5262,$K5262)=0,"",IF(AND($B5262&lt;&gt;"",$C5262&lt;&gt;"",$D5262&lt;&gt;"",$E5262&lt;&gt;""),"TXS"&amp;TEXT(COUNTIFS($B$2:$B5262,"&lt;&gt;",$C$2:$C5262,"&lt;&gt;",$D$2:$D5262,"&lt;&gt;",$E$2:$E5262,"&lt;&gt;"),"00000"),""))</f>
        <v/>
      </c>
      <c r="N5262" s="22"/>
    </row>
    <row r="5263" spans="1:14" x14ac:dyDescent="0.3">
      <c r="A5263" s="15" t="str">
        <f>IF(COUNTA($B5263:$E5263,$K5263)=0,"",IF(AND($B5263&lt;&gt;"",$C5263&lt;&gt;"",$D5263&lt;&gt;"",$E5263&lt;&gt;""),"TXS"&amp;TEXT(COUNTIFS($B$2:$B5263,"&lt;&gt;",$C$2:$C5263,"&lt;&gt;",$D$2:$D5263,"&lt;&gt;",$E$2:$E5263,"&lt;&gt;"),"00000"),""))</f>
        <v/>
      </c>
      <c r="N5263" s="22"/>
    </row>
    <row r="5264" spans="1:14" x14ac:dyDescent="0.3">
      <c r="A5264" s="15" t="str">
        <f>IF(COUNTA($B5264:$E5264,$K5264)=0,"",IF(AND($B5264&lt;&gt;"",$C5264&lt;&gt;"",$D5264&lt;&gt;"",$E5264&lt;&gt;""),"TXS"&amp;TEXT(COUNTIFS($B$2:$B5264,"&lt;&gt;",$C$2:$C5264,"&lt;&gt;",$D$2:$D5264,"&lt;&gt;",$E$2:$E5264,"&lt;&gt;"),"00000"),""))</f>
        <v/>
      </c>
      <c r="N5264" s="22"/>
    </row>
    <row r="5265" spans="1:14" x14ac:dyDescent="0.3">
      <c r="A5265" s="15" t="str">
        <f>IF(COUNTA($B5265:$E5265,$K5265)=0,"",IF(AND($B5265&lt;&gt;"",$C5265&lt;&gt;"",$D5265&lt;&gt;"",$E5265&lt;&gt;""),"TXS"&amp;TEXT(COUNTIFS($B$2:$B5265,"&lt;&gt;",$C$2:$C5265,"&lt;&gt;",$D$2:$D5265,"&lt;&gt;",$E$2:$E5265,"&lt;&gt;"),"00000"),""))</f>
        <v/>
      </c>
      <c r="N5265" s="22"/>
    </row>
    <row r="5266" spans="1:14" x14ac:dyDescent="0.3">
      <c r="A5266" s="15" t="str">
        <f>IF(COUNTA($B5266:$E5266,$K5266)=0,"",IF(AND($B5266&lt;&gt;"",$C5266&lt;&gt;"",$D5266&lt;&gt;"",$E5266&lt;&gt;""),"TXS"&amp;TEXT(COUNTIFS($B$2:$B5266,"&lt;&gt;",$C$2:$C5266,"&lt;&gt;",$D$2:$D5266,"&lt;&gt;",$E$2:$E5266,"&lt;&gt;"),"00000"),""))</f>
        <v/>
      </c>
      <c r="N5266" s="22"/>
    </row>
    <row r="5267" spans="1:14" x14ac:dyDescent="0.3">
      <c r="A5267" s="15" t="str">
        <f>IF(COUNTA($B5267:$E5267,$K5267)=0,"",IF(AND($B5267&lt;&gt;"",$C5267&lt;&gt;"",$D5267&lt;&gt;"",$E5267&lt;&gt;""),"TXS"&amp;TEXT(COUNTIFS($B$2:$B5267,"&lt;&gt;",$C$2:$C5267,"&lt;&gt;",$D$2:$D5267,"&lt;&gt;",$E$2:$E5267,"&lt;&gt;"),"00000"),""))</f>
        <v/>
      </c>
      <c r="N5267" s="22"/>
    </row>
    <row r="5268" spans="1:14" x14ac:dyDescent="0.3">
      <c r="A5268" s="15" t="str">
        <f>IF(COUNTA($B5268:$E5268,$K5268)=0,"",IF(AND($B5268&lt;&gt;"",$C5268&lt;&gt;"",$D5268&lt;&gt;"",$E5268&lt;&gt;""),"TXS"&amp;TEXT(COUNTIFS($B$2:$B5268,"&lt;&gt;",$C$2:$C5268,"&lt;&gt;",$D$2:$D5268,"&lt;&gt;",$E$2:$E5268,"&lt;&gt;"),"00000"),""))</f>
        <v/>
      </c>
      <c r="N5268" s="22"/>
    </row>
    <row r="5269" spans="1:14" x14ac:dyDescent="0.3">
      <c r="A5269" s="15" t="str">
        <f>IF(COUNTA($B5269:$E5269,$K5269)=0,"",IF(AND($B5269&lt;&gt;"",$C5269&lt;&gt;"",$D5269&lt;&gt;"",$E5269&lt;&gt;""),"TXS"&amp;TEXT(COUNTIFS($B$2:$B5269,"&lt;&gt;",$C$2:$C5269,"&lt;&gt;",$D$2:$D5269,"&lt;&gt;",$E$2:$E5269,"&lt;&gt;"),"00000"),""))</f>
        <v/>
      </c>
      <c r="N5269" s="22"/>
    </row>
    <row r="5270" spans="1:14" x14ac:dyDescent="0.3">
      <c r="A5270" s="15" t="str">
        <f>IF(COUNTA($B5270:$E5270,$K5270)=0,"",IF(AND($B5270&lt;&gt;"",$C5270&lt;&gt;"",$D5270&lt;&gt;"",$E5270&lt;&gt;""),"TXS"&amp;TEXT(COUNTIFS($B$2:$B5270,"&lt;&gt;",$C$2:$C5270,"&lt;&gt;",$D$2:$D5270,"&lt;&gt;",$E$2:$E5270,"&lt;&gt;"),"00000"),""))</f>
        <v/>
      </c>
      <c r="N5270" s="22"/>
    </row>
    <row r="5271" spans="1:14" x14ac:dyDescent="0.3">
      <c r="A5271" s="15" t="str">
        <f>IF(COUNTA($B5271:$E5271,$K5271)=0,"",IF(AND($B5271&lt;&gt;"",$C5271&lt;&gt;"",$D5271&lt;&gt;"",$E5271&lt;&gt;""),"TXS"&amp;TEXT(COUNTIFS($B$2:$B5271,"&lt;&gt;",$C$2:$C5271,"&lt;&gt;",$D$2:$D5271,"&lt;&gt;",$E$2:$E5271,"&lt;&gt;"),"00000"),""))</f>
        <v/>
      </c>
      <c r="N5271" s="22"/>
    </row>
    <row r="5272" spans="1:14" x14ac:dyDescent="0.3">
      <c r="A5272" s="15" t="str">
        <f>IF(COUNTA($B5272:$E5272,$K5272)=0,"",IF(AND($B5272&lt;&gt;"",$C5272&lt;&gt;"",$D5272&lt;&gt;"",$E5272&lt;&gt;""),"TXS"&amp;TEXT(COUNTIFS($B$2:$B5272,"&lt;&gt;",$C$2:$C5272,"&lt;&gt;",$D$2:$D5272,"&lt;&gt;",$E$2:$E5272,"&lt;&gt;"),"00000"),""))</f>
        <v/>
      </c>
      <c r="N5272" s="22"/>
    </row>
    <row r="5273" spans="1:14" x14ac:dyDescent="0.3">
      <c r="A5273" s="15" t="str">
        <f>IF(COUNTA($B5273:$E5273,$K5273)=0,"",IF(AND($B5273&lt;&gt;"",$C5273&lt;&gt;"",$D5273&lt;&gt;"",$E5273&lt;&gt;""),"TXS"&amp;TEXT(COUNTIFS($B$2:$B5273,"&lt;&gt;",$C$2:$C5273,"&lt;&gt;",$D$2:$D5273,"&lt;&gt;",$E$2:$E5273,"&lt;&gt;"),"00000"),""))</f>
        <v/>
      </c>
      <c r="N5273" s="22"/>
    </row>
    <row r="5274" spans="1:14" x14ac:dyDescent="0.3">
      <c r="A5274" s="15" t="str">
        <f>IF(COUNTA($B5274:$E5274,$K5274)=0,"",IF(AND($B5274&lt;&gt;"",$C5274&lt;&gt;"",$D5274&lt;&gt;"",$E5274&lt;&gt;""),"TXS"&amp;TEXT(COUNTIFS($B$2:$B5274,"&lt;&gt;",$C$2:$C5274,"&lt;&gt;",$D$2:$D5274,"&lt;&gt;",$E$2:$E5274,"&lt;&gt;"),"00000"),""))</f>
        <v/>
      </c>
      <c r="N5274" s="22"/>
    </row>
    <row r="5275" spans="1:14" x14ac:dyDescent="0.3">
      <c r="A5275" s="15" t="str">
        <f>IF(COUNTA($B5275:$E5275,$K5275)=0,"",IF(AND($B5275&lt;&gt;"",$C5275&lt;&gt;"",$D5275&lt;&gt;"",$E5275&lt;&gt;""),"TXS"&amp;TEXT(COUNTIFS($B$2:$B5275,"&lt;&gt;",$C$2:$C5275,"&lt;&gt;",$D$2:$D5275,"&lt;&gt;",$E$2:$E5275,"&lt;&gt;"),"00000"),""))</f>
        <v/>
      </c>
      <c r="N5275" s="22"/>
    </row>
    <row r="5276" spans="1:14" x14ac:dyDescent="0.3">
      <c r="A5276" s="15" t="str">
        <f>IF(COUNTA($B5276:$E5276,$K5276)=0,"",IF(AND($B5276&lt;&gt;"",$C5276&lt;&gt;"",$D5276&lt;&gt;"",$E5276&lt;&gt;""),"TXS"&amp;TEXT(COUNTIFS($B$2:$B5276,"&lt;&gt;",$C$2:$C5276,"&lt;&gt;",$D$2:$D5276,"&lt;&gt;",$E$2:$E5276,"&lt;&gt;"),"00000"),""))</f>
        <v/>
      </c>
      <c r="N5276" s="22"/>
    </row>
    <row r="5277" spans="1:14" x14ac:dyDescent="0.3">
      <c r="A5277" s="15" t="str">
        <f>IF(COUNTA($B5277:$E5277,$K5277)=0,"",IF(AND($B5277&lt;&gt;"",$C5277&lt;&gt;"",$D5277&lt;&gt;"",$E5277&lt;&gt;""),"TXS"&amp;TEXT(COUNTIFS($B$2:$B5277,"&lt;&gt;",$C$2:$C5277,"&lt;&gt;",$D$2:$D5277,"&lt;&gt;",$E$2:$E5277,"&lt;&gt;"),"00000"),""))</f>
        <v/>
      </c>
      <c r="N5277" s="22"/>
    </row>
    <row r="5278" spans="1:14" x14ac:dyDescent="0.3">
      <c r="A5278" s="15" t="str">
        <f>IF(COUNTA($B5278:$E5278,$K5278)=0,"",IF(AND($B5278&lt;&gt;"",$C5278&lt;&gt;"",$D5278&lt;&gt;"",$E5278&lt;&gt;""),"TXS"&amp;TEXT(COUNTIFS($B$2:$B5278,"&lt;&gt;",$C$2:$C5278,"&lt;&gt;",$D$2:$D5278,"&lt;&gt;",$E$2:$E5278,"&lt;&gt;"),"00000"),""))</f>
        <v/>
      </c>
      <c r="N5278" s="22"/>
    </row>
    <row r="5279" spans="1:14" x14ac:dyDescent="0.3">
      <c r="A5279" s="15" t="str">
        <f>IF(COUNTA($B5279:$E5279,$K5279)=0,"",IF(AND($B5279&lt;&gt;"",$C5279&lt;&gt;"",$D5279&lt;&gt;"",$E5279&lt;&gt;""),"TXS"&amp;TEXT(COUNTIFS($B$2:$B5279,"&lt;&gt;",$C$2:$C5279,"&lt;&gt;",$D$2:$D5279,"&lt;&gt;",$E$2:$E5279,"&lt;&gt;"),"00000"),""))</f>
        <v/>
      </c>
      <c r="N5279" s="22"/>
    </row>
    <row r="5280" spans="1:14" x14ac:dyDescent="0.3">
      <c r="A5280" s="15" t="str">
        <f>IF(COUNTA($B5280:$E5280,$K5280)=0,"",IF(AND($B5280&lt;&gt;"",$C5280&lt;&gt;"",$D5280&lt;&gt;"",$E5280&lt;&gt;""),"TXS"&amp;TEXT(COUNTIFS($B$2:$B5280,"&lt;&gt;",$C$2:$C5280,"&lt;&gt;",$D$2:$D5280,"&lt;&gt;",$E$2:$E5280,"&lt;&gt;"),"00000"),""))</f>
        <v/>
      </c>
      <c r="N5280" s="22"/>
    </row>
    <row r="5281" spans="1:14" x14ac:dyDescent="0.3">
      <c r="A5281" s="15" t="str">
        <f>IF(COUNTA($B5281:$E5281,$K5281)=0,"",IF(AND($B5281&lt;&gt;"",$C5281&lt;&gt;"",$D5281&lt;&gt;"",$E5281&lt;&gt;""),"TXS"&amp;TEXT(COUNTIFS($B$2:$B5281,"&lt;&gt;",$C$2:$C5281,"&lt;&gt;",$D$2:$D5281,"&lt;&gt;",$E$2:$E5281,"&lt;&gt;"),"00000"),""))</f>
        <v/>
      </c>
      <c r="N5281" s="22"/>
    </row>
    <row r="5282" spans="1:14" x14ac:dyDescent="0.3">
      <c r="A5282" s="15" t="str">
        <f>IF(COUNTA($B5282:$E5282,$K5282)=0,"",IF(AND($B5282&lt;&gt;"",$C5282&lt;&gt;"",$D5282&lt;&gt;"",$E5282&lt;&gt;""),"TXS"&amp;TEXT(COUNTIFS($B$2:$B5282,"&lt;&gt;",$C$2:$C5282,"&lt;&gt;",$D$2:$D5282,"&lt;&gt;",$E$2:$E5282,"&lt;&gt;"),"00000"),""))</f>
        <v/>
      </c>
      <c r="N5282" s="22"/>
    </row>
    <row r="5283" spans="1:14" x14ac:dyDescent="0.3">
      <c r="A5283" s="15" t="str">
        <f>IF(COUNTA($B5283:$E5283,$K5283)=0,"",IF(AND($B5283&lt;&gt;"",$C5283&lt;&gt;"",$D5283&lt;&gt;"",$E5283&lt;&gt;""),"TXS"&amp;TEXT(COUNTIFS($B$2:$B5283,"&lt;&gt;",$C$2:$C5283,"&lt;&gt;",$D$2:$D5283,"&lt;&gt;",$E$2:$E5283,"&lt;&gt;"),"00000"),""))</f>
        <v/>
      </c>
      <c r="N5283" s="22"/>
    </row>
    <row r="5284" spans="1:14" x14ac:dyDescent="0.3">
      <c r="A5284" s="15" t="str">
        <f>IF(COUNTA($B5284:$E5284,$K5284)=0,"",IF(AND($B5284&lt;&gt;"",$C5284&lt;&gt;"",$D5284&lt;&gt;"",$E5284&lt;&gt;""),"TXS"&amp;TEXT(COUNTIFS($B$2:$B5284,"&lt;&gt;",$C$2:$C5284,"&lt;&gt;",$D$2:$D5284,"&lt;&gt;",$E$2:$E5284,"&lt;&gt;"),"00000"),""))</f>
        <v/>
      </c>
      <c r="N5284" s="22"/>
    </row>
    <row r="5285" spans="1:14" x14ac:dyDescent="0.3">
      <c r="A5285" s="15" t="str">
        <f>IF(COUNTA($B5285:$E5285,$K5285)=0,"",IF(AND($B5285&lt;&gt;"",$C5285&lt;&gt;"",$D5285&lt;&gt;"",$E5285&lt;&gt;""),"TXS"&amp;TEXT(COUNTIFS($B$2:$B5285,"&lt;&gt;",$C$2:$C5285,"&lt;&gt;",$D$2:$D5285,"&lt;&gt;",$E$2:$E5285,"&lt;&gt;"),"00000"),""))</f>
        <v/>
      </c>
      <c r="N5285" s="22"/>
    </row>
    <row r="5286" spans="1:14" x14ac:dyDescent="0.3">
      <c r="A5286" s="15" t="str">
        <f>IF(COUNTA($B5286:$E5286,$K5286)=0,"",IF(AND($B5286&lt;&gt;"",$C5286&lt;&gt;"",$D5286&lt;&gt;"",$E5286&lt;&gt;""),"TXS"&amp;TEXT(COUNTIFS($B$2:$B5286,"&lt;&gt;",$C$2:$C5286,"&lt;&gt;",$D$2:$D5286,"&lt;&gt;",$E$2:$E5286,"&lt;&gt;"),"00000"),""))</f>
        <v/>
      </c>
      <c r="N5286" s="22"/>
    </row>
    <row r="5287" spans="1:14" x14ac:dyDescent="0.3">
      <c r="A5287" s="15" t="str">
        <f>IF(COUNTA($B5287:$E5287,$K5287)=0,"",IF(AND($B5287&lt;&gt;"",$C5287&lt;&gt;"",$D5287&lt;&gt;"",$E5287&lt;&gt;""),"TXS"&amp;TEXT(COUNTIFS($B$2:$B5287,"&lt;&gt;",$C$2:$C5287,"&lt;&gt;",$D$2:$D5287,"&lt;&gt;",$E$2:$E5287,"&lt;&gt;"),"00000"),""))</f>
        <v/>
      </c>
      <c r="N5287" s="22"/>
    </row>
    <row r="5288" spans="1:14" x14ac:dyDescent="0.3">
      <c r="A5288" s="15" t="str">
        <f>IF(COUNTA($B5288:$E5288,$K5288)=0,"",IF(AND($B5288&lt;&gt;"",$C5288&lt;&gt;"",$D5288&lt;&gt;"",$E5288&lt;&gt;""),"TXS"&amp;TEXT(COUNTIFS($B$2:$B5288,"&lt;&gt;",$C$2:$C5288,"&lt;&gt;",$D$2:$D5288,"&lt;&gt;",$E$2:$E5288,"&lt;&gt;"),"00000"),""))</f>
        <v/>
      </c>
      <c r="N5288" s="22"/>
    </row>
    <row r="5289" spans="1:14" x14ac:dyDescent="0.3">
      <c r="A5289" s="15" t="str">
        <f>IF(COUNTA($B5289:$E5289,$K5289)=0,"",IF(AND($B5289&lt;&gt;"",$C5289&lt;&gt;"",$D5289&lt;&gt;"",$E5289&lt;&gt;""),"TXS"&amp;TEXT(COUNTIFS($B$2:$B5289,"&lt;&gt;",$C$2:$C5289,"&lt;&gt;",$D$2:$D5289,"&lt;&gt;",$E$2:$E5289,"&lt;&gt;"),"00000"),""))</f>
        <v/>
      </c>
      <c r="N5289" s="22"/>
    </row>
    <row r="5290" spans="1:14" x14ac:dyDescent="0.3">
      <c r="A5290" s="15" t="str">
        <f>IF(COUNTA($B5290:$E5290,$K5290)=0,"",IF(AND($B5290&lt;&gt;"",$C5290&lt;&gt;"",$D5290&lt;&gt;"",$E5290&lt;&gt;""),"TXS"&amp;TEXT(COUNTIFS($B$2:$B5290,"&lt;&gt;",$C$2:$C5290,"&lt;&gt;",$D$2:$D5290,"&lt;&gt;",$E$2:$E5290,"&lt;&gt;"),"00000"),""))</f>
        <v/>
      </c>
      <c r="N5290" s="22"/>
    </row>
    <row r="5291" spans="1:14" x14ac:dyDescent="0.3">
      <c r="A5291" s="15" t="str">
        <f>IF(COUNTA($B5291:$E5291,$K5291)=0,"",IF(AND($B5291&lt;&gt;"",$C5291&lt;&gt;"",$D5291&lt;&gt;"",$E5291&lt;&gt;""),"TXS"&amp;TEXT(COUNTIFS($B$2:$B5291,"&lt;&gt;",$C$2:$C5291,"&lt;&gt;",$D$2:$D5291,"&lt;&gt;",$E$2:$E5291,"&lt;&gt;"),"00000"),""))</f>
        <v/>
      </c>
      <c r="N5291" s="22"/>
    </row>
    <row r="5292" spans="1:14" x14ac:dyDescent="0.3">
      <c r="A5292" s="15" t="str">
        <f>IF(COUNTA($B5292:$E5292,$K5292)=0,"",IF(AND($B5292&lt;&gt;"",$C5292&lt;&gt;"",$D5292&lt;&gt;"",$E5292&lt;&gt;""),"TXS"&amp;TEXT(COUNTIFS($B$2:$B5292,"&lt;&gt;",$C$2:$C5292,"&lt;&gt;",$D$2:$D5292,"&lt;&gt;",$E$2:$E5292,"&lt;&gt;"),"00000"),""))</f>
        <v/>
      </c>
      <c r="N5292" s="22"/>
    </row>
    <row r="5293" spans="1:14" x14ac:dyDescent="0.3">
      <c r="A5293" s="15" t="str">
        <f>IF(COUNTA($B5293:$E5293,$K5293)=0,"",IF(AND($B5293&lt;&gt;"",$C5293&lt;&gt;"",$D5293&lt;&gt;"",$E5293&lt;&gt;""),"TXS"&amp;TEXT(COUNTIFS($B$2:$B5293,"&lt;&gt;",$C$2:$C5293,"&lt;&gt;",$D$2:$D5293,"&lt;&gt;",$E$2:$E5293,"&lt;&gt;"),"00000"),""))</f>
        <v/>
      </c>
      <c r="N5293" s="22"/>
    </row>
    <row r="5294" spans="1:14" x14ac:dyDescent="0.3">
      <c r="A5294" s="15" t="str">
        <f>IF(COUNTA($B5294:$E5294,$K5294)=0,"",IF(AND($B5294&lt;&gt;"",$C5294&lt;&gt;"",$D5294&lt;&gt;"",$E5294&lt;&gt;""),"TXS"&amp;TEXT(COUNTIFS($B$2:$B5294,"&lt;&gt;",$C$2:$C5294,"&lt;&gt;",$D$2:$D5294,"&lt;&gt;",$E$2:$E5294,"&lt;&gt;"),"00000"),""))</f>
        <v/>
      </c>
      <c r="N5294" s="22"/>
    </row>
    <row r="5295" spans="1:14" x14ac:dyDescent="0.3">
      <c r="A5295" s="15" t="str">
        <f>IF(COUNTA($B5295:$E5295,$K5295)=0,"",IF(AND($B5295&lt;&gt;"",$C5295&lt;&gt;"",$D5295&lt;&gt;"",$E5295&lt;&gt;""),"TXS"&amp;TEXT(COUNTIFS($B$2:$B5295,"&lt;&gt;",$C$2:$C5295,"&lt;&gt;",$D$2:$D5295,"&lt;&gt;",$E$2:$E5295,"&lt;&gt;"),"00000"),""))</f>
        <v/>
      </c>
      <c r="N5295" s="22"/>
    </row>
    <row r="5296" spans="1:14" x14ac:dyDescent="0.3">
      <c r="A5296" s="15" t="str">
        <f>IF(COUNTA($B5296:$E5296,$K5296)=0,"",IF(AND($B5296&lt;&gt;"",$C5296&lt;&gt;"",$D5296&lt;&gt;"",$E5296&lt;&gt;""),"TXS"&amp;TEXT(COUNTIFS($B$2:$B5296,"&lt;&gt;",$C$2:$C5296,"&lt;&gt;",$D$2:$D5296,"&lt;&gt;",$E$2:$E5296,"&lt;&gt;"),"00000"),""))</f>
        <v/>
      </c>
      <c r="N5296" s="22"/>
    </row>
    <row r="5297" spans="1:14" x14ac:dyDescent="0.3">
      <c r="A5297" s="15" t="str">
        <f>IF(COUNTA($B5297:$E5297,$K5297)=0,"",IF(AND($B5297&lt;&gt;"",$C5297&lt;&gt;"",$D5297&lt;&gt;"",$E5297&lt;&gt;""),"TXS"&amp;TEXT(COUNTIFS($B$2:$B5297,"&lt;&gt;",$C$2:$C5297,"&lt;&gt;",$D$2:$D5297,"&lt;&gt;",$E$2:$E5297,"&lt;&gt;"),"00000"),""))</f>
        <v/>
      </c>
      <c r="N5297" s="22"/>
    </row>
    <row r="5298" spans="1:14" x14ac:dyDescent="0.3">
      <c r="A5298" s="15" t="str">
        <f>IF(COUNTA($B5298:$E5298,$K5298)=0,"",IF(AND($B5298&lt;&gt;"",$C5298&lt;&gt;"",$D5298&lt;&gt;"",$E5298&lt;&gt;""),"TXS"&amp;TEXT(COUNTIFS($B$2:$B5298,"&lt;&gt;",$C$2:$C5298,"&lt;&gt;",$D$2:$D5298,"&lt;&gt;",$E$2:$E5298,"&lt;&gt;"),"00000"),""))</f>
        <v/>
      </c>
      <c r="N5298" s="22"/>
    </row>
    <row r="5299" spans="1:14" x14ac:dyDescent="0.3">
      <c r="A5299" s="15" t="str">
        <f>IF(COUNTA($B5299:$E5299,$K5299)=0,"",IF(AND($B5299&lt;&gt;"",$C5299&lt;&gt;"",$D5299&lt;&gt;"",$E5299&lt;&gt;""),"TXS"&amp;TEXT(COUNTIFS($B$2:$B5299,"&lt;&gt;",$C$2:$C5299,"&lt;&gt;",$D$2:$D5299,"&lt;&gt;",$E$2:$E5299,"&lt;&gt;"),"00000"),""))</f>
        <v/>
      </c>
      <c r="N5299" s="22"/>
    </row>
    <row r="5300" spans="1:14" x14ac:dyDescent="0.3">
      <c r="A5300" s="15" t="str">
        <f>IF(COUNTA($B5300:$E5300,$K5300)=0,"",IF(AND($B5300&lt;&gt;"",$C5300&lt;&gt;"",$D5300&lt;&gt;"",$E5300&lt;&gt;""),"TXS"&amp;TEXT(COUNTIFS($B$2:$B5300,"&lt;&gt;",$C$2:$C5300,"&lt;&gt;",$D$2:$D5300,"&lt;&gt;",$E$2:$E5300,"&lt;&gt;"),"00000"),""))</f>
        <v/>
      </c>
      <c r="N5300" s="22"/>
    </row>
    <row r="5301" spans="1:14" x14ac:dyDescent="0.3">
      <c r="A5301" s="15" t="str">
        <f>IF(COUNTA($B5301:$E5301,$K5301)=0,"",IF(AND($B5301&lt;&gt;"",$C5301&lt;&gt;"",$D5301&lt;&gt;"",$E5301&lt;&gt;""),"TXS"&amp;TEXT(COUNTIFS($B$2:$B5301,"&lt;&gt;",$C$2:$C5301,"&lt;&gt;",$D$2:$D5301,"&lt;&gt;",$E$2:$E5301,"&lt;&gt;"),"00000"),""))</f>
        <v/>
      </c>
      <c r="N5301" s="22"/>
    </row>
    <row r="5302" spans="1:14" x14ac:dyDescent="0.3">
      <c r="A5302" s="15" t="str">
        <f>IF(COUNTA($B5302:$E5302,$K5302)=0,"",IF(AND($B5302&lt;&gt;"",$C5302&lt;&gt;"",$D5302&lt;&gt;"",$E5302&lt;&gt;""),"TXS"&amp;TEXT(COUNTIFS($B$2:$B5302,"&lt;&gt;",$C$2:$C5302,"&lt;&gt;",$D$2:$D5302,"&lt;&gt;",$E$2:$E5302,"&lt;&gt;"),"00000"),""))</f>
        <v/>
      </c>
      <c r="N5302" s="22"/>
    </row>
    <row r="5303" spans="1:14" x14ac:dyDescent="0.3">
      <c r="A5303" s="15" t="str">
        <f>IF(COUNTA($B5303:$E5303,$K5303)=0,"",IF(AND($B5303&lt;&gt;"",$C5303&lt;&gt;"",$D5303&lt;&gt;"",$E5303&lt;&gt;""),"TXS"&amp;TEXT(COUNTIFS($B$2:$B5303,"&lt;&gt;",$C$2:$C5303,"&lt;&gt;",$D$2:$D5303,"&lt;&gt;",$E$2:$E5303,"&lt;&gt;"),"00000"),""))</f>
        <v/>
      </c>
      <c r="N5303" s="22"/>
    </row>
    <row r="5304" spans="1:14" x14ac:dyDescent="0.3">
      <c r="A5304" s="15" t="str">
        <f>IF(COUNTA($B5304:$E5304,$K5304)=0,"",IF(AND($B5304&lt;&gt;"",$C5304&lt;&gt;"",$D5304&lt;&gt;"",$E5304&lt;&gt;""),"TXS"&amp;TEXT(COUNTIFS($B$2:$B5304,"&lt;&gt;",$C$2:$C5304,"&lt;&gt;",$D$2:$D5304,"&lt;&gt;",$E$2:$E5304,"&lt;&gt;"),"00000"),""))</f>
        <v/>
      </c>
      <c r="N5304" s="22"/>
    </row>
    <row r="5305" spans="1:14" x14ac:dyDescent="0.3">
      <c r="A5305" s="15" t="str">
        <f>IF(COUNTA($B5305:$E5305,$K5305)=0,"",IF(AND($B5305&lt;&gt;"",$C5305&lt;&gt;"",$D5305&lt;&gt;"",$E5305&lt;&gt;""),"TXS"&amp;TEXT(COUNTIFS($B$2:$B5305,"&lt;&gt;",$C$2:$C5305,"&lt;&gt;",$D$2:$D5305,"&lt;&gt;",$E$2:$E5305,"&lt;&gt;"),"00000"),""))</f>
        <v/>
      </c>
      <c r="N5305" s="22"/>
    </row>
    <row r="5306" spans="1:14" x14ac:dyDescent="0.3">
      <c r="A5306" s="15" t="str">
        <f>IF(COUNTA($B5306:$E5306,$K5306)=0,"",IF(AND($B5306&lt;&gt;"",$C5306&lt;&gt;"",$D5306&lt;&gt;"",$E5306&lt;&gt;""),"TXS"&amp;TEXT(COUNTIFS($B$2:$B5306,"&lt;&gt;",$C$2:$C5306,"&lt;&gt;",$D$2:$D5306,"&lt;&gt;",$E$2:$E5306,"&lt;&gt;"),"00000"),""))</f>
        <v/>
      </c>
      <c r="N5306" s="22"/>
    </row>
    <row r="5307" spans="1:14" x14ac:dyDescent="0.3">
      <c r="A5307" s="15" t="str">
        <f>IF(COUNTA($B5307:$E5307,$K5307)=0,"",IF(AND($B5307&lt;&gt;"",$C5307&lt;&gt;"",$D5307&lt;&gt;"",$E5307&lt;&gt;""),"TXS"&amp;TEXT(COUNTIFS($B$2:$B5307,"&lt;&gt;",$C$2:$C5307,"&lt;&gt;",$D$2:$D5307,"&lt;&gt;",$E$2:$E5307,"&lt;&gt;"),"00000"),""))</f>
        <v/>
      </c>
      <c r="N5307" s="22"/>
    </row>
    <row r="5308" spans="1:14" x14ac:dyDescent="0.3">
      <c r="A5308" s="15" t="str">
        <f>IF(COUNTA($B5308:$E5308,$K5308)=0,"",IF(AND($B5308&lt;&gt;"",$C5308&lt;&gt;"",$D5308&lt;&gt;"",$E5308&lt;&gt;""),"TXS"&amp;TEXT(COUNTIFS($B$2:$B5308,"&lt;&gt;",$C$2:$C5308,"&lt;&gt;",$D$2:$D5308,"&lt;&gt;",$E$2:$E5308,"&lt;&gt;"),"00000"),""))</f>
        <v/>
      </c>
      <c r="N5308" s="22"/>
    </row>
    <row r="5309" spans="1:14" x14ac:dyDescent="0.3">
      <c r="A5309" s="15" t="str">
        <f>IF(COUNTA($B5309:$E5309,$K5309)=0,"",IF(AND($B5309&lt;&gt;"",$C5309&lt;&gt;"",$D5309&lt;&gt;"",$E5309&lt;&gt;""),"TXS"&amp;TEXT(COUNTIFS($B$2:$B5309,"&lt;&gt;",$C$2:$C5309,"&lt;&gt;",$D$2:$D5309,"&lt;&gt;",$E$2:$E5309,"&lt;&gt;"),"00000"),""))</f>
        <v/>
      </c>
      <c r="N5309" s="22"/>
    </row>
    <row r="5310" spans="1:14" x14ac:dyDescent="0.3">
      <c r="A5310" s="15" t="str">
        <f>IF(COUNTA($B5310:$E5310,$K5310)=0,"",IF(AND($B5310&lt;&gt;"",$C5310&lt;&gt;"",$D5310&lt;&gt;"",$E5310&lt;&gt;""),"TXS"&amp;TEXT(COUNTIFS($B$2:$B5310,"&lt;&gt;",$C$2:$C5310,"&lt;&gt;",$D$2:$D5310,"&lt;&gt;",$E$2:$E5310,"&lt;&gt;"),"00000"),""))</f>
        <v/>
      </c>
      <c r="N5310" s="22"/>
    </row>
    <row r="5311" spans="1:14" x14ac:dyDescent="0.3">
      <c r="A5311" s="15" t="str">
        <f>IF(COUNTA($B5311:$E5311,$K5311)=0,"",IF(AND($B5311&lt;&gt;"",$C5311&lt;&gt;"",$D5311&lt;&gt;"",$E5311&lt;&gt;""),"TXS"&amp;TEXT(COUNTIFS($B$2:$B5311,"&lt;&gt;",$C$2:$C5311,"&lt;&gt;",$D$2:$D5311,"&lt;&gt;",$E$2:$E5311,"&lt;&gt;"),"00000"),""))</f>
        <v/>
      </c>
      <c r="N5311" s="22"/>
    </row>
    <row r="5312" spans="1:14" x14ac:dyDescent="0.3">
      <c r="A5312" s="15" t="str">
        <f>IF(COUNTA($B5312:$E5312,$K5312)=0,"",IF(AND($B5312&lt;&gt;"",$C5312&lt;&gt;"",$D5312&lt;&gt;"",$E5312&lt;&gt;""),"TXS"&amp;TEXT(COUNTIFS($B$2:$B5312,"&lt;&gt;",$C$2:$C5312,"&lt;&gt;",$D$2:$D5312,"&lt;&gt;",$E$2:$E5312,"&lt;&gt;"),"00000"),""))</f>
        <v/>
      </c>
      <c r="N5312" s="22"/>
    </row>
    <row r="5313" spans="1:14" x14ac:dyDescent="0.3">
      <c r="A5313" s="15" t="str">
        <f>IF(COUNTA($B5313:$E5313,$K5313)=0,"",IF(AND($B5313&lt;&gt;"",$C5313&lt;&gt;"",$D5313&lt;&gt;"",$E5313&lt;&gt;""),"TXS"&amp;TEXT(COUNTIFS($B$2:$B5313,"&lt;&gt;",$C$2:$C5313,"&lt;&gt;",$D$2:$D5313,"&lt;&gt;",$E$2:$E5313,"&lt;&gt;"),"00000"),""))</f>
        <v/>
      </c>
      <c r="N5313" s="22"/>
    </row>
    <row r="5314" spans="1:14" x14ac:dyDescent="0.3">
      <c r="A5314" s="15" t="str">
        <f>IF(COUNTA($B5314:$E5314,$K5314)=0,"",IF(AND($B5314&lt;&gt;"",$C5314&lt;&gt;"",$D5314&lt;&gt;"",$E5314&lt;&gt;""),"TXS"&amp;TEXT(COUNTIFS($B$2:$B5314,"&lt;&gt;",$C$2:$C5314,"&lt;&gt;",$D$2:$D5314,"&lt;&gt;",$E$2:$E5314,"&lt;&gt;"),"00000"),""))</f>
        <v/>
      </c>
      <c r="N5314" s="22"/>
    </row>
    <row r="5315" spans="1:14" x14ac:dyDescent="0.3">
      <c r="A5315" s="15" t="str">
        <f>IF(COUNTA($B5315:$E5315,$K5315)=0,"",IF(AND($B5315&lt;&gt;"",$C5315&lt;&gt;"",$D5315&lt;&gt;"",$E5315&lt;&gt;""),"TXS"&amp;TEXT(COUNTIFS($B$2:$B5315,"&lt;&gt;",$C$2:$C5315,"&lt;&gt;",$D$2:$D5315,"&lt;&gt;",$E$2:$E5315,"&lt;&gt;"),"00000"),""))</f>
        <v/>
      </c>
      <c r="N5315" s="22"/>
    </row>
    <row r="5316" spans="1:14" x14ac:dyDescent="0.3">
      <c r="A5316" s="15" t="str">
        <f>IF(COUNTA($B5316:$E5316,$K5316)=0,"",IF(AND($B5316&lt;&gt;"",$C5316&lt;&gt;"",$D5316&lt;&gt;"",$E5316&lt;&gt;""),"TXS"&amp;TEXT(COUNTIFS($B$2:$B5316,"&lt;&gt;",$C$2:$C5316,"&lt;&gt;",$D$2:$D5316,"&lt;&gt;",$E$2:$E5316,"&lt;&gt;"),"00000"),""))</f>
        <v/>
      </c>
      <c r="N5316" s="22"/>
    </row>
    <row r="5317" spans="1:14" x14ac:dyDescent="0.3">
      <c r="A5317" s="15" t="str">
        <f>IF(COUNTA($B5317:$E5317,$K5317)=0,"",IF(AND($B5317&lt;&gt;"",$C5317&lt;&gt;"",$D5317&lt;&gt;"",$E5317&lt;&gt;""),"TXS"&amp;TEXT(COUNTIFS($B$2:$B5317,"&lt;&gt;",$C$2:$C5317,"&lt;&gt;",$D$2:$D5317,"&lt;&gt;",$E$2:$E5317,"&lt;&gt;"),"00000"),""))</f>
        <v/>
      </c>
      <c r="N5317" s="22"/>
    </row>
    <row r="5318" spans="1:14" x14ac:dyDescent="0.3">
      <c r="A5318" s="15" t="str">
        <f>IF(COUNTA($B5318:$E5318,$K5318)=0,"",IF(AND($B5318&lt;&gt;"",$C5318&lt;&gt;"",$D5318&lt;&gt;"",$E5318&lt;&gt;""),"TXS"&amp;TEXT(COUNTIFS($B$2:$B5318,"&lt;&gt;",$C$2:$C5318,"&lt;&gt;",$D$2:$D5318,"&lt;&gt;",$E$2:$E5318,"&lt;&gt;"),"00000"),""))</f>
        <v/>
      </c>
      <c r="N5318" s="22"/>
    </row>
    <row r="5319" spans="1:14" x14ac:dyDescent="0.3">
      <c r="A5319" s="15" t="str">
        <f>IF(COUNTA($B5319:$E5319,$K5319)=0,"",IF(AND($B5319&lt;&gt;"",$C5319&lt;&gt;"",$D5319&lt;&gt;"",$E5319&lt;&gt;""),"TXS"&amp;TEXT(COUNTIFS($B$2:$B5319,"&lt;&gt;",$C$2:$C5319,"&lt;&gt;",$D$2:$D5319,"&lt;&gt;",$E$2:$E5319,"&lt;&gt;"),"00000"),""))</f>
        <v/>
      </c>
      <c r="N5319" s="22"/>
    </row>
    <row r="5320" spans="1:14" x14ac:dyDescent="0.3">
      <c r="A5320" s="15" t="str">
        <f>IF(COUNTA($B5320:$E5320,$K5320)=0,"",IF(AND($B5320&lt;&gt;"",$C5320&lt;&gt;"",$D5320&lt;&gt;"",$E5320&lt;&gt;""),"TXS"&amp;TEXT(COUNTIFS($B$2:$B5320,"&lt;&gt;",$C$2:$C5320,"&lt;&gt;",$D$2:$D5320,"&lt;&gt;",$E$2:$E5320,"&lt;&gt;"),"00000"),""))</f>
        <v/>
      </c>
      <c r="N5320" s="22"/>
    </row>
    <row r="5321" spans="1:14" x14ac:dyDescent="0.3">
      <c r="A5321" s="15" t="str">
        <f>IF(COUNTA($B5321:$E5321,$K5321)=0,"",IF(AND($B5321&lt;&gt;"",$C5321&lt;&gt;"",$D5321&lt;&gt;"",$E5321&lt;&gt;""),"TXS"&amp;TEXT(COUNTIFS($B$2:$B5321,"&lt;&gt;",$C$2:$C5321,"&lt;&gt;",$D$2:$D5321,"&lt;&gt;",$E$2:$E5321,"&lt;&gt;"),"00000"),""))</f>
        <v/>
      </c>
      <c r="N5321" s="22"/>
    </row>
    <row r="5322" spans="1:14" x14ac:dyDescent="0.3">
      <c r="A5322" s="15" t="str">
        <f>IF(COUNTA($B5322:$E5322,$K5322)=0,"",IF(AND($B5322&lt;&gt;"",$C5322&lt;&gt;"",$D5322&lt;&gt;"",$E5322&lt;&gt;""),"TXS"&amp;TEXT(COUNTIFS($B$2:$B5322,"&lt;&gt;",$C$2:$C5322,"&lt;&gt;",$D$2:$D5322,"&lt;&gt;",$E$2:$E5322,"&lt;&gt;"),"00000"),""))</f>
        <v/>
      </c>
      <c r="N5322" s="22"/>
    </row>
    <row r="5323" spans="1:14" x14ac:dyDescent="0.3">
      <c r="A5323" s="15" t="str">
        <f>IF(COUNTA($B5323:$E5323,$K5323)=0,"",IF(AND($B5323&lt;&gt;"",$C5323&lt;&gt;"",$D5323&lt;&gt;"",$E5323&lt;&gt;""),"TXS"&amp;TEXT(COUNTIFS($B$2:$B5323,"&lt;&gt;",$C$2:$C5323,"&lt;&gt;",$D$2:$D5323,"&lt;&gt;",$E$2:$E5323,"&lt;&gt;"),"00000"),""))</f>
        <v/>
      </c>
      <c r="N5323" s="22"/>
    </row>
    <row r="5324" spans="1:14" x14ac:dyDescent="0.3">
      <c r="A5324" s="15" t="str">
        <f>IF(COUNTA($B5324:$E5324,$K5324)=0,"",IF(AND($B5324&lt;&gt;"",$C5324&lt;&gt;"",$D5324&lt;&gt;"",$E5324&lt;&gt;""),"TXS"&amp;TEXT(COUNTIFS($B$2:$B5324,"&lt;&gt;",$C$2:$C5324,"&lt;&gt;",$D$2:$D5324,"&lt;&gt;",$E$2:$E5324,"&lt;&gt;"),"00000"),""))</f>
        <v/>
      </c>
      <c r="N5324" s="22"/>
    </row>
    <row r="5325" spans="1:14" x14ac:dyDescent="0.3">
      <c r="A5325" s="15" t="str">
        <f>IF(COUNTA($B5325:$E5325,$K5325)=0,"",IF(AND($B5325&lt;&gt;"",$C5325&lt;&gt;"",$D5325&lt;&gt;"",$E5325&lt;&gt;""),"TXS"&amp;TEXT(COUNTIFS($B$2:$B5325,"&lt;&gt;",$C$2:$C5325,"&lt;&gt;",$D$2:$D5325,"&lt;&gt;",$E$2:$E5325,"&lt;&gt;"),"00000"),""))</f>
        <v/>
      </c>
      <c r="N5325" s="22"/>
    </row>
    <row r="5326" spans="1:14" x14ac:dyDescent="0.3">
      <c r="A5326" s="15" t="str">
        <f>IF(COUNTA($B5326:$E5326,$K5326)=0,"",IF(AND($B5326&lt;&gt;"",$C5326&lt;&gt;"",$D5326&lt;&gt;"",$E5326&lt;&gt;""),"TXS"&amp;TEXT(COUNTIFS($B$2:$B5326,"&lt;&gt;",$C$2:$C5326,"&lt;&gt;",$D$2:$D5326,"&lt;&gt;",$E$2:$E5326,"&lt;&gt;"),"00000"),""))</f>
        <v/>
      </c>
      <c r="N5326" s="22"/>
    </row>
    <row r="5327" spans="1:14" x14ac:dyDescent="0.3">
      <c r="A5327" s="15" t="str">
        <f>IF(COUNTA($B5327:$E5327,$K5327)=0,"",IF(AND($B5327&lt;&gt;"",$C5327&lt;&gt;"",$D5327&lt;&gt;"",$E5327&lt;&gt;""),"TXS"&amp;TEXT(COUNTIFS($B$2:$B5327,"&lt;&gt;",$C$2:$C5327,"&lt;&gt;",$D$2:$D5327,"&lt;&gt;",$E$2:$E5327,"&lt;&gt;"),"00000"),""))</f>
        <v/>
      </c>
      <c r="N5327" s="22"/>
    </row>
    <row r="5328" spans="1:14" x14ac:dyDescent="0.3">
      <c r="A5328" s="15" t="str">
        <f>IF(COUNTA($B5328:$E5328,$K5328)=0,"",IF(AND($B5328&lt;&gt;"",$C5328&lt;&gt;"",$D5328&lt;&gt;"",$E5328&lt;&gt;""),"TXS"&amp;TEXT(COUNTIFS($B$2:$B5328,"&lt;&gt;",$C$2:$C5328,"&lt;&gt;",$D$2:$D5328,"&lt;&gt;",$E$2:$E5328,"&lt;&gt;"),"00000"),""))</f>
        <v/>
      </c>
      <c r="N5328" s="22"/>
    </row>
    <row r="5329" spans="1:14" x14ac:dyDescent="0.3">
      <c r="A5329" s="15" t="str">
        <f>IF(COUNTA($B5329:$E5329,$K5329)=0,"",IF(AND($B5329&lt;&gt;"",$C5329&lt;&gt;"",$D5329&lt;&gt;"",$E5329&lt;&gt;""),"TXS"&amp;TEXT(COUNTIFS($B$2:$B5329,"&lt;&gt;",$C$2:$C5329,"&lt;&gt;",$D$2:$D5329,"&lt;&gt;",$E$2:$E5329,"&lt;&gt;"),"00000"),""))</f>
        <v/>
      </c>
      <c r="N5329" s="22"/>
    </row>
    <row r="5330" spans="1:14" x14ac:dyDescent="0.3">
      <c r="A5330" s="15" t="str">
        <f>IF(COUNTA($B5330:$E5330,$K5330)=0,"",IF(AND($B5330&lt;&gt;"",$C5330&lt;&gt;"",$D5330&lt;&gt;"",$E5330&lt;&gt;""),"TXS"&amp;TEXT(COUNTIFS($B$2:$B5330,"&lt;&gt;",$C$2:$C5330,"&lt;&gt;",$D$2:$D5330,"&lt;&gt;",$E$2:$E5330,"&lt;&gt;"),"00000"),""))</f>
        <v/>
      </c>
      <c r="N5330" s="22"/>
    </row>
    <row r="5331" spans="1:14" x14ac:dyDescent="0.3">
      <c r="A5331" s="15" t="str">
        <f>IF(COUNTA($B5331:$E5331,$K5331)=0,"",IF(AND($B5331&lt;&gt;"",$C5331&lt;&gt;"",$D5331&lt;&gt;"",$E5331&lt;&gt;""),"TXS"&amp;TEXT(COUNTIFS($B$2:$B5331,"&lt;&gt;",$C$2:$C5331,"&lt;&gt;",$D$2:$D5331,"&lt;&gt;",$E$2:$E5331,"&lt;&gt;"),"00000"),""))</f>
        <v/>
      </c>
      <c r="N5331" s="22"/>
    </row>
    <row r="5332" spans="1:14" x14ac:dyDescent="0.3">
      <c r="A5332" s="15" t="str">
        <f>IF(COUNTA($B5332:$E5332,$K5332)=0,"",IF(AND($B5332&lt;&gt;"",$C5332&lt;&gt;"",$D5332&lt;&gt;"",$E5332&lt;&gt;""),"TXS"&amp;TEXT(COUNTIFS($B$2:$B5332,"&lt;&gt;",$C$2:$C5332,"&lt;&gt;",$D$2:$D5332,"&lt;&gt;",$E$2:$E5332,"&lt;&gt;"),"00000"),""))</f>
        <v/>
      </c>
      <c r="N5332" s="22"/>
    </row>
    <row r="5333" spans="1:14" x14ac:dyDescent="0.3">
      <c r="A5333" s="15" t="str">
        <f>IF(COUNTA($B5333:$E5333,$K5333)=0,"",IF(AND($B5333&lt;&gt;"",$C5333&lt;&gt;"",$D5333&lt;&gt;"",$E5333&lt;&gt;""),"TXS"&amp;TEXT(COUNTIFS($B$2:$B5333,"&lt;&gt;",$C$2:$C5333,"&lt;&gt;",$D$2:$D5333,"&lt;&gt;",$E$2:$E5333,"&lt;&gt;"),"00000"),""))</f>
        <v/>
      </c>
      <c r="N5333" s="22"/>
    </row>
    <row r="5334" spans="1:14" x14ac:dyDescent="0.3">
      <c r="A5334" s="15" t="str">
        <f>IF(COUNTA($B5334:$E5334,$K5334)=0,"",IF(AND($B5334&lt;&gt;"",$C5334&lt;&gt;"",$D5334&lt;&gt;"",$E5334&lt;&gt;""),"TXS"&amp;TEXT(COUNTIFS($B$2:$B5334,"&lt;&gt;",$C$2:$C5334,"&lt;&gt;",$D$2:$D5334,"&lt;&gt;",$E$2:$E5334,"&lt;&gt;"),"00000"),""))</f>
        <v/>
      </c>
      <c r="N5334" s="22"/>
    </row>
    <row r="5335" spans="1:14" x14ac:dyDescent="0.3">
      <c r="A5335" s="15" t="str">
        <f>IF(COUNTA($B5335:$E5335,$K5335)=0,"",IF(AND($B5335&lt;&gt;"",$C5335&lt;&gt;"",$D5335&lt;&gt;"",$E5335&lt;&gt;""),"TXS"&amp;TEXT(COUNTIFS($B$2:$B5335,"&lt;&gt;",$C$2:$C5335,"&lt;&gt;",$D$2:$D5335,"&lt;&gt;",$E$2:$E5335,"&lt;&gt;"),"00000"),""))</f>
        <v/>
      </c>
      <c r="N5335" s="22"/>
    </row>
    <row r="5336" spans="1:14" x14ac:dyDescent="0.3">
      <c r="A5336" s="15" t="str">
        <f>IF(COUNTA($B5336:$E5336,$K5336)=0,"",IF(AND($B5336&lt;&gt;"",$C5336&lt;&gt;"",$D5336&lt;&gt;"",$E5336&lt;&gt;""),"TXS"&amp;TEXT(COUNTIFS($B$2:$B5336,"&lt;&gt;",$C$2:$C5336,"&lt;&gt;",$D$2:$D5336,"&lt;&gt;",$E$2:$E5336,"&lt;&gt;"),"00000"),""))</f>
        <v/>
      </c>
      <c r="N5336" s="22"/>
    </row>
    <row r="5337" spans="1:14" x14ac:dyDescent="0.3">
      <c r="A5337" s="15" t="str">
        <f>IF(COUNTA($B5337:$E5337,$K5337)=0,"",IF(AND($B5337&lt;&gt;"",$C5337&lt;&gt;"",$D5337&lt;&gt;"",$E5337&lt;&gt;""),"TXS"&amp;TEXT(COUNTIFS($B$2:$B5337,"&lt;&gt;",$C$2:$C5337,"&lt;&gt;",$D$2:$D5337,"&lt;&gt;",$E$2:$E5337,"&lt;&gt;"),"00000"),""))</f>
        <v/>
      </c>
      <c r="N5337" s="22"/>
    </row>
    <row r="5338" spans="1:14" x14ac:dyDescent="0.3">
      <c r="A5338" s="15" t="str">
        <f>IF(COUNTA($B5338:$E5338,$K5338)=0,"",IF(AND($B5338&lt;&gt;"",$C5338&lt;&gt;"",$D5338&lt;&gt;"",$E5338&lt;&gt;""),"TXS"&amp;TEXT(COUNTIFS($B$2:$B5338,"&lt;&gt;",$C$2:$C5338,"&lt;&gt;",$D$2:$D5338,"&lt;&gt;",$E$2:$E5338,"&lt;&gt;"),"00000"),""))</f>
        <v/>
      </c>
      <c r="N5338" s="22"/>
    </row>
    <row r="5339" spans="1:14" x14ac:dyDescent="0.3">
      <c r="A5339" s="15" t="str">
        <f>IF(COUNTA($B5339:$E5339,$K5339)=0,"",IF(AND($B5339&lt;&gt;"",$C5339&lt;&gt;"",$D5339&lt;&gt;"",$E5339&lt;&gt;""),"TXS"&amp;TEXT(COUNTIFS($B$2:$B5339,"&lt;&gt;",$C$2:$C5339,"&lt;&gt;",$D$2:$D5339,"&lt;&gt;",$E$2:$E5339,"&lt;&gt;"),"00000"),""))</f>
        <v/>
      </c>
      <c r="N5339" s="22"/>
    </row>
    <row r="5340" spans="1:14" x14ac:dyDescent="0.3">
      <c r="A5340" s="15" t="str">
        <f>IF(COUNTA($B5340:$E5340,$K5340)=0,"",IF(AND($B5340&lt;&gt;"",$C5340&lt;&gt;"",$D5340&lt;&gt;"",$E5340&lt;&gt;""),"TXS"&amp;TEXT(COUNTIFS($B$2:$B5340,"&lt;&gt;",$C$2:$C5340,"&lt;&gt;",$D$2:$D5340,"&lt;&gt;",$E$2:$E5340,"&lt;&gt;"),"00000"),""))</f>
        <v/>
      </c>
      <c r="N5340" s="22"/>
    </row>
    <row r="5341" spans="1:14" x14ac:dyDescent="0.3">
      <c r="A5341" s="15" t="str">
        <f>IF(COUNTA($B5341:$E5341,$K5341)=0,"",IF(AND($B5341&lt;&gt;"",$C5341&lt;&gt;"",$D5341&lt;&gt;"",$E5341&lt;&gt;""),"TXS"&amp;TEXT(COUNTIFS($B$2:$B5341,"&lt;&gt;",$C$2:$C5341,"&lt;&gt;",$D$2:$D5341,"&lt;&gt;",$E$2:$E5341,"&lt;&gt;"),"00000"),""))</f>
        <v/>
      </c>
      <c r="N5341" s="22"/>
    </row>
    <row r="5342" spans="1:14" x14ac:dyDescent="0.3">
      <c r="A5342" s="15" t="str">
        <f>IF(COUNTA($B5342:$E5342,$K5342)=0,"",IF(AND($B5342&lt;&gt;"",$C5342&lt;&gt;"",$D5342&lt;&gt;"",$E5342&lt;&gt;""),"TXS"&amp;TEXT(COUNTIFS($B$2:$B5342,"&lt;&gt;",$C$2:$C5342,"&lt;&gt;",$D$2:$D5342,"&lt;&gt;",$E$2:$E5342,"&lt;&gt;"),"00000"),""))</f>
        <v/>
      </c>
      <c r="N5342" s="22"/>
    </row>
    <row r="5343" spans="1:14" x14ac:dyDescent="0.3">
      <c r="A5343" s="15" t="str">
        <f>IF(COUNTA($B5343:$E5343,$K5343)=0,"",IF(AND($B5343&lt;&gt;"",$C5343&lt;&gt;"",$D5343&lt;&gt;"",$E5343&lt;&gt;""),"TXS"&amp;TEXT(COUNTIFS($B$2:$B5343,"&lt;&gt;",$C$2:$C5343,"&lt;&gt;",$D$2:$D5343,"&lt;&gt;",$E$2:$E5343,"&lt;&gt;"),"00000"),""))</f>
        <v/>
      </c>
      <c r="N5343" s="22"/>
    </row>
    <row r="5344" spans="1:14" x14ac:dyDescent="0.3">
      <c r="A5344" s="15" t="str">
        <f>IF(COUNTA($B5344:$E5344,$K5344)=0,"",IF(AND($B5344&lt;&gt;"",$C5344&lt;&gt;"",$D5344&lt;&gt;"",$E5344&lt;&gt;""),"TXS"&amp;TEXT(COUNTIFS($B$2:$B5344,"&lt;&gt;",$C$2:$C5344,"&lt;&gt;",$D$2:$D5344,"&lt;&gt;",$E$2:$E5344,"&lt;&gt;"),"00000"),""))</f>
        <v/>
      </c>
      <c r="N5344" s="22"/>
    </row>
    <row r="5345" spans="1:14" x14ac:dyDescent="0.3">
      <c r="A5345" s="15" t="str">
        <f>IF(COUNTA($B5345:$E5345,$K5345)=0,"",IF(AND($B5345&lt;&gt;"",$C5345&lt;&gt;"",$D5345&lt;&gt;"",$E5345&lt;&gt;""),"TXS"&amp;TEXT(COUNTIFS($B$2:$B5345,"&lt;&gt;",$C$2:$C5345,"&lt;&gt;",$D$2:$D5345,"&lt;&gt;",$E$2:$E5345,"&lt;&gt;"),"00000"),""))</f>
        <v/>
      </c>
      <c r="N5345" s="22"/>
    </row>
    <row r="5346" spans="1:14" x14ac:dyDescent="0.3">
      <c r="A5346" s="15" t="str">
        <f>IF(COUNTA($B5346:$E5346,$K5346)=0,"",IF(AND($B5346&lt;&gt;"",$C5346&lt;&gt;"",$D5346&lt;&gt;"",$E5346&lt;&gt;""),"TXS"&amp;TEXT(COUNTIFS($B$2:$B5346,"&lt;&gt;",$C$2:$C5346,"&lt;&gt;",$D$2:$D5346,"&lt;&gt;",$E$2:$E5346,"&lt;&gt;"),"00000"),""))</f>
        <v/>
      </c>
      <c r="N5346" s="22"/>
    </row>
    <row r="5347" spans="1:14" x14ac:dyDescent="0.3">
      <c r="A5347" s="15" t="str">
        <f>IF(COUNTA($B5347:$E5347,$K5347)=0,"",IF(AND($B5347&lt;&gt;"",$C5347&lt;&gt;"",$D5347&lt;&gt;"",$E5347&lt;&gt;""),"TXS"&amp;TEXT(COUNTIFS($B$2:$B5347,"&lt;&gt;",$C$2:$C5347,"&lt;&gt;",$D$2:$D5347,"&lt;&gt;",$E$2:$E5347,"&lt;&gt;"),"00000"),""))</f>
        <v/>
      </c>
      <c r="N5347" s="22"/>
    </row>
    <row r="5348" spans="1:14" x14ac:dyDescent="0.3">
      <c r="A5348" s="15" t="str">
        <f>IF(COUNTA($B5348:$E5348,$K5348)=0,"",IF(AND($B5348&lt;&gt;"",$C5348&lt;&gt;"",$D5348&lt;&gt;"",$E5348&lt;&gt;""),"TXS"&amp;TEXT(COUNTIFS($B$2:$B5348,"&lt;&gt;",$C$2:$C5348,"&lt;&gt;",$D$2:$D5348,"&lt;&gt;",$E$2:$E5348,"&lt;&gt;"),"00000"),""))</f>
        <v/>
      </c>
      <c r="N5348" s="22"/>
    </row>
    <row r="5349" spans="1:14" x14ac:dyDescent="0.3">
      <c r="A5349" s="15" t="str">
        <f>IF(COUNTA($B5349:$E5349,$K5349)=0,"",IF(AND($B5349&lt;&gt;"",$C5349&lt;&gt;"",$D5349&lt;&gt;"",$E5349&lt;&gt;""),"TXS"&amp;TEXT(COUNTIFS($B$2:$B5349,"&lt;&gt;",$C$2:$C5349,"&lt;&gt;",$D$2:$D5349,"&lt;&gt;",$E$2:$E5349,"&lt;&gt;"),"00000"),""))</f>
        <v/>
      </c>
      <c r="N5349" s="22"/>
    </row>
    <row r="5350" spans="1:14" x14ac:dyDescent="0.3">
      <c r="A5350" s="15" t="str">
        <f>IF(COUNTA($B5350:$E5350,$K5350)=0,"",IF(AND($B5350&lt;&gt;"",$C5350&lt;&gt;"",$D5350&lt;&gt;"",$E5350&lt;&gt;""),"TXS"&amp;TEXT(COUNTIFS($B$2:$B5350,"&lt;&gt;",$C$2:$C5350,"&lt;&gt;",$D$2:$D5350,"&lt;&gt;",$E$2:$E5350,"&lt;&gt;"),"00000"),""))</f>
        <v/>
      </c>
      <c r="N5350" s="22"/>
    </row>
    <row r="5351" spans="1:14" x14ac:dyDescent="0.3">
      <c r="A5351" s="15" t="str">
        <f>IF(COUNTA($B5351:$E5351,$K5351)=0,"",IF(AND($B5351&lt;&gt;"",$C5351&lt;&gt;"",$D5351&lt;&gt;"",$E5351&lt;&gt;""),"TXS"&amp;TEXT(COUNTIFS($B$2:$B5351,"&lt;&gt;",$C$2:$C5351,"&lt;&gt;",$D$2:$D5351,"&lt;&gt;",$E$2:$E5351,"&lt;&gt;"),"00000"),""))</f>
        <v/>
      </c>
      <c r="N5351" s="22"/>
    </row>
    <row r="5352" spans="1:14" x14ac:dyDescent="0.3">
      <c r="A5352" s="15" t="str">
        <f>IF(COUNTA($B5352:$E5352,$K5352)=0,"",IF(AND($B5352&lt;&gt;"",$C5352&lt;&gt;"",$D5352&lt;&gt;"",$E5352&lt;&gt;""),"TXS"&amp;TEXT(COUNTIFS($B$2:$B5352,"&lt;&gt;",$C$2:$C5352,"&lt;&gt;",$D$2:$D5352,"&lt;&gt;",$E$2:$E5352,"&lt;&gt;"),"00000"),""))</f>
        <v/>
      </c>
      <c r="N5352" s="22"/>
    </row>
    <row r="5353" spans="1:14" x14ac:dyDescent="0.3">
      <c r="A5353" s="15" t="str">
        <f>IF(COUNTA($B5353:$E5353,$K5353)=0,"",IF(AND($B5353&lt;&gt;"",$C5353&lt;&gt;"",$D5353&lt;&gt;"",$E5353&lt;&gt;""),"TXS"&amp;TEXT(COUNTIFS($B$2:$B5353,"&lt;&gt;",$C$2:$C5353,"&lt;&gt;",$D$2:$D5353,"&lt;&gt;",$E$2:$E5353,"&lt;&gt;"),"00000"),""))</f>
        <v/>
      </c>
      <c r="N5353" s="22"/>
    </row>
    <row r="5354" spans="1:14" x14ac:dyDescent="0.3">
      <c r="A5354" s="15" t="str">
        <f>IF(COUNTA($B5354:$E5354,$K5354)=0,"",IF(AND($B5354&lt;&gt;"",$C5354&lt;&gt;"",$D5354&lt;&gt;"",$E5354&lt;&gt;""),"TXS"&amp;TEXT(COUNTIFS($B$2:$B5354,"&lt;&gt;",$C$2:$C5354,"&lt;&gt;",$D$2:$D5354,"&lt;&gt;",$E$2:$E5354,"&lt;&gt;"),"00000"),""))</f>
        <v/>
      </c>
      <c r="N5354" s="22"/>
    </row>
    <row r="5355" spans="1:14" x14ac:dyDescent="0.3">
      <c r="A5355" s="15" t="str">
        <f>IF(COUNTA($B5355:$E5355,$K5355)=0,"",IF(AND($B5355&lt;&gt;"",$C5355&lt;&gt;"",$D5355&lt;&gt;"",$E5355&lt;&gt;""),"TXS"&amp;TEXT(COUNTIFS($B$2:$B5355,"&lt;&gt;",$C$2:$C5355,"&lt;&gt;",$D$2:$D5355,"&lt;&gt;",$E$2:$E5355,"&lt;&gt;"),"00000"),""))</f>
        <v/>
      </c>
      <c r="N5355" s="22"/>
    </row>
    <row r="5356" spans="1:14" x14ac:dyDescent="0.3">
      <c r="A5356" s="15" t="str">
        <f>IF(COUNTA($B5356:$E5356,$K5356)=0,"",IF(AND($B5356&lt;&gt;"",$C5356&lt;&gt;"",$D5356&lt;&gt;"",$E5356&lt;&gt;""),"TXS"&amp;TEXT(COUNTIFS($B$2:$B5356,"&lt;&gt;",$C$2:$C5356,"&lt;&gt;",$D$2:$D5356,"&lt;&gt;",$E$2:$E5356,"&lt;&gt;"),"00000"),""))</f>
        <v/>
      </c>
      <c r="N5356" s="22"/>
    </row>
    <row r="5357" spans="1:14" x14ac:dyDescent="0.3">
      <c r="A5357" s="15" t="str">
        <f>IF(COUNTA($B5357:$E5357,$K5357)=0,"",IF(AND($B5357&lt;&gt;"",$C5357&lt;&gt;"",$D5357&lt;&gt;"",$E5357&lt;&gt;""),"TXS"&amp;TEXT(COUNTIFS($B$2:$B5357,"&lt;&gt;",$C$2:$C5357,"&lt;&gt;",$D$2:$D5357,"&lt;&gt;",$E$2:$E5357,"&lt;&gt;"),"00000"),""))</f>
        <v/>
      </c>
      <c r="N5357" s="22"/>
    </row>
    <row r="5358" spans="1:14" x14ac:dyDescent="0.3">
      <c r="A5358" s="15" t="str">
        <f>IF(COUNTA($B5358:$E5358,$K5358)=0,"",IF(AND($B5358&lt;&gt;"",$C5358&lt;&gt;"",$D5358&lt;&gt;"",$E5358&lt;&gt;""),"TXS"&amp;TEXT(COUNTIFS($B$2:$B5358,"&lt;&gt;",$C$2:$C5358,"&lt;&gt;",$D$2:$D5358,"&lt;&gt;",$E$2:$E5358,"&lt;&gt;"),"00000"),""))</f>
        <v/>
      </c>
      <c r="N5358" s="22"/>
    </row>
    <row r="5359" spans="1:14" x14ac:dyDescent="0.3">
      <c r="A5359" s="15" t="str">
        <f>IF(COUNTA($B5359:$E5359,$K5359)=0,"",IF(AND($B5359&lt;&gt;"",$C5359&lt;&gt;"",$D5359&lt;&gt;"",$E5359&lt;&gt;""),"TXS"&amp;TEXT(COUNTIFS($B$2:$B5359,"&lt;&gt;",$C$2:$C5359,"&lt;&gt;",$D$2:$D5359,"&lt;&gt;",$E$2:$E5359,"&lt;&gt;"),"00000"),""))</f>
        <v/>
      </c>
      <c r="N5359" s="22"/>
    </row>
    <row r="5360" spans="1:14" x14ac:dyDescent="0.3">
      <c r="A5360" s="15" t="str">
        <f>IF(COUNTA($B5360:$E5360,$K5360)=0,"",IF(AND($B5360&lt;&gt;"",$C5360&lt;&gt;"",$D5360&lt;&gt;"",$E5360&lt;&gt;""),"TXS"&amp;TEXT(COUNTIFS($B$2:$B5360,"&lt;&gt;",$C$2:$C5360,"&lt;&gt;",$D$2:$D5360,"&lt;&gt;",$E$2:$E5360,"&lt;&gt;"),"00000"),""))</f>
        <v/>
      </c>
      <c r="N5360" s="22"/>
    </row>
    <row r="5361" spans="1:14" x14ac:dyDescent="0.3">
      <c r="A5361" s="15" t="str">
        <f>IF(COUNTA($B5361:$E5361,$K5361)=0,"",IF(AND($B5361&lt;&gt;"",$C5361&lt;&gt;"",$D5361&lt;&gt;"",$E5361&lt;&gt;""),"TXS"&amp;TEXT(COUNTIFS($B$2:$B5361,"&lt;&gt;",$C$2:$C5361,"&lt;&gt;",$D$2:$D5361,"&lt;&gt;",$E$2:$E5361,"&lt;&gt;"),"00000"),""))</f>
        <v/>
      </c>
      <c r="N5361" s="22"/>
    </row>
    <row r="5362" spans="1:14" x14ac:dyDescent="0.3">
      <c r="A5362" s="15" t="str">
        <f>IF(COUNTA($B5362:$E5362,$K5362)=0,"",IF(AND($B5362&lt;&gt;"",$C5362&lt;&gt;"",$D5362&lt;&gt;"",$E5362&lt;&gt;""),"TXS"&amp;TEXT(COUNTIFS($B$2:$B5362,"&lt;&gt;",$C$2:$C5362,"&lt;&gt;",$D$2:$D5362,"&lt;&gt;",$E$2:$E5362,"&lt;&gt;"),"00000"),""))</f>
        <v/>
      </c>
      <c r="N5362" s="22"/>
    </row>
    <row r="5363" spans="1:14" x14ac:dyDescent="0.3">
      <c r="A5363" s="15" t="str">
        <f>IF(COUNTA($B5363:$E5363,$K5363)=0,"",IF(AND($B5363&lt;&gt;"",$C5363&lt;&gt;"",$D5363&lt;&gt;"",$E5363&lt;&gt;""),"TXS"&amp;TEXT(COUNTIFS($B$2:$B5363,"&lt;&gt;",$C$2:$C5363,"&lt;&gt;",$D$2:$D5363,"&lt;&gt;",$E$2:$E5363,"&lt;&gt;"),"00000"),""))</f>
        <v/>
      </c>
      <c r="N5363" s="22"/>
    </row>
    <row r="5364" spans="1:14" x14ac:dyDescent="0.3">
      <c r="A5364" s="15" t="str">
        <f>IF(COUNTA($B5364:$E5364,$K5364)=0,"",IF(AND($B5364&lt;&gt;"",$C5364&lt;&gt;"",$D5364&lt;&gt;"",$E5364&lt;&gt;""),"TXS"&amp;TEXT(COUNTIFS($B$2:$B5364,"&lt;&gt;",$C$2:$C5364,"&lt;&gt;",$D$2:$D5364,"&lt;&gt;",$E$2:$E5364,"&lt;&gt;"),"00000"),""))</f>
        <v/>
      </c>
      <c r="N5364" s="22"/>
    </row>
    <row r="5365" spans="1:14" x14ac:dyDescent="0.3">
      <c r="A5365" s="15" t="str">
        <f>IF(COUNTA($B5365:$E5365,$K5365)=0,"",IF(AND($B5365&lt;&gt;"",$C5365&lt;&gt;"",$D5365&lt;&gt;"",$E5365&lt;&gt;""),"TXS"&amp;TEXT(COUNTIFS($B$2:$B5365,"&lt;&gt;",$C$2:$C5365,"&lt;&gt;",$D$2:$D5365,"&lt;&gt;",$E$2:$E5365,"&lt;&gt;"),"00000"),""))</f>
        <v/>
      </c>
      <c r="N5365" s="22"/>
    </row>
    <row r="5366" spans="1:14" x14ac:dyDescent="0.3">
      <c r="A5366" s="15" t="str">
        <f>IF(COUNTA($B5366:$E5366,$K5366)=0,"",IF(AND($B5366&lt;&gt;"",$C5366&lt;&gt;"",$D5366&lt;&gt;"",$E5366&lt;&gt;""),"TXS"&amp;TEXT(COUNTIFS($B$2:$B5366,"&lt;&gt;",$C$2:$C5366,"&lt;&gt;",$D$2:$D5366,"&lt;&gt;",$E$2:$E5366,"&lt;&gt;"),"00000"),""))</f>
        <v/>
      </c>
      <c r="N5366" s="22"/>
    </row>
    <row r="5367" spans="1:14" x14ac:dyDescent="0.3">
      <c r="A5367" s="15" t="str">
        <f>IF(COUNTA($B5367:$E5367,$K5367)=0,"",IF(AND($B5367&lt;&gt;"",$C5367&lt;&gt;"",$D5367&lt;&gt;"",$E5367&lt;&gt;""),"TXS"&amp;TEXT(COUNTIFS($B$2:$B5367,"&lt;&gt;",$C$2:$C5367,"&lt;&gt;",$D$2:$D5367,"&lt;&gt;",$E$2:$E5367,"&lt;&gt;"),"00000"),""))</f>
        <v/>
      </c>
      <c r="N5367" s="22"/>
    </row>
    <row r="5368" spans="1:14" x14ac:dyDescent="0.3">
      <c r="A5368" s="15" t="str">
        <f>IF(COUNTA($B5368:$E5368,$K5368)=0,"",IF(AND($B5368&lt;&gt;"",$C5368&lt;&gt;"",$D5368&lt;&gt;"",$E5368&lt;&gt;""),"TXS"&amp;TEXT(COUNTIFS($B$2:$B5368,"&lt;&gt;",$C$2:$C5368,"&lt;&gt;",$D$2:$D5368,"&lt;&gt;",$E$2:$E5368,"&lt;&gt;"),"00000"),""))</f>
        <v/>
      </c>
      <c r="N5368" s="22"/>
    </row>
    <row r="5369" spans="1:14" x14ac:dyDescent="0.3">
      <c r="A5369" s="15" t="str">
        <f>IF(COUNTA($B5369:$E5369,$K5369)=0,"",IF(AND($B5369&lt;&gt;"",$C5369&lt;&gt;"",$D5369&lt;&gt;"",$E5369&lt;&gt;""),"TXS"&amp;TEXT(COUNTIFS($B$2:$B5369,"&lt;&gt;",$C$2:$C5369,"&lt;&gt;",$D$2:$D5369,"&lt;&gt;",$E$2:$E5369,"&lt;&gt;"),"00000"),""))</f>
        <v/>
      </c>
      <c r="N5369" s="22"/>
    </row>
    <row r="5370" spans="1:14" x14ac:dyDescent="0.3">
      <c r="A5370" s="15" t="str">
        <f>IF(COUNTA($B5370:$E5370,$K5370)=0,"",IF(AND($B5370&lt;&gt;"",$C5370&lt;&gt;"",$D5370&lt;&gt;"",$E5370&lt;&gt;""),"TXS"&amp;TEXT(COUNTIFS($B$2:$B5370,"&lt;&gt;",$C$2:$C5370,"&lt;&gt;",$D$2:$D5370,"&lt;&gt;",$E$2:$E5370,"&lt;&gt;"),"00000"),""))</f>
        <v/>
      </c>
      <c r="N5370" s="22"/>
    </row>
    <row r="5371" spans="1:14" x14ac:dyDescent="0.3">
      <c r="A5371" s="15" t="str">
        <f>IF(COUNTA($B5371:$E5371,$K5371)=0,"",IF(AND($B5371&lt;&gt;"",$C5371&lt;&gt;"",$D5371&lt;&gt;"",$E5371&lt;&gt;""),"TXS"&amp;TEXT(COUNTIFS($B$2:$B5371,"&lt;&gt;",$C$2:$C5371,"&lt;&gt;",$D$2:$D5371,"&lt;&gt;",$E$2:$E5371,"&lt;&gt;"),"00000"),""))</f>
        <v/>
      </c>
      <c r="N5371" s="22"/>
    </row>
    <row r="5372" spans="1:14" x14ac:dyDescent="0.3">
      <c r="A5372" s="15" t="str">
        <f>IF(COUNTA($B5372:$E5372,$K5372)=0,"",IF(AND($B5372&lt;&gt;"",$C5372&lt;&gt;"",$D5372&lt;&gt;"",$E5372&lt;&gt;""),"TXS"&amp;TEXT(COUNTIFS($B$2:$B5372,"&lt;&gt;",$C$2:$C5372,"&lt;&gt;",$D$2:$D5372,"&lt;&gt;",$E$2:$E5372,"&lt;&gt;"),"00000"),""))</f>
        <v/>
      </c>
      <c r="N5372" s="22"/>
    </row>
    <row r="5373" spans="1:14" x14ac:dyDescent="0.3">
      <c r="A5373" s="15" t="str">
        <f>IF(COUNTA($B5373:$E5373,$K5373)=0,"",IF(AND($B5373&lt;&gt;"",$C5373&lt;&gt;"",$D5373&lt;&gt;"",$E5373&lt;&gt;""),"TXS"&amp;TEXT(COUNTIFS($B$2:$B5373,"&lt;&gt;",$C$2:$C5373,"&lt;&gt;",$D$2:$D5373,"&lt;&gt;",$E$2:$E5373,"&lt;&gt;"),"00000"),""))</f>
        <v/>
      </c>
      <c r="N5373" s="22"/>
    </row>
    <row r="5374" spans="1:14" x14ac:dyDescent="0.3">
      <c r="A5374" s="15" t="str">
        <f>IF(COUNTA($B5374:$E5374,$K5374)=0,"",IF(AND($B5374&lt;&gt;"",$C5374&lt;&gt;"",$D5374&lt;&gt;"",$E5374&lt;&gt;""),"TXS"&amp;TEXT(COUNTIFS($B$2:$B5374,"&lt;&gt;",$C$2:$C5374,"&lt;&gt;",$D$2:$D5374,"&lt;&gt;",$E$2:$E5374,"&lt;&gt;"),"00000"),""))</f>
        <v/>
      </c>
      <c r="N5374" s="22"/>
    </row>
    <row r="5375" spans="1:14" x14ac:dyDescent="0.3">
      <c r="A5375" s="15" t="str">
        <f>IF(COUNTA($B5375:$E5375,$K5375)=0,"",IF(AND($B5375&lt;&gt;"",$C5375&lt;&gt;"",$D5375&lt;&gt;"",$E5375&lt;&gt;""),"TXS"&amp;TEXT(COUNTIFS($B$2:$B5375,"&lt;&gt;",$C$2:$C5375,"&lt;&gt;",$D$2:$D5375,"&lt;&gt;",$E$2:$E5375,"&lt;&gt;"),"00000"),""))</f>
        <v/>
      </c>
      <c r="N5375" s="22"/>
    </row>
    <row r="5376" spans="1:14" x14ac:dyDescent="0.3">
      <c r="A5376" s="15" t="str">
        <f>IF(COUNTA($B5376:$E5376,$K5376)=0,"",IF(AND($B5376&lt;&gt;"",$C5376&lt;&gt;"",$D5376&lt;&gt;"",$E5376&lt;&gt;""),"TXS"&amp;TEXT(COUNTIFS($B$2:$B5376,"&lt;&gt;",$C$2:$C5376,"&lt;&gt;",$D$2:$D5376,"&lt;&gt;",$E$2:$E5376,"&lt;&gt;"),"00000"),""))</f>
        <v/>
      </c>
      <c r="N5376" s="22"/>
    </row>
    <row r="5377" spans="1:14" x14ac:dyDescent="0.3">
      <c r="A5377" s="15" t="str">
        <f>IF(COUNTA($B5377:$E5377,$K5377)=0,"",IF(AND($B5377&lt;&gt;"",$C5377&lt;&gt;"",$D5377&lt;&gt;"",$E5377&lt;&gt;""),"TXS"&amp;TEXT(COUNTIFS($B$2:$B5377,"&lt;&gt;",$C$2:$C5377,"&lt;&gt;",$D$2:$D5377,"&lt;&gt;",$E$2:$E5377,"&lt;&gt;"),"00000"),""))</f>
        <v/>
      </c>
      <c r="N5377" s="22"/>
    </row>
    <row r="5378" spans="1:14" x14ac:dyDescent="0.3">
      <c r="A5378" s="15" t="str">
        <f>IF(COUNTA($B5378:$E5378,$K5378)=0,"",IF(AND($B5378&lt;&gt;"",$C5378&lt;&gt;"",$D5378&lt;&gt;"",$E5378&lt;&gt;""),"TXS"&amp;TEXT(COUNTIFS($B$2:$B5378,"&lt;&gt;",$C$2:$C5378,"&lt;&gt;",$D$2:$D5378,"&lt;&gt;",$E$2:$E5378,"&lt;&gt;"),"00000"),""))</f>
        <v/>
      </c>
      <c r="N5378" s="22"/>
    </row>
    <row r="5379" spans="1:14" x14ac:dyDescent="0.3">
      <c r="A5379" s="15" t="str">
        <f>IF(COUNTA($B5379:$E5379,$K5379)=0,"",IF(AND($B5379&lt;&gt;"",$C5379&lt;&gt;"",$D5379&lt;&gt;"",$E5379&lt;&gt;""),"TXS"&amp;TEXT(COUNTIFS($B$2:$B5379,"&lt;&gt;",$C$2:$C5379,"&lt;&gt;",$D$2:$D5379,"&lt;&gt;",$E$2:$E5379,"&lt;&gt;"),"00000"),""))</f>
        <v/>
      </c>
      <c r="N5379" s="22"/>
    </row>
    <row r="5380" spans="1:14" x14ac:dyDescent="0.3">
      <c r="A5380" s="15" t="str">
        <f>IF(COUNTA($B5380:$E5380,$K5380)=0,"",IF(AND($B5380&lt;&gt;"",$C5380&lt;&gt;"",$D5380&lt;&gt;"",$E5380&lt;&gt;""),"TXS"&amp;TEXT(COUNTIFS($B$2:$B5380,"&lt;&gt;",$C$2:$C5380,"&lt;&gt;",$D$2:$D5380,"&lt;&gt;",$E$2:$E5380,"&lt;&gt;"),"00000"),""))</f>
        <v/>
      </c>
      <c r="N5380" s="22"/>
    </row>
    <row r="5381" spans="1:14" x14ac:dyDescent="0.3">
      <c r="A5381" s="15" t="str">
        <f>IF(COUNTA($B5381:$E5381,$K5381)=0,"",IF(AND($B5381&lt;&gt;"",$C5381&lt;&gt;"",$D5381&lt;&gt;"",$E5381&lt;&gt;""),"TXS"&amp;TEXT(COUNTIFS($B$2:$B5381,"&lt;&gt;",$C$2:$C5381,"&lt;&gt;",$D$2:$D5381,"&lt;&gt;",$E$2:$E5381,"&lt;&gt;"),"00000"),""))</f>
        <v/>
      </c>
      <c r="N5381" s="22"/>
    </row>
    <row r="5382" spans="1:14" x14ac:dyDescent="0.3">
      <c r="A5382" s="15" t="str">
        <f>IF(COUNTA($B5382:$E5382,$K5382)=0,"",IF(AND($B5382&lt;&gt;"",$C5382&lt;&gt;"",$D5382&lt;&gt;"",$E5382&lt;&gt;""),"TXS"&amp;TEXT(COUNTIFS($B$2:$B5382,"&lt;&gt;",$C$2:$C5382,"&lt;&gt;",$D$2:$D5382,"&lt;&gt;",$E$2:$E5382,"&lt;&gt;"),"00000"),""))</f>
        <v/>
      </c>
      <c r="N5382" s="22"/>
    </row>
    <row r="5383" spans="1:14" x14ac:dyDescent="0.3">
      <c r="A5383" s="15" t="str">
        <f>IF(COUNTA($B5383:$E5383,$K5383)=0,"",IF(AND($B5383&lt;&gt;"",$C5383&lt;&gt;"",$D5383&lt;&gt;"",$E5383&lt;&gt;""),"TXS"&amp;TEXT(COUNTIFS($B$2:$B5383,"&lt;&gt;",$C$2:$C5383,"&lt;&gt;",$D$2:$D5383,"&lt;&gt;",$E$2:$E5383,"&lt;&gt;"),"00000"),""))</f>
        <v/>
      </c>
      <c r="N5383" s="22"/>
    </row>
    <row r="5384" spans="1:14" x14ac:dyDescent="0.3">
      <c r="A5384" s="15" t="str">
        <f>IF(COUNTA($B5384:$E5384,$K5384)=0,"",IF(AND($B5384&lt;&gt;"",$C5384&lt;&gt;"",$D5384&lt;&gt;"",$E5384&lt;&gt;""),"TXS"&amp;TEXT(COUNTIFS($B$2:$B5384,"&lt;&gt;",$C$2:$C5384,"&lt;&gt;",$D$2:$D5384,"&lt;&gt;",$E$2:$E5384,"&lt;&gt;"),"00000"),""))</f>
        <v/>
      </c>
      <c r="N5384" s="22"/>
    </row>
    <row r="5385" spans="1:14" x14ac:dyDescent="0.3">
      <c r="A5385" s="15" t="str">
        <f>IF(COUNTA($B5385:$E5385,$K5385)=0,"",IF(AND($B5385&lt;&gt;"",$C5385&lt;&gt;"",$D5385&lt;&gt;"",$E5385&lt;&gt;""),"TXS"&amp;TEXT(COUNTIFS($B$2:$B5385,"&lt;&gt;",$C$2:$C5385,"&lt;&gt;",$D$2:$D5385,"&lt;&gt;",$E$2:$E5385,"&lt;&gt;"),"00000"),""))</f>
        <v/>
      </c>
      <c r="N5385" s="22"/>
    </row>
    <row r="5386" spans="1:14" x14ac:dyDescent="0.3">
      <c r="A5386" s="15" t="str">
        <f>IF(COUNTA($B5386:$E5386,$K5386)=0,"",IF(AND($B5386&lt;&gt;"",$C5386&lt;&gt;"",$D5386&lt;&gt;"",$E5386&lt;&gt;""),"TXS"&amp;TEXT(COUNTIFS($B$2:$B5386,"&lt;&gt;",$C$2:$C5386,"&lt;&gt;",$D$2:$D5386,"&lt;&gt;",$E$2:$E5386,"&lt;&gt;"),"00000"),""))</f>
        <v/>
      </c>
      <c r="N5386" s="22"/>
    </row>
    <row r="5387" spans="1:14" x14ac:dyDescent="0.3">
      <c r="A5387" s="15" t="str">
        <f>IF(COUNTA($B5387:$E5387,$K5387)=0,"",IF(AND($B5387&lt;&gt;"",$C5387&lt;&gt;"",$D5387&lt;&gt;"",$E5387&lt;&gt;""),"TXS"&amp;TEXT(COUNTIFS($B$2:$B5387,"&lt;&gt;",$C$2:$C5387,"&lt;&gt;",$D$2:$D5387,"&lt;&gt;",$E$2:$E5387,"&lt;&gt;"),"00000"),""))</f>
        <v/>
      </c>
      <c r="N5387" s="22"/>
    </row>
    <row r="5388" spans="1:14" x14ac:dyDescent="0.3">
      <c r="A5388" s="15" t="str">
        <f>IF(COUNTA($B5388:$E5388,$K5388)=0,"",IF(AND($B5388&lt;&gt;"",$C5388&lt;&gt;"",$D5388&lt;&gt;"",$E5388&lt;&gt;""),"TXS"&amp;TEXT(COUNTIFS($B$2:$B5388,"&lt;&gt;",$C$2:$C5388,"&lt;&gt;",$D$2:$D5388,"&lt;&gt;",$E$2:$E5388,"&lt;&gt;"),"00000"),""))</f>
        <v/>
      </c>
      <c r="N5388" s="22"/>
    </row>
    <row r="5389" spans="1:14" x14ac:dyDescent="0.3">
      <c r="A5389" s="15" t="str">
        <f>IF(COUNTA($B5389:$E5389,$K5389)=0,"",IF(AND($B5389&lt;&gt;"",$C5389&lt;&gt;"",$D5389&lt;&gt;"",$E5389&lt;&gt;""),"TXS"&amp;TEXT(COUNTIFS($B$2:$B5389,"&lt;&gt;",$C$2:$C5389,"&lt;&gt;",$D$2:$D5389,"&lt;&gt;",$E$2:$E5389,"&lt;&gt;"),"00000"),""))</f>
        <v/>
      </c>
      <c r="N5389" s="22"/>
    </row>
    <row r="5390" spans="1:14" x14ac:dyDescent="0.3">
      <c r="A5390" s="15" t="str">
        <f>IF(COUNTA($B5390:$E5390,$K5390)=0,"",IF(AND($B5390&lt;&gt;"",$C5390&lt;&gt;"",$D5390&lt;&gt;"",$E5390&lt;&gt;""),"TXS"&amp;TEXT(COUNTIFS($B$2:$B5390,"&lt;&gt;",$C$2:$C5390,"&lt;&gt;",$D$2:$D5390,"&lt;&gt;",$E$2:$E5390,"&lt;&gt;"),"00000"),""))</f>
        <v/>
      </c>
      <c r="N5390" s="22"/>
    </row>
    <row r="5391" spans="1:14" x14ac:dyDescent="0.3">
      <c r="A5391" s="15" t="str">
        <f>IF(COUNTA($B5391:$E5391,$K5391)=0,"",IF(AND($B5391&lt;&gt;"",$C5391&lt;&gt;"",$D5391&lt;&gt;"",$E5391&lt;&gt;""),"TXS"&amp;TEXT(COUNTIFS($B$2:$B5391,"&lt;&gt;",$C$2:$C5391,"&lt;&gt;",$D$2:$D5391,"&lt;&gt;",$E$2:$E5391,"&lt;&gt;"),"00000"),""))</f>
        <v/>
      </c>
      <c r="N5391" s="22"/>
    </row>
    <row r="5392" spans="1:14" x14ac:dyDescent="0.3">
      <c r="A5392" s="15" t="str">
        <f>IF(COUNTA($B5392:$E5392,$K5392)=0,"",IF(AND($B5392&lt;&gt;"",$C5392&lt;&gt;"",$D5392&lt;&gt;"",$E5392&lt;&gt;""),"TXS"&amp;TEXT(COUNTIFS($B$2:$B5392,"&lt;&gt;",$C$2:$C5392,"&lt;&gt;",$D$2:$D5392,"&lt;&gt;",$E$2:$E5392,"&lt;&gt;"),"00000"),""))</f>
        <v/>
      </c>
      <c r="N5392" s="22"/>
    </row>
    <row r="5393" spans="1:14" x14ac:dyDescent="0.3">
      <c r="A5393" s="15" t="str">
        <f>IF(COUNTA($B5393:$E5393,$K5393)=0,"",IF(AND($B5393&lt;&gt;"",$C5393&lt;&gt;"",$D5393&lt;&gt;"",$E5393&lt;&gt;""),"TXS"&amp;TEXT(COUNTIFS($B$2:$B5393,"&lt;&gt;",$C$2:$C5393,"&lt;&gt;",$D$2:$D5393,"&lt;&gt;",$E$2:$E5393,"&lt;&gt;"),"00000"),""))</f>
        <v/>
      </c>
      <c r="N5393" s="22"/>
    </row>
    <row r="5394" spans="1:14" x14ac:dyDescent="0.3">
      <c r="A5394" s="15" t="str">
        <f>IF(COUNTA($B5394:$E5394,$K5394)=0,"",IF(AND($B5394&lt;&gt;"",$C5394&lt;&gt;"",$D5394&lt;&gt;"",$E5394&lt;&gt;""),"TXS"&amp;TEXT(COUNTIFS($B$2:$B5394,"&lt;&gt;",$C$2:$C5394,"&lt;&gt;",$D$2:$D5394,"&lt;&gt;",$E$2:$E5394,"&lt;&gt;"),"00000"),""))</f>
        <v/>
      </c>
      <c r="N5394" s="22"/>
    </row>
    <row r="5395" spans="1:14" x14ac:dyDescent="0.3">
      <c r="A5395" s="15" t="str">
        <f>IF(COUNTA($B5395:$E5395,$K5395)=0,"",IF(AND($B5395&lt;&gt;"",$C5395&lt;&gt;"",$D5395&lt;&gt;"",$E5395&lt;&gt;""),"TXS"&amp;TEXT(COUNTIFS($B$2:$B5395,"&lt;&gt;",$C$2:$C5395,"&lt;&gt;",$D$2:$D5395,"&lt;&gt;",$E$2:$E5395,"&lt;&gt;"),"00000"),""))</f>
        <v/>
      </c>
      <c r="N5395" s="22"/>
    </row>
    <row r="5396" spans="1:14" x14ac:dyDescent="0.3">
      <c r="A5396" s="15" t="str">
        <f>IF(COUNTA($B5396:$E5396,$K5396)=0,"",IF(AND($B5396&lt;&gt;"",$C5396&lt;&gt;"",$D5396&lt;&gt;"",$E5396&lt;&gt;""),"TXS"&amp;TEXT(COUNTIFS($B$2:$B5396,"&lt;&gt;",$C$2:$C5396,"&lt;&gt;",$D$2:$D5396,"&lt;&gt;",$E$2:$E5396,"&lt;&gt;"),"00000"),""))</f>
        <v/>
      </c>
      <c r="N5396" s="22"/>
    </row>
    <row r="5397" spans="1:14" x14ac:dyDescent="0.3">
      <c r="A5397" s="15" t="str">
        <f>IF(COUNTA($B5397:$E5397,$K5397)=0,"",IF(AND($B5397&lt;&gt;"",$C5397&lt;&gt;"",$D5397&lt;&gt;"",$E5397&lt;&gt;""),"TXS"&amp;TEXT(COUNTIFS($B$2:$B5397,"&lt;&gt;",$C$2:$C5397,"&lt;&gt;",$D$2:$D5397,"&lt;&gt;",$E$2:$E5397,"&lt;&gt;"),"00000"),""))</f>
        <v/>
      </c>
      <c r="N5397" s="22"/>
    </row>
    <row r="5398" spans="1:14" x14ac:dyDescent="0.3">
      <c r="A5398" s="15" t="str">
        <f>IF(COUNTA($B5398:$E5398,$K5398)=0,"",IF(AND($B5398&lt;&gt;"",$C5398&lt;&gt;"",$D5398&lt;&gt;"",$E5398&lt;&gt;""),"TXS"&amp;TEXT(COUNTIFS($B$2:$B5398,"&lt;&gt;",$C$2:$C5398,"&lt;&gt;",$D$2:$D5398,"&lt;&gt;",$E$2:$E5398,"&lt;&gt;"),"00000"),""))</f>
        <v/>
      </c>
      <c r="N5398" s="22"/>
    </row>
    <row r="5399" spans="1:14" x14ac:dyDescent="0.3">
      <c r="A5399" s="15" t="str">
        <f>IF(COUNTA($B5399:$E5399,$K5399)=0,"",IF(AND($B5399&lt;&gt;"",$C5399&lt;&gt;"",$D5399&lt;&gt;"",$E5399&lt;&gt;""),"TXS"&amp;TEXT(COUNTIFS($B$2:$B5399,"&lt;&gt;",$C$2:$C5399,"&lt;&gt;",$D$2:$D5399,"&lt;&gt;",$E$2:$E5399,"&lt;&gt;"),"00000"),""))</f>
        <v/>
      </c>
      <c r="N5399" s="22"/>
    </row>
    <row r="5400" spans="1:14" x14ac:dyDescent="0.3">
      <c r="A5400" s="15" t="str">
        <f>IF(COUNTA($B5400:$E5400,$K5400)=0,"",IF(AND($B5400&lt;&gt;"",$C5400&lt;&gt;"",$D5400&lt;&gt;"",$E5400&lt;&gt;""),"TXS"&amp;TEXT(COUNTIFS($B$2:$B5400,"&lt;&gt;",$C$2:$C5400,"&lt;&gt;",$D$2:$D5400,"&lt;&gt;",$E$2:$E5400,"&lt;&gt;"),"00000"),""))</f>
        <v/>
      </c>
      <c r="N5400" s="22"/>
    </row>
    <row r="5401" spans="1:14" x14ac:dyDescent="0.3">
      <c r="A5401" s="15" t="str">
        <f>IF(COUNTA($B5401:$E5401,$K5401)=0,"",IF(AND($B5401&lt;&gt;"",$C5401&lt;&gt;"",$D5401&lt;&gt;"",$E5401&lt;&gt;""),"TXS"&amp;TEXT(COUNTIFS($B$2:$B5401,"&lt;&gt;",$C$2:$C5401,"&lt;&gt;",$D$2:$D5401,"&lt;&gt;",$E$2:$E5401,"&lt;&gt;"),"00000"),""))</f>
        <v/>
      </c>
      <c r="N5401" s="22"/>
    </row>
    <row r="5402" spans="1:14" x14ac:dyDescent="0.3">
      <c r="A5402" s="15" t="str">
        <f>IF(COUNTA($B5402:$E5402,$K5402)=0,"",IF(AND($B5402&lt;&gt;"",$C5402&lt;&gt;"",$D5402&lt;&gt;"",$E5402&lt;&gt;""),"TXS"&amp;TEXT(COUNTIFS($B$2:$B5402,"&lt;&gt;",$C$2:$C5402,"&lt;&gt;",$D$2:$D5402,"&lt;&gt;",$E$2:$E5402,"&lt;&gt;"),"00000"),""))</f>
        <v/>
      </c>
      <c r="N5402" s="22"/>
    </row>
    <row r="5403" spans="1:14" x14ac:dyDescent="0.3">
      <c r="A5403" s="15" t="str">
        <f>IF(COUNTA($B5403:$E5403,$K5403)=0,"",IF(AND($B5403&lt;&gt;"",$C5403&lt;&gt;"",$D5403&lt;&gt;"",$E5403&lt;&gt;""),"TXS"&amp;TEXT(COUNTIFS($B$2:$B5403,"&lt;&gt;",$C$2:$C5403,"&lt;&gt;",$D$2:$D5403,"&lt;&gt;",$E$2:$E5403,"&lt;&gt;"),"00000"),""))</f>
        <v/>
      </c>
      <c r="N5403" s="22"/>
    </row>
    <row r="5404" spans="1:14" x14ac:dyDescent="0.3">
      <c r="A5404" s="15" t="str">
        <f>IF(COUNTA($B5404:$E5404,$K5404)=0,"",IF(AND($B5404&lt;&gt;"",$C5404&lt;&gt;"",$D5404&lt;&gt;"",$E5404&lt;&gt;""),"TXS"&amp;TEXT(COUNTIFS($B$2:$B5404,"&lt;&gt;",$C$2:$C5404,"&lt;&gt;",$D$2:$D5404,"&lt;&gt;",$E$2:$E5404,"&lt;&gt;"),"00000"),""))</f>
        <v/>
      </c>
      <c r="N5404" s="22"/>
    </row>
    <row r="5405" spans="1:14" x14ac:dyDescent="0.3">
      <c r="A5405" s="15" t="str">
        <f>IF(COUNTA($B5405:$E5405,$K5405)=0,"",IF(AND($B5405&lt;&gt;"",$C5405&lt;&gt;"",$D5405&lt;&gt;"",$E5405&lt;&gt;""),"TXS"&amp;TEXT(COUNTIFS($B$2:$B5405,"&lt;&gt;",$C$2:$C5405,"&lt;&gt;",$D$2:$D5405,"&lt;&gt;",$E$2:$E5405,"&lt;&gt;"),"00000"),""))</f>
        <v/>
      </c>
      <c r="N5405" s="22"/>
    </row>
    <row r="5406" spans="1:14" x14ac:dyDescent="0.3">
      <c r="A5406" s="15" t="str">
        <f>IF(COUNTA($B5406:$E5406,$K5406)=0,"",IF(AND($B5406&lt;&gt;"",$C5406&lt;&gt;"",$D5406&lt;&gt;"",$E5406&lt;&gt;""),"TXS"&amp;TEXT(COUNTIFS($B$2:$B5406,"&lt;&gt;",$C$2:$C5406,"&lt;&gt;",$D$2:$D5406,"&lt;&gt;",$E$2:$E5406,"&lt;&gt;"),"00000"),""))</f>
        <v/>
      </c>
      <c r="N5406" s="22"/>
    </row>
    <row r="5407" spans="1:14" x14ac:dyDescent="0.3">
      <c r="A5407" s="15" t="str">
        <f>IF(COUNTA($B5407:$E5407,$K5407)=0,"",IF(AND($B5407&lt;&gt;"",$C5407&lt;&gt;"",$D5407&lt;&gt;"",$E5407&lt;&gt;""),"TXS"&amp;TEXT(COUNTIFS($B$2:$B5407,"&lt;&gt;",$C$2:$C5407,"&lt;&gt;",$D$2:$D5407,"&lt;&gt;",$E$2:$E5407,"&lt;&gt;"),"00000"),""))</f>
        <v/>
      </c>
      <c r="N5407" s="22"/>
    </row>
    <row r="5408" spans="1:14" x14ac:dyDescent="0.3">
      <c r="A5408" s="15" t="str">
        <f>IF(COUNTA($B5408:$E5408,$K5408)=0,"",IF(AND($B5408&lt;&gt;"",$C5408&lt;&gt;"",$D5408&lt;&gt;"",$E5408&lt;&gt;""),"TXS"&amp;TEXT(COUNTIFS($B$2:$B5408,"&lt;&gt;",$C$2:$C5408,"&lt;&gt;",$D$2:$D5408,"&lt;&gt;",$E$2:$E5408,"&lt;&gt;"),"00000"),""))</f>
        <v/>
      </c>
      <c r="N5408" s="22"/>
    </row>
    <row r="5409" spans="1:14" x14ac:dyDescent="0.3">
      <c r="A5409" s="15" t="str">
        <f>IF(COUNTA($B5409:$E5409,$K5409)=0,"",IF(AND($B5409&lt;&gt;"",$C5409&lt;&gt;"",$D5409&lt;&gt;"",$E5409&lt;&gt;""),"TXS"&amp;TEXT(COUNTIFS($B$2:$B5409,"&lt;&gt;",$C$2:$C5409,"&lt;&gt;",$D$2:$D5409,"&lt;&gt;",$E$2:$E5409,"&lt;&gt;"),"00000"),""))</f>
        <v/>
      </c>
      <c r="N5409" s="22"/>
    </row>
    <row r="5410" spans="1:14" x14ac:dyDescent="0.3">
      <c r="A5410" s="15" t="str">
        <f>IF(COUNTA($B5410:$E5410,$K5410)=0,"",IF(AND($B5410&lt;&gt;"",$C5410&lt;&gt;"",$D5410&lt;&gt;"",$E5410&lt;&gt;""),"TXS"&amp;TEXT(COUNTIFS($B$2:$B5410,"&lt;&gt;",$C$2:$C5410,"&lt;&gt;",$D$2:$D5410,"&lt;&gt;",$E$2:$E5410,"&lt;&gt;"),"00000"),""))</f>
        <v/>
      </c>
      <c r="N5410" s="22"/>
    </row>
    <row r="5411" spans="1:14" x14ac:dyDescent="0.3">
      <c r="A5411" s="15" t="str">
        <f>IF(COUNTA($B5411:$E5411,$K5411)=0,"",IF(AND($B5411&lt;&gt;"",$C5411&lt;&gt;"",$D5411&lt;&gt;"",$E5411&lt;&gt;""),"TXS"&amp;TEXT(COUNTIFS($B$2:$B5411,"&lt;&gt;",$C$2:$C5411,"&lt;&gt;",$D$2:$D5411,"&lt;&gt;",$E$2:$E5411,"&lt;&gt;"),"00000"),""))</f>
        <v/>
      </c>
      <c r="N5411" s="22"/>
    </row>
    <row r="5412" spans="1:14" x14ac:dyDescent="0.3">
      <c r="A5412" s="15" t="str">
        <f>IF(COUNTA($B5412:$E5412,$K5412)=0,"",IF(AND($B5412&lt;&gt;"",$C5412&lt;&gt;"",$D5412&lt;&gt;"",$E5412&lt;&gt;""),"TXS"&amp;TEXT(COUNTIFS($B$2:$B5412,"&lt;&gt;",$C$2:$C5412,"&lt;&gt;",$D$2:$D5412,"&lt;&gt;",$E$2:$E5412,"&lt;&gt;"),"00000"),""))</f>
        <v/>
      </c>
      <c r="N5412" s="22"/>
    </row>
    <row r="5413" spans="1:14" x14ac:dyDescent="0.3">
      <c r="A5413" s="15" t="str">
        <f>IF(COUNTA($B5413:$E5413,$K5413)=0,"",IF(AND($B5413&lt;&gt;"",$C5413&lt;&gt;"",$D5413&lt;&gt;"",$E5413&lt;&gt;""),"TXS"&amp;TEXT(COUNTIFS($B$2:$B5413,"&lt;&gt;",$C$2:$C5413,"&lt;&gt;",$D$2:$D5413,"&lt;&gt;",$E$2:$E5413,"&lt;&gt;"),"00000"),""))</f>
        <v/>
      </c>
      <c r="N5413" s="22"/>
    </row>
    <row r="5414" spans="1:14" x14ac:dyDescent="0.3">
      <c r="A5414" s="15" t="str">
        <f>IF(COUNTA($B5414:$E5414,$K5414)=0,"",IF(AND($B5414&lt;&gt;"",$C5414&lt;&gt;"",$D5414&lt;&gt;"",$E5414&lt;&gt;""),"TXS"&amp;TEXT(COUNTIFS($B$2:$B5414,"&lt;&gt;",$C$2:$C5414,"&lt;&gt;",$D$2:$D5414,"&lt;&gt;",$E$2:$E5414,"&lt;&gt;"),"00000"),""))</f>
        <v/>
      </c>
      <c r="N5414" s="22"/>
    </row>
    <row r="5415" spans="1:14" x14ac:dyDescent="0.3">
      <c r="A5415" s="15" t="str">
        <f>IF(COUNTA($B5415:$E5415,$K5415)=0,"",IF(AND($B5415&lt;&gt;"",$C5415&lt;&gt;"",$D5415&lt;&gt;"",$E5415&lt;&gt;""),"TXS"&amp;TEXT(COUNTIFS($B$2:$B5415,"&lt;&gt;",$C$2:$C5415,"&lt;&gt;",$D$2:$D5415,"&lt;&gt;",$E$2:$E5415,"&lt;&gt;"),"00000"),""))</f>
        <v/>
      </c>
      <c r="N5415" s="22"/>
    </row>
    <row r="5416" spans="1:14" x14ac:dyDescent="0.3">
      <c r="A5416" s="15" t="str">
        <f>IF(COUNTA($B5416:$E5416,$K5416)=0,"",IF(AND($B5416&lt;&gt;"",$C5416&lt;&gt;"",$D5416&lt;&gt;"",$E5416&lt;&gt;""),"TXS"&amp;TEXT(COUNTIFS($B$2:$B5416,"&lt;&gt;",$C$2:$C5416,"&lt;&gt;",$D$2:$D5416,"&lt;&gt;",$E$2:$E5416,"&lt;&gt;"),"00000"),""))</f>
        <v/>
      </c>
      <c r="N5416" s="22"/>
    </row>
    <row r="5417" spans="1:14" x14ac:dyDescent="0.3">
      <c r="A5417" s="15" t="str">
        <f>IF(COUNTA($B5417:$E5417,$K5417)=0,"",IF(AND($B5417&lt;&gt;"",$C5417&lt;&gt;"",$D5417&lt;&gt;"",$E5417&lt;&gt;""),"TXS"&amp;TEXT(COUNTIFS($B$2:$B5417,"&lt;&gt;",$C$2:$C5417,"&lt;&gt;",$D$2:$D5417,"&lt;&gt;",$E$2:$E5417,"&lt;&gt;"),"00000"),""))</f>
        <v/>
      </c>
      <c r="N5417" s="22"/>
    </row>
    <row r="5418" spans="1:14" x14ac:dyDescent="0.3">
      <c r="A5418" s="15" t="str">
        <f>IF(COUNTA($B5418:$E5418,$K5418)=0,"",IF(AND($B5418&lt;&gt;"",$C5418&lt;&gt;"",$D5418&lt;&gt;"",$E5418&lt;&gt;""),"TXS"&amp;TEXT(COUNTIFS($B$2:$B5418,"&lt;&gt;",$C$2:$C5418,"&lt;&gt;",$D$2:$D5418,"&lt;&gt;",$E$2:$E5418,"&lt;&gt;"),"00000"),""))</f>
        <v/>
      </c>
      <c r="N5418" s="22"/>
    </row>
    <row r="5419" spans="1:14" x14ac:dyDescent="0.3">
      <c r="A5419" s="15" t="str">
        <f>IF(COUNTA($B5419:$E5419,$K5419)=0,"",IF(AND($B5419&lt;&gt;"",$C5419&lt;&gt;"",$D5419&lt;&gt;"",$E5419&lt;&gt;""),"TXS"&amp;TEXT(COUNTIFS($B$2:$B5419,"&lt;&gt;",$C$2:$C5419,"&lt;&gt;",$D$2:$D5419,"&lt;&gt;",$E$2:$E5419,"&lt;&gt;"),"00000"),""))</f>
        <v/>
      </c>
      <c r="N5419" s="22"/>
    </row>
    <row r="5420" spans="1:14" x14ac:dyDescent="0.3">
      <c r="A5420" s="15" t="str">
        <f>IF(COUNTA($B5420:$E5420,$K5420)=0,"",IF(AND($B5420&lt;&gt;"",$C5420&lt;&gt;"",$D5420&lt;&gt;"",$E5420&lt;&gt;""),"TXS"&amp;TEXT(COUNTIFS($B$2:$B5420,"&lt;&gt;",$C$2:$C5420,"&lt;&gt;",$D$2:$D5420,"&lt;&gt;",$E$2:$E5420,"&lt;&gt;"),"00000"),""))</f>
        <v/>
      </c>
      <c r="N5420" s="22"/>
    </row>
    <row r="5421" spans="1:14" x14ac:dyDescent="0.3">
      <c r="A5421" s="15" t="str">
        <f>IF(COUNTA($B5421:$E5421,$K5421)=0,"",IF(AND($B5421&lt;&gt;"",$C5421&lt;&gt;"",$D5421&lt;&gt;"",$E5421&lt;&gt;""),"TXS"&amp;TEXT(COUNTIFS($B$2:$B5421,"&lt;&gt;",$C$2:$C5421,"&lt;&gt;",$D$2:$D5421,"&lt;&gt;",$E$2:$E5421,"&lt;&gt;"),"00000"),""))</f>
        <v/>
      </c>
      <c r="N5421" s="22"/>
    </row>
    <row r="5422" spans="1:14" x14ac:dyDescent="0.3">
      <c r="A5422" s="15" t="str">
        <f>IF(COUNTA($B5422:$E5422,$K5422)=0,"",IF(AND($B5422&lt;&gt;"",$C5422&lt;&gt;"",$D5422&lt;&gt;"",$E5422&lt;&gt;""),"TXS"&amp;TEXT(COUNTIFS($B$2:$B5422,"&lt;&gt;",$C$2:$C5422,"&lt;&gt;",$D$2:$D5422,"&lt;&gt;",$E$2:$E5422,"&lt;&gt;"),"00000"),""))</f>
        <v/>
      </c>
      <c r="N5422" s="22"/>
    </row>
    <row r="5423" spans="1:14" x14ac:dyDescent="0.3">
      <c r="A5423" s="15" t="str">
        <f>IF(COUNTA($B5423:$E5423,$K5423)=0,"",IF(AND($B5423&lt;&gt;"",$C5423&lt;&gt;"",$D5423&lt;&gt;"",$E5423&lt;&gt;""),"TXS"&amp;TEXT(COUNTIFS($B$2:$B5423,"&lt;&gt;",$C$2:$C5423,"&lt;&gt;",$D$2:$D5423,"&lt;&gt;",$E$2:$E5423,"&lt;&gt;"),"00000"),""))</f>
        <v/>
      </c>
      <c r="N5423" s="22"/>
    </row>
    <row r="5424" spans="1:14" x14ac:dyDescent="0.3">
      <c r="A5424" s="15" t="str">
        <f>IF(COUNTA($B5424:$E5424,$K5424)=0,"",IF(AND($B5424&lt;&gt;"",$C5424&lt;&gt;"",$D5424&lt;&gt;"",$E5424&lt;&gt;""),"TXS"&amp;TEXT(COUNTIFS($B$2:$B5424,"&lt;&gt;",$C$2:$C5424,"&lt;&gt;",$D$2:$D5424,"&lt;&gt;",$E$2:$E5424,"&lt;&gt;"),"00000"),""))</f>
        <v/>
      </c>
      <c r="N5424" s="22"/>
    </row>
    <row r="5425" spans="1:14" x14ac:dyDescent="0.3">
      <c r="A5425" s="15" t="str">
        <f>IF(COUNTA($B5425:$E5425,$K5425)=0,"",IF(AND($B5425&lt;&gt;"",$C5425&lt;&gt;"",$D5425&lt;&gt;"",$E5425&lt;&gt;""),"TXS"&amp;TEXT(COUNTIFS($B$2:$B5425,"&lt;&gt;",$C$2:$C5425,"&lt;&gt;",$D$2:$D5425,"&lt;&gt;",$E$2:$E5425,"&lt;&gt;"),"00000"),""))</f>
        <v/>
      </c>
      <c r="N5425" s="22"/>
    </row>
    <row r="5426" spans="1:14" x14ac:dyDescent="0.3">
      <c r="A5426" s="15" t="str">
        <f>IF(COUNTA($B5426:$E5426,$K5426)=0,"",IF(AND($B5426&lt;&gt;"",$C5426&lt;&gt;"",$D5426&lt;&gt;"",$E5426&lt;&gt;""),"TXS"&amp;TEXT(COUNTIFS($B$2:$B5426,"&lt;&gt;",$C$2:$C5426,"&lt;&gt;",$D$2:$D5426,"&lt;&gt;",$E$2:$E5426,"&lt;&gt;"),"00000"),""))</f>
        <v/>
      </c>
      <c r="N5426" s="22"/>
    </row>
    <row r="5427" spans="1:14" x14ac:dyDescent="0.3">
      <c r="A5427" s="15" t="str">
        <f>IF(COUNTA($B5427:$E5427,$K5427)=0,"",IF(AND($B5427&lt;&gt;"",$C5427&lt;&gt;"",$D5427&lt;&gt;"",$E5427&lt;&gt;""),"TXS"&amp;TEXT(COUNTIFS($B$2:$B5427,"&lt;&gt;",$C$2:$C5427,"&lt;&gt;",$D$2:$D5427,"&lt;&gt;",$E$2:$E5427,"&lt;&gt;"),"00000"),""))</f>
        <v/>
      </c>
      <c r="N5427" s="22"/>
    </row>
    <row r="5428" spans="1:14" x14ac:dyDescent="0.3">
      <c r="A5428" s="15" t="str">
        <f>IF(COUNTA($B5428:$E5428,$K5428)=0,"",IF(AND($B5428&lt;&gt;"",$C5428&lt;&gt;"",$D5428&lt;&gt;"",$E5428&lt;&gt;""),"TXS"&amp;TEXT(COUNTIFS($B$2:$B5428,"&lt;&gt;",$C$2:$C5428,"&lt;&gt;",$D$2:$D5428,"&lt;&gt;",$E$2:$E5428,"&lt;&gt;"),"00000"),""))</f>
        <v/>
      </c>
      <c r="N5428" s="22"/>
    </row>
    <row r="5429" spans="1:14" x14ac:dyDescent="0.3">
      <c r="A5429" s="15" t="str">
        <f>IF(COUNTA($B5429:$E5429,$K5429)=0,"",IF(AND($B5429&lt;&gt;"",$C5429&lt;&gt;"",$D5429&lt;&gt;"",$E5429&lt;&gt;""),"TXS"&amp;TEXT(COUNTIFS($B$2:$B5429,"&lt;&gt;",$C$2:$C5429,"&lt;&gt;",$D$2:$D5429,"&lt;&gt;",$E$2:$E5429,"&lt;&gt;"),"00000"),""))</f>
        <v/>
      </c>
      <c r="N5429" s="22"/>
    </row>
    <row r="5430" spans="1:14" x14ac:dyDescent="0.3">
      <c r="A5430" s="15" t="str">
        <f>IF(COUNTA($B5430:$E5430,$K5430)=0,"",IF(AND($B5430&lt;&gt;"",$C5430&lt;&gt;"",$D5430&lt;&gt;"",$E5430&lt;&gt;""),"TXS"&amp;TEXT(COUNTIFS($B$2:$B5430,"&lt;&gt;",$C$2:$C5430,"&lt;&gt;",$D$2:$D5430,"&lt;&gt;",$E$2:$E5430,"&lt;&gt;"),"00000"),""))</f>
        <v/>
      </c>
      <c r="N5430" s="22"/>
    </row>
    <row r="5431" spans="1:14" x14ac:dyDescent="0.3">
      <c r="A5431" s="15" t="str">
        <f>IF(COUNTA($B5431:$E5431,$K5431)=0,"",IF(AND($B5431&lt;&gt;"",$C5431&lt;&gt;"",$D5431&lt;&gt;"",$E5431&lt;&gt;""),"TXS"&amp;TEXT(COUNTIFS($B$2:$B5431,"&lt;&gt;",$C$2:$C5431,"&lt;&gt;",$D$2:$D5431,"&lt;&gt;",$E$2:$E5431,"&lt;&gt;"),"00000"),""))</f>
        <v/>
      </c>
      <c r="N5431" s="22"/>
    </row>
    <row r="5432" spans="1:14" x14ac:dyDescent="0.3">
      <c r="A5432" s="15" t="str">
        <f>IF(COUNTA($B5432:$E5432,$K5432)=0,"",IF(AND($B5432&lt;&gt;"",$C5432&lt;&gt;"",$D5432&lt;&gt;"",$E5432&lt;&gt;""),"TXS"&amp;TEXT(COUNTIFS($B$2:$B5432,"&lt;&gt;",$C$2:$C5432,"&lt;&gt;",$D$2:$D5432,"&lt;&gt;",$E$2:$E5432,"&lt;&gt;"),"00000"),""))</f>
        <v/>
      </c>
      <c r="N5432" s="22"/>
    </row>
    <row r="5433" spans="1:14" x14ac:dyDescent="0.3">
      <c r="A5433" s="15" t="str">
        <f>IF(COUNTA($B5433:$E5433,$K5433)=0,"",IF(AND($B5433&lt;&gt;"",$C5433&lt;&gt;"",$D5433&lt;&gt;"",$E5433&lt;&gt;""),"TXS"&amp;TEXT(COUNTIFS($B$2:$B5433,"&lt;&gt;",$C$2:$C5433,"&lt;&gt;",$D$2:$D5433,"&lt;&gt;",$E$2:$E5433,"&lt;&gt;"),"00000"),""))</f>
        <v/>
      </c>
      <c r="N5433" s="22"/>
    </row>
    <row r="5434" spans="1:14" x14ac:dyDescent="0.3">
      <c r="A5434" s="15" t="str">
        <f>IF(COUNTA($B5434:$E5434,$K5434)=0,"",IF(AND($B5434&lt;&gt;"",$C5434&lt;&gt;"",$D5434&lt;&gt;"",$E5434&lt;&gt;""),"TXS"&amp;TEXT(COUNTIFS($B$2:$B5434,"&lt;&gt;",$C$2:$C5434,"&lt;&gt;",$D$2:$D5434,"&lt;&gt;",$E$2:$E5434,"&lt;&gt;"),"00000"),""))</f>
        <v/>
      </c>
      <c r="N5434" s="22"/>
    </row>
    <row r="5435" spans="1:14" x14ac:dyDescent="0.3">
      <c r="A5435" s="15" t="str">
        <f>IF(COUNTA($B5435:$E5435,$K5435)=0,"",IF(AND($B5435&lt;&gt;"",$C5435&lt;&gt;"",$D5435&lt;&gt;"",$E5435&lt;&gt;""),"TXS"&amp;TEXT(COUNTIFS($B$2:$B5435,"&lt;&gt;",$C$2:$C5435,"&lt;&gt;",$D$2:$D5435,"&lt;&gt;",$E$2:$E5435,"&lt;&gt;"),"00000"),""))</f>
        <v/>
      </c>
      <c r="N5435" s="22"/>
    </row>
    <row r="5436" spans="1:14" x14ac:dyDescent="0.3">
      <c r="A5436" s="15" t="str">
        <f>IF(COUNTA($B5436:$E5436,$K5436)=0,"",IF(AND($B5436&lt;&gt;"",$C5436&lt;&gt;"",$D5436&lt;&gt;"",$E5436&lt;&gt;""),"TXS"&amp;TEXT(COUNTIFS($B$2:$B5436,"&lt;&gt;",$C$2:$C5436,"&lt;&gt;",$D$2:$D5436,"&lt;&gt;",$E$2:$E5436,"&lt;&gt;"),"00000"),""))</f>
        <v/>
      </c>
      <c r="N5436" s="22"/>
    </row>
    <row r="5437" spans="1:14" x14ac:dyDescent="0.3">
      <c r="A5437" s="15" t="str">
        <f>IF(COUNTA($B5437:$E5437,$K5437)=0,"",IF(AND($B5437&lt;&gt;"",$C5437&lt;&gt;"",$D5437&lt;&gt;"",$E5437&lt;&gt;""),"TXS"&amp;TEXT(COUNTIFS($B$2:$B5437,"&lt;&gt;",$C$2:$C5437,"&lt;&gt;",$D$2:$D5437,"&lt;&gt;",$E$2:$E5437,"&lt;&gt;"),"00000"),""))</f>
        <v/>
      </c>
      <c r="N5437" s="22"/>
    </row>
    <row r="5438" spans="1:14" x14ac:dyDescent="0.3">
      <c r="A5438" s="15" t="str">
        <f>IF(COUNTA($B5438:$E5438,$K5438)=0,"",IF(AND($B5438&lt;&gt;"",$C5438&lt;&gt;"",$D5438&lt;&gt;"",$E5438&lt;&gt;""),"TXS"&amp;TEXT(COUNTIFS($B$2:$B5438,"&lt;&gt;",$C$2:$C5438,"&lt;&gt;",$D$2:$D5438,"&lt;&gt;",$E$2:$E5438,"&lt;&gt;"),"00000"),""))</f>
        <v/>
      </c>
      <c r="N5438" s="22"/>
    </row>
    <row r="5439" spans="1:14" x14ac:dyDescent="0.3">
      <c r="A5439" s="15" t="str">
        <f>IF(COUNTA($B5439:$E5439,$K5439)=0,"",IF(AND($B5439&lt;&gt;"",$C5439&lt;&gt;"",$D5439&lt;&gt;"",$E5439&lt;&gt;""),"TXS"&amp;TEXT(COUNTIFS($B$2:$B5439,"&lt;&gt;",$C$2:$C5439,"&lt;&gt;",$D$2:$D5439,"&lt;&gt;",$E$2:$E5439,"&lt;&gt;"),"00000"),""))</f>
        <v/>
      </c>
      <c r="N5439" s="22"/>
    </row>
    <row r="5440" spans="1:14" x14ac:dyDescent="0.3">
      <c r="A5440" s="15" t="str">
        <f>IF(COUNTA($B5440:$E5440,$K5440)=0,"",IF(AND($B5440&lt;&gt;"",$C5440&lt;&gt;"",$D5440&lt;&gt;"",$E5440&lt;&gt;""),"TXS"&amp;TEXT(COUNTIFS($B$2:$B5440,"&lt;&gt;",$C$2:$C5440,"&lt;&gt;",$D$2:$D5440,"&lt;&gt;",$E$2:$E5440,"&lt;&gt;"),"00000"),""))</f>
        <v/>
      </c>
      <c r="N5440" s="22"/>
    </row>
    <row r="5441" spans="1:14" x14ac:dyDescent="0.3">
      <c r="A5441" s="15" t="str">
        <f>IF(COUNTA($B5441:$E5441,$K5441)=0,"",IF(AND($B5441&lt;&gt;"",$C5441&lt;&gt;"",$D5441&lt;&gt;"",$E5441&lt;&gt;""),"TXS"&amp;TEXT(COUNTIFS($B$2:$B5441,"&lt;&gt;",$C$2:$C5441,"&lt;&gt;",$D$2:$D5441,"&lt;&gt;",$E$2:$E5441,"&lt;&gt;"),"00000"),""))</f>
        <v/>
      </c>
      <c r="N5441" s="22"/>
    </row>
    <row r="5442" spans="1:14" x14ac:dyDescent="0.3">
      <c r="A5442" s="15" t="str">
        <f>IF(COUNTA($B5442:$E5442,$K5442)=0,"",IF(AND($B5442&lt;&gt;"",$C5442&lt;&gt;"",$D5442&lt;&gt;"",$E5442&lt;&gt;""),"TXS"&amp;TEXT(COUNTIFS($B$2:$B5442,"&lt;&gt;",$C$2:$C5442,"&lt;&gt;",$D$2:$D5442,"&lt;&gt;",$E$2:$E5442,"&lt;&gt;"),"00000"),""))</f>
        <v/>
      </c>
      <c r="N5442" s="22"/>
    </row>
    <row r="5443" spans="1:14" x14ac:dyDescent="0.3">
      <c r="A5443" s="15" t="str">
        <f>IF(COUNTA($B5443:$E5443,$K5443)=0,"",IF(AND($B5443&lt;&gt;"",$C5443&lt;&gt;"",$D5443&lt;&gt;"",$E5443&lt;&gt;""),"TXS"&amp;TEXT(COUNTIFS($B$2:$B5443,"&lt;&gt;",$C$2:$C5443,"&lt;&gt;",$D$2:$D5443,"&lt;&gt;",$E$2:$E5443,"&lt;&gt;"),"00000"),""))</f>
        <v/>
      </c>
      <c r="N5443" s="22"/>
    </row>
    <row r="5444" spans="1:14" x14ac:dyDescent="0.3">
      <c r="A5444" s="15" t="str">
        <f>IF(COUNTA($B5444:$E5444,$K5444)=0,"",IF(AND($B5444&lt;&gt;"",$C5444&lt;&gt;"",$D5444&lt;&gt;"",$E5444&lt;&gt;""),"TXS"&amp;TEXT(COUNTIFS($B$2:$B5444,"&lt;&gt;",$C$2:$C5444,"&lt;&gt;",$D$2:$D5444,"&lt;&gt;",$E$2:$E5444,"&lt;&gt;"),"00000"),""))</f>
        <v/>
      </c>
      <c r="N5444" s="22"/>
    </row>
    <row r="5445" spans="1:14" x14ac:dyDescent="0.3">
      <c r="A5445" s="15" t="str">
        <f>IF(COUNTA($B5445:$E5445,$K5445)=0,"",IF(AND($B5445&lt;&gt;"",$C5445&lt;&gt;"",$D5445&lt;&gt;"",$E5445&lt;&gt;""),"TXS"&amp;TEXT(COUNTIFS($B$2:$B5445,"&lt;&gt;",$C$2:$C5445,"&lt;&gt;",$D$2:$D5445,"&lt;&gt;",$E$2:$E5445,"&lt;&gt;"),"00000"),""))</f>
        <v/>
      </c>
      <c r="N5445" s="22"/>
    </row>
    <row r="5446" spans="1:14" x14ac:dyDescent="0.3">
      <c r="A5446" s="15" t="str">
        <f>IF(COUNTA($B5446:$E5446,$K5446)=0,"",IF(AND($B5446&lt;&gt;"",$C5446&lt;&gt;"",$D5446&lt;&gt;"",$E5446&lt;&gt;""),"TXS"&amp;TEXT(COUNTIFS($B$2:$B5446,"&lt;&gt;",$C$2:$C5446,"&lt;&gt;",$D$2:$D5446,"&lt;&gt;",$E$2:$E5446,"&lt;&gt;"),"00000"),""))</f>
        <v/>
      </c>
      <c r="N5446" s="22"/>
    </row>
    <row r="5447" spans="1:14" x14ac:dyDescent="0.3">
      <c r="A5447" s="15" t="str">
        <f>IF(COUNTA($B5447:$E5447,$K5447)=0,"",IF(AND($B5447&lt;&gt;"",$C5447&lt;&gt;"",$D5447&lt;&gt;"",$E5447&lt;&gt;""),"TXS"&amp;TEXT(COUNTIFS($B$2:$B5447,"&lt;&gt;",$C$2:$C5447,"&lt;&gt;",$D$2:$D5447,"&lt;&gt;",$E$2:$E5447,"&lt;&gt;"),"00000"),""))</f>
        <v/>
      </c>
      <c r="N5447" s="22"/>
    </row>
    <row r="5448" spans="1:14" x14ac:dyDescent="0.3">
      <c r="A5448" s="15" t="str">
        <f>IF(COUNTA($B5448:$E5448,$K5448)=0,"",IF(AND($B5448&lt;&gt;"",$C5448&lt;&gt;"",$D5448&lt;&gt;"",$E5448&lt;&gt;""),"TXS"&amp;TEXT(COUNTIFS($B$2:$B5448,"&lt;&gt;",$C$2:$C5448,"&lt;&gt;",$D$2:$D5448,"&lt;&gt;",$E$2:$E5448,"&lt;&gt;"),"00000"),""))</f>
        <v/>
      </c>
      <c r="N5448" s="22"/>
    </row>
    <row r="5449" spans="1:14" x14ac:dyDescent="0.3">
      <c r="A5449" s="15" t="str">
        <f>IF(COUNTA($B5449:$E5449,$K5449)=0,"",IF(AND($B5449&lt;&gt;"",$C5449&lt;&gt;"",$D5449&lt;&gt;"",$E5449&lt;&gt;""),"TXS"&amp;TEXT(COUNTIFS($B$2:$B5449,"&lt;&gt;",$C$2:$C5449,"&lt;&gt;",$D$2:$D5449,"&lt;&gt;",$E$2:$E5449,"&lt;&gt;"),"00000"),""))</f>
        <v/>
      </c>
      <c r="N5449" s="22"/>
    </row>
    <row r="5450" spans="1:14" x14ac:dyDescent="0.3">
      <c r="A5450" s="15" t="str">
        <f>IF(COUNTA($B5450:$E5450,$K5450)=0,"",IF(AND($B5450&lt;&gt;"",$C5450&lt;&gt;"",$D5450&lt;&gt;"",$E5450&lt;&gt;""),"TXS"&amp;TEXT(COUNTIFS($B$2:$B5450,"&lt;&gt;",$C$2:$C5450,"&lt;&gt;",$D$2:$D5450,"&lt;&gt;",$E$2:$E5450,"&lt;&gt;"),"00000"),""))</f>
        <v/>
      </c>
      <c r="N5450" s="22"/>
    </row>
    <row r="5451" spans="1:14" x14ac:dyDescent="0.3">
      <c r="A5451" s="15" t="str">
        <f>IF(COUNTA($B5451:$E5451,$K5451)=0,"",IF(AND($B5451&lt;&gt;"",$C5451&lt;&gt;"",$D5451&lt;&gt;"",$E5451&lt;&gt;""),"TXS"&amp;TEXT(COUNTIFS($B$2:$B5451,"&lt;&gt;",$C$2:$C5451,"&lt;&gt;",$D$2:$D5451,"&lt;&gt;",$E$2:$E5451,"&lt;&gt;"),"00000"),""))</f>
        <v/>
      </c>
      <c r="N5451" s="22"/>
    </row>
    <row r="5452" spans="1:14" x14ac:dyDescent="0.3">
      <c r="A5452" s="15" t="str">
        <f>IF(COUNTA($B5452:$E5452,$K5452)=0,"",IF(AND($B5452&lt;&gt;"",$C5452&lt;&gt;"",$D5452&lt;&gt;"",$E5452&lt;&gt;""),"TXS"&amp;TEXT(COUNTIFS($B$2:$B5452,"&lt;&gt;",$C$2:$C5452,"&lt;&gt;",$D$2:$D5452,"&lt;&gt;",$E$2:$E5452,"&lt;&gt;"),"00000"),""))</f>
        <v/>
      </c>
      <c r="N5452" s="22"/>
    </row>
    <row r="5453" spans="1:14" x14ac:dyDescent="0.3">
      <c r="A5453" s="15" t="str">
        <f>IF(COUNTA($B5453:$E5453,$K5453)=0,"",IF(AND($B5453&lt;&gt;"",$C5453&lt;&gt;"",$D5453&lt;&gt;"",$E5453&lt;&gt;""),"TXS"&amp;TEXT(COUNTIFS($B$2:$B5453,"&lt;&gt;",$C$2:$C5453,"&lt;&gt;",$D$2:$D5453,"&lt;&gt;",$E$2:$E5453,"&lt;&gt;"),"00000"),""))</f>
        <v/>
      </c>
      <c r="N5453" s="22"/>
    </row>
    <row r="5454" spans="1:14" x14ac:dyDescent="0.3">
      <c r="A5454" s="15" t="str">
        <f>IF(COUNTA($B5454:$E5454,$K5454)=0,"",IF(AND($B5454&lt;&gt;"",$C5454&lt;&gt;"",$D5454&lt;&gt;"",$E5454&lt;&gt;""),"TXS"&amp;TEXT(COUNTIFS($B$2:$B5454,"&lt;&gt;",$C$2:$C5454,"&lt;&gt;",$D$2:$D5454,"&lt;&gt;",$E$2:$E5454,"&lt;&gt;"),"00000"),""))</f>
        <v/>
      </c>
      <c r="N5454" s="22"/>
    </row>
    <row r="5455" spans="1:14" x14ac:dyDescent="0.3">
      <c r="A5455" s="15" t="str">
        <f>IF(COUNTA($B5455:$E5455,$K5455)=0,"",IF(AND($B5455&lt;&gt;"",$C5455&lt;&gt;"",$D5455&lt;&gt;"",$E5455&lt;&gt;""),"TXS"&amp;TEXT(COUNTIFS($B$2:$B5455,"&lt;&gt;",$C$2:$C5455,"&lt;&gt;",$D$2:$D5455,"&lt;&gt;",$E$2:$E5455,"&lt;&gt;"),"00000"),""))</f>
        <v/>
      </c>
      <c r="N5455" s="22"/>
    </row>
    <row r="5456" spans="1:14" x14ac:dyDescent="0.3">
      <c r="A5456" s="15" t="str">
        <f>IF(COUNTA($B5456:$E5456,$K5456)=0,"",IF(AND($B5456&lt;&gt;"",$C5456&lt;&gt;"",$D5456&lt;&gt;"",$E5456&lt;&gt;""),"TXS"&amp;TEXT(COUNTIFS($B$2:$B5456,"&lt;&gt;",$C$2:$C5456,"&lt;&gt;",$D$2:$D5456,"&lt;&gt;",$E$2:$E5456,"&lt;&gt;"),"00000"),""))</f>
        <v/>
      </c>
      <c r="N5456" s="22"/>
    </row>
    <row r="5457" spans="1:14" x14ac:dyDescent="0.3">
      <c r="A5457" s="15" t="str">
        <f>IF(COUNTA($B5457:$E5457,$K5457)=0,"",IF(AND($B5457&lt;&gt;"",$C5457&lt;&gt;"",$D5457&lt;&gt;"",$E5457&lt;&gt;""),"TXS"&amp;TEXT(COUNTIFS($B$2:$B5457,"&lt;&gt;",$C$2:$C5457,"&lt;&gt;",$D$2:$D5457,"&lt;&gt;",$E$2:$E5457,"&lt;&gt;"),"00000"),""))</f>
        <v/>
      </c>
      <c r="N5457" s="22"/>
    </row>
    <row r="5458" spans="1:14" x14ac:dyDescent="0.3">
      <c r="A5458" s="15" t="str">
        <f>IF(COUNTA($B5458:$E5458,$K5458)=0,"",IF(AND($B5458&lt;&gt;"",$C5458&lt;&gt;"",$D5458&lt;&gt;"",$E5458&lt;&gt;""),"TXS"&amp;TEXT(COUNTIFS($B$2:$B5458,"&lt;&gt;",$C$2:$C5458,"&lt;&gt;",$D$2:$D5458,"&lt;&gt;",$E$2:$E5458,"&lt;&gt;"),"00000"),""))</f>
        <v/>
      </c>
      <c r="N5458" s="22"/>
    </row>
    <row r="5459" spans="1:14" x14ac:dyDescent="0.3">
      <c r="A5459" s="15" t="str">
        <f>IF(COUNTA($B5459:$E5459,$K5459)=0,"",IF(AND($B5459&lt;&gt;"",$C5459&lt;&gt;"",$D5459&lt;&gt;"",$E5459&lt;&gt;""),"TXS"&amp;TEXT(COUNTIFS($B$2:$B5459,"&lt;&gt;",$C$2:$C5459,"&lt;&gt;",$D$2:$D5459,"&lt;&gt;",$E$2:$E5459,"&lt;&gt;"),"00000"),""))</f>
        <v/>
      </c>
      <c r="N5459" s="22"/>
    </row>
    <row r="5460" spans="1:14" x14ac:dyDescent="0.3">
      <c r="A5460" s="15" t="str">
        <f>IF(COUNTA($B5460:$E5460,$K5460)=0,"",IF(AND($B5460&lt;&gt;"",$C5460&lt;&gt;"",$D5460&lt;&gt;"",$E5460&lt;&gt;""),"TXS"&amp;TEXT(COUNTIFS($B$2:$B5460,"&lt;&gt;",$C$2:$C5460,"&lt;&gt;",$D$2:$D5460,"&lt;&gt;",$E$2:$E5460,"&lt;&gt;"),"00000"),""))</f>
        <v/>
      </c>
      <c r="N5460" s="22"/>
    </row>
    <row r="5461" spans="1:14" x14ac:dyDescent="0.3">
      <c r="A5461" s="15" t="str">
        <f>IF(COUNTA($B5461:$E5461,$K5461)=0,"",IF(AND($B5461&lt;&gt;"",$C5461&lt;&gt;"",$D5461&lt;&gt;"",$E5461&lt;&gt;""),"TXS"&amp;TEXT(COUNTIFS($B$2:$B5461,"&lt;&gt;",$C$2:$C5461,"&lt;&gt;",$D$2:$D5461,"&lt;&gt;",$E$2:$E5461,"&lt;&gt;"),"00000"),""))</f>
        <v/>
      </c>
      <c r="N5461" s="22"/>
    </row>
    <row r="5462" spans="1:14" x14ac:dyDescent="0.3">
      <c r="A5462" s="15" t="str">
        <f>IF(COUNTA($B5462:$E5462,$K5462)=0,"",IF(AND($B5462&lt;&gt;"",$C5462&lt;&gt;"",$D5462&lt;&gt;"",$E5462&lt;&gt;""),"TXS"&amp;TEXT(COUNTIFS($B$2:$B5462,"&lt;&gt;",$C$2:$C5462,"&lt;&gt;",$D$2:$D5462,"&lt;&gt;",$E$2:$E5462,"&lt;&gt;"),"00000"),""))</f>
        <v/>
      </c>
      <c r="N5462" s="22"/>
    </row>
    <row r="5463" spans="1:14" x14ac:dyDescent="0.3">
      <c r="A5463" s="15" t="str">
        <f>IF(COUNTA($B5463:$E5463,$K5463)=0,"",IF(AND($B5463&lt;&gt;"",$C5463&lt;&gt;"",$D5463&lt;&gt;"",$E5463&lt;&gt;""),"TXS"&amp;TEXT(COUNTIFS($B$2:$B5463,"&lt;&gt;",$C$2:$C5463,"&lt;&gt;",$D$2:$D5463,"&lt;&gt;",$E$2:$E5463,"&lt;&gt;"),"00000"),""))</f>
        <v/>
      </c>
      <c r="N5463" s="22"/>
    </row>
    <row r="5464" spans="1:14" x14ac:dyDescent="0.3">
      <c r="A5464" s="15" t="str">
        <f>IF(COUNTA($B5464:$E5464,$K5464)=0,"",IF(AND($B5464&lt;&gt;"",$C5464&lt;&gt;"",$D5464&lt;&gt;"",$E5464&lt;&gt;""),"TXS"&amp;TEXT(COUNTIFS($B$2:$B5464,"&lt;&gt;",$C$2:$C5464,"&lt;&gt;",$D$2:$D5464,"&lt;&gt;",$E$2:$E5464,"&lt;&gt;"),"00000"),""))</f>
        <v/>
      </c>
      <c r="N5464" s="22"/>
    </row>
    <row r="5465" spans="1:14" x14ac:dyDescent="0.3">
      <c r="A5465" s="15" t="str">
        <f>IF(COUNTA($B5465:$E5465,$K5465)=0,"",IF(AND($B5465&lt;&gt;"",$C5465&lt;&gt;"",$D5465&lt;&gt;"",$E5465&lt;&gt;""),"TXS"&amp;TEXT(COUNTIFS($B$2:$B5465,"&lt;&gt;",$C$2:$C5465,"&lt;&gt;",$D$2:$D5465,"&lt;&gt;",$E$2:$E5465,"&lt;&gt;"),"00000"),""))</f>
        <v/>
      </c>
      <c r="N5465" s="22"/>
    </row>
    <row r="5466" spans="1:14" x14ac:dyDescent="0.3">
      <c r="A5466" s="15" t="str">
        <f>IF(COUNTA($B5466:$E5466,$K5466)=0,"",IF(AND($B5466&lt;&gt;"",$C5466&lt;&gt;"",$D5466&lt;&gt;"",$E5466&lt;&gt;""),"TXS"&amp;TEXT(COUNTIFS($B$2:$B5466,"&lt;&gt;",$C$2:$C5466,"&lt;&gt;",$D$2:$D5466,"&lt;&gt;",$E$2:$E5466,"&lt;&gt;"),"00000"),""))</f>
        <v/>
      </c>
      <c r="N5466" s="22"/>
    </row>
    <row r="5467" spans="1:14" x14ac:dyDescent="0.3">
      <c r="A5467" s="15" t="str">
        <f>IF(COUNTA($B5467:$E5467,$K5467)=0,"",IF(AND($B5467&lt;&gt;"",$C5467&lt;&gt;"",$D5467&lt;&gt;"",$E5467&lt;&gt;""),"TXS"&amp;TEXT(COUNTIFS($B$2:$B5467,"&lt;&gt;",$C$2:$C5467,"&lt;&gt;",$D$2:$D5467,"&lt;&gt;",$E$2:$E5467,"&lt;&gt;"),"00000"),""))</f>
        <v/>
      </c>
      <c r="N5467" s="22"/>
    </row>
    <row r="5468" spans="1:14" x14ac:dyDescent="0.3">
      <c r="A5468" s="15" t="str">
        <f>IF(COUNTA($B5468:$E5468,$K5468)=0,"",IF(AND($B5468&lt;&gt;"",$C5468&lt;&gt;"",$D5468&lt;&gt;"",$E5468&lt;&gt;""),"TXS"&amp;TEXT(COUNTIFS($B$2:$B5468,"&lt;&gt;",$C$2:$C5468,"&lt;&gt;",$D$2:$D5468,"&lt;&gt;",$E$2:$E5468,"&lt;&gt;"),"00000"),""))</f>
        <v/>
      </c>
      <c r="N5468" s="22"/>
    </row>
    <row r="5469" spans="1:14" x14ac:dyDescent="0.3">
      <c r="A5469" s="15" t="str">
        <f>IF(COUNTA($B5469:$E5469,$K5469)=0,"",IF(AND($B5469&lt;&gt;"",$C5469&lt;&gt;"",$D5469&lt;&gt;"",$E5469&lt;&gt;""),"TXS"&amp;TEXT(COUNTIFS($B$2:$B5469,"&lt;&gt;",$C$2:$C5469,"&lt;&gt;",$D$2:$D5469,"&lt;&gt;",$E$2:$E5469,"&lt;&gt;"),"00000"),""))</f>
        <v/>
      </c>
      <c r="N5469" s="22"/>
    </row>
    <row r="5470" spans="1:14" x14ac:dyDescent="0.3">
      <c r="A5470" s="15" t="str">
        <f>IF(COUNTA($B5470:$E5470,$K5470)=0,"",IF(AND($B5470&lt;&gt;"",$C5470&lt;&gt;"",$D5470&lt;&gt;"",$E5470&lt;&gt;""),"TXS"&amp;TEXT(COUNTIFS($B$2:$B5470,"&lt;&gt;",$C$2:$C5470,"&lt;&gt;",$D$2:$D5470,"&lt;&gt;",$E$2:$E5470,"&lt;&gt;"),"00000"),""))</f>
        <v/>
      </c>
      <c r="N5470" s="22"/>
    </row>
    <row r="5471" spans="1:14" x14ac:dyDescent="0.3">
      <c r="A5471" s="15" t="str">
        <f>IF(COUNTA($B5471:$E5471,$K5471)=0,"",IF(AND($B5471&lt;&gt;"",$C5471&lt;&gt;"",$D5471&lt;&gt;"",$E5471&lt;&gt;""),"TXS"&amp;TEXT(COUNTIFS($B$2:$B5471,"&lt;&gt;",$C$2:$C5471,"&lt;&gt;",$D$2:$D5471,"&lt;&gt;",$E$2:$E5471,"&lt;&gt;"),"00000"),""))</f>
        <v/>
      </c>
      <c r="N5471" s="22"/>
    </row>
    <row r="5472" spans="1:14" x14ac:dyDescent="0.3">
      <c r="A5472" s="15" t="str">
        <f>IF(COUNTA($B5472:$E5472,$K5472)=0,"",IF(AND($B5472&lt;&gt;"",$C5472&lt;&gt;"",$D5472&lt;&gt;"",$E5472&lt;&gt;""),"TXS"&amp;TEXT(COUNTIFS($B$2:$B5472,"&lt;&gt;",$C$2:$C5472,"&lt;&gt;",$D$2:$D5472,"&lt;&gt;",$E$2:$E5472,"&lt;&gt;"),"00000"),""))</f>
        <v/>
      </c>
      <c r="N5472" s="22"/>
    </row>
    <row r="5473" spans="1:14" x14ac:dyDescent="0.3">
      <c r="A5473" s="15" t="str">
        <f>IF(COUNTA($B5473:$E5473,$K5473)=0,"",IF(AND($B5473&lt;&gt;"",$C5473&lt;&gt;"",$D5473&lt;&gt;"",$E5473&lt;&gt;""),"TXS"&amp;TEXT(COUNTIFS($B$2:$B5473,"&lt;&gt;",$C$2:$C5473,"&lt;&gt;",$D$2:$D5473,"&lt;&gt;",$E$2:$E5473,"&lt;&gt;"),"00000"),""))</f>
        <v/>
      </c>
      <c r="N5473" s="22"/>
    </row>
    <row r="5474" spans="1:14" x14ac:dyDescent="0.3">
      <c r="A5474" s="15" t="str">
        <f>IF(COUNTA($B5474:$E5474,$K5474)=0,"",IF(AND($B5474&lt;&gt;"",$C5474&lt;&gt;"",$D5474&lt;&gt;"",$E5474&lt;&gt;""),"TXS"&amp;TEXT(COUNTIFS($B$2:$B5474,"&lt;&gt;",$C$2:$C5474,"&lt;&gt;",$D$2:$D5474,"&lt;&gt;",$E$2:$E5474,"&lt;&gt;"),"00000"),""))</f>
        <v/>
      </c>
      <c r="N5474" s="22"/>
    </row>
    <row r="5475" spans="1:14" x14ac:dyDescent="0.3">
      <c r="A5475" s="15" t="str">
        <f>IF(COUNTA($B5475:$E5475,$K5475)=0,"",IF(AND($B5475&lt;&gt;"",$C5475&lt;&gt;"",$D5475&lt;&gt;"",$E5475&lt;&gt;""),"TXS"&amp;TEXT(COUNTIFS($B$2:$B5475,"&lt;&gt;",$C$2:$C5475,"&lt;&gt;",$D$2:$D5475,"&lt;&gt;",$E$2:$E5475,"&lt;&gt;"),"00000"),""))</f>
        <v/>
      </c>
      <c r="N5475" s="22"/>
    </row>
    <row r="5476" spans="1:14" x14ac:dyDescent="0.3">
      <c r="A5476" s="15" t="str">
        <f>IF(COUNTA($B5476:$E5476,$K5476)=0,"",IF(AND($B5476&lt;&gt;"",$C5476&lt;&gt;"",$D5476&lt;&gt;"",$E5476&lt;&gt;""),"TXS"&amp;TEXT(COUNTIFS($B$2:$B5476,"&lt;&gt;",$C$2:$C5476,"&lt;&gt;",$D$2:$D5476,"&lt;&gt;",$E$2:$E5476,"&lt;&gt;"),"00000"),""))</f>
        <v/>
      </c>
      <c r="N5476" s="22"/>
    </row>
    <row r="5477" spans="1:14" x14ac:dyDescent="0.3">
      <c r="A5477" s="15" t="str">
        <f>IF(COUNTA($B5477:$E5477,$K5477)=0,"",IF(AND($B5477&lt;&gt;"",$C5477&lt;&gt;"",$D5477&lt;&gt;"",$E5477&lt;&gt;""),"TXS"&amp;TEXT(COUNTIFS($B$2:$B5477,"&lt;&gt;",$C$2:$C5477,"&lt;&gt;",$D$2:$D5477,"&lt;&gt;",$E$2:$E5477,"&lt;&gt;"),"00000"),""))</f>
        <v/>
      </c>
      <c r="N5477" s="22"/>
    </row>
    <row r="5478" spans="1:14" x14ac:dyDescent="0.3">
      <c r="A5478" s="15" t="str">
        <f>IF(COUNTA($B5478:$E5478,$K5478)=0,"",IF(AND($B5478&lt;&gt;"",$C5478&lt;&gt;"",$D5478&lt;&gt;"",$E5478&lt;&gt;""),"TXS"&amp;TEXT(COUNTIFS($B$2:$B5478,"&lt;&gt;",$C$2:$C5478,"&lt;&gt;",$D$2:$D5478,"&lt;&gt;",$E$2:$E5478,"&lt;&gt;"),"00000"),""))</f>
        <v/>
      </c>
      <c r="N5478" s="22"/>
    </row>
    <row r="5479" spans="1:14" x14ac:dyDescent="0.3">
      <c r="A5479" s="15" t="str">
        <f>IF(COUNTA($B5479:$E5479,$K5479)=0,"",IF(AND($B5479&lt;&gt;"",$C5479&lt;&gt;"",$D5479&lt;&gt;"",$E5479&lt;&gt;""),"TXS"&amp;TEXT(COUNTIFS($B$2:$B5479,"&lt;&gt;",$C$2:$C5479,"&lt;&gt;",$D$2:$D5479,"&lt;&gt;",$E$2:$E5479,"&lt;&gt;"),"00000"),""))</f>
        <v/>
      </c>
      <c r="N5479" s="22"/>
    </row>
    <row r="5480" spans="1:14" x14ac:dyDescent="0.3">
      <c r="A5480" s="15" t="str">
        <f>IF(COUNTA($B5480:$E5480,$K5480)=0,"",IF(AND($B5480&lt;&gt;"",$C5480&lt;&gt;"",$D5480&lt;&gt;"",$E5480&lt;&gt;""),"TXS"&amp;TEXT(COUNTIFS($B$2:$B5480,"&lt;&gt;",$C$2:$C5480,"&lt;&gt;",$D$2:$D5480,"&lt;&gt;",$E$2:$E5480,"&lt;&gt;"),"00000"),""))</f>
        <v/>
      </c>
      <c r="N5480" s="22"/>
    </row>
    <row r="5481" spans="1:14" x14ac:dyDescent="0.3">
      <c r="A5481" s="15" t="str">
        <f>IF(COUNTA($B5481:$E5481,$K5481)=0,"",IF(AND($B5481&lt;&gt;"",$C5481&lt;&gt;"",$D5481&lt;&gt;"",$E5481&lt;&gt;""),"TXS"&amp;TEXT(COUNTIFS($B$2:$B5481,"&lt;&gt;",$C$2:$C5481,"&lt;&gt;",$D$2:$D5481,"&lt;&gt;",$E$2:$E5481,"&lt;&gt;"),"00000"),""))</f>
        <v/>
      </c>
      <c r="N5481" s="22"/>
    </row>
    <row r="5482" spans="1:14" x14ac:dyDescent="0.3">
      <c r="A5482" s="15" t="str">
        <f>IF(COUNTA($B5482:$E5482,$K5482)=0,"",IF(AND($B5482&lt;&gt;"",$C5482&lt;&gt;"",$D5482&lt;&gt;"",$E5482&lt;&gt;""),"TXS"&amp;TEXT(COUNTIFS($B$2:$B5482,"&lt;&gt;",$C$2:$C5482,"&lt;&gt;",$D$2:$D5482,"&lt;&gt;",$E$2:$E5482,"&lt;&gt;"),"00000"),""))</f>
        <v/>
      </c>
      <c r="N5482" s="22"/>
    </row>
    <row r="5483" spans="1:14" x14ac:dyDescent="0.3">
      <c r="A5483" s="15" t="str">
        <f>IF(COUNTA($B5483:$E5483,$K5483)=0,"",IF(AND($B5483&lt;&gt;"",$C5483&lt;&gt;"",$D5483&lt;&gt;"",$E5483&lt;&gt;""),"TXS"&amp;TEXT(COUNTIFS($B$2:$B5483,"&lt;&gt;",$C$2:$C5483,"&lt;&gt;",$D$2:$D5483,"&lt;&gt;",$E$2:$E5483,"&lt;&gt;"),"00000"),""))</f>
        <v/>
      </c>
      <c r="N5483" s="22"/>
    </row>
    <row r="5484" spans="1:14" x14ac:dyDescent="0.3">
      <c r="A5484" s="15" t="str">
        <f>IF(COUNTA($B5484:$E5484,$K5484)=0,"",IF(AND($B5484&lt;&gt;"",$C5484&lt;&gt;"",$D5484&lt;&gt;"",$E5484&lt;&gt;""),"TXS"&amp;TEXT(COUNTIFS($B$2:$B5484,"&lt;&gt;",$C$2:$C5484,"&lt;&gt;",$D$2:$D5484,"&lt;&gt;",$E$2:$E5484,"&lt;&gt;"),"00000"),""))</f>
        <v/>
      </c>
      <c r="N5484" s="22"/>
    </row>
    <row r="5485" spans="1:14" x14ac:dyDescent="0.3">
      <c r="A5485" s="15" t="str">
        <f>IF(COUNTA($B5485:$E5485,$K5485)=0,"",IF(AND($B5485&lt;&gt;"",$C5485&lt;&gt;"",$D5485&lt;&gt;"",$E5485&lt;&gt;""),"TXS"&amp;TEXT(COUNTIFS($B$2:$B5485,"&lt;&gt;",$C$2:$C5485,"&lt;&gt;",$D$2:$D5485,"&lt;&gt;",$E$2:$E5485,"&lt;&gt;"),"00000"),""))</f>
        <v/>
      </c>
      <c r="N5485" s="22"/>
    </row>
    <row r="5486" spans="1:14" x14ac:dyDescent="0.3">
      <c r="A5486" s="15" t="str">
        <f>IF(COUNTA($B5486:$E5486,$K5486)=0,"",IF(AND($B5486&lt;&gt;"",$C5486&lt;&gt;"",$D5486&lt;&gt;"",$E5486&lt;&gt;""),"TXS"&amp;TEXT(COUNTIFS($B$2:$B5486,"&lt;&gt;",$C$2:$C5486,"&lt;&gt;",$D$2:$D5486,"&lt;&gt;",$E$2:$E5486,"&lt;&gt;"),"00000"),""))</f>
        <v/>
      </c>
      <c r="N5486" s="22"/>
    </row>
    <row r="5487" spans="1:14" x14ac:dyDescent="0.3">
      <c r="A5487" s="15" t="str">
        <f>IF(COUNTA($B5487:$E5487,$K5487)=0,"",IF(AND($B5487&lt;&gt;"",$C5487&lt;&gt;"",$D5487&lt;&gt;"",$E5487&lt;&gt;""),"TXS"&amp;TEXT(COUNTIFS($B$2:$B5487,"&lt;&gt;",$C$2:$C5487,"&lt;&gt;",$D$2:$D5487,"&lt;&gt;",$E$2:$E5487,"&lt;&gt;"),"00000"),""))</f>
        <v/>
      </c>
      <c r="N5487" s="22"/>
    </row>
    <row r="5488" spans="1:14" x14ac:dyDescent="0.3">
      <c r="A5488" s="15" t="str">
        <f>IF(COUNTA($B5488:$E5488,$K5488)=0,"",IF(AND($B5488&lt;&gt;"",$C5488&lt;&gt;"",$D5488&lt;&gt;"",$E5488&lt;&gt;""),"TXS"&amp;TEXT(COUNTIFS($B$2:$B5488,"&lt;&gt;",$C$2:$C5488,"&lt;&gt;",$D$2:$D5488,"&lt;&gt;",$E$2:$E5488,"&lt;&gt;"),"00000"),""))</f>
        <v/>
      </c>
      <c r="N5488" s="22"/>
    </row>
    <row r="5489" spans="1:14" x14ac:dyDescent="0.3">
      <c r="A5489" s="15" t="str">
        <f>IF(COUNTA($B5489:$E5489,$K5489)=0,"",IF(AND($B5489&lt;&gt;"",$C5489&lt;&gt;"",$D5489&lt;&gt;"",$E5489&lt;&gt;""),"TXS"&amp;TEXT(COUNTIFS($B$2:$B5489,"&lt;&gt;",$C$2:$C5489,"&lt;&gt;",$D$2:$D5489,"&lt;&gt;",$E$2:$E5489,"&lt;&gt;"),"00000"),""))</f>
        <v/>
      </c>
      <c r="N5489" s="22"/>
    </row>
    <row r="5490" spans="1:14" x14ac:dyDescent="0.3">
      <c r="A5490" s="15" t="str">
        <f>IF(COUNTA($B5490:$E5490,$K5490)=0,"",IF(AND($B5490&lt;&gt;"",$C5490&lt;&gt;"",$D5490&lt;&gt;"",$E5490&lt;&gt;""),"TXS"&amp;TEXT(COUNTIFS($B$2:$B5490,"&lt;&gt;",$C$2:$C5490,"&lt;&gt;",$D$2:$D5490,"&lt;&gt;",$E$2:$E5490,"&lt;&gt;"),"00000"),""))</f>
        <v/>
      </c>
      <c r="N5490" s="22"/>
    </row>
    <row r="5491" spans="1:14" x14ac:dyDescent="0.3">
      <c r="A5491" s="15" t="str">
        <f>IF(COUNTA($B5491:$E5491,$K5491)=0,"",IF(AND($B5491&lt;&gt;"",$C5491&lt;&gt;"",$D5491&lt;&gt;"",$E5491&lt;&gt;""),"TXS"&amp;TEXT(COUNTIFS($B$2:$B5491,"&lt;&gt;",$C$2:$C5491,"&lt;&gt;",$D$2:$D5491,"&lt;&gt;",$E$2:$E5491,"&lt;&gt;"),"00000"),""))</f>
        <v/>
      </c>
      <c r="N5491" s="22"/>
    </row>
    <row r="5492" spans="1:14" x14ac:dyDescent="0.3">
      <c r="A5492" s="15" t="str">
        <f>IF(COUNTA($B5492:$E5492,$K5492)=0,"",IF(AND($B5492&lt;&gt;"",$C5492&lt;&gt;"",$D5492&lt;&gt;"",$E5492&lt;&gt;""),"TXS"&amp;TEXT(COUNTIFS($B$2:$B5492,"&lt;&gt;",$C$2:$C5492,"&lt;&gt;",$D$2:$D5492,"&lt;&gt;",$E$2:$E5492,"&lt;&gt;"),"00000"),""))</f>
        <v/>
      </c>
      <c r="N5492" s="22"/>
    </row>
    <row r="5493" spans="1:14" x14ac:dyDescent="0.3">
      <c r="A5493" s="15" t="str">
        <f>IF(COUNTA($B5493:$E5493,$K5493)=0,"",IF(AND($B5493&lt;&gt;"",$C5493&lt;&gt;"",$D5493&lt;&gt;"",$E5493&lt;&gt;""),"TXS"&amp;TEXT(COUNTIFS($B$2:$B5493,"&lt;&gt;",$C$2:$C5493,"&lt;&gt;",$D$2:$D5493,"&lt;&gt;",$E$2:$E5493,"&lt;&gt;"),"00000"),""))</f>
        <v/>
      </c>
      <c r="N5493" s="22"/>
    </row>
    <row r="5494" spans="1:14" x14ac:dyDescent="0.3">
      <c r="A5494" s="15" t="str">
        <f>IF(COUNTA($B5494:$E5494,$K5494)=0,"",IF(AND($B5494&lt;&gt;"",$C5494&lt;&gt;"",$D5494&lt;&gt;"",$E5494&lt;&gt;""),"TXS"&amp;TEXT(COUNTIFS($B$2:$B5494,"&lt;&gt;",$C$2:$C5494,"&lt;&gt;",$D$2:$D5494,"&lt;&gt;",$E$2:$E5494,"&lt;&gt;"),"00000"),""))</f>
        <v/>
      </c>
      <c r="N5494" s="22"/>
    </row>
    <row r="5495" spans="1:14" x14ac:dyDescent="0.3">
      <c r="A5495" s="15" t="str">
        <f>IF(COUNTA($B5495:$E5495,$K5495)=0,"",IF(AND($B5495&lt;&gt;"",$C5495&lt;&gt;"",$D5495&lt;&gt;"",$E5495&lt;&gt;""),"TXS"&amp;TEXT(COUNTIFS($B$2:$B5495,"&lt;&gt;",$C$2:$C5495,"&lt;&gt;",$D$2:$D5495,"&lt;&gt;",$E$2:$E5495,"&lt;&gt;"),"00000"),""))</f>
        <v/>
      </c>
      <c r="N5495" s="22"/>
    </row>
    <row r="5496" spans="1:14" x14ac:dyDescent="0.3">
      <c r="A5496" s="15" t="str">
        <f>IF(COUNTA($B5496:$E5496,$K5496)=0,"",IF(AND($B5496&lt;&gt;"",$C5496&lt;&gt;"",$D5496&lt;&gt;"",$E5496&lt;&gt;""),"TXS"&amp;TEXT(COUNTIFS($B$2:$B5496,"&lt;&gt;",$C$2:$C5496,"&lt;&gt;",$D$2:$D5496,"&lt;&gt;",$E$2:$E5496,"&lt;&gt;"),"00000"),""))</f>
        <v/>
      </c>
      <c r="N5496" s="22"/>
    </row>
    <row r="5497" spans="1:14" x14ac:dyDescent="0.3">
      <c r="A5497" s="15" t="str">
        <f>IF(COUNTA($B5497:$E5497,$K5497)=0,"",IF(AND($B5497&lt;&gt;"",$C5497&lt;&gt;"",$D5497&lt;&gt;"",$E5497&lt;&gt;""),"TXS"&amp;TEXT(COUNTIFS($B$2:$B5497,"&lt;&gt;",$C$2:$C5497,"&lt;&gt;",$D$2:$D5497,"&lt;&gt;",$E$2:$E5497,"&lt;&gt;"),"00000"),""))</f>
        <v/>
      </c>
      <c r="N5497" s="22"/>
    </row>
    <row r="5498" spans="1:14" x14ac:dyDescent="0.3">
      <c r="A5498" s="15" t="str">
        <f>IF(COUNTA($B5498:$E5498,$K5498)=0,"",IF(AND($B5498&lt;&gt;"",$C5498&lt;&gt;"",$D5498&lt;&gt;"",$E5498&lt;&gt;""),"TXS"&amp;TEXT(COUNTIFS($B$2:$B5498,"&lt;&gt;",$C$2:$C5498,"&lt;&gt;",$D$2:$D5498,"&lt;&gt;",$E$2:$E5498,"&lt;&gt;"),"00000"),""))</f>
        <v/>
      </c>
      <c r="N5498" s="22"/>
    </row>
    <row r="5499" spans="1:14" x14ac:dyDescent="0.3">
      <c r="A5499" s="15" t="str">
        <f>IF(COUNTA($B5499:$E5499,$K5499)=0,"",IF(AND($B5499&lt;&gt;"",$C5499&lt;&gt;"",$D5499&lt;&gt;"",$E5499&lt;&gt;""),"TXS"&amp;TEXT(COUNTIFS($B$2:$B5499,"&lt;&gt;",$C$2:$C5499,"&lt;&gt;",$D$2:$D5499,"&lt;&gt;",$E$2:$E5499,"&lt;&gt;"),"00000"),""))</f>
        <v/>
      </c>
      <c r="N5499" s="22"/>
    </row>
    <row r="5500" spans="1:14" x14ac:dyDescent="0.3">
      <c r="A5500" s="15" t="str">
        <f>IF(COUNTA($B5500:$E5500,$K5500)=0,"",IF(AND($B5500&lt;&gt;"",$C5500&lt;&gt;"",$D5500&lt;&gt;"",$E5500&lt;&gt;""),"TXS"&amp;TEXT(COUNTIFS($B$2:$B5500,"&lt;&gt;",$C$2:$C5500,"&lt;&gt;",$D$2:$D5500,"&lt;&gt;",$E$2:$E5500,"&lt;&gt;"),"00000"),""))</f>
        <v/>
      </c>
      <c r="N5500" s="22"/>
    </row>
    <row r="5501" spans="1:14" x14ac:dyDescent="0.3">
      <c r="A5501" s="15" t="str">
        <f>IF(COUNTA($B5501:$E5501,$K5501)=0,"",IF(AND($B5501&lt;&gt;"",$C5501&lt;&gt;"",$D5501&lt;&gt;"",$E5501&lt;&gt;""),"TXS"&amp;TEXT(COUNTIFS($B$2:$B5501,"&lt;&gt;",$C$2:$C5501,"&lt;&gt;",$D$2:$D5501,"&lt;&gt;",$E$2:$E5501,"&lt;&gt;"),"00000"),""))</f>
        <v/>
      </c>
      <c r="N5501" s="22"/>
    </row>
    <row r="5502" spans="1:14" x14ac:dyDescent="0.3">
      <c r="A5502" s="15" t="str">
        <f>IF(COUNTA($B5502:$E5502,$K5502)=0,"",IF(AND($B5502&lt;&gt;"",$C5502&lt;&gt;"",$D5502&lt;&gt;"",$E5502&lt;&gt;""),"TXS"&amp;TEXT(COUNTIFS($B$2:$B5502,"&lt;&gt;",$C$2:$C5502,"&lt;&gt;",$D$2:$D5502,"&lt;&gt;",$E$2:$E5502,"&lt;&gt;"),"00000"),""))</f>
        <v/>
      </c>
      <c r="N5502" s="22"/>
    </row>
    <row r="5503" spans="1:14" x14ac:dyDescent="0.3">
      <c r="A5503" s="15" t="str">
        <f>IF(COUNTA($B5503:$E5503,$K5503)=0,"",IF(AND($B5503&lt;&gt;"",$C5503&lt;&gt;"",$D5503&lt;&gt;"",$E5503&lt;&gt;""),"TXS"&amp;TEXT(COUNTIFS($B$2:$B5503,"&lt;&gt;",$C$2:$C5503,"&lt;&gt;",$D$2:$D5503,"&lt;&gt;",$E$2:$E5503,"&lt;&gt;"),"00000"),""))</f>
        <v/>
      </c>
      <c r="N5503" s="22"/>
    </row>
    <row r="5504" spans="1:14" x14ac:dyDescent="0.3">
      <c r="A5504" s="15" t="str">
        <f>IF(COUNTA($B5504:$E5504,$K5504)=0,"",IF(AND($B5504&lt;&gt;"",$C5504&lt;&gt;"",$D5504&lt;&gt;"",$E5504&lt;&gt;""),"TXS"&amp;TEXT(COUNTIFS($B$2:$B5504,"&lt;&gt;",$C$2:$C5504,"&lt;&gt;",$D$2:$D5504,"&lt;&gt;",$E$2:$E5504,"&lt;&gt;"),"00000"),""))</f>
        <v/>
      </c>
      <c r="N5504" s="22"/>
    </row>
    <row r="5505" spans="1:14" x14ac:dyDescent="0.3">
      <c r="A5505" s="15" t="str">
        <f>IF(COUNTA($B5505:$E5505,$K5505)=0,"",IF(AND($B5505&lt;&gt;"",$C5505&lt;&gt;"",$D5505&lt;&gt;"",$E5505&lt;&gt;""),"TXS"&amp;TEXT(COUNTIFS($B$2:$B5505,"&lt;&gt;",$C$2:$C5505,"&lt;&gt;",$D$2:$D5505,"&lt;&gt;",$E$2:$E5505,"&lt;&gt;"),"00000"),""))</f>
        <v/>
      </c>
      <c r="N5505" s="22"/>
    </row>
    <row r="5506" spans="1:14" x14ac:dyDescent="0.3">
      <c r="A5506" s="15" t="str">
        <f>IF(COUNTA($B5506:$E5506,$K5506)=0,"",IF(AND($B5506&lt;&gt;"",$C5506&lt;&gt;"",$D5506&lt;&gt;"",$E5506&lt;&gt;""),"TXS"&amp;TEXT(COUNTIFS($B$2:$B5506,"&lt;&gt;",$C$2:$C5506,"&lt;&gt;",$D$2:$D5506,"&lt;&gt;",$E$2:$E5506,"&lt;&gt;"),"00000"),""))</f>
        <v/>
      </c>
      <c r="N5506" s="22"/>
    </row>
    <row r="5507" spans="1:14" x14ac:dyDescent="0.3">
      <c r="A5507" s="15" t="str">
        <f>IF(COUNTA($B5507:$E5507,$K5507)=0,"",IF(AND($B5507&lt;&gt;"",$C5507&lt;&gt;"",$D5507&lt;&gt;"",$E5507&lt;&gt;""),"TXS"&amp;TEXT(COUNTIFS($B$2:$B5507,"&lt;&gt;",$C$2:$C5507,"&lt;&gt;",$D$2:$D5507,"&lt;&gt;",$E$2:$E5507,"&lt;&gt;"),"00000"),""))</f>
        <v/>
      </c>
      <c r="N5507" s="22"/>
    </row>
    <row r="5508" spans="1:14" x14ac:dyDescent="0.3">
      <c r="A5508" s="15" t="str">
        <f>IF(COUNTA($B5508:$E5508,$K5508)=0,"",IF(AND($B5508&lt;&gt;"",$C5508&lt;&gt;"",$D5508&lt;&gt;"",$E5508&lt;&gt;""),"TXS"&amp;TEXT(COUNTIFS($B$2:$B5508,"&lt;&gt;",$C$2:$C5508,"&lt;&gt;",$D$2:$D5508,"&lt;&gt;",$E$2:$E5508,"&lt;&gt;"),"00000"),""))</f>
        <v/>
      </c>
      <c r="N5508" s="22"/>
    </row>
    <row r="5509" spans="1:14" x14ac:dyDescent="0.3">
      <c r="A5509" s="15" t="str">
        <f>IF(COUNTA($B5509:$E5509,$K5509)=0,"",IF(AND($B5509&lt;&gt;"",$C5509&lt;&gt;"",$D5509&lt;&gt;"",$E5509&lt;&gt;""),"TXS"&amp;TEXT(COUNTIFS($B$2:$B5509,"&lt;&gt;",$C$2:$C5509,"&lt;&gt;",$D$2:$D5509,"&lt;&gt;",$E$2:$E5509,"&lt;&gt;"),"00000"),""))</f>
        <v/>
      </c>
      <c r="N5509" s="22"/>
    </row>
    <row r="5510" spans="1:14" x14ac:dyDescent="0.3">
      <c r="A5510" s="15" t="str">
        <f>IF(COUNTA($B5510:$E5510,$K5510)=0,"",IF(AND($B5510&lt;&gt;"",$C5510&lt;&gt;"",$D5510&lt;&gt;"",$E5510&lt;&gt;""),"TXS"&amp;TEXT(COUNTIFS($B$2:$B5510,"&lt;&gt;",$C$2:$C5510,"&lt;&gt;",$D$2:$D5510,"&lt;&gt;",$E$2:$E5510,"&lt;&gt;"),"00000"),""))</f>
        <v/>
      </c>
      <c r="N5510" s="22"/>
    </row>
    <row r="5511" spans="1:14" x14ac:dyDescent="0.3">
      <c r="A5511" s="15" t="str">
        <f>IF(COUNTA($B5511:$E5511,$K5511)=0,"",IF(AND($B5511&lt;&gt;"",$C5511&lt;&gt;"",$D5511&lt;&gt;"",$E5511&lt;&gt;""),"TXS"&amp;TEXT(COUNTIFS($B$2:$B5511,"&lt;&gt;",$C$2:$C5511,"&lt;&gt;",$D$2:$D5511,"&lt;&gt;",$E$2:$E5511,"&lt;&gt;"),"00000"),""))</f>
        <v/>
      </c>
      <c r="N5511" s="22"/>
    </row>
    <row r="5512" spans="1:14" x14ac:dyDescent="0.3">
      <c r="A5512" s="15" t="str">
        <f>IF(COUNTA($B5512:$E5512,$K5512)=0,"",IF(AND($B5512&lt;&gt;"",$C5512&lt;&gt;"",$D5512&lt;&gt;"",$E5512&lt;&gt;""),"TXS"&amp;TEXT(COUNTIFS($B$2:$B5512,"&lt;&gt;",$C$2:$C5512,"&lt;&gt;",$D$2:$D5512,"&lt;&gt;",$E$2:$E5512,"&lt;&gt;"),"00000"),""))</f>
        <v/>
      </c>
      <c r="N5512" s="22"/>
    </row>
    <row r="5513" spans="1:14" x14ac:dyDescent="0.3">
      <c r="A5513" s="15" t="str">
        <f>IF(COUNTA($B5513:$E5513,$K5513)=0,"",IF(AND($B5513&lt;&gt;"",$C5513&lt;&gt;"",$D5513&lt;&gt;"",$E5513&lt;&gt;""),"TXS"&amp;TEXT(COUNTIFS($B$2:$B5513,"&lt;&gt;",$C$2:$C5513,"&lt;&gt;",$D$2:$D5513,"&lt;&gt;",$E$2:$E5513,"&lt;&gt;"),"00000"),""))</f>
        <v/>
      </c>
      <c r="N5513" s="22"/>
    </row>
    <row r="5514" spans="1:14" x14ac:dyDescent="0.3">
      <c r="A5514" s="15" t="str">
        <f>IF(COUNTA($B5514:$E5514,$K5514)=0,"",IF(AND($B5514&lt;&gt;"",$C5514&lt;&gt;"",$D5514&lt;&gt;"",$E5514&lt;&gt;""),"TXS"&amp;TEXT(COUNTIFS($B$2:$B5514,"&lt;&gt;",$C$2:$C5514,"&lt;&gt;",$D$2:$D5514,"&lt;&gt;",$E$2:$E5514,"&lt;&gt;"),"00000"),""))</f>
        <v/>
      </c>
      <c r="N5514" s="22"/>
    </row>
    <row r="5515" spans="1:14" x14ac:dyDescent="0.3">
      <c r="A5515" s="15" t="str">
        <f>IF(COUNTA($B5515:$E5515,$K5515)=0,"",IF(AND($B5515&lt;&gt;"",$C5515&lt;&gt;"",$D5515&lt;&gt;"",$E5515&lt;&gt;""),"TXS"&amp;TEXT(COUNTIFS($B$2:$B5515,"&lt;&gt;",$C$2:$C5515,"&lt;&gt;",$D$2:$D5515,"&lt;&gt;",$E$2:$E5515,"&lt;&gt;"),"00000"),""))</f>
        <v/>
      </c>
      <c r="N5515" s="22"/>
    </row>
    <row r="5516" spans="1:14" x14ac:dyDescent="0.3">
      <c r="A5516" s="15" t="str">
        <f>IF(COUNTA($B5516:$E5516,$K5516)=0,"",IF(AND($B5516&lt;&gt;"",$C5516&lt;&gt;"",$D5516&lt;&gt;"",$E5516&lt;&gt;""),"TXS"&amp;TEXT(COUNTIFS($B$2:$B5516,"&lt;&gt;",$C$2:$C5516,"&lt;&gt;",$D$2:$D5516,"&lt;&gt;",$E$2:$E5516,"&lt;&gt;"),"00000"),""))</f>
        <v/>
      </c>
      <c r="N5516" s="22"/>
    </row>
    <row r="5517" spans="1:14" x14ac:dyDescent="0.3">
      <c r="A5517" s="15" t="str">
        <f>IF(COUNTA($B5517:$E5517,$K5517)=0,"",IF(AND($B5517&lt;&gt;"",$C5517&lt;&gt;"",$D5517&lt;&gt;"",$E5517&lt;&gt;""),"TXS"&amp;TEXT(COUNTIFS($B$2:$B5517,"&lt;&gt;",$C$2:$C5517,"&lt;&gt;",$D$2:$D5517,"&lt;&gt;",$E$2:$E5517,"&lt;&gt;"),"00000"),""))</f>
        <v/>
      </c>
      <c r="N5517" s="22"/>
    </row>
    <row r="5518" spans="1:14" x14ac:dyDescent="0.3">
      <c r="A5518" s="15" t="str">
        <f>IF(COUNTA($B5518:$E5518,$K5518)=0,"",IF(AND($B5518&lt;&gt;"",$C5518&lt;&gt;"",$D5518&lt;&gt;"",$E5518&lt;&gt;""),"TXS"&amp;TEXT(COUNTIFS($B$2:$B5518,"&lt;&gt;",$C$2:$C5518,"&lt;&gt;",$D$2:$D5518,"&lt;&gt;",$E$2:$E5518,"&lt;&gt;"),"00000"),""))</f>
        <v/>
      </c>
      <c r="N5518" s="22"/>
    </row>
    <row r="5519" spans="1:14" x14ac:dyDescent="0.3">
      <c r="A5519" s="15" t="str">
        <f>IF(COUNTA($B5519:$E5519,$K5519)=0,"",IF(AND($B5519&lt;&gt;"",$C5519&lt;&gt;"",$D5519&lt;&gt;"",$E5519&lt;&gt;""),"TXS"&amp;TEXT(COUNTIFS($B$2:$B5519,"&lt;&gt;",$C$2:$C5519,"&lt;&gt;",$D$2:$D5519,"&lt;&gt;",$E$2:$E5519,"&lt;&gt;"),"00000"),""))</f>
        <v/>
      </c>
      <c r="N5519" s="22"/>
    </row>
    <row r="5520" spans="1:14" x14ac:dyDescent="0.3">
      <c r="A5520" s="15" t="str">
        <f>IF(COUNTA($B5520:$E5520,$K5520)=0,"",IF(AND($B5520&lt;&gt;"",$C5520&lt;&gt;"",$D5520&lt;&gt;"",$E5520&lt;&gt;""),"TXS"&amp;TEXT(COUNTIFS($B$2:$B5520,"&lt;&gt;",$C$2:$C5520,"&lt;&gt;",$D$2:$D5520,"&lt;&gt;",$E$2:$E5520,"&lt;&gt;"),"00000"),""))</f>
        <v/>
      </c>
      <c r="N5520" s="22"/>
    </row>
    <row r="5521" spans="1:14" x14ac:dyDescent="0.3">
      <c r="A5521" s="15" t="str">
        <f>IF(COUNTA($B5521:$E5521,$K5521)=0,"",IF(AND($B5521&lt;&gt;"",$C5521&lt;&gt;"",$D5521&lt;&gt;"",$E5521&lt;&gt;""),"TXS"&amp;TEXT(COUNTIFS($B$2:$B5521,"&lt;&gt;",$C$2:$C5521,"&lt;&gt;",$D$2:$D5521,"&lt;&gt;",$E$2:$E5521,"&lt;&gt;"),"00000"),""))</f>
        <v/>
      </c>
      <c r="N5521" s="22"/>
    </row>
    <row r="5522" spans="1:14" x14ac:dyDescent="0.3">
      <c r="A5522" s="15" t="str">
        <f>IF(COUNTA($B5522:$E5522,$K5522)=0,"",IF(AND($B5522&lt;&gt;"",$C5522&lt;&gt;"",$D5522&lt;&gt;"",$E5522&lt;&gt;""),"TXS"&amp;TEXT(COUNTIFS($B$2:$B5522,"&lt;&gt;",$C$2:$C5522,"&lt;&gt;",$D$2:$D5522,"&lt;&gt;",$E$2:$E5522,"&lt;&gt;"),"00000"),""))</f>
        <v/>
      </c>
      <c r="N5522" s="22"/>
    </row>
    <row r="5523" spans="1:14" x14ac:dyDescent="0.3">
      <c r="A5523" s="15" t="str">
        <f>IF(COUNTA($B5523:$E5523,$K5523)=0,"",IF(AND($B5523&lt;&gt;"",$C5523&lt;&gt;"",$D5523&lt;&gt;"",$E5523&lt;&gt;""),"TXS"&amp;TEXT(COUNTIFS($B$2:$B5523,"&lt;&gt;",$C$2:$C5523,"&lt;&gt;",$D$2:$D5523,"&lt;&gt;",$E$2:$E5523,"&lt;&gt;"),"00000"),""))</f>
        <v/>
      </c>
      <c r="N5523" s="22"/>
    </row>
    <row r="5524" spans="1:14" x14ac:dyDescent="0.3">
      <c r="A5524" s="15" t="str">
        <f>IF(COUNTA($B5524:$E5524,$K5524)=0,"",IF(AND($B5524&lt;&gt;"",$C5524&lt;&gt;"",$D5524&lt;&gt;"",$E5524&lt;&gt;""),"TXS"&amp;TEXT(COUNTIFS($B$2:$B5524,"&lt;&gt;",$C$2:$C5524,"&lt;&gt;",$D$2:$D5524,"&lt;&gt;",$E$2:$E5524,"&lt;&gt;"),"00000"),""))</f>
        <v/>
      </c>
      <c r="N5524" s="22"/>
    </row>
    <row r="5525" spans="1:14" x14ac:dyDescent="0.3">
      <c r="A5525" s="15" t="str">
        <f>IF(COUNTA($B5525:$E5525,$K5525)=0,"",IF(AND($B5525&lt;&gt;"",$C5525&lt;&gt;"",$D5525&lt;&gt;"",$E5525&lt;&gt;""),"TXS"&amp;TEXT(COUNTIFS($B$2:$B5525,"&lt;&gt;",$C$2:$C5525,"&lt;&gt;",$D$2:$D5525,"&lt;&gt;",$E$2:$E5525,"&lt;&gt;"),"00000"),""))</f>
        <v/>
      </c>
      <c r="N5525" s="22"/>
    </row>
    <row r="5526" spans="1:14" x14ac:dyDescent="0.3">
      <c r="A5526" s="15" t="str">
        <f>IF(COUNTA($B5526:$E5526,$K5526)=0,"",IF(AND($B5526&lt;&gt;"",$C5526&lt;&gt;"",$D5526&lt;&gt;"",$E5526&lt;&gt;""),"TXS"&amp;TEXT(COUNTIFS($B$2:$B5526,"&lt;&gt;",$C$2:$C5526,"&lt;&gt;",$D$2:$D5526,"&lt;&gt;",$E$2:$E5526,"&lt;&gt;"),"00000"),""))</f>
        <v/>
      </c>
      <c r="N5526" s="22"/>
    </row>
    <row r="5527" spans="1:14" x14ac:dyDescent="0.3">
      <c r="A5527" s="15" t="str">
        <f>IF(COUNTA($B5527:$E5527,$K5527)=0,"",IF(AND($B5527&lt;&gt;"",$C5527&lt;&gt;"",$D5527&lt;&gt;"",$E5527&lt;&gt;""),"TXS"&amp;TEXT(COUNTIFS($B$2:$B5527,"&lt;&gt;",$C$2:$C5527,"&lt;&gt;",$D$2:$D5527,"&lt;&gt;",$E$2:$E5527,"&lt;&gt;"),"00000"),""))</f>
        <v/>
      </c>
      <c r="N5527" s="22"/>
    </row>
    <row r="5528" spans="1:14" x14ac:dyDescent="0.3">
      <c r="A5528" s="15" t="str">
        <f>IF(COUNTA($B5528:$E5528,$K5528)=0,"",IF(AND($B5528&lt;&gt;"",$C5528&lt;&gt;"",$D5528&lt;&gt;"",$E5528&lt;&gt;""),"TXS"&amp;TEXT(COUNTIFS($B$2:$B5528,"&lt;&gt;",$C$2:$C5528,"&lt;&gt;",$D$2:$D5528,"&lt;&gt;",$E$2:$E5528,"&lt;&gt;"),"00000"),""))</f>
        <v/>
      </c>
      <c r="N5528" s="22"/>
    </row>
    <row r="5529" spans="1:14" x14ac:dyDescent="0.3">
      <c r="A5529" s="15" t="str">
        <f>IF(COUNTA($B5529:$E5529,$K5529)=0,"",IF(AND($B5529&lt;&gt;"",$C5529&lt;&gt;"",$D5529&lt;&gt;"",$E5529&lt;&gt;""),"TXS"&amp;TEXT(COUNTIFS($B$2:$B5529,"&lt;&gt;",$C$2:$C5529,"&lt;&gt;",$D$2:$D5529,"&lt;&gt;",$E$2:$E5529,"&lt;&gt;"),"00000"),""))</f>
        <v/>
      </c>
      <c r="N5529" s="22"/>
    </row>
    <row r="5530" spans="1:14" x14ac:dyDescent="0.3">
      <c r="A5530" s="15" t="str">
        <f>IF(COUNTA($B5530:$E5530,$K5530)=0,"",IF(AND($B5530&lt;&gt;"",$C5530&lt;&gt;"",$D5530&lt;&gt;"",$E5530&lt;&gt;""),"TXS"&amp;TEXT(COUNTIFS($B$2:$B5530,"&lt;&gt;",$C$2:$C5530,"&lt;&gt;",$D$2:$D5530,"&lt;&gt;",$E$2:$E5530,"&lt;&gt;"),"00000"),""))</f>
        <v/>
      </c>
      <c r="N5530" s="22"/>
    </row>
    <row r="5531" spans="1:14" x14ac:dyDescent="0.3">
      <c r="A5531" s="15" t="str">
        <f>IF(COUNTA($B5531:$E5531,$K5531)=0,"",IF(AND($B5531&lt;&gt;"",$C5531&lt;&gt;"",$D5531&lt;&gt;"",$E5531&lt;&gt;""),"TXS"&amp;TEXT(COUNTIFS($B$2:$B5531,"&lt;&gt;",$C$2:$C5531,"&lt;&gt;",$D$2:$D5531,"&lt;&gt;",$E$2:$E5531,"&lt;&gt;"),"00000"),""))</f>
        <v/>
      </c>
      <c r="N5531" s="22"/>
    </row>
    <row r="5532" spans="1:14" x14ac:dyDescent="0.3">
      <c r="A5532" s="15" t="str">
        <f>IF(COUNTA($B5532:$E5532,$K5532)=0,"",IF(AND($B5532&lt;&gt;"",$C5532&lt;&gt;"",$D5532&lt;&gt;"",$E5532&lt;&gt;""),"TXS"&amp;TEXT(COUNTIFS($B$2:$B5532,"&lt;&gt;",$C$2:$C5532,"&lt;&gt;",$D$2:$D5532,"&lt;&gt;",$E$2:$E5532,"&lt;&gt;"),"00000"),""))</f>
        <v/>
      </c>
      <c r="N5532" s="22"/>
    </row>
    <row r="5533" spans="1:14" x14ac:dyDescent="0.3">
      <c r="A5533" s="15" t="str">
        <f>IF(COUNTA($B5533:$E5533,$K5533)=0,"",IF(AND($B5533&lt;&gt;"",$C5533&lt;&gt;"",$D5533&lt;&gt;"",$E5533&lt;&gt;""),"TXS"&amp;TEXT(COUNTIFS($B$2:$B5533,"&lt;&gt;",$C$2:$C5533,"&lt;&gt;",$D$2:$D5533,"&lt;&gt;",$E$2:$E5533,"&lt;&gt;"),"00000"),""))</f>
        <v/>
      </c>
      <c r="N5533" s="22"/>
    </row>
    <row r="5534" spans="1:14" x14ac:dyDescent="0.3">
      <c r="A5534" s="15" t="str">
        <f>IF(COUNTA($B5534:$E5534,$K5534)=0,"",IF(AND($B5534&lt;&gt;"",$C5534&lt;&gt;"",$D5534&lt;&gt;"",$E5534&lt;&gt;""),"TXS"&amp;TEXT(COUNTIFS($B$2:$B5534,"&lt;&gt;",$C$2:$C5534,"&lt;&gt;",$D$2:$D5534,"&lt;&gt;",$E$2:$E5534,"&lt;&gt;"),"00000"),""))</f>
        <v/>
      </c>
      <c r="N5534" s="22"/>
    </row>
    <row r="5535" spans="1:14" x14ac:dyDescent="0.3">
      <c r="A5535" s="15" t="str">
        <f>IF(COUNTA($B5535:$E5535,$K5535)=0,"",IF(AND($B5535&lt;&gt;"",$C5535&lt;&gt;"",$D5535&lt;&gt;"",$E5535&lt;&gt;""),"TXS"&amp;TEXT(COUNTIFS($B$2:$B5535,"&lt;&gt;",$C$2:$C5535,"&lt;&gt;",$D$2:$D5535,"&lt;&gt;",$E$2:$E5535,"&lt;&gt;"),"00000"),""))</f>
        <v/>
      </c>
      <c r="N5535" s="22"/>
    </row>
    <row r="5536" spans="1:14" x14ac:dyDescent="0.3">
      <c r="A5536" s="15" t="str">
        <f>IF(COUNTA($B5536:$E5536,$K5536)=0,"",IF(AND($B5536&lt;&gt;"",$C5536&lt;&gt;"",$D5536&lt;&gt;"",$E5536&lt;&gt;""),"TXS"&amp;TEXT(COUNTIFS($B$2:$B5536,"&lt;&gt;",$C$2:$C5536,"&lt;&gt;",$D$2:$D5536,"&lt;&gt;",$E$2:$E5536,"&lt;&gt;"),"00000"),""))</f>
        <v/>
      </c>
      <c r="N5536" s="22"/>
    </row>
    <row r="5537" spans="1:14" x14ac:dyDescent="0.3">
      <c r="A5537" s="15" t="str">
        <f>IF(COUNTA($B5537:$E5537,$K5537)=0,"",IF(AND($B5537&lt;&gt;"",$C5537&lt;&gt;"",$D5537&lt;&gt;"",$E5537&lt;&gt;""),"TXS"&amp;TEXT(COUNTIFS($B$2:$B5537,"&lt;&gt;",$C$2:$C5537,"&lt;&gt;",$D$2:$D5537,"&lt;&gt;",$E$2:$E5537,"&lt;&gt;"),"00000"),""))</f>
        <v/>
      </c>
      <c r="N5537" s="22"/>
    </row>
    <row r="5538" spans="1:14" x14ac:dyDescent="0.3">
      <c r="A5538" s="15" t="str">
        <f>IF(COUNTA($B5538:$E5538,$K5538)=0,"",IF(AND($B5538&lt;&gt;"",$C5538&lt;&gt;"",$D5538&lt;&gt;"",$E5538&lt;&gt;""),"TXS"&amp;TEXT(COUNTIFS($B$2:$B5538,"&lt;&gt;",$C$2:$C5538,"&lt;&gt;",$D$2:$D5538,"&lt;&gt;",$E$2:$E5538,"&lt;&gt;"),"00000"),""))</f>
        <v/>
      </c>
      <c r="N5538" s="22"/>
    </row>
    <row r="5539" spans="1:14" x14ac:dyDescent="0.3">
      <c r="A5539" s="15" t="str">
        <f>IF(COUNTA($B5539:$E5539,$K5539)=0,"",IF(AND($B5539&lt;&gt;"",$C5539&lt;&gt;"",$D5539&lt;&gt;"",$E5539&lt;&gt;""),"TXS"&amp;TEXT(COUNTIFS($B$2:$B5539,"&lt;&gt;",$C$2:$C5539,"&lt;&gt;",$D$2:$D5539,"&lt;&gt;",$E$2:$E5539,"&lt;&gt;"),"00000"),""))</f>
        <v/>
      </c>
      <c r="N5539" s="22"/>
    </row>
    <row r="5540" spans="1:14" x14ac:dyDescent="0.3">
      <c r="A5540" s="15" t="str">
        <f>IF(COUNTA($B5540:$E5540,$K5540)=0,"",IF(AND($B5540&lt;&gt;"",$C5540&lt;&gt;"",$D5540&lt;&gt;"",$E5540&lt;&gt;""),"TXS"&amp;TEXT(COUNTIFS($B$2:$B5540,"&lt;&gt;",$C$2:$C5540,"&lt;&gt;",$D$2:$D5540,"&lt;&gt;",$E$2:$E5540,"&lt;&gt;"),"00000"),""))</f>
        <v/>
      </c>
      <c r="N5540" s="22"/>
    </row>
    <row r="5541" spans="1:14" x14ac:dyDescent="0.3">
      <c r="A5541" s="15" t="str">
        <f>IF(COUNTA($B5541:$E5541,$K5541)=0,"",IF(AND($B5541&lt;&gt;"",$C5541&lt;&gt;"",$D5541&lt;&gt;"",$E5541&lt;&gt;""),"TXS"&amp;TEXT(COUNTIFS($B$2:$B5541,"&lt;&gt;",$C$2:$C5541,"&lt;&gt;",$D$2:$D5541,"&lt;&gt;",$E$2:$E5541,"&lt;&gt;"),"00000"),""))</f>
        <v/>
      </c>
      <c r="N5541" s="22"/>
    </row>
    <row r="5542" spans="1:14" x14ac:dyDescent="0.3">
      <c r="A5542" s="15" t="str">
        <f>IF(COUNTA($B5542:$E5542,$K5542)=0,"",IF(AND($B5542&lt;&gt;"",$C5542&lt;&gt;"",$D5542&lt;&gt;"",$E5542&lt;&gt;""),"TXS"&amp;TEXT(COUNTIFS($B$2:$B5542,"&lt;&gt;",$C$2:$C5542,"&lt;&gt;",$D$2:$D5542,"&lt;&gt;",$E$2:$E5542,"&lt;&gt;"),"00000"),""))</f>
        <v/>
      </c>
      <c r="N5542" s="22"/>
    </row>
    <row r="5543" spans="1:14" x14ac:dyDescent="0.3">
      <c r="A5543" s="15" t="str">
        <f>IF(COUNTA($B5543:$E5543,$K5543)=0,"",IF(AND($B5543&lt;&gt;"",$C5543&lt;&gt;"",$D5543&lt;&gt;"",$E5543&lt;&gt;""),"TXS"&amp;TEXT(COUNTIFS($B$2:$B5543,"&lt;&gt;",$C$2:$C5543,"&lt;&gt;",$D$2:$D5543,"&lt;&gt;",$E$2:$E5543,"&lt;&gt;"),"00000"),""))</f>
        <v/>
      </c>
      <c r="N5543" s="22"/>
    </row>
    <row r="5544" spans="1:14" x14ac:dyDescent="0.3">
      <c r="A5544" s="15" t="str">
        <f>IF(COUNTA($B5544:$E5544,$K5544)=0,"",IF(AND($B5544&lt;&gt;"",$C5544&lt;&gt;"",$D5544&lt;&gt;"",$E5544&lt;&gt;""),"TXS"&amp;TEXT(COUNTIFS($B$2:$B5544,"&lt;&gt;",$C$2:$C5544,"&lt;&gt;",$D$2:$D5544,"&lt;&gt;",$E$2:$E5544,"&lt;&gt;"),"00000"),""))</f>
        <v/>
      </c>
      <c r="N5544" s="22"/>
    </row>
    <row r="5545" spans="1:14" x14ac:dyDescent="0.3">
      <c r="A5545" s="15" t="str">
        <f>IF(COUNTA($B5545:$E5545,$K5545)=0,"",IF(AND($B5545&lt;&gt;"",$C5545&lt;&gt;"",$D5545&lt;&gt;"",$E5545&lt;&gt;""),"TXS"&amp;TEXT(COUNTIFS($B$2:$B5545,"&lt;&gt;",$C$2:$C5545,"&lt;&gt;",$D$2:$D5545,"&lt;&gt;",$E$2:$E5545,"&lt;&gt;"),"00000"),""))</f>
        <v/>
      </c>
      <c r="N5545" s="22"/>
    </row>
    <row r="5546" spans="1:14" x14ac:dyDescent="0.3">
      <c r="A5546" s="15" t="str">
        <f>IF(COUNTA($B5546:$E5546,$K5546)=0,"",IF(AND($B5546&lt;&gt;"",$C5546&lt;&gt;"",$D5546&lt;&gt;"",$E5546&lt;&gt;""),"TXS"&amp;TEXT(COUNTIFS($B$2:$B5546,"&lt;&gt;",$C$2:$C5546,"&lt;&gt;",$D$2:$D5546,"&lt;&gt;",$E$2:$E5546,"&lt;&gt;"),"00000"),""))</f>
        <v/>
      </c>
      <c r="N5546" s="22"/>
    </row>
    <row r="5547" spans="1:14" x14ac:dyDescent="0.3">
      <c r="A5547" s="15" t="str">
        <f>IF(COUNTA($B5547:$E5547,$K5547)=0,"",IF(AND($B5547&lt;&gt;"",$C5547&lt;&gt;"",$D5547&lt;&gt;"",$E5547&lt;&gt;""),"TXS"&amp;TEXT(COUNTIFS($B$2:$B5547,"&lt;&gt;",$C$2:$C5547,"&lt;&gt;",$D$2:$D5547,"&lt;&gt;",$E$2:$E5547,"&lt;&gt;"),"00000"),""))</f>
        <v/>
      </c>
      <c r="N5547" s="22"/>
    </row>
    <row r="5548" spans="1:14" x14ac:dyDescent="0.3">
      <c r="A5548" s="15" t="str">
        <f>IF(COUNTA($B5548:$E5548,$K5548)=0,"",IF(AND($B5548&lt;&gt;"",$C5548&lt;&gt;"",$D5548&lt;&gt;"",$E5548&lt;&gt;""),"TXS"&amp;TEXT(COUNTIFS($B$2:$B5548,"&lt;&gt;",$C$2:$C5548,"&lt;&gt;",$D$2:$D5548,"&lt;&gt;",$E$2:$E5548,"&lt;&gt;"),"00000"),""))</f>
        <v/>
      </c>
      <c r="N5548" s="22"/>
    </row>
    <row r="5549" spans="1:14" x14ac:dyDescent="0.3">
      <c r="A5549" s="15" t="str">
        <f>IF(COUNTA($B5549:$E5549,$K5549)=0,"",IF(AND($B5549&lt;&gt;"",$C5549&lt;&gt;"",$D5549&lt;&gt;"",$E5549&lt;&gt;""),"TXS"&amp;TEXT(COUNTIFS($B$2:$B5549,"&lt;&gt;",$C$2:$C5549,"&lt;&gt;",$D$2:$D5549,"&lt;&gt;",$E$2:$E5549,"&lt;&gt;"),"00000"),""))</f>
        <v/>
      </c>
      <c r="N5549" s="22"/>
    </row>
    <row r="5550" spans="1:14" x14ac:dyDescent="0.3">
      <c r="A5550" s="15" t="str">
        <f>IF(COUNTA($B5550:$E5550,$K5550)=0,"",IF(AND($B5550&lt;&gt;"",$C5550&lt;&gt;"",$D5550&lt;&gt;"",$E5550&lt;&gt;""),"TXS"&amp;TEXT(COUNTIFS($B$2:$B5550,"&lt;&gt;",$C$2:$C5550,"&lt;&gt;",$D$2:$D5550,"&lt;&gt;",$E$2:$E5550,"&lt;&gt;"),"00000"),""))</f>
        <v/>
      </c>
      <c r="N5550" s="22"/>
    </row>
    <row r="5551" spans="1:14" x14ac:dyDescent="0.3">
      <c r="A5551" s="15" t="str">
        <f>IF(COUNTA($B5551:$E5551,$K5551)=0,"",IF(AND($B5551&lt;&gt;"",$C5551&lt;&gt;"",$D5551&lt;&gt;"",$E5551&lt;&gt;""),"TXS"&amp;TEXT(COUNTIFS($B$2:$B5551,"&lt;&gt;",$C$2:$C5551,"&lt;&gt;",$D$2:$D5551,"&lt;&gt;",$E$2:$E5551,"&lt;&gt;"),"00000"),""))</f>
        <v/>
      </c>
      <c r="N5551" s="22"/>
    </row>
    <row r="5552" spans="1:14" x14ac:dyDescent="0.3">
      <c r="A5552" s="15" t="str">
        <f>IF(COUNTA($B5552:$E5552,$K5552)=0,"",IF(AND($B5552&lt;&gt;"",$C5552&lt;&gt;"",$D5552&lt;&gt;"",$E5552&lt;&gt;""),"TXS"&amp;TEXT(COUNTIFS($B$2:$B5552,"&lt;&gt;",$C$2:$C5552,"&lt;&gt;",$D$2:$D5552,"&lt;&gt;",$E$2:$E5552,"&lt;&gt;"),"00000"),""))</f>
        <v/>
      </c>
      <c r="N5552" s="22"/>
    </row>
    <row r="5553" spans="1:14" x14ac:dyDescent="0.3">
      <c r="A5553" s="15" t="str">
        <f>IF(COUNTA($B5553:$E5553,$K5553)=0,"",IF(AND($B5553&lt;&gt;"",$C5553&lt;&gt;"",$D5553&lt;&gt;"",$E5553&lt;&gt;""),"TXS"&amp;TEXT(COUNTIFS($B$2:$B5553,"&lt;&gt;",$C$2:$C5553,"&lt;&gt;",$D$2:$D5553,"&lt;&gt;",$E$2:$E5553,"&lt;&gt;"),"00000"),""))</f>
        <v/>
      </c>
      <c r="N5553" s="22"/>
    </row>
    <row r="5554" spans="1:14" x14ac:dyDescent="0.3">
      <c r="A5554" s="15" t="str">
        <f>IF(COUNTA($B5554:$E5554,$K5554)=0,"",IF(AND($B5554&lt;&gt;"",$C5554&lt;&gt;"",$D5554&lt;&gt;"",$E5554&lt;&gt;""),"TXS"&amp;TEXT(COUNTIFS($B$2:$B5554,"&lt;&gt;",$C$2:$C5554,"&lt;&gt;",$D$2:$D5554,"&lt;&gt;",$E$2:$E5554,"&lt;&gt;"),"00000"),""))</f>
        <v/>
      </c>
      <c r="N5554" s="22"/>
    </row>
    <row r="5555" spans="1:14" x14ac:dyDescent="0.3">
      <c r="A5555" s="15" t="str">
        <f>IF(COUNTA($B5555:$E5555,$K5555)=0,"",IF(AND($B5555&lt;&gt;"",$C5555&lt;&gt;"",$D5555&lt;&gt;"",$E5555&lt;&gt;""),"TXS"&amp;TEXT(COUNTIFS($B$2:$B5555,"&lt;&gt;",$C$2:$C5555,"&lt;&gt;",$D$2:$D5555,"&lt;&gt;",$E$2:$E5555,"&lt;&gt;"),"00000"),""))</f>
        <v/>
      </c>
      <c r="N5555" s="22"/>
    </row>
    <row r="5556" spans="1:14" x14ac:dyDescent="0.3">
      <c r="A5556" s="15" t="str">
        <f>IF(COUNTA($B5556:$E5556,$K5556)=0,"",IF(AND($B5556&lt;&gt;"",$C5556&lt;&gt;"",$D5556&lt;&gt;"",$E5556&lt;&gt;""),"TXS"&amp;TEXT(COUNTIFS($B$2:$B5556,"&lt;&gt;",$C$2:$C5556,"&lt;&gt;",$D$2:$D5556,"&lt;&gt;",$E$2:$E5556,"&lt;&gt;"),"00000"),""))</f>
        <v/>
      </c>
      <c r="N5556" s="22"/>
    </row>
    <row r="5557" spans="1:14" x14ac:dyDescent="0.3">
      <c r="A5557" s="15" t="str">
        <f>IF(COUNTA($B5557:$E5557,$K5557)=0,"",IF(AND($B5557&lt;&gt;"",$C5557&lt;&gt;"",$D5557&lt;&gt;"",$E5557&lt;&gt;""),"TXS"&amp;TEXT(COUNTIFS($B$2:$B5557,"&lt;&gt;",$C$2:$C5557,"&lt;&gt;",$D$2:$D5557,"&lt;&gt;",$E$2:$E5557,"&lt;&gt;"),"00000"),""))</f>
        <v/>
      </c>
      <c r="N5557" s="22"/>
    </row>
    <row r="5558" spans="1:14" x14ac:dyDescent="0.3">
      <c r="A5558" s="15" t="str">
        <f>IF(COUNTA($B5558:$E5558,$K5558)=0,"",IF(AND($B5558&lt;&gt;"",$C5558&lt;&gt;"",$D5558&lt;&gt;"",$E5558&lt;&gt;""),"TXS"&amp;TEXT(COUNTIFS($B$2:$B5558,"&lt;&gt;",$C$2:$C5558,"&lt;&gt;",$D$2:$D5558,"&lt;&gt;",$E$2:$E5558,"&lt;&gt;"),"00000"),""))</f>
        <v/>
      </c>
      <c r="N5558" s="22"/>
    </row>
    <row r="5559" spans="1:14" x14ac:dyDescent="0.3">
      <c r="A5559" s="15" t="str">
        <f>IF(COUNTA($B5559:$E5559,$K5559)=0,"",IF(AND($B5559&lt;&gt;"",$C5559&lt;&gt;"",$D5559&lt;&gt;"",$E5559&lt;&gt;""),"TXS"&amp;TEXT(COUNTIFS($B$2:$B5559,"&lt;&gt;",$C$2:$C5559,"&lt;&gt;",$D$2:$D5559,"&lt;&gt;",$E$2:$E5559,"&lt;&gt;"),"00000"),""))</f>
        <v/>
      </c>
      <c r="N5559" s="22"/>
    </row>
    <row r="5560" spans="1:14" x14ac:dyDescent="0.3">
      <c r="A5560" s="15" t="str">
        <f>IF(COUNTA($B5560:$E5560,$K5560)=0,"",IF(AND($B5560&lt;&gt;"",$C5560&lt;&gt;"",$D5560&lt;&gt;"",$E5560&lt;&gt;""),"TXS"&amp;TEXT(COUNTIFS($B$2:$B5560,"&lt;&gt;",$C$2:$C5560,"&lt;&gt;",$D$2:$D5560,"&lt;&gt;",$E$2:$E5560,"&lt;&gt;"),"00000"),""))</f>
        <v/>
      </c>
      <c r="N5560" s="22"/>
    </row>
    <row r="5561" spans="1:14" x14ac:dyDescent="0.3">
      <c r="A5561" s="15" t="str">
        <f>IF(COUNTA($B5561:$E5561,$K5561)=0,"",IF(AND($B5561&lt;&gt;"",$C5561&lt;&gt;"",$D5561&lt;&gt;"",$E5561&lt;&gt;""),"TXS"&amp;TEXT(COUNTIFS($B$2:$B5561,"&lt;&gt;",$C$2:$C5561,"&lt;&gt;",$D$2:$D5561,"&lt;&gt;",$E$2:$E5561,"&lt;&gt;"),"00000"),""))</f>
        <v/>
      </c>
      <c r="N5561" s="22"/>
    </row>
    <row r="5562" spans="1:14" x14ac:dyDescent="0.3">
      <c r="A5562" s="15" t="str">
        <f>IF(COUNTA($B5562:$E5562,$K5562)=0,"",IF(AND($B5562&lt;&gt;"",$C5562&lt;&gt;"",$D5562&lt;&gt;"",$E5562&lt;&gt;""),"TXS"&amp;TEXT(COUNTIFS($B$2:$B5562,"&lt;&gt;",$C$2:$C5562,"&lt;&gt;",$D$2:$D5562,"&lt;&gt;",$E$2:$E5562,"&lt;&gt;"),"00000"),""))</f>
        <v/>
      </c>
      <c r="N5562" s="22"/>
    </row>
    <row r="5563" spans="1:14" x14ac:dyDescent="0.3">
      <c r="A5563" s="15" t="str">
        <f>IF(COUNTA($B5563:$E5563,$K5563)=0,"",IF(AND($B5563&lt;&gt;"",$C5563&lt;&gt;"",$D5563&lt;&gt;"",$E5563&lt;&gt;""),"TXS"&amp;TEXT(COUNTIFS($B$2:$B5563,"&lt;&gt;",$C$2:$C5563,"&lt;&gt;",$D$2:$D5563,"&lt;&gt;",$E$2:$E5563,"&lt;&gt;"),"00000"),""))</f>
        <v/>
      </c>
      <c r="N5563" s="22"/>
    </row>
    <row r="5564" spans="1:14" x14ac:dyDescent="0.3">
      <c r="A5564" s="15" t="str">
        <f>IF(COUNTA($B5564:$E5564,$K5564)=0,"",IF(AND($B5564&lt;&gt;"",$C5564&lt;&gt;"",$D5564&lt;&gt;"",$E5564&lt;&gt;""),"TXS"&amp;TEXT(COUNTIFS($B$2:$B5564,"&lt;&gt;",$C$2:$C5564,"&lt;&gt;",$D$2:$D5564,"&lt;&gt;",$E$2:$E5564,"&lt;&gt;"),"00000"),""))</f>
        <v/>
      </c>
      <c r="N5564" s="22"/>
    </row>
    <row r="5565" spans="1:14" x14ac:dyDescent="0.3">
      <c r="A5565" s="15" t="str">
        <f>IF(COUNTA($B5565:$E5565,$K5565)=0,"",IF(AND($B5565&lt;&gt;"",$C5565&lt;&gt;"",$D5565&lt;&gt;"",$E5565&lt;&gt;""),"TXS"&amp;TEXT(COUNTIFS($B$2:$B5565,"&lt;&gt;",$C$2:$C5565,"&lt;&gt;",$D$2:$D5565,"&lt;&gt;",$E$2:$E5565,"&lt;&gt;"),"00000"),""))</f>
        <v/>
      </c>
      <c r="N5565" s="22"/>
    </row>
    <row r="5566" spans="1:14" x14ac:dyDescent="0.3">
      <c r="A5566" s="15" t="str">
        <f>IF(COUNTA($B5566:$E5566,$K5566)=0,"",IF(AND($B5566&lt;&gt;"",$C5566&lt;&gt;"",$D5566&lt;&gt;"",$E5566&lt;&gt;""),"TXS"&amp;TEXT(COUNTIFS($B$2:$B5566,"&lt;&gt;",$C$2:$C5566,"&lt;&gt;",$D$2:$D5566,"&lt;&gt;",$E$2:$E5566,"&lt;&gt;"),"00000"),""))</f>
        <v/>
      </c>
      <c r="N5566" s="22"/>
    </row>
    <row r="5567" spans="1:14" x14ac:dyDescent="0.3">
      <c r="A5567" s="15" t="str">
        <f>IF(COUNTA($B5567:$E5567,$K5567)=0,"",IF(AND($B5567&lt;&gt;"",$C5567&lt;&gt;"",$D5567&lt;&gt;"",$E5567&lt;&gt;""),"TXS"&amp;TEXT(COUNTIFS($B$2:$B5567,"&lt;&gt;",$C$2:$C5567,"&lt;&gt;",$D$2:$D5567,"&lt;&gt;",$E$2:$E5567,"&lt;&gt;"),"00000"),""))</f>
        <v/>
      </c>
      <c r="N5567" s="22"/>
    </row>
    <row r="5568" spans="1:14" x14ac:dyDescent="0.3">
      <c r="A5568" s="15" t="str">
        <f>IF(COUNTA($B5568:$E5568,$K5568)=0,"",IF(AND($B5568&lt;&gt;"",$C5568&lt;&gt;"",$D5568&lt;&gt;"",$E5568&lt;&gt;""),"TXS"&amp;TEXT(COUNTIFS($B$2:$B5568,"&lt;&gt;",$C$2:$C5568,"&lt;&gt;",$D$2:$D5568,"&lt;&gt;",$E$2:$E5568,"&lt;&gt;"),"00000"),""))</f>
        <v/>
      </c>
      <c r="N5568" s="22"/>
    </row>
    <row r="5569" spans="1:14" x14ac:dyDescent="0.3">
      <c r="A5569" s="15" t="str">
        <f>IF(COUNTA($B5569:$E5569,$K5569)=0,"",IF(AND($B5569&lt;&gt;"",$C5569&lt;&gt;"",$D5569&lt;&gt;"",$E5569&lt;&gt;""),"TXS"&amp;TEXT(COUNTIFS($B$2:$B5569,"&lt;&gt;",$C$2:$C5569,"&lt;&gt;",$D$2:$D5569,"&lt;&gt;",$E$2:$E5569,"&lt;&gt;"),"00000"),""))</f>
        <v/>
      </c>
      <c r="N5569" s="22"/>
    </row>
    <row r="5570" spans="1:14" x14ac:dyDescent="0.3">
      <c r="A5570" s="15" t="str">
        <f>IF(COUNTA($B5570:$E5570,$K5570)=0,"",IF(AND($B5570&lt;&gt;"",$C5570&lt;&gt;"",$D5570&lt;&gt;"",$E5570&lt;&gt;""),"TXS"&amp;TEXT(COUNTIFS($B$2:$B5570,"&lt;&gt;",$C$2:$C5570,"&lt;&gt;",$D$2:$D5570,"&lt;&gt;",$E$2:$E5570,"&lt;&gt;"),"00000"),""))</f>
        <v/>
      </c>
      <c r="N5570" s="22"/>
    </row>
    <row r="5571" spans="1:14" x14ac:dyDescent="0.3">
      <c r="A5571" s="15" t="str">
        <f>IF(COUNTA($B5571:$E5571,$K5571)=0,"",IF(AND($B5571&lt;&gt;"",$C5571&lt;&gt;"",$D5571&lt;&gt;"",$E5571&lt;&gt;""),"TXS"&amp;TEXT(COUNTIFS($B$2:$B5571,"&lt;&gt;",$C$2:$C5571,"&lt;&gt;",$D$2:$D5571,"&lt;&gt;",$E$2:$E5571,"&lt;&gt;"),"00000"),""))</f>
        <v/>
      </c>
      <c r="N5571" s="22"/>
    </row>
    <row r="5572" spans="1:14" x14ac:dyDescent="0.3">
      <c r="A5572" s="15" t="str">
        <f>IF(COUNTA($B5572:$E5572,$K5572)=0,"",IF(AND($B5572&lt;&gt;"",$C5572&lt;&gt;"",$D5572&lt;&gt;"",$E5572&lt;&gt;""),"TXS"&amp;TEXT(COUNTIFS($B$2:$B5572,"&lt;&gt;",$C$2:$C5572,"&lt;&gt;",$D$2:$D5572,"&lt;&gt;",$E$2:$E5572,"&lt;&gt;"),"00000"),""))</f>
        <v/>
      </c>
      <c r="N5572" s="22"/>
    </row>
    <row r="5573" spans="1:14" x14ac:dyDescent="0.3">
      <c r="A5573" s="15" t="str">
        <f>IF(COUNTA($B5573:$E5573,$K5573)=0,"",IF(AND($B5573&lt;&gt;"",$C5573&lt;&gt;"",$D5573&lt;&gt;"",$E5573&lt;&gt;""),"TXS"&amp;TEXT(COUNTIFS($B$2:$B5573,"&lt;&gt;",$C$2:$C5573,"&lt;&gt;",$D$2:$D5573,"&lt;&gt;",$E$2:$E5573,"&lt;&gt;"),"00000"),""))</f>
        <v/>
      </c>
      <c r="N5573" s="22"/>
    </row>
    <row r="5574" spans="1:14" x14ac:dyDescent="0.3">
      <c r="A5574" s="15" t="str">
        <f>IF(COUNTA($B5574:$E5574,$K5574)=0,"",IF(AND($B5574&lt;&gt;"",$C5574&lt;&gt;"",$D5574&lt;&gt;"",$E5574&lt;&gt;""),"TXS"&amp;TEXT(COUNTIFS($B$2:$B5574,"&lt;&gt;",$C$2:$C5574,"&lt;&gt;",$D$2:$D5574,"&lt;&gt;",$E$2:$E5574,"&lt;&gt;"),"00000"),""))</f>
        <v/>
      </c>
      <c r="N5574" s="22"/>
    </row>
    <row r="5575" spans="1:14" x14ac:dyDescent="0.3">
      <c r="A5575" s="15" t="str">
        <f>IF(COUNTA($B5575:$E5575,$K5575)=0,"",IF(AND($B5575&lt;&gt;"",$C5575&lt;&gt;"",$D5575&lt;&gt;"",$E5575&lt;&gt;""),"TXS"&amp;TEXT(COUNTIFS($B$2:$B5575,"&lt;&gt;",$C$2:$C5575,"&lt;&gt;",$D$2:$D5575,"&lt;&gt;",$E$2:$E5575,"&lt;&gt;"),"00000"),""))</f>
        <v/>
      </c>
      <c r="N5575" s="22"/>
    </row>
    <row r="5576" spans="1:14" x14ac:dyDescent="0.3">
      <c r="A5576" s="15" t="str">
        <f>IF(COUNTA($B5576:$E5576,$K5576)=0,"",IF(AND($B5576&lt;&gt;"",$C5576&lt;&gt;"",$D5576&lt;&gt;"",$E5576&lt;&gt;""),"TXS"&amp;TEXT(COUNTIFS($B$2:$B5576,"&lt;&gt;",$C$2:$C5576,"&lt;&gt;",$D$2:$D5576,"&lt;&gt;",$E$2:$E5576,"&lt;&gt;"),"00000"),""))</f>
        <v/>
      </c>
      <c r="N5576" s="22"/>
    </row>
    <row r="5577" spans="1:14" x14ac:dyDescent="0.3">
      <c r="A5577" s="15" t="str">
        <f>IF(COUNTA($B5577:$E5577,$K5577)=0,"",IF(AND($B5577&lt;&gt;"",$C5577&lt;&gt;"",$D5577&lt;&gt;"",$E5577&lt;&gt;""),"TXS"&amp;TEXT(COUNTIFS($B$2:$B5577,"&lt;&gt;",$C$2:$C5577,"&lt;&gt;",$D$2:$D5577,"&lt;&gt;",$E$2:$E5577,"&lt;&gt;"),"00000"),""))</f>
        <v/>
      </c>
      <c r="N5577" s="22"/>
    </row>
    <row r="5578" spans="1:14" x14ac:dyDescent="0.3">
      <c r="A5578" s="15" t="str">
        <f>IF(COUNTA($B5578:$E5578,$K5578)=0,"",IF(AND($B5578&lt;&gt;"",$C5578&lt;&gt;"",$D5578&lt;&gt;"",$E5578&lt;&gt;""),"TXS"&amp;TEXT(COUNTIFS($B$2:$B5578,"&lt;&gt;",$C$2:$C5578,"&lt;&gt;",$D$2:$D5578,"&lt;&gt;",$E$2:$E5578,"&lt;&gt;"),"00000"),""))</f>
        <v/>
      </c>
      <c r="N5578" s="22"/>
    </row>
    <row r="5579" spans="1:14" x14ac:dyDescent="0.3">
      <c r="A5579" s="15" t="str">
        <f>IF(COUNTA($B5579:$E5579,$K5579)=0,"",IF(AND($B5579&lt;&gt;"",$C5579&lt;&gt;"",$D5579&lt;&gt;"",$E5579&lt;&gt;""),"TXS"&amp;TEXT(COUNTIFS($B$2:$B5579,"&lt;&gt;",$C$2:$C5579,"&lt;&gt;",$D$2:$D5579,"&lt;&gt;",$E$2:$E5579,"&lt;&gt;"),"00000"),""))</f>
        <v/>
      </c>
      <c r="N5579" s="22"/>
    </row>
    <row r="5580" spans="1:14" x14ac:dyDescent="0.3">
      <c r="A5580" s="15" t="str">
        <f>IF(COUNTA($B5580:$E5580,$K5580)=0,"",IF(AND($B5580&lt;&gt;"",$C5580&lt;&gt;"",$D5580&lt;&gt;"",$E5580&lt;&gt;""),"TXS"&amp;TEXT(COUNTIFS($B$2:$B5580,"&lt;&gt;",$C$2:$C5580,"&lt;&gt;",$D$2:$D5580,"&lt;&gt;",$E$2:$E5580,"&lt;&gt;"),"00000"),""))</f>
        <v/>
      </c>
      <c r="N5580" s="22"/>
    </row>
    <row r="5581" spans="1:14" x14ac:dyDescent="0.3">
      <c r="A5581" s="15" t="str">
        <f>IF(COUNTA($B5581:$E5581,$K5581)=0,"",IF(AND($B5581&lt;&gt;"",$C5581&lt;&gt;"",$D5581&lt;&gt;"",$E5581&lt;&gt;""),"TXS"&amp;TEXT(COUNTIFS($B$2:$B5581,"&lt;&gt;",$C$2:$C5581,"&lt;&gt;",$D$2:$D5581,"&lt;&gt;",$E$2:$E5581,"&lt;&gt;"),"00000"),""))</f>
        <v/>
      </c>
      <c r="N5581" s="22"/>
    </row>
    <row r="5582" spans="1:14" x14ac:dyDescent="0.3">
      <c r="A5582" s="15" t="str">
        <f>IF(COUNTA($B5582:$E5582,$K5582)=0,"",IF(AND($B5582&lt;&gt;"",$C5582&lt;&gt;"",$D5582&lt;&gt;"",$E5582&lt;&gt;""),"TXS"&amp;TEXT(COUNTIFS($B$2:$B5582,"&lt;&gt;",$C$2:$C5582,"&lt;&gt;",$D$2:$D5582,"&lt;&gt;",$E$2:$E5582,"&lt;&gt;"),"00000"),""))</f>
        <v/>
      </c>
      <c r="N5582" s="22"/>
    </row>
    <row r="5583" spans="1:14" x14ac:dyDescent="0.3">
      <c r="A5583" s="15" t="str">
        <f>IF(COUNTA($B5583:$E5583,$K5583)=0,"",IF(AND($B5583&lt;&gt;"",$C5583&lt;&gt;"",$D5583&lt;&gt;"",$E5583&lt;&gt;""),"TXS"&amp;TEXT(COUNTIFS($B$2:$B5583,"&lt;&gt;",$C$2:$C5583,"&lt;&gt;",$D$2:$D5583,"&lt;&gt;",$E$2:$E5583,"&lt;&gt;"),"00000"),""))</f>
        <v/>
      </c>
      <c r="N5583" s="22"/>
    </row>
    <row r="5584" spans="1:14" x14ac:dyDescent="0.3">
      <c r="A5584" s="15" t="str">
        <f>IF(COUNTA($B5584:$E5584,$K5584)=0,"",IF(AND($B5584&lt;&gt;"",$C5584&lt;&gt;"",$D5584&lt;&gt;"",$E5584&lt;&gt;""),"TXS"&amp;TEXT(COUNTIFS($B$2:$B5584,"&lt;&gt;",$C$2:$C5584,"&lt;&gt;",$D$2:$D5584,"&lt;&gt;",$E$2:$E5584,"&lt;&gt;"),"00000"),""))</f>
        <v/>
      </c>
      <c r="N5584" s="22"/>
    </row>
    <row r="5585" spans="1:14" x14ac:dyDescent="0.3">
      <c r="A5585" s="15" t="str">
        <f>IF(COUNTA($B5585:$E5585,$K5585)=0,"",IF(AND($B5585&lt;&gt;"",$C5585&lt;&gt;"",$D5585&lt;&gt;"",$E5585&lt;&gt;""),"TXS"&amp;TEXT(COUNTIFS($B$2:$B5585,"&lt;&gt;",$C$2:$C5585,"&lt;&gt;",$D$2:$D5585,"&lt;&gt;",$E$2:$E5585,"&lt;&gt;"),"00000"),""))</f>
        <v/>
      </c>
      <c r="N5585" s="22"/>
    </row>
    <row r="5586" spans="1:14" x14ac:dyDescent="0.3">
      <c r="A5586" s="15" t="str">
        <f>IF(COUNTA($B5586:$E5586,$K5586)=0,"",IF(AND($B5586&lt;&gt;"",$C5586&lt;&gt;"",$D5586&lt;&gt;"",$E5586&lt;&gt;""),"TXS"&amp;TEXT(COUNTIFS($B$2:$B5586,"&lt;&gt;",$C$2:$C5586,"&lt;&gt;",$D$2:$D5586,"&lt;&gt;",$E$2:$E5586,"&lt;&gt;"),"00000"),""))</f>
        <v/>
      </c>
      <c r="N5586" s="22"/>
    </row>
    <row r="5587" spans="1:14" x14ac:dyDescent="0.3">
      <c r="A5587" s="15" t="str">
        <f>IF(COUNTA($B5587:$E5587,$K5587)=0,"",IF(AND($B5587&lt;&gt;"",$C5587&lt;&gt;"",$D5587&lt;&gt;"",$E5587&lt;&gt;""),"TXS"&amp;TEXT(COUNTIFS($B$2:$B5587,"&lt;&gt;",$C$2:$C5587,"&lt;&gt;",$D$2:$D5587,"&lt;&gt;",$E$2:$E5587,"&lt;&gt;"),"00000"),""))</f>
        <v/>
      </c>
      <c r="N5587" s="22"/>
    </row>
    <row r="5588" spans="1:14" x14ac:dyDescent="0.3">
      <c r="A5588" s="15" t="str">
        <f>IF(COUNTA($B5588:$E5588,$K5588)=0,"",IF(AND($B5588&lt;&gt;"",$C5588&lt;&gt;"",$D5588&lt;&gt;"",$E5588&lt;&gt;""),"TXS"&amp;TEXT(COUNTIFS($B$2:$B5588,"&lt;&gt;",$C$2:$C5588,"&lt;&gt;",$D$2:$D5588,"&lt;&gt;",$E$2:$E5588,"&lt;&gt;"),"00000"),""))</f>
        <v/>
      </c>
      <c r="N5588" s="22"/>
    </row>
    <row r="5589" spans="1:14" x14ac:dyDescent="0.3">
      <c r="A5589" s="15" t="str">
        <f>IF(COUNTA($B5589:$E5589,$K5589)=0,"",IF(AND($B5589&lt;&gt;"",$C5589&lt;&gt;"",$D5589&lt;&gt;"",$E5589&lt;&gt;""),"TXS"&amp;TEXT(COUNTIFS($B$2:$B5589,"&lt;&gt;",$C$2:$C5589,"&lt;&gt;",$D$2:$D5589,"&lt;&gt;",$E$2:$E5589,"&lt;&gt;"),"00000"),""))</f>
        <v/>
      </c>
      <c r="N5589" s="22"/>
    </row>
    <row r="5590" spans="1:14" x14ac:dyDescent="0.3">
      <c r="A5590" s="15" t="str">
        <f>IF(COUNTA($B5590:$E5590,$K5590)=0,"",IF(AND($B5590&lt;&gt;"",$C5590&lt;&gt;"",$D5590&lt;&gt;"",$E5590&lt;&gt;""),"TXS"&amp;TEXT(COUNTIFS($B$2:$B5590,"&lt;&gt;",$C$2:$C5590,"&lt;&gt;",$D$2:$D5590,"&lt;&gt;",$E$2:$E5590,"&lt;&gt;"),"00000"),""))</f>
        <v/>
      </c>
      <c r="N5590" s="22"/>
    </row>
    <row r="5591" spans="1:14" x14ac:dyDescent="0.3">
      <c r="A5591" s="15" t="str">
        <f>IF(COUNTA($B5591:$E5591,$K5591)=0,"",IF(AND($B5591&lt;&gt;"",$C5591&lt;&gt;"",$D5591&lt;&gt;"",$E5591&lt;&gt;""),"TXS"&amp;TEXT(COUNTIFS($B$2:$B5591,"&lt;&gt;",$C$2:$C5591,"&lt;&gt;",$D$2:$D5591,"&lt;&gt;",$E$2:$E5591,"&lt;&gt;"),"00000"),""))</f>
        <v/>
      </c>
      <c r="N5591" s="22"/>
    </row>
    <row r="5592" spans="1:14" x14ac:dyDescent="0.3">
      <c r="A5592" s="15" t="str">
        <f>IF(COUNTA($B5592:$E5592,$K5592)=0,"",IF(AND($B5592&lt;&gt;"",$C5592&lt;&gt;"",$D5592&lt;&gt;"",$E5592&lt;&gt;""),"TXS"&amp;TEXT(COUNTIFS($B$2:$B5592,"&lt;&gt;",$C$2:$C5592,"&lt;&gt;",$D$2:$D5592,"&lt;&gt;",$E$2:$E5592,"&lt;&gt;"),"00000"),""))</f>
        <v/>
      </c>
      <c r="N5592" s="22"/>
    </row>
    <row r="5593" spans="1:14" x14ac:dyDescent="0.3">
      <c r="A5593" s="15" t="str">
        <f>IF(COUNTA($B5593:$E5593,$K5593)=0,"",IF(AND($B5593&lt;&gt;"",$C5593&lt;&gt;"",$D5593&lt;&gt;"",$E5593&lt;&gt;""),"TXS"&amp;TEXT(COUNTIFS($B$2:$B5593,"&lt;&gt;",$C$2:$C5593,"&lt;&gt;",$D$2:$D5593,"&lt;&gt;",$E$2:$E5593,"&lt;&gt;"),"00000"),""))</f>
        <v/>
      </c>
      <c r="N5593" s="22"/>
    </row>
    <row r="5594" spans="1:14" x14ac:dyDescent="0.3">
      <c r="A5594" s="15" t="str">
        <f>IF(COUNTA($B5594:$E5594,$K5594)=0,"",IF(AND($B5594&lt;&gt;"",$C5594&lt;&gt;"",$D5594&lt;&gt;"",$E5594&lt;&gt;""),"TXS"&amp;TEXT(COUNTIFS($B$2:$B5594,"&lt;&gt;",$C$2:$C5594,"&lt;&gt;",$D$2:$D5594,"&lt;&gt;",$E$2:$E5594,"&lt;&gt;"),"00000"),""))</f>
        <v/>
      </c>
      <c r="N5594" s="22"/>
    </row>
    <row r="5595" spans="1:14" x14ac:dyDescent="0.3">
      <c r="A5595" s="15" t="str">
        <f>IF(COUNTA($B5595:$E5595,$K5595)=0,"",IF(AND($B5595&lt;&gt;"",$C5595&lt;&gt;"",$D5595&lt;&gt;"",$E5595&lt;&gt;""),"TXS"&amp;TEXT(COUNTIFS($B$2:$B5595,"&lt;&gt;",$C$2:$C5595,"&lt;&gt;",$D$2:$D5595,"&lt;&gt;",$E$2:$E5595,"&lt;&gt;"),"00000"),""))</f>
        <v/>
      </c>
      <c r="N5595" s="22"/>
    </row>
    <row r="5596" spans="1:14" x14ac:dyDescent="0.3">
      <c r="A5596" s="15" t="str">
        <f>IF(COUNTA($B5596:$E5596,$K5596)=0,"",IF(AND($B5596&lt;&gt;"",$C5596&lt;&gt;"",$D5596&lt;&gt;"",$E5596&lt;&gt;""),"TXS"&amp;TEXT(COUNTIFS($B$2:$B5596,"&lt;&gt;",$C$2:$C5596,"&lt;&gt;",$D$2:$D5596,"&lt;&gt;",$E$2:$E5596,"&lt;&gt;"),"00000"),""))</f>
        <v/>
      </c>
      <c r="N5596" s="22"/>
    </row>
    <row r="5597" spans="1:14" x14ac:dyDescent="0.3">
      <c r="A5597" s="15" t="str">
        <f>IF(COUNTA($B5597:$E5597,$K5597)=0,"",IF(AND($B5597&lt;&gt;"",$C5597&lt;&gt;"",$D5597&lt;&gt;"",$E5597&lt;&gt;""),"TXS"&amp;TEXT(COUNTIFS($B$2:$B5597,"&lt;&gt;",$C$2:$C5597,"&lt;&gt;",$D$2:$D5597,"&lt;&gt;",$E$2:$E5597,"&lt;&gt;"),"00000"),""))</f>
        <v/>
      </c>
      <c r="N5597" s="22"/>
    </row>
    <row r="5598" spans="1:14" x14ac:dyDescent="0.3">
      <c r="A5598" s="15" t="str">
        <f>IF(COUNTA($B5598:$E5598,$K5598)=0,"",IF(AND($B5598&lt;&gt;"",$C5598&lt;&gt;"",$D5598&lt;&gt;"",$E5598&lt;&gt;""),"TXS"&amp;TEXT(COUNTIFS($B$2:$B5598,"&lt;&gt;",$C$2:$C5598,"&lt;&gt;",$D$2:$D5598,"&lt;&gt;",$E$2:$E5598,"&lt;&gt;"),"00000"),""))</f>
        <v/>
      </c>
      <c r="N5598" s="22"/>
    </row>
    <row r="5599" spans="1:14" x14ac:dyDescent="0.3">
      <c r="A5599" s="15" t="str">
        <f>IF(COUNTA($B5599:$E5599,$K5599)=0,"",IF(AND($B5599&lt;&gt;"",$C5599&lt;&gt;"",$D5599&lt;&gt;"",$E5599&lt;&gt;""),"TXS"&amp;TEXT(COUNTIFS($B$2:$B5599,"&lt;&gt;",$C$2:$C5599,"&lt;&gt;",$D$2:$D5599,"&lt;&gt;",$E$2:$E5599,"&lt;&gt;"),"00000"),""))</f>
        <v/>
      </c>
      <c r="N5599" s="22"/>
    </row>
    <row r="5600" spans="1:14" x14ac:dyDescent="0.3">
      <c r="A5600" s="15" t="str">
        <f>IF(COUNTA($B5600:$E5600,$K5600)=0,"",IF(AND($B5600&lt;&gt;"",$C5600&lt;&gt;"",$D5600&lt;&gt;"",$E5600&lt;&gt;""),"TXS"&amp;TEXT(COUNTIFS($B$2:$B5600,"&lt;&gt;",$C$2:$C5600,"&lt;&gt;",$D$2:$D5600,"&lt;&gt;",$E$2:$E5600,"&lt;&gt;"),"00000"),""))</f>
        <v/>
      </c>
      <c r="N5600" s="22"/>
    </row>
    <row r="5601" spans="1:14" x14ac:dyDescent="0.3">
      <c r="A5601" s="15" t="str">
        <f>IF(COUNTA($B5601:$E5601,$K5601)=0,"",IF(AND($B5601&lt;&gt;"",$C5601&lt;&gt;"",$D5601&lt;&gt;"",$E5601&lt;&gt;""),"TXS"&amp;TEXT(COUNTIFS($B$2:$B5601,"&lt;&gt;",$C$2:$C5601,"&lt;&gt;",$D$2:$D5601,"&lt;&gt;",$E$2:$E5601,"&lt;&gt;"),"00000"),""))</f>
        <v/>
      </c>
      <c r="N5601" s="22"/>
    </row>
    <row r="5602" spans="1:14" x14ac:dyDescent="0.3">
      <c r="A5602" s="15" t="str">
        <f>IF(COUNTA($B5602:$E5602,$K5602)=0,"",IF(AND($B5602&lt;&gt;"",$C5602&lt;&gt;"",$D5602&lt;&gt;"",$E5602&lt;&gt;""),"TXS"&amp;TEXT(COUNTIFS($B$2:$B5602,"&lt;&gt;",$C$2:$C5602,"&lt;&gt;",$D$2:$D5602,"&lt;&gt;",$E$2:$E5602,"&lt;&gt;"),"00000"),""))</f>
        <v/>
      </c>
      <c r="N5602" s="22"/>
    </row>
    <row r="5603" spans="1:14" x14ac:dyDescent="0.3">
      <c r="A5603" s="15" t="str">
        <f>IF(COUNTA($B5603:$E5603,$K5603)=0,"",IF(AND($B5603&lt;&gt;"",$C5603&lt;&gt;"",$D5603&lt;&gt;"",$E5603&lt;&gt;""),"TXS"&amp;TEXT(COUNTIFS($B$2:$B5603,"&lt;&gt;",$C$2:$C5603,"&lt;&gt;",$D$2:$D5603,"&lt;&gt;",$E$2:$E5603,"&lt;&gt;"),"00000"),""))</f>
        <v/>
      </c>
      <c r="N5603" s="22"/>
    </row>
    <row r="5604" spans="1:14" x14ac:dyDescent="0.3">
      <c r="A5604" s="15" t="str">
        <f>IF(COUNTA($B5604:$E5604,$K5604)=0,"",IF(AND($B5604&lt;&gt;"",$C5604&lt;&gt;"",$D5604&lt;&gt;"",$E5604&lt;&gt;""),"TXS"&amp;TEXT(COUNTIFS($B$2:$B5604,"&lt;&gt;",$C$2:$C5604,"&lt;&gt;",$D$2:$D5604,"&lt;&gt;",$E$2:$E5604,"&lt;&gt;"),"00000"),""))</f>
        <v/>
      </c>
      <c r="N5604" s="22"/>
    </row>
    <row r="5605" spans="1:14" x14ac:dyDescent="0.3">
      <c r="A5605" s="15" t="str">
        <f>IF(COUNTA($B5605:$E5605,$K5605)=0,"",IF(AND($B5605&lt;&gt;"",$C5605&lt;&gt;"",$D5605&lt;&gt;"",$E5605&lt;&gt;""),"TXS"&amp;TEXT(COUNTIFS($B$2:$B5605,"&lt;&gt;",$C$2:$C5605,"&lt;&gt;",$D$2:$D5605,"&lt;&gt;",$E$2:$E5605,"&lt;&gt;"),"00000"),""))</f>
        <v/>
      </c>
      <c r="N5605" s="22"/>
    </row>
    <row r="5606" spans="1:14" x14ac:dyDescent="0.3">
      <c r="A5606" s="15" t="str">
        <f>IF(COUNTA($B5606:$E5606,$K5606)=0,"",IF(AND($B5606&lt;&gt;"",$C5606&lt;&gt;"",$D5606&lt;&gt;"",$E5606&lt;&gt;""),"TXS"&amp;TEXT(COUNTIFS($B$2:$B5606,"&lt;&gt;",$C$2:$C5606,"&lt;&gt;",$D$2:$D5606,"&lt;&gt;",$E$2:$E5606,"&lt;&gt;"),"00000"),""))</f>
        <v/>
      </c>
      <c r="N5606" s="22"/>
    </row>
    <row r="5607" spans="1:14" x14ac:dyDescent="0.3">
      <c r="A5607" s="15" t="str">
        <f>IF(COUNTA($B5607:$E5607,$K5607)=0,"",IF(AND($B5607&lt;&gt;"",$C5607&lt;&gt;"",$D5607&lt;&gt;"",$E5607&lt;&gt;""),"TXS"&amp;TEXT(COUNTIFS($B$2:$B5607,"&lt;&gt;",$C$2:$C5607,"&lt;&gt;",$D$2:$D5607,"&lt;&gt;",$E$2:$E5607,"&lt;&gt;"),"00000"),""))</f>
        <v/>
      </c>
      <c r="N5607" s="22"/>
    </row>
    <row r="5608" spans="1:14" x14ac:dyDescent="0.3">
      <c r="A5608" s="15" t="str">
        <f>IF(COUNTA($B5608:$E5608,$K5608)=0,"",IF(AND($B5608&lt;&gt;"",$C5608&lt;&gt;"",$D5608&lt;&gt;"",$E5608&lt;&gt;""),"TXS"&amp;TEXT(COUNTIFS($B$2:$B5608,"&lt;&gt;",$C$2:$C5608,"&lt;&gt;",$D$2:$D5608,"&lt;&gt;",$E$2:$E5608,"&lt;&gt;"),"00000"),""))</f>
        <v/>
      </c>
      <c r="N5608" s="22"/>
    </row>
    <row r="5609" spans="1:14" x14ac:dyDescent="0.3">
      <c r="A5609" s="15" t="str">
        <f>IF(COUNTA($B5609:$E5609,$K5609)=0,"",IF(AND($B5609&lt;&gt;"",$C5609&lt;&gt;"",$D5609&lt;&gt;"",$E5609&lt;&gt;""),"TXS"&amp;TEXT(COUNTIFS($B$2:$B5609,"&lt;&gt;",$C$2:$C5609,"&lt;&gt;",$D$2:$D5609,"&lt;&gt;",$E$2:$E5609,"&lt;&gt;"),"00000"),""))</f>
        <v/>
      </c>
      <c r="N5609" s="22"/>
    </row>
    <row r="5610" spans="1:14" x14ac:dyDescent="0.3">
      <c r="A5610" s="15" t="str">
        <f>IF(COUNTA($B5610:$E5610,$K5610)=0,"",IF(AND($B5610&lt;&gt;"",$C5610&lt;&gt;"",$D5610&lt;&gt;"",$E5610&lt;&gt;""),"TXS"&amp;TEXT(COUNTIFS($B$2:$B5610,"&lt;&gt;",$C$2:$C5610,"&lt;&gt;",$D$2:$D5610,"&lt;&gt;",$E$2:$E5610,"&lt;&gt;"),"00000"),""))</f>
        <v/>
      </c>
      <c r="N5610" s="22"/>
    </row>
    <row r="5611" spans="1:14" x14ac:dyDescent="0.3">
      <c r="A5611" s="15" t="str">
        <f>IF(COUNTA($B5611:$E5611,$K5611)=0,"",IF(AND($B5611&lt;&gt;"",$C5611&lt;&gt;"",$D5611&lt;&gt;"",$E5611&lt;&gt;""),"TXS"&amp;TEXT(COUNTIFS($B$2:$B5611,"&lt;&gt;",$C$2:$C5611,"&lt;&gt;",$D$2:$D5611,"&lt;&gt;",$E$2:$E5611,"&lt;&gt;"),"00000"),""))</f>
        <v/>
      </c>
      <c r="N5611" s="22"/>
    </row>
    <row r="5612" spans="1:14" x14ac:dyDescent="0.3">
      <c r="A5612" s="15" t="str">
        <f>IF(COUNTA($B5612:$E5612,$K5612)=0,"",IF(AND($B5612&lt;&gt;"",$C5612&lt;&gt;"",$D5612&lt;&gt;"",$E5612&lt;&gt;""),"TXS"&amp;TEXT(COUNTIFS($B$2:$B5612,"&lt;&gt;",$C$2:$C5612,"&lt;&gt;",$D$2:$D5612,"&lt;&gt;",$E$2:$E5612,"&lt;&gt;"),"00000"),""))</f>
        <v/>
      </c>
      <c r="N5612" s="22"/>
    </row>
    <row r="5613" spans="1:14" x14ac:dyDescent="0.3">
      <c r="A5613" s="15" t="str">
        <f>IF(COUNTA($B5613:$E5613,$K5613)=0,"",IF(AND($B5613&lt;&gt;"",$C5613&lt;&gt;"",$D5613&lt;&gt;"",$E5613&lt;&gt;""),"TXS"&amp;TEXT(COUNTIFS($B$2:$B5613,"&lt;&gt;",$C$2:$C5613,"&lt;&gt;",$D$2:$D5613,"&lt;&gt;",$E$2:$E5613,"&lt;&gt;"),"00000"),""))</f>
        <v/>
      </c>
      <c r="N5613" s="22"/>
    </row>
    <row r="5614" spans="1:14" x14ac:dyDescent="0.3">
      <c r="A5614" s="15" t="str">
        <f>IF(COUNTA($B5614:$E5614,$K5614)=0,"",IF(AND($B5614&lt;&gt;"",$C5614&lt;&gt;"",$D5614&lt;&gt;"",$E5614&lt;&gt;""),"TXS"&amp;TEXT(COUNTIFS($B$2:$B5614,"&lt;&gt;",$C$2:$C5614,"&lt;&gt;",$D$2:$D5614,"&lt;&gt;",$E$2:$E5614,"&lt;&gt;"),"00000"),""))</f>
        <v/>
      </c>
      <c r="N5614" s="22"/>
    </row>
    <row r="5615" spans="1:14" x14ac:dyDescent="0.3">
      <c r="A5615" s="15" t="str">
        <f>IF(COUNTA($B5615:$E5615,$K5615)=0,"",IF(AND($B5615&lt;&gt;"",$C5615&lt;&gt;"",$D5615&lt;&gt;"",$E5615&lt;&gt;""),"TXS"&amp;TEXT(COUNTIFS($B$2:$B5615,"&lt;&gt;",$C$2:$C5615,"&lt;&gt;",$D$2:$D5615,"&lt;&gt;",$E$2:$E5615,"&lt;&gt;"),"00000"),""))</f>
        <v/>
      </c>
      <c r="N5615" s="22"/>
    </row>
    <row r="5616" spans="1:14" x14ac:dyDescent="0.3">
      <c r="A5616" s="15" t="str">
        <f>IF(COUNTA($B5616:$E5616,$K5616)=0,"",IF(AND($B5616&lt;&gt;"",$C5616&lt;&gt;"",$D5616&lt;&gt;"",$E5616&lt;&gt;""),"TXS"&amp;TEXT(COUNTIFS($B$2:$B5616,"&lt;&gt;",$C$2:$C5616,"&lt;&gt;",$D$2:$D5616,"&lt;&gt;",$E$2:$E5616,"&lt;&gt;"),"00000"),""))</f>
        <v/>
      </c>
      <c r="N5616" s="22"/>
    </row>
    <row r="5617" spans="1:14" x14ac:dyDescent="0.3">
      <c r="A5617" s="15" t="str">
        <f>IF(COUNTA($B5617:$E5617,$K5617)=0,"",IF(AND($B5617&lt;&gt;"",$C5617&lt;&gt;"",$D5617&lt;&gt;"",$E5617&lt;&gt;""),"TXS"&amp;TEXT(COUNTIFS($B$2:$B5617,"&lt;&gt;",$C$2:$C5617,"&lt;&gt;",$D$2:$D5617,"&lt;&gt;",$E$2:$E5617,"&lt;&gt;"),"00000"),""))</f>
        <v/>
      </c>
      <c r="N5617" s="22"/>
    </row>
    <row r="5618" spans="1:14" x14ac:dyDescent="0.3">
      <c r="A5618" s="15" t="str">
        <f>IF(COUNTA($B5618:$E5618,$K5618)=0,"",IF(AND($B5618&lt;&gt;"",$C5618&lt;&gt;"",$D5618&lt;&gt;"",$E5618&lt;&gt;""),"TXS"&amp;TEXT(COUNTIFS($B$2:$B5618,"&lt;&gt;",$C$2:$C5618,"&lt;&gt;",$D$2:$D5618,"&lt;&gt;",$E$2:$E5618,"&lt;&gt;"),"00000"),""))</f>
        <v/>
      </c>
      <c r="N5618" s="22"/>
    </row>
    <row r="5619" spans="1:14" x14ac:dyDescent="0.3">
      <c r="A5619" s="15" t="str">
        <f>IF(COUNTA($B5619:$E5619,$K5619)=0,"",IF(AND($B5619&lt;&gt;"",$C5619&lt;&gt;"",$D5619&lt;&gt;"",$E5619&lt;&gt;""),"TXS"&amp;TEXT(COUNTIFS($B$2:$B5619,"&lt;&gt;",$C$2:$C5619,"&lt;&gt;",$D$2:$D5619,"&lt;&gt;",$E$2:$E5619,"&lt;&gt;"),"00000"),""))</f>
        <v/>
      </c>
      <c r="N5619" s="22"/>
    </row>
    <row r="5620" spans="1:14" x14ac:dyDescent="0.3">
      <c r="A5620" s="15" t="str">
        <f>IF(COUNTA($B5620:$E5620,$K5620)=0,"",IF(AND($B5620&lt;&gt;"",$C5620&lt;&gt;"",$D5620&lt;&gt;"",$E5620&lt;&gt;""),"TXS"&amp;TEXT(COUNTIFS($B$2:$B5620,"&lt;&gt;",$C$2:$C5620,"&lt;&gt;",$D$2:$D5620,"&lt;&gt;",$E$2:$E5620,"&lt;&gt;"),"00000"),""))</f>
        <v/>
      </c>
      <c r="N5620" s="22"/>
    </row>
    <row r="5621" spans="1:14" x14ac:dyDescent="0.3">
      <c r="A5621" s="15" t="str">
        <f>IF(COUNTA($B5621:$E5621,$K5621)=0,"",IF(AND($B5621&lt;&gt;"",$C5621&lt;&gt;"",$D5621&lt;&gt;"",$E5621&lt;&gt;""),"TXS"&amp;TEXT(COUNTIFS($B$2:$B5621,"&lt;&gt;",$C$2:$C5621,"&lt;&gt;",$D$2:$D5621,"&lt;&gt;",$E$2:$E5621,"&lt;&gt;"),"00000"),""))</f>
        <v/>
      </c>
      <c r="N5621" s="22"/>
    </row>
    <row r="5622" spans="1:14" x14ac:dyDescent="0.3">
      <c r="A5622" s="15" t="str">
        <f>IF(COUNTA($B5622:$E5622,$K5622)=0,"",IF(AND($B5622&lt;&gt;"",$C5622&lt;&gt;"",$D5622&lt;&gt;"",$E5622&lt;&gt;""),"TXS"&amp;TEXT(COUNTIFS($B$2:$B5622,"&lt;&gt;",$C$2:$C5622,"&lt;&gt;",$D$2:$D5622,"&lt;&gt;",$E$2:$E5622,"&lt;&gt;"),"00000"),""))</f>
        <v/>
      </c>
      <c r="N5622" s="22"/>
    </row>
    <row r="5623" spans="1:14" x14ac:dyDescent="0.3">
      <c r="A5623" s="15" t="str">
        <f>IF(COUNTA($B5623:$E5623,$K5623)=0,"",IF(AND($B5623&lt;&gt;"",$C5623&lt;&gt;"",$D5623&lt;&gt;"",$E5623&lt;&gt;""),"TXS"&amp;TEXT(COUNTIFS($B$2:$B5623,"&lt;&gt;",$C$2:$C5623,"&lt;&gt;",$D$2:$D5623,"&lt;&gt;",$E$2:$E5623,"&lt;&gt;"),"00000"),""))</f>
        <v/>
      </c>
      <c r="N5623" s="22"/>
    </row>
    <row r="5624" spans="1:14" x14ac:dyDescent="0.3">
      <c r="A5624" s="15" t="str">
        <f>IF(COUNTA($B5624:$E5624,$K5624)=0,"",IF(AND($B5624&lt;&gt;"",$C5624&lt;&gt;"",$D5624&lt;&gt;"",$E5624&lt;&gt;""),"TXS"&amp;TEXT(COUNTIFS($B$2:$B5624,"&lt;&gt;",$C$2:$C5624,"&lt;&gt;",$D$2:$D5624,"&lt;&gt;",$E$2:$E5624,"&lt;&gt;"),"00000"),""))</f>
        <v/>
      </c>
      <c r="N5624" s="22"/>
    </row>
    <row r="5625" spans="1:14" x14ac:dyDescent="0.3">
      <c r="A5625" s="15" t="str">
        <f>IF(COUNTA($B5625:$E5625,$K5625)=0,"",IF(AND($B5625&lt;&gt;"",$C5625&lt;&gt;"",$D5625&lt;&gt;"",$E5625&lt;&gt;""),"TXS"&amp;TEXT(COUNTIFS($B$2:$B5625,"&lt;&gt;",$C$2:$C5625,"&lt;&gt;",$D$2:$D5625,"&lt;&gt;",$E$2:$E5625,"&lt;&gt;"),"00000"),""))</f>
        <v/>
      </c>
      <c r="N5625" s="22"/>
    </row>
    <row r="5626" spans="1:14" x14ac:dyDescent="0.3">
      <c r="A5626" s="15" t="str">
        <f>IF(COUNTA($B5626:$E5626,$K5626)=0,"",IF(AND($B5626&lt;&gt;"",$C5626&lt;&gt;"",$D5626&lt;&gt;"",$E5626&lt;&gt;""),"TXS"&amp;TEXT(COUNTIFS($B$2:$B5626,"&lt;&gt;",$C$2:$C5626,"&lt;&gt;",$D$2:$D5626,"&lt;&gt;",$E$2:$E5626,"&lt;&gt;"),"00000"),""))</f>
        <v/>
      </c>
      <c r="N5626" s="22"/>
    </row>
    <row r="5627" spans="1:14" x14ac:dyDescent="0.3">
      <c r="A5627" s="15" t="str">
        <f>IF(COUNTA($B5627:$E5627,$K5627)=0,"",IF(AND($B5627&lt;&gt;"",$C5627&lt;&gt;"",$D5627&lt;&gt;"",$E5627&lt;&gt;""),"TXS"&amp;TEXT(COUNTIFS($B$2:$B5627,"&lt;&gt;",$C$2:$C5627,"&lt;&gt;",$D$2:$D5627,"&lt;&gt;",$E$2:$E5627,"&lt;&gt;"),"00000"),""))</f>
        <v/>
      </c>
      <c r="N5627" s="22"/>
    </row>
    <row r="5628" spans="1:14" x14ac:dyDescent="0.3">
      <c r="A5628" s="15" t="str">
        <f>IF(COUNTA($B5628:$E5628,$K5628)=0,"",IF(AND($B5628&lt;&gt;"",$C5628&lt;&gt;"",$D5628&lt;&gt;"",$E5628&lt;&gt;""),"TXS"&amp;TEXT(COUNTIFS($B$2:$B5628,"&lt;&gt;",$C$2:$C5628,"&lt;&gt;",$D$2:$D5628,"&lt;&gt;",$E$2:$E5628,"&lt;&gt;"),"00000"),""))</f>
        <v/>
      </c>
      <c r="N5628" s="22"/>
    </row>
    <row r="5629" spans="1:14" x14ac:dyDescent="0.3">
      <c r="A5629" s="15" t="str">
        <f>IF(COUNTA($B5629:$E5629,$K5629)=0,"",IF(AND($B5629&lt;&gt;"",$C5629&lt;&gt;"",$D5629&lt;&gt;"",$E5629&lt;&gt;""),"TXS"&amp;TEXT(COUNTIFS($B$2:$B5629,"&lt;&gt;",$C$2:$C5629,"&lt;&gt;",$D$2:$D5629,"&lt;&gt;",$E$2:$E5629,"&lt;&gt;"),"00000"),""))</f>
        <v/>
      </c>
      <c r="N5629" s="22"/>
    </row>
    <row r="5630" spans="1:14" x14ac:dyDescent="0.3">
      <c r="A5630" s="15" t="str">
        <f>IF(COUNTA($B5630:$E5630,$K5630)=0,"",IF(AND($B5630&lt;&gt;"",$C5630&lt;&gt;"",$D5630&lt;&gt;"",$E5630&lt;&gt;""),"TXS"&amp;TEXT(COUNTIFS($B$2:$B5630,"&lt;&gt;",$C$2:$C5630,"&lt;&gt;",$D$2:$D5630,"&lt;&gt;",$E$2:$E5630,"&lt;&gt;"),"00000"),""))</f>
        <v/>
      </c>
      <c r="N5630" s="22"/>
    </row>
    <row r="5631" spans="1:14" x14ac:dyDescent="0.3">
      <c r="A5631" s="15" t="str">
        <f>IF(COUNTA($B5631:$E5631,$K5631)=0,"",IF(AND($B5631&lt;&gt;"",$C5631&lt;&gt;"",$D5631&lt;&gt;"",$E5631&lt;&gt;""),"TXS"&amp;TEXT(COUNTIFS($B$2:$B5631,"&lt;&gt;",$C$2:$C5631,"&lt;&gt;",$D$2:$D5631,"&lt;&gt;",$E$2:$E5631,"&lt;&gt;"),"00000"),""))</f>
        <v/>
      </c>
      <c r="N5631" s="22"/>
    </row>
    <row r="5632" spans="1:14" x14ac:dyDescent="0.3">
      <c r="A5632" s="15" t="str">
        <f>IF(COUNTA($B5632:$E5632,$K5632)=0,"",IF(AND($B5632&lt;&gt;"",$C5632&lt;&gt;"",$D5632&lt;&gt;"",$E5632&lt;&gt;""),"TXS"&amp;TEXT(COUNTIFS($B$2:$B5632,"&lt;&gt;",$C$2:$C5632,"&lt;&gt;",$D$2:$D5632,"&lt;&gt;",$E$2:$E5632,"&lt;&gt;"),"00000"),""))</f>
        <v/>
      </c>
      <c r="N5632" s="22"/>
    </row>
    <row r="5633" spans="1:14" x14ac:dyDescent="0.3">
      <c r="A5633" s="15" t="str">
        <f>IF(COUNTA($B5633:$E5633,$K5633)=0,"",IF(AND($B5633&lt;&gt;"",$C5633&lt;&gt;"",$D5633&lt;&gt;"",$E5633&lt;&gt;""),"TXS"&amp;TEXT(COUNTIFS($B$2:$B5633,"&lt;&gt;",$C$2:$C5633,"&lt;&gt;",$D$2:$D5633,"&lt;&gt;",$E$2:$E5633,"&lt;&gt;"),"00000"),""))</f>
        <v/>
      </c>
      <c r="N5633" s="22"/>
    </row>
    <row r="5634" spans="1:14" x14ac:dyDescent="0.3">
      <c r="A5634" s="15" t="str">
        <f>IF(COUNTA($B5634:$E5634,$K5634)=0,"",IF(AND($B5634&lt;&gt;"",$C5634&lt;&gt;"",$D5634&lt;&gt;"",$E5634&lt;&gt;""),"TXS"&amp;TEXT(COUNTIFS($B$2:$B5634,"&lt;&gt;",$C$2:$C5634,"&lt;&gt;",$D$2:$D5634,"&lt;&gt;",$E$2:$E5634,"&lt;&gt;"),"00000"),""))</f>
        <v/>
      </c>
      <c r="N5634" s="22"/>
    </row>
    <row r="5635" spans="1:14" x14ac:dyDescent="0.3">
      <c r="A5635" s="15" t="str">
        <f>IF(COUNTA($B5635:$E5635,$K5635)=0,"",IF(AND($B5635&lt;&gt;"",$C5635&lt;&gt;"",$D5635&lt;&gt;"",$E5635&lt;&gt;""),"TXS"&amp;TEXT(COUNTIFS($B$2:$B5635,"&lt;&gt;",$C$2:$C5635,"&lt;&gt;",$D$2:$D5635,"&lt;&gt;",$E$2:$E5635,"&lt;&gt;"),"00000"),""))</f>
        <v/>
      </c>
      <c r="N5635" s="22"/>
    </row>
    <row r="5636" spans="1:14" x14ac:dyDescent="0.3">
      <c r="A5636" s="15" t="str">
        <f>IF(COUNTA($B5636:$E5636,$K5636)=0,"",IF(AND($B5636&lt;&gt;"",$C5636&lt;&gt;"",$D5636&lt;&gt;"",$E5636&lt;&gt;""),"TXS"&amp;TEXT(COUNTIFS($B$2:$B5636,"&lt;&gt;",$C$2:$C5636,"&lt;&gt;",$D$2:$D5636,"&lt;&gt;",$E$2:$E5636,"&lt;&gt;"),"00000"),""))</f>
        <v/>
      </c>
      <c r="N5636" s="22"/>
    </row>
    <row r="5637" spans="1:14" x14ac:dyDescent="0.3">
      <c r="A5637" s="15" t="str">
        <f>IF(COUNTA($B5637:$E5637,$K5637)=0,"",IF(AND($B5637&lt;&gt;"",$C5637&lt;&gt;"",$D5637&lt;&gt;"",$E5637&lt;&gt;""),"TXS"&amp;TEXT(COUNTIFS($B$2:$B5637,"&lt;&gt;",$C$2:$C5637,"&lt;&gt;",$D$2:$D5637,"&lt;&gt;",$E$2:$E5637,"&lt;&gt;"),"00000"),""))</f>
        <v/>
      </c>
      <c r="N5637" s="22"/>
    </row>
    <row r="5638" spans="1:14" x14ac:dyDescent="0.3">
      <c r="A5638" s="15" t="str">
        <f>IF(COUNTA($B5638:$E5638,$K5638)=0,"",IF(AND($B5638&lt;&gt;"",$C5638&lt;&gt;"",$D5638&lt;&gt;"",$E5638&lt;&gt;""),"TXS"&amp;TEXT(COUNTIFS($B$2:$B5638,"&lt;&gt;",$C$2:$C5638,"&lt;&gt;",$D$2:$D5638,"&lt;&gt;",$E$2:$E5638,"&lt;&gt;"),"00000"),""))</f>
        <v/>
      </c>
      <c r="N5638" s="22"/>
    </row>
    <row r="5639" spans="1:14" x14ac:dyDescent="0.3">
      <c r="A5639" s="15" t="str">
        <f>IF(COUNTA($B5639:$E5639,$K5639)=0,"",IF(AND($B5639&lt;&gt;"",$C5639&lt;&gt;"",$D5639&lt;&gt;"",$E5639&lt;&gt;""),"TXS"&amp;TEXT(COUNTIFS($B$2:$B5639,"&lt;&gt;",$C$2:$C5639,"&lt;&gt;",$D$2:$D5639,"&lt;&gt;",$E$2:$E5639,"&lt;&gt;"),"00000"),""))</f>
        <v/>
      </c>
      <c r="N5639" s="22"/>
    </row>
    <row r="5640" spans="1:14" x14ac:dyDescent="0.3">
      <c r="A5640" s="15" t="str">
        <f>IF(COUNTA($B5640:$E5640,$K5640)=0,"",IF(AND($B5640&lt;&gt;"",$C5640&lt;&gt;"",$D5640&lt;&gt;"",$E5640&lt;&gt;""),"TXS"&amp;TEXT(COUNTIFS($B$2:$B5640,"&lt;&gt;",$C$2:$C5640,"&lt;&gt;",$D$2:$D5640,"&lt;&gt;",$E$2:$E5640,"&lt;&gt;"),"00000"),""))</f>
        <v/>
      </c>
      <c r="N5640" s="22"/>
    </row>
    <row r="5641" spans="1:14" x14ac:dyDescent="0.3">
      <c r="A5641" s="15" t="str">
        <f>IF(COUNTA($B5641:$E5641,$K5641)=0,"",IF(AND($B5641&lt;&gt;"",$C5641&lt;&gt;"",$D5641&lt;&gt;"",$E5641&lt;&gt;""),"TXS"&amp;TEXT(COUNTIFS($B$2:$B5641,"&lt;&gt;",$C$2:$C5641,"&lt;&gt;",$D$2:$D5641,"&lt;&gt;",$E$2:$E5641,"&lt;&gt;"),"00000"),""))</f>
        <v/>
      </c>
      <c r="N5641" s="22"/>
    </row>
    <row r="5642" spans="1:14" x14ac:dyDescent="0.3">
      <c r="A5642" s="15" t="str">
        <f>IF(COUNTA($B5642:$E5642,$K5642)=0,"",IF(AND($B5642&lt;&gt;"",$C5642&lt;&gt;"",$D5642&lt;&gt;"",$E5642&lt;&gt;""),"TXS"&amp;TEXT(COUNTIFS($B$2:$B5642,"&lt;&gt;",$C$2:$C5642,"&lt;&gt;",$D$2:$D5642,"&lt;&gt;",$E$2:$E5642,"&lt;&gt;"),"00000"),""))</f>
        <v/>
      </c>
      <c r="N5642" s="22"/>
    </row>
    <row r="5643" spans="1:14" x14ac:dyDescent="0.3">
      <c r="A5643" s="15" t="str">
        <f>IF(COUNTA($B5643:$E5643,$K5643)=0,"",IF(AND($B5643&lt;&gt;"",$C5643&lt;&gt;"",$D5643&lt;&gt;"",$E5643&lt;&gt;""),"TXS"&amp;TEXT(COUNTIFS($B$2:$B5643,"&lt;&gt;",$C$2:$C5643,"&lt;&gt;",$D$2:$D5643,"&lt;&gt;",$E$2:$E5643,"&lt;&gt;"),"00000"),""))</f>
        <v/>
      </c>
      <c r="N5643" s="22"/>
    </row>
    <row r="5644" spans="1:14" x14ac:dyDescent="0.3">
      <c r="A5644" s="15" t="str">
        <f>IF(COUNTA($B5644:$E5644,$K5644)=0,"",IF(AND($B5644&lt;&gt;"",$C5644&lt;&gt;"",$D5644&lt;&gt;"",$E5644&lt;&gt;""),"TXS"&amp;TEXT(COUNTIFS($B$2:$B5644,"&lt;&gt;",$C$2:$C5644,"&lt;&gt;",$D$2:$D5644,"&lt;&gt;",$E$2:$E5644,"&lt;&gt;"),"00000"),""))</f>
        <v/>
      </c>
      <c r="N5644" s="22"/>
    </row>
    <row r="5645" spans="1:14" x14ac:dyDescent="0.3">
      <c r="A5645" s="15" t="str">
        <f>IF(COUNTA($B5645:$E5645,$K5645)=0,"",IF(AND($B5645&lt;&gt;"",$C5645&lt;&gt;"",$D5645&lt;&gt;"",$E5645&lt;&gt;""),"TXS"&amp;TEXT(COUNTIFS($B$2:$B5645,"&lt;&gt;",$C$2:$C5645,"&lt;&gt;",$D$2:$D5645,"&lt;&gt;",$E$2:$E5645,"&lt;&gt;"),"00000"),""))</f>
        <v/>
      </c>
      <c r="N5645" s="22"/>
    </row>
    <row r="5646" spans="1:14" x14ac:dyDescent="0.3">
      <c r="A5646" s="15" t="str">
        <f>IF(COUNTA($B5646:$E5646,$K5646)=0,"",IF(AND($B5646&lt;&gt;"",$C5646&lt;&gt;"",$D5646&lt;&gt;"",$E5646&lt;&gt;""),"TXS"&amp;TEXT(COUNTIFS($B$2:$B5646,"&lt;&gt;",$C$2:$C5646,"&lt;&gt;",$D$2:$D5646,"&lt;&gt;",$E$2:$E5646,"&lt;&gt;"),"00000"),""))</f>
        <v/>
      </c>
      <c r="N5646" s="22"/>
    </row>
    <row r="5647" spans="1:14" x14ac:dyDescent="0.3">
      <c r="A5647" s="15" t="str">
        <f>IF(COUNTA($B5647:$E5647,$K5647)=0,"",IF(AND($B5647&lt;&gt;"",$C5647&lt;&gt;"",$D5647&lt;&gt;"",$E5647&lt;&gt;""),"TXS"&amp;TEXT(COUNTIFS($B$2:$B5647,"&lt;&gt;",$C$2:$C5647,"&lt;&gt;",$D$2:$D5647,"&lt;&gt;",$E$2:$E5647,"&lt;&gt;"),"00000"),""))</f>
        <v/>
      </c>
      <c r="N5647" s="22"/>
    </row>
    <row r="5648" spans="1:14" x14ac:dyDescent="0.3">
      <c r="A5648" s="15" t="str">
        <f>IF(COUNTA($B5648:$E5648,$K5648)=0,"",IF(AND($B5648&lt;&gt;"",$C5648&lt;&gt;"",$D5648&lt;&gt;"",$E5648&lt;&gt;""),"TXS"&amp;TEXT(COUNTIFS($B$2:$B5648,"&lt;&gt;",$C$2:$C5648,"&lt;&gt;",$D$2:$D5648,"&lt;&gt;",$E$2:$E5648,"&lt;&gt;"),"00000"),""))</f>
        <v/>
      </c>
      <c r="N5648" s="22"/>
    </row>
    <row r="5649" spans="1:14" x14ac:dyDescent="0.3">
      <c r="A5649" s="15" t="str">
        <f>IF(COUNTA($B5649:$E5649,$K5649)=0,"",IF(AND($B5649&lt;&gt;"",$C5649&lt;&gt;"",$D5649&lt;&gt;"",$E5649&lt;&gt;""),"TXS"&amp;TEXT(COUNTIFS($B$2:$B5649,"&lt;&gt;",$C$2:$C5649,"&lt;&gt;",$D$2:$D5649,"&lt;&gt;",$E$2:$E5649,"&lt;&gt;"),"00000"),""))</f>
        <v/>
      </c>
      <c r="N5649" s="22"/>
    </row>
    <row r="5650" spans="1:14" x14ac:dyDescent="0.3">
      <c r="A5650" s="15" t="str">
        <f>IF(COUNTA($B5650:$E5650,$K5650)=0,"",IF(AND($B5650&lt;&gt;"",$C5650&lt;&gt;"",$D5650&lt;&gt;"",$E5650&lt;&gt;""),"TXS"&amp;TEXT(COUNTIFS($B$2:$B5650,"&lt;&gt;",$C$2:$C5650,"&lt;&gt;",$D$2:$D5650,"&lt;&gt;",$E$2:$E5650,"&lt;&gt;"),"00000"),""))</f>
        <v/>
      </c>
      <c r="N5650" s="22"/>
    </row>
    <row r="5651" spans="1:14" x14ac:dyDescent="0.3">
      <c r="A5651" s="15" t="str">
        <f>IF(COUNTA($B5651:$E5651,$K5651)=0,"",IF(AND($B5651&lt;&gt;"",$C5651&lt;&gt;"",$D5651&lt;&gt;"",$E5651&lt;&gt;""),"TXS"&amp;TEXT(COUNTIFS($B$2:$B5651,"&lt;&gt;",$C$2:$C5651,"&lt;&gt;",$D$2:$D5651,"&lt;&gt;",$E$2:$E5651,"&lt;&gt;"),"00000"),""))</f>
        <v/>
      </c>
      <c r="N5651" s="22"/>
    </row>
    <row r="5652" spans="1:14" x14ac:dyDescent="0.3">
      <c r="A5652" s="15" t="str">
        <f>IF(COUNTA($B5652:$E5652,$K5652)=0,"",IF(AND($B5652&lt;&gt;"",$C5652&lt;&gt;"",$D5652&lt;&gt;"",$E5652&lt;&gt;""),"TXS"&amp;TEXT(COUNTIFS($B$2:$B5652,"&lt;&gt;",$C$2:$C5652,"&lt;&gt;",$D$2:$D5652,"&lt;&gt;",$E$2:$E5652,"&lt;&gt;"),"00000"),""))</f>
        <v/>
      </c>
      <c r="N5652" s="22"/>
    </row>
    <row r="5653" spans="1:14" x14ac:dyDescent="0.3">
      <c r="A5653" s="15" t="str">
        <f>IF(COUNTA($B5653:$E5653,$K5653)=0,"",IF(AND($B5653&lt;&gt;"",$C5653&lt;&gt;"",$D5653&lt;&gt;"",$E5653&lt;&gt;""),"TXS"&amp;TEXT(COUNTIFS($B$2:$B5653,"&lt;&gt;",$C$2:$C5653,"&lt;&gt;",$D$2:$D5653,"&lt;&gt;",$E$2:$E5653,"&lt;&gt;"),"00000"),""))</f>
        <v/>
      </c>
      <c r="N5653" s="22"/>
    </row>
    <row r="5654" spans="1:14" x14ac:dyDescent="0.3">
      <c r="A5654" s="15" t="str">
        <f>IF(COUNTA($B5654:$E5654,$K5654)=0,"",IF(AND($B5654&lt;&gt;"",$C5654&lt;&gt;"",$D5654&lt;&gt;"",$E5654&lt;&gt;""),"TXS"&amp;TEXT(COUNTIFS($B$2:$B5654,"&lt;&gt;",$C$2:$C5654,"&lt;&gt;",$D$2:$D5654,"&lt;&gt;",$E$2:$E5654,"&lt;&gt;"),"00000"),""))</f>
        <v/>
      </c>
      <c r="N5654" s="22"/>
    </row>
    <row r="5655" spans="1:14" x14ac:dyDescent="0.3">
      <c r="A5655" s="15" t="str">
        <f>IF(COUNTA($B5655:$E5655,$K5655)=0,"",IF(AND($B5655&lt;&gt;"",$C5655&lt;&gt;"",$D5655&lt;&gt;"",$E5655&lt;&gt;""),"TXS"&amp;TEXT(COUNTIFS($B$2:$B5655,"&lt;&gt;",$C$2:$C5655,"&lt;&gt;",$D$2:$D5655,"&lt;&gt;",$E$2:$E5655,"&lt;&gt;"),"00000"),""))</f>
        <v/>
      </c>
      <c r="N5655" s="22"/>
    </row>
    <row r="5656" spans="1:14" x14ac:dyDescent="0.3">
      <c r="A5656" s="15" t="str">
        <f>IF(COUNTA($B5656:$E5656,$K5656)=0,"",IF(AND($B5656&lt;&gt;"",$C5656&lt;&gt;"",$D5656&lt;&gt;"",$E5656&lt;&gt;""),"TXS"&amp;TEXT(COUNTIFS($B$2:$B5656,"&lt;&gt;",$C$2:$C5656,"&lt;&gt;",$D$2:$D5656,"&lt;&gt;",$E$2:$E5656,"&lt;&gt;"),"00000"),""))</f>
        <v/>
      </c>
      <c r="N5656" s="22"/>
    </row>
    <row r="5657" spans="1:14" x14ac:dyDescent="0.3">
      <c r="A5657" s="15" t="str">
        <f>IF(COUNTA($B5657:$E5657,$K5657)=0,"",IF(AND($B5657&lt;&gt;"",$C5657&lt;&gt;"",$D5657&lt;&gt;"",$E5657&lt;&gt;""),"TXS"&amp;TEXT(COUNTIFS($B$2:$B5657,"&lt;&gt;",$C$2:$C5657,"&lt;&gt;",$D$2:$D5657,"&lt;&gt;",$E$2:$E5657,"&lt;&gt;"),"00000"),""))</f>
        <v/>
      </c>
      <c r="N5657" s="22"/>
    </row>
    <row r="5658" spans="1:14" x14ac:dyDescent="0.3">
      <c r="A5658" s="15" t="str">
        <f>IF(COUNTA($B5658:$E5658,$K5658)=0,"",IF(AND($B5658&lt;&gt;"",$C5658&lt;&gt;"",$D5658&lt;&gt;"",$E5658&lt;&gt;""),"TXS"&amp;TEXT(COUNTIFS($B$2:$B5658,"&lt;&gt;",$C$2:$C5658,"&lt;&gt;",$D$2:$D5658,"&lt;&gt;",$E$2:$E5658,"&lt;&gt;"),"00000"),""))</f>
        <v/>
      </c>
      <c r="N5658" s="22"/>
    </row>
    <row r="5659" spans="1:14" x14ac:dyDescent="0.3">
      <c r="A5659" s="15" t="str">
        <f>IF(COUNTA($B5659:$E5659,$K5659)=0,"",IF(AND($B5659&lt;&gt;"",$C5659&lt;&gt;"",$D5659&lt;&gt;"",$E5659&lt;&gt;""),"TXS"&amp;TEXT(COUNTIFS($B$2:$B5659,"&lt;&gt;",$C$2:$C5659,"&lt;&gt;",$D$2:$D5659,"&lt;&gt;",$E$2:$E5659,"&lt;&gt;"),"00000"),""))</f>
        <v/>
      </c>
      <c r="N5659" s="22"/>
    </row>
    <row r="5660" spans="1:14" x14ac:dyDescent="0.3">
      <c r="A5660" s="15" t="str">
        <f>IF(COUNTA($B5660:$E5660,$K5660)=0,"",IF(AND($B5660&lt;&gt;"",$C5660&lt;&gt;"",$D5660&lt;&gt;"",$E5660&lt;&gt;""),"TXS"&amp;TEXT(COUNTIFS($B$2:$B5660,"&lt;&gt;",$C$2:$C5660,"&lt;&gt;",$D$2:$D5660,"&lt;&gt;",$E$2:$E5660,"&lt;&gt;"),"00000"),""))</f>
        <v/>
      </c>
      <c r="N5660" s="22"/>
    </row>
    <row r="5661" spans="1:14" x14ac:dyDescent="0.3">
      <c r="A5661" s="15" t="str">
        <f>IF(COUNTA($B5661:$E5661,$K5661)=0,"",IF(AND($B5661&lt;&gt;"",$C5661&lt;&gt;"",$D5661&lt;&gt;"",$E5661&lt;&gt;""),"TXS"&amp;TEXT(COUNTIFS($B$2:$B5661,"&lt;&gt;",$C$2:$C5661,"&lt;&gt;",$D$2:$D5661,"&lt;&gt;",$E$2:$E5661,"&lt;&gt;"),"00000"),""))</f>
        <v/>
      </c>
      <c r="N5661" s="22"/>
    </row>
    <row r="5662" spans="1:14" x14ac:dyDescent="0.3">
      <c r="A5662" s="15" t="str">
        <f>IF(COUNTA($B5662:$E5662,$K5662)=0,"",IF(AND($B5662&lt;&gt;"",$C5662&lt;&gt;"",$D5662&lt;&gt;"",$E5662&lt;&gt;""),"TXS"&amp;TEXT(COUNTIFS($B$2:$B5662,"&lt;&gt;",$C$2:$C5662,"&lt;&gt;",$D$2:$D5662,"&lt;&gt;",$E$2:$E5662,"&lt;&gt;"),"00000"),""))</f>
        <v/>
      </c>
      <c r="N5662" s="22"/>
    </row>
    <row r="5663" spans="1:14" x14ac:dyDescent="0.3">
      <c r="A5663" s="15" t="str">
        <f>IF(COUNTA($B5663:$E5663,$K5663)=0,"",IF(AND($B5663&lt;&gt;"",$C5663&lt;&gt;"",$D5663&lt;&gt;"",$E5663&lt;&gt;""),"TXS"&amp;TEXT(COUNTIFS($B$2:$B5663,"&lt;&gt;",$C$2:$C5663,"&lt;&gt;",$D$2:$D5663,"&lt;&gt;",$E$2:$E5663,"&lt;&gt;"),"00000"),""))</f>
        <v/>
      </c>
      <c r="N5663" s="22"/>
    </row>
    <row r="5664" spans="1:14" x14ac:dyDescent="0.3">
      <c r="A5664" s="15" t="str">
        <f>IF(COUNTA($B5664:$E5664,$K5664)=0,"",IF(AND($B5664&lt;&gt;"",$C5664&lt;&gt;"",$D5664&lt;&gt;"",$E5664&lt;&gt;""),"TXS"&amp;TEXT(COUNTIFS($B$2:$B5664,"&lt;&gt;",$C$2:$C5664,"&lt;&gt;",$D$2:$D5664,"&lt;&gt;",$E$2:$E5664,"&lt;&gt;"),"00000"),""))</f>
        <v/>
      </c>
      <c r="N5664" s="22"/>
    </row>
    <row r="5665" spans="1:14" x14ac:dyDescent="0.3">
      <c r="A5665" s="15" t="str">
        <f>IF(COUNTA($B5665:$E5665,$K5665)=0,"",IF(AND($B5665&lt;&gt;"",$C5665&lt;&gt;"",$D5665&lt;&gt;"",$E5665&lt;&gt;""),"TXS"&amp;TEXT(COUNTIFS($B$2:$B5665,"&lt;&gt;",$C$2:$C5665,"&lt;&gt;",$D$2:$D5665,"&lt;&gt;",$E$2:$E5665,"&lt;&gt;"),"00000"),""))</f>
        <v/>
      </c>
      <c r="N5665" s="22"/>
    </row>
    <row r="5666" spans="1:14" x14ac:dyDescent="0.3">
      <c r="A5666" s="15" t="str">
        <f>IF(COUNTA($B5666:$E5666,$K5666)=0,"",IF(AND($B5666&lt;&gt;"",$C5666&lt;&gt;"",$D5666&lt;&gt;"",$E5666&lt;&gt;""),"TXS"&amp;TEXT(COUNTIFS($B$2:$B5666,"&lt;&gt;",$C$2:$C5666,"&lt;&gt;",$D$2:$D5666,"&lt;&gt;",$E$2:$E5666,"&lt;&gt;"),"00000"),""))</f>
        <v/>
      </c>
      <c r="N5666" s="22"/>
    </row>
    <row r="5667" spans="1:14" x14ac:dyDescent="0.3">
      <c r="A5667" s="15" t="str">
        <f>IF(COUNTA($B5667:$E5667,$K5667)=0,"",IF(AND($B5667&lt;&gt;"",$C5667&lt;&gt;"",$D5667&lt;&gt;"",$E5667&lt;&gt;""),"TXS"&amp;TEXT(COUNTIFS($B$2:$B5667,"&lt;&gt;",$C$2:$C5667,"&lt;&gt;",$D$2:$D5667,"&lt;&gt;",$E$2:$E5667,"&lt;&gt;"),"00000"),""))</f>
        <v/>
      </c>
      <c r="N5667" s="22"/>
    </row>
    <row r="5668" spans="1:14" x14ac:dyDescent="0.3">
      <c r="A5668" s="15" t="str">
        <f>IF(COUNTA($B5668:$E5668,$K5668)=0,"",IF(AND($B5668&lt;&gt;"",$C5668&lt;&gt;"",$D5668&lt;&gt;"",$E5668&lt;&gt;""),"TXS"&amp;TEXT(COUNTIFS($B$2:$B5668,"&lt;&gt;",$C$2:$C5668,"&lt;&gt;",$D$2:$D5668,"&lt;&gt;",$E$2:$E5668,"&lt;&gt;"),"00000"),""))</f>
        <v/>
      </c>
      <c r="N5668" s="22"/>
    </row>
    <row r="5669" spans="1:14" x14ac:dyDescent="0.3">
      <c r="A5669" s="15" t="str">
        <f>IF(COUNTA($B5669:$E5669,$K5669)=0,"",IF(AND($B5669&lt;&gt;"",$C5669&lt;&gt;"",$D5669&lt;&gt;"",$E5669&lt;&gt;""),"TXS"&amp;TEXT(COUNTIFS($B$2:$B5669,"&lt;&gt;",$C$2:$C5669,"&lt;&gt;",$D$2:$D5669,"&lt;&gt;",$E$2:$E5669,"&lt;&gt;"),"00000"),""))</f>
        <v/>
      </c>
      <c r="N5669" s="22"/>
    </row>
    <row r="5670" spans="1:14" x14ac:dyDescent="0.3">
      <c r="A5670" s="15" t="str">
        <f>IF(COUNTA($B5670:$E5670,$K5670)=0,"",IF(AND($B5670&lt;&gt;"",$C5670&lt;&gt;"",$D5670&lt;&gt;"",$E5670&lt;&gt;""),"TXS"&amp;TEXT(COUNTIFS($B$2:$B5670,"&lt;&gt;",$C$2:$C5670,"&lt;&gt;",$D$2:$D5670,"&lt;&gt;",$E$2:$E5670,"&lt;&gt;"),"00000"),""))</f>
        <v/>
      </c>
      <c r="N5670" s="22"/>
    </row>
    <row r="5671" spans="1:14" x14ac:dyDescent="0.3">
      <c r="A5671" s="15" t="str">
        <f>IF(COUNTA($B5671:$E5671,$K5671)=0,"",IF(AND($B5671&lt;&gt;"",$C5671&lt;&gt;"",$D5671&lt;&gt;"",$E5671&lt;&gt;""),"TXS"&amp;TEXT(COUNTIFS($B$2:$B5671,"&lt;&gt;",$C$2:$C5671,"&lt;&gt;",$D$2:$D5671,"&lt;&gt;",$E$2:$E5671,"&lt;&gt;"),"00000"),""))</f>
        <v/>
      </c>
      <c r="N5671" s="22"/>
    </row>
    <row r="5672" spans="1:14" x14ac:dyDescent="0.3">
      <c r="A5672" s="15" t="str">
        <f>IF(COUNTA($B5672:$E5672,$K5672)=0,"",IF(AND($B5672&lt;&gt;"",$C5672&lt;&gt;"",$D5672&lt;&gt;"",$E5672&lt;&gt;""),"TXS"&amp;TEXT(COUNTIFS($B$2:$B5672,"&lt;&gt;",$C$2:$C5672,"&lt;&gt;",$D$2:$D5672,"&lt;&gt;",$E$2:$E5672,"&lt;&gt;"),"00000"),""))</f>
        <v/>
      </c>
      <c r="N5672" s="22"/>
    </row>
    <row r="5673" spans="1:14" x14ac:dyDescent="0.3">
      <c r="A5673" s="15" t="str">
        <f>IF(COUNTA($B5673:$E5673,$K5673)=0,"",IF(AND($B5673&lt;&gt;"",$C5673&lt;&gt;"",$D5673&lt;&gt;"",$E5673&lt;&gt;""),"TXS"&amp;TEXT(COUNTIFS($B$2:$B5673,"&lt;&gt;",$C$2:$C5673,"&lt;&gt;",$D$2:$D5673,"&lt;&gt;",$E$2:$E5673,"&lt;&gt;"),"00000"),""))</f>
        <v/>
      </c>
      <c r="N5673" s="22"/>
    </row>
    <row r="5674" spans="1:14" x14ac:dyDescent="0.3">
      <c r="A5674" s="15" t="str">
        <f>IF(COUNTA($B5674:$E5674,$K5674)=0,"",IF(AND($B5674&lt;&gt;"",$C5674&lt;&gt;"",$D5674&lt;&gt;"",$E5674&lt;&gt;""),"TXS"&amp;TEXT(COUNTIFS($B$2:$B5674,"&lt;&gt;",$C$2:$C5674,"&lt;&gt;",$D$2:$D5674,"&lt;&gt;",$E$2:$E5674,"&lt;&gt;"),"00000"),""))</f>
        <v/>
      </c>
      <c r="N5674" s="22"/>
    </row>
    <row r="5675" spans="1:14" x14ac:dyDescent="0.3">
      <c r="A5675" s="15" t="str">
        <f>IF(COUNTA($B5675:$E5675,$K5675)=0,"",IF(AND($B5675&lt;&gt;"",$C5675&lt;&gt;"",$D5675&lt;&gt;"",$E5675&lt;&gt;""),"TXS"&amp;TEXT(COUNTIFS($B$2:$B5675,"&lt;&gt;",$C$2:$C5675,"&lt;&gt;",$D$2:$D5675,"&lt;&gt;",$E$2:$E5675,"&lt;&gt;"),"00000"),""))</f>
        <v/>
      </c>
      <c r="N5675" s="22"/>
    </row>
    <row r="5676" spans="1:14" x14ac:dyDescent="0.3">
      <c r="A5676" s="15" t="str">
        <f>IF(COUNTA($B5676:$E5676,$K5676)=0,"",IF(AND($B5676&lt;&gt;"",$C5676&lt;&gt;"",$D5676&lt;&gt;"",$E5676&lt;&gt;""),"TXS"&amp;TEXT(COUNTIFS($B$2:$B5676,"&lt;&gt;",$C$2:$C5676,"&lt;&gt;",$D$2:$D5676,"&lt;&gt;",$E$2:$E5676,"&lt;&gt;"),"00000"),""))</f>
        <v/>
      </c>
      <c r="N5676" s="22"/>
    </row>
    <row r="5677" spans="1:14" x14ac:dyDescent="0.3">
      <c r="A5677" s="15" t="str">
        <f>IF(COUNTA($B5677:$E5677,$K5677)=0,"",IF(AND($B5677&lt;&gt;"",$C5677&lt;&gt;"",$D5677&lt;&gt;"",$E5677&lt;&gt;""),"TXS"&amp;TEXT(COUNTIFS($B$2:$B5677,"&lt;&gt;",$C$2:$C5677,"&lt;&gt;",$D$2:$D5677,"&lt;&gt;",$E$2:$E5677,"&lt;&gt;"),"00000"),""))</f>
        <v/>
      </c>
      <c r="N5677" s="22"/>
    </row>
    <row r="5678" spans="1:14" x14ac:dyDescent="0.3">
      <c r="A5678" s="15" t="str">
        <f>IF(COUNTA($B5678:$E5678,$K5678)=0,"",IF(AND($B5678&lt;&gt;"",$C5678&lt;&gt;"",$D5678&lt;&gt;"",$E5678&lt;&gt;""),"TXS"&amp;TEXT(COUNTIFS($B$2:$B5678,"&lt;&gt;",$C$2:$C5678,"&lt;&gt;",$D$2:$D5678,"&lt;&gt;",$E$2:$E5678,"&lt;&gt;"),"00000"),""))</f>
        <v/>
      </c>
      <c r="N5678" s="22"/>
    </row>
    <row r="5679" spans="1:14" x14ac:dyDescent="0.3">
      <c r="A5679" s="15" t="str">
        <f>IF(COUNTA($B5679:$E5679,$K5679)=0,"",IF(AND($B5679&lt;&gt;"",$C5679&lt;&gt;"",$D5679&lt;&gt;"",$E5679&lt;&gt;""),"TXS"&amp;TEXT(COUNTIFS($B$2:$B5679,"&lt;&gt;",$C$2:$C5679,"&lt;&gt;",$D$2:$D5679,"&lt;&gt;",$E$2:$E5679,"&lt;&gt;"),"00000"),""))</f>
        <v/>
      </c>
      <c r="N5679" s="22"/>
    </row>
    <row r="5680" spans="1:14" x14ac:dyDescent="0.3">
      <c r="A5680" s="15" t="str">
        <f>IF(COUNTA($B5680:$E5680,$K5680)=0,"",IF(AND($B5680&lt;&gt;"",$C5680&lt;&gt;"",$D5680&lt;&gt;"",$E5680&lt;&gt;""),"TXS"&amp;TEXT(COUNTIFS($B$2:$B5680,"&lt;&gt;",$C$2:$C5680,"&lt;&gt;",$D$2:$D5680,"&lt;&gt;",$E$2:$E5680,"&lt;&gt;"),"00000"),""))</f>
        <v/>
      </c>
      <c r="N5680" s="22"/>
    </row>
    <row r="5681" spans="1:14" x14ac:dyDescent="0.3">
      <c r="A5681" s="15" t="str">
        <f>IF(COUNTA($B5681:$E5681,$K5681)=0,"",IF(AND($B5681&lt;&gt;"",$C5681&lt;&gt;"",$D5681&lt;&gt;"",$E5681&lt;&gt;""),"TXS"&amp;TEXT(COUNTIFS($B$2:$B5681,"&lt;&gt;",$C$2:$C5681,"&lt;&gt;",$D$2:$D5681,"&lt;&gt;",$E$2:$E5681,"&lt;&gt;"),"00000"),""))</f>
        <v/>
      </c>
      <c r="N5681" s="22"/>
    </row>
    <row r="5682" spans="1:14" x14ac:dyDescent="0.3">
      <c r="A5682" s="15" t="str">
        <f>IF(COUNTA($B5682:$E5682,$K5682)=0,"",IF(AND($B5682&lt;&gt;"",$C5682&lt;&gt;"",$D5682&lt;&gt;"",$E5682&lt;&gt;""),"TXS"&amp;TEXT(COUNTIFS($B$2:$B5682,"&lt;&gt;",$C$2:$C5682,"&lt;&gt;",$D$2:$D5682,"&lt;&gt;",$E$2:$E5682,"&lt;&gt;"),"00000"),""))</f>
        <v/>
      </c>
      <c r="N5682" s="22"/>
    </row>
    <row r="5683" spans="1:14" x14ac:dyDescent="0.3">
      <c r="A5683" s="15" t="str">
        <f>IF(COUNTA($B5683:$E5683,$K5683)=0,"",IF(AND($B5683&lt;&gt;"",$C5683&lt;&gt;"",$D5683&lt;&gt;"",$E5683&lt;&gt;""),"TXS"&amp;TEXT(COUNTIFS($B$2:$B5683,"&lt;&gt;",$C$2:$C5683,"&lt;&gt;",$D$2:$D5683,"&lt;&gt;",$E$2:$E5683,"&lt;&gt;"),"00000"),""))</f>
        <v/>
      </c>
      <c r="N5683" s="22"/>
    </row>
    <row r="5684" spans="1:14" x14ac:dyDescent="0.3">
      <c r="A5684" s="15" t="str">
        <f>IF(COUNTA($B5684:$E5684,$K5684)=0,"",IF(AND($B5684&lt;&gt;"",$C5684&lt;&gt;"",$D5684&lt;&gt;"",$E5684&lt;&gt;""),"TXS"&amp;TEXT(COUNTIFS($B$2:$B5684,"&lt;&gt;",$C$2:$C5684,"&lt;&gt;",$D$2:$D5684,"&lt;&gt;",$E$2:$E5684,"&lt;&gt;"),"00000"),""))</f>
        <v/>
      </c>
      <c r="N5684" s="22"/>
    </row>
    <row r="5685" spans="1:14" x14ac:dyDescent="0.3">
      <c r="A5685" s="15" t="str">
        <f>IF(COUNTA($B5685:$E5685,$K5685)=0,"",IF(AND($B5685&lt;&gt;"",$C5685&lt;&gt;"",$D5685&lt;&gt;"",$E5685&lt;&gt;""),"TXS"&amp;TEXT(COUNTIFS($B$2:$B5685,"&lt;&gt;",$C$2:$C5685,"&lt;&gt;",$D$2:$D5685,"&lt;&gt;",$E$2:$E5685,"&lt;&gt;"),"00000"),""))</f>
        <v/>
      </c>
      <c r="N5685" s="22"/>
    </row>
    <row r="5686" spans="1:14" x14ac:dyDescent="0.3">
      <c r="A5686" s="15" t="str">
        <f>IF(COUNTA($B5686:$E5686,$K5686)=0,"",IF(AND($B5686&lt;&gt;"",$C5686&lt;&gt;"",$D5686&lt;&gt;"",$E5686&lt;&gt;""),"TXS"&amp;TEXT(COUNTIFS($B$2:$B5686,"&lt;&gt;",$C$2:$C5686,"&lt;&gt;",$D$2:$D5686,"&lt;&gt;",$E$2:$E5686,"&lt;&gt;"),"00000"),""))</f>
        <v/>
      </c>
      <c r="N5686" s="22"/>
    </row>
    <row r="5687" spans="1:14" x14ac:dyDescent="0.3">
      <c r="A5687" s="15" t="str">
        <f>IF(COUNTA($B5687:$E5687,$K5687)=0,"",IF(AND($B5687&lt;&gt;"",$C5687&lt;&gt;"",$D5687&lt;&gt;"",$E5687&lt;&gt;""),"TXS"&amp;TEXT(COUNTIFS($B$2:$B5687,"&lt;&gt;",$C$2:$C5687,"&lt;&gt;",$D$2:$D5687,"&lt;&gt;",$E$2:$E5687,"&lt;&gt;"),"00000"),""))</f>
        <v/>
      </c>
      <c r="N5687" s="22"/>
    </row>
    <row r="5688" spans="1:14" x14ac:dyDescent="0.3">
      <c r="A5688" s="15" t="str">
        <f>IF(COUNTA($B5688:$E5688,$K5688)=0,"",IF(AND($B5688&lt;&gt;"",$C5688&lt;&gt;"",$D5688&lt;&gt;"",$E5688&lt;&gt;""),"TXS"&amp;TEXT(COUNTIFS($B$2:$B5688,"&lt;&gt;",$C$2:$C5688,"&lt;&gt;",$D$2:$D5688,"&lt;&gt;",$E$2:$E5688,"&lt;&gt;"),"00000"),""))</f>
        <v/>
      </c>
      <c r="N5688" s="22"/>
    </row>
    <row r="5689" spans="1:14" x14ac:dyDescent="0.3">
      <c r="A5689" s="15" t="str">
        <f>IF(COUNTA($B5689:$E5689,$K5689)=0,"",IF(AND($B5689&lt;&gt;"",$C5689&lt;&gt;"",$D5689&lt;&gt;"",$E5689&lt;&gt;""),"TXS"&amp;TEXT(COUNTIFS($B$2:$B5689,"&lt;&gt;",$C$2:$C5689,"&lt;&gt;",$D$2:$D5689,"&lt;&gt;",$E$2:$E5689,"&lt;&gt;"),"00000"),""))</f>
        <v/>
      </c>
      <c r="N5689" s="22"/>
    </row>
    <row r="5690" spans="1:14" x14ac:dyDescent="0.3">
      <c r="A5690" s="15" t="str">
        <f>IF(COUNTA($B5690:$E5690,$K5690)=0,"",IF(AND($B5690&lt;&gt;"",$C5690&lt;&gt;"",$D5690&lt;&gt;"",$E5690&lt;&gt;""),"TXS"&amp;TEXT(COUNTIFS($B$2:$B5690,"&lt;&gt;",$C$2:$C5690,"&lt;&gt;",$D$2:$D5690,"&lt;&gt;",$E$2:$E5690,"&lt;&gt;"),"00000"),""))</f>
        <v/>
      </c>
      <c r="N5690" s="22"/>
    </row>
    <row r="5691" spans="1:14" x14ac:dyDescent="0.3">
      <c r="A5691" s="15" t="str">
        <f>IF(COUNTA($B5691:$E5691,$K5691)=0,"",IF(AND($B5691&lt;&gt;"",$C5691&lt;&gt;"",$D5691&lt;&gt;"",$E5691&lt;&gt;""),"TXS"&amp;TEXT(COUNTIFS($B$2:$B5691,"&lt;&gt;",$C$2:$C5691,"&lt;&gt;",$D$2:$D5691,"&lt;&gt;",$E$2:$E5691,"&lt;&gt;"),"00000"),""))</f>
        <v/>
      </c>
      <c r="N5691" s="22"/>
    </row>
    <row r="5692" spans="1:14" x14ac:dyDescent="0.3">
      <c r="A5692" s="15" t="str">
        <f>IF(COUNTA($B5692:$E5692,$K5692)=0,"",IF(AND($B5692&lt;&gt;"",$C5692&lt;&gt;"",$D5692&lt;&gt;"",$E5692&lt;&gt;""),"TXS"&amp;TEXT(COUNTIFS($B$2:$B5692,"&lt;&gt;",$C$2:$C5692,"&lt;&gt;",$D$2:$D5692,"&lt;&gt;",$E$2:$E5692,"&lt;&gt;"),"00000"),""))</f>
        <v/>
      </c>
      <c r="N5692" s="22"/>
    </row>
    <row r="5693" spans="1:14" x14ac:dyDescent="0.3">
      <c r="A5693" s="15" t="str">
        <f>IF(COUNTA($B5693:$E5693,$K5693)=0,"",IF(AND($B5693&lt;&gt;"",$C5693&lt;&gt;"",$D5693&lt;&gt;"",$E5693&lt;&gt;""),"TXS"&amp;TEXT(COUNTIFS($B$2:$B5693,"&lt;&gt;",$C$2:$C5693,"&lt;&gt;",$D$2:$D5693,"&lt;&gt;",$E$2:$E5693,"&lt;&gt;"),"00000"),""))</f>
        <v/>
      </c>
      <c r="N5693" s="22"/>
    </row>
    <row r="5694" spans="1:14" x14ac:dyDescent="0.3">
      <c r="A5694" s="15" t="str">
        <f>IF(COUNTA($B5694:$E5694,$K5694)=0,"",IF(AND($B5694&lt;&gt;"",$C5694&lt;&gt;"",$D5694&lt;&gt;"",$E5694&lt;&gt;""),"TXS"&amp;TEXT(COUNTIFS($B$2:$B5694,"&lt;&gt;",$C$2:$C5694,"&lt;&gt;",$D$2:$D5694,"&lt;&gt;",$E$2:$E5694,"&lt;&gt;"),"00000"),""))</f>
        <v/>
      </c>
      <c r="N5694" s="22"/>
    </row>
    <row r="5695" spans="1:14" x14ac:dyDescent="0.3">
      <c r="A5695" s="15" t="str">
        <f>IF(COUNTA($B5695:$E5695,$K5695)=0,"",IF(AND($B5695&lt;&gt;"",$C5695&lt;&gt;"",$D5695&lt;&gt;"",$E5695&lt;&gt;""),"TXS"&amp;TEXT(COUNTIFS($B$2:$B5695,"&lt;&gt;",$C$2:$C5695,"&lt;&gt;",$D$2:$D5695,"&lt;&gt;",$E$2:$E5695,"&lt;&gt;"),"00000"),""))</f>
        <v/>
      </c>
      <c r="N5695" s="22"/>
    </row>
    <row r="5696" spans="1:14" x14ac:dyDescent="0.3">
      <c r="A5696" s="15" t="str">
        <f>IF(COUNTA($B5696:$E5696,$K5696)=0,"",IF(AND($B5696&lt;&gt;"",$C5696&lt;&gt;"",$D5696&lt;&gt;"",$E5696&lt;&gt;""),"TXS"&amp;TEXT(COUNTIFS($B$2:$B5696,"&lt;&gt;",$C$2:$C5696,"&lt;&gt;",$D$2:$D5696,"&lt;&gt;",$E$2:$E5696,"&lt;&gt;"),"00000"),""))</f>
        <v/>
      </c>
      <c r="N5696" s="22"/>
    </row>
    <row r="5697" spans="1:14" x14ac:dyDescent="0.3">
      <c r="A5697" s="15" t="str">
        <f>IF(COUNTA($B5697:$E5697,$K5697)=0,"",IF(AND($B5697&lt;&gt;"",$C5697&lt;&gt;"",$D5697&lt;&gt;"",$E5697&lt;&gt;""),"TXS"&amp;TEXT(COUNTIFS($B$2:$B5697,"&lt;&gt;",$C$2:$C5697,"&lt;&gt;",$D$2:$D5697,"&lt;&gt;",$E$2:$E5697,"&lt;&gt;"),"00000"),""))</f>
        <v/>
      </c>
      <c r="N5697" s="22"/>
    </row>
    <row r="5698" spans="1:14" x14ac:dyDescent="0.3">
      <c r="A5698" s="15" t="str">
        <f>IF(COUNTA($B5698:$E5698,$K5698)=0,"",IF(AND($B5698&lt;&gt;"",$C5698&lt;&gt;"",$D5698&lt;&gt;"",$E5698&lt;&gt;""),"TXS"&amp;TEXT(COUNTIFS($B$2:$B5698,"&lt;&gt;",$C$2:$C5698,"&lt;&gt;",$D$2:$D5698,"&lt;&gt;",$E$2:$E5698,"&lt;&gt;"),"00000"),""))</f>
        <v/>
      </c>
      <c r="N5698" s="22"/>
    </row>
    <row r="5699" spans="1:14" x14ac:dyDescent="0.3">
      <c r="A5699" s="15" t="str">
        <f>IF(COUNTA($B5699:$E5699,$K5699)=0,"",IF(AND($B5699&lt;&gt;"",$C5699&lt;&gt;"",$D5699&lt;&gt;"",$E5699&lt;&gt;""),"TXS"&amp;TEXT(COUNTIFS($B$2:$B5699,"&lt;&gt;",$C$2:$C5699,"&lt;&gt;",$D$2:$D5699,"&lt;&gt;",$E$2:$E5699,"&lt;&gt;"),"00000"),""))</f>
        <v/>
      </c>
      <c r="N5699" s="22"/>
    </row>
    <row r="5700" spans="1:14" x14ac:dyDescent="0.3">
      <c r="A5700" s="15" t="str">
        <f>IF(COUNTA($B5700:$E5700,$K5700)=0,"",IF(AND($B5700&lt;&gt;"",$C5700&lt;&gt;"",$D5700&lt;&gt;"",$E5700&lt;&gt;""),"TXS"&amp;TEXT(COUNTIFS($B$2:$B5700,"&lt;&gt;",$C$2:$C5700,"&lt;&gt;",$D$2:$D5700,"&lt;&gt;",$E$2:$E5700,"&lt;&gt;"),"00000"),""))</f>
        <v/>
      </c>
      <c r="N5700" s="22"/>
    </row>
    <row r="5701" spans="1:14" x14ac:dyDescent="0.3">
      <c r="A5701" s="15" t="str">
        <f>IF(COUNTA($B5701:$E5701,$K5701)=0,"",IF(AND($B5701&lt;&gt;"",$C5701&lt;&gt;"",$D5701&lt;&gt;"",$E5701&lt;&gt;""),"TXS"&amp;TEXT(COUNTIFS($B$2:$B5701,"&lt;&gt;",$C$2:$C5701,"&lt;&gt;",$D$2:$D5701,"&lt;&gt;",$E$2:$E5701,"&lt;&gt;"),"00000"),""))</f>
        <v/>
      </c>
      <c r="N5701" s="22"/>
    </row>
    <row r="5702" spans="1:14" x14ac:dyDescent="0.3">
      <c r="A5702" s="15" t="str">
        <f>IF(COUNTA($B5702:$E5702,$K5702)=0,"",IF(AND($B5702&lt;&gt;"",$C5702&lt;&gt;"",$D5702&lt;&gt;"",$E5702&lt;&gt;""),"TXS"&amp;TEXT(COUNTIFS($B$2:$B5702,"&lt;&gt;",$C$2:$C5702,"&lt;&gt;",$D$2:$D5702,"&lt;&gt;",$E$2:$E5702,"&lt;&gt;"),"00000"),""))</f>
        <v/>
      </c>
      <c r="N5702" s="22"/>
    </row>
    <row r="5703" spans="1:14" x14ac:dyDescent="0.3">
      <c r="A5703" s="15" t="str">
        <f>IF(COUNTA($B5703:$E5703,$K5703)=0,"",IF(AND($B5703&lt;&gt;"",$C5703&lt;&gt;"",$D5703&lt;&gt;"",$E5703&lt;&gt;""),"TXS"&amp;TEXT(COUNTIFS($B$2:$B5703,"&lt;&gt;",$C$2:$C5703,"&lt;&gt;",$D$2:$D5703,"&lt;&gt;",$E$2:$E5703,"&lt;&gt;"),"00000"),""))</f>
        <v/>
      </c>
      <c r="N5703" s="22"/>
    </row>
    <row r="5704" spans="1:14" x14ac:dyDescent="0.3">
      <c r="A5704" s="15" t="str">
        <f>IF(COUNTA($B5704:$E5704,$K5704)=0,"",IF(AND($B5704&lt;&gt;"",$C5704&lt;&gt;"",$D5704&lt;&gt;"",$E5704&lt;&gt;""),"TXS"&amp;TEXT(COUNTIFS($B$2:$B5704,"&lt;&gt;",$C$2:$C5704,"&lt;&gt;",$D$2:$D5704,"&lt;&gt;",$E$2:$E5704,"&lt;&gt;"),"00000"),""))</f>
        <v/>
      </c>
      <c r="N5704" s="22"/>
    </row>
    <row r="5705" spans="1:14" x14ac:dyDescent="0.3">
      <c r="A5705" s="15" t="str">
        <f>IF(COUNTA($B5705:$E5705,$K5705)=0,"",IF(AND($B5705&lt;&gt;"",$C5705&lt;&gt;"",$D5705&lt;&gt;"",$E5705&lt;&gt;""),"TXS"&amp;TEXT(COUNTIFS($B$2:$B5705,"&lt;&gt;",$C$2:$C5705,"&lt;&gt;",$D$2:$D5705,"&lt;&gt;",$E$2:$E5705,"&lt;&gt;"),"00000"),""))</f>
        <v/>
      </c>
      <c r="N5705" s="22"/>
    </row>
    <row r="5706" spans="1:14" x14ac:dyDescent="0.3">
      <c r="A5706" s="15" t="str">
        <f>IF(COUNTA($B5706:$E5706,$K5706)=0,"",IF(AND($B5706&lt;&gt;"",$C5706&lt;&gt;"",$D5706&lt;&gt;"",$E5706&lt;&gt;""),"TXS"&amp;TEXT(COUNTIFS($B$2:$B5706,"&lt;&gt;",$C$2:$C5706,"&lt;&gt;",$D$2:$D5706,"&lt;&gt;",$E$2:$E5706,"&lt;&gt;"),"00000"),""))</f>
        <v/>
      </c>
      <c r="N5706" s="22"/>
    </row>
    <row r="5707" spans="1:14" x14ac:dyDescent="0.3">
      <c r="A5707" s="15" t="str">
        <f>IF(COUNTA($B5707:$E5707,$K5707)=0,"",IF(AND($B5707&lt;&gt;"",$C5707&lt;&gt;"",$D5707&lt;&gt;"",$E5707&lt;&gt;""),"TXS"&amp;TEXT(COUNTIFS($B$2:$B5707,"&lt;&gt;",$C$2:$C5707,"&lt;&gt;",$D$2:$D5707,"&lt;&gt;",$E$2:$E5707,"&lt;&gt;"),"00000"),""))</f>
        <v/>
      </c>
      <c r="N5707" s="22"/>
    </row>
    <row r="5708" spans="1:14" x14ac:dyDescent="0.3">
      <c r="A5708" s="15" t="str">
        <f>IF(COUNTA($B5708:$E5708,$K5708)=0,"",IF(AND($B5708&lt;&gt;"",$C5708&lt;&gt;"",$D5708&lt;&gt;"",$E5708&lt;&gt;""),"TXS"&amp;TEXT(COUNTIFS($B$2:$B5708,"&lt;&gt;",$C$2:$C5708,"&lt;&gt;",$D$2:$D5708,"&lt;&gt;",$E$2:$E5708,"&lt;&gt;"),"00000"),""))</f>
        <v/>
      </c>
      <c r="N5708" s="22"/>
    </row>
    <row r="5709" spans="1:14" x14ac:dyDescent="0.3">
      <c r="A5709" s="15" t="str">
        <f>IF(COUNTA($B5709:$E5709,$K5709)=0,"",IF(AND($B5709&lt;&gt;"",$C5709&lt;&gt;"",$D5709&lt;&gt;"",$E5709&lt;&gt;""),"TXS"&amp;TEXT(COUNTIFS($B$2:$B5709,"&lt;&gt;",$C$2:$C5709,"&lt;&gt;",$D$2:$D5709,"&lt;&gt;",$E$2:$E5709,"&lt;&gt;"),"00000"),""))</f>
        <v/>
      </c>
      <c r="N5709" s="22"/>
    </row>
    <row r="5710" spans="1:14" x14ac:dyDescent="0.3">
      <c r="A5710" s="15" t="str">
        <f>IF(COUNTA($B5710:$E5710,$K5710)=0,"",IF(AND($B5710&lt;&gt;"",$C5710&lt;&gt;"",$D5710&lt;&gt;"",$E5710&lt;&gt;""),"TXS"&amp;TEXT(COUNTIFS($B$2:$B5710,"&lt;&gt;",$C$2:$C5710,"&lt;&gt;",$D$2:$D5710,"&lt;&gt;",$E$2:$E5710,"&lt;&gt;"),"00000"),""))</f>
        <v/>
      </c>
      <c r="N5710" s="22"/>
    </row>
    <row r="5711" spans="1:14" x14ac:dyDescent="0.3">
      <c r="A5711" s="15" t="str">
        <f>IF(COUNTA($B5711:$E5711,$K5711)=0,"",IF(AND($B5711&lt;&gt;"",$C5711&lt;&gt;"",$D5711&lt;&gt;"",$E5711&lt;&gt;""),"TXS"&amp;TEXT(COUNTIFS($B$2:$B5711,"&lt;&gt;",$C$2:$C5711,"&lt;&gt;",$D$2:$D5711,"&lt;&gt;",$E$2:$E5711,"&lt;&gt;"),"00000"),""))</f>
        <v/>
      </c>
      <c r="N5711" s="22"/>
    </row>
    <row r="5712" spans="1:14" x14ac:dyDescent="0.3">
      <c r="A5712" s="15" t="str">
        <f>IF(COUNTA($B5712:$E5712,$K5712)=0,"",IF(AND($B5712&lt;&gt;"",$C5712&lt;&gt;"",$D5712&lt;&gt;"",$E5712&lt;&gt;""),"TXS"&amp;TEXT(COUNTIFS($B$2:$B5712,"&lt;&gt;",$C$2:$C5712,"&lt;&gt;",$D$2:$D5712,"&lt;&gt;",$E$2:$E5712,"&lt;&gt;"),"00000"),""))</f>
        <v/>
      </c>
      <c r="N5712" s="22"/>
    </row>
    <row r="5713" spans="1:14" x14ac:dyDescent="0.3">
      <c r="A5713" s="15" t="str">
        <f>IF(COUNTA($B5713:$E5713,$K5713)=0,"",IF(AND($B5713&lt;&gt;"",$C5713&lt;&gt;"",$D5713&lt;&gt;"",$E5713&lt;&gt;""),"TXS"&amp;TEXT(COUNTIFS($B$2:$B5713,"&lt;&gt;",$C$2:$C5713,"&lt;&gt;",$D$2:$D5713,"&lt;&gt;",$E$2:$E5713,"&lt;&gt;"),"00000"),""))</f>
        <v/>
      </c>
      <c r="N5713" s="22"/>
    </row>
    <row r="5714" spans="1:14" x14ac:dyDescent="0.3">
      <c r="A5714" s="15" t="str">
        <f>IF(COUNTA($B5714:$E5714,$K5714)=0,"",IF(AND($B5714&lt;&gt;"",$C5714&lt;&gt;"",$D5714&lt;&gt;"",$E5714&lt;&gt;""),"TXS"&amp;TEXT(COUNTIFS($B$2:$B5714,"&lt;&gt;",$C$2:$C5714,"&lt;&gt;",$D$2:$D5714,"&lt;&gt;",$E$2:$E5714,"&lt;&gt;"),"00000"),""))</f>
        <v/>
      </c>
      <c r="N5714" s="22"/>
    </row>
    <row r="5715" spans="1:14" x14ac:dyDescent="0.3">
      <c r="A5715" s="15" t="str">
        <f>IF(COUNTA($B5715:$E5715,$K5715)=0,"",IF(AND($B5715&lt;&gt;"",$C5715&lt;&gt;"",$D5715&lt;&gt;"",$E5715&lt;&gt;""),"TXS"&amp;TEXT(COUNTIFS($B$2:$B5715,"&lt;&gt;",$C$2:$C5715,"&lt;&gt;",$D$2:$D5715,"&lt;&gt;",$E$2:$E5715,"&lt;&gt;"),"00000"),""))</f>
        <v/>
      </c>
      <c r="N5715" s="22"/>
    </row>
    <row r="5716" spans="1:14" x14ac:dyDescent="0.3">
      <c r="A5716" s="15" t="str">
        <f>IF(COUNTA($B5716:$E5716,$K5716)=0,"",IF(AND($B5716&lt;&gt;"",$C5716&lt;&gt;"",$D5716&lt;&gt;"",$E5716&lt;&gt;""),"TXS"&amp;TEXT(COUNTIFS($B$2:$B5716,"&lt;&gt;",$C$2:$C5716,"&lt;&gt;",$D$2:$D5716,"&lt;&gt;",$E$2:$E5716,"&lt;&gt;"),"00000"),""))</f>
        <v/>
      </c>
      <c r="N5716" s="22"/>
    </row>
    <row r="5717" spans="1:14" x14ac:dyDescent="0.3">
      <c r="A5717" s="15" t="str">
        <f>IF(COUNTA($B5717:$E5717,$K5717)=0,"",IF(AND($B5717&lt;&gt;"",$C5717&lt;&gt;"",$D5717&lt;&gt;"",$E5717&lt;&gt;""),"TXS"&amp;TEXT(COUNTIFS($B$2:$B5717,"&lt;&gt;",$C$2:$C5717,"&lt;&gt;",$D$2:$D5717,"&lt;&gt;",$E$2:$E5717,"&lt;&gt;"),"00000"),""))</f>
        <v/>
      </c>
      <c r="N5717" s="22"/>
    </row>
    <row r="5718" spans="1:14" x14ac:dyDescent="0.3">
      <c r="A5718" s="15" t="str">
        <f>IF(COUNTA($B5718:$E5718,$K5718)=0,"",IF(AND($B5718&lt;&gt;"",$C5718&lt;&gt;"",$D5718&lt;&gt;"",$E5718&lt;&gt;""),"TXS"&amp;TEXT(COUNTIFS($B$2:$B5718,"&lt;&gt;",$C$2:$C5718,"&lt;&gt;",$D$2:$D5718,"&lt;&gt;",$E$2:$E5718,"&lt;&gt;"),"00000"),""))</f>
        <v/>
      </c>
      <c r="N5718" s="22"/>
    </row>
    <row r="5719" spans="1:14" x14ac:dyDescent="0.3">
      <c r="A5719" s="15" t="str">
        <f>IF(COUNTA($B5719:$E5719,$K5719)=0,"",IF(AND($B5719&lt;&gt;"",$C5719&lt;&gt;"",$D5719&lt;&gt;"",$E5719&lt;&gt;""),"TXS"&amp;TEXT(COUNTIFS($B$2:$B5719,"&lt;&gt;",$C$2:$C5719,"&lt;&gt;",$D$2:$D5719,"&lt;&gt;",$E$2:$E5719,"&lt;&gt;"),"00000"),""))</f>
        <v/>
      </c>
      <c r="N5719" s="22"/>
    </row>
    <row r="5720" spans="1:14" x14ac:dyDescent="0.3">
      <c r="A5720" s="15" t="str">
        <f>IF(COUNTA($B5720:$E5720,$K5720)=0,"",IF(AND($B5720&lt;&gt;"",$C5720&lt;&gt;"",$D5720&lt;&gt;"",$E5720&lt;&gt;""),"TXS"&amp;TEXT(COUNTIFS($B$2:$B5720,"&lt;&gt;",$C$2:$C5720,"&lt;&gt;",$D$2:$D5720,"&lt;&gt;",$E$2:$E5720,"&lt;&gt;"),"00000"),""))</f>
        <v/>
      </c>
      <c r="N5720" s="22"/>
    </row>
    <row r="5721" spans="1:14" x14ac:dyDescent="0.3">
      <c r="A5721" s="15" t="str">
        <f>IF(COUNTA($B5721:$E5721,$K5721)=0,"",IF(AND($B5721&lt;&gt;"",$C5721&lt;&gt;"",$D5721&lt;&gt;"",$E5721&lt;&gt;""),"TXS"&amp;TEXT(COUNTIFS($B$2:$B5721,"&lt;&gt;",$C$2:$C5721,"&lt;&gt;",$D$2:$D5721,"&lt;&gt;",$E$2:$E5721,"&lt;&gt;"),"00000"),""))</f>
        <v/>
      </c>
      <c r="N5721" s="22"/>
    </row>
    <row r="5722" spans="1:14" x14ac:dyDescent="0.3">
      <c r="A5722" s="15" t="str">
        <f>IF(COUNTA($B5722:$E5722,$K5722)=0,"",IF(AND($B5722&lt;&gt;"",$C5722&lt;&gt;"",$D5722&lt;&gt;"",$E5722&lt;&gt;""),"TXS"&amp;TEXT(COUNTIFS($B$2:$B5722,"&lt;&gt;",$C$2:$C5722,"&lt;&gt;",$D$2:$D5722,"&lt;&gt;",$E$2:$E5722,"&lt;&gt;"),"00000"),""))</f>
        <v/>
      </c>
      <c r="N5722" s="22"/>
    </row>
    <row r="5723" spans="1:14" x14ac:dyDescent="0.3">
      <c r="A5723" s="15" t="str">
        <f>IF(COUNTA($B5723:$E5723,$K5723)=0,"",IF(AND($B5723&lt;&gt;"",$C5723&lt;&gt;"",$D5723&lt;&gt;"",$E5723&lt;&gt;""),"TXS"&amp;TEXT(COUNTIFS($B$2:$B5723,"&lt;&gt;",$C$2:$C5723,"&lt;&gt;",$D$2:$D5723,"&lt;&gt;",$E$2:$E5723,"&lt;&gt;"),"00000"),""))</f>
        <v/>
      </c>
      <c r="N5723" s="22"/>
    </row>
    <row r="5724" spans="1:14" x14ac:dyDescent="0.3">
      <c r="A5724" s="15" t="str">
        <f>IF(COUNTA($B5724:$E5724,$K5724)=0,"",IF(AND($B5724&lt;&gt;"",$C5724&lt;&gt;"",$D5724&lt;&gt;"",$E5724&lt;&gt;""),"TXS"&amp;TEXT(COUNTIFS($B$2:$B5724,"&lt;&gt;",$C$2:$C5724,"&lt;&gt;",$D$2:$D5724,"&lt;&gt;",$E$2:$E5724,"&lt;&gt;"),"00000"),""))</f>
        <v/>
      </c>
      <c r="N5724" s="22"/>
    </row>
    <row r="5725" spans="1:14" x14ac:dyDescent="0.3">
      <c r="A5725" s="15" t="str">
        <f>IF(COUNTA($B5725:$E5725,$K5725)=0,"",IF(AND($B5725&lt;&gt;"",$C5725&lt;&gt;"",$D5725&lt;&gt;"",$E5725&lt;&gt;""),"TXS"&amp;TEXT(COUNTIFS($B$2:$B5725,"&lt;&gt;",$C$2:$C5725,"&lt;&gt;",$D$2:$D5725,"&lt;&gt;",$E$2:$E5725,"&lt;&gt;"),"00000"),""))</f>
        <v/>
      </c>
      <c r="N5725" s="22"/>
    </row>
    <row r="5726" spans="1:14" x14ac:dyDescent="0.3">
      <c r="A5726" s="15" t="str">
        <f>IF(COUNTA($B5726:$E5726,$K5726)=0,"",IF(AND($B5726&lt;&gt;"",$C5726&lt;&gt;"",$D5726&lt;&gt;"",$E5726&lt;&gt;""),"TXS"&amp;TEXT(COUNTIFS($B$2:$B5726,"&lt;&gt;",$C$2:$C5726,"&lt;&gt;",$D$2:$D5726,"&lt;&gt;",$E$2:$E5726,"&lt;&gt;"),"00000"),""))</f>
        <v/>
      </c>
      <c r="N5726" s="22"/>
    </row>
    <row r="5727" spans="1:14" x14ac:dyDescent="0.3">
      <c r="A5727" s="15" t="str">
        <f>IF(COUNTA($B5727:$E5727,$K5727)=0,"",IF(AND($B5727&lt;&gt;"",$C5727&lt;&gt;"",$D5727&lt;&gt;"",$E5727&lt;&gt;""),"TXS"&amp;TEXT(COUNTIFS($B$2:$B5727,"&lt;&gt;",$C$2:$C5727,"&lt;&gt;",$D$2:$D5727,"&lt;&gt;",$E$2:$E5727,"&lt;&gt;"),"00000"),""))</f>
        <v/>
      </c>
      <c r="N5727" s="22"/>
    </row>
    <row r="5728" spans="1:14" x14ac:dyDescent="0.3">
      <c r="A5728" s="15" t="str">
        <f>IF(COUNTA($B5728:$E5728,$K5728)=0,"",IF(AND($B5728&lt;&gt;"",$C5728&lt;&gt;"",$D5728&lt;&gt;"",$E5728&lt;&gt;""),"TXS"&amp;TEXT(COUNTIFS($B$2:$B5728,"&lt;&gt;",$C$2:$C5728,"&lt;&gt;",$D$2:$D5728,"&lt;&gt;",$E$2:$E5728,"&lt;&gt;"),"00000"),""))</f>
        <v/>
      </c>
      <c r="N5728" s="22"/>
    </row>
    <row r="5729" spans="1:14" x14ac:dyDescent="0.3">
      <c r="A5729" s="15" t="str">
        <f>IF(COUNTA($B5729:$E5729,$K5729)=0,"",IF(AND($B5729&lt;&gt;"",$C5729&lt;&gt;"",$D5729&lt;&gt;"",$E5729&lt;&gt;""),"TXS"&amp;TEXT(COUNTIFS($B$2:$B5729,"&lt;&gt;",$C$2:$C5729,"&lt;&gt;",$D$2:$D5729,"&lt;&gt;",$E$2:$E5729,"&lt;&gt;"),"00000"),""))</f>
        <v/>
      </c>
      <c r="N5729" s="22"/>
    </row>
    <row r="5730" spans="1:14" x14ac:dyDescent="0.3">
      <c r="A5730" s="15" t="str">
        <f>IF(COUNTA($B5730:$E5730,$K5730)=0,"",IF(AND($B5730&lt;&gt;"",$C5730&lt;&gt;"",$D5730&lt;&gt;"",$E5730&lt;&gt;""),"TXS"&amp;TEXT(COUNTIFS($B$2:$B5730,"&lt;&gt;",$C$2:$C5730,"&lt;&gt;",$D$2:$D5730,"&lt;&gt;",$E$2:$E5730,"&lt;&gt;"),"00000"),""))</f>
        <v/>
      </c>
      <c r="N5730" s="22"/>
    </row>
    <row r="5731" spans="1:14" x14ac:dyDescent="0.3">
      <c r="A5731" s="15" t="str">
        <f>IF(COUNTA($B5731:$E5731,$K5731)=0,"",IF(AND($B5731&lt;&gt;"",$C5731&lt;&gt;"",$D5731&lt;&gt;"",$E5731&lt;&gt;""),"TXS"&amp;TEXT(COUNTIFS($B$2:$B5731,"&lt;&gt;",$C$2:$C5731,"&lt;&gt;",$D$2:$D5731,"&lt;&gt;",$E$2:$E5731,"&lt;&gt;"),"00000"),""))</f>
        <v/>
      </c>
      <c r="N5731" s="22"/>
    </row>
    <row r="5732" spans="1:14" x14ac:dyDescent="0.3">
      <c r="A5732" s="15" t="str">
        <f>IF(COUNTA($B5732:$E5732,$K5732)=0,"",IF(AND($B5732&lt;&gt;"",$C5732&lt;&gt;"",$D5732&lt;&gt;"",$E5732&lt;&gt;""),"TXS"&amp;TEXT(COUNTIFS($B$2:$B5732,"&lt;&gt;",$C$2:$C5732,"&lt;&gt;",$D$2:$D5732,"&lt;&gt;",$E$2:$E5732,"&lt;&gt;"),"00000"),""))</f>
        <v/>
      </c>
      <c r="N5732" s="22"/>
    </row>
    <row r="5733" spans="1:14" x14ac:dyDescent="0.3">
      <c r="A5733" s="15" t="str">
        <f>IF(COUNTA($B5733:$E5733,$K5733)=0,"",IF(AND($B5733&lt;&gt;"",$C5733&lt;&gt;"",$D5733&lt;&gt;"",$E5733&lt;&gt;""),"TXS"&amp;TEXT(COUNTIFS($B$2:$B5733,"&lt;&gt;",$C$2:$C5733,"&lt;&gt;",$D$2:$D5733,"&lt;&gt;",$E$2:$E5733,"&lt;&gt;"),"00000"),""))</f>
        <v/>
      </c>
      <c r="N5733" s="22"/>
    </row>
    <row r="5734" spans="1:14" x14ac:dyDescent="0.3">
      <c r="A5734" s="15" t="str">
        <f>IF(COUNTA($B5734:$E5734,$K5734)=0,"",IF(AND($B5734&lt;&gt;"",$C5734&lt;&gt;"",$D5734&lt;&gt;"",$E5734&lt;&gt;""),"TXS"&amp;TEXT(COUNTIFS($B$2:$B5734,"&lt;&gt;",$C$2:$C5734,"&lt;&gt;",$D$2:$D5734,"&lt;&gt;",$E$2:$E5734,"&lt;&gt;"),"00000"),""))</f>
        <v/>
      </c>
      <c r="N5734" s="22"/>
    </row>
    <row r="5735" spans="1:14" x14ac:dyDescent="0.3">
      <c r="A5735" s="15" t="str">
        <f>IF(COUNTA($B5735:$E5735,$K5735)=0,"",IF(AND($B5735&lt;&gt;"",$C5735&lt;&gt;"",$D5735&lt;&gt;"",$E5735&lt;&gt;""),"TXS"&amp;TEXT(COUNTIFS($B$2:$B5735,"&lt;&gt;",$C$2:$C5735,"&lt;&gt;",$D$2:$D5735,"&lt;&gt;",$E$2:$E5735,"&lt;&gt;"),"00000"),""))</f>
        <v/>
      </c>
      <c r="N5735" s="22"/>
    </row>
    <row r="5736" spans="1:14" x14ac:dyDescent="0.3">
      <c r="A5736" s="15" t="str">
        <f>IF(COUNTA($B5736:$E5736,$K5736)=0,"",IF(AND($B5736&lt;&gt;"",$C5736&lt;&gt;"",$D5736&lt;&gt;"",$E5736&lt;&gt;""),"TXS"&amp;TEXT(COUNTIFS($B$2:$B5736,"&lt;&gt;",$C$2:$C5736,"&lt;&gt;",$D$2:$D5736,"&lt;&gt;",$E$2:$E5736,"&lt;&gt;"),"00000"),""))</f>
        <v/>
      </c>
      <c r="N5736" s="22"/>
    </row>
    <row r="5737" spans="1:14" x14ac:dyDescent="0.3">
      <c r="A5737" s="15" t="str">
        <f>IF(COUNTA($B5737:$E5737,$K5737)=0,"",IF(AND($B5737&lt;&gt;"",$C5737&lt;&gt;"",$D5737&lt;&gt;"",$E5737&lt;&gt;""),"TXS"&amp;TEXT(COUNTIFS($B$2:$B5737,"&lt;&gt;",$C$2:$C5737,"&lt;&gt;",$D$2:$D5737,"&lt;&gt;",$E$2:$E5737,"&lt;&gt;"),"00000"),""))</f>
        <v/>
      </c>
      <c r="N5737" s="22"/>
    </row>
    <row r="5738" spans="1:14" x14ac:dyDescent="0.3">
      <c r="A5738" s="15" t="str">
        <f>IF(COUNTA($B5738:$E5738,$K5738)=0,"",IF(AND($B5738&lt;&gt;"",$C5738&lt;&gt;"",$D5738&lt;&gt;"",$E5738&lt;&gt;""),"TXS"&amp;TEXT(COUNTIFS($B$2:$B5738,"&lt;&gt;",$C$2:$C5738,"&lt;&gt;",$D$2:$D5738,"&lt;&gt;",$E$2:$E5738,"&lt;&gt;"),"00000"),""))</f>
        <v/>
      </c>
      <c r="N5738" s="22"/>
    </row>
    <row r="5739" spans="1:14" x14ac:dyDescent="0.3">
      <c r="A5739" s="15" t="str">
        <f>IF(COUNTA($B5739:$E5739,$K5739)=0,"",IF(AND($B5739&lt;&gt;"",$C5739&lt;&gt;"",$D5739&lt;&gt;"",$E5739&lt;&gt;""),"TXS"&amp;TEXT(COUNTIFS($B$2:$B5739,"&lt;&gt;",$C$2:$C5739,"&lt;&gt;",$D$2:$D5739,"&lt;&gt;",$E$2:$E5739,"&lt;&gt;"),"00000"),""))</f>
        <v/>
      </c>
      <c r="N5739" s="22"/>
    </row>
    <row r="5740" spans="1:14" x14ac:dyDescent="0.3">
      <c r="A5740" s="15" t="str">
        <f>IF(COUNTA($B5740:$E5740,$K5740)=0,"",IF(AND($B5740&lt;&gt;"",$C5740&lt;&gt;"",$D5740&lt;&gt;"",$E5740&lt;&gt;""),"TXS"&amp;TEXT(COUNTIFS($B$2:$B5740,"&lt;&gt;",$C$2:$C5740,"&lt;&gt;",$D$2:$D5740,"&lt;&gt;",$E$2:$E5740,"&lt;&gt;"),"00000"),""))</f>
        <v/>
      </c>
      <c r="N5740" s="22"/>
    </row>
    <row r="5741" spans="1:14" x14ac:dyDescent="0.3">
      <c r="A5741" s="15" t="str">
        <f>IF(COUNTA($B5741:$E5741,$K5741)=0,"",IF(AND($B5741&lt;&gt;"",$C5741&lt;&gt;"",$D5741&lt;&gt;"",$E5741&lt;&gt;""),"TXS"&amp;TEXT(COUNTIFS($B$2:$B5741,"&lt;&gt;",$C$2:$C5741,"&lt;&gt;",$D$2:$D5741,"&lt;&gt;",$E$2:$E5741,"&lt;&gt;"),"00000"),""))</f>
        <v/>
      </c>
      <c r="N5741" s="22"/>
    </row>
    <row r="5742" spans="1:14" x14ac:dyDescent="0.3">
      <c r="A5742" s="15" t="str">
        <f>IF(COUNTA($B5742:$E5742,$K5742)=0,"",IF(AND($B5742&lt;&gt;"",$C5742&lt;&gt;"",$D5742&lt;&gt;"",$E5742&lt;&gt;""),"TXS"&amp;TEXT(COUNTIFS($B$2:$B5742,"&lt;&gt;",$C$2:$C5742,"&lt;&gt;",$D$2:$D5742,"&lt;&gt;",$E$2:$E5742,"&lt;&gt;"),"00000"),""))</f>
        <v/>
      </c>
      <c r="N5742" s="22"/>
    </row>
    <row r="5743" spans="1:14" x14ac:dyDescent="0.3">
      <c r="A5743" s="15" t="str">
        <f>IF(COUNTA($B5743:$E5743,$K5743)=0,"",IF(AND($B5743&lt;&gt;"",$C5743&lt;&gt;"",$D5743&lt;&gt;"",$E5743&lt;&gt;""),"TXS"&amp;TEXT(COUNTIFS($B$2:$B5743,"&lt;&gt;",$C$2:$C5743,"&lt;&gt;",$D$2:$D5743,"&lt;&gt;",$E$2:$E5743,"&lt;&gt;"),"00000"),""))</f>
        <v/>
      </c>
      <c r="N5743" s="22"/>
    </row>
    <row r="5744" spans="1:14" x14ac:dyDescent="0.3">
      <c r="A5744" s="15" t="str">
        <f>IF(COUNTA($B5744:$E5744,$K5744)=0,"",IF(AND($B5744&lt;&gt;"",$C5744&lt;&gt;"",$D5744&lt;&gt;"",$E5744&lt;&gt;""),"TXS"&amp;TEXT(COUNTIFS($B$2:$B5744,"&lt;&gt;",$C$2:$C5744,"&lt;&gt;",$D$2:$D5744,"&lt;&gt;",$E$2:$E5744,"&lt;&gt;"),"00000"),""))</f>
        <v/>
      </c>
      <c r="N5744" s="22"/>
    </row>
    <row r="5745" spans="1:14" x14ac:dyDescent="0.3">
      <c r="A5745" s="15" t="str">
        <f>IF(COUNTA($B5745:$E5745,$K5745)=0,"",IF(AND($B5745&lt;&gt;"",$C5745&lt;&gt;"",$D5745&lt;&gt;"",$E5745&lt;&gt;""),"TXS"&amp;TEXT(COUNTIFS($B$2:$B5745,"&lt;&gt;",$C$2:$C5745,"&lt;&gt;",$D$2:$D5745,"&lt;&gt;",$E$2:$E5745,"&lt;&gt;"),"00000"),""))</f>
        <v/>
      </c>
      <c r="N5745" s="22"/>
    </row>
    <row r="5746" spans="1:14" x14ac:dyDescent="0.3">
      <c r="A5746" s="15" t="str">
        <f>IF(COUNTA($B5746:$E5746,$K5746)=0,"",IF(AND($B5746&lt;&gt;"",$C5746&lt;&gt;"",$D5746&lt;&gt;"",$E5746&lt;&gt;""),"TXS"&amp;TEXT(COUNTIFS($B$2:$B5746,"&lt;&gt;",$C$2:$C5746,"&lt;&gt;",$D$2:$D5746,"&lt;&gt;",$E$2:$E5746,"&lt;&gt;"),"00000"),""))</f>
        <v/>
      </c>
      <c r="N5746" s="22"/>
    </row>
    <row r="5747" spans="1:14" x14ac:dyDescent="0.3">
      <c r="A5747" s="15" t="str">
        <f>IF(COUNTA($B5747:$E5747,$K5747)=0,"",IF(AND($B5747&lt;&gt;"",$C5747&lt;&gt;"",$D5747&lt;&gt;"",$E5747&lt;&gt;""),"TXS"&amp;TEXT(COUNTIFS($B$2:$B5747,"&lt;&gt;",$C$2:$C5747,"&lt;&gt;",$D$2:$D5747,"&lt;&gt;",$E$2:$E5747,"&lt;&gt;"),"00000"),""))</f>
        <v/>
      </c>
      <c r="N5747" s="22"/>
    </row>
    <row r="5748" spans="1:14" x14ac:dyDescent="0.3">
      <c r="A5748" s="15" t="str">
        <f>IF(COUNTA($B5748:$E5748,$K5748)=0,"",IF(AND($B5748&lt;&gt;"",$C5748&lt;&gt;"",$D5748&lt;&gt;"",$E5748&lt;&gt;""),"TXS"&amp;TEXT(COUNTIFS($B$2:$B5748,"&lt;&gt;",$C$2:$C5748,"&lt;&gt;",$D$2:$D5748,"&lt;&gt;",$E$2:$E5748,"&lt;&gt;"),"00000"),""))</f>
        <v/>
      </c>
      <c r="N5748" s="22"/>
    </row>
    <row r="5749" spans="1:14" x14ac:dyDescent="0.3">
      <c r="A5749" s="15" t="str">
        <f>IF(COUNTA($B5749:$E5749,$K5749)=0,"",IF(AND($B5749&lt;&gt;"",$C5749&lt;&gt;"",$D5749&lt;&gt;"",$E5749&lt;&gt;""),"TXS"&amp;TEXT(COUNTIFS($B$2:$B5749,"&lt;&gt;",$C$2:$C5749,"&lt;&gt;",$D$2:$D5749,"&lt;&gt;",$E$2:$E5749,"&lt;&gt;"),"00000"),""))</f>
        <v/>
      </c>
      <c r="N5749" s="22"/>
    </row>
    <row r="5750" spans="1:14" x14ac:dyDescent="0.3">
      <c r="A5750" s="15" t="str">
        <f>IF(COUNTA($B5750:$E5750,$K5750)=0,"",IF(AND($B5750&lt;&gt;"",$C5750&lt;&gt;"",$D5750&lt;&gt;"",$E5750&lt;&gt;""),"TXS"&amp;TEXT(COUNTIFS($B$2:$B5750,"&lt;&gt;",$C$2:$C5750,"&lt;&gt;",$D$2:$D5750,"&lt;&gt;",$E$2:$E5750,"&lt;&gt;"),"00000"),""))</f>
        <v/>
      </c>
      <c r="N5750" s="22"/>
    </row>
    <row r="5751" spans="1:14" x14ac:dyDescent="0.3">
      <c r="A5751" s="15" t="str">
        <f>IF(COUNTA($B5751:$E5751,$K5751)=0,"",IF(AND($B5751&lt;&gt;"",$C5751&lt;&gt;"",$D5751&lt;&gt;"",$E5751&lt;&gt;""),"TXS"&amp;TEXT(COUNTIFS($B$2:$B5751,"&lt;&gt;",$C$2:$C5751,"&lt;&gt;",$D$2:$D5751,"&lt;&gt;",$E$2:$E5751,"&lt;&gt;"),"00000"),""))</f>
        <v/>
      </c>
      <c r="N5751" s="22"/>
    </row>
    <row r="5752" spans="1:14" x14ac:dyDescent="0.3">
      <c r="A5752" s="15" t="str">
        <f>IF(COUNTA($B5752:$E5752,$K5752)=0,"",IF(AND($B5752&lt;&gt;"",$C5752&lt;&gt;"",$D5752&lt;&gt;"",$E5752&lt;&gt;""),"TXS"&amp;TEXT(COUNTIFS($B$2:$B5752,"&lt;&gt;",$C$2:$C5752,"&lt;&gt;",$D$2:$D5752,"&lt;&gt;",$E$2:$E5752,"&lt;&gt;"),"00000"),""))</f>
        <v/>
      </c>
      <c r="N5752" s="22"/>
    </row>
    <row r="5753" spans="1:14" x14ac:dyDescent="0.3">
      <c r="A5753" s="15" t="str">
        <f>IF(COUNTA($B5753:$E5753,$K5753)=0,"",IF(AND($B5753&lt;&gt;"",$C5753&lt;&gt;"",$D5753&lt;&gt;"",$E5753&lt;&gt;""),"TXS"&amp;TEXT(COUNTIFS($B$2:$B5753,"&lt;&gt;",$C$2:$C5753,"&lt;&gt;",$D$2:$D5753,"&lt;&gt;",$E$2:$E5753,"&lt;&gt;"),"00000"),""))</f>
        <v/>
      </c>
      <c r="N5753" s="22"/>
    </row>
    <row r="5754" spans="1:14" x14ac:dyDescent="0.3">
      <c r="A5754" s="15" t="str">
        <f>IF(COUNTA($B5754:$E5754,$K5754)=0,"",IF(AND($B5754&lt;&gt;"",$C5754&lt;&gt;"",$D5754&lt;&gt;"",$E5754&lt;&gt;""),"TXS"&amp;TEXT(COUNTIFS($B$2:$B5754,"&lt;&gt;",$C$2:$C5754,"&lt;&gt;",$D$2:$D5754,"&lt;&gt;",$E$2:$E5754,"&lt;&gt;"),"00000"),""))</f>
        <v/>
      </c>
      <c r="N5754" s="22"/>
    </row>
    <row r="5755" spans="1:14" x14ac:dyDescent="0.3">
      <c r="A5755" s="15" t="str">
        <f>IF(COUNTA($B5755:$E5755,$K5755)=0,"",IF(AND($B5755&lt;&gt;"",$C5755&lt;&gt;"",$D5755&lt;&gt;"",$E5755&lt;&gt;""),"TXS"&amp;TEXT(COUNTIFS($B$2:$B5755,"&lt;&gt;",$C$2:$C5755,"&lt;&gt;",$D$2:$D5755,"&lt;&gt;",$E$2:$E5755,"&lt;&gt;"),"00000"),""))</f>
        <v/>
      </c>
      <c r="N5755" s="22"/>
    </row>
    <row r="5756" spans="1:14" x14ac:dyDescent="0.3">
      <c r="A5756" s="15" t="str">
        <f>IF(COUNTA($B5756:$E5756,$K5756)=0,"",IF(AND($B5756&lt;&gt;"",$C5756&lt;&gt;"",$D5756&lt;&gt;"",$E5756&lt;&gt;""),"TXS"&amp;TEXT(COUNTIFS($B$2:$B5756,"&lt;&gt;",$C$2:$C5756,"&lt;&gt;",$D$2:$D5756,"&lt;&gt;",$E$2:$E5756,"&lt;&gt;"),"00000"),""))</f>
        <v/>
      </c>
      <c r="N5756" s="22"/>
    </row>
    <row r="5757" spans="1:14" x14ac:dyDescent="0.3">
      <c r="A5757" s="15" t="str">
        <f>IF(COUNTA($B5757:$E5757,$K5757)=0,"",IF(AND($B5757&lt;&gt;"",$C5757&lt;&gt;"",$D5757&lt;&gt;"",$E5757&lt;&gt;""),"TXS"&amp;TEXT(COUNTIFS($B$2:$B5757,"&lt;&gt;",$C$2:$C5757,"&lt;&gt;",$D$2:$D5757,"&lt;&gt;",$E$2:$E5757,"&lt;&gt;"),"00000"),""))</f>
        <v/>
      </c>
      <c r="N5757" s="22"/>
    </row>
    <row r="5758" spans="1:14" x14ac:dyDescent="0.3">
      <c r="A5758" s="15" t="str">
        <f>IF(COUNTA($B5758:$E5758,$K5758)=0,"",IF(AND($B5758&lt;&gt;"",$C5758&lt;&gt;"",$D5758&lt;&gt;"",$E5758&lt;&gt;""),"TXS"&amp;TEXT(COUNTIFS($B$2:$B5758,"&lt;&gt;",$C$2:$C5758,"&lt;&gt;",$D$2:$D5758,"&lt;&gt;",$E$2:$E5758,"&lt;&gt;"),"00000"),""))</f>
        <v/>
      </c>
      <c r="N5758" s="22"/>
    </row>
    <row r="5759" spans="1:14" x14ac:dyDescent="0.3">
      <c r="A5759" s="15" t="str">
        <f>IF(COUNTA($B5759:$E5759,$K5759)=0,"",IF(AND($B5759&lt;&gt;"",$C5759&lt;&gt;"",$D5759&lt;&gt;"",$E5759&lt;&gt;""),"TXS"&amp;TEXT(COUNTIFS($B$2:$B5759,"&lt;&gt;",$C$2:$C5759,"&lt;&gt;",$D$2:$D5759,"&lt;&gt;",$E$2:$E5759,"&lt;&gt;"),"00000"),""))</f>
        <v/>
      </c>
      <c r="N5759" s="22"/>
    </row>
    <row r="5760" spans="1:14" x14ac:dyDescent="0.3">
      <c r="A5760" s="15" t="str">
        <f>IF(COUNTA($B5760:$E5760,$K5760)=0,"",IF(AND($B5760&lt;&gt;"",$C5760&lt;&gt;"",$D5760&lt;&gt;"",$E5760&lt;&gt;""),"TXS"&amp;TEXT(COUNTIFS($B$2:$B5760,"&lt;&gt;",$C$2:$C5760,"&lt;&gt;",$D$2:$D5760,"&lt;&gt;",$E$2:$E5760,"&lt;&gt;"),"00000"),""))</f>
        <v/>
      </c>
      <c r="N5760" s="22"/>
    </row>
    <row r="5761" spans="1:14" x14ac:dyDescent="0.3">
      <c r="A5761" s="15" t="str">
        <f>IF(COUNTA($B5761:$E5761,$K5761)=0,"",IF(AND($B5761&lt;&gt;"",$C5761&lt;&gt;"",$D5761&lt;&gt;"",$E5761&lt;&gt;""),"TXS"&amp;TEXT(COUNTIFS($B$2:$B5761,"&lt;&gt;",$C$2:$C5761,"&lt;&gt;",$D$2:$D5761,"&lt;&gt;",$E$2:$E5761,"&lt;&gt;"),"00000"),""))</f>
        <v/>
      </c>
      <c r="N5761" s="22"/>
    </row>
    <row r="5762" spans="1:14" x14ac:dyDescent="0.3">
      <c r="A5762" s="15" t="str">
        <f>IF(COUNTA($B5762:$E5762,$K5762)=0,"",IF(AND($B5762&lt;&gt;"",$C5762&lt;&gt;"",$D5762&lt;&gt;"",$E5762&lt;&gt;""),"TXS"&amp;TEXT(COUNTIFS($B$2:$B5762,"&lt;&gt;",$C$2:$C5762,"&lt;&gt;",$D$2:$D5762,"&lt;&gt;",$E$2:$E5762,"&lt;&gt;"),"00000"),""))</f>
        <v/>
      </c>
      <c r="N5762" s="22"/>
    </row>
    <row r="5763" spans="1:14" x14ac:dyDescent="0.3">
      <c r="A5763" s="15" t="str">
        <f>IF(COUNTA($B5763:$E5763,$K5763)=0,"",IF(AND($B5763&lt;&gt;"",$C5763&lt;&gt;"",$D5763&lt;&gt;"",$E5763&lt;&gt;""),"TXS"&amp;TEXT(COUNTIFS($B$2:$B5763,"&lt;&gt;",$C$2:$C5763,"&lt;&gt;",$D$2:$D5763,"&lt;&gt;",$E$2:$E5763,"&lt;&gt;"),"00000"),""))</f>
        <v/>
      </c>
      <c r="N5763" s="22"/>
    </row>
    <row r="5764" spans="1:14" x14ac:dyDescent="0.3">
      <c r="A5764" s="15" t="str">
        <f>IF(COUNTA($B5764:$E5764,$K5764)=0,"",IF(AND($B5764&lt;&gt;"",$C5764&lt;&gt;"",$D5764&lt;&gt;"",$E5764&lt;&gt;""),"TXS"&amp;TEXT(COUNTIFS($B$2:$B5764,"&lt;&gt;",$C$2:$C5764,"&lt;&gt;",$D$2:$D5764,"&lt;&gt;",$E$2:$E5764,"&lt;&gt;"),"00000"),""))</f>
        <v/>
      </c>
      <c r="N5764" s="22"/>
    </row>
    <row r="5765" spans="1:14" x14ac:dyDescent="0.3">
      <c r="A5765" s="15" t="str">
        <f>IF(COUNTA($B5765:$E5765,$K5765)=0,"",IF(AND($B5765&lt;&gt;"",$C5765&lt;&gt;"",$D5765&lt;&gt;"",$E5765&lt;&gt;""),"TXS"&amp;TEXT(COUNTIFS($B$2:$B5765,"&lt;&gt;",$C$2:$C5765,"&lt;&gt;",$D$2:$D5765,"&lt;&gt;",$E$2:$E5765,"&lt;&gt;"),"00000"),""))</f>
        <v/>
      </c>
      <c r="N5765" s="22"/>
    </row>
    <row r="5766" spans="1:14" x14ac:dyDescent="0.3">
      <c r="A5766" s="15" t="str">
        <f>IF(COUNTA($B5766:$E5766,$K5766)=0,"",IF(AND($B5766&lt;&gt;"",$C5766&lt;&gt;"",$D5766&lt;&gt;"",$E5766&lt;&gt;""),"TXS"&amp;TEXT(COUNTIFS($B$2:$B5766,"&lt;&gt;",$C$2:$C5766,"&lt;&gt;",$D$2:$D5766,"&lt;&gt;",$E$2:$E5766,"&lt;&gt;"),"00000"),""))</f>
        <v/>
      </c>
      <c r="N5766" s="22"/>
    </row>
    <row r="5767" spans="1:14" x14ac:dyDescent="0.3">
      <c r="A5767" s="15" t="str">
        <f>IF(COUNTA($B5767:$E5767,$K5767)=0,"",IF(AND($B5767&lt;&gt;"",$C5767&lt;&gt;"",$D5767&lt;&gt;"",$E5767&lt;&gt;""),"TXS"&amp;TEXT(COUNTIFS($B$2:$B5767,"&lt;&gt;",$C$2:$C5767,"&lt;&gt;",$D$2:$D5767,"&lt;&gt;",$E$2:$E5767,"&lt;&gt;"),"00000"),""))</f>
        <v/>
      </c>
      <c r="N5767" s="22"/>
    </row>
    <row r="5768" spans="1:14" x14ac:dyDescent="0.3">
      <c r="A5768" s="15" t="str">
        <f>IF(COUNTA($B5768:$E5768,$K5768)=0,"",IF(AND($B5768&lt;&gt;"",$C5768&lt;&gt;"",$D5768&lt;&gt;"",$E5768&lt;&gt;""),"TXS"&amp;TEXT(COUNTIFS($B$2:$B5768,"&lt;&gt;",$C$2:$C5768,"&lt;&gt;",$D$2:$D5768,"&lt;&gt;",$E$2:$E5768,"&lt;&gt;"),"00000"),""))</f>
        <v/>
      </c>
      <c r="N5768" s="22"/>
    </row>
    <row r="5769" spans="1:14" x14ac:dyDescent="0.3">
      <c r="A5769" s="15" t="str">
        <f>IF(COUNTA($B5769:$E5769,$K5769)=0,"",IF(AND($B5769&lt;&gt;"",$C5769&lt;&gt;"",$D5769&lt;&gt;"",$E5769&lt;&gt;""),"TXS"&amp;TEXT(COUNTIFS($B$2:$B5769,"&lt;&gt;",$C$2:$C5769,"&lt;&gt;",$D$2:$D5769,"&lt;&gt;",$E$2:$E5769,"&lt;&gt;"),"00000"),""))</f>
        <v/>
      </c>
      <c r="N5769" s="22"/>
    </row>
    <row r="5770" spans="1:14" x14ac:dyDescent="0.3">
      <c r="A5770" s="15" t="str">
        <f>IF(COUNTA($B5770:$E5770,$K5770)=0,"",IF(AND($B5770&lt;&gt;"",$C5770&lt;&gt;"",$D5770&lt;&gt;"",$E5770&lt;&gt;""),"TXS"&amp;TEXT(COUNTIFS($B$2:$B5770,"&lt;&gt;",$C$2:$C5770,"&lt;&gt;",$D$2:$D5770,"&lt;&gt;",$E$2:$E5770,"&lt;&gt;"),"00000"),""))</f>
        <v/>
      </c>
      <c r="N5770" s="22"/>
    </row>
    <row r="5771" spans="1:14" x14ac:dyDescent="0.3">
      <c r="A5771" s="15" t="str">
        <f>IF(COUNTA($B5771:$E5771,$K5771)=0,"",IF(AND($B5771&lt;&gt;"",$C5771&lt;&gt;"",$D5771&lt;&gt;"",$E5771&lt;&gt;""),"TXS"&amp;TEXT(COUNTIFS($B$2:$B5771,"&lt;&gt;",$C$2:$C5771,"&lt;&gt;",$D$2:$D5771,"&lt;&gt;",$E$2:$E5771,"&lt;&gt;"),"00000"),""))</f>
        <v/>
      </c>
      <c r="N5771" s="22"/>
    </row>
    <row r="5772" spans="1:14" x14ac:dyDescent="0.3">
      <c r="A5772" s="15" t="str">
        <f>IF(COUNTA($B5772:$E5772,$K5772)=0,"",IF(AND($B5772&lt;&gt;"",$C5772&lt;&gt;"",$D5772&lt;&gt;"",$E5772&lt;&gt;""),"TXS"&amp;TEXT(COUNTIFS($B$2:$B5772,"&lt;&gt;",$C$2:$C5772,"&lt;&gt;",$D$2:$D5772,"&lt;&gt;",$E$2:$E5772,"&lt;&gt;"),"00000"),""))</f>
        <v/>
      </c>
      <c r="N5772" s="22"/>
    </row>
    <row r="5773" spans="1:14" x14ac:dyDescent="0.3">
      <c r="A5773" s="15" t="str">
        <f>IF(COUNTA($B5773:$E5773,$K5773)=0,"",IF(AND($B5773&lt;&gt;"",$C5773&lt;&gt;"",$D5773&lt;&gt;"",$E5773&lt;&gt;""),"TXS"&amp;TEXT(COUNTIFS($B$2:$B5773,"&lt;&gt;",$C$2:$C5773,"&lt;&gt;",$D$2:$D5773,"&lt;&gt;",$E$2:$E5773,"&lt;&gt;"),"00000"),""))</f>
        <v/>
      </c>
      <c r="N5773" s="22"/>
    </row>
    <row r="5774" spans="1:14" x14ac:dyDescent="0.3">
      <c r="A5774" s="15" t="str">
        <f>IF(COUNTA($B5774:$E5774,$K5774)=0,"",IF(AND($B5774&lt;&gt;"",$C5774&lt;&gt;"",$D5774&lt;&gt;"",$E5774&lt;&gt;""),"TXS"&amp;TEXT(COUNTIFS($B$2:$B5774,"&lt;&gt;",$C$2:$C5774,"&lt;&gt;",$D$2:$D5774,"&lt;&gt;",$E$2:$E5774,"&lt;&gt;"),"00000"),""))</f>
        <v/>
      </c>
      <c r="N5774" s="22"/>
    </row>
    <row r="5775" spans="1:14" x14ac:dyDescent="0.3">
      <c r="A5775" s="15" t="str">
        <f>IF(COUNTA($B5775:$E5775,$K5775)=0,"",IF(AND($B5775&lt;&gt;"",$C5775&lt;&gt;"",$D5775&lt;&gt;"",$E5775&lt;&gt;""),"TXS"&amp;TEXT(COUNTIFS($B$2:$B5775,"&lt;&gt;",$C$2:$C5775,"&lt;&gt;",$D$2:$D5775,"&lt;&gt;",$E$2:$E5775,"&lt;&gt;"),"00000"),""))</f>
        <v/>
      </c>
      <c r="N5775" s="22"/>
    </row>
    <row r="5776" spans="1:14" x14ac:dyDescent="0.3">
      <c r="A5776" s="15" t="str">
        <f>IF(COUNTA($B5776:$E5776,$K5776)=0,"",IF(AND($B5776&lt;&gt;"",$C5776&lt;&gt;"",$D5776&lt;&gt;"",$E5776&lt;&gt;""),"TXS"&amp;TEXT(COUNTIFS($B$2:$B5776,"&lt;&gt;",$C$2:$C5776,"&lt;&gt;",$D$2:$D5776,"&lt;&gt;",$E$2:$E5776,"&lt;&gt;"),"00000"),""))</f>
        <v/>
      </c>
      <c r="N5776" s="22"/>
    </row>
    <row r="5777" spans="1:14" x14ac:dyDescent="0.3">
      <c r="A5777" s="15" t="str">
        <f>IF(COUNTA($B5777:$E5777,$K5777)=0,"",IF(AND($B5777&lt;&gt;"",$C5777&lt;&gt;"",$D5777&lt;&gt;"",$E5777&lt;&gt;""),"TXS"&amp;TEXT(COUNTIFS($B$2:$B5777,"&lt;&gt;",$C$2:$C5777,"&lt;&gt;",$D$2:$D5777,"&lt;&gt;",$E$2:$E5777,"&lt;&gt;"),"00000"),""))</f>
        <v/>
      </c>
      <c r="N5777" s="22"/>
    </row>
    <row r="5778" spans="1:14" x14ac:dyDescent="0.3">
      <c r="A5778" s="15" t="str">
        <f>IF(COUNTA($B5778:$E5778,$K5778)=0,"",IF(AND($B5778&lt;&gt;"",$C5778&lt;&gt;"",$D5778&lt;&gt;"",$E5778&lt;&gt;""),"TXS"&amp;TEXT(COUNTIFS($B$2:$B5778,"&lt;&gt;",$C$2:$C5778,"&lt;&gt;",$D$2:$D5778,"&lt;&gt;",$E$2:$E5778,"&lt;&gt;"),"00000"),""))</f>
        <v/>
      </c>
      <c r="N5778" s="22"/>
    </row>
    <row r="5779" spans="1:14" x14ac:dyDescent="0.3">
      <c r="A5779" s="15" t="str">
        <f>IF(COUNTA($B5779:$E5779,$K5779)=0,"",IF(AND($B5779&lt;&gt;"",$C5779&lt;&gt;"",$D5779&lt;&gt;"",$E5779&lt;&gt;""),"TXS"&amp;TEXT(COUNTIFS($B$2:$B5779,"&lt;&gt;",$C$2:$C5779,"&lt;&gt;",$D$2:$D5779,"&lt;&gt;",$E$2:$E5779,"&lt;&gt;"),"00000"),""))</f>
        <v/>
      </c>
      <c r="N5779" s="22"/>
    </row>
    <row r="5780" spans="1:14" x14ac:dyDescent="0.3">
      <c r="A5780" s="15" t="str">
        <f>IF(COUNTA($B5780:$E5780,$K5780)=0,"",IF(AND($B5780&lt;&gt;"",$C5780&lt;&gt;"",$D5780&lt;&gt;"",$E5780&lt;&gt;""),"TXS"&amp;TEXT(COUNTIFS($B$2:$B5780,"&lt;&gt;",$C$2:$C5780,"&lt;&gt;",$D$2:$D5780,"&lt;&gt;",$E$2:$E5780,"&lt;&gt;"),"00000"),""))</f>
        <v/>
      </c>
      <c r="N5780" s="22"/>
    </row>
    <row r="5781" spans="1:14" x14ac:dyDescent="0.3">
      <c r="A5781" s="15" t="str">
        <f>IF(COUNTA($B5781:$E5781,$K5781)=0,"",IF(AND($B5781&lt;&gt;"",$C5781&lt;&gt;"",$D5781&lt;&gt;"",$E5781&lt;&gt;""),"TXS"&amp;TEXT(COUNTIFS($B$2:$B5781,"&lt;&gt;",$C$2:$C5781,"&lt;&gt;",$D$2:$D5781,"&lt;&gt;",$E$2:$E5781,"&lt;&gt;"),"00000"),""))</f>
        <v/>
      </c>
      <c r="N5781" s="22"/>
    </row>
    <row r="5782" spans="1:14" x14ac:dyDescent="0.3">
      <c r="A5782" s="15" t="str">
        <f>IF(COUNTA($B5782:$E5782,$K5782)=0,"",IF(AND($B5782&lt;&gt;"",$C5782&lt;&gt;"",$D5782&lt;&gt;"",$E5782&lt;&gt;""),"TXS"&amp;TEXT(COUNTIFS($B$2:$B5782,"&lt;&gt;",$C$2:$C5782,"&lt;&gt;",$D$2:$D5782,"&lt;&gt;",$E$2:$E5782,"&lt;&gt;"),"00000"),""))</f>
        <v/>
      </c>
      <c r="N5782" s="22"/>
    </row>
    <row r="5783" spans="1:14" x14ac:dyDescent="0.3">
      <c r="A5783" s="15" t="str">
        <f>IF(COUNTA($B5783:$E5783,$K5783)=0,"",IF(AND($B5783&lt;&gt;"",$C5783&lt;&gt;"",$D5783&lt;&gt;"",$E5783&lt;&gt;""),"TXS"&amp;TEXT(COUNTIFS($B$2:$B5783,"&lt;&gt;",$C$2:$C5783,"&lt;&gt;",$D$2:$D5783,"&lt;&gt;",$E$2:$E5783,"&lt;&gt;"),"00000"),""))</f>
        <v/>
      </c>
      <c r="N5783" s="22"/>
    </row>
    <row r="5784" spans="1:14" x14ac:dyDescent="0.3">
      <c r="A5784" s="15" t="str">
        <f>IF(COUNTA($B5784:$E5784,$K5784)=0,"",IF(AND($B5784&lt;&gt;"",$C5784&lt;&gt;"",$D5784&lt;&gt;"",$E5784&lt;&gt;""),"TXS"&amp;TEXT(COUNTIFS($B$2:$B5784,"&lt;&gt;",$C$2:$C5784,"&lt;&gt;",$D$2:$D5784,"&lt;&gt;",$E$2:$E5784,"&lt;&gt;"),"00000"),""))</f>
        <v/>
      </c>
      <c r="N5784" s="22"/>
    </row>
    <row r="5785" spans="1:14" x14ac:dyDescent="0.3">
      <c r="A5785" s="15" t="str">
        <f>IF(COUNTA($B5785:$E5785,$K5785)=0,"",IF(AND($B5785&lt;&gt;"",$C5785&lt;&gt;"",$D5785&lt;&gt;"",$E5785&lt;&gt;""),"TXS"&amp;TEXT(COUNTIFS($B$2:$B5785,"&lt;&gt;",$C$2:$C5785,"&lt;&gt;",$D$2:$D5785,"&lt;&gt;",$E$2:$E5785,"&lt;&gt;"),"00000"),""))</f>
        <v/>
      </c>
      <c r="N5785" s="22"/>
    </row>
    <row r="5786" spans="1:14" x14ac:dyDescent="0.3">
      <c r="A5786" s="15" t="str">
        <f>IF(COUNTA($B5786:$E5786,$K5786)=0,"",IF(AND($B5786&lt;&gt;"",$C5786&lt;&gt;"",$D5786&lt;&gt;"",$E5786&lt;&gt;""),"TXS"&amp;TEXT(COUNTIFS($B$2:$B5786,"&lt;&gt;",$C$2:$C5786,"&lt;&gt;",$D$2:$D5786,"&lt;&gt;",$E$2:$E5786,"&lt;&gt;"),"00000"),""))</f>
        <v/>
      </c>
      <c r="N5786" s="22"/>
    </row>
    <row r="5787" spans="1:14" x14ac:dyDescent="0.3">
      <c r="A5787" s="15" t="str">
        <f>IF(COUNTA($B5787:$E5787,$K5787)=0,"",IF(AND($B5787&lt;&gt;"",$C5787&lt;&gt;"",$D5787&lt;&gt;"",$E5787&lt;&gt;""),"TXS"&amp;TEXT(COUNTIFS($B$2:$B5787,"&lt;&gt;",$C$2:$C5787,"&lt;&gt;",$D$2:$D5787,"&lt;&gt;",$E$2:$E5787,"&lt;&gt;"),"00000"),""))</f>
        <v/>
      </c>
      <c r="N5787" s="22"/>
    </row>
    <row r="5788" spans="1:14" x14ac:dyDescent="0.3">
      <c r="A5788" s="15" t="str">
        <f>IF(COUNTA($B5788:$E5788,$K5788)=0,"",IF(AND($B5788&lt;&gt;"",$C5788&lt;&gt;"",$D5788&lt;&gt;"",$E5788&lt;&gt;""),"TXS"&amp;TEXT(COUNTIFS($B$2:$B5788,"&lt;&gt;",$C$2:$C5788,"&lt;&gt;",$D$2:$D5788,"&lt;&gt;",$E$2:$E5788,"&lt;&gt;"),"00000"),""))</f>
        <v/>
      </c>
      <c r="N5788" s="22"/>
    </row>
    <row r="5789" spans="1:14" x14ac:dyDescent="0.3">
      <c r="A5789" s="15" t="str">
        <f>IF(COUNTA($B5789:$E5789,$K5789)=0,"",IF(AND($B5789&lt;&gt;"",$C5789&lt;&gt;"",$D5789&lt;&gt;"",$E5789&lt;&gt;""),"TXS"&amp;TEXT(COUNTIFS($B$2:$B5789,"&lt;&gt;",$C$2:$C5789,"&lt;&gt;",$D$2:$D5789,"&lt;&gt;",$E$2:$E5789,"&lt;&gt;"),"00000"),""))</f>
        <v/>
      </c>
      <c r="N5789" s="22"/>
    </row>
    <row r="5790" spans="1:14" x14ac:dyDescent="0.3">
      <c r="A5790" s="15" t="str">
        <f>IF(COUNTA($B5790:$E5790,$K5790)=0,"",IF(AND($B5790&lt;&gt;"",$C5790&lt;&gt;"",$D5790&lt;&gt;"",$E5790&lt;&gt;""),"TXS"&amp;TEXT(COUNTIFS($B$2:$B5790,"&lt;&gt;",$C$2:$C5790,"&lt;&gt;",$D$2:$D5790,"&lt;&gt;",$E$2:$E5790,"&lt;&gt;"),"00000"),""))</f>
        <v/>
      </c>
      <c r="N5790" s="22"/>
    </row>
    <row r="5791" spans="1:14" x14ac:dyDescent="0.3">
      <c r="A5791" s="15" t="str">
        <f>IF(COUNTA($B5791:$E5791,$K5791)=0,"",IF(AND($B5791&lt;&gt;"",$C5791&lt;&gt;"",$D5791&lt;&gt;"",$E5791&lt;&gt;""),"TXS"&amp;TEXT(COUNTIFS($B$2:$B5791,"&lt;&gt;",$C$2:$C5791,"&lt;&gt;",$D$2:$D5791,"&lt;&gt;",$E$2:$E5791,"&lt;&gt;"),"00000"),""))</f>
        <v/>
      </c>
      <c r="N5791" s="22"/>
    </row>
    <row r="5792" spans="1:14" x14ac:dyDescent="0.3">
      <c r="A5792" s="15" t="str">
        <f>IF(COUNTA($B5792:$E5792,$K5792)=0,"",IF(AND($B5792&lt;&gt;"",$C5792&lt;&gt;"",$D5792&lt;&gt;"",$E5792&lt;&gt;""),"TXS"&amp;TEXT(COUNTIFS($B$2:$B5792,"&lt;&gt;",$C$2:$C5792,"&lt;&gt;",$D$2:$D5792,"&lt;&gt;",$E$2:$E5792,"&lt;&gt;"),"00000"),""))</f>
        <v/>
      </c>
      <c r="N5792" s="22"/>
    </row>
    <row r="5793" spans="1:14" x14ac:dyDescent="0.3">
      <c r="A5793" s="15" t="str">
        <f>IF(COUNTA($B5793:$E5793,$K5793)=0,"",IF(AND($B5793&lt;&gt;"",$C5793&lt;&gt;"",$D5793&lt;&gt;"",$E5793&lt;&gt;""),"TXS"&amp;TEXT(COUNTIFS($B$2:$B5793,"&lt;&gt;",$C$2:$C5793,"&lt;&gt;",$D$2:$D5793,"&lt;&gt;",$E$2:$E5793,"&lt;&gt;"),"00000"),""))</f>
        <v/>
      </c>
      <c r="N5793" s="22"/>
    </row>
    <row r="5794" spans="1:14" x14ac:dyDescent="0.3">
      <c r="A5794" s="15" t="str">
        <f>IF(COUNTA($B5794:$E5794,$K5794)=0,"",IF(AND($B5794&lt;&gt;"",$C5794&lt;&gt;"",$D5794&lt;&gt;"",$E5794&lt;&gt;""),"TXS"&amp;TEXT(COUNTIFS($B$2:$B5794,"&lt;&gt;",$C$2:$C5794,"&lt;&gt;",$D$2:$D5794,"&lt;&gt;",$E$2:$E5794,"&lt;&gt;"),"00000"),""))</f>
        <v/>
      </c>
      <c r="N5794" s="22"/>
    </row>
    <row r="5795" spans="1:14" x14ac:dyDescent="0.3">
      <c r="A5795" s="15" t="str">
        <f>IF(COUNTA($B5795:$E5795,$K5795)=0,"",IF(AND($B5795&lt;&gt;"",$C5795&lt;&gt;"",$D5795&lt;&gt;"",$E5795&lt;&gt;""),"TXS"&amp;TEXT(COUNTIFS($B$2:$B5795,"&lt;&gt;",$C$2:$C5795,"&lt;&gt;",$D$2:$D5795,"&lt;&gt;",$E$2:$E5795,"&lt;&gt;"),"00000"),""))</f>
        <v/>
      </c>
      <c r="N5795" s="22"/>
    </row>
    <row r="5796" spans="1:14" x14ac:dyDescent="0.3">
      <c r="A5796" s="15" t="str">
        <f>IF(COUNTA($B5796:$E5796,$K5796)=0,"",IF(AND($B5796&lt;&gt;"",$C5796&lt;&gt;"",$D5796&lt;&gt;"",$E5796&lt;&gt;""),"TXS"&amp;TEXT(COUNTIFS($B$2:$B5796,"&lt;&gt;",$C$2:$C5796,"&lt;&gt;",$D$2:$D5796,"&lt;&gt;",$E$2:$E5796,"&lt;&gt;"),"00000"),""))</f>
        <v/>
      </c>
      <c r="N5796" s="22"/>
    </row>
    <row r="5797" spans="1:14" x14ac:dyDescent="0.3">
      <c r="A5797" s="15" t="str">
        <f>IF(COUNTA($B5797:$E5797,$K5797)=0,"",IF(AND($B5797&lt;&gt;"",$C5797&lt;&gt;"",$D5797&lt;&gt;"",$E5797&lt;&gt;""),"TXS"&amp;TEXT(COUNTIFS($B$2:$B5797,"&lt;&gt;",$C$2:$C5797,"&lt;&gt;",$D$2:$D5797,"&lt;&gt;",$E$2:$E5797,"&lt;&gt;"),"00000"),""))</f>
        <v/>
      </c>
      <c r="N5797" s="22"/>
    </row>
    <row r="5798" spans="1:14" x14ac:dyDescent="0.3">
      <c r="A5798" s="15" t="str">
        <f>IF(COUNTA($B5798:$E5798,$K5798)=0,"",IF(AND($B5798&lt;&gt;"",$C5798&lt;&gt;"",$D5798&lt;&gt;"",$E5798&lt;&gt;""),"TXS"&amp;TEXT(COUNTIFS($B$2:$B5798,"&lt;&gt;",$C$2:$C5798,"&lt;&gt;",$D$2:$D5798,"&lt;&gt;",$E$2:$E5798,"&lt;&gt;"),"00000"),""))</f>
        <v/>
      </c>
      <c r="N5798" s="22"/>
    </row>
    <row r="5799" spans="1:14" x14ac:dyDescent="0.3">
      <c r="A5799" s="15" t="str">
        <f>IF(COUNTA($B5799:$E5799,$K5799)=0,"",IF(AND($B5799&lt;&gt;"",$C5799&lt;&gt;"",$D5799&lt;&gt;"",$E5799&lt;&gt;""),"TXS"&amp;TEXT(COUNTIFS($B$2:$B5799,"&lt;&gt;",$C$2:$C5799,"&lt;&gt;",$D$2:$D5799,"&lt;&gt;",$E$2:$E5799,"&lt;&gt;"),"00000"),""))</f>
        <v/>
      </c>
      <c r="N5799" s="22"/>
    </row>
    <row r="5800" spans="1:14" x14ac:dyDescent="0.3">
      <c r="A5800" s="15" t="str">
        <f>IF(COUNTA($B5800:$E5800,$K5800)=0,"",IF(AND($B5800&lt;&gt;"",$C5800&lt;&gt;"",$D5800&lt;&gt;"",$E5800&lt;&gt;""),"TXS"&amp;TEXT(COUNTIFS($B$2:$B5800,"&lt;&gt;",$C$2:$C5800,"&lt;&gt;",$D$2:$D5800,"&lt;&gt;",$E$2:$E5800,"&lt;&gt;"),"00000"),""))</f>
        <v/>
      </c>
      <c r="N5800" s="22"/>
    </row>
    <row r="5801" spans="1:14" x14ac:dyDescent="0.3">
      <c r="A5801" s="15" t="str">
        <f>IF(COUNTA($B5801:$E5801,$K5801)=0,"",IF(AND($B5801&lt;&gt;"",$C5801&lt;&gt;"",$D5801&lt;&gt;"",$E5801&lt;&gt;""),"TXS"&amp;TEXT(COUNTIFS($B$2:$B5801,"&lt;&gt;",$C$2:$C5801,"&lt;&gt;",$D$2:$D5801,"&lt;&gt;",$E$2:$E5801,"&lt;&gt;"),"00000"),""))</f>
        <v/>
      </c>
      <c r="N5801" s="22"/>
    </row>
    <row r="5802" spans="1:14" x14ac:dyDescent="0.3">
      <c r="A5802" s="15" t="str">
        <f>IF(COUNTA($B5802:$E5802,$K5802)=0,"",IF(AND($B5802&lt;&gt;"",$C5802&lt;&gt;"",$D5802&lt;&gt;"",$E5802&lt;&gt;""),"TXS"&amp;TEXT(COUNTIFS($B$2:$B5802,"&lt;&gt;",$C$2:$C5802,"&lt;&gt;",$D$2:$D5802,"&lt;&gt;",$E$2:$E5802,"&lt;&gt;"),"00000"),""))</f>
        <v/>
      </c>
      <c r="N5802" s="22"/>
    </row>
    <row r="5803" spans="1:14" x14ac:dyDescent="0.3">
      <c r="A5803" s="15" t="str">
        <f>IF(COUNTA($B5803:$E5803,$K5803)=0,"",IF(AND($B5803&lt;&gt;"",$C5803&lt;&gt;"",$D5803&lt;&gt;"",$E5803&lt;&gt;""),"TXS"&amp;TEXT(COUNTIFS($B$2:$B5803,"&lt;&gt;",$C$2:$C5803,"&lt;&gt;",$D$2:$D5803,"&lt;&gt;",$E$2:$E5803,"&lt;&gt;"),"00000"),""))</f>
        <v/>
      </c>
      <c r="N5803" s="22"/>
    </row>
    <row r="5804" spans="1:14" x14ac:dyDescent="0.3">
      <c r="A5804" s="15" t="str">
        <f>IF(COUNTA($B5804:$E5804,$K5804)=0,"",IF(AND($B5804&lt;&gt;"",$C5804&lt;&gt;"",$D5804&lt;&gt;"",$E5804&lt;&gt;""),"TXS"&amp;TEXT(COUNTIFS($B$2:$B5804,"&lt;&gt;",$C$2:$C5804,"&lt;&gt;",$D$2:$D5804,"&lt;&gt;",$E$2:$E5804,"&lt;&gt;"),"00000"),""))</f>
        <v/>
      </c>
      <c r="N5804" s="22"/>
    </row>
    <row r="5805" spans="1:14" x14ac:dyDescent="0.3">
      <c r="A5805" s="15" t="str">
        <f>IF(COUNTA($B5805:$E5805,$K5805)=0,"",IF(AND($B5805&lt;&gt;"",$C5805&lt;&gt;"",$D5805&lt;&gt;"",$E5805&lt;&gt;""),"TXS"&amp;TEXT(COUNTIFS($B$2:$B5805,"&lt;&gt;",$C$2:$C5805,"&lt;&gt;",$D$2:$D5805,"&lt;&gt;",$E$2:$E5805,"&lt;&gt;"),"00000"),""))</f>
        <v/>
      </c>
      <c r="N5805" s="22"/>
    </row>
    <row r="5806" spans="1:14" x14ac:dyDescent="0.3">
      <c r="A5806" s="15" t="str">
        <f>IF(COUNTA($B5806:$E5806,$K5806)=0,"",IF(AND($B5806&lt;&gt;"",$C5806&lt;&gt;"",$D5806&lt;&gt;"",$E5806&lt;&gt;""),"TXS"&amp;TEXT(COUNTIFS($B$2:$B5806,"&lt;&gt;",$C$2:$C5806,"&lt;&gt;",$D$2:$D5806,"&lt;&gt;",$E$2:$E5806,"&lt;&gt;"),"00000"),""))</f>
        <v/>
      </c>
      <c r="N5806" s="22"/>
    </row>
    <row r="5807" spans="1:14" x14ac:dyDescent="0.3">
      <c r="A5807" s="15" t="str">
        <f>IF(COUNTA($B5807:$E5807,$K5807)=0,"",IF(AND($B5807&lt;&gt;"",$C5807&lt;&gt;"",$D5807&lt;&gt;"",$E5807&lt;&gt;""),"TXS"&amp;TEXT(COUNTIFS($B$2:$B5807,"&lt;&gt;",$C$2:$C5807,"&lt;&gt;",$D$2:$D5807,"&lt;&gt;",$E$2:$E5807,"&lt;&gt;"),"00000"),""))</f>
        <v/>
      </c>
      <c r="N5807" s="22"/>
    </row>
    <row r="5808" spans="1:14" x14ac:dyDescent="0.3">
      <c r="A5808" s="15" t="str">
        <f>IF(COUNTA($B5808:$E5808,$K5808)=0,"",IF(AND($B5808&lt;&gt;"",$C5808&lt;&gt;"",$D5808&lt;&gt;"",$E5808&lt;&gt;""),"TXS"&amp;TEXT(COUNTIFS($B$2:$B5808,"&lt;&gt;",$C$2:$C5808,"&lt;&gt;",$D$2:$D5808,"&lt;&gt;",$E$2:$E5808,"&lt;&gt;"),"00000"),""))</f>
        <v/>
      </c>
      <c r="N5808" s="22"/>
    </row>
    <row r="5809" spans="1:14" x14ac:dyDescent="0.3">
      <c r="A5809" s="15" t="str">
        <f>IF(COUNTA($B5809:$E5809,$K5809)=0,"",IF(AND($B5809&lt;&gt;"",$C5809&lt;&gt;"",$D5809&lt;&gt;"",$E5809&lt;&gt;""),"TXS"&amp;TEXT(COUNTIFS($B$2:$B5809,"&lt;&gt;",$C$2:$C5809,"&lt;&gt;",$D$2:$D5809,"&lt;&gt;",$E$2:$E5809,"&lt;&gt;"),"00000"),""))</f>
        <v/>
      </c>
      <c r="N5809" s="22"/>
    </row>
    <row r="5810" spans="1:14" x14ac:dyDescent="0.3">
      <c r="A5810" s="15" t="str">
        <f>IF(COUNTA($B5810:$E5810,$K5810)=0,"",IF(AND($B5810&lt;&gt;"",$C5810&lt;&gt;"",$D5810&lt;&gt;"",$E5810&lt;&gt;""),"TXS"&amp;TEXT(COUNTIFS($B$2:$B5810,"&lt;&gt;",$C$2:$C5810,"&lt;&gt;",$D$2:$D5810,"&lt;&gt;",$E$2:$E5810,"&lt;&gt;"),"00000"),""))</f>
        <v/>
      </c>
      <c r="N5810" s="22"/>
    </row>
    <row r="5811" spans="1:14" x14ac:dyDescent="0.3">
      <c r="A5811" s="15" t="str">
        <f>IF(COUNTA($B5811:$E5811,$K5811)=0,"",IF(AND($B5811&lt;&gt;"",$C5811&lt;&gt;"",$D5811&lt;&gt;"",$E5811&lt;&gt;""),"TXS"&amp;TEXT(COUNTIFS($B$2:$B5811,"&lt;&gt;",$C$2:$C5811,"&lt;&gt;",$D$2:$D5811,"&lt;&gt;",$E$2:$E5811,"&lt;&gt;"),"00000"),""))</f>
        <v/>
      </c>
      <c r="N5811" s="22"/>
    </row>
    <row r="5812" spans="1:14" x14ac:dyDescent="0.3">
      <c r="A5812" s="15" t="str">
        <f>IF(COUNTA($B5812:$E5812,$K5812)=0,"",IF(AND($B5812&lt;&gt;"",$C5812&lt;&gt;"",$D5812&lt;&gt;"",$E5812&lt;&gt;""),"TXS"&amp;TEXT(COUNTIFS($B$2:$B5812,"&lt;&gt;",$C$2:$C5812,"&lt;&gt;",$D$2:$D5812,"&lt;&gt;",$E$2:$E5812,"&lt;&gt;"),"00000"),""))</f>
        <v/>
      </c>
      <c r="N5812" s="22"/>
    </row>
    <row r="5813" spans="1:14" x14ac:dyDescent="0.3">
      <c r="A5813" s="15" t="str">
        <f>IF(COUNTA($B5813:$E5813,$K5813)=0,"",IF(AND($B5813&lt;&gt;"",$C5813&lt;&gt;"",$D5813&lt;&gt;"",$E5813&lt;&gt;""),"TXS"&amp;TEXT(COUNTIFS($B$2:$B5813,"&lt;&gt;",$C$2:$C5813,"&lt;&gt;",$D$2:$D5813,"&lt;&gt;",$E$2:$E5813,"&lt;&gt;"),"00000"),""))</f>
        <v/>
      </c>
      <c r="N5813" s="22"/>
    </row>
    <row r="5814" spans="1:14" x14ac:dyDescent="0.3">
      <c r="A5814" s="15" t="str">
        <f>IF(COUNTA($B5814:$E5814,$K5814)=0,"",IF(AND($B5814&lt;&gt;"",$C5814&lt;&gt;"",$D5814&lt;&gt;"",$E5814&lt;&gt;""),"TXS"&amp;TEXT(COUNTIFS($B$2:$B5814,"&lt;&gt;",$C$2:$C5814,"&lt;&gt;",$D$2:$D5814,"&lt;&gt;",$E$2:$E5814,"&lt;&gt;"),"00000"),""))</f>
        <v/>
      </c>
      <c r="N5814" s="22"/>
    </row>
    <row r="5815" spans="1:14" x14ac:dyDescent="0.3">
      <c r="A5815" s="15" t="str">
        <f>IF(COUNTA($B5815:$E5815,$K5815)=0,"",IF(AND($B5815&lt;&gt;"",$C5815&lt;&gt;"",$D5815&lt;&gt;"",$E5815&lt;&gt;""),"TXS"&amp;TEXT(COUNTIFS($B$2:$B5815,"&lt;&gt;",$C$2:$C5815,"&lt;&gt;",$D$2:$D5815,"&lt;&gt;",$E$2:$E5815,"&lt;&gt;"),"00000"),""))</f>
        <v/>
      </c>
      <c r="N5815" s="22"/>
    </row>
    <row r="5816" spans="1:14" x14ac:dyDescent="0.3">
      <c r="A5816" s="15" t="str">
        <f>IF(COUNTA($B5816:$E5816,$K5816)=0,"",IF(AND($B5816&lt;&gt;"",$C5816&lt;&gt;"",$D5816&lt;&gt;"",$E5816&lt;&gt;""),"TXS"&amp;TEXT(COUNTIFS($B$2:$B5816,"&lt;&gt;",$C$2:$C5816,"&lt;&gt;",$D$2:$D5816,"&lt;&gt;",$E$2:$E5816,"&lt;&gt;"),"00000"),""))</f>
        <v/>
      </c>
      <c r="N5816" s="22"/>
    </row>
    <row r="5817" spans="1:14" x14ac:dyDescent="0.3">
      <c r="A5817" s="15" t="str">
        <f>IF(COUNTA($B5817:$E5817,$K5817)=0,"",IF(AND($B5817&lt;&gt;"",$C5817&lt;&gt;"",$D5817&lt;&gt;"",$E5817&lt;&gt;""),"TXS"&amp;TEXT(COUNTIFS($B$2:$B5817,"&lt;&gt;",$C$2:$C5817,"&lt;&gt;",$D$2:$D5817,"&lt;&gt;",$E$2:$E5817,"&lt;&gt;"),"00000"),""))</f>
        <v/>
      </c>
      <c r="N5817" s="22"/>
    </row>
    <row r="5818" spans="1:14" x14ac:dyDescent="0.3">
      <c r="A5818" s="15" t="str">
        <f>IF(COUNTA($B5818:$E5818,$K5818)=0,"",IF(AND($B5818&lt;&gt;"",$C5818&lt;&gt;"",$D5818&lt;&gt;"",$E5818&lt;&gt;""),"TXS"&amp;TEXT(COUNTIFS($B$2:$B5818,"&lt;&gt;",$C$2:$C5818,"&lt;&gt;",$D$2:$D5818,"&lt;&gt;",$E$2:$E5818,"&lt;&gt;"),"00000"),""))</f>
        <v/>
      </c>
      <c r="N5818" s="22"/>
    </row>
    <row r="5819" spans="1:14" x14ac:dyDescent="0.3">
      <c r="A5819" s="15" t="str">
        <f>IF(COUNTA($B5819:$E5819,$K5819)=0,"",IF(AND($B5819&lt;&gt;"",$C5819&lt;&gt;"",$D5819&lt;&gt;"",$E5819&lt;&gt;""),"TXS"&amp;TEXT(COUNTIFS($B$2:$B5819,"&lt;&gt;",$C$2:$C5819,"&lt;&gt;",$D$2:$D5819,"&lt;&gt;",$E$2:$E5819,"&lt;&gt;"),"00000"),""))</f>
        <v/>
      </c>
      <c r="N5819" s="22"/>
    </row>
    <row r="5820" spans="1:14" x14ac:dyDescent="0.3">
      <c r="A5820" s="15" t="str">
        <f>IF(COUNTA($B5820:$E5820,$K5820)=0,"",IF(AND($B5820&lt;&gt;"",$C5820&lt;&gt;"",$D5820&lt;&gt;"",$E5820&lt;&gt;""),"TXS"&amp;TEXT(COUNTIFS($B$2:$B5820,"&lt;&gt;",$C$2:$C5820,"&lt;&gt;",$D$2:$D5820,"&lt;&gt;",$E$2:$E5820,"&lt;&gt;"),"00000"),""))</f>
        <v/>
      </c>
      <c r="N5820" s="22"/>
    </row>
    <row r="5821" spans="1:14" x14ac:dyDescent="0.3">
      <c r="A5821" s="15" t="str">
        <f>IF(COUNTA($B5821:$E5821,$K5821)=0,"",IF(AND($B5821&lt;&gt;"",$C5821&lt;&gt;"",$D5821&lt;&gt;"",$E5821&lt;&gt;""),"TXS"&amp;TEXT(COUNTIFS($B$2:$B5821,"&lt;&gt;",$C$2:$C5821,"&lt;&gt;",$D$2:$D5821,"&lt;&gt;",$E$2:$E5821,"&lt;&gt;"),"00000"),""))</f>
        <v/>
      </c>
      <c r="N5821" s="22"/>
    </row>
    <row r="5822" spans="1:14" x14ac:dyDescent="0.3">
      <c r="A5822" s="15" t="str">
        <f>IF(COUNTA($B5822:$E5822,$K5822)=0,"",IF(AND($B5822&lt;&gt;"",$C5822&lt;&gt;"",$D5822&lt;&gt;"",$E5822&lt;&gt;""),"TXS"&amp;TEXT(COUNTIFS($B$2:$B5822,"&lt;&gt;",$C$2:$C5822,"&lt;&gt;",$D$2:$D5822,"&lt;&gt;",$E$2:$E5822,"&lt;&gt;"),"00000"),""))</f>
        <v/>
      </c>
      <c r="N5822" s="22"/>
    </row>
    <row r="5823" spans="1:14" x14ac:dyDescent="0.3">
      <c r="A5823" s="15" t="str">
        <f>IF(COUNTA($B5823:$E5823,$K5823)=0,"",IF(AND($B5823&lt;&gt;"",$C5823&lt;&gt;"",$D5823&lt;&gt;"",$E5823&lt;&gt;""),"TXS"&amp;TEXT(COUNTIFS($B$2:$B5823,"&lt;&gt;",$C$2:$C5823,"&lt;&gt;",$D$2:$D5823,"&lt;&gt;",$E$2:$E5823,"&lt;&gt;"),"00000"),""))</f>
        <v/>
      </c>
      <c r="N5823" s="22"/>
    </row>
    <row r="5824" spans="1:14" x14ac:dyDescent="0.3">
      <c r="A5824" s="15" t="str">
        <f>IF(COUNTA($B5824:$E5824,$K5824)=0,"",IF(AND($B5824&lt;&gt;"",$C5824&lt;&gt;"",$D5824&lt;&gt;"",$E5824&lt;&gt;""),"TXS"&amp;TEXT(COUNTIFS($B$2:$B5824,"&lt;&gt;",$C$2:$C5824,"&lt;&gt;",$D$2:$D5824,"&lt;&gt;",$E$2:$E5824,"&lt;&gt;"),"00000"),""))</f>
        <v/>
      </c>
      <c r="N5824" s="22"/>
    </row>
    <row r="5825" spans="1:14" x14ac:dyDescent="0.3">
      <c r="A5825" s="15" t="str">
        <f>IF(COUNTA($B5825:$E5825,$K5825)=0,"",IF(AND($B5825&lt;&gt;"",$C5825&lt;&gt;"",$D5825&lt;&gt;"",$E5825&lt;&gt;""),"TXS"&amp;TEXT(COUNTIFS($B$2:$B5825,"&lt;&gt;",$C$2:$C5825,"&lt;&gt;",$D$2:$D5825,"&lt;&gt;",$E$2:$E5825,"&lt;&gt;"),"00000"),""))</f>
        <v/>
      </c>
      <c r="N5825" s="22"/>
    </row>
    <row r="5826" spans="1:14" x14ac:dyDescent="0.3">
      <c r="A5826" s="15" t="str">
        <f>IF(COUNTA($B5826:$E5826,$K5826)=0,"",IF(AND($B5826&lt;&gt;"",$C5826&lt;&gt;"",$D5826&lt;&gt;"",$E5826&lt;&gt;""),"TXS"&amp;TEXT(COUNTIFS($B$2:$B5826,"&lt;&gt;",$C$2:$C5826,"&lt;&gt;",$D$2:$D5826,"&lt;&gt;",$E$2:$E5826,"&lt;&gt;"),"00000"),""))</f>
        <v/>
      </c>
      <c r="N5826" s="22"/>
    </row>
    <row r="5827" spans="1:14" x14ac:dyDescent="0.3">
      <c r="A5827" s="15" t="str">
        <f>IF(COUNTA($B5827:$E5827,$K5827)=0,"",IF(AND($B5827&lt;&gt;"",$C5827&lt;&gt;"",$D5827&lt;&gt;"",$E5827&lt;&gt;""),"TXS"&amp;TEXT(COUNTIFS($B$2:$B5827,"&lt;&gt;",$C$2:$C5827,"&lt;&gt;",$D$2:$D5827,"&lt;&gt;",$E$2:$E5827,"&lt;&gt;"),"00000"),""))</f>
        <v/>
      </c>
      <c r="N5827" s="22"/>
    </row>
    <row r="5828" spans="1:14" x14ac:dyDescent="0.3">
      <c r="A5828" s="15" t="str">
        <f>IF(COUNTA($B5828:$E5828,$K5828)=0,"",IF(AND($B5828&lt;&gt;"",$C5828&lt;&gt;"",$D5828&lt;&gt;"",$E5828&lt;&gt;""),"TXS"&amp;TEXT(COUNTIFS($B$2:$B5828,"&lt;&gt;",$C$2:$C5828,"&lt;&gt;",$D$2:$D5828,"&lt;&gt;",$E$2:$E5828,"&lt;&gt;"),"00000"),""))</f>
        <v/>
      </c>
      <c r="N5828" s="22"/>
    </row>
    <row r="5829" spans="1:14" x14ac:dyDescent="0.3">
      <c r="A5829" s="15" t="str">
        <f>IF(COUNTA($B5829:$E5829,$K5829)=0,"",IF(AND($B5829&lt;&gt;"",$C5829&lt;&gt;"",$D5829&lt;&gt;"",$E5829&lt;&gt;""),"TXS"&amp;TEXT(COUNTIFS($B$2:$B5829,"&lt;&gt;",$C$2:$C5829,"&lt;&gt;",$D$2:$D5829,"&lt;&gt;",$E$2:$E5829,"&lt;&gt;"),"00000"),""))</f>
        <v/>
      </c>
      <c r="N5829" s="22"/>
    </row>
    <row r="5830" spans="1:14" x14ac:dyDescent="0.3">
      <c r="A5830" s="15" t="str">
        <f>IF(COUNTA($B5830:$E5830,$K5830)=0,"",IF(AND($B5830&lt;&gt;"",$C5830&lt;&gt;"",$D5830&lt;&gt;"",$E5830&lt;&gt;""),"TXS"&amp;TEXT(COUNTIFS($B$2:$B5830,"&lt;&gt;",$C$2:$C5830,"&lt;&gt;",$D$2:$D5830,"&lt;&gt;",$E$2:$E5830,"&lt;&gt;"),"00000"),""))</f>
        <v/>
      </c>
      <c r="N5830" s="22"/>
    </row>
    <row r="5831" spans="1:14" x14ac:dyDescent="0.3">
      <c r="A5831" s="15" t="str">
        <f>IF(COUNTA($B5831:$E5831,$K5831)=0,"",IF(AND($B5831&lt;&gt;"",$C5831&lt;&gt;"",$D5831&lt;&gt;"",$E5831&lt;&gt;""),"TXS"&amp;TEXT(COUNTIFS($B$2:$B5831,"&lt;&gt;",$C$2:$C5831,"&lt;&gt;",$D$2:$D5831,"&lt;&gt;",$E$2:$E5831,"&lt;&gt;"),"00000"),""))</f>
        <v/>
      </c>
      <c r="N5831" s="22"/>
    </row>
    <row r="5832" spans="1:14" x14ac:dyDescent="0.3">
      <c r="A5832" s="15" t="str">
        <f>IF(COUNTA($B5832:$E5832,$K5832)=0,"",IF(AND($B5832&lt;&gt;"",$C5832&lt;&gt;"",$D5832&lt;&gt;"",$E5832&lt;&gt;""),"TXS"&amp;TEXT(COUNTIFS($B$2:$B5832,"&lt;&gt;",$C$2:$C5832,"&lt;&gt;",$D$2:$D5832,"&lt;&gt;",$E$2:$E5832,"&lt;&gt;"),"00000"),""))</f>
        <v/>
      </c>
      <c r="N5832" s="22"/>
    </row>
    <row r="5833" spans="1:14" x14ac:dyDescent="0.3">
      <c r="A5833" s="15" t="str">
        <f>IF(COUNTA($B5833:$E5833,$K5833)=0,"",IF(AND($B5833&lt;&gt;"",$C5833&lt;&gt;"",$D5833&lt;&gt;"",$E5833&lt;&gt;""),"TXS"&amp;TEXT(COUNTIFS($B$2:$B5833,"&lt;&gt;",$C$2:$C5833,"&lt;&gt;",$D$2:$D5833,"&lt;&gt;",$E$2:$E5833,"&lt;&gt;"),"00000"),""))</f>
        <v/>
      </c>
      <c r="N5833" s="22"/>
    </row>
    <row r="5834" spans="1:14" x14ac:dyDescent="0.3">
      <c r="A5834" s="15" t="str">
        <f>IF(COUNTA($B5834:$E5834,$K5834)=0,"",IF(AND($B5834&lt;&gt;"",$C5834&lt;&gt;"",$D5834&lt;&gt;"",$E5834&lt;&gt;""),"TXS"&amp;TEXT(COUNTIFS($B$2:$B5834,"&lt;&gt;",$C$2:$C5834,"&lt;&gt;",$D$2:$D5834,"&lt;&gt;",$E$2:$E5834,"&lt;&gt;"),"00000"),""))</f>
        <v/>
      </c>
      <c r="N5834" s="22"/>
    </row>
    <row r="5835" spans="1:14" x14ac:dyDescent="0.3">
      <c r="A5835" s="15" t="str">
        <f>IF(COUNTA($B5835:$E5835,$K5835)=0,"",IF(AND($B5835&lt;&gt;"",$C5835&lt;&gt;"",$D5835&lt;&gt;"",$E5835&lt;&gt;""),"TXS"&amp;TEXT(COUNTIFS($B$2:$B5835,"&lt;&gt;",$C$2:$C5835,"&lt;&gt;",$D$2:$D5835,"&lt;&gt;",$E$2:$E5835,"&lt;&gt;"),"00000"),""))</f>
        <v/>
      </c>
      <c r="N5835" s="22"/>
    </row>
    <row r="5836" spans="1:14" x14ac:dyDescent="0.3">
      <c r="A5836" s="15" t="str">
        <f>IF(COUNTA($B5836:$E5836,$K5836)=0,"",IF(AND($B5836&lt;&gt;"",$C5836&lt;&gt;"",$D5836&lt;&gt;"",$E5836&lt;&gt;""),"TXS"&amp;TEXT(COUNTIFS($B$2:$B5836,"&lt;&gt;",$C$2:$C5836,"&lt;&gt;",$D$2:$D5836,"&lt;&gt;",$E$2:$E5836,"&lt;&gt;"),"00000"),""))</f>
        <v/>
      </c>
      <c r="N5836" s="22"/>
    </row>
    <row r="5837" spans="1:14" x14ac:dyDescent="0.3">
      <c r="A5837" s="15" t="str">
        <f>IF(COUNTA($B5837:$E5837,$K5837)=0,"",IF(AND($B5837&lt;&gt;"",$C5837&lt;&gt;"",$D5837&lt;&gt;"",$E5837&lt;&gt;""),"TXS"&amp;TEXT(COUNTIFS($B$2:$B5837,"&lt;&gt;",$C$2:$C5837,"&lt;&gt;",$D$2:$D5837,"&lt;&gt;",$E$2:$E5837,"&lt;&gt;"),"00000"),""))</f>
        <v/>
      </c>
      <c r="N5837" s="22"/>
    </row>
    <row r="5838" spans="1:14" x14ac:dyDescent="0.3">
      <c r="A5838" s="15" t="str">
        <f>IF(COUNTA($B5838:$E5838,$K5838)=0,"",IF(AND($B5838&lt;&gt;"",$C5838&lt;&gt;"",$D5838&lt;&gt;"",$E5838&lt;&gt;""),"TXS"&amp;TEXT(COUNTIFS($B$2:$B5838,"&lt;&gt;",$C$2:$C5838,"&lt;&gt;",$D$2:$D5838,"&lt;&gt;",$E$2:$E5838,"&lt;&gt;"),"00000"),""))</f>
        <v/>
      </c>
      <c r="N5838" s="22"/>
    </row>
    <row r="5839" spans="1:14" x14ac:dyDescent="0.3">
      <c r="A5839" s="15" t="str">
        <f>IF(COUNTA($B5839:$E5839,$K5839)=0,"",IF(AND($B5839&lt;&gt;"",$C5839&lt;&gt;"",$D5839&lt;&gt;"",$E5839&lt;&gt;""),"TXS"&amp;TEXT(COUNTIFS($B$2:$B5839,"&lt;&gt;",$C$2:$C5839,"&lt;&gt;",$D$2:$D5839,"&lt;&gt;",$E$2:$E5839,"&lt;&gt;"),"00000"),""))</f>
        <v/>
      </c>
      <c r="N5839" s="22"/>
    </row>
    <row r="5840" spans="1:14" x14ac:dyDescent="0.3">
      <c r="A5840" s="15" t="str">
        <f>IF(COUNTA($B5840:$E5840,$K5840)=0,"",IF(AND($B5840&lt;&gt;"",$C5840&lt;&gt;"",$D5840&lt;&gt;"",$E5840&lt;&gt;""),"TXS"&amp;TEXT(COUNTIFS($B$2:$B5840,"&lt;&gt;",$C$2:$C5840,"&lt;&gt;",$D$2:$D5840,"&lt;&gt;",$E$2:$E5840,"&lt;&gt;"),"00000"),""))</f>
        <v/>
      </c>
      <c r="N5840" s="22"/>
    </row>
    <row r="5841" spans="1:14" x14ac:dyDescent="0.3">
      <c r="A5841" s="15" t="str">
        <f>IF(COUNTA($B5841:$E5841,$K5841)=0,"",IF(AND($B5841&lt;&gt;"",$C5841&lt;&gt;"",$D5841&lt;&gt;"",$E5841&lt;&gt;""),"TXS"&amp;TEXT(COUNTIFS($B$2:$B5841,"&lt;&gt;",$C$2:$C5841,"&lt;&gt;",$D$2:$D5841,"&lt;&gt;",$E$2:$E5841,"&lt;&gt;"),"00000"),""))</f>
        <v/>
      </c>
      <c r="N5841" s="22"/>
    </row>
    <row r="5842" spans="1:14" x14ac:dyDescent="0.3">
      <c r="A5842" s="15" t="str">
        <f>IF(COUNTA($B5842:$E5842,$K5842)=0,"",IF(AND($B5842&lt;&gt;"",$C5842&lt;&gt;"",$D5842&lt;&gt;"",$E5842&lt;&gt;""),"TXS"&amp;TEXT(COUNTIFS($B$2:$B5842,"&lt;&gt;",$C$2:$C5842,"&lt;&gt;",$D$2:$D5842,"&lt;&gt;",$E$2:$E5842,"&lt;&gt;"),"00000"),""))</f>
        <v/>
      </c>
      <c r="N5842" s="22"/>
    </row>
    <row r="5843" spans="1:14" x14ac:dyDescent="0.3">
      <c r="A5843" s="15" t="str">
        <f>IF(COUNTA($B5843:$E5843,$K5843)=0,"",IF(AND($B5843&lt;&gt;"",$C5843&lt;&gt;"",$D5843&lt;&gt;"",$E5843&lt;&gt;""),"TXS"&amp;TEXT(COUNTIFS($B$2:$B5843,"&lt;&gt;",$C$2:$C5843,"&lt;&gt;",$D$2:$D5843,"&lt;&gt;",$E$2:$E5843,"&lt;&gt;"),"00000"),""))</f>
        <v/>
      </c>
      <c r="N5843" s="22"/>
    </row>
    <row r="5844" spans="1:14" x14ac:dyDescent="0.3">
      <c r="A5844" s="15" t="str">
        <f>IF(COUNTA($B5844:$E5844,$K5844)=0,"",IF(AND($B5844&lt;&gt;"",$C5844&lt;&gt;"",$D5844&lt;&gt;"",$E5844&lt;&gt;""),"TXS"&amp;TEXT(COUNTIFS($B$2:$B5844,"&lt;&gt;",$C$2:$C5844,"&lt;&gt;",$D$2:$D5844,"&lt;&gt;",$E$2:$E5844,"&lt;&gt;"),"00000"),""))</f>
        <v/>
      </c>
      <c r="N5844" s="22"/>
    </row>
    <row r="5845" spans="1:14" x14ac:dyDescent="0.3">
      <c r="A5845" s="15" t="str">
        <f>IF(COUNTA($B5845:$E5845,$K5845)=0,"",IF(AND($B5845&lt;&gt;"",$C5845&lt;&gt;"",$D5845&lt;&gt;"",$E5845&lt;&gt;""),"TXS"&amp;TEXT(COUNTIFS($B$2:$B5845,"&lt;&gt;",$C$2:$C5845,"&lt;&gt;",$D$2:$D5845,"&lt;&gt;",$E$2:$E5845,"&lt;&gt;"),"00000"),""))</f>
        <v/>
      </c>
      <c r="N5845" s="22"/>
    </row>
    <row r="5846" spans="1:14" x14ac:dyDescent="0.3">
      <c r="A5846" s="15" t="str">
        <f>IF(COUNTA($B5846:$E5846,$K5846)=0,"",IF(AND($B5846&lt;&gt;"",$C5846&lt;&gt;"",$D5846&lt;&gt;"",$E5846&lt;&gt;""),"TXS"&amp;TEXT(COUNTIFS($B$2:$B5846,"&lt;&gt;",$C$2:$C5846,"&lt;&gt;",$D$2:$D5846,"&lt;&gt;",$E$2:$E5846,"&lt;&gt;"),"00000"),""))</f>
        <v/>
      </c>
      <c r="N5846" s="22"/>
    </row>
    <row r="5847" spans="1:14" x14ac:dyDescent="0.3">
      <c r="A5847" s="15" t="str">
        <f>IF(COUNTA($B5847:$E5847,$K5847)=0,"",IF(AND($B5847&lt;&gt;"",$C5847&lt;&gt;"",$D5847&lt;&gt;"",$E5847&lt;&gt;""),"TXS"&amp;TEXT(COUNTIFS($B$2:$B5847,"&lt;&gt;",$C$2:$C5847,"&lt;&gt;",$D$2:$D5847,"&lt;&gt;",$E$2:$E5847,"&lt;&gt;"),"00000"),""))</f>
        <v/>
      </c>
      <c r="N5847" s="22"/>
    </row>
    <row r="5848" spans="1:14" x14ac:dyDescent="0.3">
      <c r="A5848" s="15" t="str">
        <f>IF(COUNTA($B5848:$E5848,$K5848)=0,"",IF(AND($B5848&lt;&gt;"",$C5848&lt;&gt;"",$D5848&lt;&gt;"",$E5848&lt;&gt;""),"TXS"&amp;TEXT(COUNTIFS($B$2:$B5848,"&lt;&gt;",$C$2:$C5848,"&lt;&gt;",$D$2:$D5848,"&lt;&gt;",$E$2:$E5848,"&lt;&gt;"),"00000"),""))</f>
        <v/>
      </c>
      <c r="N5848" s="22"/>
    </row>
    <row r="5849" spans="1:14" x14ac:dyDescent="0.3">
      <c r="A5849" s="15" t="str">
        <f>IF(COUNTA($B5849:$E5849,$K5849)=0,"",IF(AND($B5849&lt;&gt;"",$C5849&lt;&gt;"",$D5849&lt;&gt;"",$E5849&lt;&gt;""),"TXS"&amp;TEXT(COUNTIFS($B$2:$B5849,"&lt;&gt;",$C$2:$C5849,"&lt;&gt;",$D$2:$D5849,"&lt;&gt;",$E$2:$E5849,"&lt;&gt;"),"00000"),""))</f>
        <v/>
      </c>
      <c r="N5849" s="22"/>
    </row>
    <row r="5850" spans="1:14" x14ac:dyDescent="0.3">
      <c r="A5850" s="15" t="str">
        <f>IF(COUNTA($B5850:$E5850,$K5850)=0,"",IF(AND($B5850&lt;&gt;"",$C5850&lt;&gt;"",$D5850&lt;&gt;"",$E5850&lt;&gt;""),"TXS"&amp;TEXT(COUNTIFS($B$2:$B5850,"&lt;&gt;",$C$2:$C5850,"&lt;&gt;",$D$2:$D5850,"&lt;&gt;",$E$2:$E5850,"&lt;&gt;"),"00000"),""))</f>
        <v/>
      </c>
      <c r="N5850" s="22"/>
    </row>
    <row r="5851" spans="1:14" x14ac:dyDescent="0.3">
      <c r="A5851" s="15" t="str">
        <f>IF(COUNTA($B5851:$E5851,$K5851)=0,"",IF(AND($B5851&lt;&gt;"",$C5851&lt;&gt;"",$D5851&lt;&gt;"",$E5851&lt;&gt;""),"TXS"&amp;TEXT(COUNTIFS($B$2:$B5851,"&lt;&gt;",$C$2:$C5851,"&lt;&gt;",$D$2:$D5851,"&lt;&gt;",$E$2:$E5851,"&lt;&gt;"),"00000"),""))</f>
        <v/>
      </c>
      <c r="N5851" s="22"/>
    </row>
    <row r="5852" spans="1:14" x14ac:dyDescent="0.3">
      <c r="A5852" s="15" t="str">
        <f>IF(COUNTA($B5852:$E5852,$K5852)=0,"",IF(AND($B5852&lt;&gt;"",$C5852&lt;&gt;"",$D5852&lt;&gt;"",$E5852&lt;&gt;""),"TXS"&amp;TEXT(COUNTIFS($B$2:$B5852,"&lt;&gt;",$C$2:$C5852,"&lt;&gt;",$D$2:$D5852,"&lt;&gt;",$E$2:$E5852,"&lt;&gt;"),"00000"),""))</f>
        <v/>
      </c>
      <c r="N5852" s="22"/>
    </row>
    <row r="5853" spans="1:14" x14ac:dyDescent="0.3">
      <c r="A5853" s="15" t="str">
        <f>IF(COUNTA($B5853:$E5853,$K5853)=0,"",IF(AND($B5853&lt;&gt;"",$C5853&lt;&gt;"",$D5853&lt;&gt;"",$E5853&lt;&gt;""),"TXS"&amp;TEXT(COUNTIFS($B$2:$B5853,"&lt;&gt;",$C$2:$C5853,"&lt;&gt;",$D$2:$D5853,"&lt;&gt;",$E$2:$E5853,"&lt;&gt;"),"00000"),""))</f>
        <v/>
      </c>
      <c r="N5853" s="22"/>
    </row>
    <row r="5854" spans="1:14" x14ac:dyDescent="0.3">
      <c r="A5854" s="15" t="str">
        <f>IF(COUNTA($B5854:$E5854,$K5854)=0,"",IF(AND($B5854&lt;&gt;"",$C5854&lt;&gt;"",$D5854&lt;&gt;"",$E5854&lt;&gt;""),"TXS"&amp;TEXT(COUNTIFS($B$2:$B5854,"&lt;&gt;",$C$2:$C5854,"&lt;&gt;",$D$2:$D5854,"&lt;&gt;",$E$2:$E5854,"&lt;&gt;"),"00000"),""))</f>
        <v/>
      </c>
      <c r="N5854" s="22"/>
    </row>
    <row r="5855" spans="1:14" x14ac:dyDescent="0.3">
      <c r="A5855" s="15" t="str">
        <f>IF(COUNTA($B5855:$E5855,$K5855)=0,"",IF(AND($B5855&lt;&gt;"",$C5855&lt;&gt;"",$D5855&lt;&gt;"",$E5855&lt;&gt;""),"TXS"&amp;TEXT(COUNTIFS($B$2:$B5855,"&lt;&gt;",$C$2:$C5855,"&lt;&gt;",$D$2:$D5855,"&lt;&gt;",$E$2:$E5855,"&lt;&gt;"),"00000"),""))</f>
        <v/>
      </c>
      <c r="N5855" s="22"/>
    </row>
    <row r="5856" spans="1:14" x14ac:dyDescent="0.3">
      <c r="A5856" s="15" t="str">
        <f>IF(COUNTA($B5856:$E5856,$K5856)=0,"",IF(AND($B5856&lt;&gt;"",$C5856&lt;&gt;"",$D5856&lt;&gt;"",$E5856&lt;&gt;""),"TXS"&amp;TEXT(COUNTIFS($B$2:$B5856,"&lt;&gt;",$C$2:$C5856,"&lt;&gt;",$D$2:$D5856,"&lt;&gt;",$E$2:$E5856,"&lt;&gt;"),"00000"),""))</f>
        <v/>
      </c>
      <c r="N5856" s="22"/>
    </row>
    <row r="5857" spans="1:14" x14ac:dyDescent="0.3">
      <c r="A5857" s="15" t="str">
        <f>IF(COUNTA($B5857:$E5857,$K5857)=0,"",IF(AND($B5857&lt;&gt;"",$C5857&lt;&gt;"",$D5857&lt;&gt;"",$E5857&lt;&gt;""),"TXS"&amp;TEXT(COUNTIFS($B$2:$B5857,"&lt;&gt;",$C$2:$C5857,"&lt;&gt;",$D$2:$D5857,"&lt;&gt;",$E$2:$E5857,"&lt;&gt;"),"00000"),""))</f>
        <v/>
      </c>
      <c r="N5857" s="22"/>
    </row>
    <row r="5858" spans="1:14" x14ac:dyDescent="0.3">
      <c r="A5858" s="15" t="str">
        <f>IF(COUNTA($B5858:$E5858,$K5858)=0,"",IF(AND($B5858&lt;&gt;"",$C5858&lt;&gt;"",$D5858&lt;&gt;"",$E5858&lt;&gt;""),"TXS"&amp;TEXT(COUNTIFS($B$2:$B5858,"&lt;&gt;",$C$2:$C5858,"&lt;&gt;",$D$2:$D5858,"&lt;&gt;",$E$2:$E5858,"&lt;&gt;"),"00000"),""))</f>
        <v/>
      </c>
      <c r="N5858" s="22"/>
    </row>
    <row r="5859" spans="1:14" x14ac:dyDescent="0.3">
      <c r="A5859" s="15" t="str">
        <f>IF(COUNTA($B5859:$E5859,$K5859)=0,"",IF(AND($B5859&lt;&gt;"",$C5859&lt;&gt;"",$D5859&lt;&gt;"",$E5859&lt;&gt;""),"TXS"&amp;TEXT(COUNTIFS($B$2:$B5859,"&lt;&gt;",$C$2:$C5859,"&lt;&gt;",$D$2:$D5859,"&lt;&gt;",$E$2:$E5859,"&lt;&gt;"),"00000"),""))</f>
        <v/>
      </c>
      <c r="N5859" s="22"/>
    </row>
    <row r="5860" spans="1:14" x14ac:dyDescent="0.3">
      <c r="A5860" s="15" t="str">
        <f>IF(COUNTA($B5860:$E5860,$K5860)=0,"",IF(AND($B5860&lt;&gt;"",$C5860&lt;&gt;"",$D5860&lt;&gt;"",$E5860&lt;&gt;""),"TXS"&amp;TEXT(COUNTIFS($B$2:$B5860,"&lt;&gt;",$C$2:$C5860,"&lt;&gt;",$D$2:$D5860,"&lt;&gt;",$E$2:$E5860,"&lt;&gt;"),"00000"),""))</f>
        <v/>
      </c>
      <c r="N5860" s="22"/>
    </row>
    <row r="5861" spans="1:14" x14ac:dyDescent="0.3">
      <c r="A5861" s="15" t="str">
        <f>IF(COUNTA($B5861:$E5861,$K5861)=0,"",IF(AND($B5861&lt;&gt;"",$C5861&lt;&gt;"",$D5861&lt;&gt;"",$E5861&lt;&gt;""),"TXS"&amp;TEXT(COUNTIFS($B$2:$B5861,"&lt;&gt;",$C$2:$C5861,"&lt;&gt;",$D$2:$D5861,"&lt;&gt;",$E$2:$E5861,"&lt;&gt;"),"00000"),""))</f>
        <v/>
      </c>
      <c r="N5861" s="22"/>
    </row>
    <row r="5862" spans="1:14" x14ac:dyDescent="0.3">
      <c r="A5862" s="15" t="str">
        <f>IF(COUNTA($B5862:$E5862,$K5862)=0,"",IF(AND($B5862&lt;&gt;"",$C5862&lt;&gt;"",$D5862&lt;&gt;"",$E5862&lt;&gt;""),"TXS"&amp;TEXT(COUNTIFS($B$2:$B5862,"&lt;&gt;",$C$2:$C5862,"&lt;&gt;",$D$2:$D5862,"&lt;&gt;",$E$2:$E5862,"&lt;&gt;"),"00000"),""))</f>
        <v/>
      </c>
      <c r="N5862" s="22"/>
    </row>
    <row r="5863" spans="1:14" x14ac:dyDescent="0.3">
      <c r="A5863" s="15" t="str">
        <f>IF(COUNTA($B5863:$E5863,$K5863)=0,"",IF(AND($B5863&lt;&gt;"",$C5863&lt;&gt;"",$D5863&lt;&gt;"",$E5863&lt;&gt;""),"TXS"&amp;TEXT(COUNTIFS($B$2:$B5863,"&lt;&gt;",$C$2:$C5863,"&lt;&gt;",$D$2:$D5863,"&lt;&gt;",$E$2:$E5863,"&lt;&gt;"),"00000"),""))</f>
        <v/>
      </c>
      <c r="N5863" s="22"/>
    </row>
    <row r="5864" spans="1:14" x14ac:dyDescent="0.3">
      <c r="A5864" s="15" t="str">
        <f>IF(COUNTA($B5864:$E5864,$K5864)=0,"",IF(AND($B5864&lt;&gt;"",$C5864&lt;&gt;"",$D5864&lt;&gt;"",$E5864&lt;&gt;""),"TXS"&amp;TEXT(COUNTIFS($B$2:$B5864,"&lt;&gt;",$C$2:$C5864,"&lt;&gt;",$D$2:$D5864,"&lt;&gt;",$E$2:$E5864,"&lt;&gt;"),"00000"),""))</f>
        <v/>
      </c>
      <c r="N5864" s="22"/>
    </row>
    <row r="5865" spans="1:14" x14ac:dyDescent="0.3">
      <c r="A5865" s="15" t="str">
        <f>IF(COUNTA($B5865:$E5865,$K5865)=0,"",IF(AND($B5865&lt;&gt;"",$C5865&lt;&gt;"",$D5865&lt;&gt;"",$E5865&lt;&gt;""),"TXS"&amp;TEXT(COUNTIFS($B$2:$B5865,"&lt;&gt;",$C$2:$C5865,"&lt;&gt;",$D$2:$D5865,"&lt;&gt;",$E$2:$E5865,"&lt;&gt;"),"00000"),""))</f>
        <v/>
      </c>
      <c r="N5865" s="22"/>
    </row>
    <row r="5866" spans="1:14" x14ac:dyDescent="0.3">
      <c r="A5866" s="15" t="str">
        <f>IF(COUNTA($B5866:$E5866,$K5866)=0,"",IF(AND($B5866&lt;&gt;"",$C5866&lt;&gt;"",$D5866&lt;&gt;"",$E5866&lt;&gt;""),"TXS"&amp;TEXT(COUNTIFS($B$2:$B5866,"&lt;&gt;",$C$2:$C5866,"&lt;&gt;",$D$2:$D5866,"&lt;&gt;",$E$2:$E5866,"&lt;&gt;"),"00000"),""))</f>
        <v/>
      </c>
      <c r="N5866" s="22"/>
    </row>
    <row r="5867" spans="1:14" x14ac:dyDescent="0.3">
      <c r="A5867" s="15" t="str">
        <f>IF(COUNTA($B5867:$E5867,$K5867)=0,"",IF(AND($B5867&lt;&gt;"",$C5867&lt;&gt;"",$D5867&lt;&gt;"",$E5867&lt;&gt;""),"TXS"&amp;TEXT(COUNTIFS($B$2:$B5867,"&lt;&gt;",$C$2:$C5867,"&lt;&gt;",$D$2:$D5867,"&lt;&gt;",$E$2:$E5867,"&lt;&gt;"),"00000"),""))</f>
        <v/>
      </c>
      <c r="N5867" s="22"/>
    </row>
    <row r="5868" spans="1:14" x14ac:dyDescent="0.3">
      <c r="A5868" s="15" t="str">
        <f>IF(COUNTA($B5868:$E5868,$K5868)=0,"",IF(AND($B5868&lt;&gt;"",$C5868&lt;&gt;"",$D5868&lt;&gt;"",$E5868&lt;&gt;""),"TXS"&amp;TEXT(COUNTIFS($B$2:$B5868,"&lt;&gt;",$C$2:$C5868,"&lt;&gt;",$D$2:$D5868,"&lt;&gt;",$E$2:$E5868,"&lt;&gt;"),"00000"),""))</f>
        <v/>
      </c>
      <c r="N5868" s="22"/>
    </row>
    <row r="5869" spans="1:14" x14ac:dyDescent="0.3">
      <c r="A5869" s="15" t="str">
        <f>IF(COUNTA($B5869:$E5869,$K5869)=0,"",IF(AND($B5869&lt;&gt;"",$C5869&lt;&gt;"",$D5869&lt;&gt;"",$E5869&lt;&gt;""),"TXS"&amp;TEXT(COUNTIFS($B$2:$B5869,"&lt;&gt;",$C$2:$C5869,"&lt;&gt;",$D$2:$D5869,"&lt;&gt;",$E$2:$E5869,"&lt;&gt;"),"00000"),""))</f>
        <v/>
      </c>
      <c r="N5869" s="22"/>
    </row>
    <row r="5870" spans="1:14" x14ac:dyDescent="0.3">
      <c r="A5870" s="15" t="str">
        <f>IF(COUNTA($B5870:$E5870,$K5870)=0,"",IF(AND($B5870&lt;&gt;"",$C5870&lt;&gt;"",$D5870&lt;&gt;"",$E5870&lt;&gt;""),"TXS"&amp;TEXT(COUNTIFS($B$2:$B5870,"&lt;&gt;",$C$2:$C5870,"&lt;&gt;",$D$2:$D5870,"&lt;&gt;",$E$2:$E5870,"&lt;&gt;"),"00000"),""))</f>
        <v/>
      </c>
      <c r="N5870" s="22"/>
    </row>
    <row r="5871" spans="1:14" x14ac:dyDescent="0.3">
      <c r="A5871" s="15" t="str">
        <f>IF(COUNTA($B5871:$E5871,$K5871)=0,"",IF(AND($B5871&lt;&gt;"",$C5871&lt;&gt;"",$D5871&lt;&gt;"",$E5871&lt;&gt;""),"TXS"&amp;TEXT(COUNTIFS($B$2:$B5871,"&lt;&gt;",$C$2:$C5871,"&lt;&gt;",$D$2:$D5871,"&lt;&gt;",$E$2:$E5871,"&lt;&gt;"),"00000"),""))</f>
        <v/>
      </c>
      <c r="N5871" s="22"/>
    </row>
    <row r="5872" spans="1:14" x14ac:dyDescent="0.3">
      <c r="A5872" s="15" t="str">
        <f>IF(COUNTA($B5872:$E5872,$K5872)=0,"",IF(AND($B5872&lt;&gt;"",$C5872&lt;&gt;"",$D5872&lt;&gt;"",$E5872&lt;&gt;""),"TXS"&amp;TEXT(COUNTIFS($B$2:$B5872,"&lt;&gt;",$C$2:$C5872,"&lt;&gt;",$D$2:$D5872,"&lt;&gt;",$E$2:$E5872,"&lt;&gt;"),"00000"),""))</f>
        <v/>
      </c>
      <c r="N5872" s="22"/>
    </row>
    <row r="5873" spans="1:14" x14ac:dyDescent="0.3">
      <c r="A5873" s="15" t="str">
        <f>IF(COUNTA($B5873:$E5873,$K5873)=0,"",IF(AND($B5873&lt;&gt;"",$C5873&lt;&gt;"",$D5873&lt;&gt;"",$E5873&lt;&gt;""),"TXS"&amp;TEXT(COUNTIFS($B$2:$B5873,"&lt;&gt;",$C$2:$C5873,"&lt;&gt;",$D$2:$D5873,"&lt;&gt;",$E$2:$E5873,"&lt;&gt;"),"00000"),""))</f>
        <v/>
      </c>
      <c r="N5873" s="22"/>
    </row>
    <row r="5874" spans="1:14" x14ac:dyDescent="0.3">
      <c r="A5874" s="15" t="str">
        <f>IF(COUNTA($B5874:$E5874,$K5874)=0,"",IF(AND($B5874&lt;&gt;"",$C5874&lt;&gt;"",$D5874&lt;&gt;"",$E5874&lt;&gt;""),"TXS"&amp;TEXT(COUNTIFS($B$2:$B5874,"&lt;&gt;",$C$2:$C5874,"&lt;&gt;",$D$2:$D5874,"&lt;&gt;",$E$2:$E5874,"&lt;&gt;"),"00000"),""))</f>
        <v/>
      </c>
      <c r="N5874" s="22"/>
    </row>
    <row r="5875" spans="1:14" x14ac:dyDescent="0.3">
      <c r="A5875" s="15" t="str">
        <f>IF(COUNTA($B5875:$E5875,$K5875)=0,"",IF(AND($B5875&lt;&gt;"",$C5875&lt;&gt;"",$D5875&lt;&gt;"",$E5875&lt;&gt;""),"TXS"&amp;TEXT(COUNTIFS($B$2:$B5875,"&lt;&gt;",$C$2:$C5875,"&lt;&gt;",$D$2:$D5875,"&lt;&gt;",$E$2:$E5875,"&lt;&gt;"),"00000"),""))</f>
        <v/>
      </c>
      <c r="N5875" s="22"/>
    </row>
    <row r="5876" spans="1:14" x14ac:dyDescent="0.3">
      <c r="A5876" s="15" t="str">
        <f>IF(COUNTA($B5876:$E5876,$K5876)=0,"",IF(AND($B5876&lt;&gt;"",$C5876&lt;&gt;"",$D5876&lt;&gt;"",$E5876&lt;&gt;""),"TXS"&amp;TEXT(COUNTIFS($B$2:$B5876,"&lt;&gt;",$C$2:$C5876,"&lt;&gt;",$D$2:$D5876,"&lt;&gt;",$E$2:$E5876,"&lt;&gt;"),"00000"),""))</f>
        <v/>
      </c>
      <c r="N5876" s="22"/>
    </row>
    <row r="5877" spans="1:14" x14ac:dyDescent="0.3">
      <c r="A5877" s="15" t="str">
        <f>IF(COUNTA($B5877:$E5877,$K5877)=0,"",IF(AND($B5877&lt;&gt;"",$C5877&lt;&gt;"",$D5877&lt;&gt;"",$E5877&lt;&gt;""),"TXS"&amp;TEXT(COUNTIFS($B$2:$B5877,"&lt;&gt;",$C$2:$C5877,"&lt;&gt;",$D$2:$D5877,"&lt;&gt;",$E$2:$E5877,"&lt;&gt;"),"00000"),""))</f>
        <v/>
      </c>
      <c r="N5877" s="22"/>
    </row>
    <row r="5878" spans="1:14" x14ac:dyDescent="0.3">
      <c r="A5878" s="15" t="str">
        <f>IF(COUNTA($B5878:$E5878,$K5878)=0,"",IF(AND($B5878&lt;&gt;"",$C5878&lt;&gt;"",$D5878&lt;&gt;"",$E5878&lt;&gt;""),"TXS"&amp;TEXT(COUNTIFS($B$2:$B5878,"&lt;&gt;",$C$2:$C5878,"&lt;&gt;",$D$2:$D5878,"&lt;&gt;",$E$2:$E5878,"&lt;&gt;"),"00000"),""))</f>
        <v/>
      </c>
      <c r="N5878" s="22"/>
    </row>
    <row r="5879" spans="1:14" x14ac:dyDescent="0.3">
      <c r="A5879" s="15" t="str">
        <f>IF(COUNTA($B5879:$E5879,$K5879)=0,"",IF(AND($B5879&lt;&gt;"",$C5879&lt;&gt;"",$D5879&lt;&gt;"",$E5879&lt;&gt;""),"TXS"&amp;TEXT(COUNTIFS($B$2:$B5879,"&lt;&gt;",$C$2:$C5879,"&lt;&gt;",$D$2:$D5879,"&lt;&gt;",$E$2:$E5879,"&lt;&gt;"),"00000"),""))</f>
        <v/>
      </c>
      <c r="N5879" s="22"/>
    </row>
    <row r="5880" spans="1:14" x14ac:dyDescent="0.3">
      <c r="A5880" s="15" t="str">
        <f>IF(COUNTA($B5880:$E5880,$K5880)=0,"",IF(AND($B5880&lt;&gt;"",$C5880&lt;&gt;"",$D5880&lt;&gt;"",$E5880&lt;&gt;""),"TXS"&amp;TEXT(COUNTIFS($B$2:$B5880,"&lt;&gt;",$C$2:$C5880,"&lt;&gt;",$D$2:$D5880,"&lt;&gt;",$E$2:$E5880,"&lt;&gt;"),"00000"),""))</f>
        <v/>
      </c>
      <c r="N5880" s="22"/>
    </row>
    <row r="5881" spans="1:14" x14ac:dyDescent="0.3">
      <c r="A5881" s="15" t="str">
        <f>IF(COUNTA($B5881:$E5881,$K5881)=0,"",IF(AND($B5881&lt;&gt;"",$C5881&lt;&gt;"",$D5881&lt;&gt;"",$E5881&lt;&gt;""),"TXS"&amp;TEXT(COUNTIFS($B$2:$B5881,"&lt;&gt;",$C$2:$C5881,"&lt;&gt;",$D$2:$D5881,"&lt;&gt;",$E$2:$E5881,"&lt;&gt;"),"00000"),""))</f>
        <v/>
      </c>
      <c r="N5881" s="22"/>
    </row>
    <row r="5882" spans="1:14" x14ac:dyDescent="0.3">
      <c r="A5882" s="15" t="str">
        <f>IF(COUNTA($B5882:$E5882,$K5882)=0,"",IF(AND($B5882&lt;&gt;"",$C5882&lt;&gt;"",$D5882&lt;&gt;"",$E5882&lt;&gt;""),"TXS"&amp;TEXT(COUNTIFS($B$2:$B5882,"&lt;&gt;",$C$2:$C5882,"&lt;&gt;",$D$2:$D5882,"&lt;&gt;",$E$2:$E5882,"&lt;&gt;"),"00000"),""))</f>
        <v/>
      </c>
      <c r="N5882" s="22"/>
    </row>
    <row r="5883" spans="1:14" x14ac:dyDescent="0.3">
      <c r="A5883" s="15" t="str">
        <f>IF(COUNTA($B5883:$E5883,$K5883)=0,"",IF(AND($B5883&lt;&gt;"",$C5883&lt;&gt;"",$D5883&lt;&gt;"",$E5883&lt;&gt;""),"TXS"&amp;TEXT(COUNTIFS($B$2:$B5883,"&lt;&gt;",$C$2:$C5883,"&lt;&gt;",$D$2:$D5883,"&lt;&gt;",$E$2:$E5883,"&lt;&gt;"),"00000"),""))</f>
        <v/>
      </c>
      <c r="N5883" s="22"/>
    </row>
    <row r="5884" spans="1:14" x14ac:dyDescent="0.3">
      <c r="A5884" s="15" t="str">
        <f>IF(COUNTA($B5884:$E5884,$K5884)=0,"",IF(AND($B5884&lt;&gt;"",$C5884&lt;&gt;"",$D5884&lt;&gt;"",$E5884&lt;&gt;""),"TXS"&amp;TEXT(COUNTIFS($B$2:$B5884,"&lt;&gt;",$C$2:$C5884,"&lt;&gt;",$D$2:$D5884,"&lt;&gt;",$E$2:$E5884,"&lt;&gt;"),"00000"),""))</f>
        <v/>
      </c>
      <c r="N5884" s="22"/>
    </row>
    <row r="5885" spans="1:14" x14ac:dyDescent="0.3">
      <c r="A5885" s="15" t="str">
        <f>IF(COUNTA($B5885:$E5885,$K5885)=0,"",IF(AND($B5885&lt;&gt;"",$C5885&lt;&gt;"",$D5885&lt;&gt;"",$E5885&lt;&gt;""),"TXS"&amp;TEXT(COUNTIFS($B$2:$B5885,"&lt;&gt;",$C$2:$C5885,"&lt;&gt;",$D$2:$D5885,"&lt;&gt;",$E$2:$E5885,"&lt;&gt;"),"00000"),""))</f>
        <v/>
      </c>
      <c r="N5885" s="22"/>
    </row>
    <row r="5886" spans="1:14" x14ac:dyDescent="0.3">
      <c r="A5886" s="15" t="str">
        <f>IF(COUNTA($B5886:$E5886,$K5886)=0,"",IF(AND($B5886&lt;&gt;"",$C5886&lt;&gt;"",$D5886&lt;&gt;"",$E5886&lt;&gt;""),"TXS"&amp;TEXT(COUNTIFS($B$2:$B5886,"&lt;&gt;",$C$2:$C5886,"&lt;&gt;",$D$2:$D5886,"&lt;&gt;",$E$2:$E5886,"&lt;&gt;"),"00000"),""))</f>
        <v/>
      </c>
      <c r="N5886" s="22"/>
    </row>
    <row r="5887" spans="1:14" x14ac:dyDescent="0.3">
      <c r="A5887" s="15" t="str">
        <f>IF(COUNTA($B5887:$E5887,$K5887)=0,"",IF(AND($B5887&lt;&gt;"",$C5887&lt;&gt;"",$D5887&lt;&gt;"",$E5887&lt;&gt;""),"TXS"&amp;TEXT(COUNTIFS($B$2:$B5887,"&lt;&gt;",$C$2:$C5887,"&lt;&gt;",$D$2:$D5887,"&lt;&gt;",$E$2:$E5887,"&lt;&gt;"),"00000"),""))</f>
        <v/>
      </c>
      <c r="N5887" s="22"/>
    </row>
    <row r="5888" spans="1:14" x14ac:dyDescent="0.3">
      <c r="A5888" s="15" t="str">
        <f>IF(COUNTA($B5888:$E5888,$K5888)=0,"",IF(AND($B5888&lt;&gt;"",$C5888&lt;&gt;"",$D5888&lt;&gt;"",$E5888&lt;&gt;""),"TXS"&amp;TEXT(COUNTIFS($B$2:$B5888,"&lt;&gt;",$C$2:$C5888,"&lt;&gt;",$D$2:$D5888,"&lt;&gt;",$E$2:$E5888,"&lt;&gt;"),"00000"),""))</f>
        <v/>
      </c>
      <c r="N5888" s="22"/>
    </row>
    <row r="5889" spans="1:14" x14ac:dyDescent="0.3">
      <c r="A5889" s="15" t="str">
        <f>IF(COUNTA($B5889:$E5889,$K5889)=0,"",IF(AND($B5889&lt;&gt;"",$C5889&lt;&gt;"",$D5889&lt;&gt;"",$E5889&lt;&gt;""),"TXS"&amp;TEXT(COUNTIFS($B$2:$B5889,"&lt;&gt;",$C$2:$C5889,"&lt;&gt;",$D$2:$D5889,"&lt;&gt;",$E$2:$E5889,"&lt;&gt;"),"00000"),""))</f>
        <v/>
      </c>
      <c r="N5889" s="22"/>
    </row>
    <row r="5890" spans="1:14" x14ac:dyDescent="0.3">
      <c r="A5890" s="15" t="str">
        <f>IF(COUNTA($B5890:$E5890,$K5890)=0,"",IF(AND($B5890&lt;&gt;"",$C5890&lt;&gt;"",$D5890&lt;&gt;"",$E5890&lt;&gt;""),"TXS"&amp;TEXT(COUNTIFS($B$2:$B5890,"&lt;&gt;",$C$2:$C5890,"&lt;&gt;",$D$2:$D5890,"&lt;&gt;",$E$2:$E5890,"&lt;&gt;"),"00000"),""))</f>
        <v/>
      </c>
      <c r="N5890" s="22"/>
    </row>
    <row r="5891" spans="1:14" x14ac:dyDescent="0.3">
      <c r="A5891" s="15" t="str">
        <f>IF(COUNTA($B5891:$E5891,$K5891)=0,"",IF(AND($B5891&lt;&gt;"",$C5891&lt;&gt;"",$D5891&lt;&gt;"",$E5891&lt;&gt;""),"TXS"&amp;TEXT(COUNTIFS($B$2:$B5891,"&lt;&gt;",$C$2:$C5891,"&lt;&gt;",$D$2:$D5891,"&lt;&gt;",$E$2:$E5891,"&lt;&gt;"),"00000"),""))</f>
        <v/>
      </c>
      <c r="N5891" s="22"/>
    </row>
    <row r="5892" spans="1:14" x14ac:dyDescent="0.3">
      <c r="A5892" s="15" t="str">
        <f>IF(COUNTA($B5892:$E5892,$K5892)=0,"",IF(AND($B5892&lt;&gt;"",$C5892&lt;&gt;"",$D5892&lt;&gt;"",$E5892&lt;&gt;""),"TXS"&amp;TEXT(COUNTIFS($B$2:$B5892,"&lt;&gt;",$C$2:$C5892,"&lt;&gt;",$D$2:$D5892,"&lt;&gt;",$E$2:$E5892,"&lt;&gt;"),"00000"),""))</f>
        <v/>
      </c>
      <c r="N5892" s="22"/>
    </row>
    <row r="5893" spans="1:14" x14ac:dyDescent="0.3">
      <c r="A5893" s="15" t="str">
        <f>IF(COUNTA($B5893:$E5893,$K5893)=0,"",IF(AND($B5893&lt;&gt;"",$C5893&lt;&gt;"",$D5893&lt;&gt;"",$E5893&lt;&gt;""),"TXS"&amp;TEXT(COUNTIFS($B$2:$B5893,"&lt;&gt;",$C$2:$C5893,"&lt;&gt;",$D$2:$D5893,"&lt;&gt;",$E$2:$E5893,"&lt;&gt;"),"00000"),""))</f>
        <v/>
      </c>
      <c r="N5893" s="22"/>
    </row>
    <row r="5894" spans="1:14" x14ac:dyDescent="0.3">
      <c r="A5894" s="15" t="str">
        <f>IF(COUNTA($B5894:$E5894,$K5894)=0,"",IF(AND($B5894&lt;&gt;"",$C5894&lt;&gt;"",$D5894&lt;&gt;"",$E5894&lt;&gt;""),"TXS"&amp;TEXT(COUNTIFS($B$2:$B5894,"&lt;&gt;",$C$2:$C5894,"&lt;&gt;",$D$2:$D5894,"&lt;&gt;",$E$2:$E5894,"&lt;&gt;"),"00000"),""))</f>
        <v/>
      </c>
      <c r="N5894" s="22"/>
    </row>
    <row r="5895" spans="1:14" x14ac:dyDescent="0.3">
      <c r="A5895" s="15" t="str">
        <f>IF(COUNTA($B5895:$E5895,$K5895)=0,"",IF(AND($B5895&lt;&gt;"",$C5895&lt;&gt;"",$D5895&lt;&gt;"",$E5895&lt;&gt;""),"TXS"&amp;TEXT(COUNTIFS($B$2:$B5895,"&lt;&gt;",$C$2:$C5895,"&lt;&gt;",$D$2:$D5895,"&lt;&gt;",$E$2:$E5895,"&lt;&gt;"),"00000"),""))</f>
        <v/>
      </c>
      <c r="N5895" s="22"/>
    </row>
    <row r="5896" spans="1:14" x14ac:dyDescent="0.3">
      <c r="A5896" s="15" t="str">
        <f>IF(COUNTA($B5896:$E5896,$K5896)=0,"",IF(AND($B5896&lt;&gt;"",$C5896&lt;&gt;"",$D5896&lt;&gt;"",$E5896&lt;&gt;""),"TXS"&amp;TEXT(COUNTIFS($B$2:$B5896,"&lt;&gt;",$C$2:$C5896,"&lt;&gt;",$D$2:$D5896,"&lt;&gt;",$E$2:$E5896,"&lt;&gt;"),"00000"),""))</f>
        <v/>
      </c>
      <c r="N5896" s="22"/>
    </row>
    <row r="5897" spans="1:14" x14ac:dyDescent="0.3">
      <c r="A5897" s="15" t="str">
        <f>IF(COUNTA($B5897:$E5897,$K5897)=0,"",IF(AND($B5897&lt;&gt;"",$C5897&lt;&gt;"",$D5897&lt;&gt;"",$E5897&lt;&gt;""),"TXS"&amp;TEXT(COUNTIFS($B$2:$B5897,"&lt;&gt;",$C$2:$C5897,"&lt;&gt;",$D$2:$D5897,"&lt;&gt;",$E$2:$E5897,"&lt;&gt;"),"00000"),""))</f>
        <v/>
      </c>
      <c r="N5897" s="22"/>
    </row>
    <row r="5898" spans="1:14" x14ac:dyDescent="0.3">
      <c r="A5898" s="15" t="str">
        <f>IF(COUNTA($B5898:$E5898,$K5898)=0,"",IF(AND($B5898&lt;&gt;"",$C5898&lt;&gt;"",$D5898&lt;&gt;"",$E5898&lt;&gt;""),"TXS"&amp;TEXT(COUNTIFS($B$2:$B5898,"&lt;&gt;",$C$2:$C5898,"&lt;&gt;",$D$2:$D5898,"&lt;&gt;",$E$2:$E5898,"&lt;&gt;"),"00000"),""))</f>
        <v/>
      </c>
      <c r="N5898" s="22"/>
    </row>
    <row r="5899" spans="1:14" x14ac:dyDescent="0.3">
      <c r="A5899" s="15" t="str">
        <f>IF(COUNTA($B5899:$E5899,$K5899)=0,"",IF(AND($B5899&lt;&gt;"",$C5899&lt;&gt;"",$D5899&lt;&gt;"",$E5899&lt;&gt;""),"TXS"&amp;TEXT(COUNTIFS($B$2:$B5899,"&lt;&gt;",$C$2:$C5899,"&lt;&gt;",$D$2:$D5899,"&lt;&gt;",$E$2:$E5899,"&lt;&gt;"),"00000"),""))</f>
        <v/>
      </c>
      <c r="N5899" s="22"/>
    </row>
    <row r="5900" spans="1:14" x14ac:dyDescent="0.3">
      <c r="A5900" s="15" t="str">
        <f>IF(COUNTA($B5900:$E5900,$K5900)=0,"",IF(AND($B5900&lt;&gt;"",$C5900&lt;&gt;"",$D5900&lt;&gt;"",$E5900&lt;&gt;""),"TXS"&amp;TEXT(COUNTIFS($B$2:$B5900,"&lt;&gt;",$C$2:$C5900,"&lt;&gt;",$D$2:$D5900,"&lt;&gt;",$E$2:$E5900,"&lt;&gt;"),"00000"),""))</f>
        <v/>
      </c>
      <c r="N5900" s="22"/>
    </row>
    <row r="5901" spans="1:14" x14ac:dyDescent="0.3">
      <c r="A5901" s="15" t="str">
        <f>IF(COUNTA($B5901:$E5901,$K5901)=0,"",IF(AND($B5901&lt;&gt;"",$C5901&lt;&gt;"",$D5901&lt;&gt;"",$E5901&lt;&gt;""),"TXS"&amp;TEXT(COUNTIFS($B$2:$B5901,"&lt;&gt;",$C$2:$C5901,"&lt;&gt;",$D$2:$D5901,"&lt;&gt;",$E$2:$E5901,"&lt;&gt;"),"00000"),""))</f>
        <v/>
      </c>
      <c r="N5901" s="22"/>
    </row>
    <row r="5902" spans="1:14" x14ac:dyDescent="0.3">
      <c r="A5902" s="15" t="str">
        <f>IF(COUNTA($B5902:$E5902,$K5902)=0,"",IF(AND($B5902&lt;&gt;"",$C5902&lt;&gt;"",$D5902&lt;&gt;"",$E5902&lt;&gt;""),"TXS"&amp;TEXT(COUNTIFS($B$2:$B5902,"&lt;&gt;",$C$2:$C5902,"&lt;&gt;",$D$2:$D5902,"&lt;&gt;",$E$2:$E5902,"&lt;&gt;"),"00000"),""))</f>
        <v/>
      </c>
      <c r="N5902" s="22"/>
    </row>
    <row r="5903" spans="1:14" x14ac:dyDescent="0.3">
      <c r="A5903" s="15" t="str">
        <f>IF(COUNTA($B5903:$E5903,$K5903)=0,"",IF(AND($B5903&lt;&gt;"",$C5903&lt;&gt;"",$D5903&lt;&gt;"",$E5903&lt;&gt;""),"TXS"&amp;TEXT(COUNTIFS($B$2:$B5903,"&lt;&gt;",$C$2:$C5903,"&lt;&gt;",$D$2:$D5903,"&lt;&gt;",$E$2:$E5903,"&lt;&gt;"),"00000"),""))</f>
        <v/>
      </c>
      <c r="N5903" s="22"/>
    </row>
    <row r="5904" spans="1:14" x14ac:dyDescent="0.3">
      <c r="A5904" s="15" t="str">
        <f>IF(COUNTA($B5904:$E5904,$K5904)=0,"",IF(AND($B5904&lt;&gt;"",$C5904&lt;&gt;"",$D5904&lt;&gt;"",$E5904&lt;&gt;""),"TXS"&amp;TEXT(COUNTIFS($B$2:$B5904,"&lt;&gt;",$C$2:$C5904,"&lt;&gt;",$D$2:$D5904,"&lt;&gt;",$E$2:$E5904,"&lt;&gt;"),"00000"),""))</f>
        <v/>
      </c>
      <c r="N5904" s="22"/>
    </row>
    <row r="5905" spans="1:14" x14ac:dyDescent="0.3">
      <c r="A5905" s="15" t="str">
        <f>IF(COUNTA($B5905:$E5905,$K5905)=0,"",IF(AND($B5905&lt;&gt;"",$C5905&lt;&gt;"",$D5905&lt;&gt;"",$E5905&lt;&gt;""),"TXS"&amp;TEXT(COUNTIFS($B$2:$B5905,"&lt;&gt;",$C$2:$C5905,"&lt;&gt;",$D$2:$D5905,"&lt;&gt;",$E$2:$E5905,"&lt;&gt;"),"00000"),""))</f>
        <v/>
      </c>
      <c r="N5905" s="22"/>
    </row>
    <row r="5906" spans="1:14" x14ac:dyDescent="0.3">
      <c r="A5906" s="15" t="str">
        <f>IF(COUNTA($B5906:$E5906,$K5906)=0,"",IF(AND($B5906&lt;&gt;"",$C5906&lt;&gt;"",$D5906&lt;&gt;"",$E5906&lt;&gt;""),"TXS"&amp;TEXT(COUNTIFS($B$2:$B5906,"&lt;&gt;",$C$2:$C5906,"&lt;&gt;",$D$2:$D5906,"&lt;&gt;",$E$2:$E5906,"&lt;&gt;"),"00000"),""))</f>
        <v/>
      </c>
      <c r="N5906" s="22"/>
    </row>
    <row r="5907" spans="1:14" x14ac:dyDescent="0.3">
      <c r="A5907" s="15" t="str">
        <f>IF(COUNTA($B5907:$E5907,$K5907)=0,"",IF(AND($B5907&lt;&gt;"",$C5907&lt;&gt;"",$D5907&lt;&gt;"",$E5907&lt;&gt;""),"TXS"&amp;TEXT(COUNTIFS($B$2:$B5907,"&lt;&gt;",$C$2:$C5907,"&lt;&gt;",$D$2:$D5907,"&lt;&gt;",$E$2:$E5907,"&lt;&gt;"),"00000"),""))</f>
        <v/>
      </c>
      <c r="N5907" s="22"/>
    </row>
    <row r="5908" spans="1:14" x14ac:dyDescent="0.3">
      <c r="A5908" s="15" t="str">
        <f>IF(COUNTA($B5908:$E5908,$K5908)=0,"",IF(AND($B5908&lt;&gt;"",$C5908&lt;&gt;"",$D5908&lt;&gt;"",$E5908&lt;&gt;""),"TXS"&amp;TEXT(COUNTIFS($B$2:$B5908,"&lt;&gt;",$C$2:$C5908,"&lt;&gt;",$D$2:$D5908,"&lt;&gt;",$E$2:$E5908,"&lt;&gt;"),"00000"),""))</f>
        <v/>
      </c>
      <c r="N5908" s="22"/>
    </row>
    <row r="5909" spans="1:14" x14ac:dyDescent="0.3">
      <c r="A5909" s="15" t="str">
        <f>IF(COUNTA($B5909:$E5909,$K5909)=0,"",IF(AND($B5909&lt;&gt;"",$C5909&lt;&gt;"",$D5909&lt;&gt;"",$E5909&lt;&gt;""),"TXS"&amp;TEXT(COUNTIFS($B$2:$B5909,"&lt;&gt;",$C$2:$C5909,"&lt;&gt;",$D$2:$D5909,"&lt;&gt;",$E$2:$E5909,"&lt;&gt;"),"00000"),""))</f>
        <v/>
      </c>
      <c r="N5909" s="22"/>
    </row>
    <row r="5910" spans="1:14" x14ac:dyDescent="0.3">
      <c r="A5910" s="15" t="str">
        <f>IF(COUNTA($B5910:$E5910,$K5910)=0,"",IF(AND($B5910&lt;&gt;"",$C5910&lt;&gt;"",$D5910&lt;&gt;"",$E5910&lt;&gt;""),"TXS"&amp;TEXT(COUNTIFS($B$2:$B5910,"&lt;&gt;",$C$2:$C5910,"&lt;&gt;",$D$2:$D5910,"&lt;&gt;",$E$2:$E5910,"&lt;&gt;"),"00000"),""))</f>
        <v/>
      </c>
      <c r="N5910" s="22"/>
    </row>
    <row r="5911" spans="1:14" x14ac:dyDescent="0.3">
      <c r="A5911" s="15" t="str">
        <f>IF(COUNTA($B5911:$E5911,$K5911)=0,"",IF(AND($B5911&lt;&gt;"",$C5911&lt;&gt;"",$D5911&lt;&gt;"",$E5911&lt;&gt;""),"TXS"&amp;TEXT(COUNTIFS($B$2:$B5911,"&lt;&gt;",$C$2:$C5911,"&lt;&gt;",$D$2:$D5911,"&lt;&gt;",$E$2:$E5911,"&lt;&gt;"),"00000"),""))</f>
        <v/>
      </c>
      <c r="N5911" s="22"/>
    </row>
    <row r="5912" spans="1:14" x14ac:dyDescent="0.3">
      <c r="A5912" s="15" t="str">
        <f>IF(COUNTA($B5912:$E5912,$K5912)=0,"",IF(AND($B5912&lt;&gt;"",$C5912&lt;&gt;"",$D5912&lt;&gt;"",$E5912&lt;&gt;""),"TXS"&amp;TEXT(COUNTIFS($B$2:$B5912,"&lt;&gt;",$C$2:$C5912,"&lt;&gt;",$D$2:$D5912,"&lt;&gt;",$E$2:$E5912,"&lt;&gt;"),"00000"),""))</f>
        <v/>
      </c>
      <c r="N5912" s="22"/>
    </row>
    <row r="5913" spans="1:14" x14ac:dyDescent="0.3">
      <c r="A5913" s="15" t="str">
        <f>IF(COUNTA($B5913:$E5913,$K5913)=0,"",IF(AND($B5913&lt;&gt;"",$C5913&lt;&gt;"",$D5913&lt;&gt;"",$E5913&lt;&gt;""),"TXS"&amp;TEXT(COUNTIFS($B$2:$B5913,"&lt;&gt;",$C$2:$C5913,"&lt;&gt;",$D$2:$D5913,"&lt;&gt;",$E$2:$E5913,"&lt;&gt;"),"00000"),""))</f>
        <v/>
      </c>
      <c r="N5913" s="22"/>
    </row>
    <row r="5914" spans="1:14" x14ac:dyDescent="0.3">
      <c r="A5914" s="15" t="str">
        <f>IF(COUNTA($B5914:$E5914,$K5914)=0,"",IF(AND($B5914&lt;&gt;"",$C5914&lt;&gt;"",$D5914&lt;&gt;"",$E5914&lt;&gt;""),"TXS"&amp;TEXT(COUNTIFS($B$2:$B5914,"&lt;&gt;",$C$2:$C5914,"&lt;&gt;",$D$2:$D5914,"&lt;&gt;",$E$2:$E5914,"&lt;&gt;"),"00000"),""))</f>
        <v/>
      </c>
      <c r="N5914" s="22"/>
    </row>
    <row r="5915" spans="1:14" x14ac:dyDescent="0.3">
      <c r="A5915" s="15" t="str">
        <f>IF(COUNTA($B5915:$E5915,$K5915)=0,"",IF(AND($B5915&lt;&gt;"",$C5915&lt;&gt;"",$D5915&lt;&gt;"",$E5915&lt;&gt;""),"TXS"&amp;TEXT(COUNTIFS($B$2:$B5915,"&lt;&gt;",$C$2:$C5915,"&lt;&gt;",$D$2:$D5915,"&lt;&gt;",$E$2:$E5915,"&lt;&gt;"),"00000"),""))</f>
        <v/>
      </c>
      <c r="N5915" s="22"/>
    </row>
    <row r="5916" spans="1:14" x14ac:dyDescent="0.3">
      <c r="A5916" s="15" t="str">
        <f>IF(COUNTA($B5916:$E5916,$K5916)=0,"",IF(AND($B5916&lt;&gt;"",$C5916&lt;&gt;"",$D5916&lt;&gt;"",$E5916&lt;&gt;""),"TXS"&amp;TEXT(COUNTIFS($B$2:$B5916,"&lt;&gt;",$C$2:$C5916,"&lt;&gt;",$D$2:$D5916,"&lt;&gt;",$E$2:$E5916,"&lt;&gt;"),"00000"),""))</f>
        <v/>
      </c>
      <c r="N5916" s="22"/>
    </row>
    <row r="5917" spans="1:14" x14ac:dyDescent="0.3">
      <c r="A5917" s="15" t="str">
        <f>IF(COUNTA($B5917:$E5917,$K5917)=0,"",IF(AND($B5917&lt;&gt;"",$C5917&lt;&gt;"",$D5917&lt;&gt;"",$E5917&lt;&gt;""),"TXS"&amp;TEXT(COUNTIFS($B$2:$B5917,"&lt;&gt;",$C$2:$C5917,"&lt;&gt;",$D$2:$D5917,"&lt;&gt;",$E$2:$E5917,"&lt;&gt;"),"00000"),""))</f>
        <v/>
      </c>
      <c r="N5917" s="22"/>
    </row>
    <row r="5918" spans="1:14" x14ac:dyDescent="0.3">
      <c r="A5918" s="15" t="str">
        <f>IF(COUNTA($B5918:$E5918,$K5918)=0,"",IF(AND($B5918&lt;&gt;"",$C5918&lt;&gt;"",$D5918&lt;&gt;"",$E5918&lt;&gt;""),"TXS"&amp;TEXT(COUNTIFS($B$2:$B5918,"&lt;&gt;",$C$2:$C5918,"&lt;&gt;",$D$2:$D5918,"&lt;&gt;",$E$2:$E5918,"&lt;&gt;"),"00000"),""))</f>
        <v/>
      </c>
      <c r="N5918" s="22"/>
    </row>
    <row r="5919" spans="1:14" x14ac:dyDescent="0.3">
      <c r="A5919" s="15" t="str">
        <f>IF(COUNTA($B5919:$E5919,$K5919)=0,"",IF(AND($B5919&lt;&gt;"",$C5919&lt;&gt;"",$D5919&lt;&gt;"",$E5919&lt;&gt;""),"TXS"&amp;TEXT(COUNTIFS($B$2:$B5919,"&lt;&gt;",$C$2:$C5919,"&lt;&gt;",$D$2:$D5919,"&lt;&gt;",$E$2:$E5919,"&lt;&gt;"),"00000"),""))</f>
        <v/>
      </c>
      <c r="N5919" s="22"/>
    </row>
    <row r="5920" spans="1:14" x14ac:dyDescent="0.3">
      <c r="A5920" s="15" t="str">
        <f>IF(COUNTA($B5920:$E5920,$K5920)=0,"",IF(AND($B5920&lt;&gt;"",$C5920&lt;&gt;"",$D5920&lt;&gt;"",$E5920&lt;&gt;""),"TXS"&amp;TEXT(COUNTIFS($B$2:$B5920,"&lt;&gt;",$C$2:$C5920,"&lt;&gt;",$D$2:$D5920,"&lt;&gt;",$E$2:$E5920,"&lt;&gt;"),"00000"),""))</f>
        <v/>
      </c>
      <c r="N5920" s="22"/>
    </row>
    <row r="5921" spans="1:14" x14ac:dyDescent="0.3">
      <c r="A5921" s="15" t="str">
        <f>IF(COUNTA($B5921:$E5921,$K5921)=0,"",IF(AND($B5921&lt;&gt;"",$C5921&lt;&gt;"",$D5921&lt;&gt;"",$E5921&lt;&gt;""),"TXS"&amp;TEXT(COUNTIFS($B$2:$B5921,"&lt;&gt;",$C$2:$C5921,"&lt;&gt;",$D$2:$D5921,"&lt;&gt;",$E$2:$E5921,"&lt;&gt;"),"00000"),""))</f>
        <v/>
      </c>
      <c r="N5921" s="22"/>
    </row>
    <row r="5922" spans="1:14" x14ac:dyDescent="0.3">
      <c r="A5922" s="15" t="str">
        <f>IF(COUNTA($B5922:$E5922,$K5922)=0,"",IF(AND($B5922&lt;&gt;"",$C5922&lt;&gt;"",$D5922&lt;&gt;"",$E5922&lt;&gt;""),"TXS"&amp;TEXT(COUNTIFS($B$2:$B5922,"&lt;&gt;",$C$2:$C5922,"&lt;&gt;",$D$2:$D5922,"&lt;&gt;",$E$2:$E5922,"&lt;&gt;"),"00000"),""))</f>
        <v/>
      </c>
      <c r="N5922" s="22"/>
    </row>
    <row r="5923" spans="1:14" x14ac:dyDescent="0.3">
      <c r="A5923" s="15" t="str">
        <f>IF(COUNTA($B5923:$E5923,$K5923)=0,"",IF(AND($B5923&lt;&gt;"",$C5923&lt;&gt;"",$D5923&lt;&gt;"",$E5923&lt;&gt;""),"TXS"&amp;TEXT(COUNTIFS($B$2:$B5923,"&lt;&gt;",$C$2:$C5923,"&lt;&gt;",$D$2:$D5923,"&lt;&gt;",$E$2:$E5923,"&lt;&gt;"),"00000"),""))</f>
        <v/>
      </c>
      <c r="N5923" s="22"/>
    </row>
    <row r="5924" spans="1:14" x14ac:dyDescent="0.3">
      <c r="A5924" s="15" t="str">
        <f>IF(COUNTA($B5924:$E5924,$K5924)=0,"",IF(AND($B5924&lt;&gt;"",$C5924&lt;&gt;"",$D5924&lt;&gt;"",$E5924&lt;&gt;""),"TXS"&amp;TEXT(COUNTIFS($B$2:$B5924,"&lt;&gt;",$C$2:$C5924,"&lt;&gt;",$D$2:$D5924,"&lt;&gt;",$E$2:$E5924,"&lt;&gt;"),"00000"),""))</f>
        <v/>
      </c>
      <c r="N5924" s="22"/>
    </row>
    <row r="5925" spans="1:14" x14ac:dyDescent="0.3">
      <c r="A5925" s="15" t="str">
        <f>IF(COUNTA($B5925:$E5925,$K5925)=0,"",IF(AND($B5925&lt;&gt;"",$C5925&lt;&gt;"",$D5925&lt;&gt;"",$E5925&lt;&gt;""),"TXS"&amp;TEXT(COUNTIFS($B$2:$B5925,"&lt;&gt;",$C$2:$C5925,"&lt;&gt;",$D$2:$D5925,"&lt;&gt;",$E$2:$E5925,"&lt;&gt;"),"00000"),""))</f>
        <v/>
      </c>
      <c r="N5925" s="22"/>
    </row>
    <row r="5926" spans="1:14" x14ac:dyDescent="0.3">
      <c r="A5926" s="15" t="str">
        <f>IF(COUNTA($B5926:$E5926,$K5926)=0,"",IF(AND($B5926&lt;&gt;"",$C5926&lt;&gt;"",$D5926&lt;&gt;"",$E5926&lt;&gt;""),"TXS"&amp;TEXT(COUNTIFS($B$2:$B5926,"&lt;&gt;",$C$2:$C5926,"&lt;&gt;",$D$2:$D5926,"&lt;&gt;",$E$2:$E5926,"&lt;&gt;"),"00000"),""))</f>
        <v/>
      </c>
      <c r="N5926" s="22"/>
    </row>
    <row r="5927" spans="1:14" x14ac:dyDescent="0.3">
      <c r="A5927" s="15" t="str">
        <f>IF(COUNTA($B5927:$E5927,$K5927)=0,"",IF(AND($B5927&lt;&gt;"",$C5927&lt;&gt;"",$D5927&lt;&gt;"",$E5927&lt;&gt;""),"TXS"&amp;TEXT(COUNTIFS($B$2:$B5927,"&lt;&gt;",$C$2:$C5927,"&lt;&gt;",$D$2:$D5927,"&lt;&gt;",$E$2:$E5927,"&lt;&gt;"),"00000"),""))</f>
        <v/>
      </c>
      <c r="N5927" s="22"/>
    </row>
    <row r="5928" spans="1:14" x14ac:dyDescent="0.3">
      <c r="A5928" s="15" t="str">
        <f>IF(COUNTA($B5928:$E5928,$K5928)=0,"",IF(AND($B5928&lt;&gt;"",$C5928&lt;&gt;"",$D5928&lt;&gt;"",$E5928&lt;&gt;""),"TXS"&amp;TEXT(COUNTIFS($B$2:$B5928,"&lt;&gt;",$C$2:$C5928,"&lt;&gt;",$D$2:$D5928,"&lt;&gt;",$E$2:$E5928,"&lt;&gt;"),"00000"),""))</f>
        <v/>
      </c>
      <c r="N5928" s="22"/>
    </row>
    <row r="5929" spans="1:14" x14ac:dyDescent="0.3">
      <c r="A5929" s="15" t="str">
        <f>IF(COUNTA($B5929:$E5929,$K5929)=0,"",IF(AND($B5929&lt;&gt;"",$C5929&lt;&gt;"",$D5929&lt;&gt;"",$E5929&lt;&gt;""),"TXS"&amp;TEXT(COUNTIFS($B$2:$B5929,"&lt;&gt;",$C$2:$C5929,"&lt;&gt;",$D$2:$D5929,"&lt;&gt;",$E$2:$E5929,"&lt;&gt;"),"00000"),""))</f>
        <v/>
      </c>
      <c r="N5929" s="22"/>
    </row>
    <row r="5930" spans="1:14" x14ac:dyDescent="0.3">
      <c r="A5930" s="15" t="str">
        <f>IF(COUNTA($B5930:$E5930,$K5930)=0,"",IF(AND($B5930&lt;&gt;"",$C5930&lt;&gt;"",$D5930&lt;&gt;"",$E5930&lt;&gt;""),"TXS"&amp;TEXT(COUNTIFS($B$2:$B5930,"&lt;&gt;",$C$2:$C5930,"&lt;&gt;",$D$2:$D5930,"&lt;&gt;",$E$2:$E5930,"&lt;&gt;"),"00000"),""))</f>
        <v/>
      </c>
      <c r="N5930" s="22"/>
    </row>
    <row r="5931" spans="1:14" x14ac:dyDescent="0.3">
      <c r="A5931" s="15" t="str">
        <f>IF(COUNTA($B5931:$E5931,$K5931)=0,"",IF(AND($B5931&lt;&gt;"",$C5931&lt;&gt;"",$D5931&lt;&gt;"",$E5931&lt;&gt;""),"TXS"&amp;TEXT(COUNTIFS($B$2:$B5931,"&lt;&gt;",$C$2:$C5931,"&lt;&gt;",$D$2:$D5931,"&lt;&gt;",$E$2:$E5931,"&lt;&gt;"),"00000"),""))</f>
        <v/>
      </c>
      <c r="N5931" s="22"/>
    </row>
    <row r="5932" spans="1:14" x14ac:dyDescent="0.3">
      <c r="A5932" s="15" t="str">
        <f>IF(COUNTA($B5932:$E5932,$K5932)=0,"",IF(AND($B5932&lt;&gt;"",$C5932&lt;&gt;"",$D5932&lt;&gt;"",$E5932&lt;&gt;""),"TXS"&amp;TEXT(COUNTIFS($B$2:$B5932,"&lt;&gt;",$C$2:$C5932,"&lt;&gt;",$D$2:$D5932,"&lt;&gt;",$E$2:$E5932,"&lt;&gt;"),"00000"),""))</f>
        <v/>
      </c>
      <c r="N5932" s="22"/>
    </row>
    <row r="5933" spans="1:14" x14ac:dyDescent="0.3">
      <c r="A5933" s="15" t="str">
        <f>IF(COUNTA($B5933:$E5933,$K5933)=0,"",IF(AND($B5933&lt;&gt;"",$C5933&lt;&gt;"",$D5933&lt;&gt;"",$E5933&lt;&gt;""),"TXS"&amp;TEXT(COUNTIFS($B$2:$B5933,"&lt;&gt;",$C$2:$C5933,"&lt;&gt;",$D$2:$D5933,"&lt;&gt;",$E$2:$E5933,"&lt;&gt;"),"00000"),""))</f>
        <v/>
      </c>
      <c r="N5933" s="22"/>
    </row>
    <row r="5934" spans="1:14" x14ac:dyDescent="0.3">
      <c r="A5934" s="15" t="str">
        <f>IF(COUNTA($B5934:$E5934,$K5934)=0,"",IF(AND($B5934&lt;&gt;"",$C5934&lt;&gt;"",$D5934&lt;&gt;"",$E5934&lt;&gt;""),"TXS"&amp;TEXT(COUNTIFS($B$2:$B5934,"&lt;&gt;",$C$2:$C5934,"&lt;&gt;",$D$2:$D5934,"&lt;&gt;",$E$2:$E5934,"&lt;&gt;"),"00000"),""))</f>
        <v/>
      </c>
      <c r="N5934" s="22"/>
    </row>
    <row r="5935" spans="1:14" x14ac:dyDescent="0.3">
      <c r="A5935" s="15" t="str">
        <f>IF(COUNTA($B5935:$E5935,$K5935)=0,"",IF(AND($B5935&lt;&gt;"",$C5935&lt;&gt;"",$D5935&lt;&gt;"",$E5935&lt;&gt;""),"TXS"&amp;TEXT(COUNTIFS($B$2:$B5935,"&lt;&gt;",$C$2:$C5935,"&lt;&gt;",$D$2:$D5935,"&lt;&gt;",$E$2:$E5935,"&lt;&gt;"),"00000"),""))</f>
        <v/>
      </c>
      <c r="N5935" s="22"/>
    </row>
    <row r="5936" spans="1:14" x14ac:dyDescent="0.3">
      <c r="A5936" s="15" t="str">
        <f>IF(COUNTA($B5936:$E5936,$K5936)=0,"",IF(AND($B5936&lt;&gt;"",$C5936&lt;&gt;"",$D5936&lt;&gt;"",$E5936&lt;&gt;""),"TXS"&amp;TEXT(COUNTIFS($B$2:$B5936,"&lt;&gt;",$C$2:$C5936,"&lt;&gt;",$D$2:$D5936,"&lt;&gt;",$E$2:$E5936,"&lt;&gt;"),"00000"),""))</f>
        <v/>
      </c>
      <c r="N5936" s="22"/>
    </row>
    <row r="5937" spans="1:14" x14ac:dyDescent="0.3">
      <c r="A5937" s="15" t="str">
        <f>IF(COUNTA($B5937:$E5937,$K5937)=0,"",IF(AND($B5937&lt;&gt;"",$C5937&lt;&gt;"",$D5937&lt;&gt;"",$E5937&lt;&gt;""),"TXS"&amp;TEXT(COUNTIFS($B$2:$B5937,"&lt;&gt;",$C$2:$C5937,"&lt;&gt;",$D$2:$D5937,"&lt;&gt;",$E$2:$E5937,"&lt;&gt;"),"00000"),""))</f>
        <v/>
      </c>
      <c r="N5937" s="22"/>
    </row>
    <row r="5938" spans="1:14" x14ac:dyDescent="0.3">
      <c r="A5938" s="15" t="str">
        <f>IF(COUNTA($B5938:$E5938,$K5938)=0,"",IF(AND($B5938&lt;&gt;"",$C5938&lt;&gt;"",$D5938&lt;&gt;"",$E5938&lt;&gt;""),"TXS"&amp;TEXT(COUNTIFS($B$2:$B5938,"&lt;&gt;",$C$2:$C5938,"&lt;&gt;",$D$2:$D5938,"&lt;&gt;",$E$2:$E5938,"&lt;&gt;"),"00000"),""))</f>
        <v/>
      </c>
      <c r="N5938" s="22"/>
    </row>
    <row r="5939" spans="1:14" x14ac:dyDescent="0.3">
      <c r="A5939" s="15" t="str">
        <f>IF(COUNTA($B5939:$E5939,$K5939)=0,"",IF(AND($B5939&lt;&gt;"",$C5939&lt;&gt;"",$D5939&lt;&gt;"",$E5939&lt;&gt;""),"TXS"&amp;TEXT(COUNTIFS($B$2:$B5939,"&lt;&gt;",$C$2:$C5939,"&lt;&gt;",$D$2:$D5939,"&lt;&gt;",$E$2:$E5939,"&lt;&gt;"),"00000"),""))</f>
        <v/>
      </c>
      <c r="N5939" s="22"/>
    </row>
    <row r="5940" spans="1:14" x14ac:dyDescent="0.3">
      <c r="A5940" s="15" t="str">
        <f>IF(COUNTA($B5940:$E5940,$K5940)=0,"",IF(AND($B5940&lt;&gt;"",$C5940&lt;&gt;"",$D5940&lt;&gt;"",$E5940&lt;&gt;""),"TXS"&amp;TEXT(COUNTIFS($B$2:$B5940,"&lt;&gt;",$C$2:$C5940,"&lt;&gt;",$D$2:$D5940,"&lt;&gt;",$E$2:$E5940,"&lt;&gt;"),"00000"),""))</f>
        <v/>
      </c>
      <c r="N5940" s="22"/>
    </row>
    <row r="5941" spans="1:14" x14ac:dyDescent="0.3">
      <c r="A5941" s="15" t="str">
        <f>IF(COUNTA($B5941:$E5941,$K5941)=0,"",IF(AND($B5941&lt;&gt;"",$C5941&lt;&gt;"",$D5941&lt;&gt;"",$E5941&lt;&gt;""),"TXS"&amp;TEXT(COUNTIFS($B$2:$B5941,"&lt;&gt;",$C$2:$C5941,"&lt;&gt;",$D$2:$D5941,"&lt;&gt;",$E$2:$E5941,"&lt;&gt;"),"00000"),""))</f>
        <v/>
      </c>
      <c r="N5941" s="22"/>
    </row>
    <row r="5942" spans="1:14" x14ac:dyDescent="0.3">
      <c r="A5942" s="15" t="str">
        <f>IF(COUNTA($B5942:$E5942,$K5942)=0,"",IF(AND($B5942&lt;&gt;"",$C5942&lt;&gt;"",$D5942&lt;&gt;"",$E5942&lt;&gt;""),"TXS"&amp;TEXT(COUNTIFS($B$2:$B5942,"&lt;&gt;",$C$2:$C5942,"&lt;&gt;",$D$2:$D5942,"&lt;&gt;",$E$2:$E5942,"&lt;&gt;"),"00000"),""))</f>
        <v/>
      </c>
      <c r="N5942" s="22"/>
    </row>
    <row r="5943" spans="1:14" x14ac:dyDescent="0.3">
      <c r="A5943" s="15" t="str">
        <f>IF(COUNTA($B5943:$E5943,$K5943)=0,"",IF(AND($B5943&lt;&gt;"",$C5943&lt;&gt;"",$D5943&lt;&gt;"",$E5943&lt;&gt;""),"TXS"&amp;TEXT(COUNTIFS($B$2:$B5943,"&lt;&gt;",$C$2:$C5943,"&lt;&gt;",$D$2:$D5943,"&lt;&gt;",$E$2:$E5943,"&lt;&gt;"),"00000"),""))</f>
        <v/>
      </c>
      <c r="N5943" s="22"/>
    </row>
    <row r="5944" spans="1:14" x14ac:dyDescent="0.3">
      <c r="A5944" s="15" t="str">
        <f>IF(COUNTA($B5944:$E5944,$K5944)=0,"",IF(AND($B5944&lt;&gt;"",$C5944&lt;&gt;"",$D5944&lt;&gt;"",$E5944&lt;&gt;""),"TXS"&amp;TEXT(COUNTIFS($B$2:$B5944,"&lt;&gt;",$C$2:$C5944,"&lt;&gt;",$D$2:$D5944,"&lt;&gt;",$E$2:$E5944,"&lt;&gt;"),"00000"),""))</f>
        <v/>
      </c>
      <c r="N5944" s="22"/>
    </row>
    <row r="5945" spans="1:14" x14ac:dyDescent="0.3">
      <c r="A5945" s="15" t="str">
        <f>IF(COUNTA($B5945:$E5945,$K5945)=0,"",IF(AND($B5945&lt;&gt;"",$C5945&lt;&gt;"",$D5945&lt;&gt;"",$E5945&lt;&gt;""),"TXS"&amp;TEXT(COUNTIFS($B$2:$B5945,"&lt;&gt;",$C$2:$C5945,"&lt;&gt;",$D$2:$D5945,"&lt;&gt;",$E$2:$E5945,"&lt;&gt;"),"00000"),""))</f>
        <v/>
      </c>
      <c r="N5945" s="22"/>
    </row>
    <row r="5946" spans="1:14" x14ac:dyDescent="0.3">
      <c r="A5946" s="15" t="str">
        <f>IF(COUNTA($B5946:$E5946,$K5946)=0,"",IF(AND($B5946&lt;&gt;"",$C5946&lt;&gt;"",$D5946&lt;&gt;"",$E5946&lt;&gt;""),"TXS"&amp;TEXT(COUNTIFS($B$2:$B5946,"&lt;&gt;",$C$2:$C5946,"&lt;&gt;",$D$2:$D5946,"&lt;&gt;",$E$2:$E5946,"&lt;&gt;"),"00000"),""))</f>
        <v/>
      </c>
      <c r="N5946" s="22"/>
    </row>
    <row r="5947" spans="1:14" x14ac:dyDescent="0.3">
      <c r="A5947" s="15" t="str">
        <f>IF(COUNTA($B5947:$E5947,$K5947)=0,"",IF(AND($B5947&lt;&gt;"",$C5947&lt;&gt;"",$D5947&lt;&gt;"",$E5947&lt;&gt;""),"TXS"&amp;TEXT(COUNTIFS($B$2:$B5947,"&lt;&gt;",$C$2:$C5947,"&lt;&gt;",$D$2:$D5947,"&lt;&gt;",$E$2:$E5947,"&lt;&gt;"),"00000"),""))</f>
        <v/>
      </c>
      <c r="N5947" s="22"/>
    </row>
    <row r="5948" spans="1:14" x14ac:dyDescent="0.3">
      <c r="A5948" s="15" t="str">
        <f>IF(COUNTA($B5948:$E5948,$K5948)=0,"",IF(AND($B5948&lt;&gt;"",$C5948&lt;&gt;"",$D5948&lt;&gt;"",$E5948&lt;&gt;""),"TXS"&amp;TEXT(COUNTIFS($B$2:$B5948,"&lt;&gt;",$C$2:$C5948,"&lt;&gt;",$D$2:$D5948,"&lt;&gt;",$E$2:$E5948,"&lt;&gt;"),"00000"),""))</f>
        <v/>
      </c>
      <c r="N5948" s="22"/>
    </row>
    <row r="5949" spans="1:14" x14ac:dyDescent="0.3">
      <c r="A5949" s="15" t="str">
        <f>IF(COUNTA($B5949:$E5949,$K5949)=0,"",IF(AND($B5949&lt;&gt;"",$C5949&lt;&gt;"",$D5949&lt;&gt;"",$E5949&lt;&gt;""),"TXS"&amp;TEXT(COUNTIFS($B$2:$B5949,"&lt;&gt;",$C$2:$C5949,"&lt;&gt;",$D$2:$D5949,"&lt;&gt;",$E$2:$E5949,"&lt;&gt;"),"00000"),""))</f>
        <v/>
      </c>
      <c r="N5949" s="22"/>
    </row>
    <row r="5950" spans="1:14" x14ac:dyDescent="0.3">
      <c r="A5950" s="15" t="str">
        <f>IF(COUNTA($B5950:$E5950,$K5950)=0,"",IF(AND($B5950&lt;&gt;"",$C5950&lt;&gt;"",$D5950&lt;&gt;"",$E5950&lt;&gt;""),"TXS"&amp;TEXT(COUNTIFS($B$2:$B5950,"&lt;&gt;",$C$2:$C5950,"&lt;&gt;",$D$2:$D5950,"&lt;&gt;",$E$2:$E5950,"&lt;&gt;"),"00000"),""))</f>
        <v/>
      </c>
      <c r="N5950" s="22"/>
    </row>
    <row r="5951" spans="1:14" x14ac:dyDescent="0.3">
      <c r="A5951" s="15" t="str">
        <f>IF(COUNTA($B5951:$E5951,$K5951)=0,"",IF(AND($B5951&lt;&gt;"",$C5951&lt;&gt;"",$D5951&lt;&gt;"",$E5951&lt;&gt;""),"TXS"&amp;TEXT(COUNTIFS($B$2:$B5951,"&lt;&gt;",$C$2:$C5951,"&lt;&gt;",$D$2:$D5951,"&lt;&gt;",$E$2:$E5951,"&lt;&gt;"),"00000"),""))</f>
        <v/>
      </c>
      <c r="N5951" s="22"/>
    </row>
    <row r="5952" spans="1:14" x14ac:dyDescent="0.3">
      <c r="A5952" s="15" t="str">
        <f>IF(COUNTA($B5952:$E5952,$K5952)=0,"",IF(AND($B5952&lt;&gt;"",$C5952&lt;&gt;"",$D5952&lt;&gt;"",$E5952&lt;&gt;""),"TXS"&amp;TEXT(COUNTIFS($B$2:$B5952,"&lt;&gt;",$C$2:$C5952,"&lt;&gt;",$D$2:$D5952,"&lt;&gt;",$E$2:$E5952,"&lt;&gt;"),"00000"),""))</f>
        <v/>
      </c>
      <c r="N5952" s="22"/>
    </row>
    <row r="5953" spans="1:14" x14ac:dyDescent="0.3">
      <c r="A5953" s="15" t="str">
        <f>IF(COUNTA($B5953:$E5953,$K5953)=0,"",IF(AND($B5953&lt;&gt;"",$C5953&lt;&gt;"",$D5953&lt;&gt;"",$E5953&lt;&gt;""),"TXS"&amp;TEXT(COUNTIFS($B$2:$B5953,"&lt;&gt;",$C$2:$C5953,"&lt;&gt;",$D$2:$D5953,"&lt;&gt;",$E$2:$E5953,"&lt;&gt;"),"00000"),""))</f>
        <v/>
      </c>
      <c r="N5953" s="22"/>
    </row>
    <row r="5954" spans="1:14" x14ac:dyDescent="0.3">
      <c r="A5954" s="15" t="str">
        <f>IF(COUNTA($B5954:$E5954,$K5954)=0,"",IF(AND($B5954&lt;&gt;"",$C5954&lt;&gt;"",$D5954&lt;&gt;"",$E5954&lt;&gt;""),"TXS"&amp;TEXT(COUNTIFS($B$2:$B5954,"&lt;&gt;",$C$2:$C5954,"&lt;&gt;",$D$2:$D5954,"&lt;&gt;",$E$2:$E5954,"&lt;&gt;"),"00000"),""))</f>
        <v/>
      </c>
      <c r="N5954" s="22"/>
    </row>
    <row r="5955" spans="1:14" x14ac:dyDescent="0.3">
      <c r="A5955" s="15" t="str">
        <f>IF(COUNTA($B5955:$E5955,$K5955)=0,"",IF(AND($B5955&lt;&gt;"",$C5955&lt;&gt;"",$D5955&lt;&gt;"",$E5955&lt;&gt;""),"TXS"&amp;TEXT(COUNTIFS($B$2:$B5955,"&lt;&gt;",$C$2:$C5955,"&lt;&gt;",$D$2:$D5955,"&lt;&gt;",$E$2:$E5955,"&lt;&gt;"),"00000"),""))</f>
        <v/>
      </c>
      <c r="N5955" s="22"/>
    </row>
    <row r="5956" spans="1:14" x14ac:dyDescent="0.3">
      <c r="A5956" s="15" t="str">
        <f>IF(COUNTA($B5956:$E5956,$K5956)=0,"",IF(AND($B5956&lt;&gt;"",$C5956&lt;&gt;"",$D5956&lt;&gt;"",$E5956&lt;&gt;""),"TXS"&amp;TEXT(COUNTIFS($B$2:$B5956,"&lt;&gt;",$C$2:$C5956,"&lt;&gt;",$D$2:$D5956,"&lt;&gt;",$E$2:$E5956,"&lt;&gt;"),"00000"),""))</f>
        <v/>
      </c>
      <c r="N5956" s="22"/>
    </row>
    <row r="5957" spans="1:14" x14ac:dyDescent="0.3">
      <c r="A5957" s="15" t="str">
        <f>IF(COUNTA($B5957:$E5957,$K5957)=0,"",IF(AND($B5957&lt;&gt;"",$C5957&lt;&gt;"",$D5957&lt;&gt;"",$E5957&lt;&gt;""),"TXS"&amp;TEXT(COUNTIFS($B$2:$B5957,"&lt;&gt;",$C$2:$C5957,"&lt;&gt;",$D$2:$D5957,"&lt;&gt;",$E$2:$E5957,"&lt;&gt;"),"00000"),""))</f>
        <v/>
      </c>
      <c r="N5957" s="22"/>
    </row>
    <row r="5958" spans="1:14" x14ac:dyDescent="0.3">
      <c r="A5958" s="15" t="str">
        <f>IF(COUNTA($B5958:$E5958,$K5958)=0,"",IF(AND($B5958&lt;&gt;"",$C5958&lt;&gt;"",$D5958&lt;&gt;"",$E5958&lt;&gt;""),"TXS"&amp;TEXT(COUNTIFS($B$2:$B5958,"&lt;&gt;",$C$2:$C5958,"&lt;&gt;",$D$2:$D5958,"&lt;&gt;",$E$2:$E5958,"&lt;&gt;"),"00000"),""))</f>
        <v/>
      </c>
      <c r="N5958" s="22"/>
    </row>
    <row r="5959" spans="1:14" x14ac:dyDescent="0.3">
      <c r="A5959" s="15" t="str">
        <f>IF(COUNTA($B5959:$E5959,$K5959)=0,"",IF(AND($B5959&lt;&gt;"",$C5959&lt;&gt;"",$D5959&lt;&gt;"",$E5959&lt;&gt;""),"TXS"&amp;TEXT(COUNTIFS($B$2:$B5959,"&lt;&gt;",$C$2:$C5959,"&lt;&gt;",$D$2:$D5959,"&lt;&gt;",$E$2:$E5959,"&lt;&gt;"),"00000"),""))</f>
        <v/>
      </c>
      <c r="N5959" s="22"/>
    </row>
    <row r="5960" spans="1:14" x14ac:dyDescent="0.3">
      <c r="A5960" s="15" t="str">
        <f>IF(COUNTA($B5960:$E5960,$K5960)=0,"",IF(AND($B5960&lt;&gt;"",$C5960&lt;&gt;"",$D5960&lt;&gt;"",$E5960&lt;&gt;""),"TXS"&amp;TEXT(COUNTIFS($B$2:$B5960,"&lt;&gt;",$C$2:$C5960,"&lt;&gt;",$D$2:$D5960,"&lt;&gt;",$E$2:$E5960,"&lt;&gt;"),"00000"),""))</f>
        <v/>
      </c>
      <c r="N5960" s="22"/>
    </row>
    <row r="5961" spans="1:14" x14ac:dyDescent="0.3">
      <c r="A5961" s="15" t="str">
        <f>IF(COUNTA($B5961:$E5961,$K5961)=0,"",IF(AND($B5961&lt;&gt;"",$C5961&lt;&gt;"",$D5961&lt;&gt;"",$E5961&lt;&gt;""),"TXS"&amp;TEXT(COUNTIFS($B$2:$B5961,"&lt;&gt;",$C$2:$C5961,"&lt;&gt;",$D$2:$D5961,"&lt;&gt;",$E$2:$E5961,"&lt;&gt;"),"00000"),""))</f>
        <v/>
      </c>
      <c r="N5961" s="22"/>
    </row>
    <row r="5962" spans="1:14" x14ac:dyDescent="0.3">
      <c r="A5962" s="15" t="str">
        <f>IF(COUNTA($B5962:$E5962,$K5962)=0,"",IF(AND($B5962&lt;&gt;"",$C5962&lt;&gt;"",$D5962&lt;&gt;"",$E5962&lt;&gt;""),"TXS"&amp;TEXT(COUNTIFS($B$2:$B5962,"&lt;&gt;",$C$2:$C5962,"&lt;&gt;",$D$2:$D5962,"&lt;&gt;",$E$2:$E5962,"&lt;&gt;"),"00000"),""))</f>
        <v/>
      </c>
      <c r="N5962" s="22"/>
    </row>
    <row r="5963" spans="1:14" x14ac:dyDescent="0.3">
      <c r="A5963" s="15" t="str">
        <f>IF(COUNTA($B5963:$E5963,$K5963)=0,"",IF(AND($B5963&lt;&gt;"",$C5963&lt;&gt;"",$D5963&lt;&gt;"",$E5963&lt;&gt;""),"TXS"&amp;TEXT(COUNTIFS($B$2:$B5963,"&lt;&gt;",$C$2:$C5963,"&lt;&gt;",$D$2:$D5963,"&lt;&gt;",$E$2:$E5963,"&lt;&gt;"),"00000"),""))</f>
        <v/>
      </c>
      <c r="N5963" s="22"/>
    </row>
    <row r="5964" spans="1:14" x14ac:dyDescent="0.3">
      <c r="A5964" s="15" t="str">
        <f>IF(COUNTA($B5964:$E5964,$K5964)=0,"",IF(AND($B5964&lt;&gt;"",$C5964&lt;&gt;"",$D5964&lt;&gt;"",$E5964&lt;&gt;""),"TXS"&amp;TEXT(COUNTIFS($B$2:$B5964,"&lt;&gt;",$C$2:$C5964,"&lt;&gt;",$D$2:$D5964,"&lt;&gt;",$E$2:$E5964,"&lt;&gt;"),"00000"),""))</f>
        <v/>
      </c>
      <c r="N5964" s="22"/>
    </row>
    <row r="5965" spans="1:14" x14ac:dyDescent="0.3">
      <c r="A5965" s="15" t="str">
        <f>IF(COUNTA($B5965:$E5965,$K5965)=0,"",IF(AND($B5965&lt;&gt;"",$C5965&lt;&gt;"",$D5965&lt;&gt;"",$E5965&lt;&gt;""),"TXS"&amp;TEXT(COUNTIFS($B$2:$B5965,"&lt;&gt;",$C$2:$C5965,"&lt;&gt;",$D$2:$D5965,"&lt;&gt;",$E$2:$E5965,"&lt;&gt;"),"00000"),""))</f>
        <v/>
      </c>
      <c r="N5965" s="22"/>
    </row>
    <row r="5966" spans="1:14" x14ac:dyDescent="0.3">
      <c r="A5966" s="15" t="str">
        <f>IF(COUNTA($B5966:$E5966,$K5966)=0,"",IF(AND($B5966&lt;&gt;"",$C5966&lt;&gt;"",$D5966&lt;&gt;"",$E5966&lt;&gt;""),"TXS"&amp;TEXT(COUNTIFS($B$2:$B5966,"&lt;&gt;",$C$2:$C5966,"&lt;&gt;",$D$2:$D5966,"&lt;&gt;",$E$2:$E5966,"&lt;&gt;"),"00000"),""))</f>
        <v/>
      </c>
      <c r="N5966" s="22"/>
    </row>
    <row r="5967" spans="1:14" x14ac:dyDescent="0.3">
      <c r="A5967" s="15" t="str">
        <f>IF(COUNTA($B5967:$E5967,$K5967)=0,"",IF(AND($B5967&lt;&gt;"",$C5967&lt;&gt;"",$D5967&lt;&gt;"",$E5967&lt;&gt;""),"TXS"&amp;TEXT(COUNTIFS($B$2:$B5967,"&lt;&gt;",$C$2:$C5967,"&lt;&gt;",$D$2:$D5967,"&lt;&gt;",$E$2:$E5967,"&lt;&gt;"),"00000"),""))</f>
        <v/>
      </c>
      <c r="N5967" s="22"/>
    </row>
    <row r="5968" spans="1:14" x14ac:dyDescent="0.3">
      <c r="A5968" s="15" t="str">
        <f>IF(COUNTA($B5968:$E5968,$K5968)=0,"",IF(AND($B5968&lt;&gt;"",$C5968&lt;&gt;"",$D5968&lt;&gt;"",$E5968&lt;&gt;""),"TXS"&amp;TEXT(COUNTIFS($B$2:$B5968,"&lt;&gt;",$C$2:$C5968,"&lt;&gt;",$D$2:$D5968,"&lt;&gt;",$E$2:$E5968,"&lt;&gt;"),"00000"),""))</f>
        <v/>
      </c>
      <c r="N5968" s="22"/>
    </row>
    <row r="5969" spans="1:14" x14ac:dyDescent="0.3">
      <c r="A5969" s="15" t="str">
        <f>IF(COUNTA($B5969:$E5969,$K5969)=0,"",IF(AND($B5969&lt;&gt;"",$C5969&lt;&gt;"",$D5969&lt;&gt;"",$E5969&lt;&gt;""),"TXS"&amp;TEXT(COUNTIFS($B$2:$B5969,"&lt;&gt;",$C$2:$C5969,"&lt;&gt;",$D$2:$D5969,"&lt;&gt;",$E$2:$E5969,"&lt;&gt;"),"00000"),""))</f>
        <v/>
      </c>
      <c r="N5969" s="22"/>
    </row>
    <row r="5970" spans="1:14" x14ac:dyDescent="0.3">
      <c r="A5970" s="15" t="str">
        <f>IF(COUNTA($B5970:$E5970,$K5970)=0,"",IF(AND($B5970&lt;&gt;"",$C5970&lt;&gt;"",$D5970&lt;&gt;"",$E5970&lt;&gt;""),"TXS"&amp;TEXT(COUNTIFS($B$2:$B5970,"&lt;&gt;",$C$2:$C5970,"&lt;&gt;",$D$2:$D5970,"&lt;&gt;",$E$2:$E5970,"&lt;&gt;"),"00000"),""))</f>
        <v/>
      </c>
      <c r="N5970" s="22"/>
    </row>
    <row r="5971" spans="1:14" x14ac:dyDescent="0.3">
      <c r="A5971" s="15" t="str">
        <f>IF(COUNTA($B5971:$E5971,$K5971)=0,"",IF(AND($B5971&lt;&gt;"",$C5971&lt;&gt;"",$D5971&lt;&gt;"",$E5971&lt;&gt;""),"TXS"&amp;TEXT(COUNTIFS($B$2:$B5971,"&lt;&gt;",$C$2:$C5971,"&lt;&gt;",$D$2:$D5971,"&lt;&gt;",$E$2:$E5971,"&lt;&gt;"),"00000"),""))</f>
        <v/>
      </c>
      <c r="N5971" s="22"/>
    </row>
    <row r="5972" spans="1:14" x14ac:dyDescent="0.3">
      <c r="A5972" s="15" t="str">
        <f>IF(COUNTA($B5972:$E5972,$K5972)=0,"",IF(AND($B5972&lt;&gt;"",$C5972&lt;&gt;"",$D5972&lt;&gt;"",$E5972&lt;&gt;""),"TXS"&amp;TEXT(COUNTIFS($B$2:$B5972,"&lt;&gt;",$C$2:$C5972,"&lt;&gt;",$D$2:$D5972,"&lt;&gt;",$E$2:$E5972,"&lt;&gt;"),"00000"),""))</f>
        <v/>
      </c>
      <c r="N5972" s="22"/>
    </row>
    <row r="5973" spans="1:14" x14ac:dyDescent="0.3">
      <c r="A5973" s="15" t="str">
        <f>IF(COUNTA($B5973:$E5973,$K5973)=0,"",IF(AND($B5973&lt;&gt;"",$C5973&lt;&gt;"",$D5973&lt;&gt;"",$E5973&lt;&gt;""),"TXS"&amp;TEXT(COUNTIFS($B$2:$B5973,"&lt;&gt;",$C$2:$C5973,"&lt;&gt;",$D$2:$D5973,"&lt;&gt;",$E$2:$E5973,"&lt;&gt;"),"00000"),""))</f>
        <v/>
      </c>
      <c r="N5973" s="22"/>
    </row>
    <row r="5974" spans="1:14" x14ac:dyDescent="0.3">
      <c r="A5974" s="15" t="str">
        <f>IF(COUNTA($B5974:$E5974,$K5974)=0,"",IF(AND($B5974&lt;&gt;"",$C5974&lt;&gt;"",$D5974&lt;&gt;"",$E5974&lt;&gt;""),"TXS"&amp;TEXT(COUNTIFS($B$2:$B5974,"&lt;&gt;",$C$2:$C5974,"&lt;&gt;",$D$2:$D5974,"&lt;&gt;",$E$2:$E5974,"&lt;&gt;"),"00000"),""))</f>
        <v/>
      </c>
      <c r="N5974" s="22"/>
    </row>
    <row r="5975" spans="1:14" x14ac:dyDescent="0.3">
      <c r="A5975" s="15" t="str">
        <f>IF(COUNTA($B5975:$E5975,$K5975)=0,"",IF(AND($B5975&lt;&gt;"",$C5975&lt;&gt;"",$D5975&lt;&gt;"",$E5975&lt;&gt;""),"TXS"&amp;TEXT(COUNTIFS($B$2:$B5975,"&lt;&gt;",$C$2:$C5975,"&lt;&gt;",$D$2:$D5975,"&lt;&gt;",$E$2:$E5975,"&lt;&gt;"),"00000"),""))</f>
        <v/>
      </c>
      <c r="N5975" s="22"/>
    </row>
    <row r="5976" spans="1:14" x14ac:dyDescent="0.3">
      <c r="A5976" s="15" t="str">
        <f>IF(COUNTA($B5976:$E5976,$K5976)=0,"",IF(AND($B5976&lt;&gt;"",$C5976&lt;&gt;"",$D5976&lt;&gt;"",$E5976&lt;&gt;""),"TXS"&amp;TEXT(COUNTIFS($B$2:$B5976,"&lt;&gt;",$C$2:$C5976,"&lt;&gt;",$D$2:$D5976,"&lt;&gt;",$E$2:$E5976,"&lt;&gt;"),"00000"),""))</f>
        <v/>
      </c>
      <c r="N5976" s="22"/>
    </row>
    <row r="5977" spans="1:14" x14ac:dyDescent="0.3">
      <c r="A5977" s="15" t="str">
        <f>IF(COUNTA($B5977:$E5977,$K5977)=0,"",IF(AND($B5977&lt;&gt;"",$C5977&lt;&gt;"",$D5977&lt;&gt;"",$E5977&lt;&gt;""),"TXS"&amp;TEXT(COUNTIFS($B$2:$B5977,"&lt;&gt;",$C$2:$C5977,"&lt;&gt;",$D$2:$D5977,"&lt;&gt;",$E$2:$E5977,"&lt;&gt;"),"00000"),""))</f>
        <v/>
      </c>
      <c r="N5977" s="22"/>
    </row>
    <row r="5978" spans="1:14" x14ac:dyDescent="0.3">
      <c r="A5978" s="15" t="str">
        <f>IF(COUNTA($B5978:$E5978,$K5978)=0,"",IF(AND($B5978&lt;&gt;"",$C5978&lt;&gt;"",$D5978&lt;&gt;"",$E5978&lt;&gt;""),"TXS"&amp;TEXT(COUNTIFS($B$2:$B5978,"&lt;&gt;",$C$2:$C5978,"&lt;&gt;",$D$2:$D5978,"&lt;&gt;",$E$2:$E5978,"&lt;&gt;"),"00000"),""))</f>
        <v/>
      </c>
      <c r="N5978" s="22"/>
    </row>
    <row r="5979" spans="1:14" x14ac:dyDescent="0.3">
      <c r="A5979" s="15" t="str">
        <f>IF(COUNTA($B5979:$E5979,$K5979)=0,"",IF(AND($B5979&lt;&gt;"",$C5979&lt;&gt;"",$D5979&lt;&gt;"",$E5979&lt;&gt;""),"TXS"&amp;TEXT(COUNTIFS($B$2:$B5979,"&lt;&gt;",$C$2:$C5979,"&lt;&gt;",$D$2:$D5979,"&lt;&gt;",$E$2:$E5979,"&lt;&gt;"),"00000"),""))</f>
        <v/>
      </c>
      <c r="N5979" s="22"/>
    </row>
    <row r="5980" spans="1:14" x14ac:dyDescent="0.3">
      <c r="A5980" s="15" t="str">
        <f>IF(COUNTA($B5980:$E5980,$K5980)=0,"",IF(AND($B5980&lt;&gt;"",$C5980&lt;&gt;"",$D5980&lt;&gt;"",$E5980&lt;&gt;""),"TXS"&amp;TEXT(COUNTIFS($B$2:$B5980,"&lt;&gt;",$C$2:$C5980,"&lt;&gt;",$D$2:$D5980,"&lt;&gt;",$E$2:$E5980,"&lt;&gt;"),"00000"),""))</f>
        <v/>
      </c>
      <c r="N5980" s="22"/>
    </row>
    <row r="5981" spans="1:14" x14ac:dyDescent="0.3">
      <c r="A5981" s="15" t="str">
        <f>IF(COUNTA($B5981:$E5981,$K5981)=0,"",IF(AND($B5981&lt;&gt;"",$C5981&lt;&gt;"",$D5981&lt;&gt;"",$E5981&lt;&gt;""),"TXS"&amp;TEXT(COUNTIFS($B$2:$B5981,"&lt;&gt;",$C$2:$C5981,"&lt;&gt;",$D$2:$D5981,"&lt;&gt;",$E$2:$E5981,"&lt;&gt;"),"00000"),""))</f>
        <v/>
      </c>
      <c r="N5981" s="22"/>
    </row>
    <row r="5982" spans="1:14" x14ac:dyDescent="0.3">
      <c r="A5982" s="15" t="str">
        <f>IF(COUNTA($B5982:$E5982,$K5982)=0,"",IF(AND($B5982&lt;&gt;"",$C5982&lt;&gt;"",$D5982&lt;&gt;"",$E5982&lt;&gt;""),"TXS"&amp;TEXT(COUNTIFS($B$2:$B5982,"&lt;&gt;",$C$2:$C5982,"&lt;&gt;",$D$2:$D5982,"&lt;&gt;",$E$2:$E5982,"&lt;&gt;"),"00000"),""))</f>
        <v/>
      </c>
      <c r="N5982" s="22"/>
    </row>
    <row r="5983" spans="1:14" x14ac:dyDescent="0.3">
      <c r="A5983" s="15" t="str">
        <f>IF(COUNTA($B5983:$E5983,$K5983)=0,"",IF(AND($B5983&lt;&gt;"",$C5983&lt;&gt;"",$D5983&lt;&gt;"",$E5983&lt;&gt;""),"TXS"&amp;TEXT(COUNTIFS($B$2:$B5983,"&lt;&gt;",$C$2:$C5983,"&lt;&gt;",$D$2:$D5983,"&lt;&gt;",$E$2:$E5983,"&lt;&gt;"),"00000"),""))</f>
        <v/>
      </c>
      <c r="N5983" s="22"/>
    </row>
    <row r="5984" spans="1:14" x14ac:dyDescent="0.3">
      <c r="A5984" s="15" t="str">
        <f>IF(COUNTA($B5984:$E5984,$K5984)=0,"",IF(AND($B5984&lt;&gt;"",$C5984&lt;&gt;"",$D5984&lt;&gt;"",$E5984&lt;&gt;""),"TXS"&amp;TEXT(COUNTIFS($B$2:$B5984,"&lt;&gt;",$C$2:$C5984,"&lt;&gt;",$D$2:$D5984,"&lt;&gt;",$E$2:$E5984,"&lt;&gt;"),"00000"),""))</f>
        <v/>
      </c>
      <c r="N5984" s="22"/>
    </row>
    <row r="5985" spans="1:14" x14ac:dyDescent="0.3">
      <c r="A5985" s="15" t="str">
        <f>IF(COUNTA($B5985:$E5985,$K5985)=0,"",IF(AND($B5985&lt;&gt;"",$C5985&lt;&gt;"",$D5985&lt;&gt;"",$E5985&lt;&gt;""),"TXS"&amp;TEXT(COUNTIFS($B$2:$B5985,"&lt;&gt;",$C$2:$C5985,"&lt;&gt;",$D$2:$D5985,"&lt;&gt;",$E$2:$E5985,"&lt;&gt;"),"00000"),""))</f>
        <v/>
      </c>
      <c r="N5985" s="22"/>
    </row>
    <row r="5986" spans="1:14" x14ac:dyDescent="0.3">
      <c r="A5986" s="15" t="str">
        <f>IF(COUNTA($B5986:$E5986,$K5986)=0,"",IF(AND($B5986&lt;&gt;"",$C5986&lt;&gt;"",$D5986&lt;&gt;"",$E5986&lt;&gt;""),"TXS"&amp;TEXT(COUNTIFS($B$2:$B5986,"&lt;&gt;",$C$2:$C5986,"&lt;&gt;",$D$2:$D5986,"&lt;&gt;",$E$2:$E5986,"&lt;&gt;"),"00000"),""))</f>
        <v/>
      </c>
      <c r="N5986" s="22"/>
    </row>
    <row r="5987" spans="1:14" x14ac:dyDescent="0.3">
      <c r="A5987" s="15" t="str">
        <f>IF(COUNTA($B5987:$E5987,$K5987)=0,"",IF(AND($B5987&lt;&gt;"",$C5987&lt;&gt;"",$D5987&lt;&gt;"",$E5987&lt;&gt;""),"TXS"&amp;TEXT(COUNTIFS($B$2:$B5987,"&lt;&gt;",$C$2:$C5987,"&lt;&gt;",$D$2:$D5987,"&lt;&gt;",$E$2:$E5987,"&lt;&gt;"),"00000"),""))</f>
        <v/>
      </c>
      <c r="N5987" s="22"/>
    </row>
    <row r="5988" spans="1:14" x14ac:dyDescent="0.3">
      <c r="A5988" s="15" t="str">
        <f>IF(COUNTA($B5988:$E5988,$K5988)=0,"",IF(AND($B5988&lt;&gt;"",$C5988&lt;&gt;"",$D5988&lt;&gt;"",$E5988&lt;&gt;""),"TXS"&amp;TEXT(COUNTIFS($B$2:$B5988,"&lt;&gt;",$C$2:$C5988,"&lt;&gt;",$D$2:$D5988,"&lt;&gt;",$E$2:$E5988,"&lt;&gt;"),"00000"),""))</f>
        <v/>
      </c>
      <c r="N5988" s="22"/>
    </row>
    <row r="5989" spans="1:14" x14ac:dyDescent="0.3">
      <c r="A5989" s="15" t="str">
        <f>IF(COUNTA($B5989:$E5989,$K5989)=0,"",IF(AND($B5989&lt;&gt;"",$C5989&lt;&gt;"",$D5989&lt;&gt;"",$E5989&lt;&gt;""),"TXS"&amp;TEXT(COUNTIFS($B$2:$B5989,"&lt;&gt;",$C$2:$C5989,"&lt;&gt;",$D$2:$D5989,"&lt;&gt;",$E$2:$E5989,"&lt;&gt;"),"00000"),""))</f>
        <v/>
      </c>
      <c r="N5989" s="22"/>
    </row>
    <row r="5990" spans="1:14" x14ac:dyDescent="0.3">
      <c r="A5990" s="15" t="str">
        <f>IF(COUNTA($B5990:$E5990,$K5990)=0,"",IF(AND($B5990&lt;&gt;"",$C5990&lt;&gt;"",$D5990&lt;&gt;"",$E5990&lt;&gt;""),"TXS"&amp;TEXT(COUNTIFS($B$2:$B5990,"&lt;&gt;",$C$2:$C5990,"&lt;&gt;",$D$2:$D5990,"&lt;&gt;",$E$2:$E5990,"&lt;&gt;"),"00000"),""))</f>
        <v/>
      </c>
      <c r="N5990" s="22"/>
    </row>
    <row r="5991" spans="1:14" x14ac:dyDescent="0.3">
      <c r="A5991" s="15" t="str">
        <f>IF(COUNTA($B5991:$E5991,$K5991)=0,"",IF(AND($B5991&lt;&gt;"",$C5991&lt;&gt;"",$D5991&lt;&gt;"",$E5991&lt;&gt;""),"TXS"&amp;TEXT(COUNTIFS($B$2:$B5991,"&lt;&gt;",$C$2:$C5991,"&lt;&gt;",$D$2:$D5991,"&lt;&gt;",$E$2:$E5991,"&lt;&gt;"),"00000"),""))</f>
        <v/>
      </c>
      <c r="N5991" s="22"/>
    </row>
    <row r="5992" spans="1:14" x14ac:dyDescent="0.3">
      <c r="A5992" s="15" t="str">
        <f>IF(COUNTA($B5992:$E5992,$K5992)=0,"",IF(AND($B5992&lt;&gt;"",$C5992&lt;&gt;"",$D5992&lt;&gt;"",$E5992&lt;&gt;""),"TXS"&amp;TEXT(COUNTIFS($B$2:$B5992,"&lt;&gt;",$C$2:$C5992,"&lt;&gt;",$D$2:$D5992,"&lt;&gt;",$E$2:$E5992,"&lt;&gt;"),"00000"),""))</f>
        <v/>
      </c>
      <c r="N5992" s="22"/>
    </row>
    <row r="5993" spans="1:14" x14ac:dyDescent="0.3">
      <c r="A5993" s="15" t="str">
        <f>IF(COUNTA($B5993:$E5993,$K5993)=0,"",IF(AND($B5993&lt;&gt;"",$C5993&lt;&gt;"",$D5993&lt;&gt;"",$E5993&lt;&gt;""),"TXS"&amp;TEXT(COUNTIFS($B$2:$B5993,"&lt;&gt;",$C$2:$C5993,"&lt;&gt;",$D$2:$D5993,"&lt;&gt;",$E$2:$E5993,"&lt;&gt;"),"00000"),""))</f>
        <v/>
      </c>
      <c r="N5993" s="22"/>
    </row>
    <row r="5994" spans="1:14" x14ac:dyDescent="0.3">
      <c r="A5994" s="15" t="str">
        <f>IF(COUNTA($B5994:$E5994,$K5994)=0,"",IF(AND($B5994&lt;&gt;"",$C5994&lt;&gt;"",$D5994&lt;&gt;"",$E5994&lt;&gt;""),"TXS"&amp;TEXT(COUNTIFS($B$2:$B5994,"&lt;&gt;",$C$2:$C5994,"&lt;&gt;",$D$2:$D5994,"&lt;&gt;",$E$2:$E5994,"&lt;&gt;"),"00000"),""))</f>
        <v/>
      </c>
      <c r="N5994" s="22"/>
    </row>
    <row r="5995" spans="1:14" x14ac:dyDescent="0.3">
      <c r="A5995" s="15" t="str">
        <f>IF(COUNTA($B5995:$E5995,$K5995)=0,"",IF(AND($B5995&lt;&gt;"",$C5995&lt;&gt;"",$D5995&lt;&gt;"",$E5995&lt;&gt;""),"TXS"&amp;TEXT(COUNTIFS($B$2:$B5995,"&lt;&gt;",$C$2:$C5995,"&lt;&gt;",$D$2:$D5995,"&lt;&gt;",$E$2:$E5995,"&lt;&gt;"),"00000"),""))</f>
        <v/>
      </c>
      <c r="N5995" s="22"/>
    </row>
    <row r="5996" spans="1:14" x14ac:dyDescent="0.3">
      <c r="A5996" s="15" t="str">
        <f>IF(COUNTA($B5996:$E5996,$K5996)=0,"",IF(AND($B5996&lt;&gt;"",$C5996&lt;&gt;"",$D5996&lt;&gt;"",$E5996&lt;&gt;""),"TXS"&amp;TEXT(COUNTIFS($B$2:$B5996,"&lt;&gt;",$C$2:$C5996,"&lt;&gt;",$D$2:$D5996,"&lt;&gt;",$E$2:$E5996,"&lt;&gt;"),"00000"),""))</f>
        <v/>
      </c>
      <c r="N5996" s="22"/>
    </row>
    <row r="5997" spans="1:14" x14ac:dyDescent="0.3">
      <c r="A5997" s="15" t="str">
        <f>IF(COUNTA($B5997:$E5997,$K5997)=0,"",IF(AND($B5997&lt;&gt;"",$C5997&lt;&gt;"",$D5997&lt;&gt;"",$E5997&lt;&gt;""),"TXS"&amp;TEXT(COUNTIFS($B$2:$B5997,"&lt;&gt;",$C$2:$C5997,"&lt;&gt;",$D$2:$D5997,"&lt;&gt;",$E$2:$E5997,"&lt;&gt;"),"00000"),""))</f>
        <v/>
      </c>
      <c r="N5997" s="22"/>
    </row>
    <row r="5998" spans="1:14" x14ac:dyDescent="0.3">
      <c r="A5998" s="15" t="str">
        <f>IF(COUNTA($B5998:$E5998,$K5998)=0,"",IF(AND($B5998&lt;&gt;"",$C5998&lt;&gt;"",$D5998&lt;&gt;"",$E5998&lt;&gt;""),"TXS"&amp;TEXT(COUNTIFS($B$2:$B5998,"&lt;&gt;",$C$2:$C5998,"&lt;&gt;",$D$2:$D5998,"&lt;&gt;",$E$2:$E5998,"&lt;&gt;"),"00000"),""))</f>
        <v/>
      </c>
      <c r="N5998" s="22"/>
    </row>
    <row r="5999" spans="1:14" x14ac:dyDescent="0.3">
      <c r="A5999" s="15" t="str">
        <f>IF(COUNTA($B5999:$E5999,$K5999)=0,"",IF(AND($B5999&lt;&gt;"",$C5999&lt;&gt;"",$D5999&lt;&gt;"",$E5999&lt;&gt;""),"TXS"&amp;TEXT(COUNTIFS($B$2:$B5999,"&lt;&gt;",$C$2:$C5999,"&lt;&gt;",$D$2:$D5999,"&lt;&gt;",$E$2:$E5999,"&lt;&gt;"),"00000"),""))</f>
        <v/>
      </c>
      <c r="N5999" s="22"/>
    </row>
    <row r="6000" spans="1:14" x14ac:dyDescent="0.3">
      <c r="A6000" s="15" t="str">
        <f>IF(COUNTA($B6000:$E6000,$K6000)=0,"",IF(AND($B6000&lt;&gt;"",$C6000&lt;&gt;"",$D6000&lt;&gt;"",$E6000&lt;&gt;""),"TXS"&amp;TEXT(COUNTIFS($B$2:$B6000,"&lt;&gt;",$C$2:$C6000,"&lt;&gt;",$D$2:$D6000,"&lt;&gt;",$E$2:$E6000,"&lt;&gt;"),"00000"),""))</f>
        <v/>
      </c>
      <c r="N6000" s="22"/>
    </row>
    <row r="6001" spans="1:14" x14ac:dyDescent="0.3">
      <c r="A6001" s="15" t="str">
        <f>IF(COUNTA($B6001:$E6001,$K6001)=0,"",IF(AND($B6001&lt;&gt;"",$C6001&lt;&gt;"",$D6001&lt;&gt;"",$E6001&lt;&gt;""),"TXS"&amp;TEXT(COUNTIFS($B$2:$B6001,"&lt;&gt;",$C$2:$C6001,"&lt;&gt;",$D$2:$D6001,"&lt;&gt;",$E$2:$E6001,"&lt;&gt;"),"00000"),""))</f>
        <v/>
      </c>
      <c r="N6001" s="22"/>
    </row>
    <row r="6002" spans="1:14" x14ac:dyDescent="0.3">
      <c r="A6002" s="15" t="str">
        <f>IF(COUNTA($B6002:$E6002,$K6002)=0,"",IF(AND($B6002&lt;&gt;"",$C6002&lt;&gt;"",$D6002&lt;&gt;"",$E6002&lt;&gt;""),"TXS"&amp;TEXT(COUNTIFS($B$2:$B6002,"&lt;&gt;",$C$2:$C6002,"&lt;&gt;",$D$2:$D6002,"&lt;&gt;",$E$2:$E6002,"&lt;&gt;"),"00000"),""))</f>
        <v/>
      </c>
      <c r="N6002" s="22"/>
    </row>
    <row r="6003" spans="1:14" x14ac:dyDescent="0.3">
      <c r="A6003" s="15" t="str">
        <f>IF(COUNTA($B6003:$E6003,$K6003)=0,"",IF(AND($B6003&lt;&gt;"",$C6003&lt;&gt;"",$D6003&lt;&gt;"",$E6003&lt;&gt;""),"TXS"&amp;TEXT(COUNTIFS($B$2:$B6003,"&lt;&gt;",$C$2:$C6003,"&lt;&gt;",$D$2:$D6003,"&lt;&gt;",$E$2:$E6003,"&lt;&gt;"),"00000"),""))</f>
        <v/>
      </c>
      <c r="N6003" s="22"/>
    </row>
    <row r="6004" spans="1:14" x14ac:dyDescent="0.3">
      <c r="A6004" s="15" t="str">
        <f>IF(COUNTA($B6004:$E6004,$K6004)=0,"",IF(AND($B6004&lt;&gt;"",$C6004&lt;&gt;"",$D6004&lt;&gt;"",$E6004&lt;&gt;""),"TXS"&amp;TEXT(COUNTIFS($B$2:$B6004,"&lt;&gt;",$C$2:$C6004,"&lt;&gt;",$D$2:$D6004,"&lt;&gt;",$E$2:$E6004,"&lt;&gt;"),"00000"),""))</f>
        <v/>
      </c>
      <c r="N6004" s="22"/>
    </row>
    <row r="6005" spans="1:14" x14ac:dyDescent="0.3">
      <c r="A6005" s="15" t="str">
        <f>IF(COUNTA($B6005:$E6005,$K6005)=0,"",IF(AND($B6005&lt;&gt;"",$C6005&lt;&gt;"",$D6005&lt;&gt;"",$E6005&lt;&gt;""),"TXS"&amp;TEXT(COUNTIFS($B$2:$B6005,"&lt;&gt;",$C$2:$C6005,"&lt;&gt;",$D$2:$D6005,"&lt;&gt;",$E$2:$E6005,"&lt;&gt;"),"00000"),""))</f>
        <v/>
      </c>
      <c r="N6005" s="22"/>
    </row>
    <row r="6006" spans="1:14" x14ac:dyDescent="0.3">
      <c r="A6006" s="15" t="str">
        <f>IF(COUNTA($B6006:$E6006,$K6006)=0,"",IF(AND($B6006&lt;&gt;"",$C6006&lt;&gt;"",$D6006&lt;&gt;"",$E6006&lt;&gt;""),"TXS"&amp;TEXT(COUNTIFS($B$2:$B6006,"&lt;&gt;",$C$2:$C6006,"&lt;&gt;",$D$2:$D6006,"&lt;&gt;",$E$2:$E6006,"&lt;&gt;"),"00000"),""))</f>
        <v/>
      </c>
      <c r="N6006" s="22"/>
    </row>
    <row r="6007" spans="1:14" x14ac:dyDescent="0.3">
      <c r="A6007" s="15" t="str">
        <f>IF(COUNTA($B6007:$E6007,$K6007)=0,"",IF(AND($B6007&lt;&gt;"",$C6007&lt;&gt;"",$D6007&lt;&gt;"",$E6007&lt;&gt;""),"TXS"&amp;TEXT(COUNTIFS($B$2:$B6007,"&lt;&gt;",$C$2:$C6007,"&lt;&gt;",$D$2:$D6007,"&lt;&gt;",$E$2:$E6007,"&lt;&gt;"),"00000"),""))</f>
        <v/>
      </c>
      <c r="N6007" s="22"/>
    </row>
    <row r="6008" spans="1:14" x14ac:dyDescent="0.3">
      <c r="A6008" s="15" t="str">
        <f>IF(COUNTA($B6008:$E6008,$K6008)=0,"",IF(AND($B6008&lt;&gt;"",$C6008&lt;&gt;"",$D6008&lt;&gt;"",$E6008&lt;&gt;""),"TXS"&amp;TEXT(COUNTIFS($B$2:$B6008,"&lt;&gt;",$C$2:$C6008,"&lt;&gt;",$D$2:$D6008,"&lt;&gt;",$E$2:$E6008,"&lt;&gt;"),"00000"),""))</f>
        <v/>
      </c>
      <c r="N6008" s="22"/>
    </row>
    <row r="6009" spans="1:14" x14ac:dyDescent="0.3">
      <c r="A6009" s="15" t="str">
        <f>IF(COUNTA($B6009:$E6009,$K6009)=0,"",IF(AND($B6009&lt;&gt;"",$C6009&lt;&gt;"",$D6009&lt;&gt;"",$E6009&lt;&gt;""),"TXS"&amp;TEXT(COUNTIFS($B$2:$B6009,"&lt;&gt;",$C$2:$C6009,"&lt;&gt;",$D$2:$D6009,"&lt;&gt;",$E$2:$E6009,"&lt;&gt;"),"00000"),""))</f>
        <v/>
      </c>
      <c r="N6009" s="22"/>
    </row>
    <row r="6010" spans="1:14" x14ac:dyDescent="0.3">
      <c r="A6010" s="15" t="str">
        <f>IF(COUNTA($B6010:$E6010,$K6010)=0,"",IF(AND($B6010&lt;&gt;"",$C6010&lt;&gt;"",$D6010&lt;&gt;"",$E6010&lt;&gt;""),"TXS"&amp;TEXT(COUNTIFS($B$2:$B6010,"&lt;&gt;",$C$2:$C6010,"&lt;&gt;",$D$2:$D6010,"&lt;&gt;",$E$2:$E6010,"&lt;&gt;"),"00000"),""))</f>
        <v/>
      </c>
      <c r="N6010" s="22"/>
    </row>
    <row r="6011" spans="1:14" x14ac:dyDescent="0.3">
      <c r="A6011" s="15" t="str">
        <f>IF(COUNTA($B6011:$E6011,$K6011)=0,"",IF(AND($B6011&lt;&gt;"",$C6011&lt;&gt;"",$D6011&lt;&gt;"",$E6011&lt;&gt;""),"TXS"&amp;TEXT(COUNTIFS($B$2:$B6011,"&lt;&gt;",$C$2:$C6011,"&lt;&gt;",$D$2:$D6011,"&lt;&gt;",$E$2:$E6011,"&lt;&gt;"),"00000"),""))</f>
        <v/>
      </c>
      <c r="N6011" s="22"/>
    </row>
    <row r="6012" spans="1:14" x14ac:dyDescent="0.3">
      <c r="A6012" s="15" t="str">
        <f>IF(COUNTA($B6012:$E6012,$K6012)=0,"",IF(AND($B6012&lt;&gt;"",$C6012&lt;&gt;"",$D6012&lt;&gt;"",$E6012&lt;&gt;""),"TXS"&amp;TEXT(COUNTIFS($B$2:$B6012,"&lt;&gt;",$C$2:$C6012,"&lt;&gt;",$D$2:$D6012,"&lt;&gt;",$E$2:$E6012,"&lt;&gt;"),"00000"),""))</f>
        <v/>
      </c>
      <c r="N6012" s="22"/>
    </row>
    <row r="6013" spans="1:14" x14ac:dyDescent="0.3">
      <c r="A6013" s="15" t="str">
        <f>IF(COUNTA($B6013:$E6013,$K6013)=0,"",IF(AND($B6013&lt;&gt;"",$C6013&lt;&gt;"",$D6013&lt;&gt;"",$E6013&lt;&gt;""),"TXS"&amp;TEXT(COUNTIFS($B$2:$B6013,"&lt;&gt;",$C$2:$C6013,"&lt;&gt;",$D$2:$D6013,"&lt;&gt;",$E$2:$E6013,"&lt;&gt;"),"00000"),""))</f>
        <v/>
      </c>
      <c r="N6013" s="22"/>
    </row>
    <row r="6014" spans="1:14" x14ac:dyDescent="0.3">
      <c r="A6014" s="15" t="str">
        <f>IF(COUNTA($B6014:$E6014,$K6014)=0,"",IF(AND($B6014&lt;&gt;"",$C6014&lt;&gt;"",$D6014&lt;&gt;"",$E6014&lt;&gt;""),"TXS"&amp;TEXT(COUNTIFS($B$2:$B6014,"&lt;&gt;",$C$2:$C6014,"&lt;&gt;",$D$2:$D6014,"&lt;&gt;",$E$2:$E6014,"&lt;&gt;"),"00000"),""))</f>
        <v/>
      </c>
      <c r="N6014" s="22"/>
    </row>
    <row r="6015" spans="1:14" x14ac:dyDescent="0.3">
      <c r="A6015" s="15" t="str">
        <f>IF(COUNTA($B6015:$E6015,$K6015)=0,"",IF(AND($B6015&lt;&gt;"",$C6015&lt;&gt;"",$D6015&lt;&gt;"",$E6015&lt;&gt;""),"TXS"&amp;TEXT(COUNTIFS($B$2:$B6015,"&lt;&gt;",$C$2:$C6015,"&lt;&gt;",$D$2:$D6015,"&lt;&gt;",$E$2:$E6015,"&lt;&gt;"),"00000"),""))</f>
        <v/>
      </c>
      <c r="N6015" s="22"/>
    </row>
    <row r="6016" spans="1:14" x14ac:dyDescent="0.3">
      <c r="A6016" s="15" t="str">
        <f>IF(COUNTA($B6016:$E6016,$K6016)=0,"",IF(AND($B6016&lt;&gt;"",$C6016&lt;&gt;"",$D6016&lt;&gt;"",$E6016&lt;&gt;""),"TXS"&amp;TEXT(COUNTIFS($B$2:$B6016,"&lt;&gt;",$C$2:$C6016,"&lt;&gt;",$D$2:$D6016,"&lt;&gt;",$E$2:$E6016,"&lt;&gt;"),"00000"),""))</f>
        <v/>
      </c>
      <c r="N6016" s="22"/>
    </row>
    <row r="6017" spans="1:14" x14ac:dyDescent="0.3">
      <c r="A6017" s="15" t="str">
        <f>IF(COUNTA($B6017:$E6017,$K6017)=0,"",IF(AND($B6017&lt;&gt;"",$C6017&lt;&gt;"",$D6017&lt;&gt;"",$E6017&lt;&gt;""),"TXS"&amp;TEXT(COUNTIFS($B$2:$B6017,"&lt;&gt;",$C$2:$C6017,"&lt;&gt;",$D$2:$D6017,"&lt;&gt;",$E$2:$E6017,"&lt;&gt;"),"00000"),""))</f>
        <v/>
      </c>
      <c r="N6017" s="22"/>
    </row>
    <row r="6018" spans="1:14" x14ac:dyDescent="0.3">
      <c r="A6018" s="15" t="str">
        <f>IF(COUNTA($B6018:$E6018,$K6018)=0,"",IF(AND($B6018&lt;&gt;"",$C6018&lt;&gt;"",$D6018&lt;&gt;"",$E6018&lt;&gt;""),"TXS"&amp;TEXT(COUNTIFS($B$2:$B6018,"&lt;&gt;",$C$2:$C6018,"&lt;&gt;",$D$2:$D6018,"&lt;&gt;",$E$2:$E6018,"&lt;&gt;"),"00000"),""))</f>
        <v/>
      </c>
      <c r="N6018" s="22"/>
    </row>
    <row r="6019" spans="1:14" x14ac:dyDescent="0.3">
      <c r="A6019" s="15" t="str">
        <f>IF(COUNTA($B6019:$E6019,$K6019)=0,"",IF(AND($B6019&lt;&gt;"",$C6019&lt;&gt;"",$D6019&lt;&gt;"",$E6019&lt;&gt;""),"TXS"&amp;TEXT(COUNTIFS($B$2:$B6019,"&lt;&gt;",$C$2:$C6019,"&lt;&gt;",$D$2:$D6019,"&lt;&gt;",$E$2:$E6019,"&lt;&gt;"),"00000"),""))</f>
        <v/>
      </c>
      <c r="N6019" s="22"/>
    </row>
    <row r="6020" spans="1:14" x14ac:dyDescent="0.3">
      <c r="A6020" s="15" t="str">
        <f>IF(COUNTA($B6020:$E6020,$K6020)=0,"",IF(AND($B6020&lt;&gt;"",$C6020&lt;&gt;"",$D6020&lt;&gt;"",$E6020&lt;&gt;""),"TXS"&amp;TEXT(COUNTIFS($B$2:$B6020,"&lt;&gt;",$C$2:$C6020,"&lt;&gt;",$D$2:$D6020,"&lt;&gt;",$E$2:$E6020,"&lt;&gt;"),"00000"),""))</f>
        <v/>
      </c>
      <c r="N6020" s="22"/>
    </row>
    <row r="6021" spans="1:14" x14ac:dyDescent="0.3">
      <c r="A6021" s="15" t="str">
        <f>IF(COUNTA($B6021:$E6021,$K6021)=0,"",IF(AND($B6021&lt;&gt;"",$C6021&lt;&gt;"",$D6021&lt;&gt;"",$E6021&lt;&gt;""),"TXS"&amp;TEXT(COUNTIFS($B$2:$B6021,"&lt;&gt;",$C$2:$C6021,"&lt;&gt;",$D$2:$D6021,"&lt;&gt;",$E$2:$E6021,"&lt;&gt;"),"00000"),""))</f>
        <v/>
      </c>
      <c r="N6021" s="22"/>
    </row>
    <row r="6022" spans="1:14" x14ac:dyDescent="0.3">
      <c r="A6022" s="15" t="str">
        <f>IF(COUNTA($B6022:$E6022,$K6022)=0,"",IF(AND($B6022&lt;&gt;"",$C6022&lt;&gt;"",$D6022&lt;&gt;"",$E6022&lt;&gt;""),"TXS"&amp;TEXT(COUNTIFS($B$2:$B6022,"&lt;&gt;",$C$2:$C6022,"&lt;&gt;",$D$2:$D6022,"&lt;&gt;",$E$2:$E6022,"&lt;&gt;"),"00000"),""))</f>
        <v/>
      </c>
      <c r="N6022" s="22"/>
    </row>
    <row r="6023" spans="1:14" x14ac:dyDescent="0.3">
      <c r="A6023" s="15" t="str">
        <f>IF(COUNTA($B6023:$E6023,$K6023)=0,"",IF(AND($B6023&lt;&gt;"",$C6023&lt;&gt;"",$D6023&lt;&gt;"",$E6023&lt;&gt;""),"TXS"&amp;TEXT(COUNTIFS($B$2:$B6023,"&lt;&gt;",$C$2:$C6023,"&lt;&gt;",$D$2:$D6023,"&lt;&gt;",$E$2:$E6023,"&lt;&gt;"),"00000"),""))</f>
        <v/>
      </c>
      <c r="N6023" s="22"/>
    </row>
    <row r="6024" spans="1:14" x14ac:dyDescent="0.3">
      <c r="A6024" s="15" t="str">
        <f>IF(COUNTA($B6024:$E6024,$K6024)=0,"",IF(AND($B6024&lt;&gt;"",$C6024&lt;&gt;"",$D6024&lt;&gt;"",$E6024&lt;&gt;""),"TXS"&amp;TEXT(COUNTIFS($B$2:$B6024,"&lt;&gt;",$C$2:$C6024,"&lt;&gt;",$D$2:$D6024,"&lt;&gt;",$E$2:$E6024,"&lt;&gt;"),"00000"),""))</f>
        <v/>
      </c>
      <c r="N6024" s="22"/>
    </row>
    <row r="6025" spans="1:14" x14ac:dyDescent="0.3">
      <c r="A6025" s="15" t="str">
        <f>IF(COUNTA($B6025:$E6025,$K6025)=0,"",IF(AND($B6025&lt;&gt;"",$C6025&lt;&gt;"",$D6025&lt;&gt;"",$E6025&lt;&gt;""),"TXS"&amp;TEXT(COUNTIFS($B$2:$B6025,"&lt;&gt;",$C$2:$C6025,"&lt;&gt;",$D$2:$D6025,"&lt;&gt;",$E$2:$E6025,"&lt;&gt;"),"00000"),""))</f>
        <v/>
      </c>
      <c r="N6025" s="22"/>
    </row>
    <row r="6026" spans="1:14" x14ac:dyDescent="0.3">
      <c r="A6026" s="15" t="str">
        <f>IF(COUNTA($B6026:$E6026,$K6026)=0,"",IF(AND($B6026&lt;&gt;"",$C6026&lt;&gt;"",$D6026&lt;&gt;"",$E6026&lt;&gt;""),"TXS"&amp;TEXT(COUNTIFS($B$2:$B6026,"&lt;&gt;",$C$2:$C6026,"&lt;&gt;",$D$2:$D6026,"&lt;&gt;",$E$2:$E6026,"&lt;&gt;"),"00000"),""))</f>
        <v/>
      </c>
      <c r="N6026" s="22"/>
    </row>
    <row r="6027" spans="1:14" x14ac:dyDescent="0.3">
      <c r="A6027" s="15" t="str">
        <f>IF(COUNTA($B6027:$E6027,$K6027)=0,"",IF(AND($B6027&lt;&gt;"",$C6027&lt;&gt;"",$D6027&lt;&gt;"",$E6027&lt;&gt;""),"TXS"&amp;TEXT(COUNTIFS($B$2:$B6027,"&lt;&gt;",$C$2:$C6027,"&lt;&gt;",$D$2:$D6027,"&lt;&gt;",$E$2:$E6027,"&lt;&gt;"),"00000"),""))</f>
        <v/>
      </c>
      <c r="N6027" s="22"/>
    </row>
    <row r="6028" spans="1:14" x14ac:dyDescent="0.3">
      <c r="A6028" s="15" t="str">
        <f>IF(COUNTA($B6028:$E6028,$K6028)=0,"",IF(AND($B6028&lt;&gt;"",$C6028&lt;&gt;"",$D6028&lt;&gt;"",$E6028&lt;&gt;""),"TXS"&amp;TEXT(COUNTIFS($B$2:$B6028,"&lt;&gt;",$C$2:$C6028,"&lt;&gt;",$D$2:$D6028,"&lt;&gt;",$E$2:$E6028,"&lt;&gt;"),"00000"),""))</f>
        <v/>
      </c>
      <c r="N6028" s="22"/>
    </row>
    <row r="6029" spans="1:14" x14ac:dyDescent="0.3">
      <c r="A6029" s="15" t="str">
        <f>IF(COUNTA($B6029:$E6029,$K6029)=0,"",IF(AND($B6029&lt;&gt;"",$C6029&lt;&gt;"",$D6029&lt;&gt;"",$E6029&lt;&gt;""),"TXS"&amp;TEXT(COUNTIFS($B$2:$B6029,"&lt;&gt;",$C$2:$C6029,"&lt;&gt;",$D$2:$D6029,"&lt;&gt;",$E$2:$E6029,"&lt;&gt;"),"00000"),""))</f>
        <v/>
      </c>
      <c r="N6029" s="22"/>
    </row>
    <row r="6030" spans="1:14" x14ac:dyDescent="0.3">
      <c r="A6030" s="15" t="str">
        <f>IF(COUNTA($B6030:$E6030,$K6030)=0,"",IF(AND($B6030&lt;&gt;"",$C6030&lt;&gt;"",$D6030&lt;&gt;"",$E6030&lt;&gt;""),"TXS"&amp;TEXT(COUNTIFS($B$2:$B6030,"&lt;&gt;",$C$2:$C6030,"&lt;&gt;",$D$2:$D6030,"&lt;&gt;",$E$2:$E6030,"&lt;&gt;"),"00000"),""))</f>
        <v/>
      </c>
      <c r="N6030" s="22"/>
    </row>
    <row r="6031" spans="1:14" x14ac:dyDescent="0.3">
      <c r="A6031" s="15" t="str">
        <f>IF(COUNTA($B6031:$E6031,$K6031)=0,"",IF(AND($B6031&lt;&gt;"",$C6031&lt;&gt;"",$D6031&lt;&gt;"",$E6031&lt;&gt;""),"TXS"&amp;TEXT(COUNTIFS($B$2:$B6031,"&lt;&gt;",$C$2:$C6031,"&lt;&gt;",$D$2:$D6031,"&lt;&gt;",$E$2:$E6031,"&lt;&gt;"),"00000"),""))</f>
        <v/>
      </c>
      <c r="N6031" s="22"/>
    </row>
    <row r="6032" spans="1:14" x14ac:dyDescent="0.3">
      <c r="A6032" s="15" t="str">
        <f>IF(COUNTA($B6032:$E6032,$K6032)=0,"",IF(AND($B6032&lt;&gt;"",$C6032&lt;&gt;"",$D6032&lt;&gt;"",$E6032&lt;&gt;""),"TXS"&amp;TEXT(COUNTIFS($B$2:$B6032,"&lt;&gt;",$C$2:$C6032,"&lt;&gt;",$D$2:$D6032,"&lt;&gt;",$E$2:$E6032,"&lt;&gt;"),"00000"),""))</f>
        <v/>
      </c>
      <c r="N6032" s="22"/>
    </row>
    <row r="6033" spans="1:14" x14ac:dyDescent="0.3">
      <c r="A6033" s="15" t="str">
        <f>IF(COUNTA($B6033:$E6033,$K6033)=0,"",IF(AND($B6033&lt;&gt;"",$C6033&lt;&gt;"",$D6033&lt;&gt;"",$E6033&lt;&gt;""),"TXS"&amp;TEXT(COUNTIFS($B$2:$B6033,"&lt;&gt;",$C$2:$C6033,"&lt;&gt;",$D$2:$D6033,"&lt;&gt;",$E$2:$E6033,"&lt;&gt;"),"00000"),""))</f>
        <v/>
      </c>
      <c r="N6033" s="22"/>
    </row>
    <row r="6034" spans="1:14" x14ac:dyDescent="0.3">
      <c r="A6034" s="15" t="str">
        <f>IF(COUNTA($B6034:$E6034,$K6034)=0,"",IF(AND($B6034&lt;&gt;"",$C6034&lt;&gt;"",$D6034&lt;&gt;"",$E6034&lt;&gt;""),"TXS"&amp;TEXT(COUNTIFS($B$2:$B6034,"&lt;&gt;",$C$2:$C6034,"&lt;&gt;",$D$2:$D6034,"&lt;&gt;",$E$2:$E6034,"&lt;&gt;"),"00000"),""))</f>
        <v/>
      </c>
      <c r="N6034" s="22"/>
    </row>
    <row r="6035" spans="1:14" x14ac:dyDescent="0.3">
      <c r="A6035" s="15" t="str">
        <f>IF(COUNTA($B6035:$E6035,$K6035)=0,"",IF(AND($B6035&lt;&gt;"",$C6035&lt;&gt;"",$D6035&lt;&gt;"",$E6035&lt;&gt;""),"TXS"&amp;TEXT(COUNTIFS($B$2:$B6035,"&lt;&gt;",$C$2:$C6035,"&lt;&gt;",$D$2:$D6035,"&lt;&gt;",$E$2:$E6035,"&lt;&gt;"),"00000"),""))</f>
        <v/>
      </c>
      <c r="N6035" s="22"/>
    </row>
    <row r="6036" spans="1:14" x14ac:dyDescent="0.3">
      <c r="A6036" s="15" t="str">
        <f>IF(COUNTA($B6036:$E6036,$K6036)=0,"",IF(AND($B6036&lt;&gt;"",$C6036&lt;&gt;"",$D6036&lt;&gt;"",$E6036&lt;&gt;""),"TXS"&amp;TEXT(COUNTIFS($B$2:$B6036,"&lt;&gt;",$C$2:$C6036,"&lt;&gt;",$D$2:$D6036,"&lt;&gt;",$E$2:$E6036,"&lt;&gt;"),"00000"),""))</f>
        <v/>
      </c>
      <c r="N6036" s="22"/>
    </row>
    <row r="6037" spans="1:14" x14ac:dyDescent="0.3">
      <c r="A6037" s="15" t="str">
        <f>IF(COUNTA($B6037:$E6037,$K6037)=0,"",IF(AND($B6037&lt;&gt;"",$C6037&lt;&gt;"",$D6037&lt;&gt;"",$E6037&lt;&gt;""),"TXS"&amp;TEXT(COUNTIFS($B$2:$B6037,"&lt;&gt;",$C$2:$C6037,"&lt;&gt;",$D$2:$D6037,"&lt;&gt;",$E$2:$E6037,"&lt;&gt;"),"00000"),""))</f>
        <v/>
      </c>
      <c r="N6037" s="22"/>
    </row>
    <row r="6038" spans="1:14" x14ac:dyDescent="0.3">
      <c r="A6038" s="15" t="str">
        <f>IF(COUNTA($B6038:$E6038,$K6038)=0,"",IF(AND($B6038&lt;&gt;"",$C6038&lt;&gt;"",$D6038&lt;&gt;"",$E6038&lt;&gt;""),"TXS"&amp;TEXT(COUNTIFS($B$2:$B6038,"&lt;&gt;",$C$2:$C6038,"&lt;&gt;",$D$2:$D6038,"&lt;&gt;",$E$2:$E6038,"&lt;&gt;"),"00000"),""))</f>
        <v/>
      </c>
      <c r="N6038" s="22"/>
    </row>
    <row r="6039" spans="1:14" x14ac:dyDescent="0.3">
      <c r="A6039" s="15" t="str">
        <f>IF(COUNTA($B6039:$E6039,$K6039)=0,"",IF(AND($B6039&lt;&gt;"",$C6039&lt;&gt;"",$D6039&lt;&gt;"",$E6039&lt;&gt;""),"TXS"&amp;TEXT(COUNTIFS($B$2:$B6039,"&lt;&gt;",$C$2:$C6039,"&lt;&gt;",$D$2:$D6039,"&lt;&gt;",$E$2:$E6039,"&lt;&gt;"),"00000"),""))</f>
        <v/>
      </c>
      <c r="N6039" s="22"/>
    </row>
    <row r="6040" spans="1:14" x14ac:dyDescent="0.3">
      <c r="A6040" s="15" t="str">
        <f>IF(COUNTA($B6040:$E6040,$K6040)=0,"",IF(AND($B6040&lt;&gt;"",$C6040&lt;&gt;"",$D6040&lt;&gt;"",$E6040&lt;&gt;""),"TXS"&amp;TEXT(COUNTIFS($B$2:$B6040,"&lt;&gt;",$C$2:$C6040,"&lt;&gt;",$D$2:$D6040,"&lt;&gt;",$E$2:$E6040,"&lt;&gt;"),"00000"),""))</f>
        <v/>
      </c>
      <c r="N6040" s="22"/>
    </row>
    <row r="6041" spans="1:14" x14ac:dyDescent="0.3">
      <c r="A6041" s="15" t="str">
        <f>IF(COUNTA($B6041:$E6041,$K6041)=0,"",IF(AND($B6041&lt;&gt;"",$C6041&lt;&gt;"",$D6041&lt;&gt;"",$E6041&lt;&gt;""),"TXS"&amp;TEXT(COUNTIFS($B$2:$B6041,"&lt;&gt;",$C$2:$C6041,"&lt;&gt;",$D$2:$D6041,"&lt;&gt;",$E$2:$E6041,"&lt;&gt;"),"00000"),""))</f>
        <v/>
      </c>
      <c r="N6041" s="22"/>
    </row>
    <row r="6042" spans="1:14" x14ac:dyDescent="0.3">
      <c r="A6042" s="15" t="str">
        <f>IF(COUNTA($B6042:$E6042,$K6042)=0,"",IF(AND($B6042&lt;&gt;"",$C6042&lt;&gt;"",$D6042&lt;&gt;"",$E6042&lt;&gt;""),"TXS"&amp;TEXT(COUNTIFS($B$2:$B6042,"&lt;&gt;",$C$2:$C6042,"&lt;&gt;",$D$2:$D6042,"&lt;&gt;",$E$2:$E6042,"&lt;&gt;"),"00000"),""))</f>
        <v/>
      </c>
      <c r="N6042" s="22"/>
    </row>
    <row r="6043" spans="1:14" x14ac:dyDescent="0.3">
      <c r="A6043" s="15" t="str">
        <f>IF(COUNTA($B6043:$E6043,$K6043)=0,"",IF(AND($B6043&lt;&gt;"",$C6043&lt;&gt;"",$D6043&lt;&gt;"",$E6043&lt;&gt;""),"TXS"&amp;TEXT(COUNTIFS($B$2:$B6043,"&lt;&gt;",$C$2:$C6043,"&lt;&gt;",$D$2:$D6043,"&lt;&gt;",$E$2:$E6043,"&lt;&gt;"),"00000"),""))</f>
        <v/>
      </c>
      <c r="N6043" s="22"/>
    </row>
    <row r="6044" spans="1:14" x14ac:dyDescent="0.3">
      <c r="A6044" s="15" t="str">
        <f>IF(COUNTA($B6044:$E6044,$K6044)=0,"",IF(AND($B6044&lt;&gt;"",$C6044&lt;&gt;"",$D6044&lt;&gt;"",$E6044&lt;&gt;""),"TXS"&amp;TEXT(COUNTIFS($B$2:$B6044,"&lt;&gt;",$C$2:$C6044,"&lt;&gt;",$D$2:$D6044,"&lt;&gt;",$E$2:$E6044,"&lt;&gt;"),"00000"),""))</f>
        <v/>
      </c>
      <c r="N6044" s="22"/>
    </row>
    <row r="6045" spans="1:14" x14ac:dyDescent="0.3">
      <c r="A6045" s="15" t="str">
        <f>IF(COUNTA($B6045:$E6045,$K6045)=0,"",IF(AND($B6045&lt;&gt;"",$C6045&lt;&gt;"",$D6045&lt;&gt;"",$E6045&lt;&gt;""),"TXS"&amp;TEXT(COUNTIFS($B$2:$B6045,"&lt;&gt;",$C$2:$C6045,"&lt;&gt;",$D$2:$D6045,"&lt;&gt;",$E$2:$E6045,"&lt;&gt;"),"00000"),""))</f>
        <v/>
      </c>
      <c r="N6045" s="22"/>
    </row>
    <row r="6046" spans="1:14" x14ac:dyDescent="0.3">
      <c r="A6046" s="15" t="str">
        <f>IF(COUNTA($B6046:$E6046,$K6046)=0,"",IF(AND($B6046&lt;&gt;"",$C6046&lt;&gt;"",$D6046&lt;&gt;"",$E6046&lt;&gt;""),"TXS"&amp;TEXT(COUNTIFS($B$2:$B6046,"&lt;&gt;",$C$2:$C6046,"&lt;&gt;",$D$2:$D6046,"&lt;&gt;",$E$2:$E6046,"&lt;&gt;"),"00000"),""))</f>
        <v/>
      </c>
      <c r="N6046" s="22"/>
    </row>
    <row r="6047" spans="1:14" x14ac:dyDescent="0.3">
      <c r="A6047" s="15" t="str">
        <f>IF(COUNTA($B6047:$E6047,$K6047)=0,"",IF(AND($B6047&lt;&gt;"",$C6047&lt;&gt;"",$D6047&lt;&gt;"",$E6047&lt;&gt;""),"TXS"&amp;TEXT(COUNTIFS($B$2:$B6047,"&lt;&gt;",$C$2:$C6047,"&lt;&gt;",$D$2:$D6047,"&lt;&gt;",$E$2:$E6047,"&lt;&gt;"),"00000"),""))</f>
        <v/>
      </c>
      <c r="N6047" s="22"/>
    </row>
    <row r="6048" spans="1:14" x14ac:dyDescent="0.3">
      <c r="A6048" s="15" t="str">
        <f>IF(COUNTA($B6048:$E6048,$K6048)=0,"",IF(AND($B6048&lt;&gt;"",$C6048&lt;&gt;"",$D6048&lt;&gt;"",$E6048&lt;&gt;""),"TXS"&amp;TEXT(COUNTIFS($B$2:$B6048,"&lt;&gt;",$C$2:$C6048,"&lt;&gt;",$D$2:$D6048,"&lt;&gt;",$E$2:$E6048,"&lt;&gt;"),"00000"),""))</f>
        <v/>
      </c>
      <c r="N6048" s="22"/>
    </row>
    <row r="6049" spans="1:14" x14ac:dyDescent="0.3">
      <c r="A6049" s="15" t="str">
        <f>IF(COUNTA($B6049:$E6049,$K6049)=0,"",IF(AND($B6049&lt;&gt;"",$C6049&lt;&gt;"",$D6049&lt;&gt;"",$E6049&lt;&gt;""),"TXS"&amp;TEXT(COUNTIFS($B$2:$B6049,"&lt;&gt;",$C$2:$C6049,"&lt;&gt;",$D$2:$D6049,"&lt;&gt;",$E$2:$E6049,"&lt;&gt;"),"00000"),""))</f>
        <v/>
      </c>
      <c r="N6049" s="22"/>
    </row>
    <row r="6050" spans="1:14" x14ac:dyDescent="0.3">
      <c r="A6050" s="15" t="str">
        <f>IF(COUNTA($B6050:$E6050,$K6050)=0,"",IF(AND($B6050&lt;&gt;"",$C6050&lt;&gt;"",$D6050&lt;&gt;"",$E6050&lt;&gt;""),"TXS"&amp;TEXT(COUNTIFS($B$2:$B6050,"&lt;&gt;",$C$2:$C6050,"&lt;&gt;",$D$2:$D6050,"&lt;&gt;",$E$2:$E6050,"&lt;&gt;"),"00000"),""))</f>
        <v/>
      </c>
      <c r="N6050" s="22"/>
    </row>
    <row r="6051" spans="1:14" x14ac:dyDescent="0.3">
      <c r="A6051" s="15" t="str">
        <f>IF(COUNTA($B6051:$E6051,$K6051)=0,"",IF(AND($B6051&lt;&gt;"",$C6051&lt;&gt;"",$D6051&lt;&gt;"",$E6051&lt;&gt;""),"TXS"&amp;TEXT(COUNTIFS($B$2:$B6051,"&lt;&gt;",$C$2:$C6051,"&lt;&gt;",$D$2:$D6051,"&lt;&gt;",$E$2:$E6051,"&lt;&gt;"),"00000"),""))</f>
        <v/>
      </c>
      <c r="N6051" s="22"/>
    </row>
    <row r="6052" spans="1:14" x14ac:dyDescent="0.3">
      <c r="A6052" s="15" t="str">
        <f>IF(COUNTA($B6052:$E6052,$K6052)=0,"",IF(AND($B6052&lt;&gt;"",$C6052&lt;&gt;"",$D6052&lt;&gt;"",$E6052&lt;&gt;""),"TXS"&amp;TEXT(COUNTIFS($B$2:$B6052,"&lt;&gt;",$C$2:$C6052,"&lt;&gt;",$D$2:$D6052,"&lt;&gt;",$E$2:$E6052,"&lt;&gt;"),"00000"),""))</f>
        <v/>
      </c>
      <c r="N6052" s="22"/>
    </row>
    <row r="6053" spans="1:14" x14ac:dyDescent="0.3">
      <c r="A6053" s="15" t="str">
        <f>IF(COUNTA($B6053:$E6053,$K6053)=0,"",IF(AND($B6053&lt;&gt;"",$C6053&lt;&gt;"",$D6053&lt;&gt;"",$E6053&lt;&gt;""),"TXS"&amp;TEXT(COUNTIFS($B$2:$B6053,"&lt;&gt;",$C$2:$C6053,"&lt;&gt;",$D$2:$D6053,"&lt;&gt;",$E$2:$E6053,"&lt;&gt;"),"00000"),""))</f>
        <v/>
      </c>
      <c r="N6053" s="22"/>
    </row>
    <row r="6054" spans="1:14" x14ac:dyDescent="0.3">
      <c r="A6054" s="15" t="str">
        <f>IF(COUNTA($B6054:$E6054,$K6054)=0,"",IF(AND($B6054&lt;&gt;"",$C6054&lt;&gt;"",$D6054&lt;&gt;"",$E6054&lt;&gt;""),"TXS"&amp;TEXT(COUNTIFS($B$2:$B6054,"&lt;&gt;",$C$2:$C6054,"&lt;&gt;",$D$2:$D6054,"&lt;&gt;",$E$2:$E6054,"&lt;&gt;"),"00000"),""))</f>
        <v/>
      </c>
      <c r="N6054" s="22"/>
    </row>
    <row r="6055" spans="1:14" x14ac:dyDescent="0.3">
      <c r="A6055" s="15" t="str">
        <f>IF(COUNTA($B6055:$E6055,$K6055)=0,"",IF(AND($B6055&lt;&gt;"",$C6055&lt;&gt;"",$D6055&lt;&gt;"",$E6055&lt;&gt;""),"TXS"&amp;TEXT(COUNTIFS($B$2:$B6055,"&lt;&gt;",$C$2:$C6055,"&lt;&gt;",$D$2:$D6055,"&lt;&gt;",$E$2:$E6055,"&lt;&gt;"),"00000"),""))</f>
        <v/>
      </c>
      <c r="N6055" s="22"/>
    </row>
    <row r="6056" spans="1:14" x14ac:dyDescent="0.3">
      <c r="A6056" s="15" t="str">
        <f>IF(COUNTA($B6056:$E6056,$K6056)=0,"",IF(AND($B6056&lt;&gt;"",$C6056&lt;&gt;"",$D6056&lt;&gt;"",$E6056&lt;&gt;""),"TXS"&amp;TEXT(COUNTIFS($B$2:$B6056,"&lt;&gt;",$C$2:$C6056,"&lt;&gt;",$D$2:$D6056,"&lt;&gt;",$E$2:$E6056,"&lt;&gt;"),"00000"),""))</f>
        <v/>
      </c>
      <c r="N6056" s="22"/>
    </row>
    <row r="6057" spans="1:14" x14ac:dyDescent="0.3">
      <c r="A6057" s="15" t="str">
        <f>IF(COUNTA($B6057:$E6057,$K6057)=0,"",IF(AND($B6057&lt;&gt;"",$C6057&lt;&gt;"",$D6057&lt;&gt;"",$E6057&lt;&gt;""),"TXS"&amp;TEXT(COUNTIFS($B$2:$B6057,"&lt;&gt;",$C$2:$C6057,"&lt;&gt;",$D$2:$D6057,"&lt;&gt;",$E$2:$E6057,"&lt;&gt;"),"00000"),""))</f>
        <v/>
      </c>
      <c r="N6057" s="22"/>
    </row>
    <row r="6058" spans="1:14" x14ac:dyDescent="0.3">
      <c r="A6058" s="15" t="str">
        <f>IF(COUNTA($B6058:$E6058,$K6058)=0,"",IF(AND($B6058&lt;&gt;"",$C6058&lt;&gt;"",$D6058&lt;&gt;"",$E6058&lt;&gt;""),"TXS"&amp;TEXT(COUNTIFS($B$2:$B6058,"&lt;&gt;",$C$2:$C6058,"&lt;&gt;",$D$2:$D6058,"&lt;&gt;",$E$2:$E6058,"&lt;&gt;"),"00000"),""))</f>
        <v/>
      </c>
      <c r="N6058" s="22"/>
    </row>
    <row r="6059" spans="1:14" x14ac:dyDescent="0.3">
      <c r="A6059" s="15" t="str">
        <f>IF(COUNTA($B6059:$E6059,$K6059)=0,"",IF(AND($B6059&lt;&gt;"",$C6059&lt;&gt;"",$D6059&lt;&gt;"",$E6059&lt;&gt;""),"TXS"&amp;TEXT(COUNTIFS($B$2:$B6059,"&lt;&gt;",$C$2:$C6059,"&lt;&gt;",$D$2:$D6059,"&lt;&gt;",$E$2:$E6059,"&lt;&gt;"),"00000"),""))</f>
        <v/>
      </c>
      <c r="N6059" s="22"/>
    </row>
    <row r="6060" spans="1:14" x14ac:dyDescent="0.3">
      <c r="A6060" s="15" t="str">
        <f>IF(COUNTA($B6060:$E6060,$K6060)=0,"",IF(AND($B6060&lt;&gt;"",$C6060&lt;&gt;"",$D6060&lt;&gt;"",$E6060&lt;&gt;""),"TXS"&amp;TEXT(COUNTIFS($B$2:$B6060,"&lt;&gt;",$C$2:$C6060,"&lt;&gt;",$D$2:$D6060,"&lt;&gt;",$E$2:$E6060,"&lt;&gt;"),"00000"),""))</f>
        <v/>
      </c>
      <c r="N6060" s="22"/>
    </row>
    <row r="6061" spans="1:14" x14ac:dyDescent="0.3">
      <c r="A6061" s="15" t="str">
        <f>IF(COUNTA($B6061:$E6061,$K6061)=0,"",IF(AND($B6061&lt;&gt;"",$C6061&lt;&gt;"",$D6061&lt;&gt;"",$E6061&lt;&gt;""),"TXS"&amp;TEXT(COUNTIFS($B$2:$B6061,"&lt;&gt;",$C$2:$C6061,"&lt;&gt;",$D$2:$D6061,"&lt;&gt;",$E$2:$E6061,"&lt;&gt;"),"00000"),""))</f>
        <v/>
      </c>
      <c r="N6061" s="22"/>
    </row>
    <row r="6062" spans="1:14" x14ac:dyDescent="0.3">
      <c r="A6062" s="15" t="str">
        <f>IF(COUNTA($B6062:$E6062,$K6062)=0,"",IF(AND($B6062&lt;&gt;"",$C6062&lt;&gt;"",$D6062&lt;&gt;"",$E6062&lt;&gt;""),"TXS"&amp;TEXT(COUNTIFS($B$2:$B6062,"&lt;&gt;",$C$2:$C6062,"&lt;&gt;",$D$2:$D6062,"&lt;&gt;",$E$2:$E6062,"&lt;&gt;"),"00000"),""))</f>
        <v/>
      </c>
      <c r="N6062" s="22"/>
    </row>
    <row r="6063" spans="1:14" x14ac:dyDescent="0.3">
      <c r="A6063" s="15" t="str">
        <f>IF(COUNTA($B6063:$E6063,$K6063)=0,"",IF(AND($B6063&lt;&gt;"",$C6063&lt;&gt;"",$D6063&lt;&gt;"",$E6063&lt;&gt;""),"TXS"&amp;TEXT(COUNTIFS($B$2:$B6063,"&lt;&gt;",$C$2:$C6063,"&lt;&gt;",$D$2:$D6063,"&lt;&gt;",$E$2:$E6063,"&lt;&gt;"),"00000"),""))</f>
        <v/>
      </c>
      <c r="N6063" s="22"/>
    </row>
    <row r="6064" spans="1:14" x14ac:dyDescent="0.3">
      <c r="A6064" s="15" t="str">
        <f>IF(COUNTA($B6064:$E6064,$K6064)=0,"",IF(AND($B6064&lt;&gt;"",$C6064&lt;&gt;"",$D6064&lt;&gt;"",$E6064&lt;&gt;""),"TXS"&amp;TEXT(COUNTIFS($B$2:$B6064,"&lt;&gt;",$C$2:$C6064,"&lt;&gt;",$D$2:$D6064,"&lt;&gt;",$E$2:$E6064,"&lt;&gt;"),"00000"),""))</f>
        <v/>
      </c>
      <c r="N6064" s="22"/>
    </row>
    <row r="6065" spans="1:14" x14ac:dyDescent="0.3">
      <c r="A6065" s="15" t="str">
        <f>IF(COUNTA($B6065:$E6065,$K6065)=0,"",IF(AND($B6065&lt;&gt;"",$C6065&lt;&gt;"",$D6065&lt;&gt;"",$E6065&lt;&gt;""),"TXS"&amp;TEXT(COUNTIFS($B$2:$B6065,"&lt;&gt;",$C$2:$C6065,"&lt;&gt;",$D$2:$D6065,"&lt;&gt;",$E$2:$E6065,"&lt;&gt;"),"00000"),""))</f>
        <v/>
      </c>
      <c r="N6065" s="22"/>
    </row>
    <row r="6066" spans="1:14" x14ac:dyDescent="0.3">
      <c r="A6066" s="15" t="str">
        <f>IF(COUNTA($B6066:$E6066,$K6066)=0,"",IF(AND($B6066&lt;&gt;"",$C6066&lt;&gt;"",$D6066&lt;&gt;"",$E6066&lt;&gt;""),"TXS"&amp;TEXT(COUNTIFS($B$2:$B6066,"&lt;&gt;",$C$2:$C6066,"&lt;&gt;",$D$2:$D6066,"&lt;&gt;",$E$2:$E6066,"&lt;&gt;"),"00000"),""))</f>
        <v/>
      </c>
      <c r="N6066" s="22"/>
    </row>
    <row r="6067" spans="1:14" x14ac:dyDescent="0.3">
      <c r="A6067" s="15" t="str">
        <f>IF(COUNTA($B6067:$E6067,$K6067)=0,"",IF(AND($B6067&lt;&gt;"",$C6067&lt;&gt;"",$D6067&lt;&gt;"",$E6067&lt;&gt;""),"TXS"&amp;TEXT(COUNTIFS($B$2:$B6067,"&lt;&gt;",$C$2:$C6067,"&lt;&gt;",$D$2:$D6067,"&lt;&gt;",$E$2:$E6067,"&lt;&gt;"),"00000"),""))</f>
        <v/>
      </c>
      <c r="N6067" s="22"/>
    </row>
    <row r="6068" spans="1:14" x14ac:dyDescent="0.3">
      <c r="A6068" s="15" t="str">
        <f>IF(COUNTA($B6068:$E6068,$K6068)=0,"",IF(AND($B6068&lt;&gt;"",$C6068&lt;&gt;"",$D6068&lt;&gt;"",$E6068&lt;&gt;""),"TXS"&amp;TEXT(COUNTIFS($B$2:$B6068,"&lt;&gt;",$C$2:$C6068,"&lt;&gt;",$D$2:$D6068,"&lt;&gt;",$E$2:$E6068,"&lt;&gt;"),"00000"),""))</f>
        <v/>
      </c>
      <c r="N6068" s="22"/>
    </row>
    <row r="6069" spans="1:14" x14ac:dyDescent="0.3">
      <c r="A6069" s="15" t="str">
        <f>IF(COUNTA($B6069:$E6069,$K6069)=0,"",IF(AND($B6069&lt;&gt;"",$C6069&lt;&gt;"",$D6069&lt;&gt;"",$E6069&lt;&gt;""),"TXS"&amp;TEXT(COUNTIFS($B$2:$B6069,"&lt;&gt;",$C$2:$C6069,"&lt;&gt;",$D$2:$D6069,"&lt;&gt;",$E$2:$E6069,"&lt;&gt;"),"00000"),""))</f>
        <v/>
      </c>
      <c r="N6069" s="22"/>
    </row>
    <row r="6070" spans="1:14" x14ac:dyDescent="0.3">
      <c r="A6070" s="15" t="str">
        <f>IF(COUNTA($B6070:$E6070,$K6070)=0,"",IF(AND($B6070&lt;&gt;"",$C6070&lt;&gt;"",$D6070&lt;&gt;"",$E6070&lt;&gt;""),"TXS"&amp;TEXT(COUNTIFS($B$2:$B6070,"&lt;&gt;",$C$2:$C6070,"&lt;&gt;",$D$2:$D6070,"&lt;&gt;",$E$2:$E6070,"&lt;&gt;"),"00000"),""))</f>
        <v/>
      </c>
      <c r="N6070" s="22"/>
    </row>
    <row r="6071" spans="1:14" x14ac:dyDescent="0.3">
      <c r="A6071" s="15" t="str">
        <f>IF(COUNTA($B6071:$E6071,$K6071)=0,"",IF(AND($B6071&lt;&gt;"",$C6071&lt;&gt;"",$D6071&lt;&gt;"",$E6071&lt;&gt;""),"TXS"&amp;TEXT(COUNTIFS($B$2:$B6071,"&lt;&gt;",$C$2:$C6071,"&lt;&gt;",$D$2:$D6071,"&lt;&gt;",$E$2:$E6071,"&lt;&gt;"),"00000"),""))</f>
        <v/>
      </c>
      <c r="N6071" s="22"/>
    </row>
    <row r="6072" spans="1:14" x14ac:dyDescent="0.3">
      <c r="A6072" s="15" t="str">
        <f>IF(COUNTA($B6072:$E6072,$K6072)=0,"",IF(AND($B6072&lt;&gt;"",$C6072&lt;&gt;"",$D6072&lt;&gt;"",$E6072&lt;&gt;""),"TXS"&amp;TEXT(COUNTIFS($B$2:$B6072,"&lt;&gt;",$C$2:$C6072,"&lt;&gt;",$D$2:$D6072,"&lt;&gt;",$E$2:$E6072,"&lt;&gt;"),"00000"),""))</f>
        <v/>
      </c>
      <c r="N6072" s="22"/>
    </row>
    <row r="6073" spans="1:14" x14ac:dyDescent="0.3">
      <c r="A6073" s="15" t="str">
        <f>IF(COUNTA($B6073:$E6073,$K6073)=0,"",IF(AND($B6073&lt;&gt;"",$C6073&lt;&gt;"",$D6073&lt;&gt;"",$E6073&lt;&gt;""),"TXS"&amp;TEXT(COUNTIFS($B$2:$B6073,"&lt;&gt;",$C$2:$C6073,"&lt;&gt;",$D$2:$D6073,"&lt;&gt;",$E$2:$E6073,"&lt;&gt;"),"00000"),""))</f>
        <v/>
      </c>
      <c r="N6073" s="22"/>
    </row>
    <row r="6074" spans="1:14" x14ac:dyDescent="0.3">
      <c r="A6074" s="15" t="str">
        <f>IF(COUNTA($B6074:$E6074,$K6074)=0,"",IF(AND($B6074&lt;&gt;"",$C6074&lt;&gt;"",$D6074&lt;&gt;"",$E6074&lt;&gt;""),"TXS"&amp;TEXT(COUNTIFS($B$2:$B6074,"&lt;&gt;",$C$2:$C6074,"&lt;&gt;",$D$2:$D6074,"&lt;&gt;",$E$2:$E6074,"&lt;&gt;"),"00000"),""))</f>
        <v/>
      </c>
      <c r="N6074" s="22"/>
    </row>
    <row r="6075" spans="1:14" x14ac:dyDescent="0.3">
      <c r="A6075" s="15" t="str">
        <f>IF(COUNTA($B6075:$E6075,$K6075)=0,"",IF(AND($B6075&lt;&gt;"",$C6075&lt;&gt;"",$D6075&lt;&gt;"",$E6075&lt;&gt;""),"TXS"&amp;TEXT(COUNTIFS($B$2:$B6075,"&lt;&gt;",$C$2:$C6075,"&lt;&gt;",$D$2:$D6075,"&lt;&gt;",$E$2:$E6075,"&lt;&gt;"),"00000"),""))</f>
        <v/>
      </c>
      <c r="N6075" s="22"/>
    </row>
    <row r="6076" spans="1:14" x14ac:dyDescent="0.3">
      <c r="A6076" s="15" t="str">
        <f>IF(COUNTA($B6076:$E6076,$K6076)=0,"",IF(AND($B6076&lt;&gt;"",$C6076&lt;&gt;"",$D6076&lt;&gt;"",$E6076&lt;&gt;""),"TXS"&amp;TEXT(COUNTIFS($B$2:$B6076,"&lt;&gt;",$C$2:$C6076,"&lt;&gt;",$D$2:$D6076,"&lt;&gt;",$E$2:$E6076,"&lt;&gt;"),"00000"),""))</f>
        <v/>
      </c>
      <c r="N6076" s="22"/>
    </row>
    <row r="6077" spans="1:14" x14ac:dyDescent="0.3">
      <c r="A6077" s="15" t="str">
        <f>IF(COUNTA($B6077:$E6077,$K6077)=0,"",IF(AND($B6077&lt;&gt;"",$C6077&lt;&gt;"",$D6077&lt;&gt;"",$E6077&lt;&gt;""),"TXS"&amp;TEXT(COUNTIFS($B$2:$B6077,"&lt;&gt;",$C$2:$C6077,"&lt;&gt;",$D$2:$D6077,"&lt;&gt;",$E$2:$E6077,"&lt;&gt;"),"00000"),""))</f>
        <v/>
      </c>
      <c r="N6077" s="22"/>
    </row>
    <row r="6078" spans="1:14" x14ac:dyDescent="0.3">
      <c r="A6078" s="15" t="str">
        <f>IF(COUNTA($B6078:$E6078,$K6078)=0,"",IF(AND($B6078&lt;&gt;"",$C6078&lt;&gt;"",$D6078&lt;&gt;"",$E6078&lt;&gt;""),"TXS"&amp;TEXT(COUNTIFS($B$2:$B6078,"&lt;&gt;",$C$2:$C6078,"&lt;&gt;",$D$2:$D6078,"&lt;&gt;",$E$2:$E6078,"&lt;&gt;"),"00000"),""))</f>
        <v/>
      </c>
      <c r="N6078" s="22"/>
    </row>
    <row r="6079" spans="1:14" x14ac:dyDescent="0.3">
      <c r="A6079" s="15" t="str">
        <f>IF(COUNTA($B6079:$E6079,$K6079)=0,"",IF(AND($B6079&lt;&gt;"",$C6079&lt;&gt;"",$D6079&lt;&gt;"",$E6079&lt;&gt;""),"TXS"&amp;TEXT(COUNTIFS($B$2:$B6079,"&lt;&gt;",$C$2:$C6079,"&lt;&gt;",$D$2:$D6079,"&lt;&gt;",$E$2:$E6079,"&lt;&gt;"),"00000"),""))</f>
        <v/>
      </c>
      <c r="N6079" s="22"/>
    </row>
    <row r="6080" spans="1:14" x14ac:dyDescent="0.3">
      <c r="A6080" s="15" t="str">
        <f>IF(COUNTA($B6080:$E6080,$K6080)=0,"",IF(AND($B6080&lt;&gt;"",$C6080&lt;&gt;"",$D6080&lt;&gt;"",$E6080&lt;&gt;""),"TXS"&amp;TEXT(COUNTIFS($B$2:$B6080,"&lt;&gt;",$C$2:$C6080,"&lt;&gt;",$D$2:$D6080,"&lt;&gt;",$E$2:$E6080,"&lt;&gt;"),"00000"),""))</f>
        <v/>
      </c>
      <c r="N6080" s="22"/>
    </row>
    <row r="6081" spans="1:14" x14ac:dyDescent="0.3">
      <c r="A6081" s="15" t="str">
        <f>IF(COUNTA($B6081:$E6081,$K6081)=0,"",IF(AND($B6081&lt;&gt;"",$C6081&lt;&gt;"",$D6081&lt;&gt;"",$E6081&lt;&gt;""),"TXS"&amp;TEXT(COUNTIFS($B$2:$B6081,"&lt;&gt;",$C$2:$C6081,"&lt;&gt;",$D$2:$D6081,"&lt;&gt;",$E$2:$E6081,"&lt;&gt;"),"00000"),""))</f>
        <v/>
      </c>
      <c r="N6081" s="22"/>
    </row>
    <row r="6082" spans="1:14" x14ac:dyDescent="0.3">
      <c r="A6082" s="15" t="str">
        <f>IF(COUNTA($B6082:$E6082,$K6082)=0,"",IF(AND($B6082&lt;&gt;"",$C6082&lt;&gt;"",$D6082&lt;&gt;"",$E6082&lt;&gt;""),"TXS"&amp;TEXT(COUNTIFS($B$2:$B6082,"&lt;&gt;",$C$2:$C6082,"&lt;&gt;",$D$2:$D6082,"&lt;&gt;",$E$2:$E6082,"&lt;&gt;"),"00000"),""))</f>
        <v/>
      </c>
      <c r="N6082" s="22"/>
    </row>
    <row r="6083" spans="1:14" x14ac:dyDescent="0.3">
      <c r="A6083" s="15" t="str">
        <f>IF(COUNTA($B6083:$E6083,$K6083)=0,"",IF(AND($B6083&lt;&gt;"",$C6083&lt;&gt;"",$D6083&lt;&gt;"",$E6083&lt;&gt;""),"TXS"&amp;TEXT(COUNTIFS($B$2:$B6083,"&lt;&gt;",$C$2:$C6083,"&lt;&gt;",$D$2:$D6083,"&lt;&gt;",$E$2:$E6083,"&lt;&gt;"),"00000"),""))</f>
        <v/>
      </c>
      <c r="N6083" s="22"/>
    </row>
    <row r="6084" spans="1:14" x14ac:dyDescent="0.3">
      <c r="A6084" s="15" t="str">
        <f>IF(COUNTA($B6084:$E6084,$K6084)=0,"",IF(AND($B6084&lt;&gt;"",$C6084&lt;&gt;"",$D6084&lt;&gt;"",$E6084&lt;&gt;""),"TXS"&amp;TEXT(COUNTIFS($B$2:$B6084,"&lt;&gt;",$C$2:$C6084,"&lt;&gt;",$D$2:$D6084,"&lt;&gt;",$E$2:$E6084,"&lt;&gt;"),"00000"),""))</f>
        <v/>
      </c>
      <c r="N6084" s="22"/>
    </row>
    <row r="6085" spans="1:14" x14ac:dyDescent="0.3">
      <c r="A6085" s="15" t="str">
        <f>IF(COUNTA($B6085:$E6085,$K6085)=0,"",IF(AND($B6085&lt;&gt;"",$C6085&lt;&gt;"",$D6085&lt;&gt;"",$E6085&lt;&gt;""),"TXS"&amp;TEXT(COUNTIFS($B$2:$B6085,"&lt;&gt;",$C$2:$C6085,"&lt;&gt;",$D$2:$D6085,"&lt;&gt;",$E$2:$E6085,"&lt;&gt;"),"00000"),""))</f>
        <v/>
      </c>
      <c r="N6085" s="22"/>
    </row>
    <row r="6086" spans="1:14" x14ac:dyDescent="0.3">
      <c r="A6086" s="15" t="str">
        <f>IF(COUNTA($B6086:$E6086,$K6086)=0,"",IF(AND($B6086&lt;&gt;"",$C6086&lt;&gt;"",$D6086&lt;&gt;"",$E6086&lt;&gt;""),"TXS"&amp;TEXT(COUNTIFS($B$2:$B6086,"&lt;&gt;",$C$2:$C6086,"&lt;&gt;",$D$2:$D6086,"&lt;&gt;",$E$2:$E6086,"&lt;&gt;"),"00000"),""))</f>
        <v/>
      </c>
      <c r="N6086" s="22"/>
    </row>
    <row r="6087" spans="1:14" x14ac:dyDescent="0.3">
      <c r="A6087" s="15" t="str">
        <f>IF(COUNTA($B6087:$E6087,$K6087)=0,"",IF(AND($B6087&lt;&gt;"",$C6087&lt;&gt;"",$D6087&lt;&gt;"",$E6087&lt;&gt;""),"TXS"&amp;TEXT(COUNTIFS($B$2:$B6087,"&lt;&gt;",$C$2:$C6087,"&lt;&gt;",$D$2:$D6087,"&lt;&gt;",$E$2:$E6087,"&lt;&gt;"),"00000"),""))</f>
        <v/>
      </c>
      <c r="N6087" s="22"/>
    </row>
    <row r="6088" spans="1:14" x14ac:dyDescent="0.3">
      <c r="A6088" s="15" t="str">
        <f>IF(COUNTA($B6088:$E6088,$K6088)=0,"",IF(AND($B6088&lt;&gt;"",$C6088&lt;&gt;"",$D6088&lt;&gt;"",$E6088&lt;&gt;""),"TXS"&amp;TEXT(COUNTIFS($B$2:$B6088,"&lt;&gt;",$C$2:$C6088,"&lt;&gt;",$D$2:$D6088,"&lt;&gt;",$E$2:$E6088,"&lt;&gt;"),"00000"),""))</f>
        <v/>
      </c>
      <c r="N6088" s="22"/>
    </row>
    <row r="6089" spans="1:14" x14ac:dyDescent="0.3">
      <c r="A6089" s="15" t="str">
        <f>IF(COUNTA($B6089:$E6089,$K6089)=0,"",IF(AND($B6089&lt;&gt;"",$C6089&lt;&gt;"",$D6089&lt;&gt;"",$E6089&lt;&gt;""),"TXS"&amp;TEXT(COUNTIFS($B$2:$B6089,"&lt;&gt;",$C$2:$C6089,"&lt;&gt;",$D$2:$D6089,"&lt;&gt;",$E$2:$E6089,"&lt;&gt;"),"00000"),""))</f>
        <v/>
      </c>
      <c r="N6089" s="22"/>
    </row>
    <row r="6090" spans="1:14" x14ac:dyDescent="0.3">
      <c r="A6090" s="15" t="str">
        <f>IF(COUNTA($B6090:$E6090,$K6090)=0,"",IF(AND($B6090&lt;&gt;"",$C6090&lt;&gt;"",$D6090&lt;&gt;"",$E6090&lt;&gt;""),"TXS"&amp;TEXT(COUNTIFS($B$2:$B6090,"&lt;&gt;",$C$2:$C6090,"&lt;&gt;",$D$2:$D6090,"&lt;&gt;",$E$2:$E6090,"&lt;&gt;"),"00000"),""))</f>
        <v/>
      </c>
      <c r="N6090" s="22"/>
    </row>
    <row r="6091" spans="1:14" x14ac:dyDescent="0.3">
      <c r="A6091" s="15" t="str">
        <f>IF(COUNTA($B6091:$E6091,$K6091)=0,"",IF(AND($B6091&lt;&gt;"",$C6091&lt;&gt;"",$D6091&lt;&gt;"",$E6091&lt;&gt;""),"TXS"&amp;TEXT(COUNTIFS($B$2:$B6091,"&lt;&gt;",$C$2:$C6091,"&lt;&gt;",$D$2:$D6091,"&lt;&gt;",$E$2:$E6091,"&lt;&gt;"),"00000"),""))</f>
        <v/>
      </c>
      <c r="N6091" s="22"/>
    </row>
    <row r="6092" spans="1:14" x14ac:dyDescent="0.3">
      <c r="A6092" s="15" t="str">
        <f>IF(COUNTA($B6092:$E6092,$K6092)=0,"",IF(AND($B6092&lt;&gt;"",$C6092&lt;&gt;"",$D6092&lt;&gt;"",$E6092&lt;&gt;""),"TXS"&amp;TEXT(COUNTIFS($B$2:$B6092,"&lt;&gt;",$C$2:$C6092,"&lt;&gt;",$D$2:$D6092,"&lt;&gt;",$E$2:$E6092,"&lt;&gt;"),"00000"),""))</f>
        <v/>
      </c>
      <c r="N6092" s="22"/>
    </row>
    <row r="6093" spans="1:14" x14ac:dyDescent="0.3">
      <c r="A6093" s="15" t="str">
        <f>IF(COUNTA($B6093:$E6093,$K6093)=0,"",IF(AND($B6093&lt;&gt;"",$C6093&lt;&gt;"",$D6093&lt;&gt;"",$E6093&lt;&gt;""),"TXS"&amp;TEXT(COUNTIFS($B$2:$B6093,"&lt;&gt;",$C$2:$C6093,"&lt;&gt;",$D$2:$D6093,"&lt;&gt;",$E$2:$E6093,"&lt;&gt;"),"00000"),""))</f>
        <v/>
      </c>
      <c r="N6093" s="22"/>
    </row>
    <row r="6094" spans="1:14" x14ac:dyDescent="0.3">
      <c r="A6094" s="15" t="str">
        <f>IF(COUNTA($B6094:$E6094,$K6094)=0,"",IF(AND($B6094&lt;&gt;"",$C6094&lt;&gt;"",$D6094&lt;&gt;"",$E6094&lt;&gt;""),"TXS"&amp;TEXT(COUNTIFS($B$2:$B6094,"&lt;&gt;",$C$2:$C6094,"&lt;&gt;",$D$2:$D6094,"&lt;&gt;",$E$2:$E6094,"&lt;&gt;"),"00000"),""))</f>
        <v/>
      </c>
      <c r="N6094" s="22"/>
    </row>
    <row r="6095" spans="1:14" x14ac:dyDescent="0.3">
      <c r="A6095" s="15" t="str">
        <f>IF(COUNTA($B6095:$E6095,$K6095)=0,"",IF(AND($B6095&lt;&gt;"",$C6095&lt;&gt;"",$D6095&lt;&gt;"",$E6095&lt;&gt;""),"TXS"&amp;TEXT(COUNTIFS($B$2:$B6095,"&lt;&gt;",$C$2:$C6095,"&lt;&gt;",$D$2:$D6095,"&lt;&gt;",$E$2:$E6095,"&lt;&gt;"),"00000"),""))</f>
        <v/>
      </c>
      <c r="N6095" s="22"/>
    </row>
    <row r="6096" spans="1:14" x14ac:dyDescent="0.3">
      <c r="A6096" s="15" t="str">
        <f>IF(COUNTA($B6096:$E6096,$K6096)=0,"",IF(AND($B6096&lt;&gt;"",$C6096&lt;&gt;"",$D6096&lt;&gt;"",$E6096&lt;&gt;""),"TXS"&amp;TEXT(COUNTIFS($B$2:$B6096,"&lt;&gt;",$C$2:$C6096,"&lt;&gt;",$D$2:$D6096,"&lt;&gt;",$E$2:$E6096,"&lt;&gt;"),"00000"),""))</f>
        <v/>
      </c>
      <c r="N6096" s="22"/>
    </row>
    <row r="6097" spans="1:14" x14ac:dyDescent="0.3">
      <c r="A6097" s="15" t="str">
        <f>IF(COUNTA($B6097:$E6097,$K6097)=0,"",IF(AND($B6097&lt;&gt;"",$C6097&lt;&gt;"",$D6097&lt;&gt;"",$E6097&lt;&gt;""),"TXS"&amp;TEXT(COUNTIFS($B$2:$B6097,"&lt;&gt;",$C$2:$C6097,"&lt;&gt;",$D$2:$D6097,"&lt;&gt;",$E$2:$E6097,"&lt;&gt;"),"00000"),""))</f>
        <v/>
      </c>
      <c r="N6097" s="22"/>
    </row>
    <row r="6098" spans="1:14" x14ac:dyDescent="0.3">
      <c r="A6098" s="15" t="str">
        <f>IF(COUNTA($B6098:$E6098,$K6098)=0,"",IF(AND($B6098&lt;&gt;"",$C6098&lt;&gt;"",$D6098&lt;&gt;"",$E6098&lt;&gt;""),"TXS"&amp;TEXT(COUNTIFS($B$2:$B6098,"&lt;&gt;",$C$2:$C6098,"&lt;&gt;",$D$2:$D6098,"&lt;&gt;",$E$2:$E6098,"&lt;&gt;"),"00000"),""))</f>
        <v/>
      </c>
      <c r="N6098" s="22"/>
    </row>
    <row r="6099" spans="1:14" x14ac:dyDescent="0.3">
      <c r="A6099" s="15" t="str">
        <f>IF(COUNTA($B6099:$E6099,$K6099)=0,"",IF(AND($B6099&lt;&gt;"",$C6099&lt;&gt;"",$D6099&lt;&gt;"",$E6099&lt;&gt;""),"TXS"&amp;TEXT(COUNTIFS($B$2:$B6099,"&lt;&gt;",$C$2:$C6099,"&lt;&gt;",$D$2:$D6099,"&lt;&gt;",$E$2:$E6099,"&lt;&gt;"),"00000"),""))</f>
        <v/>
      </c>
      <c r="N6099" s="22"/>
    </row>
    <row r="6100" spans="1:14" x14ac:dyDescent="0.3">
      <c r="A6100" s="15" t="str">
        <f>IF(COUNTA($B6100:$E6100,$K6100)=0,"",IF(AND($B6100&lt;&gt;"",$C6100&lt;&gt;"",$D6100&lt;&gt;"",$E6100&lt;&gt;""),"TXS"&amp;TEXT(COUNTIFS($B$2:$B6100,"&lt;&gt;",$C$2:$C6100,"&lt;&gt;",$D$2:$D6100,"&lt;&gt;",$E$2:$E6100,"&lt;&gt;"),"00000"),""))</f>
        <v/>
      </c>
      <c r="N6100" s="22"/>
    </row>
    <row r="6101" spans="1:14" x14ac:dyDescent="0.3">
      <c r="A6101" s="15" t="str">
        <f>IF(COUNTA($B6101:$E6101,$K6101)=0,"",IF(AND($B6101&lt;&gt;"",$C6101&lt;&gt;"",$D6101&lt;&gt;"",$E6101&lt;&gt;""),"TXS"&amp;TEXT(COUNTIFS($B$2:$B6101,"&lt;&gt;",$C$2:$C6101,"&lt;&gt;",$D$2:$D6101,"&lt;&gt;",$E$2:$E6101,"&lt;&gt;"),"00000"),""))</f>
        <v/>
      </c>
      <c r="N6101" s="22"/>
    </row>
    <row r="6102" spans="1:14" x14ac:dyDescent="0.3">
      <c r="A6102" s="15" t="str">
        <f>IF(COUNTA($B6102:$E6102,$K6102)=0,"",IF(AND($B6102&lt;&gt;"",$C6102&lt;&gt;"",$D6102&lt;&gt;"",$E6102&lt;&gt;""),"TXS"&amp;TEXT(COUNTIFS($B$2:$B6102,"&lt;&gt;",$C$2:$C6102,"&lt;&gt;",$D$2:$D6102,"&lt;&gt;",$E$2:$E6102,"&lt;&gt;"),"00000"),""))</f>
        <v/>
      </c>
      <c r="N6102" s="22"/>
    </row>
    <row r="6103" spans="1:14" x14ac:dyDescent="0.3">
      <c r="A6103" s="15" t="str">
        <f>IF(COUNTA($B6103:$E6103,$K6103)=0,"",IF(AND($B6103&lt;&gt;"",$C6103&lt;&gt;"",$D6103&lt;&gt;"",$E6103&lt;&gt;""),"TXS"&amp;TEXT(COUNTIFS($B$2:$B6103,"&lt;&gt;",$C$2:$C6103,"&lt;&gt;",$D$2:$D6103,"&lt;&gt;",$E$2:$E6103,"&lt;&gt;"),"00000"),""))</f>
        <v/>
      </c>
      <c r="N6103" s="22"/>
    </row>
    <row r="6104" spans="1:14" x14ac:dyDescent="0.3">
      <c r="A6104" s="15" t="str">
        <f>IF(COUNTA($B6104:$E6104,$K6104)=0,"",IF(AND($B6104&lt;&gt;"",$C6104&lt;&gt;"",$D6104&lt;&gt;"",$E6104&lt;&gt;""),"TXS"&amp;TEXT(COUNTIFS($B$2:$B6104,"&lt;&gt;",$C$2:$C6104,"&lt;&gt;",$D$2:$D6104,"&lt;&gt;",$E$2:$E6104,"&lt;&gt;"),"00000"),""))</f>
        <v/>
      </c>
      <c r="N6104" s="22"/>
    </row>
    <row r="6105" spans="1:14" x14ac:dyDescent="0.3">
      <c r="A6105" s="15" t="str">
        <f>IF(COUNTA($B6105:$E6105,$K6105)=0,"",IF(AND($B6105&lt;&gt;"",$C6105&lt;&gt;"",$D6105&lt;&gt;"",$E6105&lt;&gt;""),"TXS"&amp;TEXT(COUNTIFS($B$2:$B6105,"&lt;&gt;",$C$2:$C6105,"&lt;&gt;",$D$2:$D6105,"&lt;&gt;",$E$2:$E6105,"&lt;&gt;"),"00000"),""))</f>
        <v/>
      </c>
      <c r="N6105" s="22"/>
    </row>
    <row r="6106" spans="1:14" x14ac:dyDescent="0.3">
      <c r="A6106" s="15" t="str">
        <f>IF(COUNTA($B6106:$E6106,$K6106)=0,"",IF(AND($B6106&lt;&gt;"",$C6106&lt;&gt;"",$D6106&lt;&gt;"",$E6106&lt;&gt;""),"TXS"&amp;TEXT(COUNTIFS($B$2:$B6106,"&lt;&gt;",$C$2:$C6106,"&lt;&gt;",$D$2:$D6106,"&lt;&gt;",$E$2:$E6106,"&lt;&gt;"),"00000"),""))</f>
        <v/>
      </c>
      <c r="N6106" s="22"/>
    </row>
    <row r="6107" spans="1:14" x14ac:dyDescent="0.3">
      <c r="A6107" s="15" t="str">
        <f>IF(COUNTA($B6107:$E6107,$K6107)=0,"",IF(AND($B6107&lt;&gt;"",$C6107&lt;&gt;"",$D6107&lt;&gt;"",$E6107&lt;&gt;""),"TXS"&amp;TEXT(COUNTIFS($B$2:$B6107,"&lt;&gt;",$C$2:$C6107,"&lt;&gt;",$D$2:$D6107,"&lt;&gt;",$E$2:$E6107,"&lt;&gt;"),"00000"),""))</f>
        <v/>
      </c>
      <c r="N6107" s="22"/>
    </row>
    <row r="6108" spans="1:14" x14ac:dyDescent="0.3">
      <c r="A6108" s="15" t="str">
        <f>IF(COUNTA($B6108:$E6108,$K6108)=0,"",IF(AND($B6108&lt;&gt;"",$C6108&lt;&gt;"",$D6108&lt;&gt;"",$E6108&lt;&gt;""),"TXS"&amp;TEXT(COUNTIFS($B$2:$B6108,"&lt;&gt;",$C$2:$C6108,"&lt;&gt;",$D$2:$D6108,"&lt;&gt;",$E$2:$E6108,"&lt;&gt;"),"00000"),""))</f>
        <v/>
      </c>
      <c r="N6108" s="22"/>
    </row>
    <row r="6109" spans="1:14" x14ac:dyDescent="0.3">
      <c r="A6109" s="15" t="str">
        <f>IF(COUNTA($B6109:$E6109,$K6109)=0,"",IF(AND($B6109&lt;&gt;"",$C6109&lt;&gt;"",$D6109&lt;&gt;"",$E6109&lt;&gt;""),"TXS"&amp;TEXT(COUNTIFS($B$2:$B6109,"&lt;&gt;",$C$2:$C6109,"&lt;&gt;",$D$2:$D6109,"&lt;&gt;",$E$2:$E6109,"&lt;&gt;"),"00000"),""))</f>
        <v/>
      </c>
      <c r="N6109" s="22"/>
    </row>
    <row r="6110" spans="1:14" x14ac:dyDescent="0.3">
      <c r="A6110" s="15" t="str">
        <f>IF(COUNTA($B6110:$E6110,$K6110)=0,"",IF(AND($B6110&lt;&gt;"",$C6110&lt;&gt;"",$D6110&lt;&gt;"",$E6110&lt;&gt;""),"TXS"&amp;TEXT(COUNTIFS($B$2:$B6110,"&lt;&gt;",$C$2:$C6110,"&lt;&gt;",$D$2:$D6110,"&lt;&gt;",$E$2:$E6110,"&lt;&gt;"),"00000"),""))</f>
        <v/>
      </c>
      <c r="N6110" s="22"/>
    </row>
    <row r="6111" spans="1:14" x14ac:dyDescent="0.3">
      <c r="A6111" s="15" t="str">
        <f>IF(COUNTA($B6111:$E6111,$K6111)=0,"",IF(AND($B6111&lt;&gt;"",$C6111&lt;&gt;"",$D6111&lt;&gt;"",$E6111&lt;&gt;""),"TXS"&amp;TEXT(COUNTIFS($B$2:$B6111,"&lt;&gt;",$C$2:$C6111,"&lt;&gt;",$D$2:$D6111,"&lt;&gt;",$E$2:$E6111,"&lt;&gt;"),"00000"),""))</f>
        <v/>
      </c>
      <c r="N6111" s="22"/>
    </row>
    <row r="6112" spans="1:14" x14ac:dyDescent="0.3">
      <c r="A6112" s="15" t="str">
        <f>IF(COUNTA($B6112:$E6112,$K6112)=0,"",IF(AND($B6112&lt;&gt;"",$C6112&lt;&gt;"",$D6112&lt;&gt;"",$E6112&lt;&gt;""),"TXS"&amp;TEXT(COUNTIFS($B$2:$B6112,"&lt;&gt;",$C$2:$C6112,"&lt;&gt;",$D$2:$D6112,"&lt;&gt;",$E$2:$E6112,"&lt;&gt;"),"00000"),""))</f>
        <v/>
      </c>
      <c r="N6112" s="22"/>
    </row>
    <row r="6113" spans="1:14" x14ac:dyDescent="0.3">
      <c r="A6113" s="15" t="str">
        <f>IF(COUNTA($B6113:$E6113,$K6113)=0,"",IF(AND($B6113&lt;&gt;"",$C6113&lt;&gt;"",$D6113&lt;&gt;"",$E6113&lt;&gt;""),"TXS"&amp;TEXT(COUNTIFS($B$2:$B6113,"&lt;&gt;",$C$2:$C6113,"&lt;&gt;",$D$2:$D6113,"&lt;&gt;",$E$2:$E6113,"&lt;&gt;"),"00000"),""))</f>
        <v/>
      </c>
      <c r="N6113" s="22"/>
    </row>
    <row r="6114" spans="1:14" x14ac:dyDescent="0.3">
      <c r="A6114" s="15" t="str">
        <f>IF(COUNTA($B6114:$E6114,$K6114)=0,"",IF(AND($B6114&lt;&gt;"",$C6114&lt;&gt;"",$D6114&lt;&gt;"",$E6114&lt;&gt;""),"TXS"&amp;TEXT(COUNTIFS($B$2:$B6114,"&lt;&gt;",$C$2:$C6114,"&lt;&gt;",$D$2:$D6114,"&lt;&gt;",$E$2:$E6114,"&lt;&gt;"),"00000"),""))</f>
        <v/>
      </c>
      <c r="N6114" s="22"/>
    </row>
    <row r="6115" spans="1:14" x14ac:dyDescent="0.3">
      <c r="A6115" s="15" t="str">
        <f>IF(COUNTA($B6115:$E6115,$K6115)=0,"",IF(AND($B6115&lt;&gt;"",$C6115&lt;&gt;"",$D6115&lt;&gt;"",$E6115&lt;&gt;""),"TXS"&amp;TEXT(COUNTIFS($B$2:$B6115,"&lt;&gt;",$C$2:$C6115,"&lt;&gt;",$D$2:$D6115,"&lt;&gt;",$E$2:$E6115,"&lt;&gt;"),"00000"),""))</f>
        <v/>
      </c>
      <c r="N6115" s="22"/>
    </row>
    <row r="6116" spans="1:14" x14ac:dyDescent="0.3">
      <c r="A6116" s="15" t="str">
        <f>IF(COUNTA($B6116:$E6116,$K6116)=0,"",IF(AND($B6116&lt;&gt;"",$C6116&lt;&gt;"",$D6116&lt;&gt;"",$E6116&lt;&gt;""),"TXS"&amp;TEXT(COUNTIFS($B$2:$B6116,"&lt;&gt;",$C$2:$C6116,"&lt;&gt;",$D$2:$D6116,"&lt;&gt;",$E$2:$E6116,"&lt;&gt;"),"00000"),""))</f>
        <v/>
      </c>
      <c r="N6116" s="22"/>
    </row>
    <row r="6117" spans="1:14" x14ac:dyDescent="0.3">
      <c r="A6117" s="15" t="str">
        <f>IF(COUNTA($B6117:$E6117,$K6117)=0,"",IF(AND($B6117&lt;&gt;"",$C6117&lt;&gt;"",$D6117&lt;&gt;"",$E6117&lt;&gt;""),"TXS"&amp;TEXT(COUNTIFS($B$2:$B6117,"&lt;&gt;",$C$2:$C6117,"&lt;&gt;",$D$2:$D6117,"&lt;&gt;",$E$2:$E6117,"&lt;&gt;"),"00000"),""))</f>
        <v/>
      </c>
      <c r="N6117" s="22"/>
    </row>
    <row r="6118" spans="1:14" x14ac:dyDescent="0.3">
      <c r="A6118" s="15" t="str">
        <f>IF(COUNTA($B6118:$E6118,$K6118)=0,"",IF(AND($B6118&lt;&gt;"",$C6118&lt;&gt;"",$D6118&lt;&gt;"",$E6118&lt;&gt;""),"TXS"&amp;TEXT(COUNTIFS($B$2:$B6118,"&lt;&gt;",$C$2:$C6118,"&lt;&gt;",$D$2:$D6118,"&lt;&gt;",$E$2:$E6118,"&lt;&gt;"),"00000"),""))</f>
        <v/>
      </c>
      <c r="N6118" s="22"/>
    </row>
    <row r="6119" spans="1:14" x14ac:dyDescent="0.3">
      <c r="A6119" s="15" t="str">
        <f>IF(COUNTA($B6119:$E6119,$K6119)=0,"",IF(AND($B6119&lt;&gt;"",$C6119&lt;&gt;"",$D6119&lt;&gt;"",$E6119&lt;&gt;""),"TXS"&amp;TEXT(COUNTIFS($B$2:$B6119,"&lt;&gt;",$C$2:$C6119,"&lt;&gt;",$D$2:$D6119,"&lt;&gt;",$E$2:$E6119,"&lt;&gt;"),"00000"),""))</f>
        <v/>
      </c>
      <c r="N6119" s="22"/>
    </row>
    <row r="6120" spans="1:14" x14ac:dyDescent="0.3">
      <c r="A6120" s="15" t="str">
        <f>IF(COUNTA($B6120:$E6120,$K6120)=0,"",IF(AND($B6120&lt;&gt;"",$C6120&lt;&gt;"",$D6120&lt;&gt;"",$E6120&lt;&gt;""),"TXS"&amp;TEXT(COUNTIFS($B$2:$B6120,"&lt;&gt;",$C$2:$C6120,"&lt;&gt;",$D$2:$D6120,"&lt;&gt;",$E$2:$E6120,"&lt;&gt;"),"00000"),""))</f>
        <v/>
      </c>
      <c r="N6120" s="22"/>
    </row>
    <row r="6121" spans="1:14" x14ac:dyDescent="0.3">
      <c r="A6121" s="15" t="str">
        <f>IF(COUNTA($B6121:$E6121,$K6121)=0,"",IF(AND($B6121&lt;&gt;"",$C6121&lt;&gt;"",$D6121&lt;&gt;"",$E6121&lt;&gt;""),"TXS"&amp;TEXT(COUNTIFS($B$2:$B6121,"&lt;&gt;",$C$2:$C6121,"&lt;&gt;",$D$2:$D6121,"&lt;&gt;",$E$2:$E6121,"&lt;&gt;"),"00000"),""))</f>
        <v/>
      </c>
      <c r="N6121" s="22"/>
    </row>
    <row r="6122" spans="1:14" x14ac:dyDescent="0.3">
      <c r="A6122" s="15" t="str">
        <f>IF(COUNTA($B6122:$E6122,$K6122)=0,"",IF(AND($B6122&lt;&gt;"",$C6122&lt;&gt;"",$D6122&lt;&gt;"",$E6122&lt;&gt;""),"TXS"&amp;TEXT(COUNTIFS($B$2:$B6122,"&lt;&gt;",$C$2:$C6122,"&lt;&gt;",$D$2:$D6122,"&lt;&gt;",$E$2:$E6122,"&lt;&gt;"),"00000"),""))</f>
        <v/>
      </c>
      <c r="N6122" s="22"/>
    </row>
    <row r="6123" spans="1:14" x14ac:dyDescent="0.3">
      <c r="A6123" s="15" t="str">
        <f>IF(COUNTA($B6123:$E6123,$K6123)=0,"",IF(AND($B6123&lt;&gt;"",$C6123&lt;&gt;"",$D6123&lt;&gt;"",$E6123&lt;&gt;""),"TXS"&amp;TEXT(COUNTIFS($B$2:$B6123,"&lt;&gt;",$C$2:$C6123,"&lt;&gt;",$D$2:$D6123,"&lt;&gt;",$E$2:$E6123,"&lt;&gt;"),"00000"),""))</f>
        <v/>
      </c>
      <c r="N6123" s="22"/>
    </row>
    <row r="6124" spans="1:14" x14ac:dyDescent="0.3">
      <c r="A6124" s="15" t="str">
        <f>IF(COUNTA($B6124:$E6124,$K6124)=0,"",IF(AND($B6124&lt;&gt;"",$C6124&lt;&gt;"",$D6124&lt;&gt;"",$E6124&lt;&gt;""),"TXS"&amp;TEXT(COUNTIFS($B$2:$B6124,"&lt;&gt;",$C$2:$C6124,"&lt;&gt;",$D$2:$D6124,"&lt;&gt;",$E$2:$E6124,"&lt;&gt;"),"00000"),""))</f>
        <v/>
      </c>
      <c r="N6124" s="22"/>
    </row>
    <row r="6125" spans="1:14" x14ac:dyDescent="0.3">
      <c r="A6125" s="15" t="str">
        <f>IF(COUNTA($B6125:$E6125,$K6125)=0,"",IF(AND($B6125&lt;&gt;"",$C6125&lt;&gt;"",$D6125&lt;&gt;"",$E6125&lt;&gt;""),"TXS"&amp;TEXT(COUNTIFS($B$2:$B6125,"&lt;&gt;",$C$2:$C6125,"&lt;&gt;",$D$2:$D6125,"&lt;&gt;",$E$2:$E6125,"&lt;&gt;"),"00000"),""))</f>
        <v/>
      </c>
      <c r="N6125" s="22"/>
    </row>
    <row r="6126" spans="1:14" x14ac:dyDescent="0.3">
      <c r="A6126" s="15" t="str">
        <f>IF(COUNTA($B6126:$E6126,$K6126)=0,"",IF(AND($B6126&lt;&gt;"",$C6126&lt;&gt;"",$D6126&lt;&gt;"",$E6126&lt;&gt;""),"TXS"&amp;TEXT(COUNTIFS($B$2:$B6126,"&lt;&gt;",$C$2:$C6126,"&lt;&gt;",$D$2:$D6126,"&lt;&gt;",$E$2:$E6126,"&lt;&gt;"),"00000"),""))</f>
        <v/>
      </c>
      <c r="N6126" s="22"/>
    </row>
    <row r="6127" spans="1:14" x14ac:dyDescent="0.3">
      <c r="A6127" s="15" t="str">
        <f>IF(COUNTA($B6127:$E6127,$K6127)=0,"",IF(AND($B6127&lt;&gt;"",$C6127&lt;&gt;"",$D6127&lt;&gt;"",$E6127&lt;&gt;""),"TXS"&amp;TEXT(COUNTIFS($B$2:$B6127,"&lt;&gt;",$C$2:$C6127,"&lt;&gt;",$D$2:$D6127,"&lt;&gt;",$E$2:$E6127,"&lt;&gt;"),"00000"),""))</f>
        <v/>
      </c>
      <c r="N6127" s="22"/>
    </row>
    <row r="6128" spans="1:14" x14ac:dyDescent="0.3">
      <c r="A6128" s="15" t="str">
        <f>IF(COUNTA($B6128:$E6128,$K6128)=0,"",IF(AND($B6128&lt;&gt;"",$C6128&lt;&gt;"",$D6128&lt;&gt;"",$E6128&lt;&gt;""),"TXS"&amp;TEXT(COUNTIFS($B$2:$B6128,"&lt;&gt;",$C$2:$C6128,"&lt;&gt;",$D$2:$D6128,"&lt;&gt;",$E$2:$E6128,"&lt;&gt;"),"00000"),""))</f>
        <v/>
      </c>
      <c r="N6128" s="22"/>
    </row>
    <row r="6129" spans="1:14" x14ac:dyDescent="0.3">
      <c r="A6129" s="15" t="str">
        <f>IF(COUNTA($B6129:$E6129,$K6129)=0,"",IF(AND($B6129&lt;&gt;"",$C6129&lt;&gt;"",$D6129&lt;&gt;"",$E6129&lt;&gt;""),"TXS"&amp;TEXT(COUNTIFS($B$2:$B6129,"&lt;&gt;",$C$2:$C6129,"&lt;&gt;",$D$2:$D6129,"&lt;&gt;",$E$2:$E6129,"&lt;&gt;"),"00000"),""))</f>
        <v/>
      </c>
      <c r="N6129" s="22"/>
    </row>
    <row r="6130" spans="1:14" x14ac:dyDescent="0.3">
      <c r="A6130" s="15" t="str">
        <f>IF(COUNTA($B6130:$E6130,$K6130)=0,"",IF(AND($B6130&lt;&gt;"",$C6130&lt;&gt;"",$D6130&lt;&gt;"",$E6130&lt;&gt;""),"TXS"&amp;TEXT(COUNTIFS($B$2:$B6130,"&lt;&gt;",$C$2:$C6130,"&lt;&gt;",$D$2:$D6130,"&lt;&gt;",$E$2:$E6130,"&lt;&gt;"),"00000"),""))</f>
        <v/>
      </c>
      <c r="N6130" s="22"/>
    </row>
    <row r="6131" spans="1:14" x14ac:dyDescent="0.3">
      <c r="A6131" s="15" t="str">
        <f>IF(COUNTA($B6131:$E6131,$K6131)=0,"",IF(AND($B6131&lt;&gt;"",$C6131&lt;&gt;"",$D6131&lt;&gt;"",$E6131&lt;&gt;""),"TXS"&amp;TEXT(COUNTIFS($B$2:$B6131,"&lt;&gt;",$C$2:$C6131,"&lt;&gt;",$D$2:$D6131,"&lt;&gt;",$E$2:$E6131,"&lt;&gt;"),"00000"),""))</f>
        <v/>
      </c>
      <c r="N6131" s="22"/>
    </row>
    <row r="6132" spans="1:14" x14ac:dyDescent="0.3">
      <c r="A6132" s="15" t="str">
        <f>IF(COUNTA($B6132:$E6132,$K6132)=0,"",IF(AND($B6132&lt;&gt;"",$C6132&lt;&gt;"",$D6132&lt;&gt;"",$E6132&lt;&gt;""),"TXS"&amp;TEXT(COUNTIFS($B$2:$B6132,"&lt;&gt;",$C$2:$C6132,"&lt;&gt;",$D$2:$D6132,"&lt;&gt;",$E$2:$E6132,"&lt;&gt;"),"00000"),""))</f>
        <v/>
      </c>
      <c r="N6132" s="22"/>
    </row>
    <row r="6133" spans="1:14" x14ac:dyDescent="0.3">
      <c r="A6133" s="15" t="str">
        <f>IF(COUNTA($B6133:$E6133,$K6133)=0,"",IF(AND($B6133&lt;&gt;"",$C6133&lt;&gt;"",$D6133&lt;&gt;"",$E6133&lt;&gt;""),"TXS"&amp;TEXT(COUNTIFS($B$2:$B6133,"&lt;&gt;",$C$2:$C6133,"&lt;&gt;",$D$2:$D6133,"&lt;&gt;",$E$2:$E6133,"&lt;&gt;"),"00000"),""))</f>
        <v/>
      </c>
      <c r="N6133" s="22"/>
    </row>
    <row r="6134" spans="1:14" x14ac:dyDescent="0.3">
      <c r="A6134" s="15" t="str">
        <f>IF(COUNTA($B6134:$E6134,$K6134)=0,"",IF(AND($B6134&lt;&gt;"",$C6134&lt;&gt;"",$D6134&lt;&gt;"",$E6134&lt;&gt;""),"TXS"&amp;TEXT(COUNTIFS($B$2:$B6134,"&lt;&gt;",$C$2:$C6134,"&lt;&gt;",$D$2:$D6134,"&lt;&gt;",$E$2:$E6134,"&lt;&gt;"),"00000"),""))</f>
        <v/>
      </c>
      <c r="N6134" s="22"/>
    </row>
    <row r="6135" spans="1:14" x14ac:dyDescent="0.3">
      <c r="A6135" s="15" t="str">
        <f>IF(COUNTA($B6135:$E6135,$K6135)=0,"",IF(AND($B6135&lt;&gt;"",$C6135&lt;&gt;"",$D6135&lt;&gt;"",$E6135&lt;&gt;""),"TXS"&amp;TEXT(COUNTIFS($B$2:$B6135,"&lt;&gt;",$C$2:$C6135,"&lt;&gt;",$D$2:$D6135,"&lt;&gt;",$E$2:$E6135,"&lt;&gt;"),"00000"),""))</f>
        <v/>
      </c>
      <c r="N6135" s="22"/>
    </row>
    <row r="6136" spans="1:14" x14ac:dyDescent="0.3">
      <c r="A6136" s="15" t="str">
        <f>IF(COUNTA($B6136:$E6136,$K6136)=0,"",IF(AND($B6136&lt;&gt;"",$C6136&lt;&gt;"",$D6136&lt;&gt;"",$E6136&lt;&gt;""),"TXS"&amp;TEXT(COUNTIFS($B$2:$B6136,"&lt;&gt;",$C$2:$C6136,"&lt;&gt;",$D$2:$D6136,"&lt;&gt;",$E$2:$E6136,"&lt;&gt;"),"00000"),""))</f>
        <v/>
      </c>
      <c r="N6136" s="22"/>
    </row>
    <row r="6137" spans="1:14" x14ac:dyDescent="0.3">
      <c r="A6137" s="15" t="str">
        <f>IF(COUNTA($B6137:$E6137,$K6137)=0,"",IF(AND($B6137&lt;&gt;"",$C6137&lt;&gt;"",$D6137&lt;&gt;"",$E6137&lt;&gt;""),"TXS"&amp;TEXT(COUNTIFS($B$2:$B6137,"&lt;&gt;",$C$2:$C6137,"&lt;&gt;",$D$2:$D6137,"&lt;&gt;",$E$2:$E6137,"&lt;&gt;"),"00000"),""))</f>
        <v/>
      </c>
      <c r="N6137" s="22"/>
    </row>
    <row r="6138" spans="1:14" x14ac:dyDescent="0.3">
      <c r="A6138" s="15" t="str">
        <f>IF(COUNTA($B6138:$E6138,$K6138)=0,"",IF(AND($B6138&lt;&gt;"",$C6138&lt;&gt;"",$D6138&lt;&gt;"",$E6138&lt;&gt;""),"TXS"&amp;TEXT(COUNTIFS($B$2:$B6138,"&lt;&gt;",$C$2:$C6138,"&lt;&gt;",$D$2:$D6138,"&lt;&gt;",$E$2:$E6138,"&lt;&gt;"),"00000"),""))</f>
        <v/>
      </c>
      <c r="N6138" s="22"/>
    </row>
    <row r="6139" spans="1:14" x14ac:dyDescent="0.3">
      <c r="A6139" s="15" t="str">
        <f>IF(COUNTA($B6139:$E6139,$K6139)=0,"",IF(AND($B6139&lt;&gt;"",$C6139&lt;&gt;"",$D6139&lt;&gt;"",$E6139&lt;&gt;""),"TXS"&amp;TEXT(COUNTIFS($B$2:$B6139,"&lt;&gt;",$C$2:$C6139,"&lt;&gt;",$D$2:$D6139,"&lt;&gt;",$E$2:$E6139,"&lt;&gt;"),"00000"),""))</f>
        <v/>
      </c>
      <c r="N6139" s="22"/>
    </row>
    <row r="6140" spans="1:14" x14ac:dyDescent="0.3">
      <c r="A6140" s="15" t="str">
        <f>IF(COUNTA($B6140:$E6140,$K6140)=0,"",IF(AND($B6140&lt;&gt;"",$C6140&lt;&gt;"",$D6140&lt;&gt;"",$E6140&lt;&gt;""),"TXS"&amp;TEXT(COUNTIFS($B$2:$B6140,"&lt;&gt;",$C$2:$C6140,"&lt;&gt;",$D$2:$D6140,"&lt;&gt;",$E$2:$E6140,"&lt;&gt;"),"00000"),""))</f>
        <v/>
      </c>
      <c r="N6140" s="22"/>
    </row>
    <row r="6141" spans="1:14" x14ac:dyDescent="0.3">
      <c r="A6141" s="15" t="str">
        <f>IF(COUNTA($B6141:$E6141,$K6141)=0,"",IF(AND($B6141&lt;&gt;"",$C6141&lt;&gt;"",$D6141&lt;&gt;"",$E6141&lt;&gt;""),"TXS"&amp;TEXT(COUNTIFS($B$2:$B6141,"&lt;&gt;",$C$2:$C6141,"&lt;&gt;",$D$2:$D6141,"&lt;&gt;",$E$2:$E6141,"&lt;&gt;"),"00000"),""))</f>
        <v/>
      </c>
      <c r="N6141" s="22"/>
    </row>
    <row r="6142" spans="1:14" x14ac:dyDescent="0.3">
      <c r="A6142" s="15" t="str">
        <f>IF(COUNTA($B6142:$E6142,$K6142)=0,"",IF(AND($B6142&lt;&gt;"",$C6142&lt;&gt;"",$D6142&lt;&gt;"",$E6142&lt;&gt;""),"TXS"&amp;TEXT(COUNTIFS($B$2:$B6142,"&lt;&gt;",$C$2:$C6142,"&lt;&gt;",$D$2:$D6142,"&lt;&gt;",$E$2:$E6142,"&lt;&gt;"),"00000"),""))</f>
        <v/>
      </c>
      <c r="N6142" s="22"/>
    </row>
    <row r="6143" spans="1:14" x14ac:dyDescent="0.3">
      <c r="A6143" s="15" t="str">
        <f>IF(COUNTA($B6143:$E6143,$K6143)=0,"",IF(AND($B6143&lt;&gt;"",$C6143&lt;&gt;"",$D6143&lt;&gt;"",$E6143&lt;&gt;""),"TXS"&amp;TEXT(COUNTIFS($B$2:$B6143,"&lt;&gt;",$C$2:$C6143,"&lt;&gt;",$D$2:$D6143,"&lt;&gt;",$E$2:$E6143,"&lt;&gt;"),"00000"),""))</f>
        <v/>
      </c>
      <c r="N6143" s="22"/>
    </row>
    <row r="6144" spans="1:14" x14ac:dyDescent="0.3">
      <c r="A6144" s="15" t="str">
        <f>IF(COUNTA($B6144:$E6144,$K6144)=0,"",IF(AND($B6144&lt;&gt;"",$C6144&lt;&gt;"",$D6144&lt;&gt;"",$E6144&lt;&gt;""),"TXS"&amp;TEXT(COUNTIFS($B$2:$B6144,"&lt;&gt;",$C$2:$C6144,"&lt;&gt;",$D$2:$D6144,"&lt;&gt;",$E$2:$E6144,"&lt;&gt;"),"00000"),""))</f>
        <v/>
      </c>
      <c r="N6144" s="22"/>
    </row>
    <row r="6145" spans="1:14" x14ac:dyDescent="0.3">
      <c r="A6145" s="15" t="str">
        <f>IF(COUNTA($B6145:$E6145,$K6145)=0,"",IF(AND($B6145&lt;&gt;"",$C6145&lt;&gt;"",$D6145&lt;&gt;"",$E6145&lt;&gt;""),"TXS"&amp;TEXT(COUNTIFS($B$2:$B6145,"&lt;&gt;",$C$2:$C6145,"&lt;&gt;",$D$2:$D6145,"&lt;&gt;",$E$2:$E6145,"&lt;&gt;"),"00000"),""))</f>
        <v/>
      </c>
      <c r="N6145" s="22"/>
    </row>
    <row r="6146" spans="1:14" x14ac:dyDescent="0.3">
      <c r="A6146" s="15" t="str">
        <f>IF(COUNTA($B6146:$E6146,$K6146)=0,"",IF(AND($B6146&lt;&gt;"",$C6146&lt;&gt;"",$D6146&lt;&gt;"",$E6146&lt;&gt;""),"TXS"&amp;TEXT(COUNTIFS($B$2:$B6146,"&lt;&gt;",$C$2:$C6146,"&lt;&gt;",$D$2:$D6146,"&lt;&gt;",$E$2:$E6146,"&lt;&gt;"),"00000"),""))</f>
        <v/>
      </c>
      <c r="N6146" s="22"/>
    </row>
    <row r="6147" spans="1:14" x14ac:dyDescent="0.3">
      <c r="A6147" s="15" t="str">
        <f>IF(COUNTA($B6147:$E6147,$K6147)=0,"",IF(AND($B6147&lt;&gt;"",$C6147&lt;&gt;"",$D6147&lt;&gt;"",$E6147&lt;&gt;""),"TXS"&amp;TEXT(COUNTIFS($B$2:$B6147,"&lt;&gt;",$C$2:$C6147,"&lt;&gt;",$D$2:$D6147,"&lt;&gt;",$E$2:$E6147,"&lt;&gt;"),"00000"),""))</f>
        <v/>
      </c>
      <c r="N6147" s="22"/>
    </row>
    <row r="6148" spans="1:14" x14ac:dyDescent="0.3">
      <c r="A6148" s="15" t="str">
        <f>IF(COUNTA($B6148:$E6148,$K6148)=0,"",IF(AND($B6148&lt;&gt;"",$C6148&lt;&gt;"",$D6148&lt;&gt;"",$E6148&lt;&gt;""),"TXS"&amp;TEXT(COUNTIFS($B$2:$B6148,"&lt;&gt;",$C$2:$C6148,"&lt;&gt;",$D$2:$D6148,"&lt;&gt;",$E$2:$E6148,"&lt;&gt;"),"00000"),""))</f>
        <v/>
      </c>
      <c r="N6148" s="22"/>
    </row>
    <row r="6149" spans="1:14" x14ac:dyDescent="0.3">
      <c r="A6149" s="15" t="str">
        <f>IF(COUNTA($B6149:$E6149,$K6149)=0,"",IF(AND($B6149&lt;&gt;"",$C6149&lt;&gt;"",$D6149&lt;&gt;"",$E6149&lt;&gt;""),"TXS"&amp;TEXT(COUNTIFS($B$2:$B6149,"&lt;&gt;",$C$2:$C6149,"&lt;&gt;",$D$2:$D6149,"&lt;&gt;",$E$2:$E6149,"&lt;&gt;"),"00000"),""))</f>
        <v/>
      </c>
      <c r="N6149" s="22"/>
    </row>
    <row r="6150" spans="1:14" x14ac:dyDescent="0.3">
      <c r="A6150" s="15" t="str">
        <f>IF(COUNTA($B6150:$E6150,$K6150)=0,"",IF(AND($B6150&lt;&gt;"",$C6150&lt;&gt;"",$D6150&lt;&gt;"",$E6150&lt;&gt;""),"TXS"&amp;TEXT(COUNTIFS($B$2:$B6150,"&lt;&gt;",$C$2:$C6150,"&lt;&gt;",$D$2:$D6150,"&lt;&gt;",$E$2:$E6150,"&lt;&gt;"),"00000"),""))</f>
        <v/>
      </c>
      <c r="N6150" s="22"/>
    </row>
    <row r="6151" spans="1:14" x14ac:dyDescent="0.3">
      <c r="A6151" s="15" t="str">
        <f>IF(COUNTA($B6151:$E6151,$K6151)=0,"",IF(AND($B6151&lt;&gt;"",$C6151&lt;&gt;"",$D6151&lt;&gt;"",$E6151&lt;&gt;""),"TXS"&amp;TEXT(COUNTIFS($B$2:$B6151,"&lt;&gt;",$C$2:$C6151,"&lt;&gt;",$D$2:$D6151,"&lt;&gt;",$E$2:$E6151,"&lt;&gt;"),"00000"),""))</f>
        <v/>
      </c>
      <c r="N6151" s="22"/>
    </row>
    <row r="6152" spans="1:14" x14ac:dyDescent="0.3">
      <c r="A6152" s="15" t="str">
        <f>IF(COUNTA($B6152:$E6152,$K6152)=0,"",IF(AND($B6152&lt;&gt;"",$C6152&lt;&gt;"",$D6152&lt;&gt;"",$E6152&lt;&gt;""),"TXS"&amp;TEXT(COUNTIFS($B$2:$B6152,"&lt;&gt;",$C$2:$C6152,"&lt;&gt;",$D$2:$D6152,"&lt;&gt;",$E$2:$E6152,"&lt;&gt;"),"00000"),""))</f>
        <v/>
      </c>
      <c r="N6152" s="22"/>
    </row>
    <row r="6153" spans="1:14" x14ac:dyDescent="0.3">
      <c r="A6153" s="15" t="str">
        <f>IF(COUNTA($B6153:$E6153,$K6153)=0,"",IF(AND($B6153&lt;&gt;"",$C6153&lt;&gt;"",$D6153&lt;&gt;"",$E6153&lt;&gt;""),"TXS"&amp;TEXT(COUNTIFS($B$2:$B6153,"&lt;&gt;",$C$2:$C6153,"&lt;&gt;",$D$2:$D6153,"&lt;&gt;",$E$2:$E6153,"&lt;&gt;"),"00000"),""))</f>
        <v/>
      </c>
      <c r="N6153" s="22"/>
    </row>
    <row r="6154" spans="1:14" x14ac:dyDescent="0.3">
      <c r="A6154" s="15" t="str">
        <f>IF(COUNTA($B6154:$E6154,$K6154)=0,"",IF(AND($B6154&lt;&gt;"",$C6154&lt;&gt;"",$D6154&lt;&gt;"",$E6154&lt;&gt;""),"TXS"&amp;TEXT(COUNTIFS($B$2:$B6154,"&lt;&gt;",$C$2:$C6154,"&lt;&gt;",$D$2:$D6154,"&lt;&gt;",$E$2:$E6154,"&lt;&gt;"),"00000"),""))</f>
        <v/>
      </c>
      <c r="N6154" s="22"/>
    </row>
    <row r="6155" spans="1:14" x14ac:dyDescent="0.3">
      <c r="A6155" s="15" t="str">
        <f>IF(COUNTA($B6155:$E6155,$K6155)=0,"",IF(AND($B6155&lt;&gt;"",$C6155&lt;&gt;"",$D6155&lt;&gt;"",$E6155&lt;&gt;""),"TXS"&amp;TEXT(COUNTIFS($B$2:$B6155,"&lt;&gt;",$C$2:$C6155,"&lt;&gt;",$D$2:$D6155,"&lt;&gt;",$E$2:$E6155,"&lt;&gt;"),"00000"),""))</f>
        <v/>
      </c>
      <c r="N6155" s="22"/>
    </row>
    <row r="6156" spans="1:14" x14ac:dyDescent="0.3">
      <c r="A6156" s="15" t="str">
        <f>IF(COUNTA($B6156:$E6156,$K6156)=0,"",IF(AND($B6156&lt;&gt;"",$C6156&lt;&gt;"",$D6156&lt;&gt;"",$E6156&lt;&gt;""),"TXS"&amp;TEXT(COUNTIFS($B$2:$B6156,"&lt;&gt;",$C$2:$C6156,"&lt;&gt;",$D$2:$D6156,"&lt;&gt;",$E$2:$E6156,"&lt;&gt;"),"00000"),""))</f>
        <v/>
      </c>
      <c r="N6156" s="22"/>
    </row>
    <row r="6157" spans="1:14" x14ac:dyDescent="0.3">
      <c r="A6157" s="15" t="str">
        <f>IF(COUNTA($B6157:$E6157,$K6157)=0,"",IF(AND($B6157&lt;&gt;"",$C6157&lt;&gt;"",$D6157&lt;&gt;"",$E6157&lt;&gt;""),"TXS"&amp;TEXT(COUNTIFS($B$2:$B6157,"&lt;&gt;",$C$2:$C6157,"&lt;&gt;",$D$2:$D6157,"&lt;&gt;",$E$2:$E6157,"&lt;&gt;"),"00000"),""))</f>
        <v/>
      </c>
      <c r="N6157" s="22"/>
    </row>
    <row r="6158" spans="1:14" x14ac:dyDescent="0.3">
      <c r="A6158" s="15" t="str">
        <f>IF(COUNTA($B6158:$E6158,$K6158)=0,"",IF(AND($B6158&lt;&gt;"",$C6158&lt;&gt;"",$D6158&lt;&gt;"",$E6158&lt;&gt;""),"TXS"&amp;TEXT(COUNTIFS($B$2:$B6158,"&lt;&gt;",$C$2:$C6158,"&lt;&gt;",$D$2:$D6158,"&lt;&gt;",$E$2:$E6158,"&lt;&gt;"),"00000"),""))</f>
        <v/>
      </c>
      <c r="N6158" s="22"/>
    </row>
    <row r="6159" spans="1:14" x14ac:dyDescent="0.3">
      <c r="A6159" s="15" t="str">
        <f>IF(COUNTA($B6159:$E6159,$K6159)=0,"",IF(AND($B6159&lt;&gt;"",$C6159&lt;&gt;"",$D6159&lt;&gt;"",$E6159&lt;&gt;""),"TXS"&amp;TEXT(COUNTIFS($B$2:$B6159,"&lt;&gt;",$C$2:$C6159,"&lt;&gt;",$D$2:$D6159,"&lt;&gt;",$E$2:$E6159,"&lt;&gt;"),"00000"),""))</f>
        <v/>
      </c>
      <c r="N6159" s="22"/>
    </row>
    <row r="6160" spans="1:14" x14ac:dyDescent="0.3">
      <c r="A6160" s="15" t="str">
        <f>IF(COUNTA($B6160:$E6160,$K6160)=0,"",IF(AND($B6160&lt;&gt;"",$C6160&lt;&gt;"",$D6160&lt;&gt;"",$E6160&lt;&gt;""),"TXS"&amp;TEXT(COUNTIFS($B$2:$B6160,"&lt;&gt;",$C$2:$C6160,"&lt;&gt;",$D$2:$D6160,"&lt;&gt;",$E$2:$E6160,"&lt;&gt;"),"00000"),""))</f>
        <v/>
      </c>
      <c r="N6160" s="22"/>
    </row>
    <row r="6161" spans="1:14" x14ac:dyDescent="0.3">
      <c r="A6161" s="15" t="str">
        <f>IF(COUNTA($B6161:$E6161,$K6161)=0,"",IF(AND($B6161&lt;&gt;"",$C6161&lt;&gt;"",$D6161&lt;&gt;"",$E6161&lt;&gt;""),"TXS"&amp;TEXT(COUNTIFS($B$2:$B6161,"&lt;&gt;",$C$2:$C6161,"&lt;&gt;",$D$2:$D6161,"&lt;&gt;",$E$2:$E6161,"&lt;&gt;"),"00000"),""))</f>
        <v/>
      </c>
      <c r="N6161" s="22"/>
    </row>
    <row r="6162" spans="1:14" x14ac:dyDescent="0.3">
      <c r="A6162" s="15" t="str">
        <f>IF(COUNTA($B6162:$E6162,$K6162)=0,"",IF(AND($B6162&lt;&gt;"",$C6162&lt;&gt;"",$D6162&lt;&gt;"",$E6162&lt;&gt;""),"TXS"&amp;TEXT(COUNTIFS($B$2:$B6162,"&lt;&gt;",$C$2:$C6162,"&lt;&gt;",$D$2:$D6162,"&lt;&gt;",$E$2:$E6162,"&lt;&gt;"),"00000"),""))</f>
        <v/>
      </c>
      <c r="N6162" s="22"/>
    </row>
    <row r="6163" spans="1:14" x14ac:dyDescent="0.3">
      <c r="A6163" s="15" t="str">
        <f>IF(COUNTA($B6163:$E6163,$K6163)=0,"",IF(AND($B6163&lt;&gt;"",$C6163&lt;&gt;"",$D6163&lt;&gt;"",$E6163&lt;&gt;""),"TXS"&amp;TEXT(COUNTIFS($B$2:$B6163,"&lt;&gt;",$C$2:$C6163,"&lt;&gt;",$D$2:$D6163,"&lt;&gt;",$E$2:$E6163,"&lt;&gt;"),"00000"),""))</f>
        <v/>
      </c>
      <c r="N6163" s="22"/>
    </row>
    <row r="6164" spans="1:14" x14ac:dyDescent="0.3">
      <c r="A6164" s="15" t="str">
        <f>IF(COUNTA($B6164:$E6164,$K6164)=0,"",IF(AND($B6164&lt;&gt;"",$C6164&lt;&gt;"",$D6164&lt;&gt;"",$E6164&lt;&gt;""),"TXS"&amp;TEXT(COUNTIFS($B$2:$B6164,"&lt;&gt;",$C$2:$C6164,"&lt;&gt;",$D$2:$D6164,"&lt;&gt;",$E$2:$E6164,"&lt;&gt;"),"00000"),""))</f>
        <v/>
      </c>
      <c r="N6164" s="22"/>
    </row>
    <row r="6165" spans="1:14" x14ac:dyDescent="0.3">
      <c r="A6165" s="15" t="str">
        <f>IF(COUNTA($B6165:$E6165,$K6165)=0,"",IF(AND($B6165&lt;&gt;"",$C6165&lt;&gt;"",$D6165&lt;&gt;"",$E6165&lt;&gt;""),"TXS"&amp;TEXT(COUNTIFS($B$2:$B6165,"&lt;&gt;",$C$2:$C6165,"&lt;&gt;",$D$2:$D6165,"&lt;&gt;",$E$2:$E6165,"&lt;&gt;"),"00000"),""))</f>
        <v/>
      </c>
      <c r="N6165" s="22"/>
    </row>
    <row r="6166" spans="1:14" x14ac:dyDescent="0.3">
      <c r="A6166" s="15" t="str">
        <f>IF(COUNTA($B6166:$E6166,$K6166)=0,"",IF(AND($B6166&lt;&gt;"",$C6166&lt;&gt;"",$D6166&lt;&gt;"",$E6166&lt;&gt;""),"TXS"&amp;TEXT(COUNTIFS($B$2:$B6166,"&lt;&gt;",$C$2:$C6166,"&lt;&gt;",$D$2:$D6166,"&lt;&gt;",$E$2:$E6166,"&lt;&gt;"),"00000"),""))</f>
        <v/>
      </c>
      <c r="N6166" s="22"/>
    </row>
    <row r="6167" spans="1:14" x14ac:dyDescent="0.3">
      <c r="A6167" s="15" t="str">
        <f>IF(COUNTA($B6167:$E6167,$K6167)=0,"",IF(AND($B6167&lt;&gt;"",$C6167&lt;&gt;"",$D6167&lt;&gt;"",$E6167&lt;&gt;""),"TXS"&amp;TEXT(COUNTIFS($B$2:$B6167,"&lt;&gt;",$C$2:$C6167,"&lt;&gt;",$D$2:$D6167,"&lt;&gt;",$E$2:$E6167,"&lt;&gt;"),"00000"),""))</f>
        <v/>
      </c>
      <c r="N6167" s="22"/>
    </row>
    <row r="6168" spans="1:14" x14ac:dyDescent="0.3">
      <c r="A6168" s="15" t="str">
        <f>IF(COUNTA($B6168:$E6168,$K6168)=0,"",IF(AND($B6168&lt;&gt;"",$C6168&lt;&gt;"",$D6168&lt;&gt;"",$E6168&lt;&gt;""),"TXS"&amp;TEXT(COUNTIFS($B$2:$B6168,"&lt;&gt;",$C$2:$C6168,"&lt;&gt;",$D$2:$D6168,"&lt;&gt;",$E$2:$E6168,"&lt;&gt;"),"00000"),""))</f>
        <v/>
      </c>
      <c r="N6168" s="22"/>
    </row>
    <row r="6169" spans="1:14" x14ac:dyDescent="0.3">
      <c r="A6169" s="15" t="str">
        <f>IF(COUNTA($B6169:$E6169,$K6169)=0,"",IF(AND($B6169&lt;&gt;"",$C6169&lt;&gt;"",$D6169&lt;&gt;"",$E6169&lt;&gt;""),"TXS"&amp;TEXT(COUNTIFS($B$2:$B6169,"&lt;&gt;",$C$2:$C6169,"&lt;&gt;",$D$2:$D6169,"&lt;&gt;",$E$2:$E6169,"&lt;&gt;"),"00000"),""))</f>
        <v/>
      </c>
      <c r="N6169" s="22"/>
    </row>
    <row r="6170" spans="1:14" x14ac:dyDescent="0.3">
      <c r="A6170" s="15" t="str">
        <f>IF(COUNTA($B6170:$E6170,$K6170)=0,"",IF(AND($B6170&lt;&gt;"",$C6170&lt;&gt;"",$D6170&lt;&gt;"",$E6170&lt;&gt;""),"TXS"&amp;TEXT(COUNTIFS($B$2:$B6170,"&lt;&gt;",$C$2:$C6170,"&lt;&gt;",$D$2:$D6170,"&lt;&gt;",$E$2:$E6170,"&lt;&gt;"),"00000"),""))</f>
        <v/>
      </c>
      <c r="N6170" s="22"/>
    </row>
    <row r="6171" spans="1:14" x14ac:dyDescent="0.3">
      <c r="A6171" s="15" t="str">
        <f>IF(COUNTA($B6171:$E6171,$K6171)=0,"",IF(AND($B6171&lt;&gt;"",$C6171&lt;&gt;"",$D6171&lt;&gt;"",$E6171&lt;&gt;""),"TXS"&amp;TEXT(COUNTIFS($B$2:$B6171,"&lt;&gt;",$C$2:$C6171,"&lt;&gt;",$D$2:$D6171,"&lt;&gt;",$E$2:$E6171,"&lt;&gt;"),"00000"),""))</f>
        <v/>
      </c>
      <c r="N6171" s="22"/>
    </row>
    <row r="6172" spans="1:14" x14ac:dyDescent="0.3">
      <c r="A6172" s="15" t="str">
        <f>IF(COUNTA($B6172:$E6172,$K6172)=0,"",IF(AND($B6172&lt;&gt;"",$C6172&lt;&gt;"",$D6172&lt;&gt;"",$E6172&lt;&gt;""),"TXS"&amp;TEXT(COUNTIFS($B$2:$B6172,"&lt;&gt;",$C$2:$C6172,"&lt;&gt;",$D$2:$D6172,"&lt;&gt;",$E$2:$E6172,"&lt;&gt;"),"00000"),""))</f>
        <v/>
      </c>
      <c r="N6172" s="22"/>
    </row>
    <row r="6173" spans="1:14" x14ac:dyDescent="0.3">
      <c r="A6173" s="15" t="str">
        <f>IF(COUNTA($B6173:$E6173,$K6173)=0,"",IF(AND($B6173&lt;&gt;"",$C6173&lt;&gt;"",$D6173&lt;&gt;"",$E6173&lt;&gt;""),"TXS"&amp;TEXT(COUNTIFS($B$2:$B6173,"&lt;&gt;",$C$2:$C6173,"&lt;&gt;",$D$2:$D6173,"&lt;&gt;",$E$2:$E6173,"&lt;&gt;"),"00000"),""))</f>
        <v/>
      </c>
      <c r="N6173" s="22"/>
    </row>
    <row r="6174" spans="1:14" x14ac:dyDescent="0.3">
      <c r="A6174" s="15" t="str">
        <f>IF(COUNTA($B6174:$E6174,$K6174)=0,"",IF(AND($B6174&lt;&gt;"",$C6174&lt;&gt;"",$D6174&lt;&gt;"",$E6174&lt;&gt;""),"TXS"&amp;TEXT(COUNTIFS($B$2:$B6174,"&lt;&gt;",$C$2:$C6174,"&lt;&gt;",$D$2:$D6174,"&lt;&gt;",$E$2:$E6174,"&lt;&gt;"),"00000"),""))</f>
        <v/>
      </c>
      <c r="N6174" s="22"/>
    </row>
    <row r="6175" spans="1:14" x14ac:dyDescent="0.3">
      <c r="A6175" s="15" t="str">
        <f>IF(COUNTA($B6175:$E6175,$K6175)=0,"",IF(AND($B6175&lt;&gt;"",$C6175&lt;&gt;"",$D6175&lt;&gt;"",$E6175&lt;&gt;""),"TXS"&amp;TEXT(COUNTIFS($B$2:$B6175,"&lt;&gt;",$C$2:$C6175,"&lt;&gt;",$D$2:$D6175,"&lt;&gt;",$E$2:$E6175,"&lt;&gt;"),"00000"),""))</f>
        <v/>
      </c>
      <c r="N6175" s="22"/>
    </row>
    <row r="6176" spans="1:14" x14ac:dyDescent="0.3">
      <c r="A6176" s="15" t="str">
        <f>IF(COUNTA($B6176:$E6176,$K6176)=0,"",IF(AND($B6176&lt;&gt;"",$C6176&lt;&gt;"",$D6176&lt;&gt;"",$E6176&lt;&gt;""),"TXS"&amp;TEXT(COUNTIFS($B$2:$B6176,"&lt;&gt;",$C$2:$C6176,"&lt;&gt;",$D$2:$D6176,"&lt;&gt;",$E$2:$E6176,"&lt;&gt;"),"00000"),""))</f>
        <v/>
      </c>
      <c r="N6176" s="22"/>
    </row>
    <row r="6177" spans="1:14" x14ac:dyDescent="0.3">
      <c r="A6177" s="15" t="str">
        <f>IF(COUNTA($B6177:$E6177,$K6177)=0,"",IF(AND($B6177&lt;&gt;"",$C6177&lt;&gt;"",$D6177&lt;&gt;"",$E6177&lt;&gt;""),"TXS"&amp;TEXT(COUNTIFS($B$2:$B6177,"&lt;&gt;",$C$2:$C6177,"&lt;&gt;",$D$2:$D6177,"&lt;&gt;",$E$2:$E6177,"&lt;&gt;"),"00000"),""))</f>
        <v/>
      </c>
      <c r="N6177" s="22"/>
    </row>
    <row r="6178" spans="1:14" x14ac:dyDescent="0.3">
      <c r="A6178" s="15" t="str">
        <f>IF(COUNTA($B6178:$E6178,$K6178)=0,"",IF(AND($B6178&lt;&gt;"",$C6178&lt;&gt;"",$D6178&lt;&gt;"",$E6178&lt;&gt;""),"TXS"&amp;TEXT(COUNTIFS($B$2:$B6178,"&lt;&gt;",$C$2:$C6178,"&lt;&gt;",$D$2:$D6178,"&lt;&gt;",$E$2:$E6178,"&lt;&gt;"),"00000"),""))</f>
        <v/>
      </c>
      <c r="N6178" s="22"/>
    </row>
    <row r="6179" spans="1:14" x14ac:dyDescent="0.3">
      <c r="A6179" s="15" t="str">
        <f>IF(COUNTA($B6179:$E6179,$K6179)=0,"",IF(AND($B6179&lt;&gt;"",$C6179&lt;&gt;"",$D6179&lt;&gt;"",$E6179&lt;&gt;""),"TXS"&amp;TEXT(COUNTIFS($B$2:$B6179,"&lt;&gt;",$C$2:$C6179,"&lt;&gt;",$D$2:$D6179,"&lt;&gt;",$E$2:$E6179,"&lt;&gt;"),"00000"),""))</f>
        <v/>
      </c>
      <c r="N6179" s="22"/>
    </row>
    <row r="6180" spans="1:14" x14ac:dyDescent="0.3">
      <c r="A6180" s="15" t="str">
        <f>IF(COUNTA($B6180:$E6180,$K6180)=0,"",IF(AND($B6180&lt;&gt;"",$C6180&lt;&gt;"",$D6180&lt;&gt;"",$E6180&lt;&gt;""),"TXS"&amp;TEXT(COUNTIFS($B$2:$B6180,"&lt;&gt;",$C$2:$C6180,"&lt;&gt;",$D$2:$D6180,"&lt;&gt;",$E$2:$E6180,"&lt;&gt;"),"00000"),""))</f>
        <v/>
      </c>
      <c r="N6180" s="22"/>
    </row>
    <row r="6181" spans="1:14" x14ac:dyDescent="0.3">
      <c r="A6181" s="15" t="str">
        <f>IF(COUNTA($B6181:$E6181,$K6181)=0,"",IF(AND($B6181&lt;&gt;"",$C6181&lt;&gt;"",$D6181&lt;&gt;"",$E6181&lt;&gt;""),"TXS"&amp;TEXT(COUNTIFS($B$2:$B6181,"&lt;&gt;",$C$2:$C6181,"&lt;&gt;",$D$2:$D6181,"&lt;&gt;",$E$2:$E6181,"&lt;&gt;"),"00000"),""))</f>
        <v/>
      </c>
      <c r="N6181" s="22"/>
    </row>
    <row r="6182" spans="1:14" x14ac:dyDescent="0.3">
      <c r="A6182" s="15" t="str">
        <f>IF(COUNTA($B6182:$E6182,$K6182)=0,"",IF(AND($B6182&lt;&gt;"",$C6182&lt;&gt;"",$D6182&lt;&gt;"",$E6182&lt;&gt;""),"TXS"&amp;TEXT(COUNTIFS($B$2:$B6182,"&lt;&gt;",$C$2:$C6182,"&lt;&gt;",$D$2:$D6182,"&lt;&gt;",$E$2:$E6182,"&lt;&gt;"),"00000"),""))</f>
        <v/>
      </c>
      <c r="N6182" s="22"/>
    </row>
    <row r="6183" spans="1:14" x14ac:dyDescent="0.3">
      <c r="A6183" s="15" t="str">
        <f>IF(COUNTA($B6183:$E6183,$K6183)=0,"",IF(AND($B6183&lt;&gt;"",$C6183&lt;&gt;"",$D6183&lt;&gt;"",$E6183&lt;&gt;""),"TXS"&amp;TEXT(COUNTIFS($B$2:$B6183,"&lt;&gt;",$C$2:$C6183,"&lt;&gt;",$D$2:$D6183,"&lt;&gt;",$E$2:$E6183,"&lt;&gt;"),"00000"),""))</f>
        <v/>
      </c>
      <c r="N6183" s="22"/>
    </row>
    <row r="6184" spans="1:14" x14ac:dyDescent="0.3">
      <c r="A6184" s="15" t="str">
        <f>IF(COUNTA($B6184:$E6184,$K6184)=0,"",IF(AND($B6184&lt;&gt;"",$C6184&lt;&gt;"",$D6184&lt;&gt;"",$E6184&lt;&gt;""),"TXS"&amp;TEXT(COUNTIFS($B$2:$B6184,"&lt;&gt;",$C$2:$C6184,"&lt;&gt;",$D$2:$D6184,"&lt;&gt;",$E$2:$E6184,"&lt;&gt;"),"00000"),""))</f>
        <v/>
      </c>
      <c r="N6184" s="22"/>
    </row>
    <row r="6185" spans="1:14" x14ac:dyDescent="0.3">
      <c r="A6185" s="15" t="str">
        <f>IF(COUNTA($B6185:$E6185,$K6185)=0,"",IF(AND($B6185&lt;&gt;"",$C6185&lt;&gt;"",$D6185&lt;&gt;"",$E6185&lt;&gt;""),"TXS"&amp;TEXT(COUNTIFS($B$2:$B6185,"&lt;&gt;",$C$2:$C6185,"&lt;&gt;",$D$2:$D6185,"&lt;&gt;",$E$2:$E6185,"&lt;&gt;"),"00000"),""))</f>
        <v/>
      </c>
      <c r="N6185" s="22"/>
    </row>
    <row r="6186" spans="1:14" x14ac:dyDescent="0.3">
      <c r="A6186" s="15" t="str">
        <f>IF(COUNTA($B6186:$E6186,$K6186)=0,"",IF(AND($B6186&lt;&gt;"",$C6186&lt;&gt;"",$D6186&lt;&gt;"",$E6186&lt;&gt;""),"TXS"&amp;TEXT(COUNTIFS($B$2:$B6186,"&lt;&gt;",$C$2:$C6186,"&lt;&gt;",$D$2:$D6186,"&lt;&gt;",$E$2:$E6186,"&lt;&gt;"),"00000"),""))</f>
        <v/>
      </c>
      <c r="N6186" s="22"/>
    </row>
    <row r="6187" spans="1:14" x14ac:dyDescent="0.3">
      <c r="A6187" s="15" t="str">
        <f>IF(COUNTA($B6187:$E6187,$K6187)=0,"",IF(AND($B6187&lt;&gt;"",$C6187&lt;&gt;"",$D6187&lt;&gt;"",$E6187&lt;&gt;""),"TXS"&amp;TEXT(COUNTIFS($B$2:$B6187,"&lt;&gt;",$C$2:$C6187,"&lt;&gt;",$D$2:$D6187,"&lt;&gt;",$E$2:$E6187,"&lt;&gt;"),"00000"),""))</f>
        <v/>
      </c>
      <c r="N6187" s="22"/>
    </row>
    <row r="6188" spans="1:14" x14ac:dyDescent="0.3">
      <c r="A6188" s="15" t="str">
        <f>IF(COUNTA($B6188:$E6188,$K6188)=0,"",IF(AND($B6188&lt;&gt;"",$C6188&lt;&gt;"",$D6188&lt;&gt;"",$E6188&lt;&gt;""),"TXS"&amp;TEXT(COUNTIFS($B$2:$B6188,"&lt;&gt;",$C$2:$C6188,"&lt;&gt;",$D$2:$D6188,"&lt;&gt;",$E$2:$E6188,"&lt;&gt;"),"00000"),""))</f>
        <v/>
      </c>
      <c r="N6188" s="22"/>
    </row>
    <row r="6189" spans="1:14" x14ac:dyDescent="0.3">
      <c r="A6189" s="15" t="str">
        <f>IF(COUNTA($B6189:$E6189,$K6189)=0,"",IF(AND($B6189&lt;&gt;"",$C6189&lt;&gt;"",$D6189&lt;&gt;"",$E6189&lt;&gt;""),"TXS"&amp;TEXT(COUNTIFS($B$2:$B6189,"&lt;&gt;",$C$2:$C6189,"&lt;&gt;",$D$2:$D6189,"&lt;&gt;",$E$2:$E6189,"&lt;&gt;"),"00000"),""))</f>
        <v/>
      </c>
      <c r="N6189" s="22"/>
    </row>
    <row r="6190" spans="1:14" x14ac:dyDescent="0.3">
      <c r="A6190" s="15" t="str">
        <f>IF(COUNTA($B6190:$E6190,$K6190)=0,"",IF(AND($B6190&lt;&gt;"",$C6190&lt;&gt;"",$D6190&lt;&gt;"",$E6190&lt;&gt;""),"TXS"&amp;TEXT(COUNTIFS($B$2:$B6190,"&lt;&gt;",$C$2:$C6190,"&lt;&gt;",$D$2:$D6190,"&lt;&gt;",$E$2:$E6190,"&lt;&gt;"),"00000"),""))</f>
        <v/>
      </c>
      <c r="N6190" s="22"/>
    </row>
    <row r="6191" spans="1:14" x14ac:dyDescent="0.3">
      <c r="A6191" s="15" t="str">
        <f>IF(COUNTA($B6191:$E6191,$K6191)=0,"",IF(AND($B6191&lt;&gt;"",$C6191&lt;&gt;"",$D6191&lt;&gt;"",$E6191&lt;&gt;""),"TXS"&amp;TEXT(COUNTIFS($B$2:$B6191,"&lt;&gt;",$C$2:$C6191,"&lt;&gt;",$D$2:$D6191,"&lt;&gt;",$E$2:$E6191,"&lt;&gt;"),"00000"),""))</f>
        <v/>
      </c>
      <c r="N6191" s="22"/>
    </row>
    <row r="6192" spans="1:14" x14ac:dyDescent="0.3">
      <c r="A6192" s="15" t="str">
        <f>IF(COUNTA($B6192:$E6192,$K6192)=0,"",IF(AND($B6192&lt;&gt;"",$C6192&lt;&gt;"",$D6192&lt;&gt;"",$E6192&lt;&gt;""),"TXS"&amp;TEXT(COUNTIFS($B$2:$B6192,"&lt;&gt;",$C$2:$C6192,"&lt;&gt;",$D$2:$D6192,"&lt;&gt;",$E$2:$E6192,"&lt;&gt;"),"00000"),""))</f>
        <v/>
      </c>
      <c r="N6192" s="22"/>
    </row>
    <row r="6193" spans="1:14" x14ac:dyDescent="0.3">
      <c r="A6193" s="15" t="str">
        <f>IF(COUNTA($B6193:$E6193,$K6193)=0,"",IF(AND($B6193&lt;&gt;"",$C6193&lt;&gt;"",$D6193&lt;&gt;"",$E6193&lt;&gt;""),"TXS"&amp;TEXT(COUNTIFS($B$2:$B6193,"&lt;&gt;",$C$2:$C6193,"&lt;&gt;",$D$2:$D6193,"&lt;&gt;",$E$2:$E6193,"&lt;&gt;"),"00000"),""))</f>
        <v/>
      </c>
      <c r="N6193" s="22"/>
    </row>
    <row r="6194" spans="1:14" x14ac:dyDescent="0.3">
      <c r="A6194" s="15" t="str">
        <f>IF(COUNTA($B6194:$E6194,$K6194)=0,"",IF(AND($B6194&lt;&gt;"",$C6194&lt;&gt;"",$D6194&lt;&gt;"",$E6194&lt;&gt;""),"TXS"&amp;TEXT(COUNTIFS($B$2:$B6194,"&lt;&gt;",$C$2:$C6194,"&lt;&gt;",$D$2:$D6194,"&lt;&gt;",$E$2:$E6194,"&lt;&gt;"),"00000"),""))</f>
        <v/>
      </c>
      <c r="N6194" s="22"/>
    </row>
    <row r="6195" spans="1:14" x14ac:dyDescent="0.3">
      <c r="A6195" s="15" t="str">
        <f>IF(COUNTA($B6195:$E6195,$K6195)=0,"",IF(AND($B6195&lt;&gt;"",$C6195&lt;&gt;"",$D6195&lt;&gt;"",$E6195&lt;&gt;""),"TXS"&amp;TEXT(COUNTIFS($B$2:$B6195,"&lt;&gt;",$C$2:$C6195,"&lt;&gt;",$D$2:$D6195,"&lt;&gt;",$E$2:$E6195,"&lt;&gt;"),"00000"),""))</f>
        <v/>
      </c>
      <c r="N6195" s="22"/>
    </row>
    <row r="6196" spans="1:14" x14ac:dyDescent="0.3">
      <c r="A6196" s="15" t="str">
        <f>IF(COUNTA($B6196:$E6196,$K6196)=0,"",IF(AND($B6196&lt;&gt;"",$C6196&lt;&gt;"",$D6196&lt;&gt;"",$E6196&lt;&gt;""),"TXS"&amp;TEXT(COUNTIFS($B$2:$B6196,"&lt;&gt;",$C$2:$C6196,"&lt;&gt;",$D$2:$D6196,"&lt;&gt;",$E$2:$E6196,"&lt;&gt;"),"00000"),""))</f>
        <v/>
      </c>
      <c r="N6196" s="22"/>
    </row>
    <row r="6197" spans="1:14" x14ac:dyDescent="0.3">
      <c r="A6197" s="15" t="str">
        <f>IF(COUNTA($B6197:$E6197,$K6197)=0,"",IF(AND($B6197&lt;&gt;"",$C6197&lt;&gt;"",$D6197&lt;&gt;"",$E6197&lt;&gt;""),"TXS"&amp;TEXT(COUNTIFS($B$2:$B6197,"&lt;&gt;",$C$2:$C6197,"&lt;&gt;",$D$2:$D6197,"&lt;&gt;",$E$2:$E6197,"&lt;&gt;"),"00000"),""))</f>
        <v/>
      </c>
      <c r="N6197" s="22"/>
    </row>
    <row r="6198" spans="1:14" x14ac:dyDescent="0.3">
      <c r="A6198" s="15" t="str">
        <f>IF(COUNTA($B6198:$E6198,$K6198)=0,"",IF(AND($B6198&lt;&gt;"",$C6198&lt;&gt;"",$D6198&lt;&gt;"",$E6198&lt;&gt;""),"TXS"&amp;TEXT(COUNTIFS($B$2:$B6198,"&lt;&gt;",$C$2:$C6198,"&lt;&gt;",$D$2:$D6198,"&lt;&gt;",$E$2:$E6198,"&lt;&gt;"),"00000"),""))</f>
        <v/>
      </c>
      <c r="N6198" s="22"/>
    </row>
    <row r="6199" spans="1:14" x14ac:dyDescent="0.3">
      <c r="A6199" s="15" t="str">
        <f>IF(COUNTA($B6199:$E6199,$K6199)=0,"",IF(AND($B6199&lt;&gt;"",$C6199&lt;&gt;"",$D6199&lt;&gt;"",$E6199&lt;&gt;""),"TXS"&amp;TEXT(COUNTIFS($B$2:$B6199,"&lt;&gt;",$C$2:$C6199,"&lt;&gt;",$D$2:$D6199,"&lt;&gt;",$E$2:$E6199,"&lt;&gt;"),"00000"),""))</f>
        <v/>
      </c>
      <c r="N6199" s="22"/>
    </row>
    <row r="6200" spans="1:14" x14ac:dyDescent="0.3">
      <c r="A6200" s="15" t="str">
        <f>IF(COUNTA($B6200:$E6200,$K6200)=0,"",IF(AND($B6200&lt;&gt;"",$C6200&lt;&gt;"",$D6200&lt;&gt;"",$E6200&lt;&gt;""),"TXS"&amp;TEXT(COUNTIFS($B$2:$B6200,"&lt;&gt;",$C$2:$C6200,"&lt;&gt;",$D$2:$D6200,"&lt;&gt;",$E$2:$E6200,"&lt;&gt;"),"00000"),""))</f>
        <v/>
      </c>
      <c r="N6200" s="22"/>
    </row>
    <row r="6201" spans="1:14" x14ac:dyDescent="0.3">
      <c r="A6201" s="15" t="str">
        <f>IF(COUNTA($B6201:$E6201,$K6201)=0,"",IF(AND($B6201&lt;&gt;"",$C6201&lt;&gt;"",$D6201&lt;&gt;"",$E6201&lt;&gt;""),"TXS"&amp;TEXT(COUNTIFS($B$2:$B6201,"&lt;&gt;",$C$2:$C6201,"&lt;&gt;",$D$2:$D6201,"&lt;&gt;",$E$2:$E6201,"&lt;&gt;"),"00000"),""))</f>
        <v/>
      </c>
      <c r="N6201" s="22"/>
    </row>
    <row r="6202" spans="1:14" x14ac:dyDescent="0.3">
      <c r="A6202" s="15" t="str">
        <f>IF(COUNTA($B6202:$E6202,$K6202)=0,"",IF(AND($B6202&lt;&gt;"",$C6202&lt;&gt;"",$D6202&lt;&gt;"",$E6202&lt;&gt;""),"TXS"&amp;TEXT(COUNTIFS($B$2:$B6202,"&lt;&gt;",$C$2:$C6202,"&lt;&gt;",$D$2:$D6202,"&lt;&gt;",$E$2:$E6202,"&lt;&gt;"),"00000"),""))</f>
        <v/>
      </c>
      <c r="N6202" s="22"/>
    </row>
    <row r="6203" spans="1:14" x14ac:dyDescent="0.3">
      <c r="A6203" s="15" t="str">
        <f>IF(COUNTA($B6203:$E6203,$K6203)=0,"",IF(AND($B6203&lt;&gt;"",$C6203&lt;&gt;"",$D6203&lt;&gt;"",$E6203&lt;&gt;""),"TXS"&amp;TEXT(COUNTIFS($B$2:$B6203,"&lt;&gt;",$C$2:$C6203,"&lt;&gt;",$D$2:$D6203,"&lt;&gt;",$E$2:$E6203,"&lt;&gt;"),"00000"),""))</f>
        <v/>
      </c>
      <c r="N6203" s="22"/>
    </row>
    <row r="6204" spans="1:14" x14ac:dyDescent="0.3">
      <c r="A6204" s="15" t="str">
        <f>IF(COUNTA($B6204:$E6204,$K6204)=0,"",IF(AND($B6204&lt;&gt;"",$C6204&lt;&gt;"",$D6204&lt;&gt;"",$E6204&lt;&gt;""),"TXS"&amp;TEXT(COUNTIFS($B$2:$B6204,"&lt;&gt;",$C$2:$C6204,"&lt;&gt;",$D$2:$D6204,"&lt;&gt;",$E$2:$E6204,"&lt;&gt;"),"00000"),""))</f>
        <v/>
      </c>
      <c r="N6204" s="22"/>
    </row>
    <row r="6205" spans="1:14" x14ac:dyDescent="0.3">
      <c r="A6205" s="15" t="str">
        <f>IF(COUNTA($B6205:$E6205,$K6205)=0,"",IF(AND($B6205&lt;&gt;"",$C6205&lt;&gt;"",$D6205&lt;&gt;"",$E6205&lt;&gt;""),"TXS"&amp;TEXT(COUNTIFS($B$2:$B6205,"&lt;&gt;",$C$2:$C6205,"&lt;&gt;",$D$2:$D6205,"&lt;&gt;",$E$2:$E6205,"&lt;&gt;"),"00000"),""))</f>
        <v/>
      </c>
      <c r="N6205" s="22"/>
    </row>
    <row r="6206" spans="1:14" x14ac:dyDescent="0.3">
      <c r="A6206" s="15" t="str">
        <f>IF(COUNTA($B6206:$E6206,$K6206)=0,"",IF(AND($B6206&lt;&gt;"",$C6206&lt;&gt;"",$D6206&lt;&gt;"",$E6206&lt;&gt;""),"TXS"&amp;TEXT(COUNTIFS($B$2:$B6206,"&lt;&gt;",$C$2:$C6206,"&lt;&gt;",$D$2:$D6206,"&lt;&gt;",$E$2:$E6206,"&lt;&gt;"),"00000"),""))</f>
        <v/>
      </c>
      <c r="N6206" s="22"/>
    </row>
    <row r="6207" spans="1:14" x14ac:dyDescent="0.3">
      <c r="A6207" s="15" t="str">
        <f>IF(COUNTA($B6207:$E6207,$K6207)=0,"",IF(AND($B6207&lt;&gt;"",$C6207&lt;&gt;"",$D6207&lt;&gt;"",$E6207&lt;&gt;""),"TXS"&amp;TEXT(COUNTIFS($B$2:$B6207,"&lt;&gt;",$C$2:$C6207,"&lt;&gt;",$D$2:$D6207,"&lt;&gt;",$E$2:$E6207,"&lt;&gt;"),"00000"),""))</f>
        <v/>
      </c>
      <c r="N6207" s="22"/>
    </row>
    <row r="6208" spans="1:14" x14ac:dyDescent="0.3">
      <c r="A6208" s="15" t="str">
        <f>IF(COUNTA($B6208:$E6208,$K6208)=0,"",IF(AND($B6208&lt;&gt;"",$C6208&lt;&gt;"",$D6208&lt;&gt;"",$E6208&lt;&gt;""),"TXS"&amp;TEXT(COUNTIFS($B$2:$B6208,"&lt;&gt;",$C$2:$C6208,"&lt;&gt;",$D$2:$D6208,"&lt;&gt;",$E$2:$E6208,"&lt;&gt;"),"00000"),""))</f>
        <v/>
      </c>
      <c r="N6208" s="22"/>
    </row>
    <row r="6209" spans="1:14" x14ac:dyDescent="0.3">
      <c r="A6209" s="15" t="str">
        <f>IF(COUNTA($B6209:$E6209,$K6209)=0,"",IF(AND($B6209&lt;&gt;"",$C6209&lt;&gt;"",$D6209&lt;&gt;"",$E6209&lt;&gt;""),"TXS"&amp;TEXT(COUNTIFS($B$2:$B6209,"&lt;&gt;",$C$2:$C6209,"&lt;&gt;",$D$2:$D6209,"&lt;&gt;",$E$2:$E6209,"&lt;&gt;"),"00000"),""))</f>
        <v/>
      </c>
      <c r="N6209" s="22"/>
    </row>
    <row r="6210" spans="1:14" x14ac:dyDescent="0.3">
      <c r="A6210" s="15" t="str">
        <f>IF(COUNTA($B6210:$E6210,$K6210)=0,"",IF(AND($B6210&lt;&gt;"",$C6210&lt;&gt;"",$D6210&lt;&gt;"",$E6210&lt;&gt;""),"TXS"&amp;TEXT(COUNTIFS($B$2:$B6210,"&lt;&gt;",$C$2:$C6210,"&lt;&gt;",$D$2:$D6210,"&lt;&gt;",$E$2:$E6210,"&lt;&gt;"),"00000"),""))</f>
        <v/>
      </c>
      <c r="N6210" s="22"/>
    </row>
    <row r="6211" spans="1:14" x14ac:dyDescent="0.3">
      <c r="A6211" s="15" t="str">
        <f>IF(COUNTA($B6211:$E6211,$K6211)=0,"",IF(AND($B6211&lt;&gt;"",$C6211&lt;&gt;"",$D6211&lt;&gt;"",$E6211&lt;&gt;""),"TXS"&amp;TEXT(COUNTIFS($B$2:$B6211,"&lt;&gt;",$C$2:$C6211,"&lt;&gt;",$D$2:$D6211,"&lt;&gt;",$E$2:$E6211,"&lt;&gt;"),"00000"),""))</f>
        <v/>
      </c>
      <c r="N6211" s="22"/>
    </row>
    <row r="6212" spans="1:14" x14ac:dyDescent="0.3">
      <c r="A6212" s="15" t="str">
        <f>IF(COUNTA($B6212:$E6212,$K6212)=0,"",IF(AND($B6212&lt;&gt;"",$C6212&lt;&gt;"",$D6212&lt;&gt;"",$E6212&lt;&gt;""),"TXS"&amp;TEXT(COUNTIFS($B$2:$B6212,"&lt;&gt;",$C$2:$C6212,"&lt;&gt;",$D$2:$D6212,"&lt;&gt;",$E$2:$E6212,"&lt;&gt;"),"00000"),""))</f>
        <v/>
      </c>
      <c r="N6212" s="22"/>
    </row>
    <row r="6213" spans="1:14" x14ac:dyDescent="0.3">
      <c r="A6213" s="15" t="str">
        <f>IF(COUNTA($B6213:$E6213,$K6213)=0,"",IF(AND($B6213&lt;&gt;"",$C6213&lt;&gt;"",$D6213&lt;&gt;"",$E6213&lt;&gt;""),"TXS"&amp;TEXT(COUNTIFS($B$2:$B6213,"&lt;&gt;",$C$2:$C6213,"&lt;&gt;",$D$2:$D6213,"&lt;&gt;",$E$2:$E6213,"&lt;&gt;"),"00000"),""))</f>
        <v/>
      </c>
      <c r="N6213" s="22"/>
    </row>
    <row r="6214" spans="1:14" x14ac:dyDescent="0.3">
      <c r="A6214" s="15" t="str">
        <f>IF(COUNTA($B6214:$E6214,$K6214)=0,"",IF(AND($B6214&lt;&gt;"",$C6214&lt;&gt;"",$D6214&lt;&gt;"",$E6214&lt;&gt;""),"TXS"&amp;TEXT(COUNTIFS($B$2:$B6214,"&lt;&gt;",$C$2:$C6214,"&lt;&gt;",$D$2:$D6214,"&lt;&gt;",$E$2:$E6214,"&lt;&gt;"),"00000"),""))</f>
        <v/>
      </c>
      <c r="N6214" s="22"/>
    </row>
    <row r="6215" spans="1:14" x14ac:dyDescent="0.3">
      <c r="A6215" s="15" t="str">
        <f>IF(COUNTA($B6215:$E6215,$K6215)=0,"",IF(AND($B6215&lt;&gt;"",$C6215&lt;&gt;"",$D6215&lt;&gt;"",$E6215&lt;&gt;""),"TXS"&amp;TEXT(COUNTIFS($B$2:$B6215,"&lt;&gt;",$C$2:$C6215,"&lt;&gt;",$D$2:$D6215,"&lt;&gt;",$E$2:$E6215,"&lt;&gt;"),"00000"),""))</f>
        <v/>
      </c>
      <c r="N6215" s="22"/>
    </row>
    <row r="6216" spans="1:14" x14ac:dyDescent="0.3">
      <c r="A6216" s="15" t="str">
        <f>IF(COUNTA($B6216:$E6216,$K6216)=0,"",IF(AND($B6216&lt;&gt;"",$C6216&lt;&gt;"",$D6216&lt;&gt;"",$E6216&lt;&gt;""),"TXS"&amp;TEXT(COUNTIFS($B$2:$B6216,"&lt;&gt;",$C$2:$C6216,"&lt;&gt;",$D$2:$D6216,"&lt;&gt;",$E$2:$E6216,"&lt;&gt;"),"00000"),""))</f>
        <v/>
      </c>
      <c r="N6216" s="22"/>
    </row>
    <row r="6217" spans="1:14" x14ac:dyDescent="0.3">
      <c r="A6217" s="15" t="str">
        <f>IF(COUNTA($B6217:$E6217,$K6217)=0,"",IF(AND($B6217&lt;&gt;"",$C6217&lt;&gt;"",$D6217&lt;&gt;"",$E6217&lt;&gt;""),"TXS"&amp;TEXT(COUNTIFS($B$2:$B6217,"&lt;&gt;",$C$2:$C6217,"&lt;&gt;",$D$2:$D6217,"&lt;&gt;",$E$2:$E6217,"&lt;&gt;"),"00000"),""))</f>
        <v/>
      </c>
      <c r="N6217" s="22"/>
    </row>
    <row r="6218" spans="1:14" x14ac:dyDescent="0.3">
      <c r="A6218" s="15" t="str">
        <f>IF(COUNTA($B6218:$E6218,$K6218)=0,"",IF(AND($B6218&lt;&gt;"",$C6218&lt;&gt;"",$D6218&lt;&gt;"",$E6218&lt;&gt;""),"TXS"&amp;TEXT(COUNTIFS($B$2:$B6218,"&lt;&gt;",$C$2:$C6218,"&lt;&gt;",$D$2:$D6218,"&lt;&gt;",$E$2:$E6218,"&lt;&gt;"),"00000"),""))</f>
        <v/>
      </c>
      <c r="N6218" s="22"/>
    </row>
    <row r="6219" spans="1:14" x14ac:dyDescent="0.3">
      <c r="A6219" s="15" t="str">
        <f>IF(COUNTA($B6219:$E6219,$K6219)=0,"",IF(AND($B6219&lt;&gt;"",$C6219&lt;&gt;"",$D6219&lt;&gt;"",$E6219&lt;&gt;""),"TXS"&amp;TEXT(COUNTIFS($B$2:$B6219,"&lt;&gt;",$C$2:$C6219,"&lt;&gt;",$D$2:$D6219,"&lt;&gt;",$E$2:$E6219,"&lt;&gt;"),"00000"),""))</f>
        <v/>
      </c>
      <c r="N6219" s="22"/>
    </row>
    <row r="6220" spans="1:14" x14ac:dyDescent="0.3">
      <c r="A6220" s="15" t="str">
        <f>IF(COUNTA($B6220:$E6220,$K6220)=0,"",IF(AND($B6220&lt;&gt;"",$C6220&lt;&gt;"",$D6220&lt;&gt;"",$E6220&lt;&gt;""),"TXS"&amp;TEXT(COUNTIFS($B$2:$B6220,"&lt;&gt;",$C$2:$C6220,"&lt;&gt;",$D$2:$D6220,"&lt;&gt;",$E$2:$E6220,"&lt;&gt;"),"00000"),""))</f>
        <v/>
      </c>
      <c r="N6220" s="22"/>
    </row>
    <row r="6221" spans="1:14" x14ac:dyDescent="0.3">
      <c r="A6221" s="15" t="str">
        <f>IF(COUNTA($B6221:$E6221,$K6221)=0,"",IF(AND($B6221&lt;&gt;"",$C6221&lt;&gt;"",$D6221&lt;&gt;"",$E6221&lt;&gt;""),"TXS"&amp;TEXT(COUNTIFS($B$2:$B6221,"&lt;&gt;",$C$2:$C6221,"&lt;&gt;",$D$2:$D6221,"&lt;&gt;",$E$2:$E6221,"&lt;&gt;"),"00000"),""))</f>
        <v/>
      </c>
      <c r="N6221" s="22"/>
    </row>
    <row r="6222" spans="1:14" x14ac:dyDescent="0.3">
      <c r="A6222" s="15" t="str">
        <f>IF(COUNTA($B6222:$E6222,$K6222)=0,"",IF(AND($B6222&lt;&gt;"",$C6222&lt;&gt;"",$D6222&lt;&gt;"",$E6222&lt;&gt;""),"TXS"&amp;TEXT(COUNTIFS($B$2:$B6222,"&lt;&gt;",$C$2:$C6222,"&lt;&gt;",$D$2:$D6222,"&lt;&gt;",$E$2:$E6222,"&lt;&gt;"),"00000"),""))</f>
        <v/>
      </c>
      <c r="N6222" s="22"/>
    </row>
    <row r="6223" spans="1:14" x14ac:dyDescent="0.3">
      <c r="A6223" s="15" t="str">
        <f>IF(COUNTA($B6223:$E6223,$K6223)=0,"",IF(AND($B6223&lt;&gt;"",$C6223&lt;&gt;"",$D6223&lt;&gt;"",$E6223&lt;&gt;""),"TXS"&amp;TEXT(COUNTIFS($B$2:$B6223,"&lt;&gt;",$C$2:$C6223,"&lt;&gt;",$D$2:$D6223,"&lt;&gt;",$E$2:$E6223,"&lt;&gt;"),"00000"),""))</f>
        <v/>
      </c>
      <c r="N6223" s="22"/>
    </row>
    <row r="6224" spans="1:14" x14ac:dyDescent="0.3">
      <c r="A6224" s="15" t="str">
        <f>IF(COUNTA($B6224:$E6224,$K6224)=0,"",IF(AND($B6224&lt;&gt;"",$C6224&lt;&gt;"",$D6224&lt;&gt;"",$E6224&lt;&gt;""),"TXS"&amp;TEXT(COUNTIFS($B$2:$B6224,"&lt;&gt;",$C$2:$C6224,"&lt;&gt;",$D$2:$D6224,"&lt;&gt;",$E$2:$E6224,"&lt;&gt;"),"00000"),""))</f>
        <v/>
      </c>
      <c r="N6224" s="22"/>
    </row>
    <row r="6225" spans="1:14" x14ac:dyDescent="0.3">
      <c r="A6225" s="15" t="str">
        <f>IF(COUNTA($B6225:$E6225,$K6225)=0,"",IF(AND($B6225&lt;&gt;"",$C6225&lt;&gt;"",$D6225&lt;&gt;"",$E6225&lt;&gt;""),"TXS"&amp;TEXT(COUNTIFS($B$2:$B6225,"&lt;&gt;",$C$2:$C6225,"&lt;&gt;",$D$2:$D6225,"&lt;&gt;",$E$2:$E6225,"&lt;&gt;"),"00000"),""))</f>
        <v/>
      </c>
      <c r="N6225" s="22"/>
    </row>
    <row r="6226" spans="1:14" x14ac:dyDescent="0.3">
      <c r="A6226" s="15" t="str">
        <f>IF(COUNTA($B6226:$E6226,$K6226)=0,"",IF(AND($B6226&lt;&gt;"",$C6226&lt;&gt;"",$D6226&lt;&gt;"",$E6226&lt;&gt;""),"TXS"&amp;TEXT(COUNTIFS($B$2:$B6226,"&lt;&gt;",$C$2:$C6226,"&lt;&gt;",$D$2:$D6226,"&lt;&gt;",$E$2:$E6226,"&lt;&gt;"),"00000"),""))</f>
        <v/>
      </c>
      <c r="N6226" s="22"/>
    </row>
    <row r="6227" spans="1:14" x14ac:dyDescent="0.3">
      <c r="A6227" s="15" t="str">
        <f>IF(COUNTA($B6227:$E6227,$K6227)=0,"",IF(AND($B6227&lt;&gt;"",$C6227&lt;&gt;"",$D6227&lt;&gt;"",$E6227&lt;&gt;""),"TXS"&amp;TEXT(COUNTIFS($B$2:$B6227,"&lt;&gt;",$C$2:$C6227,"&lt;&gt;",$D$2:$D6227,"&lt;&gt;",$E$2:$E6227,"&lt;&gt;"),"00000"),""))</f>
        <v/>
      </c>
      <c r="N6227" s="22"/>
    </row>
    <row r="6228" spans="1:14" x14ac:dyDescent="0.3">
      <c r="A6228" s="15" t="str">
        <f>IF(COUNTA($B6228:$E6228,$K6228)=0,"",IF(AND($B6228&lt;&gt;"",$C6228&lt;&gt;"",$D6228&lt;&gt;"",$E6228&lt;&gt;""),"TXS"&amp;TEXT(COUNTIFS($B$2:$B6228,"&lt;&gt;",$C$2:$C6228,"&lt;&gt;",$D$2:$D6228,"&lt;&gt;",$E$2:$E6228,"&lt;&gt;"),"00000"),""))</f>
        <v/>
      </c>
      <c r="N6228" s="22"/>
    </row>
    <row r="6229" spans="1:14" x14ac:dyDescent="0.3">
      <c r="A6229" s="15" t="str">
        <f>IF(COUNTA($B6229:$E6229,$K6229)=0,"",IF(AND($B6229&lt;&gt;"",$C6229&lt;&gt;"",$D6229&lt;&gt;"",$E6229&lt;&gt;""),"TXS"&amp;TEXT(COUNTIFS($B$2:$B6229,"&lt;&gt;",$C$2:$C6229,"&lt;&gt;",$D$2:$D6229,"&lt;&gt;",$E$2:$E6229,"&lt;&gt;"),"00000"),""))</f>
        <v/>
      </c>
      <c r="N6229" s="22"/>
    </row>
    <row r="6230" spans="1:14" x14ac:dyDescent="0.3">
      <c r="A6230" s="15" t="str">
        <f>IF(COUNTA($B6230:$E6230,$K6230)=0,"",IF(AND($B6230&lt;&gt;"",$C6230&lt;&gt;"",$D6230&lt;&gt;"",$E6230&lt;&gt;""),"TXS"&amp;TEXT(COUNTIFS($B$2:$B6230,"&lt;&gt;",$C$2:$C6230,"&lt;&gt;",$D$2:$D6230,"&lt;&gt;",$E$2:$E6230,"&lt;&gt;"),"00000"),""))</f>
        <v/>
      </c>
      <c r="N6230" s="22"/>
    </row>
    <row r="6231" spans="1:14" x14ac:dyDescent="0.3">
      <c r="A6231" s="15" t="str">
        <f>IF(COUNTA($B6231:$E6231,$K6231)=0,"",IF(AND($B6231&lt;&gt;"",$C6231&lt;&gt;"",$D6231&lt;&gt;"",$E6231&lt;&gt;""),"TXS"&amp;TEXT(COUNTIFS($B$2:$B6231,"&lt;&gt;",$C$2:$C6231,"&lt;&gt;",$D$2:$D6231,"&lt;&gt;",$E$2:$E6231,"&lt;&gt;"),"00000"),""))</f>
        <v/>
      </c>
      <c r="N6231" s="22"/>
    </row>
    <row r="6232" spans="1:14" x14ac:dyDescent="0.3">
      <c r="A6232" s="15" t="str">
        <f>IF(COUNTA($B6232:$E6232,$K6232)=0,"",IF(AND($B6232&lt;&gt;"",$C6232&lt;&gt;"",$D6232&lt;&gt;"",$E6232&lt;&gt;""),"TXS"&amp;TEXT(COUNTIFS($B$2:$B6232,"&lt;&gt;",$C$2:$C6232,"&lt;&gt;",$D$2:$D6232,"&lt;&gt;",$E$2:$E6232,"&lt;&gt;"),"00000"),""))</f>
        <v/>
      </c>
      <c r="N6232" s="22"/>
    </row>
    <row r="6233" spans="1:14" x14ac:dyDescent="0.3">
      <c r="A6233" s="15" t="str">
        <f>IF(COUNTA($B6233:$E6233,$K6233)=0,"",IF(AND($B6233&lt;&gt;"",$C6233&lt;&gt;"",$D6233&lt;&gt;"",$E6233&lt;&gt;""),"TXS"&amp;TEXT(COUNTIFS($B$2:$B6233,"&lt;&gt;",$C$2:$C6233,"&lt;&gt;",$D$2:$D6233,"&lt;&gt;",$E$2:$E6233,"&lt;&gt;"),"00000"),""))</f>
        <v/>
      </c>
      <c r="N6233" s="22"/>
    </row>
    <row r="6234" spans="1:14" x14ac:dyDescent="0.3">
      <c r="A6234" s="15" t="str">
        <f>IF(COUNTA($B6234:$E6234,$K6234)=0,"",IF(AND($B6234&lt;&gt;"",$C6234&lt;&gt;"",$D6234&lt;&gt;"",$E6234&lt;&gt;""),"TXS"&amp;TEXT(COUNTIFS($B$2:$B6234,"&lt;&gt;",$C$2:$C6234,"&lt;&gt;",$D$2:$D6234,"&lt;&gt;",$E$2:$E6234,"&lt;&gt;"),"00000"),""))</f>
        <v/>
      </c>
      <c r="N6234" s="22"/>
    </row>
    <row r="6235" spans="1:14" x14ac:dyDescent="0.3">
      <c r="A6235" s="15" t="str">
        <f>IF(COUNTA($B6235:$E6235,$K6235)=0,"",IF(AND($B6235&lt;&gt;"",$C6235&lt;&gt;"",$D6235&lt;&gt;"",$E6235&lt;&gt;""),"TXS"&amp;TEXT(COUNTIFS($B$2:$B6235,"&lt;&gt;",$C$2:$C6235,"&lt;&gt;",$D$2:$D6235,"&lt;&gt;",$E$2:$E6235,"&lt;&gt;"),"00000"),""))</f>
        <v/>
      </c>
      <c r="N6235" s="22"/>
    </row>
    <row r="6236" spans="1:14" x14ac:dyDescent="0.3">
      <c r="A6236" s="15" t="str">
        <f>IF(COUNTA($B6236:$E6236,$K6236)=0,"",IF(AND($B6236&lt;&gt;"",$C6236&lt;&gt;"",$D6236&lt;&gt;"",$E6236&lt;&gt;""),"TXS"&amp;TEXT(COUNTIFS($B$2:$B6236,"&lt;&gt;",$C$2:$C6236,"&lt;&gt;",$D$2:$D6236,"&lt;&gt;",$E$2:$E6236,"&lt;&gt;"),"00000"),""))</f>
        <v/>
      </c>
      <c r="N6236" s="22"/>
    </row>
    <row r="6237" spans="1:14" x14ac:dyDescent="0.3">
      <c r="A6237" s="15" t="str">
        <f>IF(COUNTA($B6237:$E6237,$K6237)=0,"",IF(AND($B6237&lt;&gt;"",$C6237&lt;&gt;"",$D6237&lt;&gt;"",$E6237&lt;&gt;""),"TXS"&amp;TEXT(COUNTIFS($B$2:$B6237,"&lt;&gt;",$C$2:$C6237,"&lt;&gt;",$D$2:$D6237,"&lt;&gt;",$E$2:$E6237,"&lt;&gt;"),"00000"),""))</f>
        <v/>
      </c>
      <c r="N6237" s="22"/>
    </row>
    <row r="6238" spans="1:14" x14ac:dyDescent="0.3">
      <c r="A6238" s="15" t="str">
        <f>IF(COUNTA($B6238:$E6238,$K6238)=0,"",IF(AND($B6238&lt;&gt;"",$C6238&lt;&gt;"",$D6238&lt;&gt;"",$E6238&lt;&gt;""),"TXS"&amp;TEXT(COUNTIFS($B$2:$B6238,"&lt;&gt;",$C$2:$C6238,"&lt;&gt;",$D$2:$D6238,"&lt;&gt;",$E$2:$E6238,"&lt;&gt;"),"00000"),""))</f>
        <v/>
      </c>
      <c r="N6238" s="22"/>
    </row>
    <row r="6239" spans="1:14" x14ac:dyDescent="0.3">
      <c r="A6239" s="15" t="str">
        <f>IF(COUNTA($B6239:$E6239,$K6239)=0,"",IF(AND($B6239&lt;&gt;"",$C6239&lt;&gt;"",$D6239&lt;&gt;"",$E6239&lt;&gt;""),"TXS"&amp;TEXT(COUNTIFS($B$2:$B6239,"&lt;&gt;",$C$2:$C6239,"&lt;&gt;",$D$2:$D6239,"&lt;&gt;",$E$2:$E6239,"&lt;&gt;"),"00000"),""))</f>
        <v/>
      </c>
      <c r="N6239" s="22"/>
    </row>
    <row r="6240" spans="1:14" x14ac:dyDescent="0.3">
      <c r="A6240" s="15" t="str">
        <f>IF(COUNTA($B6240:$E6240,$K6240)=0,"",IF(AND($B6240&lt;&gt;"",$C6240&lt;&gt;"",$D6240&lt;&gt;"",$E6240&lt;&gt;""),"TXS"&amp;TEXT(COUNTIFS($B$2:$B6240,"&lt;&gt;",$C$2:$C6240,"&lt;&gt;",$D$2:$D6240,"&lt;&gt;",$E$2:$E6240,"&lt;&gt;"),"00000"),""))</f>
        <v/>
      </c>
      <c r="N6240" s="22"/>
    </row>
    <row r="6241" spans="1:14" x14ac:dyDescent="0.3">
      <c r="A6241" s="15" t="str">
        <f>IF(COUNTA($B6241:$E6241,$K6241)=0,"",IF(AND($B6241&lt;&gt;"",$C6241&lt;&gt;"",$D6241&lt;&gt;"",$E6241&lt;&gt;""),"TXS"&amp;TEXT(COUNTIFS($B$2:$B6241,"&lt;&gt;",$C$2:$C6241,"&lt;&gt;",$D$2:$D6241,"&lt;&gt;",$E$2:$E6241,"&lt;&gt;"),"00000"),""))</f>
        <v/>
      </c>
      <c r="N6241" s="22"/>
    </row>
    <row r="6242" spans="1:14" x14ac:dyDescent="0.3">
      <c r="A6242" s="15" t="str">
        <f>IF(COUNTA($B6242:$E6242,$K6242)=0,"",IF(AND($B6242&lt;&gt;"",$C6242&lt;&gt;"",$D6242&lt;&gt;"",$E6242&lt;&gt;""),"TXS"&amp;TEXT(COUNTIFS($B$2:$B6242,"&lt;&gt;",$C$2:$C6242,"&lt;&gt;",$D$2:$D6242,"&lt;&gt;",$E$2:$E6242,"&lt;&gt;"),"00000"),""))</f>
        <v/>
      </c>
      <c r="N6242" s="22"/>
    </row>
    <row r="6243" spans="1:14" x14ac:dyDescent="0.3">
      <c r="A6243" s="15" t="str">
        <f>IF(COUNTA($B6243:$E6243,$K6243)=0,"",IF(AND($B6243&lt;&gt;"",$C6243&lt;&gt;"",$D6243&lt;&gt;"",$E6243&lt;&gt;""),"TXS"&amp;TEXT(COUNTIFS($B$2:$B6243,"&lt;&gt;",$C$2:$C6243,"&lt;&gt;",$D$2:$D6243,"&lt;&gt;",$E$2:$E6243,"&lt;&gt;"),"00000"),""))</f>
        <v/>
      </c>
      <c r="N6243" s="22"/>
    </row>
    <row r="6244" spans="1:14" x14ac:dyDescent="0.3">
      <c r="A6244" s="15" t="str">
        <f>IF(COUNTA($B6244:$E6244,$K6244)=0,"",IF(AND($B6244&lt;&gt;"",$C6244&lt;&gt;"",$D6244&lt;&gt;"",$E6244&lt;&gt;""),"TXS"&amp;TEXT(COUNTIFS($B$2:$B6244,"&lt;&gt;",$C$2:$C6244,"&lt;&gt;",$D$2:$D6244,"&lt;&gt;",$E$2:$E6244,"&lt;&gt;"),"00000"),""))</f>
        <v/>
      </c>
      <c r="N6244" s="22"/>
    </row>
    <row r="6245" spans="1:14" x14ac:dyDescent="0.3">
      <c r="A6245" s="15" t="str">
        <f>IF(COUNTA($B6245:$E6245,$K6245)=0,"",IF(AND($B6245&lt;&gt;"",$C6245&lt;&gt;"",$D6245&lt;&gt;"",$E6245&lt;&gt;""),"TXS"&amp;TEXT(COUNTIFS($B$2:$B6245,"&lt;&gt;",$C$2:$C6245,"&lt;&gt;",$D$2:$D6245,"&lt;&gt;",$E$2:$E6245,"&lt;&gt;"),"00000"),""))</f>
        <v/>
      </c>
      <c r="N6245" s="22"/>
    </row>
    <row r="6246" spans="1:14" x14ac:dyDescent="0.3">
      <c r="A6246" s="15" t="str">
        <f>IF(COUNTA($B6246:$E6246,$K6246)=0,"",IF(AND($B6246&lt;&gt;"",$C6246&lt;&gt;"",$D6246&lt;&gt;"",$E6246&lt;&gt;""),"TXS"&amp;TEXT(COUNTIFS($B$2:$B6246,"&lt;&gt;",$C$2:$C6246,"&lt;&gt;",$D$2:$D6246,"&lt;&gt;",$E$2:$E6246,"&lt;&gt;"),"00000"),""))</f>
        <v/>
      </c>
      <c r="N6246" s="22"/>
    </row>
    <row r="6247" spans="1:14" x14ac:dyDescent="0.3">
      <c r="A6247" s="15" t="str">
        <f>IF(COUNTA($B6247:$E6247,$K6247)=0,"",IF(AND($B6247&lt;&gt;"",$C6247&lt;&gt;"",$D6247&lt;&gt;"",$E6247&lt;&gt;""),"TXS"&amp;TEXT(COUNTIFS($B$2:$B6247,"&lt;&gt;",$C$2:$C6247,"&lt;&gt;",$D$2:$D6247,"&lt;&gt;",$E$2:$E6247,"&lt;&gt;"),"00000"),""))</f>
        <v/>
      </c>
      <c r="N6247" s="22"/>
    </row>
    <row r="6248" spans="1:14" x14ac:dyDescent="0.3">
      <c r="A6248" s="15" t="str">
        <f>IF(COUNTA($B6248:$E6248,$K6248)=0,"",IF(AND($B6248&lt;&gt;"",$C6248&lt;&gt;"",$D6248&lt;&gt;"",$E6248&lt;&gt;""),"TXS"&amp;TEXT(COUNTIFS($B$2:$B6248,"&lt;&gt;",$C$2:$C6248,"&lt;&gt;",$D$2:$D6248,"&lt;&gt;",$E$2:$E6248,"&lt;&gt;"),"00000"),""))</f>
        <v/>
      </c>
      <c r="N6248" s="22"/>
    </row>
    <row r="6249" spans="1:14" x14ac:dyDescent="0.3">
      <c r="A6249" s="15" t="str">
        <f>IF(COUNTA($B6249:$E6249,$K6249)=0,"",IF(AND($B6249&lt;&gt;"",$C6249&lt;&gt;"",$D6249&lt;&gt;"",$E6249&lt;&gt;""),"TXS"&amp;TEXT(COUNTIFS($B$2:$B6249,"&lt;&gt;",$C$2:$C6249,"&lt;&gt;",$D$2:$D6249,"&lt;&gt;",$E$2:$E6249,"&lt;&gt;"),"00000"),""))</f>
        <v/>
      </c>
      <c r="N6249" s="22"/>
    </row>
    <row r="6250" spans="1:14" x14ac:dyDescent="0.3">
      <c r="A6250" s="15" t="str">
        <f>IF(COUNTA($B6250:$E6250,$K6250)=0,"",IF(AND($B6250&lt;&gt;"",$C6250&lt;&gt;"",$D6250&lt;&gt;"",$E6250&lt;&gt;""),"TXS"&amp;TEXT(COUNTIFS($B$2:$B6250,"&lt;&gt;",$C$2:$C6250,"&lt;&gt;",$D$2:$D6250,"&lt;&gt;",$E$2:$E6250,"&lt;&gt;"),"00000"),""))</f>
        <v/>
      </c>
      <c r="N6250" s="22"/>
    </row>
    <row r="6251" spans="1:14" x14ac:dyDescent="0.3">
      <c r="A6251" s="15" t="str">
        <f>IF(COUNTA($B6251:$E6251,$K6251)=0,"",IF(AND($B6251&lt;&gt;"",$C6251&lt;&gt;"",$D6251&lt;&gt;"",$E6251&lt;&gt;""),"TXS"&amp;TEXT(COUNTIFS($B$2:$B6251,"&lt;&gt;",$C$2:$C6251,"&lt;&gt;",$D$2:$D6251,"&lt;&gt;",$E$2:$E6251,"&lt;&gt;"),"00000"),""))</f>
        <v/>
      </c>
      <c r="N6251" s="22"/>
    </row>
    <row r="6252" spans="1:14" x14ac:dyDescent="0.3">
      <c r="A6252" s="15" t="str">
        <f>IF(COUNTA($B6252:$E6252,$K6252)=0,"",IF(AND($B6252&lt;&gt;"",$C6252&lt;&gt;"",$D6252&lt;&gt;"",$E6252&lt;&gt;""),"TXS"&amp;TEXT(COUNTIFS($B$2:$B6252,"&lt;&gt;",$C$2:$C6252,"&lt;&gt;",$D$2:$D6252,"&lt;&gt;",$E$2:$E6252,"&lt;&gt;"),"00000"),""))</f>
        <v/>
      </c>
      <c r="N6252" s="22"/>
    </row>
    <row r="6253" spans="1:14" x14ac:dyDescent="0.3">
      <c r="A6253" s="15" t="str">
        <f>IF(COUNTA($B6253:$E6253,$K6253)=0,"",IF(AND($B6253&lt;&gt;"",$C6253&lt;&gt;"",$D6253&lt;&gt;"",$E6253&lt;&gt;""),"TXS"&amp;TEXT(COUNTIFS($B$2:$B6253,"&lt;&gt;",$C$2:$C6253,"&lt;&gt;",$D$2:$D6253,"&lt;&gt;",$E$2:$E6253,"&lt;&gt;"),"00000"),""))</f>
        <v/>
      </c>
      <c r="N6253" s="22"/>
    </row>
    <row r="6254" spans="1:14" x14ac:dyDescent="0.3">
      <c r="A6254" s="15" t="str">
        <f>IF(COUNTA($B6254:$E6254,$K6254)=0,"",IF(AND($B6254&lt;&gt;"",$C6254&lt;&gt;"",$D6254&lt;&gt;"",$E6254&lt;&gt;""),"TXS"&amp;TEXT(COUNTIFS($B$2:$B6254,"&lt;&gt;",$C$2:$C6254,"&lt;&gt;",$D$2:$D6254,"&lt;&gt;",$E$2:$E6254,"&lt;&gt;"),"00000"),""))</f>
        <v/>
      </c>
      <c r="N6254" s="22"/>
    </row>
    <row r="6255" spans="1:14" x14ac:dyDescent="0.3">
      <c r="A6255" s="15" t="str">
        <f>IF(COUNTA($B6255:$E6255,$K6255)=0,"",IF(AND($B6255&lt;&gt;"",$C6255&lt;&gt;"",$D6255&lt;&gt;"",$E6255&lt;&gt;""),"TXS"&amp;TEXT(COUNTIFS($B$2:$B6255,"&lt;&gt;",$C$2:$C6255,"&lt;&gt;",$D$2:$D6255,"&lt;&gt;",$E$2:$E6255,"&lt;&gt;"),"00000"),""))</f>
        <v/>
      </c>
      <c r="N6255" s="22"/>
    </row>
    <row r="6256" spans="1:14" x14ac:dyDescent="0.3">
      <c r="A6256" s="15" t="str">
        <f>IF(COUNTA($B6256:$E6256,$K6256)=0,"",IF(AND($B6256&lt;&gt;"",$C6256&lt;&gt;"",$D6256&lt;&gt;"",$E6256&lt;&gt;""),"TXS"&amp;TEXT(COUNTIFS($B$2:$B6256,"&lt;&gt;",$C$2:$C6256,"&lt;&gt;",$D$2:$D6256,"&lt;&gt;",$E$2:$E6256,"&lt;&gt;"),"00000"),""))</f>
        <v/>
      </c>
      <c r="N6256" s="22"/>
    </row>
    <row r="6257" spans="1:14" x14ac:dyDescent="0.3">
      <c r="A6257" s="15" t="str">
        <f>IF(COUNTA($B6257:$E6257,$K6257)=0,"",IF(AND($B6257&lt;&gt;"",$C6257&lt;&gt;"",$D6257&lt;&gt;"",$E6257&lt;&gt;""),"TXS"&amp;TEXT(COUNTIFS($B$2:$B6257,"&lt;&gt;",$C$2:$C6257,"&lt;&gt;",$D$2:$D6257,"&lt;&gt;",$E$2:$E6257,"&lt;&gt;"),"00000"),""))</f>
        <v/>
      </c>
      <c r="N6257" s="22"/>
    </row>
    <row r="6258" spans="1:14" x14ac:dyDescent="0.3">
      <c r="A6258" s="15" t="str">
        <f>IF(COUNTA($B6258:$E6258,$K6258)=0,"",IF(AND($B6258&lt;&gt;"",$C6258&lt;&gt;"",$D6258&lt;&gt;"",$E6258&lt;&gt;""),"TXS"&amp;TEXT(COUNTIFS($B$2:$B6258,"&lt;&gt;",$C$2:$C6258,"&lt;&gt;",$D$2:$D6258,"&lt;&gt;",$E$2:$E6258,"&lt;&gt;"),"00000"),""))</f>
        <v/>
      </c>
      <c r="N6258" s="22"/>
    </row>
    <row r="6259" spans="1:14" x14ac:dyDescent="0.3">
      <c r="A6259" s="15" t="str">
        <f>IF(COUNTA($B6259:$E6259,$K6259)=0,"",IF(AND($B6259&lt;&gt;"",$C6259&lt;&gt;"",$D6259&lt;&gt;"",$E6259&lt;&gt;""),"TXS"&amp;TEXT(COUNTIFS($B$2:$B6259,"&lt;&gt;",$C$2:$C6259,"&lt;&gt;",$D$2:$D6259,"&lt;&gt;",$E$2:$E6259,"&lt;&gt;"),"00000"),""))</f>
        <v/>
      </c>
      <c r="N6259" s="22"/>
    </row>
    <row r="6260" spans="1:14" x14ac:dyDescent="0.3">
      <c r="A6260" s="15" t="str">
        <f>IF(COUNTA($B6260:$E6260,$K6260)=0,"",IF(AND($B6260&lt;&gt;"",$C6260&lt;&gt;"",$D6260&lt;&gt;"",$E6260&lt;&gt;""),"TXS"&amp;TEXT(COUNTIFS($B$2:$B6260,"&lt;&gt;",$C$2:$C6260,"&lt;&gt;",$D$2:$D6260,"&lt;&gt;",$E$2:$E6260,"&lt;&gt;"),"00000"),""))</f>
        <v/>
      </c>
      <c r="N6260" s="22"/>
    </row>
    <row r="6261" spans="1:14" x14ac:dyDescent="0.3">
      <c r="A6261" s="15" t="str">
        <f>IF(COUNTA($B6261:$E6261,$K6261)=0,"",IF(AND($B6261&lt;&gt;"",$C6261&lt;&gt;"",$D6261&lt;&gt;"",$E6261&lt;&gt;""),"TXS"&amp;TEXT(COUNTIFS($B$2:$B6261,"&lt;&gt;",$C$2:$C6261,"&lt;&gt;",$D$2:$D6261,"&lt;&gt;",$E$2:$E6261,"&lt;&gt;"),"00000"),""))</f>
        <v/>
      </c>
      <c r="N6261" s="22"/>
    </row>
    <row r="6262" spans="1:14" x14ac:dyDescent="0.3">
      <c r="A6262" s="15" t="str">
        <f>IF(COUNTA($B6262:$E6262,$K6262)=0,"",IF(AND($B6262&lt;&gt;"",$C6262&lt;&gt;"",$D6262&lt;&gt;"",$E6262&lt;&gt;""),"TXS"&amp;TEXT(COUNTIFS($B$2:$B6262,"&lt;&gt;",$C$2:$C6262,"&lt;&gt;",$D$2:$D6262,"&lt;&gt;",$E$2:$E6262,"&lt;&gt;"),"00000"),""))</f>
        <v/>
      </c>
      <c r="N6262" s="22"/>
    </row>
    <row r="6263" spans="1:14" x14ac:dyDescent="0.3">
      <c r="A6263" s="15" t="str">
        <f>IF(COUNTA($B6263:$E6263,$K6263)=0,"",IF(AND($B6263&lt;&gt;"",$C6263&lt;&gt;"",$D6263&lt;&gt;"",$E6263&lt;&gt;""),"TXS"&amp;TEXT(COUNTIFS($B$2:$B6263,"&lt;&gt;",$C$2:$C6263,"&lt;&gt;",$D$2:$D6263,"&lt;&gt;",$E$2:$E6263,"&lt;&gt;"),"00000"),""))</f>
        <v/>
      </c>
      <c r="N6263" s="22"/>
    </row>
    <row r="6264" spans="1:14" x14ac:dyDescent="0.3">
      <c r="A6264" s="15" t="str">
        <f>IF(COUNTA($B6264:$E6264,$K6264)=0,"",IF(AND($B6264&lt;&gt;"",$C6264&lt;&gt;"",$D6264&lt;&gt;"",$E6264&lt;&gt;""),"TXS"&amp;TEXT(COUNTIFS($B$2:$B6264,"&lt;&gt;",$C$2:$C6264,"&lt;&gt;",$D$2:$D6264,"&lt;&gt;",$E$2:$E6264,"&lt;&gt;"),"00000"),""))</f>
        <v/>
      </c>
      <c r="N6264" s="22"/>
    </row>
    <row r="6265" spans="1:14" x14ac:dyDescent="0.3">
      <c r="A6265" s="15" t="str">
        <f>IF(COUNTA($B6265:$E6265,$K6265)=0,"",IF(AND($B6265&lt;&gt;"",$C6265&lt;&gt;"",$D6265&lt;&gt;"",$E6265&lt;&gt;""),"TXS"&amp;TEXT(COUNTIFS($B$2:$B6265,"&lt;&gt;",$C$2:$C6265,"&lt;&gt;",$D$2:$D6265,"&lt;&gt;",$E$2:$E6265,"&lt;&gt;"),"00000"),""))</f>
        <v/>
      </c>
      <c r="N6265" s="22"/>
    </row>
    <row r="6266" spans="1:14" x14ac:dyDescent="0.3">
      <c r="A6266" s="15" t="str">
        <f>IF(COUNTA($B6266:$E6266,$K6266)=0,"",IF(AND($B6266&lt;&gt;"",$C6266&lt;&gt;"",$D6266&lt;&gt;"",$E6266&lt;&gt;""),"TXS"&amp;TEXT(COUNTIFS($B$2:$B6266,"&lt;&gt;",$C$2:$C6266,"&lt;&gt;",$D$2:$D6266,"&lt;&gt;",$E$2:$E6266,"&lt;&gt;"),"00000"),""))</f>
        <v/>
      </c>
      <c r="N6266" s="22"/>
    </row>
    <row r="6267" spans="1:14" x14ac:dyDescent="0.3">
      <c r="A6267" s="15" t="str">
        <f>IF(COUNTA($B6267:$E6267,$K6267)=0,"",IF(AND($B6267&lt;&gt;"",$C6267&lt;&gt;"",$D6267&lt;&gt;"",$E6267&lt;&gt;""),"TXS"&amp;TEXT(COUNTIFS($B$2:$B6267,"&lt;&gt;",$C$2:$C6267,"&lt;&gt;",$D$2:$D6267,"&lt;&gt;",$E$2:$E6267,"&lt;&gt;"),"00000"),""))</f>
        <v/>
      </c>
      <c r="N6267" s="22"/>
    </row>
    <row r="6268" spans="1:14" x14ac:dyDescent="0.3">
      <c r="A6268" s="15" t="str">
        <f>IF(COUNTA($B6268:$E6268,$K6268)=0,"",IF(AND($B6268&lt;&gt;"",$C6268&lt;&gt;"",$D6268&lt;&gt;"",$E6268&lt;&gt;""),"TXS"&amp;TEXT(COUNTIFS($B$2:$B6268,"&lt;&gt;",$C$2:$C6268,"&lt;&gt;",$D$2:$D6268,"&lt;&gt;",$E$2:$E6268,"&lt;&gt;"),"00000"),""))</f>
        <v/>
      </c>
      <c r="N6268" s="22"/>
    </row>
    <row r="6269" spans="1:14" x14ac:dyDescent="0.3">
      <c r="A6269" s="15" t="str">
        <f>IF(COUNTA($B6269:$E6269,$K6269)=0,"",IF(AND($B6269&lt;&gt;"",$C6269&lt;&gt;"",$D6269&lt;&gt;"",$E6269&lt;&gt;""),"TXS"&amp;TEXT(COUNTIFS($B$2:$B6269,"&lt;&gt;",$C$2:$C6269,"&lt;&gt;",$D$2:$D6269,"&lt;&gt;",$E$2:$E6269,"&lt;&gt;"),"00000"),""))</f>
        <v/>
      </c>
      <c r="N6269" s="22"/>
    </row>
    <row r="6270" spans="1:14" x14ac:dyDescent="0.3">
      <c r="A6270" s="15" t="str">
        <f>IF(COUNTA($B6270:$E6270,$K6270)=0,"",IF(AND($B6270&lt;&gt;"",$C6270&lt;&gt;"",$D6270&lt;&gt;"",$E6270&lt;&gt;""),"TXS"&amp;TEXT(COUNTIFS($B$2:$B6270,"&lt;&gt;",$C$2:$C6270,"&lt;&gt;",$D$2:$D6270,"&lt;&gt;",$E$2:$E6270,"&lt;&gt;"),"00000"),""))</f>
        <v/>
      </c>
      <c r="N6270" s="22"/>
    </row>
    <row r="6271" spans="1:14" x14ac:dyDescent="0.3">
      <c r="A6271" s="15" t="str">
        <f>IF(COUNTA($B6271:$E6271,$K6271)=0,"",IF(AND($B6271&lt;&gt;"",$C6271&lt;&gt;"",$D6271&lt;&gt;"",$E6271&lt;&gt;""),"TXS"&amp;TEXT(COUNTIFS($B$2:$B6271,"&lt;&gt;",$C$2:$C6271,"&lt;&gt;",$D$2:$D6271,"&lt;&gt;",$E$2:$E6271,"&lt;&gt;"),"00000"),""))</f>
        <v/>
      </c>
      <c r="N6271" s="22"/>
    </row>
    <row r="6272" spans="1:14" x14ac:dyDescent="0.3">
      <c r="A6272" s="15" t="str">
        <f>IF(COUNTA($B6272:$E6272,$K6272)=0,"",IF(AND($B6272&lt;&gt;"",$C6272&lt;&gt;"",$D6272&lt;&gt;"",$E6272&lt;&gt;""),"TXS"&amp;TEXT(COUNTIFS($B$2:$B6272,"&lt;&gt;",$C$2:$C6272,"&lt;&gt;",$D$2:$D6272,"&lt;&gt;",$E$2:$E6272,"&lt;&gt;"),"00000"),""))</f>
        <v/>
      </c>
      <c r="N6272" s="22"/>
    </row>
    <row r="6273" spans="1:14" x14ac:dyDescent="0.3">
      <c r="A6273" s="15" t="str">
        <f>IF(COUNTA($B6273:$E6273,$K6273)=0,"",IF(AND($B6273&lt;&gt;"",$C6273&lt;&gt;"",$D6273&lt;&gt;"",$E6273&lt;&gt;""),"TXS"&amp;TEXT(COUNTIFS($B$2:$B6273,"&lt;&gt;",$C$2:$C6273,"&lt;&gt;",$D$2:$D6273,"&lt;&gt;",$E$2:$E6273,"&lt;&gt;"),"00000"),""))</f>
        <v/>
      </c>
      <c r="N6273" s="22"/>
    </row>
    <row r="6274" spans="1:14" x14ac:dyDescent="0.3">
      <c r="A6274" s="15" t="str">
        <f>IF(COUNTA($B6274:$E6274,$K6274)=0,"",IF(AND($B6274&lt;&gt;"",$C6274&lt;&gt;"",$D6274&lt;&gt;"",$E6274&lt;&gt;""),"TXS"&amp;TEXT(COUNTIFS($B$2:$B6274,"&lt;&gt;",$C$2:$C6274,"&lt;&gt;",$D$2:$D6274,"&lt;&gt;",$E$2:$E6274,"&lt;&gt;"),"00000"),""))</f>
        <v/>
      </c>
      <c r="N6274" s="22"/>
    </row>
    <row r="6275" spans="1:14" x14ac:dyDescent="0.3">
      <c r="A6275" s="15" t="str">
        <f>IF(COUNTA($B6275:$E6275,$K6275)=0,"",IF(AND($B6275&lt;&gt;"",$C6275&lt;&gt;"",$D6275&lt;&gt;"",$E6275&lt;&gt;""),"TXS"&amp;TEXT(COUNTIFS($B$2:$B6275,"&lt;&gt;",$C$2:$C6275,"&lt;&gt;",$D$2:$D6275,"&lt;&gt;",$E$2:$E6275,"&lt;&gt;"),"00000"),""))</f>
        <v/>
      </c>
      <c r="N6275" s="22"/>
    </row>
    <row r="6276" spans="1:14" x14ac:dyDescent="0.3">
      <c r="A6276" s="15" t="str">
        <f>IF(COUNTA($B6276:$E6276,$K6276)=0,"",IF(AND($B6276&lt;&gt;"",$C6276&lt;&gt;"",$D6276&lt;&gt;"",$E6276&lt;&gt;""),"TXS"&amp;TEXT(COUNTIFS($B$2:$B6276,"&lt;&gt;",$C$2:$C6276,"&lt;&gt;",$D$2:$D6276,"&lt;&gt;",$E$2:$E6276,"&lt;&gt;"),"00000"),""))</f>
        <v/>
      </c>
      <c r="N6276" s="22"/>
    </row>
    <row r="6277" spans="1:14" x14ac:dyDescent="0.3">
      <c r="A6277" s="15" t="str">
        <f>IF(COUNTA($B6277:$E6277,$K6277)=0,"",IF(AND($B6277&lt;&gt;"",$C6277&lt;&gt;"",$D6277&lt;&gt;"",$E6277&lt;&gt;""),"TXS"&amp;TEXT(COUNTIFS($B$2:$B6277,"&lt;&gt;",$C$2:$C6277,"&lt;&gt;",$D$2:$D6277,"&lt;&gt;",$E$2:$E6277,"&lt;&gt;"),"00000"),""))</f>
        <v/>
      </c>
      <c r="N6277" s="22"/>
    </row>
    <row r="6278" spans="1:14" x14ac:dyDescent="0.3">
      <c r="A6278" s="15" t="str">
        <f>IF(COUNTA($B6278:$E6278,$K6278)=0,"",IF(AND($B6278&lt;&gt;"",$C6278&lt;&gt;"",$D6278&lt;&gt;"",$E6278&lt;&gt;""),"TXS"&amp;TEXT(COUNTIFS($B$2:$B6278,"&lt;&gt;",$C$2:$C6278,"&lt;&gt;",$D$2:$D6278,"&lt;&gt;",$E$2:$E6278,"&lt;&gt;"),"00000"),""))</f>
        <v/>
      </c>
      <c r="N6278" s="22"/>
    </row>
    <row r="6279" spans="1:14" x14ac:dyDescent="0.3">
      <c r="A6279" s="15" t="str">
        <f>IF(COUNTA($B6279:$E6279,$K6279)=0,"",IF(AND($B6279&lt;&gt;"",$C6279&lt;&gt;"",$D6279&lt;&gt;"",$E6279&lt;&gt;""),"TXS"&amp;TEXT(COUNTIFS($B$2:$B6279,"&lt;&gt;",$C$2:$C6279,"&lt;&gt;",$D$2:$D6279,"&lt;&gt;",$E$2:$E6279,"&lt;&gt;"),"00000"),""))</f>
        <v/>
      </c>
      <c r="N6279" s="22"/>
    </row>
    <row r="6280" spans="1:14" x14ac:dyDescent="0.3">
      <c r="A6280" s="15" t="str">
        <f>IF(COUNTA($B6280:$E6280,$K6280)=0,"",IF(AND($B6280&lt;&gt;"",$C6280&lt;&gt;"",$D6280&lt;&gt;"",$E6280&lt;&gt;""),"TXS"&amp;TEXT(COUNTIFS($B$2:$B6280,"&lt;&gt;",$C$2:$C6280,"&lt;&gt;",$D$2:$D6280,"&lt;&gt;",$E$2:$E6280,"&lt;&gt;"),"00000"),""))</f>
        <v/>
      </c>
      <c r="N6280" s="22"/>
    </row>
    <row r="6281" spans="1:14" x14ac:dyDescent="0.3">
      <c r="A6281" s="15" t="str">
        <f>IF(COUNTA($B6281:$E6281,$K6281)=0,"",IF(AND($B6281&lt;&gt;"",$C6281&lt;&gt;"",$D6281&lt;&gt;"",$E6281&lt;&gt;""),"TXS"&amp;TEXT(COUNTIFS($B$2:$B6281,"&lt;&gt;",$C$2:$C6281,"&lt;&gt;",$D$2:$D6281,"&lt;&gt;",$E$2:$E6281,"&lt;&gt;"),"00000"),""))</f>
        <v/>
      </c>
      <c r="N6281" s="22"/>
    </row>
    <row r="6282" spans="1:14" x14ac:dyDescent="0.3">
      <c r="A6282" s="15" t="str">
        <f>IF(COUNTA($B6282:$E6282,$K6282)=0,"",IF(AND($B6282&lt;&gt;"",$C6282&lt;&gt;"",$D6282&lt;&gt;"",$E6282&lt;&gt;""),"TXS"&amp;TEXT(COUNTIFS($B$2:$B6282,"&lt;&gt;",$C$2:$C6282,"&lt;&gt;",$D$2:$D6282,"&lt;&gt;",$E$2:$E6282,"&lt;&gt;"),"00000"),""))</f>
        <v/>
      </c>
      <c r="N6282" s="22"/>
    </row>
    <row r="6283" spans="1:14" x14ac:dyDescent="0.3">
      <c r="A6283" s="15" t="str">
        <f>IF(COUNTA($B6283:$E6283,$K6283)=0,"",IF(AND($B6283&lt;&gt;"",$C6283&lt;&gt;"",$D6283&lt;&gt;"",$E6283&lt;&gt;""),"TXS"&amp;TEXT(COUNTIFS($B$2:$B6283,"&lt;&gt;",$C$2:$C6283,"&lt;&gt;",$D$2:$D6283,"&lt;&gt;",$E$2:$E6283,"&lt;&gt;"),"00000"),""))</f>
        <v/>
      </c>
      <c r="N6283" s="22"/>
    </row>
    <row r="6284" spans="1:14" x14ac:dyDescent="0.3">
      <c r="A6284" s="15" t="str">
        <f>IF(COUNTA($B6284:$E6284,$K6284)=0,"",IF(AND($B6284&lt;&gt;"",$C6284&lt;&gt;"",$D6284&lt;&gt;"",$E6284&lt;&gt;""),"TXS"&amp;TEXT(COUNTIFS($B$2:$B6284,"&lt;&gt;",$C$2:$C6284,"&lt;&gt;",$D$2:$D6284,"&lt;&gt;",$E$2:$E6284,"&lt;&gt;"),"00000"),""))</f>
        <v/>
      </c>
      <c r="N6284" s="22"/>
    </row>
    <row r="6285" spans="1:14" x14ac:dyDescent="0.3">
      <c r="A6285" s="15" t="str">
        <f>IF(COUNTA($B6285:$E6285,$K6285)=0,"",IF(AND($B6285&lt;&gt;"",$C6285&lt;&gt;"",$D6285&lt;&gt;"",$E6285&lt;&gt;""),"TXS"&amp;TEXT(COUNTIFS($B$2:$B6285,"&lt;&gt;",$C$2:$C6285,"&lt;&gt;",$D$2:$D6285,"&lt;&gt;",$E$2:$E6285,"&lt;&gt;"),"00000"),""))</f>
        <v/>
      </c>
      <c r="N6285" s="22"/>
    </row>
    <row r="6286" spans="1:14" x14ac:dyDescent="0.3">
      <c r="A6286" s="15" t="str">
        <f>IF(COUNTA($B6286:$E6286,$K6286)=0,"",IF(AND($B6286&lt;&gt;"",$C6286&lt;&gt;"",$D6286&lt;&gt;"",$E6286&lt;&gt;""),"TXS"&amp;TEXT(COUNTIFS($B$2:$B6286,"&lt;&gt;",$C$2:$C6286,"&lt;&gt;",$D$2:$D6286,"&lt;&gt;",$E$2:$E6286,"&lt;&gt;"),"00000"),""))</f>
        <v/>
      </c>
      <c r="N6286" s="22"/>
    </row>
    <row r="6287" spans="1:14" x14ac:dyDescent="0.3">
      <c r="A6287" s="15" t="str">
        <f>IF(COUNTA($B6287:$E6287,$K6287)=0,"",IF(AND($B6287&lt;&gt;"",$C6287&lt;&gt;"",$D6287&lt;&gt;"",$E6287&lt;&gt;""),"TXS"&amp;TEXT(COUNTIFS($B$2:$B6287,"&lt;&gt;",$C$2:$C6287,"&lt;&gt;",$D$2:$D6287,"&lt;&gt;",$E$2:$E6287,"&lt;&gt;"),"00000"),""))</f>
        <v/>
      </c>
      <c r="N6287" s="22"/>
    </row>
    <row r="6288" spans="1:14" x14ac:dyDescent="0.3">
      <c r="A6288" s="15" t="str">
        <f>IF(COUNTA($B6288:$E6288,$K6288)=0,"",IF(AND($B6288&lt;&gt;"",$C6288&lt;&gt;"",$D6288&lt;&gt;"",$E6288&lt;&gt;""),"TXS"&amp;TEXT(COUNTIFS($B$2:$B6288,"&lt;&gt;",$C$2:$C6288,"&lt;&gt;",$D$2:$D6288,"&lt;&gt;",$E$2:$E6288,"&lt;&gt;"),"00000"),""))</f>
        <v/>
      </c>
      <c r="N6288" s="22"/>
    </row>
    <row r="6289" spans="1:14" x14ac:dyDescent="0.3">
      <c r="A6289" s="15" t="str">
        <f>IF(COUNTA($B6289:$E6289,$K6289)=0,"",IF(AND($B6289&lt;&gt;"",$C6289&lt;&gt;"",$D6289&lt;&gt;"",$E6289&lt;&gt;""),"TXS"&amp;TEXT(COUNTIFS($B$2:$B6289,"&lt;&gt;",$C$2:$C6289,"&lt;&gt;",$D$2:$D6289,"&lt;&gt;",$E$2:$E6289,"&lt;&gt;"),"00000"),""))</f>
        <v/>
      </c>
      <c r="N6289" s="22"/>
    </row>
    <row r="6290" spans="1:14" x14ac:dyDescent="0.3">
      <c r="A6290" s="15" t="str">
        <f>IF(COUNTA($B6290:$E6290,$K6290)=0,"",IF(AND($B6290&lt;&gt;"",$C6290&lt;&gt;"",$D6290&lt;&gt;"",$E6290&lt;&gt;""),"TXS"&amp;TEXT(COUNTIFS($B$2:$B6290,"&lt;&gt;",$C$2:$C6290,"&lt;&gt;",$D$2:$D6290,"&lt;&gt;",$E$2:$E6290,"&lt;&gt;"),"00000"),""))</f>
        <v/>
      </c>
      <c r="N6290" s="22"/>
    </row>
    <row r="6291" spans="1:14" x14ac:dyDescent="0.3">
      <c r="A6291" s="15" t="str">
        <f>IF(COUNTA($B6291:$E6291,$K6291)=0,"",IF(AND($B6291&lt;&gt;"",$C6291&lt;&gt;"",$D6291&lt;&gt;"",$E6291&lt;&gt;""),"TXS"&amp;TEXT(COUNTIFS($B$2:$B6291,"&lt;&gt;",$C$2:$C6291,"&lt;&gt;",$D$2:$D6291,"&lt;&gt;",$E$2:$E6291,"&lt;&gt;"),"00000"),""))</f>
        <v/>
      </c>
      <c r="N6291" s="22"/>
    </row>
    <row r="6292" spans="1:14" x14ac:dyDescent="0.3">
      <c r="A6292" s="15" t="str">
        <f>IF(COUNTA($B6292:$E6292,$K6292)=0,"",IF(AND($B6292&lt;&gt;"",$C6292&lt;&gt;"",$D6292&lt;&gt;"",$E6292&lt;&gt;""),"TXS"&amp;TEXT(COUNTIFS($B$2:$B6292,"&lt;&gt;",$C$2:$C6292,"&lt;&gt;",$D$2:$D6292,"&lt;&gt;",$E$2:$E6292,"&lt;&gt;"),"00000"),""))</f>
        <v/>
      </c>
      <c r="N6292" s="22"/>
    </row>
    <row r="6293" spans="1:14" x14ac:dyDescent="0.3">
      <c r="A6293" s="15" t="str">
        <f>IF(COUNTA($B6293:$E6293,$K6293)=0,"",IF(AND($B6293&lt;&gt;"",$C6293&lt;&gt;"",$D6293&lt;&gt;"",$E6293&lt;&gt;""),"TXS"&amp;TEXT(COUNTIFS($B$2:$B6293,"&lt;&gt;",$C$2:$C6293,"&lt;&gt;",$D$2:$D6293,"&lt;&gt;",$E$2:$E6293,"&lt;&gt;"),"00000"),""))</f>
        <v/>
      </c>
      <c r="N6293" s="22"/>
    </row>
    <row r="6294" spans="1:14" x14ac:dyDescent="0.3">
      <c r="A6294" s="15" t="str">
        <f>IF(COUNTA($B6294:$E6294,$K6294)=0,"",IF(AND($B6294&lt;&gt;"",$C6294&lt;&gt;"",$D6294&lt;&gt;"",$E6294&lt;&gt;""),"TXS"&amp;TEXT(COUNTIFS($B$2:$B6294,"&lt;&gt;",$C$2:$C6294,"&lt;&gt;",$D$2:$D6294,"&lt;&gt;",$E$2:$E6294,"&lt;&gt;"),"00000"),""))</f>
        <v/>
      </c>
      <c r="N6294" s="22"/>
    </row>
    <row r="6295" spans="1:14" x14ac:dyDescent="0.3">
      <c r="A6295" s="15" t="str">
        <f>IF(COUNTA($B6295:$E6295,$K6295)=0,"",IF(AND($B6295&lt;&gt;"",$C6295&lt;&gt;"",$D6295&lt;&gt;"",$E6295&lt;&gt;""),"TXS"&amp;TEXT(COUNTIFS($B$2:$B6295,"&lt;&gt;",$C$2:$C6295,"&lt;&gt;",$D$2:$D6295,"&lt;&gt;",$E$2:$E6295,"&lt;&gt;"),"00000"),""))</f>
        <v/>
      </c>
      <c r="N6295" s="22"/>
    </row>
    <row r="6296" spans="1:14" x14ac:dyDescent="0.3">
      <c r="A6296" s="15" t="str">
        <f>IF(COUNTA($B6296:$E6296,$K6296)=0,"",IF(AND($B6296&lt;&gt;"",$C6296&lt;&gt;"",$D6296&lt;&gt;"",$E6296&lt;&gt;""),"TXS"&amp;TEXT(COUNTIFS($B$2:$B6296,"&lt;&gt;",$C$2:$C6296,"&lt;&gt;",$D$2:$D6296,"&lt;&gt;",$E$2:$E6296,"&lt;&gt;"),"00000"),""))</f>
        <v/>
      </c>
      <c r="N6296" s="22"/>
    </row>
    <row r="6297" spans="1:14" x14ac:dyDescent="0.3">
      <c r="A6297" s="15" t="str">
        <f>IF(COUNTA($B6297:$E6297,$K6297)=0,"",IF(AND($B6297&lt;&gt;"",$C6297&lt;&gt;"",$D6297&lt;&gt;"",$E6297&lt;&gt;""),"TXS"&amp;TEXT(COUNTIFS($B$2:$B6297,"&lt;&gt;",$C$2:$C6297,"&lt;&gt;",$D$2:$D6297,"&lt;&gt;",$E$2:$E6297,"&lt;&gt;"),"00000"),""))</f>
        <v/>
      </c>
      <c r="N6297" s="22"/>
    </row>
    <row r="6298" spans="1:14" x14ac:dyDescent="0.3">
      <c r="A6298" s="15" t="str">
        <f>IF(COUNTA($B6298:$E6298,$K6298)=0,"",IF(AND($B6298&lt;&gt;"",$C6298&lt;&gt;"",$D6298&lt;&gt;"",$E6298&lt;&gt;""),"TXS"&amp;TEXT(COUNTIFS($B$2:$B6298,"&lt;&gt;",$C$2:$C6298,"&lt;&gt;",$D$2:$D6298,"&lt;&gt;",$E$2:$E6298,"&lt;&gt;"),"00000"),""))</f>
        <v/>
      </c>
      <c r="N6298" s="22"/>
    </row>
    <row r="6299" spans="1:14" x14ac:dyDescent="0.3">
      <c r="A6299" s="15" t="str">
        <f>IF(COUNTA($B6299:$E6299,$K6299)=0,"",IF(AND($B6299&lt;&gt;"",$C6299&lt;&gt;"",$D6299&lt;&gt;"",$E6299&lt;&gt;""),"TXS"&amp;TEXT(COUNTIFS($B$2:$B6299,"&lt;&gt;",$C$2:$C6299,"&lt;&gt;",$D$2:$D6299,"&lt;&gt;",$E$2:$E6299,"&lt;&gt;"),"00000"),""))</f>
        <v/>
      </c>
      <c r="N6299" s="22"/>
    </row>
    <row r="6300" spans="1:14" x14ac:dyDescent="0.3">
      <c r="A6300" s="15" t="str">
        <f>IF(COUNTA($B6300:$E6300,$K6300)=0,"",IF(AND($B6300&lt;&gt;"",$C6300&lt;&gt;"",$D6300&lt;&gt;"",$E6300&lt;&gt;""),"TXS"&amp;TEXT(COUNTIFS($B$2:$B6300,"&lt;&gt;",$C$2:$C6300,"&lt;&gt;",$D$2:$D6300,"&lt;&gt;",$E$2:$E6300,"&lt;&gt;"),"00000"),""))</f>
        <v/>
      </c>
      <c r="N6300" s="22"/>
    </row>
    <row r="6301" spans="1:14" x14ac:dyDescent="0.3">
      <c r="A6301" s="15" t="str">
        <f>IF(COUNTA($B6301:$E6301,$K6301)=0,"",IF(AND($B6301&lt;&gt;"",$C6301&lt;&gt;"",$D6301&lt;&gt;"",$E6301&lt;&gt;""),"TXS"&amp;TEXT(COUNTIFS($B$2:$B6301,"&lt;&gt;",$C$2:$C6301,"&lt;&gt;",$D$2:$D6301,"&lt;&gt;",$E$2:$E6301,"&lt;&gt;"),"00000"),""))</f>
        <v/>
      </c>
      <c r="N6301" s="22"/>
    </row>
    <row r="6302" spans="1:14" x14ac:dyDescent="0.3">
      <c r="A6302" s="15" t="str">
        <f>IF(COUNTA($B6302:$E6302,$K6302)=0,"",IF(AND($B6302&lt;&gt;"",$C6302&lt;&gt;"",$D6302&lt;&gt;"",$E6302&lt;&gt;""),"TXS"&amp;TEXT(COUNTIFS($B$2:$B6302,"&lt;&gt;",$C$2:$C6302,"&lt;&gt;",$D$2:$D6302,"&lt;&gt;",$E$2:$E6302,"&lt;&gt;"),"00000"),""))</f>
        <v/>
      </c>
      <c r="N6302" s="22"/>
    </row>
    <row r="6303" spans="1:14" x14ac:dyDescent="0.3">
      <c r="A6303" s="15" t="str">
        <f>IF(COUNTA($B6303:$E6303,$K6303)=0,"",IF(AND($B6303&lt;&gt;"",$C6303&lt;&gt;"",$D6303&lt;&gt;"",$E6303&lt;&gt;""),"TXS"&amp;TEXT(COUNTIFS($B$2:$B6303,"&lt;&gt;",$C$2:$C6303,"&lt;&gt;",$D$2:$D6303,"&lt;&gt;",$E$2:$E6303,"&lt;&gt;"),"00000"),""))</f>
        <v/>
      </c>
      <c r="N6303" s="22"/>
    </row>
    <row r="6304" spans="1:14" x14ac:dyDescent="0.3">
      <c r="A6304" s="15" t="str">
        <f>IF(COUNTA($B6304:$E6304,$K6304)=0,"",IF(AND($B6304&lt;&gt;"",$C6304&lt;&gt;"",$D6304&lt;&gt;"",$E6304&lt;&gt;""),"TXS"&amp;TEXT(COUNTIFS($B$2:$B6304,"&lt;&gt;",$C$2:$C6304,"&lt;&gt;",$D$2:$D6304,"&lt;&gt;",$E$2:$E6304,"&lt;&gt;"),"00000"),""))</f>
        <v/>
      </c>
      <c r="N6304" s="22"/>
    </row>
    <row r="6305" spans="1:14" x14ac:dyDescent="0.3">
      <c r="A6305" s="15" t="str">
        <f>IF(COUNTA($B6305:$E6305,$K6305)=0,"",IF(AND($B6305&lt;&gt;"",$C6305&lt;&gt;"",$D6305&lt;&gt;"",$E6305&lt;&gt;""),"TXS"&amp;TEXT(COUNTIFS($B$2:$B6305,"&lt;&gt;",$C$2:$C6305,"&lt;&gt;",$D$2:$D6305,"&lt;&gt;",$E$2:$E6305,"&lt;&gt;"),"00000"),""))</f>
        <v/>
      </c>
      <c r="N6305" s="22"/>
    </row>
    <row r="6306" spans="1:14" x14ac:dyDescent="0.3">
      <c r="A6306" s="15" t="str">
        <f>IF(COUNTA($B6306:$E6306,$K6306)=0,"",IF(AND($B6306&lt;&gt;"",$C6306&lt;&gt;"",$D6306&lt;&gt;"",$E6306&lt;&gt;""),"TXS"&amp;TEXT(COUNTIFS($B$2:$B6306,"&lt;&gt;",$C$2:$C6306,"&lt;&gt;",$D$2:$D6306,"&lt;&gt;",$E$2:$E6306,"&lt;&gt;"),"00000"),""))</f>
        <v/>
      </c>
      <c r="N6306" s="22"/>
    </row>
    <row r="6307" spans="1:14" x14ac:dyDescent="0.3">
      <c r="A6307" s="15" t="str">
        <f>IF(COUNTA($B6307:$E6307,$K6307)=0,"",IF(AND($B6307&lt;&gt;"",$C6307&lt;&gt;"",$D6307&lt;&gt;"",$E6307&lt;&gt;""),"TXS"&amp;TEXT(COUNTIFS($B$2:$B6307,"&lt;&gt;",$C$2:$C6307,"&lt;&gt;",$D$2:$D6307,"&lt;&gt;",$E$2:$E6307,"&lt;&gt;"),"00000"),""))</f>
        <v/>
      </c>
      <c r="N6307" s="22"/>
    </row>
    <row r="6308" spans="1:14" x14ac:dyDescent="0.3">
      <c r="A6308" s="15" t="str">
        <f>IF(COUNTA($B6308:$E6308,$K6308)=0,"",IF(AND($B6308&lt;&gt;"",$C6308&lt;&gt;"",$D6308&lt;&gt;"",$E6308&lt;&gt;""),"TXS"&amp;TEXT(COUNTIFS($B$2:$B6308,"&lt;&gt;",$C$2:$C6308,"&lt;&gt;",$D$2:$D6308,"&lt;&gt;",$E$2:$E6308,"&lt;&gt;"),"00000"),""))</f>
        <v/>
      </c>
      <c r="N6308" s="22"/>
    </row>
    <row r="6309" spans="1:14" x14ac:dyDescent="0.3">
      <c r="A6309" s="15" t="str">
        <f>IF(COUNTA($B6309:$E6309,$K6309)=0,"",IF(AND($B6309&lt;&gt;"",$C6309&lt;&gt;"",$D6309&lt;&gt;"",$E6309&lt;&gt;""),"TXS"&amp;TEXT(COUNTIFS($B$2:$B6309,"&lt;&gt;",$C$2:$C6309,"&lt;&gt;",$D$2:$D6309,"&lt;&gt;",$E$2:$E6309,"&lt;&gt;"),"00000"),""))</f>
        <v/>
      </c>
      <c r="N6309" s="22"/>
    </row>
    <row r="6310" spans="1:14" x14ac:dyDescent="0.3">
      <c r="A6310" s="15" t="str">
        <f>IF(COUNTA($B6310:$E6310,$K6310)=0,"",IF(AND($B6310&lt;&gt;"",$C6310&lt;&gt;"",$D6310&lt;&gt;"",$E6310&lt;&gt;""),"TXS"&amp;TEXT(COUNTIFS($B$2:$B6310,"&lt;&gt;",$C$2:$C6310,"&lt;&gt;",$D$2:$D6310,"&lt;&gt;",$E$2:$E6310,"&lt;&gt;"),"00000"),""))</f>
        <v/>
      </c>
      <c r="N6310" s="22"/>
    </row>
    <row r="6311" spans="1:14" x14ac:dyDescent="0.3">
      <c r="A6311" s="15" t="str">
        <f>IF(COUNTA($B6311:$E6311,$K6311)=0,"",IF(AND($B6311&lt;&gt;"",$C6311&lt;&gt;"",$D6311&lt;&gt;"",$E6311&lt;&gt;""),"TXS"&amp;TEXT(COUNTIFS($B$2:$B6311,"&lt;&gt;",$C$2:$C6311,"&lt;&gt;",$D$2:$D6311,"&lt;&gt;",$E$2:$E6311,"&lt;&gt;"),"00000"),""))</f>
        <v/>
      </c>
      <c r="N6311" s="22"/>
    </row>
    <row r="6312" spans="1:14" x14ac:dyDescent="0.3">
      <c r="A6312" s="15" t="str">
        <f>IF(COUNTA($B6312:$E6312,$K6312)=0,"",IF(AND($B6312&lt;&gt;"",$C6312&lt;&gt;"",$D6312&lt;&gt;"",$E6312&lt;&gt;""),"TXS"&amp;TEXT(COUNTIFS($B$2:$B6312,"&lt;&gt;",$C$2:$C6312,"&lt;&gt;",$D$2:$D6312,"&lt;&gt;",$E$2:$E6312,"&lt;&gt;"),"00000"),""))</f>
        <v/>
      </c>
      <c r="N6312" s="22"/>
    </row>
    <row r="6313" spans="1:14" x14ac:dyDescent="0.3">
      <c r="A6313" s="15" t="str">
        <f>IF(COUNTA($B6313:$E6313,$K6313)=0,"",IF(AND($B6313&lt;&gt;"",$C6313&lt;&gt;"",$D6313&lt;&gt;"",$E6313&lt;&gt;""),"TXS"&amp;TEXT(COUNTIFS($B$2:$B6313,"&lt;&gt;",$C$2:$C6313,"&lt;&gt;",$D$2:$D6313,"&lt;&gt;",$E$2:$E6313,"&lt;&gt;"),"00000"),""))</f>
        <v/>
      </c>
      <c r="N6313" s="22"/>
    </row>
    <row r="6314" spans="1:14" x14ac:dyDescent="0.3">
      <c r="A6314" s="15" t="str">
        <f>IF(COUNTA($B6314:$E6314,$K6314)=0,"",IF(AND($B6314&lt;&gt;"",$C6314&lt;&gt;"",$D6314&lt;&gt;"",$E6314&lt;&gt;""),"TXS"&amp;TEXT(COUNTIFS($B$2:$B6314,"&lt;&gt;",$C$2:$C6314,"&lt;&gt;",$D$2:$D6314,"&lt;&gt;",$E$2:$E6314,"&lt;&gt;"),"00000"),""))</f>
        <v/>
      </c>
      <c r="N6314" s="22"/>
    </row>
    <row r="6315" spans="1:14" x14ac:dyDescent="0.3">
      <c r="A6315" s="15" t="str">
        <f>IF(COUNTA($B6315:$E6315,$K6315)=0,"",IF(AND($B6315&lt;&gt;"",$C6315&lt;&gt;"",$D6315&lt;&gt;"",$E6315&lt;&gt;""),"TXS"&amp;TEXT(COUNTIFS($B$2:$B6315,"&lt;&gt;",$C$2:$C6315,"&lt;&gt;",$D$2:$D6315,"&lt;&gt;",$E$2:$E6315,"&lt;&gt;"),"00000"),""))</f>
        <v/>
      </c>
      <c r="N6315" s="22"/>
    </row>
    <row r="6316" spans="1:14" x14ac:dyDescent="0.3">
      <c r="A6316" s="15" t="str">
        <f>IF(COUNTA($B6316:$E6316,$K6316)=0,"",IF(AND($B6316&lt;&gt;"",$C6316&lt;&gt;"",$D6316&lt;&gt;"",$E6316&lt;&gt;""),"TXS"&amp;TEXT(COUNTIFS($B$2:$B6316,"&lt;&gt;",$C$2:$C6316,"&lt;&gt;",$D$2:$D6316,"&lt;&gt;",$E$2:$E6316,"&lt;&gt;"),"00000"),""))</f>
        <v/>
      </c>
      <c r="N6316" s="22"/>
    </row>
    <row r="6317" spans="1:14" x14ac:dyDescent="0.3">
      <c r="A6317" s="15" t="str">
        <f>IF(COUNTA($B6317:$E6317,$K6317)=0,"",IF(AND($B6317&lt;&gt;"",$C6317&lt;&gt;"",$D6317&lt;&gt;"",$E6317&lt;&gt;""),"TXS"&amp;TEXT(COUNTIFS($B$2:$B6317,"&lt;&gt;",$C$2:$C6317,"&lt;&gt;",$D$2:$D6317,"&lt;&gt;",$E$2:$E6317,"&lt;&gt;"),"00000"),""))</f>
        <v/>
      </c>
      <c r="N6317" s="22"/>
    </row>
    <row r="6318" spans="1:14" x14ac:dyDescent="0.3">
      <c r="A6318" s="15" t="str">
        <f>IF(COUNTA($B6318:$E6318,$K6318)=0,"",IF(AND($B6318&lt;&gt;"",$C6318&lt;&gt;"",$D6318&lt;&gt;"",$E6318&lt;&gt;""),"TXS"&amp;TEXT(COUNTIFS($B$2:$B6318,"&lt;&gt;",$C$2:$C6318,"&lt;&gt;",$D$2:$D6318,"&lt;&gt;",$E$2:$E6318,"&lt;&gt;"),"00000"),""))</f>
        <v/>
      </c>
      <c r="N6318" s="22"/>
    </row>
    <row r="6319" spans="1:14" x14ac:dyDescent="0.3">
      <c r="A6319" s="15" t="str">
        <f>IF(COUNTA($B6319:$E6319,$K6319)=0,"",IF(AND($B6319&lt;&gt;"",$C6319&lt;&gt;"",$D6319&lt;&gt;"",$E6319&lt;&gt;""),"TXS"&amp;TEXT(COUNTIFS($B$2:$B6319,"&lt;&gt;",$C$2:$C6319,"&lt;&gt;",$D$2:$D6319,"&lt;&gt;",$E$2:$E6319,"&lt;&gt;"),"00000"),""))</f>
        <v/>
      </c>
      <c r="N6319" s="22"/>
    </row>
    <row r="6320" spans="1:14" x14ac:dyDescent="0.3">
      <c r="A6320" s="15" t="str">
        <f>IF(COUNTA($B6320:$E6320,$K6320)=0,"",IF(AND($B6320&lt;&gt;"",$C6320&lt;&gt;"",$D6320&lt;&gt;"",$E6320&lt;&gt;""),"TXS"&amp;TEXT(COUNTIFS($B$2:$B6320,"&lt;&gt;",$C$2:$C6320,"&lt;&gt;",$D$2:$D6320,"&lt;&gt;",$E$2:$E6320,"&lt;&gt;"),"00000"),""))</f>
        <v/>
      </c>
      <c r="N6320" s="22"/>
    </row>
    <row r="6321" spans="1:14" x14ac:dyDescent="0.3">
      <c r="A6321" s="15" t="str">
        <f>IF(COUNTA($B6321:$E6321,$K6321)=0,"",IF(AND($B6321&lt;&gt;"",$C6321&lt;&gt;"",$D6321&lt;&gt;"",$E6321&lt;&gt;""),"TXS"&amp;TEXT(COUNTIFS($B$2:$B6321,"&lt;&gt;",$C$2:$C6321,"&lt;&gt;",$D$2:$D6321,"&lt;&gt;",$E$2:$E6321,"&lt;&gt;"),"00000"),""))</f>
        <v/>
      </c>
      <c r="N6321" s="22"/>
    </row>
    <row r="6322" spans="1:14" x14ac:dyDescent="0.3">
      <c r="A6322" s="15" t="str">
        <f>IF(COUNTA($B6322:$E6322,$K6322)=0,"",IF(AND($B6322&lt;&gt;"",$C6322&lt;&gt;"",$D6322&lt;&gt;"",$E6322&lt;&gt;""),"TXS"&amp;TEXT(COUNTIFS($B$2:$B6322,"&lt;&gt;",$C$2:$C6322,"&lt;&gt;",$D$2:$D6322,"&lt;&gt;",$E$2:$E6322,"&lt;&gt;"),"00000"),""))</f>
        <v/>
      </c>
      <c r="N6322" s="22"/>
    </row>
    <row r="6323" spans="1:14" x14ac:dyDescent="0.3">
      <c r="A6323" s="15" t="str">
        <f>IF(COUNTA($B6323:$E6323,$K6323)=0,"",IF(AND($B6323&lt;&gt;"",$C6323&lt;&gt;"",$D6323&lt;&gt;"",$E6323&lt;&gt;""),"TXS"&amp;TEXT(COUNTIFS($B$2:$B6323,"&lt;&gt;",$C$2:$C6323,"&lt;&gt;",$D$2:$D6323,"&lt;&gt;",$E$2:$E6323,"&lt;&gt;"),"00000"),""))</f>
        <v/>
      </c>
      <c r="N6323" s="22"/>
    </row>
    <row r="6324" spans="1:14" x14ac:dyDescent="0.3">
      <c r="A6324" s="15" t="str">
        <f>IF(COUNTA($B6324:$E6324,$K6324)=0,"",IF(AND($B6324&lt;&gt;"",$C6324&lt;&gt;"",$D6324&lt;&gt;"",$E6324&lt;&gt;""),"TXS"&amp;TEXT(COUNTIFS($B$2:$B6324,"&lt;&gt;",$C$2:$C6324,"&lt;&gt;",$D$2:$D6324,"&lt;&gt;",$E$2:$E6324,"&lt;&gt;"),"00000"),""))</f>
        <v/>
      </c>
      <c r="N6324" s="22"/>
    </row>
    <row r="6325" spans="1:14" x14ac:dyDescent="0.3">
      <c r="A6325" s="15" t="str">
        <f>IF(COUNTA($B6325:$E6325,$K6325)=0,"",IF(AND($B6325&lt;&gt;"",$C6325&lt;&gt;"",$D6325&lt;&gt;"",$E6325&lt;&gt;""),"TXS"&amp;TEXT(COUNTIFS($B$2:$B6325,"&lt;&gt;",$C$2:$C6325,"&lt;&gt;",$D$2:$D6325,"&lt;&gt;",$E$2:$E6325,"&lt;&gt;"),"00000"),""))</f>
        <v/>
      </c>
      <c r="N6325" s="22"/>
    </row>
    <row r="6326" spans="1:14" x14ac:dyDescent="0.3">
      <c r="A6326" s="15" t="str">
        <f>IF(COUNTA($B6326:$E6326,$K6326)=0,"",IF(AND($B6326&lt;&gt;"",$C6326&lt;&gt;"",$D6326&lt;&gt;"",$E6326&lt;&gt;""),"TXS"&amp;TEXT(COUNTIFS($B$2:$B6326,"&lt;&gt;",$C$2:$C6326,"&lt;&gt;",$D$2:$D6326,"&lt;&gt;",$E$2:$E6326,"&lt;&gt;"),"00000"),""))</f>
        <v/>
      </c>
      <c r="N6326" s="22"/>
    </row>
    <row r="6327" spans="1:14" x14ac:dyDescent="0.3">
      <c r="A6327" s="15" t="str">
        <f>IF(COUNTA($B6327:$E6327,$K6327)=0,"",IF(AND($B6327&lt;&gt;"",$C6327&lt;&gt;"",$D6327&lt;&gt;"",$E6327&lt;&gt;""),"TXS"&amp;TEXT(COUNTIFS($B$2:$B6327,"&lt;&gt;",$C$2:$C6327,"&lt;&gt;",$D$2:$D6327,"&lt;&gt;",$E$2:$E6327,"&lt;&gt;"),"00000"),""))</f>
        <v/>
      </c>
      <c r="N6327" s="22"/>
    </row>
    <row r="6328" spans="1:14" x14ac:dyDescent="0.3">
      <c r="A6328" s="15" t="str">
        <f>IF(COUNTA($B6328:$E6328,$K6328)=0,"",IF(AND($B6328&lt;&gt;"",$C6328&lt;&gt;"",$D6328&lt;&gt;"",$E6328&lt;&gt;""),"TXS"&amp;TEXT(COUNTIFS($B$2:$B6328,"&lt;&gt;",$C$2:$C6328,"&lt;&gt;",$D$2:$D6328,"&lt;&gt;",$E$2:$E6328,"&lt;&gt;"),"00000"),""))</f>
        <v/>
      </c>
      <c r="N6328" s="22"/>
    </row>
    <row r="6329" spans="1:14" x14ac:dyDescent="0.3">
      <c r="A6329" s="15" t="str">
        <f>IF(COUNTA($B6329:$E6329,$K6329)=0,"",IF(AND($B6329&lt;&gt;"",$C6329&lt;&gt;"",$D6329&lt;&gt;"",$E6329&lt;&gt;""),"TXS"&amp;TEXT(COUNTIFS($B$2:$B6329,"&lt;&gt;",$C$2:$C6329,"&lt;&gt;",$D$2:$D6329,"&lt;&gt;",$E$2:$E6329,"&lt;&gt;"),"00000"),""))</f>
        <v/>
      </c>
      <c r="N6329" s="22"/>
    </row>
    <row r="6330" spans="1:14" x14ac:dyDescent="0.3">
      <c r="A6330" s="15" t="str">
        <f>IF(COUNTA($B6330:$E6330,$K6330)=0,"",IF(AND($B6330&lt;&gt;"",$C6330&lt;&gt;"",$D6330&lt;&gt;"",$E6330&lt;&gt;""),"TXS"&amp;TEXT(COUNTIFS($B$2:$B6330,"&lt;&gt;",$C$2:$C6330,"&lt;&gt;",$D$2:$D6330,"&lt;&gt;",$E$2:$E6330,"&lt;&gt;"),"00000"),""))</f>
        <v/>
      </c>
      <c r="N6330" s="22"/>
    </row>
    <row r="6331" spans="1:14" x14ac:dyDescent="0.3">
      <c r="A6331" s="15" t="str">
        <f>IF(COUNTA($B6331:$E6331,$K6331)=0,"",IF(AND($B6331&lt;&gt;"",$C6331&lt;&gt;"",$D6331&lt;&gt;"",$E6331&lt;&gt;""),"TXS"&amp;TEXT(COUNTIFS($B$2:$B6331,"&lt;&gt;",$C$2:$C6331,"&lt;&gt;",$D$2:$D6331,"&lt;&gt;",$E$2:$E6331,"&lt;&gt;"),"00000"),""))</f>
        <v/>
      </c>
      <c r="N6331" s="22"/>
    </row>
    <row r="6332" spans="1:14" x14ac:dyDescent="0.3">
      <c r="A6332" s="15" t="str">
        <f>IF(COUNTA($B6332:$E6332,$K6332)=0,"",IF(AND($B6332&lt;&gt;"",$C6332&lt;&gt;"",$D6332&lt;&gt;"",$E6332&lt;&gt;""),"TXS"&amp;TEXT(COUNTIFS($B$2:$B6332,"&lt;&gt;",$C$2:$C6332,"&lt;&gt;",$D$2:$D6332,"&lt;&gt;",$E$2:$E6332,"&lt;&gt;"),"00000"),""))</f>
        <v/>
      </c>
      <c r="N6332" s="22"/>
    </row>
    <row r="6333" spans="1:14" x14ac:dyDescent="0.3">
      <c r="A6333" s="15" t="str">
        <f>IF(COUNTA($B6333:$E6333,$K6333)=0,"",IF(AND($B6333&lt;&gt;"",$C6333&lt;&gt;"",$D6333&lt;&gt;"",$E6333&lt;&gt;""),"TXS"&amp;TEXT(COUNTIFS($B$2:$B6333,"&lt;&gt;",$C$2:$C6333,"&lt;&gt;",$D$2:$D6333,"&lt;&gt;",$E$2:$E6333,"&lt;&gt;"),"00000"),""))</f>
        <v/>
      </c>
      <c r="N6333" s="22"/>
    </row>
    <row r="6334" spans="1:14" x14ac:dyDescent="0.3">
      <c r="A6334" s="15" t="str">
        <f>IF(COUNTA($B6334:$E6334,$K6334)=0,"",IF(AND($B6334&lt;&gt;"",$C6334&lt;&gt;"",$D6334&lt;&gt;"",$E6334&lt;&gt;""),"TXS"&amp;TEXT(COUNTIFS($B$2:$B6334,"&lt;&gt;",$C$2:$C6334,"&lt;&gt;",$D$2:$D6334,"&lt;&gt;",$E$2:$E6334,"&lt;&gt;"),"00000"),""))</f>
        <v/>
      </c>
      <c r="N6334" s="22"/>
    </row>
    <row r="6335" spans="1:14" x14ac:dyDescent="0.3">
      <c r="A6335" s="15" t="str">
        <f>IF(COUNTA($B6335:$E6335,$K6335)=0,"",IF(AND($B6335&lt;&gt;"",$C6335&lt;&gt;"",$D6335&lt;&gt;"",$E6335&lt;&gt;""),"TXS"&amp;TEXT(COUNTIFS($B$2:$B6335,"&lt;&gt;",$C$2:$C6335,"&lt;&gt;",$D$2:$D6335,"&lt;&gt;",$E$2:$E6335,"&lt;&gt;"),"00000"),""))</f>
        <v/>
      </c>
      <c r="N6335" s="22"/>
    </row>
    <row r="6336" spans="1:14" x14ac:dyDescent="0.3">
      <c r="A6336" s="15" t="str">
        <f>IF(COUNTA($B6336:$E6336,$K6336)=0,"",IF(AND($B6336&lt;&gt;"",$C6336&lt;&gt;"",$D6336&lt;&gt;"",$E6336&lt;&gt;""),"TXS"&amp;TEXT(COUNTIFS($B$2:$B6336,"&lt;&gt;",$C$2:$C6336,"&lt;&gt;",$D$2:$D6336,"&lt;&gt;",$E$2:$E6336,"&lt;&gt;"),"00000"),""))</f>
        <v/>
      </c>
      <c r="N6336" s="22"/>
    </row>
    <row r="6337" spans="1:14" x14ac:dyDescent="0.3">
      <c r="A6337" s="15" t="str">
        <f>IF(COUNTA($B6337:$E6337,$K6337)=0,"",IF(AND($B6337&lt;&gt;"",$C6337&lt;&gt;"",$D6337&lt;&gt;"",$E6337&lt;&gt;""),"TXS"&amp;TEXT(COUNTIFS($B$2:$B6337,"&lt;&gt;",$C$2:$C6337,"&lt;&gt;",$D$2:$D6337,"&lt;&gt;",$E$2:$E6337,"&lt;&gt;"),"00000"),""))</f>
        <v/>
      </c>
      <c r="N6337" s="22"/>
    </row>
    <row r="6338" spans="1:14" x14ac:dyDescent="0.3">
      <c r="A6338" s="15" t="str">
        <f>IF(COUNTA($B6338:$E6338,$K6338)=0,"",IF(AND($B6338&lt;&gt;"",$C6338&lt;&gt;"",$D6338&lt;&gt;"",$E6338&lt;&gt;""),"TXS"&amp;TEXT(COUNTIFS($B$2:$B6338,"&lt;&gt;",$C$2:$C6338,"&lt;&gt;",$D$2:$D6338,"&lt;&gt;",$E$2:$E6338,"&lt;&gt;"),"00000"),""))</f>
        <v/>
      </c>
      <c r="N6338" s="22"/>
    </row>
    <row r="6339" spans="1:14" x14ac:dyDescent="0.3">
      <c r="A6339" s="15" t="str">
        <f>IF(COUNTA($B6339:$E6339,$K6339)=0,"",IF(AND($B6339&lt;&gt;"",$C6339&lt;&gt;"",$D6339&lt;&gt;"",$E6339&lt;&gt;""),"TXS"&amp;TEXT(COUNTIFS($B$2:$B6339,"&lt;&gt;",$C$2:$C6339,"&lt;&gt;",$D$2:$D6339,"&lt;&gt;",$E$2:$E6339,"&lt;&gt;"),"00000"),""))</f>
        <v/>
      </c>
      <c r="N6339" s="22"/>
    </row>
    <row r="6340" spans="1:14" x14ac:dyDescent="0.3">
      <c r="A6340" s="15" t="str">
        <f>IF(COUNTA($B6340:$E6340,$K6340)=0,"",IF(AND($B6340&lt;&gt;"",$C6340&lt;&gt;"",$D6340&lt;&gt;"",$E6340&lt;&gt;""),"TXS"&amp;TEXT(COUNTIFS($B$2:$B6340,"&lt;&gt;",$C$2:$C6340,"&lt;&gt;",$D$2:$D6340,"&lt;&gt;",$E$2:$E6340,"&lt;&gt;"),"00000"),""))</f>
        <v/>
      </c>
      <c r="N6340" s="22"/>
    </row>
    <row r="6341" spans="1:14" x14ac:dyDescent="0.3">
      <c r="A6341" s="15" t="str">
        <f>IF(COUNTA($B6341:$E6341,$K6341)=0,"",IF(AND($B6341&lt;&gt;"",$C6341&lt;&gt;"",$D6341&lt;&gt;"",$E6341&lt;&gt;""),"TXS"&amp;TEXT(COUNTIFS($B$2:$B6341,"&lt;&gt;",$C$2:$C6341,"&lt;&gt;",$D$2:$D6341,"&lt;&gt;",$E$2:$E6341,"&lt;&gt;"),"00000"),""))</f>
        <v/>
      </c>
      <c r="N6341" s="22"/>
    </row>
    <row r="6342" spans="1:14" x14ac:dyDescent="0.3">
      <c r="A6342" s="15" t="str">
        <f>IF(COUNTA($B6342:$E6342,$K6342)=0,"",IF(AND($B6342&lt;&gt;"",$C6342&lt;&gt;"",$D6342&lt;&gt;"",$E6342&lt;&gt;""),"TXS"&amp;TEXT(COUNTIFS($B$2:$B6342,"&lt;&gt;",$C$2:$C6342,"&lt;&gt;",$D$2:$D6342,"&lt;&gt;",$E$2:$E6342,"&lt;&gt;"),"00000"),""))</f>
        <v/>
      </c>
      <c r="N6342" s="22"/>
    </row>
    <row r="6343" spans="1:14" x14ac:dyDescent="0.3">
      <c r="A6343" s="15" t="str">
        <f>IF(COUNTA($B6343:$E6343,$K6343)=0,"",IF(AND($B6343&lt;&gt;"",$C6343&lt;&gt;"",$D6343&lt;&gt;"",$E6343&lt;&gt;""),"TXS"&amp;TEXT(COUNTIFS($B$2:$B6343,"&lt;&gt;",$C$2:$C6343,"&lt;&gt;",$D$2:$D6343,"&lt;&gt;",$E$2:$E6343,"&lt;&gt;"),"00000"),""))</f>
        <v/>
      </c>
      <c r="N6343" s="22"/>
    </row>
    <row r="6344" spans="1:14" x14ac:dyDescent="0.3">
      <c r="A6344" s="15" t="str">
        <f>IF(COUNTA($B6344:$E6344,$K6344)=0,"",IF(AND($B6344&lt;&gt;"",$C6344&lt;&gt;"",$D6344&lt;&gt;"",$E6344&lt;&gt;""),"TXS"&amp;TEXT(COUNTIFS($B$2:$B6344,"&lt;&gt;",$C$2:$C6344,"&lt;&gt;",$D$2:$D6344,"&lt;&gt;",$E$2:$E6344,"&lt;&gt;"),"00000"),""))</f>
        <v/>
      </c>
      <c r="N6344" s="22"/>
    </row>
    <row r="6345" spans="1:14" x14ac:dyDescent="0.3">
      <c r="A6345" s="15" t="str">
        <f>IF(COUNTA($B6345:$E6345,$K6345)=0,"",IF(AND($B6345&lt;&gt;"",$C6345&lt;&gt;"",$D6345&lt;&gt;"",$E6345&lt;&gt;""),"TXS"&amp;TEXT(COUNTIFS($B$2:$B6345,"&lt;&gt;",$C$2:$C6345,"&lt;&gt;",$D$2:$D6345,"&lt;&gt;",$E$2:$E6345,"&lt;&gt;"),"00000"),""))</f>
        <v/>
      </c>
      <c r="N6345" s="22"/>
    </row>
    <row r="6346" spans="1:14" x14ac:dyDescent="0.3">
      <c r="A6346" s="15" t="str">
        <f>IF(COUNTA($B6346:$E6346,$K6346)=0,"",IF(AND($B6346&lt;&gt;"",$C6346&lt;&gt;"",$D6346&lt;&gt;"",$E6346&lt;&gt;""),"TXS"&amp;TEXT(COUNTIFS($B$2:$B6346,"&lt;&gt;",$C$2:$C6346,"&lt;&gt;",$D$2:$D6346,"&lt;&gt;",$E$2:$E6346,"&lt;&gt;"),"00000"),""))</f>
        <v/>
      </c>
      <c r="N6346" s="22"/>
    </row>
    <row r="6347" spans="1:14" x14ac:dyDescent="0.3">
      <c r="A6347" s="15" t="str">
        <f>IF(COUNTA($B6347:$E6347,$K6347)=0,"",IF(AND($B6347&lt;&gt;"",$C6347&lt;&gt;"",$D6347&lt;&gt;"",$E6347&lt;&gt;""),"TXS"&amp;TEXT(COUNTIFS($B$2:$B6347,"&lt;&gt;",$C$2:$C6347,"&lt;&gt;",$D$2:$D6347,"&lt;&gt;",$E$2:$E6347,"&lt;&gt;"),"00000"),""))</f>
        <v/>
      </c>
      <c r="N6347" s="22"/>
    </row>
    <row r="6348" spans="1:14" x14ac:dyDescent="0.3">
      <c r="A6348" s="15" t="str">
        <f>IF(COUNTA($B6348:$E6348,$K6348)=0,"",IF(AND($B6348&lt;&gt;"",$C6348&lt;&gt;"",$D6348&lt;&gt;"",$E6348&lt;&gt;""),"TXS"&amp;TEXT(COUNTIFS($B$2:$B6348,"&lt;&gt;",$C$2:$C6348,"&lt;&gt;",$D$2:$D6348,"&lt;&gt;",$E$2:$E6348,"&lt;&gt;"),"00000"),""))</f>
        <v/>
      </c>
      <c r="N6348" s="22"/>
    </row>
    <row r="6349" spans="1:14" x14ac:dyDescent="0.3">
      <c r="A6349" s="15" t="str">
        <f>IF(COUNTA($B6349:$E6349,$K6349)=0,"",IF(AND($B6349&lt;&gt;"",$C6349&lt;&gt;"",$D6349&lt;&gt;"",$E6349&lt;&gt;""),"TXS"&amp;TEXT(COUNTIFS($B$2:$B6349,"&lt;&gt;",$C$2:$C6349,"&lt;&gt;",$D$2:$D6349,"&lt;&gt;",$E$2:$E6349,"&lt;&gt;"),"00000"),""))</f>
        <v/>
      </c>
      <c r="N6349" s="22"/>
    </row>
    <row r="6350" spans="1:14" x14ac:dyDescent="0.3">
      <c r="A6350" s="15" t="str">
        <f>IF(COUNTA($B6350:$E6350,$K6350)=0,"",IF(AND($B6350&lt;&gt;"",$C6350&lt;&gt;"",$D6350&lt;&gt;"",$E6350&lt;&gt;""),"TXS"&amp;TEXT(COUNTIFS($B$2:$B6350,"&lt;&gt;",$C$2:$C6350,"&lt;&gt;",$D$2:$D6350,"&lt;&gt;",$E$2:$E6350,"&lt;&gt;"),"00000"),""))</f>
        <v/>
      </c>
      <c r="N6350" s="22"/>
    </row>
    <row r="6351" spans="1:14" x14ac:dyDescent="0.3">
      <c r="A6351" s="15" t="str">
        <f>IF(COUNTA($B6351:$E6351,$K6351)=0,"",IF(AND($B6351&lt;&gt;"",$C6351&lt;&gt;"",$D6351&lt;&gt;"",$E6351&lt;&gt;""),"TXS"&amp;TEXT(COUNTIFS($B$2:$B6351,"&lt;&gt;",$C$2:$C6351,"&lt;&gt;",$D$2:$D6351,"&lt;&gt;",$E$2:$E6351,"&lt;&gt;"),"00000"),""))</f>
        <v/>
      </c>
      <c r="N6351" s="22"/>
    </row>
    <row r="6352" spans="1:14" x14ac:dyDescent="0.3">
      <c r="A6352" s="15" t="str">
        <f>IF(COUNTA($B6352:$E6352,$K6352)=0,"",IF(AND($B6352&lt;&gt;"",$C6352&lt;&gt;"",$D6352&lt;&gt;"",$E6352&lt;&gt;""),"TXS"&amp;TEXT(COUNTIFS($B$2:$B6352,"&lt;&gt;",$C$2:$C6352,"&lt;&gt;",$D$2:$D6352,"&lt;&gt;",$E$2:$E6352,"&lt;&gt;"),"00000"),""))</f>
        <v/>
      </c>
      <c r="N6352" s="22"/>
    </row>
    <row r="6353" spans="1:14" x14ac:dyDescent="0.3">
      <c r="A6353" s="15" t="str">
        <f>IF(COUNTA($B6353:$E6353,$K6353)=0,"",IF(AND($B6353&lt;&gt;"",$C6353&lt;&gt;"",$D6353&lt;&gt;"",$E6353&lt;&gt;""),"TXS"&amp;TEXT(COUNTIFS($B$2:$B6353,"&lt;&gt;",$C$2:$C6353,"&lt;&gt;",$D$2:$D6353,"&lt;&gt;",$E$2:$E6353,"&lt;&gt;"),"00000"),""))</f>
        <v/>
      </c>
      <c r="N6353" s="22"/>
    </row>
    <row r="6354" spans="1:14" x14ac:dyDescent="0.3">
      <c r="A6354" s="15" t="str">
        <f>IF(COUNTA($B6354:$E6354,$K6354)=0,"",IF(AND($B6354&lt;&gt;"",$C6354&lt;&gt;"",$D6354&lt;&gt;"",$E6354&lt;&gt;""),"TXS"&amp;TEXT(COUNTIFS($B$2:$B6354,"&lt;&gt;",$C$2:$C6354,"&lt;&gt;",$D$2:$D6354,"&lt;&gt;",$E$2:$E6354,"&lt;&gt;"),"00000"),""))</f>
        <v/>
      </c>
      <c r="N6354" s="22"/>
    </row>
    <row r="6355" spans="1:14" x14ac:dyDescent="0.3">
      <c r="A6355" s="15" t="str">
        <f>IF(COUNTA($B6355:$E6355,$K6355)=0,"",IF(AND($B6355&lt;&gt;"",$C6355&lt;&gt;"",$D6355&lt;&gt;"",$E6355&lt;&gt;""),"TXS"&amp;TEXT(COUNTIFS($B$2:$B6355,"&lt;&gt;",$C$2:$C6355,"&lt;&gt;",$D$2:$D6355,"&lt;&gt;",$E$2:$E6355,"&lt;&gt;"),"00000"),""))</f>
        <v/>
      </c>
      <c r="N6355" s="22"/>
    </row>
    <row r="6356" spans="1:14" x14ac:dyDescent="0.3">
      <c r="A6356" s="15" t="str">
        <f>IF(COUNTA($B6356:$E6356,$K6356)=0,"",IF(AND($B6356&lt;&gt;"",$C6356&lt;&gt;"",$D6356&lt;&gt;"",$E6356&lt;&gt;""),"TXS"&amp;TEXT(COUNTIFS($B$2:$B6356,"&lt;&gt;",$C$2:$C6356,"&lt;&gt;",$D$2:$D6356,"&lt;&gt;",$E$2:$E6356,"&lt;&gt;"),"00000"),""))</f>
        <v/>
      </c>
      <c r="N6356" s="22"/>
    </row>
    <row r="6357" spans="1:14" x14ac:dyDescent="0.3">
      <c r="A6357" s="15" t="str">
        <f>IF(COUNTA($B6357:$E6357,$K6357)=0,"",IF(AND($B6357&lt;&gt;"",$C6357&lt;&gt;"",$D6357&lt;&gt;"",$E6357&lt;&gt;""),"TXS"&amp;TEXT(COUNTIFS($B$2:$B6357,"&lt;&gt;",$C$2:$C6357,"&lt;&gt;",$D$2:$D6357,"&lt;&gt;",$E$2:$E6357,"&lt;&gt;"),"00000"),""))</f>
        <v/>
      </c>
      <c r="N6357" s="22"/>
    </row>
    <row r="6358" spans="1:14" x14ac:dyDescent="0.3">
      <c r="A6358" s="15" t="str">
        <f>IF(COUNTA($B6358:$E6358,$K6358)=0,"",IF(AND($B6358&lt;&gt;"",$C6358&lt;&gt;"",$D6358&lt;&gt;"",$E6358&lt;&gt;""),"TXS"&amp;TEXT(COUNTIFS($B$2:$B6358,"&lt;&gt;",$C$2:$C6358,"&lt;&gt;",$D$2:$D6358,"&lt;&gt;",$E$2:$E6358,"&lt;&gt;"),"00000"),""))</f>
        <v/>
      </c>
      <c r="N6358" s="22"/>
    </row>
    <row r="6359" spans="1:14" x14ac:dyDescent="0.3">
      <c r="A6359" s="15" t="str">
        <f>IF(COUNTA($B6359:$E6359,$K6359)=0,"",IF(AND($B6359&lt;&gt;"",$C6359&lt;&gt;"",$D6359&lt;&gt;"",$E6359&lt;&gt;""),"TXS"&amp;TEXT(COUNTIFS($B$2:$B6359,"&lt;&gt;",$C$2:$C6359,"&lt;&gt;",$D$2:$D6359,"&lt;&gt;",$E$2:$E6359,"&lt;&gt;"),"00000"),""))</f>
        <v/>
      </c>
      <c r="N6359" s="22"/>
    </row>
    <row r="6360" spans="1:14" x14ac:dyDescent="0.3">
      <c r="A6360" s="15" t="str">
        <f>IF(COUNTA($B6360:$E6360,$K6360)=0,"",IF(AND($B6360&lt;&gt;"",$C6360&lt;&gt;"",$D6360&lt;&gt;"",$E6360&lt;&gt;""),"TXS"&amp;TEXT(COUNTIFS($B$2:$B6360,"&lt;&gt;",$C$2:$C6360,"&lt;&gt;",$D$2:$D6360,"&lt;&gt;",$E$2:$E6360,"&lt;&gt;"),"00000"),""))</f>
        <v/>
      </c>
      <c r="N6360" s="22"/>
    </row>
    <row r="6361" spans="1:14" x14ac:dyDescent="0.3">
      <c r="A6361" s="15" t="str">
        <f>IF(COUNTA($B6361:$E6361,$K6361)=0,"",IF(AND($B6361&lt;&gt;"",$C6361&lt;&gt;"",$D6361&lt;&gt;"",$E6361&lt;&gt;""),"TXS"&amp;TEXT(COUNTIFS($B$2:$B6361,"&lt;&gt;",$C$2:$C6361,"&lt;&gt;",$D$2:$D6361,"&lt;&gt;",$E$2:$E6361,"&lt;&gt;"),"00000"),""))</f>
        <v/>
      </c>
      <c r="N6361" s="22"/>
    </row>
    <row r="6362" spans="1:14" x14ac:dyDescent="0.3">
      <c r="A6362" s="15" t="str">
        <f>IF(COUNTA($B6362:$E6362,$K6362)=0,"",IF(AND($B6362&lt;&gt;"",$C6362&lt;&gt;"",$D6362&lt;&gt;"",$E6362&lt;&gt;""),"TXS"&amp;TEXT(COUNTIFS($B$2:$B6362,"&lt;&gt;",$C$2:$C6362,"&lt;&gt;",$D$2:$D6362,"&lt;&gt;",$E$2:$E6362,"&lt;&gt;"),"00000"),""))</f>
        <v/>
      </c>
      <c r="N6362" s="22"/>
    </row>
    <row r="6363" spans="1:14" x14ac:dyDescent="0.3">
      <c r="A6363" s="15" t="str">
        <f>IF(COUNTA($B6363:$E6363,$K6363)=0,"",IF(AND($B6363&lt;&gt;"",$C6363&lt;&gt;"",$D6363&lt;&gt;"",$E6363&lt;&gt;""),"TXS"&amp;TEXT(COUNTIFS($B$2:$B6363,"&lt;&gt;",$C$2:$C6363,"&lt;&gt;",$D$2:$D6363,"&lt;&gt;",$E$2:$E6363,"&lt;&gt;"),"00000"),""))</f>
        <v/>
      </c>
      <c r="N6363" s="22"/>
    </row>
    <row r="6364" spans="1:14" x14ac:dyDescent="0.3">
      <c r="A6364" s="15" t="str">
        <f>IF(COUNTA($B6364:$E6364,$K6364)=0,"",IF(AND($B6364&lt;&gt;"",$C6364&lt;&gt;"",$D6364&lt;&gt;"",$E6364&lt;&gt;""),"TXS"&amp;TEXT(COUNTIFS($B$2:$B6364,"&lt;&gt;",$C$2:$C6364,"&lt;&gt;",$D$2:$D6364,"&lt;&gt;",$E$2:$E6364,"&lt;&gt;"),"00000"),""))</f>
        <v/>
      </c>
      <c r="N6364" s="22"/>
    </row>
    <row r="6365" spans="1:14" x14ac:dyDescent="0.3">
      <c r="A6365" s="15" t="str">
        <f>IF(COUNTA($B6365:$E6365,$K6365)=0,"",IF(AND($B6365&lt;&gt;"",$C6365&lt;&gt;"",$D6365&lt;&gt;"",$E6365&lt;&gt;""),"TXS"&amp;TEXT(COUNTIFS($B$2:$B6365,"&lt;&gt;",$C$2:$C6365,"&lt;&gt;",$D$2:$D6365,"&lt;&gt;",$E$2:$E6365,"&lt;&gt;"),"00000"),""))</f>
        <v/>
      </c>
      <c r="N6365" s="22"/>
    </row>
    <row r="6366" spans="1:14" x14ac:dyDescent="0.3">
      <c r="A6366" s="15" t="str">
        <f>IF(COUNTA($B6366:$E6366,$K6366)=0,"",IF(AND($B6366&lt;&gt;"",$C6366&lt;&gt;"",$D6366&lt;&gt;"",$E6366&lt;&gt;""),"TXS"&amp;TEXT(COUNTIFS($B$2:$B6366,"&lt;&gt;",$C$2:$C6366,"&lt;&gt;",$D$2:$D6366,"&lt;&gt;",$E$2:$E6366,"&lt;&gt;"),"00000"),""))</f>
        <v/>
      </c>
      <c r="N6366" s="22"/>
    </row>
    <row r="6367" spans="1:14" x14ac:dyDescent="0.3">
      <c r="A6367" s="15" t="str">
        <f>IF(COUNTA($B6367:$E6367,$K6367)=0,"",IF(AND($B6367&lt;&gt;"",$C6367&lt;&gt;"",$D6367&lt;&gt;"",$E6367&lt;&gt;""),"TXS"&amp;TEXT(COUNTIFS($B$2:$B6367,"&lt;&gt;",$C$2:$C6367,"&lt;&gt;",$D$2:$D6367,"&lt;&gt;",$E$2:$E6367,"&lt;&gt;"),"00000"),""))</f>
        <v/>
      </c>
      <c r="N6367" s="22"/>
    </row>
    <row r="6368" spans="1:14" x14ac:dyDescent="0.3">
      <c r="A6368" s="15" t="str">
        <f>IF(COUNTA($B6368:$E6368,$K6368)=0,"",IF(AND($B6368&lt;&gt;"",$C6368&lt;&gt;"",$D6368&lt;&gt;"",$E6368&lt;&gt;""),"TXS"&amp;TEXT(COUNTIFS($B$2:$B6368,"&lt;&gt;",$C$2:$C6368,"&lt;&gt;",$D$2:$D6368,"&lt;&gt;",$E$2:$E6368,"&lt;&gt;"),"00000"),""))</f>
        <v/>
      </c>
      <c r="N6368" s="22"/>
    </row>
    <row r="6369" spans="1:14" x14ac:dyDescent="0.3">
      <c r="A6369" s="15" t="str">
        <f>IF(COUNTA($B6369:$E6369,$K6369)=0,"",IF(AND($B6369&lt;&gt;"",$C6369&lt;&gt;"",$D6369&lt;&gt;"",$E6369&lt;&gt;""),"TXS"&amp;TEXT(COUNTIFS($B$2:$B6369,"&lt;&gt;",$C$2:$C6369,"&lt;&gt;",$D$2:$D6369,"&lt;&gt;",$E$2:$E6369,"&lt;&gt;"),"00000"),""))</f>
        <v/>
      </c>
      <c r="N6369" s="22"/>
    </row>
    <row r="6370" spans="1:14" x14ac:dyDescent="0.3">
      <c r="A6370" s="15" t="str">
        <f>IF(COUNTA($B6370:$E6370,$K6370)=0,"",IF(AND($B6370&lt;&gt;"",$C6370&lt;&gt;"",$D6370&lt;&gt;"",$E6370&lt;&gt;""),"TXS"&amp;TEXT(COUNTIFS($B$2:$B6370,"&lt;&gt;",$C$2:$C6370,"&lt;&gt;",$D$2:$D6370,"&lt;&gt;",$E$2:$E6370,"&lt;&gt;"),"00000"),""))</f>
        <v/>
      </c>
      <c r="N6370" s="22"/>
    </row>
    <row r="6371" spans="1:14" x14ac:dyDescent="0.3">
      <c r="A6371" s="15" t="str">
        <f>IF(COUNTA($B6371:$E6371,$K6371)=0,"",IF(AND($B6371&lt;&gt;"",$C6371&lt;&gt;"",$D6371&lt;&gt;"",$E6371&lt;&gt;""),"TXS"&amp;TEXT(COUNTIFS($B$2:$B6371,"&lt;&gt;",$C$2:$C6371,"&lt;&gt;",$D$2:$D6371,"&lt;&gt;",$E$2:$E6371,"&lt;&gt;"),"00000"),""))</f>
        <v/>
      </c>
      <c r="N6371" s="22"/>
    </row>
    <row r="6372" spans="1:14" x14ac:dyDescent="0.3">
      <c r="A6372" s="15" t="str">
        <f>IF(COUNTA($B6372:$E6372,$K6372)=0,"",IF(AND($B6372&lt;&gt;"",$C6372&lt;&gt;"",$D6372&lt;&gt;"",$E6372&lt;&gt;""),"TXS"&amp;TEXT(COUNTIFS($B$2:$B6372,"&lt;&gt;",$C$2:$C6372,"&lt;&gt;",$D$2:$D6372,"&lt;&gt;",$E$2:$E6372,"&lt;&gt;"),"00000"),""))</f>
        <v/>
      </c>
      <c r="N6372" s="22"/>
    </row>
    <row r="6373" spans="1:14" x14ac:dyDescent="0.3">
      <c r="A6373" s="15" t="str">
        <f>IF(COUNTA($B6373:$E6373,$K6373)=0,"",IF(AND($B6373&lt;&gt;"",$C6373&lt;&gt;"",$D6373&lt;&gt;"",$E6373&lt;&gt;""),"TXS"&amp;TEXT(COUNTIFS($B$2:$B6373,"&lt;&gt;",$C$2:$C6373,"&lt;&gt;",$D$2:$D6373,"&lt;&gt;",$E$2:$E6373,"&lt;&gt;"),"00000"),""))</f>
        <v/>
      </c>
      <c r="N6373" s="22"/>
    </row>
    <row r="6374" spans="1:14" x14ac:dyDescent="0.3">
      <c r="A6374" s="15" t="str">
        <f>IF(COUNTA($B6374:$E6374,$K6374)=0,"",IF(AND($B6374&lt;&gt;"",$C6374&lt;&gt;"",$D6374&lt;&gt;"",$E6374&lt;&gt;""),"TXS"&amp;TEXT(COUNTIFS($B$2:$B6374,"&lt;&gt;",$C$2:$C6374,"&lt;&gt;",$D$2:$D6374,"&lt;&gt;",$E$2:$E6374,"&lt;&gt;"),"00000"),""))</f>
        <v/>
      </c>
      <c r="N6374" s="22"/>
    </row>
    <row r="6375" spans="1:14" x14ac:dyDescent="0.3">
      <c r="A6375" s="15" t="str">
        <f>IF(COUNTA($B6375:$E6375,$K6375)=0,"",IF(AND($B6375&lt;&gt;"",$C6375&lt;&gt;"",$D6375&lt;&gt;"",$E6375&lt;&gt;""),"TXS"&amp;TEXT(COUNTIFS($B$2:$B6375,"&lt;&gt;",$C$2:$C6375,"&lt;&gt;",$D$2:$D6375,"&lt;&gt;",$E$2:$E6375,"&lt;&gt;"),"00000"),""))</f>
        <v/>
      </c>
      <c r="N6375" s="22"/>
    </row>
    <row r="6376" spans="1:14" x14ac:dyDescent="0.3">
      <c r="A6376" s="15" t="str">
        <f>IF(COUNTA($B6376:$E6376,$K6376)=0,"",IF(AND($B6376&lt;&gt;"",$C6376&lt;&gt;"",$D6376&lt;&gt;"",$E6376&lt;&gt;""),"TXS"&amp;TEXT(COUNTIFS($B$2:$B6376,"&lt;&gt;",$C$2:$C6376,"&lt;&gt;",$D$2:$D6376,"&lt;&gt;",$E$2:$E6376,"&lt;&gt;"),"00000"),""))</f>
        <v/>
      </c>
      <c r="N6376" s="22"/>
    </row>
    <row r="6377" spans="1:14" x14ac:dyDescent="0.3">
      <c r="A6377" s="15" t="str">
        <f>IF(COUNTA($B6377:$E6377,$K6377)=0,"",IF(AND($B6377&lt;&gt;"",$C6377&lt;&gt;"",$D6377&lt;&gt;"",$E6377&lt;&gt;""),"TXS"&amp;TEXT(COUNTIFS($B$2:$B6377,"&lt;&gt;",$C$2:$C6377,"&lt;&gt;",$D$2:$D6377,"&lt;&gt;",$E$2:$E6377,"&lt;&gt;"),"00000"),""))</f>
        <v/>
      </c>
      <c r="N6377" s="22"/>
    </row>
    <row r="6378" spans="1:14" x14ac:dyDescent="0.3">
      <c r="A6378" s="15" t="str">
        <f>IF(COUNTA($B6378:$E6378,$K6378)=0,"",IF(AND($B6378&lt;&gt;"",$C6378&lt;&gt;"",$D6378&lt;&gt;"",$E6378&lt;&gt;""),"TXS"&amp;TEXT(COUNTIFS($B$2:$B6378,"&lt;&gt;",$C$2:$C6378,"&lt;&gt;",$D$2:$D6378,"&lt;&gt;",$E$2:$E6378,"&lt;&gt;"),"00000"),""))</f>
        <v/>
      </c>
      <c r="N6378" s="22"/>
    </row>
    <row r="6379" spans="1:14" x14ac:dyDescent="0.3">
      <c r="A6379" s="15" t="str">
        <f>IF(COUNTA($B6379:$E6379,$K6379)=0,"",IF(AND($B6379&lt;&gt;"",$C6379&lt;&gt;"",$D6379&lt;&gt;"",$E6379&lt;&gt;""),"TXS"&amp;TEXT(COUNTIFS($B$2:$B6379,"&lt;&gt;",$C$2:$C6379,"&lt;&gt;",$D$2:$D6379,"&lt;&gt;",$E$2:$E6379,"&lt;&gt;"),"00000"),""))</f>
        <v/>
      </c>
      <c r="N6379" s="22"/>
    </row>
    <row r="6380" spans="1:14" x14ac:dyDescent="0.3">
      <c r="A6380" s="15" t="str">
        <f>IF(COUNTA($B6380:$E6380,$K6380)=0,"",IF(AND($B6380&lt;&gt;"",$C6380&lt;&gt;"",$D6380&lt;&gt;"",$E6380&lt;&gt;""),"TXS"&amp;TEXT(COUNTIFS($B$2:$B6380,"&lt;&gt;",$C$2:$C6380,"&lt;&gt;",$D$2:$D6380,"&lt;&gt;",$E$2:$E6380,"&lt;&gt;"),"00000"),""))</f>
        <v/>
      </c>
      <c r="N6380" s="22"/>
    </row>
    <row r="6381" spans="1:14" x14ac:dyDescent="0.3">
      <c r="A6381" s="15" t="str">
        <f>IF(COUNTA($B6381:$E6381,$K6381)=0,"",IF(AND($B6381&lt;&gt;"",$C6381&lt;&gt;"",$D6381&lt;&gt;"",$E6381&lt;&gt;""),"TXS"&amp;TEXT(COUNTIFS($B$2:$B6381,"&lt;&gt;",$C$2:$C6381,"&lt;&gt;",$D$2:$D6381,"&lt;&gt;",$E$2:$E6381,"&lt;&gt;"),"00000"),""))</f>
        <v/>
      </c>
      <c r="N6381" s="22"/>
    </row>
    <row r="6382" spans="1:14" x14ac:dyDescent="0.3">
      <c r="A6382" s="15" t="str">
        <f>IF(COUNTA($B6382:$E6382,$K6382)=0,"",IF(AND($B6382&lt;&gt;"",$C6382&lt;&gt;"",$D6382&lt;&gt;"",$E6382&lt;&gt;""),"TXS"&amp;TEXT(COUNTIFS($B$2:$B6382,"&lt;&gt;",$C$2:$C6382,"&lt;&gt;",$D$2:$D6382,"&lt;&gt;",$E$2:$E6382,"&lt;&gt;"),"00000"),""))</f>
        <v/>
      </c>
      <c r="N6382" s="22"/>
    </row>
    <row r="6383" spans="1:14" x14ac:dyDescent="0.3">
      <c r="A6383" s="15" t="str">
        <f>IF(COUNTA($B6383:$E6383,$K6383)=0,"",IF(AND($B6383&lt;&gt;"",$C6383&lt;&gt;"",$D6383&lt;&gt;"",$E6383&lt;&gt;""),"TXS"&amp;TEXT(COUNTIFS($B$2:$B6383,"&lt;&gt;",$C$2:$C6383,"&lt;&gt;",$D$2:$D6383,"&lt;&gt;",$E$2:$E6383,"&lt;&gt;"),"00000"),""))</f>
        <v/>
      </c>
      <c r="N6383" s="22"/>
    </row>
    <row r="6384" spans="1:14" x14ac:dyDescent="0.3">
      <c r="A6384" s="15" t="str">
        <f>IF(COUNTA($B6384:$E6384,$K6384)=0,"",IF(AND($B6384&lt;&gt;"",$C6384&lt;&gt;"",$D6384&lt;&gt;"",$E6384&lt;&gt;""),"TXS"&amp;TEXT(COUNTIFS($B$2:$B6384,"&lt;&gt;",$C$2:$C6384,"&lt;&gt;",$D$2:$D6384,"&lt;&gt;",$E$2:$E6384,"&lt;&gt;"),"00000"),""))</f>
        <v/>
      </c>
      <c r="N6384" s="22"/>
    </row>
    <row r="6385" spans="1:14" x14ac:dyDescent="0.3">
      <c r="A6385" s="15" t="str">
        <f>IF(COUNTA($B6385:$E6385,$K6385)=0,"",IF(AND($B6385&lt;&gt;"",$C6385&lt;&gt;"",$D6385&lt;&gt;"",$E6385&lt;&gt;""),"TXS"&amp;TEXT(COUNTIFS($B$2:$B6385,"&lt;&gt;",$C$2:$C6385,"&lt;&gt;",$D$2:$D6385,"&lt;&gt;",$E$2:$E6385,"&lt;&gt;"),"00000"),""))</f>
        <v/>
      </c>
      <c r="N6385" s="22"/>
    </row>
    <row r="6386" spans="1:14" x14ac:dyDescent="0.3">
      <c r="A6386" s="15" t="str">
        <f>IF(COUNTA($B6386:$E6386,$K6386)=0,"",IF(AND($B6386&lt;&gt;"",$C6386&lt;&gt;"",$D6386&lt;&gt;"",$E6386&lt;&gt;""),"TXS"&amp;TEXT(COUNTIFS($B$2:$B6386,"&lt;&gt;",$C$2:$C6386,"&lt;&gt;",$D$2:$D6386,"&lt;&gt;",$E$2:$E6386,"&lt;&gt;"),"00000"),""))</f>
        <v/>
      </c>
      <c r="N6386" s="22"/>
    </row>
    <row r="6387" spans="1:14" x14ac:dyDescent="0.3">
      <c r="A6387" s="15" t="str">
        <f>IF(COUNTA($B6387:$E6387,$K6387)=0,"",IF(AND($B6387&lt;&gt;"",$C6387&lt;&gt;"",$D6387&lt;&gt;"",$E6387&lt;&gt;""),"TXS"&amp;TEXT(COUNTIFS($B$2:$B6387,"&lt;&gt;",$C$2:$C6387,"&lt;&gt;",$D$2:$D6387,"&lt;&gt;",$E$2:$E6387,"&lt;&gt;"),"00000"),""))</f>
        <v/>
      </c>
      <c r="N6387" s="22"/>
    </row>
    <row r="6388" spans="1:14" x14ac:dyDescent="0.3">
      <c r="A6388" s="15" t="str">
        <f>IF(COUNTA($B6388:$E6388,$K6388)=0,"",IF(AND($B6388&lt;&gt;"",$C6388&lt;&gt;"",$D6388&lt;&gt;"",$E6388&lt;&gt;""),"TXS"&amp;TEXT(COUNTIFS($B$2:$B6388,"&lt;&gt;",$C$2:$C6388,"&lt;&gt;",$D$2:$D6388,"&lt;&gt;",$E$2:$E6388,"&lt;&gt;"),"00000"),""))</f>
        <v/>
      </c>
      <c r="N6388" s="22"/>
    </row>
    <row r="6389" spans="1:14" x14ac:dyDescent="0.3">
      <c r="A6389" s="15" t="str">
        <f>IF(COUNTA($B6389:$E6389,$K6389)=0,"",IF(AND($B6389&lt;&gt;"",$C6389&lt;&gt;"",$D6389&lt;&gt;"",$E6389&lt;&gt;""),"TXS"&amp;TEXT(COUNTIFS($B$2:$B6389,"&lt;&gt;",$C$2:$C6389,"&lt;&gt;",$D$2:$D6389,"&lt;&gt;",$E$2:$E6389,"&lt;&gt;"),"00000"),""))</f>
        <v/>
      </c>
      <c r="N6389" s="22"/>
    </row>
    <row r="6390" spans="1:14" x14ac:dyDescent="0.3">
      <c r="A6390" s="15" t="str">
        <f>IF(COUNTA($B6390:$E6390,$K6390)=0,"",IF(AND($B6390&lt;&gt;"",$C6390&lt;&gt;"",$D6390&lt;&gt;"",$E6390&lt;&gt;""),"TXS"&amp;TEXT(COUNTIFS($B$2:$B6390,"&lt;&gt;",$C$2:$C6390,"&lt;&gt;",$D$2:$D6390,"&lt;&gt;",$E$2:$E6390,"&lt;&gt;"),"00000"),""))</f>
        <v/>
      </c>
      <c r="N6390" s="22"/>
    </row>
    <row r="6391" spans="1:14" x14ac:dyDescent="0.3">
      <c r="A6391" s="15" t="str">
        <f>IF(COUNTA($B6391:$E6391,$K6391)=0,"",IF(AND($B6391&lt;&gt;"",$C6391&lt;&gt;"",$D6391&lt;&gt;"",$E6391&lt;&gt;""),"TXS"&amp;TEXT(COUNTIFS($B$2:$B6391,"&lt;&gt;",$C$2:$C6391,"&lt;&gt;",$D$2:$D6391,"&lt;&gt;",$E$2:$E6391,"&lt;&gt;"),"00000"),""))</f>
        <v/>
      </c>
      <c r="N6391" s="22"/>
    </row>
    <row r="6392" spans="1:14" x14ac:dyDescent="0.3">
      <c r="A6392" s="15" t="str">
        <f>IF(COUNTA($B6392:$E6392,$K6392)=0,"",IF(AND($B6392&lt;&gt;"",$C6392&lt;&gt;"",$D6392&lt;&gt;"",$E6392&lt;&gt;""),"TXS"&amp;TEXT(COUNTIFS($B$2:$B6392,"&lt;&gt;",$C$2:$C6392,"&lt;&gt;",$D$2:$D6392,"&lt;&gt;",$E$2:$E6392,"&lt;&gt;"),"00000"),""))</f>
        <v/>
      </c>
      <c r="N6392" s="22"/>
    </row>
    <row r="6393" spans="1:14" x14ac:dyDescent="0.3">
      <c r="A6393" s="15" t="str">
        <f>IF(COUNTA($B6393:$E6393,$K6393)=0,"",IF(AND($B6393&lt;&gt;"",$C6393&lt;&gt;"",$D6393&lt;&gt;"",$E6393&lt;&gt;""),"TXS"&amp;TEXT(COUNTIFS($B$2:$B6393,"&lt;&gt;",$C$2:$C6393,"&lt;&gt;",$D$2:$D6393,"&lt;&gt;",$E$2:$E6393,"&lt;&gt;"),"00000"),""))</f>
        <v/>
      </c>
      <c r="N6393" s="22"/>
    </row>
    <row r="6394" spans="1:14" x14ac:dyDescent="0.3">
      <c r="A6394" s="15" t="str">
        <f>IF(COUNTA($B6394:$E6394,$K6394)=0,"",IF(AND($B6394&lt;&gt;"",$C6394&lt;&gt;"",$D6394&lt;&gt;"",$E6394&lt;&gt;""),"TXS"&amp;TEXT(COUNTIFS($B$2:$B6394,"&lt;&gt;",$C$2:$C6394,"&lt;&gt;",$D$2:$D6394,"&lt;&gt;",$E$2:$E6394,"&lt;&gt;"),"00000"),""))</f>
        <v/>
      </c>
      <c r="N6394" s="22"/>
    </row>
    <row r="6395" spans="1:14" x14ac:dyDescent="0.3">
      <c r="A6395" s="15" t="str">
        <f>IF(COUNTA($B6395:$E6395,$K6395)=0,"",IF(AND($B6395&lt;&gt;"",$C6395&lt;&gt;"",$D6395&lt;&gt;"",$E6395&lt;&gt;""),"TXS"&amp;TEXT(COUNTIFS($B$2:$B6395,"&lt;&gt;",$C$2:$C6395,"&lt;&gt;",$D$2:$D6395,"&lt;&gt;",$E$2:$E6395,"&lt;&gt;"),"00000"),""))</f>
        <v/>
      </c>
      <c r="N6395" s="22"/>
    </row>
    <row r="6396" spans="1:14" x14ac:dyDescent="0.3">
      <c r="A6396" s="15" t="str">
        <f>IF(COUNTA($B6396:$E6396,$K6396)=0,"",IF(AND($B6396&lt;&gt;"",$C6396&lt;&gt;"",$D6396&lt;&gt;"",$E6396&lt;&gt;""),"TXS"&amp;TEXT(COUNTIFS($B$2:$B6396,"&lt;&gt;",$C$2:$C6396,"&lt;&gt;",$D$2:$D6396,"&lt;&gt;",$E$2:$E6396,"&lt;&gt;"),"00000"),""))</f>
        <v/>
      </c>
      <c r="N6396" s="22"/>
    </row>
    <row r="6397" spans="1:14" x14ac:dyDescent="0.3">
      <c r="A6397" s="15" t="str">
        <f>IF(COUNTA($B6397:$E6397,$K6397)=0,"",IF(AND($B6397&lt;&gt;"",$C6397&lt;&gt;"",$D6397&lt;&gt;"",$E6397&lt;&gt;""),"TXS"&amp;TEXT(COUNTIFS($B$2:$B6397,"&lt;&gt;",$C$2:$C6397,"&lt;&gt;",$D$2:$D6397,"&lt;&gt;",$E$2:$E6397,"&lt;&gt;"),"00000"),""))</f>
        <v/>
      </c>
      <c r="N6397" s="22"/>
    </row>
    <row r="6398" spans="1:14" x14ac:dyDescent="0.3">
      <c r="A6398" s="15" t="str">
        <f>IF(COUNTA($B6398:$E6398,$K6398)=0,"",IF(AND($B6398&lt;&gt;"",$C6398&lt;&gt;"",$D6398&lt;&gt;"",$E6398&lt;&gt;""),"TXS"&amp;TEXT(COUNTIFS($B$2:$B6398,"&lt;&gt;",$C$2:$C6398,"&lt;&gt;",$D$2:$D6398,"&lt;&gt;",$E$2:$E6398,"&lt;&gt;"),"00000"),""))</f>
        <v/>
      </c>
      <c r="N6398" s="22"/>
    </row>
    <row r="6399" spans="1:14" x14ac:dyDescent="0.3">
      <c r="A6399" s="15" t="str">
        <f>IF(COUNTA($B6399:$E6399,$K6399)=0,"",IF(AND($B6399&lt;&gt;"",$C6399&lt;&gt;"",$D6399&lt;&gt;"",$E6399&lt;&gt;""),"TXS"&amp;TEXT(COUNTIFS($B$2:$B6399,"&lt;&gt;",$C$2:$C6399,"&lt;&gt;",$D$2:$D6399,"&lt;&gt;",$E$2:$E6399,"&lt;&gt;"),"00000"),""))</f>
        <v/>
      </c>
      <c r="N6399" s="22"/>
    </row>
    <row r="6400" spans="1:14" x14ac:dyDescent="0.3">
      <c r="A6400" s="15" t="str">
        <f>IF(COUNTA($B6400:$E6400,$K6400)=0,"",IF(AND($B6400&lt;&gt;"",$C6400&lt;&gt;"",$D6400&lt;&gt;"",$E6400&lt;&gt;""),"TXS"&amp;TEXT(COUNTIFS($B$2:$B6400,"&lt;&gt;",$C$2:$C6400,"&lt;&gt;",$D$2:$D6400,"&lt;&gt;",$E$2:$E6400,"&lt;&gt;"),"00000"),""))</f>
        <v/>
      </c>
      <c r="N6400" s="22"/>
    </row>
    <row r="6401" spans="1:14" x14ac:dyDescent="0.3">
      <c r="A6401" s="15" t="str">
        <f>IF(COUNTA($B6401:$E6401,$K6401)=0,"",IF(AND($B6401&lt;&gt;"",$C6401&lt;&gt;"",$D6401&lt;&gt;"",$E6401&lt;&gt;""),"TXS"&amp;TEXT(COUNTIFS($B$2:$B6401,"&lt;&gt;",$C$2:$C6401,"&lt;&gt;",$D$2:$D6401,"&lt;&gt;",$E$2:$E6401,"&lt;&gt;"),"00000"),""))</f>
        <v/>
      </c>
      <c r="N6401" s="22"/>
    </row>
    <row r="6402" spans="1:14" x14ac:dyDescent="0.3">
      <c r="A6402" s="15" t="str">
        <f>IF(COUNTA($B6402:$E6402,$K6402)=0,"",IF(AND($B6402&lt;&gt;"",$C6402&lt;&gt;"",$D6402&lt;&gt;"",$E6402&lt;&gt;""),"TXS"&amp;TEXT(COUNTIFS($B$2:$B6402,"&lt;&gt;",$C$2:$C6402,"&lt;&gt;",$D$2:$D6402,"&lt;&gt;",$E$2:$E6402,"&lt;&gt;"),"00000"),""))</f>
        <v/>
      </c>
      <c r="N6402" s="22"/>
    </row>
    <row r="6403" spans="1:14" x14ac:dyDescent="0.3">
      <c r="A6403" s="15" t="str">
        <f>IF(COUNTA($B6403:$E6403,$K6403)=0,"",IF(AND($B6403&lt;&gt;"",$C6403&lt;&gt;"",$D6403&lt;&gt;"",$E6403&lt;&gt;""),"TXS"&amp;TEXT(COUNTIFS($B$2:$B6403,"&lt;&gt;",$C$2:$C6403,"&lt;&gt;",$D$2:$D6403,"&lt;&gt;",$E$2:$E6403,"&lt;&gt;"),"00000"),""))</f>
        <v/>
      </c>
      <c r="N6403" s="22"/>
    </row>
    <row r="6404" spans="1:14" x14ac:dyDescent="0.3">
      <c r="A6404" s="15" t="str">
        <f>IF(COUNTA($B6404:$E6404,$K6404)=0,"",IF(AND($B6404&lt;&gt;"",$C6404&lt;&gt;"",$D6404&lt;&gt;"",$E6404&lt;&gt;""),"TXS"&amp;TEXT(COUNTIFS($B$2:$B6404,"&lt;&gt;",$C$2:$C6404,"&lt;&gt;",$D$2:$D6404,"&lt;&gt;",$E$2:$E6404,"&lt;&gt;"),"00000"),""))</f>
        <v/>
      </c>
      <c r="N6404" s="22"/>
    </row>
    <row r="6405" spans="1:14" x14ac:dyDescent="0.3">
      <c r="A6405" s="15" t="str">
        <f>IF(COUNTA($B6405:$E6405,$K6405)=0,"",IF(AND($B6405&lt;&gt;"",$C6405&lt;&gt;"",$D6405&lt;&gt;"",$E6405&lt;&gt;""),"TXS"&amp;TEXT(COUNTIFS($B$2:$B6405,"&lt;&gt;",$C$2:$C6405,"&lt;&gt;",$D$2:$D6405,"&lt;&gt;",$E$2:$E6405,"&lt;&gt;"),"00000"),""))</f>
        <v/>
      </c>
      <c r="N6405" s="22"/>
    </row>
    <row r="6406" spans="1:14" x14ac:dyDescent="0.3">
      <c r="A6406" s="15" t="str">
        <f>IF(COUNTA($B6406:$E6406,$K6406)=0,"",IF(AND($B6406&lt;&gt;"",$C6406&lt;&gt;"",$D6406&lt;&gt;"",$E6406&lt;&gt;""),"TXS"&amp;TEXT(COUNTIFS($B$2:$B6406,"&lt;&gt;",$C$2:$C6406,"&lt;&gt;",$D$2:$D6406,"&lt;&gt;",$E$2:$E6406,"&lt;&gt;"),"00000"),""))</f>
        <v/>
      </c>
      <c r="N6406" s="22"/>
    </row>
    <row r="6407" spans="1:14" x14ac:dyDescent="0.3">
      <c r="A6407" s="15" t="str">
        <f>IF(COUNTA($B6407:$E6407,$K6407)=0,"",IF(AND($B6407&lt;&gt;"",$C6407&lt;&gt;"",$D6407&lt;&gt;"",$E6407&lt;&gt;""),"TXS"&amp;TEXT(COUNTIFS($B$2:$B6407,"&lt;&gt;",$C$2:$C6407,"&lt;&gt;",$D$2:$D6407,"&lt;&gt;",$E$2:$E6407,"&lt;&gt;"),"00000"),""))</f>
        <v/>
      </c>
      <c r="N6407" s="22"/>
    </row>
    <row r="6408" spans="1:14" x14ac:dyDescent="0.3">
      <c r="A6408" s="15" t="str">
        <f>IF(COUNTA($B6408:$E6408,$K6408)=0,"",IF(AND($B6408&lt;&gt;"",$C6408&lt;&gt;"",$D6408&lt;&gt;"",$E6408&lt;&gt;""),"TXS"&amp;TEXT(COUNTIFS($B$2:$B6408,"&lt;&gt;",$C$2:$C6408,"&lt;&gt;",$D$2:$D6408,"&lt;&gt;",$E$2:$E6408,"&lt;&gt;"),"00000"),""))</f>
        <v/>
      </c>
      <c r="N6408" s="22"/>
    </row>
    <row r="6409" spans="1:14" x14ac:dyDescent="0.3">
      <c r="A6409" s="15" t="str">
        <f>IF(COUNTA($B6409:$E6409,$K6409)=0,"",IF(AND($B6409&lt;&gt;"",$C6409&lt;&gt;"",$D6409&lt;&gt;"",$E6409&lt;&gt;""),"TXS"&amp;TEXT(COUNTIFS($B$2:$B6409,"&lt;&gt;",$C$2:$C6409,"&lt;&gt;",$D$2:$D6409,"&lt;&gt;",$E$2:$E6409,"&lt;&gt;"),"00000"),""))</f>
        <v/>
      </c>
      <c r="N6409" s="22"/>
    </row>
    <row r="6410" spans="1:14" x14ac:dyDescent="0.3">
      <c r="A6410" s="15" t="str">
        <f>IF(COUNTA($B6410:$E6410,$K6410)=0,"",IF(AND($B6410&lt;&gt;"",$C6410&lt;&gt;"",$D6410&lt;&gt;"",$E6410&lt;&gt;""),"TXS"&amp;TEXT(COUNTIFS($B$2:$B6410,"&lt;&gt;",$C$2:$C6410,"&lt;&gt;",$D$2:$D6410,"&lt;&gt;",$E$2:$E6410,"&lt;&gt;"),"00000"),""))</f>
        <v/>
      </c>
      <c r="N6410" s="22"/>
    </row>
    <row r="6411" spans="1:14" x14ac:dyDescent="0.3">
      <c r="A6411" s="15" t="str">
        <f>IF(COUNTA($B6411:$E6411,$K6411)=0,"",IF(AND($B6411&lt;&gt;"",$C6411&lt;&gt;"",$D6411&lt;&gt;"",$E6411&lt;&gt;""),"TXS"&amp;TEXT(COUNTIFS($B$2:$B6411,"&lt;&gt;",$C$2:$C6411,"&lt;&gt;",$D$2:$D6411,"&lt;&gt;",$E$2:$E6411,"&lt;&gt;"),"00000"),""))</f>
        <v/>
      </c>
      <c r="N6411" s="22"/>
    </row>
    <row r="6412" spans="1:14" x14ac:dyDescent="0.3">
      <c r="A6412" s="15" t="str">
        <f>IF(COUNTA($B6412:$E6412,$K6412)=0,"",IF(AND($B6412&lt;&gt;"",$C6412&lt;&gt;"",$D6412&lt;&gt;"",$E6412&lt;&gt;""),"TXS"&amp;TEXT(COUNTIFS($B$2:$B6412,"&lt;&gt;",$C$2:$C6412,"&lt;&gt;",$D$2:$D6412,"&lt;&gt;",$E$2:$E6412,"&lt;&gt;"),"00000"),""))</f>
        <v/>
      </c>
      <c r="N6412" s="22"/>
    </row>
    <row r="6413" spans="1:14" x14ac:dyDescent="0.3">
      <c r="A6413" s="15" t="str">
        <f>IF(COUNTA($B6413:$E6413,$K6413)=0,"",IF(AND($B6413&lt;&gt;"",$C6413&lt;&gt;"",$D6413&lt;&gt;"",$E6413&lt;&gt;""),"TXS"&amp;TEXT(COUNTIFS($B$2:$B6413,"&lt;&gt;",$C$2:$C6413,"&lt;&gt;",$D$2:$D6413,"&lt;&gt;",$E$2:$E6413,"&lt;&gt;"),"00000"),""))</f>
        <v/>
      </c>
      <c r="N6413" s="22"/>
    </row>
    <row r="6414" spans="1:14" x14ac:dyDescent="0.3">
      <c r="A6414" s="15" t="str">
        <f>IF(COUNTA($B6414:$E6414,$K6414)=0,"",IF(AND($B6414&lt;&gt;"",$C6414&lt;&gt;"",$D6414&lt;&gt;"",$E6414&lt;&gt;""),"TXS"&amp;TEXT(COUNTIFS($B$2:$B6414,"&lt;&gt;",$C$2:$C6414,"&lt;&gt;",$D$2:$D6414,"&lt;&gt;",$E$2:$E6414,"&lt;&gt;"),"00000"),""))</f>
        <v/>
      </c>
      <c r="N6414" s="22"/>
    </row>
    <row r="6415" spans="1:14" x14ac:dyDescent="0.3">
      <c r="A6415" s="15" t="str">
        <f>IF(COUNTA($B6415:$E6415,$K6415)=0,"",IF(AND($B6415&lt;&gt;"",$C6415&lt;&gt;"",$D6415&lt;&gt;"",$E6415&lt;&gt;""),"TXS"&amp;TEXT(COUNTIFS($B$2:$B6415,"&lt;&gt;",$C$2:$C6415,"&lt;&gt;",$D$2:$D6415,"&lt;&gt;",$E$2:$E6415,"&lt;&gt;"),"00000"),""))</f>
        <v/>
      </c>
      <c r="N6415" s="22"/>
    </row>
    <row r="6416" spans="1:14" x14ac:dyDescent="0.3">
      <c r="A6416" s="15" t="str">
        <f>IF(COUNTA($B6416:$E6416,$K6416)=0,"",IF(AND($B6416&lt;&gt;"",$C6416&lt;&gt;"",$D6416&lt;&gt;"",$E6416&lt;&gt;""),"TXS"&amp;TEXT(COUNTIFS($B$2:$B6416,"&lt;&gt;",$C$2:$C6416,"&lt;&gt;",$D$2:$D6416,"&lt;&gt;",$E$2:$E6416,"&lt;&gt;"),"00000"),""))</f>
        <v/>
      </c>
      <c r="N6416" s="22"/>
    </row>
    <row r="6417" spans="1:14" x14ac:dyDescent="0.3">
      <c r="A6417" s="15" t="str">
        <f>IF(COUNTA($B6417:$E6417,$K6417)=0,"",IF(AND($B6417&lt;&gt;"",$C6417&lt;&gt;"",$D6417&lt;&gt;"",$E6417&lt;&gt;""),"TXS"&amp;TEXT(COUNTIFS($B$2:$B6417,"&lt;&gt;",$C$2:$C6417,"&lt;&gt;",$D$2:$D6417,"&lt;&gt;",$E$2:$E6417,"&lt;&gt;"),"00000"),""))</f>
        <v/>
      </c>
      <c r="N6417" s="22"/>
    </row>
    <row r="6418" spans="1:14" x14ac:dyDescent="0.3">
      <c r="A6418" s="15" t="str">
        <f>IF(COUNTA($B6418:$E6418,$K6418)=0,"",IF(AND($B6418&lt;&gt;"",$C6418&lt;&gt;"",$D6418&lt;&gt;"",$E6418&lt;&gt;""),"TXS"&amp;TEXT(COUNTIFS($B$2:$B6418,"&lt;&gt;",$C$2:$C6418,"&lt;&gt;",$D$2:$D6418,"&lt;&gt;",$E$2:$E6418,"&lt;&gt;"),"00000"),""))</f>
        <v/>
      </c>
      <c r="N6418" s="22"/>
    </row>
    <row r="6419" spans="1:14" x14ac:dyDescent="0.3">
      <c r="A6419" s="15" t="str">
        <f>IF(COUNTA($B6419:$E6419,$K6419)=0,"",IF(AND($B6419&lt;&gt;"",$C6419&lt;&gt;"",$D6419&lt;&gt;"",$E6419&lt;&gt;""),"TXS"&amp;TEXT(COUNTIFS($B$2:$B6419,"&lt;&gt;",$C$2:$C6419,"&lt;&gt;",$D$2:$D6419,"&lt;&gt;",$E$2:$E6419,"&lt;&gt;"),"00000"),""))</f>
        <v/>
      </c>
      <c r="N6419" s="22"/>
    </row>
    <row r="6420" spans="1:14" x14ac:dyDescent="0.3">
      <c r="A6420" s="15" t="str">
        <f>IF(COUNTA($B6420:$E6420,$K6420)=0,"",IF(AND($B6420&lt;&gt;"",$C6420&lt;&gt;"",$D6420&lt;&gt;"",$E6420&lt;&gt;""),"TXS"&amp;TEXT(COUNTIFS($B$2:$B6420,"&lt;&gt;",$C$2:$C6420,"&lt;&gt;",$D$2:$D6420,"&lt;&gt;",$E$2:$E6420,"&lt;&gt;"),"00000"),""))</f>
        <v/>
      </c>
      <c r="N6420" s="22"/>
    </row>
    <row r="6421" spans="1:14" x14ac:dyDescent="0.3">
      <c r="A6421" s="15" t="str">
        <f>IF(COUNTA($B6421:$E6421,$K6421)=0,"",IF(AND($B6421&lt;&gt;"",$C6421&lt;&gt;"",$D6421&lt;&gt;"",$E6421&lt;&gt;""),"TXS"&amp;TEXT(COUNTIFS($B$2:$B6421,"&lt;&gt;",$C$2:$C6421,"&lt;&gt;",$D$2:$D6421,"&lt;&gt;",$E$2:$E6421,"&lt;&gt;"),"00000"),""))</f>
        <v/>
      </c>
      <c r="N6421" s="22"/>
    </row>
    <row r="6422" spans="1:14" x14ac:dyDescent="0.3">
      <c r="A6422" s="15" t="str">
        <f>IF(COUNTA($B6422:$E6422,$K6422)=0,"",IF(AND($B6422&lt;&gt;"",$C6422&lt;&gt;"",$D6422&lt;&gt;"",$E6422&lt;&gt;""),"TXS"&amp;TEXT(COUNTIFS($B$2:$B6422,"&lt;&gt;",$C$2:$C6422,"&lt;&gt;",$D$2:$D6422,"&lt;&gt;",$E$2:$E6422,"&lt;&gt;"),"00000"),""))</f>
        <v/>
      </c>
      <c r="N6422" s="22"/>
    </row>
    <row r="6423" spans="1:14" x14ac:dyDescent="0.3">
      <c r="A6423" s="15" t="str">
        <f>IF(COUNTA($B6423:$E6423,$K6423)=0,"",IF(AND($B6423&lt;&gt;"",$C6423&lt;&gt;"",$D6423&lt;&gt;"",$E6423&lt;&gt;""),"TXS"&amp;TEXT(COUNTIFS($B$2:$B6423,"&lt;&gt;",$C$2:$C6423,"&lt;&gt;",$D$2:$D6423,"&lt;&gt;",$E$2:$E6423,"&lt;&gt;"),"00000"),""))</f>
        <v/>
      </c>
      <c r="N6423" s="22"/>
    </row>
    <row r="6424" spans="1:14" x14ac:dyDescent="0.3">
      <c r="A6424" s="15" t="str">
        <f>IF(COUNTA($B6424:$E6424,$K6424)=0,"",IF(AND($B6424&lt;&gt;"",$C6424&lt;&gt;"",$D6424&lt;&gt;"",$E6424&lt;&gt;""),"TXS"&amp;TEXT(COUNTIFS($B$2:$B6424,"&lt;&gt;",$C$2:$C6424,"&lt;&gt;",$D$2:$D6424,"&lt;&gt;",$E$2:$E6424,"&lt;&gt;"),"00000"),""))</f>
        <v/>
      </c>
      <c r="N6424" s="22"/>
    </row>
    <row r="6425" spans="1:14" x14ac:dyDescent="0.3">
      <c r="A6425" s="15" t="str">
        <f>IF(COUNTA($B6425:$E6425,$K6425)=0,"",IF(AND($B6425&lt;&gt;"",$C6425&lt;&gt;"",$D6425&lt;&gt;"",$E6425&lt;&gt;""),"TXS"&amp;TEXT(COUNTIFS($B$2:$B6425,"&lt;&gt;",$C$2:$C6425,"&lt;&gt;",$D$2:$D6425,"&lt;&gt;",$E$2:$E6425,"&lt;&gt;"),"00000"),""))</f>
        <v/>
      </c>
      <c r="N6425" s="22"/>
    </row>
    <row r="6426" spans="1:14" x14ac:dyDescent="0.3">
      <c r="A6426" s="15" t="str">
        <f>IF(COUNTA($B6426:$E6426,$K6426)=0,"",IF(AND($B6426&lt;&gt;"",$C6426&lt;&gt;"",$D6426&lt;&gt;"",$E6426&lt;&gt;""),"TXS"&amp;TEXT(COUNTIFS($B$2:$B6426,"&lt;&gt;",$C$2:$C6426,"&lt;&gt;",$D$2:$D6426,"&lt;&gt;",$E$2:$E6426,"&lt;&gt;"),"00000"),""))</f>
        <v/>
      </c>
      <c r="N6426" s="22"/>
    </row>
    <row r="6427" spans="1:14" x14ac:dyDescent="0.3">
      <c r="A6427" s="15" t="str">
        <f>IF(COUNTA($B6427:$E6427,$K6427)=0,"",IF(AND($B6427&lt;&gt;"",$C6427&lt;&gt;"",$D6427&lt;&gt;"",$E6427&lt;&gt;""),"TXS"&amp;TEXT(COUNTIFS($B$2:$B6427,"&lt;&gt;",$C$2:$C6427,"&lt;&gt;",$D$2:$D6427,"&lt;&gt;",$E$2:$E6427,"&lt;&gt;"),"00000"),""))</f>
        <v/>
      </c>
      <c r="N6427" s="22"/>
    </row>
    <row r="6428" spans="1:14" x14ac:dyDescent="0.3">
      <c r="A6428" s="15" t="str">
        <f>IF(COUNTA($B6428:$E6428,$K6428)=0,"",IF(AND($B6428&lt;&gt;"",$C6428&lt;&gt;"",$D6428&lt;&gt;"",$E6428&lt;&gt;""),"TXS"&amp;TEXT(COUNTIFS($B$2:$B6428,"&lt;&gt;",$C$2:$C6428,"&lt;&gt;",$D$2:$D6428,"&lt;&gt;",$E$2:$E6428,"&lt;&gt;"),"00000"),""))</f>
        <v/>
      </c>
      <c r="N6428" s="22"/>
    </row>
    <row r="6429" spans="1:14" x14ac:dyDescent="0.3">
      <c r="A6429" s="15" t="str">
        <f>IF(COUNTA($B6429:$E6429,$K6429)=0,"",IF(AND($B6429&lt;&gt;"",$C6429&lt;&gt;"",$D6429&lt;&gt;"",$E6429&lt;&gt;""),"TXS"&amp;TEXT(COUNTIFS($B$2:$B6429,"&lt;&gt;",$C$2:$C6429,"&lt;&gt;",$D$2:$D6429,"&lt;&gt;",$E$2:$E6429,"&lt;&gt;"),"00000"),""))</f>
        <v/>
      </c>
      <c r="N6429" s="22"/>
    </row>
    <row r="6430" spans="1:14" x14ac:dyDescent="0.3">
      <c r="A6430" s="15" t="str">
        <f>IF(COUNTA($B6430:$E6430,$K6430)=0,"",IF(AND($B6430&lt;&gt;"",$C6430&lt;&gt;"",$D6430&lt;&gt;"",$E6430&lt;&gt;""),"TXS"&amp;TEXT(COUNTIFS($B$2:$B6430,"&lt;&gt;",$C$2:$C6430,"&lt;&gt;",$D$2:$D6430,"&lt;&gt;",$E$2:$E6430,"&lt;&gt;"),"00000"),""))</f>
        <v/>
      </c>
      <c r="N6430" s="22"/>
    </row>
    <row r="6431" spans="1:14" x14ac:dyDescent="0.3">
      <c r="A6431" s="15" t="str">
        <f>IF(COUNTA($B6431:$E6431,$K6431)=0,"",IF(AND($B6431&lt;&gt;"",$C6431&lt;&gt;"",$D6431&lt;&gt;"",$E6431&lt;&gt;""),"TXS"&amp;TEXT(COUNTIFS($B$2:$B6431,"&lt;&gt;",$C$2:$C6431,"&lt;&gt;",$D$2:$D6431,"&lt;&gt;",$E$2:$E6431,"&lt;&gt;"),"00000"),""))</f>
        <v/>
      </c>
      <c r="N6431" s="22"/>
    </row>
    <row r="6432" spans="1:14" x14ac:dyDescent="0.3">
      <c r="A6432" s="15" t="str">
        <f>IF(COUNTA($B6432:$E6432,$K6432)=0,"",IF(AND($B6432&lt;&gt;"",$C6432&lt;&gt;"",$D6432&lt;&gt;"",$E6432&lt;&gt;""),"TXS"&amp;TEXT(COUNTIFS($B$2:$B6432,"&lt;&gt;",$C$2:$C6432,"&lt;&gt;",$D$2:$D6432,"&lt;&gt;",$E$2:$E6432,"&lt;&gt;"),"00000"),""))</f>
        <v/>
      </c>
      <c r="N6432" s="22"/>
    </row>
    <row r="6433" spans="1:14" x14ac:dyDescent="0.3">
      <c r="A6433" s="15" t="str">
        <f>IF(COUNTA($B6433:$E6433,$K6433)=0,"",IF(AND($B6433&lt;&gt;"",$C6433&lt;&gt;"",$D6433&lt;&gt;"",$E6433&lt;&gt;""),"TXS"&amp;TEXT(COUNTIFS($B$2:$B6433,"&lt;&gt;",$C$2:$C6433,"&lt;&gt;",$D$2:$D6433,"&lt;&gt;",$E$2:$E6433,"&lt;&gt;"),"00000"),""))</f>
        <v/>
      </c>
      <c r="N6433" s="22"/>
    </row>
    <row r="6434" spans="1:14" x14ac:dyDescent="0.3">
      <c r="A6434" s="15" t="str">
        <f>IF(COUNTA($B6434:$E6434,$K6434)=0,"",IF(AND($B6434&lt;&gt;"",$C6434&lt;&gt;"",$D6434&lt;&gt;"",$E6434&lt;&gt;""),"TXS"&amp;TEXT(COUNTIFS($B$2:$B6434,"&lt;&gt;",$C$2:$C6434,"&lt;&gt;",$D$2:$D6434,"&lt;&gt;",$E$2:$E6434,"&lt;&gt;"),"00000"),""))</f>
        <v/>
      </c>
      <c r="N6434" s="22"/>
    </row>
    <row r="6435" spans="1:14" x14ac:dyDescent="0.3">
      <c r="A6435" s="15" t="str">
        <f>IF(COUNTA($B6435:$E6435,$K6435)=0,"",IF(AND($B6435&lt;&gt;"",$C6435&lt;&gt;"",$D6435&lt;&gt;"",$E6435&lt;&gt;""),"TXS"&amp;TEXT(COUNTIFS($B$2:$B6435,"&lt;&gt;",$C$2:$C6435,"&lt;&gt;",$D$2:$D6435,"&lt;&gt;",$E$2:$E6435,"&lt;&gt;"),"00000"),""))</f>
        <v/>
      </c>
      <c r="N6435" s="22"/>
    </row>
    <row r="6436" spans="1:14" x14ac:dyDescent="0.3">
      <c r="A6436" s="15" t="str">
        <f>IF(COUNTA($B6436:$E6436,$K6436)=0,"",IF(AND($B6436&lt;&gt;"",$C6436&lt;&gt;"",$D6436&lt;&gt;"",$E6436&lt;&gt;""),"TXS"&amp;TEXT(COUNTIFS($B$2:$B6436,"&lt;&gt;",$C$2:$C6436,"&lt;&gt;",$D$2:$D6436,"&lt;&gt;",$E$2:$E6436,"&lt;&gt;"),"00000"),""))</f>
        <v/>
      </c>
      <c r="N6436" s="22"/>
    </row>
    <row r="6437" spans="1:14" x14ac:dyDescent="0.3">
      <c r="A6437" s="15" t="str">
        <f>IF(COUNTA($B6437:$E6437,$K6437)=0,"",IF(AND($B6437&lt;&gt;"",$C6437&lt;&gt;"",$D6437&lt;&gt;"",$E6437&lt;&gt;""),"TXS"&amp;TEXT(COUNTIFS($B$2:$B6437,"&lt;&gt;",$C$2:$C6437,"&lt;&gt;",$D$2:$D6437,"&lt;&gt;",$E$2:$E6437,"&lt;&gt;"),"00000"),""))</f>
        <v/>
      </c>
      <c r="N6437" s="22"/>
    </row>
    <row r="6438" spans="1:14" x14ac:dyDescent="0.3">
      <c r="A6438" s="15" t="str">
        <f>IF(COUNTA($B6438:$E6438,$K6438)=0,"",IF(AND($B6438&lt;&gt;"",$C6438&lt;&gt;"",$D6438&lt;&gt;"",$E6438&lt;&gt;""),"TXS"&amp;TEXT(COUNTIFS($B$2:$B6438,"&lt;&gt;",$C$2:$C6438,"&lt;&gt;",$D$2:$D6438,"&lt;&gt;",$E$2:$E6438,"&lt;&gt;"),"00000"),""))</f>
        <v/>
      </c>
      <c r="N6438" s="22"/>
    </row>
    <row r="6439" spans="1:14" x14ac:dyDescent="0.3">
      <c r="A6439" s="15" t="str">
        <f>IF(COUNTA($B6439:$E6439,$K6439)=0,"",IF(AND($B6439&lt;&gt;"",$C6439&lt;&gt;"",$D6439&lt;&gt;"",$E6439&lt;&gt;""),"TXS"&amp;TEXT(COUNTIFS($B$2:$B6439,"&lt;&gt;",$C$2:$C6439,"&lt;&gt;",$D$2:$D6439,"&lt;&gt;",$E$2:$E6439,"&lt;&gt;"),"00000"),""))</f>
        <v/>
      </c>
      <c r="N6439" s="22"/>
    </row>
    <row r="6440" spans="1:14" x14ac:dyDescent="0.3">
      <c r="A6440" s="15" t="str">
        <f>IF(COUNTA($B6440:$E6440,$K6440)=0,"",IF(AND($B6440&lt;&gt;"",$C6440&lt;&gt;"",$D6440&lt;&gt;"",$E6440&lt;&gt;""),"TXS"&amp;TEXT(COUNTIFS($B$2:$B6440,"&lt;&gt;",$C$2:$C6440,"&lt;&gt;",$D$2:$D6440,"&lt;&gt;",$E$2:$E6440,"&lt;&gt;"),"00000"),""))</f>
        <v/>
      </c>
      <c r="N6440" s="22"/>
    </row>
    <row r="6441" spans="1:14" x14ac:dyDescent="0.3">
      <c r="A6441" s="15" t="str">
        <f>IF(COUNTA($B6441:$E6441,$K6441)=0,"",IF(AND($B6441&lt;&gt;"",$C6441&lt;&gt;"",$D6441&lt;&gt;"",$E6441&lt;&gt;""),"TXS"&amp;TEXT(COUNTIFS($B$2:$B6441,"&lt;&gt;",$C$2:$C6441,"&lt;&gt;",$D$2:$D6441,"&lt;&gt;",$E$2:$E6441,"&lt;&gt;"),"00000"),""))</f>
        <v/>
      </c>
      <c r="N6441" s="22"/>
    </row>
    <row r="6442" spans="1:14" x14ac:dyDescent="0.3">
      <c r="A6442" s="15" t="str">
        <f>IF(COUNTA($B6442:$E6442,$K6442)=0,"",IF(AND($B6442&lt;&gt;"",$C6442&lt;&gt;"",$D6442&lt;&gt;"",$E6442&lt;&gt;""),"TXS"&amp;TEXT(COUNTIFS($B$2:$B6442,"&lt;&gt;",$C$2:$C6442,"&lt;&gt;",$D$2:$D6442,"&lt;&gt;",$E$2:$E6442,"&lt;&gt;"),"00000"),""))</f>
        <v/>
      </c>
      <c r="N6442" s="22"/>
    </row>
    <row r="6443" spans="1:14" x14ac:dyDescent="0.3">
      <c r="A6443" s="15" t="str">
        <f>IF(COUNTA($B6443:$E6443,$K6443)=0,"",IF(AND($B6443&lt;&gt;"",$C6443&lt;&gt;"",$D6443&lt;&gt;"",$E6443&lt;&gt;""),"TXS"&amp;TEXT(COUNTIFS($B$2:$B6443,"&lt;&gt;",$C$2:$C6443,"&lt;&gt;",$D$2:$D6443,"&lt;&gt;",$E$2:$E6443,"&lt;&gt;"),"00000"),""))</f>
        <v/>
      </c>
      <c r="N6443" s="22"/>
    </row>
    <row r="6444" spans="1:14" x14ac:dyDescent="0.3">
      <c r="A6444" s="15" t="str">
        <f>IF(COUNTA($B6444:$E6444,$K6444)=0,"",IF(AND($B6444&lt;&gt;"",$C6444&lt;&gt;"",$D6444&lt;&gt;"",$E6444&lt;&gt;""),"TXS"&amp;TEXT(COUNTIFS($B$2:$B6444,"&lt;&gt;",$C$2:$C6444,"&lt;&gt;",$D$2:$D6444,"&lt;&gt;",$E$2:$E6444,"&lt;&gt;"),"00000"),""))</f>
        <v/>
      </c>
      <c r="N6444" s="22"/>
    </row>
    <row r="6445" spans="1:14" x14ac:dyDescent="0.3">
      <c r="A6445" s="15" t="str">
        <f>IF(COUNTA($B6445:$E6445,$K6445)=0,"",IF(AND($B6445&lt;&gt;"",$C6445&lt;&gt;"",$D6445&lt;&gt;"",$E6445&lt;&gt;""),"TXS"&amp;TEXT(COUNTIFS($B$2:$B6445,"&lt;&gt;",$C$2:$C6445,"&lt;&gt;",$D$2:$D6445,"&lt;&gt;",$E$2:$E6445,"&lt;&gt;"),"00000"),""))</f>
        <v/>
      </c>
      <c r="N6445" s="22"/>
    </row>
    <row r="6446" spans="1:14" x14ac:dyDescent="0.3">
      <c r="A6446" s="15" t="str">
        <f>IF(COUNTA($B6446:$E6446,$K6446)=0,"",IF(AND($B6446&lt;&gt;"",$C6446&lt;&gt;"",$D6446&lt;&gt;"",$E6446&lt;&gt;""),"TXS"&amp;TEXT(COUNTIFS($B$2:$B6446,"&lt;&gt;",$C$2:$C6446,"&lt;&gt;",$D$2:$D6446,"&lt;&gt;",$E$2:$E6446,"&lt;&gt;"),"00000"),""))</f>
        <v/>
      </c>
      <c r="N6446" s="22"/>
    </row>
    <row r="6447" spans="1:14" x14ac:dyDescent="0.3">
      <c r="A6447" s="15" t="str">
        <f>IF(COUNTA($B6447:$E6447,$K6447)=0,"",IF(AND($B6447&lt;&gt;"",$C6447&lt;&gt;"",$D6447&lt;&gt;"",$E6447&lt;&gt;""),"TXS"&amp;TEXT(COUNTIFS($B$2:$B6447,"&lt;&gt;",$C$2:$C6447,"&lt;&gt;",$D$2:$D6447,"&lt;&gt;",$E$2:$E6447,"&lt;&gt;"),"00000"),""))</f>
        <v/>
      </c>
      <c r="N6447" s="22"/>
    </row>
    <row r="6448" spans="1:14" x14ac:dyDescent="0.3">
      <c r="A6448" s="15" t="str">
        <f>IF(COUNTA($B6448:$E6448,$K6448)=0,"",IF(AND($B6448&lt;&gt;"",$C6448&lt;&gt;"",$D6448&lt;&gt;"",$E6448&lt;&gt;""),"TXS"&amp;TEXT(COUNTIFS($B$2:$B6448,"&lt;&gt;",$C$2:$C6448,"&lt;&gt;",$D$2:$D6448,"&lt;&gt;",$E$2:$E6448,"&lt;&gt;"),"00000"),""))</f>
        <v/>
      </c>
      <c r="N6448" s="22"/>
    </row>
    <row r="6449" spans="1:14" x14ac:dyDescent="0.3">
      <c r="A6449" s="15" t="str">
        <f>IF(COUNTA($B6449:$E6449,$K6449)=0,"",IF(AND($B6449&lt;&gt;"",$C6449&lt;&gt;"",$D6449&lt;&gt;"",$E6449&lt;&gt;""),"TXS"&amp;TEXT(COUNTIFS($B$2:$B6449,"&lt;&gt;",$C$2:$C6449,"&lt;&gt;",$D$2:$D6449,"&lt;&gt;",$E$2:$E6449,"&lt;&gt;"),"00000"),""))</f>
        <v/>
      </c>
      <c r="N6449" s="22"/>
    </row>
    <row r="6450" spans="1:14" x14ac:dyDescent="0.3">
      <c r="A6450" s="15" t="str">
        <f>IF(COUNTA($B6450:$E6450,$K6450)=0,"",IF(AND($B6450&lt;&gt;"",$C6450&lt;&gt;"",$D6450&lt;&gt;"",$E6450&lt;&gt;""),"TXS"&amp;TEXT(COUNTIFS($B$2:$B6450,"&lt;&gt;",$C$2:$C6450,"&lt;&gt;",$D$2:$D6450,"&lt;&gt;",$E$2:$E6450,"&lt;&gt;"),"00000"),""))</f>
        <v/>
      </c>
      <c r="N6450" s="22"/>
    </row>
    <row r="6451" spans="1:14" x14ac:dyDescent="0.3">
      <c r="A6451" s="15" t="str">
        <f>IF(COUNTA($B6451:$E6451,$K6451)=0,"",IF(AND($B6451&lt;&gt;"",$C6451&lt;&gt;"",$D6451&lt;&gt;"",$E6451&lt;&gt;""),"TXS"&amp;TEXT(COUNTIFS($B$2:$B6451,"&lt;&gt;",$C$2:$C6451,"&lt;&gt;",$D$2:$D6451,"&lt;&gt;",$E$2:$E6451,"&lt;&gt;"),"00000"),""))</f>
        <v/>
      </c>
      <c r="N6451" s="22"/>
    </row>
    <row r="6452" spans="1:14" x14ac:dyDescent="0.3">
      <c r="A6452" s="15" t="str">
        <f>IF(COUNTA($B6452:$E6452,$K6452)=0,"",IF(AND($B6452&lt;&gt;"",$C6452&lt;&gt;"",$D6452&lt;&gt;"",$E6452&lt;&gt;""),"TXS"&amp;TEXT(COUNTIFS($B$2:$B6452,"&lt;&gt;",$C$2:$C6452,"&lt;&gt;",$D$2:$D6452,"&lt;&gt;",$E$2:$E6452,"&lt;&gt;"),"00000"),""))</f>
        <v/>
      </c>
      <c r="N6452" s="22"/>
    </row>
    <row r="6453" spans="1:14" x14ac:dyDescent="0.3">
      <c r="A6453" s="15" t="str">
        <f>IF(COUNTA($B6453:$E6453,$K6453)=0,"",IF(AND($B6453&lt;&gt;"",$C6453&lt;&gt;"",$D6453&lt;&gt;"",$E6453&lt;&gt;""),"TXS"&amp;TEXT(COUNTIFS($B$2:$B6453,"&lt;&gt;",$C$2:$C6453,"&lt;&gt;",$D$2:$D6453,"&lt;&gt;",$E$2:$E6453,"&lt;&gt;"),"00000"),""))</f>
        <v/>
      </c>
      <c r="N6453" s="22"/>
    </row>
    <row r="6454" spans="1:14" x14ac:dyDescent="0.3">
      <c r="A6454" s="15" t="str">
        <f>IF(COUNTA($B6454:$E6454,$K6454)=0,"",IF(AND($B6454&lt;&gt;"",$C6454&lt;&gt;"",$D6454&lt;&gt;"",$E6454&lt;&gt;""),"TXS"&amp;TEXT(COUNTIFS($B$2:$B6454,"&lt;&gt;",$C$2:$C6454,"&lt;&gt;",$D$2:$D6454,"&lt;&gt;",$E$2:$E6454,"&lt;&gt;"),"00000"),""))</f>
        <v/>
      </c>
      <c r="N6454" s="22"/>
    </row>
    <row r="6455" spans="1:14" x14ac:dyDescent="0.3">
      <c r="A6455" s="15" t="str">
        <f>IF(COUNTA($B6455:$E6455,$K6455)=0,"",IF(AND($B6455&lt;&gt;"",$C6455&lt;&gt;"",$D6455&lt;&gt;"",$E6455&lt;&gt;""),"TXS"&amp;TEXT(COUNTIFS($B$2:$B6455,"&lt;&gt;",$C$2:$C6455,"&lt;&gt;",$D$2:$D6455,"&lt;&gt;",$E$2:$E6455,"&lt;&gt;"),"00000"),""))</f>
        <v/>
      </c>
      <c r="N6455" s="22"/>
    </row>
    <row r="6456" spans="1:14" x14ac:dyDescent="0.3">
      <c r="A6456" s="15" t="str">
        <f>IF(COUNTA($B6456:$E6456,$K6456)=0,"",IF(AND($B6456&lt;&gt;"",$C6456&lt;&gt;"",$D6456&lt;&gt;"",$E6456&lt;&gt;""),"TXS"&amp;TEXT(COUNTIFS($B$2:$B6456,"&lt;&gt;",$C$2:$C6456,"&lt;&gt;",$D$2:$D6456,"&lt;&gt;",$E$2:$E6456,"&lt;&gt;"),"00000"),""))</f>
        <v/>
      </c>
      <c r="N6456" s="22"/>
    </row>
    <row r="6457" spans="1:14" x14ac:dyDescent="0.3">
      <c r="A6457" s="15" t="str">
        <f>IF(COUNTA($B6457:$E6457,$K6457)=0,"",IF(AND($B6457&lt;&gt;"",$C6457&lt;&gt;"",$D6457&lt;&gt;"",$E6457&lt;&gt;""),"TXS"&amp;TEXT(COUNTIFS($B$2:$B6457,"&lt;&gt;",$C$2:$C6457,"&lt;&gt;",$D$2:$D6457,"&lt;&gt;",$E$2:$E6457,"&lt;&gt;"),"00000"),""))</f>
        <v/>
      </c>
      <c r="N6457" s="22"/>
    </row>
    <row r="6458" spans="1:14" x14ac:dyDescent="0.3">
      <c r="A6458" s="15" t="str">
        <f>IF(COUNTA($B6458:$E6458,$K6458)=0,"",IF(AND($B6458&lt;&gt;"",$C6458&lt;&gt;"",$D6458&lt;&gt;"",$E6458&lt;&gt;""),"TXS"&amp;TEXT(COUNTIFS($B$2:$B6458,"&lt;&gt;",$C$2:$C6458,"&lt;&gt;",$D$2:$D6458,"&lt;&gt;",$E$2:$E6458,"&lt;&gt;"),"00000"),""))</f>
        <v/>
      </c>
      <c r="N6458" s="22"/>
    </row>
    <row r="6459" spans="1:14" x14ac:dyDescent="0.3">
      <c r="A6459" s="15" t="str">
        <f>IF(COUNTA($B6459:$E6459,$K6459)=0,"",IF(AND($B6459&lt;&gt;"",$C6459&lt;&gt;"",$D6459&lt;&gt;"",$E6459&lt;&gt;""),"TXS"&amp;TEXT(COUNTIFS($B$2:$B6459,"&lt;&gt;",$C$2:$C6459,"&lt;&gt;",$D$2:$D6459,"&lt;&gt;",$E$2:$E6459,"&lt;&gt;"),"00000"),""))</f>
        <v/>
      </c>
      <c r="N6459" s="22"/>
    </row>
    <row r="6460" spans="1:14" x14ac:dyDescent="0.3">
      <c r="A6460" s="15" t="str">
        <f>IF(COUNTA($B6460:$E6460,$K6460)=0,"",IF(AND($B6460&lt;&gt;"",$C6460&lt;&gt;"",$D6460&lt;&gt;"",$E6460&lt;&gt;""),"TXS"&amp;TEXT(COUNTIFS($B$2:$B6460,"&lt;&gt;",$C$2:$C6460,"&lt;&gt;",$D$2:$D6460,"&lt;&gt;",$E$2:$E6460,"&lt;&gt;"),"00000"),""))</f>
        <v/>
      </c>
      <c r="N6460" s="22"/>
    </row>
    <row r="6461" spans="1:14" x14ac:dyDescent="0.3">
      <c r="A6461" s="15" t="str">
        <f>IF(COUNTA($B6461:$E6461,$K6461)=0,"",IF(AND($B6461&lt;&gt;"",$C6461&lt;&gt;"",$D6461&lt;&gt;"",$E6461&lt;&gt;""),"TXS"&amp;TEXT(COUNTIFS($B$2:$B6461,"&lt;&gt;",$C$2:$C6461,"&lt;&gt;",$D$2:$D6461,"&lt;&gt;",$E$2:$E6461,"&lt;&gt;"),"00000"),""))</f>
        <v/>
      </c>
      <c r="N6461" s="22"/>
    </row>
    <row r="6462" spans="1:14" x14ac:dyDescent="0.3">
      <c r="A6462" s="15" t="str">
        <f>IF(COUNTA($B6462:$E6462,$K6462)=0,"",IF(AND($B6462&lt;&gt;"",$C6462&lt;&gt;"",$D6462&lt;&gt;"",$E6462&lt;&gt;""),"TXS"&amp;TEXT(COUNTIFS($B$2:$B6462,"&lt;&gt;",$C$2:$C6462,"&lt;&gt;",$D$2:$D6462,"&lt;&gt;",$E$2:$E6462,"&lt;&gt;"),"00000"),""))</f>
        <v/>
      </c>
      <c r="N6462" s="22"/>
    </row>
    <row r="6463" spans="1:14" x14ac:dyDescent="0.3">
      <c r="A6463" s="15" t="str">
        <f>IF(COUNTA($B6463:$E6463,$K6463)=0,"",IF(AND($B6463&lt;&gt;"",$C6463&lt;&gt;"",$D6463&lt;&gt;"",$E6463&lt;&gt;""),"TXS"&amp;TEXT(COUNTIFS($B$2:$B6463,"&lt;&gt;",$C$2:$C6463,"&lt;&gt;",$D$2:$D6463,"&lt;&gt;",$E$2:$E6463,"&lt;&gt;"),"00000"),""))</f>
        <v/>
      </c>
      <c r="N6463" s="22"/>
    </row>
    <row r="6464" spans="1:14" x14ac:dyDescent="0.3">
      <c r="A6464" s="15" t="str">
        <f>IF(COUNTA($B6464:$E6464,$K6464)=0,"",IF(AND($B6464&lt;&gt;"",$C6464&lt;&gt;"",$D6464&lt;&gt;"",$E6464&lt;&gt;""),"TXS"&amp;TEXT(COUNTIFS($B$2:$B6464,"&lt;&gt;",$C$2:$C6464,"&lt;&gt;",$D$2:$D6464,"&lt;&gt;",$E$2:$E6464,"&lt;&gt;"),"00000"),""))</f>
        <v/>
      </c>
      <c r="N6464" s="22"/>
    </row>
    <row r="6465" spans="1:14" x14ac:dyDescent="0.3">
      <c r="A6465" s="15" t="str">
        <f>IF(COUNTA($B6465:$E6465,$K6465)=0,"",IF(AND($B6465&lt;&gt;"",$C6465&lt;&gt;"",$D6465&lt;&gt;"",$E6465&lt;&gt;""),"TXS"&amp;TEXT(COUNTIFS($B$2:$B6465,"&lt;&gt;",$C$2:$C6465,"&lt;&gt;",$D$2:$D6465,"&lt;&gt;",$E$2:$E6465,"&lt;&gt;"),"00000"),""))</f>
        <v/>
      </c>
      <c r="N6465" s="22"/>
    </row>
    <row r="6466" spans="1:14" x14ac:dyDescent="0.3">
      <c r="A6466" s="15" t="str">
        <f>IF(COUNTA($B6466:$E6466,$K6466)=0,"",IF(AND($B6466&lt;&gt;"",$C6466&lt;&gt;"",$D6466&lt;&gt;"",$E6466&lt;&gt;""),"TXS"&amp;TEXT(COUNTIFS($B$2:$B6466,"&lt;&gt;",$C$2:$C6466,"&lt;&gt;",$D$2:$D6466,"&lt;&gt;",$E$2:$E6466,"&lt;&gt;"),"00000"),""))</f>
        <v/>
      </c>
      <c r="N6466" s="22"/>
    </row>
    <row r="6467" spans="1:14" x14ac:dyDescent="0.3">
      <c r="A6467" s="15" t="str">
        <f>IF(COUNTA($B6467:$E6467,$K6467)=0,"",IF(AND($B6467&lt;&gt;"",$C6467&lt;&gt;"",$D6467&lt;&gt;"",$E6467&lt;&gt;""),"TXS"&amp;TEXT(COUNTIFS($B$2:$B6467,"&lt;&gt;",$C$2:$C6467,"&lt;&gt;",$D$2:$D6467,"&lt;&gt;",$E$2:$E6467,"&lt;&gt;"),"00000"),""))</f>
        <v/>
      </c>
      <c r="N6467" s="22"/>
    </row>
    <row r="6468" spans="1:14" x14ac:dyDescent="0.3">
      <c r="A6468" s="15" t="str">
        <f>IF(COUNTA($B6468:$E6468,$K6468)=0,"",IF(AND($B6468&lt;&gt;"",$C6468&lt;&gt;"",$D6468&lt;&gt;"",$E6468&lt;&gt;""),"TXS"&amp;TEXT(COUNTIFS($B$2:$B6468,"&lt;&gt;",$C$2:$C6468,"&lt;&gt;",$D$2:$D6468,"&lt;&gt;",$E$2:$E6468,"&lt;&gt;"),"00000"),""))</f>
        <v/>
      </c>
      <c r="N6468" s="22"/>
    </row>
    <row r="6469" spans="1:14" x14ac:dyDescent="0.3">
      <c r="A6469" s="15" t="str">
        <f>IF(COUNTA($B6469:$E6469,$K6469)=0,"",IF(AND($B6469&lt;&gt;"",$C6469&lt;&gt;"",$D6469&lt;&gt;"",$E6469&lt;&gt;""),"TXS"&amp;TEXT(COUNTIFS($B$2:$B6469,"&lt;&gt;",$C$2:$C6469,"&lt;&gt;",$D$2:$D6469,"&lt;&gt;",$E$2:$E6469,"&lt;&gt;"),"00000"),""))</f>
        <v/>
      </c>
      <c r="N6469" s="22"/>
    </row>
    <row r="6470" spans="1:14" x14ac:dyDescent="0.3">
      <c r="A6470" s="15" t="str">
        <f>IF(COUNTA($B6470:$E6470,$K6470)=0,"",IF(AND($B6470&lt;&gt;"",$C6470&lt;&gt;"",$D6470&lt;&gt;"",$E6470&lt;&gt;""),"TXS"&amp;TEXT(COUNTIFS($B$2:$B6470,"&lt;&gt;",$C$2:$C6470,"&lt;&gt;",$D$2:$D6470,"&lt;&gt;",$E$2:$E6470,"&lt;&gt;"),"00000"),""))</f>
        <v/>
      </c>
      <c r="N6470" s="22"/>
    </row>
    <row r="6471" spans="1:14" x14ac:dyDescent="0.3">
      <c r="A6471" s="15" t="str">
        <f>IF(COUNTA($B6471:$E6471,$K6471)=0,"",IF(AND($B6471&lt;&gt;"",$C6471&lt;&gt;"",$D6471&lt;&gt;"",$E6471&lt;&gt;""),"TXS"&amp;TEXT(COUNTIFS($B$2:$B6471,"&lt;&gt;",$C$2:$C6471,"&lt;&gt;",$D$2:$D6471,"&lt;&gt;",$E$2:$E6471,"&lt;&gt;"),"00000"),""))</f>
        <v/>
      </c>
      <c r="N6471" s="22"/>
    </row>
    <row r="6472" spans="1:14" x14ac:dyDescent="0.3">
      <c r="A6472" s="15" t="str">
        <f>IF(COUNTA($B6472:$E6472,$K6472)=0,"",IF(AND($B6472&lt;&gt;"",$C6472&lt;&gt;"",$D6472&lt;&gt;"",$E6472&lt;&gt;""),"TXS"&amp;TEXT(COUNTIFS($B$2:$B6472,"&lt;&gt;",$C$2:$C6472,"&lt;&gt;",$D$2:$D6472,"&lt;&gt;",$E$2:$E6472,"&lt;&gt;"),"00000"),""))</f>
        <v/>
      </c>
      <c r="N6472" s="22"/>
    </row>
    <row r="6473" spans="1:14" x14ac:dyDescent="0.3">
      <c r="A6473" s="15" t="str">
        <f>IF(COUNTA($B6473:$E6473,$K6473)=0,"",IF(AND($B6473&lt;&gt;"",$C6473&lt;&gt;"",$D6473&lt;&gt;"",$E6473&lt;&gt;""),"TXS"&amp;TEXT(COUNTIFS($B$2:$B6473,"&lt;&gt;",$C$2:$C6473,"&lt;&gt;",$D$2:$D6473,"&lt;&gt;",$E$2:$E6473,"&lt;&gt;"),"00000"),""))</f>
        <v/>
      </c>
      <c r="N6473" s="22"/>
    </row>
    <row r="6474" spans="1:14" x14ac:dyDescent="0.3">
      <c r="A6474" s="15" t="str">
        <f>IF(COUNTA($B6474:$E6474,$K6474)=0,"",IF(AND($B6474&lt;&gt;"",$C6474&lt;&gt;"",$D6474&lt;&gt;"",$E6474&lt;&gt;""),"TXS"&amp;TEXT(COUNTIFS($B$2:$B6474,"&lt;&gt;",$C$2:$C6474,"&lt;&gt;",$D$2:$D6474,"&lt;&gt;",$E$2:$E6474,"&lt;&gt;"),"00000"),""))</f>
        <v/>
      </c>
      <c r="N6474" s="22"/>
    </row>
    <row r="6475" spans="1:14" x14ac:dyDescent="0.3">
      <c r="A6475" s="15" t="str">
        <f>IF(COUNTA($B6475:$E6475,$K6475)=0,"",IF(AND($B6475&lt;&gt;"",$C6475&lt;&gt;"",$D6475&lt;&gt;"",$E6475&lt;&gt;""),"TXS"&amp;TEXT(COUNTIFS($B$2:$B6475,"&lt;&gt;",$C$2:$C6475,"&lt;&gt;",$D$2:$D6475,"&lt;&gt;",$E$2:$E6475,"&lt;&gt;"),"00000"),""))</f>
        <v/>
      </c>
      <c r="N6475" s="22"/>
    </row>
    <row r="6476" spans="1:14" x14ac:dyDescent="0.3">
      <c r="A6476" s="15" t="str">
        <f>IF(COUNTA($B6476:$E6476,$K6476)=0,"",IF(AND($B6476&lt;&gt;"",$C6476&lt;&gt;"",$D6476&lt;&gt;"",$E6476&lt;&gt;""),"TXS"&amp;TEXT(COUNTIFS($B$2:$B6476,"&lt;&gt;",$C$2:$C6476,"&lt;&gt;",$D$2:$D6476,"&lt;&gt;",$E$2:$E6476,"&lt;&gt;"),"00000"),""))</f>
        <v/>
      </c>
      <c r="N6476" s="22"/>
    </row>
    <row r="6477" spans="1:14" x14ac:dyDescent="0.3">
      <c r="A6477" s="15" t="str">
        <f>IF(COUNTA($B6477:$E6477,$K6477)=0,"",IF(AND($B6477&lt;&gt;"",$C6477&lt;&gt;"",$D6477&lt;&gt;"",$E6477&lt;&gt;""),"TXS"&amp;TEXT(COUNTIFS($B$2:$B6477,"&lt;&gt;",$C$2:$C6477,"&lt;&gt;",$D$2:$D6477,"&lt;&gt;",$E$2:$E6477,"&lt;&gt;"),"00000"),""))</f>
        <v/>
      </c>
      <c r="N6477" s="22"/>
    </row>
    <row r="6478" spans="1:14" x14ac:dyDescent="0.3">
      <c r="A6478" s="15" t="str">
        <f>IF(COUNTA($B6478:$E6478,$K6478)=0,"",IF(AND($B6478&lt;&gt;"",$C6478&lt;&gt;"",$D6478&lt;&gt;"",$E6478&lt;&gt;""),"TXS"&amp;TEXT(COUNTIFS($B$2:$B6478,"&lt;&gt;",$C$2:$C6478,"&lt;&gt;",$D$2:$D6478,"&lt;&gt;",$E$2:$E6478,"&lt;&gt;"),"00000"),""))</f>
        <v/>
      </c>
      <c r="N6478" s="22"/>
    </row>
    <row r="6479" spans="1:14" x14ac:dyDescent="0.3">
      <c r="A6479" s="15" t="str">
        <f>IF(COUNTA($B6479:$E6479,$K6479)=0,"",IF(AND($B6479&lt;&gt;"",$C6479&lt;&gt;"",$D6479&lt;&gt;"",$E6479&lt;&gt;""),"TXS"&amp;TEXT(COUNTIFS($B$2:$B6479,"&lt;&gt;",$C$2:$C6479,"&lt;&gt;",$D$2:$D6479,"&lt;&gt;",$E$2:$E6479,"&lt;&gt;"),"00000"),""))</f>
        <v/>
      </c>
      <c r="N6479" s="22"/>
    </row>
    <row r="6480" spans="1:14" x14ac:dyDescent="0.3">
      <c r="A6480" s="15" t="str">
        <f>IF(COUNTA($B6480:$E6480,$K6480)=0,"",IF(AND($B6480&lt;&gt;"",$C6480&lt;&gt;"",$D6480&lt;&gt;"",$E6480&lt;&gt;""),"TXS"&amp;TEXT(COUNTIFS($B$2:$B6480,"&lt;&gt;",$C$2:$C6480,"&lt;&gt;",$D$2:$D6480,"&lt;&gt;",$E$2:$E6480,"&lt;&gt;"),"00000"),""))</f>
        <v/>
      </c>
      <c r="N6480" s="22"/>
    </row>
    <row r="6481" spans="1:14" x14ac:dyDescent="0.3">
      <c r="A6481" s="15" t="str">
        <f>IF(COUNTA($B6481:$E6481,$K6481)=0,"",IF(AND($B6481&lt;&gt;"",$C6481&lt;&gt;"",$D6481&lt;&gt;"",$E6481&lt;&gt;""),"TXS"&amp;TEXT(COUNTIFS($B$2:$B6481,"&lt;&gt;",$C$2:$C6481,"&lt;&gt;",$D$2:$D6481,"&lt;&gt;",$E$2:$E6481,"&lt;&gt;"),"00000"),""))</f>
        <v/>
      </c>
      <c r="N6481" s="22"/>
    </row>
    <row r="6482" spans="1:14" x14ac:dyDescent="0.3">
      <c r="A6482" s="15" t="str">
        <f>IF(COUNTA($B6482:$E6482,$K6482)=0,"",IF(AND($B6482&lt;&gt;"",$C6482&lt;&gt;"",$D6482&lt;&gt;"",$E6482&lt;&gt;""),"TXS"&amp;TEXT(COUNTIFS($B$2:$B6482,"&lt;&gt;",$C$2:$C6482,"&lt;&gt;",$D$2:$D6482,"&lt;&gt;",$E$2:$E6482,"&lt;&gt;"),"00000"),""))</f>
        <v/>
      </c>
      <c r="N6482" s="22"/>
    </row>
    <row r="6483" spans="1:14" x14ac:dyDescent="0.3">
      <c r="A6483" s="15" t="str">
        <f>IF(COUNTA($B6483:$E6483,$K6483)=0,"",IF(AND($B6483&lt;&gt;"",$C6483&lt;&gt;"",$D6483&lt;&gt;"",$E6483&lt;&gt;""),"TXS"&amp;TEXT(COUNTIFS($B$2:$B6483,"&lt;&gt;",$C$2:$C6483,"&lt;&gt;",$D$2:$D6483,"&lt;&gt;",$E$2:$E6483,"&lt;&gt;"),"00000"),""))</f>
        <v/>
      </c>
      <c r="N6483" s="22"/>
    </row>
    <row r="6484" spans="1:14" x14ac:dyDescent="0.3">
      <c r="A6484" s="15" t="str">
        <f>IF(COUNTA($B6484:$E6484,$K6484)=0,"",IF(AND($B6484&lt;&gt;"",$C6484&lt;&gt;"",$D6484&lt;&gt;"",$E6484&lt;&gt;""),"TXS"&amp;TEXT(COUNTIFS($B$2:$B6484,"&lt;&gt;",$C$2:$C6484,"&lt;&gt;",$D$2:$D6484,"&lt;&gt;",$E$2:$E6484,"&lt;&gt;"),"00000"),""))</f>
        <v/>
      </c>
      <c r="N6484" s="22"/>
    </row>
    <row r="6485" spans="1:14" x14ac:dyDescent="0.3">
      <c r="A6485" s="15" t="str">
        <f>IF(COUNTA($B6485:$E6485,$K6485)=0,"",IF(AND($B6485&lt;&gt;"",$C6485&lt;&gt;"",$D6485&lt;&gt;"",$E6485&lt;&gt;""),"TXS"&amp;TEXT(COUNTIFS($B$2:$B6485,"&lt;&gt;",$C$2:$C6485,"&lt;&gt;",$D$2:$D6485,"&lt;&gt;",$E$2:$E6485,"&lt;&gt;"),"00000"),""))</f>
        <v/>
      </c>
      <c r="N6485" s="22"/>
    </row>
    <row r="6486" spans="1:14" x14ac:dyDescent="0.3">
      <c r="A6486" s="15" t="str">
        <f>IF(COUNTA($B6486:$E6486,$K6486)=0,"",IF(AND($B6486&lt;&gt;"",$C6486&lt;&gt;"",$D6486&lt;&gt;"",$E6486&lt;&gt;""),"TXS"&amp;TEXT(COUNTIFS($B$2:$B6486,"&lt;&gt;",$C$2:$C6486,"&lt;&gt;",$D$2:$D6486,"&lt;&gt;",$E$2:$E6486,"&lt;&gt;"),"00000"),""))</f>
        <v/>
      </c>
      <c r="N6486" s="22"/>
    </row>
    <row r="6487" spans="1:14" x14ac:dyDescent="0.3">
      <c r="A6487" s="15" t="str">
        <f>IF(COUNTA($B6487:$E6487,$K6487)=0,"",IF(AND($B6487&lt;&gt;"",$C6487&lt;&gt;"",$D6487&lt;&gt;"",$E6487&lt;&gt;""),"TXS"&amp;TEXT(COUNTIFS($B$2:$B6487,"&lt;&gt;",$C$2:$C6487,"&lt;&gt;",$D$2:$D6487,"&lt;&gt;",$E$2:$E6487,"&lt;&gt;"),"00000"),""))</f>
        <v/>
      </c>
      <c r="N6487" s="22"/>
    </row>
    <row r="6488" spans="1:14" x14ac:dyDescent="0.3">
      <c r="A6488" s="15" t="str">
        <f>IF(COUNTA($B6488:$E6488,$K6488)=0,"",IF(AND($B6488&lt;&gt;"",$C6488&lt;&gt;"",$D6488&lt;&gt;"",$E6488&lt;&gt;""),"TXS"&amp;TEXT(COUNTIFS($B$2:$B6488,"&lt;&gt;",$C$2:$C6488,"&lt;&gt;",$D$2:$D6488,"&lt;&gt;",$E$2:$E6488,"&lt;&gt;"),"00000"),""))</f>
        <v/>
      </c>
      <c r="N6488" s="22"/>
    </row>
    <row r="6489" spans="1:14" x14ac:dyDescent="0.3">
      <c r="A6489" s="15" t="str">
        <f>IF(COUNTA($B6489:$E6489,$K6489)=0,"",IF(AND($B6489&lt;&gt;"",$C6489&lt;&gt;"",$D6489&lt;&gt;"",$E6489&lt;&gt;""),"TXS"&amp;TEXT(COUNTIFS($B$2:$B6489,"&lt;&gt;",$C$2:$C6489,"&lt;&gt;",$D$2:$D6489,"&lt;&gt;",$E$2:$E6489,"&lt;&gt;"),"00000"),""))</f>
        <v/>
      </c>
      <c r="N6489" s="22"/>
    </row>
    <row r="6490" spans="1:14" x14ac:dyDescent="0.3">
      <c r="A6490" s="15" t="str">
        <f>IF(COUNTA($B6490:$E6490,$K6490)=0,"",IF(AND($B6490&lt;&gt;"",$C6490&lt;&gt;"",$D6490&lt;&gt;"",$E6490&lt;&gt;""),"TXS"&amp;TEXT(COUNTIFS($B$2:$B6490,"&lt;&gt;",$C$2:$C6490,"&lt;&gt;",$D$2:$D6490,"&lt;&gt;",$E$2:$E6490,"&lt;&gt;"),"00000"),""))</f>
        <v/>
      </c>
      <c r="N6490" s="22"/>
    </row>
    <row r="6491" spans="1:14" x14ac:dyDescent="0.3">
      <c r="A6491" s="15" t="str">
        <f>IF(COUNTA($B6491:$E6491,$K6491)=0,"",IF(AND($B6491&lt;&gt;"",$C6491&lt;&gt;"",$D6491&lt;&gt;"",$E6491&lt;&gt;""),"TXS"&amp;TEXT(COUNTIFS($B$2:$B6491,"&lt;&gt;",$C$2:$C6491,"&lt;&gt;",$D$2:$D6491,"&lt;&gt;",$E$2:$E6491,"&lt;&gt;"),"00000"),""))</f>
        <v/>
      </c>
      <c r="N6491" s="22"/>
    </row>
    <row r="6492" spans="1:14" x14ac:dyDescent="0.3">
      <c r="A6492" s="15" t="str">
        <f>IF(COUNTA($B6492:$E6492,$K6492)=0,"",IF(AND($B6492&lt;&gt;"",$C6492&lt;&gt;"",$D6492&lt;&gt;"",$E6492&lt;&gt;""),"TXS"&amp;TEXT(COUNTIFS($B$2:$B6492,"&lt;&gt;",$C$2:$C6492,"&lt;&gt;",$D$2:$D6492,"&lt;&gt;",$E$2:$E6492,"&lt;&gt;"),"00000"),""))</f>
        <v/>
      </c>
      <c r="N6492" s="22"/>
    </row>
    <row r="6493" spans="1:14" x14ac:dyDescent="0.3">
      <c r="A6493" s="15" t="str">
        <f>IF(COUNTA($B6493:$E6493,$K6493)=0,"",IF(AND($B6493&lt;&gt;"",$C6493&lt;&gt;"",$D6493&lt;&gt;"",$E6493&lt;&gt;""),"TXS"&amp;TEXT(COUNTIFS($B$2:$B6493,"&lt;&gt;",$C$2:$C6493,"&lt;&gt;",$D$2:$D6493,"&lt;&gt;",$E$2:$E6493,"&lt;&gt;"),"00000"),""))</f>
        <v/>
      </c>
      <c r="N6493" s="22"/>
    </row>
    <row r="6494" spans="1:14" x14ac:dyDescent="0.3">
      <c r="A6494" s="15" t="str">
        <f>IF(COUNTA($B6494:$E6494,$K6494)=0,"",IF(AND($B6494&lt;&gt;"",$C6494&lt;&gt;"",$D6494&lt;&gt;"",$E6494&lt;&gt;""),"TXS"&amp;TEXT(COUNTIFS($B$2:$B6494,"&lt;&gt;",$C$2:$C6494,"&lt;&gt;",$D$2:$D6494,"&lt;&gt;",$E$2:$E6494,"&lt;&gt;"),"00000"),""))</f>
        <v/>
      </c>
      <c r="N6494" s="22"/>
    </row>
    <row r="6495" spans="1:14" x14ac:dyDescent="0.3">
      <c r="A6495" s="15" t="str">
        <f>IF(COUNTA($B6495:$E6495,$K6495)=0,"",IF(AND($B6495&lt;&gt;"",$C6495&lt;&gt;"",$D6495&lt;&gt;"",$E6495&lt;&gt;""),"TXS"&amp;TEXT(COUNTIFS($B$2:$B6495,"&lt;&gt;",$C$2:$C6495,"&lt;&gt;",$D$2:$D6495,"&lt;&gt;",$E$2:$E6495,"&lt;&gt;"),"00000"),""))</f>
        <v/>
      </c>
      <c r="N6495" s="22"/>
    </row>
    <row r="6496" spans="1:14" x14ac:dyDescent="0.3">
      <c r="A6496" s="15" t="str">
        <f>IF(COUNTA($B6496:$E6496,$K6496)=0,"",IF(AND($B6496&lt;&gt;"",$C6496&lt;&gt;"",$D6496&lt;&gt;"",$E6496&lt;&gt;""),"TXS"&amp;TEXT(COUNTIFS($B$2:$B6496,"&lt;&gt;",$C$2:$C6496,"&lt;&gt;",$D$2:$D6496,"&lt;&gt;",$E$2:$E6496,"&lt;&gt;"),"00000"),""))</f>
        <v/>
      </c>
      <c r="N6496" s="22"/>
    </row>
    <row r="6497" spans="1:14" x14ac:dyDescent="0.3">
      <c r="A6497" s="15" t="str">
        <f>IF(COUNTA($B6497:$E6497,$K6497)=0,"",IF(AND($B6497&lt;&gt;"",$C6497&lt;&gt;"",$D6497&lt;&gt;"",$E6497&lt;&gt;""),"TXS"&amp;TEXT(COUNTIFS($B$2:$B6497,"&lt;&gt;",$C$2:$C6497,"&lt;&gt;",$D$2:$D6497,"&lt;&gt;",$E$2:$E6497,"&lt;&gt;"),"00000"),""))</f>
        <v/>
      </c>
      <c r="N6497" s="22"/>
    </row>
    <row r="6498" spans="1:14" x14ac:dyDescent="0.3">
      <c r="A6498" s="15" t="str">
        <f>IF(COUNTA($B6498:$E6498,$K6498)=0,"",IF(AND($B6498&lt;&gt;"",$C6498&lt;&gt;"",$D6498&lt;&gt;"",$E6498&lt;&gt;""),"TXS"&amp;TEXT(COUNTIFS($B$2:$B6498,"&lt;&gt;",$C$2:$C6498,"&lt;&gt;",$D$2:$D6498,"&lt;&gt;",$E$2:$E6498,"&lt;&gt;"),"00000"),""))</f>
        <v/>
      </c>
      <c r="N6498" s="22"/>
    </row>
    <row r="6499" spans="1:14" x14ac:dyDescent="0.3">
      <c r="A6499" s="15" t="str">
        <f>IF(COUNTA($B6499:$E6499,$K6499)=0,"",IF(AND($B6499&lt;&gt;"",$C6499&lt;&gt;"",$D6499&lt;&gt;"",$E6499&lt;&gt;""),"TXS"&amp;TEXT(COUNTIFS($B$2:$B6499,"&lt;&gt;",$C$2:$C6499,"&lt;&gt;",$D$2:$D6499,"&lt;&gt;",$E$2:$E6499,"&lt;&gt;"),"00000"),""))</f>
        <v/>
      </c>
      <c r="N6499" s="22"/>
    </row>
    <row r="6500" spans="1:14" x14ac:dyDescent="0.3">
      <c r="A6500" s="15" t="str">
        <f>IF(COUNTA($B6500:$E6500,$K6500)=0,"",IF(AND($B6500&lt;&gt;"",$C6500&lt;&gt;"",$D6500&lt;&gt;"",$E6500&lt;&gt;""),"TXS"&amp;TEXT(COUNTIFS($B$2:$B6500,"&lt;&gt;",$C$2:$C6500,"&lt;&gt;",$D$2:$D6500,"&lt;&gt;",$E$2:$E6500,"&lt;&gt;"),"00000"),""))</f>
        <v/>
      </c>
      <c r="N6500" s="22"/>
    </row>
    <row r="6501" spans="1:14" x14ac:dyDescent="0.3">
      <c r="A6501" s="15" t="str">
        <f>IF(COUNTA($B6501:$E6501,$K6501)=0,"",IF(AND($B6501&lt;&gt;"",$C6501&lt;&gt;"",$D6501&lt;&gt;"",$E6501&lt;&gt;""),"TXS"&amp;TEXT(COUNTIFS($B$2:$B6501,"&lt;&gt;",$C$2:$C6501,"&lt;&gt;",$D$2:$D6501,"&lt;&gt;",$E$2:$E6501,"&lt;&gt;"),"00000"),""))</f>
        <v/>
      </c>
      <c r="N6501" s="22"/>
    </row>
    <row r="6502" spans="1:14" x14ac:dyDescent="0.3">
      <c r="A6502" s="15" t="str">
        <f>IF(COUNTA($B6502:$E6502,$K6502)=0,"",IF(AND($B6502&lt;&gt;"",$C6502&lt;&gt;"",$D6502&lt;&gt;"",$E6502&lt;&gt;""),"TXS"&amp;TEXT(COUNTIFS($B$2:$B6502,"&lt;&gt;",$C$2:$C6502,"&lt;&gt;",$D$2:$D6502,"&lt;&gt;",$E$2:$E6502,"&lt;&gt;"),"00000"),""))</f>
        <v/>
      </c>
      <c r="N6502" s="22"/>
    </row>
    <row r="6503" spans="1:14" x14ac:dyDescent="0.3">
      <c r="A6503" s="15" t="str">
        <f>IF(COUNTA($B6503:$E6503,$K6503)=0,"",IF(AND($B6503&lt;&gt;"",$C6503&lt;&gt;"",$D6503&lt;&gt;"",$E6503&lt;&gt;""),"TXS"&amp;TEXT(COUNTIFS($B$2:$B6503,"&lt;&gt;",$C$2:$C6503,"&lt;&gt;",$D$2:$D6503,"&lt;&gt;",$E$2:$E6503,"&lt;&gt;"),"00000"),""))</f>
        <v/>
      </c>
      <c r="N6503" s="22"/>
    </row>
    <row r="6504" spans="1:14" x14ac:dyDescent="0.3">
      <c r="A6504" s="15" t="str">
        <f>IF(COUNTA($B6504:$E6504,$K6504)=0,"",IF(AND($B6504&lt;&gt;"",$C6504&lt;&gt;"",$D6504&lt;&gt;"",$E6504&lt;&gt;""),"TXS"&amp;TEXT(COUNTIFS($B$2:$B6504,"&lt;&gt;",$C$2:$C6504,"&lt;&gt;",$D$2:$D6504,"&lt;&gt;",$E$2:$E6504,"&lt;&gt;"),"00000"),""))</f>
        <v/>
      </c>
      <c r="N6504" s="22"/>
    </row>
    <row r="6505" spans="1:14" x14ac:dyDescent="0.3">
      <c r="A6505" s="15" t="str">
        <f>IF(COUNTA($B6505:$E6505,$K6505)=0,"",IF(AND($B6505&lt;&gt;"",$C6505&lt;&gt;"",$D6505&lt;&gt;"",$E6505&lt;&gt;""),"TXS"&amp;TEXT(COUNTIFS($B$2:$B6505,"&lt;&gt;",$C$2:$C6505,"&lt;&gt;",$D$2:$D6505,"&lt;&gt;",$E$2:$E6505,"&lt;&gt;"),"00000"),""))</f>
        <v/>
      </c>
      <c r="N6505" s="22"/>
    </row>
    <row r="6506" spans="1:14" x14ac:dyDescent="0.3">
      <c r="A6506" s="15" t="str">
        <f>IF(COUNTA($B6506:$E6506,$K6506)=0,"",IF(AND($B6506&lt;&gt;"",$C6506&lt;&gt;"",$D6506&lt;&gt;"",$E6506&lt;&gt;""),"TXS"&amp;TEXT(COUNTIFS($B$2:$B6506,"&lt;&gt;",$C$2:$C6506,"&lt;&gt;",$D$2:$D6506,"&lt;&gt;",$E$2:$E6506,"&lt;&gt;"),"00000"),""))</f>
        <v/>
      </c>
      <c r="N6506" s="22"/>
    </row>
    <row r="6507" spans="1:14" x14ac:dyDescent="0.3">
      <c r="A6507" s="15" t="str">
        <f>IF(COUNTA($B6507:$E6507,$K6507)=0,"",IF(AND($B6507&lt;&gt;"",$C6507&lt;&gt;"",$D6507&lt;&gt;"",$E6507&lt;&gt;""),"TXS"&amp;TEXT(COUNTIFS($B$2:$B6507,"&lt;&gt;",$C$2:$C6507,"&lt;&gt;",$D$2:$D6507,"&lt;&gt;",$E$2:$E6507,"&lt;&gt;"),"00000"),""))</f>
        <v/>
      </c>
      <c r="N6507" s="22"/>
    </row>
    <row r="6508" spans="1:14" x14ac:dyDescent="0.3">
      <c r="A6508" s="15" t="str">
        <f>IF(COUNTA($B6508:$E6508,$K6508)=0,"",IF(AND($B6508&lt;&gt;"",$C6508&lt;&gt;"",$D6508&lt;&gt;"",$E6508&lt;&gt;""),"TXS"&amp;TEXT(COUNTIFS($B$2:$B6508,"&lt;&gt;",$C$2:$C6508,"&lt;&gt;",$D$2:$D6508,"&lt;&gt;",$E$2:$E6508,"&lt;&gt;"),"00000"),""))</f>
        <v/>
      </c>
      <c r="N6508" s="22"/>
    </row>
    <row r="6509" spans="1:14" x14ac:dyDescent="0.3">
      <c r="A6509" s="15" t="str">
        <f>IF(COUNTA($B6509:$E6509,$K6509)=0,"",IF(AND($B6509&lt;&gt;"",$C6509&lt;&gt;"",$D6509&lt;&gt;"",$E6509&lt;&gt;""),"TXS"&amp;TEXT(COUNTIFS($B$2:$B6509,"&lt;&gt;",$C$2:$C6509,"&lt;&gt;",$D$2:$D6509,"&lt;&gt;",$E$2:$E6509,"&lt;&gt;"),"00000"),""))</f>
        <v/>
      </c>
      <c r="N6509" s="22"/>
    </row>
    <row r="6510" spans="1:14" x14ac:dyDescent="0.3">
      <c r="A6510" s="15" t="str">
        <f>IF(COUNTA($B6510:$E6510,$K6510)=0,"",IF(AND($B6510&lt;&gt;"",$C6510&lt;&gt;"",$D6510&lt;&gt;"",$E6510&lt;&gt;""),"TXS"&amp;TEXT(COUNTIFS($B$2:$B6510,"&lt;&gt;",$C$2:$C6510,"&lt;&gt;",$D$2:$D6510,"&lt;&gt;",$E$2:$E6510,"&lt;&gt;"),"00000"),""))</f>
        <v/>
      </c>
      <c r="N6510" s="22"/>
    </row>
    <row r="6511" spans="1:14" x14ac:dyDescent="0.3">
      <c r="A6511" s="15" t="str">
        <f>IF(COUNTA($B6511:$E6511,$K6511)=0,"",IF(AND($B6511&lt;&gt;"",$C6511&lt;&gt;"",$D6511&lt;&gt;"",$E6511&lt;&gt;""),"TXS"&amp;TEXT(COUNTIFS($B$2:$B6511,"&lt;&gt;",$C$2:$C6511,"&lt;&gt;",$D$2:$D6511,"&lt;&gt;",$E$2:$E6511,"&lt;&gt;"),"00000"),""))</f>
        <v/>
      </c>
      <c r="N6511" s="22"/>
    </row>
    <row r="6512" spans="1:14" x14ac:dyDescent="0.3">
      <c r="A6512" s="15" t="str">
        <f>IF(COUNTA($B6512:$E6512,$K6512)=0,"",IF(AND($B6512&lt;&gt;"",$C6512&lt;&gt;"",$D6512&lt;&gt;"",$E6512&lt;&gt;""),"TXS"&amp;TEXT(COUNTIFS($B$2:$B6512,"&lt;&gt;",$C$2:$C6512,"&lt;&gt;",$D$2:$D6512,"&lt;&gt;",$E$2:$E6512,"&lt;&gt;"),"00000"),""))</f>
        <v/>
      </c>
      <c r="N6512" s="22"/>
    </row>
    <row r="6513" spans="1:14" x14ac:dyDescent="0.3">
      <c r="A6513" s="15" t="str">
        <f>IF(COUNTA($B6513:$E6513,$K6513)=0,"",IF(AND($B6513&lt;&gt;"",$C6513&lt;&gt;"",$D6513&lt;&gt;"",$E6513&lt;&gt;""),"TXS"&amp;TEXT(COUNTIFS($B$2:$B6513,"&lt;&gt;",$C$2:$C6513,"&lt;&gt;",$D$2:$D6513,"&lt;&gt;",$E$2:$E6513,"&lt;&gt;"),"00000"),""))</f>
        <v/>
      </c>
      <c r="N6513" s="22"/>
    </row>
    <row r="6514" spans="1:14" x14ac:dyDescent="0.3">
      <c r="A6514" s="15" t="str">
        <f>IF(COUNTA($B6514:$E6514,$K6514)=0,"",IF(AND($B6514&lt;&gt;"",$C6514&lt;&gt;"",$D6514&lt;&gt;"",$E6514&lt;&gt;""),"TXS"&amp;TEXT(COUNTIFS($B$2:$B6514,"&lt;&gt;",$C$2:$C6514,"&lt;&gt;",$D$2:$D6514,"&lt;&gt;",$E$2:$E6514,"&lt;&gt;"),"00000"),""))</f>
        <v/>
      </c>
      <c r="N6514" s="22"/>
    </row>
    <row r="6515" spans="1:14" x14ac:dyDescent="0.3">
      <c r="A6515" s="15" t="str">
        <f>IF(COUNTA($B6515:$E6515,$K6515)=0,"",IF(AND($B6515&lt;&gt;"",$C6515&lt;&gt;"",$D6515&lt;&gt;"",$E6515&lt;&gt;""),"TXS"&amp;TEXT(COUNTIFS($B$2:$B6515,"&lt;&gt;",$C$2:$C6515,"&lt;&gt;",$D$2:$D6515,"&lt;&gt;",$E$2:$E6515,"&lt;&gt;"),"00000"),""))</f>
        <v/>
      </c>
      <c r="N6515" s="22"/>
    </row>
    <row r="6516" spans="1:14" x14ac:dyDescent="0.3">
      <c r="A6516" s="15" t="str">
        <f>IF(COUNTA($B6516:$E6516,$K6516)=0,"",IF(AND($B6516&lt;&gt;"",$C6516&lt;&gt;"",$D6516&lt;&gt;"",$E6516&lt;&gt;""),"TXS"&amp;TEXT(COUNTIFS($B$2:$B6516,"&lt;&gt;",$C$2:$C6516,"&lt;&gt;",$D$2:$D6516,"&lt;&gt;",$E$2:$E6516,"&lt;&gt;"),"00000"),""))</f>
        <v/>
      </c>
      <c r="N6516" s="22"/>
    </row>
    <row r="6517" spans="1:14" x14ac:dyDescent="0.3">
      <c r="A6517" s="15" t="str">
        <f>IF(COUNTA($B6517:$E6517,$K6517)=0,"",IF(AND($B6517&lt;&gt;"",$C6517&lt;&gt;"",$D6517&lt;&gt;"",$E6517&lt;&gt;""),"TXS"&amp;TEXT(COUNTIFS($B$2:$B6517,"&lt;&gt;",$C$2:$C6517,"&lt;&gt;",$D$2:$D6517,"&lt;&gt;",$E$2:$E6517,"&lt;&gt;"),"00000"),""))</f>
        <v/>
      </c>
      <c r="N6517" s="22"/>
    </row>
    <row r="6518" spans="1:14" x14ac:dyDescent="0.3">
      <c r="A6518" s="15" t="str">
        <f>IF(COUNTA($B6518:$E6518,$K6518)=0,"",IF(AND($B6518&lt;&gt;"",$C6518&lt;&gt;"",$D6518&lt;&gt;"",$E6518&lt;&gt;""),"TXS"&amp;TEXT(COUNTIFS($B$2:$B6518,"&lt;&gt;",$C$2:$C6518,"&lt;&gt;",$D$2:$D6518,"&lt;&gt;",$E$2:$E6518,"&lt;&gt;"),"00000"),""))</f>
        <v/>
      </c>
      <c r="N6518" s="22"/>
    </row>
    <row r="6519" spans="1:14" x14ac:dyDescent="0.3">
      <c r="A6519" s="15" t="str">
        <f>IF(COUNTA($B6519:$E6519,$K6519)=0,"",IF(AND($B6519&lt;&gt;"",$C6519&lt;&gt;"",$D6519&lt;&gt;"",$E6519&lt;&gt;""),"TXS"&amp;TEXT(COUNTIFS($B$2:$B6519,"&lt;&gt;",$C$2:$C6519,"&lt;&gt;",$D$2:$D6519,"&lt;&gt;",$E$2:$E6519,"&lt;&gt;"),"00000"),""))</f>
        <v/>
      </c>
      <c r="N6519" s="22"/>
    </row>
    <row r="6520" spans="1:14" x14ac:dyDescent="0.3">
      <c r="A6520" s="15" t="str">
        <f>IF(COUNTA($B6520:$E6520,$K6520)=0,"",IF(AND($B6520&lt;&gt;"",$C6520&lt;&gt;"",$D6520&lt;&gt;"",$E6520&lt;&gt;""),"TXS"&amp;TEXT(COUNTIFS($B$2:$B6520,"&lt;&gt;",$C$2:$C6520,"&lt;&gt;",$D$2:$D6520,"&lt;&gt;",$E$2:$E6520,"&lt;&gt;"),"00000"),""))</f>
        <v/>
      </c>
      <c r="N6520" s="22"/>
    </row>
    <row r="6521" spans="1:14" x14ac:dyDescent="0.3">
      <c r="A6521" s="15" t="str">
        <f>IF(COUNTA($B6521:$E6521,$K6521)=0,"",IF(AND($B6521&lt;&gt;"",$C6521&lt;&gt;"",$D6521&lt;&gt;"",$E6521&lt;&gt;""),"TXS"&amp;TEXT(COUNTIFS($B$2:$B6521,"&lt;&gt;",$C$2:$C6521,"&lt;&gt;",$D$2:$D6521,"&lt;&gt;",$E$2:$E6521,"&lt;&gt;"),"00000"),""))</f>
        <v/>
      </c>
      <c r="N6521" s="22"/>
    </row>
    <row r="6522" spans="1:14" x14ac:dyDescent="0.3">
      <c r="A6522" s="15" t="str">
        <f>IF(COUNTA($B6522:$E6522,$K6522)=0,"",IF(AND($B6522&lt;&gt;"",$C6522&lt;&gt;"",$D6522&lt;&gt;"",$E6522&lt;&gt;""),"TXS"&amp;TEXT(COUNTIFS($B$2:$B6522,"&lt;&gt;",$C$2:$C6522,"&lt;&gt;",$D$2:$D6522,"&lt;&gt;",$E$2:$E6522,"&lt;&gt;"),"00000"),""))</f>
        <v/>
      </c>
      <c r="N6522" s="22"/>
    </row>
    <row r="6523" spans="1:14" x14ac:dyDescent="0.3">
      <c r="A6523" s="15" t="str">
        <f>IF(COUNTA($B6523:$E6523,$K6523)=0,"",IF(AND($B6523&lt;&gt;"",$C6523&lt;&gt;"",$D6523&lt;&gt;"",$E6523&lt;&gt;""),"TXS"&amp;TEXT(COUNTIFS($B$2:$B6523,"&lt;&gt;",$C$2:$C6523,"&lt;&gt;",$D$2:$D6523,"&lt;&gt;",$E$2:$E6523,"&lt;&gt;"),"00000"),""))</f>
        <v/>
      </c>
      <c r="N6523" s="22"/>
    </row>
    <row r="6524" spans="1:14" x14ac:dyDescent="0.3">
      <c r="A6524" s="15" t="str">
        <f>IF(COUNTA($B6524:$E6524,$K6524)=0,"",IF(AND($B6524&lt;&gt;"",$C6524&lt;&gt;"",$D6524&lt;&gt;"",$E6524&lt;&gt;""),"TXS"&amp;TEXT(COUNTIFS($B$2:$B6524,"&lt;&gt;",$C$2:$C6524,"&lt;&gt;",$D$2:$D6524,"&lt;&gt;",$E$2:$E6524,"&lt;&gt;"),"00000"),""))</f>
        <v/>
      </c>
      <c r="N6524" s="22"/>
    </row>
    <row r="6525" spans="1:14" x14ac:dyDescent="0.3">
      <c r="A6525" s="15" t="str">
        <f>IF(COUNTA($B6525:$E6525,$K6525)=0,"",IF(AND($B6525&lt;&gt;"",$C6525&lt;&gt;"",$D6525&lt;&gt;"",$E6525&lt;&gt;""),"TXS"&amp;TEXT(COUNTIFS($B$2:$B6525,"&lt;&gt;",$C$2:$C6525,"&lt;&gt;",$D$2:$D6525,"&lt;&gt;",$E$2:$E6525,"&lt;&gt;"),"00000"),""))</f>
        <v/>
      </c>
      <c r="N6525" s="22"/>
    </row>
    <row r="6526" spans="1:14" x14ac:dyDescent="0.3">
      <c r="A6526" s="15" t="str">
        <f>IF(COUNTA($B6526:$E6526,$K6526)=0,"",IF(AND($B6526&lt;&gt;"",$C6526&lt;&gt;"",$D6526&lt;&gt;"",$E6526&lt;&gt;""),"TXS"&amp;TEXT(COUNTIFS($B$2:$B6526,"&lt;&gt;",$C$2:$C6526,"&lt;&gt;",$D$2:$D6526,"&lt;&gt;",$E$2:$E6526,"&lt;&gt;"),"00000"),""))</f>
        <v/>
      </c>
      <c r="N6526" s="22"/>
    </row>
    <row r="6527" spans="1:14" x14ac:dyDescent="0.3">
      <c r="A6527" s="15" t="str">
        <f>IF(COUNTA($B6527:$E6527,$K6527)=0,"",IF(AND($B6527&lt;&gt;"",$C6527&lt;&gt;"",$D6527&lt;&gt;"",$E6527&lt;&gt;""),"TXS"&amp;TEXT(COUNTIFS($B$2:$B6527,"&lt;&gt;",$C$2:$C6527,"&lt;&gt;",$D$2:$D6527,"&lt;&gt;",$E$2:$E6527,"&lt;&gt;"),"00000"),""))</f>
        <v/>
      </c>
      <c r="N6527" s="22"/>
    </row>
    <row r="6528" spans="1:14" x14ac:dyDescent="0.3">
      <c r="A6528" s="15" t="str">
        <f>IF(COUNTA($B6528:$E6528,$K6528)=0,"",IF(AND($B6528&lt;&gt;"",$C6528&lt;&gt;"",$D6528&lt;&gt;"",$E6528&lt;&gt;""),"TXS"&amp;TEXT(COUNTIFS($B$2:$B6528,"&lt;&gt;",$C$2:$C6528,"&lt;&gt;",$D$2:$D6528,"&lt;&gt;",$E$2:$E6528,"&lt;&gt;"),"00000"),""))</f>
        <v/>
      </c>
      <c r="N6528" s="22"/>
    </row>
    <row r="6529" spans="1:14" x14ac:dyDescent="0.3">
      <c r="A6529" s="15" t="str">
        <f>IF(COUNTA($B6529:$E6529,$K6529)=0,"",IF(AND($B6529&lt;&gt;"",$C6529&lt;&gt;"",$D6529&lt;&gt;"",$E6529&lt;&gt;""),"TXS"&amp;TEXT(COUNTIFS($B$2:$B6529,"&lt;&gt;",$C$2:$C6529,"&lt;&gt;",$D$2:$D6529,"&lt;&gt;",$E$2:$E6529,"&lt;&gt;"),"00000"),""))</f>
        <v/>
      </c>
      <c r="N6529" s="22"/>
    </row>
    <row r="6530" spans="1:14" x14ac:dyDescent="0.3">
      <c r="A6530" s="15" t="str">
        <f>IF(COUNTA($B6530:$E6530,$K6530)=0,"",IF(AND($B6530&lt;&gt;"",$C6530&lt;&gt;"",$D6530&lt;&gt;"",$E6530&lt;&gt;""),"TXS"&amp;TEXT(COUNTIFS($B$2:$B6530,"&lt;&gt;",$C$2:$C6530,"&lt;&gt;",$D$2:$D6530,"&lt;&gt;",$E$2:$E6530,"&lt;&gt;"),"00000"),""))</f>
        <v/>
      </c>
      <c r="N6530" s="22"/>
    </row>
    <row r="6531" spans="1:14" x14ac:dyDescent="0.3">
      <c r="A6531" s="15" t="str">
        <f>IF(COUNTA($B6531:$E6531,$K6531)=0,"",IF(AND($B6531&lt;&gt;"",$C6531&lt;&gt;"",$D6531&lt;&gt;"",$E6531&lt;&gt;""),"TXS"&amp;TEXT(COUNTIFS($B$2:$B6531,"&lt;&gt;",$C$2:$C6531,"&lt;&gt;",$D$2:$D6531,"&lt;&gt;",$E$2:$E6531,"&lt;&gt;"),"00000"),""))</f>
        <v/>
      </c>
      <c r="N6531" s="22"/>
    </row>
    <row r="6532" spans="1:14" x14ac:dyDescent="0.3">
      <c r="A6532" s="15" t="str">
        <f>IF(COUNTA($B6532:$E6532,$K6532)=0,"",IF(AND($B6532&lt;&gt;"",$C6532&lt;&gt;"",$D6532&lt;&gt;"",$E6532&lt;&gt;""),"TXS"&amp;TEXT(COUNTIFS($B$2:$B6532,"&lt;&gt;",$C$2:$C6532,"&lt;&gt;",$D$2:$D6532,"&lt;&gt;",$E$2:$E6532,"&lt;&gt;"),"00000"),""))</f>
        <v/>
      </c>
      <c r="N6532" s="22"/>
    </row>
    <row r="6533" spans="1:14" x14ac:dyDescent="0.3">
      <c r="A6533" s="15" t="str">
        <f>IF(COUNTA($B6533:$E6533,$K6533)=0,"",IF(AND($B6533&lt;&gt;"",$C6533&lt;&gt;"",$D6533&lt;&gt;"",$E6533&lt;&gt;""),"TXS"&amp;TEXT(COUNTIFS($B$2:$B6533,"&lt;&gt;",$C$2:$C6533,"&lt;&gt;",$D$2:$D6533,"&lt;&gt;",$E$2:$E6533,"&lt;&gt;"),"00000"),""))</f>
        <v/>
      </c>
      <c r="N6533" s="22"/>
    </row>
    <row r="6534" spans="1:14" x14ac:dyDescent="0.3">
      <c r="A6534" s="15" t="str">
        <f>IF(COUNTA($B6534:$E6534,$K6534)=0,"",IF(AND($B6534&lt;&gt;"",$C6534&lt;&gt;"",$D6534&lt;&gt;"",$E6534&lt;&gt;""),"TXS"&amp;TEXT(COUNTIFS($B$2:$B6534,"&lt;&gt;",$C$2:$C6534,"&lt;&gt;",$D$2:$D6534,"&lt;&gt;",$E$2:$E6534,"&lt;&gt;"),"00000"),""))</f>
        <v/>
      </c>
      <c r="N6534" s="22"/>
    </row>
    <row r="6535" spans="1:14" x14ac:dyDescent="0.3">
      <c r="A6535" s="15" t="str">
        <f>IF(COUNTA($B6535:$E6535,$K6535)=0,"",IF(AND($B6535&lt;&gt;"",$C6535&lt;&gt;"",$D6535&lt;&gt;"",$E6535&lt;&gt;""),"TXS"&amp;TEXT(COUNTIFS($B$2:$B6535,"&lt;&gt;",$C$2:$C6535,"&lt;&gt;",$D$2:$D6535,"&lt;&gt;",$E$2:$E6535,"&lt;&gt;"),"00000"),""))</f>
        <v/>
      </c>
      <c r="N6535" s="22"/>
    </row>
    <row r="6536" spans="1:14" x14ac:dyDescent="0.3">
      <c r="A6536" s="15" t="str">
        <f>IF(COUNTA($B6536:$E6536,$K6536)=0,"",IF(AND($B6536&lt;&gt;"",$C6536&lt;&gt;"",$D6536&lt;&gt;"",$E6536&lt;&gt;""),"TXS"&amp;TEXT(COUNTIFS($B$2:$B6536,"&lt;&gt;",$C$2:$C6536,"&lt;&gt;",$D$2:$D6536,"&lt;&gt;",$E$2:$E6536,"&lt;&gt;"),"00000"),""))</f>
        <v/>
      </c>
      <c r="N6536" s="22"/>
    </row>
    <row r="6537" spans="1:14" x14ac:dyDescent="0.3">
      <c r="A6537" s="15" t="str">
        <f>IF(COUNTA($B6537:$E6537,$K6537)=0,"",IF(AND($B6537&lt;&gt;"",$C6537&lt;&gt;"",$D6537&lt;&gt;"",$E6537&lt;&gt;""),"TXS"&amp;TEXT(COUNTIFS($B$2:$B6537,"&lt;&gt;",$C$2:$C6537,"&lt;&gt;",$D$2:$D6537,"&lt;&gt;",$E$2:$E6537,"&lt;&gt;"),"00000"),""))</f>
        <v/>
      </c>
      <c r="N6537" s="22"/>
    </row>
    <row r="6538" spans="1:14" x14ac:dyDescent="0.3">
      <c r="A6538" s="15" t="str">
        <f>IF(COUNTA($B6538:$E6538,$K6538)=0,"",IF(AND($B6538&lt;&gt;"",$C6538&lt;&gt;"",$D6538&lt;&gt;"",$E6538&lt;&gt;""),"TXS"&amp;TEXT(COUNTIFS($B$2:$B6538,"&lt;&gt;",$C$2:$C6538,"&lt;&gt;",$D$2:$D6538,"&lt;&gt;",$E$2:$E6538,"&lt;&gt;"),"00000"),""))</f>
        <v/>
      </c>
      <c r="N6538" s="22"/>
    </row>
    <row r="6539" spans="1:14" x14ac:dyDescent="0.3">
      <c r="A6539" s="15" t="str">
        <f>IF(COUNTA($B6539:$E6539,$K6539)=0,"",IF(AND($B6539&lt;&gt;"",$C6539&lt;&gt;"",$D6539&lt;&gt;"",$E6539&lt;&gt;""),"TXS"&amp;TEXT(COUNTIFS($B$2:$B6539,"&lt;&gt;",$C$2:$C6539,"&lt;&gt;",$D$2:$D6539,"&lt;&gt;",$E$2:$E6539,"&lt;&gt;"),"00000"),""))</f>
        <v/>
      </c>
      <c r="N6539" s="22"/>
    </row>
    <row r="6540" spans="1:14" x14ac:dyDescent="0.3">
      <c r="A6540" s="15" t="str">
        <f>IF(COUNTA($B6540:$E6540,$K6540)=0,"",IF(AND($B6540&lt;&gt;"",$C6540&lt;&gt;"",$D6540&lt;&gt;"",$E6540&lt;&gt;""),"TXS"&amp;TEXT(COUNTIFS($B$2:$B6540,"&lt;&gt;",$C$2:$C6540,"&lt;&gt;",$D$2:$D6540,"&lt;&gt;",$E$2:$E6540,"&lt;&gt;"),"00000"),""))</f>
        <v/>
      </c>
      <c r="N6540" s="22"/>
    </row>
    <row r="6541" spans="1:14" x14ac:dyDescent="0.3">
      <c r="A6541" s="15" t="str">
        <f>IF(COUNTA($B6541:$E6541,$K6541)=0,"",IF(AND($B6541&lt;&gt;"",$C6541&lt;&gt;"",$D6541&lt;&gt;"",$E6541&lt;&gt;""),"TXS"&amp;TEXT(COUNTIFS($B$2:$B6541,"&lt;&gt;",$C$2:$C6541,"&lt;&gt;",$D$2:$D6541,"&lt;&gt;",$E$2:$E6541,"&lt;&gt;"),"00000"),""))</f>
        <v/>
      </c>
      <c r="N6541" s="22"/>
    </row>
    <row r="6542" spans="1:14" x14ac:dyDescent="0.3">
      <c r="A6542" s="15" t="str">
        <f>IF(COUNTA($B6542:$E6542,$K6542)=0,"",IF(AND($B6542&lt;&gt;"",$C6542&lt;&gt;"",$D6542&lt;&gt;"",$E6542&lt;&gt;""),"TXS"&amp;TEXT(COUNTIFS($B$2:$B6542,"&lt;&gt;",$C$2:$C6542,"&lt;&gt;",$D$2:$D6542,"&lt;&gt;",$E$2:$E6542,"&lt;&gt;"),"00000"),""))</f>
        <v/>
      </c>
      <c r="N6542" s="22"/>
    </row>
    <row r="6543" spans="1:14" x14ac:dyDescent="0.3">
      <c r="A6543" s="15" t="str">
        <f>IF(COUNTA($B6543:$E6543,$K6543)=0,"",IF(AND($B6543&lt;&gt;"",$C6543&lt;&gt;"",$D6543&lt;&gt;"",$E6543&lt;&gt;""),"TXS"&amp;TEXT(COUNTIFS($B$2:$B6543,"&lt;&gt;",$C$2:$C6543,"&lt;&gt;",$D$2:$D6543,"&lt;&gt;",$E$2:$E6543,"&lt;&gt;"),"00000"),""))</f>
        <v/>
      </c>
      <c r="N6543" s="22"/>
    </row>
    <row r="6544" spans="1:14" x14ac:dyDescent="0.3">
      <c r="A6544" s="15" t="str">
        <f>IF(COUNTA($B6544:$E6544,$K6544)=0,"",IF(AND($B6544&lt;&gt;"",$C6544&lt;&gt;"",$D6544&lt;&gt;"",$E6544&lt;&gt;""),"TXS"&amp;TEXT(COUNTIFS($B$2:$B6544,"&lt;&gt;",$C$2:$C6544,"&lt;&gt;",$D$2:$D6544,"&lt;&gt;",$E$2:$E6544,"&lt;&gt;"),"00000"),""))</f>
        <v/>
      </c>
      <c r="N6544" s="22"/>
    </row>
    <row r="6545" spans="1:14" x14ac:dyDescent="0.3">
      <c r="A6545" s="15" t="str">
        <f>IF(COUNTA($B6545:$E6545,$K6545)=0,"",IF(AND($B6545&lt;&gt;"",$C6545&lt;&gt;"",$D6545&lt;&gt;"",$E6545&lt;&gt;""),"TXS"&amp;TEXT(COUNTIFS($B$2:$B6545,"&lt;&gt;",$C$2:$C6545,"&lt;&gt;",$D$2:$D6545,"&lt;&gt;",$E$2:$E6545,"&lt;&gt;"),"00000"),""))</f>
        <v/>
      </c>
      <c r="N6545" s="22"/>
    </row>
    <row r="6546" spans="1:14" x14ac:dyDescent="0.3">
      <c r="A6546" s="15" t="str">
        <f>IF(COUNTA($B6546:$E6546,$K6546)=0,"",IF(AND($B6546&lt;&gt;"",$C6546&lt;&gt;"",$D6546&lt;&gt;"",$E6546&lt;&gt;""),"TXS"&amp;TEXT(COUNTIFS($B$2:$B6546,"&lt;&gt;",$C$2:$C6546,"&lt;&gt;",$D$2:$D6546,"&lt;&gt;",$E$2:$E6546,"&lt;&gt;"),"00000"),""))</f>
        <v/>
      </c>
      <c r="N6546" s="22"/>
    </row>
    <row r="6547" spans="1:14" x14ac:dyDescent="0.3">
      <c r="A6547" s="15" t="str">
        <f>IF(COUNTA($B6547:$E6547,$K6547)=0,"",IF(AND($B6547&lt;&gt;"",$C6547&lt;&gt;"",$D6547&lt;&gt;"",$E6547&lt;&gt;""),"TXS"&amp;TEXT(COUNTIFS($B$2:$B6547,"&lt;&gt;",$C$2:$C6547,"&lt;&gt;",$D$2:$D6547,"&lt;&gt;",$E$2:$E6547,"&lt;&gt;"),"00000"),""))</f>
        <v/>
      </c>
      <c r="N6547" s="22"/>
    </row>
    <row r="6548" spans="1:14" x14ac:dyDescent="0.3">
      <c r="A6548" s="15" t="str">
        <f>IF(COUNTA($B6548:$E6548,$K6548)=0,"",IF(AND($B6548&lt;&gt;"",$C6548&lt;&gt;"",$D6548&lt;&gt;"",$E6548&lt;&gt;""),"TXS"&amp;TEXT(COUNTIFS($B$2:$B6548,"&lt;&gt;",$C$2:$C6548,"&lt;&gt;",$D$2:$D6548,"&lt;&gt;",$E$2:$E6548,"&lt;&gt;"),"00000"),""))</f>
        <v/>
      </c>
      <c r="N6548" s="22"/>
    </row>
    <row r="6549" spans="1:14" x14ac:dyDescent="0.3">
      <c r="A6549" s="15" t="str">
        <f>IF(COUNTA($B6549:$E6549,$K6549)=0,"",IF(AND($B6549&lt;&gt;"",$C6549&lt;&gt;"",$D6549&lt;&gt;"",$E6549&lt;&gt;""),"TXS"&amp;TEXT(COUNTIFS($B$2:$B6549,"&lt;&gt;",$C$2:$C6549,"&lt;&gt;",$D$2:$D6549,"&lt;&gt;",$E$2:$E6549,"&lt;&gt;"),"00000"),""))</f>
        <v/>
      </c>
      <c r="N6549" s="22"/>
    </row>
    <row r="6550" spans="1:14" x14ac:dyDescent="0.3">
      <c r="A6550" s="15" t="str">
        <f>IF(COUNTA($B6550:$E6550,$K6550)=0,"",IF(AND($B6550&lt;&gt;"",$C6550&lt;&gt;"",$D6550&lt;&gt;"",$E6550&lt;&gt;""),"TXS"&amp;TEXT(COUNTIFS($B$2:$B6550,"&lt;&gt;",$C$2:$C6550,"&lt;&gt;",$D$2:$D6550,"&lt;&gt;",$E$2:$E6550,"&lt;&gt;"),"00000"),""))</f>
        <v/>
      </c>
      <c r="N6550" s="22"/>
    </row>
    <row r="6551" spans="1:14" x14ac:dyDescent="0.3">
      <c r="A6551" s="15" t="str">
        <f>IF(COUNTA($B6551:$E6551,$K6551)=0,"",IF(AND($B6551&lt;&gt;"",$C6551&lt;&gt;"",$D6551&lt;&gt;"",$E6551&lt;&gt;""),"TXS"&amp;TEXT(COUNTIFS($B$2:$B6551,"&lt;&gt;",$C$2:$C6551,"&lt;&gt;",$D$2:$D6551,"&lt;&gt;",$E$2:$E6551,"&lt;&gt;"),"00000"),""))</f>
        <v/>
      </c>
      <c r="N6551" s="22"/>
    </row>
    <row r="6552" spans="1:14" x14ac:dyDescent="0.3">
      <c r="A6552" s="15" t="str">
        <f>IF(COUNTA($B6552:$E6552,$K6552)=0,"",IF(AND($B6552&lt;&gt;"",$C6552&lt;&gt;"",$D6552&lt;&gt;"",$E6552&lt;&gt;""),"TXS"&amp;TEXT(COUNTIFS($B$2:$B6552,"&lt;&gt;",$C$2:$C6552,"&lt;&gt;",$D$2:$D6552,"&lt;&gt;",$E$2:$E6552,"&lt;&gt;"),"00000"),""))</f>
        <v/>
      </c>
      <c r="N6552" s="22"/>
    </row>
    <row r="6553" spans="1:14" x14ac:dyDescent="0.3">
      <c r="A6553" s="15" t="str">
        <f>IF(COUNTA($B6553:$E6553,$K6553)=0,"",IF(AND($B6553&lt;&gt;"",$C6553&lt;&gt;"",$D6553&lt;&gt;"",$E6553&lt;&gt;""),"TXS"&amp;TEXT(COUNTIFS($B$2:$B6553,"&lt;&gt;",$C$2:$C6553,"&lt;&gt;",$D$2:$D6553,"&lt;&gt;",$E$2:$E6553,"&lt;&gt;"),"00000"),""))</f>
        <v/>
      </c>
      <c r="N6553" s="22"/>
    </row>
    <row r="6554" spans="1:14" x14ac:dyDescent="0.3">
      <c r="A6554" s="15" t="str">
        <f>IF(COUNTA($B6554:$E6554,$K6554)=0,"",IF(AND($B6554&lt;&gt;"",$C6554&lt;&gt;"",$D6554&lt;&gt;"",$E6554&lt;&gt;""),"TXS"&amp;TEXT(COUNTIFS($B$2:$B6554,"&lt;&gt;",$C$2:$C6554,"&lt;&gt;",$D$2:$D6554,"&lt;&gt;",$E$2:$E6554,"&lt;&gt;"),"00000"),""))</f>
        <v/>
      </c>
      <c r="N6554" s="22"/>
    </row>
    <row r="6555" spans="1:14" x14ac:dyDescent="0.3">
      <c r="A6555" s="15" t="str">
        <f>IF(COUNTA($B6555:$E6555,$K6555)=0,"",IF(AND($B6555&lt;&gt;"",$C6555&lt;&gt;"",$D6555&lt;&gt;"",$E6555&lt;&gt;""),"TXS"&amp;TEXT(COUNTIFS($B$2:$B6555,"&lt;&gt;",$C$2:$C6555,"&lt;&gt;",$D$2:$D6555,"&lt;&gt;",$E$2:$E6555,"&lt;&gt;"),"00000"),""))</f>
        <v/>
      </c>
      <c r="N6555" s="22"/>
    </row>
    <row r="6556" spans="1:14" x14ac:dyDescent="0.3">
      <c r="A6556" s="15" t="str">
        <f>IF(COUNTA($B6556:$E6556,$K6556)=0,"",IF(AND($B6556&lt;&gt;"",$C6556&lt;&gt;"",$D6556&lt;&gt;"",$E6556&lt;&gt;""),"TXS"&amp;TEXT(COUNTIFS($B$2:$B6556,"&lt;&gt;",$C$2:$C6556,"&lt;&gt;",$D$2:$D6556,"&lt;&gt;",$E$2:$E6556,"&lt;&gt;"),"00000"),""))</f>
        <v/>
      </c>
      <c r="N6556" s="22"/>
    </row>
    <row r="6557" spans="1:14" x14ac:dyDescent="0.3">
      <c r="A6557" s="15" t="str">
        <f>IF(COUNTA($B6557:$E6557,$K6557)=0,"",IF(AND($B6557&lt;&gt;"",$C6557&lt;&gt;"",$D6557&lt;&gt;"",$E6557&lt;&gt;""),"TXS"&amp;TEXT(COUNTIFS($B$2:$B6557,"&lt;&gt;",$C$2:$C6557,"&lt;&gt;",$D$2:$D6557,"&lt;&gt;",$E$2:$E6557,"&lt;&gt;"),"00000"),""))</f>
        <v/>
      </c>
      <c r="N6557" s="22"/>
    </row>
    <row r="6558" spans="1:14" x14ac:dyDescent="0.3">
      <c r="A6558" s="15" t="str">
        <f>IF(COUNTA($B6558:$E6558,$K6558)=0,"",IF(AND($B6558&lt;&gt;"",$C6558&lt;&gt;"",$D6558&lt;&gt;"",$E6558&lt;&gt;""),"TXS"&amp;TEXT(COUNTIFS($B$2:$B6558,"&lt;&gt;",$C$2:$C6558,"&lt;&gt;",$D$2:$D6558,"&lt;&gt;",$E$2:$E6558,"&lt;&gt;"),"00000"),""))</f>
        <v/>
      </c>
      <c r="N6558" s="22"/>
    </row>
    <row r="6559" spans="1:14" x14ac:dyDescent="0.3">
      <c r="A6559" s="15" t="str">
        <f>IF(COUNTA($B6559:$E6559,$K6559)=0,"",IF(AND($B6559&lt;&gt;"",$C6559&lt;&gt;"",$D6559&lt;&gt;"",$E6559&lt;&gt;""),"TXS"&amp;TEXT(COUNTIFS($B$2:$B6559,"&lt;&gt;",$C$2:$C6559,"&lt;&gt;",$D$2:$D6559,"&lt;&gt;",$E$2:$E6559,"&lt;&gt;"),"00000"),""))</f>
        <v/>
      </c>
      <c r="N6559" s="22"/>
    </row>
    <row r="6560" spans="1:14" x14ac:dyDescent="0.3">
      <c r="A6560" s="15" t="str">
        <f>IF(COUNTA($B6560:$E6560,$K6560)=0,"",IF(AND($B6560&lt;&gt;"",$C6560&lt;&gt;"",$D6560&lt;&gt;"",$E6560&lt;&gt;""),"TXS"&amp;TEXT(COUNTIFS($B$2:$B6560,"&lt;&gt;",$C$2:$C6560,"&lt;&gt;",$D$2:$D6560,"&lt;&gt;",$E$2:$E6560,"&lt;&gt;"),"00000"),""))</f>
        <v/>
      </c>
      <c r="N6560" s="22"/>
    </row>
    <row r="6561" spans="1:14" x14ac:dyDescent="0.3">
      <c r="A6561" s="15" t="str">
        <f>IF(COUNTA($B6561:$E6561,$K6561)=0,"",IF(AND($B6561&lt;&gt;"",$C6561&lt;&gt;"",$D6561&lt;&gt;"",$E6561&lt;&gt;""),"TXS"&amp;TEXT(COUNTIFS($B$2:$B6561,"&lt;&gt;",$C$2:$C6561,"&lt;&gt;",$D$2:$D6561,"&lt;&gt;",$E$2:$E6561,"&lt;&gt;"),"00000"),""))</f>
        <v/>
      </c>
      <c r="N6561" s="22"/>
    </row>
    <row r="6562" spans="1:14" x14ac:dyDescent="0.3">
      <c r="A6562" s="15" t="str">
        <f>IF(COUNTA($B6562:$E6562,$K6562)=0,"",IF(AND($B6562&lt;&gt;"",$C6562&lt;&gt;"",$D6562&lt;&gt;"",$E6562&lt;&gt;""),"TXS"&amp;TEXT(COUNTIFS($B$2:$B6562,"&lt;&gt;",$C$2:$C6562,"&lt;&gt;",$D$2:$D6562,"&lt;&gt;",$E$2:$E6562,"&lt;&gt;"),"00000"),""))</f>
        <v/>
      </c>
      <c r="N6562" s="22"/>
    </row>
    <row r="6563" spans="1:14" x14ac:dyDescent="0.3">
      <c r="A6563" s="15" t="str">
        <f>IF(COUNTA($B6563:$E6563,$K6563)=0,"",IF(AND($B6563&lt;&gt;"",$C6563&lt;&gt;"",$D6563&lt;&gt;"",$E6563&lt;&gt;""),"TXS"&amp;TEXT(COUNTIFS($B$2:$B6563,"&lt;&gt;",$C$2:$C6563,"&lt;&gt;",$D$2:$D6563,"&lt;&gt;",$E$2:$E6563,"&lt;&gt;"),"00000"),""))</f>
        <v/>
      </c>
      <c r="N6563" s="22"/>
    </row>
    <row r="6564" spans="1:14" x14ac:dyDescent="0.3">
      <c r="A6564" s="15" t="str">
        <f>IF(COUNTA($B6564:$E6564,$K6564)=0,"",IF(AND($B6564&lt;&gt;"",$C6564&lt;&gt;"",$D6564&lt;&gt;"",$E6564&lt;&gt;""),"TXS"&amp;TEXT(COUNTIFS($B$2:$B6564,"&lt;&gt;",$C$2:$C6564,"&lt;&gt;",$D$2:$D6564,"&lt;&gt;",$E$2:$E6564,"&lt;&gt;"),"00000"),""))</f>
        <v/>
      </c>
      <c r="N6564" s="22"/>
    </row>
    <row r="6565" spans="1:14" x14ac:dyDescent="0.3">
      <c r="A6565" s="15" t="str">
        <f>IF(COUNTA($B6565:$E6565,$K6565)=0,"",IF(AND($B6565&lt;&gt;"",$C6565&lt;&gt;"",$D6565&lt;&gt;"",$E6565&lt;&gt;""),"TXS"&amp;TEXT(COUNTIFS($B$2:$B6565,"&lt;&gt;",$C$2:$C6565,"&lt;&gt;",$D$2:$D6565,"&lt;&gt;",$E$2:$E6565,"&lt;&gt;"),"00000"),""))</f>
        <v/>
      </c>
      <c r="N6565" s="22"/>
    </row>
    <row r="6566" spans="1:14" x14ac:dyDescent="0.3">
      <c r="A6566" s="15" t="str">
        <f>IF(COUNTA($B6566:$E6566,$K6566)=0,"",IF(AND($B6566&lt;&gt;"",$C6566&lt;&gt;"",$D6566&lt;&gt;"",$E6566&lt;&gt;""),"TXS"&amp;TEXT(COUNTIFS($B$2:$B6566,"&lt;&gt;",$C$2:$C6566,"&lt;&gt;",$D$2:$D6566,"&lt;&gt;",$E$2:$E6566,"&lt;&gt;"),"00000"),""))</f>
        <v/>
      </c>
      <c r="N6566" s="22"/>
    </row>
    <row r="6567" spans="1:14" x14ac:dyDescent="0.3">
      <c r="A6567" s="15" t="str">
        <f>IF(COUNTA($B6567:$E6567,$K6567)=0,"",IF(AND($B6567&lt;&gt;"",$C6567&lt;&gt;"",$D6567&lt;&gt;"",$E6567&lt;&gt;""),"TXS"&amp;TEXT(COUNTIFS($B$2:$B6567,"&lt;&gt;",$C$2:$C6567,"&lt;&gt;",$D$2:$D6567,"&lt;&gt;",$E$2:$E6567,"&lt;&gt;"),"00000"),""))</f>
        <v/>
      </c>
      <c r="N6567" s="22"/>
    </row>
    <row r="6568" spans="1:14" x14ac:dyDescent="0.3">
      <c r="A6568" s="15" t="str">
        <f>IF(COUNTA($B6568:$E6568,$K6568)=0,"",IF(AND($B6568&lt;&gt;"",$C6568&lt;&gt;"",$D6568&lt;&gt;"",$E6568&lt;&gt;""),"TXS"&amp;TEXT(COUNTIFS($B$2:$B6568,"&lt;&gt;",$C$2:$C6568,"&lt;&gt;",$D$2:$D6568,"&lt;&gt;",$E$2:$E6568,"&lt;&gt;"),"00000"),""))</f>
        <v/>
      </c>
      <c r="N6568" s="22"/>
    </row>
    <row r="6569" spans="1:14" x14ac:dyDescent="0.3">
      <c r="A6569" s="15" t="str">
        <f>IF(COUNTA($B6569:$E6569,$K6569)=0,"",IF(AND($B6569&lt;&gt;"",$C6569&lt;&gt;"",$D6569&lt;&gt;"",$E6569&lt;&gt;""),"TXS"&amp;TEXT(COUNTIFS($B$2:$B6569,"&lt;&gt;",$C$2:$C6569,"&lt;&gt;",$D$2:$D6569,"&lt;&gt;",$E$2:$E6569,"&lt;&gt;"),"00000"),""))</f>
        <v/>
      </c>
      <c r="N6569" s="22"/>
    </row>
    <row r="6570" spans="1:14" x14ac:dyDescent="0.3">
      <c r="A6570" s="15" t="str">
        <f>IF(COUNTA($B6570:$E6570,$K6570)=0,"",IF(AND($B6570&lt;&gt;"",$C6570&lt;&gt;"",$D6570&lt;&gt;"",$E6570&lt;&gt;""),"TXS"&amp;TEXT(COUNTIFS($B$2:$B6570,"&lt;&gt;",$C$2:$C6570,"&lt;&gt;",$D$2:$D6570,"&lt;&gt;",$E$2:$E6570,"&lt;&gt;"),"00000"),""))</f>
        <v/>
      </c>
      <c r="N6570" s="22"/>
    </row>
    <row r="6571" spans="1:14" x14ac:dyDescent="0.3">
      <c r="A6571" s="15" t="str">
        <f>IF(COUNTA($B6571:$E6571,$K6571)=0,"",IF(AND($B6571&lt;&gt;"",$C6571&lt;&gt;"",$D6571&lt;&gt;"",$E6571&lt;&gt;""),"TXS"&amp;TEXT(COUNTIFS($B$2:$B6571,"&lt;&gt;",$C$2:$C6571,"&lt;&gt;",$D$2:$D6571,"&lt;&gt;",$E$2:$E6571,"&lt;&gt;"),"00000"),""))</f>
        <v/>
      </c>
      <c r="N6571" s="22"/>
    </row>
    <row r="6572" spans="1:14" x14ac:dyDescent="0.3">
      <c r="A6572" s="15" t="str">
        <f>IF(COUNTA($B6572:$E6572,$K6572)=0,"",IF(AND($B6572&lt;&gt;"",$C6572&lt;&gt;"",$D6572&lt;&gt;"",$E6572&lt;&gt;""),"TXS"&amp;TEXT(COUNTIFS($B$2:$B6572,"&lt;&gt;",$C$2:$C6572,"&lt;&gt;",$D$2:$D6572,"&lt;&gt;",$E$2:$E6572,"&lt;&gt;"),"00000"),""))</f>
        <v/>
      </c>
      <c r="N6572" s="22"/>
    </row>
    <row r="6573" spans="1:14" x14ac:dyDescent="0.3">
      <c r="A6573" s="15" t="str">
        <f>IF(COUNTA($B6573:$E6573,$K6573)=0,"",IF(AND($B6573&lt;&gt;"",$C6573&lt;&gt;"",$D6573&lt;&gt;"",$E6573&lt;&gt;""),"TXS"&amp;TEXT(COUNTIFS($B$2:$B6573,"&lt;&gt;",$C$2:$C6573,"&lt;&gt;",$D$2:$D6573,"&lt;&gt;",$E$2:$E6573,"&lt;&gt;"),"00000"),""))</f>
        <v/>
      </c>
      <c r="N6573" s="22"/>
    </row>
    <row r="6574" spans="1:14" x14ac:dyDescent="0.3">
      <c r="A6574" s="15" t="str">
        <f>IF(COUNTA($B6574:$E6574,$K6574)=0,"",IF(AND($B6574&lt;&gt;"",$C6574&lt;&gt;"",$D6574&lt;&gt;"",$E6574&lt;&gt;""),"TXS"&amp;TEXT(COUNTIFS($B$2:$B6574,"&lt;&gt;",$C$2:$C6574,"&lt;&gt;",$D$2:$D6574,"&lt;&gt;",$E$2:$E6574,"&lt;&gt;"),"00000"),""))</f>
        <v/>
      </c>
      <c r="N6574" s="22"/>
    </row>
    <row r="6575" spans="1:14" x14ac:dyDescent="0.3">
      <c r="A6575" s="15" t="str">
        <f>IF(COUNTA($B6575:$E6575,$K6575)=0,"",IF(AND($B6575&lt;&gt;"",$C6575&lt;&gt;"",$D6575&lt;&gt;"",$E6575&lt;&gt;""),"TXS"&amp;TEXT(COUNTIFS($B$2:$B6575,"&lt;&gt;",$C$2:$C6575,"&lt;&gt;",$D$2:$D6575,"&lt;&gt;",$E$2:$E6575,"&lt;&gt;"),"00000"),""))</f>
        <v/>
      </c>
      <c r="N6575" s="22"/>
    </row>
    <row r="6576" spans="1:14" x14ac:dyDescent="0.3">
      <c r="A6576" s="15" t="str">
        <f>IF(COUNTA($B6576:$E6576,$K6576)=0,"",IF(AND($B6576&lt;&gt;"",$C6576&lt;&gt;"",$D6576&lt;&gt;"",$E6576&lt;&gt;""),"TXS"&amp;TEXT(COUNTIFS($B$2:$B6576,"&lt;&gt;",$C$2:$C6576,"&lt;&gt;",$D$2:$D6576,"&lt;&gt;",$E$2:$E6576,"&lt;&gt;"),"00000"),""))</f>
        <v/>
      </c>
      <c r="N6576" s="22"/>
    </row>
    <row r="6577" spans="1:14" x14ac:dyDescent="0.3">
      <c r="A6577" s="15" t="str">
        <f>IF(COUNTA($B6577:$E6577,$K6577)=0,"",IF(AND($B6577&lt;&gt;"",$C6577&lt;&gt;"",$D6577&lt;&gt;"",$E6577&lt;&gt;""),"TXS"&amp;TEXT(COUNTIFS($B$2:$B6577,"&lt;&gt;",$C$2:$C6577,"&lt;&gt;",$D$2:$D6577,"&lt;&gt;",$E$2:$E6577,"&lt;&gt;"),"00000"),""))</f>
        <v/>
      </c>
      <c r="N6577" s="22"/>
    </row>
    <row r="6578" spans="1:14" x14ac:dyDescent="0.3">
      <c r="A6578" s="15" t="str">
        <f>IF(COUNTA($B6578:$E6578,$K6578)=0,"",IF(AND($B6578&lt;&gt;"",$C6578&lt;&gt;"",$D6578&lt;&gt;"",$E6578&lt;&gt;""),"TXS"&amp;TEXT(COUNTIFS($B$2:$B6578,"&lt;&gt;",$C$2:$C6578,"&lt;&gt;",$D$2:$D6578,"&lt;&gt;",$E$2:$E6578,"&lt;&gt;"),"00000"),""))</f>
        <v/>
      </c>
      <c r="N6578" s="22"/>
    </row>
    <row r="6579" spans="1:14" x14ac:dyDescent="0.3">
      <c r="A6579" s="15" t="str">
        <f>IF(COUNTA($B6579:$E6579,$K6579)=0,"",IF(AND($B6579&lt;&gt;"",$C6579&lt;&gt;"",$D6579&lt;&gt;"",$E6579&lt;&gt;""),"TXS"&amp;TEXT(COUNTIFS($B$2:$B6579,"&lt;&gt;",$C$2:$C6579,"&lt;&gt;",$D$2:$D6579,"&lt;&gt;",$E$2:$E6579,"&lt;&gt;"),"00000"),""))</f>
        <v/>
      </c>
      <c r="N6579" s="22"/>
    </row>
    <row r="6580" spans="1:14" x14ac:dyDescent="0.3">
      <c r="A6580" s="15" t="str">
        <f>IF(COUNTA($B6580:$E6580,$K6580)=0,"",IF(AND($B6580&lt;&gt;"",$C6580&lt;&gt;"",$D6580&lt;&gt;"",$E6580&lt;&gt;""),"TXS"&amp;TEXT(COUNTIFS($B$2:$B6580,"&lt;&gt;",$C$2:$C6580,"&lt;&gt;",$D$2:$D6580,"&lt;&gt;",$E$2:$E6580,"&lt;&gt;"),"00000"),""))</f>
        <v/>
      </c>
      <c r="N6580" s="22"/>
    </row>
    <row r="6581" spans="1:14" x14ac:dyDescent="0.3">
      <c r="A6581" s="15" t="str">
        <f>IF(COUNTA($B6581:$E6581,$K6581)=0,"",IF(AND($B6581&lt;&gt;"",$C6581&lt;&gt;"",$D6581&lt;&gt;"",$E6581&lt;&gt;""),"TXS"&amp;TEXT(COUNTIFS($B$2:$B6581,"&lt;&gt;",$C$2:$C6581,"&lt;&gt;",$D$2:$D6581,"&lt;&gt;",$E$2:$E6581,"&lt;&gt;"),"00000"),""))</f>
        <v/>
      </c>
      <c r="N6581" s="22"/>
    </row>
    <row r="6582" spans="1:14" x14ac:dyDescent="0.3">
      <c r="A6582" s="15" t="str">
        <f>IF(COUNTA($B6582:$E6582,$K6582)=0,"",IF(AND($B6582&lt;&gt;"",$C6582&lt;&gt;"",$D6582&lt;&gt;"",$E6582&lt;&gt;""),"TXS"&amp;TEXT(COUNTIFS($B$2:$B6582,"&lt;&gt;",$C$2:$C6582,"&lt;&gt;",$D$2:$D6582,"&lt;&gt;",$E$2:$E6582,"&lt;&gt;"),"00000"),""))</f>
        <v/>
      </c>
      <c r="N6582" s="22"/>
    </row>
    <row r="6583" spans="1:14" x14ac:dyDescent="0.3">
      <c r="A6583" s="15" t="str">
        <f>IF(COUNTA($B6583:$E6583,$K6583)=0,"",IF(AND($B6583&lt;&gt;"",$C6583&lt;&gt;"",$D6583&lt;&gt;"",$E6583&lt;&gt;""),"TXS"&amp;TEXT(COUNTIFS($B$2:$B6583,"&lt;&gt;",$C$2:$C6583,"&lt;&gt;",$D$2:$D6583,"&lt;&gt;",$E$2:$E6583,"&lt;&gt;"),"00000"),""))</f>
        <v/>
      </c>
      <c r="N6583" s="22"/>
    </row>
    <row r="6584" spans="1:14" x14ac:dyDescent="0.3">
      <c r="A6584" s="15" t="str">
        <f>IF(COUNTA($B6584:$E6584,$K6584)=0,"",IF(AND($B6584&lt;&gt;"",$C6584&lt;&gt;"",$D6584&lt;&gt;"",$E6584&lt;&gt;""),"TXS"&amp;TEXT(COUNTIFS($B$2:$B6584,"&lt;&gt;",$C$2:$C6584,"&lt;&gt;",$D$2:$D6584,"&lt;&gt;",$E$2:$E6584,"&lt;&gt;"),"00000"),""))</f>
        <v/>
      </c>
      <c r="N6584" s="22"/>
    </row>
    <row r="6585" spans="1:14" x14ac:dyDescent="0.3">
      <c r="A6585" s="15" t="str">
        <f>IF(COUNTA($B6585:$E6585,$K6585)=0,"",IF(AND($B6585&lt;&gt;"",$C6585&lt;&gt;"",$D6585&lt;&gt;"",$E6585&lt;&gt;""),"TXS"&amp;TEXT(COUNTIFS($B$2:$B6585,"&lt;&gt;",$C$2:$C6585,"&lt;&gt;",$D$2:$D6585,"&lt;&gt;",$E$2:$E6585,"&lt;&gt;"),"00000"),""))</f>
        <v/>
      </c>
      <c r="N6585" s="22"/>
    </row>
    <row r="6586" spans="1:14" x14ac:dyDescent="0.3">
      <c r="A6586" s="15" t="str">
        <f>IF(COUNTA($B6586:$E6586,$K6586)=0,"",IF(AND($B6586&lt;&gt;"",$C6586&lt;&gt;"",$D6586&lt;&gt;"",$E6586&lt;&gt;""),"TXS"&amp;TEXT(COUNTIFS($B$2:$B6586,"&lt;&gt;",$C$2:$C6586,"&lt;&gt;",$D$2:$D6586,"&lt;&gt;",$E$2:$E6586,"&lt;&gt;"),"00000"),""))</f>
        <v/>
      </c>
      <c r="N6586" s="22"/>
    </row>
    <row r="6587" spans="1:14" x14ac:dyDescent="0.3">
      <c r="A6587" s="15" t="str">
        <f>IF(COUNTA($B6587:$E6587,$K6587)=0,"",IF(AND($B6587&lt;&gt;"",$C6587&lt;&gt;"",$D6587&lt;&gt;"",$E6587&lt;&gt;""),"TXS"&amp;TEXT(COUNTIFS($B$2:$B6587,"&lt;&gt;",$C$2:$C6587,"&lt;&gt;",$D$2:$D6587,"&lt;&gt;",$E$2:$E6587,"&lt;&gt;"),"00000"),""))</f>
        <v/>
      </c>
      <c r="N6587" s="22"/>
    </row>
    <row r="6588" spans="1:14" x14ac:dyDescent="0.3">
      <c r="A6588" s="15" t="str">
        <f>IF(COUNTA($B6588:$E6588,$K6588)=0,"",IF(AND($B6588&lt;&gt;"",$C6588&lt;&gt;"",$D6588&lt;&gt;"",$E6588&lt;&gt;""),"TXS"&amp;TEXT(COUNTIFS($B$2:$B6588,"&lt;&gt;",$C$2:$C6588,"&lt;&gt;",$D$2:$D6588,"&lt;&gt;",$E$2:$E6588,"&lt;&gt;"),"00000"),""))</f>
        <v/>
      </c>
      <c r="N6588" s="22"/>
    </row>
    <row r="6589" spans="1:14" x14ac:dyDescent="0.3">
      <c r="A6589" s="15" t="str">
        <f>IF(COUNTA($B6589:$E6589,$K6589)=0,"",IF(AND($B6589&lt;&gt;"",$C6589&lt;&gt;"",$D6589&lt;&gt;"",$E6589&lt;&gt;""),"TXS"&amp;TEXT(COUNTIFS($B$2:$B6589,"&lt;&gt;",$C$2:$C6589,"&lt;&gt;",$D$2:$D6589,"&lt;&gt;",$E$2:$E6589,"&lt;&gt;"),"00000"),""))</f>
        <v/>
      </c>
      <c r="N6589" s="22"/>
    </row>
    <row r="6590" spans="1:14" x14ac:dyDescent="0.3">
      <c r="A6590" s="15" t="str">
        <f>IF(COUNTA($B6590:$E6590,$K6590)=0,"",IF(AND($B6590&lt;&gt;"",$C6590&lt;&gt;"",$D6590&lt;&gt;"",$E6590&lt;&gt;""),"TXS"&amp;TEXT(COUNTIFS($B$2:$B6590,"&lt;&gt;",$C$2:$C6590,"&lt;&gt;",$D$2:$D6590,"&lt;&gt;",$E$2:$E6590,"&lt;&gt;"),"00000"),""))</f>
        <v/>
      </c>
      <c r="N6590" s="22"/>
    </row>
    <row r="6591" spans="1:14" x14ac:dyDescent="0.3">
      <c r="A6591" s="15" t="str">
        <f>IF(COUNTA($B6591:$E6591,$K6591)=0,"",IF(AND($B6591&lt;&gt;"",$C6591&lt;&gt;"",$D6591&lt;&gt;"",$E6591&lt;&gt;""),"TXS"&amp;TEXT(COUNTIFS($B$2:$B6591,"&lt;&gt;",$C$2:$C6591,"&lt;&gt;",$D$2:$D6591,"&lt;&gt;",$E$2:$E6591,"&lt;&gt;"),"00000"),""))</f>
        <v/>
      </c>
      <c r="N6591" s="22"/>
    </row>
    <row r="6592" spans="1:14" x14ac:dyDescent="0.3">
      <c r="A6592" s="15" t="str">
        <f>IF(COUNTA($B6592:$E6592,$K6592)=0,"",IF(AND($B6592&lt;&gt;"",$C6592&lt;&gt;"",$D6592&lt;&gt;"",$E6592&lt;&gt;""),"TXS"&amp;TEXT(COUNTIFS($B$2:$B6592,"&lt;&gt;",$C$2:$C6592,"&lt;&gt;",$D$2:$D6592,"&lt;&gt;",$E$2:$E6592,"&lt;&gt;"),"00000"),""))</f>
        <v/>
      </c>
      <c r="N6592" s="22"/>
    </row>
    <row r="6593" spans="1:14" x14ac:dyDescent="0.3">
      <c r="A6593" s="15" t="str">
        <f>IF(COUNTA($B6593:$E6593,$K6593)=0,"",IF(AND($B6593&lt;&gt;"",$C6593&lt;&gt;"",$D6593&lt;&gt;"",$E6593&lt;&gt;""),"TXS"&amp;TEXT(COUNTIFS($B$2:$B6593,"&lt;&gt;",$C$2:$C6593,"&lt;&gt;",$D$2:$D6593,"&lt;&gt;",$E$2:$E6593,"&lt;&gt;"),"00000"),""))</f>
        <v/>
      </c>
      <c r="N6593" s="22"/>
    </row>
    <row r="6594" spans="1:14" x14ac:dyDescent="0.3">
      <c r="A6594" s="15" t="str">
        <f>IF(COUNTA($B6594:$E6594,$K6594)=0,"",IF(AND($B6594&lt;&gt;"",$C6594&lt;&gt;"",$D6594&lt;&gt;"",$E6594&lt;&gt;""),"TXS"&amp;TEXT(COUNTIFS($B$2:$B6594,"&lt;&gt;",$C$2:$C6594,"&lt;&gt;",$D$2:$D6594,"&lt;&gt;",$E$2:$E6594,"&lt;&gt;"),"00000"),""))</f>
        <v/>
      </c>
      <c r="N6594" s="22"/>
    </row>
    <row r="6595" spans="1:14" x14ac:dyDescent="0.3">
      <c r="A6595" s="15" t="str">
        <f>IF(COUNTA($B6595:$E6595,$K6595)=0,"",IF(AND($B6595&lt;&gt;"",$C6595&lt;&gt;"",$D6595&lt;&gt;"",$E6595&lt;&gt;""),"TXS"&amp;TEXT(COUNTIFS($B$2:$B6595,"&lt;&gt;",$C$2:$C6595,"&lt;&gt;",$D$2:$D6595,"&lt;&gt;",$E$2:$E6595,"&lt;&gt;"),"00000"),""))</f>
        <v/>
      </c>
      <c r="N6595" s="22"/>
    </row>
    <row r="6596" spans="1:14" x14ac:dyDescent="0.3">
      <c r="A6596" s="15" t="str">
        <f>IF(COUNTA($B6596:$E6596,$K6596)=0,"",IF(AND($B6596&lt;&gt;"",$C6596&lt;&gt;"",$D6596&lt;&gt;"",$E6596&lt;&gt;""),"TXS"&amp;TEXT(COUNTIFS($B$2:$B6596,"&lt;&gt;",$C$2:$C6596,"&lt;&gt;",$D$2:$D6596,"&lt;&gt;",$E$2:$E6596,"&lt;&gt;"),"00000"),""))</f>
        <v/>
      </c>
      <c r="N6596" s="22"/>
    </row>
    <row r="6597" spans="1:14" x14ac:dyDescent="0.3">
      <c r="A6597" s="15" t="str">
        <f>IF(COUNTA($B6597:$E6597,$K6597)=0,"",IF(AND($B6597&lt;&gt;"",$C6597&lt;&gt;"",$D6597&lt;&gt;"",$E6597&lt;&gt;""),"TXS"&amp;TEXT(COUNTIFS($B$2:$B6597,"&lt;&gt;",$C$2:$C6597,"&lt;&gt;",$D$2:$D6597,"&lt;&gt;",$E$2:$E6597,"&lt;&gt;"),"00000"),""))</f>
        <v/>
      </c>
      <c r="N6597" s="22"/>
    </row>
    <row r="6598" spans="1:14" x14ac:dyDescent="0.3">
      <c r="A6598" s="15" t="str">
        <f>IF(COUNTA($B6598:$E6598,$K6598)=0,"",IF(AND($B6598&lt;&gt;"",$C6598&lt;&gt;"",$D6598&lt;&gt;"",$E6598&lt;&gt;""),"TXS"&amp;TEXT(COUNTIFS($B$2:$B6598,"&lt;&gt;",$C$2:$C6598,"&lt;&gt;",$D$2:$D6598,"&lt;&gt;",$E$2:$E6598,"&lt;&gt;"),"00000"),""))</f>
        <v/>
      </c>
      <c r="N6598" s="22"/>
    </row>
    <row r="6599" spans="1:14" x14ac:dyDescent="0.3">
      <c r="A6599" s="15" t="str">
        <f>IF(COUNTA($B6599:$E6599,$K6599)=0,"",IF(AND($B6599&lt;&gt;"",$C6599&lt;&gt;"",$D6599&lt;&gt;"",$E6599&lt;&gt;""),"TXS"&amp;TEXT(COUNTIFS($B$2:$B6599,"&lt;&gt;",$C$2:$C6599,"&lt;&gt;",$D$2:$D6599,"&lt;&gt;",$E$2:$E6599,"&lt;&gt;"),"00000"),""))</f>
        <v/>
      </c>
      <c r="N6599" s="22"/>
    </row>
    <row r="6600" spans="1:14" x14ac:dyDescent="0.3">
      <c r="A6600" s="15" t="str">
        <f>IF(COUNTA($B6600:$E6600,$K6600)=0,"",IF(AND($B6600&lt;&gt;"",$C6600&lt;&gt;"",$D6600&lt;&gt;"",$E6600&lt;&gt;""),"TXS"&amp;TEXT(COUNTIFS($B$2:$B6600,"&lt;&gt;",$C$2:$C6600,"&lt;&gt;",$D$2:$D6600,"&lt;&gt;",$E$2:$E6600,"&lt;&gt;"),"00000"),""))</f>
        <v/>
      </c>
      <c r="N6600" s="22"/>
    </row>
    <row r="6601" spans="1:14" x14ac:dyDescent="0.3">
      <c r="A6601" s="15" t="str">
        <f>IF(COUNTA($B6601:$E6601,$K6601)=0,"",IF(AND($B6601&lt;&gt;"",$C6601&lt;&gt;"",$D6601&lt;&gt;"",$E6601&lt;&gt;""),"TXS"&amp;TEXT(COUNTIFS($B$2:$B6601,"&lt;&gt;",$C$2:$C6601,"&lt;&gt;",$D$2:$D6601,"&lt;&gt;",$E$2:$E6601,"&lt;&gt;"),"00000"),""))</f>
        <v/>
      </c>
      <c r="N6601" s="22"/>
    </row>
    <row r="6602" spans="1:14" x14ac:dyDescent="0.3">
      <c r="A6602" s="15" t="str">
        <f>IF(COUNTA($B6602:$E6602,$K6602)=0,"",IF(AND($B6602&lt;&gt;"",$C6602&lt;&gt;"",$D6602&lt;&gt;"",$E6602&lt;&gt;""),"TXS"&amp;TEXT(COUNTIFS($B$2:$B6602,"&lt;&gt;",$C$2:$C6602,"&lt;&gt;",$D$2:$D6602,"&lt;&gt;",$E$2:$E6602,"&lt;&gt;"),"00000"),""))</f>
        <v/>
      </c>
      <c r="N6602" s="22"/>
    </row>
    <row r="6603" spans="1:14" x14ac:dyDescent="0.3">
      <c r="A6603" s="15" t="str">
        <f>IF(COUNTA($B6603:$E6603,$K6603)=0,"",IF(AND($B6603&lt;&gt;"",$C6603&lt;&gt;"",$D6603&lt;&gt;"",$E6603&lt;&gt;""),"TXS"&amp;TEXT(COUNTIFS($B$2:$B6603,"&lt;&gt;",$C$2:$C6603,"&lt;&gt;",$D$2:$D6603,"&lt;&gt;",$E$2:$E6603,"&lt;&gt;"),"00000"),""))</f>
        <v/>
      </c>
      <c r="N6603" s="22"/>
    </row>
    <row r="6604" spans="1:14" x14ac:dyDescent="0.3">
      <c r="A6604" s="15" t="str">
        <f>IF(COUNTA($B6604:$E6604,$K6604)=0,"",IF(AND($B6604&lt;&gt;"",$C6604&lt;&gt;"",$D6604&lt;&gt;"",$E6604&lt;&gt;""),"TXS"&amp;TEXT(COUNTIFS($B$2:$B6604,"&lt;&gt;",$C$2:$C6604,"&lt;&gt;",$D$2:$D6604,"&lt;&gt;",$E$2:$E6604,"&lt;&gt;"),"00000"),""))</f>
        <v/>
      </c>
      <c r="N6604" s="22"/>
    </row>
    <row r="6605" spans="1:14" x14ac:dyDescent="0.3">
      <c r="A6605" s="15" t="str">
        <f>IF(COUNTA($B6605:$E6605,$K6605)=0,"",IF(AND($B6605&lt;&gt;"",$C6605&lt;&gt;"",$D6605&lt;&gt;"",$E6605&lt;&gt;""),"TXS"&amp;TEXT(COUNTIFS($B$2:$B6605,"&lt;&gt;",$C$2:$C6605,"&lt;&gt;",$D$2:$D6605,"&lt;&gt;",$E$2:$E6605,"&lt;&gt;"),"00000"),""))</f>
        <v/>
      </c>
      <c r="N6605" s="22"/>
    </row>
    <row r="6606" spans="1:14" x14ac:dyDescent="0.3">
      <c r="A6606" s="15" t="str">
        <f>IF(COUNTA($B6606:$E6606,$K6606)=0,"",IF(AND($B6606&lt;&gt;"",$C6606&lt;&gt;"",$D6606&lt;&gt;"",$E6606&lt;&gt;""),"TXS"&amp;TEXT(COUNTIFS($B$2:$B6606,"&lt;&gt;",$C$2:$C6606,"&lt;&gt;",$D$2:$D6606,"&lt;&gt;",$E$2:$E6606,"&lt;&gt;"),"00000"),""))</f>
        <v/>
      </c>
      <c r="N6606" s="22"/>
    </row>
    <row r="6607" spans="1:14" x14ac:dyDescent="0.3">
      <c r="A6607" s="15" t="str">
        <f>IF(COUNTA($B6607:$E6607,$K6607)=0,"",IF(AND($B6607&lt;&gt;"",$C6607&lt;&gt;"",$D6607&lt;&gt;"",$E6607&lt;&gt;""),"TXS"&amp;TEXT(COUNTIFS($B$2:$B6607,"&lt;&gt;",$C$2:$C6607,"&lt;&gt;",$D$2:$D6607,"&lt;&gt;",$E$2:$E6607,"&lt;&gt;"),"00000"),""))</f>
        <v/>
      </c>
      <c r="N6607" s="22"/>
    </row>
    <row r="6608" spans="1:14" x14ac:dyDescent="0.3">
      <c r="A6608" s="15" t="str">
        <f>IF(COUNTA($B6608:$E6608,$K6608)=0,"",IF(AND($B6608&lt;&gt;"",$C6608&lt;&gt;"",$D6608&lt;&gt;"",$E6608&lt;&gt;""),"TXS"&amp;TEXT(COUNTIFS($B$2:$B6608,"&lt;&gt;",$C$2:$C6608,"&lt;&gt;",$D$2:$D6608,"&lt;&gt;",$E$2:$E6608,"&lt;&gt;"),"00000"),""))</f>
        <v/>
      </c>
      <c r="N6608" s="22"/>
    </row>
    <row r="6609" spans="1:14" x14ac:dyDescent="0.3">
      <c r="A6609" s="15" t="str">
        <f>IF(COUNTA($B6609:$E6609,$K6609)=0,"",IF(AND($B6609&lt;&gt;"",$C6609&lt;&gt;"",$D6609&lt;&gt;"",$E6609&lt;&gt;""),"TXS"&amp;TEXT(COUNTIFS($B$2:$B6609,"&lt;&gt;",$C$2:$C6609,"&lt;&gt;",$D$2:$D6609,"&lt;&gt;",$E$2:$E6609,"&lt;&gt;"),"00000"),""))</f>
        <v/>
      </c>
      <c r="N6609" s="22"/>
    </row>
    <row r="6610" spans="1:14" x14ac:dyDescent="0.3">
      <c r="A6610" s="15" t="str">
        <f>IF(COUNTA($B6610:$E6610,$K6610)=0,"",IF(AND($B6610&lt;&gt;"",$C6610&lt;&gt;"",$D6610&lt;&gt;"",$E6610&lt;&gt;""),"TXS"&amp;TEXT(COUNTIFS($B$2:$B6610,"&lt;&gt;",$C$2:$C6610,"&lt;&gt;",$D$2:$D6610,"&lt;&gt;",$E$2:$E6610,"&lt;&gt;"),"00000"),""))</f>
        <v/>
      </c>
      <c r="N6610" s="22"/>
    </row>
    <row r="6611" spans="1:14" x14ac:dyDescent="0.3">
      <c r="A6611" s="15" t="str">
        <f>IF(COUNTA($B6611:$E6611,$K6611)=0,"",IF(AND($B6611&lt;&gt;"",$C6611&lt;&gt;"",$D6611&lt;&gt;"",$E6611&lt;&gt;""),"TXS"&amp;TEXT(COUNTIFS($B$2:$B6611,"&lt;&gt;",$C$2:$C6611,"&lt;&gt;",$D$2:$D6611,"&lt;&gt;",$E$2:$E6611,"&lt;&gt;"),"00000"),""))</f>
        <v/>
      </c>
      <c r="N6611" s="22"/>
    </row>
    <row r="6612" spans="1:14" x14ac:dyDescent="0.3">
      <c r="A6612" s="15" t="str">
        <f>IF(COUNTA($B6612:$E6612,$K6612)=0,"",IF(AND($B6612&lt;&gt;"",$C6612&lt;&gt;"",$D6612&lt;&gt;"",$E6612&lt;&gt;""),"TXS"&amp;TEXT(COUNTIFS($B$2:$B6612,"&lt;&gt;",$C$2:$C6612,"&lt;&gt;",$D$2:$D6612,"&lt;&gt;",$E$2:$E6612,"&lt;&gt;"),"00000"),""))</f>
        <v/>
      </c>
      <c r="N6612" s="22"/>
    </row>
    <row r="6613" spans="1:14" x14ac:dyDescent="0.3">
      <c r="A6613" s="15" t="str">
        <f>IF(COUNTA($B6613:$E6613,$K6613)=0,"",IF(AND($B6613&lt;&gt;"",$C6613&lt;&gt;"",$D6613&lt;&gt;"",$E6613&lt;&gt;""),"TXS"&amp;TEXT(COUNTIFS($B$2:$B6613,"&lt;&gt;",$C$2:$C6613,"&lt;&gt;",$D$2:$D6613,"&lt;&gt;",$E$2:$E6613,"&lt;&gt;"),"00000"),""))</f>
        <v/>
      </c>
      <c r="N6613" s="22"/>
    </row>
    <row r="6614" spans="1:14" x14ac:dyDescent="0.3">
      <c r="A6614" s="15" t="str">
        <f>IF(COUNTA($B6614:$E6614,$K6614)=0,"",IF(AND($B6614&lt;&gt;"",$C6614&lt;&gt;"",$D6614&lt;&gt;"",$E6614&lt;&gt;""),"TXS"&amp;TEXT(COUNTIFS($B$2:$B6614,"&lt;&gt;",$C$2:$C6614,"&lt;&gt;",$D$2:$D6614,"&lt;&gt;",$E$2:$E6614,"&lt;&gt;"),"00000"),""))</f>
        <v/>
      </c>
      <c r="N6614" s="22"/>
    </row>
    <row r="6615" spans="1:14" x14ac:dyDescent="0.3">
      <c r="A6615" s="15" t="str">
        <f>IF(COUNTA($B6615:$E6615,$K6615)=0,"",IF(AND($B6615&lt;&gt;"",$C6615&lt;&gt;"",$D6615&lt;&gt;"",$E6615&lt;&gt;""),"TXS"&amp;TEXT(COUNTIFS($B$2:$B6615,"&lt;&gt;",$C$2:$C6615,"&lt;&gt;",$D$2:$D6615,"&lt;&gt;",$E$2:$E6615,"&lt;&gt;"),"00000"),""))</f>
        <v/>
      </c>
      <c r="N6615" s="22"/>
    </row>
    <row r="6616" spans="1:14" x14ac:dyDescent="0.3">
      <c r="A6616" s="15" t="str">
        <f>IF(COUNTA($B6616:$E6616,$K6616)=0,"",IF(AND($B6616&lt;&gt;"",$C6616&lt;&gt;"",$D6616&lt;&gt;"",$E6616&lt;&gt;""),"TXS"&amp;TEXT(COUNTIFS($B$2:$B6616,"&lt;&gt;",$C$2:$C6616,"&lt;&gt;",$D$2:$D6616,"&lt;&gt;",$E$2:$E6616,"&lt;&gt;"),"00000"),""))</f>
        <v/>
      </c>
      <c r="N6616" s="22"/>
    </row>
    <row r="6617" spans="1:14" x14ac:dyDescent="0.3">
      <c r="A6617" s="15" t="str">
        <f>IF(COUNTA($B6617:$E6617,$K6617)=0,"",IF(AND($B6617&lt;&gt;"",$C6617&lt;&gt;"",$D6617&lt;&gt;"",$E6617&lt;&gt;""),"TXS"&amp;TEXT(COUNTIFS($B$2:$B6617,"&lt;&gt;",$C$2:$C6617,"&lt;&gt;",$D$2:$D6617,"&lt;&gt;",$E$2:$E6617,"&lt;&gt;"),"00000"),""))</f>
        <v/>
      </c>
      <c r="N6617" s="22"/>
    </row>
    <row r="6618" spans="1:14" x14ac:dyDescent="0.3">
      <c r="A6618" s="15" t="str">
        <f>IF(COUNTA($B6618:$E6618,$K6618)=0,"",IF(AND($B6618&lt;&gt;"",$C6618&lt;&gt;"",$D6618&lt;&gt;"",$E6618&lt;&gt;""),"TXS"&amp;TEXT(COUNTIFS($B$2:$B6618,"&lt;&gt;",$C$2:$C6618,"&lt;&gt;",$D$2:$D6618,"&lt;&gt;",$E$2:$E6618,"&lt;&gt;"),"00000"),""))</f>
        <v/>
      </c>
      <c r="N6618" s="22"/>
    </row>
    <row r="6619" spans="1:14" x14ac:dyDescent="0.3">
      <c r="A6619" s="15" t="str">
        <f>IF(COUNTA($B6619:$E6619,$K6619)=0,"",IF(AND($B6619&lt;&gt;"",$C6619&lt;&gt;"",$D6619&lt;&gt;"",$E6619&lt;&gt;""),"TXS"&amp;TEXT(COUNTIFS($B$2:$B6619,"&lt;&gt;",$C$2:$C6619,"&lt;&gt;",$D$2:$D6619,"&lt;&gt;",$E$2:$E6619,"&lt;&gt;"),"00000"),""))</f>
        <v/>
      </c>
      <c r="N6619" s="22"/>
    </row>
    <row r="6620" spans="1:14" x14ac:dyDescent="0.3">
      <c r="A6620" s="15" t="str">
        <f>IF(COUNTA($B6620:$E6620,$K6620)=0,"",IF(AND($B6620&lt;&gt;"",$C6620&lt;&gt;"",$D6620&lt;&gt;"",$E6620&lt;&gt;""),"TXS"&amp;TEXT(COUNTIFS($B$2:$B6620,"&lt;&gt;",$C$2:$C6620,"&lt;&gt;",$D$2:$D6620,"&lt;&gt;",$E$2:$E6620,"&lt;&gt;"),"00000"),""))</f>
        <v/>
      </c>
      <c r="N6620" s="22"/>
    </row>
    <row r="6621" spans="1:14" x14ac:dyDescent="0.3">
      <c r="A6621" s="15" t="str">
        <f>IF(COUNTA($B6621:$E6621,$K6621)=0,"",IF(AND($B6621&lt;&gt;"",$C6621&lt;&gt;"",$D6621&lt;&gt;"",$E6621&lt;&gt;""),"TXS"&amp;TEXT(COUNTIFS($B$2:$B6621,"&lt;&gt;",$C$2:$C6621,"&lt;&gt;",$D$2:$D6621,"&lt;&gt;",$E$2:$E6621,"&lt;&gt;"),"00000"),""))</f>
        <v/>
      </c>
      <c r="N6621" s="22"/>
    </row>
    <row r="6622" spans="1:14" x14ac:dyDescent="0.3">
      <c r="A6622" s="15" t="str">
        <f>IF(COUNTA($B6622:$E6622,$K6622)=0,"",IF(AND($B6622&lt;&gt;"",$C6622&lt;&gt;"",$D6622&lt;&gt;"",$E6622&lt;&gt;""),"TXS"&amp;TEXT(COUNTIFS($B$2:$B6622,"&lt;&gt;",$C$2:$C6622,"&lt;&gt;",$D$2:$D6622,"&lt;&gt;",$E$2:$E6622,"&lt;&gt;"),"00000"),""))</f>
        <v/>
      </c>
      <c r="N6622" s="22"/>
    </row>
    <row r="6623" spans="1:14" x14ac:dyDescent="0.3">
      <c r="A6623" s="15" t="str">
        <f>IF(COUNTA($B6623:$E6623,$K6623)=0,"",IF(AND($B6623&lt;&gt;"",$C6623&lt;&gt;"",$D6623&lt;&gt;"",$E6623&lt;&gt;""),"TXS"&amp;TEXT(COUNTIFS($B$2:$B6623,"&lt;&gt;",$C$2:$C6623,"&lt;&gt;",$D$2:$D6623,"&lt;&gt;",$E$2:$E6623,"&lt;&gt;"),"00000"),""))</f>
        <v/>
      </c>
      <c r="N6623" s="22"/>
    </row>
    <row r="6624" spans="1:14" x14ac:dyDescent="0.3">
      <c r="A6624" s="15" t="str">
        <f>IF(COUNTA($B6624:$E6624,$K6624)=0,"",IF(AND($B6624&lt;&gt;"",$C6624&lt;&gt;"",$D6624&lt;&gt;"",$E6624&lt;&gt;""),"TXS"&amp;TEXT(COUNTIFS($B$2:$B6624,"&lt;&gt;",$C$2:$C6624,"&lt;&gt;",$D$2:$D6624,"&lt;&gt;",$E$2:$E6624,"&lt;&gt;"),"00000"),""))</f>
        <v/>
      </c>
      <c r="N6624" s="22"/>
    </row>
    <row r="6625" spans="1:14" x14ac:dyDescent="0.3">
      <c r="A6625" s="15" t="str">
        <f>IF(COUNTA($B6625:$E6625,$K6625)=0,"",IF(AND($B6625&lt;&gt;"",$C6625&lt;&gt;"",$D6625&lt;&gt;"",$E6625&lt;&gt;""),"TXS"&amp;TEXT(COUNTIFS($B$2:$B6625,"&lt;&gt;",$C$2:$C6625,"&lt;&gt;",$D$2:$D6625,"&lt;&gt;",$E$2:$E6625,"&lt;&gt;"),"00000"),""))</f>
        <v/>
      </c>
      <c r="N6625" s="22"/>
    </row>
    <row r="6626" spans="1:14" x14ac:dyDescent="0.3">
      <c r="A6626" s="15" t="str">
        <f>IF(COUNTA($B6626:$E6626,$K6626)=0,"",IF(AND($B6626&lt;&gt;"",$C6626&lt;&gt;"",$D6626&lt;&gt;"",$E6626&lt;&gt;""),"TXS"&amp;TEXT(COUNTIFS($B$2:$B6626,"&lt;&gt;",$C$2:$C6626,"&lt;&gt;",$D$2:$D6626,"&lt;&gt;",$E$2:$E6626,"&lt;&gt;"),"00000"),""))</f>
        <v/>
      </c>
      <c r="N6626" s="22"/>
    </row>
    <row r="6627" spans="1:14" x14ac:dyDescent="0.3">
      <c r="A6627" s="15" t="str">
        <f>IF(COUNTA($B6627:$E6627,$K6627)=0,"",IF(AND($B6627&lt;&gt;"",$C6627&lt;&gt;"",$D6627&lt;&gt;"",$E6627&lt;&gt;""),"TXS"&amp;TEXT(COUNTIFS($B$2:$B6627,"&lt;&gt;",$C$2:$C6627,"&lt;&gt;",$D$2:$D6627,"&lt;&gt;",$E$2:$E6627,"&lt;&gt;"),"00000"),""))</f>
        <v/>
      </c>
      <c r="N6627" s="22"/>
    </row>
    <row r="6628" spans="1:14" x14ac:dyDescent="0.3">
      <c r="A6628" s="15" t="str">
        <f>IF(COUNTA($B6628:$E6628,$K6628)=0,"",IF(AND($B6628&lt;&gt;"",$C6628&lt;&gt;"",$D6628&lt;&gt;"",$E6628&lt;&gt;""),"TXS"&amp;TEXT(COUNTIFS($B$2:$B6628,"&lt;&gt;",$C$2:$C6628,"&lt;&gt;",$D$2:$D6628,"&lt;&gt;",$E$2:$E6628,"&lt;&gt;"),"00000"),""))</f>
        <v/>
      </c>
      <c r="N6628" s="22"/>
    </row>
    <row r="6629" spans="1:14" x14ac:dyDescent="0.3">
      <c r="A6629" s="15" t="str">
        <f>IF(COUNTA($B6629:$E6629,$K6629)=0,"",IF(AND($B6629&lt;&gt;"",$C6629&lt;&gt;"",$D6629&lt;&gt;"",$E6629&lt;&gt;""),"TXS"&amp;TEXT(COUNTIFS($B$2:$B6629,"&lt;&gt;",$C$2:$C6629,"&lt;&gt;",$D$2:$D6629,"&lt;&gt;",$E$2:$E6629,"&lt;&gt;"),"00000"),""))</f>
        <v/>
      </c>
      <c r="N6629" s="22"/>
    </row>
    <row r="6630" spans="1:14" x14ac:dyDescent="0.3">
      <c r="A6630" s="15" t="str">
        <f>IF(COUNTA($B6630:$E6630,$K6630)=0,"",IF(AND($B6630&lt;&gt;"",$C6630&lt;&gt;"",$D6630&lt;&gt;"",$E6630&lt;&gt;""),"TXS"&amp;TEXT(COUNTIFS($B$2:$B6630,"&lt;&gt;",$C$2:$C6630,"&lt;&gt;",$D$2:$D6630,"&lt;&gt;",$E$2:$E6630,"&lt;&gt;"),"00000"),""))</f>
        <v/>
      </c>
      <c r="N6630" s="22"/>
    </row>
    <row r="6631" spans="1:14" x14ac:dyDescent="0.3">
      <c r="A6631" s="15" t="str">
        <f>IF(COUNTA($B6631:$E6631,$K6631)=0,"",IF(AND($B6631&lt;&gt;"",$C6631&lt;&gt;"",$D6631&lt;&gt;"",$E6631&lt;&gt;""),"TXS"&amp;TEXT(COUNTIFS($B$2:$B6631,"&lt;&gt;",$C$2:$C6631,"&lt;&gt;",$D$2:$D6631,"&lt;&gt;",$E$2:$E6631,"&lt;&gt;"),"00000"),""))</f>
        <v/>
      </c>
      <c r="N6631" s="22"/>
    </row>
    <row r="6632" spans="1:14" x14ac:dyDescent="0.3">
      <c r="A6632" s="15" t="str">
        <f>IF(COUNTA($B6632:$E6632,$K6632)=0,"",IF(AND($B6632&lt;&gt;"",$C6632&lt;&gt;"",$D6632&lt;&gt;"",$E6632&lt;&gt;""),"TXS"&amp;TEXT(COUNTIFS($B$2:$B6632,"&lt;&gt;",$C$2:$C6632,"&lt;&gt;",$D$2:$D6632,"&lt;&gt;",$E$2:$E6632,"&lt;&gt;"),"00000"),""))</f>
        <v/>
      </c>
      <c r="N6632" s="22"/>
    </row>
    <row r="6633" spans="1:14" x14ac:dyDescent="0.3">
      <c r="A6633" s="15" t="str">
        <f>IF(COUNTA($B6633:$E6633,$K6633)=0,"",IF(AND($B6633&lt;&gt;"",$C6633&lt;&gt;"",$D6633&lt;&gt;"",$E6633&lt;&gt;""),"TXS"&amp;TEXT(COUNTIFS($B$2:$B6633,"&lt;&gt;",$C$2:$C6633,"&lt;&gt;",$D$2:$D6633,"&lt;&gt;",$E$2:$E6633,"&lt;&gt;"),"00000"),""))</f>
        <v/>
      </c>
      <c r="N6633" s="22"/>
    </row>
    <row r="6634" spans="1:14" x14ac:dyDescent="0.3">
      <c r="A6634" s="15" t="str">
        <f>IF(COUNTA($B6634:$E6634,$K6634)=0,"",IF(AND($B6634&lt;&gt;"",$C6634&lt;&gt;"",$D6634&lt;&gt;"",$E6634&lt;&gt;""),"TXS"&amp;TEXT(COUNTIFS($B$2:$B6634,"&lt;&gt;",$C$2:$C6634,"&lt;&gt;",$D$2:$D6634,"&lt;&gt;",$E$2:$E6634,"&lt;&gt;"),"00000"),""))</f>
        <v/>
      </c>
      <c r="N6634" s="22"/>
    </row>
    <row r="6635" spans="1:14" x14ac:dyDescent="0.3">
      <c r="A6635" s="15" t="str">
        <f>IF(COUNTA($B6635:$E6635,$K6635)=0,"",IF(AND($B6635&lt;&gt;"",$C6635&lt;&gt;"",$D6635&lt;&gt;"",$E6635&lt;&gt;""),"TXS"&amp;TEXT(COUNTIFS($B$2:$B6635,"&lt;&gt;",$C$2:$C6635,"&lt;&gt;",$D$2:$D6635,"&lt;&gt;",$E$2:$E6635,"&lt;&gt;"),"00000"),""))</f>
        <v/>
      </c>
      <c r="N6635" s="22"/>
    </row>
    <row r="6636" spans="1:14" x14ac:dyDescent="0.3">
      <c r="A6636" s="15" t="str">
        <f>IF(COUNTA($B6636:$E6636,$K6636)=0,"",IF(AND($B6636&lt;&gt;"",$C6636&lt;&gt;"",$D6636&lt;&gt;"",$E6636&lt;&gt;""),"TXS"&amp;TEXT(COUNTIFS($B$2:$B6636,"&lt;&gt;",$C$2:$C6636,"&lt;&gt;",$D$2:$D6636,"&lt;&gt;",$E$2:$E6636,"&lt;&gt;"),"00000"),""))</f>
        <v/>
      </c>
      <c r="N6636" s="22"/>
    </row>
    <row r="6637" spans="1:14" x14ac:dyDescent="0.3">
      <c r="A6637" s="15" t="str">
        <f>IF(COUNTA($B6637:$E6637,$K6637)=0,"",IF(AND($B6637&lt;&gt;"",$C6637&lt;&gt;"",$D6637&lt;&gt;"",$E6637&lt;&gt;""),"TXS"&amp;TEXT(COUNTIFS($B$2:$B6637,"&lt;&gt;",$C$2:$C6637,"&lt;&gt;",$D$2:$D6637,"&lt;&gt;",$E$2:$E6637,"&lt;&gt;"),"00000"),""))</f>
        <v/>
      </c>
      <c r="N6637" s="22"/>
    </row>
    <row r="6638" spans="1:14" x14ac:dyDescent="0.3">
      <c r="A6638" s="15" t="str">
        <f>IF(COUNTA($B6638:$E6638,$K6638)=0,"",IF(AND($B6638&lt;&gt;"",$C6638&lt;&gt;"",$D6638&lt;&gt;"",$E6638&lt;&gt;""),"TXS"&amp;TEXT(COUNTIFS($B$2:$B6638,"&lt;&gt;",$C$2:$C6638,"&lt;&gt;",$D$2:$D6638,"&lt;&gt;",$E$2:$E6638,"&lt;&gt;"),"00000"),""))</f>
        <v/>
      </c>
      <c r="N6638" s="22"/>
    </row>
    <row r="6639" spans="1:14" x14ac:dyDescent="0.3">
      <c r="A6639" s="15" t="str">
        <f>IF(COUNTA($B6639:$E6639,$K6639)=0,"",IF(AND($B6639&lt;&gt;"",$C6639&lt;&gt;"",$D6639&lt;&gt;"",$E6639&lt;&gt;""),"TXS"&amp;TEXT(COUNTIFS($B$2:$B6639,"&lt;&gt;",$C$2:$C6639,"&lt;&gt;",$D$2:$D6639,"&lt;&gt;",$E$2:$E6639,"&lt;&gt;"),"00000"),""))</f>
        <v/>
      </c>
      <c r="N6639" s="22"/>
    </row>
    <row r="6640" spans="1:14" x14ac:dyDescent="0.3">
      <c r="A6640" s="15" t="str">
        <f>IF(COUNTA($B6640:$E6640,$K6640)=0,"",IF(AND($B6640&lt;&gt;"",$C6640&lt;&gt;"",$D6640&lt;&gt;"",$E6640&lt;&gt;""),"TXS"&amp;TEXT(COUNTIFS($B$2:$B6640,"&lt;&gt;",$C$2:$C6640,"&lt;&gt;",$D$2:$D6640,"&lt;&gt;",$E$2:$E6640,"&lt;&gt;"),"00000"),""))</f>
        <v/>
      </c>
      <c r="N6640" s="22"/>
    </row>
    <row r="6641" spans="1:14" x14ac:dyDescent="0.3">
      <c r="A6641" s="15" t="str">
        <f>IF(COUNTA($B6641:$E6641,$K6641)=0,"",IF(AND($B6641&lt;&gt;"",$C6641&lt;&gt;"",$D6641&lt;&gt;"",$E6641&lt;&gt;""),"TXS"&amp;TEXT(COUNTIFS($B$2:$B6641,"&lt;&gt;",$C$2:$C6641,"&lt;&gt;",$D$2:$D6641,"&lt;&gt;",$E$2:$E6641,"&lt;&gt;"),"00000"),""))</f>
        <v/>
      </c>
      <c r="N6641" s="22"/>
    </row>
    <row r="6642" spans="1:14" x14ac:dyDescent="0.3">
      <c r="A6642" s="15" t="str">
        <f>IF(COUNTA($B6642:$E6642,$K6642)=0,"",IF(AND($B6642&lt;&gt;"",$C6642&lt;&gt;"",$D6642&lt;&gt;"",$E6642&lt;&gt;""),"TXS"&amp;TEXT(COUNTIFS($B$2:$B6642,"&lt;&gt;",$C$2:$C6642,"&lt;&gt;",$D$2:$D6642,"&lt;&gt;",$E$2:$E6642,"&lt;&gt;"),"00000"),""))</f>
        <v/>
      </c>
      <c r="N6642" s="22"/>
    </row>
    <row r="6643" spans="1:14" x14ac:dyDescent="0.3">
      <c r="A6643" s="15" t="str">
        <f>IF(COUNTA($B6643:$E6643,$K6643)=0,"",IF(AND($B6643&lt;&gt;"",$C6643&lt;&gt;"",$D6643&lt;&gt;"",$E6643&lt;&gt;""),"TXS"&amp;TEXT(COUNTIFS($B$2:$B6643,"&lt;&gt;",$C$2:$C6643,"&lt;&gt;",$D$2:$D6643,"&lt;&gt;",$E$2:$E6643,"&lt;&gt;"),"00000"),""))</f>
        <v/>
      </c>
      <c r="N6643" s="22"/>
    </row>
    <row r="6644" spans="1:14" x14ac:dyDescent="0.3">
      <c r="A6644" s="15" t="str">
        <f>IF(COUNTA($B6644:$E6644,$K6644)=0,"",IF(AND($B6644&lt;&gt;"",$C6644&lt;&gt;"",$D6644&lt;&gt;"",$E6644&lt;&gt;""),"TXS"&amp;TEXT(COUNTIFS($B$2:$B6644,"&lt;&gt;",$C$2:$C6644,"&lt;&gt;",$D$2:$D6644,"&lt;&gt;",$E$2:$E6644,"&lt;&gt;"),"00000"),""))</f>
        <v/>
      </c>
      <c r="N6644" s="22"/>
    </row>
    <row r="6645" spans="1:14" x14ac:dyDescent="0.3">
      <c r="A6645" s="15" t="str">
        <f>IF(COUNTA($B6645:$E6645,$K6645)=0,"",IF(AND($B6645&lt;&gt;"",$C6645&lt;&gt;"",$D6645&lt;&gt;"",$E6645&lt;&gt;""),"TXS"&amp;TEXT(COUNTIFS($B$2:$B6645,"&lt;&gt;",$C$2:$C6645,"&lt;&gt;",$D$2:$D6645,"&lt;&gt;",$E$2:$E6645,"&lt;&gt;"),"00000"),""))</f>
        <v/>
      </c>
      <c r="N6645" s="22"/>
    </row>
    <row r="6646" spans="1:14" x14ac:dyDescent="0.3">
      <c r="A6646" s="15" t="str">
        <f>IF(COUNTA($B6646:$E6646,$K6646)=0,"",IF(AND($B6646&lt;&gt;"",$C6646&lt;&gt;"",$D6646&lt;&gt;"",$E6646&lt;&gt;""),"TXS"&amp;TEXT(COUNTIFS($B$2:$B6646,"&lt;&gt;",$C$2:$C6646,"&lt;&gt;",$D$2:$D6646,"&lt;&gt;",$E$2:$E6646,"&lt;&gt;"),"00000"),""))</f>
        <v/>
      </c>
      <c r="N6646" s="22"/>
    </row>
    <row r="6647" spans="1:14" x14ac:dyDescent="0.3">
      <c r="A6647" s="15" t="str">
        <f>IF(COUNTA($B6647:$E6647,$K6647)=0,"",IF(AND($B6647&lt;&gt;"",$C6647&lt;&gt;"",$D6647&lt;&gt;"",$E6647&lt;&gt;""),"TXS"&amp;TEXT(COUNTIFS($B$2:$B6647,"&lt;&gt;",$C$2:$C6647,"&lt;&gt;",$D$2:$D6647,"&lt;&gt;",$E$2:$E6647,"&lt;&gt;"),"00000"),""))</f>
        <v/>
      </c>
      <c r="N6647" s="22"/>
    </row>
    <row r="6648" spans="1:14" x14ac:dyDescent="0.3">
      <c r="A6648" s="15" t="str">
        <f>IF(COUNTA($B6648:$E6648,$K6648)=0,"",IF(AND($B6648&lt;&gt;"",$C6648&lt;&gt;"",$D6648&lt;&gt;"",$E6648&lt;&gt;""),"TXS"&amp;TEXT(COUNTIFS($B$2:$B6648,"&lt;&gt;",$C$2:$C6648,"&lt;&gt;",$D$2:$D6648,"&lt;&gt;",$E$2:$E6648,"&lt;&gt;"),"00000"),""))</f>
        <v/>
      </c>
      <c r="N6648" s="22"/>
    </row>
    <row r="6649" spans="1:14" x14ac:dyDescent="0.3">
      <c r="A6649" s="15" t="str">
        <f>IF(COUNTA($B6649:$E6649,$K6649)=0,"",IF(AND($B6649&lt;&gt;"",$C6649&lt;&gt;"",$D6649&lt;&gt;"",$E6649&lt;&gt;""),"TXS"&amp;TEXT(COUNTIFS($B$2:$B6649,"&lt;&gt;",$C$2:$C6649,"&lt;&gt;",$D$2:$D6649,"&lt;&gt;",$E$2:$E6649,"&lt;&gt;"),"00000"),""))</f>
        <v/>
      </c>
      <c r="N6649" s="22"/>
    </row>
    <row r="6650" spans="1:14" x14ac:dyDescent="0.3">
      <c r="A6650" s="15" t="str">
        <f>IF(COUNTA($B6650:$E6650,$K6650)=0,"",IF(AND($B6650&lt;&gt;"",$C6650&lt;&gt;"",$D6650&lt;&gt;"",$E6650&lt;&gt;""),"TXS"&amp;TEXT(COUNTIFS($B$2:$B6650,"&lt;&gt;",$C$2:$C6650,"&lt;&gt;",$D$2:$D6650,"&lt;&gt;",$E$2:$E6650,"&lt;&gt;"),"00000"),""))</f>
        <v/>
      </c>
      <c r="N6650" s="22"/>
    </row>
    <row r="6651" spans="1:14" x14ac:dyDescent="0.3">
      <c r="A6651" s="15" t="str">
        <f>IF(COUNTA($B6651:$E6651,$K6651)=0,"",IF(AND($B6651&lt;&gt;"",$C6651&lt;&gt;"",$D6651&lt;&gt;"",$E6651&lt;&gt;""),"TXS"&amp;TEXT(COUNTIFS($B$2:$B6651,"&lt;&gt;",$C$2:$C6651,"&lt;&gt;",$D$2:$D6651,"&lt;&gt;",$E$2:$E6651,"&lt;&gt;"),"00000"),""))</f>
        <v/>
      </c>
      <c r="N6651" s="22"/>
    </row>
    <row r="6652" spans="1:14" x14ac:dyDescent="0.3">
      <c r="A6652" s="15" t="str">
        <f>IF(COUNTA($B6652:$E6652,$K6652)=0,"",IF(AND($B6652&lt;&gt;"",$C6652&lt;&gt;"",$D6652&lt;&gt;"",$E6652&lt;&gt;""),"TXS"&amp;TEXT(COUNTIFS($B$2:$B6652,"&lt;&gt;",$C$2:$C6652,"&lt;&gt;",$D$2:$D6652,"&lt;&gt;",$E$2:$E6652,"&lt;&gt;"),"00000"),""))</f>
        <v/>
      </c>
      <c r="N6652" s="22"/>
    </row>
    <row r="6653" spans="1:14" x14ac:dyDescent="0.3">
      <c r="A6653" s="15" t="str">
        <f>IF(COUNTA($B6653:$E6653,$K6653)=0,"",IF(AND($B6653&lt;&gt;"",$C6653&lt;&gt;"",$D6653&lt;&gt;"",$E6653&lt;&gt;""),"TXS"&amp;TEXT(COUNTIFS($B$2:$B6653,"&lt;&gt;",$C$2:$C6653,"&lt;&gt;",$D$2:$D6653,"&lt;&gt;",$E$2:$E6653,"&lt;&gt;"),"00000"),""))</f>
        <v/>
      </c>
      <c r="N6653" s="22"/>
    </row>
    <row r="6654" spans="1:14" x14ac:dyDescent="0.3">
      <c r="A6654" s="15" t="str">
        <f>IF(COUNTA($B6654:$E6654,$K6654)=0,"",IF(AND($B6654&lt;&gt;"",$C6654&lt;&gt;"",$D6654&lt;&gt;"",$E6654&lt;&gt;""),"TXS"&amp;TEXT(COUNTIFS($B$2:$B6654,"&lt;&gt;",$C$2:$C6654,"&lt;&gt;",$D$2:$D6654,"&lt;&gt;",$E$2:$E6654,"&lt;&gt;"),"00000"),""))</f>
        <v/>
      </c>
      <c r="N6654" s="22"/>
    </row>
    <row r="6655" spans="1:14" x14ac:dyDescent="0.3">
      <c r="A6655" s="15" t="str">
        <f>IF(COUNTA($B6655:$E6655,$K6655)=0,"",IF(AND($B6655&lt;&gt;"",$C6655&lt;&gt;"",$D6655&lt;&gt;"",$E6655&lt;&gt;""),"TXS"&amp;TEXT(COUNTIFS($B$2:$B6655,"&lt;&gt;",$C$2:$C6655,"&lt;&gt;",$D$2:$D6655,"&lt;&gt;",$E$2:$E6655,"&lt;&gt;"),"00000"),""))</f>
        <v/>
      </c>
      <c r="N6655" s="22"/>
    </row>
    <row r="6656" spans="1:14" x14ac:dyDescent="0.3">
      <c r="A6656" s="15" t="str">
        <f>IF(COUNTA($B6656:$E6656,$K6656)=0,"",IF(AND($B6656&lt;&gt;"",$C6656&lt;&gt;"",$D6656&lt;&gt;"",$E6656&lt;&gt;""),"TXS"&amp;TEXT(COUNTIFS($B$2:$B6656,"&lt;&gt;",$C$2:$C6656,"&lt;&gt;",$D$2:$D6656,"&lt;&gt;",$E$2:$E6656,"&lt;&gt;"),"00000"),""))</f>
        <v/>
      </c>
      <c r="N6656" s="22"/>
    </row>
    <row r="6657" spans="1:14" x14ac:dyDescent="0.3">
      <c r="A6657" s="15" t="str">
        <f>IF(COUNTA($B6657:$E6657,$K6657)=0,"",IF(AND($B6657&lt;&gt;"",$C6657&lt;&gt;"",$D6657&lt;&gt;"",$E6657&lt;&gt;""),"TXS"&amp;TEXT(COUNTIFS($B$2:$B6657,"&lt;&gt;",$C$2:$C6657,"&lt;&gt;",$D$2:$D6657,"&lt;&gt;",$E$2:$E6657,"&lt;&gt;"),"00000"),""))</f>
        <v/>
      </c>
      <c r="N6657" s="22"/>
    </row>
    <row r="6658" spans="1:14" x14ac:dyDescent="0.3">
      <c r="A6658" s="15" t="str">
        <f>IF(COUNTA($B6658:$E6658,$K6658)=0,"",IF(AND($B6658&lt;&gt;"",$C6658&lt;&gt;"",$D6658&lt;&gt;"",$E6658&lt;&gt;""),"TXS"&amp;TEXT(COUNTIFS($B$2:$B6658,"&lt;&gt;",$C$2:$C6658,"&lt;&gt;",$D$2:$D6658,"&lt;&gt;",$E$2:$E6658,"&lt;&gt;"),"00000"),""))</f>
        <v/>
      </c>
      <c r="N6658" s="22"/>
    </row>
    <row r="6659" spans="1:14" x14ac:dyDescent="0.3">
      <c r="A6659" s="15" t="str">
        <f>IF(COUNTA($B6659:$E6659,$K6659)=0,"",IF(AND($B6659&lt;&gt;"",$C6659&lt;&gt;"",$D6659&lt;&gt;"",$E6659&lt;&gt;""),"TXS"&amp;TEXT(COUNTIFS($B$2:$B6659,"&lt;&gt;",$C$2:$C6659,"&lt;&gt;",$D$2:$D6659,"&lt;&gt;",$E$2:$E6659,"&lt;&gt;"),"00000"),""))</f>
        <v/>
      </c>
      <c r="N6659" s="22"/>
    </row>
    <row r="6660" spans="1:14" x14ac:dyDescent="0.3">
      <c r="A6660" s="15" t="str">
        <f>IF(COUNTA($B6660:$E6660,$K6660)=0,"",IF(AND($B6660&lt;&gt;"",$C6660&lt;&gt;"",$D6660&lt;&gt;"",$E6660&lt;&gt;""),"TXS"&amp;TEXT(COUNTIFS($B$2:$B6660,"&lt;&gt;",$C$2:$C6660,"&lt;&gt;",$D$2:$D6660,"&lt;&gt;",$E$2:$E6660,"&lt;&gt;"),"00000"),""))</f>
        <v/>
      </c>
      <c r="N6660" s="22"/>
    </row>
    <row r="6661" spans="1:14" x14ac:dyDescent="0.3">
      <c r="A6661" s="15" t="str">
        <f>IF(COUNTA($B6661:$E6661,$K6661)=0,"",IF(AND($B6661&lt;&gt;"",$C6661&lt;&gt;"",$D6661&lt;&gt;"",$E6661&lt;&gt;""),"TXS"&amp;TEXT(COUNTIFS($B$2:$B6661,"&lt;&gt;",$C$2:$C6661,"&lt;&gt;",$D$2:$D6661,"&lt;&gt;",$E$2:$E6661,"&lt;&gt;"),"00000"),""))</f>
        <v/>
      </c>
      <c r="N6661" s="22"/>
    </row>
    <row r="6662" spans="1:14" x14ac:dyDescent="0.3">
      <c r="A6662" s="15" t="str">
        <f>IF(COUNTA($B6662:$E6662,$K6662)=0,"",IF(AND($B6662&lt;&gt;"",$C6662&lt;&gt;"",$D6662&lt;&gt;"",$E6662&lt;&gt;""),"TXS"&amp;TEXT(COUNTIFS($B$2:$B6662,"&lt;&gt;",$C$2:$C6662,"&lt;&gt;",$D$2:$D6662,"&lt;&gt;",$E$2:$E6662,"&lt;&gt;"),"00000"),""))</f>
        <v/>
      </c>
      <c r="N6662" s="22"/>
    </row>
    <row r="6663" spans="1:14" x14ac:dyDescent="0.3">
      <c r="A6663" s="15" t="str">
        <f>IF(COUNTA($B6663:$E6663,$K6663)=0,"",IF(AND($B6663&lt;&gt;"",$C6663&lt;&gt;"",$D6663&lt;&gt;"",$E6663&lt;&gt;""),"TXS"&amp;TEXT(COUNTIFS($B$2:$B6663,"&lt;&gt;",$C$2:$C6663,"&lt;&gt;",$D$2:$D6663,"&lt;&gt;",$E$2:$E6663,"&lt;&gt;"),"00000"),""))</f>
        <v/>
      </c>
      <c r="N6663" s="22"/>
    </row>
    <row r="6664" spans="1:14" x14ac:dyDescent="0.3">
      <c r="A6664" s="15" t="str">
        <f>IF(COUNTA($B6664:$E6664,$K6664)=0,"",IF(AND($B6664&lt;&gt;"",$C6664&lt;&gt;"",$D6664&lt;&gt;"",$E6664&lt;&gt;""),"TXS"&amp;TEXT(COUNTIFS($B$2:$B6664,"&lt;&gt;",$C$2:$C6664,"&lt;&gt;",$D$2:$D6664,"&lt;&gt;",$E$2:$E6664,"&lt;&gt;"),"00000"),""))</f>
        <v/>
      </c>
      <c r="N6664" s="22"/>
    </row>
    <row r="6665" spans="1:14" x14ac:dyDescent="0.3">
      <c r="A6665" s="15" t="str">
        <f>IF(COUNTA($B6665:$E6665,$K6665)=0,"",IF(AND($B6665&lt;&gt;"",$C6665&lt;&gt;"",$D6665&lt;&gt;"",$E6665&lt;&gt;""),"TXS"&amp;TEXT(COUNTIFS($B$2:$B6665,"&lt;&gt;",$C$2:$C6665,"&lt;&gt;",$D$2:$D6665,"&lt;&gt;",$E$2:$E6665,"&lt;&gt;"),"00000"),""))</f>
        <v/>
      </c>
      <c r="N6665" s="22"/>
    </row>
    <row r="6666" spans="1:14" x14ac:dyDescent="0.3">
      <c r="A6666" s="15" t="str">
        <f>IF(COUNTA($B6666:$E6666,$K6666)=0,"",IF(AND($B6666&lt;&gt;"",$C6666&lt;&gt;"",$D6666&lt;&gt;"",$E6666&lt;&gt;""),"TXS"&amp;TEXT(COUNTIFS($B$2:$B6666,"&lt;&gt;",$C$2:$C6666,"&lt;&gt;",$D$2:$D6666,"&lt;&gt;",$E$2:$E6666,"&lt;&gt;"),"00000"),""))</f>
        <v/>
      </c>
      <c r="N6666" s="22"/>
    </row>
    <row r="6667" spans="1:14" x14ac:dyDescent="0.3">
      <c r="A6667" s="15" t="str">
        <f>IF(COUNTA($B6667:$E6667,$K6667)=0,"",IF(AND($B6667&lt;&gt;"",$C6667&lt;&gt;"",$D6667&lt;&gt;"",$E6667&lt;&gt;""),"TXS"&amp;TEXT(COUNTIFS($B$2:$B6667,"&lt;&gt;",$C$2:$C6667,"&lt;&gt;",$D$2:$D6667,"&lt;&gt;",$E$2:$E6667,"&lt;&gt;"),"00000"),""))</f>
        <v/>
      </c>
      <c r="N6667" s="22"/>
    </row>
    <row r="6668" spans="1:14" x14ac:dyDescent="0.3">
      <c r="A6668" s="15" t="str">
        <f>IF(COUNTA($B6668:$E6668,$K6668)=0,"",IF(AND($B6668&lt;&gt;"",$C6668&lt;&gt;"",$D6668&lt;&gt;"",$E6668&lt;&gt;""),"TXS"&amp;TEXT(COUNTIFS($B$2:$B6668,"&lt;&gt;",$C$2:$C6668,"&lt;&gt;",$D$2:$D6668,"&lt;&gt;",$E$2:$E6668,"&lt;&gt;"),"00000"),""))</f>
        <v/>
      </c>
      <c r="N6668" s="22"/>
    </row>
    <row r="6669" spans="1:14" x14ac:dyDescent="0.3">
      <c r="A6669" s="15" t="str">
        <f>IF(COUNTA($B6669:$E6669,$K6669)=0,"",IF(AND($B6669&lt;&gt;"",$C6669&lt;&gt;"",$D6669&lt;&gt;"",$E6669&lt;&gt;""),"TXS"&amp;TEXT(COUNTIFS($B$2:$B6669,"&lt;&gt;",$C$2:$C6669,"&lt;&gt;",$D$2:$D6669,"&lt;&gt;",$E$2:$E6669,"&lt;&gt;"),"00000"),""))</f>
        <v/>
      </c>
      <c r="N6669" s="22"/>
    </row>
    <row r="6670" spans="1:14" x14ac:dyDescent="0.3">
      <c r="A6670" s="15" t="str">
        <f>IF(COUNTA($B6670:$E6670,$K6670)=0,"",IF(AND($B6670&lt;&gt;"",$C6670&lt;&gt;"",$D6670&lt;&gt;"",$E6670&lt;&gt;""),"TXS"&amp;TEXT(COUNTIFS($B$2:$B6670,"&lt;&gt;",$C$2:$C6670,"&lt;&gt;",$D$2:$D6670,"&lt;&gt;",$E$2:$E6670,"&lt;&gt;"),"00000"),""))</f>
        <v/>
      </c>
      <c r="N6670" s="22"/>
    </row>
    <row r="6671" spans="1:14" x14ac:dyDescent="0.3">
      <c r="A6671" s="15" t="str">
        <f>IF(COUNTA($B6671:$E6671,$K6671)=0,"",IF(AND($B6671&lt;&gt;"",$C6671&lt;&gt;"",$D6671&lt;&gt;"",$E6671&lt;&gt;""),"TXS"&amp;TEXT(COUNTIFS($B$2:$B6671,"&lt;&gt;",$C$2:$C6671,"&lt;&gt;",$D$2:$D6671,"&lt;&gt;",$E$2:$E6671,"&lt;&gt;"),"00000"),""))</f>
        <v/>
      </c>
      <c r="N6671" s="22"/>
    </row>
    <row r="6672" spans="1:14" x14ac:dyDescent="0.3">
      <c r="A6672" s="15" t="str">
        <f>IF(COUNTA($B6672:$E6672,$K6672)=0,"",IF(AND($B6672&lt;&gt;"",$C6672&lt;&gt;"",$D6672&lt;&gt;"",$E6672&lt;&gt;""),"TXS"&amp;TEXT(COUNTIFS($B$2:$B6672,"&lt;&gt;",$C$2:$C6672,"&lt;&gt;",$D$2:$D6672,"&lt;&gt;",$E$2:$E6672,"&lt;&gt;"),"00000"),""))</f>
        <v/>
      </c>
      <c r="N6672" s="22"/>
    </row>
    <row r="6673" spans="1:14" x14ac:dyDescent="0.3">
      <c r="A6673" s="15" t="str">
        <f>IF(COUNTA($B6673:$E6673,$K6673)=0,"",IF(AND($B6673&lt;&gt;"",$C6673&lt;&gt;"",$D6673&lt;&gt;"",$E6673&lt;&gt;""),"TXS"&amp;TEXT(COUNTIFS($B$2:$B6673,"&lt;&gt;",$C$2:$C6673,"&lt;&gt;",$D$2:$D6673,"&lt;&gt;",$E$2:$E6673,"&lt;&gt;"),"00000"),""))</f>
        <v/>
      </c>
      <c r="N6673" s="22"/>
    </row>
    <row r="6674" spans="1:14" x14ac:dyDescent="0.3">
      <c r="A6674" s="15" t="str">
        <f>IF(COUNTA($B6674:$E6674,$K6674)=0,"",IF(AND($B6674&lt;&gt;"",$C6674&lt;&gt;"",$D6674&lt;&gt;"",$E6674&lt;&gt;""),"TXS"&amp;TEXT(COUNTIFS($B$2:$B6674,"&lt;&gt;",$C$2:$C6674,"&lt;&gt;",$D$2:$D6674,"&lt;&gt;",$E$2:$E6674,"&lt;&gt;"),"00000"),""))</f>
        <v/>
      </c>
      <c r="N6674" s="22"/>
    </row>
    <row r="6675" spans="1:14" x14ac:dyDescent="0.3">
      <c r="A6675" s="15" t="str">
        <f>IF(COUNTA($B6675:$E6675,$K6675)=0,"",IF(AND($B6675&lt;&gt;"",$C6675&lt;&gt;"",$D6675&lt;&gt;"",$E6675&lt;&gt;""),"TXS"&amp;TEXT(COUNTIFS($B$2:$B6675,"&lt;&gt;",$C$2:$C6675,"&lt;&gt;",$D$2:$D6675,"&lt;&gt;",$E$2:$E6675,"&lt;&gt;"),"00000"),""))</f>
        <v/>
      </c>
      <c r="N6675" s="22"/>
    </row>
    <row r="6676" spans="1:14" x14ac:dyDescent="0.3">
      <c r="A6676" s="15" t="str">
        <f>IF(COUNTA($B6676:$E6676,$K6676)=0,"",IF(AND($B6676&lt;&gt;"",$C6676&lt;&gt;"",$D6676&lt;&gt;"",$E6676&lt;&gt;""),"TXS"&amp;TEXT(COUNTIFS($B$2:$B6676,"&lt;&gt;",$C$2:$C6676,"&lt;&gt;",$D$2:$D6676,"&lt;&gt;",$E$2:$E6676,"&lt;&gt;"),"00000"),""))</f>
        <v/>
      </c>
      <c r="N6676" s="22"/>
    </row>
    <row r="6677" spans="1:14" x14ac:dyDescent="0.3">
      <c r="A6677" s="15" t="str">
        <f>IF(COUNTA($B6677:$E6677,$K6677)=0,"",IF(AND($B6677&lt;&gt;"",$C6677&lt;&gt;"",$D6677&lt;&gt;"",$E6677&lt;&gt;""),"TXS"&amp;TEXT(COUNTIFS($B$2:$B6677,"&lt;&gt;",$C$2:$C6677,"&lt;&gt;",$D$2:$D6677,"&lt;&gt;",$E$2:$E6677,"&lt;&gt;"),"00000"),""))</f>
        <v/>
      </c>
      <c r="N6677" s="22"/>
    </row>
    <row r="6678" spans="1:14" x14ac:dyDescent="0.3">
      <c r="A6678" s="15" t="str">
        <f>IF(COUNTA($B6678:$E6678,$K6678)=0,"",IF(AND($B6678&lt;&gt;"",$C6678&lt;&gt;"",$D6678&lt;&gt;"",$E6678&lt;&gt;""),"TXS"&amp;TEXT(COUNTIFS($B$2:$B6678,"&lt;&gt;",$C$2:$C6678,"&lt;&gt;",$D$2:$D6678,"&lt;&gt;",$E$2:$E6678,"&lt;&gt;"),"00000"),""))</f>
        <v/>
      </c>
      <c r="N6678" s="22"/>
    </row>
    <row r="6679" spans="1:14" x14ac:dyDescent="0.3">
      <c r="A6679" s="15" t="str">
        <f>IF(COUNTA($B6679:$E6679,$K6679)=0,"",IF(AND($B6679&lt;&gt;"",$C6679&lt;&gt;"",$D6679&lt;&gt;"",$E6679&lt;&gt;""),"TXS"&amp;TEXT(COUNTIFS($B$2:$B6679,"&lt;&gt;",$C$2:$C6679,"&lt;&gt;",$D$2:$D6679,"&lt;&gt;",$E$2:$E6679,"&lt;&gt;"),"00000"),""))</f>
        <v/>
      </c>
      <c r="N6679" s="22"/>
    </row>
    <row r="6680" spans="1:14" x14ac:dyDescent="0.3">
      <c r="A6680" s="15" t="str">
        <f>IF(COUNTA($B6680:$E6680,$K6680)=0,"",IF(AND($B6680&lt;&gt;"",$C6680&lt;&gt;"",$D6680&lt;&gt;"",$E6680&lt;&gt;""),"TXS"&amp;TEXT(COUNTIFS($B$2:$B6680,"&lt;&gt;",$C$2:$C6680,"&lt;&gt;",$D$2:$D6680,"&lt;&gt;",$E$2:$E6680,"&lt;&gt;"),"00000"),""))</f>
        <v/>
      </c>
      <c r="N6680" s="22"/>
    </row>
    <row r="6681" spans="1:14" x14ac:dyDescent="0.3">
      <c r="A6681" s="15" t="str">
        <f>IF(COUNTA($B6681:$E6681,$K6681)=0,"",IF(AND($B6681&lt;&gt;"",$C6681&lt;&gt;"",$D6681&lt;&gt;"",$E6681&lt;&gt;""),"TXS"&amp;TEXT(COUNTIFS($B$2:$B6681,"&lt;&gt;",$C$2:$C6681,"&lt;&gt;",$D$2:$D6681,"&lt;&gt;",$E$2:$E6681,"&lt;&gt;"),"00000"),""))</f>
        <v/>
      </c>
      <c r="N6681" s="22"/>
    </row>
    <row r="6682" spans="1:14" x14ac:dyDescent="0.3">
      <c r="A6682" s="15" t="str">
        <f>IF(COUNTA($B6682:$E6682,$K6682)=0,"",IF(AND($B6682&lt;&gt;"",$C6682&lt;&gt;"",$D6682&lt;&gt;"",$E6682&lt;&gt;""),"TXS"&amp;TEXT(COUNTIFS($B$2:$B6682,"&lt;&gt;",$C$2:$C6682,"&lt;&gt;",$D$2:$D6682,"&lt;&gt;",$E$2:$E6682,"&lt;&gt;"),"00000"),""))</f>
        <v/>
      </c>
      <c r="N6682" s="22"/>
    </row>
    <row r="6683" spans="1:14" x14ac:dyDescent="0.3">
      <c r="A6683" s="15" t="str">
        <f>IF(COUNTA($B6683:$E6683,$K6683)=0,"",IF(AND($B6683&lt;&gt;"",$C6683&lt;&gt;"",$D6683&lt;&gt;"",$E6683&lt;&gt;""),"TXS"&amp;TEXT(COUNTIFS($B$2:$B6683,"&lt;&gt;",$C$2:$C6683,"&lt;&gt;",$D$2:$D6683,"&lt;&gt;",$E$2:$E6683,"&lt;&gt;"),"00000"),""))</f>
        <v/>
      </c>
      <c r="N6683" s="22"/>
    </row>
    <row r="6684" spans="1:14" x14ac:dyDescent="0.3">
      <c r="A6684" s="15" t="str">
        <f>IF(COUNTA($B6684:$E6684,$K6684)=0,"",IF(AND($B6684&lt;&gt;"",$C6684&lt;&gt;"",$D6684&lt;&gt;"",$E6684&lt;&gt;""),"TXS"&amp;TEXT(COUNTIFS($B$2:$B6684,"&lt;&gt;",$C$2:$C6684,"&lt;&gt;",$D$2:$D6684,"&lt;&gt;",$E$2:$E6684,"&lt;&gt;"),"00000"),""))</f>
        <v/>
      </c>
      <c r="N6684" s="22"/>
    </row>
    <row r="6685" spans="1:14" x14ac:dyDescent="0.3">
      <c r="A6685" s="15" t="str">
        <f>IF(COUNTA($B6685:$E6685,$K6685)=0,"",IF(AND($B6685&lt;&gt;"",$C6685&lt;&gt;"",$D6685&lt;&gt;"",$E6685&lt;&gt;""),"TXS"&amp;TEXT(COUNTIFS($B$2:$B6685,"&lt;&gt;",$C$2:$C6685,"&lt;&gt;",$D$2:$D6685,"&lt;&gt;",$E$2:$E6685,"&lt;&gt;"),"00000"),""))</f>
        <v/>
      </c>
      <c r="N6685" s="22"/>
    </row>
    <row r="6686" spans="1:14" x14ac:dyDescent="0.3">
      <c r="A6686" s="15" t="str">
        <f>IF(COUNTA($B6686:$E6686,$K6686)=0,"",IF(AND($B6686&lt;&gt;"",$C6686&lt;&gt;"",$D6686&lt;&gt;"",$E6686&lt;&gt;""),"TXS"&amp;TEXT(COUNTIFS($B$2:$B6686,"&lt;&gt;",$C$2:$C6686,"&lt;&gt;",$D$2:$D6686,"&lt;&gt;",$E$2:$E6686,"&lt;&gt;"),"00000"),""))</f>
        <v/>
      </c>
      <c r="N6686" s="22"/>
    </row>
    <row r="6687" spans="1:14" x14ac:dyDescent="0.3">
      <c r="A6687" s="15" t="str">
        <f>IF(COUNTA($B6687:$E6687,$K6687)=0,"",IF(AND($B6687&lt;&gt;"",$C6687&lt;&gt;"",$D6687&lt;&gt;"",$E6687&lt;&gt;""),"TXS"&amp;TEXT(COUNTIFS($B$2:$B6687,"&lt;&gt;",$C$2:$C6687,"&lt;&gt;",$D$2:$D6687,"&lt;&gt;",$E$2:$E6687,"&lt;&gt;"),"00000"),""))</f>
        <v/>
      </c>
      <c r="N6687" s="22"/>
    </row>
    <row r="6688" spans="1:14" x14ac:dyDescent="0.3">
      <c r="A6688" s="15" t="str">
        <f>IF(COUNTA($B6688:$E6688,$K6688)=0,"",IF(AND($B6688&lt;&gt;"",$C6688&lt;&gt;"",$D6688&lt;&gt;"",$E6688&lt;&gt;""),"TXS"&amp;TEXT(COUNTIFS($B$2:$B6688,"&lt;&gt;",$C$2:$C6688,"&lt;&gt;",$D$2:$D6688,"&lt;&gt;",$E$2:$E6688,"&lt;&gt;"),"00000"),""))</f>
        <v/>
      </c>
      <c r="N6688" s="22"/>
    </row>
    <row r="6689" spans="1:14" x14ac:dyDescent="0.3">
      <c r="A6689" s="15" t="str">
        <f>IF(COUNTA($B6689:$E6689,$K6689)=0,"",IF(AND($B6689&lt;&gt;"",$C6689&lt;&gt;"",$D6689&lt;&gt;"",$E6689&lt;&gt;""),"TXS"&amp;TEXT(COUNTIFS($B$2:$B6689,"&lt;&gt;",$C$2:$C6689,"&lt;&gt;",$D$2:$D6689,"&lt;&gt;",$E$2:$E6689,"&lt;&gt;"),"00000"),""))</f>
        <v/>
      </c>
      <c r="N6689" s="22"/>
    </row>
    <row r="6690" spans="1:14" x14ac:dyDescent="0.3">
      <c r="A6690" s="15" t="str">
        <f>IF(COUNTA($B6690:$E6690,$K6690)=0,"",IF(AND($B6690&lt;&gt;"",$C6690&lt;&gt;"",$D6690&lt;&gt;"",$E6690&lt;&gt;""),"TXS"&amp;TEXT(COUNTIFS($B$2:$B6690,"&lt;&gt;",$C$2:$C6690,"&lt;&gt;",$D$2:$D6690,"&lt;&gt;",$E$2:$E6690,"&lt;&gt;"),"00000"),""))</f>
        <v/>
      </c>
      <c r="N6690" s="22"/>
    </row>
    <row r="6691" spans="1:14" x14ac:dyDescent="0.3">
      <c r="A6691" s="15" t="str">
        <f>IF(COUNTA($B6691:$E6691,$K6691)=0,"",IF(AND($B6691&lt;&gt;"",$C6691&lt;&gt;"",$D6691&lt;&gt;"",$E6691&lt;&gt;""),"TXS"&amp;TEXT(COUNTIFS($B$2:$B6691,"&lt;&gt;",$C$2:$C6691,"&lt;&gt;",$D$2:$D6691,"&lt;&gt;",$E$2:$E6691,"&lt;&gt;"),"00000"),""))</f>
        <v/>
      </c>
      <c r="N6691" s="22"/>
    </row>
    <row r="6692" spans="1:14" x14ac:dyDescent="0.3">
      <c r="A6692" s="15" t="str">
        <f>IF(COUNTA($B6692:$E6692,$K6692)=0,"",IF(AND($B6692&lt;&gt;"",$C6692&lt;&gt;"",$D6692&lt;&gt;"",$E6692&lt;&gt;""),"TXS"&amp;TEXT(COUNTIFS($B$2:$B6692,"&lt;&gt;",$C$2:$C6692,"&lt;&gt;",$D$2:$D6692,"&lt;&gt;",$E$2:$E6692,"&lt;&gt;"),"00000"),""))</f>
        <v/>
      </c>
      <c r="N6692" s="22"/>
    </row>
    <row r="6693" spans="1:14" x14ac:dyDescent="0.3">
      <c r="A6693" s="15" t="str">
        <f>IF(COUNTA($B6693:$E6693,$K6693)=0,"",IF(AND($B6693&lt;&gt;"",$C6693&lt;&gt;"",$D6693&lt;&gt;"",$E6693&lt;&gt;""),"TXS"&amp;TEXT(COUNTIFS($B$2:$B6693,"&lt;&gt;",$C$2:$C6693,"&lt;&gt;",$D$2:$D6693,"&lt;&gt;",$E$2:$E6693,"&lt;&gt;"),"00000"),""))</f>
        <v/>
      </c>
      <c r="N6693" s="22"/>
    </row>
    <row r="6694" spans="1:14" x14ac:dyDescent="0.3">
      <c r="A6694" s="15" t="str">
        <f>IF(COUNTA($B6694:$E6694,$K6694)=0,"",IF(AND($B6694&lt;&gt;"",$C6694&lt;&gt;"",$D6694&lt;&gt;"",$E6694&lt;&gt;""),"TXS"&amp;TEXT(COUNTIFS($B$2:$B6694,"&lt;&gt;",$C$2:$C6694,"&lt;&gt;",$D$2:$D6694,"&lt;&gt;",$E$2:$E6694,"&lt;&gt;"),"00000"),""))</f>
        <v/>
      </c>
      <c r="N6694" s="22"/>
    </row>
    <row r="6695" spans="1:14" x14ac:dyDescent="0.3">
      <c r="A6695" s="15" t="str">
        <f>IF(COUNTA($B6695:$E6695,$K6695)=0,"",IF(AND($B6695&lt;&gt;"",$C6695&lt;&gt;"",$D6695&lt;&gt;"",$E6695&lt;&gt;""),"TXS"&amp;TEXT(COUNTIFS($B$2:$B6695,"&lt;&gt;",$C$2:$C6695,"&lt;&gt;",$D$2:$D6695,"&lt;&gt;",$E$2:$E6695,"&lt;&gt;"),"00000"),""))</f>
        <v/>
      </c>
      <c r="N6695" s="22"/>
    </row>
    <row r="6696" spans="1:14" x14ac:dyDescent="0.3">
      <c r="A6696" s="15" t="str">
        <f>IF(COUNTA($B6696:$E6696,$K6696)=0,"",IF(AND($B6696&lt;&gt;"",$C6696&lt;&gt;"",$D6696&lt;&gt;"",$E6696&lt;&gt;""),"TXS"&amp;TEXT(COUNTIFS($B$2:$B6696,"&lt;&gt;",$C$2:$C6696,"&lt;&gt;",$D$2:$D6696,"&lt;&gt;",$E$2:$E6696,"&lt;&gt;"),"00000"),""))</f>
        <v/>
      </c>
      <c r="N6696" s="22"/>
    </row>
    <row r="6697" spans="1:14" x14ac:dyDescent="0.3">
      <c r="A6697" s="15" t="str">
        <f>IF(COUNTA($B6697:$E6697,$K6697)=0,"",IF(AND($B6697&lt;&gt;"",$C6697&lt;&gt;"",$D6697&lt;&gt;"",$E6697&lt;&gt;""),"TXS"&amp;TEXT(COUNTIFS($B$2:$B6697,"&lt;&gt;",$C$2:$C6697,"&lt;&gt;",$D$2:$D6697,"&lt;&gt;",$E$2:$E6697,"&lt;&gt;"),"00000"),""))</f>
        <v/>
      </c>
      <c r="N6697" s="22"/>
    </row>
    <row r="6698" spans="1:14" x14ac:dyDescent="0.3">
      <c r="A6698" s="15" t="str">
        <f>IF(COUNTA($B6698:$E6698,$K6698)=0,"",IF(AND($B6698&lt;&gt;"",$C6698&lt;&gt;"",$D6698&lt;&gt;"",$E6698&lt;&gt;""),"TXS"&amp;TEXT(COUNTIFS($B$2:$B6698,"&lt;&gt;",$C$2:$C6698,"&lt;&gt;",$D$2:$D6698,"&lt;&gt;",$E$2:$E6698,"&lt;&gt;"),"00000"),""))</f>
        <v/>
      </c>
      <c r="N6698" s="22"/>
    </row>
    <row r="6699" spans="1:14" x14ac:dyDescent="0.3">
      <c r="A6699" s="15" t="str">
        <f>IF(COUNTA($B6699:$E6699,$K6699)=0,"",IF(AND($B6699&lt;&gt;"",$C6699&lt;&gt;"",$D6699&lt;&gt;"",$E6699&lt;&gt;""),"TXS"&amp;TEXT(COUNTIFS($B$2:$B6699,"&lt;&gt;",$C$2:$C6699,"&lt;&gt;",$D$2:$D6699,"&lt;&gt;",$E$2:$E6699,"&lt;&gt;"),"00000"),""))</f>
        <v/>
      </c>
      <c r="N6699" s="22"/>
    </row>
    <row r="6700" spans="1:14" x14ac:dyDescent="0.3">
      <c r="A6700" s="15" t="str">
        <f>IF(COUNTA($B6700:$E6700,$K6700)=0,"",IF(AND($B6700&lt;&gt;"",$C6700&lt;&gt;"",$D6700&lt;&gt;"",$E6700&lt;&gt;""),"TXS"&amp;TEXT(COUNTIFS($B$2:$B6700,"&lt;&gt;",$C$2:$C6700,"&lt;&gt;",$D$2:$D6700,"&lt;&gt;",$E$2:$E6700,"&lt;&gt;"),"00000"),""))</f>
        <v/>
      </c>
      <c r="N6700" s="22"/>
    </row>
    <row r="6701" spans="1:14" x14ac:dyDescent="0.3">
      <c r="A6701" s="15" t="str">
        <f>IF(COUNTA($B6701:$E6701,$K6701)=0,"",IF(AND($B6701&lt;&gt;"",$C6701&lt;&gt;"",$D6701&lt;&gt;"",$E6701&lt;&gt;""),"TXS"&amp;TEXT(COUNTIFS($B$2:$B6701,"&lt;&gt;",$C$2:$C6701,"&lt;&gt;",$D$2:$D6701,"&lt;&gt;",$E$2:$E6701,"&lt;&gt;"),"00000"),""))</f>
        <v/>
      </c>
      <c r="N6701" s="22"/>
    </row>
    <row r="6702" spans="1:14" x14ac:dyDescent="0.3">
      <c r="A6702" s="15" t="str">
        <f>IF(COUNTA($B6702:$E6702,$K6702)=0,"",IF(AND($B6702&lt;&gt;"",$C6702&lt;&gt;"",$D6702&lt;&gt;"",$E6702&lt;&gt;""),"TXS"&amp;TEXT(COUNTIFS($B$2:$B6702,"&lt;&gt;",$C$2:$C6702,"&lt;&gt;",$D$2:$D6702,"&lt;&gt;",$E$2:$E6702,"&lt;&gt;"),"00000"),""))</f>
        <v/>
      </c>
      <c r="N6702" s="22"/>
    </row>
    <row r="6703" spans="1:14" x14ac:dyDescent="0.3">
      <c r="A6703" s="15" t="str">
        <f>IF(COUNTA($B6703:$E6703,$K6703)=0,"",IF(AND($B6703&lt;&gt;"",$C6703&lt;&gt;"",$D6703&lt;&gt;"",$E6703&lt;&gt;""),"TXS"&amp;TEXT(COUNTIFS($B$2:$B6703,"&lt;&gt;",$C$2:$C6703,"&lt;&gt;",$D$2:$D6703,"&lt;&gt;",$E$2:$E6703,"&lt;&gt;"),"00000"),""))</f>
        <v/>
      </c>
      <c r="N6703" s="22"/>
    </row>
    <row r="6704" spans="1:14" x14ac:dyDescent="0.3">
      <c r="A6704" s="15" t="str">
        <f>IF(COUNTA($B6704:$E6704,$K6704)=0,"",IF(AND($B6704&lt;&gt;"",$C6704&lt;&gt;"",$D6704&lt;&gt;"",$E6704&lt;&gt;""),"TXS"&amp;TEXT(COUNTIFS($B$2:$B6704,"&lt;&gt;",$C$2:$C6704,"&lt;&gt;",$D$2:$D6704,"&lt;&gt;",$E$2:$E6704,"&lt;&gt;"),"00000"),""))</f>
        <v/>
      </c>
      <c r="N6704" s="22"/>
    </row>
    <row r="6705" spans="1:14" x14ac:dyDescent="0.3">
      <c r="A6705" s="15" t="str">
        <f>IF(COUNTA($B6705:$E6705,$K6705)=0,"",IF(AND($B6705&lt;&gt;"",$C6705&lt;&gt;"",$D6705&lt;&gt;"",$E6705&lt;&gt;""),"TXS"&amp;TEXT(COUNTIFS($B$2:$B6705,"&lt;&gt;",$C$2:$C6705,"&lt;&gt;",$D$2:$D6705,"&lt;&gt;",$E$2:$E6705,"&lt;&gt;"),"00000"),""))</f>
        <v/>
      </c>
      <c r="N6705" s="22"/>
    </row>
    <row r="6706" spans="1:14" x14ac:dyDescent="0.3">
      <c r="A6706" s="15" t="str">
        <f>IF(COUNTA($B6706:$E6706,$K6706)=0,"",IF(AND($B6706&lt;&gt;"",$C6706&lt;&gt;"",$D6706&lt;&gt;"",$E6706&lt;&gt;""),"TXS"&amp;TEXT(COUNTIFS($B$2:$B6706,"&lt;&gt;",$C$2:$C6706,"&lt;&gt;",$D$2:$D6706,"&lt;&gt;",$E$2:$E6706,"&lt;&gt;"),"00000"),""))</f>
        <v/>
      </c>
      <c r="N6706" s="22"/>
    </row>
    <row r="6707" spans="1:14" x14ac:dyDescent="0.3">
      <c r="A6707" s="15" t="str">
        <f>IF(COUNTA($B6707:$E6707,$K6707)=0,"",IF(AND($B6707&lt;&gt;"",$C6707&lt;&gt;"",$D6707&lt;&gt;"",$E6707&lt;&gt;""),"TXS"&amp;TEXT(COUNTIFS($B$2:$B6707,"&lt;&gt;",$C$2:$C6707,"&lt;&gt;",$D$2:$D6707,"&lt;&gt;",$E$2:$E6707,"&lt;&gt;"),"00000"),""))</f>
        <v/>
      </c>
      <c r="N6707" s="22"/>
    </row>
    <row r="6708" spans="1:14" x14ac:dyDescent="0.3">
      <c r="A6708" s="15" t="str">
        <f>IF(COUNTA($B6708:$E6708,$K6708)=0,"",IF(AND($B6708&lt;&gt;"",$C6708&lt;&gt;"",$D6708&lt;&gt;"",$E6708&lt;&gt;""),"TXS"&amp;TEXT(COUNTIFS($B$2:$B6708,"&lt;&gt;",$C$2:$C6708,"&lt;&gt;",$D$2:$D6708,"&lt;&gt;",$E$2:$E6708,"&lt;&gt;"),"00000"),""))</f>
        <v/>
      </c>
      <c r="N6708" s="22"/>
    </row>
    <row r="6709" spans="1:14" x14ac:dyDescent="0.3">
      <c r="A6709" s="15" t="str">
        <f>IF(COUNTA($B6709:$E6709,$K6709)=0,"",IF(AND($B6709&lt;&gt;"",$C6709&lt;&gt;"",$D6709&lt;&gt;"",$E6709&lt;&gt;""),"TXS"&amp;TEXT(COUNTIFS($B$2:$B6709,"&lt;&gt;",$C$2:$C6709,"&lt;&gt;",$D$2:$D6709,"&lt;&gt;",$E$2:$E6709,"&lt;&gt;"),"00000"),""))</f>
        <v/>
      </c>
      <c r="N6709" s="22"/>
    </row>
    <row r="6710" spans="1:14" x14ac:dyDescent="0.3">
      <c r="A6710" s="15" t="str">
        <f>IF(COUNTA($B6710:$E6710,$K6710)=0,"",IF(AND($B6710&lt;&gt;"",$C6710&lt;&gt;"",$D6710&lt;&gt;"",$E6710&lt;&gt;""),"TXS"&amp;TEXT(COUNTIFS($B$2:$B6710,"&lt;&gt;",$C$2:$C6710,"&lt;&gt;",$D$2:$D6710,"&lt;&gt;",$E$2:$E6710,"&lt;&gt;"),"00000"),""))</f>
        <v/>
      </c>
      <c r="N6710" s="22"/>
    </row>
    <row r="6711" spans="1:14" x14ac:dyDescent="0.3">
      <c r="A6711" s="15" t="str">
        <f>IF(COUNTA($B6711:$E6711,$K6711)=0,"",IF(AND($B6711&lt;&gt;"",$C6711&lt;&gt;"",$D6711&lt;&gt;"",$E6711&lt;&gt;""),"TXS"&amp;TEXT(COUNTIFS($B$2:$B6711,"&lt;&gt;",$C$2:$C6711,"&lt;&gt;",$D$2:$D6711,"&lt;&gt;",$E$2:$E6711,"&lt;&gt;"),"00000"),""))</f>
        <v/>
      </c>
      <c r="N6711" s="22"/>
    </row>
    <row r="6712" spans="1:14" x14ac:dyDescent="0.3">
      <c r="A6712" s="15" t="str">
        <f>IF(COUNTA($B6712:$E6712,$K6712)=0,"",IF(AND($B6712&lt;&gt;"",$C6712&lt;&gt;"",$D6712&lt;&gt;"",$E6712&lt;&gt;""),"TXS"&amp;TEXT(COUNTIFS($B$2:$B6712,"&lt;&gt;",$C$2:$C6712,"&lt;&gt;",$D$2:$D6712,"&lt;&gt;",$E$2:$E6712,"&lt;&gt;"),"00000"),""))</f>
        <v/>
      </c>
      <c r="N6712" s="22"/>
    </row>
    <row r="6713" spans="1:14" x14ac:dyDescent="0.3">
      <c r="A6713" s="15" t="str">
        <f>IF(COUNTA($B6713:$E6713,$K6713)=0,"",IF(AND($B6713&lt;&gt;"",$C6713&lt;&gt;"",$D6713&lt;&gt;"",$E6713&lt;&gt;""),"TXS"&amp;TEXT(COUNTIFS($B$2:$B6713,"&lt;&gt;",$C$2:$C6713,"&lt;&gt;",$D$2:$D6713,"&lt;&gt;",$E$2:$E6713,"&lt;&gt;"),"00000"),""))</f>
        <v/>
      </c>
      <c r="N6713" s="22"/>
    </row>
    <row r="6714" spans="1:14" x14ac:dyDescent="0.3">
      <c r="A6714" s="15" t="str">
        <f>IF(COUNTA($B6714:$E6714,$K6714)=0,"",IF(AND($B6714&lt;&gt;"",$C6714&lt;&gt;"",$D6714&lt;&gt;"",$E6714&lt;&gt;""),"TXS"&amp;TEXT(COUNTIFS($B$2:$B6714,"&lt;&gt;",$C$2:$C6714,"&lt;&gt;",$D$2:$D6714,"&lt;&gt;",$E$2:$E6714,"&lt;&gt;"),"00000"),""))</f>
        <v/>
      </c>
      <c r="N6714" s="22"/>
    </row>
    <row r="6715" spans="1:14" x14ac:dyDescent="0.3">
      <c r="A6715" s="15" t="str">
        <f>IF(COUNTA($B6715:$E6715,$K6715)=0,"",IF(AND($B6715&lt;&gt;"",$C6715&lt;&gt;"",$D6715&lt;&gt;"",$E6715&lt;&gt;""),"TXS"&amp;TEXT(COUNTIFS($B$2:$B6715,"&lt;&gt;",$C$2:$C6715,"&lt;&gt;",$D$2:$D6715,"&lt;&gt;",$E$2:$E6715,"&lt;&gt;"),"00000"),""))</f>
        <v/>
      </c>
      <c r="N6715" s="22"/>
    </row>
    <row r="6716" spans="1:14" x14ac:dyDescent="0.3">
      <c r="A6716" s="15" t="str">
        <f>IF(COUNTA($B6716:$E6716,$K6716)=0,"",IF(AND($B6716&lt;&gt;"",$C6716&lt;&gt;"",$D6716&lt;&gt;"",$E6716&lt;&gt;""),"TXS"&amp;TEXT(COUNTIFS($B$2:$B6716,"&lt;&gt;",$C$2:$C6716,"&lt;&gt;",$D$2:$D6716,"&lt;&gt;",$E$2:$E6716,"&lt;&gt;"),"00000"),""))</f>
        <v/>
      </c>
      <c r="N6716" s="22"/>
    </row>
    <row r="6717" spans="1:14" x14ac:dyDescent="0.3">
      <c r="A6717" s="15" t="str">
        <f>IF(COUNTA($B6717:$E6717,$K6717)=0,"",IF(AND($B6717&lt;&gt;"",$C6717&lt;&gt;"",$D6717&lt;&gt;"",$E6717&lt;&gt;""),"TXS"&amp;TEXT(COUNTIFS($B$2:$B6717,"&lt;&gt;",$C$2:$C6717,"&lt;&gt;",$D$2:$D6717,"&lt;&gt;",$E$2:$E6717,"&lt;&gt;"),"00000"),""))</f>
        <v/>
      </c>
      <c r="N6717" s="22"/>
    </row>
    <row r="6718" spans="1:14" x14ac:dyDescent="0.3">
      <c r="A6718" s="15" t="str">
        <f>IF(COUNTA($B6718:$E6718,$K6718)=0,"",IF(AND($B6718&lt;&gt;"",$C6718&lt;&gt;"",$D6718&lt;&gt;"",$E6718&lt;&gt;""),"TXS"&amp;TEXT(COUNTIFS($B$2:$B6718,"&lt;&gt;",$C$2:$C6718,"&lt;&gt;",$D$2:$D6718,"&lt;&gt;",$E$2:$E6718,"&lt;&gt;"),"00000"),""))</f>
        <v/>
      </c>
      <c r="N6718" s="22"/>
    </row>
    <row r="6719" spans="1:14" x14ac:dyDescent="0.3">
      <c r="A6719" s="15" t="str">
        <f>IF(COUNTA($B6719:$E6719,$K6719)=0,"",IF(AND($B6719&lt;&gt;"",$C6719&lt;&gt;"",$D6719&lt;&gt;"",$E6719&lt;&gt;""),"TXS"&amp;TEXT(COUNTIFS($B$2:$B6719,"&lt;&gt;",$C$2:$C6719,"&lt;&gt;",$D$2:$D6719,"&lt;&gt;",$E$2:$E6719,"&lt;&gt;"),"00000"),""))</f>
        <v/>
      </c>
      <c r="N6719" s="22"/>
    </row>
    <row r="6720" spans="1:14" x14ac:dyDescent="0.3">
      <c r="A6720" s="15" t="str">
        <f>IF(COUNTA($B6720:$E6720,$K6720)=0,"",IF(AND($B6720&lt;&gt;"",$C6720&lt;&gt;"",$D6720&lt;&gt;"",$E6720&lt;&gt;""),"TXS"&amp;TEXT(COUNTIFS($B$2:$B6720,"&lt;&gt;",$C$2:$C6720,"&lt;&gt;",$D$2:$D6720,"&lt;&gt;",$E$2:$E6720,"&lt;&gt;"),"00000"),""))</f>
        <v/>
      </c>
      <c r="N6720" s="22"/>
    </row>
    <row r="6721" spans="1:14" x14ac:dyDescent="0.3">
      <c r="A6721" s="15" t="str">
        <f>IF(COUNTA($B6721:$E6721,$K6721)=0,"",IF(AND($B6721&lt;&gt;"",$C6721&lt;&gt;"",$D6721&lt;&gt;"",$E6721&lt;&gt;""),"TXS"&amp;TEXT(COUNTIFS($B$2:$B6721,"&lt;&gt;",$C$2:$C6721,"&lt;&gt;",$D$2:$D6721,"&lt;&gt;",$E$2:$E6721,"&lt;&gt;"),"00000"),""))</f>
        <v/>
      </c>
      <c r="N6721" s="22"/>
    </row>
    <row r="6722" spans="1:14" x14ac:dyDescent="0.3">
      <c r="A6722" s="15" t="str">
        <f>IF(COUNTA($B6722:$E6722,$K6722)=0,"",IF(AND($B6722&lt;&gt;"",$C6722&lt;&gt;"",$D6722&lt;&gt;"",$E6722&lt;&gt;""),"TXS"&amp;TEXT(COUNTIFS($B$2:$B6722,"&lt;&gt;",$C$2:$C6722,"&lt;&gt;",$D$2:$D6722,"&lt;&gt;",$E$2:$E6722,"&lt;&gt;"),"00000"),""))</f>
        <v/>
      </c>
      <c r="N6722" s="22"/>
    </row>
    <row r="6723" spans="1:14" x14ac:dyDescent="0.3">
      <c r="A6723" s="15" t="str">
        <f>IF(COUNTA($B6723:$E6723,$K6723)=0,"",IF(AND($B6723&lt;&gt;"",$C6723&lt;&gt;"",$D6723&lt;&gt;"",$E6723&lt;&gt;""),"TXS"&amp;TEXT(COUNTIFS($B$2:$B6723,"&lt;&gt;",$C$2:$C6723,"&lt;&gt;",$D$2:$D6723,"&lt;&gt;",$E$2:$E6723,"&lt;&gt;"),"00000"),""))</f>
        <v/>
      </c>
      <c r="N6723" s="22"/>
    </row>
    <row r="6724" spans="1:14" x14ac:dyDescent="0.3">
      <c r="A6724" s="15" t="str">
        <f>IF(COUNTA($B6724:$E6724,$K6724)=0,"",IF(AND($B6724&lt;&gt;"",$C6724&lt;&gt;"",$D6724&lt;&gt;"",$E6724&lt;&gt;""),"TXS"&amp;TEXT(COUNTIFS($B$2:$B6724,"&lt;&gt;",$C$2:$C6724,"&lt;&gt;",$D$2:$D6724,"&lt;&gt;",$E$2:$E6724,"&lt;&gt;"),"00000"),""))</f>
        <v/>
      </c>
      <c r="N6724" s="22"/>
    </row>
    <row r="6725" spans="1:14" x14ac:dyDescent="0.3">
      <c r="A6725" s="15" t="str">
        <f>IF(COUNTA($B6725:$E6725,$K6725)=0,"",IF(AND($B6725&lt;&gt;"",$C6725&lt;&gt;"",$D6725&lt;&gt;"",$E6725&lt;&gt;""),"TXS"&amp;TEXT(COUNTIFS($B$2:$B6725,"&lt;&gt;",$C$2:$C6725,"&lt;&gt;",$D$2:$D6725,"&lt;&gt;",$E$2:$E6725,"&lt;&gt;"),"00000"),""))</f>
        <v/>
      </c>
      <c r="N6725" s="22"/>
    </row>
    <row r="6726" spans="1:14" x14ac:dyDescent="0.3">
      <c r="A6726" s="15" t="str">
        <f>IF(COUNTA($B6726:$E6726,$K6726)=0,"",IF(AND($B6726&lt;&gt;"",$C6726&lt;&gt;"",$D6726&lt;&gt;"",$E6726&lt;&gt;""),"TXS"&amp;TEXT(COUNTIFS($B$2:$B6726,"&lt;&gt;",$C$2:$C6726,"&lt;&gt;",$D$2:$D6726,"&lt;&gt;",$E$2:$E6726,"&lt;&gt;"),"00000"),""))</f>
        <v/>
      </c>
      <c r="N6726" s="22"/>
    </row>
    <row r="6727" spans="1:14" x14ac:dyDescent="0.3">
      <c r="A6727" s="15" t="str">
        <f>IF(COUNTA($B6727:$E6727,$K6727)=0,"",IF(AND($B6727&lt;&gt;"",$C6727&lt;&gt;"",$D6727&lt;&gt;"",$E6727&lt;&gt;""),"TXS"&amp;TEXT(COUNTIFS($B$2:$B6727,"&lt;&gt;",$C$2:$C6727,"&lt;&gt;",$D$2:$D6727,"&lt;&gt;",$E$2:$E6727,"&lt;&gt;"),"00000"),""))</f>
        <v/>
      </c>
      <c r="N6727" s="22"/>
    </row>
    <row r="6728" spans="1:14" x14ac:dyDescent="0.3">
      <c r="A6728" s="15" t="str">
        <f>IF(COUNTA($B6728:$E6728,$K6728)=0,"",IF(AND($B6728&lt;&gt;"",$C6728&lt;&gt;"",$D6728&lt;&gt;"",$E6728&lt;&gt;""),"TXS"&amp;TEXT(COUNTIFS($B$2:$B6728,"&lt;&gt;",$C$2:$C6728,"&lt;&gt;",$D$2:$D6728,"&lt;&gt;",$E$2:$E6728,"&lt;&gt;"),"00000"),""))</f>
        <v/>
      </c>
      <c r="N6728" s="22"/>
    </row>
    <row r="6729" spans="1:14" x14ac:dyDescent="0.3">
      <c r="A6729" s="15" t="str">
        <f>IF(COUNTA($B6729:$E6729,$K6729)=0,"",IF(AND($B6729&lt;&gt;"",$C6729&lt;&gt;"",$D6729&lt;&gt;"",$E6729&lt;&gt;""),"TXS"&amp;TEXT(COUNTIFS($B$2:$B6729,"&lt;&gt;",$C$2:$C6729,"&lt;&gt;",$D$2:$D6729,"&lt;&gt;",$E$2:$E6729,"&lt;&gt;"),"00000"),""))</f>
        <v/>
      </c>
      <c r="N6729" s="22"/>
    </row>
    <row r="6730" spans="1:14" x14ac:dyDescent="0.3">
      <c r="A6730" s="15" t="str">
        <f>IF(COUNTA($B6730:$E6730,$K6730)=0,"",IF(AND($B6730&lt;&gt;"",$C6730&lt;&gt;"",$D6730&lt;&gt;"",$E6730&lt;&gt;""),"TXS"&amp;TEXT(COUNTIFS($B$2:$B6730,"&lt;&gt;",$C$2:$C6730,"&lt;&gt;",$D$2:$D6730,"&lt;&gt;",$E$2:$E6730,"&lt;&gt;"),"00000"),""))</f>
        <v/>
      </c>
      <c r="N6730" s="22"/>
    </row>
    <row r="6731" spans="1:14" x14ac:dyDescent="0.3">
      <c r="A6731" s="15" t="str">
        <f>IF(COUNTA($B6731:$E6731,$K6731)=0,"",IF(AND($B6731&lt;&gt;"",$C6731&lt;&gt;"",$D6731&lt;&gt;"",$E6731&lt;&gt;""),"TXS"&amp;TEXT(COUNTIFS($B$2:$B6731,"&lt;&gt;",$C$2:$C6731,"&lt;&gt;",$D$2:$D6731,"&lt;&gt;",$E$2:$E6731,"&lt;&gt;"),"00000"),""))</f>
        <v/>
      </c>
      <c r="N6731" s="22"/>
    </row>
    <row r="6732" spans="1:14" x14ac:dyDescent="0.3">
      <c r="A6732" s="15" t="str">
        <f>IF(COUNTA($B6732:$E6732,$K6732)=0,"",IF(AND($B6732&lt;&gt;"",$C6732&lt;&gt;"",$D6732&lt;&gt;"",$E6732&lt;&gt;""),"TXS"&amp;TEXT(COUNTIFS($B$2:$B6732,"&lt;&gt;",$C$2:$C6732,"&lt;&gt;",$D$2:$D6732,"&lt;&gt;",$E$2:$E6732,"&lt;&gt;"),"00000"),""))</f>
        <v/>
      </c>
      <c r="N6732" s="22"/>
    </row>
    <row r="6733" spans="1:14" x14ac:dyDescent="0.3">
      <c r="A6733" s="15" t="str">
        <f>IF(COUNTA($B6733:$E6733,$K6733)=0,"",IF(AND($B6733&lt;&gt;"",$C6733&lt;&gt;"",$D6733&lt;&gt;"",$E6733&lt;&gt;""),"TXS"&amp;TEXT(COUNTIFS($B$2:$B6733,"&lt;&gt;",$C$2:$C6733,"&lt;&gt;",$D$2:$D6733,"&lt;&gt;",$E$2:$E6733,"&lt;&gt;"),"00000"),""))</f>
        <v/>
      </c>
      <c r="N6733" s="22"/>
    </row>
    <row r="6734" spans="1:14" x14ac:dyDescent="0.3">
      <c r="A6734" s="15" t="str">
        <f>IF(COUNTA($B6734:$E6734,$K6734)=0,"",IF(AND($B6734&lt;&gt;"",$C6734&lt;&gt;"",$D6734&lt;&gt;"",$E6734&lt;&gt;""),"TXS"&amp;TEXT(COUNTIFS($B$2:$B6734,"&lt;&gt;",$C$2:$C6734,"&lt;&gt;",$D$2:$D6734,"&lt;&gt;",$E$2:$E6734,"&lt;&gt;"),"00000"),""))</f>
        <v/>
      </c>
      <c r="N6734" s="22"/>
    </row>
    <row r="6735" spans="1:14" x14ac:dyDescent="0.3">
      <c r="A6735" s="15" t="str">
        <f>IF(COUNTA($B6735:$E6735,$K6735)=0,"",IF(AND($B6735&lt;&gt;"",$C6735&lt;&gt;"",$D6735&lt;&gt;"",$E6735&lt;&gt;""),"TXS"&amp;TEXT(COUNTIFS($B$2:$B6735,"&lt;&gt;",$C$2:$C6735,"&lt;&gt;",$D$2:$D6735,"&lt;&gt;",$E$2:$E6735,"&lt;&gt;"),"00000"),""))</f>
        <v/>
      </c>
      <c r="N6735" s="22"/>
    </row>
    <row r="6736" spans="1:14" x14ac:dyDescent="0.3">
      <c r="A6736" s="15" t="str">
        <f>IF(COUNTA($B6736:$E6736,$K6736)=0,"",IF(AND($B6736&lt;&gt;"",$C6736&lt;&gt;"",$D6736&lt;&gt;"",$E6736&lt;&gt;""),"TXS"&amp;TEXT(COUNTIFS($B$2:$B6736,"&lt;&gt;",$C$2:$C6736,"&lt;&gt;",$D$2:$D6736,"&lt;&gt;",$E$2:$E6736,"&lt;&gt;"),"00000"),""))</f>
        <v/>
      </c>
      <c r="N6736" s="22"/>
    </row>
    <row r="6737" spans="1:14" x14ac:dyDescent="0.3">
      <c r="A6737" s="15" t="str">
        <f>IF(COUNTA($B6737:$E6737,$K6737)=0,"",IF(AND($B6737&lt;&gt;"",$C6737&lt;&gt;"",$D6737&lt;&gt;"",$E6737&lt;&gt;""),"TXS"&amp;TEXT(COUNTIFS($B$2:$B6737,"&lt;&gt;",$C$2:$C6737,"&lt;&gt;",$D$2:$D6737,"&lt;&gt;",$E$2:$E6737,"&lt;&gt;"),"00000"),""))</f>
        <v/>
      </c>
      <c r="N6737" s="22"/>
    </row>
    <row r="6738" spans="1:14" x14ac:dyDescent="0.3">
      <c r="A6738" s="15" t="str">
        <f>IF(COUNTA($B6738:$E6738,$K6738)=0,"",IF(AND($B6738&lt;&gt;"",$C6738&lt;&gt;"",$D6738&lt;&gt;"",$E6738&lt;&gt;""),"TXS"&amp;TEXT(COUNTIFS($B$2:$B6738,"&lt;&gt;",$C$2:$C6738,"&lt;&gt;",$D$2:$D6738,"&lt;&gt;",$E$2:$E6738,"&lt;&gt;"),"00000"),""))</f>
        <v/>
      </c>
      <c r="N6738" s="22"/>
    </row>
    <row r="6739" spans="1:14" x14ac:dyDescent="0.3">
      <c r="A6739" s="15" t="str">
        <f>IF(COUNTA($B6739:$E6739,$K6739)=0,"",IF(AND($B6739&lt;&gt;"",$C6739&lt;&gt;"",$D6739&lt;&gt;"",$E6739&lt;&gt;""),"TXS"&amp;TEXT(COUNTIFS($B$2:$B6739,"&lt;&gt;",$C$2:$C6739,"&lt;&gt;",$D$2:$D6739,"&lt;&gt;",$E$2:$E6739,"&lt;&gt;"),"00000"),""))</f>
        <v/>
      </c>
      <c r="N6739" s="22"/>
    </row>
    <row r="6740" spans="1:14" x14ac:dyDescent="0.3">
      <c r="A6740" s="15" t="str">
        <f>IF(COUNTA($B6740:$E6740,$K6740)=0,"",IF(AND($B6740&lt;&gt;"",$C6740&lt;&gt;"",$D6740&lt;&gt;"",$E6740&lt;&gt;""),"TXS"&amp;TEXT(COUNTIFS($B$2:$B6740,"&lt;&gt;",$C$2:$C6740,"&lt;&gt;",$D$2:$D6740,"&lt;&gt;",$E$2:$E6740,"&lt;&gt;"),"00000"),""))</f>
        <v/>
      </c>
      <c r="N6740" s="22"/>
    </row>
    <row r="6741" spans="1:14" x14ac:dyDescent="0.3">
      <c r="A6741" s="15" t="str">
        <f>IF(COUNTA($B6741:$E6741,$K6741)=0,"",IF(AND($B6741&lt;&gt;"",$C6741&lt;&gt;"",$D6741&lt;&gt;"",$E6741&lt;&gt;""),"TXS"&amp;TEXT(COUNTIFS($B$2:$B6741,"&lt;&gt;",$C$2:$C6741,"&lt;&gt;",$D$2:$D6741,"&lt;&gt;",$E$2:$E6741,"&lt;&gt;"),"00000"),""))</f>
        <v/>
      </c>
      <c r="N6741" s="22"/>
    </row>
    <row r="6742" spans="1:14" x14ac:dyDescent="0.3">
      <c r="A6742" s="15" t="str">
        <f>IF(COUNTA($B6742:$E6742,$K6742)=0,"",IF(AND($B6742&lt;&gt;"",$C6742&lt;&gt;"",$D6742&lt;&gt;"",$E6742&lt;&gt;""),"TXS"&amp;TEXT(COUNTIFS($B$2:$B6742,"&lt;&gt;",$C$2:$C6742,"&lt;&gt;",$D$2:$D6742,"&lt;&gt;",$E$2:$E6742,"&lt;&gt;"),"00000"),""))</f>
        <v/>
      </c>
      <c r="N6742" s="22"/>
    </row>
    <row r="6743" spans="1:14" x14ac:dyDescent="0.3">
      <c r="A6743" s="15" t="str">
        <f>IF(COUNTA($B6743:$E6743,$K6743)=0,"",IF(AND($B6743&lt;&gt;"",$C6743&lt;&gt;"",$D6743&lt;&gt;"",$E6743&lt;&gt;""),"TXS"&amp;TEXT(COUNTIFS($B$2:$B6743,"&lt;&gt;",$C$2:$C6743,"&lt;&gt;",$D$2:$D6743,"&lt;&gt;",$E$2:$E6743,"&lt;&gt;"),"00000"),""))</f>
        <v/>
      </c>
      <c r="N6743" s="22"/>
    </row>
    <row r="6744" spans="1:14" x14ac:dyDescent="0.3">
      <c r="A6744" s="15" t="str">
        <f>IF(COUNTA($B6744:$E6744,$K6744)=0,"",IF(AND($B6744&lt;&gt;"",$C6744&lt;&gt;"",$D6744&lt;&gt;"",$E6744&lt;&gt;""),"TXS"&amp;TEXT(COUNTIFS($B$2:$B6744,"&lt;&gt;",$C$2:$C6744,"&lt;&gt;",$D$2:$D6744,"&lt;&gt;",$E$2:$E6744,"&lt;&gt;"),"00000"),""))</f>
        <v/>
      </c>
      <c r="N6744" s="22"/>
    </row>
    <row r="6745" spans="1:14" x14ac:dyDescent="0.3">
      <c r="A6745" s="15" t="str">
        <f>IF(COUNTA($B6745:$E6745,$K6745)=0,"",IF(AND($B6745&lt;&gt;"",$C6745&lt;&gt;"",$D6745&lt;&gt;"",$E6745&lt;&gt;""),"TXS"&amp;TEXT(COUNTIFS($B$2:$B6745,"&lt;&gt;",$C$2:$C6745,"&lt;&gt;",$D$2:$D6745,"&lt;&gt;",$E$2:$E6745,"&lt;&gt;"),"00000"),""))</f>
        <v/>
      </c>
      <c r="N6745" s="22"/>
    </row>
    <row r="6746" spans="1:14" x14ac:dyDescent="0.3">
      <c r="A6746" s="15" t="str">
        <f>IF(COUNTA($B6746:$E6746,$K6746)=0,"",IF(AND($B6746&lt;&gt;"",$C6746&lt;&gt;"",$D6746&lt;&gt;"",$E6746&lt;&gt;""),"TXS"&amp;TEXT(COUNTIFS($B$2:$B6746,"&lt;&gt;",$C$2:$C6746,"&lt;&gt;",$D$2:$D6746,"&lt;&gt;",$E$2:$E6746,"&lt;&gt;"),"00000"),""))</f>
        <v/>
      </c>
      <c r="N6746" s="22"/>
    </row>
    <row r="6747" spans="1:14" x14ac:dyDescent="0.3">
      <c r="A6747" s="15" t="str">
        <f>IF(COUNTA($B6747:$E6747,$K6747)=0,"",IF(AND($B6747&lt;&gt;"",$C6747&lt;&gt;"",$D6747&lt;&gt;"",$E6747&lt;&gt;""),"TXS"&amp;TEXT(COUNTIFS($B$2:$B6747,"&lt;&gt;",$C$2:$C6747,"&lt;&gt;",$D$2:$D6747,"&lt;&gt;",$E$2:$E6747,"&lt;&gt;"),"00000"),""))</f>
        <v/>
      </c>
      <c r="N6747" s="22"/>
    </row>
    <row r="6748" spans="1:14" x14ac:dyDescent="0.3">
      <c r="A6748" s="15" t="str">
        <f>IF(COUNTA($B6748:$E6748,$K6748)=0,"",IF(AND($B6748&lt;&gt;"",$C6748&lt;&gt;"",$D6748&lt;&gt;"",$E6748&lt;&gt;""),"TXS"&amp;TEXT(COUNTIFS($B$2:$B6748,"&lt;&gt;",$C$2:$C6748,"&lt;&gt;",$D$2:$D6748,"&lt;&gt;",$E$2:$E6748,"&lt;&gt;"),"00000"),""))</f>
        <v/>
      </c>
      <c r="N6748" s="22"/>
    </row>
    <row r="6749" spans="1:14" x14ac:dyDescent="0.3">
      <c r="A6749" s="15" t="str">
        <f>IF(COUNTA($B6749:$E6749,$K6749)=0,"",IF(AND($B6749&lt;&gt;"",$C6749&lt;&gt;"",$D6749&lt;&gt;"",$E6749&lt;&gt;""),"TXS"&amp;TEXT(COUNTIFS($B$2:$B6749,"&lt;&gt;",$C$2:$C6749,"&lt;&gt;",$D$2:$D6749,"&lt;&gt;",$E$2:$E6749,"&lt;&gt;"),"00000"),""))</f>
        <v/>
      </c>
      <c r="N6749" s="22"/>
    </row>
    <row r="6750" spans="1:14" x14ac:dyDescent="0.3">
      <c r="A6750" s="15" t="str">
        <f>IF(COUNTA($B6750:$E6750,$K6750)=0,"",IF(AND($B6750&lt;&gt;"",$C6750&lt;&gt;"",$D6750&lt;&gt;"",$E6750&lt;&gt;""),"TXS"&amp;TEXT(COUNTIFS($B$2:$B6750,"&lt;&gt;",$C$2:$C6750,"&lt;&gt;",$D$2:$D6750,"&lt;&gt;",$E$2:$E6750,"&lt;&gt;"),"00000"),""))</f>
        <v/>
      </c>
      <c r="N6750" s="22"/>
    </row>
    <row r="6751" spans="1:14" x14ac:dyDescent="0.3">
      <c r="A6751" s="15" t="str">
        <f>IF(COUNTA($B6751:$E6751,$K6751)=0,"",IF(AND($B6751&lt;&gt;"",$C6751&lt;&gt;"",$D6751&lt;&gt;"",$E6751&lt;&gt;""),"TXS"&amp;TEXT(COUNTIFS($B$2:$B6751,"&lt;&gt;",$C$2:$C6751,"&lt;&gt;",$D$2:$D6751,"&lt;&gt;",$E$2:$E6751,"&lt;&gt;"),"00000"),""))</f>
        <v/>
      </c>
      <c r="N6751" s="22"/>
    </row>
    <row r="6752" spans="1:14" x14ac:dyDescent="0.3">
      <c r="A6752" s="15" t="str">
        <f>IF(COUNTA($B6752:$E6752,$K6752)=0,"",IF(AND($B6752&lt;&gt;"",$C6752&lt;&gt;"",$D6752&lt;&gt;"",$E6752&lt;&gt;""),"TXS"&amp;TEXT(COUNTIFS($B$2:$B6752,"&lt;&gt;",$C$2:$C6752,"&lt;&gt;",$D$2:$D6752,"&lt;&gt;",$E$2:$E6752,"&lt;&gt;"),"00000"),""))</f>
        <v/>
      </c>
      <c r="N6752" s="22"/>
    </row>
    <row r="6753" spans="1:14" x14ac:dyDescent="0.3">
      <c r="A6753" s="15" t="str">
        <f>IF(COUNTA($B6753:$E6753,$K6753)=0,"",IF(AND($B6753&lt;&gt;"",$C6753&lt;&gt;"",$D6753&lt;&gt;"",$E6753&lt;&gt;""),"TXS"&amp;TEXT(COUNTIFS($B$2:$B6753,"&lt;&gt;",$C$2:$C6753,"&lt;&gt;",$D$2:$D6753,"&lt;&gt;",$E$2:$E6753,"&lt;&gt;"),"00000"),""))</f>
        <v/>
      </c>
      <c r="N6753" s="22"/>
    </row>
    <row r="6754" spans="1:14" x14ac:dyDescent="0.3">
      <c r="A6754" s="15" t="str">
        <f>IF(COUNTA($B6754:$E6754,$K6754)=0,"",IF(AND($B6754&lt;&gt;"",$C6754&lt;&gt;"",$D6754&lt;&gt;"",$E6754&lt;&gt;""),"TXS"&amp;TEXT(COUNTIFS($B$2:$B6754,"&lt;&gt;",$C$2:$C6754,"&lt;&gt;",$D$2:$D6754,"&lt;&gt;",$E$2:$E6754,"&lt;&gt;"),"00000"),""))</f>
        <v/>
      </c>
      <c r="N6754" s="22"/>
    </row>
    <row r="6755" spans="1:14" x14ac:dyDescent="0.3">
      <c r="A6755" s="15" t="str">
        <f>IF(COUNTA($B6755:$E6755,$K6755)=0,"",IF(AND($B6755&lt;&gt;"",$C6755&lt;&gt;"",$D6755&lt;&gt;"",$E6755&lt;&gt;""),"TXS"&amp;TEXT(COUNTIFS($B$2:$B6755,"&lt;&gt;",$C$2:$C6755,"&lt;&gt;",$D$2:$D6755,"&lt;&gt;",$E$2:$E6755,"&lt;&gt;"),"00000"),""))</f>
        <v/>
      </c>
      <c r="N6755" s="22"/>
    </row>
    <row r="6756" spans="1:14" x14ac:dyDescent="0.3">
      <c r="A6756" s="15" t="str">
        <f>IF(COUNTA($B6756:$E6756,$K6756)=0,"",IF(AND($B6756&lt;&gt;"",$C6756&lt;&gt;"",$D6756&lt;&gt;"",$E6756&lt;&gt;""),"TXS"&amp;TEXT(COUNTIFS($B$2:$B6756,"&lt;&gt;",$C$2:$C6756,"&lt;&gt;",$D$2:$D6756,"&lt;&gt;",$E$2:$E6756,"&lt;&gt;"),"00000"),""))</f>
        <v/>
      </c>
      <c r="N6756" s="22"/>
    </row>
    <row r="6757" spans="1:14" x14ac:dyDescent="0.3">
      <c r="A6757" s="15" t="str">
        <f>IF(COUNTA($B6757:$E6757,$K6757)=0,"",IF(AND($B6757&lt;&gt;"",$C6757&lt;&gt;"",$D6757&lt;&gt;"",$E6757&lt;&gt;""),"TXS"&amp;TEXT(COUNTIFS($B$2:$B6757,"&lt;&gt;",$C$2:$C6757,"&lt;&gt;",$D$2:$D6757,"&lt;&gt;",$E$2:$E6757,"&lt;&gt;"),"00000"),""))</f>
        <v/>
      </c>
      <c r="N6757" s="22"/>
    </row>
    <row r="6758" spans="1:14" x14ac:dyDescent="0.3">
      <c r="A6758" s="15" t="str">
        <f>IF(COUNTA($B6758:$E6758,$K6758)=0,"",IF(AND($B6758&lt;&gt;"",$C6758&lt;&gt;"",$D6758&lt;&gt;"",$E6758&lt;&gt;""),"TXS"&amp;TEXT(COUNTIFS($B$2:$B6758,"&lt;&gt;",$C$2:$C6758,"&lt;&gt;",$D$2:$D6758,"&lt;&gt;",$E$2:$E6758,"&lt;&gt;"),"00000"),""))</f>
        <v/>
      </c>
      <c r="N6758" s="22"/>
    </row>
    <row r="6759" spans="1:14" x14ac:dyDescent="0.3">
      <c r="A6759" s="15" t="str">
        <f>IF(COUNTA($B6759:$E6759,$K6759)=0,"",IF(AND($B6759&lt;&gt;"",$C6759&lt;&gt;"",$D6759&lt;&gt;"",$E6759&lt;&gt;""),"TXS"&amp;TEXT(COUNTIFS($B$2:$B6759,"&lt;&gt;",$C$2:$C6759,"&lt;&gt;",$D$2:$D6759,"&lt;&gt;",$E$2:$E6759,"&lt;&gt;"),"00000"),""))</f>
        <v/>
      </c>
      <c r="N6759" s="22"/>
    </row>
    <row r="6760" spans="1:14" x14ac:dyDescent="0.3">
      <c r="A6760" s="15" t="str">
        <f>IF(COUNTA($B6760:$E6760,$K6760)=0,"",IF(AND($B6760&lt;&gt;"",$C6760&lt;&gt;"",$D6760&lt;&gt;"",$E6760&lt;&gt;""),"TXS"&amp;TEXT(COUNTIFS($B$2:$B6760,"&lt;&gt;",$C$2:$C6760,"&lt;&gt;",$D$2:$D6760,"&lt;&gt;",$E$2:$E6760,"&lt;&gt;"),"00000"),""))</f>
        <v/>
      </c>
      <c r="N6760" s="22"/>
    </row>
    <row r="6761" spans="1:14" x14ac:dyDescent="0.3">
      <c r="A6761" s="15" t="str">
        <f>IF(COUNTA($B6761:$E6761,$K6761)=0,"",IF(AND($B6761&lt;&gt;"",$C6761&lt;&gt;"",$D6761&lt;&gt;"",$E6761&lt;&gt;""),"TXS"&amp;TEXT(COUNTIFS($B$2:$B6761,"&lt;&gt;",$C$2:$C6761,"&lt;&gt;",$D$2:$D6761,"&lt;&gt;",$E$2:$E6761,"&lt;&gt;"),"00000"),""))</f>
        <v/>
      </c>
      <c r="N6761" s="22"/>
    </row>
    <row r="6762" spans="1:14" x14ac:dyDescent="0.3">
      <c r="A6762" s="15" t="str">
        <f>IF(COUNTA($B6762:$E6762,$K6762)=0,"",IF(AND($B6762&lt;&gt;"",$C6762&lt;&gt;"",$D6762&lt;&gt;"",$E6762&lt;&gt;""),"TXS"&amp;TEXT(COUNTIFS($B$2:$B6762,"&lt;&gt;",$C$2:$C6762,"&lt;&gt;",$D$2:$D6762,"&lt;&gt;",$E$2:$E6762,"&lt;&gt;"),"00000"),""))</f>
        <v/>
      </c>
      <c r="N6762" s="22"/>
    </row>
    <row r="6763" spans="1:14" x14ac:dyDescent="0.3">
      <c r="A6763" s="15" t="str">
        <f>IF(COUNTA($B6763:$E6763,$K6763)=0,"",IF(AND($B6763&lt;&gt;"",$C6763&lt;&gt;"",$D6763&lt;&gt;"",$E6763&lt;&gt;""),"TXS"&amp;TEXT(COUNTIFS($B$2:$B6763,"&lt;&gt;",$C$2:$C6763,"&lt;&gt;",$D$2:$D6763,"&lt;&gt;",$E$2:$E6763,"&lt;&gt;"),"00000"),""))</f>
        <v/>
      </c>
      <c r="N6763" s="22"/>
    </row>
    <row r="6764" spans="1:14" x14ac:dyDescent="0.3">
      <c r="A6764" s="15" t="str">
        <f>IF(COUNTA($B6764:$E6764,$K6764)=0,"",IF(AND($B6764&lt;&gt;"",$C6764&lt;&gt;"",$D6764&lt;&gt;"",$E6764&lt;&gt;""),"TXS"&amp;TEXT(COUNTIFS($B$2:$B6764,"&lt;&gt;",$C$2:$C6764,"&lt;&gt;",$D$2:$D6764,"&lt;&gt;",$E$2:$E6764,"&lt;&gt;"),"00000"),""))</f>
        <v/>
      </c>
      <c r="N6764" s="22"/>
    </row>
    <row r="6765" spans="1:14" x14ac:dyDescent="0.3">
      <c r="A6765" s="15" t="str">
        <f>IF(COUNTA($B6765:$E6765,$K6765)=0,"",IF(AND($B6765&lt;&gt;"",$C6765&lt;&gt;"",$D6765&lt;&gt;"",$E6765&lt;&gt;""),"TXS"&amp;TEXT(COUNTIFS($B$2:$B6765,"&lt;&gt;",$C$2:$C6765,"&lt;&gt;",$D$2:$D6765,"&lt;&gt;",$E$2:$E6765,"&lt;&gt;"),"00000"),""))</f>
        <v/>
      </c>
      <c r="N6765" s="22"/>
    </row>
    <row r="6766" spans="1:14" x14ac:dyDescent="0.3">
      <c r="A6766" s="15" t="str">
        <f>IF(COUNTA($B6766:$E6766,$K6766)=0,"",IF(AND($B6766&lt;&gt;"",$C6766&lt;&gt;"",$D6766&lt;&gt;"",$E6766&lt;&gt;""),"TXS"&amp;TEXT(COUNTIFS($B$2:$B6766,"&lt;&gt;",$C$2:$C6766,"&lt;&gt;",$D$2:$D6766,"&lt;&gt;",$E$2:$E6766,"&lt;&gt;"),"00000"),""))</f>
        <v/>
      </c>
      <c r="N6766" s="22"/>
    </row>
    <row r="6767" spans="1:14" x14ac:dyDescent="0.3">
      <c r="A6767" s="15" t="str">
        <f>IF(COUNTA($B6767:$E6767,$K6767)=0,"",IF(AND($B6767&lt;&gt;"",$C6767&lt;&gt;"",$D6767&lt;&gt;"",$E6767&lt;&gt;""),"TXS"&amp;TEXT(COUNTIFS($B$2:$B6767,"&lt;&gt;",$C$2:$C6767,"&lt;&gt;",$D$2:$D6767,"&lt;&gt;",$E$2:$E6767,"&lt;&gt;"),"00000"),""))</f>
        <v/>
      </c>
      <c r="N6767" s="22"/>
    </row>
    <row r="6768" spans="1:14" x14ac:dyDescent="0.3">
      <c r="A6768" s="15" t="str">
        <f>IF(COUNTA($B6768:$E6768,$K6768)=0,"",IF(AND($B6768&lt;&gt;"",$C6768&lt;&gt;"",$D6768&lt;&gt;"",$E6768&lt;&gt;""),"TXS"&amp;TEXT(COUNTIFS($B$2:$B6768,"&lt;&gt;",$C$2:$C6768,"&lt;&gt;",$D$2:$D6768,"&lt;&gt;",$E$2:$E6768,"&lt;&gt;"),"00000"),""))</f>
        <v/>
      </c>
      <c r="N6768" s="22"/>
    </row>
    <row r="6769" spans="1:14" x14ac:dyDescent="0.3">
      <c r="A6769" s="15" t="str">
        <f>IF(COUNTA($B6769:$E6769,$K6769)=0,"",IF(AND($B6769&lt;&gt;"",$C6769&lt;&gt;"",$D6769&lt;&gt;"",$E6769&lt;&gt;""),"TXS"&amp;TEXT(COUNTIFS($B$2:$B6769,"&lt;&gt;",$C$2:$C6769,"&lt;&gt;",$D$2:$D6769,"&lt;&gt;",$E$2:$E6769,"&lt;&gt;"),"00000"),""))</f>
        <v/>
      </c>
      <c r="N6769" s="22"/>
    </row>
    <row r="6770" spans="1:14" x14ac:dyDescent="0.3">
      <c r="A6770" s="15" t="str">
        <f>IF(COUNTA($B6770:$E6770,$K6770)=0,"",IF(AND($B6770&lt;&gt;"",$C6770&lt;&gt;"",$D6770&lt;&gt;"",$E6770&lt;&gt;""),"TXS"&amp;TEXT(COUNTIFS($B$2:$B6770,"&lt;&gt;",$C$2:$C6770,"&lt;&gt;",$D$2:$D6770,"&lt;&gt;",$E$2:$E6770,"&lt;&gt;"),"00000"),""))</f>
        <v/>
      </c>
      <c r="N6770" s="22"/>
    </row>
    <row r="6771" spans="1:14" x14ac:dyDescent="0.3">
      <c r="A6771" s="15" t="str">
        <f>IF(COUNTA($B6771:$E6771,$K6771)=0,"",IF(AND($B6771&lt;&gt;"",$C6771&lt;&gt;"",$D6771&lt;&gt;"",$E6771&lt;&gt;""),"TXS"&amp;TEXT(COUNTIFS($B$2:$B6771,"&lt;&gt;",$C$2:$C6771,"&lt;&gt;",$D$2:$D6771,"&lt;&gt;",$E$2:$E6771,"&lt;&gt;"),"00000"),""))</f>
        <v/>
      </c>
      <c r="N6771" s="22"/>
    </row>
    <row r="6772" spans="1:14" x14ac:dyDescent="0.3">
      <c r="A6772" s="15" t="str">
        <f>IF(COUNTA($B6772:$E6772,$K6772)=0,"",IF(AND($B6772&lt;&gt;"",$C6772&lt;&gt;"",$D6772&lt;&gt;"",$E6772&lt;&gt;""),"TXS"&amp;TEXT(COUNTIFS($B$2:$B6772,"&lt;&gt;",$C$2:$C6772,"&lt;&gt;",$D$2:$D6772,"&lt;&gt;",$E$2:$E6772,"&lt;&gt;"),"00000"),""))</f>
        <v/>
      </c>
      <c r="N6772" s="22"/>
    </row>
    <row r="6773" spans="1:14" x14ac:dyDescent="0.3">
      <c r="A6773" s="15" t="str">
        <f>IF(COUNTA($B6773:$E6773,$K6773)=0,"",IF(AND($B6773&lt;&gt;"",$C6773&lt;&gt;"",$D6773&lt;&gt;"",$E6773&lt;&gt;""),"TXS"&amp;TEXT(COUNTIFS($B$2:$B6773,"&lt;&gt;",$C$2:$C6773,"&lt;&gt;",$D$2:$D6773,"&lt;&gt;",$E$2:$E6773,"&lt;&gt;"),"00000"),""))</f>
        <v/>
      </c>
      <c r="N6773" s="22"/>
    </row>
    <row r="6774" spans="1:14" x14ac:dyDescent="0.3">
      <c r="A6774" s="15" t="str">
        <f>IF(COUNTA($B6774:$E6774,$K6774)=0,"",IF(AND($B6774&lt;&gt;"",$C6774&lt;&gt;"",$D6774&lt;&gt;"",$E6774&lt;&gt;""),"TXS"&amp;TEXT(COUNTIFS($B$2:$B6774,"&lt;&gt;",$C$2:$C6774,"&lt;&gt;",$D$2:$D6774,"&lt;&gt;",$E$2:$E6774,"&lt;&gt;"),"00000"),""))</f>
        <v/>
      </c>
      <c r="N6774" s="22"/>
    </row>
    <row r="6775" spans="1:14" x14ac:dyDescent="0.3">
      <c r="A6775" s="15" t="str">
        <f>IF(COUNTA($B6775:$E6775,$K6775)=0,"",IF(AND($B6775&lt;&gt;"",$C6775&lt;&gt;"",$D6775&lt;&gt;"",$E6775&lt;&gt;""),"TXS"&amp;TEXT(COUNTIFS($B$2:$B6775,"&lt;&gt;",$C$2:$C6775,"&lt;&gt;",$D$2:$D6775,"&lt;&gt;",$E$2:$E6775,"&lt;&gt;"),"00000"),""))</f>
        <v/>
      </c>
      <c r="N6775" s="22"/>
    </row>
    <row r="6776" spans="1:14" x14ac:dyDescent="0.3">
      <c r="A6776" s="15" t="str">
        <f>IF(COUNTA($B6776:$E6776,$K6776)=0,"",IF(AND($B6776&lt;&gt;"",$C6776&lt;&gt;"",$D6776&lt;&gt;"",$E6776&lt;&gt;""),"TXS"&amp;TEXT(COUNTIFS($B$2:$B6776,"&lt;&gt;",$C$2:$C6776,"&lt;&gt;",$D$2:$D6776,"&lt;&gt;",$E$2:$E6776,"&lt;&gt;"),"00000"),""))</f>
        <v/>
      </c>
      <c r="N6776" s="22"/>
    </row>
    <row r="6777" spans="1:14" x14ac:dyDescent="0.3">
      <c r="A6777" s="15" t="str">
        <f>IF(COUNTA($B6777:$E6777,$K6777)=0,"",IF(AND($B6777&lt;&gt;"",$C6777&lt;&gt;"",$D6777&lt;&gt;"",$E6777&lt;&gt;""),"TXS"&amp;TEXT(COUNTIFS($B$2:$B6777,"&lt;&gt;",$C$2:$C6777,"&lt;&gt;",$D$2:$D6777,"&lt;&gt;",$E$2:$E6777,"&lt;&gt;"),"00000"),""))</f>
        <v/>
      </c>
      <c r="N6777" s="22"/>
    </row>
    <row r="6778" spans="1:14" x14ac:dyDescent="0.3">
      <c r="A6778" s="15" t="str">
        <f>IF(COUNTA($B6778:$E6778,$K6778)=0,"",IF(AND($B6778&lt;&gt;"",$C6778&lt;&gt;"",$D6778&lt;&gt;"",$E6778&lt;&gt;""),"TXS"&amp;TEXT(COUNTIFS($B$2:$B6778,"&lt;&gt;",$C$2:$C6778,"&lt;&gt;",$D$2:$D6778,"&lt;&gt;",$E$2:$E6778,"&lt;&gt;"),"00000"),""))</f>
        <v/>
      </c>
      <c r="N6778" s="22"/>
    </row>
    <row r="6779" spans="1:14" x14ac:dyDescent="0.3">
      <c r="A6779" s="15" t="str">
        <f>IF(COUNTA($B6779:$E6779,$K6779)=0,"",IF(AND($B6779&lt;&gt;"",$C6779&lt;&gt;"",$D6779&lt;&gt;"",$E6779&lt;&gt;""),"TXS"&amp;TEXT(COUNTIFS($B$2:$B6779,"&lt;&gt;",$C$2:$C6779,"&lt;&gt;",$D$2:$D6779,"&lt;&gt;",$E$2:$E6779,"&lt;&gt;"),"00000"),""))</f>
        <v/>
      </c>
      <c r="N6779" s="22"/>
    </row>
    <row r="6780" spans="1:14" x14ac:dyDescent="0.3">
      <c r="A6780" s="15" t="str">
        <f>IF(COUNTA($B6780:$E6780,$K6780)=0,"",IF(AND($B6780&lt;&gt;"",$C6780&lt;&gt;"",$D6780&lt;&gt;"",$E6780&lt;&gt;""),"TXS"&amp;TEXT(COUNTIFS($B$2:$B6780,"&lt;&gt;",$C$2:$C6780,"&lt;&gt;",$D$2:$D6780,"&lt;&gt;",$E$2:$E6780,"&lt;&gt;"),"00000"),""))</f>
        <v/>
      </c>
      <c r="N6780" s="22"/>
    </row>
    <row r="6781" spans="1:14" x14ac:dyDescent="0.3">
      <c r="A6781" s="15" t="str">
        <f>IF(COUNTA($B6781:$E6781,$K6781)=0,"",IF(AND($B6781&lt;&gt;"",$C6781&lt;&gt;"",$D6781&lt;&gt;"",$E6781&lt;&gt;""),"TXS"&amp;TEXT(COUNTIFS($B$2:$B6781,"&lt;&gt;",$C$2:$C6781,"&lt;&gt;",$D$2:$D6781,"&lt;&gt;",$E$2:$E6781,"&lt;&gt;"),"00000"),""))</f>
        <v/>
      </c>
      <c r="N6781" s="22"/>
    </row>
    <row r="6782" spans="1:14" x14ac:dyDescent="0.3">
      <c r="A6782" s="15" t="str">
        <f>IF(COUNTA($B6782:$E6782,$K6782)=0,"",IF(AND($B6782&lt;&gt;"",$C6782&lt;&gt;"",$D6782&lt;&gt;"",$E6782&lt;&gt;""),"TXS"&amp;TEXT(COUNTIFS($B$2:$B6782,"&lt;&gt;",$C$2:$C6782,"&lt;&gt;",$D$2:$D6782,"&lt;&gt;",$E$2:$E6782,"&lt;&gt;"),"00000"),""))</f>
        <v/>
      </c>
      <c r="N6782" s="22"/>
    </row>
    <row r="6783" spans="1:14" x14ac:dyDescent="0.3">
      <c r="A6783" s="15" t="str">
        <f>IF(COUNTA($B6783:$E6783,$K6783)=0,"",IF(AND($B6783&lt;&gt;"",$C6783&lt;&gt;"",$D6783&lt;&gt;"",$E6783&lt;&gt;""),"TXS"&amp;TEXT(COUNTIFS($B$2:$B6783,"&lt;&gt;",$C$2:$C6783,"&lt;&gt;",$D$2:$D6783,"&lt;&gt;",$E$2:$E6783,"&lt;&gt;"),"00000"),""))</f>
        <v/>
      </c>
      <c r="N6783" s="22"/>
    </row>
    <row r="6784" spans="1:14" x14ac:dyDescent="0.3">
      <c r="A6784" s="15" t="str">
        <f>IF(COUNTA($B6784:$E6784,$K6784)=0,"",IF(AND($B6784&lt;&gt;"",$C6784&lt;&gt;"",$D6784&lt;&gt;"",$E6784&lt;&gt;""),"TXS"&amp;TEXT(COUNTIFS($B$2:$B6784,"&lt;&gt;",$C$2:$C6784,"&lt;&gt;",$D$2:$D6784,"&lt;&gt;",$E$2:$E6784,"&lt;&gt;"),"00000"),""))</f>
        <v/>
      </c>
      <c r="N6784" s="22"/>
    </row>
    <row r="6785" spans="1:14" x14ac:dyDescent="0.3">
      <c r="A6785" s="15" t="str">
        <f>IF(COUNTA($B6785:$E6785,$K6785)=0,"",IF(AND($B6785&lt;&gt;"",$C6785&lt;&gt;"",$D6785&lt;&gt;"",$E6785&lt;&gt;""),"TXS"&amp;TEXT(COUNTIFS($B$2:$B6785,"&lt;&gt;",$C$2:$C6785,"&lt;&gt;",$D$2:$D6785,"&lt;&gt;",$E$2:$E6785,"&lt;&gt;"),"00000"),""))</f>
        <v/>
      </c>
      <c r="N6785" s="22"/>
    </row>
    <row r="6786" spans="1:14" x14ac:dyDescent="0.3">
      <c r="A6786" s="15" t="str">
        <f>IF(COUNTA($B6786:$E6786,$K6786)=0,"",IF(AND($B6786&lt;&gt;"",$C6786&lt;&gt;"",$D6786&lt;&gt;"",$E6786&lt;&gt;""),"TXS"&amp;TEXT(COUNTIFS($B$2:$B6786,"&lt;&gt;",$C$2:$C6786,"&lt;&gt;",$D$2:$D6786,"&lt;&gt;",$E$2:$E6786,"&lt;&gt;"),"00000"),""))</f>
        <v/>
      </c>
      <c r="N6786" s="22"/>
    </row>
    <row r="6787" spans="1:14" x14ac:dyDescent="0.3">
      <c r="A6787" s="15" t="str">
        <f>IF(COUNTA($B6787:$E6787,$K6787)=0,"",IF(AND($B6787&lt;&gt;"",$C6787&lt;&gt;"",$D6787&lt;&gt;"",$E6787&lt;&gt;""),"TXS"&amp;TEXT(COUNTIFS($B$2:$B6787,"&lt;&gt;",$C$2:$C6787,"&lt;&gt;",$D$2:$D6787,"&lt;&gt;",$E$2:$E6787,"&lt;&gt;"),"00000"),""))</f>
        <v/>
      </c>
      <c r="N6787" s="22"/>
    </row>
    <row r="6788" spans="1:14" x14ac:dyDescent="0.3">
      <c r="A6788" s="15" t="str">
        <f>IF(COUNTA($B6788:$E6788,$K6788)=0,"",IF(AND($B6788&lt;&gt;"",$C6788&lt;&gt;"",$D6788&lt;&gt;"",$E6788&lt;&gt;""),"TXS"&amp;TEXT(COUNTIFS($B$2:$B6788,"&lt;&gt;",$C$2:$C6788,"&lt;&gt;",$D$2:$D6788,"&lt;&gt;",$E$2:$E6788,"&lt;&gt;"),"00000"),""))</f>
        <v/>
      </c>
      <c r="N6788" s="22"/>
    </row>
    <row r="6789" spans="1:14" x14ac:dyDescent="0.3">
      <c r="A6789" s="15" t="str">
        <f>IF(COUNTA($B6789:$E6789,$K6789)=0,"",IF(AND($B6789&lt;&gt;"",$C6789&lt;&gt;"",$D6789&lt;&gt;"",$E6789&lt;&gt;""),"TXS"&amp;TEXT(COUNTIFS($B$2:$B6789,"&lt;&gt;",$C$2:$C6789,"&lt;&gt;",$D$2:$D6789,"&lt;&gt;",$E$2:$E6789,"&lt;&gt;"),"00000"),""))</f>
        <v/>
      </c>
      <c r="N6789" s="22"/>
    </row>
    <row r="6790" spans="1:14" x14ac:dyDescent="0.3">
      <c r="A6790" s="15" t="str">
        <f>IF(COUNTA($B6790:$E6790,$K6790)=0,"",IF(AND($B6790&lt;&gt;"",$C6790&lt;&gt;"",$D6790&lt;&gt;"",$E6790&lt;&gt;""),"TXS"&amp;TEXT(COUNTIFS($B$2:$B6790,"&lt;&gt;",$C$2:$C6790,"&lt;&gt;",$D$2:$D6790,"&lt;&gt;",$E$2:$E6790,"&lt;&gt;"),"00000"),""))</f>
        <v/>
      </c>
      <c r="N6790" s="22"/>
    </row>
    <row r="6791" spans="1:14" x14ac:dyDescent="0.3">
      <c r="A6791" s="15" t="str">
        <f>IF(COUNTA($B6791:$E6791,$K6791)=0,"",IF(AND($B6791&lt;&gt;"",$C6791&lt;&gt;"",$D6791&lt;&gt;"",$E6791&lt;&gt;""),"TXS"&amp;TEXT(COUNTIFS($B$2:$B6791,"&lt;&gt;",$C$2:$C6791,"&lt;&gt;",$D$2:$D6791,"&lt;&gt;",$E$2:$E6791,"&lt;&gt;"),"00000"),""))</f>
        <v/>
      </c>
      <c r="N6791" s="22"/>
    </row>
    <row r="6792" spans="1:14" x14ac:dyDescent="0.3">
      <c r="A6792" s="15" t="str">
        <f>IF(COUNTA($B6792:$E6792,$K6792)=0,"",IF(AND($B6792&lt;&gt;"",$C6792&lt;&gt;"",$D6792&lt;&gt;"",$E6792&lt;&gt;""),"TXS"&amp;TEXT(COUNTIFS($B$2:$B6792,"&lt;&gt;",$C$2:$C6792,"&lt;&gt;",$D$2:$D6792,"&lt;&gt;",$E$2:$E6792,"&lt;&gt;"),"00000"),""))</f>
        <v/>
      </c>
      <c r="N6792" s="22"/>
    </row>
    <row r="6793" spans="1:14" x14ac:dyDescent="0.3">
      <c r="A6793" s="15" t="str">
        <f>IF(COUNTA($B6793:$E6793,$K6793)=0,"",IF(AND($B6793&lt;&gt;"",$C6793&lt;&gt;"",$D6793&lt;&gt;"",$E6793&lt;&gt;""),"TXS"&amp;TEXT(COUNTIFS($B$2:$B6793,"&lt;&gt;",$C$2:$C6793,"&lt;&gt;",$D$2:$D6793,"&lt;&gt;",$E$2:$E6793,"&lt;&gt;"),"00000"),""))</f>
        <v/>
      </c>
      <c r="N6793" s="22"/>
    </row>
    <row r="6794" spans="1:14" x14ac:dyDescent="0.3">
      <c r="A6794" s="15" t="str">
        <f>IF(COUNTA($B6794:$E6794,$K6794)=0,"",IF(AND($B6794&lt;&gt;"",$C6794&lt;&gt;"",$D6794&lt;&gt;"",$E6794&lt;&gt;""),"TXS"&amp;TEXT(COUNTIFS($B$2:$B6794,"&lt;&gt;",$C$2:$C6794,"&lt;&gt;",$D$2:$D6794,"&lt;&gt;",$E$2:$E6794,"&lt;&gt;"),"00000"),""))</f>
        <v/>
      </c>
      <c r="N6794" s="22"/>
    </row>
    <row r="6795" spans="1:14" x14ac:dyDescent="0.3">
      <c r="A6795" s="15" t="str">
        <f>IF(COUNTA($B6795:$E6795,$K6795)=0,"",IF(AND($B6795&lt;&gt;"",$C6795&lt;&gt;"",$D6795&lt;&gt;"",$E6795&lt;&gt;""),"TXS"&amp;TEXT(COUNTIFS($B$2:$B6795,"&lt;&gt;",$C$2:$C6795,"&lt;&gt;",$D$2:$D6795,"&lt;&gt;",$E$2:$E6795,"&lt;&gt;"),"00000"),""))</f>
        <v/>
      </c>
      <c r="N6795" s="22"/>
    </row>
    <row r="6796" spans="1:14" x14ac:dyDescent="0.3">
      <c r="A6796" s="15" t="str">
        <f>IF(COUNTA($B6796:$E6796,$K6796)=0,"",IF(AND($B6796&lt;&gt;"",$C6796&lt;&gt;"",$D6796&lt;&gt;"",$E6796&lt;&gt;""),"TXS"&amp;TEXT(COUNTIFS($B$2:$B6796,"&lt;&gt;",$C$2:$C6796,"&lt;&gt;",$D$2:$D6796,"&lt;&gt;",$E$2:$E6796,"&lt;&gt;"),"00000"),""))</f>
        <v/>
      </c>
      <c r="N6796" s="22"/>
    </row>
    <row r="6797" spans="1:14" x14ac:dyDescent="0.3">
      <c r="A6797" s="15" t="str">
        <f>IF(COUNTA($B6797:$E6797,$K6797)=0,"",IF(AND($B6797&lt;&gt;"",$C6797&lt;&gt;"",$D6797&lt;&gt;"",$E6797&lt;&gt;""),"TXS"&amp;TEXT(COUNTIFS($B$2:$B6797,"&lt;&gt;",$C$2:$C6797,"&lt;&gt;",$D$2:$D6797,"&lt;&gt;",$E$2:$E6797,"&lt;&gt;"),"00000"),""))</f>
        <v/>
      </c>
      <c r="N6797" s="22"/>
    </row>
    <row r="6798" spans="1:14" x14ac:dyDescent="0.3">
      <c r="A6798" s="15" t="str">
        <f>IF(COUNTA($B6798:$E6798,$K6798)=0,"",IF(AND($B6798&lt;&gt;"",$C6798&lt;&gt;"",$D6798&lt;&gt;"",$E6798&lt;&gt;""),"TXS"&amp;TEXT(COUNTIFS($B$2:$B6798,"&lt;&gt;",$C$2:$C6798,"&lt;&gt;",$D$2:$D6798,"&lt;&gt;",$E$2:$E6798,"&lt;&gt;"),"00000"),""))</f>
        <v/>
      </c>
      <c r="N6798" s="22"/>
    </row>
    <row r="6799" spans="1:14" x14ac:dyDescent="0.3">
      <c r="A6799" s="15" t="str">
        <f>IF(COUNTA($B6799:$E6799,$K6799)=0,"",IF(AND($B6799&lt;&gt;"",$C6799&lt;&gt;"",$D6799&lt;&gt;"",$E6799&lt;&gt;""),"TXS"&amp;TEXT(COUNTIFS($B$2:$B6799,"&lt;&gt;",$C$2:$C6799,"&lt;&gt;",$D$2:$D6799,"&lt;&gt;",$E$2:$E6799,"&lt;&gt;"),"00000"),""))</f>
        <v/>
      </c>
      <c r="N6799" s="22"/>
    </row>
    <row r="6800" spans="1:14" x14ac:dyDescent="0.3">
      <c r="A6800" s="15" t="str">
        <f>IF(COUNTA($B6800:$E6800,$K6800)=0,"",IF(AND($B6800&lt;&gt;"",$C6800&lt;&gt;"",$D6800&lt;&gt;"",$E6800&lt;&gt;""),"TXS"&amp;TEXT(COUNTIFS($B$2:$B6800,"&lt;&gt;",$C$2:$C6800,"&lt;&gt;",$D$2:$D6800,"&lt;&gt;",$E$2:$E6800,"&lt;&gt;"),"00000"),""))</f>
        <v/>
      </c>
      <c r="N6800" s="22"/>
    </row>
    <row r="6801" spans="1:14" x14ac:dyDescent="0.3">
      <c r="A6801" s="15" t="str">
        <f>IF(COUNTA($B6801:$E6801,$K6801)=0,"",IF(AND($B6801&lt;&gt;"",$C6801&lt;&gt;"",$D6801&lt;&gt;"",$E6801&lt;&gt;""),"TXS"&amp;TEXT(COUNTIFS($B$2:$B6801,"&lt;&gt;",$C$2:$C6801,"&lt;&gt;",$D$2:$D6801,"&lt;&gt;",$E$2:$E6801,"&lt;&gt;"),"00000"),""))</f>
        <v/>
      </c>
      <c r="N6801" s="22"/>
    </row>
    <row r="6802" spans="1:14" x14ac:dyDescent="0.3">
      <c r="A6802" s="15" t="str">
        <f>IF(COUNTA($B6802:$E6802,$K6802)=0,"",IF(AND($B6802&lt;&gt;"",$C6802&lt;&gt;"",$D6802&lt;&gt;"",$E6802&lt;&gt;""),"TXS"&amp;TEXT(COUNTIFS($B$2:$B6802,"&lt;&gt;",$C$2:$C6802,"&lt;&gt;",$D$2:$D6802,"&lt;&gt;",$E$2:$E6802,"&lt;&gt;"),"00000"),""))</f>
        <v/>
      </c>
      <c r="N6802" s="22"/>
    </row>
    <row r="6803" spans="1:14" x14ac:dyDescent="0.3">
      <c r="A6803" s="15" t="str">
        <f>IF(COUNTA($B6803:$E6803,$K6803)=0,"",IF(AND($B6803&lt;&gt;"",$C6803&lt;&gt;"",$D6803&lt;&gt;"",$E6803&lt;&gt;""),"TXS"&amp;TEXT(COUNTIFS($B$2:$B6803,"&lt;&gt;",$C$2:$C6803,"&lt;&gt;",$D$2:$D6803,"&lt;&gt;",$E$2:$E6803,"&lt;&gt;"),"00000"),""))</f>
        <v/>
      </c>
      <c r="N6803" s="22"/>
    </row>
    <row r="6804" spans="1:14" x14ac:dyDescent="0.3">
      <c r="A6804" s="15" t="str">
        <f>IF(COUNTA($B6804:$E6804,$K6804)=0,"",IF(AND($B6804&lt;&gt;"",$C6804&lt;&gt;"",$D6804&lt;&gt;"",$E6804&lt;&gt;""),"TXS"&amp;TEXT(COUNTIFS($B$2:$B6804,"&lt;&gt;",$C$2:$C6804,"&lt;&gt;",$D$2:$D6804,"&lt;&gt;",$E$2:$E6804,"&lt;&gt;"),"00000"),""))</f>
        <v/>
      </c>
      <c r="N6804" s="22"/>
    </row>
    <row r="6805" spans="1:14" x14ac:dyDescent="0.3">
      <c r="A6805" s="15" t="str">
        <f>IF(COUNTA($B6805:$E6805,$K6805)=0,"",IF(AND($B6805&lt;&gt;"",$C6805&lt;&gt;"",$D6805&lt;&gt;"",$E6805&lt;&gt;""),"TXS"&amp;TEXT(COUNTIFS($B$2:$B6805,"&lt;&gt;",$C$2:$C6805,"&lt;&gt;",$D$2:$D6805,"&lt;&gt;",$E$2:$E6805,"&lt;&gt;"),"00000"),""))</f>
        <v/>
      </c>
      <c r="N6805" s="22"/>
    </row>
    <row r="6806" spans="1:14" x14ac:dyDescent="0.3">
      <c r="A6806" s="15" t="str">
        <f>IF(COUNTA($B6806:$E6806,$K6806)=0,"",IF(AND($B6806&lt;&gt;"",$C6806&lt;&gt;"",$D6806&lt;&gt;"",$E6806&lt;&gt;""),"TXS"&amp;TEXT(COUNTIFS($B$2:$B6806,"&lt;&gt;",$C$2:$C6806,"&lt;&gt;",$D$2:$D6806,"&lt;&gt;",$E$2:$E6806,"&lt;&gt;"),"00000"),""))</f>
        <v/>
      </c>
      <c r="N6806" s="22"/>
    </row>
    <row r="6807" spans="1:14" x14ac:dyDescent="0.3">
      <c r="A6807" s="15" t="str">
        <f>IF(COUNTA($B6807:$E6807,$K6807)=0,"",IF(AND($B6807&lt;&gt;"",$C6807&lt;&gt;"",$D6807&lt;&gt;"",$E6807&lt;&gt;""),"TXS"&amp;TEXT(COUNTIFS($B$2:$B6807,"&lt;&gt;",$C$2:$C6807,"&lt;&gt;",$D$2:$D6807,"&lt;&gt;",$E$2:$E6807,"&lt;&gt;"),"00000"),""))</f>
        <v/>
      </c>
      <c r="N6807" s="22"/>
    </row>
    <row r="6808" spans="1:14" x14ac:dyDescent="0.3">
      <c r="A6808" s="15" t="str">
        <f>IF(COUNTA($B6808:$E6808,$K6808)=0,"",IF(AND($B6808&lt;&gt;"",$C6808&lt;&gt;"",$D6808&lt;&gt;"",$E6808&lt;&gt;""),"TXS"&amp;TEXT(COUNTIFS($B$2:$B6808,"&lt;&gt;",$C$2:$C6808,"&lt;&gt;",$D$2:$D6808,"&lt;&gt;",$E$2:$E6808,"&lt;&gt;"),"00000"),""))</f>
        <v/>
      </c>
      <c r="N6808" s="22"/>
    </row>
    <row r="6809" spans="1:14" x14ac:dyDescent="0.3">
      <c r="A6809" s="15" t="str">
        <f>IF(COUNTA($B6809:$E6809,$K6809)=0,"",IF(AND($B6809&lt;&gt;"",$C6809&lt;&gt;"",$D6809&lt;&gt;"",$E6809&lt;&gt;""),"TXS"&amp;TEXT(COUNTIFS($B$2:$B6809,"&lt;&gt;",$C$2:$C6809,"&lt;&gt;",$D$2:$D6809,"&lt;&gt;",$E$2:$E6809,"&lt;&gt;"),"00000"),""))</f>
        <v/>
      </c>
      <c r="N6809" s="22"/>
    </row>
    <row r="6810" spans="1:14" x14ac:dyDescent="0.3">
      <c r="A6810" s="15" t="str">
        <f>IF(COUNTA($B6810:$E6810,$K6810)=0,"",IF(AND($B6810&lt;&gt;"",$C6810&lt;&gt;"",$D6810&lt;&gt;"",$E6810&lt;&gt;""),"TXS"&amp;TEXT(COUNTIFS($B$2:$B6810,"&lt;&gt;",$C$2:$C6810,"&lt;&gt;",$D$2:$D6810,"&lt;&gt;",$E$2:$E6810,"&lt;&gt;"),"00000"),""))</f>
        <v/>
      </c>
      <c r="N6810" s="22"/>
    </row>
    <row r="6811" spans="1:14" x14ac:dyDescent="0.3">
      <c r="A6811" s="15" t="str">
        <f>IF(COUNTA($B6811:$E6811,$K6811)=0,"",IF(AND($B6811&lt;&gt;"",$C6811&lt;&gt;"",$D6811&lt;&gt;"",$E6811&lt;&gt;""),"TXS"&amp;TEXT(COUNTIFS($B$2:$B6811,"&lt;&gt;",$C$2:$C6811,"&lt;&gt;",$D$2:$D6811,"&lt;&gt;",$E$2:$E6811,"&lt;&gt;"),"00000"),""))</f>
        <v/>
      </c>
      <c r="N6811" s="22"/>
    </row>
    <row r="6812" spans="1:14" x14ac:dyDescent="0.3">
      <c r="A6812" s="15" t="str">
        <f>IF(COUNTA($B6812:$E6812,$K6812)=0,"",IF(AND($B6812&lt;&gt;"",$C6812&lt;&gt;"",$D6812&lt;&gt;"",$E6812&lt;&gt;""),"TXS"&amp;TEXT(COUNTIFS($B$2:$B6812,"&lt;&gt;",$C$2:$C6812,"&lt;&gt;",$D$2:$D6812,"&lt;&gt;",$E$2:$E6812,"&lt;&gt;"),"00000"),""))</f>
        <v/>
      </c>
      <c r="N6812" s="22"/>
    </row>
    <row r="6813" spans="1:14" x14ac:dyDescent="0.3">
      <c r="A6813" s="15" t="str">
        <f>IF(COUNTA($B6813:$E6813,$K6813)=0,"",IF(AND($B6813&lt;&gt;"",$C6813&lt;&gt;"",$D6813&lt;&gt;"",$E6813&lt;&gt;""),"TXS"&amp;TEXT(COUNTIFS($B$2:$B6813,"&lt;&gt;",$C$2:$C6813,"&lt;&gt;",$D$2:$D6813,"&lt;&gt;",$E$2:$E6813,"&lt;&gt;"),"00000"),""))</f>
        <v/>
      </c>
      <c r="N6813" s="22"/>
    </row>
    <row r="6814" spans="1:14" x14ac:dyDescent="0.3">
      <c r="A6814" s="15" t="str">
        <f>IF(COUNTA($B6814:$E6814,$K6814)=0,"",IF(AND($B6814&lt;&gt;"",$C6814&lt;&gt;"",$D6814&lt;&gt;"",$E6814&lt;&gt;""),"TXS"&amp;TEXT(COUNTIFS($B$2:$B6814,"&lt;&gt;",$C$2:$C6814,"&lt;&gt;",$D$2:$D6814,"&lt;&gt;",$E$2:$E6814,"&lt;&gt;"),"00000"),""))</f>
        <v/>
      </c>
      <c r="N6814" s="22"/>
    </row>
    <row r="6815" spans="1:14" x14ac:dyDescent="0.3">
      <c r="A6815" s="15" t="str">
        <f>IF(COUNTA($B6815:$E6815,$K6815)=0,"",IF(AND($B6815&lt;&gt;"",$C6815&lt;&gt;"",$D6815&lt;&gt;"",$E6815&lt;&gt;""),"TXS"&amp;TEXT(COUNTIFS($B$2:$B6815,"&lt;&gt;",$C$2:$C6815,"&lt;&gt;",$D$2:$D6815,"&lt;&gt;",$E$2:$E6815,"&lt;&gt;"),"00000"),""))</f>
        <v/>
      </c>
      <c r="N6815" s="22"/>
    </row>
    <row r="6816" spans="1:14" x14ac:dyDescent="0.3">
      <c r="A6816" s="15" t="str">
        <f>IF(COUNTA($B6816:$E6816,$K6816)=0,"",IF(AND($B6816&lt;&gt;"",$C6816&lt;&gt;"",$D6816&lt;&gt;"",$E6816&lt;&gt;""),"TXS"&amp;TEXT(COUNTIFS($B$2:$B6816,"&lt;&gt;",$C$2:$C6816,"&lt;&gt;",$D$2:$D6816,"&lt;&gt;",$E$2:$E6816,"&lt;&gt;"),"00000"),""))</f>
        <v/>
      </c>
      <c r="N6816" s="22"/>
    </row>
    <row r="6817" spans="1:14" x14ac:dyDescent="0.3">
      <c r="A6817" s="15" t="str">
        <f>IF(COUNTA($B6817:$E6817,$K6817)=0,"",IF(AND($B6817&lt;&gt;"",$C6817&lt;&gt;"",$D6817&lt;&gt;"",$E6817&lt;&gt;""),"TXS"&amp;TEXT(COUNTIFS($B$2:$B6817,"&lt;&gt;",$C$2:$C6817,"&lt;&gt;",$D$2:$D6817,"&lt;&gt;",$E$2:$E6817,"&lt;&gt;"),"00000"),""))</f>
        <v/>
      </c>
      <c r="N6817" s="22"/>
    </row>
    <row r="6818" spans="1:14" x14ac:dyDescent="0.3">
      <c r="A6818" s="15" t="str">
        <f>IF(COUNTA($B6818:$E6818,$K6818)=0,"",IF(AND($B6818&lt;&gt;"",$C6818&lt;&gt;"",$D6818&lt;&gt;"",$E6818&lt;&gt;""),"TXS"&amp;TEXT(COUNTIFS($B$2:$B6818,"&lt;&gt;",$C$2:$C6818,"&lt;&gt;",$D$2:$D6818,"&lt;&gt;",$E$2:$E6818,"&lt;&gt;"),"00000"),""))</f>
        <v/>
      </c>
      <c r="N6818" s="22"/>
    </row>
    <row r="6819" spans="1:14" x14ac:dyDescent="0.3">
      <c r="A6819" s="15" t="str">
        <f>IF(COUNTA($B6819:$E6819,$K6819)=0,"",IF(AND($B6819&lt;&gt;"",$C6819&lt;&gt;"",$D6819&lt;&gt;"",$E6819&lt;&gt;""),"TXS"&amp;TEXT(COUNTIFS($B$2:$B6819,"&lt;&gt;",$C$2:$C6819,"&lt;&gt;",$D$2:$D6819,"&lt;&gt;",$E$2:$E6819,"&lt;&gt;"),"00000"),""))</f>
        <v/>
      </c>
      <c r="N6819" s="22"/>
    </row>
    <row r="6820" spans="1:14" x14ac:dyDescent="0.3">
      <c r="A6820" s="15" t="str">
        <f>IF(COUNTA($B6820:$E6820,$K6820)=0,"",IF(AND($B6820&lt;&gt;"",$C6820&lt;&gt;"",$D6820&lt;&gt;"",$E6820&lt;&gt;""),"TXS"&amp;TEXT(COUNTIFS($B$2:$B6820,"&lt;&gt;",$C$2:$C6820,"&lt;&gt;",$D$2:$D6820,"&lt;&gt;",$E$2:$E6820,"&lt;&gt;"),"00000"),""))</f>
        <v/>
      </c>
      <c r="N6820" s="22"/>
    </row>
    <row r="6821" spans="1:14" x14ac:dyDescent="0.3">
      <c r="A6821" s="15" t="str">
        <f>IF(COUNTA($B6821:$E6821,$K6821)=0,"",IF(AND($B6821&lt;&gt;"",$C6821&lt;&gt;"",$D6821&lt;&gt;"",$E6821&lt;&gt;""),"TXS"&amp;TEXT(COUNTIFS($B$2:$B6821,"&lt;&gt;",$C$2:$C6821,"&lt;&gt;",$D$2:$D6821,"&lt;&gt;",$E$2:$E6821,"&lt;&gt;"),"00000"),""))</f>
        <v/>
      </c>
      <c r="N6821" s="22"/>
    </row>
    <row r="6822" spans="1:14" x14ac:dyDescent="0.3">
      <c r="A6822" s="15" t="str">
        <f>IF(COUNTA($B6822:$E6822,$K6822)=0,"",IF(AND($B6822&lt;&gt;"",$C6822&lt;&gt;"",$D6822&lt;&gt;"",$E6822&lt;&gt;""),"TXS"&amp;TEXT(COUNTIFS($B$2:$B6822,"&lt;&gt;",$C$2:$C6822,"&lt;&gt;",$D$2:$D6822,"&lt;&gt;",$E$2:$E6822,"&lt;&gt;"),"00000"),""))</f>
        <v/>
      </c>
      <c r="N6822" s="22"/>
    </row>
    <row r="6823" spans="1:14" x14ac:dyDescent="0.3">
      <c r="A6823" s="15" t="str">
        <f>IF(COUNTA($B6823:$E6823,$K6823)=0,"",IF(AND($B6823&lt;&gt;"",$C6823&lt;&gt;"",$D6823&lt;&gt;"",$E6823&lt;&gt;""),"TXS"&amp;TEXT(COUNTIFS($B$2:$B6823,"&lt;&gt;",$C$2:$C6823,"&lt;&gt;",$D$2:$D6823,"&lt;&gt;",$E$2:$E6823,"&lt;&gt;"),"00000"),""))</f>
        <v/>
      </c>
      <c r="N6823" s="22"/>
    </row>
    <row r="6824" spans="1:14" x14ac:dyDescent="0.3">
      <c r="A6824" s="15" t="str">
        <f>IF(COUNTA($B6824:$E6824,$K6824)=0,"",IF(AND($B6824&lt;&gt;"",$C6824&lt;&gt;"",$D6824&lt;&gt;"",$E6824&lt;&gt;""),"TXS"&amp;TEXT(COUNTIFS($B$2:$B6824,"&lt;&gt;",$C$2:$C6824,"&lt;&gt;",$D$2:$D6824,"&lt;&gt;",$E$2:$E6824,"&lt;&gt;"),"00000"),""))</f>
        <v/>
      </c>
      <c r="N6824" s="22"/>
    </row>
    <row r="6825" spans="1:14" x14ac:dyDescent="0.3">
      <c r="A6825" s="15" t="str">
        <f>IF(COUNTA($B6825:$E6825,$K6825)=0,"",IF(AND($B6825&lt;&gt;"",$C6825&lt;&gt;"",$D6825&lt;&gt;"",$E6825&lt;&gt;""),"TXS"&amp;TEXT(COUNTIFS($B$2:$B6825,"&lt;&gt;",$C$2:$C6825,"&lt;&gt;",$D$2:$D6825,"&lt;&gt;",$E$2:$E6825,"&lt;&gt;"),"00000"),""))</f>
        <v/>
      </c>
      <c r="N6825" s="22"/>
    </row>
    <row r="6826" spans="1:14" x14ac:dyDescent="0.3">
      <c r="A6826" s="15" t="str">
        <f>IF(COUNTA($B6826:$E6826,$K6826)=0,"",IF(AND($B6826&lt;&gt;"",$C6826&lt;&gt;"",$D6826&lt;&gt;"",$E6826&lt;&gt;""),"TXS"&amp;TEXT(COUNTIFS($B$2:$B6826,"&lt;&gt;",$C$2:$C6826,"&lt;&gt;",$D$2:$D6826,"&lt;&gt;",$E$2:$E6826,"&lt;&gt;"),"00000"),""))</f>
        <v/>
      </c>
      <c r="N6826" s="22"/>
    </row>
    <row r="6827" spans="1:14" x14ac:dyDescent="0.3">
      <c r="A6827" s="15" t="str">
        <f>IF(COUNTA($B6827:$E6827,$K6827)=0,"",IF(AND($B6827&lt;&gt;"",$C6827&lt;&gt;"",$D6827&lt;&gt;"",$E6827&lt;&gt;""),"TXS"&amp;TEXT(COUNTIFS($B$2:$B6827,"&lt;&gt;",$C$2:$C6827,"&lt;&gt;",$D$2:$D6827,"&lt;&gt;",$E$2:$E6827,"&lt;&gt;"),"00000"),""))</f>
        <v/>
      </c>
      <c r="N6827" s="22"/>
    </row>
    <row r="6828" spans="1:14" x14ac:dyDescent="0.3">
      <c r="A6828" s="15" t="str">
        <f>IF(COUNTA($B6828:$E6828,$K6828)=0,"",IF(AND($B6828&lt;&gt;"",$C6828&lt;&gt;"",$D6828&lt;&gt;"",$E6828&lt;&gt;""),"TXS"&amp;TEXT(COUNTIFS($B$2:$B6828,"&lt;&gt;",$C$2:$C6828,"&lt;&gt;",$D$2:$D6828,"&lt;&gt;",$E$2:$E6828,"&lt;&gt;"),"00000"),""))</f>
        <v/>
      </c>
      <c r="N6828" s="22"/>
    </row>
    <row r="6829" spans="1:14" x14ac:dyDescent="0.3">
      <c r="A6829" s="15" t="str">
        <f>IF(COUNTA($B6829:$E6829,$K6829)=0,"",IF(AND($B6829&lt;&gt;"",$C6829&lt;&gt;"",$D6829&lt;&gt;"",$E6829&lt;&gt;""),"TXS"&amp;TEXT(COUNTIFS($B$2:$B6829,"&lt;&gt;",$C$2:$C6829,"&lt;&gt;",$D$2:$D6829,"&lt;&gt;",$E$2:$E6829,"&lt;&gt;"),"00000"),""))</f>
        <v/>
      </c>
      <c r="N6829" s="22"/>
    </row>
    <row r="6830" spans="1:14" x14ac:dyDescent="0.3">
      <c r="A6830" s="15" t="str">
        <f>IF(COUNTA($B6830:$E6830,$K6830)=0,"",IF(AND($B6830&lt;&gt;"",$C6830&lt;&gt;"",$D6830&lt;&gt;"",$E6830&lt;&gt;""),"TXS"&amp;TEXT(COUNTIFS($B$2:$B6830,"&lt;&gt;",$C$2:$C6830,"&lt;&gt;",$D$2:$D6830,"&lt;&gt;",$E$2:$E6830,"&lt;&gt;"),"00000"),""))</f>
        <v/>
      </c>
      <c r="N6830" s="22"/>
    </row>
    <row r="6831" spans="1:14" x14ac:dyDescent="0.3">
      <c r="A6831" s="15" t="str">
        <f>IF(COUNTA($B6831:$E6831,$K6831)=0,"",IF(AND($B6831&lt;&gt;"",$C6831&lt;&gt;"",$D6831&lt;&gt;"",$E6831&lt;&gt;""),"TXS"&amp;TEXT(COUNTIFS($B$2:$B6831,"&lt;&gt;",$C$2:$C6831,"&lt;&gt;",$D$2:$D6831,"&lt;&gt;",$E$2:$E6831,"&lt;&gt;"),"00000"),""))</f>
        <v/>
      </c>
      <c r="N6831" s="22"/>
    </row>
    <row r="6832" spans="1:14" x14ac:dyDescent="0.3">
      <c r="A6832" s="15" t="str">
        <f>IF(COUNTA($B6832:$E6832,$K6832)=0,"",IF(AND($B6832&lt;&gt;"",$C6832&lt;&gt;"",$D6832&lt;&gt;"",$E6832&lt;&gt;""),"TXS"&amp;TEXT(COUNTIFS($B$2:$B6832,"&lt;&gt;",$C$2:$C6832,"&lt;&gt;",$D$2:$D6832,"&lt;&gt;",$E$2:$E6832,"&lt;&gt;"),"00000"),""))</f>
        <v/>
      </c>
      <c r="N6832" s="22"/>
    </row>
    <row r="6833" spans="1:14" x14ac:dyDescent="0.3">
      <c r="A6833" s="15" t="str">
        <f>IF(COUNTA($B6833:$E6833,$K6833)=0,"",IF(AND($B6833&lt;&gt;"",$C6833&lt;&gt;"",$D6833&lt;&gt;"",$E6833&lt;&gt;""),"TXS"&amp;TEXT(COUNTIFS($B$2:$B6833,"&lt;&gt;",$C$2:$C6833,"&lt;&gt;",$D$2:$D6833,"&lt;&gt;",$E$2:$E6833,"&lt;&gt;"),"00000"),""))</f>
        <v/>
      </c>
      <c r="N6833" s="22"/>
    </row>
    <row r="6834" spans="1:14" x14ac:dyDescent="0.3">
      <c r="A6834" s="15" t="str">
        <f>IF(COUNTA($B6834:$E6834,$K6834)=0,"",IF(AND($B6834&lt;&gt;"",$C6834&lt;&gt;"",$D6834&lt;&gt;"",$E6834&lt;&gt;""),"TXS"&amp;TEXT(COUNTIFS($B$2:$B6834,"&lt;&gt;",$C$2:$C6834,"&lt;&gt;",$D$2:$D6834,"&lt;&gt;",$E$2:$E6834,"&lt;&gt;"),"00000"),""))</f>
        <v/>
      </c>
      <c r="N6834" s="22"/>
    </row>
    <row r="6835" spans="1:14" x14ac:dyDescent="0.3">
      <c r="A6835" s="15" t="str">
        <f>IF(COUNTA($B6835:$E6835,$K6835)=0,"",IF(AND($B6835&lt;&gt;"",$C6835&lt;&gt;"",$D6835&lt;&gt;"",$E6835&lt;&gt;""),"TXS"&amp;TEXT(COUNTIFS($B$2:$B6835,"&lt;&gt;",$C$2:$C6835,"&lt;&gt;",$D$2:$D6835,"&lt;&gt;",$E$2:$E6835,"&lt;&gt;"),"00000"),""))</f>
        <v/>
      </c>
      <c r="N6835" s="22"/>
    </row>
    <row r="6836" spans="1:14" x14ac:dyDescent="0.3">
      <c r="A6836" s="15" t="str">
        <f>IF(COUNTA($B6836:$E6836,$K6836)=0,"",IF(AND($B6836&lt;&gt;"",$C6836&lt;&gt;"",$D6836&lt;&gt;"",$E6836&lt;&gt;""),"TXS"&amp;TEXT(COUNTIFS($B$2:$B6836,"&lt;&gt;",$C$2:$C6836,"&lt;&gt;",$D$2:$D6836,"&lt;&gt;",$E$2:$E6836,"&lt;&gt;"),"00000"),""))</f>
        <v/>
      </c>
      <c r="N6836" s="22"/>
    </row>
    <row r="6837" spans="1:14" x14ac:dyDescent="0.3">
      <c r="A6837" s="15" t="str">
        <f>IF(COUNTA($B6837:$E6837,$K6837)=0,"",IF(AND($B6837&lt;&gt;"",$C6837&lt;&gt;"",$D6837&lt;&gt;"",$E6837&lt;&gt;""),"TXS"&amp;TEXT(COUNTIFS($B$2:$B6837,"&lt;&gt;",$C$2:$C6837,"&lt;&gt;",$D$2:$D6837,"&lt;&gt;",$E$2:$E6837,"&lt;&gt;"),"00000"),""))</f>
        <v/>
      </c>
      <c r="N6837" s="22"/>
    </row>
    <row r="6838" spans="1:14" x14ac:dyDescent="0.3">
      <c r="A6838" s="15" t="str">
        <f>IF(COUNTA($B6838:$E6838,$K6838)=0,"",IF(AND($B6838&lt;&gt;"",$C6838&lt;&gt;"",$D6838&lt;&gt;"",$E6838&lt;&gt;""),"TXS"&amp;TEXT(COUNTIFS($B$2:$B6838,"&lt;&gt;",$C$2:$C6838,"&lt;&gt;",$D$2:$D6838,"&lt;&gt;",$E$2:$E6838,"&lt;&gt;"),"00000"),""))</f>
        <v/>
      </c>
      <c r="N6838" s="22"/>
    </row>
    <row r="6839" spans="1:14" x14ac:dyDescent="0.3">
      <c r="A6839" s="15" t="str">
        <f>IF(COUNTA($B6839:$E6839,$K6839)=0,"",IF(AND($B6839&lt;&gt;"",$C6839&lt;&gt;"",$D6839&lt;&gt;"",$E6839&lt;&gt;""),"TXS"&amp;TEXT(COUNTIFS($B$2:$B6839,"&lt;&gt;",$C$2:$C6839,"&lt;&gt;",$D$2:$D6839,"&lt;&gt;",$E$2:$E6839,"&lt;&gt;"),"00000"),""))</f>
        <v/>
      </c>
      <c r="N6839" s="22"/>
    </row>
    <row r="6840" spans="1:14" x14ac:dyDescent="0.3">
      <c r="A6840" s="15" t="str">
        <f>IF(COUNTA($B6840:$E6840,$K6840)=0,"",IF(AND($B6840&lt;&gt;"",$C6840&lt;&gt;"",$D6840&lt;&gt;"",$E6840&lt;&gt;""),"TXS"&amp;TEXT(COUNTIFS($B$2:$B6840,"&lt;&gt;",$C$2:$C6840,"&lt;&gt;",$D$2:$D6840,"&lt;&gt;",$E$2:$E6840,"&lt;&gt;"),"00000"),""))</f>
        <v/>
      </c>
      <c r="N6840" s="22"/>
    </row>
    <row r="6841" spans="1:14" x14ac:dyDescent="0.3">
      <c r="A6841" s="15" t="str">
        <f>IF(COUNTA($B6841:$E6841,$K6841)=0,"",IF(AND($B6841&lt;&gt;"",$C6841&lt;&gt;"",$D6841&lt;&gt;"",$E6841&lt;&gt;""),"TXS"&amp;TEXT(COUNTIFS($B$2:$B6841,"&lt;&gt;",$C$2:$C6841,"&lt;&gt;",$D$2:$D6841,"&lt;&gt;",$E$2:$E6841,"&lt;&gt;"),"00000"),""))</f>
        <v/>
      </c>
      <c r="N6841" s="22"/>
    </row>
    <row r="6842" spans="1:14" x14ac:dyDescent="0.3">
      <c r="A6842" s="15" t="str">
        <f>IF(COUNTA($B6842:$E6842,$K6842)=0,"",IF(AND($B6842&lt;&gt;"",$C6842&lt;&gt;"",$D6842&lt;&gt;"",$E6842&lt;&gt;""),"TXS"&amp;TEXT(COUNTIFS($B$2:$B6842,"&lt;&gt;",$C$2:$C6842,"&lt;&gt;",$D$2:$D6842,"&lt;&gt;",$E$2:$E6842,"&lt;&gt;"),"00000"),""))</f>
        <v/>
      </c>
      <c r="N6842" s="22"/>
    </row>
    <row r="6843" spans="1:14" x14ac:dyDescent="0.3">
      <c r="A6843" s="15" t="str">
        <f>IF(COUNTA($B6843:$E6843,$K6843)=0,"",IF(AND($B6843&lt;&gt;"",$C6843&lt;&gt;"",$D6843&lt;&gt;"",$E6843&lt;&gt;""),"TXS"&amp;TEXT(COUNTIFS($B$2:$B6843,"&lt;&gt;",$C$2:$C6843,"&lt;&gt;",$D$2:$D6843,"&lt;&gt;",$E$2:$E6843,"&lt;&gt;"),"00000"),""))</f>
        <v/>
      </c>
      <c r="N6843" s="22"/>
    </row>
    <row r="6844" spans="1:14" x14ac:dyDescent="0.3">
      <c r="A6844" s="15" t="str">
        <f>IF(COUNTA($B6844:$E6844,$K6844)=0,"",IF(AND($B6844&lt;&gt;"",$C6844&lt;&gt;"",$D6844&lt;&gt;"",$E6844&lt;&gt;""),"TXS"&amp;TEXT(COUNTIFS($B$2:$B6844,"&lt;&gt;",$C$2:$C6844,"&lt;&gt;",$D$2:$D6844,"&lt;&gt;",$E$2:$E6844,"&lt;&gt;"),"00000"),""))</f>
        <v/>
      </c>
      <c r="N6844" s="22"/>
    </row>
    <row r="6845" spans="1:14" x14ac:dyDescent="0.3">
      <c r="A6845" s="15" t="str">
        <f>IF(COUNTA($B6845:$E6845,$K6845)=0,"",IF(AND($B6845&lt;&gt;"",$C6845&lt;&gt;"",$D6845&lt;&gt;"",$E6845&lt;&gt;""),"TXS"&amp;TEXT(COUNTIFS($B$2:$B6845,"&lt;&gt;",$C$2:$C6845,"&lt;&gt;",$D$2:$D6845,"&lt;&gt;",$E$2:$E6845,"&lt;&gt;"),"00000"),""))</f>
        <v/>
      </c>
      <c r="N6845" s="22"/>
    </row>
    <row r="6846" spans="1:14" x14ac:dyDescent="0.3">
      <c r="A6846" s="15" t="str">
        <f>IF(COUNTA($B6846:$E6846,$K6846)=0,"",IF(AND($B6846&lt;&gt;"",$C6846&lt;&gt;"",$D6846&lt;&gt;"",$E6846&lt;&gt;""),"TXS"&amp;TEXT(COUNTIFS($B$2:$B6846,"&lt;&gt;",$C$2:$C6846,"&lt;&gt;",$D$2:$D6846,"&lt;&gt;",$E$2:$E6846,"&lt;&gt;"),"00000"),""))</f>
        <v/>
      </c>
      <c r="N6846" s="22"/>
    </row>
    <row r="6847" spans="1:14" x14ac:dyDescent="0.3">
      <c r="A6847" s="15" t="str">
        <f>IF(COUNTA($B6847:$E6847,$K6847)=0,"",IF(AND($B6847&lt;&gt;"",$C6847&lt;&gt;"",$D6847&lt;&gt;"",$E6847&lt;&gt;""),"TXS"&amp;TEXT(COUNTIFS($B$2:$B6847,"&lt;&gt;",$C$2:$C6847,"&lt;&gt;",$D$2:$D6847,"&lt;&gt;",$E$2:$E6847,"&lt;&gt;"),"00000"),""))</f>
        <v/>
      </c>
      <c r="N6847" s="22"/>
    </row>
    <row r="6848" spans="1:14" x14ac:dyDescent="0.3">
      <c r="A6848" s="15" t="str">
        <f>IF(COUNTA($B6848:$E6848,$K6848)=0,"",IF(AND($B6848&lt;&gt;"",$C6848&lt;&gt;"",$D6848&lt;&gt;"",$E6848&lt;&gt;""),"TXS"&amp;TEXT(COUNTIFS($B$2:$B6848,"&lt;&gt;",$C$2:$C6848,"&lt;&gt;",$D$2:$D6848,"&lt;&gt;",$E$2:$E6848,"&lt;&gt;"),"00000"),""))</f>
        <v/>
      </c>
      <c r="N6848" s="22"/>
    </row>
    <row r="6849" spans="1:14" x14ac:dyDescent="0.3">
      <c r="A6849" s="15" t="str">
        <f>IF(COUNTA($B6849:$E6849,$K6849)=0,"",IF(AND($B6849&lt;&gt;"",$C6849&lt;&gt;"",$D6849&lt;&gt;"",$E6849&lt;&gt;""),"TXS"&amp;TEXT(COUNTIFS($B$2:$B6849,"&lt;&gt;",$C$2:$C6849,"&lt;&gt;",$D$2:$D6849,"&lt;&gt;",$E$2:$E6849,"&lt;&gt;"),"00000"),""))</f>
        <v/>
      </c>
      <c r="N6849" s="22"/>
    </row>
    <row r="6850" spans="1:14" x14ac:dyDescent="0.3">
      <c r="A6850" s="15" t="str">
        <f>IF(COUNTA($B6850:$E6850,$K6850)=0,"",IF(AND($B6850&lt;&gt;"",$C6850&lt;&gt;"",$D6850&lt;&gt;"",$E6850&lt;&gt;""),"TXS"&amp;TEXT(COUNTIFS($B$2:$B6850,"&lt;&gt;",$C$2:$C6850,"&lt;&gt;",$D$2:$D6850,"&lt;&gt;",$E$2:$E6850,"&lt;&gt;"),"00000"),""))</f>
        <v/>
      </c>
      <c r="N6850" s="22"/>
    </row>
    <row r="6851" spans="1:14" x14ac:dyDescent="0.3">
      <c r="A6851" s="15" t="str">
        <f>IF(COUNTA($B6851:$E6851,$K6851)=0,"",IF(AND($B6851&lt;&gt;"",$C6851&lt;&gt;"",$D6851&lt;&gt;"",$E6851&lt;&gt;""),"TXS"&amp;TEXT(COUNTIFS($B$2:$B6851,"&lt;&gt;",$C$2:$C6851,"&lt;&gt;",$D$2:$D6851,"&lt;&gt;",$E$2:$E6851,"&lt;&gt;"),"00000"),""))</f>
        <v/>
      </c>
      <c r="N6851" s="22"/>
    </row>
    <row r="6852" spans="1:14" x14ac:dyDescent="0.3">
      <c r="A6852" s="15" t="str">
        <f>IF(COUNTA($B6852:$E6852,$K6852)=0,"",IF(AND($B6852&lt;&gt;"",$C6852&lt;&gt;"",$D6852&lt;&gt;"",$E6852&lt;&gt;""),"TXS"&amp;TEXT(COUNTIFS($B$2:$B6852,"&lt;&gt;",$C$2:$C6852,"&lt;&gt;",$D$2:$D6852,"&lt;&gt;",$E$2:$E6852,"&lt;&gt;"),"00000"),""))</f>
        <v/>
      </c>
      <c r="N6852" s="22"/>
    </row>
    <row r="6853" spans="1:14" x14ac:dyDescent="0.3">
      <c r="A6853" s="15" t="str">
        <f>IF(COUNTA($B6853:$E6853,$K6853)=0,"",IF(AND($B6853&lt;&gt;"",$C6853&lt;&gt;"",$D6853&lt;&gt;"",$E6853&lt;&gt;""),"TXS"&amp;TEXT(COUNTIFS($B$2:$B6853,"&lt;&gt;",$C$2:$C6853,"&lt;&gt;",$D$2:$D6853,"&lt;&gt;",$E$2:$E6853,"&lt;&gt;"),"00000"),""))</f>
        <v/>
      </c>
      <c r="N6853" s="22"/>
    </row>
    <row r="6854" spans="1:14" x14ac:dyDescent="0.3">
      <c r="A6854" s="15" t="str">
        <f>IF(COUNTA($B6854:$E6854,$K6854)=0,"",IF(AND($B6854&lt;&gt;"",$C6854&lt;&gt;"",$D6854&lt;&gt;"",$E6854&lt;&gt;""),"TXS"&amp;TEXT(COUNTIFS($B$2:$B6854,"&lt;&gt;",$C$2:$C6854,"&lt;&gt;",$D$2:$D6854,"&lt;&gt;",$E$2:$E6854,"&lt;&gt;"),"00000"),""))</f>
        <v/>
      </c>
      <c r="N6854" s="22"/>
    </row>
    <row r="6855" spans="1:14" x14ac:dyDescent="0.3">
      <c r="A6855" s="15" t="str">
        <f>IF(COUNTA($B6855:$E6855,$K6855)=0,"",IF(AND($B6855&lt;&gt;"",$C6855&lt;&gt;"",$D6855&lt;&gt;"",$E6855&lt;&gt;""),"TXS"&amp;TEXT(COUNTIFS($B$2:$B6855,"&lt;&gt;",$C$2:$C6855,"&lt;&gt;",$D$2:$D6855,"&lt;&gt;",$E$2:$E6855,"&lt;&gt;"),"00000"),""))</f>
        <v/>
      </c>
      <c r="N6855" s="22"/>
    </row>
    <row r="6856" spans="1:14" x14ac:dyDescent="0.3">
      <c r="A6856" s="15" t="str">
        <f>IF(COUNTA($B6856:$E6856,$K6856)=0,"",IF(AND($B6856&lt;&gt;"",$C6856&lt;&gt;"",$D6856&lt;&gt;"",$E6856&lt;&gt;""),"TXS"&amp;TEXT(COUNTIFS($B$2:$B6856,"&lt;&gt;",$C$2:$C6856,"&lt;&gt;",$D$2:$D6856,"&lt;&gt;",$E$2:$E6856,"&lt;&gt;"),"00000"),""))</f>
        <v/>
      </c>
      <c r="N6856" s="22"/>
    </row>
    <row r="6857" spans="1:14" x14ac:dyDescent="0.3">
      <c r="A6857" s="15" t="str">
        <f>IF(COUNTA($B6857:$E6857,$K6857)=0,"",IF(AND($B6857&lt;&gt;"",$C6857&lt;&gt;"",$D6857&lt;&gt;"",$E6857&lt;&gt;""),"TXS"&amp;TEXT(COUNTIFS($B$2:$B6857,"&lt;&gt;",$C$2:$C6857,"&lt;&gt;",$D$2:$D6857,"&lt;&gt;",$E$2:$E6857,"&lt;&gt;"),"00000"),""))</f>
        <v/>
      </c>
      <c r="N6857" s="22"/>
    </row>
    <row r="6858" spans="1:14" x14ac:dyDescent="0.3">
      <c r="A6858" s="15" t="str">
        <f>IF(COUNTA($B6858:$E6858,$K6858)=0,"",IF(AND($B6858&lt;&gt;"",$C6858&lt;&gt;"",$D6858&lt;&gt;"",$E6858&lt;&gt;""),"TXS"&amp;TEXT(COUNTIFS($B$2:$B6858,"&lt;&gt;",$C$2:$C6858,"&lt;&gt;",$D$2:$D6858,"&lt;&gt;",$E$2:$E6858,"&lt;&gt;"),"00000"),""))</f>
        <v/>
      </c>
      <c r="N6858" s="22"/>
    </row>
    <row r="6859" spans="1:14" x14ac:dyDescent="0.3">
      <c r="A6859" s="15" t="str">
        <f>IF(COUNTA($B6859:$E6859,$K6859)=0,"",IF(AND($B6859&lt;&gt;"",$C6859&lt;&gt;"",$D6859&lt;&gt;"",$E6859&lt;&gt;""),"TXS"&amp;TEXT(COUNTIFS($B$2:$B6859,"&lt;&gt;",$C$2:$C6859,"&lt;&gt;",$D$2:$D6859,"&lt;&gt;",$E$2:$E6859,"&lt;&gt;"),"00000"),""))</f>
        <v/>
      </c>
      <c r="N6859" s="22"/>
    </row>
    <row r="6860" spans="1:14" x14ac:dyDescent="0.3">
      <c r="A6860" s="15" t="str">
        <f>IF(COUNTA($B6860:$E6860,$K6860)=0,"",IF(AND($B6860&lt;&gt;"",$C6860&lt;&gt;"",$D6860&lt;&gt;"",$E6860&lt;&gt;""),"TXS"&amp;TEXT(COUNTIFS($B$2:$B6860,"&lt;&gt;",$C$2:$C6860,"&lt;&gt;",$D$2:$D6860,"&lt;&gt;",$E$2:$E6860,"&lt;&gt;"),"00000"),""))</f>
        <v/>
      </c>
      <c r="N6860" s="22"/>
    </row>
    <row r="6861" spans="1:14" x14ac:dyDescent="0.3">
      <c r="A6861" s="15" t="str">
        <f>IF(COUNTA($B6861:$E6861,$K6861)=0,"",IF(AND($B6861&lt;&gt;"",$C6861&lt;&gt;"",$D6861&lt;&gt;"",$E6861&lt;&gt;""),"TXS"&amp;TEXT(COUNTIFS($B$2:$B6861,"&lt;&gt;",$C$2:$C6861,"&lt;&gt;",$D$2:$D6861,"&lt;&gt;",$E$2:$E6861,"&lt;&gt;"),"00000"),""))</f>
        <v/>
      </c>
      <c r="N6861" s="22"/>
    </row>
    <row r="6862" spans="1:14" x14ac:dyDescent="0.3">
      <c r="A6862" s="15" t="str">
        <f>IF(COUNTA($B6862:$E6862,$K6862)=0,"",IF(AND($B6862&lt;&gt;"",$C6862&lt;&gt;"",$D6862&lt;&gt;"",$E6862&lt;&gt;""),"TXS"&amp;TEXT(COUNTIFS($B$2:$B6862,"&lt;&gt;",$C$2:$C6862,"&lt;&gt;",$D$2:$D6862,"&lt;&gt;",$E$2:$E6862,"&lt;&gt;"),"00000"),""))</f>
        <v/>
      </c>
      <c r="N6862" s="22"/>
    </row>
    <row r="6863" spans="1:14" x14ac:dyDescent="0.3">
      <c r="A6863" s="15" t="str">
        <f>IF(COUNTA($B6863:$E6863,$K6863)=0,"",IF(AND($B6863&lt;&gt;"",$C6863&lt;&gt;"",$D6863&lt;&gt;"",$E6863&lt;&gt;""),"TXS"&amp;TEXT(COUNTIFS($B$2:$B6863,"&lt;&gt;",$C$2:$C6863,"&lt;&gt;",$D$2:$D6863,"&lt;&gt;",$E$2:$E6863,"&lt;&gt;"),"00000"),""))</f>
        <v/>
      </c>
      <c r="N6863" s="22"/>
    </row>
    <row r="6864" spans="1:14" x14ac:dyDescent="0.3">
      <c r="A6864" s="15" t="str">
        <f>IF(COUNTA($B6864:$E6864,$K6864)=0,"",IF(AND($B6864&lt;&gt;"",$C6864&lt;&gt;"",$D6864&lt;&gt;"",$E6864&lt;&gt;""),"TXS"&amp;TEXT(COUNTIFS($B$2:$B6864,"&lt;&gt;",$C$2:$C6864,"&lt;&gt;",$D$2:$D6864,"&lt;&gt;",$E$2:$E6864,"&lt;&gt;"),"00000"),""))</f>
        <v/>
      </c>
      <c r="N6864" s="22"/>
    </row>
    <row r="6865" spans="1:14" x14ac:dyDescent="0.3">
      <c r="A6865" s="15" t="str">
        <f>IF(COUNTA($B6865:$E6865,$K6865)=0,"",IF(AND($B6865&lt;&gt;"",$C6865&lt;&gt;"",$D6865&lt;&gt;"",$E6865&lt;&gt;""),"TXS"&amp;TEXT(COUNTIFS($B$2:$B6865,"&lt;&gt;",$C$2:$C6865,"&lt;&gt;",$D$2:$D6865,"&lt;&gt;",$E$2:$E6865,"&lt;&gt;"),"00000"),""))</f>
        <v/>
      </c>
      <c r="N6865" s="22"/>
    </row>
    <row r="6866" spans="1:14" x14ac:dyDescent="0.3">
      <c r="A6866" s="15" t="str">
        <f>IF(COUNTA($B6866:$E6866,$K6866)=0,"",IF(AND($B6866&lt;&gt;"",$C6866&lt;&gt;"",$D6866&lt;&gt;"",$E6866&lt;&gt;""),"TXS"&amp;TEXT(COUNTIFS($B$2:$B6866,"&lt;&gt;",$C$2:$C6866,"&lt;&gt;",$D$2:$D6866,"&lt;&gt;",$E$2:$E6866,"&lt;&gt;"),"00000"),""))</f>
        <v/>
      </c>
      <c r="N6866" s="22"/>
    </row>
    <row r="6867" spans="1:14" x14ac:dyDescent="0.3">
      <c r="A6867" s="15" t="str">
        <f>IF(COUNTA($B6867:$E6867,$K6867)=0,"",IF(AND($B6867&lt;&gt;"",$C6867&lt;&gt;"",$D6867&lt;&gt;"",$E6867&lt;&gt;""),"TXS"&amp;TEXT(COUNTIFS($B$2:$B6867,"&lt;&gt;",$C$2:$C6867,"&lt;&gt;",$D$2:$D6867,"&lt;&gt;",$E$2:$E6867,"&lt;&gt;"),"00000"),""))</f>
        <v/>
      </c>
      <c r="N6867" s="22"/>
    </row>
    <row r="6868" spans="1:14" x14ac:dyDescent="0.3">
      <c r="A6868" s="15" t="str">
        <f>IF(COUNTA($B6868:$E6868,$K6868)=0,"",IF(AND($B6868&lt;&gt;"",$C6868&lt;&gt;"",$D6868&lt;&gt;"",$E6868&lt;&gt;""),"TXS"&amp;TEXT(COUNTIFS($B$2:$B6868,"&lt;&gt;",$C$2:$C6868,"&lt;&gt;",$D$2:$D6868,"&lt;&gt;",$E$2:$E6868,"&lt;&gt;"),"00000"),""))</f>
        <v/>
      </c>
      <c r="N6868" s="22"/>
    </row>
    <row r="6869" spans="1:14" x14ac:dyDescent="0.3">
      <c r="A6869" s="15" t="str">
        <f>IF(COUNTA($B6869:$E6869,$K6869)=0,"",IF(AND($B6869&lt;&gt;"",$C6869&lt;&gt;"",$D6869&lt;&gt;"",$E6869&lt;&gt;""),"TXS"&amp;TEXT(COUNTIFS($B$2:$B6869,"&lt;&gt;",$C$2:$C6869,"&lt;&gt;",$D$2:$D6869,"&lt;&gt;",$E$2:$E6869,"&lt;&gt;"),"00000"),""))</f>
        <v/>
      </c>
      <c r="N6869" s="22"/>
    </row>
    <row r="6870" spans="1:14" x14ac:dyDescent="0.3">
      <c r="A6870" s="15" t="str">
        <f>IF(COUNTA($B6870:$E6870,$K6870)=0,"",IF(AND($B6870&lt;&gt;"",$C6870&lt;&gt;"",$D6870&lt;&gt;"",$E6870&lt;&gt;""),"TXS"&amp;TEXT(COUNTIFS($B$2:$B6870,"&lt;&gt;",$C$2:$C6870,"&lt;&gt;",$D$2:$D6870,"&lt;&gt;",$E$2:$E6870,"&lt;&gt;"),"00000"),""))</f>
        <v/>
      </c>
      <c r="N6870" s="22"/>
    </row>
    <row r="6871" spans="1:14" x14ac:dyDescent="0.3">
      <c r="A6871" s="15" t="str">
        <f>IF(COUNTA($B6871:$E6871,$K6871)=0,"",IF(AND($B6871&lt;&gt;"",$C6871&lt;&gt;"",$D6871&lt;&gt;"",$E6871&lt;&gt;""),"TXS"&amp;TEXT(COUNTIFS($B$2:$B6871,"&lt;&gt;",$C$2:$C6871,"&lt;&gt;",$D$2:$D6871,"&lt;&gt;",$E$2:$E6871,"&lt;&gt;"),"00000"),""))</f>
        <v/>
      </c>
      <c r="N6871" s="22"/>
    </row>
    <row r="6872" spans="1:14" x14ac:dyDescent="0.3">
      <c r="A6872" s="15" t="str">
        <f>IF(COUNTA($B6872:$E6872,$K6872)=0,"",IF(AND($B6872&lt;&gt;"",$C6872&lt;&gt;"",$D6872&lt;&gt;"",$E6872&lt;&gt;""),"TXS"&amp;TEXT(COUNTIFS($B$2:$B6872,"&lt;&gt;",$C$2:$C6872,"&lt;&gt;",$D$2:$D6872,"&lt;&gt;",$E$2:$E6872,"&lt;&gt;"),"00000"),""))</f>
        <v/>
      </c>
      <c r="N6872" s="22"/>
    </row>
    <row r="6873" spans="1:14" x14ac:dyDescent="0.3">
      <c r="A6873" s="15" t="str">
        <f>IF(COUNTA($B6873:$E6873,$K6873)=0,"",IF(AND($B6873&lt;&gt;"",$C6873&lt;&gt;"",$D6873&lt;&gt;"",$E6873&lt;&gt;""),"TXS"&amp;TEXT(COUNTIFS($B$2:$B6873,"&lt;&gt;",$C$2:$C6873,"&lt;&gt;",$D$2:$D6873,"&lt;&gt;",$E$2:$E6873,"&lt;&gt;"),"00000"),""))</f>
        <v/>
      </c>
      <c r="N6873" s="22"/>
    </row>
    <row r="6874" spans="1:14" x14ac:dyDescent="0.3">
      <c r="A6874" s="15" t="str">
        <f>IF(COUNTA($B6874:$E6874,$K6874)=0,"",IF(AND($B6874&lt;&gt;"",$C6874&lt;&gt;"",$D6874&lt;&gt;"",$E6874&lt;&gt;""),"TXS"&amp;TEXT(COUNTIFS($B$2:$B6874,"&lt;&gt;",$C$2:$C6874,"&lt;&gt;",$D$2:$D6874,"&lt;&gt;",$E$2:$E6874,"&lt;&gt;"),"00000"),""))</f>
        <v/>
      </c>
      <c r="N6874" s="22"/>
    </row>
    <row r="6875" spans="1:14" x14ac:dyDescent="0.3">
      <c r="A6875" s="15" t="str">
        <f>IF(COUNTA($B6875:$E6875,$K6875)=0,"",IF(AND($B6875&lt;&gt;"",$C6875&lt;&gt;"",$D6875&lt;&gt;"",$E6875&lt;&gt;""),"TXS"&amp;TEXT(COUNTIFS($B$2:$B6875,"&lt;&gt;",$C$2:$C6875,"&lt;&gt;",$D$2:$D6875,"&lt;&gt;",$E$2:$E6875,"&lt;&gt;"),"00000"),""))</f>
        <v/>
      </c>
      <c r="N6875" s="22"/>
    </row>
    <row r="6876" spans="1:14" x14ac:dyDescent="0.3">
      <c r="A6876" s="15" t="str">
        <f>IF(COUNTA($B6876:$E6876,$K6876)=0,"",IF(AND($B6876&lt;&gt;"",$C6876&lt;&gt;"",$D6876&lt;&gt;"",$E6876&lt;&gt;""),"TXS"&amp;TEXT(COUNTIFS($B$2:$B6876,"&lt;&gt;",$C$2:$C6876,"&lt;&gt;",$D$2:$D6876,"&lt;&gt;",$E$2:$E6876,"&lt;&gt;"),"00000"),""))</f>
        <v/>
      </c>
      <c r="N6876" s="22"/>
    </row>
    <row r="6877" spans="1:14" x14ac:dyDescent="0.3">
      <c r="A6877" s="15" t="str">
        <f>IF(COUNTA($B6877:$E6877,$K6877)=0,"",IF(AND($B6877&lt;&gt;"",$C6877&lt;&gt;"",$D6877&lt;&gt;"",$E6877&lt;&gt;""),"TXS"&amp;TEXT(COUNTIFS($B$2:$B6877,"&lt;&gt;",$C$2:$C6877,"&lt;&gt;",$D$2:$D6877,"&lt;&gt;",$E$2:$E6877,"&lt;&gt;"),"00000"),""))</f>
        <v/>
      </c>
      <c r="N6877" s="22"/>
    </row>
    <row r="6878" spans="1:14" x14ac:dyDescent="0.3">
      <c r="A6878" s="15" t="str">
        <f>IF(COUNTA($B6878:$E6878,$K6878)=0,"",IF(AND($B6878&lt;&gt;"",$C6878&lt;&gt;"",$D6878&lt;&gt;"",$E6878&lt;&gt;""),"TXS"&amp;TEXT(COUNTIFS($B$2:$B6878,"&lt;&gt;",$C$2:$C6878,"&lt;&gt;",$D$2:$D6878,"&lt;&gt;",$E$2:$E6878,"&lt;&gt;"),"00000"),""))</f>
        <v/>
      </c>
      <c r="N6878" s="22"/>
    </row>
    <row r="6879" spans="1:14" x14ac:dyDescent="0.3">
      <c r="A6879" s="15" t="str">
        <f>IF(COUNTA($B6879:$E6879,$K6879)=0,"",IF(AND($B6879&lt;&gt;"",$C6879&lt;&gt;"",$D6879&lt;&gt;"",$E6879&lt;&gt;""),"TXS"&amp;TEXT(COUNTIFS($B$2:$B6879,"&lt;&gt;",$C$2:$C6879,"&lt;&gt;",$D$2:$D6879,"&lt;&gt;",$E$2:$E6879,"&lt;&gt;"),"00000"),""))</f>
        <v/>
      </c>
      <c r="N6879" s="22"/>
    </row>
    <row r="6880" spans="1:14" x14ac:dyDescent="0.3">
      <c r="A6880" s="15" t="str">
        <f>IF(COUNTA($B6880:$E6880,$K6880)=0,"",IF(AND($B6880&lt;&gt;"",$C6880&lt;&gt;"",$D6880&lt;&gt;"",$E6880&lt;&gt;""),"TXS"&amp;TEXT(COUNTIFS($B$2:$B6880,"&lt;&gt;",$C$2:$C6880,"&lt;&gt;",$D$2:$D6880,"&lt;&gt;",$E$2:$E6880,"&lt;&gt;"),"00000"),""))</f>
        <v/>
      </c>
      <c r="N6880" s="22"/>
    </row>
    <row r="6881" spans="1:14" x14ac:dyDescent="0.3">
      <c r="A6881" s="15" t="str">
        <f>IF(COUNTA($B6881:$E6881,$K6881)=0,"",IF(AND($B6881&lt;&gt;"",$C6881&lt;&gt;"",$D6881&lt;&gt;"",$E6881&lt;&gt;""),"TXS"&amp;TEXT(COUNTIFS($B$2:$B6881,"&lt;&gt;",$C$2:$C6881,"&lt;&gt;",$D$2:$D6881,"&lt;&gt;",$E$2:$E6881,"&lt;&gt;"),"00000"),""))</f>
        <v/>
      </c>
      <c r="N6881" s="22"/>
    </row>
    <row r="6882" spans="1:14" x14ac:dyDescent="0.3">
      <c r="A6882" s="15" t="str">
        <f>IF(COUNTA($B6882:$E6882,$K6882)=0,"",IF(AND($B6882&lt;&gt;"",$C6882&lt;&gt;"",$D6882&lt;&gt;"",$E6882&lt;&gt;""),"TXS"&amp;TEXT(COUNTIFS($B$2:$B6882,"&lt;&gt;",$C$2:$C6882,"&lt;&gt;",$D$2:$D6882,"&lt;&gt;",$E$2:$E6882,"&lt;&gt;"),"00000"),""))</f>
        <v/>
      </c>
      <c r="N6882" s="22"/>
    </row>
    <row r="6883" spans="1:14" x14ac:dyDescent="0.3">
      <c r="A6883" s="15" t="str">
        <f>IF(COUNTA($B6883:$E6883,$K6883)=0,"",IF(AND($B6883&lt;&gt;"",$C6883&lt;&gt;"",$D6883&lt;&gt;"",$E6883&lt;&gt;""),"TXS"&amp;TEXT(COUNTIFS($B$2:$B6883,"&lt;&gt;",$C$2:$C6883,"&lt;&gt;",$D$2:$D6883,"&lt;&gt;",$E$2:$E6883,"&lt;&gt;"),"00000"),""))</f>
        <v/>
      </c>
      <c r="N6883" s="22"/>
    </row>
    <row r="6884" spans="1:14" x14ac:dyDescent="0.3">
      <c r="A6884" s="15" t="str">
        <f>IF(COUNTA($B6884:$E6884,$K6884)=0,"",IF(AND($B6884&lt;&gt;"",$C6884&lt;&gt;"",$D6884&lt;&gt;"",$E6884&lt;&gt;""),"TXS"&amp;TEXT(COUNTIFS($B$2:$B6884,"&lt;&gt;",$C$2:$C6884,"&lt;&gt;",$D$2:$D6884,"&lt;&gt;",$E$2:$E6884,"&lt;&gt;"),"00000"),""))</f>
        <v/>
      </c>
      <c r="N6884" s="22"/>
    </row>
    <row r="6885" spans="1:14" x14ac:dyDescent="0.3">
      <c r="A6885" s="15" t="str">
        <f>IF(COUNTA($B6885:$E6885,$K6885)=0,"",IF(AND($B6885&lt;&gt;"",$C6885&lt;&gt;"",$D6885&lt;&gt;"",$E6885&lt;&gt;""),"TXS"&amp;TEXT(COUNTIFS($B$2:$B6885,"&lt;&gt;",$C$2:$C6885,"&lt;&gt;",$D$2:$D6885,"&lt;&gt;",$E$2:$E6885,"&lt;&gt;"),"00000"),""))</f>
        <v/>
      </c>
      <c r="N6885" s="22"/>
    </row>
    <row r="6886" spans="1:14" x14ac:dyDescent="0.3">
      <c r="A6886" s="15" t="str">
        <f>IF(COUNTA($B6886:$E6886,$K6886)=0,"",IF(AND($B6886&lt;&gt;"",$C6886&lt;&gt;"",$D6886&lt;&gt;"",$E6886&lt;&gt;""),"TXS"&amp;TEXT(COUNTIFS($B$2:$B6886,"&lt;&gt;",$C$2:$C6886,"&lt;&gt;",$D$2:$D6886,"&lt;&gt;",$E$2:$E6886,"&lt;&gt;"),"00000"),""))</f>
        <v/>
      </c>
      <c r="N6886" s="22"/>
    </row>
    <row r="6887" spans="1:14" x14ac:dyDescent="0.3">
      <c r="A6887" s="15" t="str">
        <f>IF(COUNTA($B6887:$E6887,$K6887)=0,"",IF(AND($B6887&lt;&gt;"",$C6887&lt;&gt;"",$D6887&lt;&gt;"",$E6887&lt;&gt;""),"TXS"&amp;TEXT(COUNTIFS($B$2:$B6887,"&lt;&gt;",$C$2:$C6887,"&lt;&gt;",$D$2:$D6887,"&lt;&gt;",$E$2:$E6887,"&lt;&gt;"),"00000"),""))</f>
        <v/>
      </c>
      <c r="N6887" s="22"/>
    </row>
    <row r="6888" spans="1:14" x14ac:dyDescent="0.3">
      <c r="A6888" s="15" t="str">
        <f>IF(COUNTA($B6888:$E6888,$K6888)=0,"",IF(AND($B6888&lt;&gt;"",$C6888&lt;&gt;"",$D6888&lt;&gt;"",$E6888&lt;&gt;""),"TXS"&amp;TEXT(COUNTIFS($B$2:$B6888,"&lt;&gt;",$C$2:$C6888,"&lt;&gt;",$D$2:$D6888,"&lt;&gt;",$E$2:$E6888,"&lt;&gt;"),"00000"),""))</f>
        <v/>
      </c>
      <c r="N6888" s="22"/>
    </row>
    <row r="6889" spans="1:14" x14ac:dyDescent="0.3">
      <c r="A6889" s="15" t="str">
        <f>IF(COUNTA($B6889:$E6889,$K6889)=0,"",IF(AND($B6889&lt;&gt;"",$C6889&lt;&gt;"",$D6889&lt;&gt;"",$E6889&lt;&gt;""),"TXS"&amp;TEXT(COUNTIFS($B$2:$B6889,"&lt;&gt;",$C$2:$C6889,"&lt;&gt;",$D$2:$D6889,"&lt;&gt;",$E$2:$E6889,"&lt;&gt;"),"00000"),""))</f>
        <v/>
      </c>
      <c r="N6889" s="22"/>
    </row>
    <row r="6890" spans="1:14" x14ac:dyDescent="0.3">
      <c r="A6890" s="15" t="str">
        <f>IF(COUNTA($B6890:$E6890,$K6890)=0,"",IF(AND($B6890&lt;&gt;"",$C6890&lt;&gt;"",$D6890&lt;&gt;"",$E6890&lt;&gt;""),"TXS"&amp;TEXT(COUNTIFS($B$2:$B6890,"&lt;&gt;",$C$2:$C6890,"&lt;&gt;",$D$2:$D6890,"&lt;&gt;",$E$2:$E6890,"&lt;&gt;"),"00000"),""))</f>
        <v/>
      </c>
      <c r="N6890" s="22"/>
    </row>
    <row r="6891" spans="1:14" x14ac:dyDescent="0.3">
      <c r="A6891" s="15" t="str">
        <f>IF(COUNTA($B6891:$E6891,$K6891)=0,"",IF(AND($B6891&lt;&gt;"",$C6891&lt;&gt;"",$D6891&lt;&gt;"",$E6891&lt;&gt;""),"TXS"&amp;TEXT(COUNTIFS($B$2:$B6891,"&lt;&gt;",$C$2:$C6891,"&lt;&gt;",$D$2:$D6891,"&lt;&gt;",$E$2:$E6891,"&lt;&gt;"),"00000"),""))</f>
        <v/>
      </c>
      <c r="N6891" s="22"/>
    </row>
    <row r="6892" spans="1:14" x14ac:dyDescent="0.3">
      <c r="A6892" s="15" t="str">
        <f>IF(COUNTA($B6892:$E6892,$K6892)=0,"",IF(AND($B6892&lt;&gt;"",$C6892&lt;&gt;"",$D6892&lt;&gt;"",$E6892&lt;&gt;""),"TXS"&amp;TEXT(COUNTIFS($B$2:$B6892,"&lt;&gt;",$C$2:$C6892,"&lt;&gt;",$D$2:$D6892,"&lt;&gt;",$E$2:$E6892,"&lt;&gt;"),"00000"),""))</f>
        <v/>
      </c>
      <c r="N6892" s="22"/>
    </row>
    <row r="6893" spans="1:14" x14ac:dyDescent="0.3">
      <c r="A6893" s="15" t="str">
        <f>IF(COUNTA($B6893:$E6893,$K6893)=0,"",IF(AND($B6893&lt;&gt;"",$C6893&lt;&gt;"",$D6893&lt;&gt;"",$E6893&lt;&gt;""),"TXS"&amp;TEXT(COUNTIFS($B$2:$B6893,"&lt;&gt;",$C$2:$C6893,"&lt;&gt;",$D$2:$D6893,"&lt;&gt;",$E$2:$E6893,"&lt;&gt;"),"00000"),""))</f>
        <v/>
      </c>
      <c r="N6893" s="22"/>
    </row>
    <row r="6894" spans="1:14" x14ac:dyDescent="0.3">
      <c r="A6894" s="15" t="str">
        <f>IF(COUNTA($B6894:$E6894,$K6894)=0,"",IF(AND($B6894&lt;&gt;"",$C6894&lt;&gt;"",$D6894&lt;&gt;"",$E6894&lt;&gt;""),"TXS"&amp;TEXT(COUNTIFS($B$2:$B6894,"&lt;&gt;",$C$2:$C6894,"&lt;&gt;",$D$2:$D6894,"&lt;&gt;",$E$2:$E6894,"&lt;&gt;"),"00000"),""))</f>
        <v/>
      </c>
      <c r="N6894" s="22"/>
    </row>
    <row r="6895" spans="1:14" x14ac:dyDescent="0.3">
      <c r="A6895" s="15" t="str">
        <f>IF(COUNTA($B6895:$E6895,$K6895)=0,"",IF(AND($B6895&lt;&gt;"",$C6895&lt;&gt;"",$D6895&lt;&gt;"",$E6895&lt;&gt;""),"TXS"&amp;TEXT(COUNTIFS($B$2:$B6895,"&lt;&gt;",$C$2:$C6895,"&lt;&gt;",$D$2:$D6895,"&lt;&gt;",$E$2:$E6895,"&lt;&gt;"),"00000"),""))</f>
        <v/>
      </c>
      <c r="N6895" s="22"/>
    </row>
    <row r="6896" spans="1:14" x14ac:dyDescent="0.3">
      <c r="A6896" s="15" t="str">
        <f>IF(COUNTA($B6896:$E6896,$K6896)=0,"",IF(AND($B6896&lt;&gt;"",$C6896&lt;&gt;"",$D6896&lt;&gt;"",$E6896&lt;&gt;""),"TXS"&amp;TEXT(COUNTIFS($B$2:$B6896,"&lt;&gt;",$C$2:$C6896,"&lt;&gt;",$D$2:$D6896,"&lt;&gt;",$E$2:$E6896,"&lt;&gt;"),"00000"),""))</f>
        <v/>
      </c>
      <c r="N6896" s="22"/>
    </row>
    <row r="6897" spans="1:14" x14ac:dyDescent="0.3">
      <c r="A6897" s="15" t="str">
        <f>IF(COUNTA($B6897:$E6897,$K6897)=0,"",IF(AND($B6897&lt;&gt;"",$C6897&lt;&gt;"",$D6897&lt;&gt;"",$E6897&lt;&gt;""),"TXS"&amp;TEXT(COUNTIFS($B$2:$B6897,"&lt;&gt;",$C$2:$C6897,"&lt;&gt;",$D$2:$D6897,"&lt;&gt;",$E$2:$E6897,"&lt;&gt;"),"00000"),""))</f>
        <v/>
      </c>
      <c r="N6897" s="22"/>
    </row>
    <row r="6898" spans="1:14" x14ac:dyDescent="0.3">
      <c r="A6898" s="15" t="str">
        <f>IF(COUNTA($B6898:$E6898,$K6898)=0,"",IF(AND($B6898&lt;&gt;"",$C6898&lt;&gt;"",$D6898&lt;&gt;"",$E6898&lt;&gt;""),"TXS"&amp;TEXT(COUNTIFS($B$2:$B6898,"&lt;&gt;",$C$2:$C6898,"&lt;&gt;",$D$2:$D6898,"&lt;&gt;",$E$2:$E6898,"&lt;&gt;"),"00000"),""))</f>
        <v/>
      </c>
      <c r="N6898" s="22"/>
    </row>
    <row r="6899" spans="1:14" x14ac:dyDescent="0.3">
      <c r="A6899" s="15" t="str">
        <f>IF(COUNTA($B6899:$E6899,$K6899)=0,"",IF(AND($B6899&lt;&gt;"",$C6899&lt;&gt;"",$D6899&lt;&gt;"",$E6899&lt;&gt;""),"TXS"&amp;TEXT(COUNTIFS($B$2:$B6899,"&lt;&gt;",$C$2:$C6899,"&lt;&gt;",$D$2:$D6899,"&lt;&gt;",$E$2:$E6899,"&lt;&gt;"),"00000"),""))</f>
        <v/>
      </c>
      <c r="N6899" s="22"/>
    </row>
    <row r="6900" spans="1:14" x14ac:dyDescent="0.3">
      <c r="A6900" s="15" t="str">
        <f>IF(COUNTA($B6900:$E6900,$K6900)=0,"",IF(AND($B6900&lt;&gt;"",$C6900&lt;&gt;"",$D6900&lt;&gt;"",$E6900&lt;&gt;""),"TXS"&amp;TEXT(COUNTIFS($B$2:$B6900,"&lt;&gt;",$C$2:$C6900,"&lt;&gt;",$D$2:$D6900,"&lt;&gt;",$E$2:$E6900,"&lt;&gt;"),"00000"),""))</f>
        <v/>
      </c>
      <c r="N6900" s="22"/>
    </row>
    <row r="6901" spans="1:14" x14ac:dyDescent="0.3">
      <c r="A6901" s="15" t="str">
        <f>IF(COUNTA($B6901:$E6901,$K6901)=0,"",IF(AND($B6901&lt;&gt;"",$C6901&lt;&gt;"",$D6901&lt;&gt;"",$E6901&lt;&gt;""),"TXS"&amp;TEXT(COUNTIFS($B$2:$B6901,"&lt;&gt;",$C$2:$C6901,"&lt;&gt;",$D$2:$D6901,"&lt;&gt;",$E$2:$E6901,"&lt;&gt;"),"00000"),""))</f>
        <v/>
      </c>
      <c r="N6901" s="22"/>
    </row>
    <row r="6902" spans="1:14" x14ac:dyDescent="0.3">
      <c r="A6902" s="15" t="str">
        <f>IF(COUNTA($B6902:$E6902,$K6902)=0,"",IF(AND($B6902&lt;&gt;"",$C6902&lt;&gt;"",$D6902&lt;&gt;"",$E6902&lt;&gt;""),"TXS"&amp;TEXT(COUNTIFS($B$2:$B6902,"&lt;&gt;",$C$2:$C6902,"&lt;&gt;",$D$2:$D6902,"&lt;&gt;",$E$2:$E6902,"&lt;&gt;"),"00000"),""))</f>
        <v/>
      </c>
      <c r="N6902" s="22"/>
    </row>
    <row r="6903" spans="1:14" x14ac:dyDescent="0.3">
      <c r="A6903" s="15" t="str">
        <f>IF(COUNTA($B6903:$E6903,$K6903)=0,"",IF(AND($B6903&lt;&gt;"",$C6903&lt;&gt;"",$D6903&lt;&gt;"",$E6903&lt;&gt;""),"TXS"&amp;TEXT(COUNTIFS($B$2:$B6903,"&lt;&gt;",$C$2:$C6903,"&lt;&gt;",$D$2:$D6903,"&lt;&gt;",$E$2:$E6903,"&lt;&gt;"),"00000"),""))</f>
        <v/>
      </c>
      <c r="N6903" s="22"/>
    </row>
    <row r="6904" spans="1:14" x14ac:dyDescent="0.3">
      <c r="A6904" s="15" t="str">
        <f>IF(COUNTA($B6904:$E6904,$K6904)=0,"",IF(AND($B6904&lt;&gt;"",$C6904&lt;&gt;"",$D6904&lt;&gt;"",$E6904&lt;&gt;""),"TXS"&amp;TEXT(COUNTIFS($B$2:$B6904,"&lt;&gt;",$C$2:$C6904,"&lt;&gt;",$D$2:$D6904,"&lt;&gt;",$E$2:$E6904,"&lt;&gt;"),"00000"),""))</f>
        <v/>
      </c>
      <c r="N6904" s="22"/>
    </row>
    <row r="6905" spans="1:14" x14ac:dyDescent="0.3">
      <c r="A6905" s="15" t="str">
        <f>IF(COUNTA($B6905:$E6905,$K6905)=0,"",IF(AND($B6905&lt;&gt;"",$C6905&lt;&gt;"",$D6905&lt;&gt;"",$E6905&lt;&gt;""),"TXS"&amp;TEXT(COUNTIFS($B$2:$B6905,"&lt;&gt;",$C$2:$C6905,"&lt;&gt;",$D$2:$D6905,"&lt;&gt;",$E$2:$E6905,"&lt;&gt;"),"00000"),""))</f>
        <v/>
      </c>
      <c r="N6905" s="22"/>
    </row>
    <row r="6906" spans="1:14" x14ac:dyDescent="0.3">
      <c r="A6906" s="15" t="str">
        <f>IF(COUNTA($B6906:$E6906,$K6906)=0,"",IF(AND($B6906&lt;&gt;"",$C6906&lt;&gt;"",$D6906&lt;&gt;"",$E6906&lt;&gt;""),"TXS"&amp;TEXT(COUNTIFS($B$2:$B6906,"&lt;&gt;",$C$2:$C6906,"&lt;&gt;",$D$2:$D6906,"&lt;&gt;",$E$2:$E6906,"&lt;&gt;"),"00000"),""))</f>
        <v/>
      </c>
      <c r="N6906" s="22"/>
    </row>
    <row r="6907" spans="1:14" x14ac:dyDescent="0.3">
      <c r="A6907" s="15" t="str">
        <f>IF(COUNTA($B6907:$E6907,$K6907)=0,"",IF(AND($B6907&lt;&gt;"",$C6907&lt;&gt;"",$D6907&lt;&gt;"",$E6907&lt;&gt;""),"TXS"&amp;TEXT(COUNTIFS($B$2:$B6907,"&lt;&gt;",$C$2:$C6907,"&lt;&gt;",$D$2:$D6907,"&lt;&gt;",$E$2:$E6907,"&lt;&gt;"),"00000"),""))</f>
        <v/>
      </c>
      <c r="N6907" s="22"/>
    </row>
    <row r="6908" spans="1:14" x14ac:dyDescent="0.3">
      <c r="A6908" s="15" t="str">
        <f>IF(COUNTA($B6908:$E6908,$K6908)=0,"",IF(AND($B6908&lt;&gt;"",$C6908&lt;&gt;"",$D6908&lt;&gt;"",$E6908&lt;&gt;""),"TXS"&amp;TEXT(COUNTIFS($B$2:$B6908,"&lt;&gt;",$C$2:$C6908,"&lt;&gt;",$D$2:$D6908,"&lt;&gt;",$E$2:$E6908,"&lt;&gt;"),"00000"),""))</f>
        <v/>
      </c>
      <c r="N6908" s="22"/>
    </row>
    <row r="6909" spans="1:14" x14ac:dyDescent="0.3">
      <c r="A6909" s="15" t="str">
        <f>IF(COUNTA($B6909:$E6909,$K6909)=0,"",IF(AND($B6909&lt;&gt;"",$C6909&lt;&gt;"",$D6909&lt;&gt;"",$E6909&lt;&gt;""),"TXS"&amp;TEXT(COUNTIFS($B$2:$B6909,"&lt;&gt;",$C$2:$C6909,"&lt;&gt;",$D$2:$D6909,"&lt;&gt;",$E$2:$E6909,"&lt;&gt;"),"00000"),""))</f>
        <v/>
      </c>
      <c r="N6909" s="22"/>
    </row>
    <row r="6910" spans="1:14" x14ac:dyDescent="0.3">
      <c r="A6910" s="15" t="str">
        <f>IF(COUNTA($B6910:$E6910,$K6910)=0,"",IF(AND($B6910&lt;&gt;"",$C6910&lt;&gt;"",$D6910&lt;&gt;"",$E6910&lt;&gt;""),"TXS"&amp;TEXT(COUNTIFS($B$2:$B6910,"&lt;&gt;",$C$2:$C6910,"&lt;&gt;",$D$2:$D6910,"&lt;&gt;",$E$2:$E6910,"&lt;&gt;"),"00000"),""))</f>
        <v/>
      </c>
      <c r="N6910" s="22"/>
    </row>
    <row r="6911" spans="1:14" x14ac:dyDescent="0.3">
      <c r="A6911" s="15" t="str">
        <f>IF(COUNTA($B6911:$E6911,$K6911)=0,"",IF(AND($B6911&lt;&gt;"",$C6911&lt;&gt;"",$D6911&lt;&gt;"",$E6911&lt;&gt;""),"TXS"&amp;TEXT(COUNTIFS($B$2:$B6911,"&lt;&gt;",$C$2:$C6911,"&lt;&gt;",$D$2:$D6911,"&lt;&gt;",$E$2:$E6911,"&lt;&gt;"),"00000"),""))</f>
        <v/>
      </c>
      <c r="N6911" s="22"/>
    </row>
    <row r="6912" spans="1:14" x14ac:dyDescent="0.3">
      <c r="A6912" s="15" t="str">
        <f>IF(COUNTA($B6912:$E6912,$K6912)=0,"",IF(AND($B6912&lt;&gt;"",$C6912&lt;&gt;"",$D6912&lt;&gt;"",$E6912&lt;&gt;""),"TXS"&amp;TEXT(COUNTIFS($B$2:$B6912,"&lt;&gt;",$C$2:$C6912,"&lt;&gt;",$D$2:$D6912,"&lt;&gt;",$E$2:$E6912,"&lt;&gt;"),"00000"),""))</f>
        <v/>
      </c>
      <c r="N6912" s="22"/>
    </row>
    <row r="6913" spans="1:14" x14ac:dyDescent="0.3">
      <c r="A6913" s="15" t="str">
        <f>IF(COUNTA($B6913:$E6913,$K6913)=0,"",IF(AND($B6913&lt;&gt;"",$C6913&lt;&gt;"",$D6913&lt;&gt;"",$E6913&lt;&gt;""),"TXS"&amp;TEXT(COUNTIFS($B$2:$B6913,"&lt;&gt;",$C$2:$C6913,"&lt;&gt;",$D$2:$D6913,"&lt;&gt;",$E$2:$E6913,"&lt;&gt;"),"00000"),""))</f>
        <v/>
      </c>
      <c r="N6913" s="22"/>
    </row>
    <row r="6914" spans="1:14" x14ac:dyDescent="0.3">
      <c r="A6914" s="15" t="str">
        <f>IF(COUNTA($B6914:$E6914,$K6914)=0,"",IF(AND($B6914&lt;&gt;"",$C6914&lt;&gt;"",$D6914&lt;&gt;"",$E6914&lt;&gt;""),"TXS"&amp;TEXT(COUNTIFS($B$2:$B6914,"&lt;&gt;",$C$2:$C6914,"&lt;&gt;",$D$2:$D6914,"&lt;&gt;",$E$2:$E6914,"&lt;&gt;"),"00000"),""))</f>
        <v/>
      </c>
      <c r="N6914" s="22"/>
    </row>
    <row r="6915" spans="1:14" x14ac:dyDescent="0.3">
      <c r="A6915" s="15" t="str">
        <f>IF(COUNTA($B6915:$E6915,$K6915)=0,"",IF(AND($B6915&lt;&gt;"",$C6915&lt;&gt;"",$D6915&lt;&gt;"",$E6915&lt;&gt;""),"TXS"&amp;TEXT(COUNTIFS($B$2:$B6915,"&lt;&gt;",$C$2:$C6915,"&lt;&gt;",$D$2:$D6915,"&lt;&gt;",$E$2:$E6915,"&lt;&gt;"),"00000"),""))</f>
        <v/>
      </c>
      <c r="N6915" s="22"/>
    </row>
    <row r="6916" spans="1:14" x14ac:dyDescent="0.3">
      <c r="A6916" s="15" t="str">
        <f>IF(COUNTA($B6916:$E6916,$K6916)=0,"",IF(AND($B6916&lt;&gt;"",$C6916&lt;&gt;"",$D6916&lt;&gt;"",$E6916&lt;&gt;""),"TXS"&amp;TEXT(COUNTIFS($B$2:$B6916,"&lt;&gt;",$C$2:$C6916,"&lt;&gt;",$D$2:$D6916,"&lt;&gt;",$E$2:$E6916,"&lt;&gt;"),"00000"),""))</f>
        <v/>
      </c>
      <c r="N6916" s="22"/>
    </row>
    <row r="6917" spans="1:14" x14ac:dyDescent="0.3">
      <c r="A6917" s="15" t="str">
        <f>IF(COUNTA($B6917:$E6917,$K6917)=0,"",IF(AND($B6917&lt;&gt;"",$C6917&lt;&gt;"",$D6917&lt;&gt;"",$E6917&lt;&gt;""),"TXS"&amp;TEXT(COUNTIFS($B$2:$B6917,"&lt;&gt;",$C$2:$C6917,"&lt;&gt;",$D$2:$D6917,"&lt;&gt;",$E$2:$E6917,"&lt;&gt;"),"00000"),""))</f>
        <v/>
      </c>
      <c r="N6917" s="22"/>
    </row>
    <row r="6918" spans="1:14" x14ac:dyDescent="0.3">
      <c r="A6918" s="15" t="str">
        <f>IF(COUNTA($B6918:$E6918,$K6918)=0,"",IF(AND($B6918&lt;&gt;"",$C6918&lt;&gt;"",$D6918&lt;&gt;"",$E6918&lt;&gt;""),"TXS"&amp;TEXT(COUNTIFS($B$2:$B6918,"&lt;&gt;",$C$2:$C6918,"&lt;&gt;",$D$2:$D6918,"&lt;&gt;",$E$2:$E6918,"&lt;&gt;"),"00000"),""))</f>
        <v/>
      </c>
      <c r="N6918" s="22"/>
    </row>
    <row r="6919" spans="1:14" x14ac:dyDescent="0.3">
      <c r="A6919" s="15" t="str">
        <f>IF(COUNTA($B6919:$E6919,$K6919)=0,"",IF(AND($B6919&lt;&gt;"",$C6919&lt;&gt;"",$D6919&lt;&gt;"",$E6919&lt;&gt;""),"TXS"&amp;TEXT(COUNTIFS($B$2:$B6919,"&lt;&gt;",$C$2:$C6919,"&lt;&gt;",$D$2:$D6919,"&lt;&gt;",$E$2:$E6919,"&lt;&gt;"),"00000"),""))</f>
        <v/>
      </c>
      <c r="N6919" s="22"/>
    </row>
    <row r="6920" spans="1:14" x14ac:dyDescent="0.3">
      <c r="A6920" s="15" t="str">
        <f>IF(COUNTA($B6920:$E6920,$K6920)=0,"",IF(AND($B6920&lt;&gt;"",$C6920&lt;&gt;"",$D6920&lt;&gt;"",$E6920&lt;&gt;""),"TXS"&amp;TEXT(COUNTIFS($B$2:$B6920,"&lt;&gt;",$C$2:$C6920,"&lt;&gt;",$D$2:$D6920,"&lt;&gt;",$E$2:$E6920,"&lt;&gt;"),"00000"),""))</f>
        <v/>
      </c>
      <c r="N6920" s="22"/>
    </row>
    <row r="6921" spans="1:14" x14ac:dyDescent="0.3">
      <c r="A6921" s="15" t="str">
        <f>IF(COUNTA($B6921:$E6921,$K6921)=0,"",IF(AND($B6921&lt;&gt;"",$C6921&lt;&gt;"",$D6921&lt;&gt;"",$E6921&lt;&gt;""),"TXS"&amp;TEXT(COUNTIFS($B$2:$B6921,"&lt;&gt;",$C$2:$C6921,"&lt;&gt;",$D$2:$D6921,"&lt;&gt;",$E$2:$E6921,"&lt;&gt;"),"00000"),""))</f>
        <v/>
      </c>
      <c r="N6921" s="22"/>
    </row>
    <row r="6922" spans="1:14" x14ac:dyDescent="0.3">
      <c r="A6922" s="15" t="str">
        <f>IF(COUNTA($B6922:$E6922,$K6922)=0,"",IF(AND($B6922&lt;&gt;"",$C6922&lt;&gt;"",$D6922&lt;&gt;"",$E6922&lt;&gt;""),"TXS"&amp;TEXT(COUNTIFS($B$2:$B6922,"&lt;&gt;",$C$2:$C6922,"&lt;&gt;",$D$2:$D6922,"&lt;&gt;",$E$2:$E6922,"&lt;&gt;"),"00000"),""))</f>
        <v/>
      </c>
      <c r="N6922" s="22"/>
    </row>
    <row r="6923" spans="1:14" x14ac:dyDescent="0.3">
      <c r="A6923" s="15" t="str">
        <f>IF(COUNTA($B6923:$E6923,$K6923)=0,"",IF(AND($B6923&lt;&gt;"",$C6923&lt;&gt;"",$D6923&lt;&gt;"",$E6923&lt;&gt;""),"TXS"&amp;TEXT(COUNTIFS($B$2:$B6923,"&lt;&gt;",$C$2:$C6923,"&lt;&gt;",$D$2:$D6923,"&lt;&gt;",$E$2:$E6923,"&lt;&gt;"),"00000"),""))</f>
        <v/>
      </c>
      <c r="N6923" s="22"/>
    </row>
    <row r="6924" spans="1:14" x14ac:dyDescent="0.3">
      <c r="A6924" s="15" t="str">
        <f>IF(COUNTA($B6924:$E6924,$K6924)=0,"",IF(AND($B6924&lt;&gt;"",$C6924&lt;&gt;"",$D6924&lt;&gt;"",$E6924&lt;&gt;""),"TXS"&amp;TEXT(COUNTIFS($B$2:$B6924,"&lt;&gt;",$C$2:$C6924,"&lt;&gt;",$D$2:$D6924,"&lt;&gt;",$E$2:$E6924,"&lt;&gt;"),"00000"),""))</f>
        <v/>
      </c>
      <c r="N6924" s="22"/>
    </row>
    <row r="6925" spans="1:14" x14ac:dyDescent="0.3">
      <c r="A6925" s="15" t="str">
        <f>IF(COUNTA($B6925:$E6925,$K6925)=0,"",IF(AND($B6925&lt;&gt;"",$C6925&lt;&gt;"",$D6925&lt;&gt;"",$E6925&lt;&gt;""),"TXS"&amp;TEXT(COUNTIFS($B$2:$B6925,"&lt;&gt;",$C$2:$C6925,"&lt;&gt;",$D$2:$D6925,"&lt;&gt;",$E$2:$E6925,"&lt;&gt;"),"00000"),""))</f>
        <v/>
      </c>
      <c r="N6925" s="22"/>
    </row>
    <row r="6926" spans="1:14" x14ac:dyDescent="0.3">
      <c r="A6926" s="15" t="str">
        <f>IF(COUNTA($B6926:$E6926,$K6926)=0,"",IF(AND($B6926&lt;&gt;"",$C6926&lt;&gt;"",$D6926&lt;&gt;"",$E6926&lt;&gt;""),"TXS"&amp;TEXT(COUNTIFS($B$2:$B6926,"&lt;&gt;",$C$2:$C6926,"&lt;&gt;",$D$2:$D6926,"&lt;&gt;",$E$2:$E6926,"&lt;&gt;"),"00000"),""))</f>
        <v/>
      </c>
      <c r="N6926" s="22"/>
    </row>
    <row r="6927" spans="1:14" x14ac:dyDescent="0.3">
      <c r="A6927" s="15" t="str">
        <f>IF(COUNTA($B6927:$E6927,$K6927)=0,"",IF(AND($B6927&lt;&gt;"",$C6927&lt;&gt;"",$D6927&lt;&gt;"",$E6927&lt;&gt;""),"TXS"&amp;TEXT(COUNTIFS($B$2:$B6927,"&lt;&gt;",$C$2:$C6927,"&lt;&gt;",$D$2:$D6927,"&lt;&gt;",$E$2:$E6927,"&lt;&gt;"),"00000"),""))</f>
        <v/>
      </c>
      <c r="N6927" s="22"/>
    </row>
    <row r="6928" spans="1:14" x14ac:dyDescent="0.3">
      <c r="A6928" s="15" t="str">
        <f>IF(COUNTA($B6928:$E6928,$K6928)=0,"",IF(AND($B6928&lt;&gt;"",$C6928&lt;&gt;"",$D6928&lt;&gt;"",$E6928&lt;&gt;""),"TXS"&amp;TEXT(COUNTIFS($B$2:$B6928,"&lt;&gt;",$C$2:$C6928,"&lt;&gt;",$D$2:$D6928,"&lt;&gt;",$E$2:$E6928,"&lt;&gt;"),"00000"),""))</f>
        <v/>
      </c>
      <c r="N6928" s="22"/>
    </row>
    <row r="6929" spans="1:14" x14ac:dyDescent="0.3">
      <c r="A6929" s="15" t="str">
        <f>IF(COUNTA($B6929:$E6929,$K6929)=0,"",IF(AND($B6929&lt;&gt;"",$C6929&lt;&gt;"",$D6929&lt;&gt;"",$E6929&lt;&gt;""),"TXS"&amp;TEXT(COUNTIFS($B$2:$B6929,"&lt;&gt;",$C$2:$C6929,"&lt;&gt;",$D$2:$D6929,"&lt;&gt;",$E$2:$E6929,"&lt;&gt;"),"00000"),""))</f>
        <v/>
      </c>
      <c r="N6929" s="22"/>
    </row>
    <row r="6930" spans="1:14" x14ac:dyDescent="0.3">
      <c r="A6930" s="15" t="str">
        <f>IF(COUNTA($B6930:$E6930,$K6930)=0,"",IF(AND($B6930&lt;&gt;"",$C6930&lt;&gt;"",$D6930&lt;&gt;"",$E6930&lt;&gt;""),"TXS"&amp;TEXT(COUNTIFS($B$2:$B6930,"&lt;&gt;",$C$2:$C6930,"&lt;&gt;",$D$2:$D6930,"&lt;&gt;",$E$2:$E6930,"&lt;&gt;"),"00000"),""))</f>
        <v/>
      </c>
      <c r="N6930" s="22"/>
    </row>
    <row r="6931" spans="1:14" x14ac:dyDescent="0.3">
      <c r="A6931" s="15" t="str">
        <f>IF(COUNTA($B6931:$E6931,$K6931)=0,"",IF(AND($B6931&lt;&gt;"",$C6931&lt;&gt;"",$D6931&lt;&gt;"",$E6931&lt;&gt;""),"TXS"&amp;TEXT(COUNTIFS($B$2:$B6931,"&lt;&gt;",$C$2:$C6931,"&lt;&gt;",$D$2:$D6931,"&lt;&gt;",$E$2:$E6931,"&lt;&gt;"),"00000"),""))</f>
        <v/>
      </c>
      <c r="N6931" s="22"/>
    </row>
    <row r="6932" spans="1:14" x14ac:dyDescent="0.3">
      <c r="A6932" s="15" t="str">
        <f>IF(COUNTA($B6932:$E6932,$K6932)=0,"",IF(AND($B6932&lt;&gt;"",$C6932&lt;&gt;"",$D6932&lt;&gt;"",$E6932&lt;&gt;""),"TXS"&amp;TEXT(COUNTIFS($B$2:$B6932,"&lt;&gt;",$C$2:$C6932,"&lt;&gt;",$D$2:$D6932,"&lt;&gt;",$E$2:$E6932,"&lt;&gt;"),"00000"),""))</f>
        <v/>
      </c>
      <c r="N6932" s="22"/>
    </row>
    <row r="6933" spans="1:14" x14ac:dyDescent="0.3">
      <c r="A6933" s="15" t="str">
        <f>IF(COUNTA($B6933:$E6933,$K6933)=0,"",IF(AND($B6933&lt;&gt;"",$C6933&lt;&gt;"",$D6933&lt;&gt;"",$E6933&lt;&gt;""),"TXS"&amp;TEXT(COUNTIFS($B$2:$B6933,"&lt;&gt;",$C$2:$C6933,"&lt;&gt;",$D$2:$D6933,"&lt;&gt;",$E$2:$E6933,"&lt;&gt;"),"00000"),""))</f>
        <v/>
      </c>
      <c r="N6933" s="22"/>
    </row>
    <row r="6934" spans="1:14" x14ac:dyDescent="0.3">
      <c r="A6934" s="15" t="str">
        <f>IF(COUNTA($B6934:$E6934,$K6934)=0,"",IF(AND($B6934&lt;&gt;"",$C6934&lt;&gt;"",$D6934&lt;&gt;"",$E6934&lt;&gt;""),"TXS"&amp;TEXT(COUNTIFS($B$2:$B6934,"&lt;&gt;",$C$2:$C6934,"&lt;&gt;",$D$2:$D6934,"&lt;&gt;",$E$2:$E6934,"&lt;&gt;"),"00000"),""))</f>
        <v/>
      </c>
      <c r="N6934" s="22"/>
    </row>
    <row r="6935" spans="1:14" x14ac:dyDescent="0.3">
      <c r="A6935" s="15" t="str">
        <f>IF(COUNTA($B6935:$E6935,$K6935)=0,"",IF(AND($B6935&lt;&gt;"",$C6935&lt;&gt;"",$D6935&lt;&gt;"",$E6935&lt;&gt;""),"TXS"&amp;TEXT(COUNTIFS($B$2:$B6935,"&lt;&gt;",$C$2:$C6935,"&lt;&gt;",$D$2:$D6935,"&lt;&gt;",$E$2:$E6935,"&lt;&gt;"),"00000"),""))</f>
        <v/>
      </c>
      <c r="N6935" s="22"/>
    </row>
    <row r="6936" spans="1:14" x14ac:dyDescent="0.3">
      <c r="A6936" s="15" t="str">
        <f>IF(COUNTA($B6936:$E6936,$K6936)=0,"",IF(AND($B6936&lt;&gt;"",$C6936&lt;&gt;"",$D6936&lt;&gt;"",$E6936&lt;&gt;""),"TXS"&amp;TEXT(COUNTIFS($B$2:$B6936,"&lt;&gt;",$C$2:$C6936,"&lt;&gt;",$D$2:$D6936,"&lt;&gt;",$E$2:$E6936,"&lt;&gt;"),"00000"),""))</f>
        <v/>
      </c>
      <c r="N6936" s="22"/>
    </row>
    <row r="6937" spans="1:14" x14ac:dyDescent="0.3">
      <c r="A6937" s="15" t="str">
        <f>IF(COUNTA($B6937:$E6937,$K6937)=0,"",IF(AND($B6937&lt;&gt;"",$C6937&lt;&gt;"",$D6937&lt;&gt;"",$E6937&lt;&gt;""),"TXS"&amp;TEXT(COUNTIFS($B$2:$B6937,"&lt;&gt;",$C$2:$C6937,"&lt;&gt;",$D$2:$D6937,"&lt;&gt;",$E$2:$E6937,"&lt;&gt;"),"00000"),""))</f>
        <v/>
      </c>
      <c r="N6937" s="22"/>
    </row>
    <row r="6938" spans="1:14" x14ac:dyDescent="0.3">
      <c r="A6938" s="15" t="str">
        <f>IF(COUNTA($B6938:$E6938,$K6938)=0,"",IF(AND($B6938&lt;&gt;"",$C6938&lt;&gt;"",$D6938&lt;&gt;"",$E6938&lt;&gt;""),"TXS"&amp;TEXT(COUNTIFS($B$2:$B6938,"&lt;&gt;",$C$2:$C6938,"&lt;&gt;",$D$2:$D6938,"&lt;&gt;",$E$2:$E6938,"&lt;&gt;"),"00000"),""))</f>
        <v/>
      </c>
      <c r="N6938" s="22"/>
    </row>
    <row r="6939" spans="1:14" x14ac:dyDescent="0.3">
      <c r="A6939" s="15" t="str">
        <f>IF(COUNTA($B6939:$E6939,$K6939)=0,"",IF(AND($B6939&lt;&gt;"",$C6939&lt;&gt;"",$D6939&lt;&gt;"",$E6939&lt;&gt;""),"TXS"&amp;TEXT(COUNTIFS($B$2:$B6939,"&lt;&gt;",$C$2:$C6939,"&lt;&gt;",$D$2:$D6939,"&lt;&gt;",$E$2:$E6939,"&lt;&gt;"),"00000"),""))</f>
        <v/>
      </c>
      <c r="N6939" s="22"/>
    </row>
    <row r="6940" spans="1:14" x14ac:dyDescent="0.3">
      <c r="A6940" s="15" t="str">
        <f>IF(COUNTA($B6940:$E6940,$K6940)=0,"",IF(AND($B6940&lt;&gt;"",$C6940&lt;&gt;"",$D6940&lt;&gt;"",$E6940&lt;&gt;""),"TXS"&amp;TEXT(COUNTIFS($B$2:$B6940,"&lt;&gt;",$C$2:$C6940,"&lt;&gt;",$D$2:$D6940,"&lt;&gt;",$E$2:$E6940,"&lt;&gt;"),"00000"),""))</f>
        <v/>
      </c>
      <c r="N6940" s="22"/>
    </row>
    <row r="6941" spans="1:14" x14ac:dyDescent="0.3">
      <c r="A6941" s="15" t="str">
        <f>IF(COUNTA($B6941:$E6941,$K6941)=0,"",IF(AND($B6941&lt;&gt;"",$C6941&lt;&gt;"",$D6941&lt;&gt;"",$E6941&lt;&gt;""),"TXS"&amp;TEXT(COUNTIFS($B$2:$B6941,"&lt;&gt;",$C$2:$C6941,"&lt;&gt;",$D$2:$D6941,"&lt;&gt;",$E$2:$E6941,"&lt;&gt;"),"00000"),""))</f>
        <v/>
      </c>
      <c r="N6941" s="22"/>
    </row>
    <row r="6942" spans="1:14" x14ac:dyDescent="0.3">
      <c r="A6942" s="15" t="str">
        <f>IF(COUNTA($B6942:$E6942,$K6942)=0,"",IF(AND($B6942&lt;&gt;"",$C6942&lt;&gt;"",$D6942&lt;&gt;"",$E6942&lt;&gt;""),"TXS"&amp;TEXT(COUNTIFS($B$2:$B6942,"&lt;&gt;",$C$2:$C6942,"&lt;&gt;",$D$2:$D6942,"&lt;&gt;",$E$2:$E6942,"&lt;&gt;"),"00000"),""))</f>
        <v/>
      </c>
      <c r="N6942" s="22"/>
    </row>
    <row r="6943" spans="1:14" x14ac:dyDescent="0.3">
      <c r="A6943" s="15" t="str">
        <f>IF(COUNTA($B6943:$E6943,$K6943)=0,"",IF(AND($B6943&lt;&gt;"",$C6943&lt;&gt;"",$D6943&lt;&gt;"",$E6943&lt;&gt;""),"TXS"&amp;TEXT(COUNTIFS($B$2:$B6943,"&lt;&gt;",$C$2:$C6943,"&lt;&gt;",$D$2:$D6943,"&lt;&gt;",$E$2:$E6943,"&lt;&gt;"),"00000"),""))</f>
        <v/>
      </c>
      <c r="N6943" s="22"/>
    </row>
    <row r="6944" spans="1:14" x14ac:dyDescent="0.3">
      <c r="A6944" s="15" t="str">
        <f>IF(COUNTA($B6944:$E6944,$K6944)=0,"",IF(AND($B6944&lt;&gt;"",$C6944&lt;&gt;"",$D6944&lt;&gt;"",$E6944&lt;&gt;""),"TXS"&amp;TEXT(COUNTIFS($B$2:$B6944,"&lt;&gt;",$C$2:$C6944,"&lt;&gt;",$D$2:$D6944,"&lt;&gt;",$E$2:$E6944,"&lt;&gt;"),"00000"),""))</f>
        <v/>
      </c>
      <c r="N6944" s="22"/>
    </row>
    <row r="6945" spans="1:14" x14ac:dyDescent="0.3">
      <c r="A6945" s="15" t="str">
        <f>IF(COUNTA($B6945:$E6945,$K6945)=0,"",IF(AND($B6945&lt;&gt;"",$C6945&lt;&gt;"",$D6945&lt;&gt;"",$E6945&lt;&gt;""),"TXS"&amp;TEXT(COUNTIFS($B$2:$B6945,"&lt;&gt;",$C$2:$C6945,"&lt;&gt;",$D$2:$D6945,"&lt;&gt;",$E$2:$E6945,"&lt;&gt;"),"00000"),""))</f>
        <v/>
      </c>
      <c r="N6945" s="22"/>
    </row>
    <row r="6946" spans="1:14" x14ac:dyDescent="0.3">
      <c r="A6946" s="15" t="str">
        <f>IF(COUNTA($B6946:$E6946,$K6946)=0,"",IF(AND($B6946&lt;&gt;"",$C6946&lt;&gt;"",$D6946&lt;&gt;"",$E6946&lt;&gt;""),"TXS"&amp;TEXT(COUNTIFS($B$2:$B6946,"&lt;&gt;",$C$2:$C6946,"&lt;&gt;",$D$2:$D6946,"&lt;&gt;",$E$2:$E6946,"&lt;&gt;"),"00000"),""))</f>
        <v/>
      </c>
      <c r="N6946" s="22"/>
    </row>
    <row r="6947" spans="1:14" x14ac:dyDescent="0.3">
      <c r="A6947" s="15" t="str">
        <f>IF(COUNTA($B6947:$E6947,$K6947)=0,"",IF(AND($B6947&lt;&gt;"",$C6947&lt;&gt;"",$D6947&lt;&gt;"",$E6947&lt;&gt;""),"TXS"&amp;TEXT(COUNTIFS($B$2:$B6947,"&lt;&gt;",$C$2:$C6947,"&lt;&gt;",$D$2:$D6947,"&lt;&gt;",$E$2:$E6947,"&lt;&gt;"),"00000"),""))</f>
        <v/>
      </c>
      <c r="N6947" s="22"/>
    </row>
    <row r="6948" spans="1:14" x14ac:dyDescent="0.3">
      <c r="A6948" s="15" t="str">
        <f>IF(COUNTA($B6948:$E6948,$K6948)=0,"",IF(AND($B6948&lt;&gt;"",$C6948&lt;&gt;"",$D6948&lt;&gt;"",$E6948&lt;&gt;""),"TXS"&amp;TEXT(COUNTIFS($B$2:$B6948,"&lt;&gt;",$C$2:$C6948,"&lt;&gt;",$D$2:$D6948,"&lt;&gt;",$E$2:$E6948,"&lt;&gt;"),"00000"),""))</f>
        <v/>
      </c>
      <c r="N6948" s="22"/>
    </row>
    <row r="6949" spans="1:14" x14ac:dyDescent="0.3">
      <c r="A6949" s="15" t="str">
        <f>IF(COUNTA($B6949:$E6949,$K6949)=0,"",IF(AND($B6949&lt;&gt;"",$C6949&lt;&gt;"",$D6949&lt;&gt;"",$E6949&lt;&gt;""),"TXS"&amp;TEXT(COUNTIFS($B$2:$B6949,"&lt;&gt;",$C$2:$C6949,"&lt;&gt;",$D$2:$D6949,"&lt;&gt;",$E$2:$E6949,"&lt;&gt;"),"00000"),""))</f>
        <v/>
      </c>
      <c r="N6949" s="22"/>
    </row>
    <row r="6950" spans="1:14" x14ac:dyDescent="0.3">
      <c r="A6950" s="15" t="str">
        <f>IF(COUNTA($B6950:$E6950,$K6950)=0,"",IF(AND($B6950&lt;&gt;"",$C6950&lt;&gt;"",$D6950&lt;&gt;"",$E6950&lt;&gt;""),"TXS"&amp;TEXT(COUNTIFS($B$2:$B6950,"&lt;&gt;",$C$2:$C6950,"&lt;&gt;",$D$2:$D6950,"&lt;&gt;",$E$2:$E6950,"&lt;&gt;"),"00000"),""))</f>
        <v/>
      </c>
      <c r="N6950" s="22"/>
    </row>
    <row r="6951" spans="1:14" x14ac:dyDescent="0.3">
      <c r="A6951" s="15" t="str">
        <f>IF(COUNTA($B6951:$E6951,$K6951)=0,"",IF(AND($B6951&lt;&gt;"",$C6951&lt;&gt;"",$D6951&lt;&gt;"",$E6951&lt;&gt;""),"TXS"&amp;TEXT(COUNTIFS($B$2:$B6951,"&lt;&gt;",$C$2:$C6951,"&lt;&gt;",$D$2:$D6951,"&lt;&gt;",$E$2:$E6951,"&lt;&gt;"),"00000"),""))</f>
        <v/>
      </c>
      <c r="N6951" s="22"/>
    </row>
    <row r="6952" spans="1:14" x14ac:dyDescent="0.3">
      <c r="A6952" s="15" t="str">
        <f>IF(COUNTA($B6952:$E6952,$K6952)=0,"",IF(AND($B6952&lt;&gt;"",$C6952&lt;&gt;"",$D6952&lt;&gt;"",$E6952&lt;&gt;""),"TXS"&amp;TEXT(COUNTIFS($B$2:$B6952,"&lt;&gt;",$C$2:$C6952,"&lt;&gt;",$D$2:$D6952,"&lt;&gt;",$E$2:$E6952,"&lt;&gt;"),"00000"),""))</f>
        <v/>
      </c>
      <c r="N6952" s="22"/>
    </row>
    <row r="6953" spans="1:14" x14ac:dyDescent="0.3">
      <c r="A6953" s="15" t="str">
        <f>IF(COUNTA($B6953:$E6953,$K6953)=0,"",IF(AND($B6953&lt;&gt;"",$C6953&lt;&gt;"",$D6953&lt;&gt;"",$E6953&lt;&gt;""),"TXS"&amp;TEXT(COUNTIFS($B$2:$B6953,"&lt;&gt;",$C$2:$C6953,"&lt;&gt;",$D$2:$D6953,"&lt;&gt;",$E$2:$E6953,"&lt;&gt;"),"00000"),""))</f>
        <v/>
      </c>
      <c r="N6953" s="22"/>
    </row>
    <row r="6954" spans="1:14" x14ac:dyDescent="0.3">
      <c r="A6954" s="15" t="str">
        <f>IF(COUNTA($B6954:$E6954,$K6954)=0,"",IF(AND($B6954&lt;&gt;"",$C6954&lt;&gt;"",$D6954&lt;&gt;"",$E6954&lt;&gt;""),"TXS"&amp;TEXT(COUNTIFS($B$2:$B6954,"&lt;&gt;",$C$2:$C6954,"&lt;&gt;",$D$2:$D6954,"&lt;&gt;",$E$2:$E6954,"&lt;&gt;"),"00000"),""))</f>
        <v/>
      </c>
      <c r="N6954" s="22"/>
    </row>
    <row r="6955" spans="1:14" x14ac:dyDescent="0.3">
      <c r="A6955" s="15" t="str">
        <f>IF(COUNTA($B6955:$E6955,$K6955)=0,"",IF(AND($B6955&lt;&gt;"",$C6955&lt;&gt;"",$D6955&lt;&gt;"",$E6955&lt;&gt;""),"TXS"&amp;TEXT(COUNTIFS($B$2:$B6955,"&lt;&gt;",$C$2:$C6955,"&lt;&gt;",$D$2:$D6955,"&lt;&gt;",$E$2:$E6955,"&lt;&gt;"),"00000"),""))</f>
        <v/>
      </c>
      <c r="N6955" s="22"/>
    </row>
    <row r="6956" spans="1:14" x14ac:dyDescent="0.3">
      <c r="A6956" s="15" t="str">
        <f>IF(COUNTA($B6956:$E6956,$K6956)=0,"",IF(AND($B6956&lt;&gt;"",$C6956&lt;&gt;"",$D6956&lt;&gt;"",$E6956&lt;&gt;""),"TXS"&amp;TEXT(COUNTIFS($B$2:$B6956,"&lt;&gt;",$C$2:$C6956,"&lt;&gt;",$D$2:$D6956,"&lt;&gt;",$E$2:$E6956,"&lt;&gt;"),"00000"),""))</f>
        <v/>
      </c>
      <c r="N6956" s="22"/>
    </row>
    <row r="6957" spans="1:14" x14ac:dyDescent="0.3">
      <c r="A6957" s="15" t="str">
        <f>IF(COUNTA($B6957:$E6957,$K6957)=0,"",IF(AND($B6957&lt;&gt;"",$C6957&lt;&gt;"",$D6957&lt;&gt;"",$E6957&lt;&gt;""),"TXS"&amp;TEXT(COUNTIFS($B$2:$B6957,"&lt;&gt;",$C$2:$C6957,"&lt;&gt;",$D$2:$D6957,"&lt;&gt;",$E$2:$E6957,"&lt;&gt;"),"00000"),""))</f>
        <v/>
      </c>
      <c r="N6957" s="22"/>
    </row>
    <row r="6958" spans="1:14" x14ac:dyDescent="0.3">
      <c r="A6958" s="15" t="str">
        <f>IF(COUNTA($B6958:$E6958,$K6958)=0,"",IF(AND($B6958&lt;&gt;"",$C6958&lt;&gt;"",$D6958&lt;&gt;"",$E6958&lt;&gt;""),"TXS"&amp;TEXT(COUNTIFS($B$2:$B6958,"&lt;&gt;",$C$2:$C6958,"&lt;&gt;",$D$2:$D6958,"&lt;&gt;",$E$2:$E6958,"&lt;&gt;"),"00000"),""))</f>
        <v/>
      </c>
      <c r="N6958" s="22"/>
    </row>
    <row r="6959" spans="1:14" x14ac:dyDescent="0.3">
      <c r="A6959" s="15" t="str">
        <f>IF(COUNTA($B6959:$E6959,$K6959)=0,"",IF(AND($B6959&lt;&gt;"",$C6959&lt;&gt;"",$D6959&lt;&gt;"",$E6959&lt;&gt;""),"TXS"&amp;TEXT(COUNTIFS($B$2:$B6959,"&lt;&gt;",$C$2:$C6959,"&lt;&gt;",$D$2:$D6959,"&lt;&gt;",$E$2:$E6959,"&lt;&gt;"),"00000"),""))</f>
        <v/>
      </c>
      <c r="N6959" s="22"/>
    </row>
    <row r="6960" spans="1:14" x14ac:dyDescent="0.3">
      <c r="A6960" s="15" t="str">
        <f>IF(COUNTA($B6960:$E6960,$K6960)=0,"",IF(AND($B6960&lt;&gt;"",$C6960&lt;&gt;"",$D6960&lt;&gt;"",$E6960&lt;&gt;""),"TXS"&amp;TEXT(COUNTIFS($B$2:$B6960,"&lt;&gt;",$C$2:$C6960,"&lt;&gt;",$D$2:$D6960,"&lt;&gt;",$E$2:$E6960,"&lt;&gt;"),"00000"),""))</f>
        <v/>
      </c>
      <c r="N6960" s="22"/>
    </row>
    <row r="6961" spans="1:14" x14ac:dyDescent="0.3">
      <c r="A6961" s="15" t="str">
        <f>IF(COUNTA($B6961:$E6961,$K6961)=0,"",IF(AND($B6961&lt;&gt;"",$C6961&lt;&gt;"",$D6961&lt;&gt;"",$E6961&lt;&gt;""),"TXS"&amp;TEXT(COUNTIFS($B$2:$B6961,"&lt;&gt;",$C$2:$C6961,"&lt;&gt;",$D$2:$D6961,"&lt;&gt;",$E$2:$E6961,"&lt;&gt;"),"00000"),""))</f>
        <v/>
      </c>
      <c r="N6961" s="22"/>
    </row>
    <row r="6962" spans="1:14" x14ac:dyDescent="0.3">
      <c r="A6962" s="15" t="str">
        <f>IF(COUNTA($B6962:$E6962,$K6962)=0,"",IF(AND($B6962&lt;&gt;"",$C6962&lt;&gt;"",$D6962&lt;&gt;"",$E6962&lt;&gt;""),"TXS"&amp;TEXT(COUNTIFS($B$2:$B6962,"&lt;&gt;",$C$2:$C6962,"&lt;&gt;",$D$2:$D6962,"&lt;&gt;",$E$2:$E6962,"&lt;&gt;"),"00000"),""))</f>
        <v/>
      </c>
      <c r="N6962" s="22"/>
    </row>
    <row r="6963" spans="1:14" x14ac:dyDescent="0.3">
      <c r="A6963" s="15" t="str">
        <f>IF(COUNTA($B6963:$E6963,$K6963)=0,"",IF(AND($B6963&lt;&gt;"",$C6963&lt;&gt;"",$D6963&lt;&gt;"",$E6963&lt;&gt;""),"TXS"&amp;TEXT(COUNTIFS($B$2:$B6963,"&lt;&gt;",$C$2:$C6963,"&lt;&gt;",$D$2:$D6963,"&lt;&gt;",$E$2:$E6963,"&lt;&gt;"),"00000"),""))</f>
        <v/>
      </c>
      <c r="N6963" s="22"/>
    </row>
    <row r="6964" spans="1:14" x14ac:dyDescent="0.3">
      <c r="A6964" s="15" t="str">
        <f>IF(COUNTA($B6964:$E6964,$K6964)=0,"",IF(AND($B6964&lt;&gt;"",$C6964&lt;&gt;"",$D6964&lt;&gt;"",$E6964&lt;&gt;""),"TXS"&amp;TEXT(COUNTIFS($B$2:$B6964,"&lt;&gt;",$C$2:$C6964,"&lt;&gt;",$D$2:$D6964,"&lt;&gt;",$E$2:$E6964,"&lt;&gt;"),"00000"),""))</f>
        <v/>
      </c>
      <c r="N6964" s="22"/>
    </row>
    <row r="6965" spans="1:14" x14ac:dyDescent="0.3">
      <c r="A6965" s="15" t="str">
        <f>IF(COUNTA($B6965:$E6965,$K6965)=0,"",IF(AND($B6965&lt;&gt;"",$C6965&lt;&gt;"",$D6965&lt;&gt;"",$E6965&lt;&gt;""),"TXS"&amp;TEXT(COUNTIFS($B$2:$B6965,"&lt;&gt;",$C$2:$C6965,"&lt;&gt;",$D$2:$D6965,"&lt;&gt;",$E$2:$E6965,"&lt;&gt;"),"00000"),""))</f>
        <v/>
      </c>
      <c r="N6965" s="22"/>
    </row>
    <row r="6966" spans="1:14" x14ac:dyDescent="0.3">
      <c r="A6966" s="15" t="str">
        <f>IF(COUNTA($B6966:$E6966,$K6966)=0,"",IF(AND($B6966&lt;&gt;"",$C6966&lt;&gt;"",$D6966&lt;&gt;"",$E6966&lt;&gt;""),"TXS"&amp;TEXT(COUNTIFS($B$2:$B6966,"&lt;&gt;",$C$2:$C6966,"&lt;&gt;",$D$2:$D6966,"&lt;&gt;",$E$2:$E6966,"&lt;&gt;"),"00000"),""))</f>
        <v/>
      </c>
      <c r="N6966" s="22"/>
    </row>
    <row r="6967" spans="1:14" x14ac:dyDescent="0.3">
      <c r="A6967" s="15" t="str">
        <f>IF(COUNTA($B6967:$E6967,$K6967)=0,"",IF(AND($B6967&lt;&gt;"",$C6967&lt;&gt;"",$D6967&lt;&gt;"",$E6967&lt;&gt;""),"TXS"&amp;TEXT(COUNTIFS($B$2:$B6967,"&lt;&gt;",$C$2:$C6967,"&lt;&gt;",$D$2:$D6967,"&lt;&gt;",$E$2:$E6967,"&lt;&gt;"),"00000"),""))</f>
        <v/>
      </c>
      <c r="N6967" s="22"/>
    </row>
    <row r="6968" spans="1:14" x14ac:dyDescent="0.3">
      <c r="A6968" s="15" t="str">
        <f>IF(COUNTA($B6968:$E6968,$K6968)=0,"",IF(AND($B6968&lt;&gt;"",$C6968&lt;&gt;"",$D6968&lt;&gt;"",$E6968&lt;&gt;""),"TXS"&amp;TEXT(COUNTIFS($B$2:$B6968,"&lt;&gt;",$C$2:$C6968,"&lt;&gt;",$D$2:$D6968,"&lt;&gt;",$E$2:$E6968,"&lt;&gt;"),"00000"),""))</f>
        <v/>
      </c>
      <c r="N6968" s="22"/>
    </row>
    <row r="6969" spans="1:14" x14ac:dyDescent="0.3">
      <c r="A6969" s="15" t="str">
        <f>IF(COUNTA($B6969:$E6969,$K6969)=0,"",IF(AND($B6969&lt;&gt;"",$C6969&lt;&gt;"",$D6969&lt;&gt;"",$E6969&lt;&gt;""),"TXS"&amp;TEXT(COUNTIFS($B$2:$B6969,"&lt;&gt;",$C$2:$C6969,"&lt;&gt;",$D$2:$D6969,"&lt;&gt;",$E$2:$E6969,"&lt;&gt;"),"00000"),""))</f>
        <v/>
      </c>
      <c r="N6969" s="22"/>
    </row>
    <row r="6970" spans="1:14" x14ac:dyDescent="0.3">
      <c r="A6970" s="15" t="str">
        <f>IF(COUNTA($B6970:$E6970,$K6970)=0,"",IF(AND($B6970&lt;&gt;"",$C6970&lt;&gt;"",$D6970&lt;&gt;"",$E6970&lt;&gt;""),"TXS"&amp;TEXT(COUNTIFS($B$2:$B6970,"&lt;&gt;",$C$2:$C6970,"&lt;&gt;",$D$2:$D6970,"&lt;&gt;",$E$2:$E6970,"&lt;&gt;"),"00000"),""))</f>
        <v/>
      </c>
      <c r="N6970" s="22"/>
    </row>
    <row r="6971" spans="1:14" x14ac:dyDescent="0.3">
      <c r="A6971" s="15" t="str">
        <f>IF(COUNTA($B6971:$E6971,$K6971)=0,"",IF(AND($B6971&lt;&gt;"",$C6971&lt;&gt;"",$D6971&lt;&gt;"",$E6971&lt;&gt;""),"TXS"&amp;TEXT(COUNTIFS($B$2:$B6971,"&lt;&gt;",$C$2:$C6971,"&lt;&gt;",$D$2:$D6971,"&lt;&gt;",$E$2:$E6971,"&lt;&gt;"),"00000"),""))</f>
        <v/>
      </c>
      <c r="N6971" s="22"/>
    </row>
    <row r="6972" spans="1:14" x14ac:dyDescent="0.3">
      <c r="A6972" s="15" t="str">
        <f>IF(COUNTA($B6972:$E6972,$K6972)=0,"",IF(AND($B6972&lt;&gt;"",$C6972&lt;&gt;"",$D6972&lt;&gt;"",$E6972&lt;&gt;""),"TXS"&amp;TEXT(COUNTIFS($B$2:$B6972,"&lt;&gt;",$C$2:$C6972,"&lt;&gt;",$D$2:$D6972,"&lt;&gt;",$E$2:$E6972,"&lt;&gt;"),"00000"),""))</f>
        <v/>
      </c>
      <c r="N6972" s="22"/>
    </row>
    <row r="6973" spans="1:14" x14ac:dyDescent="0.3">
      <c r="A6973" s="15" t="str">
        <f>IF(COUNTA($B6973:$E6973,$K6973)=0,"",IF(AND($B6973&lt;&gt;"",$C6973&lt;&gt;"",$D6973&lt;&gt;"",$E6973&lt;&gt;""),"TXS"&amp;TEXT(COUNTIFS($B$2:$B6973,"&lt;&gt;",$C$2:$C6973,"&lt;&gt;",$D$2:$D6973,"&lt;&gt;",$E$2:$E6973,"&lt;&gt;"),"00000"),""))</f>
        <v/>
      </c>
      <c r="N6973" s="22"/>
    </row>
    <row r="6974" spans="1:14" x14ac:dyDescent="0.3">
      <c r="A6974" s="15" t="str">
        <f>IF(COUNTA($B6974:$E6974,$K6974)=0,"",IF(AND($B6974&lt;&gt;"",$C6974&lt;&gt;"",$D6974&lt;&gt;"",$E6974&lt;&gt;""),"TXS"&amp;TEXT(COUNTIFS($B$2:$B6974,"&lt;&gt;",$C$2:$C6974,"&lt;&gt;",$D$2:$D6974,"&lt;&gt;",$E$2:$E6974,"&lt;&gt;"),"00000"),""))</f>
        <v/>
      </c>
      <c r="N6974" s="22"/>
    </row>
    <row r="6975" spans="1:14" x14ac:dyDescent="0.3">
      <c r="A6975" s="15" t="str">
        <f>IF(COUNTA($B6975:$E6975,$K6975)=0,"",IF(AND($B6975&lt;&gt;"",$C6975&lt;&gt;"",$D6975&lt;&gt;"",$E6975&lt;&gt;""),"TXS"&amp;TEXT(COUNTIFS($B$2:$B6975,"&lt;&gt;",$C$2:$C6975,"&lt;&gt;",$D$2:$D6975,"&lt;&gt;",$E$2:$E6975,"&lt;&gt;"),"00000"),""))</f>
        <v/>
      </c>
      <c r="N6975" s="22"/>
    </row>
    <row r="6976" spans="1:14" x14ac:dyDescent="0.3">
      <c r="A6976" s="15" t="str">
        <f>IF(COUNTA($B6976:$E6976,$K6976)=0,"",IF(AND($B6976&lt;&gt;"",$C6976&lt;&gt;"",$D6976&lt;&gt;"",$E6976&lt;&gt;""),"TXS"&amp;TEXT(COUNTIFS($B$2:$B6976,"&lt;&gt;",$C$2:$C6976,"&lt;&gt;",$D$2:$D6976,"&lt;&gt;",$E$2:$E6976,"&lt;&gt;"),"00000"),""))</f>
        <v/>
      </c>
      <c r="N6976" s="22"/>
    </row>
    <row r="6977" spans="1:14" x14ac:dyDescent="0.3">
      <c r="A6977" s="15" t="str">
        <f>IF(COUNTA($B6977:$E6977,$K6977)=0,"",IF(AND($B6977&lt;&gt;"",$C6977&lt;&gt;"",$D6977&lt;&gt;"",$E6977&lt;&gt;""),"TXS"&amp;TEXT(COUNTIFS($B$2:$B6977,"&lt;&gt;",$C$2:$C6977,"&lt;&gt;",$D$2:$D6977,"&lt;&gt;",$E$2:$E6977,"&lt;&gt;"),"00000"),""))</f>
        <v/>
      </c>
      <c r="N6977" s="22"/>
    </row>
    <row r="6978" spans="1:14" x14ac:dyDescent="0.3">
      <c r="A6978" s="15" t="str">
        <f>IF(COUNTA($B6978:$E6978,$K6978)=0,"",IF(AND($B6978&lt;&gt;"",$C6978&lt;&gt;"",$D6978&lt;&gt;"",$E6978&lt;&gt;""),"TXS"&amp;TEXT(COUNTIFS($B$2:$B6978,"&lt;&gt;",$C$2:$C6978,"&lt;&gt;",$D$2:$D6978,"&lt;&gt;",$E$2:$E6978,"&lt;&gt;"),"00000"),""))</f>
        <v/>
      </c>
      <c r="N6978" s="22"/>
    </row>
    <row r="6979" spans="1:14" x14ac:dyDescent="0.3">
      <c r="A6979" s="15" t="str">
        <f>IF(COUNTA($B6979:$E6979,$K6979)=0,"",IF(AND($B6979&lt;&gt;"",$C6979&lt;&gt;"",$D6979&lt;&gt;"",$E6979&lt;&gt;""),"TXS"&amp;TEXT(COUNTIFS($B$2:$B6979,"&lt;&gt;",$C$2:$C6979,"&lt;&gt;",$D$2:$D6979,"&lt;&gt;",$E$2:$E6979,"&lt;&gt;"),"00000"),""))</f>
        <v/>
      </c>
      <c r="N6979" s="22"/>
    </row>
    <row r="6980" spans="1:14" x14ac:dyDescent="0.3">
      <c r="A6980" s="15" t="str">
        <f>IF(COUNTA($B6980:$E6980,$K6980)=0,"",IF(AND($B6980&lt;&gt;"",$C6980&lt;&gt;"",$D6980&lt;&gt;"",$E6980&lt;&gt;""),"TXS"&amp;TEXT(COUNTIFS($B$2:$B6980,"&lt;&gt;",$C$2:$C6980,"&lt;&gt;",$D$2:$D6980,"&lt;&gt;",$E$2:$E6980,"&lt;&gt;"),"00000"),""))</f>
        <v/>
      </c>
      <c r="N6980" s="22"/>
    </row>
    <row r="6981" spans="1:14" x14ac:dyDescent="0.3">
      <c r="A6981" s="15" t="str">
        <f>IF(COUNTA($B6981:$E6981,$K6981)=0,"",IF(AND($B6981&lt;&gt;"",$C6981&lt;&gt;"",$D6981&lt;&gt;"",$E6981&lt;&gt;""),"TXS"&amp;TEXT(COUNTIFS($B$2:$B6981,"&lt;&gt;",$C$2:$C6981,"&lt;&gt;",$D$2:$D6981,"&lt;&gt;",$E$2:$E6981,"&lt;&gt;"),"00000"),""))</f>
        <v/>
      </c>
      <c r="N6981" s="22"/>
    </row>
    <row r="6982" spans="1:14" x14ac:dyDescent="0.3">
      <c r="A6982" s="15" t="str">
        <f>IF(COUNTA($B6982:$E6982,$K6982)=0,"",IF(AND($B6982&lt;&gt;"",$C6982&lt;&gt;"",$D6982&lt;&gt;"",$E6982&lt;&gt;""),"TXS"&amp;TEXT(COUNTIFS($B$2:$B6982,"&lt;&gt;",$C$2:$C6982,"&lt;&gt;",$D$2:$D6982,"&lt;&gt;",$E$2:$E6982,"&lt;&gt;"),"00000"),""))</f>
        <v/>
      </c>
      <c r="N6982" s="22"/>
    </row>
    <row r="6983" spans="1:14" x14ac:dyDescent="0.3">
      <c r="A6983" s="15" t="str">
        <f>IF(COUNTA($B6983:$E6983,$K6983)=0,"",IF(AND($B6983&lt;&gt;"",$C6983&lt;&gt;"",$D6983&lt;&gt;"",$E6983&lt;&gt;""),"TXS"&amp;TEXT(COUNTIFS($B$2:$B6983,"&lt;&gt;",$C$2:$C6983,"&lt;&gt;",$D$2:$D6983,"&lt;&gt;",$E$2:$E6983,"&lt;&gt;"),"00000"),""))</f>
        <v/>
      </c>
      <c r="N6983" s="22"/>
    </row>
    <row r="6984" spans="1:14" x14ac:dyDescent="0.3">
      <c r="A6984" s="15" t="str">
        <f>IF(COUNTA($B6984:$E6984,$K6984)=0,"",IF(AND($B6984&lt;&gt;"",$C6984&lt;&gt;"",$D6984&lt;&gt;"",$E6984&lt;&gt;""),"TXS"&amp;TEXT(COUNTIFS($B$2:$B6984,"&lt;&gt;",$C$2:$C6984,"&lt;&gt;",$D$2:$D6984,"&lt;&gt;",$E$2:$E6984,"&lt;&gt;"),"00000"),""))</f>
        <v/>
      </c>
      <c r="N6984" s="22"/>
    </row>
    <row r="6985" spans="1:14" x14ac:dyDescent="0.3">
      <c r="A6985" s="15" t="str">
        <f>IF(COUNTA($B6985:$E6985,$K6985)=0,"",IF(AND($B6985&lt;&gt;"",$C6985&lt;&gt;"",$D6985&lt;&gt;"",$E6985&lt;&gt;""),"TXS"&amp;TEXT(COUNTIFS($B$2:$B6985,"&lt;&gt;",$C$2:$C6985,"&lt;&gt;",$D$2:$D6985,"&lt;&gt;",$E$2:$E6985,"&lt;&gt;"),"00000"),""))</f>
        <v/>
      </c>
      <c r="N6985" s="22"/>
    </row>
    <row r="6986" spans="1:14" x14ac:dyDescent="0.3">
      <c r="A6986" s="15" t="str">
        <f>IF(COUNTA($B6986:$E6986,$K6986)=0,"",IF(AND($B6986&lt;&gt;"",$C6986&lt;&gt;"",$D6986&lt;&gt;"",$E6986&lt;&gt;""),"TXS"&amp;TEXT(COUNTIFS($B$2:$B6986,"&lt;&gt;",$C$2:$C6986,"&lt;&gt;",$D$2:$D6986,"&lt;&gt;",$E$2:$E6986,"&lt;&gt;"),"00000"),""))</f>
        <v/>
      </c>
      <c r="N6986" s="22"/>
    </row>
    <row r="6987" spans="1:14" x14ac:dyDescent="0.3">
      <c r="A6987" s="15" t="str">
        <f>IF(COUNTA($B6987:$E6987,$K6987)=0,"",IF(AND($B6987&lt;&gt;"",$C6987&lt;&gt;"",$D6987&lt;&gt;"",$E6987&lt;&gt;""),"TXS"&amp;TEXT(COUNTIFS($B$2:$B6987,"&lt;&gt;",$C$2:$C6987,"&lt;&gt;",$D$2:$D6987,"&lt;&gt;",$E$2:$E6987,"&lt;&gt;"),"00000"),""))</f>
        <v/>
      </c>
      <c r="N6987" s="22"/>
    </row>
    <row r="6988" spans="1:14" x14ac:dyDescent="0.3">
      <c r="A6988" s="15" t="str">
        <f>IF(COUNTA($B6988:$E6988,$K6988)=0,"",IF(AND($B6988&lt;&gt;"",$C6988&lt;&gt;"",$D6988&lt;&gt;"",$E6988&lt;&gt;""),"TXS"&amp;TEXT(COUNTIFS($B$2:$B6988,"&lt;&gt;",$C$2:$C6988,"&lt;&gt;",$D$2:$D6988,"&lt;&gt;",$E$2:$E6988,"&lt;&gt;"),"00000"),""))</f>
        <v/>
      </c>
      <c r="N6988" s="22"/>
    </row>
    <row r="6989" spans="1:14" x14ac:dyDescent="0.3">
      <c r="A6989" s="15" t="str">
        <f>IF(COUNTA($B6989:$E6989,$K6989)=0,"",IF(AND($B6989&lt;&gt;"",$C6989&lt;&gt;"",$D6989&lt;&gt;"",$E6989&lt;&gt;""),"TXS"&amp;TEXT(COUNTIFS($B$2:$B6989,"&lt;&gt;",$C$2:$C6989,"&lt;&gt;",$D$2:$D6989,"&lt;&gt;",$E$2:$E6989,"&lt;&gt;"),"00000"),""))</f>
        <v/>
      </c>
      <c r="N6989" s="22"/>
    </row>
    <row r="6990" spans="1:14" x14ac:dyDescent="0.3">
      <c r="A6990" s="15" t="str">
        <f>IF(COUNTA($B6990:$E6990,$K6990)=0,"",IF(AND($B6990&lt;&gt;"",$C6990&lt;&gt;"",$D6990&lt;&gt;"",$E6990&lt;&gt;""),"TXS"&amp;TEXT(COUNTIFS($B$2:$B6990,"&lt;&gt;",$C$2:$C6990,"&lt;&gt;",$D$2:$D6990,"&lt;&gt;",$E$2:$E6990,"&lt;&gt;"),"00000"),""))</f>
        <v/>
      </c>
      <c r="N6990" s="22"/>
    </row>
    <row r="6991" spans="1:14" x14ac:dyDescent="0.3">
      <c r="A6991" s="15" t="str">
        <f>IF(COUNTA($B6991:$E6991,$K6991)=0,"",IF(AND($B6991&lt;&gt;"",$C6991&lt;&gt;"",$D6991&lt;&gt;"",$E6991&lt;&gt;""),"TXS"&amp;TEXT(COUNTIFS($B$2:$B6991,"&lt;&gt;",$C$2:$C6991,"&lt;&gt;",$D$2:$D6991,"&lt;&gt;",$E$2:$E6991,"&lt;&gt;"),"00000"),""))</f>
        <v/>
      </c>
      <c r="N6991" s="22"/>
    </row>
    <row r="6992" spans="1:14" x14ac:dyDescent="0.3">
      <c r="A6992" s="15" t="str">
        <f>IF(COUNTA($B6992:$E6992,$K6992)=0,"",IF(AND($B6992&lt;&gt;"",$C6992&lt;&gt;"",$D6992&lt;&gt;"",$E6992&lt;&gt;""),"TXS"&amp;TEXT(COUNTIFS($B$2:$B6992,"&lt;&gt;",$C$2:$C6992,"&lt;&gt;",$D$2:$D6992,"&lt;&gt;",$E$2:$E6992,"&lt;&gt;"),"00000"),""))</f>
        <v/>
      </c>
      <c r="N6992" s="22"/>
    </row>
    <row r="6993" spans="1:14" x14ac:dyDescent="0.3">
      <c r="A6993" s="15" t="str">
        <f>IF(COUNTA($B6993:$E6993,$K6993)=0,"",IF(AND($B6993&lt;&gt;"",$C6993&lt;&gt;"",$D6993&lt;&gt;"",$E6993&lt;&gt;""),"TXS"&amp;TEXT(COUNTIFS($B$2:$B6993,"&lt;&gt;",$C$2:$C6993,"&lt;&gt;",$D$2:$D6993,"&lt;&gt;",$E$2:$E6993,"&lt;&gt;"),"00000"),""))</f>
        <v/>
      </c>
      <c r="N6993" s="22"/>
    </row>
    <row r="6994" spans="1:14" x14ac:dyDescent="0.3">
      <c r="A6994" s="15" t="str">
        <f>IF(COUNTA($B6994:$E6994,$K6994)=0,"",IF(AND($B6994&lt;&gt;"",$C6994&lt;&gt;"",$D6994&lt;&gt;"",$E6994&lt;&gt;""),"TXS"&amp;TEXT(COUNTIFS($B$2:$B6994,"&lt;&gt;",$C$2:$C6994,"&lt;&gt;",$D$2:$D6994,"&lt;&gt;",$E$2:$E6994,"&lt;&gt;"),"00000"),""))</f>
        <v/>
      </c>
      <c r="N6994" s="22"/>
    </row>
    <row r="6995" spans="1:14" x14ac:dyDescent="0.3">
      <c r="A6995" s="15" t="str">
        <f>IF(COUNTA($B6995:$E6995,$K6995)=0,"",IF(AND($B6995&lt;&gt;"",$C6995&lt;&gt;"",$D6995&lt;&gt;"",$E6995&lt;&gt;""),"TXS"&amp;TEXT(COUNTIFS($B$2:$B6995,"&lt;&gt;",$C$2:$C6995,"&lt;&gt;",$D$2:$D6995,"&lt;&gt;",$E$2:$E6995,"&lt;&gt;"),"00000"),""))</f>
        <v/>
      </c>
      <c r="N6995" s="22"/>
    </row>
    <row r="6996" spans="1:14" x14ac:dyDescent="0.3">
      <c r="A6996" s="15" t="str">
        <f>IF(COUNTA($B6996:$E6996,$K6996)=0,"",IF(AND($B6996&lt;&gt;"",$C6996&lt;&gt;"",$D6996&lt;&gt;"",$E6996&lt;&gt;""),"TXS"&amp;TEXT(COUNTIFS($B$2:$B6996,"&lt;&gt;",$C$2:$C6996,"&lt;&gt;",$D$2:$D6996,"&lt;&gt;",$E$2:$E6996,"&lt;&gt;"),"00000"),""))</f>
        <v/>
      </c>
      <c r="N6996" s="22"/>
    </row>
    <row r="6997" spans="1:14" x14ac:dyDescent="0.3">
      <c r="A6997" s="15" t="str">
        <f>IF(COUNTA($B6997:$E6997,$K6997)=0,"",IF(AND($B6997&lt;&gt;"",$C6997&lt;&gt;"",$D6997&lt;&gt;"",$E6997&lt;&gt;""),"TXS"&amp;TEXT(COUNTIFS($B$2:$B6997,"&lt;&gt;",$C$2:$C6997,"&lt;&gt;",$D$2:$D6997,"&lt;&gt;",$E$2:$E6997,"&lt;&gt;"),"00000"),""))</f>
        <v/>
      </c>
      <c r="N6997" s="22"/>
    </row>
    <row r="6998" spans="1:14" x14ac:dyDescent="0.3">
      <c r="A6998" s="15" t="str">
        <f>IF(COUNTA($B6998:$E6998,$K6998)=0,"",IF(AND($B6998&lt;&gt;"",$C6998&lt;&gt;"",$D6998&lt;&gt;"",$E6998&lt;&gt;""),"TXS"&amp;TEXT(COUNTIFS($B$2:$B6998,"&lt;&gt;",$C$2:$C6998,"&lt;&gt;",$D$2:$D6998,"&lt;&gt;",$E$2:$E6998,"&lt;&gt;"),"00000"),""))</f>
        <v/>
      </c>
      <c r="N6998" s="22"/>
    </row>
    <row r="6999" spans="1:14" x14ac:dyDescent="0.3">
      <c r="A6999" s="15" t="str">
        <f>IF(COUNTA($B6999:$E6999,$K6999)=0,"",IF(AND($B6999&lt;&gt;"",$C6999&lt;&gt;"",$D6999&lt;&gt;"",$E6999&lt;&gt;""),"TXS"&amp;TEXT(COUNTIFS($B$2:$B6999,"&lt;&gt;",$C$2:$C6999,"&lt;&gt;",$D$2:$D6999,"&lt;&gt;",$E$2:$E6999,"&lt;&gt;"),"00000"),""))</f>
        <v/>
      </c>
      <c r="N6999" s="22"/>
    </row>
    <row r="7000" spans="1:14" x14ac:dyDescent="0.3">
      <c r="A7000" s="15" t="str">
        <f>IF(COUNTA($B7000:$E7000,$K7000)=0,"",IF(AND($B7000&lt;&gt;"",$C7000&lt;&gt;"",$D7000&lt;&gt;"",$E7000&lt;&gt;""),"TXS"&amp;TEXT(COUNTIFS($B$2:$B7000,"&lt;&gt;",$C$2:$C7000,"&lt;&gt;",$D$2:$D7000,"&lt;&gt;",$E$2:$E7000,"&lt;&gt;"),"00000"),""))</f>
        <v/>
      </c>
      <c r="N7000" s="22"/>
    </row>
    <row r="7001" spans="1:14" x14ac:dyDescent="0.3">
      <c r="A7001" s="15" t="str">
        <f>IF(COUNTA($B7001:$E7001,$K7001)=0,"",IF(AND($B7001&lt;&gt;"",$C7001&lt;&gt;"",$D7001&lt;&gt;"",$E7001&lt;&gt;""),"TXS"&amp;TEXT(COUNTIFS($B$2:$B7001,"&lt;&gt;",$C$2:$C7001,"&lt;&gt;",$D$2:$D7001,"&lt;&gt;",$E$2:$E7001,"&lt;&gt;"),"00000"),""))</f>
        <v/>
      </c>
      <c r="N7001" s="22"/>
    </row>
    <row r="7002" spans="1:14" x14ac:dyDescent="0.3">
      <c r="A7002" s="15" t="str">
        <f>IF(COUNTA($B7002:$E7002,$K7002)=0,"",IF(AND($B7002&lt;&gt;"",$C7002&lt;&gt;"",$D7002&lt;&gt;"",$E7002&lt;&gt;""),"TXS"&amp;TEXT(COUNTIFS($B$2:$B7002,"&lt;&gt;",$C$2:$C7002,"&lt;&gt;",$D$2:$D7002,"&lt;&gt;",$E$2:$E7002,"&lt;&gt;"),"00000"),""))</f>
        <v/>
      </c>
      <c r="N7002" s="22"/>
    </row>
    <row r="7003" spans="1:14" x14ac:dyDescent="0.3">
      <c r="A7003" s="15" t="str">
        <f>IF(COUNTA($B7003:$E7003,$K7003)=0,"",IF(AND($B7003&lt;&gt;"",$C7003&lt;&gt;"",$D7003&lt;&gt;"",$E7003&lt;&gt;""),"TXS"&amp;TEXT(COUNTIFS($B$2:$B7003,"&lt;&gt;",$C$2:$C7003,"&lt;&gt;",$D$2:$D7003,"&lt;&gt;",$E$2:$E7003,"&lt;&gt;"),"00000"),""))</f>
        <v/>
      </c>
      <c r="N7003" s="22"/>
    </row>
    <row r="7004" spans="1:14" x14ac:dyDescent="0.3">
      <c r="A7004" s="15" t="str">
        <f>IF(COUNTA($B7004:$E7004,$K7004)=0,"",IF(AND($B7004&lt;&gt;"",$C7004&lt;&gt;"",$D7004&lt;&gt;"",$E7004&lt;&gt;""),"TXS"&amp;TEXT(COUNTIFS($B$2:$B7004,"&lt;&gt;",$C$2:$C7004,"&lt;&gt;",$D$2:$D7004,"&lt;&gt;",$E$2:$E7004,"&lt;&gt;"),"00000"),""))</f>
        <v/>
      </c>
      <c r="N7004" s="22"/>
    </row>
    <row r="7005" spans="1:14" x14ac:dyDescent="0.3">
      <c r="A7005" s="15" t="str">
        <f>IF(COUNTA($B7005:$E7005,$K7005)=0,"",IF(AND($B7005&lt;&gt;"",$C7005&lt;&gt;"",$D7005&lt;&gt;"",$E7005&lt;&gt;""),"TXS"&amp;TEXT(COUNTIFS($B$2:$B7005,"&lt;&gt;",$C$2:$C7005,"&lt;&gt;",$D$2:$D7005,"&lt;&gt;",$E$2:$E7005,"&lt;&gt;"),"00000"),""))</f>
        <v/>
      </c>
      <c r="N7005" s="22"/>
    </row>
    <row r="7006" spans="1:14" x14ac:dyDescent="0.3">
      <c r="A7006" s="15" t="str">
        <f>IF(COUNTA($B7006:$E7006,$K7006)=0,"",IF(AND($B7006&lt;&gt;"",$C7006&lt;&gt;"",$D7006&lt;&gt;"",$E7006&lt;&gt;""),"TXS"&amp;TEXT(COUNTIFS($B$2:$B7006,"&lt;&gt;",$C$2:$C7006,"&lt;&gt;",$D$2:$D7006,"&lt;&gt;",$E$2:$E7006,"&lt;&gt;"),"00000"),""))</f>
        <v/>
      </c>
      <c r="N7006" s="22"/>
    </row>
    <row r="7007" spans="1:14" x14ac:dyDescent="0.3">
      <c r="A7007" s="15" t="str">
        <f>IF(COUNTA($B7007:$E7007,$K7007)=0,"",IF(AND($B7007&lt;&gt;"",$C7007&lt;&gt;"",$D7007&lt;&gt;"",$E7007&lt;&gt;""),"TXS"&amp;TEXT(COUNTIFS($B$2:$B7007,"&lt;&gt;",$C$2:$C7007,"&lt;&gt;",$D$2:$D7007,"&lt;&gt;",$E$2:$E7007,"&lt;&gt;"),"00000"),""))</f>
        <v/>
      </c>
      <c r="N7007" s="22"/>
    </row>
    <row r="7008" spans="1:14" x14ac:dyDescent="0.3">
      <c r="A7008" s="15" t="str">
        <f>IF(COUNTA($B7008:$E7008,$K7008)=0,"",IF(AND($B7008&lt;&gt;"",$C7008&lt;&gt;"",$D7008&lt;&gt;"",$E7008&lt;&gt;""),"TXS"&amp;TEXT(COUNTIFS($B$2:$B7008,"&lt;&gt;",$C$2:$C7008,"&lt;&gt;",$D$2:$D7008,"&lt;&gt;",$E$2:$E7008,"&lt;&gt;"),"00000"),""))</f>
        <v/>
      </c>
      <c r="N7008" s="22"/>
    </row>
    <row r="7009" spans="1:14" x14ac:dyDescent="0.3">
      <c r="A7009" s="15" t="str">
        <f>IF(COUNTA($B7009:$E7009,$K7009)=0,"",IF(AND($B7009&lt;&gt;"",$C7009&lt;&gt;"",$D7009&lt;&gt;"",$E7009&lt;&gt;""),"TXS"&amp;TEXT(COUNTIFS($B$2:$B7009,"&lt;&gt;",$C$2:$C7009,"&lt;&gt;",$D$2:$D7009,"&lt;&gt;",$E$2:$E7009,"&lt;&gt;"),"00000"),""))</f>
        <v/>
      </c>
      <c r="N7009" s="22"/>
    </row>
    <row r="7010" spans="1:14" x14ac:dyDescent="0.3">
      <c r="A7010" s="15" t="str">
        <f>IF(COUNTA($B7010:$E7010,$K7010)=0,"",IF(AND($B7010&lt;&gt;"",$C7010&lt;&gt;"",$D7010&lt;&gt;"",$E7010&lt;&gt;""),"TXS"&amp;TEXT(COUNTIFS($B$2:$B7010,"&lt;&gt;",$C$2:$C7010,"&lt;&gt;",$D$2:$D7010,"&lt;&gt;",$E$2:$E7010,"&lt;&gt;"),"00000"),""))</f>
        <v/>
      </c>
      <c r="N7010" s="22"/>
    </row>
    <row r="7011" spans="1:14" x14ac:dyDescent="0.3">
      <c r="A7011" s="15" t="str">
        <f>IF(COUNTA($B7011:$E7011,$K7011)=0,"",IF(AND($B7011&lt;&gt;"",$C7011&lt;&gt;"",$D7011&lt;&gt;"",$E7011&lt;&gt;""),"TXS"&amp;TEXT(COUNTIFS($B$2:$B7011,"&lt;&gt;",$C$2:$C7011,"&lt;&gt;",$D$2:$D7011,"&lt;&gt;",$E$2:$E7011,"&lt;&gt;"),"00000"),""))</f>
        <v/>
      </c>
      <c r="N7011" s="22"/>
    </row>
    <row r="7012" spans="1:14" x14ac:dyDescent="0.3">
      <c r="A7012" s="15" t="str">
        <f>IF(COUNTA($B7012:$E7012,$K7012)=0,"",IF(AND($B7012&lt;&gt;"",$C7012&lt;&gt;"",$D7012&lt;&gt;"",$E7012&lt;&gt;""),"TXS"&amp;TEXT(COUNTIFS($B$2:$B7012,"&lt;&gt;",$C$2:$C7012,"&lt;&gt;",$D$2:$D7012,"&lt;&gt;",$E$2:$E7012,"&lt;&gt;"),"00000"),""))</f>
        <v/>
      </c>
      <c r="N7012" s="22"/>
    </row>
    <row r="7013" spans="1:14" x14ac:dyDescent="0.3">
      <c r="A7013" s="15" t="str">
        <f>IF(COUNTA($B7013:$E7013,$K7013)=0,"",IF(AND($B7013&lt;&gt;"",$C7013&lt;&gt;"",$D7013&lt;&gt;"",$E7013&lt;&gt;""),"TXS"&amp;TEXT(COUNTIFS($B$2:$B7013,"&lt;&gt;",$C$2:$C7013,"&lt;&gt;",$D$2:$D7013,"&lt;&gt;",$E$2:$E7013,"&lt;&gt;"),"00000"),""))</f>
        <v/>
      </c>
      <c r="N7013" s="22"/>
    </row>
    <row r="7014" spans="1:14" x14ac:dyDescent="0.3">
      <c r="A7014" s="15" t="str">
        <f>IF(COUNTA($B7014:$E7014,$K7014)=0,"",IF(AND($B7014&lt;&gt;"",$C7014&lt;&gt;"",$D7014&lt;&gt;"",$E7014&lt;&gt;""),"TXS"&amp;TEXT(COUNTIFS($B$2:$B7014,"&lt;&gt;",$C$2:$C7014,"&lt;&gt;",$D$2:$D7014,"&lt;&gt;",$E$2:$E7014,"&lt;&gt;"),"00000"),""))</f>
        <v/>
      </c>
      <c r="N7014" s="22"/>
    </row>
    <row r="7015" spans="1:14" x14ac:dyDescent="0.3">
      <c r="A7015" s="15" t="str">
        <f>IF(COUNTA($B7015:$E7015,$K7015)=0,"",IF(AND($B7015&lt;&gt;"",$C7015&lt;&gt;"",$D7015&lt;&gt;"",$E7015&lt;&gt;""),"TXS"&amp;TEXT(COUNTIFS($B$2:$B7015,"&lt;&gt;",$C$2:$C7015,"&lt;&gt;",$D$2:$D7015,"&lt;&gt;",$E$2:$E7015,"&lt;&gt;"),"00000"),""))</f>
        <v/>
      </c>
      <c r="N7015" s="22"/>
    </row>
    <row r="7016" spans="1:14" x14ac:dyDescent="0.3">
      <c r="A7016" s="15" t="str">
        <f>IF(COUNTA($B7016:$E7016,$K7016)=0,"",IF(AND($B7016&lt;&gt;"",$C7016&lt;&gt;"",$D7016&lt;&gt;"",$E7016&lt;&gt;""),"TXS"&amp;TEXT(COUNTIFS($B$2:$B7016,"&lt;&gt;",$C$2:$C7016,"&lt;&gt;",$D$2:$D7016,"&lt;&gt;",$E$2:$E7016,"&lt;&gt;"),"00000"),""))</f>
        <v/>
      </c>
      <c r="N7016" s="22"/>
    </row>
    <row r="7017" spans="1:14" x14ac:dyDescent="0.3">
      <c r="A7017" s="15" t="str">
        <f>IF(COUNTA($B7017:$E7017,$K7017)=0,"",IF(AND($B7017&lt;&gt;"",$C7017&lt;&gt;"",$D7017&lt;&gt;"",$E7017&lt;&gt;""),"TXS"&amp;TEXT(COUNTIFS($B$2:$B7017,"&lt;&gt;",$C$2:$C7017,"&lt;&gt;",$D$2:$D7017,"&lt;&gt;",$E$2:$E7017,"&lt;&gt;"),"00000"),""))</f>
        <v/>
      </c>
      <c r="N7017" s="22"/>
    </row>
    <row r="7018" spans="1:14" x14ac:dyDescent="0.3">
      <c r="A7018" s="15" t="str">
        <f>IF(COUNTA($B7018:$E7018,$K7018)=0,"",IF(AND($B7018&lt;&gt;"",$C7018&lt;&gt;"",$D7018&lt;&gt;"",$E7018&lt;&gt;""),"TXS"&amp;TEXT(COUNTIFS($B$2:$B7018,"&lt;&gt;",$C$2:$C7018,"&lt;&gt;",$D$2:$D7018,"&lt;&gt;",$E$2:$E7018,"&lt;&gt;"),"00000"),""))</f>
        <v/>
      </c>
      <c r="N7018" s="22"/>
    </row>
    <row r="7019" spans="1:14" x14ac:dyDescent="0.3">
      <c r="A7019" s="15" t="str">
        <f>IF(COUNTA($B7019:$E7019,$K7019)=0,"",IF(AND($B7019&lt;&gt;"",$C7019&lt;&gt;"",$D7019&lt;&gt;"",$E7019&lt;&gt;""),"TXS"&amp;TEXT(COUNTIFS($B$2:$B7019,"&lt;&gt;",$C$2:$C7019,"&lt;&gt;",$D$2:$D7019,"&lt;&gt;",$E$2:$E7019,"&lt;&gt;"),"00000"),""))</f>
        <v/>
      </c>
      <c r="N7019" s="22"/>
    </row>
    <row r="7020" spans="1:14" x14ac:dyDescent="0.3">
      <c r="A7020" s="15" t="str">
        <f>IF(COUNTA($B7020:$E7020,$K7020)=0,"",IF(AND($B7020&lt;&gt;"",$C7020&lt;&gt;"",$D7020&lt;&gt;"",$E7020&lt;&gt;""),"TXS"&amp;TEXT(COUNTIFS($B$2:$B7020,"&lt;&gt;",$C$2:$C7020,"&lt;&gt;",$D$2:$D7020,"&lt;&gt;",$E$2:$E7020,"&lt;&gt;"),"00000"),""))</f>
        <v/>
      </c>
      <c r="N7020" s="22"/>
    </row>
    <row r="7021" spans="1:14" x14ac:dyDescent="0.3">
      <c r="A7021" s="15" t="str">
        <f>IF(COUNTA($B7021:$E7021,$K7021)=0,"",IF(AND($B7021&lt;&gt;"",$C7021&lt;&gt;"",$D7021&lt;&gt;"",$E7021&lt;&gt;""),"TXS"&amp;TEXT(COUNTIFS($B$2:$B7021,"&lt;&gt;",$C$2:$C7021,"&lt;&gt;",$D$2:$D7021,"&lt;&gt;",$E$2:$E7021,"&lt;&gt;"),"00000"),""))</f>
        <v/>
      </c>
      <c r="N7021" s="22"/>
    </row>
    <row r="7022" spans="1:14" x14ac:dyDescent="0.3">
      <c r="A7022" s="15" t="str">
        <f>IF(COUNTA($B7022:$E7022,$K7022)=0,"",IF(AND($B7022&lt;&gt;"",$C7022&lt;&gt;"",$D7022&lt;&gt;"",$E7022&lt;&gt;""),"TXS"&amp;TEXT(COUNTIFS($B$2:$B7022,"&lt;&gt;",$C$2:$C7022,"&lt;&gt;",$D$2:$D7022,"&lt;&gt;",$E$2:$E7022,"&lt;&gt;"),"00000"),""))</f>
        <v/>
      </c>
      <c r="N7022" s="22"/>
    </row>
    <row r="7023" spans="1:14" x14ac:dyDescent="0.3">
      <c r="A7023" s="15" t="str">
        <f>IF(COUNTA($B7023:$E7023,$K7023)=0,"",IF(AND($B7023&lt;&gt;"",$C7023&lt;&gt;"",$D7023&lt;&gt;"",$E7023&lt;&gt;""),"TXS"&amp;TEXT(COUNTIFS($B$2:$B7023,"&lt;&gt;",$C$2:$C7023,"&lt;&gt;",$D$2:$D7023,"&lt;&gt;",$E$2:$E7023,"&lt;&gt;"),"00000"),""))</f>
        <v/>
      </c>
      <c r="N7023" s="22"/>
    </row>
    <row r="7024" spans="1:14" x14ac:dyDescent="0.3">
      <c r="A7024" s="15" t="str">
        <f>IF(COUNTA($B7024:$E7024,$K7024)=0,"",IF(AND($B7024&lt;&gt;"",$C7024&lt;&gt;"",$D7024&lt;&gt;"",$E7024&lt;&gt;""),"TXS"&amp;TEXT(COUNTIFS($B$2:$B7024,"&lt;&gt;",$C$2:$C7024,"&lt;&gt;",$D$2:$D7024,"&lt;&gt;",$E$2:$E7024,"&lt;&gt;"),"00000"),""))</f>
        <v/>
      </c>
      <c r="N7024" s="22"/>
    </row>
    <row r="7025" spans="1:14" x14ac:dyDescent="0.3">
      <c r="A7025" s="15" t="str">
        <f>IF(COUNTA($B7025:$E7025,$K7025)=0,"",IF(AND($B7025&lt;&gt;"",$C7025&lt;&gt;"",$D7025&lt;&gt;"",$E7025&lt;&gt;""),"TXS"&amp;TEXT(COUNTIFS($B$2:$B7025,"&lt;&gt;",$C$2:$C7025,"&lt;&gt;",$D$2:$D7025,"&lt;&gt;",$E$2:$E7025,"&lt;&gt;"),"00000"),""))</f>
        <v/>
      </c>
      <c r="N7025" s="22"/>
    </row>
    <row r="7026" spans="1:14" x14ac:dyDescent="0.3">
      <c r="A7026" s="15" t="str">
        <f>IF(COUNTA($B7026:$E7026,$K7026)=0,"",IF(AND($B7026&lt;&gt;"",$C7026&lt;&gt;"",$D7026&lt;&gt;"",$E7026&lt;&gt;""),"TXS"&amp;TEXT(COUNTIFS($B$2:$B7026,"&lt;&gt;",$C$2:$C7026,"&lt;&gt;",$D$2:$D7026,"&lt;&gt;",$E$2:$E7026,"&lt;&gt;"),"00000"),""))</f>
        <v/>
      </c>
      <c r="N7026" s="22"/>
    </row>
    <row r="7027" spans="1:14" x14ac:dyDescent="0.3">
      <c r="A7027" s="15" t="str">
        <f>IF(COUNTA($B7027:$E7027,$K7027)=0,"",IF(AND($B7027&lt;&gt;"",$C7027&lt;&gt;"",$D7027&lt;&gt;"",$E7027&lt;&gt;""),"TXS"&amp;TEXT(COUNTIFS($B$2:$B7027,"&lt;&gt;",$C$2:$C7027,"&lt;&gt;",$D$2:$D7027,"&lt;&gt;",$E$2:$E7027,"&lt;&gt;"),"00000"),""))</f>
        <v/>
      </c>
      <c r="N7027" s="22"/>
    </row>
    <row r="7028" spans="1:14" x14ac:dyDescent="0.3">
      <c r="A7028" s="15" t="str">
        <f>IF(COUNTA($B7028:$E7028,$K7028)=0,"",IF(AND($B7028&lt;&gt;"",$C7028&lt;&gt;"",$D7028&lt;&gt;"",$E7028&lt;&gt;""),"TXS"&amp;TEXT(COUNTIFS($B$2:$B7028,"&lt;&gt;",$C$2:$C7028,"&lt;&gt;",$D$2:$D7028,"&lt;&gt;",$E$2:$E7028,"&lt;&gt;"),"00000"),""))</f>
        <v/>
      </c>
      <c r="N7028" s="22"/>
    </row>
    <row r="7029" spans="1:14" x14ac:dyDescent="0.3">
      <c r="A7029" s="15" t="str">
        <f>IF(COUNTA($B7029:$E7029,$K7029)=0,"",IF(AND($B7029&lt;&gt;"",$C7029&lt;&gt;"",$D7029&lt;&gt;"",$E7029&lt;&gt;""),"TXS"&amp;TEXT(COUNTIFS($B$2:$B7029,"&lt;&gt;",$C$2:$C7029,"&lt;&gt;",$D$2:$D7029,"&lt;&gt;",$E$2:$E7029,"&lt;&gt;"),"00000"),""))</f>
        <v/>
      </c>
      <c r="N7029" s="22"/>
    </row>
    <row r="7030" spans="1:14" x14ac:dyDescent="0.3">
      <c r="A7030" s="15" t="str">
        <f>IF(COUNTA($B7030:$E7030,$K7030)=0,"",IF(AND($B7030&lt;&gt;"",$C7030&lt;&gt;"",$D7030&lt;&gt;"",$E7030&lt;&gt;""),"TXS"&amp;TEXT(COUNTIFS($B$2:$B7030,"&lt;&gt;",$C$2:$C7030,"&lt;&gt;",$D$2:$D7030,"&lt;&gt;",$E$2:$E7030,"&lt;&gt;"),"00000"),""))</f>
        <v/>
      </c>
      <c r="N7030" s="22"/>
    </row>
    <row r="7031" spans="1:14" x14ac:dyDescent="0.3">
      <c r="A7031" s="15" t="str">
        <f>IF(COUNTA($B7031:$E7031,$K7031)=0,"",IF(AND($B7031&lt;&gt;"",$C7031&lt;&gt;"",$D7031&lt;&gt;"",$E7031&lt;&gt;""),"TXS"&amp;TEXT(COUNTIFS($B$2:$B7031,"&lt;&gt;",$C$2:$C7031,"&lt;&gt;",$D$2:$D7031,"&lt;&gt;",$E$2:$E7031,"&lt;&gt;"),"00000"),""))</f>
        <v/>
      </c>
      <c r="N7031" s="22"/>
    </row>
    <row r="7032" spans="1:14" x14ac:dyDescent="0.3">
      <c r="A7032" s="15" t="str">
        <f>IF(COUNTA($B7032:$E7032,$K7032)=0,"",IF(AND($B7032&lt;&gt;"",$C7032&lt;&gt;"",$D7032&lt;&gt;"",$E7032&lt;&gt;""),"TXS"&amp;TEXT(COUNTIFS($B$2:$B7032,"&lt;&gt;",$C$2:$C7032,"&lt;&gt;",$D$2:$D7032,"&lt;&gt;",$E$2:$E7032,"&lt;&gt;"),"00000"),""))</f>
        <v/>
      </c>
      <c r="N7032" s="22"/>
    </row>
    <row r="7033" spans="1:14" x14ac:dyDescent="0.3">
      <c r="A7033" s="15" t="str">
        <f>IF(COUNTA($B7033:$E7033,$K7033)=0,"",IF(AND($B7033&lt;&gt;"",$C7033&lt;&gt;"",$D7033&lt;&gt;"",$E7033&lt;&gt;""),"TXS"&amp;TEXT(COUNTIFS($B$2:$B7033,"&lt;&gt;",$C$2:$C7033,"&lt;&gt;",$D$2:$D7033,"&lt;&gt;",$E$2:$E7033,"&lt;&gt;"),"00000"),""))</f>
        <v/>
      </c>
      <c r="N7033" s="22"/>
    </row>
    <row r="7034" spans="1:14" x14ac:dyDescent="0.3">
      <c r="A7034" s="15" t="str">
        <f>IF(COUNTA($B7034:$E7034,$K7034)=0,"",IF(AND($B7034&lt;&gt;"",$C7034&lt;&gt;"",$D7034&lt;&gt;"",$E7034&lt;&gt;""),"TXS"&amp;TEXT(COUNTIFS($B$2:$B7034,"&lt;&gt;",$C$2:$C7034,"&lt;&gt;",$D$2:$D7034,"&lt;&gt;",$E$2:$E7034,"&lt;&gt;"),"00000"),""))</f>
        <v/>
      </c>
      <c r="N7034" s="22"/>
    </row>
    <row r="7035" spans="1:14" x14ac:dyDescent="0.3">
      <c r="A7035" s="15" t="str">
        <f>IF(COUNTA($B7035:$E7035,$K7035)=0,"",IF(AND($B7035&lt;&gt;"",$C7035&lt;&gt;"",$D7035&lt;&gt;"",$E7035&lt;&gt;""),"TXS"&amp;TEXT(COUNTIFS($B$2:$B7035,"&lt;&gt;",$C$2:$C7035,"&lt;&gt;",$D$2:$D7035,"&lt;&gt;",$E$2:$E7035,"&lt;&gt;"),"00000"),""))</f>
        <v/>
      </c>
      <c r="N7035" s="22"/>
    </row>
    <row r="7036" spans="1:14" x14ac:dyDescent="0.3">
      <c r="A7036" s="15" t="str">
        <f>IF(COUNTA($B7036:$E7036,$K7036)=0,"",IF(AND($B7036&lt;&gt;"",$C7036&lt;&gt;"",$D7036&lt;&gt;"",$E7036&lt;&gt;""),"TXS"&amp;TEXT(COUNTIFS($B$2:$B7036,"&lt;&gt;",$C$2:$C7036,"&lt;&gt;",$D$2:$D7036,"&lt;&gt;",$E$2:$E7036,"&lt;&gt;"),"00000"),""))</f>
        <v/>
      </c>
      <c r="N7036" s="22"/>
    </row>
    <row r="7037" spans="1:14" x14ac:dyDescent="0.3">
      <c r="A7037" s="15" t="str">
        <f>IF(COUNTA($B7037:$E7037,$K7037)=0,"",IF(AND($B7037&lt;&gt;"",$C7037&lt;&gt;"",$D7037&lt;&gt;"",$E7037&lt;&gt;""),"TXS"&amp;TEXT(COUNTIFS($B$2:$B7037,"&lt;&gt;",$C$2:$C7037,"&lt;&gt;",$D$2:$D7037,"&lt;&gt;",$E$2:$E7037,"&lt;&gt;"),"00000"),""))</f>
        <v/>
      </c>
      <c r="N7037" s="22"/>
    </row>
    <row r="7038" spans="1:14" x14ac:dyDescent="0.3">
      <c r="A7038" s="15" t="str">
        <f>IF(COUNTA($B7038:$E7038,$K7038)=0,"",IF(AND($B7038&lt;&gt;"",$C7038&lt;&gt;"",$D7038&lt;&gt;"",$E7038&lt;&gt;""),"TXS"&amp;TEXT(COUNTIFS($B$2:$B7038,"&lt;&gt;",$C$2:$C7038,"&lt;&gt;",$D$2:$D7038,"&lt;&gt;",$E$2:$E7038,"&lt;&gt;"),"00000"),""))</f>
        <v/>
      </c>
      <c r="N7038" s="22"/>
    </row>
    <row r="7039" spans="1:14" x14ac:dyDescent="0.3">
      <c r="A7039" s="15" t="str">
        <f>IF(COUNTA($B7039:$E7039,$K7039)=0,"",IF(AND($B7039&lt;&gt;"",$C7039&lt;&gt;"",$D7039&lt;&gt;"",$E7039&lt;&gt;""),"TXS"&amp;TEXT(COUNTIFS($B$2:$B7039,"&lt;&gt;",$C$2:$C7039,"&lt;&gt;",$D$2:$D7039,"&lt;&gt;",$E$2:$E7039,"&lt;&gt;"),"00000"),""))</f>
        <v/>
      </c>
      <c r="N7039" s="22"/>
    </row>
    <row r="7040" spans="1:14" x14ac:dyDescent="0.3">
      <c r="A7040" s="15" t="str">
        <f>IF(COUNTA($B7040:$E7040,$K7040)=0,"",IF(AND($B7040&lt;&gt;"",$C7040&lt;&gt;"",$D7040&lt;&gt;"",$E7040&lt;&gt;""),"TXS"&amp;TEXT(COUNTIFS($B$2:$B7040,"&lt;&gt;",$C$2:$C7040,"&lt;&gt;",$D$2:$D7040,"&lt;&gt;",$E$2:$E7040,"&lt;&gt;"),"00000"),""))</f>
        <v/>
      </c>
      <c r="N7040" s="22"/>
    </row>
    <row r="7041" spans="1:14" x14ac:dyDescent="0.3">
      <c r="A7041" s="15" t="str">
        <f>IF(COUNTA($B7041:$E7041,$K7041)=0,"",IF(AND($B7041&lt;&gt;"",$C7041&lt;&gt;"",$D7041&lt;&gt;"",$E7041&lt;&gt;""),"TXS"&amp;TEXT(COUNTIFS($B$2:$B7041,"&lt;&gt;",$C$2:$C7041,"&lt;&gt;",$D$2:$D7041,"&lt;&gt;",$E$2:$E7041,"&lt;&gt;"),"00000"),""))</f>
        <v/>
      </c>
      <c r="N7041" s="22"/>
    </row>
    <row r="7042" spans="1:14" x14ac:dyDescent="0.3">
      <c r="A7042" s="15" t="str">
        <f>IF(COUNTA($B7042:$E7042,$K7042)=0,"",IF(AND($B7042&lt;&gt;"",$C7042&lt;&gt;"",$D7042&lt;&gt;"",$E7042&lt;&gt;""),"TXS"&amp;TEXT(COUNTIFS($B$2:$B7042,"&lt;&gt;",$C$2:$C7042,"&lt;&gt;",$D$2:$D7042,"&lt;&gt;",$E$2:$E7042,"&lt;&gt;"),"00000"),""))</f>
        <v/>
      </c>
      <c r="N7042" s="22"/>
    </row>
    <row r="7043" spans="1:14" x14ac:dyDescent="0.3">
      <c r="A7043" s="15" t="str">
        <f>IF(COUNTA($B7043:$E7043,$K7043)=0,"",IF(AND($B7043&lt;&gt;"",$C7043&lt;&gt;"",$D7043&lt;&gt;"",$E7043&lt;&gt;""),"TXS"&amp;TEXT(COUNTIFS($B$2:$B7043,"&lt;&gt;",$C$2:$C7043,"&lt;&gt;",$D$2:$D7043,"&lt;&gt;",$E$2:$E7043,"&lt;&gt;"),"00000"),""))</f>
        <v/>
      </c>
      <c r="N7043" s="22"/>
    </row>
    <row r="7044" spans="1:14" x14ac:dyDescent="0.3">
      <c r="A7044" s="15" t="str">
        <f>IF(COUNTA($B7044:$E7044,$K7044)=0,"",IF(AND($B7044&lt;&gt;"",$C7044&lt;&gt;"",$D7044&lt;&gt;"",$E7044&lt;&gt;""),"TXS"&amp;TEXT(COUNTIFS($B$2:$B7044,"&lt;&gt;",$C$2:$C7044,"&lt;&gt;",$D$2:$D7044,"&lt;&gt;",$E$2:$E7044,"&lt;&gt;"),"00000"),""))</f>
        <v/>
      </c>
      <c r="N7044" s="22"/>
    </row>
    <row r="7045" spans="1:14" x14ac:dyDescent="0.3">
      <c r="A7045" s="15" t="str">
        <f>IF(COUNTA($B7045:$E7045,$K7045)=0,"",IF(AND($B7045&lt;&gt;"",$C7045&lt;&gt;"",$D7045&lt;&gt;"",$E7045&lt;&gt;""),"TXS"&amp;TEXT(COUNTIFS($B$2:$B7045,"&lt;&gt;",$C$2:$C7045,"&lt;&gt;",$D$2:$D7045,"&lt;&gt;",$E$2:$E7045,"&lt;&gt;"),"00000"),""))</f>
        <v/>
      </c>
      <c r="N7045" s="22"/>
    </row>
    <row r="7046" spans="1:14" x14ac:dyDescent="0.3">
      <c r="A7046" s="15" t="str">
        <f>IF(COUNTA($B7046:$E7046,$K7046)=0,"",IF(AND($B7046&lt;&gt;"",$C7046&lt;&gt;"",$D7046&lt;&gt;"",$E7046&lt;&gt;""),"TXS"&amp;TEXT(COUNTIFS($B$2:$B7046,"&lt;&gt;",$C$2:$C7046,"&lt;&gt;",$D$2:$D7046,"&lt;&gt;",$E$2:$E7046,"&lt;&gt;"),"00000"),""))</f>
        <v/>
      </c>
      <c r="N7046" s="22"/>
    </row>
    <row r="7047" spans="1:14" x14ac:dyDescent="0.3">
      <c r="A7047" s="15" t="str">
        <f>IF(COUNTA($B7047:$E7047,$K7047)=0,"",IF(AND($B7047&lt;&gt;"",$C7047&lt;&gt;"",$D7047&lt;&gt;"",$E7047&lt;&gt;""),"TXS"&amp;TEXT(COUNTIFS($B$2:$B7047,"&lt;&gt;",$C$2:$C7047,"&lt;&gt;",$D$2:$D7047,"&lt;&gt;",$E$2:$E7047,"&lt;&gt;"),"00000"),""))</f>
        <v/>
      </c>
      <c r="N7047" s="22"/>
    </row>
    <row r="7048" spans="1:14" x14ac:dyDescent="0.3">
      <c r="A7048" s="15" t="str">
        <f>IF(COUNTA($B7048:$E7048,$K7048)=0,"",IF(AND($B7048&lt;&gt;"",$C7048&lt;&gt;"",$D7048&lt;&gt;"",$E7048&lt;&gt;""),"TXS"&amp;TEXT(COUNTIFS($B$2:$B7048,"&lt;&gt;",$C$2:$C7048,"&lt;&gt;",$D$2:$D7048,"&lt;&gt;",$E$2:$E7048,"&lt;&gt;"),"00000"),""))</f>
        <v/>
      </c>
      <c r="N7048" s="22"/>
    </row>
    <row r="7049" spans="1:14" x14ac:dyDescent="0.3">
      <c r="A7049" s="15" t="str">
        <f>IF(COUNTA($B7049:$E7049,$K7049)=0,"",IF(AND($B7049&lt;&gt;"",$C7049&lt;&gt;"",$D7049&lt;&gt;"",$E7049&lt;&gt;""),"TXS"&amp;TEXT(COUNTIFS($B$2:$B7049,"&lt;&gt;",$C$2:$C7049,"&lt;&gt;",$D$2:$D7049,"&lt;&gt;",$E$2:$E7049,"&lt;&gt;"),"00000"),""))</f>
        <v/>
      </c>
      <c r="N7049" s="22"/>
    </row>
    <row r="7050" spans="1:14" x14ac:dyDescent="0.3">
      <c r="A7050" s="15" t="str">
        <f>IF(COUNTA($B7050:$E7050,$K7050)=0,"",IF(AND($B7050&lt;&gt;"",$C7050&lt;&gt;"",$D7050&lt;&gt;"",$E7050&lt;&gt;""),"TXS"&amp;TEXT(COUNTIFS($B$2:$B7050,"&lt;&gt;",$C$2:$C7050,"&lt;&gt;",$D$2:$D7050,"&lt;&gt;",$E$2:$E7050,"&lt;&gt;"),"00000"),""))</f>
        <v/>
      </c>
      <c r="N7050" s="22"/>
    </row>
    <row r="7051" spans="1:14" x14ac:dyDescent="0.3">
      <c r="A7051" s="15" t="str">
        <f>IF(COUNTA($B7051:$E7051,$K7051)=0,"",IF(AND($B7051&lt;&gt;"",$C7051&lt;&gt;"",$D7051&lt;&gt;"",$E7051&lt;&gt;""),"TXS"&amp;TEXT(COUNTIFS($B$2:$B7051,"&lt;&gt;",$C$2:$C7051,"&lt;&gt;",$D$2:$D7051,"&lt;&gt;",$E$2:$E7051,"&lt;&gt;"),"00000"),""))</f>
        <v/>
      </c>
      <c r="N7051" s="22"/>
    </row>
    <row r="7052" spans="1:14" x14ac:dyDescent="0.3">
      <c r="A7052" s="15" t="str">
        <f>IF(COUNTA($B7052:$E7052,$K7052)=0,"",IF(AND($B7052&lt;&gt;"",$C7052&lt;&gt;"",$D7052&lt;&gt;"",$E7052&lt;&gt;""),"TXS"&amp;TEXT(COUNTIFS($B$2:$B7052,"&lt;&gt;",$C$2:$C7052,"&lt;&gt;",$D$2:$D7052,"&lt;&gt;",$E$2:$E7052,"&lt;&gt;"),"00000"),""))</f>
        <v/>
      </c>
      <c r="N7052" s="22"/>
    </row>
    <row r="7053" spans="1:14" x14ac:dyDescent="0.3">
      <c r="A7053" s="15" t="str">
        <f>IF(COUNTA($B7053:$E7053,$K7053)=0,"",IF(AND($B7053&lt;&gt;"",$C7053&lt;&gt;"",$D7053&lt;&gt;"",$E7053&lt;&gt;""),"TXS"&amp;TEXT(COUNTIFS($B$2:$B7053,"&lt;&gt;",$C$2:$C7053,"&lt;&gt;",$D$2:$D7053,"&lt;&gt;",$E$2:$E7053,"&lt;&gt;"),"00000"),""))</f>
        <v/>
      </c>
      <c r="N7053" s="22"/>
    </row>
    <row r="7054" spans="1:14" x14ac:dyDescent="0.3">
      <c r="A7054" s="15" t="str">
        <f>IF(COUNTA($B7054:$E7054,$K7054)=0,"",IF(AND($B7054&lt;&gt;"",$C7054&lt;&gt;"",$D7054&lt;&gt;"",$E7054&lt;&gt;""),"TXS"&amp;TEXT(COUNTIFS($B$2:$B7054,"&lt;&gt;",$C$2:$C7054,"&lt;&gt;",$D$2:$D7054,"&lt;&gt;",$E$2:$E7054,"&lt;&gt;"),"00000"),""))</f>
        <v/>
      </c>
      <c r="N7054" s="22"/>
    </row>
    <row r="7055" spans="1:14" x14ac:dyDescent="0.3">
      <c r="A7055" s="15" t="str">
        <f>IF(COUNTA($B7055:$E7055,$K7055)=0,"",IF(AND($B7055&lt;&gt;"",$C7055&lt;&gt;"",$D7055&lt;&gt;"",$E7055&lt;&gt;""),"TXS"&amp;TEXT(COUNTIFS($B$2:$B7055,"&lt;&gt;",$C$2:$C7055,"&lt;&gt;",$D$2:$D7055,"&lt;&gt;",$E$2:$E7055,"&lt;&gt;"),"00000"),""))</f>
        <v/>
      </c>
      <c r="N7055" s="22"/>
    </row>
    <row r="7056" spans="1:14" x14ac:dyDescent="0.3">
      <c r="A7056" s="15" t="str">
        <f>IF(COUNTA($B7056:$E7056,$K7056)=0,"",IF(AND($B7056&lt;&gt;"",$C7056&lt;&gt;"",$D7056&lt;&gt;"",$E7056&lt;&gt;""),"TXS"&amp;TEXT(COUNTIFS($B$2:$B7056,"&lt;&gt;",$C$2:$C7056,"&lt;&gt;",$D$2:$D7056,"&lt;&gt;",$E$2:$E7056,"&lt;&gt;"),"00000"),""))</f>
        <v/>
      </c>
      <c r="N7056" s="22"/>
    </row>
    <row r="7057" spans="1:14" x14ac:dyDescent="0.3">
      <c r="A7057" s="15" t="str">
        <f>IF(COUNTA($B7057:$E7057,$K7057)=0,"",IF(AND($B7057&lt;&gt;"",$C7057&lt;&gt;"",$D7057&lt;&gt;"",$E7057&lt;&gt;""),"TXS"&amp;TEXT(COUNTIFS($B$2:$B7057,"&lt;&gt;",$C$2:$C7057,"&lt;&gt;",$D$2:$D7057,"&lt;&gt;",$E$2:$E7057,"&lt;&gt;"),"00000"),""))</f>
        <v/>
      </c>
      <c r="N7057" s="22"/>
    </row>
    <row r="7058" spans="1:14" x14ac:dyDescent="0.3">
      <c r="A7058" s="15" t="str">
        <f>IF(COUNTA($B7058:$E7058,$K7058)=0,"",IF(AND($B7058&lt;&gt;"",$C7058&lt;&gt;"",$D7058&lt;&gt;"",$E7058&lt;&gt;""),"TXS"&amp;TEXT(COUNTIFS($B$2:$B7058,"&lt;&gt;",$C$2:$C7058,"&lt;&gt;",$D$2:$D7058,"&lt;&gt;",$E$2:$E7058,"&lt;&gt;"),"00000"),""))</f>
        <v/>
      </c>
      <c r="N7058" s="22"/>
    </row>
    <row r="7059" spans="1:14" x14ac:dyDescent="0.3">
      <c r="A7059" s="15" t="str">
        <f>IF(COUNTA($B7059:$E7059,$K7059)=0,"",IF(AND($B7059&lt;&gt;"",$C7059&lt;&gt;"",$D7059&lt;&gt;"",$E7059&lt;&gt;""),"TXS"&amp;TEXT(COUNTIFS($B$2:$B7059,"&lt;&gt;",$C$2:$C7059,"&lt;&gt;",$D$2:$D7059,"&lt;&gt;",$E$2:$E7059,"&lt;&gt;"),"00000"),""))</f>
        <v/>
      </c>
      <c r="N7059" s="22"/>
    </row>
    <row r="7060" spans="1:14" x14ac:dyDescent="0.3">
      <c r="A7060" s="15" t="str">
        <f>IF(COUNTA($B7060:$E7060,$K7060)=0,"",IF(AND($B7060&lt;&gt;"",$C7060&lt;&gt;"",$D7060&lt;&gt;"",$E7060&lt;&gt;""),"TXS"&amp;TEXT(COUNTIFS($B$2:$B7060,"&lt;&gt;",$C$2:$C7060,"&lt;&gt;",$D$2:$D7060,"&lt;&gt;",$E$2:$E7060,"&lt;&gt;"),"00000"),""))</f>
        <v/>
      </c>
      <c r="N7060" s="22"/>
    </row>
    <row r="7061" spans="1:14" x14ac:dyDescent="0.3">
      <c r="A7061" s="15" t="str">
        <f>IF(COUNTA($B7061:$E7061,$K7061)=0,"",IF(AND($B7061&lt;&gt;"",$C7061&lt;&gt;"",$D7061&lt;&gt;"",$E7061&lt;&gt;""),"TXS"&amp;TEXT(COUNTIFS($B$2:$B7061,"&lt;&gt;",$C$2:$C7061,"&lt;&gt;",$D$2:$D7061,"&lt;&gt;",$E$2:$E7061,"&lt;&gt;"),"00000"),""))</f>
        <v/>
      </c>
      <c r="N7061" s="22"/>
    </row>
    <row r="7062" spans="1:14" x14ac:dyDescent="0.3">
      <c r="A7062" s="15" t="str">
        <f>IF(COUNTA($B7062:$E7062,$K7062)=0,"",IF(AND($B7062&lt;&gt;"",$C7062&lt;&gt;"",$D7062&lt;&gt;"",$E7062&lt;&gt;""),"TXS"&amp;TEXT(COUNTIFS($B$2:$B7062,"&lt;&gt;",$C$2:$C7062,"&lt;&gt;",$D$2:$D7062,"&lt;&gt;",$E$2:$E7062,"&lt;&gt;"),"00000"),""))</f>
        <v/>
      </c>
      <c r="N7062" s="22"/>
    </row>
    <row r="7063" spans="1:14" x14ac:dyDescent="0.3">
      <c r="A7063" s="15" t="str">
        <f>IF(COUNTA($B7063:$E7063,$K7063)=0,"",IF(AND($B7063&lt;&gt;"",$C7063&lt;&gt;"",$D7063&lt;&gt;"",$E7063&lt;&gt;""),"TXS"&amp;TEXT(COUNTIFS($B$2:$B7063,"&lt;&gt;",$C$2:$C7063,"&lt;&gt;",$D$2:$D7063,"&lt;&gt;",$E$2:$E7063,"&lt;&gt;"),"00000"),""))</f>
        <v/>
      </c>
      <c r="N7063" s="22"/>
    </row>
    <row r="7064" spans="1:14" x14ac:dyDescent="0.3">
      <c r="A7064" s="15" t="str">
        <f>IF(COUNTA($B7064:$E7064,$K7064)=0,"",IF(AND($B7064&lt;&gt;"",$C7064&lt;&gt;"",$D7064&lt;&gt;"",$E7064&lt;&gt;""),"TXS"&amp;TEXT(COUNTIFS($B$2:$B7064,"&lt;&gt;",$C$2:$C7064,"&lt;&gt;",$D$2:$D7064,"&lt;&gt;",$E$2:$E7064,"&lt;&gt;"),"00000"),""))</f>
        <v/>
      </c>
      <c r="N7064" s="22"/>
    </row>
    <row r="7065" spans="1:14" x14ac:dyDescent="0.3">
      <c r="A7065" s="15" t="str">
        <f>IF(COUNTA($B7065:$E7065,$K7065)=0,"",IF(AND($B7065&lt;&gt;"",$C7065&lt;&gt;"",$D7065&lt;&gt;"",$E7065&lt;&gt;""),"TXS"&amp;TEXT(COUNTIFS($B$2:$B7065,"&lt;&gt;",$C$2:$C7065,"&lt;&gt;",$D$2:$D7065,"&lt;&gt;",$E$2:$E7065,"&lt;&gt;"),"00000"),""))</f>
        <v/>
      </c>
      <c r="N7065" s="22"/>
    </row>
    <row r="7066" spans="1:14" x14ac:dyDescent="0.3">
      <c r="A7066" s="15" t="str">
        <f>IF(COUNTA($B7066:$E7066,$K7066)=0,"",IF(AND($B7066&lt;&gt;"",$C7066&lt;&gt;"",$D7066&lt;&gt;"",$E7066&lt;&gt;""),"TXS"&amp;TEXT(COUNTIFS($B$2:$B7066,"&lt;&gt;",$C$2:$C7066,"&lt;&gt;",$D$2:$D7066,"&lt;&gt;",$E$2:$E7066,"&lt;&gt;"),"00000"),""))</f>
        <v/>
      </c>
      <c r="N7066" s="22"/>
    </row>
    <row r="7067" spans="1:14" x14ac:dyDescent="0.3">
      <c r="A7067" s="15" t="str">
        <f>IF(COUNTA($B7067:$E7067,$K7067)=0,"",IF(AND($B7067&lt;&gt;"",$C7067&lt;&gt;"",$D7067&lt;&gt;"",$E7067&lt;&gt;""),"TXS"&amp;TEXT(COUNTIFS($B$2:$B7067,"&lt;&gt;",$C$2:$C7067,"&lt;&gt;",$D$2:$D7067,"&lt;&gt;",$E$2:$E7067,"&lt;&gt;"),"00000"),""))</f>
        <v/>
      </c>
      <c r="N7067" s="22"/>
    </row>
    <row r="7068" spans="1:14" x14ac:dyDescent="0.3">
      <c r="A7068" s="15" t="str">
        <f>IF(COUNTA($B7068:$E7068,$K7068)=0,"",IF(AND($B7068&lt;&gt;"",$C7068&lt;&gt;"",$D7068&lt;&gt;"",$E7068&lt;&gt;""),"TXS"&amp;TEXT(COUNTIFS($B$2:$B7068,"&lt;&gt;",$C$2:$C7068,"&lt;&gt;",$D$2:$D7068,"&lt;&gt;",$E$2:$E7068,"&lt;&gt;"),"00000"),""))</f>
        <v/>
      </c>
      <c r="N7068" s="22"/>
    </row>
    <row r="7069" spans="1:14" x14ac:dyDescent="0.3">
      <c r="A7069" s="15" t="str">
        <f>IF(COUNTA($B7069:$E7069,$K7069)=0,"",IF(AND($B7069&lt;&gt;"",$C7069&lt;&gt;"",$D7069&lt;&gt;"",$E7069&lt;&gt;""),"TXS"&amp;TEXT(COUNTIFS($B$2:$B7069,"&lt;&gt;",$C$2:$C7069,"&lt;&gt;",$D$2:$D7069,"&lt;&gt;",$E$2:$E7069,"&lt;&gt;"),"00000"),""))</f>
        <v/>
      </c>
      <c r="N7069" s="22"/>
    </row>
    <row r="7070" spans="1:14" x14ac:dyDescent="0.3">
      <c r="A7070" s="15" t="str">
        <f>IF(COUNTA($B7070:$E7070,$K7070)=0,"",IF(AND($B7070&lt;&gt;"",$C7070&lt;&gt;"",$D7070&lt;&gt;"",$E7070&lt;&gt;""),"TXS"&amp;TEXT(COUNTIFS($B$2:$B7070,"&lt;&gt;",$C$2:$C7070,"&lt;&gt;",$D$2:$D7070,"&lt;&gt;",$E$2:$E7070,"&lt;&gt;"),"00000"),""))</f>
        <v/>
      </c>
      <c r="N7070" s="22"/>
    </row>
    <row r="7071" spans="1:14" x14ac:dyDescent="0.3">
      <c r="A7071" s="15" t="str">
        <f>IF(COUNTA($B7071:$E7071,$K7071)=0,"",IF(AND($B7071&lt;&gt;"",$C7071&lt;&gt;"",$D7071&lt;&gt;"",$E7071&lt;&gt;""),"TXS"&amp;TEXT(COUNTIFS($B$2:$B7071,"&lt;&gt;",$C$2:$C7071,"&lt;&gt;",$D$2:$D7071,"&lt;&gt;",$E$2:$E7071,"&lt;&gt;"),"00000"),""))</f>
        <v/>
      </c>
      <c r="N7071" s="22"/>
    </row>
    <row r="7072" spans="1:14" x14ac:dyDescent="0.3">
      <c r="A7072" s="15" t="str">
        <f>IF(COUNTA($B7072:$E7072,$K7072)=0,"",IF(AND($B7072&lt;&gt;"",$C7072&lt;&gt;"",$D7072&lt;&gt;"",$E7072&lt;&gt;""),"TXS"&amp;TEXT(COUNTIFS($B$2:$B7072,"&lt;&gt;",$C$2:$C7072,"&lt;&gt;",$D$2:$D7072,"&lt;&gt;",$E$2:$E7072,"&lt;&gt;"),"00000"),""))</f>
        <v/>
      </c>
      <c r="N7072" s="22"/>
    </row>
    <row r="7073" spans="1:14" x14ac:dyDescent="0.3">
      <c r="A7073" s="15" t="str">
        <f>IF(COUNTA($B7073:$E7073,$K7073)=0,"",IF(AND($B7073&lt;&gt;"",$C7073&lt;&gt;"",$D7073&lt;&gt;"",$E7073&lt;&gt;""),"TXS"&amp;TEXT(COUNTIFS($B$2:$B7073,"&lt;&gt;",$C$2:$C7073,"&lt;&gt;",$D$2:$D7073,"&lt;&gt;",$E$2:$E7073,"&lt;&gt;"),"00000"),""))</f>
        <v/>
      </c>
      <c r="N7073" s="22"/>
    </row>
    <row r="7074" spans="1:14" x14ac:dyDescent="0.3">
      <c r="A7074" s="15" t="str">
        <f>IF(COUNTA($B7074:$E7074,$K7074)=0,"",IF(AND($B7074&lt;&gt;"",$C7074&lt;&gt;"",$D7074&lt;&gt;"",$E7074&lt;&gt;""),"TXS"&amp;TEXT(COUNTIFS($B$2:$B7074,"&lt;&gt;",$C$2:$C7074,"&lt;&gt;",$D$2:$D7074,"&lt;&gt;",$E$2:$E7074,"&lt;&gt;"),"00000"),""))</f>
        <v/>
      </c>
      <c r="N7074" s="22"/>
    </row>
  </sheetData>
  <phoneticPr fontId="2" type="noConversion"/>
  <conditionalFormatting sqref="C2:L1144 B2:B2623 A2:A7074 K2:K1048527">
    <cfRule type="expression" dxfId="10" priority="2">
      <formula>AND($A2&lt;&gt;"",COUNTIF($A$2:$A2,"&lt;&gt;")&gt;1,MOD(COUNTIF($A$2:$A2,"&lt;&gt;")-1,96)=0)</formula>
    </cfRule>
  </conditionalFormatting>
  <conditionalFormatting sqref="K1048545:K1048548">
    <cfRule type="expression" dxfId="9" priority="94">
      <formula>AND($A1048545&lt;&gt;"",COUNTIF($A$1:$A1,"&lt;&gt;")&gt;1,MOD(COUNTIF($A$1:$A1,"&lt;&gt;")-1,96)=0)</formula>
    </cfRule>
  </conditionalFormatting>
  <conditionalFormatting sqref="K1048549:K1048552">
    <cfRule type="expression" dxfId="8" priority="81">
      <formula>AND($A1048549&lt;&gt;"",COUNTIF($A$1:$A1,"&lt;&gt;")&gt;1,MOD(COUNTIF($A$1:$A1,"&lt;&gt;")-1,96)=0)</formula>
    </cfRule>
  </conditionalFormatting>
  <conditionalFormatting sqref="K1048528">
    <cfRule type="expression" dxfId="7" priority="100">
      <formula>AND($A1048528&lt;&gt;"",COUNTIF($A$2:$A1048576,"&lt;&gt;")&gt;1,MOD(COUNTIF($A$2:$A1048576,"&lt;&gt;")-1,96)=0)</formula>
    </cfRule>
  </conditionalFormatting>
  <conditionalFormatting sqref="K1048529:K1048530">
    <cfRule type="expression" dxfId="6" priority="101">
      <formula>AND($A1048529&lt;&gt;"",COUNTIF($A$1:$A1,"&lt;&gt;")&gt;1,MOD(COUNTIF($A$1:$A1,"&lt;&gt;")-1,96)=0)</formula>
    </cfRule>
  </conditionalFormatting>
  <conditionalFormatting sqref="K1048531:K1048532">
    <cfRule type="expression" dxfId="5" priority="102">
      <formula>AND($A1048531&lt;&gt;"",COUNTIF($A$1:$A1,"&lt;&gt;")&gt;1,MOD(COUNTIF($A$1:$A1,"&lt;&gt;")-1,96)=0)</formula>
    </cfRule>
  </conditionalFormatting>
  <conditionalFormatting sqref="K1048533:K1048534">
    <cfRule type="expression" dxfId="4" priority="103">
      <formula>AND($A1048533&lt;&gt;"",COUNTIF($A$1:$A1,"&lt;&gt;")&gt;1,MOD(COUNTIF($A$1:$A1,"&lt;&gt;")-1,96)=0)</formula>
    </cfRule>
  </conditionalFormatting>
  <conditionalFormatting sqref="K1048535:K1048537">
    <cfRule type="expression" dxfId="3" priority="104">
      <formula>AND($A1048535&lt;&gt;"",COUNTIF($A$1:$A1,"&lt;&gt;")&gt;1,MOD(COUNTIF($A$1:$A1,"&lt;&gt;")-1,96)=0)</formula>
    </cfRule>
  </conditionalFormatting>
  <conditionalFormatting sqref="K1048538:K1048542">
    <cfRule type="expression" dxfId="2" priority="105">
      <formula>AND($A1048538&lt;&gt;"",COUNTIF($A$1:$A1,"&lt;&gt;")&gt;1,MOD(COUNTIF($A$1:$A1,"&lt;&gt;")-1,96)=0)</formula>
    </cfRule>
  </conditionalFormatting>
  <conditionalFormatting sqref="K1048543:K1048544">
    <cfRule type="expression" dxfId="1" priority="107">
      <formula>AND($A1048543&lt;&gt;"",COUNTIF($A$1:$A1,"&lt;&gt;")&gt;1,MOD(COUNTIF($A$1:$A1,"&lt;&gt;")-1,96)=0)</formula>
    </cfRule>
  </conditionalFormatting>
  <conditionalFormatting sqref="K1048553:K1048576">
    <cfRule type="expression" dxfId="0" priority="109">
      <formula>AND($A1048553&lt;&gt;"",COUNTIF($A$1:$A1,"&lt;&gt;")&gt;1,MOD(COUNTIF($A$1:$A1,"&lt;&gt;")-1,96)=0)</formula>
    </cfRule>
  </conditionalFormatting>
  <dataValidations count="4">
    <dataValidation type="list" allowBlank="1" errorTitle="Invalid Age Range" error="Choose one of the allowed age ranges." sqref="B2:B2623" xr:uid="{00000000-0002-0000-0000-000000000000}">
      <formula1>"0-9,10-17,18-24,25-34,35-44,45-54,55-64,65-74,75-89"</formula1>
    </dataValidation>
    <dataValidation type="list" allowBlank="1" errorTitle="Invalid Gender" error="Choose M or F." sqref="C2:C1944" xr:uid="{00000000-0002-0000-0000-000001000000}">
      <formula1>"M,F"</formula1>
    </dataValidation>
    <dataValidation type="list" allowBlank="1" errorTitle="Invalid Ancestry" error="Choose one of the allowed ancestry values." sqref="D2:D1944" xr:uid="{00000000-0002-0000-0000-000002000000}">
      <formula1>"White,African American,Asian,Hispanic,American Indian or Alaska Native,Other"</formula1>
    </dataValidation>
    <dataValidation type="list" allowBlank="1" errorTitle="Invalid Cryovial Value" error="Choose Yes or No." sqref="K2:K1944" xr:uid="{00000000-0002-0000-0000-000003000000}">
      <formula1>"Yes,No"</formula1>
    </dataValidation>
  </dataValidations>
  <pageMargins left="0.75" right="0.75" top="1" bottom="1" header="0.5" footer="0.5"/>
  <pageSetup scale="4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0"/>
  <sheetViews>
    <sheetView zoomScale="54" zoomScaleNormal="54" workbookViewId="0">
      <pane xSplit="1" ySplit="1" topLeftCell="B2" activePane="bottomRight" state="frozen"/>
      <selection pane="topRight"/>
      <selection pane="bottomLeft"/>
      <selection pane="bottomRight" activeCell="B4" sqref="B4"/>
    </sheetView>
  </sheetViews>
  <sheetFormatPr defaultColWidth="8.7265625" defaultRowHeight="22" customHeight="1" x14ac:dyDescent="0.3"/>
  <cols>
    <col min="1" max="1" width="2.26953125" style="1" bestFit="1" customWidth="1"/>
    <col min="2" max="13" width="28.54296875" style="1" customWidth="1"/>
    <col min="14" max="17" width="8.7265625" style="1" customWidth="1"/>
    <col min="18" max="16384" width="8.7265625" style="1"/>
  </cols>
  <sheetData>
    <row r="1" spans="1:13" ht="22" customHeight="1" x14ac:dyDescent="0.35">
      <c r="A1" s="5"/>
      <c r="B1" s="31" t="s">
        <v>29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</row>
    <row r="2" spans="1:13" ht="22" customHeight="1" x14ac:dyDescent="0.3">
      <c r="A2" s="5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</row>
    <row r="3" spans="1:13" ht="22" customHeight="1" x14ac:dyDescent="0.3">
      <c r="A3" s="6" t="s">
        <v>30</v>
      </c>
      <c r="B3" s="4" t="str">
        <f>_xlfn.LET(_xlpm.pos,"CDI plate 1: "&amp;$A3&amp;B$2,_xlpm.normal,IFERROR(INDEX(MASTER!$A:$A,MATCH(_xlpm.pos,MASTER!$H:$H,0))&amp;"_ser_0.20_"&amp;TEXT(INDEX(MASTER!$E:$E,MATCH(_xlpm.pos,MASTER!$H:$H,0)),"mmddyy"),""),_xlpm.slot,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3" s="4" t="str">
        <f>_xlfn.LET(_xlpm.pos,"CDI plate 1: "&amp;$A3&amp;C$2,_xlpm.normal,IFERROR(INDEX(MASTER!$A:$A,MATCH(_xlpm.pos,MASTER!$H:$H,0))&amp;"_ser_0.20_"&amp;TEXT(INDEX(MASTER!$E:$E,MATCH(_xlpm.pos,MASTER!$H:$H,0)),"mmddyy"),""),_xlpm.slot,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3" s="4" t="str">
        <f>_xlfn.LET(_xlpm.pos,"CDI plate 1: "&amp;$A3&amp;D$2,_xlpm.normal,IFERROR(INDEX(MASTER!$A:$A,MATCH(_xlpm.pos,MASTER!$H:$H,0))&amp;"_ser_0.20_"&amp;TEXT(INDEX(MASTER!$E:$E,MATCH(_xlpm.pos,MASTER!$H:$H,0)),"mmddyy"),""),_xlpm.slot,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3" s="4" t="str">
        <f>_xlfn.LET(_xlpm.pos,"CDI plate 1: "&amp;$A3&amp;E$2,_xlpm.normal,IFERROR(INDEX(MASTER!$A:$A,MATCH(_xlpm.pos,MASTER!$H:$H,0))&amp;"_ser_0.20_"&amp;TEXT(INDEX(MASTER!$E:$E,MATCH(_xlpm.pos,MASTER!$H:$H,0)),"mmddyy"),""),_xlpm.slot,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3" s="4" t="str">
        <f>_xlfn.LET(_xlpm.pos,"CDI plate 1: "&amp;$A3&amp;F$2,_xlpm.normal,IFERROR(INDEX(MASTER!$A:$A,MATCH(_xlpm.pos,MASTER!$H:$H,0))&amp;"_ser_0.20_"&amp;TEXT(INDEX(MASTER!$E:$E,MATCH(_xlpm.pos,MASTER!$H:$H,0)),"mmddyy"),""),_xlpm.slot,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3" s="4" t="str">
        <f>_xlfn.LET(_xlpm.pos,"CDI plate 1: "&amp;$A3&amp;G$2,_xlpm.normal,IFERROR(INDEX(MASTER!$A:$A,MATCH(_xlpm.pos,MASTER!$H:$H,0))&amp;"_ser_0.20_"&amp;TEXT(INDEX(MASTER!$E:$E,MATCH(_xlpm.pos,MASTER!$H:$H,0)),"mmddyy"),""),_xlpm.slot,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3" s="4" t="str">
        <f>_xlfn.LET(_xlpm.pos,"CDI plate 1: "&amp;$A3&amp;H$2,_xlpm.normal,IFERROR(INDEX(MASTER!$A:$A,MATCH(_xlpm.pos,MASTER!$H:$H,0))&amp;"_ser_0.20_"&amp;TEXT(INDEX(MASTER!$E:$E,MATCH(_xlpm.pos,MASTER!$H:$H,0)),"mmddyy"),""),_xlpm.slot,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3" s="4" t="str">
        <f>_xlfn.LET(_xlpm.pos,"CDI plate 1: "&amp;$A3&amp;I$2,_xlpm.normal,IFERROR(INDEX(MASTER!$A:$A,MATCH(_xlpm.pos,MASTER!$H:$H,0))&amp;"_ser_0.20_"&amp;TEXT(INDEX(MASTER!$E:$E,MATCH(_xlpm.pos,MASTER!$H:$H,0)),"mmddyy"),""),_xlpm.slot,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3" s="4" t="str">
        <f>_xlfn.LET(_xlpm.pos,"CDI plate 1: "&amp;$A3&amp;J$2,_xlpm.normal,IFERROR(INDEX(MASTER!$A:$A,MATCH(_xlpm.pos,MASTER!$H:$H,0))&amp;"_ser_0.20_"&amp;TEXT(INDEX(MASTER!$E:$E,MATCH(_xlpm.pos,MASTER!$H:$H,0)),"mmddyy"),""),_xlpm.slot,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3" s="4" t="str">
        <f>_xlfn.LET(_xlpm.pos,"CDI plate 1: "&amp;$A3&amp;K$2,_xlpm.normal,IFERROR(INDEX(MASTER!$A:$A,MATCH(_xlpm.pos,MASTER!$H:$H,0))&amp;"_ser_0.20_"&amp;TEXT(INDEX(MASTER!$E:$E,MATCH(_xlpm.pos,MASTER!$H:$H,0)),"mmddyy"),""),_xlpm.slot,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3" s="4" t="str">
        <f>_xlfn.LET(_xlpm.pos,"CDI plate 1: "&amp;$A3&amp;L$2,_xlpm.normal,IFERROR(INDEX(MASTER!$A:$A,MATCH(_xlpm.pos,MASTER!$H:$H,0))&amp;"_ser_0.20_"&amp;TEXT(INDEX(MASTER!$E:$E,MATCH(_xlpm.pos,MASTER!$H:$H,0)),"mmddyy"),""),_xlpm.slot,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3" s="4" t="str">
        <f>_xlfn.LET(_xlpm.pos,"CDI plate 1: "&amp;$A3&amp;M$2,_xlpm.normal,IFERROR(INDEX(MASTER!$A:$A,MATCH(_xlpm.pos,MASTER!$H:$H,0))&amp;"_ser_0.20_"&amp;TEXT(INDEX(MASTER!$E:$E,MATCH(_xlpm.pos,MASTER!$H:$H,0)),"mmddyy"),""),_xlpm.slot,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4" spans="1:13" ht="22" customHeight="1" x14ac:dyDescent="0.3">
      <c r="A4" s="6" t="s">
        <v>31</v>
      </c>
      <c r="B4" s="4" t="str">
        <f>_xlfn.LET(_xlpm.pos,"CDI plate 1: "&amp;$A4&amp;B$2,_xlpm.normal,IFERROR(INDEX(MASTER!$A:$A,MATCH(_xlpm.pos,MASTER!$H:$H,0))&amp;"_ser_0.20_"&amp;TEXT(INDEX(MASTER!$E:$E,MATCH(_xlpm.pos,MASTER!$H:$H,0)),"mmddyy"),""),_xlpm.slot,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4" s="4" t="str">
        <f>_xlfn.LET(_xlpm.pos,"CDI plate 1: "&amp;$A4&amp;C$2,_xlpm.normal,IFERROR(INDEX(MASTER!$A:$A,MATCH(_xlpm.pos,MASTER!$H:$H,0))&amp;"_ser_0.20_"&amp;TEXT(INDEX(MASTER!$E:$E,MATCH(_xlpm.pos,MASTER!$H:$H,0)),"mmddyy"),""),_xlpm.slot,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4" s="4" t="str">
        <f>_xlfn.LET(_xlpm.pos,"CDI plate 1: "&amp;$A4&amp;D$2,_xlpm.normal,IFERROR(INDEX(MASTER!$A:$A,MATCH(_xlpm.pos,MASTER!$H:$H,0))&amp;"_ser_0.20_"&amp;TEXT(INDEX(MASTER!$E:$E,MATCH(_xlpm.pos,MASTER!$H:$H,0)),"mmddyy"),""),_xlpm.slot,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4" s="4" t="str">
        <f>_xlfn.LET(_xlpm.pos,"CDI plate 1: "&amp;$A4&amp;E$2,_xlpm.normal,IFERROR(INDEX(MASTER!$A:$A,MATCH(_xlpm.pos,MASTER!$H:$H,0))&amp;"_ser_0.20_"&amp;TEXT(INDEX(MASTER!$E:$E,MATCH(_xlpm.pos,MASTER!$H:$H,0)),"mmddyy"),""),_xlpm.slot,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4" s="4" t="str">
        <f>_xlfn.LET(_xlpm.pos,"CDI plate 1: "&amp;$A4&amp;F$2,_xlpm.normal,IFERROR(INDEX(MASTER!$A:$A,MATCH(_xlpm.pos,MASTER!$H:$H,0))&amp;"_ser_0.20_"&amp;TEXT(INDEX(MASTER!$E:$E,MATCH(_xlpm.pos,MASTER!$H:$H,0)),"mmddyy"),""),_xlpm.slot,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4" s="4" t="str">
        <f>_xlfn.LET(_xlpm.pos,"CDI plate 1: "&amp;$A4&amp;G$2,_xlpm.normal,IFERROR(INDEX(MASTER!$A:$A,MATCH(_xlpm.pos,MASTER!$H:$H,0))&amp;"_ser_0.20_"&amp;TEXT(INDEX(MASTER!$E:$E,MATCH(_xlpm.pos,MASTER!$H:$H,0)),"mmddyy"),""),_xlpm.slot,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4" s="4" t="str">
        <f>_xlfn.LET(_xlpm.pos,"CDI plate 1: "&amp;$A4&amp;H$2,_xlpm.normal,IFERROR(INDEX(MASTER!$A:$A,MATCH(_xlpm.pos,MASTER!$H:$H,0))&amp;"_ser_0.20_"&amp;TEXT(INDEX(MASTER!$E:$E,MATCH(_xlpm.pos,MASTER!$H:$H,0)),"mmddyy"),""),_xlpm.slot,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4" s="4" t="str">
        <f>_xlfn.LET(_xlpm.pos,"CDI plate 1: "&amp;$A4&amp;I$2,_xlpm.normal,IFERROR(INDEX(MASTER!$A:$A,MATCH(_xlpm.pos,MASTER!$H:$H,0))&amp;"_ser_0.20_"&amp;TEXT(INDEX(MASTER!$E:$E,MATCH(_xlpm.pos,MASTER!$H:$H,0)),"mmddyy"),""),_xlpm.slot,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4" s="4" t="str">
        <f>_xlfn.LET(_xlpm.pos,"CDI plate 1: "&amp;$A4&amp;J$2,_xlpm.normal,IFERROR(INDEX(MASTER!$A:$A,MATCH(_xlpm.pos,MASTER!$H:$H,0))&amp;"_ser_0.20_"&amp;TEXT(INDEX(MASTER!$E:$E,MATCH(_xlpm.pos,MASTER!$H:$H,0)),"mmddyy"),""),_xlpm.slot,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4" s="4" t="str">
        <f>_xlfn.LET(_xlpm.pos,"CDI plate 1: "&amp;$A4&amp;K$2,_xlpm.normal,IFERROR(INDEX(MASTER!$A:$A,MATCH(_xlpm.pos,MASTER!$H:$H,0))&amp;"_ser_0.20_"&amp;TEXT(INDEX(MASTER!$E:$E,MATCH(_xlpm.pos,MASTER!$H:$H,0)),"mmddyy"),""),_xlpm.slot,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4" s="4" t="str">
        <f>_xlfn.LET(_xlpm.pos,"CDI plate 1: "&amp;$A4&amp;L$2,_xlpm.normal,IFERROR(INDEX(MASTER!$A:$A,MATCH(_xlpm.pos,MASTER!$H:$H,0))&amp;"_ser_0.20_"&amp;TEXT(INDEX(MASTER!$E:$E,MATCH(_xlpm.pos,MASTER!$H:$H,0)),"mmddyy"),""),_xlpm.slot,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4" s="4" t="str">
        <f>_xlfn.LET(_xlpm.pos,"CDI plate 1: "&amp;$A4&amp;M$2,_xlpm.normal,IFERROR(INDEX(MASTER!$A:$A,MATCH(_xlpm.pos,MASTER!$H:$H,0))&amp;"_ser_0.20_"&amp;TEXT(INDEX(MASTER!$E:$E,MATCH(_xlpm.pos,MASTER!$H:$H,0)),"mmddyy"),""),_xlpm.slot,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5" spans="1:13" ht="22" customHeight="1" x14ac:dyDescent="0.3">
      <c r="A5" s="6" t="s">
        <v>32</v>
      </c>
      <c r="B5" s="4" t="str">
        <f>_xlfn.LET(_xlpm.pos,"CDI plate 1: "&amp;$A5&amp;B$2,_xlpm.normal,IFERROR(INDEX(MASTER!$A:$A,MATCH(_xlpm.pos,MASTER!$H:$H,0))&amp;"_ser_0.20_"&amp;TEXT(INDEX(MASTER!$E:$E,MATCH(_xlpm.pos,MASTER!$H:$H,0)),"mmddyy"),""),_xlpm.slot,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5" s="4" t="str">
        <f>_xlfn.LET(_xlpm.pos,"CDI plate 1: "&amp;$A5&amp;C$2,_xlpm.normal,IFERROR(INDEX(MASTER!$A:$A,MATCH(_xlpm.pos,MASTER!$H:$H,0))&amp;"_ser_0.20_"&amp;TEXT(INDEX(MASTER!$E:$E,MATCH(_xlpm.pos,MASTER!$H:$H,0)),"mmddyy"),""),_xlpm.slot,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5" s="4" t="str">
        <f>_xlfn.LET(_xlpm.pos,"CDI plate 1: "&amp;$A5&amp;D$2,_xlpm.normal,IFERROR(INDEX(MASTER!$A:$A,MATCH(_xlpm.pos,MASTER!$H:$H,0))&amp;"_ser_0.20_"&amp;TEXT(INDEX(MASTER!$E:$E,MATCH(_xlpm.pos,MASTER!$H:$H,0)),"mmddyy"),""),_xlpm.slot,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5" s="4" t="str">
        <f>_xlfn.LET(_xlpm.pos,"CDI plate 1: "&amp;$A5&amp;E$2,_xlpm.normal,IFERROR(INDEX(MASTER!$A:$A,MATCH(_xlpm.pos,MASTER!$H:$H,0))&amp;"_ser_0.20_"&amp;TEXT(INDEX(MASTER!$E:$E,MATCH(_xlpm.pos,MASTER!$H:$H,0)),"mmddyy"),""),_xlpm.slot,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5" s="4" t="str">
        <f>_xlfn.LET(_xlpm.pos,"CDI plate 1: "&amp;$A5&amp;F$2,_xlpm.normal,IFERROR(INDEX(MASTER!$A:$A,MATCH(_xlpm.pos,MASTER!$H:$H,0))&amp;"_ser_0.20_"&amp;TEXT(INDEX(MASTER!$E:$E,MATCH(_xlpm.pos,MASTER!$H:$H,0)),"mmddyy"),""),_xlpm.slot,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5" s="4" t="str">
        <f>_xlfn.LET(_xlpm.pos,"CDI plate 1: "&amp;$A5&amp;G$2,_xlpm.normal,IFERROR(INDEX(MASTER!$A:$A,MATCH(_xlpm.pos,MASTER!$H:$H,0))&amp;"_ser_0.20_"&amp;TEXT(INDEX(MASTER!$E:$E,MATCH(_xlpm.pos,MASTER!$H:$H,0)),"mmddyy"),""),_xlpm.slot,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5" s="4" t="str">
        <f>_xlfn.LET(_xlpm.pos,"CDI plate 1: "&amp;$A5&amp;H$2,_xlpm.normal,IFERROR(INDEX(MASTER!$A:$A,MATCH(_xlpm.pos,MASTER!$H:$H,0))&amp;"_ser_0.20_"&amp;TEXT(INDEX(MASTER!$E:$E,MATCH(_xlpm.pos,MASTER!$H:$H,0)),"mmddyy"),""),_xlpm.slot,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5" s="4" t="str">
        <f>_xlfn.LET(_xlpm.pos,"CDI plate 1: "&amp;$A5&amp;I$2,_xlpm.normal,IFERROR(INDEX(MASTER!$A:$A,MATCH(_xlpm.pos,MASTER!$H:$H,0))&amp;"_ser_0.20_"&amp;TEXT(INDEX(MASTER!$E:$E,MATCH(_xlpm.pos,MASTER!$H:$H,0)),"mmddyy"),""),_xlpm.slot,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5" s="4" t="str">
        <f>_xlfn.LET(_xlpm.pos,"CDI plate 1: "&amp;$A5&amp;J$2,_xlpm.normal,IFERROR(INDEX(MASTER!$A:$A,MATCH(_xlpm.pos,MASTER!$H:$H,0))&amp;"_ser_0.20_"&amp;TEXT(INDEX(MASTER!$E:$E,MATCH(_xlpm.pos,MASTER!$H:$H,0)),"mmddyy"),""),_xlpm.slot,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5" s="4" t="str">
        <f>_xlfn.LET(_xlpm.pos,"CDI plate 1: "&amp;$A5&amp;K$2,_xlpm.normal,IFERROR(INDEX(MASTER!$A:$A,MATCH(_xlpm.pos,MASTER!$H:$H,0))&amp;"_ser_0.20_"&amp;TEXT(INDEX(MASTER!$E:$E,MATCH(_xlpm.pos,MASTER!$H:$H,0)),"mmddyy"),""),_xlpm.slot,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5" s="4" t="str">
        <f>_xlfn.LET(_xlpm.pos,"CDI plate 1: "&amp;$A5&amp;L$2,_xlpm.normal,IFERROR(INDEX(MASTER!$A:$A,MATCH(_xlpm.pos,MASTER!$H:$H,0))&amp;"_ser_0.20_"&amp;TEXT(INDEX(MASTER!$E:$E,MATCH(_xlpm.pos,MASTER!$H:$H,0)),"mmddyy"),""),_xlpm.slot,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5" s="4" t="str">
        <f>_xlfn.LET(_xlpm.pos,"CDI plate 1: "&amp;$A5&amp;M$2,_xlpm.normal,IFERROR(INDEX(MASTER!$A:$A,MATCH(_xlpm.pos,MASTER!$H:$H,0))&amp;"_ser_0.20_"&amp;TEXT(INDEX(MASTER!$E:$E,MATCH(_xlpm.pos,MASTER!$H:$H,0)),"mmddyy"),""),_xlpm.slot,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6" spans="1:13" ht="22" customHeight="1" x14ac:dyDescent="0.3">
      <c r="A6" s="6" t="s">
        <v>33</v>
      </c>
      <c r="B6" s="4" t="str">
        <f>_xlfn.LET(_xlpm.pos,"CDI plate 1: "&amp;$A6&amp;B$2,_xlpm.normal,IFERROR(INDEX(MASTER!$A:$A,MATCH(_xlpm.pos,MASTER!$H:$H,0))&amp;"_ser_0.20_"&amp;TEXT(INDEX(MASTER!$E:$E,MATCH(_xlpm.pos,MASTER!$H:$H,0)),"mmddyy"),""),_xlpm.slot,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6" s="4" t="str">
        <f>_xlfn.LET(_xlpm.pos,"CDI plate 1: "&amp;$A6&amp;C$2,_xlpm.normal,IFERROR(INDEX(MASTER!$A:$A,MATCH(_xlpm.pos,MASTER!$H:$H,0))&amp;"_ser_0.20_"&amp;TEXT(INDEX(MASTER!$E:$E,MATCH(_xlpm.pos,MASTER!$H:$H,0)),"mmddyy"),""),_xlpm.slot,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6" s="4" t="str">
        <f>_xlfn.LET(_xlpm.pos,"CDI plate 1: "&amp;$A6&amp;D$2,_xlpm.normal,IFERROR(INDEX(MASTER!$A:$A,MATCH(_xlpm.pos,MASTER!$H:$H,0))&amp;"_ser_0.20_"&amp;TEXT(INDEX(MASTER!$E:$E,MATCH(_xlpm.pos,MASTER!$H:$H,0)),"mmddyy"),""),_xlpm.slot,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6" s="4" t="str">
        <f>_xlfn.LET(_xlpm.pos,"CDI plate 1: "&amp;$A6&amp;E$2,_xlpm.normal,IFERROR(INDEX(MASTER!$A:$A,MATCH(_xlpm.pos,MASTER!$H:$H,0))&amp;"_ser_0.20_"&amp;TEXT(INDEX(MASTER!$E:$E,MATCH(_xlpm.pos,MASTER!$H:$H,0)),"mmddyy"),""),_xlpm.slot,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6" s="4" t="str">
        <f>_xlfn.LET(_xlpm.pos,"CDI plate 1: "&amp;$A6&amp;F$2,_xlpm.normal,IFERROR(INDEX(MASTER!$A:$A,MATCH(_xlpm.pos,MASTER!$H:$H,0))&amp;"_ser_0.20_"&amp;TEXT(INDEX(MASTER!$E:$E,MATCH(_xlpm.pos,MASTER!$H:$H,0)),"mmddyy"),""),_xlpm.slot,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6" s="4" t="str">
        <f>_xlfn.LET(_xlpm.pos,"CDI plate 1: "&amp;$A6&amp;G$2,_xlpm.normal,IFERROR(INDEX(MASTER!$A:$A,MATCH(_xlpm.pos,MASTER!$H:$H,0))&amp;"_ser_0.20_"&amp;TEXT(INDEX(MASTER!$E:$E,MATCH(_xlpm.pos,MASTER!$H:$H,0)),"mmddyy"),""),_xlpm.slot,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6" s="4" t="str">
        <f>_xlfn.LET(_xlpm.pos,"CDI plate 1: "&amp;$A6&amp;H$2,_xlpm.normal,IFERROR(INDEX(MASTER!$A:$A,MATCH(_xlpm.pos,MASTER!$H:$H,0))&amp;"_ser_0.20_"&amp;TEXT(INDEX(MASTER!$E:$E,MATCH(_xlpm.pos,MASTER!$H:$H,0)),"mmddyy"),""),_xlpm.slot,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6" s="4" t="str">
        <f>_xlfn.LET(_xlpm.pos,"CDI plate 1: "&amp;$A6&amp;I$2,_xlpm.normal,IFERROR(INDEX(MASTER!$A:$A,MATCH(_xlpm.pos,MASTER!$H:$H,0))&amp;"_ser_0.20_"&amp;TEXT(INDEX(MASTER!$E:$E,MATCH(_xlpm.pos,MASTER!$H:$H,0)),"mmddyy"),""),_xlpm.slot,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6" s="4" t="str">
        <f>_xlfn.LET(_xlpm.pos,"CDI plate 1: "&amp;$A6&amp;J$2,_xlpm.normal,IFERROR(INDEX(MASTER!$A:$A,MATCH(_xlpm.pos,MASTER!$H:$H,0))&amp;"_ser_0.20_"&amp;TEXT(INDEX(MASTER!$E:$E,MATCH(_xlpm.pos,MASTER!$H:$H,0)),"mmddyy"),""),_xlpm.slot,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6" s="4" t="str">
        <f>_xlfn.LET(_xlpm.pos,"CDI plate 1: "&amp;$A6&amp;K$2,_xlpm.normal,IFERROR(INDEX(MASTER!$A:$A,MATCH(_xlpm.pos,MASTER!$H:$H,0))&amp;"_ser_0.20_"&amp;TEXT(INDEX(MASTER!$E:$E,MATCH(_xlpm.pos,MASTER!$H:$H,0)),"mmddyy"),""),_xlpm.slot,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6" s="4" t="str">
        <f>_xlfn.LET(_xlpm.pos,"CDI plate 1: "&amp;$A6&amp;L$2,_xlpm.normal,IFERROR(INDEX(MASTER!$A:$A,MATCH(_xlpm.pos,MASTER!$H:$H,0))&amp;"_ser_0.20_"&amp;TEXT(INDEX(MASTER!$E:$E,MATCH(_xlpm.pos,MASTER!$H:$H,0)),"mmddyy"),""),_xlpm.slot,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6" s="4" t="str">
        <f>_xlfn.LET(_xlpm.pos,"CDI plate 1: "&amp;$A6&amp;M$2,_xlpm.normal,IFERROR(INDEX(MASTER!$A:$A,MATCH(_xlpm.pos,MASTER!$H:$H,0))&amp;"_ser_0.20_"&amp;TEXT(INDEX(MASTER!$E:$E,MATCH(_xlpm.pos,MASTER!$H:$H,0)),"mmddyy"),""),_xlpm.slot,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7" spans="1:13" ht="22" customHeight="1" x14ac:dyDescent="0.3">
      <c r="A7" s="6" t="s">
        <v>34</v>
      </c>
      <c r="B7" s="4" t="str">
        <f>_xlfn.LET(_xlpm.pos,"CDI plate 1: "&amp;$A7&amp;B$2,_xlpm.normal,IFERROR(INDEX(MASTER!$A:$A,MATCH(_xlpm.pos,MASTER!$H:$H,0))&amp;"_ser_0.20_"&amp;TEXT(INDEX(MASTER!$E:$E,MATCH(_xlpm.pos,MASTER!$H:$H,0)),"mmddyy"),""),_xlpm.slot,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7" s="4" t="str">
        <f>_xlfn.LET(_xlpm.pos,"CDI plate 1: "&amp;$A7&amp;C$2,_xlpm.normal,IFERROR(INDEX(MASTER!$A:$A,MATCH(_xlpm.pos,MASTER!$H:$H,0))&amp;"_ser_0.20_"&amp;TEXT(INDEX(MASTER!$E:$E,MATCH(_xlpm.pos,MASTER!$H:$H,0)),"mmddyy"),""),_xlpm.slot,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7" s="4" t="str">
        <f>_xlfn.LET(_xlpm.pos,"CDI plate 1: "&amp;$A7&amp;D$2,_xlpm.normal,IFERROR(INDEX(MASTER!$A:$A,MATCH(_xlpm.pos,MASTER!$H:$H,0))&amp;"_ser_0.20_"&amp;TEXT(INDEX(MASTER!$E:$E,MATCH(_xlpm.pos,MASTER!$H:$H,0)),"mmddyy"),""),_xlpm.slot,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7" s="4" t="str">
        <f>_xlfn.LET(_xlpm.pos,"CDI plate 1: "&amp;$A7&amp;E$2,_xlpm.normal,IFERROR(INDEX(MASTER!$A:$A,MATCH(_xlpm.pos,MASTER!$H:$H,0))&amp;"_ser_0.20_"&amp;TEXT(INDEX(MASTER!$E:$E,MATCH(_xlpm.pos,MASTER!$H:$H,0)),"mmddyy"),""),_xlpm.slot,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7" s="4" t="str">
        <f>_xlfn.LET(_xlpm.pos,"CDI plate 1: "&amp;$A7&amp;F$2,_xlpm.normal,IFERROR(INDEX(MASTER!$A:$A,MATCH(_xlpm.pos,MASTER!$H:$H,0))&amp;"_ser_0.20_"&amp;TEXT(INDEX(MASTER!$E:$E,MATCH(_xlpm.pos,MASTER!$H:$H,0)),"mmddyy"),""),_xlpm.slot,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7" s="4" t="str">
        <f>_xlfn.LET(_xlpm.pos,"CDI plate 1: "&amp;$A7&amp;G$2,_xlpm.normal,IFERROR(INDEX(MASTER!$A:$A,MATCH(_xlpm.pos,MASTER!$H:$H,0))&amp;"_ser_0.20_"&amp;TEXT(INDEX(MASTER!$E:$E,MATCH(_xlpm.pos,MASTER!$H:$H,0)),"mmddyy"),""),_xlpm.slot,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7" s="4" t="str">
        <f>_xlfn.LET(_xlpm.pos,"CDI plate 1: "&amp;$A7&amp;H$2,_xlpm.normal,IFERROR(INDEX(MASTER!$A:$A,MATCH(_xlpm.pos,MASTER!$H:$H,0))&amp;"_ser_0.20_"&amp;TEXT(INDEX(MASTER!$E:$E,MATCH(_xlpm.pos,MASTER!$H:$H,0)),"mmddyy"),""),_xlpm.slot,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7" s="4" t="str">
        <f>_xlfn.LET(_xlpm.pos,"CDI plate 1: "&amp;$A7&amp;I$2,_xlpm.normal,IFERROR(INDEX(MASTER!$A:$A,MATCH(_xlpm.pos,MASTER!$H:$H,0))&amp;"_ser_0.20_"&amp;TEXT(INDEX(MASTER!$E:$E,MATCH(_xlpm.pos,MASTER!$H:$H,0)),"mmddyy"),""),_xlpm.slot,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7" s="4" t="str">
        <f>_xlfn.LET(_xlpm.pos,"CDI plate 1: "&amp;$A7&amp;J$2,_xlpm.normal,IFERROR(INDEX(MASTER!$A:$A,MATCH(_xlpm.pos,MASTER!$H:$H,0))&amp;"_ser_0.20_"&amp;TEXT(INDEX(MASTER!$E:$E,MATCH(_xlpm.pos,MASTER!$H:$H,0)),"mmddyy"),""),_xlpm.slot,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7" s="4" t="str">
        <f>_xlfn.LET(_xlpm.pos,"CDI plate 1: "&amp;$A7&amp;K$2,_xlpm.normal,IFERROR(INDEX(MASTER!$A:$A,MATCH(_xlpm.pos,MASTER!$H:$H,0))&amp;"_ser_0.20_"&amp;TEXT(INDEX(MASTER!$E:$E,MATCH(_xlpm.pos,MASTER!$H:$H,0)),"mmddyy"),""),_xlpm.slot,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7" s="4" t="str">
        <f>_xlfn.LET(_xlpm.pos,"CDI plate 1: "&amp;$A7&amp;L$2,_xlpm.normal,IFERROR(INDEX(MASTER!$A:$A,MATCH(_xlpm.pos,MASTER!$H:$H,0))&amp;"_ser_0.20_"&amp;TEXT(INDEX(MASTER!$E:$E,MATCH(_xlpm.pos,MASTER!$H:$H,0)),"mmddyy"),""),_xlpm.slot,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7" s="4" t="str">
        <f>_xlfn.LET(_xlpm.pos,"CDI plate 1: "&amp;$A7&amp;M$2,_xlpm.normal,IFERROR(INDEX(MASTER!$A:$A,MATCH(_xlpm.pos,MASTER!$H:$H,0))&amp;"_ser_0.20_"&amp;TEXT(INDEX(MASTER!$E:$E,MATCH(_xlpm.pos,MASTER!$H:$H,0)),"mmddyy"),""),_xlpm.slot,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8" spans="1:13" ht="22" customHeight="1" x14ac:dyDescent="0.3">
      <c r="A8" s="6" t="s">
        <v>15</v>
      </c>
      <c r="B8" s="4" t="str">
        <f>_xlfn.LET(_xlpm.pos,"CDI plate 1: "&amp;$A8&amp;B$2,_xlpm.normal,IFERROR(INDEX(MASTER!$A:$A,MATCH(_xlpm.pos,MASTER!$H:$H,0))&amp;"_ser_0.20_"&amp;TEXT(INDEX(MASTER!$E:$E,MATCH(_xlpm.pos,MASTER!$H:$H,0)),"mmddyy"),""),_xlpm.slot,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8" s="4" t="str">
        <f>_xlfn.LET(_xlpm.pos,"CDI plate 1: "&amp;$A8&amp;C$2,_xlpm.normal,IFERROR(INDEX(MASTER!$A:$A,MATCH(_xlpm.pos,MASTER!$H:$H,0))&amp;"_ser_0.20_"&amp;TEXT(INDEX(MASTER!$E:$E,MATCH(_xlpm.pos,MASTER!$H:$H,0)),"mmddyy"),""),_xlpm.slot,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8" s="4" t="str">
        <f>_xlfn.LET(_xlpm.pos,"CDI plate 1: "&amp;$A8&amp;D$2,_xlpm.normal,IFERROR(INDEX(MASTER!$A:$A,MATCH(_xlpm.pos,MASTER!$H:$H,0))&amp;"_ser_0.20_"&amp;TEXT(INDEX(MASTER!$E:$E,MATCH(_xlpm.pos,MASTER!$H:$H,0)),"mmddyy"),""),_xlpm.slot,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8" s="4" t="str">
        <f>_xlfn.LET(_xlpm.pos,"CDI plate 1: "&amp;$A8&amp;E$2,_xlpm.normal,IFERROR(INDEX(MASTER!$A:$A,MATCH(_xlpm.pos,MASTER!$H:$H,0))&amp;"_ser_0.20_"&amp;TEXT(INDEX(MASTER!$E:$E,MATCH(_xlpm.pos,MASTER!$H:$H,0)),"mmddyy"),""),_xlpm.slot,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8" s="4" t="str">
        <f>_xlfn.LET(_xlpm.pos,"CDI plate 1: "&amp;$A8&amp;F$2,_xlpm.normal,IFERROR(INDEX(MASTER!$A:$A,MATCH(_xlpm.pos,MASTER!$H:$H,0))&amp;"_ser_0.20_"&amp;TEXT(INDEX(MASTER!$E:$E,MATCH(_xlpm.pos,MASTER!$H:$H,0)),"mmddyy"),""),_xlpm.slot,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8" s="4" t="str">
        <f>_xlfn.LET(_xlpm.pos,"CDI plate 1: "&amp;$A8&amp;G$2,_xlpm.normal,IFERROR(INDEX(MASTER!$A:$A,MATCH(_xlpm.pos,MASTER!$H:$H,0))&amp;"_ser_0.20_"&amp;TEXT(INDEX(MASTER!$E:$E,MATCH(_xlpm.pos,MASTER!$H:$H,0)),"mmddyy"),""),_xlpm.slot,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8" s="4" t="str">
        <f>_xlfn.LET(_xlpm.pos,"CDI plate 1: "&amp;$A8&amp;H$2,_xlpm.normal,IFERROR(INDEX(MASTER!$A:$A,MATCH(_xlpm.pos,MASTER!$H:$H,0))&amp;"_ser_0.20_"&amp;TEXT(INDEX(MASTER!$E:$E,MATCH(_xlpm.pos,MASTER!$H:$H,0)),"mmddyy"),""),_xlpm.slot,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8" s="4" t="str">
        <f>_xlfn.LET(_xlpm.pos,"CDI plate 1: "&amp;$A8&amp;I$2,_xlpm.normal,IFERROR(INDEX(MASTER!$A:$A,MATCH(_xlpm.pos,MASTER!$H:$H,0))&amp;"_ser_0.20_"&amp;TEXT(INDEX(MASTER!$E:$E,MATCH(_xlpm.pos,MASTER!$H:$H,0)),"mmddyy"),""),_xlpm.slot,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8" s="4" t="str">
        <f>_xlfn.LET(_xlpm.pos,"CDI plate 1: "&amp;$A8&amp;J$2,_xlpm.normal,IFERROR(INDEX(MASTER!$A:$A,MATCH(_xlpm.pos,MASTER!$H:$H,0))&amp;"_ser_0.20_"&amp;TEXT(INDEX(MASTER!$E:$E,MATCH(_xlpm.pos,MASTER!$H:$H,0)),"mmddyy"),""),_xlpm.slot,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8" s="4" t="str">
        <f>_xlfn.LET(_xlpm.pos,"CDI plate 1: "&amp;$A8&amp;K$2,_xlpm.normal,IFERROR(INDEX(MASTER!$A:$A,MATCH(_xlpm.pos,MASTER!$H:$H,0))&amp;"_ser_0.20_"&amp;TEXT(INDEX(MASTER!$E:$E,MATCH(_xlpm.pos,MASTER!$H:$H,0)),"mmddyy"),""),_xlpm.slot,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8" s="4" t="str">
        <f>_xlfn.LET(_xlpm.pos,"CDI plate 1: "&amp;$A8&amp;L$2,_xlpm.normal,IFERROR(INDEX(MASTER!$A:$A,MATCH(_xlpm.pos,MASTER!$H:$H,0))&amp;"_ser_0.20_"&amp;TEXT(INDEX(MASTER!$E:$E,MATCH(_xlpm.pos,MASTER!$H:$H,0)),"mmddyy"),""),_xlpm.slot,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8" s="4" t="str">
        <f>_xlfn.LET(_xlpm.pos,"CDI plate 1: "&amp;$A8&amp;M$2,_xlpm.normal,IFERROR(INDEX(MASTER!$A:$A,MATCH(_xlpm.pos,MASTER!$H:$H,0))&amp;"_ser_0.20_"&amp;TEXT(INDEX(MASTER!$E:$E,MATCH(_xlpm.pos,MASTER!$H:$H,0)),"mmddyy"),""),_xlpm.slot,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9" spans="1:13" ht="22" customHeight="1" x14ac:dyDescent="0.3">
      <c r="A9" s="6" t="s">
        <v>35</v>
      </c>
      <c r="B9" s="4" t="str">
        <f>_xlfn.LET(_xlpm.pos,"CDI plate 1: "&amp;$A9&amp;B$2,_xlpm.normal,IFERROR(INDEX(MASTER!$A:$A,MATCH(_xlpm.pos,MASTER!$H:$H,0))&amp;"_ser_0.20_"&amp;TEXT(INDEX(MASTER!$E:$E,MATCH(_xlpm.pos,MASTER!$H:$H,0)),"mmddyy"),""),_xlpm.slot,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9" s="4" t="str">
        <f>_xlfn.LET(_xlpm.pos,"CDI plate 1: "&amp;$A9&amp;C$2,_xlpm.normal,IFERROR(INDEX(MASTER!$A:$A,MATCH(_xlpm.pos,MASTER!$H:$H,0))&amp;"_ser_0.20_"&amp;TEXT(INDEX(MASTER!$E:$E,MATCH(_xlpm.pos,MASTER!$H:$H,0)),"mmddyy"),""),_xlpm.slot,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9" s="4" t="str">
        <f>_xlfn.LET(_xlpm.pos,"CDI plate 1: "&amp;$A9&amp;D$2,_xlpm.normal,IFERROR(INDEX(MASTER!$A:$A,MATCH(_xlpm.pos,MASTER!$H:$H,0))&amp;"_ser_0.20_"&amp;TEXT(INDEX(MASTER!$E:$E,MATCH(_xlpm.pos,MASTER!$H:$H,0)),"mmddyy"),""),_xlpm.slot,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9" s="4" t="str">
        <f>_xlfn.LET(_xlpm.pos,"CDI plate 1: "&amp;$A9&amp;E$2,_xlpm.normal,IFERROR(INDEX(MASTER!$A:$A,MATCH(_xlpm.pos,MASTER!$H:$H,0))&amp;"_ser_0.20_"&amp;TEXT(INDEX(MASTER!$E:$E,MATCH(_xlpm.pos,MASTER!$H:$H,0)),"mmddyy"),""),_xlpm.slot,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9" s="4" t="str">
        <f>_xlfn.LET(_xlpm.pos,"CDI plate 1: "&amp;$A9&amp;F$2,_xlpm.normal,IFERROR(INDEX(MASTER!$A:$A,MATCH(_xlpm.pos,MASTER!$H:$H,0))&amp;"_ser_0.20_"&amp;TEXT(INDEX(MASTER!$E:$E,MATCH(_xlpm.pos,MASTER!$H:$H,0)),"mmddyy"),""),_xlpm.slot,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9" s="4" t="str">
        <f>_xlfn.LET(_xlpm.pos,"CDI plate 1: "&amp;$A9&amp;G$2,_xlpm.normal,IFERROR(INDEX(MASTER!$A:$A,MATCH(_xlpm.pos,MASTER!$H:$H,0))&amp;"_ser_0.20_"&amp;TEXT(INDEX(MASTER!$E:$E,MATCH(_xlpm.pos,MASTER!$H:$H,0)),"mmddyy"),""),_xlpm.slot,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9" s="4" t="str">
        <f>_xlfn.LET(_xlpm.pos,"CDI plate 1: "&amp;$A9&amp;H$2,_xlpm.normal,IFERROR(INDEX(MASTER!$A:$A,MATCH(_xlpm.pos,MASTER!$H:$H,0))&amp;"_ser_0.20_"&amp;TEXT(INDEX(MASTER!$E:$E,MATCH(_xlpm.pos,MASTER!$H:$H,0)),"mmddyy"),""),_xlpm.slot,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9" s="4" t="str">
        <f>_xlfn.LET(_xlpm.pos,"CDI plate 1: "&amp;$A9&amp;I$2,_xlpm.normal,IFERROR(INDEX(MASTER!$A:$A,MATCH(_xlpm.pos,MASTER!$H:$H,0))&amp;"_ser_0.20_"&amp;TEXT(INDEX(MASTER!$E:$E,MATCH(_xlpm.pos,MASTER!$H:$H,0)),"mmddyy"),""),_xlpm.slot,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9" s="4" t="str">
        <f>_xlfn.LET(_xlpm.pos,"CDI plate 1: "&amp;$A9&amp;J$2,_xlpm.normal,IFERROR(INDEX(MASTER!$A:$A,MATCH(_xlpm.pos,MASTER!$H:$H,0))&amp;"_ser_0.20_"&amp;TEXT(INDEX(MASTER!$E:$E,MATCH(_xlpm.pos,MASTER!$H:$H,0)),"mmddyy"),""),_xlpm.slot,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9" s="4" t="str">
        <f>_xlfn.LET(_xlpm.pos,"CDI plate 1: "&amp;$A9&amp;K$2,_xlpm.normal,IFERROR(INDEX(MASTER!$A:$A,MATCH(_xlpm.pos,MASTER!$H:$H,0))&amp;"_ser_0.20_"&amp;TEXT(INDEX(MASTER!$E:$E,MATCH(_xlpm.pos,MASTER!$H:$H,0)),"mmddyy"),""),_xlpm.slot,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9" s="4" t="str">
        <f>_xlfn.LET(_xlpm.pos,"CDI plate 1: "&amp;$A9&amp;L$2,_xlpm.normal,IFERROR(INDEX(MASTER!$A:$A,MATCH(_xlpm.pos,MASTER!$H:$H,0))&amp;"_ser_0.20_"&amp;TEXT(INDEX(MASTER!$E:$E,MATCH(_xlpm.pos,MASTER!$H:$H,0)),"mmddyy"),""),_xlpm.slot,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9" s="4" t="str">
        <f>_xlfn.LET(_xlpm.pos,"CDI plate 1: "&amp;$A9&amp;M$2,_xlpm.normal,IFERROR(INDEX(MASTER!$A:$A,MATCH(_xlpm.pos,MASTER!$H:$H,0))&amp;"_ser_0.20_"&amp;TEXT(INDEX(MASTER!$E:$E,MATCH(_xlpm.pos,MASTER!$H:$H,0)),"mmddyy"),""),_xlpm.slot,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0" spans="1:13" ht="22" customHeight="1" x14ac:dyDescent="0.3">
      <c r="A10" s="6" t="s">
        <v>36</v>
      </c>
      <c r="B10" s="4" t="str">
        <f>_xlfn.LET(_xlpm.pos,"CDI plate 1: "&amp;$A10&amp;B$2,_xlpm.normal,IFERROR(INDEX(MASTER!$A:$A,MATCH(_xlpm.pos,MASTER!$H:$H,0))&amp;"_ser_0.20_"&amp;TEXT(INDEX(MASTER!$E:$E,MATCH(_xlpm.pos,MASTER!$H:$H,0)),"mmddyy"),""),_xlpm.slot,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0" s="4" t="str">
        <f>_xlfn.LET(_xlpm.pos,"CDI plate 1: "&amp;$A10&amp;C$2,_xlpm.normal,IFERROR(INDEX(MASTER!$A:$A,MATCH(_xlpm.pos,MASTER!$H:$H,0))&amp;"_ser_0.20_"&amp;TEXT(INDEX(MASTER!$E:$E,MATCH(_xlpm.pos,MASTER!$H:$H,0)),"mmddyy"),""),_xlpm.slot,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0" s="4" t="str">
        <f>_xlfn.LET(_xlpm.pos,"CDI plate 1: "&amp;$A10&amp;D$2,_xlpm.normal,IFERROR(INDEX(MASTER!$A:$A,MATCH(_xlpm.pos,MASTER!$H:$H,0))&amp;"_ser_0.20_"&amp;TEXT(INDEX(MASTER!$E:$E,MATCH(_xlpm.pos,MASTER!$H:$H,0)),"mmddyy"),""),_xlpm.slot,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0" s="4" t="str">
        <f>_xlfn.LET(_xlpm.pos,"CDI plate 1: "&amp;$A10&amp;E$2,_xlpm.normal,IFERROR(INDEX(MASTER!$A:$A,MATCH(_xlpm.pos,MASTER!$H:$H,0))&amp;"_ser_0.20_"&amp;TEXT(INDEX(MASTER!$E:$E,MATCH(_xlpm.pos,MASTER!$H:$H,0)),"mmddyy"),""),_xlpm.slot,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0" s="4" t="str">
        <f>_xlfn.LET(_xlpm.pos,"CDI plate 1: "&amp;$A10&amp;F$2,_xlpm.normal,IFERROR(INDEX(MASTER!$A:$A,MATCH(_xlpm.pos,MASTER!$H:$H,0))&amp;"_ser_0.20_"&amp;TEXT(INDEX(MASTER!$E:$E,MATCH(_xlpm.pos,MASTER!$H:$H,0)),"mmddyy"),""),_xlpm.slot,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0" s="4" t="str">
        <f>_xlfn.LET(_xlpm.pos,"CDI plate 1: "&amp;$A10&amp;G$2,_xlpm.normal,IFERROR(INDEX(MASTER!$A:$A,MATCH(_xlpm.pos,MASTER!$H:$H,0))&amp;"_ser_0.20_"&amp;TEXT(INDEX(MASTER!$E:$E,MATCH(_xlpm.pos,MASTER!$H:$H,0)),"mmddyy"),""),_xlpm.slot,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0" s="4" t="str">
        <f>_xlfn.LET(_xlpm.pos,"CDI plate 1: "&amp;$A10&amp;H$2,_xlpm.normal,IFERROR(INDEX(MASTER!$A:$A,MATCH(_xlpm.pos,MASTER!$H:$H,0))&amp;"_ser_0.20_"&amp;TEXT(INDEX(MASTER!$E:$E,MATCH(_xlpm.pos,MASTER!$H:$H,0)),"mmddyy"),""),_xlpm.slot,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0" s="4" t="str">
        <f>_xlfn.LET(_xlpm.pos,"CDI plate 1: "&amp;$A10&amp;I$2,_xlpm.normal,IFERROR(INDEX(MASTER!$A:$A,MATCH(_xlpm.pos,MASTER!$H:$H,0))&amp;"_ser_0.20_"&amp;TEXT(INDEX(MASTER!$E:$E,MATCH(_xlpm.pos,MASTER!$H:$H,0)),"mmddyy"),""),_xlpm.slot,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0" s="4" t="str">
        <f>_xlfn.LET(_xlpm.pos,"CDI plate 1: "&amp;$A10&amp;J$2,_xlpm.normal,IFERROR(INDEX(MASTER!$A:$A,MATCH(_xlpm.pos,MASTER!$H:$H,0))&amp;"_ser_0.20_"&amp;TEXT(INDEX(MASTER!$E:$E,MATCH(_xlpm.pos,MASTER!$H:$H,0)),"mmddyy"),""),_xlpm.slot,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0" s="4" t="str">
        <f>_xlfn.LET(_xlpm.pos,"CDI plate 1: "&amp;$A10&amp;K$2,_xlpm.normal,IFERROR(INDEX(MASTER!$A:$A,MATCH(_xlpm.pos,MASTER!$H:$H,0))&amp;"_ser_0.20_"&amp;TEXT(INDEX(MASTER!$E:$E,MATCH(_xlpm.pos,MASTER!$H:$H,0)),"mmddyy"),""),_xlpm.slot,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0" s="4" t="str">
        <f>_xlfn.LET(_xlpm.pos,"CDI plate 1: "&amp;$A10&amp;L$2,_xlpm.normal,IFERROR(INDEX(MASTER!$A:$A,MATCH(_xlpm.pos,MASTER!$H:$H,0))&amp;"_ser_0.20_"&amp;TEXT(INDEX(MASTER!$E:$E,MATCH(_xlpm.pos,MASTER!$H:$H,0)),"mmddyy"),""),_xlpm.slot,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0" s="4" t="str">
        <f>_xlfn.LET(_xlpm.pos,"CDI plate 1: "&amp;$A10&amp;M$2,_xlpm.normal,IFERROR(INDEX(MASTER!$A:$A,MATCH(_xlpm.pos,MASTER!$H:$H,0))&amp;"_ser_0.20_"&amp;TEXT(INDEX(MASTER!$E:$E,MATCH(_xlpm.pos,MASTER!$H:$H,0)),"mmddyy"),""),_xlpm.slot,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1" spans="1:13" ht="22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22" customHeight="1" x14ac:dyDescent="0.35">
      <c r="A12" s="5"/>
      <c r="B12" s="31" t="s">
        <v>37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</row>
    <row r="13" spans="1:13" ht="22" customHeight="1" x14ac:dyDescent="0.3">
      <c r="A13" s="5"/>
      <c r="B13" s="6">
        <v>1</v>
      </c>
      <c r="C13" s="6">
        <v>2</v>
      </c>
      <c r="D13" s="6">
        <v>3</v>
      </c>
      <c r="E13" s="6">
        <v>4</v>
      </c>
      <c r="F13" s="6">
        <v>5</v>
      </c>
      <c r="G13" s="6">
        <v>6</v>
      </c>
      <c r="H13" s="6">
        <v>7</v>
      </c>
      <c r="I13" s="6">
        <v>8</v>
      </c>
      <c r="J13" s="6">
        <v>9</v>
      </c>
      <c r="K13" s="6">
        <v>10</v>
      </c>
      <c r="L13" s="6">
        <v>11</v>
      </c>
      <c r="M13" s="6">
        <v>12</v>
      </c>
    </row>
    <row r="14" spans="1:13" ht="22" customHeight="1" x14ac:dyDescent="0.3">
      <c r="A14" s="6" t="s">
        <v>30</v>
      </c>
      <c r="B14" s="4" t="str">
        <f>_xlfn.LET(_xlpm.pos,"CDI plate 2: "&amp;$A3&amp;B$2,_xlpm.normal,IFERROR(INDEX(MASTER!$A:$A,MATCH(_xlpm.pos,MASTER!$H:$H,0))&amp;"_ser_0.20_"&amp;TEXT(INDEX(MASTER!$E:$E,MATCH(_xlpm.pos,MASTER!$H:$H,0)),"mmddyy"),""),_xlpm.slot,96+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4" s="4" t="str">
        <f>_xlfn.LET(_xlpm.pos,"CDI plate 2: "&amp;$A3&amp;C$2,_xlpm.normal,IFERROR(INDEX(MASTER!$A:$A,MATCH(_xlpm.pos,MASTER!$H:$H,0))&amp;"_ser_0.20_"&amp;TEXT(INDEX(MASTER!$E:$E,MATCH(_xlpm.pos,MASTER!$H:$H,0)),"mmddyy"),""),_xlpm.slot,96+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4" s="4" t="str">
        <f>_xlfn.LET(_xlpm.pos,"CDI plate 2: "&amp;$A3&amp;D$2,_xlpm.normal,IFERROR(INDEX(MASTER!$A:$A,MATCH(_xlpm.pos,MASTER!$H:$H,0))&amp;"_ser_0.20_"&amp;TEXT(INDEX(MASTER!$E:$E,MATCH(_xlpm.pos,MASTER!$H:$H,0)),"mmddyy"),""),_xlpm.slot,96+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4" s="4" t="str">
        <f>_xlfn.LET(_xlpm.pos,"CDI plate 2: "&amp;$A3&amp;E$2,_xlpm.normal,IFERROR(INDEX(MASTER!$A:$A,MATCH(_xlpm.pos,MASTER!$H:$H,0))&amp;"_ser_0.20_"&amp;TEXT(INDEX(MASTER!$E:$E,MATCH(_xlpm.pos,MASTER!$H:$H,0)),"mmddyy"),""),_xlpm.slot,96+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4" s="4" t="str">
        <f>_xlfn.LET(_xlpm.pos,"CDI plate 2: "&amp;$A3&amp;F$2,_xlpm.normal,IFERROR(INDEX(MASTER!$A:$A,MATCH(_xlpm.pos,MASTER!$H:$H,0))&amp;"_ser_0.20_"&amp;TEXT(INDEX(MASTER!$E:$E,MATCH(_xlpm.pos,MASTER!$H:$H,0)),"mmddyy"),""),_xlpm.slot,96+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4" s="4" t="str">
        <f>_xlfn.LET(_xlpm.pos,"CDI plate 2: "&amp;$A3&amp;G$2,_xlpm.normal,IFERROR(INDEX(MASTER!$A:$A,MATCH(_xlpm.pos,MASTER!$H:$H,0))&amp;"_ser_0.20_"&amp;TEXT(INDEX(MASTER!$E:$E,MATCH(_xlpm.pos,MASTER!$H:$H,0)),"mmddyy"),""),_xlpm.slot,96+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4" s="4" t="str">
        <f>_xlfn.LET(_xlpm.pos,"CDI plate 2: "&amp;$A3&amp;H$2,_xlpm.normal,IFERROR(INDEX(MASTER!$A:$A,MATCH(_xlpm.pos,MASTER!$H:$H,0))&amp;"_ser_0.20_"&amp;TEXT(INDEX(MASTER!$E:$E,MATCH(_xlpm.pos,MASTER!$H:$H,0)),"mmddyy"),""),_xlpm.slot,96+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4" s="4" t="str">
        <f>_xlfn.LET(_xlpm.pos,"CDI plate 2: "&amp;$A3&amp;I$2,_xlpm.normal,IFERROR(INDEX(MASTER!$A:$A,MATCH(_xlpm.pos,MASTER!$H:$H,0))&amp;"_ser_0.20_"&amp;TEXT(INDEX(MASTER!$E:$E,MATCH(_xlpm.pos,MASTER!$H:$H,0)),"mmddyy"),""),_xlpm.slot,96+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4" s="4" t="str">
        <f>_xlfn.LET(_xlpm.pos,"CDI plate 2: "&amp;$A3&amp;J$2,_xlpm.normal,IFERROR(INDEX(MASTER!$A:$A,MATCH(_xlpm.pos,MASTER!$H:$H,0))&amp;"_ser_0.20_"&amp;TEXT(INDEX(MASTER!$E:$E,MATCH(_xlpm.pos,MASTER!$H:$H,0)),"mmddyy"),""),_xlpm.slot,96+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4" s="4" t="str">
        <f>_xlfn.LET(_xlpm.pos,"CDI plate 2: "&amp;$A3&amp;K$2,_xlpm.normal,IFERROR(INDEX(MASTER!$A:$A,MATCH(_xlpm.pos,MASTER!$H:$H,0))&amp;"_ser_0.20_"&amp;TEXT(INDEX(MASTER!$E:$E,MATCH(_xlpm.pos,MASTER!$H:$H,0)),"mmddyy"),""),_xlpm.slot,96+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4" s="4" t="str">
        <f>_xlfn.LET(_xlpm.pos,"CDI plate 2: "&amp;$A3&amp;L$2,_xlpm.normal,IFERROR(INDEX(MASTER!$A:$A,MATCH(_xlpm.pos,MASTER!$H:$H,0))&amp;"_ser_0.20_"&amp;TEXT(INDEX(MASTER!$E:$E,MATCH(_xlpm.pos,MASTER!$H:$H,0)),"mmddyy"),""),_xlpm.slot,96+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4" s="4" t="str">
        <f>_xlfn.LET(_xlpm.pos,"CDI plate 2: "&amp;$A3&amp;M$2,_xlpm.normal,IFERROR(INDEX(MASTER!$A:$A,MATCH(_xlpm.pos,MASTER!$H:$H,0))&amp;"_ser_0.20_"&amp;TEXT(INDEX(MASTER!$E:$E,MATCH(_xlpm.pos,MASTER!$H:$H,0)),"mmddyy"),""),_xlpm.slot,96+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5" spans="1:13" ht="22" customHeight="1" x14ac:dyDescent="0.3">
      <c r="A15" s="6" t="s">
        <v>31</v>
      </c>
      <c r="B15" s="4" t="str">
        <f>_xlfn.LET(_xlpm.pos,"CDI plate 2: "&amp;$A4&amp;B$2,_xlpm.normal,IFERROR(INDEX(MASTER!$A:$A,MATCH(_xlpm.pos,MASTER!$H:$H,0))&amp;"_ser_0.20_"&amp;TEXT(INDEX(MASTER!$E:$E,MATCH(_xlpm.pos,MASTER!$H:$H,0)),"mmddyy"),""),_xlpm.slot,96+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5" s="4" t="str">
        <f>_xlfn.LET(_xlpm.pos,"CDI plate 2: "&amp;$A4&amp;C$2,_xlpm.normal,IFERROR(INDEX(MASTER!$A:$A,MATCH(_xlpm.pos,MASTER!$H:$H,0))&amp;"_ser_0.20_"&amp;TEXT(INDEX(MASTER!$E:$E,MATCH(_xlpm.pos,MASTER!$H:$H,0)),"mmddyy"),""),_xlpm.slot,96+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5" s="4" t="str">
        <f>_xlfn.LET(_xlpm.pos,"CDI plate 2: "&amp;$A4&amp;D$2,_xlpm.normal,IFERROR(INDEX(MASTER!$A:$A,MATCH(_xlpm.pos,MASTER!$H:$H,0))&amp;"_ser_0.20_"&amp;TEXT(INDEX(MASTER!$E:$E,MATCH(_xlpm.pos,MASTER!$H:$H,0)),"mmddyy"),""),_xlpm.slot,96+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5" s="4" t="str">
        <f>_xlfn.LET(_xlpm.pos,"CDI plate 2: "&amp;$A4&amp;E$2,_xlpm.normal,IFERROR(INDEX(MASTER!$A:$A,MATCH(_xlpm.pos,MASTER!$H:$H,0))&amp;"_ser_0.20_"&amp;TEXT(INDEX(MASTER!$E:$E,MATCH(_xlpm.pos,MASTER!$H:$H,0)),"mmddyy"),""),_xlpm.slot,96+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5" s="4" t="str">
        <f>_xlfn.LET(_xlpm.pos,"CDI plate 2: "&amp;$A4&amp;F$2,_xlpm.normal,IFERROR(INDEX(MASTER!$A:$A,MATCH(_xlpm.pos,MASTER!$H:$H,0))&amp;"_ser_0.20_"&amp;TEXT(INDEX(MASTER!$E:$E,MATCH(_xlpm.pos,MASTER!$H:$H,0)),"mmddyy"),""),_xlpm.slot,96+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5" s="4" t="str">
        <f>_xlfn.LET(_xlpm.pos,"CDI plate 2: "&amp;$A4&amp;G$2,_xlpm.normal,IFERROR(INDEX(MASTER!$A:$A,MATCH(_xlpm.pos,MASTER!$H:$H,0))&amp;"_ser_0.20_"&amp;TEXT(INDEX(MASTER!$E:$E,MATCH(_xlpm.pos,MASTER!$H:$H,0)),"mmddyy"),""),_xlpm.slot,96+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5" s="4" t="str">
        <f>_xlfn.LET(_xlpm.pos,"CDI plate 2: "&amp;$A4&amp;H$2,_xlpm.normal,IFERROR(INDEX(MASTER!$A:$A,MATCH(_xlpm.pos,MASTER!$H:$H,0))&amp;"_ser_0.20_"&amp;TEXT(INDEX(MASTER!$E:$E,MATCH(_xlpm.pos,MASTER!$H:$H,0)),"mmddyy"),""),_xlpm.slot,96+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5" s="4" t="str">
        <f>_xlfn.LET(_xlpm.pos,"CDI plate 2: "&amp;$A4&amp;I$2,_xlpm.normal,IFERROR(INDEX(MASTER!$A:$A,MATCH(_xlpm.pos,MASTER!$H:$H,0))&amp;"_ser_0.20_"&amp;TEXT(INDEX(MASTER!$E:$E,MATCH(_xlpm.pos,MASTER!$H:$H,0)),"mmddyy"),""),_xlpm.slot,96+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5" s="4" t="str">
        <f>_xlfn.LET(_xlpm.pos,"CDI plate 2: "&amp;$A4&amp;J$2,_xlpm.normal,IFERROR(INDEX(MASTER!$A:$A,MATCH(_xlpm.pos,MASTER!$H:$H,0))&amp;"_ser_0.20_"&amp;TEXT(INDEX(MASTER!$E:$E,MATCH(_xlpm.pos,MASTER!$H:$H,0)),"mmddyy"),""),_xlpm.slot,96+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5" s="4" t="str">
        <f>_xlfn.LET(_xlpm.pos,"CDI plate 2: "&amp;$A4&amp;K$2,_xlpm.normal,IFERROR(INDEX(MASTER!$A:$A,MATCH(_xlpm.pos,MASTER!$H:$H,0))&amp;"_ser_0.20_"&amp;TEXT(INDEX(MASTER!$E:$E,MATCH(_xlpm.pos,MASTER!$H:$H,0)),"mmddyy"),""),_xlpm.slot,96+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5" s="4" t="str">
        <f>_xlfn.LET(_xlpm.pos,"CDI plate 2: "&amp;$A4&amp;L$2,_xlpm.normal,IFERROR(INDEX(MASTER!$A:$A,MATCH(_xlpm.pos,MASTER!$H:$H,0))&amp;"_ser_0.20_"&amp;TEXT(INDEX(MASTER!$E:$E,MATCH(_xlpm.pos,MASTER!$H:$H,0)),"mmddyy"),""),_xlpm.slot,96+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5" s="4" t="str">
        <f>_xlfn.LET(_xlpm.pos,"CDI plate 2: "&amp;$A4&amp;M$2,_xlpm.normal,IFERROR(INDEX(MASTER!$A:$A,MATCH(_xlpm.pos,MASTER!$H:$H,0))&amp;"_ser_0.20_"&amp;TEXT(INDEX(MASTER!$E:$E,MATCH(_xlpm.pos,MASTER!$H:$H,0)),"mmddyy"),""),_xlpm.slot,96+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6" spans="1:13" ht="22" customHeight="1" x14ac:dyDescent="0.3">
      <c r="A16" s="6" t="s">
        <v>32</v>
      </c>
      <c r="B16" s="4" t="str">
        <f>_xlfn.LET(_xlpm.pos,"CDI plate 2: "&amp;$A5&amp;B$2,_xlpm.normal,IFERROR(INDEX(MASTER!$A:$A,MATCH(_xlpm.pos,MASTER!$H:$H,0))&amp;"_ser_0.20_"&amp;TEXT(INDEX(MASTER!$E:$E,MATCH(_xlpm.pos,MASTER!$H:$H,0)),"mmddyy"),""),_xlpm.slot,96+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6" s="4" t="str">
        <f>_xlfn.LET(_xlpm.pos,"CDI plate 2: "&amp;$A5&amp;C$2,_xlpm.normal,IFERROR(INDEX(MASTER!$A:$A,MATCH(_xlpm.pos,MASTER!$H:$H,0))&amp;"_ser_0.20_"&amp;TEXT(INDEX(MASTER!$E:$E,MATCH(_xlpm.pos,MASTER!$H:$H,0)),"mmddyy"),""),_xlpm.slot,96+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6" s="4" t="str">
        <f>_xlfn.LET(_xlpm.pos,"CDI plate 2: "&amp;$A5&amp;D$2,_xlpm.normal,IFERROR(INDEX(MASTER!$A:$A,MATCH(_xlpm.pos,MASTER!$H:$H,0))&amp;"_ser_0.20_"&amp;TEXT(INDEX(MASTER!$E:$E,MATCH(_xlpm.pos,MASTER!$H:$H,0)),"mmddyy"),""),_xlpm.slot,96+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6" s="4" t="str">
        <f>_xlfn.LET(_xlpm.pos,"CDI plate 2: "&amp;$A5&amp;E$2,_xlpm.normal,IFERROR(INDEX(MASTER!$A:$A,MATCH(_xlpm.pos,MASTER!$H:$H,0))&amp;"_ser_0.20_"&amp;TEXT(INDEX(MASTER!$E:$E,MATCH(_xlpm.pos,MASTER!$H:$H,0)),"mmddyy"),""),_xlpm.slot,96+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6" s="4" t="str">
        <f>_xlfn.LET(_xlpm.pos,"CDI plate 2: "&amp;$A5&amp;F$2,_xlpm.normal,IFERROR(INDEX(MASTER!$A:$A,MATCH(_xlpm.pos,MASTER!$H:$H,0))&amp;"_ser_0.20_"&amp;TEXT(INDEX(MASTER!$E:$E,MATCH(_xlpm.pos,MASTER!$H:$H,0)),"mmddyy"),""),_xlpm.slot,96+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6" s="4" t="str">
        <f>_xlfn.LET(_xlpm.pos,"CDI plate 2: "&amp;$A5&amp;G$2,_xlpm.normal,IFERROR(INDEX(MASTER!$A:$A,MATCH(_xlpm.pos,MASTER!$H:$H,0))&amp;"_ser_0.20_"&amp;TEXT(INDEX(MASTER!$E:$E,MATCH(_xlpm.pos,MASTER!$H:$H,0)),"mmddyy"),""),_xlpm.slot,96+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6" s="4" t="str">
        <f>_xlfn.LET(_xlpm.pos,"CDI plate 2: "&amp;$A5&amp;H$2,_xlpm.normal,IFERROR(INDEX(MASTER!$A:$A,MATCH(_xlpm.pos,MASTER!$H:$H,0))&amp;"_ser_0.20_"&amp;TEXT(INDEX(MASTER!$E:$E,MATCH(_xlpm.pos,MASTER!$H:$H,0)),"mmddyy"),""),_xlpm.slot,96+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6" s="4" t="str">
        <f>_xlfn.LET(_xlpm.pos,"CDI plate 2: "&amp;$A5&amp;I$2,_xlpm.normal,IFERROR(INDEX(MASTER!$A:$A,MATCH(_xlpm.pos,MASTER!$H:$H,0))&amp;"_ser_0.20_"&amp;TEXT(INDEX(MASTER!$E:$E,MATCH(_xlpm.pos,MASTER!$H:$H,0)),"mmddyy"),""),_xlpm.slot,96+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6" s="4" t="str">
        <f>_xlfn.LET(_xlpm.pos,"CDI plate 2: "&amp;$A5&amp;J$2,_xlpm.normal,IFERROR(INDEX(MASTER!$A:$A,MATCH(_xlpm.pos,MASTER!$H:$H,0))&amp;"_ser_0.20_"&amp;TEXT(INDEX(MASTER!$E:$E,MATCH(_xlpm.pos,MASTER!$H:$H,0)),"mmddyy"),""),_xlpm.slot,96+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6" s="4" t="str">
        <f>_xlfn.LET(_xlpm.pos,"CDI plate 2: "&amp;$A5&amp;K$2,_xlpm.normal,IFERROR(INDEX(MASTER!$A:$A,MATCH(_xlpm.pos,MASTER!$H:$H,0))&amp;"_ser_0.20_"&amp;TEXT(INDEX(MASTER!$E:$E,MATCH(_xlpm.pos,MASTER!$H:$H,0)),"mmddyy"),""),_xlpm.slot,96+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6" s="4" t="str">
        <f>_xlfn.LET(_xlpm.pos,"CDI plate 2: "&amp;$A5&amp;L$2,_xlpm.normal,IFERROR(INDEX(MASTER!$A:$A,MATCH(_xlpm.pos,MASTER!$H:$H,0))&amp;"_ser_0.20_"&amp;TEXT(INDEX(MASTER!$E:$E,MATCH(_xlpm.pos,MASTER!$H:$H,0)),"mmddyy"),""),_xlpm.slot,96+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6" s="4" t="str">
        <f>_xlfn.LET(_xlpm.pos,"CDI plate 2: "&amp;$A5&amp;M$2,_xlpm.normal,IFERROR(INDEX(MASTER!$A:$A,MATCH(_xlpm.pos,MASTER!$H:$H,0))&amp;"_ser_0.20_"&amp;TEXT(INDEX(MASTER!$E:$E,MATCH(_xlpm.pos,MASTER!$H:$H,0)),"mmddyy"),""),_xlpm.slot,96+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7" spans="1:13" ht="22" customHeight="1" x14ac:dyDescent="0.3">
      <c r="A17" s="6" t="s">
        <v>33</v>
      </c>
      <c r="B17" s="4" t="str">
        <f>_xlfn.LET(_xlpm.pos,"CDI plate 2: "&amp;$A6&amp;B$2,_xlpm.normal,IFERROR(INDEX(MASTER!$A:$A,MATCH(_xlpm.pos,MASTER!$H:$H,0))&amp;"_ser_0.20_"&amp;TEXT(INDEX(MASTER!$E:$E,MATCH(_xlpm.pos,MASTER!$H:$H,0)),"mmddyy"),""),_xlpm.slot,96+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7" s="4" t="str">
        <f>_xlfn.LET(_xlpm.pos,"CDI plate 2: "&amp;$A6&amp;C$2,_xlpm.normal,IFERROR(INDEX(MASTER!$A:$A,MATCH(_xlpm.pos,MASTER!$H:$H,0))&amp;"_ser_0.20_"&amp;TEXT(INDEX(MASTER!$E:$E,MATCH(_xlpm.pos,MASTER!$H:$H,0)),"mmddyy"),""),_xlpm.slot,96+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7" s="4" t="str">
        <f>_xlfn.LET(_xlpm.pos,"CDI plate 2: "&amp;$A6&amp;D$2,_xlpm.normal,IFERROR(INDEX(MASTER!$A:$A,MATCH(_xlpm.pos,MASTER!$H:$H,0))&amp;"_ser_0.20_"&amp;TEXT(INDEX(MASTER!$E:$E,MATCH(_xlpm.pos,MASTER!$H:$H,0)),"mmddyy"),""),_xlpm.slot,96+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7" s="4" t="str">
        <f>_xlfn.LET(_xlpm.pos,"CDI plate 2: "&amp;$A6&amp;E$2,_xlpm.normal,IFERROR(INDEX(MASTER!$A:$A,MATCH(_xlpm.pos,MASTER!$H:$H,0))&amp;"_ser_0.20_"&amp;TEXT(INDEX(MASTER!$E:$E,MATCH(_xlpm.pos,MASTER!$H:$H,0)),"mmddyy"),""),_xlpm.slot,96+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7" s="4" t="str">
        <f>_xlfn.LET(_xlpm.pos,"CDI plate 2: "&amp;$A6&amp;F$2,_xlpm.normal,IFERROR(INDEX(MASTER!$A:$A,MATCH(_xlpm.pos,MASTER!$H:$H,0))&amp;"_ser_0.20_"&amp;TEXT(INDEX(MASTER!$E:$E,MATCH(_xlpm.pos,MASTER!$H:$H,0)),"mmddyy"),""),_xlpm.slot,96+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7" s="4" t="str">
        <f>_xlfn.LET(_xlpm.pos,"CDI plate 2: "&amp;$A6&amp;G$2,_xlpm.normal,IFERROR(INDEX(MASTER!$A:$A,MATCH(_xlpm.pos,MASTER!$H:$H,0))&amp;"_ser_0.20_"&amp;TEXT(INDEX(MASTER!$E:$E,MATCH(_xlpm.pos,MASTER!$H:$H,0)),"mmddyy"),""),_xlpm.slot,96+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7" s="4" t="str">
        <f>_xlfn.LET(_xlpm.pos,"CDI plate 2: "&amp;$A6&amp;H$2,_xlpm.normal,IFERROR(INDEX(MASTER!$A:$A,MATCH(_xlpm.pos,MASTER!$H:$H,0))&amp;"_ser_0.20_"&amp;TEXT(INDEX(MASTER!$E:$E,MATCH(_xlpm.pos,MASTER!$H:$H,0)),"mmddyy"),""),_xlpm.slot,96+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7" s="4" t="str">
        <f>_xlfn.LET(_xlpm.pos,"CDI plate 2: "&amp;$A6&amp;I$2,_xlpm.normal,IFERROR(INDEX(MASTER!$A:$A,MATCH(_xlpm.pos,MASTER!$H:$H,0))&amp;"_ser_0.20_"&amp;TEXT(INDEX(MASTER!$E:$E,MATCH(_xlpm.pos,MASTER!$H:$H,0)),"mmddyy"),""),_xlpm.slot,96+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7" s="4" t="str">
        <f>_xlfn.LET(_xlpm.pos,"CDI plate 2: "&amp;$A6&amp;J$2,_xlpm.normal,IFERROR(INDEX(MASTER!$A:$A,MATCH(_xlpm.pos,MASTER!$H:$H,0))&amp;"_ser_0.20_"&amp;TEXT(INDEX(MASTER!$E:$E,MATCH(_xlpm.pos,MASTER!$H:$H,0)),"mmddyy"),""),_xlpm.slot,96+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7" s="4" t="str">
        <f>_xlfn.LET(_xlpm.pos,"CDI plate 2: "&amp;$A6&amp;K$2,_xlpm.normal,IFERROR(INDEX(MASTER!$A:$A,MATCH(_xlpm.pos,MASTER!$H:$H,0))&amp;"_ser_0.20_"&amp;TEXT(INDEX(MASTER!$E:$E,MATCH(_xlpm.pos,MASTER!$H:$H,0)),"mmddyy"),""),_xlpm.slot,96+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7" s="4" t="str">
        <f>_xlfn.LET(_xlpm.pos,"CDI plate 2: "&amp;$A6&amp;L$2,_xlpm.normal,IFERROR(INDEX(MASTER!$A:$A,MATCH(_xlpm.pos,MASTER!$H:$H,0))&amp;"_ser_0.20_"&amp;TEXT(INDEX(MASTER!$E:$E,MATCH(_xlpm.pos,MASTER!$H:$H,0)),"mmddyy"),""),_xlpm.slot,96+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7" s="4" t="str">
        <f>_xlfn.LET(_xlpm.pos,"CDI plate 2: "&amp;$A6&amp;M$2,_xlpm.normal,IFERROR(INDEX(MASTER!$A:$A,MATCH(_xlpm.pos,MASTER!$H:$H,0))&amp;"_ser_0.20_"&amp;TEXT(INDEX(MASTER!$E:$E,MATCH(_xlpm.pos,MASTER!$H:$H,0)),"mmddyy"),""),_xlpm.slot,96+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8" spans="1:13" ht="22" customHeight="1" x14ac:dyDescent="0.3">
      <c r="A18" s="6" t="s">
        <v>34</v>
      </c>
      <c r="B18" s="4" t="str">
        <f>_xlfn.LET(_xlpm.pos,"CDI plate 2: "&amp;$A7&amp;B$2,_xlpm.normal,IFERROR(INDEX(MASTER!$A:$A,MATCH(_xlpm.pos,MASTER!$H:$H,0))&amp;"_ser_0.20_"&amp;TEXT(INDEX(MASTER!$E:$E,MATCH(_xlpm.pos,MASTER!$H:$H,0)),"mmddyy"),""),_xlpm.slot,96+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8" s="4" t="str">
        <f>_xlfn.LET(_xlpm.pos,"CDI plate 2: "&amp;$A7&amp;C$2,_xlpm.normal,IFERROR(INDEX(MASTER!$A:$A,MATCH(_xlpm.pos,MASTER!$H:$H,0))&amp;"_ser_0.20_"&amp;TEXT(INDEX(MASTER!$E:$E,MATCH(_xlpm.pos,MASTER!$H:$H,0)),"mmddyy"),""),_xlpm.slot,96+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8" s="4" t="str">
        <f>_xlfn.LET(_xlpm.pos,"CDI plate 2: "&amp;$A7&amp;D$2,_xlpm.normal,IFERROR(INDEX(MASTER!$A:$A,MATCH(_xlpm.pos,MASTER!$H:$H,0))&amp;"_ser_0.20_"&amp;TEXT(INDEX(MASTER!$E:$E,MATCH(_xlpm.pos,MASTER!$H:$H,0)),"mmddyy"),""),_xlpm.slot,96+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8" s="4" t="str">
        <f>_xlfn.LET(_xlpm.pos,"CDI plate 2: "&amp;$A7&amp;E$2,_xlpm.normal,IFERROR(INDEX(MASTER!$A:$A,MATCH(_xlpm.pos,MASTER!$H:$H,0))&amp;"_ser_0.20_"&amp;TEXT(INDEX(MASTER!$E:$E,MATCH(_xlpm.pos,MASTER!$H:$H,0)),"mmddyy"),""),_xlpm.slot,96+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8" s="4" t="str">
        <f>_xlfn.LET(_xlpm.pos,"CDI plate 2: "&amp;$A7&amp;F$2,_xlpm.normal,IFERROR(INDEX(MASTER!$A:$A,MATCH(_xlpm.pos,MASTER!$H:$H,0))&amp;"_ser_0.20_"&amp;TEXT(INDEX(MASTER!$E:$E,MATCH(_xlpm.pos,MASTER!$H:$H,0)),"mmddyy"),""),_xlpm.slot,96+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8" s="4" t="str">
        <f>_xlfn.LET(_xlpm.pos,"CDI plate 2: "&amp;$A7&amp;G$2,_xlpm.normal,IFERROR(INDEX(MASTER!$A:$A,MATCH(_xlpm.pos,MASTER!$H:$H,0))&amp;"_ser_0.20_"&amp;TEXT(INDEX(MASTER!$E:$E,MATCH(_xlpm.pos,MASTER!$H:$H,0)),"mmddyy"),""),_xlpm.slot,96+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8" s="4" t="str">
        <f>_xlfn.LET(_xlpm.pos,"CDI plate 2: "&amp;$A7&amp;H$2,_xlpm.normal,IFERROR(INDEX(MASTER!$A:$A,MATCH(_xlpm.pos,MASTER!$H:$H,0))&amp;"_ser_0.20_"&amp;TEXT(INDEX(MASTER!$E:$E,MATCH(_xlpm.pos,MASTER!$H:$H,0)),"mmddyy"),""),_xlpm.slot,96+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8" s="4" t="str">
        <f>_xlfn.LET(_xlpm.pos,"CDI plate 2: "&amp;$A7&amp;I$2,_xlpm.normal,IFERROR(INDEX(MASTER!$A:$A,MATCH(_xlpm.pos,MASTER!$H:$H,0))&amp;"_ser_0.20_"&amp;TEXT(INDEX(MASTER!$E:$E,MATCH(_xlpm.pos,MASTER!$H:$H,0)),"mmddyy"),""),_xlpm.slot,96+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8" s="4" t="str">
        <f>_xlfn.LET(_xlpm.pos,"CDI plate 2: "&amp;$A7&amp;J$2,_xlpm.normal,IFERROR(INDEX(MASTER!$A:$A,MATCH(_xlpm.pos,MASTER!$H:$H,0))&amp;"_ser_0.20_"&amp;TEXT(INDEX(MASTER!$E:$E,MATCH(_xlpm.pos,MASTER!$H:$H,0)),"mmddyy"),""),_xlpm.slot,96+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8" s="4" t="str">
        <f>_xlfn.LET(_xlpm.pos,"CDI plate 2: "&amp;$A7&amp;K$2,_xlpm.normal,IFERROR(INDEX(MASTER!$A:$A,MATCH(_xlpm.pos,MASTER!$H:$H,0))&amp;"_ser_0.20_"&amp;TEXT(INDEX(MASTER!$E:$E,MATCH(_xlpm.pos,MASTER!$H:$H,0)),"mmddyy"),""),_xlpm.slot,96+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8" s="4" t="str">
        <f>_xlfn.LET(_xlpm.pos,"CDI plate 2: "&amp;$A7&amp;L$2,_xlpm.normal,IFERROR(INDEX(MASTER!$A:$A,MATCH(_xlpm.pos,MASTER!$H:$H,0))&amp;"_ser_0.20_"&amp;TEXT(INDEX(MASTER!$E:$E,MATCH(_xlpm.pos,MASTER!$H:$H,0)),"mmddyy"),""),_xlpm.slot,96+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8" s="4" t="str">
        <f>_xlfn.LET(_xlpm.pos,"CDI plate 2: "&amp;$A7&amp;M$2,_xlpm.normal,IFERROR(INDEX(MASTER!$A:$A,MATCH(_xlpm.pos,MASTER!$H:$H,0))&amp;"_ser_0.20_"&amp;TEXT(INDEX(MASTER!$E:$E,MATCH(_xlpm.pos,MASTER!$H:$H,0)),"mmddyy"),""),_xlpm.slot,96+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9" spans="1:13" ht="22" customHeight="1" x14ac:dyDescent="0.3">
      <c r="A19" s="6" t="s">
        <v>15</v>
      </c>
      <c r="B19" s="4" t="str">
        <f>_xlfn.LET(_xlpm.pos,"CDI plate 2: "&amp;$A8&amp;B$2,_xlpm.normal,IFERROR(INDEX(MASTER!$A:$A,MATCH(_xlpm.pos,MASTER!$H:$H,0))&amp;"_ser_0.20_"&amp;TEXT(INDEX(MASTER!$E:$E,MATCH(_xlpm.pos,MASTER!$H:$H,0)),"mmddyy"),""),_xlpm.slot,96+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9" s="4" t="str">
        <f>_xlfn.LET(_xlpm.pos,"CDI plate 2: "&amp;$A8&amp;C$2,_xlpm.normal,IFERROR(INDEX(MASTER!$A:$A,MATCH(_xlpm.pos,MASTER!$H:$H,0))&amp;"_ser_0.20_"&amp;TEXT(INDEX(MASTER!$E:$E,MATCH(_xlpm.pos,MASTER!$H:$H,0)),"mmddyy"),""),_xlpm.slot,96+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9" s="4" t="str">
        <f>_xlfn.LET(_xlpm.pos,"CDI plate 2: "&amp;$A8&amp;D$2,_xlpm.normal,IFERROR(INDEX(MASTER!$A:$A,MATCH(_xlpm.pos,MASTER!$H:$H,0))&amp;"_ser_0.20_"&amp;TEXT(INDEX(MASTER!$E:$E,MATCH(_xlpm.pos,MASTER!$H:$H,0)),"mmddyy"),""),_xlpm.slot,96+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9" s="4" t="str">
        <f>_xlfn.LET(_xlpm.pos,"CDI plate 2: "&amp;$A8&amp;E$2,_xlpm.normal,IFERROR(INDEX(MASTER!$A:$A,MATCH(_xlpm.pos,MASTER!$H:$H,0))&amp;"_ser_0.20_"&amp;TEXT(INDEX(MASTER!$E:$E,MATCH(_xlpm.pos,MASTER!$H:$H,0)),"mmddyy"),""),_xlpm.slot,96+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9" s="4" t="str">
        <f>_xlfn.LET(_xlpm.pos,"CDI plate 2: "&amp;$A8&amp;F$2,_xlpm.normal,IFERROR(INDEX(MASTER!$A:$A,MATCH(_xlpm.pos,MASTER!$H:$H,0))&amp;"_ser_0.20_"&amp;TEXT(INDEX(MASTER!$E:$E,MATCH(_xlpm.pos,MASTER!$H:$H,0)),"mmddyy"),""),_xlpm.slot,96+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9" s="4" t="str">
        <f>_xlfn.LET(_xlpm.pos,"CDI plate 2: "&amp;$A8&amp;G$2,_xlpm.normal,IFERROR(INDEX(MASTER!$A:$A,MATCH(_xlpm.pos,MASTER!$H:$H,0))&amp;"_ser_0.20_"&amp;TEXT(INDEX(MASTER!$E:$E,MATCH(_xlpm.pos,MASTER!$H:$H,0)),"mmddyy"),""),_xlpm.slot,96+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9" s="4" t="str">
        <f>_xlfn.LET(_xlpm.pos,"CDI plate 2: "&amp;$A8&amp;H$2,_xlpm.normal,IFERROR(INDEX(MASTER!$A:$A,MATCH(_xlpm.pos,MASTER!$H:$H,0))&amp;"_ser_0.20_"&amp;TEXT(INDEX(MASTER!$E:$E,MATCH(_xlpm.pos,MASTER!$H:$H,0)),"mmddyy"),""),_xlpm.slot,96+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9" s="4" t="str">
        <f>_xlfn.LET(_xlpm.pos,"CDI plate 2: "&amp;$A8&amp;I$2,_xlpm.normal,IFERROR(INDEX(MASTER!$A:$A,MATCH(_xlpm.pos,MASTER!$H:$H,0))&amp;"_ser_0.20_"&amp;TEXT(INDEX(MASTER!$E:$E,MATCH(_xlpm.pos,MASTER!$H:$H,0)),"mmddyy"),""),_xlpm.slot,96+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9" s="4" t="str">
        <f>_xlfn.LET(_xlpm.pos,"CDI plate 2: "&amp;$A8&amp;J$2,_xlpm.normal,IFERROR(INDEX(MASTER!$A:$A,MATCH(_xlpm.pos,MASTER!$H:$H,0))&amp;"_ser_0.20_"&amp;TEXT(INDEX(MASTER!$E:$E,MATCH(_xlpm.pos,MASTER!$H:$H,0)),"mmddyy"),""),_xlpm.slot,96+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9" s="4" t="str">
        <f>_xlfn.LET(_xlpm.pos,"CDI plate 2: "&amp;$A8&amp;K$2,_xlpm.normal,IFERROR(INDEX(MASTER!$A:$A,MATCH(_xlpm.pos,MASTER!$H:$H,0))&amp;"_ser_0.20_"&amp;TEXT(INDEX(MASTER!$E:$E,MATCH(_xlpm.pos,MASTER!$H:$H,0)),"mmddyy"),""),_xlpm.slot,96+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9" s="4" t="str">
        <f>_xlfn.LET(_xlpm.pos,"CDI plate 2: "&amp;$A8&amp;L$2,_xlpm.normal,IFERROR(INDEX(MASTER!$A:$A,MATCH(_xlpm.pos,MASTER!$H:$H,0))&amp;"_ser_0.20_"&amp;TEXT(INDEX(MASTER!$E:$E,MATCH(_xlpm.pos,MASTER!$H:$H,0)),"mmddyy"),""),_xlpm.slot,96+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9" s="4" t="str">
        <f>_xlfn.LET(_xlpm.pos,"CDI plate 2: "&amp;$A8&amp;M$2,_xlpm.normal,IFERROR(INDEX(MASTER!$A:$A,MATCH(_xlpm.pos,MASTER!$H:$H,0))&amp;"_ser_0.20_"&amp;TEXT(INDEX(MASTER!$E:$E,MATCH(_xlpm.pos,MASTER!$H:$H,0)),"mmddyy"),""),_xlpm.slot,96+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0" spans="1:13" ht="22" customHeight="1" x14ac:dyDescent="0.3">
      <c r="A20" s="6" t="s">
        <v>35</v>
      </c>
      <c r="B20" s="4" t="str">
        <f>_xlfn.LET(_xlpm.pos,"CDI plate 2: "&amp;$A9&amp;B$2,_xlpm.normal,IFERROR(INDEX(MASTER!$A:$A,MATCH(_xlpm.pos,MASTER!$H:$H,0))&amp;"_ser_0.20_"&amp;TEXT(INDEX(MASTER!$E:$E,MATCH(_xlpm.pos,MASTER!$H:$H,0)),"mmddyy"),""),_xlpm.slot,96+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0" s="4" t="str">
        <f>_xlfn.LET(_xlpm.pos,"CDI plate 2: "&amp;$A9&amp;C$2,_xlpm.normal,IFERROR(INDEX(MASTER!$A:$A,MATCH(_xlpm.pos,MASTER!$H:$H,0))&amp;"_ser_0.20_"&amp;TEXT(INDEX(MASTER!$E:$E,MATCH(_xlpm.pos,MASTER!$H:$H,0)),"mmddyy"),""),_xlpm.slot,96+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0" s="4" t="str">
        <f>_xlfn.LET(_xlpm.pos,"CDI plate 2: "&amp;$A9&amp;D$2,_xlpm.normal,IFERROR(INDEX(MASTER!$A:$A,MATCH(_xlpm.pos,MASTER!$H:$H,0))&amp;"_ser_0.20_"&amp;TEXT(INDEX(MASTER!$E:$E,MATCH(_xlpm.pos,MASTER!$H:$H,0)),"mmddyy"),""),_xlpm.slot,96+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0" s="4" t="str">
        <f>_xlfn.LET(_xlpm.pos,"CDI plate 2: "&amp;$A9&amp;E$2,_xlpm.normal,IFERROR(INDEX(MASTER!$A:$A,MATCH(_xlpm.pos,MASTER!$H:$H,0))&amp;"_ser_0.20_"&amp;TEXT(INDEX(MASTER!$E:$E,MATCH(_xlpm.pos,MASTER!$H:$H,0)),"mmddyy"),""),_xlpm.slot,96+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0" s="4" t="str">
        <f>_xlfn.LET(_xlpm.pos,"CDI plate 2: "&amp;$A9&amp;F$2,_xlpm.normal,IFERROR(INDEX(MASTER!$A:$A,MATCH(_xlpm.pos,MASTER!$H:$H,0))&amp;"_ser_0.20_"&amp;TEXT(INDEX(MASTER!$E:$E,MATCH(_xlpm.pos,MASTER!$H:$H,0)),"mmddyy"),""),_xlpm.slot,96+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0" s="4" t="str">
        <f>_xlfn.LET(_xlpm.pos,"CDI plate 2: "&amp;$A9&amp;G$2,_xlpm.normal,IFERROR(INDEX(MASTER!$A:$A,MATCH(_xlpm.pos,MASTER!$H:$H,0))&amp;"_ser_0.20_"&amp;TEXT(INDEX(MASTER!$E:$E,MATCH(_xlpm.pos,MASTER!$H:$H,0)),"mmddyy"),""),_xlpm.slot,96+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0" s="4" t="str">
        <f>_xlfn.LET(_xlpm.pos,"CDI plate 2: "&amp;$A9&amp;H$2,_xlpm.normal,IFERROR(INDEX(MASTER!$A:$A,MATCH(_xlpm.pos,MASTER!$H:$H,0))&amp;"_ser_0.20_"&amp;TEXT(INDEX(MASTER!$E:$E,MATCH(_xlpm.pos,MASTER!$H:$H,0)),"mmddyy"),""),_xlpm.slot,96+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0" s="4" t="str">
        <f>_xlfn.LET(_xlpm.pos,"CDI plate 2: "&amp;$A9&amp;I$2,_xlpm.normal,IFERROR(INDEX(MASTER!$A:$A,MATCH(_xlpm.pos,MASTER!$H:$H,0))&amp;"_ser_0.20_"&amp;TEXT(INDEX(MASTER!$E:$E,MATCH(_xlpm.pos,MASTER!$H:$H,0)),"mmddyy"),""),_xlpm.slot,96+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0" s="4" t="str">
        <f>_xlfn.LET(_xlpm.pos,"CDI plate 2: "&amp;$A9&amp;J$2,_xlpm.normal,IFERROR(INDEX(MASTER!$A:$A,MATCH(_xlpm.pos,MASTER!$H:$H,0))&amp;"_ser_0.20_"&amp;TEXT(INDEX(MASTER!$E:$E,MATCH(_xlpm.pos,MASTER!$H:$H,0)),"mmddyy"),""),_xlpm.slot,96+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0" s="4" t="str">
        <f>_xlfn.LET(_xlpm.pos,"CDI plate 2: "&amp;$A9&amp;K$2,_xlpm.normal,IFERROR(INDEX(MASTER!$A:$A,MATCH(_xlpm.pos,MASTER!$H:$H,0))&amp;"_ser_0.20_"&amp;TEXT(INDEX(MASTER!$E:$E,MATCH(_xlpm.pos,MASTER!$H:$H,0)),"mmddyy"),""),_xlpm.slot,96+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0" s="4" t="str">
        <f>_xlfn.LET(_xlpm.pos,"CDI plate 2: "&amp;$A9&amp;L$2,_xlpm.normal,IFERROR(INDEX(MASTER!$A:$A,MATCH(_xlpm.pos,MASTER!$H:$H,0))&amp;"_ser_0.20_"&amp;TEXT(INDEX(MASTER!$E:$E,MATCH(_xlpm.pos,MASTER!$H:$H,0)),"mmddyy"),""),_xlpm.slot,96+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0" s="4" t="str">
        <f>_xlfn.LET(_xlpm.pos,"CDI plate 2: "&amp;$A9&amp;M$2,_xlpm.normal,IFERROR(INDEX(MASTER!$A:$A,MATCH(_xlpm.pos,MASTER!$H:$H,0))&amp;"_ser_0.20_"&amp;TEXT(INDEX(MASTER!$E:$E,MATCH(_xlpm.pos,MASTER!$H:$H,0)),"mmddyy"),""),_xlpm.slot,96+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1" spans="1:13" ht="22" customHeight="1" x14ac:dyDescent="0.3">
      <c r="A21" s="6" t="s">
        <v>36</v>
      </c>
      <c r="B21" s="4" t="str">
        <f>_xlfn.LET(_xlpm.pos,"CDI plate 2: "&amp;$A10&amp;B$2,_xlpm.normal,IFERROR(INDEX(MASTER!$A:$A,MATCH(_xlpm.pos,MASTER!$H:$H,0))&amp;"_ser_0.20_"&amp;TEXT(INDEX(MASTER!$E:$E,MATCH(_xlpm.pos,MASTER!$H:$H,0)),"mmddyy"),""),_xlpm.slot,96+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1" s="4" t="str">
        <f>_xlfn.LET(_xlpm.pos,"CDI plate 2: "&amp;$A10&amp;C$2,_xlpm.normal,IFERROR(INDEX(MASTER!$A:$A,MATCH(_xlpm.pos,MASTER!$H:$H,0))&amp;"_ser_0.20_"&amp;TEXT(INDEX(MASTER!$E:$E,MATCH(_xlpm.pos,MASTER!$H:$H,0)),"mmddyy"),""),_xlpm.slot,96+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1" s="4" t="str">
        <f>_xlfn.LET(_xlpm.pos,"CDI plate 2: "&amp;$A10&amp;D$2,_xlpm.normal,IFERROR(INDEX(MASTER!$A:$A,MATCH(_xlpm.pos,MASTER!$H:$H,0))&amp;"_ser_0.20_"&amp;TEXT(INDEX(MASTER!$E:$E,MATCH(_xlpm.pos,MASTER!$H:$H,0)),"mmddyy"),""),_xlpm.slot,96+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1" s="4" t="str">
        <f>_xlfn.LET(_xlpm.pos,"CDI plate 2: "&amp;$A10&amp;E$2,_xlpm.normal,IFERROR(INDEX(MASTER!$A:$A,MATCH(_xlpm.pos,MASTER!$H:$H,0))&amp;"_ser_0.20_"&amp;TEXT(INDEX(MASTER!$E:$E,MATCH(_xlpm.pos,MASTER!$H:$H,0)),"mmddyy"),""),_xlpm.slot,96+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1" s="4" t="str">
        <f>_xlfn.LET(_xlpm.pos,"CDI plate 2: "&amp;$A10&amp;F$2,_xlpm.normal,IFERROR(INDEX(MASTER!$A:$A,MATCH(_xlpm.pos,MASTER!$H:$H,0))&amp;"_ser_0.20_"&amp;TEXT(INDEX(MASTER!$E:$E,MATCH(_xlpm.pos,MASTER!$H:$H,0)),"mmddyy"),""),_xlpm.slot,96+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1" s="4" t="str">
        <f>_xlfn.LET(_xlpm.pos,"CDI plate 2: "&amp;$A10&amp;G$2,_xlpm.normal,IFERROR(INDEX(MASTER!$A:$A,MATCH(_xlpm.pos,MASTER!$H:$H,0))&amp;"_ser_0.20_"&amp;TEXT(INDEX(MASTER!$E:$E,MATCH(_xlpm.pos,MASTER!$H:$H,0)),"mmddyy"),""),_xlpm.slot,96+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1" s="4" t="str">
        <f>_xlfn.LET(_xlpm.pos,"CDI plate 2: "&amp;$A10&amp;H$2,_xlpm.normal,IFERROR(INDEX(MASTER!$A:$A,MATCH(_xlpm.pos,MASTER!$H:$H,0))&amp;"_ser_0.20_"&amp;TEXT(INDEX(MASTER!$E:$E,MATCH(_xlpm.pos,MASTER!$H:$H,0)),"mmddyy"),""),_xlpm.slot,96+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1" s="4" t="str">
        <f>_xlfn.LET(_xlpm.pos,"CDI plate 2: "&amp;$A10&amp;I$2,_xlpm.normal,IFERROR(INDEX(MASTER!$A:$A,MATCH(_xlpm.pos,MASTER!$H:$H,0))&amp;"_ser_0.20_"&amp;TEXT(INDEX(MASTER!$E:$E,MATCH(_xlpm.pos,MASTER!$H:$H,0)),"mmddyy"),""),_xlpm.slot,96+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1" s="4" t="str">
        <f>_xlfn.LET(_xlpm.pos,"CDI plate 2: "&amp;$A10&amp;J$2,_xlpm.normal,IFERROR(INDEX(MASTER!$A:$A,MATCH(_xlpm.pos,MASTER!$H:$H,0))&amp;"_ser_0.20_"&amp;TEXT(INDEX(MASTER!$E:$E,MATCH(_xlpm.pos,MASTER!$H:$H,0)),"mmddyy"),""),_xlpm.slot,96+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1" s="4" t="str">
        <f>_xlfn.LET(_xlpm.pos,"CDI plate 2: "&amp;$A10&amp;K$2,_xlpm.normal,IFERROR(INDEX(MASTER!$A:$A,MATCH(_xlpm.pos,MASTER!$H:$H,0))&amp;"_ser_0.20_"&amp;TEXT(INDEX(MASTER!$E:$E,MATCH(_xlpm.pos,MASTER!$H:$H,0)),"mmddyy"),""),_xlpm.slot,96+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1" s="4" t="str">
        <f>_xlfn.LET(_xlpm.pos,"CDI plate 2: "&amp;$A10&amp;L$2,_xlpm.normal,IFERROR(INDEX(MASTER!$A:$A,MATCH(_xlpm.pos,MASTER!$H:$H,0))&amp;"_ser_0.20_"&amp;TEXT(INDEX(MASTER!$E:$E,MATCH(_xlpm.pos,MASTER!$H:$H,0)),"mmddyy"),""),_xlpm.slot,96+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1" s="4" t="str">
        <f>_xlfn.LET(_xlpm.pos,"CDI plate 2: "&amp;$A10&amp;M$2,_xlpm.normal,IFERROR(INDEX(MASTER!$A:$A,MATCH(_xlpm.pos,MASTER!$H:$H,0))&amp;"_ser_0.20_"&amp;TEXT(INDEX(MASTER!$E:$E,MATCH(_xlpm.pos,MASTER!$H:$H,0)),"mmddyy"),""),_xlpm.slot,96+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2" spans="1:13" ht="22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22" customHeight="1" x14ac:dyDescent="0.35">
      <c r="A23" s="5"/>
      <c r="B23" s="31" t="s">
        <v>38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</row>
    <row r="24" spans="1:13" ht="22" customHeight="1" x14ac:dyDescent="0.3">
      <c r="A24" s="5"/>
      <c r="B24" s="6">
        <v>1</v>
      </c>
      <c r="C24" s="6">
        <v>2</v>
      </c>
      <c r="D24" s="6">
        <v>3</v>
      </c>
      <c r="E24" s="6">
        <v>4</v>
      </c>
      <c r="F24" s="6">
        <v>5</v>
      </c>
      <c r="G24" s="6">
        <v>6</v>
      </c>
      <c r="H24" s="6">
        <v>7</v>
      </c>
      <c r="I24" s="6">
        <v>8</v>
      </c>
      <c r="J24" s="6">
        <v>9</v>
      </c>
      <c r="K24" s="6">
        <v>10</v>
      </c>
      <c r="L24" s="6">
        <v>11</v>
      </c>
      <c r="M24" s="6">
        <v>12</v>
      </c>
    </row>
    <row r="25" spans="1:13" ht="22" customHeight="1" x14ac:dyDescent="0.3">
      <c r="A25" s="6" t="s">
        <v>30</v>
      </c>
      <c r="B25" s="4" t="str">
        <f>_xlfn.LET(_xlpm.pos,"CDI plate 3: "&amp;$A3&amp;B$2,_xlpm.normal,IFERROR(INDEX(MASTER!$A:$A,MATCH(_xlpm.pos,MASTER!$H:$H,0))&amp;"_ser_0.20_"&amp;TEXT(INDEX(MASTER!$E:$E,MATCH(_xlpm.pos,MASTER!$H:$H,0)),"mmddyy"),""),_xlpm.slot,96+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5" s="4" t="str">
        <f>_xlfn.LET(_xlpm.pos,"CDI plate 3: "&amp;$A3&amp;C$2,_xlpm.normal,IFERROR(INDEX(MASTER!$A:$A,MATCH(_xlpm.pos,MASTER!$H:$H,0))&amp;"_ser_0.20_"&amp;TEXT(INDEX(MASTER!$E:$E,MATCH(_xlpm.pos,MASTER!$H:$H,0)),"mmddyy"),""),_xlpm.slot,96+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5" s="4" t="str">
        <f>_xlfn.LET(_xlpm.pos,"CDI plate 3: "&amp;$A3&amp;D$2,_xlpm.normal,IFERROR(INDEX(MASTER!$A:$A,MATCH(_xlpm.pos,MASTER!$H:$H,0))&amp;"_ser_0.20_"&amp;TEXT(INDEX(MASTER!$E:$E,MATCH(_xlpm.pos,MASTER!$H:$H,0)),"mmddyy"),""),_xlpm.slot,96+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5" s="4" t="str">
        <f>_xlfn.LET(_xlpm.pos,"CDI plate 3: "&amp;$A3&amp;E$2,_xlpm.normal,IFERROR(INDEX(MASTER!$A:$A,MATCH(_xlpm.pos,MASTER!$H:$H,0))&amp;"_ser_0.20_"&amp;TEXT(INDEX(MASTER!$E:$E,MATCH(_xlpm.pos,MASTER!$H:$H,0)),"mmddyy"),""),_xlpm.slot,96+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5" s="4" t="str">
        <f>_xlfn.LET(_xlpm.pos,"CDI plate 3: "&amp;$A3&amp;F$2,_xlpm.normal,IFERROR(INDEX(MASTER!$A:$A,MATCH(_xlpm.pos,MASTER!$H:$H,0))&amp;"_ser_0.20_"&amp;TEXT(INDEX(MASTER!$E:$E,MATCH(_xlpm.pos,MASTER!$H:$H,0)),"mmddyy"),""),_xlpm.slot,96+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5" s="4" t="str">
        <f>_xlfn.LET(_xlpm.pos,"CDI plate 3: "&amp;$A3&amp;G$2,_xlpm.normal,IFERROR(INDEX(MASTER!$A:$A,MATCH(_xlpm.pos,MASTER!$H:$H,0))&amp;"_ser_0.20_"&amp;TEXT(INDEX(MASTER!$E:$E,MATCH(_xlpm.pos,MASTER!$H:$H,0)),"mmddyy"),""),_xlpm.slot,96+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5" s="4" t="str">
        <f>_xlfn.LET(_xlpm.pos,"CDI plate 3: "&amp;$A3&amp;H$2,_xlpm.normal,IFERROR(INDEX(MASTER!$A:$A,MATCH(_xlpm.pos,MASTER!$H:$H,0))&amp;"_ser_0.20_"&amp;TEXT(INDEX(MASTER!$E:$E,MATCH(_xlpm.pos,MASTER!$H:$H,0)),"mmddyy"),""),_xlpm.slot,96+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5" s="4" t="str">
        <f>_xlfn.LET(_xlpm.pos,"CDI plate 3: "&amp;$A3&amp;I$2,_xlpm.normal,IFERROR(INDEX(MASTER!$A:$A,MATCH(_xlpm.pos,MASTER!$H:$H,0))&amp;"_ser_0.20_"&amp;TEXT(INDEX(MASTER!$E:$E,MATCH(_xlpm.pos,MASTER!$H:$H,0)),"mmddyy"),""),_xlpm.slot,96+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5" s="4" t="str">
        <f>_xlfn.LET(_xlpm.pos,"CDI plate 3: "&amp;$A3&amp;J$2,_xlpm.normal,IFERROR(INDEX(MASTER!$A:$A,MATCH(_xlpm.pos,MASTER!$H:$H,0))&amp;"_ser_0.20_"&amp;TEXT(INDEX(MASTER!$E:$E,MATCH(_xlpm.pos,MASTER!$H:$H,0)),"mmddyy"),""),_xlpm.slot,96+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5" s="4" t="str">
        <f>_xlfn.LET(_xlpm.pos,"CDI plate 3: "&amp;$A3&amp;K$2,_xlpm.normal,IFERROR(INDEX(MASTER!$A:$A,MATCH(_xlpm.pos,MASTER!$H:$H,0))&amp;"_ser_0.20_"&amp;TEXT(INDEX(MASTER!$E:$E,MATCH(_xlpm.pos,MASTER!$H:$H,0)),"mmddyy"),""),_xlpm.slot,96+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5" s="4" t="str">
        <f>_xlfn.LET(_xlpm.pos,"CDI plate 3: "&amp;$A3&amp;L$2,_xlpm.normal,IFERROR(INDEX(MASTER!$A:$A,MATCH(_xlpm.pos,MASTER!$H:$H,0))&amp;"_ser_0.20_"&amp;TEXT(INDEX(MASTER!$E:$E,MATCH(_xlpm.pos,MASTER!$H:$H,0)),"mmddyy"),""),_xlpm.slot,96+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5" s="4" t="str">
        <f>_xlfn.LET(_xlpm.pos,"CDI plate 3: "&amp;$A3&amp;M$2,_xlpm.normal,IFERROR(INDEX(MASTER!$A:$A,MATCH(_xlpm.pos,MASTER!$H:$H,0))&amp;"_ser_0.20_"&amp;TEXT(INDEX(MASTER!$E:$E,MATCH(_xlpm.pos,MASTER!$H:$H,0)),"mmddyy"),""),_xlpm.slot,96+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6" spans="1:13" ht="22" customHeight="1" x14ac:dyDescent="0.3">
      <c r="A26" s="6" t="s">
        <v>31</v>
      </c>
      <c r="B26" s="4" t="str">
        <f>_xlfn.LET(_xlpm.pos,"CDI plate 3: "&amp;$A4&amp;B$2,_xlpm.normal,IFERROR(INDEX(MASTER!$A:$A,MATCH(_xlpm.pos,MASTER!$H:$H,0))&amp;"_ser_0.20_"&amp;TEXT(INDEX(MASTER!$E:$E,MATCH(_xlpm.pos,MASTER!$H:$H,0)),"mmddyy"),""),_xlpm.slot,96+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6" s="4" t="str">
        <f>_xlfn.LET(_xlpm.pos,"CDI plate 3: "&amp;$A4&amp;C$2,_xlpm.normal,IFERROR(INDEX(MASTER!$A:$A,MATCH(_xlpm.pos,MASTER!$H:$H,0))&amp;"_ser_0.20_"&amp;TEXT(INDEX(MASTER!$E:$E,MATCH(_xlpm.pos,MASTER!$H:$H,0)),"mmddyy"),""),_xlpm.slot,96+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6" s="4" t="str">
        <f>_xlfn.LET(_xlpm.pos,"CDI plate 3: "&amp;$A4&amp;D$2,_xlpm.normal,IFERROR(INDEX(MASTER!$A:$A,MATCH(_xlpm.pos,MASTER!$H:$H,0))&amp;"_ser_0.20_"&amp;TEXT(INDEX(MASTER!$E:$E,MATCH(_xlpm.pos,MASTER!$H:$H,0)),"mmddyy"),""),_xlpm.slot,96+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6" s="4" t="str">
        <f>_xlfn.LET(_xlpm.pos,"CDI plate 3: "&amp;$A4&amp;E$2,_xlpm.normal,IFERROR(INDEX(MASTER!$A:$A,MATCH(_xlpm.pos,MASTER!$H:$H,0))&amp;"_ser_0.20_"&amp;TEXT(INDEX(MASTER!$E:$E,MATCH(_xlpm.pos,MASTER!$H:$H,0)),"mmddyy"),""),_xlpm.slot,96+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6" s="4" t="str">
        <f>_xlfn.LET(_xlpm.pos,"CDI plate 3: "&amp;$A4&amp;F$2,_xlpm.normal,IFERROR(INDEX(MASTER!$A:$A,MATCH(_xlpm.pos,MASTER!$H:$H,0))&amp;"_ser_0.20_"&amp;TEXT(INDEX(MASTER!$E:$E,MATCH(_xlpm.pos,MASTER!$H:$H,0)),"mmddyy"),""),_xlpm.slot,96+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6" s="4" t="str">
        <f>_xlfn.LET(_xlpm.pos,"CDI plate 3: "&amp;$A4&amp;G$2,_xlpm.normal,IFERROR(INDEX(MASTER!$A:$A,MATCH(_xlpm.pos,MASTER!$H:$H,0))&amp;"_ser_0.20_"&amp;TEXT(INDEX(MASTER!$E:$E,MATCH(_xlpm.pos,MASTER!$H:$H,0)),"mmddyy"),""),_xlpm.slot,96+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6" s="4" t="str">
        <f>_xlfn.LET(_xlpm.pos,"CDI plate 3: "&amp;$A4&amp;H$2,_xlpm.normal,IFERROR(INDEX(MASTER!$A:$A,MATCH(_xlpm.pos,MASTER!$H:$H,0))&amp;"_ser_0.20_"&amp;TEXT(INDEX(MASTER!$E:$E,MATCH(_xlpm.pos,MASTER!$H:$H,0)),"mmddyy"),""),_xlpm.slot,96+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6" s="4" t="str">
        <f>_xlfn.LET(_xlpm.pos,"CDI plate 3: "&amp;$A4&amp;I$2,_xlpm.normal,IFERROR(INDEX(MASTER!$A:$A,MATCH(_xlpm.pos,MASTER!$H:$H,0))&amp;"_ser_0.20_"&amp;TEXT(INDEX(MASTER!$E:$E,MATCH(_xlpm.pos,MASTER!$H:$H,0)),"mmddyy"),""),_xlpm.slot,96+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6" s="4" t="str">
        <f>_xlfn.LET(_xlpm.pos,"CDI plate 3: "&amp;$A4&amp;J$2,_xlpm.normal,IFERROR(INDEX(MASTER!$A:$A,MATCH(_xlpm.pos,MASTER!$H:$H,0))&amp;"_ser_0.20_"&amp;TEXT(INDEX(MASTER!$E:$E,MATCH(_xlpm.pos,MASTER!$H:$H,0)),"mmddyy"),""),_xlpm.slot,96+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6" s="4" t="str">
        <f>_xlfn.LET(_xlpm.pos,"CDI plate 3: "&amp;$A4&amp;K$2,_xlpm.normal,IFERROR(INDEX(MASTER!$A:$A,MATCH(_xlpm.pos,MASTER!$H:$H,0))&amp;"_ser_0.20_"&amp;TEXT(INDEX(MASTER!$E:$E,MATCH(_xlpm.pos,MASTER!$H:$H,0)),"mmddyy"),""),_xlpm.slot,96+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6" s="4" t="str">
        <f>_xlfn.LET(_xlpm.pos,"CDI plate 3: "&amp;$A4&amp;L$2,_xlpm.normal,IFERROR(INDEX(MASTER!$A:$A,MATCH(_xlpm.pos,MASTER!$H:$H,0))&amp;"_ser_0.20_"&amp;TEXT(INDEX(MASTER!$E:$E,MATCH(_xlpm.pos,MASTER!$H:$H,0)),"mmddyy"),""),_xlpm.slot,96+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6" s="4" t="str">
        <f>_xlfn.LET(_xlpm.pos,"CDI plate 3: "&amp;$A4&amp;M$2,_xlpm.normal,IFERROR(INDEX(MASTER!$A:$A,MATCH(_xlpm.pos,MASTER!$H:$H,0))&amp;"_ser_0.20_"&amp;TEXT(INDEX(MASTER!$E:$E,MATCH(_xlpm.pos,MASTER!$H:$H,0)),"mmddyy"),""),_xlpm.slot,96+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7" spans="1:13" ht="22" customHeight="1" x14ac:dyDescent="0.3">
      <c r="A27" s="6" t="s">
        <v>32</v>
      </c>
      <c r="B27" s="4" t="str">
        <f>_xlfn.LET(_xlpm.pos,"CDI plate 3: "&amp;$A5&amp;B$2,_xlpm.normal,IFERROR(INDEX(MASTER!$A:$A,MATCH(_xlpm.pos,MASTER!$H:$H,0))&amp;"_ser_0.20_"&amp;TEXT(INDEX(MASTER!$E:$E,MATCH(_xlpm.pos,MASTER!$H:$H,0)),"mmddyy"),""),_xlpm.slot,96+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7" s="4" t="str">
        <f>_xlfn.LET(_xlpm.pos,"CDI plate 3: "&amp;$A5&amp;C$2,_xlpm.normal,IFERROR(INDEX(MASTER!$A:$A,MATCH(_xlpm.pos,MASTER!$H:$H,0))&amp;"_ser_0.20_"&amp;TEXT(INDEX(MASTER!$E:$E,MATCH(_xlpm.pos,MASTER!$H:$H,0)),"mmddyy"),""),_xlpm.slot,96+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7" s="4" t="str">
        <f>_xlfn.LET(_xlpm.pos,"CDI plate 3: "&amp;$A5&amp;D$2,_xlpm.normal,IFERROR(INDEX(MASTER!$A:$A,MATCH(_xlpm.pos,MASTER!$H:$H,0))&amp;"_ser_0.20_"&amp;TEXT(INDEX(MASTER!$E:$E,MATCH(_xlpm.pos,MASTER!$H:$H,0)),"mmddyy"),""),_xlpm.slot,96+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7" s="4" t="str">
        <f>_xlfn.LET(_xlpm.pos,"CDI plate 3: "&amp;$A5&amp;E$2,_xlpm.normal,IFERROR(INDEX(MASTER!$A:$A,MATCH(_xlpm.pos,MASTER!$H:$H,0))&amp;"_ser_0.20_"&amp;TEXT(INDEX(MASTER!$E:$E,MATCH(_xlpm.pos,MASTER!$H:$H,0)),"mmddyy"),""),_xlpm.slot,96+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7" s="4" t="str">
        <f>_xlfn.LET(_xlpm.pos,"CDI plate 3: "&amp;$A5&amp;F$2,_xlpm.normal,IFERROR(INDEX(MASTER!$A:$A,MATCH(_xlpm.pos,MASTER!$H:$H,0))&amp;"_ser_0.20_"&amp;TEXT(INDEX(MASTER!$E:$E,MATCH(_xlpm.pos,MASTER!$H:$H,0)),"mmddyy"),""),_xlpm.slot,96+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7" s="4" t="str">
        <f>_xlfn.LET(_xlpm.pos,"CDI plate 3: "&amp;$A5&amp;G$2,_xlpm.normal,IFERROR(INDEX(MASTER!$A:$A,MATCH(_xlpm.pos,MASTER!$H:$H,0))&amp;"_ser_0.20_"&amp;TEXT(INDEX(MASTER!$E:$E,MATCH(_xlpm.pos,MASTER!$H:$H,0)),"mmddyy"),""),_xlpm.slot,96+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7" s="4" t="str">
        <f>_xlfn.LET(_xlpm.pos,"CDI plate 3: "&amp;$A5&amp;H$2,_xlpm.normal,IFERROR(INDEX(MASTER!$A:$A,MATCH(_xlpm.pos,MASTER!$H:$H,0))&amp;"_ser_0.20_"&amp;TEXT(INDEX(MASTER!$E:$E,MATCH(_xlpm.pos,MASTER!$H:$H,0)),"mmddyy"),""),_xlpm.slot,96+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7" s="4" t="str">
        <f>_xlfn.LET(_xlpm.pos,"CDI plate 3: "&amp;$A5&amp;I$2,_xlpm.normal,IFERROR(INDEX(MASTER!$A:$A,MATCH(_xlpm.pos,MASTER!$H:$H,0))&amp;"_ser_0.20_"&amp;TEXT(INDEX(MASTER!$E:$E,MATCH(_xlpm.pos,MASTER!$H:$H,0)),"mmddyy"),""),_xlpm.slot,96+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7" s="4" t="str">
        <f>_xlfn.LET(_xlpm.pos,"CDI plate 3: "&amp;$A5&amp;J$2,_xlpm.normal,IFERROR(INDEX(MASTER!$A:$A,MATCH(_xlpm.pos,MASTER!$H:$H,0))&amp;"_ser_0.20_"&amp;TEXT(INDEX(MASTER!$E:$E,MATCH(_xlpm.pos,MASTER!$H:$H,0)),"mmddyy"),""),_xlpm.slot,96+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7" s="4" t="str">
        <f>_xlfn.LET(_xlpm.pos,"CDI plate 3: "&amp;$A5&amp;K$2,_xlpm.normal,IFERROR(INDEX(MASTER!$A:$A,MATCH(_xlpm.pos,MASTER!$H:$H,0))&amp;"_ser_0.20_"&amp;TEXT(INDEX(MASTER!$E:$E,MATCH(_xlpm.pos,MASTER!$H:$H,0)),"mmddyy"),""),_xlpm.slot,96+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7" s="4" t="str">
        <f>_xlfn.LET(_xlpm.pos,"CDI plate 3: "&amp;$A5&amp;L$2,_xlpm.normal,IFERROR(INDEX(MASTER!$A:$A,MATCH(_xlpm.pos,MASTER!$H:$H,0))&amp;"_ser_0.20_"&amp;TEXT(INDEX(MASTER!$E:$E,MATCH(_xlpm.pos,MASTER!$H:$H,0)),"mmddyy"),""),_xlpm.slot,96+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7" s="4" t="str">
        <f>_xlfn.LET(_xlpm.pos,"CDI plate 3: "&amp;$A5&amp;M$2,_xlpm.normal,IFERROR(INDEX(MASTER!$A:$A,MATCH(_xlpm.pos,MASTER!$H:$H,0))&amp;"_ser_0.20_"&amp;TEXT(INDEX(MASTER!$E:$E,MATCH(_xlpm.pos,MASTER!$H:$H,0)),"mmddyy"),""),_xlpm.slot,96+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8" spans="1:13" ht="22" customHeight="1" x14ac:dyDescent="0.3">
      <c r="A28" s="6" t="s">
        <v>33</v>
      </c>
      <c r="B28" s="4" t="str">
        <f>_xlfn.LET(_xlpm.pos,"CDI plate 3: "&amp;$A6&amp;B$2,_xlpm.normal,IFERROR(INDEX(MASTER!$A:$A,MATCH(_xlpm.pos,MASTER!$H:$H,0))&amp;"_ser_0.20_"&amp;TEXT(INDEX(MASTER!$E:$E,MATCH(_xlpm.pos,MASTER!$H:$H,0)),"mmddyy"),""),_xlpm.slot,96+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8" s="4" t="str">
        <f>_xlfn.LET(_xlpm.pos,"CDI plate 3: "&amp;$A6&amp;C$2,_xlpm.normal,IFERROR(INDEX(MASTER!$A:$A,MATCH(_xlpm.pos,MASTER!$H:$H,0))&amp;"_ser_0.20_"&amp;TEXT(INDEX(MASTER!$E:$E,MATCH(_xlpm.pos,MASTER!$H:$H,0)),"mmddyy"),""),_xlpm.slot,96+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8" s="4" t="str">
        <f>_xlfn.LET(_xlpm.pos,"CDI plate 3: "&amp;$A6&amp;D$2,_xlpm.normal,IFERROR(INDEX(MASTER!$A:$A,MATCH(_xlpm.pos,MASTER!$H:$H,0))&amp;"_ser_0.20_"&amp;TEXT(INDEX(MASTER!$E:$E,MATCH(_xlpm.pos,MASTER!$H:$H,0)),"mmddyy"),""),_xlpm.slot,96+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8" s="4" t="str">
        <f>_xlfn.LET(_xlpm.pos,"CDI plate 3: "&amp;$A6&amp;E$2,_xlpm.normal,IFERROR(INDEX(MASTER!$A:$A,MATCH(_xlpm.pos,MASTER!$H:$H,0))&amp;"_ser_0.20_"&amp;TEXT(INDEX(MASTER!$E:$E,MATCH(_xlpm.pos,MASTER!$H:$H,0)),"mmddyy"),""),_xlpm.slot,96+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8" s="4" t="str">
        <f>_xlfn.LET(_xlpm.pos,"CDI plate 3: "&amp;$A6&amp;F$2,_xlpm.normal,IFERROR(INDEX(MASTER!$A:$A,MATCH(_xlpm.pos,MASTER!$H:$H,0))&amp;"_ser_0.20_"&amp;TEXT(INDEX(MASTER!$E:$E,MATCH(_xlpm.pos,MASTER!$H:$H,0)),"mmddyy"),""),_xlpm.slot,96+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8" s="4" t="str">
        <f>_xlfn.LET(_xlpm.pos,"CDI plate 3: "&amp;$A6&amp;G$2,_xlpm.normal,IFERROR(INDEX(MASTER!$A:$A,MATCH(_xlpm.pos,MASTER!$H:$H,0))&amp;"_ser_0.20_"&amp;TEXT(INDEX(MASTER!$E:$E,MATCH(_xlpm.pos,MASTER!$H:$H,0)),"mmddyy"),""),_xlpm.slot,96+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8" s="4" t="str">
        <f>_xlfn.LET(_xlpm.pos,"CDI plate 3: "&amp;$A6&amp;H$2,_xlpm.normal,IFERROR(INDEX(MASTER!$A:$A,MATCH(_xlpm.pos,MASTER!$H:$H,0))&amp;"_ser_0.20_"&amp;TEXT(INDEX(MASTER!$E:$E,MATCH(_xlpm.pos,MASTER!$H:$H,0)),"mmddyy"),""),_xlpm.slot,96+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8" s="4" t="str">
        <f>_xlfn.LET(_xlpm.pos,"CDI plate 3: "&amp;$A6&amp;I$2,_xlpm.normal,IFERROR(INDEX(MASTER!$A:$A,MATCH(_xlpm.pos,MASTER!$H:$H,0))&amp;"_ser_0.20_"&amp;TEXT(INDEX(MASTER!$E:$E,MATCH(_xlpm.pos,MASTER!$H:$H,0)),"mmddyy"),""),_xlpm.slot,96+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8" s="4" t="str">
        <f>_xlfn.LET(_xlpm.pos,"CDI plate 3: "&amp;$A6&amp;J$2,_xlpm.normal,IFERROR(INDEX(MASTER!$A:$A,MATCH(_xlpm.pos,MASTER!$H:$H,0))&amp;"_ser_0.20_"&amp;TEXT(INDEX(MASTER!$E:$E,MATCH(_xlpm.pos,MASTER!$H:$H,0)),"mmddyy"),""),_xlpm.slot,96+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8" s="4" t="str">
        <f>_xlfn.LET(_xlpm.pos,"CDI plate 3: "&amp;$A6&amp;K$2,_xlpm.normal,IFERROR(INDEX(MASTER!$A:$A,MATCH(_xlpm.pos,MASTER!$H:$H,0))&amp;"_ser_0.20_"&amp;TEXT(INDEX(MASTER!$E:$E,MATCH(_xlpm.pos,MASTER!$H:$H,0)),"mmddyy"),""),_xlpm.slot,96+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8" s="4" t="str">
        <f>_xlfn.LET(_xlpm.pos,"CDI plate 3: "&amp;$A6&amp;L$2,_xlpm.normal,IFERROR(INDEX(MASTER!$A:$A,MATCH(_xlpm.pos,MASTER!$H:$H,0))&amp;"_ser_0.20_"&amp;TEXT(INDEX(MASTER!$E:$E,MATCH(_xlpm.pos,MASTER!$H:$H,0)),"mmddyy"),""),_xlpm.slot,96+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8" s="4" t="str">
        <f>_xlfn.LET(_xlpm.pos,"CDI plate 3: "&amp;$A6&amp;M$2,_xlpm.normal,IFERROR(INDEX(MASTER!$A:$A,MATCH(_xlpm.pos,MASTER!$H:$H,0))&amp;"_ser_0.20_"&amp;TEXT(INDEX(MASTER!$E:$E,MATCH(_xlpm.pos,MASTER!$H:$H,0)),"mmddyy"),""),_xlpm.slot,96+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9" spans="1:13" ht="22" customHeight="1" x14ac:dyDescent="0.3">
      <c r="A29" s="6" t="s">
        <v>34</v>
      </c>
      <c r="B29" s="4" t="str">
        <f>_xlfn.LET(_xlpm.pos,"CDI plate 3: "&amp;$A7&amp;B$2,_xlpm.normal,IFERROR(INDEX(MASTER!$A:$A,MATCH(_xlpm.pos,MASTER!$H:$H,0))&amp;"_ser_0.20_"&amp;TEXT(INDEX(MASTER!$E:$E,MATCH(_xlpm.pos,MASTER!$H:$H,0)),"mmddyy"),""),_xlpm.slot,96+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9" s="4" t="str">
        <f>_xlfn.LET(_xlpm.pos,"CDI plate 3: "&amp;$A7&amp;C$2,_xlpm.normal,IFERROR(INDEX(MASTER!$A:$A,MATCH(_xlpm.pos,MASTER!$H:$H,0))&amp;"_ser_0.20_"&amp;TEXT(INDEX(MASTER!$E:$E,MATCH(_xlpm.pos,MASTER!$H:$H,0)),"mmddyy"),""),_xlpm.slot,96+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9" s="4" t="str">
        <f>_xlfn.LET(_xlpm.pos,"CDI plate 3: "&amp;$A7&amp;D$2,_xlpm.normal,IFERROR(INDEX(MASTER!$A:$A,MATCH(_xlpm.pos,MASTER!$H:$H,0))&amp;"_ser_0.20_"&amp;TEXT(INDEX(MASTER!$E:$E,MATCH(_xlpm.pos,MASTER!$H:$H,0)),"mmddyy"),""),_xlpm.slot,96+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9" s="4" t="str">
        <f>_xlfn.LET(_xlpm.pos,"CDI plate 3: "&amp;$A7&amp;E$2,_xlpm.normal,IFERROR(INDEX(MASTER!$A:$A,MATCH(_xlpm.pos,MASTER!$H:$H,0))&amp;"_ser_0.20_"&amp;TEXT(INDEX(MASTER!$E:$E,MATCH(_xlpm.pos,MASTER!$H:$H,0)),"mmddyy"),""),_xlpm.slot,96+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9" s="4" t="str">
        <f>_xlfn.LET(_xlpm.pos,"CDI plate 3: "&amp;$A7&amp;F$2,_xlpm.normal,IFERROR(INDEX(MASTER!$A:$A,MATCH(_xlpm.pos,MASTER!$H:$H,0))&amp;"_ser_0.20_"&amp;TEXT(INDEX(MASTER!$E:$E,MATCH(_xlpm.pos,MASTER!$H:$H,0)),"mmddyy"),""),_xlpm.slot,96+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9" s="4" t="str">
        <f>_xlfn.LET(_xlpm.pos,"CDI plate 3: "&amp;$A7&amp;G$2,_xlpm.normal,IFERROR(INDEX(MASTER!$A:$A,MATCH(_xlpm.pos,MASTER!$H:$H,0))&amp;"_ser_0.20_"&amp;TEXT(INDEX(MASTER!$E:$E,MATCH(_xlpm.pos,MASTER!$H:$H,0)),"mmddyy"),""),_xlpm.slot,96+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9" s="4" t="str">
        <f>_xlfn.LET(_xlpm.pos,"CDI plate 3: "&amp;$A7&amp;H$2,_xlpm.normal,IFERROR(INDEX(MASTER!$A:$A,MATCH(_xlpm.pos,MASTER!$H:$H,0))&amp;"_ser_0.20_"&amp;TEXT(INDEX(MASTER!$E:$E,MATCH(_xlpm.pos,MASTER!$H:$H,0)),"mmddyy"),""),_xlpm.slot,96+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9" s="4" t="str">
        <f>_xlfn.LET(_xlpm.pos,"CDI plate 3: "&amp;$A7&amp;I$2,_xlpm.normal,IFERROR(INDEX(MASTER!$A:$A,MATCH(_xlpm.pos,MASTER!$H:$H,0))&amp;"_ser_0.20_"&amp;TEXT(INDEX(MASTER!$E:$E,MATCH(_xlpm.pos,MASTER!$H:$H,0)),"mmddyy"),""),_xlpm.slot,96+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9" s="4" t="str">
        <f>_xlfn.LET(_xlpm.pos,"CDI plate 3: "&amp;$A7&amp;J$2,_xlpm.normal,IFERROR(INDEX(MASTER!$A:$A,MATCH(_xlpm.pos,MASTER!$H:$H,0))&amp;"_ser_0.20_"&amp;TEXT(INDEX(MASTER!$E:$E,MATCH(_xlpm.pos,MASTER!$H:$H,0)),"mmddyy"),""),_xlpm.slot,96+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9" s="4" t="str">
        <f>_xlfn.LET(_xlpm.pos,"CDI plate 3: "&amp;$A7&amp;K$2,_xlpm.normal,IFERROR(INDEX(MASTER!$A:$A,MATCH(_xlpm.pos,MASTER!$H:$H,0))&amp;"_ser_0.20_"&amp;TEXT(INDEX(MASTER!$E:$E,MATCH(_xlpm.pos,MASTER!$H:$H,0)),"mmddyy"),""),_xlpm.slot,96+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9" s="4" t="str">
        <f>_xlfn.LET(_xlpm.pos,"CDI plate 3: "&amp;$A7&amp;L$2,_xlpm.normal,IFERROR(INDEX(MASTER!$A:$A,MATCH(_xlpm.pos,MASTER!$H:$H,0))&amp;"_ser_0.20_"&amp;TEXT(INDEX(MASTER!$E:$E,MATCH(_xlpm.pos,MASTER!$H:$H,0)),"mmddyy"),""),_xlpm.slot,96+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9" s="4" t="str">
        <f>_xlfn.LET(_xlpm.pos,"CDI plate 3: "&amp;$A7&amp;M$2,_xlpm.normal,IFERROR(INDEX(MASTER!$A:$A,MATCH(_xlpm.pos,MASTER!$H:$H,0))&amp;"_ser_0.20_"&amp;TEXT(INDEX(MASTER!$E:$E,MATCH(_xlpm.pos,MASTER!$H:$H,0)),"mmddyy"),""),_xlpm.slot,96+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30" spans="1:13" ht="22" customHeight="1" x14ac:dyDescent="0.3">
      <c r="A30" s="6" t="s">
        <v>15</v>
      </c>
      <c r="B30" s="4" t="str">
        <f>_xlfn.LET(_xlpm.pos,"CDI plate 3: "&amp;$A8&amp;B$2,_xlpm.normal,IFERROR(INDEX(MASTER!$A:$A,MATCH(_xlpm.pos,MASTER!$H:$H,0))&amp;"_ser_0.20_"&amp;TEXT(INDEX(MASTER!$E:$E,MATCH(_xlpm.pos,MASTER!$H:$H,0)),"mmddyy"),""),_xlpm.slot,96+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30" s="4" t="str">
        <f>_xlfn.LET(_xlpm.pos,"CDI plate 3: "&amp;$A8&amp;C$2,_xlpm.normal,IFERROR(INDEX(MASTER!$A:$A,MATCH(_xlpm.pos,MASTER!$H:$H,0))&amp;"_ser_0.20_"&amp;TEXT(INDEX(MASTER!$E:$E,MATCH(_xlpm.pos,MASTER!$H:$H,0)),"mmddyy"),""),_xlpm.slot,96+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30" s="4" t="str">
        <f>_xlfn.LET(_xlpm.pos,"CDI plate 3: "&amp;$A8&amp;D$2,_xlpm.normal,IFERROR(INDEX(MASTER!$A:$A,MATCH(_xlpm.pos,MASTER!$H:$H,0))&amp;"_ser_0.20_"&amp;TEXT(INDEX(MASTER!$E:$E,MATCH(_xlpm.pos,MASTER!$H:$H,0)),"mmddyy"),""),_xlpm.slot,96+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30" s="4" t="str">
        <f>_xlfn.LET(_xlpm.pos,"CDI plate 3: "&amp;$A8&amp;E$2,_xlpm.normal,IFERROR(INDEX(MASTER!$A:$A,MATCH(_xlpm.pos,MASTER!$H:$H,0))&amp;"_ser_0.20_"&amp;TEXT(INDEX(MASTER!$E:$E,MATCH(_xlpm.pos,MASTER!$H:$H,0)),"mmddyy"),""),_xlpm.slot,96+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30" s="4" t="str">
        <f>_xlfn.LET(_xlpm.pos,"CDI plate 3: "&amp;$A8&amp;F$2,_xlpm.normal,IFERROR(INDEX(MASTER!$A:$A,MATCH(_xlpm.pos,MASTER!$H:$H,0))&amp;"_ser_0.20_"&amp;TEXT(INDEX(MASTER!$E:$E,MATCH(_xlpm.pos,MASTER!$H:$H,0)),"mmddyy"),""),_xlpm.slot,96+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30" s="4" t="str">
        <f>_xlfn.LET(_xlpm.pos,"CDI plate 3: "&amp;$A8&amp;G$2,_xlpm.normal,IFERROR(INDEX(MASTER!$A:$A,MATCH(_xlpm.pos,MASTER!$H:$H,0))&amp;"_ser_0.20_"&amp;TEXT(INDEX(MASTER!$E:$E,MATCH(_xlpm.pos,MASTER!$H:$H,0)),"mmddyy"),""),_xlpm.slot,96+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30" s="4" t="str">
        <f>_xlfn.LET(_xlpm.pos,"CDI plate 3: "&amp;$A8&amp;H$2,_xlpm.normal,IFERROR(INDEX(MASTER!$A:$A,MATCH(_xlpm.pos,MASTER!$H:$H,0))&amp;"_ser_0.20_"&amp;TEXT(INDEX(MASTER!$E:$E,MATCH(_xlpm.pos,MASTER!$H:$H,0)),"mmddyy"),""),_xlpm.slot,96+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30" s="4" t="str">
        <f>_xlfn.LET(_xlpm.pos,"CDI plate 3: "&amp;$A8&amp;I$2,_xlpm.normal,IFERROR(INDEX(MASTER!$A:$A,MATCH(_xlpm.pos,MASTER!$H:$H,0))&amp;"_ser_0.20_"&amp;TEXT(INDEX(MASTER!$E:$E,MATCH(_xlpm.pos,MASTER!$H:$H,0)),"mmddyy"),""),_xlpm.slot,96+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30" s="4" t="str">
        <f>_xlfn.LET(_xlpm.pos,"CDI plate 3: "&amp;$A8&amp;J$2,_xlpm.normal,IFERROR(INDEX(MASTER!$A:$A,MATCH(_xlpm.pos,MASTER!$H:$H,0))&amp;"_ser_0.20_"&amp;TEXT(INDEX(MASTER!$E:$E,MATCH(_xlpm.pos,MASTER!$H:$H,0)),"mmddyy"),""),_xlpm.slot,96+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30" s="4" t="str">
        <f>_xlfn.LET(_xlpm.pos,"CDI plate 3: "&amp;$A8&amp;K$2,_xlpm.normal,IFERROR(INDEX(MASTER!$A:$A,MATCH(_xlpm.pos,MASTER!$H:$H,0))&amp;"_ser_0.20_"&amp;TEXT(INDEX(MASTER!$E:$E,MATCH(_xlpm.pos,MASTER!$H:$H,0)),"mmddyy"),""),_xlpm.slot,96+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30" s="4" t="str">
        <f>_xlfn.LET(_xlpm.pos,"CDI plate 3: "&amp;$A8&amp;L$2,_xlpm.normal,IFERROR(INDEX(MASTER!$A:$A,MATCH(_xlpm.pos,MASTER!$H:$H,0))&amp;"_ser_0.20_"&amp;TEXT(INDEX(MASTER!$E:$E,MATCH(_xlpm.pos,MASTER!$H:$H,0)),"mmddyy"),""),_xlpm.slot,96+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30" s="4" t="str">
        <f>_xlfn.LET(_xlpm.pos,"CDI plate 3: "&amp;$A8&amp;M$2,_xlpm.normal,IFERROR(INDEX(MASTER!$A:$A,MATCH(_xlpm.pos,MASTER!$H:$H,0))&amp;"_ser_0.20_"&amp;TEXT(INDEX(MASTER!$E:$E,MATCH(_xlpm.pos,MASTER!$H:$H,0)),"mmddyy"),""),_xlpm.slot,96+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31" spans="1:13" ht="22" customHeight="1" x14ac:dyDescent="0.3">
      <c r="A31" s="6" t="s">
        <v>35</v>
      </c>
      <c r="B31" s="4" t="str">
        <f>_xlfn.LET(_xlpm.pos,"CDI plate 3: "&amp;$A9&amp;B$2,_xlpm.normal,IFERROR(INDEX(MASTER!$A:$A,MATCH(_xlpm.pos,MASTER!$H:$H,0))&amp;"_ser_0.20_"&amp;TEXT(INDEX(MASTER!$E:$E,MATCH(_xlpm.pos,MASTER!$H:$H,0)),"mmddyy"),""),_xlpm.slot,96+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31" s="4" t="str">
        <f>_xlfn.LET(_xlpm.pos,"CDI plate 3: "&amp;$A9&amp;C$2,_xlpm.normal,IFERROR(INDEX(MASTER!$A:$A,MATCH(_xlpm.pos,MASTER!$H:$H,0))&amp;"_ser_0.20_"&amp;TEXT(INDEX(MASTER!$E:$E,MATCH(_xlpm.pos,MASTER!$H:$H,0)),"mmddyy"),""),_xlpm.slot,96+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31" s="4" t="str">
        <f>_xlfn.LET(_xlpm.pos,"CDI plate 3: "&amp;$A9&amp;D$2,_xlpm.normal,IFERROR(INDEX(MASTER!$A:$A,MATCH(_xlpm.pos,MASTER!$H:$H,0))&amp;"_ser_0.20_"&amp;TEXT(INDEX(MASTER!$E:$E,MATCH(_xlpm.pos,MASTER!$H:$H,0)),"mmddyy"),""),_xlpm.slot,96+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31" s="4" t="str">
        <f>_xlfn.LET(_xlpm.pos,"CDI plate 3: "&amp;$A9&amp;E$2,_xlpm.normal,IFERROR(INDEX(MASTER!$A:$A,MATCH(_xlpm.pos,MASTER!$H:$H,0))&amp;"_ser_0.20_"&amp;TEXT(INDEX(MASTER!$E:$E,MATCH(_xlpm.pos,MASTER!$H:$H,0)),"mmddyy"),""),_xlpm.slot,96+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31" s="4" t="str">
        <f>_xlfn.LET(_xlpm.pos,"CDI plate 3: "&amp;$A9&amp;F$2,_xlpm.normal,IFERROR(INDEX(MASTER!$A:$A,MATCH(_xlpm.pos,MASTER!$H:$H,0))&amp;"_ser_0.20_"&amp;TEXT(INDEX(MASTER!$E:$E,MATCH(_xlpm.pos,MASTER!$H:$H,0)),"mmddyy"),""),_xlpm.slot,96+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31" s="4" t="str">
        <f>_xlfn.LET(_xlpm.pos,"CDI plate 3: "&amp;$A9&amp;G$2,_xlpm.normal,IFERROR(INDEX(MASTER!$A:$A,MATCH(_xlpm.pos,MASTER!$H:$H,0))&amp;"_ser_0.20_"&amp;TEXT(INDEX(MASTER!$E:$E,MATCH(_xlpm.pos,MASTER!$H:$H,0)),"mmddyy"),""),_xlpm.slot,96+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31" s="4" t="str">
        <f>_xlfn.LET(_xlpm.pos,"CDI plate 3: "&amp;$A9&amp;H$2,_xlpm.normal,IFERROR(INDEX(MASTER!$A:$A,MATCH(_xlpm.pos,MASTER!$H:$H,0))&amp;"_ser_0.20_"&amp;TEXT(INDEX(MASTER!$E:$E,MATCH(_xlpm.pos,MASTER!$H:$H,0)),"mmddyy"),""),_xlpm.slot,96+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31" s="4" t="str">
        <f>_xlfn.LET(_xlpm.pos,"CDI plate 3: "&amp;$A9&amp;I$2,_xlpm.normal,IFERROR(INDEX(MASTER!$A:$A,MATCH(_xlpm.pos,MASTER!$H:$H,0))&amp;"_ser_0.20_"&amp;TEXT(INDEX(MASTER!$E:$E,MATCH(_xlpm.pos,MASTER!$H:$H,0)),"mmddyy"),""),_xlpm.slot,96+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31" s="4" t="str">
        <f>_xlfn.LET(_xlpm.pos,"CDI plate 3: "&amp;$A9&amp;J$2,_xlpm.normal,IFERROR(INDEX(MASTER!$A:$A,MATCH(_xlpm.pos,MASTER!$H:$H,0))&amp;"_ser_0.20_"&amp;TEXT(INDEX(MASTER!$E:$E,MATCH(_xlpm.pos,MASTER!$H:$H,0)),"mmddyy"),""),_xlpm.slot,96+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31" s="4" t="str">
        <f>_xlfn.LET(_xlpm.pos,"CDI plate 3: "&amp;$A9&amp;K$2,_xlpm.normal,IFERROR(INDEX(MASTER!$A:$A,MATCH(_xlpm.pos,MASTER!$H:$H,0))&amp;"_ser_0.20_"&amp;TEXT(INDEX(MASTER!$E:$E,MATCH(_xlpm.pos,MASTER!$H:$H,0)),"mmddyy"),""),_xlpm.slot,96+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31" s="4" t="str">
        <f>_xlfn.LET(_xlpm.pos,"CDI plate 3: "&amp;$A9&amp;L$2,_xlpm.normal,IFERROR(INDEX(MASTER!$A:$A,MATCH(_xlpm.pos,MASTER!$H:$H,0))&amp;"_ser_0.20_"&amp;TEXT(INDEX(MASTER!$E:$E,MATCH(_xlpm.pos,MASTER!$H:$H,0)),"mmddyy"),""),_xlpm.slot,96+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31" s="4" t="str">
        <f>_xlfn.LET(_xlpm.pos,"CDI plate 3: "&amp;$A9&amp;M$2,_xlpm.normal,IFERROR(INDEX(MASTER!$A:$A,MATCH(_xlpm.pos,MASTER!$H:$H,0))&amp;"_ser_0.20_"&amp;TEXT(INDEX(MASTER!$E:$E,MATCH(_xlpm.pos,MASTER!$H:$H,0)),"mmddyy"),""),_xlpm.slot,96+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32" spans="1:13" ht="22" customHeight="1" x14ac:dyDescent="0.3">
      <c r="A32" s="6" t="s">
        <v>36</v>
      </c>
      <c r="B32" s="4" t="str">
        <f>_xlfn.LET(_xlpm.pos,"CDI plate 3: "&amp;$A10&amp;B$2,_xlpm.normal,IFERROR(INDEX(MASTER!$A:$A,MATCH(_xlpm.pos,MASTER!$H:$H,0))&amp;"_ser_0.20_"&amp;TEXT(INDEX(MASTER!$E:$E,MATCH(_xlpm.pos,MASTER!$H:$H,0)),"mmddyy"),""),_xlpm.slot,96+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32" s="4" t="str">
        <f>_xlfn.LET(_xlpm.pos,"CDI plate 3: "&amp;$A10&amp;C$2,_xlpm.normal,IFERROR(INDEX(MASTER!$A:$A,MATCH(_xlpm.pos,MASTER!$H:$H,0))&amp;"_ser_0.20_"&amp;TEXT(INDEX(MASTER!$E:$E,MATCH(_xlpm.pos,MASTER!$H:$H,0)),"mmddyy"),""),_xlpm.slot,96+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32" s="4" t="str">
        <f>_xlfn.LET(_xlpm.pos,"CDI plate 3: "&amp;$A10&amp;D$2,_xlpm.normal,IFERROR(INDEX(MASTER!$A:$A,MATCH(_xlpm.pos,MASTER!$H:$H,0))&amp;"_ser_0.20_"&amp;TEXT(INDEX(MASTER!$E:$E,MATCH(_xlpm.pos,MASTER!$H:$H,0)),"mmddyy"),""),_xlpm.slot,96+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32" s="4" t="str">
        <f>_xlfn.LET(_xlpm.pos,"CDI plate 3: "&amp;$A10&amp;E$2,_xlpm.normal,IFERROR(INDEX(MASTER!$A:$A,MATCH(_xlpm.pos,MASTER!$H:$H,0))&amp;"_ser_0.20_"&amp;TEXT(INDEX(MASTER!$E:$E,MATCH(_xlpm.pos,MASTER!$H:$H,0)),"mmddyy"),""),_xlpm.slot,96+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32" s="4" t="str">
        <f>_xlfn.LET(_xlpm.pos,"CDI plate 3: "&amp;$A10&amp;F$2,_xlpm.normal,IFERROR(INDEX(MASTER!$A:$A,MATCH(_xlpm.pos,MASTER!$H:$H,0))&amp;"_ser_0.20_"&amp;TEXT(INDEX(MASTER!$E:$E,MATCH(_xlpm.pos,MASTER!$H:$H,0)),"mmddyy"),""),_xlpm.slot,96+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32" s="4" t="str">
        <f>_xlfn.LET(_xlpm.pos,"CDI plate 3: "&amp;$A10&amp;G$2,_xlpm.normal,IFERROR(INDEX(MASTER!$A:$A,MATCH(_xlpm.pos,MASTER!$H:$H,0))&amp;"_ser_0.20_"&amp;TEXT(INDEX(MASTER!$E:$E,MATCH(_xlpm.pos,MASTER!$H:$H,0)),"mmddyy"),""),_xlpm.slot,96+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32" s="4" t="str">
        <f>_xlfn.LET(_xlpm.pos,"CDI plate 3: "&amp;$A10&amp;H$2,_xlpm.normal,IFERROR(INDEX(MASTER!$A:$A,MATCH(_xlpm.pos,MASTER!$H:$H,0))&amp;"_ser_0.20_"&amp;TEXT(INDEX(MASTER!$E:$E,MATCH(_xlpm.pos,MASTER!$H:$H,0)),"mmddyy"),""),_xlpm.slot,96+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32" s="4" t="str">
        <f>_xlfn.LET(_xlpm.pos,"CDI plate 3: "&amp;$A10&amp;I$2,_xlpm.normal,IFERROR(INDEX(MASTER!$A:$A,MATCH(_xlpm.pos,MASTER!$H:$H,0))&amp;"_ser_0.20_"&amp;TEXT(INDEX(MASTER!$E:$E,MATCH(_xlpm.pos,MASTER!$H:$H,0)),"mmddyy"),""),_xlpm.slot,96+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32" s="4" t="str">
        <f>_xlfn.LET(_xlpm.pos,"CDI plate 3: "&amp;$A10&amp;J$2,_xlpm.normal,IFERROR(INDEX(MASTER!$A:$A,MATCH(_xlpm.pos,MASTER!$H:$H,0))&amp;"_ser_0.20_"&amp;TEXT(INDEX(MASTER!$E:$E,MATCH(_xlpm.pos,MASTER!$H:$H,0)),"mmddyy"),""),_xlpm.slot,96+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32" s="4" t="str">
        <f>_xlfn.LET(_xlpm.pos,"CDI plate 3: "&amp;$A10&amp;K$2,_xlpm.normal,IFERROR(INDEX(MASTER!$A:$A,MATCH(_xlpm.pos,MASTER!$H:$H,0))&amp;"_ser_0.20_"&amp;TEXT(INDEX(MASTER!$E:$E,MATCH(_xlpm.pos,MASTER!$H:$H,0)),"mmddyy"),""),_xlpm.slot,96+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32" s="4" t="str">
        <f>_xlfn.LET(_xlpm.pos,"CDI plate 3: "&amp;$A10&amp;L$2,_xlpm.normal,IFERROR(INDEX(MASTER!$A:$A,MATCH(_xlpm.pos,MASTER!$H:$H,0))&amp;"_ser_0.20_"&amp;TEXT(INDEX(MASTER!$E:$E,MATCH(_xlpm.pos,MASTER!$H:$H,0)),"mmddyy"),""),_xlpm.slot,96+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32" s="4" t="str">
        <f>_xlfn.LET(_xlpm.pos,"CDI plate 3: "&amp;$A10&amp;M$2,_xlpm.normal,IFERROR(INDEX(MASTER!$A:$A,MATCH(_xlpm.pos,MASTER!$H:$H,0))&amp;"_ser_0.20_"&amp;TEXT(INDEX(MASTER!$E:$E,MATCH(_xlpm.pos,MASTER!$H:$H,0)),"mmddyy"),""),_xlpm.slot,96+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34" spans="1:13" ht="22" customHeight="1" x14ac:dyDescent="0.35">
      <c r="A34" s="5"/>
      <c r="B34" s="31" t="s">
        <v>39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3"/>
    </row>
    <row r="35" spans="1:13" ht="22" customHeight="1" x14ac:dyDescent="0.3">
      <c r="A35" s="5"/>
      <c r="B35" s="6">
        <v>1</v>
      </c>
      <c r="C35" s="6">
        <v>2</v>
      </c>
      <c r="D35" s="6">
        <v>3</v>
      </c>
      <c r="E35" s="6">
        <v>4</v>
      </c>
      <c r="F35" s="6">
        <v>5</v>
      </c>
      <c r="G35" s="6">
        <v>6</v>
      </c>
      <c r="H35" s="6">
        <v>7</v>
      </c>
      <c r="I35" s="6">
        <v>8</v>
      </c>
      <c r="J35" s="6">
        <v>9</v>
      </c>
      <c r="K35" s="6">
        <v>10</v>
      </c>
      <c r="L35" s="6">
        <v>11</v>
      </c>
      <c r="M35" s="6">
        <v>12</v>
      </c>
    </row>
    <row r="36" spans="1:13" ht="22" customHeight="1" x14ac:dyDescent="0.3">
      <c r="A36" s="6" t="s">
        <v>30</v>
      </c>
      <c r="B36" s="4" t="str">
        <f>_xlfn.LET(_xlpm.pos,"CDI plate 4: "&amp;$A3&amp;B$2,_xlpm.normal,IFERROR(INDEX(MASTER!$A:$A,MATCH(_xlpm.pos,MASTER!$H:$H,0))&amp;"_ser_0.20_"&amp;TEXT(INDEX(MASTER!$E:$E,MATCH(_xlpm.pos,MASTER!$H:$H,0)),"mmddyy"),""),_xlpm.slot,96+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36" s="4" t="str">
        <f>_xlfn.LET(_xlpm.pos,"CDI plate 4: "&amp;$A3&amp;C$2,_xlpm.normal,IFERROR(INDEX(MASTER!$A:$A,MATCH(_xlpm.pos,MASTER!$H:$H,0))&amp;"_ser_0.20_"&amp;TEXT(INDEX(MASTER!$E:$E,MATCH(_xlpm.pos,MASTER!$H:$H,0)),"mmddyy"),""),_xlpm.slot,96+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36" s="4" t="str">
        <f>_xlfn.LET(_xlpm.pos,"CDI plate 4: "&amp;$A3&amp;D$2,_xlpm.normal,IFERROR(INDEX(MASTER!$A:$A,MATCH(_xlpm.pos,MASTER!$H:$H,0))&amp;"_ser_0.20_"&amp;TEXT(INDEX(MASTER!$E:$E,MATCH(_xlpm.pos,MASTER!$H:$H,0)),"mmddyy"),""),_xlpm.slot,96+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36" s="4" t="str">
        <f>_xlfn.LET(_xlpm.pos,"CDI plate 4: "&amp;$A3&amp;E$2,_xlpm.normal,IFERROR(INDEX(MASTER!$A:$A,MATCH(_xlpm.pos,MASTER!$H:$H,0))&amp;"_ser_0.20_"&amp;TEXT(INDEX(MASTER!$E:$E,MATCH(_xlpm.pos,MASTER!$H:$H,0)),"mmddyy"),""),_xlpm.slot,96+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36" s="4" t="str">
        <f>_xlfn.LET(_xlpm.pos,"CDI plate 4: "&amp;$A3&amp;F$2,_xlpm.normal,IFERROR(INDEX(MASTER!$A:$A,MATCH(_xlpm.pos,MASTER!$H:$H,0))&amp;"_ser_0.20_"&amp;TEXT(INDEX(MASTER!$E:$E,MATCH(_xlpm.pos,MASTER!$H:$H,0)),"mmddyy"),""),_xlpm.slot,96+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36" s="4" t="str">
        <f>_xlfn.LET(_xlpm.pos,"CDI plate 4: "&amp;$A3&amp;G$2,_xlpm.normal,IFERROR(INDEX(MASTER!$A:$A,MATCH(_xlpm.pos,MASTER!$H:$H,0))&amp;"_ser_0.20_"&amp;TEXT(INDEX(MASTER!$E:$E,MATCH(_xlpm.pos,MASTER!$H:$H,0)),"mmddyy"),""),_xlpm.slot,96+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36" s="4" t="str">
        <f>_xlfn.LET(_xlpm.pos,"CDI plate 4: "&amp;$A3&amp;H$2,_xlpm.normal,IFERROR(INDEX(MASTER!$A:$A,MATCH(_xlpm.pos,MASTER!$H:$H,0))&amp;"_ser_0.20_"&amp;TEXT(INDEX(MASTER!$E:$E,MATCH(_xlpm.pos,MASTER!$H:$H,0)),"mmddyy"),""),_xlpm.slot,96+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36" s="4" t="str">
        <f>_xlfn.LET(_xlpm.pos,"CDI plate 4: "&amp;$A3&amp;I$2,_xlpm.normal,IFERROR(INDEX(MASTER!$A:$A,MATCH(_xlpm.pos,MASTER!$H:$H,0))&amp;"_ser_0.20_"&amp;TEXT(INDEX(MASTER!$E:$E,MATCH(_xlpm.pos,MASTER!$H:$H,0)),"mmddyy"),""),_xlpm.slot,96+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36" s="4" t="str">
        <f>_xlfn.LET(_xlpm.pos,"CDI plate 4: "&amp;$A3&amp;J$2,_xlpm.normal,IFERROR(INDEX(MASTER!$A:$A,MATCH(_xlpm.pos,MASTER!$H:$H,0))&amp;"_ser_0.20_"&amp;TEXT(INDEX(MASTER!$E:$E,MATCH(_xlpm.pos,MASTER!$H:$H,0)),"mmddyy"),""),_xlpm.slot,96+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36" s="4" t="str">
        <f>_xlfn.LET(_xlpm.pos,"CDI plate 4: "&amp;$A3&amp;K$2,_xlpm.normal,IFERROR(INDEX(MASTER!$A:$A,MATCH(_xlpm.pos,MASTER!$H:$H,0))&amp;"_ser_0.20_"&amp;TEXT(INDEX(MASTER!$E:$E,MATCH(_xlpm.pos,MASTER!$H:$H,0)),"mmddyy"),""),_xlpm.slot,96+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36" s="4" t="str">
        <f>_xlfn.LET(_xlpm.pos,"CDI plate 4: "&amp;$A3&amp;L$2,_xlpm.normal,IFERROR(INDEX(MASTER!$A:$A,MATCH(_xlpm.pos,MASTER!$H:$H,0))&amp;"_ser_0.20_"&amp;TEXT(INDEX(MASTER!$E:$E,MATCH(_xlpm.pos,MASTER!$H:$H,0)),"mmddyy"),""),_xlpm.slot,96+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36" s="4" t="str">
        <f>_xlfn.LET(_xlpm.pos,"CDI plate 4: "&amp;$A3&amp;M$2,_xlpm.normal,IFERROR(INDEX(MASTER!$A:$A,MATCH(_xlpm.pos,MASTER!$H:$H,0))&amp;"_ser_0.20_"&amp;TEXT(INDEX(MASTER!$E:$E,MATCH(_xlpm.pos,MASTER!$H:$H,0)),"mmddyy"),""),_xlpm.slot,96+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37" spans="1:13" ht="22" customHeight="1" x14ac:dyDescent="0.3">
      <c r="A37" s="6" t="s">
        <v>31</v>
      </c>
      <c r="B37" s="4" t="str">
        <f>_xlfn.LET(_xlpm.pos,"CDI plate 4: "&amp;$A4&amp;B$2,_xlpm.normal,IFERROR(INDEX(MASTER!$A:$A,MATCH(_xlpm.pos,MASTER!$H:$H,0))&amp;"_ser_0.20_"&amp;TEXT(INDEX(MASTER!$E:$E,MATCH(_xlpm.pos,MASTER!$H:$H,0)),"mmddyy"),""),_xlpm.slot,96+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37" s="4" t="str">
        <f>_xlfn.LET(_xlpm.pos,"CDI plate 4: "&amp;$A4&amp;C$2,_xlpm.normal,IFERROR(INDEX(MASTER!$A:$A,MATCH(_xlpm.pos,MASTER!$H:$H,0))&amp;"_ser_0.20_"&amp;TEXT(INDEX(MASTER!$E:$E,MATCH(_xlpm.pos,MASTER!$H:$H,0)),"mmddyy"),""),_xlpm.slot,96+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37" s="4" t="str">
        <f>_xlfn.LET(_xlpm.pos,"CDI plate 4: "&amp;$A4&amp;D$2,_xlpm.normal,IFERROR(INDEX(MASTER!$A:$A,MATCH(_xlpm.pos,MASTER!$H:$H,0))&amp;"_ser_0.20_"&amp;TEXT(INDEX(MASTER!$E:$E,MATCH(_xlpm.pos,MASTER!$H:$H,0)),"mmddyy"),""),_xlpm.slot,96+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37" s="4" t="str">
        <f>_xlfn.LET(_xlpm.pos,"CDI plate 4: "&amp;$A4&amp;E$2,_xlpm.normal,IFERROR(INDEX(MASTER!$A:$A,MATCH(_xlpm.pos,MASTER!$H:$H,0))&amp;"_ser_0.20_"&amp;TEXT(INDEX(MASTER!$E:$E,MATCH(_xlpm.pos,MASTER!$H:$H,0)),"mmddyy"),""),_xlpm.slot,96+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37" s="4" t="str">
        <f>_xlfn.LET(_xlpm.pos,"CDI plate 4: "&amp;$A4&amp;F$2,_xlpm.normal,IFERROR(INDEX(MASTER!$A:$A,MATCH(_xlpm.pos,MASTER!$H:$H,0))&amp;"_ser_0.20_"&amp;TEXT(INDEX(MASTER!$E:$E,MATCH(_xlpm.pos,MASTER!$H:$H,0)),"mmddyy"),""),_xlpm.slot,96+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37" s="4" t="str">
        <f>_xlfn.LET(_xlpm.pos,"CDI plate 4: "&amp;$A4&amp;G$2,_xlpm.normal,IFERROR(INDEX(MASTER!$A:$A,MATCH(_xlpm.pos,MASTER!$H:$H,0))&amp;"_ser_0.20_"&amp;TEXT(INDEX(MASTER!$E:$E,MATCH(_xlpm.pos,MASTER!$H:$H,0)),"mmddyy"),""),_xlpm.slot,96+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37" s="4" t="str">
        <f>_xlfn.LET(_xlpm.pos,"CDI plate 4: "&amp;$A4&amp;H$2,_xlpm.normal,IFERROR(INDEX(MASTER!$A:$A,MATCH(_xlpm.pos,MASTER!$H:$H,0))&amp;"_ser_0.20_"&amp;TEXT(INDEX(MASTER!$E:$E,MATCH(_xlpm.pos,MASTER!$H:$H,0)),"mmddyy"),""),_xlpm.slot,96+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37" s="4" t="str">
        <f>_xlfn.LET(_xlpm.pos,"CDI plate 4: "&amp;$A4&amp;I$2,_xlpm.normal,IFERROR(INDEX(MASTER!$A:$A,MATCH(_xlpm.pos,MASTER!$H:$H,0))&amp;"_ser_0.20_"&amp;TEXT(INDEX(MASTER!$E:$E,MATCH(_xlpm.pos,MASTER!$H:$H,0)),"mmddyy"),""),_xlpm.slot,96+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37" s="4" t="str">
        <f>_xlfn.LET(_xlpm.pos,"CDI plate 4: "&amp;$A4&amp;J$2,_xlpm.normal,IFERROR(INDEX(MASTER!$A:$A,MATCH(_xlpm.pos,MASTER!$H:$H,0))&amp;"_ser_0.20_"&amp;TEXT(INDEX(MASTER!$E:$E,MATCH(_xlpm.pos,MASTER!$H:$H,0)),"mmddyy"),""),_xlpm.slot,96+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37" s="4" t="str">
        <f>_xlfn.LET(_xlpm.pos,"CDI plate 4: "&amp;$A4&amp;K$2,_xlpm.normal,IFERROR(INDEX(MASTER!$A:$A,MATCH(_xlpm.pos,MASTER!$H:$H,0))&amp;"_ser_0.20_"&amp;TEXT(INDEX(MASTER!$E:$E,MATCH(_xlpm.pos,MASTER!$H:$H,0)),"mmddyy"),""),_xlpm.slot,96+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37" s="4" t="str">
        <f>_xlfn.LET(_xlpm.pos,"CDI plate 4: "&amp;$A4&amp;L$2,_xlpm.normal,IFERROR(INDEX(MASTER!$A:$A,MATCH(_xlpm.pos,MASTER!$H:$H,0))&amp;"_ser_0.20_"&amp;TEXT(INDEX(MASTER!$E:$E,MATCH(_xlpm.pos,MASTER!$H:$H,0)),"mmddyy"),""),_xlpm.slot,96+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37" s="4" t="str">
        <f>_xlfn.LET(_xlpm.pos,"CDI plate 4: "&amp;$A4&amp;M$2,_xlpm.normal,IFERROR(INDEX(MASTER!$A:$A,MATCH(_xlpm.pos,MASTER!$H:$H,0))&amp;"_ser_0.20_"&amp;TEXT(INDEX(MASTER!$E:$E,MATCH(_xlpm.pos,MASTER!$H:$H,0)),"mmddyy"),""),_xlpm.slot,96+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38" spans="1:13" ht="22" customHeight="1" x14ac:dyDescent="0.3">
      <c r="A38" s="6" t="s">
        <v>32</v>
      </c>
      <c r="B38" s="4" t="str">
        <f>_xlfn.LET(_xlpm.pos,"CDI plate 4: "&amp;$A5&amp;B$2,_xlpm.normal,IFERROR(INDEX(MASTER!$A:$A,MATCH(_xlpm.pos,MASTER!$H:$H,0))&amp;"_ser_0.20_"&amp;TEXT(INDEX(MASTER!$E:$E,MATCH(_xlpm.pos,MASTER!$H:$H,0)),"mmddyy"),""),_xlpm.slot,96+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38" s="4" t="str">
        <f>_xlfn.LET(_xlpm.pos,"CDI plate 4: "&amp;$A5&amp;C$2,_xlpm.normal,IFERROR(INDEX(MASTER!$A:$A,MATCH(_xlpm.pos,MASTER!$H:$H,0))&amp;"_ser_0.20_"&amp;TEXT(INDEX(MASTER!$E:$E,MATCH(_xlpm.pos,MASTER!$H:$H,0)),"mmddyy"),""),_xlpm.slot,96+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38" s="4" t="str">
        <f>_xlfn.LET(_xlpm.pos,"CDI plate 4: "&amp;$A5&amp;D$2,_xlpm.normal,IFERROR(INDEX(MASTER!$A:$A,MATCH(_xlpm.pos,MASTER!$H:$H,0))&amp;"_ser_0.20_"&amp;TEXT(INDEX(MASTER!$E:$E,MATCH(_xlpm.pos,MASTER!$H:$H,0)),"mmddyy"),""),_xlpm.slot,96+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38" s="4" t="str">
        <f>_xlfn.LET(_xlpm.pos,"CDI plate 4: "&amp;$A5&amp;E$2,_xlpm.normal,IFERROR(INDEX(MASTER!$A:$A,MATCH(_xlpm.pos,MASTER!$H:$H,0))&amp;"_ser_0.20_"&amp;TEXT(INDEX(MASTER!$E:$E,MATCH(_xlpm.pos,MASTER!$H:$H,0)),"mmddyy"),""),_xlpm.slot,96+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38" s="4" t="str">
        <f>_xlfn.LET(_xlpm.pos,"CDI plate 4: "&amp;$A5&amp;F$2,_xlpm.normal,IFERROR(INDEX(MASTER!$A:$A,MATCH(_xlpm.pos,MASTER!$H:$H,0))&amp;"_ser_0.20_"&amp;TEXT(INDEX(MASTER!$E:$E,MATCH(_xlpm.pos,MASTER!$H:$H,0)),"mmddyy"),""),_xlpm.slot,96+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38" s="4" t="str">
        <f>_xlfn.LET(_xlpm.pos,"CDI plate 4: "&amp;$A5&amp;G$2,_xlpm.normal,IFERROR(INDEX(MASTER!$A:$A,MATCH(_xlpm.pos,MASTER!$H:$H,0))&amp;"_ser_0.20_"&amp;TEXT(INDEX(MASTER!$E:$E,MATCH(_xlpm.pos,MASTER!$H:$H,0)),"mmddyy"),""),_xlpm.slot,96+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38" s="4" t="str">
        <f>_xlfn.LET(_xlpm.pos,"CDI plate 4: "&amp;$A5&amp;H$2,_xlpm.normal,IFERROR(INDEX(MASTER!$A:$A,MATCH(_xlpm.pos,MASTER!$H:$H,0))&amp;"_ser_0.20_"&amp;TEXT(INDEX(MASTER!$E:$E,MATCH(_xlpm.pos,MASTER!$H:$H,0)),"mmddyy"),""),_xlpm.slot,96+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38" s="4" t="str">
        <f>_xlfn.LET(_xlpm.pos,"CDI plate 4: "&amp;$A5&amp;I$2,_xlpm.normal,IFERROR(INDEX(MASTER!$A:$A,MATCH(_xlpm.pos,MASTER!$H:$H,0))&amp;"_ser_0.20_"&amp;TEXT(INDEX(MASTER!$E:$E,MATCH(_xlpm.pos,MASTER!$H:$H,0)),"mmddyy"),""),_xlpm.slot,96+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38" s="4" t="str">
        <f>_xlfn.LET(_xlpm.pos,"CDI plate 4: "&amp;$A5&amp;J$2,_xlpm.normal,IFERROR(INDEX(MASTER!$A:$A,MATCH(_xlpm.pos,MASTER!$H:$H,0))&amp;"_ser_0.20_"&amp;TEXT(INDEX(MASTER!$E:$E,MATCH(_xlpm.pos,MASTER!$H:$H,0)),"mmddyy"),""),_xlpm.slot,96+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38" s="4" t="str">
        <f>_xlfn.LET(_xlpm.pos,"CDI plate 4: "&amp;$A5&amp;K$2,_xlpm.normal,IFERROR(INDEX(MASTER!$A:$A,MATCH(_xlpm.pos,MASTER!$H:$H,0))&amp;"_ser_0.20_"&amp;TEXT(INDEX(MASTER!$E:$E,MATCH(_xlpm.pos,MASTER!$H:$H,0)),"mmddyy"),""),_xlpm.slot,96+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38" s="4" t="str">
        <f>_xlfn.LET(_xlpm.pos,"CDI plate 4: "&amp;$A5&amp;L$2,_xlpm.normal,IFERROR(INDEX(MASTER!$A:$A,MATCH(_xlpm.pos,MASTER!$H:$H,0))&amp;"_ser_0.20_"&amp;TEXT(INDEX(MASTER!$E:$E,MATCH(_xlpm.pos,MASTER!$H:$H,0)),"mmddyy"),""),_xlpm.slot,96+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38" s="4" t="str">
        <f>_xlfn.LET(_xlpm.pos,"CDI plate 4: "&amp;$A5&amp;M$2,_xlpm.normal,IFERROR(INDEX(MASTER!$A:$A,MATCH(_xlpm.pos,MASTER!$H:$H,0))&amp;"_ser_0.20_"&amp;TEXT(INDEX(MASTER!$E:$E,MATCH(_xlpm.pos,MASTER!$H:$H,0)),"mmddyy"),""),_xlpm.slot,96+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39" spans="1:13" ht="22" customHeight="1" x14ac:dyDescent="0.3">
      <c r="A39" s="6" t="s">
        <v>33</v>
      </c>
      <c r="B39" s="4" t="str">
        <f>_xlfn.LET(_xlpm.pos,"CDI plate 4: "&amp;$A6&amp;B$2,_xlpm.normal,IFERROR(INDEX(MASTER!$A:$A,MATCH(_xlpm.pos,MASTER!$H:$H,0))&amp;"_ser_0.20_"&amp;TEXT(INDEX(MASTER!$E:$E,MATCH(_xlpm.pos,MASTER!$H:$H,0)),"mmddyy"),""),_xlpm.slot,96+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39" s="4" t="str">
        <f>_xlfn.LET(_xlpm.pos,"CDI plate 4: "&amp;$A6&amp;C$2,_xlpm.normal,IFERROR(INDEX(MASTER!$A:$A,MATCH(_xlpm.pos,MASTER!$H:$H,0))&amp;"_ser_0.20_"&amp;TEXT(INDEX(MASTER!$E:$E,MATCH(_xlpm.pos,MASTER!$H:$H,0)),"mmddyy"),""),_xlpm.slot,96+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39" s="4" t="str">
        <f>_xlfn.LET(_xlpm.pos,"CDI plate 4: "&amp;$A6&amp;D$2,_xlpm.normal,IFERROR(INDEX(MASTER!$A:$A,MATCH(_xlpm.pos,MASTER!$H:$H,0))&amp;"_ser_0.20_"&amp;TEXT(INDEX(MASTER!$E:$E,MATCH(_xlpm.pos,MASTER!$H:$H,0)),"mmddyy"),""),_xlpm.slot,96+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39" s="4" t="str">
        <f>_xlfn.LET(_xlpm.pos,"CDI plate 4: "&amp;$A6&amp;E$2,_xlpm.normal,IFERROR(INDEX(MASTER!$A:$A,MATCH(_xlpm.pos,MASTER!$H:$H,0))&amp;"_ser_0.20_"&amp;TEXT(INDEX(MASTER!$E:$E,MATCH(_xlpm.pos,MASTER!$H:$H,0)),"mmddyy"),""),_xlpm.slot,96+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39" s="4" t="str">
        <f>_xlfn.LET(_xlpm.pos,"CDI plate 4: "&amp;$A6&amp;F$2,_xlpm.normal,IFERROR(INDEX(MASTER!$A:$A,MATCH(_xlpm.pos,MASTER!$H:$H,0))&amp;"_ser_0.20_"&amp;TEXT(INDEX(MASTER!$E:$E,MATCH(_xlpm.pos,MASTER!$H:$H,0)),"mmddyy"),""),_xlpm.slot,96+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39" s="4" t="str">
        <f>_xlfn.LET(_xlpm.pos,"CDI plate 4: "&amp;$A6&amp;G$2,_xlpm.normal,IFERROR(INDEX(MASTER!$A:$A,MATCH(_xlpm.pos,MASTER!$H:$H,0))&amp;"_ser_0.20_"&amp;TEXT(INDEX(MASTER!$E:$E,MATCH(_xlpm.pos,MASTER!$H:$H,0)),"mmddyy"),""),_xlpm.slot,96+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39" s="4" t="str">
        <f>_xlfn.LET(_xlpm.pos,"CDI plate 4: "&amp;$A6&amp;H$2,_xlpm.normal,IFERROR(INDEX(MASTER!$A:$A,MATCH(_xlpm.pos,MASTER!$H:$H,0))&amp;"_ser_0.20_"&amp;TEXT(INDEX(MASTER!$E:$E,MATCH(_xlpm.pos,MASTER!$H:$H,0)),"mmddyy"),""),_xlpm.slot,96+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39" s="4" t="str">
        <f>_xlfn.LET(_xlpm.pos,"CDI plate 4: "&amp;$A6&amp;I$2,_xlpm.normal,IFERROR(INDEX(MASTER!$A:$A,MATCH(_xlpm.pos,MASTER!$H:$H,0))&amp;"_ser_0.20_"&amp;TEXT(INDEX(MASTER!$E:$E,MATCH(_xlpm.pos,MASTER!$H:$H,0)),"mmddyy"),""),_xlpm.slot,96+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39" s="4" t="str">
        <f>_xlfn.LET(_xlpm.pos,"CDI plate 4: "&amp;$A6&amp;J$2,_xlpm.normal,IFERROR(INDEX(MASTER!$A:$A,MATCH(_xlpm.pos,MASTER!$H:$H,0))&amp;"_ser_0.20_"&amp;TEXT(INDEX(MASTER!$E:$E,MATCH(_xlpm.pos,MASTER!$H:$H,0)),"mmddyy"),""),_xlpm.slot,96+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39" s="4" t="str">
        <f>_xlfn.LET(_xlpm.pos,"CDI plate 4: "&amp;$A6&amp;K$2,_xlpm.normal,IFERROR(INDEX(MASTER!$A:$A,MATCH(_xlpm.pos,MASTER!$H:$H,0))&amp;"_ser_0.20_"&amp;TEXT(INDEX(MASTER!$E:$E,MATCH(_xlpm.pos,MASTER!$H:$H,0)),"mmddyy"),""),_xlpm.slot,96+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39" s="4" t="str">
        <f>_xlfn.LET(_xlpm.pos,"CDI plate 4: "&amp;$A6&amp;L$2,_xlpm.normal,IFERROR(INDEX(MASTER!$A:$A,MATCH(_xlpm.pos,MASTER!$H:$H,0))&amp;"_ser_0.20_"&amp;TEXT(INDEX(MASTER!$E:$E,MATCH(_xlpm.pos,MASTER!$H:$H,0)),"mmddyy"),""),_xlpm.slot,96+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39" s="4" t="str">
        <f>_xlfn.LET(_xlpm.pos,"CDI plate 4: "&amp;$A6&amp;M$2,_xlpm.normal,IFERROR(INDEX(MASTER!$A:$A,MATCH(_xlpm.pos,MASTER!$H:$H,0))&amp;"_ser_0.20_"&amp;TEXT(INDEX(MASTER!$E:$E,MATCH(_xlpm.pos,MASTER!$H:$H,0)),"mmddyy"),""),_xlpm.slot,96+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40" spans="1:13" ht="22" customHeight="1" x14ac:dyDescent="0.3">
      <c r="A40" s="6" t="s">
        <v>34</v>
      </c>
      <c r="B40" s="4" t="str">
        <f>_xlfn.LET(_xlpm.pos,"CDI plate 4: "&amp;$A7&amp;B$2,_xlpm.normal,IFERROR(INDEX(MASTER!$A:$A,MATCH(_xlpm.pos,MASTER!$H:$H,0))&amp;"_ser_0.20_"&amp;TEXT(INDEX(MASTER!$E:$E,MATCH(_xlpm.pos,MASTER!$H:$H,0)),"mmddyy"),""),_xlpm.slot,96+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40" s="4" t="str">
        <f>_xlfn.LET(_xlpm.pos,"CDI plate 4: "&amp;$A7&amp;C$2,_xlpm.normal,IFERROR(INDEX(MASTER!$A:$A,MATCH(_xlpm.pos,MASTER!$H:$H,0))&amp;"_ser_0.20_"&amp;TEXT(INDEX(MASTER!$E:$E,MATCH(_xlpm.pos,MASTER!$H:$H,0)),"mmddyy"),""),_xlpm.slot,96+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40" s="4" t="str">
        <f>_xlfn.LET(_xlpm.pos,"CDI plate 4: "&amp;$A7&amp;D$2,_xlpm.normal,IFERROR(INDEX(MASTER!$A:$A,MATCH(_xlpm.pos,MASTER!$H:$H,0))&amp;"_ser_0.20_"&amp;TEXT(INDEX(MASTER!$E:$E,MATCH(_xlpm.pos,MASTER!$H:$H,0)),"mmddyy"),""),_xlpm.slot,96+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40" s="4" t="str">
        <f>_xlfn.LET(_xlpm.pos,"CDI plate 4: "&amp;$A7&amp;E$2,_xlpm.normal,IFERROR(INDEX(MASTER!$A:$A,MATCH(_xlpm.pos,MASTER!$H:$H,0))&amp;"_ser_0.20_"&amp;TEXT(INDEX(MASTER!$E:$E,MATCH(_xlpm.pos,MASTER!$H:$H,0)),"mmddyy"),""),_xlpm.slot,96+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40" s="4" t="str">
        <f>_xlfn.LET(_xlpm.pos,"CDI plate 4: "&amp;$A7&amp;F$2,_xlpm.normal,IFERROR(INDEX(MASTER!$A:$A,MATCH(_xlpm.pos,MASTER!$H:$H,0))&amp;"_ser_0.20_"&amp;TEXT(INDEX(MASTER!$E:$E,MATCH(_xlpm.pos,MASTER!$H:$H,0)),"mmddyy"),""),_xlpm.slot,96+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40" s="4" t="str">
        <f>_xlfn.LET(_xlpm.pos,"CDI plate 4: "&amp;$A7&amp;G$2,_xlpm.normal,IFERROR(INDEX(MASTER!$A:$A,MATCH(_xlpm.pos,MASTER!$H:$H,0))&amp;"_ser_0.20_"&amp;TEXT(INDEX(MASTER!$E:$E,MATCH(_xlpm.pos,MASTER!$H:$H,0)),"mmddyy"),""),_xlpm.slot,96+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40" s="4" t="str">
        <f>_xlfn.LET(_xlpm.pos,"CDI plate 4: "&amp;$A7&amp;H$2,_xlpm.normal,IFERROR(INDEX(MASTER!$A:$A,MATCH(_xlpm.pos,MASTER!$H:$H,0))&amp;"_ser_0.20_"&amp;TEXT(INDEX(MASTER!$E:$E,MATCH(_xlpm.pos,MASTER!$H:$H,0)),"mmddyy"),""),_xlpm.slot,96+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40" s="4" t="str">
        <f>_xlfn.LET(_xlpm.pos,"CDI plate 4: "&amp;$A7&amp;I$2,_xlpm.normal,IFERROR(INDEX(MASTER!$A:$A,MATCH(_xlpm.pos,MASTER!$H:$H,0))&amp;"_ser_0.20_"&amp;TEXT(INDEX(MASTER!$E:$E,MATCH(_xlpm.pos,MASTER!$H:$H,0)),"mmddyy"),""),_xlpm.slot,96+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40" s="4" t="str">
        <f>_xlfn.LET(_xlpm.pos,"CDI plate 4: "&amp;$A7&amp;J$2,_xlpm.normal,IFERROR(INDEX(MASTER!$A:$A,MATCH(_xlpm.pos,MASTER!$H:$H,0))&amp;"_ser_0.20_"&amp;TEXT(INDEX(MASTER!$E:$E,MATCH(_xlpm.pos,MASTER!$H:$H,0)),"mmddyy"),""),_xlpm.slot,96+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40" s="4" t="str">
        <f>_xlfn.LET(_xlpm.pos,"CDI plate 4: "&amp;$A7&amp;K$2,_xlpm.normal,IFERROR(INDEX(MASTER!$A:$A,MATCH(_xlpm.pos,MASTER!$H:$H,0))&amp;"_ser_0.20_"&amp;TEXT(INDEX(MASTER!$E:$E,MATCH(_xlpm.pos,MASTER!$H:$H,0)),"mmddyy"),""),_xlpm.slot,96+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40" s="4" t="str">
        <f>_xlfn.LET(_xlpm.pos,"CDI plate 4: "&amp;$A7&amp;L$2,_xlpm.normal,IFERROR(INDEX(MASTER!$A:$A,MATCH(_xlpm.pos,MASTER!$H:$H,0))&amp;"_ser_0.20_"&amp;TEXT(INDEX(MASTER!$E:$E,MATCH(_xlpm.pos,MASTER!$H:$H,0)),"mmddyy"),""),_xlpm.slot,96+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40" s="4" t="str">
        <f>_xlfn.LET(_xlpm.pos,"CDI plate 4: "&amp;$A7&amp;M$2,_xlpm.normal,IFERROR(INDEX(MASTER!$A:$A,MATCH(_xlpm.pos,MASTER!$H:$H,0))&amp;"_ser_0.20_"&amp;TEXT(INDEX(MASTER!$E:$E,MATCH(_xlpm.pos,MASTER!$H:$H,0)),"mmddyy"),""),_xlpm.slot,96+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41" spans="1:13" ht="22" customHeight="1" x14ac:dyDescent="0.3">
      <c r="A41" s="6" t="s">
        <v>15</v>
      </c>
      <c r="B41" s="4" t="str">
        <f>_xlfn.LET(_xlpm.pos,"CDI plate 4: "&amp;$A8&amp;B$2,_xlpm.normal,IFERROR(INDEX(MASTER!$A:$A,MATCH(_xlpm.pos,MASTER!$H:$H,0))&amp;"_ser_0.20_"&amp;TEXT(INDEX(MASTER!$E:$E,MATCH(_xlpm.pos,MASTER!$H:$H,0)),"mmddyy"),""),_xlpm.slot,96+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41" s="4" t="str">
        <f>_xlfn.LET(_xlpm.pos,"CDI plate 4: "&amp;$A8&amp;C$2,_xlpm.normal,IFERROR(INDEX(MASTER!$A:$A,MATCH(_xlpm.pos,MASTER!$H:$H,0))&amp;"_ser_0.20_"&amp;TEXT(INDEX(MASTER!$E:$E,MATCH(_xlpm.pos,MASTER!$H:$H,0)),"mmddyy"),""),_xlpm.slot,96+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41" s="4" t="str">
        <f>_xlfn.LET(_xlpm.pos,"CDI plate 4: "&amp;$A8&amp;D$2,_xlpm.normal,IFERROR(INDEX(MASTER!$A:$A,MATCH(_xlpm.pos,MASTER!$H:$H,0))&amp;"_ser_0.20_"&amp;TEXT(INDEX(MASTER!$E:$E,MATCH(_xlpm.pos,MASTER!$H:$H,0)),"mmddyy"),""),_xlpm.slot,96+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41" s="4" t="str">
        <f>_xlfn.LET(_xlpm.pos,"CDI plate 4: "&amp;$A8&amp;E$2,_xlpm.normal,IFERROR(INDEX(MASTER!$A:$A,MATCH(_xlpm.pos,MASTER!$H:$H,0))&amp;"_ser_0.20_"&amp;TEXT(INDEX(MASTER!$E:$E,MATCH(_xlpm.pos,MASTER!$H:$H,0)),"mmddyy"),""),_xlpm.slot,96+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41" s="4" t="str">
        <f>_xlfn.LET(_xlpm.pos,"CDI plate 4: "&amp;$A8&amp;F$2,_xlpm.normal,IFERROR(INDEX(MASTER!$A:$A,MATCH(_xlpm.pos,MASTER!$H:$H,0))&amp;"_ser_0.20_"&amp;TEXT(INDEX(MASTER!$E:$E,MATCH(_xlpm.pos,MASTER!$H:$H,0)),"mmddyy"),""),_xlpm.slot,96+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41" s="4" t="str">
        <f>_xlfn.LET(_xlpm.pos,"CDI plate 4: "&amp;$A8&amp;G$2,_xlpm.normal,IFERROR(INDEX(MASTER!$A:$A,MATCH(_xlpm.pos,MASTER!$H:$H,0))&amp;"_ser_0.20_"&amp;TEXT(INDEX(MASTER!$E:$E,MATCH(_xlpm.pos,MASTER!$H:$H,0)),"mmddyy"),""),_xlpm.slot,96+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41" s="4" t="str">
        <f>_xlfn.LET(_xlpm.pos,"CDI plate 4: "&amp;$A8&amp;H$2,_xlpm.normal,IFERROR(INDEX(MASTER!$A:$A,MATCH(_xlpm.pos,MASTER!$H:$H,0))&amp;"_ser_0.20_"&amp;TEXT(INDEX(MASTER!$E:$E,MATCH(_xlpm.pos,MASTER!$H:$H,0)),"mmddyy"),""),_xlpm.slot,96+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41" s="4" t="str">
        <f>_xlfn.LET(_xlpm.pos,"CDI plate 4: "&amp;$A8&amp;I$2,_xlpm.normal,IFERROR(INDEX(MASTER!$A:$A,MATCH(_xlpm.pos,MASTER!$H:$H,0))&amp;"_ser_0.20_"&amp;TEXT(INDEX(MASTER!$E:$E,MATCH(_xlpm.pos,MASTER!$H:$H,0)),"mmddyy"),""),_xlpm.slot,96+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41" s="4" t="str">
        <f>_xlfn.LET(_xlpm.pos,"CDI plate 4: "&amp;$A8&amp;J$2,_xlpm.normal,IFERROR(INDEX(MASTER!$A:$A,MATCH(_xlpm.pos,MASTER!$H:$H,0))&amp;"_ser_0.20_"&amp;TEXT(INDEX(MASTER!$E:$E,MATCH(_xlpm.pos,MASTER!$H:$H,0)),"mmddyy"),""),_xlpm.slot,96+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41" s="4" t="str">
        <f>_xlfn.LET(_xlpm.pos,"CDI plate 4: "&amp;$A8&amp;K$2,_xlpm.normal,IFERROR(INDEX(MASTER!$A:$A,MATCH(_xlpm.pos,MASTER!$H:$H,0))&amp;"_ser_0.20_"&amp;TEXT(INDEX(MASTER!$E:$E,MATCH(_xlpm.pos,MASTER!$H:$H,0)),"mmddyy"),""),_xlpm.slot,96+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41" s="4" t="str">
        <f>_xlfn.LET(_xlpm.pos,"CDI plate 4: "&amp;$A8&amp;L$2,_xlpm.normal,IFERROR(INDEX(MASTER!$A:$A,MATCH(_xlpm.pos,MASTER!$H:$H,0))&amp;"_ser_0.20_"&amp;TEXT(INDEX(MASTER!$E:$E,MATCH(_xlpm.pos,MASTER!$H:$H,0)),"mmddyy"),""),_xlpm.slot,96+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41" s="4" t="str">
        <f>_xlfn.LET(_xlpm.pos,"CDI plate 4: "&amp;$A8&amp;M$2,_xlpm.normal,IFERROR(INDEX(MASTER!$A:$A,MATCH(_xlpm.pos,MASTER!$H:$H,0))&amp;"_ser_0.20_"&amp;TEXT(INDEX(MASTER!$E:$E,MATCH(_xlpm.pos,MASTER!$H:$H,0)),"mmddyy"),""),_xlpm.slot,96+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42" spans="1:13" ht="22" customHeight="1" x14ac:dyDescent="0.3">
      <c r="A42" s="6" t="s">
        <v>35</v>
      </c>
      <c r="B42" s="4" t="str">
        <f>_xlfn.LET(_xlpm.pos,"CDI plate 4: "&amp;$A9&amp;B$2,_xlpm.normal,IFERROR(INDEX(MASTER!$A:$A,MATCH(_xlpm.pos,MASTER!$H:$H,0))&amp;"_ser_0.20_"&amp;TEXT(INDEX(MASTER!$E:$E,MATCH(_xlpm.pos,MASTER!$H:$H,0)),"mmddyy"),""),_xlpm.slot,96+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42" s="4" t="str">
        <f>_xlfn.LET(_xlpm.pos,"CDI plate 4: "&amp;$A9&amp;C$2,_xlpm.normal,IFERROR(INDEX(MASTER!$A:$A,MATCH(_xlpm.pos,MASTER!$H:$H,0))&amp;"_ser_0.20_"&amp;TEXT(INDEX(MASTER!$E:$E,MATCH(_xlpm.pos,MASTER!$H:$H,0)),"mmddyy"),""),_xlpm.slot,96+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42" s="4" t="str">
        <f>_xlfn.LET(_xlpm.pos,"CDI plate 4: "&amp;$A9&amp;D$2,_xlpm.normal,IFERROR(INDEX(MASTER!$A:$A,MATCH(_xlpm.pos,MASTER!$H:$H,0))&amp;"_ser_0.20_"&amp;TEXT(INDEX(MASTER!$E:$E,MATCH(_xlpm.pos,MASTER!$H:$H,0)),"mmddyy"),""),_xlpm.slot,96+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42" s="4" t="str">
        <f>_xlfn.LET(_xlpm.pos,"CDI plate 4: "&amp;$A9&amp;E$2,_xlpm.normal,IFERROR(INDEX(MASTER!$A:$A,MATCH(_xlpm.pos,MASTER!$H:$H,0))&amp;"_ser_0.20_"&amp;TEXT(INDEX(MASTER!$E:$E,MATCH(_xlpm.pos,MASTER!$H:$H,0)),"mmddyy"),""),_xlpm.slot,96+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42" s="4" t="str">
        <f>_xlfn.LET(_xlpm.pos,"CDI plate 4: "&amp;$A9&amp;F$2,_xlpm.normal,IFERROR(INDEX(MASTER!$A:$A,MATCH(_xlpm.pos,MASTER!$H:$H,0))&amp;"_ser_0.20_"&amp;TEXT(INDEX(MASTER!$E:$E,MATCH(_xlpm.pos,MASTER!$H:$H,0)),"mmddyy"),""),_xlpm.slot,96+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42" s="4" t="str">
        <f>_xlfn.LET(_xlpm.pos,"CDI plate 4: "&amp;$A9&amp;G$2,_xlpm.normal,IFERROR(INDEX(MASTER!$A:$A,MATCH(_xlpm.pos,MASTER!$H:$H,0))&amp;"_ser_0.20_"&amp;TEXT(INDEX(MASTER!$E:$E,MATCH(_xlpm.pos,MASTER!$H:$H,0)),"mmddyy"),""),_xlpm.slot,96+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42" s="4" t="str">
        <f>_xlfn.LET(_xlpm.pos,"CDI plate 4: "&amp;$A9&amp;H$2,_xlpm.normal,IFERROR(INDEX(MASTER!$A:$A,MATCH(_xlpm.pos,MASTER!$H:$H,0))&amp;"_ser_0.20_"&amp;TEXT(INDEX(MASTER!$E:$E,MATCH(_xlpm.pos,MASTER!$H:$H,0)),"mmddyy"),""),_xlpm.slot,96+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42" s="4" t="str">
        <f>_xlfn.LET(_xlpm.pos,"CDI plate 4: "&amp;$A9&amp;I$2,_xlpm.normal,IFERROR(INDEX(MASTER!$A:$A,MATCH(_xlpm.pos,MASTER!$H:$H,0))&amp;"_ser_0.20_"&amp;TEXT(INDEX(MASTER!$E:$E,MATCH(_xlpm.pos,MASTER!$H:$H,0)),"mmddyy"),""),_xlpm.slot,96+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42" s="4" t="str">
        <f>_xlfn.LET(_xlpm.pos,"CDI plate 4: "&amp;$A9&amp;J$2,_xlpm.normal,IFERROR(INDEX(MASTER!$A:$A,MATCH(_xlpm.pos,MASTER!$H:$H,0))&amp;"_ser_0.20_"&amp;TEXT(INDEX(MASTER!$E:$E,MATCH(_xlpm.pos,MASTER!$H:$H,0)),"mmddyy"),""),_xlpm.slot,96+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42" s="4" t="str">
        <f>_xlfn.LET(_xlpm.pos,"CDI plate 4: "&amp;$A9&amp;K$2,_xlpm.normal,IFERROR(INDEX(MASTER!$A:$A,MATCH(_xlpm.pos,MASTER!$H:$H,0))&amp;"_ser_0.20_"&amp;TEXT(INDEX(MASTER!$E:$E,MATCH(_xlpm.pos,MASTER!$H:$H,0)),"mmddyy"),""),_xlpm.slot,96+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42" s="4" t="str">
        <f>_xlfn.LET(_xlpm.pos,"CDI plate 4: "&amp;$A9&amp;L$2,_xlpm.normal,IFERROR(INDEX(MASTER!$A:$A,MATCH(_xlpm.pos,MASTER!$H:$H,0))&amp;"_ser_0.20_"&amp;TEXT(INDEX(MASTER!$E:$E,MATCH(_xlpm.pos,MASTER!$H:$H,0)),"mmddyy"),""),_xlpm.slot,96+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42" s="4" t="str">
        <f>_xlfn.LET(_xlpm.pos,"CDI plate 4: "&amp;$A9&amp;M$2,_xlpm.normal,IFERROR(INDEX(MASTER!$A:$A,MATCH(_xlpm.pos,MASTER!$H:$H,0))&amp;"_ser_0.20_"&amp;TEXT(INDEX(MASTER!$E:$E,MATCH(_xlpm.pos,MASTER!$H:$H,0)),"mmddyy"),""),_xlpm.slot,96+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43" spans="1:13" ht="22" customHeight="1" x14ac:dyDescent="0.3">
      <c r="A43" s="6" t="s">
        <v>36</v>
      </c>
      <c r="B43" s="4" t="str">
        <f>_xlfn.LET(_xlpm.pos,"CDI plate 4: "&amp;$A10&amp;B$2,_xlpm.normal,IFERROR(INDEX(MASTER!$A:$A,MATCH(_xlpm.pos,MASTER!$H:$H,0))&amp;"_ser_0.20_"&amp;TEXT(INDEX(MASTER!$E:$E,MATCH(_xlpm.pos,MASTER!$H:$H,0)),"mmddyy"),""),_xlpm.slot,96+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43" s="4" t="str">
        <f>_xlfn.LET(_xlpm.pos,"CDI plate 4: "&amp;$A10&amp;C$2,_xlpm.normal,IFERROR(INDEX(MASTER!$A:$A,MATCH(_xlpm.pos,MASTER!$H:$H,0))&amp;"_ser_0.20_"&amp;TEXT(INDEX(MASTER!$E:$E,MATCH(_xlpm.pos,MASTER!$H:$H,0)),"mmddyy"),""),_xlpm.slot,96+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43" s="4" t="str">
        <f>_xlfn.LET(_xlpm.pos,"CDI plate 4: "&amp;$A10&amp;D$2,_xlpm.normal,IFERROR(INDEX(MASTER!$A:$A,MATCH(_xlpm.pos,MASTER!$H:$H,0))&amp;"_ser_0.20_"&amp;TEXT(INDEX(MASTER!$E:$E,MATCH(_xlpm.pos,MASTER!$H:$H,0)),"mmddyy"),""),_xlpm.slot,96+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43" s="4" t="str">
        <f>_xlfn.LET(_xlpm.pos,"CDI plate 4: "&amp;$A10&amp;E$2,_xlpm.normal,IFERROR(INDEX(MASTER!$A:$A,MATCH(_xlpm.pos,MASTER!$H:$H,0))&amp;"_ser_0.20_"&amp;TEXT(INDEX(MASTER!$E:$E,MATCH(_xlpm.pos,MASTER!$H:$H,0)),"mmddyy"),""),_xlpm.slot,96+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43" s="4" t="str">
        <f>_xlfn.LET(_xlpm.pos,"CDI plate 4: "&amp;$A10&amp;F$2,_xlpm.normal,IFERROR(INDEX(MASTER!$A:$A,MATCH(_xlpm.pos,MASTER!$H:$H,0))&amp;"_ser_0.20_"&amp;TEXT(INDEX(MASTER!$E:$E,MATCH(_xlpm.pos,MASTER!$H:$H,0)),"mmddyy"),""),_xlpm.slot,96+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43" s="4" t="str">
        <f>_xlfn.LET(_xlpm.pos,"CDI plate 4: "&amp;$A10&amp;G$2,_xlpm.normal,IFERROR(INDEX(MASTER!$A:$A,MATCH(_xlpm.pos,MASTER!$H:$H,0))&amp;"_ser_0.20_"&amp;TEXT(INDEX(MASTER!$E:$E,MATCH(_xlpm.pos,MASTER!$H:$H,0)),"mmddyy"),""),_xlpm.slot,96+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43" s="4" t="str">
        <f>_xlfn.LET(_xlpm.pos,"CDI plate 4: "&amp;$A10&amp;H$2,_xlpm.normal,IFERROR(INDEX(MASTER!$A:$A,MATCH(_xlpm.pos,MASTER!$H:$H,0))&amp;"_ser_0.20_"&amp;TEXT(INDEX(MASTER!$E:$E,MATCH(_xlpm.pos,MASTER!$H:$H,0)),"mmddyy"),""),_xlpm.slot,96+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43" s="4" t="str">
        <f>_xlfn.LET(_xlpm.pos,"CDI plate 4: "&amp;$A10&amp;I$2,_xlpm.normal,IFERROR(INDEX(MASTER!$A:$A,MATCH(_xlpm.pos,MASTER!$H:$H,0))&amp;"_ser_0.20_"&amp;TEXT(INDEX(MASTER!$E:$E,MATCH(_xlpm.pos,MASTER!$H:$H,0)),"mmddyy"),""),_xlpm.slot,96+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43" s="4" t="str">
        <f>_xlfn.LET(_xlpm.pos,"CDI plate 4: "&amp;$A10&amp;J$2,_xlpm.normal,IFERROR(INDEX(MASTER!$A:$A,MATCH(_xlpm.pos,MASTER!$H:$H,0))&amp;"_ser_0.20_"&amp;TEXT(INDEX(MASTER!$E:$E,MATCH(_xlpm.pos,MASTER!$H:$H,0)),"mmddyy"),""),_xlpm.slot,96+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43" s="4" t="str">
        <f>_xlfn.LET(_xlpm.pos,"CDI plate 4: "&amp;$A10&amp;K$2,_xlpm.normal,IFERROR(INDEX(MASTER!$A:$A,MATCH(_xlpm.pos,MASTER!$H:$H,0))&amp;"_ser_0.20_"&amp;TEXT(INDEX(MASTER!$E:$E,MATCH(_xlpm.pos,MASTER!$H:$H,0)),"mmddyy"),""),_xlpm.slot,96+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43" s="4" t="str">
        <f>_xlfn.LET(_xlpm.pos,"CDI plate 4: "&amp;$A10&amp;L$2,_xlpm.normal,IFERROR(INDEX(MASTER!$A:$A,MATCH(_xlpm.pos,MASTER!$H:$H,0))&amp;"_ser_0.20_"&amp;TEXT(INDEX(MASTER!$E:$E,MATCH(_xlpm.pos,MASTER!$H:$H,0)),"mmddyy"),""),_xlpm.slot,96+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43" s="4" t="str">
        <f>_xlfn.LET(_xlpm.pos,"CDI plate 4: "&amp;$A10&amp;M$2,_xlpm.normal,IFERROR(INDEX(MASTER!$A:$A,MATCH(_xlpm.pos,MASTER!$H:$H,0))&amp;"_ser_0.20_"&amp;TEXT(INDEX(MASTER!$E:$E,MATCH(_xlpm.pos,MASTER!$H:$H,0)),"mmddyy"),""),_xlpm.slot,96+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44" spans="1:13" ht="22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 ht="22" customHeight="1" x14ac:dyDescent="0.35">
      <c r="A45" s="5"/>
      <c r="B45" s="31" t="s">
        <v>40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3"/>
    </row>
    <row r="46" spans="1:13" ht="22" customHeight="1" x14ac:dyDescent="0.3">
      <c r="A46" s="5"/>
      <c r="B46" s="6">
        <v>1</v>
      </c>
      <c r="C46" s="6">
        <v>2</v>
      </c>
      <c r="D46" s="6">
        <v>3</v>
      </c>
      <c r="E46" s="6">
        <v>4</v>
      </c>
      <c r="F46" s="6">
        <v>5</v>
      </c>
      <c r="G46" s="6">
        <v>6</v>
      </c>
      <c r="H46" s="6">
        <v>7</v>
      </c>
      <c r="I46" s="6">
        <v>8</v>
      </c>
      <c r="J46" s="6">
        <v>9</v>
      </c>
      <c r="K46" s="6">
        <v>10</v>
      </c>
      <c r="L46" s="6">
        <v>11</v>
      </c>
      <c r="M46" s="6">
        <v>12</v>
      </c>
    </row>
    <row r="47" spans="1:13" ht="22" customHeight="1" x14ac:dyDescent="0.3">
      <c r="A47" s="6" t="s">
        <v>30</v>
      </c>
      <c r="B47" s="4" t="str">
        <f>_xlfn.LET(_xlpm.pos,"CDI plate 5: "&amp;$A3&amp;B$2,_xlpm.normal,IFERROR(INDEX(MASTER!$A:$A,MATCH(_xlpm.pos,MASTER!$H:$H,0))&amp;"_ser_0.20_"&amp;TEXT(INDEX(MASTER!$E:$E,MATCH(_xlpm.pos,MASTER!$H:$H,0)),"mmddyy"),""),_xlpm.slot,96+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47" s="4" t="str">
        <f>_xlfn.LET(_xlpm.pos,"CDI plate 5: "&amp;$A3&amp;C$2,_xlpm.normal,IFERROR(INDEX(MASTER!$A:$A,MATCH(_xlpm.pos,MASTER!$H:$H,0))&amp;"_ser_0.20_"&amp;TEXT(INDEX(MASTER!$E:$E,MATCH(_xlpm.pos,MASTER!$H:$H,0)),"mmddyy"),""),_xlpm.slot,96+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47" s="4" t="str">
        <f>_xlfn.LET(_xlpm.pos,"CDI plate 5: "&amp;$A3&amp;D$2,_xlpm.normal,IFERROR(INDEX(MASTER!$A:$A,MATCH(_xlpm.pos,MASTER!$H:$H,0))&amp;"_ser_0.20_"&amp;TEXT(INDEX(MASTER!$E:$E,MATCH(_xlpm.pos,MASTER!$H:$H,0)),"mmddyy"),""),_xlpm.slot,96+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47" s="4" t="str">
        <f>_xlfn.LET(_xlpm.pos,"CDI plate 5: "&amp;$A3&amp;E$2,_xlpm.normal,IFERROR(INDEX(MASTER!$A:$A,MATCH(_xlpm.pos,MASTER!$H:$H,0))&amp;"_ser_0.20_"&amp;TEXT(INDEX(MASTER!$E:$E,MATCH(_xlpm.pos,MASTER!$H:$H,0)),"mmddyy"),""),_xlpm.slot,96+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47" s="4" t="str">
        <f>_xlfn.LET(_xlpm.pos,"CDI plate 5: "&amp;$A3&amp;F$2,_xlpm.normal,IFERROR(INDEX(MASTER!$A:$A,MATCH(_xlpm.pos,MASTER!$H:$H,0))&amp;"_ser_0.20_"&amp;TEXT(INDEX(MASTER!$E:$E,MATCH(_xlpm.pos,MASTER!$H:$H,0)),"mmddyy"),""),_xlpm.slot,96+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47" s="4" t="str">
        <f>_xlfn.LET(_xlpm.pos,"CDI plate 5: "&amp;$A3&amp;G$2,_xlpm.normal,IFERROR(INDEX(MASTER!$A:$A,MATCH(_xlpm.pos,MASTER!$H:$H,0))&amp;"_ser_0.20_"&amp;TEXT(INDEX(MASTER!$E:$E,MATCH(_xlpm.pos,MASTER!$H:$H,0)),"mmddyy"),""),_xlpm.slot,96+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47" s="4" t="str">
        <f>_xlfn.LET(_xlpm.pos,"CDI plate 5: "&amp;$A3&amp;H$2,_xlpm.normal,IFERROR(INDEX(MASTER!$A:$A,MATCH(_xlpm.pos,MASTER!$H:$H,0))&amp;"_ser_0.20_"&amp;TEXT(INDEX(MASTER!$E:$E,MATCH(_xlpm.pos,MASTER!$H:$H,0)),"mmddyy"),""),_xlpm.slot,96+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47" s="4" t="str">
        <f>_xlfn.LET(_xlpm.pos,"CDI plate 5: "&amp;$A3&amp;I$2,_xlpm.normal,IFERROR(INDEX(MASTER!$A:$A,MATCH(_xlpm.pos,MASTER!$H:$H,0))&amp;"_ser_0.20_"&amp;TEXT(INDEX(MASTER!$E:$E,MATCH(_xlpm.pos,MASTER!$H:$H,0)),"mmddyy"),""),_xlpm.slot,96+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47" s="4" t="str">
        <f>_xlfn.LET(_xlpm.pos,"CDI plate 5: "&amp;$A3&amp;J$2,_xlpm.normal,IFERROR(INDEX(MASTER!$A:$A,MATCH(_xlpm.pos,MASTER!$H:$H,0))&amp;"_ser_0.20_"&amp;TEXT(INDEX(MASTER!$E:$E,MATCH(_xlpm.pos,MASTER!$H:$H,0)),"mmddyy"),""),_xlpm.slot,96+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47" s="4" t="str">
        <f>_xlfn.LET(_xlpm.pos,"CDI plate 5: "&amp;$A3&amp;K$2,_xlpm.normal,IFERROR(INDEX(MASTER!$A:$A,MATCH(_xlpm.pos,MASTER!$H:$H,0))&amp;"_ser_0.20_"&amp;TEXT(INDEX(MASTER!$E:$E,MATCH(_xlpm.pos,MASTER!$H:$H,0)),"mmddyy"),""),_xlpm.slot,96+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47" s="4" t="str">
        <f>_xlfn.LET(_xlpm.pos,"CDI plate 5: "&amp;$A3&amp;L$2,_xlpm.normal,IFERROR(INDEX(MASTER!$A:$A,MATCH(_xlpm.pos,MASTER!$H:$H,0))&amp;"_ser_0.20_"&amp;TEXT(INDEX(MASTER!$E:$E,MATCH(_xlpm.pos,MASTER!$H:$H,0)),"mmddyy"),""),_xlpm.slot,96+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47" s="4" t="str">
        <f>_xlfn.LET(_xlpm.pos,"CDI plate 5: "&amp;$A3&amp;M$2,_xlpm.normal,IFERROR(INDEX(MASTER!$A:$A,MATCH(_xlpm.pos,MASTER!$H:$H,0))&amp;"_ser_0.20_"&amp;TEXT(INDEX(MASTER!$E:$E,MATCH(_xlpm.pos,MASTER!$H:$H,0)),"mmddyy"),""),_xlpm.slot,96+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48" spans="1:13" ht="22" customHeight="1" x14ac:dyDescent="0.3">
      <c r="A48" s="6" t="s">
        <v>31</v>
      </c>
      <c r="B48" s="4" t="str">
        <f>_xlfn.LET(_xlpm.pos,"CDI plate 5: "&amp;$A4&amp;B$2,_xlpm.normal,IFERROR(INDEX(MASTER!$A:$A,MATCH(_xlpm.pos,MASTER!$H:$H,0))&amp;"_ser_0.20_"&amp;TEXT(INDEX(MASTER!$E:$E,MATCH(_xlpm.pos,MASTER!$H:$H,0)),"mmddyy"),""),_xlpm.slot,96+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48" s="4" t="str">
        <f>_xlfn.LET(_xlpm.pos,"CDI plate 5: "&amp;$A4&amp;C$2,_xlpm.normal,IFERROR(INDEX(MASTER!$A:$A,MATCH(_xlpm.pos,MASTER!$H:$H,0))&amp;"_ser_0.20_"&amp;TEXT(INDEX(MASTER!$E:$E,MATCH(_xlpm.pos,MASTER!$H:$H,0)),"mmddyy"),""),_xlpm.slot,96+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48" s="4" t="str">
        <f>_xlfn.LET(_xlpm.pos,"CDI plate 5: "&amp;$A4&amp;D$2,_xlpm.normal,IFERROR(INDEX(MASTER!$A:$A,MATCH(_xlpm.pos,MASTER!$H:$H,0))&amp;"_ser_0.20_"&amp;TEXT(INDEX(MASTER!$E:$E,MATCH(_xlpm.pos,MASTER!$H:$H,0)),"mmddyy"),""),_xlpm.slot,96+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48" s="4" t="str">
        <f>_xlfn.LET(_xlpm.pos,"CDI plate 5: "&amp;$A4&amp;E$2,_xlpm.normal,IFERROR(INDEX(MASTER!$A:$A,MATCH(_xlpm.pos,MASTER!$H:$H,0))&amp;"_ser_0.20_"&amp;TEXT(INDEX(MASTER!$E:$E,MATCH(_xlpm.pos,MASTER!$H:$H,0)),"mmddyy"),""),_xlpm.slot,96+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48" s="4" t="str">
        <f>_xlfn.LET(_xlpm.pos,"CDI plate 5: "&amp;$A4&amp;F$2,_xlpm.normal,IFERROR(INDEX(MASTER!$A:$A,MATCH(_xlpm.pos,MASTER!$H:$H,0))&amp;"_ser_0.20_"&amp;TEXT(INDEX(MASTER!$E:$E,MATCH(_xlpm.pos,MASTER!$H:$H,0)),"mmddyy"),""),_xlpm.slot,96+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48" s="4" t="str">
        <f>_xlfn.LET(_xlpm.pos,"CDI plate 5: "&amp;$A4&amp;G$2,_xlpm.normal,IFERROR(INDEX(MASTER!$A:$A,MATCH(_xlpm.pos,MASTER!$H:$H,0))&amp;"_ser_0.20_"&amp;TEXT(INDEX(MASTER!$E:$E,MATCH(_xlpm.pos,MASTER!$H:$H,0)),"mmddyy"),""),_xlpm.slot,96+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48" s="4" t="str">
        <f>_xlfn.LET(_xlpm.pos,"CDI plate 5: "&amp;$A4&amp;H$2,_xlpm.normal,IFERROR(INDEX(MASTER!$A:$A,MATCH(_xlpm.pos,MASTER!$H:$H,0))&amp;"_ser_0.20_"&amp;TEXT(INDEX(MASTER!$E:$E,MATCH(_xlpm.pos,MASTER!$H:$H,0)),"mmddyy"),""),_xlpm.slot,96+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48" s="4" t="str">
        <f>_xlfn.LET(_xlpm.pos,"CDI plate 5: "&amp;$A4&amp;I$2,_xlpm.normal,IFERROR(INDEX(MASTER!$A:$A,MATCH(_xlpm.pos,MASTER!$H:$H,0))&amp;"_ser_0.20_"&amp;TEXT(INDEX(MASTER!$E:$E,MATCH(_xlpm.pos,MASTER!$H:$H,0)),"mmddyy"),""),_xlpm.slot,96+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48" s="4" t="str">
        <f>_xlfn.LET(_xlpm.pos,"CDI plate 5: "&amp;$A4&amp;J$2,_xlpm.normal,IFERROR(INDEX(MASTER!$A:$A,MATCH(_xlpm.pos,MASTER!$H:$H,0))&amp;"_ser_0.20_"&amp;TEXT(INDEX(MASTER!$E:$E,MATCH(_xlpm.pos,MASTER!$H:$H,0)),"mmddyy"),""),_xlpm.slot,96+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48" s="4" t="str">
        <f>_xlfn.LET(_xlpm.pos,"CDI plate 5: "&amp;$A4&amp;K$2,_xlpm.normal,IFERROR(INDEX(MASTER!$A:$A,MATCH(_xlpm.pos,MASTER!$H:$H,0))&amp;"_ser_0.20_"&amp;TEXT(INDEX(MASTER!$E:$E,MATCH(_xlpm.pos,MASTER!$H:$H,0)),"mmddyy"),""),_xlpm.slot,96+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48" s="4" t="str">
        <f>_xlfn.LET(_xlpm.pos,"CDI plate 5: "&amp;$A4&amp;L$2,_xlpm.normal,IFERROR(INDEX(MASTER!$A:$A,MATCH(_xlpm.pos,MASTER!$H:$H,0))&amp;"_ser_0.20_"&amp;TEXT(INDEX(MASTER!$E:$E,MATCH(_xlpm.pos,MASTER!$H:$H,0)),"mmddyy"),""),_xlpm.slot,96+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48" s="4" t="str">
        <f>_xlfn.LET(_xlpm.pos,"CDI plate 5: "&amp;$A4&amp;M$2,_xlpm.normal,IFERROR(INDEX(MASTER!$A:$A,MATCH(_xlpm.pos,MASTER!$H:$H,0))&amp;"_ser_0.20_"&amp;TEXT(INDEX(MASTER!$E:$E,MATCH(_xlpm.pos,MASTER!$H:$H,0)),"mmddyy"),""),_xlpm.slot,96+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49" spans="1:13" ht="22" customHeight="1" x14ac:dyDescent="0.3">
      <c r="A49" s="6" t="s">
        <v>32</v>
      </c>
      <c r="B49" s="4" t="str">
        <f>_xlfn.LET(_xlpm.pos,"CDI plate 5: "&amp;$A5&amp;B$2,_xlpm.normal,IFERROR(INDEX(MASTER!$A:$A,MATCH(_xlpm.pos,MASTER!$H:$H,0))&amp;"_ser_0.20_"&amp;TEXT(INDEX(MASTER!$E:$E,MATCH(_xlpm.pos,MASTER!$H:$H,0)),"mmddyy"),""),_xlpm.slot,96+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49" s="4" t="str">
        <f>_xlfn.LET(_xlpm.pos,"CDI plate 5: "&amp;$A5&amp;C$2,_xlpm.normal,IFERROR(INDEX(MASTER!$A:$A,MATCH(_xlpm.pos,MASTER!$H:$H,0))&amp;"_ser_0.20_"&amp;TEXT(INDEX(MASTER!$E:$E,MATCH(_xlpm.pos,MASTER!$H:$H,0)),"mmddyy"),""),_xlpm.slot,96+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49" s="4" t="str">
        <f>_xlfn.LET(_xlpm.pos,"CDI plate 5: "&amp;$A5&amp;D$2,_xlpm.normal,IFERROR(INDEX(MASTER!$A:$A,MATCH(_xlpm.pos,MASTER!$H:$H,0))&amp;"_ser_0.20_"&amp;TEXT(INDEX(MASTER!$E:$E,MATCH(_xlpm.pos,MASTER!$H:$H,0)),"mmddyy"),""),_xlpm.slot,96+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49" s="4" t="str">
        <f>_xlfn.LET(_xlpm.pos,"CDI plate 5: "&amp;$A5&amp;E$2,_xlpm.normal,IFERROR(INDEX(MASTER!$A:$A,MATCH(_xlpm.pos,MASTER!$H:$H,0))&amp;"_ser_0.20_"&amp;TEXT(INDEX(MASTER!$E:$E,MATCH(_xlpm.pos,MASTER!$H:$H,0)),"mmddyy"),""),_xlpm.slot,96+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49" s="4" t="str">
        <f>_xlfn.LET(_xlpm.pos,"CDI plate 5: "&amp;$A5&amp;F$2,_xlpm.normal,IFERROR(INDEX(MASTER!$A:$A,MATCH(_xlpm.pos,MASTER!$H:$H,0))&amp;"_ser_0.20_"&amp;TEXT(INDEX(MASTER!$E:$E,MATCH(_xlpm.pos,MASTER!$H:$H,0)),"mmddyy"),""),_xlpm.slot,96+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49" s="4" t="str">
        <f>_xlfn.LET(_xlpm.pos,"CDI plate 5: "&amp;$A5&amp;G$2,_xlpm.normal,IFERROR(INDEX(MASTER!$A:$A,MATCH(_xlpm.pos,MASTER!$H:$H,0))&amp;"_ser_0.20_"&amp;TEXT(INDEX(MASTER!$E:$E,MATCH(_xlpm.pos,MASTER!$H:$H,0)),"mmddyy"),""),_xlpm.slot,96+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49" s="4" t="str">
        <f>_xlfn.LET(_xlpm.pos,"CDI plate 5: "&amp;$A5&amp;H$2,_xlpm.normal,IFERROR(INDEX(MASTER!$A:$A,MATCH(_xlpm.pos,MASTER!$H:$H,0))&amp;"_ser_0.20_"&amp;TEXT(INDEX(MASTER!$E:$E,MATCH(_xlpm.pos,MASTER!$H:$H,0)),"mmddyy"),""),_xlpm.slot,96+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49" s="4" t="str">
        <f>_xlfn.LET(_xlpm.pos,"CDI plate 5: "&amp;$A5&amp;I$2,_xlpm.normal,IFERROR(INDEX(MASTER!$A:$A,MATCH(_xlpm.pos,MASTER!$H:$H,0))&amp;"_ser_0.20_"&amp;TEXT(INDEX(MASTER!$E:$E,MATCH(_xlpm.pos,MASTER!$H:$H,0)),"mmddyy"),""),_xlpm.slot,96+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49" s="4" t="str">
        <f>_xlfn.LET(_xlpm.pos,"CDI plate 5: "&amp;$A5&amp;J$2,_xlpm.normal,IFERROR(INDEX(MASTER!$A:$A,MATCH(_xlpm.pos,MASTER!$H:$H,0))&amp;"_ser_0.20_"&amp;TEXT(INDEX(MASTER!$E:$E,MATCH(_xlpm.pos,MASTER!$H:$H,0)),"mmddyy"),""),_xlpm.slot,96+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49" s="4" t="str">
        <f>_xlfn.LET(_xlpm.pos,"CDI plate 5: "&amp;$A5&amp;K$2,_xlpm.normal,IFERROR(INDEX(MASTER!$A:$A,MATCH(_xlpm.pos,MASTER!$H:$H,0))&amp;"_ser_0.20_"&amp;TEXT(INDEX(MASTER!$E:$E,MATCH(_xlpm.pos,MASTER!$H:$H,0)),"mmddyy"),""),_xlpm.slot,96+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49" s="4" t="str">
        <f>_xlfn.LET(_xlpm.pos,"CDI plate 5: "&amp;$A5&amp;L$2,_xlpm.normal,IFERROR(INDEX(MASTER!$A:$A,MATCH(_xlpm.pos,MASTER!$H:$H,0))&amp;"_ser_0.20_"&amp;TEXT(INDEX(MASTER!$E:$E,MATCH(_xlpm.pos,MASTER!$H:$H,0)),"mmddyy"),""),_xlpm.slot,96+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49" s="4" t="str">
        <f>_xlfn.LET(_xlpm.pos,"CDI plate 5: "&amp;$A5&amp;M$2,_xlpm.normal,IFERROR(INDEX(MASTER!$A:$A,MATCH(_xlpm.pos,MASTER!$H:$H,0))&amp;"_ser_0.20_"&amp;TEXT(INDEX(MASTER!$E:$E,MATCH(_xlpm.pos,MASTER!$H:$H,0)),"mmddyy"),""),_xlpm.slot,96+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50" spans="1:13" ht="22" customHeight="1" x14ac:dyDescent="0.3">
      <c r="A50" s="6" t="s">
        <v>33</v>
      </c>
      <c r="B50" s="4" t="str">
        <f>_xlfn.LET(_xlpm.pos,"CDI plate 5: "&amp;$A6&amp;B$2,_xlpm.normal,IFERROR(INDEX(MASTER!$A:$A,MATCH(_xlpm.pos,MASTER!$H:$H,0))&amp;"_ser_0.20_"&amp;TEXT(INDEX(MASTER!$E:$E,MATCH(_xlpm.pos,MASTER!$H:$H,0)),"mmddyy"),""),_xlpm.slot,96+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50" s="4" t="str">
        <f>_xlfn.LET(_xlpm.pos,"CDI plate 5: "&amp;$A6&amp;C$2,_xlpm.normal,IFERROR(INDEX(MASTER!$A:$A,MATCH(_xlpm.pos,MASTER!$H:$H,0))&amp;"_ser_0.20_"&amp;TEXT(INDEX(MASTER!$E:$E,MATCH(_xlpm.pos,MASTER!$H:$H,0)),"mmddyy"),""),_xlpm.slot,96+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50" s="4" t="str">
        <f>_xlfn.LET(_xlpm.pos,"CDI plate 5: "&amp;$A6&amp;D$2,_xlpm.normal,IFERROR(INDEX(MASTER!$A:$A,MATCH(_xlpm.pos,MASTER!$H:$H,0))&amp;"_ser_0.20_"&amp;TEXT(INDEX(MASTER!$E:$E,MATCH(_xlpm.pos,MASTER!$H:$H,0)),"mmddyy"),""),_xlpm.slot,96+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50" s="4" t="str">
        <f>_xlfn.LET(_xlpm.pos,"CDI plate 5: "&amp;$A6&amp;E$2,_xlpm.normal,IFERROR(INDEX(MASTER!$A:$A,MATCH(_xlpm.pos,MASTER!$H:$H,0))&amp;"_ser_0.20_"&amp;TEXT(INDEX(MASTER!$E:$E,MATCH(_xlpm.pos,MASTER!$H:$H,0)),"mmddyy"),""),_xlpm.slot,96+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50" s="4" t="str">
        <f>_xlfn.LET(_xlpm.pos,"CDI plate 5: "&amp;$A6&amp;F$2,_xlpm.normal,IFERROR(INDEX(MASTER!$A:$A,MATCH(_xlpm.pos,MASTER!$H:$H,0))&amp;"_ser_0.20_"&amp;TEXT(INDEX(MASTER!$E:$E,MATCH(_xlpm.pos,MASTER!$H:$H,0)),"mmddyy"),""),_xlpm.slot,96+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50" s="4" t="str">
        <f>_xlfn.LET(_xlpm.pos,"CDI plate 5: "&amp;$A6&amp;G$2,_xlpm.normal,IFERROR(INDEX(MASTER!$A:$A,MATCH(_xlpm.pos,MASTER!$H:$H,0))&amp;"_ser_0.20_"&amp;TEXT(INDEX(MASTER!$E:$E,MATCH(_xlpm.pos,MASTER!$H:$H,0)),"mmddyy"),""),_xlpm.slot,96+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50" s="4" t="str">
        <f>_xlfn.LET(_xlpm.pos,"CDI plate 5: "&amp;$A6&amp;H$2,_xlpm.normal,IFERROR(INDEX(MASTER!$A:$A,MATCH(_xlpm.pos,MASTER!$H:$H,0))&amp;"_ser_0.20_"&amp;TEXT(INDEX(MASTER!$E:$E,MATCH(_xlpm.pos,MASTER!$H:$H,0)),"mmddyy"),""),_xlpm.slot,96+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50" s="4" t="str">
        <f>_xlfn.LET(_xlpm.pos,"CDI plate 5: "&amp;$A6&amp;I$2,_xlpm.normal,IFERROR(INDEX(MASTER!$A:$A,MATCH(_xlpm.pos,MASTER!$H:$H,0))&amp;"_ser_0.20_"&amp;TEXT(INDEX(MASTER!$E:$E,MATCH(_xlpm.pos,MASTER!$H:$H,0)),"mmddyy"),""),_xlpm.slot,96+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50" s="4" t="str">
        <f>_xlfn.LET(_xlpm.pos,"CDI plate 5: "&amp;$A6&amp;J$2,_xlpm.normal,IFERROR(INDEX(MASTER!$A:$A,MATCH(_xlpm.pos,MASTER!$H:$H,0))&amp;"_ser_0.20_"&amp;TEXT(INDEX(MASTER!$E:$E,MATCH(_xlpm.pos,MASTER!$H:$H,0)),"mmddyy"),""),_xlpm.slot,96+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50" s="4" t="str">
        <f>_xlfn.LET(_xlpm.pos,"CDI plate 5: "&amp;$A6&amp;K$2,_xlpm.normal,IFERROR(INDEX(MASTER!$A:$A,MATCH(_xlpm.pos,MASTER!$H:$H,0))&amp;"_ser_0.20_"&amp;TEXT(INDEX(MASTER!$E:$E,MATCH(_xlpm.pos,MASTER!$H:$H,0)),"mmddyy"),""),_xlpm.slot,96+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50" s="4" t="str">
        <f>_xlfn.LET(_xlpm.pos,"CDI plate 5: "&amp;$A6&amp;L$2,_xlpm.normal,IFERROR(INDEX(MASTER!$A:$A,MATCH(_xlpm.pos,MASTER!$H:$H,0))&amp;"_ser_0.20_"&amp;TEXT(INDEX(MASTER!$E:$E,MATCH(_xlpm.pos,MASTER!$H:$H,0)),"mmddyy"),""),_xlpm.slot,96+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50" s="4" t="str">
        <f>_xlfn.LET(_xlpm.pos,"CDI plate 5: "&amp;$A6&amp;M$2,_xlpm.normal,IFERROR(INDEX(MASTER!$A:$A,MATCH(_xlpm.pos,MASTER!$H:$H,0))&amp;"_ser_0.20_"&amp;TEXT(INDEX(MASTER!$E:$E,MATCH(_xlpm.pos,MASTER!$H:$H,0)),"mmddyy"),""),_xlpm.slot,96+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51" spans="1:13" ht="22" customHeight="1" x14ac:dyDescent="0.3">
      <c r="A51" s="6" t="s">
        <v>34</v>
      </c>
      <c r="B51" s="4" t="str">
        <f>_xlfn.LET(_xlpm.pos,"CDI plate 5: "&amp;$A7&amp;B$2,_xlpm.normal,IFERROR(INDEX(MASTER!$A:$A,MATCH(_xlpm.pos,MASTER!$H:$H,0))&amp;"_ser_0.20_"&amp;TEXT(INDEX(MASTER!$E:$E,MATCH(_xlpm.pos,MASTER!$H:$H,0)),"mmddyy"),""),_xlpm.slot,96+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51" s="4" t="str">
        <f>_xlfn.LET(_xlpm.pos,"CDI plate 5: "&amp;$A7&amp;C$2,_xlpm.normal,IFERROR(INDEX(MASTER!$A:$A,MATCH(_xlpm.pos,MASTER!$H:$H,0))&amp;"_ser_0.20_"&amp;TEXT(INDEX(MASTER!$E:$E,MATCH(_xlpm.pos,MASTER!$H:$H,0)),"mmddyy"),""),_xlpm.slot,96+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51" s="4" t="str">
        <f>_xlfn.LET(_xlpm.pos,"CDI plate 5: "&amp;$A7&amp;D$2,_xlpm.normal,IFERROR(INDEX(MASTER!$A:$A,MATCH(_xlpm.pos,MASTER!$H:$H,0))&amp;"_ser_0.20_"&amp;TEXT(INDEX(MASTER!$E:$E,MATCH(_xlpm.pos,MASTER!$H:$H,0)),"mmddyy"),""),_xlpm.slot,96+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51" s="4" t="str">
        <f>_xlfn.LET(_xlpm.pos,"CDI plate 5: "&amp;$A7&amp;E$2,_xlpm.normal,IFERROR(INDEX(MASTER!$A:$A,MATCH(_xlpm.pos,MASTER!$H:$H,0))&amp;"_ser_0.20_"&amp;TEXT(INDEX(MASTER!$E:$E,MATCH(_xlpm.pos,MASTER!$H:$H,0)),"mmddyy"),""),_xlpm.slot,96+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51" s="4" t="str">
        <f>_xlfn.LET(_xlpm.pos,"CDI plate 5: "&amp;$A7&amp;F$2,_xlpm.normal,IFERROR(INDEX(MASTER!$A:$A,MATCH(_xlpm.pos,MASTER!$H:$H,0))&amp;"_ser_0.20_"&amp;TEXT(INDEX(MASTER!$E:$E,MATCH(_xlpm.pos,MASTER!$H:$H,0)),"mmddyy"),""),_xlpm.slot,96+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51" s="4" t="str">
        <f>_xlfn.LET(_xlpm.pos,"CDI plate 5: "&amp;$A7&amp;G$2,_xlpm.normal,IFERROR(INDEX(MASTER!$A:$A,MATCH(_xlpm.pos,MASTER!$H:$H,0))&amp;"_ser_0.20_"&amp;TEXT(INDEX(MASTER!$E:$E,MATCH(_xlpm.pos,MASTER!$H:$H,0)),"mmddyy"),""),_xlpm.slot,96+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51" s="4" t="str">
        <f>_xlfn.LET(_xlpm.pos,"CDI plate 5: "&amp;$A7&amp;H$2,_xlpm.normal,IFERROR(INDEX(MASTER!$A:$A,MATCH(_xlpm.pos,MASTER!$H:$H,0))&amp;"_ser_0.20_"&amp;TEXT(INDEX(MASTER!$E:$E,MATCH(_xlpm.pos,MASTER!$H:$H,0)),"mmddyy"),""),_xlpm.slot,96+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51" s="4" t="str">
        <f>_xlfn.LET(_xlpm.pos,"CDI plate 5: "&amp;$A7&amp;I$2,_xlpm.normal,IFERROR(INDEX(MASTER!$A:$A,MATCH(_xlpm.pos,MASTER!$H:$H,0))&amp;"_ser_0.20_"&amp;TEXT(INDEX(MASTER!$E:$E,MATCH(_xlpm.pos,MASTER!$H:$H,0)),"mmddyy"),""),_xlpm.slot,96+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51" s="4" t="str">
        <f>_xlfn.LET(_xlpm.pos,"CDI plate 5: "&amp;$A7&amp;J$2,_xlpm.normal,IFERROR(INDEX(MASTER!$A:$A,MATCH(_xlpm.pos,MASTER!$H:$H,0))&amp;"_ser_0.20_"&amp;TEXT(INDEX(MASTER!$E:$E,MATCH(_xlpm.pos,MASTER!$H:$H,0)),"mmddyy"),""),_xlpm.slot,96+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51" s="4" t="str">
        <f>_xlfn.LET(_xlpm.pos,"CDI plate 5: "&amp;$A7&amp;K$2,_xlpm.normal,IFERROR(INDEX(MASTER!$A:$A,MATCH(_xlpm.pos,MASTER!$H:$H,0))&amp;"_ser_0.20_"&amp;TEXT(INDEX(MASTER!$E:$E,MATCH(_xlpm.pos,MASTER!$H:$H,0)),"mmddyy"),""),_xlpm.slot,96+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51" s="4" t="str">
        <f>_xlfn.LET(_xlpm.pos,"CDI plate 5: "&amp;$A7&amp;L$2,_xlpm.normal,IFERROR(INDEX(MASTER!$A:$A,MATCH(_xlpm.pos,MASTER!$H:$H,0))&amp;"_ser_0.20_"&amp;TEXT(INDEX(MASTER!$E:$E,MATCH(_xlpm.pos,MASTER!$H:$H,0)),"mmddyy"),""),_xlpm.slot,96+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51" s="4" t="str">
        <f>_xlfn.LET(_xlpm.pos,"CDI plate 5: "&amp;$A7&amp;M$2,_xlpm.normal,IFERROR(INDEX(MASTER!$A:$A,MATCH(_xlpm.pos,MASTER!$H:$H,0))&amp;"_ser_0.20_"&amp;TEXT(INDEX(MASTER!$E:$E,MATCH(_xlpm.pos,MASTER!$H:$H,0)),"mmddyy"),""),_xlpm.slot,96+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52" spans="1:13" ht="22" customHeight="1" x14ac:dyDescent="0.3">
      <c r="A52" s="6" t="s">
        <v>15</v>
      </c>
      <c r="B52" s="4" t="str">
        <f>_xlfn.LET(_xlpm.pos,"CDI plate 5: "&amp;$A8&amp;B$2,_xlpm.normal,IFERROR(INDEX(MASTER!$A:$A,MATCH(_xlpm.pos,MASTER!$H:$H,0))&amp;"_ser_0.20_"&amp;TEXT(INDEX(MASTER!$E:$E,MATCH(_xlpm.pos,MASTER!$H:$H,0)),"mmddyy"),""),_xlpm.slot,96+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52" s="4" t="str">
        <f>_xlfn.LET(_xlpm.pos,"CDI plate 5: "&amp;$A8&amp;C$2,_xlpm.normal,IFERROR(INDEX(MASTER!$A:$A,MATCH(_xlpm.pos,MASTER!$H:$H,0))&amp;"_ser_0.20_"&amp;TEXT(INDEX(MASTER!$E:$E,MATCH(_xlpm.pos,MASTER!$H:$H,0)),"mmddyy"),""),_xlpm.slot,96+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52" s="4" t="str">
        <f>_xlfn.LET(_xlpm.pos,"CDI plate 5: "&amp;$A8&amp;D$2,_xlpm.normal,IFERROR(INDEX(MASTER!$A:$A,MATCH(_xlpm.pos,MASTER!$H:$H,0))&amp;"_ser_0.20_"&amp;TEXT(INDEX(MASTER!$E:$E,MATCH(_xlpm.pos,MASTER!$H:$H,0)),"mmddyy"),""),_xlpm.slot,96+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52" s="4" t="str">
        <f>_xlfn.LET(_xlpm.pos,"CDI plate 5: "&amp;$A8&amp;E$2,_xlpm.normal,IFERROR(INDEX(MASTER!$A:$A,MATCH(_xlpm.pos,MASTER!$H:$H,0))&amp;"_ser_0.20_"&amp;TEXT(INDEX(MASTER!$E:$E,MATCH(_xlpm.pos,MASTER!$H:$H,0)),"mmddyy"),""),_xlpm.slot,96+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52" s="4" t="str">
        <f>_xlfn.LET(_xlpm.pos,"CDI plate 5: "&amp;$A8&amp;F$2,_xlpm.normal,IFERROR(INDEX(MASTER!$A:$A,MATCH(_xlpm.pos,MASTER!$H:$H,0))&amp;"_ser_0.20_"&amp;TEXT(INDEX(MASTER!$E:$E,MATCH(_xlpm.pos,MASTER!$H:$H,0)),"mmddyy"),""),_xlpm.slot,96+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52" s="4" t="str">
        <f>_xlfn.LET(_xlpm.pos,"CDI plate 5: "&amp;$A8&amp;G$2,_xlpm.normal,IFERROR(INDEX(MASTER!$A:$A,MATCH(_xlpm.pos,MASTER!$H:$H,0))&amp;"_ser_0.20_"&amp;TEXT(INDEX(MASTER!$E:$E,MATCH(_xlpm.pos,MASTER!$H:$H,0)),"mmddyy"),""),_xlpm.slot,96+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52" s="4" t="str">
        <f>_xlfn.LET(_xlpm.pos,"CDI plate 5: "&amp;$A8&amp;H$2,_xlpm.normal,IFERROR(INDEX(MASTER!$A:$A,MATCH(_xlpm.pos,MASTER!$H:$H,0))&amp;"_ser_0.20_"&amp;TEXT(INDEX(MASTER!$E:$E,MATCH(_xlpm.pos,MASTER!$H:$H,0)),"mmddyy"),""),_xlpm.slot,96+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52" s="4" t="str">
        <f>_xlfn.LET(_xlpm.pos,"CDI plate 5: "&amp;$A8&amp;I$2,_xlpm.normal,IFERROR(INDEX(MASTER!$A:$A,MATCH(_xlpm.pos,MASTER!$H:$H,0))&amp;"_ser_0.20_"&amp;TEXT(INDEX(MASTER!$E:$E,MATCH(_xlpm.pos,MASTER!$H:$H,0)),"mmddyy"),""),_xlpm.slot,96+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52" s="4" t="str">
        <f>_xlfn.LET(_xlpm.pos,"CDI plate 5: "&amp;$A8&amp;J$2,_xlpm.normal,IFERROR(INDEX(MASTER!$A:$A,MATCH(_xlpm.pos,MASTER!$H:$H,0))&amp;"_ser_0.20_"&amp;TEXT(INDEX(MASTER!$E:$E,MATCH(_xlpm.pos,MASTER!$H:$H,0)),"mmddyy"),""),_xlpm.slot,96+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52" s="4" t="str">
        <f>_xlfn.LET(_xlpm.pos,"CDI plate 5: "&amp;$A8&amp;K$2,_xlpm.normal,IFERROR(INDEX(MASTER!$A:$A,MATCH(_xlpm.pos,MASTER!$H:$H,0))&amp;"_ser_0.20_"&amp;TEXT(INDEX(MASTER!$E:$E,MATCH(_xlpm.pos,MASTER!$H:$H,0)),"mmddyy"),""),_xlpm.slot,96+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52" s="4" t="str">
        <f>_xlfn.LET(_xlpm.pos,"CDI plate 5: "&amp;$A8&amp;L$2,_xlpm.normal,IFERROR(INDEX(MASTER!$A:$A,MATCH(_xlpm.pos,MASTER!$H:$H,0))&amp;"_ser_0.20_"&amp;TEXT(INDEX(MASTER!$E:$E,MATCH(_xlpm.pos,MASTER!$H:$H,0)),"mmddyy"),""),_xlpm.slot,96+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52" s="4" t="str">
        <f>_xlfn.LET(_xlpm.pos,"CDI plate 5: "&amp;$A8&amp;M$2,_xlpm.normal,IFERROR(INDEX(MASTER!$A:$A,MATCH(_xlpm.pos,MASTER!$H:$H,0))&amp;"_ser_0.20_"&amp;TEXT(INDEX(MASTER!$E:$E,MATCH(_xlpm.pos,MASTER!$H:$H,0)),"mmddyy"),""),_xlpm.slot,96+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53" spans="1:13" ht="22" customHeight="1" x14ac:dyDescent="0.3">
      <c r="A53" s="6" t="s">
        <v>35</v>
      </c>
      <c r="B53" s="4" t="str">
        <f>_xlfn.LET(_xlpm.pos,"CDI plate 5: "&amp;$A9&amp;B$2,_xlpm.normal,IFERROR(INDEX(MASTER!$A:$A,MATCH(_xlpm.pos,MASTER!$H:$H,0))&amp;"_ser_0.20_"&amp;TEXT(INDEX(MASTER!$E:$E,MATCH(_xlpm.pos,MASTER!$H:$H,0)),"mmddyy"),""),_xlpm.slot,96+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53" s="4" t="str">
        <f>_xlfn.LET(_xlpm.pos,"CDI plate 5: "&amp;$A9&amp;C$2,_xlpm.normal,IFERROR(INDEX(MASTER!$A:$A,MATCH(_xlpm.pos,MASTER!$H:$H,0))&amp;"_ser_0.20_"&amp;TEXT(INDEX(MASTER!$E:$E,MATCH(_xlpm.pos,MASTER!$H:$H,0)),"mmddyy"),""),_xlpm.slot,96+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53" s="4" t="str">
        <f>_xlfn.LET(_xlpm.pos,"CDI plate 5: "&amp;$A9&amp;D$2,_xlpm.normal,IFERROR(INDEX(MASTER!$A:$A,MATCH(_xlpm.pos,MASTER!$H:$H,0))&amp;"_ser_0.20_"&amp;TEXT(INDEX(MASTER!$E:$E,MATCH(_xlpm.pos,MASTER!$H:$H,0)),"mmddyy"),""),_xlpm.slot,96+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53" s="4" t="str">
        <f>_xlfn.LET(_xlpm.pos,"CDI plate 5: "&amp;$A9&amp;E$2,_xlpm.normal,IFERROR(INDEX(MASTER!$A:$A,MATCH(_xlpm.pos,MASTER!$H:$H,0))&amp;"_ser_0.20_"&amp;TEXT(INDEX(MASTER!$E:$E,MATCH(_xlpm.pos,MASTER!$H:$H,0)),"mmddyy"),""),_xlpm.slot,96+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53" s="4" t="str">
        <f>_xlfn.LET(_xlpm.pos,"CDI plate 5: "&amp;$A9&amp;F$2,_xlpm.normal,IFERROR(INDEX(MASTER!$A:$A,MATCH(_xlpm.pos,MASTER!$H:$H,0))&amp;"_ser_0.20_"&amp;TEXT(INDEX(MASTER!$E:$E,MATCH(_xlpm.pos,MASTER!$H:$H,0)),"mmddyy"),""),_xlpm.slot,96+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53" s="4" t="str">
        <f>_xlfn.LET(_xlpm.pos,"CDI plate 5: "&amp;$A9&amp;G$2,_xlpm.normal,IFERROR(INDEX(MASTER!$A:$A,MATCH(_xlpm.pos,MASTER!$H:$H,0))&amp;"_ser_0.20_"&amp;TEXT(INDEX(MASTER!$E:$E,MATCH(_xlpm.pos,MASTER!$H:$H,0)),"mmddyy"),""),_xlpm.slot,96+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53" s="4" t="str">
        <f>_xlfn.LET(_xlpm.pos,"CDI plate 5: "&amp;$A9&amp;H$2,_xlpm.normal,IFERROR(INDEX(MASTER!$A:$A,MATCH(_xlpm.pos,MASTER!$H:$H,0))&amp;"_ser_0.20_"&amp;TEXT(INDEX(MASTER!$E:$E,MATCH(_xlpm.pos,MASTER!$H:$H,0)),"mmddyy"),""),_xlpm.slot,96+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53" s="4" t="str">
        <f>_xlfn.LET(_xlpm.pos,"CDI plate 5: "&amp;$A9&amp;I$2,_xlpm.normal,IFERROR(INDEX(MASTER!$A:$A,MATCH(_xlpm.pos,MASTER!$H:$H,0))&amp;"_ser_0.20_"&amp;TEXT(INDEX(MASTER!$E:$E,MATCH(_xlpm.pos,MASTER!$H:$H,0)),"mmddyy"),""),_xlpm.slot,96+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53" s="4" t="str">
        <f>_xlfn.LET(_xlpm.pos,"CDI plate 5: "&amp;$A9&amp;J$2,_xlpm.normal,IFERROR(INDEX(MASTER!$A:$A,MATCH(_xlpm.pos,MASTER!$H:$H,0))&amp;"_ser_0.20_"&amp;TEXT(INDEX(MASTER!$E:$E,MATCH(_xlpm.pos,MASTER!$H:$H,0)),"mmddyy"),""),_xlpm.slot,96+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53" s="4" t="str">
        <f>_xlfn.LET(_xlpm.pos,"CDI plate 5: "&amp;$A9&amp;K$2,_xlpm.normal,IFERROR(INDEX(MASTER!$A:$A,MATCH(_xlpm.pos,MASTER!$H:$H,0))&amp;"_ser_0.20_"&amp;TEXT(INDEX(MASTER!$E:$E,MATCH(_xlpm.pos,MASTER!$H:$H,0)),"mmddyy"),""),_xlpm.slot,96+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53" s="4" t="str">
        <f>_xlfn.LET(_xlpm.pos,"CDI plate 5: "&amp;$A9&amp;L$2,_xlpm.normal,IFERROR(INDEX(MASTER!$A:$A,MATCH(_xlpm.pos,MASTER!$H:$H,0))&amp;"_ser_0.20_"&amp;TEXT(INDEX(MASTER!$E:$E,MATCH(_xlpm.pos,MASTER!$H:$H,0)),"mmddyy"),""),_xlpm.slot,96+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53" s="4" t="str">
        <f>_xlfn.LET(_xlpm.pos,"CDI plate 5: "&amp;$A9&amp;M$2,_xlpm.normal,IFERROR(INDEX(MASTER!$A:$A,MATCH(_xlpm.pos,MASTER!$H:$H,0))&amp;"_ser_0.20_"&amp;TEXT(INDEX(MASTER!$E:$E,MATCH(_xlpm.pos,MASTER!$H:$H,0)),"mmddyy"),""),_xlpm.slot,96+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54" spans="1:13" ht="22" customHeight="1" x14ac:dyDescent="0.3">
      <c r="A54" s="6" t="s">
        <v>36</v>
      </c>
      <c r="B54" s="4" t="str">
        <f>_xlfn.LET(_xlpm.pos,"CDI plate 5: "&amp;$A10&amp;B$2,_xlpm.normal,IFERROR(INDEX(MASTER!$A:$A,MATCH(_xlpm.pos,MASTER!$H:$H,0))&amp;"_ser_0.20_"&amp;TEXT(INDEX(MASTER!$E:$E,MATCH(_xlpm.pos,MASTER!$H:$H,0)),"mmddyy"),""),_xlpm.slot,96+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54" s="4" t="str">
        <f>_xlfn.LET(_xlpm.pos,"CDI plate 5: "&amp;$A10&amp;C$2,_xlpm.normal,IFERROR(INDEX(MASTER!$A:$A,MATCH(_xlpm.pos,MASTER!$H:$H,0))&amp;"_ser_0.20_"&amp;TEXT(INDEX(MASTER!$E:$E,MATCH(_xlpm.pos,MASTER!$H:$H,0)),"mmddyy"),""),_xlpm.slot,96+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54" s="4" t="str">
        <f>_xlfn.LET(_xlpm.pos,"CDI plate 5: "&amp;$A10&amp;D$2,_xlpm.normal,IFERROR(INDEX(MASTER!$A:$A,MATCH(_xlpm.pos,MASTER!$H:$H,0))&amp;"_ser_0.20_"&amp;TEXT(INDEX(MASTER!$E:$E,MATCH(_xlpm.pos,MASTER!$H:$H,0)),"mmddyy"),""),_xlpm.slot,96+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54" s="4" t="str">
        <f>_xlfn.LET(_xlpm.pos,"CDI plate 5: "&amp;$A10&amp;E$2,_xlpm.normal,IFERROR(INDEX(MASTER!$A:$A,MATCH(_xlpm.pos,MASTER!$H:$H,0))&amp;"_ser_0.20_"&amp;TEXT(INDEX(MASTER!$E:$E,MATCH(_xlpm.pos,MASTER!$H:$H,0)),"mmddyy"),""),_xlpm.slot,96+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54" s="4" t="str">
        <f>_xlfn.LET(_xlpm.pos,"CDI plate 5: "&amp;$A10&amp;F$2,_xlpm.normal,IFERROR(INDEX(MASTER!$A:$A,MATCH(_xlpm.pos,MASTER!$H:$H,0))&amp;"_ser_0.20_"&amp;TEXT(INDEX(MASTER!$E:$E,MATCH(_xlpm.pos,MASTER!$H:$H,0)),"mmddyy"),""),_xlpm.slot,96+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54" s="4" t="str">
        <f>_xlfn.LET(_xlpm.pos,"CDI plate 5: "&amp;$A10&amp;G$2,_xlpm.normal,IFERROR(INDEX(MASTER!$A:$A,MATCH(_xlpm.pos,MASTER!$H:$H,0))&amp;"_ser_0.20_"&amp;TEXT(INDEX(MASTER!$E:$E,MATCH(_xlpm.pos,MASTER!$H:$H,0)),"mmddyy"),""),_xlpm.slot,96+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54" s="4" t="str">
        <f>_xlfn.LET(_xlpm.pos,"CDI plate 5: "&amp;$A10&amp;H$2,_xlpm.normal,IFERROR(INDEX(MASTER!$A:$A,MATCH(_xlpm.pos,MASTER!$H:$H,0))&amp;"_ser_0.20_"&amp;TEXT(INDEX(MASTER!$E:$E,MATCH(_xlpm.pos,MASTER!$H:$H,0)),"mmddyy"),""),_xlpm.slot,96+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54" s="4" t="str">
        <f>_xlfn.LET(_xlpm.pos,"CDI plate 5: "&amp;$A10&amp;I$2,_xlpm.normal,IFERROR(INDEX(MASTER!$A:$A,MATCH(_xlpm.pos,MASTER!$H:$H,0))&amp;"_ser_0.20_"&amp;TEXT(INDEX(MASTER!$E:$E,MATCH(_xlpm.pos,MASTER!$H:$H,0)),"mmddyy"),""),_xlpm.slot,96+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54" s="4" t="str">
        <f>_xlfn.LET(_xlpm.pos,"CDI plate 5: "&amp;$A10&amp;J$2,_xlpm.normal,IFERROR(INDEX(MASTER!$A:$A,MATCH(_xlpm.pos,MASTER!$H:$H,0))&amp;"_ser_0.20_"&amp;TEXT(INDEX(MASTER!$E:$E,MATCH(_xlpm.pos,MASTER!$H:$H,0)),"mmddyy"),""),_xlpm.slot,96+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54" s="4" t="str">
        <f>_xlfn.LET(_xlpm.pos,"CDI plate 5: "&amp;$A10&amp;K$2,_xlpm.normal,IFERROR(INDEX(MASTER!$A:$A,MATCH(_xlpm.pos,MASTER!$H:$H,0))&amp;"_ser_0.20_"&amp;TEXT(INDEX(MASTER!$E:$E,MATCH(_xlpm.pos,MASTER!$H:$H,0)),"mmddyy"),""),_xlpm.slot,96+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54" s="4" t="str">
        <f>_xlfn.LET(_xlpm.pos,"CDI plate 5: "&amp;$A10&amp;L$2,_xlpm.normal,IFERROR(INDEX(MASTER!$A:$A,MATCH(_xlpm.pos,MASTER!$H:$H,0))&amp;"_ser_0.20_"&amp;TEXT(INDEX(MASTER!$E:$E,MATCH(_xlpm.pos,MASTER!$H:$H,0)),"mmddyy"),""),_xlpm.slot,96+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54" s="4" t="str">
        <f>_xlfn.LET(_xlpm.pos,"CDI plate 5: "&amp;$A10&amp;M$2,_xlpm.normal,IFERROR(INDEX(MASTER!$A:$A,MATCH(_xlpm.pos,MASTER!$H:$H,0))&amp;"_ser_0.20_"&amp;TEXT(INDEX(MASTER!$E:$E,MATCH(_xlpm.pos,MASTER!$H:$H,0)),"mmddyy"),""),_xlpm.slot,96+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55" spans="1:13" ht="22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 ht="22" customHeight="1" x14ac:dyDescent="0.35">
      <c r="A56" s="5"/>
      <c r="B56" s="31" t="s">
        <v>41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3"/>
    </row>
    <row r="57" spans="1:13" ht="22" customHeight="1" x14ac:dyDescent="0.3">
      <c r="A57" s="5"/>
      <c r="B57" s="6">
        <v>1</v>
      </c>
      <c r="C57" s="6">
        <v>2</v>
      </c>
      <c r="D57" s="6">
        <v>3</v>
      </c>
      <c r="E57" s="6">
        <v>4</v>
      </c>
      <c r="F57" s="6">
        <v>5</v>
      </c>
      <c r="G57" s="6">
        <v>6</v>
      </c>
      <c r="H57" s="6">
        <v>7</v>
      </c>
      <c r="I57" s="6">
        <v>8</v>
      </c>
      <c r="J57" s="6">
        <v>9</v>
      </c>
      <c r="K57" s="6">
        <v>10</v>
      </c>
      <c r="L57" s="6">
        <v>11</v>
      </c>
      <c r="M57" s="6">
        <v>12</v>
      </c>
    </row>
    <row r="58" spans="1:13" ht="22" customHeight="1" x14ac:dyDescent="0.3">
      <c r="A58" s="6" t="s">
        <v>30</v>
      </c>
      <c r="B58" s="4" t="str">
        <f>_xlfn.LET(_xlpm.pos,"CDI plate 6: "&amp;$A3&amp;B$2,_xlpm.normal,IFERROR(INDEX(MASTER!$A:$A,MATCH(_xlpm.pos,MASTER!$H:$H,0))&amp;"_ser_0.20_"&amp;TEXT(INDEX(MASTER!$E:$E,MATCH(_xlpm.pos,MASTER!$H:$H,0)),"mmddyy"),""),_xlpm.slot,96+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58" s="4" t="str">
        <f>_xlfn.LET(_xlpm.pos,"CDI plate 6: "&amp;$A3&amp;C$2,_xlpm.normal,IFERROR(INDEX(MASTER!$A:$A,MATCH(_xlpm.pos,MASTER!$H:$H,0))&amp;"_ser_0.20_"&amp;TEXT(INDEX(MASTER!$E:$E,MATCH(_xlpm.pos,MASTER!$H:$H,0)),"mmddyy"),""),_xlpm.slot,96+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58" s="4" t="str">
        <f>_xlfn.LET(_xlpm.pos,"CDI plate 6: "&amp;$A3&amp;D$2,_xlpm.normal,IFERROR(INDEX(MASTER!$A:$A,MATCH(_xlpm.pos,MASTER!$H:$H,0))&amp;"_ser_0.20_"&amp;TEXT(INDEX(MASTER!$E:$E,MATCH(_xlpm.pos,MASTER!$H:$H,0)),"mmddyy"),""),_xlpm.slot,96+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58" s="4" t="str">
        <f>_xlfn.LET(_xlpm.pos,"CDI plate 6: "&amp;$A3&amp;E$2,_xlpm.normal,IFERROR(INDEX(MASTER!$A:$A,MATCH(_xlpm.pos,MASTER!$H:$H,0))&amp;"_ser_0.20_"&amp;TEXT(INDEX(MASTER!$E:$E,MATCH(_xlpm.pos,MASTER!$H:$H,0)),"mmddyy"),""),_xlpm.slot,96+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58" s="4" t="str">
        <f>_xlfn.LET(_xlpm.pos,"CDI plate 6: "&amp;$A3&amp;F$2,_xlpm.normal,IFERROR(INDEX(MASTER!$A:$A,MATCH(_xlpm.pos,MASTER!$H:$H,0))&amp;"_ser_0.20_"&amp;TEXT(INDEX(MASTER!$E:$E,MATCH(_xlpm.pos,MASTER!$H:$H,0)),"mmddyy"),""),_xlpm.slot,96+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58" s="4" t="str">
        <f>_xlfn.LET(_xlpm.pos,"CDI plate 6: "&amp;$A3&amp;G$2,_xlpm.normal,IFERROR(INDEX(MASTER!$A:$A,MATCH(_xlpm.pos,MASTER!$H:$H,0))&amp;"_ser_0.20_"&amp;TEXT(INDEX(MASTER!$E:$E,MATCH(_xlpm.pos,MASTER!$H:$H,0)),"mmddyy"),""),_xlpm.slot,96+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58" s="4" t="str">
        <f>_xlfn.LET(_xlpm.pos,"CDI plate 6: "&amp;$A3&amp;H$2,_xlpm.normal,IFERROR(INDEX(MASTER!$A:$A,MATCH(_xlpm.pos,MASTER!$H:$H,0))&amp;"_ser_0.20_"&amp;TEXT(INDEX(MASTER!$E:$E,MATCH(_xlpm.pos,MASTER!$H:$H,0)),"mmddyy"),""),_xlpm.slot,96+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58" s="4" t="str">
        <f>_xlfn.LET(_xlpm.pos,"CDI plate 6: "&amp;$A3&amp;I$2,_xlpm.normal,IFERROR(INDEX(MASTER!$A:$A,MATCH(_xlpm.pos,MASTER!$H:$H,0))&amp;"_ser_0.20_"&amp;TEXT(INDEX(MASTER!$E:$E,MATCH(_xlpm.pos,MASTER!$H:$H,0)),"mmddyy"),""),_xlpm.slot,96+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58" s="4" t="str">
        <f>_xlfn.LET(_xlpm.pos,"CDI plate 6: "&amp;$A3&amp;J$2,_xlpm.normal,IFERROR(INDEX(MASTER!$A:$A,MATCH(_xlpm.pos,MASTER!$H:$H,0))&amp;"_ser_0.20_"&amp;TEXT(INDEX(MASTER!$E:$E,MATCH(_xlpm.pos,MASTER!$H:$H,0)),"mmddyy"),""),_xlpm.slot,96+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58" s="4" t="str">
        <f>_xlfn.LET(_xlpm.pos,"CDI plate 6: "&amp;$A3&amp;K$2,_xlpm.normal,IFERROR(INDEX(MASTER!$A:$A,MATCH(_xlpm.pos,MASTER!$H:$H,0))&amp;"_ser_0.20_"&amp;TEXT(INDEX(MASTER!$E:$E,MATCH(_xlpm.pos,MASTER!$H:$H,0)),"mmddyy"),""),_xlpm.slot,96+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58" s="4" t="str">
        <f>_xlfn.LET(_xlpm.pos,"CDI plate 6: "&amp;$A3&amp;L$2,_xlpm.normal,IFERROR(INDEX(MASTER!$A:$A,MATCH(_xlpm.pos,MASTER!$H:$H,0))&amp;"_ser_0.20_"&amp;TEXT(INDEX(MASTER!$E:$E,MATCH(_xlpm.pos,MASTER!$H:$H,0)),"mmddyy"),""),_xlpm.slot,96+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58" s="4" t="str">
        <f>_xlfn.LET(_xlpm.pos,"CDI plate 6: "&amp;$A3&amp;M$2,_xlpm.normal,IFERROR(INDEX(MASTER!$A:$A,MATCH(_xlpm.pos,MASTER!$H:$H,0))&amp;"_ser_0.20_"&amp;TEXT(INDEX(MASTER!$E:$E,MATCH(_xlpm.pos,MASTER!$H:$H,0)),"mmddyy"),""),_xlpm.slot,96+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59" spans="1:13" ht="22" customHeight="1" x14ac:dyDescent="0.3">
      <c r="A59" s="6" t="s">
        <v>31</v>
      </c>
      <c r="B59" s="4" t="str">
        <f>_xlfn.LET(_xlpm.pos,"CDI plate 6: "&amp;$A4&amp;B$2,_xlpm.normal,IFERROR(INDEX(MASTER!$A:$A,MATCH(_xlpm.pos,MASTER!$H:$H,0))&amp;"_ser_0.20_"&amp;TEXT(INDEX(MASTER!$E:$E,MATCH(_xlpm.pos,MASTER!$H:$H,0)),"mmddyy"),""),_xlpm.slot,96+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59" s="4" t="str">
        <f>_xlfn.LET(_xlpm.pos,"CDI plate 6: "&amp;$A4&amp;C$2,_xlpm.normal,IFERROR(INDEX(MASTER!$A:$A,MATCH(_xlpm.pos,MASTER!$H:$H,0))&amp;"_ser_0.20_"&amp;TEXT(INDEX(MASTER!$E:$E,MATCH(_xlpm.pos,MASTER!$H:$H,0)),"mmddyy"),""),_xlpm.slot,96+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59" s="4" t="str">
        <f>_xlfn.LET(_xlpm.pos,"CDI plate 6: "&amp;$A4&amp;D$2,_xlpm.normal,IFERROR(INDEX(MASTER!$A:$A,MATCH(_xlpm.pos,MASTER!$H:$H,0))&amp;"_ser_0.20_"&amp;TEXT(INDEX(MASTER!$E:$E,MATCH(_xlpm.pos,MASTER!$H:$H,0)),"mmddyy"),""),_xlpm.slot,96+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59" s="4" t="str">
        <f>_xlfn.LET(_xlpm.pos,"CDI plate 6: "&amp;$A4&amp;E$2,_xlpm.normal,IFERROR(INDEX(MASTER!$A:$A,MATCH(_xlpm.pos,MASTER!$H:$H,0))&amp;"_ser_0.20_"&amp;TEXT(INDEX(MASTER!$E:$E,MATCH(_xlpm.pos,MASTER!$H:$H,0)),"mmddyy"),""),_xlpm.slot,96+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59" s="4" t="str">
        <f>_xlfn.LET(_xlpm.pos,"CDI plate 6: "&amp;$A4&amp;F$2,_xlpm.normal,IFERROR(INDEX(MASTER!$A:$A,MATCH(_xlpm.pos,MASTER!$H:$H,0))&amp;"_ser_0.20_"&amp;TEXT(INDEX(MASTER!$E:$E,MATCH(_xlpm.pos,MASTER!$H:$H,0)),"mmddyy"),""),_xlpm.slot,96+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59" s="4" t="str">
        <f>_xlfn.LET(_xlpm.pos,"CDI plate 6: "&amp;$A4&amp;G$2,_xlpm.normal,IFERROR(INDEX(MASTER!$A:$A,MATCH(_xlpm.pos,MASTER!$H:$H,0))&amp;"_ser_0.20_"&amp;TEXT(INDEX(MASTER!$E:$E,MATCH(_xlpm.pos,MASTER!$H:$H,0)),"mmddyy"),""),_xlpm.slot,96+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59" s="4" t="str">
        <f>_xlfn.LET(_xlpm.pos,"CDI plate 6: "&amp;$A4&amp;H$2,_xlpm.normal,IFERROR(INDEX(MASTER!$A:$A,MATCH(_xlpm.pos,MASTER!$H:$H,0))&amp;"_ser_0.20_"&amp;TEXT(INDEX(MASTER!$E:$E,MATCH(_xlpm.pos,MASTER!$H:$H,0)),"mmddyy"),""),_xlpm.slot,96+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59" s="4" t="str">
        <f>_xlfn.LET(_xlpm.pos,"CDI plate 6: "&amp;$A4&amp;I$2,_xlpm.normal,IFERROR(INDEX(MASTER!$A:$A,MATCH(_xlpm.pos,MASTER!$H:$H,0))&amp;"_ser_0.20_"&amp;TEXT(INDEX(MASTER!$E:$E,MATCH(_xlpm.pos,MASTER!$H:$H,0)),"mmddyy"),""),_xlpm.slot,96+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59" s="4" t="str">
        <f>_xlfn.LET(_xlpm.pos,"CDI plate 6: "&amp;$A4&amp;J$2,_xlpm.normal,IFERROR(INDEX(MASTER!$A:$A,MATCH(_xlpm.pos,MASTER!$H:$H,0))&amp;"_ser_0.20_"&amp;TEXT(INDEX(MASTER!$E:$E,MATCH(_xlpm.pos,MASTER!$H:$H,0)),"mmddyy"),""),_xlpm.slot,96+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59" s="4" t="str">
        <f>_xlfn.LET(_xlpm.pos,"CDI plate 6: "&amp;$A4&amp;K$2,_xlpm.normal,IFERROR(INDEX(MASTER!$A:$A,MATCH(_xlpm.pos,MASTER!$H:$H,0))&amp;"_ser_0.20_"&amp;TEXT(INDEX(MASTER!$E:$E,MATCH(_xlpm.pos,MASTER!$H:$H,0)),"mmddyy"),""),_xlpm.slot,96+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59" s="4" t="str">
        <f>_xlfn.LET(_xlpm.pos,"CDI plate 6: "&amp;$A4&amp;L$2,_xlpm.normal,IFERROR(INDEX(MASTER!$A:$A,MATCH(_xlpm.pos,MASTER!$H:$H,0))&amp;"_ser_0.20_"&amp;TEXT(INDEX(MASTER!$E:$E,MATCH(_xlpm.pos,MASTER!$H:$H,0)),"mmddyy"),""),_xlpm.slot,96+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59" s="4" t="str">
        <f>_xlfn.LET(_xlpm.pos,"CDI plate 6: "&amp;$A4&amp;M$2,_xlpm.normal,IFERROR(INDEX(MASTER!$A:$A,MATCH(_xlpm.pos,MASTER!$H:$H,0))&amp;"_ser_0.20_"&amp;TEXT(INDEX(MASTER!$E:$E,MATCH(_xlpm.pos,MASTER!$H:$H,0)),"mmddyy"),""),_xlpm.slot,96+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60" spans="1:13" ht="22" customHeight="1" x14ac:dyDescent="0.3">
      <c r="A60" s="6" t="s">
        <v>32</v>
      </c>
      <c r="B60" s="4" t="str">
        <f>_xlfn.LET(_xlpm.pos,"CDI plate 6: "&amp;$A5&amp;B$2,_xlpm.normal,IFERROR(INDEX(MASTER!$A:$A,MATCH(_xlpm.pos,MASTER!$H:$H,0))&amp;"_ser_0.20_"&amp;TEXT(INDEX(MASTER!$E:$E,MATCH(_xlpm.pos,MASTER!$H:$H,0)),"mmddyy"),""),_xlpm.slot,96+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60" s="4" t="str">
        <f>_xlfn.LET(_xlpm.pos,"CDI plate 6: "&amp;$A5&amp;C$2,_xlpm.normal,IFERROR(INDEX(MASTER!$A:$A,MATCH(_xlpm.pos,MASTER!$H:$H,0))&amp;"_ser_0.20_"&amp;TEXT(INDEX(MASTER!$E:$E,MATCH(_xlpm.pos,MASTER!$H:$H,0)),"mmddyy"),""),_xlpm.slot,96+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60" s="4" t="str">
        <f>_xlfn.LET(_xlpm.pos,"CDI plate 6: "&amp;$A5&amp;D$2,_xlpm.normal,IFERROR(INDEX(MASTER!$A:$A,MATCH(_xlpm.pos,MASTER!$H:$H,0))&amp;"_ser_0.20_"&amp;TEXT(INDEX(MASTER!$E:$E,MATCH(_xlpm.pos,MASTER!$H:$H,0)),"mmddyy"),""),_xlpm.slot,96+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60" s="4" t="str">
        <f>_xlfn.LET(_xlpm.pos,"CDI plate 6: "&amp;$A5&amp;E$2,_xlpm.normal,IFERROR(INDEX(MASTER!$A:$A,MATCH(_xlpm.pos,MASTER!$H:$H,0))&amp;"_ser_0.20_"&amp;TEXT(INDEX(MASTER!$E:$E,MATCH(_xlpm.pos,MASTER!$H:$H,0)),"mmddyy"),""),_xlpm.slot,96+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60" s="4" t="str">
        <f>_xlfn.LET(_xlpm.pos,"CDI plate 6: "&amp;$A5&amp;F$2,_xlpm.normal,IFERROR(INDEX(MASTER!$A:$A,MATCH(_xlpm.pos,MASTER!$H:$H,0))&amp;"_ser_0.20_"&amp;TEXT(INDEX(MASTER!$E:$E,MATCH(_xlpm.pos,MASTER!$H:$H,0)),"mmddyy"),""),_xlpm.slot,96+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60" s="4" t="str">
        <f>_xlfn.LET(_xlpm.pos,"CDI plate 6: "&amp;$A5&amp;G$2,_xlpm.normal,IFERROR(INDEX(MASTER!$A:$A,MATCH(_xlpm.pos,MASTER!$H:$H,0))&amp;"_ser_0.20_"&amp;TEXT(INDEX(MASTER!$E:$E,MATCH(_xlpm.pos,MASTER!$H:$H,0)),"mmddyy"),""),_xlpm.slot,96+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60" s="4" t="str">
        <f>_xlfn.LET(_xlpm.pos,"CDI plate 6: "&amp;$A5&amp;H$2,_xlpm.normal,IFERROR(INDEX(MASTER!$A:$A,MATCH(_xlpm.pos,MASTER!$H:$H,0))&amp;"_ser_0.20_"&amp;TEXT(INDEX(MASTER!$E:$E,MATCH(_xlpm.pos,MASTER!$H:$H,0)),"mmddyy"),""),_xlpm.slot,96+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60" s="4" t="str">
        <f>_xlfn.LET(_xlpm.pos,"CDI plate 6: "&amp;$A5&amp;I$2,_xlpm.normal,IFERROR(INDEX(MASTER!$A:$A,MATCH(_xlpm.pos,MASTER!$H:$H,0))&amp;"_ser_0.20_"&amp;TEXT(INDEX(MASTER!$E:$E,MATCH(_xlpm.pos,MASTER!$H:$H,0)),"mmddyy"),""),_xlpm.slot,96+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60" s="4" t="str">
        <f>_xlfn.LET(_xlpm.pos,"CDI plate 6: "&amp;$A5&amp;J$2,_xlpm.normal,IFERROR(INDEX(MASTER!$A:$A,MATCH(_xlpm.pos,MASTER!$H:$H,0))&amp;"_ser_0.20_"&amp;TEXT(INDEX(MASTER!$E:$E,MATCH(_xlpm.pos,MASTER!$H:$H,0)),"mmddyy"),""),_xlpm.slot,96+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60" s="4" t="str">
        <f>_xlfn.LET(_xlpm.pos,"CDI plate 6: "&amp;$A5&amp;K$2,_xlpm.normal,IFERROR(INDEX(MASTER!$A:$A,MATCH(_xlpm.pos,MASTER!$H:$H,0))&amp;"_ser_0.20_"&amp;TEXT(INDEX(MASTER!$E:$E,MATCH(_xlpm.pos,MASTER!$H:$H,0)),"mmddyy"),""),_xlpm.slot,96+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60" s="4" t="str">
        <f>_xlfn.LET(_xlpm.pos,"CDI plate 6: "&amp;$A5&amp;L$2,_xlpm.normal,IFERROR(INDEX(MASTER!$A:$A,MATCH(_xlpm.pos,MASTER!$H:$H,0))&amp;"_ser_0.20_"&amp;TEXT(INDEX(MASTER!$E:$E,MATCH(_xlpm.pos,MASTER!$H:$H,0)),"mmddyy"),""),_xlpm.slot,96+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60" s="4" t="str">
        <f>_xlfn.LET(_xlpm.pos,"CDI plate 6: "&amp;$A5&amp;M$2,_xlpm.normal,IFERROR(INDEX(MASTER!$A:$A,MATCH(_xlpm.pos,MASTER!$H:$H,0))&amp;"_ser_0.20_"&amp;TEXT(INDEX(MASTER!$E:$E,MATCH(_xlpm.pos,MASTER!$H:$H,0)),"mmddyy"),""),_xlpm.slot,96+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61" spans="1:13" ht="22" customHeight="1" x14ac:dyDescent="0.3">
      <c r="A61" s="6" t="s">
        <v>33</v>
      </c>
      <c r="B61" s="4" t="str">
        <f>_xlfn.LET(_xlpm.pos,"CDI plate 6: "&amp;$A6&amp;B$2,_xlpm.normal,IFERROR(INDEX(MASTER!$A:$A,MATCH(_xlpm.pos,MASTER!$H:$H,0))&amp;"_ser_0.20_"&amp;TEXT(INDEX(MASTER!$E:$E,MATCH(_xlpm.pos,MASTER!$H:$H,0)),"mmddyy"),""),_xlpm.slot,96+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61" s="4" t="str">
        <f>_xlfn.LET(_xlpm.pos,"CDI plate 6: "&amp;$A6&amp;C$2,_xlpm.normal,IFERROR(INDEX(MASTER!$A:$A,MATCH(_xlpm.pos,MASTER!$H:$H,0))&amp;"_ser_0.20_"&amp;TEXT(INDEX(MASTER!$E:$E,MATCH(_xlpm.pos,MASTER!$H:$H,0)),"mmddyy"),""),_xlpm.slot,96+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61" s="4" t="str">
        <f>_xlfn.LET(_xlpm.pos,"CDI plate 6: "&amp;$A6&amp;D$2,_xlpm.normal,IFERROR(INDEX(MASTER!$A:$A,MATCH(_xlpm.pos,MASTER!$H:$H,0))&amp;"_ser_0.20_"&amp;TEXT(INDEX(MASTER!$E:$E,MATCH(_xlpm.pos,MASTER!$H:$H,0)),"mmddyy"),""),_xlpm.slot,96+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61" s="4" t="str">
        <f>_xlfn.LET(_xlpm.pos,"CDI plate 6: "&amp;$A6&amp;E$2,_xlpm.normal,IFERROR(INDEX(MASTER!$A:$A,MATCH(_xlpm.pos,MASTER!$H:$H,0))&amp;"_ser_0.20_"&amp;TEXT(INDEX(MASTER!$E:$E,MATCH(_xlpm.pos,MASTER!$H:$H,0)),"mmddyy"),""),_xlpm.slot,96+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61" s="4" t="str">
        <f>_xlfn.LET(_xlpm.pos,"CDI plate 6: "&amp;$A6&amp;F$2,_xlpm.normal,IFERROR(INDEX(MASTER!$A:$A,MATCH(_xlpm.pos,MASTER!$H:$H,0))&amp;"_ser_0.20_"&amp;TEXT(INDEX(MASTER!$E:$E,MATCH(_xlpm.pos,MASTER!$H:$H,0)),"mmddyy"),""),_xlpm.slot,96+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61" s="4" t="str">
        <f>_xlfn.LET(_xlpm.pos,"CDI plate 6: "&amp;$A6&amp;G$2,_xlpm.normal,IFERROR(INDEX(MASTER!$A:$A,MATCH(_xlpm.pos,MASTER!$H:$H,0))&amp;"_ser_0.20_"&amp;TEXT(INDEX(MASTER!$E:$E,MATCH(_xlpm.pos,MASTER!$H:$H,0)),"mmddyy"),""),_xlpm.slot,96+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61" s="4" t="str">
        <f>_xlfn.LET(_xlpm.pos,"CDI plate 6: "&amp;$A6&amp;H$2,_xlpm.normal,IFERROR(INDEX(MASTER!$A:$A,MATCH(_xlpm.pos,MASTER!$H:$H,0))&amp;"_ser_0.20_"&amp;TEXT(INDEX(MASTER!$E:$E,MATCH(_xlpm.pos,MASTER!$H:$H,0)),"mmddyy"),""),_xlpm.slot,96+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61" s="4" t="str">
        <f>_xlfn.LET(_xlpm.pos,"CDI plate 6: "&amp;$A6&amp;I$2,_xlpm.normal,IFERROR(INDEX(MASTER!$A:$A,MATCH(_xlpm.pos,MASTER!$H:$H,0))&amp;"_ser_0.20_"&amp;TEXT(INDEX(MASTER!$E:$E,MATCH(_xlpm.pos,MASTER!$H:$H,0)),"mmddyy"),""),_xlpm.slot,96+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61" s="4" t="str">
        <f>_xlfn.LET(_xlpm.pos,"CDI plate 6: "&amp;$A6&amp;J$2,_xlpm.normal,IFERROR(INDEX(MASTER!$A:$A,MATCH(_xlpm.pos,MASTER!$H:$H,0))&amp;"_ser_0.20_"&amp;TEXT(INDEX(MASTER!$E:$E,MATCH(_xlpm.pos,MASTER!$H:$H,0)),"mmddyy"),""),_xlpm.slot,96+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61" s="4" t="str">
        <f>_xlfn.LET(_xlpm.pos,"CDI plate 6: "&amp;$A6&amp;K$2,_xlpm.normal,IFERROR(INDEX(MASTER!$A:$A,MATCH(_xlpm.pos,MASTER!$H:$H,0))&amp;"_ser_0.20_"&amp;TEXT(INDEX(MASTER!$E:$E,MATCH(_xlpm.pos,MASTER!$H:$H,0)),"mmddyy"),""),_xlpm.slot,96+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61" s="4" t="str">
        <f>_xlfn.LET(_xlpm.pos,"CDI plate 6: "&amp;$A6&amp;L$2,_xlpm.normal,IFERROR(INDEX(MASTER!$A:$A,MATCH(_xlpm.pos,MASTER!$H:$H,0))&amp;"_ser_0.20_"&amp;TEXT(INDEX(MASTER!$E:$E,MATCH(_xlpm.pos,MASTER!$H:$H,0)),"mmddyy"),""),_xlpm.slot,96+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61" s="4" t="str">
        <f>_xlfn.LET(_xlpm.pos,"CDI plate 6: "&amp;$A6&amp;M$2,_xlpm.normal,IFERROR(INDEX(MASTER!$A:$A,MATCH(_xlpm.pos,MASTER!$H:$H,0))&amp;"_ser_0.20_"&amp;TEXT(INDEX(MASTER!$E:$E,MATCH(_xlpm.pos,MASTER!$H:$H,0)),"mmddyy"),""),_xlpm.slot,96+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62" spans="1:13" ht="22" customHeight="1" x14ac:dyDescent="0.3">
      <c r="A62" s="6" t="s">
        <v>34</v>
      </c>
      <c r="B62" s="4" t="str">
        <f>_xlfn.LET(_xlpm.pos,"CDI plate 6: "&amp;$A7&amp;B$2,_xlpm.normal,IFERROR(INDEX(MASTER!$A:$A,MATCH(_xlpm.pos,MASTER!$H:$H,0))&amp;"_ser_0.20_"&amp;TEXT(INDEX(MASTER!$E:$E,MATCH(_xlpm.pos,MASTER!$H:$H,0)),"mmddyy"),""),_xlpm.slot,96+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62" s="4" t="str">
        <f>_xlfn.LET(_xlpm.pos,"CDI plate 6: "&amp;$A7&amp;C$2,_xlpm.normal,IFERROR(INDEX(MASTER!$A:$A,MATCH(_xlpm.pos,MASTER!$H:$H,0))&amp;"_ser_0.20_"&amp;TEXT(INDEX(MASTER!$E:$E,MATCH(_xlpm.pos,MASTER!$H:$H,0)),"mmddyy"),""),_xlpm.slot,96+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62" s="4" t="str">
        <f>_xlfn.LET(_xlpm.pos,"CDI plate 6: "&amp;$A7&amp;D$2,_xlpm.normal,IFERROR(INDEX(MASTER!$A:$A,MATCH(_xlpm.pos,MASTER!$H:$H,0))&amp;"_ser_0.20_"&amp;TEXT(INDEX(MASTER!$E:$E,MATCH(_xlpm.pos,MASTER!$H:$H,0)),"mmddyy"),""),_xlpm.slot,96+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62" s="4" t="str">
        <f>_xlfn.LET(_xlpm.pos,"CDI plate 6: "&amp;$A7&amp;E$2,_xlpm.normal,IFERROR(INDEX(MASTER!$A:$A,MATCH(_xlpm.pos,MASTER!$H:$H,0))&amp;"_ser_0.20_"&amp;TEXT(INDEX(MASTER!$E:$E,MATCH(_xlpm.pos,MASTER!$H:$H,0)),"mmddyy"),""),_xlpm.slot,96+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62" s="4" t="str">
        <f>_xlfn.LET(_xlpm.pos,"CDI plate 6: "&amp;$A7&amp;F$2,_xlpm.normal,IFERROR(INDEX(MASTER!$A:$A,MATCH(_xlpm.pos,MASTER!$H:$H,0))&amp;"_ser_0.20_"&amp;TEXT(INDEX(MASTER!$E:$E,MATCH(_xlpm.pos,MASTER!$H:$H,0)),"mmddyy"),""),_xlpm.slot,96+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62" s="4" t="str">
        <f>_xlfn.LET(_xlpm.pos,"CDI plate 6: "&amp;$A7&amp;G$2,_xlpm.normal,IFERROR(INDEX(MASTER!$A:$A,MATCH(_xlpm.pos,MASTER!$H:$H,0))&amp;"_ser_0.20_"&amp;TEXT(INDEX(MASTER!$E:$E,MATCH(_xlpm.pos,MASTER!$H:$H,0)),"mmddyy"),""),_xlpm.slot,96+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62" s="4" t="str">
        <f>_xlfn.LET(_xlpm.pos,"CDI plate 6: "&amp;$A7&amp;H$2,_xlpm.normal,IFERROR(INDEX(MASTER!$A:$A,MATCH(_xlpm.pos,MASTER!$H:$H,0))&amp;"_ser_0.20_"&amp;TEXT(INDEX(MASTER!$E:$E,MATCH(_xlpm.pos,MASTER!$H:$H,0)),"mmddyy"),""),_xlpm.slot,96+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62" s="4" t="str">
        <f>_xlfn.LET(_xlpm.pos,"CDI plate 6: "&amp;$A7&amp;I$2,_xlpm.normal,IFERROR(INDEX(MASTER!$A:$A,MATCH(_xlpm.pos,MASTER!$H:$H,0))&amp;"_ser_0.20_"&amp;TEXT(INDEX(MASTER!$E:$E,MATCH(_xlpm.pos,MASTER!$H:$H,0)),"mmddyy"),""),_xlpm.slot,96+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62" s="4" t="str">
        <f>_xlfn.LET(_xlpm.pos,"CDI plate 6: "&amp;$A7&amp;J$2,_xlpm.normal,IFERROR(INDEX(MASTER!$A:$A,MATCH(_xlpm.pos,MASTER!$H:$H,0))&amp;"_ser_0.20_"&amp;TEXT(INDEX(MASTER!$E:$E,MATCH(_xlpm.pos,MASTER!$H:$H,0)),"mmddyy"),""),_xlpm.slot,96+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62" s="4" t="str">
        <f>_xlfn.LET(_xlpm.pos,"CDI plate 6: "&amp;$A7&amp;K$2,_xlpm.normal,IFERROR(INDEX(MASTER!$A:$A,MATCH(_xlpm.pos,MASTER!$H:$H,0))&amp;"_ser_0.20_"&amp;TEXT(INDEX(MASTER!$E:$E,MATCH(_xlpm.pos,MASTER!$H:$H,0)),"mmddyy"),""),_xlpm.slot,96+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62" s="4" t="str">
        <f>_xlfn.LET(_xlpm.pos,"CDI plate 6: "&amp;$A7&amp;L$2,_xlpm.normal,IFERROR(INDEX(MASTER!$A:$A,MATCH(_xlpm.pos,MASTER!$H:$H,0))&amp;"_ser_0.20_"&amp;TEXT(INDEX(MASTER!$E:$E,MATCH(_xlpm.pos,MASTER!$H:$H,0)),"mmddyy"),""),_xlpm.slot,96+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62" s="4" t="str">
        <f>_xlfn.LET(_xlpm.pos,"CDI plate 6: "&amp;$A7&amp;M$2,_xlpm.normal,IFERROR(INDEX(MASTER!$A:$A,MATCH(_xlpm.pos,MASTER!$H:$H,0))&amp;"_ser_0.20_"&amp;TEXT(INDEX(MASTER!$E:$E,MATCH(_xlpm.pos,MASTER!$H:$H,0)),"mmddyy"),""),_xlpm.slot,96+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63" spans="1:13" ht="22" customHeight="1" x14ac:dyDescent="0.3">
      <c r="A63" s="6" t="s">
        <v>15</v>
      </c>
      <c r="B63" s="4" t="str">
        <f>_xlfn.LET(_xlpm.pos,"CDI plate 6: "&amp;$A8&amp;B$2,_xlpm.normal,IFERROR(INDEX(MASTER!$A:$A,MATCH(_xlpm.pos,MASTER!$H:$H,0))&amp;"_ser_0.20_"&amp;TEXT(INDEX(MASTER!$E:$E,MATCH(_xlpm.pos,MASTER!$H:$H,0)),"mmddyy"),""),_xlpm.slot,96+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63" s="4" t="str">
        <f>_xlfn.LET(_xlpm.pos,"CDI plate 6: "&amp;$A8&amp;C$2,_xlpm.normal,IFERROR(INDEX(MASTER!$A:$A,MATCH(_xlpm.pos,MASTER!$H:$H,0))&amp;"_ser_0.20_"&amp;TEXT(INDEX(MASTER!$E:$E,MATCH(_xlpm.pos,MASTER!$H:$H,0)),"mmddyy"),""),_xlpm.slot,96+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63" s="4" t="str">
        <f>_xlfn.LET(_xlpm.pos,"CDI plate 6: "&amp;$A8&amp;D$2,_xlpm.normal,IFERROR(INDEX(MASTER!$A:$A,MATCH(_xlpm.pos,MASTER!$H:$H,0))&amp;"_ser_0.20_"&amp;TEXT(INDEX(MASTER!$E:$E,MATCH(_xlpm.pos,MASTER!$H:$H,0)),"mmddyy"),""),_xlpm.slot,96+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63" s="4" t="str">
        <f>_xlfn.LET(_xlpm.pos,"CDI plate 6: "&amp;$A8&amp;E$2,_xlpm.normal,IFERROR(INDEX(MASTER!$A:$A,MATCH(_xlpm.pos,MASTER!$H:$H,0))&amp;"_ser_0.20_"&amp;TEXT(INDEX(MASTER!$E:$E,MATCH(_xlpm.pos,MASTER!$H:$H,0)),"mmddyy"),""),_xlpm.slot,96+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63" s="4" t="str">
        <f>_xlfn.LET(_xlpm.pos,"CDI plate 6: "&amp;$A8&amp;F$2,_xlpm.normal,IFERROR(INDEX(MASTER!$A:$A,MATCH(_xlpm.pos,MASTER!$H:$H,0))&amp;"_ser_0.20_"&amp;TEXT(INDEX(MASTER!$E:$E,MATCH(_xlpm.pos,MASTER!$H:$H,0)),"mmddyy"),""),_xlpm.slot,96+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63" s="4" t="str">
        <f>_xlfn.LET(_xlpm.pos,"CDI plate 6: "&amp;$A8&amp;G$2,_xlpm.normal,IFERROR(INDEX(MASTER!$A:$A,MATCH(_xlpm.pos,MASTER!$H:$H,0))&amp;"_ser_0.20_"&amp;TEXT(INDEX(MASTER!$E:$E,MATCH(_xlpm.pos,MASTER!$H:$H,0)),"mmddyy"),""),_xlpm.slot,96+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63" s="4" t="str">
        <f>_xlfn.LET(_xlpm.pos,"CDI plate 6: "&amp;$A8&amp;H$2,_xlpm.normal,IFERROR(INDEX(MASTER!$A:$A,MATCH(_xlpm.pos,MASTER!$H:$H,0))&amp;"_ser_0.20_"&amp;TEXT(INDEX(MASTER!$E:$E,MATCH(_xlpm.pos,MASTER!$H:$H,0)),"mmddyy"),""),_xlpm.slot,96+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63" s="4" t="str">
        <f>_xlfn.LET(_xlpm.pos,"CDI plate 6: "&amp;$A8&amp;I$2,_xlpm.normal,IFERROR(INDEX(MASTER!$A:$A,MATCH(_xlpm.pos,MASTER!$H:$H,0))&amp;"_ser_0.20_"&amp;TEXT(INDEX(MASTER!$E:$E,MATCH(_xlpm.pos,MASTER!$H:$H,0)),"mmddyy"),""),_xlpm.slot,96+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63" s="4" t="str">
        <f>_xlfn.LET(_xlpm.pos,"CDI plate 6: "&amp;$A8&amp;J$2,_xlpm.normal,IFERROR(INDEX(MASTER!$A:$A,MATCH(_xlpm.pos,MASTER!$H:$H,0))&amp;"_ser_0.20_"&amp;TEXT(INDEX(MASTER!$E:$E,MATCH(_xlpm.pos,MASTER!$H:$H,0)),"mmddyy"),""),_xlpm.slot,96+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63" s="4" t="str">
        <f>_xlfn.LET(_xlpm.pos,"CDI plate 6: "&amp;$A8&amp;K$2,_xlpm.normal,IFERROR(INDEX(MASTER!$A:$A,MATCH(_xlpm.pos,MASTER!$H:$H,0))&amp;"_ser_0.20_"&amp;TEXT(INDEX(MASTER!$E:$E,MATCH(_xlpm.pos,MASTER!$H:$H,0)),"mmddyy"),""),_xlpm.slot,96+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63" s="4" t="str">
        <f>_xlfn.LET(_xlpm.pos,"CDI plate 6: "&amp;$A8&amp;L$2,_xlpm.normal,IFERROR(INDEX(MASTER!$A:$A,MATCH(_xlpm.pos,MASTER!$H:$H,0))&amp;"_ser_0.20_"&amp;TEXT(INDEX(MASTER!$E:$E,MATCH(_xlpm.pos,MASTER!$H:$H,0)),"mmddyy"),""),_xlpm.slot,96+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63" s="4" t="str">
        <f>_xlfn.LET(_xlpm.pos,"CDI plate 6: "&amp;$A8&amp;M$2,_xlpm.normal,IFERROR(INDEX(MASTER!$A:$A,MATCH(_xlpm.pos,MASTER!$H:$H,0))&amp;"_ser_0.20_"&amp;TEXT(INDEX(MASTER!$E:$E,MATCH(_xlpm.pos,MASTER!$H:$H,0)),"mmddyy"),""),_xlpm.slot,96+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64" spans="1:13" ht="22" customHeight="1" x14ac:dyDescent="0.3">
      <c r="A64" s="6" t="s">
        <v>35</v>
      </c>
      <c r="B64" s="4" t="str">
        <f>_xlfn.LET(_xlpm.pos,"CDI plate 6: "&amp;$A9&amp;B$2,_xlpm.normal,IFERROR(INDEX(MASTER!$A:$A,MATCH(_xlpm.pos,MASTER!$H:$H,0))&amp;"_ser_0.20_"&amp;TEXT(INDEX(MASTER!$E:$E,MATCH(_xlpm.pos,MASTER!$H:$H,0)),"mmddyy"),""),_xlpm.slot,96+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64" s="4" t="str">
        <f>_xlfn.LET(_xlpm.pos,"CDI plate 6: "&amp;$A9&amp;C$2,_xlpm.normal,IFERROR(INDEX(MASTER!$A:$A,MATCH(_xlpm.pos,MASTER!$H:$H,0))&amp;"_ser_0.20_"&amp;TEXT(INDEX(MASTER!$E:$E,MATCH(_xlpm.pos,MASTER!$H:$H,0)),"mmddyy"),""),_xlpm.slot,96+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64" s="4" t="str">
        <f>_xlfn.LET(_xlpm.pos,"CDI plate 6: "&amp;$A9&amp;D$2,_xlpm.normal,IFERROR(INDEX(MASTER!$A:$A,MATCH(_xlpm.pos,MASTER!$H:$H,0))&amp;"_ser_0.20_"&amp;TEXT(INDEX(MASTER!$E:$E,MATCH(_xlpm.pos,MASTER!$H:$H,0)),"mmddyy"),""),_xlpm.slot,96+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64" s="4" t="str">
        <f>_xlfn.LET(_xlpm.pos,"CDI plate 6: "&amp;$A9&amp;E$2,_xlpm.normal,IFERROR(INDEX(MASTER!$A:$A,MATCH(_xlpm.pos,MASTER!$H:$H,0))&amp;"_ser_0.20_"&amp;TEXT(INDEX(MASTER!$E:$E,MATCH(_xlpm.pos,MASTER!$H:$H,0)),"mmddyy"),""),_xlpm.slot,96+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64" s="4" t="str">
        <f>_xlfn.LET(_xlpm.pos,"CDI plate 6: "&amp;$A9&amp;F$2,_xlpm.normal,IFERROR(INDEX(MASTER!$A:$A,MATCH(_xlpm.pos,MASTER!$H:$H,0))&amp;"_ser_0.20_"&amp;TEXT(INDEX(MASTER!$E:$E,MATCH(_xlpm.pos,MASTER!$H:$H,0)),"mmddyy"),""),_xlpm.slot,96+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64" s="4" t="str">
        <f>_xlfn.LET(_xlpm.pos,"CDI plate 6: "&amp;$A9&amp;G$2,_xlpm.normal,IFERROR(INDEX(MASTER!$A:$A,MATCH(_xlpm.pos,MASTER!$H:$H,0))&amp;"_ser_0.20_"&amp;TEXT(INDEX(MASTER!$E:$E,MATCH(_xlpm.pos,MASTER!$H:$H,0)),"mmddyy"),""),_xlpm.slot,96+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64" s="4" t="str">
        <f>_xlfn.LET(_xlpm.pos,"CDI plate 6: "&amp;$A9&amp;H$2,_xlpm.normal,IFERROR(INDEX(MASTER!$A:$A,MATCH(_xlpm.pos,MASTER!$H:$H,0))&amp;"_ser_0.20_"&amp;TEXT(INDEX(MASTER!$E:$E,MATCH(_xlpm.pos,MASTER!$H:$H,0)),"mmddyy"),""),_xlpm.slot,96+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64" s="4" t="str">
        <f>_xlfn.LET(_xlpm.pos,"CDI plate 6: "&amp;$A9&amp;I$2,_xlpm.normal,IFERROR(INDEX(MASTER!$A:$A,MATCH(_xlpm.pos,MASTER!$H:$H,0))&amp;"_ser_0.20_"&amp;TEXT(INDEX(MASTER!$E:$E,MATCH(_xlpm.pos,MASTER!$H:$H,0)),"mmddyy"),""),_xlpm.slot,96+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64" s="4" t="str">
        <f>_xlfn.LET(_xlpm.pos,"CDI plate 6: "&amp;$A9&amp;J$2,_xlpm.normal,IFERROR(INDEX(MASTER!$A:$A,MATCH(_xlpm.pos,MASTER!$H:$H,0))&amp;"_ser_0.20_"&amp;TEXT(INDEX(MASTER!$E:$E,MATCH(_xlpm.pos,MASTER!$H:$H,0)),"mmddyy"),""),_xlpm.slot,96+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64" s="4" t="str">
        <f>_xlfn.LET(_xlpm.pos,"CDI plate 6: "&amp;$A9&amp;K$2,_xlpm.normal,IFERROR(INDEX(MASTER!$A:$A,MATCH(_xlpm.pos,MASTER!$H:$H,0))&amp;"_ser_0.20_"&amp;TEXT(INDEX(MASTER!$E:$E,MATCH(_xlpm.pos,MASTER!$H:$H,0)),"mmddyy"),""),_xlpm.slot,96+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64" s="4" t="str">
        <f>_xlfn.LET(_xlpm.pos,"CDI plate 6: "&amp;$A9&amp;L$2,_xlpm.normal,IFERROR(INDEX(MASTER!$A:$A,MATCH(_xlpm.pos,MASTER!$H:$H,0))&amp;"_ser_0.20_"&amp;TEXT(INDEX(MASTER!$E:$E,MATCH(_xlpm.pos,MASTER!$H:$H,0)),"mmddyy"),""),_xlpm.slot,96+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64" s="4" t="str">
        <f>_xlfn.LET(_xlpm.pos,"CDI plate 6: "&amp;$A9&amp;M$2,_xlpm.normal,IFERROR(INDEX(MASTER!$A:$A,MATCH(_xlpm.pos,MASTER!$H:$H,0))&amp;"_ser_0.20_"&amp;TEXT(INDEX(MASTER!$E:$E,MATCH(_xlpm.pos,MASTER!$H:$H,0)),"mmddyy"),""),_xlpm.slot,96+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65" spans="1:13" ht="22" customHeight="1" x14ac:dyDescent="0.3">
      <c r="A65" s="6" t="s">
        <v>36</v>
      </c>
      <c r="B65" s="4" t="str">
        <f>_xlfn.LET(_xlpm.pos,"CDI plate 6: "&amp;$A10&amp;B$2,_xlpm.normal,IFERROR(INDEX(MASTER!$A:$A,MATCH(_xlpm.pos,MASTER!$H:$H,0))&amp;"_ser_0.20_"&amp;TEXT(INDEX(MASTER!$E:$E,MATCH(_xlpm.pos,MASTER!$H:$H,0)),"mmddyy"),""),_xlpm.slot,96+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65" s="4" t="str">
        <f>_xlfn.LET(_xlpm.pos,"CDI plate 6: "&amp;$A10&amp;C$2,_xlpm.normal,IFERROR(INDEX(MASTER!$A:$A,MATCH(_xlpm.pos,MASTER!$H:$H,0))&amp;"_ser_0.20_"&amp;TEXT(INDEX(MASTER!$E:$E,MATCH(_xlpm.pos,MASTER!$H:$H,0)),"mmddyy"),""),_xlpm.slot,96+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65" s="4" t="str">
        <f>_xlfn.LET(_xlpm.pos,"CDI plate 6: "&amp;$A10&amp;D$2,_xlpm.normal,IFERROR(INDEX(MASTER!$A:$A,MATCH(_xlpm.pos,MASTER!$H:$H,0))&amp;"_ser_0.20_"&amp;TEXT(INDEX(MASTER!$E:$E,MATCH(_xlpm.pos,MASTER!$H:$H,0)),"mmddyy"),""),_xlpm.slot,96+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65" s="4" t="str">
        <f>_xlfn.LET(_xlpm.pos,"CDI plate 6: "&amp;$A10&amp;E$2,_xlpm.normal,IFERROR(INDEX(MASTER!$A:$A,MATCH(_xlpm.pos,MASTER!$H:$H,0))&amp;"_ser_0.20_"&amp;TEXT(INDEX(MASTER!$E:$E,MATCH(_xlpm.pos,MASTER!$H:$H,0)),"mmddyy"),""),_xlpm.slot,96+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65" s="4" t="str">
        <f>_xlfn.LET(_xlpm.pos,"CDI plate 6: "&amp;$A10&amp;F$2,_xlpm.normal,IFERROR(INDEX(MASTER!$A:$A,MATCH(_xlpm.pos,MASTER!$H:$H,0))&amp;"_ser_0.20_"&amp;TEXT(INDEX(MASTER!$E:$E,MATCH(_xlpm.pos,MASTER!$H:$H,0)),"mmddyy"),""),_xlpm.slot,96+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65" s="4" t="str">
        <f>_xlfn.LET(_xlpm.pos,"CDI plate 6: "&amp;$A10&amp;G$2,_xlpm.normal,IFERROR(INDEX(MASTER!$A:$A,MATCH(_xlpm.pos,MASTER!$H:$H,0))&amp;"_ser_0.20_"&amp;TEXT(INDEX(MASTER!$E:$E,MATCH(_xlpm.pos,MASTER!$H:$H,0)),"mmddyy"),""),_xlpm.slot,96+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65" s="4" t="str">
        <f>_xlfn.LET(_xlpm.pos,"CDI plate 6: "&amp;$A10&amp;H$2,_xlpm.normal,IFERROR(INDEX(MASTER!$A:$A,MATCH(_xlpm.pos,MASTER!$H:$H,0))&amp;"_ser_0.20_"&amp;TEXT(INDEX(MASTER!$E:$E,MATCH(_xlpm.pos,MASTER!$H:$H,0)),"mmddyy"),""),_xlpm.slot,96+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65" s="4" t="str">
        <f>_xlfn.LET(_xlpm.pos,"CDI plate 6: "&amp;$A10&amp;I$2,_xlpm.normal,IFERROR(INDEX(MASTER!$A:$A,MATCH(_xlpm.pos,MASTER!$H:$H,0))&amp;"_ser_0.20_"&amp;TEXT(INDEX(MASTER!$E:$E,MATCH(_xlpm.pos,MASTER!$H:$H,0)),"mmddyy"),""),_xlpm.slot,96+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65" s="4" t="str">
        <f>_xlfn.LET(_xlpm.pos,"CDI plate 6: "&amp;$A10&amp;J$2,_xlpm.normal,IFERROR(INDEX(MASTER!$A:$A,MATCH(_xlpm.pos,MASTER!$H:$H,0))&amp;"_ser_0.20_"&amp;TEXT(INDEX(MASTER!$E:$E,MATCH(_xlpm.pos,MASTER!$H:$H,0)),"mmddyy"),""),_xlpm.slot,96+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65" s="4" t="str">
        <f>_xlfn.LET(_xlpm.pos,"CDI plate 6: "&amp;$A10&amp;K$2,_xlpm.normal,IFERROR(INDEX(MASTER!$A:$A,MATCH(_xlpm.pos,MASTER!$H:$H,0))&amp;"_ser_0.20_"&amp;TEXT(INDEX(MASTER!$E:$E,MATCH(_xlpm.pos,MASTER!$H:$H,0)),"mmddyy"),""),_xlpm.slot,96+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65" s="4" t="str">
        <f>_xlfn.LET(_xlpm.pos,"CDI plate 6: "&amp;$A10&amp;L$2,_xlpm.normal,IFERROR(INDEX(MASTER!$A:$A,MATCH(_xlpm.pos,MASTER!$H:$H,0))&amp;"_ser_0.20_"&amp;TEXT(INDEX(MASTER!$E:$E,MATCH(_xlpm.pos,MASTER!$H:$H,0)),"mmddyy"),""),_xlpm.slot,96+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65" s="4" t="str">
        <f>_xlfn.LET(_xlpm.pos,"CDI plate 6: "&amp;$A10&amp;M$2,_xlpm.normal,IFERROR(INDEX(MASTER!$A:$A,MATCH(_xlpm.pos,MASTER!$H:$H,0))&amp;"_ser_0.20_"&amp;TEXT(INDEX(MASTER!$E:$E,MATCH(_xlpm.pos,MASTER!$H:$H,0)),"mmddyy"),""),_xlpm.slot,96+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66" spans="1:13" ht="22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3" ht="22" customHeight="1" x14ac:dyDescent="0.35">
      <c r="A67" s="5"/>
      <c r="B67" s="31" t="s">
        <v>42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3"/>
    </row>
    <row r="68" spans="1:13" ht="22" customHeight="1" x14ac:dyDescent="0.3">
      <c r="A68" s="5"/>
      <c r="B68" s="6">
        <v>1</v>
      </c>
      <c r="C68" s="6">
        <v>2</v>
      </c>
      <c r="D68" s="6">
        <v>3</v>
      </c>
      <c r="E68" s="6">
        <v>4</v>
      </c>
      <c r="F68" s="6">
        <v>5</v>
      </c>
      <c r="G68" s="6">
        <v>6</v>
      </c>
      <c r="H68" s="6">
        <v>7</v>
      </c>
      <c r="I68" s="6">
        <v>8</v>
      </c>
      <c r="J68" s="6">
        <v>9</v>
      </c>
      <c r="K68" s="6">
        <v>10</v>
      </c>
      <c r="L68" s="6">
        <v>11</v>
      </c>
      <c r="M68" s="6">
        <v>12</v>
      </c>
    </row>
    <row r="69" spans="1:13" ht="22" customHeight="1" x14ac:dyDescent="0.3">
      <c r="A69" s="6" t="s">
        <v>30</v>
      </c>
      <c r="B69" s="4" t="str">
        <f>_xlfn.LET(_xlpm.pos,"CDI plate 7: "&amp;$A3&amp;B$2,_xlpm.normal,IFERROR(INDEX(MASTER!$A:$A,MATCH(_xlpm.pos,MASTER!$H:$H,0))&amp;"_ser_0.20_"&amp;TEXT(INDEX(MASTER!$E:$E,MATCH(_xlpm.pos,MASTER!$H:$H,0)),"mmddyy"),""),_xlpm.slot,96+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69" s="4" t="str">
        <f>_xlfn.LET(_xlpm.pos,"CDI plate 7: "&amp;$A3&amp;C$2,_xlpm.normal,IFERROR(INDEX(MASTER!$A:$A,MATCH(_xlpm.pos,MASTER!$H:$H,0))&amp;"_ser_0.20_"&amp;TEXT(INDEX(MASTER!$E:$E,MATCH(_xlpm.pos,MASTER!$H:$H,0)),"mmddyy"),""),_xlpm.slot,96+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69" s="4" t="str">
        <f>_xlfn.LET(_xlpm.pos,"CDI plate 7: "&amp;$A3&amp;D$2,_xlpm.normal,IFERROR(INDEX(MASTER!$A:$A,MATCH(_xlpm.pos,MASTER!$H:$H,0))&amp;"_ser_0.20_"&amp;TEXT(INDEX(MASTER!$E:$E,MATCH(_xlpm.pos,MASTER!$H:$H,0)),"mmddyy"),""),_xlpm.slot,96+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69" s="4" t="str">
        <f>_xlfn.LET(_xlpm.pos,"CDI plate 7: "&amp;$A3&amp;E$2,_xlpm.normal,IFERROR(INDEX(MASTER!$A:$A,MATCH(_xlpm.pos,MASTER!$H:$H,0))&amp;"_ser_0.20_"&amp;TEXT(INDEX(MASTER!$E:$E,MATCH(_xlpm.pos,MASTER!$H:$H,0)),"mmddyy"),""),_xlpm.slot,96+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69" s="4" t="str">
        <f>_xlfn.LET(_xlpm.pos,"CDI plate 7: "&amp;$A3&amp;F$2,_xlpm.normal,IFERROR(INDEX(MASTER!$A:$A,MATCH(_xlpm.pos,MASTER!$H:$H,0))&amp;"_ser_0.20_"&amp;TEXT(INDEX(MASTER!$E:$E,MATCH(_xlpm.pos,MASTER!$H:$H,0)),"mmddyy"),""),_xlpm.slot,96+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69" s="4" t="str">
        <f>_xlfn.LET(_xlpm.pos,"CDI plate 7: "&amp;$A3&amp;G$2,_xlpm.normal,IFERROR(INDEX(MASTER!$A:$A,MATCH(_xlpm.pos,MASTER!$H:$H,0))&amp;"_ser_0.20_"&amp;TEXT(INDEX(MASTER!$E:$E,MATCH(_xlpm.pos,MASTER!$H:$H,0)),"mmddyy"),""),_xlpm.slot,96+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69" s="4" t="str">
        <f>_xlfn.LET(_xlpm.pos,"CDI plate 7: "&amp;$A3&amp;H$2,_xlpm.normal,IFERROR(INDEX(MASTER!$A:$A,MATCH(_xlpm.pos,MASTER!$H:$H,0))&amp;"_ser_0.20_"&amp;TEXT(INDEX(MASTER!$E:$E,MATCH(_xlpm.pos,MASTER!$H:$H,0)),"mmddyy"),""),_xlpm.slot,96+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69" s="4" t="str">
        <f>_xlfn.LET(_xlpm.pos,"CDI plate 7: "&amp;$A3&amp;I$2,_xlpm.normal,IFERROR(INDEX(MASTER!$A:$A,MATCH(_xlpm.pos,MASTER!$H:$H,0))&amp;"_ser_0.20_"&amp;TEXT(INDEX(MASTER!$E:$E,MATCH(_xlpm.pos,MASTER!$H:$H,0)),"mmddyy"),""),_xlpm.slot,96+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69" s="4" t="str">
        <f>_xlfn.LET(_xlpm.pos,"CDI plate 7: "&amp;$A3&amp;J$2,_xlpm.normal,IFERROR(INDEX(MASTER!$A:$A,MATCH(_xlpm.pos,MASTER!$H:$H,0))&amp;"_ser_0.20_"&amp;TEXT(INDEX(MASTER!$E:$E,MATCH(_xlpm.pos,MASTER!$H:$H,0)),"mmddyy"),""),_xlpm.slot,96+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69" s="4" t="str">
        <f>_xlfn.LET(_xlpm.pos,"CDI plate 7: "&amp;$A3&amp;K$2,_xlpm.normal,IFERROR(INDEX(MASTER!$A:$A,MATCH(_xlpm.pos,MASTER!$H:$H,0))&amp;"_ser_0.20_"&amp;TEXT(INDEX(MASTER!$E:$E,MATCH(_xlpm.pos,MASTER!$H:$H,0)),"mmddyy"),""),_xlpm.slot,96+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69" s="4" t="str">
        <f>_xlfn.LET(_xlpm.pos,"CDI plate 7: "&amp;$A3&amp;L$2,_xlpm.normal,IFERROR(INDEX(MASTER!$A:$A,MATCH(_xlpm.pos,MASTER!$H:$H,0))&amp;"_ser_0.20_"&amp;TEXT(INDEX(MASTER!$E:$E,MATCH(_xlpm.pos,MASTER!$H:$H,0)),"mmddyy"),""),_xlpm.slot,96+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69" s="4" t="str">
        <f>_xlfn.LET(_xlpm.pos,"CDI plate 7: "&amp;$A3&amp;M$2,_xlpm.normal,IFERROR(INDEX(MASTER!$A:$A,MATCH(_xlpm.pos,MASTER!$H:$H,0))&amp;"_ser_0.20_"&amp;TEXT(INDEX(MASTER!$E:$E,MATCH(_xlpm.pos,MASTER!$H:$H,0)),"mmddyy"),""),_xlpm.slot,96+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70" spans="1:13" ht="22" customHeight="1" x14ac:dyDescent="0.3">
      <c r="A70" s="6" t="s">
        <v>31</v>
      </c>
      <c r="B70" s="4" t="str">
        <f>_xlfn.LET(_xlpm.pos,"CDI plate 7: "&amp;$A4&amp;B$2,_xlpm.normal,IFERROR(INDEX(MASTER!$A:$A,MATCH(_xlpm.pos,MASTER!$H:$H,0))&amp;"_ser_0.20_"&amp;TEXT(INDEX(MASTER!$E:$E,MATCH(_xlpm.pos,MASTER!$H:$H,0)),"mmddyy"),""),_xlpm.slot,96+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70" s="4" t="str">
        <f>_xlfn.LET(_xlpm.pos,"CDI plate 7: "&amp;$A4&amp;C$2,_xlpm.normal,IFERROR(INDEX(MASTER!$A:$A,MATCH(_xlpm.pos,MASTER!$H:$H,0))&amp;"_ser_0.20_"&amp;TEXT(INDEX(MASTER!$E:$E,MATCH(_xlpm.pos,MASTER!$H:$H,0)),"mmddyy"),""),_xlpm.slot,96+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70" s="4" t="str">
        <f>_xlfn.LET(_xlpm.pos,"CDI plate 7: "&amp;$A4&amp;D$2,_xlpm.normal,IFERROR(INDEX(MASTER!$A:$A,MATCH(_xlpm.pos,MASTER!$H:$H,0))&amp;"_ser_0.20_"&amp;TEXT(INDEX(MASTER!$E:$E,MATCH(_xlpm.pos,MASTER!$H:$H,0)),"mmddyy"),""),_xlpm.slot,96+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70" s="4" t="str">
        <f>_xlfn.LET(_xlpm.pos,"CDI plate 7: "&amp;$A4&amp;E$2,_xlpm.normal,IFERROR(INDEX(MASTER!$A:$A,MATCH(_xlpm.pos,MASTER!$H:$H,0))&amp;"_ser_0.20_"&amp;TEXT(INDEX(MASTER!$E:$E,MATCH(_xlpm.pos,MASTER!$H:$H,0)),"mmddyy"),""),_xlpm.slot,96+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70" s="4" t="str">
        <f>_xlfn.LET(_xlpm.pos,"CDI plate 7: "&amp;$A4&amp;F$2,_xlpm.normal,IFERROR(INDEX(MASTER!$A:$A,MATCH(_xlpm.pos,MASTER!$H:$H,0))&amp;"_ser_0.20_"&amp;TEXT(INDEX(MASTER!$E:$E,MATCH(_xlpm.pos,MASTER!$H:$H,0)),"mmddyy"),""),_xlpm.slot,96+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70" s="4" t="str">
        <f>_xlfn.LET(_xlpm.pos,"CDI plate 7: "&amp;$A4&amp;G$2,_xlpm.normal,IFERROR(INDEX(MASTER!$A:$A,MATCH(_xlpm.pos,MASTER!$H:$H,0))&amp;"_ser_0.20_"&amp;TEXT(INDEX(MASTER!$E:$E,MATCH(_xlpm.pos,MASTER!$H:$H,0)),"mmddyy"),""),_xlpm.slot,96+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70" s="4" t="str">
        <f>_xlfn.LET(_xlpm.pos,"CDI plate 7: "&amp;$A4&amp;H$2,_xlpm.normal,IFERROR(INDEX(MASTER!$A:$A,MATCH(_xlpm.pos,MASTER!$H:$H,0))&amp;"_ser_0.20_"&amp;TEXT(INDEX(MASTER!$E:$E,MATCH(_xlpm.pos,MASTER!$H:$H,0)),"mmddyy"),""),_xlpm.slot,96+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70" s="4" t="str">
        <f>_xlfn.LET(_xlpm.pos,"CDI plate 7: "&amp;$A4&amp;I$2,_xlpm.normal,IFERROR(INDEX(MASTER!$A:$A,MATCH(_xlpm.pos,MASTER!$H:$H,0))&amp;"_ser_0.20_"&amp;TEXT(INDEX(MASTER!$E:$E,MATCH(_xlpm.pos,MASTER!$H:$H,0)),"mmddyy"),""),_xlpm.slot,96+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70" s="4" t="str">
        <f>_xlfn.LET(_xlpm.pos,"CDI plate 7: "&amp;$A4&amp;J$2,_xlpm.normal,IFERROR(INDEX(MASTER!$A:$A,MATCH(_xlpm.pos,MASTER!$H:$H,0))&amp;"_ser_0.20_"&amp;TEXT(INDEX(MASTER!$E:$E,MATCH(_xlpm.pos,MASTER!$H:$H,0)),"mmddyy"),""),_xlpm.slot,96+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70" s="4" t="str">
        <f>_xlfn.LET(_xlpm.pos,"CDI plate 7: "&amp;$A4&amp;K$2,_xlpm.normal,IFERROR(INDEX(MASTER!$A:$A,MATCH(_xlpm.pos,MASTER!$H:$H,0))&amp;"_ser_0.20_"&amp;TEXT(INDEX(MASTER!$E:$E,MATCH(_xlpm.pos,MASTER!$H:$H,0)),"mmddyy"),""),_xlpm.slot,96+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70" s="4" t="str">
        <f>_xlfn.LET(_xlpm.pos,"CDI plate 7: "&amp;$A4&amp;L$2,_xlpm.normal,IFERROR(INDEX(MASTER!$A:$A,MATCH(_xlpm.pos,MASTER!$H:$H,0))&amp;"_ser_0.20_"&amp;TEXT(INDEX(MASTER!$E:$E,MATCH(_xlpm.pos,MASTER!$H:$H,0)),"mmddyy"),""),_xlpm.slot,96+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70" s="4" t="str">
        <f>_xlfn.LET(_xlpm.pos,"CDI plate 7: "&amp;$A4&amp;M$2,_xlpm.normal,IFERROR(INDEX(MASTER!$A:$A,MATCH(_xlpm.pos,MASTER!$H:$H,0))&amp;"_ser_0.20_"&amp;TEXT(INDEX(MASTER!$E:$E,MATCH(_xlpm.pos,MASTER!$H:$H,0)),"mmddyy"),""),_xlpm.slot,96+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71" spans="1:13" ht="22" customHeight="1" x14ac:dyDescent="0.3">
      <c r="A71" s="6" t="s">
        <v>32</v>
      </c>
      <c r="B71" s="4" t="str">
        <f>_xlfn.LET(_xlpm.pos,"CDI plate 7: "&amp;$A5&amp;B$2,_xlpm.normal,IFERROR(INDEX(MASTER!$A:$A,MATCH(_xlpm.pos,MASTER!$H:$H,0))&amp;"_ser_0.20_"&amp;TEXT(INDEX(MASTER!$E:$E,MATCH(_xlpm.pos,MASTER!$H:$H,0)),"mmddyy"),""),_xlpm.slot,96+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71" s="4" t="str">
        <f>_xlfn.LET(_xlpm.pos,"CDI plate 7: "&amp;$A5&amp;C$2,_xlpm.normal,IFERROR(INDEX(MASTER!$A:$A,MATCH(_xlpm.pos,MASTER!$H:$H,0))&amp;"_ser_0.20_"&amp;TEXT(INDEX(MASTER!$E:$E,MATCH(_xlpm.pos,MASTER!$H:$H,0)),"mmddyy"),""),_xlpm.slot,96+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71" s="4" t="str">
        <f>_xlfn.LET(_xlpm.pos,"CDI plate 7: "&amp;$A5&amp;D$2,_xlpm.normal,IFERROR(INDEX(MASTER!$A:$A,MATCH(_xlpm.pos,MASTER!$H:$H,0))&amp;"_ser_0.20_"&amp;TEXT(INDEX(MASTER!$E:$E,MATCH(_xlpm.pos,MASTER!$H:$H,0)),"mmddyy"),""),_xlpm.slot,96+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71" s="4" t="str">
        <f>_xlfn.LET(_xlpm.pos,"CDI plate 7: "&amp;$A5&amp;E$2,_xlpm.normal,IFERROR(INDEX(MASTER!$A:$A,MATCH(_xlpm.pos,MASTER!$H:$H,0))&amp;"_ser_0.20_"&amp;TEXT(INDEX(MASTER!$E:$E,MATCH(_xlpm.pos,MASTER!$H:$H,0)),"mmddyy"),""),_xlpm.slot,96+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71" s="4" t="str">
        <f>_xlfn.LET(_xlpm.pos,"CDI plate 7: "&amp;$A5&amp;F$2,_xlpm.normal,IFERROR(INDEX(MASTER!$A:$A,MATCH(_xlpm.pos,MASTER!$H:$H,0))&amp;"_ser_0.20_"&amp;TEXT(INDEX(MASTER!$E:$E,MATCH(_xlpm.pos,MASTER!$H:$H,0)),"mmddyy"),""),_xlpm.slot,96+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71" s="4" t="str">
        <f>_xlfn.LET(_xlpm.pos,"CDI plate 7: "&amp;$A5&amp;G$2,_xlpm.normal,IFERROR(INDEX(MASTER!$A:$A,MATCH(_xlpm.pos,MASTER!$H:$H,0))&amp;"_ser_0.20_"&amp;TEXT(INDEX(MASTER!$E:$E,MATCH(_xlpm.pos,MASTER!$H:$H,0)),"mmddyy"),""),_xlpm.slot,96+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71" s="4" t="str">
        <f>_xlfn.LET(_xlpm.pos,"CDI plate 7: "&amp;$A5&amp;H$2,_xlpm.normal,IFERROR(INDEX(MASTER!$A:$A,MATCH(_xlpm.pos,MASTER!$H:$H,0))&amp;"_ser_0.20_"&amp;TEXT(INDEX(MASTER!$E:$E,MATCH(_xlpm.pos,MASTER!$H:$H,0)),"mmddyy"),""),_xlpm.slot,96+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71" s="4" t="str">
        <f>_xlfn.LET(_xlpm.pos,"CDI plate 7: "&amp;$A5&amp;I$2,_xlpm.normal,IFERROR(INDEX(MASTER!$A:$A,MATCH(_xlpm.pos,MASTER!$H:$H,0))&amp;"_ser_0.20_"&amp;TEXT(INDEX(MASTER!$E:$E,MATCH(_xlpm.pos,MASTER!$H:$H,0)),"mmddyy"),""),_xlpm.slot,96+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71" s="4" t="str">
        <f>_xlfn.LET(_xlpm.pos,"CDI plate 7: "&amp;$A5&amp;J$2,_xlpm.normal,IFERROR(INDEX(MASTER!$A:$A,MATCH(_xlpm.pos,MASTER!$H:$H,0))&amp;"_ser_0.20_"&amp;TEXT(INDEX(MASTER!$E:$E,MATCH(_xlpm.pos,MASTER!$H:$H,0)),"mmddyy"),""),_xlpm.slot,96+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71" s="4" t="str">
        <f>_xlfn.LET(_xlpm.pos,"CDI plate 7: "&amp;$A5&amp;K$2,_xlpm.normal,IFERROR(INDEX(MASTER!$A:$A,MATCH(_xlpm.pos,MASTER!$H:$H,0))&amp;"_ser_0.20_"&amp;TEXT(INDEX(MASTER!$E:$E,MATCH(_xlpm.pos,MASTER!$H:$H,0)),"mmddyy"),""),_xlpm.slot,96+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71" s="4" t="str">
        <f>_xlfn.LET(_xlpm.pos,"CDI plate 7: "&amp;$A5&amp;L$2,_xlpm.normal,IFERROR(INDEX(MASTER!$A:$A,MATCH(_xlpm.pos,MASTER!$H:$H,0))&amp;"_ser_0.20_"&amp;TEXT(INDEX(MASTER!$E:$E,MATCH(_xlpm.pos,MASTER!$H:$H,0)),"mmddyy"),""),_xlpm.slot,96+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71" s="4" t="str">
        <f>_xlfn.LET(_xlpm.pos,"CDI plate 7: "&amp;$A5&amp;M$2,_xlpm.normal,IFERROR(INDEX(MASTER!$A:$A,MATCH(_xlpm.pos,MASTER!$H:$H,0))&amp;"_ser_0.20_"&amp;TEXT(INDEX(MASTER!$E:$E,MATCH(_xlpm.pos,MASTER!$H:$H,0)),"mmddyy"),""),_xlpm.slot,96+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72" spans="1:13" ht="22" customHeight="1" x14ac:dyDescent="0.3">
      <c r="A72" s="6" t="s">
        <v>33</v>
      </c>
      <c r="B72" s="4" t="str">
        <f>_xlfn.LET(_xlpm.pos,"CDI plate 7: "&amp;$A6&amp;B$2,_xlpm.normal,IFERROR(INDEX(MASTER!$A:$A,MATCH(_xlpm.pos,MASTER!$H:$H,0))&amp;"_ser_0.20_"&amp;TEXT(INDEX(MASTER!$E:$E,MATCH(_xlpm.pos,MASTER!$H:$H,0)),"mmddyy"),""),_xlpm.slot,96+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72" s="4" t="str">
        <f>_xlfn.LET(_xlpm.pos,"CDI plate 7: "&amp;$A6&amp;C$2,_xlpm.normal,IFERROR(INDEX(MASTER!$A:$A,MATCH(_xlpm.pos,MASTER!$H:$H,0))&amp;"_ser_0.20_"&amp;TEXT(INDEX(MASTER!$E:$E,MATCH(_xlpm.pos,MASTER!$H:$H,0)),"mmddyy"),""),_xlpm.slot,96+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72" s="4" t="str">
        <f>_xlfn.LET(_xlpm.pos,"CDI plate 7: "&amp;$A6&amp;D$2,_xlpm.normal,IFERROR(INDEX(MASTER!$A:$A,MATCH(_xlpm.pos,MASTER!$H:$H,0))&amp;"_ser_0.20_"&amp;TEXT(INDEX(MASTER!$E:$E,MATCH(_xlpm.pos,MASTER!$H:$H,0)),"mmddyy"),""),_xlpm.slot,96+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72" s="4" t="str">
        <f>_xlfn.LET(_xlpm.pos,"CDI plate 7: "&amp;$A6&amp;E$2,_xlpm.normal,IFERROR(INDEX(MASTER!$A:$A,MATCH(_xlpm.pos,MASTER!$H:$H,0))&amp;"_ser_0.20_"&amp;TEXT(INDEX(MASTER!$E:$E,MATCH(_xlpm.pos,MASTER!$H:$H,0)),"mmddyy"),""),_xlpm.slot,96+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72" s="4" t="str">
        <f>_xlfn.LET(_xlpm.pos,"CDI plate 7: "&amp;$A6&amp;F$2,_xlpm.normal,IFERROR(INDEX(MASTER!$A:$A,MATCH(_xlpm.pos,MASTER!$H:$H,0))&amp;"_ser_0.20_"&amp;TEXT(INDEX(MASTER!$E:$E,MATCH(_xlpm.pos,MASTER!$H:$H,0)),"mmddyy"),""),_xlpm.slot,96+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72" s="4" t="str">
        <f>_xlfn.LET(_xlpm.pos,"CDI plate 7: "&amp;$A6&amp;G$2,_xlpm.normal,IFERROR(INDEX(MASTER!$A:$A,MATCH(_xlpm.pos,MASTER!$H:$H,0))&amp;"_ser_0.20_"&amp;TEXT(INDEX(MASTER!$E:$E,MATCH(_xlpm.pos,MASTER!$H:$H,0)),"mmddyy"),""),_xlpm.slot,96+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72" s="4" t="str">
        <f>_xlfn.LET(_xlpm.pos,"CDI plate 7: "&amp;$A6&amp;H$2,_xlpm.normal,IFERROR(INDEX(MASTER!$A:$A,MATCH(_xlpm.pos,MASTER!$H:$H,0))&amp;"_ser_0.20_"&amp;TEXT(INDEX(MASTER!$E:$E,MATCH(_xlpm.pos,MASTER!$H:$H,0)),"mmddyy"),""),_xlpm.slot,96+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72" s="4" t="str">
        <f>_xlfn.LET(_xlpm.pos,"CDI plate 7: "&amp;$A6&amp;I$2,_xlpm.normal,IFERROR(INDEX(MASTER!$A:$A,MATCH(_xlpm.pos,MASTER!$H:$H,0))&amp;"_ser_0.20_"&amp;TEXT(INDEX(MASTER!$E:$E,MATCH(_xlpm.pos,MASTER!$H:$H,0)),"mmddyy"),""),_xlpm.slot,96+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72" s="4" t="str">
        <f>_xlfn.LET(_xlpm.pos,"CDI plate 7: "&amp;$A6&amp;J$2,_xlpm.normal,IFERROR(INDEX(MASTER!$A:$A,MATCH(_xlpm.pos,MASTER!$H:$H,0))&amp;"_ser_0.20_"&amp;TEXT(INDEX(MASTER!$E:$E,MATCH(_xlpm.pos,MASTER!$H:$H,0)),"mmddyy"),""),_xlpm.slot,96+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72" s="4" t="str">
        <f>_xlfn.LET(_xlpm.pos,"CDI plate 7: "&amp;$A6&amp;K$2,_xlpm.normal,IFERROR(INDEX(MASTER!$A:$A,MATCH(_xlpm.pos,MASTER!$H:$H,0))&amp;"_ser_0.20_"&amp;TEXT(INDEX(MASTER!$E:$E,MATCH(_xlpm.pos,MASTER!$H:$H,0)),"mmddyy"),""),_xlpm.slot,96+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72" s="4" t="str">
        <f>_xlfn.LET(_xlpm.pos,"CDI plate 7: "&amp;$A6&amp;L$2,_xlpm.normal,IFERROR(INDEX(MASTER!$A:$A,MATCH(_xlpm.pos,MASTER!$H:$H,0))&amp;"_ser_0.20_"&amp;TEXT(INDEX(MASTER!$E:$E,MATCH(_xlpm.pos,MASTER!$H:$H,0)),"mmddyy"),""),_xlpm.slot,96+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72" s="4" t="str">
        <f>_xlfn.LET(_xlpm.pos,"CDI plate 7: "&amp;$A6&amp;M$2,_xlpm.normal,IFERROR(INDEX(MASTER!$A:$A,MATCH(_xlpm.pos,MASTER!$H:$H,0))&amp;"_ser_0.20_"&amp;TEXT(INDEX(MASTER!$E:$E,MATCH(_xlpm.pos,MASTER!$H:$H,0)),"mmddyy"),""),_xlpm.slot,96+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73" spans="1:13" ht="22" customHeight="1" x14ac:dyDescent="0.3">
      <c r="A73" s="6" t="s">
        <v>34</v>
      </c>
      <c r="B73" s="4" t="str">
        <f>_xlfn.LET(_xlpm.pos,"CDI plate 7: "&amp;$A7&amp;B$2,_xlpm.normal,IFERROR(INDEX(MASTER!$A:$A,MATCH(_xlpm.pos,MASTER!$H:$H,0))&amp;"_ser_0.20_"&amp;TEXT(INDEX(MASTER!$E:$E,MATCH(_xlpm.pos,MASTER!$H:$H,0)),"mmddyy"),""),_xlpm.slot,96+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73" s="4" t="str">
        <f>_xlfn.LET(_xlpm.pos,"CDI plate 7: "&amp;$A7&amp;C$2,_xlpm.normal,IFERROR(INDEX(MASTER!$A:$A,MATCH(_xlpm.pos,MASTER!$H:$H,0))&amp;"_ser_0.20_"&amp;TEXT(INDEX(MASTER!$E:$E,MATCH(_xlpm.pos,MASTER!$H:$H,0)),"mmddyy"),""),_xlpm.slot,96+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73" s="4" t="str">
        <f>_xlfn.LET(_xlpm.pos,"CDI plate 7: "&amp;$A7&amp;D$2,_xlpm.normal,IFERROR(INDEX(MASTER!$A:$A,MATCH(_xlpm.pos,MASTER!$H:$H,0))&amp;"_ser_0.20_"&amp;TEXT(INDEX(MASTER!$E:$E,MATCH(_xlpm.pos,MASTER!$H:$H,0)),"mmddyy"),""),_xlpm.slot,96+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73" s="4" t="str">
        <f>_xlfn.LET(_xlpm.pos,"CDI plate 7: "&amp;$A7&amp;E$2,_xlpm.normal,IFERROR(INDEX(MASTER!$A:$A,MATCH(_xlpm.pos,MASTER!$H:$H,0))&amp;"_ser_0.20_"&amp;TEXT(INDEX(MASTER!$E:$E,MATCH(_xlpm.pos,MASTER!$H:$H,0)),"mmddyy"),""),_xlpm.slot,96+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73" s="4" t="str">
        <f>_xlfn.LET(_xlpm.pos,"CDI plate 7: "&amp;$A7&amp;F$2,_xlpm.normal,IFERROR(INDEX(MASTER!$A:$A,MATCH(_xlpm.pos,MASTER!$H:$H,0))&amp;"_ser_0.20_"&amp;TEXT(INDEX(MASTER!$E:$E,MATCH(_xlpm.pos,MASTER!$H:$H,0)),"mmddyy"),""),_xlpm.slot,96+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73" s="4" t="str">
        <f>_xlfn.LET(_xlpm.pos,"CDI plate 7: "&amp;$A7&amp;G$2,_xlpm.normal,IFERROR(INDEX(MASTER!$A:$A,MATCH(_xlpm.pos,MASTER!$H:$H,0))&amp;"_ser_0.20_"&amp;TEXT(INDEX(MASTER!$E:$E,MATCH(_xlpm.pos,MASTER!$H:$H,0)),"mmddyy"),""),_xlpm.slot,96+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73" s="4" t="str">
        <f>_xlfn.LET(_xlpm.pos,"CDI plate 7: "&amp;$A7&amp;H$2,_xlpm.normal,IFERROR(INDEX(MASTER!$A:$A,MATCH(_xlpm.pos,MASTER!$H:$H,0))&amp;"_ser_0.20_"&amp;TEXT(INDEX(MASTER!$E:$E,MATCH(_xlpm.pos,MASTER!$H:$H,0)),"mmddyy"),""),_xlpm.slot,96+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73" s="4" t="str">
        <f>_xlfn.LET(_xlpm.pos,"CDI plate 7: "&amp;$A7&amp;I$2,_xlpm.normal,IFERROR(INDEX(MASTER!$A:$A,MATCH(_xlpm.pos,MASTER!$H:$H,0))&amp;"_ser_0.20_"&amp;TEXT(INDEX(MASTER!$E:$E,MATCH(_xlpm.pos,MASTER!$H:$H,0)),"mmddyy"),""),_xlpm.slot,96+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73" s="4" t="str">
        <f>_xlfn.LET(_xlpm.pos,"CDI plate 7: "&amp;$A7&amp;J$2,_xlpm.normal,IFERROR(INDEX(MASTER!$A:$A,MATCH(_xlpm.pos,MASTER!$H:$H,0))&amp;"_ser_0.20_"&amp;TEXT(INDEX(MASTER!$E:$E,MATCH(_xlpm.pos,MASTER!$H:$H,0)),"mmddyy"),""),_xlpm.slot,96+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73" s="4" t="str">
        <f>_xlfn.LET(_xlpm.pos,"CDI plate 7: "&amp;$A7&amp;K$2,_xlpm.normal,IFERROR(INDEX(MASTER!$A:$A,MATCH(_xlpm.pos,MASTER!$H:$H,0))&amp;"_ser_0.20_"&amp;TEXT(INDEX(MASTER!$E:$E,MATCH(_xlpm.pos,MASTER!$H:$H,0)),"mmddyy"),""),_xlpm.slot,96+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73" s="4" t="str">
        <f>_xlfn.LET(_xlpm.pos,"CDI plate 7: "&amp;$A7&amp;L$2,_xlpm.normal,IFERROR(INDEX(MASTER!$A:$A,MATCH(_xlpm.pos,MASTER!$H:$H,0))&amp;"_ser_0.20_"&amp;TEXT(INDEX(MASTER!$E:$E,MATCH(_xlpm.pos,MASTER!$H:$H,0)),"mmddyy"),""),_xlpm.slot,96+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73" s="4" t="str">
        <f>_xlfn.LET(_xlpm.pos,"CDI plate 7: "&amp;$A7&amp;M$2,_xlpm.normal,IFERROR(INDEX(MASTER!$A:$A,MATCH(_xlpm.pos,MASTER!$H:$H,0))&amp;"_ser_0.20_"&amp;TEXT(INDEX(MASTER!$E:$E,MATCH(_xlpm.pos,MASTER!$H:$H,0)),"mmddyy"),""),_xlpm.slot,96+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74" spans="1:13" ht="22" customHeight="1" x14ac:dyDescent="0.3">
      <c r="A74" s="6" t="s">
        <v>15</v>
      </c>
      <c r="B74" s="4" t="str">
        <f>_xlfn.LET(_xlpm.pos,"CDI plate 7: "&amp;$A8&amp;B$2,_xlpm.normal,IFERROR(INDEX(MASTER!$A:$A,MATCH(_xlpm.pos,MASTER!$H:$H,0))&amp;"_ser_0.20_"&amp;TEXT(INDEX(MASTER!$E:$E,MATCH(_xlpm.pos,MASTER!$H:$H,0)),"mmddyy"),""),_xlpm.slot,96+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74" s="4" t="str">
        <f>_xlfn.LET(_xlpm.pos,"CDI plate 7: "&amp;$A8&amp;C$2,_xlpm.normal,IFERROR(INDEX(MASTER!$A:$A,MATCH(_xlpm.pos,MASTER!$H:$H,0))&amp;"_ser_0.20_"&amp;TEXT(INDEX(MASTER!$E:$E,MATCH(_xlpm.pos,MASTER!$H:$H,0)),"mmddyy"),""),_xlpm.slot,96+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74" s="4" t="str">
        <f>_xlfn.LET(_xlpm.pos,"CDI plate 7: "&amp;$A8&amp;D$2,_xlpm.normal,IFERROR(INDEX(MASTER!$A:$A,MATCH(_xlpm.pos,MASTER!$H:$H,0))&amp;"_ser_0.20_"&amp;TEXT(INDEX(MASTER!$E:$E,MATCH(_xlpm.pos,MASTER!$H:$H,0)),"mmddyy"),""),_xlpm.slot,96+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74" s="4" t="str">
        <f>_xlfn.LET(_xlpm.pos,"CDI plate 7: "&amp;$A8&amp;E$2,_xlpm.normal,IFERROR(INDEX(MASTER!$A:$A,MATCH(_xlpm.pos,MASTER!$H:$H,0))&amp;"_ser_0.20_"&amp;TEXT(INDEX(MASTER!$E:$E,MATCH(_xlpm.pos,MASTER!$H:$H,0)),"mmddyy"),""),_xlpm.slot,96+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74" s="4" t="str">
        <f>_xlfn.LET(_xlpm.pos,"CDI plate 7: "&amp;$A8&amp;F$2,_xlpm.normal,IFERROR(INDEX(MASTER!$A:$A,MATCH(_xlpm.pos,MASTER!$H:$H,0))&amp;"_ser_0.20_"&amp;TEXT(INDEX(MASTER!$E:$E,MATCH(_xlpm.pos,MASTER!$H:$H,0)),"mmddyy"),""),_xlpm.slot,96+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74" s="4" t="str">
        <f>_xlfn.LET(_xlpm.pos,"CDI plate 7: "&amp;$A8&amp;G$2,_xlpm.normal,IFERROR(INDEX(MASTER!$A:$A,MATCH(_xlpm.pos,MASTER!$H:$H,0))&amp;"_ser_0.20_"&amp;TEXT(INDEX(MASTER!$E:$E,MATCH(_xlpm.pos,MASTER!$H:$H,0)),"mmddyy"),""),_xlpm.slot,96+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74" s="4" t="str">
        <f>_xlfn.LET(_xlpm.pos,"CDI plate 7: "&amp;$A8&amp;H$2,_xlpm.normal,IFERROR(INDEX(MASTER!$A:$A,MATCH(_xlpm.pos,MASTER!$H:$H,0))&amp;"_ser_0.20_"&amp;TEXT(INDEX(MASTER!$E:$E,MATCH(_xlpm.pos,MASTER!$H:$H,0)),"mmddyy"),""),_xlpm.slot,96+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74" s="4" t="str">
        <f>_xlfn.LET(_xlpm.pos,"CDI plate 7: "&amp;$A8&amp;I$2,_xlpm.normal,IFERROR(INDEX(MASTER!$A:$A,MATCH(_xlpm.pos,MASTER!$H:$H,0))&amp;"_ser_0.20_"&amp;TEXT(INDEX(MASTER!$E:$E,MATCH(_xlpm.pos,MASTER!$H:$H,0)),"mmddyy"),""),_xlpm.slot,96+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74" s="4" t="str">
        <f>_xlfn.LET(_xlpm.pos,"CDI plate 7: "&amp;$A8&amp;J$2,_xlpm.normal,IFERROR(INDEX(MASTER!$A:$A,MATCH(_xlpm.pos,MASTER!$H:$H,0))&amp;"_ser_0.20_"&amp;TEXT(INDEX(MASTER!$E:$E,MATCH(_xlpm.pos,MASTER!$H:$H,0)),"mmddyy"),""),_xlpm.slot,96+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74" s="4" t="str">
        <f>_xlfn.LET(_xlpm.pos,"CDI plate 7: "&amp;$A8&amp;K$2,_xlpm.normal,IFERROR(INDEX(MASTER!$A:$A,MATCH(_xlpm.pos,MASTER!$H:$H,0))&amp;"_ser_0.20_"&amp;TEXT(INDEX(MASTER!$E:$E,MATCH(_xlpm.pos,MASTER!$H:$H,0)),"mmddyy"),""),_xlpm.slot,96+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74" s="4" t="str">
        <f>_xlfn.LET(_xlpm.pos,"CDI plate 7: "&amp;$A8&amp;L$2,_xlpm.normal,IFERROR(INDEX(MASTER!$A:$A,MATCH(_xlpm.pos,MASTER!$H:$H,0))&amp;"_ser_0.20_"&amp;TEXT(INDEX(MASTER!$E:$E,MATCH(_xlpm.pos,MASTER!$H:$H,0)),"mmddyy"),""),_xlpm.slot,96+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74" s="4" t="str">
        <f>_xlfn.LET(_xlpm.pos,"CDI plate 7: "&amp;$A8&amp;M$2,_xlpm.normal,IFERROR(INDEX(MASTER!$A:$A,MATCH(_xlpm.pos,MASTER!$H:$H,0))&amp;"_ser_0.20_"&amp;TEXT(INDEX(MASTER!$E:$E,MATCH(_xlpm.pos,MASTER!$H:$H,0)),"mmddyy"),""),_xlpm.slot,96+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75" spans="1:13" ht="22" customHeight="1" x14ac:dyDescent="0.3">
      <c r="A75" s="6" t="s">
        <v>35</v>
      </c>
      <c r="B75" s="4" t="str">
        <f>_xlfn.LET(_xlpm.pos,"CDI plate 7: "&amp;$A9&amp;B$2,_xlpm.normal,IFERROR(INDEX(MASTER!$A:$A,MATCH(_xlpm.pos,MASTER!$H:$H,0))&amp;"_ser_0.20_"&amp;TEXT(INDEX(MASTER!$E:$E,MATCH(_xlpm.pos,MASTER!$H:$H,0)),"mmddyy"),""),_xlpm.slot,96+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75" s="4" t="str">
        <f>_xlfn.LET(_xlpm.pos,"CDI plate 7: "&amp;$A9&amp;C$2,_xlpm.normal,IFERROR(INDEX(MASTER!$A:$A,MATCH(_xlpm.pos,MASTER!$H:$H,0))&amp;"_ser_0.20_"&amp;TEXT(INDEX(MASTER!$E:$E,MATCH(_xlpm.pos,MASTER!$H:$H,0)),"mmddyy"),""),_xlpm.slot,96+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75" s="4" t="str">
        <f>_xlfn.LET(_xlpm.pos,"CDI plate 7: "&amp;$A9&amp;D$2,_xlpm.normal,IFERROR(INDEX(MASTER!$A:$A,MATCH(_xlpm.pos,MASTER!$H:$H,0))&amp;"_ser_0.20_"&amp;TEXT(INDEX(MASTER!$E:$E,MATCH(_xlpm.pos,MASTER!$H:$H,0)),"mmddyy"),""),_xlpm.slot,96+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75" s="4" t="str">
        <f>_xlfn.LET(_xlpm.pos,"CDI plate 7: "&amp;$A9&amp;E$2,_xlpm.normal,IFERROR(INDEX(MASTER!$A:$A,MATCH(_xlpm.pos,MASTER!$H:$H,0))&amp;"_ser_0.20_"&amp;TEXT(INDEX(MASTER!$E:$E,MATCH(_xlpm.pos,MASTER!$H:$H,0)),"mmddyy"),""),_xlpm.slot,96+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75" s="4" t="str">
        <f>_xlfn.LET(_xlpm.pos,"CDI plate 7: "&amp;$A9&amp;F$2,_xlpm.normal,IFERROR(INDEX(MASTER!$A:$A,MATCH(_xlpm.pos,MASTER!$H:$H,0))&amp;"_ser_0.20_"&amp;TEXT(INDEX(MASTER!$E:$E,MATCH(_xlpm.pos,MASTER!$H:$H,0)),"mmddyy"),""),_xlpm.slot,96+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75" s="4" t="str">
        <f>_xlfn.LET(_xlpm.pos,"CDI plate 7: "&amp;$A9&amp;G$2,_xlpm.normal,IFERROR(INDEX(MASTER!$A:$A,MATCH(_xlpm.pos,MASTER!$H:$H,0))&amp;"_ser_0.20_"&amp;TEXT(INDEX(MASTER!$E:$E,MATCH(_xlpm.pos,MASTER!$H:$H,0)),"mmddyy"),""),_xlpm.slot,96+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75" s="4" t="str">
        <f>_xlfn.LET(_xlpm.pos,"CDI plate 7: "&amp;$A9&amp;H$2,_xlpm.normal,IFERROR(INDEX(MASTER!$A:$A,MATCH(_xlpm.pos,MASTER!$H:$H,0))&amp;"_ser_0.20_"&amp;TEXT(INDEX(MASTER!$E:$E,MATCH(_xlpm.pos,MASTER!$H:$H,0)),"mmddyy"),""),_xlpm.slot,96+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75" s="4" t="str">
        <f>_xlfn.LET(_xlpm.pos,"CDI plate 7: "&amp;$A9&amp;I$2,_xlpm.normal,IFERROR(INDEX(MASTER!$A:$A,MATCH(_xlpm.pos,MASTER!$H:$H,0))&amp;"_ser_0.20_"&amp;TEXT(INDEX(MASTER!$E:$E,MATCH(_xlpm.pos,MASTER!$H:$H,0)),"mmddyy"),""),_xlpm.slot,96+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75" s="4" t="str">
        <f>_xlfn.LET(_xlpm.pos,"CDI plate 7: "&amp;$A9&amp;J$2,_xlpm.normal,IFERROR(INDEX(MASTER!$A:$A,MATCH(_xlpm.pos,MASTER!$H:$H,0))&amp;"_ser_0.20_"&amp;TEXT(INDEX(MASTER!$E:$E,MATCH(_xlpm.pos,MASTER!$H:$H,0)),"mmddyy"),""),_xlpm.slot,96+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75" s="4" t="str">
        <f>_xlfn.LET(_xlpm.pos,"CDI plate 7: "&amp;$A9&amp;K$2,_xlpm.normal,IFERROR(INDEX(MASTER!$A:$A,MATCH(_xlpm.pos,MASTER!$H:$H,0))&amp;"_ser_0.20_"&amp;TEXT(INDEX(MASTER!$E:$E,MATCH(_xlpm.pos,MASTER!$H:$H,0)),"mmddyy"),""),_xlpm.slot,96+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75" s="4" t="str">
        <f>_xlfn.LET(_xlpm.pos,"CDI plate 7: "&amp;$A9&amp;L$2,_xlpm.normal,IFERROR(INDEX(MASTER!$A:$A,MATCH(_xlpm.pos,MASTER!$H:$H,0))&amp;"_ser_0.20_"&amp;TEXT(INDEX(MASTER!$E:$E,MATCH(_xlpm.pos,MASTER!$H:$H,0)),"mmddyy"),""),_xlpm.slot,96+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75" s="4" t="str">
        <f>_xlfn.LET(_xlpm.pos,"CDI plate 7: "&amp;$A9&amp;M$2,_xlpm.normal,IFERROR(INDEX(MASTER!$A:$A,MATCH(_xlpm.pos,MASTER!$H:$H,0))&amp;"_ser_0.20_"&amp;TEXT(INDEX(MASTER!$E:$E,MATCH(_xlpm.pos,MASTER!$H:$H,0)),"mmddyy"),""),_xlpm.slot,96+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76" spans="1:13" ht="22" customHeight="1" x14ac:dyDescent="0.3">
      <c r="A76" s="6" t="s">
        <v>36</v>
      </c>
      <c r="B76" s="4" t="str">
        <f>_xlfn.LET(_xlpm.pos,"CDI plate 7: "&amp;$A10&amp;B$2,_xlpm.normal,IFERROR(INDEX(MASTER!$A:$A,MATCH(_xlpm.pos,MASTER!$H:$H,0))&amp;"_ser_0.20_"&amp;TEXT(INDEX(MASTER!$E:$E,MATCH(_xlpm.pos,MASTER!$H:$H,0)),"mmddyy"),""),_xlpm.slot,96+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76" s="4" t="str">
        <f>_xlfn.LET(_xlpm.pos,"CDI plate 7: "&amp;$A10&amp;C$2,_xlpm.normal,IFERROR(INDEX(MASTER!$A:$A,MATCH(_xlpm.pos,MASTER!$H:$H,0))&amp;"_ser_0.20_"&amp;TEXT(INDEX(MASTER!$E:$E,MATCH(_xlpm.pos,MASTER!$H:$H,0)),"mmddyy"),""),_xlpm.slot,96+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76" s="4" t="str">
        <f>_xlfn.LET(_xlpm.pos,"CDI plate 7: "&amp;$A10&amp;D$2,_xlpm.normal,IFERROR(INDEX(MASTER!$A:$A,MATCH(_xlpm.pos,MASTER!$H:$H,0))&amp;"_ser_0.20_"&amp;TEXT(INDEX(MASTER!$E:$E,MATCH(_xlpm.pos,MASTER!$H:$H,0)),"mmddyy"),""),_xlpm.slot,96+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76" s="4" t="str">
        <f>_xlfn.LET(_xlpm.pos,"CDI plate 7: "&amp;$A10&amp;E$2,_xlpm.normal,IFERROR(INDEX(MASTER!$A:$A,MATCH(_xlpm.pos,MASTER!$H:$H,0))&amp;"_ser_0.20_"&amp;TEXT(INDEX(MASTER!$E:$E,MATCH(_xlpm.pos,MASTER!$H:$H,0)),"mmddyy"),""),_xlpm.slot,96+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76" s="4" t="str">
        <f>_xlfn.LET(_xlpm.pos,"CDI plate 7: "&amp;$A10&amp;F$2,_xlpm.normal,IFERROR(INDEX(MASTER!$A:$A,MATCH(_xlpm.pos,MASTER!$H:$H,0))&amp;"_ser_0.20_"&amp;TEXT(INDEX(MASTER!$E:$E,MATCH(_xlpm.pos,MASTER!$H:$H,0)),"mmddyy"),""),_xlpm.slot,96+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76" s="4" t="str">
        <f>_xlfn.LET(_xlpm.pos,"CDI plate 7: "&amp;$A10&amp;G$2,_xlpm.normal,IFERROR(INDEX(MASTER!$A:$A,MATCH(_xlpm.pos,MASTER!$H:$H,0))&amp;"_ser_0.20_"&amp;TEXT(INDEX(MASTER!$E:$E,MATCH(_xlpm.pos,MASTER!$H:$H,0)),"mmddyy"),""),_xlpm.slot,96+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76" s="4" t="str">
        <f>_xlfn.LET(_xlpm.pos,"CDI plate 7: "&amp;$A10&amp;H$2,_xlpm.normal,IFERROR(INDEX(MASTER!$A:$A,MATCH(_xlpm.pos,MASTER!$H:$H,0))&amp;"_ser_0.20_"&amp;TEXT(INDEX(MASTER!$E:$E,MATCH(_xlpm.pos,MASTER!$H:$H,0)),"mmddyy"),""),_xlpm.slot,96+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76" s="4" t="str">
        <f>_xlfn.LET(_xlpm.pos,"CDI plate 7: "&amp;$A10&amp;I$2,_xlpm.normal,IFERROR(INDEX(MASTER!$A:$A,MATCH(_xlpm.pos,MASTER!$H:$H,0))&amp;"_ser_0.20_"&amp;TEXT(INDEX(MASTER!$E:$E,MATCH(_xlpm.pos,MASTER!$H:$H,0)),"mmddyy"),""),_xlpm.slot,96+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76" s="4" t="str">
        <f>_xlfn.LET(_xlpm.pos,"CDI plate 7: "&amp;$A10&amp;J$2,_xlpm.normal,IFERROR(INDEX(MASTER!$A:$A,MATCH(_xlpm.pos,MASTER!$H:$H,0))&amp;"_ser_0.20_"&amp;TEXT(INDEX(MASTER!$E:$E,MATCH(_xlpm.pos,MASTER!$H:$H,0)),"mmddyy"),""),_xlpm.slot,96+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76" s="4" t="str">
        <f>_xlfn.LET(_xlpm.pos,"CDI plate 7: "&amp;$A10&amp;K$2,_xlpm.normal,IFERROR(INDEX(MASTER!$A:$A,MATCH(_xlpm.pos,MASTER!$H:$H,0))&amp;"_ser_0.20_"&amp;TEXT(INDEX(MASTER!$E:$E,MATCH(_xlpm.pos,MASTER!$H:$H,0)),"mmddyy"),""),_xlpm.slot,96+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76" s="4" t="str">
        <f>_xlfn.LET(_xlpm.pos,"CDI plate 7: "&amp;$A10&amp;L$2,_xlpm.normal,IFERROR(INDEX(MASTER!$A:$A,MATCH(_xlpm.pos,MASTER!$H:$H,0))&amp;"_ser_0.20_"&amp;TEXT(INDEX(MASTER!$E:$E,MATCH(_xlpm.pos,MASTER!$H:$H,0)),"mmddyy"),""),_xlpm.slot,96+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76" s="4" t="str">
        <f>_xlfn.LET(_xlpm.pos,"CDI plate 7: "&amp;$A10&amp;M$2,_xlpm.normal,IFERROR(INDEX(MASTER!$A:$A,MATCH(_xlpm.pos,MASTER!$H:$H,0))&amp;"_ser_0.20_"&amp;TEXT(INDEX(MASTER!$E:$E,MATCH(_xlpm.pos,MASTER!$H:$H,0)),"mmddyy"),""),_xlpm.slot,96+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77" spans="1:13" ht="22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1:13" ht="22" customHeight="1" x14ac:dyDescent="0.35">
      <c r="A78" s="5"/>
      <c r="B78" s="31" t="s">
        <v>43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3"/>
    </row>
    <row r="79" spans="1:13" ht="22" customHeight="1" x14ac:dyDescent="0.3">
      <c r="A79" s="5"/>
      <c r="B79" s="6">
        <v>1</v>
      </c>
      <c r="C79" s="6">
        <v>2</v>
      </c>
      <c r="D79" s="6">
        <v>3</v>
      </c>
      <c r="E79" s="6">
        <v>4</v>
      </c>
      <c r="F79" s="6">
        <v>5</v>
      </c>
      <c r="G79" s="6">
        <v>6</v>
      </c>
      <c r="H79" s="6">
        <v>7</v>
      </c>
      <c r="I79" s="6">
        <v>8</v>
      </c>
      <c r="J79" s="6">
        <v>9</v>
      </c>
      <c r="K79" s="6">
        <v>10</v>
      </c>
      <c r="L79" s="6">
        <v>11</v>
      </c>
      <c r="M79" s="6">
        <v>12</v>
      </c>
    </row>
    <row r="80" spans="1:13" ht="22" customHeight="1" x14ac:dyDescent="0.3">
      <c r="A80" s="6" t="s">
        <v>30</v>
      </c>
      <c r="B80" s="4" t="str">
        <f>_xlfn.LET(_xlpm.pos,"CDI plate 8: "&amp;$A3&amp;B$2,_xlpm.normal,IFERROR(INDEX(MASTER!$A:$A,MATCH(_xlpm.pos,MASTER!$H:$H,0))&amp;"_ser_0.20_"&amp;TEXT(INDEX(MASTER!$E:$E,MATCH(_xlpm.pos,MASTER!$H:$H,0)),"mmddyy"),""),_xlpm.slot,96+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80" s="4" t="str">
        <f>_xlfn.LET(_xlpm.pos,"CDI plate 8: "&amp;$A3&amp;C$2,_xlpm.normal,IFERROR(INDEX(MASTER!$A:$A,MATCH(_xlpm.pos,MASTER!$H:$H,0))&amp;"_ser_0.20_"&amp;TEXT(INDEX(MASTER!$E:$E,MATCH(_xlpm.pos,MASTER!$H:$H,0)),"mmddyy"),""),_xlpm.slot,96+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80" s="4" t="str">
        <f>_xlfn.LET(_xlpm.pos,"CDI plate 8: "&amp;$A3&amp;D$2,_xlpm.normal,IFERROR(INDEX(MASTER!$A:$A,MATCH(_xlpm.pos,MASTER!$H:$H,0))&amp;"_ser_0.20_"&amp;TEXT(INDEX(MASTER!$E:$E,MATCH(_xlpm.pos,MASTER!$H:$H,0)),"mmddyy"),""),_xlpm.slot,96+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80" s="4" t="str">
        <f>_xlfn.LET(_xlpm.pos,"CDI plate 8: "&amp;$A3&amp;E$2,_xlpm.normal,IFERROR(INDEX(MASTER!$A:$A,MATCH(_xlpm.pos,MASTER!$H:$H,0))&amp;"_ser_0.20_"&amp;TEXT(INDEX(MASTER!$E:$E,MATCH(_xlpm.pos,MASTER!$H:$H,0)),"mmddyy"),""),_xlpm.slot,96+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80" s="4" t="str">
        <f>_xlfn.LET(_xlpm.pos,"CDI plate 8: "&amp;$A3&amp;F$2,_xlpm.normal,IFERROR(INDEX(MASTER!$A:$A,MATCH(_xlpm.pos,MASTER!$H:$H,0))&amp;"_ser_0.20_"&amp;TEXT(INDEX(MASTER!$E:$E,MATCH(_xlpm.pos,MASTER!$H:$H,0)),"mmddyy"),""),_xlpm.slot,96+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80" s="4" t="str">
        <f>_xlfn.LET(_xlpm.pos,"CDI plate 8: "&amp;$A3&amp;G$2,_xlpm.normal,IFERROR(INDEX(MASTER!$A:$A,MATCH(_xlpm.pos,MASTER!$H:$H,0))&amp;"_ser_0.20_"&amp;TEXT(INDEX(MASTER!$E:$E,MATCH(_xlpm.pos,MASTER!$H:$H,0)),"mmddyy"),""),_xlpm.slot,96+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80" s="4" t="str">
        <f>_xlfn.LET(_xlpm.pos,"CDI plate 8: "&amp;$A3&amp;H$2,_xlpm.normal,IFERROR(INDEX(MASTER!$A:$A,MATCH(_xlpm.pos,MASTER!$H:$H,0))&amp;"_ser_0.20_"&amp;TEXT(INDEX(MASTER!$E:$E,MATCH(_xlpm.pos,MASTER!$H:$H,0)),"mmddyy"),""),_xlpm.slot,96+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80" s="4" t="str">
        <f>_xlfn.LET(_xlpm.pos,"CDI plate 8: "&amp;$A3&amp;I$2,_xlpm.normal,IFERROR(INDEX(MASTER!$A:$A,MATCH(_xlpm.pos,MASTER!$H:$H,0))&amp;"_ser_0.20_"&amp;TEXT(INDEX(MASTER!$E:$E,MATCH(_xlpm.pos,MASTER!$H:$H,0)),"mmddyy"),""),_xlpm.slot,96+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80" s="4" t="str">
        <f>_xlfn.LET(_xlpm.pos,"CDI plate 8: "&amp;$A3&amp;J$2,_xlpm.normal,IFERROR(INDEX(MASTER!$A:$A,MATCH(_xlpm.pos,MASTER!$H:$H,0))&amp;"_ser_0.20_"&amp;TEXT(INDEX(MASTER!$E:$E,MATCH(_xlpm.pos,MASTER!$H:$H,0)),"mmddyy"),""),_xlpm.slot,96+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80" s="4" t="str">
        <f>_xlfn.LET(_xlpm.pos,"CDI plate 8: "&amp;$A3&amp;K$2,_xlpm.normal,IFERROR(INDEX(MASTER!$A:$A,MATCH(_xlpm.pos,MASTER!$H:$H,0))&amp;"_ser_0.20_"&amp;TEXT(INDEX(MASTER!$E:$E,MATCH(_xlpm.pos,MASTER!$H:$H,0)),"mmddyy"),""),_xlpm.slot,96+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80" s="4" t="str">
        <f>_xlfn.LET(_xlpm.pos,"CDI plate 8: "&amp;$A3&amp;L$2,_xlpm.normal,IFERROR(INDEX(MASTER!$A:$A,MATCH(_xlpm.pos,MASTER!$H:$H,0))&amp;"_ser_0.20_"&amp;TEXT(INDEX(MASTER!$E:$E,MATCH(_xlpm.pos,MASTER!$H:$H,0)),"mmddyy"),""),_xlpm.slot,96+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80" s="4" t="str">
        <f>_xlfn.LET(_xlpm.pos,"CDI plate 8: "&amp;$A3&amp;M$2,_xlpm.normal,IFERROR(INDEX(MASTER!$A:$A,MATCH(_xlpm.pos,MASTER!$H:$H,0))&amp;"_ser_0.20_"&amp;TEXT(INDEX(MASTER!$E:$E,MATCH(_xlpm.pos,MASTER!$H:$H,0)),"mmddyy"),""),_xlpm.slot,96+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81" spans="1:13" ht="22" customHeight="1" x14ac:dyDescent="0.3">
      <c r="A81" s="6" t="s">
        <v>31</v>
      </c>
      <c r="B81" s="4" t="str">
        <f>_xlfn.LET(_xlpm.pos,"CDI plate 8: "&amp;$A4&amp;B$2,_xlpm.normal,IFERROR(INDEX(MASTER!$A:$A,MATCH(_xlpm.pos,MASTER!$H:$H,0))&amp;"_ser_0.20_"&amp;TEXT(INDEX(MASTER!$E:$E,MATCH(_xlpm.pos,MASTER!$H:$H,0)),"mmddyy"),""),_xlpm.slot,96+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81" s="4" t="str">
        <f>_xlfn.LET(_xlpm.pos,"CDI plate 8: "&amp;$A4&amp;C$2,_xlpm.normal,IFERROR(INDEX(MASTER!$A:$A,MATCH(_xlpm.pos,MASTER!$H:$H,0))&amp;"_ser_0.20_"&amp;TEXT(INDEX(MASTER!$E:$E,MATCH(_xlpm.pos,MASTER!$H:$H,0)),"mmddyy"),""),_xlpm.slot,96+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81" s="4" t="str">
        <f>_xlfn.LET(_xlpm.pos,"CDI plate 8: "&amp;$A4&amp;D$2,_xlpm.normal,IFERROR(INDEX(MASTER!$A:$A,MATCH(_xlpm.pos,MASTER!$H:$H,0))&amp;"_ser_0.20_"&amp;TEXT(INDEX(MASTER!$E:$E,MATCH(_xlpm.pos,MASTER!$H:$H,0)),"mmddyy"),""),_xlpm.slot,96+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81" s="4" t="str">
        <f>_xlfn.LET(_xlpm.pos,"CDI plate 8: "&amp;$A4&amp;E$2,_xlpm.normal,IFERROR(INDEX(MASTER!$A:$A,MATCH(_xlpm.pos,MASTER!$H:$H,0))&amp;"_ser_0.20_"&amp;TEXT(INDEX(MASTER!$E:$E,MATCH(_xlpm.pos,MASTER!$H:$H,0)),"mmddyy"),""),_xlpm.slot,96+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81" s="4" t="str">
        <f>_xlfn.LET(_xlpm.pos,"CDI plate 8: "&amp;$A4&amp;F$2,_xlpm.normal,IFERROR(INDEX(MASTER!$A:$A,MATCH(_xlpm.pos,MASTER!$H:$H,0))&amp;"_ser_0.20_"&amp;TEXT(INDEX(MASTER!$E:$E,MATCH(_xlpm.pos,MASTER!$H:$H,0)),"mmddyy"),""),_xlpm.slot,96+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81" s="4" t="str">
        <f>_xlfn.LET(_xlpm.pos,"CDI plate 8: "&amp;$A4&amp;G$2,_xlpm.normal,IFERROR(INDEX(MASTER!$A:$A,MATCH(_xlpm.pos,MASTER!$H:$H,0))&amp;"_ser_0.20_"&amp;TEXT(INDEX(MASTER!$E:$E,MATCH(_xlpm.pos,MASTER!$H:$H,0)),"mmddyy"),""),_xlpm.slot,96+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81" s="4" t="str">
        <f>_xlfn.LET(_xlpm.pos,"CDI plate 8: "&amp;$A4&amp;H$2,_xlpm.normal,IFERROR(INDEX(MASTER!$A:$A,MATCH(_xlpm.pos,MASTER!$H:$H,0))&amp;"_ser_0.20_"&amp;TEXT(INDEX(MASTER!$E:$E,MATCH(_xlpm.pos,MASTER!$H:$H,0)),"mmddyy"),""),_xlpm.slot,96+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81" s="4" t="str">
        <f>_xlfn.LET(_xlpm.pos,"CDI plate 8: "&amp;$A4&amp;I$2,_xlpm.normal,IFERROR(INDEX(MASTER!$A:$A,MATCH(_xlpm.pos,MASTER!$H:$H,0))&amp;"_ser_0.20_"&amp;TEXT(INDEX(MASTER!$E:$E,MATCH(_xlpm.pos,MASTER!$H:$H,0)),"mmddyy"),""),_xlpm.slot,96+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81" s="4" t="str">
        <f>_xlfn.LET(_xlpm.pos,"CDI plate 8: "&amp;$A4&amp;J$2,_xlpm.normal,IFERROR(INDEX(MASTER!$A:$A,MATCH(_xlpm.pos,MASTER!$H:$H,0))&amp;"_ser_0.20_"&amp;TEXT(INDEX(MASTER!$E:$E,MATCH(_xlpm.pos,MASTER!$H:$H,0)),"mmddyy"),""),_xlpm.slot,96+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81" s="4" t="str">
        <f>_xlfn.LET(_xlpm.pos,"CDI plate 8: "&amp;$A4&amp;K$2,_xlpm.normal,IFERROR(INDEX(MASTER!$A:$A,MATCH(_xlpm.pos,MASTER!$H:$H,0))&amp;"_ser_0.20_"&amp;TEXT(INDEX(MASTER!$E:$E,MATCH(_xlpm.pos,MASTER!$H:$H,0)),"mmddyy"),""),_xlpm.slot,96+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81" s="4" t="str">
        <f>_xlfn.LET(_xlpm.pos,"CDI plate 8: "&amp;$A4&amp;L$2,_xlpm.normal,IFERROR(INDEX(MASTER!$A:$A,MATCH(_xlpm.pos,MASTER!$H:$H,0))&amp;"_ser_0.20_"&amp;TEXT(INDEX(MASTER!$E:$E,MATCH(_xlpm.pos,MASTER!$H:$H,0)),"mmddyy"),""),_xlpm.slot,96+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81" s="4" t="str">
        <f>_xlfn.LET(_xlpm.pos,"CDI plate 8: "&amp;$A4&amp;M$2,_xlpm.normal,IFERROR(INDEX(MASTER!$A:$A,MATCH(_xlpm.pos,MASTER!$H:$H,0))&amp;"_ser_0.20_"&amp;TEXT(INDEX(MASTER!$E:$E,MATCH(_xlpm.pos,MASTER!$H:$H,0)),"mmddyy"),""),_xlpm.slot,96+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82" spans="1:13" ht="22" customHeight="1" x14ac:dyDescent="0.3">
      <c r="A82" s="6" t="s">
        <v>32</v>
      </c>
      <c r="B82" s="4" t="str">
        <f>_xlfn.LET(_xlpm.pos,"CDI plate 8: "&amp;$A5&amp;B$2,_xlpm.normal,IFERROR(INDEX(MASTER!$A:$A,MATCH(_xlpm.pos,MASTER!$H:$H,0))&amp;"_ser_0.20_"&amp;TEXT(INDEX(MASTER!$E:$E,MATCH(_xlpm.pos,MASTER!$H:$H,0)),"mmddyy"),""),_xlpm.slot,96+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82" s="4" t="str">
        <f>_xlfn.LET(_xlpm.pos,"CDI plate 8: "&amp;$A5&amp;C$2,_xlpm.normal,IFERROR(INDEX(MASTER!$A:$A,MATCH(_xlpm.pos,MASTER!$H:$H,0))&amp;"_ser_0.20_"&amp;TEXT(INDEX(MASTER!$E:$E,MATCH(_xlpm.pos,MASTER!$H:$H,0)),"mmddyy"),""),_xlpm.slot,96+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82" s="4" t="str">
        <f>_xlfn.LET(_xlpm.pos,"CDI plate 8: "&amp;$A5&amp;D$2,_xlpm.normal,IFERROR(INDEX(MASTER!$A:$A,MATCH(_xlpm.pos,MASTER!$H:$H,0))&amp;"_ser_0.20_"&amp;TEXT(INDEX(MASTER!$E:$E,MATCH(_xlpm.pos,MASTER!$H:$H,0)),"mmddyy"),""),_xlpm.slot,96+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82" s="4" t="str">
        <f>_xlfn.LET(_xlpm.pos,"CDI plate 8: "&amp;$A5&amp;E$2,_xlpm.normal,IFERROR(INDEX(MASTER!$A:$A,MATCH(_xlpm.pos,MASTER!$H:$H,0))&amp;"_ser_0.20_"&amp;TEXT(INDEX(MASTER!$E:$E,MATCH(_xlpm.pos,MASTER!$H:$H,0)),"mmddyy"),""),_xlpm.slot,96+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82" s="4" t="str">
        <f>_xlfn.LET(_xlpm.pos,"CDI plate 8: "&amp;$A5&amp;F$2,_xlpm.normal,IFERROR(INDEX(MASTER!$A:$A,MATCH(_xlpm.pos,MASTER!$H:$H,0))&amp;"_ser_0.20_"&amp;TEXT(INDEX(MASTER!$E:$E,MATCH(_xlpm.pos,MASTER!$H:$H,0)),"mmddyy"),""),_xlpm.slot,96+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82" s="4" t="str">
        <f>_xlfn.LET(_xlpm.pos,"CDI plate 8: "&amp;$A5&amp;G$2,_xlpm.normal,IFERROR(INDEX(MASTER!$A:$A,MATCH(_xlpm.pos,MASTER!$H:$H,0))&amp;"_ser_0.20_"&amp;TEXT(INDEX(MASTER!$E:$E,MATCH(_xlpm.pos,MASTER!$H:$H,0)),"mmddyy"),""),_xlpm.slot,96+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82" s="4" t="str">
        <f>_xlfn.LET(_xlpm.pos,"CDI plate 8: "&amp;$A5&amp;H$2,_xlpm.normal,IFERROR(INDEX(MASTER!$A:$A,MATCH(_xlpm.pos,MASTER!$H:$H,0))&amp;"_ser_0.20_"&amp;TEXT(INDEX(MASTER!$E:$E,MATCH(_xlpm.pos,MASTER!$H:$H,0)),"mmddyy"),""),_xlpm.slot,96+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82" s="4" t="str">
        <f>_xlfn.LET(_xlpm.pos,"CDI plate 8: "&amp;$A5&amp;I$2,_xlpm.normal,IFERROR(INDEX(MASTER!$A:$A,MATCH(_xlpm.pos,MASTER!$H:$H,0))&amp;"_ser_0.20_"&amp;TEXT(INDEX(MASTER!$E:$E,MATCH(_xlpm.pos,MASTER!$H:$H,0)),"mmddyy"),""),_xlpm.slot,96+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82" s="4" t="str">
        <f>_xlfn.LET(_xlpm.pos,"CDI plate 8: "&amp;$A5&amp;J$2,_xlpm.normal,IFERROR(INDEX(MASTER!$A:$A,MATCH(_xlpm.pos,MASTER!$H:$H,0))&amp;"_ser_0.20_"&amp;TEXT(INDEX(MASTER!$E:$E,MATCH(_xlpm.pos,MASTER!$H:$H,0)),"mmddyy"),""),_xlpm.slot,96+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82" s="4" t="str">
        <f>_xlfn.LET(_xlpm.pos,"CDI plate 8: "&amp;$A5&amp;K$2,_xlpm.normal,IFERROR(INDEX(MASTER!$A:$A,MATCH(_xlpm.pos,MASTER!$H:$H,0))&amp;"_ser_0.20_"&amp;TEXT(INDEX(MASTER!$E:$E,MATCH(_xlpm.pos,MASTER!$H:$H,0)),"mmddyy"),""),_xlpm.slot,96+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82" s="4" t="str">
        <f>_xlfn.LET(_xlpm.pos,"CDI plate 8: "&amp;$A5&amp;L$2,_xlpm.normal,IFERROR(INDEX(MASTER!$A:$A,MATCH(_xlpm.pos,MASTER!$H:$H,0))&amp;"_ser_0.20_"&amp;TEXT(INDEX(MASTER!$E:$E,MATCH(_xlpm.pos,MASTER!$H:$H,0)),"mmddyy"),""),_xlpm.slot,96+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82" s="4" t="str">
        <f>_xlfn.LET(_xlpm.pos,"CDI plate 8: "&amp;$A5&amp;M$2,_xlpm.normal,IFERROR(INDEX(MASTER!$A:$A,MATCH(_xlpm.pos,MASTER!$H:$H,0))&amp;"_ser_0.20_"&amp;TEXT(INDEX(MASTER!$E:$E,MATCH(_xlpm.pos,MASTER!$H:$H,0)),"mmddyy"),""),_xlpm.slot,96+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83" spans="1:13" ht="22" customHeight="1" x14ac:dyDescent="0.3">
      <c r="A83" s="6" t="s">
        <v>33</v>
      </c>
      <c r="B83" s="4" t="str">
        <f>_xlfn.LET(_xlpm.pos,"CDI plate 8: "&amp;$A6&amp;B$2,_xlpm.normal,IFERROR(INDEX(MASTER!$A:$A,MATCH(_xlpm.pos,MASTER!$H:$H,0))&amp;"_ser_0.20_"&amp;TEXT(INDEX(MASTER!$E:$E,MATCH(_xlpm.pos,MASTER!$H:$H,0)),"mmddyy"),""),_xlpm.slot,96+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83" s="4" t="str">
        <f>_xlfn.LET(_xlpm.pos,"CDI plate 8: "&amp;$A6&amp;C$2,_xlpm.normal,IFERROR(INDEX(MASTER!$A:$A,MATCH(_xlpm.pos,MASTER!$H:$H,0))&amp;"_ser_0.20_"&amp;TEXT(INDEX(MASTER!$E:$E,MATCH(_xlpm.pos,MASTER!$H:$H,0)),"mmddyy"),""),_xlpm.slot,96+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83" s="4" t="str">
        <f>_xlfn.LET(_xlpm.pos,"CDI plate 8: "&amp;$A6&amp;D$2,_xlpm.normal,IFERROR(INDEX(MASTER!$A:$A,MATCH(_xlpm.pos,MASTER!$H:$H,0))&amp;"_ser_0.20_"&amp;TEXT(INDEX(MASTER!$E:$E,MATCH(_xlpm.pos,MASTER!$H:$H,0)),"mmddyy"),""),_xlpm.slot,96+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83" s="4" t="str">
        <f>_xlfn.LET(_xlpm.pos,"CDI plate 8: "&amp;$A6&amp;E$2,_xlpm.normal,IFERROR(INDEX(MASTER!$A:$A,MATCH(_xlpm.pos,MASTER!$H:$H,0))&amp;"_ser_0.20_"&amp;TEXT(INDEX(MASTER!$E:$E,MATCH(_xlpm.pos,MASTER!$H:$H,0)),"mmddyy"),""),_xlpm.slot,96+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83" s="4" t="str">
        <f>_xlfn.LET(_xlpm.pos,"CDI plate 8: "&amp;$A6&amp;F$2,_xlpm.normal,IFERROR(INDEX(MASTER!$A:$A,MATCH(_xlpm.pos,MASTER!$H:$H,0))&amp;"_ser_0.20_"&amp;TEXT(INDEX(MASTER!$E:$E,MATCH(_xlpm.pos,MASTER!$H:$H,0)),"mmddyy"),""),_xlpm.slot,96+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83" s="4" t="str">
        <f>_xlfn.LET(_xlpm.pos,"CDI plate 8: "&amp;$A6&amp;G$2,_xlpm.normal,IFERROR(INDEX(MASTER!$A:$A,MATCH(_xlpm.pos,MASTER!$H:$H,0))&amp;"_ser_0.20_"&amp;TEXT(INDEX(MASTER!$E:$E,MATCH(_xlpm.pos,MASTER!$H:$H,0)),"mmddyy"),""),_xlpm.slot,96+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83" s="4" t="str">
        <f>_xlfn.LET(_xlpm.pos,"CDI plate 8: "&amp;$A6&amp;H$2,_xlpm.normal,IFERROR(INDEX(MASTER!$A:$A,MATCH(_xlpm.pos,MASTER!$H:$H,0))&amp;"_ser_0.20_"&amp;TEXT(INDEX(MASTER!$E:$E,MATCH(_xlpm.pos,MASTER!$H:$H,0)),"mmddyy"),""),_xlpm.slot,96+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83" s="4" t="str">
        <f>_xlfn.LET(_xlpm.pos,"CDI plate 8: "&amp;$A6&amp;I$2,_xlpm.normal,IFERROR(INDEX(MASTER!$A:$A,MATCH(_xlpm.pos,MASTER!$H:$H,0))&amp;"_ser_0.20_"&amp;TEXT(INDEX(MASTER!$E:$E,MATCH(_xlpm.pos,MASTER!$H:$H,0)),"mmddyy"),""),_xlpm.slot,96+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83" s="4" t="str">
        <f>_xlfn.LET(_xlpm.pos,"CDI plate 8: "&amp;$A6&amp;J$2,_xlpm.normal,IFERROR(INDEX(MASTER!$A:$A,MATCH(_xlpm.pos,MASTER!$H:$H,0))&amp;"_ser_0.20_"&amp;TEXT(INDEX(MASTER!$E:$E,MATCH(_xlpm.pos,MASTER!$H:$H,0)),"mmddyy"),""),_xlpm.slot,96+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83" s="4" t="str">
        <f>_xlfn.LET(_xlpm.pos,"CDI plate 8: "&amp;$A6&amp;K$2,_xlpm.normal,IFERROR(INDEX(MASTER!$A:$A,MATCH(_xlpm.pos,MASTER!$H:$H,0))&amp;"_ser_0.20_"&amp;TEXT(INDEX(MASTER!$E:$E,MATCH(_xlpm.pos,MASTER!$H:$H,0)),"mmddyy"),""),_xlpm.slot,96+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83" s="4" t="str">
        <f>_xlfn.LET(_xlpm.pos,"CDI plate 8: "&amp;$A6&amp;L$2,_xlpm.normal,IFERROR(INDEX(MASTER!$A:$A,MATCH(_xlpm.pos,MASTER!$H:$H,0))&amp;"_ser_0.20_"&amp;TEXT(INDEX(MASTER!$E:$E,MATCH(_xlpm.pos,MASTER!$H:$H,0)),"mmddyy"),""),_xlpm.slot,96+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83" s="4" t="str">
        <f>_xlfn.LET(_xlpm.pos,"CDI plate 8: "&amp;$A6&amp;M$2,_xlpm.normal,IFERROR(INDEX(MASTER!$A:$A,MATCH(_xlpm.pos,MASTER!$H:$H,0))&amp;"_ser_0.20_"&amp;TEXT(INDEX(MASTER!$E:$E,MATCH(_xlpm.pos,MASTER!$H:$H,0)),"mmddyy"),""),_xlpm.slot,96+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84" spans="1:13" ht="22" customHeight="1" x14ac:dyDescent="0.3">
      <c r="A84" s="6" t="s">
        <v>34</v>
      </c>
      <c r="B84" s="4" t="str">
        <f>_xlfn.LET(_xlpm.pos,"CDI plate 8: "&amp;$A7&amp;B$2,_xlpm.normal,IFERROR(INDEX(MASTER!$A:$A,MATCH(_xlpm.pos,MASTER!$H:$H,0))&amp;"_ser_0.20_"&amp;TEXT(INDEX(MASTER!$E:$E,MATCH(_xlpm.pos,MASTER!$H:$H,0)),"mmddyy"),""),_xlpm.slot,96+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84" s="4" t="str">
        <f>_xlfn.LET(_xlpm.pos,"CDI plate 8: "&amp;$A7&amp;C$2,_xlpm.normal,IFERROR(INDEX(MASTER!$A:$A,MATCH(_xlpm.pos,MASTER!$H:$H,0))&amp;"_ser_0.20_"&amp;TEXT(INDEX(MASTER!$E:$E,MATCH(_xlpm.pos,MASTER!$H:$H,0)),"mmddyy"),""),_xlpm.slot,96+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84" s="4" t="str">
        <f>_xlfn.LET(_xlpm.pos,"CDI plate 8: "&amp;$A7&amp;D$2,_xlpm.normal,IFERROR(INDEX(MASTER!$A:$A,MATCH(_xlpm.pos,MASTER!$H:$H,0))&amp;"_ser_0.20_"&amp;TEXT(INDEX(MASTER!$E:$E,MATCH(_xlpm.pos,MASTER!$H:$H,0)),"mmddyy"),""),_xlpm.slot,96+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84" s="4" t="str">
        <f>_xlfn.LET(_xlpm.pos,"CDI plate 8: "&amp;$A7&amp;E$2,_xlpm.normal,IFERROR(INDEX(MASTER!$A:$A,MATCH(_xlpm.pos,MASTER!$H:$H,0))&amp;"_ser_0.20_"&amp;TEXT(INDEX(MASTER!$E:$E,MATCH(_xlpm.pos,MASTER!$H:$H,0)),"mmddyy"),""),_xlpm.slot,96+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84" s="4" t="str">
        <f>_xlfn.LET(_xlpm.pos,"CDI plate 8: "&amp;$A7&amp;F$2,_xlpm.normal,IFERROR(INDEX(MASTER!$A:$A,MATCH(_xlpm.pos,MASTER!$H:$H,0))&amp;"_ser_0.20_"&amp;TEXT(INDEX(MASTER!$E:$E,MATCH(_xlpm.pos,MASTER!$H:$H,0)),"mmddyy"),""),_xlpm.slot,96+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84" s="4" t="str">
        <f>_xlfn.LET(_xlpm.pos,"CDI plate 8: "&amp;$A7&amp;G$2,_xlpm.normal,IFERROR(INDEX(MASTER!$A:$A,MATCH(_xlpm.pos,MASTER!$H:$H,0))&amp;"_ser_0.20_"&amp;TEXT(INDEX(MASTER!$E:$E,MATCH(_xlpm.pos,MASTER!$H:$H,0)),"mmddyy"),""),_xlpm.slot,96+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84" s="4" t="str">
        <f>_xlfn.LET(_xlpm.pos,"CDI plate 8: "&amp;$A7&amp;H$2,_xlpm.normal,IFERROR(INDEX(MASTER!$A:$A,MATCH(_xlpm.pos,MASTER!$H:$H,0))&amp;"_ser_0.20_"&amp;TEXT(INDEX(MASTER!$E:$E,MATCH(_xlpm.pos,MASTER!$H:$H,0)),"mmddyy"),""),_xlpm.slot,96+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84" s="4" t="str">
        <f>_xlfn.LET(_xlpm.pos,"CDI plate 8: "&amp;$A7&amp;I$2,_xlpm.normal,IFERROR(INDEX(MASTER!$A:$A,MATCH(_xlpm.pos,MASTER!$H:$H,0))&amp;"_ser_0.20_"&amp;TEXT(INDEX(MASTER!$E:$E,MATCH(_xlpm.pos,MASTER!$H:$H,0)),"mmddyy"),""),_xlpm.slot,96+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84" s="4" t="str">
        <f>_xlfn.LET(_xlpm.pos,"CDI plate 8: "&amp;$A7&amp;J$2,_xlpm.normal,IFERROR(INDEX(MASTER!$A:$A,MATCH(_xlpm.pos,MASTER!$H:$H,0))&amp;"_ser_0.20_"&amp;TEXT(INDEX(MASTER!$E:$E,MATCH(_xlpm.pos,MASTER!$H:$H,0)),"mmddyy"),""),_xlpm.slot,96+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84" s="4" t="str">
        <f>_xlfn.LET(_xlpm.pos,"CDI plate 8: "&amp;$A7&amp;K$2,_xlpm.normal,IFERROR(INDEX(MASTER!$A:$A,MATCH(_xlpm.pos,MASTER!$H:$H,0))&amp;"_ser_0.20_"&amp;TEXT(INDEX(MASTER!$E:$E,MATCH(_xlpm.pos,MASTER!$H:$H,0)),"mmddyy"),""),_xlpm.slot,96+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84" s="4" t="str">
        <f>_xlfn.LET(_xlpm.pos,"CDI plate 8: "&amp;$A7&amp;L$2,_xlpm.normal,IFERROR(INDEX(MASTER!$A:$A,MATCH(_xlpm.pos,MASTER!$H:$H,0))&amp;"_ser_0.20_"&amp;TEXT(INDEX(MASTER!$E:$E,MATCH(_xlpm.pos,MASTER!$H:$H,0)),"mmddyy"),""),_xlpm.slot,96+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84" s="4" t="str">
        <f>_xlfn.LET(_xlpm.pos,"CDI plate 8: "&amp;$A7&amp;M$2,_xlpm.normal,IFERROR(INDEX(MASTER!$A:$A,MATCH(_xlpm.pos,MASTER!$H:$H,0))&amp;"_ser_0.20_"&amp;TEXT(INDEX(MASTER!$E:$E,MATCH(_xlpm.pos,MASTER!$H:$H,0)),"mmddyy"),""),_xlpm.slot,96+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85" spans="1:13" ht="22" customHeight="1" x14ac:dyDescent="0.3">
      <c r="A85" s="6" t="s">
        <v>15</v>
      </c>
      <c r="B85" s="4" t="str">
        <f>_xlfn.LET(_xlpm.pos,"CDI plate 8: "&amp;$A8&amp;B$2,_xlpm.normal,IFERROR(INDEX(MASTER!$A:$A,MATCH(_xlpm.pos,MASTER!$H:$H,0))&amp;"_ser_0.20_"&amp;TEXT(INDEX(MASTER!$E:$E,MATCH(_xlpm.pos,MASTER!$H:$H,0)),"mmddyy"),""),_xlpm.slot,96+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85" s="4" t="str">
        <f>_xlfn.LET(_xlpm.pos,"CDI plate 8: "&amp;$A8&amp;C$2,_xlpm.normal,IFERROR(INDEX(MASTER!$A:$A,MATCH(_xlpm.pos,MASTER!$H:$H,0))&amp;"_ser_0.20_"&amp;TEXT(INDEX(MASTER!$E:$E,MATCH(_xlpm.pos,MASTER!$H:$H,0)),"mmddyy"),""),_xlpm.slot,96+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85" s="4" t="str">
        <f>_xlfn.LET(_xlpm.pos,"CDI plate 8: "&amp;$A8&amp;D$2,_xlpm.normal,IFERROR(INDEX(MASTER!$A:$A,MATCH(_xlpm.pos,MASTER!$H:$H,0))&amp;"_ser_0.20_"&amp;TEXT(INDEX(MASTER!$E:$E,MATCH(_xlpm.pos,MASTER!$H:$H,0)),"mmddyy"),""),_xlpm.slot,96+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85" s="4" t="str">
        <f>_xlfn.LET(_xlpm.pos,"CDI plate 8: "&amp;$A8&amp;E$2,_xlpm.normal,IFERROR(INDEX(MASTER!$A:$A,MATCH(_xlpm.pos,MASTER!$H:$H,0))&amp;"_ser_0.20_"&amp;TEXT(INDEX(MASTER!$E:$E,MATCH(_xlpm.pos,MASTER!$H:$H,0)),"mmddyy"),""),_xlpm.slot,96+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85" s="4" t="str">
        <f>_xlfn.LET(_xlpm.pos,"CDI plate 8: "&amp;$A8&amp;F$2,_xlpm.normal,IFERROR(INDEX(MASTER!$A:$A,MATCH(_xlpm.pos,MASTER!$H:$H,0))&amp;"_ser_0.20_"&amp;TEXT(INDEX(MASTER!$E:$E,MATCH(_xlpm.pos,MASTER!$H:$H,0)),"mmddyy"),""),_xlpm.slot,96+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85" s="4" t="str">
        <f>_xlfn.LET(_xlpm.pos,"CDI plate 8: "&amp;$A8&amp;G$2,_xlpm.normal,IFERROR(INDEX(MASTER!$A:$A,MATCH(_xlpm.pos,MASTER!$H:$H,0))&amp;"_ser_0.20_"&amp;TEXT(INDEX(MASTER!$E:$E,MATCH(_xlpm.pos,MASTER!$H:$H,0)),"mmddyy"),""),_xlpm.slot,96+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85" s="4" t="str">
        <f>_xlfn.LET(_xlpm.pos,"CDI plate 8: "&amp;$A8&amp;H$2,_xlpm.normal,IFERROR(INDEX(MASTER!$A:$A,MATCH(_xlpm.pos,MASTER!$H:$H,0))&amp;"_ser_0.20_"&amp;TEXT(INDEX(MASTER!$E:$E,MATCH(_xlpm.pos,MASTER!$H:$H,0)),"mmddyy"),""),_xlpm.slot,96+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85" s="4" t="str">
        <f>_xlfn.LET(_xlpm.pos,"CDI plate 8: "&amp;$A8&amp;I$2,_xlpm.normal,IFERROR(INDEX(MASTER!$A:$A,MATCH(_xlpm.pos,MASTER!$H:$H,0))&amp;"_ser_0.20_"&amp;TEXT(INDEX(MASTER!$E:$E,MATCH(_xlpm.pos,MASTER!$H:$H,0)),"mmddyy"),""),_xlpm.slot,96+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85" s="4" t="str">
        <f>_xlfn.LET(_xlpm.pos,"CDI plate 8: "&amp;$A8&amp;J$2,_xlpm.normal,IFERROR(INDEX(MASTER!$A:$A,MATCH(_xlpm.pos,MASTER!$H:$H,0))&amp;"_ser_0.20_"&amp;TEXT(INDEX(MASTER!$E:$E,MATCH(_xlpm.pos,MASTER!$H:$H,0)),"mmddyy"),""),_xlpm.slot,96+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85" s="4" t="str">
        <f>_xlfn.LET(_xlpm.pos,"CDI plate 8: "&amp;$A8&amp;K$2,_xlpm.normal,IFERROR(INDEX(MASTER!$A:$A,MATCH(_xlpm.pos,MASTER!$H:$H,0))&amp;"_ser_0.20_"&amp;TEXT(INDEX(MASTER!$E:$E,MATCH(_xlpm.pos,MASTER!$H:$H,0)),"mmddyy"),""),_xlpm.slot,96+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85" s="4" t="str">
        <f>_xlfn.LET(_xlpm.pos,"CDI plate 8: "&amp;$A8&amp;L$2,_xlpm.normal,IFERROR(INDEX(MASTER!$A:$A,MATCH(_xlpm.pos,MASTER!$H:$H,0))&amp;"_ser_0.20_"&amp;TEXT(INDEX(MASTER!$E:$E,MATCH(_xlpm.pos,MASTER!$H:$H,0)),"mmddyy"),""),_xlpm.slot,96+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85" s="4" t="str">
        <f>_xlfn.LET(_xlpm.pos,"CDI plate 8: "&amp;$A8&amp;M$2,_xlpm.normal,IFERROR(INDEX(MASTER!$A:$A,MATCH(_xlpm.pos,MASTER!$H:$H,0))&amp;"_ser_0.20_"&amp;TEXT(INDEX(MASTER!$E:$E,MATCH(_xlpm.pos,MASTER!$H:$H,0)),"mmddyy"),""),_xlpm.slot,96+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86" spans="1:13" ht="22" customHeight="1" x14ac:dyDescent="0.3">
      <c r="A86" s="6" t="s">
        <v>35</v>
      </c>
      <c r="B86" s="4" t="str">
        <f>_xlfn.LET(_xlpm.pos,"CDI plate 8: "&amp;$A9&amp;B$2,_xlpm.normal,IFERROR(INDEX(MASTER!$A:$A,MATCH(_xlpm.pos,MASTER!$H:$H,0))&amp;"_ser_0.20_"&amp;TEXT(INDEX(MASTER!$E:$E,MATCH(_xlpm.pos,MASTER!$H:$H,0)),"mmddyy"),""),_xlpm.slot,96+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86" s="4" t="str">
        <f>_xlfn.LET(_xlpm.pos,"CDI plate 8: "&amp;$A9&amp;C$2,_xlpm.normal,IFERROR(INDEX(MASTER!$A:$A,MATCH(_xlpm.pos,MASTER!$H:$H,0))&amp;"_ser_0.20_"&amp;TEXT(INDEX(MASTER!$E:$E,MATCH(_xlpm.pos,MASTER!$H:$H,0)),"mmddyy"),""),_xlpm.slot,96+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86" s="4" t="str">
        <f>_xlfn.LET(_xlpm.pos,"CDI plate 8: "&amp;$A9&amp;D$2,_xlpm.normal,IFERROR(INDEX(MASTER!$A:$A,MATCH(_xlpm.pos,MASTER!$H:$H,0))&amp;"_ser_0.20_"&amp;TEXT(INDEX(MASTER!$E:$E,MATCH(_xlpm.pos,MASTER!$H:$H,0)),"mmddyy"),""),_xlpm.slot,96+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86" s="4" t="str">
        <f>_xlfn.LET(_xlpm.pos,"CDI plate 8: "&amp;$A9&amp;E$2,_xlpm.normal,IFERROR(INDEX(MASTER!$A:$A,MATCH(_xlpm.pos,MASTER!$H:$H,0))&amp;"_ser_0.20_"&amp;TEXT(INDEX(MASTER!$E:$E,MATCH(_xlpm.pos,MASTER!$H:$H,0)),"mmddyy"),""),_xlpm.slot,96+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86" s="4" t="str">
        <f>_xlfn.LET(_xlpm.pos,"CDI plate 8: "&amp;$A9&amp;F$2,_xlpm.normal,IFERROR(INDEX(MASTER!$A:$A,MATCH(_xlpm.pos,MASTER!$H:$H,0))&amp;"_ser_0.20_"&amp;TEXT(INDEX(MASTER!$E:$E,MATCH(_xlpm.pos,MASTER!$H:$H,0)),"mmddyy"),""),_xlpm.slot,96+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86" s="4" t="str">
        <f>_xlfn.LET(_xlpm.pos,"CDI plate 8: "&amp;$A9&amp;G$2,_xlpm.normal,IFERROR(INDEX(MASTER!$A:$A,MATCH(_xlpm.pos,MASTER!$H:$H,0))&amp;"_ser_0.20_"&amp;TEXT(INDEX(MASTER!$E:$E,MATCH(_xlpm.pos,MASTER!$H:$H,0)),"mmddyy"),""),_xlpm.slot,96+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86" s="4" t="str">
        <f>_xlfn.LET(_xlpm.pos,"CDI plate 8: "&amp;$A9&amp;H$2,_xlpm.normal,IFERROR(INDEX(MASTER!$A:$A,MATCH(_xlpm.pos,MASTER!$H:$H,0))&amp;"_ser_0.20_"&amp;TEXT(INDEX(MASTER!$E:$E,MATCH(_xlpm.pos,MASTER!$H:$H,0)),"mmddyy"),""),_xlpm.slot,96+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86" s="4" t="str">
        <f>_xlfn.LET(_xlpm.pos,"CDI plate 8: "&amp;$A9&amp;I$2,_xlpm.normal,IFERROR(INDEX(MASTER!$A:$A,MATCH(_xlpm.pos,MASTER!$H:$H,0))&amp;"_ser_0.20_"&amp;TEXT(INDEX(MASTER!$E:$E,MATCH(_xlpm.pos,MASTER!$H:$H,0)),"mmddyy"),""),_xlpm.slot,96+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86" s="4" t="str">
        <f>_xlfn.LET(_xlpm.pos,"CDI plate 8: "&amp;$A9&amp;J$2,_xlpm.normal,IFERROR(INDEX(MASTER!$A:$A,MATCH(_xlpm.pos,MASTER!$H:$H,0))&amp;"_ser_0.20_"&amp;TEXT(INDEX(MASTER!$E:$E,MATCH(_xlpm.pos,MASTER!$H:$H,0)),"mmddyy"),""),_xlpm.slot,96+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86" s="4" t="str">
        <f>_xlfn.LET(_xlpm.pos,"CDI plate 8: "&amp;$A9&amp;K$2,_xlpm.normal,IFERROR(INDEX(MASTER!$A:$A,MATCH(_xlpm.pos,MASTER!$H:$H,0))&amp;"_ser_0.20_"&amp;TEXT(INDEX(MASTER!$E:$E,MATCH(_xlpm.pos,MASTER!$H:$H,0)),"mmddyy"),""),_xlpm.slot,96+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86" s="4" t="str">
        <f>_xlfn.LET(_xlpm.pos,"CDI plate 8: "&amp;$A9&amp;L$2,_xlpm.normal,IFERROR(INDEX(MASTER!$A:$A,MATCH(_xlpm.pos,MASTER!$H:$H,0))&amp;"_ser_0.20_"&amp;TEXT(INDEX(MASTER!$E:$E,MATCH(_xlpm.pos,MASTER!$H:$H,0)),"mmddyy"),""),_xlpm.slot,96+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86" s="4" t="str">
        <f>_xlfn.LET(_xlpm.pos,"CDI plate 8: "&amp;$A9&amp;M$2,_xlpm.normal,IFERROR(INDEX(MASTER!$A:$A,MATCH(_xlpm.pos,MASTER!$H:$H,0))&amp;"_ser_0.20_"&amp;TEXT(INDEX(MASTER!$E:$E,MATCH(_xlpm.pos,MASTER!$H:$H,0)),"mmddyy"),""),_xlpm.slot,96+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87" spans="1:13" ht="22" customHeight="1" x14ac:dyDescent="0.3">
      <c r="A87" s="6" t="s">
        <v>36</v>
      </c>
      <c r="B87" s="4" t="str">
        <f>_xlfn.LET(_xlpm.pos,"CDI plate 8: "&amp;$A10&amp;B$2,_xlpm.normal,IFERROR(INDEX(MASTER!$A:$A,MATCH(_xlpm.pos,MASTER!$H:$H,0))&amp;"_ser_0.20_"&amp;TEXT(INDEX(MASTER!$E:$E,MATCH(_xlpm.pos,MASTER!$H:$H,0)),"mmddyy"),""),_xlpm.slot,96+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87" s="4" t="str">
        <f>_xlfn.LET(_xlpm.pos,"CDI plate 8: "&amp;$A10&amp;C$2,_xlpm.normal,IFERROR(INDEX(MASTER!$A:$A,MATCH(_xlpm.pos,MASTER!$H:$H,0))&amp;"_ser_0.20_"&amp;TEXT(INDEX(MASTER!$E:$E,MATCH(_xlpm.pos,MASTER!$H:$H,0)),"mmddyy"),""),_xlpm.slot,96+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87" s="4" t="str">
        <f>_xlfn.LET(_xlpm.pos,"CDI plate 8: "&amp;$A10&amp;D$2,_xlpm.normal,IFERROR(INDEX(MASTER!$A:$A,MATCH(_xlpm.pos,MASTER!$H:$H,0))&amp;"_ser_0.20_"&amp;TEXT(INDEX(MASTER!$E:$E,MATCH(_xlpm.pos,MASTER!$H:$H,0)),"mmddyy"),""),_xlpm.slot,96+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87" s="4" t="str">
        <f>_xlfn.LET(_xlpm.pos,"CDI plate 8: "&amp;$A10&amp;E$2,_xlpm.normal,IFERROR(INDEX(MASTER!$A:$A,MATCH(_xlpm.pos,MASTER!$H:$H,0))&amp;"_ser_0.20_"&amp;TEXT(INDEX(MASTER!$E:$E,MATCH(_xlpm.pos,MASTER!$H:$H,0)),"mmddyy"),""),_xlpm.slot,96+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87" s="4" t="str">
        <f>_xlfn.LET(_xlpm.pos,"CDI plate 8: "&amp;$A10&amp;F$2,_xlpm.normal,IFERROR(INDEX(MASTER!$A:$A,MATCH(_xlpm.pos,MASTER!$H:$H,0))&amp;"_ser_0.20_"&amp;TEXT(INDEX(MASTER!$E:$E,MATCH(_xlpm.pos,MASTER!$H:$H,0)),"mmddyy"),""),_xlpm.slot,96+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87" s="4" t="str">
        <f>_xlfn.LET(_xlpm.pos,"CDI plate 8: "&amp;$A10&amp;G$2,_xlpm.normal,IFERROR(INDEX(MASTER!$A:$A,MATCH(_xlpm.pos,MASTER!$H:$H,0))&amp;"_ser_0.20_"&amp;TEXT(INDEX(MASTER!$E:$E,MATCH(_xlpm.pos,MASTER!$H:$H,0)),"mmddyy"),""),_xlpm.slot,96+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87" s="4" t="str">
        <f>_xlfn.LET(_xlpm.pos,"CDI plate 8: "&amp;$A10&amp;H$2,_xlpm.normal,IFERROR(INDEX(MASTER!$A:$A,MATCH(_xlpm.pos,MASTER!$H:$H,0))&amp;"_ser_0.20_"&amp;TEXT(INDEX(MASTER!$E:$E,MATCH(_xlpm.pos,MASTER!$H:$H,0)),"mmddyy"),""),_xlpm.slot,96+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87" s="4" t="str">
        <f>_xlfn.LET(_xlpm.pos,"CDI plate 8: "&amp;$A10&amp;I$2,_xlpm.normal,IFERROR(INDEX(MASTER!$A:$A,MATCH(_xlpm.pos,MASTER!$H:$H,0))&amp;"_ser_0.20_"&amp;TEXT(INDEX(MASTER!$E:$E,MATCH(_xlpm.pos,MASTER!$H:$H,0)),"mmddyy"),""),_xlpm.slot,96+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87" s="4" t="str">
        <f>_xlfn.LET(_xlpm.pos,"CDI plate 8: "&amp;$A10&amp;J$2,_xlpm.normal,IFERROR(INDEX(MASTER!$A:$A,MATCH(_xlpm.pos,MASTER!$H:$H,0))&amp;"_ser_0.20_"&amp;TEXT(INDEX(MASTER!$E:$E,MATCH(_xlpm.pos,MASTER!$H:$H,0)),"mmddyy"),""),_xlpm.slot,96+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87" s="4" t="str">
        <f>_xlfn.LET(_xlpm.pos,"CDI plate 8: "&amp;$A10&amp;K$2,_xlpm.normal,IFERROR(INDEX(MASTER!$A:$A,MATCH(_xlpm.pos,MASTER!$H:$H,0))&amp;"_ser_0.20_"&amp;TEXT(INDEX(MASTER!$E:$E,MATCH(_xlpm.pos,MASTER!$H:$H,0)),"mmddyy"),""),_xlpm.slot,96+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87" s="4" t="str">
        <f>_xlfn.LET(_xlpm.pos,"CDI plate 8: "&amp;$A10&amp;L$2,_xlpm.normal,IFERROR(INDEX(MASTER!$A:$A,MATCH(_xlpm.pos,MASTER!$H:$H,0))&amp;"_ser_0.20_"&amp;TEXT(INDEX(MASTER!$E:$E,MATCH(_xlpm.pos,MASTER!$H:$H,0)),"mmddyy"),""),_xlpm.slot,96+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87" s="4" t="str">
        <f>_xlfn.LET(_xlpm.pos,"CDI plate 8: "&amp;$A10&amp;M$2,_xlpm.normal,IFERROR(INDEX(MASTER!$A:$A,MATCH(_xlpm.pos,MASTER!$H:$H,0))&amp;"_ser_0.20_"&amp;TEXT(INDEX(MASTER!$E:$E,MATCH(_xlpm.pos,MASTER!$H:$H,0)),"mmddyy"),""),_xlpm.slot,96+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88" spans="1:13" ht="22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spans="1:13" ht="22" customHeight="1" x14ac:dyDescent="0.35">
      <c r="A89" s="5"/>
      <c r="B89" s="31" t="s">
        <v>44</v>
      </c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3"/>
    </row>
    <row r="90" spans="1:13" ht="22" customHeight="1" x14ac:dyDescent="0.3">
      <c r="A90" s="5"/>
      <c r="B90" s="6">
        <v>1</v>
      </c>
      <c r="C90" s="6">
        <v>2</v>
      </c>
      <c r="D90" s="6">
        <v>3</v>
      </c>
      <c r="E90" s="6">
        <v>4</v>
      </c>
      <c r="F90" s="6">
        <v>5</v>
      </c>
      <c r="G90" s="6">
        <v>6</v>
      </c>
      <c r="H90" s="6">
        <v>7</v>
      </c>
      <c r="I90" s="6">
        <v>8</v>
      </c>
      <c r="J90" s="6">
        <v>9</v>
      </c>
      <c r="K90" s="6">
        <v>10</v>
      </c>
      <c r="L90" s="6">
        <v>11</v>
      </c>
      <c r="M90" s="6">
        <v>12</v>
      </c>
    </row>
    <row r="91" spans="1:13" ht="22" customHeight="1" x14ac:dyDescent="0.3">
      <c r="A91" s="6" t="s">
        <v>30</v>
      </c>
      <c r="B91" s="4" t="str">
        <f>_xlfn.LET(_xlpm.pos,"CDI plate 9: "&amp;$A3&amp;B$2,_xlpm.normal,IFERROR(INDEX(MASTER!$A:$A,MATCH(_xlpm.pos,MASTER!$H:$H,0))&amp;"_ser_0.20_"&amp;TEXT(INDEX(MASTER!$E:$E,MATCH(_xlpm.pos,MASTER!$H:$H,0)),"mmddyy"),""),_xlpm.slot,96+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91" s="4" t="str">
        <f>_xlfn.LET(_xlpm.pos,"CDI plate 9: "&amp;$A3&amp;C$2,_xlpm.normal,IFERROR(INDEX(MASTER!$A:$A,MATCH(_xlpm.pos,MASTER!$H:$H,0))&amp;"_ser_0.20_"&amp;TEXT(INDEX(MASTER!$E:$E,MATCH(_xlpm.pos,MASTER!$H:$H,0)),"mmddyy"),""),_xlpm.slot,96+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91" s="4" t="str">
        <f>_xlfn.LET(_xlpm.pos,"CDI plate 9: "&amp;$A3&amp;D$2,_xlpm.normal,IFERROR(INDEX(MASTER!$A:$A,MATCH(_xlpm.pos,MASTER!$H:$H,0))&amp;"_ser_0.20_"&amp;TEXT(INDEX(MASTER!$E:$E,MATCH(_xlpm.pos,MASTER!$H:$H,0)),"mmddyy"),""),_xlpm.slot,96+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91" s="4" t="str">
        <f>_xlfn.LET(_xlpm.pos,"CDI plate 9: "&amp;$A3&amp;E$2,_xlpm.normal,IFERROR(INDEX(MASTER!$A:$A,MATCH(_xlpm.pos,MASTER!$H:$H,0))&amp;"_ser_0.20_"&amp;TEXT(INDEX(MASTER!$E:$E,MATCH(_xlpm.pos,MASTER!$H:$H,0)),"mmddyy"),""),_xlpm.slot,96+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91" s="4" t="str">
        <f>_xlfn.LET(_xlpm.pos,"CDI plate 9: "&amp;$A3&amp;F$2,_xlpm.normal,IFERROR(INDEX(MASTER!$A:$A,MATCH(_xlpm.pos,MASTER!$H:$H,0))&amp;"_ser_0.20_"&amp;TEXT(INDEX(MASTER!$E:$E,MATCH(_xlpm.pos,MASTER!$H:$H,0)),"mmddyy"),""),_xlpm.slot,96+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91" s="4" t="str">
        <f>_xlfn.LET(_xlpm.pos,"CDI plate 9: "&amp;$A3&amp;G$2,_xlpm.normal,IFERROR(INDEX(MASTER!$A:$A,MATCH(_xlpm.pos,MASTER!$H:$H,0))&amp;"_ser_0.20_"&amp;TEXT(INDEX(MASTER!$E:$E,MATCH(_xlpm.pos,MASTER!$H:$H,0)),"mmddyy"),""),_xlpm.slot,96+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91" s="4" t="str">
        <f>_xlfn.LET(_xlpm.pos,"CDI plate 9: "&amp;$A3&amp;H$2,_xlpm.normal,IFERROR(INDEX(MASTER!$A:$A,MATCH(_xlpm.pos,MASTER!$H:$H,0))&amp;"_ser_0.20_"&amp;TEXT(INDEX(MASTER!$E:$E,MATCH(_xlpm.pos,MASTER!$H:$H,0)),"mmddyy"),""),_xlpm.slot,96+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91" s="4" t="str">
        <f>_xlfn.LET(_xlpm.pos,"CDI plate 9: "&amp;$A3&amp;I$2,_xlpm.normal,IFERROR(INDEX(MASTER!$A:$A,MATCH(_xlpm.pos,MASTER!$H:$H,0))&amp;"_ser_0.20_"&amp;TEXT(INDEX(MASTER!$E:$E,MATCH(_xlpm.pos,MASTER!$H:$H,0)),"mmddyy"),""),_xlpm.slot,96+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91" s="4" t="str">
        <f>_xlfn.LET(_xlpm.pos,"CDI plate 9: "&amp;$A3&amp;J$2,_xlpm.normal,IFERROR(INDEX(MASTER!$A:$A,MATCH(_xlpm.pos,MASTER!$H:$H,0))&amp;"_ser_0.20_"&amp;TEXT(INDEX(MASTER!$E:$E,MATCH(_xlpm.pos,MASTER!$H:$H,0)),"mmddyy"),""),_xlpm.slot,96+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91" s="4" t="str">
        <f>_xlfn.LET(_xlpm.pos,"CDI plate 9: "&amp;$A3&amp;K$2,_xlpm.normal,IFERROR(INDEX(MASTER!$A:$A,MATCH(_xlpm.pos,MASTER!$H:$H,0))&amp;"_ser_0.20_"&amp;TEXT(INDEX(MASTER!$E:$E,MATCH(_xlpm.pos,MASTER!$H:$H,0)),"mmddyy"),""),_xlpm.slot,96+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91" s="4" t="str">
        <f>_xlfn.LET(_xlpm.pos,"CDI plate 9: "&amp;$A3&amp;L$2,_xlpm.normal,IFERROR(INDEX(MASTER!$A:$A,MATCH(_xlpm.pos,MASTER!$H:$H,0))&amp;"_ser_0.20_"&amp;TEXT(INDEX(MASTER!$E:$E,MATCH(_xlpm.pos,MASTER!$H:$H,0)),"mmddyy"),""),_xlpm.slot,96+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91" s="4" t="str">
        <f>_xlfn.LET(_xlpm.pos,"CDI plate 9: "&amp;$A3&amp;M$2,_xlpm.normal,IFERROR(INDEX(MASTER!$A:$A,MATCH(_xlpm.pos,MASTER!$H:$H,0))&amp;"_ser_0.20_"&amp;TEXT(INDEX(MASTER!$E:$E,MATCH(_xlpm.pos,MASTER!$H:$H,0)),"mmddyy"),""),_xlpm.slot,96+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92" spans="1:13" ht="22" customHeight="1" x14ac:dyDescent="0.3">
      <c r="A92" s="6" t="s">
        <v>31</v>
      </c>
      <c r="B92" s="4" t="str">
        <f>_xlfn.LET(_xlpm.pos,"CDI plate 9: "&amp;$A4&amp;B$2,_xlpm.normal,IFERROR(INDEX(MASTER!$A:$A,MATCH(_xlpm.pos,MASTER!$H:$H,0))&amp;"_ser_0.20_"&amp;TEXT(INDEX(MASTER!$E:$E,MATCH(_xlpm.pos,MASTER!$H:$H,0)),"mmddyy"),""),_xlpm.slot,96+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92" s="4" t="str">
        <f>_xlfn.LET(_xlpm.pos,"CDI plate 9: "&amp;$A4&amp;C$2,_xlpm.normal,IFERROR(INDEX(MASTER!$A:$A,MATCH(_xlpm.pos,MASTER!$H:$H,0))&amp;"_ser_0.20_"&amp;TEXT(INDEX(MASTER!$E:$E,MATCH(_xlpm.pos,MASTER!$H:$H,0)),"mmddyy"),""),_xlpm.slot,96+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92" s="4" t="str">
        <f>_xlfn.LET(_xlpm.pos,"CDI plate 9: "&amp;$A4&amp;D$2,_xlpm.normal,IFERROR(INDEX(MASTER!$A:$A,MATCH(_xlpm.pos,MASTER!$H:$H,0))&amp;"_ser_0.20_"&amp;TEXT(INDEX(MASTER!$E:$E,MATCH(_xlpm.pos,MASTER!$H:$H,0)),"mmddyy"),""),_xlpm.slot,96+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92" s="4" t="str">
        <f>_xlfn.LET(_xlpm.pos,"CDI plate 9: "&amp;$A4&amp;E$2,_xlpm.normal,IFERROR(INDEX(MASTER!$A:$A,MATCH(_xlpm.pos,MASTER!$H:$H,0))&amp;"_ser_0.20_"&amp;TEXT(INDEX(MASTER!$E:$E,MATCH(_xlpm.pos,MASTER!$H:$H,0)),"mmddyy"),""),_xlpm.slot,96+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92" s="4" t="str">
        <f>_xlfn.LET(_xlpm.pos,"CDI plate 9: "&amp;$A4&amp;F$2,_xlpm.normal,IFERROR(INDEX(MASTER!$A:$A,MATCH(_xlpm.pos,MASTER!$H:$H,0))&amp;"_ser_0.20_"&amp;TEXT(INDEX(MASTER!$E:$E,MATCH(_xlpm.pos,MASTER!$H:$H,0)),"mmddyy"),""),_xlpm.slot,96+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92" s="4" t="str">
        <f>_xlfn.LET(_xlpm.pos,"CDI plate 9: "&amp;$A4&amp;G$2,_xlpm.normal,IFERROR(INDEX(MASTER!$A:$A,MATCH(_xlpm.pos,MASTER!$H:$H,0))&amp;"_ser_0.20_"&amp;TEXT(INDEX(MASTER!$E:$E,MATCH(_xlpm.pos,MASTER!$H:$H,0)),"mmddyy"),""),_xlpm.slot,96+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92" s="4" t="str">
        <f>_xlfn.LET(_xlpm.pos,"CDI plate 9: "&amp;$A4&amp;H$2,_xlpm.normal,IFERROR(INDEX(MASTER!$A:$A,MATCH(_xlpm.pos,MASTER!$H:$H,0))&amp;"_ser_0.20_"&amp;TEXT(INDEX(MASTER!$E:$E,MATCH(_xlpm.pos,MASTER!$H:$H,0)),"mmddyy"),""),_xlpm.slot,96+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92" s="4" t="str">
        <f>_xlfn.LET(_xlpm.pos,"CDI plate 9: "&amp;$A4&amp;I$2,_xlpm.normal,IFERROR(INDEX(MASTER!$A:$A,MATCH(_xlpm.pos,MASTER!$H:$H,0))&amp;"_ser_0.20_"&amp;TEXT(INDEX(MASTER!$E:$E,MATCH(_xlpm.pos,MASTER!$H:$H,0)),"mmddyy"),""),_xlpm.slot,96+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92" s="4" t="str">
        <f>_xlfn.LET(_xlpm.pos,"CDI plate 9: "&amp;$A4&amp;J$2,_xlpm.normal,IFERROR(INDEX(MASTER!$A:$A,MATCH(_xlpm.pos,MASTER!$H:$H,0))&amp;"_ser_0.20_"&amp;TEXT(INDEX(MASTER!$E:$E,MATCH(_xlpm.pos,MASTER!$H:$H,0)),"mmddyy"),""),_xlpm.slot,96+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92" s="4" t="str">
        <f>_xlfn.LET(_xlpm.pos,"CDI plate 9: "&amp;$A4&amp;K$2,_xlpm.normal,IFERROR(INDEX(MASTER!$A:$A,MATCH(_xlpm.pos,MASTER!$H:$H,0))&amp;"_ser_0.20_"&amp;TEXT(INDEX(MASTER!$E:$E,MATCH(_xlpm.pos,MASTER!$H:$H,0)),"mmddyy"),""),_xlpm.slot,96+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92" s="4" t="str">
        <f>_xlfn.LET(_xlpm.pos,"CDI plate 9: "&amp;$A4&amp;L$2,_xlpm.normal,IFERROR(INDEX(MASTER!$A:$A,MATCH(_xlpm.pos,MASTER!$H:$H,0))&amp;"_ser_0.20_"&amp;TEXT(INDEX(MASTER!$E:$E,MATCH(_xlpm.pos,MASTER!$H:$H,0)),"mmddyy"),""),_xlpm.slot,96+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92" s="4" t="str">
        <f>_xlfn.LET(_xlpm.pos,"CDI plate 9: "&amp;$A4&amp;M$2,_xlpm.normal,IFERROR(INDEX(MASTER!$A:$A,MATCH(_xlpm.pos,MASTER!$H:$H,0))&amp;"_ser_0.20_"&amp;TEXT(INDEX(MASTER!$E:$E,MATCH(_xlpm.pos,MASTER!$H:$H,0)),"mmddyy"),""),_xlpm.slot,96+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93" spans="1:13" ht="22" customHeight="1" x14ac:dyDescent="0.3">
      <c r="A93" s="6" t="s">
        <v>32</v>
      </c>
      <c r="B93" s="4" t="str">
        <f>_xlfn.LET(_xlpm.pos,"CDI plate 9: "&amp;$A5&amp;B$2,_xlpm.normal,IFERROR(INDEX(MASTER!$A:$A,MATCH(_xlpm.pos,MASTER!$H:$H,0))&amp;"_ser_0.20_"&amp;TEXT(INDEX(MASTER!$E:$E,MATCH(_xlpm.pos,MASTER!$H:$H,0)),"mmddyy"),""),_xlpm.slot,96+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93" s="4" t="str">
        <f>_xlfn.LET(_xlpm.pos,"CDI plate 9: "&amp;$A5&amp;C$2,_xlpm.normal,IFERROR(INDEX(MASTER!$A:$A,MATCH(_xlpm.pos,MASTER!$H:$H,0))&amp;"_ser_0.20_"&amp;TEXT(INDEX(MASTER!$E:$E,MATCH(_xlpm.pos,MASTER!$H:$H,0)),"mmddyy"),""),_xlpm.slot,96+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93" s="4" t="str">
        <f>_xlfn.LET(_xlpm.pos,"CDI plate 9: "&amp;$A5&amp;D$2,_xlpm.normal,IFERROR(INDEX(MASTER!$A:$A,MATCH(_xlpm.pos,MASTER!$H:$H,0))&amp;"_ser_0.20_"&amp;TEXT(INDEX(MASTER!$E:$E,MATCH(_xlpm.pos,MASTER!$H:$H,0)),"mmddyy"),""),_xlpm.slot,96+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93" s="4" t="str">
        <f>_xlfn.LET(_xlpm.pos,"CDI plate 9: "&amp;$A5&amp;E$2,_xlpm.normal,IFERROR(INDEX(MASTER!$A:$A,MATCH(_xlpm.pos,MASTER!$H:$H,0))&amp;"_ser_0.20_"&amp;TEXT(INDEX(MASTER!$E:$E,MATCH(_xlpm.pos,MASTER!$H:$H,0)),"mmddyy"),""),_xlpm.slot,96+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93" s="4" t="str">
        <f>_xlfn.LET(_xlpm.pos,"CDI plate 9: "&amp;$A5&amp;F$2,_xlpm.normal,IFERROR(INDEX(MASTER!$A:$A,MATCH(_xlpm.pos,MASTER!$H:$H,0))&amp;"_ser_0.20_"&amp;TEXT(INDEX(MASTER!$E:$E,MATCH(_xlpm.pos,MASTER!$H:$H,0)),"mmddyy"),""),_xlpm.slot,96+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93" s="4" t="str">
        <f>_xlfn.LET(_xlpm.pos,"CDI plate 9: "&amp;$A5&amp;G$2,_xlpm.normal,IFERROR(INDEX(MASTER!$A:$A,MATCH(_xlpm.pos,MASTER!$H:$H,0))&amp;"_ser_0.20_"&amp;TEXT(INDEX(MASTER!$E:$E,MATCH(_xlpm.pos,MASTER!$H:$H,0)),"mmddyy"),""),_xlpm.slot,96+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93" s="4" t="str">
        <f>_xlfn.LET(_xlpm.pos,"CDI plate 9: "&amp;$A5&amp;H$2,_xlpm.normal,IFERROR(INDEX(MASTER!$A:$A,MATCH(_xlpm.pos,MASTER!$H:$H,0))&amp;"_ser_0.20_"&amp;TEXT(INDEX(MASTER!$E:$E,MATCH(_xlpm.pos,MASTER!$H:$H,0)),"mmddyy"),""),_xlpm.slot,96+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93" s="4" t="str">
        <f>_xlfn.LET(_xlpm.pos,"CDI plate 9: "&amp;$A5&amp;I$2,_xlpm.normal,IFERROR(INDEX(MASTER!$A:$A,MATCH(_xlpm.pos,MASTER!$H:$H,0))&amp;"_ser_0.20_"&amp;TEXT(INDEX(MASTER!$E:$E,MATCH(_xlpm.pos,MASTER!$H:$H,0)),"mmddyy"),""),_xlpm.slot,96+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93" s="4" t="str">
        <f>_xlfn.LET(_xlpm.pos,"CDI plate 9: "&amp;$A5&amp;J$2,_xlpm.normal,IFERROR(INDEX(MASTER!$A:$A,MATCH(_xlpm.pos,MASTER!$H:$H,0))&amp;"_ser_0.20_"&amp;TEXT(INDEX(MASTER!$E:$E,MATCH(_xlpm.pos,MASTER!$H:$H,0)),"mmddyy"),""),_xlpm.slot,96+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93" s="4" t="str">
        <f>_xlfn.LET(_xlpm.pos,"CDI plate 9: "&amp;$A5&amp;K$2,_xlpm.normal,IFERROR(INDEX(MASTER!$A:$A,MATCH(_xlpm.pos,MASTER!$H:$H,0))&amp;"_ser_0.20_"&amp;TEXT(INDEX(MASTER!$E:$E,MATCH(_xlpm.pos,MASTER!$H:$H,0)),"mmddyy"),""),_xlpm.slot,96+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93" s="4" t="str">
        <f>_xlfn.LET(_xlpm.pos,"CDI plate 9: "&amp;$A5&amp;L$2,_xlpm.normal,IFERROR(INDEX(MASTER!$A:$A,MATCH(_xlpm.pos,MASTER!$H:$H,0))&amp;"_ser_0.20_"&amp;TEXT(INDEX(MASTER!$E:$E,MATCH(_xlpm.pos,MASTER!$H:$H,0)),"mmddyy"),""),_xlpm.slot,96+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93" s="4" t="str">
        <f>_xlfn.LET(_xlpm.pos,"CDI plate 9: "&amp;$A5&amp;M$2,_xlpm.normal,IFERROR(INDEX(MASTER!$A:$A,MATCH(_xlpm.pos,MASTER!$H:$H,0))&amp;"_ser_0.20_"&amp;TEXT(INDEX(MASTER!$E:$E,MATCH(_xlpm.pos,MASTER!$H:$H,0)),"mmddyy"),""),_xlpm.slot,96+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94" spans="1:13" ht="22" customHeight="1" x14ac:dyDescent="0.3">
      <c r="A94" s="6" t="s">
        <v>33</v>
      </c>
      <c r="B94" s="4" t="str">
        <f>_xlfn.LET(_xlpm.pos,"CDI plate 9: "&amp;$A6&amp;B$2,_xlpm.normal,IFERROR(INDEX(MASTER!$A:$A,MATCH(_xlpm.pos,MASTER!$H:$H,0))&amp;"_ser_0.20_"&amp;TEXT(INDEX(MASTER!$E:$E,MATCH(_xlpm.pos,MASTER!$H:$H,0)),"mmddyy"),""),_xlpm.slot,96+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94" s="4" t="str">
        <f>_xlfn.LET(_xlpm.pos,"CDI plate 9: "&amp;$A6&amp;C$2,_xlpm.normal,IFERROR(INDEX(MASTER!$A:$A,MATCH(_xlpm.pos,MASTER!$H:$H,0))&amp;"_ser_0.20_"&amp;TEXT(INDEX(MASTER!$E:$E,MATCH(_xlpm.pos,MASTER!$H:$H,0)),"mmddyy"),""),_xlpm.slot,96+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94" s="4" t="str">
        <f>_xlfn.LET(_xlpm.pos,"CDI plate 9: "&amp;$A6&amp;D$2,_xlpm.normal,IFERROR(INDEX(MASTER!$A:$A,MATCH(_xlpm.pos,MASTER!$H:$H,0))&amp;"_ser_0.20_"&amp;TEXT(INDEX(MASTER!$E:$E,MATCH(_xlpm.pos,MASTER!$H:$H,0)),"mmddyy"),""),_xlpm.slot,96+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94" s="4" t="str">
        <f>_xlfn.LET(_xlpm.pos,"CDI plate 9: "&amp;$A6&amp;E$2,_xlpm.normal,IFERROR(INDEX(MASTER!$A:$A,MATCH(_xlpm.pos,MASTER!$H:$H,0))&amp;"_ser_0.20_"&amp;TEXT(INDEX(MASTER!$E:$E,MATCH(_xlpm.pos,MASTER!$H:$H,0)),"mmddyy"),""),_xlpm.slot,96+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94" s="4" t="str">
        <f>_xlfn.LET(_xlpm.pos,"CDI plate 9: "&amp;$A6&amp;F$2,_xlpm.normal,IFERROR(INDEX(MASTER!$A:$A,MATCH(_xlpm.pos,MASTER!$H:$H,0))&amp;"_ser_0.20_"&amp;TEXT(INDEX(MASTER!$E:$E,MATCH(_xlpm.pos,MASTER!$H:$H,0)),"mmddyy"),""),_xlpm.slot,96+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94" s="4" t="str">
        <f>_xlfn.LET(_xlpm.pos,"CDI plate 9: "&amp;$A6&amp;G$2,_xlpm.normal,IFERROR(INDEX(MASTER!$A:$A,MATCH(_xlpm.pos,MASTER!$H:$H,0))&amp;"_ser_0.20_"&amp;TEXT(INDEX(MASTER!$E:$E,MATCH(_xlpm.pos,MASTER!$H:$H,0)),"mmddyy"),""),_xlpm.slot,96+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94" s="4" t="str">
        <f>_xlfn.LET(_xlpm.pos,"CDI plate 9: "&amp;$A6&amp;H$2,_xlpm.normal,IFERROR(INDEX(MASTER!$A:$A,MATCH(_xlpm.pos,MASTER!$H:$H,0))&amp;"_ser_0.20_"&amp;TEXT(INDEX(MASTER!$E:$E,MATCH(_xlpm.pos,MASTER!$H:$H,0)),"mmddyy"),""),_xlpm.slot,96+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94" s="4" t="str">
        <f>_xlfn.LET(_xlpm.pos,"CDI plate 9: "&amp;$A6&amp;I$2,_xlpm.normal,IFERROR(INDEX(MASTER!$A:$A,MATCH(_xlpm.pos,MASTER!$H:$H,0))&amp;"_ser_0.20_"&amp;TEXT(INDEX(MASTER!$E:$E,MATCH(_xlpm.pos,MASTER!$H:$H,0)),"mmddyy"),""),_xlpm.slot,96+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94" s="4" t="str">
        <f>_xlfn.LET(_xlpm.pos,"CDI plate 9: "&amp;$A6&amp;J$2,_xlpm.normal,IFERROR(INDEX(MASTER!$A:$A,MATCH(_xlpm.pos,MASTER!$H:$H,0))&amp;"_ser_0.20_"&amp;TEXT(INDEX(MASTER!$E:$E,MATCH(_xlpm.pos,MASTER!$H:$H,0)),"mmddyy"),""),_xlpm.slot,96+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94" s="4" t="str">
        <f>_xlfn.LET(_xlpm.pos,"CDI plate 9: "&amp;$A6&amp;K$2,_xlpm.normal,IFERROR(INDEX(MASTER!$A:$A,MATCH(_xlpm.pos,MASTER!$H:$H,0))&amp;"_ser_0.20_"&amp;TEXT(INDEX(MASTER!$E:$E,MATCH(_xlpm.pos,MASTER!$H:$H,0)),"mmddyy"),""),_xlpm.slot,96+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94" s="4" t="str">
        <f>_xlfn.LET(_xlpm.pos,"CDI plate 9: "&amp;$A6&amp;L$2,_xlpm.normal,IFERROR(INDEX(MASTER!$A:$A,MATCH(_xlpm.pos,MASTER!$H:$H,0))&amp;"_ser_0.20_"&amp;TEXT(INDEX(MASTER!$E:$E,MATCH(_xlpm.pos,MASTER!$H:$H,0)),"mmddyy"),""),_xlpm.slot,96+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94" s="4" t="str">
        <f>_xlfn.LET(_xlpm.pos,"CDI plate 9: "&amp;$A6&amp;M$2,_xlpm.normal,IFERROR(INDEX(MASTER!$A:$A,MATCH(_xlpm.pos,MASTER!$H:$H,0))&amp;"_ser_0.20_"&amp;TEXT(INDEX(MASTER!$E:$E,MATCH(_xlpm.pos,MASTER!$H:$H,0)),"mmddyy"),""),_xlpm.slot,96+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95" spans="1:13" ht="22" customHeight="1" x14ac:dyDescent="0.3">
      <c r="A95" s="6" t="s">
        <v>34</v>
      </c>
      <c r="B95" s="4" t="str">
        <f>_xlfn.LET(_xlpm.pos,"CDI plate 9: "&amp;$A7&amp;B$2,_xlpm.normal,IFERROR(INDEX(MASTER!$A:$A,MATCH(_xlpm.pos,MASTER!$H:$H,0))&amp;"_ser_0.20_"&amp;TEXT(INDEX(MASTER!$E:$E,MATCH(_xlpm.pos,MASTER!$H:$H,0)),"mmddyy"),""),_xlpm.slot,96+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95" s="4" t="str">
        <f>_xlfn.LET(_xlpm.pos,"CDI plate 9: "&amp;$A7&amp;C$2,_xlpm.normal,IFERROR(INDEX(MASTER!$A:$A,MATCH(_xlpm.pos,MASTER!$H:$H,0))&amp;"_ser_0.20_"&amp;TEXT(INDEX(MASTER!$E:$E,MATCH(_xlpm.pos,MASTER!$H:$H,0)),"mmddyy"),""),_xlpm.slot,96+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95" s="4" t="str">
        <f>_xlfn.LET(_xlpm.pos,"CDI plate 9: "&amp;$A7&amp;D$2,_xlpm.normal,IFERROR(INDEX(MASTER!$A:$A,MATCH(_xlpm.pos,MASTER!$H:$H,0))&amp;"_ser_0.20_"&amp;TEXT(INDEX(MASTER!$E:$E,MATCH(_xlpm.pos,MASTER!$H:$H,0)),"mmddyy"),""),_xlpm.slot,96+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95" s="4" t="str">
        <f>_xlfn.LET(_xlpm.pos,"CDI plate 9: "&amp;$A7&amp;E$2,_xlpm.normal,IFERROR(INDEX(MASTER!$A:$A,MATCH(_xlpm.pos,MASTER!$H:$H,0))&amp;"_ser_0.20_"&amp;TEXT(INDEX(MASTER!$E:$E,MATCH(_xlpm.pos,MASTER!$H:$H,0)),"mmddyy"),""),_xlpm.slot,96+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95" s="4" t="str">
        <f>_xlfn.LET(_xlpm.pos,"CDI plate 9: "&amp;$A7&amp;F$2,_xlpm.normal,IFERROR(INDEX(MASTER!$A:$A,MATCH(_xlpm.pos,MASTER!$H:$H,0))&amp;"_ser_0.20_"&amp;TEXT(INDEX(MASTER!$E:$E,MATCH(_xlpm.pos,MASTER!$H:$H,0)),"mmddyy"),""),_xlpm.slot,96+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95" s="4" t="str">
        <f>_xlfn.LET(_xlpm.pos,"CDI plate 9: "&amp;$A7&amp;G$2,_xlpm.normal,IFERROR(INDEX(MASTER!$A:$A,MATCH(_xlpm.pos,MASTER!$H:$H,0))&amp;"_ser_0.20_"&amp;TEXT(INDEX(MASTER!$E:$E,MATCH(_xlpm.pos,MASTER!$H:$H,0)),"mmddyy"),""),_xlpm.slot,96+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95" s="4" t="str">
        <f>_xlfn.LET(_xlpm.pos,"CDI plate 9: "&amp;$A7&amp;H$2,_xlpm.normal,IFERROR(INDEX(MASTER!$A:$A,MATCH(_xlpm.pos,MASTER!$H:$H,0))&amp;"_ser_0.20_"&amp;TEXT(INDEX(MASTER!$E:$E,MATCH(_xlpm.pos,MASTER!$H:$H,0)),"mmddyy"),""),_xlpm.slot,96+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95" s="4" t="str">
        <f>_xlfn.LET(_xlpm.pos,"CDI plate 9: "&amp;$A7&amp;I$2,_xlpm.normal,IFERROR(INDEX(MASTER!$A:$A,MATCH(_xlpm.pos,MASTER!$H:$H,0))&amp;"_ser_0.20_"&amp;TEXT(INDEX(MASTER!$E:$E,MATCH(_xlpm.pos,MASTER!$H:$H,0)),"mmddyy"),""),_xlpm.slot,96+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95" s="4" t="str">
        <f>_xlfn.LET(_xlpm.pos,"CDI plate 9: "&amp;$A7&amp;J$2,_xlpm.normal,IFERROR(INDEX(MASTER!$A:$A,MATCH(_xlpm.pos,MASTER!$H:$H,0))&amp;"_ser_0.20_"&amp;TEXT(INDEX(MASTER!$E:$E,MATCH(_xlpm.pos,MASTER!$H:$H,0)),"mmddyy"),""),_xlpm.slot,96+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95" s="4" t="str">
        <f>_xlfn.LET(_xlpm.pos,"CDI plate 9: "&amp;$A7&amp;K$2,_xlpm.normal,IFERROR(INDEX(MASTER!$A:$A,MATCH(_xlpm.pos,MASTER!$H:$H,0))&amp;"_ser_0.20_"&amp;TEXT(INDEX(MASTER!$E:$E,MATCH(_xlpm.pos,MASTER!$H:$H,0)),"mmddyy"),""),_xlpm.slot,96+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95" s="4" t="str">
        <f>_xlfn.LET(_xlpm.pos,"CDI plate 9: "&amp;$A7&amp;L$2,_xlpm.normal,IFERROR(INDEX(MASTER!$A:$A,MATCH(_xlpm.pos,MASTER!$H:$H,0))&amp;"_ser_0.20_"&amp;TEXT(INDEX(MASTER!$E:$E,MATCH(_xlpm.pos,MASTER!$H:$H,0)),"mmddyy"),""),_xlpm.slot,96+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95" s="4" t="str">
        <f>_xlfn.LET(_xlpm.pos,"CDI plate 9: "&amp;$A7&amp;M$2,_xlpm.normal,IFERROR(INDEX(MASTER!$A:$A,MATCH(_xlpm.pos,MASTER!$H:$H,0))&amp;"_ser_0.20_"&amp;TEXT(INDEX(MASTER!$E:$E,MATCH(_xlpm.pos,MASTER!$H:$H,0)),"mmddyy"),""),_xlpm.slot,96+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96" spans="1:13" ht="22" customHeight="1" x14ac:dyDescent="0.3">
      <c r="A96" s="6" t="s">
        <v>15</v>
      </c>
      <c r="B96" s="4" t="str">
        <f>_xlfn.LET(_xlpm.pos,"CDI plate 9: "&amp;$A8&amp;B$2,_xlpm.normal,IFERROR(INDEX(MASTER!$A:$A,MATCH(_xlpm.pos,MASTER!$H:$H,0))&amp;"_ser_0.20_"&amp;TEXT(INDEX(MASTER!$E:$E,MATCH(_xlpm.pos,MASTER!$H:$H,0)),"mmddyy"),""),_xlpm.slot,96+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96" s="4" t="str">
        <f>_xlfn.LET(_xlpm.pos,"CDI plate 9: "&amp;$A8&amp;C$2,_xlpm.normal,IFERROR(INDEX(MASTER!$A:$A,MATCH(_xlpm.pos,MASTER!$H:$H,0))&amp;"_ser_0.20_"&amp;TEXT(INDEX(MASTER!$E:$E,MATCH(_xlpm.pos,MASTER!$H:$H,0)),"mmddyy"),""),_xlpm.slot,96+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96" s="4" t="str">
        <f>_xlfn.LET(_xlpm.pos,"CDI plate 9: "&amp;$A8&amp;D$2,_xlpm.normal,IFERROR(INDEX(MASTER!$A:$A,MATCH(_xlpm.pos,MASTER!$H:$H,0))&amp;"_ser_0.20_"&amp;TEXT(INDEX(MASTER!$E:$E,MATCH(_xlpm.pos,MASTER!$H:$H,0)),"mmddyy"),""),_xlpm.slot,96+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96" s="4" t="str">
        <f>_xlfn.LET(_xlpm.pos,"CDI plate 9: "&amp;$A8&amp;E$2,_xlpm.normal,IFERROR(INDEX(MASTER!$A:$A,MATCH(_xlpm.pos,MASTER!$H:$H,0))&amp;"_ser_0.20_"&amp;TEXT(INDEX(MASTER!$E:$E,MATCH(_xlpm.pos,MASTER!$H:$H,0)),"mmddyy"),""),_xlpm.slot,96+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96" s="4" t="str">
        <f>_xlfn.LET(_xlpm.pos,"CDI plate 9: "&amp;$A8&amp;F$2,_xlpm.normal,IFERROR(INDEX(MASTER!$A:$A,MATCH(_xlpm.pos,MASTER!$H:$H,0))&amp;"_ser_0.20_"&amp;TEXT(INDEX(MASTER!$E:$E,MATCH(_xlpm.pos,MASTER!$H:$H,0)),"mmddyy"),""),_xlpm.slot,96+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96" s="4" t="str">
        <f>_xlfn.LET(_xlpm.pos,"CDI plate 9: "&amp;$A8&amp;G$2,_xlpm.normal,IFERROR(INDEX(MASTER!$A:$A,MATCH(_xlpm.pos,MASTER!$H:$H,0))&amp;"_ser_0.20_"&amp;TEXT(INDEX(MASTER!$E:$E,MATCH(_xlpm.pos,MASTER!$H:$H,0)),"mmddyy"),""),_xlpm.slot,96+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96" s="4" t="str">
        <f>_xlfn.LET(_xlpm.pos,"CDI plate 9: "&amp;$A8&amp;H$2,_xlpm.normal,IFERROR(INDEX(MASTER!$A:$A,MATCH(_xlpm.pos,MASTER!$H:$H,0))&amp;"_ser_0.20_"&amp;TEXT(INDEX(MASTER!$E:$E,MATCH(_xlpm.pos,MASTER!$H:$H,0)),"mmddyy"),""),_xlpm.slot,96+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96" s="4" t="str">
        <f>_xlfn.LET(_xlpm.pos,"CDI plate 9: "&amp;$A8&amp;I$2,_xlpm.normal,IFERROR(INDEX(MASTER!$A:$A,MATCH(_xlpm.pos,MASTER!$H:$H,0))&amp;"_ser_0.20_"&amp;TEXT(INDEX(MASTER!$E:$E,MATCH(_xlpm.pos,MASTER!$H:$H,0)),"mmddyy"),""),_xlpm.slot,96+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96" s="4" t="str">
        <f>_xlfn.LET(_xlpm.pos,"CDI plate 9: "&amp;$A8&amp;J$2,_xlpm.normal,IFERROR(INDEX(MASTER!$A:$A,MATCH(_xlpm.pos,MASTER!$H:$H,0))&amp;"_ser_0.20_"&amp;TEXT(INDEX(MASTER!$E:$E,MATCH(_xlpm.pos,MASTER!$H:$H,0)),"mmddyy"),""),_xlpm.slot,96+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96" s="4" t="str">
        <f>_xlfn.LET(_xlpm.pos,"CDI plate 9: "&amp;$A8&amp;K$2,_xlpm.normal,IFERROR(INDEX(MASTER!$A:$A,MATCH(_xlpm.pos,MASTER!$H:$H,0))&amp;"_ser_0.20_"&amp;TEXT(INDEX(MASTER!$E:$E,MATCH(_xlpm.pos,MASTER!$H:$H,0)),"mmddyy"),""),_xlpm.slot,96+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96" s="4" t="str">
        <f>_xlfn.LET(_xlpm.pos,"CDI plate 9: "&amp;$A8&amp;L$2,_xlpm.normal,IFERROR(INDEX(MASTER!$A:$A,MATCH(_xlpm.pos,MASTER!$H:$H,0))&amp;"_ser_0.20_"&amp;TEXT(INDEX(MASTER!$E:$E,MATCH(_xlpm.pos,MASTER!$H:$H,0)),"mmddyy"),""),_xlpm.slot,96+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96" s="4" t="str">
        <f>_xlfn.LET(_xlpm.pos,"CDI plate 9: "&amp;$A8&amp;M$2,_xlpm.normal,IFERROR(INDEX(MASTER!$A:$A,MATCH(_xlpm.pos,MASTER!$H:$H,0))&amp;"_ser_0.20_"&amp;TEXT(INDEX(MASTER!$E:$E,MATCH(_xlpm.pos,MASTER!$H:$H,0)),"mmddyy"),""),_xlpm.slot,96+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97" spans="1:13" ht="22" customHeight="1" x14ac:dyDescent="0.3">
      <c r="A97" s="6" t="s">
        <v>35</v>
      </c>
      <c r="B97" s="4" t="str">
        <f>_xlfn.LET(_xlpm.pos,"CDI plate 9: "&amp;$A9&amp;B$2,_xlpm.normal,IFERROR(INDEX(MASTER!$A:$A,MATCH(_xlpm.pos,MASTER!$H:$H,0))&amp;"_ser_0.20_"&amp;TEXT(INDEX(MASTER!$E:$E,MATCH(_xlpm.pos,MASTER!$H:$H,0)),"mmddyy"),""),_xlpm.slot,96+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97" s="4" t="str">
        <f>_xlfn.LET(_xlpm.pos,"CDI plate 9: "&amp;$A9&amp;C$2,_xlpm.normal,IFERROR(INDEX(MASTER!$A:$A,MATCH(_xlpm.pos,MASTER!$H:$H,0))&amp;"_ser_0.20_"&amp;TEXT(INDEX(MASTER!$E:$E,MATCH(_xlpm.pos,MASTER!$H:$H,0)),"mmddyy"),""),_xlpm.slot,96+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97" s="4" t="str">
        <f>_xlfn.LET(_xlpm.pos,"CDI plate 9: "&amp;$A9&amp;D$2,_xlpm.normal,IFERROR(INDEX(MASTER!$A:$A,MATCH(_xlpm.pos,MASTER!$H:$H,0))&amp;"_ser_0.20_"&amp;TEXT(INDEX(MASTER!$E:$E,MATCH(_xlpm.pos,MASTER!$H:$H,0)),"mmddyy"),""),_xlpm.slot,96+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97" s="4" t="str">
        <f>_xlfn.LET(_xlpm.pos,"CDI plate 9: "&amp;$A9&amp;E$2,_xlpm.normal,IFERROR(INDEX(MASTER!$A:$A,MATCH(_xlpm.pos,MASTER!$H:$H,0))&amp;"_ser_0.20_"&amp;TEXT(INDEX(MASTER!$E:$E,MATCH(_xlpm.pos,MASTER!$H:$H,0)),"mmddyy"),""),_xlpm.slot,96+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97" s="4" t="str">
        <f>_xlfn.LET(_xlpm.pos,"CDI plate 9: "&amp;$A9&amp;F$2,_xlpm.normal,IFERROR(INDEX(MASTER!$A:$A,MATCH(_xlpm.pos,MASTER!$H:$H,0))&amp;"_ser_0.20_"&amp;TEXT(INDEX(MASTER!$E:$E,MATCH(_xlpm.pos,MASTER!$H:$H,0)),"mmddyy"),""),_xlpm.slot,96+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97" s="4" t="str">
        <f>_xlfn.LET(_xlpm.pos,"CDI plate 9: "&amp;$A9&amp;G$2,_xlpm.normal,IFERROR(INDEX(MASTER!$A:$A,MATCH(_xlpm.pos,MASTER!$H:$H,0))&amp;"_ser_0.20_"&amp;TEXT(INDEX(MASTER!$E:$E,MATCH(_xlpm.pos,MASTER!$H:$H,0)),"mmddyy"),""),_xlpm.slot,96+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97" s="4" t="str">
        <f>_xlfn.LET(_xlpm.pos,"CDI plate 9: "&amp;$A9&amp;H$2,_xlpm.normal,IFERROR(INDEX(MASTER!$A:$A,MATCH(_xlpm.pos,MASTER!$H:$H,0))&amp;"_ser_0.20_"&amp;TEXT(INDEX(MASTER!$E:$E,MATCH(_xlpm.pos,MASTER!$H:$H,0)),"mmddyy"),""),_xlpm.slot,96+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97" s="4" t="str">
        <f>_xlfn.LET(_xlpm.pos,"CDI plate 9: "&amp;$A9&amp;I$2,_xlpm.normal,IFERROR(INDEX(MASTER!$A:$A,MATCH(_xlpm.pos,MASTER!$H:$H,0))&amp;"_ser_0.20_"&amp;TEXT(INDEX(MASTER!$E:$E,MATCH(_xlpm.pos,MASTER!$H:$H,0)),"mmddyy"),""),_xlpm.slot,96+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97" s="4" t="str">
        <f>_xlfn.LET(_xlpm.pos,"CDI plate 9: "&amp;$A9&amp;J$2,_xlpm.normal,IFERROR(INDEX(MASTER!$A:$A,MATCH(_xlpm.pos,MASTER!$H:$H,0))&amp;"_ser_0.20_"&amp;TEXT(INDEX(MASTER!$E:$E,MATCH(_xlpm.pos,MASTER!$H:$H,0)),"mmddyy"),""),_xlpm.slot,96+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97" s="4" t="str">
        <f>_xlfn.LET(_xlpm.pos,"CDI plate 9: "&amp;$A9&amp;K$2,_xlpm.normal,IFERROR(INDEX(MASTER!$A:$A,MATCH(_xlpm.pos,MASTER!$H:$H,0))&amp;"_ser_0.20_"&amp;TEXT(INDEX(MASTER!$E:$E,MATCH(_xlpm.pos,MASTER!$H:$H,0)),"mmddyy"),""),_xlpm.slot,96+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97" s="4" t="str">
        <f>_xlfn.LET(_xlpm.pos,"CDI plate 9: "&amp;$A9&amp;L$2,_xlpm.normal,IFERROR(INDEX(MASTER!$A:$A,MATCH(_xlpm.pos,MASTER!$H:$H,0))&amp;"_ser_0.20_"&amp;TEXT(INDEX(MASTER!$E:$E,MATCH(_xlpm.pos,MASTER!$H:$H,0)),"mmddyy"),""),_xlpm.slot,96+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97" s="4" t="str">
        <f>_xlfn.LET(_xlpm.pos,"CDI plate 9: "&amp;$A9&amp;M$2,_xlpm.normal,IFERROR(INDEX(MASTER!$A:$A,MATCH(_xlpm.pos,MASTER!$H:$H,0))&amp;"_ser_0.20_"&amp;TEXT(INDEX(MASTER!$E:$E,MATCH(_xlpm.pos,MASTER!$H:$H,0)),"mmddyy"),""),_xlpm.slot,96+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98" spans="1:13" ht="22" customHeight="1" x14ac:dyDescent="0.3">
      <c r="A98" s="6" t="s">
        <v>36</v>
      </c>
      <c r="B98" s="4" t="str">
        <f>_xlfn.LET(_xlpm.pos,"CDI plate 9: "&amp;$A10&amp;B$2,_xlpm.normal,IFERROR(INDEX(MASTER!$A:$A,MATCH(_xlpm.pos,MASTER!$H:$H,0))&amp;"_ser_0.20_"&amp;TEXT(INDEX(MASTER!$E:$E,MATCH(_xlpm.pos,MASTER!$H:$H,0)),"mmddyy"),""),_xlpm.slot,96+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98" s="4" t="str">
        <f>_xlfn.LET(_xlpm.pos,"CDI plate 9: "&amp;$A10&amp;C$2,_xlpm.normal,IFERROR(INDEX(MASTER!$A:$A,MATCH(_xlpm.pos,MASTER!$H:$H,0))&amp;"_ser_0.20_"&amp;TEXT(INDEX(MASTER!$E:$E,MATCH(_xlpm.pos,MASTER!$H:$H,0)),"mmddyy"),""),_xlpm.slot,96+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98" s="4" t="str">
        <f>_xlfn.LET(_xlpm.pos,"CDI plate 9: "&amp;$A10&amp;D$2,_xlpm.normal,IFERROR(INDEX(MASTER!$A:$A,MATCH(_xlpm.pos,MASTER!$H:$H,0))&amp;"_ser_0.20_"&amp;TEXT(INDEX(MASTER!$E:$E,MATCH(_xlpm.pos,MASTER!$H:$H,0)),"mmddyy"),""),_xlpm.slot,96+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98" s="4" t="str">
        <f>_xlfn.LET(_xlpm.pos,"CDI plate 9: "&amp;$A10&amp;E$2,_xlpm.normal,IFERROR(INDEX(MASTER!$A:$A,MATCH(_xlpm.pos,MASTER!$H:$H,0))&amp;"_ser_0.20_"&amp;TEXT(INDEX(MASTER!$E:$E,MATCH(_xlpm.pos,MASTER!$H:$H,0)),"mmddyy"),""),_xlpm.slot,96+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98" s="4" t="str">
        <f>_xlfn.LET(_xlpm.pos,"CDI plate 9: "&amp;$A10&amp;F$2,_xlpm.normal,IFERROR(INDEX(MASTER!$A:$A,MATCH(_xlpm.pos,MASTER!$H:$H,0))&amp;"_ser_0.20_"&amp;TEXT(INDEX(MASTER!$E:$E,MATCH(_xlpm.pos,MASTER!$H:$H,0)),"mmddyy"),""),_xlpm.slot,96+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98" s="4" t="str">
        <f>_xlfn.LET(_xlpm.pos,"CDI plate 9: "&amp;$A10&amp;G$2,_xlpm.normal,IFERROR(INDEX(MASTER!$A:$A,MATCH(_xlpm.pos,MASTER!$H:$H,0))&amp;"_ser_0.20_"&amp;TEXT(INDEX(MASTER!$E:$E,MATCH(_xlpm.pos,MASTER!$H:$H,0)),"mmddyy"),""),_xlpm.slot,96+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98" s="4" t="str">
        <f>_xlfn.LET(_xlpm.pos,"CDI plate 9: "&amp;$A10&amp;H$2,_xlpm.normal,IFERROR(INDEX(MASTER!$A:$A,MATCH(_xlpm.pos,MASTER!$H:$H,0))&amp;"_ser_0.20_"&amp;TEXT(INDEX(MASTER!$E:$E,MATCH(_xlpm.pos,MASTER!$H:$H,0)),"mmddyy"),""),_xlpm.slot,96+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98" s="4" t="str">
        <f>_xlfn.LET(_xlpm.pos,"CDI plate 9: "&amp;$A10&amp;I$2,_xlpm.normal,IFERROR(INDEX(MASTER!$A:$A,MATCH(_xlpm.pos,MASTER!$H:$H,0))&amp;"_ser_0.20_"&amp;TEXT(INDEX(MASTER!$E:$E,MATCH(_xlpm.pos,MASTER!$H:$H,0)),"mmddyy"),""),_xlpm.slot,96+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98" s="4" t="str">
        <f>_xlfn.LET(_xlpm.pos,"CDI plate 9: "&amp;$A10&amp;J$2,_xlpm.normal,IFERROR(INDEX(MASTER!$A:$A,MATCH(_xlpm.pos,MASTER!$H:$H,0))&amp;"_ser_0.20_"&amp;TEXT(INDEX(MASTER!$E:$E,MATCH(_xlpm.pos,MASTER!$H:$H,0)),"mmddyy"),""),_xlpm.slot,96+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98" s="4" t="str">
        <f>_xlfn.LET(_xlpm.pos,"CDI plate 9: "&amp;$A10&amp;K$2,_xlpm.normal,IFERROR(INDEX(MASTER!$A:$A,MATCH(_xlpm.pos,MASTER!$H:$H,0))&amp;"_ser_0.20_"&amp;TEXT(INDEX(MASTER!$E:$E,MATCH(_xlpm.pos,MASTER!$H:$H,0)),"mmddyy"),""),_xlpm.slot,96+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98" s="4" t="str">
        <f>_xlfn.LET(_xlpm.pos,"CDI plate 9: "&amp;$A10&amp;L$2,_xlpm.normal,IFERROR(INDEX(MASTER!$A:$A,MATCH(_xlpm.pos,MASTER!$H:$H,0))&amp;"_ser_0.20_"&amp;TEXT(INDEX(MASTER!$E:$E,MATCH(_xlpm.pos,MASTER!$H:$H,0)),"mmddyy"),""),_xlpm.slot,96+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98" s="4" t="str">
        <f>_xlfn.LET(_xlpm.pos,"CDI plate 9: "&amp;$A10&amp;M$2,_xlpm.normal,IFERROR(INDEX(MASTER!$A:$A,MATCH(_xlpm.pos,MASTER!$H:$H,0))&amp;"_ser_0.20_"&amp;TEXT(INDEX(MASTER!$E:$E,MATCH(_xlpm.pos,MASTER!$H:$H,0)),"mmddyy"),""),_xlpm.slot,96+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99" spans="1:13" ht="22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spans="1:13" ht="22" customHeight="1" x14ac:dyDescent="0.35">
      <c r="A100" s="5"/>
      <c r="B100" s="31" t="s">
        <v>45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3"/>
    </row>
    <row r="101" spans="1:13" ht="22" customHeight="1" x14ac:dyDescent="0.3">
      <c r="A101" s="5"/>
      <c r="B101" s="6">
        <v>1</v>
      </c>
      <c r="C101" s="6">
        <v>2</v>
      </c>
      <c r="D101" s="6">
        <v>3</v>
      </c>
      <c r="E101" s="6">
        <v>4</v>
      </c>
      <c r="F101" s="6">
        <v>5</v>
      </c>
      <c r="G101" s="6">
        <v>6</v>
      </c>
      <c r="H101" s="6">
        <v>7</v>
      </c>
      <c r="I101" s="6">
        <v>8</v>
      </c>
      <c r="J101" s="6">
        <v>9</v>
      </c>
      <c r="K101" s="6">
        <v>10</v>
      </c>
      <c r="L101" s="6">
        <v>11</v>
      </c>
      <c r="M101" s="6">
        <v>12</v>
      </c>
    </row>
    <row r="102" spans="1:13" ht="22" customHeight="1" x14ac:dyDescent="0.3">
      <c r="A102" s="6" t="s">
        <v>30</v>
      </c>
      <c r="B102" s="4" t="str">
        <f>_xlfn.LET(_xlpm.pos,"CDI plate 10: "&amp;$A3&amp;B$2,_xlpm.normal,IFERROR(INDEX(MASTER!$A:$A,MATCH(_xlpm.pos,MASTER!$H:$H,0))&amp;"_ser_0.20_"&amp;TEXT(INDEX(MASTER!$E:$E,MATCH(_xlpm.pos,MASTER!$H:$H,0)),"mmddyy"),""),_xlpm.slot,96+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02" s="4" t="str">
        <f>_xlfn.LET(_xlpm.pos,"CDI plate 10: "&amp;$A3&amp;C$2,_xlpm.normal,IFERROR(INDEX(MASTER!$A:$A,MATCH(_xlpm.pos,MASTER!$H:$H,0))&amp;"_ser_0.20_"&amp;TEXT(INDEX(MASTER!$E:$E,MATCH(_xlpm.pos,MASTER!$H:$H,0)),"mmddyy"),""),_xlpm.slot,96+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02" s="4" t="str">
        <f>_xlfn.LET(_xlpm.pos,"CDI plate 10: "&amp;$A3&amp;D$2,_xlpm.normal,IFERROR(INDEX(MASTER!$A:$A,MATCH(_xlpm.pos,MASTER!$H:$H,0))&amp;"_ser_0.20_"&amp;TEXT(INDEX(MASTER!$E:$E,MATCH(_xlpm.pos,MASTER!$H:$H,0)),"mmddyy"),""),_xlpm.slot,96+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02" s="4" t="str">
        <f>_xlfn.LET(_xlpm.pos,"CDI plate 10: "&amp;$A3&amp;E$2,_xlpm.normal,IFERROR(INDEX(MASTER!$A:$A,MATCH(_xlpm.pos,MASTER!$H:$H,0))&amp;"_ser_0.20_"&amp;TEXT(INDEX(MASTER!$E:$E,MATCH(_xlpm.pos,MASTER!$H:$H,0)),"mmddyy"),""),_xlpm.slot,96+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02" s="4" t="str">
        <f>_xlfn.LET(_xlpm.pos,"CDI plate 10: "&amp;$A3&amp;F$2,_xlpm.normal,IFERROR(INDEX(MASTER!$A:$A,MATCH(_xlpm.pos,MASTER!$H:$H,0))&amp;"_ser_0.20_"&amp;TEXT(INDEX(MASTER!$E:$E,MATCH(_xlpm.pos,MASTER!$H:$H,0)),"mmddyy"),""),_xlpm.slot,96+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02" s="4" t="str">
        <f>_xlfn.LET(_xlpm.pos,"CDI plate 10: "&amp;$A3&amp;G$2,_xlpm.normal,IFERROR(INDEX(MASTER!$A:$A,MATCH(_xlpm.pos,MASTER!$H:$H,0))&amp;"_ser_0.20_"&amp;TEXT(INDEX(MASTER!$E:$E,MATCH(_xlpm.pos,MASTER!$H:$H,0)),"mmddyy"),""),_xlpm.slot,96+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02" s="4" t="str">
        <f>_xlfn.LET(_xlpm.pos,"CDI plate 10: "&amp;$A3&amp;H$2,_xlpm.normal,IFERROR(INDEX(MASTER!$A:$A,MATCH(_xlpm.pos,MASTER!$H:$H,0))&amp;"_ser_0.20_"&amp;TEXT(INDEX(MASTER!$E:$E,MATCH(_xlpm.pos,MASTER!$H:$H,0)),"mmddyy"),""),_xlpm.slot,96+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02" s="4" t="str">
        <f>_xlfn.LET(_xlpm.pos,"CDI plate 10: "&amp;$A3&amp;I$2,_xlpm.normal,IFERROR(INDEX(MASTER!$A:$A,MATCH(_xlpm.pos,MASTER!$H:$H,0))&amp;"_ser_0.20_"&amp;TEXT(INDEX(MASTER!$E:$E,MATCH(_xlpm.pos,MASTER!$H:$H,0)),"mmddyy"),""),_xlpm.slot,96+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02" s="4" t="str">
        <f>_xlfn.LET(_xlpm.pos,"CDI plate 10: "&amp;$A3&amp;J$2,_xlpm.normal,IFERROR(INDEX(MASTER!$A:$A,MATCH(_xlpm.pos,MASTER!$H:$H,0))&amp;"_ser_0.20_"&amp;TEXT(INDEX(MASTER!$E:$E,MATCH(_xlpm.pos,MASTER!$H:$H,0)),"mmddyy"),""),_xlpm.slot,96+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02" s="4" t="str">
        <f>_xlfn.LET(_xlpm.pos,"CDI plate 10: "&amp;$A3&amp;K$2,_xlpm.normal,IFERROR(INDEX(MASTER!$A:$A,MATCH(_xlpm.pos,MASTER!$H:$H,0))&amp;"_ser_0.20_"&amp;TEXT(INDEX(MASTER!$E:$E,MATCH(_xlpm.pos,MASTER!$H:$H,0)),"mmddyy"),""),_xlpm.slot,96+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02" s="4" t="str">
        <f>_xlfn.LET(_xlpm.pos,"CDI plate 10: "&amp;$A3&amp;L$2,_xlpm.normal,IFERROR(INDEX(MASTER!$A:$A,MATCH(_xlpm.pos,MASTER!$H:$H,0))&amp;"_ser_0.20_"&amp;TEXT(INDEX(MASTER!$E:$E,MATCH(_xlpm.pos,MASTER!$H:$H,0)),"mmddyy"),""),_xlpm.slot,96+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02" s="4" t="str">
        <f>_xlfn.LET(_xlpm.pos,"CDI plate 10: "&amp;$A3&amp;M$2,_xlpm.normal,IFERROR(INDEX(MASTER!$A:$A,MATCH(_xlpm.pos,MASTER!$H:$H,0))&amp;"_ser_0.20_"&amp;TEXT(INDEX(MASTER!$E:$E,MATCH(_xlpm.pos,MASTER!$H:$H,0)),"mmddyy"),""),_xlpm.slot,96+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03" spans="1:13" ht="22" customHeight="1" x14ac:dyDescent="0.3">
      <c r="A103" s="6" t="s">
        <v>31</v>
      </c>
      <c r="B103" s="4" t="str">
        <f>_xlfn.LET(_xlpm.pos,"CDI plate 10: "&amp;$A4&amp;B$2,_xlpm.normal,IFERROR(INDEX(MASTER!$A:$A,MATCH(_xlpm.pos,MASTER!$H:$H,0))&amp;"_ser_0.20_"&amp;TEXT(INDEX(MASTER!$E:$E,MATCH(_xlpm.pos,MASTER!$H:$H,0)),"mmddyy"),""),_xlpm.slot,96+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03" s="4" t="str">
        <f>_xlfn.LET(_xlpm.pos,"CDI plate 10: "&amp;$A4&amp;C$2,_xlpm.normal,IFERROR(INDEX(MASTER!$A:$A,MATCH(_xlpm.pos,MASTER!$H:$H,0))&amp;"_ser_0.20_"&amp;TEXT(INDEX(MASTER!$E:$E,MATCH(_xlpm.pos,MASTER!$H:$H,0)),"mmddyy"),""),_xlpm.slot,96+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03" s="4" t="str">
        <f>_xlfn.LET(_xlpm.pos,"CDI plate 10: "&amp;$A4&amp;D$2,_xlpm.normal,IFERROR(INDEX(MASTER!$A:$A,MATCH(_xlpm.pos,MASTER!$H:$H,0))&amp;"_ser_0.20_"&amp;TEXT(INDEX(MASTER!$E:$E,MATCH(_xlpm.pos,MASTER!$H:$H,0)),"mmddyy"),""),_xlpm.slot,96+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03" s="4" t="str">
        <f>_xlfn.LET(_xlpm.pos,"CDI plate 10: "&amp;$A4&amp;E$2,_xlpm.normal,IFERROR(INDEX(MASTER!$A:$A,MATCH(_xlpm.pos,MASTER!$H:$H,0))&amp;"_ser_0.20_"&amp;TEXT(INDEX(MASTER!$E:$E,MATCH(_xlpm.pos,MASTER!$H:$H,0)),"mmddyy"),""),_xlpm.slot,96+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03" s="4" t="str">
        <f>_xlfn.LET(_xlpm.pos,"CDI plate 10: "&amp;$A4&amp;F$2,_xlpm.normal,IFERROR(INDEX(MASTER!$A:$A,MATCH(_xlpm.pos,MASTER!$H:$H,0))&amp;"_ser_0.20_"&amp;TEXT(INDEX(MASTER!$E:$E,MATCH(_xlpm.pos,MASTER!$H:$H,0)),"mmddyy"),""),_xlpm.slot,96+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03" s="4" t="str">
        <f>_xlfn.LET(_xlpm.pos,"CDI plate 10: "&amp;$A4&amp;G$2,_xlpm.normal,IFERROR(INDEX(MASTER!$A:$A,MATCH(_xlpm.pos,MASTER!$H:$H,0))&amp;"_ser_0.20_"&amp;TEXT(INDEX(MASTER!$E:$E,MATCH(_xlpm.pos,MASTER!$H:$H,0)),"mmddyy"),""),_xlpm.slot,96+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03" s="4" t="str">
        <f>_xlfn.LET(_xlpm.pos,"CDI plate 10: "&amp;$A4&amp;H$2,_xlpm.normal,IFERROR(INDEX(MASTER!$A:$A,MATCH(_xlpm.pos,MASTER!$H:$H,0))&amp;"_ser_0.20_"&amp;TEXT(INDEX(MASTER!$E:$E,MATCH(_xlpm.pos,MASTER!$H:$H,0)),"mmddyy"),""),_xlpm.slot,96+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03" s="4" t="str">
        <f>_xlfn.LET(_xlpm.pos,"CDI plate 10: "&amp;$A4&amp;I$2,_xlpm.normal,IFERROR(INDEX(MASTER!$A:$A,MATCH(_xlpm.pos,MASTER!$H:$H,0))&amp;"_ser_0.20_"&amp;TEXT(INDEX(MASTER!$E:$E,MATCH(_xlpm.pos,MASTER!$H:$H,0)),"mmddyy"),""),_xlpm.slot,96+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03" s="4" t="str">
        <f>_xlfn.LET(_xlpm.pos,"CDI plate 10: "&amp;$A4&amp;J$2,_xlpm.normal,IFERROR(INDEX(MASTER!$A:$A,MATCH(_xlpm.pos,MASTER!$H:$H,0))&amp;"_ser_0.20_"&amp;TEXT(INDEX(MASTER!$E:$E,MATCH(_xlpm.pos,MASTER!$H:$H,0)),"mmddyy"),""),_xlpm.slot,96+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03" s="4" t="str">
        <f>_xlfn.LET(_xlpm.pos,"CDI plate 10: "&amp;$A4&amp;K$2,_xlpm.normal,IFERROR(INDEX(MASTER!$A:$A,MATCH(_xlpm.pos,MASTER!$H:$H,0))&amp;"_ser_0.20_"&amp;TEXT(INDEX(MASTER!$E:$E,MATCH(_xlpm.pos,MASTER!$H:$H,0)),"mmddyy"),""),_xlpm.slot,96+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03" s="4" t="str">
        <f>_xlfn.LET(_xlpm.pos,"CDI plate 10: "&amp;$A4&amp;L$2,_xlpm.normal,IFERROR(INDEX(MASTER!$A:$A,MATCH(_xlpm.pos,MASTER!$H:$H,0))&amp;"_ser_0.20_"&amp;TEXT(INDEX(MASTER!$E:$E,MATCH(_xlpm.pos,MASTER!$H:$H,0)),"mmddyy"),""),_xlpm.slot,96+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03" s="4" t="str">
        <f>_xlfn.LET(_xlpm.pos,"CDI plate 10: "&amp;$A4&amp;M$2,_xlpm.normal,IFERROR(INDEX(MASTER!$A:$A,MATCH(_xlpm.pos,MASTER!$H:$H,0))&amp;"_ser_0.20_"&amp;TEXT(INDEX(MASTER!$E:$E,MATCH(_xlpm.pos,MASTER!$H:$H,0)),"mmddyy"),""),_xlpm.slot,96+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04" spans="1:13" ht="22" customHeight="1" x14ac:dyDescent="0.3">
      <c r="A104" s="6" t="s">
        <v>32</v>
      </c>
      <c r="B104" s="4" t="str">
        <f>_xlfn.LET(_xlpm.pos,"CDI plate 10: "&amp;$A5&amp;B$2,_xlpm.normal,IFERROR(INDEX(MASTER!$A:$A,MATCH(_xlpm.pos,MASTER!$H:$H,0))&amp;"_ser_0.20_"&amp;TEXT(INDEX(MASTER!$E:$E,MATCH(_xlpm.pos,MASTER!$H:$H,0)),"mmddyy"),""),_xlpm.slot,96+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04" s="4" t="str">
        <f>_xlfn.LET(_xlpm.pos,"CDI plate 10: "&amp;$A5&amp;C$2,_xlpm.normal,IFERROR(INDEX(MASTER!$A:$A,MATCH(_xlpm.pos,MASTER!$H:$H,0))&amp;"_ser_0.20_"&amp;TEXT(INDEX(MASTER!$E:$E,MATCH(_xlpm.pos,MASTER!$H:$H,0)),"mmddyy"),""),_xlpm.slot,96+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04" s="4" t="str">
        <f>_xlfn.LET(_xlpm.pos,"CDI plate 10: "&amp;$A5&amp;D$2,_xlpm.normal,IFERROR(INDEX(MASTER!$A:$A,MATCH(_xlpm.pos,MASTER!$H:$H,0))&amp;"_ser_0.20_"&amp;TEXT(INDEX(MASTER!$E:$E,MATCH(_xlpm.pos,MASTER!$H:$H,0)),"mmddyy"),""),_xlpm.slot,96+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04" s="4" t="str">
        <f>_xlfn.LET(_xlpm.pos,"CDI plate 10: "&amp;$A5&amp;E$2,_xlpm.normal,IFERROR(INDEX(MASTER!$A:$A,MATCH(_xlpm.pos,MASTER!$H:$H,0))&amp;"_ser_0.20_"&amp;TEXT(INDEX(MASTER!$E:$E,MATCH(_xlpm.pos,MASTER!$H:$H,0)),"mmddyy"),""),_xlpm.slot,96+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04" s="4" t="str">
        <f>_xlfn.LET(_xlpm.pos,"CDI plate 10: "&amp;$A5&amp;F$2,_xlpm.normal,IFERROR(INDEX(MASTER!$A:$A,MATCH(_xlpm.pos,MASTER!$H:$H,0))&amp;"_ser_0.20_"&amp;TEXT(INDEX(MASTER!$E:$E,MATCH(_xlpm.pos,MASTER!$H:$H,0)),"mmddyy"),""),_xlpm.slot,96+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04" s="4" t="str">
        <f>_xlfn.LET(_xlpm.pos,"CDI plate 10: "&amp;$A5&amp;G$2,_xlpm.normal,IFERROR(INDEX(MASTER!$A:$A,MATCH(_xlpm.pos,MASTER!$H:$H,0))&amp;"_ser_0.20_"&amp;TEXT(INDEX(MASTER!$E:$E,MATCH(_xlpm.pos,MASTER!$H:$H,0)),"mmddyy"),""),_xlpm.slot,96+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04" s="4" t="str">
        <f>_xlfn.LET(_xlpm.pos,"CDI plate 10: "&amp;$A5&amp;H$2,_xlpm.normal,IFERROR(INDEX(MASTER!$A:$A,MATCH(_xlpm.pos,MASTER!$H:$H,0))&amp;"_ser_0.20_"&amp;TEXT(INDEX(MASTER!$E:$E,MATCH(_xlpm.pos,MASTER!$H:$H,0)),"mmddyy"),""),_xlpm.slot,96+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04" s="4" t="str">
        <f>_xlfn.LET(_xlpm.pos,"CDI plate 10: "&amp;$A5&amp;I$2,_xlpm.normal,IFERROR(INDEX(MASTER!$A:$A,MATCH(_xlpm.pos,MASTER!$H:$H,0))&amp;"_ser_0.20_"&amp;TEXT(INDEX(MASTER!$E:$E,MATCH(_xlpm.pos,MASTER!$H:$H,0)),"mmddyy"),""),_xlpm.slot,96+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04" s="4" t="str">
        <f>_xlfn.LET(_xlpm.pos,"CDI plate 10: "&amp;$A5&amp;J$2,_xlpm.normal,IFERROR(INDEX(MASTER!$A:$A,MATCH(_xlpm.pos,MASTER!$H:$H,0))&amp;"_ser_0.20_"&amp;TEXT(INDEX(MASTER!$E:$E,MATCH(_xlpm.pos,MASTER!$H:$H,0)),"mmddyy"),""),_xlpm.slot,96+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04" s="4" t="str">
        <f>_xlfn.LET(_xlpm.pos,"CDI plate 10: "&amp;$A5&amp;K$2,_xlpm.normal,IFERROR(INDEX(MASTER!$A:$A,MATCH(_xlpm.pos,MASTER!$H:$H,0))&amp;"_ser_0.20_"&amp;TEXT(INDEX(MASTER!$E:$E,MATCH(_xlpm.pos,MASTER!$H:$H,0)),"mmddyy"),""),_xlpm.slot,96+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04" s="4" t="str">
        <f>_xlfn.LET(_xlpm.pos,"CDI plate 10: "&amp;$A5&amp;L$2,_xlpm.normal,IFERROR(INDEX(MASTER!$A:$A,MATCH(_xlpm.pos,MASTER!$H:$H,0))&amp;"_ser_0.20_"&amp;TEXT(INDEX(MASTER!$E:$E,MATCH(_xlpm.pos,MASTER!$H:$H,0)),"mmddyy"),""),_xlpm.slot,96+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04" s="4" t="str">
        <f>_xlfn.LET(_xlpm.pos,"CDI plate 10: "&amp;$A5&amp;M$2,_xlpm.normal,IFERROR(INDEX(MASTER!$A:$A,MATCH(_xlpm.pos,MASTER!$H:$H,0))&amp;"_ser_0.20_"&amp;TEXT(INDEX(MASTER!$E:$E,MATCH(_xlpm.pos,MASTER!$H:$H,0)),"mmddyy"),""),_xlpm.slot,96+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05" spans="1:13" ht="22" customHeight="1" x14ac:dyDescent="0.3">
      <c r="A105" s="6" t="s">
        <v>33</v>
      </c>
      <c r="B105" s="4" t="str">
        <f>_xlfn.LET(_xlpm.pos,"CDI plate 10: "&amp;$A6&amp;B$2,_xlpm.normal,IFERROR(INDEX(MASTER!$A:$A,MATCH(_xlpm.pos,MASTER!$H:$H,0))&amp;"_ser_0.20_"&amp;TEXT(INDEX(MASTER!$E:$E,MATCH(_xlpm.pos,MASTER!$H:$H,0)),"mmddyy"),""),_xlpm.slot,96+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05" s="4" t="str">
        <f>_xlfn.LET(_xlpm.pos,"CDI plate 10: "&amp;$A6&amp;C$2,_xlpm.normal,IFERROR(INDEX(MASTER!$A:$A,MATCH(_xlpm.pos,MASTER!$H:$H,0))&amp;"_ser_0.20_"&amp;TEXT(INDEX(MASTER!$E:$E,MATCH(_xlpm.pos,MASTER!$H:$H,0)),"mmddyy"),""),_xlpm.slot,96+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05" s="4" t="str">
        <f>_xlfn.LET(_xlpm.pos,"CDI plate 10: "&amp;$A6&amp;D$2,_xlpm.normal,IFERROR(INDEX(MASTER!$A:$A,MATCH(_xlpm.pos,MASTER!$H:$H,0))&amp;"_ser_0.20_"&amp;TEXT(INDEX(MASTER!$E:$E,MATCH(_xlpm.pos,MASTER!$H:$H,0)),"mmddyy"),""),_xlpm.slot,96+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05" s="4" t="str">
        <f>_xlfn.LET(_xlpm.pos,"CDI plate 10: "&amp;$A6&amp;E$2,_xlpm.normal,IFERROR(INDEX(MASTER!$A:$A,MATCH(_xlpm.pos,MASTER!$H:$H,0))&amp;"_ser_0.20_"&amp;TEXT(INDEX(MASTER!$E:$E,MATCH(_xlpm.pos,MASTER!$H:$H,0)),"mmddyy"),""),_xlpm.slot,96+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05" s="4" t="str">
        <f>_xlfn.LET(_xlpm.pos,"CDI plate 10: "&amp;$A6&amp;F$2,_xlpm.normal,IFERROR(INDEX(MASTER!$A:$A,MATCH(_xlpm.pos,MASTER!$H:$H,0))&amp;"_ser_0.20_"&amp;TEXT(INDEX(MASTER!$E:$E,MATCH(_xlpm.pos,MASTER!$H:$H,0)),"mmddyy"),""),_xlpm.slot,96+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05" s="4" t="str">
        <f>_xlfn.LET(_xlpm.pos,"CDI plate 10: "&amp;$A6&amp;G$2,_xlpm.normal,IFERROR(INDEX(MASTER!$A:$A,MATCH(_xlpm.pos,MASTER!$H:$H,0))&amp;"_ser_0.20_"&amp;TEXT(INDEX(MASTER!$E:$E,MATCH(_xlpm.pos,MASTER!$H:$H,0)),"mmddyy"),""),_xlpm.slot,96+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05" s="4" t="str">
        <f>_xlfn.LET(_xlpm.pos,"CDI plate 10: "&amp;$A6&amp;H$2,_xlpm.normal,IFERROR(INDEX(MASTER!$A:$A,MATCH(_xlpm.pos,MASTER!$H:$H,0))&amp;"_ser_0.20_"&amp;TEXT(INDEX(MASTER!$E:$E,MATCH(_xlpm.pos,MASTER!$H:$H,0)),"mmddyy"),""),_xlpm.slot,96+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05" s="4" t="str">
        <f>_xlfn.LET(_xlpm.pos,"CDI plate 10: "&amp;$A6&amp;I$2,_xlpm.normal,IFERROR(INDEX(MASTER!$A:$A,MATCH(_xlpm.pos,MASTER!$H:$H,0))&amp;"_ser_0.20_"&amp;TEXT(INDEX(MASTER!$E:$E,MATCH(_xlpm.pos,MASTER!$H:$H,0)),"mmddyy"),""),_xlpm.slot,96+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05" s="4" t="str">
        <f>_xlfn.LET(_xlpm.pos,"CDI plate 10: "&amp;$A6&amp;J$2,_xlpm.normal,IFERROR(INDEX(MASTER!$A:$A,MATCH(_xlpm.pos,MASTER!$H:$H,0))&amp;"_ser_0.20_"&amp;TEXT(INDEX(MASTER!$E:$E,MATCH(_xlpm.pos,MASTER!$H:$H,0)),"mmddyy"),""),_xlpm.slot,96+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05" s="4" t="str">
        <f>_xlfn.LET(_xlpm.pos,"CDI plate 10: "&amp;$A6&amp;K$2,_xlpm.normal,IFERROR(INDEX(MASTER!$A:$A,MATCH(_xlpm.pos,MASTER!$H:$H,0))&amp;"_ser_0.20_"&amp;TEXT(INDEX(MASTER!$E:$E,MATCH(_xlpm.pos,MASTER!$H:$H,0)),"mmddyy"),""),_xlpm.slot,96+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05" s="4" t="str">
        <f>_xlfn.LET(_xlpm.pos,"CDI plate 10: "&amp;$A6&amp;L$2,_xlpm.normal,IFERROR(INDEX(MASTER!$A:$A,MATCH(_xlpm.pos,MASTER!$H:$H,0))&amp;"_ser_0.20_"&amp;TEXT(INDEX(MASTER!$E:$E,MATCH(_xlpm.pos,MASTER!$H:$H,0)),"mmddyy"),""),_xlpm.slot,96+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05" s="4" t="str">
        <f>_xlfn.LET(_xlpm.pos,"CDI plate 10: "&amp;$A6&amp;M$2,_xlpm.normal,IFERROR(INDEX(MASTER!$A:$A,MATCH(_xlpm.pos,MASTER!$H:$H,0))&amp;"_ser_0.20_"&amp;TEXT(INDEX(MASTER!$E:$E,MATCH(_xlpm.pos,MASTER!$H:$H,0)),"mmddyy"),""),_xlpm.slot,96+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06" spans="1:13" ht="22" customHeight="1" x14ac:dyDescent="0.3">
      <c r="A106" s="6" t="s">
        <v>34</v>
      </c>
      <c r="B106" s="4" t="str">
        <f>_xlfn.LET(_xlpm.pos,"CDI plate 10: "&amp;$A7&amp;B$2,_xlpm.normal,IFERROR(INDEX(MASTER!$A:$A,MATCH(_xlpm.pos,MASTER!$H:$H,0))&amp;"_ser_0.20_"&amp;TEXT(INDEX(MASTER!$E:$E,MATCH(_xlpm.pos,MASTER!$H:$H,0)),"mmddyy"),""),_xlpm.slot,96+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06" s="4" t="str">
        <f>_xlfn.LET(_xlpm.pos,"CDI plate 10: "&amp;$A7&amp;C$2,_xlpm.normal,IFERROR(INDEX(MASTER!$A:$A,MATCH(_xlpm.pos,MASTER!$H:$H,0))&amp;"_ser_0.20_"&amp;TEXT(INDEX(MASTER!$E:$E,MATCH(_xlpm.pos,MASTER!$H:$H,0)),"mmddyy"),""),_xlpm.slot,96+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06" s="4" t="str">
        <f>_xlfn.LET(_xlpm.pos,"CDI plate 10: "&amp;$A7&amp;D$2,_xlpm.normal,IFERROR(INDEX(MASTER!$A:$A,MATCH(_xlpm.pos,MASTER!$H:$H,0))&amp;"_ser_0.20_"&amp;TEXT(INDEX(MASTER!$E:$E,MATCH(_xlpm.pos,MASTER!$H:$H,0)),"mmddyy"),""),_xlpm.slot,96+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06" s="4" t="str">
        <f>_xlfn.LET(_xlpm.pos,"CDI plate 10: "&amp;$A7&amp;E$2,_xlpm.normal,IFERROR(INDEX(MASTER!$A:$A,MATCH(_xlpm.pos,MASTER!$H:$H,0))&amp;"_ser_0.20_"&amp;TEXT(INDEX(MASTER!$E:$E,MATCH(_xlpm.pos,MASTER!$H:$H,0)),"mmddyy"),""),_xlpm.slot,96+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06" s="4" t="str">
        <f>_xlfn.LET(_xlpm.pos,"CDI plate 10: "&amp;$A7&amp;F$2,_xlpm.normal,IFERROR(INDEX(MASTER!$A:$A,MATCH(_xlpm.pos,MASTER!$H:$H,0))&amp;"_ser_0.20_"&amp;TEXT(INDEX(MASTER!$E:$E,MATCH(_xlpm.pos,MASTER!$H:$H,0)),"mmddyy"),""),_xlpm.slot,96+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06" s="4" t="str">
        <f>_xlfn.LET(_xlpm.pos,"CDI plate 10: "&amp;$A7&amp;G$2,_xlpm.normal,IFERROR(INDEX(MASTER!$A:$A,MATCH(_xlpm.pos,MASTER!$H:$H,0))&amp;"_ser_0.20_"&amp;TEXT(INDEX(MASTER!$E:$E,MATCH(_xlpm.pos,MASTER!$H:$H,0)),"mmddyy"),""),_xlpm.slot,96+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06" s="4" t="str">
        <f>_xlfn.LET(_xlpm.pos,"CDI plate 10: "&amp;$A7&amp;H$2,_xlpm.normal,IFERROR(INDEX(MASTER!$A:$A,MATCH(_xlpm.pos,MASTER!$H:$H,0))&amp;"_ser_0.20_"&amp;TEXT(INDEX(MASTER!$E:$E,MATCH(_xlpm.pos,MASTER!$H:$H,0)),"mmddyy"),""),_xlpm.slot,96+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06" s="4" t="str">
        <f>_xlfn.LET(_xlpm.pos,"CDI plate 10: "&amp;$A7&amp;I$2,_xlpm.normal,IFERROR(INDEX(MASTER!$A:$A,MATCH(_xlpm.pos,MASTER!$H:$H,0))&amp;"_ser_0.20_"&amp;TEXT(INDEX(MASTER!$E:$E,MATCH(_xlpm.pos,MASTER!$H:$H,0)),"mmddyy"),""),_xlpm.slot,96+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06" s="4" t="str">
        <f>_xlfn.LET(_xlpm.pos,"CDI plate 10: "&amp;$A7&amp;J$2,_xlpm.normal,IFERROR(INDEX(MASTER!$A:$A,MATCH(_xlpm.pos,MASTER!$H:$H,0))&amp;"_ser_0.20_"&amp;TEXT(INDEX(MASTER!$E:$E,MATCH(_xlpm.pos,MASTER!$H:$H,0)),"mmddyy"),""),_xlpm.slot,96+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06" s="4" t="str">
        <f>_xlfn.LET(_xlpm.pos,"CDI plate 10: "&amp;$A7&amp;K$2,_xlpm.normal,IFERROR(INDEX(MASTER!$A:$A,MATCH(_xlpm.pos,MASTER!$H:$H,0))&amp;"_ser_0.20_"&amp;TEXT(INDEX(MASTER!$E:$E,MATCH(_xlpm.pos,MASTER!$H:$H,0)),"mmddyy"),""),_xlpm.slot,96+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06" s="4" t="str">
        <f>_xlfn.LET(_xlpm.pos,"CDI plate 10: "&amp;$A7&amp;L$2,_xlpm.normal,IFERROR(INDEX(MASTER!$A:$A,MATCH(_xlpm.pos,MASTER!$H:$H,0))&amp;"_ser_0.20_"&amp;TEXT(INDEX(MASTER!$E:$E,MATCH(_xlpm.pos,MASTER!$H:$H,0)),"mmddyy"),""),_xlpm.slot,96+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06" s="4" t="str">
        <f>_xlfn.LET(_xlpm.pos,"CDI plate 10: "&amp;$A7&amp;M$2,_xlpm.normal,IFERROR(INDEX(MASTER!$A:$A,MATCH(_xlpm.pos,MASTER!$H:$H,0))&amp;"_ser_0.20_"&amp;TEXT(INDEX(MASTER!$E:$E,MATCH(_xlpm.pos,MASTER!$H:$H,0)),"mmddyy"),""),_xlpm.slot,96+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07" spans="1:13" ht="22" customHeight="1" x14ac:dyDescent="0.3">
      <c r="A107" s="6" t="s">
        <v>15</v>
      </c>
      <c r="B107" s="4" t="str">
        <f>_xlfn.LET(_xlpm.pos,"CDI plate 10: "&amp;$A8&amp;B$2,_xlpm.normal,IFERROR(INDEX(MASTER!$A:$A,MATCH(_xlpm.pos,MASTER!$H:$H,0))&amp;"_ser_0.20_"&amp;TEXT(INDEX(MASTER!$E:$E,MATCH(_xlpm.pos,MASTER!$H:$H,0)),"mmddyy"),""),_xlpm.slot,96+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07" s="4" t="str">
        <f>_xlfn.LET(_xlpm.pos,"CDI plate 10: "&amp;$A8&amp;C$2,_xlpm.normal,IFERROR(INDEX(MASTER!$A:$A,MATCH(_xlpm.pos,MASTER!$H:$H,0))&amp;"_ser_0.20_"&amp;TEXT(INDEX(MASTER!$E:$E,MATCH(_xlpm.pos,MASTER!$H:$H,0)),"mmddyy"),""),_xlpm.slot,96+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07" s="4" t="str">
        <f>_xlfn.LET(_xlpm.pos,"CDI plate 10: "&amp;$A8&amp;D$2,_xlpm.normal,IFERROR(INDEX(MASTER!$A:$A,MATCH(_xlpm.pos,MASTER!$H:$H,0))&amp;"_ser_0.20_"&amp;TEXT(INDEX(MASTER!$E:$E,MATCH(_xlpm.pos,MASTER!$H:$H,0)),"mmddyy"),""),_xlpm.slot,96+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07" s="4" t="str">
        <f>_xlfn.LET(_xlpm.pos,"CDI plate 10: "&amp;$A8&amp;E$2,_xlpm.normal,IFERROR(INDEX(MASTER!$A:$A,MATCH(_xlpm.pos,MASTER!$H:$H,0))&amp;"_ser_0.20_"&amp;TEXT(INDEX(MASTER!$E:$E,MATCH(_xlpm.pos,MASTER!$H:$H,0)),"mmddyy"),""),_xlpm.slot,96+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07" s="4" t="str">
        <f>_xlfn.LET(_xlpm.pos,"CDI plate 10: "&amp;$A8&amp;F$2,_xlpm.normal,IFERROR(INDEX(MASTER!$A:$A,MATCH(_xlpm.pos,MASTER!$H:$H,0))&amp;"_ser_0.20_"&amp;TEXT(INDEX(MASTER!$E:$E,MATCH(_xlpm.pos,MASTER!$H:$H,0)),"mmddyy"),""),_xlpm.slot,96+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07" s="4" t="str">
        <f>_xlfn.LET(_xlpm.pos,"CDI plate 10: "&amp;$A8&amp;G$2,_xlpm.normal,IFERROR(INDEX(MASTER!$A:$A,MATCH(_xlpm.pos,MASTER!$H:$H,0))&amp;"_ser_0.20_"&amp;TEXT(INDEX(MASTER!$E:$E,MATCH(_xlpm.pos,MASTER!$H:$H,0)),"mmddyy"),""),_xlpm.slot,96+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07" s="4" t="str">
        <f>_xlfn.LET(_xlpm.pos,"CDI plate 10: "&amp;$A8&amp;H$2,_xlpm.normal,IFERROR(INDEX(MASTER!$A:$A,MATCH(_xlpm.pos,MASTER!$H:$H,0))&amp;"_ser_0.20_"&amp;TEXT(INDEX(MASTER!$E:$E,MATCH(_xlpm.pos,MASTER!$H:$H,0)),"mmddyy"),""),_xlpm.slot,96+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07" s="4" t="str">
        <f>_xlfn.LET(_xlpm.pos,"CDI plate 10: "&amp;$A8&amp;I$2,_xlpm.normal,IFERROR(INDEX(MASTER!$A:$A,MATCH(_xlpm.pos,MASTER!$H:$H,0))&amp;"_ser_0.20_"&amp;TEXT(INDEX(MASTER!$E:$E,MATCH(_xlpm.pos,MASTER!$H:$H,0)),"mmddyy"),""),_xlpm.slot,96+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07" s="4" t="str">
        <f>_xlfn.LET(_xlpm.pos,"CDI plate 10: "&amp;$A8&amp;J$2,_xlpm.normal,IFERROR(INDEX(MASTER!$A:$A,MATCH(_xlpm.pos,MASTER!$H:$H,0))&amp;"_ser_0.20_"&amp;TEXT(INDEX(MASTER!$E:$E,MATCH(_xlpm.pos,MASTER!$H:$H,0)),"mmddyy"),""),_xlpm.slot,96+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07" s="4" t="str">
        <f>_xlfn.LET(_xlpm.pos,"CDI plate 10: "&amp;$A8&amp;K$2,_xlpm.normal,IFERROR(INDEX(MASTER!$A:$A,MATCH(_xlpm.pos,MASTER!$H:$H,0))&amp;"_ser_0.20_"&amp;TEXT(INDEX(MASTER!$E:$E,MATCH(_xlpm.pos,MASTER!$H:$H,0)),"mmddyy"),""),_xlpm.slot,96+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07" s="4" t="str">
        <f>_xlfn.LET(_xlpm.pos,"CDI plate 10: "&amp;$A8&amp;L$2,_xlpm.normal,IFERROR(INDEX(MASTER!$A:$A,MATCH(_xlpm.pos,MASTER!$H:$H,0))&amp;"_ser_0.20_"&amp;TEXT(INDEX(MASTER!$E:$E,MATCH(_xlpm.pos,MASTER!$H:$H,0)),"mmddyy"),""),_xlpm.slot,96+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07" s="4" t="str">
        <f>_xlfn.LET(_xlpm.pos,"CDI plate 10: "&amp;$A8&amp;M$2,_xlpm.normal,IFERROR(INDEX(MASTER!$A:$A,MATCH(_xlpm.pos,MASTER!$H:$H,0))&amp;"_ser_0.20_"&amp;TEXT(INDEX(MASTER!$E:$E,MATCH(_xlpm.pos,MASTER!$H:$H,0)),"mmddyy"),""),_xlpm.slot,96+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08" spans="1:13" ht="22" customHeight="1" x14ac:dyDescent="0.3">
      <c r="A108" s="6" t="s">
        <v>35</v>
      </c>
      <c r="B108" s="4" t="str">
        <f>_xlfn.LET(_xlpm.pos,"CDI plate 10: "&amp;$A9&amp;B$2,_xlpm.normal,IFERROR(INDEX(MASTER!$A:$A,MATCH(_xlpm.pos,MASTER!$H:$H,0))&amp;"_ser_0.20_"&amp;TEXT(INDEX(MASTER!$E:$E,MATCH(_xlpm.pos,MASTER!$H:$H,0)),"mmddyy"),""),_xlpm.slot,96+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08" s="4" t="str">
        <f>_xlfn.LET(_xlpm.pos,"CDI plate 10: "&amp;$A9&amp;C$2,_xlpm.normal,IFERROR(INDEX(MASTER!$A:$A,MATCH(_xlpm.pos,MASTER!$H:$H,0))&amp;"_ser_0.20_"&amp;TEXT(INDEX(MASTER!$E:$E,MATCH(_xlpm.pos,MASTER!$H:$H,0)),"mmddyy"),""),_xlpm.slot,96+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08" s="4" t="str">
        <f>_xlfn.LET(_xlpm.pos,"CDI plate 10: "&amp;$A9&amp;D$2,_xlpm.normal,IFERROR(INDEX(MASTER!$A:$A,MATCH(_xlpm.pos,MASTER!$H:$H,0))&amp;"_ser_0.20_"&amp;TEXT(INDEX(MASTER!$E:$E,MATCH(_xlpm.pos,MASTER!$H:$H,0)),"mmddyy"),""),_xlpm.slot,96+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08" s="4" t="str">
        <f>_xlfn.LET(_xlpm.pos,"CDI plate 10: "&amp;$A9&amp;E$2,_xlpm.normal,IFERROR(INDEX(MASTER!$A:$A,MATCH(_xlpm.pos,MASTER!$H:$H,0))&amp;"_ser_0.20_"&amp;TEXT(INDEX(MASTER!$E:$E,MATCH(_xlpm.pos,MASTER!$H:$H,0)),"mmddyy"),""),_xlpm.slot,96+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08" s="4" t="str">
        <f>_xlfn.LET(_xlpm.pos,"CDI plate 10: "&amp;$A9&amp;F$2,_xlpm.normal,IFERROR(INDEX(MASTER!$A:$A,MATCH(_xlpm.pos,MASTER!$H:$H,0))&amp;"_ser_0.20_"&amp;TEXT(INDEX(MASTER!$E:$E,MATCH(_xlpm.pos,MASTER!$H:$H,0)),"mmddyy"),""),_xlpm.slot,96+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08" s="4" t="str">
        <f>_xlfn.LET(_xlpm.pos,"CDI plate 10: "&amp;$A9&amp;G$2,_xlpm.normal,IFERROR(INDEX(MASTER!$A:$A,MATCH(_xlpm.pos,MASTER!$H:$H,0))&amp;"_ser_0.20_"&amp;TEXT(INDEX(MASTER!$E:$E,MATCH(_xlpm.pos,MASTER!$H:$H,0)),"mmddyy"),""),_xlpm.slot,96+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08" s="4" t="str">
        <f>_xlfn.LET(_xlpm.pos,"CDI plate 10: "&amp;$A9&amp;H$2,_xlpm.normal,IFERROR(INDEX(MASTER!$A:$A,MATCH(_xlpm.pos,MASTER!$H:$H,0))&amp;"_ser_0.20_"&amp;TEXT(INDEX(MASTER!$E:$E,MATCH(_xlpm.pos,MASTER!$H:$H,0)),"mmddyy"),""),_xlpm.slot,96+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08" s="4" t="str">
        <f>_xlfn.LET(_xlpm.pos,"CDI plate 10: "&amp;$A9&amp;I$2,_xlpm.normal,IFERROR(INDEX(MASTER!$A:$A,MATCH(_xlpm.pos,MASTER!$H:$H,0))&amp;"_ser_0.20_"&amp;TEXT(INDEX(MASTER!$E:$E,MATCH(_xlpm.pos,MASTER!$H:$H,0)),"mmddyy"),""),_xlpm.slot,96+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08" s="4" t="str">
        <f>_xlfn.LET(_xlpm.pos,"CDI plate 10: "&amp;$A9&amp;J$2,_xlpm.normal,IFERROR(INDEX(MASTER!$A:$A,MATCH(_xlpm.pos,MASTER!$H:$H,0))&amp;"_ser_0.20_"&amp;TEXT(INDEX(MASTER!$E:$E,MATCH(_xlpm.pos,MASTER!$H:$H,0)),"mmddyy"),""),_xlpm.slot,96+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08" s="4" t="str">
        <f>_xlfn.LET(_xlpm.pos,"CDI plate 10: "&amp;$A9&amp;K$2,_xlpm.normal,IFERROR(INDEX(MASTER!$A:$A,MATCH(_xlpm.pos,MASTER!$H:$H,0))&amp;"_ser_0.20_"&amp;TEXT(INDEX(MASTER!$E:$E,MATCH(_xlpm.pos,MASTER!$H:$H,0)),"mmddyy"),""),_xlpm.slot,96+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08" s="4" t="str">
        <f>_xlfn.LET(_xlpm.pos,"CDI plate 10: "&amp;$A9&amp;L$2,_xlpm.normal,IFERROR(INDEX(MASTER!$A:$A,MATCH(_xlpm.pos,MASTER!$H:$H,0))&amp;"_ser_0.20_"&amp;TEXT(INDEX(MASTER!$E:$E,MATCH(_xlpm.pos,MASTER!$H:$H,0)),"mmddyy"),""),_xlpm.slot,96+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08" s="4" t="str">
        <f>_xlfn.LET(_xlpm.pos,"CDI plate 10: "&amp;$A9&amp;M$2,_xlpm.normal,IFERROR(INDEX(MASTER!$A:$A,MATCH(_xlpm.pos,MASTER!$H:$H,0))&amp;"_ser_0.20_"&amp;TEXT(INDEX(MASTER!$E:$E,MATCH(_xlpm.pos,MASTER!$H:$H,0)),"mmddyy"),""),_xlpm.slot,96+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09" spans="1:13" ht="22" customHeight="1" x14ac:dyDescent="0.3">
      <c r="A109" s="6" t="s">
        <v>36</v>
      </c>
      <c r="B109" s="4" t="str">
        <f>_xlfn.LET(_xlpm.pos,"CDI plate 10: "&amp;$A10&amp;B$2,_xlpm.normal,IFERROR(INDEX(MASTER!$A:$A,MATCH(_xlpm.pos,MASTER!$H:$H,0))&amp;"_ser_0.20_"&amp;TEXT(INDEX(MASTER!$E:$E,MATCH(_xlpm.pos,MASTER!$H:$H,0)),"mmddyy"),""),_xlpm.slot,96+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09" s="4" t="str">
        <f>_xlfn.LET(_xlpm.pos,"CDI plate 10: "&amp;$A10&amp;C$2,_xlpm.normal,IFERROR(INDEX(MASTER!$A:$A,MATCH(_xlpm.pos,MASTER!$H:$H,0))&amp;"_ser_0.20_"&amp;TEXT(INDEX(MASTER!$E:$E,MATCH(_xlpm.pos,MASTER!$H:$H,0)),"mmddyy"),""),_xlpm.slot,96+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09" s="4" t="str">
        <f>_xlfn.LET(_xlpm.pos,"CDI plate 10: "&amp;$A10&amp;D$2,_xlpm.normal,IFERROR(INDEX(MASTER!$A:$A,MATCH(_xlpm.pos,MASTER!$H:$H,0))&amp;"_ser_0.20_"&amp;TEXT(INDEX(MASTER!$E:$E,MATCH(_xlpm.pos,MASTER!$H:$H,0)),"mmddyy"),""),_xlpm.slot,96+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09" s="4" t="str">
        <f>_xlfn.LET(_xlpm.pos,"CDI plate 10: "&amp;$A10&amp;E$2,_xlpm.normal,IFERROR(INDEX(MASTER!$A:$A,MATCH(_xlpm.pos,MASTER!$H:$H,0))&amp;"_ser_0.20_"&amp;TEXT(INDEX(MASTER!$E:$E,MATCH(_xlpm.pos,MASTER!$H:$H,0)),"mmddyy"),""),_xlpm.slot,96+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09" s="4" t="str">
        <f>_xlfn.LET(_xlpm.pos,"CDI plate 10: "&amp;$A10&amp;F$2,_xlpm.normal,IFERROR(INDEX(MASTER!$A:$A,MATCH(_xlpm.pos,MASTER!$H:$H,0))&amp;"_ser_0.20_"&amp;TEXT(INDEX(MASTER!$E:$E,MATCH(_xlpm.pos,MASTER!$H:$H,0)),"mmddyy"),""),_xlpm.slot,96+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09" s="4" t="str">
        <f>_xlfn.LET(_xlpm.pos,"CDI plate 10: "&amp;$A10&amp;G$2,_xlpm.normal,IFERROR(INDEX(MASTER!$A:$A,MATCH(_xlpm.pos,MASTER!$H:$H,0))&amp;"_ser_0.20_"&amp;TEXT(INDEX(MASTER!$E:$E,MATCH(_xlpm.pos,MASTER!$H:$H,0)),"mmddyy"),""),_xlpm.slot,96+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09" s="4" t="str">
        <f>_xlfn.LET(_xlpm.pos,"CDI plate 10: "&amp;$A10&amp;H$2,_xlpm.normal,IFERROR(INDEX(MASTER!$A:$A,MATCH(_xlpm.pos,MASTER!$H:$H,0))&amp;"_ser_0.20_"&amp;TEXT(INDEX(MASTER!$E:$E,MATCH(_xlpm.pos,MASTER!$H:$H,0)),"mmddyy"),""),_xlpm.slot,96+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09" s="4" t="str">
        <f>_xlfn.LET(_xlpm.pos,"CDI plate 10: "&amp;$A10&amp;I$2,_xlpm.normal,IFERROR(INDEX(MASTER!$A:$A,MATCH(_xlpm.pos,MASTER!$H:$H,0))&amp;"_ser_0.20_"&amp;TEXT(INDEX(MASTER!$E:$E,MATCH(_xlpm.pos,MASTER!$H:$H,0)),"mmddyy"),""),_xlpm.slot,96+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09" s="4" t="str">
        <f>_xlfn.LET(_xlpm.pos,"CDI plate 10: "&amp;$A10&amp;J$2,_xlpm.normal,IFERROR(INDEX(MASTER!$A:$A,MATCH(_xlpm.pos,MASTER!$H:$H,0))&amp;"_ser_0.20_"&amp;TEXT(INDEX(MASTER!$E:$E,MATCH(_xlpm.pos,MASTER!$H:$H,0)),"mmddyy"),""),_xlpm.slot,96+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09" s="4" t="str">
        <f>_xlfn.LET(_xlpm.pos,"CDI plate 10: "&amp;$A10&amp;K$2,_xlpm.normal,IFERROR(INDEX(MASTER!$A:$A,MATCH(_xlpm.pos,MASTER!$H:$H,0))&amp;"_ser_0.20_"&amp;TEXT(INDEX(MASTER!$E:$E,MATCH(_xlpm.pos,MASTER!$H:$H,0)),"mmddyy"),""),_xlpm.slot,96+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09" s="4" t="str">
        <f>_xlfn.LET(_xlpm.pos,"CDI plate 10: "&amp;$A10&amp;L$2,_xlpm.normal,IFERROR(INDEX(MASTER!$A:$A,MATCH(_xlpm.pos,MASTER!$H:$H,0))&amp;"_ser_0.20_"&amp;TEXT(INDEX(MASTER!$E:$E,MATCH(_xlpm.pos,MASTER!$H:$H,0)),"mmddyy"),""),_xlpm.slot,96+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09" s="4" t="str">
        <f>_xlfn.LET(_xlpm.pos,"CDI plate 10: "&amp;$A10&amp;M$2,_xlpm.normal,IFERROR(INDEX(MASTER!$A:$A,MATCH(_xlpm.pos,MASTER!$H:$H,0))&amp;"_ser_0.20_"&amp;TEXT(INDEX(MASTER!$E:$E,MATCH(_xlpm.pos,MASTER!$H:$H,0)),"mmddyy"),""),_xlpm.slot,96+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10" spans="1:13" ht="22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22" customHeight="1" x14ac:dyDescent="0.35">
      <c r="A111" s="5"/>
      <c r="B111" s="31" t="s">
        <v>46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3"/>
    </row>
    <row r="112" spans="1:13" ht="22" customHeight="1" x14ac:dyDescent="0.3">
      <c r="A112" s="5"/>
      <c r="B112" s="6">
        <v>1</v>
      </c>
      <c r="C112" s="6">
        <v>2</v>
      </c>
      <c r="D112" s="6">
        <v>3</v>
      </c>
      <c r="E112" s="6">
        <v>4</v>
      </c>
      <c r="F112" s="6">
        <v>5</v>
      </c>
      <c r="G112" s="6">
        <v>6</v>
      </c>
      <c r="H112" s="6">
        <v>7</v>
      </c>
      <c r="I112" s="6">
        <v>8</v>
      </c>
      <c r="J112" s="6">
        <v>9</v>
      </c>
      <c r="K112" s="6">
        <v>10</v>
      </c>
      <c r="L112" s="6">
        <v>11</v>
      </c>
      <c r="M112" s="6">
        <v>12</v>
      </c>
    </row>
    <row r="113" spans="1:13" ht="22" customHeight="1" x14ac:dyDescent="0.3">
      <c r="A113" s="6" t="s">
        <v>30</v>
      </c>
      <c r="B113" s="4" t="str">
        <f>_xlfn.LET(_xlpm.pos,"CDI plate 11: "&amp;$A3&amp;B$2,_xlpm.normal,IFERROR(INDEX(MASTER!$A:$A,MATCH(_xlpm.pos,MASTER!$H:$H,0))&amp;"_ser_0.20_"&amp;TEXT(INDEX(MASTER!$E:$E,MATCH(_xlpm.pos,MASTER!$H:$H,0)),"mmddyy"),""),_xlpm.slot,96+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13" s="4" t="str">
        <f>_xlfn.LET(_xlpm.pos,"CDI plate 11: "&amp;$A3&amp;C$2,_xlpm.normal,IFERROR(INDEX(MASTER!$A:$A,MATCH(_xlpm.pos,MASTER!$H:$H,0))&amp;"_ser_0.20_"&amp;TEXT(INDEX(MASTER!$E:$E,MATCH(_xlpm.pos,MASTER!$H:$H,0)),"mmddyy"),""),_xlpm.slot,96+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13" s="4" t="str">
        <f>_xlfn.LET(_xlpm.pos,"CDI plate 11: "&amp;$A3&amp;D$2,_xlpm.normal,IFERROR(INDEX(MASTER!$A:$A,MATCH(_xlpm.pos,MASTER!$H:$H,0))&amp;"_ser_0.20_"&amp;TEXT(INDEX(MASTER!$E:$E,MATCH(_xlpm.pos,MASTER!$H:$H,0)),"mmddyy"),""),_xlpm.slot,96+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13" s="4" t="str">
        <f>_xlfn.LET(_xlpm.pos,"CDI plate 11: "&amp;$A3&amp;E$2,_xlpm.normal,IFERROR(INDEX(MASTER!$A:$A,MATCH(_xlpm.pos,MASTER!$H:$H,0))&amp;"_ser_0.20_"&amp;TEXT(INDEX(MASTER!$E:$E,MATCH(_xlpm.pos,MASTER!$H:$H,0)),"mmddyy"),""),_xlpm.slot,96+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13" s="4" t="str">
        <f>_xlfn.LET(_xlpm.pos,"CDI plate 11: "&amp;$A3&amp;F$2,_xlpm.normal,IFERROR(INDEX(MASTER!$A:$A,MATCH(_xlpm.pos,MASTER!$H:$H,0))&amp;"_ser_0.20_"&amp;TEXT(INDEX(MASTER!$E:$E,MATCH(_xlpm.pos,MASTER!$H:$H,0)),"mmddyy"),""),_xlpm.slot,96+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13" s="4" t="str">
        <f>_xlfn.LET(_xlpm.pos,"CDI plate 11: "&amp;$A3&amp;G$2,_xlpm.normal,IFERROR(INDEX(MASTER!$A:$A,MATCH(_xlpm.pos,MASTER!$H:$H,0))&amp;"_ser_0.20_"&amp;TEXT(INDEX(MASTER!$E:$E,MATCH(_xlpm.pos,MASTER!$H:$H,0)),"mmddyy"),""),_xlpm.slot,96+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13" s="4" t="str">
        <f>_xlfn.LET(_xlpm.pos,"CDI plate 11: "&amp;$A3&amp;H$2,_xlpm.normal,IFERROR(INDEX(MASTER!$A:$A,MATCH(_xlpm.pos,MASTER!$H:$H,0))&amp;"_ser_0.20_"&amp;TEXT(INDEX(MASTER!$E:$E,MATCH(_xlpm.pos,MASTER!$H:$H,0)),"mmddyy"),""),_xlpm.slot,96+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13" s="4" t="str">
        <f>_xlfn.LET(_xlpm.pos,"CDI plate 11: "&amp;$A3&amp;I$2,_xlpm.normal,IFERROR(INDEX(MASTER!$A:$A,MATCH(_xlpm.pos,MASTER!$H:$H,0))&amp;"_ser_0.20_"&amp;TEXT(INDEX(MASTER!$E:$E,MATCH(_xlpm.pos,MASTER!$H:$H,0)),"mmddyy"),""),_xlpm.slot,96+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13" s="4" t="str">
        <f>_xlfn.LET(_xlpm.pos,"CDI plate 11: "&amp;$A3&amp;J$2,_xlpm.normal,IFERROR(INDEX(MASTER!$A:$A,MATCH(_xlpm.pos,MASTER!$H:$H,0))&amp;"_ser_0.20_"&amp;TEXT(INDEX(MASTER!$E:$E,MATCH(_xlpm.pos,MASTER!$H:$H,0)),"mmddyy"),""),_xlpm.slot,96+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13" s="4" t="str">
        <f>_xlfn.LET(_xlpm.pos,"CDI plate 11: "&amp;$A3&amp;K$2,_xlpm.normal,IFERROR(INDEX(MASTER!$A:$A,MATCH(_xlpm.pos,MASTER!$H:$H,0))&amp;"_ser_0.20_"&amp;TEXT(INDEX(MASTER!$E:$E,MATCH(_xlpm.pos,MASTER!$H:$H,0)),"mmddyy"),""),_xlpm.slot,96+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13" s="4" t="str">
        <f>_xlfn.LET(_xlpm.pos,"CDI plate 11: "&amp;$A3&amp;L$2,_xlpm.normal,IFERROR(INDEX(MASTER!$A:$A,MATCH(_xlpm.pos,MASTER!$H:$H,0))&amp;"_ser_0.20_"&amp;TEXT(INDEX(MASTER!$E:$E,MATCH(_xlpm.pos,MASTER!$H:$H,0)),"mmddyy"),""),_xlpm.slot,96+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13" s="4" t="str">
        <f>_xlfn.LET(_xlpm.pos,"CDI plate 11: "&amp;$A3&amp;M$2,_xlpm.normal,IFERROR(INDEX(MASTER!$A:$A,MATCH(_xlpm.pos,MASTER!$H:$H,0))&amp;"_ser_0.20_"&amp;TEXT(INDEX(MASTER!$E:$E,MATCH(_xlpm.pos,MASTER!$H:$H,0)),"mmddyy"),""),_xlpm.slot,96+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14" spans="1:13" ht="22" customHeight="1" x14ac:dyDescent="0.3">
      <c r="A114" s="6" t="s">
        <v>31</v>
      </c>
      <c r="B114" s="4" t="str">
        <f>_xlfn.LET(_xlpm.pos,"CDI plate 11: "&amp;$A4&amp;B$2,_xlpm.normal,IFERROR(INDEX(MASTER!$A:$A,MATCH(_xlpm.pos,MASTER!$H:$H,0))&amp;"_ser_0.20_"&amp;TEXT(INDEX(MASTER!$E:$E,MATCH(_xlpm.pos,MASTER!$H:$H,0)),"mmddyy"),""),_xlpm.slot,96+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14" s="4" t="str">
        <f>_xlfn.LET(_xlpm.pos,"CDI plate 11: "&amp;$A4&amp;C$2,_xlpm.normal,IFERROR(INDEX(MASTER!$A:$A,MATCH(_xlpm.pos,MASTER!$H:$H,0))&amp;"_ser_0.20_"&amp;TEXT(INDEX(MASTER!$E:$E,MATCH(_xlpm.pos,MASTER!$H:$H,0)),"mmddyy"),""),_xlpm.slot,96+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14" s="4" t="str">
        <f>_xlfn.LET(_xlpm.pos,"CDI plate 11: "&amp;$A4&amp;D$2,_xlpm.normal,IFERROR(INDEX(MASTER!$A:$A,MATCH(_xlpm.pos,MASTER!$H:$H,0))&amp;"_ser_0.20_"&amp;TEXT(INDEX(MASTER!$E:$E,MATCH(_xlpm.pos,MASTER!$H:$H,0)),"mmddyy"),""),_xlpm.slot,96+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14" s="4" t="str">
        <f>_xlfn.LET(_xlpm.pos,"CDI plate 11: "&amp;$A4&amp;E$2,_xlpm.normal,IFERROR(INDEX(MASTER!$A:$A,MATCH(_xlpm.pos,MASTER!$H:$H,0))&amp;"_ser_0.20_"&amp;TEXT(INDEX(MASTER!$E:$E,MATCH(_xlpm.pos,MASTER!$H:$H,0)),"mmddyy"),""),_xlpm.slot,96+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14" s="4" t="str">
        <f>_xlfn.LET(_xlpm.pos,"CDI plate 11: "&amp;$A4&amp;F$2,_xlpm.normal,IFERROR(INDEX(MASTER!$A:$A,MATCH(_xlpm.pos,MASTER!$H:$H,0))&amp;"_ser_0.20_"&amp;TEXT(INDEX(MASTER!$E:$E,MATCH(_xlpm.pos,MASTER!$H:$H,0)),"mmddyy"),""),_xlpm.slot,96+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14" s="4" t="str">
        <f>_xlfn.LET(_xlpm.pos,"CDI plate 11: "&amp;$A4&amp;G$2,_xlpm.normal,IFERROR(INDEX(MASTER!$A:$A,MATCH(_xlpm.pos,MASTER!$H:$H,0))&amp;"_ser_0.20_"&amp;TEXT(INDEX(MASTER!$E:$E,MATCH(_xlpm.pos,MASTER!$H:$H,0)),"mmddyy"),""),_xlpm.slot,96+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14" s="4" t="str">
        <f>_xlfn.LET(_xlpm.pos,"CDI plate 11: "&amp;$A4&amp;H$2,_xlpm.normal,IFERROR(INDEX(MASTER!$A:$A,MATCH(_xlpm.pos,MASTER!$H:$H,0))&amp;"_ser_0.20_"&amp;TEXT(INDEX(MASTER!$E:$E,MATCH(_xlpm.pos,MASTER!$H:$H,0)),"mmddyy"),""),_xlpm.slot,96+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14" s="4" t="str">
        <f>_xlfn.LET(_xlpm.pos,"CDI plate 11: "&amp;$A4&amp;I$2,_xlpm.normal,IFERROR(INDEX(MASTER!$A:$A,MATCH(_xlpm.pos,MASTER!$H:$H,0))&amp;"_ser_0.20_"&amp;TEXT(INDEX(MASTER!$E:$E,MATCH(_xlpm.pos,MASTER!$H:$H,0)),"mmddyy"),""),_xlpm.slot,96+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14" s="4" t="str">
        <f>_xlfn.LET(_xlpm.pos,"CDI plate 11: "&amp;$A4&amp;J$2,_xlpm.normal,IFERROR(INDEX(MASTER!$A:$A,MATCH(_xlpm.pos,MASTER!$H:$H,0))&amp;"_ser_0.20_"&amp;TEXT(INDEX(MASTER!$E:$E,MATCH(_xlpm.pos,MASTER!$H:$H,0)),"mmddyy"),""),_xlpm.slot,96+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14" s="4" t="str">
        <f>_xlfn.LET(_xlpm.pos,"CDI plate 11: "&amp;$A4&amp;K$2,_xlpm.normal,IFERROR(INDEX(MASTER!$A:$A,MATCH(_xlpm.pos,MASTER!$H:$H,0))&amp;"_ser_0.20_"&amp;TEXT(INDEX(MASTER!$E:$E,MATCH(_xlpm.pos,MASTER!$H:$H,0)),"mmddyy"),""),_xlpm.slot,96+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14" s="4" t="str">
        <f>_xlfn.LET(_xlpm.pos,"CDI plate 11: "&amp;$A4&amp;L$2,_xlpm.normal,IFERROR(INDEX(MASTER!$A:$A,MATCH(_xlpm.pos,MASTER!$H:$H,0))&amp;"_ser_0.20_"&amp;TEXT(INDEX(MASTER!$E:$E,MATCH(_xlpm.pos,MASTER!$H:$H,0)),"mmddyy"),""),_xlpm.slot,96+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14" s="4" t="str">
        <f>_xlfn.LET(_xlpm.pos,"CDI plate 11: "&amp;$A4&amp;M$2,_xlpm.normal,IFERROR(INDEX(MASTER!$A:$A,MATCH(_xlpm.pos,MASTER!$H:$H,0))&amp;"_ser_0.20_"&amp;TEXT(INDEX(MASTER!$E:$E,MATCH(_xlpm.pos,MASTER!$H:$H,0)),"mmddyy"),""),_xlpm.slot,96+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15" spans="1:13" ht="22" customHeight="1" x14ac:dyDescent="0.3">
      <c r="A115" s="6" t="s">
        <v>32</v>
      </c>
      <c r="B115" s="4" t="str">
        <f>_xlfn.LET(_xlpm.pos,"CDI plate 11: "&amp;$A5&amp;B$2,_xlpm.normal,IFERROR(INDEX(MASTER!$A:$A,MATCH(_xlpm.pos,MASTER!$H:$H,0))&amp;"_ser_0.20_"&amp;TEXT(INDEX(MASTER!$E:$E,MATCH(_xlpm.pos,MASTER!$H:$H,0)),"mmddyy"),""),_xlpm.slot,96+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15" s="4" t="str">
        <f>_xlfn.LET(_xlpm.pos,"CDI plate 11: "&amp;$A5&amp;C$2,_xlpm.normal,IFERROR(INDEX(MASTER!$A:$A,MATCH(_xlpm.pos,MASTER!$H:$H,0))&amp;"_ser_0.20_"&amp;TEXT(INDEX(MASTER!$E:$E,MATCH(_xlpm.pos,MASTER!$H:$H,0)),"mmddyy"),""),_xlpm.slot,96+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15" s="4" t="str">
        <f>_xlfn.LET(_xlpm.pos,"CDI plate 11: "&amp;$A5&amp;D$2,_xlpm.normal,IFERROR(INDEX(MASTER!$A:$A,MATCH(_xlpm.pos,MASTER!$H:$H,0))&amp;"_ser_0.20_"&amp;TEXT(INDEX(MASTER!$E:$E,MATCH(_xlpm.pos,MASTER!$H:$H,0)),"mmddyy"),""),_xlpm.slot,96+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15" s="4" t="str">
        <f>_xlfn.LET(_xlpm.pos,"CDI plate 11: "&amp;$A5&amp;E$2,_xlpm.normal,IFERROR(INDEX(MASTER!$A:$A,MATCH(_xlpm.pos,MASTER!$H:$H,0))&amp;"_ser_0.20_"&amp;TEXT(INDEX(MASTER!$E:$E,MATCH(_xlpm.pos,MASTER!$H:$H,0)),"mmddyy"),""),_xlpm.slot,96+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15" s="4" t="str">
        <f>_xlfn.LET(_xlpm.pos,"CDI plate 11: "&amp;$A5&amp;F$2,_xlpm.normal,IFERROR(INDEX(MASTER!$A:$A,MATCH(_xlpm.pos,MASTER!$H:$H,0))&amp;"_ser_0.20_"&amp;TEXT(INDEX(MASTER!$E:$E,MATCH(_xlpm.pos,MASTER!$H:$H,0)),"mmddyy"),""),_xlpm.slot,96+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15" s="4" t="str">
        <f>_xlfn.LET(_xlpm.pos,"CDI plate 11: "&amp;$A5&amp;G$2,_xlpm.normal,IFERROR(INDEX(MASTER!$A:$A,MATCH(_xlpm.pos,MASTER!$H:$H,0))&amp;"_ser_0.20_"&amp;TEXT(INDEX(MASTER!$E:$E,MATCH(_xlpm.pos,MASTER!$H:$H,0)),"mmddyy"),""),_xlpm.slot,96+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15" s="4" t="str">
        <f>_xlfn.LET(_xlpm.pos,"CDI plate 11: "&amp;$A5&amp;H$2,_xlpm.normal,IFERROR(INDEX(MASTER!$A:$A,MATCH(_xlpm.pos,MASTER!$H:$H,0))&amp;"_ser_0.20_"&amp;TEXT(INDEX(MASTER!$E:$E,MATCH(_xlpm.pos,MASTER!$H:$H,0)),"mmddyy"),""),_xlpm.slot,96+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15" s="4" t="str">
        <f>_xlfn.LET(_xlpm.pos,"CDI plate 11: "&amp;$A5&amp;I$2,_xlpm.normal,IFERROR(INDEX(MASTER!$A:$A,MATCH(_xlpm.pos,MASTER!$H:$H,0))&amp;"_ser_0.20_"&amp;TEXT(INDEX(MASTER!$E:$E,MATCH(_xlpm.pos,MASTER!$H:$H,0)),"mmddyy"),""),_xlpm.slot,96+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15" s="4" t="str">
        <f>_xlfn.LET(_xlpm.pos,"CDI plate 11: "&amp;$A5&amp;J$2,_xlpm.normal,IFERROR(INDEX(MASTER!$A:$A,MATCH(_xlpm.pos,MASTER!$H:$H,0))&amp;"_ser_0.20_"&amp;TEXT(INDEX(MASTER!$E:$E,MATCH(_xlpm.pos,MASTER!$H:$H,0)),"mmddyy"),""),_xlpm.slot,96+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15" s="4" t="str">
        <f>_xlfn.LET(_xlpm.pos,"CDI plate 11: "&amp;$A5&amp;K$2,_xlpm.normal,IFERROR(INDEX(MASTER!$A:$A,MATCH(_xlpm.pos,MASTER!$H:$H,0))&amp;"_ser_0.20_"&amp;TEXT(INDEX(MASTER!$E:$E,MATCH(_xlpm.pos,MASTER!$H:$H,0)),"mmddyy"),""),_xlpm.slot,96+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15" s="4" t="str">
        <f>_xlfn.LET(_xlpm.pos,"CDI plate 11: "&amp;$A5&amp;L$2,_xlpm.normal,IFERROR(INDEX(MASTER!$A:$A,MATCH(_xlpm.pos,MASTER!$H:$H,0))&amp;"_ser_0.20_"&amp;TEXT(INDEX(MASTER!$E:$E,MATCH(_xlpm.pos,MASTER!$H:$H,0)),"mmddyy"),""),_xlpm.slot,96+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15" s="4" t="str">
        <f>_xlfn.LET(_xlpm.pos,"CDI plate 11: "&amp;$A5&amp;M$2,_xlpm.normal,IFERROR(INDEX(MASTER!$A:$A,MATCH(_xlpm.pos,MASTER!$H:$H,0))&amp;"_ser_0.20_"&amp;TEXT(INDEX(MASTER!$E:$E,MATCH(_xlpm.pos,MASTER!$H:$H,0)),"mmddyy"),""),_xlpm.slot,96+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16" spans="1:13" ht="22" customHeight="1" x14ac:dyDescent="0.3">
      <c r="A116" s="6" t="s">
        <v>33</v>
      </c>
      <c r="B116" s="4" t="str">
        <f>_xlfn.LET(_xlpm.pos,"CDI plate 11: "&amp;$A6&amp;B$2,_xlpm.normal,IFERROR(INDEX(MASTER!$A:$A,MATCH(_xlpm.pos,MASTER!$H:$H,0))&amp;"_ser_0.20_"&amp;TEXT(INDEX(MASTER!$E:$E,MATCH(_xlpm.pos,MASTER!$H:$H,0)),"mmddyy"),""),_xlpm.slot,96+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16" s="4" t="str">
        <f>_xlfn.LET(_xlpm.pos,"CDI plate 11: "&amp;$A6&amp;C$2,_xlpm.normal,IFERROR(INDEX(MASTER!$A:$A,MATCH(_xlpm.pos,MASTER!$H:$H,0))&amp;"_ser_0.20_"&amp;TEXT(INDEX(MASTER!$E:$E,MATCH(_xlpm.pos,MASTER!$H:$H,0)),"mmddyy"),""),_xlpm.slot,96+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16" s="4" t="str">
        <f>_xlfn.LET(_xlpm.pos,"CDI plate 11: "&amp;$A6&amp;D$2,_xlpm.normal,IFERROR(INDEX(MASTER!$A:$A,MATCH(_xlpm.pos,MASTER!$H:$H,0))&amp;"_ser_0.20_"&amp;TEXT(INDEX(MASTER!$E:$E,MATCH(_xlpm.pos,MASTER!$H:$H,0)),"mmddyy"),""),_xlpm.slot,96+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16" s="4" t="str">
        <f>_xlfn.LET(_xlpm.pos,"CDI plate 11: "&amp;$A6&amp;E$2,_xlpm.normal,IFERROR(INDEX(MASTER!$A:$A,MATCH(_xlpm.pos,MASTER!$H:$H,0))&amp;"_ser_0.20_"&amp;TEXT(INDEX(MASTER!$E:$E,MATCH(_xlpm.pos,MASTER!$H:$H,0)),"mmddyy"),""),_xlpm.slot,96+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16" s="4" t="str">
        <f>_xlfn.LET(_xlpm.pos,"CDI plate 11: "&amp;$A6&amp;F$2,_xlpm.normal,IFERROR(INDEX(MASTER!$A:$A,MATCH(_xlpm.pos,MASTER!$H:$H,0))&amp;"_ser_0.20_"&amp;TEXT(INDEX(MASTER!$E:$E,MATCH(_xlpm.pos,MASTER!$H:$H,0)),"mmddyy"),""),_xlpm.slot,96+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16" s="4" t="str">
        <f>_xlfn.LET(_xlpm.pos,"CDI plate 11: "&amp;$A6&amp;G$2,_xlpm.normal,IFERROR(INDEX(MASTER!$A:$A,MATCH(_xlpm.pos,MASTER!$H:$H,0))&amp;"_ser_0.20_"&amp;TEXT(INDEX(MASTER!$E:$E,MATCH(_xlpm.pos,MASTER!$H:$H,0)),"mmddyy"),""),_xlpm.slot,96+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16" s="4" t="str">
        <f>_xlfn.LET(_xlpm.pos,"CDI plate 11: "&amp;$A6&amp;H$2,_xlpm.normal,IFERROR(INDEX(MASTER!$A:$A,MATCH(_xlpm.pos,MASTER!$H:$H,0))&amp;"_ser_0.20_"&amp;TEXT(INDEX(MASTER!$E:$E,MATCH(_xlpm.pos,MASTER!$H:$H,0)),"mmddyy"),""),_xlpm.slot,96+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16" s="4" t="str">
        <f>_xlfn.LET(_xlpm.pos,"CDI plate 11: "&amp;$A6&amp;I$2,_xlpm.normal,IFERROR(INDEX(MASTER!$A:$A,MATCH(_xlpm.pos,MASTER!$H:$H,0))&amp;"_ser_0.20_"&amp;TEXT(INDEX(MASTER!$E:$E,MATCH(_xlpm.pos,MASTER!$H:$H,0)),"mmddyy"),""),_xlpm.slot,96+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16" s="4" t="str">
        <f>_xlfn.LET(_xlpm.pos,"CDI plate 11: "&amp;$A6&amp;J$2,_xlpm.normal,IFERROR(INDEX(MASTER!$A:$A,MATCH(_xlpm.pos,MASTER!$H:$H,0))&amp;"_ser_0.20_"&amp;TEXT(INDEX(MASTER!$E:$E,MATCH(_xlpm.pos,MASTER!$H:$H,0)),"mmddyy"),""),_xlpm.slot,96+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16" s="4" t="str">
        <f>_xlfn.LET(_xlpm.pos,"CDI plate 11: "&amp;$A6&amp;K$2,_xlpm.normal,IFERROR(INDEX(MASTER!$A:$A,MATCH(_xlpm.pos,MASTER!$H:$H,0))&amp;"_ser_0.20_"&amp;TEXT(INDEX(MASTER!$E:$E,MATCH(_xlpm.pos,MASTER!$H:$H,0)),"mmddyy"),""),_xlpm.slot,96+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16" s="4" t="str">
        <f>_xlfn.LET(_xlpm.pos,"CDI plate 11: "&amp;$A6&amp;L$2,_xlpm.normal,IFERROR(INDEX(MASTER!$A:$A,MATCH(_xlpm.pos,MASTER!$H:$H,0))&amp;"_ser_0.20_"&amp;TEXT(INDEX(MASTER!$E:$E,MATCH(_xlpm.pos,MASTER!$H:$H,0)),"mmddyy"),""),_xlpm.slot,96+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16" s="4" t="str">
        <f>_xlfn.LET(_xlpm.pos,"CDI plate 11: "&amp;$A6&amp;M$2,_xlpm.normal,IFERROR(INDEX(MASTER!$A:$A,MATCH(_xlpm.pos,MASTER!$H:$H,0))&amp;"_ser_0.20_"&amp;TEXT(INDEX(MASTER!$E:$E,MATCH(_xlpm.pos,MASTER!$H:$H,0)),"mmddyy"),""),_xlpm.slot,96+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17" spans="1:13" ht="22" customHeight="1" x14ac:dyDescent="0.3">
      <c r="A117" s="6" t="s">
        <v>34</v>
      </c>
      <c r="B117" s="4" t="str">
        <f>_xlfn.LET(_xlpm.pos,"CDI plate 11: "&amp;$A7&amp;B$2,_xlpm.normal,IFERROR(INDEX(MASTER!$A:$A,MATCH(_xlpm.pos,MASTER!$H:$H,0))&amp;"_ser_0.20_"&amp;TEXT(INDEX(MASTER!$E:$E,MATCH(_xlpm.pos,MASTER!$H:$H,0)),"mmddyy"),""),_xlpm.slot,96+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17" s="4" t="str">
        <f>_xlfn.LET(_xlpm.pos,"CDI plate 11: "&amp;$A7&amp;C$2,_xlpm.normal,IFERROR(INDEX(MASTER!$A:$A,MATCH(_xlpm.pos,MASTER!$H:$H,0))&amp;"_ser_0.20_"&amp;TEXT(INDEX(MASTER!$E:$E,MATCH(_xlpm.pos,MASTER!$H:$H,0)),"mmddyy"),""),_xlpm.slot,96+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17" s="4" t="str">
        <f>_xlfn.LET(_xlpm.pos,"CDI plate 11: "&amp;$A7&amp;D$2,_xlpm.normal,IFERROR(INDEX(MASTER!$A:$A,MATCH(_xlpm.pos,MASTER!$H:$H,0))&amp;"_ser_0.20_"&amp;TEXT(INDEX(MASTER!$E:$E,MATCH(_xlpm.pos,MASTER!$H:$H,0)),"mmddyy"),""),_xlpm.slot,96+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17" s="4" t="str">
        <f>_xlfn.LET(_xlpm.pos,"CDI plate 11: "&amp;$A7&amp;E$2,_xlpm.normal,IFERROR(INDEX(MASTER!$A:$A,MATCH(_xlpm.pos,MASTER!$H:$H,0))&amp;"_ser_0.20_"&amp;TEXT(INDEX(MASTER!$E:$E,MATCH(_xlpm.pos,MASTER!$H:$H,0)),"mmddyy"),""),_xlpm.slot,96+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17" s="4" t="str">
        <f>_xlfn.LET(_xlpm.pos,"CDI plate 11: "&amp;$A7&amp;F$2,_xlpm.normal,IFERROR(INDEX(MASTER!$A:$A,MATCH(_xlpm.pos,MASTER!$H:$H,0))&amp;"_ser_0.20_"&amp;TEXT(INDEX(MASTER!$E:$E,MATCH(_xlpm.pos,MASTER!$H:$H,0)),"mmddyy"),""),_xlpm.slot,96+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17" s="4" t="str">
        <f>_xlfn.LET(_xlpm.pos,"CDI plate 11: "&amp;$A7&amp;G$2,_xlpm.normal,IFERROR(INDEX(MASTER!$A:$A,MATCH(_xlpm.pos,MASTER!$H:$H,0))&amp;"_ser_0.20_"&amp;TEXT(INDEX(MASTER!$E:$E,MATCH(_xlpm.pos,MASTER!$H:$H,0)),"mmddyy"),""),_xlpm.slot,96+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17" s="4" t="str">
        <f>_xlfn.LET(_xlpm.pos,"CDI plate 11: "&amp;$A7&amp;H$2,_xlpm.normal,IFERROR(INDEX(MASTER!$A:$A,MATCH(_xlpm.pos,MASTER!$H:$H,0))&amp;"_ser_0.20_"&amp;TEXT(INDEX(MASTER!$E:$E,MATCH(_xlpm.pos,MASTER!$H:$H,0)),"mmddyy"),""),_xlpm.slot,96+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17" s="4" t="str">
        <f>_xlfn.LET(_xlpm.pos,"CDI plate 11: "&amp;$A7&amp;I$2,_xlpm.normal,IFERROR(INDEX(MASTER!$A:$A,MATCH(_xlpm.pos,MASTER!$H:$H,0))&amp;"_ser_0.20_"&amp;TEXT(INDEX(MASTER!$E:$E,MATCH(_xlpm.pos,MASTER!$H:$H,0)),"mmddyy"),""),_xlpm.slot,96+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17" s="4" t="str">
        <f>_xlfn.LET(_xlpm.pos,"CDI plate 11: "&amp;$A7&amp;J$2,_xlpm.normal,IFERROR(INDEX(MASTER!$A:$A,MATCH(_xlpm.pos,MASTER!$H:$H,0))&amp;"_ser_0.20_"&amp;TEXT(INDEX(MASTER!$E:$E,MATCH(_xlpm.pos,MASTER!$H:$H,0)),"mmddyy"),""),_xlpm.slot,96+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17" s="4" t="str">
        <f>_xlfn.LET(_xlpm.pos,"CDI plate 11: "&amp;$A7&amp;K$2,_xlpm.normal,IFERROR(INDEX(MASTER!$A:$A,MATCH(_xlpm.pos,MASTER!$H:$H,0))&amp;"_ser_0.20_"&amp;TEXT(INDEX(MASTER!$E:$E,MATCH(_xlpm.pos,MASTER!$H:$H,0)),"mmddyy"),""),_xlpm.slot,96+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17" s="4" t="str">
        <f>_xlfn.LET(_xlpm.pos,"CDI plate 11: "&amp;$A7&amp;L$2,_xlpm.normal,IFERROR(INDEX(MASTER!$A:$A,MATCH(_xlpm.pos,MASTER!$H:$H,0))&amp;"_ser_0.20_"&amp;TEXT(INDEX(MASTER!$E:$E,MATCH(_xlpm.pos,MASTER!$H:$H,0)),"mmddyy"),""),_xlpm.slot,96+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17" s="4" t="str">
        <f>_xlfn.LET(_xlpm.pos,"CDI plate 11: "&amp;$A7&amp;M$2,_xlpm.normal,IFERROR(INDEX(MASTER!$A:$A,MATCH(_xlpm.pos,MASTER!$H:$H,0))&amp;"_ser_0.20_"&amp;TEXT(INDEX(MASTER!$E:$E,MATCH(_xlpm.pos,MASTER!$H:$H,0)),"mmddyy"),""),_xlpm.slot,96+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18" spans="1:13" ht="22" customHeight="1" x14ac:dyDescent="0.3">
      <c r="A118" s="6" t="s">
        <v>15</v>
      </c>
      <c r="B118" s="4" t="str">
        <f>_xlfn.LET(_xlpm.pos,"CDI plate 11: "&amp;$A8&amp;B$2,_xlpm.normal,IFERROR(INDEX(MASTER!$A:$A,MATCH(_xlpm.pos,MASTER!$H:$H,0))&amp;"_ser_0.20_"&amp;TEXT(INDEX(MASTER!$E:$E,MATCH(_xlpm.pos,MASTER!$H:$H,0)),"mmddyy"),""),_xlpm.slot,96+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18" s="4" t="str">
        <f>_xlfn.LET(_xlpm.pos,"CDI plate 11: "&amp;$A8&amp;C$2,_xlpm.normal,IFERROR(INDEX(MASTER!$A:$A,MATCH(_xlpm.pos,MASTER!$H:$H,0))&amp;"_ser_0.20_"&amp;TEXT(INDEX(MASTER!$E:$E,MATCH(_xlpm.pos,MASTER!$H:$H,0)),"mmddyy"),""),_xlpm.slot,96+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18" s="4" t="str">
        <f>_xlfn.LET(_xlpm.pos,"CDI plate 11: "&amp;$A8&amp;D$2,_xlpm.normal,IFERROR(INDEX(MASTER!$A:$A,MATCH(_xlpm.pos,MASTER!$H:$H,0))&amp;"_ser_0.20_"&amp;TEXT(INDEX(MASTER!$E:$E,MATCH(_xlpm.pos,MASTER!$H:$H,0)),"mmddyy"),""),_xlpm.slot,96+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18" s="4" t="str">
        <f>_xlfn.LET(_xlpm.pos,"CDI plate 11: "&amp;$A8&amp;E$2,_xlpm.normal,IFERROR(INDEX(MASTER!$A:$A,MATCH(_xlpm.pos,MASTER!$H:$H,0))&amp;"_ser_0.20_"&amp;TEXT(INDEX(MASTER!$E:$E,MATCH(_xlpm.pos,MASTER!$H:$H,0)),"mmddyy"),""),_xlpm.slot,96+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18" s="4" t="str">
        <f>_xlfn.LET(_xlpm.pos,"CDI plate 11: "&amp;$A8&amp;F$2,_xlpm.normal,IFERROR(INDEX(MASTER!$A:$A,MATCH(_xlpm.pos,MASTER!$H:$H,0))&amp;"_ser_0.20_"&amp;TEXT(INDEX(MASTER!$E:$E,MATCH(_xlpm.pos,MASTER!$H:$H,0)),"mmddyy"),""),_xlpm.slot,96+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18" s="4" t="str">
        <f>_xlfn.LET(_xlpm.pos,"CDI plate 11: "&amp;$A8&amp;G$2,_xlpm.normal,IFERROR(INDEX(MASTER!$A:$A,MATCH(_xlpm.pos,MASTER!$H:$H,0))&amp;"_ser_0.20_"&amp;TEXT(INDEX(MASTER!$E:$E,MATCH(_xlpm.pos,MASTER!$H:$H,0)),"mmddyy"),""),_xlpm.slot,96+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18" s="4" t="str">
        <f>_xlfn.LET(_xlpm.pos,"CDI plate 11: "&amp;$A8&amp;H$2,_xlpm.normal,IFERROR(INDEX(MASTER!$A:$A,MATCH(_xlpm.pos,MASTER!$H:$H,0))&amp;"_ser_0.20_"&amp;TEXT(INDEX(MASTER!$E:$E,MATCH(_xlpm.pos,MASTER!$H:$H,0)),"mmddyy"),""),_xlpm.slot,96+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18" s="4" t="str">
        <f>_xlfn.LET(_xlpm.pos,"CDI plate 11: "&amp;$A8&amp;I$2,_xlpm.normal,IFERROR(INDEX(MASTER!$A:$A,MATCH(_xlpm.pos,MASTER!$H:$H,0))&amp;"_ser_0.20_"&amp;TEXT(INDEX(MASTER!$E:$E,MATCH(_xlpm.pos,MASTER!$H:$H,0)),"mmddyy"),""),_xlpm.slot,96+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18" s="4" t="str">
        <f>_xlfn.LET(_xlpm.pos,"CDI plate 11: "&amp;$A8&amp;J$2,_xlpm.normal,IFERROR(INDEX(MASTER!$A:$A,MATCH(_xlpm.pos,MASTER!$H:$H,0))&amp;"_ser_0.20_"&amp;TEXT(INDEX(MASTER!$E:$E,MATCH(_xlpm.pos,MASTER!$H:$H,0)),"mmddyy"),""),_xlpm.slot,96+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18" s="4" t="str">
        <f>_xlfn.LET(_xlpm.pos,"CDI plate 11: "&amp;$A8&amp;K$2,_xlpm.normal,IFERROR(INDEX(MASTER!$A:$A,MATCH(_xlpm.pos,MASTER!$H:$H,0))&amp;"_ser_0.20_"&amp;TEXT(INDEX(MASTER!$E:$E,MATCH(_xlpm.pos,MASTER!$H:$H,0)),"mmddyy"),""),_xlpm.slot,96+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18" s="4" t="str">
        <f>_xlfn.LET(_xlpm.pos,"CDI plate 11: "&amp;$A8&amp;L$2,_xlpm.normal,IFERROR(INDEX(MASTER!$A:$A,MATCH(_xlpm.pos,MASTER!$H:$H,0))&amp;"_ser_0.20_"&amp;TEXT(INDEX(MASTER!$E:$E,MATCH(_xlpm.pos,MASTER!$H:$H,0)),"mmddyy"),""),_xlpm.slot,96+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18" s="4" t="str">
        <f>_xlfn.LET(_xlpm.pos,"CDI plate 11: "&amp;$A8&amp;M$2,_xlpm.normal,IFERROR(INDEX(MASTER!$A:$A,MATCH(_xlpm.pos,MASTER!$H:$H,0))&amp;"_ser_0.20_"&amp;TEXT(INDEX(MASTER!$E:$E,MATCH(_xlpm.pos,MASTER!$H:$H,0)),"mmddyy"),""),_xlpm.slot,96+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19" spans="1:13" ht="22" customHeight="1" x14ac:dyDescent="0.3">
      <c r="A119" s="6" t="s">
        <v>35</v>
      </c>
      <c r="B119" s="4" t="str">
        <f>_xlfn.LET(_xlpm.pos,"CDI plate 11: "&amp;$A9&amp;B$2,_xlpm.normal,IFERROR(INDEX(MASTER!$A:$A,MATCH(_xlpm.pos,MASTER!$H:$H,0))&amp;"_ser_0.20_"&amp;TEXT(INDEX(MASTER!$E:$E,MATCH(_xlpm.pos,MASTER!$H:$H,0)),"mmddyy"),""),_xlpm.slot,96+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19" s="4" t="str">
        <f>_xlfn.LET(_xlpm.pos,"CDI plate 11: "&amp;$A9&amp;C$2,_xlpm.normal,IFERROR(INDEX(MASTER!$A:$A,MATCH(_xlpm.pos,MASTER!$H:$H,0))&amp;"_ser_0.20_"&amp;TEXT(INDEX(MASTER!$E:$E,MATCH(_xlpm.pos,MASTER!$H:$H,0)),"mmddyy"),""),_xlpm.slot,96+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19" s="4" t="str">
        <f>_xlfn.LET(_xlpm.pos,"CDI plate 11: "&amp;$A9&amp;D$2,_xlpm.normal,IFERROR(INDEX(MASTER!$A:$A,MATCH(_xlpm.pos,MASTER!$H:$H,0))&amp;"_ser_0.20_"&amp;TEXT(INDEX(MASTER!$E:$E,MATCH(_xlpm.pos,MASTER!$H:$H,0)),"mmddyy"),""),_xlpm.slot,96+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19" s="4" t="str">
        <f>_xlfn.LET(_xlpm.pos,"CDI plate 11: "&amp;$A9&amp;E$2,_xlpm.normal,IFERROR(INDEX(MASTER!$A:$A,MATCH(_xlpm.pos,MASTER!$H:$H,0))&amp;"_ser_0.20_"&amp;TEXT(INDEX(MASTER!$E:$E,MATCH(_xlpm.pos,MASTER!$H:$H,0)),"mmddyy"),""),_xlpm.slot,96+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19" s="4" t="str">
        <f>_xlfn.LET(_xlpm.pos,"CDI plate 11: "&amp;$A9&amp;F$2,_xlpm.normal,IFERROR(INDEX(MASTER!$A:$A,MATCH(_xlpm.pos,MASTER!$H:$H,0))&amp;"_ser_0.20_"&amp;TEXT(INDEX(MASTER!$E:$E,MATCH(_xlpm.pos,MASTER!$H:$H,0)),"mmddyy"),""),_xlpm.slot,96+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19" s="4" t="str">
        <f>_xlfn.LET(_xlpm.pos,"CDI plate 11: "&amp;$A9&amp;G$2,_xlpm.normal,IFERROR(INDEX(MASTER!$A:$A,MATCH(_xlpm.pos,MASTER!$H:$H,0))&amp;"_ser_0.20_"&amp;TEXT(INDEX(MASTER!$E:$E,MATCH(_xlpm.pos,MASTER!$H:$H,0)),"mmddyy"),""),_xlpm.slot,96+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19" s="4" t="str">
        <f>_xlfn.LET(_xlpm.pos,"CDI plate 11: "&amp;$A9&amp;H$2,_xlpm.normal,IFERROR(INDEX(MASTER!$A:$A,MATCH(_xlpm.pos,MASTER!$H:$H,0))&amp;"_ser_0.20_"&amp;TEXT(INDEX(MASTER!$E:$E,MATCH(_xlpm.pos,MASTER!$H:$H,0)),"mmddyy"),""),_xlpm.slot,96+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19" s="4" t="str">
        <f>_xlfn.LET(_xlpm.pos,"CDI plate 11: "&amp;$A9&amp;I$2,_xlpm.normal,IFERROR(INDEX(MASTER!$A:$A,MATCH(_xlpm.pos,MASTER!$H:$H,0))&amp;"_ser_0.20_"&amp;TEXT(INDEX(MASTER!$E:$E,MATCH(_xlpm.pos,MASTER!$H:$H,0)),"mmddyy"),""),_xlpm.slot,96+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19" s="4" t="str">
        <f>_xlfn.LET(_xlpm.pos,"CDI plate 11: "&amp;$A9&amp;J$2,_xlpm.normal,IFERROR(INDEX(MASTER!$A:$A,MATCH(_xlpm.pos,MASTER!$H:$H,0))&amp;"_ser_0.20_"&amp;TEXT(INDEX(MASTER!$E:$E,MATCH(_xlpm.pos,MASTER!$H:$H,0)),"mmddyy"),""),_xlpm.slot,96+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19" s="4" t="str">
        <f>_xlfn.LET(_xlpm.pos,"CDI plate 11: "&amp;$A9&amp;K$2,_xlpm.normal,IFERROR(INDEX(MASTER!$A:$A,MATCH(_xlpm.pos,MASTER!$H:$H,0))&amp;"_ser_0.20_"&amp;TEXT(INDEX(MASTER!$E:$E,MATCH(_xlpm.pos,MASTER!$H:$H,0)),"mmddyy"),""),_xlpm.slot,96+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19" s="4" t="str">
        <f>_xlfn.LET(_xlpm.pos,"CDI plate 11: "&amp;$A9&amp;L$2,_xlpm.normal,IFERROR(INDEX(MASTER!$A:$A,MATCH(_xlpm.pos,MASTER!$H:$H,0))&amp;"_ser_0.20_"&amp;TEXT(INDEX(MASTER!$E:$E,MATCH(_xlpm.pos,MASTER!$H:$H,0)),"mmddyy"),""),_xlpm.slot,96+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19" s="4" t="str">
        <f>_xlfn.LET(_xlpm.pos,"CDI plate 11: "&amp;$A9&amp;M$2,_xlpm.normal,IFERROR(INDEX(MASTER!$A:$A,MATCH(_xlpm.pos,MASTER!$H:$H,0))&amp;"_ser_0.20_"&amp;TEXT(INDEX(MASTER!$E:$E,MATCH(_xlpm.pos,MASTER!$H:$H,0)),"mmddyy"),""),_xlpm.slot,96+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20" spans="1:13" ht="22" customHeight="1" x14ac:dyDescent="0.3">
      <c r="A120" s="6" t="s">
        <v>36</v>
      </c>
      <c r="B120" s="4" t="str">
        <f>_xlfn.LET(_xlpm.pos,"CDI plate 11: "&amp;$A10&amp;B$2,_xlpm.normal,IFERROR(INDEX(MASTER!$A:$A,MATCH(_xlpm.pos,MASTER!$H:$H,0))&amp;"_ser_0.20_"&amp;TEXT(INDEX(MASTER!$E:$E,MATCH(_xlpm.pos,MASTER!$H:$H,0)),"mmddyy"),""),_xlpm.slot,96+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20" s="4" t="str">
        <f>_xlfn.LET(_xlpm.pos,"CDI plate 11: "&amp;$A10&amp;C$2,_xlpm.normal,IFERROR(INDEX(MASTER!$A:$A,MATCH(_xlpm.pos,MASTER!$H:$H,0))&amp;"_ser_0.20_"&amp;TEXT(INDEX(MASTER!$E:$E,MATCH(_xlpm.pos,MASTER!$H:$H,0)),"mmddyy"),""),_xlpm.slot,96+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20" s="4" t="str">
        <f>_xlfn.LET(_xlpm.pos,"CDI plate 11: "&amp;$A10&amp;D$2,_xlpm.normal,IFERROR(INDEX(MASTER!$A:$A,MATCH(_xlpm.pos,MASTER!$H:$H,0))&amp;"_ser_0.20_"&amp;TEXT(INDEX(MASTER!$E:$E,MATCH(_xlpm.pos,MASTER!$H:$H,0)),"mmddyy"),""),_xlpm.slot,96+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20" s="4" t="str">
        <f>_xlfn.LET(_xlpm.pos,"CDI plate 11: "&amp;$A10&amp;E$2,_xlpm.normal,IFERROR(INDEX(MASTER!$A:$A,MATCH(_xlpm.pos,MASTER!$H:$H,0))&amp;"_ser_0.20_"&amp;TEXT(INDEX(MASTER!$E:$E,MATCH(_xlpm.pos,MASTER!$H:$H,0)),"mmddyy"),""),_xlpm.slot,96+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20" s="4" t="str">
        <f>_xlfn.LET(_xlpm.pos,"CDI plate 11: "&amp;$A10&amp;F$2,_xlpm.normal,IFERROR(INDEX(MASTER!$A:$A,MATCH(_xlpm.pos,MASTER!$H:$H,0))&amp;"_ser_0.20_"&amp;TEXT(INDEX(MASTER!$E:$E,MATCH(_xlpm.pos,MASTER!$H:$H,0)),"mmddyy"),""),_xlpm.slot,96+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20" s="4" t="str">
        <f>_xlfn.LET(_xlpm.pos,"CDI plate 11: "&amp;$A10&amp;G$2,_xlpm.normal,IFERROR(INDEX(MASTER!$A:$A,MATCH(_xlpm.pos,MASTER!$H:$H,0))&amp;"_ser_0.20_"&amp;TEXT(INDEX(MASTER!$E:$E,MATCH(_xlpm.pos,MASTER!$H:$H,0)),"mmddyy"),""),_xlpm.slot,96+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20" s="4" t="str">
        <f>_xlfn.LET(_xlpm.pos,"CDI plate 11: "&amp;$A10&amp;H$2,_xlpm.normal,IFERROR(INDEX(MASTER!$A:$A,MATCH(_xlpm.pos,MASTER!$H:$H,0))&amp;"_ser_0.20_"&amp;TEXT(INDEX(MASTER!$E:$E,MATCH(_xlpm.pos,MASTER!$H:$H,0)),"mmddyy"),""),_xlpm.slot,96+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20" s="4" t="str">
        <f>_xlfn.LET(_xlpm.pos,"CDI plate 11: "&amp;$A10&amp;I$2,_xlpm.normal,IFERROR(INDEX(MASTER!$A:$A,MATCH(_xlpm.pos,MASTER!$H:$H,0))&amp;"_ser_0.20_"&amp;TEXT(INDEX(MASTER!$E:$E,MATCH(_xlpm.pos,MASTER!$H:$H,0)),"mmddyy"),""),_xlpm.slot,96+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20" s="4" t="str">
        <f>_xlfn.LET(_xlpm.pos,"CDI plate 11: "&amp;$A10&amp;J$2,_xlpm.normal,IFERROR(INDEX(MASTER!$A:$A,MATCH(_xlpm.pos,MASTER!$H:$H,0))&amp;"_ser_0.20_"&amp;TEXT(INDEX(MASTER!$E:$E,MATCH(_xlpm.pos,MASTER!$H:$H,0)),"mmddyy"),""),_xlpm.slot,96+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20" s="4" t="str">
        <f>_xlfn.LET(_xlpm.pos,"CDI plate 11: "&amp;$A10&amp;K$2,_xlpm.normal,IFERROR(INDEX(MASTER!$A:$A,MATCH(_xlpm.pos,MASTER!$H:$H,0))&amp;"_ser_0.20_"&amp;TEXT(INDEX(MASTER!$E:$E,MATCH(_xlpm.pos,MASTER!$H:$H,0)),"mmddyy"),""),_xlpm.slot,96+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20" s="4" t="str">
        <f>_xlfn.LET(_xlpm.pos,"CDI plate 11: "&amp;$A10&amp;L$2,_xlpm.normal,IFERROR(INDEX(MASTER!$A:$A,MATCH(_xlpm.pos,MASTER!$H:$H,0))&amp;"_ser_0.20_"&amp;TEXT(INDEX(MASTER!$E:$E,MATCH(_xlpm.pos,MASTER!$H:$H,0)),"mmddyy"),""),_xlpm.slot,96+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20" s="4" t="str">
        <f>_xlfn.LET(_xlpm.pos,"CDI plate 11: "&amp;$A10&amp;M$2,_xlpm.normal,IFERROR(INDEX(MASTER!$A:$A,MATCH(_xlpm.pos,MASTER!$H:$H,0))&amp;"_ser_0.20_"&amp;TEXT(INDEX(MASTER!$E:$E,MATCH(_xlpm.pos,MASTER!$H:$H,0)),"mmddyy"),""),_xlpm.slot,96+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21" spans="1:13" ht="22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spans="1:13" ht="22" customHeight="1" x14ac:dyDescent="0.35">
      <c r="A122" s="5"/>
      <c r="B122" s="31" t="s">
        <v>47</v>
      </c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3"/>
    </row>
    <row r="123" spans="1:13" ht="22" customHeight="1" x14ac:dyDescent="0.3">
      <c r="A123" s="5"/>
      <c r="B123" s="6">
        <v>1</v>
      </c>
      <c r="C123" s="6">
        <v>2</v>
      </c>
      <c r="D123" s="6">
        <v>3</v>
      </c>
      <c r="E123" s="6">
        <v>4</v>
      </c>
      <c r="F123" s="6">
        <v>5</v>
      </c>
      <c r="G123" s="6">
        <v>6</v>
      </c>
      <c r="H123" s="6">
        <v>7</v>
      </c>
      <c r="I123" s="6">
        <v>8</v>
      </c>
      <c r="J123" s="6">
        <v>9</v>
      </c>
      <c r="K123" s="6">
        <v>10</v>
      </c>
      <c r="L123" s="6">
        <v>11</v>
      </c>
      <c r="M123" s="6">
        <v>12</v>
      </c>
    </row>
    <row r="124" spans="1:13" ht="22" customHeight="1" x14ac:dyDescent="0.3">
      <c r="A124" s="6" t="s">
        <v>30</v>
      </c>
      <c r="B124" s="4" t="str">
        <f>_xlfn.LET(_xlpm.pos,"CDI plate 12: "&amp;$A3&amp;B$2,_xlpm.normal,IFERROR(INDEX(MASTER!$A:$A,MATCH(_xlpm.pos,MASTER!$H:$H,0))&amp;"_ser_0.20_"&amp;TEXT(INDEX(MASTER!$E:$E,MATCH(_xlpm.pos,MASTER!$H:$H,0)),"mmddyy"),""),_xlpm.slot,96+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24" s="4" t="str">
        <f>_xlfn.LET(_xlpm.pos,"CDI plate 12: "&amp;$A3&amp;C$2,_xlpm.normal,IFERROR(INDEX(MASTER!$A:$A,MATCH(_xlpm.pos,MASTER!$H:$H,0))&amp;"_ser_0.20_"&amp;TEXT(INDEX(MASTER!$E:$E,MATCH(_xlpm.pos,MASTER!$H:$H,0)),"mmddyy"),""),_xlpm.slot,96+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24" s="4" t="str">
        <f>_xlfn.LET(_xlpm.pos,"CDI plate 12: "&amp;$A3&amp;D$2,_xlpm.normal,IFERROR(INDEX(MASTER!$A:$A,MATCH(_xlpm.pos,MASTER!$H:$H,0))&amp;"_ser_0.20_"&amp;TEXT(INDEX(MASTER!$E:$E,MATCH(_xlpm.pos,MASTER!$H:$H,0)),"mmddyy"),""),_xlpm.slot,96+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24" s="4" t="str">
        <f>_xlfn.LET(_xlpm.pos,"CDI plate 12: "&amp;$A3&amp;E$2,_xlpm.normal,IFERROR(INDEX(MASTER!$A:$A,MATCH(_xlpm.pos,MASTER!$H:$H,0))&amp;"_ser_0.20_"&amp;TEXT(INDEX(MASTER!$E:$E,MATCH(_xlpm.pos,MASTER!$H:$H,0)),"mmddyy"),""),_xlpm.slot,96+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24" s="4" t="str">
        <f>_xlfn.LET(_xlpm.pos,"CDI plate 12: "&amp;$A3&amp;F$2,_xlpm.normal,IFERROR(INDEX(MASTER!$A:$A,MATCH(_xlpm.pos,MASTER!$H:$H,0))&amp;"_ser_0.20_"&amp;TEXT(INDEX(MASTER!$E:$E,MATCH(_xlpm.pos,MASTER!$H:$H,0)),"mmddyy"),""),_xlpm.slot,96+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24" s="4" t="str">
        <f>_xlfn.LET(_xlpm.pos,"CDI plate 12: "&amp;$A3&amp;G$2,_xlpm.normal,IFERROR(INDEX(MASTER!$A:$A,MATCH(_xlpm.pos,MASTER!$H:$H,0))&amp;"_ser_0.20_"&amp;TEXT(INDEX(MASTER!$E:$E,MATCH(_xlpm.pos,MASTER!$H:$H,0)),"mmddyy"),""),_xlpm.slot,96+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24" s="4" t="str">
        <f>_xlfn.LET(_xlpm.pos,"CDI plate 12: "&amp;$A3&amp;H$2,_xlpm.normal,IFERROR(INDEX(MASTER!$A:$A,MATCH(_xlpm.pos,MASTER!$H:$H,0))&amp;"_ser_0.20_"&amp;TEXT(INDEX(MASTER!$E:$E,MATCH(_xlpm.pos,MASTER!$H:$H,0)),"mmddyy"),""),_xlpm.slot,96+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24" s="4" t="str">
        <f>_xlfn.LET(_xlpm.pos,"CDI plate 12: "&amp;$A3&amp;I$2,_xlpm.normal,IFERROR(INDEX(MASTER!$A:$A,MATCH(_xlpm.pos,MASTER!$H:$H,0))&amp;"_ser_0.20_"&amp;TEXT(INDEX(MASTER!$E:$E,MATCH(_xlpm.pos,MASTER!$H:$H,0)),"mmddyy"),""),_xlpm.slot,96+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24" s="4" t="str">
        <f>_xlfn.LET(_xlpm.pos,"CDI plate 12: "&amp;$A3&amp;J$2,_xlpm.normal,IFERROR(INDEX(MASTER!$A:$A,MATCH(_xlpm.pos,MASTER!$H:$H,0))&amp;"_ser_0.20_"&amp;TEXT(INDEX(MASTER!$E:$E,MATCH(_xlpm.pos,MASTER!$H:$H,0)),"mmddyy"),""),_xlpm.slot,96+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24" s="4" t="str">
        <f>_xlfn.LET(_xlpm.pos,"CDI plate 12: "&amp;$A3&amp;K$2,_xlpm.normal,IFERROR(INDEX(MASTER!$A:$A,MATCH(_xlpm.pos,MASTER!$H:$H,0))&amp;"_ser_0.20_"&amp;TEXT(INDEX(MASTER!$E:$E,MATCH(_xlpm.pos,MASTER!$H:$H,0)),"mmddyy"),""),_xlpm.slot,96+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24" s="4" t="str">
        <f>_xlfn.LET(_xlpm.pos,"CDI plate 12: "&amp;$A3&amp;L$2,_xlpm.normal,IFERROR(INDEX(MASTER!$A:$A,MATCH(_xlpm.pos,MASTER!$H:$H,0))&amp;"_ser_0.20_"&amp;TEXT(INDEX(MASTER!$E:$E,MATCH(_xlpm.pos,MASTER!$H:$H,0)),"mmddyy"),""),_xlpm.slot,96+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24" s="4" t="str">
        <f>_xlfn.LET(_xlpm.pos,"CDI plate 12: "&amp;$A3&amp;M$2,_xlpm.normal,IFERROR(INDEX(MASTER!$A:$A,MATCH(_xlpm.pos,MASTER!$H:$H,0))&amp;"_ser_0.20_"&amp;TEXT(INDEX(MASTER!$E:$E,MATCH(_xlpm.pos,MASTER!$H:$H,0)),"mmddyy"),""),_xlpm.slot,96+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25" spans="1:13" ht="22" customHeight="1" x14ac:dyDescent="0.3">
      <c r="A125" s="6" t="s">
        <v>31</v>
      </c>
      <c r="B125" s="4" t="str">
        <f>_xlfn.LET(_xlpm.pos,"CDI plate 12: "&amp;$A4&amp;B$2,_xlpm.normal,IFERROR(INDEX(MASTER!$A:$A,MATCH(_xlpm.pos,MASTER!$H:$H,0))&amp;"_ser_0.20_"&amp;TEXT(INDEX(MASTER!$E:$E,MATCH(_xlpm.pos,MASTER!$H:$H,0)),"mmddyy"),""),_xlpm.slot,96+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25" s="4" t="str">
        <f>_xlfn.LET(_xlpm.pos,"CDI plate 12: "&amp;$A4&amp;C$2,_xlpm.normal,IFERROR(INDEX(MASTER!$A:$A,MATCH(_xlpm.pos,MASTER!$H:$H,0))&amp;"_ser_0.20_"&amp;TEXT(INDEX(MASTER!$E:$E,MATCH(_xlpm.pos,MASTER!$H:$H,0)),"mmddyy"),""),_xlpm.slot,96+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25" s="4" t="str">
        <f>_xlfn.LET(_xlpm.pos,"CDI plate 12: "&amp;$A4&amp;D$2,_xlpm.normal,IFERROR(INDEX(MASTER!$A:$A,MATCH(_xlpm.pos,MASTER!$H:$H,0))&amp;"_ser_0.20_"&amp;TEXT(INDEX(MASTER!$E:$E,MATCH(_xlpm.pos,MASTER!$H:$H,0)),"mmddyy"),""),_xlpm.slot,96+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25" s="4" t="str">
        <f>_xlfn.LET(_xlpm.pos,"CDI plate 12: "&amp;$A4&amp;E$2,_xlpm.normal,IFERROR(INDEX(MASTER!$A:$A,MATCH(_xlpm.pos,MASTER!$H:$H,0))&amp;"_ser_0.20_"&amp;TEXT(INDEX(MASTER!$E:$E,MATCH(_xlpm.pos,MASTER!$H:$H,0)),"mmddyy"),""),_xlpm.slot,96+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25" s="4" t="str">
        <f>_xlfn.LET(_xlpm.pos,"CDI plate 12: "&amp;$A4&amp;F$2,_xlpm.normal,IFERROR(INDEX(MASTER!$A:$A,MATCH(_xlpm.pos,MASTER!$H:$H,0))&amp;"_ser_0.20_"&amp;TEXT(INDEX(MASTER!$E:$E,MATCH(_xlpm.pos,MASTER!$H:$H,0)),"mmddyy"),""),_xlpm.slot,96+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25" s="4" t="str">
        <f>_xlfn.LET(_xlpm.pos,"CDI plate 12: "&amp;$A4&amp;G$2,_xlpm.normal,IFERROR(INDEX(MASTER!$A:$A,MATCH(_xlpm.pos,MASTER!$H:$H,0))&amp;"_ser_0.20_"&amp;TEXT(INDEX(MASTER!$E:$E,MATCH(_xlpm.pos,MASTER!$H:$H,0)),"mmddyy"),""),_xlpm.slot,96+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25" s="4" t="str">
        <f>_xlfn.LET(_xlpm.pos,"CDI plate 12: "&amp;$A4&amp;H$2,_xlpm.normal,IFERROR(INDEX(MASTER!$A:$A,MATCH(_xlpm.pos,MASTER!$H:$H,0))&amp;"_ser_0.20_"&amp;TEXT(INDEX(MASTER!$E:$E,MATCH(_xlpm.pos,MASTER!$H:$H,0)),"mmddyy"),""),_xlpm.slot,96+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25" s="4" t="str">
        <f>_xlfn.LET(_xlpm.pos,"CDI plate 12: "&amp;$A4&amp;I$2,_xlpm.normal,IFERROR(INDEX(MASTER!$A:$A,MATCH(_xlpm.pos,MASTER!$H:$H,0))&amp;"_ser_0.20_"&amp;TEXT(INDEX(MASTER!$E:$E,MATCH(_xlpm.pos,MASTER!$H:$H,0)),"mmddyy"),""),_xlpm.slot,96+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25" s="4" t="str">
        <f>_xlfn.LET(_xlpm.pos,"CDI plate 12: "&amp;$A4&amp;J$2,_xlpm.normal,IFERROR(INDEX(MASTER!$A:$A,MATCH(_xlpm.pos,MASTER!$H:$H,0))&amp;"_ser_0.20_"&amp;TEXT(INDEX(MASTER!$E:$E,MATCH(_xlpm.pos,MASTER!$H:$H,0)),"mmddyy"),""),_xlpm.slot,96+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25" s="4" t="str">
        <f>_xlfn.LET(_xlpm.pos,"CDI plate 12: "&amp;$A4&amp;K$2,_xlpm.normal,IFERROR(INDEX(MASTER!$A:$A,MATCH(_xlpm.pos,MASTER!$H:$H,0))&amp;"_ser_0.20_"&amp;TEXT(INDEX(MASTER!$E:$E,MATCH(_xlpm.pos,MASTER!$H:$H,0)),"mmddyy"),""),_xlpm.slot,96+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25" s="4" t="str">
        <f>_xlfn.LET(_xlpm.pos,"CDI plate 12: "&amp;$A4&amp;L$2,_xlpm.normal,IFERROR(INDEX(MASTER!$A:$A,MATCH(_xlpm.pos,MASTER!$H:$H,0))&amp;"_ser_0.20_"&amp;TEXT(INDEX(MASTER!$E:$E,MATCH(_xlpm.pos,MASTER!$H:$H,0)),"mmddyy"),""),_xlpm.slot,96+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25" s="4" t="str">
        <f>_xlfn.LET(_xlpm.pos,"CDI plate 12: "&amp;$A4&amp;M$2,_xlpm.normal,IFERROR(INDEX(MASTER!$A:$A,MATCH(_xlpm.pos,MASTER!$H:$H,0))&amp;"_ser_0.20_"&amp;TEXT(INDEX(MASTER!$E:$E,MATCH(_xlpm.pos,MASTER!$H:$H,0)),"mmddyy"),""),_xlpm.slot,96+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26" spans="1:13" ht="22" customHeight="1" x14ac:dyDescent="0.3">
      <c r="A126" s="6" t="s">
        <v>32</v>
      </c>
      <c r="B126" s="4" t="str">
        <f>_xlfn.LET(_xlpm.pos,"CDI plate 12: "&amp;$A5&amp;B$2,_xlpm.normal,IFERROR(INDEX(MASTER!$A:$A,MATCH(_xlpm.pos,MASTER!$H:$H,0))&amp;"_ser_0.20_"&amp;TEXT(INDEX(MASTER!$E:$E,MATCH(_xlpm.pos,MASTER!$H:$H,0)),"mmddyy"),""),_xlpm.slot,96+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26" s="4" t="str">
        <f>_xlfn.LET(_xlpm.pos,"CDI plate 12: "&amp;$A5&amp;C$2,_xlpm.normal,IFERROR(INDEX(MASTER!$A:$A,MATCH(_xlpm.pos,MASTER!$H:$H,0))&amp;"_ser_0.20_"&amp;TEXT(INDEX(MASTER!$E:$E,MATCH(_xlpm.pos,MASTER!$H:$H,0)),"mmddyy"),""),_xlpm.slot,96+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26" s="4" t="str">
        <f>_xlfn.LET(_xlpm.pos,"CDI plate 12: "&amp;$A5&amp;D$2,_xlpm.normal,IFERROR(INDEX(MASTER!$A:$A,MATCH(_xlpm.pos,MASTER!$H:$H,0))&amp;"_ser_0.20_"&amp;TEXT(INDEX(MASTER!$E:$E,MATCH(_xlpm.pos,MASTER!$H:$H,0)),"mmddyy"),""),_xlpm.slot,96+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26" s="4" t="str">
        <f>_xlfn.LET(_xlpm.pos,"CDI plate 12: "&amp;$A5&amp;E$2,_xlpm.normal,IFERROR(INDEX(MASTER!$A:$A,MATCH(_xlpm.pos,MASTER!$H:$H,0))&amp;"_ser_0.20_"&amp;TEXT(INDEX(MASTER!$E:$E,MATCH(_xlpm.pos,MASTER!$H:$H,0)),"mmddyy"),""),_xlpm.slot,96+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26" s="4" t="str">
        <f>_xlfn.LET(_xlpm.pos,"CDI plate 12: "&amp;$A5&amp;F$2,_xlpm.normal,IFERROR(INDEX(MASTER!$A:$A,MATCH(_xlpm.pos,MASTER!$H:$H,0))&amp;"_ser_0.20_"&amp;TEXT(INDEX(MASTER!$E:$E,MATCH(_xlpm.pos,MASTER!$H:$H,0)),"mmddyy"),""),_xlpm.slot,96+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26" s="4" t="str">
        <f>_xlfn.LET(_xlpm.pos,"CDI plate 12: "&amp;$A5&amp;G$2,_xlpm.normal,IFERROR(INDEX(MASTER!$A:$A,MATCH(_xlpm.pos,MASTER!$H:$H,0))&amp;"_ser_0.20_"&amp;TEXT(INDEX(MASTER!$E:$E,MATCH(_xlpm.pos,MASTER!$H:$H,0)),"mmddyy"),""),_xlpm.slot,96+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26" s="4" t="str">
        <f>_xlfn.LET(_xlpm.pos,"CDI plate 12: "&amp;$A5&amp;H$2,_xlpm.normal,IFERROR(INDEX(MASTER!$A:$A,MATCH(_xlpm.pos,MASTER!$H:$H,0))&amp;"_ser_0.20_"&amp;TEXT(INDEX(MASTER!$E:$E,MATCH(_xlpm.pos,MASTER!$H:$H,0)),"mmddyy"),""),_xlpm.slot,96+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26" s="4" t="str">
        <f>_xlfn.LET(_xlpm.pos,"CDI plate 12: "&amp;$A5&amp;I$2,_xlpm.normal,IFERROR(INDEX(MASTER!$A:$A,MATCH(_xlpm.pos,MASTER!$H:$H,0))&amp;"_ser_0.20_"&amp;TEXT(INDEX(MASTER!$E:$E,MATCH(_xlpm.pos,MASTER!$H:$H,0)),"mmddyy"),""),_xlpm.slot,96+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26" s="4" t="str">
        <f>_xlfn.LET(_xlpm.pos,"CDI plate 12: "&amp;$A5&amp;J$2,_xlpm.normal,IFERROR(INDEX(MASTER!$A:$A,MATCH(_xlpm.pos,MASTER!$H:$H,0))&amp;"_ser_0.20_"&amp;TEXT(INDEX(MASTER!$E:$E,MATCH(_xlpm.pos,MASTER!$H:$H,0)),"mmddyy"),""),_xlpm.slot,96+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26" s="4" t="str">
        <f>_xlfn.LET(_xlpm.pos,"CDI plate 12: "&amp;$A5&amp;K$2,_xlpm.normal,IFERROR(INDEX(MASTER!$A:$A,MATCH(_xlpm.pos,MASTER!$H:$H,0))&amp;"_ser_0.20_"&amp;TEXT(INDEX(MASTER!$E:$E,MATCH(_xlpm.pos,MASTER!$H:$H,0)),"mmddyy"),""),_xlpm.slot,96+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26" s="4" t="str">
        <f>_xlfn.LET(_xlpm.pos,"CDI plate 12: "&amp;$A5&amp;L$2,_xlpm.normal,IFERROR(INDEX(MASTER!$A:$A,MATCH(_xlpm.pos,MASTER!$H:$H,0))&amp;"_ser_0.20_"&amp;TEXT(INDEX(MASTER!$E:$E,MATCH(_xlpm.pos,MASTER!$H:$H,0)),"mmddyy"),""),_xlpm.slot,96+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26" s="4" t="str">
        <f>_xlfn.LET(_xlpm.pos,"CDI plate 12: "&amp;$A5&amp;M$2,_xlpm.normal,IFERROR(INDEX(MASTER!$A:$A,MATCH(_xlpm.pos,MASTER!$H:$H,0))&amp;"_ser_0.20_"&amp;TEXT(INDEX(MASTER!$E:$E,MATCH(_xlpm.pos,MASTER!$H:$H,0)),"mmddyy"),""),_xlpm.slot,96+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27" spans="1:13" ht="22" customHeight="1" x14ac:dyDescent="0.3">
      <c r="A127" s="6" t="s">
        <v>33</v>
      </c>
      <c r="B127" s="4" t="str">
        <f>_xlfn.LET(_xlpm.pos,"CDI plate 12: "&amp;$A6&amp;B$2,_xlpm.normal,IFERROR(INDEX(MASTER!$A:$A,MATCH(_xlpm.pos,MASTER!$H:$H,0))&amp;"_ser_0.20_"&amp;TEXT(INDEX(MASTER!$E:$E,MATCH(_xlpm.pos,MASTER!$H:$H,0)),"mmddyy"),""),_xlpm.slot,96+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27" s="4" t="str">
        <f>_xlfn.LET(_xlpm.pos,"CDI plate 12: "&amp;$A6&amp;C$2,_xlpm.normal,IFERROR(INDEX(MASTER!$A:$A,MATCH(_xlpm.pos,MASTER!$H:$H,0))&amp;"_ser_0.20_"&amp;TEXT(INDEX(MASTER!$E:$E,MATCH(_xlpm.pos,MASTER!$H:$H,0)),"mmddyy"),""),_xlpm.slot,96+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27" s="4" t="str">
        <f>_xlfn.LET(_xlpm.pos,"CDI plate 12: "&amp;$A6&amp;D$2,_xlpm.normal,IFERROR(INDEX(MASTER!$A:$A,MATCH(_xlpm.pos,MASTER!$H:$H,0))&amp;"_ser_0.20_"&amp;TEXT(INDEX(MASTER!$E:$E,MATCH(_xlpm.pos,MASTER!$H:$H,0)),"mmddyy"),""),_xlpm.slot,96+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27" s="4" t="str">
        <f>_xlfn.LET(_xlpm.pos,"CDI plate 12: "&amp;$A6&amp;E$2,_xlpm.normal,IFERROR(INDEX(MASTER!$A:$A,MATCH(_xlpm.pos,MASTER!$H:$H,0))&amp;"_ser_0.20_"&amp;TEXT(INDEX(MASTER!$E:$E,MATCH(_xlpm.pos,MASTER!$H:$H,0)),"mmddyy"),""),_xlpm.slot,96+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27" s="4" t="str">
        <f>_xlfn.LET(_xlpm.pos,"CDI plate 12: "&amp;$A6&amp;F$2,_xlpm.normal,IFERROR(INDEX(MASTER!$A:$A,MATCH(_xlpm.pos,MASTER!$H:$H,0))&amp;"_ser_0.20_"&amp;TEXT(INDEX(MASTER!$E:$E,MATCH(_xlpm.pos,MASTER!$H:$H,0)),"mmddyy"),""),_xlpm.slot,96+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27" s="4" t="str">
        <f>_xlfn.LET(_xlpm.pos,"CDI plate 12: "&amp;$A6&amp;G$2,_xlpm.normal,IFERROR(INDEX(MASTER!$A:$A,MATCH(_xlpm.pos,MASTER!$H:$H,0))&amp;"_ser_0.20_"&amp;TEXT(INDEX(MASTER!$E:$E,MATCH(_xlpm.pos,MASTER!$H:$H,0)),"mmddyy"),""),_xlpm.slot,96+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27" s="4" t="str">
        <f>_xlfn.LET(_xlpm.pos,"CDI plate 12: "&amp;$A6&amp;H$2,_xlpm.normal,IFERROR(INDEX(MASTER!$A:$A,MATCH(_xlpm.pos,MASTER!$H:$H,0))&amp;"_ser_0.20_"&amp;TEXT(INDEX(MASTER!$E:$E,MATCH(_xlpm.pos,MASTER!$H:$H,0)),"mmddyy"),""),_xlpm.slot,96+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27" s="4" t="str">
        <f>_xlfn.LET(_xlpm.pos,"CDI plate 12: "&amp;$A6&amp;I$2,_xlpm.normal,IFERROR(INDEX(MASTER!$A:$A,MATCH(_xlpm.pos,MASTER!$H:$H,0))&amp;"_ser_0.20_"&amp;TEXT(INDEX(MASTER!$E:$E,MATCH(_xlpm.pos,MASTER!$H:$H,0)),"mmddyy"),""),_xlpm.slot,96+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27" s="4" t="str">
        <f>_xlfn.LET(_xlpm.pos,"CDI plate 12: "&amp;$A6&amp;J$2,_xlpm.normal,IFERROR(INDEX(MASTER!$A:$A,MATCH(_xlpm.pos,MASTER!$H:$H,0))&amp;"_ser_0.20_"&amp;TEXT(INDEX(MASTER!$E:$E,MATCH(_xlpm.pos,MASTER!$H:$H,0)),"mmddyy"),""),_xlpm.slot,96+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27" s="4" t="str">
        <f>_xlfn.LET(_xlpm.pos,"CDI plate 12: "&amp;$A6&amp;K$2,_xlpm.normal,IFERROR(INDEX(MASTER!$A:$A,MATCH(_xlpm.pos,MASTER!$H:$H,0))&amp;"_ser_0.20_"&amp;TEXT(INDEX(MASTER!$E:$E,MATCH(_xlpm.pos,MASTER!$H:$H,0)),"mmddyy"),""),_xlpm.slot,96+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27" s="4" t="str">
        <f>_xlfn.LET(_xlpm.pos,"CDI plate 12: "&amp;$A6&amp;L$2,_xlpm.normal,IFERROR(INDEX(MASTER!$A:$A,MATCH(_xlpm.pos,MASTER!$H:$H,0))&amp;"_ser_0.20_"&amp;TEXT(INDEX(MASTER!$E:$E,MATCH(_xlpm.pos,MASTER!$H:$H,0)),"mmddyy"),""),_xlpm.slot,96+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27" s="4" t="str">
        <f>_xlfn.LET(_xlpm.pos,"CDI plate 12: "&amp;$A6&amp;M$2,_xlpm.normal,IFERROR(INDEX(MASTER!$A:$A,MATCH(_xlpm.pos,MASTER!$H:$H,0))&amp;"_ser_0.20_"&amp;TEXT(INDEX(MASTER!$E:$E,MATCH(_xlpm.pos,MASTER!$H:$H,0)),"mmddyy"),""),_xlpm.slot,96+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28" spans="1:13" ht="22" customHeight="1" x14ac:dyDescent="0.3">
      <c r="A128" s="6" t="s">
        <v>34</v>
      </c>
      <c r="B128" s="4" t="str">
        <f>_xlfn.LET(_xlpm.pos,"CDI plate 12: "&amp;$A7&amp;B$2,_xlpm.normal,IFERROR(INDEX(MASTER!$A:$A,MATCH(_xlpm.pos,MASTER!$H:$H,0))&amp;"_ser_0.20_"&amp;TEXT(INDEX(MASTER!$E:$E,MATCH(_xlpm.pos,MASTER!$H:$H,0)),"mmddyy"),""),_xlpm.slot,96+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28" s="4" t="str">
        <f>_xlfn.LET(_xlpm.pos,"CDI plate 12: "&amp;$A7&amp;C$2,_xlpm.normal,IFERROR(INDEX(MASTER!$A:$A,MATCH(_xlpm.pos,MASTER!$H:$H,0))&amp;"_ser_0.20_"&amp;TEXT(INDEX(MASTER!$E:$E,MATCH(_xlpm.pos,MASTER!$H:$H,0)),"mmddyy"),""),_xlpm.slot,96+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28" s="4" t="str">
        <f>_xlfn.LET(_xlpm.pos,"CDI plate 12: "&amp;$A7&amp;D$2,_xlpm.normal,IFERROR(INDEX(MASTER!$A:$A,MATCH(_xlpm.pos,MASTER!$H:$H,0))&amp;"_ser_0.20_"&amp;TEXT(INDEX(MASTER!$E:$E,MATCH(_xlpm.pos,MASTER!$H:$H,0)),"mmddyy"),""),_xlpm.slot,96+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28" s="4" t="str">
        <f>_xlfn.LET(_xlpm.pos,"CDI plate 12: "&amp;$A7&amp;E$2,_xlpm.normal,IFERROR(INDEX(MASTER!$A:$A,MATCH(_xlpm.pos,MASTER!$H:$H,0))&amp;"_ser_0.20_"&amp;TEXT(INDEX(MASTER!$E:$E,MATCH(_xlpm.pos,MASTER!$H:$H,0)),"mmddyy"),""),_xlpm.slot,96+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28" s="4" t="str">
        <f>_xlfn.LET(_xlpm.pos,"CDI plate 12: "&amp;$A7&amp;F$2,_xlpm.normal,IFERROR(INDEX(MASTER!$A:$A,MATCH(_xlpm.pos,MASTER!$H:$H,0))&amp;"_ser_0.20_"&amp;TEXT(INDEX(MASTER!$E:$E,MATCH(_xlpm.pos,MASTER!$H:$H,0)),"mmddyy"),""),_xlpm.slot,96+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28" s="4" t="str">
        <f>_xlfn.LET(_xlpm.pos,"CDI plate 12: "&amp;$A7&amp;G$2,_xlpm.normal,IFERROR(INDEX(MASTER!$A:$A,MATCH(_xlpm.pos,MASTER!$H:$H,0))&amp;"_ser_0.20_"&amp;TEXT(INDEX(MASTER!$E:$E,MATCH(_xlpm.pos,MASTER!$H:$H,0)),"mmddyy"),""),_xlpm.slot,96+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28" s="4" t="str">
        <f>_xlfn.LET(_xlpm.pos,"CDI plate 12: "&amp;$A7&amp;H$2,_xlpm.normal,IFERROR(INDEX(MASTER!$A:$A,MATCH(_xlpm.pos,MASTER!$H:$H,0))&amp;"_ser_0.20_"&amp;TEXT(INDEX(MASTER!$E:$E,MATCH(_xlpm.pos,MASTER!$H:$H,0)),"mmddyy"),""),_xlpm.slot,96+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28" s="4" t="str">
        <f>_xlfn.LET(_xlpm.pos,"CDI plate 12: "&amp;$A7&amp;I$2,_xlpm.normal,IFERROR(INDEX(MASTER!$A:$A,MATCH(_xlpm.pos,MASTER!$H:$H,0))&amp;"_ser_0.20_"&amp;TEXT(INDEX(MASTER!$E:$E,MATCH(_xlpm.pos,MASTER!$H:$H,0)),"mmddyy"),""),_xlpm.slot,96+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28" s="4" t="str">
        <f>_xlfn.LET(_xlpm.pos,"CDI plate 12: "&amp;$A7&amp;J$2,_xlpm.normal,IFERROR(INDEX(MASTER!$A:$A,MATCH(_xlpm.pos,MASTER!$H:$H,0))&amp;"_ser_0.20_"&amp;TEXT(INDEX(MASTER!$E:$E,MATCH(_xlpm.pos,MASTER!$H:$H,0)),"mmddyy"),""),_xlpm.slot,96+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28" s="4" t="str">
        <f>_xlfn.LET(_xlpm.pos,"CDI plate 12: "&amp;$A7&amp;K$2,_xlpm.normal,IFERROR(INDEX(MASTER!$A:$A,MATCH(_xlpm.pos,MASTER!$H:$H,0))&amp;"_ser_0.20_"&amp;TEXT(INDEX(MASTER!$E:$E,MATCH(_xlpm.pos,MASTER!$H:$H,0)),"mmddyy"),""),_xlpm.slot,96+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28" s="4" t="str">
        <f>_xlfn.LET(_xlpm.pos,"CDI plate 12: "&amp;$A7&amp;L$2,_xlpm.normal,IFERROR(INDEX(MASTER!$A:$A,MATCH(_xlpm.pos,MASTER!$H:$H,0))&amp;"_ser_0.20_"&amp;TEXT(INDEX(MASTER!$E:$E,MATCH(_xlpm.pos,MASTER!$H:$H,0)),"mmddyy"),""),_xlpm.slot,96+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28" s="4" t="str">
        <f>_xlfn.LET(_xlpm.pos,"CDI plate 12: "&amp;$A7&amp;M$2,_xlpm.normal,IFERROR(INDEX(MASTER!$A:$A,MATCH(_xlpm.pos,MASTER!$H:$H,0))&amp;"_ser_0.20_"&amp;TEXT(INDEX(MASTER!$E:$E,MATCH(_xlpm.pos,MASTER!$H:$H,0)),"mmddyy"),""),_xlpm.slot,96+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29" spans="1:13" ht="22" customHeight="1" x14ac:dyDescent="0.3">
      <c r="A129" s="6" t="s">
        <v>15</v>
      </c>
      <c r="B129" s="4" t="str">
        <f>_xlfn.LET(_xlpm.pos,"CDI plate 12: "&amp;$A8&amp;B$2,_xlpm.normal,IFERROR(INDEX(MASTER!$A:$A,MATCH(_xlpm.pos,MASTER!$H:$H,0))&amp;"_ser_0.20_"&amp;TEXT(INDEX(MASTER!$E:$E,MATCH(_xlpm.pos,MASTER!$H:$H,0)),"mmddyy"),""),_xlpm.slot,96+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29" s="4" t="str">
        <f>_xlfn.LET(_xlpm.pos,"CDI plate 12: "&amp;$A8&amp;C$2,_xlpm.normal,IFERROR(INDEX(MASTER!$A:$A,MATCH(_xlpm.pos,MASTER!$H:$H,0))&amp;"_ser_0.20_"&amp;TEXT(INDEX(MASTER!$E:$E,MATCH(_xlpm.pos,MASTER!$H:$H,0)),"mmddyy"),""),_xlpm.slot,96+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29" s="4" t="str">
        <f>_xlfn.LET(_xlpm.pos,"CDI plate 12: "&amp;$A8&amp;D$2,_xlpm.normal,IFERROR(INDEX(MASTER!$A:$A,MATCH(_xlpm.pos,MASTER!$H:$H,0))&amp;"_ser_0.20_"&amp;TEXT(INDEX(MASTER!$E:$E,MATCH(_xlpm.pos,MASTER!$H:$H,0)),"mmddyy"),""),_xlpm.slot,96+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29" s="4" t="str">
        <f>_xlfn.LET(_xlpm.pos,"CDI plate 12: "&amp;$A8&amp;E$2,_xlpm.normal,IFERROR(INDEX(MASTER!$A:$A,MATCH(_xlpm.pos,MASTER!$H:$H,0))&amp;"_ser_0.20_"&amp;TEXT(INDEX(MASTER!$E:$E,MATCH(_xlpm.pos,MASTER!$H:$H,0)),"mmddyy"),""),_xlpm.slot,96+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29" s="4" t="str">
        <f>_xlfn.LET(_xlpm.pos,"CDI plate 12: "&amp;$A8&amp;F$2,_xlpm.normal,IFERROR(INDEX(MASTER!$A:$A,MATCH(_xlpm.pos,MASTER!$H:$H,0))&amp;"_ser_0.20_"&amp;TEXT(INDEX(MASTER!$E:$E,MATCH(_xlpm.pos,MASTER!$H:$H,0)),"mmddyy"),""),_xlpm.slot,96+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29" s="4" t="str">
        <f>_xlfn.LET(_xlpm.pos,"CDI plate 12: "&amp;$A8&amp;G$2,_xlpm.normal,IFERROR(INDEX(MASTER!$A:$A,MATCH(_xlpm.pos,MASTER!$H:$H,0))&amp;"_ser_0.20_"&amp;TEXT(INDEX(MASTER!$E:$E,MATCH(_xlpm.pos,MASTER!$H:$H,0)),"mmddyy"),""),_xlpm.slot,96+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29" s="4" t="str">
        <f>_xlfn.LET(_xlpm.pos,"CDI plate 12: "&amp;$A8&amp;H$2,_xlpm.normal,IFERROR(INDEX(MASTER!$A:$A,MATCH(_xlpm.pos,MASTER!$H:$H,0))&amp;"_ser_0.20_"&amp;TEXT(INDEX(MASTER!$E:$E,MATCH(_xlpm.pos,MASTER!$H:$H,0)),"mmddyy"),""),_xlpm.slot,96+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29" s="4" t="str">
        <f>_xlfn.LET(_xlpm.pos,"CDI plate 12: "&amp;$A8&amp;I$2,_xlpm.normal,IFERROR(INDEX(MASTER!$A:$A,MATCH(_xlpm.pos,MASTER!$H:$H,0))&amp;"_ser_0.20_"&amp;TEXT(INDEX(MASTER!$E:$E,MATCH(_xlpm.pos,MASTER!$H:$H,0)),"mmddyy"),""),_xlpm.slot,96+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29" s="4" t="str">
        <f>_xlfn.LET(_xlpm.pos,"CDI plate 12: "&amp;$A8&amp;J$2,_xlpm.normal,IFERROR(INDEX(MASTER!$A:$A,MATCH(_xlpm.pos,MASTER!$H:$H,0))&amp;"_ser_0.20_"&amp;TEXT(INDEX(MASTER!$E:$E,MATCH(_xlpm.pos,MASTER!$H:$H,0)),"mmddyy"),""),_xlpm.slot,96+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29" s="4" t="str">
        <f>_xlfn.LET(_xlpm.pos,"CDI plate 12: "&amp;$A8&amp;K$2,_xlpm.normal,IFERROR(INDEX(MASTER!$A:$A,MATCH(_xlpm.pos,MASTER!$H:$H,0))&amp;"_ser_0.20_"&amp;TEXT(INDEX(MASTER!$E:$E,MATCH(_xlpm.pos,MASTER!$H:$H,0)),"mmddyy"),""),_xlpm.slot,96+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29" s="4" t="str">
        <f>_xlfn.LET(_xlpm.pos,"CDI plate 12: "&amp;$A8&amp;L$2,_xlpm.normal,IFERROR(INDEX(MASTER!$A:$A,MATCH(_xlpm.pos,MASTER!$H:$H,0))&amp;"_ser_0.20_"&amp;TEXT(INDEX(MASTER!$E:$E,MATCH(_xlpm.pos,MASTER!$H:$H,0)),"mmddyy"),""),_xlpm.slot,96+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29" s="4" t="str">
        <f>_xlfn.LET(_xlpm.pos,"CDI plate 12: "&amp;$A8&amp;M$2,_xlpm.normal,IFERROR(INDEX(MASTER!$A:$A,MATCH(_xlpm.pos,MASTER!$H:$H,0))&amp;"_ser_0.20_"&amp;TEXT(INDEX(MASTER!$E:$E,MATCH(_xlpm.pos,MASTER!$H:$H,0)),"mmddyy"),""),_xlpm.slot,96+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30" spans="1:13" ht="22" customHeight="1" x14ac:dyDescent="0.3">
      <c r="A130" s="6" t="s">
        <v>35</v>
      </c>
      <c r="B130" s="4" t="str">
        <f>_xlfn.LET(_xlpm.pos,"CDI plate 12: "&amp;$A9&amp;B$2,_xlpm.normal,IFERROR(INDEX(MASTER!$A:$A,MATCH(_xlpm.pos,MASTER!$H:$H,0))&amp;"_ser_0.20_"&amp;TEXT(INDEX(MASTER!$E:$E,MATCH(_xlpm.pos,MASTER!$H:$H,0)),"mmddyy"),""),_xlpm.slot,96+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30" s="4" t="str">
        <f>_xlfn.LET(_xlpm.pos,"CDI plate 12: "&amp;$A9&amp;C$2,_xlpm.normal,IFERROR(INDEX(MASTER!$A:$A,MATCH(_xlpm.pos,MASTER!$H:$H,0))&amp;"_ser_0.20_"&amp;TEXT(INDEX(MASTER!$E:$E,MATCH(_xlpm.pos,MASTER!$H:$H,0)),"mmddyy"),""),_xlpm.slot,96+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30" s="4" t="str">
        <f>_xlfn.LET(_xlpm.pos,"CDI plate 12: "&amp;$A9&amp;D$2,_xlpm.normal,IFERROR(INDEX(MASTER!$A:$A,MATCH(_xlpm.pos,MASTER!$H:$H,0))&amp;"_ser_0.20_"&amp;TEXT(INDEX(MASTER!$E:$E,MATCH(_xlpm.pos,MASTER!$H:$H,0)),"mmddyy"),""),_xlpm.slot,96+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30" s="4" t="str">
        <f>_xlfn.LET(_xlpm.pos,"CDI plate 12: "&amp;$A9&amp;E$2,_xlpm.normal,IFERROR(INDEX(MASTER!$A:$A,MATCH(_xlpm.pos,MASTER!$H:$H,0))&amp;"_ser_0.20_"&amp;TEXT(INDEX(MASTER!$E:$E,MATCH(_xlpm.pos,MASTER!$H:$H,0)),"mmddyy"),""),_xlpm.slot,96+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30" s="4" t="str">
        <f>_xlfn.LET(_xlpm.pos,"CDI plate 12: "&amp;$A9&amp;F$2,_xlpm.normal,IFERROR(INDEX(MASTER!$A:$A,MATCH(_xlpm.pos,MASTER!$H:$H,0))&amp;"_ser_0.20_"&amp;TEXT(INDEX(MASTER!$E:$E,MATCH(_xlpm.pos,MASTER!$H:$H,0)),"mmddyy"),""),_xlpm.slot,96+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30" s="4" t="str">
        <f>_xlfn.LET(_xlpm.pos,"CDI plate 12: "&amp;$A9&amp;G$2,_xlpm.normal,IFERROR(INDEX(MASTER!$A:$A,MATCH(_xlpm.pos,MASTER!$H:$H,0))&amp;"_ser_0.20_"&amp;TEXT(INDEX(MASTER!$E:$E,MATCH(_xlpm.pos,MASTER!$H:$H,0)),"mmddyy"),""),_xlpm.slot,96+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30" s="4" t="str">
        <f>_xlfn.LET(_xlpm.pos,"CDI plate 12: "&amp;$A9&amp;H$2,_xlpm.normal,IFERROR(INDEX(MASTER!$A:$A,MATCH(_xlpm.pos,MASTER!$H:$H,0))&amp;"_ser_0.20_"&amp;TEXT(INDEX(MASTER!$E:$E,MATCH(_xlpm.pos,MASTER!$H:$H,0)),"mmddyy"),""),_xlpm.slot,96+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30" s="4" t="str">
        <f>_xlfn.LET(_xlpm.pos,"CDI plate 12: "&amp;$A9&amp;I$2,_xlpm.normal,IFERROR(INDEX(MASTER!$A:$A,MATCH(_xlpm.pos,MASTER!$H:$H,0))&amp;"_ser_0.20_"&amp;TEXT(INDEX(MASTER!$E:$E,MATCH(_xlpm.pos,MASTER!$H:$H,0)),"mmddyy"),""),_xlpm.slot,96+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30" s="4" t="str">
        <f>_xlfn.LET(_xlpm.pos,"CDI plate 12: "&amp;$A9&amp;J$2,_xlpm.normal,IFERROR(INDEX(MASTER!$A:$A,MATCH(_xlpm.pos,MASTER!$H:$H,0))&amp;"_ser_0.20_"&amp;TEXT(INDEX(MASTER!$E:$E,MATCH(_xlpm.pos,MASTER!$H:$H,0)),"mmddyy"),""),_xlpm.slot,96+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30" s="4" t="str">
        <f>_xlfn.LET(_xlpm.pos,"CDI plate 12: "&amp;$A9&amp;K$2,_xlpm.normal,IFERROR(INDEX(MASTER!$A:$A,MATCH(_xlpm.pos,MASTER!$H:$H,0))&amp;"_ser_0.20_"&amp;TEXT(INDEX(MASTER!$E:$E,MATCH(_xlpm.pos,MASTER!$H:$H,0)),"mmddyy"),""),_xlpm.slot,96+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30" s="4" t="str">
        <f>_xlfn.LET(_xlpm.pos,"CDI plate 12: "&amp;$A9&amp;L$2,_xlpm.normal,IFERROR(INDEX(MASTER!$A:$A,MATCH(_xlpm.pos,MASTER!$H:$H,0))&amp;"_ser_0.20_"&amp;TEXT(INDEX(MASTER!$E:$E,MATCH(_xlpm.pos,MASTER!$H:$H,0)),"mmddyy"),""),_xlpm.slot,96+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30" s="4" t="str">
        <f>_xlfn.LET(_xlpm.pos,"CDI plate 12: "&amp;$A9&amp;M$2,_xlpm.normal,IFERROR(INDEX(MASTER!$A:$A,MATCH(_xlpm.pos,MASTER!$H:$H,0))&amp;"_ser_0.20_"&amp;TEXT(INDEX(MASTER!$E:$E,MATCH(_xlpm.pos,MASTER!$H:$H,0)),"mmddyy"),""),_xlpm.slot,96+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31" spans="1:13" ht="22" customHeight="1" x14ac:dyDescent="0.3">
      <c r="A131" s="6" t="s">
        <v>36</v>
      </c>
      <c r="B131" s="4" t="str">
        <f>_xlfn.LET(_xlpm.pos,"CDI plate 12: "&amp;$A10&amp;B$2,_xlpm.normal,IFERROR(INDEX(MASTER!$A:$A,MATCH(_xlpm.pos,MASTER!$H:$H,0))&amp;"_ser_0.20_"&amp;TEXT(INDEX(MASTER!$E:$E,MATCH(_xlpm.pos,MASTER!$H:$H,0)),"mmddyy"),""),_xlpm.slot,96+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31" s="4" t="str">
        <f>_xlfn.LET(_xlpm.pos,"CDI plate 12: "&amp;$A10&amp;C$2,_xlpm.normal,IFERROR(INDEX(MASTER!$A:$A,MATCH(_xlpm.pos,MASTER!$H:$H,0))&amp;"_ser_0.20_"&amp;TEXT(INDEX(MASTER!$E:$E,MATCH(_xlpm.pos,MASTER!$H:$H,0)),"mmddyy"),""),_xlpm.slot,96+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31" s="4" t="str">
        <f>_xlfn.LET(_xlpm.pos,"CDI plate 12: "&amp;$A10&amp;D$2,_xlpm.normal,IFERROR(INDEX(MASTER!$A:$A,MATCH(_xlpm.pos,MASTER!$H:$H,0))&amp;"_ser_0.20_"&amp;TEXT(INDEX(MASTER!$E:$E,MATCH(_xlpm.pos,MASTER!$H:$H,0)),"mmddyy"),""),_xlpm.slot,96+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31" s="4" t="str">
        <f>_xlfn.LET(_xlpm.pos,"CDI plate 12: "&amp;$A10&amp;E$2,_xlpm.normal,IFERROR(INDEX(MASTER!$A:$A,MATCH(_xlpm.pos,MASTER!$H:$H,0))&amp;"_ser_0.20_"&amp;TEXT(INDEX(MASTER!$E:$E,MATCH(_xlpm.pos,MASTER!$H:$H,0)),"mmddyy"),""),_xlpm.slot,96+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31" s="4" t="str">
        <f>_xlfn.LET(_xlpm.pos,"CDI plate 12: "&amp;$A10&amp;F$2,_xlpm.normal,IFERROR(INDEX(MASTER!$A:$A,MATCH(_xlpm.pos,MASTER!$H:$H,0))&amp;"_ser_0.20_"&amp;TEXT(INDEX(MASTER!$E:$E,MATCH(_xlpm.pos,MASTER!$H:$H,0)),"mmddyy"),""),_xlpm.slot,96+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31" s="4" t="str">
        <f>_xlfn.LET(_xlpm.pos,"CDI plate 12: "&amp;$A10&amp;G$2,_xlpm.normal,IFERROR(INDEX(MASTER!$A:$A,MATCH(_xlpm.pos,MASTER!$H:$H,0))&amp;"_ser_0.20_"&amp;TEXT(INDEX(MASTER!$E:$E,MATCH(_xlpm.pos,MASTER!$H:$H,0)),"mmddyy"),""),_xlpm.slot,96+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31" s="4" t="str">
        <f>_xlfn.LET(_xlpm.pos,"CDI plate 12: "&amp;$A10&amp;H$2,_xlpm.normal,IFERROR(INDEX(MASTER!$A:$A,MATCH(_xlpm.pos,MASTER!$H:$H,0))&amp;"_ser_0.20_"&amp;TEXT(INDEX(MASTER!$E:$E,MATCH(_xlpm.pos,MASTER!$H:$H,0)),"mmddyy"),""),_xlpm.slot,96+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31" s="4" t="str">
        <f>_xlfn.LET(_xlpm.pos,"CDI plate 12: "&amp;$A10&amp;I$2,_xlpm.normal,IFERROR(INDEX(MASTER!$A:$A,MATCH(_xlpm.pos,MASTER!$H:$H,0))&amp;"_ser_0.20_"&amp;TEXT(INDEX(MASTER!$E:$E,MATCH(_xlpm.pos,MASTER!$H:$H,0)),"mmddyy"),""),_xlpm.slot,96+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31" s="4" t="str">
        <f>_xlfn.LET(_xlpm.pos,"CDI plate 12: "&amp;$A10&amp;J$2,_xlpm.normal,IFERROR(INDEX(MASTER!$A:$A,MATCH(_xlpm.pos,MASTER!$H:$H,0))&amp;"_ser_0.20_"&amp;TEXT(INDEX(MASTER!$E:$E,MATCH(_xlpm.pos,MASTER!$H:$H,0)),"mmddyy"),""),_xlpm.slot,96+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31" s="4" t="str">
        <f>_xlfn.LET(_xlpm.pos,"CDI plate 12: "&amp;$A10&amp;K$2,_xlpm.normal,IFERROR(INDEX(MASTER!$A:$A,MATCH(_xlpm.pos,MASTER!$H:$H,0))&amp;"_ser_0.20_"&amp;TEXT(INDEX(MASTER!$E:$E,MATCH(_xlpm.pos,MASTER!$H:$H,0)),"mmddyy"),""),_xlpm.slot,96+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31" s="4" t="str">
        <f>_xlfn.LET(_xlpm.pos,"CDI plate 12: "&amp;$A10&amp;L$2,_xlpm.normal,IFERROR(INDEX(MASTER!$A:$A,MATCH(_xlpm.pos,MASTER!$H:$H,0))&amp;"_ser_0.20_"&amp;TEXT(INDEX(MASTER!$E:$E,MATCH(_xlpm.pos,MASTER!$H:$H,0)),"mmddyy"),""),_xlpm.slot,96+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31" s="4" t="str">
        <f>_xlfn.LET(_xlpm.pos,"CDI plate 12: "&amp;$A10&amp;M$2,_xlpm.normal,IFERROR(INDEX(MASTER!$A:$A,MATCH(_xlpm.pos,MASTER!$H:$H,0))&amp;"_ser_0.20_"&amp;TEXT(INDEX(MASTER!$E:$E,MATCH(_xlpm.pos,MASTER!$H:$H,0)),"mmddyy"),""),_xlpm.slot,96+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32" spans="1:13" ht="22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spans="1:13" ht="22" customHeight="1" x14ac:dyDescent="0.35">
      <c r="A133" s="5"/>
      <c r="B133" s="31" t="s">
        <v>48</v>
      </c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3"/>
    </row>
    <row r="134" spans="1:13" ht="22" customHeight="1" x14ac:dyDescent="0.3">
      <c r="A134" s="5"/>
      <c r="B134" s="6">
        <v>1</v>
      </c>
      <c r="C134" s="6">
        <v>2</v>
      </c>
      <c r="D134" s="6">
        <v>3</v>
      </c>
      <c r="E134" s="6">
        <v>4</v>
      </c>
      <c r="F134" s="6">
        <v>5</v>
      </c>
      <c r="G134" s="6">
        <v>6</v>
      </c>
      <c r="H134" s="6">
        <v>7</v>
      </c>
      <c r="I134" s="6">
        <v>8</v>
      </c>
      <c r="J134" s="6">
        <v>9</v>
      </c>
      <c r="K134" s="6">
        <v>10</v>
      </c>
      <c r="L134" s="6">
        <v>11</v>
      </c>
      <c r="M134" s="6">
        <v>12</v>
      </c>
    </row>
    <row r="135" spans="1:13" ht="22" customHeight="1" x14ac:dyDescent="0.3">
      <c r="A135" s="6" t="s">
        <v>30</v>
      </c>
      <c r="B135" s="4" t="str">
        <f>_xlfn.LET(_xlpm.pos,"CDI plate 13: "&amp;$A3&amp;B$2,_xlpm.normal,IFERROR(INDEX(MASTER!$A:$A,MATCH(_xlpm.pos,MASTER!$H:$H,0))&amp;"_ser_0.20_"&amp;TEXT(INDEX(MASTER!$E:$E,MATCH(_xlpm.pos,MASTER!$H:$H,0)),"mmddyy"),""),_xlpm.slot,96+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35" s="4" t="str">
        <f>_xlfn.LET(_xlpm.pos,"CDI plate 13: "&amp;$A3&amp;C$2,_xlpm.normal,IFERROR(INDEX(MASTER!$A:$A,MATCH(_xlpm.pos,MASTER!$H:$H,0))&amp;"_ser_0.20_"&amp;TEXT(INDEX(MASTER!$E:$E,MATCH(_xlpm.pos,MASTER!$H:$H,0)),"mmddyy"),""),_xlpm.slot,96+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35" s="4" t="str">
        <f>_xlfn.LET(_xlpm.pos,"CDI plate 13: "&amp;$A3&amp;D$2,_xlpm.normal,IFERROR(INDEX(MASTER!$A:$A,MATCH(_xlpm.pos,MASTER!$H:$H,0))&amp;"_ser_0.20_"&amp;TEXT(INDEX(MASTER!$E:$E,MATCH(_xlpm.pos,MASTER!$H:$H,0)),"mmddyy"),""),_xlpm.slot,96+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35" s="4" t="str">
        <f>_xlfn.LET(_xlpm.pos,"CDI plate 13: "&amp;$A3&amp;E$2,_xlpm.normal,IFERROR(INDEX(MASTER!$A:$A,MATCH(_xlpm.pos,MASTER!$H:$H,0))&amp;"_ser_0.20_"&amp;TEXT(INDEX(MASTER!$E:$E,MATCH(_xlpm.pos,MASTER!$H:$H,0)),"mmddyy"),""),_xlpm.slot,96+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35" s="4" t="str">
        <f>_xlfn.LET(_xlpm.pos,"CDI plate 13: "&amp;$A3&amp;F$2,_xlpm.normal,IFERROR(INDEX(MASTER!$A:$A,MATCH(_xlpm.pos,MASTER!$H:$H,0))&amp;"_ser_0.20_"&amp;TEXT(INDEX(MASTER!$E:$E,MATCH(_xlpm.pos,MASTER!$H:$H,0)),"mmddyy"),""),_xlpm.slot,96+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35" s="4" t="str">
        <f>_xlfn.LET(_xlpm.pos,"CDI plate 13: "&amp;$A3&amp;G$2,_xlpm.normal,IFERROR(INDEX(MASTER!$A:$A,MATCH(_xlpm.pos,MASTER!$H:$H,0))&amp;"_ser_0.20_"&amp;TEXT(INDEX(MASTER!$E:$E,MATCH(_xlpm.pos,MASTER!$H:$H,0)),"mmddyy"),""),_xlpm.slot,96+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35" s="4" t="str">
        <f>_xlfn.LET(_xlpm.pos,"CDI plate 13: "&amp;$A3&amp;H$2,_xlpm.normal,IFERROR(INDEX(MASTER!$A:$A,MATCH(_xlpm.pos,MASTER!$H:$H,0))&amp;"_ser_0.20_"&amp;TEXT(INDEX(MASTER!$E:$E,MATCH(_xlpm.pos,MASTER!$H:$H,0)),"mmddyy"),""),_xlpm.slot,96+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35" s="4" t="str">
        <f>_xlfn.LET(_xlpm.pos,"CDI plate 13: "&amp;$A3&amp;I$2,_xlpm.normal,IFERROR(INDEX(MASTER!$A:$A,MATCH(_xlpm.pos,MASTER!$H:$H,0))&amp;"_ser_0.20_"&amp;TEXT(INDEX(MASTER!$E:$E,MATCH(_xlpm.pos,MASTER!$H:$H,0)),"mmddyy"),""),_xlpm.slot,96+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35" s="4" t="str">
        <f>_xlfn.LET(_xlpm.pos,"CDI plate 13: "&amp;$A3&amp;J$2,_xlpm.normal,IFERROR(INDEX(MASTER!$A:$A,MATCH(_xlpm.pos,MASTER!$H:$H,0))&amp;"_ser_0.20_"&amp;TEXT(INDEX(MASTER!$E:$E,MATCH(_xlpm.pos,MASTER!$H:$H,0)),"mmddyy"),""),_xlpm.slot,96+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35" s="4" t="str">
        <f>_xlfn.LET(_xlpm.pos,"CDI plate 13: "&amp;$A3&amp;K$2,_xlpm.normal,IFERROR(INDEX(MASTER!$A:$A,MATCH(_xlpm.pos,MASTER!$H:$H,0))&amp;"_ser_0.20_"&amp;TEXT(INDEX(MASTER!$E:$E,MATCH(_xlpm.pos,MASTER!$H:$H,0)),"mmddyy"),""),_xlpm.slot,96+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35" s="4" t="str">
        <f>_xlfn.LET(_xlpm.pos,"CDI plate 13: "&amp;$A3&amp;L$2,_xlpm.normal,IFERROR(INDEX(MASTER!$A:$A,MATCH(_xlpm.pos,MASTER!$H:$H,0))&amp;"_ser_0.20_"&amp;TEXT(INDEX(MASTER!$E:$E,MATCH(_xlpm.pos,MASTER!$H:$H,0)),"mmddyy"),""),_xlpm.slot,96+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35" s="4" t="str">
        <f>_xlfn.LET(_xlpm.pos,"CDI plate 13: "&amp;$A3&amp;M$2,_xlpm.normal,IFERROR(INDEX(MASTER!$A:$A,MATCH(_xlpm.pos,MASTER!$H:$H,0))&amp;"_ser_0.20_"&amp;TEXT(INDEX(MASTER!$E:$E,MATCH(_xlpm.pos,MASTER!$H:$H,0)),"mmddyy"),""),_xlpm.slot,96+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36" spans="1:13" ht="22" customHeight="1" x14ac:dyDescent="0.3">
      <c r="A136" s="6" t="s">
        <v>31</v>
      </c>
      <c r="B136" s="4" t="str">
        <f>_xlfn.LET(_xlpm.pos,"CDI plate 13: "&amp;$A4&amp;B$2,_xlpm.normal,IFERROR(INDEX(MASTER!$A:$A,MATCH(_xlpm.pos,MASTER!$H:$H,0))&amp;"_ser_0.20_"&amp;TEXT(INDEX(MASTER!$E:$E,MATCH(_xlpm.pos,MASTER!$H:$H,0)),"mmddyy"),""),_xlpm.slot,96+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36" s="4" t="str">
        <f>_xlfn.LET(_xlpm.pos,"CDI plate 13: "&amp;$A4&amp;C$2,_xlpm.normal,IFERROR(INDEX(MASTER!$A:$A,MATCH(_xlpm.pos,MASTER!$H:$H,0))&amp;"_ser_0.20_"&amp;TEXT(INDEX(MASTER!$E:$E,MATCH(_xlpm.pos,MASTER!$H:$H,0)),"mmddyy"),""),_xlpm.slot,96+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36" s="4" t="str">
        <f>_xlfn.LET(_xlpm.pos,"CDI plate 13: "&amp;$A4&amp;D$2,_xlpm.normal,IFERROR(INDEX(MASTER!$A:$A,MATCH(_xlpm.pos,MASTER!$H:$H,0))&amp;"_ser_0.20_"&amp;TEXT(INDEX(MASTER!$E:$E,MATCH(_xlpm.pos,MASTER!$H:$H,0)),"mmddyy"),""),_xlpm.slot,96+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36" s="4" t="str">
        <f>_xlfn.LET(_xlpm.pos,"CDI plate 13: "&amp;$A4&amp;E$2,_xlpm.normal,IFERROR(INDEX(MASTER!$A:$A,MATCH(_xlpm.pos,MASTER!$H:$H,0))&amp;"_ser_0.20_"&amp;TEXT(INDEX(MASTER!$E:$E,MATCH(_xlpm.pos,MASTER!$H:$H,0)),"mmddyy"),""),_xlpm.slot,96+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36" s="4" t="str">
        <f>_xlfn.LET(_xlpm.pos,"CDI plate 13: "&amp;$A4&amp;F$2,_xlpm.normal,IFERROR(INDEX(MASTER!$A:$A,MATCH(_xlpm.pos,MASTER!$H:$H,0))&amp;"_ser_0.20_"&amp;TEXT(INDEX(MASTER!$E:$E,MATCH(_xlpm.pos,MASTER!$H:$H,0)),"mmddyy"),""),_xlpm.slot,96+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36" s="4" t="str">
        <f>_xlfn.LET(_xlpm.pos,"CDI plate 13: "&amp;$A4&amp;G$2,_xlpm.normal,IFERROR(INDEX(MASTER!$A:$A,MATCH(_xlpm.pos,MASTER!$H:$H,0))&amp;"_ser_0.20_"&amp;TEXT(INDEX(MASTER!$E:$E,MATCH(_xlpm.pos,MASTER!$H:$H,0)),"mmddyy"),""),_xlpm.slot,96+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36" s="4" t="str">
        <f>_xlfn.LET(_xlpm.pos,"CDI plate 13: "&amp;$A4&amp;H$2,_xlpm.normal,IFERROR(INDEX(MASTER!$A:$A,MATCH(_xlpm.pos,MASTER!$H:$H,0))&amp;"_ser_0.20_"&amp;TEXT(INDEX(MASTER!$E:$E,MATCH(_xlpm.pos,MASTER!$H:$H,0)),"mmddyy"),""),_xlpm.slot,96+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36" s="4" t="str">
        <f>_xlfn.LET(_xlpm.pos,"CDI plate 13: "&amp;$A4&amp;I$2,_xlpm.normal,IFERROR(INDEX(MASTER!$A:$A,MATCH(_xlpm.pos,MASTER!$H:$H,0))&amp;"_ser_0.20_"&amp;TEXT(INDEX(MASTER!$E:$E,MATCH(_xlpm.pos,MASTER!$H:$H,0)),"mmddyy"),""),_xlpm.slot,96+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36" s="4" t="str">
        <f>_xlfn.LET(_xlpm.pos,"CDI plate 13: "&amp;$A4&amp;J$2,_xlpm.normal,IFERROR(INDEX(MASTER!$A:$A,MATCH(_xlpm.pos,MASTER!$H:$H,0))&amp;"_ser_0.20_"&amp;TEXT(INDEX(MASTER!$E:$E,MATCH(_xlpm.pos,MASTER!$H:$H,0)),"mmddyy"),""),_xlpm.slot,96+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36" s="4" t="str">
        <f>_xlfn.LET(_xlpm.pos,"CDI plate 13: "&amp;$A4&amp;K$2,_xlpm.normal,IFERROR(INDEX(MASTER!$A:$A,MATCH(_xlpm.pos,MASTER!$H:$H,0))&amp;"_ser_0.20_"&amp;TEXT(INDEX(MASTER!$E:$E,MATCH(_xlpm.pos,MASTER!$H:$H,0)),"mmddyy"),""),_xlpm.slot,96+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36" s="4" t="str">
        <f>_xlfn.LET(_xlpm.pos,"CDI plate 13: "&amp;$A4&amp;L$2,_xlpm.normal,IFERROR(INDEX(MASTER!$A:$A,MATCH(_xlpm.pos,MASTER!$H:$H,0))&amp;"_ser_0.20_"&amp;TEXT(INDEX(MASTER!$E:$E,MATCH(_xlpm.pos,MASTER!$H:$H,0)),"mmddyy"),""),_xlpm.slot,96+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36" s="4" t="str">
        <f>_xlfn.LET(_xlpm.pos,"CDI plate 13: "&amp;$A4&amp;M$2,_xlpm.normal,IFERROR(INDEX(MASTER!$A:$A,MATCH(_xlpm.pos,MASTER!$H:$H,0))&amp;"_ser_0.20_"&amp;TEXT(INDEX(MASTER!$E:$E,MATCH(_xlpm.pos,MASTER!$H:$H,0)),"mmddyy"),""),_xlpm.slot,96+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37" spans="1:13" ht="22" customHeight="1" x14ac:dyDescent="0.3">
      <c r="A137" s="6" t="s">
        <v>32</v>
      </c>
      <c r="B137" s="4" t="str">
        <f>_xlfn.LET(_xlpm.pos,"CDI plate 13: "&amp;$A5&amp;B$2,_xlpm.normal,IFERROR(INDEX(MASTER!$A:$A,MATCH(_xlpm.pos,MASTER!$H:$H,0))&amp;"_ser_0.20_"&amp;TEXT(INDEX(MASTER!$E:$E,MATCH(_xlpm.pos,MASTER!$H:$H,0)),"mmddyy"),""),_xlpm.slot,96+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37" s="4" t="str">
        <f>_xlfn.LET(_xlpm.pos,"CDI plate 13: "&amp;$A5&amp;C$2,_xlpm.normal,IFERROR(INDEX(MASTER!$A:$A,MATCH(_xlpm.pos,MASTER!$H:$H,0))&amp;"_ser_0.20_"&amp;TEXT(INDEX(MASTER!$E:$E,MATCH(_xlpm.pos,MASTER!$H:$H,0)),"mmddyy"),""),_xlpm.slot,96+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37" s="4" t="str">
        <f>_xlfn.LET(_xlpm.pos,"CDI plate 13: "&amp;$A5&amp;D$2,_xlpm.normal,IFERROR(INDEX(MASTER!$A:$A,MATCH(_xlpm.pos,MASTER!$H:$H,0))&amp;"_ser_0.20_"&amp;TEXT(INDEX(MASTER!$E:$E,MATCH(_xlpm.pos,MASTER!$H:$H,0)),"mmddyy"),""),_xlpm.slot,96+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37" s="4" t="str">
        <f>_xlfn.LET(_xlpm.pos,"CDI plate 13: "&amp;$A5&amp;E$2,_xlpm.normal,IFERROR(INDEX(MASTER!$A:$A,MATCH(_xlpm.pos,MASTER!$H:$H,0))&amp;"_ser_0.20_"&amp;TEXT(INDEX(MASTER!$E:$E,MATCH(_xlpm.pos,MASTER!$H:$H,0)),"mmddyy"),""),_xlpm.slot,96+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37" s="4" t="str">
        <f>_xlfn.LET(_xlpm.pos,"CDI plate 13: "&amp;$A5&amp;F$2,_xlpm.normal,IFERROR(INDEX(MASTER!$A:$A,MATCH(_xlpm.pos,MASTER!$H:$H,0))&amp;"_ser_0.20_"&amp;TEXT(INDEX(MASTER!$E:$E,MATCH(_xlpm.pos,MASTER!$H:$H,0)),"mmddyy"),""),_xlpm.slot,96+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37" s="4" t="str">
        <f>_xlfn.LET(_xlpm.pos,"CDI plate 13: "&amp;$A5&amp;G$2,_xlpm.normal,IFERROR(INDEX(MASTER!$A:$A,MATCH(_xlpm.pos,MASTER!$H:$H,0))&amp;"_ser_0.20_"&amp;TEXT(INDEX(MASTER!$E:$E,MATCH(_xlpm.pos,MASTER!$H:$H,0)),"mmddyy"),""),_xlpm.slot,96+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37" s="4" t="str">
        <f>_xlfn.LET(_xlpm.pos,"CDI plate 13: "&amp;$A5&amp;H$2,_xlpm.normal,IFERROR(INDEX(MASTER!$A:$A,MATCH(_xlpm.pos,MASTER!$H:$H,0))&amp;"_ser_0.20_"&amp;TEXT(INDEX(MASTER!$E:$E,MATCH(_xlpm.pos,MASTER!$H:$H,0)),"mmddyy"),""),_xlpm.slot,96+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37" s="4" t="str">
        <f>_xlfn.LET(_xlpm.pos,"CDI plate 13: "&amp;$A5&amp;I$2,_xlpm.normal,IFERROR(INDEX(MASTER!$A:$A,MATCH(_xlpm.pos,MASTER!$H:$H,0))&amp;"_ser_0.20_"&amp;TEXT(INDEX(MASTER!$E:$E,MATCH(_xlpm.pos,MASTER!$H:$H,0)),"mmddyy"),""),_xlpm.slot,96+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37" s="4" t="str">
        <f>_xlfn.LET(_xlpm.pos,"CDI plate 13: "&amp;$A5&amp;J$2,_xlpm.normal,IFERROR(INDEX(MASTER!$A:$A,MATCH(_xlpm.pos,MASTER!$H:$H,0))&amp;"_ser_0.20_"&amp;TEXT(INDEX(MASTER!$E:$E,MATCH(_xlpm.pos,MASTER!$H:$H,0)),"mmddyy"),""),_xlpm.slot,96+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37" s="4" t="str">
        <f>_xlfn.LET(_xlpm.pos,"CDI plate 13: "&amp;$A5&amp;K$2,_xlpm.normal,IFERROR(INDEX(MASTER!$A:$A,MATCH(_xlpm.pos,MASTER!$H:$H,0))&amp;"_ser_0.20_"&amp;TEXT(INDEX(MASTER!$E:$E,MATCH(_xlpm.pos,MASTER!$H:$H,0)),"mmddyy"),""),_xlpm.slot,96+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37" s="4" t="str">
        <f>_xlfn.LET(_xlpm.pos,"CDI plate 13: "&amp;$A5&amp;L$2,_xlpm.normal,IFERROR(INDEX(MASTER!$A:$A,MATCH(_xlpm.pos,MASTER!$H:$H,0))&amp;"_ser_0.20_"&amp;TEXT(INDEX(MASTER!$E:$E,MATCH(_xlpm.pos,MASTER!$H:$H,0)),"mmddyy"),""),_xlpm.slot,96+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37" s="4" t="str">
        <f>_xlfn.LET(_xlpm.pos,"CDI plate 13: "&amp;$A5&amp;M$2,_xlpm.normal,IFERROR(INDEX(MASTER!$A:$A,MATCH(_xlpm.pos,MASTER!$H:$H,0))&amp;"_ser_0.20_"&amp;TEXT(INDEX(MASTER!$E:$E,MATCH(_xlpm.pos,MASTER!$H:$H,0)),"mmddyy"),""),_xlpm.slot,96+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38" spans="1:13" ht="22" customHeight="1" x14ac:dyDescent="0.3">
      <c r="A138" s="6" t="s">
        <v>33</v>
      </c>
      <c r="B138" s="4" t="str">
        <f>_xlfn.LET(_xlpm.pos,"CDI plate 13: "&amp;$A6&amp;B$2,_xlpm.normal,IFERROR(INDEX(MASTER!$A:$A,MATCH(_xlpm.pos,MASTER!$H:$H,0))&amp;"_ser_0.20_"&amp;TEXT(INDEX(MASTER!$E:$E,MATCH(_xlpm.pos,MASTER!$H:$H,0)),"mmddyy"),""),_xlpm.slot,96+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38" s="4" t="str">
        <f>_xlfn.LET(_xlpm.pos,"CDI plate 13: "&amp;$A6&amp;C$2,_xlpm.normal,IFERROR(INDEX(MASTER!$A:$A,MATCH(_xlpm.pos,MASTER!$H:$H,0))&amp;"_ser_0.20_"&amp;TEXT(INDEX(MASTER!$E:$E,MATCH(_xlpm.pos,MASTER!$H:$H,0)),"mmddyy"),""),_xlpm.slot,96+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38" s="4" t="str">
        <f>_xlfn.LET(_xlpm.pos,"CDI plate 13: "&amp;$A6&amp;D$2,_xlpm.normal,IFERROR(INDEX(MASTER!$A:$A,MATCH(_xlpm.pos,MASTER!$H:$H,0))&amp;"_ser_0.20_"&amp;TEXT(INDEX(MASTER!$E:$E,MATCH(_xlpm.pos,MASTER!$H:$H,0)),"mmddyy"),""),_xlpm.slot,96+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38" s="4" t="str">
        <f>_xlfn.LET(_xlpm.pos,"CDI plate 13: "&amp;$A6&amp;E$2,_xlpm.normal,IFERROR(INDEX(MASTER!$A:$A,MATCH(_xlpm.pos,MASTER!$H:$H,0))&amp;"_ser_0.20_"&amp;TEXT(INDEX(MASTER!$E:$E,MATCH(_xlpm.pos,MASTER!$H:$H,0)),"mmddyy"),""),_xlpm.slot,96+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38" s="4" t="str">
        <f>_xlfn.LET(_xlpm.pos,"CDI plate 13: "&amp;$A6&amp;F$2,_xlpm.normal,IFERROR(INDEX(MASTER!$A:$A,MATCH(_xlpm.pos,MASTER!$H:$H,0))&amp;"_ser_0.20_"&amp;TEXT(INDEX(MASTER!$E:$E,MATCH(_xlpm.pos,MASTER!$H:$H,0)),"mmddyy"),""),_xlpm.slot,96+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38" s="4" t="str">
        <f>_xlfn.LET(_xlpm.pos,"CDI plate 13: "&amp;$A6&amp;G$2,_xlpm.normal,IFERROR(INDEX(MASTER!$A:$A,MATCH(_xlpm.pos,MASTER!$H:$H,0))&amp;"_ser_0.20_"&amp;TEXT(INDEX(MASTER!$E:$E,MATCH(_xlpm.pos,MASTER!$H:$H,0)),"mmddyy"),""),_xlpm.slot,96+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38" s="4" t="str">
        <f>_xlfn.LET(_xlpm.pos,"CDI plate 13: "&amp;$A6&amp;H$2,_xlpm.normal,IFERROR(INDEX(MASTER!$A:$A,MATCH(_xlpm.pos,MASTER!$H:$H,0))&amp;"_ser_0.20_"&amp;TEXT(INDEX(MASTER!$E:$E,MATCH(_xlpm.pos,MASTER!$H:$H,0)),"mmddyy"),""),_xlpm.slot,96+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38" s="4" t="str">
        <f>_xlfn.LET(_xlpm.pos,"CDI plate 13: "&amp;$A6&amp;I$2,_xlpm.normal,IFERROR(INDEX(MASTER!$A:$A,MATCH(_xlpm.pos,MASTER!$H:$H,0))&amp;"_ser_0.20_"&amp;TEXT(INDEX(MASTER!$E:$E,MATCH(_xlpm.pos,MASTER!$H:$H,0)),"mmddyy"),""),_xlpm.slot,96+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38" s="4" t="str">
        <f>_xlfn.LET(_xlpm.pos,"CDI plate 13: "&amp;$A6&amp;J$2,_xlpm.normal,IFERROR(INDEX(MASTER!$A:$A,MATCH(_xlpm.pos,MASTER!$H:$H,0))&amp;"_ser_0.20_"&amp;TEXT(INDEX(MASTER!$E:$E,MATCH(_xlpm.pos,MASTER!$H:$H,0)),"mmddyy"),""),_xlpm.slot,96+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38" s="4" t="str">
        <f>_xlfn.LET(_xlpm.pos,"CDI plate 13: "&amp;$A6&amp;K$2,_xlpm.normal,IFERROR(INDEX(MASTER!$A:$A,MATCH(_xlpm.pos,MASTER!$H:$H,0))&amp;"_ser_0.20_"&amp;TEXT(INDEX(MASTER!$E:$E,MATCH(_xlpm.pos,MASTER!$H:$H,0)),"mmddyy"),""),_xlpm.slot,96+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38" s="4" t="str">
        <f>_xlfn.LET(_xlpm.pos,"CDI plate 13: "&amp;$A6&amp;L$2,_xlpm.normal,IFERROR(INDEX(MASTER!$A:$A,MATCH(_xlpm.pos,MASTER!$H:$H,0))&amp;"_ser_0.20_"&amp;TEXT(INDEX(MASTER!$E:$E,MATCH(_xlpm.pos,MASTER!$H:$H,0)),"mmddyy"),""),_xlpm.slot,96+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38" s="4" t="str">
        <f>_xlfn.LET(_xlpm.pos,"CDI plate 13: "&amp;$A6&amp;M$2,_xlpm.normal,IFERROR(INDEX(MASTER!$A:$A,MATCH(_xlpm.pos,MASTER!$H:$H,0))&amp;"_ser_0.20_"&amp;TEXT(INDEX(MASTER!$E:$E,MATCH(_xlpm.pos,MASTER!$H:$H,0)),"mmddyy"),""),_xlpm.slot,96+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39" spans="1:13" ht="22" customHeight="1" x14ac:dyDescent="0.3">
      <c r="A139" s="6" t="s">
        <v>34</v>
      </c>
      <c r="B139" s="4" t="str">
        <f>_xlfn.LET(_xlpm.pos,"CDI plate 13: "&amp;$A7&amp;B$2,_xlpm.normal,IFERROR(INDEX(MASTER!$A:$A,MATCH(_xlpm.pos,MASTER!$H:$H,0))&amp;"_ser_0.20_"&amp;TEXT(INDEX(MASTER!$E:$E,MATCH(_xlpm.pos,MASTER!$H:$H,0)),"mmddyy"),""),_xlpm.slot,96+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39" s="4" t="str">
        <f>_xlfn.LET(_xlpm.pos,"CDI plate 13: "&amp;$A7&amp;C$2,_xlpm.normal,IFERROR(INDEX(MASTER!$A:$A,MATCH(_xlpm.pos,MASTER!$H:$H,0))&amp;"_ser_0.20_"&amp;TEXT(INDEX(MASTER!$E:$E,MATCH(_xlpm.pos,MASTER!$H:$H,0)),"mmddyy"),""),_xlpm.slot,96+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39" s="4" t="str">
        <f>_xlfn.LET(_xlpm.pos,"CDI plate 13: "&amp;$A7&amp;D$2,_xlpm.normal,IFERROR(INDEX(MASTER!$A:$A,MATCH(_xlpm.pos,MASTER!$H:$H,0))&amp;"_ser_0.20_"&amp;TEXT(INDEX(MASTER!$E:$E,MATCH(_xlpm.pos,MASTER!$H:$H,0)),"mmddyy"),""),_xlpm.slot,96+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39" s="4" t="str">
        <f>_xlfn.LET(_xlpm.pos,"CDI plate 13: "&amp;$A7&amp;E$2,_xlpm.normal,IFERROR(INDEX(MASTER!$A:$A,MATCH(_xlpm.pos,MASTER!$H:$H,0))&amp;"_ser_0.20_"&amp;TEXT(INDEX(MASTER!$E:$E,MATCH(_xlpm.pos,MASTER!$H:$H,0)),"mmddyy"),""),_xlpm.slot,96+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39" s="4" t="str">
        <f>_xlfn.LET(_xlpm.pos,"CDI plate 13: "&amp;$A7&amp;F$2,_xlpm.normal,IFERROR(INDEX(MASTER!$A:$A,MATCH(_xlpm.pos,MASTER!$H:$H,0))&amp;"_ser_0.20_"&amp;TEXT(INDEX(MASTER!$E:$E,MATCH(_xlpm.pos,MASTER!$H:$H,0)),"mmddyy"),""),_xlpm.slot,96+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39" s="4" t="str">
        <f>_xlfn.LET(_xlpm.pos,"CDI plate 13: "&amp;$A7&amp;G$2,_xlpm.normal,IFERROR(INDEX(MASTER!$A:$A,MATCH(_xlpm.pos,MASTER!$H:$H,0))&amp;"_ser_0.20_"&amp;TEXT(INDEX(MASTER!$E:$E,MATCH(_xlpm.pos,MASTER!$H:$H,0)),"mmddyy"),""),_xlpm.slot,96+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39" s="4" t="str">
        <f>_xlfn.LET(_xlpm.pos,"CDI plate 13: "&amp;$A7&amp;H$2,_xlpm.normal,IFERROR(INDEX(MASTER!$A:$A,MATCH(_xlpm.pos,MASTER!$H:$H,0))&amp;"_ser_0.20_"&amp;TEXT(INDEX(MASTER!$E:$E,MATCH(_xlpm.pos,MASTER!$H:$H,0)),"mmddyy"),""),_xlpm.slot,96+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39" s="4" t="str">
        <f>_xlfn.LET(_xlpm.pos,"CDI plate 13: "&amp;$A7&amp;I$2,_xlpm.normal,IFERROR(INDEX(MASTER!$A:$A,MATCH(_xlpm.pos,MASTER!$H:$H,0))&amp;"_ser_0.20_"&amp;TEXT(INDEX(MASTER!$E:$E,MATCH(_xlpm.pos,MASTER!$H:$H,0)),"mmddyy"),""),_xlpm.slot,96+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39" s="4" t="str">
        <f>_xlfn.LET(_xlpm.pos,"CDI plate 13: "&amp;$A7&amp;J$2,_xlpm.normal,IFERROR(INDEX(MASTER!$A:$A,MATCH(_xlpm.pos,MASTER!$H:$H,0))&amp;"_ser_0.20_"&amp;TEXT(INDEX(MASTER!$E:$E,MATCH(_xlpm.pos,MASTER!$H:$H,0)),"mmddyy"),""),_xlpm.slot,96+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39" s="4" t="str">
        <f>_xlfn.LET(_xlpm.pos,"CDI plate 13: "&amp;$A7&amp;K$2,_xlpm.normal,IFERROR(INDEX(MASTER!$A:$A,MATCH(_xlpm.pos,MASTER!$H:$H,0))&amp;"_ser_0.20_"&amp;TEXT(INDEX(MASTER!$E:$E,MATCH(_xlpm.pos,MASTER!$H:$H,0)),"mmddyy"),""),_xlpm.slot,96+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39" s="4" t="str">
        <f>_xlfn.LET(_xlpm.pos,"CDI plate 13: "&amp;$A7&amp;L$2,_xlpm.normal,IFERROR(INDEX(MASTER!$A:$A,MATCH(_xlpm.pos,MASTER!$H:$H,0))&amp;"_ser_0.20_"&amp;TEXT(INDEX(MASTER!$E:$E,MATCH(_xlpm.pos,MASTER!$H:$H,0)),"mmddyy"),""),_xlpm.slot,96+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39" s="4" t="str">
        <f>_xlfn.LET(_xlpm.pos,"CDI plate 13: "&amp;$A7&amp;M$2,_xlpm.normal,IFERROR(INDEX(MASTER!$A:$A,MATCH(_xlpm.pos,MASTER!$H:$H,0))&amp;"_ser_0.20_"&amp;TEXT(INDEX(MASTER!$E:$E,MATCH(_xlpm.pos,MASTER!$H:$H,0)),"mmddyy"),""),_xlpm.slot,96+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40" spans="1:13" ht="22" customHeight="1" x14ac:dyDescent="0.3">
      <c r="A140" s="6" t="s">
        <v>15</v>
      </c>
      <c r="B140" s="4" t="str">
        <f>_xlfn.LET(_xlpm.pos,"CDI plate 13: "&amp;$A8&amp;B$2,_xlpm.normal,IFERROR(INDEX(MASTER!$A:$A,MATCH(_xlpm.pos,MASTER!$H:$H,0))&amp;"_ser_0.20_"&amp;TEXT(INDEX(MASTER!$E:$E,MATCH(_xlpm.pos,MASTER!$H:$H,0)),"mmddyy"),""),_xlpm.slot,96+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40" s="4" t="str">
        <f>_xlfn.LET(_xlpm.pos,"CDI plate 13: "&amp;$A8&amp;C$2,_xlpm.normal,IFERROR(INDEX(MASTER!$A:$A,MATCH(_xlpm.pos,MASTER!$H:$H,0))&amp;"_ser_0.20_"&amp;TEXT(INDEX(MASTER!$E:$E,MATCH(_xlpm.pos,MASTER!$H:$H,0)),"mmddyy"),""),_xlpm.slot,96+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40" s="4" t="str">
        <f>_xlfn.LET(_xlpm.pos,"CDI plate 13: "&amp;$A8&amp;D$2,_xlpm.normal,IFERROR(INDEX(MASTER!$A:$A,MATCH(_xlpm.pos,MASTER!$H:$H,0))&amp;"_ser_0.20_"&amp;TEXT(INDEX(MASTER!$E:$E,MATCH(_xlpm.pos,MASTER!$H:$H,0)),"mmddyy"),""),_xlpm.slot,96+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40" s="4" t="str">
        <f>_xlfn.LET(_xlpm.pos,"CDI plate 13: "&amp;$A8&amp;E$2,_xlpm.normal,IFERROR(INDEX(MASTER!$A:$A,MATCH(_xlpm.pos,MASTER!$H:$H,0))&amp;"_ser_0.20_"&amp;TEXT(INDEX(MASTER!$E:$E,MATCH(_xlpm.pos,MASTER!$H:$H,0)),"mmddyy"),""),_xlpm.slot,96+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40" s="4" t="str">
        <f>_xlfn.LET(_xlpm.pos,"CDI plate 13: "&amp;$A8&amp;F$2,_xlpm.normal,IFERROR(INDEX(MASTER!$A:$A,MATCH(_xlpm.pos,MASTER!$H:$H,0))&amp;"_ser_0.20_"&amp;TEXT(INDEX(MASTER!$E:$E,MATCH(_xlpm.pos,MASTER!$H:$H,0)),"mmddyy"),""),_xlpm.slot,96+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40" s="4" t="str">
        <f>_xlfn.LET(_xlpm.pos,"CDI plate 13: "&amp;$A8&amp;G$2,_xlpm.normal,IFERROR(INDEX(MASTER!$A:$A,MATCH(_xlpm.pos,MASTER!$H:$H,0))&amp;"_ser_0.20_"&amp;TEXT(INDEX(MASTER!$E:$E,MATCH(_xlpm.pos,MASTER!$H:$H,0)),"mmddyy"),""),_xlpm.slot,96+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40" s="4" t="str">
        <f>_xlfn.LET(_xlpm.pos,"CDI plate 13: "&amp;$A8&amp;H$2,_xlpm.normal,IFERROR(INDEX(MASTER!$A:$A,MATCH(_xlpm.pos,MASTER!$H:$H,0))&amp;"_ser_0.20_"&amp;TEXT(INDEX(MASTER!$E:$E,MATCH(_xlpm.pos,MASTER!$H:$H,0)),"mmddyy"),""),_xlpm.slot,96+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40" s="4" t="str">
        <f>_xlfn.LET(_xlpm.pos,"CDI plate 13: "&amp;$A8&amp;I$2,_xlpm.normal,IFERROR(INDEX(MASTER!$A:$A,MATCH(_xlpm.pos,MASTER!$H:$H,0))&amp;"_ser_0.20_"&amp;TEXT(INDEX(MASTER!$E:$E,MATCH(_xlpm.pos,MASTER!$H:$H,0)),"mmddyy"),""),_xlpm.slot,96+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40" s="4" t="str">
        <f>_xlfn.LET(_xlpm.pos,"CDI plate 13: "&amp;$A8&amp;J$2,_xlpm.normal,IFERROR(INDEX(MASTER!$A:$A,MATCH(_xlpm.pos,MASTER!$H:$H,0))&amp;"_ser_0.20_"&amp;TEXT(INDEX(MASTER!$E:$E,MATCH(_xlpm.pos,MASTER!$H:$H,0)),"mmddyy"),""),_xlpm.slot,96+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40" s="4" t="str">
        <f>_xlfn.LET(_xlpm.pos,"CDI plate 13: "&amp;$A8&amp;K$2,_xlpm.normal,IFERROR(INDEX(MASTER!$A:$A,MATCH(_xlpm.pos,MASTER!$H:$H,0))&amp;"_ser_0.20_"&amp;TEXT(INDEX(MASTER!$E:$E,MATCH(_xlpm.pos,MASTER!$H:$H,0)),"mmddyy"),""),_xlpm.slot,96+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40" s="4" t="str">
        <f>_xlfn.LET(_xlpm.pos,"CDI plate 13: "&amp;$A8&amp;L$2,_xlpm.normal,IFERROR(INDEX(MASTER!$A:$A,MATCH(_xlpm.pos,MASTER!$H:$H,0))&amp;"_ser_0.20_"&amp;TEXT(INDEX(MASTER!$E:$E,MATCH(_xlpm.pos,MASTER!$H:$H,0)),"mmddyy"),""),_xlpm.slot,96+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40" s="4" t="str">
        <f>_xlfn.LET(_xlpm.pos,"CDI plate 13: "&amp;$A8&amp;M$2,_xlpm.normal,IFERROR(INDEX(MASTER!$A:$A,MATCH(_xlpm.pos,MASTER!$H:$H,0))&amp;"_ser_0.20_"&amp;TEXT(INDEX(MASTER!$E:$E,MATCH(_xlpm.pos,MASTER!$H:$H,0)),"mmddyy"),""),_xlpm.slot,96+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41" spans="1:13" ht="22" customHeight="1" x14ac:dyDescent="0.3">
      <c r="A141" s="6" t="s">
        <v>35</v>
      </c>
      <c r="B141" s="4" t="str">
        <f>_xlfn.LET(_xlpm.pos,"CDI plate 13: "&amp;$A9&amp;B$2,_xlpm.normal,IFERROR(INDEX(MASTER!$A:$A,MATCH(_xlpm.pos,MASTER!$H:$H,0))&amp;"_ser_0.20_"&amp;TEXT(INDEX(MASTER!$E:$E,MATCH(_xlpm.pos,MASTER!$H:$H,0)),"mmddyy"),""),_xlpm.slot,96+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41" s="4" t="str">
        <f>_xlfn.LET(_xlpm.pos,"CDI plate 13: "&amp;$A9&amp;C$2,_xlpm.normal,IFERROR(INDEX(MASTER!$A:$A,MATCH(_xlpm.pos,MASTER!$H:$H,0))&amp;"_ser_0.20_"&amp;TEXT(INDEX(MASTER!$E:$E,MATCH(_xlpm.pos,MASTER!$H:$H,0)),"mmddyy"),""),_xlpm.slot,96+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41" s="4" t="str">
        <f>_xlfn.LET(_xlpm.pos,"CDI plate 13: "&amp;$A9&amp;D$2,_xlpm.normal,IFERROR(INDEX(MASTER!$A:$A,MATCH(_xlpm.pos,MASTER!$H:$H,0))&amp;"_ser_0.20_"&amp;TEXT(INDEX(MASTER!$E:$E,MATCH(_xlpm.pos,MASTER!$H:$H,0)),"mmddyy"),""),_xlpm.slot,96+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41" s="4" t="str">
        <f>_xlfn.LET(_xlpm.pos,"CDI plate 13: "&amp;$A9&amp;E$2,_xlpm.normal,IFERROR(INDEX(MASTER!$A:$A,MATCH(_xlpm.pos,MASTER!$H:$H,0))&amp;"_ser_0.20_"&amp;TEXT(INDEX(MASTER!$E:$E,MATCH(_xlpm.pos,MASTER!$H:$H,0)),"mmddyy"),""),_xlpm.slot,96+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41" s="4" t="str">
        <f>_xlfn.LET(_xlpm.pos,"CDI plate 13: "&amp;$A9&amp;F$2,_xlpm.normal,IFERROR(INDEX(MASTER!$A:$A,MATCH(_xlpm.pos,MASTER!$H:$H,0))&amp;"_ser_0.20_"&amp;TEXT(INDEX(MASTER!$E:$E,MATCH(_xlpm.pos,MASTER!$H:$H,0)),"mmddyy"),""),_xlpm.slot,96+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41" s="4" t="str">
        <f>_xlfn.LET(_xlpm.pos,"CDI plate 13: "&amp;$A9&amp;G$2,_xlpm.normal,IFERROR(INDEX(MASTER!$A:$A,MATCH(_xlpm.pos,MASTER!$H:$H,0))&amp;"_ser_0.20_"&amp;TEXT(INDEX(MASTER!$E:$E,MATCH(_xlpm.pos,MASTER!$H:$H,0)),"mmddyy"),""),_xlpm.slot,96+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41" s="4" t="str">
        <f>_xlfn.LET(_xlpm.pos,"CDI plate 13: "&amp;$A9&amp;H$2,_xlpm.normal,IFERROR(INDEX(MASTER!$A:$A,MATCH(_xlpm.pos,MASTER!$H:$H,0))&amp;"_ser_0.20_"&amp;TEXT(INDEX(MASTER!$E:$E,MATCH(_xlpm.pos,MASTER!$H:$H,0)),"mmddyy"),""),_xlpm.slot,96+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41" s="4" t="str">
        <f>_xlfn.LET(_xlpm.pos,"CDI plate 13: "&amp;$A9&amp;I$2,_xlpm.normal,IFERROR(INDEX(MASTER!$A:$A,MATCH(_xlpm.pos,MASTER!$H:$H,0))&amp;"_ser_0.20_"&amp;TEXT(INDEX(MASTER!$E:$E,MATCH(_xlpm.pos,MASTER!$H:$H,0)),"mmddyy"),""),_xlpm.slot,96+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41" s="4" t="str">
        <f>_xlfn.LET(_xlpm.pos,"CDI plate 13: "&amp;$A9&amp;J$2,_xlpm.normal,IFERROR(INDEX(MASTER!$A:$A,MATCH(_xlpm.pos,MASTER!$H:$H,0))&amp;"_ser_0.20_"&amp;TEXT(INDEX(MASTER!$E:$E,MATCH(_xlpm.pos,MASTER!$H:$H,0)),"mmddyy"),""),_xlpm.slot,96+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41" s="4" t="str">
        <f>_xlfn.LET(_xlpm.pos,"CDI plate 13: "&amp;$A9&amp;K$2,_xlpm.normal,IFERROR(INDEX(MASTER!$A:$A,MATCH(_xlpm.pos,MASTER!$H:$H,0))&amp;"_ser_0.20_"&amp;TEXT(INDEX(MASTER!$E:$E,MATCH(_xlpm.pos,MASTER!$H:$H,0)),"mmddyy"),""),_xlpm.slot,96+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41" s="4" t="str">
        <f>_xlfn.LET(_xlpm.pos,"CDI plate 13: "&amp;$A9&amp;L$2,_xlpm.normal,IFERROR(INDEX(MASTER!$A:$A,MATCH(_xlpm.pos,MASTER!$H:$H,0))&amp;"_ser_0.20_"&amp;TEXT(INDEX(MASTER!$E:$E,MATCH(_xlpm.pos,MASTER!$H:$H,0)),"mmddyy"),""),_xlpm.slot,96+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41" s="4" t="str">
        <f>_xlfn.LET(_xlpm.pos,"CDI plate 13: "&amp;$A9&amp;M$2,_xlpm.normal,IFERROR(INDEX(MASTER!$A:$A,MATCH(_xlpm.pos,MASTER!$H:$H,0))&amp;"_ser_0.20_"&amp;TEXT(INDEX(MASTER!$E:$E,MATCH(_xlpm.pos,MASTER!$H:$H,0)),"mmddyy"),""),_xlpm.slot,96+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42" spans="1:13" ht="22" customHeight="1" x14ac:dyDescent="0.3">
      <c r="A142" s="6" t="s">
        <v>36</v>
      </c>
      <c r="B142" s="4" t="str">
        <f>_xlfn.LET(_xlpm.pos,"CDI plate 13: "&amp;$A10&amp;B$2,_xlpm.normal,IFERROR(INDEX(MASTER!$A:$A,MATCH(_xlpm.pos,MASTER!$H:$H,0))&amp;"_ser_0.20_"&amp;TEXT(INDEX(MASTER!$E:$E,MATCH(_xlpm.pos,MASTER!$H:$H,0)),"mmddyy"),""),_xlpm.slot,96+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42" s="4" t="str">
        <f>_xlfn.LET(_xlpm.pos,"CDI plate 13: "&amp;$A10&amp;C$2,_xlpm.normal,IFERROR(INDEX(MASTER!$A:$A,MATCH(_xlpm.pos,MASTER!$H:$H,0))&amp;"_ser_0.20_"&amp;TEXT(INDEX(MASTER!$E:$E,MATCH(_xlpm.pos,MASTER!$H:$H,0)),"mmddyy"),""),_xlpm.slot,96+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42" s="4" t="str">
        <f>_xlfn.LET(_xlpm.pos,"CDI plate 13: "&amp;$A10&amp;D$2,_xlpm.normal,IFERROR(INDEX(MASTER!$A:$A,MATCH(_xlpm.pos,MASTER!$H:$H,0))&amp;"_ser_0.20_"&amp;TEXT(INDEX(MASTER!$E:$E,MATCH(_xlpm.pos,MASTER!$H:$H,0)),"mmddyy"),""),_xlpm.slot,96+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42" s="4" t="str">
        <f>_xlfn.LET(_xlpm.pos,"CDI plate 13: "&amp;$A10&amp;E$2,_xlpm.normal,IFERROR(INDEX(MASTER!$A:$A,MATCH(_xlpm.pos,MASTER!$H:$H,0))&amp;"_ser_0.20_"&amp;TEXT(INDEX(MASTER!$E:$E,MATCH(_xlpm.pos,MASTER!$H:$H,0)),"mmddyy"),""),_xlpm.slot,96+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42" s="4" t="str">
        <f>_xlfn.LET(_xlpm.pos,"CDI plate 13: "&amp;$A10&amp;F$2,_xlpm.normal,IFERROR(INDEX(MASTER!$A:$A,MATCH(_xlpm.pos,MASTER!$H:$H,0))&amp;"_ser_0.20_"&amp;TEXT(INDEX(MASTER!$E:$E,MATCH(_xlpm.pos,MASTER!$H:$H,0)),"mmddyy"),""),_xlpm.slot,96+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42" s="4" t="str">
        <f>_xlfn.LET(_xlpm.pos,"CDI plate 13: "&amp;$A10&amp;G$2,_xlpm.normal,IFERROR(INDEX(MASTER!$A:$A,MATCH(_xlpm.pos,MASTER!$H:$H,0))&amp;"_ser_0.20_"&amp;TEXT(INDEX(MASTER!$E:$E,MATCH(_xlpm.pos,MASTER!$H:$H,0)),"mmddyy"),""),_xlpm.slot,96+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42" s="4" t="str">
        <f>_xlfn.LET(_xlpm.pos,"CDI plate 13: "&amp;$A10&amp;H$2,_xlpm.normal,IFERROR(INDEX(MASTER!$A:$A,MATCH(_xlpm.pos,MASTER!$H:$H,0))&amp;"_ser_0.20_"&amp;TEXT(INDEX(MASTER!$E:$E,MATCH(_xlpm.pos,MASTER!$H:$H,0)),"mmddyy"),""),_xlpm.slot,96+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42" s="4" t="str">
        <f>_xlfn.LET(_xlpm.pos,"CDI plate 13: "&amp;$A10&amp;I$2,_xlpm.normal,IFERROR(INDEX(MASTER!$A:$A,MATCH(_xlpm.pos,MASTER!$H:$H,0))&amp;"_ser_0.20_"&amp;TEXT(INDEX(MASTER!$E:$E,MATCH(_xlpm.pos,MASTER!$H:$H,0)),"mmddyy"),""),_xlpm.slot,96+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42" s="4" t="str">
        <f>_xlfn.LET(_xlpm.pos,"CDI plate 13: "&amp;$A10&amp;J$2,_xlpm.normal,IFERROR(INDEX(MASTER!$A:$A,MATCH(_xlpm.pos,MASTER!$H:$H,0))&amp;"_ser_0.20_"&amp;TEXT(INDEX(MASTER!$E:$E,MATCH(_xlpm.pos,MASTER!$H:$H,0)),"mmddyy"),""),_xlpm.slot,96+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42" s="4" t="str">
        <f>_xlfn.LET(_xlpm.pos,"CDI plate 13: "&amp;$A10&amp;K$2,_xlpm.normal,IFERROR(INDEX(MASTER!$A:$A,MATCH(_xlpm.pos,MASTER!$H:$H,0))&amp;"_ser_0.20_"&amp;TEXT(INDEX(MASTER!$E:$E,MATCH(_xlpm.pos,MASTER!$H:$H,0)),"mmddyy"),""),_xlpm.slot,96+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42" s="4" t="str">
        <f>_xlfn.LET(_xlpm.pos,"CDI plate 13: "&amp;$A10&amp;L$2,_xlpm.normal,IFERROR(INDEX(MASTER!$A:$A,MATCH(_xlpm.pos,MASTER!$H:$H,0))&amp;"_ser_0.20_"&amp;TEXT(INDEX(MASTER!$E:$E,MATCH(_xlpm.pos,MASTER!$H:$H,0)),"mmddyy"),""),_xlpm.slot,96+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42" s="4" t="str">
        <f>_xlfn.LET(_xlpm.pos,"CDI plate 13: "&amp;$A10&amp;M$2,_xlpm.normal,IFERROR(INDEX(MASTER!$A:$A,MATCH(_xlpm.pos,MASTER!$H:$H,0))&amp;"_ser_0.20_"&amp;TEXT(INDEX(MASTER!$E:$E,MATCH(_xlpm.pos,MASTER!$H:$H,0)),"mmddyy"),""),_xlpm.slot,96+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43" spans="1:13" ht="22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spans="1:13" ht="22" customHeight="1" x14ac:dyDescent="0.35">
      <c r="A144" s="5"/>
      <c r="B144" s="31" t="s">
        <v>49</v>
      </c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3"/>
    </row>
    <row r="145" spans="1:13" ht="22" customHeight="1" x14ac:dyDescent="0.3">
      <c r="A145" s="5"/>
      <c r="B145" s="6">
        <v>1</v>
      </c>
      <c r="C145" s="6">
        <v>2</v>
      </c>
      <c r="D145" s="6">
        <v>3</v>
      </c>
      <c r="E145" s="6">
        <v>4</v>
      </c>
      <c r="F145" s="6">
        <v>5</v>
      </c>
      <c r="G145" s="6">
        <v>6</v>
      </c>
      <c r="H145" s="6">
        <v>7</v>
      </c>
      <c r="I145" s="6">
        <v>8</v>
      </c>
      <c r="J145" s="6">
        <v>9</v>
      </c>
      <c r="K145" s="6">
        <v>10</v>
      </c>
      <c r="L145" s="6">
        <v>11</v>
      </c>
      <c r="M145" s="6">
        <v>12</v>
      </c>
    </row>
    <row r="146" spans="1:13" ht="22" customHeight="1" x14ac:dyDescent="0.3">
      <c r="A146" s="6" t="s">
        <v>30</v>
      </c>
      <c r="B146" s="4" t="str">
        <f>_xlfn.LET(_xlpm.pos,"CDI plate 14: "&amp;$A3&amp;B$2,_xlpm.normal,IFERROR(INDEX(MASTER!$A:$A,MATCH(_xlpm.pos,MASTER!$H:$H,0))&amp;"_ser_0.20_"&amp;TEXT(INDEX(MASTER!$E:$E,MATCH(_xlpm.pos,MASTER!$H:$H,0)),"mmddyy"),""),_xlpm.slot,96+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46" s="4" t="str">
        <f>_xlfn.LET(_xlpm.pos,"CDI plate 14: "&amp;$A3&amp;C$2,_xlpm.normal,IFERROR(INDEX(MASTER!$A:$A,MATCH(_xlpm.pos,MASTER!$H:$H,0))&amp;"_ser_0.20_"&amp;TEXT(INDEX(MASTER!$E:$E,MATCH(_xlpm.pos,MASTER!$H:$H,0)),"mmddyy"),""),_xlpm.slot,96+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46" s="4" t="str">
        <f>_xlfn.LET(_xlpm.pos,"CDI plate 14: "&amp;$A3&amp;D$2,_xlpm.normal,IFERROR(INDEX(MASTER!$A:$A,MATCH(_xlpm.pos,MASTER!$H:$H,0))&amp;"_ser_0.20_"&amp;TEXT(INDEX(MASTER!$E:$E,MATCH(_xlpm.pos,MASTER!$H:$H,0)),"mmddyy"),""),_xlpm.slot,96+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46" s="4" t="str">
        <f>_xlfn.LET(_xlpm.pos,"CDI plate 14: "&amp;$A3&amp;E$2,_xlpm.normal,IFERROR(INDEX(MASTER!$A:$A,MATCH(_xlpm.pos,MASTER!$H:$H,0))&amp;"_ser_0.20_"&amp;TEXT(INDEX(MASTER!$E:$E,MATCH(_xlpm.pos,MASTER!$H:$H,0)),"mmddyy"),""),_xlpm.slot,96+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46" s="4" t="str">
        <f>_xlfn.LET(_xlpm.pos,"CDI plate 14: "&amp;$A3&amp;F$2,_xlpm.normal,IFERROR(INDEX(MASTER!$A:$A,MATCH(_xlpm.pos,MASTER!$H:$H,0))&amp;"_ser_0.20_"&amp;TEXT(INDEX(MASTER!$E:$E,MATCH(_xlpm.pos,MASTER!$H:$H,0)),"mmddyy"),""),_xlpm.slot,96+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46" s="4" t="str">
        <f>_xlfn.LET(_xlpm.pos,"CDI plate 14: "&amp;$A3&amp;G$2,_xlpm.normal,IFERROR(INDEX(MASTER!$A:$A,MATCH(_xlpm.pos,MASTER!$H:$H,0))&amp;"_ser_0.20_"&amp;TEXT(INDEX(MASTER!$E:$E,MATCH(_xlpm.pos,MASTER!$H:$H,0)),"mmddyy"),""),_xlpm.slot,96+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46" s="4" t="str">
        <f>_xlfn.LET(_xlpm.pos,"CDI plate 14: "&amp;$A3&amp;H$2,_xlpm.normal,IFERROR(INDEX(MASTER!$A:$A,MATCH(_xlpm.pos,MASTER!$H:$H,0))&amp;"_ser_0.20_"&amp;TEXT(INDEX(MASTER!$E:$E,MATCH(_xlpm.pos,MASTER!$H:$H,0)),"mmddyy"),""),_xlpm.slot,96+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46" s="4" t="str">
        <f>_xlfn.LET(_xlpm.pos,"CDI plate 14: "&amp;$A3&amp;I$2,_xlpm.normal,IFERROR(INDEX(MASTER!$A:$A,MATCH(_xlpm.pos,MASTER!$H:$H,0))&amp;"_ser_0.20_"&amp;TEXT(INDEX(MASTER!$E:$E,MATCH(_xlpm.pos,MASTER!$H:$H,0)),"mmddyy"),""),_xlpm.slot,96+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46" s="4" t="str">
        <f>_xlfn.LET(_xlpm.pos,"CDI plate 14: "&amp;$A3&amp;J$2,_xlpm.normal,IFERROR(INDEX(MASTER!$A:$A,MATCH(_xlpm.pos,MASTER!$H:$H,0))&amp;"_ser_0.20_"&amp;TEXT(INDEX(MASTER!$E:$E,MATCH(_xlpm.pos,MASTER!$H:$H,0)),"mmddyy"),""),_xlpm.slot,96+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46" s="4" t="str">
        <f>_xlfn.LET(_xlpm.pos,"CDI plate 14: "&amp;$A3&amp;K$2,_xlpm.normal,IFERROR(INDEX(MASTER!$A:$A,MATCH(_xlpm.pos,MASTER!$H:$H,0))&amp;"_ser_0.20_"&amp;TEXT(INDEX(MASTER!$E:$E,MATCH(_xlpm.pos,MASTER!$H:$H,0)),"mmddyy"),""),_xlpm.slot,96+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46" s="4" t="str">
        <f>_xlfn.LET(_xlpm.pos,"CDI plate 14: "&amp;$A3&amp;L$2,_xlpm.normal,IFERROR(INDEX(MASTER!$A:$A,MATCH(_xlpm.pos,MASTER!$H:$H,0))&amp;"_ser_0.20_"&amp;TEXT(INDEX(MASTER!$E:$E,MATCH(_xlpm.pos,MASTER!$H:$H,0)),"mmddyy"),""),_xlpm.slot,96+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46" s="4" t="str">
        <f>_xlfn.LET(_xlpm.pos,"CDI plate 14: "&amp;$A3&amp;M$2,_xlpm.normal,IFERROR(INDEX(MASTER!$A:$A,MATCH(_xlpm.pos,MASTER!$H:$H,0))&amp;"_ser_0.20_"&amp;TEXT(INDEX(MASTER!$E:$E,MATCH(_xlpm.pos,MASTER!$H:$H,0)),"mmddyy"),""),_xlpm.slot,96+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47" spans="1:13" ht="22" customHeight="1" x14ac:dyDescent="0.3">
      <c r="A147" s="6" t="s">
        <v>31</v>
      </c>
      <c r="B147" s="4" t="str">
        <f>_xlfn.LET(_xlpm.pos,"CDI plate 14: "&amp;$A4&amp;B$2,_xlpm.normal,IFERROR(INDEX(MASTER!$A:$A,MATCH(_xlpm.pos,MASTER!$H:$H,0))&amp;"_ser_0.20_"&amp;TEXT(INDEX(MASTER!$E:$E,MATCH(_xlpm.pos,MASTER!$H:$H,0)),"mmddyy"),""),_xlpm.slot,96+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47" s="4" t="str">
        <f>_xlfn.LET(_xlpm.pos,"CDI plate 14: "&amp;$A4&amp;C$2,_xlpm.normal,IFERROR(INDEX(MASTER!$A:$A,MATCH(_xlpm.pos,MASTER!$H:$H,0))&amp;"_ser_0.20_"&amp;TEXT(INDEX(MASTER!$E:$E,MATCH(_xlpm.pos,MASTER!$H:$H,0)),"mmddyy"),""),_xlpm.slot,96+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47" s="4" t="str">
        <f>_xlfn.LET(_xlpm.pos,"CDI plate 14: "&amp;$A4&amp;D$2,_xlpm.normal,IFERROR(INDEX(MASTER!$A:$A,MATCH(_xlpm.pos,MASTER!$H:$H,0))&amp;"_ser_0.20_"&amp;TEXT(INDEX(MASTER!$E:$E,MATCH(_xlpm.pos,MASTER!$H:$H,0)),"mmddyy"),""),_xlpm.slot,96+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47" s="4" t="str">
        <f>_xlfn.LET(_xlpm.pos,"CDI plate 14: "&amp;$A4&amp;E$2,_xlpm.normal,IFERROR(INDEX(MASTER!$A:$A,MATCH(_xlpm.pos,MASTER!$H:$H,0))&amp;"_ser_0.20_"&amp;TEXT(INDEX(MASTER!$E:$E,MATCH(_xlpm.pos,MASTER!$H:$H,0)),"mmddyy"),""),_xlpm.slot,96+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47" s="4" t="str">
        <f>_xlfn.LET(_xlpm.pos,"CDI plate 14: "&amp;$A4&amp;F$2,_xlpm.normal,IFERROR(INDEX(MASTER!$A:$A,MATCH(_xlpm.pos,MASTER!$H:$H,0))&amp;"_ser_0.20_"&amp;TEXT(INDEX(MASTER!$E:$E,MATCH(_xlpm.pos,MASTER!$H:$H,0)),"mmddyy"),""),_xlpm.slot,96+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47" s="4" t="str">
        <f>_xlfn.LET(_xlpm.pos,"CDI plate 14: "&amp;$A4&amp;G$2,_xlpm.normal,IFERROR(INDEX(MASTER!$A:$A,MATCH(_xlpm.pos,MASTER!$H:$H,0))&amp;"_ser_0.20_"&amp;TEXT(INDEX(MASTER!$E:$E,MATCH(_xlpm.pos,MASTER!$H:$H,0)),"mmddyy"),""),_xlpm.slot,96+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47" s="4" t="str">
        <f>_xlfn.LET(_xlpm.pos,"CDI plate 14: "&amp;$A4&amp;H$2,_xlpm.normal,IFERROR(INDEX(MASTER!$A:$A,MATCH(_xlpm.pos,MASTER!$H:$H,0))&amp;"_ser_0.20_"&amp;TEXT(INDEX(MASTER!$E:$E,MATCH(_xlpm.pos,MASTER!$H:$H,0)),"mmddyy"),""),_xlpm.slot,96+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47" s="4" t="str">
        <f>_xlfn.LET(_xlpm.pos,"CDI plate 14: "&amp;$A4&amp;I$2,_xlpm.normal,IFERROR(INDEX(MASTER!$A:$A,MATCH(_xlpm.pos,MASTER!$H:$H,0))&amp;"_ser_0.20_"&amp;TEXT(INDEX(MASTER!$E:$E,MATCH(_xlpm.pos,MASTER!$H:$H,0)),"mmddyy"),""),_xlpm.slot,96+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47" s="4" t="str">
        <f>_xlfn.LET(_xlpm.pos,"CDI plate 14: "&amp;$A4&amp;J$2,_xlpm.normal,IFERROR(INDEX(MASTER!$A:$A,MATCH(_xlpm.pos,MASTER!$H:$H,0))&amp;"_ser_0.20_"&amp;TEXT(INDEX(MASTER!$E:$E,MATCH(_xlpm.pos,MASTER!$H:$H,0)),"mmddyy"),""),_xlpm.slot,96+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47" s="4" t="str">
        <f>_xlfn.LET(_xlpm.pos,"CDI plate 14: "&amp;$A4&amp;K$2,_xlpm.normal,IFERROR(INDEX(MASTER!$A:$A,MATCH(_xlpm.pos,MASTER!$H:$H,0))&amp;"_ser_0.20_"&amp;TEXT(INDEX(MASTER!$E:$E,MATCH(_xlpm.pos,MASTER!$H:$H,0)),"mmddyy"),""),_xlpm.slot,96+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47" s="4" t="str">
        <f>_xlfn.LET(_xlpm.pos,"CDI plate 14: "&amp;$A4&amp;L$2,_xlpm.normal,IFERROR(INDEX(MASTER!$A:$A,MATCH(_xlpm.pos,MASTER!$H:$H,0))&amp;"_ser_0.20_"&amp;TEXT(INDEX(MASTER!$E:$E,MATCH(_xlpm.pos,MASTER!$H:$H,0)),"mmddyy"),""),_xlpm.slot,96+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47" s="4" t="str">
        <f>_xlfn.LET(_xlpm.pos,"CDI plate 14: "&amp;$A4&amp;M$2,_xlpm.normal,IFERROR(INDEX(MASTER!$A:$A,MATCH(_xlpm.pos,MASTER!$H:$H,0))&amp;"_ser_0.20_"&amp;TEXT(INDEX(MASTER!$E:$E,MATCH(_xlpm.pos,MASTER!$H:$H,0)),"mmddyy"),""),_xlpm.slot,96+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48" spans="1:13" ht="22" customHeight="1" x14ac:dyDescent="0.3">
      <c r="A148" s="6" t="s">
        <v>32</v>
      </c>
      <c r="B148" s="4" t="str">
        <f>_xlfn.LET(_xlpm.pos,"CDI plate 14: "&amp;$A5&amp;B$2,_xlpm.normal,IFERROR(INDEX(MASTER!$A:$A,MATCH(_xlpm.pos,MASTER!$H:$H,0))&amp;"_ser_0.20_"&amp;TEXT(INDEX(MASTER!$E:$E,MATCH(_xlpm.pos,MASTER!$H:$H,0)),"mmddyy"),""),_xlpm.slot,96+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48" s="4" t="str">
        <f>_xlfn.LET(_xlpm.pos,"CDI plate 14: "&amp;$A5&amp;C$2,_xlpm.normal,IFERROR(INDEX(MASTER!$A:$A,MATCH(_xlpm.pos,MASTER!$H:$H,0))&amp;"_ser_0.20_"&amp;TEXT(INDEX(MASTER!$E:$E,MATCH(_xlpm.pos,MASTER!$H:$H,0)),"mmddyy"),""),_xlpm.slot,96+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48" s="4" t="str">
        <f>_xlfn.LET(_xlpm.pos,"CDI plate 14: "&amp;$A5&amp;D$2,_xlpm.normal,IFERROR(INDEX(MASTER!$A:$A,MATCH(_xlpm.pos,MASTER!$H:$H,0))&amp;"_ser_0.20_"&amp;TEXT(INDEX(MASTER!$E:$E,MATCH(_xlpm.pos,MASTER!$H:$H,0)),"mmddyy"),""),_xlpm.slot,96+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48" s="4" t="str">
        <f>_xlfn.LET(_xlpm.pos,"CDI plate 14: "&amp;$A5&amp;E$2,_xlpm.normal,IFERROR(INDEX(MASTER!$A:$A,MATCH(_xlpm.pos,MASTER!$H:$H,0))&amp;"_ser_0.20_"&amp;TEXT(INDEX(MASTER!$E:$E,MATCH(_xlpm.pos,MASTER!$H:$H,0)),"mmddyy"),""),_xlpm.slot,96+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48" s="4" t="str">
        <f>_xlfn.LET(_xlpm.pos,"CDI plate 14: "&amp;$A5&amp;F$2,_xlpm.normal,IFERROR(INDEX(MASTER!$A:$A,MATCH(_xlpm.pos,MASTER!$H:$H,0))&amp;"_ser_0.20_"&amp;TEXT(INDEX(MASTER!$E:$E,MATCH(_xlpm.pos,MASTER!$H:$H,0)),"mmddyy"),""),_xlpm.slot,96+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48" s="4" t="str">
        <f>_xlfn.LET(_xlpm.pos,"CDI plate 14: "&amp;$A5&amp;G$2,_xlpm.normal,IFERROR(INDEX(MASTER!$A:$A,MATCH(_xlpm.pos,MASTER!$H:$H,0))&amp;"_ser_0.20_"&amp;TEXT(INDEX(MASTER!$E:$E,MATCH(_xlpm.pos,MASTER!$H:$H,0)),"mmddyy"),""),_xlpm.slot,96+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48" s="4" t="str">
        <f>_xlfn.LET(_xlpm.pos,"CDI plate 14: "&amp;$A5&amp;H$2,_xlpm.normal,IFERROR(INDEX(MASTER!$A:$A,MATCH(_xlpm.pos,MASTER!$H:$H,0))&amp;"_ser_0.20_"&amp;TEXT(INDEX(MASTER!$E:$E,MATCH(_xlpm.pos,MASTER!$H:$H,0)),"mmddyy"),""),_xlpm.slot,96+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48" s="4" t="str">
        <f>_xlfn.LET(_xlpm.pos,"CDI plate 14: "&amp;$A5&amp;I$2,_xlpm.normal,IFERROR(INDEX(MASTER!$A:$A,MATCH(_xlpm.pos,MASTER!$H:$H,0))&amp;"_ser_0.20_"&amp;TEXT(INDEX(MASTER!$E:$E,MATCH(_xlpm.pos,MASTER!$H:$H,0)),"mmddyy"),""),_xlpm.slot,96+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48" s="4" t="str">
        <f>_xlfn.LET(_xlpm.pos,"CDI plate 14: "&amp;$A5&amp;J$2,_xlpm.normal,IFERROR(INDEX(MASTER!$A:$A,MATCH(_xlpm.pos,MASTER!$H:$H,0))&amp;"_ser_0.20_"&amp;TEXT(INDEX(MASTER!$E:$E,MATCH(_xlpm.pos,MASTER!$H:$H,0)),"mmddyy"),""),_xlpm.slot,96+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48" s="4" t="str">
        <f>_xlfn.LET(_xlpm.pos,"CDI plate 14: "&amp;$A5&amp;K$2,_xlpm.normal,IFERROR(INDEX(MASTER!$A:$A,MATCH(_xlpm.pos,MASTER!$H:$H,0))&amp;"_ser_0.20_"&amp;TEXT(INDEX(MASTER!$E:$E,MATCH(_xlpm.pos,MASTER!$H:$H,0)),"mmddyy"),""),_xlpm.slot,96+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48" s="4" t="str">
        <f>_xlfn.LET(_xlpm.pos,"CDI plate 14: "&amp;$A5&amp;L$2,_xlpm.normal,IFERROR(INDEX(MASTER!$A:$A,MATCH(_xlpm.pos,MASTER!$H:$H,0))&amp;"_ser_0.20_"&amp;TEXT(INDEX(MASTER!$E:$E,MATCH(_xlpm.pos,MASTER!$H:$H,0)),"mmddyy"),""),_xlpm.slot,96+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48" s="4" t="str">
        <f>_xlfn.LET(_xlpm.pos,"CDI plate 14: "&amp;$A5&amp;M$2,_xlpm.normal,IFERROR(INDEX(MASTER!$A:$A,MATCH(_xlpm.pos,MASTER!$H:$H,0))&amp;"_ser_0.20_"&amp;TEXT(INDEX(MASTER!$E:$E,MATCH(_xlpm.pos,MASTER!$H:$H,0)),"mmddyy"),""),_xlpm.slot,96+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49" spans="1:13" ht="22" customHeight="1" x14ac:dyDescent="0.3">
      <c r="A149" s="6" t="s">
        <v>33</v>
      </c>
      <c r="B149" s="4" t="str">
        <f>_xlfn.LET(_xlpm.pos,"CDI plate 14: "&amp;$A6&amp;B$2,_xlpm.normal,IFERROR(INDEX(MASTER!$A:$A,MATCH(_xlpm.pos,MASTER!$H:$H,0))&amp;"_ser_0.20_"&amp;TEXT(INDEX(MASTER!$E:$E,MATCH(_xlpm.pos,MASTER!$H:$H,0)),"mmddyy"),""),_xlpm.slot,96+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49" s="4" t="str">
        <f>_xlfn.LET(_xlpm.pos,"CDI plate 14: "&amp;$A6&amp;C$2,_xlpm.normal,IFERROR(INDEX(MASTER!$A:$A,MATCH(_xlpm.pos,MASTER!$H:$H,0))&amp;"_ser_0.20_"&amp;TEXT(INDEX(MASTER!$E:$E,MATCH(_xlpm.pos,MASTER!$H:$H,0)),"mmddyy"),""),_xlpm.slot,96+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49" s="4" t="str">
        <f>_xlfn.LET(_xlpm.pos,"CDI plate 14: "&amp;$A6&amp;D$2,_xlpm.normal,IFERROR(INDEX(MASTER!$A:$A,MATCH(_xlpm.pos,MASTER!$H:$H,0))&amp;"_ser_0.20_"&amp;TEXT(INDEX(MASTER!$E:$E,MATCH(_xlpm.pos,MASTER!$H:$H,0)),"mmddyy"),""),_xlpm.slot,96+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49" s="4" t="str">
        <f>_xlfn.LET(_xlpm.pos,"CDI plate 14: "&amp;$A6&amp;E$2,_xlpm.normal,IFERROR(INDEX(MASTER!$A:$A,MATCH(_xlpm.pos,MASTER!$H:$H,0))&amp;"_ser_0.20_"&amp;TEXT(INDEX(MASTER!$E:$E,MATCH(_xlpm.pos,MASTER!$H:$H,0)),"mmddyy"),""),_xlpm.slot,96+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49" s="4" t="str">
        <f>_xlfn.LET(_xlpm.pos,"CDI plate 14: "&amp;$A6&amp;F$2,_xlpm.normal,IFERROR(INDEX(MASTER!$A:$A,MATCH(_xlpm.pos,MASTER!$H:$H,0))&amp;"_ser_0.20_"&amp;TEXT(INDEX(MASTER!$E:$E,MATCH(_xlpm.pos,MASTER!$H:$H,0)),"mmddyy"),""),_xlpm.slot,96+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49" s="4" t="str">
        <f>_xlfn.LET(_xlpm.pos,"CDI plate 14: "&amp;$A6&amp;G$2,_xlpm.normal,IFERROR(INDEX(MASTER!$A:$A,MATCH(_xlpm.pos,MASTER!$H:$H,0))&amp;"_ser_0.20_"&amp;TEXT(INDEX(MASTER!$E:$E,MATCH(_xlpm.pos,MASTER!$H:$H,0)),"mmddyy"),""),_xlpm.slot,96+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49" s="4" t="str">
        <f>_xlfn.LET(_xlpm.pos,"CDI plate 14: "&amp;$A6&amp;H$2,_xlpm.normal,IFERROR(INDEX(MASTER!$A:$A,MATCH(_xlpm.pos,MASTER!$H:$H,0))&amp;"_ser_0.20_"&amp;TEXT(INDEX(MASTER!$E:$E,MATCH(_xlpm.pos,MASTER!$H:$H,0)),"mmddyy"),""),_xlpm.slot,96+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49" s="4" t="str">
        <f>_xlfn.LET(_xlpm.pos,"CDI plate 14: "&amp;$A6&amp;I$2,_xlpm.normal,IFERROR(INDEX(MASTER!$A:$A,MATCH(_xlpm.pos,MASTER!$H:$H,0))&amp;"_ser_0.20_"&amp;TEXT(INDEX(MASTER!$E:$E,MATCH(_xlpm.pos,MASTER!$H:$H,0)),"mmddyy"),""),_xlpm.slot,96+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49" s="4" t="str">
        <f>_xlfn.LET(_xlpm.pos,"CDI plate 14: "&amp;$A6&amp;J$2,_xlpm.normal,IFERROR(INDEX(MASTER!$A:$A,MATCH(_xlpm.pos,MASTER!$H:$H,0))&amp;"_ser_0.20_"&amp;TEXT(INDEX(MASTER!$E:$E,MATCH(_xlpm.pos,MASTER!$H:$H,0)),"mmddyy"),""),_xlpm.slot,96+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49" s="4" t="str">
        <f>_xlfn.LET(_xlpm.pos,"CDI plate 14: "&amp;$A6&amp;K$2,_xlpm.normal,IFERROR(INDEX(MASTER!$A:$A,MATCH(_xlpm.pos,MASTER!$H:$H,0))&amp;"_ser_0.20_"&amp;TEXT(INDEX(MASTER!$E:$E,MATCH(_xlpm.pos,MASTER!$H:$H,0)),"mmddyy"),""),_xlpm.slot,96+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49" s="4" t="str">
        <f>_xlfn.LET(_xlpm.pos,"CDI plate 14: "&amp;$A6&amp;L$2,_xlpm.normal,IFERROR(INDEX(MASTER!$A:$A,MATCH(_xlpm.pos,MASTER!$H:$H,0))&amp;"_ser_0.20_"&amp;TEXT(INDEX(MASTER!$E:$E,MATCH(_xlpm.pos,MASTER!$H:$H,0)),"mmddyy"),""),_xlpm.slot,96+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49" s="4" t="str">
        <f>_xlfn.LET(_xlpm.pos,"CDI plate 14: "&amp;$A6&amp;M$2,_xlpm.normal,IFERROR(INDEX(MASTER!$A:$A,MATCH(_xlpm.pos,MASTER!$H:$H,0))&amp;"_ser_0.20_"&amp;TEXT(INDEX(MASTER!$E:$E,MATCH(_xlpm.pos,MASTER!$H:$H,0)),"mmddyy"),""),_xlpm.slot,96+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50" spans="1:13" ht="22" customHeight="1" x14ac:dyDescent="0.3">
      <c r="A150" s="6" t="s">
        <v>34</v>
      </c>
      <c r="B150" s="4" t="str">
        <f>_xlfn.LET(_xlpm.pos,"CDI plate 14: "&amp;$A7&amp;B$2,_xlpm.normal,IFERROR(INDEX(MASTER!$A:$A,MATCH(_xlpm.pos,MASTER!$H:$H,0))&amp;"_ser_0.20_"&amp;TEXT(INDEX(MASTER!$E:$E,MATCH(_xlpm.pos,MASTER!$H:$H,0)),"mmddyy"),""),_xlpm.slot,96+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50" s="4" t="str">
        <f>_xlfn.LET(_xlpm.pos,"CDI plate 14: "&amp;$A7&amp;C$2,_xlpm.normal,IFERROR(INDEX(MASTER!$A:$A,MATCH(_xlpm.pos,MASTER!$H:$H,0))&amp;"_ser_0.20_"&amp;TEXT(INDEX(MASTER!$E:$E,MATCH(_xlpm.pos,MASTER!$H:$H,0)),"mmddyy"),""),_xlpm.slot,96+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50" s="4" t="str">
        <f>_xlfn.LET(_xlpm.pos,"CDI plate 14: "&amp;$A7&amp;D$2,_xlpm.normal,IFERROR(INDEX(MASTER!$A:$A,MATCH(_xlpm.pos,MASTER!$H:$H,0))&amp;"_ser_0.20_"&amp;TEXT(INDEX(MASTER!$E:$E,MATCH(_xlpm.pos,MASTER!$H:$H,0)),"mmddyy"),""),_xlpm.slot,96+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50" s="4" t="str">
        <f>_xlfn.LET(_xlpm.pos,"CDI plate 14: "&amp;$A7&amp;E$2,_xlpm.normal,IFERROR(INDEX(MASTER!$A:$A,MATCH(_xlpm.pos,MASTER!$H:$H,0))&amp;"_ser_0.20_"&amp;TEXT(INDEX(MASTER!$E:$E,MATCH(_xlpm.pos,MASTER!$H:$H,0)),"mmddyy"),""),_xlpm.slot,96+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50" s="4" t="str">
        <f>_xlfn.LET(_xlpm.pos,"CDI plate 14: "&amp;$A7&amp;F$2,_xlpm.normal,IFERROR(INDEX(MASTER!$A:$A,MATCH(_xlpm.pos,MASTER!$H:$H,0))&amp;"_ser_0.20_"&amp;TEXT(INDEX(MASTER!$E:$E,MATCH(_xlpm.pos,MASTER!$H:$H,0)),"mmddyy"),""),_xlpm.slot,96+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50" s="4" t="str">
        <f>_xlfn.LET(_xlpm.pos,"CDI plate 14: "&amp;$A7&amp;G$2,_xlpm.normal,IFERROR(INDEX(MASTER!$A:$A,MATCH(_xlpm.pos,MASTER!$H:$H,0))&amp;"_ser_0.20_"&amp;TEXT(INDEX(MASTER!$E:$E,MATCH(_xlpm.pos,MASTER!$H:$H,0)),"mmddyy"),""),_xlpm.slot,96+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50" s="4" t="str">
        <f>_xlfn.LET(_xlpm.pos,"CDI plate 14: "&amp;$A7&amp;H$2,_xlpm.normal,IFERROR(INDEX(MASTER!$A:$A,MATCH(_xlpm.pos,MASTER!$H:$H,0))&amp;"_ser_0.20_"&amp;TEXT(INDEX(MASTER!$E:$E,MATCH(_xlpm.pos,MASTER!$H:$H,0)),"mmddyy"),""),_xlpm.slot,96+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50" s="4" t="str">
        <f>_xlfn.LET(_xlpm.pos,"CDI plate 14: "&amp;$A7&amp;I$2,_xlpm.normal,IFERROR(INDEX(MASTER!$A:$A,MATCH(_xlpm.pos,MASTER!$H:$H,0))&amp;"_ser_0.20_"&amp;TEXT(INDEX(MASTER!$E:$E,MATCH(_xlpm.pos,MASTER!$H:$H,0)),"mmddyy"),""),_xlpm.slot,96+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50" s="4" t="str">
        <f>_xlfn.LET(_xlpm.pos,"CDI plate 14: "&amp;$A7&amp;J$2,_xlpm.normal,IFERROR(INDEX(MASTER!$A:$A,MATCH(_xlpm.pos,MASTER!$H:$H,0))&amp;"_ser_0.20_"&amp;TEXT(INDEX(MASTER!$E:$E,MATCH(_xlpm.pos,MASTER!$H:$H,0)),"mmddyy"),""),_xlpm.slot,96+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50" s="4" t="str">
        <f>_xlfn.LET(_xlpm.pos,"CDI plate 14: "&amp;$A7&amp;K$2,_xlpm.normal,IFERROR(INDEX(MASTER!$A:$A,MATCH(_xlpm.pos,MASTER!$H:$H,0))&amp;"_ser_0.20_"&amp;TEXT(INDEX(MASTER!$E:$E,MATCH(_xlpm.pos,MASTER!$H:$H,0)),"mmddyy"),""),_xlpm.slot,96+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50" s="4" t="str">
        <f>_xlfn.LET(_xlpm.pos,"CDI plate 14: "&amp;$A7&amp;L$2,_xlpm.normal,IFERROR(INDEX(MASTER!$A:$A,MATCH(_xlpm.pos,MASTER!$H:$H,0))&amp;"_ser_0.20_"&amp;TEXT(INDEX(MASTER!$E:$E,MATCH(_xlpm.pos,MASTER!$H:$H,0)),"mmddyy"),""),_xlpm.slot,96+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50" s="4" t="str">
        <f>_xlfn.LET(_xlpm.pos,"CDI plate 14: "&amp;$A7&amp;M$2,_xlpm.normal,IFERROR(INDEX(MASTER!$A:$A,MATCH(_xlpm.pos,MASTER!$H:$H,0))&amp;"_ser_0.20_"&amp;TEXT(INDEX(MASTER!$E:$E,MATCH(_xlpm.pos,MASTER!$H:$H,0)),"mmddyy"),""),_xlpm.slot,96+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51" spans="1:13" ht="22" customHeight="1" x14ac:dyDescent="0.3">
      <c r="A151" s="6" t="s">
        <v>15</v>
      </c>
      <c r="B151" s="4" t="str">
        <f>_xlfn.LET(_xlpm.pos,"CDI plate 14: "&amp;$A8&amp;B$2,_xlpm.normal,IFERROR(INDEX(MASTER!$A:$A,MATCH(_xlpm.pos,MASTER!$H:$H,0))&amp;"_ser_0.20_"&amp;TEXT(INDEX(MASTER!$E:$E,MATCH(_xlpm.pos,MASTER!$H:$H,0)),"mmddyy"),""),_xlpm.slot,96+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51" s="4" t="str">
        <f>_xlfn.LET(_xlpm.pos,"CDI plate 14: "&amp;$A8&amp;C$2,_xlpm.normal,IFERROR(INDEX(MASTER!$A:$A,MATCH(_xlpm.pos,MASTER!$H:$H,0))&amp;"_ser_0.20_"&amp;TEXT(INDEX(MASTER!$E:$E,MATCH(_xlpm.pos,MASTER!$H:$H,0)),"mmddyy"),""),_xlpm.slot,96+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51" s="4" t="str">
        <f>_xlfn.LET(_xlpm.pos,"CDI plate 14: "&amp;$A8&amp;D$2,_xlpm.normal,IFERROR(INDEX(MASTER!$A:$A,MATCH(_xlpm.pos,MASTER!$H:$H,0))&amp;"_ser_0.20_"&amp;TEXT(INDEX(MASTER!$E:$E,MATCH(_xlpm.pos,MASTER!$H:$H,0)),"mmddyy"),""),_xlpm.slot,96+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51" s="4" t="str">
        <f>_xlfn.LET(_xlpm.pos,"CDI plate 14: "&amp;$A8&amp;E$2,_xlpm.normal,IFERROR(INDEX(MASTER!$A:$A,MATCH(_xlpm.pos,MASTER!$H:$H,0))&amp;"_ser_0.20_"&amp;TEXT(INDEX(MASTER!$E:$E,MATCH(_xlpm.pos,MASTER!$H:$H,0)),"mmddyy"),""),_xlpm.slot,96+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51" s="4" t="str">
        <f>_xlfn.LET(_xlpm.pos,"CDI plate 14: "&amp;$A8&amp;F$2,_xlpm.normal,IFERROR(INDEX(MASTER!$A:$A,MATCH(_xlpm.pos,MASTER!$H:$H,0))&amp;"_ser_0.20_"&amp;TEXT(INDEX(MASTER!$E:$E,MATCH(_xlpm.pos,MASTER!$H:$H,0)),"mmddyy"),""),_xlpm.slot,96+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51" s="4" t="str">
        <f>_xlfn.LET(_xlpm.pos,"CDI plate 14: "&amp;$A8&amp;G$2,_xlpm.normal,IFERROR(INDEX(MASTER!$A:$A,MATCH(_xlpm.pos,MASTER!$H:$H,0))&amp;"_ser_0.20_"&amp;TEXT(INDEX(MASTER!$E:$E,MATCH(_xlpm.pos,MASTER!$H:$H,0)),"mmddyy"),""),_xlpm.slot,96+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51" s="4" t="str">
        <f>_xlfn.LET(_xlpm.pos,"CDI plate 14: "&amp;$A8&amp;H$2,_xlpm.normal,IFERROR(INDEX(MASTER!$A:$A,MATCH(_xlpm.pos,MASTER!$H:$H,0))&amp;"_ser_0.20_"&amp;TEXT(INDEX(MASTER!$E:$E,MATCH(_xlpm.pos,MASTER!$H:$H,0)),"mmddyy"),""),_xlpm.slot,96+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51" s="4" t="str">
        <f>_xlfn.LET(_xlpm.pos,"CDI plate 14: "&amp;$A8&amp;I$2,_xlpm.normal,IFERROR(INDEX(MASTER!$A:$A,MATCH(_xlpm.pos,MASTER!$H:$H,0))&amp;"_ser_0.20_"&amp;TEXT(INDEX(MASTER!$E:$E,MATCH(_xlpm.pos,MASTER!$H:$H,0)),"mmddyy"),""),_xlpm.slot,96+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51" s="4" t="str">
        <f>_xlfn.LET(_xlpm.pos,"CDI plate 14: "&amp;$A8&amp;J$2,_xlpm.normal,IFERROR(INDEX(MASTER!$A:$A,MATCH(_xlpm.pos,MASTER!$H:$H,0))&amp;"_ser_0.20_"&amp;TEXT(INDEX(MASTER!$E:$E,MATCH(_xlpm.pos,MASTER!$H:$H,0)),"mmddyy"),""),_xlpm.slot,96+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51" s="4" t="str">
        <f>_xlfn.LET(_xlpm.pos,"CDI plate 14: "&amp;$A8&amp;K$2,_xlpm.normal,IFERROR(INDEX(MASTER!$A:$A,MATCH(_xlpm.pos,MASTER!$H:$H,0))&amp;"_ser_0.20_"&amp;TEXT(INDEX(MASTER!$E:$E,MATCH(_xlpm.pos,MASTER!$H:$H,0)),"mmddyy"),""),_xlpm.slot,96+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51" s="4" t="str">
        <f>_xlfn.LET(_xlpm.pos,"CDI plate 14: "&amp;$A8&amp;L$2,_xlpm.normal,IFERROR(INDEX(MASTER!$A:$A,MATCH(_xlpm.pos,MASTER!$H:$H,0))&amp;"_ser_0.20_"&amp;TEXT(INDEX(MASTER!$E:$E,MATCH(_xlpm.pos,MASTER!$H:$H,0)),"mmddyy"),""),_xlpm.slot,96+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51" s="4" t="str">
        <f>_xlfn.LET(_xlpm.pos,"CDI plate 14: "&amp;$A8&amp;M$2,_xlpm.normal,IFERROR(INDEX(MASTER!$A:$A,MATCH(_xlpm.pos,MASTER!$H:$H,0))&amp;"_ser_0.20_"&amp;TEXT(INDEX(MASTER!$E:$E,MATCH(_xlpm.pos,MASTER!$H:$H,0)),"mmddyy"),""),_xlpm.slot,96+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52" spans="1:13" ht="22" customHeight="1" x14ac:dyDescent="0.3">
      <c r="A152" s="6" t="s">
        <v>35</v>
      </c>
      <c r="B152" s="4" t="str">
        <f>_xlfn.LET(_xlpm.pos,"CDI plate 14: "&amp;$A9&amp;B$2,_xlpm.normal,IFERROR(INDEX(MASTER!$A:$A,MATCH(_xlpm.pos,MASTER!$H:$H,0))&amp;"_ser_0.20_"&amp;TEXT(INDEX(MASTER!$E:$E,MATCH(_xlpm.pos,MASTER!$H:$H,0)),"mmddyy"),""),_xlpm.slot,96+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52" s="4" t="str">
        <f>_xlfn.LET(_xlpm.pos,"CDI plate 14: "&amp;$A9&amp;C$2,_xlpm.normal,IFERROR(INDEX(MASTER!$A:$A,MATCH(_xlpm.pos,MASTER!$H:$H,0))&amp;"_ser_0.20_"&amp;TEXT(INDEX(MASTER!$E:$E,MATCH(_xlpm.pos,MASTER!$H:$H,0)),"mmddyy"),""),_xlpm.slot,96+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52" s="4" t="str">
        <f>_xlfn.LET(_xlpm.pos,"CDI plate 14: "&amp;$A9&amp;D$2,_xlpm.normal,IFERROR(INDEX(MASTER!$A:$A,MATCH(_xlpm.pos,MASTER!$H:$H,0))&amp;"_ser_0.20_"&amp;TEXT(INDEX(MASTER!$E:$E,MATCH(_xlpm.pos,MASTER!$H:$H,0)),"mmddyy"),""),_xlpm.slot,96+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52" s="4" t="str">
        <f>_xlfn.LET(_xlpm.pos,"CDI plate 14: "&amp;$A9&amp;E$2,_xlpm.normal,IFERROR(INDEX(MASTER!$A:$A,MATCH(_xlpm.pos,MASTER!$H:$H,0))&amp;"_ser_0.20_"&amp;TEXT(INDEX(MASTER!$E:$E,MATCH(_xlpm.pos,MASTER!$H:$H,0)),"mmddyy"),""),_xlpm.slot,96+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52" s="4" t="str">
        <f>_xlfn.LET(_xlpm.pos,"CDI plate 14: "&amp;$A9&amp;F$2,_xlpm.normal,IFERROR(INDEX(MASTER!$A:$A,MATCH(_xlpm.pos,MASTER!$H:$H,0))&amp;"_ser_0.20_"&amp;TEXT(INDEX(MASTER!$E:$E,MATCH(_xlpm.pos,MASTER!$H:$H,0)),"mmddyy"),""),_xlpm.slot,96+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52" s="4" t="str">
        <f>_xlfn.LET(_xlpm.pos,"CDI plate 14: "&amp;$A9&amp;G$2,_xlpm.normal,IFERROR(INDEX(MASTER!$A:$A,MATCH(_xlpm.pos,MASTER!$H:$H,0))&amp;"_ser_0.20_"&amp;TEXT(INDEX(MASTER!$E:$E,MATCH(_xlpm.pos,MASTER!$H:$H,0)),"mmddyy"),""),_xlpm.slot,96+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52" s="4" t="str">
        <f>_xlfn.LET(_xlpm.pos,"CDI plate 14: "&amp;$A9&amp;H$2,_xlpm.normal,IFERROR(INDEX(MASTER!$A:$A,MATCH(_xlpm.pos,MASTER!$H:$H,0))&amp;"_ser_0.20_"&amp;TEXT(INDEX(MASTER!$E:$E,MATCH(_xlpm.pos,MASTER!$H:$H,0)),"mmddyy"),""),_xlpm.slot,96+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52" s="4" t="str">
        <f>_xlfn.LET(_xlpm.pos,"CDI plate 14: "&amp;$A9&amp;I$2,_xlpm.normal,IFERROR(INDEX(MASTER!$A:$A,MATCH(_xlpm.pos,MASTER!$H:$H,0))&amp;"_ser_0.20_"&amp;TEXT(INDEX(MASTER!$E:$E,MATCH(_xlpm.pos,MASTER!$H:$H,0)),"mmddyy"),""),_xlpm.slot,96+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52" s="4" t="str">
        <f>_xlfn.LET(_xlpm.pos,"CDI plate 14: "&amp;$A9&amp;J$2,_xlpm.normal,IFERROR(INDEX(MASTER!$A:$A,MATCH(_xlpm.pos,MASTER!$H:$H,0))&amp;"_ser_0.20_"&amp;TEXT(INDEX(MASTER!$E:$E,MATCH(_xlpm.pos,MASTER!$H:$H,0)),"mmddyy"),""),_xlpm.slot,96+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52" s="4" t="str">
        <f>_xlfn.LET(_xlpm.pos,"CDI plate 14: "&amp;$A9&amp;K$2,_xlpm.normal,IFERROR(INDEX(MASTER!$A:$A,MATCH(_xlpm.pos,MASTER!$H:$H,0))&amp;"_ser_0.20_"&amp;TEXT(INDEX(MASTER!$E:$E,MATCH(_xlpm.pos,MASTER!$H:$H,0)),"mmddyy"),""),_xlpm.slot,96+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52" s="4" t="str">
        <f>_xlfn.LET(_xlpm.pos,"CDI plate 14: "&amp;$A9&amp;L$2,_xlpm.normal,IFERROR(INDEX(MASTER!$A:$A,MATCH(_xlpm.pos,MASTER!$H:$H,0))&amp;"_ser_0.20_"&amp;TEXT(INDEX(MASTER!$E:$E,MATCH(_xlpm.pos,MASTER!$H:$H,0)),"mmddyy"),""),_xlpm.slot,96+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52" s="4" t="str">
        <f>_xlfn.LET(_xlpm.pos,"CDI plate 14: "&amp;$A9&amp;M$2,_xlpm.normal,IFERROR(INDEX(MASTER!$A:$A,MATCH(_xlpm.pos,MASTER!$H:$H,0))&amp;"_ser_0.20_"&amp;TEXT(INDEX(MASTER!$E:$E,MATCH(_xlpm.pos,MASTER!$H:$H,0)),"mmddyy"),""),_xlpm.slot,96+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53" spans="1:13" ht="22" customHeight="1" x14ac:dyDescent="0.3">
      <c r="A153" s="6" t="s">
        <v>36</v>
      </c>
      <c r="B153" s="4" t="str">
        <f>_xlfn.LET(_xlpm.pos,"CDI plate 14: "&amp;$A10&amp;B$2,_xlpm.normal,IFERROR(INDEX(MASTER!$A:$A,MATCH(_xlpm.pos,MASTER!$H:$H,0))&amp;"_ser_0.20_"&amp;TEXT(INDEX(MASTER!$E:$E,MATCH(_xlpm.pos,MASTER!$H:$H,0)),"mmddyy"),""),_xlpm.slot,96+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53" s="4" t="str">
        <f>_xlfn.LET(_xlpm.pos,"CDI plate 14: "&amp;$A10&amp;C$2,_xlpm.normal,IFERROR(INDEX(MASTER!$A:$A,MATCH(_xlpm.pos,MASTER!$H:$H,0))&amp;"_ser_0.20_"&amp;TEXT(INDEX(MASTER!$E:$E,MATCH(_xlpm.pos,MASTER!$H:$H,0)),"mmddyy"),""),_xlpm.slot,96+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53" s="4" t="str">
        <f>_xlfn.LET(_xlpm.pos,"CDI plate 14: "&amp;$A10&amp;D$2,_xlpm.normal,IFERROR(INDEX(MASTER!$A:$A,MATCH(_xlpm.pos,MASTER!$H:$H,0))&amp;"_ser_0.20_"&amp;TEXT(INDEX(MASTER!$E:$E,MATCH(_xlpm.pos,MASTER!$H:$H,0)),"mmddyy"),""),_xlpm.slot,96+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53" s="4" t="str">
        <f>_xlfn.LET(_xlpm.pos,"CDI plate 14: "&amp;$A10&amp;E$2,_xlpm.normal,IFERROR(INDEX(MASTER!$A:$A,MATCH(_xlpm.pos,MASTER!$H:$H,0))&amp;"_ser_0.20_"&amp;TEXT(INDEX(MASTER!$E:$E,MATCH(_xlpm.pos,MASTER!$H:$H,0)),"mmddyy"),""),_xlpm.slot,96+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53" s="4" t="str">
        <f>_xlfn.LET(_xlpm.pos,"CDI plate 14: "&amp;$A10&amp;F$2,_xlpm.normal,IFERROR(INDEX(MASTER!$A:$A,MATCH(_xlpm.pos,MASTER!$H:$H,0))&amp;"_ser_0.20_"&amp;TEXT(INDEX(MASTER!$E:$E,MATCH(_xlpm.pos,MASTER!$H:$H,0)),"mmddyy"),""),_xlpm.slot,96+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53" s="4" t="str">
        <f>_xlfn.LET(_xlpm.pos,"CDI plate 14: "&amp;$A10&amp;G$2,_xlpm.normal,IFERROR(INDEX(MASTER!$A:$A,MATCH(_xlpm.pos,MASTER!$H:$H,0))&amp;"_ser_0.20_"&amp;TEXT(INDEX(MASTER!$E:$E,MATCH(_xlpm.pos,MASTER!$H:$H,0)),"mmddyy"),""),_xlpm.slot,96+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53" s="4" t="str">
        <f>_xlfn.LET(_xlpm.pos,"CDI plate 14: "&amp;$A10&amp;H$2,_xlpm.normal,IFERROR(INDEX(MASTER!$A:$A,MATCH(_xlpm.pos,MASTER!$H:$H,0))&amp;"_ser_0.20_"&amp;TEXT(INDEX(MASTER!$E:$E,MATCH(_xlpm.pos,MASTER!$H:$H,0)),"mmddyy"),""),_xlpm.slot,96+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53" s="4" t="str">
        <f>_xlfn.LET(_xlpm.pos,"CDI plate 14: "&amp;$A10&amp;I$2,_xlpm.normal,IFERROR(INDEX(MASTER!$A:$A,MATCH(_xlpm.pos,MASTER!$H:$H,0))&amp;"_ser_0.20_"&amp;TEXT(INDEX(MASTER!$E:$E,MATCH(_xlpm.pos,MASTER!$H:$H,0)),"mmddyy"),""),_xlpm.slot,96+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53" s="4" t="str">
        <f>_xlfn.LET(_xlpm.pos,"CDI plate 14: "&amp;$A10&amp;J$2,_xlpm.normal,IFERROR(INDEX(MASTER!$A:$A,MATCH(_xlpm.pos,MASTER!$H:$H,0))&amp;"_ser_0.20_"&amp;TEXT(INDEX(MASTER!$E:$E,MATCH(_xlpm.pos,MASTER!$H:$H,0)),"mmddyy"),""),_xlpm.slot,96+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53" s="4" t="str">
        <f>_xlfn.LET(_xlpm.pos,"CDI plate 14: "&amp;$A10&amp;K$2,_xlpm.normal,IFERROR(INDEX(MASTER!$A:$A,MATCH(_xlpm.pos,MASTER!$H:$H,0))&amp;"_ser_0.20_"&amp;TEXT(INDEX(MASTER!$E:$E,MATCH(_xlpm.pos,MASTER!$H:$H,0)),"mmddyy"),""),_xlpm.slot,96+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53" s="4" t="str">
        <f>_xlfn.LET(_xlpm.pos,"CDI plate 14: "&amp;$A10&amp;L$2,_xlpm.normal,IFERROR(INDEX(MASTER!$A:$A,MATCH(_xlpm.pos,MASTER!$H:$H,0))&amp;"_ser_0.20_"&amp;TEXT(INDEX(MASTER!$E:$E,MATCH(_xlpm.pos,MASTER!$H:$H,0)),"mmddyy"),""),_xlpm.slot,96+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53" s="4" t="str">
        <f>_xlfn.LET(_xlpm.pos,"CDI plate 14: "&amp;$A10&amp;M$2,_xlpm.normal,IFERROR(INDEX(MASTER!$A:$A,MATCH(_xlpm.pos,MASTER!$H:$H,0))&amp;"_ser_0.20_"&amp;TEXT(INDEX(MASTER!$E:$E,MATCH(_xlpm.pos,MASTER!$H:$H,0)),"mmddyy"),""),_xlpm.slot,96+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54" spans="1:13" ht="22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3" ht="22" customHeight="1" x14ac:dyDescent="0.35">
      <c r="A155" s="5"/>
      <c r="B155" s="31" t="s">
        <v>50</v>
      </c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3"/>
    </row>
    <row r="156" spans="1:13" ht="22" customHeight="1" x14ac:dyDescent="0.3">
      <c r="A156" s="5"/>
      <c r="B156" s="6">
        <v>1</v>
      </c>
      <c r="C156" s="6">
        <v>2</v>
      </c>
      <c r="D156" s="6">
        <v>3</v>
      </c>
      <c r="E156" s="6">
        <v>4</v>
      </c>
      <c r="F156" s="6">
        <v>5</v>
      </c>
      <c r="G156" s="6">
        <v>6</v>
      </c>
      <c r="H156" s="6">
        <v>7</v>
      </c>
      <c r="I156" s="6">
        <v>8</v>
      </c>
      <c r="J156" s="6">
        <v>9</v>
      </c>
      <c r="K156" s="6">
        <v>10</v>
      </c>
      <c r="L156" s="6">
        <v>11</v>
      </c>
      <c r="M156" s="6">
        <v>12</v>
      </c>
    </row>
    <row r="157" spans="1:13" ht="22" customHeight="1" x14ac:dyDescent="0.3">
      <c r="A157" s="6" t="s">
        <v>30</v>
      </c>
      <c r="B157" s="4" t="str">
        <f>_xlfn.LET(_xlpm.pos,"CDI plate 15: "&amp;$A3&amp;B$2,_xlpm.normal,IFERROR(INDEX(MASTER!$A:$A,MATCH(_xlpm.pos,MASTER!$H:$H,0))&amp;"_ser_0.20_"&amp;TEXT(INDEX(MASTER!$E:$E,MATCH(_xlpm.pos,MASTER!$H:$H,0)),"mmddyy"),""),_xlpm.slot,96+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57" s="4" t="str">
        <f>_xlfn.LET(_xlpm.pos,"CDI plate 15: "&amp;$A3&amp;C$2,_xlpm.normal,IFERROR(INDEX(MASTER!$A:$A,MATCH(_xlpm.pos,MASTER!$H:$H,0))&amp;"_ser_0.20_"&amp;TEXT(INDEX(MASTER!$E:$E,MATCH(_xlpm.pos,MASTER!$H:$H,0)),"mmddyy"),""),_xlpm.slot,96+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57" s="4" t="str">
        <f>_xlfn.LET(_xlpm.pos,"CDI plate 15: "&amp;$A3&amp;D$2,_xlpm.normal,IFERROR(INDEX(MASTER!$A:$A,MATCH(_xlpm.pos,MASTER!$H:$H,0))&amp;"_ser_0.20_"&amp;TEXT(INDEX(MASTER!$E:$E,MATCH(_xlpm.pos,MASTER!$H:$H,0)),"mmddyy"),""),_xlpm.slot,96+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57" s="4" t="str">
        <f>_xlfn.LET(_xlpm.pos,"CDI plate 15: "&amp;$A3&amp;E$2,_xlpm.normal,IFERROR(INDEX(MASTER!$A:$A,MATCH(_xlpm.pos,MASTER!$H:$H,0))&amp;"_ser_0.20_"&amp;TEXT(INDEX(MASTER!$E:$E,MATCH(_xlpm.pos,MASTER!$H:$H,0)),"mmddyy"),""),_xlpm.slot,96+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57" s="4" t="str">
        <f>_xlfn.LET(_xlpm.pos,"CDI plate 15: "&amp;$A3&amp;F$2,_xlpm.normal,IFERROR(INDEX(MASTER!$A:$A,MATCH(_xlpm.pos,MASTER!$H:$H,0))&amp;"_ser_0.20_"&amp;TEXT(INDEX(MASTER!$E:$E,MATCH(_xlpm.pos,MASTER!$H:$H,0)),"mmddyy"),""),_xlpm.slot,96+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57" s="4" t="str">
        <f>_xlfn.LET(_xlpm.pos,"CDI plate 15: "&amp;$A3&amp;G$2,_xlpm.normal,IFERROR(INDEX(MASTER!$A:$A,MATCH(_xlpm.pos,MASTER!$H:$H,0))&amp;"_ser_0.20_"&amp;TEXT(INDEX(MASTER!$E:$E,MATCH(_xlpm.pos,MASTER!$H:$H,0)),"mmddyy"),""),_xlpm.slot,96+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57" s="4" t="str">
        <f>_xlfn.LET(_xlpm.pos,"CDI plate 15: "&amp;$A3&amp;H$2,_xlpm.normal,IFERROR(INDEX(MASTER!$A:$A,MATCH(_xlpm.pos,MASTER!$H:$H,0))&amp;"_ser_0.20_"&amp;TEXT(INDEX(MASTER!$E:$E,MATCH(_xlpm.pos,MASTER!$H:$H,0)),"mmddyy"),""),_xlpm.slot,96+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57" s="4" t="str">
        <f>_xlfn.LET(_xlpm.pos,"CDI plate 15: "&amp;$A3&amp;I$2,_xlpm.normal,IFERROR(INDEX(MASTER!$A:$A,MATCH(_xlpm.pos,MASTER!$H:$H,0))&amp;"_ser_0.20_"&amp;TEXT(INDEX(MASTER!$E:$E,MATCH(_xlpm.pos,MASTER!$H:$H,0)),"mmddyy"),""),_xlpm.slot,96+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57" s="4" t="str">
        <f>_xlfn.LET(_xlpm.pos,"CDI plate 15: "&amp;$A3&amp;J$2,_xlpm.normal,IFERROR(INDEX(MASTER!$A:$A,MATCH(_xlpm.pos,MASTER!$H:$H,0))&amp;"_ser_0.20_"&amp;TEXT(INDEX(MASTER!$E:$E,MATCH(_xlpm.pos,MASTER!$H:$H,0)),"mmddyy"),""),_xlpm.slot,96+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57" s="4" t="str">
        <f>_xlfn.LET(_xlpm.pos,"CDI plate 15: "&amp;$A3&amp;K$2,_xlpm.normal,IFERROR(INDEX(MASTER!$A:$A,MATCH(_xlpm.pos,MASTER!$H:$H,0))&amp;"_ser_0.20_"&amp;TEXT(INDEX(MASTER!$E:$E,MATCH(_xlpm.pos,MASTER!$H:$H,0)),"mmddyy"),""),_xlpm.slot,96+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57" s="4" t="str">
        <f>_xlfn.LET(_xlpm.pos,"CDI plate 15: "&amp;$A3&amp;L$2,_xlpm.normal,IFERROR(INDEX(MASTER!$A:$A,MATCH(_xlpm.pos,MASTER!$H:$H,0))&amp;"_ser_0.20_"&amp;TEXT(INDEX(MASTER!$E:$E,MATCH(_xlpm.pos,MASTER!$H:$H,0)),"mmddyy"),""),_xlpm.slot,96+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57" s="4" t="str">
        <f>_xlfn.LET(_xlpm.pos,"CDI plate 15: "&amp;$A3&amp;M$2,_xlpm.normal,IFERROR(INDEX(MASTER!$A:$A,MATCH(_xlpm.pos,MASTER!$H:$H,0))&amp;"_ser_0.20_"&amp;TEXT(INDEX(MASTER!$E:$E,MATCH(_xlpm.pos,MASTER!$H:$H,0)),"mmddyy"),""),_xlpm.slot,96+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58" spans="1:13" ht="22" customHeight="1" x14ac:dyDescent="0.3">
      <c r="A158" s="6" t="s">
        <v>31</v>
      </c>
      <c r="B158" s="4" t="str">
        <f>_xlfn.LET(_xlpm.pos,"CDI plate 15: "&amp;$A4&amp;B$2,_xlpm.normal,IFERROR(INDEX(MASTER!$A:$A,MATCH(_xlpm.pos,MASTER!$H:$H,0))&amp;"_ser_0.20_"&amp;TEXT(INDEX(MASTER!$E:$E,MATCH(_xlpm.pos,MASTER!$H:$H,0)),"mmddyy"),""),_xlpm.slot,96+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58" s="4" t="str">
        <f>_xlfn.LET(_xlpm.pos,"CDI plate 15: "&amp;$A4&amp;C$2,_xlpm.normal,IFERROR(INDEX(MASTER!$A:$A,MATCH(_xlpm.pos,MASTER!$H:$H,0))&amp;"_ser_0.20_"&amp;TEXT(INDEX(MASTER!$E:$E,MATCH(_xlpm.pos,MASTER!$H:$H,0)),"mmddyy"),""),_xlpm.slot,96+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58" s="4" t="str">
        <f>_xlfn.LET(_xlpm.pos,"CDI plate 15: "&amp;$A4&amp;D$2,_xlpm.normal,IFERROR(INDEX(MASTER!$A:$A,MATCH(_xlpm.pos,MASTER!$H:$H,0))&amp;"_ser_0.20_"&amp;TEXT(INDEX(MASTER!$E:$E,MATCH(_xlpm.pos,MASTER!$H:$H,0)),"mmddyy"),""),_xlpm.slot,96+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58" s="4" t="str">
        <f>_xlfn.LET(_xlpm.pos,"CDI plate 15: "&amp;$A4&amp;E$2,_xlpm.normal,IFERROR(INDEX(MASTER!$A:$A,MATCH(_xlpm.pos,MASTER!$H:$H,0))&amp;"_ser_0.20_"&amp;TEXT(INDEX(MASTER!$E:$E,MATCH(_xlpm.pos,MASTER!$H:$H,0)),"mmddyy"),""),_xlpm.slot,96+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58" s="4" t="str">
        <f>_xlfn.LET(_xlpm.pos,"CDI plate 15: "&amp;$A4&amp;F$2,_xlpm.normal,IFERROR(INDEX(MASTER!$A:$A,MATCH(_xlpm.pos,MASTER!$H:$H,0))&amp;"_ser_0.20_"&amp;TEXT(INDEX(MASTER!$E:$E,MATCH(_xlpm.pos,MASTER!$H:$H,0)),"mmddyy"),""),_xlpm.slot,96+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58" s="4" t="str">
        <f>_xlfn.LET(_xlpm.pos,"CDI plate 15: "&amp;$A4&amp;G$2,_xlpm.normal,IFERROR(INDEX(MASTER!$A:$A,MATCH(_xlpm.pos,MASTER!$H:$H,0))&amp;"_ser_0.20_"&amp;TEXT(INDEX(MASTER!$E:$E,MATCH(_xlpm.pos,MASTER!$H:$H,0)),"mmddyy"),""),_xlpm.slot,96+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58" s="4" t="str">
        <f>_xlfn.LET(_xlpm.pos,"CDI plate 15: "&amp;$A4&amp;H$2,_xlpm.normal,IFERROR(INDEX(MASTER!$A:$A,MATCH(_xlpm.pos,MASTER!$H:$H,0))&amp;"_ser_0.20_"&amp;TEXT(INDEX(MASTER!$E:$E,MATCH(_xlpm.pos,MASTER!$H:$H,0)),"mmddyy"),""),_xlpm.slot,96+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58" s="4" t="str">
        <f>_xlfn.LET(_xlpm.pos,"CDI plate 15: "&amp;$A4&amp;I$2,_xlpm.normal,IFERROR(INDEX(MASTER!$A:$A,MATCH(_xlpm.pos,MASTER!$H:$H,0))&amp;"_ser_0.20_"&amp;TEXT(INDEX(MASTER!$E:$E,MATCH(_xlpm.pos,MASTER!$H:$H,0)),"mmddyy"),""),_xlpm.slot,96+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58" s="4" t="str">
        <f>_xlfn.LET(_xlpm.pos,"CDI plate 15: "&amp;$A4&amp;J$2,_xlpm.normal,IFERROR(INDEX(MASTER!$A:$A,MATCH(_xlpm.pos,MASTER!$H:$H,0))&amp;"_ser_0.20_"&amp;TEXT(INDEX(MASTER!$E:$E,MATCH(_xlpm.pos,MASTER!$H:$H,0)),"mmddyy"),""),_xlpm.slot,96+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58" s="4" t="str">
        <f>_xlfn.LET(_xlpm.pos,"CDI plate 15: "&amp;$A4&amp;K$2,_xlpm.normal,IFERROR(INDEX(MASTER!$A:$A,MATCH(_xlpm.pos,MASTER!$H:$H,0))&amp;"_ser_0.20_"&amp;TEXT(INDEX(MASTER!$E:$E,MATCH(_xlpm.pos,MASTER!$H:$H,0)),"mmddyy"),""),_xlpm.slot,96+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58" s="4" t="str">
        <f>_xlfn.LET(_xlpm.pos,"CDI plate 15: "&amp;$A4&amp;L$2,_xlpm.normal,IFERROR(INDEX(MASTER!$A:$A,MATCH(_xlpm.pos,MASTER!$H:$H,0))&amp;"_ser_0.20_"&amp;TEXT(INDEX(MASTER!$E:$E,MATCH(_xlpm.pos,MASTER!$H:$H,0)),"mmddyy"),""),_xlpm.slot,96+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58" s="4" t="str">
        <f>_xlfn.LET(_xlpm.pos,"CDI plate 15: "&amp;$A4&amp;M$2,_xlpm.normal,IFERROR(INDEX(MASTER!$A:$A,MATCH(_xlpm.pos,MASTER!$H:$H,0))&amp;"_ser_0.20_"&amp;TEXT(INDEX(MASTER!$E:$E,MATCH(_xlpm.pos,MASTER!$H:$H,0)),"mmddyy"),""),_xlpm.slot,96+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59" spans="1:13" ht="22" customHeight="1" x14ac:dyDescent="0.3">
      <c r="A159" s="6" t="s">
        <v>32</v>
      </c>
      <c r="B159" s="4" t="str">
        <f>_xlfn.LET(_xlpm.pos,"CDI plate 15: "&amp;$A5&amp;B$2,_xlpm.normal,IFERROR(INDEX(MASTER!$A:$A,MATCH(_xlpm.pos,MASTER!$H:$H,0))&amp;"_ser_0.20_"&amp;TEXT(INDEX(MASTER!$E:$E,MATCH(_xlpm.pos,MASTER!$H:$H,0)),"mmddyy"),""),_xlpm.slot,96+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59" s="4" t="str">
        <f>_xlfn.LET(_xlpm.pos,"CDI plate 15: "&amp;$A5&amp;C$2,_xlpm.normal,IFERROR(INDEX(MASTER!$A:$A,MATCH(_xlpm.pos,MASTER!$H:$H,0))&amp;"_ser_0.20_"&amp;TEXT(INDEX(MASTER!$E:$E,MATCH(_xlpm.pos,MASTER!$H:$H,0)),"mmddyy"),""),_xlpm.slot,96+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59" s="4" t="str">
        <f>_xlfn.LET(_xlpm.pos,"CDI plate 15: "&amp;$A5&amp;D$2,_xlpm.normal,IFERROR(INDEX(MASTER!$A:$A,MATCH(_xlpm.pos,MASTER!$H:$H,0))&amp;"_ser_0.20_"&amp;TEXT(INDEX(MASTER!$E:$E,MATCH(_xlpm.pos,MASTER!$H:$H,0)),"mmddyy"),""),_xlpm.slot,96+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59" s="4" t="str">
        <f>_xlfn.LET(_xlpm.pos,"CDI plate 15: "&amp;$A5&amp;E$2,_xlpm.normal,IFERROR(INDEX(MASTER!$A:$A,MATCH(_xlpm.pos,MASTER!$H:$H,0))&amp;"_ser_0.20_"&amp;TEXT(INDEX(MASTER!$E:$E,MATCH(_xlpm.pos,MASTER!$H:$H,0)),"mmddyy"),""),_xlpm.slot,96+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59" s="4" t="str">
        <f>_xlfn.LET(_xlpm.pos,"CDI plate 15: "&amp;$A5&amp;F$2,_xlpm.normal,IFERROR(INDEX(MASTER!$A:$A,MATCH(_xlpm.pos,MASTER!$H:$H,0))&amp;"_ser_0.20_"&amp;TEXT(INDEX(MASTER!$E:$E,MATCH(_xlpm.pos,MASTER!$H:$H,0)),"mmddyy"),""),_xlpm.slot,96+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59" s="4" t="str">
        <f>_xlfn.LET(_xlpm.pos,"CDI plate 15: "&amp;$A5&amp;G$2,_xlpm.normal,IFERROR(INDEX(MASTER!$A:$A,MATCH(_xlpm.pos,MASTER!$H:$H,0))&amp;"_ser_0.20_"&amp;TEXT(INDEX(MASTER!$E:$E,MATCH(_xlpm.pos,MASTER!$H:$H,0)),"mmddyy"),""),_xlpm.slot,96+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59" s="4" t="str">
        <f>_xlfn.LET(_xlpm.pos,"CDI plate 15: "&amp;$A5&amp;H$2,_xlpm.normal,IFERROR(INDEX(MASTER!$A:$A,MATCH(_xlpm.pos,MASTER!$H:$H,0))&amp;"_ser_0.20_"&amp;TEXT(INDEX(MASTER!$E:$E,MATCH(_xlpm.pos,MASTER!$H:$H,0)),"mmddyy"),""),_xlpm.slot,96+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59" s="4" t="str">
        <f>_xlfn.LET(_xlpm.pos,"CDI plate 15: "&amp;$A5&amp;I$2,_xlpm.normal,IFERROR(INDEX(MASTER!$A:$A,MATCH(_xlpm.pos,MASTER!$H:$H,0))&amp;"_ser_0.20_"&amp;TEXT(INDEX(MASTER!$E:$E,MATCH(_xlpm.pos,MASTER!$H:$H,0)),"mmddyy"),""),_xlpm.slot,96+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59" s="4" t="str">
        <f>_xlfn.LET(_xlpm.pos,"CDI plate 15: "&amp;$A5&amp;J$2,_xlpm.normal,IFERROR(INDEX(MASTER!$A:$A,MATCH(_xlpm.pos,MASTER!$H:$H,0))&amp;"_ser_0.20_"&amp;TEXT(INDEX(MASTER!$E:$E,MATCH(_xlpm.pos,MASTER!$H:$H,0)),"mmddyy"),""),_xlpm.slot,96+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59" s="4" t="str">
        <f>_xlfn.LET(_xlpm.pos,"CDI plate 15: "&amp;$A5&amp;K$2,_xlpm.normal,IFERROR(INDEX(MASTER!$A:$A,MATCH(_xlpm.pos,MASTER!$H:$H,0))&amp;"_ser_0.20_"&amp;TEXT(INDEX(MASTER!$E:$E,MATCH(_xlpm.pos,MASTER!$H:$H,0)),"mmddyy"),""),_xlpm.slot,96+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59" s="4" t="str">
        <f>_xlfn.LET(_xlpm.pos,"CDI plate 15: "&amp;$A5&amp;L$2,_xlpm.normal,IFERROR(INDEX(MASTER!$A:$A,MATCH(_xlpm.pos,MASTER!$H:$H,0))&amp;"_ser_0.20_"&amp;TEXT(INDEX(MASTER!$E:$E,MATCH(_xlpm.pos,MASTER!$H:$H,0)),"mmddyy"),""),_xlpm.slot,96+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59" s="4" t="str">
        <f>_xlfn.LET(_xlpm.pos,"CDI plate 15: "&amp;$A5&amp;M$2,_xlpm.normal,IFERROR(INDEX(MASTER!$A:$A,MATCH(_xlpm.pos,MASTER!$H:$H,0))&amp;"_ser_0.20_"&amp;TEXT(INDEX(MASTER!$E:$E,MATCH(_xlpm.pos,MASTER!$H:$H,0)),"mmddyy"),""),_xlpm.slot,96+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60" spans="1:13" ht="22" customHeight="1" x14ac:dyDescent="0.3">
      <c r="A160" s="6" t="s">
        <v>33</v>
      </c>
      <c r="B160" s="4" t="str">
        <f>_xlfn.LET(_xlpm.pos,"CDI plate 15: "&amp;$A6&amp;B$2,_xlpm.normal,IFERROR(INDEX(MASTER!$A:$A,MATCH(_xlpm.pos,MASTER!$H:$H,0))&amp;"_ser_0.20_"&amp;TEXT(INDEX(MASTER!$E:$E,MATCH(_xlpm.pos,MASTER!$H:$H,0)),"mmddyy"),""),_xlpm.slot,96+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60" s="4" t="str">
        <f>_xlfn.LET(_xlpm.pos,"CDI plate 15: "&amp;$A6&amp;C$2,_xlpm.normal,IFERROR(INDEX(MASTER!$A:$A,MATCH(_xlpm.pos,MASTER!$H:$H,0))&amp;"_ser_0.20_"&amp;TEXT(INDEX(MASTER!$E:$E,MATCH(_xlpm.pos,MASTER!$H:$H,0)),"mmddyy"),""),_xlpm.slot,96+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60" s="4" t="str">
        <f>_xlfn.LET(_xlpm.pos,"CDI plate 15: "&amp;$A6&amp;D$2,_xlpm.normal,IFERROR(INDEX(MASTER!$A:$A,MATCH(_xlpm.pos,MASTER!$H:$H,0))&amp;"_ser_0.20_"&amp;TEXT(INDEX(MASTER!$E:$E,MATCH(_xlpm.pos,MASTER!$H:$H,0)),"mmddyy"),""),_xlpm.slot,96+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60" s="4" t="str">
        <f>_xlfn.LET(_xlpm.pos,"CDI plate 15: "&amp;$A6&amp;E$2,_xlpm.normal,IFERROR(INDEX(MASTER!$A:$A,MATCH(_xlpm.pos,MASTER!$H:$H,0))&amp;"_ser_0.20_"&amp;TEXT(INDEX(MASTER!$E:$E,MATCH(_xlpm.pos,MASTER!$H:$H,0)),"mmddyy"),""),_xlpm.slot,96+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60" s="4" t="str">
        <f>_xlfn.LET(_xlpm.pos,"CDI plate 15: "&amp;$A6&amp;F$2,_xlpm.normal,IFERROR(INDEX(MASTER!$A:$A,MATCH(_xlpm.pos,MASTER!$H:$H,0))&amp;"_ser_0.20_"&amp;TEXT(INDEX(MASTER!$E:$E,MATCH(_xlpm.pos,MASTER!$H:$H,0)),"mmddyy"),""),_xlpm.slot,96+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60" s="4" t="str">
        <f>_xlfn.LET(_xlpm.pos,"CDI plate 15: "&amp;$A6&amp;G$2,_xlpm.normal,IFERROR(INDEX(MASTER!$A:$A,MATCH(_xlpm.pos,MASTER!$H:$H,0))&amp;"_ser_0.20_"&amp;TEXT(INDEX(MASTER!$E:$E,MATCH(_xlpm.pos,MASTER!$H:$H,0)),"mmddyy"),""),_xlpm.slot,96+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60" s="4" t="str">
        <f>_xlfn.LET(_xlpm.pos,"CDI plate 15: "&amp;$A6&amp;H$2,_xlpm.normal,IFERROR(INDEX(MASTER!$A:$A,MATCH(_xlpm.pos,MASTER!$H:$H,0))&amp;"_ser_0.20_"&amp;TEXT(INDEX(MASTER!$E:$E,MATCH(_xlpm.pos,MASTER!$H:$H,0)),"mmddyy"),""),_xlpm.slot,96+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60" s="4" t="str">
        <f>_xlfn.LET(_xlpm.pos,"CDI plate 15: "&amp;$A6&amp;I$2,_xlpm.normal,IFERROR(INDEX(MASTER!$A:$A,MATCH(_xlpm.pos,MASTER!$H:$H,0))&amp;"_ser_0.20_"&amp;TEXT(INDEX(MASTER!$E:$E,MATCH(_xlpm.pos,MASTER!$H:$H,0)),"mmddyy"),""),_xlpm.slot,96+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60" s="4" t="str">
        <f>_xlfn.LET(_xlpm.pos,"CDI plate 15: "&amp;$A6&amp;J$2,_xlpm.normal,IFERROR(INDEX(MASTER!$A:$A,MATCH(_xlpm.pos,MASTER!$H:$H,0))&amp;"_ser_0.20_"&amp;TEXT(INDEX(MASTER!$E:$E,MATCH(_xlpm.pos,MASTER!$H:$H,0)),"mmddyy"),""),_xlpm.slot,96+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60" s="4" t="str">
        <f>_xlfn.LET(_xlpm.pos,"CDI plate 15: "&amp;$A6&amp;K$2,_xlpm.normal,IFERROR(INDEX(MASTER!$A:$A,MATCH(_xlpm.pos,MASTER!$H:$H,0))&amp;"_ser_0.20_"&amp;TEXT(INDEX(MASTER!$E:$E,MATCH(_xlpm.pos,MASTER!$H:$H,0)),"mmddyy"),""),_xlpm.slot,96+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60" s="4" t="str">
        <f>_xlfn.LET(_xlpm.pos,"CDI plate 15: "&amp;$A6&amp;L$2,_xlpm.normal,IFERROR(INDEX(MASTER!$A:$A,MATCH(_xlpm.pos,MASTER!$H:$H,0))&amp;"_ser_0.20_"&amp;TEXT(INDEX(MASTER!$E:$E,MATCH(_xlpm.pos,MASTER!$H:$H,0)),"mmddyy"),""),_xlpm.slot,96+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60" s="4" t="str">
        <f>_xlfn.LET(_xlpm.pos,"CDI plate 15: "&amp;$A6&amp;M$2,_xlpm.normal,IFERROR(INDEX(MASTER!$A:$A,MATCH(_xlpm.pos,MASTER!$H:$H,0))&amp;"_ser_0.20_"&amp;TEXT(INDEX(MASTER!$E:$E,MATCH(_xlpm.pos,MASTER!$H:$H,0)),"mmddyy"),""),_xlpm.slot,96+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61" spans="1:13" ht="22" customHeight="1" x14ac:dyDescent="0.3">
      <c r="A161" s="6" t="s">
        <v>34</v>
      </c>
      <c r="B161" s="4" t="str">
        <f>_xlfn.LET(_xlpm.pos,"CDI plate 15: "&amp;$A7&amp;B$2,_xlpm.normal,IFERROR(INDEX(MASTER!$A:$A,MATCH(_xlpm.pos,MASTER!$H:$H,0))&amp;"_ser_0.20_"&amp;TEXT(INDEX(MASTER!$E:$E,MATCH(_xlpm.pos,MASTER!$H:$H,0)),"mmddyy"),""),_xlpm.slot,96+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61" s="4" t="str">
        <f>_xlfn.LET(_xlpm.pos,"CDI plate 15: "&amp;$A7&amp;C$2,_xlpm.normal,IFERROR(INDEX(MASTER!$A:$A,MATCH(_xlpm.pos,MASTER!$H:$H,0))&amp;"_ser_0.20_"&amp;TEXT(INDEX(MASTER!$E:$E,MATCH(_xlpm.pos,MASTER!$H:$H,0)),"mmddyy"),""),_xlpm.slot,96+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61" s="4" t="str">
        <f>_xlfn.LET(_xlpm.pos,"CDI plate 15: "&amp;$A7&amp;D$2,_xlpm.normal,IFERROR(INDEX(MASTER!$A:$A,MATCH(_xlpm.pos,MASTER!$H:$H,0))&amp;"_ser_0.20_"&amp;TEXT(INDEX(MASTER!$E:$E,MATCH(_xlpm.pos,MASTER!$H:$H,0)),"mmddyy"),""),_xlpm.slot,96+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61" s="4" t="str">
        <f>_xlfn.LET(_xlpm.pos,"CDI plate 15: "&amp;$A7&amp;E$2,_xlpm.normal,IFERROR(INDEX(MASTER!$A:$A,MATCH(_xlpm.pos,MASTER!$H:$H,0))&amp;"_ser_0.20_"&amp;TEXT(INDEX(MASTER!$E:$E,MATCH(_xlpm.pos,MASTER!$H:$H,0)),"mmddyy"),""),_xlpm.slot,96+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61" s="4" t="str">
        <f>_xlfn.LET(_xlpm.pos,"CDI plate 15: "&amp;$A7&amp;F$2,_xlpm.normal,IFERROR(INDEX(MASTER!$A:$A,MATCH(_xlpm.pos,MASTER!$H:$H,0))&amp;"_ser_0.20_"&amp;TEXT(INDEX(MASTER!$E:$E,MATCH(_xlpm.pos,MASTER!$H:$H,0)),"mmddyy"),""),_xlpm.slot,96+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61" s="4" t="str">
        <f>_xlfn.LET(_xlpm.pos,"CDI plate 15: "&amp;$A7&amp;G$2,_xlpm.normal,IFERROR(INDEX(MASTER!$A:$A,MATCH(_xlpm.pos,MASTER!$H:$H,0))&amp;"_ser_0.20_"&amp;TEXT(INDEX(MASTER!$E:$E,MATCH(_xlpm.pos,MASTER!$H:$H,0)),"mmddyy"),""),_xlpm.slot,96+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61" s="4" t="str">
        <f>_xlfn.LET(_xlpm.pos,"CDI plate 15: "&amp;$A7&amp;H$2,_xlpm.normal,IFERROR(INDEX(MASTER!$A:$A,MATCH(_xlpm.pos,MASTER!$H:$H,0))&amp;"_ser_0.20_"&amp;TEXT(INDEX(MASTER!$E:$E,MATCH(_xlpm.pos,MASTER!$H:$H,0)),"mmddyy"),""),_xlpm.slot,96+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61" s="4" t="str">
        <f>_xlfn.LET(_xlpm.pos,"CDI plate 15: "&amp;$A7&amp;I$2,_xlpm.normal,IFERROR(INDEX(MASTER!$A:$A,MATCH(_xlpm.pos,MASTER!$H:$H,0))&amp;"_ser_0.20_"&amp;TEXT(INDEX(MASTER!$E:$E,MATCH(_xlpm.pos,MASTER!$H:$H,0)),"mmddyy"),""),_xlpm.slot,96+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61" s="4" t="str">
        <f>_xlfn.LET(_xlpm.pos,"CDI plate 15: "&amp;$A7&amp;J$2,_xlpm.normal,IFERROR(INDEX(MASTER!$A:$A,MATCH(_xlpm.pos,MASTER!$H:$H,0))&amp;"_ser_0.20_"&amp;TEXT(INDEX(MASTER!$E:$E,MATCH(_xlpm.pos,MASTER!$H:$H,0)),"mmddyy"),""),_xlpm.slot,96+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61" s="4" t="str">
        <f>_xlfn.LET(_xlpm.pos,"CDI plate 15: "&amp;$A7&amp;K$2,_xlpm.normal,IFERROR(INDEX(MASTER!$A:$A,MATCH(_xlpm.pos,MASTER!$H:$H,0))&amp;"_ser_0.20_"&amp;TEXT(INDEX(MASTER!$E:$E,MATCH(_xlpm.pos,MASTER!$H:$H,0)),"mmddyy"),""),_xlpm.slot,96+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61" s="4" t="str">
        <f>_xlfn.LET(_xlpm.pos,"CDI plate 15: "&amp;$A7&amp;L$2,_xlpm.normal,IFERROR(INDEX(MASTER!$A:$A,MATCH(_xlpm.pos,MASTER!$H:$H,0))&amp;"_ser_0.20_"&amp;TEXT(INDEX(MASTER!$E:$E,MATCH(_xlpm.pos,MASTER!$H:$H,0)),"mmddyy"),""),_xlpm.slot,96+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61" s="4" t="str">
        <f>_xlfn.LET(_xlpm.pos,"CDI plate 15: "&amp;$A7&amp;M$2,_xlpm.normal,IFERROR(INDEX(MASTER!$A:$A,MATCH(_xlpm.pos,MASTER!$H:$H,0))&amp;"_ser_0.20_"&amp;TEXT(INDEX(MASTER!$E:$E,MATCH(_xlpm.pos,MASTER!$H:$H,0)),"mmddyy"),""),_xlpm.slot,96+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62" spans="1:13" ht="22" customHeight="1" x14ac:dyDescent="0.3">
      <c r="A162" s="6" t="s">
        <v>15</v>
      </c>
      <c r="B162" s="4" t="str">
        <f>_xlfn.LET(_xlpm.pos,"CDI plate 15: "&amp;$A8&amp;B$2,_xlpm.normal,IFERROR(INDEX(MASTER!$A:$A,MATCH(_xlpm.pos,MASTER!$H:$H,0))&amp;"_ser_0.20_"&amp;TEXT(INDEX(MASTER!$E:$E,MATCH(_xlpm.pos,MASTER!$H:$H,0)),"mmddyy"),""),_xlpm.slot,96+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62" s="4" t="str">
        <f>_xlfn.LET(_xlpm.pos,"CDI plate 15: "&amp;$A8&amp;C$2,_xlpm.normal,IFERROR(INDEX(MASTER!$A:$A,MATCH(_xlpm.pos,MASTER!$H:$H,0))&amp;"_ser_0.20_"&amp;TEXT(INDEX(MASTER!$E:$E,MATCH(_xlpm.pos,MASTER!$H:$H,0)),"mmddyy"),""),_xlpm.slot,96+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62" s="4" t="str">
        <f>_xlfn.LET(_xlpm.pos,"CDI plate 15: "&amp;$A8&amp;D$2,_xlpm.normal,IFERROR(INDEX(MASTER!$A:$A,MATCH(_xlpm.pos,MASTER!$H:$H,0))&amp;"_ser_0.20_"&amp;TEXT(INDEX(MASTER!$E:$E,MATCH(_xlpm.pos,MASTER!$H:$H,0)),"mmddyy"),""),_xlpm.slot,96+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62" s="4" t="str">
        <f>_xlfn.LET(_xlpm.pos,"CDI plate 15: "&amp;$A8&amp;E$2,_xlpm.normal,IFERROR(INDEX(MASTER!$A:$A,MATCH(_xlpm.pos,MASTER!$H:$H,0))&amp;"_ser_0.20_"&amp;TEXT(INDEX(MASTER!$E:$E,MATCH(_xlpm.pos,MASTER!$H:$H,0)),"mmddyy"),""),_xlpm.slot,96+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62" s="4" t="str">
        <f>_xlfn.LET(_xlpm.pos,"CDI plate 15: "&amp;$A8&amp;F$2,_xlpm.normal,IFERROR(INDEX(MASTER!$A:$A,MATCH(_xlpm.pos,MASTER!$H:$H,0))&amp;"_ser_0.20_"&amp;TEXT(INDEX(MASTER!$E:$E,MATCH(_xlpm.pos,MASTER!$H:$H,0)),"mmddyy"),""),_xlpm.slot,96+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62" s="4" t="str">
        <f>_xlfn.LET(_xlpm.pos,"CDI plate 15: "&amp;$A8&amp;G$2,_xlpm.normal,IFERROR(INDEX(MASTER!$A:$A,MATCH(_xlpm.pos,MASTER!$H:$H,0))&amp;"_ser_0.20_"&amp;TEXT(INDEX(MASTER!$E:$E,MATCH(_xlpm.pos,MASTER!$H:$H,0)),"mmddyy"),""),_xlpm.slot,96+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62" s="4" t="str">
        <f>_xlfn.LET(_xlpm.pos,"CDI plate 15: "&amp;$A8&amp;H$2,_xlpm.normal,IFERROR(INDEX(MASTER!$A:$A,MATCH(_xlpm.pos,MASTER!$H:$H,0))&amp;"_ser_0.20_"&amp;TEXT(INDEX(MASTER!$E:$E,MATCH(_xlpm.pos,MASTER!$H:$H,0)),"mmddyy"),""),_xlpm.slot,96+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62" s="4" t="str">
        <f>_xlfn.LET(_xlpm.pos,"CDI plate 15: "&amp;$A8&amp;I$2,_xlpm.normal,IFERROR(INDEX(MASTER!$A:$A,MATCH(_xlpm.pos,MASTER!$H:$H,0))&amp;"_ser_0.20_"&amp;TEXT(INDEX(MASTER!$E:$E,MATCH(_xlpm.pos,MASTER!$H:$H,0)),"mmddyy"),""),_xlpm.slot,96+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62" s="4" t="str">
        <f>_xlfn.LET(_xlpm.pos,"CDI plate 15: "&amp;$A8&amp;J$2,_xlpm.normal,IFERROR(INDEX(MASTER!$A:$A,MATCH(_xlpm.pos,MASTER!$H:$H,0))&amp;"_ser_0.20_"&amp;TEXT(INDEX(MASTER!$E:$E,MATCH(_xlpm.pos,MASTER!$H:$H,0)),"mmddyy"),""),_xlpm.slot,96+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62" s="4" t="str">
        <f>_xlfn.LET(_xlpm.pos,"CDI plate 15: "&amp;$A8&amp;K$2,_xlpm.normal,IFERROR(INDEX(MASTER!$A:$A,MATCH(_xlpm.pos,MASTER!$H:$H,0))&amp;"_ser_0.20_"&amp;TEXT(INDEX(MASTER!$E:$E,MATCH(_xlpm.pos,MASTER!$H:$H,0)),"mmddyy"),""),_xlpm.slot,96+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62" s="4" t="str">
        <f>_xlfn.LET(_xlpm.pos,"CDI plate 15: "&amp;$A8&amp;L$2,_xlpm.normal,IFERROR(INDEX(MASTER!$A:$A,MATCH(_xlpm.pos,MASTER!$H:$H,0))&amp;"_ser_0.20_"&amp;TEXT(INDEX(MASTER!$E:$E,MATCH(_xlpm.pos,MASTER!$H:$H,0)),"mmddyy"),""),_xlpm.slot,96+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62" s="4" t="str">
        <f>_xlfn.LET(_xlpm.pos,"CDI plate 15: "&amp;$A8&amp;M$2,_xlpm.normal,IFERROR(INDEX(MASTER!$A:$A,MATCH(_xlpm.pos,MASTER!$H:$H,0))&amp;"_ser_0.20_"&amp;TEXT(INDEX(MASTER!$E:$E,MATCH(_xlpm.pos,MASTER!$H:$H,0)),"mmddyy"),""),_xlpm.slot,96+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63" spans="1:13" ht="22" customHeight="1" x14ac:dyDescent="0.3">
      <c r="A163" s="6" t="s">
        <v>35</v>
      </c>
      <c r="B163" s="4" t="str">
        <f>_xlfn.LET(_xlpm.pos,"CDI plate 15: "&amp;$A9&amp;B$2,_xlpm.normal,IFERROR(INDEX(MASTER!$A:$A,MATCH(_xlpm.pos,MASTER!$H:$H,0))&amp;"_ser_0.20_"&amp;TEXT(INDEX(MASTER!$E:$E,MATCH(_xlpm.pos,MASTER!$H:$H,0)),"mmddyy"),""),_xlpm.slot,96+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63" s="4" t="str">
        <f>_xlfn.LET(_xlpm.pos,"CDI plate 15: "&amp;$A9&amp;C$2,_xlpm.normal,IFERROR(INDEX(MASTER!$A:$A,MATCH(_xlpm.pos,MASTER!$H:$H,0))&amp;"_ser_0.20_"&amp;TEXT(INDEX(MASTER!$E:$E,MATCH(_xlpm.pos,MASTER!$H:$H,0)),"mmddyy"),""),_xlpm.slot,96+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63" s="4" t="str">
        <f>_xlfn.LET(_xlpm.pos,"CDI plate 15: "&amp;$A9&amp;D$2,_xlpm.normal,IFERROR(INDEX(MASTER!$A:$A,MATCH(_xlpm.pos,MASTER!$H:$H,0))&amp;"_ser_0.20_"&amp;TEXT(INDEX(MASTER!$E:$E,MATCH(_xlpm.pos,MASTER!$H:$H,0)),"mmddyy"),""),_xlpm.slot,96+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63" s="4" t="str">
        <f>_xlfn.LET(_xlpm.pos,"CDI plate 15: "&amp;$A9&amp;E$2,_xlpm.normal,IFERROR(INDEX(MASTER!$A:$A,MATCH(_xlpm.pos,MASTER!$H:$H,0))&amp;"_ser_0.20_"&amp;TEXT(INDEX(MASTER!$E:$E,MATCH(_xlpm.pos,MASTER!$H:$H,0)),"mmddyy"),""),_xlpm.slot,96+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63" s="4" t="str">
        <f>_xlfn.LET(_xlpm.pos,"CDI plate 15: "&amp;$A9&amp;F$2,_xlpm.normal,IFERROR(INDEX(MASTER!$A:$A,MATCH(_xlpm.pos,MASTER!$H:$H,0))&amp;"_ser_0.20_"&amp;TEXT(INDEX(MASTER!$E:$E,MATCH(_xlpm.pos,MASTER!$H:$H,0)),"mmddyy"),""),_xlpm.slot,96+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63" s="4" t="str">
        <f>_xlfn.LET(_xlpm.pos,"CDI plate 15: "&amp;$A9&amp;G$2,_xlpm.normal,IFERROR(INDEX(MASTER!$A:$A,MATCH(_xlpm.pos,MASTER!$H:$H,0))&amp;"_ser_0.20_"&amp;TEXT(INDEX(MASTER!$E:$E,MATCH(_xlpm.pos,MASTER!$H:$H,0)),"mmddyy"),""),_xlpm.slot,96+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63" s="4" t="str">
        <f>_xlfn.LET(_xlpm.pos,"CDI plate 15: "&amp;$A9&amp;H$2,_xlpm.normal,IFERROR(INDEX(MASTER!$A:$A,MATCH(_xlpm.pos,MASTER!$H:$H,0))&amp;"_ser_0.20_"&amp;TEXT(INDEX(MASTER!$E:$E,MATCH(_xlpm.pos,MASTER!$H:$H,0)),"mmddyy"),""),_xlpm.slot,96+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63" s="4" t="str">
        <f>_xlfn.LET(_xlpm.pos,"CDI plate 15: "&amp;$A9&amp;I$2,_xlpm.normal,IFERROR(INDEX(MASTER!$A:$A,MATCH(_xlpm.pos,MASTER!$H:$H,0))&amp;"_ser_0.20_"&amp;TEXT(INDEX(MASTER!$E:$E,MATCH(_xlpm.pos,MASTER!$H:$H,0)),"mmddyy"),""),_xlpm.slot,96+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63" s="4" t="str">
        <f>_xlfn.LET(_xlpm.pos,"CDI plate 15: "&amp;$A9&amp;J$2,_xlpm.normal,IFERROR(INDEX(MASTER!$A:$A,MATCH(_xlpm.pos,MASTER!$H:$H,0))&amp;"_ser_0.20_"&amp;TEXT(INDEX(MASTER!$E:$E,MATCH(_xlpm.pos,MASTER!$H:$H,0)),"mmddyy"),""),_xlpm.slot,96+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63" s="4" t="str">
        <f>_xlfn.LET(_xlpm.pos,"CDI plate 15: "&amp;$A9&amp;K$2,_xlpm.normal,IFERROR(INDEX(MASTER!$A:$A,MATCH(_xlpm.pos,MASTER!$H:$H,0))&amp;"_ser_0.20_"&amp;TEXT(INDEX(MASTER!$E:$E,MATCH(_xlpm.pos,MASTER!$H:$H,0)),"mmddyy"),""),_xlpm.slot,96+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63" s="4" t="str">
        <f>_xlfn.LET(_xlpm.pos,"CDI plate 15: "&amp;$A9&amp;L$2,_xlpm.normal,IFERROR(INDEX(MASTER!$A:$A,MATCH(_xlpm.pos,MASTER!$H:$H,0))&amp;"_ser_0.20_"&amp;TEXT(INDEX(MASTER!$E:$E,MATCH(_xlpm.pos,MASTER!$H:$H,0)),"mmddyy"),""),_xlpm.slot,96+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63" s="4" t="str">
        <f>_xlfn.LET(_xlpm.pos,"CDI plate 15: "&amp;$A9&amp;M$2,_xlpm.normal,IFERROR(INDEX(MASTER!$A:$A,MATCH(_xlpm.pos,MASTER!$H:$H,0))&amp;"_ser_0.20_"&amp;TEXT(INDEX(MASTER!$E:$E,MATCH(_xlpm.pos,MASTER!$H:$H,0)),"mmddyy"),""),_xlpm.slot,96+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64" spans="1:13" ht="22" customHeight="1" x14ac:dyDescent="0.3">
      <c r="A164" s="6" t="s">
        <v>36</v>
      </c>
      <c r="B164" s="4" t="str">
        <f>_xlfn.LET(_xlpm.pos,"CDI plate 15: "&amp;$A10&amp;B$2,_xlpm.normal,IFERROR(INDEX(MASTER!$A:$A,MATCH(_xlpm.pos,MASTER!$H:$H,0))&amp;"_ser_0.20_"&amp;TEXT(INDEX(MASTER!$E:$E,MATCH(_xlpm.pos,MASTER!$H:$H,0)),"mmddyy"),""),_xlpm.slot,96+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64" s="4" t="str">
        <f>_xlfn.LET(_xlpm.pos,"CDI plate 15: "&amp;$A10&amp;C$2,_xlpm.normal,IFERROR(INDEX(MASTER!$A:$A,MATCH(_xlpm.pos,MASTER!$H:$H,0))&amp;"_ser_0.20_"&amp;TEXT(INDEX(MASTER!$E:$E,MATCH(_xlpm.pos,MASTER!$H:$H,0)),"mmddyy"),""),_xlpm.slot,96+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64" s="4" t="str">
        <f>_xlfn.LET(_xlpm.pos,"CDI plate 15: "&amp;$A10&amp;D$2,_xlpm.normal,IFERROR(INDEX(MASTER!$A:$A,MATCH(_xlpm.pos,MASTER!$H:$H,0))&amp;"_ser_0.20_"&amp;TEXT(INDEX(MASTER!$E:$E,MATCH(_xlpm.pos,MASTER!$H:$H,0)),"mmddyy"),""),_xlpm.slot,96+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64" s="4" t="str">
        <f>_xlfn.LET(_xlpm.pos,"CDI plate 15: "&amp;$A10&amp;E$2,_xlpm.normal,IFERROR(INDEX(MASTER!$A:$A,MATCH(_xlpm.pos,MASTER!$H:$H,0))&amp;"_ser_0.20_"&amp;TEXT(INDEX(MASTER!$E:$E,MATCH(_xlpm.pos,MASTER!$H:$H,0)),"mmddyy"),""),_xlpm.slot,96+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64" s="4" t="str">
        <f>_xlfn.LET(_xlpm.pos,"CDI plate 15: "&amp;$A10&amp;F$2,_xlpm.normal,IFERROR(INDEX(MASTER!$A:$A,MATCH(_xlpm.pos,MASTER!$H:$H,0))&amp;"_ser_0.20_"&amp;TEXT(INDEX(MASTER!$E:$E,MATCH(_xlpm.pos,MASTER!$H:$H,0)),"mmddyy"),""),_xlpm.slot,96+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64" s="4" t="str">
        <f>_xlfn.LET(_xlpm.pos,"CDI plate 15: "&amp;$A10&amp;G$2,_xlpm.normal,IFERROR(INDEX(MASTER!$A:$A,MATCH(_xlpm.pos,MASTER!$H:$H,0))&amp;"_ser_0.20_"&amp;TEXT(INDEX(MASTER!$E:$E,MATCH(_xlpm.pos,MASTER!$H:$H,0)),"mmddyy"),""),_xlpm.slot,96+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64" s="4" t="str">
        <f>_xlfn.LET(_xlpm.pos,"CDI plate 15: "&amp;$A10&amp;H$2,_xlpm.normal,IFERROR(INDEX(MASTER!$A:$A,MATCH(_xlpm.pos,MASTER!$H:$H,0))&amp;"_ser_0.20_"&amp;TEXT(INDEX(MASTER!$E:$E,MATCH(_xlpm.pos,MASTER!$H:$H,0)),"mmddyy"),""),_xlpm.slot,96+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64" s="4" t="str">
        <f>_xlfn.LET(_xlpm.pos,"CDI plate 15: "&amp;$A10&amp;I$2,_xlpm.normal,IFERROR(INDEX(MASTER!$A:$A,MATCH(_xlpm.pos,MASTER!$H:$H,0))&amp;"_ser_0.20_"&amp;TEXT(INDEX(MASTER!$E:$E,MATCH(_xlpm.pos,MASTER!$H:$H,0)),"mmddyy"),""),_xlpm.slot,96+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64" s="4" t="str">
        <f>_xlfn.LET(_xlpm.pos,"CDI plate 15: "&amp;$A10&amp;J$2,_xlpm.normal,IFERROR(INDEX(MASTER!$A:$A,MATCH(_xlpm.pos,MASTER!$H:$H,0))&amp;"_ser_0.20_"&amp;TEXT(INDEX(MASTER!$E:$E,MATCH(_xlpm.pos,MASTER!$H:$H,0)),"mmddyy"),""),_xlpm.slot,96+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64" s="4" t="str">
        <f>_xlfn.LET(_xlpm.pos,"CDI plate 15: "&amp;$A10&amp;K$2,_xlpm.normal,IFERROR(INDEX(MASTER!$A:$A,MATCH(_xlpm.pos,MASTER!$H:$H,0))&amp;"_ser_0.20_"&amp;TEXT(INDEX(MASTER!$E:$E,MATCH(_xlpm.pos,MASTER!$H:$H,0)),"mmddyy"),""),_xlpm.slot,96+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64" s="4" t="str">
        <f>_xlfn.LET(_xlpm.pos,"CDI plate 15: "&amp;$A10&amp;L$2,_xlpm.normal,IFERROR(INDEX(MASTER!$A:$A,MATCH(_xlpm.pos,MASTER!$H:$H,0))&amp;"_ser_0.20_"&amp;TEXT(INDEX(MASTER!$E:$E,MATCH(_xlpm.pos,MASTER!$H:$H,0)),"mmddyy"),""),_xlpm.slot,96+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64" s="4" t="str">
        <f>_xlfn.LET(_xlpm.pos,"CDI plate 15: "&amp;$A10&amp;M$2,_xlpm.normal,IFERROR(INDEX(MASTER!$A:$A,MATCH(_xlpm.pos,MASTER!$H:$H,0))&amp;"_ser_0.20_"&amp;TEXT(INDEX(MASTER!$E:$E,MATCH(_xlpm.pos,MASTER!$H:$H,0)),"mmddyy"),""),_xlpm.slot,96+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65" spans="1:13" ht="22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ht="22" customHeight="1" x14ac:dyDescent="0.35">
      <c r="A166" s="5"/>
      <c r="B166" s="31" t="s">
        <v>51</v>
      </c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3"/>
    </row>
    <row r="167" spans="1:13" ht="22" customHeight="1" x14ac:dyDescent="0.3">
      <c r="A167" s="5"/>
      <c r="B167" s="6">
        <v>1</v>
      </c>
      <c r="C167" s="6">
        <v>2</v>
      </c>
      <c r="D167" s="6">
        <v>3</v>
      </c>
      <c r="E167" s="6">
        <v>4</v>
      </c>
      <c r="F167" s="6">
        <v>5</v>
      </c>
      <c r="G167" s="6">
        <v>6</v>
      </c>
      <c r="H167" s="6">
        <v>7</v>
      </c>
      <c r="I167" s="6">
        <v>8</v>
      </c>
      <c r="J167" s="6">
        <v>9</v>
      </c>
      <c r="K167" s="6">
        <v>10</v>
      </c>
      <c r="L167" s="6">
        <v>11</v>
      </c>
      <c r="M167" s="6">
        <v>12</v>
      </c>
    </row>
    <row r="168" spans="1:13" ht="22" customHeight="1" x14ac:dyDescent="0.3">
      <c r="A168" s="6" t="s">
        <v>30</v>
      </c>
      <c r="B168" s="4" t="str">
        <f>_xlfn.LET(_xlpm.pos,"CDI plate 16: "&amp;$A3&amp;B$2,_xlpm.normal,IFERROR(INDEX(MASTER!$A:$A,MATCH(_xlpm.pos,MASTER!$H:$H,0))&amp;"_ser_0.20_"&amp;TEXT(INDEX(MASTER!$E:$E,MATCH(_xlpm.pos,MASTER!$H:$H,0)),"mmddyy"),""),_xlpm.slot,96+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68" s="4" t="str">
        <f>_xlfn.LET(_xlpm.pos,"CDI plate 16: "&amp;$A3&amp;C$2,_xlpm.normal,IFERROR(INDEX(MASTER!$A:$A,MATCH(_xlpm.pos,MASTER!$H:$H,0))&amp;"_ser_0.20_"&amp;TEXT(INDEX(MASTER!$E:$E,MATCH(_xlpm.pos,MASTER!$H:$H,0)),"mmddyy"),""),_xlpm.slot,96+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68" s="4" t="str">
        <f>_xlfn.LET(_xlpm.pos,"CDI plate 16: "&amp;$A3&amp;D$2,_xlpm.normal,IFERROR(INDEX(MASTER!$A:$A,MATCH(_xlpm.pos,MASTER!$H:$H,0))&amp;"_ser_0.20_"&amp;TEXT(INDEX(MASTER!$E:$E,MATCH(_xlpm.pos,MASTER!$H:$H,0)),"mmddyy"),""),_xlpm.slot,96+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68" s="4" t="str">
        <f>_xlfn.LET(_xlpm.pos,"CDI plate 16: "&amp;$A3&amp;E$2,_xlpm.normal,IFERROR(INDEX(MASTER!$A:$A,MATCH(_xlpm.pos,MASTER!$H:$H,0))&amp;"_ser_0.20_"&amp;TEXT(INDEX(MASTER!$E:$E,MATCH(_xlpm.pos,MASTER!$H:$H,0)),"mmddyy"),""),_xlpm.slot,96+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68" s="4" t="str">
        <f>_xlfn.LET(_xlpm.pos,"CDI plate 16: "&amp;$A3&amp;F$2,_xlpm.normal,IFERROR(INDEX(MASTER!$A:$A,MATCH(_xlpm.pos,MASTER!$H:$H,0))&amp;"_ser_0.20_"&amp;TEXT(INDEX(MASTER!$E:$E,MATCH(_xlpm.pos,MASTER!$H:$H,0)),"mmddyy"),""),_xlpm.slot,96+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68" s="4" t="str">
        <f>_xlfn.LET(_xlpm.pos,"CDI plate 16: "&amp;$A3&amp;G$2,_xlpm.normal,IFERROR(INDEX(MASTER!$A:$A,MATCH(_xlpm.pos,MASTER!$H:$H,0))&amp;"_ser_0.20_"&amp;TEXT(INDEX(MASTER!$E:$E,MATCH(_xlpm.pos,MASTER!$H:$H,0)),"mmddyy"),""),_xlpm.slot,96+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68" s="4" t="str">
        <f>_xlfn.LET(_xlpm.pos,"CDI plate 16: "&amp;$A3&amp;H$2,_xlpm.normal,IFERROR(INDEX(MASTER!$A:$A,MATCH(_xlpm.pos,MASTER!$H:$H,0))&amp;"_ser_0.20_"&amp;TEXT(INDEX(MASTER!$E:$E,MATCH(_xlpm.pos,MASTER!$H:$H,0)),"mmddyy"),""),_xlpm.slot,96+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68" s="4" t="str">
        <f>_xlfn.LET(_xlpm.pos,"CDI plate 16: "&amp;$A3&amp;I$2,_xlpm.normal,IFERROR(INDEX(MASTER!$A:$A,MATCH(_xlpm.pos,MASTER!$H:$H,0))&amp;"_ser_0.20_"&amp;TEXT(INDEX(MASTER!$E:$E,MATCH(_xlpm.pos,MASTER!$H:$H,0)),"mmddyy"),""),_xlpm.slot,96+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68" s="4" t="str">
        <f>_xlfn.LET(_xlpm.pos,"CDI plate 16: "&amp;$A3&amp;J$2,_xlpm.normal,IFERROR(INDEX(MASTER!$A:$A,MATCH(_xlpm.pos,MASTER!$H:$H,0))&amp;"_ser_0.20_"&amp;TEXT(INDEX(MASTER!$E:$E,MATCH(_xlpm.pos,MASTER!$H:$H,0)),"mmddyy"),""),_xlpm.slot,96+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68" s="4" t="str">
        <f>_xlfn.LET(_xlpm.pos,"CDI plate 16: "&amp;$A3&amp;K$2,_xlpm.normal,IFERROR(INDEX(MASTER!$A:$A,MATCH(_xlpm.pos,MASTER!$H:$H,0))&amp;"_ser_0.20_"&amp;TEXT(INDEX(MASTER!$E:$E,MATCH(_xlpm.pos,MASTER!$H:$H,0)),"mmddyy"),""),_xlpm.slot,96+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68" s="4" t="str">
        <f>_xlfn.LET(_xlpm.pos,"CDI plate 16: "&amp;$A3&amp;L$2,_xlpm.normal,IFERROR(INDEX(MASTER!$A:$A,MATCH(_xlpm.pos,MASTER!$H:$H,0))&amp;"_ser_0.20_"&amp;TEXT(INDEX(MASTER!$E:$E,MATCH(_xlpm.pos,MASTER!$H:$H,0)),"mmddyy"),""),_xlpm.slot,96+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68" s="4" t="str">
        <f>_xlfn.LET(_xlpm.pos,"CDI plate 16: "&amp;$A3&amp;M$2,_xlpm.normal,IFERROR(INDEX(MASTER!$A:$A,MATCH(_xlpm.pos,MASTER!$H:$H,0))&amp;"_ser_0.20_"&amp;TEXT(INDEX(MASTER!$E:$E,MATCH(_xlpm.pos,MASTER!$H:$H,0)),"mmddyy"),""),_xlpm.slot,96+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69" spans="1:13" ht="22" customHeight="1" x14ac:dyDescent="0.3">
      <c r="A169" s="6" t="s">
        <v>31</v>
      </c>
      <c r="B169" s="4" t="str">
        <f>_xlfn.LET(_xlpm.pos,"CDI plate 16: "&amp;$A4&amp;B$2,_xlpm.normal,IFERROR(INDEX(MASTER!$A:$A,MATCH(_xlpm.pos,MASTER!$H:$H,0))&amp;"_ser_0.20_"&amp;TEXT(INDEX(MASTER!$E:$E,MATCH(_xlpm.pos,MASTER!$H:$H,0)),"mmddyy"),""),_xlpm.slot,96+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69" s="4" t="str">
        <f>_xlfn.LET(_xlpm.pos,"CDI plate 16: "&amp;$A4&amp;C$2,_xlpm.normal,IFERROR(INDEX(MASTER!$A:$A,MATCH(_xlpm.pos,MASTER!$H:$H,0))&amp;"_ser_0.20_"&amp;TEXT(INDEX(MASTER!$E:$E,MATCH(_xlpm.pos,MASTER!$H:$H,0)),"mmddyy"),""),_xlpm.slot,96+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69" s="4" t="str">
        <f>_xlfn.LET(_xlpm.pos,"CDI plate 16: "&amp;$A4&amp;D$2,_xlpm.normal,IFERROR(INDEX(MASTER!$A:$A,MATCH(_xlpm.pos,MASTER!$H:$H,0))&amp;"_ser_0.20_"&amp;TEXT(INDEX(MASTER!$E:$E,MATCH(_xlpm.pos,MASTER!$H:$H,0)),"mmddyy"),""),_xlpm.slot,96+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69" s="4" t="str">
        <f>_xlfn.LET(_xlpm.pos,"CDI plate 16: "&amp;$A4&amp;E$2,_xlpm.normal,IFERROR(INDEX(MASTER!$A:$A,MATCH(_xlpm.pos,MASTER!$H:$H,0))&amp;"_ser_0.20_"&amp;TEXT(INDEX(MASTER!$E:$E,MATCH(_xlpm.pos,MASTER!$H:$H,0)),"mmddyy"),""),_xlpm.slot,96+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69" s="4" t="str">
        <f>_xlfn.LET(_xlpm.pos,"CDI plate 16: "&amp;$A4&amp;F$2,_xlpm.normal,IFERROR(INDEX(MASTER!$A:$A,MATCH(_xlpm.pos,MASTER!$H:$H,0))&amp;"_ser_0.20_"&amp;TEXT(INDEX(MASTER!$E:$E,MATCH(_xlpm.pos,MASTER!$H:$H,0)),"mmddyy"),""),_xlpm.slot,96+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69" s="4" t="str">
        <f>_xlfn.LET(_xlpm.pos,"CDI plate 16: "&amp;$A4&amp;G$2,_xlpm.normal,IFERROR(INDEX(MASTER!$A:$A,MATCH(_xlpm.pos,MASTER!$H:$H,0))&amp;"_ser_0.20_"&amp;TEXT(INDEX(MASTER!$E:$E,MATCH(_xlpm.pos,MASTER!$H:$H,0)),"mmddyy"),""),_xlpm.slot,96+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69" s="4" t="str">
        <f>_xlfn.LET(_xlpm.pos,"CDI plate 16: "&amp;$A4&amp;H$2,_xlpm.normal,IFERROR(INDEX(MASTER!$A:$A,MATCH(_xlpm.pos,MASTER!$H:$H,0))&amp;"_ser_0.20_"&amp;TEXT(INDEX(MASTER!$E:$E,MATCH(_xlpm.pos,MASTER!$H:$H,0)),"mmddyy"),""),_xlpm.slot,96+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69" s="4" t="str">
        <f>_xlfn.LET(_xlpm.pos,"CDI plate 16: "&amp;$A4&amp;I$2,_xlpm.normal,IFERROR(INDEX(MASTER!$A:$A,MATCH(_xlpm.pos,MASTER!$H:$H,0))&amp;"_ser_0.20_"&amp;TEXT(INDEX(MASTER!$E:$E,MATCH(_xlpm.pos,MASTER!$H:$H,0)),"mmddyy"),""),_xlpm.slot,96+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69" s="4" t="str">
        <f>_xlfn.LET(_xlpm.pos,"CDI plate 16: "&amp;$A4&amp;J$2,_xlpm.normal,IFERROR(INDEX(MASTER!$A:$A,MATCH(_xlpm.pos,MASTER!$H:$H,0))&amp;"_ser_0.20_"&amp;TEXT(INDEX(MASTER!$E:$E,MATCH(_xlpm.pos,MASTER!$H:$H,0)),"mmddyy"),""),_xlpm.slot,96+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69" s="4" t="str">
        <f>_xlfn.LET(_xlpm.pos,"CDI plate 16: "&amp;$A4&amp;K$2,_xlpm.normal,IFERROR(INDEX(MASTER!$A:$A,MATCH(_xlpm.pos,MASTER!$H:$H,0))&amp;"_ser_0.20_"&amp;TEXT(INDEX(MASTER!$E:$E,MATCH(_xlpm.pos,MASTER!$H:$H,0)),"mmddyy"),""),_xlpm.slot,96+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69" s="4" t="str">
        <f>_xlfn.LET(_xlpm.pos,"CDI plate 16: "&amp;$A4&amp;L$2,_xlpm.normal,IFERROR(INDEX(MASTER!$A:$A,MATCH(_xlpm.pos,MASTER!$H:$H,0))&amp;"_ser_0.20_"&amp;TEXT(INDEX(MASTER!$E:$E,MATCH(_xlpm.pos,MASTER!$H:$H,0)),"mmddyy"),""),_xlpm.slot,96+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69" s="4" t="str">
        <f>_xlfn.LET(_xlpm.pos,"CDI plate 16: "&amp;$A4&amp;M$2,_xlpm.normal,IFERROR(INDEX(MASTER!$A:$A,MATCH(_xlpm.pos,MASTER!$H:$H,0))&amp;"_ser_0.20_"&amp;TEXT(INDEX(MASTER!$E:$E,MATCH(_xlpm.pos,MASTER!$H:$H,0)),"mmddyy"),""),_xlpm.slot,96+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70" spans="1:13" ht="22" customHeight="1" x14ac:dyDescent="0.3">
      <c r="A170" s="6" t="s">
        <v>32</v>
      </c>
      <c r="B170" s="4" t="str">
        <f>_xlfn.LET(_xlpm.pos,"CDI plate 16: "&amp;$A5&amp;B$2,_xlpm.normal,IFERROR(INDEX(MASTER!$A:$A,MATCH(_xlpm.pos,MASTER!$H:$H,0))&amp;"_ser_0.20_"&amp;TEXT(INDEX(MASTER!$E:$E,MATCH(_xlpm.pos,MASTER!$H:$H,0)),"mmddyy"),""),_xlpm.slot,96+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70" s="4" t="str">
        <f>_xlfn.LET(_xlpm.pos,"CDI plate 16: "&amp;$A5&amp;C$2,_xlpm.normal,IFERROR(INDEX(MASTER!$A:$A,MATCH(_xlpm.pos,MASTER!$H:$H,0))&amp;"_ser_0.20_"&amp;TEXT(INDEX(MASTER!$E:$E,MATCH(_xlpm.pos,MASTER!$H:$H,0)),"mmddyy"),""),_xlpm.slot,96+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70" s="4" t="str">
        <f>_xlfn.LET(_xlpm.pos,"CDI plate 16: "&amp;$A5&amp;D$2,_xlpm.normal,IFERROR(INDEX(MASTER!$A:$A,MATCH(_xlpm.pos,MASTER!$H:$H,0))&amp;"_ser_0.20_"&amp;TEXT(INDEX(MASTER!$E:$E,MATCH(_xlpm.pos,MASTER!$H:$H,0)),"mmddyy"),""),_xlpm.slot,96+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70" s="4" t="str">
        <f>_xlfn.LET(_xlpm.pos,"CDI plate 16: "&amp;$A5&amp;E$2,_xlpm.normal,IFERROR(INDEX(MASTER!$A:$A,MATCH(_xlpm.pos,MASTER!$H:$H,0))&amp;"_ser_0.20_"&amp;TEXT(INDEX(MASTER!$E:$E,MATCH(_xlpm.pos,MASTER!$H:$H,0)),"mmddyy"),""),_xlpm.slot,96+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70" s="4" t="str">
        <f>_xlfn.LET(_xlpm.pos,"CDI plate 16: "&amp;$A5&amp;F$2,_xlpm.normal,IFERROR(INDEX(MASTER!$A:$A,MATCH(_xlpm.pos,MASTER!$H:$H,0))&amp;"_ser_0.20_"&amp;TEXT(INDEX(MASTER!$E:$E,MATCH(_xlpm.pos,MASTER!$H:$H,0)),"mmddyy"),""),_xlpm.slot,96+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70" s="4" t="str">
        <f>_xlfn.LET(_xlpm.pos,"CDI plate 16: "&amp;$A5&amp;G$2,_xlpm.normal,IFERROR(INDEX(MASTER!$A:$A,MATCH(_xlpm.pos,MASTER!$H:$H,0))&amp;"_ser_0.20_"&amp;TEXT(INDEX(MASTER!$E:$E,MATCH(_xlpm.pos,MASTER!$H:$H,0)),"mmddyy"),""),_xlpm.slot,96+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70" s="4" t="str">
        <f>_xlfn.LET(_xlpm.pos,"CDI plate 16: "&amp;$A5&amp;H$2,_xlpm.normal,IFERROR(INDEX(MASTER!$A:$A,MATCH(_xlpm.pos,MASTER!$H:$H,0))&amp;"_ser_0.20_"&amp;TEXT(INDEX(MASTER!$E:$E,MATCH(_xlpm.pos,MASTER!$H:$H,0)),"mmddyy"),""),_xlpm.slot,96+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70" s="4" t="str">
        <f>_xlfn.LET(_xlpm.pos,"CDI plate 16: "&amp;$A5&amp;I$2,_xlpm.normal,IFERROR(INDEX(MASTER!$A:$A,MATCH(_xlpm.pos,MASTER!$H:$H,0))&amp;"_ser_0.20_"&amp;TEXT(INDEX(MASTER!$E:$E,MATCH(_xlpm.pos,MASTER!$H:$H,0)),"mmddyy"),""),_xlpm.slot,96+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70" s="4" t="str">
        <f>_xlfn.LET(_xlpm.pos,"CDI plate 16: "&amp;$A5&amp;J$2,_xlpm.normal,IFERROR(INDEX(MASTER!$A:$A,MATCH(_xlpm.pos,MASTER!$H:$H,0))&amp;"_ser_0.20_"&amp;TEXT(INDEX(MASTER!$E:$E,MATCH(_xlpm.pos,MASTER!$H:$H,0)),"mmddyy"),""),_xlpm.slot,96+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70" s="4" t="str">
        <f>_xlfn.LET(_xlpm.pos,"CDI plate 16: "&amp;$A5&amp;K$2,_xlpm.normal,IFERROR(INDEX(MASTER!$A:$A,MATCH(_xlpm.pos,MASTER!$H:$H,0))&amp;"_ser_0.20_"&amp;TEXT(INDEX(MASTER!$E:$E,MATCH(_xlpm.pos,MASTER!$H:$H,0)),"mmddyy"),""),_xlpm.slot,96+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70" s="4" t="str">
        <f>_xlfn.LET(_xlpm.pos,"CDI plate 16: "&amp;$A5&amp;L$2,_xlpm.normal,IFERROR(INDEX(MASTER!$A:$A,MATCH(_xlpm.pos,MASTER!$H:$H,0))&amp;"_ser_0.20_"&amp;TEXT(INDEX(MASTER!$E:$E,MATCH(_xlpm.pos,MASTER!$H:$H,0)),"mmddyy"),""),_xlpm.slot,96+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70" s="4" t="str">
        <f>_xlfn.LET(_xlpm.pos,"CDI plate 16: "&amp;$A5&amp;M$2,_xlpm.normal,IFERROR(INDEX(MASTER!$A:$A,MATCH(_xlpm.pos,MASTER!$H:$H,0))&amp;"_ser_0.20_"&amp;TEXT(INDEX(MASTER!$E:$E,MATCH(_xlpm.pos,MASTER!$H:$H,0)),"mmddyy"),""),_xlpm.slot,96+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71" spans="1:13" ht="22" customHeight="1" x14ac:dyDescent="0.3">
      <c r="A171" s="6" t="s">
        <v>33</v>
      </c>
      <c r="B171" s="4" t="str">
        <f>_xlfn.LET(_xlpm.pos,"CDI plate 16: "&amp;$A6&amp;B$2,_xlpm.normal,IFERROR(INDEX(MASTER!$A:$A,MATCH(_xlpm.pos,MASTER!$H:$H,0))&amp;"_ser_0.20_"&amp;TEXT(INDEX(MASTER!$E:$E,MATCH(_xlpm.pos,MASTER!$H:$H,0)),"mmddyy"),""),_xlpm.slot,96+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71" s="4" t="str">
        <f>_xlfn.LET(_xlpm.pos,"CDI plate 16: "&amp;$A6&amp;C$2,_xlpm.normal,IFERROR(INDEX(MASTER!$A:$A,MATCH(_xlpm.pos,MASTER!$H:$H,0))&amp;"_ser_0.20_"&amp;TEXT(INDEX(MASTER!$E:$E,MATCH(_xlpm.pos,MASTER!$H:$H,0)),"mmddyy"),""),_xlpm.slot,96+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71" s="4" t="str">
        <f>_xlfn.LET(_xlpm.pos,"CDI plate 16: "&amp;$A6&amp;D$2,_xlpm.normal,IFERROR(INDEX(MASTER!$A:$A,MATCH(_xlpm.pos,MASTER!$H:$H,0))&amp;"_ser_0.20_"&amp;TEXT(INDEX(MASTER!$E:$E,MATCH(_xlpm.pos,MASTER!$H:$H,0)),"mmddyy"),""),_xlpm.slot,96+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71" s="4" t="str">
        <f>_xlfn.LET(_xlpm.pos,"CDI plate 16: "&amp;$A6&amp;E$2,_xlpm.normal,IFERROR(INDEX(MASTER!$A:$A,MATCH(_xlpm.pos,MASTER!$H:$H,0))&amp;"_ser_0.20_"&amp;TEXT(INDEX(MASTER!$E:$E,MATCH(_xlpm.pos,MASTER!$H:$H,0)),"mmddyy"),""),_xlpm.slot,96+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71" s="4" t="str">
        <f>_xlfn.LET(_xlpm.pos,"CDI plate 16: "&amp;$A6&amp;F$2,_xlpm.normal,IFERROR(INDEX(MASTER!$A:$A,MATCH(_xlpm.pos,MASTER!$H:$H,0))&amp;"_ser_0.20_"&amp;TEXT(INDEX(MASTER!$E:$E,MATCH(_xlpm.pos,MASTER!$H:$H,0)),"mmddyy"),""),_xlpm.slot,96+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71" s="4" t="str">
        <f>_xlfn.LET(_xlpm.pos,"CDI plate 16: "&amp;$A6&amp;G$2,_xlpm.normal,IFERROR(INDEX(MASTER!$A:$A,MATCH(_xlpm.pos,MASTER!$H:$H,0))&amp;"_ser_0.20_"&amp;TEXT(INDEX(MASTER!$E:$E,MATCH(_xlpm.pos,MASTER!$H:$H,0)),"mmddyy"),""),_xlpm.slot,96+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71" s="4" t="str">
        <f>_xlfn.LET(_xlpm.pos,"CDI plate 16: "&amp;$A6&amp;H$2,_xlpm.normal,IFERROR(INDEX(MASTER!$A:$A,MATCH(_xlpm.pos,MASTER!$H:$H,0))&amp;"_ser_0.20_"&amp;TEXT(INDEX(MASTER!$E:$E,MATCH(_xlpm.pos,MASTER!$H:$H,0)),"mmddyy"),""),_xlpm.slot,96+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71" s="4" t="str">
        <f>_xlfn.LET(_xlpm.pos,"CDI plate 16: "&amp;$A6&amp;I$2,_xlpm.normal,IFERROR(INDEX(MASTER!$A:$A,MATCH(_xlpm.pos,MASTER!$H:$H,0))&amp;"_ser_0.20_"&amp;TEXT(INDEX(MASTER!$E:$E,MATCH(_xlpm.pos,MASTER!$H:$H,0)),"mmddyy"),""),_xlpm.slot,96+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71" s="4" t="str">
        <f>_xlfn.LET(_xlpm.pos,"CDI plate 16: "&amp;$A6&amp;J$2,_xlpm.normal,IFERROR(INDEX(MASTER!$A:$A,MATCH(_xlpm.pos,MASTER!$H:$H,0))&amp;"_ser_0.20_"&amp;TEXT(INDEX(MASTER!$E:$E,MATCH(_xlpm.pos,MASTER!$H:$H,0)),"mmddyy"),""),_xlpm.slot,96+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71" s="4" t="str">
        <f>_xlfn.LET(_xlpm.pos,"CDI plate 16: "&amp;$A6&amp;K$2,_xlpm.normal,IFERROR(INDEX(MASTER!$A:$A,MATCH(_xlpm.pos,MASTER!$H:$H,0))&amp;"_ser_0.20_"&amp;TEXT(INDEX(MASTER!$E:$E,MATCH(_xlpm.pos,MASTER!$H:$H,0)),"mmddyy"),""),_xlpm.slot,96+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71" s="4" t="str">
        <f>_xlfn.LET(_xlpm.pos,"CDI plate 16: "&amp;$A6&amp;L$2,_xlpm.normal,IFERROR(INDEX(MASTER!$A:$A,MATCH(_xlpm.pos,MASTER!$H:$H,0))&amp;"_ser_0.20_"&amp;TEXT(INDEX(MASTER!$E:$E,MATCH(_xlpm.pos,MASTER!$H:$H,0)),"mmddyy"),""),_xlpm.slot,96+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71" s="4" t="str">
        <f>_xlfn.LET(_xlpm.pos,"CDI plate 16: "&amp;$A6&amp;M$2,_xlpm.normal,IFERROR(INDEX(MASTER!$A:$A,MATCH(_xlpm.pos,MASTER!$H:$H,0))&amp;"_ser_0.20_"&amp;TEXT(INDEX(MASTER!$E:$E,MATCH(_xlpm.pos,MASTER!$H:$H,0)),"mmddyy"),""),_xlpm.slot,96+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72" spans="1:13" ht="22" customHeight="1" x14ac:dyDescent="0.3">
      <c r="A172" s="6" t="s">
        <v>34</v>
      </c>
      <c r="B172" s="4" t="str">
        <f>_xlfn.LET(_xlpm.pos,"CDI plate 16: "&amp;$A7&amp;B$2,_xlpm.normal,IFERROR(INDEX(MASTER!$A:$A,MATCH(_xlpm.pos,MASTER!$H:$H,0))&amp;"_ser_0.20_"&amp;TEXT(INDEX(MASTER!$E:$E,MATCH(_xlpm.pos,MASTER!$H:$H,0)),"mmddyy"),""),_xlpm.slot,96+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72" s="4" t="str">
        <f>_xlfn.LET(_xlpm.pos,"CDI plate 16: "&amp;$A7&amp;C$2,_xlpm.normal,IFERROR(INDEX(MASTER!$A:$A,MATCH(_xlpm.pos,MASTER!$H:$H,0))&amp;"_ser_0.20_"&amp;TEXT(INDEX(MASTER!$E:$E,MATCH(_xlpm.pos,MASTER!$H:$H,0)),"mmddyy"),""),_xlpm.slot,96+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72" s="4" t="str">
        <f>_xlfn.LET(_xlpm.pos,"CDI plate 16: "&amp;$A7&amp;D$2,_xlpm.normal,IFERROR(INDEX(MASTER!$A:$A,MATCH(_xlpm.pos,MASTER!$H:$H,0))&amp;"_ser_0.20_"&amp;TEXT(INDEX(MASTER!$E:$E,MATCH(_xlpm.pos,MASTER!$H:$H,0)),"mmddyy"),""),_xlpm.slot,96+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72" s="4" t="str">
        <f>_xlfn.LET(_xlpm.pos,"CDI plate 16: "&amp;$A7&amp;E$2,_xlpm.normal,IFERROR(INDEX(MASTER!$A:$A,MATCH(_xlpm.pos,MASTER!$H:$H,0))&amp;"_ser_0.20_"&amp;TEXT(INDEX(MASTER!$E:$E,MATCH(_xlpm.pos,MASTER!$H:$H,0)),"mmddyy"),""),_xlpm.slot,96+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72" s="4" t="str">
        <f>_xlfn.LET(_xlpm.pos,"CDI plate 16: "&amp;$A7&amp;F$2,_xlpm.normal,IFERROR(INDEX(MASTER!$A:$A,MATCH(_xlpm.pos,MASTER!$H:$H,0))&amp;"_ser_0.20_"&amp;TEXT(INDEX(MASTER!$E:$E,MATCH(_xlpm.pos,MASTER!$H:$H,0)),"mmddyy"),""),_xlpm.slot,96+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72" s="4" t="str">
        <f>_xlfn.LET(_xlpm.pos,"CDI plate 16: "&amp;$A7&amp;G$2,_xlpm.normal,IFERROR(INDEX(MASTER!$A:$A,MATCH(_xlpm.pos,MASTER!$H:$H,0))&amp;"_ser_0.20_"&amp;TEXT(INDEX(MASTER!$E:$E,MATCH(_xlpm.pos,MASTER!$H:$H,0)),"mmddyy"),""),_xlpm.slot,96+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72" s="4" t="str">
        <f>_xlfn.LET(_xlpm.pos,"CDI plate 16: "&amp;$A7&amp;H$2,_xlpm.normal,IFERROR(INDEX(MASTER!$A:$A,MATCH(_xlpm.pos,MASTER!$H:$H,0))&amp;"_ser_0.20_"&amp;TEXT(INDEX(MASTER!$E:$E,MATCH(_xlpm.pos,MASTER!$H:$H,0)),"mmddyy"),""),_xlpm.slot,96+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72" s="4" t="str">
        <f>_xlfn.LET(_xlpm.pos,"CDI plate 16: "&amp;$A7&amp;I$2,_xlpm.normal,IFERROR(INDEX(MASTER!$A:$A,MATCH(_xlpm.pos,MASTER!$H:$H,0))&amp;"_ser_0.20_"&amp;TEXT(INDEX(MASTER!$E:$E,MATCH(_xlpm.pos,MASTER!$H:$H,0)),"mmddyy"),""),_xlpm.slot,96+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72" s="4" t="str">
        <f>_xlfn.LET(_xlpm.pos,"CDI plate 16: "&amp;$A7&amp;J$2,_xlpm.normal,IFERROR(INDEX(MASTER!$A:$A,MATCH(_xlpm.pos,MASTER!$H:$H,0))&amp;"_ser_0.20_"&amp;TEXT(INDEX(MASTER!$E:$E,MATCH(_xlpm.pos,MASTER!$H:$H,0)),"mmddyy"),""),_xlpm.slot,96+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72" s="4" t="str">
        <f>_xlfn.LET(_xlpm.pos,"CDI plate 16: "&amp;$A7&amp;K$2,_xlpm.normal,IFERROR(INDEX(MASTER!$A:$A,MATCH(_xlpm.pos,MASTER!$H:$H,0))&amp;"_ser_0.20_"&amp;TEXT(INDEX(MASTER!$E:$E,MATCH(_xlpm.pos,MASTER!$H:$H,0)),"mmddyy"),""),_xlpm.slot,96+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72" s="4" t="str">
        <f>_xlfn.LET(_xlpm.pos,"CDI plate 16: "&amp;$A7&amp;L$2,_xlpm.normal,IFERROR(INDEX(MASTER!$A:$A,MATCH(_xlpm.pos,MASTER!$H:$H,0))&amp;"_ser_0.20_"&amp;TEXT(INDEX(MASTER!$E:$E,MATCH(_xlpm.pos,MASTER!$H:$H,0)),"mmddyy"),""),_xlpm.slot,96+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72" s="4" t="str">
        <f>_xlfn.LET(_xlpm.pos,"CDI plate 16: "&amp;$A7&amp;M$2,_xlpm.normal,IFERROR(INDEX(MASTER!$A:$A,MATCH(_xlpm.pos,MASTER!$H:$H,0))&amp;"_ser_0.20_"&amp;TEXT(INDEX(MASTER!$E:$E,MATCH(_xlpm.pos,MASTER!$H:$H,0)),"mmddyy"),""),_xlpm.slot,96+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73" spans="1:13" ht="22" customHeight="1" x14ac:dyDescent="0.3">
      <c r="A173" s="6" t="s">
        <v>15</v>
      </c>
      <c r="B173" s="4" t="str">
        <f>_xlfn.LET(_xlpm.pos,"CDI plate 16: "&amp;$A8&amp;B$2,_xlpm.normal,IFERROR(INDEX(MASTER!$A:$A,MATCH(_xlpm.pos,MASTER!$H:$H,0))&amp;"_ser_0.20_"&amp;TEXT(INDEX(MASTER!$E:$E,MATCH(_xlpm.pos,MASTER!$H:$H,0)),"mmddyy"),""),_xlpm.slot,96+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73" s="4" t="str">
        <f>_xlfn.LET(_xlpm.pos,"CDI plate 16: "&amp;$A8&amp;C$2,_xlpm.normal,IFERROR(INDEX(MASTER!$A:$A,MATCH(_xlpm.pos,MASTER!$H:$H,0))&amp;"_ser_0.20_"&amp;TEXT(INDEX(MASTER!$E:$E,MATCH(_xlpm.pos,MASTER!$H:$H,0)),"mmddyy"),""),_xlpm.slot,96+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73" s="4" t="str">
        <f>_xlfn.LET(_xlpm.pos,"CDI plate 16: "&amp;$A8&amp;D$2,_xlpm.normal,IFERROR(INDEX(MASTER!$A:$A,MATCH(_xlpm.pos,MASTER!$H:$H,0))&amp;"_ser_0.20_"&amp;TEXT(INDEX(MASTER!$E:$E,MATCH(_xlpm.pos,MASTER!$H:$H,0)),"mmddyy"),""),_xlpm.slot,96+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73" s="4" t="str">
        <f>_xlfn.LET(_xlpm.pos,"CDI plate 16: "&amp;$A8&amp;E$2,_xlpm.normal,IFERROR(INDEX(MASTER!$A:$A,MATCH(_xlpm.pos,MASTER!$H:$H,0))&amp;"_ser_0.20_"&amp;TEXT(INDEX(MASTER!$E:$E,MATCH(_xlpm.pos,MASTER!$H:$H,0)),"mmddyy"),""),_xlpm.slot,96+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73" s="4" t="str">
        <f>_xlfn.LET(_xlpm.pos,"CDI plate 16: "&amp;$A8&amp;F$2,_xlpm.normal,IFERROR(INDEX(MASTER!$A:$A,MATCH(_xlpm.pos,MASTER!$H:$H,0))&amp;"_ser_0.20_"&amp;TEXT(INDEX(MASTER!$E:$E,MATCH(_xlpm.pos,MASTER!$H:$H,0)),"mmddyy"),""),_xlpm.slot,96+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73" s="4" t="str">
        <f>_xlfn.LET(_xlpm.pos,"CDI plate 16: "&amp;$A8&amp;G$2,_xlpm.normal,IFERROR(INDEX(MASTER!$A:$A,MATCH(_xlpm.pos,MASTER!$H:$H,0))&amp;"_ser_0.20_"&amp;TEXT(INDEX(MASTER!$E:$E,MATCH(_xlpm.pos,MASTER!$H:$H,0)),"mmddyy"),""),_xlpm.slot,96+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73" s="4" t="str">
        <f>_xlfn.LET(_xlpm.pos,"CDI plate 16: "&amp;$A8&amp;H$2,_xlpm.normal,IFERROR(INDEX(MASTER!$A:$A,MATCH(_xlpm.pos,MASTER!$H:$H,0))&amp;"_ser_0.20_"&amp;TEXT(INDEX(MASTER!$E:$E,MATCH(_xlpm.pos,MASTER!$H:$H,0)),"mmddyy"),""),_xlpm.slot,96+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73" s="4" t="str">
        <f>_xlfn.LET(_xlpm.pos,"CDI plate 16: "&amp;$A8&amp;I$2,_xlpm.normal,IFERROR(INDEX(MASTER!$A:$A,MATCH(_xlpm.pos,MASTER!$H:$H,0))&amp;"_ser_0.20_"&amp;TEXT(INDEX(MASTER!$E:$E,MATCH(_xlpm.pos,MASTER!$H:$H,0)),"mmddyy"),""),_xlpm.slot,96+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73" s="4" t="str">
        <f>_xlfn.LET(_xlpm.pos,"CDI plate 16: "&amp;$A8&amp;J$2,_xlpm.normal,IFERROR(INDEX(MASTER!$A:$A,MATCH(_xlpm.pos,MASTER!$H:$H,0))&amp;"_ser_0.20_"&amp;TEXT(INDEX(MASTER!$E:$E,MATCH(_xlpm.pos,MASTER!$H:$H,0)),"mmddyy"),""),_xlpm.slot,96+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73" s="4" t="str">
        <f>_xlfn.LET(_xlpm.pos,"CDI plate 16: "&amp;$A8&amp;K$2,_xlpm.normal,IFERROR(INDEX(MASTER!$A:$A,MATCH(_xlpm.pos,MASTER!$H:$H,0))&amp;"_ser_0.20_"&amp;TEXT(INDEX(MASTER!$E:$E,MATCH(_xlpm.pos,MASTER!$H:$H,0)),"mmddyy"),""),_xlpm.slot,96+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73" s="4" t="str">
        <f>_xlfn.LET(_xlpm.pos,"CDI plate 16: "&amp;$A8&amp;L$2,_xlpm.normal,IFERROR(INDEX(MASTER!$A:$A,MATCH(_xlpm.pos,MASTER!$H:$H,0))&amp;"_ser_0.20_"&amp;TEXT(INDEX(MASTER!$E:$E,MATCH(_xlpm.pos,MASTER!$H:$H,0)),"mmddyy"),""),_xlpm.slot,96+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73" s="4" t="str">
        <f>_xlfn.LET(_xlpm.pos,"CDI plate 16: "&amp;$A8&amp;M$2,_xlpm.normal,IFERROR(INDEX(MASTER!$A:$A,MATCH(_xlpm.pos,MASTER!$H:$H,0))&amp;"_ser_0.20_"&amp;TEXT(INDEX(MASTER!$E:$E,MATCH(_xlpm.pos,MASTER!$H:$H,0)),"mmddyy"),""),_xlpm.slot,96+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74" spans="1:13" ht="22" customHeight="1" x14ac:dyDescent="0.3">
      <c r="A174" s="6" t="s">
        <v>35</v>
      </c>
      <c r="B174" s="4" t="str">
        <f>_xlfn.LET(_xlpm.pos,"CDI plate 16: "&amp;$A9&amp;B$2,_xlpm.normal,IFERROR(INDEX(MASTER!$A:$A,MATCH(_xlpm.pos,MASTER!$H:$H,0))&amp;"_ser_0.20_"&amp;TEXT(INDEX(MASTER!$E:$E,MATCH(_xlpm.pos,MASTER!$H:$H,0)),"mmddyy"),""),_xlpm.slot,96+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74" s="4" t="str">
        <f>_xlfn.LET(_xlpm.pos,"CDI plate 16: "&amp;$A9&amp;C$2,_xlpm.normal,IFERROR(INDEX(MASTER!$A:$A,MATCH(_xlpm.pos,MASTER!$H:$H,0))&amp;"_ser_0.20_"&amp;TEXT(INDEX(MASTER!$E:$E,MATCH(_xlpm.pos,MASTER!$H:$H,0)),"mmddyy"),""),_xlpm.slot,96+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74" s="4" t="str">
        <f>_xlfn.LET(_xlpm.pos,"CDI plate 16: "&amp;$A9&amp;D$2,_xlpm.normal,IFERROR(INDEX(MASTER!$A:$A,MATCH(_xlpm.pos,MASTER!$H:$H,0))&amp;"_ser_0.20_"&amp;TEXT(INDEX(MASTER!$E:$E,MATCH(_xlpm.pos,MASTER!$H:$H,0)),"mmddyy"),""),_xlpm.slot,96+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74" s="4" t="str">
        <f>_xlfn.LET(_xlpm.pos,"CDI plate 16: "&amp;$A9&amp;E$2,_xlpm.normal,IFERROR(INDEX(MASTER!$A:$A,MATCH(_xlpm.pos,MASTER!$H:$H,0))&amp;"_ser_0.20_"&amp;TEXT(INDEX(MASTER!$E:$E,MATCH(_xlpm.pos,MASTER!$H:$H,0)),"mmddyy"),""),_xlpm.slot,96+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74" s="4" t="str">
        <f>_xlfn.LET(_xlpm.pos,"CDI plate 16: "&amp;$A9&amp;F$2,_xlpm.normal,IFERROR(INDEX(MASTER!$A:$A,MATCH(_xlpm.pos,MASTER!$H:$H,0))&amp;"_ser_0.20_"&amp;TEXT(INDEX(MASTER!$E:$E,MATCH(_xlpm.pos,MASTER!$H:$H,0)),"mmddyy"),""),_xlpm.slot,96+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74" s="4" t="str">
        <f>_xlfn.LET(_xlpm.pos,"CDI plate 16: "&amp;$A9&amp;G$2,_xlpm.normal,IFERROR(INDEX(MASTER!$A:$A,MATCH(_xlpm.pos,MASTER!$H:$H,0))&amp;"_ser_0.20_"&amp;TEXT(INDEX(MASTER!$E:$E,MATCH(_xlpm.pos,MASTER!$H:$H,0)),"mmddyy"),""),_xlpm.slot,96+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74" s="4" t="str">
        <f>_xlfn.LET(_xlpm.pos,"CDI plate 16: "&amp;$A9&amp;H$2,_xlpm.normal,IFERROR(INDEX(MASTER!$A:$A,MATCH(_xlpm.pos,MASTER!$H:$H,0))&amp;"_ser_0.20_"&amp;TEXT(INDEX(MASTER!$E:$E,MATCH(_xlpm.pos,MASTER!$H:$H,0)),"mmddyy"),""),_xlpm.slot,96+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74" s="4" t="str">
        <f>_xlfn.LET(_xlpm.pos,"CDI plate 16: "&amp;$A9&amp;I$2,_xlpm.normal,IFERROR(INDEX(MASTER!$A:$A,MATCH(_xlpm.pos,MASTER!$H:$H,0))&amp;"_ser_0.20_"&amp;TEXT(INDEX(MASTER!$E:$E,MATCH(_xlpm.pos,MASTER!$H:$H,0)),"mmddyy"),""),_xlpm.slot,96+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74" s="4" t="str">
        <f>_xlfn.LET(_xlpm.pos,"CDI plate 16: "&amp;$A9&amp;J$2,_xlpm.normal,IFERROR(INDEX(MASTER!$A:$A,MATCH(_xlpm.pos,MASTER!$H:$H,0))&amp;"_ser_0.20_"&amp;TEXT(INDEX(MASTER!$E:$E,MATCH(_xlpm.pos,MASTER!$H:$H,0)),"mmddyy"),""),_xlpm.slot,96+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74" s="4" t="str">
        <f>_xlfn.LET(_xlpm.pos,"CDI plate 16: "&amp;$A9&amp;K$2,_xlpm.normal,IFERROR(INDEX(MASTER!$A:$A,MATCH(_xlpm.pos,MASTER!$H:$H,0))&amp;"_ser_0.20_"&amp;TEXT(INDEX(MASTER!$E:$E,MATCH(_xlpm.pos,MASTER!$H:$H,0)),"mmddyy"),""),_xlpm.slot,96+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74" s="4" t="str">
        <f>_xlfn.LET(_xlpm.pos,"CDI plate 16: "&amp;$A9&amp;L$2,_xlpm.normal,IFERROR(INDEX(MASTER!$A:$A,MATCH(_xlpm.pos,MASTER!$H:$H,0))&amp;"_ser_0.20_"&amp;TEXT(INDEX(MASTER!$E:$E,MATCH(_xlpm.pos,MASTER!$H:$H,0)),"mmddyy"),""),_xlpm.slot,96+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74" s="4" t="str">
        <f>_xlfn.LET(_xlpm.pos,"CDI plate 16: "&amp;$A9&amp;M$2,_xlpm.normal,IFERROR(INDEX(MASTER!$A:$A,MATCH(_xlpm.pos,MASTER!$H:$H,0))&amp;"_ser_0.20_"&amp;TEXT(INDEX(MASTER!$E:$E,MATCH(_xlpm.pos,MASTER!$H:$H,0)),"mmddyy"),""),_xlpm.slot,96+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75" spans="1:13" ht="22" customHeight="1" x14ac:dyDescent="0.3">
      <c r="A175" s="6" t="s">
        <v>36</v>
      </c>
      <c r="B175" s="4" t="str">
        <f>_xlfn.LET(_xlpm.pos,"CDI plate 16: "&amp;$A10&amp;B$2,_xlpm.normal,IFERROR(INDEX(MASTER!$A:$A,MATCH(_xlpm.pos,MASTER!$H:$H,0))&amp;"_ser_0.20_"&amp;TEXT(INDEX(MASTER!$E:$E,MATCH(_xlpm.pos,MASTER!$H:$H,0)),"mmddyy"),""),_xlpm.slot,96+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75" s="4" t="str">
        <f>_xlfn.LET(_xlpm.pos,"CDI plate 16: "&amp;$A10&amp;C$2,_xlpm.normal,IFERROR(INDEX(MASTER!$A:$A,MATCH(_xlpm.pos,MASTER!$H:$H,0))&amp;"_ser_0.20_"&amp;TEXT(INDEX(MASTER!$E:$E,MATCH(_xlpm.pos,MASTER!$H:$H,0)),"mmddyy"),""),_xlpm.slot,96+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75" s="4" t="str">
        <f>_xlfn.LET(_xlpm.pos,"CDI plate 16: "&amp;$A10&amp;D$2,_xlpm.normal,IFERROR(INDEX(MASTER!$A:$A,MATCH(_xlpm.pos,MASTER!$H:$H,0))&amp;"_ser_0.20_"&amp;TEXT(INDEX(MASTER!$E:$E,MATCH(_xlpm.pos,MASTER!$H:$H,0)),"mmddyy"),""),_xlpm.slot,96+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75" s="4" t="str">
        <f>_xlfn.LET(_xlpm.pos,"CDI plate 16: "&amp;$A10&amp;E$2,_xlpm.normal,IFERROR(INDEX(MASTER!$A:$A,MATCH(_xlpm.pos,MASTER!$H:$H,0))&amp;"_ser_0.20_"&amp;TEXT(INDEX(MASTER!$E:$E,MATCH(_xlpm.pos,MASTER!$H:$H,0)),"mmddyy"),""),_xlpm.slot,96+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75" s="4" t="str">
        <f>_xlfn.LET(_xlpm.pos,"CDI plate 16: "&amp;$A10&amp;F$2,_xlpm.normal,IFERROR(INDEX(MASTER!$A:$A,MATCH(_xlpm.pos,MASTER!$H:$H,0))&amp;"_ser_0.20_"&amp;TEXT(INDEX(MASTER!$E:$E,MATCH(_xlpm.pos,MASTER!$H:$H,0)),"mmddyy"),""),_xlpm.slot,96+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75" s="4" t="str">
        <f>_xlfn.LET(_xlpm.pos,"CDI plate 16: "&amp;$A10&amp;G$2,_xlpm.normal,IFERROR(INDEX(MASTER!$A:$A,MATCH(_xlpm.pos,MASTER!$H:$H,0))&amp;"_ser_0.20_"&amp;TEXT(INDEX(MASTER!$E:$E,MATCH(_xlpm.pos,MASTER!$H:$H,0)),"mmddyy"),""),_xlpm.slot,96+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75" s="4" t="str">
        <f>_xlfn.LET(_xlpm.pos,"CDI plate 16: "&amp;$A10&amp;H$2,_xlpm.normal,IFERROR(INDEX(MASTER!$A:$A,MATCH(_xlpm.pos,MASTER!$H:$H,0))&amp;"_ser_0.20_"&amp;TEXT(INDEX(MASTER!$E:$E,MATCH(_xlpm.pos,MASTER!$H:$H,0)),"mmddyy"),""),_xlpm.slot,96+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75" s="4" t="str">
        <f>_xlfn.LET(_xlpm.pos,"CDI plate 16: "&amp;$A10&amp;I$2,_xlpm.normal,IFERROR(INDEX(MASTER!$A:$A,MATCH(_xlpm.pos,MASTER!$H:$H,0))&amp;"_ser_0.20_"&amp;TEXT(INDEX(MASTER!$E:$E,MATCH(_xlpm.pos,MASTER!$H:$H,0)),"mmddyy"),""),_xlpm.slot,96+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75" s="4" t="str">
        <f>_xlfn.LET(_xlpm.pos,"CDI plate 16: "&amp;$A10&amp;J$2,_xlpm.normal,IFERROR(INDEX(MASTER!$A:$A,MATCH(_xlpm.pos,MASTER!$H:$H,0))&amp;"_ser_0.20_"&amp;TEXT(INDEX(MASTER!$E:$E,MATCH(_xlpm.pos,MASTER!$H:$H,0)),"mmddyy"),""),_xlpm.slot,96+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75" s="4" t="str">
        <f>_xlfn.LET(_xlpm.pos,"CDI plate 16: "&amp;$A10&amp;K$2,_xlpm.normal,IFERROR(INDEX(MASTER!$A:$A,MATCH(_xlpm.pos,MASTER!$H:$H,0))&amp;"_ser_0.20_"&amp;TEXT(INDEX(MASTER!$E:$E,MATCH(_xlpm.pos,MASTER!$H:$H,0)),"mmddyy"),""),_xlpm.slot,96+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75" s="4" t="str">
        <f>_xlfn.LET(_xlpm.pos,"CDI plate 16: "&amp;$A10&amp;L$2,_xlpm.normal,IFERROR(INDEX(MASTER!$A:$A,MATCH(_xlpm.pos,MASTER!$H:$H,0))&amp;"_ser_0.20_"&amp;TEXT(INDEX(MASTER!$E:$E,MATCH(_xlpm.pos,MASTER!$H:$H,0)),"mmddyy"),""),_xlpm.slot,96+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75" s="4" t="str">
        <f>_xlfn.LET(_xlpm.pos,"CDI plate 16: "&amp;$A10&amp;M$2,_xlpm.normal,IFERROR(INDEX(MASTER!$A:$A,MATCH(_xlpm.pos,MASTER!$H:$H,0))&amp;"_ser_0.20_"&amp;TEXT(INDEX(MASTER!$E:$E,MATCH(_xlpm.pos,MASTER!$H:$H,0)),"mmddyy"),""),_xlpm.slot,96+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77" spans="1:13" ht="22" customHeight="1" x14ac:dyDescent="0.35">
      <c r="A177" s="5"/>
      <c r="B177" s="31" t="s">
        <v>52</v>
      </c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3"/>
    </row>
    <row r="178" spans="1:13" ht="22" customHeight="1" x14ac:dyDescent="0.3">
      <c r="A178" s="5"/>
      <c r="B178" s="6">
        <v>1</v>
      </c>
      <c r="C178" s="6">
        <v>2</v>
      </c>
      <c r="D178" s="6">
        <v>3</v>
      </c>
      <c r="E178" s="6">
        <v>4</v>
      </c>
      <c r="F178" s="6">
        <v>5</v>
      </c>
      <c r="G178" s="6">
        <v>6</v>
      </c>
      <c r="H178" s="6">
        <v>7</v>
      </c>
      <c r="I178" s="6">
        <v>8</v>
      </c>
      <c r="J178" s="6">
        <v>9</v>
      </c>
      <c r="K178" s="6">
        <v>10</v>
      </c>
      <c r="L178" s="6">
        <v>11</v>
      </c>
      <c r="M178" s="6">
        <v>12</v>
      </c>
    </row>
    <row r="179" spans="1:13" ht="22" customHeight="1" x14ac:dyDescent="0.3">
      <c r="A179" s="6" t="s">
        <v>30</v>
      </c>
      <c r="B179" s="4" t="str">
        <f>_xlfn.LET(_xlpm.pos,"CDI plate 17: "&amp;$A3&amp;B$2,_xlpm.normal,IFERROR(INDEX(MASTER!$A:$A,MATCH(_xlpm.pos,MASTER!$H:$H,0))&amp;"_ser_0.20_"&amp;TEXT(INDEX(MASTER!$E:$E,MATCH(_xlpm.pos,MASTER!$H:$H,0)),"mmddyy"),""),_xlpm.slot,96+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79" s="4" t="str">
        <f>_xlfn.LET(_xlpm.pos,"CDI plate 17: "&amp;$A3&amp;C$2,_xlpm.normal,IFERROR(INDEX(MASTER!$A:$A,MATCH(_xlpm.pos,MASTER!$H:$H,0))&amp;"_ser_0.20_"&amp;TEXT(INDEX(MASTER!$E:$E,MATCH(_xlpm.pos,MASTER!$H:$H,0)),"mmddyy"),""),_xlpm.slot,96+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79" s="4" t="str">
        <f>_xlfn.LET(_xlpm.pos,"CDI plate 17: "&amp;$A3&amp;D$2,_xlpm.normal,IFERROR(INDEX(MASTER!$A:$A,MATCH(_xlpm.pos,MASTER!$H:$H,0))&amp;"_ser_0.20_"&amp;TEXT(INDEX(MASTER!$E:$E,MATCH(_xlpm.pos,MASTER!$H:$H,0)),"mmddyy"),""),_xlpm.slot,96+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79" s="4" t="str">
        <f>_xlfn.LET(_xlpm.pos,"CDI plate 17: "&amp;$A3&amp;E$2,_xlpm.normal,IFERROR(INDEX(MASTER!$A:$A,MATCH(_xlpm.pos,MASTER!$H:$H,0))&amp;"_ser_0.20_"&amp;TEXT(INDEX(MASTER!$E:$E,MATCH(_xlpm.pos,MASTER!$H:$H,0)),"mmddyy"),""),_xlpm.slot,96+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79" s="4" t="str">
        <f>_xlfn.LET(_xlpm.pos,"CDI plate 17: "&amp;$A3&amp;F$2,_xlpm.normal,IFERROR(INDEX(MASTER!$A:$A,MATCH(_xlpm.pos,MASTER!$H:$H,0))&amp;"_ser_0.20_"&amp;TEXT(INDEX(MASTER!$E:$E,MATCH(_xlpm.pos,MASTER!$H:$H,0)),"mmddyy"),""),_xlpm.slot,96+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79" s="4" t="str">
        <f>_xlfn.LET(_xlpm.pos,"CDI plate 17: "&amp;$A3&amp;G$2,_xlpm.normal,IFERROR(INDEX(MASTER!$A:$A,MATCH(_xlpm.pos,MASTER!$H:$H,0))&amp;"_ser_0.20_"&amp;TEXT(INDEX(MASTER!$E:$E,MATCH(_xlpm.pos,MASTER!$H:$H,0)),"mmddyy"),""),_xlpm.slot,96+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79" s="4" t="str">
        <f>_xlfn.LET(_xlpm.pos,"CDI plate 17: "&amp;$A3&amp;H$2,_xlpm.normal,IFERROR(INDEX(MASTER!$A:$A,MATCH(_xlpm.pos,MASTER!$H:$H,0))&amp;"_ser_0.20_"&amp;TEXT(INDEX(MASTER!$E:$E,MATCH(_xlpm.pos,MASTER!$H:$H,0)),"mmddyy"),""),_xlpm.slot,96+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79" s="4" t="str">
        <f>_xlfn.LET(_xlpm.pos,"CDI plate 17: "&amp;$A3&amp;I$2,_xlpm.normal,IFERROR(INDEX(MASTER!$A:$A,MATCH(_xlpm.pos,MASTER!$H:$H,0))&amp;"_ser_0.20_"&amp;TEXT(INDEX(MASTER!$E:$E,MATCH(_xlpm.pos,MASTER!$H:$H,0)),"mmddyy"),""),_xlpm.slot,96+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79" s="4" t="str">
        <f>_xlfn.LET(_xlpm.pos,"CDI plate 17: "&amp;$A3&amp;J$2,_xlpm.normal,IFERROR(INDEX(MASTER!$A:$A,MATCH(_xlpm.pos,MASTER!$H:$H,0))&amp;"_ser_0.20_"&amp;TEXT(INDEX(MASTER!$E:$E,MATCH(_xlpm.pos,MASTER!$H:$H,0)),"mmddyy"),""),_xlpm.slot,96+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79" s="4" t="str">
        <f>_xlfn.LET(_xlpm.pos,"CDI plate 17: "&amp;$A3&amp;K$2,_xlpm.normal,IFERROR(INDEX(MASTER!$A:$A,MATCH(_xlpm.pos,MASTER!$H:$H,0))&amp;"_ser_0.20_"&amp;TEXT(INDEX(MASTER!$E:$E,MATCH(_xlpm.pos,MASTER!$H:$H,0)),"mmddyy"),""),_xlpm.slot,96+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79" s="4" t="str">
        <f>_xlfn.LET(_xlpm.pos,"CDI plate 17: "&amp;$A3&amp;L$2,_xlpm.normal,IFERROR(INDEX(MASTER!$A:$A,MATCH(_xlpm.pos,MASTER!$H:$H,0))&amp;"_ser_0.20_"&amp;TEXT(INDEX(MASTER!$E:$E,MATCH(_xlpm.pos,MASTER!$H:$H,0)),"mmddyy"),""),_xlpm.slot,96+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79" s="4" t="str">
        <f>_xlfn.LET(_xlpm.pos,"CDI plate 17: "&amp;$A3&amp;M$2,_xlpm.normal,IFERROR(INDEX(MASTER!$A:$A,MATCH(_xlpm.pos,MASTER!$H:$H,0))&amp;"_ser_0.20_"&amp;TEXT(INDEX(MASTER!$E:$E,MATCH(_xlpm.pos,MASTER!$H:$H,0)),"mmddyy"),""),_xlpm.slot,96+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80" spans="1:13" ht="22" customHeight="1" x14ac:dyDescent="0.3">
      <c r="A180" s="6" t="s">
        <v>31</v>
      </c>
      <c r="B180" s="4" t="str">
        <f>_xlfn.LET(_xlpm.pos,"CDI plate 17: "&amp;$A4&amp;B$2,_xlpm.normal,IFERROR(INDEX(MASTER!$A:$A,MATCH(_xlpm.pos,MASTER!$H:$H,0))&amp;"_ser_0.20_"&amp;TEXT(INDEX(MASTER!$E:$E,MATCH(_xlpm.pos,MASTER!$H:$H,0)),"mmddyy"),""),_xlpm.slot,96+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80" s="4" t="str">
        <f>_xlfn.LET(_xlpm.pos,"CDI plate 17: "&amp;$A4&amp;C$2,_xlpm.normal,IFERROR(INDEX(MASTER!$A:$A,MATCH(_xlpm.pos,MASTER!$H:$H,0))&amp;"_ser_0.20_"&amp;TEXT(INDEX(MASTER!$E:$E,MATCH(_xlpm.pos,MASTER!$H:$H,0)),"mmddyy"),""),_xlpm.slot,96+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80" s="4" t="str">
        <f>_xlfn.LET(_xlpm.pos,"CDI plate 17: "&amp;$A4&amp;D$2,_xlpm.normal,IFERROR(INDEX(MASTER!$A:$A,MATCH(_xlpm.pos,MASTER!$H:$H,0))&amp;"_ser_0.20_"&amp;TEXT(INDEX(MASTER!$E:$E,MATCH(_xlpm.pos,MASTER!$H:$H,0)),"mmddyy"),""),_xlpm.slot,96+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80" s="4" t="str">
        <f>_xlfn.LET(_xlpm.pos,"CDI plate 17: "&amp;$A4&amp;E$2,_xlpm.normal,IFERROR(INDEX(MASTER!$A:$A,MATCH(_xlpm.pos,MASTER!$H:$H,0))&amp;"_ser_0.20_"&amp;TEXT(INDEX(MASTER!$E:$E,MATCH(_xlpm.pos,MASTER!$H:$H,0)),"mmddyy"),""),_xlpm.slot,96+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80" s="4" t="str">
        <f>_xlfn.LET(_xlpm.pos,"CDI plate 17: "&amp;$A4&amp;F$2,_xlpm.normal,IFERROR(INDEX(MASTER!$A:$A,MATCH(_xlpm.pos,MASTER!$H:$H,0))&amp;"_ser_0.20_"&amp;TEXT(INDEX(MASTER!$E:$E,MATCH(_xlpm.pos,MASTER!$H:$H,0)),"mmddyy"),""),_xlpm.slot,96+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80" s="4" t="str">
        <f>_xlfn.LET(_xlpm.pos,"CDI plate 17: "&amp;$A4&amp;G$2,_xlpm.normal,IFERROR(INDEX(MASTER!$A:$A,MATCH(_xlpm.pos,MASTER!$H:$H,0))&amp;"_ser_0.20_"&amp;TEXT(INDEX(MASTER!$E:$E,MATCH(_xlpm.pos,MASTER!$H:$H,0)),"mmddyy"),""),_xlpm.slot,96+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80" s="4" t="str">
        <f>_xlfn.LET(_xlpm.pos,"CDI plate 17: "&amp;$A4&amp;H$2,_xlpm.normal,IFERROR(INDEX(MASTER!$A:$A,MATCH(_xlpm.pos,MASTER!$H:$H,0))&amp;"_ser_0.20_"&amp;TEXT(INDEX(MASTER!$E:$E,MATCH(_xlpm.pos,MASTER!$H:$H,0)),"mmddyy"),""),_xlpm.slot,96+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80" s="4" t="str">
        <f>_xlfn.LET(_xlpm.pos,"CDI plate 17: "&amp;$A4&amp;I$2,_xlpm.normal,IFERROR(INDEX(MASTER!$A:$A,MATCH(_xlpm.pos,MASTER!$H:$H,0))&amp;"_ser_0.20_"&amp;TEXT(INDEX(MASTER!$E:$E,MATCH(_xlpm.pos,MASTER!$H:$H,0)),"mmddyy"),""),_xlpm.slot,96+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80" s="4" t="str">
        <f>_xlfn.LET(_xlpm.pos,"CDI plate 17: "&amp;$A4&amp;J$2,_xlpm.normal,IFERROR(INDEX(MASTER!$A:$A,MATCH(_xlpm.pos,MASTER!$H:$H,0))&amp;"_ser_0.20_"&amp;TEXT(INDEX(MASTER!$E:$E,MATCH(_xlpm.pos,MASTER!$H:$H,0)),"mmddyy"),""),_xlpm.slot,96+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80" s="4" t="str">
        <f>_xlfn.LET(_xlpm.pos,"CDI plate 17: "&amp;$A4&amp;K$2,_xlpm.normal,IFERROR(INDEX(MASTER!$A:$A,MATCH(_xlpm.pos,MASTER!$H:$H,0))&amp;"_ser_0.20_"&amp;TEXT(INDEX(MASTER!$E:$E,MATCH(_xlpm.pos,MASTER!$H:$H,0)),"mmddyy"),""),_xlpm.slot,96+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80" s="4" t="str">
        <f>_xlfn.LET(_xlpm.pos,"CDI plate 17: "&amp;$A4&amp;L$2,_xlpm.normal,IFERROR(INDEX(MASTER!$A:$A,MATCH(_xlpm.pos,MASTER!$H:$H,0))&amp;"_ser_0.20_"&amp;TEXT(INDEX(MASTER!$E:$E,MATCH(_xlpm.pos,MASTER!$H:$H,0)),"mmddyy"),""),_xlpm.slot,96+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80" s="4" t="str">
        <f>_xlfn.LET(_xlpm.pos,"CDI plate 17: "&amp;$A4&amp;M$2,_xlpm.normal,IFERROR(INDEX(MASTER!$A:$A,MATCH(_xlpm.pos,MASTER!$H:$H,0))&amp;"_ser_0.20_"&amp;TEXT(INDEX(MASTER!$E:$E,MATCH(_xlpm.pos,MASTER!$H:$H,0)),"mmddyy"),""),_xlpm.slot,96+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81" spans="1:13" ht="22" customHeight="1" x14ac:dyDescent="0.3">
      <c r="A181" s="6" t="s">
        <v>32</v>
      </c>
      <c r="B181" s="4" t="str">
        <f>_xlfn.LET(_xlpm.pos,"CDI plate 17: "&amp;$A5&amp;B$2,_xlpm.normal,IFERROR(INDEX(MASTER!$A:$A,MATCH(_xlpm.pos,MASTER!$H:$H,0))&amp;"_ser_0.20_"&amp;TEXT(INDEX(MASTER!$E:$E,MATCH(_xlpm.pos,MASTER!$H:$H,0)),"mmddyy"),""),_xlpm.slot,96+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81" s="4" t="str">
        <f>_xlfn.LET(_xlpm.pos,"CDI plate 17: "&amp;$A5&amp;C$2,_xlpm.normal,IFERROR(INDEX(MASTER!$A:$A,MATCH(_xlpm.pos,MASTER!$H:$H,0))&amp;"_ser_0.20_"&amp;TEXT(INDEX(MASTER!$E:$E,MATCH(_xlpm.pos,MASTER!$H:$H,0)),"mmddyy"),""),_xlpm.slot,96+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81" s="4" t="str">
        <f>_xlfn.LET(_xlpm.pos,"CDI plate 17: "&amp;$A5&amp;D$2,_xlpm.normal,IFERROR(INDEX(MASTER!$A:$A,MATCH(_xlpm.pos,MASTER!$H:$H,0))&amp;"_ser_0.20_"&amp;TEXT(INDEX(MASTER!$E:$E,MATCH(_xlpm.pos,MASTER!$H:$H,0)),"mmddyy"),""),_xlpm.slot,96+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81" s="4" t="str">
        <f>_xlfn.LET(_xlpm.pos,"CDI plate 17: "&amp;$A5&amp;E$2,_xlpm.normal,IFERROR(INDEX(MASTER!$A:$A,MATCH(_xlpm.pos,MASTER!$H:$H,0))&amp;"_ser_0.20_"&amp;TEXT(INDEX(MASTER!$E:$E,MATCH(_xlpm.pos,MASTER!$H:$H,0)),"mmddyy"),""),_xlpm.slot,96+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81" s="4" t="str">
        <f>_xlfn.LET(_xlpm.pos,"CDI plate 17: "&amp;$A5&amp;F$2,_xlpm.normal,IFERROR(INDEX(MASTER!$A:$A,MATCH(_xlpm.pos,MASTER!$H:$H,0))&amp;"_ser_0.20_"&amp;TEXT(INDEX(MASTER!$E:$E,MATCH(_xlpm.pos,MASTER!$H:$H,0)),"mmddyy"),""),_xlpm.slot,96+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81" s="4" t="str">
        <f>_xlfn.LET(_xlpm.pos,"CDI plate 17: "&amp;$A5&amp;G$2,_xlpm.normal,IFERROR(INDEX(MASTER!$A:$A,MATCH(_xlpm.pos,MASTER!$H:$H,0))&amp;"_ser_0.20_"&amp;TEXT(INDEX(MASTER!$E:$E,MATCH(_xlpm.pos,MASTER!$H:$H,0)),"mmddyy"),""),_xlpm.slot,96+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81" s="4" t="str">
        <f>_xlfn.LET(_xlpm.pos,"CDI plate 17: "&amp;$A5&amp;H$2,_xlpm.normal,IFERROR(INDEX(MASTER!$A:$A,MATCH(_xlpm.pos,MASTER!$H:$H,0))&amp;"_ser_0.20_"&amp;TEXT(INDEX(MASTER!$E:$E,MATCH(_xlpm.pos,MASTER!$H:$H,0)),"mmddyy"),""),_xlpm.slot,96+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81" s="4" t="str">
        <f>_xlfn.LET(_xlpm.pos,"CDI plate 17: "&amp;$A5&amp;I$2,_xlpm.normal,IFERROR(INDEX(MASTER!$A:$A,MATCH(_xlpm.pos,MASTER!$H:$H,0))&amp;"_ser_0.20_"&amp;TEXT(INDEX(MASTER!$E:$E,MATCH(_xlpm.pos,MASTER!$H:$H,0)),"mmddyy"),""),_xlpm.slot,96+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81" s="4" t="str">
        <f>_xlfn.LET(_xlpm.pos,"CDI plate 17: "&amp;$A5&amp;J$2,_xlpm.normal,IFERROR(INDEX(MASTER!$A:$A,MATCH(_xlpm.pos,MASTER!$H:$H,0))&amp;"_ser_0.20_"&amp;TEXT(INDEX(MASTER!$E:$E,MATCH(_xlpm.pos,MASTER!$H:$H,0)),"mmddyy"),""),_xlpm.slot,96+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81" s="4" t="str">
        <f>_xlfn.LET(_xlpm.pos,"CDI plate 17: "&amp;$A5&amp;K$2,_xlpm.normal,IFERROR(INDEX(MASTER!$A:$A,MATCH(_xlpm.pos,MASTER!$H:$H,0))&amp;"_ser_0.20_"&amp;TEXT(INDEX(MASTER!$E:$E,MATCH(_xlpm.pos,MASTER!$H:$H,0)),"mmddyy"),""),_xlpm.slot,96+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81" s="4" t="str">
        <f>_xlfn.LET(_xlpm.pos,"CDI plate 17: "&amp;$A5&amp;L$2,_xlpm.normal,IFERROR(INDEX(MASTER!$A:$A,MATCH(_xlpm.pos,MASTER!$H:$H,0))&amp;"_ser_0.20_"&amp;TEXT(INDEX(MASTER!$E:$E,MATCH(_xlpm.pos,MASTER!$H:$H,0)),"mmddyy"),""),_xlpm.slot,96+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81" s="4" t="str">
        <f>_xlfn.LET(_xlpm.pos,"CDI plate 17: "&amp;$A5&amp;M$2,_xlpm.normal,IFERROR(INDEX(MASTER!$A:$A,MATCH(_xlpm.pos,MASTER!$H:$H,0))&amp;"_ser_0.20_"&amp;TEXT(INDEX(MASTER!$E:$E,MATCH(_xlpm.pos,MASTER!$H:$H,0)),"mmddyy"),""),_xlpm.slot,96+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82" spans="1:13" ht="22" customHeight="1" x14ac:dyDescent="0.3">
      <c r="A182" s="6" t="s">
        <v>33</v>
      </c>
      <c r="B182" s="4" t="str">
        <f>_xlfn.LET(_xlpm.pos,"CDI plate 17: "&amp;$A6&amp;B$2,_xlpm.normal,IFERROR(INDEX(MASTER!$A:$A,MATCH(_xlpm.pos,MASTER!$H:$H,0))&amp;"_ser_0.20_"&amp;TEXT(INDEX(MASTER!$E:$E,MATCH(_xlpm.pos,MASTER!$H:$H,0)),"mmddyy"),""),_xlpm.slot,96+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82" s="4" t="str">
        <f>_xlfn.LET(_xlpm.pos,"CDI plate 17: "&amp;$A6&amp;C$2,_xlpm.normal,IFERROR(INDEX(MASTER!$A:$A,MATCH(_xlpm.pos,MASTER!$H:$H,0))&amp;"_ser_0.20_"&amp;TEXT(INDEX(MASTER!$E:$E,MATCH(_xlpm.pos,MASTER!$H:$H,0)),"mmddyy"),""),_xlpm.slot,96+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82" s="4" t="str">
        <f>_xlfn.LET(_xlpm.pos,"CDI plate 17: "&amp;$A6&amp;D$2,_xlpm.normal,IFERROR(INDEX(MASTER!$A:$A,MATCH(_xlpm.pos,MASTER!$H:$H,0))&amp;"_ser_0.20_"&amp;TEXT(INDEX(MASTER!$E:$E,MATCH(_xlpm.pos,MASTER!$H:$H,0)),"mmddyy"),""),_xlpm.slot,96+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82" s="4" t="str">
        <f>_xlfn.LET(_xlpm.pos,"CDI plate 17: "&amp;$A6&amp;E$2,_xlpm.normal,IFERROR(INDEX(MASTER!$A:$A,MATCH(_xlpm.pos,MASTER!$H:$H,0))&amp;"_ser_0.20_"&amp;TEXT(INDEX(MASTER!$E:$E,MATCH(_xlpm.pos,MASTER!$H:$H,0)),"mmddyy"),""),_xlpm.slot,96+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82" s="4" t="str">
        <f>_xlfn.LET(_xlpm.pos,"CDI plate 17: "&amp;$A6&amp;F$2,_xlpm.normal,IFERROR(INDEX(MASTER!$A:$A,MATCH(_xlpm.pos,MASTER!$H:$H,0))&amp;"_ser_0.20_"&amp;TEXT(INDEX(MASTER!$E:$E,MATCH(_xlpm.pos,MASTER!$H:$H,0)),"mmddyy"),""),_xlpm.slot,96+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82" s="4" t="str">
        <f>_xlfn.LET(_xlpm.pos,"CDI plate 17: "&amp;$A6&amp;G$2,_xlpm.normal,IFERROR(INDEX(MASTER!$A:$A,MATCH(_xlpm.pos,MASTER!$H:$H,0))&amp;"_ser_0.20_"&amp;TEXT(INDEX(MASTER!$E:$E,MATCH(_xlpm.pos,MASTER!$H:$H,0)),"mmddyy"),""),_xlpm.slot,96+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82" s="4" t="str">
        <f>_xlfn.LET(_xlpm.pos,"CDI plate 17: "&amp;$A6&amp;H$2,_xlpm.normal,IFERROR(INDEX(MASTER!$A:$A,MATCH(_xlpm.pos,MASTER!$H:$H,0))&amp;"_ser_0.20_"&amp;TEXT(INDEX(MASTER!$E:$E,MATCH(_xlpm.pos,MASTER!$H:$H,0)),"mmddyy"),""),_xlpm.slot,96+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82" s="4" t="str">
        <f>_xlfn.LET(_xlpm.pos,"CDI plate 17: "&amp;$A6&amp;I$2,_xlpm.normal,IFERROR(INDEX(MASTER!$A:$A,MATCH(_xlpm.pos,MASTER!$H:$H,0))&amp;"_ser_0.20_"&amp;TEXT(INDEX(MASTER!$E:$E,MATCH(_xlpm.pos,MASTER!$H:$H,0)),"mmddyy"),""),_xlpm.slot,96+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82" s="4" t="str">
        <f>_xlfn.LET(_xlpm.pos,"CDI plate 17: "&amp;$A6&amp;J$2,_xlpm.normal,IFERROR(INDEX(MASTER!$A:$A,MATCH(_xlpm.pos,MASTER!$H:$H,0))&amp;"_ser_0.20_"&amp;TEXT(INDEX(MASTER!$E:$E,MATCH(_xlpm.pos,MASTER!$H:$H,0)),"mmddyy"),""),_xlpm.slot,96+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82" s="4" t="str">
        <f>_xlfn.LET(_xlpm.pos,"CDI plate 17: "&amp;$A6&amp;K$2,_xlpm.normal,IFERROR(INDEX(MASTER!$A:$A,MATCH(_xlpm.pos,MASTER!$H:$H,0))&amp;"_ser_0.20_"&amp;TEXT(INDEX(MASTER!$E:$E,MATCH(_xlpm.pos,MASTER!$H:$H,0)),"mmddyy"),""),_xlpm.slot,96+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82" s="4" t="str">
        <f>_xlfn.LET(_xlpm.pos,"CDI plate 17: "&amp;$A6&amp;L$2,_xlpm.normal,IFERROR(INDEX(MASTER!$A:$A,MATCH(_xlpm.pos,MASTER!$H:$H,0))&amp;"_ser_0.20_"&amp;TEXT(INDEX(MASTER!$E:$E,MATCH(_xlpm.pos,MASTER!$H:$H,0)),"mmddyy"),""),_xlpm.slot,96+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82" s="4" t="str">
        <f>_xlfn.LET(_xlpm.pos,"CDI plate 17: "&amp;$A6&amp;M$2,_xlpm.normal,IFERROR(INDEX(MASTER!$A:$A,MATCH(_xlpm.pos,MASTER!$H:$H,0))&amp;"_ser_0.20_"&amp;TEXT(INDEX(MASTER!$E:$E,MATCH(_xlpm.pos,MASTER!$H:$H,0)),"mmddyy"),""),_xlpm.slot,96+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83" spans="1:13" ht="22" customHeight="1" x14ac:dyDescent="0.3">
      <c r="A183" s="6" t="s">
        <v>34</v>
      </c>
      <c r="B183" s="4" t="str">
        <f>_xlfn.LET(_xlpm.pos,"CDI plate 17: "&amp;$A7&amp;B$2,_xlpm.normal,IFERROR(INDEX(MASTER!$A:$A,MATCH(_xlpm.pos,MASTER!$H:$H,0))&amp;"_ser_0.20_"&amp;TEXT(INDEX(MASTER!$E:$E,MATCH(_xlpm.pos,MASTER!$H:$H,0)),"mmddyy"),""),_xlpm.slot,96+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83" s="4" t="str">
        <f>_xlfn.LET(_xlpm.pos,"CDI plate 17: "&amp;$A7&amp;C$2,_xlpm.normal,IFERROR(INDEX(MASTER!$A:$A,MATCH(_xlpm.pos,MASTER!$H:$H,0))&amp;"_ser_0.20_"&amp;TEXT(INDEX(MASTER!$E:$E,MATCH(_xlpm.pos,MASTER!$H:$H,0)),"mmddyy"),""),_xlpm.slot,96+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83" s="4" t="str">
        <f>_xlfn.LET(_xlpm.pos,"CDI plate 17: "&amp;$A7&amp;D$2,_xlpm.normal,IFERROR(INDEX(MASTER!$A:$A,MATCH(_xlpm.pos,MASTER!$H:$H,0))&amp;"_ser_0.20_"&amp;TEXT(INDEX(MASTER!$E:$E,MATCH(_xlpm.pos,MASTER!$H:$H,0)),"mmddyy"),""),_xlpm.slot,96+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83" s="4" t="str">
        <f>_xlfn.LET(_xlpm.pos,"CDI plate 17: "&amp;$A7&amp;E$2,_xlpm.normal,IFERROR(INDEX(MASTER!$A:$A,MATCH(_xlpm.pos,MASTER!$H:$H,0))&amp;"_ser_0.20_"&amp;TEXT(INDEX(MASTER!$E:$E,MATCH(_xlpm.pos,MASTER!$H:$H,0)),"mmddyy"),""),_xlpm.slot,96+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83" s="4" t="str">
        <f>_xlfn.LET(_xlpm.pos,"CDI plate 17: "&amp;$A7&amp;F$2,_xlpm.normal,IFERROR(INDEX(MASTER!$A:$A,MATCH(_xlpm.pos,MASTER!$H:$H,0))&amp;"_ser_0.20_"&amp;TEXT(INDEX(MASTER!$E:$E,MATCH(_xlpm.pos,MASTER!$H:$H,0)),"mmddyy"),""),_xlpm.slot,96+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83" s="4" t="str">
        <f>_xlfn.LET(_xlpm.pos,"CDI plate 17: "&amp;$A7&amp;G$2,_xlpm.normal,IFERROR(INDEX(MASTER!$A:$A,MATCH(_xlpm.pos,MASTER!$H:$H,0))&amp;"_ser_0.20_"&amp;TEXT(INDEX(MASTER!$E:$E,MATCH(_xlpm.pos,MASTER!$H:$H,0)),"mmddyy"),""),_xlpm.slot,96+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83" s="4" t="str">
        <f>_xlfn.LET(_xlpm.pos,"CDI plate 17: "&amp;$A7&amp;H$2,_xlpm.normal,IFERROR(INDEX(MASTER!$A:$A,MATCH(_xlpm.pos,MASTER!$H:$H,0))&amp;"_ser_0.20_"&amp;TEXT(INDEX(MASTER!$E:$E,MATCH(_xlpm.pos,MASTER!$H:$H,0)),"mmddyy"),""),_xlpm.slot,96+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83" s="4" t="str">
        <f>_xlfn.LET(_xlpm.pos,"CDI plate 17: "&amp;$A7&amp;I$2,_xlpm.normal,IFERROR(INDEX(MASTER!$A:$A,MATCH(_xlpm.pos,MASTER!$H:$H,0))&amp;"_ser_0.20_"&amp;TEXT(INDEX(MASTER!$E:$E,MATCH(_xlpm.pos,MASTER!$H:$H,0)),"mmddyy"),""),_xlpm.slot,96+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83" s="4" t="str">
        <f>_xlfn.LET(_xlpm.pos,"CDI plate 17: "&amp;$A7&amp;J$2,_xlpm.normal,IFERROR(INDEX(MASTER!$A:$A,MATCH(_xlpm.pos,MASTER!$H:$H,0))&amp;"_ser_0.20_"&amp;TEXT(INDEX(MASTER!$E:$E,MATCH(_xlpm.pos,MASTER!$H:$H,0)),"mmddyy"),""),_xlpm.slot,96+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83" s="4" t="str">
        <f>_xlfn.LET(_xlpm.pos,"CDI plate 17: "&amp;$A7&amp;K$2,_xlpm.normal,IFERROR(INDEX(MASTER!$A:$A,MATCH(_xlpm.pos,MASTER!$H:$H,0))&amp;"_ser_0.20_"&amp;TEXT(INDEX(MASTER!$E:$E,MATCH(_xlpm.pos,MASTER!$H:$H,0)),"mmddyy"),""),_xlpm.slot,96+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83" s="4" t="str">
        <f>_xlfn.LET(_xlpm.pos,"CDI plate 17: "&amp;$A7&amp;L$2,_xlpm.normal,IFERROR(INDEX(MASTER!$A:$A,MATCH(_xlpm.pos,MASTER!$H:$H,0))&amp;"_ser_0.20_"&amp;TEXT(INDEX(MASTER!$E:$E,MATCH(_xlpm.pos,MASTER!$H:$H,0)),"mmddyy"),""),_xlpm.slot,96+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83" s="4" t="str">
        <f>_xlfn.LET(_xlpm.pos,"CDI plate 17: "&amp;$A7&amp;M$2,_xlpm.normal,IFERROR(INDEX(MASTER!$A:$A,MATCH(_xlpm.pos,MASTER!$H:$H,0))&amp;"_ser_0.20_"&amp;TEXT(INDEX(MASTER!$E:$E,MATCH(_xlpm.pos,MASTER!$H:$H,0)),"mmddyy"),""),_xlpm.slot,96+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84" spans="1:13" ht="22" customHeight="1" x14ac:dyDescent="0.3">
      <c r="A184" s="6" t="s">
        <v>15</v>
      </c>
      <c r="B184" s="4" t="str">
        <f>_xlfn.LET(_xlpm.pos,"CDI plate 17: "&amp;$A8&amp;B$2,_xlpm.normal,IFERROR(INDEX(MASTER!$A:$A,MATCH(_xlpm.pos,MASTER!$H:$H,0))&amp;"_ser_0.20_"&amp;TEXT(INDEX(MASTER!$E:$E,MATCH(_xlpm.pos,MASTER!$H:$H,0)),"mmddyy"),""),_xlpm.slot,96+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84" s="4" t="str">
        <f>_xlfn.LET(_xlpm.pos,"CDI plate 17: "&amp;$A8&amp;C$2,_xlpm.normal,IFERROR(INDEX(MASTER!$A:$A,MATCH(_xlpm.pos,MASTER!$H:$H,0))&amp;"_ser_0.20_"&amp;TEXT(INDEX(MASTER!$E:$E,MATCH(_xlpm.pos,MASTER!$H:$H,0)),"mmddyy"),""),_xlpm.slot,96+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84" s="4" t="str">
        <f>_xlfn.LET(_xlpm.pos,"CDI plate 17: "&amp;$A8&amp;D$2,_xlpm.normal,IFERROR(INDEX(MASTER!$A:$A,MATCH(_xlpm.pos,MASTER!$H:$H,0))&amp;"_ser_0.20_"&amp;TEXT(INDEX(MASTER!$E:$E,MATCH(_xlpm.pos,MASTER!$H:$H,0)),"mmddyy"),""),_xlpm.slot,96+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84" s="4" t="str">
        <f>_xlfn.LET(_xlpm.pos,"CDI plate 17: "&amp;$A8&amp;E$2,_xlpm.normal,IFERROR(INDEX(MASTER!$A:$A,MATCH(_xlpm.pos,MASTER!$H:$H,0))&amp;"_ser_0.20_"&amp;TEXT(INDEX(MASTER!$E:$E,MATCH(_xlpm.pos,MASTER!$H:$H,0)),"mmddyy"),""),_xlpm.slot,96+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84" s="4" t="str">
        <f>_xlfn.LET(_xlpm.pos,"CDI plate 17: "&amp;$A8&amp;F$2,_xlpm.normal,IFERROR(INDEX(MASTER!$A:$A,MATCH(_xlpm.pos,MASTER!$H:$H,0))&amp;"_ser_0.20_"&amp;TEXT(INDEX(MASTER!$E:$E,MATCH(_xlpm.pos,MASTER!$H:$H,0)),"mmddyy"),""),_xlpm.slot,96+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84" s="4" t="str">
        <f>_xlfn.LET(_xlpm.pos,"CDI plate 17: "&amp;$A8&amp;G$2,_xlpm.normal,IFERROR(INDEX(MASTER!$A:$A,MATCH(_xlpm.pos,MASTER!$H:$H,0))&amp;"_ser_0.20_"&amp;TEXT(INDEX(MASTER!$E:$E,MATCH(_xlpm.pos,MASTER!$H:$H,0)),"mmddyy"),""),_xlpm.slot,96+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84" s="4" t="str">
        <f>_xlfn.LET(_xlpm.pos,"CDI plate 17: "&amp;$A8&amp;H$2,_xlpm.normal,IFERROR(INDEX(MASTER!$A:$A,MATCH(_xlpm.pos,MASTER!$H:$H,0))&amp;"_ser_0.20_"&amp;TEXT(INDEX(MASTER!$E:$E,MATCH(_xlpm.pos,MASTER!$H:$H,0)),"mmddyy"),""),_xlpm.slot,96+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84" s="4" t="str">
        <f>_xlfn.LET(_xlpm.pos,"CDI plate 17: "&amp;$A8&amp;I$2,_xlpm.normal,IFERROR(INDEX(MASTER!$A:$A,MATCH(_xlpm.pos,MASTER!$H:$H,0))&amp;"_ser_0.20_"&amp;TEXT(INDEX(MASTER!$E:$E,MATCH(_xlpm.pos,MASTER!$H:$H,0)),"mmddyy"),""),_xlpm.slot,96+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84" s="4" t="str">
        <f>_xlfn.LET(_xlpm.pos,"CDI plate 17: "&amp;$A8&amp;J$2,_xlpm.normal,IFERROR(INDEX(MASTER!$A:$A,MATCH(_xlpm.pos,MASTER!$H:$H,0))&amp;"_ser_0.20_"&amp;TEXT(INDEX(MASTER!$E:$E,MATCH(_xlpm.pos,MASTER!$H:$H,0)),"mmddyy"),""),_xlpm.slot,96+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84" s="4" t="str">
        <f>_xlfn.LET(_xlpm.pos,"CDI plate 17: "&amp;$A8&amp;K$2,_xlpm.normal,IFERROR(INDEX(MASTER!$A:$A,MATCH(_xlpm.pos,MASTER!$H:$H,0))&amp;"_ser_0.20_"&amp;TEXT(INDEX(MASTER!$E:$E,MATCH(_xlpm.pos,MASTER!$H:$H,0)),"mmddyy"),""),_xlpm.slot,96+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84" s="4" t="str">
        <f>_xlfn.LET(_xlpm.pos,"CDI plate 17: "&amp;$A8&amp;L$2,_xlpm.normal,IFERROR(INDEX(MASTER!$A:$A,MATCH(_xlpm.pos,MASTER!$H:$H,0))&amp;"_ser_0.20_"&amp;TEXT(INDEX(MASTER!$E:$E,MATCH(_xlpm.pos,MASTER!$H:$H,0)),"mmddyy"),""),_xlpm.slot,96+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84" s="4" t="str">
        <f>_xlfn.LET(_xlpm.pos,"CDI plate 17: "&amp;$A8&amp;M$2,_xlpm.normal,IFERROR(INDEX(MASTER!$A:$A,MATCH(_xlpm.pos,MASTER!$H:$H,0))&amp;"_ser_0.20_"&amp;TEXT(INDEX(MASTER!$E:$E,MATCH(_xlpm.pos,MASTER!$H:$H,0)),"mmddyy"),""),_xlpm.slot,96+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85" spans="1:13" ht="22" customHeight="1" x14ac:dyDescent="0.3">
      <c r="A185" s="6" t="s">
        <v>35</v>
      </c>
      <c r="B185" s="4" t="str">
        <f>_xlfn.LET(_xlpm.pos,"CDI plate 17: "&amp;$A9&amp;B$2,_xlpm.normal,IFERROR(INDEX(MASTER!$A:$A,MATCH(_xlpm.pos,MASTER!$H:$H,0))&amp;"_ser_0.20_"&amp;TEXT(INDEX(MASTER!$E:$E,MATCH(_xlpm.pos,MASTER!$H:$H,0)),"mmddyy"),""),_xlpm.slot,96+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85" s="4" t="str">
        <f>_xlfn.LET(_xlpm.pos,"CDI plate 17: "&amp;$A9&amp;C$2,_xlpm.normal,IFERROR(INDEX(MASTER!$A:$A,MATCH(_xlpm.pos,MASTER!$H:$H,0))&amp;"_ser_0.20_"&amp;TEXT(INDEX(MASTER!$E:$E,MATCH(_xlpm.pos,MASTER!$H:$H,0)),"mmddyy"),""),_xlpm.slot,96+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85" s="4" t="str">
        <f>_xlfn.LET(_xlpm.pos,"CDI plate 17: "&amp;$A9&amp;D$2,_xlpm.normal,IFERROR(INDEX(MASTER!$A:$A,MATCH(_xlpm.pos,MASTER!$H:$H,0))&amp;"_ser_0.20_"&amp;TEXT(INDEX(MASTER!$E:$E,MATCH(_xlpm.pos,MASTER!$H:$H,0)),"mmddyy"),""),_xlpm.slot,96+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85" s="4" t="str">
        <f>_xlfn.LET(_xlpm.pos,"CDI plate 17: "&amp;$A9&amp;E$2,_xlpm.normal,IFERROR(INDEX(MASTER!$A:$A,MATCH(_xlpm.pos,MASTER!$H:$H,0))&amp;"_ser_0.20_"&amp;TEXT(INDEX(MASTER!$E:$E,MATCH(_xlpm.pos,MASTER!$H:$H,0)),"mmddyy"),""),_xlpm.slot,96+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85" s="4" t="str">
        <f>_xlfn.LET(_xlpm.pos,"CDI plate 17: "&amp;$A9&amp;F$2,_xlpm.normal,IFERROR(INDEX(MASTER!$A:$A,MATCH(_xlpm.pos,MASTER!$H:$H,0))&amp;"_ser_0.20_"&amp;TEXT(INDEX(MASTER!$E:$E,MATCH(_xlpm.pos,MASTER!$H:$H,0)),"mmddyy"),""),_xlpm.slot,96+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85" s="4" t="str">
        <f>_xlfn.LET(_xlpm.pos,"CDI plate 17: "&amp;$A9&amp;G$2,_xlpm.normal,IFERROR(INDEX(MASTER!$A:$A,MATCH(_xlpm.pos,MASTER!$H:$H,0))&amp;"_ser_0.20_"&amp;TEXT(INDEX(MASTER!$E:$E,MATCH(_xlpm.pos,MASTER!$H:$H,0)),"mmddyy"),""),_xlpm.slot,96+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85" s="4" t="str">
        <f>_xlfn.LET(_xlpm.pos,"CDI plate 17: "&amp;$A9&amp;H$2,_xlpm.normal,IFERROR(INDEX(MASTER!$A:$A,MATCH(_xlpm.pos,MASTER!$H:$H,0))&amp;"_ser_0.20_"&amp;TEXT(INDEX(MASTER!$E:$E,MATCH(_xlpm.pos,MASTER!$H:$H,0)),"mmddyy"),""),_xlpm.slot,96+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85" s="4" t="str">
        <f>_xlfn.LET(_xlpm.pos,"CDI plate 17: "&amp;$A9&amp;I$2,_xlpm.normal,IFERROR(INDEX(MASTER!$A:$A,MATCH(_xlpm.pos,MASTER!$H:$H,0))&amp;"_ser_0.20_"&amp;TEXT(INDEX(MASTER!$E:$E,MATCH(_xlpm.pos,MASTER!$H:$H,0)),"mmddyy"),""),_xlpm.slot,96+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85" s="4" t="str">
        <f>_xlfn.LET(_xlpm.pos,"CDI plate 17: "&amp;$A9&amp;J$2,_xlpm.normal,IFERROR(INDEX(MASTER!$A:$A,MATCH(_xlpm.pos,MASTER!$H:$H,0))&amp;"_ser_0.20_"&amp;TEXT(INDEX(MASTER!$E:$E,MATCH(_xlpm.pos,MASTER!$H:$H,0)),"mmddyy"),""),_xlpm.slot,96+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85" s="4" t="str">
        <f>_xlfn.LET(_xlpm.pos,"CDI plate 17: "&amp;$A9&amp;K$2,_xlpm.normal,IFERROR(INDEX(MASTER!$A:$A,MATCH(_xlpm.pos,MASTER!$H:$H,0))&amp;"_ser_0.20_"&amp;TEXT(INDEX(MASTER!$E:$E,MATCH(_xlpm.pos,MASTER!$H:$H,0)),"mmddyy"),""),_xlpm.slot,96+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85" s="4" t="str">
        <f>_xlfn.LET(_xlpm.pos,"CDI plate 17: "&amp;$A9&amp;L$2,_xlpm.normal,IFERROR(INDEX(MASTER!$A:$A,MATCH(_xlpm.pos,MASTER!$H:$H,0))&amp;"_ser_0.20_"&amp;TEXT(INDEX(MASTER!$E:$E,MATCH(_xlpm.pos,MASTER!$H:$H,0)),"mmddyy"),""),_xlpm.slot,96+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85" s="4" t="str">
        <f>_xlfn.LET(_xlpm.pos,"CDI plate 17: "&amp;$A9&amp;M$2,_xlpm.normal,IFERROR(INDEX(MASTER!$A:$A,MATCH(_xlpm.pos,MASTER!$H:$H,0))&amp;"_ser_0.20_"&amp;TEXT(INDEX(MASTER!$E:$E,MATCH(_xlpm.pos,MASTER!$H:$H,0)),"mmddyy"),""),_xlpm.slot,96+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86" spans="1:13" ht="22" customHeight="1" x14ac:dyDescent="0.3">
      <c r="A186" s="6" t="s">
        <v>36</v>
      </c>
      <c r="B186" s="4" t="str">
        <f>_xlfn.LET(_xlpm.pos,"CDI plate 17: "&amp;$A10&amp;B$2,_xlpm.normal,IFERROR(INDEX(MASTER!$A:$A,MATCH(_xlpm.pos,MASTER!$H:$H,0))&amp;"_ser_0.20_"&amp;TEXT(INDEX(MASTER!$E:$E,MATCH(_xlpm.pos,MASTER!$H:$H,0)),"mmddyy"),""),_xlpm.slot,96+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86" s="4" t="str">
        <f>_xlfn.LET(_xlpm.pos,"CDI plate 17: "&amp;$A10&amp;C$2,_xlpm.normal,IFERROR(INDEX(MASTER!$A:$A,MATCH(_xlpm.pos,MASTER!$H:$H,0))&amp;"_ser_0.20_"&amp;TEXT(INDEX(MASTER!$E:$E,MATCH(_xlpm.pos,MASTER!$H:$H,0)),"mmddyy"),""),_xlpm.slot,96+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86" s="4" t="str">
        <f>_xlfn.LET(_xlpm.pos,"CDI plate 17: "&amp;$A10&amp;D$2,_xlpm.normal,IFERROR(INDEX(MASTER!$A:$A,MATCH(_xlpm.pos,MASTER!$H:$H,0))&amp;"_ser_0.20_"&amp;TEXT(INDEX(MASTER!$E:$E,MATCH(_xlpm.pos,MASTER!$H:$H,0)),"mmddyy"),""),_xlpm.slot,96+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86" s="4" t="str">
        <f>_xlfn.LET(_xlpm.pos,"CDI plate 17: "&amp;$A10&amp;E$2,_xlpm.normal,IFERROR(INDEX(MASTER!$A:$A,MATCH(_xlpm.pos,MASTER!$H:$H,0))&amp;"_ser_0.20_"&amp;TEXT(INDEX(MASTER!$E:$E,MATCH(_xlpm.pos,MASTER!$H:$H,0)),"mmddyy"),""),_xlpm.slot,96+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86" s="4" t="str">
        <f>_xlfn.LET(_xlpm.pos,"CDI plate 17: "&amp;$A10&amp;F$2,_xlpm.normal,IFERROR(INDEX(MASTER!$A:$A,MATCH(_xlpm.pos,MASTER!$H:$H,0))&amp;"_ser_0.20_"&amp;TEXT(INDEX(MASTER!$E:$E,MATCH(_xlpm.pos,MASTER!$H:$H,0)),"mmddyy"),""),_xlpm.slot,96+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86" s="4" t="str">
        <f>_xlfn.LET(_xlpm.pos,"CDI plate 17: "&amp;$A10&amp;G$2,_xlpm.normal,IFERROR(INDEX(MASTER!$A:$A,MATCH(_xlpm.pos,MASTER!$H:$H,0))&amp;"_ser_0.20_"&amp;TEXT(INDEX(MASTER!$E:$E,MATCH(_xlpm.pos,MASTER!$H:$H,0)),"mmddyy"),""),_xlpm.slot,96+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86" s="4" t="str">
        <f>_xlfn.LET(_xlpm.pos,"CDI plate 17: "&amp;$A10&amp;H$2,_xlpm.normal,IFERROR(INDEX(MASTER!$A:$A,MATCH(_xlpm.pos,MASTER!$H:$H,0))&amp;"_ser_0.20_"&amp;TEXT(INDEX(MASTER!$E:$E,MATCH(_xlpm.pos,MASTER!$H:$H,0)),"mmddyy"),""),_xlpm.slot,96+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86" s="4" t="str">
        <f>_xlfn.LET(_xlpm.pos,"CDI plate 17: "&amp;$A10&amp;I$2,_xlpm.normal,IFERROR(INDEX(MASTER!$A:$A,MATCH(_xlpm.pos,MASTER!$H:$H,0))&amp;"_ser_0.20_"&amp;TEXT(INDEX(MASTER!$E:$E,MATCH(_xlpm.pos,MASTER!$H:$H,0)),"mmddyy"),""),_xlpm.slot,96+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86" s="4" t="str">
        <f>_xlfn.LET(_xlpm.pos,"CDI plate 17: "&amp;$A10&amp;J$2,_xlpm.normal,IFERROR(INDEX(MASTER!$A:$A,MATCH(_xlpm.pos,MASTER!$H:$H,0))&amp;"_ser_0.20_"&amp;TEXT(INDEX(MASTER!$E:$E,MATCH(_xlpm.pos,MASTER!$H:$H,0)),"mmddyy"),""),_xlpm.slot,96+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86" s="4" t="str">
        <f>_xlfn.LET(_xlpm.pos,"CDI plate 17: "&amp;$A10&amp;K$2,_xlpm.normal,IFERROR(INDEX(MASTER!$A:$A,MATCH(_xlpm.pos,MASTER!$H:$H,0))&amp;"_ser_0.20_"&amp;TEXT(INDEX(MASTER!$E:$E,MATCH(_xlpm.pos,MASTER!$H:$H,0)),"mmddyy"),""),_xlpm.slot,96+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86" s="4" t="str">
        <f>_xlfn.LET(_xlpm.pos,"CDI plate 17: "&amp;$A10&amp;L$2,_xlpm.normal,IFERROR(INDEX(MASTER!$A:$A,MATCH(_xlpm.pos,MASTER!$H:$H,0))&amp;"_ser_0.20_"&amp;TEXT(INDEX(MASTER!$E:$E,MATCH(_xlpm.pos,MASTER!$H:$H,0)),"mmddyy"),""),_xlpm.slot,96+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86" s="4" t="str">
        <f>_xlfn.LET(_xlpm.pos,"CDI plate 17: "&amp;$A10&amp;M$2,_xlpm.normal,IFERROR(INDEX(MASTER!$A:$A,MATCH(_xlpm.pos,MASTER!$H:$H,0))&amp;"_ser_0.20_"&amp;TEXT(INDEX(MASTER!$E:$E,MATCH(_xlpm.pos,MASTER!$H:$H,0)),"mmddyy"),""),_xlpm.slot,96+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87" spans="1:13" ht="22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ht="22" customHeight="1" x14ac:dyDescent="0.35">
      <c r="A188" s="5"/>
      <c r="B188" s="31" t="s">
        <v>53</v>
      </c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3"/>
    </row>
    <row r="189" spans="1:13" ht="22" customHeight="1" x14ac:dyDescent="0.3">
      <c r="A189" s="5"/>
      <c r="B189" s="6">
        <v>1</v>
      </c>
      <c r="C189" s="6">
        <v>2</v>
      </c>
      <c r="D189" s="6">
        <v>3</v>
      </c>
      <c r="E189" s="6">
        <v>4</v>
      </c>
      <c r="F189" s="6">
        <v>5</v>
      </c>
      <c r="G189" s="6">
        <v>6</v>
      </c>
      <c r="H189" s="6">
        <v>7</v>
      </c>
      <c r="I189" s="6">
        <v>8</v>
      </c>
      <c r="J189" s="6">
        <v>9</v>
      </c>
      <c r="K189" s="6">
        <v>10</v>
      </c>
      <c r="L189" s="6">
        <v>11</v>
      </c>
      <c r="M189" s="6">
        <v>12</v>
      </c>
    </row>
    <row r="190" spans="1:13" ht="22" customHeight="1" x14ac:dyDescent="0.3">
      <c r="A190" s="6" t="s">
        <v>30</v>
      </c>
      <c r="B190" s="4" t="str">
        <f>_xlfn.LET(_xlpm.pos,"CDI plate 18: "&amp;$A3&amp;B$2,_xlpm.normal,IFERROR(INDEX(MASTER!$A:$A,MATCH(_xlpm.pos,MASTER!$H:$H,0))&amp;"_ser_0.20_"&amp;TEXT(INDEX(MASTER!$E:$E,MATCH(_xlpm.pos,MASTER!$H:$H,0)),"mmddyy"),""),_xlpm.slot,96+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90" s="4" t="str">
        <f>_xlfn.LET(_xlpm.pos,"CDI plate 18: "&amp;$A3&amp;C$2,_xlpm.normal,IFERROR(INDEX(MASTER!$A:$A,MATCH(_xlpm.pos,MASTER!$H:$H,0))&amp;"_ser_0.20_"&amp;TEXT(INDEX(MASTER!$E:$E,MATCH(_xlpm.pos,MASTER!$H:$H,0)),"mmddyy"),""),_xlpm.slot,96+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90" s="4" t="str">
        <f>_xlfn.LET(_xlpm.pos,"CDI plate 18: "&amp;$A3&amp;D$2,_xlpm.normal,IFERROR(INDEX(MASTER!$A:$A,MATCH(_xlpm.pos,MASTER!$H:$H,0))&amp;"_ser_0.20_"&amp;TEXT(INDEX(MASTER!$E:$E,MATCH(_xlpm.pos,MASTER!$H:$H,0)),"mmddyy"),""),_xlpm.slot,96+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90" s="4" t="str">
        <f>_xlfn.LET(_xlpm.pos,"CDI plate 18: "&amp;$A3&amp;E$2,_xlpm.normal,IFERROR(INDEX(MASTER!$A:$A,MATCH(_xlpm.pos,MASTER!$H:$H,0))&amp;"_ser_0.20_"&amp;TEXT(INDEX(MASTER!$E:$E,MATCH(_xlpm.pos,MASTER!$H:$H,0)),"mmddyy"),""),_xlpm.slot,96+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90" s="4" t="str">
        <f>_xlfn.LET(_xlpm.pos,"CDI plate 18: "&amp;$A3&amp;F$2,_xlpm.normal,IFERROR(INDEX(MASTER!$A:$A,MATCH(_xlpm.pos,MASTER!$H:$H,0))&amp;"_ser_0.20_"&amp;TEXT(INDEX(MASTER!$E:$E,MATCH(_xlpm.pos,MASTER!$H:$H,0)),"mmddyy"),""),_xlpm.slot,96+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90" s="4" t="str">
        <f>_xlfn.LET(_xlpm.pos,"CDI plate 18: "&amp;$A3&amp;G$2,_xlpm.normal,IFERROR(INDEX(MASTER!$A:$A,MATCH(_xlpm.pos,MASTER!$H:$H,0))&amp;"_ser_0.20_"&amp;TEXT(INDEX(MASTER!$E:$E,MATCH(_xlpm.pos,MASTER!$H:$H,0)),"mmddyy"),""),_xlpm.slot,96+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90" s="4" t="str">
        <f>_xlfn.LET(_xlpm.pos,"CDI plate 18: "&amp;$A3&amp;H$2,_xlpm.normal,IFERROR(INDEX(MASTER!$A:$A,MATCH(_xlpm.pos,MASTER!$H:$H,0))&amp;"_ser_0.20_"&amp;TEXT(INDEX(MASTER!$E:$E,MATCH(_xlpm.pos,MASTER!$H:$H,0)),"mmddyy"),""),_xlpm.slot,96+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90" s="4" t="str">
        <f>_xlfn.LET(_xlpm.pos,"CDI plate 18: "&amp;$A3&amp;I$2,_xlpm.normal,IFERROR(INDEX(MASTER!$A:$A,MATCH(_xlpm.pos,MASTER!$H:$H,0))&amp;"_ser_0.20_"&amp;TEXT(INDEX(MASTER!$E:$E,MATCH(_xlpm.pos,MASTER!$H:$H,0)),"mmddyy"),""),_xlpm.slot,96+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90" s="4" t="str">
        <f>_xlfn.LET(_xlpm.pos,"CDI plate 18: "&amp;$A3&amp;J$2,_xlpm.normal,IFERROR(INDEX(MASTER!$A:$A,MATCH(_xlpm.pos,MASTER!$H:$H,0))&amp;"_ser_0.20_"&amp;TEXT(INDEX(MASTER!$E:$E,MATCH(_xlpm.pos,MASTER!$H:$H,0)),"mmddyy"),""),_xlpm.slot,96+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90" s="4" t="str">
        <f>_xlfn.LET(_xlpm.pos,"CDI plate 18: "&amp;$A3&amp;K$2,_xlpm.normal,IFERROR(INDEX(MASTER!$A:$A,MATCH(_xlpm.pos,MASTER!$H:$H,0))&amp;"_ser_0.20_"&amp;TEXT(INDEX(MASTER!$E:$E,MATCH(_xlpm.pos,MASTER!$H:$H,0)),"mmddyy"),""),_xlpm.slot,96+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90" s="4" t="str">
        <f>_xlfn.LET(_xlpm.pos,"CDI plate 18: "&amp;$A3&amp;L$2,_xlpm.normal,IFERROR(INDEX(MASTER!$A:$A,MATCH(_xlpm.pos,MASTER!$H:$H,0))&amp;"_ser_0.20_"&amp;TEXT(INDEX(MASTER!$E:$E,MATCH(_xlpm.pos,MASTER!$H:$H,0)),"mmddyy"),""),_xlpm.slot,96+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90" s="4" t="str">
        <f>_xlfn.LET(_xlpm.pos,"CDI plate 18: "&amp;$A3&amp;M$2,_xlpm.normal,IFERROR(INDEX(MASTER!$A:$A,MATCH(_xlpm.pos,MASTER!$H:$H,0))&amp;"_ser_0.20_"&amp;TEXT(INDEX(MASTER!$E:$E,MATCH(_xlpm.pos,MASTER!$H:$H,0)),"mmddyy"),""),_xlpm.slot,96+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91" spans="1:13" ht="22" customHeight="1" x14ac:dyDescent="0.3">
      <c r="A191" s="6" t="s">
        <v>31</v>
      </c>
      <c r="B191" s="4" t="str">
        <f>_xlfn.LET(_xlpm.pos,"CDI plate 18: "&amp;$A4&amp;B$2,_xlpm.normal,IFERROR(INDEX(MASTER!$A:$A,MATCH(_xlpm.pos,MASTER!$H:$H,0))&amp;"_ser_0.20_"&amp;TEXT(INDEX(MASTER!$E:$E,MATCH(_xlpm.pos,MASTER!$H:$H,0)),"mmddyy"),""),_xlpm.slot,96+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91" s="4" t="str">
        <f>_xlfn.LET(_xlpm.pos,"CDI plate 18: "&amp;$A4&amp;C$2,_xlpm.normal,IFERROR(INDEX(MASTER!$A:$A,MATCH(_xlpm.pos,MASTER!$H:$H,0))&amp;"_ser_0.20_"&amp;TEXT(INDEX(MASTER!$E:$E,MATCH(_xlpm.pos,MASTER!$H:$H,0)),"mmddyy"),""),_xlpm.slot,96+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91" s="4" t="str">
        <f>_xlfn.LET(_xlpm.pos,"CDI plate 18: "&amp;$A4&amp;D$2,_xlpm.normal,IFERROR(INDEX(MASTER!$A:$A,MATCH(_xlpm.pos,MASTER!$H:$H,0))&amp;"_ser_0.20_"&amp;TEXT(INDEX(MASTER!$E:$E,MATCH(_xlpm.pos,MASTER!$H:$H,0)),"mmddyy"),""),_xlpm.slot,96+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91" s="4" t="str">
        <f>_xlfn.LET(_xlpm.pos,"CDI plate 18: "&amp;$A4&amp;E$2,_xlpm.normal,IFERROR(INDEX(MASTER!$A:$A,MATCH(_xlpm.pos,MASTER!$H:$H,0))&amp;"_ser_0.20_"&amp;TEXT(INDEX(MASTER!$E:$E,MATCH(_xlpm.pos,MASTER!$H:$H,0)),"mmddyy"),""),_xlpm.slot,96+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91" s="4" t="str">
        <f>_xlfn.LET(_xlpm.pos,"CDI plate 18: "&amp;$A4&amp;F$2,_xlpm.normal,IFERROR(INDEX(MASTER!$A:$A,MATCH(_xlpm.pos,MASTER!$H:$H,0))&amp;"_ser_0.20_"&amp;TEXT(INDEX(MASTER!$E:$E,MATCH(_xlpm.pos,MASTER!$H:$H,0)),"mmddyy"),""),_xlpm.slot,96+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91" s="4" t="str">
        <f>_xlfn.LET(_xlpm.pos,"CDI plate 18: "&amp;$A4&amp;G$2,_xlpm.normal,IFERROR(INDEX(MASTER!$A:$A,MATCH(_xlpm.pos,MASTER!$H:$H,0))&amp;"_ser_0.20_"&amp;TEXT(INDEX(MASTER!$E:$E,MATCH(_xlpm.pos,MASTER!$H:$H,0)),"mmddyy"),""),_xlpm.slot,96+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91" s="4" t="str">
        <f>_xlfn.LET(_xlpm.pos,"CDI plate 18: "&amp;$A4&amp;H$2,_xlpm.normal,IFERROR(INDEX(MASTER!$A:$A,MATCH(_xlpm.pos,MASTER!$H:$H,0))&amp;"_ser_0.20_"&amp;TEXT(INDEX(MASTER!$E:$E,MATCH(_xlpm.pos,MASTER!$H:$H,0)),"mmddyy"),""),_xlpm.slot,96+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91" s="4" t="str">
        <f>_xlfn.LET(_xlpm.pos,"CDI plate 18: "&amp;$A4&amp;I$2,_xlpm.normal,IFERROR(INDEX(MASTER!$A:$A,MATCH(_xlpm.pos,MASTER!$H:$H,0))&amp;"_ser_0.20_"&amp;TEXT(INDEX(MASTER!$E:$E,MATCH(_xlpm.pos,MASTER!$H:$H,0)),"mmddyy"),""),_xlpm.slot,96+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91" s="4" t="str">
        <f>_xlfn.LET(_xlpm.pos,"CDI plate 18: "&amp;$A4&amp;J$2,_xlpm.normal,IFERROR(INDEX(MASTER!$A:$A,MATCH(_xlpm.pos,MASTER!$H:$H,0))&amp;"_ser_0.20_"&amp;TEXT(INDEX(MASTER!$E:$E,MATCH(_xlpm.pos,MASTER!$H:$H,0)),"mmddyy"),""),_xlpm.slot,96+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91" s="4" t="str">
        <f>_xlfn.LET(_xlpm.pos,"CDI plate 18: "&amp;$A4&amp;K$2,_xlpm.normal,IFERROR(INDEX(MASTER!$A:$A,MATCH(_xlpm.pos,MASTER!$H:$H,0))&amp;"_ser_0.20_"&amp;TEXT(INDEX(MASTER!$E:$E,MATCH(_xlpm.pos,MASTER!$H:$H,0)),"mmddyy"),""),_xlpm.slot,96+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91" s="4" t="str">
        <f>_xlfn.LET(_xlpm.pos,"CDI plate 18: "&amp;$A4&amp;L$2,_xlpm.normal,IFERROR(INDEX(MASTER!$A:$A,MATCH(_xlpm.pos,MASTER!$H:$H,0))&amp;"_ser_0.20_"&amp;TEXT(INDEX(MASTER!$E:$E,MATCH(_xlpm.pos,MASTER!$H:$H,0)),"mmddyy"),""),_xlpm.slot,96+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91" s="4" t="str">
        <f>_xlfn.LET(_xlpm.pos,"CDI plate 18: "&amp;$A4&amp;M$2,_xlpm.normal,IFERROR(INDEX(MASTER!$A:$A,MATCH(_xlpm.pos,MASTER!$H:$H,0))&amp;"_ser_0.20_"&amp;TEXT(INDEX(MASTER!$E:$E,MATCH(_xlpm.pos,MASTER!$H:$H,0)),"mmddyy"),""),_xlpm.slot,96+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92" spans="1:13" ht="22" customHeight="1" x14ac:dyDescent="0.3">
      <c r="A192" s="6" t="s">
        <v>32</v>
      </c>
      <c r="B192" s="4" t="str">
        <f>_xlfn.LET(_xlpm.pos,"CDI plate 18: "&amp;$A5&amp;B$2,_xlpm.normal,IFERROR(INDEX(MASTER!$A:$A,MATCH(_xlpm.pos,MASTER!$H:$H,0))&amp;"_ser_0.20_"&amp;TEXT(INDEX(MASTER!$E:$E,MATCH(_xlpm.pos,MASTER!$H:$H,0)),"mmddyy"),""),_xlpm.slot,96+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92" s="4" t="str">
        <f>_xlfn.LET(_xlpm.pos,"CDI plate 18: "&amp;$A5&amp;C$2,_xlpm.normal,IFERROR(INDEX(MASTER!$A:$A,MATCH(_xlpm.pos,MASTER!$H:$H,0))&amp;"_ser_0.20_"&amp;TEXT(INDEX(MASTER!$E:$E,MATCH(_xlpm.pos,MASTER!$H:$H,0)),"mmddyy"),""),_xlpm.slot,96+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92" s="4" t="str">
        <f>_xlfn.LET(_xlpm.pos,"CDI plate 18: "&amp;$A5&amp;D$2,_xlpm.normal,IFERROR(INDEX(MASTER!$A:$A,MATCH(_xlpm.pos,MASTER!$H:$H,0))&amp;"_ser_0.20_"&amp;TEXT(INDEX(MASTER!$E:$E,MATCH(_xlpm.pos,MASTER!$H:$H,0)),"mmddyy"),""),_xlpm.slot,96+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92" s="4" t="str">
        <f>_xlfn.LET(_xlpm.pos,"CDI plate 18: "&amp;$A5&amp;E$2,_xlpm.normal,IFERROR(INDEX(MASTER!$A:$A,MATCH(_xlpm.pos,MASTER!$H:$H,0))&amp;"_ser_0.20_"&amp;TEXT(INDEX(MASTER!$E:$E,MATCH(_xlpm.pos,MASTER!$H:$H,0)),"mmddyy"),""),_xlpm.slot,96+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92" s="4" t="str">
        <f>_xlfn.LET(_xlpm.pos,"CDI plate 18: "&amp;$A5&amp;F$2,_xlpm.normal,IFERROR(INDEX(MASTER!$A:$A,MATCH(_xlpm.pos,MASTER!$H:$H,0))&amp;"_ser_0.20_"&amp;TEXT(INDEX(MASTER!$E:$E,MATCH(_xlpm.pos,MASTER!$H:$H,0)),"mmddyy"),""),_xlpm.slot,96+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92" s="4" t="str">
        <f>_xlfn.LET(_xlpm.pos,"CDI plate 18: "&amp;$A5&amp;G$2,_xlpm.normal,IFERROR(INDEX(MASTER!$A:$A,MATCH(_xlpm.pos,MASTER!$H:$H,0))&amp;"_ser_0.20_"&amp;TEXT(INDEX(MASTER!$E:$E,MATCH(_xlpm.pos,MASTER!$H:$H,0)),"mmddyy"),""),_xlpm.slot,96+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92" s="4" t="str">
        <f>_xlfn.LET(_xlpm.pos,"CDI plate 18: "&amp;$A5&amp;H$2,_xlpm.normal,IFERROR(INDEX(MASTER!$A:$A,MATCH(_xlpm.pos,MASTER!$H:$H,0))&amp;"_ser_0.20_"&amp;TEXT(INDEX(MASTER!$E:$E,MATCH(_xlpm.pos,MASTER!$H:$H,0)),"mmddyy"),""),_xlpm.slot,96+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92" s="4" t="str">
        <f>_xlfn.LET(_xlpm.pos,"CDI plate 18: "&amp;$A5&amp;I$2,_xlpm.normal,IFERROR(INDEX(MASTER!$A:$A,MATCH(_xlpm.pos,MASTER!$H:$H,0))&amp;"_ser_0.20_"&amp;TEXT(INDEX(MASTER!$E:$E,MATCH(_xlpm.pos,MASTER!$H:$H,0)),"mmddyy"),""),_xlpm.slot,96+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92" s="4" t="str">
        <f>_xlfn.LET(_xlpm.pos,"CDI plate 18: "&amp;$A5&amp;J$2,_xlpm.normal,IFERROR(INDEX(MASTER!$A:$A,MATCH(_xlpm.pos,MASTER!$H:$H,0))&amp;"_ser_0.20_"&amp;TEXT(INDEX(MASTER!$E:$E,MATCH(_xlpm.pos,MASTER!$H:$H,0)),"mmddyy"),""),_xlpm.slot,96+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92" s="4" t="str">
        <f>_xlfn.LET(_xlpm.pos,"CDI plate 18: "&amp;$A5&amp;K$2,_xlpm.normal,IFERROR(INDEX(MASTER!$A:$A,MATCH(_xlpm.pos,MASTER!$H:$H,0))&amp;"_ser_0.20_"&amp;TEXT(INDEX(MASTER!$E:$E,MATCH(_xlpm.pos,MASTER!$H:$H,0)),"mmddyy"),""),_xlpm.slot,96+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92" s="4" t="str">
        <f>_xlfn.LET(_xlpm.pos,"CDI plate 18: "&amp;$A5&amp;L$2,_xlpm.normal,IFERROR(INDEX(MASTER!$A:$A,MATCH(_xlpm.pos,MASTER!$H:$H,0))&amp;"_ser_0.20_"&amp;TEXT(INDEX(MASTER!$E:$E,MATCH(_xlpm.pos,MASTER!$H:$H,0)),"mmddyy"),""),_xlpm.slot,96+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92" s="4" t="str">
        <f>_xlfn.LET(_xlpm.pos,"CDI plate 18: "&amp;$A5&amp;M$2,_xlpm.normal,IFERROR(INDEX(MASTER!$A:$A,MATCH(_xlpm.pos,MASTER!$H:$H,0))&amp;"_ser_0.20_"&amp;TEXT(INDEX(MASTER!$E:$E,MATCH(_xlpm.pos,MASTER!$H:$H,0)),"mmddyy"),""),_xlpm.slot,96+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93" spans="1:13" ht="22" customHeight="1" x14ac:dyDescent="0.3">
      <c r="A193" s="6" t="s">
        <v>33</v>
      </c>
      <c r="B193" s="4" t="str">
        <f>_xlfn.LET(_xlpm.pos,"CDI plate 18: "&amp;$A6&amp;B$2,_xlpm.normal,IFERROR(INDEX(MASTER!$A:$A,MATCH(_xlpm.pos,MASTER!$H:$H,0))&amp;"_ser_0.20_"&amp;TEXT(INDEX(MASTER!$E:$E,MATCH(_xlpm.pos,MASTER!$H:$H,0)),"mmddyy"),""),_xlpm.slot,96+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93" s="4" t="str">
        <f>_xlfn.LET(_xlpm.pos,"CDI plate 18: "&amp;$A6&amp;C$2,_xlpm.normal,IFERROR(INDEX(MASTER!$A:$A,MATCH(_xlpm.pos,MASTER!$H:$H,0))&amp;"_ser_0.20_"&amp;TEXT(INDEX(MASTER!$E:$E,MATCH(_xlpm.pos,MASTER!$H:$H,0)),"mmddyy"),""),_xlpm.slot,96+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93" s="4" t="str">
        <f>_xlfn.LET(_xlpm.pos,"CDI plate 18: "&amp;$A6&amp;D$2,_xlpm.normal,IFERROR(INDEX(MASTER!$A:$A,MATCH(_xlpm.pos,MASTER!$H:$H,0))&amp;"_ser_0.20_"&amp;TEXT(INDEX(MASTER!$E:$E,MATCH(_xlpm.pos,MASTER!$H:$H,0)),"mmddyy"),""),_xlpm.slot,96+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93" s="4" t="str">
        <f>_xlfn.LET(_xlpm.pos,"CDI plate 18: "&amp;$A6&amp;E$2,_xlpm.normal,IFERROR(INDEX(MASTER!$A:$A,MATCH(_xlpm.pos,MASTER!$H:$H,0))&amp;"_ser_0.20_"&amp;TEXT(INDEX(MASTER!$E:$E,MATCH(_xlpm.pos,MASTER!$H:$H,0)),"mmddyy"),""),_xlpm.slot,96+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93" s="4" t="str">
        <f>_xlfn.LET(_xlpm.pos,"CDI plate 18: "&amp;$A6&amp;F$2,_xlpm.normal,IFERROR(INDEX(MASTER!$A:$A,MATCH(_xlpm.pos,MASTER!$H:$H,0))&amp;"_ser_0.20_"&amp;TEXT(INDEX(MASTER!$E:$E,MATCH(_xlpm.pos,MASTER!$H:$H,0)),"mmddyy"),""),_xlpm.slot,96+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93" s="4" t="str">
        <f>_xlfn.LET(_xlpm.pos,"CDI plate 18: "&amp;$A6&amp;G$2,_xlpm.normal,IFERROR(INDEX(MASTER!$A:$A,MATCH(_xlpm.pos,MASTER!$H:$H,0))&amp;"_ser_0.20_"&amp;TEXT(INDEX(MASTER!$E:$E,MATCH(_xlpm.pos,MASTER!$H:$H,0)),"mmddyy"),""),_xlpm.slot,96+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93" s="4" t="str">
        <f>_xlfn.LET(_xlpm.pos,"CDI plate 18: "&amp;$A6&amp;H$2,_xlpm.normal,IFERROR(INDEX(MASTER!$A:$A,MATCH(_xlpm.pos,MASTER!$H:$H,0))&amp;"_ser_0.20_"&amp;TEXT(INDEX(MASTER!$E:$E,MATCH(_xlpm.pos,MASTER!$H:$H,0)),"mmddyy"),""),_xlpm.slot,96+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93" s="4" t="str">
        <f>_xlfn.LET(_xlpm.pos,"CDI plate 18: "&amp;$A6&amp;I$2,_xlpm.normal,IFERROR(INDEX(MASTER!$A:$A,MATCH(_xlpm.pos,MASTER!$H:$H,0))&amp;"_ser_0.20_"&amp;TEXT(INDEX(MASTER!$E:$E,MATCH(_xlpm.pos,MASTER!$H:$H,0)),"mmddyy"),""),_xlpm.slot,96+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93" s="4" t="str">
        <f>_xlfn.LET(_xlpm.pos,"CDI plate 18: "&amp;$A6&amp;J$2,_xlpm.normal,IFERROR(INDEX(MASTER!$A:$A,MATCH(_xlpm.pos,MASTER!$H:$H,0))&amp;"_ser_0.20_"&amp;TEXT(INDEX(MASTER!$E:$E,MATCH(_xlpm.pos,MASTER!$H:$H,0)),"mmddyy"),""),_xlpm.slot,96+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93" s="4" t="str">
        <f>_xlfn.LET(_xlpm.pos,"CDI plate 18: "&amp;$A6&amp;K$2,_xlpm.normal,IFERROR(INDEX(MASTER!$A:$A,MATCH(_xlpm.pos,MASTER!$H:$H,0))&amp;"_ser_0.20_"&amp;TEXT(INDEX(MASTER!$E:$E,MATCH(_xlpm.pos,MASTER!$H:$H,0)),"mmddyy"),""),_xlpm.slot,96+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93" s="4" t="str">
        <f>_xlfn.LET(_xlpm.pos,"CDI plate 18: "&amp;$A6&amp;L$2,_xlpm.normal,IFERROR(INDEX(MASTER!$A:$A,MATCH(_xlpm.pos,MASTER!$H:$H,0))&amp;"_ser_0.20_"&amp;TEXT(INDEX(MASTER!$E:$E,MATCH(_xlpm.pos,MASTER!$H:$H,0)),"mmddyy"),""),_xlpm.slot,96+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93" s="4" t="str">
        <f>_xlfn.LET(_xlpm.pos,"CDI plate 18: "&amp;$A6&amp;M$2,_xlpm.normal,IFERROR(INDEX(MASTER!$A:$A,MATCH(_xlpm.pos,MASTER!$H:$H,0))&amp;"_ser_0.20_"&amp;TEXT(INDEX(MASTER!$E:$E,MATCH(_xlpm.pos,MASTER!$H:$H,0)),"mmddyy"),""),_xlpm.slot,96+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94" spans="1:13" ht="22" customHeight="1" x14ac:dyDescent="0.3">
      <c r="A194" s="6" t="s">
        <v>34</v>
      </c>
      <c r="B194" s="4" t="str">
        <f>_xlfn.LET(_xlpm.pos,"CDI plate 18: "&amp;$A7&amp;B$2,_xlpm.normal,IFERROR(INDEX(MASTER!$A:$A,MATCH(_xlpm.pos,MASTER!$H:$H,0))&amp;"_ser_0.20_"&amp;TEXT(INDEX(MASTER!$E:$E,MATCH(_xlpm.pos,MASTER!$H:$H,0)),"mmddyy"),""),_xlpm.slot,96+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94" s="4" t="str">
        <f>_xlfn.LET(_xlpm.pos,"CDI plate 18: "&amp;$A7&amp;C$2,_xlpm.normal,IFERROR(INDEX(MASTER!$A:$A,MATCH(_xlpm.pos,MASTER!$H:$H,0))&amp;"_ser_0.20_"&amp;TEXT(INDEX(MASTER!$E:$E,MATCH(_xlpm.pos,MASTER!$H:$H,0)),"mmddyy"),""),_xlpm.slot,96+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94" s="4" t="str">
        <f>_xlfn.LET(_xlpm.pos,"CDI plate 18: "&amp;$A7&amp;D$2,_xlpm.normal,IFERROR(INDEX(MASTER!$A:$A,MATCH(_xlpm.pos,MASTER!$H:$H,0))&amp;"_ser_0.20_"&amp;TEXT(INDEX(MASTER!$E:$E,MATCH(_xlpm.pos,MASTER!$H:$H,0)),"mmddyy"),""),_xlpm.slot,96+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94" s="4" t="str">
        <f>_xlfn.LET(_xlpm.pos,"CDI plate 18: "&amp;$A7&amp;E$2,_xlpm.normal,IFERROR(INDEX(MASTER!$A:$A,MATCH(_xlpm.pos,MASTER!$H:$H,0))&amp;"_ser_0.20_"&amp;TEXT(INDEX(MASTER!$E:$E,MATCH(_xlpm.pos,MASTER!$H:$H,0)),"mmddyy"),""),_xlpm.slot,96+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94" s="4" t="str">
        <f>_xlfn.LET(_xlpm.pos,"CDI plate 18: "&amp;$A7&amp;F$2,_xlpm.normal,IFERROR(INDEX(MASTER!$A:$A,MATCH(_xlpm.pos,MASTER!$H:$H,0))&amp;"_ser_0.20_"&amp;TEXT(INDEX(MASTER!$E:$E,MATCH(_xlpm.pos,MASTER!$H:$H,0)),"mmddyy"),""),_xlpm.slot,96+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94" s="4" t="str">
        <f>_xlfn.LET(_xlpm.pos,"CDI plate 18: "&amp;$A7&amp;G$2,_xlpm.normal,IFERROR(INDEX(MASTER!$A:$A,MATCH(_xlpm.pos,MASTER!$H:$H,0))&amp;"_ser_0.20_"&amp;TEXT(INDEX(MASTER!$E:$E,MATCH(_xlpm.pos,MASTER!$H:$H,0)),"mmddyy"),""),_xlpm.slot,96+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94" s="4" t="str">
        <f>_xlfn.LET(_xlpm.pos,"CDI plate 18: "&amp;$A7&amp;H$2,_xlpm.normal,IFERROR(INDEX(MASTER!$A:$A,MATCH(_xlpm.pos,MASTER!$H:$H,0))&amp;"_ser_0.20_"&amp;TEXT(INDEX(MASTER!$E:$E,MATCH(_xlpm.pos,MASTER!$H:$H,0)),"mmddyy"),""),_xlpm.slot,96+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94" s="4" t="str">
        <f>_xlfn.LET(_xlpm.pos,"CDI plate 18: "&amp;$A7&amp;I$2,_xlpm.normal,IFERROR(INDEX(MASTER!$A:$A,MATCH(_xlpm.pos,MASTER!$H:$H,0))&amp;"_ser_0.20_"&amp;TEXT(INDEX(MASTER!$E:$E,MATCH(_xlpm.pos,MASTER!$H:$H,0)),"mmddyy"),""),_xlpm.slot,96+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94" s="4" t="str">
        <f>_xlfn.LET(_xlpm.pos,"CDI plate 18: "&amp;$A7&amp;J$2,_xlpm.normal,IFERROR(INDEX(MASTER!$A:$A,MATCH(_xlpm.pos,MASTER!$H:$H,0))&amp;"_ser_0.20_"&amp;TEXT(INDEX(MASTER!$E:$E,MATCH(_xlpm.pos,MASTER!$H:$H,0)),"mmddyy"),""),_xlpm.slot,96+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94" s="4" t="str">
        <f>_xlfn.LET(_xlpm.pos,"CDI plate 18: "&amp;$A7&amp;K$2,_xlpm.normal,IFERROR(INDEX(MASTER!$A:$A,MATCH(_xlpm.pos,MASTER!$H:$H,0))&amp;"_ser_0.20_"&amp;TEXT(INDEX(MASTER!$E:$E,MATCH(_xlpm.pos,MASTER!$H:$H,0)),"mmddyy"),""),_xlpm.slot,96+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94" s="4" t="str">
        <f>_xlfn.LET(_xlpm.pos,"CDI plate 18: "&amp;$A7&amp;L$2,_xlpm.normal,IFERROR(INDEX(MASTER!$A:$A,MATCH(_xlpm.pos,MASTER!$H:$H,0))&amp;"_ser_0.20_"&amp;TEXT(INDEX(MASTER!$E:$E,MATCH(_xlpm.pos,MASTER!$H:$H,0)),"mmddyy"),""),_xlpm.slot,96+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94" s="4" t="str">
        <f>_xlfn.LET(_xlpm.pos,"CDI plate 18: "&amp;$A7&amp;M$2,_xlpm.normal,IFERROR(INDEX(MASTER!$A:$A,MATCH(_xlpm.pos,MASTER!$H:$H,0))&amp;"_ser_0.20_"&amp;TEXT(INDEX(MASTER!$E:$E,MATCH(_xlpm.pos,MASTER!$H:$H,0)),"mmddyy"),""),_xlpm.slot,96+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95" spans="1:13" ht="22" customHeight="1" x14ac:dyDescent="0.3">
      <c r="A195" s="6" t="s">
        <v>15</v>
      </c>
      <c r="B195" s="4" t="str">
        <f>_xlfn.LET(_xlpm.pos,"CDI plate 18: "&amp;$A8&amp;B$2,_xlpm.normal,IFERROR(INDEX(MASTER!$A:$A,MATCH(_xlpm.pos,MASTER!$H:$H,0))&amp;"_ser_0.20_"&amp;TEXT(INDEX(MASTER!$E:$E,MATCH(_xlpm.pos,MASTER!$H:$H,0)),"mmddyy"),""),_xlpm.slot,96+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95" s="4" t="str">
        <f>_xlfn.LET(_xlpm.pos,"CDI plate 18: "&amp;$A8&amp;C$2,_xlpm.normal,IFERROR(INDEX(MASTER!$A:$A,MATCH(_xlpm.pos,MASTER!$H:$H,0))&amp;"_ser_0.20_"&amp;TEXT(INDEX(MASTER!$E:$E,MATCH(_xlpm.pos,MASTER!$H:$H,0)),"mmddyy"),""),_xlpm.slot,96+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95" s="4" t="str">
        <f>_xlfn.LET(_xlpm.pos,"CDI plate 18: "&amp;$A8&amp;D$2,_xlpm.normal,IFERROR(INDEX(MASTER!$A:$A,MATCH(_xlpm.pos,MASTER!$H:$H,0))&amp;"_ser_0.20_"&amp;TEXT(INDEX(MASTER!$E:$E,MATCH(_xlpm.pos,MASTER!$H:$H,0)),"mmddyy"),""),_xlpm.slot,96+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95" s="4" t="str">
        <f>_xlfn.LET(_xlpm.pos,"CDI plate 18: "&amp;$A8&amp;E$2,_xlpm.normal,IFERROR(INDEX(MASTER!$A:$A,MATCH(_xlpm.pos,MASTER!$H:$H,0))&amp;"_ser_0.20_"&amp;TEXT(INDEX(MASTER!$E:$E,MATCH(_xlpm.pos,MASTER!$H:$H,0)),"mmddyy"),""),_xlpm.slot,96+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95" s="4" t="str">
        <f>_xlfn.LET(_xlpm.pos,"CDI plate 18: "&amp;$A8&amp;F$2,_xlpm.normal,IFERROR(INDEX(MASTER!$A:$A,MATCH(_xlpm.pos,MASTER!$H:$H,0))&amp;"_ser_0.20_"&amp;TEXT(INDEX(MASTER!$E:$E,MATCH(_xlpm.pos,MASTER!$H:$H,0)),"mmddyy"),""),_xlpm.slot,96+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95" s="4" t="str">
        <f>_xlfn.LET(_xlpm.pos,"CDI plate 18: "&amp;$A8&amp;G$2,_xlpm.normal,IFERROR(INDEX(MASTER!$A:$A,MATCH(_xlpm.pos,MASTER!$H:$H,0))&amp;"_ser_0.20_"&amp;TEXT(INDEX(MASTER!$E:$E,MATCH(_xlpm.pos,MASTER!$H:$H,0)),"mmddyy"),""),_xlpm.slot,96+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95" s="4" t="str">
        <f>_xlfn.LET(_xlpm.pos,"CDI plate 18: "&amp;$A8&amp;H$2,_xlpm.normal,IFERROR(INDEX(MASTER!$A:$A,MATCH(_xlpm.pos,MASTER!$H:$H,0))&amp;"_ser_0.20_"&amp;TEXT(INDEX(MASTER!$E:$E,MATCH(_xlpm.pos,MASTER!$H:$H,0)),"mmddyy"),""),_xlpm.slot,96+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95" s="4" t="str">
        <f>_xlfn.LET(_xlpm.pos,"CDI plate 18: "&amp;$A8&amp;I$2,_xlpm.normal,IFERROR(INDEX(MASTER!$A:$A,MATCH(_xlpm.pos,MASTER!$H:$H,0))&amp;"_ser_0.20_"&amp;TEXT(INDEX(MASTER!$E:$E,MATCH(_xlpm.pos,MASTER!$H:$H,0)),"mmddyy"),""),_xlpm.slot,96+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95" s="4" t="str">
        <f>_xlfn.LET(_xlpm.pos,"CDI plate 18: "&amp;$A8&amp;J$2,_xlpm.normal,IFERROR(INDEX(MASTER!$A:$A,MATCH(_xlpm.pos,MASTER!$H:$H,0))&amp;"_ser_0.20_"&amp;TEXT(INDEX(MASTER!$E:$E,MATCH(_xlpm.pos,MASTER!$H:$H,0)),"mmddyy"),""),_xlpm.slot,96+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95" s="4" t="str">
        <f>_xlfn.LET(_xlpm.pos,"CDI plate 18: "&amp;$A8&amp;K$2,_xlpm.normal,IFERROR(INDEX(MASTER!$A:$A,MATCH(_xlpm.pos,MASTER!$H:$H,0))&amp;"_ser_0.20_"&amp;TEXT(INDEX(MASTER!$E:$E,MATCH(_xlpm.pos,MASTER!$H:$H,0)),"mmddyy"),""),_xlpm.slot,96+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95" s="4" t="str">
        <f>_xlfn.LET(_xlpm.pos,"CDI plate 18: "&amp;$A8&amp;L$2,_xlpm.normal,IFERROR(INDEX(MASTER!$A:$A,MATCH(_xlpm.pos,MASTER!$H:$H,0))&amp;"_ser_0.20_"&amp;TEXT(INDEX(MASTER!$E:$E,MATCH(_xlpm.pos,MASTER!$H:$H,0)),"mmddyy"),""),_xlpm.slot,96+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95" s="4" t="str">
        <f>_xlfn.LET(_xlpm.pos,"CDI plate 18: "&amp;$A8&amp;M$2,_xlpm.normal,IFERROR(INDEX(MASTER!$A:$A,MATCH(_xlpm.pos,MASTER!$H:$H,0))&amp;"_ser_0.20_"&amp;TEXT(INDEX(MASTER!$E:$E,MATCH(_xlpm.pos,MASTER!$H:$H,0)),"mmddyy"),""),_xlpm.slot,96+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96" spans="1:13" ht="22" customHeight="1" x14ac:dyDescent="0.3">
      <c r="A196" s="6" t="s">
        <v>35</v>
      </c>
      <c r="B196" s="4" t="str">
        <f>_xlfn.LET(_xlpm.pos,"CDI plate 18: "&amp;$A9&amp;B$2,_xlpm.normal,IFERROR(INDEX(MASTER!$A:$A,MATCH(_xlpm.pos,MASTER!$H:$H,0))&amp;"_ser_0.20_"&amp;TEXT(INDEX(MASTER!$E:$E,MATCH(_xlpm.pos,MASTER!$H:$H,0)),"mmddyy"),""),_xlpm.slot,96+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96" s="4" t="str">
        <f>_xlfn.LET(_xlpm.pos,"CDI plate 18: "&amp;$A9&amp;C$2,_xlpm.normal,IFERROR(INDEX(MASTER!$A:$A,MATCH(_xlpm.pos,MASTER!$H:$H,0))&amp;"_ser_0.20_"&amp;TEXT(INDEX(MASTER!$E:$E,MATCH(_xlpm.pos,MASTER!$H:$H,0)),"mmddyy"),""),_xlpm.slot,96+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96" s="4" t="str">
        <f>_xlfn.LET(_xlpm.pos,"CDI plate 18: "&amp;$A9&amp;D$2,_xlpm.normal,IFERROR(INDEX(MASTER!$A:$A,MATCH(_xlpm.pos,MASTER!$H:$H,0))&amp;"_ser_0.20_"&amp;TEXT(INDEX(MASTER!$E:$E,MATCH(_xlpm.pos,MASTER!$H:$H,0)),"mmddyy"),""),_xlpm.slot,96+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96" s="4" t="str">
        <f>_xlfn.LET(_xlpm.pos,"CDI plate 18: "&amp;$A9&amp;E$2,_xlpm.normal,IFERROR(INDEX(MASTER!$A:$A,MATCH(_xlpm.pos,MASTER!$H:$H,0))&amp;"_ser_0.20_"&amp;TEXT(INDEX(MASTER!$E:$E,MATCH(_xlpm.pos,MASTER!$H:$H,0)),"mmddyy"),""),_xlpm.slot,96+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96" s="4" t="str">
        <f>_xlfn.LET(_xlpm.pos,"CDI plate 18: "&amp;$A9&amp;F$2,_xlpm.normal,IFERROR(INDEX(MASTER!$A:$A,MATCH(_xlpm.pos,MASTER!$H:$H,0))&amp;"_ser_0.20_"&amp;TEXT(INDEX(MASTER!$E:$E,MATCH(_xlpm.pos,MASTER!$H:$H,0)),"mmddyy"),""),_xlpm.slot,96+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96" s="4" t="str">
        <f>_xlfn.LET(_xlpm.pos,"CDI plate 18: "&amp;$A9&amp;G$2,_xlpm.normal,IFERROR(INDEX(MASTER!$A:$A,MATCH(_xlpm.pos,MASTER!$H:$H,0))&amp;"_ser_0.20_"&amp;TEXT(INDEX(MASTER!$E:$E,MATCH(_xlpm.pos,MASTER!$H:$H,0)),"mmddyy"),""),_xlpm.slot,96+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96" s="4" t="str">
        <f>_xlfn.LET(_xlpm.pos,"CDI plate 18: "&amp;$A9&amp;H$2,_xlpm.normal,IFERROR(INDEX(MASTER!$A:$A,MATCH(_xlpm.pos,MASTER!$H:$H,0))&amp;"_ser_0.20_"&amp;TEXT(INDEX(MASTER!$E:$E,MATCH(_xlpm.pos,MASTER!$H:$H,0)),"mmddyy"),""),_xlpm.slot,96+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96" s="4" t="str">
        <f>_xlfn.LET(_xlpm.pos,"CDI plate 18: "&amp;$A9&amp;I$2,_xlpm.normal,IFERROR(INDEX(MASTER!$A:$A,MATCH(_xlpm.pos,MASTER!$H:$H,0))&amp;"_ser_0.20_"&amp;TEXT(INDEX(MASTER!$E:$E,MATCH(_xlpm.pos,MASTER!$H:$H,0)),"mmddyy"),""),_xlpm.slot,96+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96" s="4" t="str">
        <f>_xlfn.LET(_xlpm.pos,"CDI plate 18: "&amp;$A9&amp;J$2,_xlpm.normal,IFERROR(INDEX(MASTER!$A:$A,MATCH(_xlpm.pos,MASTER!$H:$H,0))&amp;"_ser_0.20_"&amp;TEXT(INDEX(MASTER!$E:$E,MATCH(_xlpm.pos,MASTER!$H:$H,0)),"mmddyy"),""),_xlpm.slot,96+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96" s="4" t="str">
        <f>_xlfn.LET(_xlpm.pos,"CDI plate 18: "&amp;$A9&amp;K$2,_xlpm.normal,IFERROR(INDEX(MASTER!$A:$A,MATCH(_xlpm.pos,MASTER!$H:$H,0))&amp;"_ser_0.20_"&amp;TEXT(INDEX(MASTER!$E:$E,MATCH(_xlpm.pos,MASTER!$H:$H,0)),"mmddyy"),""),_xlpm.slot,96+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96" s="4" t="str">
        <f>_xlfn.LET(_xlpm.pos,"CDI plate 18: "&amp;$A9&amp;L$2,_xlpm.normal,IFERROR(INDEX(MASTER!$A:$A,MATCH(_xlpm.pos,MASTER!$H:$H,0))&amp;"_ser_0.20_"&amp;TEXT(INDEX(MASTER!$E:$E,MATCH(_xlpm.pos,MASTER!$H:$H,0)),"mmddyy"),""),_xlpm.slot,96+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96" s="4" t="str">
        <f>_xlfn.LET(_xlpm.pos,"CDI plate 18: "&amp;$A9&amp;M$2,_xlpm.normal,IFERROR(INDEX(MASTER!$A:$A,MATCH(_xlpm.pos,MASTER!$H:$H,0))&amp;"_ser_0.20_"&amp;TEXT(INDEX(MASTER!$E:$E,MATCH(_xlpm.pos,MASTER!$H:$H,0)),"mmddyy"),""),_xlpm.slot,96+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97" spans="1:13" ht="22" customHeight="1" x14ac:dyDescent="0.3">
      <c r="A197" s="6" t="s">
        <v>36</v>
      </c>
      <c r="B197" s="4" t="str">
        <f>_xlfn.LET(_xlpm.pos,"CDI plate 18: "&amp;$A10&amp;B$2,_xlpm.normal,IFERROR(INDEX(MASTER!$A:$A,MATCH(_xlpm.pos,MASTER!$H:$H,0))&amp;"_ser_0.20_"&amp;TEXT(INDEX(MASTER!$E:$E,MATCH(_xlpm.pos,MASTER!$H:$H,0)),"mmddyy"),""),_xlpm.slot,96+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197" s="4" t="str">
        <f>_xlfn.LET(_xlpm.pos,"CDI plate 18: "&amp;$A10&amp;C$2,_xlpm.normal,IFERROR(INDEX(MASTER!$A:$A,MATCH(_xlpm.pos,MASTER!$H:$H,0))&amp;"_ser_0.20_"&amp;TEXT(INDEX(MASTER!$E:$E,MATCH(_xlpm.pos,MASTER!$H:$H,0)),"mmddyy"),""),_xlpm.slot,96+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197" s="4" t="str">
        <f>_xlfn.LET(_xlpm.pos,"CDI plate 18: "&amp;$A10&amp;D$2,_xlpm.normal,IFERROR(INDEX(MASTER!$A:$A,MATCH(_xlpm.pos,MASTER!$H:$H,0))&amp;"_ser_0.20_"&amp;TEXT(INDEX(MASTER!$E:$E,MATCH(_xlpm.pos,MASTER!$H:$H,0)),"mmddyy"),""),_xlpm.slot,96+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197" s="4" t="str">
        <f>_xlfn.LET(_xlpm.pos,"CDI plate 18: "&amp;$A10&amp;E$2,_xlpm.normal,IFERROR(INDEX(MASTER!$A:$A,MATCH(_xlpm.pos,MASTER!$H:$H,0))&amp;"_ser_0.20_"&amp;TEXT(INDEX(MASTER!$E:$E,MATCH(_xlpm.pos,MASTER!$H:$H,0)),"mmddyy"),""),_xlpm.slot,96+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197" s="4" t="str">
        <f>_xlfn.LET(_xlpm.pos,"CDI plate 18: "&amp;$A10&amp;F$2,_xlpm.normal,IFERROR(INDEX(MASTER!$A:$A,MATCH(_xlpm.pos,MASTER!$H:$H,0))&amp;"_ser_0.20_"&amp;TEXT(INDEX(MASTER!$E:$E,MATCH(_xlpm.pos,MASTER!$H:$H,0)),"mmddyy"),""),_xlpm.slot,96+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197" s="4" t="str">
        <f>_xlfn.LET(_xlpm.pos,"CDI plate 18: "&amp;$A10&amp;G$2,_xlpm.normal,IFERROR(INDEX(MASTER!$A:$A,MATCH(_xlpm.pos,MASTER!$H:$H,0))&amp;"_ser_0.20_"&amp;TEXT(INDEX(MASTER!$E:$E,MATCH(_xlpm.pos,MASTER!$H:$H,0)),"mmddyy"),""),_xlpm.slot,96+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197" s="4" t="str">
        <f>_xlfn.LET(_xlpm.pos,"CDI plate 18: "&amp;$A10&amp;H$2,_xlpm.normal,IFERROR(INDEX(MASTER!$A:$A,MATCH(_xlpm.pos,MASTER!$H:$H,0))&amp;"_ser_0.20_"&amp;TEXT(INDEX(MASTER!$E:$E,MATCH(_xlpm.pos,MASTER!$H:$H,0)),"mmddyy"),""),_xlpm.slot,96+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197" s="4" t="str">
        <f>_xlfn.LET(_xlpm.pos,"CDI plate 18: "&amp;$A10&amp;I$2,_xlpm.normal,IFERROR(INDEX(MASTER!$A:$A,MATCH(_xlpm.pos,MASTER!$H:$H,0))&amp;"_ser_0.20_"&amp;TEXT(INDEX(MASTER!$E:$E,MATCH(_xlpm.pos,MASTER!$H:$H,0)),"mmddyy"),""),_xlpm.slot,96+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197" s="4" t="str">
        <f>_xlfn.LET(_xlpm.pos,"CDI plate 18: "&amp;$A10&amp;J$2,_xlpm.normal,IFERROR(INDEX(MASTER!$A:$A,MATCH(_xlpm.pos,MASTER!$H:$H,0))&amp;"_ser_0.20_"&amp;TEXT(INDEX(MASTER!$E:$E,MATCH(_xlpm.pos,MASTER!$H:$H,0)),"mmddyy"),""),_xlpm.slot,96+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197" s="4" t="str">
        <f>_xlfn.LET(_xlpm.pos,"CDI plate 18: "&amp;$A10&amp;K$2,_xlpm.normal,IFERROR(INDEX(MASTER!$A:$A,MATCH(_xlpm.pos,MASTER!$H:$H,0))&amp;"_ser_0.20_"&amp;TEXT(INDEX(MASTER!$E:$E,MATCH(_xlpm.pos,MASTER!$H:$H,0)),"mmddyy"),""),_xlpm.slot,96+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197" s="4" t="str">
        <f>_xlfn.LET(_xlpm.pos,"CDI plate 18: "&amp;$A10&amp;L$2,_xlpm.normal,IFERROR(INDEX(MASTER!$A:$A,MATCH(_xlpm.pos,MASTER!$H:$H,0))&amp;"_ser_0.20_"&amp;TEXT(INDEX(MASTER!$E:$E,MATCH(_xlpm.pos,MASTER!$H:$H,0)),"mmddyy"),""),_xlpm.slot,96+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197" s="4" t="str">
        <f>_xlfn.LET(_xlpm.pos,"CDI plate 18: "&amp;$A10&amp;M$2,_xlpm.normal,IFERROR(INDEX(MASTER!$A:$A,MATCH(_xlpm.pos,MASTER!$H:$H,0))&amp;"_ser_0.20_"&amp;TEXT(INDEX(MASTER!$E:$E,MATCH(_xlpm.pos,MASTER!$H:$H,0)),"mmddyy"),""),_xlpm.slot,96+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198" spans="1:13" ht="22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ht="22" customHeight="1" x14ac:dyDescent="0.35">
      <c r="A199" s="5"/>
      <c r="B199" s="31" t="s">
        <v>54</v>
      </c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3"/>
    </row>
    <row r="200" spans="1:13" ht="22" customHeight="1" x14ac:dyDescent="0.3">
      <c r="A200" s="5"/>
      <c r="B200" s="6">
        <v>1</v>
      </c>
      <c r="C200" s="6">
        <v>2</v>
      </c>
      <c r="D200" s="6">
        <v>3</v>
      </c>
      <c r="E200" s="6">
        <v>4</v>
      </c>
      <c r="F200" s="6">
        <v>5</v>
      </c>
      <c r="G200" s="6">
        <v>6</v>
      </c>
      <c r="H200" s="6">
        <v>7</v>
      </c>
      <c r="I200" s="6">
        <v>8</v>
      </c>
      <c r="J200" s="6">
        <v>9</v>
      </c>
      <c r="K200" s="6">
        <v>10</v>
      </c>
      <c r="L200" s="6">
        <v>11</v>
      </c>
      <c r="M200" s="6">
        <v>12</v>
      </c>
    </row>
    <row r="201" spans="1:13" ht="22" customHeight="1" x14ac:dyDescent="0.3">
      <c r="A201" s="6" t="s">
        <v>30</v>
      </c>
      <c r="B201" s="4" t="str">
        <f>_xlfn.LET(_xlpm.pos,"CDI plate 19: "&amp;$A3&amp;B$2,_xlpm.normal,IFERROR(INDEX(MASTER!$A:$A,MATCH(_xlpm.pos,MASTER!$H:$H,0))&amp;"_ser_0.20_"&amp;TEXT(INDEX(MASTER!$E:$E,MATCH(_xlpm.pos,MASTER!$H:$H,0)),"mmddyy"),""),_xlpm.slot,96+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01" s="4" t="str">
        <f>_xlfn.LET(_xlpm.pos,"CDI plate 19: "&amp;$A3&amp;C$2,_xlpm.normal,IFERROR(INDEX(MASTER!$A:$A,MATCH(_xlpm.pos,MASTER!$H:$H,0))&amp;"_ser_0.20_"&amp;TEXT(INDEX(MASTER!$E:$E,MATCH(_xlpm.pos,MASTER!$H:$H,0)),"mmddyy"),""),_xlpm.slot,96+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01" s="4" t="str">
        <f>_xlfn.LET(_xlpm.pos,"CDI plate 19: "&amp;$A3&amp;D$2,_xlpm.normal,IFERROR(INDEX(MASTER!$A:$A,MATCH(_xlpm.pos,MASTER!$H:$H,0))&amp;"_ser_0.20_"&amp;TEXT(INDEX(MASTER!$E:$E,MATCH(_xlpm.pos,MASTER!$H:$H,0)),"mmddyy"),""),_xlpm.slot,96+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01" s="4" t="str">
        <f>_xlfn.LET(_xlpm.pos,"CDI plate 19: "&amp;$A3&amp;E$2,_xlpm.normal,IFERROR(INDEX(MASTER!$A:$A,MATCH(_xlpm.pos,MASTER!$H:$H,0))&amp;"_ser_0.20_"&amp;TEXT(INDEX(MASTER!$E:$E,MATCH(_xlpm.pos,MASTER!$H:$H,0)),"mmddyy"),""),_xlpm.slot,96+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01" s="4" t="str">
        <f>_xlfn.LET(_xlpm.pos,"CDI plate 19: "&amp;$A3&amp;F$2,_xlpm.normal,IFERROR(INDEX(MASTER!$A:$A,MATCH(_xlpm.pos,MASTER!$H:$H,0))&amp;"_ser_0.20_"&amp;TEXT(INDEX(MASTER!$E:$E,MATCH(_xlpm.pos,MASTER!$H:$H,0)),"mmddyy"),""),_xlpm.slot,96+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01" s="4" t="str">
        <f>_xlfn.LET(_xlpm.pos,"CDI plate 19: "&amp;$A3&amp;G$2,_xlpm.normal,IFERROR(INDEX(MASTER!$A:$A,MATCH(_xlpm.pos,MASTER!$H:$H,0))&amp;"_ser_0.20_"&amp;TEXT(INDEX(MASTER!$E:$E,MATCH(_xlpm.pos,MASTER!$H:$H,0)),"mmddyy"),""),_xlpm.slot,96+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01" s="4" t="str">
        <f>_xlfn.LET(_xlpm.pos,"CDI plate 19: "&amp;$A3&amp;H$2,_xlpm.normal,IFERROR(INDEX(MASTER!$A:$A,MATCH(_xlpm.pos,MASTER!$H:$H,0))&amp;"_ser_0.20_"&amp;TEXT(INDEX(MASTER!$E:$E,MATCH(_xlpm.pos,MASTER!$H:$H,0)),"mmddyy"),""),_xlpm.slot,96+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01" s="4" t="str">
        <f>_xlfn.LET(_xlpm.pos,"CDI plate 19: "&amp;$A3&amp;I$2,_xlpm.normal,IFERROR(INDEX(MASTER!$A:$A,MATCH(_xlpm.pos,MASTER!$H:$H,0))&amp;"_ser_0.20_"&amp;TEXT(INDEX(MASTER!$E:$E,MATCH(_xlpm.pos,MASTER!$H:$H,0)),"mmddyy"),""),_xlpm.slot,96+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01" s="4" t="str">
        <f>_xlfn.LET(_xlpm.pos,"CDI plate 19: "&amp;$A3&amp;J$2,_xlpm.normal,IFERROR(INDEX(MASTER!$A:$A,MATCH(_xlpm.pos,MASTER!$H:$H,0))&amp;"_ser_0.20_"&amp;TEXT(INDEX(MASTER!$E:$E,MATCH(_xlpm.pos,MASTER!$H:$H,0)),"mmddyy"),""),_xlpm.slot,96+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01" s="4" t="str">
        <f>_xlfn.LET(_xlpm.pos,"CDI plate 19: "&amp;$A3&amp;K$2,_xlpm.normal,IFERROR(INDEX(MASTER!$A:$A,MATCH(_xlpm.pos,MASTER!$H:$H,0))&amp;"_ser_0.20_"&amp;TEXT(INDEX(MASTER!$E:$E,MATCH(_xlpm.pos,MASTER!$H:$H,0)),"mmddyy"),""),_xlpm.slot,96+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01" s="4" t="str">
        <f>_xlfn.LET(_xlpm.pos,"CDI plate 19: "&amp;$A3&amp;L$2,_xlpm.normal,IFERROR(INDEX(MASTER!$A:$A,MATCH(_xlpm.pos,MASTER!$H:$H,0))&amp;"_ser_0.20_"&amp;TEXT(INDEX(MASTER!$E:$E,MATCH(_xlpm.pos,MASTER!$H:$H,0)),"mmddyy"),""),_xlpm.slot,96+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01" s="4" t="str">
        <f>_xlfn.LET(_xlpm.pos,"CDI plate 19: "&amp;$A3&amp;M$2,_xlpm.normal,IFERROR(INDEX(MASTER!$A:$A,MATCH(_xlpm.pos,MASTER!$H:$H,0))&amp;"_ser_0.20_"&amp;TEXT(INDEX(MASTER!$E:$E,MATCH(_xlpm.pos,MASTER!$H:$H,0)),"mmddyy"),""),_xlpm.slot,96+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02" spans="1:13" ht="22" customHeight="1" x14ac:dyDescent="0.3">
      <c r="A202" s="6" t="s">
        <v>31</v>
      </c>
      <c r="B202" s="4" t="str">
        <f>_xlfn.LET(_xlpm.pos,"CDI plate 19: "&amp;$A4&amp;B$2,_xlpm.normal,IFERROR(INDEX(MASTER!$A:$A,MATCH(_xlpm.pos,MASTER!$H:$H,0))&amp;"_ser_0.20_"&amp;TEXT(INDEX(MASTER!$E:$E,MATCH(_xlpm.pos,MASTER!$H:$H,0)),"mmddyy"),""),_xlpm.slot,96+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02" s="4" t="str">
        <f>_xlfn.LET(_xlpm.pos,"CDI plate 19: "&amp;$A4&amp;C$2,_xlpm.normal,IFERROR(INDEX(MASTER!$A:$A,MATCH(_xlpm.pos,MASTER!$H:$H,0))&amp;"_ser_0.20_"&amp;TEXT(INDEX(MASTER!$E:$E,MATCH(_xlpm.pos,MASTER!$H:$H,0)),"mmddyy"),""),_xlpm.slot,96+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02" s="4" t="str">
        <f>_xlfn.LET(_xlpm.pos,"CDI plate 19: "&amp;$A4&amp;D$2,_xlpm.normal,IFERROR(INDEX(MASTER!$A:$A,MATCH(_xlpm.pos,MASTER!$H:$H,0))&amp;"_ser_0.20_"&amp;TEXT(INDEX(MASTER!$E:$E,MATCH(_xlpm.pos,MASTER!$H:$H,0)),"mmddyy"),""),_xlpm.slot,96+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02" s="4" t="str">
        <f>_xlfn.LET(_xlpm.pos,"CDI plate 19: "&amp;$A4&amp;E$2,_xlpm.normal,IFERROR(INDEX(MASTER!$A:$A,MATCH(_xlpm.pos,MASTER!$H:$H,0))&amp;"_ser_0.20_"&amp;TEXT(INDEX(MASTER!$E:$E,MATCH(_xlpm.pos,MASTER!$H:$H,0)),"mmddyy"),""),_xlpm.slot,96+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02" s="4" t="str">
        <f>_xlfn.LET(_xlpm.pos,"CDI plate 19: "&amp;$A4&amp;F$2,_xlpm.normal,IFERROR(INDEX(MASTER!$A:$A,MATCH(_xlpm.pos,MASTER!$H:$H,0))&amp;"_ser_0.20_"&amp;TEXT(INDEX(MASTER!$E:$E,MATCH(_xlpm.pos,MASTER!$H:$H,0)),"mmddyy"),""),_xlpm.slot,96+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02" s="4" t="str">
        <f>_xlfn.LET(_xlpm.pos,"CDI plate 19: "&amp;$A4&amp;G$2,_xlpm.normal,IFERROR(INDEX(MASTER!$A:$A,MATCH(_xlpm.pos,MASTER!$H:$H,0))&amp;"_ser_0.20_"&amp;TEXT(INDEX(MASTER!$E:$E,MATCH(_xlpm.pos,MASTER!$H:$H,0)),"mmddyy"),""),_xlpm.slot,96+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02" s="4" t="str">
        <f>_xlfn.LET(_xlpm.pos,"CDI plate 19: "&amp;$A4&amp;H$2,_xlpm.normal,IFERROR(INDEX(MASTER!$A:$A,MATCH(_xlpm.pos,MASTER!$H:$H,0))&amp;"_ser_0.20_"&amp;TEXT(INDEX(MASTER!$E:$E,MATCH(_xlpm.pos,MASTER!$H:$H,0)),"mmddyy"),""),_xlpm.slot,96+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02" s="4" t="str">
        <f>_xlfn.LET(_xlpm.pos,"CDI plate 19: "&amp;$A4&amp;I$2,_xlpm.normal,IFERROR(INDEX(MASTER!$A:$A,MATCH(_xlpm.pos,MASTER!$H:$H,0))&amp;"_ser_0.20_"&amp;TEXT(INDEX(MASTER!$E:$E,MATCH(_xlpm.pos,MASTER!$H:$H,0)),"mmddyy"),""),_xlpm.slot,96+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02" s="4" t="str">
        <f>_xlfn.LET(_xlpm.pos,"CDI plate 19: "&amp;$A4&amp;J$2,_xlpm.normal,IFERROR(INDEX(MASTER!$A:$A,MATCH(_xlpm.pos,MASTER!$H:$H,0))&amp;"_ser_0.20_"&amp;TEXT(INDEX(MASTER!$E:$E,MATCH(_xlpm.pos,MASTER!$H:$H,0)),"mmddyy"),""),_xlpm.slot,96+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02" s="4" t="str">
        <f>_xlfn.LET(_xlpm.pos,"CDI plate 19: "&amp;$A4&amp;K$2,_xlpm.normal,IFERROR(INDEX(MASTER!$A:$A,MATCH(_xlpm.pos,MASTER!$H:$H,0))&amp;"_ser_0.20_"&amp;TEXT(INDEX(MASTER!$E:$E,MATCH(_xlpm.pos,MASTER!$H:$H,0)),"mmddyy"),""),_xlpm.slot,96+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02" s="4" t="str">
        <f>_xlfn.LET(_xlpm.pos,"CDI plate 19: "&amp;$A4&amp;L$2,_xlpm.normal,IFERROR(INDEX(MASTER!$A:$A,MATCH(_xlpm.pos,MASTER!$H:$H,0))&amp;"_ser_0.20_"&amp;TEXT(INDEX(MASTER!$E:$E,MATCH(_xlpm.pos,MASTER!$H:$H,0)),"mmddyy"),""),_xlpm.slot,96+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02" s="4" t="str">
        <f>_xlfn.LET(_xlpm.pos,"CDI plate 19: "&amp;$A4&amp;M$2,_xlpm.normal,IFERROR(INDEX(MASTER!$A:$A,MATCH(_xlpm.pos,MASTER!$H:$H,0))&amp;"_ser_0.20_"&amp;TEXT(INDEX(MASTER!$E:$E,MATCH(_xlpm.pos,MASTER!$H:$H,0)),"mmddyy"),""),_xlpm.slot,96+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03" spans="1:13" ht="22" customHeight="1" x14ac:dyDescent="0.3">
      <c r="A203" s="6" t="s">
        <v>32</v>
      </c>
      <c r="B203" s="4" t="str">
        <f>_xlfn.LET(_xlpm.pos,"CDI plate 19: "&amp;$A5&amp;B$2,_xlpm.normal,IFERROR(INDEX(MASTER!$A:$A,MATCH(_xlpm.pos,MASTER!$H:$H,0))&amp;"_ser_0.20_"&amp;TEXT(INDEX(MASTER!$E:$E,MATCH(_xlpm.pos,MASTER!$H:$H,0)),"mmddyy"),""),_xlpm.slot,96+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03" s="4" t="str">
        <f>_xlfn.LET(_xlpm.pos,"CDI plate 19: "&amp;$A5&amp;C$2,_xlpm.normal,IFERROR(INDEX(MASTER!$A:$A,MATCH(_xlpm.pos,MASTER!$H:$H,0))&amp;"_ser_0.20_"&amp;TEXT(INDEX(MASTER!$E:$E,MATCH(_xlpm.pos,MASTER!$H:$H,0)),"mmddyy"),""),_xlpm.slot,96+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03" s="4" t="str">
        <f>_xlfn.LET(_xlpm.pos,"CDI plate 19: "&amp;$A5&amp;D$2,_xlpm.normal,IFERROR(INDEX(MASTER!$A:$A,MATCH(_xlpm.pos,MASTER!$H:$H,0))&amp;"_ser_0.20_"&amp;TEXT(INDEX(MASTER!$E:$E,MATCH(_xlpm.pos,MASTER!$H:$H,0)),"mmddyy"),""),_xlpm.slot,96+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03" s="4" t="str">
        <f>_xlfn.LET(_xlpm.pos,"CDI plate 19: "&amp;$A5&amp;E$2,_xlpm.normal,IFERROR(INDEX(MASTER!$A:$A,MATCH(_xlpm.pos,MASTER!$H:$H,0))&amp;"_ser_0.20_"&amp;TEXT(INDEX(MASTER!$E:$E,MATCH(_xlpm.pos,MASTER!$H:$H,0)),"mmddyy"),""),_xlpm.slot,96+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03" s="4" t="str">
        <f>_xlfn.LET(_xlpm.pos,"CDI plate 19: "&amp;$A5&amp;F$2,_xlpm.normal,IFERROR(INDEX(MASTER!$A:$A,MATCH(_xlpm.pos,MASTER!$H:$H,0))&amp;"_ser_0.20_"&amp;TEXT(INDEX(MASTER!$E:$E,MATCH(_xlpm.pos,MASTER!$H:$H,0)),"mmddyy"),""),_xlpm.slot,96+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03" s="4" t="str">
        <f>_xlfn.LET(_xlpm.pos,"CDI plate 19: "&amp;$A5&amp;G$2,_xlpm.normal,IFERROR(INDEX(MASTER!$A:$A,MATCH(_xlpm.pos,MASTER!$H:$H,0))&amp;"_ser_0.20_"&amp;TEXT(INDEX(MASTER!$E:$E,MATCH(_xlpm.pos,MASTER!$H:$H,0)),"mmddyy"),""),_xlpm.slot,96+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03" s="4" t="str">
        <f>_xlfn.LET(_xlpm.pos,"CDI plate 19: "&amp;$A5&amp;H$2,_xlpm.normal,IFERROR(INDEX(MASTER!$A:$A,MATCH(_xlpm.pos,MASTER!$H:$H,0))&amp;"_ser_0.20_"&amp;TEXT(INDEX(MASTER!$E:$E,MATCH(_xlpm.pos,MASTER!$H:$H,0)),"mmddyy"),""),_xlpm.slot,96+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03" s="4" t="str">
        <f>_xlfn.LET(_xlpm.pos,"CDI plate 19: "&amp;$A5&amp;I$2,_xlpm.normal,IFERROR(INDEX(MASTER!$A:$A,MATCH(_xlpm.pos,MASTER!$H:$H,0))&amp;"_ser_0.20_"&amp;TEXT(INDEX(MASTER!$E:$E,MATCH(_xlpm.pos,MASTER!$H:$H,0)),"mmddyy"),""),_xlpm.slot,96+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03" s="4" t="str">
        <f>_xlfn.LET(_xlpm.pos,"CDI plate 19: "&amp;$A5&amp;J$2,_xlpm.normal,IFERROR(INDEX(MASTER!$A:$A,MATCH(_xlpm.pos,MASTER!$H:$H,0))&amp;"_ser_0.20_"&amp;TEXT(INDEX(MASTER!$E:$E,MATCH(_xlpm.pos,MASTER!$H:$H,0)),"mmddyy"),""),_xlpm.slot,96+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03" s="4" t="str">
        <f>_xlfn.LET(_xlpm.pos,"CDI plate 19: "&amp;$A5&amp;K$2,_xlpm.normal,IFERROR(INDEX(MASTER!$A:$A,MATCH(_xlpm.pos,MASTER!$H:$H,0))&amp;"_ser_0.20_"&amp;TEXT(INDEX(MASTER!$E:$E,MATCH(_xlpm.pos,MASTER!$H:$H,0)),"mmddyy"),""),_xlpm.slot,96+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03" s="4" t="str">
        <f>_xlfn.LET(_xlpm.pos,"CDI plate 19: "&amp;$A5&amp;L$2,_xlpm.normal,IFERROR(INDEX(MASTER!$A:$A,MATCH(_xlpm.pos,MASTER!$H:$H,0))&amp;"_ser_0.20_"&amp;TEXT(INDEX(MASTER!$E:$E,MATCH(_xlpm.pos,MASTER!$H:$H,0)),"mmddyy"),""),_xlpm.slot,96+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03" s="4" t="str">
        <f>_xlfn.LET(_xlpm.pos,"CDI plate 19: "&amp;$A5&amp;M$2,_xlpm.normal,IFERROR(INDEX(MASTER!$A:$A,MATCH(_xlpm.pos,MASTER!$H:$H,0))&amp;"_ser_0.20_"&amp;TEXT(INDEX(MASTER!$E:$E,MATCH(_xlpm.pos,MASTER!$H:$H,0)),"mmddyy"),""),_xlpm.slot,96+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04" spans="1:13" ht="22" customHeight="1" x14ac:dyDescent="0.3">
      <c r="A204" s="6" t="s">
        <v>33</v>
      </c>
      <c r="B204" s="4" t="str">
        <f>_xlfn.LET(_xlpm.pos,"CDI plate 19: "&amp;$A6&amp;B$2,_xlpm.normal,IFERROR(INDEX(MASTER!$A:$A,MATCH(_xlpm.pos,MASTER!$H:$H,0))&amp;"_ser_0.20_"&amp;TEXT(INDEX(MASTER!$E:$E,MATCH(_xlpm.pos,MASTER!$H:$H,0)),"mmddyy"),""),_xlpm.slot,96+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04" s="4" t="str">
        <f>_xlfn.LET(_xlpm.pos,"CDI plate 19: "&amp;$A6&amp;C$2,_xlpm.normal,IFERROR(INDEX(MASTER!$A:$A,MATCH(_xlpm.pos,MASTER!$H:$H,0))&amp;"_ser_0.20_"&amp;TEXT(INDEX(MASTER!$E:$E,MATCH(_xlpm.pos,MASTER!$H:$H,0)),"mmddyy"),""),_xlpm.slot,96+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04" s="4" t="str">
        <f>_xlfn.LET(_xlpm.pos,"CDI plate 19: "&amp;$A6&amp;D$2,_xlpm.normal,IFERROR(INDEX(MASTER!$A:$A,MATCH(_xlpm.pos,MASTER!$H:$H,0))&amp;"_ser_0.20_"&amp;TEXT(INDEX(MASTER!$E:$E,MATCH(_xlpm.pos,MASTER!$H:$H,0)),"mmddyy"),""),_xlpm.slot,96+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04" s="4" t="str">
        <f>_xlfn.LET(_xlpm.pos,"CDI plate 19: "&amp;$A6&amp;E$2,_xlpm.normal,IFERROR(INDEX(MASTER!$A:$A,MATCH(_xlpm.pos,MASTER!$H:$H,0))&amp;"_ser_0.20_"&amp;TEXT(INDEX(MASTER!$E:$E,MATCH(_xlpm.pos,MASTER!$H:$H,0)),"mmddyy"),""),_xlpm.slot,96+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04" s="4" t="str">
        <f>_xlfn.LET(_xlpm.pos,"CDI plate 19: "&amp;$A6&amp;F$2,_xlpm.normal,IFERROR(INDEX(MASTER!$A:$A,MATCH(_xlpm.pos,MASTER!$H:$H,0))&amp;"_ser_0.20_"&amp;TEXT(INDEX(MASTER!$E:$E,MATCH(_xlpm.pos,MASTER!$H:$H,0)),"mmddyy"),""),_xlpm.slot,96+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04" s="4" t="str">
        <f>_xlfn.LET(_xlpm.pos,"CDI plate 19: "&amp;$A6&amp;G$2,_xlpm.normal,IFERROR(INDEX(MASTER!$A:$A,MATCH(_xlpm.pos,MASTER!$H:$H,0))&amp;"_ser_0.20_"&amp;TEXT(INDEX(MASTER!$E:$E,MATCH(_xlpm.pos,MASTER!$H:$H,0)),"mmddyy"),""),_xlpm.slot,96+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04" s="4" t="str">
        <f>_xlfn.LET(_xlpm.pos,"CDI plate 19: "&amp;$A6&amp;H$2,_xlpm.normal,IFERROR(INDEX(MASTER!$A:$A,MATCH(_xlpm.pos,MASTER!$H:$H,0))&amp;"_ser_0.20_"&amp;TEXT(INDEX(MASTER!$E:$E,MATCH(_xlpm.pos,MASTER!$H:$H,0)),"mmddyy"),""),_xlpm.slot,96+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04" s="4" t="str">
        <f>_xlfn.LET(_xlpm.pos,"CDI plate 19: "&amp;$A6&amp;I$2,_xlpm.normal,IFERROR(INDEX(MASTER!$A:$A,MATCH(_xlpm.pos,MASTER!$H:$H,0))&amp;"_ser_0.20_"&amp;TEXT(INDEX(MASTER!$E:$E,MATCH(_xlpm.pos,MASTER!$H:$H,0)),"mmddyy"),""),_xlpm.slot,96+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04" s="4" t="str">
        <f>_xlfn.LET(_xlpm.pos,"CDI plate 19: "&amp;$A6&amp;J$2,_xlpm.normal,IFERROR(INDEX(MASTER!$A:$A,MATCH(_xlpm.pos,MASTER!$H:$H,0))&amp;"_ser_0.20_"&amp;TEXT(INDEX(MASTER!$E:$E,MATCH(_xlpm.pos,MASTER!$H:$H,0)),"mmddyy"),""),_xlpm.slot,96+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04" s="4" t="str">
        <f>_xlfn.LET(_xlpm.pos,"CDI plate 19: "&amp;$A6&amp;K$2,_xlpm.normal,IFERROR(INDEX(MASTER!$A:$A,MATCH(_xlpm.pos,MASTER!$H:$H,0))&amp;"_ser_0.20_"&amp;TEXT(INDEX(MASTER!$E:$E,MATCH(_xlpm.pos,MASTER!$H:$H,0)),"mmddyy"),""),_xlpm.slot,96+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04" s="4" t="str">
        <f>_xlfn.LET(_xlpm.pos,"CDI plate 19: "&amp;$A6&amp;L$2,_xlpm.normal,IFERROR(INDEX(MASTER!$A:$A,MATCH(_xlpm.pos,MASTER!$H:$H,0))&amp;"_ser_0.20_"&amp;TEXT(INDEX(MASTER!$E:$E,MATCH(_xlpm.pos,MASTER!$H:$H,0)),"mmddyy"),""),_xlpm.slot,96+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04" s="4" t="str">
        <f>_xlfn.LET(_xlpm.pos,"CDI plate 19: "&amp;$A6&amp;M$2,_xlpm.normal,IFERROR(INDEX(MASTER!$A:$A,MATCH(_xlpm.pos,MASTER!$H:$H,0))&amp;"_ser_0.20_"&amp;TEXT(INDEX(MASTER!$E:$E,MATCH(_xlpm.pos,MASTER!$H:$H,0)),"mmddyy"),""),_xlpm.slot,96+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05" spans="1:13" ht="22" customHeight="1" x14ac:dyDescent="0.3">
      <c r="A205" s="6" t="s">
        <v>34</v>
      </c>
      <c r="B205" s="4" t="str">
        <f>_xlfn.LET(_xlpm.pos,"CDI plate 19: "&amp;$A7&amp;B$2,_xlpm.normal,IFERROR(INDEX(MASTER!$A:$A,MATCH(_xlpm.pos,MASTER!$H:$H,0))&amp;"_ser_0.20_"&amp;TEXT(INDEX(MASTER!$E:$E,MATCH(_xlpm.pos,MASTER!$H:$H,0)),"mmddyy"),""),_xlpm.slot,96+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05" s="4" t="str">
        <f>_xlfn.LET(_xlpm.pos,"CDI plate 19: "&amp;$A7&amp;C$2,_xlpm.normal,IFERROR(INDEX(MASTER!$A:$A,MATCH(_xlpm.pos,MASTER!$H:$H,0))&amp;"_ser_0.20_"&amp;TEXT(INDEX(MASTER!$E:$E,MATCH(_xlpm.pos,MASTER!$H:$H,0)),"mmddyy"),""),_xlpm.slot,96+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05" s="4" t="str">
        <f>_xlfn.LET(_xlpm.pos,"CDI plate 19: "&amp;$A7&amp;D$2,_xlpm.normal,IFERROR(INDEX(MASTER!$A:$A,MATCH(_xlpm.pos,MASTER!$H:$H,0))&amp;"_ser_0.20_"&amp;TEXT(INDEX(MASTER!$E:$E,MATCH(_xlpm.pos,MASTER!$H:$H,0)),"mmddyy"),""),_xlpm.slot,96+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05" s="4" t="str">
        <f>_xlfn.LET(_xlpm.pos,"CDI plate 19: "&amp;$A7&amp;E$2,_xlpm.normal,IFERROR(INDEX(MASTER!$A:$A,MATCH(_xlpm.pos,MASTER!$H:$H,0))&amp;"_ser_0.20_"&amp;TEXT(INDEX(MASTER!$E:$E,MATCH(_xlpm.pos,MASTER!$H:$H,0)),"mmddyy"),""),_xlpm.slot,96+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05" s="4" t="str">
        <f>_xlfn.LET(_xlpm.pos,"CDI plate 19: "&amp;$A7&amp;F$2,_xlpm.normal,IFERROR(INDEX(MASTER!$A:$A,MATCH(_xlpm.pos,MASTER!$H:$H,0))&amp;"_ser_0.20_"&amp;TEXT(INDEX(MASTER!$E:$E,MATCH(_xlpm.pos,MASTER!$H:$H,0)),"mmddyy"),""),_xlpm.slot,96+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05" s="4" t="str">
        <f>_xlfn.LET(_xlpm.pos,"CDI plate 19: "&amp;$A7&amp;G$2,_xlpm.normal,IFERROR(INDEX(MASTER!$A:$A,MATCH(_xlpm.pos,MASTER!$H:$H,0))&amp;"_ser_0.20_"&amp;TEXT(INDEX(MASTER!$E:$E,MATCH(_xlpm.pos,MASTER!$H:$H,0)),"mmddyy"),""),_xlpm.slot,96+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05" s="4" t="str">
        <f>_xlfn.LET(_xlpm.pos,"CDI plate 19: "&amp;$A7&amp;H$2,_xlpm.normal,IFERROR(INDEX(MASTER!$A:$A,MATCH(_xlpm.pos,MASTER!$H:$H,0))&amp;"_ser_0.20_"&amp;TEXT(INDEX(MASTER!$E:$E,MATCH(_xlpm.pos,MASTER!$H:$H,0)),"mmddyy"),""),_xlpm.slot,96+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05" s="4" t="str">
        <f>_xlfn.LET(_xlpm.pos,"CDI plate 19: "&amp;$A7&amp;I$2,_xlpm.normal,IFERROR(INDEX(MASTER!$A:$A,MATCH(_xlpm.pos,MASTER!$H:$H,0))&amp;"_ser_0.20_"&amp;TEXT(INDEX(MASTER!$E:$E,MATCH(_xlpm.pos,MASTER!$H:$H,0)),"mmddyy"),""),_xlpm.slot,96+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05" s="4" t="str">
        <f>_xlfn.LET(_xlpm.pos,"CDI plate 19: "&amp;$A7&amp;J$2,_xlpm.normal,IFERROR(INDEX(MASTER!$A:$A,MATCH(_xlpm.pos,MASTER!$H:$H,0))&amp;"_ser_0.20_"&amp;TEXT(INDEX(MASTER!$E:$E,MATCH(_xlpm.pos,MASTER!$H:$H,0)),"mmddyy"),""),_xlpm.slot,96+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05" s="4" t="str">
        <f>_xlfn.LET(_xlpm.pos,"CDI plate 19: "&amp;$A7&amp;K$2,_xlpm.normal,IFERROR(INDEX(MASTER!$A:$A,MATCH(_xlpm.pos,MASTER!$H:$H,0))&amp;"_ser_0.20_"&amp;TEXT(INDEX(MASTER!$E:$E,MATCH(_xlpm.pos,MASTER!$H:$H,0)),"mmddyy"),""),_xlpm.slot,96+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05" s="4" t="str">
        <f>_xlfn.LET(_xlpm.pos,"CDI plate 19: "&amp;$A7&amp;L$2,_xlpm.normal,IFERROR(INDEX(MASTER!$A:$A,MATCH(_xlpm.pos,MASTER!$H:$H,0))&amp;"_ser_0.20_"&amp;TEXT(INDEX(MASTER!$E:$E,MATCH(_xlpm.pos,MASTER!$H:$H,0)),"mmddyy"),""),_xlpm.slot,96+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05" s="4" t="str">
        <f>_xlfn.LET(_xlpm.pos,"CDI plate 19: "&amp;$A7&amp;M$2,_xlpm.normal,IFERROR(INDEX(MASTER!$A:$A,MATCH(_xlpm.pos,MASTER!$H:$H,0))&amp;"_ser_0.20_"&amp;TEXT(INDEX(MASTER!$E:$E,MATCH(_xlpm.pos,MASTER!$H:$H,0)),"mmddyy"),""),_xlpm.slot,96+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06" spans="1:13" ht="22" customHeight="1" x14ac:dyDescent="0.3">
      <c r="A206" s="6" t="s">
        <v>15</v>
      </c>
      <c r="B206" s="4" t="str">
        <f>_xlfn.LET(_xlpm.pos,"CDI plate 19: "&amp;$A8&amp;B$2,_xlpm.normal,IFERROR(INDEX(MASTER!$A:$A,MATCH(_xlpm.pos,MASTER!$H:$H,0))&amp;"_ser_0.20_"&amp;TEXT(INDEX(MASTER!$E:$E,MATCH(_xlpm.pos,MASTER!$H:$H,0)),"mmddyy"),""),_xlpm.slot,96+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06" s="4" t="str">
        <f>_xlfn.LET(_xlpm.pos,"CDI plate 19: "&amp;$A8&amp;C$2,_xlpm.normal,IFERROR(INDEX(MASTER!$A:$A,MATCH(_xlpm.pos,MASTER!$H:$H,0))&amp;"_ser_0.20_"&amp;TEXT(INDEX(MASTER!$E:$E,MATCH(_xlpm.pos,MASTER!$H:$H,0)),"mmddyy"),""),_xlpm.slot,96+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06" s="4" t="str">
        <f>_xlfn.LET(_xlpm.pos,"CDI plate 19: "&amp;$A8&amp;D$2,_xlpm.normal,IFERROR(INDEX(MASTER!$A:$A,MATCH(_xlpm.pos,MASTER!$H:$H,0))&amp;"_ser_0.20_"&amp;TEXT(INDEX(MASTER!$E:$E,MATCH(_xlpm.pos,MASTER!$H:$H,0)),"mmddyy"),""),_xlpm.slot,96+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06" s="4" t="str">
        <f>_xlfn.LET(_xlpm.pos,"CDI plate 19: "&amp;$A8&amp;E$2,_xlpm.normal,IFERROR(INDEX(MASTER!$A:$A,MATCH(_xlpm.pos,MASTER!$H:$H,0))&amp;"_ser_0.20_"&amp;TEXT(INDEX(MASTER!$E:$E,MATCH(_xlpm.pos,MASTER!$H:$H,0)),"mmddyy"),""),_xlpm.slot,96+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06" s="4" t="str">
        <f>_xlfn.LET(_xlpm.pos,"CDI plate 19: "&amp;$A8&amp;F$2,_xlpm.normal,IFERROR(INDEX(MASTER!$A:$A,MATCH(_xlpm.pos,MASTER!$H:$H,0))&amp;"_ser_0.20_"&amp;TEXT(INDEX(MASTER!$E:$E,MATCH(_xlpm.pos,MASTER!$H:$H,0)),"mmddyy"),""),_xlpm.slot,96+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06" s="4" t="str">
        <f>_xlfn.LET(_xlpm.pos,"CDI plate 19: "&amp;$A8&amp;G$2,_xlpm.normal,IFERROR(INDEX(MASTER!$A:$A,MATCH(_xlpm.pos,MASTER!$H:$H,0))&amp;"_ser_0.20_"&amp;TEXT(INDEX(MASTER!$E:$E,MATCH(_xlpm.pos,MASTER!$H:$H,0)),"mmddyy"),""),_xlpm.slot,96+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06" s="4" t="str">
        <f>_xlfn.LET(_xlpm.pos,"CDI plate 19: "&amp;$A8&amp;H$2,_xlpm.normal,IFERROR(INDEX(MASTER!$A:$A,MATCH(_xlpm.pos,MASTER!$H:$H,0))&amp;"_ser_0.20_"&amp;TEXT(INDEX(MASTER!$E:$E,MATCH(_xlpm.pos,MASTER!$H:$H,0)),"mmddyy"),""),_xlpm.slot,96+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06" s="4" t="str">
        <f>_xlfn.LET(_xlpm.pos,"CDI plate 19: "&amp;$A8&amp;I$2,_xlpm.normal,IFERROR(INDEX(MASTER!$A:$A,MATCH(_xlpm.pos,MASTER!$H:$H,0))&amp;"_ser_0.20_"&amp;TEXT(INDEX(MASTER!$E:$E,MATCH(_xlpm.pos,MASTER!$H:$H,0)),"mmddyy"),""),_xlpm.slot,96+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06" s="4" t="str">
        <f>_xlfn.LET(_xlpm.pos,"CDI plate 19: "&amp;$A8&amp;J$2,_xlpm.normal,IFERROR(INDEX(MASTER!$A:$A,MATCH(_xlpm.pos,MASTER!$H:$H,0))&amp;"_ser_0.20_"&amp;TEXT(INDEX(MASTER!$E:$E,MATCH(_xlpm.pos,MASTER!$H:$H,0)),"mmddyy"),""),_xlpm.slot,96+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06" s="4" t="str">
        <f>_xlfn.LET(_xlpm.pos,"CDI plate 19: "&amp;$A8&amp;K$2,_xlpm.normal,IFERROR(INDEX(MASTER!$A:$A,MATCH(_xlpm.pos,MASTER!$H:$H,0))&amp;"_ser_0.20_"&amp;TEXT(INDEX(MASTER!$E:$E,MATCH(_xlpm.pos,MASTER!$H:$H,0)),"mmddyy"),""),_xlpm.slot,96+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06" s="4" t="str">
        <f>_xlfn.LET(_xlpm.pos,"CDI plate 19: "&amp;$A8&amp;L$2,_xlpm.normal,IFERROR(INDEX(MASTER!$A:$A,MATCH(_xlpm.pos,MASTER!$H:$H,0))&amp;"_ser_0.20_"&amp;TEXT(INDEX(MASTER!$E:$E,MATCH(_xlpm.pos,MASTER!$H:$H,0)),"mmddyy"),""),_xlpm.slot,96+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06" s="4" t="str">
        <f>_xlfn.LET(_xlpm.pos,"CDI plate 19: "&amp;$A8&amp;M$2,_xlpm.normal,IFERROR(INDEX(MASTER!$A:$A,MATCH(_xlpm.pos,MASTER!$H:$H,0))&amp;"_ser_0.20_"&amp;TEXT(INDEX(MASTER!$E:$E,MATCH(_xlpm.pos,MASTER!$H:$H,0)),"mmddyy"),""),_xlpm.slot,96+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07" spans="1:13" ht="22" customHeight="1" x14ac:dyDescent="0.3">
      <c r="A207" s="6" t="s">
        <v>35</v>
      </c>
      <c r="B207" s="4" t="str">
        <f>_xlfn.LET(_xlpm.pos,"CDI plate 19: "&amp;$A9&amp;B$2,_xlpm.normal,IFERROR(INDEX(MASTER!$A:$A,MATCH(_xlpm.pos,MASTER!$H:$H,0))&amp;"_ser_0.20_"&amp;TEXT(INDEX(MASTER!$E:$E,MATCH(_xlpm.pos,MASTER!$H:$H,0)),"mmddyy"),""),_xlpm.slot,96+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07" s="4" t="str">
        <f>_xlfn.LET(_xlpm.pos,"CDI plate 19: "&amp;$A9&amp;C$2,_xlpm.normal,IFERROR(INDEX(MASTER!$A:$A,MATCH(_xlpm.pos,MASTER!$H:$H,0))&amp;"_ser_0.20_"&amp;TEXT(INDEX(MASTER!$E:$E,MATCH(_xlpm.pos,MASTER!$H:$H,0)),"mmddyy"),""),_xlpm.slot,96+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07" s="4" t="str">
        <f>_xlfn.LET(_xlpm.pos,"CDI plate 19: "&amp;$A9&amp;D$2,_xlpm.normal,IFERROR(INDEX(MASTER!$A:$A,MATCH(_xlpm.pos,MASTER!$H:$H,0))&amp;"_ser_0.20_"&amp;TEXT(INDEX(MASTER!$E:$E,MATCH(_xlpm.pos,MASTER!$H:$H,0)),"mmddyy"),""),_xlpm.slot,96+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07" s="4" t="str">
        <f>_xlfn.LET(_xlpm.pos,"CDI plate 19: "&amp;$A9&amp;E$2,_xlpm.normal,IFERROR(INDEX(MASTER!$A:$A,MATCH(_xlpm.pos,MASTER!$H:$H,0))&amp;"_ser_0.20_"&amp;TEXT(INDEX(MASTER!$E:$E,MATCH(_xlpm.pos,MASTER!$H:$H,0)),"mmddyy"),""),_xlpm.slot,96+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07" s="4" t="str">
        <f>_xlfn.LET(_xlpm.pos,"CDI plate 19: "&amp;$A9&amp;F$2,_xlpm.normal,IFERROR(INDEX(MASTER!$A:$A,MATCH(_xlpm.pos,MASTER!$H:$H,0))&amp;"_ser_0.20_"&amp;TEXT(INDEX(MASTER!$E:$E,MATCH(_xlpm.pos,MASTER!$H:$H,0)),"mmddyy"),""),_xlpm.slot,96+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07" s="4" t="str">
        <f>_xlfn.LET(_xlpm.pos,"CDI plate 19: "&amp;$A9&amp;G$2,_xlpm.normal,IFERROR(INDEX(MASTER!$A:$A,MATCH(_xlpm.pos,MASTER!$H:$H,0))&amp;"_ser_0.20_"&amp;TEXT(INDEX(MASTER!$E:$E,MATCH(_xlpm.pos,MASTER!$H:$H,0)),"mmddyy"),""),_xlpm.slot,96+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07" s="4" t="str">
        <f>_xlfn.LET(_xlpm.pos,"CDI plate 19: "&amp;$A9&amp;H$2,_xlpm.normal,IFERROR(INDEX(MASTER!$A:$A,MATCH(_xlpm.pos,MASTER!$H:$H,0))&amp;"_ser_0.20_"&amp;TEXT(INDEX(MASTER!$E:$E,MATCH(_xlpm.pos,MASTER!$H:$H,0)),"mmddyy"),""),_xlpm.slot,96+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07" s="4" t="str">
        <f>_xlfn.LET(_xlpm.pos,"CDI plate 19: "&amp;$A9&amp;I$2,_xlpm.normal,IFERROR(INDEX(MASTER!$A:$A,MATCH(_xlpm.pos,MASTER!$H:$H,0))&amp;"_ser_0.20_"&amp;TEXT(INDEX(MASTER!$E:$E,MATCH(_xlpm.pos,MASTER!$H:$H,0)),"mmddyy"),""),_xlpm.slot,96+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07" s="4" t="str">
        <f>_xlfn.LET(_xlpm.pos,"CDI plate 19: "&amp;$A9&amp;J$2,_xlpm.normal,IFERROR(INDEX(MASTER!$A:$A,MATCH(_xlpm.pos,MASTER!$H:$H,0))&amp;"_ser_0.20_"&amp;TEXT(INDEX(MASTER!$E:$E,MATCH(_xlpm.pos,MASTER!$H:$H,0)),"mmddyy"),""),_xlpm.slot,96+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07" s="4" t="str">
        <f>_xlfn.LET(_xlpm.pos,"CDI plate 19: "&amp;$A9&amp;K$2,_xlpm.normal,IFERROR(INDEX(MASTER!$A:$A,MATCH(_xlpm.pos,MASTER!$H:$H,0))&amp;"_ser_0.20_"&amp;TEXT(INDEX(MASTER!$E:$E,MATCH(_xlpm.pos,MASTER!$H:$H,0)),"mmddyy"),""),_xlpm.slot,96+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07" s="4" t="str">
        <f>_xlfn.LET(_xlpm.pos,"CDI plate 19: "&amp;$A9&amp;L$2,_xlpm.normal,IFERROR(INDEX(MASTER!$A:$A,MATCH(_xlpm.pos,MASTER!$H:$H,0))&amp;"_ser_0.20_"&amp;TEXT(INDEX(MASTER!$E:$E,MATCH(_xlpm.pos,MASTER!$H:$H,0)),"mmddyy"),""),_xlpm.slot,96+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07" s="4" t="str">
        <f>_xlfn.LET(_xlpm.pos,"CDI plate 19: "&amp;$A9&amp;M$2,_xlpm.normal,IFERROR(INDEX(MASTER!$A:$A,MATCH(_xlpm.pos,MASTER!$H:$H,0))&amp;"_ser_0.20_"&amp;TEXT(INDEX(MASTER!$E:$E,MATCH(_xlpm.pos,MASTER!$H:$H,0)),"mmddyy"),""),_xlpm.slot,96+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08" spans="1:13" ht="22" customHeight="1" x14ac:dyDescent="0.3">
      <c r="A208" s="6" t="s">
        <v>36</v>
      </c>
      <c r="B208" s="4" t="str">
        <f>_xlfn.LET(_xlpm.pos,"CDI plate 19: "&amp;$A10&amp;B$2,_xlpm.normal,IFERROR(INDEX(MASTER!$A:$A,MATCH(_xlpm.pos,MASTER!$H:$H,0))&amp;"_ser_0.20_"&amp;TEXT(INDEX(MASTER!$E:$E,MATCH(_xlpm.pos,MASTER!$H:$H,0)),"mmddyy"),""),_xlpm.slot,96+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08" s="4" t="str">
        <f>_xlfn.LET(_xlpm.pos,"CDI plate 19: "&amp;$A10&amp;C$2,_xlpm.normal,IFERROR(INDEX(MASTER!$A:$A,MATCH(_xlpm.pos,MASTER!$H:$H,0))&amp;"_ser_0.20_"&amp;TEXT(INDEX(MASTER!$E:$E,MATCH(_xlpm.pos,MASTER!$H:$H,0)),"mmddyy"),""),_xlpm.slot,96+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08" s="4" t="str">
        <f>_xlfn.LET(_xlpm.pos,"CDI plate 19: "&amp;$A10&amp;D$2,_xlpm.normal,IFERROR(INDEX(MASTER!$A:$A,MATCH(_xlpm.pos,MASTER!$H:$H,0))&amp;"_ser_0.20_"&amp;TEXT(INDEX(MASTER!$E:$E,MATCH(_xlpm.pos,MASTER!$H:$H,0)),"mmddyy"),""),_xlpm.slot,96+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08" s="4" t="str">
        <f>_xlfn.LET(_xlpm.pos,"CDI plate 19: "&amp;$A10&amp;E$2,_xlpm.normal,IFERROR(INDEX(MASTER!$A:$A,MATCH(_xlpm.pos,MASTER!$H:$H,0))&amp;"_ser_0.20_"&amp;TEXT(INDEX(MASTER!$E:$E,MATCH(_xlpm.pos,MASTER!$H:$H,0)),"mmddyy"),""),_xlpm.slot,96+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08" s="4" t="str">
        <f>_xlfn.LET(_xlpm.pos,"CDI plate 19: "&amp;$A10&amp;F$2,_xlpm.normal,IFERROR(INDEX(MASTER!$A:$A,MATCH(_xlpm.pos,MASTER!$H:$H,0))&amp;"_ser_0.20_"&amp;TEXT(INDEX(MASTER!$E:$E,MATCH(_xlpm.pos,MASTER!$H:$H,0)),"mmddyy"),""),_xlpm.slot,96+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08" s="4" t="str">
        <f>_xlfn.LET(_xlpm.pos,"CDI plate 19: "&amp;$A10&amp;G$2,_xlpm.normal,IFERROR(INDEX(MASTER!$A:$A,MATCH(_xlpm.pos,MASTER!$H:$H,0))&amp;"_ser_0.20_"&amp;TEXT(INDEX(MASTER!$E:$E,MATCH(_xlpm.pos,MASTER!$H:$H,0)),"mmddyy"),""),_xlpm.slot,96+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08" s="4" t="str">
        <f>_xlfn.LET(_xlpm.pos,"CDI plate 19: "&amp;$A10&amp;H$2,_xlpm.normal,IFERROR(INDEX(MASTER!$A:$A,MATCH(_xlpm.pos,MASTER!$H:$H,0))&amp;"_ser_0.20_"&amp;TEXT(INDEX(MASTER!$E:$E,MATCH(_xlpm.pos,MASTER!$H:$H,0)),"mmddyy"),""),_xlpm.slot,96+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08" s="4" t="str">
        <f>_xlfn.LET(_xlpm.pos,"CDI plate 19: "&amp;$A10&amp;I$2,_xlpm.normal,IFERROR(INDEX(MASTER!$A:$A,MATCH(_xlpm.pos,MASTER!$H:$H,0))&amp;"_ser_0.20_"&amp;TEXT(INDEX(MASTER!$E:$E,MATCH(_xlpm.pos,MASTER!$H:$H,0)),"mmddyy"),""),_xlpm.slot,96+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08" s="4" t="str">
        <f>_xlfn.LET(_xlpm.pos,"CDI plate 19: "&amp;$A10&amp;J$2,_xlpm.normal,IFERROR(INDEX(MASTER!$A:$A,MATCH(_xlpm.pos,MASTER!$H:$H,0))&amp;"_ser_0.20_"&amp;TEXT(INDEX(MASTER!$E:$E,MATCH(_xlpm.pos,MASTER!$H:$H,0)),"mmddyy"),""),_xlpm.slot,96+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08" s="4" t="str">
        <f>_xlfn.LET(_xlpm.pos,"CDI plate 19: "&amp;$A10&amp;K$2,_xlpm.normal,IFERROR(INDEX(MASTER!$A:$A,MATCH(_xlpm.pos,MASTER!$H:$H,0))&amp;"_ser_0.20_"&amp;TEXT(INDEX(MASTER!$E:$E,MATCH(_xlpm.pos,MASTER!$H:$H,0)),"mmddyy"),""),_xlpm.slot,96+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08" s="4" t="str">
        <f>_xlfn.LET(_xlpm.pos,"CDI plate 19: "&amp;$A10&amp;L$2,_xlpm.normal,IFERROR(INDEX(MASTER!$A:$A,MATCH(_xlpm.pos,MASTER!$H:$H,0))&amp;"_ser_0.20_"&amp;TEXT(INDEX(MASTER!$E:$E,MATCH(_xlpm.pos,MASTER!$H:$H,0)),"mmddyy"),""),_xlpm.slot,96+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08" s="4" t="str">
        <f>_xlfn.LET(_xlpm.pos,"CDI plate 19: "&amp;$A10&amp;M$2,_xlpm.normal,IFERROR(INDEX(MASTER!$A:$A,MATCH(_xlpm.pos,MASTER!$H:$H,0))&amp;"_ser_0.20_"&amp;TEXT(INDEX(MASTER!$E:$E,MATCH(_xlpm.pos,MASTER!$H:$H,0)),"mmddyy"),""),_xlpm.slot,96+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10" spans="1:13" ht="22" customHeight="1" x14ac:dyDescent="0.35">
      <c r="A210" s="5"/>
      <c r="B210" s="31" t="s">
        <v>55</v>
      </c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3"/>
    </row>
    <row r="211" spans="1:13" ht="22" customHeight="1" x14ac:dyDescent="0.3">
      <c r="A211" s="5"/>
      <c r="B211" s="6">
        <v>1</v>
      </c>
      <c r="C211" s="6">
        <v>2</v>
      </c>
      <c r="D211" s="6">
        <v>3</v>
      </c>
      <c r="E211" s="6">
        <v>4</v>
      </c>
      <c r="F211" s="6">
        <v>5</v>
      </c>
      <c r="G211" s="6">
        <v>6</v>
      </c>
      <c r="H211" s="6">
        <v>7</v>
      </c>
      <c r="I211" s="6">
        <v>8</v>
      </c>
      <c r="J211" s="6">
        <v>9</v>
      </c>
      <c r="K211" s="6">
        <v>10</v>
      </c>
      <c r="L211" s="6">
        <v>11</v>
      </c>
      <c r="M211" s="6">
        <v>12</v>
      </c>
    </row>
    <row r="212" spans="1:13" ht="22" customHeight="1" x14ac:dyDescent="0.3">
      <c r="A212" s="6" t="s">
        <v>30</v>
      </c>
      <c r="B212" s="4" t="str">
        <f>_xlfn.LET(_xlpm.pos,"CDI plate 20: "&amp;$A3&amp;B$2,_xlpm.normal,IFERROR(INDEX(MASTER!$A:$A,MATCH(_xlpm.pos,MASTER!$H:$H,0))&amp;"_ser_0.20_"&amp;TEXT(INDEX(MASTER!$E:$E,MATCH(_xlpm.pos,MASTER!$H:$H,0)),"mmddyy"),""),_xlpm.slot,96+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12" s="4" t="str">
        <f>_xlfn.LET(_xlpm.pos,"CDI plate 20: "&amp;$A3&amp;C$2,_xlpm.normal,IFERROR(INDEX(MASTER!$A:$A,MATCH(_xlpm.pos,MASTER!$H:$H,0))&amp;"_ser_0.20_"&amp;TEXT(INDEX(MASTER!$E:$E,MATCH(_xlpm.pos,MASTER!$H:$H,0)),"mmddyy"),""),_xlpm.slot,96+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12" s="4" t="str">
        <f>_xlfn.LET(_xlpm.pos,"CDI plate 20: "&amp;$A3&amp;D$2,_xlpm.normal,IFERROR(INDEX(MASTER!$A:$A,MATCH(_xlpm.pos,MASTER!$H:$H,0))&amp;"_ser_0.20_"&amp;TEXT(INDEX(MASTER!$E:$E,MATCH(_xlpm.pos,MASTER!$H:$H,0)),"mmddyy"),""),_xlpm.slot,96+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12" s="4" t="str">
        <f>_xlfn.LET(_xlpm.pos,"CDI plate 20: "&amp;$A3&amp;E$2,_xlpm.normal,IFERROR(INDEX(MASTER!$A:$A,MATCH(_xlpm.pos,MASTER!$H:$H,0))&amp;"_ser_0.20_"&amp;TEXT(INDEX(MASTER!$E:$E,MATCH(_xlpm.pos,MASTER!$H:$H,0)),"mmddyy"),""),_xlpm.slot,96+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12" s="4" t="str">
        <f>_xlfn.LET(_xlpm.pos,"CDI plate 20: "&amp;$A3&amp;F$2,_xlpm.normal,IFERROR(INDEX(MASTER!$A:$A,MATCH(_xlpm.pos,MASTER!$H:$H,0))&amp;"_ser_0.20_"&amp;TEXT(INDEX(MASTER!$E:$E,MATCH(_xlpm.pos,MASTER!$H:$H,0)),"mmddyy"),""),_xlpm.slot,96+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12" s="4" t="str">
        <f>_xlfn.LET(_xlpm.pos,"CDI plate 20: "&amp;$A3&amp;G$2,_xlpm.normal,IFERROR(INDEX(MASTER!$A:$A,MATCH(_xlpm.pos,MASTER!$H:$H,0))&amp;"_ser_0.20_"&amp;TEXT(INDEX(MASTER!$E:$E,MATCH(_xlpm.pos,MASTER!$H:$H,0)),"mmddyy"),""),_xlpm.slot,96+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12" s="4" t="str">
        <f>_xlfn.LET(_xlpm.pos,"CDI plate 20: "&amp;$A3&amp;H$2,_xlpm.normal,IFERROR(INDEX(MASTER!$A:$A,MATCH(_xlpm.pos,MASTER!$H:$H,0))&amp;"_ser_0.20_"&amp;TEXT(INDEX(MASTER!$E:$E,MATCH(_xlpm.pos,MASTER!$H:$H,0)),"mmddyy"),""),_xlpm.slot,96+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12" s="4" t="str">
        <f>_xlfn.LET(_xlpm.pos,"CDI plate 20: "&amp;$A3&amp;I$2,_xlpm.normal,IFERROR(INDEX(MASTER!$A:$A,MATCH(_xlpm.pos,MASTER!$H:$H,0))&amp;"_ser_0.20_"&amp;TEXT(INDEX(MASTER!$E:$E,MATCH(_xlpm.pos,MASTER!$H:$H,0)),"mmddyy"),""),_xlpm.slot,96+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12" s="4" t="str">
        <f>_xlfn.LET(_xlpm.pos,"CDI plate 20: "&amp;$A3&amp;J$2,_xlpm.normal,IFERROR(INDEX(MASTER!$A:$A,MATCH(_xlpm.pos,MASTER!$H:$H,0))&amp;"_ser_0.20_"&amp;TEXT(INDEX(MASTER!$E:$E,MATCH(_xlpm.pos,MASTER!$H:$H,0)),"mmddyy"),""),_xlpm.slot,96+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12" s="4" t="str">
        <f>_xlfn.LET(_xlpm.pos,"CDI plate 20: "&amp;$A3&amp;K$2,_xlpm.normal,IFERROR(INDEX(MASTER!$A:$A,MATCH(_xlpm.pos,MASTER!$H:$H,0))&amp;"_ser_0.20_"&amp;TEXT(INDEX(MASTER!$E:$E,MATCH(_xlpm.pos,MASTER!$H:$H,0)),"mmddyy"),""),_xlpm.slot,96+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12" s="4" t="str">
        <f>_xlfn.LET(_xlpm.pos,"CDI plate 20: "&amp;$A3&amp;L$2,_xlpm.normal,IFERROR(INDEX(MASTER!$A:$A,MATCH(_xlpm.pos,MASTER!$H:$H,0))&amp;"_ser_0.20_"&amp;TEXT(INDEX(MASTER!$E:$E,MATCH(_xlpm.pos,MASTER!$H:$H,0)),"mmddyy"),""),_xlpm.slot,96+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12" s="4" t="str">
        <f>_xlfn.LET(_xlpm.pos,"CDI plate 20: "&amp;$A3&amp;M$2,_xlpm.normal,IFERROR(INDEX(MASTER!$A:$A,MATCH(_xlpm.pos,MASTER!$H:$H,0))&amp;"_ser_0.20_"&amp;TEXT(INDEX(MASTER!$E:$E,MATCH(_xlpm.pos,MASTER!$H:$H,0)),"mmddyy"),""),_xlpm.slot,96+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13" spans="1:13" ht="22" customHeight="1" x14ac:dyDescent="0.3">
      <c r="A213" s="6" t="s">
        <v>31</v>
      </c>
      <c r="B213" s="4" t="str">
        <f>_xlfn.LET(_xlpm.pos,"CDI plate 20: "&amp;$A4&amp;B$2,_xlpm.normal,IFERROR(INDEX(MASTER!$A:$A,MATCH(_xlpm.pos,MASTER!$H:$H,0))&amp;"_ser_0.20_"&amp;TEXT(INDEX(MASTER!$E:$E,MATCH(_xlpm.pos,MASTER!$H:$H,0)),"mmddyy"),""),_xlpm.slot,96+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13" s="4" t="str">
        <f>_xlfn.LET(_xlpm.pos,"CDI plate 20: "&amp;$A4&amp;C$2,_xlpm.normal,IFERROR(INDEX(MASTER!$A:$A,MATCH(_xlpm.pos,MASTER!$H:$H,0))&amp;"_ser_0.20_"&amp;TEXT(INDEX(MASTER!$E:$E,MATCH(_xlpm.pos,MASTER!$H:$H,0)),"mmddyy"),""),_xlpm.slot,96+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13" s="4" t="str">
        <f>_xlfn.LET(_xlpm.pos,"CDI plate 20: "&amp;$A4&amp;D$2,_xlpm.normal,IFERROR(INDEX(MASTER!$A:$A,MATCH(_xlpm.pos,MASTER!$H:$H,0))&amp;"_ser_0.20_"&amp;TEXT(INDEX(MASTER!$E:$E,MATCH(_xlpm.pos,MASTER!$H:$H,0)),"mmddyy"),""),_xlpm.slot,96+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13" s="4" t="str">
        <f>_xlfn.LET(_xlpm.pos,"CDI plate 20: "&amp;$A4&amp;E$2,_xlpm.normal,IFERROR(INDEX(MASTER!$A:$A,MATCH(_xlpm.pos,MASTER!$H:$H,0))&amp;"_ser_0.20_"&amp;TEXT(INDEX(MASTER!$E:$E,MATCH(_xlpm.pos,MASTER!$H:$H,0)),"mmddyy"),""),_xlpm.slot,96+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13" s="4" t="str">
        <f>_xlfn.LET(_xlpm.pos,"CDI plate 20: "&amp;$A4&amp;F$2,_xlpm.normal,IFERROR(INDEX(MASTER!$A:$A,MATCH(_xlpm.pos,MASTER!$H:$H,0))&amp;"_ser_0.20_"&amp;TEXT(INDEX(MASTER!$E:$E,MATCH(_xlpm.pos,MASTER!$H:$H,0)),"mmddyy"),""),_xlpm.slot,96+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13" s="4" t="str">
        <f>_xlfn.LET(_xlpm.pos,"CDI plate 20: "&amp;$A4&amp;G$2,_xlpm.normal,IFERROR(INDEX(MASTER!$A:$A,MATCH(_xlpm.pos,MASTER!$H:$H,0))&amp;"_ser_0.20_"&amp;TEXT(INDEX(MASTER!$E:$E,MATCH(_xlpm.pos,MASTER!$H:$H,0)),"mmddyy"),""),_xlpm.slot,96+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13" s="4" t="str">
        <f>_xlfn.LET(_xlpm.pos,"CDI plate 20: "&amp;$A4&amp;H$2,_xlpm.normal,IFERROR(INDEX(MASTER!$A:$A,MATCH(_xlpm.pos,MASTER!$H:$H,0))&amp;"_ser_0.20_"&amp;TEXT(INDEX(MASTER!$E:$E,MATCH(_xlpm.pos,MASTER!$H:$H,0)),"mmddyy"),""),_xlpm.slot,96+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13" s="4" t="str">
        <f>_xlfn.LET(_xlpm.pos,"CDI plate 20: "&amp;$A4&amp;I$2,_xlpm.normal,IFERROR(INDEX(MASTER!$A:$A,MATCH(_xlpm.pos,MASTER!$H:$H,0))&amp;"_ser_0.20_"&amp;TEXT(INDEX(MASTER!$E:$E,MATCH(_xlpm.pos,MASTER!$H:$H,0)),"mmddyy"),""),_xlpm.slot,96+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13" s="4" t="str">
        <f>_xlfn.LET(_xlpm.pos,"CDI plate 20: "&amp;$A4&amp;J$2,_xlpm.normal,IFERROR(INDEX(MASTER!$A:$A,MATCH(_xlpm.pos,MASTER!$H:$H,0))&amp;"_ser_0.20_"&amp;TEXT(INDEX(MASTER!$E:$E,MATCH(_xlpm.pos,MASTER!$H:$H,0)),"mmddyy"),""),_xlpm.slot,96+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13" s="4" t="str">
        <f>_xlfn.LET(_xlpm.pos,"CDI plate 20: "&amp;$A4&amp;K$2,_xlpm.normal,IFERROR(INDEX(MASTER!$A:$A,MATCH(_xlpm.pos,MASTER!$H:$H,0))&amp;"_ser_0.20_"&amp;TEXT(INDEX(MASTER!$E:$E,MATCH(_xlpm.pos,MASTER!$H:$H,0)),"mmddyy"),""),_xlpm.slot,96+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13" s="4" t="str">
        <f>_xlfn.LET(_xlpm.pos,"CDI plate 20: "&amp;$A4&amp;L$2,_xlpm.normal,IFERROR(INDEX(MASTER!$A:$A,MATCH(_xlpm.pos,MASTER!$H:$H,0))&amp;"_ser_0.20_"&amp;TEXT(INDEX(MASTER!$E:$E,MATCH(_xlpm.pos,MASTER!$H:$H,0)),"mmddyy"),""),_xlpm.slot,96+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13" s="4" t="str">
        <f>_xlfn.LET(_xlpm.pos,"CDI plate 20: "&amp;$A4&amp;M$2,_xlpm.normal,IFERROR(INDEX(MASTER!$A:$A,MATCH(_xlpm.pos,MASTER!$H:$H,0))&amp;"_ser_0.20_"&amp;TEXT(INDEX(MASTER!$E:$E,MATCH(_xlpm.pos,MASTER!$H:$H,0)),"mmddyy"),""),_xlpm.slot,96+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14" spans="1:13" ht="22" customHeight="1" x14ac:dyDescent="0.3">
      <c r="A214" s="6" t="s">
        <v>32</v>
      </c>
      <c r="B214" s="4" t="str">
        <f>_xlfn.LET(_xlpm.pos,"CDI plate 20: "&amp;$A5&amp;B$2,_xlpm.normal,IFERROR(INDEX(MASTER!$A:$A,MATCH(_xlpm.pos,MASTER!$H:$H,0))&amp;"_ser_0.20_"&amp;TEXT(INDEX(MASTER!$E:$E,MATCH(_xlpm.pos,MASTER!$H:$H,0)),"mmddyy"),""),_xlpm.slot,96+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14" s="4" t="str">
        <f>_xlfn.LET(_xlpm.pos,"CDI plate 20: "&amp;$A5&amp;C$2,_xlpm.normal,IFERROR(INDEX(MASTER!$A:$A,MATCH(_xlpm.pos,MASTER!$H:$H,0))&amp;"_ser_0.20_"&amp;TEXT(INDEX(MASTER!$E:$E,MATCH(_xlpm.pos,MASTER!$H:$H,0)),"mmddyy"),""),_xlpm.slot,96+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14" s="4" t="str">
        <f>_xlfn.LET(_xlpm.pos,"CDI plate 20: "&amp;$A5&amp;D$2,_xlpm.normal,IFERROR(INDEX(MASTER!$A:$A,MATCH(_xlpm.pos,MASTER!$H:$H,0))&amp;"_ser_0.20_"&amp;TEXT(INDEX(MASTER!$E:$E,MATCH(_xlpm.pos,MASTER!$H:$H,0)),"mmddyy"),""),_xlpm.slot,96+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14" s="4" t="str">
        <f>_xlfn.LET(_xlpm.pos,"CDI plate 20: "&amp;$A5&amp;E$2,_xlpm.normal,IFERROR(INDEX(MASTER!$A:$A,MATCH(_xlpm.pos,MASTER!$H:$H,0))&amp;"_ser_0.20_"&amp;TEXT(INDEX(MASTER!$E:$E,MATCH(_xlpm.pos,MASTER!$H:$H,0)),"mmddyy"),""),_xlpm.slot,96+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14" s="4" t="str">
        <f>_xlfn.LET(_xlpm.pos,"CDI plate 20: "&amp;$A5&amp;F$2,_xlpm.normal,IFERROR(INDEX(MASTER!$A:$A,MATCH(_xlpm.pos,MASTER!$H:$H,0))&amp;"_ser_0.20_"&amp;TEXT(INDEX(MASTER!$E:$E,MATCH(_xlpm.pos,MASTER!$H:$H,0)),"mmddyy"),""),_xlpm.slot,96+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14" s="4" t="str">
        <f>_xlfn.LET(_xlpm.pos,"CDI plate 20: "&amp;$A5&amp;G$2,_xlpm.normal,IFERROR(INDEX(MASTER!$A:$A,MATCH(_xlpm.pos,MASTER!$H:$H,0))&amp;"_ser_0.20_"&amp;TEXT(INDEX(MASTER!$E:$E,MATCH(_xlpm.pos,MASTER!$H:$H,0)),"mmddyy"),""),_xlpm.slot,96+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14" s="4" t="str">
        <f>_xlfn.LET(_xlpm.pos,"CDI plate 20: "&amp;$A5&amp;H$2,_xlpm.normal,IFERROR(INDEX(MASTER!$A:$A,MATCH(_xlpm.pos,MASTER!$H:$H,0))&amp;"_ser_0.20_"&amp;TEXT(INDEX(MASTER!$E:$E,MATCH(_xlpm.pos,MASTER!$H:$H,0)),"mmddyy"),""),_xlpm.slot,96+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14" s="4" t="str">
        <f>_xlfn.LET(_xlpm.pos,"CDI plate 20: "&amp;$A5&amp;I$2,_xlpm.normal,IFERROR(INDEX(MASTER!$A:$A,MATCH(_xlpm.pos,MASTER!$H:$H,0))&amp;"_ser_0.20_"&amp;TEXT(INDEX(MASTER!$E:$E,MATCH(_xlpm.pos,MASTER!$H:$H,0)),"mmddyy"),""),_xlpm.slot,96+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14" s="4" t="str">
        <f>_xlfn.LET(_xlpm.pos,"CDI plate 20: "&amp;$A5&amp;J$2,_xlpm.normal,IFERROR(INDEX(MASTER!$A:$A,MATCH(_xlpm.pos,MASTER!$H:$H,0))&amp;"_ser_0.20_"&amp;TEXT(INDEX(MASTER!$E:$E,MATCH(_xlpm.pos,MASTER!$H:$H,0)),"mmddyy"),""),_xlpm.slot,96+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14" s="4" t="str">
        <f>_xlfn.LET(_xlpm.pos,"CDI plate 20: "&amp;$A5&amp;K$2,_xlpm.normal,IFERROR(INDEX(MASTER!$A:$A,MATCH(_xlpm.pos,MASTER!$H:$H,0))&amp;"_ser_0.20_"&amp;TEXT(INDEX(MASTER!$E:$E,MATCH(_xlpm.pos,MASTER!$H:$H,0)),"mmddyy"),""),_xlpm.slot,96+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14" s="4" t="str">
        <f>_xlfn.LET(_xlpm.pos,"CDI plate 20: "&amp;$A5&amp;L$2,_xlpm.normal,IFERROR(INDEX(MASTER!$A:$A,MATCH(_xlpm.pos,MASTER!$H:$H,0))&amp;"_ser_0.20_"&amp;TEXT(INDEX(MASTER!$E:$E,MATCH(_xlpm.pos,MASTER!$H:$H,0)),"mmddyy"),""),_xlpm.slot,96+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14" s="4" t="str">
        <f>_xlfn.LET(_xlpm.pos,"CDI plate 20: "&amp;$A5&amp;M$2,_xlpm.normal,IFERROR(INDEX(MASTER!$A:$A,MATCH(_xlpm.pos,MASTER!$H:$H,0))&amp;"_ser_0.20_"&amp;TEXT(INDEX(MASTER!$E:$E,MATCH(_xlpm.pos,MASTER!$H:$H,0)),"mmddyy"),""),_xlpm.slot,96+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15" spans="1:13" ht="22" customHeight="1" x14ac:dyDescent="0.3">
      <c r="A215" s="6" t="s">
        <v>33</v>
      </c>
      <c r="B215" s="4" t="str">
        <f>_xlfn.LET(_xlpm.pos,"CDI plate 20: "&amp;$A6&amp;B$2,_xlpm.normal,IFERROR(INDEX(MASTER!$A:$A,MATCH(_xlpm.pos,MASTER!$H:$H,0))&amp;"_ser_0.20_"&amp;TEXT(INDEX(MASTER!$E:$E,MATCH(_xlpm.pos,MASTER!$H:$H,0)),"mmddyy"),""),_xlpm.slot,96+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15" s="4" t="str">
        <f>_xlfn.LET(_xlpm.pos,"CDI plate 20: "&amp;$A6&amp;C$2,_xlpm.normal,IFERROR(INDEX(MASTER!$A:$A,MATCH(_xlpm.pos,MASTER!$H:$H,0))&amp;"_ser_0.20_"&amp;TEXT(INDEX(MASTER!$E:$E,MATCH(_xlpm.pos,MASTER!$H:$H,0)),"mmddyy"),""),_xlpm.slot,96+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15" s="4" t="str">
        <f>_xlfn.LET(_xlpm.pos,"CDI plate 20: "&amp;$A6&amp;D$2,_xlpm.normal,IFERROR(INDEX(MASTER!$A:$A,MATCH(_xlpm.pos,MASTER!$H:$H,0))&amp;"_ser_0.20_"&amp;TEXT(INDEX(MASTER!$E:$E,MATCH(_xlpm.pos,MASTER!$H:$H,0)),"mmddyy"),""),_xlpm.slot,96+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15" s="4" t="str">
        <f>_xlfn.LET(_xlpm.pos,"CDI plate 20: "&amp;$A6&amp;E$2,_xlpm.normal,IFERROR(INDEX(MASTER!$A:$A,MATCH(_xlpm.pos,MASTER!$H:$H,0))&amp;"_ser_0.20_"&amp;TEXT(INDEX(MASTER!$E:$E,MATCH(_xlpm.pos,MASTER!$H:$H,0)),"mmddyy"),""),_xlpm.slot,96+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15" s="4" t="str">
        <f>_xlfn.LET(_xlpm.pos,"CDI plate 20: "&amp;$A6&amp;F$2,_xlpm.normal,IFERROR(INDEX(MASTER!$A:$A,MATCH(_xlpm.pos,MASTER!$H:$H,0))&amp;"_ser_0.20_"&amp;TEXT(INDEX(MASTER!$E:$E,MATCH(_xlpm.pos,MASTER!$H:$H,0)),"mmddyy"),""),_xlpm.slot,96+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15" s="4" t="str">
        <f>_xlfn.LET(_xlpm.pos,"CDI plate 20: "&amp;$A6&amp;G$2,_xlpm.normal,IFERROR(INDEX(MASTER!$A:$A,MATCH(_xlpm.pos,MASTER!$H:$H,0))&amp;"_ser_0.20_"&amp;TEXT(INDEX(MASTER!$E:$E,MATCH(_xlpm.pos,MASTER!$H:$H,0)),"mmddyy"),""),_xlpm.slot,96+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15" s="4" t="str">
        <f>_xlfn.LET(_xlpm.pos,"CDI plate 20: "&amp;$A6&amp;H$2,_xlpm.normal,IFERROR(INDEX(MASTER!$A:$A,MATCH(_xlpm.pos,MASTER!$H:$H,0))&amp;"_ser_0.20_"&amp;TEXT(INDEX(MASTER!$E:$E,MATCH(_xlpm.pos,MASTER!$H:$H,0)),"mmddyy"),""),_xlpm.slot,96+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15" s="4" t="str">
        <f>_xlfn.LET(_xlpm.pos,"CDI plate 20: "&amp;$A6&amp;I$2,_xlpm.normal,IFERROR(INDEX(MASTER!$A:$A,MATCH(_xlpm.pos,MASTER!$H:$H,0))&amp;"_ser_0.20_"&amp;TEXT(INDEX(MASTER!$E:$E,MATCH(_xlpm.pos,MASTER!$H:$H,0)),"mmddyy"),""),_xlpm.slot,96+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15" s="4" t="str">
        <f>_xlfn.LET(_xlpm.pos,"CDI plate 20: "&amp;$A6&amp;J$2,_xlpm.normal,IFERROR(INDEX(MASTER!$A:$A,MATCH(_xlpm.pos,MASTER!$H:$H,0))&amp;"_ser_0.20_"&amp;TEXT(INDEX(MASTER!$E:$E,MATCH(_xlpm.pos,MASTER!$H:$H,0)),"mmddyy"),""),_xlpm.slot,96+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15" s="4" t="str">
        <f>_xlfn.LET(_xlpm.pos,"CDI plate 20: "&amp;$A6&amp;K$2,_xlpm.normal,IFERROR(INDEX(MASTER!$A:$A,MATCH(_xlpm.pos,MASTER!$H:$H,0))&amp;"_ser_0.20_"&amp;TEXT(INDEX(MASTER!$E:$E,MATCH(_xlpm.pos,MASTER!$H:$H,0)),"mmddyy"),""),_xlpm.slot,96+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15" s="4" t="str">
        <f>_xlfn.LET(_xlpm.pos,"CDI plate 20: "&amp;$A6&amp;L$2,_xlpm.normal,IFERROR(INDEX(MASTER!$A:$A,MATCH(_xlpm.pos,MASTER!$H:$H,0))&amp;"_ser_0.20_"&amp;TEXT(INDEX(MASTER!$E:$E,MATCH(_xlpm.pos,MASTER!$H:$H,0)),"mmddyy"),""),_xlpm.slot,96+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15" s="4" t="str">
        <f>_xlfn.LET(_xlpm.pos,"CDI plate 20: "&amp;$A6&amp;M$2,_xlpm.normal,IFERROR(INDEX(MASTER!$A:$A,MATCH(_xlpm.pos,MASTER!$H:$H,0))&amp;"_ser_0.20_"&amp;TEXT(INDEX(MASTER!$E:$E,MATCH(_xlpm.pos,MASTER!$H:$H,0)),"mmddyy"),""),_xlpm.slot,96+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16" spans="1:13" ht="22" customHeight="1" x14ac:dyDescent="0.3">
      <c r="A216" s="6" t="s">
        <v>34</v>
      </c>
      <c r="B216" s="4" t="str">
        <f>_xlfn.LET(_xlpm.pos,"CDI plate 20: "&amp;$A7&amp;B$2,_xlpm.normal,IFERROR(INDEX(MASTER!$A:$A,MATCH(_xlpm.pos,MASTER!$H:$H,0))&amp;"_ser_0.20_"&amp;TEXT(INDEX(MASTER!$E:$E,MATCH(_xlpm.pos,MASTER!$H:$H,0)),"mmddyy"),""),_xlpm.slot,96+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16" s="4" t="str">
        <f>_xlfn.LET(_xlpm.pos,"CDI plate 20: "&amp;$A7&amp;C$2,_xlpm.normal,IFERROR(INDEX(MASTER!$A:$A,MATCH(_xlpm.pos,MASTER!$H:$H,0))&amp;"_ser_0.20_"&amp;TEXT(INDEX(MASTER!$E:$E,MATCH(_xlpm.pos,MASTER!$H:$H,0)),"mmddyy"),""),_xlpm.slot,96+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16" s="4" t="str">
        <f>_xlfn.LET(_xlpm.pos,"CDI plate 20: "&amp;$A7&amp;D$2,_xlpm.normal,IFERROR(INDEX(MASTER!$A:$A,MATCH(_xlpm.pos,MASTER!$H:$H,0))&amp;"_ser_0.20_"&amp;TEXT(INDEX(MASTER!$E:$E,MATCH(_xlpm.pos,MASTER!$H:$H,0)),"mmddyy"),""),_xlpm.slot,96+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16" s="4" t="str">
        <f>_xlfn.LET(_xlpm.pos,"CDI plate 20: "&amp;$A7&amp;E$2,_xlpm.normal,IFERROR(INDEX(MASTER!$A:$A,MATCH(_xlpm.pos,MASTER!$H:$H,0))&amp;"_ser_0.20_"&amp;TEXT(INDEX(MASTER!$E:$E,MATCH(_xlpm.pos,MASTER!$H:$H,0)),"mmddyy"),""),_xlpm.slot,96+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16" s="4" t="str">
        <f>_xlfn.LET(_xlpm.pos,"CDI plate 20: "&amp;$A7&amp;F$2,_xlpm.normal,IFERROR(INDEX(MASTER!$A:$A,MATCH(_xlpm.pos,MASTER!$H:$H,0))&amp;"_ser_0.20_"&amp;TEXT(INDEX(MASTER!$E:$E,MATCH(_xlpm.pos,MASTER!$H:$H,0)),"mmddyy"),""),_xlpm.slot,96+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16" s="4" t="str">
        <f>_xlfn.LET(_xlpm.pos,"CDI plate 20: "&amp;$A7&amp;G$2,_xlpm.normal,IFERROR(INDEX(MASTER!$A:$A,MATCH(_xlpm.pos,MASTER!$H:$H,0))&amp;"_ser_0.20_"&amp;TEXT(INDEX(MASTER!$E:$E,MATCH(_xlpm.pos,MASTER!$H:$H,0)),"mmddyy"),""),_xlpm.slot,96+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16" s="4" t="str">
        <f>_xlfn.LET(_xlpm.pos,"CDI plate 20: "&amp;$A7&amp;H$2,_xlpm.normal,IFERROR(INDEX(MASTER!$A:$A,MATCH(_xlpm.pos,MASTER!$H:$H,0))&amp;"_ser_0.20_"&amp;TEXT(INDEX(MASTER!$E:$E,MATCH(_xlpm.pos,MASTER!$H:$H,0)),"mmddyy"),""),_xlpm.slot,96+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16" s="4" t="str">
        <f>_xlfn.LET(_xlpm.pos,"CDI plate 20: "&amp;$A7&amp;I$2,_xlpm.normal,IFERROR(INDEX(MASTER!$A:$A,MATCH(_xlpm.pos,MASTER!$H:$H,0))&amp;"_ser_0.20_"&amp;TEXT(INDEX(MASTER!$E:$E,MATCH(_xlpm.pos,MASTER!$H:$H,0)),"mmddyy"),""),_xlpm.slot,96+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16" s="4" t="str">
        <f>_xlfn.LET(_xlpm.pos,"CDI plate 20: "&amp;$A7&amp;J$2,_xlpm.normal,IFERROR(INDEX(MASTER!$A:$A,MATCH(_xlpm.pos,MASTER!$H:$H,0))&amp;"_ser_0.20_"&amp;TEXT(INDEX(MASTER!$E:$E,MATCH(_xlpm.pos,MASTER!$H:$H,0)),"mmddyy"),""),_xlpm.slot,96+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16" s="4" t="str">
        <f>_xlfn.LET(_xlpm.pos,"CDI plate 20: "&amp;$A7&amp;K$2,_xlpm.normal,IFERROR(INDEX(MASTER!$A:$A,MATCH(_xlpm.pos,MASTER!$H:$H,0))&amp;"_ser_0.20_"&amp;TEXT(INDEX(MASTER!$E:$E,MATCH(_xlpm.pos,MASTER!$H:$H,0)),"mmddyy"),""),_xlpm.slot,96+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16" s="4" t="str">
        <f>_xlfn.LET(_xlpm.pos,"CDI plate 20: "&amp;$A7&amp;L$2,_xlpm.normal,IFERROR(INDEX(MASTER!$A:$A,MATCH(_xlpm.pos,MASTER!$H:$H,0))&amp;"_ser_0.20_"&amp;TEXT(INDEX(MASTER!$E:$E,MATCH(_xlpm.pos,MASTER!$H:$H,0)),"mmddyy"),""),_xlpm.slot,96+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16" s="4" t="str">
        <f>_xlfn.LET(_xlpm.pos,"CDI plate 20: "&amp;$A7&amp;M$2,_xlpm.normal,IFERROR(INDEX(MASTER!$A:$A,MATCH(_xlpm.pos,MASTER!$H:$H,0))&amp;"_ser_0.20_"&amp;TEXT(INDEX(MASTER!$E:$E,MATCH(_xlpm.pos,MASTER!$H:$H,0)),"mmddyy"),""),_xlpm.slot,96+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17" spans="1:13" ht="22" customHeight="1" x14ac:dyDescent="0.3">
      <c r="A217" s="6" t="s">
        <v>15</v>
      </c>
      <c r="B217" s="4" t="str">
        <f>_xlfn.LET(_xlpm.pos,"CDI plate 20: "&amp;$A8&amp;B$2,_xlpm.normal,IFERROR(INDEX(MASTER!$A:$A,MATCH(_xlpm.pos,MASTER!$H:$H,0))&amp;"_ser_0.20_"&amp;TEXT(INDEX(MASTER!$E:$E,MATCH(_xlpm.pos,MASTER!$H:$H,0)),"mmddyy"),""),_xlpm.slot,96+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17" s="4" t="str">
        <f>_xlfn.LET(_xlpm.pos,"CDI plate 20: "&amp;$A8&amp;C$2,_xlpm.normal,IFERROR(INDEX(MASTER!$A:$A,MATCH(_xlpm.pos,MASTER!$H:$H,0))&amp;"_ser_0.20_"&amp;TEXT(INDEX(MASTER!$E:$E,MATCH(_xlpm.pos,MASTER!$H:$H,0)),"mmddyy"),""),_xlpm.slot,96+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17" s="4" t="str">
        <f>_xlfn.LET(_xlpm.pos,"CDI plate 20: "&amp;$A8&amp;D$2,_xlpm.normal,IFERROR(INDEX(MASTER!$A:$A,MATCH(_xlpm.pos,MASTER!$H:$H,0))&amp;"_ser_0.20_"&amp;TEXT(INDEX(MASTER!$E:$E,MATCH(_xlpm.pos,MASTER!$H:$H,0)),"mmddyy"),""),_xlpm.slot,96+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17" s="4" t="str">
        <f>_xlfn.LET(_xlpm.pos,"CDI plate 20: "&amp;$A8&amp;E$2,_xlpm.normal,IFERROR(INDEX(MASTER!$A:$A,MATCH(_xlpm.pos,MASTER!$H:$H,0))&amp;"_ser_0.20_"&amp;TEXT(INDEX(MASTER!$E:$E,MATCH(_xlpm.pos,MASTER!$H:$H,0)),"mmddyy"),""),_xlpm.slot,96+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17" s="4" t="str">
        <f>_xlfn.LET(_xlpm.pos,"CDI plate 20: "&amp;$A8&amp;F$2,_xlpm.normal,IFERROR(INDEX(MASTER!$A:$A,MATCH(_xlpm.pos,MASTER!$H:$H,0))&amp;"_ser_0.20_"&amp;TEXT(INDEX(MASTER!$E:$E,MATCH(_xlpm.pos,MASTER!$H:$H,0)),"mmddyy"),""),_xlpm.slot,96+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17" s="4" t="str">
        <f>_xlfn.LET(_xlpm.pos,"CDI plate 20: "&amp;$A8&amp;G$2,_xlpm.normal,IFERROR(INDEX(MASTER!$A:$A,MATCH(_xlpm.pos,MASTER!$H:$H,0))&amp;"_ser_0.20_"&amp;TEXT(INDEX(MASTER!$E:$E,MATCH(_xlpm.pos,MASTER!$H:$H,0)),"mmddyy"),""),_xlpm.slot,96+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17" s="4" t="str">
        <f>_xlfn.LET(_xlpm.pos,"CDI plate 20: "&amp;$A8&amp;H$2,_xlpm.normal,IFERROR(INDEX(MASTER!$A:$A,MATCH(_xlpm.pos,MASTER!$H:$H,0))&amp;"_ser_0.20_"&amp;TEXT(INDEX(MASTER!$E:$E,MATCH(_xlpm.pos,MASTER!$H:$H,0)),"mmddyy"),""),_xlpm.slot,96+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17" s="4" t="str">
        <f>_xlfn.LET(_xlpm.pos,"CDI plate 20: "&amp;$A8&amp;I$2,_xlpm.normal,IFERROR(INDEX(MASTER!$A:$A,MATCH(_xlpm.pos,MASTER!$H:$H,0))&amp;"_ser_0.20_"&amp;TEXT(INDEX(MASTER!$E:$E,MATCH(_xlpm.pos,MASTER!$H:$H,0)),"mmddyy"),""),_xlpm.slot,96+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17" s="4" t="str">
        <f>_xlfn.LET(_xlpm.pos,"CDI plate 20: "&amp;$A8&amp;J$2,_xlpm.normal,IFERROR(INDEX(MASTER!$A:$A,MATCH(_xlpm.pos,MASTER!$H:$H,0))&amp;"_ser_0.20_"&amp;TEXT(INDEX(MASTER!$E:$E,MATCH(_xlpm.pos,MASTER!$H:$H,0)),"mmddyy"),""),_xlpm.slot,96+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17" s="4" t="str">
        <f>_xlfn.LET(_xlpm.pos,"CDI plate 20: "&amp;$A8&amp;K$2,_xlpm.normal,IFERROR(INDEX(MASTER!$A:$A,MATCH(_xlpm.pos,MASTER!$H:$H,0))&amp;"_ser_0.20_"&amp;TEXT(INDEX(MASTER!$E:$E,MATCH(_xlpm.pos,MASTER!$H:$H,0)),"mmddyy"),""),_xlpm.slot,96+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17" s="4" t="str">
        <f>_xlfn.LET(_xlpm.pos,"CDI plate 20: "&amp;$A8&amp;L$2,_xlpm.normal,IFERROR(INDEX(MASTER!$A:$A,MATCH(_xlpm.pos,MASTER!$H:$H,0))&amp;"_ser_0.20_"&amp;TEXT(INDEX(MASTER!$E:$E,MATCH(_xlpm.pos,MASTER!$H:$H,0)),"mmddyy"),""),_xlpm.slot,96+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17" s="4" t="str">
        <f>_xlfn.LET(_xlpm.pos,"CDI plate 20: "&amp;$A8&amp;M$2,_xlpm.normal,IFERROR(INDEX(MASTER!$A:$A,MATCH(_xlpm.pos,MASTER!$H:$H,0))&amp;"_ser_0.20_"&amp;TEXT(INDEX(MASTER!$E:$E,MATCH(_xlpm.pos,MASTER!$H:$H,0)),"mmddyy"),""),_xlpm.slot,96+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18" spans="1:13" ht="22" customHeight="1" x14ac:dyDescent="0.3">
      <c r="A218" s="6" t="s">
        <v>35</v>
      </c>
      <c r="B218" s="4" t="str">
        <f>_xlfn.LET(_xlpm.pos,"CDI plate 20: "&amp;$A9&amp;B$2,_xlpm.normal,IFERROR(INDEX(MASTER!$A:$A,MATCH(_xlpm.pos,MASTER!$H:$H,0))&amp;"_ser_0.20_"&amp;TEXT(INDEX(MASTER!$E:$E,MATCH(_xlpm.pos,MASTER!$H:$H,0)),"mmddyy"),""),_xlpm.slot,96+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18" s="4" t="str">
        <f>_xlfn.LET(_xlpm.pos,"CDI plate 20: "&amp;$A9&amp;C$2,_xlpm.normal,IFERROR(INDEX(MASTER!$A:$A,MATCH(_xlpm.pos,MASTER!$H:$H,0))&amp;"_ser_0.20_"&amp;TEXT(INDEX(MASTER!$E:$E,MATCH(_xlpm.pos,MASTER!$H:$H,0)),"mmddyy"),""),_xlpm.slot,96+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18" s="4" t="str">
        <f>_xlfn.LET(_xlpm.pos,"CDI plate 20: "&amp;$A9&amp;D$2,_xlpm.normal,IFERROR(INDEX(MASTER!$A:$A,MATCH(_xlpm.pos,MASTER!$H:$H,0))&amp;"_ser_0.20_"&amp;TEXT(INDEX(MASTER!$E:$E,MATCH(_xlpm.pos,MASTER!$H:$H,0)),"mmddyy"),""),_xlpm.slot,96+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18" s="4" t="str">
        <f>_xlfn.LET(_xlpm.pos,"CDI plate 20: "&amp;$A9&amp;E$2,_xlpm.normal,IFERROR(INDEX(MASTER!$A:$A,MATCH(_xlpm.pos,MASTER!$H:$H,0))&amp;"_ser_0.20_"&amp;TEXT(INDEX(MASTER!$E:$E,MATCH(_xlpm.pos,MASTER!$H:$H,0)),"mmddyy"),""),_xlpm.slot,96+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18" s="4" t="str">
        <f>_xlfn.LET(_xlpm.pos,"CDI plate 20: "&amp;$A9&amp;F$2,_xlpm.normal,IFERROR(INDEX(MASTER!$A:$A,MATCH(_xlpm.pos,MASTER!$H:$H,0))&amp;"_ser_0.20_"&amp;TEXT(INDEX(MASTER!$E:$E,MATCH(_xlpm.pos,MASTER!$H:$H,0)),"mmddyy"),""),_xlpm.slot,96+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18" s="4" t="str">
        <f>_xlfn.LET(_xlpm.pos,"CDI plate 20: "&amp;$A9&amp;G$2,_xlpm.normal,IFERROR(INDEX(MASTER!$A:$A,MATCH(_xlpm.pos,MASTER!$H:$H,0))&amp;"_ser_0.20_"&amp;TEXT(INDEX(MASTER!$E:$E,MATCH(_xlpm.pos,MASTER!$H:$H,0)),"mmddyy"),""),_xlpm.slot,96+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18" s="4" t="str">
        <f>_xlfn.LET(_xlpm.pos,"CDI plate 20: "&amp;$A9&amp;H$2,_xlpm.normal,IFERROR(INDEX(MASTER!$A:$A,MATCH(_xlpm.pos,MASTER!$H:$H,0))&amp;"_ser_0.20_"&amp;TEXT(INDEX(MASTER!$E:$E,MATCH(_xlpm.pos,MASTER!$H:$H,0)),"mmddyy"),""),_xlpm.slot,96+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18" s="4" t="str">
        <f>_xlfn.LET(_xlpm.pos,"CDI plate 20: "&amp;$A9&amp;I$2,_xlpm.normal,IFERROR(INDEX(MASTER!$A:$A,MATCH(_xlpm.pos,MASTER!$H:$H,0))&amp;"_ser_0.20_"&amp;TEXT(INDEX(MASTER!$E:$E,MATCH(_xlpm.pos,MASTER!$H:$H,0)),"mmddyy"),""),_xlpm.slot,96+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18" s="4" t="str">
        <f>_xlfn.LET(_xlpm.pos,"CDI plate 20: "&amp;$A9&amp;J$2,_xlpm.normal,IFERROR(INDEX(MASTER!$A:$A,MATCH(_xlpm.pos,MASTER!$H:$H,0))&amp;"_ser_0.20_"&amp;TEXT(INDEX(MASTER!$E:$E,MATCH(_xlpm.pos,MASTER!$H:$H,0)),"mmddyy"),""),_xlpm.slot,96+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18" s="4" t="str">
        <f>_xlfn.LET(_xlpm.pos,"CDI plate 20: "&amp;$A9&amp;K$2,_xlpm.normal,IFERROR(INDEX(MASTER!$A:$A,MATCH(_xlpm.pos,MASTER!$H:$H,0))&amp;"_ser_0.20_"&amp;TEXT(INDEX(MASTER!$E:$E,MATCH(_xlpm.pos,MASTER!$H:$H,0)),"mmddyy"),""),_xlpm.slot,96+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18" s="4" t="str">
        <f>_xlfn.LET(_xlpm.pos,"CDI plate 20: "&amp;$A9&amp;L$2,_xlpm.normal,IFERROR(INDEX(MASTER!$A:$A,MATCH(_xlpm.pos,MASTER!$H:$H,0))&amp;"_ser_0.20_"&amp;TEXT(INDEX(MASTER!$E:$E,MATCH(_xlpm.pos,MASTER!$H:$H,0)),"mmddyy"),""),_xlpm.slot,96+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18" s="4" t="str">
        <f>_xlfn.LET(_xlpm.pos,"CDI plate 20: "&amp;$A9&amp;M$2,_xlpm.normal,IFERROR(INDEX(MASTER!$A:$A,MATCH(_xlpm.pos,MASTER!$H:$H,0))&amp;"_ser_0.20_"&amp;TEXT(INDEX(MASTER!$E:$E,MATCH(_xlpm.pos,MASTER!$H:$H,0)),"mmddyy"),""),_xlpm.slot,96+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19" spans="1:13" ht="22" customHeight="1" x14ac:dyDescent="0.3">
      <c r="A219" s="6" t="s">
        <v>36</v>
      </c>
      <c r="B219" s="4" t="str">
        <f>_xlfn.LET(_xlpm.pos,"CDI plate 20: "&amp;$A10&amp;B$2,_xlpm.normal,IFERROR(INDEX(MASTER!$A:$A,MATCH(_xlpm.pos,MASTER!$H:$H,0))&amp;"_ser_0.20_"&amp;TEXT(INDEX(MASTER!$E:$E,MATCH(_xlpm.pos,MASTER!$H:$H,0)),"mmddyy"),""),_xlpm.slot,96+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19" s="4" t="str">
        <f>_xlfn.LET(_xlpm.pos,"CDI plate 20: "&amp;$A10&amp;C$2,_xlpm.normal,IFERROR(INDEX(MASTER!$A:$A,MATCH(_xlpm.pos,MASTER!$H:$H,0))&amp;"_ser_0.20_"&amp;TEXT(INDEX(MASTER!$E:$E,MATCH(_xlpm.pos,MASTER!$H:$H,0)),"mmddyy"),""),_xlpm.slot,96+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19" s="4" t="str">
        <f>_xlfn.LET(_xlpm.pos,"CDI plate 20: "&amp;$A10&amp;D$2,_xlpm.normal,IFERROR(INDEX(MASTER!$A:$A,MATCH(_xlpm.pos,MASTER!$H:$H,0))&amp;"_ser_0.20_"&amp;TEXT(INDEX(MASTER!$E:$E,MATCH(_xlpm.pos,MASTER!$H:$H,0)),"mmddyy"),""),_xlpm.slot,96+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19" s="4" t="str">
        <f>_xlfn.LET(_xlpm.pos,"CDI plate 20: "&amp;$A10&amp;E$2,_xlpm.normal,IFERROR(INDEX(MASTER!$A:$A,MATCH(_xlpm.pos,MASTER!$H:$H,0))&amp;"_ser_0.20_"&amp;TEXT(INDEX(MASTER!$E:$E,MATCH(_xlpm.pos,MASTER!$H:$H,0)),"mmddyy"),""),_xlpm.slot,96+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19" s="4" t="str">
        <f>_xlfn.LET(_xlpm.pos,"CDI plate 20: "&amp;$A10&amp;F$2,_xlpm.normal,IFERROR(INDEX(MASTER!$A:$A,MATCH(_xlpm.pos,MASTER!$H:$H,0))&amp;"_ser_0.20_"&amp;TEXT(INDEX(MASTER!$E:$E,MATCH(_xlpm.pos,MASTER!$H:$H,0)),"mmddyy"),""),_xlpm.slot,96+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19" s="4" t="str">
        <f>_xlfn.LET(_xlpm.pos,"CDI plate 20: "&amp;$A10&amp;G$2,_xlpm.normal,IFERROR(INDEX(MASTER!$A:$A,MATCH(_xlpm.pos,MASTER!$H:$H,0))&amp;"_ser_0.20_"&amp;TEXT(INDEX(MASTER!$E:$E,MATCH(_xlpm.pos,MASTER!$H:$H,0)),"mmddyy"),""),_xlpm.slot,96+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19" s="4" t="str">
        <f>_xlfn.LET(_xlpm.pos,"CDI plate 20: "&amp;$A10&amp;H$2,_xlpm.normal,IFERROR(INDEX(MASTER!$A:$A,MATCH(_xlpm.pos,MASTER!$H:$H,0))&amp;"_ser_0.20_"&amp;TEXT(INDEX(MASTER!$E:$E,MATCH(_xlpm.pos,MASTER!$H:$H,0)),"mmddyy"),""),_xlpm.slot,96+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19" s="4" t="str">
        <f>_xlfn.LET(_xlpm.pos,"CDI plate 20: "&amp;$A10&amp;I$2,_xlpm.normal,IFERROR(INDEX(MASTER!$A:$A,MATCH(_xlpm.pos,MASTER!$H:$H,0))&amp;"_ser_0.20_"&amp;TEXT(INDEX(MASTER!$E:$E,MATCH(_xlpm.pos,MASTER!$H:$H,0)),"mmddyy"),""),_xlpm.slot,96+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19" s="4" t="str">
        <f>_xlfn.LET(_xlpm.pos,"CDI plate 20: "&amp;$A10&amp;J$2,_xlpm.normal,IFERROR(INDEX(MASTER!$A:$A,MATCH(_xlpm.pos,MASTER!$H:$H,0))&amp;"_ser_0.20_"&amp;TEXT(INDEX(MASTER!$E:$E,MATCH(_xlpm.pos,MASTER!$H:$H,0)),"mmddyy"),""),_xlpm.slot,96+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19" s="4" t="str">
        <f>_xlfn.LET(_xlpm.pos,"CDI plate 20: "&amp;$A10&amp;K$2,_xlpm.normal,IFERROR(INDEX(MASTER!$A:$A,MATCH(_xlpm.pos,MASTER!$H:$H,0))&amp;"_ser_0.20_"&amp;TEXT(INDEX(MASTER!$E:$E,MATCH(_xlpm.pos,MASTER!$H:$H,0)),"mmddyy"),""),_xlpm.slot,96+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19" s="4" t="str">
        <f>_xlfn.LET(_xlpm.pos,"CDI plate 20: "&amp;$A10&amp;L$2,_xlpm.normal,IFERROR(INDEX(MASTER!$A:$A,MATCH(_xlpm.pos,MASTER!$H:$H,0))&amp;"_ser_0.20_"&amp;TEXT(INDEX(MASTER!$E:$E,MATCH(_xlpm.pos,MASTER!$H:$H,0)),"mmddyy"),""),_xlpm.slot,96+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19" s="4" t="str">
        <f>_xlfn.LET(_xlpm.pos,"CDI plate 20: "&amp;$A10&amp;M$2,_xlpm.normal,IFERROR(INDEX(MASTER!$A:$A,MATCH(_xlpm.pos,MASTER!$H:$H,0))&amp;"_ser_0.20_"&amp;TEXT(INDEX(MASTER!$E:$E,MATCH(_xlpm.pos,MASTER!$H:$H,0)),"mmddyy"),""),_xlpm.slot,96+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20" spans="1:13" ht="22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ht="22" customHeight="1" x14ac:dyDescent="0.3">
      <c r="A221" s="3"/>
      <c r="B221" s="34" t="s">
        <v>56</v>
      </c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</row>
    <row r="222" spans="1:13" ht="22" customHeight="1" x14ac:dyDescent="0.3">
      <c r="A222" s="3"/>
      <c r="B222" s="3">
        <v>1</v>
      </c>
      <c r="C222" s="3">
        <v>2</v>
      </c>
      <c r="D222" s="3">
        <v>3</v>
      </c>
      <c r="E222" s="3">
        <v>4</v>
      </c>
      <c r="F222" s="3">
        <v>5</v>
      </c>
      <c r="G222" s="3">
        <v>6</v>
      </c>
      <c r="H222" s="3">
        <v>7</v>
      </c>
      <c r="I222" s="3">
        <v>8</v>
      </c>
      <c r="J222" s="3">
        <v>9</v>
      </c>
      <c r="K222" s="3">
        <v>10</v>
      </c>
      <c r="L222" s="3">
        <v>11</v>
      </c>
      <c r="M222" s="3">
        <v>12</v>
      </c>
    </row>
    <row r="223" spans="1:13" ht="22" customHeight="1" x14ac:dyDescent="0.3">
      <c r="A223" s="3" t="s">
        <v>30</v>
      </c>
      <c r="B223" s="3" t="str">
        <f>_xlfn.LET(_xlpm.pos,"CDI plate 21: "&amp;$A3&amp;B$2,_xlpm.normal,IFERROR(INDEX(MASTER!$A:$A,MATCH(_xlpm.pos,MASTER!$H:$H,0))&amp;"_ser_0.20_"&amp;TEXT(INDEX(MASTER!$E:$E,MATCH(_xlpm.pos,MASTER!$H:$H,0)),"mmddyy"),""),_xlpm.slot,96+(MATCH($A3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23" s="3" t="str">
        <f>_xlfn.LET(_xlpm.pos,"CDI plate 21: "&amp;$A3&amp;C$2,_xlpm.normal,IFERROR(INDEX(MASTER!$A:$A,MATCH(_xlpm.pos,MASTER!$H:$H,0))&amp;"_ser_0.20_"&amp;TEXT(INDEX(MASTER!$E:$E,MATCH(_xlpm.pos,MASTER!$H:$H,0)),"mmddyy"),""),_xlpm.slot,96+(MATCH($A3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23" s="3" t="str">
        <f>_xlfn.LET(_xlpm.pos,"CDI plate 21: "&amp;$A3&amp;D$2,_xlpm.normal,IFERROR(INDEX(MASTER!$A:$A,MATCH(_xlpm.pos,MASTER!$H:$H,0))&amp;"_ser_0.20_"&amp;TEXT(INDEX(MASTER!$E:$E,MATCH(_xlpm.pos,MASTER!$H:$H,0)),"mmddyy"),""),_xlpm.slot,96+(MATCH($A3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23" s="3" t="str">
        <f>_xlfn.LET(_xlpm.pos,"CDI plate 21: "&amp;$A3&amp;E$2,_xlpm.normal,IFERROR(INDEX(MASTER!$A:$A,MATCH(_xlpm.pos,MASTER!$H:$H,0))&amp;"_ser_0.20_"&amp;TEXT(INDEX(MASTER!$E:$E,MATCH(_xlpm.pos,MASTER!$H:$H,0)),"mmddyy"),""),_xlpm.slot,96+(MATCH($A3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23" s="3" t="str">
        <f>_xlfn.LET(_xlpm.pos,"CDI plate 21: "&amp;$A3&amp;F$2,_xlpm.normal,IFERROR(INDEX(MASTER!$A:$A,MATCH(_xlpm.pos,MASTER!$H:$H,0))&amp;"_ser_0.20_"&amp;TEXT(INDEX(MASTER!$E:$E,MATCH(_xlpm.pos,MASTER!$H:$H,0)),"mmddyy"),""),_xlpm.slot,96+(MATCH($A3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23" s="3" t="str">
        <f>_xlfn.LET(_xlpm.pos,"CDI plate 21: "&amp;$A3&amp;G$2,_xlpm.normal,IFERROR(INDEX(MASTER!$A:$A,MATCH(_xlpm.pos,MASTER!$H:$H,0))&amp;"_ser_0.20_"&amp;TEXT(INDEX(MASTER!$E:$E,MATCH(_xlpm.pos,MASTER!$H:$H,0)),"mmddyy"),""),_xlpm.slot,96+(MATCH($A3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23" s="3" t="str">
        <f>_xlfn.LET(_xlpm.pos,"CDI plate 21: "&amp;$A3&amp;H$2,_xlpm.normal,IFERROR(INDEX(MASTER!$A:$A,MATCH(_xlpm.pos,MASTER!$H:$H,0))&amp;"_ser_0.20_"&amp;TEXT(INDEX(MASTER!$E:$E,MATCH(_xlpm.pos,MASTER!$H:$H,0)),"mmddyy"),""),_xlpm.slot,96+(MATCH($A3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23" s="3" t="str">
        <f>_xlfn.LET(_xlpm.pos,"CDI plate 21: "&amp;$A3&amp;I$2,_xlpm.normal,IFERROR(INDEX(MASTER!$A:$A,MATCH(_xlpm.pos,MASTER!$H:$H,0))&amp;"_ser_0.20_"&amp;TEXT(INDEX(MASTER!$E:$E,MATCH(_xlpm.pos,MASTER!$H:$H,0)),"mmddyy"),""),_xlpm.slot,96+(MATCH($A3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23" s="3" t="str">
        <f>_xlfn.LET(_xlpm.pos,"CDI plate 21: "&amp;$A3&amp;J$2,_xlpm.normal,IFERROR(INDEX(MASTER!$A:$A,MATCH(_xlpm.pos,MASTER!$H:$H,0))&amp;"_ser_0.20_"&amp;TEXT(INDEX(MASTER!$E:$E,MATCH(_xlpm.pos,MASTER!$H:$H,0)),"mmddyy"),""),_xlpm.slot,96+(MATCH($A3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23" s="3" t="str">
        <f>_xlfn.LET(_xlpm.pos,"CDI plate 21: "&amp;$A3&amp;K$2,_xlpm.normal,IFERROR(INDEX(MASTER!$A:$A,MATCH(_xlpm.pos,MASTER!$H:$H,0))&amp;"_ser_0.20_"&amp;TEXT(INDEX(MASTER!$E:$E,MATCH(_xlpm.pos,MASTER!$H:$H,0)),"mmddyy"),""),_xlpm.slot,96+(MATCH($A3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23" s="3" t="str">
        <f>_xlfn.LET(_xlpm.pos,"CDI plate 21: "&amp;$A3&amp;L$2,_xlpm.normal,IFERROR(INDEX(MASTER!$A:$A,MATCH(_xlpm.pos,MASTER!$H:$H,0))&amp;"_ser_0.20_"&amp;TEXT(INDEX(MASTER!$E:$E,MATCH(_xlpm.pos,MASTER!$H:$H,0)),"mmddyy"),""),_xlpm.slot,96+(MATCH($A3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23" s="3" t="str">
        <f>_xlfn.LET(_xlpm.pos,"CDI plate 21: "&amp;$A3&amp;M$2,_xlpm.normal,IFERROR(INDEX(MASTER!$A:$A,MATCH(_xlpm.pos,MASTER!$H:$H,0))&amp;"_ser_0.20_"&amp;TEXT(INDEX(MASTER!$E:$E,MATCH(_xlpm.pos,MASTER!$H:$H,0)),"mmddyy"),""),_xlpm.slot,96+(MATCH($A3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24" spans="1:13" ht="22" customHeight="1" x14ac:dyDescent="0.3">
      <c r="A224" s="3" t="s">
        <v>31</v>
      </c>
      <c r="B224" s="3" t="str">
        <f>_xlfn.LET(_xlpm.pos,"CDI plate 21: "&amp;$A4&amp;B$2,_xlpm.normal,IFERROR(INDEX(MASTER!$A:$A,MATCH(_xlpm.pos,MASTER!$H:$H,0))&amp;"_ser_0.20_"&amp;TEXT(INDEX(MASTER!$E:$E,MATCH(_xlpm.pos,MASTER!$H:$H,0)),"mmddyy"),""),_xlpm.slot,96+(MATCH($A4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24" s="3" t="str">
        <f>_xlfn.LET(_xlpm.pos,"CDI plate 21: "&amp;$A4&amp;C$2,_xlpm.normal,IFERROR(INDEX(MASTER!$A:$A,MATCH(_xlpm.pos,MASTER!$H:$H,0))&amp;"_ser_0.20_"&amp;TEXT(INDEX(MASTER!$E:$E,MATCH(_xlpm.pos,MASTER!$H:$H,0)),"mmddyy"),""),_xlpm.slot,96+(MATCH($A4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24" s="3" t="str">
        <f>_xlfn.LET(_xlpm.pos,"CDI plate 21: "&amp;$A4&amp;D$2,_xlpm.normal,IFERROR(INDEX(MASTER!$A:$A,MATCH(_xlpm.pos,MASTER!$H:$H,0))&amp;"_ser_0.20_"&amp;TEXT(INDEX(MASTER!$E:$E,MATCH(_xlpm.pos,MASTER!$H:$H,0)),"mmddyy"),""),_xlpm.slot,96+(MATCH($A4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24" s="3" t="str">
        <f>_xlfn.LET(_xlpm.pos,"CDI plate 21: "&amp;$A4&amp;E$2,_xlpm.normal,IFERROR(INDEX(MASTER!$A:$A,MATCH(_xlpm.pos,MASTER!$H:$H,0))&amp;"_ser_0.20_"&amp;TEXT(INDEX(MASTER!$E:$E,MATCH(_xlpm.pos,MASTER!$H:$H,0)),"mmddyy"),""),_xlpm.slot,96+(MATCH($A4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24" s="3" t="str">
        <f>_xlfn.LET(_xlpm.pos,"CDI plate 21: "&amp;$A4&amp;F$2,_xlpm.normal,IFERROR(INDEX(MASTER!$A:$A,MATCH(_xlpm.pos,MASTER!$H:$H,0))&amp;"_ser_0.20_"&amp;TEXT(INDEX(MASTER!$E:$E,MATCH(_xlpm.pos,MASTER!$H:$H,0)),"mmddyy"),""),_xlpm.slot,96+(MATCH($A4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24" s="3" t="str">
        <f>_xlfn.LET(_xlpm.pos,"CDI plate 21: "&amp;$A4&amp;G$2,_xlpm.normal,IFERROR(INDEX(MASTER!$A:$A,MATCH(_xlpm.pos,MASTER!$H:$H,0))&amp;"_ser_0.20_"&amp;TEXT(INDEX(MASTER!$E:$E,MATCH(_xlpm.pos,MASTER!$H:$H,0)),"mmddyy"),""),_xlpm.slot,96+(MATCH($A4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24" s="3" t="str">
        <f>_xlfn.LET(_xlpm.pos,"CDI plate 21: "&amp;$A4&amp;H$2,_xlpm.normal,IFERROR(INDEX(MASTER!$A:$A,MATCH(_xlpm.pos,MASTER!$H:$H,0))&amp;"_ser_0.20_"&amp;TEXT(INDEX(MASTER!$E:$E,MATCH(_xlpm.pos,MASTER!$H:$H,0)),"mmddyy"),""),_xlpm.slot,96+(MATCH($A4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24" s="3" t="str">
        <f>_xlfn.LET(_xlpm.pos,"CDI plate 21: "&amp;$A4&amp;I$2,_xlpm.normal,IFERROR(INDEX(MASTER!$A:$A,MATCH(_xlpm.pos,MASTER!$H:$H,0))&amp;"_ser_0.20_"&amp;TEXT(INDEX(MASTER!$E:$E,MATCH(_xlpm.pos,MASTER!$H:$H,0)),"mmddyy"),""),_xlpm.slot,96+(MATCH($A4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24" s="3" t="str">
        <f>_xlfn.LET(_xlpm.pos,"CDI plate 21: "&amp;$A4&amp;J$2,_xlpm.normal,IFERROR(INDEX(MASTER!$A:$A,MATCH(_xlpm.pos,MASTER!$H:$H,0))&amp;"_ser_0.20_"&amp;TEXT(INDEX(MASTER!$E:$E,MATCH(_xlpm.pos,MASTER!$H:$H,0)),"mmddyy"),""),_xlpm.slot,96+(MATCH($A4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24" s="3" t="str">
        <f>_xlfn.LET(_xlpm.pos,"CDI plate 21: "&amp;$A4&amp;K$2,_xlpm.normal,IFERROR(INDEX(MASTER!$A:$A,MATCH(_xlpm.pos,MASTER!$H:$H,0))&amp;"_ser_0.20_"&amp;TEXT(INDEX(MASTER!$E:$E,MATCH(_xlpm.pos,MASTER!$H:$H,0)),"mmddyy"),""),_xlpm.slot,96+(MATCH($A4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24" s="3" t="str">
        <f>_xlfn.LET(_xlpm.pos,"CDI plate 21: "&amp;$A4&amp;L$2,_xlpm.normal,IFERROR(INDEX(MASTER!$A:$A,MATCH(_xlpm.pos,MASTER!$H:$H,0))&amp;"_ser_0.20_"&amp;TEXT(INDEX(MASTER!$E:$E,MATCH(_xlpm.pos,MASTER!$H:$H,0)),"mmddyy"),""),_xlpm.slot,96+(MATCH($A4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24" s="3" t="str">
        <f>_xlfn.LET(_xlpm.pos,"CDI plate 21: "&amp;$A4&amp;M$2,_xlpm.normal,IFERROR(INDEX(MASTER!$A:$A,MATCH(_xlpm.pos,MASTER!$H:$H,0))&amp;"_ser_0.20_"&amp;TEXT(INDEX(MASTER!$E:$E,MATCH(_xlpm.pos,MASTER!$H:$H,0)),"mmddyy"),""),_xlpm.slot,96+(MATCH($A4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25" spans="1:13" ht="22" customHeight="1" x14ac:dyDescent="0.3">
      <c r="A225" s="3" t="s">
        <v>32</v>
      </c>
      <c r="B225" s="3" t="str">
        <f>_xlfn.LET(_xlpm.pos,"CDI plate 21: "&amp;$A5&amp;B$2,_xlpm.normal,IFERROR(INDEX(MASTER!$A:$A,MATCH(_xlpm.pos,MASTER!$H:$H,0))&amp;"_ser_0.20_"&amp;TEXT(INDEX(MASTER!$E:$E,MATCH(_xlpm.pos,MASTER!$H:$H,0)),"mmddyy"),""),_xlpm.slot,96+(MATCH($A5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25" s="3" t="str">
        <f>_xlfn.LET(_xlpm.pos,"CDI plate 21: "&amp;$A5&amp;C$2,_xlpm.normal,IFERROR(INDEX(MASTER!$A:$A,MATCH(_xlpm.pos,MASTER!$H:$H,0))&amp;"_ser_0.20_"&amp;TEXT(INDEX(MASTER!$E:$E,MATCH(_xlpm.pos,MASTER!$H:$H,0)),"mmddyy"),""),_xlpm.slot,96+(MATCH($A5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25" s="3" t="str">
        <f>_xlfn.LET(_xlpm.pos,"CDI plate 21: "&amp;$A5&amp;D$2,_xlpm.normal,IFERROR(INDEX(MASTER!$A:$A,MATCH(_xlpm.pos,MASTER!$H:$H,0))&amp;"_ser_0.20_"&amp;TEXT(INDEX(MASTER!$E:$E,MATCH(_xlpm.pos,MASTER!$H:$H,0)),"mmddyy"),""),_xlpm.slot,96+(MATCH($A5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25" s="3" t="str">
        <f>_xlfn.LET(_xlpm.pos,"CDI plate 21: "&amp;$A5&amp;E$2,_xlpm.normal,IFERROR(INDEX(MASTER!$A:$A,MATCH(_xlpm.pos,MASTER!$H:$H,0))&amp;"_ser_0.20_"&amp;TEXT(INDEX(MASTER!$E:$E,MATCH(_xlpm.pos,MASTER!$H:$H,0)),"mmddyy"),""),_xlpm.slot,96+(MATCH($A5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25" s="3" t="str">
        <f>_xlfn.LET(_xlpm.pos,"CDI plate 21: "&amp;$A5&amp;F$2,_xlpm.normal,IFERROR(INDEX(MASTER!$A:$A,MATCH(_xlpm.pos,MASTER!$H:$H,0))&amp;"_ser_0.20_"&amp;TEXT(INDEX(MASTER!$E:$E,MATCH(_xlpm.pos,MASTER!$H:$H,0)),"mmddyy"),""),_xlpm.slot,96+(MATCH($A5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25" s="3" t="str">
        <f>_xlfn.LET(_xlpm.pos,"CDI plate 21: "&amp;$A5&amp;G$2,_xlpm.normal,IFERROR(INDEX(MASTER!$A:$A,MATCH(_xlpm.pos,MASTER!$H:$H,0))&amp;"_ser_0.20_"&amp;TEXT(INDEX(MASTER!$E:$E,MATCH(_xlpm.pos,MASTER!$H:$H,0)),"mmddyy"),""),_xlpm.slot,96+(MATCH($A5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25" s="3" t="str">
        <f>_xlfn.LET(_xlpm.pos,"CDI plate 21: "&amp;$A5&amp;H$2,_xlpm.normal,IFERROR(INDEX(MASTER!$A:$A,MATCH(_xlpm.pos,MASTER!$H:$H,0))&amp;"_ser_0.20_"&amp;TEXT(INDEX(MASTER!$E:$E,MATCH(_xlpm.pos,MASTER!$H:$H,0)),"mmddyy"),""),_xlpm.slot,96+(MATCH($A5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25" s="3" t="str">
        <f>_xlfn.LET(_xlpm.pos,"CDI plate 21: "&amp;$A5&amp;I$2,_xlpm.normal,IFERROR(INDEX(MASTER!$A:$A,MATCH(_xlpm.pos,MASTER!$H:$H,0))&amp;"_ser_0.20_"&amp;TEXT(INDEX(MASTER!$E:$E,MATCH(_xlpm.pos,MASTER!$H:$H,0)),"mmddyy"),""),_xlpm.slot,96+(MATCH($A5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25" s="3" t="str">
        <f>_xlfn.LET(_xlpm.pos,"CDI plate 21: "&amp;$A5&amp;J$2,_xlpm.normal,IFERROR(INDEX(MASTER!$A:$A,MATCH(_xlpm.pos,MASTER!$H:$H,0))&amp;"_ser_0.20_"&amp;TEXT(INDEX(MASTER!$E:$E,MATCH(_xlpm.pos,MASTER!$H:$H,0)),"mmddyy"),""),_xlpm.slot,96+(MATCH($A5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25" s="3" t="str">
        <f>_xlfn.LET(_xlpm.pos,"CDI plate 21: "&amp;$A5&amp;K$2,_xlpm.normal,IFERROR(INDEX(MASTER!$A:$A,MATCH(_xlpm.pos,MASTER!$H:$H,0))&amp;"_ser_0.20_"&amp;TEXT(INDEX(MASTER!$E:$E,MATCH(_xlpm.pos,MASTER!$H:$H,0)),"mmddyy"),""),_xlpm.slot,96+(MATCH($A5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25" s="3" t="str">
        <f>_xlfn.LET(_xlpm.pos,"CDI plate 21: "&amp;$A5&amp;L$2,_xlpm.normal,IFERROR(INDEX(MASTER!$A:$A,MATCH(_xlpm.pos,MASTER!$H:$H,0))&amp;"_ser_0.20_"&amp;TEXT(INDEX(MASTER!$E:$E,MATCH(_xlpm.pos,MASTER!$H:$H,0)),"mmddyy"),""),_xlpm.slot,96+(MATCH($A5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25" s="3" t="str">
        <f>_xlfn.LET(_xlpm.pos,"CDI plate 21: "&amp;$A5&amp;M$2,_xlpm.normal,IFERROR(INDEX(MASTER!$A:$A,MATCH(_xlpm.pos,MASTER!$H:$H,0))&amp;"_ser_0.20_"&amp;TEXT(INDEX(MASTER!$E:$E,MATCH(_xlpm.pos,MASTER!$H:$H,0)),"mmddyy"),""),_xlpm.slot,96+(MATCH($A5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26" spans="1:13" ht="22" customHeight="1" x14ac:dyDescent="0.3">
      <c r="A226" s="3" t="s">
        <v>33</v>
      </c>
      <c r="B226" s="3" t="str">
        <f>_xlfn.LET(_xlpm.pos,"CDI plate 21: "&amp;$A6&amp;B$2,_xlpm.normal,IFERROR(INDEX(MASTER!$A:$A,MATCH(_xlpm.pos,MASTER!$H:$H,0))&amp;"_ser_0.20_"&amp;TEXT(INDEX(MASTER!$E:$E,MATCH(_xlpm.pos,MASTER!$H:$H,0)),"mmddyy"),""),_xlpm.slot,96+(MATCH($A6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26" s="3" t="str">
        <f>_xlfn.LET(_xlpm.pos,"CDI plate 21: "&amp;$A6&amp;C$2,_xlpm.normal,IFERROR(INDEX(MASTER!$A:$A,MATCH(_xlpm.pos,MASTER!$H:$H,0))&amp;"_ser_0.20_"&amp;TEXT(INDEX(MASTER!$E:$E,MATCH(_xlpm.pos,MASTER!$H:$H,0)),"mmddyy"),""),_xlpm.slot,96+(MATCH($A6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26" s="3" t="str">
        <f>_xlfn.LET(_xlpm.pos,"CDI plate 21: "&amp;$A6&amp;D$2,_xlpm.normal,IFERROR(INDEX(MASTER!$A:$A,MATCH(_xlpm.pos,MASTER!$H:$H,0))&amp;"_ser_0.20_"&amp;TEXT(INDEX(MASTER!$E:$E,MATCH(_xlpm.pos,MASTER!$H:$H,0)),"mmddyy"),""),_xlpm.slot,96+(MATCH($A6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26" s="3" t="str">
        <f>_xlfn.LET(_xlpm.pos,"CDI plate 21: "&amp;$A6&amp;E$2,_xlpm.normal,IFERROR(INDEX(MASTER!$A:$A,MATCH(_xlpm.pos,MASTER!$H:$H,0))&amp;"_ser_0.20_"&amp;TEXT(INDEX(MASTER!$E:$E,MATCH(_xlpm.pos,MASTER!$H:$H,0)),"mmddyy"),""),_xlpm.slot,96+(MATCH($A6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26" s="3" t="str">
        <f>_xlfn.LET(_xlpm.pos,"CDI plate 21: "&amp;$A6&amp;F$2,_xlpm.normal,IFERROR(INDEX(MASTER!$A:$A,MATCH(_xlpm.pos,MASTER!$H:$H,0))&amp;"_ser_0.20_"&amp;TEXT(INDEX(MASTER!$E:$E,MATCH(_xlpm.pos,MASTER!$H:$H,0)),"mmddyy"),""),_xlpm.slot,96+(MATCH($A6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26" s="3" t="str">
        <f>_xlfn.LET(_xlpm.pos,"CDI plate 21: "&amp;$A6&amp;G$2,_xlpm.normal,IFERROR(INDEX(MASTER!$A:$A,MATCH(_xlpm.pos,MASTER!$H:$H,0))&amp;"_ser_0.20_"&amp;TEXT(INDEX(MASTER!$E:$E,MATCH(_xlpm.pos,MASTER!$H:$H,0)),"mmddyy"),""),_xlpm.slot,96+(MATCH($A6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26" s="3" t="str">
        <f>_xlfn.LET(_xlpm.pos,"CDI plate 21: "&amp;$A6&amp;H$2,_xlpm.normal,IFERROR(INDEX(MASTER!$A:$A,MATCH(_xlpm.pos,MASTER!$H:$H,0))&amp;"_ser_0.20_"&amp;TEXT(INDEX(MASTER!$E:$E,MATCH(_xlpm.pos,MASTER!$H:$H,0)),"mmddyy"),""),_xlpm.slot,96+(MATCH($A6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26" s="3" t="str">
        <f>_xlfn.LET(_xlpm.pos,"CDI plate 21: "&amp;$A6&amp;I$2,_xlpm.normal,IFERROR(INDEX(MASTER!$A:$A,MATCH(_xlpm.pos,MASTER!$H:$H,0))&amp;"_ser_0.20_"&amp;TEXT(INDEX(MASTER!$E:$E,MATCH(_xlpm.pos,MASTER!$H:$H,0)),"mmddyy"),""),_xlpm.slot,96+(MATCH($A6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26" s="3" t="str">
        <f>_xlfn.LET(_xlpm.pos,"CDI plate 21: "&amp;$A6&amp;J$2,_xlpm.normal,IFERROR(INDEX(MASTER!$A:$A,MATCH(_xlpm.pos,MASTER!$H:$H,0))&amp;"_ser_0.20_"&amp;TEXT(INDEX(MASTER!$E:$E,MATCH(_xlpm.pos,MASTER!$H:$H,0)),"mmddyy"),""),_xlpm.slot,96+(MATCH($A6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26" s="3" t="str">
        <f>_xlfn.LET(_xlpm.pos,"CDI plate 21: "&amp;$A6&amp;K$2,_xlpm.normal,IFERROR(INDEX(MASTER!$A:$A,MATCH(_xlpm.pos,MASTER!$H:$H,0))&amp;"_ser_0.20_"&amp;TEXT(INDEX(MASTER!$E:$E,MATCH(_xlpm.pos,MASTER!$H:$H,0)),"mmddyy"),""),_xlpm.slot,96+(MATCH($A6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26" s="3" t="str">
        <f>_xlfn.LET(_xlpm.pos,"CDI plate 21: "&amp;$A6&amp;L$2,_xlpm.normal,IFERROR(INDEX(MASTER!$A:$A,MATCH(_xlpm.pos,MASTER!$H:$H,0))&amp;"_ser_0.20_"&amp;TEXT(INDEX(MASTER!$E:$E,MATCH(_xlpm.pos,MASTER!$H:$H,0)),"mmddyy"),""),_xlpm.slot,96+(MATCH($A6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26" s="3" t="str">
        <f>_xlfn.LET(_xlpm.pos,"CDI plate 21: "&amp;$A6&amp;M$2,_xlpm.normal,IFERROR(INDEX(MASTER!$A:$A,MATCH(_xlpm.pos,MASTER!$H:$H,0))&amp;"_ser_0.20_"&amp;TEXT(INDEX(MASTER!$E:$E,MATCH(_xlpm.pos,MASTER!$H:$H,0)),"mmddyy"),""),_xlpm.slot,96+(MATCH($A6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27" spans="1:13" ht="22" customHeight="1" x14ac:dyDescent="0.3">
      <c r="A227" s="3" t="s">
        <v>34</v>
      </c>
      <c r="B227" s="3" t="str">
        <f>_xlfn.LET(_xlpm.pos,"CDI plate 21: "&amp;$A7&amp;B$2,_xlpm.normal,IFERROR(INDEX(MASTER!$A:$A,MATCH(_xlpm.pos,MASTER!$H:$H,0))&amp;"_ser_0.20_"&amp;TEXT(INDEX(MASTER!$E:$E,MATCH(_xlpm.pos,MASTER!$H:$H,0)),"mmddyy"),""),_xlpm.slot,96+(MATCH($A7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27" s="3" t="str">
        <f>_xlfn.LET(_xlpm.pos,"CDI plate 21: "&amp;$A7&amp;C$2,_xlpm.normal,IFERROR(INDEX(MASTER!$A:$A,MATCH(_xlpm.pos,MASTER!$H:$H,0))&amp;"_ser_0.20_"&amp;TEXT(INDEX(MASTER!$E:$E,MATCH(_xlpm.pos,MASTER!$H:$H,0)),"mmddyy"),""),_xlpm.slot,96+(MATCH($A7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27" s="3" t="str">
        <f>_xlfn.LET(_xlpm.pos,"CDI plate 21: "&amp;$A7&amp;D$2,_xlpm.normal,IFERROR(INDEX(MASTER!$A:$A,MATCH(_xlpm.pos,MASTER!$H:$H,0))&amp;"_ser_0.20_"&amp;TEXT(INDEX(MASTER!$E:$E,MATCH(_xlpm.pos,MASTER!$H:$H,0)),"mmddyy"),""),_xlpm.slot,96+(MATCH($A7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27" s="3" t="str">
        <f>_xlfn.LET(_xlpm.pos,"CDI plate 21: "&amp;$A7&amp;E$2,_xlpm.normal,IFERROR(INDEX(MASTER!$A:$A,MATCH(_xlpm.pos,MASTER!$H:$H,0))&amp;"_ser_0.20_"&amp;TEXT(INDEX(MASTER!$E:$E,MATCH(_xlpm.pos,MASTER!$H:$H,0)),"mmddyy"),""),_xlpm.slot,96+(MATCH($A7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27" s="3" t="str">
        <f>_xlfn.LET(_xlpm.pos,"CDI plate 21: "&amp;$A7&amp;F$2,_xlpm.normal,IFERROR(INDEX(MASTER!$A:$A,MATCH(_xlpm.pos,MASTER!$H:$H,0))&amp;"_ser_0.20_"&amp;TEXT(INDEX(MASTER!$E:$E,MATCH(_xlpm.pos,MASTER!$H:$H,0)),"mmddyy"),""),_xlpm.slot,96+(MATCH($A7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27" s="3" t="str">
        <f>_xlfn.LET(_xlpm.pos,"CDI plate 21: "&amp;$A7&amp;G$2,_xlpm.normal,IFERROR(INDEX(MASTER!$A:$A,MATCH(_xlpm.pos,MASTER!$H:$H,0))&amp;"_ser_0.20_"&amp;TEXT(INDEX(MASTER!$E:$E,MATCH(_xlpm.pos,MASTER!$H:$H,0)),"mmddyy"),""),_xlpm.slot,96+(MATCH($A7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27" s="3" t="str">
        <f>_xlfn.LET(_xlpm.pos,"CDI plate 21: "&amp;$A7&amp;H$2,_xlpm.normal,IFERROR(INDEX(MASTER!$A:$A,MATCH(_xlpm.pos,MASTER!$H:$H,0))&amp;"_ser_0.20_"&amp;TEXT(INDEX(MASTER!$E:$E,MATCH(_xlpm.pos,MASTER!$H:$H,0)),"mmddyy"),""),_xlpm.slot,96+(MATCH($A7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27" s="3" t="str">
        <f>_xlfn.LET(_xlpm.pos,"CDI plate 21: "&amp;$A7&amp;I$2,_xlpm.normal,IFERROR(INDEX(MASTER!$A:$A,MATCH(_xlpm.pos,MASTER!$H:$H,0))&amp;"_ser_0.20_"&amp;TEXT(INDEX(MASTER!$E:$E,MATCH(_xlpm.pos,MASTER!$H:$H,0)),"mmddyy"),""),_xlpm.slot,96+(MATCH($A7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27" s="3" t="str">
        <f>_xlfn.LET(_xlpm.pos,"CDI plate 21: "&amp;$A7&amp;J$2,_xlpm.normal,IFERROR(INDEX(MASTER!$A:$A,MATCH(_xlpm.pos,MASTER!$H:$H,0))&amp;"_ser_0.20_"&amp;TEXT(INDEX(MASTER!$E:$E,MATCH(_xlpm.pos,MASTER!$H:$H,0)),"mmddyy"),""),_xlpm.slot,96+(MATCH($A7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27" s="3" t="str">
        <f>_xlfn.LET(_xlpm.pos,"CDI plate 21: "&amp;$A7&amp;K$2,_xlpm.normal,IFERROR(INDEX(MASTER!$A:$A,MATCH(_xlpm.pos,MASTER!$H:$H,0))&amp;"_ser_0.20_"&amp;TEXT(INDEX(MASTER!$E:$E,MATCH(_xlpm.pos,MASTER!$H:$H,0)),"mmddyy"),""),_xlpm.slot,96+(MATCH($A7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27" s="3" t="str">
        <f>_xlfn.LET(_xlpm.pos,"CDI plate 21: "&amp;$A7&amp;L$2,_xlpm.normal,IFERROR(INDEX(MASTER!$A:$A,MATCH(_xlpm.pos,MASTER!$H:$H,0))&amp;"_ser_0.20_"&amp;TEXT(INDEX(MASTER!$E:$E,MATCH(_xlpm.pos,MASTER!$H:$H,0)),"mmddyy"),""),_xlpm.slot,96+(MATCH($A7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27" s="3" t="str">
        <f>_xlfn.LET(_xlpm.pos,"CDI plate 21: "&amp;$A7&amp;M$2,_xlpm.normal,IFERROR(INDEX(MASTER!$A:$A,MATCH(_xlpm.pos,MASTER!$H:$H,0))&amp;"_ser_0.20_"&amp;TEXT(INDEX(MASTER!$E:$E,MATCH(_xlpm.pos,MASTER!$H:$H,0)),"mmddyy"),""),_xlpm.slot,96+(MATCH($A7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28" spans="1:13" ht="22" customHeight="1" x14ac:dyDescent="0.3">
      <c r="A228" s="3" t="s">
        <v>15</v>
      </c>
      <c r="B228" s="3" t="str">
        <f>_xlfn.LET(_xlpm.pos,"CDI plate 21: "&amp;$A8&amp;B$2,_xlpm.normal,IFERROR(INDEX(MASTER!$A:$A,MATCH(_xlpm.pos,MASTER!$H:$H,0))&amp;"_ser_0.20_"&amp;TEXT(INDEX(MASTER!$E:$E,MATCH(_xlpm.pos,MASTER!$H:$H,0)),"mmddyy"),""),_xlpm.slot,96+(MATCH($A8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28" s="3" t="str">
        <f>_xlfn.LET(_xlpm.pos,"CDI plate 21: "&amp;$A8&amp;C$2,_xlpm.normal,IFERROR(INDEX(MASTER!$A:$A,MATCH(_xlpm.pos,MASTER!$H:$H,0))&amp;"_ser_0.20_"&amp;TEXT(INDEX(MASTER!$E:$E,MATCH(_xlpm.pos,MASTER!$H:$H,0)),"mmddyy"),""),_xlpm.slot,96+(MATCH($A8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28" s="3" t="str">
        <f>_xlfn.LET(_xlpm.pos,"CDI plate 21: "&amp;$A8&amp;D$2,_xlpm.normal,IFERROR(INDEX(MASTER!$A:$A,MATCH(_xlpm.pos,MASTER!$H:$H,0))&amp;"_ser_0.20_"&amp;TEXT(INDEX(MASTER!$E:$E,MATCH(_xlpm.pos,MASTER!$H:$H,0)),"mmddyy"),""),_xlpm.slot,96+(MATCH($A8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28" s="3" t="str">
        <f>_xlfn.LET(_xlpm.pos,"CDI plate 21: "&amp;$A8&amp;E$2,_xlpm.normal,IFERROR(INDEX(MASTER!$A:$A,MATCH(_xlpm.pos,MASTER!$H:$H,0))&amp;"_ser_0.20_"&amp;TEXT(INDEX(MASTER!$E:$E,MATCH(_xlpm.pos,MASTER!$H:$H,0)),"mmddyy"),""),_xlpm.slot,96+(MATCH($A8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28" s="3" t="str">
        <f>_xlfn.LET(_xlpm.pos,"CDI plate 21: "&amp;$A8&amp;F$2,_xlpm.normal,IFERROR(INDEX(MASTER!$A:$A,MATCH(_xlpm.pos,MASTER!$H:$H,0))&amp;"_ser_0.20_"&amp;TEXT(INDEX(MASTER!$E:$E,MATCH(_xlpm.pos,MASTER!$H:$H,0)),"mmddyy"),""),_xlpm.slot,96+(MATCH($A8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28" s="3" t="str">
        <f>_xlfn.LET(_xlpm.pos,"CDI plate 21: "&amp;$A8&amp;G$2,_xlpm.normal,IFERROR(INDEX(MASTER!$A:$A,MATCH(_xlpm.pos,MASTER!$H:$H,0))&amp;"_ser_0.20_"&amp;TEXT(INDEX(MASTER!$E:$E,MATCH(_xlpm.pos,MASTER!$H:$H,0)),"mmddyy"),""),_xlpm.slot,96+(MATCH($A8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28" s="3" t="str">
        <f>_xlfn.LET(_xlpm.pos,"CDI plate 21: "&amp;$A8&amp;H$2,_xlpm.normal,IFERROR(INDEX(MASTER!$A:$A,MATCH(_xlpm.pos,MASTER!$H:$H,0))&amp;"_ser_0.20_"&amp;TEXT(INDEX(MASTER!$E:$E,MATCH(_xlpm.pos,MASTER!$H:$H,0)),"mmddyy"),""),_xlpm.slot,96+(MATCH($A8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28" s="3" t="str">
        <f>_xlfn.LET(_xlpm.pos,"CDI plate 21: "&amp;$A8&amp;I$2,_xlpm.normal,IFERROR(INDEX(MASTER!$A:$A,MATCH(_xlpm.pos,MASTER!$H:$H,0))&amp;"_ser_0.20_"&amp;TEXT(INDEX(MASTER!$E:$E,MATCH(_xlpm.pos,MASTER!$H:$H,0)),"mmddyy"),""),_xlpm.slot,96+(MATCH($A8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28" s="3" t="str">
        <f>_xlfn.LET(_xlpm.pos,"CDI plate 21: "&amp;$A8&amp;J$2,_xlpm.normal,IFERROR(INDEX(MASTER!$A:$A,MATCH(_xlpm.pos,MASTER!$H:$H,0))&amp;"_ser_0.20_"&amp;TEXT(INDEX(MASTER!$E:$E,MATCH(_xlpm.pos,MASTER!$H:$H,0)),"mmddyy"),""),_xlpm.slot,96+(MATCH($A8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28" s="3" t="str">
        <f>_xlfn.LET(_xlpm.pos,"CDI plate 21: "&amp;$A8&amp;K$2,_xlpm.normal,IFERROR(INDEX(MASTER!$A:$A,MATCH(_xlpm.pos,MASTER!$H:$H,0))&amp;"_ser_0.20_"&amp;TEXT(INDEX(MASTER!$E:$E,MATCH(_xlpm.pos,MASTER!$H:$H,0)),"mmddyy"),""),_xlpm.slot,96+(MATCH($A8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28" s="3" t="str">
        <f>_xlfn.LET(_xlpm.pos,"CDI plate 21: "&amp;$A8&amp;L$2,_xlpm.normal,IFERROR(INDEX(MASTER!$A:$A,MATCH(_xlpm.pos,MASTER!$H:$H,0))&amp;"_ser_0.20_"&amp;TEXT(INDEX(MASTER!$E:$E,MATCH(_xlpm.pos,MASTER!$H:$H,0)),"mmddyy"),""),_xlpm.slot,96+(MATCH($A8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28" s="3" t="str">
        <f>_xlfn.LET(_xlpm.pos,"CDI plate 21: "&amp;$A8&amp;M$2,_xlpm.normal,IFERROR(INDEX(MASTER!$A:$A,MATCH(_xlpm.pos,MASTER!$H:$H,0))&amp;"_ser_0.20_"&amp;TEXT(INDEX(MASTER!$E:$E,MATCH(_xlpm.pos,MASTER!$H:$H,0)),"mmddyy"),""),_xlpm.slot,96+(MATCH($A8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29" spans="1:13" ht="22" customHeight="1" x14ac:dyDescent="0.3">
      <c r="A229" s="3" t="s">
        <v>35</v>
      </c>
      <c r="B229" s="3" t="str">
        <f>_xlfn.LET(_xlpm.pos,"CDI plate 21: "&amp;$A9&amp;B$2,_xlpm.normal,IFERROR(INDEX(MASTER!$A:$A,MATCH(_xlpm.pos,MASTER!$H:$H,0))&amp;"_ser_0.20_"&amp;TEXT(INDEX(MASTER!$E:$E,MATCH(_xlpm.pos,MASTER!$H:$H,0)),"mmddyy"),""),_xlpm.slot,96+(MATCH($A9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29" s="3" t="str">
        <f>_xlfn.LET(_xlpm.pos,"CDI plate 21: "&amp;$A9&amp;C$2,_xlpm.normal,IFERROR(INDEX(MASTER!$A:$A,MATCH(_xlpm.pos,MASTER!$H:$H,0))&amp;"_ser_0.20_"&amp;TEXT(INDEX(MASTER!$E:$E,MATCH(_xlpm.pos,MASTER!$H:$H,0)),"mmddyy"),""),_xlpm.slot,96+(MATCH($A9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29" s="3" t="str">
        <f>_xlfn.LET(_xlpm.pos,"CDI plate 21: "&amp;$A9&amp;D$2,_xlpm.normal,IFERROR(INDEX(MASTER!$A:$A,MATCH(_xlpm.pos,MASTER!$H:$H,0))&amp;"_ser_0.20_"&amp;TEXT(INDEX(MASTER!$E:$E,MATCH(_xlpm.pos,MASTER!$H:$H,0)),"mmddyy"),""),_xlpm.slot,96+(MATCH($A9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29" s="3" t="str">
        <f>_xlfn.LET(_xlpm.pos,"CDI plate 21: "&amp;$A9&amp;E$2,_xlpm.normal,IFERROR(INDEX(MASTER!$A:$A,MATCH(_xlpm.pos,MASTER!$H:$H,0))&amp;"_ser_0.20_"&amp;TEXT(INDEX(MASTER!$E:$E,MATCH(_xlpm.pos,MASTER!$H:$H,0)),"mmddyy"),""),_xlpm.slot,96+(MATCH($A9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29" s="3" t="str">
        <f>_xlfn.LET(_xlpm.pos,"CDI plate 21: "&amp;$A9&amp;F$2,_xlpm.normal,IFERROR(INDEX(MASTER!$A:$A,MATCH(_xlpm.pos,MASTER!$H:$H,0))&amp;"_ser_0.20_"&amp;TEXT(INDEX(MASTER!$E:$E,MATCH(_xlpm.pos,MASTER!$H:$H,0)),"mmddyy"),""),_xlpm.slot,96+(MATCH($A9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29" s="3" t="str">
        <f>_xlfn.LET(_xlpm.pos,"CDI plate 21: "&amp;$A9&amp;G$2,_xlpm.normal,IFERROR(INDEX(MASTER!$A:$A,MATCH(_xlpm.pos,MASTER!$H:$H,0))&amp;"_ser_0.20_"&amp;TEXT(INDEX(MASTER!$E:$E,MATCH(_xlpm.pos,MASTER!$H:$H,0)),"mmddyy"),""),_xlpm.slot,96+(MATCH($A9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29" s="3" t="str">
        <f>_xlfn.LET(_xlpm.pos,"CDI plate 21: "&amp;$A9&amp;H$2,_xlpm.normal,IFERROR(INDEX(MASTER!$A:$A,MATCH(_xlpm.pos,MASTER!$H:$H,0))&amp;"_ser_0.20_"&amp;TEXT(INDEX(MASTER!$E:$E,MATCH(_xlpm.pos,MASTER!$H:$H,0)),"mmddyy"),""),_xlpm.slot,96+(MATCH($A9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29" s="3" t="str">
        <f>_xlfn.LET(_xlpm.pos,"CDI plate 21: "&amp;$A9&amp;I$2,_xlpm.normal,IFERROR(INDEX(MASTER!$A:$A,MATCH(_xlpm.pos,MASTER!$H:$H,0))&amp;"_ser_0.20_"&amp;TEXT(INDEX(MASTER!$E:$E,MATCH(_xlpm.pos,MASTER!$H:$H,0)),"mmddyy"),""),_xlpm.slot,96+(MATCH($A9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29" s="3" t="str">
        <f>_xlfn.LET(_xlpm.pos,"CDI plate 21: "&amp;$A9&amp;J$2,_xlpm.normal,IFERROR(INDEX(MASTER!$A:$A,MATCH(_xlpm.pos,MASTER!$H:$H,0))&amp;"_ser_0.20_"&amp;TEXT(INDEX(MASTER!$E:$E,MATCH(_xlpm.pos,MASTER!$H:$H,0)),"mmddyy"),""),_xlpm.slot,96+(MATCH($A9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29" s="3" t="str">
        <f>_xlfn.LET(_xlpm.pos,"CDI plate 21: "&amp;$A9&amp;K$2,_xlpm.normal,IFERROR(INDEX(MASTER!$A:$A,MATCH(_xlpm.pos,MASTER!$H:$H,0))&amp;"_ser_0.20_"&amp;TEXT(INDEX(MASTER!$E:$E,MATCH(_xlpm.pos,MASTER!$H:$H,0)),"mmddyy"),""),_xlpm.slot,96+(MATCH($A9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29" s="3" t="str">
        <f>_xlfn.LET(_xlpm.pos,"CDI plate 21: "&amp;$A9&amp;L$2,_xlpm.normal,IFERROR(INDEX(MASTER!$A:$A,MATCH(_xlpm.pos,MASTER!$H:$H,0))&amp;"_ser_0.20_"&amp;TEXT(INDEX(MASTER!$E:$E,MATCH(_xlpm.pos,MASTER!$H:$H,0)),"mmddyy"),""),_xlpm.slot,96+(MATCH($A9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29" s="3" t="str">
        <f>_xlfn.LET(_xlpm.pos,"CDI plate 21: "&amp;$A9&amp;M$2,_xlpm.normal,IFERROR(INDEX(MASTER!$A:$A,MATCH(_xlpm.pos,MASTER!$H:$H,0))&amp;"_ser_0.20_"&amp;TEXT(INDEX(MASTER!$E:$E,MATCH(_xlpm.pos,MASTER!$H:$H,0)),"mmddyy"),""),_xlpm.slot,96+(MATCH($A9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  <row r="230" spans="1:13" ht="22" customHeight="1" x14ac:dyDescent="0.3">
      <c r="A230" s="3" t="s">
        <v>36</v>
      </c>
      <c r="B230" s="3" t="str">
        <f>_xlfn.LET(_xlpm.pos,"CDI plate 21: "&amp;$A10&amp;B$2,_xlpm.normal,IFERROR(INDEX(MASTER!$A:$A,MATCH(_xlpm.pos,MASTER!$H:$H,0))&amp;"_ser_0.20_"&amp;TEXT(INDEX(MASTER!$E:$E,MATCH(_xlpm.pos,MASTER!$H:$H,0)),"mmddyy"),""),_xlpm.slot,96+(MATCH($A10,{"A","B","C","D","E","F","G","H"},0)-1)*12+B$2,_xlpm.code,"TXS"&amp;TEXT(_xlpm.slot,"00000"),_xlpm.xval,IFERROR(_xlfn.XLOOKUP(_xlpm.code,MASTER!$A:$A,MASTER!$H:$H,""),""),IF(_xlpm.normal&lt;&gt;"",_xlpm.normal,IF(_xlpm.xval="X","X","")))</f>
        <v/>
      </c>
      <c r="C230" s="3" t="str">
        <f>_xlfn.LET(_xlpm.pos,"CDI plate 21: "&amp;$A10&amp;C$2,_xlpm.normal,IFERROR(INDEX(MASTER!$A:$A,MATCH(_xlpm.pos,MASTER!$H:$H,0))&amp;"_ser_0.20_"&amp;TEXT(INDEX(MASTER!$E:$E,MATCH(_xlpm.pos,MASTER!$H:$H,0)),"mmddyy"),""),_xlpm.slot,96+(MATCH($A10,{"A","B","C","D","E","F","G","H"},0)-1)*12+C$2,_xlpm.code,"TXS"&amp;TEXT(_xlpm.slot,"00000"),_xlpm.xval,IFERROR(_xlfn.XLOOKUP(_xlpm.code,MASTER!$A:$A,MASTER!$H:$H,""),""),IF(_xlpm.normal&lt;&gt;"",_xlpm.normal,IF(_xlpm.xval="X","X","")))</f>
        <v/>
      </c>
      <c r="D230" s="3" t="str">
        <f>_xlfn.LET(_xlpm.pos,"CDI plate 21: "&amp;$A10&amp;D$2,_xlpm.normal,IFERROR(INDEX(MASTER!$A:$A,MATCH(_xlpm.pos,MASTER!$H:$H,0))&amp;"_ser_0.20_"&amp;TEXT(INDEX(MASTER!$E:$E,MATCH(_xlpm.pos,MASTER!$H:$H,0)),"mmddyy"),""),_xlpm.slot,96+(MATCH($A10,{"A","B","C","D","E","F","G","H"},0)-1)*12+D$2,_xlpm.code,"TXS"&amp;TEXT(_xlpm.slot,"00000"),_xlpm.xval,IFERROR(_xlfn.XLOOKUP(_xlpm.code,MASTER!$A:$A,MASTER!$H:$H,""),""),IF(_xlpm.normal&lt;&gt;"",_xlpm.normal,IF(_xlpm.xval="X","X","")))</f>
        <v/>
      </c>
      <c r="E230" s="3" t="str">
        <f>_xlfn.LET(_xlpm.pos,"CDI plate 21: "&amp;$A10&amp;E$2,_xlpm.normal,IFERROR(INDEX(MASTER!$A:$A,MATCH(_xlpm.pos,MASTER!$H:$H,0))&amp;"_ser_0.20_"&amp;TEXT(INDEX(MASTER!$E:$E,MATCH(_xlpm.pos,MASTER!$H:$H,0)),"mmddyy"),""),_xlpm.slot,96+(MATCH($A10,{"A","B","C","D","E","F","G","H"},0)-1)*12+E$2,_xlpm.code,"TXS"&amp;TEXT(_xlpm.slot,"00000"),_xlpm.xval,IFERROR(_xlfn.XLOOKUP(_xlpm.code,MASTER!$A:$A,MASTER!$H:$H,""),""),IF(_xlpm.normal&lt;&gt;"",_xlpm.normal,IF(_xlpm.xval="X","X","")))</f>
        <v/>
      </c>
      <c r="F230" s="3" t="str">
        <f>_xlfn.LET(_xlpm.pos,"CDI plate 21: "&amp;$A10&amp;F$2,_xlpm.normal,IFERROR(INDEX(MASTER!$A:$A,MATCH(_xlpm.pos,MASTER!$H:$H,0))&amp;"_ser_0.20_"&amp;TEXT(INDEX(MASTER!$E:$E,MATCH(_xlpm.pos,MASTER!$H:$H,0)),"mmddyy"),""),_xlpm.slot,96+(MATCH($A10,{"A","B","C","D","E","F","G","H"},0)-1)*12+F$2,_xlpm.code,"TXS"&amp;TEXT(_xlpm.slot,"00000"),_xlpm.xval,IFERROR(_xlfn.XLOOKUP(_xlpm.code,MASTER!$A:$A,MASTER!$H:$H,""),""),IF(_xlpm.normal&lt;&gt;"",_xlpm.normal,IF(_xlpm.xval="X","X","")))</f>
        <v/>
      </c>
      <c r="G230" s="3" t="str">
        <f>_xlfn.LET(_xlpm.pos,"CDI plate 21: "&amp;$A10&amp;G$2,_xlpm.normal,IFERROR(INDEX(MASTER!$A:$A,MATCH(_xlpm.pos,MASTER!$H:$H,0))&amp;"_ser_0.20_"&amp;TEXT(INDEX(MASTER!$E:$E,MATCH(_xlpm.pos,MASTER!$H:$H,0)),"mmddyy"),""),_xlpm.slot,96+(MATCH($A10,{"A","B","C","D","E","F","G","H"},0)-1)*12+G$2,_xlpm.code,"TXS"&amp;TEXT(_xlpm.slot,"00000"),_xlpm.xval,IFERROR(_xlfn.XLOOKUP(_xlpm.code,MASTER!$A:$A,MASTER!$H:$H,""),""),IF(_xlpm.normal&lt;&gt;"",_xlpm.normal,IF(_xlpm.xval="X","X","")))</f>
        <v/>
      </c>
      <c r="H230" s="3" t="str">
        <f>_xlfn.LET(_xlpm.pos,"CDI plate 21: "&amp;$A10&amp;H$2,_xlpm.normal,IFERROR(INDEX(MASTER!$A:$A,MATCH(_xlpm.pos,MASTER!$H:$H,0))&amp;"_ser_0.20_"&amp;TEXT(INDEX(MASTER!$E:$E,MATCH(_xlpm.pos,MASTER!$H:$H,0)),"mmddyy"),""),_xlpm.slot,96+(MATCH($A10,{"A","B","C","D","E","F","G","H"},0)-1)*12+H$2,_xlpm.code,"TXS"&amp;TEXT(_xlpm.slot,"00000"),_xlpm.xval,IFERROR(_xlfn.XLOOKUP(_xlpm.code,MASTER!$A:$A,MASTER!$H:$H,""),""),IF(_xlpm.normal&lt;&gt;"",_xlpm.normal,IF(_xlpm.xval="X","X","")))</f>
        <v/>
      </c>
      <c r="I230" s="3" t="str">
        <f>_xlfn.LET(_xlpm.pos,"CDI plate 21: "&amp;$A10&amp;I$2,_xlpm.normal,IFERROR(INDEX(MASTER!$A:$A,MATCH(_xlpm.pos,MASTER!$H:$H,0))&amp;"_ser_0.20_"&amp;TEXT(INDEX(MASTER!$E:$E,MATCH(_xlpm.pos,MASTER!$H:$H,0)),"mmddyy"),""),_xlpm.slot,96+(MATCH($A10,{"A","B","C","D","E","F","G","H"},0)-1)*12+I$2,_xlpm.code,"TXS"&amp;TEXT(_xlpm.slot,"00000"),_xlpm.xval,IFERROR(_xlfn.XLOOKUP(_xlpm.code,MASTER!$A:$A,MASTER!$H:$H,""),""),IF(_xlpm.normal&lt;&gt;"",_xlpm.normal,IF(_xlpm.xval="X","X","")))</f>
        <v/>
      </c>
      <c r="J230" s="3" t="str">
        <f>_xlfn.LET(_xlpm.pos,"CDI plate 21: "&amp;$A10&amp;J$2,_xlpm.normal,IFERROR(INDEX(MASTER!$A:$A,MATCH(_xlpm.pos,MASTER!$H:$H,0))&amp;"_ser_0.20_"&amp;TEXT(INDEX(MASTER!$E:$E,MATCH(_xlpm.pos,MASTER!$H:$H,0)),"mmddyy"),""),_xlpm.slot,96+(MATCH($A10,{"A","B","C","D","E","F","G","H"},0)-1)*12+J$2,_xlpm.code,"TXS"&amp;TEXT(_xlpm.slot,"00000"),_xlpm.xval,IFERROR(_xlfn.XLOOKUP(_xlpm.code,MASTER!$A:$A,MASTER!$H:$H,""),""),IF(_xlpm.normal&lt;&gt;"",_xlpm.normal,IF(_xlpm.xval="X","X","")))</f>
        <v/>
      </c>
      <c r="K230" s="3" t="str">
        <f>_xlfn.LET(_xlpm.pos,"CDI plate 21: "&amp;$A10&amp;K$2,_xlpm.normal,IFERROR(INDEX(MASTER!$A:$A,MATCH(_xlpm.pos,MASTER!$H:$H,0))&amp;"_ser_0.20_"&amp;TEXT(INDEX(MASTER!$E:$E,MATCH(_xlpm.pos,MASTER!$H:$H,0)),"mmddyy"),""),_xlpm.slot,96+(MATCH($A10,{"A","B","C","D","E","F","G","H"},0)-1)*12+K$2,_xlpm.code,"TXS"&amp;TEXT(_xlpm.slot,"00000"),_xlpm.xval,IFERROR(_xlfn.XLOOKUP(_xlpm.code,MASTER!$A:$A,MASTER!$H:$H,""),""),IF(_xlpm.normal&lt;&gt;"",_xlpm.normal,IF(_xlpm.xval="X","X","")))</f>
        <v/>
      </c>
      <c r="L230" s="3" t="str">
        <f>_xlfn.LET(_xlpm.pos,"CDI plate 21: "&amp;$A10&amp;L$2,_xlpm.normal,IFERROR(INDEX(MASTER!$A:$A,MATCH(_xlpm.pos,MASTER!$H:$H,0))&amp;"_ser_0.20_"&amp;TEXT(INDEX(MASTER!$E:$E,MATCH(_xlpm.pos,MASTER!$H:$H,0)),"mmddyy"),""),_xlpm.slot,96+(MATCH($A10,{"A","B","C","D","E","F","G","H"},0)-1)*12+L$2,_xlpm.code,"TXS"&amp;TEXT(_xlpm.slot,"00000"),_xlpm.xval,IFERROR(_xlfn.XLOOKUP(_xlpm.code,MASTER!$A:$A,MASTER!$H:$H,""),""),IF(_xlpm.normal&lt;&gt;"",_xlpm.normal,IF(_xlpm.xval="X","X","")))</f>
        <v/>
      </c>
      <c r="M230" s="3" t="str">
        <f>_xlfn.LET(_xlpm.pos,"CDI plate 21: "&amp;$A10&amp;M$2,_xlpm.normal,IFERROR(INDEX(MASTER!$A:$A,MATCH(_xlpm.pos,MASTER!$H:$H,0))&amp;"_ser_0.20_"&amp;TEXT(INDEX(MASTER!$E:$E,MATCH(_xlpm.pos,MASTER!$H:$H,0)),"mmddyy"),""),_xlpm.slot,96+(MATCH($A10,{"A","B","C","D","E","F","G","H"},0)-1)*12+M$2,_xlpm.code,"TXS"&amp;TEXT(_xlpm.slot,"00000"),_xlpm.xval,IFERROR(_xlfn.XLOOKUP(_xlpm.code,MASTER!$A:$A,MASTER!$H:$H,""),""),IF(_xlpm.normal&lt;&gt;"",_xlpm.normal,IF(_xlpm.xval="X","X","")))</f>
        <v/>
      </c>
    </row>
  </sheetData>
  <mergeCells count="21">
    <mergeCell ref="B221:M221"/>
    <mergeCell ref="B188:M188"/>
    <mergeCell ref="B144:M144"/>
    <mergeCell ref="B100:M100"/>
    <mergeCell ref="B199:M199"/>
    <mergeCell ref="B122:M122"/>
    <mergeCell ref="B155:M155"/>
    <mergeCell ref="B210:M210"/>
    <mergeCell ref="B111:M111"/>
    <mergeCell ref="B177:M177"/>
    <mergeCell ref="B67:M67"/>
    <mergeCell ref="B23:M23"/>
    <mergeCell ref="B1:M1"/>
    <mergeCell ref="B166:M166"/>
    <mergeCell ref="B34:M34"/>
    <mergeCell ref="B78:M78"/>
    <mergeCell ref="B133:M133"/>
    <mergeCell ref="B89:M89"/>
    <mergeCell ref="B45:M45"/>
    <mergeCell ref="B56:M56"/>
    <mergeCell ref="B12:M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0"/>
  <sheetViews>
    <sheetView zoomScale="68" zoomScaleNormal="68" workbookViewId="0">
      <pane xSplit="1" ySplit="1" topLeftCell="B2" activePane="bottomRight" state="frozen"/>
      <selection pane="topRight"/>
      <selection pane="bottomLeft"/>
      <selection pane="bottomRight" activeCell="E6" sqref="E6"/>
    </sheetView>
  </sheetViews>
  <sheetFormatPr defaultColWidth="8.7265625" defaultRowHeight="22" customHeight="1" x14ac:dyDescent="0.35"/>
  <cols>
    <col min="1" max="1" width="2.26953125" style="8" bestFit="1" customWidth="1"/>
    <col min="2" max="13" width="28.54296875" style="8" customWidth="1"/>
    <col min="14" max="17" width="8.7265625" style="8" customWidth="1"/>
    <col min="18" max="16384" width="8.7265625" style="8"/>
  </cols>
  <sheetData>
    <row r="1" spans="1:13" ht="22" customHeight="1" x14ac:dyDescent="0.35">
      <c r="A1" s="7"/>
      <c r="B1" s="31" t="s">
        <v>57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</row>
    <row r="2" spans="1:13" ht="22" customHeight="1" x14ac:dyDescent="0.35">
      <c r="A2" s="7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</row>
    <row r="3" spans="1:13" ht="22" customHeight="1" x14ac:dyDescent="0.35">
      <c r="A3" s="6" t="s">
        <v>30</v>
      </c>
      <c r="B3" s="4" t="str">
        <f>_xlfn.LET(_xlpm.pos,"NIH plate 1: "&amp;$A3&amp;B$2,_xlpm.normal,IFERROR(INDEX(MASTER!$A:$A,MATCH(_xlpm.pos,MASTER!$I:$I,0))&amp;"_ser_0.20_"&amp;TEXT(INDEX(MASTER!$E:$E,MATCH(_xlpm.pos,MASTER!$I:$I,0)),"mmddyy"),""),_xlpm.slot,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3" s="4" t="str">
        <f>_xlfn.LET(_xlpm.pos,"NIH plate 1: "&amp;$A3&amp;C$2,_xlpm.normal,IFERROR(INDEX(MASTER!$A:$A,MATCH(_xlpm.pos,MASTER!$I:$I,0))&amp;"_ser_0.20_"&amp;TEXT(INDEX(MASTER!$E:$E,MATCH(_xlpm.pos,MASTER!$I:$I,0)),"mmddyy"),""),_xlpm.slot,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3" s="4" t="str">
        <f>_xlfn.LET(_xlpm.pos,"NIH plate 1: "&amp;$A3&amp;D$2,_xlpm.normal,IFERROR(INDEX(MASTER!$A:$A,MATCH(_xlpm.pos,MASTER!$I:$I,0))&amp;"_ser_0.20_"&amp;TEXT(INDEX(MASTER!$E:$E,MATCH(_xlpm.pos,MASTER!$I:$I,0)),"mmddyy"),""),_xlpm.slot,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3" s="4" t="str">
        <f>_xlfn.LET(_xlpm.pos,"NIH plate 1: "&amp;$A3&amp;E$2,_xlpm.normal,IFERROR(INDEX(MASTER!$A:$A,MATCH(_xlpm.pos,MASTER!$I:$I,0))&amp;"_ser_0.20_"&amp;TEXT(INDEX(MASTER!$E:$E,MATCH(_xlpm.pos,MASTER!$I:$I,0)),"mmddyy"),""),_xlpm.slot,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3" s="4" t="str">
        <f>_xlfn.LET(_xlpm.pos,"NIH plate 1: "&amp;$A3&amp;F$2,_xlpm.normal,IFERROR(INDEX(MASTER!$A:$A,MATCH(_xlpm.pos,MASTER!$I:$I,0))&amp;"_ser_0.20_"&amp;TEXT(INDEX(MASTER!$E:$E,MATCH(_xlpm.pos,MASTER!$I:$I,0)),"mmddyy"),""),_xlpm.slot,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3" s="4" t="str">
        <f>_xlfn.LET(_xlpm.pos,"NIH plate 1: "&amp;$A3&amp;G$2,_xlpm.normal,IFERROR(INDEX(MASTER!$A:$A,MATCH(_xlpm.pos,MASTER!$I:$I,0))&amp;"_ser_0.20_"&amp;TEXT(INDEX(MASTER!$E:$E,MATCH(_xlpm.pos,MASTER!$I:$I,0)),"mmddyy"),""),_xlpm.slot,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3" s="4" t="str">
        <f>_xlfn.LET(_xlpm.pos,"NIH plate 1: "&amp;$A3&amp;H$2,_xlpm.normal,IFERROR(INDEX(MASTER!$A:$A,MATCH(_xlpm.pos,MASTER!$I:$I,0))&amp;"_ser_0.20_"&amp;TEXT(INDEX(MASTER!$E:$E,MATCH(_xlpm.pos,MASTER!$I:$I,0)),"mmddyy"),""),_xlpm.slot,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3" s="4" t="str">
        <f>_xlfn.LET(_xlpm.pos,"NIH plate 1: "&amp;$A3&amp;I$2,_xlpm.normal,IFERROR(INDEX(MASTER!$A:$A,MATCH(_xlpm.pos,MASTER!$I:$I,0))&amp;"_ser_0.20_"&amp;TEXT(INDEX(MASTER!$E:$E,MATCH(_xlpm.pos,MASTER!$I:$I,0)),"mmddyy"),""),_xlpm.slot,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3" s="4" t="str">
        <f>_xlfn.LET(_xlpm.pos,"NIH plate 1: "&amp;$A3&amp;J$2,_xlpm.normal,IFERROR(INDEX(MASTER!$A:$A,MATCH(_xlpm.pos,MASTER!$I:$I,0))&amp;"_ser_0.20_"&amp;TEXT(INDEX(MASTER!$E:$E,MATCH(_xlpm.pos,MASTER!$I:$I,0)),"mmddyy"),""),_xlpm.slot,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3" s="4" t="str">
        <f>_xlfn.LET(_xlpm.pos,"NIH plate 1: "&amp;$A3&amp;K$2,_xlpm.normal,IFERROR(INDEX(MASTER!$A:$A,MATCH(_xlpm.pos,MASTER!$I:$I,0))&amp;"_ser_0.20_"&amp;TEXT(INDEX(MASTER!$E:$E,MATCH(_xlpm.pos,MASTER!$I:$I,0)),"mmddyy"),""),_xlpm.slot,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3" s="4" t="str">
        <f>_xlfn.LET(_xlpm.pos,"NIH plate 1: "&amp;$A3&amp;L$2,_xlpm.normal,IFERROR(INDEX(MASTER!$A:$A,MATCH(_xlpm.pos,MASTER!$I:$I,0))&amp;"_ser_0.20_"&amp;TEXT(INDEX(MASTER!$E:$E,MATCH(_xlpm.pos,MASTER!$I:$I,0)),"mmddyy"),""),_xlpm.slot,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3" s="4" t="str">
        <f>_xlfn.LET(_xlpm.pos,"NIH plate 1: "&amp;$A3&amp;M$2,_xlpm.normal,IFERROR(INDEX(MASTER!$A:$A,MATCH(_xlpm.pos,MASTER!$I:$I,0))&amp;"_ser_0.20_"&amp;TEXT(INDEX(MASTER!$E:$E,MATCH(_xlpm.pos,MASTER!$I:$I,0)),"mmddyy"),""),_xlpm.slot,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4" spans="1:13" ht="22" customHeight="1" x14ac:dyDescent="0.35">
      <c r="A4" s="6" t="s">
        <v>31</v>
      </c>
      <c r="B4" s="4" t="str">
        <f>_xlfn.LET(_xlpm.pos,"NIH plate 1: "&amp;$A4&amp;B$2,_xlpm.normal,IFERROR(INDEX(MASTER!$A:$A,MATCH(_xlpm.pos,MASTER!$I:$I,0))&amp;"_ser_0.20_"&amp;TEXT(INDEX(MASTER!$E:$E,MATCH(_xlpm.pos,MASTER!$I:$I,0)),"mmddyy"),""),_xlpm.slot,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4" s="4" t="str">
        <f>_xlfn.LET(_xlpm.pos,"NIH plate 1: "&amp;$A4&amp;C$2,_xlpm.normal,IFERROR(INDEX(MASTER!$A:$A,MATCH(_xlpm.pos,MASTER!$I:$I,0))&amp;"_ser_0.20_"&amp;TEXT(INDEX(MASTER!$E:$E,MATCH(_xlpm.pos,MASTER!$I:$I,0)),"mmddyy"),""),_xlpm.slot,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4" s="4" t="str">
        <f>_xlfn.LET(_xlpm.pos,"NIH plate 1: "&amp;$A4&amp;D$2,_xlpm.normal,IFERROR(INDEX(MASTER!$A:$A,MATCH(_xlpm.pos,MASTER!$I:$I,0))&amp;"_ser_0.20_"&amp;TEXT(INDEX(MASTER!$E:$E,MATCH(_xlpm.pos,MASTER!$I:$I,0)),"mmddyy"),""),_xlpm.slot,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4" s="4" t="str">
        <f>_xlfn.LET(_xlpm.pos,"NIH plate 1: "&amp;$A4&amp;E$2,_xlpm.normal,IFERROR(INDEX(MASTER!$A:$A,MATCH(_xlpm.pos,MASTER!$I:$I,0))&amp;"_ser_0.20_"&amp;TEXT(INDEX(MASTER!$E:$E,MATCH(_xlpm.pos,MASTER!$I:$I,0)),"mmddyy"),""),_xlpm.slot,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4" s="4" t="str">
        <f>_xlfn.LET(_xlpm.pos,"NIH plate 1: "&amp;$A4&amp;F$2,_xlpm.normal,IFERROR(INDEX(MASTER!$A:$A,MATCH(_xlpm.pos,MASTER!$I:$I,0))&amp;"_ser_0.20_"&amp;TEXT(INDEX(MASTER!$E:$E,MATCH(_xlpm.pos,MASTER!$I:$I,0)),"mmddyy"),""),_xlpm.slot,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4" s="4" t="str">
        <f>_xlfn.LET(_xlpm.pos,"NIH plate 1: "&amp;$A4&amp;G$2,_xlpm.normal,IFERROR(INDEX(MASTER!$A:$A,MATCH(_xlpm.pos,MASTER!$I:$I,0))&amp;"_ser_0.20_"&amp;TEXT(INDEX(MASTER!$E:$E,MATCH(_xlpm.pos,MASTER!$I:$I,0)),"mmddyy"),""),_xlpm.slot,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4" s="4" t="str">
        <f>_xlfn.LET(_xlpm.pos,"NIH plate 1: "&amp;$A4&amp;H$2,_xlpm.normal,IFERROR(INDEX(MASTER!$A:$A,MATCH(_xlpm.pos,MASTER!$I:$I,0))&amp;"_ser_0.20_"&amp;TEXT(INDEX(MASTER!$E:$E,MATCH(_xlpm.pos,MASTER!$I:$I,0)),"mmddyy"),""),_xlpm.slot,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4" s="4" t="str">
        <f>_xlfn.LET(_xlpm.pos,"NIH plate 1: "&amp;$A4&amp;I$2,_xlpm.normal,IFERROR(INDEX(MASTER!$A:$A,MATCH(_xlpm.pos,MASTER!$I:$I,0))&amp;"_ser_0.20_"&amp;TEXT(INDEX(MASTER!$E:$E,MATCH(_xlpm.pos,MASTER!$I:$I,0)),"mmddyy"),""),_xlpm.slot,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4" s="4" t="str">
        <f>_xlfn.LET(_xlpm.pos,"NIH plate 1: "&amp;$A4&amp;J$2,_xlpm.normal,IFERROR(INDEX(MASTER!$A:$A,MATCH(_xlpm.pos,MASTER!$I:$I,0))&amp;"_ser_0.20_"&amp;TEXT(INDEX(MASTER!$E:$E,MATCH(_xlpm.pos,MASTER!$I:$I,0)),"mmddyy"),""),_xlpm.slot,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4" s="4" t="str">
        <f>_xlfn.LET(_xlpm.pos,"NIH plate 1: "&amp;$A4&amp;K$2,_xlpm.normal,IFERROR(INDEX(MASTER!$A:$A,MATCH(_xlpm.pos,MASTER!$I:$I,0))&amp;"_ser_0.20_"&amp;TEXT(INDEX(MASTER!$E:$E,MATCH(_xlpm.pos,MASTER!$I:$I,0)),"mmddyy"),""),_xlpm.slot,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4" s="4" t="str">
        <f>_xlfn.LET(_xlpm.pos,"NIH plate 1: "&amp;$A4&amp;L$2,_xlpm.normal,IFERROR(INDEX(MASTER!$A:$A,MATCH(_xlpm.pos,MASTER!$I:$I,0))&amp;"_ser_0.20_"&amp;TEXT(INDEX(MASTER!$E:$E,MATCH(_xlpm.pos,MASTER!$I:$I,0)),"mmddyy"),""),_xlpm.slot,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4" s="4" t="str">
        <f>_xlfn.LET(_xlpm.pos,"NIH plate 1: "&amp;$A4&amp;M$2,_xlpm.normal,IFERROR(INDEX(MASTER!$A:$A,MATCH(_xlpm.pos,MASTER!$I:$I,0))&amp;"_ser_0.20_"&amp;TEXT(INDEX(MASTER!$E:$E,MATCH(_xlpm.pos,MASTER!$I:$I,0)),"mmddyy"),""),_xlpm.slot,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5" spans="1:13" ht="22" customHeight="1" x14ac:dyDescent="0.35">
      <c r="A5" s="6" t="s">
        <v>32</v>
      </c>
      <c r="B5" s="4" t="str">
        <f>_xlfn.LET(_xlpm.pos,"NIH plate 1: "&amp;$A5&amp;B$2,_xlpm.normal,IFERROR(INDEX(MASTER!$A:$A,MATCH(_xlpm.pos,MASTER!$I:$I,0))&amp;"_ser_0.20_"&amp;TEXT(INDEX(MASTER!$E:$E,MATCH(_xlpm.pos,MASTER!$I:$I,0)),"mmddyy"),""),_xlpm.slot,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5" s="4" t="str">
        <f>_xlfn.LET(_xlpm.pos,"NIH plate 1: "&amp;$A5&amp;C$2,_xlpm.normal,IFERROR(INDEX(MASTER!$A:$A,MATCH(_xlpm.pos,MASTER!$I:$I,0))&amp;"_ser_0.20_"&amp;TEXT(INDEX(MASTER!$E:$E,MATCH(_xlpm.pos,MASTER!$I:$I,0)),"mmddyy"),""),_xlpm.slot,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5" s="4" t="str">
        <f>_xlfn.LET(_xlpm.pos,"NIH plate 1: "&amp;$A5&amp;D$2,_xlpm.normal,IFERROR(INDEX(MASTER!$A:$A,MATCH(_xlpm.pos,MASTER!$I:$I,0))&amp;"_ser_0.20_"&amp;TEXT(INDEX(MASTER!$E:$E,MATCH(_xlpm.pos,MASTER!$I:$I,0)),"mmddyy"),""),_xlpm.slot,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5" s="4" t="str">
        <f>_xlfn.LET(_xlpm.pos,"NIH plate 1: "&amp;$A5&amp;E$2,_xlpm.normal,IFERROR(INDEX(MASTER!$A:$A,MATCH(_xlpm.pos,MASTER!$I:$I,0))&amp;"_ser_0.20_"&amp;TEXT(INDEX(MASTER!$E:$E,MATCH(_xlpm.pos,MASTER!$I:$I,0)),"mmddyy"),""),_xlpm.slot,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5" s="4" t="str">
        <f>_xlfn.LET(_xlpm.pos,"NIH plate 1: "&amp;$A5&amp;F$2,_xlpm.normal,IFERROR(INDEX(MASTER!$A:$A,MATCH(_xlpm.pos,MASTER!$I:$I,0))&amp;"_ser_0.20_"&amp;TEXT(INDEX(MASTER!$E:$E,MATCH(_xlpm.pos,MASTER!$I:$I,0)),"mmddyy"),""),_xlpm.slot,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5" s="4" t="str">
        <f>_xlfn.LET(_xlpm.pos,"NIH plate 1: "&amp;$A5&amp;G$2,_xlpm.normal,IFERROR(INDEX(MASTER!$A:$A,MATCH(_xlpm.pos,MASTER!$I:$I,0))&amp;"_ser_0.20_"&amp;TEXT(INDEX(MASTER!$E:$E,MATCH(_xlpm.pos,MASTER!$I:$I,0)),"mmddyy"),""),_xlpm.slot,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5" s="4" t="str">
        <f>_xlfn.LET(_xlpm.pos,"NIH plate 1: "&amp;$A5&amp;H$2,_xlpm.normal,IFERROR(INDEX(MASTER!$A:$A,MATCH(_xlpm.pos,MASTER!$I:$I,0))&amp;"_ser_0.20_"&amp;TEXT(INDEX(MASTER!$E:$E,MATCH(_xlpm.pos,MASTER!$I:$I,0)),"mmddyy"),""),_xlpm.slot,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5" s="4" t="str">
        <f>_xlfn.LET(_xlpm.pos,"NIH plate 1: "&amp;$A5&amp;I$2,_xlpm.normal,IFERROR(INDEX(MASTER!$A:$A,MATCH(_xlpm.pos,MASTER!$I:$I,0))&amp;"_ser_0.20_"&amp;TEXT(INDEX(MASTER!$E:$E,MATCH(_xlpm.pos,MASTER!$I:$I,0)),"mmddyy"),""),_xlpm.slot,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5" s="4" t="str">
        <f>_xlfn.LET(_xlpm.pos,"NIH plate 1: "&amp;$A5&amp;J$2,_xlpm.normal,IFERROR(INDEX(MASTER!$A:$A,MATCH(_xlpm.pos,MASTER!$I:$I,0))&amp;"_ser_0.20_"&amp;TEXT(INDEX(MASTER!$E:$E,MATCH(_xlpm.pos,MASTER!$I:$I,0)),"mmddyy"),""),_xlpm.slot,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5" s="4" t="str">
        <f>_xlfn.LET(_xlpm.pos,"NIH plate 1: "&amp;$A5&amp;K$2,_xlpm.normal,IFERROR(INDEX(MASTER!$A:$A,MATCH(_xlpm.pos,MASTER!$I:$I,0))&amp;"_ser_0.20_"&amp;TEXT(INDEX(MASTER!$E:$E,MATCH(_xlpm.pos,MASTER!$I:$I,0)),"mmddyy"),""),_xlpm.slot,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5" s="4" t="str">
        <f>_xlfn.LET(_xlpm.pos,"NIH plate 1: "&amp;$A5&amp;L$2,_xlpm.normal,IFERROR(INDEX(MASTER!$A:$A,MATCH(_xlpm.pos,MASTER!$I:$I,0))&amp;"_ser_0.20_"&amp;TEXT(INDEX(MASTER!$E:$E,MATCH(_xlpm.pos,MASTER!$I:$I,0)),"mmddyy"),""),_xlpm.slot,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5" s="4" t="str">
        <f>_xlfn.LET(_xlpm.pos,"NIH plate 1: "&amp;$A5&amp;M$2,_xlpm.normal,IFERROR(INDEX(MASTER!$A:$A,MATCH(_xlpm.pos,MASTER!$I:$I,0))&amp;"_ser_0.20_"&amp;TEXT(INDEX(MASTER!$E:$E,MATCH(_xlpm.pos,MASTER!$I:$I,0)),"mmddyy"),""),_xlpm.slot,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6" spans="1:13" ht="22" customHeight="1" x14ac:dyDescent="0.35">
      <c r="A6" s="6" t="s">
        <v>33</v>
      </c>
      <c r="B6" s="4" t="str">
        <f>_xlfn.LET(_xlpm.pos,"NIH plate 1: "&amp;$A6&amp;B$2,_xlpm.normal,IFERROR(INDEX(MASTER!$A:$A,MATCH(_xlpm.pos,MASTER!$I:$I,0))&amp;"_ser_0.20_"&amp;TEXT(INDEX(MASTER!$E:$E,MATCH(_xlpm.pos,MASTER!$I:$I,0)),"mmddyy"),""),_xlpm.slot,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6" s="4" t="str">
        <f>_xlfn.LET(_xlpm.pos,"NIH plate 1: "&amp;$A6&amp;C$2,_xlpm.normal,IFERROR(INDEX(MASTER!$A:$A,MATCH(_xlpm.pos,MASTER!$I:$I,0))&amp;"_ser_0.20_"&amp;TEXT(INDEX(MASTER!$E:$E,MATCH(_xlpm.pos,MASTER!$I:$I,0)),"mmddyy"),""),_xlpm.slot,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6" s="4" t="str">
        <f>_xlfn.LET(_xlpm.pos,"NIH plate 1: "&amp;$A6&amp;D$2,_xlpm.normal,IFERROR(INDEX(MASTER!$A:$A,MATCH(_xlpm.pos,MASTER!$I:$I,0))&amp;"_ser_0.20_"&amp;TEXT(INDEX(MASTER!$E:$E,MATCH(_xlpm.pos,MASTER!$I:$I,0)),"mmddyy"),""),_xlpm.slot,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6" s="4" t="str">
        <f>_xlfn.LET(_xlpm.pos,"NIH plate 1: "&amp;$A6&amp;E$2,_xlpm.normal,IFERROR(INDEX(MASTER!$A:$A,MATCH(_xlpm.pos,MASTER!$I:$I,0))&amp;"_ser_0.20_"&amp;TEXT(INDEX(MASTER!$E:$E,MATCH(_xlpm.pos,MASTER!$I:$I,0)),"mmddyy"),""),_xlpm.slot,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6" s="4" t="str">
        <f>_xlfn.LET(_xlpm.pos,"NIH plate 1: "&amp;$A6&amp;F$2,_xlpm.normal,IFERROR(INDEX(MASTER!$A:$A,MATCH(_xlpm.pos,MASTER!$I:$I,0))&amp;"_ser_0.20_"&amp;TEXT(INDEX(MASTER!$E:$E,MATCH(_xlpm.pos,MASTER!$I:$I,0)),"mmddyy"),""),_xlpm.slot,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6" s="4" t="str">
        <f>_xlfn.LET(_xlpm.pos,"NIH plate 1: "&amp;$A6&amp;G$2,_xlpm.normal,IFERROR(INDEX(MASTER!$A:$A,MATCH(_xlpm.pos,MASTER!$I:$I,0))&amp;"_ser_0.20_"&amp;TEXT(INDEX(MASTER!$E:$E,MATCH(_xlpm.pos,MASTER!$I:$I,0)),"mmddyy"),""),_xlpm.slot,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6" s="4" t="str">
        <f>_xlfn.LET(_xlpm.pos,"NIH plate 1: "&amp;$A6&amp;H$2,_xlpm.normal,IFERROR(INDEX(MASTER!$A:$A,MATCH(_xlpm.pos,MASTER!$I:$I,0))&amp;"_ser_0.20_"&amp;TEXT(INDEX(MASTER!$E:$E,MATCH(_xlpm.pos,MASTER!$I:$I,0)),"mmddyy"),""),_xlpm.slot,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6" s="4" t="str">
        <f>_xlfn.LET(_xlpm.pos,"NIH plate 1: "&amp;$A6&amp;I$2,_xlpm.normal,IFERROR(INDEX(MASTER!$A:$A,MATCH(_xlpm.pos,MASTER!$I:$I,0))&amp;"_ser_0.20_"&amp;TEXT(INDEX(MASTER!$E:$E,MATCH(_xlpm.pos,MASTER!$I:$I,0)),"mmddyy"),""),_xlpm.slot,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6" s="4" t="str">
        <f>_xlfn.LET(_xlpm.pos,"NIH plate 1: "&amp;$A6&amp;J$2,_xlpm.normal,IFERROR(INDEX(MASTER!$A:$A,MATCH(_xlpm.pos,MASTER!$I:$I,0))&amp;"_ser_0.20_"&amp;TEXT(INDEX(MASTER!$E:$E,MATCH(_xlpm.pos,MASTER!$I:$I,0)),"mmddyy"),""),_xlpm.slot,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6" s="4" t="str">
        <f>_xlfn.LET(_xlpm.pos,"NIH plate 1: "&amp;$A6&amp;K$2,_xlpm.normal,IFERROR(INDEX(MASTER!$A:$A,MATCH(_xlpm.pos,MASTER!$I:$I,0))&amp;"_ser_0.20_"&amp;TEXT(INDEX(MASTER!$E:$E,MATCH(_xlpm.pos,MASTER!$I:$I,0)),"mmddyy"),""),_xlpm.slot,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6" s="4" t="str">
        <f>_xlfn.LET(_xlpm.pos,"NIH plate 1: "&amp;$A6&amp;L$2,_xlpm.normal,IFERROR(INDEX(MASTER!$A:$A,MATCH(_xlpm.pos,MASTER!$I:$I,0))&amp;"_ser_0.20_"&amp;TEXT(INDEX(MASTER!$E:$E,MATCH(_xlpm.pos,MASTER!$I:$I,0)),"mmddyy"),""),_xlpm.slot,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6" s="4" t="str">
        <f>_xlfn.LET(_xlpm.pos,"NIH plate 1: "&amp;$A6&amp;M$2,_xlpm.normal,IFERROR(INDEX(MASTER!$A:$A,MATCH(_xlpm.pos,MASTER!$I:$I,0))&amp;"_ser_0.20_"&amp;TEXT(INDEX(MASTER!$E:$E,MATCH(_xlpm.pos,MASTER!$I:$I,0)),"mmddyy"),""),_xlpm.slot,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7" spans="1:13" ht="22" customHeight="1" x14ac:dyDescent="0.35">
      <c r="A7" s="6" t="s">
        <v>34</v>
      </c>
      <c r="B7" s="4" t="str">
        <f>_xlfn.LET(_xlpm.pos,"NIH plate 1: "&amp;$A7&amp;B$2,_xlpm.normal,IFERROR(INDEX(MASTER!$A:$A,MATCH(_xlpm.pos,MASTER!$I:$I,0))&amp;"_ser_0.20_"&amp;TEXT(INDEX(MASTER!$E:$E,MATCH(_xlpm.pos,MASTER!$I:$I,0)),"mmddyy"),""),_xlpm.slot,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7" s="4" t="str">
        <f>_xlfn.LET(_xlpm.pos,"NIH plate 1: "&amp;$A7&amp;C$2,_xlpm.normal,IFERROR(INDEX(MASTER!$A:$A,MATCH(_xlpm.pos,MASTER!$I:$I,0))&amp;"_ser_0.20_"&amp;TEXT(INDEX(MASTER!$E:$E,MATCH(_xlpm.pos,MASTER!$I:$I,0)),"mmddyy"),""),_xlpm.slot,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7" s="4" t="str">
        <f>_xlfn.LET(_xlpm.pos,"NIH plate 1: "&amp;$A7&amp;D$2,_xlpm.normal,IFERROR(INDEX(MASTER!$A:$A,MATCH(_xlpm.pos,MASTER!$I:$I,0))&amp;"_ser_0.20_"&amp;TEXT(INDEX(MASTER!$E:$E,MATCH(_xlpm.pos,MASTER!$I:$I,0)),"mmddyy"),""),_xlpm.slot,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7" s="4" t="str">
        <f>_xlfn.LET(_xlpm.pos,"NIH plate 1: "&amp;$A7&amp;E$2,_xlpm.normal,IFERROR(INDEX(MASTER!$A:$A,MATCH(_xlpm.pos,MASTER!$I:$I,0))&amp;"_ser_0.20_"&amp;TEXT(INDEX(MASTER!$E:$E,MATCH(_xlpm.pos,MASTER!$I:$I,0)),"mmddyy"),""),_xlpm.slot,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7" s="4" t="str">
        <f>_xlfn.LET(_xlpm.pos,"NIH plate 1: "&amp;$A7&amp;F$2,_xlpm.normal,IFERROR(INDEX(MASTER!$A:$A,MATCH(_xlpm.pos,MASTER!$I:$I,0))&amp;"_ser_0.20_"&amp;TEXT(INDEX(MASTER!$E:$E,MATCH(_xlpm.pos,MASTER!$I:$I,0)),"mmddyy"),""),_xlpm.slot,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7" s="4" t="str">
        <f>_xlfn.LET(_xlpm.pos,"NIH plate 1: "&amp;$A7&amp;G$2,_xlpm.normal,IFERROR(INDEX(MASTER!$A:$A,MATCH(_xlpm.pos,MASTER!$I:$I,0))&amp;"_ser_0.20_"&amp;TEXT(INDEX(MASTER!$E:$E,MATCH(_xlpm.pos,MASTER!$I:$I,0)),"mmddyy"),""),_xlpm.slot,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7" s="4" t="str">
        <f>_xlfn.LET(_xlpm.pos,"NIH plate 1: "&amp;$A7&amp;H$2,_xlpm.normal,IFERROR(INDEX(MASTER!$A:$A,MATCH(_xlpm.pos,MASTER!$I:$I,0))&amp;"_ser_0.20_"&amp;TEXT(INDEX(MASTER!$E:$E,MATCH(_xlpm.pos,MASTER!$I:$I,0)),"mmddyy"),""),_xlpm.slot,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7" s="4" t="str">
        <f>_xlfn.LET(_xlpm.pos,"NIH plate 1: "&amp;$A7&amp;I$2,_xlpm.normal,IFERROR(INDEX(MASTER!$A:$A,MATCH(_xlpm.pos,MASTER!$I:$I,0))&amp;"_ser_0.20_"&amp;TEXT(INDEX(MASTER!$E:$E,MATCH(_xlpm.pos,MASTER!$I:$I,0)),"mmddyy"),""),_xlpm.slot,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7" s="4" t="str">
        <f>_xlfn.LET(_xlpm.pos,"NIH plate 1: "&amp;$A7&amp;J$2,_xlpm.normal,IFERROR(INDEX(MASTER!$A:$A,MATCH(_xlpm.pos,MASTER!$I:$I,0))&amp;"_ser_0.20_"&amp;TEXT(INDEX(MASTER!$E:$E,MATCH(_xlpm.pos,MASTER!$I:$I,0)),"mmddyy"),""),_xlpm.slot,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7" s="4" t="str">
        <f>_xlfn.LET(_xlpm.pos,"NIH plate 1: "&amp;$A7&amp;K$2,_xlpm.normal,IFERROR(INDEX(MASTER!$A:$A,MATCH(_xlpm.pos,MASTER!$I:$I,0))&amp;"_ser_0.20_"&amp;TEXT(INDEX(MASTER!$E:$E,MATCH(_xlpm.pos,MASTER!$I:$I,0)),"mmddyy"),""),_xlpm.slot,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7" s="4" t="str">
        <f>_xlfn.LET(_xlpm.pos,"NIH plate 1: "&amp;$A7&amp;L$2,_xlpm.normal,IFERROR(INDEX(MASTER!$A:$A,MATCH(_xlpm.pos,MASTER!$I:$I,0))&amp;"_ser_0.20_"&amp;TEXT(INDEX(MASTER!$E:$E,MATCH(_xlpm.pos,MASTER!$I:$I,0)),"mmddyy"),""),_xlpm.slot,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7" s="4" t="str">
        <f>_xlfn.LET(_xlpm.pos,"NIH plate 1: "&amp;$A7&amp;M$2,_xlpm.normal,IFERROR(INDEX(MASTER!$A:$A,MATCH(_xlpm.pos,MASTER!$I:$I,0))&amp;"_ser_0.20_"&amp;TEXT(INDEX(MASTER!$E:$E,MATCH(_xlpm.pos,MASTER!$I:$I,0)),"mmddyy"),""),_xlpm.slot,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8" spans="1:13" ht="22" customHeight="1" x14ac:dyDescent="0.35">
      <c r="A8" s="6" t="s">
        <v>15</v>
      </c>
      <c r="B8" s="4" t="str">
        <f>_xlfn.LET(_xlpm.pos,"NIH plate 1: "&amp;$A8&amp;B$2,_xlpm.normal,IFERROR(INDEX(MASTER!$A:$A,MATCH(_xlpm.pos,MASTER!$I:$I,0))&amp;"_ser_0.20_"&amp;TEXT(INDEX(MASTER!$E:$E,MATCH(_xlpm.pos,MASTER!$I:$I,0)),"mmddyy"),""),_xlpm.slot,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8" s="4" t="str">
        <f>_xlfn.LET(_xlpm.pos,"NIH plate 1: "&amp;$A8&amp;C$2,_xlpm.normal,IFERROR(INDEX(MASTER!$A:$A,MATCH(_xlpm.pos,MASTER!$I:$I,0))&amp;"_ser_0.20_"&amp;TEXT(INDEX(MASTER!$E:$E,MATCH(_xlpm.pos,MASTER!$I:$I,0)),"mmddyy"),""),_xlpm.slot,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8" s="4" t="str">
        <f>_xlfn.LET(_xlpm.pos,"NIH plate 1: "&amp;$A8&amp;D$2,_xlpm.normal,IFERROR(INDEX(MASTER!$A:$A,MATCH(_xlpm.pos,MASTER!$I:$I,0))&amp;"_ser_0.20_"&amp;TEXT(INDEX(MASTER!$E:$E,MATCH(_xlpm.pos,MASTER!$I:$I,0)),"mmddyy"),""),_xlpm.slot,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8" s="4" t="str">
        <f>_xlfn.LET(_xlpm.pos,"NIH plate 1: "&amp;$A8&amp;E$2,_xlpm.normal,IFERROR(INDEX(MASTER!$A:$A,MATCH(_xlpm.pos,MASTER!$I:$I,0))&amp;"_ser_0.20_"&amp;TEXT(INDEX(MASTER!$E:$E,MATCH(_xlpm.pos,MASTER!$I:$I,0)),"mmddyy"),""),_xlpm.slot,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8" s="4" t="str">
        <f>_xlfn.LET(_xlpm.pos,"NIH plate 1: "&amp;$A8&amp;F$2,_xlpm.normal,IFERROR(INDEX(MASTER!$A:$A,MATCH(_xlpm.pos,MASTER!$I:$I,0))&amp;"_ser_0.20_"&amp;TEXT(INDEX(MASTER!$E:$E,MATCH(_xlpm.pos,MASTER!$I:$I,0)),"mmddyy"),""),_xlpm.slot,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8" s="4" t="str">
        <f>_xlfn.LET(_xlpm.pos,"NIH plate 1: "&amp;$A8&amp;G$2,_xlpm.normal,IFERROR(INDEX(MASTER!$A:$A,MATCH(_xlpm.pos,MASTER!$I:$I,0))&amp;"_ser_0.20_"&amp;TEXT(INDEX(MASTER!$E:$E,MATCH(_xlpm.pos,MASTER!$I:$I,0)),"mmddyy"),""),_xlpm.slot,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8" s="4" t="str">
        <f>_xlfn.LET(_xlpm.pos,"NIH plate 1: "&amp;$A8&amp;H$2,_xlpm.normal,IFERROR(INDEX(MASTER!$A:$A,MATCH(_xlpm.pos,MASTER!$I:$I,0))&amp;"_ser_0.20_"&amp;TEXT(INDEX(MASTER!$E:$E,MATCH(_xlpm.pos,MASTER!$I:$I,0)),"mmddyy"),""),_xlpm.slot,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8" s="4" t="str">
        <f>_xlfn.LET(_xlpm.pos,"NIH plate 1: "&amp;$A8&amp;I$2,_xlpm.normal,IFERROR(INDEX(MASTER!$A:$A,MATCH(_xlpm.pos,MASTER!$I:$I,0))&amp;"_ser_0.20_"&amp;TEXT(INDEX(MASTER!$E:$E,MATCH(_xlpm.pos,MASTER!$I:$I,0)),"mmddyy"),""),_xlpm.slot,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8" s="4" t="str">
        <f>_xlfn.LET(_xlpm.pos,"NIH plate 1: "&amp;$A8&amp;J$2,_xlpm.normal,IFERROR(INDEX(MASTER!$A:$A,MATCH(_xlpm.pos,MASTER!$I:$I,0))&amp;"_ser_0.20_"&amp;TEXT(INDEX(MASTER!$E:$E,MATCH(_xlpm.pos,MASTER!$I:$I,0)),"mmddyy"),""),_xlpm.slot,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8" s="4" t="str">
        <f>_xlfn.LET(_xlpm.pos,"NIH plate 1: "&amp;$A8&amp;K$2,_xlpm.normal,IFERROR(INDEX(MASTER!$A:$A,MATCH(_xlpm.pos,MASTER!$I:$I,0))&amp;"_ser_0.20_"&amp;TEXT(INDEX(MASTER!$E:$E,MATCH(_xlpm.pos,MASTER!$I:$I,0)),"mmddyy"),""),_xlpm.slot,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8" s="4" t="str">
        <f>_xlfn.LET(_xlpm.pos,"NIH plate 1: "&amp;$A8&amp;L$2,_xlpm.normal,IFERROR(INDEX(MASTER!$A:$A,MATCH(_xlpm.pos,MASTER!$I:$I,0))&amp;"_ser_0.20_"&amp;TEXT(INDEX(MASTER!$E:$E,MATCH(_xlpm.pos,MASTER!$I:$I,0)),"mmddyy"),""),_xlpm.slot,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8" s="4" t="str">
        <f>_xlfn.LET(_xlpm.pos,"NIH plate 1: "&amp;$A8&amp;M$2,_xlpm.normal,IFERROR(INDEX(MASTER!$A:$A,MATCH(_xlpm.pos,MASTER!$I:$I,0))&amp;"_ser_0.20_"&amp;TEXT(INDEX(MASTER!$E:$E,MATCH(_xlpm.pos,MASTER!$I:$I,0)),"mmddyy"),""),_xlpm.slot,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9" spans="1:13" ht="22" customHeight="1" x14ac:dyDescent="0.35">
      <c r="A9" s="6" t="s">
        <v>35</v>
      </c>
      <c r="B9" s="4" t="str">
        <f>_xlfn.LET(_xlpm.pos,"NIH plate 1: "&amp;$A9&amp;B$2,_xlpm.normal,IFERROR(INDEX(MASTER!$A:$A,MATCH(_xlpm.pos,MASTER!$I:$I,0))&amp;"_ser_0.20_"&amp;TEXT(INDEX(MASTER!$E:$E,MATCH(_xlpm.pos,MASTER!$I:$I,0)),"mmddyy"),""),_xlpm.slot,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9" s="4" t="str">
        <f>_xlfn.LET(_xlpm.pos,"NIH plate 1: "&amp;$A9&amp;C$2,_xlpm.normal,IFERROR(INDEX(MASTER!$A:$A,MATCH(_xlpm.pos,MASTER!$I:$I,0))&amp;"_ser_0.20_"&amp;TEXT(INDEX(MASTER!$E:$E,MATCH(_xlpm.pos,MASTER!$I:$I,0)),"mmddyy"),""),_xlpm.slot,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9" s="4" t="str">
        <f>_xlfn.LET(_xlpm.pos,"NIH plate 1: "&amp;$A9&amp;D$2,_xlpm.normal,IFERROR(INDEX(MASTER!$A:$A,MATCH(_xlpm.pos,MASTER!$I:$I,0))&amp;"_ser_0.20_"&amp;TEXT(INDEX(MASTER!$E:$E,MATCH(_xlpm.pos,MASTER!$I:$I,0)),"mmddyy"),""),_xlpm.slot,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9" s="4" t="str">
        <f>_xlfn.LET(_xlpm.pos,"NIH plate 1: "&amp;$A9&amp;E$2,_xlpm.normal,IFERROR(INDEX(MASTER!$A:$A,MATCH(_xlpm.pos,MASTER!$I:$I,0))&amp;"_ser_0.20_"&amp;TEXT(INDEX(MASTER!$E:$E,MATCH(_xlpm.pos,MASTER!$I:$I,0)),"mmddyy"),""),_xlpm.slot,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9" s="4" t="str">
        <f>_xlfn.LET(_xlpm.pos,"NIH plate 1: "&amp;$A9&amp;F$2,_xlpm.normal,IFERROR(INDEX(MASTER!$A:$A,MATCH(_xlpm.pos,MASTER!$I:$I,0))&amp;"_ser_0.20_"&amp;TEXT(INDEX(MASTER!$E:$E,MATCH(_xlpm.pos,MASTER!$I:$I,0)),"mmddyy"),""),_xlpm.slot,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9" s="4" t="str">
        <f>_xlfn.LET(_xlpm.pos,"NIH plate 1: "&amp;$A9&amp;G$2,_xlpm.normal,IFERROR(INDEX(MASTER!$A:$A,MATCH(_xlpm.pos,MASTER!$I:$I,0))&amp;"_ser_0.20_"&amp;TEXT(INDEX(MASTER!$E:$E,MATCH(_xlpm.pos,MASTER!$I:$I,0)),"mmddyy"),""),_xlpm.slot,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9" s="4" t="str">
        <f>_xlfn.LET(_xlpm.pos,"NIH plate 1: "&amp;$A9&amp;H$2,_xlpm.normal,IFERROR(INDEX(MASTER!$A:$A,MATCH(_xlpm.pos,MASTER!$I:$I,0))&amp;"_ser_0.20_"&amp;TEXT(INDEX(MASTER!$E:$E,MATCH(_xlpm.pos,MASTER!$I:$I,0)),"mmddyy"),""),_xlpm.slot,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9" s="4" t="str">
        <f>_xlfn.LET(_xlpm.pos,"NIH plate 1: "&amp;$A9&amp;I$2,_xlpm.normal,IFERROR(INDEX(MASTER!$A:$A,MATCH(_xlpm.pos,MASTER!$I:$I,0))&amp;"_ser_0.20_"&amp;TEXT(INDEX(MASTER!$E:$E,MATCH(_xlpm.pos,MASTER!$I:$I,0)),"mmddyy"),""),_xlpm.slot,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9" s="4" t="str">
        <f>_xlfn.LET(_xlpm.pos,"NIH plate 1: "&amp;$A9&amp;J$2,_xlpm.normal,IFERROR(INDEX(MASTER!$A:$A,MATCH(_xlpm.pos,MASTER!$I:$I,0))&amp;"_ser_0.20_"&amp;TEXT(INDEX(MASTER!$E:$E,MATCH(_xlpm.pos,MASTER!$I:$I,0)),"mmddyy"),""),_xlpm.slot,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9" s="4" t="str">
        <f>_xlfn.LET(_xlpm.pos,"NIH plate 1: "&amp;$A9&amp;K$2,_xlpm.normal,IFERROR(INDEX(MASTER!$A:$A,MATCH(_xlpm.pos,MASTER!$I:$I,0))&amp;"_ser_0.20_"&amp;TEXT(INDEX(MASTER!$E:$E,MATCH(_xlpm.pos,MASTER!$I:$I,0)),"mmddyy"),""),_xlpm.slot,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9" s="4" t="str">
        <f>_xlfn.LET(_xlpm.pos,"NIH plate 1: "&amp;$A9&amp;L$2,_xlpm.normal,IFERROR(INDEX(MASTER!$A:$A,MATCH(_xlpm.pos,MASTER!$I:$I,0))&amp;"_ser_0.20_"&amp;TEXT(INDEX(MASTER!$E:$E,MATCH(_xlpm.pos,MASTER!$I:$I,0)),"mmddyy"),""),_xlpm.slot,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9" s="4" t="str">
        <f>_xlfn.LET(_xlpm.pos,"NIH plate 1: "&amp;$A9&amp;M$2,_xlpm.normal,IFERROR(INDEX(MASTER!$A:$A,MATCH(_xlpm.pos,MASTER!$I:$I,0))&amp;"_ser_0.20_"&amp;TEXT(INDEX(MASTER!$E:$E,MATCH(_xlpm.pos,MASTER!$I:$I,0)),"mmddyy"),""),_xlpm.slot,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0" spans="1:13" ht="22" customHeight="1" x14ac:dyDescent="0.35">
      <c r="A10" s="6" t="s">
        <v>36</v>
      </c>
      <c r="B10" s="4" t="str">
        <f>_xlfn.LET(_xlpm.pos,"NIH plate 1: "&amp;$A10&amp;B$2,_xlpm.normal,IFERROR(INDEX(MASTER!$A:$A,MATCH(_xlpm.pos,MASTER!$I:$I,0))&amp;"_ser_0.20_"&amp;TEXT(INDEX(MASTER!$E:$E,MATCH(_xlpm.pos,MASTER!$I:$I,0)),"mmddyy"),""),_xlpm.slot,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0" s="4" t="str">
        <f>_xlfn.LET(_xlpm.pos,"NIH plate 1: "&amp;$A10&amp;C$2,_xlpm.normal,IFERROR(INDEX(MASTER!$A:$A,MATCH(_xlpm.pos,MASTER!$I:$I,0))&amp;"_ser_0.20_"&amp;TEXT(INDEX(MASTER!$E:$E,MATCH(_xlpm.pos,MASTER!$I:$I,0)),"mmddyy"),""),_xlpm.slot,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0" s="4" t="str">
        <f>_xlfn.LET(_xlpm.pos,"NIH plate 1: "&amp;$A10&amp;D$2,_xlpm.normal,IFERROR(INDEX(MASTER!$A:$A,MATCH(_xlpm.pos,MASTER!$I:$I,0))&amp;"_ser_0.20_"&amp;TEXT(INDEX(MASTER!$E:$E,MATCH(_xlpm.pos,MASTER!$I:$I,0)),"mmddyy"),""),_xlpm.slot,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0" s="4" t="str">
        <f>_xlfn.LET(_xlpm.pos,"NIH plate 1: "&amp;$A10&amp;E$2,_xlpm.normal,IFERROR(INDEX(MASTER!$A:$A,MATCH(_xlpm.pos,MASTER!$I:$I,0))&amp;"_ser_0.20_"&amp;TEXT(INDEX(MASTER!$E:$E,MATCH(_xlpm.pos,MASTER!$I:$I,0)),"mmddyy"),""),_xlpm.slot,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0" s="4" t="str">
        <f>_xlfn.LET(_xlpm.pos,"NIH plate 1: "&amp;$A10&amp;F$2,_xlpm.normal,IFERROR(INDEX(MASTER!$A:$A,MATCH(_xlpm.pos,MASTER!$I:$I,0))&amp;"_ser_0.20_"&amp;TEXT(INDEX(MASTER!$E:$E,MATCH(_xlpm.pos,MASTER!$I:$I,0)),"mmddyy"),""),_xlpm.slot,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0" s="4" t="str">
        <f>_xlfn.LET(_xlpm.pos,"NIH plate 1: "&amp;$A10&amp;G$2,_xlpm.normal,IFERROR(INDEX(MASTER!$A:$A,MATCH(_xlpm.pos,MASTER!$I:$I,0))&amp;"_ser_0.20_"&amp;TEXT(INDEX(MASTER!$E:$E,MATCH(_xlpm.pos,MASTER!$I:$I,0)),"mmddyy"),""),_xlpm.slot,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0" s="4" t="str">
        <f>_xlfn.LET(_xlpm.pos,"NIH plate 1: "&amp;$A10&amp;H$2,_xlpm.normal,IFERROR(INDEX(MASTER!$A:$A,MATCH(_xlpm.pos,MASTER!$I:$I,0))&amp;"_ser_0.20_"&amp;TEXT(INDEX(MASTER!$E:$E,MATCH(_xlpm.pos,MASTER!$I:$I,0)),"mmddyy"),""),_xlpm.slot,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0" s="4" t="str">
        <f>_xlfn.LET(_xlpm.pos,"NIH plate 1: "&amp;$A10&amp;I$2,_xlpm.normal,IFERROR(INDEX(MASTER!$A:$A,MATCH(_xlpm.pos,MASTER!$I:$I,0))&amp;"_ser_0.20_"&amp;TEXT(INDEX(MASTER!$E:$E,MATCH(_xlpm.pos,MASTER!$I:$I,0)),"mmddyy"),""),_xlpm.slot,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0" s="4" t="str">
        <f>_xlfn.LET(_xlpm.pos,"NIH plate 1: "&amp;$A10&amp;J$2,_xlpm.normal,IFERROR(INDEX(MASTER!$A:$A,MATCH(_xlpm.pos,MASTER!$I:$I,0))&amp;"_ser_0.20_"&amp;TEXT(INDEX(MASTER!$E:$E,MATCH(_xlpm.pos,MASTER!$I:$I,0)),"mmddyy"),""),_xlpm.slot,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0" s="4" t="str">
        <f>_xlfn.LET(_xlpm.pos,"NIH plate 1: "&amp;$A10&amp;K$2,_xlpm.normal,IFERROR(INDEX(MASTER!$A:$A,MATCH(_xlpm.pos,MASTER!$I:$I,0))&amp;"_ser_0.20_"&amp;TEXT(INDEX(MASTER!$E:$E,MATCH(_xlpm.pos,MASTER!$I:$I,0)),"mmddyy"),""),_xlpm.slot,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0" s="4" t="str">
        <f>_xlfn.LET(_xlpm.pos,"NIH plate 1: "&amp;$A10&amp;L$2,_xlpm.normal,IFERROR(INDEX(MASTER!$A:$A,MATCH(_xlpm.pos,MASTER!$I:$I,0))&amp;"_ser_0.20_"&amp;TEXT(INDEX(MASTER!$E:$E,MATCH(_xlpm.pos,MASTER!$I:$I,0)),"mmddyy"),""),_xlpm.slot,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0" s="4" t="str">
        <f>_xlfn.LET(_xlpm.pos,"NIH plate 1: "&amp;$A10&amp;M$2,_xlpm.normal,IFERROR(INDEX(MASTER!$A:$A,MATCH(_xlpm.pos,MASTER!$I:$I,0))&amp;"_ser_0.20_"&amp;TEXT(INDEX(MASTER!$E:$E,MATCH(_xlpm.pos,MASTER!$I:$I,0)),"mmddyy"),""),_xlpm.slot,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1" spans="1:13" ht="22" customHeight="1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22" customHeight="1" x14ac:dyDescent="0.35">
      <c r="A12" s="7"/>
      <c r="B12" s="31" t="s">
        <v>58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</row>
    <row r="13" spans="1:13" ht="22" customHeight="1" x14ac:dyDescent="0.35">
      <c r="A13" s="7"/>
      <c r="B13" s="6">
        <v>1</v>
      </c>
      <c r="C13" s="6">
        <v>2</v>
      </c>
      <c r="D13" s="6">
        <v>3</v>
      </c>
      <c r="E13" s="6">
        <v>4</v>
      </c>
      <c r="F13" s="6">
        <v>5</v>
      </c>
      <c r="G13" s="6">
        <v>6</v>
      </c>
      <c r="H13" s="6">
        <v>7</v>
      </c>
      <c r="I13" s="6">
        <v>8</v>
      </c>
      <c r="J13" s="6">
        <v>9</v>
      </c>
      <c r="K13" s="6">
        <v>10</v>
      </c>
      <c r="L13" s="6">
        <v>11</v>
      </c>
      <c r="M13" s="6">
        <v>12</v>
      </c>
    </row>
    <row r="14" spans="1:13" ht="22" customHeight="1" x14ac:dyDescent="0.35">
      <c r="A14" s="6" t="s">
        <v>30</v>
      </c>
      <c r="B14" s="4" t="str">
        <f>_xlfn.LET(_xlpm.pos,"NIH plate 2: "&amp;$A3&amp;B$2,_xlpm.normal,IFERROR(INDEX(MASTER!$A:$A,MATCH(_xlpm.pos,MASTER!$I:$I,0))&amp;"_ser_0.20_"&amp;TEXT(INDEX(MASTER!$E:$E,MATCH(_xlpm.pos,MASTER!$I:$I,0)),"mmddyy"),""),_xlpm.slot,96+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4" s="4" t="str">
        <f>_xlfn.LET(_xlpm.pos,"NIH plate 2: "&amp;$A3&amp;C$2,_xlpm.normal,IFERROR(INDEX(MASTER!$A:$A,MATCH(_xlpm.pos,MASTER!$I:$I,0))&amp;"_ser_0.20_"&amp;TEXT(INDEX(MASTER!$E:$E,MATCH(_xlpm.pos,MASTER!$I:$I,0)),"mmddyy"),""),_xlpm.slot,96+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4" s="4" t="str">
        <f>_xlfn.LET(_xlpm.pos,"NIH plate 2: "&amp;$A3&amp;D$2,_xlpm.normal,IFERROR(INDEX(MASTER!$A:$A,MATCH(_xlpm.pos,MASTER!$I:$I,0))&amp;"_ser_0.20_"&amp;TEXT(INDEX(MASTER!$E:$E,MATCH(_xlpm.pos,MASTER!$I:$I,0)),"mmddyy"),""),_xlpm.slot,96+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4" s="4" t="str">
        <f>_xlfn.LET(_xlpm.pos,"NIH plate 2: "&amp;$A3&amp;E$2,_xlpm.normal,IFERROR(INDEX(MASTER!$A:$A,MATCH(_xlpm.pos,MASTER!$I:$I,0))&amp;"_ser_0.20_"&amp;TEXT(INDEX(MASTER!$E:$E,MATCH(_xlpm.pos,MASTER!$I:$I,0)),"mmddyy"),""),_xlpm.slot,96+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4" s="4" t="str">
        <f>_xlfn.LET(_xlpm.pos,"NIH plate 2: "&amp;$A3&amp;F$2,_xlpm.normal,IFERROR(INDEX(MASTER!$A:$A,MATCH(_xlpm.pos,MASTER!$I:$I,0))&amp;"_ser_0.20_"&amp;TEXT(INDEX(MASTER!$E:$E,MATCH(_xlpm.pos,MASTER!$I:$I,0)),"mmddyy"),""),_xlpm.slot,96+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4" s="4" t="str">
        <f>_xlfn.LET(_xlpm.pos,"NIH plate 2: "&amp;$A3&amp;G$2,_xlpm.normal,IFERROR(INDEX(MASTER!$A:$A,MATCH(_xlpm.pos,MASTER!$I:$I,0))&amp;"_ser_0.20_"&amp;TEXT(INDEX(MASTER!$E:$E,MATCH(_xlpm.pos,MASTER!$I:$I,0)),"mmddyy"),""),_xlpm.slot,96+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4" s="4" t="str">
        <f>_xlfn.LET(_xlpm.pos,"NIH plate 2: "&amp;$A3&amp;H$2,_xlpm.normal,IFERROR(INDEX(MASTER!$A:$A,MATCH(_xlpm.pos,MASTER!$I:$I,0))&amp;"_ser_0.20_"&amp;TEXT(INDEX(MASTER!$E:$E,MATCH(_xlpm.pos,MASTER!$I:$I,0)),"mmddyy"),""),_xlpm.slot,96+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4" s="4" t="str">
        <f>_xlfn.LET(_xlpm.pos,"NIH plate 2: "&amp;$A3&amp;I$2,_xlpm.normal,IFERROR(INDEX(MASTER!$A:$A,MATCH(_xlpm.pos,MASTER!$I:$I,0))&amp;"_ser_0.20_"&amp;TEXT(INDEX(MASTER!$E:$E,MATCH(_xlpm.pos,MASTER!$I:$I,0)),"mmddyy"),""),_xlpm.slot,96+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4" s="4" t="str">
        <f>_xlfn.LET(_xlpm.pos,"NIH plate 2: "&amp;$A3&amp;J$2,_xlpm.normal,IFERROR(INDEX(MASTER!$A:$A,MATCH(_xlpm.pos,MASTER!$I:$I,0))&amp;"_ser_0.20_"&amp;TEXT(INDEX(MASTER!$E:$E,MATCH(_xlpm.pos,MASTER!$I:$I,0)),"mmddyy"),""),_xlpm.slot,96+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4" s="4" t="str">
        <f>_xlfn.LET(_xlpm.pos,"NIH plate 2: "&amp;$A3&amp;K$2,_xlpm.normal,IFERROR(INDEX(MASTER!$A:$A,MATCH(_xlpm.pos,MASTER!$I:$I,0))&amp;"_ser_0.20_"&amp;TEXT(INDEX(MASTER!$E:$E,MATCH(_xlpm.pos,MASTER!$I:$I,0)),"mmddyy"),""),_xlpm.slot,96+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4" s="4" t="str">
        <f>_xlfn.LET(_xlpm.pos,"NIH plate 2: "&amp;$A3&amp;L$2,_xlpm.normal,IFERROR(INDEX(MASTER!$A:$A,MATCH(_xlpm.pos,MASTER!$I:$I,0))&amp;"_ser_0.20_"&amp;TEXT(INDEX(MASTER!$E:$E,MATCH(_xlpm.pos,MASTER!$I:$I,0)),"mmddyy"),""),_xlpm.slot,96+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4" s="4" t="str">
        <f>_xlfn.LET(_xlpm.pos,"NIH plate 2: "&amp;$A3&amp;M$2,_xlpm.normal,IFERROR(INDEX(MASTER!$A:$A,MATCH(_xlpm.pos,MASTER!$I:$I,0))&amp;"_ser_0.20_"&amp;TEXT(INDEX(MASTER!$E:$E,MATCH(_xlpm.pos,MASTER!$I:$I,0)),"mmddyy"),""),_xlpm.slot,96+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5" spans="1:13" ht="22" customHeight="1" x14ac:dyDescent="0.35">
      <c r="A15" s="6" t="s">
        <v>31</v>
      </c>
      <c r="B15" s="4" t="str">
        <f>_xlfn.LET(_xlpm.pos,"NIH plate 2: "&amp;$A4&amp;B$2,_xlpm.normal,IFERROR(INDEX(MASTER!$A:$A,MATCH(_xlpm.pos,MASTER!$I:$I,0))&amp;"_ser_0.20_"&amp;TEXT(INDEX(MASTER!$E:$E,MATCH(_xlpm.pos,MASTER!$I:$I,0)),"mmddyy"),""),_xlpm.slot,96+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5" s="4" t="str">
        <f>_xlfn.LET(_xlpm.pos,"NIH plate 2: "&amp;$A4&amp;C$2,_xlpm.normal,IFERROR(INDEX(MASTER!$A:$A,MATCH(_xlpm.pos,MASTER!$I:$I,0))&amp;"_ser_0.20_"&amp;TEXT(INDEX(MASTER!$E:$E,MATCH(_xlpm.pos,MASTER!$I:$I,0)),"mmddyy"),""),_xlpm.slot,96+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5" s="4" t="str">
        <f>_xlfn.LET(_xlpm.pos,"NIH plate 2: "&amp;$A4&amp;D$2,_xlpm.normal,IFERROR(INDEX(MASTER!$A:$A,MATCH(_xlpm.pos,MASTER!$I:$I,0))&amp;"_ser_0.20_"&amp;TEXT(INDEX(MASTER!$E:$E,MATCH(_xlpm.pos,MASTER!$I:$I,0)),"mmddyy"),""),_xlpm.slot,96+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5" s="4" t="str">
        <f>_xlfn.LET(_xlpm.pos,"NIH plate 2: "&amp;$A4&amp;E$2,_xlpm.normal,IFERROR(INDEX(MASTER!$A:$A,MATCH(_xlpm.pos,MASTER!$I:$I,0))&amp;"_ser_0.20_"&amp;TEXT(INDEX(MASTER!$E:$E,MATCH(_xlpm.pos,MASTER!$I:$I,0)),"mmddyy"),""),_xlpm.slot,96+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5" s="4" t="str">
        <f>_xlfn.LET(_xlpm.pos,"NIH plate 2: "&amp;$A4&amp;F$2,_xlpm.normal,IFERROR(INDEX(MASTER!$A:$A,MATCH(_xlpm.pos,MASTER!$I:$I,0))&amp;"_ser_0.20_"&amp;TEXT(INDEX(MASTER!$E:$E,MATCH(_xlpm.pos,MASTER!$I:$I,0)),"mmddyy"),""),_xlpm.slot,96+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5" s="4" t="str">
        <f>_xlfn.LET(_xlpm.pos,"NIH plate 2: "&amp;$A4&amp;G$2,_xlpm.normal,IFERROR(INDEX(MASTER!$A:$A,MATCH(_xlpm.pos,MASTER!$I:$I,0))&amp;"_ser_0.20_"&amp;TEXT(INDEX(MASTER!$E:$E,MATCH(_xlpm.pos,MASTER!$I:$I,0)),"mmddyy"),""),_xlpm.slot,96+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5" s="4" t="str">
        <f>_xlfn.LET(_xlpm.pos,"NIH plate 2: "&amp;$A4&amp;H$2,_xlpm.normal,IFERROR(INDEX(MASTER!$A:$A,MATCH(_xlpm.pos,MASTER!$I:$I,0))&amp;"_ser_0.20_"&amp;TEXT(INDEX(MASTER!$E:$E,MATCH(_xlpm.pos,MASTER!$I:$I,0)),"mmddyy"),""),_xlpm.slot,96+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5" s="4" t="str">
        <f>_xlfn.LET(_xlpm.pos,"NIH plate 2: "&amp;$A4&amp;I$2,_xlpm.normal,IFERROR(INDEX(MASTER!$A:$A,MATCH(_xlpm.pos,MASTER!$I:$I,0))&amp;"_ser_0.20_"&amp;TEXT(INDEX(MASTER!$E:$E,MATCH(_xlpm.pos,MASTER!$I:$I,0)),"mmddyy"),""),_xlpm.slot,96+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5" s="4" t="str">
        <f>_xlfn.LET(_xlpm.pos,"NIH plate 2: "&amp;$A4&amp;J$2,_xlpm.normal,IFERROR(INDEX(MASTER!$A:$A,MATCH(_xlpm.pos,MASTER!$I:$I,0))&amp;"_ser_0.20_"&amp;TEXT(INDEX(MASTER!$E:$E,MATCH(_xlpm.pos,MASTER!$I:$I,0)),"mmddyy"),""),_xlpm.slot,96+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5" s="4" t="str">
        <f>_xlfn.LET(_xlpm.pos,"NIH plate 2: "&amp;$A4&amp;K$2,_xlpm.normal,IFERROR(INDEX(MASTER!$A:$A,MATCH(_xlpm.pos,MASTER!$I:$I,0))&amp;"_ser_0.20_"&amp;TEXT(INDEX(MASTER!$E:$E,MATCH(_xlpm.pos,MASTER!$I:$I,0)),"mmddyy"),""),_xlpm.slot,96+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5" s="4" t="str">
        <f>_xlfn.LET(_xlpm.pos,"NIH plate 2: "&amp;$A4&amp;L$2,_xlpm.normal,IFERROR(INDEX(MASTER!$A:$A,MATCH(_xlpm.pos,MASTER!$I:$I,0))&amp;"_ser_0.20_"&amp;TEXT(INDEX(MASTER!$E:$E,MATCH(_xlpm.pos,MASTER!$I:$I,0)),"mmddyy"),""),_xlpm.slot,96+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5" s="4" t="str">
        <f>_xlfn.LET(_xlpm.pos,"NIH plate 2: "&amp;$A4&amp;M$2,_xlpm.normal,IFERROR(INDEX(MASTER!$A:$A,MATCH(_xlpm.pos,MASTER!$I:$I,0))&amp;"_ser_0.20_"&amp;TEXT(INDEX(MASTER!$E:$E,MATCH(_xlpm.pos,MASTER!$I:$I,0)),"mmddyy"),""),_xlpm.slot,96+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6" spans="1:13" ht="22" customHeight="1" x14ac:dyDescent="0.35">
      <c r="A16" s="6" t="s">
        <v>32</v>
      </c>
      <c r="B16" s="4" t="str">
        <f>_xlfn.LET(_xlpm.pos,"NIH plate 2: "&amp;$A5&amp;B$2,_xlpm.normal,IFERROR(INDEX(MASTER!$A:$A,MATCH(_xlpm.pos,MASTER!$I:$I,0))&amp;"_ser_0.20_"&amp;TEXT(INDEX(MASTER!$E:$E,MATCH(_xlpm.pos,MASTER!$I:$I,0)),"mmddyy"),""),_xlpm.slot,96+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6" s="4" t="str">
        <f>_xlfn.LET(_xlpm.pos,"NIH plate 2: "&amp;$A5&amp;C$2,_xlpm.normal,IFERROR(INDEX(MASTER!$A:$A,MATCH(_xlpm.pos,MASTER!$I:$I,0))&amp;"_ser_0.20_"&amp;TEXT(INDEX(MASTER!$E:$E,MATCH(_xlpm.pos,MASTER!$I:$I,0)),"mmddyy"),""),_xlpm.slot,96+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6" s="4" t="str">
        <f>_xlfn.LET(_xlpm.pos,"NIH plate 2: "&amp;$A5&amp;D$2,_xlpm.normal,IFERROR(INDEX(MASTER!$A:$A,MATCH(_xlpm.pos,MASTER!$I:$I,0))&amp;"_ser_0.20_"&amp;TEXT(INDEX(MASTER!$E:$E,MATCH(_xlpm.pos,MASTER!$I:$I,0)),"mmddyy"),""),_xlpm.slot,96+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6" s="4" t="str">
        <f>_xlfn.LET(_xlpm.pos,"NIH plate 2: "&amp;$A5&amp;E$2,_xlpm.normal,IFERROR(INDEX(MASTER!$A:$A,MATCH(_xlpm.pos,MASTER!$I:$I,0))&amp;"_ser_0.20_"&amp;TEXT(INDEX(MASTER!$E:$E,MATCH(_xlpm.pos,MASTER!$I:$I,0)),"mmddyy"),""),_xlpm.slot,96+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6" s="4" t="str">
        <f>_xlfn.LET(_xlpm.pos,"NIH plate 2: "&amp;$A5&amp;F$2,_xlpm.normal,IFERROR(INDEX(MASTER!$A:$A,MATCH(_xlpm.pos,MASTER!$I:$I,0))&amp;"_ser_0.20_"&amp;TEXT(INDEX(MASTER!$E:$E,MATCH(_xlpm.pos,MASTER!$I:$I,0)),"mmddyy"),""),_xlpm.slot,96+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6" s="4" t="str">
        <f>_xlfn.LET(_xlpm.pos,"NIH plate 2: "&amp;$A5&amp;G$2,_xlpm.normal,IFERROR(INDEX(MASTER!$A:$A,MATCH(_xlpm.pos,MASTER!$I:$I,0))&amp;"_ser_0.20_"&amp;TEXT(INDEX(MASTER!$E:$E,MATCH(_xlpm.pos,MASTER!$I:$I,0)),"mmddyy"),""),_xlpm.slot,96+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6" s="4" t="str">
        <f>_xlfn.LET(_xlpm.pos,"NIH plate 2: "&amp;$A5&amp;H$2,_xlpm.normal,IFERROR(INDEX(MASTER!$A:$A,MATCH(_xlpm.pos,MASTER!$I:$I,0))&amp;"_ser_0.20_"&amp;TEXT(INDEX(MASTER!$E:$E,MATCH(_xlpm.pos,MASTER!$I:$I,0)),"mmddyy"),""),_xlpm.slot,96+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6" s="4" t="str">
        <f>_xlfn.LET(_xlpm.pos,"NIH plate 2: "&amp;$A5&amp;I$2,_xlpm.normal,IFERROR(INDEX(MASTER!$A:$A,MATCH(_xlpm.pos,MASTER!$I:$I,0))&amp;"_ser_0.20_"&amp;TEXT(INDEX(MASTER!$E:$E,MATCH(_xlpm.pos,MASTER!$I:$I,0)),"mmddyy"),""),_xlpm.slot,96+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6" s="4" t="str">
        <f>_xlfn.LET(_xlpm.pos,"NIH plate 2: "&amp;$A5&amp;J$2,_xlpm.normal,IFERROR(INDEX(MASTER!$A:$A,MATCH(_xlpm.pos,MASTER!$I:$I,0))&amp;"_ser_0.20_"&amp;TEXT(INDEX(MASTER!$E:$E,MATCH(_xlpm.pos,MASTER!$I:$I,0)),"mmddyy"),""),_xlpm.slot,96+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6" s="4" t="str">
        <f>_xlfn.LET(_xlpm.pos,"NIH plate 2: "&amp;$A5&amp;K$2,_xlpm.normal,IFERROR(INDEX(MASTER!$A:$A,MATCH(_xlpm.pos,MASTER!$I:$I,0))&amp;"_ser_0.20_"&amp;TEXT(INDEX(MASTER!$E:$E,MATCH(_xlpm.pos,MASTER!$I:$I,0)),"mmddyy"),""),_xlpm.slot,96+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6" s="4" t="str">
        <f>_xlfn.LET(_xlpm.pos,"NIH plate 2: "&amp;$A5&amp;L$2,_xlpm.normal,IFERROR(INDEX(MASTER!$A:$A,MATCH(_xlpm.pos,MASTER!$I:$I,0))&amp;"_ser_0.20_"&amp;TEXT(INDEX(MASTER!$E:$E,MATCH(_xlpm.pos,MASTER!$I:$I,0)),"mmddyy"),""),_xlpm.slot,96+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6" s="4" t="str">
        <f>_xlfn.LET(_xlpm.pos,"NIH plate 2: "&amp;$A5&amp;M$2,_xlpm.normal,IFERROR(INDEX(MASTER!$A:$A,MATCH(_xlpm.pos,MASTER!$I:$I,0))&amp;"_ser_0.20_"&amp;TEXT(INDEX(MASTER!$E:$E,MATCH(_xlpm.pos,MASTER!$I:$I,0)),"mmddyy"),""),_xlpm.slot,96+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7" spans="1:13" ht="22" customHeight="1" x14ac:dyDescent="0.35">
      <c r="A17" s="6" t="s">
        <v>33</v>
      </c>
      <c r="B17" s="4" t="str">
        <f>_xlfn.LET(_xlpm.pos,"NIH plate 2: "&amp;$A6&amp;B$2,_xlpm.normal,IFERROR(INDEX(MASTER!$A:$A,MATCH(_xlpm.pos,MASTER!$I:$I,0))&amp;"_ser_0.20_"&amp;TEXT(INDEX(MASTER!$E:$E,MATCH(_xlpm.pos,MASTER!$I:$I,0)),"mmddyy"),""),_xlpm.slot,96+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7" s="4" t="str">
        <f>_xlfn.LET(_xlpm.pos,"NIH plate 2: "&amp;$A6&amp;C$2,_xlpm.normal,IFERROR(INDEX(MASTER!$A:$A,MATCH(_xlpm.pos,MASTER!$I:$I,0))&amp;"_ser_0.20_"&amp;TEXT(INDEX(MASTER!$E:$E,MATCH(_xlpm.pos,MASTER!$I:$I,0)),"mmddyy"),""),_xlpm.slot,96+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7" s="4" t="str">
        <f>_xlfn.LET(_xlpm.pos,"NIH plate 2: "&amp;$A6&amp;D$2,_xlpm.normal,IFERROR(INDEX(MASTER!$A:$A,MATCH(_xlpm.pos,MASTER!$I:$I,0))&amp;"_ser_0.20_"&amp;TEXT(INDEX(MASTER!$E:$E,MATCH(_xlpm.pos,MASTER!$I:$I,0)),"mmddyy"),""),_xlpm.slot,96+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7" s="4" t="str">
        <f>_xlfn.LET(_xlpm.pos,"NIH plate 2: "&amp;$A6&amp;E$2,_xlpm.normal,IFERROR(INDEX(MASTER!$A:$A,MATCH(_xlpm.pos,MASTER!$I:$I,0))&amp;"_ser_0.20_"&amp;TEXT(INDEX(MASTER!$E:$E,MATCH(_xlpm.pos,MASTER!$I:$I,0)),"mmddyy"),""),_xlpm.slot,96+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7" s="4" t="str">
        <f>_xlfn.LET(_xlpm.pos,"NIH plate 2: "&amp;$A6&amp;F$2,_xlpm.normal,IFERROR(INDEX(MASTER!$A:$A,MATCH(_xlpm.pos,MASTER!$I:$I,0))&amp;"_ser_0.20_"&amp;TEXT(INDEX(MASTER!$E:$E,MATCH(_xlpm.pos,MASTER!$I:$I,0)),"mmddyy"),""),_xlpm.slot,96+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7" s="4" t="str">
        <f>_xlfn.LET(_xlpm.pos,"NIH plate 2: "&amp;$A6&amp;G$2,_xlpm.normal,IFERROR(INDEX(MASTER!$A:$A,MATCH(_xlpm.pos,MASTER!$I:$I,0))&amp;"_ser_0.20_"&amp;TEXT(INDEX(MASTER!$E:$E,MATCH(_xlpm.pos,MASTER!$I:$I,0)),"mmddyy"),""),_xlpm.slot,96+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7" s="4" t="str">
        <f>_xlfn.LET(_xlpm.pos,"NIH plate 2: "&amp;$A6&amp;H$2,_xlpm.normal,IFERROR(INDEX(MASTER!$A:$A,MATCH(_xlpm.pos,MASTER!$I:$I,0))&amp;"_ser_0.20_"&amp;TEXT(INDEX(MASTER!$E:$E,MATCH(_xlpm.pos,MASTER!$I:$I,0)),"mmddyy"),""),_xlpm.slot,96+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7" s="4" t="str">
        <f>_xlfn.LET(_xlpm.pos,"NIH plate 2: "&amp;$A6&amp;I$2,_xlpm.normal,IFERROR(INDEX(MASTER!$A:$A,MATCH(_xlpm.pos,MASTER!$I:$I,0))&amp;"_ser_0.20_"&amp;TEXT(INDEX(MASTER!$E:$E,MATCH(_xlpm.pos,MASTER!$I:$I,0)),"mmddyy"),""),_xlpm.slot,96+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7" s="4" t="str">
        <f>_xlfn.LET(_xlpm.pos,"NIH plate 2: "&amp;$A6&amp;J$2,_xlpm.normal,IFERROR(INDEX(MASTER!$A:$A,MATCH(_xlpm.pos,MASTER!$I:$I,0))&amp;"_ser_0.20_"&amp;TEXT(INDEX(MASTER!$E:$E,MATCH(_xlpm.pos,MASTER!$I:$I,0)),"mmddyy"),""),_xlpm.slot,96+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7" s="4" t="str">
        <f>_xlfn.LET(_xlpm.pos,"NIH plate 2: "&amp;$A6&amp;K$2,_xlpm.normal,IFERROR(INDEX(MASTER!$A:$A,MATCH(_xlpm.pos,MASTER!$I:$I,0))&amp;"_ser_0.20_"&amp;TEXT(INDEX(MASTER!$E:$E,MATCH(_xlpm.pos,MASTER!$I:$I,0)),"mmddyy"),""),_xlpm.slot,96+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7" s="4" t="str">
        <f>_xlfn.LET(_xlpm.pos,"NIH plate 2: "&amp;$A6&amp;L$2,_xlpm.normal,IFERROR(INDEX(MASTER!$A:$A,MATCH(_xlpm.pos,MASTER!$I:$I,0))&amp;"_ser_0.20_"&amp;TEXT(INDEX(MASTER!$E:$E,MATCH(_xlpm.pos,MASTER!$I:$I,0)),"mmddyy"),""),_xlpm.slot,96+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7" s="4" t="str">
        <f>_xlfn.LET(_xlpm.pos,"NIH plate 2: "&amp;$A6&amp;M$2,_xlpm.normal,IFERROR(INDEX(MASTER!$A:$A,MATCH(_xlpm.pos,MASTER!$I:$I,0))&amp;"_ser_0.20_"&amp;TEXT(INDEX(MASTER!$E:$E,MATCH(_xlpm.pos,MASTER!$I:$I,0)),"mmddyy"),""),_xlpm.slot,96+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8" spans="1:13" ht="22" customHeight="1" x14ac:dyDescent="0.35">
      <c r="A18" s="6" t="s">
        <v>34</v>
      </c>
      <c r="B18" s="4" t="str">
        <f>_xlfn.LET(_xlpm.pos,"NIH plate 2: "&amp;$A7&amp;B$2,_xlpm.normal,IFERROR(INDEX(MASTER!$A:$A,MATCH(_xlpm.pos,MASTER!$I:$I,0))&amp;"_ser_0.20_"&amp;TEXT(INDEX(MASTER!$E:$E,MATCH(_xlpm.pos,MASTER!$I:$I,0)),"mmddyy"),""),_xlpm.slot,96+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8" s="4" t="str">
        <f>_xlfn.LET(_xlpm.pos,"NIH plate 2: "&amp;$A7&amp;C$2,_xlpm.normal,IFERROR(INDEX(MASTER!$A:$A,MATCH(_xlpm.pos,MASTER!$I:$I,0))&amp;"_ser_0.20_"&amp;TEXT(INDEX(MASTER!$E:$E,MATCH(_xlpm.pos,MASTER!$I:$I,0)),"mmddyy"),""),_xlpm.slot,96+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8" s="4" t="str">
        <f>_xlfn.LET(_xlpm.pos,"NIH plate 2: "&amp;$A7&amp;D$2,_xlpm.normal,IFERROR(INDEX(MASTER!$A:$A,MATCH(_xlpm.pos,MASTER!$I:$I,0))&amp;"_ser_0.20_"&amp;TEXT(INDEX(MASTER!$E:$E,MATCH(_xlpm.pos,MASTER!$I:$I,0)),"mmddyy"),""),_xlpm.slot,96+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8" s="4" t="str">
        <f>_xlfn.LET(_xlpm.pos,"NIH plate 2: "&amp;$A7&amp;E$2,_xlpm.normal,IFERROR(INDEX(MASTER!$A:$A,MATCH(_xlpm.pos,MASTER!$I:$I,0))&amp;"_ser_0.20_"&amp;TEXT(INDEX(MASTER!$E:$E,MATCH(_xlpm.pos,MASTER!$I:$I,0)),"mmddyy"),""),_xlpm.slot,96+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8" s="4" t="str">
        <f>_xlfn.LET(_xlpm.pos,"NIH plate 2: "&amp;$A7&amp;F$2,_xlpm.normal,IFERROR(INDEX(MASTER!$A:$A,MATCH(_xlpm.pos,MASTER!$I:$I,0))&amp;"_ser_0.20_"&amp;TEXT(INDEX(MASTER!$E:$E,MATCH(_xlpm.pos,MASTER!$I:$I,0)),"mmddyy"),""),_xlpm.slot,96+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8" s="4" t="str">
        <f>_xlfn.LET(_xlpm.pos,"NIH plate 2: "&amp;$A7&amp;G$2,_xlpm.normal,IFERROR(INDEX(MASTER!$A:$A,MATCH(_xlpm.pos,MASTER!$I:$I,0))&amp;"_ser_0.20_"&amp;TEXT(INDEX(MASTER!$E:$E,MATCH(_xlpm.pos,MASTER!$I:$I,0)),"mmddyy"),""),_xlpm.slot,96+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8" s="4" t="str">
        <f>_xlfn.LET(_xlpm.pos,"NIH plate 2: "&amp;$A7&amp;H$2,_xlpm.normal,IFERROR(INDEX(MASTER!$A:$A,MATCH(_xlpm.pos,MASTER!$I:$I,0))&amp;"_ser_0.20_"&amp;TEXT(INDEX(MASTER!$E:$E,MATCH(_xlpm.pos,MASTER!$I:$I,0)),"mmddyy"),""),_xlpm.slot,96+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8" s="4" t="str">
        <f>_xlfn.LET(_xlpm.pos,"NIH plate 2: "&amp;$A7&amp;I$2,_xlpm.normal,IFERROR(INDEX(MASTER!$A:$A,MATCH(_xlpm.pos,MASTER!$I:$I,0))&amp;"_ser_0.20_"&amp;TEXT(INDEX(MASTER!$E:$E,MATCH(_xlpm.pos,MASTER!$I:$I,0)),"mmddyy"),""),_xlpm.slot,96+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8" s="4" t="str">
        <f>_xlfn.LET(_xlpm.pos,"NIH plate 2: "&amp;$A7&amp;J$2,_xlpm.normal,IFERROR(INDEX(MASTER!$A:$A,MATCH(_xlpm.pos,MASTER!$I:$I,0))&amp;"_ser_0.20_"&amp;TEXT(INDEX(MASTER!$E:$E,MATCH(_xlpm.pos,MASTER!$I:$I,0)),"mmddyy"),""),_xlpm.slot,96+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8" s="4" t="str">
        <f>_xlfn.LET(_xlpm.pos,"NIH plate 2: "&amp;$A7&amp;K$2,_xlpm.normal,IFERROR(INDEX(MASTER!$A:$A,MATCH(_xlpm.pos,MASTER!$I:$I,0))&amp;"_ser_0.20_"&amp;TEXT(INDEX(MASTER!$E:$E,MATCH(_xlpm.pos,MASTER!$I:$I,0)),"mmddyy"),""),_xlpm.slot,96+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8" s="4" t="str">
        <f>_xlfn.LET(_xlpm.pos,"NIH plate 2: "&amp;$A7&amp;L$2,_xlpm.normal,IFERROR(INDEX(MASTER!$A:$A,MATCH(_xlpm.pos,MASTER!$I:$I,0))&amp;"_ser_0.20_"&amp;TEXT(INDEX(MASTER!$E:$E,MATCH(_xlpm.pos,MASTER!$I:$I,0)),"mmddyy"),""),_xlpm.slot,96+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8" s="4" t="str">
        <f>_xlfn.LET(_xlpm.pos,"NIH plate 2: "&amp;$A7&amp;M$2,_xlpm.normal,IFERROR(INDEX(MASTER!$A:$A,MATCH(_xlpm.pos,MASTER!$I:$I,0))&amp;"_ser_0.20_"&amp;TEXT(INDEX(MASTER!$E:$E,MATCH(_xlpm.pos,MASTER!$I:$I,0)),"mmddyy"),""),_xlpm.slot,96+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9" spans="1:13" ht="22" customHeight="1" x14ac:dyDescent="0.35">
      <c r="A19" s="6" t="s">
        <v>15</v>
      </c>
      <c r="B19" s="4" t="str">
        <f>_xlfn.LET(_xlpm.pos,"NIH plate 2: "&amp;$A8&amp;B$2,_xlpm.normal,IFERROR(INDEX(MASTER!$A:$A,MATCH(_xlpm.pos,MASTER!$I:$I,0))&amp;"_ser_0.20_"&amp;TEXT(INDEX(MASTER!$E:$E,MATCH(_xlpm.pos,MASTER!$I:$I,0)),"mmddyy"),""),_xlpm.slot,96+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9" s="4" t="str">
        <f>_xlfn.LET(_xlpm.pos,"NIH plate 2: "&amp;$A8&amp;C$2,_xlpm.normal,IFERROR(INDEX(MASTER!$A:$A,MATCH(_xlpm.pos,MASTER!$I:$I,0))&amp;"_ser_0.20_"&amp;TEXT(INDEX(MASTER!$E:$E,MATCH(_xlpm.pos,MASTER!$I:$I,0)),"mmddyy"),""),_xlpm.slot,96+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9" s="4" t="str">
        <f>_xlfn.LET(_xlpm.pos,"NIH plate 2: "&amp;$A8&amp;D$2,_xlpm.normal,IFERROR(INDEX(MASTER!$A:$A,MATCH(_xlpm.pos,MASTER!$I:$I,0))&amp;"_ser_0.20_"&amp;TEXT(INDEX(MASTER!$E:$E,MATCH(_xlpm.pos,MASTER!$I:$I,0)),"mmddyy"),""),_xlpm.slot,96+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9" s="4" t="str">
        <f>_xlfn.LET(_xlpm.pos,"NIH plate 2: "&amp;$A8&amp;E$2,_xlpm.normal,IFERROR(INDEX(MASTER!$A:$A,MATCH(_xlpm.pos,MASTER!$I:$I,0))&amp;"_ser_0.20_"&amp;TEXT(INDEX(MASTER!$E:$E,MATCH(_xlpm.pos,MASTER!$I:$I,0)),"mmddyy"),""),_xlpm.slot,96+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9" s="4" t="str">
        <f>_xlfn.LET(_xlpm.pos,"NIH plate 2: "&amp;$A8&amp;F$2,_xlpm.normal,IFERROR(INDEX(MASTER!$A:$A,MATCH(_xlpm.pos,MASTER!$I:$I,0))&amp;"_ser_0.20_"&amp;TEXT(INDEX(MASTER!$E:$E,MATCH(_xlpm.pos,MASTER!$I:$I,0)),"mmddyy"),""),_xlpm.slot,96+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9" s="4" t="str">
        <f>_xlfn.LET(_xlpm.pos,"NIH plate 2: "&amp;$A8&amp;G$2,_xlpm.normal,IFERROR(INDEX(MASTER!$A:$A,MATCH(_xlpm.pos,MASTER!$I:$I,0))&amp;"_ser_0.20_"&amp;TEXT(INDEX(MASTER!$E:$E,MATCH(_xlpm.pos,MASTER!$I:$I,0)),"mmddyy"),""),_xlpm.slot,96+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9" s="4" t="str">
        <f>_xlfn.LET(_xlpm.pos,"NIH plate 2: "&amp;$A8&amp;H$2,_xlpm.normal,IFERROR(INDEX(MASTER!$A:$A,MATCH(_xlpm.pos,MASTER!$I:$I,0))&amp;"_ser_0.20_"&amp;TEXT(INDEX(MASTER!$E:$E,MATCH(_xlpm.pos,MASTER!$I:$I,0)),"mmddyy"),""),_xlpm.slot,96+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9" s="4" t="str">
        <f>_xlfn.LET(_xlpm.pos,"NIH plate 2: "&amp;$A8&amp;I$2,_xlpm.normal,IFERROR(INDEX(MASTER!$A:$A,MATCH(_xlpm.pos,MASTER!$I:$I,0))&amp;"_ser_0.20_"&amp;TEXT(INDEX(MASTER!$E:$E,MATCH(_xlpm.pos,MASTER!$I:$I,0)),"mmddyy"),""),_xlpm.slot,96+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9" s="4" t="str">
        <f>_xlfn.LET(_xlpm.pos,"NIH plate 2: "&amp;$A8&amp;J$2,_xlpm.normal,IFERROR(INDEX(MASTER!$A:$A,MATCH(_xlpm.pos,MASTER!$I:$I,0))&amp;"_ser_0.20_"&amp;TEXT(INDEX(MASTER!$E:$E,MATCH(_xlpm.pos,MASTER!$I:$I,0)),"mmddyy"),""),_xlpm.slot,96+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9" s="4" t="str">
        <f>_xlfn.LET(_xlpm.pos,"NIH plate 2: "&amp;$A8&amp;K$2,_xlpm.normal,IFERROR(INDEX(MASTER!$A:$A,MATCH(_xlpm.pos,MASTER!$I:$I,0))&amp;"_ser_0.20_"&amp;TEXT(INDEX(MASTER!$E:$E,MATCH(_xlpm.pos,MASTER!$I:$I,0)),"mmddyy"),""),_xlpm.slot,96+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9" s="4" t="str">
        <f>_xlfn.LET(_xlpm.pos,"NIH plate 2: "&amp;$A8&amp;L$2,_xlpm.normal,IFERROR(INDEX(MASTER!$A:$A,MATCH(_xlpm.pos,MASTER!$I:$I,0))&amp;"_ser_0.20_"&amp;TEXT(INDEX(MASTER!$E:$E,MATCH(_xlpm.pos,MASTER!$I:$I,0)),"mmddyy"),""),_xlpm.slot,96+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9" s="4" t="str">
        <f>_xlfn.LET(_xlpm.pos,"NIH plate 2: "&amp;$A8&amp;M$2,_xlpm.normal,IFERROR(INDEX(MASTER!$A:$A,MATCH(_xlpm.pos,MASTER!$I:$I,0))&amp;"_ser_0.20_"&amp;TEXT(INDEX(MASTER!$E:$E,MATCH(_xlpm.pos,MASTER!$I:$I,0)),"mmddyy"),""),_xlpm.slot,96+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0" spans="1:13" ht="22" customHeight="1" x14ac:dyDescent="0.35">
      <c r="A20" s="6" t="s">
        <v>35</v>
      </c>
      <c r="B20" s="4" t="str">
        <f>_xlfn.LET(_xlpm.pos,"NIH plate 2: "&amp;$A9&amp;B$2,_xlpm.normal,IFERROR(INDEX(MASTER!$A:$A,MATCH(_xlpm.pos,MASTER!$I:$I,0))&amp;"_ser_0.20_"&amp;TEXT(INDEX(MASTER!$E:$E,MATCH(_xlpm.pos,MASTER!$I:$I,0)),"mmddyy"),""),_xlpm.slot,96+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0" s="4" t="str">
        <f>_xlfn.LET(_xlpm.pos,"NIH plate 2: "&amp;$A9&amp;C$2,_xlpm.normal,IFERROR(INDEX(MASTER!$A:$A,MATCH(_xlpm.pos,MASTER!$I:$I,0))&amp;"_ser_0.20_"&amp;TEXT(INDEX(MASTER!$E:$E,MATCH(_xlpm.pos,MASTER!$I:$I,0)),"mmddyy"),""),_xlpm.slot,96+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0" s="4" t="str">
        <f>_xlfn.LET(_xlpm.pos,"NIH plate 2: "&amp;$A9&amp;D$2,_xlpm.normal,IFERROR(INDEX(MASTER!$A:$A,MATCH(_xlpm.pos,MASTER!$I:$I,0))&amp;"_ser_0.20_"&amp;TEXT(INDEX(MASTER!$E:$E,MATCH(_xlpm.pos,MASTER!$I:$I,0)),"mmddyy"),""),_xlpm.slot,96+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0" s="4" t="str">
        <f>_xlfn.LET(_xlpm.pos,"NIH plate 2: "&amp;$A9&amp;E$2,_xlpm.normal,IFERROR(INDEX(MASTER!$A:$A,MATCH(_xlpm.pos,MASTER!$I:$I,0))&amp;"_ser_0.20_"&amp;TEXT(INDEX(MASTER!$E:$E,MATCH(_xlpm.pos,MASTER!$I:$I,0)),"mmddyy"),""),_xlpm.slot,96+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0" s="4" t="str">
        <f>_xlfn.LET(_xlpm.pos,"NIH plate 2: "&amp;$A9&amp;F$2,_xlpm.normal,IFERROR(INDEX(MASTER!$A:$A,MATCH(_xlpm.pos,MASTER!$I:$I,0))&amp;"_ser_0.20_"&amp;TEXT(INDEX(MASTER!$E:$E,MATCH(_xlpm.pos,MASTER!$I:$I,0)),"mmddyy"),""),_xlpm.slot,96+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0" s="4" t="str">
        <f>_xlfn.LET(_xlpm.pos,"NIH plate 2: "&amp;$A9&amp;G$2,_xlpm.normal,IFERROR(INDEX(MASTER!$A:$A,MATCH(_xlpm.pos,MASTER!$I:$I,0))&amp;"_ser_0.20_"&amp;TEXT(INDEX(MASTER!$E:$E,MATCH(_xlpm.pos,MASTER!$I:$I,0)),"mmddyy"),""),_xlpm.slot,96+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0" s="4" t="str">
        <f>_xlfn.LET(_xlpm.pos,"NIH plate 2: "&amp;$A9&amp;H$2,_xlpm.normal,IFERROR(INDEX(MASTER!$A:$A,MATCH(_xlpm.pos,MASTER!$I:$I,0))&amp;"_ser_0.20_"&amp;TEXT(INDEX(MASTER!$E:$E,MATCH(_xlpm.pos,MASTER!$I:$I,0)),"mmddyy"),""),_xlpm.slot,96+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0" s="4" t="str">
        <f>_xlfn.LET(_xlpm.pos,"NIH plate 2: "&amp;$A9&amp;I$2,_xlpm.normal,IFERROR(INDEX(MASTER!$A:$A,MATCH(_xlpm.pos,MASTER!$I:$I,0))&amp;"_ser_0.20_"&amp;TEXT(INDEX(MASTER!$E:$E,MATCH(_xlpm.pos,MASTER!$I:$I,0)),"mmddyy"),""),_xlpm.slot,96+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0" s="4" t="str">
        <f>_xlfn.LET(_xlpm.pos,"NIH plate 2: "&amp;$A9&amp;J$2,_xlpm.normal,IFERROR(INDEX(MASTER!$A:$A,MATCH(_xlpm.pos,MASTER!$I:$I,0))&amp;"_ser_0.20_"&amp;TEXT(INDEX(MASTER!$E:$E,MATCH(_xlpm.pos,MASTER!$I:$I,0)),"mmddyy"),""),_xlpm.slot,96+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0" s="4" t="str">
        <f>_xlfn.LET(_xlpm.pos,"NIH plate 2: "&amp;$A9&amp;K$2,_xlpm.normal,IFERROR(INDEX(MASTER!$A:$A,MATCH(_xlpm.pos,MASTER!$I:$I,0))&amp;"_ser_0.20_"&amp;TEXT(INDEX(MASTER!$E:$E,MATCH(_xlpm.pos,MASTER!$I:$I,0)),"mmddyy"),""),_xlpm.slot,96+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0" s="4" t="str">
        <f>_xlfn.LET(_xlpm.pos,"NIH plate 2: "&amp;$A9&amp;L$2,_xlpm.normal,IFERROR(INDEX(MASTER!$A:$A,MATCH(_xlpm.pos,MASTER!$I:$I,0))&amp;"_ser_0.20_"&amp;TEXT(INDEX(MASTER!$E:$E,MATCH(_xlpm.pos,MASTER!$I:$I,0)),"mmddyy"),""),_xlpm.slot,96+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0" s="4" t="str">
        <f>_xlfn.LET(_xlpm.pos,"NIH plate 2: "&amp;$A9&amp;M$2,_xlpm.normal,IFERROR(INDEX(MASTER!$A:$A,MATCH(_xlpm.pos,MASTER!$I:$I,0))&amp;"_ser_0.20_"&amp;TEXT(INDEX(MASTER!$E:$E,MATCH(_xlpm.pos,MASTER!$I:$I,0)),"mmddyy"),""),_xlpm.slot,96+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1" spans="1:13" ht="22" customHeight="1" x14ac:dyDescent="0.35">
      <c r="A21" s="6" t="s">
        <v>36</v>
      </c>
      <c r="B21" s="4" t="str">
        <f>_xlfn.LET(_xlpm.pos,"NIH plate 2: "&amp;$A10&amp;B$2,_xlpm.normal,IFERROR(INDEX(MASTER!$A:$A,MATCH(_xlpm.pos,MASTER!$I:$I,0))&amp;"_ser_0.20_"&amp;TEXT(INDEX(MASTER!$E:$E,MATCH(_xlpm.pos,MASTER!$I:$I,0)),"mmddyy"),""),_xlpm.slot,96+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1" s="4" t="str">
        <f>_xlfn.LET(_xlpm.pos,"NIH plate 2: "&amp;$A10&amp;C$2,_xlpm.normal,IFERROR(INDEX(MASTER!$A:$A,MATCH(_xlpm.pos,MASTER!$I:$I,0))&amp;"_ser_0.20_"&amp;TEXT(INDEX(MASTER!$E:$E,MATCH(_xlpm.pos,MASTER!$I:$I,0)),"mmddyy"),""),_xlpm.slot,96+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1" s="4" t="str">
        <f>_xlfn.LET(_xlpm.pos,"NIH plate 2: "&amp;$A10&amp;D$2,_xlpm.normal,IFERROR(INDEX(MASTER!$A:$A,MATCH(_xlpm.pos,MASTER!$I:$I,0))&amp;"_ser_0.20_"&amp;TEXT(INDEX(MASTER!$E:$E,MATCH(_xlpm.pos,MASTER!$I:$I,0)),"mmddyy"),""),_xlpm.slot,96+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1" s="4" t="str">
        <f>_xlfn.LET(_xlpm.pos,"NIH plate 2: "&amp;$A10&amp;E$2,_xlpm.normal,IFERROR(INDEX(MASTER!$A:$A,MATCH(_xlpm.pos,MASTER!$I:$I,0))&amp;"_ser_0.20_"&amp;TEXT(INDEX(MASTER!$E:$E,MATCH(_xlpm.pos,MASTER!$I:$I,0)),"mmddyy"),""),_xlpm.slot,96+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1" s="4" t="str">
        <f>_xlfn.LET(_xlpm.pos,"NIH plate 2: "&amp;$A10&amp;F$2,_xlpm.normal,IFERROR(INDEX(MASTER!$A:$A,MATCH(_xlpm.pos,MASTER!$I:$I,0))&amp;"_ser_0.20_"&amp;TEXT(INDEX(MASTER!$E:$E,MATCH(_xlpm.pos,MASTER!$I:$I,0)),"mmddyy"),""),_xlpm.slot,96+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1" s="4" t="str">
        <f>_xlfn.LET(_xlpm.pos,"NIH plate 2: "&amp;$A10&amp;G$2,_xlpm.normal,IFERROR(INDEX(MASTER!$A:$A,MATCH(_xlpm.pos,MASTER!$I:$I,0))&amp;"_ser_0.20_"&amp;TEXT(INDEX(MASTER!$E:$E,MATCH(_xlpm.pos,MASTER!$I:$I,0)),"mmddyy"),""),_xlpm.slot,96+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1" s="4" t="str">
        <f>_xlfn.LET(_xlpm.pos,"NIH plate 2: "&amp;$A10&amp;H$2,_xlpm.normal,IFERROR(INDEX(MASTER!$A:$A,MATCH(_xlpm.pos,MASTER!$I:$I,0))&amp;"_ser_0.20_"&amp;TEXT(INDEX(MASTER!$E:$E,MATCH(_xlpm.pos,MASTER!$I:$I,0)),"mmddyy"),""),_xlpm.slot,96+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1" s="4" t="str">
        <f>_xlfn.LET(_xlpm.pos,"NIH plate 2: "&amp;$A10&amp;I$2,_xlpm.normal,IFERROR(INDEX(MASTER!$A:$A,MATCH(_xlpm.pos,MASTER!$I:$I,0))&amp;"_ser_0.20_"&amp;TEXT(INDEX(MASTER!$E:$E,MATCH(_xlpm.pos,MASTER!$I:$I,0)),"mmddyy"),""),_xlpm.slot,96+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1" s="4" t="str">
        <f>_xlfn.LET(_xlpm.pos,"NIH plate 2: "&amp;$A10&amp;J$2,_xlpm.normal,IFERROR(INDEX(MASTER!$A:$A,MATCH(_xlpm.pos,MASTER!$I:$I,0))&amp;"_ser_0.20_"&amp;TEXT(INDEX(MASTER!$E:$E,MATCH(_xlpm.pos,MASTER!$I:$I,0)),"mmddyy"),""),_xlpm.slot,96+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1" s="4" t="str">
        <f>_xlfn.LET(_xlpm.pos,"NIH plate 2: "&amp;$A10&amp;K$2,_xlpm.normal,IFERROR(INDEX(MASTER!$A:$A,MATCH(_xlpm.pos,MASTER!$I:$I,0))&amp;"_ser_0.20_"&amp;TEXT(INDEX(MASTER!$E:$E,MATCH(_xlpm.pos,MASTER!$I:$I,0)),"mmddyy"),""),_xlpm.slot,96+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1" s="4" t="str">
        <f>_xlfn.LET(_xlpm.pos,"NIH plate 2: "&amp;$A10&amp;L$2,_xlpm.normal,IFERROR(INDEX(MASTER!$A:$A,MATCH(_xlpm.pos,MASTER!$I:$I,0))&amp;"_ser_0.20_"&amp;TEXT(INDEX(MASTER!$E:$E,MATCH(_xlpm.pos,MASTER!$I:$I,0)),"mmddyy"),""),_xlpm.slot,96+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1" s="4" t="str">
        <f>_xlfn.LET(_xlpm.pos,"NIH plate 2: "&amp;$A10&amp;M$2,_xlpm.normal,IFERROR(INDEX(MASTER!$A:$A,MATCH(_xlpm.pos,MASTER!$I:$I,0))&amp;"_ser_0.20_"&amp;TEXT(INDEX(MASTER!$E:$E,MATCH(_xlpm.pos,MASTER!$I:$I,0)),"mmddyy"),""),_xlpm.slot,96+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2" spans="1:13" ht="22" customHeight="1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ht="22" customHeight="1" x14ac:dyDescent="0.35">
      <c r="A23" s="7"/>
      <c r="B23" s="31" t="s">
        <v>59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</row>
    <row r="24" spans="1:13" ht="22" customHeight="1" x14ac:dyDescent="0.35">
      <c r="A24" s="7"/>
      <c r="B24" s="6">
        <v>1</v>
      </c>
      <c r="C24" s="6">
        <v>2</v>
      </c>
      <c r="D24" s="6">
        <v>3</v>
      </c>
      <c r="E24" s="6">
        <v>4</v>
      </c>
      <c r="F24" s="6">
        <v>5</v>
      </c>
      <c r="G24" s="6">
        <v>6</v>
      </c>
      <c r="H24" s="6">
        <v>7</v>
      </c>
      <c r="I24" s="6">
        <v>8</v>
      </c>
      <c r="J24" s="6">
        <v>9</v>
      </c>
      <c r="K24" s="6">
        <v>10</v>
      </c>
      <c r="L24" s="6">
        <v>11</v>
      </c>
      <c r="M24" s="6">
        <v>12</v>
      </c>
    </row>
    <row r="25" spans="1:13" ht="22" customHeight="1" x14ac:dyDescent="0.35">
      <c r="A25" s="6" t="s">
        <v>30</v>
      </c>
      <c r="B25" s="4" t="str">
        <f>_xlfn.LET(_xlpm.pos,"NIH plate 3: "&amp;$A3&amp;B$2,_xlpm.normal,IFERROR(INDEX(MASTER!$A:$A,MATCH(_xlpm.pos,MASTER!$I:$I,0))&amp;"_ser_0.20_"&amp;TEXT(INDEX(MASTER!$E:$E,MATCH(_xlpm.pos,MASTER!$I:$I,0)),"mmddyy"),""),_xlpm.slot,192+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5" s="4" t="str">
        <f>_xlfn.LET(_xlpm.pos,"NIH plate 3: "&amp;$A3&amp;C$2,_xlpm.normal,IFERROR(INDEX(MASTER!$A:$A,MATCH(_xlpm.pos,MASTER!$I:$I,0))&amp;"_ser_0.20_"&amp;TEXT(INDEX(MASTER!$E:$E,MATCH(_xlpm.pos,MASTER!$I:$I,0)),"mmddyy"),""),_xlpm.slot,192+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5" s="4" t="str">
        <f>_xlfn.LET(_xlpm.pos,"NIH plate 3: "&amp;$A3&amp;D$2,_xlpm.normal,IFERROR(INDEX(MASTER!$A:$A,MATCH(_xlpm.pos,MASTER!$I:$I,0))&amp;"_ser_0.20_"&amp;TEXT(INDEX(MASTER!$E:$E,MATCH(_xlpm.pos,MASTER!$I:$I,0)),"mmddyy"),""),_xlpm.slot,192+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5" s="4" t="str">
        <f>_xlfn.LET(_xlpm.pos,"NIH plate 3: "&amp;$A3&amp;E$2,_xlpm.normal,IFERROR(INDEX(MASTER!$A:$A,MATCH(_xlpm.pos,MASTER!$I:$I,0))&amp;"_ser_0.20_"&amp;TEXT(INDEX(MASTER!$E:$E,MATCH(_xlpm.pos,MASTER!$I:$I,0)),"mmddyy"),""),_xlpm.slot,192+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5" s="4" t="str">
        <f>_xlfn.LET(_xlpm.pos,"NIH plate 3: "&amp;$A3&amp;F$2,_xlpm.normal,IFERROR(INDEX(MASTER!$A:$A,MATCH(_xlpm.pos,MASTER!$I:$I,0))&amp;"_ser_0.20_"&amp;TEXT(INDEX(MASTER!$E:$E,MATCH(_xlpm.pos,MASTER!$I:$I,0)),"mmddyy"),""),_xlpm.slot,192+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5" s="4" t="str">
        <f>_xlfn.LET(_xlpm.pos,"NIH plate 3: "&amp;$A3&amp;G$2,_xlpm.normal,IFERROR(INDEX(MASTER!$A:$A,MATCH(_xlpm.pos,MASTER!$I:$I,0))&amp;"_ser_0.20_"&amp;TEXT(INDEX(MASTER!$E:$E,MATCH(_xlpm.pos,MASTER!$I:$I,0)),"mmddyy"),""),_xlpm.slot,192+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5" s="4" t="str">
        <f>_xlfn.LET(_xlpm.pos,"NIH plate 3: "&amp;$A3&amp;H$2,_xlpm.normal,IFERROR(INDEX(MASTER!$A:$A,MATCH(_xlpm.pos,MASTER!$I:$I,0))&amp;"_ser_0.20_"&amp;TEXT(INDEX(MASTER!$E:$E,MATCH(_xlpm.pos,MASTER!$I:$I,0)),"mmddyy"),""),_xlpm.slot,192+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5" s="4" t="str">
        <f>_xlfn.LET(_xlpm.pos,"NIH plate 3: "&amp;$A3&amp;I$2,_xlpm.normal,IFERROR(INDEX(MASTER!$A:$A,MATCH(_xlpm.pos,MASTER!$I:$I,0))&amp;"_ser_0.20_"&amp;TEXT(INDEX(MASTER!$E:$E,MATCH(_xlpm.pos,MASTER!$I:$I,0)),"mmddyy"),""),_xlpm.slot,192+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5" s="4" t="str">
        <f>_xlfn.LET(_xlpm.pos,"NIH plate 3: "&amp;$A3&amp;J$2,_xlpm.normal,IFERROR(INDEX(MASTER!$A:$A,MATCH(_xlpm.pos,MASTER!$I:$I,0))&amp;"_ser_0.20_"&amp;TEXT(INDEX(MASTER!$E:$E,MATCH(_xlpm.pos,MASTER!$I:$I,0)),"mmddyy"),""),_xlpm.slot,192+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5" s="4" t="str">
        <f>_xlfn.LET(_xlpm.pos,"NIH plate 3: "&amp;$A3&amp;K$2,_xlpm.normal,IFERROR(INDEX(MASTER!$A:$A,MATCH(_xlpm.pos,MASTER!$I:$I,0))&amp;"_ser_0.20_"&amp;TEXT(INDEX(MASTER!$E:$E,MATCH(_xlpm.pos,MASTER!$I:$I,0)),"mmddyy"),""),_xlpm.slot,192+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5" s="4" t="str">
        <f>_xlfn.LET(_xlpm.pos,"NIH plate 3: "&amp;$A3&amp;L$2,_xlpm.normal,IFERROR(INDEX(MASTER!$A:$A,MATCH(_xlpm.pos,MASTER!$I:$I,0))&amp;"_ser_0.20_"&amp;TEXT(INDEX(MASTER!$E:$E,MATCH(_xlpm.pos,MASTER!$I:$I,0)),"mmddyy"),""),_xlpm.slot,192+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5" s="4" t="str">
        <f>_xlfn.LET(_xlpm.pos,"NIH plate 3: "&amp;$A3&amp;M$2,_xlpm.normal,IFERROR(INDEX(MASTER!$A:$A,MATCH(_xlpm.pos,MASTER!$I:$I,0))&amp;"_ser_0.20_"&amp;TEXT(INDEX(MASTER!$E:$E,MATCH(_xlpm.pos,MASTER!$I:$I,0)),"mmddyy"),""),_xlpm.slot,192+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6" spans="1:13" ht="22" customHeight="1" x14ac:dyDescent="0.35">
      <c r="A26" s="6" t="s">
        <v>31</v>
      </c>
      <c r="B26" s="4" t="str">
        <f>_xlfn.LET(_xlpm.pos,"NIH plate 3: "&amp;$A4&amp;B$2,_xlpm.normal,IFERROR(INDEX(MASTER!$A:$A,MATCH(_xlpm.pos,MASTER!$I:$I,0))&amp;"_ser_0.20_"&amp;TEXT(INDEX(MASTER!$E:$E,MATCH(_xlpm.pos,MASTER!$I:$I,0)),"mmddyy"),""),_xlpm.slot,192+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6" s="4" t="str">
        <f>_xlfn.LET(_xlpm.pos,"NIH plate 3: "&amp;$A4&amp;C$2,_xlpm.normal,IFERROR(INDEX(MASTER!$A:$A,MATCH(_xlpm.pos,MASTER!$I:$I,0))&amp;"_ser_0.20_"&amp;TEXT(INDEX(MASTER!$E:$E,MATCH(_xlpm.pos,MASTER!$I:$I,0)),"mmddyy"),""),_xlpm.slot,192+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6" s="4" t="str">
        <f>_xlfn.LET(_xlpm.pos,"NIH plate 3: "&amp;$A4&amp;D$2,_xlpm.normal,IFERROR(INDEX(MASTER!$A:$A,MATCH(_xlpm.pos,MASTER!$I:$I,0))&amp;"_ser_0.20_"&amp;TEXT(INDEX(MASTER!$E:$E,MATCH(_xlpm.pos,MASTER!$I:$I,0)),"mmddyy"),""),_xlpm.slot,192+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6" s="4" t="str">
        <f>_xlfn.LET(_xlpm.pos,"NIH plate 3: "&amp;$A4&amp;E$2,_xlpm.normal,IFERROR(INDEX(MASTER!$A:$A,MATCH(_xlpm.pos,MASTER!$I:$I,0))&amp;"_ser_0.20_"&amp;TEXT(INDEX(MASTER!$E:$E,MATCH(_xlpm.pos,MASTER!$I:$I,0)),"mmddyy"),""),_xlpm.slot,192+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6" s="4" t="str">
        <f>_xlfn.LET(_xlpm.pos,"NIH plate 3: "&amp;$A4&amp;F$2,_xlpm.normal,IFERROR(INDEX(MASTER!$A:$A,MATCH(_xlpm.pos,MASTER!$I:$I,0))&amp;"_ser_0.20_"&amp;TEXT(INDEX(MASTER!$E:$E,MATCH(_xlpm.pos,MASTER!$I:$I,0)),"mmddyy"),""),_xlpm.slot,192+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6" s="4" t="str">
        <f>_xlfn.LET(_xlpm.pos,"NIH plate 3: "&amp;$A4&amp;G$2,_xlpm.normal,IFERROR(INDEX(MASTER!$A:$A,MATCH(_xlpm.pos,MASTER!$I:$I,0))&amp;"_ser_0.20_"&amp;TEXT(INDEX(MASTER!$E:$E,MATCH(_xlpm.pos,MASTER!$I:$I,0)),"mmddyy"),""),_xlpm.slot,192+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6" s="4" t="str">
        <f>_xlfn.LET(_xlpm.pos,"NIH plate 3: "&amp;$A4&amp;H$2,_xlpm.normal,IFERROR(INDEX(MASTER!$A:$A,MATCH(_xlpm.pos,MASTER!$I:$I,0))&amp;"_ser_0.20_"&amp;TEXT(INDEX(MASTER!$E:$E,MATCH(_xlpm.pos,MASTER!$I:$I,0)),"mmddyy"),""),_xlpm.slot,192+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6" s="4" t="str">
        <f>_xlfn.LET(_xlpm.pos,"NIH plate 3: "&amp;$A4&amp;I$2,_xlpm.normal,IFERROR(INDEX(MASTER!$A:$A,MATCH(_xlpm.pos,MASTER!$I:$I,0))&amp;"_ser_0.20_"&amp;TEXT(INDEX(MASTER!$E:$E,MATCH(_xlpm.pos,MASTER!$I:$I,0)),"mmddyy"),""),_xlpm.slot,192+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6" s="4" t="str">
        <f>_xlfn.LET(_xlpm.pos,"NIH plate 3: "&amp;$A4&amp;J$2,_xlpm.normal,IFERROR(INDEX(MASTER!$A:$A,MATCH(_xlpm.pos,MASTER!$I:$I,0))&amp;"_ser_0.20_"&amp;TEXT(INDEX(MASTER!$E:$E,MATCH(_xlpm.pos,MASTER!$I:$I,0)),"mmddyy"),""),_xlpm.slot,192+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6" s="4" t="str">
        <f>_xlfn.LET(_xlpm.pos,"NIH plate 3: "&amp;$A4&amp;K$2,_xlpm.normal,IFERROR(INDEX(MASTER!$A:$A,MATCH(_xlpm.pos,MASTER!$I:$I,0))&amp;"_ser_0.20_"&amp;TEXT(INDEX(MASTER!$E:$E,MATCH(_xlpm.pos,MASTER!$I:$I,0)),"mmddyy"),""),_xlpm.slot,192+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6" s="4" t="str">
        <f>_xlfn.LET(_xlpm.pos,"NIH plate 3: "&amp;$A4&amp;L$2,_xlpm.normal,IFERROR(INDEX(MASTER!$A:$A,MATCH(_xlpm.pos,MASTER!$I:$I,0))&amp;"_ser_0.20_"&amp;TEXT(INDEX(MASTER!$E:$E,MATCH(_xlpm.pos,MASTER!$I:$I,0)),"mmddyy"),""),_xlpm.slot,192+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6" s="4" t="str">
        <f>_xlfn.LET(_xlpm.pos,"NIH plate 3: "&amp;$A4&amp;M$2,_xlpm.normal,IFERROR(INDEX(MASTER!$A:$A,MATCH(_xlpm.pos,MASTER!$I:$I,0))&amp;"_ser_0.20_"&amp;TEXT(INDEX(MASTER!$E:$E,MATCH(_xlpm.pos,MASTER!$I:$I,0)),"mmddyy"),""),_xlpm.slot,192+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7" spans="1:13" ht="22" customHeight="1" x14ac:dyDescent="0.35">
      <c r="A27" s="6" t="s">
        <v>32</v>
      </c>
      <c r="B27" s="4" t="str">
        <f>_xlfn.LET(_xlpm.pos,"NIH plate 3: "&amp;$A5&amp;B$2,_xlpm.normal,IFERROR(INDEX(MASTER!$A:$A,MATCH(_xlpm.pos,MASTER!$I:$I,0))&amp;"_ser_0.20_"&amp;TEXT(INDEX(MASTER!$E:$E,MATCH(_xlpm.pos,MASTER!$I:$I,0)),"mmddyy"),""),_xlpm.slot,192+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7" s="4" t="str">
        <f>_xlfn.LET(_xlpm.pos,"NIH plate 3: "&amp;$A5&amp;C$2,_xlpm.normal,IFERROR(INDEX(MASTER!$A:$A,MATCH(_xlpm.pos,MASTER!$I:$I,0))&amp;"_ser_0.20_"&amp;TEXT(INDEX(MASTER!$E:$E,MATCH(_xlpm.pos,MASTER!$I:$I,0)),"mmddyy"),""),_xlpm.slot,192+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7" s="4" t="str">
        <f>_xlfn.LET(_xlpm.pos,"NIH plate 3: "&amp;$A5&amp;D$2,_xlpm.normal,IFERROR(INDEX(MASTER!$A:$A,MATCH(_xlpm.pos,MASTER!$I:$I,0))&amp;"_ser_0.20_"&amp;TEXT(INDEX(MASTER!$E:$E,MATCH(_xlpm.pos,MASTER!$I:$I,0)),"mmddyy"),""),_xlpm.slot,192+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7" s="4" t="str">
        <f>_xlfn.LET(_xlpm.pos,"NIH plate 3: "&amp;$A5&amp;E$2,_xlpm.normal,IFERROR(INDEX(MASTER!$A:$A,MATCH(_xlpm.pos,MASTER!$I:$I,0))&amp;"_ser_0.20_"&amp;TEXT(INDEX(MASTER!$E:$E,MATCH(_xlpm.pos,MASTER!$I:$I,0)),"mmddyy"),""),_xlpm.slot,192+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7" s="4" t="str">
        <f>_xlfn.LET(_xlpm.pos,"NIH plate 3: "&amp;$A5&amp;F$2,_xlpm.normal,IFERROR(INDEX(MASTER!$A:$A,MATCH(_xlpm.pos,MASTER!$I:$I,0))&amp;"_ser_0.20_"&amp;TEXT(INDEX(MASTER!$E:$E,MATCH(_xlpm.pos,MASTER!$I:$I,0)),"mmddyy"),""),_xlpm.slot,192+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7" s="4" t="str">
        <f>_xlfn.LET(_xlpm.pos,"NIH plate 3: "&amp;$A5&amp;G$2,_xlpm.normal,IFERROR(INDEX(MASTER!$A:$A,MATCH(_xlpm.pos,MASTER!$I:$I,0))&amp;"_ser_0.20_"&amp;TEXT(INDEX(MASTER!$E:$E,MATCH(_xlpm.pos,MASTER!$I:$I,0)),"mmddyy"),""),_xlpm.slot,192+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7" s="4" t="str">
        <f>_xlfn.LET(_xlpm.pos,"NIH plate 3: "&amp;$A5&amp;H$2,_xlpm.normal,IFERROR(INDEX(MASTER!$A:$A,MATCH(_xlpm.pos,MASTER!$I:$I,0))&amp;"_ser_0.20_"&amp;TEXT(INDEX(MASTER!$E:$E,MATCH(_xlpm.pos,MASTER!$I:$I,0)),"mmddyy"),""),_xlpm.slot,192+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7" s="4" t="str">
        <f>_xlfn.LET(_xlpm.pos,"NIH plate 3: "&amp;$A5&amp;I$2,_xlpm.normal,IFERROR(INDEX(MASTER!$A:$A,MATCH(_xlpm.pos,MASTER!$I:$I,0))&amp;"_ser_0.20_"&amp;TEXT(INDEX(MASTER!$E:$E,MATCH(_xlpm.pos,MASTER!$I:$I,0)),"mmddyy"),""),_xlpm.slot,192+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7" s="4" t="str">
        <f>_xlfn.LET(_xlpm.pos,"NIH plate 3: "&amp;$A5&amp;J$2,_xlpm.normal,IFERROR(INDEX(MASTER!$A:$A,MATCH(_xlpm.pos,MASTER!$I:$I,0))&amp;"_ser_0.20_"&amp;TEXT(INDEX(MASTER!$E:$E,MATCH(_xlpm.pos,MASTER!$I:$I,0)),"mmddyy"),""),_xlpm.slot,192+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7" s="4" t="str">
        <f>_xlfn.LET(_xlpm.pos,"NIH plate 3: "&amp;$A5&amp;K$2,_xlpm.normal,IFERROR(INDEX(MASTER!$A:$A,MATCH(_xlpm.pos,MASTER!$I:$I,0))&amp;"_ser_0.20_"&amp;TEXT(INDEX(MASTER!$E:$E,MATCH(_xlpm.pos,MASTER!$I:$I,0)),"mmddyy"),""),_xlpm.slot,192+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7" s="4" t="str">
        <f>_xlfn.LET(_xlpm.pos,"NIH plate 3: "&amp;$A5&amp;L$2,_xlpm.normal,IFERROR(INDEX(MASTER!$A:$A,MATCH(_xlpm.pos,MASTER!$I:$I,0))&amp;"_ser_0.20_"&amp;TEXT(INDEX(MASTER!$E:$E,MATCH(_xlpm.pos,MASTER!$I:$I,0)),"mmddyy"),""),_xlpm.slot,192+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7" s="4" t="str">
        <f>_xlfn.LET(_xlpm.pos,"NIH plate 3: "&amp;$A5&amp;M$2,_xlpm.normal,IFERROR(INDEX(MASTER!$A:$A,MATCH(_xlpm.pos,MASTER!$I:$I,0))&amp;"_ser_0.20_"&amp;TEXT(INDEX(MASTER!$E:$E,MATCH(_xlpm.pos,MASTER!$I:$I,0)),"mmddyy"),""),_xlpm.slot,192+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8" spans="1:13" ht="22" customHeight="1" x14ac:dyDescent="0.35">
      <c r="A28" s="6" t="s">
        <v>33</v>
      </c>
      <c r="B28" s="4" t="str">
        <f>_xlfn.LET(_xlpm.pos,"NIH plate 3: "&amp;$A6&amp;B$2,_xlpm.normal,IFERROR(INDEX(MASTER!$A:$A,MATCH(_xlpm.pos,MASTER!$I:$I,0))&amp;"_ser_0.20_"&amp;TEXT(INDEX(MASTER!$E:$E,MATCH(_xlpm.pos,MASTER!$I:$I,0)),"mmddyy"),""),_xlpm.slot,192+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8" s="4" t="str">
        <f>_xlfn.LET(_xlpm.pos,"NIH plate 3: "&amp;$A6&amp;C$2,_xlpm.normal,IFERROR(INDEX(MASTER!$A:$A,MATCH(_xlpm.pos,MASTER!$I:$I,0))&amp;"_ser_0.20_"&amp;TEXT(INDEX(MASTER!$E:$E,MATCH(_xlpm.pos,MASTER!$I:$I,0)),"mmddyy"),""),_xlpm.slot,192+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8" s="4" t="str">
        <f>_xlfn.LET(_xlpm.pos,"NIH plate 3: "&amp;$A6&amp;D$2,_xlpm.normal,IFERROR(INDEX(MASTER!$A:$A,MATCH(_xlpm.pos,MASTER!$I:$I,0))&amp;"_ser_0.20_"&amp;TEXT(INDEX(MASTER!$E:$E,MATCH(_xlpm.pos,MASTER!$I:$I,0)),"mmddyy"),""),_xlpm.slot,192+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8" s="4" t="str">
        <f>_xlfn.LET(_xlpm.pos,"NIH plate 3: "&amp;$A6&amp;E$2,_xlpm.normal,IFERROR(INDEX(MASTER!$A:$A,MATCH(_xlpm.pos,MASTER!$I:$I,0))&amp;"_ser_0.20_"&amp;TEXT(INDEX(MASTER!$E:$E,MATCH(_xlpm.pos,MASTER!$I:$I,0)),"mmddyy"),""),_xlpm.slot,192+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8" s="4" t="str">
        <f>_xlfn.LET(_xlpm.pos,"NIH plate 3: "&amp;$A6&amp;F$2,_xlpm.normal,IFERROR(INDEX(MASTER!$A:$A,MATCH(_xlpm.pos,MASTER!$I:$I,0))&amp;"_ser_0.20_"&amp;TEXT(INDEX(MASTER!$E:$E,MATCH(_xlpm.pos,MASTER!$I:$I,0)),"mmddyy"),""),_xlpm.slot,192+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8" s="4" t="str">
        <f>_xlfn.LET(_xlpm.pos,"NIH plate 3: "&amp;$A6&amp;G$2,_xlpm.normal,IFERROR(INDEX(MASTER!$A:$A,MATCH(_xlpm.pos,MASTER!$I:$I,0))&amp;"_ser_0.20_"&amp;TEXT(INDEX(MASTER!$E:$E,MATCH(_xlpm.pos,MASTER!$I:$I,0)),"mmddyy"),""),_xlpm.slot,192+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8" s="4" t="str">
        <f>_xlfn.LET(_xlpm.pos,"NIH plate 3: "&amp;$A6&amp;H$2,_xlpm.normal,IFERROR(INDEX(MASTER!$A:$A,MATCH(_xlpm.pos,MASTER!$I:$I,0))&amp;"_ser_0.20_"&amp;TEXT(INDEX(MASTER!$E:$E,MATCH(_xlpm.pos,MASTER!$I:$I,0)),"mmddyy"),""),_xlpm.slot,192+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8" s="4" t="str">
        <f>_xlfn.LET(_xlpm.pos,"NIH plate 3: "&amp;$A6&amp;I$2,_xlpm.normal,IFERROR(INDEX(MASTER!$A:$A,MATCH(_xlpm.pos,MASTER!$I:$I,0))&amp;"_ser_0.20_"&amp;TEXT(INDEX(MASTER!$E:$E,MATCH(_xlpm.pos,MASTER!$I:$I,0)),"mmddyy"),""),_xlpm.slot,192+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8" s="4" t="str">
        <f>_xlfn.LET(_xlpm.pos,"NIH plate 3: "&amp;$A6&amp;J$2,_xlpm.normal,IFERROR(INDEX(MASTER!$A:$A,MATCH(_xlpm.pos,MASTER!$I:$I,0))&amp;"_ser_0.20_"&amp;TEXT(INDEX(MASTER!$E:$E,MATCH(_xlpm.pos,MASTER!$I:$I,0)),"mmddyy"),""),_xlpm.slot,192+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8" s="4" t="str">
        <f>_xlfn.LET(_xlpm.pos,"NIH plate 3: "&amp;$A6&amp;K$2,_xlpm.normal,IFERROR(INDEX(MASTER!$A:$A,MATCH(_xlpm.pos,MASTER!$I:$I,0))&amp;"_ser_0.20_"&amp;TEXT(INDEX(MASTER!$E:$E,MATCH(_xlpm.pos,MASTER!$I:$I,0)),"mmddyy"),""),_xlpm.slot,192+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8" s="4" t="str">
        <f>_xlfn.LET(_xlpm.pos,"NIH plate 3: "&amp;$A6&amp;L$2,_xlpm.normal,IFERROR(INDEX(MASTER!$A:$A,MATCH(_xlpm.pos,MASTER!$I:$I,0))&amp;"_ser_0.20_"&amp;TEXT(INDEX(MASTER!$E:$E,MATCH(_xlpm.pos,MASTER!$I:$I,0)),"mmddyy"),""),_xlpm.slot,192+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8" s="4" t="str">
        <f>_xlfn.LET(_xlpm.pos,"NIH plate 3: "&amp;$A6&amp;M$2,_xlpm.normal,IFERROR(INDEX(MASTER!$A:$A,MATCH(_xlpm.pos,MASTER!$I:$I,0))&amp;"_ser_0.20_"&amp;TEXT(INDEX(MASTER!$E:$E,MATCH(_xlpm.pos,MASTER!$I:$I,0)),"mmddyy"),""),_xlpm.slot,192+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9" spans="1:13" ht="22" customHeight="1" x14ac:dyDescent="0.35">
      <c r="A29" s="6" t="s">
        <v>34</v>
      </c>
      <c r="B29" s="4" t="str">
        <f>_xlfn.LET(_xlpm.pos,"NIH plate 3: "&amp;$A7&amp;B$2,_xlpm.normal,IFERROR(INDEX(MASTER!$A:$A,MATCH(_xlpm.pos,MASTER!$I:$I,0))&amp;"_ser_0.20_"&amp;TEXT(INDEX(MASTER!$E:$E,MATCH(_xlpm.pos,MASTER!$I:$I,0)),"mmddyy"),""),_xlpm.slot,192+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9" s="4" t="str">
        <f>_xlfn.LET(_xlpm.pos,"NIH plate 3: "&amp;$A7&amp;C$2,_xlpm.normal,IFERROR(INDEX(MASTER!$A:$A,MATCH(_xlpm.pos,MASTER!$I:$I,0))&amp;"_ser_0.20_"&amp;TEXT(INDEX(MASTER!$E:$E,MATCH(_xlpm.pos,MASTER!$I:$I,0)),"mmddyy"),""),_xlpm.slot,192+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9" s="4" t="str">
        <f>_xlfn.LET(_xlpm.pos,"NIH plate 3: "&amp;$A7&amp;D$2,_xlpm.normal,IFERROR(INDEX(MASTER!$A:$A,MATCH(_xlpm.pos,MASTER!$I:$I,0))&amp;"_ser_0.20_"&amp;TEXT(INDEX(MASTER!$E:$E,MATCH(_xlpm.pos,MASTER!$I:$I,0)),"mmddyy"),""),_xlpm.slot,192+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9" s="4" t="str">
        <f>_xlfn.LET(_xlpm.pos,"NIH plate 3: "&amp;$A7&amp;E$2,_xlpm.normal,IFERROR(INDEX(MASTER!$A:$A,MATCH(_xlpm.pos,MASTER!$I:$I,0))&amp;"_ser_0.20_"&amp;TEXT(INDEX(MASTER!$E:$E,MATCH(_xlpm.pos,MASTER!$I:$I,0)),"mmddyy"),""),_xlpm.slot,192+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9" s="4" t="str">
        <f>_xlfn.LET(_xlpm.pos,"NIH plate 3: "&amp;$A7&amp;F$2,_xlpm.normal,IFERROR(INDEX(MASTER!$A:$A,MATCH(_xlpm.pos,MASTER!$I:$I,0))&amp;"_ser_0.20_"&amp;TEXT(INDEX(MASTER!$E:$E,MATCH(_xlpm.pos,MASTER!$I:$I,0)),"mmddyy"),""),_xlpm.slot,192+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9" s="4" t="str">
        <f>_xlfn.LET(_xlpm.pos,"NIH plate 3: "&amp;$A7&amp;G$2,_xlpm.normal,IFERROR(INDEX(MASTER!$A:$A,MATCH(_xlpm.pos,MASTER!$I:$I,0))&amp;"_ser_0.20_"&amp;TEXT(INDEX(MASTER!$E:$E,MATCH(_xlpm.pos,MASTER!$I:$I,0)),"mmddyy"),""),_xlpm.slot,192+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9" s="4" t="str">
        <f>_xlfn.LET(_xlpm.pos,"NIH plate 3: "&amp;$A7&amp;H$2,_xlpm.normal,IFERROR(INDEX(MASTER!$A:$A,MATCH(_xlpm.pos,MASTER!$I:$I,0))&amp;"_ser_0.20_"&amp;TEXT(INDEX(MASTER!$E:$E,MATCH(_xlpm.pos,MASTER!$I:$I,0)),"mmddyy"),""),_xlpm.slot,192+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9" s="4" t="str">
        <f>_xlfn.LET(_xlpm.pos,"NIH plate 3: "&amp;$A7&amp;I$2,_xlpm.normal,IFERROR(INDEX(MASTER!$A:$A,MATCH(_xlpm.pos,MASTER!$I:$I,0))&amp;"_ser_0.20_"&amp;TEXT(INDEX(MASTER!$E:$E,MATCH(_xlpm.pos,MASTER!$I:$I,0)),"mmddyy"),""),_xlpm.slot,192+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9" s="4" t="str">
        <f>_xlfn.LET(_xlpm.pos,"NIH plate 3: "&amp;$A7&amp;J$2,_xlpm.normal,IFERROR(INDEX(MASTER!$A:$A,MATCH(_xlpm.pos,MASTER!$I:$I,0))&amp;"_ser_0.20_"&amp;TEXT(INDEX(MASTER!$E:$E,MATCH(_xlpm.pos,MASTER!$I:$I,0)),"mmddyy"),""),_xlpm.slot,192+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9" s="4" t="str">
        <f>_xlfn.LET(_xlpm.pos,"NIH plate 3: "&amp;$A7&amp;K$2,_xlpm.normal,IFERROR(INDEX(MASTER!$A:$A,MATCH(_xlpm.pos,MASTER!$I:$I,0))&amp;"_ser_0.20_"&amp;TEXT(INDEX(MASTER!$E:$E,MATCH(_xlpm.pos,MASTER!$I:$I,0)),"mmddyy"),""),_xlpm.slot,192+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9" s="4" t="str">
        <f>_xlfn.LET(_xlpm.pos,"NIH plate 3: "&amp;$A7&amp;L$2,_xlpm.normal,IFERROR(INDEX(MASTER!$A:$A,MATCH(_xlpm.pos,MASTER!$I:$I,0))&amp;"_ser_0.20_"&amp;TEXT(INDEX(MASTER!$E:$E,MATCH(_xlpm.pos,MASTER!$I:$I,0)),"mmddyy"),""),_xlpm.slot,192+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9" s="4" t="str">
        <f>_xlfn.LET(_xlpm.pos,"NIH plate 3: "&amp;$A7&amp;M$2,_xlpm.normal,IFERROR(INDEX(MASTER!$A:$A,MATCH(_xlpm.pos,MASTER!$I:$I,0))&amp;"_ser_0.20_"&amp;TEXT(INDEX(MASTER!$E:$E,MATCH(_xlpm.pos,MASTER!$I:$I,0)),"mmddyy"),""),_xlpm.slot,192+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30" spans="1:13" ht="22" customHeight="1" x14ac:dyDescent="0.35">
      <c r="A30" s="6" t="s">
        <v>15</v>
      </c>
      <c r="B30" s="4" t="str">
        <f>_xlfn.LET(_xlpm.pos,"NIH plate 3: "&amp;$A8&amp;B$2,_xlpm.normal,IFERROR(INDEX(MASTER!$A:$A,MATCH(_xlpm.pos,MASTER!$I:$I,0))&amp;"_ser_0.20_"&amp;TEXT(INDEX(MASTER!$E:$E,MATCH(_xlpm.pos,MASTER!$I:$I,0)),"mmddyy"),""),_xlpm.slot,192+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30" s="4" t="str">
        <f>_xlfn.LET(_xlpm.pos,"NIH plate 3: "&amp;$A8&amp;C$2,_xlpm.normal,IFERROR(INDEX(MASTER!$A:$A,MATCH(_xlpm.pos,MASTER!$I:$I,0))&amp;"_ser_0.20_"&amp;TEXT(INDEX(MASTER!$E:$E,MATCH(_xlpm.pos,MASTER!$I:$I,0)),"mmddyy"),""),_xlpm.slot,192+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30" s="4" t="str">
        <f>_xlfn.LET(_xlpm.pos,"NIH plate 3: "&amp;$A8&amp;D$2,_xlpm.normal,IFERROR(INDEX(MASTER!$A:$A,MATCH(_xlpm.pos,MASTER!$I:$I,0))&amp;"_ser_0.20_"&amp;TEXT(INDEX(MASTER!$E:$E,MATCH(_xlpm.pos,MASTER!$I:$I,0)),"mmddyy"),""),_xlpm.slot,192+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30" s="4" t="str">
        <f>_xlfn.LET(_xlpm.pos,"NIH plate 3: "&amp;$A8&amp;E$2,_xlpm.normal,IFERROR(INDEX(MASTER!$A:$A,MATCH(_xlpm.pos,MASTER!$I:$I,0))&amp;"_ser_0.20_"&amp;TEXT(INDEX(MASTER!$E:$E,MATCH(_xlpm.pos,MASTER!$I:$I,0)),"mmddyy"),""),_xlpm.slot,192+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30" s="4" t="str">
        <f>_xlfn.LET(_xlpm.pos,"NIH plate 3: "&amp;$A8&amp;F$2,_xlpm.normal,IFERROR(INDEX(MASTER!$A:$A,MATCH(_xlpm.pos,MASTER!$I:$I,0))&amp;"_ser_0.20_"&amp;TEXT(INDEX(MASTER!$E:$E,MATCH(_xlpm.pos,MASTER!$I:$I,0)),"mmddyy"),""),_xlpm.slot,192+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30" s="4" t="str">
        <f>_xlfn.LET(_xlpm.pos,"NIH plate 3: "&amp;$A8&amp;G$2,_xlpm.normal,IFERROR(INDEX(MASTER!$A:$A,MATCH(_xlpm.pos,MASTER!$I:$I,0))&amp;"_ser_0.20_"&amp;TEXT(INDEX(MASTER!$E:$E,MATCH(_xlpm.pos,MASTER!$I:$I,0)),"mmddyy"),""),_xlpm.slot,192+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30" s="4" t="str">
        <f>_xlfn.LET(_xlpm.pos,"NIH plate 3: "&amp;$A8&amp;H$2,_xlpm.normal,IFERROR(INDEX(MASTER!$A:$A,MATCH(_xlpm.pos,MASTER!$I:$I,0))&amp;"_ser_0.20_"&amp;TEXT(INDEX(MASTER!$E:$E,MATCH(_xlpm.pos,MASTER!$I:$I,0)),"mmddyy"),""),_xlpm.slot,192+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30" s="4" t="str">
        <f>_xlfn.LET(_xlpm.pos,"NIH plate 3: "&amp;$A8&amp;I$2,_xlpm.normal,IFERROR(INDEX(MASTER!$A:$A,MATCH(_xlpm.pos,MASTER!$I:$I,0))&amp;"_ser_0.20_"&amp;TEXT(INDEX(MASTER!$E:$E,MATCH(_xlpm.pos,MASTER!$I:$I,0)),"mmddyy"),""),_xlpm.slot,192+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30" s="4" t="str">
        <f>_xlfn.LET(_xlpm.pos,"NIH plate 3: "&amp;$A8&amp;J$2,_xlpm.normal,IFERROR(INDEX(MASTER!$A:$A,MATCH(_xlpm.pos,MASTER!$I:$I,0))&amp;"_ser_0.20_"&amp;TEXT(INDEX(MASTER!$E:$E,MATCH(_xlpm.pos,MASTER!$I:$I,0)),"mmddyy"),""),_xlpm.slot,192+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30" s="4" t="str">
        <f>_xlfn.LET(_xlpm.pos,"NIH plate 3: "&amp;$A8&amp;K$2,_xlpm.normal,IFERROR(INDEX(MASTER!$A:$A,MATCH(_xlpm.pos,MASTER!$I:$I,0))&amp;"_ser_0.20_"&amp;TEXT(INDEX(MASTER!$E:$E,MATCH(_xlpm.pos,MASTER!$I:$I,0)),"mmddyy"),""),_xlpm.slot,192+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30" s="4" t="str">
        <f>_xlfn.LET(_xlpm.pos,"NIH plate 3: "&amp;$A8&amp;L$2,_xlpm.normal,IFERROR(INDEX(MASTER!$A:$A,MATCH(_xlpm.pos,MASTER!$I:$I,0))&amp;"_ser_0.20_"&amp;TEXT(INDEX(MASTER!$E:$E,MATCH(_xlpm.pos,MASTER!$I:$I,0)),"mmddyy"),""),_xlpm.slot,192+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30" s="4" t="str">
        <f>_xlfn.LET(_xlpm.pos,"NIH plate 3: "&amp;$A8&amp;M$2,_xlpm.normal,IFERROR(INDEX(MASTER!$A:$A,MATCH(_xlpm.pos,MASTER!$I:$I,0))&amp;"_ser_0.20_"&amp;TEXT(INDEX(MASTER!$E:$E,MATCH(_xlpm.pos,MASTER!$I:$I,0)),"mmddyy"),""),_xlpm.slot,192+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31" spans="1:13" ht="22" customHeight="1" x14ac:dyDescent="0.35">
      <c r="A31" s="6" t="s">
        <v>35</v>
      </c>
      <c r="B31" s="4" t="str">
        <f>_xlfn.LET(_xlpm.pos,"NIH plate 3: "&amp;$A9&amp;B$2,_xlpm.normal,IFERROR(INDEX(MASTER!$A:$A,MATCH(_xlpm.pos,MASTER!$I:$I,0))&amp;"_ser_0.20_"&amp;TEXT(INDEX(MASTER!$E:$E,MATCH(_xlpm.pos,MASTER!$I:$I,0)),"mmddyy"),""),_xlpm.slot,192+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31" s="4" t="str">
        <f>_xlfn.LET(_xlpm.pos,"NIH plate 3: "&amp;$A9&amp;C$2,_xlpm.normal,IFERROR(INDEX(MASTER!$A:$A,MATCH(_xlpm.pos,MASTER!$I:$I,0))&amp;"_ser_0.20_"&amp;TEXT(INDEX(MASTER!$E:$E,MATCH(_xlpm.pos,MASTER!$I:$I,0)),"mmddyy"),""),_xlpm.slot,192+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31" s="4" t="str">
        <f>_xlfn.LET(_xlpm.pos,"NIH plate 3: "&amp;$A9&amp;D$2,_xlpm.normal,IFERROR(INDEX(MASTER!$A:$A,MATCH(_xlpm.pos,MASTER!$I:$I,0))&amp;"_ser_0.20_"&amp;TEXT(INDEX(MASTER!$E:$E,MATCH(_xlpm.pos,MASTER!$I:$I,0)),"mmddyy"),""),_xlpm.slot,192+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31" s="4" t="str">
        <f>_xlfn.LET(_xlpm.pos,"NIH plate 3: "&amp;$A9&amp;E$2,_xlpm.normal,IFERROR(INDEX(MASTER!$A:$A,MATCH(_xlpm.pos,MASTER!$I:$I,0))&amp;"_ser_0.20_"&amp;TEXT(INDEX(MASTER!$E:$E,MATCH(_xlpm.pos,MASTER!$I:$I,0)),"mmddyy"),""),_xlpm.slot,192+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31" s="4" t="str">
        <f>_xlfn.LET(_xlpm.pos,"NIH plate 3: "&amp;$A9&amp;F$2,_xlpm.normal,IFERROR(INDEX(MASTER!$A:$A,MATCH(_xlpm.pos,MASTER!$I:$I,0))&amp;"_ser_0.20_"&amp;TEXT(INDEX(MASTER!$E:$E,MATCH(_xlpm.pos,MASTER!$I:$I,0)),"mmddyy"),""),_xlpm.slot,192+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31" s="4" t="str">
        <f>_xlfn.LET(_xlpm.pos,"NIH plate 3: "&amp;$A9&amp;G$2,_xlpm.normal,IFERROR(INDEX(MASTER!$A:$A,MATCH(_xlpm.pos,MASTER!$I:$I,0))&amp;"_ser_0.20_"&amp;TEXT(INDEX(MASTER!$E:$E,MATCH(_xlpm.pos,MASTER!$I:$I,0)),"mmddyy"),""),_xlpm.slot,192+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31" s="4" t="str">
        <f>_xlfn.LET(_xlpm.pos,"NIH plate 3: "&amp;$A9&amp;H$2,_xlpm.normal,IFERROR(INDEX(MASTER!$A:$A,MATCH(_xlpm.pos,MASTER!$I:$I,0))&amp;"_ser_0.20_"&amp;TEXT(INDEX(MASTER!$E:$E,MATCH(_xlpm.pos,MASTER!$I:$I,0)),"mmddyy"),""),_xlpm.slot,192+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31" s="4" t="str">
        <f>_xlfn.LET(_xlpm.pos,"NIH plate 3: "&amp;$A9&amp;I$2,_xlpm.normal,IFERROR(INDEX(MASTER!$A:$A,MATCH(_xlpm.pos,MASTER!$I:$I,0))&amp;"_ser_0.20_"&amp;TEXT(INDEX(MASTER!$E:$E,MATCH(_xlpm.pos,MASTER!$I:$I,0)),"mmddyy"),""),_xlpm.slot,192+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31" s="4" t="str">
        <f>_xlfn.LET(_xlpm.pos,"NIH plate 3: "&amp;$A9&amp;J$2,_xlpm.normal,IFERROR(INDEX(MASTER!$A:$A,MATCH(_xlpm.pos,MASTER!$I:$I,0))&amp;"_ser_0.20_"&amp;TEXT(INDEX(MASTER!$E:$E,MATCH(_xlpm.pos,MASTER!$I:$I,0)),"mmddyy"),""),_xlpm.slot,192+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31" s="4" t="str">
        <f>_xlfn.LET(_xlpm.pos,"NIH plate 3: "&amp;$A9&amp;K$2,_xlpm.normal,IFERROR(INDEX(MASTER!$A:$A,MATCH(_xlpm.pos,MASTER!$I:$I,0))&amp;"_ser_0.20_"&amp;TEXT(INDEX(MASTER!$E:$E,MATCH(_xlpm.pos,MASTER!$I:$I,0)),"mmddyy"),""),_xlpm.slot,192+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31" s="4" t="str">
        <f>_xlfn.LET(_xlpm.pos,"NIH plate 3: "&amp;$A9&amp;L$2,_xlpm.normal,IFERROR(INDEX(MASTER!$A:$A,MATCH(_xlpm.pos,MASTER!$I:$I,0))&amp;"_ser_0.20_"&amp;TEXT(INDEX(MASTER!$E:$E,MATCH(_xlpm.pos,MASTER!$I:$I,0)),"mmddyy"),""),_xlpm.slot,192+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31" s="4" t="str">
        <f>_xlfn.LET(_xlpm.pos,"NIH plate 3: "&amp;$A9&amp;M$2,_xlpm.normal,IFERROR(INDEX(MASTER!$A:$A,MATCH(_xlpm.pos,MASTER!$I:$I,0))&amp;"_ser_0.20_"&amp;TEXT(INDEX(MASTER!$E:$E,MATCH(_xlpm.pos,MASTER!$I:$I,0)),"mmddyy"),""),_xlpm.slot,192+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32" spans="1:13" ht="22" customHeight="1" x14ac:dyDescent="0.35">
      <c r="A32" s="6" t="s">
        <v>36</v>
      </c>
      <c r="B32" s="4" t="str">
        <f>_xlfn.LET(_xlpm.pos,"NIH plate 3: "&amp;$A10&amp;B$2,_xlpm.normal,IFERROR(INDEX(MASTER!$A:$A,MATCH(_xlpm.pos,MASTER!$I:$I,0))&amp;"_ser_0.20_"&amp;TEXT(INDEX(MASTER!$E:$E,MATCH(_xlpm.pos,MASTER!$I:$I,0)),"mmddyy"),""),_xlpm.slot,192+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32" s="4" t="str">
        <f>_xlfn.LET(_xlpm.pos,"NIH plate 3: "&amp;$A10&amp;C$2,_xlpm.normal,IFERROR(INDEX(MASTER!$A:$A,MATCH(_xlpm.pos,MASTER!$I:$I,0))&amp;"_ser_0.20_"&amp;TEXT(INDEX(MASTER!$E:$E,MATCH(_xlpm.pos,MASTER!$I:$I,0)),"mmddyy"),""),_xlpm.slot,192+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32" s="4" t="str">
        <f>_xlfn.LET(_xlpm.pos,"NIH plate 3: "&amp;$A10&amp;D$2,_xlpm.normal,IFERROR(INDEX(MASTER!$A:$A,MATCH(_xlpm.pos,MASTER!$I:$I,0))&amp;"_ser_0.20_"&amp;TEXT(INDEX(MASTER!$E:$E,MATCH(_xlpm.pos,MASTER!$I:$I,0)),"mmddyy"),""),_xlpm.slot,192+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32" s="4" t="str">
        <f>_xlfn.LET(_xlpm.pos,"NIH plate 3: "&amp;$A10&amp;E$2,_xlpm.normal,IFERROR(INDEX(MASTER!$A:$A,MATCH(_xlpm.pos,MASTER!$I:$I,0))&amp;"_ser_0.20_"&amp;TEXT(INDEX(MASTER!$E:$E,MATCH(_xlpm.pos,MASTER!$I:$I,0)),"mmddyy"),""),_xlpm.slot,192+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32" s="4" t="str">
        <f>_xlfn.LET(_xlpm.pos,"NIH plate 3: "&amp;$A10&amp;F$2,_xlpm.normal,IFERROR(INDEX(MASTER!$A:$A,MATCH(_xlpm.pos,MASTER!$I:$I,0))&amp;"_ser_0.20_"&amp;TEXT(INDEX(MASTER!$E:$E,MATCH(_xlpm.pos,MASTER!$I:$I,0)),"mmddyy"),""),_xlpm.slot,192+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32" s="4" t="str">
        <f>_xlfn.LET(_xlpm.pos,"NIH plate 3: "&amp;$A10&amp;G$2,_xlpm.normal,IFERROR(INDEX(MASTER!$A:$A,MATCH(_xlpm.pos,MASTER!$I:$I,0))&amp;"_ser_0.20_"&amp;TEXT(INDEX(MASTER!$E:$E,MATCH(_xlpm.pos,MASTER!$I:$I,0)),"mmddyy"),""),_xlpm.slot,192+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32" s="4" t="str">
        <f>_xlfn.LET(_xlpm.pos,"NIH plate 3: "&amp;$A10&amp;H$2,_xlpm.normal,IFERROR(INDEX(MASTER!$A:$A,MATCH(_xlpm.pos,MASTER!$I:$I,0))&amp;"_ser_0.20_"&amp;TEXT(INDEX(MASTER!$E:$E,MATCH(_xlpm.pos,MASTER!$I:$I,0)),"mmddyy"),""),_xlpm.slot,192+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32" s="4" t="str">
        <f>_xlfn.LET(_xlpm.pos,"NIH plate 3: "&amp;$A10&amp;I$2,_xlpm.normal,IFERROR(INDEX(MASTER!$A:$A,MATCH(_xlpm.pos,MASTER!$I:$I,0))&amp;"_ser_0.20_"&amp;TEXT(INDEX(MASTER!$E:$E,MATCH(_xlpm.pos,MASTER!$I:$I,0)),"mmddyy"),""),_xlpm.slot,192+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32" s="4" t="str">
        <f>_xlfn.LET(_xlpm.pos,"NIH plate 3: "&amp;$A10&amp;J$2,_xlpm.normal,IFERROR(INDEX(MASTER!$A:$A,MATCH(_xlpm.pos,MASTER!$I:$I,0))&amp;"_ser_0.20_"&amp;TEXT(INDEX(MASTER!$E:$E,MATCH(_xlpm.pos,MASTER!$I:$I,0)),"mmddyy"),""),_xlpm.slot,192+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32" s="4" t="str">
        <f>_xlfn.LET(_xlpm.pos,"NIH plate 3: "&amp;$A10&amp;K$2,_xlpm.normal,IFERROR(INDEX(MASTER!$A:$A,MATCH(_xlpm.pos,MASTER!$I:$I,0))&amp;"_ser_0.20_"&amp;TEXT(INDEX(MASTER!$E:$E,MATCH(_xlpm.pos,MASTER!$I:$I,0)),"mmddyy"),""),_xlpm.slot,192+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32" s="4" t="str">
        <f>_xlfn.LET(_xlpm.pos,"NIH plate 3: "&amp;$A10&amp;L$2,_xlpm.normal,IFERROR(INDEX(MASTER!$A:$A,MATCH(_xlpm.pos,MASTER!$I:$I,0))&amp;"_ser_0.20_"&amp;TEXT(INDEX(MASTER!$E:$E,MATCH(_xlpm.pos,MASTER!$I:$I,0)),"mmddyy"),""),_xlpm.slot,192+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32" s="4" t="str">
        <f>_xlfn.LET(_xlpm.pos,"NIH plate 3: "&amp;$A10&amp;M$2,_xlpm.normal,IFERROR(INDEX(MASTER!$A:$A,MATCH(_xlpm.pos,MASTER!$I:$I,0))&amp;"_ser_0.20_"&amp;TEXT(INDEX(MASTER!$E:$E,MATCH(_xlpm.pos,MASTER!$I:$I,0)),"mmddyy"),""),_xlpm.slot,192+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34" spans="1:13" ht="22" customHeight="1" x14ac:dyDescent="0.35">
      <c r="A34" s="7"/>
      <c r="B34" s="31" t="s">
        <v>60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3"/>
    </row>
    <row r="35" spans="1:13" ht="22" customHeight="1" x14ac:dyDescent="0.35">
      <c r="A35" s="7"/>
      <c r="B35" s="6">
        <v>1</v>
      </c>
      <c r="C35" s="6">
        <v>2</v>
      </c>
      <c r="D35" s="6">
        <v>3</v>
      </c>
      <c r="E35" s="6">
        <v>4</v>
      </c>
      <c r="F35" s="6">
        <v>5</v>
      </c>
      <c r="G35" s="6">
        <v>6</v>
      </c>
      <c r="H35" s="6">
        <v>7</v>
      </c>
      <c r="I35" s="6">
        <v>8</v>
      </c>
      <c r="J35" s="6">
        <v>9</v>
      </c>
      <c r="K35" s="6">
        <v>10</v>
      </c>
      <c r="L35" s="6">
        <v>11</v>
      </c>
      <c r="M35" s="6">
        <v>12</v>
      </c>
    </row>
    <row r="36" spans="1:13" ht="22" customHeight="1" x14ac:dyDescent="0.35">
      <c r="A36" s="6" t="s">
        <v>30</v>
      </c>
      <c r="B36" s="4" t="str">
        <f>_xlfn.LET(_xlpm.pos,"NIH plate 4: "&amp;$A3&amp;B$2,_xlpm.normal,IFERROR(INDEX(MASTER!$A:$A,MATCH(_xlpm.pos,MASTER!$I:$I,0))&amp;"_ser_0.20_"&amp;TEXT(INDEX(MASTER!$E:$E,MATCH(_xlpm.pos,MASTER!$I:$I,0)),"mmddyy"),""),_xlpm.slot,288+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36" s="4" t="str">
        <f>_xlfn.LET(_xlpm.pos,"NIH plate 4: "&amp;$A3&amp;C$2,_xlpm.normal,IFERROR(INDEX(MASTER!$A:$A,MATCH(_xlpm.pos,MASTER!$I:$I,0))&amp;"_ser_0.20_"&amp;TEXT(INDEX(MASTER!$E:$E,MATCH(_xlpm.pos,MASTER!$I:$I,0)),"mmddyy"),""),_xlpm.slot,288+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36" s="4" t="str">
        <f>_xlfn.LET(_xlpm.pos,"NIH plate 4: "&amp;$A3&amp;D$2,_xlpm.normal,IFERROR(INDEX(MASTER!$A:$A,MATCH(_xlpm.pos,MASTER!$I:$I,0))&amp;"_ser_0.20_"&amp;TEXT(INDEX(MASTER!$E:$E,MATCH(_xlpm.pos,MASTER!$I:$I,0)),"mmddyy"),""),_xlpm.slot,288+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36" s="4" t="str">
        <f>_xlfn.LET(_xlpm.pos,"NIH plate 4: "&amp;$A3&amp;E$2,_xlpm.normal,IFERROR(INDEX(MASTER!$A:$A,MATCH(_xlpm.pos,MASTER!$I:$I,0))&amp;"_ser_0.20_"&amp;TEXT(INDEX(MASTER!$E:$E,MATCH(_xlpm.pos,MASTER!$I:$I,0)),"mmddyy"),""),_xlpm.slot,288+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36" s="4" t="str">
        <f>_xlfn.LET(_xlpm.pos,"NIH plate 4: "&amp;$A3&amp;F$2,_xlpm.normal,IFERROR(INDEX(MASTER!$A:$A,MATCH(_xlpm.pos,MASTER!$I:$I,0))&amp;"_ser_0.20_"&amp;TEXT(INDEX(MASTER!$E:$E,MATCH(_xlpm.pos,MASTER!$I:$I,0)),"mmddyy"),""),_xlpm.slot,288+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36" s="4" t="str">
        <f>_xlfn.LET(_xlpm.pos,"NIH plate 4: "&amp;$A3&amp;G$2,_xlpm.normal,IFERROR(INDEX(MASTER!$A:$A,MATCH(_xlpm.pos,MASTER!$I:$I,0))&amp;"_ser_0.20_"&amp;TEXT(INDEX(MASTER!$E:$E,MATCH(_xlpm.pos,MASTER!$I:$I,0)),"mmddyy"),""),_xlpm.slot,288+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36" s="4" t="str">
        <f>_xlfn.LET(_xlpm.pos,"NIH plate 4: "&amp;$A3&amp;H$2,_xlpm.normal,IFERROR(INDEX(MASTER!$A:$A,MATCH(_xlpm.pos,MASTER!$I:$I,0))&amp;"_ser_0.20_"&amp;TEXT(INDEX(MASTER!$E:$E,MATCH(_xlpm.pos,MASTER!$I:$I,0)),"mmddyy"),""),_xlpm.slot,288+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36" s="4" t="str">
        <f>_xlfn.LET(_xlpm.pos,"NIH plate 4: "&amp;$A3&amp;I$2,_xlpm.normal,IFERROR(INDEX(MASTER!$A:$A,MATCH(_xlpm.pos,MASTER!$I:$I,0))&amp;"_ser_0.20_"&amp;TEXT(INDEX(MASTER!$E:$E,MATCH(_xlpm.pos,MASTER!$I:$I,0)),"mmddyy"),""),_xlpm.slot,288+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36" s="4" t="str">
        <f>_xlfn.LET(_xlpm.pos,"NIH plate 4: "&amp;$A3&amp;J$2,_xlpm.normal,IFERROR(INDEX(MASTER!$A:$A,MATCH(_xlpm.pos,MASTER!$I:$I,0))&amp;"_ser_0.20_"&amp;TEXT(INDEX(MASTER!$E:$E,MATCH(_xlpm.pos,MASTER!$I:$I,0)),"mmddyy"),""),_xlpm.slot,288+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36" s="4" t="str">
        <f>_xlfn.LET(_xlpm.pos,"NIH plate 4: "&amp;$A3&amp;K$2,_xlpm.normal,IFERROR(INDEX(MASTER!$A:$A,MATCH(_xlpm.pos,MASTER!$I:$I,0))&amp;"_ser_0.20_"&amp;TEXT(INDEX(MASTER!$E:$E,MATCH(_xlpm.pos,MASTER!$I:$I,0)),"mmddyy"),""),_xlpm.slot,288+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36" s="4" t="str">
        <f>_xlfn.LET(_xlpm.pos,"NIH plate 4: "&amp;$A3&amp;L$2,_xlpm.normal,IFERROR(INDEX(MASTER!$A:$A,MATCH(_xlpm.pos,MASTER!$I:$I,0))&amp;"_ser_0.20_"&amp;TEXT(INDEX(MASTER!$E:$E,MATCH(_xlpm.pos,MASTER!$I:$I,0)),"mmddyy"),""),_xlpm.slot,288+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36" s="4" t="str">
        <f>_xlfn.LET(_xlpm.pos,"NIH plate 4: "&amp;$A3&amp;M$2,_xlpm.normal,IFERROR(INDEX(MASTER!$A:$A,MATCH(_xlpm.pos,MASTER!$I:$I,0))&amp;"_ser_0.20_"&amp;TEXT(INDEX(MASTER!$E:$E,MATCH(_xlpm.pos,MASTER!$I:$I,0)),"mmddyy"),""),_xlpm.slot,288+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37" spans="1:13" ht="22" customHeight="1" x14ac:dyDescent="0.35">
      <c r="A37" s="6" t="s">
        <v>31</v>
      </c>
      <c r="B37" s="4" t="str">
        <f>_xlfn.LET(_xlpm.pos,"NIH plate 4: "&amp;$A4&amp;B$2,_xlpm.normal,IFERROR(INDEX(MASTER!$A:$A,MATCH(_xlpm.pos,MASTER!$I:$I,0))&amp;"_ser_0.20_"&amp;TEXT(INDEX(MASTER!$E:$E,MATCH(_xlpm.pos,MASTER!$I:$I,0)),"mmddyy"),""),_xlpm.slot,288+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37" s="4" t="str">
        <f>_xlfn.LET(_xlpm.pos,"NIH plate 4: "&amp;$A4&amp;C$2,_xlpm.normal,IFERROR(INDEX(MASTER!$A:$A,MATCH(_xlpm.pos,MASTER!$I:$I,0))&amp;"_ser_0.20_"&amp;TEXT(INDEX(MASTER!$E:$E,MATCH(_xlpm.pos,MASTER!$I:$I,0)),"mmddyy"),""),_xlpm.slot,288+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37" s="4" t="str">
        <f>_xlfn.LET(_xlpm.pos,"NIH plate 4: "&amp;$A4&amp;D$2,_xlpm.normal,IFERROR(INDEX(MASTER!$A:$A,MATCH(_xlpm.pos,MASTER!$I:$I,0))&amp;"_ser_0.20_"&amp;TEXT(INDEX(MASTER!$E:$E,MATCH(_xlpm.pos,MASTER!$I:$I,0)),"mmddyy"),""),_xlpm.slot,288+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37" s="4" t="str">
        <f>_xlfn.LET(_xlpm.pos,"NIH plate 4: "&amp;$A4&amp;E$2,_xlpm.normal,IFERROR(INDEX(MASTER!$A:$A,MATCH(_xlpm.pos,MASTER!$I:$I,0))&amp;"_ser_0.20_"&amp;TEXT(INDEX(MASTER!$E:$E,MATCH(_xlpm.pos,MASTER!$I:$I,0)),"mmddyy"),""),_xlpm.slot,288+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37" s="4" t="str">
        <f>_xlfn.LET(_xlpm.pos,"NIH plate 4: "&amp;$A4&amp;F$2,_xlpm.normal,IFERROR(INDEX(MASTER!$A:$A,MATCH(_xlpm.pos,MASTER!$I:$I,0))&amp;"_ser_0.20_"&amp;TEXT(INDEX(MASTER!$E:$E,MATCH(_xlpm.pos,MASTER!$I:$I,0)),"mmddyy"),""),_xlpm.slot,288+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37" s="4" t="str">
        <f>_xlfn.LET(_xlpm.pos,"NIH plate 4: "&amp;$A4&amp;G$2,_xlpm.normal,IFERROR(INDEX(MASTER!$A:$A,MATCH(_xlpm.pos,MASTER!$I:$I,0))&amp;"_ser_0.20_"&amp;TEXT(INDEX(MASTER!$E:$E,MATCH(_xlpm.pos,MASTER!$I:$I,0)),"mmddyy"),""),_xlpm.slot,288+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37" s="4" t="str">
        <f>_xlfn.LET(_xlpm.pos,"NIH plate 4: "&amp;$A4&amp;H$2,_xlpm.normal,IFERROR(INDEX(MASTER!$A:$A,MATCH(_xlpm.pos,MASTER!$I:$I,0))&amp;"_ser_0.20_"&amp;TEXT(INDEX(MASTER!$E:$E,MATCH(_xlpm.pos,MASTER!$I:$I,0)),"mmddyy"),""),_xlpm.slot,288+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37" s="4" t="str">
        <f>_xlfn.LET(_xlpm.pos,"NIH plate 4: "&amp;$A4&amp;I$2,_xlpm.normal,IFERROR(INDEX(MASTER!$A:$A,MATCH(_xlpm.pos,MASTER!$I:$I,0))&amp;"_ser_0.20_"&amp;TEXT(INDEX(MASTER!$E:$E,MATCH(_xlpm.pos,MASTER!$I:$I,0)),"mmddyy"),""),_xlpm.slot,288+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37" s="4" t="str">
        <f>_xlfn.LET(_xlpm.pos,"NIH plate 4: "&amp;$A4&amp;J$2,_xlpm.normal,IFERROR(INDEX(MASTER!$A:$A,MATCH(_xlpm.pos,MASTER!$I:$I,0))&amp;"_ser_0.20_"&amp;TEXT(INDEX(MASTER!$E:$E,MATCH(_xlpm.pos,MASTER!$I:$I,0)),"mmddyy"),""),_xlpm.slot,288+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37" s="4" t="str">
        <f>_xlfn.LET(_xlpm.pos,"NIH plate 4: "&amp;$A4&amp;K$2,_xlpm.normal,IFERROR(INDEX(MASTER!$A:$A,MATCH(_xlpm.pos,MASTER!$I:$I,0))&amp;"_ser_0.20_"&amp;TEXT(INDEX(MASTER!$E:$E,MATCH(_xlpm.pos,MASTER!$I:$I,0)),"mmddyy"),""),_xlpm.slot,288+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37" s="4" t="str">
        <f>_xlfn.LET(_xlpm.pos,"NIH plate 4: "&amp;$A4&amp;L$2,_xlpm.normal,IFERROR(INDEX(MASTER!$A:$A,MATCH(_xlpm.pos,MASTER!$I:$I,0))&amp;"_ser_0.20_"&amp;TEXT(INDEX(MASTER!$E:$E,MATCH(_xlpm.pos,MASTER!$I:$I,0)),"mmddyy"),""),_xlpm.slot,288+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37" s="4" t="str">
        <f>_xlfn.LET(_xlpm.pos,"NIH plate 4: "&amp;$A4&amp;M$2,_xlpm.normal,IFERROR(INDEX(MASTER!$A:$A,MATCH(_xlpm.pos,MASTER!$I:$I,0))&amp;"_ser_0.20_"&amp;TEXT(INDEX(MASTER!$E:$E,MATCH(_xlpm.pos,MASTER!$I:$I,0)),"mmddyy"),""),_xlpm.slot,288+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38" spans="1:13" ht="22" customHeight="1" x14ac:dyDescent="0.35">
      <c r="A38" s="6" t="s">
        <v>32</v>
      </c>
      <c r="B38" s="4" t="str">
        <f>_xlfn.LET(_xlpm.pos,"NIH plate 4: "&amp;$A5&amp;B$2,_xlpm.normal,IFERROR(INDEX(MASTER!$A:$A,MATCH(_xlpm.pos,MASTER!$I:$I,0))&amp;"_ser_0.20_"&amp;TEXT(INDEX(MASTER!$E:$E,MATCH(_xlpm.pos,MASTER!$I:$I,0)),"mmddyy"),""),_xlpm.slot,288+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38" s="4" t="str">
        <f>_xlfn.LET(_xlpm.pos,"NIH plate 4: "&amp;$A5&amp;C$2,_xlpm.normal,IFERROR(INDEX(MASTER!$A:$A,MATCH(_xlpm.pos,MASTER!$I:$I,0))&amp;"_ser_0.20_"&amp;TEXT(INDEX(MASTER!$E:$E,MATCH(_xlpm.pos,MASTER!$I:$I,0)),"mmddyy"),""),_xlpm.slot,288+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38" s="4" t="str">
        <f>_xlfn.LET(_xlpm.pos,"NIH plate 4: "&amp;$A5&amp;D$2,_xlpm.normal,IFERROR(INDEX(MASTER!$A:$A,MATCH(_xlpm.pos,MASTER!$I:$I,0))&amp;"_ser_0.20_"&amp;TEXT(INDEX(MASTER!$E:$E,MATCH(_xlpm.pos,MASTER!$I:$I,0)),"mmddyy"),""),_xlpm.slot,288+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38" s="4" t="str">
        <f>_xlfn.LET(_xlpm.pos,"NIH plate 4: "&amp;$A5&amp;E$2,_xlpm.normal,IFERROR(INDEX(MASTER!$A:$A,MATCH(_xlpm.pos,MASTER!$I:$I,0))&amp;"_ser_0.20_"&amp;TEXT(INDEX(MASTER!$E:$E,MATCH(_xlpm.pos,MASTER!$I:$I,0)),"mmddyy"),""),_xlpm.slot,288+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38" s="4" t="str">
        <f>_xlfn.LET(_xlpm.pos,"NIH plate 4: "&amp;$A5&amp;F$2,_xlpm.normal,IFERROR(INDEX(MASTER!$A:$A,MATCH(_xlpm.pos,MASTER!$I:$I,0))&amp;"_ser_0.20_"&amp;TEXT(INDEX(MASTER!$E:$E,MATCH(_xlpm.pos,MASTER!$I:$I,0)),"mmddyy"),""),_xlpm.slot,288+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38" s="4" t="str">
        <f>_xlfn.LET(_xlpm.pos,"NIH plate 4: "&amp;$A5&amp;G$2,_xlpm.normal,IFERROR(INDEX(MASTER!$A:$A,MATCH(_xlpm.pos,MASTER!$I:$I,0))&amp;"_ser_0.20_"&amp;TEXT(INDEX(MASTER!$E:$E,MATCH(_xlpm.pos,MASTER!$I:$I,0)),"mmddyy"),""),_xlpm.slot,288+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38" s="4" t="str">
        <f>_xlfn.LET(_xlpm.pos,"NIH plate 4: "&amp;$A5&amp;H$2,_xlpm.normal,IFERROR(INDEX(MASTER!$A:$A,MATCH(_xlpm.pos,MASTER!$I:$I,0))&amp;"_ser_0.20_"&amp;TEXT(INDEX(MASTER!$E:$E,MATCH(_xlpm.pos,MASTER!$I:$I,0)),"mmddyy"),""),_xlpm.slot,288+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38" s="4" t="str">
        <f>_xlfn.LET(_xlpm.pos,"NIH plate 4: "&amp;$A5&amp;I$2,_xlpm.normal,IFERROR(INDEX(MASTER!$A:$A,MATCH(_xlpm.pos,MASTER!$I:$I,0))&amp;"_ser_0.20_"&amp;TEXT(INDEX(MASTER!$E:$E,MATCH(_xlpm.pos,MASTER!$I:$I,0)),"mmddyy"),""),_xlpm.slot,288+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38" s="4" t="str">
        <f>_xlfn.LET(_xlpm.pos,"NIH plate 4: "&amp;$A5&amp;J$2,_xlpm.normal,IFERROR(INDEX(MASTER!$A:$A,MATCH(_xlpm.pos,MASTER!$I:$I,0))&amp;"_ser_0.20_"&amp;TEXT(INDEX(MASTER!$E:$E,MATCH(_xlpm.pos,MASTER!$I:$I,0)),"mmddyy"),""),_xlpm.slot,288+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38" s="4" t="str">
        <f>_xlfn.LET(_xlpm.pos,"NIH plate 4: "&amp;$A5&amp;K$2,_xlpm.normal,IFERROR(INDEX(MASTER!$A:$A,MATCH(_xlpm.pos,MASTER!$I:$I,0))&amp;"_ser_0.20_"&amp;TEXT(INDEX(MASTER!$E:$E,MATCH(_xlpm.pos,MASTER!$I:$I,0)),"mmddyy"),""),_xlpm.slot,288+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38" s="4" t="str">
        <f>_xlfn.LET(_xlpm.pos,"NIH plate 4: "&amp;$A5&amp;L$2,_xlpm.normal,IFERROR(INDEX(MASTER!$A:$A,MATCH(_xlpm.pos,MASTER!$I:$I,0))&amp;"_ser_0.20_"&amp;TEXT(INDEX(MASTER!$E:$E,MATCH(_xlpm.pos,MASTER!$I:$I,0)),"mmddyy"),""),_xlpm.slot,288+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38" s="4" t="str">
        <f>_xlfn.LET(_xlpm.pos,"NIH plate 4: "&amp;$A5&amp;M$2,_xlpm.normal,IFERROR(INDEX(MASTER!$A:$A,MATCH(_xlpm.pos,MASTER!$I:$I,0))&amp;"_ser_0.20_"&amp;TEXT(INDEX(MASTER!$E:$E,MATCH(_xlpm.pos,MASTER!$I:$I,0)),"mmddyy"),""),_xlpm.slot,288+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39" spans="1:13" ht="22" customHeight="1" x14ac:dyDescent="0.35">
      <c r="A39" s="6" t="s">
        <v>33</v>
      </c>
      <c r="B39" s="4" t="str">
        <f>_xlfn.LET(_xlpm.pos,"NIH plate 4: "&amp;$A6&amp;B$2,_xlpm.normal,IFERROR(INDEX(MASTER!$A:$A,MATCH(_xlpm.pos,MASTER!$I:$I,0))&amp;"_ser_0.20_"&amp;TEXT(INDEX(MASTER!$E:$E,MATCH(_xlpm.pos,MASTER!$I:$I,0)),"mmddyy"),""),_xlpm.slot,288+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39" s="4" t="str">
        <f>_xlfn.LET(_xlpm.pos,"NIH plate 4: "&amp;$A6&amp;C$2,_xlpm.normal,IFERROR(INDEX(MASTER!$A:$A,MATCH(_xlpm.pos,MASTER!$I:$I,0))&amp;"_ser_0.20_"&amp;TEXT(INDEX(MASTER!$E:$E,MATCH(_xlpm.pos,MASTER!$I:$I,0)),"mmddyy"),""),_xlpm.slot,288+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39" s="4" t="str">
        <f>_xlfn.LET(_xlpm.pos,"NIH plate 4: "&amp;$A6&amp;D$2,_xlpm.normal,IFERROR(INDEX(MASTER!$A:$A,MATCH(_xlpm.pos,MASTER!$I:$I,0))&amp;"_ser_0.20_"&amp;TEXT(INDEX(MASTER!$E:$E,MATCH(_xlpm.pos,MASTER!$I:$I,0)),"mmddyy"),""),_xlpm.slot,288+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39" s="4" t="str">
        <f>_xlfn.LET(_xlpm.pos,"NIH plate 4: "&amp;$A6&amp;E$2,_xlpm.normal,IFERROR(INDEX(MASTER!$A:$A,MATCH(_xlpm.pos,MASTER!$I:$I,0))&amp;"_ser_0.20_"&amp;TEXT(INDEX(MASTER!$E:$E,MATCH(_xlpm.pos,MASTER!$I:$I,0)),"mmddyy"),""),_xlpm.slot,288+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39" s="4" t="str">
        <f>_xlfn.LET(_xlpm.pos,"NIH plate 4: "&amp;$A6&amp;F$2,_xlpm.normal,IFERROR(INDEX(MASTER!$A:$A,MATCH(_xlpm.pos,MASTER!$I:$I,0))&amp;"_ser_0.20_"&amp;TEXT(INDEX(MASTER!$E:$E,MATCH(_xlpm.pos,MASTER!$I:$I,0)),"mmddyy"),""),_xlpm.slot,288+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39" s="4" t="str">
        <f>_xlfn.LET(_xlpm.pos,"NIH plate 4: "&amp;$A6&amp;G$2,_xlpm.normal,IFERROR(INDEX(MASTER!$A:$A,MATCH(_xlpm.pos,MASTER!$I:$I,0))&amp;"_ser_0.20_"&amp;TEXT(INDEX(MASTER!$E:$E,MATCH(_xlpm.pos,MASTER!$I:$I,0)),"mmddyy"),""),_xlpm.slot,288+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39" s="4" t="str">
        <f>_xlfn.LET(_xlpm.pos,"NIH plate 4: "&amp;$A6&amp;H$2,_xlpm.normal,IFERROR(INDEX(MASTER!$A:$A,MATCH(_xlpm.pos,MASTER!$I:$I,0))&amp;"_ser_0.20_"&amp;TEXT(INDEX(MASTER!$E:$E,MATCH(_xlpm.pos,MASTER!$I:$I,0)),"mmddyy"),""),_xlpm.slot,288+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39" s="4" t="str">
        <f>_xlfn.LET(_xlpm.pos,"NIH plate 4: "&amp;$A6&amp;I$2,_xlpm.normal,IFERROR(INDEX(MASTER!$A:$A,MATCH(_xlpm.pos,MASTER!$I:$I,0))&amp;"_ser_0.20_"&amp;TEXT(INDEX(MASTER!$E:$E,MATCH(_xlpm.pos,MASTER!$I:$I,0)),"mmddyy"),""),_xlpm.slot,288+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39" s="4" t="str">
        <f>_xlfn.LET(_xlpm.pos,"NIH plate 4: "&amp;$A6&amp;J$2,_xlpm.normal,IFERROR(INDEX(MASTER!$A:$A,MATCH(_xlpm.pos,MASTER!$I:$I,0))&amp;"_ser_0.20_"&amp;TEXT(INDEX(MASTER!$E:$E,MATCH(_xlpm.pos,MASTER!$I:$I,0)),"mmddyy"),""),_xlpm.slot,288+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39" s="4" t="str">
        <f>_xlfn.LET(_xlpm.pos,"NIH plate 4: "&amp;$A6&amp;K$2,_xlpm.normal,IFERROR(INDEX(MASTER!$A:$A,MATCH(_xlpm.pos,MASTER!$I:$I,0))&amp;"_ser_0.20_"&amp;TEXT(INDEX(MASTER!$E:$E,MATCH(_xlpm.pos,MASTER!$I:$I,0)),"mmddyy"),""),_xlpm.slot,288+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39" s="4" t="str">
        <f>_xlfn.LET(_xlpm.pos,"NIH plate 4: "&amp;$A6&amp;L$2,_xlpm.normal,IFERROR(INDEX(MASTER!$A:$A,MATCH(_xlpm.pos,MASTER!$I:$I,0))&amp;"_ser_0.20_"&amp;TEXT(INDEX(MASTER!$E:$E,MATCH(_xlpm.pos,MASTER!$I:$I,0)),"mmddyy"),""),_xlpm.slot,288+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39" s="4" t="str">
        <f>_xlfn.LET(_xlpm.pos,"NIH plate 4: "&amp;$A6&amp;M$2,_xlpm.normal,IFERROR(INDEX(MASTER!$A:$A,MATCH(_xlpm.pos,MASTER!$I:$I,0))&amp;"_ser_0.20_"&amp;TEXT(INDEX(MASTER!$E:$E,MATCH(_xlpm.pos,MASTER!$I:$I,0)),"mmddyy"),""),_xlpm.slot,288+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40" spans="1:13" ht="22" customHeight="1" x14ac:dyDescent="0.35">
      <c r="A40" s="6" t="s">
        <v>34</v>
      </c>
      <c r="B40" s="4" t="str">
        <f>_xlfn.LET(_xlpm.pos,"NIH plate 4: "&amp;$A7&amp;B$2,_xlpm.normal,IFERROR(INDEX(MASTER!$A:$A,MATCH(_xlpm.pos,MASTER!$I:$I,0))&amp;"_ser_0.20_"&amp;TEXT(INDEX(MASTER!$E:$E,MATCH(_xlpm.pos,MASTER!$I:$I,0)),"mmddyy"),""),_xlpm.slot,288+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40" s="4" t="str">
        <f>_xlfn.LET(_xlpm.pos,"NIH plate 4: "&amp;$A7&amp;C$2,_xlpm.normal,IFERROR(INDEX(MASTER!$A:$A,MATCH(_xlpm.pos,MASTER!$I:$I,0))&amp;"_ser_0.20_"&amp;TEXT(INDEX(MASTER!$E:$E,MATCH(_xlpm.pos,MASTER!$I:$I,0)),"mmddyy"),""),_xlpm.slot,288+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40" s="4" t="str">
        <f>_xlfn.LET(_xlpm.pos,"NIH plate 4: "&amp;$A7&amp;D$2,_xlpm.normal,IFERROR(INDEX(MASTER!$A:$A,MATCH(_xlpm.pos,MASTER!$I:$I,0))&amp;"_ser_0.20_"&amp;TEXT(INDEX(MASTER!$E:$E,MATCH(_xlpm.pos,MASTER!$I:$I,0)),"mmddyy"),""),_xlpm.slot,288+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40" s="4" t="str">
        <f>_xlfn.LET(_xlpm.pos,"NIH plate 4: "&amp;$A7&amp;E$2,_xlpm.normal,IFERROR(INDEX(MASTER!$A:$A,MATCH(_xlpm.pos,MASTER!$I:$I,0))&amp;"_ser_0.20_"&amp;TEXT(INDEX(MASTER!$E:$E,MATCH(_xlpm.pos,MASTER!$I:$I,0)),"mmddyy"),""),_xlpm.slot,288+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40" s="4" t="str">
        <f>_xlfn.LET(_xlpm.pos,"NIH plate 4: "&amp;$A7&amp;F$2,_xlpm.normal,IFERROR(INDEX(MASTER!$A:$A,MATCH(_xlpm.pos,MASTER!$I:$I,0))&amp;"_ser_0.20_"&amp;TEXT(INDEX(MASTER!$E:$E,MATCH(_xlpm.pos,MASTER!$I:$I,0)),"mmddyy"),""),_xlpm.slot,288+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40" s="4" t="str">
        <f>_xlfn.LET(_xlpm.pos,"NIH plate 4: "&amp;$A7&amp;G$2,_xlpm.normal,IFERROR(INDEX(MASTER!$A:$A,MATCH(_xlpm.pos,MASTER!$I:$I,0))&amp;"_ser_0.20_"&amp;TEXT(INDEX(MASTER!$E:$E,MATCH(_xlpm.pos,MASTER!$I:$I,0)),"mmddyy"),""),_xlpm.slot,288+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40" s="4" t="str">
        <f>_xlfn.LET(_xlpm.pos,"NIH plate 4: "&amp;$A7&amp;H$2,_xlpm.normal,IFERROR(INDEX(MASTER!$A:$A,MATCH(_xlpm.pos,MASTER!$I:$I,0))&amp;"_ser_0.20_"&amp;TEXT(INDEX(MASTER!$E:$E,MATCH(_xlpm.pos,MASTER!$I:$I,0)),"mmddyy"),""),_xlpm.slot,288+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40" s="4" t="str">
        <f>_xlfn.LET(_xlpm.pos,"NIH plate 4: "&amp;$A7&amp;I$2,_xlpm.normal,IFERROR(INDEX(MASTER!$A:$A,MATCH(_xlpm.pos,MASTER!$I:$I,0))&amp;"_ser_0.20_"&amp;TEXT(INDEX(MASTER!$E:$E,MATCH(_xlpm.pos,MASTER!$I:$I,0)),"mmddyy"),""),_xlpm.slot,288+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40" s="4" t="str">
        <f>_xlfn.LET(_xlpm.pos,"NIH plate 4: "&amp;$A7&amp;J$2,_xlpm.normal,IFERROR(INDEX(MASTER!$A:$A,MATCH(_xlpm.pos,MASTER!$I:$I,0))&amp;"_ser_0.20_"&amp;TEXT(INDEX(MASTER!$E:$E,MATCH(_xlpm.pos,MASTER!$I:$I,0)),"mmddyy"),""),_xlpm.slot,288+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40" s="4" t="str">
        <f>_xlfn.LET(_xlpm.pos,"NIH plate 4: "&amp;$A7&amp;K$2,_xlpm.normal,IFERROR(INDEX(MASTER!$A:$A,MATCH(_xlpm.pos,MASTER!$I:$I,0))&amp;"_ser_0.20_"&amp;TEXT(INDEX(MASTER!$E:$E,MATCH(_xlpm.pos,MASTER!$I:$I,0)),"mmddyy"),""),_xlpm.slot,288+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40" s="4" t="str">
        <f>_xlfn.LET(_xlpm.pos,"NIH plate 4: "&amp;$A7&amp;L$2,_xlpm.normal,IFERROR(INDEX(MASTER!$A:$A,MATCH(_xlpm.pos,MASTER!$I:$I,0))&amp;"_ser_0.20_"&amp;TEXT(INDEX(MASTER!$E:$E,MATCH(_xlpm.pos,MASTER!$I:$I,0)),"mmddyy"),""),_xlpm.slot,288+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40" s="4" t="str">
        <f>_xlfn.LET(_xlpm.pos,"NIH plate 4: "&amp;$A7&amp;M$2,_xlpm.normal,IFERROR(INDEX(MASTER!$A:$A,MATCH(_xlpm.pos,MASTER!$I:$I,0))&amp;"_ser_0.20_"&amp;TEXT(INDEX(MASTER!$E:$E,MATCH(_xlpm.pos,MASTER!$I:$I,0)),"mmddyy"),""),_xlpm.slot,288+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41" spans="1:13" ht="22" customHeight="1" x14ac:dyDescent="0.35">
      <c r="A41" s="6" t="s">
        <v>15</v>
      </c>
      <c r="B41" s="4" t="str">
        <f>_xlfn.LET(_xlpm.pos,"NIH plate 4: "&amp;$A8&amp;B$2,_xlpm.normal,IFERROR(INDEX(MASTER!$A:$A,MATCH(_xlpm.pos,MASTER!$I:$I,0))&amp;"_ser_0.20_"&amp;TEXT(INDEX(MASTER!$E:$E,MATCH(_xlpm.pos,MASTER!$I:$I,0)),"mmddyy"),""),_xlpm.slot,288+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41" s="4" t="str">
        <f>_xlfn.LET(_xlpm.pos,"NIH plate 4: "&amp;$A8&amp;C$2,_xlpm.normal,IFERROR(INDEX(MASTER!$A:$A,MATCH(_xlpm.pos,MASTER!$I:$I,0))&amp;"_ser_0.20_"&amp;TEXT(INDEX(MASTER!$E:$E,MATCH(_xlpm.pos,MASTER!$I:$I,0)),"mmddyy"),""),_xlpm.slot,288+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41" s="4" t="str">
        <f>_xlfn.LET(_xlpm.pos,"NIH plate 4: "&amp;$A8&amp;D$2,_xlpm.normal,IFERROR(INDEX(MASTER!$A:$A,MATCH(_xlpm.pos,MASTER!$I:$I,0))&amp;"_ser_0.20_"&amp;TEXT(INDEX(MASTER!$E:$E,MATCH(_xlpm.pos,MASTER!$I:$I,0)),"mmddyy"),""),_xlpm.slot,288+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41" s="4" t="str">
        <f>_xlfn.LET(_xlpm.pos,"NIH plate 4: "&amp;$A8&amp;E$2,_xlpm.normal,IFERROR(INDEX(MASTER!$A:$A,MATCH(_xlpm.pos,MASTER!$I:$I,0))&amp;"_ser_0.20_"&amp;TEXT(INDEX(MASTER!$E:$E,MATCH(_xlpm.pos,MASTER!$I:$I,0)),"mmddyy"),""),_xlpm.slot,288+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41" s="4" t="str">
        <f>_xlfn.LET(_xlpm.pos,"NIH plate 4: "&amp;$A8&amp;F$2,_xlpm.normal,IFERROR(INDEX(MASTER!$A:$A,MATCH(_xlpm.pos,MASTER!$I:$I,0))&amp;"_ser_0.20_"&amp;TEXT(INDEX(MASTER!$E:$E,MATCH(_xlpm.pos,MASTER!$I:$I,0)),"mmddyy"),""),_xlpm.slot,288+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41" s="4" t="str">
        <f>_xlfn.LET(_xlpm.pos,"NIH plate 4: "&amp;$A8&amp;G$2,_xlpm.normal,IFERROR(INDEX(MASTER!$A:$A,MATCH(_xlpm.pos,MASTER!$I:$I,0))&amp;"_ser_0.20_"&amp;TEXT(INDEX(MASTER!$E:$E,MATCH(_xlpm.pos,MASTER!$I:$I,0)),"mmddyy"),""),_xlpm.slot,288+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41" s="4" t="str">
        <f>_xlfn.LET(_xlpm.pos,"NIH plate 4: "&amp;$A8&amp;H$2,_xlpm.normal,IFERROR(INDEX(MASTER!$A:$A,MATCH(_xlpm.pos,MASTER!$I:$I,0))&amp;"_ser_0.20_"&amp;TEXT(INDEX(MASTER!$E:$E,MATCH(_xlpm.pos,MASTER!$I:$I,0)),"mmddyy"),""),_xlpm.slot,288+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41" s="4" t="str">
        <f>_xlfn.LET(_xlpm.pos,"NIH plate 4: "&amp;$A8&amp;I$2,_xlpm.normal,IFERROR(INDEX(MASTER!$A:$A,MATCH(_xlpm.pos,MASTER!$I:$I,0))&amp;"_ser_0.20_"&amp;TEXT(INDEX(MASTER!$E:$E,MATCH(_xlpm.pos,MASTER!$I:$I,0)),"mmddyy"),""),_xlpm.slot,288+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41" s="4" t="str">
        <f>_xlfn.LET(_xlpm.pos,"NIH plate 4: "&amp;$A8&amp;J$2,_xlpm.normal,IFERROR(INDEX(MASTER!$A:$A,MATCH(_xlpm.pos,MASTER!$I:$I,0))&amp;"_ser_0.20_"&amp;TEXT(INDEX(MASTER!$E:$E,MATCH(_xlpm.pos,MASTER!$I:$I,0)),"mmddyy"),""),_xlpm.slot,288+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41" s="4" t="str">
        <f>_xlfn.LET(_xlpm.pos,"NIH plate 4: "&amp;$A8&amp;K$2,_xlpm.normal,IFERROR(INDEX(MASTER!$A:$A,MATCH(_xlpm.pos,MASTER!$I:$I,0))&amp;"_ser_0.20_"&amp;TEXT(INDEX(MASTER!$E:$E,MATCH(_xlpm.pos,MASTER!$I:$I,0)),"mmddyy"),""),_xlpm.slot,288+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41" s="4" t="str">
        <f>_xlfn.LET(_xlpm.pos,"NIH plate 4: "&amp;$A8&amp;L$2,_xlpm.normal,IFERROR(INDEX(MASTER!$A:$A,MATCH(_xlpm.pos,MASTER!$I:$I,0))&amp;"_ser_0.20_"&amp;TEXT(INDEX(MASTER!$E:$E,MATCH(_xlpm.pos,MASTER!$I:$I,0)),"mmddyy"),""),_xlpm.slot,288+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41" s="4" t="str">
        <f>_xlfn.LET(_xlpm.pos,"NIH plate 4: "&amp;$A8&amp;M$2,_xlpm.normal,IFERROR(INDEX(MASTER!$A:$A,MATCH(_xlpm.pos,MASTER!$I:$I,0))&amp;"_ser_0.20_"&amp;TEXT(INDEX(MASTER!$E:$E,MATCH(_xlpm.pos,MASTER!$I:$I,0)),"mmddyy"),""),_xlpm.slot,288+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42" spans="1:13" ht="22" customHeight="1" x14ac:dyDescent="0.35">
      <c r="A42" s="6" t="s">
        <v>35</v>
      </c>
      <c r="B42" s="4" t="str">
        <f>_xlfn.LET(_xlpm.pos,"NIH plate 4: "&amp;$A9&amp;B$2,_xlpm.normal,IFERROR(INDEX(MASTER!$A:$A,MATCH(_xlpm.pos,MASTER!$I:$I,0))&amp;"_ser_0.20_"&amp;TEXT(INDEX(MASTER!$E:$E,MATCH(_xlpm.pos,MASTER!$I:$I,0)),"mmddyy"),""),_xlpm.slot,288+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42" s="4" t="str">
        <f>_xlfn.LET(_xlpm.pos,"NIH plate 4: "&amp;$A9&amp;C$2,_xlpm.normal,IFERROR(INDEX(MASTER!$A:$A,MATCH(_xlpm.pos,MASTER!$I:$I,0))&amp;"_ser_0.20_"&amp;TEXT(INDEX(MASTER!$E:$E,MATCH(_xlpm.pos,MASTER!$I:$I,0)),"mmddyy"),""),_xlpm.slot,288+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42" s="4" t="str">
        <f>_xlfn.LET(_xlpm.pos,"NIH plate 4: "&amp;$A9&amp;D$2,_xlpm.normal,IFERROR(INDEX(MASTER!$A:$A,MATCH(_xlpm.pos,MASTER!$I:$I,0))&amp;"_ser_0.20_"&amp;TEXT(INDEX(MASTER!$E:$E,MATCH(_xlpm.pos,MASTER!$I:$I,0)),"mmddyy"),""),_xlpm.slot,288+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42" s="4" t="str">
        <f>_xlfn.LET(_xlpm.pos,"NIH plate 4: "&amp;$A9&amp;E$2,_xlpm.normal,IFERROR(INDEX(MASTER!$A:$A,MATCH(_xlpm.pos,MASTER!$I:$I,0))&amp;"_ser_0.20_"&amp;TEXT(INDEX(MASTER!$E:$E,MATCH(_xlpm.pos,MASTER!$I:$I,0)),"mmddyy"),""),_xlpm.slot,288+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42" s="4" t="str">
        <f>_xlfn.LET(_xlpm.pos,"NIH plate 4: "&amp;$A9&amp;F$2,_xlpm.normal,IFERROR(INDEX(MASTER!$A:$A,MATCH(_xlpm.pos,MASTER!$I:$I,0))&amp;"_ser_0.20_"&amp;TEXT(INDEX(MASTER!$E:$E,MATCH(_xlpm.pos,MASTER!$I:$I,0)),"mmddyy"),""),_xlpm.slot,288+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42" s="4" t="str">
        <f>_xlfn.LET(_xlpm.pos,"NIH plate 4: "&amp;$A9&amp;G$2,_xlpm.normal,IFERROR(INDEX(MASTER!$A:$A,MATCH(_xlpm.pos,MASTER!$I:$I,0))&amp;"_ser_0.20_"&amp;TEXT(INDEX(MASTER!$E:$E,MATCH(_xlpm.pos,MASTER!$I:$I,0)),"mmddyy"),""),_xlpm.slot,288+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42" s="4" t="str">
        <f>_xlfn.LET(_xlpm.pos,"NIH plate 4: "&amp;$A9&amp;H$2,_xlpm.normal,IFERROR(INDEX(MASTER!$A:$A,MATCH(_xlpm.pos,MASTER!$I:$I,0))&amp;"_ser_0.20_"&amp;TEXT(INDEX(MASTER!$E:$E,MATCH(_xlpm.pos,MASTER!$I:$I,0)),"mmddyy"),""),_xlpm.slot,288+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42" s="4" t="str">
        <f>_xlfn.LET(_xlpm.pos,"NIH plate 4: "&amp;$A9&amp;I$2,_xlpm.normal,IFERROR(INDEX(MASTER!$A:$A,MATCH(_xlpm.pos,MASTER!$I:$I,0))&amp;"_ser_0.20_"&amp;TEXT(INDEX(MASTER!$E:$E,MATCH(_xlpm.pos,MASTER!$I:$I,0)),"mmddyy"),""),_xlpm.slot,288+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42" s="4" t="str">
        <f>_xlfn.LET(_xlpm.pos,"NIH plate 4: "&amp;$A9&amp;J$2,_xlpm.normal,IFERROR(INDEX(MASTER!$A:$A,MATCH(_xlpm.pos,MASTER!$I:$I,0))&amp;"_ser_0.20_"&amp;TEXT(INDEX(MASTER!$E:$E,MATCH(_xlpm.pos,MASTER!$I:$I,0)),"mmddyy"),""),_xlpm.slot,288+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42" s="4" t="str">
        <f>_xlfn.LET(_xlpm.pos,"NIH plate 4: "&amp;$A9&amp;K$2,_xlpm.normal,IFERROR(INDEX(MASTER!$A:$A,MATCH(_xlpm.pos,MASTER!$I:$I,0))&amp;"_ser_0.20_"&amp;TEXT(INDEX(MASTER!$E:$E,MATCH(_xlpm.pos,MASTER!$I:$I,0)),"mmddyy"),""),_xlpm.slot,288+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42" s="4" t="str">
        <f>_xlfn.LET(_xlpm.pos,"NIH plate 4: "&amp;$A9&amp;L$2,_xlpm.normal,IFERROR(INDEX(MASTER!$A:$A,MATCH(_xlpm.pos,MASTER!$I:$I,0))&amp;"_ser_0.20_"&amp;TEXT(INDEX(MASTER!$E:$E,MATCH(_xlpm.pos,MASTER!$I:$I,0)),"mmddyy"),""),_xlpm.slot,288+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42" s="4" t="str">
        <f>_xlfn.LET(_xlpm.pos,"NIH plate 4: "&amp;$A9&amp;M$2,_xlpm.normal,IFERROR(INDEX(MASTER!$A:$A,MATCH(_xlpm.pos,MASTER!$I:$I,0))&amp;"_ser_0.20_"&amp;TEXT(INDEX(MASTER!$E:$E,MATCH(_xlpm.pos,MASTER!$I:$I,0)),"mmddyy"),""),_xlpm.slot,288+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43" spans="1:13" ht="22" customHeight="1" x14ac:dyDescent="0.35">
      <c r="A43" s="6" t="s">
        <v>36</v>
      </c>
      <c r="B43" s="4" t="str">
        <f>_xlfn.LET(_xlpm.pos,"NIH plate 4: "&amp;$A10&amp;B$2,_xlpm.normal,IFERROR(INDEX(MASTER!$A:$A,MATCH(_xlpm.pos,MASTER!$I:$I,0))&amp;"_ser_0.20_"&amp;TEXT(INDEX(MASTER!$E:$E,MATCH(_xlpm.pos,MASTER!$I:$I,0)),"mmddyy"),""),_xlpm.slot,288+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43" s="4" t="str">
        <f>_xlfn.LET(_xlpm.pos,"NIH plate 4: "&amp;$A10&amp;C$2,_xlpm.normal,IFERROR(INDEX(MASTER!$A:$A,MATCH(_xlpm.pos,MASTER!$I:$I,0))&amp;"_ser_0.20_"&amp;TEXT(INDEX(MASTER!$E:$E,MATCH(_xlpm.pos,MASTER!$I:$I,0)),"mmddyy"),""),_xlpm.slot,288+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43" s="4" t="str">
        <f>_xlfn.LET(_xlpm.pos,"NIH plate 4: "&amp;$A10&amp;D$2,_xlpm.normal,IFERROR(INDEX(MASTER!$A:$A,MATCH(_xlpm.pos,MASTER!$I:$I,0))&amp;"_ser_0.20_"&amp;TEXT(INDEX(MASTER!$E:$E,MATCH(_xlpm.pos,MASTER!$I:$I,0)),"mmddyy"),""),_xlpm.slot,288+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43" s="4" t="str">
        <f>_xlfn.LET(_xlpm.pos,"NIH plate 4: "&amp;$A10&amp;E$2,_xlpm.normal,IFERROR(INDEX(MASTER!$A:$A,MATCH(_xlpm.pos,MASTER!$I:$I,0))&amp;"_ser_0.20_"&amp;TEXT(INDEX(MASTER!$E:$E,MATCH(_xlpm.pos,MASTER!$I:$I,0)),"mmddyy"),""),_xlpm.slot,288+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43" s="4" t="str">
        <f>_xlfn.LET(_xlpm.pos,"NIH plate 4: "&amp;$A10&amp;F$2,_xlpm.normal,IFERROR(INDEX(MASTER!$A:$A,MATCH(_xlpm.pos,MASTER!$I:$I,0))&amp;"_ser_0.20_"&amp;TEXT(INDEX(MASTER!$E:$E,MATCH(_xlpm.pos,MASTER!$I:$I,0)),"mmddyy"),""),_xlpm.slot,288+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43" s="4" t="str">
        <f>_xlfn.LET(_xlpm.pos,"NIH plate 4: "&amp;$A10&amp;G$2,_xlpm.normal,IFERROR(INDEX(MASTER!$A:$A,MATCH(_xlpm.pos,MASTER!$I:$I,0))&amp;"_ser_0.20_"&amp;TEXT(INDEX(MASTER!$E:$E,MATCH(_xlpm.pos,MASTER!$I:$I,0)),"mmddyy"),""),_xlpm.slot,288+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43" s="4" t="str">
        <f>_xlfn.LET(_xlpm.pos,"NIH plate 4: "&amp;$A10&amp;H$2,_xlpm.normal,IFERROR(INDEX(MASTER!$A:$A,MATCH(_xlpm.pos,MASTER!$I:$I,0))&amp;"_ser_0.20_"&amp;TEXT(INDEX(MASTER!$E:$E,MATCH(_xlpm.pos,MASTER!$I:$I,0)),"mmddyy"),""),_xlpm.slot,288+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43" s="4" t="str">
        <f>_xlfn.LET(_xlpm.pos,"NIH plate 4: "&amp;$A10&amp;I$2,_xlpm.normal,IFERROR(INDEX(MASTER!$A:$A,MATCH(_xlpm.pos,MASTER!$I:$I,0))&amp;"_ser_0.20_"&amp;TEXT(INDEX(MASTER!$E:$E,MATCH(_xlpm.pos,MASTER!$I:$I,0)),"mmddyy"),""),_xlpm.slot,288+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43" s="4" t="str">
        <f>_xlfn.LET(_xlpm.pos,"NIH plate 4: "&amp;$A10&amp;J$2,_xlpm.normal,IFERROR(INDEX(MASTER!$A:$A,MATCH(_xlpm.pos,MASTER!$I:$I,0))&amp;"_ser_0.20_"&amp;TEXT(INDEX(MASTER!$E:$E,MATCH(_xlpm.pos,MASTER!$I:$I,0)),"mmddyy"),""),_xlpm.slot,288+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43" s="4" t="str">
        <f>_xlfn.LET(_xlpm.pos,"NIH plate 4: "&amp;$A10&amp;K$2,_xlpm.normal,IFERROR(INDEX(MASTER!$A:$A,MATCH(_xlpm.pos,MASTER!$I:$I,0))&amp;"_ser_0.20_"&amp;TEXT(INDEX(MASTER!$E:$E,MATCH(_xlpm.pos,MASTER!$I:$I,0)),"mmddyy"),""),_xlpm.slot,288+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43" s="4" t="str">
        <f>_xlfn.LET(_xlpm.pos,"NIH plate 4: "&amp;$A10&amp;L$2,_xlpm.normal,IFERROR(INDEX(MASTER!$A:$A,MATCH(_xlpm.pos,MASTER!$I:$I,0))&amp;"_ser_0.20_"&amp;TEXT(INDEX(MASTER!$E:$E,MATCH(_xlpm.pos,MASTER!$I:$I,0)),"mmddyy"),""),_xlpm.slot,288+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43" s="4" t="str">
        <f>_xlfn.LET(_xlpm.pos,"NIH plate 4: "&amp;$A10&amp;M$2,_xlpm.normal,IFERROR(INDEX(MASTER!$A:$A,MATCH(_xlpm.pos,MASTER!$I:$I,0))&amp;"_ser_0.20_"&amp;TEXT(INDEX(MASTER!$E:$E,MATCH(_xlpm.pos,MASTER!$I:$I,0)),"mmddyy"),""),_xlpm.slot,288+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44" spans="1:13" ht="22" customHeight="1" x14ac:dyDescent="0.3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ht="22" customHeight="1" x14ac:dyDescent="0.35">
      <c r="A45" s="7"/>
      <c r="B45" s="31" t="s">
        <v>61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3"/>
    </row>
    <row r="46" spans="1:13" ht="22" customHeight="1" x14ac:dyDescent="0.35">
      <c r="A46" s="7"/>
      <c r="B46" s="6">
        <v>1</v>
      </c>
      <c r="C46" s="6">
        <v>2</v>
      </c>
      <c r="D46" s="6">
        <v>3</v>
      </c>
      <c r="E46" s="6">
        <v>4</v>
      </c>
      <c r="F46" s="6">
        <v>5</v>
      </c>
      <c r="G46" s="6">
        <v>6</v>
      </c>
      <c r="H46" s="6">
        <v>7</v>
      </c>
      <c r="I46" s="6">
        <v>8</v>
      </c>
      <c r="J46" s="6">
        <v>9</v>
      </c>
      <c r="K46" s="6">
        <v>10</v>
      </c>
      <c r="L46" s="6">
        <v>11</v>
      </c>
      <c r="M46" s="6">
        <v>12</v>
      </c>
    </row>
    <row r="47" spans="1:13" ht="22" customHeight="1" x14ac:dyDescent="0.35">
      <c r="A47" s="6" t="s">
        <v>30</v>
      </c>
      <c r="B47" s="4" t="str">
        <f>_xlfn.LET(_xlpm.pos,"NIH plate 5: "&amp;$A3&amp;B$2,_xlpm.normal,IFERROR(INDEX(MASTER!$A:$A,MATCH(_xlpm.pos,MASTER!$I:$I,0))&amp;"_ser_0.20_"&amp;TEXT(INDEX(MASTER!$E:$E,MATCH(_xlpm.pos,MASTER!$I:$I,0)),"mmddyy"),""),_xlpm.slot,384+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47" s="4" t="str">
        <f>_xlfn.LET(_xlpm.pos,"NIH plate 5: "&amp;$A3&amp;C$2,_xlpm.normal,IFERROR(INDEX(MASTER!$A:$A,MATCH(_xlpm.pos,MASTER!$I:$I,0))&amp;"_ser_0.20_"&amp;TEXT(INDEX(MASTER!$E:$E,MATCH(_xlpm.pos,MASTER!$I:$I,0)),"mmddyy"),""),_xlpm.slot,384+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47" s="4" t="str">
        <f>_xlfn.LET(_xlpm.pos,"NIH plate 5: "&amp;$A3&amp;D$2,_xlpm.normal,IFERROR(INDEX(MASTER!$A:$A,MATCH(_xlpm.pos,MASTER!$I:$I,0))&amp;"_ser_0.20_"&amp;TEXT(INDEX(MASTER!$E:$E,MATCH(_xlpm.pos,MASTER!$I:$I,0)),"mmddyy"),""),_xlpm.slot,384+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47" s="4" t="str">
        <f>_xlfn.LET(_xlpm.pos,"NIH plate 5: "&amp;$A3&amp;E$2,_xlpm.normal,IFERROR(INDEX(MASTER!$A:$A,MATCH(_xlpm.pos,MASTER!$I:$I,0))&amp;"_ser_0.20_"&amp;TEXT(INDEX(MASTER!$E:$E,MATCH(_xlpm.pos,MASTER!$I:$I,0)),"mmddyy"),""),_xlpm.slot,384+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47" s="4" t="str">
        <f>_xlfn.LET(_xlpm.pos,"NIH plate 5: "&amp;$A3&amp;F$2,_xlpm.normal,IFERROR(INDEX(MASTER!$A:$A,MATCH(_xlpm.pos,MASTER!$I:$I,0))&amp;"_ser_0.20_"&amp;TEXT(INDEX(MASTER!$E:$E,MATCH(_xlpm.pos,MASTER!$I:$I,0)),"mmddyy"),""),_xlpm.slot,384+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47" s="4" t="str">
        <f>_xlfn.LET(_xlpm.pos,"NIH plate 5: "&amp;$A3&amp;G$2,_xlpm.normal,IFERROR(INDEX(MASTER!$A:$A,MATCH(_xlpm.pos,MASTER!$I:$I,0))&amp;"_ser_0.20_"&amp;TEXT(INDEX(MASTER!$E:$E,MATCH(_xlpm.pos,MASTER!$I:$I,0)),"mmddyy"),""),_xlpm.slot,384+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47" s="4" t="str">
        <f>_xlfn.LET(_xlpm.pos,"NIH plate 5: "&amp;$A3&amp;H$2,_xlpm.normal,IFERROR(INDEX(MASTER!$A:$A,MATCH(_xlpm.pos,MASTER!$I:$I,0))&amp;"_ser_0.20_"&amp;TEXT(INDEX(MASTER!$E:$E,MATCH(_xlpm.pos,MASTER!$I:$I,0)),"mmddyy"),""),_xlpm.slot,384+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47" s="4" t="str">
        <f>_xlfn.LET(_xlpm.pos,"NIH plate 5: "&amp;$A3&amp;I$2,_xlpm.normal,IFERROR(INDEX(MASTER!$A:$A,MATCH(_xlpm.pos,MASTER!$I:$I,0))&amp;"_ser_0.20_"&amp;TEXT(INDEX(MASTER!$E:$E,MATCH(_xlpm.pos,MASTER!$I:$I,0)),"mmddyy"),""),_xlpm.slot,384+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47" s="4" t="str">
        <f>_xlfn.LET(_xlpm.pos,"NIH plate 5: "&amp;$A3&amp;J$2,_xlpm.normal,IFERROR(INDEX(MASTER!$A:$A,MATCH(_xlpm.pos,MASTER!$I:$I,0))&amp;"_ser_0.20_"&amp;TEXT(INDEX(MASTER!$E:$E,MATCH(_xlpm.pos,MASTER!$I:$I,0)),"mmddyy"),""),_xlpm.slot,384+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47" s="4" t="str">
        <f>_xlfn.LET(_xlpm.pos,"NIH plate 5: "&amp;$A3&amp;K$2,_xlpm.normal,IFERROR(INDEX(MASTER!$A:$A,MATCH(_xlpm.pos,MASTER!$I:$I,0))&amp;"_ser_0.20_"&amp;TEXT(INDEX(MASTER!$E:$E,MATCH(_xlpm.pos,MASTER!$I:$I,0)),"mmddyy"),""),_xlpm.slot,384+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47" s="4" t="str">
        <f>_xlfn.LET(_xlpm.pos,"NIH plate 5: "&amp;$A3&amp;L$2,_xlpm.normal,IFERROR(INDEX(MASTER!$A:$A,MATCH(_xlpm.pos,MASTER!$I:$I,0))&amp;"_ser_0.20_"&amp;TEXT(INDEX(MASTER!$E:$E,MATCH(_xlpm.pos,MASTER!$I:$I,0)),"mmddyy"),""),_xlpm.slot,384+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47" s="4" t="str">
        <f>_xlfn.LET(_xlpm.pos,"NIH plate 5: "&amp;$A3&amp;M$2,_xlpm.normal,IFERROR(INDEX(MASTER!$A:$A,MATCH(_xlpm.pos,MASTER!$I:$I,0))&amp;"_ser_0.20_"&amp;TEXT(INDEX(MASTER!$E:$E,MATCH(_xlpm.pos,MASTER!$I:$I,0)),"mmddyy"),""),_xlpm.slot,384+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48" spans="1:13" ht="22" customHeight="1" x14ac:dyDescent="0.35">
      <c r="A48" s="6" t="s">
        <v>31</v>
      </c>
      <c r="B48" s="4" t="str">
        <f>_xlfn.LET(_xlpm.pos,"NIH plate 5: "&amp;$A4&amp;B$2,_xlpm.normal,IFERROR(INDEX(MASTER!$A:$A,MATCH(_xlpm.pos,MASTER!$I:$I,0))&amp;"_ser_0.20_"&amp;TEXT(INDEX(MASTER!$E:$E,MATCH(_xlpm.pos,MASTER!$I:$I,0)),"mmddyy"),""),_xlpm.slot,384+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48" s="4" t="str">
        <f>_xlfn.LET(_xlpm.pos,"NIH plate 5: "&amp;$A4&amp;C$2,_xlpm.normal,IFERROR(INDEX(MASTER!$A:$A,MATCH(_xlpm.pos,MASTER!$I:$I,0))&amp;"_ser_0.20_"&amp;TEXT(INDEX(MASTER!$E:$E,MATCH(_xlpm.pos,MASTER!$I:$I,0)),"mmddyy"),""),_xlpm.slot,384+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48" s="4" t="str">
        <f>_xlfn.LET(_xlpm.pos,"NIH plate 5: "&amp;$A4&amp;D$2,_xlpm.normal,IFERROR(INDEX(MASTER!$A:$A,MATCH(_xlpm.pos,MASTER!$I:$I,0))&amp;"_ser_0.20_"&amp;TEXT(INDEX(MASTER!$E:$E,MATCH(_xlpm.pos,MASTER!$I:$I,0)),"mmddyy"),""),_xlpm.slot,384+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48" s="4" t="str">
        <f>_xlfn.LET(_xlpm.pos,"NIH plate 5: "&amp;$A4&amp;E$2,_xlpm.normal,IFERROR(INDEX(MASTER!$A:$A,MATCH(_xlpm.pos,MASTER!$I:$I,0))&amp;"_ser_0.20_"&amp;TEXT(INDEX(MASTER!$E:$E,MATCH(_xlpm.pos,MASTER!$I:$I,0)),"mmddyy"),""),_xlpm.slot,384+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48" s="4" t="str">
        <f>_xlfn.LET(_xlpm.pos,"NIH plate 5: "&amp;$A4&amp;F$2,_xlpm.normal,IFERROR(INDEX(MASTER!$A:$A,MATCH(_xlpm.pos,MASTER!$I:$I,0))&amp;"_ser_0.20_"&amp;TEXT(INDEX(MASTER!$E:$E,MATCH(_xlpm.pos,MASTER!$I:$I,0)),"mmddyy"),""),_xlpm.slot,384+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48" s="4" t="str">
        <f>_xlfn.LET(_xlpm.pos,"NIH plate 5: "&amp;$A4&amp;G$2,_xlpm.normal,IFERROR(INDEX(MASTER!$A:$A,MATCH(_xlpm.pos,MASTER!$I:$I,0))&amp;"_ser_0.20_"&amp;TEXT(INDEX(MASTER!$E:$E,MATCH(_xlpm.pos,MASTER!$I:$I,0)),"mmddyy"),""),_xlpm.slot,384+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48" s="4" t="str">
        <f>_xlfn.LET(_xlpm.pos,"NIH plate 5: "&amp;$A4&amp;H$2,_xlpm.normal,IFERROR(INDEX(MASTER!$A:$A,MATCH(_xlpm.pos,MASTER!$I:$I,0))&amp;"_ser_0.20_"&amp;TEXT(INDEX(MASTER!$E:$E,MATCH(_xlpm.pos,MASTER!$I:$I,0)),"mmddyy"),""),_xlpm.slot,384+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48" s="4" t="str">
        <f>_xlfn.LET(_xlpm.pos,"NIH plate 5: "&amp;$A4&amp;I$2,_xlpm.normal,IFERROR(INDEX(MASTER!$A:$A,MATCH(_xlpm.pos,MASTER!$I:$I,0))&amp;"_ser_0.20_"&amp;TEXT(INDEX(MASTER!$E:$E,MATCH(_xlpm.pos,MASTER!$I:$I,0)),"mmddyy"),""),_xlpm.slot,384+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48" s="4" t="str">
        <f>_xlfn.LET(_xlpm.pos,"NIH plate 5: "&amp;$A4&amp;J$2,_xlpm.normal,IFERROR(INDEX(MASTER!$A:$A,MATCH(_xlpm.pos,MASTER!$I:$I,0))&amp;"_ser_0.20_"&amp;TEXT(INDEX(MASTER!$E:$E,MATCH(_xlpm.pos,MASTER!$I:$I,0)),"mmddyy"),""),_xlpm.slot,384+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48" s="4" t="str">
        <f>_xlfn.LET(_xlpm.pos,"NIH plate 5: "&amp;$A4&amp;K$2,_xlpm.normal,IFERROR(INDEX(MASTER!$A:$A,MATCH(_xlpm.pos,MASTER!$I:$I,0))&amp;"_ser_0.20_"&amp;TEXT(INDEX(MASTER!$E:$E,MATCH(_xlpm.pos,MASTER!$I:$I,0)),"mmddyy"),""),_xlpm.slot,384+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48" s="4" t="str">
        <f>_xlfn.LET(_xlpm.pos,"NIH plate 5: "&amp;$A4&amp;L$2,_xlpm.normal,IFERROR(INDEX(MASTER!$A:$A,MATCH(_xlpm.pos,MASTER!$I:$I,0))&amp;"_ser_0.20_"&amp;TEXT(INDEX(MASTER!$E:$E,MATCH(_xlpm.pos,MASTER!$I:$I,0)),"mmddyy"),""),_xlpm.slot,384+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48" s="4" t="str">
        <f>_xlfn.LET(_xlpm.pos,"NIH plate 5: "&amp;$A4&amp;M$2,_xlpm.normal,IFERROR(INDEX(MASTER!$A:$A,MATCH(_xlpm.pos,MASTER!$I:$I,0))&amp;"_ser_0.20_"&amp;TEXT(INDEX(MASTER!$E:$E,MATCH(_xlpm.pos,MASTER!$I:$I,0)),"mmddyy"),""),_xlpm.slot,384+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49" spans="1:13" ht="22" customHeight="1" x14ac:dyDescent="0.35">
      <c r="A49" s="6" t="s">
        <v>32</v>
      </c>
      <c r="B49" s="4" t="str">
        <f>_xlfn.LET(_xlpm.pos,"NIH plate 5: "&amp;$A5&amp;B$2,_xlpm.normal,IFERROR(INDEX(MASTER!$A:$A,MATCH(_xlpm.pos,MASTER!$I:$I,0))&amp;"_ser_0.20_"&amp;TEXT(INDEX(MASTER!$E:$E,MATCH(_xlpm.pos,MASTER!$I:$I,0)),"mmddyy"),""),_xlpm.slot,384+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49" s="4" t="str">
        <f>_xlfn.LET(_xlpm.pos,"NIH plate 5: "&amp;$A5&amp;C$2,_xlpm.normal,IFERROR(INDEX(MASTER!$A:$A,MATCH(_xlpm.pos,MASTER!$I:$I,0))&amp;"_ser_0.20_"&amp;TEXT(INDEX(MASTER!$E:$E,MATCH(_xlpm.pos,MASTER!$I:$I,0)),"mmddyy"),""),_xlpm.slot,384+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49" s="4" t="str">
        <f>_xlfn.LET(_xlpm.pos,"NIH plate 5: "&amp;$A5&amp;D$2,_xlpm.normal,IFERROR(INDEX(MASTER!$A:$A,MATCH(_xlpm.pos,MASTER!$I:$I,0))&amp;"_ser_0.20_"&amp;TEXT(INDEX(MASTER!$E:$E,MATCH(_xlpm.pos,MASTER!$I:$I,0)),"mmddyy"),""),_xlpm.slot,384+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49" s="4" t="str">
        <f>_xlfn.LET(_xlpm.pos,"NIH plate 5: "&amp;$A5&amp;E$2,_xlpm.normal,IFERROR(INDEX(MASTER!$A:$A,MATCH(_xlpm.pos,MASTER!$I:$I,0))&amp;"_ser_0.20_"&amp;TEXT(INDEX(MASTER!$E:$E,MATCH(_xlpm.pos,MASTER!$I:$I,0)),"mmddyy"),""),_xlpm.slot,384+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49" s="4" t="str">
        <f>_xlfn.LET(_xlpm.pos,"NIH plate 5: "&amp;$A5&amp;F$2,_xlpm.normal,IFERROR(INDEX(MASTER!$A:$A,MATCH(_xlpm.pos,MASTER!$I:$I,0))&amp;"_ser_0.20_"&amp;TEXT(INDEX(MASTER!$E:$E,MATCH(_xlpm.pos,MASTER!$I:$I,0)),"mmddyy"),""),_xlpm.slot,384+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49" s="4" t="str">
        <f>_xlfn.LET(_xlpm.pos,"NIH plate 5: "&amp;$A5&amp;G$2,_xlpm.normal,IFERROR(INDEX(MASTER!$A:$A,MATCH(_xlpm.pos,MASTER!$I:$I,0))&amp;"_ser_0.20_"&amp;TEXT(INDEX(MASTER!$E:$E,MATCH(_xlpm.pos,MASTER!$I:$I,0)),"mmddyy"),""),_xlpm.slot,384+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49" s="4" t="str">
        <f>_xlfn.LET(_xlpm.pos,"NIH plate 5: "&amp;$A5&amp;H$2,_xlpm.normal,IFERROR(INDEX(MASTER!$A:$A,MATCH(_xlpm.pos,MASTER!$I:$I,0))&amp;"_ser_0.20_"&amp;TEXT(INDEX(MASTER!$E:$E,MATCH(_xlpm.pos,MASTER!$I:$I,0)),"mmddyy"),""),_xlpm.slot,384+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49" s="4" t="str">
        <f>_xlfn.LET(_xlpm.pos,"NIH plate 5: "&amp;$A5&amp;I$2,_xlpm.normal,IFERROR(INDEX(MASTER!$A:$A,MATCH(_xlpm.pos,MASTER!$I:$I,0))&amp;"_ser_0.20_"&amp;TEXT(INDEX(MASTER!$E:$E,MATCH(_xlpm.pos,MASTER!$I:$I,0)),"mmddyy"),""),_xlpm.slot,384+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49" s="4" t="str">
        <f>_xlfn.LET(_xlpm.pos,"NIH plate 5: "&amp;$A5&amp;J$2,_xlpm.normal,IFERROR(INDEX(MASTER!$A:$A,MATCH(_xlpm.pos,MASTER!$I:$I,0))&amp;"_ser_0.20_"&amp;TEXT(INDEX(MASTER!$E:$E,MATCH(_xlpm.pos,MASTER!$I:$I,0)),"mmddyy"),""),_xlpm.slot,384+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49" s="4" t="str">
        <f>_xlfn.LET(_xlpm.pos,"NIH plate 5: "&amp;$A5&amp;K$2,_xlpm.normal,IFERROR(INDEX(MASTER!$A:$A,MATCH(_xlpm.pos,MASTER!$I:$I,0))&amp;"_ser_0.20_"&amp;TEXT(INDEX(MASTER!$E:$E,MATCH(_xlpm.pos,MASTER!$I:$I,0)),"mmddyy"),""),_xlpm.slot,384+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49" s="4" t="str">
        <f>_xlfn.LET(_xlpm.pos,"NIH plate 5: "&amp;$A5&amp;L$2,_xlpm.normal,IFERROR(INDEX(MASTER!$A:$A,MATCH(_xlpm.pos,MASTER!$I:$I,0))&amp;"_ser_0.20_"&amp;TEXT(INDEX(MASTER!$E:$E,MATCH(_xlpm.pos,MASTER!$I:$I,0)),"mmddyy"),""),_xlpm.slot,384+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49" s="4" t="str">
        <f>_xlfn.LET(_xlpm.pos,"NIH plate 5: "&amp;$A5&amp;M$2,_xlpm.normal,IFERROR(INDEX(MASTER!$A:$A,MATCH(_xlpm.pos,MASTER!$I:$I,0))&amp;"_ser_0.20_"&amp;TEXT(INDEX(MASTER!$E:$E,MATCH(_xlpm.pos,MASTER!$I:$I,0)),"mmddyy"),""),_xlpm.slot,384+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50" spans="1:13" ht="22" customHeight="1" x14ac:dyDescent="0.35">
      <c r="A50" s="6" t="s">
        <v>33</v>
      </c>
      <c r="B50" s="4" t="str">
        <f>_xlfn.LET(_xlpm.pos,"NIH plate 5: "&amp;$A6&amp;B$2,_xlpm.normal,IFERROR(INDEX(MASTER!$A:$A,MATCH(_xlpm.pos,MASTER!$I:$I,0))&amp;"_ser_0.20_"&amp;TEXT(INDEX(MASTER!$E:$E,MATCH(_xlpm.pos,MASTER!$I:$I,0)),"mmddyy"),""),_xlpm.slot,384+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50" s="4" t="str">
        <f>_xlfn.LET(_xlpm.pos,"NIH plate 5: "&amp;$A6&amp;C$2,_xlpm.normal,IFERROR(INDEX(MASTER!$A:$A,MATCH(_xlpm.pos,MASTER!$I:$I,0))&amp;"_ser_0.20_"&amp;TEXT(INDEX(MASTER!$E:$E,MATCH(_xlpm.pos,MASTER!$I:$I,0)),"mmddyy"),""),_xlpm.slot,384+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50" s="4" t="str">
        <f>_xlfn.LET(_xlpm.pos,"NIH plate 5: "&amp;$A6&amp;D$2,_xlpm.normal,IFERROR(INDEX(MASTER!$A:$A,MATCH(_xlpm.pos,MASTER!$I:$I,0))&amp;"_ser_0.20_"&amp;TEXT(INDEX(MASTER!$E:$E,MATCH(_xlpm.pos,MASTER!$I:$I,0)),"mmddyy"),""),_xlpm.slot,384+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50" s="4" t="str">
        <f>_xlfn.LET(_xlpm.pos,"NIH plate 5: "&amp;$A6&amp;E$2,_xlpm.normal,IFERROR(INDEX(MASTER!$A:$A,MATCH(_xlpm.pos,MASTER!$I:$I,0))&amp;"_ser_0.20_"&amp;TEXT(INDEX(MASTER!$E:$E,MATCH(_xlpm.pos,MASTER!$I:$I,0)),"mmddyy"),""),_xlpm.slot,384+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50" s="4" t="str">
        <f>_xlfn.LET(_xlpm.pos,"NIH plate 5: "&amp;$A6&amp;F$2,_xlpm.normal,IFERROR(INDEX(MASTER!$A:$A,MATCH(_xlpm.pos,MASTER!$I:$I,0))&amp;"_ser_0.20_"&amp;TEXT(INDEX(MASTER!$E:$E,MATCH(_xlpm.pos,MASTER!$I:$I,0)),"mmddyy"),""),_xlpm.slot,384+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50" s="4" t="str">
        <f>_xlfn.LET(_xlpm.pos,"NIH plate 5: "&amp;$A6&amp;G$2,_xlpm.normal,IFERROR(INDEX(MASTER!$A:$A,MATCH(_xlpm.pos,MASTER!$I:$I,0))&amp;"_ser_0.20_"&amp;TEXT(INDEX(MASTER!$E:$E,MATCH(_xlpm.pos,MASTER!$I:$I,0)),"mmddyy"),""),_xlpm.slot,384+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50" s="4" t="str">
        <f>_xlfn.LET(_xlpm.pos,"NIH plate 5: "&amp;$A6&amp;H$2,_xlpm.normal,IFERROR(INDEX(MASTER!$A:$A,MATCH(_xlpm.pos,MASTER!$I:$I,0))&amp;"_ser_0.20_"&amp;TEXT(INDEX(MASTER!$E:$E,MATCH(_xlpm.pos,MASTER!$I:$I,0)),"mmddyy"),""),_xlpm.slot,384+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50" s="4" t="str">
        <f>_xlfn.LET(_xlpm.pos,"NIH plate 5: "&amp;$A6&amp;I$2,_xlpm.normal,IFERROR(INDEX(MASTER!$A:$A,MATCH(_xlpm.pos,MASTER!$I:$I,0))&amp;"_ser_0.20_"&amp;TEXT(INDEX(MASTER!$E:$E,MATCH(_xlpm.pos,MASTER!$I:$I,0)),"mmddyy"),""),_xlpm.slot,384+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50" s="4" t="str">
        <f>_xlfn.LET(_xlpm.pos,"NIH plate 5: "&amp;$A6&amp;J$2,_xlpm.normal,IFERROR(INDEX(MASTER!$A:$A,MATCH(_xlpm.pos,MASTER!$I:$I,0))&amp;"_ser_0.20_"&amp;TEXT(INDEX(MASTER!$E:$E,MATCH(_xlpm.pos,MASTER!$I:$I,0)),"mmddyy"),""),_xlpm.slot,384+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50" s="4" t="str">
        <f>_xlfn.LET(_xlpm.pos,"NIH plate 5: "&amp;$A6&amp;K$2,_xlpm.normal,IFERROR(INDEX(MASTER!$A:$A,MATCH(_xlpm.pos,MASTER!$I:$I,0))&amp;"_ser_0.20_"&amp;TEXT(INDEX(MASTER!$E:$E,MATCH(_xlpm.pos,MASTER!$I:$I,0)),"mmddyy"),""),_xlpm.slot,384+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50" s="4" t="str">
        <f>_xlfn.LET(_xlpm.pos,"NIH plate 5: "&amp;$A6&amp;L$2,_xlpm.normal,IFERROR(INDEX(MASTER!$A:$A,MATCH(_xlpm.pos,MASTER!$I:$I,0))&amp;"_ser_0.20_"&amp;TEXT(INDEX(MASTER!$E:$E,MATCH(_xlpm.pos,MASTER!$I:$I,0)),"mmddyy"),""),_xlpm.slot,384+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50" s="4" t="str">
        <f>_xlfn.LET(_xlpm.pos,"NIH plate 5: "&amp;$A6&amp;M$2,_xlpm.normal,IFERROR(INDEX(MASTER!$A:$A,MATCH(_xlpm.pos,MASTER!$I:$I,0))&amp;"_ser_0.20_"&amp;TEXT(INDEX(MASTER!$E:$E,MATCH(_xlpm.pos,MASTER!$I:$I,0)),"mmddyy"),""),_xlpm.slot,384+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51" spans="1:13" ht="22" customHeight="1" x14ac:dyDescent="0.35">
      <c r="A51" s="6" t="s">
        <v>34</v>
      </c>
      <c r="B51" s="4" t="str">
        <f>_xlfn.LET(_xlpm.pos,"NIH plate 5: "&amp;$A7&amp;B$2,_xlpm.normal,IFERROR(INDEX(MASTER!$A:$A,MATCH(_xlpm.pos,MASTER!$I:$I,0))&amp;"_ser_0.20_"&amp;TEXT(INDEX(MASTER!$E:$E,MATCH(_xlpm.pos,MASTER!$I:$I,0)),"mmddyy"),""),_xlpm.slot,384+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51" s="4" t="str">
        <f>_xlfn.LET(_xlpm.pos,"NIH plate 5: "&amp;$A7&amp;C$2,_xlpm.normal,IFERROR(INDEX(MASTER!$A:$A,MATCH(_xlpm.pos,MASTER!$I:$I,0))&amp;"_ser_0.20_"&amp;TEXT(INDEX(MASTER!$E:$E,MATCH(_xlpm.pos,MASTER!$I:$I,0)),"mmddyy"),""),_xlpm.slot,384+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51" s="4" t="str">
        <f>_xlfn.LET(_xlpm.pos,"NIH plate 5: "&amp;$A7&amp;D$2,_xlpm.normal,IFERROR(INDEX(MASTER!$A:$A,MATCH(_xlpm.pos,MASTER!$I:$I,0))&amp;"_ser_0.20_"&amp;TEXT(INDEX(MASTER!$E:$E,MATCH(_xlpm.pos,MASTER!$I:$I,0)),"mmddyy"),""),_xlpm.slot,384+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51" s="4" t="str">
        <f>_xlfn.LET(_xlpm.pos,"NIH plate 5: "&amp;$A7&amp;E$2,_xlpm.normal,IFERROR(INDEX(MASTER!$A:$A,MATCH(_xlpm.pos,MASTER!$I:$I,0))&amp;"_ser_0.20_"&amp;TEXT(INDEX(MASTER!$E:$E,MATCH(_xlpm.pos,MASTER!$I:$I,0)),"mmddyy"),""),_xlpm.slot,384+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51" s="4" t="str">
        <f>_xlfn.LET(_xlpm.pos,"NIH plate 5: "&amp;$A7&amp;F$2,_xlpm.normal,IFERROR(INDEX(MASTER!$A:$A,MATCH(_xlpm.pos,MASTER!$I:$I,0))&amp;"_ser_0.20_"&amp;TEXT(INDEX(MASTER!$E:$E,MATCH(_xlpm.pos,MASTER!$I:$I,0)),"mmddyy"),""),_xlpm.slot,384+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51" s="4" t="str">
        <f>_xlfn.LET(_xlpm.pos,"NIH plate 5: "&amp;$A7&amp;G$2,_xlpm.normal,IFERROR(INDEX(MASTER!$A:$A,MATCH(_xlpm.pos,MASTER!$I:$I,0))&amp;"_ser_0.20_"&amp;TEXT(INDEX(MASTER!$E:$E,MATCH(_xlpm.pos,MASTER!$I:$I,0)),"mmddyy"),""),_xlpm.slot,384+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51" s="4" t="str">
        <f>_xlfn.LET(_xlpm.pos,"NIH plate 5: "&amp;$A7&amp;H$2,_xlpm.normal,IFERROR(INDEX(MASTER!$A:$A,MATCH(_xlpm.pos,MASTER!$I:$I,0))&amp;"_ser_0.20_"&amp;TEXT(INDEX(MASTER!$E:$E,MATCH(_xlpm.pos,MASTER!$I:$I,0)),"mmddyy"),""),_xlpm.slot,384+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51" s="4" t="str">
        <f>_xlfn.LET(_xlpm.pos,"NIH plate 5: "&amp;$A7&amp;I$2,_xlpm.normal,IFERROR(INDEX(MASTER!$A:$A,MATCH(_xlpm.pos,MASTER!$I:$I,0))&amp;"_ser_0.20_"&amp;TEXT(INDEX(MASTER!$E:$E,MATCH(_xlpm.pos,MASTER!$I:$I,0)),"mmddyy"),""),_xlpm.slot,384+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51" s="4" t="str">
        <f>_xlfn.LET(_xlpm.pos,"NIH plate 5: "&amp;$A7&amp;J$2,_xlpm.normal,IFERROR(INDEX(MASTER!$A:$A,MATCH(_xlpm.pos,MASTER!$I:$I,0))&amp;"_ser_0.20_"&amp;TEXT(INDEX(MASTER!$E:$E,MATCH(_xlpm.pos,MASTER!$I:$I,0)),"mmddyy"),""),_xlpm.slot,384+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51" s="4" t="str">
        <f>_xlfn.LET(_xlpm.pos,"NIH plate 5: "&amp;$A7&amp;K$2,_xlpm.normal,IFERROR(INDEX(MASTER!$A:$A,MATCH(_xlpm.pos,MASTER!$I:$I,0))&amp;"_ser_0.20_"&amp;TEXT(INDEX(MASTER!$E:$E,MATCH(_xlpm.pos,MASTER!$I:$I,0)),"mmddyy"),""),_xlpm.slot,384+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51" s="4" t="str">
        <f>_xlfn.LET(_xlpm.pos,"NIH plate 5: "&amp;$A7&amp;L$2,_xlpm.normal,IFERROR(INDEX(MASTER!$A:$A,MATCH(_xlpm.pos,MASTER!$I:$I,0))&amp;"_ser_0.20_"&amp;TEXT(INDEX(MASTER!$E:$E,MATCH(_xlpm.pos,MASTER!$I:$I,0)),"mmddyy"),""),_xlpm.slot,384+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51" s="4" t="str">
        <f>_xlfn.LET(_xlpm.pos,"NIH plate 5: "&amp;$A7&amp;M$2,_xlpm.normal,IFERROR(INDEX(MASTER!$A:$A,MATCH(_xlpm.pos,MASTER!$I:$I,0))&amp;"_ser_0.20_"&amp;TEXT(INDEX(MASTER!$E:$E,MATCH(_xlpm.pos,MASTER!$I:$I,0)),"mmddyy"),""),_xlpm.slot,384+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52" spans="1:13" ht="22" customHeight="1" x14ac:dyDescent="0.35">
      <c r="A52" s="6" t="s">
        <v>15</v>
      </c>
      <c r="B52" s="4" t="str">
        <f>_xlfn.LET(_xlpm.pos,"NIH plate 5: "&amp;$A8&amp;B$2,_xlpm.normal,IFERROR(INDEX(MASTER!$A:$A,MATCH(_xlpm.pos,MASTER!$I:$I,0))&amp;"_ser_0.20_"&amp;TEXT(INDEX(MASTER!$E:$E,MATCH(_xlpm.pos,MASTER!$I:$I,0)),"mmddyy"),""),_xlpm.slot,384+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52" s="4" t="str">
        <f>_xlfn.LET(_xlpm.pos,"NIH plate 5: "&amp;$A8&amp;C$2,_xlpm.normal,IFERROR(INDEX(MASTER!$A:$A,MATCH(_xlpm.pos,MASTER!$I:$I,0))&amp;"_ser_0.20_"&amp;TEXT(INDEX(MASTER!$E:$E,MATCH(_xlpm.pos,MASTER!$I:$I,0)),"mmddyy"),""),_xlpm.slot,384+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52" s="4" t="str">
        <f>_xlfn.LET(_xlpm.pos,"NIH plate 5: "&amp;$A8&amp;D$2,_xlpm.normal,IFERROR(INDEX(MASTER!$A:$A,MATCH(_xlpm.pos,MASTER!$I:$I,0))&amp;"_ser_0.20_"&amp;TEXT(INDEX(MASTER!$E:$E,MATCH(_xlpm.pos,MASTER!$I:$I,0)),"mmddyy"),""),_xlpm.slot,384+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52" s="4" t="str">
        <f>_xlfn.LET(_xlpm.pos,"NIH plate 5: "&amp;$A8&amp;E$2,_xlpm.normal,IFERROR(INDEX(MASTER!$A:$A,MATCH(_xlpm.pos,MASTER!$I:$I,0))&amp;"_ser_0.20_"&amp;TEXT(INDEX(MASTER!$E:$E,MATCH(_xlpm.pos,MASTER!$I:$I,0)),"mmddyy"),""),_xlpm.slot,384+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52" s="4" t="str">
        <f>_xlfn.LET(_xlpm.pos,"NIH plate 5: "&amp;$A8&amp;F$2,_xlpm.normal,IFERROR(INDEX(MASTER!$A:$A,MATCH(_xlpm.pos,MASTER!$I:$I,0))&amp;"_ser_0.20_"&amp;TEXT(INDEX(MASTER!$E:$E,MATCH(_xlpm.pos,MASTER!$I:$I,0)),"mmddyy"),""),_xlpm.slot,384+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52" s="4" t="str">
        <f>_xlfn.LET(_xlpm.pos,"NIH plate 5: "&amp;$A8&amp;G$2,_xlpm.normal,IFERROR(INDEX(MASTER!$A:$A,MATCH(_xlpm.pos,MASTER!$I:$I,0))&amp;"_ser_0.20_"&amp;TEXT(INDEX(MASTER!$E:$E,MATCH(_xlpm.pos,MASTER!$I:$I,0)),"mmddyy"),""),_xlpm.slot,384+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52" s="4" t="str">
        <f>_xlfn.LET(_xlpm.pos,"NIH plate 5: "&amp;$A8&amp;H$2,_xlpm.normal,IFERROR(INDEX(MASTER!$A:$A,MATCH(_xlpm.pos,MASTER!$I:$I,0))&amp;"_ser_0.20_"&amp;TEXT(INDEX(MASTER!$E:$E,MATCH(_xlpm.pos,MASTER!$I:$I,0)),"mmddyy"),""),_xlpm.slot,384+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52" s="4" t="str">
        <f>_xlfn.LET(_xlpm.pos,"NIH plate 5: "&amp;$A8&amp;I$2,_xlpm.normal,IFERROR(INDEX(MASTER!$A:$A,MATCH(_xlpm.pos,MASTER!$I:$I,0))&amp;"_ser_0.20_"&amp;TEXT(INDEX(MASTER!$E:$E,MATCH(_xlpm.pos,MASTER!$I:$I,0)),"mmddyy"),""),_xlpm.slot,384+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52" s="4" t="str">
        <f>_xlfn.LET(_xlpm.pos,"NIH plate 5: "&amp;$A8&amp;J$2,_xlpm.normal,IFERROR(INDEX(MASTER!$A:$A,MATCH(_xlpm.pos,MASTER!$I:$I,0))&amp;"_ser_0.20_"&amp;TEXT(INDEX(MASTER!$E:$E,MATCH(_xlpm.pos,MASTER!$I:$I,0)),"mmddyy"),""),_xlpm.slot,384+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52" s="4" t="str">
        <f>_xlfn.LET(_xlpm.pos,"NIH plate 5: "&amp;$A8&amp;K$2,_xlpm.normal,IFERROR(INDEX(MASTER!$A:$A,MATCH(_xlpm.pos,MASTER!$I:$I,0))&amp;"_ser_0.20_"&amp;TEXT(INDEX(MASTER!$E:$E,MATCH(_xlpm.pos,MASTER!$I:$I,0)),"mmddyy"),""),_xlpm.slot,384+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52" s="4" t="str">
        <f>_xlfn.LET(_xlpm.pos,"NIH plate 5: "&amp;$A8&amp;L$2,_xlpm.normal,IFERROR(INDEX(MASTER!$A:$A,MATCH(_xlpm.pos,MASTER!$I:$I,0))&amp;"_ser_0.20_"&amp;TEXT(INDEX(MASTER!$E:$E,MATCH(_xlpm.pos,MASTER!$I:$I,0)),"mmddyy"),""),_xlpm.slot,384+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52" s="4" t="str">
        <f>_xlfn.LET(_xlpm.pos,"NIH plate 5: "&amp;$A8&amp;M$2,_xlpm.normal,IFERROR(INDEX(MASTER!$A:$A,MATCH(_xlpm.pos,MASTER!$I:$I,0))&amp;"_ser_0.20_"&amp;TEXT(INDEX(MASTER!$E:$E,MATCH(_xlpm.pos,MASTER!$I:$I,0)),"mmddyy"),""),_xlpm.slot,384+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53" spans="1:13" ht="22" customHeight="1" x14ac:dyDescent="0.35">
      <c r="A53" s="6" t="s">
        <v>35</v>
      </c>
      <c r="B53" s="4" t="str">
        <f>_xlfn.LET(_xlpm.pos,"NIH plate 5: "&amp;$A9&amp;B$2,_xlpm.normal,IFERROR(INDEX(MASTER!$A:$A,MATCH(_xlpm.pos,MASTER!$I:$I,0))&amp;"_ser_0.20_"&amp;TEXT(INDEX(MASTER!$E:$E,MATCH(_xlpm.pos,MASTER!$I:$I,0)),"mmddyy"),""),_xlpm.slot,384+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53" s="4" t="str">
        <f>_xlfn.LET(_xlpm.pos,"NIH plate 5: "&amp;$A9&amp;C$2,_xlpm.normal,IFERROR(INDEX(MASTER!$A:$A,MATCH(_xlpm.pos,MASTER!$I:$I,0))&amp;"_ser_0.20_"&amp;TEXT(INDEX(MASTER!$E:$E,MATCH(_xlpm.pos,MASTER!$I:$I,0)),"mmddyy"),""),_xlpm.slot,384+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53" s="4" t="str">
        <f>_xlfn.LET(_xlpm.pos,"NIH plate 5: "&amp;$A9&amp;D$2,_xlpm.normal,IFERROR(INDEX(MASTER!$A:$A,MATCH(_xlpm.pos,MASTER!$I:$I,0))&amp;"_ser_0.20_"&amp;TEXT(INDEX(MASTER!$E:$E,MATCH(_xlpm.pos,MASTER!$I:$I,0)),"mmddyy"),""),_xlpm.slot,384+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53" s="4" t="str">
        <f>_xlfn.LET(_xlpm.pos,"NIH plate 5: "&amp;$A9&amp;E$2,_xlpm.normal,IFERROR(INDEX(MASTER!$A:$A,MATCH(_xlpm.pos,MASTER!$I:$I,0))&amp;"_ser_0.20_"&amp;TEXT(INDEX(MASTER!$E:$E,MATCH(_xlpm.pos,MASTER!$I:$I,0)),"mmddyy"),""),_xlpm.slot,384+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53" s="4" t="str">
        <f>_xlfn.LET(_xlpm.pos,"NIH plate 5: "&amp;$A9&amp;F$2,_xlpm.normal,IFERROR(INDEX(MASTER!$A:$A,MATCH(_xlpm.pos,MASTER!$I:$I,0))&amp;"_ser_0.20_"&amp;TEXT(INDEX(MASTER!$E:$E,MATCH(_xlpm.pos,MASTER!$I:$I,0)),"mmddyy"),""),_xlpm.slot,384+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53" s="4" t="str">
        <f>_xlfn.LET(_xlpm.pos,"NIH plate 5: "&amp;$A9&amp;G$2,_xlpm.normal,IFERROR(INDEX(MASTER!$A:$A,MATCH(_xlpm.pos,MASTER!$I:$I,0))&amp;"_ser_0.20_"&amp;TEXT(INDEX(MASTER!$E:$E,MATCH(_xlpm.pos,MASTER!$I:$I,0)),"mmddyy"),""),_xlpm.slot,384+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53" s="4" t="str">
        <f>_xlfn.LET(_xlpm.pos,"NIH plate 5: "&amp;$A9&amp;H$2,_xlpm.normal,IFERROR(INDEX(MASTER!$A:$A,MATCH(_xlpm.pos,MASTER!$I:$I,0))&amp;"_ser_0.20_"&amp;TEXT(INDEX(MASTER!$E:$E,MATCH(_xlpm.pos,MASTER!$I:$I,0)),"mmddyy"),""),_xlpm.slot,384+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53" s="4" t="str">
        <f>_xlfn.LET(_xlpm.pos,"NIH plate 5: "&amp;$A9&amp;I$2,_xlpm.normal,IFERROR(INDEX(MASTER!$A:$A,MATCH(_xlpm.pos,MASTER!$I:$I,0))&amp;"_ser_0.20_"&amp;TEXT(INDEX(MASTER!$E:$E,MATCH(_xlpm.pos,MASTER!$I:$I,0)),"mmddyy"),""),_xlpm.slot,384+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53" s="4" t="str">
        <f>_xlfn.LET(_xlpm.pos,"NIH plate 5: "&amp;$A9&amp;J$2,_xlpm.normal,IFERROR(INDEX(MASTER!$A:$A,MATCH(_xlpm.pos,MASTER!$I:$I,0))&amp;"_ser_0.20_"&amp;TEXT(INDEX(MASTER!$E:$E,MATCH(_xlpm.pos,MASTER!$I:$I,0)),"mmddyy"),""),_xlpm.slot,384+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53" s="4" t="str">
        <f>_xlfn.LET(_xlpm.pos,"NIH plate 5: "&amp;$A9&amp;K$2,_xlpm.normal,IFERROR(INDEX(MASTER!$A:$A,MATCH(_xlpm.pos,MASTER!$I:$I,0))&amp;"_ser_0.20_"&amp;TEXT(INDEX(MASTER!$E:$E,MATCH(_xlpm.pos,MASTER!$I:$I,0)),"mmddyy"),""),_xlpm.slot,384+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53" s="4" t="str">
        <f>_xlfn.LET(_xlpm.pos,"NIH plate 5: "&amp;$A9&amp;L$2,_xlpm.normal,IFERROR(INDEX(MASTER!$A:$A,MATCH(_xlpm.pos,MASTER!$I:$I,0))&amp;"_ser_0.20_"&amp;TEXT(INDEX(MASTER!$E:$E,MATCH(_xlpm.pos,MASTER!$I:$I,0)),"mmddyy"),""),_xlpm.slot,384+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53" s="4" t="str">
        <f>_xlfn.LET(_xlpm.pos,"NIH plate 5: "&amp;$A9&amp;M$2,_xlpm.normal,IFERROR(INDEX(MASTER!$A:$A,MATCH(_xlpm.pos,MASTER!$I:$I,0))&amp;"_ser_0.20_"&amp;TEXT(INDEX(MASTER!$E:$E,MATCH(_xlpm.pos,MASTER!$I:$I,0)),"mmddyy"),""),_xlpm.slot,384+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54" spans="1:13" ht="22" customHeight="1" x14ac:dyDescent="0.35">
      <c r="A54" s="6" t="s">
        <v>36</v>
      </c>
      <c r="B54" s="4" t="str">
        <f>_xlfn.LET(_xlpm.pos,"NIH plate 5: "&amp;$A10&amp;B$2,_xlpm.normal,IFERROR(INDEX(MASTER!$A:$A,MATCH(_xlpm.pos,MASTER!$I:$I,0))&amp;"_ser_0.20_"&amp;TEXT(INDEX(MASTER!$E:$E,MATCH(_xlpm.pos,MASTER!$I:$I,0)),"mmddyy"),""),_xlpm.slot,384+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54" s="4" t="str">
        <f>_xlfn.LET(_xlpm.pos,"NIH plate 5: "&amp;$A10&amp;C$2,_xlpm.normal,IFERROR(INDEX(MASTER!$A:$A,MATCH(_xlpm.pos,MASTER!$I:$I,0))&amp;"_ser_0.20_"&amp;TEXT(INDEX(MASTER!$E:$E,MATCH(_xlpm.pos,MASTER!$I:$I,0)),"mmddyy"),""),_xlpm.slot,384+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54" s="4" t="str">
        <f>_xlfn.LET(_xlpm.pos,"NIH plate 5: "&amp;$A10&amp;D$2,_xlpm.normal,IFERROR(INDEX(MASTER!$A:$A,MATCH(_xlpm.pos,MASTER!$I:$I,0))&amp;"_ser_0.20_"&amp;TEXT(INDEX(MASTER!$E:$E,MATCH(_xlpm.pos,MASTER!$I:$I,0)),"mmddyy"),""),_xlpm.slot,384+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54" s="4" t="str">
        <f>_xlfn.LET(_xlpm.pos,"NIH plate 5: "&amp;$A10&amp;E$2,_xlpm.normal,IFERROR(INDEX(MASTER!$A:$A,MATCH(_xlpm.pos,MASTER!$I:$I,0))&amp;"_ser_0.20_"&amp;TEXT(INDEX(MASTER!$E:$E,MATCH(_xlpm.pos,MASTER!$I:$I,0)),"mmddyy"),""),_xlpm.slot,384+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54" s="4" t="str">
        <f>_xlfn.LET(_xlpm.pos,"NIH plate 5: "&amp;$A10&amp;F$2,_xlpm.normal,IFERROR(INDEX(MASTER!$A:$A,MATCH(_xlpm.pos,MASTER!$I:$I,0))&amp;"_ser_0.20_"&amp;TEXT(INDEX(MASTER!$E:$E,MATCH(_xlpm.pos,MASTER!$I:$I,0)),"mmddyy"),""),_xlpm.slot,384+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54" s="4" t="str">
        <f>_xlfn.LET(_xlpm.pos,"NIH plate 5: "&amp;$A10&amp;G$2,_xlpm.normal,IFERROR(INDEX(MASTER!$A:$A,MATCH(_xlpm.pos,MASTER!$I:$I,0))&amp;"_ser_0.20_"&amp;TEXT(INDEX(MASTER!$E:$E,MATCH(_xlpm.pos,MASTER!$I:$I,0)),"mmddyy"),""),_xlpm.slot,384+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54" s="4" t="str">
        <f>_xlfn.LET(_xlpm.pos,"NIH plate 5: "&amp;$A10&amp;H$2,_xlpm.normal,IFERROR(INDEX(MASTER!$A:$A,MATCH(_xlpm.pos,MASTER!$I:$I,0))&amp;"_ser_0.20_"&amp;TEXT(INDEX(MASTER!$E:$E,MATCH(_xlpm.pos,MASTER!$I:$I,0)),"mmddyy"),""),_xlpm.slot,384+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54" s="4" t="str">
        <f>_xlfn.LET(_xlpm.pos,"NIH plate 5: "&amp;$A10&amp;I$2,_xlpm.normal,IFERROR(INDEX(MASTER!$A:$A,MATCH(_xlpm.pos,MASTER!$I:$I,0))&amp;"_ser_0.20_"&amp;TEXT(INDEX(MASTER!$E:$E,MATCH(_xlpm.pos,MASTER!$I:$I,0)),"mmddyy"),""),_xlpm.slot,384+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54" s="4" t="str">
        <f>_xlfn.LET(_xlpm.pos,"NIH plate 5: "&amp;$A10&amp;J$2,_xlpm.normal,IFERROR(INDEX(MASTER!$A:$A,MATCH(_xlpm.pos,MASTER!$I:$I,0))&amp;"_ser_0.20_"&amp;TEXT(INDEX(MASTER!$E:$E,MATCH(_xlpm.pos,MASTER!$I:$I,0)),"mmddyy"),""),_xlpm.slot,384+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54" s="4" t="str">
        <f>_xlfn.LET(_xlpm.pos,"NIH plate 5: "&amp;$A10&amp;K$2,_xlpm.normal,IFERROR(INDEX(MASTER!$A:$A,MATCH(_xlpm.pos,MASTER!$I:$I,0))&amp;"_ser_0.20_"&amp;TEXT(INDEX(MASTER!$E:$E,MATCH(_xlpm.pos,MASTER!$I:$I,0)),"mmddyy"),""),_xlpm.slot,384+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54" s="4" t="str">
        <f>_xlfn.LET(_xlpm.pos,"NIH plate 5: "&amp;$A10&amp;L$2,_xlpm.normal,IFERROR(INDEX(MASTER!$A:$A,MATCH(_xlpm.pos,MASTER!$I:$I,0))&amp;"_ser_0.20_"&amp;TEXT(INDEX(MASTER!$E:$E,MATCH(_xlpm.pos,MASTER!$I:$I,0)),"mmddyy"),""),_xlpm.slot,384+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54" s="4" t="str">
        <f>_xlfn.LET(_xlpm.pos,"NIH plate 5: "&amp;$A10&amp;M$2,_xlpm.normal,IFERROR(INDEX(MASTER!$A:$A,MATCH(_xlpm.pos,MASTER!$I:$I,0))&amp;"_ser_0.20_"&amp;TEXT(INDEX(MASTER!$E:$E,MATCH(_xlpm.pos,MASTER!$I:$I,0)),"mmddyy"),""),_xlpm.slot,384+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55" spans="1:13" ht="22" customHeight="1" x14ac:dyDescent="0.3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ht="22" customHeight="1" x14ac:dyDescent="0.35">
      <c r="A56" s="7"/>
      <c r="B56" s="31" t="s">
        <v>62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3"/>
    </row>
    <row r="57" spans="1:13" ht="22" customHeight="1" x14ac:dyDescent="0.35">
      <c r="A57" s="7"/>
      <c r="B57" s="6">
        <v>1</v>
      </c>
      <c r="C57" s="6">
        <v>2</v>
      </c>
      <c r="D57" s="6">
        <v>3</v>
      </c>
      <c r="E57" s="6">
        <v>4</v>
      </c>
      <c r="F57" s="6">
        <v>5</v>
      </c>
      <c r="G57" s="6">
        <v>6</v>
      </c>
      <c r="H57" s="6">
        <v>7</v>
      </c>
      <c r="I57" s="6">
        <v>8</v>
      </c>
      <c r="J57" s="6">
        <v>9</v>
      </c>
      <c r="K57" s="6">
        <v>10</v>
      </c>
      <c r="L57" s="6">
        <v>11</v>
      </c>
      <c r="M57" s="6">
        <v>12</v>
      </c>
    </row>
    <row r="58" spans="1:13" ht="22" customHeight="1" x14ac:dyDescent="0.35">
      <c r="A58" s="6" t="s">
        <v>30</v>
      </c>
      <c r="B58" s="4" t="str">
        <f>_xlfn.LET(_xlpm.pos,"NIH plate 6: "&amp;$A3&amp;B$2,_xlpm.normal,IFERROR(INDEX(MASTER!$A:$A,MATCH(_xlpm.pos,MASTER!$I:$I,0))&amp;"_ser_0.20_"&amp;TEXT(INDEX(MASTER!$E:$E,MATCH(_xlpm.pos,MASTER!$I:$I,0)),"mmddyy"),""),_xlpm.slot,480+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58" s="4" t="str">
        <f>_xlfn.LET(_xlpm.pos,"NIH plate 6: "&amp;$A3&amp;C$2,_xlpm.normal,IFERROR(INDEX(MASTER!$A:$A,MATCH(_xlpm.pos,MASTER!$I:$I,0))&amp;"_ser_0.20_"&amp;TEXT(INDEX(MASTER!$E:$E,MATCH(_xlpm.pos,MASTER!$I:$I,0)),"mmddyy"),""),_xlpm.slot,480+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58" s="4" t="str">
        <f>_xlfn.LET(_xlpm.pos,"NIH plate 6: "&amp;$A3&amp;D$2,_xlpm.normal,IFERROR(INDEX(MASTER!$A:$A,MATCH(_xlpm.pos,MASTER!$I:$I,0))&amp;"_ser_0.20_"&amp;TEXT(INDEX(MASTER!$E:$E,MATCH(_xlpm.pos,MASTER!$I:$I,0)),"mmddyy"),""),_xlpm.slot,480+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58" s="4" t="str">
        <f>_xlfn.LET(_xlpm.pos,"NIH plate 6: "&amp;$A3&amp;E$2,_xlpm.normal,IFERROR(INDEX(MASTER!$A:$A,MATCH(_xlpm.pos,MASTER!$I:$I,0))&amp;"_ser_0.20_"&amp;TEXT(INDEX(MASTER!$E:$E,MATCH(_xlpm.pos,MASTER!$I:$I,0)),"mmddyy"),""),_xlpm.slot,480+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58" s="4" t="str">
        <f>_xlfn.LET(_xlpm.pos,"NIH plate 6: "&amp;$A3&amp;F$2,_xlpm.normal,IFERROR(INDEX(MASTER!$A:$A,MATCH(_xlpm.pos,MASTER!$I:$I,0))&amp;"_ser_0.20_"&amp;TEXT(INDEX(MASTER!$E:$E,MATCH(_xlpm.pos,MASTER!$I:$I,0)),"mmddyy"),""),_xlpm.slot,480+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58" s="4" t="str">
        <f>_xlfn.LET(_xlpm.pos,"NIH plate 6: "&amp;$A3&amp;G$2,_xlpm.normal,IFERROR(INDEX(MASTER!$A:$A,MATCH(_xlpm.pos,MASTER!$I:$I,0))&amp;"_ser_0.20_"&amp;TEXT(INDEX(MASTER!$E:$E,MATCH(_xlpm.pos,MASTER!$I:$I,0)),"mmddyy"),""),_xlpm.slot,480+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58" s="4" t="str">
        <f>_xlfn.LET(_xlpm.pos,"NIH plate 6: "&amp;$A3&amp;H$2,_xlpm.normal,IFERROR(INDEX(MASTER!$A:$A,MATCH(_xlpm.pos,MASTER!$I:$I,0))&amp;"_ser_0.20_"&amp;TEXT(INDEX(MASTER!$E:$E,MATCH(_xlpm.pos,MASTER!$I:$I,0)),"mmddyy"),""),_xlpm.slot,480+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58" s="4" t="str">
        <f>_xlfn.LET(_xlpm.pos,"NIH plate 6: "&amp;$A3&amp;I$2,_xlpm.normal,IFERROR(INDEX(MASTER!$A:$A,MATCH(_xlpm.pos,MASTER!$I:$I,0))&amp;"_ser_0.20_"&amp;TEXT(INDEX(MASTER!$E:$E,MATCH(_xlpm.pos,MASTER!$I:$I,0)),"mmddyy"),""),_xlpm.slot,480+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58" s="4" t="str">
        <f>_xlfn.LET(_xlpm.pos,"NIH plate 6: "&amp;$A3&amp;J$2,_xlpm.normal,IFERROR(INDEX(MASTER!$A:$A,MATCH(_xlpm.pos,MASTER!$I:$I,0))&amp;"_ser_0.20_"&amp;TEXT(INDEX(MASTER!$E:$E,MATCH(_xlpm.pos,MASTER!$I:$I,0)),"mmddyy"),""),_xlpm.slot,480+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58" s="4" t="str">
        <f>_xlfn.LET(_xlpm.pos,"NIH plate 6: "&amp;$A3&amp;K$2,_xlpm.normal,IFERROR(INDEX(MASTER!$A:$A,MATCH(_xlpm.pos,MASTER!$I:$I,0))&amp;"_ser_0.20_"&amp;TEXT(INDEX(MASTER!$E:$E,MATCH(_xlpm.pos,MASTER!$I:$I,0)),"mmddyy"),""),_xlpm.slot,480+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58" s="4" t="str">
        <f>_xlfn.LET(_xlpm.pos,"NIH plate 6: "&amp;$A3&amp;L$2,_xlpm.normal,IFERROR(INDEX(MASTER!$A:$A,MATCH(_xlpm.pos,MASTER!$I:$I,0))&amp;"_ser_0.20_"&amp;TEXT(INDEX(MASTER!$E:$E,MATCH(_xlpm.pos,MASTER!$I:$I,0)),"mmddyy"),""),_xlpm.slot,480+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58" s="4" t="str">
        <f>_xlfn.LET(_xlpm.pos,"NIH plate 6: "&amp;$A3&amp;M$2,_xlpm.normal,IFERROR(INDEX(MASTER!$A:$A,MATCH(_xlpm.pos,MASTER!$I:$I,0))&amp;"_ser_0.20_"&amp;TEXT(INDEX(MASTER!$E:$E,MATCH(_xlpm.pos,MASTER!$I:$I,0)),"mmddyy"),""),_xlpm.slot,480+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59" spans="1:13" ht="22" customHeight="1" x14ac:dyDescent="0.35">
      <c r="A59" s="6" t="s">
        <v>31</v>
      </c>
      <c r="B59" s="4" t="str">
        <f>_xlfn.LET(_xlpm.pos,"NIH plate 6: "&amp;$A4&amp;B$2,_xlpm.normal,IFERROR(INDEX(MASTER!$A:$A,MATCH(_xlpm.pos,MASTER!$I:$I,0))&amp;"_ser_0.20_"&amp;TEXT(INDEX(MASTER!$E:$E,MATCH(_xlpm.pos,MASTER!$I:$I,0)),"mmddyy"),""),_xlpm.slot,480+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59" s="4" t="str">
        <f>_xlfn.LET(_xlpm.pos,"NIH plate 6: "&amp;$A4&amp;C$2,_xlpm.normal,IFERROR(INDEX(MASTER!$A:$A,MATCH(_xlpm.pos,MASTER!$I:$I,0))&amp;"_ser_0.20_"&amp;TEXT(INDEX(MASTER!$E:$E,MATCH(_xlpm.pos,MASTER!$I:$I,0)),"mmddyy"),""),_xlpm.slot,480+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59" s="4" t="str">
        <f>_xlfn.LET(_xlpm.pos,"NIH plate 6: "&amp;$A4&amp;D$2,_xlpm.normal,IFERROR(INDEX(MASTER!$A:$A,MATCH(_xlpm.pos,MASTER!$I:$I,0))&amp;"_ser_0.20_"&amp;TEXT(INDEX(MASTER!$E:$E,MATCH(_xlpm.pos,MASTER!$I:$I,0)),"mmddyy"),""),_xlpm.slot,480+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59" s="4" t="str">
        <f>_xlfn.LET(_xlpm.pos,"NIH plate 6: "&amp;$A4&amp;E$2,_xlpm.normal,IFERROR(INDEX(MASTER!$A:$A,MATCH(_xlpm.pos,MASTER!$I:$I,0))&amp;"_ser_0.20_"&amp;TEXT(INDEX(MASTER!$E:$E,MATCH(_xlpm.pos,MASTER!$I:$I,0)),"mmddyy"),""),_xlpm.slot,480+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59" s="4" t="str">
        <f>_xlfn.LET(_xlpm.pos,"NIH plate 6: "&amp;$A4&amp;F$2,_xlpm.normal,IFERROR(INDEX(MASTER!$A:$A,MATCH(_xlpm.pos,MASTER!$I:$I,0))&amp;"_ser_0.20_"&amp;TEXT(INDEX(MASTER!$E:$E,MATCH(_xlpm.pos,MASTER!$I:$I,0)),"mmddyy"),""),_xlpm.slot,480+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59" s="4" t="str">
        <f>_xlfn.LET(_xlpm.pos,"NIH plate 6: "&amp;$A4&amp;G$2,_xlpm.normal,IFERROR(INDEX(MASTER!$A:$A,MATCH(_xlpm.pos,MASTER!$I:$I,0))&amp;"_ser_0.20_"&amp;TEXT(INDEX(MASTER!$E:$E,MATCH(_xlpm.pos,MASTER!$I:$I,0)),"mmddyy"),""),_xlpm.slot,480+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59" s="4" t="str">
        <f>_xlfn.LET(_xlpm.pos,"NIH plate 6: "&amp;$A4&amp;H$2,_xlpm.normal,IFERROR(INDEX(MASTER!$A:$A,MATCH(_xlpm.pos,MASTER!$I:$I,0))&amp;"_ser_0.20_"&amp;TEXT(INDEX(MASTER!$E:$E,MATCH(_xlpm.pos,MASTER!$I:$I,0)),"mmddyy"),""),_xlpm.slot,480+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59" s="4" t="str">
        <f>_xlfn.LET(_xlpm.pos,"NIH plate 6: "&amp;$A4&amp;I$2,_xlpm.normal,IFERROR(INDEX(MASTER!$A:$A,MATCH(_xlpm.pos,MASTER!$I:$I,0))&amp;"_ser_0.20_"&amp;TEXT(INDEX(MASTER!$E:$E,MATCH(_xlpm.pos,MASTER!$I:$I,0)),"mmddyy"),""),_xlpm.slot,480+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59" s="4" t="str">
        <f>_xlfn.LET(_xlpm.pos,"NIH plate 6: "&amp;$A4&amp;J$2,_xlpm.normal,IFERROR(INDEX(MASTER!$A:$A,MATCH(_xlpm.pos,MASTER!$I:$I,0))&amp;"_ser_0.20_"&amp;TEXT(INDEX(MASTER!$E:$E,MATCH(_xlpm.pos,MASTER!$I:$I,0)),"mmddyy"),""),_xlpm.slot,480+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59" s="4" t="str">
        <f>_xlfn.LET(_xlpm.pos,"NIH plate 6: "&amp;$A4&amp;K$2,_xlpm.normal,IFERROR(INDEX(MASTER!$A:$A,MATCH(_xlpm.pos,MASTER!$I:$I,0))&amp;"_ser_0.20_"&amp;TEXT(INDEX(MASTER!$E:$E,MATCH(_xlpm.pos,MASTER!$I:$I,0)),"mmddyy"),""),_xlpm.slot,480+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59" s="4" t="str">
        <f>_xlfn.LET(_xlpm.pos,"NIH plate 6: "&amp;$A4&amp;L$2,_xlpm.normal,IFERROR(INDEX(MASTER!$A:$A,MATCH(_xlpm.pos,MASTER!$I:$I,0))&amp;"_ser_0.20_"&amp;TEXT(INDEX(MASTER!$E:$E,MATCH(_xlpm.pos,MASTER!$I:$I,0)),"mmddyy"),""),_xlpm.slot,480+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59" s="4" t="str">
        <f>_xlfn.LET(_xlpm.pos,"NIH plate 6: "&amp;$A4&amp;M$2,_xlpm.normal,IFERROR(INDEX(MASTER!$A:$A,MATCH(_xlpm.pos,MASTER!$I:$I,0))&amp;"_ser_0.20_"&amp;TEXT(INDEX(MASTER!$E:$E,MATCH(_xlpm.pos,MASTER!$I:$I,0)),"mmddyy"),""),_xlpm.slot,480+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60" spans="1:13" ht="22" customHeight="1" x14ac:dyDescent="0.35">
      <c r="A60" s="6" t="s">
        <v>32</v>
      </c>
      <c r="B60" s="4" t="str">
        <f>_xlfn.LET(_xlpm.pos,"NIH plate 6: "&amp;$A5&amp;B$2,_xlpm.normal,IFERROR(INDEX(MASTER!$A:$A,MATCH(_xlpm.pos,MASTER!$I:$I,0))&amp;"_ser_0.20_"&amp;TEXT(INDEX(MASTER!$E:$E,MATCH(_xlpm.pos,MASTER!$I:$I,0)),"mmddyy"),""),_xlpm.slot,480+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60" s="4" t="str">
        <f>_xlfn.LET(_xlpm.pos,"NIH plate 6: "&amp;$A5&amp;C$2,_xlpm.normal,IFERROR(INDEX(MASTER!$A:$A,MATCH(_xlpm.pos,MASTER!$I:$I,0))&amp;"_ser_0.20_"&amp;TEXT(INDEX(MASTER!$E:$E,MATCH(_xlpm.pos,MASTER!$I:$I,0)),"mmddyy"),""),_xlpm.slot,480+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60" s="4" t="str">
        <f>_xlfn.LET(_xlpm.pos,"NIH plate 6: "&amp;$A5&amp;D$2,_xlpm.normal,IFERROR(INDEX(MASTER!$A:$A,MATCH(_xlpm.pos,MASTER!$I:$I,0))&amp;"_ser_0.20_"&amp;TEXT(INDEX(MASTER!$E:$E,MATCH(_xlpm.pos,MASTER!$I:$I,0)),"mmddyy"),""),_xlpm.slot,480+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60" s="4" t="str">
        <f>_xlfn.LET(_xlpm.pos,"NIH plate 6: "&amp;$A5&amp;E$2,_xlpm.normal,IFERROR(INDEX(MASTER!$A:$A,MATCH(_xlpm.pos,MASTER!$I:$I,0))&amp;"_ser_0.20_"&amp;TEXT(INDEX(MASTER!$E:$E,MATCH(_xlpm.pos,MASTER!$I:$I,0)),"mmddyy"),""),_xlpm.slot,480+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60" s="4" t="str">
        <f>_xlfn.LET(_xlpm.pos,"NIH plate 6: "&amp;$A5&amp;F$2,_xlpm.normal,IFERROR(INDEX(MASTER!$A:$A,MATCH(_xlpm.pos,MASTER!$I:$I,0))&amp;"_ser_0.20_"&amp;TEXT(INDEX(MASTER!$E:$E,MATCH(_xlpm.pos,MASTER!$I:$I,0)),"mmddyy"),""),_xlpm.slot,480+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60" s="4" t="str">
        <f>_xlfn.LET(_xlpm.pos,"NIH plate 6: "&amp;$A5&amp;G$2,_xlpm.normal,IFERROR(INDEX(MASTER!$A:$A,MATCH(_xlpm.pos,MASTER!$I:$I,0))&amp;"_ser_0.20_"&amp;TEXT(INDEX(MASTER!$E:$E,MATCH(_xlpm.pos,MASTER!$I:$I,0)),"mmddyy"),""),_xlpm.slot,480+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60" s="4" t="str">
        <f>_xlfn.LET(_xlpm.pos,"NIH plate 6: "&amp;$A5&amp;H$2,_xlpm.normal,IFERROR(INDEX(MASTER!$A:$A,MATCH(_xlpm.pos,MASTER!$I:$I,0))&amp;"_ser_0.20_"&amp;TEXT(INDEX(MASTER!$E:$E,MATCH(_xlpm.pos,MASTER!$I:$I,0)),"mmddyy"),""),_xlpm.slot,480+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60" s="4" t="str">
        <f>_xlfn.LET(_xlpm.pos,"NIH plate 6: "&amp;$A5&amp;I$2,_xlpm.normal,IFERROR(INDEX(MASTER!$A:$A,MATCH(_xlpm.pos,MASTER!$I:$I,0))&amp;"_ser_0.20_"&amp;TEXT(INDEX(MASTER!$E:$E,MATCH(_xlpm.pos,MASTER!$I:$I,0)),"mmddyy"),""),_xlpm.slot,480+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60" s="4" t="str">
        <f>_xlfn.LET(_xlpm.pos,"NIH plate 6: "&amp;$A5&amp;J$2,_xlpm.normal,IFERROR(INDEX(MASTER!$A:$A,MATCH(_xlpm.pos,MASTER!$I:$I,0))&amp;"_ser_0.20_"&amp;TEXT(INDEX(MASTER!$E:$E,MATCH(_xlpm.pos,MASTER!$I:$I,0)),"mmddyy"),""),_xlpm.slot,480+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60" s="4" t="str">
        <f>_xlfn.LET(_xlpm.pos,"NIH plate 6: "&amp;$A5&amp;K$2,_xlpm.normal,IFERROR(INDEX(MASTER!$A:$A,MATCH(_xlpm.pos,MASTER!$I:$I,0))&amp;"_ser_0.20_"&amp;TEXT(INDEX(MASTER!$E:$E,MATCH(_xlpm.pos,MASTER!$I:$I,0)),"mmddyy"),""),_xlpm.slot,480+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60" s="4" t="str">
        <f>_xlfn.LET(_xlpm.pos,"NIH plate 6: "&amp;$A5&amp;L$2,_xlpm.normal,IFERROR(INDEX(MASTER!$A:$A,MATCH(_xlpm.pos,MASTER!$I:$I,0))&amp;"_ser_0.20_"&amp;TEXT(INDEX(MASTER!$E:$E,MATCH(_xlpm.pos,MASTER!$I:$I,0)),"mmddyy"),""),_xlpm.slot,480+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60" s="4" t="str">
        <f>_xlfn.LET(_xlpm.pos,"NIH plate 6: "&amp;$A5&amp;M$2,_xlpm.normal,IFERROR(INDEX(MASTER!$A:$A,MATCH(_xlpm.pos,MASTER!$I:$I,0))&amp;"_ser_0.20_"&amp;TEXT(INDEX(MASTER!$E:$E,MATCH(_xlpm.pos,MASTER!$I:$I,0)),"mmddyy"),""),_xlpm.slot,480+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61" spans="1:13" ht="22" customHeight="1" x14ac:dyDescent="0.35">
      <c r="A61" s="6" t="s">
        <v>33</v>
      </c>
      <c r="B61" s="4" t="str">
        <f>_xlfn.LET(_xlpm.pos,"NIH plate 6: "&amp;$A6&amp;B$2,_xlpm.normal,IFERROR(INDEX(MASTER!$A:$A,MATCH(_xlpm.pos,MASTER!$I:$I,0))&amp;"_ser_0.20_"&amp;TEXT(INDEX(MASTER!$E:$E,MATCH(_xlpm.pos,MASTER!$I:$I,0)),"mmddyy"),""),_xlpm.slot,480+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61" s="4" t="str">
        <f>_xlfn.LET(_xlpm.pos,"NIH plate 6: "&amp;$A6&amp;C$2,_xlpm.normal,IFERROR(INDEX(MASTER!$A:$A,MATCH(_xlpm.pos,MASTER!$I:$I,0))&amp;"_ser_0.20_"&amp;TEXT(INDEX(MASTER!$E:$E,MATCH(_xlpm.pos,MASTER!$I:$I,0)),"mmddyy"),""),_xlpm.slot,480+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61" s="4" t="str">
        <f>_xlfn.LET(_xlpm.pos,"NIH plate 6: "&amp;$A6&amp;D$2,_xlpm.normal,IFERROR(INDEX(MASTER!$A:$A,MATCH(_xlpm.pos,MASTER!$I:$I,0))&amp;"_ser_0.20_"&amp;TEXT(INDEX(MASTER!$E:$E,MATCH(_xlpm.pos,MASTER!$I:$I,0)),"mmddyy"),""),_xlpm.slot,480+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61" s="4" t="str">
        <f>_xlfn.LET(_xlpm.pos,"NIH plate 6: "&amp;$A6&amp;E$2,_xlpm.normal,IFERROR(INDEX(MASTER!$A:$A,MATCH(_xlpm.pos,MASTER!$I:$I,0))&amp;"_ser_0.20_"&amp;TEXT(INDEX(MASTER!$E:$E,MATCH(_xlpm.pos,MASTER!$I:$I,0)),"mmddyy"),""),_xlpm.slot,480+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61" s="4" t="str">
        <f>_xlfn.LET(_xlpm.pos,"NIH plate 6: "&amp;$A6&amp;F$2,_xlpm.normal,IFERROR(INDEX(MASTER!$A:$A,MATCH(_xlpm.pos,MASTER!$I:$I,0))&amp;"_ser_0.20_"&amp;TEXT(INDEX(MASTER!$E:$E,MATCH(_xlpm.pos,MASTER!$I:$I,0)),"mmddyy"),""),_xlpm.slot,480+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61" s="4" t="str">
        <f>_xlfn.LET(_xlpm.pos,"NIH plate 6: "&amp;$A6&amp;G$2,_xlpm.normal,IFERROR(INDEX(MASTER!$A:$A,MATCH(_xlpm.pos,MASTER!$I:$I,0))&amp;"_ser_0.20_"&amp;TEXT(INDEX(MASTER!$E:$E,MATCH(_xlpm.pos,MASTER!$I:$I,0)),"mmddyy"),""),_xlpm.slot,480+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61" s="4" t="str">
        <f>_xlfn.LET(_xlpm.pos,"NIH plate 6: "&amp;$A6&amp;H$2,_xlpm.normal,IFERROR(INDEX(MASTER!$A:$A,MATCH(_xlpm.pos,MASTER!$I:$I,0))&amp;"_ser_0.20_"&amp;TEXT(INDEX(MASTER!$E:$E,MATCH(_xlpm.pos,MASTER!$I:$I,0)),"mmddyy"),""),_xlpm.slot,480+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61" s="4" t="str">
        <f>_xlfn.LET(_xlpm.pos,"NIH plate 6: "&amp;$A6&amp;I$2,_xlpm.normal,IFERROR(INDEX(MASTER!$A:$A,MATCH(_xlpm.pos,MASTER!$I:$I,0))&amp;"_ser_0.20_"&amp;TEXT(INDEX(MASTER!$E:$E,MATCH(_xlpm.pos,MASTER!$I:$I,0)),"mmddyy"),""),_xlpm.slot,480+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61" s="4" t="str">
        <f>_xlfn.LET(_xlpm.pos,"NIH plate 6: "&amp;$A6&amp;J$2,_xlpm.normal,IFERROR(INDEX(MASTER!$A:$A,MATCH(_xlpm.pos,MASTER!$I:$I,0))&amp;"_ser_0.20_"&amp;TEXT(INDEX(MASTER!$E:$E,MATCH(_xlpm.pos,MASTER!$I:$I,0)),"mmddyy"),""),_xlpm.slot,480+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61" s="4" t="str">
        <f>_xlfn.LET(_xlpm.pos,"NIH plate 6: "&amp;$A6&amp;K$2,_xlpm.normal,IFERROR(INDEX(MASTER!$A:$A,MATCH(_xlpm.pos,MASTER!$I:$I,0))&amp;"_ser_0.20_"&amp;TEXT(INDEX(MASTER!$E:$E,MATCH(_xlpm.pos,MASTER!$I:$I,0)),"mmddyy"),""),_xlpm.slot,480+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61" s="4" t="str">
        <f>_xlfn.LET(_xlpm.pos,"NIH plate 6: "&amp;$A6&amp;L$2,_xlpm.normal,IFERROR(INDEX(MASTER!$A:$A,MATCH(_xlpm.pos,MASTER!$I:$I,0))&amp;"_ser_0.20_"&amp;TEXT(INDEX(MASTER!$E:$E,MATCH(_xlpm.pos,MASTER!$I:$I,0)),"mmddyy"),""),_xlpm.slot,480+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61" s="4" t="str">
        <f>_xlfn.LET(_xlpm.pos,"NIH plate 6: "&amp;$A6&amp;M$2,_xlpm.normal,IFERROR(INDEX(MASTER!$A:$A,MATCH(_xlpm.pos,MASTER!$I:$I,0))&amp;"_ser_0.20_"&amp;TEXT(INDEX(MASTER!$E:$E,MATCH(_xlpm.pos,MASTER!$I:$I,0)),"mmddyy"),""),_xlpm.slot,480+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62" spans="1:13" ht="22" customHeight="1" x14ac:dyDescent="0.35">
      <c r="A62" s="6" t="s">
        <v>34</v>
      </c>
      <c r="B62" s="4" t="str">
        <f>_xlfn.LET(_xlpm.pos,"NIH plate 6: "&amp;$A7&amp;B$2,_xlpm.normal,IFERROR(INDEX(MASTER!$A:$A,MATCH(_xlpm.pos,MASTER!$I:$I,0))&amp;"_ser_0.20_"&amp;TEXT(INDEX(MASTER!$E:$E,MATCH(_xlpm.pos,MASTER!$I:$I,0)),"mmddyy"),""),_xlpm.slot,480+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62" s="4" t="str">
        <f>_xlfn.LET(_xlpm.pos,"NIH plate 6: "&amp;$A7&amp;C$2,_xlpm.normal,IFERROR(INDEX(MASTER!$A:$A,MATCH(_xlpm.pos,MASTER!$I:$I,0))&amp;"_ser_0.20_"&amp;TEXT(INDEX(MASTER!$E:$E,MATCH(_xlpm.pos,MASTER!$I:$I,0)),"mmddyy"),""),_xlpm.slot,480+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62" s="4" t="str">
        <f>_xlfn.LET(_xlpm.pos,"NIH plate 6: "&amp;$A7&amp;D$2,_xlpm.normal,IFERROR(INDEX(MASTER!$A:$A,MATCH(_xlpm.pos,MASTER!$I:$I,0))&amp;"_ser_0.20_"&amp;TEXT(INDEX(MASTER!$E:$E,MATCH(_xlpm.pos,MASTER!$I:$I,0)),"mmddyy"),""),_xlpm.slot,480+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62" s="4" t="str">
        <f>_xlfn.LET(_xlpm.pos,"NIH plate 6: "&amp;$A7&amp;E$2,_xlpm.normal,IFERROR(INDEX(MASTER!$A:$A,MATCH(_xlpm.pos,MASTER!$I:$I,0))&amp;"_ser_0.20_"&amp;TEXT(INDEX(MASTER!$E:$E,MATCH(_xlpm.pos,MASTER!$I:$I,0)),"mmddyy"),""),_xlpm.slot,480+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62" s="4" t="str">
        <f>_xlfn.LET(_xlpm.pos,"NIH plate 6: "&amp;$A7&amp;F$2,_xlpm.normal,IFERROR(INDEX(MASTER!$A:$A,MATCH(_xlpm.pos,MASTER!$I:$I,0))&amp;"_ser_0.20_"&amp;TEXT(INDEX(MASTER!$E:$E,MATCH(_xlpm.pos,MASTER!$I:$I,0)),"mmddyy"),""),_xlpm.slot,480+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62" s="4" t="str">
        <f>_xlfn.LET(_xlpm.pos,"NIH plate 6: "&amp;$A7&amp;G$2,_xlpm.normal,IFERROR(INDEX(MASTER!$A:$A,MATCH(_xlpm.pos,MASTER!$I:$I,0))&amp;"_ser_0.20_"&amp;TEXT(INDEX(MASTER!$E:$E,MATCH(_xlpm.pos,MASTER!$I:$I,0)),"mmddyy"),""),_xlpm.slot,480+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62" s="4" t="str">
        <f>_xlfn.LET(_xlpm.pos,"NIH plate 6: "&amp;$A7&amp;H$2,_xlpm.normal,IFERROR(INDEX(MASTER!$A:$A,MATCH(_xlpm.pos,MASTER!$I:$I,0))&amp;"_ser_0.20_"&amp;TEXT(INDEX(MASTER!$E:$E,MATCH(_xlpm.pos,MASTER!$I:$I,0)),"mmddyy"),""),_xlpm.slot,480+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62" s="4" t="str">
        <f>_xlfn.LET(_xlpm.pos,"NIH plate 6: "&amp;$A7&amp;I$2,_xlpm.normal,IFERROR(INDEX(MASTER!$A:$A,MATCH(_xlpm.pos,MASTER!$I:$I,0))&amp;"_ser_0.20_"&amp;TEXT(INDEX(MASTER!$E:$E,MATCH(_xlpm.pos,MASTER!$I:$I,0)),"mmddyy"),""),_xlpm.slot,480+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62" s="4" t="str">
        <f>_xlfn.LET(_xlpm.pos,"NIH plate 6: "&amp;$A7&amp;J$2,_xlpm.normal,IFERROR(INDEX(MASTER!$A:$A,MATCH(_xlpm.pos,MASTER!$I:$I,0))&amp;"_ser_0.20_"&amp;TEXT(INDEX(MASTER!$E:$E,MATCH(_xlpm.pos,MASTER!$I:$I,0)),"mmddyy"),""),_xlpm.slot,480+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62" s="4" t="str">
        <f>_xlfn.LET(_xlpm.pos,"NIH plate 6: "&amp;$A7&amp;K$2,_xlpm.normal,IFERROR(INDEX(MASTER!$A:$A,MATCH(_xlpm.pos,MASTER!$I:$I,0))&amp;"_ser_0.20_"&amp;TEXT(INDEX(MASTER!$E:$E,MATCH(_xlpm.pos,MASTER!$I:$I,0)),"mmddyy"),""),_xlpm.slot,480+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62" s="4" t="str">
        <f>_xlfn.LET(_xlpm.pos,"NIH plate 6: "&amp;$A7&amp;L$2,_xlpm.normal,IFERROR(INDEX(MASTER!$A:$A,MATCH(_xlpm.pos,MASTER!$I:$I,0))&amp;"_ser_0.20_"&amp;TEXT(INDEX(MASTER!$E:$E,MATCH(_xlpm.pos,MASTER!$I:$I,0)),"mmddyy"),""),_xlpm.slot,480+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62" s="4" t="str">
        <f>_xlfn.LET(_xlpm.pos,"NIH plate 6: "&amp;$A7&amp;M$2,_xlpm.normal,IFERROR(INDEX(MASTER!$A:$A,MATCH(_xlpm.pos,MASTER!$I:$I,0))&amp;"_ser_0.20_"&amp;TEXT(INDEX(MASTER!$E:$E,MATCH(_xlpm.pos,MASTER!$I:$I,0)),"mmddyy"),""),_xlpm.slot,480+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63" spans="1:13" ht="22" customHeight="1" x14ac:dyDescent="0.35">
      <c r="A63" s="6" t="s">
        <v>15</v>
      </c>
      <c r="B63" s="4" t="str">
        <f>_xlfn.LET(_xlpm.pos,"NIH plate 6: "&amp;$A8&amp;B$2,_xlpm.normal,IFERROR(INDEX(MASTER!$A:$A,MATCH(_xlpm.pos,MASTER!$I:$I,0))&amp;"_ser_0.20_"&amp;TEXT(INDEX(MASTER!$E:$E,MATCH(_xlpm.pos,MASTER!$I:$I,0)),"mmddyy"),""),_xlpm.slot,480+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63" s="4" t="str">
        <f>_xlfn.LET(_xlpm.pos,"NIH plate 6: "&amp;$A8&amp;C$2,_xlpm.normal,IFERROR(INDEX(MASTER!$A:$A,MATCH(_xlpm.pos,MASTER!$I:$I,0))&amp;"_ser_0.20_"&amp;TEXT(INDEX(MASTER!$E:$E,MATCH(_xlpm.pos,MASTER!$I:$I,0)),"mmddyy"),""),_xlpm.slot,480+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63" s="4" t="str">
        <f>_xlfn.LET(_xlpm.pos,"NIH plate 6: "&amp;$A8&amp;D$2,_xlpm.normal,IFERROR(INDEX(MASTER!$A:$A,MATCH(_xlpm.pos,MASTER!$I:$I,0))&amp;"_ser_0.20_"&amp;TEXT(INDEX(MASTER!$E:$E,MATCH(_xlpm.pos,MASTER!$I:$I,0)),"mmddyy"),""),_xlpm.slot,480+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63" s="4" t="str">
        <f>_xlfn.LET(_xlpm.pos,"NIH plate 6: "&amp;$A8&amp;E$2,_xlpm.normal,IFERROR(INDEX(MASTER!$A:$A,MATCH(_xlpm.pos,MASTER!$I:$I,0))&amp;"_ser_0.20_"&amp;TEXT(INDEX(MASTER!$E:$E,MATCH(_xlpm.pos,MASTER!$I:$I,0)),"mmddyy"),""),_xlpm.slot,480+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63" s="4" t="str">
        <f>_xlfn.LET(_xlpm.pos,"NIH plate 6: "&amp;$A8&amp;F$2,_xlpm.normal,IFERROR(INDEX(MASTER!$A:$A,MATCH(_xlpm.pos,MASTER!$I:$I,0))&amp;"_ser_0.20_"&amp;TEXT(INDEX(MASTER!$E:$E,MATCH(_xlpm.pos,MASTER!$I:$I,0)),"mmddyy"),""),_xlpm.slot,480+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63" s="4" t="str">
        <f>_xlfn.LET(_xlpm.pos,"NIH plate 6: "&amp;$A8&amp;G$2,_xlpm.normal,IFERROR(INDEX(MASTER!$A:$A,MATCH(_xlpm.pos,MASTER!$I:$I,0))&amp;"_ser_0.20_"&amp;TEXT(INDEX(MASTER!$E:$E,MATCH(_xlpm.pos,MASTER!$I:$I,0)),"mmddyy"),""),_xlpm.slot,480+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63" s="4" t="str">
        <f>_xlfn.LET(_xlpm.pos,"NIH plate 6: "&amp;$A8&amp;H$2,_xlpm.normal,IFERROR(INDEX(MASTER!$A:$A,MATCH(_xlpm.pos,MASTER!$I:$I,0))&amp;"_ser_0.20_"&amp;TEXT(INDEX(MASTER!$E:$E,MATCH(_xlpm.pos,MASTER!$I:$I,0)),"mmddyy"),""),_xlpm.slot,480+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63" s="4" t="str">
        <f>_xlfn.LET(_xlpm.pos,"NIH plate 6: "&amp;$A8&amp;I$2,_xlpm.normal,IFERROR(INDEX(MASTER!$A:$A,MATCH(_xlpm.pos,MASTER!$I:$I,0))&amp;"_ser_0.20_"&amp;TEXT(INDEX(MASTER!$E:$E,MATCH(_xlpm.pos,MASTER!$I:$I,0)),"mmddyy"),""),_xlpm.slot,480+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63" s="4" t="str">
        <f>_xlfn.LET(_xlpm.pos,"NIH plate 6: "&amp;$A8&amp;J$2,_xlpm.normal,IFERROR(INDEX(MASTER!$A:$A,MATCH(_xlpm.pos,MASTER!$I:$I,0))&amp;"_ser_0.20_"&amp;TEXT(INDEX(MASTER!$E:$E,MATCH(_xlpm.pos,MASTER!$I:$I,0)),"mmddyy"),""),_xlpm.slot,480+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63" s="4" t="str">
        <f>_xlfn.LET(_xlpm.pos,"NIH plate 6: "&amp;$A8&amp;K$2,_xlpm.normal,IFERROR(INDEX(MASTER!$A:$A,MATCH(_xlpm.pos,MASTER!$I:$I,0))&amp;"_ser_0.20_"&amp;TEXT(INDEX(MASTER!$E:$E,MATCH(_xlpm.pos,MASTER!$I:$I,0)),"mmddyy"),""),_xlpm.slot,480+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63" s="4" t="str">
        <f>_xlfn.LET(_xlpm.pos,"NIH plate 6: "&amp;$A8&amp;L$2,_xlpm.normal,IFERROR(INDEX(MASTER!$A:$A,MATCH(_xlpm.pos,MASTER!$I:$I,0))&amp;"_ser_0.20_"&amp;TEXT(INDEX(MASTER!$E:$E,MATCH(_xlpm.pos,MASTER!$I:$I,0)),"mmddyy"),""),_xlpm.slot,480+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63" s="4" t="str">
        <f>_xlfn.LET(_xlpm.pos,"NIH plate 6: "&amp;$A8&amp;M$2,_xlpm.normal,IFERROR(INDEX(MASTER!$A:$A,MATCH(_xlpm.pos,MASTER!$I:$I,0))&amp;"_ser_0.20_"&amp;TEXT(INDEX(MASTER!$E:$E,MATCH(_xlpm.pos,MASTER!$I:$I,0)),"mmddyy"),""),_xlpm.slot,480+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64" spans="1:13" ht="22" customHeight="1" x14ac:dyDescent="0.35">
      <c r="A64" s="6" t="s">
        <v>35</v>
      </c>
      <c r="B64" s="4" t="str">
        <f>_xlfn.LET(_xlpm.pos,"NIH plate 6: "&amp;$A9&amp;B$2,_xlpm.normal,IFERROR(INDEX(MASTER!$A:$A,MATCH(_xlpm.pos,MASTER!$I:$I,0))&amp;"_ser_0.20_"&amp;TEXT(INDEX(MASTER!$E:$E,MATCH(_xlpm.pos,MASTER!$I:$I,0)),"mmddyy"),""),_xlpm.slot,480+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64" s="4" t="str">
        <f>_xlfn.LET(_xlpm.pos,"NIH plate 6: "&amp;$A9&amp;C$2,_xlpm.normal,IFERROR(INDEX(MASTER!$A:$A,MATCH(_xlpm.pos,MASTER!$I:$I,0))&amp;"_ser_0.20_"&amp;TEXT(INDEX(MASTER!$E:$E,MATCH(_xlpm.pos,MASTER!$I:$I,0)),"mmddyy"),""),_xlpm.slot,480+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64" s="4" t="str">
        <f>_xlfn.LET(_xlpm.pos,"NIH plate 6: "&amp;$A9&amp;D$2,_xlpm.normal,IFERROR(INDEX(MASTER!$A:$A,MATCH(_xlpm.pos,MASTER!$I:$I,0))&amp;"_ser_0.20_"&amp;TEXT(INDEX(MASTER!$E:$E,MATCH(_xlpm.pos,MASTER!$I:$I,0)),"mmddyy"),""),_xlpm.slot,480+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64" s="4" t="str">
        <f>_xlfn.LET(_xlpm.pos,"NIH plate 6: "&amp;$A9&amp;E$2,_xlpm.normal,IFERROR(INDEX(MASTER!$A:$A,MATCH(_xlpm.pos,MASTER!$I:$I,0))&amp;"_ser_0.20_"&amp;TEXT(INDEX(MASTER!$E:$E,MATCH(_xlpm.pos,MASTER!$I:$I,0)),"mmddyy"),""),_xlpm.slot,480+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64" s="4" t="str">
        <f>_xlfn.LET(_xlpm.pos,"NIH plate 6: "&amp;$A9&amp;F$2,_xlpm.normal,IFERROR(INDEX(MASTER!$A:$A,MATCH(_xlpm.pos,MASTER!$I:$I,0))&amp;"_ser_0.20_"&amp;TEXT(INDEX(MASTER!$E:$E,MATCH(_xlpm.pos,MASTER!$I:$I,0)),"mmddyy"),""),_xlpm.slot,480+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64" s="4" t="str">
        <f>_xlfn.LET(_xlpm.pos,"NIH plate 6: "&amp;$A9&amp;G$2,_xlpm.normal,IFERROR(INDEX(MASTER!$A:$A,MATCH(_xlpm.pos,MASTER!$I:$I,0))&amp;"_ser_0.20_"&amp;TEXT(INDEX(MASTER!$E:$E,MATCH(_xlpm.pos,MASTER!$I:$I,0)),"mmddyy"),""),_xlpm.slot,480+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64" s="4" t="str">
        <f>_xlfn.LET(_xlpm.pos,"NIH plate 6: "&amp;$A9&amp;H$2,_xlpm.normal,IFERROR(INDEX(MASTER!$A:$A,MATCH(_xlpm.pos,MASTER!$I:$I,0))&amp;"_ser_0.20_"&amp;TEXT(INDEX(MASTER!$E:$E,MATCH(_xlpm.pos,MASTER!$I:$I,0)),"mmddyy"),""),_xlpm.slot,480+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64" s="4" t="str">
        <f>_xlfn.LET(_xlpm.pos,"NIH plate 6: "&amp;$A9&amp;I$2,_xlpm.normal,IFERROR(INDEX(MASTER!$A:$A,MATCH(_xlpm.pos,MASTER!$I:$I,0))&amp;"_ser_0.20_"&amp;TEXT(INDEX(MASTER!$E:$E,MATCH(_xlpm.pos,MASTER!$I:$I,0)),"mmddyy"),""),_xlpm.slot,480+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64" s="4" t="str">
        <f>_xlfn.LET(_xlpm.pos,"NIH plate 6: "&amp;$A9&amp;J$2,_xlpm.normal,IFERROR(INDEX(MASTER!$A:$A,MATCH(_xlpm.pos,MASTER!$I:$I,0))&amp;"_ser_0.20_"&amp;TEXT(INDEX(MASTER!$E:$E,MATCH(_xlpm.pos,MASTER!$I:$I,0)),"mmddyy"),""),_xlpm.slot,480+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64" s="4" t="str">
        <f>_xlfn.LET(_xlpm.pos,"NIH plate 6: "&amp;$A9&amp;K$2,_xlpm.normal,IFERROR(INDEX(MASTER!$A:$A,MATCH(_xlpm.pos,MASTER!$I:$I,0))&amp;"_ser_0.20_"&amp;TEXT(INDEX(MASTER!$E:$E,MATCH(_xlpm.pos,MASTER!$I:$I,0)),"mmddyy"),""),_xlpm.slot,480+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64" s="4" t="str">
        <f>_xlfn.LET(_xlpm.pos,"NIH plate 6: "&amp;$A9&amp;L$2,_xlpm.normal,IFERROR(INDEX(MASTER!$A:$A,MATCH(_xlpm.pos,MASTER!$I:$I,0))&amp;"_ser_0.20_"&amp;TEXT(INDEX(MASTER!$E:$E,MATCH(_xlpm.pos,MASTER!$I:$I,0)),"mmddyy"),""),_xlpm.slot,480+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64" s="4" t="str">
        <f>_xlfn.LET(_xlpm.pos,"NIH plate 6: "&amp;$A9&amp;M$2,_xlpm.normal,IFERROR(INDEX(MASTER!$A:$A,MATCH(_xlpm.pos,MASTER!$I:$I,0))&amp;"_ser_0.20_"&amp;TEXT(INDEX(MASTER!$E:$E,MATCH(_xlpm.pos,MASTER!$I:$I,0)),"mmddyy"),""),_xlpm.slot,480+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65" spans="1:13" ht="22" customHeight="1" x14ac:dyDescent="0.35">
      <c r="A65" s="6" t="s">
        <v>36</v>
      </c>
      <c r="B65" s="4" t="str">
        <f>_xlfn.LET(_xlpm.pos,"NIH plate 6: "&amp;$A10&amp;B$2,_xlpm.normal,IFERROR(INDEX(MASTER!$A:$A,MATCH(_xlpm.pos,MASTER!$I:$I,0))&amp;"_ser_0.20_"&amp;TEXT(INDEX(MASTER!$E:$E,MATCH(_xlpm.pos,MASTER!$I:$I,0)),"mmddyy"),""),_xlpm.slot,480+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65" s="4" t="str">
        <f>_xlfn.LET(_xlpm.pos,"NIH plate 6: "&amp;$A10&amp;C$2,_xlpm.normal,IFERROR(INDEX(MASTER!$A:$A,MATCH(_xlpm.pos,MASTER!$I:$I,0))&amp;"_ser_0.20_"&amp;TEXT(INDEX(MASTER!$E:$E,MATCH(_xlpm.pos,MASTER!$I:$I,0)),"mmddyy"),""),_xlpm.slot,480+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65" s="4" t="str">
        <f>_xlfn.LET(_xlpm.pos,"NIH plate 6: "&amp;$A10&amp;D$2,_xlpm.normal,IFERROR(INDEX(MASTER!$A:$A,MATCH(_xlpm.pos,MASTER!$I:$I,0))&amp;"_ser_0.20_"&amp;TEXT(INDEX(MASTER!$E:$E,MATCH(_xlpm.pos,MASTER!$I:$I,0)),"mmddyy"),""),_xlpm.slot,480+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65" s="4" t="str">
        <f>_xlfn.LET(_xlpm.pos,"NIH plate 6: "&amp;$A10&amp;E$2,_xlpm.normal,IFERROR(INDEX(MASTER!$A:$A,MATCH(_xlpm.pos,MASTER!$I:$I,0))&amp;"_ser_0.20_"&amp;TEXT(INDEX(MASTER!$E:$E,MATCH(_xlpm.pos,MASTER!$I:$I,0)),"mmddyy"),""),_xlpm.slot,480+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65" s="4" t="str">
        <f>_xlfn.LET(_xlpm.pos,"NIH plate 6: "&amp;$A10&amp;F$2,_xlpm.normal,IFERROR(INDEX(MASTER!$A:$A,MATCH(_xlpm.pos,MASTER!$I:$I,0))&amp;"_ser_0.20_"&amp;TEXT(INDEX(MASTER!$E:$E,MATCH(_xlpm.pos,MASTER!$I:$I,0)),"mmddyy"),""),_xlpm.slot,480+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65" s="4" t="str">
        <f>_xlfn.LET(_xlpm.pos,"NIH plate 6: "&amp;$A10&amp;G$2,_xlpm.normal,IFERROR(INDEX(MASTER!$A:$A,MATCH(_xlpm.pos,MASTER!$I:$I,0))&amp;"_ser_0.20_"&amp;TEXT(INDEX(MASTER!$E:$E,MATCH(_xlpm.pos,MASTER!$I:$I,0)),"mmddyy"),""),_xlpm.slot,480+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65" s="4" t="str">
        <f>_xlfn.LET(_xlpm.pos,"NIH plate 6: "&amp;$A10&amp;H$2,_xlpm.normal,IFERROR(INDEX(MASTER!$A:$A,MATCH(_xlpm.pos,MASTER!$I:$I,0))&amp;"_ser_0.20_"&amp;TEXT(INDEX(MASTER!$E:$E,MATCH(_xlpm.pos,MASTER!$I:$I,0)),"mmddyy"),""),_xlpm.slot,480+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65" s="4" t="str">
        <f>_xlfn.LET(_xlpm.pos,"NIH plate 6: "&amp;$A10&amp;I$2,_xlpm.normal,IFERROR(INDEX(MASTER!$A:$A,MATCH(_xlpm.pos,MASTER!$I:$I,0))&amp;"_ser_0.20_"&amp;TEXT(INDEX(MASTER!$E:$E,MATCH(_xlpm.pos,MASTER!$I:$I,0)),"mmddyy"),""),_xlpm.slot,480+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65" s="4" t="str">
        <f>_xlfn.LET(_xlpm.pos,"NIH plate 6: "&amp;$A10&amp;J$2,_xlpm.normal,IFERROR(INDEX(MASTER!$A:$A,MATCH(_xlpm.pos,MASTER!$I:$I,0))&amp;"_ser_0.20_"&amp;TEXT(INDEX(MASTER!$E:$E,MATCH(_xlpm.pos,MASTER!$I:$I,0)),"mmddyy"),""),_xlpm.slot,480+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65" s="4" t="str">
        <f>_xlfn.LET(_xlpm.pos,"NIH plate 6: "&amp;$A10&amp;K$2,_xlpm.normal,IFERROR(INDEX(MASTER!$A:$A,MATCH(_xlpm.pos,MASTER!$I:$I,0))&amp;"_ser_0.20_"&amp;TEXT(INDEX(MASTER!$E:$E,MATCH(_xlpm.pos,MASTER!$I:$I,0)),"mmddyy"),""),_xlpm.slot,480+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65" s="4" t="str">
        <f>_xlfn.LET(_xlpm.pos,"NIH plate 6: "&amp;$A10&amp;L$2,_xlpm.normal,IFERROR(INDEX(MASTER!$A:$A,MATCH(_xlpm.pos,MASTER!$I:$I,0))&amp;"_ser_0.20_"&amp;TEXT(INDEX(MASTER!$E:$E,MATCH(_xlpm.pos,MASTER!$I:$I,0)),"mmddyy"),""),_xlpm.slot,480+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65" s="4" t="str">
        <f>_xlfn.LET(_xlpm.pos,"NIH plate 6: "&amp;$A10&amp;M$2,_xlpm.normal,IFERROR(INDEX(MASTER!$A:$A,MATCH(_xlpm.pos,MASTER!$I:$I,0))&amp;"_ser_0.20_"&amp;TEXT(INDEX(MASTER!$E:$E,MATCH(_xlpm.pos,MASTER!$I:$I,0)),"mmddyy"),""),_xlpm.slot,480+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66" spans="1:13" ht="22" customHeight="1" x14ac:dyDescent="0.3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spans="1:13" ht="22" customHeight="1" x14ac:dyDescent="0.35">
      <c r="A67" s="7"/>
      <c r="B67" s="31" t="s">
        <v>63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3"/>
    </row>
    <row r="68" spans="1:13" ht="22" customHeight="1" x14ac:dyDescent="0.35">
      <c r="A68" s="7"/>
      <c r="B68" s="6">
        <v>1</v>
      </c>
      <c r="C68" s="6">
        <v>2</v>
      </c>
      <c r="D68" s="6">
        <v>3</v>
      </c>
      <c r="E68" s="6">
        <v>4</v>
      </c>
      <c r="F68" s="6">
        <v>5</v>
      </c>
      <c r="G68" s="6">
        <v>6</v>
      </c>
      <c r="H68" s="6">
        <v>7</v>
      </c>
      <c r="I68" s="6">
        <v>8</v>
      </c>
      <c r="J68" s="6">
        <v>9</v>
      </c>
      <c r="K68" s="6">
        <v>10</v>
      </c>
      <c r="L68" s="6">
        <v>11</v>
      </c>
      <c r="M68" s="6">
        <v>12</v>
      </c>
    </row>
    <row r="69" spans="1:13" ht="22" customHeight="1" x14ac:dyDescent="0.35">
      <c r="A69" s="6" t="s">
        <v>30</v>
      </c>
      <c r="B69" s="4" t="str">
        <f>_xlfn.LET(_xlpm.pos,"NIH plate 7: "&amp;$A3&amp;B$2,_xlpm.normal,IFERROR(INDEX(MASTER!$A:$A,MATCH(_xlpm.pos,MASTER!$I:$I,0))&amp;"_ser_0.20_"&amp;TEXT(INDEX(MASTER!$E:$E,MATCH(_xlpm.pos,MASTER!$I:$I,0)),"mmddyy"),""),_xlpm.slot,576+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69" s="4" t="str">
        <f>_xlfn.LET(_xlpm.pos,"NIH plate 7: "&amp;$A3&amp;C$2,_xlpm.normal,IFERROR(INDEX(MASTER!$A:$A,MATCH(_xlpm.pos,MASTER!$I:$I,0))&amp;"_ser_0.20_"&amp;TEXT(INDEX(MASTER!$E:$E,MATCH(_xlpm.pos,MASTER!$I:$I,0)),"mmddyy"),""),_xlpm.slot,576+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69" s="4" t="str">
        <f>_xlfn.LET(_xlpm.pos,"NIH plate 7: "&amp;$A3&amp;D$2,_xlpm.normal,IFERROR(INDEX(MASTER!$A:$A,MATCH(_xlpm.pos,MASTER!$I:$I,0))&amp;"_ser_0.20_"&amp;TEXT(INDEX(MASTER!$E:$E,MATCH(_xlpm.pos,MASTER!$I:$I,0)),"mmddyy"),""),_xlpm.slot,576+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69" s="4" t="str">
        <f>_xlfn.LET(_xlpm.pos,"NIH plate 7: "&amp;$A3&amp;E$2,_xlpm.normal,IFERROR(INDEX(MASTER!$A:$A,MATCH(_xlpm.pos,MASTER!$I:$I,0))&amp;"_ser_0.20_"&amp;TEXT(INDEX(MASTER!$E:$E,MATCH(_xlpm.pos,MASTER!$I:$I,0)),"mmddyy"),""),_xlpm.slot,576+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69" s="4" t="str">
        <f>_xlfn.LET(_xlpm.pos,"NIH plate 7: "&amp;$A3&amp;F$2,_xlpm.normal,IFERROR(INDEX(MASTER!$A:$A,MATCH(_xlpm.pos,MASTER!$I:$I,0))&amp;"_ser_0.20_"&amp;TEXT(INDEX(MASTER!$E:$E,MATCH(_xlpm.pos,MASTER!$I:$I,0)),"mmddyy"),""),_xlpm.slot,576+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69" s="4" t="str">
        <f>_xlfn.LET(_xlpm.pos,"NIH plate 7: "&amp;$A3&amp;G$2,_xlpm.normal,IFERROR(INDEX(MASTER!$A:$A,MATCH(_xlpm.pos,MASTER!$I:$I,0))&amp;"_ser_0.20_"&amp;TEXT(INDEX(MASTER!$E:$E,MATCH(_xlpm.pos,MASTER!$I:$I,0)),"mmddyy"),""),_xlpm.slot,576+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69" s="4" t="str">
        <f>_xlfn.LET(_xlpm.pos,"NIH plate 7: "&amp;$A3&amp;H$2,_xlpm.normal,IFERROR(INDEX(MASTER!$A:$A,MATCH(_xlpm.pos,MASTER!$I:$I,0))&amp;"_ser_0.20_"&amp;TEXT(INDEX(MASTER!$E:$E,MATCH(_xlpm.pos,MASTER!$I:$I,0)),"mmddyy"),""),_xlpm.slot,576+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69" s="4" t="str">
        <f>_xlfn.LET(_xlpm.pos,"NIH plate 7: "&amp;$A3&amp;I$2,_xlpm.normal,IFERROR(INDEX(MASTER!$A:$A,MATCH(_xlpm.pos,MASTER!$I:$I,0))&amp;"_ser_0.20_"&amp;TEXT(INDEX(MASTER!$E:$E,MATCH(_xlpm.pos,MASTER!$I:$I,0)),"mmddyy"),""),_xlpm.slot,576+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69" s="4" t="str">
        <f>_xlfn.LET(_xlpm.pos,"NIH plate 7: "&amp;$A3&amp;J$2,_xlpm.normal,IFERROR(INDEX(MASTER!$A:$A,MATCH(_xlpm.pos,MASTER!$I:$I,0))&amp;"_ser_0.20_"&amp;TEXT(INDEX(MASTER!$E:$E,MATCH(_xlpm.pos,MASTER!$I:$I,0)),"mmddyy"),""),_xlpm.slot,576+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69" s="4" t="str">
        <f>_xlfn.LET(_xlpm.pos,"NIH plate 7: "&amp;$A3&amp;K$2,_xlpm.normal,IFERROR(INDEX(MASTER!$A:$A,MATCH(_xlpm.pos,MASTER!$I:$I,0))&amp;"_ser_0.20_"&amp;TEXT(INDEX(MASTER!$E:$E,MATCH(_xlpm.pos,MASTER!$I:$I,0)),"mmddyy"),""),_xlpm.slot,576+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69" s="4" t="str">
        <f>_xlfn.LET(_xlpm.pos,"NIH plate 7: "&amp;$A3&amp;L$2,_xlpm.normal,IFERROR(INDEX(MASTER!$A:$A,MATCH(_xlpm.pos,MASTER!$I:$I,0))&amp;"_ser_0.20_"&amp;TEXT(INDEX(MASTER!$E:$E,MATCH(_xlpm.pos,MASTER!$I:$I,0)),"mmddyy"),""),_xlpm.slot,576+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69" s="4" t="str">
        <f>_xlfn.LET(_xlpm.pos,"NIH plate 7: "&amp;$A3&amp;M$2,_xlpm.normal,IFERROR(INDEX(MASTER!$A:$A,MATCH(_xlpm.pos,MASTER!$I:$I,0))&amp;"_ser_0.20_"&amp;TEXT(INDEX(MASTER!$E:$E,MATCH(_xlpm.pos,MASTER!$I:$I,0)),"mmddyy"),""),_xlpm.slot,576+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70" spans="1:13" ht="22" customHeight="1" x14ac:dyDescent="0.35">
      <c r="A70" s="6" t="s">
        <v>31</v>
      </c>
      <c r="B70" s="4" t="str">
        <f>_xlfn.LET(_xlpm.pos,"NIH plate 7: "&amp;$A4&amp;B$2,_xlpm.normal,IFERROR(INDEX(MASTER!$A:$A,MATCH(_xlpm.pos,MASTER!$I:$I,0))&amp;"_ser_0.20_"&amp;TEXT(INDEX(MASTER!$E:$E,MATCH(_xlpm.pos,MASTER!$I:$I,0)),"mmddyy"),""),_xlpm.slot,576+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70" s="4" t="str">
        <f>_xlfn.LET(_xlpm.pos,"NIH plate 7: "&amp;$A4&amp;C$2,_xlpm.normal,IFERROR(INDEX(MASTER!$A:$A,MATCH(_xlpm.pos,MASTER!$I:$I,0))&amp;"_ser_0.20_"&amp;TEXT(INDEX(MASTER!$E:$E,MATCH(_xlpm.pos,MASTER!$I:$I,0)),"mmddyy"),""),_xlpm.slot,576+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70" s="4" t="str">
        <f>_xlfn.LET(_xlpm.pos,"NIH plate 7: "&amp;$A4&amp;D$2,_xlpm.normal,IFERROR(INDEX(MASTER!$A:$A,MATCH(_xlpm.pos,MASTER!$I:$I,0))&amp;"_ser_0.20_"&amp;TEXT(INDEX(MASTER!$E:$E,MATCH(_xlpm.pos,MASTER!$I:$I,0)),"mmddyy"),""),_xlpm.slot,576+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70" s="4" t="str">
        <f>_xlfn.LET(_xlpm.pos,"NIH plate 7: "&amp;$A4&amp;E$2,_xlpm.normal,IFERROR(INDEX(MASTER!$A:$A,MATCH(_xlpm.pos,MASTER!$I:$I,0))&amp;"_ser_0.20_"&amp;TEXT(INDEX(MASTER!$E:$E,MATCH(_xlpm.pos,MASTER!$I:$I,0)),"mmddyy"),""),_xlpm.slot,576+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70" s="4" t="str">
        <f>_xlfn.LET(_xlpm.pos,"NIH plate 7: "&amp;$A4&amp;F$2,_xlpm.normal,IFERROR(INDEX(MASTER!$A:$A,MATCH(_xlpm.pos,MASTER!$I:$I,0))&amp;"_ser_0.20_"&amp;TEXT(INDEX(MASTER!$E:$E,MATCH(_xlpm.pos,MASTER!$I:$I,0)),"mmddyy"),""),_xlpm.slot,576+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70" s="4" t="str">
        <f>_xlfn.LET(_xlpm.pos,"NIH plate 7: "&amp;$A4&amp;G$2,_xlpm.normal,IFERROR(INDEX(MASTER!$A:$A,MATCH(_xlpm.pos,MASTER!$I:$I,0))&amp;"_ser_0.20_"&amp;TEXT(INDEX(MASTER!$E:$E,MATCH(_xlpm.pos,MASTER!$I:$I,0)),"mmddyy"),""),_xlpm.slot,576+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70" s="4" t="str">
        <f>_xlfn.LET(_xlpm.pos,"NIH plate 7: "&amp;$A4&amp;H$2,_xlpm.normal,IFERROR(INDEX(MASTER!$A:$A,MATCH(_xlpm.pos,MASTER!$I:$I,0))&amp;"_ser_0.20_"&amp;TEXT(INDEX(MASTER!$E:$E,MATCH(_xlpm.pos,MASTER!$I:$I,0)),"mmddyy"),""),_xlpm.slot,576+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70" s="4" t="str">
        <f>_xlfn.LET(_xlpm.pos,"NIH plate 7: "&amp;$A4&amp;I$2,_xlpm.normal,IFERROR(INDEX(MASTER!$A:$A,MATCH(_xlpm.pos,MASTER!$I:$I,0))&amp;"_ser_0.20_"&amp;TEXT(INDEX(MASTER!$E:$E,MATCH(_xlpm.pos,MASTER!$I:$I,0)),"mmddyy"),""),_xlpm.slot,576+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70" s="4" t="str">
        <f>_xlfn.LET(_xlpm.pos,"NIH plate 7: "&amp;$A4&amp;J$2,_xlpm.normal,IFERROR(INDEX(MASTER!$A:$A,MATCH(_xlpm.pos,MASTER!$I:$I,0))&amp;"_ser_0.20_"&amp;TEXT(INDEX(MASTER!$E:$E,MATCH(_xlpm.pos,MASTER!$I:$I,0)),"mmddyy"),""),_xlpm.slot,576+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70" s="4" t="str">
        <f>_xlfn.LET(_xlpm.pos,"NIH plate 7: "&amp;$A4&amp;K$2,_xlpm.normal,IFERROR(INDEX(MASTER!$A:$A,MATCH(_xlpm.pos,MASTER!$I:$I,0))&amp;"_ser_0.20_"&amp;TEXT(INDEX(MASTER!$E:$E,MATCH(_xlpm.pos,MASTER!$I:$I,0)),"mmddyy"),""),_xlpm.slot,576+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70" s="4" t="str">
        <f>_xlfn.LET(_xlpm.pos,"NIH plate 7: "&amp;$A4&amp;L$2,_xlpm.normal,IFERROR(INDEX(MASTER!$A:$A,MATCH(_xlpm.pos,MASTER!$I:$I,0))&amp;"_ser_0.20_"&amp;TEXT(INDEX(MASTER!$E:$E,MATCH(_xlpm.pos,MASTER!$I:$I,0)),"mmddyy"),""),_xlpm.slot,576+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70" s="4" t="str">
        <f>_xlfn.LET(_xlpm.pos,"NIH plate 7: "&amp;$A4&amp;M$2,_xlpm.normal,IFERROR(INDEX(MASTER!$A:$A,MATCH(_xlpm.pos,MASTER!$I:$I,0))&amp;"_ser_0.20_"&amp;TEXT(INDEX(MASTER!$E:$E,MATCH(_xlpm.pos,MASTER!$I:$I,0)),"mmddyy"),""),_xlpm.slot,576+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71" spans="1:13" ht="22" customHeight="1" x14ac:dyDescent="0.35">
      <c r="A71" s="6" t="s">
        <v>32</v>
      </c>
      <c r="B71" s="4" t="str">
        <f>_xlfn.LET(_xlpm.pos,"NIH plate 7: "&amp;$A5&amp;B$2,_xlpm.normal,IFERROR(INDEX(MASTER!$A:$A,MATCH(_xlpm.pos,MASTER!$I:$I,0))&amp;"_ser_0.20_"&amp;TEXT(INDEX(MASTER!$E:$E,MATCH(_xlpm.pos,MASTER!$I:$I,0)),"mmddyy"),""),_xlpm.slot,576+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71" s="4" t="str">
        <f>_xlfn.LET(_xlpm.pos,"NIH plate 7: "&amp;$A5&amp;C$2,_xlpm.normal,IFERROR(INDEX(MASTER!$A:$A,MATCH(_xlpm.pos,MASTER!$I:$I,0))&amp;"_ser_0.20_"&amp;TEXT(INDEX(MASTER!$E:$E,MATCH(_xlpm.pos,MASTER!$I:$I,0)),"mmddyy"),""),_xlpm.slot,576+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71" s="4" t="str">
        <f>_xlfn.LET(_xlpm.pos,"NIH plate 7: "&amp;$A5&amp;D$2,_xlpm.normal,IFERROR(INDEX(MASTER!$A:$A,MATCH(_xlpm.pos,MASTER!$I:$I,0))&amp;"_ser_0.20_"&amp;TEXT(INDEX(MASTER!$E:$E,MATCH(_xlpm.pos,MASTER!$I:$I,0)),"mmddyy"),""),_xlpm.slot,576+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71" s="4" t="str">
        <f>_xlfn.LET(_xlpm.pos,"NIH plate 7: "&amp;$A5&amp;E$2,_xlpm.normal,IFERROR(INDEX(MASTER!$A:$A,MATCH(_xlpm.pos,MASTER!$I:$I,0))&amp;"_ser_0.20_"&amp;TEXT(INDEX(MASTER!$E:$E,MATCH(_xlpm.pos,MASTER!$I:$I,0)),"mmddyy"),""),_xlpm.slot,576+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71" s="4" t="str">
        <f>_xlfn.LET(_xlpm.pos,"NIH plate 7: "&amp;$A5&amp;F$2,_xlpm.normal,IFERROR(INDEX(MASTER!$A:$A,MATCH(_xlpm.pos,MASTER!$I:$I,0))&amp;"_ser_0.20_"&amp;TEXT(INDEX(MASTER!$E:$E,MATCH(_xlpm.pos,MASTER!$I:$I,0)),"mmddyy"),""),_xlpm.slot,576+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71" s="4" t="str">
        <f>_xlfn.LET(_xlpm.pos,"NIH plate 7: "&amp;$A5&amp;G$2,_xlpm.normal,IFERROR(INDEX(MASTER!$A:$A,MATCH(_xlpm.pos,MASTER!$I:$I,0))&amp;"_ser_0.20_"&amp;TEXT(INDEX(MASTER!$E:$E,MATCH(_xlpm.pos,MASTER!$I:$I,0)),"mmddyy"),""),_xlpm.slot,576+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71" s="4" t="str">
        <f>_xlfn.LET(_xlpm.pos,"NIH plate 7: "&amp;$A5&amp;H$2,_xlpm.normal,IFERROR(INDEX(MASTER!$A:$A,MATCH(_xlpm.pos,MASTER!$I:$I,0))&amp;"_ser_0.20_"&amp;TEXT(INDEX(MASTER!$E:$E,MATCH(_xlpm.pos,MASTER!$I:$I,0)),"mmddyy"),""),_xlpm.slot,576+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71" s="4" t="str">
        <f>_xlfn.LET(_xlpm.pos,"NIH plate 7: "&amp;$A5&amp;I$2,_xlpm.normal,IFERROR(INDEX(MASTER!$A:$A,MATCH(_xlpm.pos,MASTER!$I:$I,0))&amp;"_ser_0.20_"&amp;TEXT(INDEX(MASTER!$E:$E,MATCH(_xlpm.pos,MASTER!$I:$I,0)),"mmddyy"),""),_xlpm.slot,576+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71" s="4" t="str">
        <f>_xlfn.LET(_xlpm.pos,"NIH plate 7: "&amp;$A5&amp;J$2,_xlpm.normal,IFERROR(INDEX(MASTER!$A:$A,MATCH(_xlpm.pos,MASTER!$I:$I,0))&amp;"_ser_0.20_"&amp;TEXT(INDEX(MASTER!$E:$E,MATCH(_xlpm.pos,MASTER!$I:$I,0)),"mmddyy"),""),_xlpm.slot,576+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71" s="4" t="str">
        <f>_xlfn.LET(_xlpm.pos,"NIH plate 7: "&amp;$A5&amp;K$2,_xlpm.normal,IFERROR(INDEX(MASTER!$A:$A,MATCH(_xlpm.pos,MASTER!$I:$I,0))&amp;"_ser_0.20_"&amp;TEXT(INDEX(MASTER!$E:$E,MATCH(_xlpm.pos,MASTER!$I:$I,0)),"mmddyy"),""),_xlpm.slot,576+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71" s="4" t="str">
        <f>_xlfn.LET(_xlpm.pos,"NIH plate 7: "&amp;$A5&amp;L$2,_xlpm.normal,IFERROR(INDEX(MASTER!$A:$A,MATCH(_xlpm.pos,MASTER!$I:$I,0))&amp;"_ser_0.20_"&amp;TEXT(INDEX(MASTER!$E:$E,MATCH(_xlpm.pos,MASTER!$I:$I,0)),"mmddyy"),""),_xlpm.slot,576+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71" s="4" t="str">
        <f>_xlfn.LET(_xlpm.pos,"NIH plate 7: "&amp;$A5&amp;M$2,_xlpm.normal,IFERROR(INDEX(MASTER!$A:$A,MATCH(_xlpm.pos,MASTER!$I:$I,0))&amp;"_ser_0.20_"&amp;TEXT(INDEX(MASTER!$E:$E,MATCH(_xlpm.pos,MASTER!$I:$I,0)),"mmddyy"),""),_xlpm.slot,576+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72" spans="1:13" ht="22" customHeight="1" x14ac:dyDescent="0.35">
      <c r="A72" s="6" t="s">
        <v>33</v>
      </c>
      <c r="B72" s="4" t="str">
        <f>_xlfn.LET(_xlpm.pos,"NIH plate 7: "&amp;$A6&amp;B$2,_xlpm.normal,IFERROR(INDEX(MASTER!$A:$A,MATCH(_xlpm.pos,MASTER!$I:$I,0))&amp;"_ser_0.20_"&amp;TEXT(INDEX(MASTER!$E:$E,MATCH(_xlpm.pos,MASTER!$I:$I,0)),"mmddyy"),""),_xlpm.slot,576+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72" s="4" t="str">
        <f>_xlfn.LET(_xlpm.pos,"NIH plate 7: "&amp;$A6&amp;C$2,_xlpm.normal,IFERROR(INDEX(MASTER!$A:$A,MATCH(_xlpm.pos,MASTER!$I:$I,0))&amp;"_ser_0.20_"&amp;TEXT(INDEX(MASTER!$E:$E,MATCH(_xlpm.pos,MASTER!$I:$I,0)),"mmddyy"),""),_xlpm.slot,576+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72" s="4" t="str">
        <f>_xlfn.LET(_xlpm.pos,"NIH plate 7: "&amp;$A6&amp;D$2,_xlpm.normal,IFERROR(INDEX(MASTER!$A:$A,MATCH(_xlpm.pos,MASTER!$I:$I,0))&amp;"_ser_0.20_"&amp;TEXT(INDEX(MASTER!$E:$E,MATCH(_xlpm.pos,MASTER!$I:$I,0)),"mmddyy"),""),_xlpm.slot,576+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72" s="4" t="str">
        <f>_xlfn.LET(_xlpm.pos,"NIH plate 7: "&amp;$A6&amp;E$2,_xlpm.normal,IFERROR(INDEX(MASTER!$A:$A,MATCH(_xlpm.pos,MASTER!$I:$I,0))&amp;"_ser_0.20_"&amp;TEXT(INDEX(MASTER!$E:$E,MATCH(_xlpm.pos,MASTER!$I:$I,0)),"mmddyy"),""),_xlpm.slot,576+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72" s="4" t="str">
        <f>_xlfn.LET(_xlpm.pos,"NIH plate 7: "&amp;$A6&amp;F$2,_xlpm.normal,IFERROR(INDEX(MASTER!$A:$A,MATCH(_xlpm.pos,MASTER!$I:$I,0))&amp;"_ser_0.20_"&amp;TEXT(INDEX(MASTER!$E:$E,MATCH(_xlpm.pos,MASTER!$I:$I,0)),"mmddyy"),""),_xlpm.slot,576+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72" s="4" t="str">
        <f>_xlfn.LET(_xlpm.pos,"NIH plate 7: "&amp;$A6&amp;G$2,_xlpm.normal,IFERROR(INDEX(MASTER!$A:$A,MATCH(_xlpm.pos,MASTER!$I:$I,0))&amp;"_ser_0.20_"&amp;TEXT(INDEX(MASTER!$E:$E,MATCH(_xlpm.pos,MASTER!$I:$I,0)),"mmddyy"),""),_xlpm.slot,576+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72" s="4" t="str">
        <f>_xlfn.LET(_xlpm.pos,"NIH plate 7: "&amp;$A6&amp;H$2,_xlpm.normal,IFERROR(INDEX(MASTER!$A:$A,MATCH(_xlpm.pos,MASTER!$I:$I,0))&amp;"_ser_0.20_"&amp;TEXT(INDEX(MASTER!$E:$E,MATCH(_xlpm.pos,MASTER!$I:$I,0)),"mmddyy"),""),_xlpm.slot,576+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72" s="4" t="str">
        <f>_xlfn.LET(_xlpm.pos,"NIH plate 7: "&amp;$A6&amp;I$2,_xlpm.normal,IFERROR(INDEX(MASTER!$A:$A,MATCH(_xlpm.pos,MASTER!$I:$I,0))&amp;"_ser_0.20_"&amp;TEXT(INDEX(MASTER!$E:$E,MATCH(_xlpm.pos,MASTER!$I:$I,0)),"mmddyy"),""),_xlpm.slot,576+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72" s="4" t="str">
        <f>_xlfn.LET(_xlpm.pos,"NIH plate 7: "&amp;$A6&amp;J$2,_xlpm.normal,IFERROR(INDEX(MASTER!$A:$A,MATCH(_xlpm.pos,MASTER!$I:$I,0))&amp;"_ser_0.20_"&amp;TEXT(INDEX(MASTER!$E:$E,MATCH(_xlpm.pos,MASTER!$I:$I,0)),"mmddyy"),""),_xlpm.slot,576+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72" s="4" t="str">
        <f>_xlfn.LET(_xlpm.pos,"NIH plate 7: "&amp;$A6&amp;K$2,_xlpm.normal,IFERROR(INDEX(MASTER!$A:$A,MATCH(_xlpm.pos,MASTER!$I:$I,0))&amp;"_ser_0.20_"&amp;TEXT(INDEX(MASTER!$E:$E,MATCH(_xlpm.pos,MASTER!$I:$I,0)),"mmddyy"),""),_xlpm.slot,576+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72" s="4" t="str">
        <f>_xlfn.LET(_xlpm.pos,"NIH plate 7: "&amp;$A6&amp;L$2,_xlpm.normal,IFERROR(INDEX(MASTER!$A:$A,MATCH(_xlpm.pos,MASTER!$I:$I,0))&amp;"_ser_0.20_"&amp;TEXT(INDEX(MASTER!$E:$E,MATCH(_xlpm.pos,MASTER!$I:$I,0)),"mmddyy"),""),_xlpm.slot,576+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72" s="4" t="str">
        <f>_xlfn.LET(_xlpm.pos,"NIH plate 7: "&amp;$A6&amp;M$2,_xlpm.normal,IFERROR(INDEX(MASTER!$A:$A,MATCH(_xlpm.pos,MASTER!$I:$I,0))&amp;"_ser_0.20_"&amp;TEXT(INDEX(MASTER!$E:$E,MATCH(_xlpm.pos,MASTER!$I:$I,0)),"mmddyy"),""),_xlpm.slot,576+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73" spans="1:13" ht="22" customHeight="1" x14ac:dyDescent="0.35">
      <c r="A73" s="6" t="s">
        <v>34</v>
      </c>
      <c r="B73" s="4" t="str">
        <f>_xlfn.LET(_xlpm.pos,"NIH plate 7: "&amp;$A7&amp;B$2,_xlpm.normal,IFERROR(INDEX(MASTER!$A:$A,MATCH(_xlpm.pos,MASTER!$I:$I,0))&amp;"_ser_0.20_"&amp;TEXT(INDEX(MASTER!$E:$E,MATCH(_xlpm.pos,MASTER!$I:$I,0)),"mmddyy"),""),_xlpm.slot,576+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73" s="4" t="str">
        <f>_xlfn.LET(_xlpm.pos,"NIH plate 7: "&amp;$A7&amp;C$2,_xlpm.normal,IFERROR(INDEX(MASTER!$A:$A,MATCH(_xlpm.pos,MASTER!$I:$I,0))&amp;"_ser_0.20_"&amp;TEXT(INDEX(MASTER!$E:$E,MATCH(_xlpm.pos,MASTER!$I:$I,0)),"mmddyy"),""),_xlpm.slot,576+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73" s="4" t="str">
        <f>_xlfn.LET(_xlpm.pos,"NIH plate 7: "&amp;$A7&amp;D$2,_xlpm.normal,IFERROR(INDEX(MASTER!$A:$A,MATCH(_xlpm.pos,MASTER!$I:$I,0))&amp;"_ser_0.20_"&amp;TEXT(INDEX(MASTER!$E:$E,MATCH(_xlpm.pos,MASTER!$I:$I,0)),"mmddyy"),""),_xlpm.slot,576+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73" s="4" t="str">
        <f>_xlfn.LET(_xlpm.pos,"NIH plate 7: "&amp;$A7&amp;E$2,_xlpm.normal,IFERROR(INDEX(MASTER!$A:$A,MATCH(_xlpm.pos,MASTER!$I:$I,0))&amp;"_ser_0.20_"&amp;TEXT(INDEX(MASTER!$E:$E,MATCH(_xlpm.pos,MASTER!$I:$I,0)),"mmddyy"),""),_xlpm.slot,576+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73" s="4" t="str">
        <f>_xlfn.LET(_xlpm.pos,"NIH plate 7: "&amp;$A7&amp;F$2,_xlpm.normal,IFERROR(INDEX(MASTER!$A:$A,MATCH(_xlpm.pos,MASTER!$I:$I,0))&amp;"_ser_0.20_"&amp;TEXT(INDEX(MASTER!$E:$E,MATCH(_xlpm.pos,MASTER!$I:$I,0)),"mmddyy"),""),_xlpm.slot,576+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73" s="4" t="str">
        <f>_xlfn.LET(_xlpm.pos,"NIH plate 7: "&amp;$A7&amp;G$2,_xlpm.normal,IFERROR(INDEX(MASTER!$A:$A,MATCH(_xlpm.pos,MASTER!$I:$I,0))&amp;"_ser_0.20_"&amp;TEXT(INDEX(MASTER!$E:$E,MATCH(_xlpm.pos,MASTER!$I:$I,0)),"mmddyy"),""),_xlpm.slot,576+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73" s="4" t="str">
        <f>_xlfn.LET(_xlpm.pos,"NIH plate 7: "&amp;$A7&amp;H$2,_xlpm.normal,IFERROR(INDEX(MASTER!$A:$A,MATCH(_xlpm.pos,MASTER!$I:$I,0))&amp;"_ser_0.20_"&amp;TEXT(INDEX(MASTER!$E:$E,MATCH(_xlpm.pos,MASTER!$I:$I,0)),"mmddyy"),""),_xlpm.slot,576+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73" s="4" t="str">
        <f>_xlfn.LET(_xlpm.pos,"NIH plate 7: "&amp;$A7&amp;I$2,_xlpm.normal,IFERROR(INDEX(MASTER!$A:$A,MATCH(_xlpm.pos,MASTER!$I:$I,0))&amp;"_ser_0.20_"&amp;TEXT(INDEX(MASTER!$E:$E,MATCH(_xlpm.pos,MASTER!$I:$I,0)),"mmddyy"),""),_xlpm.slot,576+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73" s="4" t="str">
        <f>_xlfn.LET(_xlpm.pos,"NIH plate 7: "&amp;$A7&amp;J$2,_xlpm.normal,IFERROR(INDEX(MASTER!$A:$A,MATCH(_xlpm.pos,MASTER!$I:$I,0))&amp;"_ser_0.20_"&amp;TEXT(INDEX(MASTER!$E:$E,MATCH(_xlpm.pos,MASTER!$I:$I,0)),"mmddyy"),""),_xlpm.slot,576+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73" s="4" t="str">
        <f>_xlfn.LET(_xlpm.pos,"NIH plate 7: "&amp;$A7&amp;K$2,_xlpm.normal,IFERROR(INDEX(MASTER!$A:$A,MATCH(_xlpm.pos,MASTER!$I:$I,0))&amp;"_ser_0.20_"&amp;TEXT(INDEX(MASTER!$E:$E,MATCH(_xlpm.pos,MASTER!$I:$I,0)),"mmddyy"),""),_xlpm.slot,576+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73" s="4" t="str">
        <f>_xlfn.LET(_xlpm.pos,"NIH plate 7: "&amp;$A7&amp;L$2,_xlpm.normal,IFERROR(INDEX(MASTER!$A:$A,MATCH(_xlpm.pos,MASTER!$I:$I,0))&amp;"_ser_0.20_"&amp;TEXT(INDEX(MASTER!$E:$E,MATCH(_xlpm.pos,MASTER!$I:$I,0)),"mmddyy"),""),_xlpm.slot,576+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73" s="4" t="str">
        <f>_xlfn.LET(_xlpm.pos,"NIH plate 7: "&amp;$A7&amp;M$2,_xlpm.normal,IFERROR(INDEX(MASTER!$A:$A,MATCH(_xlpm.pos,MASTER!$I:$I,0))&amp;"_ser_0.20_"&amp;TEXT(INDEX(MASTER!$E:$E,MATCH(_xlpm.pos,MASTER!$I:$I,0)),"mmddyy"),""),_xlpm.slot,576+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74" spans="1:13" ht="22" customHeight="1" x14ac:dyDescent="0.35">
      <c r="A74" s="6" t="s">
        <v>15</v>
      </c>
      <c r="B74" s="4" t="str">
        <f>_xlfn.LET(_xlpm.pos,"NIH plate 7: "&amp;$A8&amp;B$2,_xlpm.normal,IFERROR(INDEX(MASTER!$A:$A,MATCH(_xlpm.pos,MASTER!$I:$I,0))&amp;"_ser_0.20_"&amp;TEXT(INDEX(MASTER!$E:$E,MATCH(_xlpm.pos,MASTER!$I:$I,0)),"mmddyy"),""),_xlpm.slot,576+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74" s="4" t="str">
        <f>_xlfn.LET(_xlpm.pos,"NIH plate 7: "&amp;$A8&amp;C$2,_xlpm.normal,IFERROR(INDEX(MASTER!$A:$A,MATCH(_xlpm.pos,MASTER!$I:$I,0))&amp;"_ser_0.20_"&amp;TEXT(INDEX(MASTER!$E:$E,MATCH(_xlpm.pos,MASTER!$I:$I,0)),"mmddyy"),""),_xlpm.slot,576+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74" s="4" t="str">
        <f>_xlfn.LET(_xlpm.pos,"NIH plate 7: "&amp;$A8&amp;D$2,_xlpm.normal,IFERROR(INDEX(MASTER!$A:$A,MATCH(_xlpm.pos,MASTER!$I:$I,0))&amp;"_ser_0.20_"&amp;TEXT(INDEX(MASTER!$E:$E,MATCH(_xlpm.pos,MASTER!$I:$I,0)),"mmddyy"),""),_xlpm.slot,576+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74" s="4" t="str">
        <f>_xlfn.LET(_xlpm.pos,"NIH plate 7: "&amp;$A8&amp;E$2,_xlpm.normal,IFERROR(INDEX(MASTER!$A:$A,MATCH(_xlpm.pos,MASTER!$I:$I,0))&amp;"_ser_0.20_"&amp;TEXT(INDEX(MASTER!$E:$E,MATCH(_xlpm.pos,MASTER!$I:$I,0)),"mmddyy"),""),_xlpm.slot,576+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74" s="4" t="str">
        <f>_xlfn.LET(_xlpm.pos,"NIH plate 7: "&amp;$A8&amp;F$2,_xlpm.normal,IFERROR(INDEX(MASTER!$A:$A,MATCH(_xlpm.pos,MASTER!$I:$I,0))&amp;"_ser_0.20_"&amp;TEXT(INDEX(MASTER!$E:$E,MATCH(_xlpm.pos,MASTER!$I:$I,0)),"mmddyy"),""),_xlpm.slot,576+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74" s="4" t="str">
        <f>_xlfn.LET(_xlpm.pos,"NIH plate 7: "&amp;$A8&amp;G$2,_xlpm.normal,IFERROR(INDEX(MASTER!$A:$A,MATCH(_xlpm.pos,MASTER!$I:$I,0))&amp;"_ser_0.20_"&amp;TEXT(INDEX(MASTER!$E:$E,MATCH(_xlpm.pos,MASTER!$I:$I,0)),"mmddyy"),""),_xlpm.slot,576+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74" s="4" t="str">
        <f>_xlfn.LET(_xlpm.pos,"NIH plate 7: "&amp;$A8&amp;H$2,_xlpm.normal,IFERROR(INDEX(MASTER!$A:$A,MATCH(_xlpm.pos,MASTER!$I:$I,0))&amp;"_ser_0.20_"&amp;TEXT(INDEX(MASTER!$E:$E,MATCH(_xlpm.pos,MASTER!$I:$I,0)),"mmddyy"),""),_xlpm.slot,576+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74" s="4" t="str">
        <f>_xlfn.LET(_xlpm.pos,"NIH plate 7: "&amp;$A8&amp;I$2,_xlpm.normal,IFERROR(INDEX(MASTER!$A:$A,MATCH(_xlpm.pos,MASTER!$I:$I,0))&amp;"_ser_0.20_"&amp;TEXT(INDEX(MASTER!$E:$E,MATCH(_xlpm.pos,MASTER!$I:$I,0)),"mmddyy"),""),_xlpm.slot,576+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74" s="4" t="str">
        <f>_xlfn.LET(_xlpm.pos,"NIH plate 7: "&amp;$A8&amp;J$2,_xlpm.normal,IFERROR(INDEX(MASTER!$A:$A,MATCH(_xlpm.pos,MASTER!$I:$I,0))&amp;"_ser_0.20_"&amp;TEXT(INDEX(MASTER!$E:$E,MATCH(_xlpm.pos,MASTER!$I:$I,0)),"mmddyy"),""),_xlpm.slot,576+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74" s="4" t="str">
        <f>_xlfn.LET(_xlpm.pos,"NIH plate 7: "&amp;$A8&amp;K$2,_xlpm.normal,IFERROR(INDEX(MASTER!$A:$A,MATCH(_xlpm.pos,MASTER!$I:$I,0))&amp;"_ser_0.20_"&amp;TEXT(INDEX(MASTER!$E:$E,MATCH(_xlpm.pos,MASTER!$I:$I,0)),"mmddyy"),""),_xlpm.slot,576+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74" s="4" t="str">
        <f>_xlfn.LET(_xlpm.pos,"NIH plate 7: "&amp;$A8&amp;L$2,_xlpm.normal,IFERROR(INDEX(MASTER!$A:$A,MATCH(_xlpm.pos,MASTER!$I:$I,0))&amp;"_ser_0.20_"&amp;TEXT(INDEX(MASTER!$E:$E,MATCH(_xlpm.pos,MASTER!$I:$I,0)),"mmddyy"),""),_xlpm.slot,576+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74" s="4" t="str">
        <f>_xlfn.LET(_xlpm.pos,"NIH plate 7: "&amp;$A8&amp;M$2,_xlpm.normal,IFERROR(INDEX(MASTER!$A:$A,MATCH(_xlpm.pos,MASTER!$I:$I,0))&amp;"_ser_0.20_"&amp;TEXT(INDEX(MASTER!$E:$E,MATCH(_xlpm.pos,MASTER!$I:$I,0)),"mmddyy"),""),_xlpm.slot,576+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75" spans="1:13" ht="22" customHeight="1" x14ac:dyDescent="0.35">
      <c r="A75" s="6" t="s">
        <v>35</v>
      </c>
      <c r="B75" s="4" t="str">
        <f>_xlfn.LET(_xlpm.pos,"NIH plate 7: "&amp;$A9&amp;B$2,_xlpm.normal,IFERROR(INDEX(MASTER!$A:$A,MATCH(_xlpm.pos,MASTER!$I:$I,0))&amp;"_ser_0.20_"&amp;TEXT(INDEX(MASTER!$E:$E,MATCH(_xlpm.pos,MASTER!$I:$I,0)),"mmddyy"),""),_xlpm.slot,576+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75" s="4" t="str">
        <f>_xlfn.LET(_xlpm.pos,"NIH plate 7: "&amp;$A9&amp;C$2,_xlpm.normal,IFERROR(INDEX(MASTER!$A:$A,MATCH(_xlpm.pos,MASTER!$I:$I,0))&amp;"_ser_0.20_"&amp;TEXT(INDEX(MASTER!$E:$E,MATCH(_xlpm.pos,MASTER!$I:$I,0)),"mmddyy"),""),_xlpm.slot,576+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75" s="4" t="str">
        <f>_xlfn.LET(_xlpm.pos,"NIH plate 7: "&amp;$A9&amp;D$2,_xlpm.normal,IFERROR(INDEX(MASTER!$A:$A,MATCH(_xlpm.pos,MASTER!$I:$I,0))&amp;"_ser_0.20_"&amp;TEXT(INDEX(MASTER!$E:$E,MATCH(_xlpm.pos,MASTER!$I:$I,0)),"mmddyy"),""),_xlpm.slot,576+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75" s="4" t="str">
        <f>_xlfn.LET(_xlpm.pos,"NIH plate 7: "&amp;$A9&amp;E$2,_xlpm.normal,IFERROR(INDEX(MASTER!$A:$A,MATCH(_xlpm.pos,MASTER!$I:$I,0))&amp;"_ser_0.20_"&amp;TEXT(INDEX(MASTER!$E:$E,MATCH(_xlpm.pos,MASTER!$I:$I,0)),"mmddyy"),""),_xlpm.slot,576+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75" s="4" t="str">
        <f>_xlfn.LET(_xlpm.pos,"NIH plate 7: "&amp;$A9&amp;F$2,_xlpm.normal,IFERROR(INDEX(MASTER!$A:$A,MATCH(_xlpm.pos,MASTER!$I:$I,0))&amp;"_ser_0.20_"&amp;TEXT(INDEX(MASTER!$E:$E,MATCH(_xlpm.pos,MASTER!$I:$I,0)),"mmddyy"),""),_xlpm.slot,576+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75" s="4" t="str">
        <f>_xlfn.LET(_xlpm.pos,"NIH plate 7: "&amp;$A9&amp;G$2,_xlpm.normal,IFERROR(INDEX(MASTER!$A:$A,MATCH(_xlpm.pos,MASTER!$I:$I,0))&amp;"_ser_0.20_"&amp;TEXT(INDEX(MASTER!$E:$E,MATCH(_xlpm.pos,MASTER!$I:$I,0)),"mmddyy"),""),_xlpm.slot,576+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75" s="4" t="str">
        <f>_xlfn.LET(_xlpm.pos,"NIH plate 7: "&amp;$A9&amp;H$2,_xlpm.normal,IFERROR(INDEX(MASTER!$A:$A,MATCH(_xlpm.pos,MASTER!$I:$I,0))&amp;"_ser_0.20_"&amp;TEXT(INDEX(MASTER!$E:$E,MATCH(_xlpm.pos,MASTER!$I:$I,0)),"mmddyy"),""),_xlpm.slot,576+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75" s="4" t="str">
        <f>_xlfn.LET(_xlpm.pos,"NIH plate 7: "&amp;$A9&amp;I$2,_xlpm.normal,IFERROR(INDEX(MASTER!$A:$A,MATCH(_xlpm.pos,MASTER!$I:$I,0))&amp;"_ser_0.20_"&amp;TEXT(INDEX(MASTER!$E:$E,MATCH(_xlpm.pos,MASTER!$I:$I,0)),"mmddyy"),""),_xlpm.slot,576+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75" s="4" t="str">
        <f>_xlfn.LET(_xlpm.pos,"NIH plate 7: "&amp;$A9&amp;J$2,_xlpm.normal,IFERROR(INDEX(MASTER!$A:$A,MATCH(_xlpm.pos,MASTER!$I:$I,0))&amp;"_ser_0.20_"&amp;TEXT(INDEX(MASTER!$E:$E,MATCH(_xlpm.pos,MASTER!$I:$I,0)),"mmddyy"),""),_xlpm.slot,576+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75" s="4" t="str">
        <f>_xlfn.LET(_xlpm.pos,"NIH plate 7: "&amp;$A9&amp;K$2,_xlpm.normal,IFERROR(INDEX(MASTER!$A:$A,MATCH(_xlpm.pos,MASTER!$I:$I,0))&amp;"_ser_0.20_"&amp;TEXT(INDEX(MASTER!$E:$E,MATCH(_xlpm.pos,MASTER!$I:$I,0)),"mmddyy"),""),_xlpm.slot,576+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75" s="4" t="str">
        <f>_xlfn.LET(_xlpm.pos,"NIH plate 7: "&amp;$A9&amp;L$2,_xlpm.normal,IFERROR(INDEX(MASTER!$A:$A,MATCH(_xlpm.pos,MASTER!$I:$I,0))&amp;"_ser_0.20_"&amp;TEXT(INDEX(MASTER!$E:$E,MATCH(_xlpm.pos,MASTER!$I:$I,0)),"mmddyy"),""),_xlpm.slot,576+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75" s="4" t="str">
        <f>_xlfn.LET(_xlpm.pos,"NIH plate 7: "&amp;$A9&amp;M$2,_xlpm.normal,IFERROR(INDEX(MASTER!$A:$A,MATCH(_xlpm.pos,MASTER!$I:$I,0))&amp;"_ser_0.20_"&amp;TEXT(INDEX(MASTER!$E:$E,MATCH(_xlpm.pos,MASTER!$I:$I,0)),"mmddyy"),""),_xlpm.slot,576+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76" spans="1:13" ht="22" customHeight="1" x14ac:dyDescent="0.35">
      <c r="A76" s="6" t="s">
        <v>36</v>
      </c>
      <c r="B76" s="4" t="str">
        <f>_xlfn.LET(_xlpm.pos,"NIH plate 7: "&amp;$A10&amp;B$2,_xlpm.normal,IFERROR(INDEX(MASTER!$A:$A,MATCH(_xlpm.pos,MASTER!$I:$I,0))&amp;"_ser_0.20_"&amp;TEXT(INDEX(MASTER!$E:$E,MATCH(_xlpm.pos,MASTER!$I:$I,0)),"mmddyy"),""),_xlpm.slot,576+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76" s="4" t="str">
        <f>_xlfn.LET(_xlpm.pos,"NIH plate 7: "&amp;$A10&amp;C$2,_xlpm.normal,IFERROR(INDEX(MASTER!$A:$A,MATCH(_xlpm.pos,MASTER!$I:$I,0))&amp;"_ser_0.20_"&amp;TEXT(INDEX(MASTER!$E:$E,MATCH(_xlpm.pos,MASTER!$I:$I,0)),"mmddyy"),""),_xlpm.slot,576+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76" s="4" t="str">
        <f>_xlfn.LET(_xlpm.pos,"NIH plate 7: "&amp;$A10&amp;D$2,_xlpm.normal,IFERROR(INDEX(MASTER!$A:$A,MATCH(_xlpm.pos,MASTER!$I:$I,0))&amp;"_ser_0.20_"&amp;TEXT(INDEX(MASTER!$E:$E,MATCH(_xlpm.pos,MASTER!$I:$I,0)),"mmddyy"),""),_xlpm.slot,576+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76" s="4" t="str">
        <f>_xlfn.LET(_xlpm.pos,"NIH plate 7: "&amp;$A10&amp;E$2,_xlpm.normal,IFERROR(INDEX(MASTER!$A:$A,MATCH(_xlpm.pos,MASTER!$I:$I,0))&amp;"_ser_0.20_"&amp;TEXT(INDEX(MASTER!$E:$E,MATCH(_xlpm.pos,MASTER!$I:$I,0)),"mmddyy"),""),_xlpm.slot,576+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76" s="4" t="str">
        <f>_xlfn.LET(_xlpm.pos,"NIH plate 7: "&amp;$A10&amp;F$2,_xlpm.normal,IFERROR(INDEX(MASTER!$A:$A,MATCH(_xlpm.pos,MASTER!$I:$I,0))&amp;"_ser_0.20_"&amp;TEXT(INDEX(MASTER!$E:$E,MATCH(_xlpm.pos,MASTER!$I:$I,0)),"mmddyy"),""),_xlpm.slot,576+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76" s="4" t="str">
        <f>_xlfn.LET(_xlpm.pos,"NIH plate 7: "&amp;$A10&amp;G$2,_xlpm.normal,IFERROR(INDEX(MASTER!$A:$A,MATCH(_xlpm.pos,MASTER!$I:$I,0))&amp;"_ser_0.20_"&amp;TEXT(INDEX(MASTER!$E:$E,MATCH(_xlpm.pos,MASTER!$I:$I,0)),"mmddyy"),""),_xlpm.slot,576+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76" s="4" t="str">
        <f>_xlfn.LET(_xlpm.pos,"NIH plate 7: "&amp;$A10&amp;H$2,_xlpm.normal,IFERROR(INDEX(MASTER!$A:$A,MATCH(_xlpm.pos,MASTER!$I:$I,0))&amp;"_ser_0.20_"&amp;TEXT(INDEX(MASTER!$E:$E,MATCH(_xlpm.pos,MASTER!$I:$I,0)),"mmddyy"),""),_xlpm.slot,576+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76" s="4" t="str">
        <f>_xlfn.LET(_xlpm.pos,"NIH plate 7: "&amp;$A10&amp;I$2,_xlpm.normal,IFERROR(INDEX(MASTER!$A:$A,MATCH(_xlpm.pos,MASTER!$I:$I,0))&amp;"_ser_0.20_"&amp;TEXT(INDEX(MASTER!$E:$E,MATCH(_xlpm.pos,MASTER!$I:$I,0)),"mmddyy"),""),_xlpm.slot,576+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76" s="4" t="str">
        <f>_xlfn.LET(_xlpm.pos,"NIH plate 7: "&amp;$A10&amp;J$2,_xlpm.normal,IFERROR(INDEX(MASTER!$A:$A,MATCH(_xlpm.pos,MASTER!$I:$I,0))&amp;"_ser_0.20_"&amp;TEXT(INDEX(MASTER!$E:$E,MATCH(_xlpm.pos,MASTER!$I:$I,0)),"mmddyy"),""),_xlpm.slot,576+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76" s="4" t="str">
        <f>_xlfn.LET(_xlpm.pos,"NIH plate 7: "&amp;$A10&amp;K$2,_xlpm.normal,IFERROR(INDEX(MASTER!$A:$A,MATCH(_xlpm.pos,MASTER!$I:$I,0))&amp;"_ser_0.20_"&amp;TEXT(INDEX(MASTER!$E:$E,MATCH(_xlpm.pos,MASTER!$I:$I,0)),"mmddyy"),""),_xlpm.slot,576+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76" s="4" t="str">
        <f>_xlfn.LET(_xlpm.pos,"NIH plate 7: "&amp;$A10&amp;L$2,_xlpm.normal,IFERROR(INDEX(MASTER!$A:$A,MATCH(_xlpm.pos,MASTER!$I:$I,0))&amp;"_ser_0.20_"&amp;TEXT(INDEX(MASTER!$E:$E,MATCH(_xlpm.pos,MASTER!$I:$I,0)),"mmddyy"),""),_xlpm.slot,576+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76" s="4" t="str">
        <f>_xlfn.LET(_xlpm.pos,"NIH plate 7: "&amp;$A10&amp;M$2,_xlpm.normal,IFERROR(INDEX(MASTER!$A:$A,MATCH(_xlpm.pos,MASTER!$I:$I,0))&amp;"_ser_0.20_"&amp;TEXT(INDEX(MASTER!$E:$E,MATCH(_xlpm.pos,MASTER!$I:$I,0)),"mmddyy"),""),_xlpm.slot,576+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77" spans="1:13" ht="22" customHeight="1" x14ac:dyDescent="0.3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 ht="22" customHeight="1" x14ac:dyDescent="0.35">
      <c r="A78" s="7"/>
      <c r="B78" s="31" t="s">
        <v>64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3"/>
    </row>
    <row r="79" spans="1:13" ht="22" customHeight="1" x14ac:dyDescent="0.35">
      <c r="A79" s="7"/>
      <c r="B79" s="6">
        <v>1</v>
      </c>
      <c r="C79" s="6">
        <v>2</v>
      </c>
      <c r="D79" s="6">
        <v>3</v>
      </c>
      <c r="E79" s="6">
        <v>4</v>
      </c>
      <c r="F79" s="6">
        <v>5</v>
      </c>
      <c r="G79" s="6">
        <v>6</v>
      </c>
      <c r="H79" s="6">
        <v>7</v>
      </c>
      <c r="I79" s="6">
        <v>8</v>
      </c>
      <c r="J79" s="6">
        <v>9</v>
      </c>
      <c r="K79" s="6">
        <v>10</v>
      </c>
      <c r="L79" s="6">
        <v>11</v>
      </c>
      <c r="M79" s="6">
        <v>12</v>
      </c>
    </row>
    <row r="80" spans="1:13" ht="22" customHeight="1" x14ac:dyDescent="0.35">
      <c r="A80" s="6" t="s">
        <v>30</v>
      </c>
      <c r="B80" s="4" t="str">
        <f>_xlfn.LET(_xlpm.pos,"NIH plate 8: "&amp;$A3&amp;B$2,_xlpm.normal,IFERROR(INDEX(MASTER!$A:$A,MATCH(_xlpm.pos,MASTER!$I:$I,0))&amp;"_ser_0.20_"&amp;TEXT(INDEX(MASTER!$E:$E,MATCH(_xlpm.pos,MASTER!$I:$I,0)),"mmddyy"),""),_xlpm.slot,672+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80" s="4" t="str">
        <f>_xlfn.LET(_xlpm.pos,"NIH plate 8: "&amp;$A3&amp;C$2,_xlpm.normal,IFERROR(INDEX(MASTER!$A:$A,MATCH(_xlpm.pos,MASTER!$I:$I,0))&amp;"_ser_0.20_"&amp;TEXT(INDEX(MASTER!$E:$E,MATCH(_xlpm.pos,MASTER!$I:$I,0)),"mmddyy"),""),_xlpm.slot,672+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80" s="4" t="str">
        <f>_xlfn.LET(_xlpm.pos,"NIH plate 8: "&amp;$A3&amp;D$2,_xlpm.normal,IFERROR(INDEX(MASTER!$A:$A,MATCH(_xlpm.pos,MASTER!$I:$I,0))&amp;"_ser_0.20_"&amp;TEXT(INDEX(MASTER!$E:$E,MATCH(_xlpm.pos,MASTER!$I:$I,0)),"mmddyy"),""),_xlpm.slot,672+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80" s="4" t="str">
        <f>_xlfn.LET(_xlpm.pos,"NIH plate 8: "&amp;$A3&amp;E$2,_xlpm.normal,IFERROR(INDEX(MASTER!$A:$A,MATCH(_xlpm.pos,MASTER!$I:$I,0))&amp;"_ser_0.20_"&amp;TEXT(INDEX(MASTER!$E:$E,MATCH(_xlpm.pos,MASTER!$I:$I,0)),"mmddyy"),""),_xlpm.slot,672+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80" s="4" t="str">
        <f>_xlfn.LET(_xlpm.pos,"NIH plate 8: "&amp;$A3&amp;F$2,_xlpm.normal,IFERROR(INDEX(MASTER!$A:$A,MATCH(_xlpm.pos,MASTER!$I:$I,0))&amp;"_ser_0.20_"&amp;TEXT(INDEX(MASTER!$E:$E,MATCH(_xlpm.pos,MASTER!$I:$I,0)),"mmddyy"),""),_xlpm.slot,672+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80" s="4" t="str">
        <f>_xlfn.LET(_xlpm.pos,"NIH plate 8: "&amp;$A3&amp;G$2,_xlpm.normal,IFERROR(INDEX(MASTER!$A:$A,MATCH(_xlpm.pos,MASTER!$I:$I,0))&amp;"_ser_0.20_"&amp;TEXT(INDEX(MASTER!$E:$E,MATCH(_xlpm.pos,MASTER!$I:$I,0)),"mmddyy"),""),_xlpm.slot,672+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80" s="4" t="str">
        <f>_xlfn.LET(_xlpm.pos,"NIH plate 8: "&amp;$A3&amp;H$2,_xlpm.normal,IFERROR(INDEX(MASTER!$A:$A,MATCH(_xlpm.pos,MASTER!$I:$I,0))&amp;"_ser_0.20_"&amp;TEXT(INDEX(MASTER!$E:$E,MATCH(_xlpm.pos,MASTER!$I:$I,0)),"mmddyy"),""),_xlpm.slot,672+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80" s="4" t="str">
        <f>_xlfn.LET(_xlpm.pos,"NIH plate 8: "&amp;$A3&amp;I$2,_xlpm.normal,IFERROR(INDEX(MASTER!$A:$A,MATCH(_xlpm.pos,MASTER!$I:$I,0))&amp;"_ser_0.20_"&amp;TEXT(INDEX(MASTER!$E:$E,MATCH(_xlpm.pos,MASTER!$I:$I,0)),"mmddyy"),""),_xlpm.slot,672+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80" s="4" t="str">
        <f>_xlfn.LET(_xlpm.pos,"NIH plate 8: "&amp;$A3&amp;J$2,_xlpm.normal,IFERROR(INDEX(MASTER!$A:$A,MATCH(_xlpm.pos,MASTER!$I:$I,0))&amp;"_ser_0.20_"&amp;TEXT(INDEX(MASTER!$E:$E,MATCH(_xlpm.pos,MASTER!$I:$I,0)),"mmddyy"),""),_xlpm.slot,672+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80" s="4" t="str">
        <f>_xlfn.LET(_xlpm.pos,"NIH plate 8: "&amp;$A3&amp;K$2,_xlpm.normal,IFERROR(INDEX(MASTER!$A:$A,MATCH(_xlpm.pos,MASTER!$I:$I,0))&amp;"_ser_0.20_"&amp;TEXT(INDEX(MASTER!$E:$E,MATCH(_xlpm.pos,MASTER!$I:$I,0)),"mmddyy"),""),_xlpm.slot,672+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80" s="4" t="str">
        <f>_xlfn.LET(_xlpm.pos,"NIH plate 8: "&amp;$A3&amp;L$2,_xlpm.normal,IFERROR(INDEX(MASTER!$A:$A,MATCH(_xlpm.pos,MASTER!$I:$I,0))&amp;"_ser_0.20_"&amp;TEXT(INDEX(MASTER!$E:$E,MATCH(_xlpm.pos,MASTER!$I:$I,0)),"mmddyy"),""),_xlpm.slot,672+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80" s="4" t="str">
        <f>_xlfn.LET(_xlpm.pos,"NIH plate 8: "&amp;$A3&amp;M$2,_xlpm.normal,IFERROR(INDEX(MASTER!$A:$A,MATCH(_xlpm.pos,MASTER!$I:$I,0))&amp;"_ser_0.20_"&amp;TEXT(INDEX(MASTER!$E:$E,MATCH(_xlpm.pos,MASTER!$I:$I,0)),"mmddyy"),""),_xlpm.slot,672+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81" spans="1:13" ht="22" customHeight="1" x14ac:dyDescent="0.35">
      <c r="A81" s="6" t="s">
        <v>31</v>
      </c>
      <c r="B81" s="4" t="str">
        <f>_xlfn.LET(_xlpm.pos,"NIH plate 8: "&amp;$A4&amp;B$2,_xlpm.normal,IFERROR(INDEX(MASTER!$A:$A,MATCH(_xlpm.pos,MASTER!$I:$I,0))&amp;"_ser_0.20_"&amp;TEXT(INDEX(MASTER!$E:$E,MATCH(_xlpm.pos,MASTER!$I:$I,0)),"mmddyy"),""),_xlpm.slot,672+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81" s="4" t="str">
        <f>_xlfn.LET(_xlpm.pos,"NIH plate 8: "&amp;$A4&amp;C$2,_xlpm.normal,IFERROR(INDEX(MASTER!$A:$A,MATCH(_xlpm.pos,MASTER!$I:$I,0))&amp;"_ser_0.20_"&amp;TEXT(INDEX(MASTER!$E:$E,MATCH(_xlpm.pos,MASTER!$I:$I,0)),"mmddyy"),""),_xlpm.slot,672+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81" s="4" t="str">
        <f>_xlfn.LET(_xlpm.pos,"NIH plate 8: "&amp;$A4&amp;D$2,_xlpm.normal,IFERROR(INDEX(MASTER!$A:$A,MATCH(_xlpm.pos,MASTER!$I:$I,0))&amp;"_ser_0.20_"&amp;TEXT(INDEX(MASTER!$E:$E,MATCH(_xlpm.pos,MASTER!$I:$I,0)),"mmddyy"),""),_xlpm.slot,672+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81" s="4" t="str">
        <f>_xlfn.LET(_xlpm.pos,"NIH plate 8: "&amp;$A4&amp;E$2,_xlpm.normal,IFERROR(INDEX(MASTER!$A:$A,MATCH(_xlpm.pos,MASTER!$I:$I,0))&amp;"_ser_0.20_"&amp;TEXT(INDEX(MASTER!$E:$E,MATCH(_xlpm.pos,MASTER!$I:$I,0)),"mmddyy"),""),_xlpm.slot,672+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81" s="4" t="str">
        <f>_xlfn.LET(_xlpm.pos,"NIH plate 8: "&amp;$A4&amp;F$2,_xlpm.normal,IFERROR(INDEX(MASTER!$A:$A,MATCH(_xlpm.pos,MASTER!$I:$I,0))&amp;"_ser_0.20_"&amp;TEXT(INDEX(MASTER!$E:$E,MATCH(_xlpm.pos,MASTER!$I:$I,0)),"mmddyy"),""),_xlpm.slot,672+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81" s="4" t="str">
        <f>_xlfn.LET(_xlpm.pos,"NIH plate 8: "&amp;$A4&amp;G$2,_xlpm.normal,IFERROR(INDEX(MASTER!$A:$A,MATCH(_xlpm.pos,MASTER!$I:$I,0))&amp;"_ser_0.20_"&amp;TEXT(INDEX(MASTER!$E:$E,MATCH(_xlpm.pos,MASTER!$I:$I,0)),"mmddyy"),""),_xlpm.slot,672+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81" s="4" t="str">
        <f>_xlfn.LET(_xlpm.pos,"NIH plate 8: "&amp;$A4&amp;H$2,_xlpm.normal,IFERROR(INDEX(MASTER!$A:$A,MATCH(_xlpm.pos,MASTER!$I:$I,0))&amp;"_ser_0.20_"&amp;TEXT(INDEX(MASTER!$E:$E,MATCH(_xlpm.pos,MASTER!$I:$I,0)),"mmddyy"),""),_xlpm.slot,672+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81" s="4" t="str">
        <f>_xlfn.LET(_xlpm.pos,"NIH plate 8: "&amp;$A4&amp;I$2,_xlpm.normal,IFERROR(INDEX(MASTER!$A:$A,MATCH(_xlpm.pos,MASTER!$I:$I,0))&amp;"_ser_0.20_"&amp;TEXT(INDEX(MASTER!$E:$E,MATCH(_xlpm.pos,MASTER!$I:$I,0)),"mmddyy"),""),_xlpm.slot,672+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81" s="4" t="str">
        <f>_xlfn.LET(_xlpm.pos,"NIH plate 8: "&amp;$A4&amp;J$2,_xlpm.normal,IFERROR(INDEX(MASTER!$A:$A,MATCH(_xlpm.pos,MASTER!$I:$I,0))&amp;"_ser_0.20_"&amp;TEXT(INDEX(MASTER!$E:$E,MATCH(_xlpm.pos,MASTER!$I:$I,0)),"mmddyy"),""),_xlpm.slot,672+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81" s="4" t="str">
        <f>_xlfn.LET(_xlpm.pos,"NIH plate 8: "&amp;$A4&amp;K$2,_xlpm.normal,IFERROR(INDEX(MASTER!$A:$A,MATCH(_xlpm.pos,MASTER!$I:$I,0))&amp;"_ser_0.20_"&amp;TEXT(INDEX(MASTER!$E:$E,MATCH(_xlpm.pos,MASTER!$I:$I,0)),"mmddyy"),""),_xlpm.slot,672+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81" s="4" t="str">
        <f>_xlfn.LET(_xlpm.pos,"NIH plate 8: "&amp;$A4&amp;L$2,_xlpm.normal,IFERROR(INDEX(MASTER!$A:$A,MATCH(_xlpm.pos,MASTER!$I:$I,0))&amp;"_ser_0.20_"&amp;TEXT(INDEX(MASTER!$E:$E,MATCH(_xlpm.pos,MASTER!$I:$I,0)),"mmddyy"),""),_xlpm.slot,672+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81" s="4" t="str">
        <f>_xlfn.LET(_xlpm.pos,"NIH plate 8: "&amp;$A4&amp;M$2,_xlpm.normal,IFERROR(INDEX(MASTER!$A:$A,MATCH(_xlpm.pos,MASTER!$I:$I,0))&amp;"_ser_0.20_"&amp;TEXT(INDEX(MASTER!$E:$E,MATCH(_xlpm.pos,MASTER!$I:$I,0)),"mmddyy"),""),_xlpm.slot,672+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82" spans="1:13" ht="22" customHeight="1" x14ac:dyDescent="0.35">
      <c r="A82" s="6" t="s">
        <v>32</v>
      </c>
      <c r="B82" s="4" t="str">
        <f>_xlfn.LET(_xlpm.pos,"NIH plate 8: "&amp;$A5&amp;B$2,_xlpm.normal,IFERROR(INDEX(MASTER!$A:$A,MATCH(_xlpm.pos,MASTER!$I:$I,0))&amp;"_ser_0.20_"&amp;TEXT(INDEX(MASTER!$E:$E,MATCH(_xlpm.pos,MASTER!$I:$I,0)),"mmddyy"),""),_xlpm.slot,672+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82" s="4" t="str">
        <f>_xlfn.LET(_xlpm.pos,"NIH plate 8: "&amp;$A5&amp;C$2,_xlpm.normal,IFERROR(INDEX(MASTER!$A:$A,MATCH(_xlpm.pos,MASTER!$I:$I,0))&amp;"_ser_0.20_"&amp;TEXT(INDEX(MASTER!$E:$E,MATCH(_xlpm.pos,MASTER!$I:$I,0)),"mmddyy"),""),_xlpm.slot,672+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82" s="4" t="str">
        <f>_xlfn.LET(_xlpm.pos,"NIH plate 8: "&amp;$A5&amp;D$2,_xlpm.normal,IFERROR(INDEX(MASTER!$A:$A,MATCH(_xlpm.pos,MASTER!$I:$I,0))&amp;"_ser_0.20_"&amp;TEXT(INDEX(MASTER!$E:$E,MATCH(_xlpm.pos,MASTER!$I:$I,0)),"mmddyy"),""),_xlpm.slot,672+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82" s="4" t="str">
        <f>_xlfn.LET(_xlpm.pos,"NIH plate 8: "&amp;$A5&amp;E$2,_xlpm.normal,IFERROR(INDEX(MASTER!$A:$A,MATCH(_xlpm.pos,MASTER!$I:$I,0))&amp;"_ser_0.20_"&amp;TEXT(INDEX(MASTER!$E:$E,MATCH(_xlpm.pos,MASTER!$I:$I,0)),"mmddyy"),""),_xlpm.slot,672+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82" s="4" t="str">
        <f>_xlfn.LET(_xlpm.pos,"NIH plate 8: "&amp;$A5&amp;F$2,_xlpm.normal,IFERROR(INDEX(MASTER!$A:$A,MATCH(_xlpm.pos,MASTER!$I:$I,0))&amp;"_ser_0.20_"&amp;TEXT(INDEX(MASTER!$E:$E,MATCH(_xlpm.pos,MASTER!$I:$I,0)),"mmddyy"),""),_xlpm.slot,672+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82" s="4" t="str">
        <f>_xlfn.LET(_xlpm.pos,"NIH plate 8: "&amp;$A5&amp;G$2,_xlpm.normal,IFERROR(INDEX(MASTER!$A:$A,MATCH(_xlpm.pos,MASTER!$I:$I,0))&amp;"_ser_0.20_"&amp;TEXT(INDEX(MASTER!$E:$E,MATCH(_xlpm.pos,MASTER!$I:$I,0)),"mmddyy"),""),_xlpm.slot,672+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82" s="4" t="str">
        <f>_xlfn.LET(_xlpm.pos,"NIH plate 8: "&amp;$A5&amp;H$2,_xlpm.normal,IFERROR(INDEX(MASTER!$A:$A,MATCH(_xlpm.pos,MASTER!$I:$I,0))&amp;"_ser_0.20_"&amp;TEXT(INDEX(MASTER!$E:$E,MATCH(_xlpm.pos,MASTER!$I:$I,0)),"mmddyy"),""),_xlpm.slot,672+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82" s="4" t="str">
        <f>_xlfn.LET(_xlpm.pos,"NIH plate 8: "&amp;$A5&amp;I$2,_xlpm.normal,IFERROR(INDEX(MASTER!$A:$A,MATCH(_xlpm.pos,MASTER!$I:$I,0))&amp;"_ser_0.20_"&amp;TEXT(INDEX(MASTER!$E:$E,MATCH(_xlpm.pos,MASTER!$I:$I,0)),"mmddyy"),""),_xlpm.slot,672+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82" s="4" t="str">
        <f>_xlfn.LET(_xlpm.pos,"NIH plate 8: "&amp;$A5&amp;J$2,_xlpm.normal,IFERROR(INDEX(MASTER!$A:$A,MATCH(_xlpm.pos,MASTER!$I:$I,0))&amp;"_ser_0.20_"&amp;TEXT(INDEX(MASTER!$E:$E,MATCH(_xlpm.pos,MASTER!$I:$I,0)),"mmddyy"),""),_xlpm.slot,672+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82" s="4" t="str">
        <f>_xlfn.LET(_xlpm.pos,"NIH plate 8: "&amp;$A5&amp;K$2,_xlpm.normal,IFERROR(INDEX(MASTER!$A:$A,MATCH(_xlpm.pos,MASTER!$I:$I,0))&amp;"_ser_0.20_"&amp;TEXT(INDEX(MASTER!$E:$E,MATCH(_xlpm.pos,MASTER!$I:$I,0)),"mmddyy"),""),_xlpm.slot,672+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82" s="4" t="str">
        <f>_xlfn.LET(_xlpm.pos,"NIH plate 8: "&amp;$A5&amp;L$2,_xlpm.normal,IFERROR(INDEX(MASTER!$A:$A,MATCH(_xlpm.pos,MASTER!$I:$I,0))&amp;"_ser_0.20_"&amp;TEXT(INDEX(MASTER!$E:$E,MATCH(_xlpm.pos,MASTER!$I:$I,0)),"mmddyy"),""),_xlpm.slot,672+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82" s="4" t="str">
        <f>_xlfn.LET(_xlpm.pos,"NIH plate 8: "&amp;$A5&amp;M$2,_xlpm.normal,IFERROR(INDEX(MASTER!$A:$A,MATCH(_xlpm.pos,MASTER!$I:$I,0))&amp;"_ser_0.20_"&amp;TEXT(INDEX(MASTER!$E:$E,MATCH(_xlpm.pos,MASTER!$I:$I,0)),"mmddyy"),""),_xlpm.slot,672+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83" spans="1:13" ht="22" customHeight="1" x14ac:dyDescent="0.35">
      <c r="A83" s="6" t="s">
        <v>33</v>
      </c>
      <c r="B83" s="4" t="str">
        <f>_xlfn.LET(_xlpm.pos,"NIH plate 8: "&amp;$A6&amp;B$2,_xlpm.normal,IFERROR(INDEX(MASTER!$A:$A,MATCH(_xlpm.pos,MASTER!$I:$I,0))&amp;"_ser_0.20_"&amp;TEXT(INDEX(MASTER!$E:$E,MATCH(_xlpm.pos,MASTER!$I:$I,0)),"mmddyy"),""),_xlpm.slot,672+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83" s="4" t="str">
        <f>_xlfn.LET(_xlpm.pos,"NIH plate 8: "&amp;$A6&amp;C$2,_xlpm.normal,IFERROR(INDEX(MASTER!$A:$A,MATCH(_xlpm.pos,MASTER!$I:$I,0))&amp;"_ser_0.20_"&amp;TEXT(INDEX(MASTER!$E:$E,MATCH(_xlpm.pos,MASTER!$I:$I,0)),"mmddyy"),""),_xlpm.slot,672+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83" s="4" t="str">
        <f>_xlfn.LET(_xlpm.pos,"NIH plate 8: "&amp;$A6&amp;D$2,_xlpm.normal,IFERROR(INDEX(MASTER!$A:$A,MATCH(_xlpm.pos,MASTER!$I:$I,0))&amp;"_ser_0.20_"&amp;TEXT(INDEX(MASTER!$E:$E,MATCH(_xlpm.pos,MASTER!$I:$I,0)),"mmddyy"),""),_xlpm.slot,672+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83" s="4" t="str">
        <f>_xlfn.LET(_xlpm.pos,"NIH plate 8: "&amp;$A6&amp;E$2,_xlpm.normal,IFERROR(INDEX(MASTER!$A:$A,MATCH(_xlpm.pos,MASTER!$I:$I,0))&amp;"_ser_0.20_"&amp;TEXT(INDEX(MASTER!$E:$E,MATCH(_xlpm.pos,MASTER!$I:$I,0)),"mmddyy"),""),_xlpm.slot,672+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83" s="4" t="str">
        <f>_xlfn.LET(_xlpm.pos,"NIH plate 8: "&amp;$A6&amp;F$2,_xlpm.normal,IFERROR(INDEX(MASTER!$A:$A,MATCH(_xlpm.pos,MASTER!$I:$I,0))&amp;"_ser_0.20_"&amp;TEXT(INDEX(MASTER!$E:$E,MATCH(_xlpm.pos,MASTER!$I:$I,0)),"mmddyy"),""),_xlpm.slot,672+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83" s="4" t="str">
        <f>_xlfn.LET(_xlpm.pos,"NIH plate 8: "&amp;$A6&amp;G$2,_xlpm.normal,IFERROR(INDEX(MASTER!$A:$A,MATCH(_xlpm.pos,MASTER!$I:$I,0))&amp;"_ser_0.20_"&amp;TEXT(INDEX(MASTER!$E:$E,MATCH(_xlpm.pos,MASTER!$I:$I,0)),"mmddyy"),""),_xlpm.slot,672+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83" s="4" t="str">
        <f>_xlfn.LET(_xlpm.pos,"NIH plate 8: "&amp;$A6&amp;H$2,_xlpm.normal,IFERROR(INDEX(MASTER!$A:$A,MATCH(_xlpm.pos,MASTER!$I:$I,0))&amp;"_ser_0.20_"&amp;TEXT(INDEX(MASTER!$E:$E,MATCH(_xlpm.pos,MASTER!$I:$I,0)),"mmddyy"),""),_xlpm.slot,672+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83" s="4" t="str">
        <f>_xlfn.LET(_xlpm.pos,"NIH plate 8: "&amp;$A6&amp;I$2,_xlpm.normal,IFERROR(INDEX(MASTER!$A:$A,MATCH(_xlpm.pos,MASTER!$I:$I,0))&amp;"_ser_0.20_"&amp;TEXT(INDEX(MASTER!$E:$E,MATCH(_xlpm.pos,MASTER!$I:$I,0)),"mmddyy"),""),_xlpm.slot,672+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83" s="4" t="str">
        <f>_xlfn.LET(_xlpm.pos,"NIH plate 8: "&amp;$A6&amp;J$2,_xlpm.normal,IFERROR(INDEX(MASTER!$A:$A,MATCH(_xlpm.pos,MASTER!$I:$I,0))&amp;"_ser_0.20_"&amp;TEXT(INDEX(MASTER!$E:$E,MATCH(_xlpm.pos,MASTER!$I:$I,0)),"mmddyy"),""),_xlpm.slot,672+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83" s="4" t="str">
        <f>_xlfn.LET(_xlpm.pos,"NIH plate 8: "&amp;$A6&amp;K$2,_xlpm.normal,IFERROR(INDEX(MASTER!$A:$A,MATCH(_xlpm.pos,MASTER!$I:$I,0))&amp;"_ser_0.20_"&amp;TEXT(INDEX(MASTER!$E:$E,MATCH(_xlpm.pos,MASTER!$I:$I,0)),"mmddyy"),""),_xlpm.slot,672+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83" s="4" t="str">
        <f>_xlfn.LET(_xlpm.pos,"NIH plate 8: "&amp;$A6&amp;L$2,_xlpm.normal,IFERROR(INDEX(MASTER!$A:$A,MATCH(_xlpm.pos,MASTER!$I:$I,0))&amp;"_ser_0.20_"&amp;TEXT(INDEX(MASTER!$E:$E,MATCH(_xlpm.pos,MASTER!$I:$I,0)),"mmddyy"),""),_xlpm.slot,672+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83" s="4" t="str">
        <f>_xlfn.LET(_xlpm.pos,"NIH plate 8: "&amp;$A6&amp;M$2,_xlpm.normal,IFERROR(INDEX(MASTER!$A:$A,MATCH(_xlpm.pos,MASTER!$I:$I,0))&amp;"_ser_0.20_"&amp;TEXT(INDEX(MASTER!$E:$E,MATCH(_xlpm.pos,MASTER!$I:$I,0)),"mmddyy"),""),_xlpm.slot,672+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84" spans="1:13" ht="22" customHeight="1" x14ac:dyDescent="0.35">
      <c r="A84" s="6" t="s">
        <v>34</v>
      </c>
      <c r="B84" s="4" t="str">
        <f>_xlfn.LET(_xlpm.pos,"NIH plate 8: "&amp;$A7&amp;B$2,_xlpm.normal,IFERROR(INDEX(MASTER!$A:$A,MATCH(_xlpm.pos,MASTER!$I:$I,0))&amp;"_ser_0.20_"&amp;TEXT(INDEX(MASTER!$E:$E,MATCH(_xlpm.pos,MASTER!$I:$I,0)),"mmddyy"),""),_xlpm.slot,672+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84" s="4" t="str">
        <f>_xlfn.LET(_xlpm.pos,"NIH plate 8: "&amp;$A7&amp;C$2,_xlpm.normal,IFERROR(INDEX(MASTER!$A:$A,MATCH(_xlpm.pos,MASTER!$I:$I,0))&amp;"_ser_0.20_"&amp;TEXT(INDEX(MASTER!$E:$E,MATCH(_xlpm.pos,MASTER!$I:$I,0)),"mmddyy"),""),_xlpm.slot,672+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84" s="4" t="str">
        <f>_xlfn.LET(_xlpm.pos,"NIH plate 8: "&amp;$A7&amp;D$2,_xlpm.normal,IFERROR(INDEX(MASTER!$A:$A,MATCH(_xlpm.pos,MASTER!$I:$I,0))&amp;"_ser_0.20_"&amp;TEXT(INDEX(MASTER!$E:$E,MATCH(_xlpm.pos,MASTER!$I:$I,0)),"mmddyy"),""),_xlpm.slot,672+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84" s="4" t="str">
        <f>_xlfn.LET(_xlpm.pos,"NIH plate 8: "&amp;$A7&amp;E$2,_xlpm.normal,IFERROR(INDEX(MASTER!$A:$A,MATCH(_xlpm.pos,MASTER!$I:$I,0))&amp;"_ser_0.20_"&amp;TEXT(INDEX(MASTER!$E:$E,MATCH(_xlpm.pos,MASTER!$I:$I,0)),"mmddyy"),""),_xlpm.slot,672+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84" s="4" t="str">
        <f>_xlfn.LET(_xlpm.pos,"NIH plate 8: "&amp;$A7&amp;F$2,_xlpm.normal,IFERROR(INDEX(MASTER!$A:$A,MATCH(_xlpm.pos,MASTER!$I:$I,0))&amp;"_ser_0.20_"&amp;TEXT(INDEX(MASTER!$E:$E,MATCH(_xlpm.pos,MASTER!$I:$I,0)),"mmddyy"),""),_xlpm.slot,672+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84" s="4" t="str">
        <f>_xlfn.LET(_xlpm.pos,"NIH plate 8: "&amp;$A7&amp;G$2,_xlpm.normal,IFERROR(INDEX(MASTER!$A:$A,MATCH(_xlpm.pos,MASTER!$I:$I,0))&amp;"_ser_0.20_"&amp;TEXT(INDEX(MASTER!$E:$E,MATCH(_xlpm.pos,MASTER!$I:$I,0)),"mmddyy"),""),_xlpm.slot,672+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84" s="4" t="str">
        <f>_xlfn.LET(_xlpm.pos,"NIH plate 8: "&amp;$A7&amp;H$2,_xlpm.normal,IFERROR(INDEX(MASTER!$A:$A,MATCH(_xlpm.pos,MASTER!$I:$I,0))&amp;"_ser_0.20_"&amp;TEXT(INDEX(MASTER!$E:$E,MATCH(_xlpm.pos,MASTER!$I:$I,0)),"mmddyy"),""),_xlpm.slot,672+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84" s="4" t="str">
        <f>_xlfn.LET(_xlpm.pos,"NIH plate 8: "&amp;$A7&amp;I$2,_xlpm.normal,IFERROR(INDEX(MASTER!$A:$A,MATCH(_xlpm.pos,MASTER!$I:$I,0))&amp;"_ser_0.20_"&amp;TEXT(INDEX(MASTER!$E:$E,MATCH(_xlpm.pos,MASTER!$I:$I,0)),"mmddyy"),""),_xlpm.slot,672+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84" s="4" t="str">
        <f>_xlfn.LET(_xlpm.pos,"NIH plate 8: "&amp;$A7&amp;J$2,_xlpm.normal,IFERROR(INDEX(MASTER!$A:$A,MATCH(_xlpm.pos,MASTER!$I:$I,0))&amp;"_ser_0.20_"&amp;TEXT(INDEX(MASTER!$E:$E,MATCH(_xlpm.pos,MASTER!$I:$I,0)),"mmddyy"),""),_xlpm.slot,672+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84" s="4" t="str">
        <f>_xlfn.LET(_xlpm.pos,"NIH plate 8: "&amp;$A7&amp;K$2,_xlpm.normal,IFERROR(INDEX(MASTER!$A:$A,MATCH(_xlpm.pos,MASTER!$I:$I,0))&amp;"_ser_0.20_"&amp;TEXT(INDEX(MASTER!$E:$E,MATCH(_xlpm.pos,MASTER!$I:$I,0)),"mmddyy"),""),_xlpm.slot,672+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84" s="4" t="str">
        <f>_xlfn.LET(_xlpm.pos,"NIH plate 8: "&amp;$A7&amp;L$2,_xlpm.normal,IFERROR(INDEX(MASTER!$A:$A,MATCH(_xlpm.pos,MASTER!$I:$I,0))&amp;"_ser_0.20_"&amp;TEXT(INDEX(MASTER!$E:$E,MATCH(_xlpm.pos,MASTER!$I:$I,0)),"mmddyy"),""),_xlpm.slot,672+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84" s="4" t="str">
        <f>_xlfn.LET(_xlpm.pos,"NIH plate 8: "&amp;$A7&amp;M$2,_xlpm.normal,IFERROR(INDEX(MASTER!$A:$A,MATCH(_xlpm.pos,MASTER!$I:$I,0))&amp;"_ser_0.20_"&amp;TEXT(INDEX(MASTER!$E:$E,MATCH(_xlpm.pos,MASTER!$I:$I,0)),"mmddyy"),""),_xlpm.slot,672+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85" spans="1:13" ht="22" customHeight="1" x14ac:dyDescent="0.35">
      <c r="A85" s="6" t="s">
        <v>15</v>
      </c>
      <c r="B85" s="4" t="str">
        <f>_xlfn.LET(_xlpm.pos,"NIH plate 8: "&amp;$A8&amp;B$2,_xlpm.normal,IFERROR(INDEX(MASTER!$A:$A,MATCH(_xlpm.pos,MASTER!$I:$I,0))&amp;"_ser_0.20_"&amp;TEXT(INDEX(MASTER!$E:$E,MATCH(_xlpm.pos,MASTER!$I:$I,0)),"mmddyy"),""),_xlpm.slot,672+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85" s="4" t="str">
        <f>_xlfn.LET(_xlpm.pos,"NIH plate 8: "&amp;$A8&amp;C$2,_xlpm.normal,IFERROR(INDEX(MASTER!$A:$A,MATCH(_xlpm.pos,MASTER!$I:$I,0))&amp;"_ser_0.20_"&amp;TEXT(INDEX(MASTER!$E:$E,MATCH(_xlpm.pos,MASTER!$I:$I,0)),"mmddyy"),""),_xlpm.slot,672+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85" s="4" t="str">
        <f>_xlfn.LET(_xlpm.pos,"NIH plate 8: "&amp;$A8&amp;D$2,_xlpm.normal,IFERROR(INDEX(MASTER!$A:$A,MATCH(_xlpm.pos,MASTER!$I:$I,0))&amp;"_ser_0.20_"&amp;TEXT(INDEX(MASTER!$E:$E,MATCH(_xlpm.pos,MASTER!$I:$I,0)),"mmddyy"),""),_xlpm.slot,672+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85" s="4" t="str">
        <f>_xlfn.LET(_xlpm.pos,"NIH plate 8: "&amp;$A8&amp;E$2,_xlpm.normal,IFERROR(INDEX(MASTER!$A:$A,MATCH(_xlpm.pos,MASTER!$I:$I,0))&amp;"_ser_0.20_"&amp;TEXT(INDEX(MASTER!$E:$E,MATCH(_xlpm.pos,MASTER!$I:$I,0)),"mmddyy"),""),_xlpm.slot,672+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85" s="4" t="str">
        <f>_xlfn.LET(_xlpm.pos,"NIH plate 8: "&amp;$A8&amp;F$2,_xlpm.normal,IFERROR(INDEX(MASTER!$A:$A,MATCH(_xlpm.pos,MASTER!$I:$I,0))&amp;"_ser_0.20_"&amp;TEXT(INDEX(MASTER!$E:$E,MATCH(_xlpm.pos,MASTER!$I:$I,0)),"mmddyy"),""),_xlpm.slot,672+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85" s="4" t="str">
        <f>_xlfn.LET(_xlpm.pos,"NIH plate 8: "&amp;$A8&amp;G$2,_xlpm.normal,IFERROR(INDEX(MASTER!$A:$A,MATCH(_xlpm.pos,MASTER!$I:$I,0))&amp;"_ser_0.20_"&amp;TEXT(INDEX(MASTER!$E:$E,MATCH(_xlpm.pos,MASTER!$I:$I,0)),"mmddyy"),""),_xlpm.slot,672+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85" s="4" t="str">
        <f>_xlfn.LET(_xlpm.pos,"NIH plate 8: "&amp;$A8&amp;H$2,_xlpm.normal,IFERROR(INDEX(MASTER!$A:$A,MATCH(_xlpm.pos,MASTER!$I:$I,0))&amp;"_ser_0.20_"&amp;TEXT(INDEX(MASTER!$E:$E,MATCH(_xlpm.pos,MASTER!$I:$I,0)),"mmddyy"),""),_xlpm.slot,672+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85" s="4" t="str">
        <f>_xlfn.LET(_xlpm.pos,"NIH plate 8: "&amp;$A8&amp;I$2,_xlpm.normal,IFERROR(INDEX(MASTER!$A:$A,MATCH(_xlpm.pos,MASTER!$I:$I,0))&amp;"_ser_0.20_"&amp;TEXT(INDEX(MASTER!$E:$E,MATCH(_xlpm.pos,MASTER!$I:$I,0)),"mmddyy"),""),_xlpm.slot,672+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85" s="4" t="str">
        <f>_xlfn.LET(_xlpm.pos,"NIH plate 8: "&amp;$A8&amp;J$2,_xlpm.normal,IFERROR(INDEX(MASTER!$A:$A,MATCH(_xlpm.pos,MASTER!$I:$I,0))&amp;"_ser_0.20_"&amp;TEXT(INDEX(MASTER!$E:$E,MATCH(_xlpm.pos,MASTER!$I:$I,0)),"mmddyy"),""),_xlpm.slot,672+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85" s="4" t="str">
        <f>_xlfn.LET(_xlpm.pos,"NIH plate 8: "&amp;$A8&amp;K$2,_xlpm.normal,IFERROR(INDEX(MASTER!$A:$A,MATCH(_xlpm.pos,MASTER!$I:$I,0))&amp;"_ser_0.20_"&amp;TEXT(INDEX(MASTER!$E:$E,MATCH(_xlpm.pos,MASTER!$I:$I,0)),"mmddyy"),""),_xlpm.slot,672+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85" s="4" t="str">
        <f>_xlfn.LET(_xlpm.pos,"NIH plate 8: "&amp;$A8&amp;L$2,_xlpm.normal,IFERROR(INDEX(MASTER!$A:$A,MATCH(_xlpm.pos,MASTER!$I:$I,0))&amp;"_ser_0.20_"&amp;TEXT(INDEX(MASTER!$E:$E,MATCH(_xlpm.pos,MASTER!$I:$I,0)),"mmddyy"),""),_xlpm.slot,672+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85" s="4" t="str">
        <f>_xlfn.LET(_xlpm.pos,"NIH plate 8: "&amp;$A8&amp;M$2,_xlpm.normal,IFERROR(INDEX(MASTER!$A:$A,MATCH(_xlpm.pos,MASTER!$I:$I,0))&amp;"_ser_0.20_"&amp;TEXT(INDEX(MASTER!$E:$E,MATCH(_xlpm.pos,MASTER!$I:$I,0)),"mmddyy"),""),_xlpm.slot,672+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86" spans="1:13" ht="22" customHeight="1" x14ac:dyDescent="0.35">
      <c r="A86" s="6" t="s">
        <v>35</v>
      </c>
      <c r="B86" s="4" t="str">
        <f>_xlfn.LET(_xlpm.pos,"NIH plate 8: "&amp;$A9&amp;B$2,_xlpm.normal,IFERROR(INDEX(MASTER!$A:$A,MATCH(_xlpm.pos,MASTER!$I:$I,0))&amp;"_ser_0.20_"&amp;TEXT(INDEX(MASTER!$E:$E,MATCH(_xlpm.pos,MASTER!$I:$I,0)),"mmddyy"),""),_xlpm.slot,672+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86" s="4" t="str">
        <f>_xlfn.LET(_xlpm.pos,"NIH plate 8: "&amp;$A9&amp;C$2,_xlpm.normal,IFERROR(INDEX(MASTER!$A:$A,MATCH(_xlpm.pos,MASTER!$I:$I,0))&amp;"_ser_0.20_"&amp;TEXT(INDEX(MASTER!$E:$E,MATCH(_xlpm.pos,MASTER!$I:$I,0)),"mmddyy"),""),_xlpm.slot,672+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86" s="4" t="str">
        <f>_xlfn.LET(_xlpm.pos,"NIH plate 8: "&amp;$A9&amp;D$2,_xlpm.normal,IFERROR(INDEX(MASTER!$A:$A,MATCH(_xlpm.pos,MASTER!$I:$I,0))&amp;"_ser_0.20_"&amp;TEXT(INDEX(MASTER!$E:$E,MATCH(_xlpm.pos,MASTER!$I:$I,0)),"mmddyy"),""),_xlpm.slot,672+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86" s="4" t="str">
        <f>_xlfn.LET(_xlpm.pos,"NIH plate 8: "&amp;$A9&amp;E$2,_xlpm.normal,IFERROR(INDEX(MASTER!$A:$A,MATCH(_xlpm.pos,MASTER!$I:$I,0))&amp;"_ser_0.20_"&amp;TEXT(INDEX(MASTER!$E:$E,MATCH(_xlpm.pos,MASTER!$I:$I,0)),"mmddyy"),""),_xlpm.slot,672+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86" s="4" t="str">
        <f>_xlfn.LET(_xlpm.pos,"NIH plate 8: "&amp;$A9&amp;F$2,_xlpm.normal,IFERROR(INDEX(MASTER!$A:$A,MATCH(_xlpm.pos,MASTER!$I:$I,0))&amp;"_ser_0.20_"&amp;TEXT(INDEX(MASTER!$E:$E,MATCH(_xlpm.pos,MASTER!$I:$I,0)),"mmddyy"),""),_xlpm.slot,672+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86" s="4" t="str">
        <f>_xlfn.LET(_xlpm.pos,"NIH plate 8: "&amp;$A9&amp;G$2,_xlpm.normal,IFERROR(INDEX(MASTER!$A:$A,MATCH(_xlpm.pos,MASTER!$I:$I,0))&amp;"_ser_0.20_"&amp;TEXT(INDEX(MASTER!$E:$E,MATCH(_xlpm.pos,MASTER!$I:$I,0)),"mmddyy"),""),_xlpm.slot,672+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86" s="4" t="str">
        <f>_xlfn.LET(_xlpm.pos,"NIH plate 8: "&amp;$A9&amp;H$2,_xlpm.normal,IFERROR(INDEX(MASTER!$A:$A,MATCH(_xlpm.pos,MASTER!$I:$I,0))&amp;"_ser_0.20_"&amp;TEXT(INDEX(MASTER!$E:$E,MATCH(_xlpm.pos,MASTER!$I:$I,0)),"mmddyy"),""),_xlpm.slot,672+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86" s="4" t="str">
        <f>_xlfn.LET(_xlpm.pos,"NIH plate 8: "&amp;$A9&amp;I$2,_xlpm.normal,IFERROR(INDEX(MASTER!$A:$A,MATCH(_xlpm.pos,MASTER!$I:$I,0))&amp;"_ser_0.20_"&amp;TEXT(INDEX(MASTER!$E:$E,MATCH(_xlpm.pos,MASTER!$I:$I,0)),"mmddyy"),""),_xlpm.slot,672+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86" s="4" t="str">
        <f>_xlfn.LET(_xlpm.pos,"NIH plate 8: "&amp;$A9&amp;J$2,_xlpm.normal,IFERROR(INDEX(MASTER!$A:$A,MATCH(_xlpm.pos,MASTER!$I:$I,0))&amp;"_ser_0.20_"&amp;TEXT(INDEX(MASTER!$E:$E,MATCH(_xlpm.pos,MASTER!$I:$I,0)),"mmddyy"),""),_xlpm.slot,672+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86" s="4" t="str">
        <f>_xlfn.LET(_xlpm.pos,"NIH plate 8: "&amp;$A9&amp;K$2,_xlpm.normal,IFERROR(INDEX(MASTER!$A:$A,MATCH(_xlpm.pos,MASTER!$I:$I,0))&amp;"_ser_0.20_"&amp;TEXT(INDEX(MASTER!$E:$E,MATCH(_xlpm.pos,MASTER!$I:$I,0)),"mmddyy"),""),_xlpm.slot,672+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86" s="4" t="str">
        <f>_xlfn.LET(_xlpm.pos,"NIH plate 8: "&amp;$A9&amp;L$2,_xlpm.normal,IFERROR(INDEX(MASTER!$A:$A,MATCH(_xlpm.pos,MASTER!$I:$I,0))&amp;"_ser_0.20_"&amp;TEXT(INDEX(MASTER!$E:$E,MATCH(_xlpm.pos,MASTER!$I:$I,0)),"mmddyy"),""),_xlpm.slot,672+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86" s="4" t="str">
        <f>_xlfn.LET(_xlpm.pos,"NIH plate 8: "&amp;$A9&amp;M$2,_xlpm.normal,IFERROR(INDEX(MASTER!$A:$A,MATCH(_xlpm.pos,MASTER!$I:$I,0))&amp;"_ser_0.20_"&amp;TEXT(INDEX(MASTER!$E:$E,MATCH(_xlpm.pos,MASTER!$I:$I,0)),"mmddyy"),""),_xlpm.slot,672+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87" spans="1:13" ht="22" customHeight="1" x14ac:dyDescent="0.35">
      <c r="A87" s="6" t="s">
        <v>36</v>
      </c>
      <c r="B87" s="4" t="str">
        <f>_xlfn.LET(_xlpm.pos,"NIH plate 8: "&amp;$A10&amp;B$2,_xlpm.normal,IFERROR(INDEX(MASTER!$A:$A,MATCH(_xlpm.pos,MASTER!$I:$I,0))&amp;"_ser_0.20_"&amp;TEXT(INDEX(MASTER!$E:$E,MATCH(_xlpm.pos,MASTER!$I:$I,0)),"mmddyy"),""),_xlpm.slot,672+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87" s="4" t="str">
        <f>_xlfn.LET(_xlpm.pos,"NIH plate 8: "&amp;$A10&amp;C$2,_xlpm.normal,IFERROR(INDEX(MASTER!$A:$A,MATCH(_xlpm.pos,MASTER!$I:$I,0))&amp;"_ser_0.20_"&amp;TEXT(INDEX(MASTER!$E:$E,MATCH(_xlpm.pos,MASTER!$I:$I,0)),"mmddyy"),""),_xlpm.slot,672+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87" s="4" t="str">
        <f>_xlfn.LET(_xlpm.pos,"NIH plate 8: "&amp;$A10&amp;D$2,_xlpm.normal,IFERROR(INDEX(MASTER!$A:$A,MATCH(_xlpm.pos,MASTER!$I:$I,0))&amp;"_ser_0.20_"&amp;TEXT(INDEX(MASTER!$E:$E,MATCH(_xlpm.pos,MASTER!$I:$I,0)),"mmddyy"),""),_xlpm.slot,672+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87" s="4" t="str">
        <f>_xlfn.LET(_xlpm.pos,"NIH plate 8: "&amp;$A10&amp;E$2,_xlpm.normal,IFERROR(INDEX(MASTER!$A:$A,MATCH(_xlpm.pos,MASTER!$I:$I,0))&amp;"_ser_0.20_"&amp;TEXT(INDEX(MASTER!$E:$E,MATCH(_xlpm.pos,MASTER!$I:$I,0)),"mmddyy"),""),_xlpm.slot,672+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87" s="4" t="str">
        <f>_xlfn.LET(_xlpm.pos,"NIH plate 8: "&amp;$A10&amp;F$2,_xlpm.normal,IFERROR(INDEX(MASTER!$A:$A,MATCH(_xlpm.pos,MASTER!$I:$I,0))&amp;"_ser_0.20_"&amp;TEXT(INDEX(MASTER!$E:$E,MATCH(_xlpm.pos,MASTER!$I:$I,0)),"mmddyy"),""),_xlpm.slot,672+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87" s="4" t="str">
        <f>_xlfn.LET(_xlpm.pos,"NIH plate 8: "&amp;$A10&amp;G$2,_xlpm.normal,IFERROR(INDEX(MASTER!$A:$A,MATCH(_xlpm.pos,MASTER!$I:$I,0))&amp;"_ser_0.20_"&amp;TEXT(INDEX(MASTER!$E:$E,MATCH(_xlpm.pos,MASTER!$I:$I,0)),"mmddyy"),""),_xlpm.slot,672+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87" s="4" t="str">
        <f>_xlfn.LET(_xlpm.pos,"NIH plate 8: "&amp;$A10&amp;H$2,_xlpm.normal,IFERROR(INDEX(MASTER!$A:$A,MATCH(_xlpm.pos,MASTER!$I:$I,0))&amp;"_ser_0.20_"&amp;TEXT(INDEX(MASTER!$E:$E,MATCH(_xlpm.pos,MASTER!$I:$I,0)),"mmddyy"),""),_xlpm.slot,672+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87" s="4" t="str">
        <f>_xlfn.LET(_xlpm.pos,"NIH plate 8: "&amp;$A10&amp;I$2,_xlpm.normal,IFERROR(INDEX(MASTER!$A:$A,MATCH(_xlpm.pos,MASTER!$I:$I,0))&amp;"_ser_0.20_"&amp;TEXT(INDEX(MASTER!$E:$E,MATCH(_xlpm.pos,MASTER!$I:$I,0)),"mmddyy"),""),_xlpm.slot,672+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87" s="4" t="str">
        <f>_xlfn.LET(_xlpm.pos,"NIH plate 8: "&amp;$A10&amp;J$2,_xlpm.normal,IFERROR(INDEX(MASTER!$A:$A,MATCH(_xlpm.pos,MASTER!$I:$I,0))&amp;"_ser_0.20_"&amp;TEXT(INDEX(MASTER!$E:$E,MATCH(_xlpm.pos,MASTER!$I:$I,0)),"mmddyy"),""),_xlpm.slot,672+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87" s="4" t="str">
        <f>_xlfn.LET(_xlpm.pos,"NIH plate 8: "&amp;$A10&amp;K$2,_xlpm.normal,IFERROR(INDEX(MASTER!$A:$A,MATCH(_xlpm.pos,MASTER!$I:$I,0))&amp;"_ser_0.20_"&amp;TEXT(INDEX(MASTER!$E:$E,MATCH(_xlpm.pos,MASTER!$I:$I,0)),"mmddyy"),""),_xlpm.slot,672+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87" s="4" t="str">
        <f>_xlfn.LET(_xlpm.pos,"NIH plate 8: "&amp;$A10&amp;L$2,_xlpm.normal,IFERROR(INDEX(MASTER!$A:$A,MATCH(_xlpm.pos,MASTER!$I:$I,0))&amp;"_ser_0.20_"&amp;TEXT(INDEX(MASTER!$E:$E,MATCH(_xlpm.pos,MASTER!$I:$I,0)),"mmddyy"),""),_xlpm.slot,672+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87" s="4" t="str">
        <f>_xlfn.LET(_xlpm.pos,"NIH plate 8: "&amp;$A10&amp;M$2,_xlpm.normal,IFERROR(INDEX(MASTER!$A:$A,MATCH(_xlpm.pos,MASTER!$I:$I,0))&amp;"_ser_0.20_"&amp;TEXT(INDEX(MASTER!$E:$E,MATCH(_xlpm.pos,MASTER!$I:$I,0)),"mmddyy"),""),_xlpm.slot,672+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88" spans="1:13" ht="22" customHeight="1" x14ac:dyDescent="0.3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1:13" ht="22" customHeight="1" x14ac:dyDescent="0.35">
      <c r="A89" s="7"/>
      <c r="B89" s="31" t="s">
        <v>65</v>
      </c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3"/>
    </row>
    <row r="90" spans="1:13" ht="22" customHeight="1" x14ac:dyDescent="0.35">
      <c r="A90" s="7"/>
      <c r="B90" s="6">
        <v>1</v>
      </c>
      <c r="C90" s="6">
        <v>2</v>
      </c>
      <c r="D90" s="6">
        <v>3</v>
      </c>
      <c r="E90" s="6">
        <v>4</v>
      </c>
      <c r="F90" s="6">
        <v>5</v>
      </c>
      <c r="G90" s="6">
        <v>6</v>
      </c>
      <c r="H90" s="6">
        <v>7</v>
      </c>
      <c r="I90" s="6">
        <v>8</v>
      </c>
      <c r="J90" s="6">
        <v>9</v>
      </c>
      <c r="K90" s="6">
        <v>10</v>
      </c>
      <c r="L90" s="6">
        <v>11</v>
      </c>
      <c r="M90" s="6">
        <v>12</v>
      </c>
    </row>
    <row r="91" spans="1:13" ht="22" customHeight="1" x14ac:dyDescent="0.35">
      <c r="A91" s="6" t="s">
        <v>30</v>
      </c>
      <c r="B91" s="4" t="str">
        <f>_xlfn.LET(_xlpm.pos,"NIH plate 9: "&amp;$A3&amp;B$2,_xlpm.normal,IFERROR(INDEX(MASTER!$A:$A,MATCH(_xlpm.pos,MASTER!$I:$I,0))&amp;"_ser_0.20_"&amp;TEXT(INDEX(MASTER!$E:$E,MATCH(_xlpm.pos,MASTER!$I:$I,0)),"mmddyy"),""),_xlpm.slot,768+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91" s="4" t="str">
        <f>_xlfn.LET(_xlpm.pos,"NIH plate 9: "&amp;$A3&amp;C$2,_xlpm.normal,IFERROR(INDEX(MASTER!$A:$A,MATCH(_xlpm.pos,MASTER!$I:$I,0))&amp;"_ser_0.20_"&amp;TEXT(INDEX(MASTER!$E:$E,MATCH(_xlpm.pos,MASTER!$I:$I,0)),"mmddyy"),""),_xlpm.slot,768+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91" s="4" t="str">
        <f>_xlfn.LET(_xlpm.pos,"NIH plate 9: "&amp;$A3&amp;D$2,_xlpm.normal,IFERROR(INDEX(MASTER!$A:$A,MATCH(_xlpm.pos,MASTER!$I:$I,0))&amp;"_ser_0.20_"&amp;TEXT(INDEX(MASTER!$E:$E,MATCH(_xlpm.pos,MASTER!$I:$I,0)),"mmddyy"),""),_xlpm.slot,768+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91" s="4" t="str">
        <f>_xlfn.LET(_xlpm.pos,"NIH plate 9: "&amp;$A3&amp;E$2,_xlpm.normal,IFERROR(INDEX(MASTER!$A:$A,MATCH(_xlpm.pos,MASTER!$I:$I,0))&amp;"_ser_0.20_"&amp;TEXT(INDEX(MASTER!$E:$E,MATCH(_xlpm.pos,MASTER!$I:$I,0)),"mmddyy"),""),_xlpm.slot,768+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91" s="4" t="str">
        <f>_xlfn.LET(_xlpm.pos,"NIH plate 9: "&amp;$A3&amp;F$2,_xlpm.normal,IFERROR(INDEX(MASTER!$A:$A,MATCH(_xlpm.pos,MASTER!$I:$I,0))&amp;"_ser_0.20_"&amp;TEXT(INDEX(MASTER!$E:$E,MATCH(_xlpm.pos,MASTER!$I:$I,0)),"mmddyy"),""),_xlpm.slot,768+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91" s="4" t="str">
        <f>_xlfn.LET(_xlpm.pos,"NIH plate 9: "&amp;$A3&amp;G$2,_xlpm.normal,IFERROR(INDEX(MASTER!$A:$A,MATCH(_xlpm.pos,MASTER!$I:$I,0))&amp;"_ser_0.20_"&amp;TEXT(INDEX(MASTER!$E:$E,MATCH(_xlpm.pos,MASTER!$I:$I,0)),"mmddyy"),""),_xlpm.slot,768+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91" s="4" t="str">
        <f>_xlfn.LET(_xlpm.pos,"NIH plate 9: "&amp;$A3&amp;H$2,_xlpm.normal,IFERROR(INDEX(MASTER!$A:$A,MATCH(_xlpm.pos,MASTER!$I:$I,0))&amp;"_ser_0.20_"&amp;TEXT(INDEX(MASTER!$E:$E,MATCH(_xlpm.pos,MASTER!$I:$I,0)),"mmddyy"),""),_xlpm.slot,768+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91" s="4" t="str">
        <f>_xlfn.LET(_xlpm.pos,"NIH plate 9: "&amp;$A3&amp;I$2,_xlpm.normal,IFERROR(INDEX(MASTER!$A:$A,MATCH(_xlpm.pos,MASTER!$I:$I,0))&amp;"_ser_0.20_"&amp;TEXT(INDEX(MASTER!$E:$E,MATCH(_xlpm.pos,MASTER!$I:$I,0)),"mmddyy"),""),_xlpm.slot,768+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91" s="4" t="str">
        <f>_xlfn.LET(_xlpm.pos,"NIH plate 9: "&amp;$A3&amp;J$2,_xlpm.normal,IFERROR(INDEX(MASTER!$A:$A,MATCH(_xlpm.pos,MASTER!$I:$I,0))&amp;"_ser_0.20_"&amp;TEXT(INDEX(MASTER!$E:$E,MATCH(_xlpm.pos,MASTER!$I:$I,0)),"mmddyy"),""),_xlpm.slot,768+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91" s="4" t="str">
        <f>_xlfn.LET(_xlpm.pos,"NIH plate 9: "&amp;$A3&amp;K$2,_xlpm.normal,IFERROR(INDEX(MASTER!$A:$A,MATCH(_xlpm.pos,MASTER!$I:$I,0))&amp;"_ser_0.20_"&amp;TEXT(INDEX(MASTER!$E:$E,MATCH(_xlpm.pos,MASTER!$I:$I,0)),"mmddyy"),""),_xlpm.slot,768+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91" s="4" t="str">
        <f>_xlfn.LET(_xlpm.pos,"NIH plate 9: "&amp;$A3&amp;L$2,_xlpm.normal,IFERROR(INDEX(MASTER!$A:$A,MATCH(_xlpm.pos,MASTER!$I:$I,0))&amp;"_ser_0.20_"&amp;TEXT(INDEX(MASTER!$E:$E,MATCH(_xlpm.pos,MASTER!$I:$I,0)),"mmddyy"),""),_xlpm.slot,768+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91" s="4" t="str">
        <f>_xlfn.LET(_xlpm.pos,"NIH plate 9: "&amp;$A3&amp;M$2,_xlpm.normal,IFERROR(INDEX(MASTER!$A:$A,MATCH(_xlpm.pos,MASTER!$I:$I,0))&amp;"_ser_0.20_"&amp;TEXT(INDEX(MASTER!$E:$E,MATCH(_xlpm.pos,MASTER!$I:$I,0)),"mmddyy"),""),_xlpm.slot,768+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92" spans="1:13" ht="22" customHeight="1" x14ac:dyDescent="0.35">
      <c r="A92" s="6" t="s">
        <v>31</v>
      </c>
      <c r="B92" s="4" t="str">
        <f>_xlfn.LET(_xlpm.pos,"NIH plate 9: "&amp;$A4&amp;B$2,_xlpm.normal,IFERROR(INDEX(MASTER!$A:$A,MATCH(_xlpm.pos,MASTER!$I:$I,0))&amp;"_ser_0.20_"&amp;TEXT(INDEX(MASTER!$E:$E,MATCH(_xlpm.pos,MASTER!$I:$I,0)),"mmddyy"),""),_xlpm.slot,768+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92" s="4" t="str">
        <f>_xlfn.LET(_xlpm.pos,"NIH plate 9: "&amp;$A4&amp;C$2,_xlpm.normal,IFERROR(INDEX(MASTER!$A:$A,MATCH(_xlpm.pos,MASTER!$I:$I,0))&amp;"_ser_0.20_"&amp;TEXT(INDEX(MASTER!$E:$E,MATCH(_xlpm.pos,MASTER!$I:$I,0)),"mmddyy"),""),_xlpm.slot,768+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92" s="4" t="str">
        <f>_xlfn.LET(_xlpm.pos,"NIH plate 9: "&amp;$A4&amp;D$2,_xlpm.normal,IFERROR(INDEX(MASTER!$A:$A,MATCH(_xlpm.pos,MASTER!$I:$I,0))&amp;"_ser_0.20_"&amp;TEXT(INDEX(MASTER!$E:$E,MATCH(_xlpm.pos,MASTER!$I:$I,0)),"mmddyy"),""),_xlpm.slot,768+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92" s="4" t="str">
        <f>_xlfn.LET(_xlpm.pos,"NIH plate 9: "&amp;$A4&amp;E$2,_xlpm.normal,IFERROR(INDEX(MASTER!$A:$A,MATCH(_xlpm.pos,MASTER!$I:$I,0))&amp;"_ser_0.20_"&amp;TEXT(INDEX(MASTER!$E:$E,MATCH(_xlpm.pos,MASTER!$I:$I,0)),"mmddyy"),""),_xlpm.slot,768+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92" s="4" t="str">
        <f>_xlfn.LET(_xlpm.pos,"NIH plate 9: "&amp;$A4&amp;F$2,_xlpm.normal,IFERROR(INDEX(MASTER!$A:$A,MATCH(_xlpm.pos,MASTER!$I:$I,0))&amp;"_ser_0.20_"&amp;TEXT(INDEX(MASTER!$E:$E,MATCH(_xlpm.pos,MASTER!$I:$I,0)),"mmddyy"),""),_xlpm.slot,768+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92" s="4" t="str">
        <f>_xlfn.LET(_xlpm.pos,"NIH plate 9: "&amp;$A4&amp;G$2,_xlpm.normal,IFERROR(INDEX(MASTER!$A:$A,MATCH(_xlpm.pos,MASTER!$I:$I,0))&amp;"_ser_0.20_"&amp;TEXT(INDEX(MASTER!$E:$E,MATCH(_xlpm.pos,MASTER!$I:$I,0)),"mmddyy"),""),_xlpm.slot,768+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92" s="4" t="str">
        <f>_xlfn.LET(_xlpm.pos,"NIH plate 9: "&amp;$A4&amp;H$2,_xlpm.normal,IFERROR(INDEX(MASTER!$A:$A,MATCH(_xlpm.pos,MASTER!$I:$I,0))&amp;"_ser_0.20_"&amp;TEXT(INDEX(MASTER!$E:$E,MATCH(_xlpm.pos,MASTER!$I:$I,0)),"mmddyy"),""),_xlpm.slot,768+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92" s="4" t="str">
        <f>_xlfn.LET(_xlpm.pos,"NIH plate 9: "&amp;$A4&amp;I$2,_xlpm.normal,IFERROR(INDEX(MASTER!$A:$A,MATCH(_xlpm.pos,MASTER!$I:$I,0))&amp;"_ser_0.20_"&amp;TEXT(INDEX(MASTER!$E:$E,MATCH(_xlpm.pos,MASTER!$I:$I,0)),"mmddyy"),""),_xlpm.slot,768+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92" s="4" t="str">
        <f>_xlfn.LET(_xlpm.pos,"NIH plate 9: "&amp;$A4&amp;J$2,_xlpm.normal,IFERROR(INDEX(MASTER!$A:$A,MATCH(_xlpm.pos,MASTER!$I:$I,0))&amp;"_ser_0.20_"&amp;TEXT(INDEX(MASTER!$E:$E,MATCH(_xlpm.pos,MASTER!$I:$I,0)),"mmddyy"),""),_xlpm.slot,768+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92" s="4" t="str">
        <f>_xlfn.LET(_xlpm.pos,"NIH plate 9: "&amp;$A4&amp;K$2,_xlpm.normal,IFERROR(INDEX(MASTER!$A:$A,MATCH(_xlpm.pos,MASTER!$I:$I,0))&amp;"_ser_0.20_"&amp;TEXT(INDEX(MASTER!$E:$E,MATCH(_xlpm.pos,MASTER!$I:$I,0)),"mmddyy"),""),_xlpm.slot,768+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92" s="4" t="str">
        <f>_xlfn.LET(_xlpm.pos,"NIH plate 9: "&amp;$A4&amp;L$2,_xlpm.normal,IFERROR(INDEX(MASTER!$A:$A,MATCH(_xlpm.pos,MASTER!$I:$I,0))&amp;"_ser_0.20_"&amp;TEXT(INDEX(MASTER!$E:$E,MATCH(_xlpm.pos,MASTER!$I:$I,0)),"mmddyy"),""),_xlpm.slot,768+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92" s="4" t="str">
        <f>_xlfn.LET(_xlpm.pos,"NIH plate 9: "&amp;$A4&amp;M$2,_xlpm.normal,IFERROR(INDEX(MASTER!$A:$A,MATCH(_xlpm.pos,MASTER!$I:$I,0))&amp;"_ser_0.20_"&amp;TEXT(INDEX(MASTER!$E:$E,MATCH(_xlpm.pos,MASTER!$I:$I,0)),"mmddyy"),""),_xlpm.slot,768+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93" spans="1:13" ht="22" customHeight="1" x14ac:dyDescent="0.35">
      <c r="A93" s="6" t="s">
        <v>32</v>
      </c>
      <c r="B93" s="4" t="str">
        <f>_xlfn.LET(_xlpm.pos,"NIH plate 9: "&amp;$A5&amp;B$2,_xlpm.normal,IFERROR(INDEX(MASTER!$A:$A,MATCH(_xlpm.pos,MASTER!$I:$I,0))&amp;"_ser_0.20_"&amp;TEXT(INDEX(MASTER!$E:$E,MATCH(_xlpm.pos,MASTER!$I:$I,0)),"mmddyy"),""),_xlpm.slot,768+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93" s="4" t="str">
        <f>_xlfn.LET(_xlpm.pos,"NIH plate 9: "&amp;$A5&amp;C$2,_xlpm.normal,IFERROR(INDEX(MASTER!$A:$A,MATCH(_xlpm.pos,MASTER!$I:$I,0))&amp;"_ser_0.20_"&amp;TEXT(INDEX(MASTER!$E:$E,MATCH(_xlpm.pos,MASTER!$I:$I,0)),"mmddyy"),""),_xlpm.slot,768+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93" s="4" t="str">
        <f>_xlfn.LET(_xlpm.pos,"NIH plate 9: "&amp;$A5&amp;D$2,_xlpm.normal,IFERROR(INDEX(MASTER!$A:$A,MATCH(_xlpm.pos,MASTER!$I:$I,0))&amp;"_ser_0.20_"&amp;TEXT(INDEX(MASTER!$E:$E,MATCH(_xlpm.pos,MASTER!$I:$I,0)),"mmddyy"),""),_xlpm.slot,768+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93" s="4" t="str">
        <f>_xlfn.LET(_xlpm.pos,"NIH plate 9: "&amp;$A5&amp;E$2,_xlpm.normal,IFERROR(INDEX(MASTER!$A:$A,MATCH(_xlpm.pos,MASTER!$I:$I,0))&amp;"_ser_0.20_"&amp;TEXT(INDEX(MASTER!$E:$E,MATCH(_xlpm.pos,MASTER!$I:$I,0)),"mmddyy"),""),_xlpm.slot,768+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93" s="4" t="str">
        <f>_xlfn.LET(_xlpm.pos,"NIH plate 9: "&amp;$A5&amp;F$2,_xlpm.normal,IFERROR(INDEX(MASTER!$A:$A,MATCH(_xlpm.pos,MASTER!$I:$I,0))&amp;"_ser_0.20_"&amp;TEXT(INDEX(MASTER!$E:$E,MATCH(_xlpm.pos,MASTER!$I:$I,0)),"mmddyy"),""),_xlpm.slot,768+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93" s="4" t="str">
        <f>_xlfn.LET(_xlpm.pos,"NIH plate 9: "&amp;$A5&amp;G$2,_xlpm.normal,IFERROR(INDEX(MASTER!$A:$A,MATCH(_xlpm.pos,MASTER!$I:$I,0))&amp;"_ser_0.20_"&amp;TEXT(INDEX(MASTER!$E:$E,MATCH(_xlpm.pos,MASTER!$I:$I,0)),"mmddyy"),""),_xlpm.slot,768+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93" s="4" t="str">
        <f>_xlfn.LET(_xlpm.pos,"NIH plate 9: "&amp;$A5&amp;H$2,_xlpm.normal,IFERROR(INDEX(MASTER!$A:$A,MATCH(_xlpm.pos,MASTER!$I:$I,0))&amp;"_ser_0.20_"&amp;TEXT(INDEX(MASTER!$E:$E,MATCH(_xlpm.pos,MASTER!$I:$I,0)),"mmddyy"),""),_xlpm.slot,768+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93" s="4" t="str">
        <f>_xlfn.LET(_xlpm.pos,"NIH plate 9: "&amp;$A5&amp;I$2,_xlpm.normal,IFERROR(INDEX(MASTER!$A:$A,MATCH(_xlpm.pos,MASTER!$I:$I,0))&amp;"_ser_0.20_"&amp;TEXT(INDEX(MASTER!$E:$E,MATCH(_xlpm.pos,MASTER!$I:$I,0)),"mmddyy"),""),_xlpm.slot,768+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93" s="4" t="str">
        <f>_xlfn.LET(_xlpm.pos,"NIH plate 9: "&amp;$A5&amp;J$2,_xlpm.normal,IFERROR(INDEX(MASTER!$A:$A,MATCH(_xlpm.pos,MASTER!$I:$I,0))&amp;"_ser_0.20_"&amp;TEXT(INDEX(MASTER!$E:$E,MATCH(_xlpm.pos,MASTER!$I:$I,0)),"mmddyy"),""),_xlpm.slot,768+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93" s="4" t="str">
        <f>_xlfn.LET(_xlpm.pos,"NIH plate 9: "&amp;$A5&amp;K$2,_xlpm.normal,IFERROR(INDEX(MASTER!$A:$A,MATCH(_xlpm.pos,MASTER!$I:$I,0))&amp;"_ser_0.20_"&amp;TEXT(INDEX(MASTER!$E:$E,MATCH(_xlpm.pos,MASTER!$I:$I,0)),"mmddyy"),""),_xlpm.slot,768+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93" s="4" t="str">
        <f>_xlfn.LET(_xlpm.pos,"NIH plate 9: "&amp;$A5&amp;L$2,_xlpm.normal,IFERROR(INDEX(MASTER!$A:$A,MATCH(_xlpm.pos,MASTER!$I:$I,0))&amp;"_ser_0.20_"&amp;TEXT(INDEX(MASTER!$E:$E,MATCH(_xlpm.pos,MASTER!$I:$I,0)),"mmddyy"),""),_xlpm.slot,768+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93" s="4" t="str">
        <f>_xlfn.LET(_xlpm.pos,"NIH plate 9: "&amp;$A5&amp;M$2,_xlpm.normal,IFERROR(INDEX(MASTER!$A:$A,MATCH(_xlpm.pos,MASTER!$I:$I,0))&amp;"_ser_0.20_"&amp;TEXT(INDEX(MASTER!$E:$E,MATCH(_xlpm.pos,MASTER!$I:$I,0)),"mmddyy"),""),_xlpm.slot,768+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94" spans="1:13" ht="22" customHeight="1" x14ac:dyDescent="0.35">
      <c r="A94" s="6" t="s">
        <v>33</v>
      </c>
      <c r="B94" s="4" t="str">
        <f>_xlfn.LET(_xlpm.pos,"NIH plate 9: "&amp;$A6&amp;B$2,_xlpm.normal,IFERROR(INDEX(MASTER!$A:$A,MATCH(_xlpm.pos,MASTER!$I:$I,0))&amp;"_ser_0.20_"&amp;TEXT(INDEX(MASTER!$E:$E,MATCH(_xlpm.pos,MASTER!$I:$I,0)),"mmddyy"),""),_xlpm.slot,768+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94" s="4" t="str">
        <f>_xlfn.LET(_xlpm.pos,"NIH plate 9: "&amp;$A6&amp;C$2,_xlpm.normal,IFERROR(INDEX(MASTER!$A:$A,MATCH(_xlpm.pos,MASTER!$I:$I,0))&amp;"_ser_0.20_"&amp;TEXT(INDEX(MASTER!$E:$E,MATCH(_xlpm.pos,MASTER!$I:$I,0)),"mmddyy"),""),_xlpm.slot,768+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94" s="4" t="str">
        <f>_xlfn.LET(_xlpm.pos,"NIH plate 9: "&amp;$A6&amp;D$2,_xlpm.normal,IFERROR(INDEX(MASTER!$A:$A,MATCH(_xlpm.pos,MASTER!$I:$I,0))&amp;"_ser_0.20_"&amp;TEXT(INDEX(MASTER!$E:$E,MATCH(_xlpm.pos,MASTER!$I:$I,0)),"mmddyy"),""),_xlpm.slot,768+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94" s="4" t="str">
        <f>_xlfn.LET(_xlpm.pos,"NIH plate 9: "&amp;$A6&amp;E$2,_xlpm.normal,IFERROR(INDEX(MASTER!$A:$A,MATCH(_xlpm.pos,MASTER!$I:$I,0))&amp;"_ser_0.20_"&amp;TEXT(INDEX(MASTER!$E:$E,MATCH(_xlpm.pos,MASTER!$I:$I,0)),"mmddyy"),""),_xlpm.slot,768+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94" s="4" t="str">
        <f>_xlfn.LET(_xlpm.pos,"NIH plate 9: "&amp;$A6&amp;F$2,_xlpm.normal,IFERROR(INDEX(MASTER!$A:$A,MATCH(_xlpm.pos,MASTER!$I:$I,0))&amp;"_ser_0.20_"&amp;TEXT(INDEX(MASTER!$E:$E,MATCH(_xlpm.pos,MASTER!$I:$I,0)),"mmddyy"),""),_xlpm.slot,768+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94" s="4" t="str">
        <f>_xlfn.LET(_xlpm.pos,"NIH plate 9: "&amp;$A6&amp;G$2,_xlpm.normal,IFERROR(INDEX(MASTER!$A:$A,MATCH(_xlpm.pos,MASTER!$I:$I,0))&amp;"_ser_0.20_"&amp;TEXT(INDEX(MASTER!$E:$E,MATCH(_xlpm.pos,MASTER!$I:$I,0)),"mmddyy"),""),_xlpm.slot,768+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94" s="4" t="str">
        <f>_xlfn.LET(_xlpm.pos,"NIH plate 9: "&amp;$A6&amp;H$2,_xlpm.normal,IFERROR(INDEX(MASTER!$A:$A,MATCH(_xlpm.pos,MASTER!$I:$I,0))&amp;"_ser_0.20_"&amp;TEXT(INDEX(MASTER!$E:$E,MATCH(_xlpm.pos,MASTER!$I:$I,0)),"mmddyy"),""),_xlpm.slot,768+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94" s="4" t="str">
        <f>_xlfn.LET(_xlpm.pos,"NIH plate 9: "&amp;$A6&amp;I$2,_xlpm.normal,IFERROR(INDEX(MASTER!$A:$A,MATCH(_xlpm.pos,MASTER!$I:$I,0))&amp;"_ser_0.20_"&amp;TEXT(INDEX(MASTER!$E:$E,MATCH(_xlpm.pos,MASTER!$I:$I,0)),"mmddyy"),""),_xlpm.slot,768+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94" s="4" t="str">
        <f>_xlfn.LET(_xlpm.pos,"NIH plate 9: "&amp;$A6&amp;J$2,_xlpm.normal,IFERROR(INDEX(MASTER!$A:$A,MATCH(_xlpm.pos,MASTER!$I:$I,0))&amp;"_ser_0.20_"&amp;TEXT(INDEX(MASTER!$E:$E,MATCH(_xlpm.pos,MASTER!$I:$I,0)),"mmddyy"),""),_xlpm.slot,768+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94" s="4" t="str">
        <f>_xlfn.LET(_xlpm.pos,"NIH plate 9: "&amp;$A6&amp;K$2,_xlpm.normal,IFERROR(INDEX(MASTER!$A:$A,MATCH(_xlpm.pos,MASTER!$I:$I,0))&amp;"_ser_0.20_"&amp;TEXT(INDEX(MASTER!$E:$E,MATCH(_xlpm.pos,MASTER!$I:$I,0)),"mmddyy"),""),_xlpm.slot,768+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94" s="4" t="str">
        <f>_xlfn.LET(_xlpm.pos,"NIH plate 9: "&amp;$A6&amp;L$2,_xlpm.normal,IFERROR(INDEX(MASTER!$A:$A,MATCH(_xlpm.pos,MASTER!$I:$I,0))&amp;"_ser_0.20_"&amp;TEXT(INDEX(MASTER!$E:$E,MATCH(_xlpm.pos,MASTER!$I:$I,0)),"mmddyy"),""),_xlpm.slot,768+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94" s="4" t="str">
        <f>_xlfn.LET(_xlpm.pos,"NIH plate 9: "&amp;$A6&amp;M$2,_xlpm.normal,IFERROR(INDEX(MASTER!$A:$A,MATCH(_xlpm.pos,MASTER!$I:$I,0))&amp;"_ser_0.20_"&amp;TEXT(INDEX(MASTER!$E:$E,MATCH(_xlpm.pos,MASTER!$I:$I,0)),"mmddyy"),""),_xlpm.slot,768+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95" spans="1:13" ht="22" customHeight="1" x14ac:dyDescent="0.35">
      <c r="A95" s="6" t="s">
        <v>34</v>
      </c>
      <c r="B95" s="4" t="str">
        <f>_xlfn.LET(_xlpm.pos,"NIH plate 9: "&amp;$A7&amp;B$2,_xlpm.normal,IFERROR(INDEX(MASTER!$A:$A,MATCH(_xlpm.pos,MASTER!$I:$I,0))&amp;"_ser_0.20_"&amp;TEXT(INDEX(MASTER!$E:$E,MATCH(_xlpm.pos,MASTER!$I:$I,0)),"mmddyy"),""),_xlpm.slot,768+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95" s="4" t="str">
        <f>_xlfn.LET(_xlpm.pos,"NIH plate 9: "&amp;$A7&amp;C$2,_xlpm.normal,IFERROR(INDEX(MASTER!$A:$A,MATCH(_xlpm.pos,MASTER!$I:$I,0))&amp;"_ser_0.20_"&amp;TEXT(INDEX(MASTER!$E:$E,MATCH(_xlpm.pos,MASTER!$I:$I,0)),"mmddyy"),""),_xlpm.slot,768+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95" s="4" t="str">
        <f>_xlfn.LET(_xlpm.pos,"NIH plate 9: "&amp;$A7&amp;D$2,_xlpm.normal,IFERROR(INDEX(MASTER!$A:$A,MATCH(_xlpm.pos,MASTER!$I:$I,0))&amp;"_ser_0.20_"&amp;TEXT(INDEX(MASTER!$E:$E,MATCH(_xlpm.pos,MASTER!$I:$I,0)),"mmddyy"),""),_xlpm.slot,768+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95" s="4" t="str">
        <f>_xlfn.LET(_xlpm.pos,"NIH plate 9: "&amp;$A7&amp;E$2,_xlpm.normal,IFERROR(INDEX(MASTER!$A:$A,MATCH(_xlpm.pos,MASTER!$I:$I,0))&amp;"_ser_0.20_"&amp;TEXT(INDEX(MASTER!$E:$E,MATCH(_xlpm.pos,MASTER!$I:$I,0)),"mmddyy"),""),_xlpm.slot,768+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95" s="4" t="str">
        <f>_xlfn.LET(_xlpm.pos,"NIH plate 9: "&amp;$A7&amp;F$2,_xlpm.normal,IFERROR(INDEX(MASTER!$A:$A,MATCH(_xlpm.pos,MASTER!$I:$I,0))&amp;"_ser_0.20_"&amp;TEXT(INDEX(MASTER!$E:$E,MATCH(_xlpm.pos,MASTER!$I:$I,0)),"mmddyy"),""),_xlpm.slot,768+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95" s="4" t="str">
        <f>_xlfn.LET(_xlpm.pos,"NIH plate 9: "&amp;$A7&amp;G$2,_xlpm.normal,IFERROR(INDEX(MASTER!$A:$A,MATCH(_xlpm.pos,MASTER!$I:$I,0))&amp;"_ser_0.20_"&amp;TEXT(INDEX(MASTER!$E:$E,MATCH(_xlpm.pos,MASTER!$I:$I,0)),"mmddyy"),""),_xlpm.slot,768+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95" s="4" t="str">
        <f>_xlfn.LET(_xlpm.pos,"NIH plate 9: "&amp;$A7&amp;H$2,_xlpm.normal,IFERROR(INDEX(MASTER!$A:$A,MATCH(_xlpm.pos,MASTER!$I:$I,0))&amp;"_ser_0.20_"&amp;TEXT(INDEX(MASTER!$E:$E,MATCH(_xlpm.pos,MASTER!$I:$I,0)),"mmddyy"),""),_xlpm.slot,768+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95" s="4" t="str">
        <f>_xlfn.LET(_xlpm.pos,"NIH plate 9: "&amp;$A7&amp;I$2,_xlpm.normal,IFERROR(INDEX(MASTER!$A:$A,MATCH(_xlpm.pos,MASTER!$I:$I,0))&amp;"_ser_0.20_"&amp;TEXT(INDEX(MASTER!$E:$E,MATCH(_xlpm.pos,MASTER!$I:$I,0)),"mmddyy"),""),_xlpm.slot,768+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95" s="4" t="str">
        <f>_xlfn.LET(_xlpm.pos,"NIH plate 9: "&amp;$A7&amp;J$2,_xlpm.normal,IFERROR(INDEX(MASTER!$A:$A,MATCH(_xlpm.pos,MASTER!$I:$I,0))&amp;"_ser_0.20_"&amp;TEXT(INDEX(MASTER!$E:$E,MATCH(_xlpm.pos,MASTER!$I:$I,0)),"mmddyy"),""),_xlpm.slot,768+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95" s="4" t="str">
        <f>_xlfn.LET(_xlpm.pos,"NIH plate 9: "&amp;$A7&amp;K$2,_xlpm.normal,IFERROR(INDEX(MASTER!$A:$A,MATCH(_xlpm.pos,MASTER!$I:$I,0))&amp;"_ser_0.20_"&amp;TEXT(INDEX(MASTER!$E:$E,MATCH(_xlpm.pos,MASTER!$I:$I,0)),"mmddyy"),""),_xlpm.slot,768+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95" s="4" t="str">
        <f>_xlfn.LET(_xlpm.pos,"NIH plate 9: "&amp;$A7&amp;L$2,_xlpm.normal,IFERROR(INDEX(MASTER!$A:$A,MATCH(_xlpm.pos,MASTER!$I:$I,0))&amp;"_ser_0.20_"&amp;TEXT(INDEX(MASTER!$E:$E,MATCH(_xlpm.pos,MASTER!$I:$I,0)),"mmddyy"),""),_xlpm.slot,768+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95" s="4" t="str">
        <f>_xlfn.LET(_xlpm.pos,"NIH plate 9: "&amp;$A7&amp;M$2,_xlpm.normal,IFERROR(INDEX(MASTER!$A:$A,MATCH(_xlpm.pos,MASTER!$I:$I,0))&amp;"_ser_0.20_"&amp;TEXT(INDEX(MASTER!$E:$E,MATCH(_xlpm.pos,MASTER!$I:$I,0)),"mmddyy"),""),_xlpm.slot,768+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96" spans="1:13" ht="22" customHeight="1" x14ac:dyDescent="0.35">
      <c r="A96" s="6" t="s">
        <v>15</v>
      </c>
      <c r="B96" s="4" t="str">
        <f>_xlfn.LET(_xlpm.pos,"NIH plate 9: "&amp;$A8&amp;B$2,_xlpm.normal,IFERROR(INDEX(MASTER!$A:$A,MATCH(_xlpm.pos,MASTER!$I:$I,0))&amp;"_ser_0.20_"&amp;TEXT(INDEX(MASTER!$E:$E,MATCH(_xlpm.pos,MASTER!$I:$I,0)),"mmddyy"),""),_xlpm.slot,768+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96" s="4" t="str">
        <f>_xlfn.LET(_xlpm.pos,"NIH plate 9: "&amp;$A8&amp;C$2,_xlpm.normal,IFERROR(INDEX(MASTER!$A:$A,MATCH(_xlpm.pos,MASTER!$I:$I,0))&amp;"_ser_0.20_"&amp;TEXT(INDEX(MASTER!$E:$E,MATCH(_xlpm.pos,MASTER!$I:$I,0)),"mmddyy"),""),_xlpm.slot,768+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96" s="4" t="str">
        <f>_xlfn.LET(_xlpm.pos,"NIH plate 9: "&amp;$A8&amp;D$2,_xlpm.normal,IFERROR(INDEX(MASTER!$A:$A,MATCH(_xlpm.pos,MASTER!$I:$I,0))&amp;"_ser_0.20_"&amp;TEXT(INDEX(MASTER!$E:$E,MATCH(_xlpm.pos,MASTER!$I:$I,0)),"mmddyy"),""),_xlpm.slot,768+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96" s="4" t="str">
        <f>_xlfn.LET(_xlpm.pos,"NIH plate 9: "&amp;$A8&amp;E$2,_xlpm.normal,IFERROR(INDEX(MASTER!$A:$A,MATCH(_xlpm.pos,MASTER!$I:$I,0))&amp;"_ser_0.20_"&amp;TEXT(INDEX(MASTER!$E:$E,MATCH(_xlpm.pos,MASTER!$I:$I,0)),"mmddyy"),""),_xlpm.slot,768+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96" s="4" t="str">
        <f>_xlfn.LET(_xlpm.pos,"NIH plate 9: "&amp;$A8&amp;F$2,_xlpm.normal,IFERROR(INDEX(MASTER!$A:$A,MATCH(_xlpm.pos,MASTER!$I:$I,0))&amp;"_ser_0.20_"&amp;TEXT(INDEX(MASTER!$E:$E,MATCH(_xlpm.pos,MASTER!$I:$I,0)),"mmddyy"),""),_xlpm.slot,768+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96" s="4" t="str">
        <f>_xlfn.LET(_xlpm.pos,"NIH plate 9: "&amp;$A8&amp;G$2,_xlpm.normal,IFERROR(INDEX(MASTER!$A:$A,MATCH(_xlpm.pos,MASTER!$I:$I,0))&amp;"_ser_0.20_"&amp;TEXT(INDEX(MASTER!$E:$E,MATCH(_xlpm.pos,MASTER!$I:$I,0)),"mmddyy"),""),_xlpm.slot,768+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96" s="4" t="str">
        <f>_xlfn.LET(_xlpm.pos,"NIH plate 9: "&amp;$A8&amp;H$2,_xlpm.normal,IFERROR(INDEX(MASTER!$A:$A,MATCH(_xlpm.pos,MASTER!$I:$I,0))&amp;"_ser_0.20_"&amp;TEXT(INDEX(MASTER!$E:$E,MATCH(_xlpm.pos,MASTER!$I:$I,0)),"mmddyy"),""),_xlpm.slot,768+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96" s="4" t="str">
        <f>_xlfn.LET(_xlpm.pos,"NIH plate 9: "&amp;$A8&amp;I$2,_xlpm.normal,IFERROR(INDEX(MASTER!$A:$A,MATCH(_xlpm.pos,MASTER!$I:$I,0))&amp;"_ser_0.20_"&amp;TEXT(INDEX(MASTER!$E:$E,MATCH(_xlpm.pos,MASTER!$I:$I,0)),"mmddyy"),""),_xlpm.slot,768+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96" s="4" t="str">
        <f>_xlfn.LET(_xlpm.pos,"NIH plate 9: "&amp;$A8&amp;J$2,_xlpm.normal,IFERROR(INDEX(MASTER!$A:$A,MATCH(_xlpm.pos,MASTER!$I:$I,0))&amp;"_ser_0.20_"&amp;TEXT(INDEX(MASTER!$E:$E,MATCH(_xlpm.pos,MASTER!$I:$I,0)),"mmddyy"),""),_xlpm.slot,768+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96" s="4" t="str">
        <f>_xlfn.LET(_xlpm.pos,"NIH plate 9: "&amp;$A8&amp;K$2,_xlpm.normal,IFERROR(INDEX(MASTER!$A:$A,MATCH(_xlpm.pos,MASTER!$I:$I,0))&amp;"_ser_0.20_"&amp;TEXT(INDEX(MASTER!$E:$E,MATCH(_xlpm.pos,MASTER!$I:$I,0)),"mmddyy"),""),_xlpm.slot,768+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96" s="4" t="str">
        <f>_xlfn.LET(_xlpm.pos,"NIH plate 9: "&amp;$A8&amp;L$2,_xlpm.normal,IFERROR(INDEX(MASTER!$A:$A,MATCH(_xlpm.pos,MASTER!$I:$I,0))&amp;"_ser_0.20_"&amp;TEXT(INDEX(MASTER!$E:$E,MATCH(_xlpm.pos,MASTER!$I:$I,0)),"mmddyy"),""),_xlpm.slot,768+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96" s="4" t="str">
        <f>_xlfn.LET(_xlpm.pos,"NIH plate 9: "&amp;$A8&amp;M$2,_xlpm.normal,IFERROR(INDEX(MASTER!$A:$A,MATCH(_xlpm.pos,MASTER!$I:$I,0))&amp;"_ser_0.20_"&amp;TEXT(INDEX(MASTER!$E:$E,MATCH(_xlpm.pos,MASTER!$I:$I,0)),"mmddyy"),""),_xlpm.slot,768+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97" spans="1:13" ht="22" customHeight="1" x14ac:dyDescent="0.35">
      <c r="A97" s="6" t="s">
        <v>35</v>
      </c>
      <c r="B97" s="4" t="str">
        <f>_xlfn.LET(_xlpm.pos,"NIH plate 9: "&amp;$A9&amp;B$2,_xlpm.normal,IFERROR(INDEX(MASTER!$A:$A,MATCH(_xlpm.pos,MASTER!$I:$I,0))&amp;"_ser_0.20_"&amp;TEXT(INDEX(MASTER!$E:$E,MATCH(_xlpm.pos,MASTER!$I:$I,0)),"mmddyy"),""),_xlpm.slot,768+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97" s="4" t="str">
        <f>_xlfn.LET(_xlpm.pos,"NIH plate 9: "&amp;$A9&amp;C$2,_xlpm.normal,IFERROR(INDEX(MASTER!$A:$A,MATCH(_xlpm.pos,MASTER!$I:$I,0))&amp;"_ser_0.20_"&amp;TEXT(INDEX(MASTER!$E:$E,MATCH(_xlpm.pos,MASTER!$I:$I,0)),"mmddyy"),""),_xlpm.slot,768+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97" s="4" t="str">
        <f>_xlfn.LET(_xlpm.pos,"NIH plate 9: "&amp;$A9&amp;D$2,_xlpm.normal,IFERROR(INDEX(MASTER!$A:$A,MATCH(_xlpm.pos,MASTER!$I:$I,0))&amp;"_ser_0.20_"&amp;TEXT(INDEX(MASTER!$E:$E,MATCH(_xlpm.pos,MASTER!$I:$I,0)),"mmddyy"),""),_xlpm.slot,768+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97" s="4" t="str">
        <f>_xlfn.LET(_xlpm.pos,"NIH plate 9: "&amp;$A9&amp;E$2,_xlpm.normal,IFERROR(INDEX(MASTER!$A:$A,MATCH(_xlpm.pos,MASTER!$I:$I,0))&amp;"_ser_0.20_"&amp;TEXT(INDEX(MASTER!$E:$E,MATCH(_xlpm.pos,MASTER!$I:$I,0)),"mmddyy"),""),_xlpm.slot,768+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97" s="4" t="str">
        <f>_xlfn.LET(_xlpm.pos,"NIH plate 9: "&amp;$A9&amp;F$2,_xlpm.normal,IFERROR(INDEX(MASTER!$A:$A,MATCH(_xlpm.pos,MASTER!$I:$I,0))&amp;"_ser_0.20_"&amp;TEXT(INDEX(MASTER!$E:$E,MATCH(_xlpm.pos,MASTER!$I:$I,0)),"mmddyy"),""),_xlpm.slot,768+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97" s="4" t="str">
        <f>_xlfn.LET(_xlpm.pos,"NIH plate 9: "&amp;$A9&amp;G$2,_xlpm.normal,IFERROR(INDEX(MASTER!$A:$A,MATCH(_xlpm.pos,MASTER!$I:$I,0))&amp;"_ser_0.20_"&amp;TEXT(INDEX(MASTER!$E:$E,MATCH(_xlpm.pos,MASTER!$I:$I,0)),"mmddyy"),""),_xlpm.slot,768+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97" s="4" t="str">
        <f>_xlfn.LET(_xlpm.pos,"NIH plate 9: "&amp;$A9&amp;H$2,_xlpm.normal,IFERROR(INDEX(MASTER!$A:$A,MATCH(_xlpm.pos,MASTER!$I:$I,0))&amp;"_ser_0.20_"&amp;TEXT(INDEX(MASTER!$E:$E,MATCH(_xlpm.pos,MASTER!$I:$I,0)),"mmddyy"),""),_xlpm.slot,768+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97" s="4" t="str">
        <f>_xlfn.LET(_xlpm.pos,"NIH plate 9: "&amp;$A9&amp;I$2,_xlpm.normal,IFERROR(INDEX(MASTER!$A:$A,MATCH(_xlpm.pos,MASTER!$I:$I,0))&amp;"_ser_0.20_"&amp;TEXT(INDEX(MASTER!$E:$E,MATCH(_xlpm.pos,MASTER!$I:$I,0)),"mmddyy"),""),_xlpm.slot,768+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97" s="4" t="str">
        <f>_xlfn.LET(_xlpm.pos,"NIH plate 9: "&amp;$A9&amp;J$2,_xlpm.normal,IFERROR(INDEX(MASTER!$A:$A,MATCH(_xlpm.pos,MASTER!$I:$I,0))&amp;"_ser_0.20_"&amp;TEXT(INDEX(MASTER!$E:$E,MATCH(_xlpm.pos,MASTER!$I:$I,0)),"mmddyy"),""),_xlpm.slot,768+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97" s="4" t="str">
        <f>_xlfn.LET(_xlpm.pos,"NIH plate 9: "&amp;$A9&amp;K$2,_xlpm.normal,IFERROR(INDEX(MASTER!$A:$A,MATCH(_xlpm.pos,MASTER!$I:$I,0))&amp;"_ser_0.20_"&amp;TEXT(INDEX(MASTER!$E:$E,MATCH(_xlpm.pos,MASTER!$I:$I,0)),"mmddyy"),""),_xlpm.slot,768+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97" s="4" t="str">
        <f>_xlfn.LET(_xlpm.pos,"NIH plate 9: "&amp;$A9&amp;L$2,_xlpm.normal,IFERROR(INDEX(MASTER!$A:$A,MATCH(_xlpm.pos,MASTER!$I:$I,0))&amp;"_ser_0.20_"&amp;TEXT(INDEX(MASTER!$E:$E,MATCH(_xlpm.pos,MASTER!$I:$I,0)),"mmddyy"),""),_xlpm.slot,768+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97" s="4" t="str">
        <f>_xlfn.LET(_xlpm.pos,"NIH plate 9: "&amp;$A9&amp;M$2,_xlpm.normal,IFERROR(INDEX(MASTER!$A:$A,MATCH(_xlpm.pos,MASTER!$I:$I,0))&amp;"_ser_0.20_"&amp;TEXT(INDEX(MASTER!$E:$E,MATCH(_xlpm.pos,MASTER!$I:$I,0)),"mmddyy"),""),_xlpm.slot,768+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98" spans="1:13" ht="22" customHeight="1" x14ac:dyDescent="0.35">
      <c r="A98" s="6" t="s">
        <v>36</v>
      </c>
      <c r="B98" s="4" t="str">
        <f>_xlfn.LET(_xlpm.pos,"NIH plate 9: "&amp;$A10&amp;B$2,_xlpm.normal,IFERROR(INDEX(MASTER!$A:$A,MATCH(_xlpm.pos,MASTER!$I:$I,0))&amp;"_ser_0.20_"&amp;TEXT(INDEX(MASTER!$E:$E,MATCH(_xlpm.pos,MASTER!$I:$I,0)),"mmddyy"),""),_xlpm.slot,768+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98" s="4" t="str">
        <f>_xlfn.LET(_xlpm.pos,"NIH plate 9: "&amp;$A10&amp;C$2,_xlpm.normal,IFERROR(INDEX(MASTER!$A:$A,MATCH(_xlpm.pos,MASTER!$I:$I,0))&amp;"_ser_0.20_"&amp;TEXT(INDEX(MASTER!$E:$E,MATCH(_xlpm.pos,MASTER!$I:$I,0)),"mmddyy"),""),_xlpm.slot,768+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98" s="4" t="str">
        <f>_xlfn.LET(_xlpm.pos,"NIH plate 9: "&amp;$A10&amp;D$2,_xlpm.normal,IFERROR(INDEX(MASTER!$A:$A,MATCH(_xlpm.pos,MASTER!$I:$I,0))&amp;"_ser_0.20_"&amp;TEXT(INDEX(MASTER!$E:$E,MATCH(_xlpm.pos,MASTER!$I:$I,0)),"mmddyy"),""),_xlpm.slot,768+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98" s="4" t="str">
        <f>_xlfn.LET(_xlpm.pos,"NIH plate 9: "&amp;$A10&amp;E$2,_xlpm.normal,IFERROR(INDEX(MASTER!$A:$A,MATCH(_xlpm.pos,MASTER!$I:$I,0))&amp;"_ser_0.20_"&amp;TEXT(INDEX(MASTER!$E:$E,MATCH(_xlpm.pos,MASTER!$I:$I,0)),"mmddyy"),""),_xlpm.slot,768+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98" s="4" t="str">
        <f>_xlfn.LET(_xlpm.pos,"NIH plate 9: "&amp;$A10&amp;F$2,_xlpm.normal,IFERROR(INDEX(MASTER!$A:$A,MATCH(_xlpm.pos,MASTER!$I:$I,0))&amp;"_ser_0.20_"&amp;TEXT(INDEX(MASTER!$E:$E,MATCH(_xlpm.pos,MASTER!$I:$I,0)),"mmddyy"),""),_xlpm.slot,768+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98" s="4" t="str">
        <f>_xlfn.LET(_xlpm.pos,"NIH plate 9: "&amp;$A10&amp;G$2,_xlpm.normal,IFERROR(INDEX(MASTER!$A:$A,MATCH(_xlpm.pos,MASTER!$I:$I,0))&amp;"_ser_0.20_"&amp;TEXT(INDEX(MASTER!$E:$E,MATCH(_xlpm.pos,MASTER!$I:$I,0)),"mmddyy"),""),_xlpm.slot,768+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98" s="4" t="str">
        <f>_xlfn.LET(_xlpm.pos,"NIH plate 9: "&amp;$A10&amp;H$2,_xlpm.normal,IFERROR(INDEX(MASTER!$A:$A,MATCH(_xlpm.pos,MASTER!$I:$I,0))&amp;"_ser_0.20_"&amp;TEXT(INDEX(MASTER!$E:$E,MATCH(_xlpm.pos,MASTER!$I:$I,0)),"mmddyy"),""),_xlpm.slot,768+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98" s="4" t="str">
        <f>_xlfn.LET(_xlpm.pos,"NIH plate 9: "&amp;$A10&amp;I$2,_xlpm.normal,IFERROR(INDEX(MASTER!$A:$A,MATCH(_xlpm.pos,MASTER!$I:$I,0))&amp;"_ser_0.20_"&amp;TEXT(INDEX(MASTER!$E:$E,MATCH(_xlpm.pos,MASTER!$I:$I,0)),"mmddyy"),""),_xlpm.slot,768+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98" s="4" t="str">
        <f>_xlfn.LET(_xlpm.pos,"NIH plate 9: "&amp;$A10&amp;J$2,_xlpm.normal,IFERROR(INDEX(MASTER!$A:$A,MATCH(_xlpm.pos,MASTER!$I:$I,0))&amp;"_ser_0.20_"&amp;TEXT(INDEX(MASTER!$E:$E,MATCH(_xlpm.pos,MASTER!$I:$I,0)),"mmddyy"),""),_xlpm.slot,768+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98" s="4" t="str">
        <f>_xlfn.LET(_xlpm.pos,"NIH plate 9: "&amp;$A10&amp;K$2,_xlpm.normal,IFERROR(INDEX(MASTER!$A:$A,MATCH(_xlpm.pos,MASTER!$I:$I,0))&amp;"_ser_0.20_"&amp;TEXT(INDEX(MASTER!$E:$E,MATCH(_xlpm.pos,MASTER!$I:$I,0)),"mmddyy"),""),_xlpm.slot,768+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98" s="4" t="str">
        <f>_xlfn.LET(_xlpm.pos,"NIH plate 9: "&amp;$A10&amp;L$2,_xlpm.normal,IFERROR(INDEX(MASTER!$A:$A,MATCH(_xlpm.pos,MASTER!$I:$I,0))&amp;"_ser_0.20_"&amp;TEXT(INDEX(MASTER!$E:$E,MATCH(_xlpm.pos,MASTER!$I:$I,0)),"mmddyy"),""),_xlpm.slot,768+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98" s="4" t="str">
        <f>_xlfn.LET(_xlpm.pos,"NIH plate 9: "&amp;$A10&amp;M$2,_xlpm.normal,IFERROR(INDEX(MASTER!$A:$A,MATCH(_xlpm.pos,MASTER!$I:$I,0))&amp;"_ser_0.20_"&amp;TEXT(INDEX(MASTER!$E:$E,MATCH(_xlpm.pos,MASTER!$I:$I,0)),"mmddyy"),""),_xlpm.slot,768+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99" spans="1:13" ht="22" customHeight="1" x14ac:dyDescent="0.3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 spans="1:13" ht="22" customHeight="1" x14ac:dyDescent="0.35">
      <c r="A100" s="7"/>
      <c r="B100" s="31" t="s">
        <v>66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3"/>
    </row>
    <row r="101" spans="1:13" ht="22" customHeight="1" x14ac:dyDescent="0.35">
      <c r="A101" s="7"/>
      <c r="B101" s="6">
        <v>1</v>
      </c>
      <c r="C101" s="6">
        <v>2</v>
      </c>
      <c r="D101" s="6">
        <v>3</v>
      </c>
      <c r="E101" s="6">
        <v>4</v>
      </c>
      <c r="F101" s="6">
        <v>5</v>
      </c>
      <c r="G101" s="6">
        <v>6</v>
      </c>
      <c r="H101" s="6">
        <v>7</v>
      </c>
      <c r="I101" s="6">
        <v>8</v>
      </c>
      <c r="J101" s="6">
        <v>9</v>
      </c>
      <c r="K101" s="6">
        <v>10</v>
      </c>
      <c r="L101" s="6">
        <v>11</v>
      </c>
      <c r="M101" s="6">
        <v>12</v>
      </c>
    </row>
    <row r="102" spans="1:13" ht="22" customHeight="1" x14ac:dyDescent="0.35">
      <c r="A102" s="6" t="s">
        <v>30</v>
      </c>
      <c r="B102" s="4" t="str">
        <f>_xlfn.LET(_xlpm.pos,"NIH plate 10: "&amp;$A3&amp;B$2,_xlpm.normal,IFERROR(INDEX(MASTER!$A:$A,MATCH(_xlpm.pos,MASTER!$I:$I,0))&amp;"_ser_0.20_"&amp;TEXT(INDEX(MASTER!$E:$E,MATCH(_xlpm.pos,MASTER!$I:$I,0)),"mmddyy"),""),_xlpm.slot,864+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02" s="4" t="str">
        <f>_xlfn.LET(_xlpm.pos,"NIH plate 10: "&amp;$A3&amp;C$2,_xlpm.normal,IFERROR(INDEX(MASTER!$A:$A,MATCH(_xlpm.pos,MASTER!$I:$I,0))&amp;"_ser_0.20_"&amp;TEXT(INDEX(MASTER!$E:$E,MATCH(_xlpm.pos,MASTER!$I:$I,0)),"mmddyy"),""),_xlpm.slot,864+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02" s="4" t="str">
        <f>_xlfn.LET(_xlpm.pos,"NIH plate 10: "&amp;$A3&amp;D$2,_xlpm.normal,IFERROR(INDEX(MASTER!$A:$A,MATCH(_xlpm.pos,MASTER!$I:$I,0))&amp;"_ser_0.20_"&amp;TEXT(INDEX(MASTER!$E:$E,MATCH(_xlpm.pos,MASTER!$I:$I,0)),"mmddyy"),""),_xlpm.slot,864+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02" s="4" t="str">
        <f>_xlfn.LET(_xlpm.pos,"NIH plate 10: "&amp;$A3&amp;E$2,_xlpm.normal,IFERROR(INDEX(MASTER!$A:$A,MATCH(_xlpm.pos,MASTER!$I:$I,0))&amp;"_ser_0.20_"&amp;TEXT(INDEX(MASTER!$E:$E,MATCH(_xlpm.pos,MASTER!$I:$I,0)),"mmddyy"),""),_xlpm.slot,864+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02" s="4" t="str">
        <f>_xlfn.LET(_xlpm.pos,"NIH plate 10: "&amp;$A3&amp;F$2,_xlpm.normal,IFERROR(INDEX(MASTER!$A:$A,MATCH(_xlpm.pos,MASTER!$I:$I,0))&amp;"_ser_0.20_"&amp;TEXT(INDEX(MASTER!$E:$E,MATCH(_xlpm.pos,MASTER!$I:$I,0)),"mmddyy"),""),_xlpm.slot,864+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02" s="4" t="str">
        <f>_xlfn.LET(_xlpm.pos,"NIH plate 10: "&amp;$A3&amp;G$2,_xlpm.normal,IFERROR(INDEX(MASTER!$A:$A,MATCH(_xlpm.pos,MASTER!$I:$I,0))&amp;"_ser_0.20_"&amp;TEXT(INDEX(MASTER!$E:$E,MATCH(_xlpm.pos,MASTER!$I:$I,0)),"mmddyy"),""),_xlpm.slot,864+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02" s="4" t="str">
        <f>_xlfn.LET(_xlpm.pos,"NIH plate 10: "&amp;$A3&amp;H$2,_xlpm.normal,IFERROR(INDEX(MASTER!$A:$A,MATCH(_xlpm.pos,MASTER!$I:$I,0))&amp;"_ser_0.20_"&amp;TEXT(INDEX(MASTER!$E:$E,MATCH(_xlpm.pos,MASTER!$I:$I,0)),"mmddyy"),""),_xlpm.slot,864+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02" s="4" t="str">
        <f>_xlfn.LET(_xlpm.pos,"NIH plate 10: "&amp;$A3&amp;I$2,_xlpm.normal,IFERROR(INDEX(MASTER!$A:$A,MATCH(_xlpm.pos,MASTER!$I:$I,0))&amp;"_ser_0.20_"&amp;TEXT(INDEX(MASTER!$E:$E,MATCH(_xlpm.pos,MASTER!$I:$I,0)),"mmddyy"),""),_xlpm.slot,864+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02" s="4" t="str">
        <f>_xlfn.LET(_xlpm.pos,"NIH plate 10: "&amp;$A3&amp;J$2,_xlpm.normal,IFERROR(INDEX(MASTER!$A:$A,MATCH(_xlpm.pos,MASTER!$I:$I,0))&amp;"_ser_0.20_"&amp;TEXT(INDEX(MASTER!$E:$E,MATCH(_xlpm.pos,MASTER!$I:$I,0)),"mmddyy"),""),_xlpm.slot,864+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02" s="4" t="str">
        <f>_xlfn.LET(_xlpm.pos,"NIH plate 10: "&amp;$A3&amp;K$2,_xlpm.normal,IFERROR(INDEX(MASTER!$A:$A,MATCH(_xlpm.pos,MASTER!$I:$I,0))&amp;"_ser_0.20_"&amp;TEXT(INDEX(MASTER!$E:$E,MATCH(_xlpm.pos,MASTER!$I:$I,0)),"mmddyy"),""),_xlpm.slot,864+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02" s="4" t="str">
        <f>_xlfn.LET(_xlpm.pos,"NIH plate 10: "&amp;$A3&amp;L$2,_xlpm.normal,IFERROR(INDEX(MASTER!$A:$A,MATCH(_xlpm.pos,MASTER!$I:$I,0))&amp;"_ser_0.20_"&amp;TEXT(INDEX(MASTER!$E:$E,MATCH(_xlpm.pos,MASTER!$I:$I,0)),"mmddyy"),""),_xlpm.slot,864+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02" s="4" t="str">
        <f>_xlfn.LET(_xlpm.pos,"NIH plate 10: "&amp;$A3&amp;M$2,_xlpm.normal,IFERROR(INDEX(MASTER!$A:$A,MATCH(_xlpm.pos,MASTER!$I:$I,0))&amp;"_ser_0.20_"&amp;TEXT(INDEX(MASTER!$E:$E,MATCH(_xlpm.pos,MASTER!$I:$I,0)),"mmddyy"),""),_xlpm.slot,864+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03" spans="1:13" ht="22" customHeight="1" x14ac:dyDescent="0.35">
      <c r="A103" s="6" t="s">
        <v>31</v>
      </c>
      <c r="B103" s="4" t="str">
        <f>_xlfn.LET(_xlpm.pos,"NIH plate 10: "&amp;$A4&amp;B$2,_xlpm.normal,IFERROR(INDEX(MASTER!$A:$A,MATCH(_xlpm.pos,MASTER!$I:$I,0))&amp;"_ser_0.20_"&amp;TEXT(INDEX(MASTER!$E:$E,MATCH(_xlpm.pos,MASTER!$I:$I,0)),"mmddyy"),""),_xlpm.slot,864+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03" s="4" t="str">
        <f>_xlfn.LET(_xlpm.pos,"NIH plate 10: "&amp;$A4&amp;C$2,_xlpm.normal,IFERROR(INDEX(MASTER!$A:$A,MATCH(_xlpm.pos,MASTER!$I:$I,0))&amp;"_ser_0.20_"&amp;TEXT(INDEX(MASTER!$E:$E,MATCH(_xlpm.pos,MASTER!$I:$I,0)),"mmddyy"),""),_xlpm.slot,864+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03" s="4" t="str">
        <f>_xlfn.LET(_xlpm.pos,"NIH plate 10: "&amp;$A4&amp;D$2,_xlpm.normal,IFERROR(INDEX(MASTER!$A:$A,MATCH(_xlpm.pos,MASTER!$I:$I,0))&amp;"_ser_0.20_"&amp;TEXT(INDEX(MASTER!$E:$E,MATCH(_xlpm.pos,MASTER!$I:$I,0)),"mmddyy"),""),_xlpm.slot,864+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03" s="4" t="str">
        <f>_xlfn.LET(_xlpm.pos,"NIH plate 10: "&amp;$A4&amp;E$2,_xlpm.normal,IFERROR(INDEX(MASTER!$A:$A,MATCH(_xlpm.pos,MASTER!$I:$I,0))&amp;"_ser_0.20_"&amp;TEXT(INDEX(MASTER!$E:$E,MATCH(_xlpm.pos,MASTER!$I:$I,0)),"mmddyy"),""),_xlpm.slot,864+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03" s="4" t="str">
        <f>_xlfn.LET(_xlpm.pos,"NIH plate 10: "&amp;$A4&amp;F$2,_xlpm.normal,IFERROR(INDEX(MASTER!$A:$A,MATCH(_xlpm.pos,MASTER!$I:$I,0))&amp;"_ser_0.20_"&amp;TEXT(INDEX(MASTER!$E:$E,MATCH(_xlpm.pos,MASTER!$I:$I,0)),"mmddyy"),""),_xlpm.slot,864+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03" s="4" t="str">
        <f>_xlfn.LET(_xlpm.pos,"NIH plate 10: "&amp;$A4&amp;G$2,_xlpm.normal,IFERROR(INDEX(MASTER!$A:$A,MATCH(_xlpm.pos,MASTER!$I:$I,0))&amp;"_ser_0.20_"&amp;TEXT(INDEX(MASTER!$E:$E,MATCH(_xlpm.pos,MASTER!$I:$I,0)),"mmddyy"),""),_xlpm.slot,864+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03" s="4" t="str">
        <f>_xlfn.LET(_xlpm.pos,"NIH plate 10: "&amp;$A4&amp;H$2,_xlpm.normal,IFERROR(INDEX(MASTER!$A:$A,MATCH(_xlpm.pos,MASTER!$I:$I,0))&amp;"_ser_0.20_"&amp;TEXT(INDEX(MASTER!$E:$E,MATCH(_xlpm.pos,MASTER!$I:$I,0)),"mmddyy"),""),_xlpm.slot,864+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03" s="4" t="str">
        <f>_xlfn.LET(_xlpm.pos,"NIH plate 10: "&amp;$A4&amp;I$2,_xlpm.normal,IFERROR(INDEX(MASTER!$A:$A,MATCH(_xlpm.pos,MASTER!$I:$I,0))&amp;"_ser_0.20_"&amp;TEXT(INDEX(MASTER!$E:$E,MATCH(_xlpm.pos,MASTER!$I:$I,0)),"mmddyy"),""),_xlpm.slot,864+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03" s="4" t="str">
        <f>_xlfn.LET(_xlpm.pos,"NIH plate 10: "&amp;$A4&amp;J$2,_xlpm.normal,IFERROR(INDEX(MASTER!$A:$A,MATCH(_xlpm.pos,MASTER!$I:$I,0))&amp;"_ser_0.20_"&amp;TEXT(INDEX(MASTER!$E:$E,MATCH(_xlpm.pos,MASTER!$I:$I,0)),"mmddyy"),""),_xlpm.slot,864+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03" s="4" t="str">
        <f>_xlfn.LET(_xlpm.pos,"NIH plate 10: "&amp;$A4&amp;K$2,_xlpm.normal,IFERROR(INDEX(MASTER!$A:$A,MATCH(_xlpm.pos,MASTER!$I:$I,0))&amp;"_ser_0.20_"&amp;TEXT(INDEX(MASTER!$E:$E,MATCH(_xlpm.pos,MASTER!$I:$I,0)),"mmddyy"),""),_xlpm.slot,864+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03" s="4" t="str">
        <f>_xlfn.LET(_xlpm.pos,"NIH plate 10: "&amp;$A4&amp;L$2,_xlpm.normal,IFERROR(INDEX(MASTER!$A:$A,MATCH(_xlpm.pos,MASTER!$I:$I,0))&amp;"_ser_0.20_"&amp;TEXT(INDEX(MASTER!$E:$E,MATCH(_xlpm.pos,MASTER!$I:$I,0)),"mmddyy"),""),_xlpm.slot,864+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03" s="4" t="str">
        <f>_xlfn.LET(_xlpm.pos,"NIH plate 10: "&amp;$A4&amp;M$2,_xlpm.normal,IFERROR(INDEX(MASTER!$A:$A,MATCH(_xlpm.pos,MASTER!$I:$I,0))&amp;"_ser_0.20_"&amp;TEXT(INDEX(MASTER!$E:$E,MATCH(_xlpm.pos,MASTER!$I:$I,0)),"mmddyy"),""),_xlpm.slot,864+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04" spans="1:13" ht="22" customHeight="1" x14ac:dyDescent="0.35">
      <c r="A104" s="6" t="s">
        <v>32</v>
      </c>
      <c r="B104" s="4" t="str">
        <f>_xlfn.LET(_xlpm.pos,"NIH plate 10: "&amp;$A5&amp;B$2,_xlpm.normal,IFERROR(INDEX(MASTER!$A:$A,MATCH(_xlpm.pos,MASTER!$I:$I,0))&amp;"_ser_0.20_"&amp;TEXT(INDEX(MASTER!$E:$E,MATCH(_xlpm.pos,MASTER!$I:$I,0)),"mmddyy"),""),_xlpm.slot,864+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04" s="4" t="str">
        <f>_xlfn.LET(_xlpm.pos,"NIH plate 10: "&amp;$A5&amp;C$2,_xlpm.normal,IFERROR(INDEX(MASTER!$A:$A,MATCH(_xlpm.pos,MASTER!$I:$I,0))&amp;"_ser_0.20_"&amp;TEXT(INDEX(MASTER!$E:$E,MATCH(_xlpm.pos,MASTER!$I:$I,0)),"mmddyy"),""),_xlpm.slot,864+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04" s="4" t="str">
        <f>_xlfn.LET(_xlpm.pos,"NIH plate 10: "&amp;$A5&amp;D$2,_xlpm.normal,IFERROR(INDEX(MASTER!$A:$A,MATCH(_xlpm.pos,MASTER!$I:$I,0))&amp;"_ser_0.20_"&amp;TEXT(INDEX(MASTER!$E:$E,MATCH(_xlpm.pos,MASTER!$I:$I,0)),"mmddyy"),""),_xlpm.slot,864+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04" s="4" t="str">
        <f>_xlfn.LET(_xlpm.pos,"NIH plate 10: "&amp;$A5&amp;E$2,_xlpm.normal,IFERROR(INDEX(MASTER!$A:$A,MATCH(_xlpm.pos,MASTER!$I:$I,0))&amp;"_ser_0.20_"&amp;TEXT(INDEX(MASTER!$E:$E,MATCH(_xlpm.pos,MASTER!$I:$I,0)),"mmddyy"),""),_xlpm.slot,864+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04" s="4" t="str">
        <f>_xlfn.LET(_xlpm.pos,"NIH plate 10: "&amp;$A5&amp;F$2,_xlpm.normal,IFERROR(INDEX(MASTER!$A:$A,MATCH(_xlpm.pos,MASTER!$I:$I,0))&amp;"_ser_0.20_"&amp;TEXT(INDEX(MASTER!$E:$E,MATCH(_xlpm.pos,MASTER!$I:$I,0)),"mmddyy"),""),_xlpm.slot,864+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04" s="4" t="str">
        <f>_xlfn.LET(_xlpm.pos,"NIH plate 10: "&amp;$A5&amp;G$2,_xlpm.normal,IFERROR(INDEX(MASTER!$A:$A,MATCH(_xlpm.pos,MASTER!$I:$I,0))&amp;"_ser_0.20_"&amp;TEXT(INDEX(MASTER!$E:$E,MATCH(_xlpm.pos,MASTER!$I:$I,0)),"mmddyy"),""),_xlpm.slot,864+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04" s="4" t="str">
        <f>_xlfn.LET(_xlpm.pos,"NIH plate 10: "&amp;$A5&amp;H$2,_xlpm.normal,IFERROR(INDEX(MASTER!$A:$A,MATCH(_xlpm.pos,MASTER!$I:$I,0))&amp;"_ser_0.20_"&amp;TEXT(INDEX(MASTER!$E:$E,MATCH(_xlpm.pos,MASTER!$I:$I,0)),"mmddyy"),""),_xlpm.slot,864+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04" s="4" t="str">
        <f>_xlfn.LET(_xlpm.pos,"NIH plate 10: "&amp;$A5&amp;I$2,_xlpm.normal,IFERROR(INDEX(MASTER!$A:$A,MATCH(_xlpm.pos,MASTER!$I:$I,0))&amp;"_ser_0.20_"&amp;TEXT(INDEX(MASTER!$E:$E,MATCH(_xlpm.pos,MASTER!$I:$I,0)),"mmddyy"),""),_xlpm.slot,864+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04" s="4" t="str">
        <f>_xlfn.LET(_xlpm.pos,"NIH plate 10: "&amp;$A5&amp;J$2,_xlpm.normal,IFERROR(INDEX(MASTER!$A:$A,MATCH(_xlpm.pos,MASTER!$I:$I,0))&amp;"_ser_0.20_"&amp;TEXT(INDEX(MASTER!$E:$E,MATCH(_xlpm.pos,MASTER!$I:$I,0)),"mmddyy"),""),_xlpm.slot,864+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04" s="4" t="str">
        <f>_xlfn.LET(_xlpm.pos,"NIH plate 10: "&amp;$A5&amp;K$2,_xlpm.normal,IFERROR(INDEX(MASTER!$A:$A,MATCH(_xlpm.pos,MASTER!$I:$I,0))&amp;"_ser_0.20_"&amp;TEXT(INDEX(MASTER!$E:$E,MATCH(_xlpm.pos,MASTER!$I:$I,0)),"mmddyy"),""),_xlpm.slot,864+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04" s="4" t="str">
        <f>_xlfn.LET(_xlpm.pos,"NIH plate 10: "&amp;$A5&amp;L$2,_xlpm.normal,IFERROR(INDEX(MASTER!$A:$A,MATCH(_xlpm.pos,MASTER!$I:$I,0))&amp;"_ser_0.20_"&amp;TEXT(INDEX(MASTER!$E:$E,MATCH(_xlpm.pos,MASTER!$I:$I,0)),"mmddyy"),""),_xlpm.slot,864+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04" s="4" t="str">
        <f>_xlfn.LET(_xlpm.pos,"NIH plate 10: "&amp;$A5&amp;M$2,_xlpm.normal,IFERROR(INDEX(MASTER!$A:$A,MATCH(_xlpm.pos,MASTER!$I:$I,0))&amp;"_ser_0.20_"&amp;TEXT(INDEX(MASTER!$E:$E,MATCH(_xlpm.pos,MASTER!$I:$I,0)),"mmddyy"),""),_xlpm.slot,864+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05" spans="1:13" ht="22" customHeight="1" x14ac:dyDescent="0.35">
      <c r="A105" s="6" t="s">
        <v>33</v>
      </c>
      <c r="B105" s="4" t="str">
        <f>_xlfn.LET(_xlpm.pos,"NIH plate 10: "&amp;$A6&amp;B$2,_xlpm.normal,IFERROR(INDEX(MASTER!$A:$A,MATCH(_xlpm.pos,MASTER!$I:$I,0))&amp;"_ser_0.20_"&amp;TEXT(INDEX(MASTER!$E:$E,MATCH(_xlpm.pos,MASTER!$I:$I,0)),"mmddyy"),""),_xlpm.slot,864+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05" s="4" t="str">
        <f>_xlfn.LET(_xlpm.pos,"NIH plate 10: "&amp;$A6&amp;C$2,_xlpm.normal,IFERROR(INDEX(MASTER!$A:$A,MATCH(_xlpm.pos,MASTER!$I:$I,0))&amp;"_ser_0.20_"&amp;TEXT(INDEX(MASTER!$E:$E,MATCH(_xlpm.pos,MASTER!$I:$I,0)),"mmddyy"),""),_xlpm.slot,864+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05" s="4" t="str">
        <f>_xlfn.LET(_xlpm.pos,"NIH plate 10: "&amp;$A6&amp;D$2,_xlpm.normal,IFERROR(INDEX(MASTER!$A:$A,MATCH(_xlpm.pos,MASTER!$I:$I,0))&amp;"_ser_0.20_"&amp;TEXT(INDEX(MASTER!$E:$E,MATCH(_xlpm.pos,MASTER!$I:$I,0)),"mmddyy"),""),_xlpm.slot,864+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05" s="4" t="str">
        <f>_xlfn.LET(_xlpm.pos,"NIH plate 10: "&amp;$A6&amp;E$2,_xlpm.normal,IFERROR(INDEX(MASTER!$A:$A,MATCH(_xlpm.pos,MASTER!$I:$I,0))&amp;"_ser_0.20_"&amp;TEXT(INDEX(MASTER!$E:$E,MATCH(_xlpm.pos,MASTER!$I:$I,0)),"mmddyy"),""),_xlpm.slot,864+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05" s="4" t="str">
        <f>_xlfn.LET(_xlpm.pos,"NIH plate 10: "&amp;$A6&amp;F$2,_xlpm.normal,IFERROR(INDEX(MASTER!$A:$A,MATCH(_xlpm.pos,MASTER!$I:$I,0))&amp;"_ser_0.20_"&amp;TEXT(INDEX(MASTER!$E:$E,MATCH(_xlpm.pos,MASTER!$I:$I,0)),"mmddyy"),""),_xlpm.slot,864+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05" s="4" t="str">
        <f>_xlfn.LET(_xlpm.pos,"NIH plate 10: "&amp;$A6&amp;G$2,_xlpm.normal,IFERROR(INDEX(MASTER!$A:$A,MATCH(_xlpm.pos,MASTER!$I:$I,0))&amp;"_ser_0.20_"&amp;TEXT(INDEX(MASTER!$E:$E,MATCH(_xlpm.pos,MASTER!$I:$I,0)),"mmddyy"),""),_xlpm.slot,864+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05" s="4" t="str">
        <f>_xlfn.LET(_xlpm.pos,"NIH plate 10: "&amp;$A6&amp;H$2,_xlpm.normal,IFERROR(INDEX(MASTER!$A:$A,MATCH(_xlpm.pos,MASTER!$I:$I,0))&amp;"_ser_0.20_"&amp;TEXT(INDEX(MASTER!$E:$E,MATCH(_xlpm.pos,MASTER!$I:$I,0)),"mmddyy"),""),_xlpm.slot,864+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05" s="4" t="str">
        <f>_xlfn.LET(_xlpm.pos,"NIH plate 10: "&amp;$A6&amp;I$2,_xlpm.normal,IFERROR(INDEX(MASTER!$A:$A,MATCH(_xlpm.pos,MASTER!$I:$I,0))&amp;"_ser_0.20_"&amp;TEXT(INDEX(MASTER!$E:$E,MATCH(_xlpm.pos,MASTER!$I:$I,0)),"mmddyy"),""),_xlpm.slot,864+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05" s="4" t="str">
        <f>_xlfn.LET(_xlpm.pos,"NIH plate 10: "&amp;$A6&amp;J$2,_xlpm.normal,IFERROR(INDEX(MASTER!$A:$A,MATCH(_xlpm.pos,MASTER!$I:$I,0))&amp;"_ser_0.20_"&amp;TEXT(INDEX(MASTER!$E:$E,MATCH(_xlpm.pos,MASTER!$I:$I,0)),"mmddyy"),""),_xlpm.slot,864+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05" s="4" t="str">
        <f>_xlfn.LET(_xlpm.pos,"NIH plate 10: "&amp;$A6&amp;K$2,_xlpm.normal,IFERROR(INDEX(MASTER!$A:$A,MATCH(_xlpm.pos,MASTER!$I:$I,0))&amp;"_ser_0.20_"&amp;TEXT(INDEX(MASTER!$E:$E,MATCH(_xlpm.pos,MASTER!$I:$I,0)),"mmddyy"),""),_xlpm.slot,864+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05" s="4" t="str">
        <f>_xlfn.LET(_xlpm.pos,"NIH plate 10: "&amp;$A6&amp;L$2,_xlpm.normal,IFERROR(INDEX(MASTER!$A:$A,MATCH(_xlpm.pos,MASTER!$I:$I,0))&amp;"_ser_0.20_"&amp;TEXT(INDEX(MASTER!$E:$E,MATCH(_xlpm.pos,MASTER!$I:$I,0)),"mmddyy"),""),_xlpm.slot,864+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05" s="4" t="str">
        <f>_xlfn.LET(_xlpm.pos,"NIH plate 10: "&amp;$A6&amp;M$2,_xlpm.normal,IFERROR(INDEX(MASTER!$A:$A,MATCH(_xlpm.pos,MASTER!$I:$I,0))&amp;"_ser_0.20_"&amp;TEXT(INDEX(MASTER!$E:$E,MATCH(_xlpm.pos,MASTER!$I:$I,0)),"mmddyy"),""),_xlpm.slot,864+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06" spans="1:13" ht="22" customHeight="1" x14ac:dyDescent="0.35">
      <c r="A106" s="6" t="s">
        <v>34</v>
      </c>
      <c r="B106" s="4" t="str">
        <f>_xlfn.LET(_xlpm.pos,"NIH plate 10: "&amp;$A7&amp;B$2,_xlpm.normal,IFERROR(INDEX(MASTER!$A:$A,MATCH(_xlpm.pos,MASTER!$I:$I,0))&amp;"_ser_0.20_"&amp;TEXT(INDEX(MASTER!$E:$E,MATCH(_xlpm.pos,MASTER!$I:$I,0)),"mmddyy"),""),_xlpm.slot,864+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06" s="4" t="str">
        <f>_xlfn.LET(_xlpm.pos,"NIH plate 10: "&amp;$A7&amp;C$2,_xlpm.normal,IFERROR(INDEX(MASTER!$A:$A,MATCH(_xlpm.pos,MASTER!$I:$I,0))&amp;"_ser_0.20_"&amp;TEXT(INDEX(MASTER!$E:$E,MATCH(_xlpm.pos,MASTER!$I:$I,0)),"mmddyy"),""),_xlpm.slot,864+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06" s="4" t="str">
        <f>_xlfn.LET(_xlpm.pos,"NIH plate 10: "&amp;$A7&amp;D$2,_xlpm.normal,IFERROR(INDEX(MASTER!$A:$A,MATCH(_xlpm.pos,MASTER!$I:$I,0))&amp;"_ser_0.20_"&amp;TEXT(INDEX(MASTER!$E:$E,MATCH(_xlpm.pos,MASTER!$I:$I,0)),"mmddyy"),""),_xlpm.slot,864+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06" s="4" t="str">
        <f>_xlfn.LET(_xlpm.pos,"NIH plate 10: "&amp;$A7&amp;E$2,_xlpm.normal,IFERROR(INDEX(MASTER!$A:$A,MATCH(_xlpm.pos,MASTER!$I:$I,0))&amp;"_ser_0.20_"&amp;TEXT(INDEX(MASTER!$E:$E,MATCH(_xlpm.pos,MASTER!$I:$I,0)),"mmddyy"),""),_xlpm.slot,864+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06" s="4" t="str">
        <f>_xlfn.LET(_xlpm.pos,"NIH plate 10: "&amp;$A7&amp;F$2,_xlpm.normal,IFERROR(INDEX(MASTER!$A:$A,MATCH(_xlpm.pos,MASTER!$I:$I,0))&amp;"_ser_0.20_"&amp;TEXT(INDEX(MASTER!$E:$E,MATCH(_xlpm.pos,MASTER!$I:$I,0)),"mmddyy"),""),_xlpm.slot,864+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06" s="4" t="str">
        <f>_xlfn.LET(_xlpm.pos,"NIH plate 10: "&amp;$A7&amp;G$2,_xlpm.normal,IFERROR(INDEX(MASTER!$A:$A,MATCH(_xlpm.pos,MASTER!$I:$I,0))&amp;"_ser_0.20_"&amp;TEXT(INDEX(MASTER!$E:$E,MATCH(_xlpm.pos,MASTER!$I:$I,0)),"mmddyy"),""),_xlpm.slot,864+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06" s="4" t="str">
        <f>_xlfn.LET(_xlpm.pos,"NIH plate 10: "&amp;$A7&amp;H$2,_xlpm.normal,IFERROR(INDEX(MASTER!$A:$A,MATCH(_xlpm.pos,MASTER!$I:$I,0))&amp;"_ser_0.20_"&amp;TEXT(INDEX(MASTER!$E:$E,MATCH(_xlpm.pos,MASTER!$I:$I,0)),"mmddyy"),""),_xlpm.slot,864+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06" s="4" t="str">
        <f>_xlfn.LET(_xlpm.pos,"NIH plate 10: "&amp;$A7&amp;I$2,_xlpm.normal,IFERROR(INDEX(MASTER!$A:$A,MATCH(_xlpm.pos,MASTER!$I:$I,0))&amp;"_ser_0.20_"&amp;TEXT(INDEX(MASTER!$E:$E,MATCH(_xlpm.pos,MASTER!$I:$I,0)),"mmddyy"),""),_xlpm.slot,864+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06" s="4" t="str">
        <f>_xlfn.LET(_xlpm.pos,"NIH plate 10: "&amp;$A7&amp;J$2,_xlpm.normal,IFERROR(INDEX(MASTER!$A:$A,MATCH(_xlpm.pos,MASTER!$I:$I,0))&amp;"_ser_0.20_"&amp;TEXT(INDEX(MASTER!$E:$E,MATCH(_xlpm.pos,MASTER!$I:$I,0)),"mmddyy"),""),_xlpm.slot,864+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06" s="4" t="str">
        <f>_xlfn.LET(_xlpm.pos,"NIH plate 10: "&amp;$A7&amp;K$2,_xlpm.normal,IFERROR(INDEX(MASTER!$A:$A,MATCH(_xlpm.pos,MASTER!$I:$I,0))&amp;"_ser_0.20_"&amp;TEXT(INDEX(MASTER!$E:$E,MATCH(_xlpm.pos,MASTER!$I:$I,0)),"mmddyy"),""),_xlpm.slot,864+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06" s="4" t="str">
        <f>_xlfn.LET(_xlpm.pos,"NIH plate 10: "&amp;$A7&amp;L$2,_xlpm.normal,IFERROR(INDEX(MASTER!$A:$A,MATCH(_xlpm.pos,MASTER!$I:$I,0))&amp;"_ser_0.20_"&amp;TEXT(INDEX(MASTER!$E:$E,MATCH(_xlpm.pos,MASTER!$I:$I,0)),"mmddyy"),""),_xlpm.slot,864+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06" s="4" t="str">
        <f>_xlfn.LET(_xlpm.pos,"NIH plate 10: "&amp;$A7&amp;M$2,_xlpm.normal,IFERROR(INDEX(MASTER!$A:$A,MATCH(_xlpm.pos,MASTER!$I:$I,0))&amp;"_ser_0.20_"&amp;TEXT(INDEX(MASTER!$E:$E,MATCH(_xlpm.pos,MASTER!$I:$I,0)),"mmddyy"),""),_xlpm.slot,864+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07" spans="1:13" ht="22" customHeight="1" x14ac:dyDescent="0.35">
      <c r="A107" s="6" t="s">
        <v>15</v>
      </c>
      <c r="B107" s="4" t="str">
        <f>_xlfn.LET(_xlpm.pos,"NIH plate 10: "&amp;$A8&amp;B$2,_xlpm.normal,IFERROR(INDEX(MASTER!$A:$A,MATCH(_xlpm.pos,MASTER!$I:$I,0))&amp;"_ser_0.20_"&amp;TEXT(INDEX(MASTER!$E:$E,MATCH(_xlpm.pos,MASTER!$I:$I,0)),"mmddyy"),""),_xlpm.slot,864+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07" s="4" t="str">
        <f>_xlfn.LET(_xlpm.pos,"NIH plate 10: "&amp;$A8&amp;C$2,_xlpm.normal,IFERROR(INDEX(MASTER!$A:$A,MATCH(_xlpm.pos,MASTER!$I:$I,0))&amp;"_ser_0.20_"&amp;TEXT(INDEX(MASTER!$E:$E,MATCH(_xlpm.pos,MASTER!$I:$I,0)),"mmddyy"),""),_xlpm.slot,864+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07" s="4" t="str">
        <f>_xlfn.LET(_xlpm.pos,"NIH plate 10: "&amp;$A8&amp;D$2,_xlpm.normal,IFERROR(INDEX(MASTER!$A:$A,MATCH(_xlpm.pos,MASTER!$I:$I,0))&amp;"_ser_0.20_"&amp;TEXT(INDEX(MASTER!$E:$E,MATCH(_xlpm.pos,MASTER!$I:$I,0)),"mmddyy"),""),_xlpm.slot,864+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07" s="4" t="str">
        <f>_xlfn.LET(_xlpm.pos,"NIH plate 10: "&amp;$A8&amp;E$2,_xlpm.normal,IFERROR(INDEX(MASTER!$A:$A,MATCH(_xlpm.pos,MASTER!$I:$I,0))&amp;"_ser_0.20_"&amp;TEXT(INDEX(MASTER!$E:$E,MATCH(_xlpm.pos,MASTER!$I:$I,0)),"mmddyy"),""),_xlpm.slot,864+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07" s="4" t="str">
        <f>_xlfn.LET(_xlpm.pos,"NIH plate 10: "&amp;$A8&amp;F$2,_xlpm.normal,IFERROR(INDEX(MASTER!$A:$A,MATCH(_xlpm.pos,MASTER!$I:$I,0))&amp;"_ser_0.20_"&amp;TEXT(INDEX(MASTER!$E:$E,MATCH(_xlpm.pos,MASTER!$I:$I,0)),"mmddyy"),""),_xlpm.slot,864+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07" s="4" t="str">
        <f>_xlfn.LET(_xlpm.pos,"NIH plate 10: "&amp;$A8&amp;G$2,_xlpm.normal,IFERROR(INDEX(MASTER!$A:$A,MATCH(_xlpm.pos,MASTER!$I:$I,0))&amp;"_ser_0.20_"&amp;TEXT(INDEX(MASTER!$E:$E,MATCH(_xlpm.pos,MASTER!$I:$I,0)),"mmddyy"),""),_xlpm.slot,864+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07" s="4" t="str">
        <f>_xlfn.LET(_xlpm.pos,"NIH plate 10: "&amp;$A8&amp;H$2,_xlpm.normal,IFERROR(INDEX(MASTER!$A:$A,MATCH(_xlpm.pos,MASTER!$I:$I,0))&amp;"_ser_0.20_"&amp;TEXT(INDEX(MASTER!$E:$E,MATCH(_xlpm.pos,MASTER!$I:$I,0)),"mmddyy"),""),_xlpm.slot,864+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07" s="4" t="str">
        <f>_xlfn.LET(_xlpm.pos,"NIH plate 10: "&amp;$A8&amp;I$2,_xlpm.normal,IFERROR(INDEX(MASTER!$A:$A,MATCH(_xlpm.pos,MASTER!$I:$I,0))&amp;"_ser_0.20_"&amp;TEXT(INDEX(MASTER!$E:$E,MATCH(_xlpm.pos,MASTER!$I:$I,0)),"mmddyy"),""),_xlpm.slot,864+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07" s="4" t="str">
        <f>_xlfn.LET(_xlpm.pos,"NIH plate 10: "&amp;$A8&amp;J$2,_xlpm.normal,IFERROR(INDEX(MASTER!$A:$A,MATCH(_xlpm.pos,MASTER!$I:$I,0))&amp;"_ser_0.20_"&amp;TEXT(INDEX(MASTER!$E:$E,MATCH(_xlpm.pos,MASTER!$I:$I,0)),"mmddyy"),""),_xlpm.slot,864+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07" s="4" t="str">
        <f>_xlfn.LET(_xlpm.pos,"NIH plate 10: "&amp;$A8&amp;K$2,_xlpm.normal,IFERROR(INDEX(MASTER!$A:$A,MATCH(_xlpm.pos,MASTER!$I:$I,0))&amp;"_ser_0.20_"&amp;TEXT(INDEX(MASTER!$E:$E,MATCH(_xlpm.pos,MASTER!$I:$I,0)),"mmddyy"),""),_xlpm.slot,864+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07" s="4" t="str">
        <f>_xlfn.LET(_xlpm.pos,"NIH plate 10: "&amp;$A8&amp;L$2,_xlpm.normal,IFERROR(INDEX(MASTER!$A:$A,MATCH(_xlpm.pos,MASTER!$I:$I,0))&amp;"_ser_0.20_"&amp;TEXT(INDEX(MASTER!$E:$E,MATCH(_xlpm.pos,MASTER!$I:$I,0)),"mmddyy"),""),_xlpm.slot,864+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07" s="4" t="str">
        <f>_xlfn.LET(_xlpm.pos,"NIH plate 10: "&amp;$A8&amp;M$2,_xlpm.normal,IFERROR(INDEX(MASTER!$A:$A,MATCH(_xlpm.pos,MASTER!$I:$I,0))&amp;"_ser_0.20_"&amp;TEXT(INDEX(MASTER!$E:$E,MATCH(_xlpm.pos,MASTER!$I:$I,0)),"mmddyy"),""),_xlpm.slot,864+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08" spans="1:13" ht="22" customHeight="1" x14ac:dyDescent="0.35">
      <c r="A108" s="6" t="s">
        <v>35</v>
      </c>
      <c r="B108" s="4" t="str">
        <f>_xlfn.LET(_xlpm.pos,"NIH plate 10: "&amp;$A9&amp;B$2,_xlpm.normal,IFERROR(INDEX(MASTER!$A:$A,MATCH(_xlpm.pos,MASTER!$I:$I,0))&amp;"_ser_0.20_"&amp;TEXT(INDEX(MASTER!$E:$E,MATCH(_xlpm.pos,MASTER!$I:$I,0)),"mmddyy"),""),_xlpm.slot,864+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08" s="4" t="str">
        <f>_xlfn.LET(_xlpm.pos,"NIH plate 10: "&amp;$A9&amp;C$2,_xlpm.normal,IFERROR(INDEX(MASTER!$A:$A,MATCH(_xlpm.pos,MASTER!$I:$I,0))&amp;"_ser_0.20_"&amp;TEXT(INDEX(MASTER!$E:$E,MATCH(_xlpm.pos,MASTER!$I:$I,0)),"mmddyy"),""),_xlpm.slot,864+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08" s="4" t="str">
        <f>_xlfn.LET(_xlpm.pos,"NIH plate 10: "&amp;$A9&amp;D$2,_xlpm.normal,IFERROR(INDEX(MASTER!$A:$A,MATCH(_xlpm.pos,MASTER!$I:$I,0))&amp;"_ser_0.20_"&amp;TEXT(INDEX(MASTER!$E:$E,MATCH(_xlpm.pos,MASTER!$I:$I,0)),"mmddyy"),""),_xlpm.slot,864+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08" s="4" t="str">
        <f>_xlfn.LET(_xlpm.pos,"NIH plate 10: "&amp;$A9&amp;E$2,_xlpm.normal,IFERROR(INDEX(MASTER!$A:$A,MATCH(_xlpm.pos,MASTER!$I:$I,0))&amp;"_ser_0.20_"&amp;TEXT(INDEX(MASTER!$E:$E,MATCH(_xlpm.pos,MASTER!$I:$I,0)),"mmddyy"),""),_xlpm.slot,864+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08" s="4" t="str">
        <f>_xlfn.LET(_xlpm.pos,"NIH plate 10: "&amp;$A9&amp;F$2,_xlpm.normal,IFERROR(INDEX(MASTER!$A:$A,MATCH(_xlpm.pos,MASTER!$I:$I,0))&amp;"_ser_0.20_"&amp;TEXT(INDEX(MASTER!$E:$E,MATCH(_xlpm.pos,MASTER!$I:$I,0)),"mmddyy"),""),_xlpm.slot,864+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08" s="4" t="str">
        <f>_xlfn.LET(_xlpm.pos,"NIH plate 10: "&amp;$A9&amp;G$2,_xlpm.normal,IFERROR(INDEX(MASTER!$A:$A,MATCH(_xlpm.pos,MASTER!$I:$I,0))&amp;"_ser_0.20_"&amp;TEXT(INDEX(MASTER!$E:$E,MATCH(_xlpm.pos,MASTER!$I:$I,0)),"mmddyy"),""),_xlpm.slot,864+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08" s="4" t="str">
        <f>_xlfn.LET(_xlpm.pos,"NIH plate 10: "&amp;$A9&amp;H$2,_xlpm.normal,IFERROR(INDEX(MASTER!$A:$A,MATCH(_xlpm.pos,MASTER!$I:$I,0))&amp;"_ser_0.20_"&amp;TEXT(INDEX(MASTER!$E:$E,MATCH(_xlpm.pos,MASTER!$I:$I,0)),"mmddyy"),""),_xlpm.slot,864+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08" s="4" t="str">
        <f>_xlfn.LET(_xlpm.pos,"NIH plate 10: "&amp;$A9&amp;I$2,_xlpm.normal,IFERROR(INDEX(MASTER!$A:$A,MATCH(_xlpm.pos,MASTER!$I:$I,0))&amp;"_ser_0.20_"&amp;TEXT(INDEX(MASTER!$E:$E,MATCH(_xlpm.pos,MASTER!$I:$I,0)),"mmddyy"),""),_xlpm.slot,864+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08" s="4" t="str">
        <f>_xlfn.LET(_xlpm.pos,"NIH plate 10: "&amp;$A9&amp;J$2,_xlpm.normal,IFERROR(INDEX(MASTER!$A:$A,MATCH(_xlpm.pos,MASTER!$I:$I,0))&amp;"_ser_0.20_"&amp;TEXT(INDEX(MASTER!$E:$E,MATCH(_xlpm.pos,MASTER!$I:$I,0)),"mmddyy"),""),_xlpm.slot,864+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08" s="4" t="str">
        <f>_xlfn.LET(_xlpm.pos,"NIH plate 10: "&amp;$A9&amp;K$2,_xlpm.normal,IFERROR(INDEX(MASTER!$A:$A,MATCH(_xlpm.pos,MASTER!$I:$I,0))&amp;"_ser_0.20_"&amp;TEXT(INDEX(MASTER!$E:$E,MATCH(_xlpm.pos,MASTER!$I:$I,0)),"mmddyy"),""),_xlpm.slot,864+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08" s="4" t="str">
        <f>_xlfn.LET(_xlpm.pos,"NIH plate 10: "&amp;$A9&amp;L$2,_xlpm.normal,IFERROR(INDEX(MASTER!$A:$A,MATCH(_xlpm.pos,MASTER!$I:$I,0))&amp;"_ser_0.20_"&amp;TEXT(INDEX(MASTER!$E:$E,MATCH(_xlpm.pos,MASTER!$I:$I,0)),"mmddyy"),""),_xlpm.slot,864+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08" s="4" t="str">
        <f>_xlfn.LET(_xlpm.pos,"NIH plate 10: "&amp;$A9&amp;M$2,_xlpm.normal,IFERROR(INDEX(MASTER!$A:$A,MATCH(_xlpm.pos,MASTER!$I:$I,0))&amp;"_ser_0.20_"&amp;TEXT(INDEX(MASTER!$E:$E,MATCH(_xlpm.pos,MASTER!$I:$I,0)),"mmddyy"),""),_xlpm.slot,864+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09" spans="1:13" ht="22" customHeight="1" x14ac:dyDescent="0.35">
      <c r="A109" s="6" t="s">
        <v>36</v>
      </c>
      <c r="B109" s="4" t="str">
        <f>_xlfn.LET(_xlpm.pos,"NIH plate 10: "&amp;$A10&amp;B$2,_xlpm.normal,IFERROR(INDEX(MASTER!$A:$A,MATCH(_xlpm.pos,MASTER!$I:$I,0))&amp;"_ser_0.20_"&amp;TEXT(INDEX(MASTER!$E:$E,MATCH(_xlpm.pos,MASTER!$I:$I,0)),"mmddyy"),""),_xlpm.slot,864+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09" s="4" t="str">
        <f>_xlfn.LET(_xlpm.pos,"NIH plate 10: "&amp;$A10&amp;C$2,_xlpm.normal,IFERROR(INDEX(MASTER!$A:$A,MATCH(_xlpm.pos,MASTER!$I:$I,0))&amp;"_ser_0.20_"&amp;TEXT(INDEX(MASTER!$E:$E,MATCH(_xlpm.pos,MASTER!$I:$I,0)),"mmddyy"),""),_xlpm.slot,864+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09" s="4" t="str">
        <f>_xlfn.LET(_xlpm.pos,"NIH plate 10: "&amp;$A10&amp;D$2,_xlpm.normal,IFERROR(INDEX(MASTER!$A:$A,MATCH(_xlpm.pos,MASTER!$I:$I,0))&amp;"_ser_0.20_"&amp;TEXT(INDEX(MASTER!$E:$E,MATCH(_xlpm.pos,MASTER!$I:$I,0)),"mmddyy"),""),_xlpm.slot,864+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09" s="4" t="str">
        <f>_xlfn.LET(_xlpm.pos,"NIH plate 10: "&amp;$A10&amp;E$2,_xlpm.normal,IFERROR(INDEX(MASTER!$A:$A,MATCH(_xlpm.pos,MASTER!$I:$I,0))&amp;"_ser_0.20_"&amp;TEXT(INDEX(MASTER!$E:$E,MATCH(_xlpm.pos,MASTER!$I:$I,0)),"mmddyy"),""),_xlpm.slot,864+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09" s="4" t="str">
        <f>_xlfn.LET(_xlpm.pos,"NIH plate 10: "&amp;$A10&amp;F$2,_xlpm.normal,IFERROR(INDEX(MASTER!$A:$A,MATCH(_xlpm.pos,MASTER!$I:$I,0))&amp;"_ser_0.20_"&amp;TEXT(INDEX(MASTER!$E:$E,MATCH(_xlpm.pos,MASTER!$I:$I,0)),"mmddyy"),""),_xlpm.slot,864+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09" s="4" t="str">
        <f>_xlfn.LET(_xlpm.pos,"NIH plate 10: "&amp;$A10&amp;G$2,_xlpm.normal,IFERROR(INDEX(MASTER!$A:$A,MATCH(_xlpm.pos,MASTER!$I:$I,0))&amp;"_ser_0.20_"&amp;TEXT(INDEX(MASTER!$E:$E,MATCH(_xlpm.pos,MASTER!$I:$I,0)),"mmddyy"),""),_xlpm.slot,864+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09" s="4" t="str">
        <f>_xlfn.LET(_xlpm.pos,"NIH plate 10: "&amp;$A10&amp;H$2,_xlpm.normal,IFERROR(INDEX(MASTER!$A:$A,MATCH(_xlpm.pos,MASTER!$I:$I,0))&amp;"_ser_0.20_"&amp;TEXT(INDEX(MASTER!$E:$E,MATCH(_xlpm.pos,MASTER!$I:$I,0)),"mmddyy"),""),_xlpm.slot,864+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09" s="4" t="str">
        <f>_xlfn.LET(_xlpm.pos,"NIH plate 10: "&amp;$A10&amp;I$2,_xlpm.normal,IFERROR(INDEX(MASTER!$A:$A,MATCH(_xlpm.pos,MASTER!$I:$I,0))&amp;"_ser_0.20_"&amp;TEXT(INDEX(MASTER!$E:$E,MATCH(_xlpm.pos,MASTER!$I:$I,0)),"mmddyy"),""),_xlpm.slot,864+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09" s="4" t="str">
        <f>_xlfn.LET(_xlpm.pos,"NIH plate 10: "&amp;$A10&amp;J$2,_xlpm.normal,IFERROR(INDEX(MASTER!$A:$A,MATCH(_xlpm.pos,MASTER!$I:$I,0))&amp;"_ser_0.20_"&amp;TEXT(INDEX(MASTER!$E:$E,MATCH(_xlpm.pos,MASTER!$I:$I,0)),"mmddyy"),""),_xlpm.slot,864+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09" s="4" t="str">
        <f>_xlfn.LET(_xlpm.pos,"NIH plate 10: "&amp;$A10&amp;K$2,_xlpm.normal,IFERROR(INDEX(MASTER!$A:$A,MATCH(_xlpm.pos,MASTER!$I:$I,0))&amp;"_ser_0.20_"&amp;TEXT(INDEX(MASTER!$E:$E,MATCH(_xlpm.pos,MASTER!$I:$I,0)),"mmddyy"),""),_xlpm.slot,864+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09" s="4" t="str">
        <f>_xlfn.LET(_xlpm.pos,"NIH plate 10: "&amp;$A10&amp;L$2,_xlpm.normal,IFERROR(INDEX(MASTER!$A:$A,MATCH(_xlpm.pos,MASTER!$I:$I,0))&amp;"_ser_0.20_"&amp;TEXT(INDEX(MASTER!$E:$E,MATCH(_xlpm.pos,MASTER!$I:$I,0)),"mmddyy"),""),_xlpm.slot,864+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09" s="4" t="str">
        <f>_xlfn.LET(_xlpm.pos,"NIH plate 10: "&amp;$A10&amp;M$2,_xlpm.normal,IFERROR(INDEX(MASTER!$A:$A,MATCH(_xlpm.pos,MASTER!$I:$I,0))&amp;"_ser_0.20_"&amp;TEXT(INDEX(MASTER!$E:$E,MATCH(_xlpm.pos,MASTER!$I:$I,0)),"mmddyy"),""),_xlpm.slot,864+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10" spans="1:13" ht="22" customHeight="1" x14ac:dyDescent="0.3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</row>
    <row r="111" spans="1:13" ht="22" customHeight="1" x14ac:dyDescent="0.35">
      <c r="A111" s="7"/>
      <c r="B111" s="31" t="s">
        <v>67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3"/>
    </row>
    <row r="112" spans="1:13" ht="22" customHeight="1" x14ac:dyDescent="0.35">
      <c r="A112" s="7"/>
      <c r="B112" s="6">
        <v>1</v>
      </c>
      <c r="C112" s="6">
        <v>2</v>
      </c>
      <c r="D112" s="6">
        <v>3</v>
      </c>
      <c r="E112" s="6">
        <v>4</v>
      </c>
      <c r="F112" s="6">
        <v>5</v>
      </c>
      <c r="G112" s="6">
        <v>6</v>
      </c>
      <c r="H112" s="6">
        <v>7</v>
      </c>
      <c r="I112" s="6">
        <v>8</v>
      </c>
      <c r="J112" s="6">
        <v>9</v>
      </c>
      <c r="K112" s="6">
        <v>10</v>
      </c>
      <c r="L112" s="6">
        <v>11</v>
      </c>
      <c r="M112" s="6">
        <v>12</v>
      </c>
    </row>
    <row r="113" spans="1:13" ht="22" customHeight="1" x14ac:dyDescent="0.35">
      <c r="A113" s="6" t="s">
        <v>30</v>
      </c>
      <c r="B113" s="4" t="str">
        <f>_xlfn.LET(_xlpm.pos,"NIH plate 11: "&amp;$A3&amp;B$2,_xlpm.normal,IFERROR(INDEX(MASTER!$A:$A,MATCH(_xlpm.pos,MASTER!$I:$I,0))&amp;"_ser_0.20_"&amp;TEXT(INDEX(MASTER!$E:$E,MATCH(_xlpm.pos,MASTER!$I:$I,0)),"mmddyy"),""),_xlpm.slot,960+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13" s="4" t="str">
        <f>_xlfn.LET(_xlpm.pos,"NIH plate 11: "&amp;$A3&amp;C$2,_xlpm.normal,IFERROR(INDEX(MASTER!$A:$A,MATCH(_xlpm.pos,MASTER!$I:$I,0))&amp;"_ser_0.20_"&amp;TEXT(INDEX(MASTER!$E:$E,MATCH(_xlpm.pos,MASTER!$I:$I,0)),"mmddyy"),""),_xlpm.slot,960+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13" s="4" t="str">
        <f>_xlfn.LET(_xlpm.pos,"NIH plate 11: "&amp;$A3&amp;D$2,_xlpm.normal,IFERROR(INDEX(MASTER!$A:$A,MATCH(_xlpm.pos,MASTER!$I:$I,0))&amp;"_ser_0.20_"&amp;TEXT(INDEX(MASTER!$E:$E,MATCH(_xlpm.pos,MASTER!$I:$I,0)),"mmddyy"),""),_xlpm.slot,960+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13" s="4" t="str">
        <f>_xlfn.LET(_xlpm.pos,"NIH plate 11: "&amp;$A3&amp;E$2,_xlpm.normal,IFERROR(INDEX(MASTER!$A:$A,MATCH(_xlpm.pos,MASTER!$I:$I,0))&amp;"_ser_0.20_"&amp;TEXT(INDEX(MASTER!$E:$E,MATCH(_xlpm.pos,MASTER!$I:$I,0)),"mmddyy"),""),_xlpm.slot,960+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13" s="4" t="str">
        <f>_xlfn.LET(_xlpm.pos,"NIH plate 11: "&amp;$A3&amp;F$2,_xlpm.normal,IFERROR(INDEX(MASTER!$A:$A,MATCH(_xlpm.pos,MASTER!$I:$I,0))&amp;"_ser_0.20_"&amp;TEXT(INDEX(MASTER!$E:$E,MATCH(_xlpm.pos,MASTER!$I:$I,0)),"mmddyy"),""),_xlpm.slot,960+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13" s="4" t="str">
        <f>_xlfn.LET(_xlpm.pos,"NIH plate 11: "&amp;$A3&amp;G$2,_xlpm.normal,IFERROR(INDEX(MASTER!$A:$A,MATCH(_xlpm.pos,MASTER!$I:$I,0))&amp;"_ser_0.20_"&amp;TEXT(INDEX(MASTER!$E:$E,MATCH(_xlpm.pos,MASTER!$I:$I,0)),"mmddyy"),""),_xlpm.slot,960+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13" s="4" t="str">
        <f>_xlfn.LET(_xlpm.pos,"NIH plate 11: "&amp;$A3&amp;H$2,_xlpm.normal,IFERROR(INDEX(MASTER!$A:$A,MATCH(_xlpm.pos,MASTER!$I:$I,0))&amp;"_ser_0.20_"&amp;TEXT(INDEX(MASTER!$E:$E,MATCH(_xlpm.pos,MASTER!$I:$I,0)),"mmddyy"),""),_xlpm.slot,960+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13" s="4" t="str">
        <f>_xlfn.LET(_xlpm.pos,"NIH plate 11: "&amp;$A3&amp;I$2,_xlpm.normal,IFERROR(INDEX(MASTER!$A:$A,MATCH(_xlpm.pos,MASTER!$I:$I,0))&amp;"_ser_0.20_"&amp;TEXT(INDEX(MASTER!$E:$E,MATCH(_xlpm.pos,MASTER!$I:$I,0)),"mmddyy"),""),_xlpm.slot,960+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13" s="4" t="str">
        <f>_xlfn.LET(_xlpm.pos,"NIH plate 11: "&amp;$A3&amp;J$2,_xlpm.normal,IFERROR(INDEX(MASTER!$A:$A,MATCH(_xlpm.pos,MASTER!$I:$I,0))&amp;"_ser_0.20_"&amp;TEXT(INDEX(MASTER!$E:$E,MATCH(_xlpm.pos,MASTER!$I:$I,0)),"mmddyy"),""),_xlpm.slot,960+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13" s="4" t="str">
        <f>_xlfn.LET(_xlpm.pos,"NIH plate 11: "&amp;$A3&amp;K$2,_xlpm.normal,IFERROR(INDEX(MASTER!$A:$A,MATCH(_xlpm.pos,MASTER!$I:$I,0))&amp;"_ser_0.20_"&amp;TEXT(INDEX(MASTER!$E:$E,MATCH(_xlpm.pos,MASTER!$I:$I,0)),"mmddyy"),""),_xlpm.slot,960+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13" s="4" t="str">
        <f>_xlfn.LET(_xlpm.pos,"NIH plate 11: "&amp;$A3&amp;L$2,_xlpm.normal,IFERROR(INDEX(MASTER!$A:$A,MATCH(_xlpm.pos,MASTER!$I:$I,0))&amp;"_ser_0.20_"&amp;TEXT(INDEX(MASTER!$E:$E,MATCH(_xlpm.pos,MASTER!$I:$I,0)),"mmddyy"),""),_xlpm.slot,960+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13" s="4" t="str">
        <f>_xlfn.LET(_xlpm.pos,"NIH plate 11: "&amp;$A3&amp;M$2,_xlpm.normal,IFERROR(INDEX(MASTER!$A:$A,MATCH(_xlpm.pos,MASTER!$I:$I,0))&amp;"_ser_0.20_"&amp;TEXT(INDEX(MASTER!$E:$E,MATCH(_xlpm.pos,MASTER!$I:$I,0)),"mmddyy"),""),_xlpm.slot,960+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14" spans="1:13" ht="22" customHeight="1" x14ac:dyDescent="0.35">
      <c r="A114" s="6" t="s">
        <v>31</v>
      </c>
      <c r="B114" s="4" t="str">
        <f>_xlfn.LET(_xlpm.pos,"NIH plate 11: "&amp;$A4&amp;B$2,_xlpm.normal,IFERROR(INDEX(MASTER!$A:$A,MATCH(_xlpm.pos,MASTER!$I:$I,0))&amp;"_ser_0.20_"&amp;TEXT(INDEX(MASTER!$E:$E,MATCH(_xlpm.pos,MASTER!$I:$I,0)),"mmddyy"),""),_xlpm.slot,960+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14" s="4" t="str">
        <f>_xlfn.LET(_xlpm.pos,"NIH plate 11: "&amp;$A4&amp;C$2,_xlpm.normal,IFERROR(INDEX(MASTER!$A:$A,MATCH(_xlpm.pos,MASTER!$I:$I,0))&amp;"_ser_0.20_"&amp;TEXT(INDEX(MASTER!$E:$E,MATCH(_xlpm.pos,MASTER!$I:$I,0)),"mmddyy"),""),_xlpm.slot,960+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14" s="4" t="str">
        <f>_xlfn.LET(_xlpm.pos,"NIH plate 11: "&amp;$A4&amp;D$2,_xlpm.normal,IFERROR(INDEX(MASTER!$A:$A,MATCH(_xlpm.pos,MASTER!$I:$I,0))&amp;"_ser_0.20_"&amp;TEXT(INDEX(MASTER!$E:$E,MATCH(_xlpm.pos,MASTER!$I:$I,0)),"mmddyy"),""),_xlpm.slot,960+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14" s="4" t="str">
        <f>_xlfn.LET(_xlpm.pos,"NIH plate 11: "&amp;$A4&amp;E$2,_xlpm.normal,IFERROR(INDEX(MASTER!$A:$A,MATCH(_xlpm.pos,MASTER!$I:$I,0))&amp;"_ser_0.20_"&amp;TEXT(INDEX(MASTER!$E:$E,MATCH(_xlpm.pos,MASTER!$I:$I,0)),"mmddyy"),""),_xlpm.slot,960+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14" s="4" t="str">
        <f>_xlfn.LET(_xlpm.pos,"NIH plate 11: "&amp;$A4&amp;F$2,_xlpm.normal,IFERROR(INDEX(MASTER!$A:$A,MATCH(_xlpm.pos,MASTER!$I:$I,0))&amp;"_ser_0.20_"&amp;TEXT(INDEX(MASTER!$E:$E,MATCH(_xlpm.pos,MASTER!$I:$I,0)),"mmddyy"),""),_xlpm.slot,960+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14" s="4" t="str">
        <f>_xlfn.LET(_xlpm.pos,"NIH plate 11: "&amp;$A4&amp;G$2,_xlpm.normal,IFERROR(INDEX(MASTER!$A:$A,MATCH(_xlpm.pos,MASTER!$I:$I,0))&amp;"_ser_0.20_"&amp;TEXT(INDEX(MASTER!$E:$E,MATCH(_xlpm.pos,MASTER!$I:$I,0)),"mmddyy"),""),_xlpm.slot,960+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14" s="4" t="str">
        <f>_xlfn.LET(_xlpm.pos,"NIH plate 11: "&amp;$A4&amp;H$2,_xlpm.normal,IFERROR(INDEX(MASTER!$A:$A,MATCH(_xlpm.pos,MASTER!$I:$I,0))&amp;"_ser_0.20_"&amp;TEXT(INDEX(MASTER!$E:$E,MATCH(_xlpm.pos,MASTER!$I:$I,0)),"mmddyy"),""),_xlpm.slot,960+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14" s="4" t="str">
        <f>_xlfn.LET(_xlpm.pos,"NIH plate 11: "&amp;$A4&amp;I$2,_xlpm.normal,IFERROR(INDEX(MASTER!$A:$A,MATCH(_xlpm.pos,MASTER!$I:$I,0))&amp;"_ser_0.20_"&amp;TEXT(INDEX(MASTER!$E:$E,MATCH(_xlpm.pos,MASTER!$I:$I,0)),"mmddyy"),""),_xlpm.slot,960+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14" s="4" t="str">
        <f>_xlfn.LET(_xlpm.pos,"NIH plate 11: "&amp;$A4&amp;J$2,_xlpm.normal,IFERROR(INDEX(MASTER!$A:$A,MATCH(_xlpm.pos,MASTER!$I:$I,0))&amp;"_ser_0.20_"&amp;TEXT(INDEX(MASTER!$E:$E,MATCH(_xlpm.pos,MASTER!$I:$I,0)),"mmddyy"),""),_xlpm.slot,960+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14" s="4" t="str">
        <f>_xlfn.LET(_xlpm.pos,"NIH plate 11: "&amp;$A4&amp;K$2,_xlpm.normal,IFERROR(INDEX(MASTER!$A:$A,MATCH(_xlpm.pos,MASTER!$I:$I,0))&amp;"_ser_0.20_"&amp;TEXT(INDEX(MASTER!$E:$E,MATCH(_xlpm.pos,MASTER!$I:$I,0)),"mmddyy"),""),_xlpm.slot,960+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14" s="4" t="str">
        <f>_xlfn.LET(_xlpm.pos,"NIH plate 11: "&amp;$A4&amp;L$2,_xlpm.normal,IFERROR(INDEX(MASTER!$A:$A,MATCH(_xlpm.pos,MASTER!$I:$I,0))&amp;"_ser_0.20_"&amp;TEXT(INDEX(MASTER!$E:$E,MATCH(_xlpm.pos,MASTER!$I:$I,0)),"mmddyy"),""),_xlpm.slot,960+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14" s="4" t="str">
        <f>_xlfn.LET(_xlpm.pos,"NIH plate 11: "&amp;$A4&amp;M$2,_xlpm.normal,IFERROR(INDEX(MASTER!$A:$A,MATCH(_xlpm.pos,MASTER!$I:$I,0))&amp;"_ser_0.20_"&amp;TEXT(INDEX(MASTER!$E:$E,MATCH(_xlpm.pos,MASTER!$I:$I,0)),"mmddyy"),""),_xlpm.slot,960+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15" spans="1:13" ht="22" customHeight="1" x14ac:dyDescent="0.35">
      <c r="A115" s="6" t="s">
        <v>32</v>
      </c>
      <c r="B115" s="4" t="str">
        <f>_xlfn.LET(_xlpm.pos,"NIH plate 11: "&amp;$A5&amp;B$2,_xlpm.normal,IFERROR(INDEX(MASTER!$A:$A,MATCH(_xlpm.pos,MASTER!$I:$I,0))&amp;"_ser_0.20_"&amp;TEXT(INDEX(MASTER!$E:$E,MATCH(_xlpm.pos,MASTER!$I:$I,0)),"mmddyy"),""),_xlpm.slot,960+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15" s="4" t="str">
        <f>_xlfn.LET(_xlpm.pos,"NIH plate 11: "&amp;$A5&amp;C$2,_xlpm.normal,IFERROR(INDEX(MASTER!$A:$A,MATCH(_xlpm.pos,MASTER!$I:$I,0))&amp;"_ser_0.20_"&amp;TEXT(INDEX(MASTER!$E:$E,MATCH(_xlpm.pos,MASTER!$I:$I,0)),"mmddyy"),""),_xlpm.slot,960+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15" s="4" t="str">
        <f>_xlfn.LET(_xlpm.pos,"NIH plate 11: "&amp;$A5&amp;D$2,_xlpm.normal,IFERROR(INDEX(MASTER!$A:$A,MATCH(_xlpm.pos,MASTER!$I:$I,0))&amp;"_ser_0.20_"&amp;TEXT(INDEX(MASTER!$E:$E,MATCH(_xlpm.pos,MASTER!$I:$I,0)),"mmddyy"),""),_xlpm.slot,960+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15" s="4" t="str">
        <f>_xlfn.LET(_xlpm.pos,"NIH plate 11: "&amp;$A5&amp;E$2,_xlpm.normal,IFERROR(INDEX(MASTER!$A:$A,MATCH(_xlpm.pos,MASTER!$I:$I,0))&amp;"_ser_0.20_"&amp;TEXT(INDEX(MASTER!$E:$E,MATCH(_xlpm.pos,MASTER!$I:$I,0)),"mmddyy"),""),_xlpm.slot,960+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15" s="4" t="str">
        <f>_xlfn.LET(_xlpm.pos,"NIH plate 11: "&amp;$A5&amp;F$2,_xlpm.normal,IFERROR(INDEX(MASTER!$A:$A,MATCH(_xlpm.pos,MASTER!$I:$I,0))&amp;"_ser_0.20_"&amp;TEXT(INDEX(MASTER!$E:$E,MATCH(_xlpm.pos,MASTER!$I:$I,0)),"mmddyy"),""),_xlpm.slot,960+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15" s="4" t="str">
        <f>_xlfn.LET(_xlpm.pos,"NIH plate 11: "&amp;$A5&amp;G$2,_xlpm.normal,IFERROR(INDEX(MASTER!$A:$A,MATCH(_xlpm.pos,MASTER!$I:$I,0))&amp;"_ser_0.20_"&amp;TEXT(INDEX(MASTER!$E:$E,MATCH(_xlpm.pos,MASTER!$I:$I,0)),"mmddyy"),""),_xlpm.slot,960+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15" s="4" t="str">
        <f>_xlfn.LET(_xlpm.pos,"NIH plate 11: "&amp;$A5&amp;H$2,_xlpm.normal,IFERROR(INDEX(MASTER!$A:$A,MATCH(_xlpm.pos,MASTER!$I:$I,0))&amp;"_ser_0.20_"&amp;TEXT(INDEX(MASTER!$E:$E,MATCH(_xlpm.pos,MASTER!$I:$I,0)),"mmddyy"),""),_xlpm.slot,960+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15" s="4" t="str">
        <f>_xlfn.LET(_xlpm.pos,"NIH plate 11: "&amp;$A5&amp;I$2,_xlpm.normal,IFERROR(INDEX(MASTER!$A:$A,MATCH(_xlpm.pos,MASTER!$I:$I,0))&amp;"_ser_0.20_"&amp;TEXT(INDEX(MASTER!$E:$E,MATCH(_xlpm.pos,MASTER!$I:$I,0)),"mmddyy"),""),_xlpm.slot,960+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15" s="4" t="str">
        <f>_xlfn.LET(_xlpm.pos,"NIH plate 11: "&amp;$A5&amp;J$2,_xlpm.normal,IFERROR(INDEX(MASTER!$A:$A,MATCH(_xlpm.pos,MASTER!$I:$I,0))&amp;"_ser_0.20_"&amp;TEXT(INDEX(MASTER!$E:$E,MATCH(_xlpm.pos,MASTER!$I:$I,0)),"mmddyy"),""),_xlpm.slot,960+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15" s="4" t="str">
        <f>_xlfn.LET(_xlpm.pos,"NIH plate 11: "&amp;$A5&amp;K$2,_xlpm.normal,IFERROR(INDEX(MASTER!$A:$A,MATCH(_xlpm.pos,MASTER!$I:$I,0))&amp;"_ser_0.20_"&amp;TEXT(INDEX(MASTER!$E:$E,MATCH(_xlpm.pos,MASTER!$I:$I,0)),"mmddyy"),""),_xlpm.slot,960+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15" s="4" t="str">
        <f>_xlfn.LET(_xlpm.pos,"NIH plate 11: "&amp;$A5&amp;L$2,_xlpm.normal,IFERROR(INDEX(MASTER!$A:$A,MATCH(_xlpm.pos,MASTER!$I:$I,0))&amp;"_ser_0.20_"&amp;TEXT(INDEX(MASTER!$E:$E,MATCH(_xlpm.pos,MASTER!$I:$I,0)),"mmddyy"),""),_xlpm.slot,960+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15" s="4" t="str">
        <f>_xlfn.LET(_xlpm.pos,"NIH plate 11: "&amp;$A5&amp;M$2,_xlpm.normal,IFERROR(INDEX(MASTER!$A:$A,MATCH(_xlpm.pos,MASTER!$I:$I,0))&amp;"_ser_0.20_"&amp;TEXT(INDEX(MASTER!$E:$E,MATCH(_xlpm.pos,MASTER!$I:$I,0)),"mmddyy"),""),_xlpm.slot,960+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16" spans="1:13" ht="22" customHeight="1" x14ac:dyDescent="0.35">
      <c r="A116" s="6" t="s">
        <v>33</v>
      </c>
      <c r="B116" s="4" t="str">
        <f>_xlfn.LET(_xlpm.pos,"NIH plate 11: "&amp;$A6&amp;B$2,_xlpm.normal,IFERROR(INDEX(MASTER!$A:$A,MATCH(_xlpm.pos,MASTER!$I:$I,0))&amp;"_ser_0.20_"&amp;TEXT(INDEX(MASTER!$E:$E,MATCH(_xlpm.pos,MASTER!$I:$I,0)),"mmddyy"),""),_xlpm.slot,960+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16" s="4" t="str">
        <f>_xlfn.LET(_xlpm.pos,"NIH plate 11: "&amp;$A6&amp;C$2,_xlpm.normal,IFERROR(INDEX(MASTER!$A:$A,MATCH(_xlpm.pos,MASTER!$I:$I,0))&amp;"_ser_0.20_"&amp;TEXT(INDEX(MASTER!$E:$E,MATCH(_xlpm.pos,MASTER!$I:$I,0)),"mmddyy"),""),_xlpm.slot,960+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16" s="4" t="str">
        <f>_xlfn.LET(_xlpm.pos,"NIH plate 11: "&amp;$A6&amp;D$2,_xlpm.normal,IFERROR(INDEX(MASTER!$A:$A,MATCH(_xlpm.pos,MASTER!$I:$I,0))&amp;"_ser_0.20_"&amp;TEXT(INDEX(MASTER!$E:$E,MATCH(_xlpm.pos,MASTER!$I:$I,0)),"mmddyy"),""),_xlpm.slot,960+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16" s="4" t="str">
        <f>_xlfn.LET(_xlpm.pos,"NIH plate 11: "&amp;$A6&amp;E$2,_xlpm.normal,IFERROR(INDEX(MASTER!$A:$A,MATCH(_xlpm.pos,MASTER!$I:$I,0))&amp;"_ser_0.20_"&amp;TEXT(INDEX(MASTER!$E:$E,MATCH(_xlpm.pos,MASTER!$I:$I,0)),"mmddyy"),""),_xlpm.slot,960+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16" s="4" t="str">
        <f>_xlfn.LET(_xlpm.pos,"NIH plate 11: "&amp;$A6&amp;F$2,_xlpm.normal,IFERROR(INDEX(MASTER!$A:$A,MATCH(_xlpm.pos,MASTER!$I:$I,0))&amp;"_ser_0.20_"&amp;TEXT(INDEX(MASTER!$E:$E,MATCH(_xlpm.pos,MASTER!$I:$I,0)),"mmddyy"),""),_xlpm.slot,960+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16" s="4" t="str">
        <f>_xlfn.LET(_xlpm.pos,"NIH plate 11: "&amp;$A6&amp;G$2,_xlpm.normal,IFERROR(INDEX(MASTER!$A:$A,MATCH(_xlpm.pos,MASTER!$I:$I,0))&amp;"_ser_0.20_"&amp;TEXT(INDEX(MASTER!$E:$E,MATCH(_xlpm.pos,MASTER!$I:$I,0)),"mmddyy"),""),_xlpm.slot,960+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16" s="4" t="str">
        <f>_xlfn.LET(_xlpm.pos,"NIH plate 11: "&amp;$A6&amp;H$2,_xlpm.normal,IFERROR(INDEX(MASTER!$A:$A,MATCH(_xlpm.pos,MASTER!$I:$I,0))&amp;"_ser_0.20_"&amp;TEXT(INDEX(MASTER!$E:$E,MATCH(_xlpm.pos,MASTER!$I:$I,0)),"mmddyy"),""),_xlpm.slot,960+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16" s="4" t="str">
        <f>_xlfn.LET(_xlpm.pos,"NIH plate 11: "&amp;$A6&amp;I$2,_xlpm.normal,IFERROR(INDEX(MASTER!$A:$A,MATCH(_xlpm.pos,MASTER!$I:$I,0))&amp;"_ser_0.20_"&amp;TEXT(INDEX(MASTER!$E:$E,MATCH(_xlpm.pos,MASTER!$I:$I,0)),"mmddyy"),""),_xlpm.slot,960+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16" s="4" t="str">
        <f>_xlfn.LET(_xlpm.pos,"NIH plate 11: "&amp;$A6&amp;J$2,_xlpm.normal,IFERROR(INDEX(MASTER!$A:$A,MATCH(_xlpm.pos,MASTER!$I:$I,0))&amp;"_ser_0.20_"&amp;TEXT(INDEX(MASTER!$E:$E,MATCH(_xlpm.pos,MASTER!$I:$I,0)),"mmddyy"),""),_xlpm.slot,960+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16" s="4" t="str">
        <f>_xlfn.LET(_xlpm.pos,"NIH plate 11: "&amp;$A6&amp;K$2,_xlpm.normal,IFERROR(INDEX(MASTER!$A:$A,MATCH(_xlpm.pos,MASTER!$I:$I,0))&amp;"_ser_0.20_"&amp;TEXT(INDEX(MASTER!$E:$E,MATCH(_xlpm.pos,MASTER!$I:$I,0)),"mmddyy"),""),_xlpm.slot,960+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16" s="4" t="str">
        <f>_xlfn.LET(_xlpm.pos,"NIH plate 11: "&amp;$A6&amp;L$2,_xlpm.normal,IFERROR(INDEX(MASTER!$A:$A,MATCH(_xlpm.pos,MASTER!$I:$I,0))&amp;"_ser_0.20_"&amp;TEXT(INDEX(MASTER!$E:$E,MATCH(_xlpm.pos,MASTER!$I:$I,0)),"mmddyy"),""),_xlpm.slot,960+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16" s="4" t="str">
        <f>_xlfn.LET(_xlpm.pos,"NIH plate 11: "&amp;$A6&amp;M$2,_xlpm.normal,IFERROR(INDEX(MASTER!$A:$A,MATCH(_xlpm.pos,MASTER!$I:$I,0))&amp;"_ser_0.20_"&amp;TEXT(INDEX(MASTER!$E:$E,MATCH(_xlpm.pos,MASTER!$I:$I,0)),"mmddyy"),""),_xlpm.slot,960+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17" spans="1:13" ht="22" customHeight="1" x14ac:dyDescent="0.35">
      <c r="A117" s="6" t="s">
        <v>34</v>
      </c>
      <c r="B117" s="4" t="str">
        <f>_xlfn.LET(_xlpm.pos,"NIH plate 11: "&amp;$A7&amp;B$2,_xlpm.normal,IFERROR(INDEX(MASTER!$A:$A,MATCH(_xlpm.pos,MASTER!$I:$I,0))&amp;"_ser_0.20_"&amp;TEXT(INDEX(MASTER!$E:$E,MATCH(_xlpm.pos,MASTER!$I:$I,0)),"mmddyy"),""),_xlpm.slot,960+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17" s="4" t="str">
        <f>_xlfn.LET(_xlpm.pos,"NIH plate 11: "&amp;$A7&amp;C$2,_xlpm.normal,IFERROR(INDEX(MASTER!$A:$A,MATCH(_xlpm.pos,MASTER!$I:$I,0))&amp;"_ser_0.20_"&amp;TEXT(INDEX(MASTER!$E:$E,MATCH(_xlpm.pos,MASTER!$I:$I,0)),"mmddyy"),""),_xlpm.slot,960+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17" s="4" t="str">
        <f>_xlfn.LET(_xlpm.pos,"NIH plate 11: "&amp;$A7&amp;D$2,_xlpm.normal,IFERROR(INDEX(MASTER!$A:$A,MATCH(_xlpm.pos,MASTER!$I:$I,0))&amp;"_ser_0.20_"&amp;TEXT(INDEX(MASTER!$E:$E,MATCH(_xlpm.pos,MASTER!$I:$I,0)),"mmddyy"),""),_xlpm.slot,960+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17" s="4" t="str">
        <f>_xlfn.LET(_xlpm.pos,"NIH plate 11: "&amp;$A7&amp;E$2,_xlpm.normal,IFERROR(INDEX(MASTER!$A:$A,MATCH(_xlpm.pos,MASTER!$I:$I,0))&amp;"_ser_0.20_"&amp;TEXT(INDEX(MASTER!$E:$E,MATCH(_xlpm.pos,MASTER!$I:$I,0)),"mmddyy"),""),_xlpm.slot,960+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17" s="4" t="str">
        <f>_xlfn.LET(_xlpm.pos,"NIH plate 11: "&amp;$A7&amp;F$2,_xlpm.normal,IFERROR(INDEX(MASTER!$A:$A,MATCH(_xlpm.pos,MASTER!$I:$I,0))&amp;"_ser_0.20_"&amp;TEXT(INDEX(MASTER!$E:$E,MATCH(_xlpm.pos,MASTER!$I:$I,0)),"mmddyy"),""),_xlpm.slot,960+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17" s="4" t="str">
        <f>_xlfn.LET(_xlpm.pos,"NIH plate 11: "&amp;$A7&amp;G$2,_xlpm.normal,IFERROR(INDEX(MASTER!$A:$A,MATCH(_xlpm.pos,MASTER!$I:$I,0))&amp;"_ser_0.20_"&amp;TEXT(INDEX(MASTER!$E:$E,MATCH(_xlpm.pos,MASTER!$I:$I,0)),"mmddyy"),""),_xlpm.slot,960+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17" s="4" t="str">
        <f>_xlfn.LET(_xlpm.pos,"NIH plate 11: "&amp;$A7&amp;H$2,_xlpm.normal,IFERROR(INDEX(MASTER!$A:$A,MATCH(_xlpm.pos,MASTER!$I:$I,0))&amp;"_ser_0.20_"&amp;TEXT(INDEX(MASTER!$E:$E,MATCH(_xlpm.pos,MASTER!$I:$I,0)),"mmddyy"),""),_xlpm.slot,960+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17" s="4" t="str">
        <f>_xlfn.LET(_xlpm.pos,"NIH plate 11: "&amp;$A7&amp;I$2,_xlpm.normal,IFERROR(INDEX(MASTER!$A:$A,MATCH(_xlpm.pos,MASTER!$I:$I,0))&amp;"_ser_0.20_"&amp;TEXT(INDEX(MASTER!$E:$E,MATCH(_xlpm.pos,MASTER!$I:$I,0)),"mmddyy"),""),_xlpm.slot,960+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17" s="4" t="str">
        <f>_xlfn.LET(_xlpm.pos,"NIH plate 11: "&amp;$A7&amp;J$2,_xlpm.normal,IFERROR(INDEX(MASTER!$A:$A,MATCH(_xlpm.pos,MASTER!$I:$I,0))&amp;"_ser_0.20_"&amp;TEXT(INDEX(MASTER!$E:$E,MATCH(_xlpm.pos,MASTER!$I:$I,0)),"mmddyy"),""),_xlpm.slot,960+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17" s="4" t="str">
        <f>_xlfn.LET(_xlpm.pos,"NIH plate 11: "&amp;$A7&amp;K$2,_xlpm.normal,IFERROR(INDEX(MASTER!$A:$A,MATCH(_xlpm.pos,MASTER!$I:$I,0))&amp;"_ser_0.20_"&amp;TEXT(INDEX(MASTER!$E:$E,MATCH(_xlpm.pos,MASTER!$I:$I,0)),"mmddyy"),""),_xlpm.slot,960+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17" s="4" t="str">
        <f>_xlfn.LET(_xlpm.pos,"NIH plate 11: "&amp;$A7&amp;L$2,_xlpm.normal,IFERROR(INDEX(MASTER!$A:$A,MATCH(_xlpm.pos,MASTER!$I:$I,0))&amp;"_ser_0.20_"&amp;TEXT(INDEX(MASTER!$E:$E,MATCH(_xlpm.pos,MASTER!$I:$I,0)),"mmddyy"),""),_xlpm.slot,960+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17" s="4" t="str">
        <f>_xlfn.LET(_xlpm.pos,"NIH plate 11: "&amp;$A7&amp;M$2,_xlpm.normal,IFERROR(INDEX(MASTER!$A:$A,MATCH(_xlpm.pos,MASTER!$I:$I,0))&amp;"_ser_0.20_"&amp;TEXT(INDEX(MASTER!$E:$E,MATCH(_xlpm.pos,MASTER!$I:$I,0)),"mmddyy"),""),_xlpm.slot,960+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18" spans="1:13" ht="22" customHeight="1" x14ac:dyDescent="0.35">
      <c r="A118" s="6" t="s">
        <v>15</v>
      </c>
      <c r="B118" s="4" t="str">
        <f>_xlfn.LET(_xlpm.pos,"NIH plate 11: "&amp;$A8&amp;B$2,_xlpm.normal,IFERROR(INDEX(MASTER!$A:$A,MATCH(_xlpm.pos,MASTER!$I:$I,0))&amp;"_ser_0.20_"&amp;TEXT(INDEX(MASTER!$E:$E,MATCH(_xlpm.pos,MASTER!$I:$I,0)),"mmddyy"),""),_xlpm.slot,960+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18" s="4" t="str">
        <f>_xlfn.LET(_xlpm.pos,"NIH plate 11: "&amp;$A8&amp;C$2,_xlpm.normal,IFERROR(INDEX(MASTER!$A:$A,MATCH(_xlpm.pos,MASTER!$I:$I,0))&amp;"_ser_0.20_"&amp;TEXT(INDEX(MASTER!$E:$E,MATCH(_xlpm.pos,MASTER!$I:$I,0)),"mmddyy"),""),_xlpm.slot,960+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18" s="4" t="str">
        <f>_xlfn.LET(_xlpm.pos,"NIH plate 11: "&amp;$A8&amp;D$2,_xlpm.normal,IFERROR(INDEX(MASTER!$A:$A,MATCH(_xlpm.pos,MASTER!$I:$I,0))&amp;"_ser_0.20_"&amp;TEXT(INDEX(MASTER!$E:$E,MATCH(_xlpm.pos,MASTER!$I:$I,0)),"mmddyy"),""),_xlpm.slot,960+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18" s="4" t="str">
        <f>_xlfn.LET(_xlpm.pos,"NIH plate 11: "&amp;$A8&amp;E$2,_xlpm.normal,IFERROR(INDEX(MASTER!$A:$A,MATCH(_xlpm.pos,MASTER!$I:$I,0))&amp;"_ser_0.20_"&amp;TEXT(INDEX(MASTER!$E:$E,MATCH(_xlpm.pos,MASTER!$I:$I,0)),"mmddyy"),""),_xlpm.slot,960+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18" s="4" t="str">
        <f>_xlfn.LET(_xlpm.pos,"NIH plate 11: "&amp;$A8&amp;F$2,_xlpm.normal,IFERROR(INDEX(MASTER!$A:$A,MATCH(_xlpm.pos,MASTER!$I:$I,0))&amp;"_ser_0.20_"&amp;TEXT(INDEX(MASTER!$E:$E,MATCH(_xlpm.pos,MASTER!$I:$I,0)),"mmddyy"),""),_xlpm.slot,960+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18" s="4" t="str">
        <f>_xlfn.LET(_xlpm.pos,"NIH plate 11: "&amp;$A8&amp;G$2,_xlpm.normal,IFERROR(INDEX(MASTER!$A:$A,MATCH(_xlpm.pos,MASTER!$I:$I,0))&amp;"_ser_0.20_"&amp;TEXT(INDEX(MASTER!$E:$E,MATCH(_xlpm.pos,MASTER!$I:$I,0)),"mmddyy"),""),_xlpm.slot,960+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18" s="4" t="str">
        <f>_xlfn.LET(_xlpm.pos,"NIH plate 11: "&amp;$A8&amp;H$2,_xlpm.normal,IFERROR(INDEX(MASTER!$A:$A,MATCH(_xlpm.pos,MASTER!$I:$I,0))&amp;"_ser_0.20_"&amp;TEXT(INDEX(MASTER!$E:$E,MATCH(_xlpm.pos,MASTER!$I:$I,0)),"mmddyy"),""),_xlpm.slot,960+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18" s="4" t="str">
        <f>_xlfn.LET(_xlpm.pos,"NIH plate 11: "&amp;$A8&amp;I$2,_xlpm.normal,IFERROR(INDEX(MASTER!$A:$A,MATCH(_xlpm.pos,MASTER!$I:$I,0))&amp;"_ser_0.20_"&amp;TEXT(INDEX(MASTER!$E:$E,MATCH(_xlpm.pos,MASTER!$I:$I,0)),"mmddyy"),""),_xlpm.slot,960+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18" s="4" t="str">
        <f>_xlfn.LET(_xlpm.pos,"NIH plate 11: "&amp;$A8&amp;J$2,_xlpm.normal,IFERROR(INDEX(MASTER!$A:$A,MATCH(_xlpm.pos,MASTER!$I:$I,0))&amp;"_ser_0.20_"&amp;TEXT(INDEX(MASTER!$E:$E,MATCH(_xlpm.pos,MASTER!$I:$I,0)),"mmddyy"),""),_xlpm.slot,960+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18" s="4" t="str">
        <f>_xlfn.LET(_xlpm.pos,"NIH plate 11: "&amp;$A8&amp;K$2,_xlpm.normal,IFERROR(INDEX(MASTER!$A:$A,MATCH(_xlpm.pos,MASTER!$I:$I,0))&amp;"_ser_0.20_"&amp;TEXT(INDEX(MASTER!$E:$E,MATCH(_xlpm.pos,MASTER!$I:$I,0)),"mmddyy"),""),_xlpm.slot,960+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18" s="4" t="str">
        <f>_xlfn.LET(_xlpm.pos,"NIH plate 11: "&amp;$A8&amp;L$2,_xlpm.normal,IFERROR(INDEX(MASTER!$A:$A,MATCH(_xlpm.pos,MASTER!$I:$I,0))&amp;"_ser_0.20_"&amp;TEXT(INDEX(MASTER!$E:$E,MATCH(_xlpm.pos,MASTER!$I:$I,0)),"mmddyy"),""),_xlpm.slot,960+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18" s="4" t="str">
        <f>_xlfn.LET(_xlpm.pos,"NIH plate 11: "&amp;$A8&amp;M$2,_xlpm.normal,IFERROR(INDEX(MASTER!$A:$A,MATCH(_xlpm.pos,MASTER!$I:$I,0))&amp;"_ser_0.20_"&amp;TEXT(INDEX(MASTER!$E:$E,MATCH(_xlpm.pos,MASTER!$I:$I,0)),"mmddyy"),""),_xlpm.slot,960+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19" spans="1:13" ht="22" customHeight="1" x14ac:dyDescent="0.35">
      <c r="A119" s="6" t="s">
        <v>35</v>
      </c>
      <c r="B119" s="4" t="str">
        <f>_xlfn.LET(_xlpm.pos,"NIH plate 11: "&amp;$A9&amp;B$2,_xlpm.normal,IFERROR(INDEX(MASTER!$A:$A,MATCH(_xlpm.pos,MASTER!$I:$I,0))&amp;"_ser_0.20_"&amp;TEXT(INDEX(MASTER!$E:$E,MATCH(_xlpm.pos,MASTER!$I:$I,0)),"mmddyy"),""),_xlpm.slot,960+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19" s="4" t="str">
        <f>_xlfn.LET(_xlpm.pos,"NIH plate 11: "&amp;$A9&amp;C$2,_xlpm.normal,IFERROR(INDEX(MASTER!$A:$A,MATCH(_xlpm.pos,MASTER!$I:$I,0))&amp;"_ser_0.20_"&amp;TEXT(INDEX(MASTER!$E:$E,MATCH(_xlpm.pos,MASTER!$I:$I,0)),"mmddyy"),""),_xlpm.slot,960+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19" s="4" t="str">
        <f>_xlfn.LET(_xlpm.pos,"NIH plate 11: "&amp;$A9&amp;D$2,_xlpm.normal,IFERROR(INDEX(MASTER!$A:$A,MATCH(_xlpm.pos,MASTER!$I:$I,0))&amp;"_ser_0.20_"&amp;TEXT(INDEX(MASTER!$E:$E,MATCH(_xlpm.pos,MASTER!$I:$I,0)),"mmddyy"),""),_xlpm.slot,960+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19" s="4" t="str">
        <f>_xlfn.LET(_xlpm.pos,"NIH plate 11: "&amp;$A9&amp;E$2,_xlpm.normal,IFERROR(INDEX(MASTER!$A:$A,MATCH(_xlpm.pos,MASTER!$I:$I,0))&amp;"_ser_0.20_"&amp;TEXT(INDEX(MASTER!$E:$E,MATCH(_xlpm.pos,MASTER!$I:$I,0)),"mmddyy"),""),_xlpm.slot,960+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19" s="4" t="str">
        <f>_xlfn.LET(_xlpm.pos,"NIH plate 11: "&amp;$A9&amp;F$2,_xlpm.normal,IFERROR(INDEX(MASTER!$A:$A,MATCH(_xlpm.pos,MASTER!$I:$I,0))&amp;"_ser_0.20_"&amp;TEXT(INDEX(MASTER!$E:$E,MATCH(_xlpm.pos,MASTER!$I:$I,0)),"mmddyy"),""),_xlpm.slot,960+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19" s="4" t="str">
        <f>_xlfn.LET(_xlpm.pos,"NIH plate 11: "&amp;$A9&amp;G$2,_xlpm.normal,IFERROR(INDEX(MASTER!$A:$A,MATCH(_xlpm.pos,MASTER!$I:$I,0))&amp;"_ser_0.20_"&amp;TEXT(INDEX(MASTER!$E:$E,MATCH(_xlpm.pos,MASTER!$I:$I,0)),"mmddyy"),""),_xlpm.slot,960+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19" s="4" t="str">
        <f>_xlfn.LET(_xlpm.pos,"NIH plate 11: "&amp;$A9&amp;H$2,_xlpm.normal,IFERROR(INDEX(MASTER!$A:$A,MATCH(_xlpm.pos,MASTER!$I:$I,0))&amp;"_ser_0.20_"&amp;TEXT(INDEX(MASTER!$E:$E,MATCH(_xlpm.pos,MASTER!$I:$I,0)),"mmddyy"),""),_xlpm.slot,960+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19" s="4" t="str">
        <f>_xlfn.LET(_xlpm.pos,"NIH plate 11: "&amp;$A9&amp;I$2,_xlpm.normal,IFERROR(INDEX(MASTER!$A:$A,MATCH(_xlpm.pos,MASTER!$I:$I,0))&amp;"_ser_0.20_"&amp;TEXT(INDEX(MASTER!$E:$E,MATCH(_xlpm.pos,MASTER!$I:$I,0)),"mmddyy"),""),_xlpm.slot,960+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19" s="4" t="str">
        <f>_xlfn.LET(_xlpm.pos,"NIH plate 11: "&amp;$A9&amp;J$2,_xlpm.normal,IFERROR(INDEX(MASTER!$A:$A,MATCH(_xlpm.pos,MASTER!$I:$I,0))&amp;"_ser_0.20_"&amp;TEXT(INDEX(MASTER!$E:$E,MATCH(_xlpm.pos,MASTER!$I:$I,0)),"mmddyy"),""),_xlpm.slot,960+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19" s="4" t="str">
        <f>_xlfn.LET(_xlpm.pos,"NIH plate 11: "&amp;$A9&amp;K$2,_xlpm.normal,IFERROR(INDEX(MASTER!$A:$A,MATCH(_xlpm.pos,MASTER!$I:$I,0))&amp;"_ser_0.20_"&amp;TEXT(INDEX(MASTER!$E:$E,MATCH(_xlpm.pos,MASTER!$I:$I,0)),"mmddyy"),""),_xlpm.slot,960+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19" s="4" t="str">
        <f>_xlfn.LET(_xlpm.pos,"NIH plate 11: "&amp;$A9&amp;L$2,_xlpm.normal,IFERROR(INDEX(MASTER!$A:$A,MATCH(_xlpm.pos,MASTER!$I:$I,0))&amp;"_ser_0.20_"&amp;TEXT(INDEX(MASTER!$E:$E,MATCH(_xlpm.pos,MASTER!$I:$I,0)),"mmddyy"),""),_xlpm.slot,960+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19" s="4" t="str">
        <f>_xlfn.LET(_xlpm.pos,"NIH plate 11: "&amp;$A9&amp;M$2,_xlpm.normal,IFERROR(INDEX(MASTER!$A:$A,MATCH(_xlpm.pos,MASTER!$I:$I,0))&amp;"_ser_0.20_"&amp;TEXT(INDEX(MASTER!$E:$E,MATCH(_xlpm.pos,MASTER!$I:$I,0)),"mmddyy"),""),_xlpm.slot,960+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20" spans="1:13" ht="22" customHeight="1" x14ac:dyDescent="0.35">
      <c r="A120" s="6" t="s">
        <v>36</v>
      </c>
      <c r="B120" s="4" t="str">
        <f>_xlfn.LET(_xlpm.pos,"NIH plate 11: "&amp;$A10&amp;B$2,_xlpm.normal,IFERROR(INDEX(MASTER!$A:$A,MATCH(_xlpm.pos,MASTER!$I:$I,0))&amp;"_ser_0.20_"&amp;TEXT(INDEX(MASTER!$E:$E,MATCH(_xlpm.pos,MASTER!$I:$I,0)),"mmddyy"),""),_xlpm.slot,960+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20" s="4" t="str">
        <f>_xlfn.LET(_xlpm.pos,"NIH plate 11: "&amp;$A10&amp;C$2,_xlpm.normal,IFERROR(INDEX(MASTER!$A:$A,MATCH(_xlpm.pos,MASTER!$I:$I,0))&amp;"_ser_0.20_"&amp;TEXT(INDEX(MASTER!$E:$E,MATCH(_xlpm.pos,MASTER!$I:$I,0)),"mmddyy"),""),_xlpm.slot,960+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20" s="4" t="str">
        <f>_xlfn.LET(_xlpm.pos,"NIH plate 11: "&amp;$A10&amp;D$2,_xlpm.normal,IFERROR(INDEX(MASTER!$A:$A,MATCH(_xlpm.pos,MASTER!$I:$I,0))&amp;"_ser_0.20_"&amp;TEXT(INDEX(MASTER!$E:$E,MATCH(_xlpm.pos,MASTER!$I:$I,0)),"mmddyy"),""),_xlpm.slot,960+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20" s="4" t="str">
        <f>_xlfn.LET(_xlpm.pos,"NIH plate 11: "&amp;$A10&amp;E$2,_xlpm.normal,IFERROR(INDEX(MASTER!$A:$A,MATCH(_xlpm.pos,MASTER!$I:$I,0))&amp;"_ser_0.20_"&amp;TEXT(INDEX(MASTER!$E:$E,MATCH(_xlpm.pos,MASTER!$I:$I,0)),"mmddyy"),""),_xlpm.slot,960+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20" s="4" t="str">
        <f>_xlfn.LET(_xlpm.pos,"NIH plate 11: "&amp;$A10&amp;F$2,_xlpm.normal,IFERROR(INDEX(MASTER!$A:$A,MATCH(_xlpm.pos,MASTER!$I:$I,0))&amp;"_ser_0.20_"&amp;TEXT(INDEX(MASTER!$E:$E,MATCH(_xlpm.pos,MASTER!$I:$I,0)),"mmddyy"),""),_xlpm.slot,960+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20" s="4" t="str">
        <f>_xlfn.LET(_xlpm.pos,"NIH plate 11: "&amp;$A10&amp;G$2,_xlpm.normal,IFERROR(INDEX(MASTER!$A:$A,MATCH(_xlpm.pos,MASTER!$I:$I,0))&amp;"_ser_0.20_"&amp;TEXT(INDEX(MASTER!$E:$E,MATCH(_xlpm.pos,MASTER!$I:$I,0)),"mmddyy"),""),_xlpm.slot,960+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20" s="4" t="str">
        <f>_xlfn.LET(_xlpm.pos,"NIH plate 11: "&amp;$A10&amp;H$2,_xlpm.normal,IFERROR(INDEX(MASTER!$A:$A,MATCH(_xlpm.pos,MASTER!$I:$I,0))&amp;"_ser_0.20_"&amp;TEXT(INDEX(MASTER!$E:$E,MATCH(_xlpm.pos,MASTER!$I:$I,0)),"mmddyy"),""),_xlpm.slot,960+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20" s="4" t="str">
        <f>_xlfn.LET(_xlpm.pos,"NIH plate 11: "&amp;$A10&amp;I$2,_xlpm.normal,IFERROR(INDEX(MASTER!$A:$A,MATCH(_xlpm.pos,MASTER!$I:$I,0))&amp;"_ser_0.20_"&amp;TEXT(INDEX(MASTER!$E:$E,MATCH(_xlpm.pos,MASTER!$I:$I,0)),"mmddyy"),""),_xlpm.slot,960+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20" s="4" t="str">
        <f>_xlfn.LET(_xlpm.pos,"NIH plate 11: "&amp;$A10&amp;J$2,_xlpm.normal,IFERROR(INDEX(MASTER!$A:$A,MATCH(_xlpm.pos,MASTER!$I:$I,0))&amp;"_ser_0.20_"&amp;TEXT(INDEX(MASTER!$E:$E,MATCH(_xlpm.pos,MASTER!$I:$I,0)),"mmddyy"),""),_xlpm.slot,960+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20" s="4" t="str">
        <f>_xlfn.LET(_xlpm.pos,"NIH plate 11: "&amp;$A10&amp;K$2,_xlpm.normal,IFERROR(INDEX(MASTER!$A:$A,MATCH(_xlpm.pos,MASTER!$I:$I,0))&amp;"_ser_0.20_"&amp;TEXT(INDEX(MASTER!$E:$E,MATCH(_xlpm.pos,MASTER!$I:$I,0)),"mmddyy"),""),_xlpm.slot,960+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20" s="4" t="str">
        <f>_xlfn.LET(_xlpm.pos,"NIH plate 11: "&amp;$A10&amp;L$2,_xlpm.normal,IFERROR(INDEX(MASTER!$A:$A,MATCH(_xlpm.pos,MASTER!$I:$I,0))&amp;"_ser_0.20_"&amp;TEXT(INDEX(MASTER!$E:$E,MATCH(_xlpm.pos,MASTER!$I:$I,0)),"mmddyy"),""),_xlpm.slot,960+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20" s="4" t="str">
        <f>_xlfn.LET(_xlpm.pos,"NIH plate 11: "&amp;$A10&amp;M$2,_xlpm.normal,IFERROR(INDEX(MASTER!$A:$A,MATCH(_xlpm.pos,MASTER!$I:$I,0))&amp;"_ser_0.20_"&amp;TEXT(INDEX(MASTER!$E:$E,MATCH(_xlpm.pos,MASTER!$I:$I,0)),"mmddyy"),""),_xlpm.slot,960+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21" spans="1:13" ht="22" customHeight="1" x14ac:dyDescent="0.3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</row>
    <row r="122" spans="1:13" ht="22" customHeight="1" x14ac:dyDescent="0.35">
      <c r="A122" s="7"/>
      <c r="B122" s="31" t="s">
        <v>68</v>
      </c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3"/>
    </row>
    <row r="123" spans="1:13" ht="22" customHeight="1" x14ac:dyDescent="0.35">
      <c r="A123" s="7"/>
      <c r="B123" s="6">
        <v>1</v>
      </c>
      <c r="C123" s="6">
        <v>2</v>
      </c>
      <c r="D123" s="6">
        <v>3</v>
      </c>
      <c r="E123" s="6">
        <v>4</v>
      </c>
      <c r="F123" s="6">
        <v>5</v>
      </c>
      <c r="G123" s="6">
        <v>6</v>
      </c>
      <c r="H123" s="6">
        <v>7</v>
      </c>
      <c r="I123" s="6">
        <v>8</v>
      </c>
      <c r="J123" s="6">
        <v>9</v>
      </c>
      <c r="K123" s="6">
        <v>10</v>
      </c>
      <c r="L123" s="6">
        <v>11</v>
      </c>
      <c r="M123" s="6">
        <v>12</v>
      </c>
    </row>
    <row r="124" spans="1:13" ht="22" customHeight="1" x14ac:dyDescent="0.35">
      <c r="A124" s="6" t="s">
        <v>30</v>
      </c>
      <c r="B124" s="4" t="str">
        <f>_xlfn.LET(_xlpm.pos,"NIH plate 12: "&amp;$A3&amp;B$2,_xlpm.normal,IFERROR(INDEX(MASTER!$A:$A,MATCH(_xlpm.pos,MASTER!$I:$I,0))&amp;"_ser_0.20_"&amp;TEXT(INDEX(MASTER!$E:$E,MATCH(_xlpm.pos,MASTER!$I:$I,0)),"mmddyy"),""),_xlpm.slot,1056+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24" s="4" t="str">
        <f>_xlfn.LET(_xlpm.pos,"NIH plate 12: "&amp;$A3&amp;C$2,_xlpm.normal,IFERROR(INDEX(MASTER!$A:$A,MATCH(_xlpm.pos,MASTER!$I:$I,0))&amp;"_ser_0.20_"&amp;TEXT(INDEX(MASTER!$E:$E,MATCH(_xlpm.pos,MASTER!$I:$I,0)),"mmddyy"),""),_xlpm.slot,1056+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24" s="4" t="str">
        <f>_xlfn.LET(_xlpm.pos,"NIH plate 12: "&amp;$A3&amp;D$2,_xlpm.normal,IFERROR(INDEX(MASTER!$A:$A,MATCH(_xlpm.pos,MASTER!$I:$I,0))&amp;"_ser_0.20_"&amp;TEXT(INDEX(MASTER!$E:$E,MATCH(_xlpm.pos,MASTER!$I:$I,0)),"mmddyy"),""),_xlpm.slot,1056+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24" s="4" t="str">
        <f>_xlfn.LET(_xlpm.pos,"NIH plate 12: "&amp;$A3&amp;E$2,_xlpm.normal,IFERROR(INDEX(MASTER!$A:$A,MATCH(_xlpm.pos,MASTER!$I:$I,0))&amp;"_ser_0.20_"&amp;TEXT(INDEX(MASTER!$E:$E,MATCH(_xlpm.pos,MASTER!$I:$I,0)),"mmddyy"),""),_xlpm.slot,1056+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24" s="4" t="str">
        <f>_xlfn.LET(_xlpm.pos,"NIH plate 12: "&amp;$A3&amp;F$2,_xlpm.normal,IFERROR(INDEX(MASTER!$A:$A,MATCH(_xlpm.pos,MASTER!$I:$I,0))&amp;"_ser_0.20_"&amp;TEXT(INDEX(MASTER!$E:$E,MATCH(_xlpm.pos,MASTER!$I:$I,0)),"mmddyy"),""),_xlpm.slot,1056+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24" s="4" t="str">
        <f>_xlfn.LET(_xlpm.pos,"NIH plate 12: "&amp;$A3&amp;G$2,_xlpm.normal,IFERROR(INDEX(MASTER!$A:$A,MATCH(_xlpm.pos,MASTER!$I:$I,0))&amp;"_ser_0.20_"&amp;TEXT(INDEX(MASTER!$E:$E,MATCH(_xlpm.pos,MASTER!$I:$I,0)),"mmddyy"),""),_xlpm.slot,1056+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24" s="4" t="str">
        <f>_xlfn.LET(_xlpm.pos,"NIH plate 12: "&amp;$A3&amp;H$2,_xlpm.normal,IFERROR(INDEX(MASTER!$A:$A,MATCH(_xlpm.pos,MASTER!$I:$I,0))&amp;"_ser_0.20_"&amp;TEXT(INDEX(MASTER!$E:$E,MATCH(_xlpm.pos,MASTER!$I:$I,0)),"mmddyy"),""),_xlpm.slot,1056+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24" s="4" t="str">
        <f>_xlfn.LET(_xlpm.pos,"NIH plate 12: "&amp;$A3&amp;I$2,_xlpm.normal,IFERROR(INDEX(MASTER!$A:$A,MATCH(_xlpm.pos,MASTER!$I:$I,0))&amp;"_ser_0.20_"&amp;TEXT(INDEX(MASTER!$E:$E,MATCH(_xlpm.pos,MASTER!$I:$I,0)),"mmddyy"),""),_xlpm.slot,1056+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24" s="4" t="str">
        <f>_xlfn.LET(_xlpm.pos,"NIH plate 12: "&amp;$A3&amp;J$2,_xlpm.normal,IFERROR(INDEX(MASTER!$A:$A,MATCH(_xlpm.pos,MASTER!$I:$I,0))&amp;"_ser_0.20_"&amp;TEXT(INDEX(MASTER!$E:$E,MATCH(_xlpm.pos,MASTER!$I:$I,0)),"mmddyy"),""),_xlpm.slot,1056+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24" s="4" t="str">
        <f>_xlfn.LET(_xlpm.pos,"NIH plate 12: "&amp;$A3&amp;K$2,_xlpm.normal,IFERROR(INDEX(MASTER!$A:$A,MATCH(_xlpm.pos,MASTER!$I:$I,0))&amp;"_ser_0.20_"&amp;TEXT(INDEX(MASTER!$E:$E,MATCH(_xlpm.pos,MASTER!$I:$I,0)),"mmddyy"),""),_xlpm.slot,1056+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24" s="4" t="str">
        <f>_xlfn.LET(_xlpm.pos,"NIH plate 12: "&amp;$A3&amp;L$2,_xlpm.normal,IFERROR(INDEX(MASTER!$A:$A,MATCH(_xlpm.pos,MASTER!$I:$I,0))&amp;"_ser_0.20_"&amp;TEXT(INDEX(MASTER!$E:$E,MATCH(_xlpm.pos,MASTER!$I:$I,0)),"mmddyy"),""),_xlpm.slot,1056+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24" s="4" t="str">
        <f>_xlfn.LET(_xlpm.pos,"NIH plate 12: "&amp;$A3&amp;M$2,_xlpm.normal,IFERROR(INDEX(MASTER!$A:$A,MATCH(_xlpm.pos,MASTER!$I:$I,0))&amp;"_ser_0.20_"&amp;TEXT(INDEX(MASTER!$E:$E,MATCH(_xlpm.pos,MASTER!$I:$I,0)),"mmddyy"),""),_xlpm.slot,1056+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25" spans="1:13" ht="22" customHeight="1" x14ac:dyDescent="0.35">
      <c r="A125" s="6" t="s">
        <v>31</v>
      </c>
      <c r="B125" s="4" t="str">
        <f>_xlfn.LET(_xlpm.pos,"NIH plate 12: "&amp;$A4&amp;B$2,_xlpm.normal,IFERROR(INDEX(MASTER!$A:$A,MATCH(_xlpm.pos,MASTER!$I:$I,0))&amp;"_ser_0.20_"&amp;TEXT(INDEX(MASTER!$E:$E,MATCH(_xlpm.pos,MASTER!$I:$I,0)),"mmddyy"),""),_xlpm.slot,1056+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25" s="4" t="str">
        <f>_xlfn.LET(_xlpm.pos,"NIH plate 12: "&amp;$A4&amp;C$2,_xlpm.normal,IFERROR(INDEX(MASTER!$A:$A,MATCH(_xlpm.pos,MASTER!$I:$I,0))&amp;"_ser_0.20_"&amp;TEXT(INDEX(MASTER!$E:$E,MATCH(_xlpm.pos,MASTER!$I:$I,0)),"mmddyy"),""),_xlpm.slot,1056+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25" s="4" t="str">
        <f>_xlfn.LET(_xlpm.pos,"NIH plate 12: "&amp;$A4&amp;D$2,_xlpm.normal,IFERROR(INDEX(MASTER!$A:$A,MATCH(_xlpm.pos,MASTER!$I:$I,0))&amp;"_ser_0.20_"&amp;TEXT(INDEX(MASTER!$E:$E,MATCH(_xlpm.pos,MASTER!$I:$I,0)),"mmddyy"),""),_xlpm.slot,1056+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25" s="4" t="str">
        <f>_xlfn.LET(_xlpm.pos,"NIH plate 12: "&amp;$A4&amp;E$2,_xlpm.normal,IFERROR(INDEX(MASTER!$A:$A,MATCH(_xlpm.pos,MASTER!$I:$I,0))&amp;"_ser_0.20_"&amp;TEXT(INDEX(MASTER!$E:$E,MATCH(_xlpm.pos,MASTER!$I:$I,0)),"mmddyy"),""),_xlpm.slot,1056+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25" s="4" t="str">
        <f>_xlfn.LET(_xlpm.pos,"NIH plate 12: "&amp;$A4&amp;F$2,_xlpm.normal,IFERROR(INDEX(MASTER!$A:$A,MATCH(_xlpm.pos,MASTER!$I:$I,0))&amp;"_ser_0.20_"&amp;TEXT(INDEX(MASTER!$E:$E,MATCH(_xlpm.pos,MASTER!$I:$I,0)),"mmddyy"),""),_xlpm.slot,1056+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25" s="4" t="str">
        <f>_xlfn.LET(_xlpm.pos,"NIH plate 12: "&amp;$A4&amp;G$2,_xlpm.normal,IFERROR(INDEX(MASTER!$A:$A,MATCH(_xlpm.pos,MASTER!$I:$I,0))&amp;"_ser_0.20_"&amp;TEXT(INDEX(MASTER!$E:$E,MATCH(_xlpm.pos,MASTER!$I:$I,0)),"mmddyy"),""),_xlpm.slot,1056+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25" s="4" t="str">
        <f>_xlfn.LET(_xlpm.pos,"NIH plate 12: "&amp;$A4&amp;H$2,_xlpm.normal,IFERROR(INDEX(MASTER!$A:$A,MATCH(_xlpm.pos,MASTER!$I:$I,0))&amp;"_ser_0.20_"&amp;TEXT(INDEX(MASTER!$E:$E,MATCH(_xlpm.pos,MASTER!$I:$I,0)),"mmddyy"),""),_xlpm.slot,1056+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25" s="4" t="str">
        <f>_xlfn.LET(_xlpm.pos,"NIH plate 12: "&amp;$A4&amp;I$2,_xlpm.normal,IFERROR(INDEX(MASTER!$A:$A,MATCH(_xlpm.pos,MASTER!$I:$I,0))&amp;"_ser_0.20_"&amp;TEXT(INDEX(MASTER!$E:$E,MATCH(_xlpm.pos,MASTER!$I:$I,0)),"mmddyy"),""),_xlpm.slot,1056+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25" s="4" t="str">
        <f>_xlfn.LET(_xlpm.pos,"NIH plate 12: "&amp;$A4&amp;J$2,_xlpm.normal,IFERROR(INDEX(MASTER!$A:$A,MATCH(_xlpm.pos,MASTER!$I:$I,0))&amp;"_ser_0.20_"&amp;TEXT(INDEX(MASTER!$E:$E,MATCH(_xlpm.pos,MASTER!$I:$I,0)),"mmddyy"),""),_xlpm.slot,1056+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25" s="4" t="str">
        <f>_xlfn.LET(_xlpm.pos,"NIH plate 12: "&amp;$A4&amp;K$2,_xlpm.normal,IFERROR(INDEX(MASTER!$A:$A,MATCH(_xlpm.pos,MASTER!$I:$I,0))&amp;"_ser_0.20_"&amp;TEXT(INDEX(MASTER!$E:$E,MATCH(_xlpm.pos,MASTER!$I:$I,0)),"mmddyy"),""),_xlpm.slot,1056+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25" s="4" t="str">
        <f>_xlfn.LET(_xlpm.pos,"NIH plate 12: "&amp;$A4&amp;L$2,_xlpm.normal,IFERROR(INDEX(MASTER!$A:$A,MATCH(_xlpm.pos,MASTER!$I:$I,0))&amp;"_ser_0.20_"&amp;TEXT(INDEX(MASTER!$E:$E,MATCH(_xlpm.pos,MASTER!$I:$I,0)),"mmddyy"),""),_xlpm.slot,1056+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25" s="4" t="str">
        <f>_xlfn.LET(_xlpm.pos,"NIH plate 12: "&amp;$A4&amp;M$2,_xlpm.normal,IFERROR(INDEX(MASTER!$A:$A,MATCH(_xlpm.pos,MASTER!$I:$I,0))&amp;"_ser_0.20_"&amp;TEXT(INDEX(MASTER!$E:$E,MATCH(_xlpm.pos,MASTER!$I:$I,0)),"mmddyy"),""),_xlpm.slot,1056+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26" spans="1:13" ht="22" customHeight="1" x14ac:dyDescent="0.35">
      <c r="A126" s="6" t="s">
        <v>32</v>
      </c>
      <c r="B126" s="4" t="str">
        <f>_xlfn.LET(_xlpm.pos,"NIH plate 12: "&amp;$A5&amp;B$2,_xlpm.normal,IFERROR(INDEX(MASTER!$A:$A,MATCH(_xlpm.pos,MASTER!$I:$I,0))&amp;"_ser_0.20_"&amp;TEXT(INDEX(MASTER!$E:$E,MATCH(_xlpm.pos,MASTER!$I:$I,0)),"mmddyy"),""),_xlpm.slot,1056+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26" s="4" t="str">
        <f>_xlfn.LET(_xlpm.pos,"NIH plate 12: "&amp;$A5&amp;C$2,_xlpm.normal,IFERROR(INDEX(MASTER!$A:$A,MATCH(_xlpm.pos,MASTER!$I:$I,0))&amp;"_ser_0.20_"&amp;TEXT(INDEX(MASTER!$E:$E,MATCH(_xlpm.pos,MASTER!$I:$I,0)),"mmddyy"),""),_xlpm.slot,1056+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26" s="4" t="str">
        <f>_xlfn.LET(_xlpm.pos,"NIH plate 12: "&amp;$A5&amp;D$2,_xlpm.normal,IFERROR(INDEX(MASTER!$A:$A,MATCH(_xlpm.pos,MASTER!$I:$I,0))&amp;"_ser_0.20_"&amp;TEXT(INDEX(MASTER!$E:$E,MATCH(_xlpm.pos,MASTER!$I:$I,0)),"mmddyy"),""),_xlpm.slot,1056+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26" s="4" t="str">
        <f>_xlfn.LET(_xlpm.pos,"NIH plate 12: "&amp;$A5&amp;E$2,_xlpm.normal,IFERROR(INDEX(MASTER!$A:$A,MATCH(_xlpm.pos,MASTER!$I:$I,0))&amp;"_ser_0.20_"&amp;TEXT(INDEX(MASTER!$E:$E,MATCH(_xlpm.pos,MASTER!$I:$I,0)),"mmddyy"),""),_xlpm.slot,1056+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26" s="4" t="str">
        <f>_xlfn.LET(_xlpm.pos,"NIH plate 12: "&amp;$A5&amp;F$2,_xlpm.normal,IFERROR(INDEX(MASTER!$A:$A,MATCH(_xlpm.pos,MASTER!$I:$I,0))&amp;"_ser_0.20_"&amp;TEXT(INDEX(MASTER!$E:$E,MATCH(_xlpm.pos,MASTER!$I:$I,0)),"mmddyy"),""),_xlpm.slot,1056+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26" s="4" t="str">
        <f>_xlfn.LET(_xlpm.pos,"NIH plate 12: "&amp;$A5&amp;G$2,_xlpm.normal,IFERROR(INDEX(MASTER!$A:$A,MATCH(_xlpm.pos,MASTER!$I:$I,0))&amp;"_ser_0.20_"&amp;TEXT(INDEX(MASTER!$E:$E,MATCH(_xlpm.pos,MASTER!$I:$I,0)),"mmddyy"),""),_xlpm.slot,1056+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26" s="4" t="str">
        <f>_xlfn.LET(_xlpm.pos,"NIH plate 12: "&amp;$A5&amp;H$2,_xlpm.normal,IFERROR(INDEX(MASTER!$A:$A,MATCH(_xlpm.pos,MASTER!$I:$I,0))&amp;"_ser_0.20_"&amp;TEXT(INDEX(MASTER!$E:$E,MATCH(_xlpm.pos,MASTER!$I:$I,0)),"mmddyy"),""),_xlpm.slot,1056+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26" s="4" t="str">
        <f>_xlfn.LET(_xlpm.pos,"NIH plate 12: "&amp;$A5&amp;I$2,_xlpm.normal,IFERROR(INDEX(MASTER!$A:$A,MATCH(_xlpm.pos,MASTER!$I:$I,0))&amp;"_ser_0.20_"&amp;TEXT(INDEX(MASTER!$E:$E,MATCH(_xlpm.pos,MASTER!$I:$I,0)),"mmddyy"),""),_xlpm.slot,1056+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26" s="4" t="str">
        <f>_xlfn.LET(_xlpm.pos,"NIH plate 12: "&amp;$A5&amp;J$2,_xlpm.normal,IFERROR(INDEX(MASTER!$A:$A,MATCH(_xlpm.pos,MASTER!$I:$I,0))&amp;"_ser_0.20_"&amp;TEXT(INDEX(MASTER!$E:$E,MATCH(_xlpm.pos,MASTER!$I:$I,0)),"mmddyy"),""),_xlpm.slot,1056+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26" s="4" t="str">
        <f>_xlfn.LET(_xlpm.pos,"NIH plate 12: "&amp;$A5&amp;K$2,_xlpm.normal,IFERROR(INDEX(MASTER!$A:$A,MATCH(_xlpm.pos,MASTER!$I:$I,0))&amp;"_ser_0.20_"&amp;TEXT(INDEX(MASTER!$E:$E,MATCH(_xlpm.pos,MASTER!$I:$I,0)),"mmddyy"),""),_xlpm.slot,1056+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26" s="4" t="str">
        <f>_xlfn.LET(_xlpm.pos,"NIH plate 12: "&amp;$A5&amp;L$2,_xlpm.normal,IFERROR(INDEX(MASTER!$A:$A,MATCH(_xlpm.pos,MASTER!$I:$I,0))&amp;"_ser_0.20_"&amp;TEXT(INDEX(MASTER!$E:$E,MATCH(_xlpm.pos,MASTER!$I:$I,0)),"mmddyy"),""),_xlpm.slot,1056+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26" s="4" t="str">
        <f>_xlfn.LET(_xlpm.pos,"NIH plate 12: "&amp;$A5&amp;M$2,_xlpm.normal,IFERROR(INDEX(MASTER!$A:$A,MATCH(_xlpm.pos,MASTER!$I:$I,0))&amp;"_ser_0.20_"&amp;TEXT(INDEX(MASTER!$E:$E,MATCH(_xlpm.pos,MASTER!$I:$I,0)),"mmddyy"),""),_xlpm.slot,1056+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27" spans="1:13" ht="22" customHeight="1" x14ac:dyDescent="0.35">
      <c r="A127" s="6" t="s">
        <v>33</v>
      </c>
      <c r="B127" s="4" t="str">
        <f>_xlfn.LET(_xlpm.pos,"NIH plate 12: "&amp;$A6&amp;B$2,_xlpm.normal,IFERROR(INDEX(MASTER!$A:$A,MATCH(_xlpm.pos,MASTER!$I:$I,0))&amp;"_ser_0.20_"&amp;TEXT(INDEX(MASTER!$E:$E,MATCH(_xlpm.pos,MASTER!$I:$I,0)),"mmddyy"),""),_xlpm.slot,1056+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27" s="4" t="str">
        <f>_xlfn.LET(_xlpm.pos,"NIH plate 12: "&amp;$A6&amp;C$2,_xlpm.normal,IFERROR(INDEX(MASTER!$A:$A,MATCH(_xlpm.pos,MASTER!$I:$I,0))&amp;"_ser_0.20_"&amp;TEXT(INDEX(MASTER!$E:$E,MATCH(_xlpm.pos,MASTER!$I:$I,0)),"mmddyy"),""),_xlpm.slot,1056+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27" s="4" t="str">
        <f>_xlfn.LET(_xlpm.pos,"NIH plate 12: "&amp;$A6&amp;D$2,_xlpm.normal,IFERROR(INDEX(MASTER!$A:$A,MATCH(_xlpm.pos,MASTER!$I:$I,0))&amp;"_ser_0.20_"&amp;TEXT(INDEX(MASTER!$E:$E,MATCH(_xlpm.pos,MASTER!$I:$I,0)),"mmddyy"),""),_xlpm.slot,1056+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27" s="4" t="str">
        <f>_xlfn.LET(_xlpm.pos,"NIH plate 12: "&amp;$A6&amp;E$2,_xlpm.normal,IFERROR(INDEX(MASTER!$A:$A,MATCH(_xlpm.pos,MASTER!$I:$I,0))&amp;"_ser_0.20_"&amp;TEXT(INDEX(MASTER!$E:$E,MATCH(_xlpm.pos,MASTER!$I:$I,0)),"mmddyy"),""),_xlpm.slot,1056+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27" s="4" t="str">
        <f>_xlfn.LET(_xlpm.pos,"NIH plate 12: "&amp;$A6&amp;F$2,_xlpm.normal,IFERROR(INDEX(MASTER!$A:$A,MATCH(_xlpm.pos,MASTER!$I:$I,0))&amp;"_ser_0.20_"&amp;TEXT(INDEX(MASTER!$E:$E,MATCH(_xlpm.pos,MASTER!$I:$I,0)),"mmddyy"),""),_xlpm.slot,1056+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27" s="4" t="str">
        <f>_xlfn.LET(_xlpm.pos,"NIH plate 12: "&amp;$A6&amp;G$2,_xlpm.normal,IFERROR(INDEX(MASTER!$A:$A,MATCH(_xlpm.pos,MASTER!$I:$I,0))&amp;"_ser_0.20_"&amp;TEXT(INDEX(MASTER!$E:$E,MATCH(_xlpm.pos,MASTER!$I:$I,0)),"mmddyy"),""),_xlpm.slot,1056+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27" s="4" t="str">
        <f>_xlfn.LET(_xlpm.pos,"NIH plate 12: "&amp;$A6&amp;H$2,_xlpm.normal,IFERROR(INDEX(MASTER!$A:$A,MATCH(_xlpm.pos,MASTER!$I:$I,0))&amp;"_ser_0.20_"&amp;TEXT(INDEX(MASTER!$E:$E,MATCH(_xlpm.pos,MASTER!$I:$I,0)),"mmddyy"),""),_xlpm.slot,1056+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27" s="4" t="str">
        <f>_xlfn.LET(_xlpm.pos,"NIH plate 12: "&amp;$A6&amp;I$2,_xlpm.normal,IFERROR(INDEX(MASTER!$A:$A,MATCH(_xlpm.pos,MASTER!$I:$I,0))&amp;"_ser_0.20_"&amp;TEXT(INDEX(MASTER!$E:$E,MATCH(_xlpm.pos,MASTER!$I:$I,0)),"mmddyy"),""),_xlpm.slot,1056+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27" s="4" t="str">
        <f>_xlfn.LET(_xlpm.pos,"NIH plate 12: "&amp;$A6&amp;J$2,_xlpm.normal,IFERROR(INDEX(MASTER!$A:$A,MATCH(_xlpm.pos,MASTER!$I:$I,0))&amp;"_ser_0.20_"&amp;TEXT(INDEX(MASTER!$E:$E,MATCH(_xlpm.pos,MASTER!$I:$I,0)),"mmddyy"),""),_xlpm.slot,1056+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27" s="4" t="str">
        <f>_xlfn.LET(_xlpm.pos,"NIH plate 12: "&amp;$A6&amp;K$2,_xlpm.normal,IFERROR(INDEX(MASTER!$A:$A,MATCH(_xlpm.pos,MASTER!$I:$I,0))&amp;"_ser_0.20_"&amp;TEXT(INDEX(MASTER!$E:$E,MATCH(_xlpm.pos,MASTER!$I:$I,0)),"mmddyy"),""),_xlpm.slot,1056+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27" s="4" t="str">
        <f>_xlfn.LET(_xlpm.pos,"NIH plate 12: "&amp;$A6&amp;L$2,_xlpm.normal,IFERROR(INDEX(MASTER!$A:$A,MATCH(_xlpm.pos,MASTER!$I:$I,0))&amp;"_ser_0.20_"&amp;TEXT(INDEX(MASTER!$E:$E,MATCH(_xlpm.pos,MASTER!$I:$I,0)),"mmddyy"),""),_xlpm.slot,1056+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27" s="4" t="str">
        <f>_xlfn.LET(_xlpm.pos,"NIH plate 12: "&amp;$A6&amp;M$2,_xlpm.normal,IFERROR(INDEX(MASTER!$A:$A,MATCH(_xlpm.pos,MASTER!$I:$I,0))&amp;"_ser_0.20_"&amp;TEXT(INDEX(MASTER!$E:$E,MATCH(_xlpm.pos,MASTER!$I:$I,0)),"mmddyy"),""),_xlpm.slot,1056+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28" spans="1:13" ht="22" customHeight="1" x14ac:dyDescent="0.35">
      <c r="A128" s="6" t="s">
        <v>34</v>
      </c>
      <c r="B128" s="4" t="str">
        <f>_xlfn.LET(_xlpm.pos,"NIH plate 12: "&amp;$A7&amp;B$2,_xlpm.normal,IFERROR(INDEX(MASTER!$A:$A,MATCH(_xlpm.pos,MASTER!$I:$I,0))&amp;"_ser_0.20_"&amp;TEXT(INDEX(MASTER!$E:$E,MATCH(_xlpm.pos,MASTER!$I:$I,0)),"mmddyy"),""),_xlpm.slot,1056+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28" s="4" t="str">
        <f>_xlfn.LET(_xlpm.pos,"NIH plate 12: "&amp;$A7&amp;C$2,_xlpm.normal,IFERROR(INDEX(MASTER!$A:$A,MATCH(_xlpm.pos,MASTER!$I:$I,0))&amp;"_ser_0.20_"&amp;TEXT(INDEX(MASTER!$E:$E,MATCH(_xlpm.pos,MASTER!$I:$I,0)),"mmddyy"),""),_xlpm.slot,1056+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28" s="4" t="str">
        <f>_xlfn.LET(_xlpm.pos,"NIH plate 12: "&amp;$A7&amp;D$2,_xlpm.normal,IFERROR(INDEX(MASTER!$A:$A,MATCH(_xlpm.pos,MASTER!$I:$I,0))&amp;"_ser_0.20_"&amp;TEXT(INDEX(MASTER!$E:$E,MATCH(_xlpm.pos,MASTER!$I:$I,0)),"mmddyy"),""),_xlpm.slot,1056+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28" s="4" t="str">
        <f>_xlfn.LET(_xlpm.pos,"NIH plate 12: "&amp;$A7&amp;E$2,_xlpm.normal,IFERROR(INDEX(MASTER!$A:$A,MATCH(_xlpm.pos,MASTER!$I:$I,0))&amp;"_ser_0.20_"&amp;TEXT(INDEX(MASTER!$E:$E,MATCH(_xlpm.pos,MASTER!$I:$I,0)),"mmddyy"),""),_xlpm.slot,1056+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28" s="4" t="str">
        <f>_xlfn.LET(_xlpm.pos,"NIH plate 12: "&amp;$A7&amp;F$2,_xlpm.normal,IFERROR(INDEX(MASTER!$A:$A,MATCH(_xlpm.pos,MASTER!$I:$I,0))&amp;"_ser_0.20_"&amp;TEXT(INDEX(MASTER!$E:$E,MATCH(_xlpm.pos,MASTER!$I:$I,0)),"mmddyy"),""),_xlpm.slot,1056+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28" s="4" t="str">
        <f>_xlfn.LET(_xlpm.pos,"NIH plate 12: "&amp;$A7&amp;G$2,_xlpm.normal,IFERROR(INDEX(MASTER!$A:$A,MATCH(_xlpm.pos,MASTER!$I:$I,0))&amp;"_ser_0.20_"&amp;TEXT(INDEX(MASTER!$E:$E,MATCH(_xlpm.pos,MASTER!$I:$I,0)),"mmddyy"),""),_xlpm.slot,1056+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28" s="4" t="str">
        <f>_xlfn.LET(_xlpm.pos,"NIH plate 12: "&amp;$A7&amp;H$2,_xlpm.normal,IFERROR(INDEX(MASTER!$A:$A,MATCH(_xlpm.pos,MASTER!$I:$I,0))&amp;"_ser_0.20_"&amp;TEXT(INDEX(MASTER!$E:$E,MATCH(_xlpm.pos,MASTER!$I:$I,0)),"mmddyy"),""),_xlpm.slot,1056+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28" s="4" t="str">
        <f>_xlfn.LET(_xlpm.pos,"NIH plate 12: "&amp;$A7&amp;I$2,_xlpm.normal,IFERROR(INDEX(MASTER!$A:$A,MATCH(_xlpm.pos,MASTER!$I:$I,0))&amp;"_ser_0.20_"&amp;TEXT(INDEX(MASTER!$E:$E,MATCH(_xlpm.pos,MASTER!$I:$I,0)),"mmddyy"),""),_xlpm.slot,1056+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28" s="4" t="str">
        <f>_xlfn.LET(_xlpm.pos,"NIH plate 12: "&amp;$A7&amp;J$2,_xlpm.normal,IFERROR(INDEX(MASTER!$A:$A,MATCH(_xlpm.pos,MASTER!$I:$I,0))&amp;"_ser_0.20_"&amp;TEXT(INDEX(MASTER!$E:$E,MATCH(_xlpm.pos,MASTER!$I:$I,0)),"mmddyy"),""),_xlpm.slot,1056+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28" s="4" t="str">
        <f>_xlfn.LET(_xlpm.pos,"NIH plate 12: "&amp;$A7&amp;K$2,_xlpm.normal,IFERROR(INDEX(MASTER!$A:$A,MATCH(_xlpm.pos,MASTER!$I:$I,0))&amp;"_ser_0.20_"&amp;TEXT(INDEX(MASTER!$E:$E,MATCH(_xlpm.pos,MASTER!$I:$I,0)),"mmddyy"),""),_xlpm.slot,1056+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28" s="4" t="str">
        <f>_xlfn.LET(_xlpm.pos,"NIH plate 12: "&amp;$A7&amp;L$2,_xlpm.normal,IFERROR(INDEX(MASTER!$A:$A,MATCH(_xlpm.pos,MASTER!$I:$I,0))&amp;"_ser_0.20_"&amp;TEXT(INDEX(MASTER!$E:$E,MATCH(_xlpm.pos,MASTER!$I:$I,0)),"mmddyy"),""),_xlpm.slot,1056+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28" s="4" t="str">
        <f>_xlfn.LET(_xlpm.pos,"NIH plate 12: "&amp;$A7&amp;M$2,_xlpm.normal,IFERROR(INDEX(MASTER!$A:$A,MATCH(_xlpm.pos,MASTER!$I:$I,0))&amp;"_ser_0.20_"&amp;TEXT(INDEX(MASTER!$E:$E,MATCH(_xlpm.pos,MASTER!$I:$I,0)),"mmddyy"),""),_xlpm.slot,1056+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29" spans="1:13" ht="22" customHeight="1" x14ac:dyDescent="0.35">
      <c r="A129" s="6" t="s">
        <v>15</v>
      </c>
      <c r="B129" s="4" t="str">
        <f>_xlfn.LET(_xlpm.pos,"NIH plate 12: "&amp;$A8&amp;B$2,_xlpm.normal,IFERROR(INDEX(MASTER!$A:$A,MATCH(_xlpm.pos,MASTER!$I:$I,0))&amp;"_ser_0.20_"&amp;TEXT(INDEX(MASTER!$E:$E,MATCH(_xlpm.pos,MASTER!$I:$I,0)),"mmddyy"),""),_xlpm.slot,1056+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29" s="4" t="str">
        <f>_xlfn.LET(_xlpm.pos,"NIH plate 12: "&amp;$A8&amp;C$2,_xlpm.normal,IFERROR(INDEX(MASTER!$A:$A,MATCH(_xlpm.pos,MASTER!$I:$I,0))&amp;"_ser_0.20_"&amp;TEXT(INDEX(MASTER!$E:$E,MATCH(_xlpm.pos,MASTER!$I:$I,0)),"mmddyy"),""),_xlpm.slot,1056+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29" s="4" t="str">
        <f>_xlfn.LET(_xlpm.pos,"NIH plate 12: "&amp;$A8&amp;D$2,_xlpm.normal,IFERROR(INDEX(MASTER!$A:$A,MATCH(_xlpm.pos,MASTER!$I:$I,0))&amp;"_ser_0.20_"&amp;TEXT(INDEX(MASTER!$E:$E,MATCH(_xlpm.pos,MASTER!$I:$I,0)),"mmddyy"),""),_xlpm.slot,1056+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29" s="4" t="str">
        <f>_xlfn.LET(_xlpm.pos,"NIH plate 12: "&amp;$A8&amp;E$2,_xlpm.normal,IFERROR(INDEX(MASTER!$A:$A,MATCH(_xlpm.pos,MASTER!$I:$I,0))&amp;"_ser_0.20_"&amp;TEXT(INDEX(MASTER!$E:$E,MATCH(_xlpm.pos,MASTER!$I:$I,0)),"mmddyy"),""),_xlpm.slot,1056+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29" s="4" t="str">
        <f>_xlfn.LET(_xlpm.pos,"NIH plate 12: "&amp;$A8&amp;F$2,_xlpm.normal,IFERROR(INDEX(MASTER!$A:$A,MATCH(_xlpm.pos,MASTER!$I:$I,0))&amp;"_ser_0.20_"&amp;TEXT(INDEX(MASTER!$E:$E,MATCH(_xlpm.pos,MASTER!$I:$I,0)),"mmddyy"),""),_xlpm.slot,1056+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29" s="4" t="str">
        <f>_xlfn.LET(_xlpm.pos,"NIH plate 12: "&amp;$A8&amp;G$2,_xlpm.normal,IFERROR(INDEX(MASTER!$A:$A,MATCH(_xlpm.pos,MASTER!$I:$I,0))&amp;"_ser_0.20_"&amp;TEXT(INDEX(MASTER!$E:$E,MATCH(_xlpm.pos,MASTER!$I:$I,0)),"mmddyy"),""),_xlpm.slot,1056+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29" s="4" t="str">
        <f>_xlfn.LET(_xlpm.pos,"NIH plate 12: "&amp;$A8&amp;H$2,_xlpm.normal,IFERROR(INDEX(MASTER!$A:$A,MATCH(_xlpm.pos,MASTER!$I:$I,0))&amp;"_ser_0.20_"&amp;TEXT(INDEX(MASTER!$E:$E,MATCH(_xlpm.pos,MASTER!$I:$I,0)),"mmddyy"),""),_xlpm.slot,1056+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29" s="4" t="str">
        <f>_xlfn.LET(_xlpm.pos,"NIH plate 12: "&amp;$A8&amp;I$2,_xlpm.normal,IFERROR(INDEX(MASTER!$A:$A,MATCH(_xlpm.pos,MASTER!$I:$I,0))&amp;"_ser_0.20_"&amp;TEXT(INDEX(MASTER!$E:$E,MATCH(_xlpm.pos,MASTER!$I:$I,0)),"mmddyy"),""),_xlpm.slot,1056+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29" s="4" t="str">
        <f>_xlfn.LET(_xlpm.pos,"NIH plate 12: "&amp;$A8&amp;J$2,_xlpm.normal,IFERROR(INDEX(MASTER!$A:$A,MATCH(_xlpm.pos,MASTER!$I:$I,0))&amp;"_ser_0.20_"&amp;TEXT(INDEX(MASTER!$E:$E,MATCH(_xlpm.pos,MASTER!$I:$I,0)),"mmddyy"),""),_xlpm.slot,1056+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29" s="4" t="str">
        <f>_xlfn.LET(_xlpm.pos,"NIH plate 12: "&amp;$A8&amp;K$2,_xlpm.normal,IFERROR(INDEX(MASTER!$A:$A,MATCH(_xlpm.pos,MASTER!$I:$I,0))&amp;"_ser_0.20_"&amp;TEXT(INDEX(MASTER!$E:$E,MATCH(_xlpm.pos,MASTER!$I:$I,0)),"mmddyy"),""),_xlpm.slot,1056+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29" s="4" t="str">
        <f>_xlfn.LET(_xlpm.pos,"NIH plate 12: "&amp;$A8&amp;L$2,_xlpm.normal,IFERROR(INDEX(MASTER!$A:$A,MATCH(_xlpm.pos,MASTER!$I:$I,0))&amp;"_ser_0.20_"&amp;TEXT(INDEX(MASTER!$E:$E,MATCH(_xlpm.pos,MASTER!$I:$I,0)),"mmddyy"),""),_xlpm.slot,1056+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29" s="4" t="str">
        <f>_xlfn.LET(_xlpm.pos,"NIH plate 12: "&amp;$A8&amp;M$2,_xlpm.normal,IFERROR(INDEX(MASTER!$A:$A,MATCH(_xlpm.pos,MASTER!$I:$I,0))&amp;"_ser_0.20_"&amp;TEXT(INDEX(MASTER!$E:$E,MATCH(_xlpm.pos,MASTER!$I:$I,0)),"mmddyy"),""),_xlpm.slot,1056+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30" spans="1:13" ht="22" customHeight="1" x14ac:dyDescent="0.35">
      <c r="A130" s="6" t="s">
        <v>35</v>
      </c>
      <c r="B130" s="4" t="str">
        <f>_xlfn.LET(_xlpm.pos,"NIH plate 12: "&amp;$A9&amp;B$2,_xlpm.normal,IFERROR(INDEX(MASTER!$A:$A,MATCH(_xlpm.pos,MASTER!$I:$I,0))&amp;"_ser_0.20_"&amp;TEXT(INDEX(MASTER!$E:$E,MATCH(_xlpm.pos,MASTER!$I:$I,0)),"mmddyy"),""),_xlpm.slot,1056+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30" s="4" t="str">
        <f>_xlfn.LET(_xlpm.pos,"NIH plate 12: "&amp;$A9&amp;C$2,_xlpm.normal,IFERROR(INDEX(MASTER!$A:$A,MATCH(_xlpm.pos,MASTER!$I:$I,0))&amp;"_ser_0.20_"&amp;TEXT(INDEX(MASTER!$E:$E,MATCH(_xlpm.pos,MASTER!$I:$I,0)),"mmddyy"),""),_xlpm.slot,1056+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30" s="4" t="str">
        <f>_xlfn.LET(_xlpm.pos,"NIH plate 12: "&amp;$A9&amp;D$2,_xlpm.normal,IFERROR(INDEX(MASTER!$A:$A,MATCH(_xlpm.pos,MASTER!$I:$I,0))&amp;"_ser_0.20_"&amp;TEXT(INDEX(MASTER!$E:$E,MATCH(_xlpm.pos,MASTER!$I:$I,0)),"mmddyy"),""),_xlpm.slot,1056+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30" s="4" t="str">
        <f>_xlfn.LET(_xlpm.pos,"NIH plate 12: "&amp;$A9&amp;E$2,_xlpm.normal,IFERROR(INDEX(MASTER!$A:$A,MATCH(_xlpm.pos,MASTER!$I:$I,0))&amp;"_ser_0.20_"&amp;TEXT(INDEX(MASTER!$E:$E,MATCH(_xlpm.pos,MASTER!$I:$I,0)),"mmddyy"),""),_xlpm.slot,1056+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30" s="4" t="str">
        <f>_xlfn.LET(_xlpm.pos,"NIH plate 12: "&amp;$A9&amp;F$2,_xlpm.normal,IFERROR(INDEX(MASTER!$A:$A,MATCH(_xlpm.pos,MASTER!$I:$I,0))&amp;"_ser_0.20_"&amp;TEXT(INDEX(MASTER!$E:$E,MATCH(_xlpm.pos,MASTER!$I:$I,0)),"mmddyy"),""),_xlpm.slot,1056+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30" s="4" t="str">
        <f>_xlfn.LET(_xlpm.pos,"NIH plate 12: "&amp;$A9&amp;G$2,_xlpm.normal,IFERROR(INDEX(MASTER!$A:$A,MATCH(_xlpm.pos,MASTER!$I:$I,0))&amp;"_ser_0.20_"&amp;TEXT(INDEX(MASTER!$E:$E,MATCH(_xlpm.pos,MASTER!$I:$I,0)),"mmddyy"),""),_xlpm.slot,1056+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30" s="4" t="str">
        <f>_xlfn.LET(_xlpm.pos,"NIH plate 12: "&amp;$A9&amp;H$2,_xlpm.normal,IFERROR(INDEX(MASTER!$A:$A,MATCH(_xlpm.pos,MASTER!$I:$I,0))&amp;"_ser_0.20_"&amp;TEXT(INDEX(MASTER!$E:$E,MATCH(_xlpm.pos,MASTER!$I:$I,0)),"mmddyy"),""),_xlpm.slot,1056+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30" s="4" t="str">
        <f>_xlfn.LET(_xlpm.pos,"NIH plate 12: "&amp;$A9&amp;I$2,_xlpm.normal,IFERROR(INDEX(MASTER!$A:$A,MATCH(_xlpm.pos,MASTER!$I:$I,0))&amp;"_ser_0.20_"&amp;TEXT(INDEX(MASTER!$E:$E,MATCH(_xlpm.pos,MASTER!$I:$I,0)),"mmddyy"),""),_xlpm.slot,1056+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30" s="4" t="str">
        <f>_xlfn.LET(_xlpm.pos,"NIH plate 12: "&amp;$A9&amp;J$2,_xlpm.normal,IFERROR(INDEX(MASTER!$A:$A,MATCH(_xlpm.pos,MASTER!$I:$I,0))&amp;"_ser_0.20_"&amp;TEXT(INDEX(MASTER!$E:$E,MATCH(_xlpm.pos,MASTER!$I:$I,0)),"mmddyy"),""),_xlpm.slot,1056+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30" s="4" t="str">
        <f>_xlfn.LET(_xlpm.pos,"NIH plate 12: "&amp;$A9&amp;K$2,_xlpm.normal,IFERROR(INDEX(MASTER!$A:$A,MATCH(_xlpm.pos,MASTER!$I:$I,0))&amp;"_ser_0.20_"&amp;TEXT(INDEX(MASTER!$E:$E,MATCH(_xlpm.pos,MASTER!$I:$I,0)),"mmddyy"),""),_xlpm.slot,1056+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30" s="4" t="str">
        <f>_xlfn.LET(_xlpm.pos,"NIH plate 12: "&amp;$A9&amp;L$2,_xlpm.normal,IFERROR(INDEX(MASTER!$A:$A,MATCH(_xlpm.pos,MASTER!$I:$I,0))&amp;"_ser_0.20_"&amp;TEXT(INDEX(MASTER!$E:$E,MATCH(_xlpm.pos,MASTER!$I:$I,0)),"mmddyy"),""),_xlpm.slot,1056+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30" s="4" t="str">
        <f>_xlfn.LET(_xlpm.pos,"NIH plate 12: "&amp;$A9&amp;M$2,_xlpm.normal,IFERROR(INDEX(MASTER!$A:$A,MATCH(_xlpm.pos,MASTER!$I:$I,0))&amp;"_ser_0.20_"&amp;TEXT(INDEX(MASTER!$E:$E,MATCH(_xlpm.pos,MASTER!$I:$I,0)),"mmddyy"),""),_xlpm.slot,1056+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31" spans="1:13" ht="22" customHeight="1" x14ac:dyDescent="0.35">
      <c r="A131" s="6" t="s">
        <v>36</v>
      </c>
      <c r="B131" s="4" t="str">
        <f>_xlfn.LET(_xlpm.pos,"NIH plate 12: "&amp;$A10&amp;B$2,_xlpm.normal,IFERROR(INDEX(MASTER!$A:$A,MATCH(_xlpm.pos,MASTER!$I:$I,0))&amp;"_ser_0.20_"&amp;TEXT(INDEX(MASTER!$E:$E,MATCH(_xlpm.pos,MASTER!$I:$I,0)),"mmddyy"),""),_xlpm.slot,1056+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31" s="4" t="str">
        <f>_xlfn.LET(_xlpm.pos,"NIH plate 12: "&amp;$A10&amp;C$2,_xlpm.normal,IFERROR(INDEX(MASTER!$A:$A,MATCH(_xlpm.pos,MASTER!$I:$I,0))&amp;"_ser_0.20_"&amp;TEXT(INDEX(MASTER!$E:$E,MATCH(_xlpm.pos,MASTER!$I:$I,0)),"mmddyy"),""),_xlpm.slot,1056+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31" s="4" t="str">
        <f>_xlfn.LET(_xlpm.pos,"NIH plate 12: "&amp;$A10&amp;D$2,_xlpm.normal,IFERROR(INDEX(MASTER!$A:$A,MATCH(_xlpm.pos,MASTER!$I:$I,0))&amp;"_ser_0.20_"&amp;TEXT(INDEX(MASTER!$E:$E,MATCH(_xlpm.pos,MASTER!$I:$I,0)),"mmddyy"),""),_xlpm.slot,1056+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31" s="4" t="str">
        <f>_xlfn.LET(_xlpm.pos,"NIH plate 12: "&amp;$A10&amp;E$2,_xlpm.normal,IFERROR(INDEX(MASTER!$A:$A,MATCH(_xlpm.pos,MASTER!$I:$I,0))&amp;"_ser_0.20_"&amp;TEXT(INDEX(MASTER!$E:$E,MATCH(_xlpm.pos,MASTER!$I:$I,0)),"mmddyy"),""),_xlpm.slot,1056+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31" s="4" t="str">
        <f>_xlfn.LET(_xlpm.pos,"NIH plate 12: "&amp;$A10&amp;F$2,_xlpm.normal,IFERROR(INDEX(MASTER!$A:$A,MATCH(_xlpm.pos,MASTER!$I:$I,0))&amp;"_ser_0.20_"&amp;TEXT(INDEX(MASTER!$E:$E,MATCH(_xlpm.pos,MASTER!$I:$I,0)),"mmddyy"),""),_xlpm.slot,1056+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31" s="4" t="str">
        <f>_xlfn.LET(_xlpm.pos,"NIH plate 12: "&amp;$A10&amp;G$2,_xlpm.normal,IFERROR(INDEX(MASTER!$A:$A,MATCH(_xlpm.pos,MASTER!$I:$I,0))&amp;"_ser_0.20_"&amp;TEXT(INDEX(MASTER!$E:$E,MATCH(_xlpm.pos,MASTER!$I:$I,0)),"mmddyy"),""),_xlpm.slot,1056+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31" s="4" t="str">
        <f>_xlfn.LET(_xlpm.pos,"NIH plate 12: "&amp;$A10&amp;H$2,_xlpm.normal,IFERROR(INDEX(MASTER!$A:$A,MATCH(_xlpm.pos,MASTER!$I:$I,0))&amp;"_ser_0.20_"&amp;TEXT(INDEX(MASTER!$E:$E,MATCH(_xlpm.pos,MASTER!$I:$I,0)),"mmddyy"),""),_xlpm.slot,1056+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31" s="4" t="str">
        <f>_xlfn.LET(_xlpm.pos,"NIH plate 12: "&amp;$A10&amp;I$2,_xlpm.normal,IFERROR(INDEX(MASTER!$A:$A,MATCH(_xlpm.pos,MASTER!$I:$I,0))&amp;"_ser_0.20_"&amp;TEXT(INDEX(MASTER!$E:$E,MATCH(_xlpm.pos,MASTER!$I:$I,0)),"mmddyy"),""),_xlpm.slot,1056+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31" s="4" t="str">
        <f>_xlfn.LET(_xlpm.pos,"NIH plate 12: "&amp;$A10&amp;J$2,_xlpm.normal,IFERROR(INDEX(MASTER!$A:$A,MATCH(_xlpm.pos,MASTER!$I:$I,0))&amp;"_ser_0.20_"&amp;TEXT(INDEX(MASTER!$E:$E,MATCH(_xlpm.pos,MASTER!$I:$I,0)),"mmddyy"),""),_xlpm.slot,1056+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31" s="4" t="str">
        <f>_xlfn.LET(_xlpm.pos,"NIH plate 12: "&amp;$A10&amp;K$2,_xlpm.normal,IFERROR(INDEX(MASTER!$A:$A,MATCH(_xlpm.pos,MASTER!$I:$I,0))&amp;"_ser_0.20_"&amp;TEXT(INDEX(MASTER!$E:$E,MATCH(_xlpm.pos,MASTER!$I:$I,0)),"mmddyy"),""),_xlpm.slot,1056+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31" s="4" t="str">
        <f>_xlfn.LET(_xlpm.pos,"NIH plate 12: "&amp;$A10&amp;L$2,_xlpm.normal,IFERROR(INDEX(MASTER!$A:$A,MATCH(_xlpm.pos,MASTER!$I:$I,0))&amp;"_ser_0.20_"&amp;TEXT(INDEX(MASTER!$E:$E,MATCH(_xlpm.pos,MASTER!$I:$I,0)),"mmddyy"),""),_xlpm.slot,1056+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31" s="4" t="str">
        <f>_xlfn.LET(_xlpm.pos,"NIH plate 12: "&amp;$A10&amp;M$2,_xlpm.normal,IFERROR(INDEX(MASTER!$A:$A,MATCH(_xlpm.pos,MASTER!$I:$I,0))&amp;"_ser_0.20_"&amp;TEXT(INDEX(MASTER!$E:$E,MATCH(_xlpm.pos,MASTER!$I:$I,0)),"mmddyy"),""),_xlpm.slot,1056+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32" spans="1:13" ht="22" customHeight="1" x14ac:dyDescent="0.3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</row>
    <row r="133" spans="1:13" ht="22" customHeight="1" x14ac:dyDescent="0.35">
      <c r="A133" s="7"/>
      <c r="B133" s="31" t="s">
        <v>69</v>
      </c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3"/>
    </row>
    <row r="134" spans="1:13" ht="22" customHeight="1" x14ac:dyDescent="0.35">
      <c r="A134" s="7"/>
      <c r="B134" s="6">
        <v>1</v>
      </c>
      <c r="C134" s="6">
        <v>2</v>
      </c>
      <c r="D134" s="6">
        <v>3</v>
      </c>
      <c r="E134" s="6">
        <v>4</v>
      </c>
      <c r="F134" s="6">
        <v>5</v>
      </c>
      <c r="G134" s="6">
        <v>6</v>
      </c>
      <c r="H134" s="6">
        <v>7</v>
      </c>
      <c r="I134" s="6">
        <v>8</v>
      </c>
      <c r="J134" s="6">
        <v>9</v>
      </c>
      <c r="K134" s="6">
        <v>10</v>
      </c>
      <c r="L134" s="6">
        <v>11</v>
      </c>
      <c r="M134" s="6">
        <v>12</v>
      </c>
    </row>
    <row r="135" spans="1:13" ht="22" customHeight="1" x14ac:dyDescent="0.35">
      <c r="A135" s="6" t="s">
        <v>30</v>
      </c>
      <c r="B135" s="4" t="str">
        <f>_xlfn.LET(_xlpm.pos,"NIH plate 13: "&amp;$A3&amp;B$2,_xlpm.normal,IFERROR(INDEX(MASTER!$A:$A,MATCH(_xlpm.pos,MASTER!$I:$I,0))&amp;"_ser_0.20_"&amp;TEXT(INDEX(MASTER!$E:$E,MATCH(_xlpm.pos,MASTER!$I:$I,0)),"mmddyy"),""),_xlpm.slot,1152+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35" s="4" t="str">
        <f>_xlfn.LET(_xlpm.pos,"NIH plate 13: "&amp;$A3&amp;C$2,_xlpm.normal,IFERROR(INDEX(MASTER!$A:$A,MATCH(_xlpm.pos,MASTER!$I:$I,0))&amp;"_ser_0.20_"&amp;TEXT(INDEX(MASTER!$E:$E,MATCH(_xlpm.pos,MASTER!$I:$I,0)),"mmddyy"),""),_xlpm.slot,1152+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35" s="4" t="str">
        <f>_xlfn.LET(_xlpm.pos,"NIH plate 13: "&amp;$A3&amp;D$2,_xlpm.normal,IFERROR(INDEX(MASTER!$A:$A,MATCH(_xlpm.pos,MASTER!$I:$I,0))&amp;"_ser_0.20_"&amp;TEXT(INDEX(MASTER!$E:$E,MATCH(_xlpm.pos,MASTER!$I:$I,0)),"mmddyy"),""),_xlpm.slot,1152+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35" s="4" t="str">
        <f>_xlfn.LET(_xlpm.pos,"NIH plate 13: "&amp;$A3&amp;E$2,_xlpm.normal,IFERROR(INDEX(MASTER!$A:$A,MATCH(_xlpm.pos,MASTER!$I:$I,0))&amp;"_ser_0.20_"&amp;TEXT(INDEX(MASTER!$E:$E,MATCH(_xlpm.pos,MASTER!$I:$I,0)),"mmddyy"),""),_xlpm.slot,1152+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35" s="4" t="str">
        <f>_xlfn.LET(_xlpm.pos,"NIH plate 13: "&amp;$A3&amp;F$2,_xlpm.normal,IFERROR(INDEX(MASTER!$A:$A,MATCH(_xlpm.pos,MASTER!$I:$I,0))&amp;"_ser_0.20_"&amp;TEXT(INDEX(MASTER!$E:$E,MATCH(_xlpm.pos,MASTER!$I:$I,0)),"mmddyy"),""),_xlpm.slot,1152+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35" s="4" t="str">
        <f>_xlfn.LET(_xlpm.pos,"NIH plate 13: "&amp;$A3&amp;G$2,_xlpm.normal,IFERROR(INDEX(MASTER!$A:$A,MATCH(_xlpm.pos,MASTER!$I:$I,0))&amp;"_ser_0.20_"&amp;TEXT(INDEX(MASTER!$E:$E,MATCH(_xlpm.pos,MASTER!$I:$I,0)),"mmddyy"),""),_xlpm.slot,1152+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35" s="4" t="str">
        <f>_xlfn.LET(_xlpm.pos,"NIH plate 13: "&amp;$A3&amp;H$2,_xlpm.normal,IFERROR(INDEX(MASTER!$A:$A,MATCH(_xlpm.pos,MASTER!$I:$I,0))&amp;"_ser_0.20_"&amp;TEXT(INDEX(MASTER!$E:$E,MATCH(_xlpm.pos,MASTER!$I:$I,0)),"mmddyy"),""),_xlpm.slot,1152+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35" s="4" t="str">
        <f>_xlfn.LET(_xlpm.pos,"NIH plate 13: "&amp;$A3&amp;I$2,_xlpm.normal,IFERROR(INDEX(MASTER!$A:$A,MATCH(_xlpm.pos,MASTER!$I:$I,0))&amp;"_ser_0.20_"&amp;TEXT(INDEX(MASTER!$E:$E,MATCH(_xlpm.pos,MASTER!$I:$I,0)),"mmddyy"),""),_xlpm.slot,1152+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35" s="4" t="str">
        <f>_xlfn.LET(_xlpm.pos,"NIH plate 13: "&amp;$A3&amp;J$2,_xlpm.normal,IFERROR(INDEX(MASTER!$A:$A,MATCH(_xlpm.pos,MASTER!$I:$I,0))&amp;"_ser_0.20_"&amp;TEXT(INDEX(MASTER!$E:$E,MATCH(_xlpm.pos,MASTER!$I:$I,0)),"mmddyy"),""),_xlpm.slot,1152+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35" s="4" t="str">
        <f>_xlfn.LET(_xlpm.pos,"NIH plate 13: "&amp;$A3&amp;K$2,_xlpm.normal,IFERROR(INDEX(MASTER!$A:$A,MATCH(_xlpm.pos,MASTER!$I:$I,0))&amp;"_ser_0.20_"&amp;TEXT(INDEX(MASTER!$E:$E,MATCH(_xlpm.pos,MASTER!$I:$I,0)),"mmddyy"),""),_xlpm.slot,1152+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35" s="4" t="str">
        <f>_xlfn.LET(_xlpm.pos,"NIH plate 13: "&amp;$A3&amp;L$2,_xlpm.normal,IFERROR(INDEX(MASTER!$A:$A,MATCH(_xlpm.pos,MASTER!$I:$I,0))&amp;"_ser_0.20_"&amp;TEXT(INDEX(MASTER!$E:$E,MATCH(_xlpm.pos,MASTER!$I:$I,0)),"mmddyy"),""),_xlpm.slot,1152+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35" s="4" t="str">
        <f>_xlfn.LET(_xlpm.pos,"NIH plate 13: "&amp;$A3&amp;M$2,_xlpm.normal,IFERROR(INDEX(MASTER!$A:$A,MATCH(_xlpm.pos,MASTER!$I:$I,0))&amp;"_ser_0.20_"&amp;TEXT(INDEX(MASTER!$E:$E,MATCH(_xlpm.pos,MASTER!$I:$I,0)),"mmddyy"),""),_xlpm.slot,1152+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36" spans="1:13" ht="22" customHeight="1" x14ac:dyDescent="0.35">
      <c r="A136" s="6" t="s">
        <v>31</v>
      </c>
      <c r="B136" s="4" t="str">
        <f>_xlfn.LET(_xlpm.pos,"NIH plate 13: "&amp;$A4&amp;B$2,_xlpm.normal,IFERROR(INDEX(MASTER!$A:$A,MATCH(_xlpm.pos,MASTER!$I:$I,0))&amp;"_ser_0.20_"&amp;TEXT(INDEX(MASTER!$E:$E,MATCH(_xlpm.pos,MASTER!$I:$I,0)),"mmddyy"),""),_xlpm.slot,1152+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36" s="4" t="str">
        <f>_xlfn.LET(_xlpm.pos,"NIH plate 13: "&amp;$A4&amp;C$2,_xlpm.normal,IFERROR(INDEX(MASTER!$A:$A,MATCH(_xlpm.pos,MASTER!$I:$I,0))&amp;"_ser_0.20_"&amp;TEXT(INDEX(MASTER!$E:$E,MATCH(_xlpm.pos,MASTER!$I:$I,0)),"mmddyy"),""),_xlpm.slot,1152+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36" s="4" t="str">
        <f>_xlfn.LET(_xlpm.pos,"NIH plate 13: "&amp;$A4&amp;D$2,_xlpm.normal,IFERROR(INDEX(MASTER!$A:$A,MATCH(_xlpm.pos,MASTER!$I:$I,0))&amp;"_ser_0.20_"&amp;TEXT(INDEX(MASTER!$E:$E,MATCH(_xlpm.pos,MASTER!$I:$I,0)),"mmddyy"),""),_xlpm.slot,1152+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36" s="4" t="str">
        <f>_xlfn.LET(_xlpm.pos,"NIH plate 13: "&amp;$A4&amp;E$2,_xlpm.normal,IFERROR(INDEX(MASTER!$A:$A,MATCH(_xlpm.pos,MASTER!$I:$I,0))&amp;"_ser_0.20_"&amp;TEXT(INDEX(MASTER!$E:$E,MATCH(_xlpm.pos,MASTER!$I:$I,0)),"mmddyy"),""),_xlpm.slot,1152+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36" s="4" t="str">
        <f>_xlfn.LET(_xlpm.pos,"NIH plate 13: "&amp;$A4&amp;F$2,_xlpm.normal,IFERROR(INDEX(MASTER!$A:$A,MATCH(_xlpm.pos,MASTER!$I:$I,0))&amp;"_ser_0.20_"&amp;TEXT(INDEX(MASTER!$E:$E,MATCH(_xlpm.pos,MASTER!$I:$I,0)),"mmddyy"),""),_xlpm.slot,1152+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36" s="4" t="str">
        <f>_xlfn.LET(_xlpm.pos,"NIH plate 13: "&amp;$A4&amp;G$2,_xlpm.normal,IFERROR(INDEX(MASTER!$A:$A,MATCH(_xlpm.pos,MASTER!$I:$I,0))&amp;"_ser_0.20_"&amp;TEXT(INDEX(MASTER!$E:$E,MATCH(_xlpm.pos,MASTER!$I:$I,0)),"mmddyy"),""),_xlpm.slot,1152+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36" s="4" t="str">
        <f>_xlfn.LET(_xlpm.pos,"NIH plate 13: "&amp;$A4&amp;H$2,_xlpm.normal,IFERROR(INDEX(MASTER!$A:$A,MATCH(_xlpm.pos,MASTER!$I:$I,0))&amp;"_ser_0.20_"&amp;TEXT(INDEX(MASTER!$E:$E,MATCH(_xlpm.pos,MASTER!$I:$I,0)),"mmddyy"),""),_xlpm.slot,1152+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36" s="4" t="str">
        <f>_xlfn.LET(_xlpm.pos,"NIH plate 13: "&amp;$A4&amp;I$2,_xlpm.normal,IFERROR(INDEX(MASTER!$A:$A,MATCH(_xlpm.pos,MASTER!$I:$I,0))&amp;"_ser_0.20_"&amp;TEXT(INDEX(MASTER!$E:$E,MATCH(_xlpm.pos,MASTER!$I:$I,0)),"mmddyy"),""),_xlpm.slot,1152+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36" s="4" t="str">
        <f>_xlfn.LET(_xlpm.pos,"NIH plate 13: "&amp;$A4&amp;J$2,_xlpm.normal,IFERROR(INDEX(MASTER!$A:$A,MATCH(_xlpm.pos,MASTER!$I:$I,0))&amp;"_ser_0.20_"&amp;TEXT(INDEX(MASTER!$E:$E,MATCH(_xlpm.pos,MASTER!$I:$I,0)),"mmddyy"),""),_xlpm.slot,1152+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36" s="4" t="str">
        <f>_xlfn.LET(_xlpm.pos,"NIH plate 13: "&amp;$A4&amp;K$2,_xlpm.normal,IFERROR(INDEX(MASTER!$A:$A,MATCH(_xlpm.pos,MASTER!$I:$I,0))&amp;"_ser_0.20_"&amp;TEXT(INDEX(MASTER!$E:$E,MATCH(_xlpm.pos,MASTER!$I:$I,0)),"mmddyy"),""),_xlpm.slot,1152+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36" s="4" t="str">
        <f>_xlfn.LET(_xlpm.pos,"NIH plate 13: "&amp;$A4&amp;L$2,_xlpm.normal,IFERROR(INDEX(MASTER!$A:$A,MATCH(_xlpm.pos,MASTER!$I:$I,0))&amp;"_ser_0.20_"&amp;TEXT(INDEX(MASTER!$E:$E,MATCH(_xlpm.pos,MASTER!$I:$I,0)),"mmddyy"),""),_xlpm.slot,1152+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36" s="4" t="str">
        <f>_xlfn.LET(_xlpm.pos,"NIH plate 13: "&amp;$A4&amp;M$2,_xlpm.normal,IFERROR(INDEX(MASTER!$A:$A,MATCH(_xlpm.pos,MASTER!$I:$I,0))&amp;"_ser_0.20_"&amp;TEXT(INDEX(MASTER!$E:$E,MATCH(_xlpm.pos,MASTER!$I:$I,0)),"mmddyy"),""),_xlpm.slot,1152+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37" spans="1:13" ht="22" customHeight="1" x14ac:dyDescent="0.35">
      <c r="A137" s="6" t="s">
        <v>32</v>
      </c>
      <c r="B137" s="4" t="str">
        <f>_xlfn.LET(_xlpm.pos,"NIH plate 13: "&amp;$A5&amp;B$2,_xlpm.normal,IFERROR(INDEX(MASTER!$A:$A,MATCH(_xlpm.pos,MASTER!$I:$I,0))&amp;"_ser_0.20_"&amp;TEXT(INDEX(MASTER!$E:$E,MATCH(_xlpm.pos,MASTER!$I:$I,0)),"mmddyy"),""),_xlpm.slot,1152+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37" s="4" t="str">
        <f>_xlfn.LET(_xlpm.pos,"NIH plate 13: "&amp;$A5&amp;C$2,_xlpm.normal,IFERROR(INDEX(MASTER!$A:$A,MATCH(_xlpm.pos,MASTER!$I:$I,0))&amp;"_ser_0.20_"&amp;TEXT(INDEX(MASTER!$E:$E,MATCH(_xlpm.pos,MASTER!$I:$I,0)),"mmddyy"),""),_xlpm.slot,1152+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37" s="4" t="str">
        <f>_xlfn.LET(_xlpm.pos,"NIH plate 13: "&amp;$A5&amp;D$2,_xlpm.normal,IFERROR(INDEX(MASTER!$A:$A,MATCH(_xlpm.pos,MASTER!$I:$I,0))&amp;"_ser_0.20_"&amp;TEXT(INDEX(MASTER!$E:$E,MATCH(_xlpm.pos,MASTER!$I:$I,0)),"mmddyy"),""),_xlpm.slot,1152+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37" s="4" t="str">
        <f>_xlfn.LET(_xlpm.pos,"NIH plate 13: "&amp;$A5&amp;E$2,_xlpm.normal,IFERROR(INDEX(MASTER!$A:$A,MATCH(_xlpm.pos,MASTER!$I:$I,0))&amp;"_ser_0.20_"&amp;TEXT(INDEX(MASTER!$E:$E,MATCH(_xlpm.pos,MASTER!$I:$I,0)),"mmddyy"),""),_xlpm.slot,1152+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37" s="4" t="str">
        <f>_xlfn.LET(_xlpm.pos,"NIH plate 13: "&amp;$A5&amp;F$2,_xlpm.normal,IFERROR(INDEX(MASTER!$A:$A,MATCH(_xlpm.pos,MASTER!$I:$I,0))&amp;"_ser_0.20_"&amp;TEXT(INDEX(MASTER!$E:$E,MATCH(_xlpm.pos,MASTER!$I:$I,0)),"mmddyy"),""),_xlpm.slot,1152+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37" s="4" t="str">
        <f>_xlfn.LET(_xlpm.pos,"NIH plate 13: "&amp;$A5&amp;G$2,_xlpm.normal,IFERROR(INDEX(MASTER!$A:$A,MATCH(_xlpm.pos,MASTER!$I:$I,0))&amp;"_ser_0.20_"&amp;TEXT(INDEX(MASTER!$E:$E,MATCH(_xlpm.pos,MASTER!$I:$I,0)),"mmddyy"),""),_xlpm.slot,1152+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37" s="4" t="str">
        <f>_xlfn.LET(_xlpm.pos,"NIH plate 13: "&amp;$A5&amp;H$2,_xlpm.normal,IFERROR(INDEX(MASTER!$A:$A,MATCH(_xlpm.pos,MASTER!$I:$I,0))&amp;"_ser_0.20_"&amp;TEXT(INDEX(MASTER!$E:$E,MATCH(_xlpm.pos,MASTER!$I:$I,0)),"mmddyy"),""),_xlpm.slot,1152+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37" s="4" t="str">
        <f>_xlfn.LET(_xlpm.pos,"NIH plate 13: "&amp;$A5&amp;I$2,_xlpm.normal,IFERROR(INDEX(MASTER!$A:$A,MATCH(_xlpm.pos,MASTER!$I:$I,0))&amp;"_ser_0.20_"&amp;TEXT(INDEX(MASTER!$E:$E,MATCH(_xlpm.pos,MASTER!$I:$I,0)),"mmddyy"),""),_xlpm.slot,1152+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37" s="4" t="str">
        <f>_xlfn.LET(_xlpm.pos,"NIH plate 13: "&amp;$A5&amp;J$2,_xlpm.normal,IFERROR(INDEX(MASTER!$A:$A,MATCH(_xlpm.pos,MASTER!$I:$I,0))&amp;"_ser_0.20_"&amp;TEXT(INDEX(MASTER!$E:$E,MATCH(_xlpm.pos,MASTER!$I:$I,0)),"mmddyy"),""),_xlpm.slot,1152+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37" s="4" t="str">
        <f>_xlfn.LET(_xlpm.pos,"NIH plate 13: "&amp;$A5&amp;K$2,_xlpm.normal,IFERROR(INDEX(MASTER!$A:$A,MATCH(_xlpm.pos,MASTER!$I:$I,0))&amp;"_ser_0.20_"&amp;TEXT(INDEX(MASTER!$E:$E,MATCH(_xlpm.pos,MASTER!$I:$I,0)),"mmddyy"),""),_xlpm.slot,1152+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37" s="4" t="str">
        <f>_xlfn.LET(_xlpm.pos,"NIH plate 13: "&amp;$A5&amp;L$2,_xlpm.normal,IFERROR(INDEX(MASTER!$A:$A,MATCH(_xlpm.pos,MASTER!$I:$I,0))&amp;"_ser_0.20_"&amp;TEXT(INDEX(MASTER!$E:$E,MATCH(_xlpm.pos,MASTER!$I:$I,0)),"mmddyy"),""),_xlpm.slot,1152+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37" s="4" t="str">
        <f>_xlfn.LET(_xlpm.pos,"NIH plate 13: "&amp;$A5&amp;M$2,_xlpm.normal,IFERROR(INDEX(MASTER!$A:$A,MATCH(_xlpm.pos,MASTER!$I:$I,0))&amp;"_ser_0.20_"&amp;TEXT(INDEX(MASTER!$E:$E,MATCH(_xlpm.pos,MASTER!$I:$I,0)),"mmddyy"),""),_xlpm.slot,1152+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38" spans="1:13" ht="22" customHeight="1" x14ac:dyDescent="0.35">
      <c r="A138" s="6" t="s">
        <v>33</v>
      </c>
      <c r="B138" s="4" t="str">
        <f>_xlfn.LET(_xlpm.pos,"NIH plate 13: "&amp;$A6&amp;B$2,_xlpm.normal,IFERROR(INDEX(MASTER!$A:$A,MATCH(_xlpm.pos,MASTER!$I:$I,0))&amp;"_ser_0.20_"&amp;TEXT(INDEX(MASTER!$E:$E,MATCH(_xlpm.pos,MASTER!$I:$I,0)),"mmddyy"),""),_xlpm.slot,1152+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38" s="4" t="str">
        <f>_xlfn.LET(_xlpm.pos,"NIH plate 13: "&amp;$A6&amp;C$2,_xlpm.normal,IFERROR(INDEX(MASTER!$A:$A,MATCH(_xlpm.pos,MASTER!$I:$I,0))&amp;"_ser_0.20_"&amp;TEXT(INDEX(MASTER!$E:$E,MATCH(_xlpm.pos,MASTER!$I:$I,0)),"mmddyy"),""),_xlpm.slot,1152+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38" s="4" t="str">
        <f>_xlfn.LET(_xlpm.pos,"NIH plate 13: "&amp;$A6&amp;D$2,_xlpm.normal,IFERROR(INDEX(MASTER!$A:$A,MATCH(_xlpm.pos,MASTER!$I:$I,0))&amp;"_ser_0.20_"&amp;TEXT(INDEX(MASTER!$E:$E,MATCH(_xlpm.pos,MASTER!$I:$I,0)),"mmddyy"),""),_xlpm.slot,1152+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38" s="4" t="str">
        <f>_xlfn.LET(_xlpm.pos,"NIH plate 13: "&amp;$A6&amp;E$2,_xlpm.normal,IFERROR(INDEX(MASTER!$A:$A,MATCH(_xlpm.pos,MASTER!$I:$I,0))&amp;"_ser_0.20_"&amp;TEXT(INDEX(MASTER!$E:$E,MATCH(_xlpm.pos,MASTER!$I:$I,0)),"mmddyy"),""),_xlpm.slot,1152+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38" s="4" t="str">
        <f>_xlfn.LET(_xlpm.pos,"NIH plate 13: "&amp;$A6&amp;F$2,_xlpm.normal,IFERROR(INDEX(MASTER!$A:$A,MATCH(_xlpm.pos,MASTER!$I:$I,0))&amp;"_ser_0.20_"&amp;TEXT(INDEX(MASTER!$E:$E,MATCH(_xlpm.pos,MASTER!$I:$I,0)),"mmddyy"),""),_xlpm.slot,1152+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38" s="4" t="str">
        <f>_xlfn.LET(_xlpm.pos,"NIH plate 13: "&amp;$A6&amp;G$2,_xlpm.normal,IFERROR(INDEX(MASTER!$A:$A,MATCH(_xlpm.pos,MASTER!$I:$I,0))&amp;"_ser_0.20_"&amp;TEXT(INDEX(MASTER!$E:$E,MATCH(_xlpm.pos,MASTER!$I:$I,0)),"mmddyy"),""),_xlpm.slot,1152+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38" s="4" t="str">
        <f>_xlfn.LET(_xlpm.pos,"NIH plate 13: "&amp;$A6&amp;H$2,_xlpm.normal,IFERROR(INDEX(MASTER!$A:$A,MATCH(_xlpm.pos,MASTER!$I:$I,0))&amp;"_ser_0.20_"&amp;TEXT(INDEX(MASTER!$E:$E,MATCH(_xlpm.pos,MASTER!$I:$I,0)),"mmddyy"),""),_xlpm.slot,1152+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38" s="4" t="str">
        <f>_xlfn.LET(_xlpm.pos,"NIH plate 13: "&amp;$A6&amp;I$2,_xlpm.normal,IFERROR(INDEX(MASTER!$A:$A,MATCH(_xlpm.pos,MASTER!$I:$I,0))&amp;"_ser_0.20_"&amp;TEXT(INDEX(MASTER!$E:$E,MATCH(_xlpm.pos,MASTER!$I:$I,0)),"mmddyy"),""),_xlpm.slot,1152+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38" s="4" t="str">
        <f>_xlfn.LET(_xlpm.pos,"NIH plate 13: "&amp;$A6&amp;J$2,_xlpm.normal,IFERROR(INDEX(MASTER!$A:$A,MATCH(_xlpm.pos,MASTER!$I:$I,0))&amp;"_ser_0.20_"&amp;TEXT(INDEX(MASTER!$E:$E,MATCH(_xlpm.pos,MASTER!$I:$I,0)),"mmddyy"),""),_xlpm.slot,1152+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38" s="4" t="str">
        <f>_xlfn.LET(_xlpm.pos,"NIH plate 13: "&amp;$A6&amp;K$2,_xlpm.normal,IFERROR(INDEX(MASTER!$A:$A,MATCH(_xlpm.pos,MASTER!$I:$I,0))&amp;"_ser_0.20_"&amp;TEXT(INDEX(MASTER!$E:$E,MATCH(_xlpm.pos,MASTER!$I:$I,0)),"mmddyy"),""),_xlpm.slot,1152+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38" s="4" t="str">
        <f>_xlfn.LET(_xlpm.pos,"NIH plate 13: "&amp;$A6&amp;L$2,_xlpm.normal,IFERROR(INDEX(MASTER!$A:$A,MATCH(_xlpm.pos,MASTER!$I:$I,0))&amp;"_ser_0.20_"&amp;TEXT(INDEX(MASTER!$E:$E,MATCH(_xlpm.pos,MASTER!$I:$I,0)),"mmddyy"),""),_xlpm.slot,1152+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38" s="4" t="str">
        <f>_xlfn.LET(_xlpm.pos,"NIH plate 13: "&amp;$A6&amp;M$2,_xlpm.normal,IFERROR(INDEX(MASTER!$A:$A,MATCH(_xlpm.pos,MASTER!$I:$I,0))&amp;"_ser_0.20_"&amp;TEXT(INDEX(MASTER!$E:$E,MATCH(_xlpm.pos,MASTER!$I:$I,0)),"mmddyy"),""),_xlpm.slot,1152+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39" spans="1:13" ht="22" customHeight="1" x14ac:dyDescent="0.35">
      <c r="A139" s="6" t="s">
        <v>34</v>
      </c>
      <c r="B139" s="4" t="str">
        <f>_xlfn.LET(_xlpm.pos,"NIH plate 13: "&amp;$A7&amp;B$2,_xlpm.normal,IFERROR(INDEX(MASTER!$A:$A,MATCH(_xlpm.pos,MASTER!$I:$I,0))&amp;"_ser_0.20_"&amp;TEXT(INDEX(MASTER!$E:$E,MATCH(_xlpm.pos,MASTER!$I:$I,0)),"mmddyy"),""),_xlpm.slot,1152+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39" s="4" t="str">
        <f>_xlfn.LET(_xlpm.pos,"NIH plate 13: "&amp;$A7&amp;C$2,_xlpm.normal,IFERROR(INDEX(MASTER!$A:$A,MATCH(_xlpm.pos,MASTER!$I:$I,0))&amp;"_ser_0.20_"&amp;TEXT(INDEX(MASTER!$E:$E,MATCH(_xlpm.pos,MASTER!$I:$I,0)),"mmddyy"),""),_xlpm.slot,1152+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39" s="4" t="str">
        <f>_xlfn.LET(_xlpm.pos,"NIH plate 13: "&amp;$A7&amp;D$2,_xlpm.normal,IFERROR(INDEX(MASTER!$A:$A,MATCH(_xlpm.pos,MASTER!$I:$I,0))&amp;"_ser_0.20_"&amp;TEXT(INDEX(MASTER!$E:$E,MATCH(_xlpm.pos,MASTER!$I:$I,0)),"mmddyy"),""),_xlpm.slot,1152+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39" s="4" t="str">
        <f>_xlfn.LET(_xlpm.pos,"NIH plate 13: "&amp;$A7&amp;E$2,_xlpm.normal,IFERROR(INDEX(MASTER!$A:$A,MATCH(_xlpm.pos,MASTER!$I:$I,0))&amp;"_ser_0.20_"&amp;TEXT(INDEX(MASTER!$E:$E,MATCH(_xlpm.pos,MASTER!$I:$I,0)),"mmddyy"),""),_xlpm.slot,1152+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39" s="4" t="str">
        <f>_xlfn.LET(_xlpm.pos,"NIH plate 13: "&amp;$A7&amp;F$2,_xlpm.normal,IFERROR(INDEX(MASTER!$A:$A,MATCH(_xlpm.pos,MASTER!$I:$I,0))&amp;"_ser_0.20_"&amp;TEXT(INDEX(MASTER!$E:$E,MATCH(_xlpm.pos,MASTER!$I:$I,0)),"mmddyy"),""),_xlpm.slot,1152+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39" s="4" t="str">
        <f>_xlfn.LET(_xlpm.pos,"NIH plate 13: "&amp;$A7&amp;G$2,_xlpm.normal,IFERROR(INDEX(MASTER!$A:$A,MATCH(_xlpm.pos,MASTER!$I:$I,0))&amp;"_ser_0.20_"&amp;TEXT(INDEX(MASTER!$E:$E,MATCH(_xlpm.pos,MASTER!$I:$I,0)),"mmddyy"),""),_xlpm.slot,1152+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39" s="4" t="str">
        <f>_xlfn.LET(_xlpm.pos,"NIH plate 13: "&amp;$A7&amp;H$2,_xlpm.normal,IFERROR(INDEX(MASTER!$A:$A,MATCH(_xlpm.pos,MASTER!$I:$I,0))&amp;"_ser_0.20_"&amp;TEXT(INDEX(MASTER!$E:$E,MATCH(_xlpm.pos,MASTER!$I:$I,0)),"mmddyy"),""),_xlpm.slot,1152+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39" s="4" t="str">
        <f>_xlfn.LET(_xlpm.pos,"NIH plate 13: "&amp;$A7&amp;I$2,_xlpm.normal,IFERROR(INDEX(MASTER!$A:$A,MATCH(_xlpm.pos,MASTER!$I:$I,0))&amp;"_ser_0.20_"&amp;TEXT(INDEX(MASTER!$E:$E,MATCH(_xlpm.pos,MASTER!$I:$I,0)),"mmddyy"),""),_xlpm.slot,1152+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39" s="4" t="str">
        <f>_xlfn.LET(_xlpm.pos,"NIH plate 13: "&amp;$A7&amp;J$2,_xlpm.normal,IFERROR(INDEX(MASTER!$A:$A,MATCH(_xlpm.pos,MASTER!$I:$I,0))&amp;"_ser_0.20_"&amp;TEXT(INDEX(MASTER!$E:$E,MATCH(_xlpm.pos,MASTER!$I:$I,0)),"mmddyy"),""),_xlpm.slot,1152+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39" s="4" t="str">
        <f>_xlfn.LET(_xlpm.pos,"NIH plate 13: "&amp;$A7&amp;K$2,_xlpm.normal,IFERROR(INDEX(MASTER!$A:$A,MATCH(_xlpm.pos,MASTER!$I:$I,0))&amp;"_ser_0.20_"&amp;TEXT(INDEX(MASTER!$E:$E,MATCH(_xlpm.pos,MASTER!$I:$I,0)),"mmddyy"),""),_xlpm.slot,1152+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39" s="4" t="str">
        <f>_xlfn.LET(_xlpm.pos,"NIH plate 13: "&amp;$A7&amp;L$2,_xlpm.normal,IFERROR(INDEX(MASTER!$A:$A,MATCH(_xlpm.pos,MASTER!$I:$I,0))&amp;"_ser_0.20_"&amp;TEXT(INDEX(MASTER!$E:$E,MATCH(_xlpm.pos,MASTER!$I:$I,0)),"mmddyy"),""),_xlpm.slot,1152+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39" s="4" t="str">
        <f>_xlfn.LET(_xlpm.pos,"NIH plate 13: "&amp;$A7&amp;M$2,_xlpm.normal,IFERROR(INDEX(MASTER!$A:$A,MATCH(_xlpm.pos,MASTER!$I:$I,0))&amp;"_ser_0.20_"&amp;TEXT(INDEX(MASTER!$E:$E,MATCH(_xlpm.pos,MASTER!$I:$I,0)),"mmddyy"),""),_xlpm.slot,1152+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40" spans="1:13" ht="22" customHeight="1" x14ac:dyDescent="0.35">
      <c r="A140" s="6" t="s">
        <v>15</v>
      </c>
      <c r="B140" s="4" t="str">
        <f>_xlfn.LET(_xlpm.pos,"NIH plate 13: "&amp;$A8&amp;B$2,_xlpm.normal,IFERROR(INDEX(MASTER!$A:$A,MATCH(_xlpm.pos,MASTER!$I:$I,0))&amp;"_ser_0.20_"&amp;TEXT(INDEX(MASTER!$E:$E,MATCH(_xlpm.pos,MASTER!$I:$I,0)),"mmddyy"),""),_xlpm.slot,1152+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40" s="4" t="str">
        <f>_xlfn.LET(_xlpm.pos,"NIH plate 13: "&amp;$A8&amp;C$2,_xlpm.normal,IFERROR(INDEX(MASTER!$A:$A,MATCH(_xlpm.pos,MASTER!$I:$I,0))&amp;"_ser_0.20_"&amp;TEXT(INDEX(MASTER!$E:$E,MATCH(_xlpm.pos,MASTER!$I:$I,0)),"mmddyy"),""),_xlpm.slot,1152+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40" s="4" t="str">
        <f>_xlfn.LET(_xlpm.pos,"NIH plate 13: "&amp;$A8&amp;D$2,_xlpm.normal,IFERROR(INDEX(MASTER!$A:$A,MATCH(_xlpm.pos,MASTER!$I:$I,0))&amp;"_ser_0.20_"&amp;TEXT(INDEX(MASTER!$E:$E,MATCH(_xlpm.pos,MASTER!$I:$I,0)),"mmddyy"),""),_xlpm.slot,1152+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40" s="4" t="str">
        <f>_xlfn.LET(_xlpm.pos,"NIH plate 13: "&amp;$A8&amp;E$2,_xlpm.normal,IFERROR(INDEX(MASTER!$A:$A,MATCH(_xlpm.pos,MASTER!$I:$I,0))&amp;"_ser_0.20_"&amp;TEXT(INDEX(MASTER!$E:$E,MATCH(_xlpm.pos,MASTER!$I:$I,0)),"mmddyy"),""),_xlpm.slot,1152+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40" s="4" t="str">
        <f>_xlfn.LET(_xlpm.pos,"NIH plate 13: "&amp;$A8&amp;F$2,_xlpm.normal,IFERROR(INDEX(MASTER!$A:$A,MATCH(_xlpm.pos,MASTER!$I:$I,0))&amp;"_ser_0.20_"&amp;TEXT(INDEX(MASTER!$E:$E,MATCH(_xlpm.pos,MASTER!$I:$I,0)),"mmddyy"),""),_xlpm.slot,1152+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40" s="4" t="str">
        <f>_xlfn.LET(_xlpm.pos,"NIH plate 13: "&amp;$A8&amp;G$2,_xlpm.normal,IFERROR(INDEX(MASTER!$A:$A,MATCH(_xlpm.pos,MASTER!$I:$I,0))&amp;"_ser_0.20_"&amp;TEXT(INDEX(MASTER!$E:$E,MATCH(_xlpm.pos,MASTER!$I:$I,0)),"mmddyy"),""),_xlpm.slot,1152+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40" s="4" t="str">
        <f>_xlfn.LET(_xlpm.pos,"NIH plate 13: "&amp;$A8&amp;H$2,_xlpm.normal,IFERROR(INDEX(MASTER!$A:$A,MATCH(_xlpm.pos,MASTER!$I:$I,0))&amp;"_ser_0.20_"&amp;TEXT(INDEX(MASTER!$E:$E,MATCH(_xlpm.pos,MASTER!$I:$I,0)),"mmddyy"),""),_xlpm.slot,1152+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40" s="4" t="str">
        <f>_xlfn.LET(_xlpm.pos,"NIH plate 13: "&amp;$A8&amp;I$2,_xlpm.normal,IFERROR(INDEX(MASTER!$A:$A,MATCH(_xlpm.pos,MASTER!$I:$I,0))&amp;"_ser_0.20_"&amp;TEXT(INDEX(MASTER!$E:$E,MATCH(_xlpm.pos,MASTER!$I:$I,0)),"mmddyy"),""),_xlpm.slot,1152+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40" s="4" t="str">
        <f>_xlfn.LET(_xlpm.pos,"NIH plate 13: "&amp;$A8&amp;J$2,_xlpm.normal,IFERROR(INDEX(MASTER!$A:$A,MATCH(_xlpm.pos,MASTER!$I:$I,0))&amp;"_ser_0.20_"&amp;TEXT(INDEX(MASTER!$E:$E,MATCH(_xlpm.pos,MASTER!$I:$I,0)),"mmddyy"),""),_xlpm.slot,1152+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40" s="4" t="str">
        <f>_xlfn.LET(_xlpm.pos,"NIH plate 13: "&amp;$A8&amp;K$2,_xlpm.normal,IFERROR(INDEX(MASTER!$A:$A,MATCH(_xlpm.pos,MASTER!$I:$I,0))&amp;"_ser_0.20_"&amp;TEXT(INDEX(MASTER!$E:$E,MATCH(_xlpm.pos,MASTER!$I:$I,0)),"mmddyy"),""),_xlpm.slot,1152+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40" s="4" t="str">
        <f>_xlfn.LET(_xlpm.pos,"NIH plate 13: "&amp;$A8&amp;L$2,_xlpm.normal,IFERROR(INDEX(MASTER!$A:$A,MATCH(_xlpm.pos,MASTER!$I:$I,0))&amp;"_ser_0.20_"&amp;TEXT(INDEX(MASTER!$E:$E,MATCH(_xlpm.pos,MASTER!$I:$I,0)),"mmddyy"),""),_xlpm.slot,1152+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40" s="4" t="str">
        <f>_xlfn.LET(_xlpm.pos,"NIH plate 13: "&amp;$A8&amp;M$2,_xlpm.normal,IFERROR(INDEX(MASTER!$A:$A,MATCH(_xlpm.pos,MASTER!$I:$I,0))&amp;"_ser_0.20_"&amp;TEXT(INDEX(MASTER!$E:$E,MATCH(_xlpm.pos,MASTER!$I:$I,0)),"mmddyy"),""),_xlpm.slot,1152+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41" spans="1:13" ht="22" customHeight="1" x14ac:dyDescent="0.35">
      <c r="A141" s="6" t="s">
        <v>35</v>
      </c>
      <c r="B141" s="4" t="str">
        <f>_xlfn.LET(_xlpm.pos,"NIH plate 13: "&amp;$A9&amp;B$2,_xlpm.normal,IFERROR(INDEX(MASTER!$A:$A,MATCH(_xlpm.pos,MASTER!$I:$I,0))&amp;"_ser_0.20_"&amp;TEXT(INDEX(MASTER!$E:$E,MATCH(_xlpm.pos,MASTER!$I:$I,0)),"mmddyy"),""),_xlpm.slot,1152+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41" s="4" t="str">
        <f>_xlfn.LET(_xlpm.pos,"NIH plate 13: "&amp;$A9&amp;C$2,_xlpm.normal,IFERROR(INDEX(MASTER!$A:$A,MATCH(_xlpm.pos,MASTER!$I:$I,0))&amp;"_ser_0.20_"&amp;TEXT(INDEX(MASTER!$E:$E,MATCH(_xlpm.pos,MASTER!$I:$I,0)),"mmddyy"),""),_xlpm.slot,1152+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41" s="4" t="str">
        <f>_xlfn.LET(_xlpm.pos,"NIH plate 13: "&amp;$A9&amp;D$2,_xlpm.normal,IFERROR(INDEX(MASTER!$A:$A,MATCH(_xlpm.pos,MASTER!$I:$I,0))&amp;"_ser_0.20_"&amp;TEXT(INDEX(MASTER!$E:$E,MATCH(_xlpm.pos,MASTER!$I:$I,0)),"mmddyy"),""),_xlpm.slot,1152+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41" s="4" t="str">
        <f>_xlfn.LET(_xlpm.pos,"NIH plate 13: "&amp;$A9&amp;E$2,_xlpm.normal,IFERROR(INDEX(MASTER!$A:$A,MATCH(_xlpm.pos,MASTER!$I:$I,0))&amp;"_ser_0.20_"&amp;TEXT(INDEX(MASTER!$E:$E,MATCH(_xlpm.pos,MASTER!$I:$I,0)),"mmddyy"),""),_xlpm.slot,1152+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41" s="4" t="str">
        <f>_xlfn.LET(_xlpm.pos,"NIH plate 13: "&amp;$A9&amp;F$2,_xlpm.normal,IFERROR(INDEX(MASTER!$A:$A,MATCH(_xlpm.pos,MASTER!$I:$I,0))&amp;"_ser_0.20_"&amp;TEXT(INDEX(MASTER!$E:$E,MATCH(_xlpm.pos,MASTER!$I:$I,0)),"mmddyy"),""),_xlpm.slot,1152+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41" s="4" t="str">
        <f>_xlfn.LET(_xlpm.pos,"NIH plate 13: "&amp;$A9&amp;G$2,_xlpm.normal,IFERROR(INDEX(MASTER!$A:$A,MATCH(_xlpm.pos,MASTER!$I:$I,0))&amp;"_ser_0.20_"&amp;TEXT(INDEX(MASTER!$E:$E,MATCH(_xlpm.pos,MASTER!$I:$I,0)),"mmddyy"),""),_xlpm.slot,1152+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41" s="4" t="str">
        <f>_xlfn.LET(_xlpm.pos,"NIH plate 13: "&amp;$A9&amp;H$2,_xlpm.normal,IFERROR(INDEX(MASTER!$A:$A,MATCH(_xlpm.pos,MASTER!$I:$I,0))&amp;"_ser_0.20_"&amp;TEXT(INDEX(MASTER!$E:$E,MATCH(_xlpm.pos,MASTER!$I:$I,0)),"mmddyy"),""),_xlpm.slot,1152+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41" s="4" t="str">
        <f>_xlfn.LET(_xlpm.pos,"NIH plate 13: "&amp;$A9&amp;I$2,_xlpm.normal,IFERROR(INDEX(MASTER!$A:$A,MATCH(_xlpm.pos,MASTER!$I:$I,0))&amp;"_ser_0.20_"&amp;TEXT(INDEX(MASTER!$E:$E,MATCH(_xlpm.pos,MASTER!$I:$I,0)),"mmddyy"),""),_xlpm.slot,1152+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41" s="4" t="str">
        <f>_xlfn.LET(_xlpm.pos,"NIH plate 13: "&amp;$A9&amp;J$2,_xlpm.normal,IFERROR(INDEX(MASTER!$A:$A,MATCH(_xlpm.pos,MASTER!$I:$I,0))&amp;"_ser_0.20_"&amp;TEXT(INDEX(MASTER!$E:$E,MATCH(_xlpm.pos,MASTER!$I:$I,0)),"mmddyy"),""),_xlpm.slot,1152+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41" s="4" t="str">
        <f>_xlfn.LET(_xlpm.pos,"NIH plate 13: "&amp;$A9&amp;K$2,_xlpm.normal,IFERROR(INDEX(MASTER!$A:$A,MATCH(_xlpm.pos,MASTER!$I:$I,0))&amp;"_ser_0.20_"&amp;TEXT(INDEX(MASTER!$E:$E,MATCH(_xlpm.pos,MASTER!$I:$I,0)),"mmddyy"),""),_xlpm.slot,1152+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41" s="4" t="str">
        <f>_xlfn.LET(_xlpm.pos,"NIH plate 13: "&amp;$A9&amp;L$2,_xlpm.normal,IFERROR(INDEX(MASTER!$A:$A,MATCH(_xlpm.pos,MASTER!$I:$I,0))&amp;"_ser_0.20_"&amp;TEXT(INDEX(MASTER!$E:$E,MATCH(_xlpm.pos,MASTER!$I:$I,0)),"mmddyy"),""),_xlpm.slot,1152+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41" s="4" t="str">
        <f>_xlfn.LET(_xlpm.pos,"NIH plate 13: "&amp;$A9&amp;M$2,_xlpm.normal,IFERROR(INDEX(MASTER!$A:$A,MATCH(_xlpm.pos,MASTER!$I:$I,0))&amp;"_ser_0.20_"&amp;TEXT(INDEX(MASTER!$E:$E,MATCH(_xlpm.pos,MASTER!$I:$I,0)),"mmddyy"),""),_xlpm.slot,1152+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42" spans="1:13" ht="22" customHeight="1" x14ac:dyDescent="0.35">
      <c r="A142" s="6" t="s">
        <v>36</v>
      </c>
      <c r="B142" s="4" t="str">
        <f>_xlfn.LET(_xlpm.pos,"NIH plate 13: "&amp;$A10&amp;B$2,_xlpm.normal,IFERROR(INDEX(MASTER!$A:$A,MATCH(_xlpm.pos,MASTER!$I:$I,0))&amp;"_ser_0.20_"&amp;TEXT(INDEX(MASTER!$E:$E,MATCH(_xlpm.pos,MASTER!$I:$I,0)),"mmddyy"),""),_xlpm.slot,1152+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42" s="4" t="str">
        <f>_xlfn.LET(_xlpm.pos,"NIH plate 13: "&amp;$A10&amp;C$2,_xlpm.normal,IFERROR(INDEX(MASTER!$A:$A,MATCH(_xlpm.pos,MASTER!$I:$I,0))&amp;"_ser_0.20_"&amp;TEXT(INDEX(MASTER!$E:$E,MATCH(_xlpm.pos,MASTER!$I:$I,0)),"mmddyy"),""),_xlpm.slot,1152+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42" s="4" t="str">
        <f>_xlfn.LET(_xlpm.pos,"NIH plate 13: "&amp;$A10&amp;D$2,_xlpm.normal,IFERROR(INDEX(MASTER!$A:$A,MATCH(_xlpm.pos,MASTER!$I:$I,0))&amp;"_ser_0.20_"&amp;TEXT(INDEX(MASTER!$E:$E,MATCH(_xlpm.pos,MASTER!$I:$I,0)),"mmddyy"),""),_xlpm.slot,1152+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42" s="4" t="str">
        <f>_xlfn.LET(_xlpm.pos,"NIH plate 13: "&amp;$A10&amp;E$2,_xlpm.normal,IFERROR(INDEX(MASTER!$A:$A,MATCH(_xlpm.pos,MASTER!$I:$I,0))&amp;"_ser_0.20_"&amp;TEXT(INDEX(MASTER!$E:$E,MATCH(_xlpm.pos,MASTER!$I:$I,0)),"mmddyy"),""),_xlpm.slot,1152+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42" s="4" t="str">
        <f>_xlfn.LET(_xlpm.pos,"NIH plate 13: "&amp;$A10&amp;F$2,_xlpm.normal,IFERROR(INDEX(MASTER!$A:$A,MATCH(_xlpm.pos,MASTER!$I:$I,0))&amp;"_ser_0.20_"&amp;TEXT(INDEX(MASTER!$E:$E,MATCH(_xlpm.pos,MASTER!$I:$I,0)),"mmddyy"),""),_xlpm.slot,1152+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42" s="4" t="str">
        <f>_xlfn.LET(_xlpm.pos,"NIH plate 13: "&amp;$A10&amp;G$2,_xlpm.normal,IFERROR(INDEX(MASTER!$A:$A,MATCH(_xlpm.pos,MASTER!$I:$I,0))&amp;"_ser_0.20_"&amp;TEXT(INDEX(MASTER!$E:$E,MATCH(_xlpm.pos,MASTER!$I:$I,0)),"mmddyy"),""),_xlpm.slot,1152+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42" s="4" t="str">
        <f>_xlfn.LET(_xlpm.pos,"NIH plate 13: "&amp;$A10&amp;H$2,_xlpm.normal,IFERROR(INDEX(MASTER!$A:$A,MATCH(_xlpm.pos,MASTER!$I:$I,0))&amp;"_ser_0.20_"&amp;TEXT(INDEX(MASTER!$E:$E,MATCH(_xlpm.pos,MASTER!$I:$I,0)),"mmddyy"),""),_xlpm.slot,1152+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42" s="4" t="str">
        <f>_xlfn.LET(_xlpm.pos,"NIH plate 13: "&amp;$A10&amp;I$2,_xlpm.normal,IFERROR(INDEX(MASTER!$A:$A,MATCH(_xlpm.pos,MASTER!$I:$I,0))&amp;"_ser_0.20_"&amp;TEXT(INDEX(MASTER!$E:$E,MATCH(_xlpm.pos,MASTER!$I:$I,0)),"mmddyy"),""),_xlpm.slot,1152+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42" s="4" t="str">
        <f>_xlfn.LET(_xlpm.pos,"NIH plate 13: "&amp;$A10&amp;J$2,_xlpm.normal,IFERROR(INDEX(MASTER!$A:$A,MATCH(_xlpm.pos,MASTER!$I:$I,0))&amp;"_ser_0.20_"&amp;TEXT(INDEX(MASTER!$E:$E,MATCH(_xlpm.pos,MASTER!$I:$I,0)),"mmddyy"),""),_xlpm.slot,1152+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42" s="4" t="str">
        <f>_xlfn.LET(_xlpm.pos,"NIH plate 13: "&amp;$A10&amp;K$2,_xlpm.normal,IFERROR(INDEX(MASTER!$A:$A,MATCH(_xlpm.pos,MASTER!$I:$I,0))&amp;"_ser_0.20_"&amp;TEXT(INDEX(MASTER!$E:$E,MATCH(_xlpm.pos,MASTER!$I:$I,0)),"mmddyy"),""),_xlpm.slot,1152+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42" s="4" t="str">
        <f>_xlfn.LET(_xlpm.pos,"NIH plate 13: "&amp;$A10&amp;L$2,_xlpm.normal,IFERROR(INDEX(MASTER!$A:$A,MATCH(_xlpm.pos,MASTER!$I:$I,0))&amp;"_ser_0.20_"&amp;TEXT(INDEX(MASTER!$E:$E,MATCH(_xlpm.pos,MASTER!$I:$I,0)),"mmddyy"),""),_xlpm.slot,1152+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42" s="4" t="str">
        <f>_xlfn.LET(_xlpm.pos,"NIH plate 13: "&amp;$A10&amp;M$2,_xlpm.normal,IFERROR(INDEX(MASTER!$A:$A,MATCH(_xlpm.pos,MASTER!$I:$I,0))&amp;"_ser_0.20_"&amp;TEXT(INDEX(MASTER!$E:$E,MATCH(_xlpm.pos,MASTER!$I:$I,0)),"mmddyy"),""),_xlpm.slot,1152+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43" spans="1:13" ht="22" customHeight="1" x14ac:dyDescent="0.3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</row>
    <row r="144" spans="1:13" ht="22" customHeight="1" x14ac:dyDescent="0.35">
      <c r="A144" s="7"/>
      <c r="B144" s="31" t="s">
        <v>70</v>
      </c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3"/>
    </row>
    <row r="145" spans="1:13" ht="22" customHeight="1" x14ac:dyDescent="0.35">
      <c r="A145" s="7"/>
      <c r="B145" s="6">
        <v>1</v>
      </c>
      <c r="C145" s="6">
        <v>2</v>
      </c>
      <c r="D145" s="6">
        <v>3</v>
      </c>
      <c r="E145" s="6">
        <v>4</v>
      </c>
      <c r="F145" s="6">
        <v>5</v>
      </c>
      <c r="G145" s="6">
        <v>6</v>
      </c>
      <c r="H145" s="6">
        <v>7</v>
      </c>
      <c r="I145" s="6">
        <v>8</v>
      </c>
      <c r="J145" s="6">
        <v>9</v>
      </c>
      <c r="K145" s="6">
        <v>10</v>
      </c>
      <c r="L145" s="6">
        <v>11</v>
      </c>
      <c r="M145" s="6">
        <v>12</v>
      </c>
    </row>
    <row r="146" spans="1:13" ht="22" customHeight="1" x14ac:dyDescent="0.35">
      <c r="A146" s="6" t="s">
        <v>30</v>
      </c>
      <c r="B146" s="4" t="str">
        <f>_xlfn.LET(_xlpm.pos,"NIH plate 14: "&amp;$A3&amp;B$2,_xlpm.normal,IFERROR(INDEX(MASTER!$A:$A,MATCH(_xlpm.pos,MASTER!$I:$I,0))&amp;"_ser_0.20_"&amp;TEXT(INDEX(MASTER!$E:$E,MATCH(_xlpm.pos,MASTER!$I:$I,0)),"mmddyy"),""),_xlpm.slot,1248+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46" s="4" t="str">
        <f>_xlfn.LET(_xlpm.pos,"NIH plate 14: "&amp;$A3&amp;C$2,_xlpm.normal,IFERROR(INDEX(MASTER!$A:$A,MATCH(_xlpm.pos,MASTER!$I:$I,0))&amp;"_ser_0.20_"&amp;TEXT(INDEX(MASTER!$E:$E,MATCH(_xlpm.pos,MASTER!$I:$I,0)),"mmddyy"),""),_xlpm.slot,1248+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46" s="4" t="str">
        <f>_xlfn.LET(_xlpm.pos,"NIH plate 14: "&amp;$A3&amp;D$2,_xlpm.normal,IFERROR(INDEX(MASTER!$A:$A,MATCH(_xlpm.pos,MASTER!$I:$I,0))&amp;"_ser_0.20_"&amp;TEXT(INDEX(MASTER!$E:$E,MATCH(_xlpm.pos,MASTER!$I:$I,0)),"mmddyy"),""),_xlpm.slot,1248+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46" s="4" t="str">
        <f>_xlfn.LET(_xlpm.pos,"NIH plate 14: "&amp;$A3&amp;E$2,_xlpm.normal,IFERROR(INDEX(MASTER!$A:$A,MATCH(_xlpm.pos,MASTER!$I:$I,0))&amp;"_ser_0.20_"&amp;TEXT(INDEX(MASTER!$E:$E,MATCH(_xlpm.pos,MASTER!$I:$I,0)),"mmddyy"),""),_xlpm.slot,1248+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46" s="4" t="str">
        <f>_xlfn.LET(_xlpm.pos,"NIH plate 14: "&amp;$A3&amp;F$2,_xlpm.normal,IFERROR(INDEX(MASTER!$A:$A,MATCH(_xlpm.pos,MASTER!$I:$I,0))&amp;"_ser_0.20_"&amp;TEXT(INDEX(MASTER!$E:$E,MATCH(_xlpm.pos,MASTER!$I:$I,0)),"mmddyy"),""),_xlpm.slot,1248+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46" s="4" t="str">
        <f>_xlfn.LET(_xlpm.pos,"NIH plate 14: "&amp;$A3&amp;G$2,_xlpm.normal,IFERROR(INDEX(MASTER!$A:$A,MATCH(_xlpm.pos,MASTER!$I:$I,0))&amp;"_ser_0.20_"&amp;TEXT(INDEX(MASTER!$E:$E,MATCH(_xlpm.pos,MASTER!$I:$I,0)),"mmddyy"),""),_xlpm.slot,1248+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46" s="4" t="str">
        <f>_xlfn.LET(_xlpm.pos,"NIH plate 14: "&amp;$A3&amp;H$2,_xlpm.normal,IFERROR(INDEX(MASTER!$A:$A,MATCH(_xlpm.pos,MASTER!$I:$I,0))&amp;"_ser_0.20_"&amp;TEXT(INDEX(MASTER!$E:$E,MATCH(_xlpm.pos,MASTER!$I:$I,0)),"mmddyy"),""),_xlpm.slot,1248+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46" s="4" t="str">
        <f>_xlfn.LET(_xlpm.pos,"NIH plate 14: "&amp;$A3&amp;I$2,_xlpm.normal,IFERROR(INDEX(MASTER!$A:$A,MATCH(_xlpm.pos,MASTER!$I:$I,0))&amp;"_ser_0.20_"&amp;TEXT(INDEX(MASTER!$E:$E,MATCH(_xlpm.pos,MASTER!$I:$I,0)),"mmddyy"),""),_xlpm.slot,1248+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46" s="4" t="str">
        <f>_xlfn.LET(_xlpm.pos,"NIH plate 14: "&amp;$A3&amp;J$2,_xlpm.normal,IFERROR(INDEX(MASTER!$A:$A,MATCH(_xlpm.pos,MASTER!$I:$I,0))&amp;"_ser_0.20_"&amp;TEXT(INDEX(MASTER!$E:$E,MATCH(_xlpm.pos,MASTER!$I:$I,0)),"mmddyy"),""),_xlpm.slot,1248+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46" s="4" t="str">
        <f>_xlfn.LET(_xlpm.pos,"NIH plate 14: "&amp;$A3&amp;K$2,_xlpm.normal,IFERROR(INDEX(MASTER!$A:$A,MATCH(_xlpm.pos,MASTER!$I:$I,0))&amp;"_ser_0.20_"&amp;TEXT(INDEX(MASTER!$E:$E,MATCH(_xlpm.pos,MASTER!$I:$I,0)),"mmddyy"),""),_xlpm.slot,1248+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46" s="4" t="str">
        <f>_xlfn.LET(_xlpm.pos,"NIH plate 14: "&amp;$A3&amp;L$2,_xlpm.normal,IFERROR(INDEX(MASTER!$A:$A,MATCH(_xlpm.pos,MASTER!$I:$I,0))&amp;"_ser_0.20_"&amp;TEXT(INDEX(MASTER!$E:$E,MATCH(_xlpm.pos,MASTER!$I:$I,0)),"mmddyy"),""),_xlpm.slot,1248+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46" s="4" t="str">
        <f>_xlfn.LET(_xlpm.pos,"NIH plate 14: "&amp;$A3&amp;M$2,_xlpm.normal,IFERROR(INDEX(MASTER!$A:$A,MATCH(_xlpm.pos,MASTER!$I:$I,0))&amp;"_ser_0.20_"&amp;TEXT(INDEX(MASTER!$E:$E,MATCH(_xlpm.pos,MASTER!$I:$I,0)),"mmddyy"),""),_xlpm.slot,1248+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47" spans="1:13" ht="22" customHeight="1" x14ac:dyDescent="0.35">
      <c r="A147" s="6" t="s">
        <v>31</v>
      </c>
      <c r="B147" s="4" t="str">
        <f>_xlfn.LET(_xlpm.pos,"NIH plate 14: "&amp;$A4&amp;B$2,_xlpm.normal,IFERROR(INDEX(MASTER!$A:$A,MATCH(_xlpm.pos,MASTER!$I:$I,0))&amp;"_ser_0.20_"&amp;TEXT(INDEX(MASTER!$E:$E,MATCH(_xlpm.pos,MASTER!$I:$I,0)),"mmddyy"),""),_xlpm.slot,1248+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47" s="4" t="str">
        <f>_xlfn.LET(_xlpm.pos,"NIH plate 14: "&amp;$A4&amp;C$2,_xlpm.normal,IFERROR(INDEX(MASTER!$A:$A,MATCH(_xlpm.pos,MASTER!$I:$I,0))&amp;"_ser_0.20_"&amp;TEXT(INDEX(MASTER!$E:$E,MATCH(_xlpm.pos,MASTER!$I:$I,0)),"mmddyy"),""),_xlpm.slot,1248+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47" s="4" t="str">
        <f>_xlfn.LET(_xlpm.pos,"NIH plate 14: "&amp;$A4&amp;D$2,_xlpm.normal,IFERROR(INDEX(MASTER!$A:$A,MATCH(_xlpm.pos,MASTER!$I:$I,0))&amp;"_ser_0.20_"&amp;TEXT(INDEX(MASTER!$E:$E,MATCH(_xlpm.pos,MASTER!$I:$I,0)),"mmddyy"),""),_xlpm.slot,1248+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47" s="4" t="str">
        <f>_xlfn.LET(_xlpm.pos,"NIH plate 14: "&amp;$A4&amp;E$2,_xlpm.normal,IFERROR(INDEX(MASTER!$A:$A,MATCH(_xlpm.pos,MASTER!$I:$I,0))&amp;"_ser_0.20_"&amp;TEXT(INDEX(MASTER!$E:$E,MATCH(_xlpm.pos,MASTER!$I:$I,0)),"mmddyy"),""),_xlpm.slot,1248+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47" s="4" t="str">
        <f>_xlfn.LET(_xlpm.pos,"NIH plate 14: "&amp;$A4&amp;F$2,_xlpm.normal,IFERROR(INDEX(MASTER!$A:$A,MATCH(_xlpm.pos,MASTER!$I:$I,0))&amp;"_ser_0.20_"&amp;TEXT(INDEX(MASTER!$E:$E,MATCH(_xlpm.pos,MASTER!$I:$I,0)),"mmddyy"),""),_xlpm.slot,1248+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47" s="4" t="str">
        <f>_xlfn.LET(_xlpm.pos,"NIH plate 14: "&amp;$A4&amp;G$2,_xlpm.normal,IFERROR(INDEX(MASTER!$A:$A,MATCH(_xlpm.pos,MASTER!$I:$I,0))&amp;"_ser_0.20_"&amp;TEXT(INDEX(MASTER!$E:$E,MATCH(_xlpm.pos,MASTER!$I:$I,0)),"mmddyy"),""),_xlpm.slot,1248+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47" s="4" t="str">
        <f>_xlfn.LET(_xlpm.pos,"NIH plate 14: "&amp;$A4&amp;H$2,_xlpm.normal,IFERROR(INDEX(MASTER!$A:$A,MATCH(_xlpm.pos,MASTER!$I:$I,0))&amp;"_ser_0.20_"&amp;TEXT(INDEX(MASTER!$E:$E,MATCH(_xlpm.pos,MASTER!$I:$I,0)),"mmddyy"),""),_xlpm.slot,1248+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47" s="4" t="str">
        <f>_xlfn.LET(_xlpm.pos,"NIH plate 14: "&amp;$A4&amp;I$2,_xlpm.normal,IFERROR(INDEX(MASTER!$A:$A,MATCH(_xlpm.pos,MASTER!$I:$I,0))&amp;"_ser_0.20_"&amp;TEXT(INDEX(MASTER!$E:$E,MATCH(_xlpm.pos,MASTER!$I:$I,0)),"mmddyy"),""),_xlpm.slot,1248+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47" s="4" t="str">
        <f>_xlfn.LET(_xlpm.pos,"NIH plate 14: "&amp;$A4&amp;J$2,_xlpm.normal,IFERROR(INDEX(MASTER!$A:$A,MATCH(_xlpm.pos,MASTER!$I:$I,0))&amp;"_ser_0.20_"&amp;TEXT(INDEX(MASTER!$E:$E,MATCH(_xlpm.pos,MASTER!$I:$I,0)),"mmddyy"),""),_xlpm.slot,1248+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47" s="4" t="str">
        <f>_xlfn.LET(_xlpm.pos,"NIH plate 14: "&amp;$A4&amp;K$2,_xlpm.normal,IFERROR(INDEX(MASTER!$A:$A,MATCH(_xlpm.pos,MASTER!$I:$I,0))&amp;"_ser_0.20_"&amp;TEXT(INDEX(MASTER!$E:$E,MATCH(_xlpm.pos,MASTER!$I:$I,0)),"mmddyy"),""),_xlpm.slot,1248+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47" s="4" t="str">
        <f>_xlfn.LET(_xlpm.pos,"NIH plate 14: "&amp;$A4&amp;L$2,_xlpm.normal,IFERROR(INDEX(MASTER!$A:$A,MATCH(_xlpm.pos,MASTER!$I:$I,0))&amp;"_ser_0.20_"&amp;TEXT(INDEX(MASTER!$E:$E,MATCH(_xlpm.pos,MASTER!$I:$I,0)),"mmddyy"),""),_xlpm.slot,1248+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47" s="4" t="str">
        <f>_xlfn.LET(_xlpm.pos,"NIH plate 14: "&amp;$A4&amp;M$2,_xlpm.normal,IFERROR(INDEX(MASTER!$A:$A,MATCH(_xlpm.pos,MASTER!$I:$I,0))&amp;"_ser_0.20_"&amp;TEXT(INDEX(MASTER!$E:$E,MATCH(_xlpm.pos,MASTER!$I:$I,0)),"mmddyy"),""),_xlpm.slot,1248+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48" spans="1:13" ht="22" customHeight="1" x14ac:dyDescent="0.35">
      <c r="A148" s="6" t="s">
        <v>32</v>
      </c>
      <c r="B148" s="4" t="str">
        <f>_xlfn.LET(_xlpm.pos,"NIH plate 14: "&amp;$A5&amp;B$2,_xlpm.normal,IFERROR(INDEX(MASTER!$A:$A,MATCH(_xlpm.pos,MASTER!$I:$I,0))&amp;"_ser_0.20_"&amp;TEXT(INDEX(MASTER!$E:$E,MATCH(_xlpm.pos,MASTER!$I:$I,0)),"mmddyy"),""),_xlpm.slot,1248+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48" s="4" t="str">
        <f>_xlfn.LET(_xlpm.pos,"NIH plate 14: "&amp;$A5&amp;C$2,_xlpm.normal,IFERROR(INDEX(MASTER!$A:$A,MATCH(_xlpm.pos,MASTER!$I:$I,0))&amp;"_ser_0.20_"&amp;TEXT(INDEX(MASTER!$E:$E,MATCH(_xlpm.pos,MASTER!$I:$I,0)),"mmddyy"),""),_xlpm.slot,1248+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48" s="4" t="str">
        <f>_xlfn.LET(_xlpm.pos,"NIH plate 14: "&amp;$A5&amp;D$2,_xlpm.normal,IFERROR(INDEX(MASTER!$A:$A,MATCH(_xlpm.pos,MASTER!$I:$I,0))&amp;"_ser_0.20_"&amp;TEXT(INDEX(MASTER!$E:$E,MATCH(_xlpm.pos,MASTER!$I:$I,0)),"mmddyy"),""),_xlpm.slot,1248+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48" s="4" t="str">
        <f>_xlfn.LET(_xlpm.pos,"NIH plate 14: "&amp;$A5&amp;E$2,_xlpm.normal,IFERROR(INDEX(MASTER!$A:$A,MATCH(_xlpm.pos,MASTER!$I:$I,0))&amp;"_ser_0.20_"&amp;TEXT(INDEX(MASTER!$E:$E,MATCH(_xlpm.pos,MASTER!$I:$I,0)),"mmddyy"),""),_xlpm.slot,1248+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48" s="4" t="str">
        <f>_xlfn.LET(_xlpm.pos,"NIH plate 14: "&amp;$A5&amp;F$2,_xlpm.normal,IFERROR(INDEX(MASTER!$A:$A,MATCH(_xlpm.pos,MASTER!$I:$I,0))&amp;"_ser_0.20_"&amp;TEXT(INDEX(MASTER!$E:$E,MATCH(_xlpm.pos,MASTER!$I:$I,0)),"mmddyy"),""),_xlpm.slot,1248+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48" s="4" t="str">
        <f>_xlfn.LET(_xlpm.pos,"NIH plate 14: "&amp;$A5&amp;G$2,_xlpm.normal,IFERROR(INDEX(MASTER!$A:$A,MATCH(_xlpm.pos,MASTER!$I:$I,0))&amp;"_ser_0.20_"&amp;TEXT(INDEX(MASTER!$E:$E,MATCH(_xlpm.pos,MASTER!$I:$I,0)),"mmddyy"),""),_xlpm.slot,1248+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48" s="4" t="str">
        <f>_xlfn.LET(_xlpm.pos,"NIH plate 14: "&amp;$A5&amp;H$2,_xlpm.normal,IFERROR(INDEX(MASTER!$A:$A,MATCH(_xlpm.pos,MASTER!$I:$I,0))&amp;"_ser_0.20_"&amp;TEXT(INDEX(MASTER!$E:$E,MATCH(_xlpm.pos,MASTER!$I:$I,0)),"mmddyy"),""),_xlpm.slot,1248+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48" s="4" t="str">
        <f>_xlfn.LET(_xlpm.pos,"NIH plate 14: "&amp;$A5&amp;I$2,_xlpm.normal,IFERROR(INDEX(MASTER!$A:$A,MATCH(_xlpm.pos,MASTER!$I:$I,0))&amp;"_ser_0.20_"&amp;TEXT(INDEX(MASTER!$E:$E,MATCH(_xlpm.pos,MASTER!$I:$I,0)),"mmddyy"),""),_xlpm.slot,1248+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48" s="4" t="str">
        <f>_xlfn.LET(_xlpm.pos,"NIH plate 14: "&amp;$A5&amp;J$2,_xlpm.normal,IFERROR(INDEX(MASTER!$A:$A,MATCH(_xlpm.pos,MASTER!$I:$I,0))&amp;"_ser_0.20_"&amp;TEXT(INDEX(MASTER!$E:$E,MATCH(_xlpm.pos,MASTER!$I:$I,0)),"mmddyy"),""),_xlpm.slot,1248+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48" s="4" t="str">
        <f>_xlfn.LET(_xlpm.pos,"NIH plate 14: "&amp;$A5&amp;K$2,_xlpm.normal,IFERROR(INDEX(MASTER!$A:$A,MATCH(_xlpm.pos,MASTER!$I:$I,0))&amp;"_ser_0.20_"&amp;TEXT(INDEX(MASTER!$E:$E,MATCH(_xlpm.pos,MASTER!$I:$I,0)),"mmddyy"),""),_xlpm.slot,1248+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48" s="4" t="str">
        <f>_xlfn.LET(_xlpm.pos,"NIH plate 14: "&amp;$A5&amp;L$2,_xlpm.normal,IFERROR(INDEX(MASTER!$A:$A,MATCH(_xlpm.pos,MASTER!$I:$I,0))&amp;"_ser_0.20_"&amp;TEXT(INDEX(MASTER!$E:$E,MATCH(_xlpm.pos,MASTER!$I:$I,0)),"mmddyy"),""),_xlpm.slot,1248+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48" s="4" t="str">
        <f>_xlfn.LET(_xlpm.pos,"NIH plate 14: "&amp;$A5&amp;M$2,_xlpm.normal,IFERROR(INDEX(MASTER!$A:$A,MATCH(_xlpm.pos,MASTER!$I:$I,0))&amp;"_ser_0.20_"&amp;TEXT(INDEX(MASTER!$E:$E,MATCH(_xlpm.pos,MASTER!$I:$I,0)),"mmddyy"),""),_xlpm.slot,1248+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49" spans="1:13" ht="22" customHeight="1" x14ac:dyDescent="0.35">
      <c r="A149" s="6" t="s">
        <v>33</v>
      </c>
      <c r="B149" s="4" t="str">
        <f>_xlfn.LET(_xlpm.pos,"NIH plate 14: "&amp;$A6&amp;B$2,_xlpm.normal,IFERROR(INDEX(MASTER!$A:$A,MATCH(_xlpm.pos,MASTER!$I:$I,0))&amp;"_ser_0.20_"&amp;TEXT(INDEX(MASTER!$E:$E,MATCH(_xlpm.pos,MASTER!$I:$I,0)),"mmddyy"),""),_xlpm.slot,1248+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49" s="4" t="str">
        <f>_xlfn.LET(_xlpm.pos,"NIH plate 14: "&amp;$A6&amp;C$2,_xlpm.normal,IFERROR(INDEX(MASTER!$A:$A,MATCH(_xlpm.pos,MASTER!$I:$I,0))&amp;"_ser_0.20_"&amp;TEXT(INDEX(MASTER!$E:$E,MATCH(_xlpm.pos,MASTER!$I:$I,0)),"mmddyy"),""),_xlpm.slot,1248+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49" s="4" t="str">
        <f>_xlfn.LET(_xlpm.pos,"NIH plate 14: "&amp;$A6&amp;D$2,_xlpm.normal,IFERROR(INDEX(MASTER!$A:$A,MATCH(_xlpm.pos,MASTER!$I:$I,0))&amp;"_ser_0.20_"&amp;TEXT(INDEX(MASTER!$E:$E,MATCH(_xlpm.pos,MASTER!$I:$I,0)),"mmddyy"),""),_xlpm.slot,1248+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49" s="4" t="str">
        <f>_xlfn.LET(_xlpm.pos,"NIH plate 14: "&amp;$A6&amp;E$2,_xlpm.normal,IFERROR(INDEX(MASTER!$A:$A,MATCH(_xlpm.pos,MASTER!$I:$I,0))&amp;"_ser_0.20_"&amp;TEXT(INDEX(MASTER!$E:$E,MATCH(_xlpm.pos,MASTER!$I:$I,0)),"mmddyy"),""),_xlpm.slot,1248+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49" s="4" t="str">
        <f>_xlfn.LET(_xlpm.pos,"NIH plate 14: "&amp;$A6&amp;F$2,_xlpm.normal,IFERROR(INDEX(MASTER!$A:$A,MATCH(_xlpm.pos,MASTER!$I:$I,0))&amp;"_ser_0.20_"&amp;TEXT(INDEX(MASTER!$E:$E,MATCH(_xlpm.pos,MASTER!$I:$I,0)),"mmddyy"),""),_xlpm.slot,1248+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49" s="4" t="str">
        <f>_xlfn.LET(_xlpm.pos,"NIH plate 14: "&amp;$A6&amp;G$2,_xlpm.normal,IFERROR(INDEX(MASTER!$A:$A,MATCH(_xlpm.pos,MASTER!$I:$I,0))&amp;"_ser_0.20_"&amp;TEXT(INDEX(MASTER!$E:$E,MATCH(_xlpm.pos,MASTER!$I:$I,0)),"mmddyy"),""),_xlpm.slot,1248+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49" s="4" t="str">
        <f>_xlfn.LET(_xlpm.pos,"NIH plate 14: "&amp;$A6&amp;H$2,_xlpm.normal,IFERROR(INDEX(MASTER!$A:$A,MATCH(_xlpm.pos,MASTER!$I:$I,0))&amp;"_ser_0.20_"&amp;TEXT(INDEX(MASTER!$E:$E,MATCH(_xlpm.pos,MASTER!$I:$I,0)),"mmddyy"),""),_xlpm.slot,1248+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49" s="4" t="str">
        <f>_xlfn.LET(_xlpm.pos,"NIH plate 14: "&amp;$A6&amp;I$2,_xlpm.normal,IFERROR(INDEX(MASTER!$A:$A,MATCH(_xlpm.pos,MASTER!$I:$I,0))&amp;"_ser_0.20_"&amp;TEXT(INDEX(MASTER!$E:$E,MATCH(_xlpm.pos,MASTER!$I:$I,0)),"mmddyy"),""),_xlpm.slot,1248+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49" s="4" t="str">
        <f>_xlfn.LET(_xlpm.pos,"NIH plate 14: "&amp;$A6&amp;J$2,_xlpm.normal,IFERROR(INDEX(MASTER!$A:$A,MATCH(_xlpm.pos,MASTER!$I:$I,0))&amp;"_ser_0.20_"&amp;TEXT(INDEX(MASTER!$E:$E,MATCH(_xlpm.pos,MASTER!$I:$I,0)),"mmddyy"),""),_xlpm.slot,1248+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49" s="4" t="str">
        <f>_xlfn.LET(_xlpm.pos,"NIH plate 14: "&amp;$A6&amp;K$2,_xlpm.normal,IFERROR(INDEX(MASTER!$A:$A,MATCH(_xlpm.pos,MASTER!$I:$I,0))&amp;"_ser_0.20_"&amp;TEXT(INDEX(MASTER!$E:$E,MATCH(_xlpm.pos,MASTER!$I:$I,0)),"mmddyy"),""),_xlpm.slot,1248+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49" s="4" t="str">
        <f>_xlfn.LET(_xlpm.pos,"NIH plate 14: "&amp;$A6&amp;L$2,_xlpm.normal,IFERROR(INDEX(MASTER!$A:$A,MATCH(_xlpm.pos,MASTER!$I:$I,0))&amp;"_ser_0.20_"&amp;TEXT(INDEX(MASTER!$E:$E,MATCH(_xlpm.pos,MASTER!$I:$I,0)),"mmddyy"),""),_xlpm.slot,1248+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49" s="4" t="str">
        <f>_xlfn.LET(_xlpm.pos,"NIH plate 14: "&amp;$A6&amp;M$2,_xlpm.normal,IFERROR(INDEX(MASTER!$A:$A,MATCH(_xlpm.pos,MASTER!$I:$I,0))&amp;"_ser_0.20_"&amp;TEXT(INDEX(MASTER!$E:$E,MATCH(_xlpm.pos,MASTER!$I:$I,0)),"mmddyy"),""),_xlpm.slot,1248+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50" spans="1:13" ht="22" customHeight="1" x14ac:dyDescent="0.35">
      <c r="A150" s="6" t="s">
        <v>34</v>
      </c>
      <c r="B150" s="4" t="str">
        <f>_xlfn.LET(_xlpm.pos,"NIH plate 14: "&amp;$A7&amp;B$2,_xlpm.normal,IFERROR(INDEX(MASTER!$A:$A,MATCH(_xlpm.pos,MASTER!$I:$I,0))&amp;"_ser_0.20_"&amp;TEXT(INDEX(MASTER!$E:$E,MATCH(_xlpm.pos,MASTER!$I:$I,0)),"mmddyy"),""),_xlpm.slot,1248+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50" s="4" t="str">
        <f>_xlfn.LET(_xlpm.pos,"NIH plate 14: "&amp;$A7&amp;C$2,_xlpm.normal,IFERROR(INDEX(MASTER!$A:$A,MATCH(_xlpm.pos,MASTER!$I:$I,0))&amp;"_ser_0.20_"&amp;TEXT(INDEX(MASTER!$E:$E,MATCH(_xlpm.pos,MASTER!$I:$I,0)),"mmddyy"),""),_xlpm.slot,1248+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50" s="4" t="str">
        <f>_xlfn.LET(_xlpm.pos,"NIH plate 14: "&amp;$A7&amp;D$2,_xlpm.normal,IFERROR(INDEX(MASTER!$A:$A,MATCH(_xlpm.pos,MASTER!$I:$I,0))&amp;"_ser_0.20_"&amp;TEXT(INDEX(MASTER!$E:$E,MATCH(_xlpm.pos,MASTER!$I:$I,0)),"mmddyy"),""),_xlpm.slot,1248+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50" s="4" t="str">
        <f>_xlfn.LET(_xlpm.pos,"NIH plate 14: "&amp;$A7&amp;E$2,_xlpm.normal,IFERROR(INDEX(MASTER!$A:$A,MATCH(_xlpm.pos,MASTER!$I:$I,0))&amp;"_ser_0.20_"&amp;TEXT(INDEX(MASTER!$E:$E,MATCH(_xlpm.pos,MASTER!$I:$I,0)),"mmddyy"),""),_xlpm.slot,1248+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50" s="4" t="str">
        <f>_xlfn.LET(_xlpm.pos,"NIH plate 14: "&amp;$A7&amp;F$2,_xlpm.normal,IFERROR(INDEX(MASTER!$A:$A,MATCH(_xlpm.pos,MASTER!$I:$I,0))&amp;"_ser_0.20_"&amp;TEXT(INDEX(MASTER!$E:$E,MATCH(_xlpm.pos,MASTER!$I:$I,0)),"mmddyy"),""),_xlpm.slot,1248+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50" s="4" t="str">
        <f>_xlfn.LET(_xlpm.pos,"NIH plate 14: "&amp;$A7&amp;G$2,_xlpm.normal,IFERROR(INDEX(MASTER!$A:$A,MATCH(_xlpm.pos,MASTER!$I:$I,0))&amp;"_ser_0.20_"&amp;TEXT(INDEX(MASTER!$E:$E,MATCH(_xlpm.pos,MASTER!$I:$I,0)),"mmddyy"),""),_xlpm.slot,1248+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50" s="4" t="str">
        <f>_xlfn.LET(_xlpm.pos,"NIH plate 14: "&amp;$A7&amp;H$2,_xlpm.normal,IFERROR(INDEX(MASTER!$A:$A,MATCH(_xlpm.pos,MASTER!$I:$I,0))&amp;"_ser_0.20_"&amp;TEXT(INDEX(MASTER!$E:$E,MATCH(_xlpm.pos,MASTER!$I:$I,0)),"mmddyy"),""),_xlpm.slot,1248+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50" s="4" t="str">
        <f>_xlfn.LET(_xlpm.pos,"NIH plate 14: "&amp;$A7&amp;I$2,_xlpm.normal,IFERROR(INDEX(MASTER!$A:$A,MATCH(_xlpm.pos,MASTER!$I:$I,0))&amp;"_ser_0.20_"&amp;TEXT(INDEX(MASTER!$E:$E,MATCH(_xlpm.pos,MASTER!$I:$I,0)),"mmddyy"),""),_xlpm.slot,1248+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50" s="4" t="str">
        <f>_xlfn.LET(_xlpm.pos,"NIH plate 14: "&amp;$A7&amp;J$2,_xlpm.normal,IFERROR(INDEX(MASTER!$A:$A,MATCH(_xlpm.pos,MASTER!$I:$I,0))&amp;"_ser_0.20_"&amp;TEXT(INDEX(MASTER!$E:$E,MATCH(_xlpm.pos,MASTER!$I:$I,0)),"mmddyy"),""),_xlpm.slot,1248+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50" s="4" t="str">
        <f>_xlfn.LET(_xlpm.pos,"NIH plate 14: "&amp;$A7&amp;K$2,_xlpm.normal,IFERROR(INDEX(MASTER!$A:$A,MATCH(_xlpm.pos,MASTER!$I:$I,0))&amp;"_ser_0.20_"&amp;TEXT(INDEX(MASTER!$E:$E,MATCH(_xlpm.pos,MASTER!$I:$I,0)),"mmddyy"),""),_xlpm.slot,1248+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50" s="4" t="str">
        <f>_xlfn.LET(_xlpm.pos,"NIH plate 14: "&amp;$A7&amp;L$2,_xlpm.normal,IFERROR(INDEX(MASTER!$A:$A,MATCH(_xlpm.pos,MASTER!$I:$I,0))&amp;"_ser_0.20_"&amp;TEXT(INDEX(MASTER!$E:$E,MATCH(_xlpm.pos,MASTER!$I:$I,0)),"mmddyy"),""),_xlpm.slot,1248+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50" s="4" t="str">
        <f>_xlfn.LET(_xlpm.pos,"NIH plate 14: "&amp;$A7&amp;M$2,_xlpm.normal,IFERROR(INDEX(MASTER!$A:$A,MATCH(_xlpm.pos,MASTER!$I:$I,0))&amp;"_ser_0.20_"&amp;TEXT(INDEX(MASTER!$E:$E,MATCH(_xlpm.pos,MASTER!$I:$I,0)),"mmddyy"),""),_xlpm.slot,1248+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51" spans="1:13" ht="22" customHeight="1" x14ac:dyDescent="0.35">
      <c r="A151" s="6" t="s">
        <v>15</v>
      </c>
      <c r="B151" s="4" t="str">
        <f>_xlfn.LET(_xlpm.pos,"NIH plate 14: "&amp;$A8&amp;B$2,_xlpm.normal,IFERROR(INDEX(MASTER!$A:$A,MATCH(_xlpm.pos,MASTER!$I:$I,0))&amp;"_ser_0.20_"&amp;TEXT(INDEX(MASTER!$E:$E,MATCH(_xlpm.pos,MASTER!$I:$I,0)),"mmddyy"),""),_xlpm.slot,1248+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51" s="4" t="str">
        <f>_xlfn.LET(_xlpm.pos,"NIH plate 14: "&amp;$A8&amp;C$2,_xlpm.normal,IFERROR(INDEX(MASTER!$A:$A,MATCH(_xlpm.pos,MASTER!$I:$I,0))&amp;"_ser_0.20_"&amp;TEXT(INDEX(MASTER!$E:$E,MATCH(_xlpm.pos,MASTER!$I:$I,0)),"mmddyy"),""),_xlpm.slot,1248+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51" s="4" t="str">
        <f>_xlfn.LET(_xlpm.pos,"NIH plate 14: "&amp;$A8&amp;D$2,_xlpm.normal,IFERROR(INDEX(MASTER!$A:$A,MATCH(_xlpm.pos,MASTER!$I:$I,0))&amp;"_ser_0.20_"&amp;TEXT(INDEX(MASTER!$E:$E,MATCH(_xlpm.pos,MASTER!$I:$I,0)),"mmddyy"),""),_xlpm.slot,1248+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51" s="4" t="str">
        <f>_xlfn.LET(_xlpm.pos,"NIH plate 14: "&amp;$A8&amp;E$2,_xlpm.normal,IFERROR(INDEX(MASTER!$A:$A,MATCH(_xlpm.pos,MASTER!$I:$I,0))&amp;"_ser_0.20_"&amp;TEXT(INDEX(MASTER!$E:$E,MATCH(_xlpm.pos,MASTER!$I:$I,0)),"mmddyy"),""),_xlpm.slot,1248+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51" s="4" t="str">
        <f>_xlfn.LET(_xlpm.pos,"NIH plate 14: "&amp;$A8&amp;F$2,_xlpm.normal,IFERROR(INDEX(MASTER!$A:$A,MATCH(_xlpm.pos,MASTER!$I:$I,0))&amp;"_ser_0.20_"&amp;TEXT(INDEX(MASTER!$E:$E,MATCH(_xlpm.pos,MASTER!$I:$I,0)),"mmddyy"),""),_xlpm.slot,1248+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51" s="4" t="str">
        <f>_xlfn.LET(_xlpm.pos,"NIH plate 14: "&amp;$A8&amp;G$2,_xlpm.normal,IFERROR(INDEX(MASTER!$A:$A,MATCH(_xlpm.pos,MASTER!$I:$I,0))&amp;"_ser_0.20_"&amp;TEXT(INDEX(MASTER!$E:$E,MATCH(_xlpm.pos,MASTER!$I:$I,0)),"mmddyy"),""),_xlpm.slot,1248+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51" s="4" t="str">
        <f>_xlfn.LET(_xlpm.pos,"NIH plate 14: "&amp;$A8&amp;H$2,_xlpm.normal,IFERROR(INDEX(MASTER!$A:$A,MATCH(_xlpm.pos,MASTER!$I:$I,0))&amp;"_ser_0.20_"&amp;TEXT(INDEX(MASTER!$E:$E,MATCH(_xlpm.pos,MASTER!$I:$I,0)),"mmddyy"),""),_xlpm.slot,1248+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51" s="4" t="str">
        <f>_xlfn.LET(_xlpm.pos,"NIH plate 14: "&amp;$A8&amp;I$2,_xlpm.normal,IFERROR(INDEX(MASTER!$A:$A,MATCH(_xlpm.pos,MASTER!$I:$I,0))&amp;"_ser_0.20_"&amp;TEXT(INDEX(MASTER!$E:$E,MATCH(_xlpm.pos,MASTER!$I:$I,0)),"mmddyy"),""),_xlpm.slot,1248+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51" s="4" t="str">
        <f>_xlfn.LET(_xlpm.pos,"NIH plate 14: "&amp;$A8&amp;J$2,_xlpm.normal,IFERROR(INDEX(MASTER!$A:$A,MATCH(_xlpm.pos,MASTER!$I:$I,0))&amp;"_ser_0.20_"&amp;TEXT(INDEX(MASTER!$E:$E,MATCH(_xlpm.pos,MASTER!$I:$I,0)),"mmddyy"),""),_xlpm.slot,1248+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51" s="4" t="str">
        <f>_xlfn.LET(_xlpm.pos,"NIH plate 14: "&amp;$A8&amp;K$2,_xlpm.normal,IFERROR(INDEX(MASTER!$A:$A,MATCH(_xlpm.pos,MASTER!$I:$I,0))&amp;"_ser_0.20_"&amp;TEXT(INDEX(MASTER!$E:$E,MATCH(_xlpm.pos,MASTER!$I:$I,0)),"mmddyy"),""),_xlpm.slot,1248+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51" s="4" t="str">
        <f>_xlfn.LET(_xlpm.pos,"NIH plate 14: "&amp;$A8&amp;L$2,_xlpm.normal,IFERROR(INDEX(MASTER!$A:$A,MATCH(_xlpm.pos,MASTER!$I:$I,0))&amp;"_ser_0.20_"&amp;TEXT(INDEX(MASTER!$E:$E,MATCH(_xlpm.pos,MASTER!$I:$I,0)),"mmddyy"),""),_xlpm.slot,1248+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51" s="4" t="str">
        <f>_xlfn.LET(_xlpm.pos,"NIH plate 14: "&amp;$A8&amp;M$2,_xlpm.normal,IFERROR(INDEX(MASTER!$A:$A,MATCH(_xlpm.pos,MASTER!$I:$I,0))&amp;"_ser_0.20_"&amp;TEXT(INDEX(MASTER!$E:$E,MATCH(_xlpm.pos,MASTER!$I:$I,0)),"mmddyy"),""),_xlpm.slot,1248+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52" spans="1:13" ht="22" customHeight="1" x14ac:dyDescent="0.35">
      <c r="A152" s="6" t="s">
        <v>35</v>
      </c>
      <c r="B152" s="4" t="str">
        <f>_xlfn.LET(_xlpm.pos,"NIH plate 14: "&amp;$A9&amp;B$2,_xlpm.normal,IFERROR(INDEX(MASTER!$A:$A,MATCH(_xlpm.pos,MASTER!$I:$I,0))&amp;"_ser_0.20_"&amp;TEXT(INDEX(MASTER!$E:$E,MATCH(_xlpm.pos,MASTER!$I:$I,0)),"mmddyy"),""),_xlpm.slot,1248+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52" s="4" t="str">
        <f>_xlfn.LET(_xlpm.pos,"NIH plate 14: "&amp;$A9&amp;C$2,_xlpm.normal,IFERROR(INDEX(MASTER!$A:$A,MATCH(_xlpm.pos,MASTER!$I:$I,0))&amp;"_ser_0.20_"&amp;TEXT(INDEX(MASTER!$E:$E,MATCH(_xlpm.pos,MASTER!$I:$I,0)),"mmddyy"),""),_xlpm.slot,1248+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52" s="4" t="str">
        <f>_xlfn.LET(_xlpm.pos,"NIH plate 14: "&amp;$A9&amp;D$2,_xlpm.normal,IFERROR(INDEX(MASTER!$A:$A,MATCH(_xlpm.pos,MASTER!$I:$I,0))&amp;"_ser_0.20_"&amp;TEXT(INDEX(MASTER!$E:$E,MATCH(_xlpm.pos,MASTER!$I:$I,0)),"mmddyy"),""),_xlpm.slot,1248+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52" s="4" t="str">
        <f>_xlfn.LET(_xlpm.pos,"NIH plate 14: "&amp;$A9&amp;E$2,_xlpm.normal,IFERROR(INDEX(MASTER!$A:$A,MATCH(_xlpm.pos,MASTER!$I:$I,0))&amp;"_ser_0.20_"&amp;TEXT(INDEX(MASTER!$E:$E,MATCH(_xlpm.pos,MASTER!$I:$I,0)),"mmddyy"),""),_xlpm.slot,1248+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52" s="4" t="str">
        <f>_xlfn.LET(_xlpm.pos,"NIH plate 14: "&amp;$A9&amp;F$2,_xlpm.normal,IFERROR(INDEX(MASTER!$A:$A,MATCH(_xlpm.pos,MASTER!$I:$I,0))&amp;"_ser_0.20_"&amp;TEXT(INDEX(MASTER!$E:$E,MATCH(_xlpm.pos,MASTER!$I:$I,0)),"mmddyy"),""),_xlpm.slot,1248+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52" s="4" t="str">
        <f>_xlfn.LET(_xlpm.pos,"NIH plate 14: "&amp;$A9&amp;G$2,_xlpm.normal,IFERROR(INDEX(MASTER!$A:$A,MATCH(_xlpm.pos,MASTER!$I:$I,0))&amp;"_ser_0.20_"&amp;TEXT(INDEX(MASTER!$E:$E,MATCH(_xlpm.pos,MASTER!$I:$I,0)),"mmddyy"),""),_xlpm.slot,1248+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52" s="4" t="str">
        <f>_xlfn.LET(_xlpm.pos,"NIH plate 14: "&amp;$A9&amp;H$2,_xlpm.normal,IFERROR(INDEX(MASTER!$A:$A,MATCH(_xlpm.pos,MASTER!$I:$I,0))&amp;"_ser_0.20_"&amp;TEXT(INDEX(MASTER!$E:$E,MATCH(_xlpm.pos,MASTER!$I:$I,0)),"mmddyy"),""),_xlpm.slot,1248+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52" s="4" t="str">
        <f>_xlfn.LET(_xlpm.pos,"NIH plate 14: "&amp;$A9&amp;I$2,_xlpm.normal,IFERROR(INDEX(MASTER!$A:$A,MATCH(_xlpm.pos,MASTER!$I:$I,0))&amp;"_ser_0.20_"&amp;TEXT(INDEX(MASTER!$E:$E,MATCH(_xlpm.pos,MASTER!$I:$I,0)),"mmddyy"),""),_xlpm.slot,1248+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52" s="4" t="str">
        <f>_xlfn.LET(_xlpm.pos,"NIH plate 14: "&amp;$A9&amp;J$2,_xlpm.normal,IFERROR(INDEX(MASTER!$A:$A,MATCH(_xlpm.pos,MASTER!$I:$I,0))&amp;"_ser_0.20_"&amp;TEXT(INDEX(MASTER!$E:$E,MATCH(_xlpm.pos,MASTER!$I:$I,0)),"mmddyy"),""),_xlpm.slot,1248+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52" s="4" t="str">
        <f>_xlfn.LET(_xlpm.pos,"NIH plate 14: "&amp;$A9&amp;K$2,_xlpm.normal,IFERROR(INDEX(MASTER!$A:$A,MATCH(_xlpm.pos,MASTER!$I:$I,0))&amp;"_ser_0.20_"&amp;TEXT(INDEX(MASTER!$E:$E,MATCH(_xlpm.pos,MASTER!$I:$I,0)),"mmddyy"),""),_xlpm.slot,1248+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52" s="4" t="str">
        <f>_xlfn.LET(_xlpm.pos,"NIH plate 14: "&amp;$A9&amp;L$2,_xlpm.normal,IFERROR(INDEX(MASTER!$A:$A,MATCH(_xlpm.pos,MASTER!$I:$I,0))&amp;"_ser_0.20_"&amp;TEXT(INDEX(MASTER!$E:$E,MATCH(_xlpm.pos,MASTER!$I:$I,0)),"mmddyy"),""),_xlpm.slot,1248+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52" s="4" t="str">
        <f>_xlfn.LET(_xlpm.pos,"NIH plate 14: "&amp;$A9&amp;M$2,_xlpm.normal,IFERROR(INDEX(MASTER!$A:$A,MATCH(_xlpm.pos,MASTER!$I:$I,0))&amp;"_ser_0.20_"&amp;TEXT(INDEX(MASTER!$E:$E,MATCH(_xlpm.pos,MASTER!$I:$I,0)),"mmddyy"),""),_xlpm.slot,1248+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53" spans="1:13" ht="22" customHeight="1" x14ac:dyDescent="0.35">
      <c r="A153" s="6" t="s">
        <v>36</v>
      </c>
      <c r="B153" s="4" t="str">
        <f>_xlfn.LET(_xlpm.pos,"NIH plate 14: "&amp;$A10&amp;B$2,_xlpm.normal,IFERROR(INDEX(MASTER!$A:$A,MATCH(_xlpm.pos,MASTER!$I:$I,0))&amp;"_ser_0.20_"&amp;TEXT(INDEX(MASTER!$E:$E,MATCH(_xlpm.pos,MASTER!$I:$I,0)),"mmddyy"),""),_xlpm.slot,1248+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53" s="4" t="str">
        <f>_xlfn.LET(_xlpm.pos,"NIH plate 14: "&amp;$A10&amp;C$2,_xlpm.normal,IFERROR(INDEX(MASTER!$A:$A,MATCH(_xlpm.pos,MASTER!$I:$I,0))&amp;"_ser_0.20_"&amp;TEXT(INDEX(MASTER!$E:$E,MATCH(_xlpm.pos,MASTER!$I:$I,0)),"mmddyy"),""),_xlpm.slot,1248+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53" s="4" t="str">
        <f>_xlfn.LET(_xlpm.pos,"NIH plate 14: "&amp;$A10&amp;D$2,_xlpm.normal,IFERROR(INDEX(MASTER!$A:$A,MATCH(_xlpm.pos,MASTER!$I:$I,0))&amp;"_ser_0.20_"&amp;TEXT(INDEX(MASTER!$E:$E,MATCH(_xlpm.pos,MASTER!$I:$I,0)),"mmddyy"),""),_xlpm.slot,1248+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53" s="4" t="str">
        <f>_xlfn.LET(_xlpm.pos,"NIH plate 14: "&amp;$A10&amp;E$2,_xlpm.normal,IFERROR(INDEX(MASTER!$A:$A,MATCH(_xlpm.pos,MASTER!$I:$I,0))&amp;"_ser_0.20_"&amp;TEXT(INDEX(MASTER!$E:$E,MATCH(_xlpm.pos,MASTER!$I:$I,0)),"mmddyy"),""),_xlpm.slot,1248+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53" s="4" t="str">
        <f>_xlfn.LET(_xlpm.pos,"NIH plate 14: "&amp;$A10&amp;F$2,_xlpm.normal,IFERROR(INDEX(MASTER!$A:$A,MATCH(_xlpm.pos,MASTER!$I:$I,0))&amp;"_ser_0.20_"&amp;TEXT(INDEX(MASTER!$E:$E,MATCH(_xlpm.pos,MASTER!$I:$I,0)),"mmddyy"),""),_xlpm.slot,1248+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53" s="4" t="str">
        <f>_xlfn.LET(_xlpm.pos,"NIH plate 14: "&amp;$A10&amp;G$2,_xlpm.normal,IFERROR(INDEX(MASTER!$A:$A,MATCH(_xlpm.pos,MASTER!$I:$I,0))&amp;"_ser_0.20_"&amp;TEXT(INDEX(MASTER!$E:$E,MATCH(_xlpm.pos,MASTER!$I:$I,0)),"mmddyy"),""),_xlpm.slot,1248+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53" s="4" t="str">
        <f>_xlfn.LET(_xlpm.pos,"NIH plate 14: "&amp;$A10&amp;H$2,_xlpm.normal,IFERROR(INDEX(MASTER!$A:$A,MATCH(_xlpm.pos,MASTER!$I:$I,0))&amp;"_ser_0.20_"&amp;TEXT(INDEX(MASTER!$E:$E,MATCH(_xlpm.pos,MASTER!$I:$I,0)),"mmddyy"),""),_xlpm.slot,1248+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53" s="4" t="str">
        <f>_xlfn.LET(_xlpm.pos,"NIH plate 14: "&amp;$A10&amp;I$2,_xlpm.normal,IFERROR(INDEX(MASTER!$A:$A,MATCH(_xlpm.pos,MASTER!$I:$I,0))&amp;"_ser_0.20_"&amp;TEXT(INDEX(MASTER!$E:$E,MATCH(_xlpm.pos,MASTER!$I:$I,0)),"mmddyy"),""),_xlpm.slot,1248+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53" s="4" t="str">
        <f>_xlfn.LET(_xlpm.pos,"NIH plate 14: "&amp;$A10&amp;J$2,_xlpm.normal,IFERROR(INDEX(MASTER!$A:$A,MATCH(_xlpm.pos,MASTER!$I:$I,0))&amp;"_ser_0.20_"&amp;TEXT(INDEX(MASTER!$E:$E,MATCH(_xlpm.pos,MASTER!$I:$I,0)),"mmddyy"),""),_xlpm.slot,1248+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53" s="4" t="str">
        <f>_xlfn.LET(_xlpm.pos,"NIH plate 14: "&amp;$A10&amp;K$2,_xlpm.normal,IFERROR(INDEX(MASTER!$A:$A,MATCH(_xlpm.pos,MASTER!$I:$I,0))&amp;"_ser_0.20_"&amp;TEXT(INDEX(MASTER!$E:$E,MATCH(_xlpm.pos,MASTER!$I:$I,0)),"mmddyy"),""),_xlpm.slot,1248+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53" s="4" t="str">
        <f>_xlfn.LET(_xlpm.pos,"NIH plate 14: "&amp;$A10&amp;L$2,_xlpm.normal,IFERROR(INDEX(MASTER!$A:$A,MATCH(_xlpm.pos,MASTER!$I:$I,0))&amp;"_ser_0.20_"&amp;TEXT(INDEX(MASTER!$E:$E,MATCH(_xlpm.pos,MASTER!$I:$I,0)),"mmddyy"),""),_xlpm.slot,1248+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53" s="4" t="str">
        <f>_xlfn.LET(_xlpm.pos,"NIH plate 14: "&amp;$A10&amp;M$2,_xlpm.normal,IFERROR(INDEX(MASTER!$A:$A,MATCH(_xlpm.pos,MASTER!$I:$I,0))&amp;"_ser_0.20_"&amp;TEXT(INDEX(MASTER!$E:$E,MATCH(_xlpm.pos,MASTER!$I:$I,0)),"mmddyy"),""),_xlpm.slot,1248+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54" spans="1:13" ht="22" customHeight="1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 spans="1:13" ht="22" customHeight="1" x14ac:dyDescent="0.35">
      <c r="A155" s="7"/>
      <c r="B155" s="31" t="s">
        <v>71</v>
      </c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3"/>
    </row>
    <row r="156" spans="1:13" ht="22" customHeight="1" x14ac:dyDescent="0.35">
      <c r="A156" s="7"/>
      <c r="B156" s="6">
        <v>1</v>
      </c>
      <c r="C156" s="6">
        <v>2</v>
      </c>
      <c r="D156" s="6">
        <v>3</v>
      </c>
      <c r="E156" s="6">
        <v>4</v>
      </c>
      <c r="F156" s="6">
        <v>5</v>
      </c>
      <c r="G156" s="6">
        <v>6</v>
      </c>
      <c r="H156" s="6">
        <v>7</v>
      </c>
      <c r="I156" s="6">
        <v>8</v>
      </c>
      <c r="J156" s="6">
        <v>9</v>
      </c>
      <c r="K156" s="6">
        <v>10</v>
      </c>
      <c r="L156" s="6">
        <v>11</v>
      </c>
      <c r="M156" s="6">
        <v>12</v>
      </c>
    </row>
    <row r="157" spans="1:13" ht="22" customHeight="1" x14ac:dyDescent="0.35">
      <c r="A157" s="6" t="s">
        <v>30</v>
      </c>
      <c r="B157" s="4" t="str">
        <f>_xlfn.LET(_xlpm.pos,"NIH plate 15: "&amp;$A3&amp;B$2,_xlpm.normal,IFERROR(INDEX(MASTER!$A:$A,MATCH(_xlpm.pos,MASTER!$I:$I,0))&amp;"_ser_0.20_"&amp;TEXT(INDEX(MASTER!$E:$E,MATCH(_xlpm.pos,MASTER!$I:$I,0)),"mmddyy"),""),_xlpm.slot,1344+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57" s="4" t="str">
        <f>_xlfn.LET(_xlpm.pos,"NIH plate 15: "&amp;$A3&amp;C$2,_xlpm.normal,IFERROR(INDEX(MASTER!$A:$A,MATCH(_xlpm.pos,MASTER!$I:$I,0))&amp;"_ser_0.20_"&amp;TEXT(INDEX(MASTER!$E:$E,MATCH(_xlpm.pos,MASTER!$I:$I,0)),"mmddyy"),""),_xlpm.slot,1344+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57" s="4" t="str">
        <f>_xlfn.LET(_xlpm.pos,"NIH plate 15: "&amp;$A3&amp;D$2,_xlpm.normal,IFERROR(INDEX(MASTER!$A:$A,MATCH(_xlpm.pos,MASTER!$I:$I,0))&amp;"_ser_0.20_"&amp;TEXT(INDEX(MASTER!$E:$E,MATCH(_xlpm.pos,MASTER!$I:$I,0)),"mmddyy"),""),_xlpm.slot,1344+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57" s="4" t="str">
        <f>_xlfn.LET(_xlpm.pos,"NIH plate 15: "&amp;$A3&amp;E$2,_xlpm.normal,IFERROR(INDEX(MASTER!$A:$A,MATCH(_xlpm.pos,MASTER!$I:$I,0))&amp;"_ser_0.20_"&amp;TEXT(INDEX(MASTER!$E:$E,MATCH(_xlpm.pos,MASTER!$I:$I,0)),"mmddyy"),""),_xlpm.slot,1344+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57" s="4" t="str">
        <f>_xlfn.LET(_xlpm.pos,"NIH plate 15: "&amp;$A3&amp;F$2,_xlpm.normal,IFERROR(INDEX(MASTER!$A:$A,MATCH(_xlpm.pos,MASTER!$I:$I,0))&amp;"_ser_0.20_"&amp;TEXT(INDEX(MASTER!$E:$E,MATCH(_xlpm.pos,MASTER!$I:$I,0)),"mmddyy"),""),_xlpm.slot,1344+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57" s="4" t="str">
        <f>_xlfn.LET(_xlpm.pos,"NIH plate 15: "&amp;$A3&amp;G$2,_xlpm.normal,IFERROR(INDEX(MASTER!$A:$A,MATCH(_xlpm.pos,MASTER!$I:$I,0))&amp;"_ser_0.20_"&amp;TEXT(INDEX(MASTER!$E:$E,MATCH(_xlpm.pos,MASTER!$I:$I,0)),"mmddyy"),""),_xlpm.slot,1344+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57" s="4" t="str">
        <f>_xlfn.LET(_xlpm.pos,"NIH plate 15: "&amp;$A3&amp;H$2,_xlpm.normal,IFERROR(INDEX(MASTER!$A:$A,MATCH(_xlpm.pos,MASTER!$I:$I,0))&amp;"_ser_0.20_"&amp;TEXT(INDEX(MASTER!$E:$E,MATCH(_xlpm.pos,MASTER!$I:$I,0)),"mmddyy"),""),_xlpm.slot,1344+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57" s="4" t="str">
        <f>_xlfn.LET(_xlpm.pos,"NIH plate 15: "&amp;$A3&amp;I$2,_xlpm.normal,IFERROR(INDEX(MASTER!$A:$A,MATCH(_xlpm.pos,MASTER!$I:$I,0))&amp;"_ser_0.20_"&amp;TEXT(INDEX(MASTER!$E:$E,MATCH(_xlpm.pos,MASTER!$I:$I,0)),"mmddyy"),""),_xlpm.slot,1344+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57" s="4" t="str">
        <f>_xlfn.LET(_xlpm.pos,"NIH plate 15: "&amp;$A3&amp;J$2,_xlpm.normal,IFERROR(INDEX(MASTER!$A:$A,MATCH(_xlpm.pos,MASTER!$I:$I,0))&amp;"_ser_0.20_"&amp;TEXT(INDEX(MASTER!$E:$E,MATCH(_xlpm.pos,MASTER!$I:$I,0)),"mmddyy"),""),_xlpm.slot,1344+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57" s="4" t="str">
        <f>_xlfn.LET(_xlpm.pos,"NIH plate 15: "&amp;$A3&amp;K$2,_xlpm.normal,IFERROR(INDEX(MASTER!$A:$A,MATCH(_xlpm.pos,MASTER!$I:$I,0))&amp;"_ser_0.20_"&amp;TEXT(INDEX(MASTER!$E:$E,MATCH(_xlpm.pos,MASTER!$I:$I,0)),"mmddyy"),""),_xlpm.slot,1344+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57" s="4" t="str">
        <f>_xlfn.LET(_xlpm.pos,"NIH plate 15: "&amp;$A3&amp;L$2,_xlpm.normal,IFERROR(INDEX(MASTER!$A:$A,MATCH(_xlpm.pos,MASTER!$I:$I,0))&amp;"_ser_0.20_"&amp;TEXT(INDEX(MASTER!$E:$E,MATCH(_xlpm.pos,MASTER!$I:$I,0)),"mmddyy"),""),_xlpm.slot,1344+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57" s="4" t="str">
        <f>_xlfn.LET(_xlpm.pos,"NIH plate 15: "&amp;$A3&amp;M$2,_xlpm.normal,IFERROR(INDEX(MASTER!$A:$A,MATCH(_xlpm.pos,MASTER!$I:$I,0))&amp;"_ser_0.20_"&amp;TEXT(INDEX(MASTER!$E:$E,MATCH(_xlpm.pos,MASTER!$I:$I,0)),"mmddyy"),""),_xlpm.slot,1344+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58" spans="1:13" ht="22" customHeight="1" x14ac:dyDescent="0.35">
      <c r="A158" s="6" t="s">
        <v>31</v>
      </c>
      <c r="B158" s="4" t="str">
        <f>_xlfn.LET(_xlpm.pos,"NIH plate 15: "&amp;$A4&amp;B$2,_xlpm.normal,IFERROR(INDEX(MASTER!$A:$A,MATCH(_xlpm.pos,MASTER!$I:$I,0))&amp;"_ser_0.20_"&amp;TEXT(INDEX(MASTER!$E:$E,MATCH(_xlpm.pos,MASTER!$I:$I,0)),"mmddyy"),""),_xlpm.slot,1344+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58" s="4" t="str">
        <f>_xlfn.LET(_xlpm.pos,"NIH plate 15: "&amp;$A4&amp;C$2,_xlpm.normal,IFERROR(INDEX(MASTER!$A:$A,MATCH(_xlpm.pos,MASTER!$I:$I,0))&amp;"_ser_0.20_"&amp;TEXT(INDEX(MASTER!$E:$E,MATCH(_xlpm.pos,MASTER!$I:$I,0)),"mmddyy"),""),_xlpm.slot,1344+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58" s="4" t="str">
        <f>_xlfn.LET(_xlpm.pos,"NIH plate 15: "&amp;$A4&amp;D$2,_xlpm.normal,IFERROR(INDEX(MASTER!$A:$A,MATCH(_xlpm.pos,MASTER!$I:$I,0))&amp;"_ser_0.20_"&amp;TEXT(INDEX(MASTER!$E:$E,MATCH(_xlpm.pos,MASTER!$I:$I,0)),"mmddyy"),""),_xlpm.slot,1344+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58" s="4" t="str">
        <f>_xlfn.LET(_xlpm.pos,"NIH plate 15: "&amp;$A4&amp;E$2,_xlpm.normal,IFERROR(INDEX(MASTER!$A:$A,MATCH(_xlpm.pos,MASTER!$I:$I,0))&amp;"_ser_0.20_"&amp;TEXT(INDEX(MASTER!$E:$E,MATCH(_xlpm.pos,MASTER!$I:$I,0)),"mmddyy"),""),_xlpm.slot,1344+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58" s="4" t="str">
        <f>_xlfn.LET(_xlpm.pos,"NIH plate 15: "&amp;$A4&amp;F$2,_xlpm.normal,IFERROR(INDEX(MASTER!$A:$A,MATCH(_xlpm.pos,MASTER!$I:$I,0))&amp;"_ser_0.20_"&amp;TEXT(INDEX(MASTER!$E:$E,MATCH(_xlpm.pos,MASTER!$I:$I,0)),"mmddyy"),""),_xlpm.slot,1344+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58" s="4" t="str">
        <f>_xlfn.LET(_xlpm.pos,"NIH plate 15: "&amp;$A4&amp;G$2,_xlpm.normal,IFERROR(INDEX(MASTER!$A:$A,MATCH(_xlpm.pos,MASTER!$I:$I,0))&amp;"_ser_0.20_"&amp;TEXT(INDEX(MASTER!$E:$E,MATCH(_xlpm.pos,MASTER!$I:$I,0)),"mmddyy"),""),_xlpm.slot,1344+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58" s="4" t="str">
        <f>_xlfn.LET(_xlpm.pos,"NIH plate 15: "&amp;$A4&amp;H$2,_xlpm.normal,IFERROR(INDEX(MASTER!$A:$A,MATCH(_xlpm.pos,MASTER!$I:$I,0))&amp;"_ser_0.20_"&amp;TEXT(INDEX(MASTER!$E:$E,MATCH(_xlpm.pos,MASTER!$I:$I,0)),"mmddyy"),""),_xlpm.slot,1344+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58" s="4" t="str">
        <f>_xlfn.LET(_xlpm.pos,"NIH plate 15: "&amp;$A4&amp;I$2,_xlpm.normal,IFERROR(INDEX(MASTER!$A:$A,MATCH(_xlpm.pos,MASTER!$I:$I,0))&amp;"_ser_0.20_"&amp;TEXT(INDEX(MASTER!$E:$E,MATCH(_xlpm.pos,MASTER!$I:$I,0)),"mmddyy"),""),_xlpm.slot,1344+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58" s="4" t="str">
        <f>_xlfn.LET(_xlpm.pos,"NIH plate 15: "&amp;$A4&amp;J$2,_xlpm.normal,IFERROR(INDEX(MASTER!$A:$A,MATCH(_xlpm.pos,MASTER!$I:$I,0))&amp;"_ser_0.20_"&amp;TEXT(INDEX(MASTER!$E:$E,MATCH(_xlpm.pos,MASTER!$I:$I,0)),"mmddyy"),""),_xlpm.slot,1344+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58" s="4" t="str">
        <f>_xlfn.LET(_xlpm.pos,"NIH plate 15: "&amp;$A4&amp;K$2,_xlpm.normal,IFERROR(INDEX(MASTER!$A:$A,MATCH(_xlpm.pos,MASTER!$I:$I,0))&amp;"_ser_0.20_"&amp;TEXT(INDEX(MASTER!$E:$E,MATCH(_xlpm.pos,MASTER!$I:$I,0)),"mmddyy"),""),_xlpm.slot,1344+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58" s="4" t="str">
        <f>_xlfn.LET(_xlpm.pos,"NIH plate 15: "&amp;$A4&amp;L$2,_xlpm.normal,IFERROR(INDEX(MASTER!$A:$A,MATCH(_xlpm.pos,MASTER!$I:$I,0))&amp;"_ser_0.20_"&amp;TEXT(INDEX(MASTER!$E:$E,MATCH(_xlpm.pos,MASTER!$I:$I,0)),"mmddyy"),""),_xlpm.slot,1344+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58" s="4" t="str">
        <f>_xlfn.LET(_xlpm.pos,"NIH plate 15: "&amp;$A4&amp;M$2,_xlpm.normal,IFERROR(INDEX(MASTER!$A:$A,MATCH(_xlpm.pos,MASTER!$I:$I,0))&amp;"_ser_0.20_"&amp;TEXT(INDEX(MASTER!$E:$E,MATCH(_xlpm.pos,MASTER!$I:$I,0)),"mmddyy"),""),_xlpm.slot,1344+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59" spans="1:13" ht="22" customHeight="1" x14ac:dyDescent="0.35">
      <c r="A159" s="6" t="s">
        <v>32</v>
      </c>
      <c r="B159" s="4" t="str">
        <f>_xlfn.LET(_xlpm.pos,"NIH plate 15: "&amp;$A5&amp;B$2,_xlpm.normal,IFERROR(INDEX(MASTER!$A:$A,MATCH(_xlpm.pos,MASTER!$I:$I,0))&amp;"_ser_0.20_"&amp;TEXT(INDEX(MASTER!$E:$E,MATCH(_xlpm.pos,MASTER!$I:$I,0)),"mmddyy"),""),_xlpm.slot,1344+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59" s="4" t="str">
        <f>_xlfn.LET(_xlpm.pos,"NIH plate 15: "&amp;$A5&amp;C$2,_xlpm.normal,IFERROR(INDEX(MASTER!$A:$A,MATCH(_xlpm.pos,MASTER!$I:$I,0))&amp;"_ser_0.20_"&amp;TEXT(INDEX(MASTER!$E:$E,MATCH(_xlpm.pos,MASTER!$I:$I,0)),"mmddyy"),""),_xlpm.slot,1344+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59" s="4" t="str">
        <f>_xlfn.LET(_xlpm.pos,"NIH plate 15: "&amp;$A5&amp;D$2,_xlpm.normal,IFERROR(INDEX(MASTER!$A:$A,MATCH(_xlpm.pos,MASTER!$I:$I,0))&amp;"_ser_0.20_"&amp;TEXT(INDEX(MASTER!$E:$E,MATCH(_xlpm.pos,MASTER!$I:$I,0)),"mmddyy"),""),_xlpm.slot,1344+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59" s="4" t="str">
        <f>_xlfn.LET(_xlpm.pos,"NIH plate 15: "&amp;$A5&amp;E$2,_xlpm.normal,IFERROR(INDEX(MASTER!$A:$A,MATCH(_xlpm.pos,MASTER!$I:$I,0))&amp;"_ser_0.20_"&amp;TEXT(INDEX(MASTER!$E:$E,MATCH(_xlpm.pos,MASTER!$I:$I,0)),"mmddyy"),""),_xlpm.slot,1344+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59" s="4" t="str">
        <f>_xlfn.LET(_xlpm.pos,"NIH plate 15: "&amp;$A5&amp;F$2,_xlpm.normal,IFERROR(INDEX(MASTER!$A:$A,MATCH(_xlpm.pos,MASTER!$I:$I,0))&amp;"_ser_0.20_"&amp;TEXT(INDEX(MASTER!$E:$E,MATCH(_xlpm.pos,MASTER!$I:$I,0)),"mmddyy"),""),_xlpm.slot,1344+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59" s="4" t="str">
        <f>_xlfn.LET(_xlpm.pos,"NIH plate 15: "&amp;$A5&amp;G$2,_xlpm.normal,IFERROR(INDEX(MASTER!$A:$A,MATCH(_xlpm.pos,MASTER!$I:$I,0))&amp;"_ser_0.20_"&amp;TEXT(INDEX(MASTER!$E:$E,MATCH(_xlpm.pos,MASTER!$I:$I,0)),"mmddyy"),""),_xlpm.slot,1344+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59" s="4" t="str">
        <f>_xlfn.LET(_xlpm.pos,"NIH plate 15: "&amp;$A5&amp;H$2,_xlpm.normal,IFERROR(INDEX(MASTER!$A:$A,MATCH(_xlpm.pos,MASTER!$I:$I,0))&amp;"_ser_0.20_"&amp;TEXT(INDEX(MASTER!$E:$E,MATCH(_xlpm.pos,MASTER!$I:$I,0)),"mmddyy"),""),_xlpm.slot,1344+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59" s="4" t="str">
        <f>_xlfn.LET(_xlpm.pos,"NIH plate 15: "&amp;$A5&amp;I$2,_xlpm.normal,IFERROR(INDEX(MASTER!$A:$A,MATCH(_xlpm.pos,MASTER!$I:$I,0))&amp;"_ser_0.20_"&amp;TEXT(INDEX(MASTER!$E:$E,MATCH(_xlpm.pos,MASTER!$I:$I,0)),"mmddyy"),""),_xlpm.slot,1344+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59" s="4" t="str">
        <f>_xlfn.LET(_xlpm.pos,"NIH plate 15: "&amp;$A5&amp;J$2,_xlpm.normal,IFERROR(INDEX(MASTER!$A:$A,MATCH(_xlpm.pos,MASTER!$I:$I,0))&amp;"_ser_0.20_"&amp;TEXT(INDEX(MASTER!$E:$E,MATCH(_xlpm.pos,MASTER!$I:$I,0)),"mmddyy"),""),_xlpm.slot,1344+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59" s="4" t="str">
        <f>_xlfn.LET(_xlpm.pos,"NIH plate 15: "&amp;$A5&amp;K$2,_xlpm.normal,IFERROR(INDEX(MASTER!$A:$A,MATCH(_xlpm.pos,MASTER!$I:$I,0))&amp;"_ser_0.20_"&amp;TEXT(INDEX(MASTER!$E:$E,MATCH(_xlpm.pos,MASTER!$I:$I,0)),"mmddyy"),""),_xlpm.slot,1344+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59" s="4" t="str">
        <f>_xlfn.LET(_xlpm.pos,"NIH plate 15: "&amp;$A5&amp;L$2,_xlpm.normal,IFERROR(INDEX(MASTER!$A:$A,MATCH(_xlpm.pos,MASTER!$I:$I,0))&amp;"_ser_0.20_"&amp;TEXT(INDEX(MASTER!$E:$E,MATCH(_xlpm.pos,MASTER!$I:$I,0)),"mmddyy"),""),_xlpm.slot,1344+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59" s="4" t="str">
        <f>_xlfn.LET(_xlpm.pos,"NIH plate 15: "&amp;$A5&amp;M$2,_xlpm.normal,IFERROR(INDEX(MASTER!$A:$A,MATCH(_xlpm.pos,MASTER!$I:$I,0))&amp;"_ser_0.20_"&amp;TEXT(INDEX(MASTER!$E:$E,MATCH(_xlpm.pos,MASTER!$I:$I,0)),"mmddyy"),""),_xlpm.slot,1344+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60" spans="1:13" ht="22" customHeight="1" x14ac:dyDescent="0.35">
      <c r="A160" s="6" t="s">
        <v>33</v>
      </c>
      <c r="B160" s="4" t="str">
        <f>_xlfn.LET(_xlpm.pos,"NIH plate 15: "&amp;$A6&amp;B$2,_xlpm.normal,IFERROR(INDEX(MASTER!$A:$A,MATCH(_xlpm.pos,MASTER!$I:$I,0))&amp;"_ser_0.20_"&amp;TEXT(INDEX(MASTER!$E:$E,MATCH(_xlpm.pos,MASTER!$I:$I,0)),"mmddyy"),""),_xlpm.slot,1344+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60" s="4" t="str">
        <f>_xlfn.LET(_xlpm.pos,"NIH plate 15: "&amp;$A6&amp;C$2,_xlpm.normal,IFERROR(INDEX(MASTER!$A:$A,MATCH(_xlpm.pos,MASTER!$I:$I,0))&amp;"_ser_0.20_"&amp;TEXT(INDEX(MASTER!$E:$E,MATCH(_xlpm.pos,MASTER!$I:$I,0)),"mmddyy"),""),_xlpm.slot,1344+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60" s="4" t="str">
        <f>_xlfn.LET(_xlpm.pos,"NIH plate 15: "&amp;$A6&amp;D$2,_xlpm.normal,IFERROR(INDEX(MASTER!$A:$A,MATCH(_xlpm.pos,MASTER!$I:$I,0))&amp;"_ser_0.20_"&amp;TEXT(INDEX(MASTER!$E:$E,MATCH(_xlpm.pos,MASTER!$I:$I,0)),"mmddyy"),""),_xlpm.slot,1344+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60" s="4" t="str">
        <f>_xlfn.LET(_xlpm.pos,"NIH plate 15: "&amp;$A6&amp;E$2,_xlpm.normal,IFERROR(INDEX(MASTER!$A:$A,MATCH(_xlpm.pos,MASTER!$I:$I,0))&amp;"_ser_0.20_"&amp;TEXT(INDEX(MASTER!$E:$E,MATCH(_xlpm.pos,MASTER!$I:$I,0)),"mmddyy"),""),_xlpm.slot,1344+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60" s="4" t="str">
        <f>_xlfn.LET(_xlpm.pos,"NIH plate 15: "&amp;$A6&amp;F$2,_xlpm.normal,IFERROR(INDEX(MASTER!$A:$A,MATCH(_xlpm.pos,MASTER!$I:$I,0))&amp;"_ser_0.20_"&amp;TEXT(INDEX(MASTER!$E:$E,MATCH(_xlpm.pos,MASTER!$I:$I,0)),"mmddyy"),""),_xlpm.slot,1344+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60" s="4" t="str">
        <f>_xlfn.LET(_xlpm.pos,"NIH plate 15: "&amp;$A6&amp;G$2,_xlpm.normal,IFERROR(INDEX(MASTER!$A:$A,MATCH(_xlpm.pos,MASTER!$I:$I,0))&amp;"_ser_0.20_"&amp;TEXT(INDEX(MASTER!$E:$E,MATCH(_xlpm.pos,MASTER!$I:$I,0)),"mmddyy"),""),_xlpm.slot,1344+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60" s="4" t="str">
        <f>_xlfn.LET(_xlpm.pos,"NIH plate 15: "&amp;$A6&amp;H$2,_xlpm.normal,IFERROR(INDEX(MASTER!$A:$A,MATCH(_xlpm.pos,MASTER!$I:$I,0))&amp;"_ser_0.20_"&amp;TEXT(INDEX(MASTER!$E:$E,MATCH(_xlpm.pos,MASTER!$I:$I,0)),"mmddyy"),""),_xlpm.slot,1344+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60" s="4" t="str">
        <f>_xlfn.LET(_xlpm.pos,"NIH plate 15: "&amp;$A6&amp;I$2,_xlpm.normal,IFERROR(INDEX(MASTER!$A:$A,MATCH(_xlpm.pos,MASTER!$I:$I,0))&amp;"_ser_0.20_"&amp;TEXT(INDEX(MASTER!$E:$E,MATCH(_xlpm.pos,MASTER!$I:$I,0)),"mmddyy"),""),_xlpm.slot,1344+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60" s="4" t="str">
        <f>_xlfn.LET(_xlpm.pos,"NIH plate 15: "&amp;$A6&amp;J$2,_xlpm.normal,IFERROR(INDEX(MASTER!$A:$A,MATCH(_xlpm.pos,MASTER!$I:$I,0))&amp;"_ser_0.20_"&amp;TEXT(INDEX(MASTER!$E:$E,MATCH(_xlpm.pos,MASTER!$I:$I,0)),"mmddyy"),""),_xlpm.slot,1344+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60" s="4" t="str">
        <f>_xlfn.LET(_xlpm.pos,"NIH plate 15: "&amp;$A6&amp;K$2,_xlpm.normal,IFERROR(INDEX(MASTER!$A:$A,MATCH(_xlpm.pos,MASTER!$I:$I,0))&amp;"_ser_0.20_"&amp;TEXT(INDEX(MASTER!$E:$E,MATCH(_xlpm.pos,MASTER!$I:$I,0)),"mmddyy"),""),_xlpm.slot,1344+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60" s="4" t="str">
        <f>_xlfn.LET(_xlpm.pos,"NIH plate 15: "&amp;$A6&amp;L$2,_xlpm.normal,IFERROR(INDEX(MASTER!$A:$A,MATCH(_xlpm.pos,MASTER!$I:$I,0))&amp;"_ser_0.20_"&amp;TEXT(INDEX(MASTER!$E:$E,MATCH(_xlpm.pos,MASTER!$I:$I,0)),"mmddyy"),""),_xlpm.slot,1344+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60" s="4" t="str">
        <f>_xlfn.LET(_xlpm.pos,"NIH plate 15: "&amp;$A6&amp;M$2,_xlpm.normal,IFERROR(INDEX(MASTER!$A:$A,MATCH(_xlpm.pos,MASTER!$I:$I,0))&amp;"_ser_0.20_"&amp;TEXT(INDEX(MASTER!$E:$E,MATCH(_xlpm.pos,MASTER!$I:$I,0)),"mmddyy"),""),_xlpm.slot,1344+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61" spans="1:13" ht="22" customHeight="1" x14ac:dyDescent="0.35">
      <c r="A161" s="6" t="s">
        <v>34</v>
      </c>
      <c r="B161" s="4" t="str">
        <f>_xlfn.LET(_xlpm.pos,"NIH plate 15: "&amp;$A7&amp;B$2,_xlpm.normal,IFERROR(INDEX(MASTER!$A:$A,MATCH(_xlpm.pos,MASTER!$I:$I,0))&amp;"_ser_0.20_"&amp;TEXT(INDEX(MASTER!$E:$E,MATCH(_xlpm.pos,MASTER!$I:$I,0)),"mmddyy"),""),_xlpm.slot,1344+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61" s="4" t="str">
        <f>_xlfn.LET(_xlpm.pos,"NIH plate 15: "&amp;$A7&amp;C$2,_xlpm.normal,IFERROR(INDEX(MASTER!$A:$A,MATCH(_xlpm.pos,MASTER!$I:$I,0))&amp;"_ser_0.20_"&amp;TEXT(INDEX(MASTER!$E:$E,MATCH(_xlpm.pos,MASTER!$I:$I,0)),"mmddyy"),""),_xlpm.slot,1344+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61" s="4" t="str">
        <f>_xlfn.LET(_xlpm.pos,"NIH plate 15: "&amp;$A7&amp;D$2,_xlpm.normal,IFERROR(INDEX(MASTER!$A:$A,MATCH(_xlpm.pos,MASTER!$I:$I,0))&amp;"_ser_0.20_"&amp;TEXT(INDEX(MASTER!$E:$E,MATCH(_xlpm.pos,MASTER!$I:$I,0)),"mmddyy"),""),_xlpm.slot,1344+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61" s="4" t="str">
        <f>_xlfn.LET(_xlpm.pos,"NIH plate 15: "&amp;$A7&amp;E$2,_xlpm.normal,IFERROR(INDEX(MASTER!$A:$A,MATCH(_xlpm.pos,MASTER!$I:$I,0))&amp;"_ser_0.20_"&amp;TEXT(INDEX(MASTER!$E:$E,MATCH(_xlpm.pos,MASTER!$I:$I,0)),"mmddyy"),""),_xlpm.slot,1344+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61" s="4" t="str">
        <f>_xlfn.LET(_xlpm.pos,"NIH plate 15: "&amp;$A7&amp;F$2,_xlpm.normal,IFERROR(INDEX(MASTER!$A:$A,MATCH(_xlpm.pos,MASTER!$I:$I,0))&amp;"_ser_0.20_"&amp;TEXT(INDEX(MASTER!$E:$E,MATCH(_xlpm.pos,MASTER!$I:$I,0)),"mmddyy"),""),_xlpm.slot,1344+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61" s="4" t="str">
        <f>_xlfn.LET(_xlpm.pos,"NIH plate 15: "&amp;$A7&amp;G$2,_xlpm.normal,IFERROR(INDEX(MASTER!$A:$A,MATCH(_xlpm.pos,MASTER!$I:$I,0))&amp;"_ser_0.20_"&amp;TEXT(INDEX(MASTER!$E:$E,MATCH(_xlpm.pos,MASTER!$I:$I,0)),"mmddyy"),""),_xlpm.slot,1344+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61" s="4" t="str">
        <f>_xlfn.LET(_xlpm.pos,"NIH plate 15: "&amp;$A7&amp;H$2,_xlpm.normal,IFERROR(INDEX(MASTER!$A:$A,MATCH(_xlpm.pos,MASTER!$I:$I,0))&amp;"_ser_0.20_"&amp;TEXT(INDEX(MASTER!$E:$E,MATCH(_xlpm.pos,MASTER!$I:$I,0)),"mmddyy"),""),_xlpm.slot,1344+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61" s="4" t="str">
        <f>_xlfn.LET(_xlpm.pos,"NIH plate 15: "&amp;$A7&amp;I$2,_xlpm.normal,IFERROR(INDEX(MASTER!$A:$A,MATCH(_xlpm.pos,MASTER!$I:$I,0))&amp;"_ser_0.20_"&amp;TEXT(INDEX(MASTER!$E:$E,MATCH(_xlpm.pos,MASTER!$I:$I,0)),"mmddyy"),""),_xlpm.slot,1344+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61" s="4" t="str">
        <f>_xlfn.LET(_xlpm.pos,"NIH plate 15: "&amp;$A7&amp;J$2,_xlpm.normal,IFERROR(INDEX(MASTER!$A:$A,MATCH(_xlpm.pos,MASTER!$I:$I,0))&amp;"_ser_0.20_"&amp;TEXT(INDEX(MASTER!$E:$E,MATCH(_xlpm.pos,MASTER!$I:$I,0)),"mmddyy"),""),_xlpm.slot,1344+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61" s="4" t="str">
        <f>_xlfn.LET(_xlpm.pos,"NIH plate 15: "&amp;$A7&amp;K$2,_xlpm.normal,IFERROR(INDEX(MASTER!$A:$A,MATCH(_xlpm.pos,MASTER!$I:$I,0))&amp;"_ser_0.20_"&amp;TEXT(INDEX(MASTER!$E:$E,MATCH(_xlpm.pos,MASTER!$I:$I,0)),"mmddyy"),""),_xlpm.slot,1344+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61" s="4" t="str">
        <f>_xlfn.LET(_xlpm.pos,"NIH plate 15: "&amp;$A7&amp;L$2,_xlpm.normal,IFERROR(INDEX(MASTER!$A:$A,MATCH(_xlpm.pos,MASTER!$I:$I,0))&amp;"_ser_0.20_"&amp;TEXT(INDEX(MASTER!$E:$E,MATCH(_xlpm.pos,MASTER!$I:$I,0)),"mmddyy"),""),_xlpm.slot,1344+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61" s="4" t="str">
        <f>_xlfn.LET(_xlpm.pos,"NIH plate 15: "&amp;$A7&amp;M$2,_xlpm.normal,IFERROR(INDEX(MASTER!$A:$A,MATCH(_xlpm.pos,MASTER!$I:$I,0))&amp;"_ser_0.20_"&amp;TEXT(INDEX(MASTER!$E:$E,MATCH(_xlpm.pos,MASTER!$I:$I,0)),"mmddyy"),""),_xlpm.slot,1344+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62" spans="1:13" ht="22" customHeight="1" x14ac:dyDescent="0.35">
      <c r="A162" s="6" t="s">
        <v>15</v>
      </c>
      <c r="B162" s="4" t="str">
        <f>_xlfn.LET(_xlpm.pos,"NIH plate 15: "&amp;$A8&amp;B$2,_xlpm.normal,IFERROR(INDEX(MASTER!$A:$A,MATCH(_xlpm.pos,MASTER!$I:$I,0))&amp;"_ser_0.20_"&amp;TEXT(INDEX(MASTER!$E:$E,MATCH(_xlpm.pos,MASTER!$I:$I,0)),"mmddyy"),""),_xlpm.slot,1344+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62" s="4" t="str">
        <f>_xlfn.LET(_xlpm.pos,"NIH plate 15: "&amp;$A8&amp;C$2,_xlpm.normal,IFERROR(INDEX(MASTER!$A:$A,MATCH(_xlpm.pos,MASTER!$I:$I,0))&amp;"_ser_0.20_"&amp;TEXT(INDEX(MASTER!$E:$E,MATCH(_xlpm.pos,MASTER!$I:$I,0)),"mmddyy"),""),_xlpm.slot,1344+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62" s="4" t="str">
        <f>_xlfn.LET(_xlpm.pos,"NIH plate 15: "&amp;$A8&amp;D$2,_xlpm.normal,IFERROR(INDEX(MASTER!$A:$A,MATCH(_xlpm.pos,MASTER!$I:$I,0))&amp;"_ser_0.20_"&amp;TEXT(INDEX(MASTER!$E:$E,MATCH(_xlpm.pos,MASTER!$I:$I,0)),"mmddyy"),""),_xlpm.slot,1344+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62" s="4" t="str">
        <f>_xlfn.LET(_xlpm.pos,"NIH plate 15: "&amp;$A8&amp;E$2,_xlpm.normal,IFERROR(INDEX(MASTER!$A:$A,MATCH(_xlpm.pos,MASTER!$I:$I,0))&amp;"_ser_0.20_"&amp;TEXT(INDEX(MASTER!$E:$E,MATCH(_xlpm.pos,MASTER!$I:$I,0)),"mmddyy"),""),_xlpm.slot,1344+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62" s="4" t="str">
        <f>_xlfn.LET(_xlpm.pos,"NIH plate 15: "&amp;$A8&amp;F$2,_xlpm.normal,IFERROR(INDEX(MASTER!$A:$A,MATCH(_xlpm.pos,MASTER!$I:$I,0))&amp;"_ser_0.20_"&amp;TEXT(INDEX(MASTER!$E:$E,MATCH(_xlpm.pos,MASTER!$I:$I,0)),"mmddyy"),""),_xlpm.slot,1344+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62" s="4" t="str">
        <f>_xlfn.LET(_xlpm.pos,"NIH plate 15: "&amp;$A8&amp;G$2,_xlpm.normal,IFERROR(INDEX(MASTER!$A:$A,MATCH(_xlpm.pos,MASTER!$I:$I,0))&amp;"_ser_0.20_"&amp;TEXT(INDEX(MASTER!$E:$E,MATCH(_xlpm.pos,MASTER!$I:$I,0)),"mmddyy"),""),_xlpm.slot,1344+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62" s="4" t="str">
        <f>_xlfn.LET(_xlpm.pos,"NIH plate 15: "&amp;$A8&amp;H$2,_xlpm.normal,IFERROR(INDEX(MASTER!$A:$A,MATCH(_xlpm.pos,MASTER!$I:$I,0))&amp;"_ser_0.20_"&amp;TEXT(INDEX(MASTER!$E:$E,MATCH(_xlpm.pos,MASTER!$I:$I,0)),"mmddyy"),""),_xlpm.slot,1344+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62" s="4" t="str">
        <f>_xlfn.LET(_xlpm.pos,"NIH plate 15: "&amp;$A8&amp;I$2,_xlpm.normal,IFERROR(INDEX(MASTER!$A:$A,MATCH(_xlpm.pos,MASTER!$I:$I,0))&amp;"_ser_0.20_"&amp;TEXT(INDEX(MASTER!$E:$E,MATCH(_xlpm.pos,MASTER!$I:$I,0)),"mmddyy"),""),_xlpm.slot,1344+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62" s="4" t="str">
        <f>_xlfn.LET(_xlpm.pos,"NIH plate 15: "&amp;$A8&amp;J$2,_xlpm.normal,IFERROR(INDEX(MASTER!$A:$A,MATCH(_xlpm.pos,MASTER!$I:$I,0))&amp;"_ser_0.20_"&amp;TEXT(INDEX(MASTER!$E:$E,MATCH(_xlpm.pos,MASTER!$I:$I,0)),"mmddyy"),""),_xlpm.slot,1344+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62" s="4" t="str">
        <f>_xlfn.LET(_xlpm.pos,"NIH plate 15: "&amp;$A8&amp;K$2,_xlpm.normal,IFERROR(INDEX(MASTER!$A:$A,MATCH(_xlpm.pos,MASTER!$I:$I,0))&amp;"_ser_0.20_"&amp;TEXT(INDEX(MASTER!$E:$E,MATCH(_xlpm.pos,MASTER!$I:$I,0)),"mmddyy"),""),_xlpm.slot,1344+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62" s="4" t="str">
        <f>_xlfn.LET(_xlpm.pos,"NIH plate 15: "&amp;$A8&amp;L$2,_xlpm.normal,IFERROR(INDEX(MASTER!$A:$A,MATCH(_xlpm.pos,MASTER!$I:$I,0))&amp;"_ser_0.20_"&amp;TEXT(INDEX(MASTER!$E:$E,MATCH(_xlpm.pos,MASTER!$I:$I,0)),"mmddyy"),""),_xlpm.slot,1344+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62" s="4" t="str">
        <f>_xlfn.LET(_xlpm.pos,"NIH plate 15: "&amp;$A8&amp;M$2,_xlpm.normal,IFERROR(INDEX(MASTER!$A:$A,MATCH(_xlpm.pos,MASTER!$I:$I,0))&amp;"_ser_0.20_"&amp;TEXT(INDEX(MASTER!$E:$E,MATCH(_xlpm.pos,MASTER!$I:$I,0)),"mmddyy"),""),_xlpm.slot,1344+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63" spans="1:13" ht="22" customHeight="1" x14ac:dyDescent="0.35">
      <c r="A163" s="6" t="s">
        <v>35</v>
      </c>
      <c r="B163" s="4" t="str">
        <f>_xlfn.LET(_xlpm.pos,"NIH plate 15: "&amp;$A9&amp;B$2,_xlpm.normal,IFERROR(INDEX(MASTER!$A:$A,MATCH(_xlpm.pos,MASTER!$I:$I,0))&amp;"_ser_0.20_"&amp;TEXT(INDEX(MASTER!$E:$E,MATCH(_xlpm.pos,MASTER!$I:$I,0)),"mmddyy"),""),_xlpm.slot,1344+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63" s="4" t="str">
        <f>_xlfn.LET(_xlpm.pos,"NIH plate 15: "&amp;$A9&amp;C$2,_xlpm.normal,IFERROR(INDEX(MASTER!$A:$A,MATCH(_xlpm.pos,MASTER!$I:$I,0))&amp;"_ser_0.20_"&amp;TEXT(INDEX(MASTER!$E:$E,MATCH(_xlpm.pos,MASTER!$I:$I,0)),"mmddyy"),""),_xlpm.slot,1344+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63" s="4" t="str">
        <f>_xlfn.LET(_xlpm.pos,"NIH plate 15: "&amp;$A9&amp;D$2,_xlpm.normal,IFERROR(INDEX(MASTER!$A:$A,MATCH(_xlpm.pos,MASTER!$I:$I,0))&amp;"_ser_0.20_"&amp;TEXT(INDEX(MASTER!$E:$E,MATCH(_xlpm.pos,MASTER!$I:$I,0)),"mmddyy"),""),_xlpm.slot,1344+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63" s="4" t="str">
        <f>_xlfn.LET(_xlpm.pos,"NIH plate 15: "&amp;$A9&amp;E$2,_xlpm.normal,IFERROR(INDEX(MASTER!$A:$A,MATCH(_xlpm.pos,MASTER!$I:$I,0))&amp;"_ser_0.20_"&amp;TEXT(INDEX(MASTER!$E:$E,MATCH(_xlpm.pos,MASTER!$I:$I,0)),"mmddyy"),""),_xlpm.slot,1344+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63" s="4" t="str">
        <f>_xlfn.LET(_xlpm.pos,"NIH plate 15: "&amp;$A9&amp;F$2,_xlpm.normal,IFERROR(INDEX(MASTER!$A:$A,MATCH(_xlpm.pos,MASTER!$I:$I,0))&amp;"_ser_0.20_"&amp;TEXT(INDEX(MASTER!$E:$E,MATCH(_xlpm.pos,MASTER!$I:$I,0)),"mmddyy"),""),_xlpm.slot,1344+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63" s="4" t="str">
        <f>_xlfn.LET(_xlpm.pos,"NIH plate 15: "&amp;$A9&amp;G$2,_xlpm.normal,IFERROR(INDEX(MASTER!$A:$A,MATCH(_xlpm.pos,MASTER!$I:$I,0))&amp;"_ser_0.20_"&amp;TEXT(INDEX(MASTER!$E:$E,MATCH(_xlpm.pos,MASTER!$I:$I,0)),"mmddyy"),""),_xlpm.slot,1344+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63" s="4" t="str">
        <f>_xlfn.LET(_xlpm.pos,"NIH plate 15: "&amp;$A9&amp;H$2,_xlpm.normal,IFERROR(INDEX(MASTER!$A:$A,MATCH(_xlpm.pos,MASTER!$I:$I,0))&amp;"_ser_0.20_"&amp;TEXT(INDEX(MASTER!$E:$E,MATCH(_xlpm.pos,MASTER!$I:$I,0)),"mmddyy"),""),_xlpm.slot,1344+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63" s="4" t="str">
        <f>_xlfn.LET(_xlpm.pos,"NIH plate 15: "&amp;$A9&amp;I$2,_xlpm.normal,IFERROR(INDEX(MASTER!$A:$A,MATCH(_xlpm.pos,MASTER!$I:$I,0))&amp;"_ser_0.20_"&amp;TEXT(INDEX(MASTER!$E:$E,MATCH(_xlpm.pos,MASTER!$I:$I,0)),"mmddyy"),""),_xlpm.slot,1344+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63" s="4" t="str">
        <f>_xlfn.LET(_xlpm.pos,"NIH plate 15: "&amp;$A9&amp;J$2,_xlpm.normal,IFERROR(INDEX(MASTER!$A:$A,MATCH(_xlpm.pos,MASTER!$I:$I,0))&amp;"_ser_0.20_"&amp;TEXT(INDEX(MASTER!$E:$E,MATCH(_xlpm.pos,MASTER!$I:$I,0)),"mmddyy"),""),_xlpm.slot,1344+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63" s="4" t="str">
        <f>_xlfn.LET(_xlpm.pos,"NIH plate 15: "&amp;$A9&amp;K$2,_xlpm.normal,IFERROR(INDEX(MASTER!$A:$A,MATCH(_xlpm.pos,MASTER!$I:$I,0))&amp;"_ser_0.20_"&amp;TEXT(INDEX(MASTER!$E:$E,MATCH(_xlpm.pos,MASTER!$I:$I,0)),"mmddyy"),""),_xlpm.slot,1344+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63" s="4" t="str">
        <f>_xlfn.LET(_xlpm.pos,"NIH plate 15: "&amp;$A9&amp;L$2,_xlpm.normal,IFERROR(INDEX(MASTER!$A:$A,MATCH(_xlpm.pos,MASTER!$I:$I,0))&amp;"_ser_0.20_"&amp;TEXT(INDEX(MASTER!$E:$E,MATCH(_xlpm.pos,MASTER!$I:$I,0)),"mmddyy"),""),_xlpm.slot,1344+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63" s="4" t="str">
        <f>_xlfn.LET(_xlpm.pos,"NIH plate 15: "&amp;$A9&amp;M$2,_xlpm.normal,IFERROR(INDEX(MASTER!$A:$A,MATCH(_xlpm.pos,MASTER!$I:$I,0))&amp;"_ser_0.20_"&amp;TEXT(INDEX(MASTER!$E:$E,MATCH(_xlpm.pos,MASTER!$I:$I,0)),"mmddyy"),""),_xlpm.slot,1344+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64" spans="1:13" ht="22" customHeight="1" x14ac:dyDescent="0.35">
      <c r="A164" s="6" t="s">
        <v>36</v>
      </c>
      <c r="B164" s="4" t="str">
        <f>_xlfn.LET(_xlpm.pos,"NIH plate 15: "&amp;$A10&amp;B$2,_xlpm.normal,IFERROR(INDEX(MASTER!$A:$A,MATCH(_xlpm.pos,MASTER!$I:$I,0))&amp;"_ser_0.20_"&amp;TEXT(INDEX(MASTER!$E:$E,MATCH(_xlpm.pos,MASTER!$I:$I,0)),"mmddyy"),""),_xlpm.slot,1344+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64" s="4" t="str">
        <f>_xlfn.LET(_xlpm.pos,"NIH plate 15: "&amp;$A10&amp;C$2,_xlpm.normal,IFERROR(INDEX(MASTER!$A:$A,MATCH(_xlpm.pos,MASTER!$I:$I,0))&amp;"_ser_0.20_"&amp;TEXT(INDEX(MASTER!$E:$E,MATCH(_xlpm.pos,MASTER!$I:$I,0)),"mmddyy"),""),_xlpm.slot,1344+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64" s="4" t="str">
        <f>_xlfn.LET(_xlpm.pos,"NIH plate 15: "&amp;$A10&amp;D$2,_xlpm.normal,IFERROR(INDEX(MASTER!$A:$A,MATCH(_xlpm.pos,MASTER!$I:$I,0))&amp;"_ser_0.20_"&amp;TEXT(INDEX(MASTER!$E:$E,MATCH(_xlpm.pos,MASTER!$I:$I,0)),"mmddyy"),""),_xlpm.slot,1344+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64" s="4" t="str">
        <f>_xlfn.LET(_xlpm.pos,"NIH plate 15: "&amp;$A10&amp;E$2,_xlpm.normal,IFERROR(INDEX(MASTER!$A:$A,MATCH(_xlpm.pos,MASTER!$I:$I,0))&amp;"_ser_0.20_"&amp;TEXT(INDEX(MASTER!$E:$E,MATCH(_xlpm.pos,MASTER!$I:$I,0)),"mmddyy"),""),_xlpm.slot,1344+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64" s="4" t="str">
        <f>_xlfn.LET(_xlpm.pos,"NIH plate 15: "&amp;$A10&amp;F$2,_xlpm.normal,IFERROR(INDEX(MASTER!$A:$A,MATCH(_xlpm.pos,MASTER!$I:$I,0))&amp;"_ser_0.20_"&amp;TEXT(INDEX(MASTER!$E:$E,MATCH(_xlpm.pos,MASTER!$I:$I,0)),"mmddyy"),""),_xlpm.slot,1344+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64" s="4" t="str">
        <f>_xlfn.LET(_xlpm.pos,"NIH plate 15: "&amp;$A10&amp;G$2,_xlpm.normal,IFERROR(INDEX(MASTER!$A:$A,MATCH(_xlpm.pos,MASTER!$I:$I,0))&amp;"_ser_0.20_"&amp;TEXT(INDEX(MASTER!$E:$E,MATCH(_xlpm.pos,MASTER!$I:$I,0)),"mmddyy"),""),_xlpm.slot,1344+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64" s="4" t="str">
        <f>_xlfn.LET(_xlpm.pos,"NIH plate 15: "&amp;$A10&amp;H$2,_xlpm.normal,IFERROR(INDEX(MASTER!$A:$A,MATCH(_xlpm.pos,MASTER!$I:$I,0))&amp;"_ser_0.20_"&amp;TEXT(INDEX(MASTER!$E:$E,MATCH(_xlpm.pos,MASTER!$I:$I,0)),"mmddyy"),""),_xlpm.slot,1344+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64" s="4" t="str">
        <f>_xlfn.LET(_xlpm.pos,"NIH plate 15: "&amp;$A10&amp;I$2,_xlpm.normal,IFERROR(INDEX(MASTER!$A:$A,MATCH(_xlpm.pos,MASTER!$I:$I,0))&amp;"_ser_0.20_"&amp;TEXT(INDEX(MASTER!$E:$E,MATCH(_xlpm.pos,MASTER!$I:$I,0)),"mmddyy"),""),_xlpm.slot,1344+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64" s="4" t="str">
        <f>_xlfn.LET(_xlpm.pos,"NIH plate 15: "&amp;$A10&amp;J$2,_xlpm.normal,IFERROR(INDEX(MASTER!$A:$A,MATCH(_xlpm.pos,MASTER!$I:$I,0))&amp;"_ser_0.20_"&amp;TEXT(INDEX(MASTER!$E:$E,MATCH(_xlpm.pos,MASTER!$I:$I,0)),"mmddyy"),""),_xlpm.slot,1344+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64" s="4" t="str">
        <f>_xlfn.LET(_xlpm.pos,"NIH plate 15: "&amp;$A10&amp;K$2,_xlpm.normal,IFERROR(INDEX(MASTER!$A:$A,MATCH(_xlpm.pos,MASTER!$I:$I,0))&amp;"_ser_0.20_"&amp;TEXT(INDEX(MASTER!$E:$E,MATCH(_xlpm.pos,MASTER!$I:$I,0)),"mmddyy"),""),_xlpm.slot,1344+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64" s="4" t="str">
        <f>_xlfn.LET(_xlpm.pos,"NIH plate 15: "&amp;$A10&amp;L$2,_xlpm.normal,IFERROR(INDEX(MASTER!$A:$A,MATCH(_xlpm.pos,MASTER!$I:$I,0))&amp;"_ser_0.20_"&amp;TEXT(INDEX(MASTER!$E:$E,MATCH(_xlpm.pos,MASTER!$I:$I,0)),"mmddyy"),""),_xlpm.slot,1344+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64" s="4" t="str">
        <f>_xlfn.LET(_xlpm.pos,"NIH plate 15: "&amp;$A10&amp;M$2,_xlpm.normal,IFERROR(INDEX(MASTER!$A:$A,MATCH(_xlpm.pos,MASTER!$I:$I,0))&amp;"_ser_0.20_"&amp;TEXT(INDEX(MASTER!$E:$E,MATCH(_xlpm.pos,MASTER!$I:$I,0)),"mmddyy"),""),_xlpm.slot,1344+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65" spans="1:13" ht="22" customHeight="1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</row>
    <row r="166" spans="1:13" ht="22" customHeight="1" x14ac:dyDescent="0.35">
      <c r="A166" s="7"/>
      <c r="B166" s="31" t="s">
        <v>72</v>
      </c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3"/>
    </row>
    <row r="167" spans="1:13" ht="22" customHeight="1" x14ac:dyDescent="0.35">
      <c r="A167" s="7"/>
      <c r="B167" s="6">
        <v>1</v>
      </c>
      <c r="C167" s="6">
        <v>2</v>
      </c>
      <c r="D167" s="6">
        <v>3</v>
      </c>
      <c r="E167" s="6">
        <v>4</v>
      </c>
      <c r="F167" s="6">
        <v>5</v>
      </c>
      <c r="G167" s="6">
        <v>6</v>
      </c>
      <c r="H167" s="6">
        <v>7</v>
      </c>
      <c r="I167" s="6">
        <v>8</v>
      </c>
      <c r="J167" s="6">
        <v>9</v>
      </c>
      <c r="K167" s="6">
        <v>10</v>
      </c>
      <c r="L167" s="6">
        <v>11</v>
      </c>
      <c r="M167" s="6">
        <v>12</v>
      </c>
    </row>
    <row r="168" spans="1:13" ht="22" customHeight="1" x14ac:dyDescent="0.35">
      <c r="A168" s="6" t="s">
        <v>30</v>
      </c>
      <c r="B168" s="4" t="str">
        <f>_xlfn.LET(_xlpm.pos,"NIH plate 16: "&amp;$A3&amp;B$2,_xlpm.normal,IFERROR(INDEX(MASTER!$A:$A,MATCH(_xlpm.pos,MASTER!$I:$I,0))&amp;"_ser_0.20_"&amp;TEXT(INDEX(MASTER!$E:$E,MATCH(_xlpm.pos,MASTER!$I:$I,0)),"mmddyy"),""),_xlpm.slot,1440+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68" s="4" t="str">
        <f>_xlfn.LET(_xlpm.pos,"NIH plate 16: "&amp;$A3&amp;C$2,_xlpm.normal,IFERROR(INDEX(MASTER!$A:$A,MATCH(_xlpm.pos,MASTER!$I:$I,0))&amp;"_ser_0.20_"&amp;TEXT(INDEX(MASTER!$E:$E,MATCH(_xlpm.pos,MASTER!$I:$I,0)),"mmddyy"),""),_xlpm.slot,1440+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68" s="4" t="str">
        <f>_xlfn.LET(_xlpm.pos,"NIH plate 16: "&amp;$A3&amp;D$2,_xlpm.normal,IFERROR(INDEX(MASTER!$A:$A,MATCH(_xlpm.pos,MASTER!$I:$I,0))&amp;"_ser_0.20_"&amp;TEXT(INDEX(MASTER!$E:$E,MATCH(_xlpm.pos,MASTER!$I:$I,0)),"mmddyy"),""),_xlpm.slot,1440+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68" s="4" t="str">
        <f>_xlfn.LET(_xlpm.pos,"NIH plate 16: "&amp;$A3&amp;E$2,_xlpm.normal,IFERROR(INDEX(MASTER!$A:$A,MATCH(_xlpm.pos,MASTER!$I:$I,0))&amp;"_ser_0.20_"&amp;TEXT(INDEX(MASTER!$E:$E,MATCH(_xlpm.pos,MASTER!$I:$I,0)),"mmddyy"),""),_xlpm.slot,1440+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68" s="4" t="str">
        <f>_xlfn.LET(_xlpm.pos,"NIH plate 16: "&amp;$A3&amp;F$2,_xlpm.normal,IFERROR(INDEX(MASTER!$A:$A,MATCH(_xlpm.pos,MASTER!$I:$I,0))&amp;"_ser_0.20_"&amp;TEXT(INDEX(MASTER!$E:$E,MATCH(_xlpm.pos,MASTER!$I:$I,0)),"mmddyy"),""),_xlpm.slot,1440+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68" s="4" t="str">
        <f>_xlfn.LET(_xlpm.pos,"NIH plate 16: "&amp;$A3&amp;G$2,_xlpm.normal,IFERROR(INDEX(MASTER!$A:$A,MATCH(_xlpm.pos,MASTER!$I:$I,0))&amp;"_ser_0.20_"&amp;TEXT(INDEX(MASTER!$E:$E,MATCH(_xlpm.pos,MASTER!$I:$I,0)),"mmddyy"),""),_xlpm.slot,1440+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68" s="4" t="str">
        <f>_xlfn.LET(_xlpm.pos,"NIH plate 16: "&amp;$A3&amp;H$2,_xlpm.normal,IFERROR(INDEX(MASTER!$A:$A,MATCH(_xlpm.pos,MASTER!$I:$I,0))&amp;"_ser_0.20_"&amp;TEXT(INDEX(MASTER!$E:$E,MATCH(_xlpm.pos,MASTER!$I:$I,0)),"mmddyy"),""),_xlpm.slot,1440+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68" s="4" t="str">
        <f>_xlfn.LET(_xlpm.pos,"NIH plate 16: "&amp;$A3&amp;I$2,_xlpm.normal,IFERROR(INDEX(MASTER!$A:$A,MATCH(_xlpm.pos,MASTER!$I:$I,0))&amp;"_ser_0.20_"&amp;TEXT(INDEX(MASTER!$E:$E,MATCH(_xlpm.pos,MASTER!$I:$I,0)),"mmddyy"),""),_xlpm.slot,1440+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68" s="4" t="str">
        <f>_xlfn.LET(_xlpm.pos,"NIH plate 16: "&amp;$A3&amp;J$2,_xlpm.normal,IFERROR(INDEX(MASTER!$A:$A,MATCH(_xlpm.pos,MASTER!$I:$I,0))&amp;"_ser_0.20_"&amp;TEXT(INDEX(MASTER!$E:$E,MATCH(_xlpm.pos,MASTER!$I:$I,0)),"mmddyy"),""),_xlpm.slot,1440+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68" s="4" t="str">
        <f>_xlfn.LET(_xlpm.pos,"NIH plate 16: "&amp;$A3&amp;K$2,_xlpm.normal,IFERROR(INDEX(MASTER!$A:$A,MATCH(_xlpm.pos,MASTER!$I:$I,0))&amp;"_ser_0.20_"&amp;TEXT(INDEX(MASTER!$E:$E,MATCH(_xlpm.pos,MASTER!$I:$I,0)),"mmddyy"),""),_xlpm.slot,1440+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68" s="4" t="str">
        <f>_xlfn.LET(_xlpm.pos,"NIH plate 16: "&amp;$A3&amp;L$2,_xlpm.normal,IFERROR(INDEX(MASTER!$A:$A,MATCH(_xlpm.pos,MASTER!$I:$I,0))&amp;"_ser_0.20_"&amp;TEXT(INDEX(MASTER!$E:$E,MATCH(_xlpm.pos,MASTER!$I:$I,0)),"mmddyy"),""),_xlpm.slot,1440+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68" s="4" t="str">
        <f>_xlfn.LET(_xlpm.pos,"NIH plate 16: "&amp;$A3&amp;M$2,_xlpm.normal,IFERROR(INDEX(MASTER!$A:$A,MATCH(_xlpm.pos,MASTER!$I:$I,0))&amp;"_ser_0.20_"&amp;TEXT(INDEX(MASTER!$E:$E,MATCH(_xlpm.pos,MASTER!$I:$I,0)),"mmddyy"),""),_xlpm.slot,1440+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69" spans="1:13" ht="22" customHeight="1" x14ac:dyDescent="0.35">
      <c r="A169" s="6" t="s">
        <v>31</v>
      </c>
      <c r="B169" s="4" t="str">
        <f>_xlfn.LET(_xlpm.pos,"NIH plate 16: "&amp;$A4&amp;B$2,_xlpm.normal,IFERROR(INDEX(MASTER!$A:$A,MATCH(_xlpm.pos,MASTER!$I:$I,0))&amp;"_ser_0.20_"&amp;TEXT(INDEX(MASTER!$E:$E,MATCH(_xlpm.pos,MASTER!$I:$I,0)),"mmddyy"),""),_xlpm.slot,1440+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69" s="4" t="str">
        <f>_xlfn.LET(_xlpm.pos,"NIH plate 16: "&amp;$A4&amp;C$2,_xlpm.normal,IFERROR(INDEX(MASTER!$A:$A,MATCH(_xlpm.pos,MASTER!$I:$I,0))&amp;"_ser_0.20_"&amp;TEXT(INDEX(MASTER!$E:$E,MATCH(_xlpm.pos,MASTER!$I:$I,0)),"mmddyy"),""),_xlpm.slot,1440+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69" s="4" t="str">
        <f>_xlfn.LET(_xlpm.pos,"NIH plate 16: "&amp;$A4&amp;D$2,_xlpm.normal,IFERROR(INDEX(MASTER!$A:$A,MATCH(_xlpm.pos,MASTER!$I:$I,0))&amp;"_ser_0.20_"&amp;TEXT(INDEX(MASTER!$E:$E,MATCH(_xlpm.pos,MASTER!$I:$I,0)),"mmddyy"),""),_xlpm.slot,1440+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69" s="4" t="str">
        <f>_xlfn.LET(_xlpm.pos,"NIH plate 16: "&amp;$A4&amp;E$2,_xlpm.normal,IFERROR(INDEX(MASTER!$A:$A,MATCH(_xlpm.pos,MASTER!$I:$I,0))&amp;"_ser_0.20_"&amp;TEXT(INDEX(MASTER!$E:$E,MATCH(_xlpm.pos,MASTER!$I:$I,0)),"mmddyy"),""),_xlpm.slot,1440+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69" s="4" t="str">
        <f>_xlfn.LET(_xlpm.pos,"NIH plate 16: "&amp;$A4&amp;F$2,_xlpm.normal,IFERROR(INDEX(MASTER!$A:$A,MATCH(_xlpm.pos,MASTER!$I:$I,0))&amp;"_ser_0.20_"&amp;TEXT(INDEX(MASTER!$E:$E,MATCH(_xlpm.pos,MASTER!$I:$I,0)),"mmddyy"),""),_xlpm.slot,1440+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69" s="4" t="str">
        <f>_xlfn.LET(_xlpm.pos,"NIH plate 16: "&amp;$A4&amp;G$2,_xlpm.normal,IFERROR(INDEX(MASTER!$A:$A,MATCH(_xlpm.pos,MASTER!$I:$I,0))&amp;"_ser_0.20_"&amp;TEXT(INDEX(MASTER!$E:$E,MATCH(_xlpm.pos,MASTER!$I:$I,0)),"mmddyy"),""),_xlpm.slot,1440+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69" s="4" t="str">
        <f>_xlfn.LET(_xlpm.pos,"NIH plate 16: "&amp;$A4&amp;H$2,_xlpm.normal,IFERROR(INDEX(MASTER!$A:$A,MATCH(_xlpm.pos,MASTER!$I:$I,0))&amp;"_ser_0.20_"&amp;TEXT(INDEX(MASTER!$E:$E,MATCH(_xlpm.pos,MASTER!$I:$I,0)),"mmddyy"),""),_xlpm.slot,1440+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69" s="4" t="str">
        <f>_xlfn.LET(_xlpm.pos,"NIH plate 16: "&amp;$A4&amp;I$2,_xlpm.normal,IFERROR(INDEX(MASTER!$A:$A,MATCH(_xlpm.pos,MASTER!$I:$I,0))&amp;"_ser_0.20_"&amp;TEXT(INDEX(MASTER!$E:$E,MATCH(_xlpm.pos,MASTER!$I:$I,0)),"mmddyy"),""),_xlpm.slot,1440+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69" s="4" t="str">
        <f>_xlfn.LET(_xlpm.pos,"NIH plate 16: "&amp;$A4&amp;J$2,_xlpm.normal,IFERROR(INDEX(MASTER!$A:$A,MATCH(_xlpm.pos,MASTER!$I:$I,0))&amp;"_ser_0.20_"&amp;TEXT(INDEX(MASTER!$E:$E,MATCH(_xlpm.pos,MASTER!$I:$I,0)),"mmddyy"),""),_xlpm.slot,1440+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69" s="4" t="str">
        <f>_xlfn.LET(_xlpm.pos,"NIH plate 16: "&amp;$A4&amp;K$2,_xlpm.normal,IFERROR(INDEX(MASTER!$A:$A,MATCH(_xlpm.pos,MASTER!$I:$I,0))&amp;"_ser_0.20_"&amp;TEXT(INDEX(MASTER!$E:$E,MATCH(_xlpm.pos,MASTER!$I:$I,0)),"mmddyy"),""),_xlpm.slot,1440+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69" s="4" t="str">
        <f>_xlfn.LET(_xlpm.pos,"NIH plate 16: "&amp;$A4&amp;L$2,_xlpm.normal,IFERROR(INDEX(MASTER!$A:$A,MATCH(_xlpm.pos,MASTER!$I:$I,0))&amp;"_ser_0.20_"&amp;TEXT(INDEX(MASTER!$E:$E,MATCH(_xlpm.pos,MASTER!$I:$I,0)),"mmddyy"),""),_xlpm.slot,1440+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69" s="4" t="str">
        <f>_xlfn.LET(_xlpm.pos,"NIH plate 16: "&amp;$A4&amp;M$2,_xlpm.normal,IFERROR(INDEX(MASTER!$A:$A,MATCH(_xlpm.pos,MASTER!$I:$I,0))&amp;"_ser_0.20_"&amp;TEXT(INDEX(MASTER!$E:$E,MATCH(_xlpm.pos,MASTER!$I:$I,0)),"mmddyy"),""),_xlpm.slot,1440+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70" spans="1:13" ht="22" customHeight="1" x14ac:dyDescent="0.35">
      <c r="A170" s="6" t="s">
        <v>32</v>
      </c>
      <c r="B170" s="4" t="str">
        <f>_xlfn.LET(_xlpm.pos,"NIH plate 16: "&amp;$A5&amp;B$2,_xlpm.normal,IFERROR(INDEX(MASTER!$A:$A,MATCH(_xlpm.pos,MASTER!$I:$I,0))&amp;"_ser_0.20_"&amp;TEXT(INDEX(MASTER!$E:$E,MATCH(_xlpm.pos,MASTER!$I:$I,0)),"mmddyy"),""),_xlpm.slot,1440+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70" s="4" t="str">
        <f>_xlfn.LET(_xlpm.pos,"NIH plate 16: "&amp;$A5&amp;C$2,_xlpm.normal,IFERROR(INDEX(MASTER!$A:$A,MATCH(_xlpm.pos,MASTER!$I:$I,0))&amp;"_ser_0.20_"&amp;TEXT(INDEX(MASTER!$E:$E,MATCH(_xlpm.pos,MASTER!$I:$I,0)),"mmddyy"),""),_xlpm.slot,1440+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70" s="4" t="str">
        <f>_xlfn.LET(_xlpm.pos,"NIH plate 16: "&amp;$A5&amp;D$2,_xlpm.normal,IFERROR(INDEX(MASTER!$A:$A,MATCH(_xlpm.pos,MASTER!$I:$I,0))&amp;"_ser_0.20_"&amp;TEXT(INDEX(MASTER!$E:$E,MATCH(_xlpm.pos,MASTER!$I:$I,0)),"mmddyy"),""),_xlpm.slot,1440+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70" s="4" t="str">
        <f>_xlfn.LET(_xlpm.pos,"NIH plate 16: "&amp;$A5&amp;E$2,_xlpm.normal,IFERROR(INDEX(MASTER!$A:$A,MATCH(_xlpm.pos,MASTER!$I:$I,0))&amp;"_ser_0.20_"&amp;TEXT(INDEX(MASTER!$E:$E,MATCH(_xlpm.pos,MASTER!$I:$I,0)),"mmddyy"),""),_xlpm.slot,1440+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70" s="4" t="str">
        <f>_xlfn.LET(_xlpm.pos,"NIH plate 16: "&amp;$A5&amp;F$2,_xlpm.normal,IFERROR(INDEX(MASTER!$A:$A,MATCH(_xlpm.pos,MASTER!$I:$I,0))&amp;"_ser_0.20_"&amp;TEXT(INDEX(MASTER!$E:$E,MATCH(_xlpm.pos,MASTER!$I:$I,0)),"mmddyy"),""),_xlpm.slot,1440+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70" s="4" t="str">
        <f>_xlfn.LET(_xlpm.pos,"NIH plate 16: "&amp;$A5&amp;G$2,_xlpm.normal,IFERROR(INDEX(MASTER!$A:$A,MATCH(_xlpm.pos,MASTER!$I:$I,0))&amp;"_ser_0.20_"&amp;TEXT(INDEX(MASTER!$E:$E,MATCH(_xlpm.pos,MASTER!$I:$I,0)),"mmddyy"),""),_xlpm.slot,1440+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70" s="4" t="str">
        <f>_xlfn.LET(_xlpm.pos,"NIH plate 16: "&amp;$A5&amp;H$2,_xlpm.normal,IFERROR(INDEX(MASTER!$A:$A,MATCH(_xlpm.pos,MASTER!$I:$I,0))&amp;"_ser_0.20_"&amp;TEXT(INDEX(MASTER!$E:$E,MATCH(_xlpm.pos,MASTER!$I:$I,0)),"mmddyy"),""),_xlpm.slot,1440+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70" s="4" t="str">
        <f>_xlfn.LET(_xlpm.pos,"NIH plate 16: "&amp;$A5&amp;I$2,_xlpm.normal,IFERROR(INDEX(MASTER!$A:$A,MATCH(_xlpm.pos,MASTER!$I:$I,0))&amp;"_ser_0.20_"&amp;TEXT(INDEX(MASTER!$E:$E,MATCH(_xlpm.pos,MASTER!$I:$I,0)),"mmddyy"),""),_xlpm.slot,1440+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70" s="4" t="str">
        <f>_xlfn.LET(_xlpm.pos,"NIH plate 16: "&amp;$A5&amp;J$2,_xlpm.normal,IFERROR(INDEX(MASTER!$A:$A,MATCH(_xlpm.pos,MASTER!$I:$I,0))&amp;"_ser_0.20_"&amp;TEXT(INDEX(MASTER!$E:$E,MATCH(_xlpm.pos,MASTER!$I:$I,0)),"mmddyy"),""),_xlpm.slot,1440+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70" s="4" t="str">
        <f>_xlfn.LET(_xlpm.pos,"NIH plate 16: "&amp;$A5&amp;K$2,_xlpm.normal,IFERROR(INDEX(MASTER!$A:$A,MATCH(_xlpm.pos,MASTER!$I:$I,0))&amp;"_ser_0.20_"&amp;TEXT(INDEX(MASTER!$E:$E,MATCH(_xlpm.pos,MASTER!$I:$I,0)),"mmddyy"),""),_xlpm.slot,1440+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70" s="4" t="str">
        <f>_xlfn.LET(_xlpm.pos,"NIH plate 16: "&amp;$A5&amp;L$2,_xlpm.normal,IFERROR(INDEX(MASTER!$A:$A,MATCH(_xlpm.pos,MASTER!$I:$I,0))&amp;"_ser_0.20_"&amp;TEXT(INDEX(MASTER!$E:$E,MATCH(_xlpm.pos,MASTER!$I:$I,0)),"mmddyy"),""),_xlpm.slot,1440+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70" s="4" t="str">
        <f>_xlfn.LET(_xlpm.pos,"NIH plate 16: "&amp;$A5&amp;M$2,_xlpm.normal,IFERROR(INDEX(MASTER!$A:$A,MATCH(_xlpm.pos,MASTER!$I:$I,0))&amp;"_ser_0.20_"&amp;TEXT(INDEX(MASTER!$E:$E,MATCH(_xlpm.pos,MASTER!$I:$I,0)),"mmddyy"),""),_xlpm.slot,1440+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71" spans="1:13" ht="22" customHeight="1" x14ac:dyDescent="0.35">
      <c r="A171" s="6" t="s">
        <v>33</v>
      </c>
      <c r="B171" s="4" t="str">
        <f>_xlfn.LET(_xlpm.pos,"NIH plate 16: "&amp;$A6&amp;B$2,_xlpm.normal,IFERROR(INDEX(MASTER!$A:$A,MATCH(_xlpm.pos,MASTER!$I:$I,0))&amp;"_ser_0.20_"&amp;TEXT(INDEX(MASTER!$E:$E,MATCH(_xlpm.pos,MASTER!$I:$I,0)),"mmddyy"),""),_xlpm.slot,1440+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71" s="4" t="str">
        <f>_xlfn.LET(_xlpm.pos,"NIH plate 16: "&amp;$A6&amp;C$2,_xlpm.normal,IFERROR(INDEX(MASTER!$A:$A,MATCH(_xlpm.pos,MASTER!$I:$I,0))&amp;"_ser_0.20_"&amp;TEXT(INDEX(MASTER!$E:$E,MATCH(_xlpm.pos,MASTER!$I:$I,0)),"mmddyy"),""),_xlpm.slot,1440+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71" s="4" t="str">
        <f>_xlfn.LET(_xlpm.pos,"NIH plate 16: "&amp;$A6&amp;D$2,_xlpm.normal,IFERROR(INDEX(MASTER!$A:$A,MATCH(_xlpm.pos,MASTER!$I:$I,0))&amp;"_ser_0.20_"&amp;TEXT(INDEX(MASTER!$E:$E,MATCH(_xlpm.pos,MASTER!$I:$I,0)),"mmddyy"),""),_xlpm.slot,1440+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71" s="4" t="str">
        <f>_xlfn.LET(_xlpm.pos,"NIH plate 16: "&amp;$A6&amp;E$2,_xlpm.normal,IFERROR(INDEX(MASTER!$A:$A,MATCH(_xlpm.pos,MASTER!$I:$I,0))&amp;"_ser_0.20_"&amp;TEXT(INDEX(MASTER!$E:$E,MATCH(_xlpm.pos,MASTER!$I:$I,0)),"mmddyy"),""),_xlpm.slot,1440+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71" s="4" t="str">
        <f>_xlfn.LET(_xlpm.pos,"NIH plate 16: "&amp;$A6&amp;F$2,_xlpm.normal,IFERROR(INDEX(MASTER!$A:$A,MATCH(_xlpm.pos,MASTER!$I:$I,0))&amp;"_ser_0.20_"&amp;TEXT(INDEX(MASTER!$E:$E,MATCH(_xlpm.pos,MASTER!$I:$I,0)),"mmddyy"),""),_xlpm.slot,1440+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71" s="4" t="str">
        <f>_xlfn.LET(_xlpm.pos,"NIH plate 16: "&amp;$A6&amp;G$2,_xlpm.normal,IFERROR(INDEX(MASTER!$A:$A,MATCH(_xlpm.pos,MASTER!$I:$I,0))&amp;"_ser_0.20_"&amp;TEXT(INDEX(MASTER!$E:$E,MATCH(_xlpm.pos,MASTER!$I:$I,0)),"mmddyy"),""),_xlpm.slot,1440+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71" s="4" t="str">
        <f>_xlfn.LET(_xlpm.pos,"NIH plate 16: "&amp;$A6&amp;H$2,_xlpm.normal,IFERROR(INDEX(MASTER!$A:$A,MATCH(_xlpm.pos,MASTER!$I:$I,0))&amp;"_ser_0.20_"&amp;TEXT(INDEX(MASTER!$E:$E,MATCH(_xlpm.pos,MASTER!$I:$I,0)),"mmddyy"),""),_xlpm.slot,1440+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71" s="4" t="str">
        <f>_xlfn.LET(_xlpm.pos,"NIH plate 16: "&amp;$A6&amp;I$2,_xlpm.normal,IFERROR(INDEX(MASTER!$A:$A,MATCH(_xlpm.pos,MASTER!$I:$I,0))&amp;"_ser_0.20_"&amp;TEXT(INDEX(MASTER!$E:$E,MATCH(_xlpm.pos,MASTER!$I:$I,0)),"mmddyy"),""),_xlpm.slot,1440+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71" s="4" t="str">
        <f>_xlfn.LET(_xlpm.pos,"NIH plate 16: "&amp;$A6&amp;J$2,_xlpm.normal,IFERROR(INDEX(MASTER!$A:$A,MATCH(_xlpm.pos,MASTER!$I:$I,0))&amp;"_ser_0.20_"&amp;TEXT(INDEX(MASTER!$E:$E,MATCH(_xlpm.pos,MASTER!$I:$I,0)),"mmddyy"),""),_xlpm.slot,1440+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71" s="4" t="str">
        <f>_xlfn.LET(_xlpm.pos,"NIH plate 16: "&amp;$A6&amp;K$2,_xlpm.normal,IFERROR(INDEX(MASTER!$A:$A,MATCH(_xlpm.pos,MASTER!$I:$I,0))&amp;"_ser_0.20_"&amp;TEXT(INDEX(MASTER!$E:$E,MATCH(_xlpm.pos,MASTER!$I:$I,0)),"mmddyy"),""),_xlpm.slot,1440+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71" s="4" t="str">
        <f>_xlfn.LET(_xlpm.pos,"NIH plate 16: "&amp;$A6&amp;L$2,_xlpm.normal,IFERROR(INDEX(MASTER!$A:$A,MATCH(_xlpm.pos,MASTER!$I:$I,0))&amp;"_ser_0.20_"&amp;TEXT(INDEX(MASTER!$E:$E,MATCH(_xlpm.pos,MASTER!$I:$I,0)),"mmddyy"),""),_xlpm.slot,1440+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71" s="4" t="str">
        <f>_xlfn.LET(_xlpm.pos,"NIH plate 16: "&amp;$A6&amp;M$2,_xlpm.normal,IFERROR(INDEX(MASTER!$A:$A,MATCH(_xlpm.pos,MASTER!$I:$I,0))&amp;"_ser_0.20_"&amp;TEXT(INDEX(MASTER!$E:$E,MATCH(_xlpm.pos,MASTER!$I:$I,0)),"mmddyy"),""),_xlpm.slot,1440+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72" spans="1:13" ht="22" customHeight="1" x14ac:dyDescent="0.35">
      <c r="A172" s="6" t="s">
        <v>34</v>
      </c>
      <c r="B172" s="4" t="str">
        <f>_xlfn.LET(_xlpm.pos,"NIH plate 16: "&amp;$A7&amp;B$2,_xlpm.normal,IFERROR(INDEX(MASTER!$A:$A,MATCH(_xlpm.pos,MASTER!$I:$I,0))&amp;"_ser_0.20_"&amp;TEXT(INDEX(MASTER!$E:$E,MATCH(_xlpm.pos,MASTER!$I:$I,0)),"mmddyy"),""),_xlpm.slot,1440+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72" s="4" t="str">
        <f>_xlfn.LET(_xlpm.pos,"NIH plate 16: "&amp;$A7&amp;C$2,_xlpm.normal,IFERROR(INDEX(MASTER!$A:$A,MATCH(_xlpm.pos,MASTER!$I:$I,0))&amp;"_ser_0.20_"&amp;TEXT(INDEX(MASTER!$E:$E,MATCH(_xlpm.pos,MASTER!$I:$I,0)),"mmddyy"),""),_xlpm.slot,1440+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72" s="4" t="str">
        <f>_xlfn.LET(_xlpm.pos,"NIH plate 16: "&amp;$A7&amp;D$2,_xlpm.normal,IFERROR(INDEX(MASTER!$A:$A,MATCH(_xlpm.pos,MASTER!$I:$I,0))&amp;"_ser_0.20_"&amp;TEXT(INDEX(MASTER!$E:$E,MATCH(_xlpm.pos,MASTER!$I:$I,0)),"mmddyy"),""),_xlpm.slot,1440+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72" s="4" t="str">
        <f>_xlfn.LET(_xlpm.pos,"NIH plate 16: "&amp;$A7&amp;E$2,_xlpm.normal,IFERROR(INDEX(MASTER!$A:$A,MATCH(_xlpm.pos,MASTER!$I:$I,0))&amp;"_ser_0.20_"&amp;TEXT(INDEX(MASTER!$E:$E,MATCH(_xlpm.pos,MASTER!$I:$I,0)),"mmddyy"),""),_xlpm.slot,1440+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72" s="4" t="str">
        <f>_xlfn.LET(_xlpm.pos,"NIH plate 16: "&amp;$A7&amp;F$2,_xlpm.normal,IFERROR(INDEX(MASTER!$A:$A,MATCH(_xlpm.pos,MASTER!$I:$I,0))&amp;"_ser_0.20_"&amp;TEXT(INDEX(MASTER!$E:$E,MATCH(_xlpm.pos,MASTER!$I:$I,0)),"mmddyy"),""),_xlpm.slot,1440+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72" s="4" t="str">
        <f>_xlfn.LET(_xlpm.pos,"NIH plate 16: "&amp;$A7&amp;G$2,_xlpm.normal,IFERROR(INDEX(MASTER!$A:$A,MATCH(_xlpm.pos,MASTER!$I:$I,0))&amp;"_ser_0.20_"&amp;TEXT(INDEX(MASTER!$E:$E,MATCH(_xlpm.pos,MASTER!$I:$I,0)),"mmddyy"),""),_xlpm.slot,1440+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72" s="4" t="str">
        <f>_xlfn.LET(_xlpm.pos,"NIH plate 16: "&amp;$A7&amp;H$2,_xlpm.normal,IFERROR(INDEX(MASTER!$A:$A,MATCH(_xlpm.pos,MASTER!$I:$I,0))&amp;"_ser_0.20_"&amp;TEXT(INDEX(MASTER!$E:$E,MATCH(_xlpm.pos,MASTER!$I:$I,0)),"mmddyy"),""),_xlpm.slot,1440+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72" s="4" t="str">
        <f>_xlfn.LET(_xlpm.pos,"NIH plate 16: "&amp;$A7&amp;I$2,_xlpm.normal,IFERROR(INDEX(MASTER!$A:$A,MATCH(_xlpm.pos,MASTER!$I:$I,0))&amp;"_ser_0.20_"&amp;TEXT(INDEX(MASTER!$E:$E,MATCH(_xlpm.pos,MASTER!$I:$I,0)),"mmddyy"),""),_xlpm.slot,1440+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72" s="4" t="str">
        <f>_xlfn.LET(_xlpm.pos,"NIH plate 16: "&amp;$A7&amp;J$2,_xlpm.normal,IFERROR(INDEX(MASTER!$A:$A,MATCH(_xlpm.pos,MASTER!$I:$I,0))&amp;"_ser_0.20_"&amp;TEXT(INDEX(MASTER!$E:$E,MATCH(_xlpm.pos,MASTER!$I:$I,0)),"mmddyy"),""),_xlpm.slot,1440+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72" s="4" t="str">
        <f>_xlfn.LET(_xlpm.pos,"NIH plate 16: "&amp;$A7&amp;K$2,_xlpm.normal,IFERROR(INDEX(MASTER!$A:$A,MATCH(_xlpm.pos,MASTER!$I:$I,0))&amp;"_ser_0.20_"&amp;TEXT(INDEX(MASTER!$E:$E,MATCH(_xlpm.pos,MASTER!$I:$I,0)),"mmddyy"),""),_xlpm.slot,1440+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72" s="4" t="str">
        <f>_xlfn.LET(_xlpm.pos,"NIH plate 16: "&amp;$A7&amp;L$2,_xlpm.normal,IFERROR(INDEX(MASTER!$A:$A,MATCH(_xlpm.pos,MASTER!$I:$I,0))&amp;"_ser_0.20_"&amp;TEXT(INDEX(MASTER!$E:$E,MATCH(_xlpm.pos,MASTER!$I:$I,0)),"mmddyy"),""),_xlpm.slot,1440+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72" s="4" t="str">
        <f>_xlfn.LET(_xlpm.pos,"NIH plate 16: "&amp;$A7&amp;M$2,_xlpm.normal,IFERROR(INDEX(MASTER!$A:$A,MATCH(_xlpm.pos,MASTER!$I:$I,0))&amp;"_ser_0.20_"&amp;TEXT(INDEX(MASTER!$E:$E,MATCH(_xlpm.pos,MASTER!$I:$I,0)),"mmddyy"),""),_xlpm.slot,1440+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73" spans="1:13" ht="22" customHeight="1" x14ac:dyDescent="0.35">
      <c r="A173" s="6" t="s">
        <v>15</v>
      </c>
      <c r="B173" s="4" t="str">
        <f>_xlfn.LET(_xlpm.pos,"NIH plate 16: "&amp;$A8&amp;B$2,_xlpm.normal,IFERROR(INDEX(MASTER!$A:$A,MATCH(_xlpm.pos,MASTER!$I:$I,0))&amp;"_ser_0.20_"&amp;TEXT(INDEX(MASTER!$E:$E,MATCH(_xlpm.pos,MASTER!$I:$I,0)),"mmddyy"),""),_xlpm.slot,1440+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73" s="4" t="str">
        <f>_xlfn.LET(_xlpm.pos,"NIH plate 16: "&amp;$A8&amp;C$2,_xlpm.normal,IFERROR(INDEX(MASTER!$A:$A,MATCH(_xlpm.pos,MASTER!$I:$I,0))&amp;"_ser_0.20_"&amp;TEXT(INDEX(MASTER!$E:$E,MATCH(_xlpm.pos,MASTER!$I:$I,0)),"mmddyy"),""),_xlpm.slot,1440+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73" s="4" t="str">
        <f>_xlfn.LET(_xlpm.pos,"NIH plate 16: "&amp;$A8&amp;D$2,_xlpm.normal,IFERROR(INDEX(MASTER!$A:$A,MATCH(_xlpm.pos,MASTER!$I:$I,0))&amp;"_ser_0.20_"&amp;TEXT(INDEX(MASTER!$E:$E,MATCH(_xlpm.pos,MASTER!$I:$I,0)),"mmddyy"),""),_xlpm.slot,1440+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73" s="4" t="str">
        <f>_xlfn.LET(_xlpm.pos,"NIH plate 16: "&amp;$A8&amp;E$2,_xlpm.normal,IFERROR(INDEX(MASTER!$A:$A,MATCH(_xlpm.pos,MASTER!$I:$I,0))&amp;"_ser_0.20_"&amp;TEXT(INDEX(MASTER!$E:$E,MATCH(_xlpm.pos,MASTER!$I:$I,0)),"mmddyy"),""),_xlpm.slot,1440+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73" s="4" t="str">
        <f>_xlfn.LET(_xlpm.pos,"NIH plate 16: "&amp;$A8&amp;F$2,_xlpm.normal,IFERROR(INDEX(MASTER!$A:$A,MATCH(_xlpm.pos,MASTER!$I:$I,0))&amp;"_ser_0.20_"&amp;TEXT(INDEX(MASTER!$E:$E,MATCH(_xlpm.pos,MASTER!$I:$I,0)),"mmddyy"),""),_xlpm.slot,1440+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73" s="4" t="str">
        <f>_xlfn.LET(_xlpm.pos,"NIH plate 16: "&amp;$A8&amp;G$2,_xlpm.normal,IFERROR(INDEX(MASTER!$A:$A,MATCH(_xlpm.pos,MASTER!$I:$I,0))&amp;"_ser_0.20_"&amp;TEXT(INDEX(MASTER!$E:$E,MATCH(_xlpm.pos,MASTER!$I:$I,0)),"mmddyy"),""),_xlpm.slot,1440+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73" s="4" t="str">
        <f>_xlfn.LET(_xlpm.pos,"NIH plate 16: "&amp;$A8&amp;H$2,_xlpm.normal,IFERROR(INDEX(MASTER!$A:$A,MATCH(_xlpm.pos,MASTER!$I:$I,0))&amp;"_ser_0.20_"&amp;TEXT(INDEX(MASTER!$E:$E,MATCH(_xlpm.pos,MASTER!$I:$I,0)),"mmddyy"),""),_xlpm.slot,1440+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73" s="4" t="str">
        <f>_xlfn.LET(_xlpm.pos,"NIH plate 16: "&amp;$A8&amp;I$2,_xlpm.normal,IFERROR(INDEX(MASTER!$A:$A,MATCH(_xlpm.pos,MASTER!$I:$I,0))&amp;"_ser_0.20_"&amp;TEXT(INDEX(MASTER!$E:$E,MATCH(_xlpm.pos,MASTER!$I:$I,0)),"mmddyy"),""),_xlpm.slot,1440+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73" s="4" t="str">
        <f>_xlfn.LET(_xlpm.pos,"NIH plate 16: "&amp;$A8&amp;J$2,_xlpm.normal,IFERROR(INDEX(MASTER!$A:$A,MATCH(_xlpm.pos,MASTER!$I:$I,0))&amp;"_ser_0.20_"&amp;TEXT(INDEX(MASTER!$E:$E,MATCH(_xlpm.pos,MASTER!$I:$I,0)),"mmddyy"),""),_xlpm.slot,1440+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73" s="4" t="str">
        <f>_xlfn.LET(_xlpm.pos,"NIH plate 16: "&amp;$A8&amp;K$2,_xlpm.normal,IFERROR(INDEX(MASTER!$A:$A,MATCH(_xlpm.pos,MASTER!$I:$I,0))&amp;"_ser_0.20_"&amp;TEXT(INDEX(MASTER!$E:$E,MATCH(_xlpm.pos,MASTER!$I:$I,0)),"mmddyy"),""),_xlpm.slot,1440+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73" s="4" t="str">
        <f>_xlfn.LET(_xlpm.pos,"NIH plate 16: "&amp;$A8&amp;L$2,_xlpm.normal,IFERROR(INDEX(MASTER!$A:$A,MATCH(_xlpm.pos,MASTER!$I:$I,0))&amp;"_ser_0.20_"&amp;TEXT(INDEX(MASTER!$E:$E,MATCH(_xlpm.pos,MASTER!$I:$I,0)),"mmddyy"),""),_xlpm.slot,1440+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73" s="4" t="str">
        <f>_xlfn.LET(_xlpm.pos,"NIH plate 16: "&amp;$A8&amp;M$2,_xlpm.normal,IFERROR(INDEX(MASTER!$A:$A,MATCH(_xlpm.pos,MASTER!$I:$I,0))&amp;"_ser_0.20_"&amp;TEXT(INDEX(MASTER!$E:$E,MATCH(_xlpm.pos,MASTER!$I:$I,0)),"mmddyy"),""),_xlpm.slot,1440+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74" spans="1:13" ht="22" customHeight="1" x14ac:dyDescent="0.35">
      <c r="A174" s="6" t="s">
        <v>35</v>
      </c>
      <c r="B174" s="4" t="str">
        <f>_xlfn.LET(_xlpm.pos,"NIH plate 16: "&amp;$A9&amp;B$2,_xlpm.normal,IFERROR(INDEX(MASTER!$A:$A,MATCH(_xlpm.pos,MASTER!$I:$I,0))&amp;"_ser_0.20_"&amp;TEXT(INDEX(MASTER!$E:$E,MATCH(_xlpm.pos,MASTER!$I:$I,0)),"mmddyy"),""),_xlpm.slot,1440+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74" s="4" t="str">
        <f>_xlfn.LET(_xlpm.pos,"NIH plate 16: "&amp;$A9&amp;C$2,_xlpm.normal,IFERROR(INDEX(MASTER!$A:$A,MATCH(_xlpm.pos,MASTER!$I:$I,0))&amp;"_ser_0.20_"&amp;TEXT(INDEX(MASTER!$E:$E,MATCH(_xlpm.pos,MASTER!$I:$I,0)),"mmddyy"),""),_xlpm.slot,1440+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74" s="4" t="str">
        <f>_xlfn.LET(_xlpm.pos,"NIH plate 16: "&amp;$A9&amp;D$2,_xlpm.normal,IFERROR(INDEX(MASTER!$A:$A,MATCH(_xlpm.pos,MASTER!$I:$I,0))&amp;"_ser_0.20_"&amp;TEXT(INDEX(MASTER!$E:$E,MATCH(_xlpm.pos,MASTER!$I:$I,0)),"mmddyy"),""),_xlpm.slot,1440+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74" s="4" t="str">
        <f>_xlfn.LET(_xlpm.pos,"NIH plate 16: "&amp;$A9&amp;E$2,_xlpm.normal,IFERROR(INDEX(MASTER!$A:$A,MATCH(_xlpm.pos,MASTER!$I:$I,0))&amp;"_ser_0.20_"&amp;TEXT(INDEX(MASTER!$E:$E,MATCH(_xlpm.pos,MASTER!$I:$I,0)),"mmddyy"),""),_xlpm.slot,1440+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74" s="4" t="str">
        <f>_xlfn.LET(_xlpm.pos,"NIH plate 16: "&amp;$A9&amp;F$2,_xlpm.normal,IFERROR(INDEX(MASTER!$A:$A,MATCH(_xlpm.pos,MASTER!$I:$I,0))&amp;"_ser_0.20_"&amp;TEXT(INDEX(MASTER!$E:$E,MATCH(_xlpm.pos,MASTER!$I:$I,0)),"mmddyy"),""),_xlpm.slot,1440+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74" s="4" t="str">
        <f>_xlfn.LET(_xlpm.pos,"NIH plate 16: "&amp;$A9&amp;G$2,_xlpm.normal,IFERROR(INDEX(MASTER!$A:$A,MATCH(_xlpm.pos,MASTER!$I:$I,0))&amp;"_ser_0.20_"&amp;TEXT(INDEX(MASTER!$E:$E,MATCH(_xlpm.pos,MASTER!$I:$I,0)),"mmddyy"),""),_xlpm.slot,1440+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74" s="4" t="str">
        <f>_xlfn.LET(_xlpm.pos,"NIH plate 16: "&amp;$A9&amp;H$2,_xlpm.normal,IFERROR(INDEX(MASTER!$A:$A,MATCH(_xlpm.pos,MASTER!$I:$I,0))&amp;"_ser_0.20_"&amp;TEXT(INDEX(MASTER!$E:$E,MATCH(_xlpm.pos,MASTER!$I:$I,0)),"mmddyy"),""),_xlpm.slot,1440+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74" s="4" t="str">
        <f>_xlfn.LET(_xlpm.pos,"NIH plate 16: "&amp;$A9&amp;I$2,_xlpm.normal,IFERROR(INDEX(MASTER!$A:$A,MATCH(_xlpm.pos,MASTER!$I:$I,0))&amp;"_ser_0.20_"&amp;TEXT(INDEX(MASTER!$E:$E,MATCH(_xlpm.pos,MASTER!$I:$I,0)),"mmddyy"),""),_xlpm.slot,1440+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74" s="4" t="str">
        <f>_xlfn.LET(_xlpm.pos,"NIH plate 16: "&amp;$A9&amp;J$2,_xlpm.normal,IFERROR(INDEX(MASTER!$A:$A,MATCH(_xlpm.pos,MASTER!$I:$I,0))&amp;"_ser_0.20_"&amp;TEXT(INDEX(MASTER!$E:$E,MATCH(_xlpm.pos,MASTER!$I:$I,0)),"mmddyy"),""),_xlpm.slot,1440+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74" s="4" t="str">
        <f>_xlfn.LET(_xlpm.pos,"NIH plate 16: "&amp;$A9&amp;K$2,_xlpm.normal,IFERROR(INDEX(MASTER!$A:$A,MATCH(_xlpm.pos,MASTER!$I:$I,0))&amp;"_ser_0.20_"&amp;TEXT(INDEX(MASTER!$E:$E,MATCH(_xlpm.pos,MASTER!$I:$I,0)),"mmddyy"),""),_xlpm.slot,1440+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74" s="4" t="str">
        <f>_xlfn.LET(_xlpm.pos,"NIH plate 16: "&amp;$A9&amp;L$2,_xlpm.normal,IFERROR(INDEX(MASTER!$A:$A,MATCH(_xlpm.pos,MASTER!$I:$I,0))&amp;"_ser_0.20_"&amp;TEXT(INDEX(MASTER!$E:$E,MATCH(_xlpm.pos,MASTER!$I:$I,0)),"mmddyy"),""),_xlpm.slot,1440+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74" s="4" t="str">
        <f>_xlfn.LET(_xlpm.pos,"NIH plate 16: "&amp;$A9&amp;M$2,_xlpm.normal,IFERROR(INDEX(MASTER!$A:$A,MATCH(_xlpm.pos,MASTER!$I:$I,0))&amp;"_ser_0.20_"&amp;TEXT(INDEX(MASTER!$E:$E,MATCH(_xlpm.pos,MASTER!$I:$I,0)),"mmddyy"),""),_xlpm.slot,1440+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75" spans="1:13" ht="22" customHeight="1" x14ac:dyDescent="0.35">
      <c r="A175" s="6" t="s">
        <v>36</v>
      </c>
      <c r="B175" s="4" t="str">
        <f>_xlfn.LET(_xlpm.pos,"NIH plate 16: "&amp;$A10&amp;B$2,_xlpm.normal,IFERROR(INDEX(MASTER!$A:$A,MATCH(_xlpm.pos,MASTER!$I:$I,0))&amp;"_ser_0.20_"&amp;TEXT(INDEX(MASTER!$E:$E,MATCH(_xlpm.pos,MASTER!$I:$I,0)),"mmddyy"),""),_xlpm.slot,1440+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75" s="4" t="str">
        <f>_xlfn.LET(_xlpm.pos,"NIH plate 16: "&amp;$A10&amp;C$2,_xlpm.normal,IFERROR(INDEX(MASTER!$A:$A,MATCH(_xlpm.pos,MASTER!$I:$I,0))&amp;"_ser_0.20_"&amp;TEXT(INDEX(MASTER!$E:$E,MATCH(_xlpm.pos,MASTER!$I:$I,0)),"mmddyy"),""),_xlpm.slot,1440+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75" s="4" t="str">
        <f>_xlfn.LET(_xlpm.pos,"NIH plate 16: "&amp;$A10&amp;D$2,_xlpm.normal,IFERROR(INDEX(MASTER!$A:$A,MATCH(_xlpm.pos,MASTER!$I:$I,0))&amp;"_ser_0.20_"&amp;TEXT(INDEX(MASTER!$E:$E,MATCH(_xlpm.pos,MASTER!$I:$I,0)),"mmddyy"),""),_xlpm.slot,1440+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75" s="4" t="str">
        <f>_xlfn.LET(_xlpm.pos,"NIH plate 16: "&amp;$A10&amp;E$2,_xlpm.normal,IFERROR(INDEX(MASTER!$A:$A,MATCH(_xlpm.pos,MASTER!$I:$I,0))&amp;"_ser_0.20_"&amp;TEXT(INDEX(MASTER!$E:$E,MATCH(_xlpm.pos,MASTER!$I:$I,0)),"mmddyy"),""),_xlpm.slot,1440+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75" s="4" t="str">
        <f>_xlfn.LET(_xlpm.pos,"NIH plate 16: "&amp;$A10&amp;F$2,_xlpm.normal,IFERROR(INDEX(MASTER!$A:$A,MATCH(_xlpm.pos,MASTER!$I:$I,0))&amp;"_ser_0.20_"&amp;TEXT(INDEX(MASTER!$E:$E,MATCH(_xlpm.pos,MASTER!$I:$I,0)),"mmddyy"),""),_xlpm.slot,1440+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75" s="4" t="str">
        <f>_xlfn.LET(_xlpm.pos,"NIH plate 16: "&amp;$A10&amp;G$2,_xlpm.normal,IFERROR(INDEX(MASTER!$A:$A,MATCH(_xlpm.pos,MASTER!$I:$I,0))&amp;"_ser_0.20_"&amp;TEXT(INDEX(MASTER!$E:$E,MATCH(_xlpm.pos,MASTER!$I:$I,0)),"mmddyy"),""),_xlpm.slot,1440+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75" s="4" t="str">
        <f>_xlfn.LET(_xlpm.pos,"NIH plate 16: "&amp;$A10&amp;H$2,_xlpm.normal,IFERROR(INDEX(MASTER!$A:$A,MATCH(_xlpm.pos,MASTER!$I:$I,0))&amp;"_ser_0.20_"&amp;TEXT(INDEX(MASTER!$E:$E,MATCH(_xlpm.pos,MASTER!$I:$I,0)),"mmddyy"),""),_xlpm.slot,1440+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75" s="4" t="str">
        <f>_xlfn.LET(_xlpm.pos,"NIH plate 16: "&amp;$A10&amp;I$2,_xlpm.normal,IFERROR(INDEX(MASTER!$A:$A,MATCH(_xlpm.pos,MASTER!$I:$I,0))&amp;"_ser_0.20_"&amp;TEXT(INDEX(MASTER!$E:$E,MATCH(_xlpm.pos,MASTER!$I:$I,0)),"mmddyy"),""),_xlpm.slot,1440+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75" s="4" t="str">
        <f>_xlfn.LET(_xlpm.pos,"NIH plate 16: "&amp;$A10&amp;J$2,_xlpm.normal,IFERROR(INDEX(MASTER!$A:$A,MATCH(_xlpm.pos,MASTER!$I:$I,0))&amp;"_ser_0.20_"&amp;TEXT(INDEX(MASTER!$E:$E,MATCH(_xlpm.pos,MASTER!$I:$I,0)),"mmddyy"),""),_xlpm.slot,1440+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75" s="4" t="str">
        <f>_xlfn.LET(_xlpm.pos,"NIH plate 16: "&amp;$A10&amp;K$2,_xlpm.normal,IFERROR(INDEX(MASTER!$A:$A,MATCH(_xlpm.pos,MASTER!$I:$I,0))&amp;"_ser_0.20_"&amp;TEXT(INDEX(MASTER!$E:$E,MATCH(_xlpm.pos,MASTER!$I:$I,0)),"mmddyy"),""),_xlpm.slot,1440+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75" s="4" t="str">
        <f>_xlfn.LET(_xlpm.pos,"NIH plate 16: "&amp;$A10&amp;L$2,_xlpm.normal,IFERROR(INDEX(MASTER!$A:$A,MATCH(_xlpm.pos,MASTER!$I:$I,0))&amp;"_ser_0.20_"&amp;TEXT(INDEX(MASTER!$E:$E,MATCH(_xlpm.pos,MASTER!$I:$I,0)),"mmddyy"),""),_xlpm.slot,1440+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75" s="4" t="str">
        <f>_xlfn.LET(_xlpm.pos,"NIH plate 16: "&amp;$A10&amp;M$2,_xlpm.normal,IFERROR(INDEX(MASTER!$A:$A,MATCH(_xlpm.pos,MASTER!$I:$I,0))&amp;"_ser_0.20_"&amp;TEXT(INDEX(MASTER!$E:$E,MATCH(_xlpm.pos,MASTER!$I:$I,0)),"mmddyy"),""),_xlpm.slot,1440+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77" spans="1:13" ht="22" customHeight="1" x14ac:dyDescent="0.35">
      <c r="A177" s="7"/>
      <c r="B177" s="31" t="s">
        <v>73</v>
      </c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3"/>
    </row>
    <row r="178" spans="1:13" ht="22" customHeight="1" x14ac:dyDescent="0.35">
      <c r="A178" s="7"/>
      <c r="B178" s="6">
        <v>1</v>
      </c>
      <c r="C178" s="6">
        <v>2</v>
      </c>
      <c r="D178" s="6">
        <v>3</v>
      </c>
      <c r="E178" s="6">
        <v>4</v>
      </c>
      <c r="F178" s="6">
        <v>5</v>
      </c>
      <c r="G178" s="6">
        <v>6</v>
      </c>
      <c r="H178" s="6">
        <v>7</v>
      </c>
      <c r="I178" s="6">
        <v>8</v>
      </c>
      <c r="J178" s="6">
        <v>9</v>
      </c>
      <c r="K178" s="6">
        <v>10</v>
      </c>
      <c r="L178" s="6">
        <v>11</v>
      </c>
      <c r="M178" s="6">
        <v>12</v>
      </c>
    </row>
    <row r="179" spans="1:13" ht="22" customHeight="1" x14ac:dyDescent="0.35">
      <c r="A179" s="6" t="s">
        <v>30</v>
      </c>
      <c r="B179" s="4" t="str">
        <f>_xlfn.LET(_xlpm.pos,"NIH plate 17: "&amp;$A3&amp;B$2,_xlpm.normal,IFERROR(INDEX(MASTER!$A:$A,MATCH(_xlpm.pos,MASTER!$I:$I,0))&amp;"_ser_0.20_"&amp;TEXT(INDEX(MASTER!$E:$E,MATCH(_xlpm.pos,MASTER!$I:$I,0)),"mmddyy"),""),_xlpm.slot,1536+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79" s="4" t="str">
        <f>_xlfn.LET(_xlpm.pos,"NIH plate 17: "&amp;$A3&amp;C$2,_xlpm.normal,IFERROR(INDEX(MASTER!$A:$A,MATCH(_xlpm.pos,MASTER!$I:$I,0))&amp;"_ser_0.20_"&amp;TEXT(INDEX(MASTER!$E:$E,MATCH(_xlpm.pos,MASTER!$I:$I,0)),"mmddyy"),""),_xlpm.slot,1536+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79" s="4" t="str">
        <f>_xlfn.LET(_xlpm.pos,"NIH plate 17: "&amp;$A3&amp;D$2,_xlpm.normal,IFERROR(INDEX(MASTER!$A:$A,MATCH(_xlpm.pos,MASTER!$I:$I,0))&amp;"_ser_0.20_"&amp;TEXT(INDEX(MASTER!$E:$E,MATCH(_xlpm.pos,MASTER!$I:$I,0)),"mmddyy"),""),_xlpm.slot,1536+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79" s="4" t="str">
        <f>_xlfn.LET(_xlpm.pos,"NIH plate 17: "&amp;$A3&amp;E$2,_xlpm.normal,IFERROR(INDEX(MASTER!$A:$A,MATCH(_xlpm.pos,MASTER!$I:$I,0))&amp;"_ser_0.20_"&amp;TEXT(INDEX(MASTER!$E:$E,MATCH(_xlpm.pos,MASTER!$I:$I,0)),"mmddyy"),""),_xlpm.slot,1536+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79" s="4" t="str">
        <f>_xlfn.LET(_xlpm.pos,"NIH plate 17: "&amp;$A3&amp;F$2,_xlpm.normal,IFERROR(INDEX(MASTER!$A:$A,MATCH(_xlpm.pos,MASTER!$I:$I,0))&amp;"_ser_0.20_"&amp;TEXT(INDEX(MASTER!$E:$E,MATCH(_xlpm.pos,MASTER!$I:$I,0)),"mmddyy"),""),_xlpm.slot,1536+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79" s="4" t="str">
        <f>_xlfn.LET(_xlpm.pos,"NIH plate 17: "&amp;$A3&amp;G$2,_xlpm.normal,IFERROR(INDEX(MASTER!$A:$A,MATCH(_xlpm.pos,MASTER!$I:$I,0))&amp;"_ser_0.20_"&amp;TEXT(INDEX(MASTER!$E:$E,MATCH(_xlpm.pos,MASTER!$I:$I,0)),"mmddyy"),""),_xlpm.slot,1536+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79" s="4" t="str">
        <f>_xlfn.LET(_xlpm.pos,"NIH plate 17: "&amp;$A3&amp;H$2,_xlpm.normal,IFERROR(INDEX(MASTER!$A:$A,MATCH(_xlpm.pos,MASTER!$I:$I,0))&amp;"_ser_0.20_"&amp;TEXT(INDEX(MASTER!$E:$E,MATCH(_xlpm.pos,MASTER!$I:$I,0)),"mmddyy"),""),_xlpm.slot,1536+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79" s="4" t="str">
        <f>_xlfn.LET(_xlpm.pos,"NIH plate 17: "&amp;$A3&amp;I$2,_xlpm.normal,IFERROR(INDEX(MASTER!$A:$A,MATCH(_xlpm.pos,MASTER!$I:$I,0))&amp;"_ser_0.20_"&amp;TEXT(INDEX(MASTER!$E:$E,MATCH(_xlpm.pos,MASTER!$I:$I,0)),"mmddyy"),""),_xlpm.slot,1536+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79" s="4" t="str">
        <f>_xlfn.LET(_xlpm.pos,"NIH plate 17: "&amp;$A3&amp;J$2,_xlpm.normal,IFERROR(INDEX(MASTER!$A:$A,MATCH(_xlpm.pos,MASTER!$I:$I,0))&amp;"_ser_0.20_"&amp;TEXT(INDEX(MASTER!$E:$E,MATCH(_xlpm.pos,MASTER!$I:$I,0)),"mmddyy"),""),_xlpm.slot,1536+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79" s="4" t="str">
        <f>_xlfn.LET(_xlpm.pos,"NIH plate 17: "&amp;$A3&amp;K$2,_xlpm.normal,IFERROR(INDEX(MASTER!$A:$A,MATCH(_xlpm.pos,MASTER!$I:$I,0))&amp;"_ser_0.20_"&amp;TEXT(INDEX(MASTER!$E:$E,MATCH(_xlpm.pos,MASTER!$I:$I,0)),"mmddyy"),""),_xlpm.slot,1536+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79" s="4" t="str">
        <f>_xlfn.LET(_xlpm.pos,"NIH plate 17: "&amp;$A3&amp;L$2,_xlpm.normal,IFERROR(INDEX(MASTER!$A:$A,MATCH(_xlpm.pos,MASTER!$I:$I,0))&amp;"_ser_0.20_"&amp;TEXT(INDEX(MASTER!$E:$E,MATCH(_xlpm.pos,MASTER!$I:$I,0)),"mmddyy"),""),_xlpm.slot,1536+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79" s="4" t="str">
        <f>_xlfn.LET(_xlpm.pos,"NIH plate 17: "&amp;$A3&amp;M$2,_xlpm.normal,IFERROR(INDEX(MASTER!$A:$A,MATCH(_xlpm.pos,MASTER!$I:$I,0))&amp;"_ser_0.20_"&amp;TEXT(INDEX(MASTER!$E:$E,MATCH(_xlpm.pos,MASTER!$I:$I,0)),"mmddyy"),""),_xlpm.slot,1536+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80" spans="1:13" ht="22" customHeight="1" x14ac:dyDescent="0.35">
      <c r="A180" s="6" t="s">
        <v>31</v>
      </c>
      <c r="B180" s="4" t="str">
        <f>_xlfn.LET(_xlpm.pos,"NIH plate 17: "&amp;$A4&amp;B$2,_xlpm.normal,IFERROR(INDEX(MASTER!$A:$A,MATCH(_xlpm.pos,MASTER!$I:$I,0))&amp;"_ser_0.20_"&amp;TEXT(INDEX(MASTER!$E:$E,MATCH(_xlpm.pos,MASTER!$I:$I,0)),"mmddyy"),""),_xlpm.slot,1536+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80" s="4" t="str">
        <f>_xlfn.LET(_xlpm.pos,"NIH plate 17: "&amp;$A4&amp;C$2,_xlpm.normal,IFERROR(INDEX(MASTER!$A:$A,MATCH(_xlpm.pos,MASTER!$I:$I,0))&amp;"_ser_0.20_"&amp;TEXT(INDEX(MASTER!$E:$E,MATCH(_xlpm.pos,MASTER!$I:$I,0)),"mmddyy"),""),_xlpm.slot,1536+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80" s="4" t="str">
        <f>_xlfn.LET(_xlpm.pos,"NIH plate 17: "&amp;$A4&amp;D$2,_xlpm.normal,IFERROR(INDEX(MASTER!$A:$A,MATCH(_xlpm.pos,MASTER!$I:$I,0))&amp;"_ser_0.20_"&amp;TEXT(INDEX(MASTER!$E:$E,MATCH(_xlpm.pos,MASTER!$I:$I,0)),"mmddyy"),""),_xlpm.slot,1536+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80" s="4" t="str">
        <f>_xlfn.LET(_xlpm.pos,"NIH plate 17: "&amp;$A4&amp;E$2,_xlpm.normal,IFERROR(INDEX(MASTER!$A:$A,MATCH(_xlpm.pos,MASTER!$I:$I,0))&amp;"_ser_0.20_"&amp;TEXT(INDEX(MASTER!$E:$E,MATCH(_xlpm.pos,MASTER!$I:$I,0)),"mmddyy"),""),_xlpm.slot,1536+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80" s="4" t="str">
        <f>_xlfn.LET(_xlpm.pos,"NIH plate 17: "&amp;$A4&amp;F$2,_xlpm.normal,IFERROR(INDEX(MASTER!$A:$A,MATCH(_xlpm.pos,MASTER!$I:$I,0))&amp;"_ser_0.20_"&amp;TEXT(INDEX(MASTER!$E:$E,MATCH(_xlpm.pos,MASTER!$I:$I,0)),"mmddyy"),""),_xlpm.slot,1536+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80" s="4" t="str">
        <f>_xlfn.LET(_xlpm.pos,"NIH plate 17: "&amp;$A4&amp;G$2,_xlpm.normal,IFERROR(INDEX(MASTER!$A:$A,MATCH(_xlpm.pos,MASTER!$I:$I,0))&amp;"_ser_0.20_"&amp;TEXT(INDEX(MASTER!$E:$E,MATCH(_xlpm.pos,MASTER!$I:$I,0)),"mmddyy"),""),_xlpm.slot,1536+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80" s="4" t="str">
        <f>_xlfn.LET(_xlpm.pos,"NIH plate 17: "&amp;$A4&amp;H$2,_xlpm.normal,IFERROR(INDEX(MASTER!$A:$A,MATCH(_xlpm.pos,MASTER!$I:$I,0))&amp;"_ser_0.20_"&amp;TEXT(INDEX(MASTER!$E:$E,MATCH(_xlpm.pos,MASTER!$I:$I,0)),"mmddyy"),""),_xlpm.slot,1536+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80" s="4" t="str">
        <f>_xlfn.LET(_xlpm.pos,"NIH plate 17: "&amp;$A4&amp;I$2,_xlpm.normal,IFERROR(INDEX(MASTER!$A:$A,MATCH(_xlpm.pos,MASTER!$I:$I,0))&amp;"_ser_0.20_"&amp;TEXT(INDEX(MASTER!$E:$E,MATCH(_xlpm.pos,MASTER!$I:$I,0)),"mmddyy"),""),_xlpm.slot,1536+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80" s="4" t="str">
        <f>_xlfn.LET(_xlpm.pos,"NIH plate 17: "&amp;$A4&amp;J$2,_xlpm.normal,IFERROR(INDEX(MASTER!$A:$A,MATCH(_xlpm.pos,MASTER!$I:$I,0))&amp;"_ser_0.20_"&amp;TEXT(INDEX(MASTER!$E:$E,MATCH(_xlpm.pos,MASTER!$I:$I,0)),"mmddyy"),""),_xlpm.slot,1536+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80" s="4" t="str">
        <f>_xlfn.LET(_xlpm.pos,"NIH plate 17: "&amp;$A4&amp;K$2,_xlpm.normal,IFERROR(INDEX(MASTER!$A:$A,MATCH(_xlpm.pos,MASTER!$I:$I,0))&amp;"_ser_0.20_"&amp;TEXT(INDEX(MASTER!$E:$E,MATCH(_xlpm.pos,MASTER!$I:$I,0)),"mmddyy"),""),_xlpm.slot,1536+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80" s="4" t="str">
        <f>_xlfn.LET(_xlpm.pos,"NIH plate 17: "&amp;$A4&amp;L$2,_xlpm.normal,IFERROR(INDEX(MASTER!$A:$A,MATCH(_xlpm.pos,MASTER!$I:$I,0))&amp;"_ser_0.20_"&amp;TEXT(INDEX(MASTER!$E:$E,MATCH(_xlpm.pos,MASTER!$I:$I,0)),"mmddyy"),""),_xlpm.slot,1536+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80" s="4" t="str">
        <f>_xlfn.LET(_xlpm.pos,"NIH plate 17: "&amp;$A4&amp;M$2,_xlpm.normal,IFERROR(INDEX(MASTER!$A:$A,MATCH(_xlpm.pos,MASTER!$I:$I,0))&amp;"_ser_0.20_"&amp;TEXT(INDEX(MASTER!$E:$E,MATCH(_xlpm.pos,MASTER!$I:$I,0)),"mmddyy"),""),_xlpm.slot,1536+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81" spans="1:13" ht="22" customHeight="1" x14ac:dyDescent="0.35">
      <c r="A181" s="6" t="s">
        <v>32</v>
      </c>
      <c r="B181" s="4" t="str">
        <f>_xlfn.LET(_xlpm.pos,"NIH plate 17: "&amp;$A5&amp;B$2,_xlpm.normal,IFERROR(INDEX(MASTER!$A:$A,MATCH(_xlpm.pos,MASTER!$I:$I,0))&amp;"_ser_0.20_"&amp;TEXT(INDEX(MASTER!$E:$E,MATCH(_xlpm.pos,MASTER!$I:$I,0)),"mmddyy"),""),_xlpm.slot,1536+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81" s="4" t="str">
        <f>_xlfn.LET(_xlpm.pos,"NIH plate 17: "&amp;$A5&amp;C$2,_xlpm.normal,IFERROR(INDEX(MASTER!$A:$A,MATCH(_xlpm.pos,MASTER!$I:$I,0))&amp;"_ser_0.20_"&amp;TEXT(INDEX(MASTER!$E:$E,MATCH(_xlpm.pos,MASTER!$I:$I,0)),"mmddyy"),""),_xlpm.slot,1536+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81" s="4" t="str">
        <f>_xlfn.LET(_xlpm.pos,"NIH plate 17: "&amp;$A5&amp;D$2,_xlpm.normal,IFERROR(INDEX(MASTER!$A:$A,MATCH(_xlpm.pos,MASTER!$I:$I,0))&amp;"_ser_0.20_"&amp;TEXT(INDEX(MASTER!$E:$E,MATCH(_xlpm.pos,MASTER!$I:$I,0)),"mmddyy"),""),_xlpm.slot,1536+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81" s="4" t="str">
        <f>_xlfn.LET(_xlpm.pos,"NIH plate 17: "&amp;$A5&amp;E$2,_xlpm.normal,IFERROR(INDEX(MASTER!$A:$A,MATCH(_xlpm.pos,MASTER!$I:$I,0))&amp;"_ser_0.20_"&amp;TEXT(INDEX(MASTER!$E:$E,MATCH(_xlpm.pos,MASTER!$I:$I,0)),"mmddyy"),""),_xlpm.slot,1536+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81" s="4" t="str">
        <f>_xlfn.LET(_xlpm.pos,"NIH plate 17: "&amp;$A5&amp;F$2,_xlpm.normal,IFERROR(INDEX(MASTER!$A:$A,MATCH(_xlpm.pos,MASTER!$I:$I,0))&amp;"_ser_0.20_"&amp;TEXT(INDEX(MASTER!$E:$E,MATCH(_xlpm.pos,MASTER!$I:$I,0)),"mmddyy"),""),_xlpm.slot,1536+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81" s="4" t="str">
        <f>_xlfn.LET(_xlpm.pos,"NIH plate 17: "&amp;$A5&amp;G$2,_xlpm.normal,IFERROR(INDEX(MASTER!$A:$A,MATCH(_xlpm.pos,MASTER!$I:$I,0))&amp;"_ser_0.20_"&amp;TEXT(INDEX(MASTER!$E:$E,MATCH(_xlpm.pos,MASTER!$I:$I,0)),"mmddyy"),""),_xlpm.slot,1536+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81" s="4" t="str">
        <f>_xlfn.LET(_xlpm.pos,"NIH plate 17: "&amp;$A5&amp;H$2,_xlpm.normal,IFERROR(INDEX(MASTER!$A:$A,MATCH(_xlpm.pos,MASTER!$I:$I,0))&amp;"_ser_0.20_"&amp;TEXT(INDEX(MASTER!$E:$E,MATCH(_xlpm.pos,MASTER!$I:$I,0)),"mmddyy"),""),_xlpm.slot,1536+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81" s="4" t="str">
        <f>_xlfn.LET(_xlpm.pos,"NIH plate 17: "&amp;$A5&amp;I$2,_xlpm.normal,IFERROR(INDEX(MASTER!$A:$A,MATCH(_xlpm.pos,MASTER!$I:$I,0))&amp;"_ser_0.20_"&amp;TEXT(INDEX(MASTER!$E:$E,MATCH(_xlpm.pos,MASTER!$I:$I,0)),"mmddyy"),""),_xlpm.slot,1536+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81" s="4" t="str">
        <f>_xlfn.LET(_xlpm.pos,"NIH plate 17: "&amp;$A5&amp;J$2,_xlpm.normal,IFERROR(INDEX(MASTER!$A:$A,MATCH(_xlpm.pos,MASTER!$I:$I,0))&amp;"_ser_0.20_"&amp;TEXT(INDEX(MASTER!$E:$E,MATCH(_xlpm.pos,MASTER!$I:$I,0)),"mmddyy"),""),_xlpm.slot,1536+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81" s="4" t="str">
        <f>_xlfn.LET(_xlpm.pos,"NIH plate 17: "&amp;$A5&amp;K$2,_xlpm.normal,IFERROR(INDEX(MASTER!$A:$A,MATCH(_xlpm.pos,MASTER!$I:$I,0))&amp;"_ser_0.20_"&amp;TEXT(INDEX(MASTER!$E:$E,MATCH(_xlpm.pos,MASTER!$I:$I,0)),"mmddyy"),""),_xlpm.slot,1536+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81" s="4" t="str">
        <f>_xlfn.LET(_xlpm.pos,"NIH plate 17: "&amp;$A5&amp;L$2,_xlpm.normal,IFERROR(INDEX(MASTER!$A:$A,MATCH(_xlpm.pos,MASTER!$I:$I,0))&amp;"_ser_0.20_"&amp;TEXT(INDEX(MASTER!$E:$E,MATCH(_xlpm.pos,MASTER!$I:$I,0)),"mmddyy"),""),_xlpm.slot,1536+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81" s="4" t="str">
        <f>_xlfn.LET(_xlpm.pos,"NIH plate 17: "&amp;$A5&amp;M$2,_xlpm.normal,IFERROR(INDEX(MASTER!$A:$A,MATCH(_xlpm.pos,MASTER!$I:$I,0))&amp;"_ser_0.20_"&amp;TEXT(INDEX(MASTER!$E:$E,MATCH(_xlpm.pos,MASTER!$I:$I,0)),"mmddyy"),""),_xlpm.slot,1536+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82" spans="1:13" ht="22" customHeight="1" x14ac:dyDescent="0.35">
      <c r="A182" s="6" t="s">
        <v>33</v>
      </c>
      <c r="B182" s="4" t="str">
        <f>_xlfn.LET(_xlpm.pos,"NIH plate 17: "&amp;$A6&amp;B$2,_xlpm.normal,IFERROR(INDEX(MASTER!$A:$A,MATCH(_xlpm.pos,MASTER!$I:$I,0))&amp;"_ser_0.20_"&amp;TEXT(INDEX(MASTER!$E:$E,MATCH(_xlpm.pos,MASTER!$I:$I,0)),"mmddyy"),""),_xlpm.slot,1536+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82" s="4" t="str">
        <f>_xlfn.LET(_xlpm.pos,"NIH plate 17: "&amp;$A6&amp;C$2,_xlpm.normal,IFERROR(INDEX(MASTER!$A:$A,MATCH(_xlpm.pos,MASTER!$I:$I,0))&amp;"_ser_0.20_"&amp;TEXT(INDEX(MASTER!$E:$E,MATCH(_xlpm.pos,MASTER!$I:$I,0)),"mmddyy"),""),_xlpm.slot,1536+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82" s="4" t="str">
        <f>_xlfn.LET(_xlpm.pos,"NIH plate 17: "&amp;$A6&amp;D$2,_xlpm.normal,IFERROR(INDEX(MASTER!$A:$A,MATCH(_xlpm.pos,MASTER!$I:$I,0))&amp;"_ser_0.20_"&amp;TEXT(INDEX(MASTER!$E:$E,MATCH(_xlpm.pos,MASTER!$I:$I,0)),"mmddyy"),""),_xlpm.slot,1536+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82" s="4" t="str">
        <f>_xlfn.LET(_xlpm.pos,"NIH plate 17: "&amp;$A6&amp;E$2,_xlpm.normal,IFERROR(INDEX(MASTER!$A:$A,MATCH(_xlpm.pos,MASTER!$I:$I,0))&amp;"_ser_0.20_"&amp;TEXT(INDEX(MASTER!$E:$E,MATCH(_xlpm.pos,MASTER!$I:$I,0)),"mmddyy"),""),_xlpm.slot,1536+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82" s="4" t="str">
        <f>_xlfn.LET(_xlpm.pos,"NIH plate 17: "&amp;$A6&amp;F$2,_xlpm.normal,IFERROR(INDEX(MASTER!$A:$A,MATCH(_xlpm.pos,MASTER!$I:$I,0))&amp;"_ser_0.20_"&amp;TEXT(INDEX(MASTER!$E:$E,MATCH(_xlpm.pos,MASTER!$I:$I,0)),"mmddyy"),""),_xlpm.slot,1536+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82" s="4" t="str">
        <f>_xlfn.LET(_xlpm.pos,"NIH plate 17: "&amp;$A6&amp;G$2,_xlpm.normal,IFERROR(INDEX(MASTER!$A:$A,MATCH(_xlpm.pos,MASTER!$I:$I,0))&amp;"_ser_0.20_"&amp;TEXT(INDEX(MASTER!$E:$E,MATCH(_xlpm.pos,MASTER!$I:$I,0)),"mmddyy"),""),_xlpm.slot,1536+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82" s="4" t="str">
        <f>_xlfn.LET(_xlpm.pos,"NIH plate 17: "&amp;$A6&amp;H$2,_xlpm.normal,IFERROR(INDEX(MASTER!$A:$A,MATCH(_xlpm.pos,MASTER!$I:$I,0))&amp;"_ser_0.20_"&amp;TEXT(INDEX(MASTER!$E:$E,MATCH(_xlpm.pos,MASTER!$I:$I,0)),"mmddyy"),""),_xlpm.slot,1536+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82" s="4" t="str">
        <f>_xlfn.LET(_xlpm.pos,"NIH plate 17: "&amp;$A6&amp;I$2,_xlpm.normal,IFERROR(INDEX(MASTER!$A:$A,MATCH(_xlpm.pos,MASTER!$I:$I,0))&amp;"_ser_0.20_"&amp;TEXT(INDEX(MASTER!$E:$E,MATCH(_xlpm.pos,MASTER!$I:$I,0)),"mmddyy"),""),_xlpm.slot,1536+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82" s="4" t="str">
        <f>_xlfn.LET(_xlpm.pos,"NIH plate 17: "&amp;$A6&amp;J$2,_xlpm.normal,IFERROR(INDEX(MASTER!$A:$A,MATCH(_xlpm.pos,MASTER!$I:$I,0))&amp;"_ser_0.20_"&amp;TEXT(INDEX(MASTER!$E:$E,MATCH(_xlpm.pos,MASTER!$I:$I,0)),"mmddyy"),""),_xlpm.slot,1536+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82" s="4" t="str">
        <f>_xlfn.LET(_xlpm.pos,"NIH plate 17: "&amp;$A6&amp;K$2,_xlpm.normal,IFERROR(INDEX(MASTER!$A:$A,MATCH(_xlpm.pos,MASTER!$I:$I,0))&amp;"_ser_0.20_"&amp;TEXT(INDEX(MASTER!$E:$E,MATCH(_xlpm.pos,MASTER!$I:$I,0)),"mmddyy"),""),_xlpm.slot,1536+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82" s="4" t="str">
        <f>_xlfn.LET(_xlpm.pos,"NIH plate 17: "&amp;$A6&amp;L$2,_xlpm.normal,IFERROR(INDEX(MASTER!$A:$A,MATCH(_xlpm.pos,MASTER!$I:$I,0))&amp;"_ser_0.20_"&amp;TEXT(INDEX(MASTER!$E:$E,MATCH(_xlpm.pos,MASTER!$I:$I,0)),"mmddyy"),""),_xlpm.slot,1536+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82" s="4" t="str">
        <f>_xlfn.LET(_xlpm.pos,"NIH plate 17: "&amp;$A6&amp;M$2,_xlpm.normal,IFERROR(INDEX(MASTER!$A:$A,MATCH(_xlpm.pos,MASTER!$I:$I,0))&amp;"_ser_0.20_"&amp;TEXT(INDEX(MASTER!$E:$E,MATCH(_xlpm.pos,MASTER!$I:$I,0)),"mmddyy"),""),_xlpm.slot,1536+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83" spans="1:13" ht="22" customHeight="1" x14ac:dyDescent="0.35">
      <c r="A183" s="6" t="s">
        <v>34</v>
      </c>
      <c r="B183" s="4" t="str">
        <f>_xlfn.LET(_xlpm.pos,"NIH plate 17: "&amp;$A7&amp;B$2,_xlpm.normal,IFERROR(INDEX(MASTER!$A:$A,MATCH(_xlpm.pos,MASTER!$I:$I,0))&amp;"_ser_0.20_"&amp;TEXT(INDEX(MASTER!$E:$E,MATCH(_xlpm.pos,MASTER!$I:$I,0)),"mmddyy"),""),_xlpm.slot,1536+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83" s="4" t="str">
        <f>_xlfn.LET(_xlpm.pos,"NIH plate 17: "&amp;$A7&amp;C$2,_xlpm.normal,IFERROR(INDEX(MASTER!$A:$A,MATCH(_xlpm.pos,MASTER!$I:$I,0))&amp;"_ser_0.20_"&amp;TEXT(INDEX(MASTER!$E:$E,MATCH(_xlpm.pos,MASTER!$I:$I,0)),"mmddyy"),""),_xlpm.slot,1536+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83" s="4" t="str">
        <f>_xlfn.LET(_xlpm.pos,"NIH plate 17: "&amp;$A7&amp;D$2,_xlpm.normal,IFERROR(INDEX(MASTER!$A:$A,MATCH(_xlpm.pos,MASTER!$I:$I,0))&amp;"_ser_0.20_"&amp;TEXT(INDEX(MASTER!$E:$E,MATCH(_xlpm.pos,MASTER!$I:$I,0)),"mmddyy"),""),_xlpm.slot,1536+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83" s="4" t="str">
        <f>_xlfn.LET(_xlpm.pos,"NIH plate 17: "&amp;$A7&amp;E$2,_xlpm.normal,IFERROR(INDEX(MASTER!$A:$A,MATCH(_xlpm.pos,MASTER!$I:$I,0))&amp;"_ser_0.20_"&amp;TEXT(INDEX(MASTER!$E:$E,MATCH(_xlpm.pos,MASTER!$I:$I,0)),"mmddyy"),""),_xlpm.slot,1536+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83" s="4" t="str">
        <f>_xlfn.LET(_xlpm.pos,"NIH plate 17: "&amp;$A7&amp;F$2,_xlpm.normal,IFERROR(INDEX(MASTER!$A:$A,MATCH(_xlpm.pos,MASTER!$I:$I,0))&amp;"_ser_0.20_"&amp;TEXT(INDEX(MASTER!$E:$E,MATCH(_xlpm.pos,MASTER!$I:$I,0)),"mmddyy"),""),_xlpm.slot,1536+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83" s="4" t="str">
        <f>_xlfn.LET(_xlpm.pos,"NIH plate 17: "&amp;$A7&amp;G$2,_xlpm.normal,IFERROR(INDEX(MASTER!$A:$A,MATCH(_xlpm.pos,MASTER!$I:$I,0))&amp;"_ser_0.20_"&amp;TEXT(INDEX(MASTER!$E:$E,MATCH(_xlpm.pos,MASTER!$I:$I,0)),"mmddyy"),""),_xlpm.slot,1536+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83" s="4" t="str">
        <f>_xlfn.LET(_xlpm.pos,"NIH plate 17: "&amp;$A7&amp;H$2,_xlpm.normal,IFERROR(INDEX(MASTER!$A:$A,MATCH(_xlpm.pos,MASTER!$I:$I,0))&amp;"_ser_0.20_"&amp;TEXT(INDEX(MASTER!$E:$E,MATCH(_xlpm.pos,MASTER!$I:$I,0)),"mmddyy"),""),_xlpm.slot,1536+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83" s="4" t="str">
        <f>_xlfn.LET(_xlpm.pos,"NIH plate 17: "&amp;$A7&amp;I$2,_xlpm.normal,IFERROR(INDEX(MASTER!$A:$A,MATCH(_xlpm.pos,MASTER!$I:$I,0))&amp;"_ser_0.20_"&amp;TEXT(INDEX(MASTER!$E:$E,MATCH(_xlpm.pos,MASTER!$I:$I,0)),"mmddyy"),""),_xlpm.slot,1536+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83" s="4" t="str">
        <f>_xlfn.LET(_xlpm.pos,"NIH plate 17: "&amp;$A7&amp;J$2,_xlpm.normal,IFERROR(INDEX(MASTER!$A:$A,MATCH(_xlpm.pos,MASTER!$I:$I,0))&amp;"_ser_0.20_"&amp;TEXT(INDEX(MASTER!$E:$E,MATCH(_xlpm.pos,MASTER!$I:$I,0)),"mmddyy"),""),_xlpm.slot,1536+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83" s="4" t="str">
        <f>_xlfn.LET(_xlpm.pos,"NIH plate 17: "&amp;$A7&amp;K$2,_xlpm.normal,IFERROR(INDEX(MASTER!$A:$A,MATCH(_xlpm.pos,MASTER!$I:$I,0))&amp;"_ser_0.20_"&amp;TEXT(INDEX(MASTER!$E:$E,MATCH(_xlpm.pos,MASTER!$I:$I,0)),"mmddyy"),""),_xlpm.slot,1536+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83" s="4" t="str">
        <f>_xlfn.LET(_xlpm.pos,"NIH plate 17: "&amp;$A7&amp;L$2,_xlpm.normal,IFERROR(INDEX(MASTER!$A:$A,MATCH(_xlpm.pos,MASTER!$I:$I,0))&amp;"_ser_0.20_"&amp;TEXT(INDEX(MASTER!$E:$E,MATCH(_xlpm.pos,MASTER!$I:$I,0)),"mmddyy"),""),_xlpm.slot,1536+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83" s="4" t="str">
        <f>_xlfn.LET(_xlpm.pos,"NIH plate 17: "&amp;$A7&amp;M$2,_xlpm.normal,IFERROR(INDEX(MASTER!$A:$A,MATCH(_xlpm.pos,MASTER!$I:$I,0))&amp;"_ser_0.20_"&amp;TEXT(INDEX(MASTER!$E:$E,MATCH(_xlpm.pos,MASTER!$I:$I,0)),"mmddyy"),""),_xlpm.slot,1536+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84" spans="1:13" ht="22" customHeight="1" x14ac:dyDescent="0.35">
      <c r="A184" s="6" t="s">
        <v>15</v>
      </c>
      <c r="B184" s="4" t="str">
        <f>_xlfn.LET(_xlpm.pos,"NIH plate 17: "&amp;$A8&amp;B$2,_xlpm.normal,IFERROR(INDEX(MASTER!$A:$A,MATCH(_xlpm.pos,MASTER!$I:$I,0))&amp;"_ser_0.20_"&amp;TEXT(INDEX(MASTER!$E:$E,MATCH(_xlpm.pos,MASTER!$I:$I,0)),"mmddyy"),""),_xlpm.slot,1536+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84" s="4" t="str">
        <f>_xlfn.LET(_xlpm.pos,"NIH plate 17: "&amp;$A8&amp;C$2,_xlpm.normal,IFERROR(INDEX(MASTER!$A:$A,MATCH(_xlpm.pos,MASTER!$I:$I,0))&amp;"_ser_0.20_"&amp;TEXT(INDEX(MASTER!$E:$E,MATCH(_xlpm.pos,MASTER!$I:$I,0)),"mmddyy"),""),_xlpm.slot,1536+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84" s="4" t="str">
        <f>_xlfn.LET(_xlpm.pos,"NIH plate 17: "&amp;$A8&amp;D$2,_xlpm.normal,IFERROR(INDEX(MASTER!$A:$A,MATCH(_xlpm.pos,MASTER!$I:$I,0))&amp;"_ser_0.20_"&amp;TEXT(INDEX(MASTER!$E:$E,MATCH(_xlpm.pos,MASTER!$I:$I,0)),"mmddyy"),""),_xlpm.slot,1536+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84" s="4" t="str">
        <f>_xlfn.LET(_xlpm.pos,"NIH plate 17: "&amp;$A8&amp;E$2,_xlpm.normal,IFERROR(INDEX(MASTER!$A:$A,MATCH(_xlpm.pos,MASTER!$I:$I,0))&amp;"_ser_0.20_"&amp;TEXT(INDEX(MASTER!$E:$E,MATCH(_xlpm.pos,MASTER!$I:$I,0)),"mmddyy"),""),_xlpm.slot,1536+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84" s="4" t="str">
        <f>_xlfn.LET(_xlpm.pos,"NIH plate 17: "&amp;$A8&amp;F$2,_xlpm.normal,IFERROR(INDEX(MASTER!$A:$A,MATCH(_xlpm.pos,MASTER!$I:$I,0))&amp;"_ser_0.20_"&amp;TEXT(INDEX(MASTER!$E:$E,MATCH(_xlpm.pos,MASTER!$I:$I,0)),"mmddyy"),""),_xlpm.slot,1536+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84" s="4" t="str">
        <f>_xlfn.LET(_xlpm.pos,"NIH plate 17: "&amp;$A8&amp;G$2,_xlpm.normal,IFERROR(INDEX(MASTER!$A:$A,MATCH(_xlpm.pos,MASTER!$I:$I,0))&amp;"_ser_0.20_"&amp;TEXT(INDEX(MASTER!$E:$E,MATCH(_xlpm.pos,MASTER!$I:$I,0)),"mmddyy"),""),_xlpm.slot,1536+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84" s="4" t="str">
        <f>_xlfn.LET(_xlpm.pos,"NIH plate 17: "&amp;$A8&amp;H$2,_xlpm.normal,IFERROR(INDEX(MASTER!$A:$A,MATCH(_xlpm.pos,MASTER!$I:$I,0))&amp;"_ser_0.20_"&amp;TEXT(INDEX(MASTER!$E:$E,MATCH(_xlpm.pos,MASTER!$I:$I,0)),"mmddyy"),""),_xlpm.slot,1536+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84" s="4" t="str">
        <f>_xlfn.LET(_xlpm.pos,"NIH plate 17: "&amp;$A8&amp;I$2,_xlpm.normal,IFERROR(INDEX(MASTER!$A:$A,MATCH(_xlpm.pos,MASTER!$I:$I,0))&amp;"_ser_0.20_"&amp;TEXT(INDEX(MASTER!$E:$E,MATCH(_xlpm.pos,MASTER!$I:$I,0)),"mmddyy"),""),_xlpm.slot,1536+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84" s="4" t="str">
        <f>_xlfn.LET(_xlpm.pos,"NIH plate 17: "&amp;$A8&amp;J$2,_xlpm.normal,IFERROR(INDEX(MASTER!$A:$A,MATCH(_xlpm.pos,MASTER!$I:$I,0))&amp;"_ser_0.20_"&amp;TEXT(INDEX(MASTER!$E:$E,MATCH(_xlpm.pos,MASTER!$I:$I,0)),"mmddyy"),""),_xlpm.slot,1536+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84" s="4" t="str">
        <f>_xlfn.LET(_xlpm.pos,"NIH plate 17: "&amp;$A8&amp;K$2,_xlpm.normal,IFERROR(INDEX(MASTER!$A:$A,MATCH(_xlpm.pos,MASTER!$I:$I,0))&amp;"_ser_0.20_"&amp;TEXT(INDEX(MASTER!$E:$E,MATCH(_xlpm.pos,MASTER!$I:$I,0)),"mmddyy"),""),_xlpm.slot,1536+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84" s="4" t="str">
        <f>_xlfn.LET(_xlpm.pos,"NIH plate 17: "&amp;$A8&amp;L$2,_xlpm.normal,IFERROR(INDEX(MASTER!$A:$A,MATCH(_xlpm.pos,MASTER!$I:$I,0))&amp;"_ser_0.20_"&amp;TEXT(INDEX(MASTER!$E:$E,MATCH(_xlpm.pos,MASTER!$I:$I,0)),"mmddyy"),""),_xlpm.slot,1536+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84" s="4" t="str">
        <f>_xlfn.LET(_xlpm.pos,"NIH plate 17: "&amp;$A8&amp;M$2,_xlpm.normal,IFERROR(INDEX(MASTER!$A:$A,MATCH(_xlpm.pos,MASTER!$I:$I,0))&amp;"_ser_0.20_"&amp;TEXT(INDEX(MASTER!$E:$E,MATCH(_xlpm.pos,MASTER!$I:$I,0)),"mmddyy"),""),_xlpm.slot,1536+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85" spans="1:13" ht="22" customHeight="1" x14ac:dyDescent="0.35">
      <c r="A185" s="6" t="s">
        <v>35</v>
      </c>
      <c r="B185" s="4" t="str">
        <f>_xlfn.LET(_xlpm.pos,"NIH plate 17: "&amp;$A9&amp;B$2,_xlpm.normal,IFERROR(INDEX(MASTER!$A:$A,MATCH(_xlpm.pos,MASTER!$I:$I,0))&amp;"_ser_0.20_"&amp;TEXT(INDEX(MASTER!$E:$E,MATCH(_xlpm.pos,MASTER!$I:$I,0)),"mmddyy"),""),_xlpm.slot,1536+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85" s="4" t="str">
        <f>_xlfn.LET(_xlpm.pos,"NIH plate 17: "&amp;$A9&amp;C$2,_xlpm.normal,IFERROR(INDEX(MASTER!$A:$A,MATCH(_xlpm.pos,MASTER!$I:$I,0))&amp;"_ser_0.20_"&amp;TEXT(INDEX(MASTER!$E:$E,MATCH(_xlpm.pos,MASTER!$I:$I,0)),"mmddyy"),""),_xlpm.slot,1536+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85" s="4" t="str">
        <f>_xlfn.LET(_xlpm.pos,"NIH plate 17: "&amp;$A9&amp;D$2,_xlpm.normal,IFERROR(INDEX(MASTER!$A:$A,MATCH(_xlpm.pos,MASTER!$I:$I,0))&amp;"_ser_0.20_"&amp;TEXT(INDEX(MASTER!$E:$E,MATCH(_xlpm.pos,MASTER!$I:$I,0)),"mmddyy"),""),_xlpm.slot,1536+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85" s="4" t="str">
        <f>_xlfn.LET(_xlpm.pos,"NIH plate 17: "&amp;$A9&amp;E$2,_xlpm.normal,IFERROR(INDEX(MASTER!$A:$A,MATCH(_xlpm.pos,MASTER!$I:$I,0))&amp;"_ser_0.20_"&amp;TEXT(INDEX(MASTER!$E:$E,MATCH(_xlpm.pos,MASTER!$I:$I,0)),"mmddyy"),""),_xlpm.slot,1536+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85" s="4" t="str">
        <f>_xlfn.LET(_xlpm.pos,"NIH plate 17: "&amp;$A9&amp;F$2,_xlpm.normal,IFERROR(INDEX(MASTER!$A:$A,MATCH(_xlpm.pos,MASTER!$I:$I,0))&amp;"_ser_0.20_"&amp;TEXT(INDEX(MASTER!$E:$E,MATCH(_xlpm.pos,MASTER!$I:$I,0)),"mmddyy"),""),_xlpm.slot,1536+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85" s="4" t="str">
        <f>_xlfn.LET(_xlpm.pos,"NIH plate 17: "&amp;$A9&amp;G$2,_xlpm.normal,IFERROR(INDEX(MASTER!$A:$A,MATCH(_xlpm.pos,MASTER!$I:$I,0))&amp;"_ser_0.20_"&amp;TEXT(INDEX(MASTER!$E:$E,MATCH(_xlpm.pos,MASTER!$I:$I,0)),"mmddyy"),""),_xlpm.slot,1536+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85" s="4" t="str">
        <f>_xlfn.LET(_xlpm.pos,"NIH plate 17: "&amp;$A9&amp;H$2,_xlpm.normal,IFERROR(INDEX(MASTER!$A:$A,MATCH(_xlpm.pos,MASTER!$I:$I,0))&amp;"_ser_0.20_"&amp;TEXT(INDEX(MASTER!$E:$E,MATCH(_xlpm.pos,MASTER!$I:$I,0)),"mmddyy"),""),_xlpm.slot,1536+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85" s="4" t="str">
        <f>_xlfn.LET(_xlpm.pos,"NIH plate 17: "&amp;$A9&amp;I$2,_xlpm.normal,IFERROR(INDEX(MASTER!$A:$A,MATCH(_xlpm.pos,MASTER!$I:$I,0))&amp;"_ser_0.20_"&amp;TEXT(INDEX(MASTER!$E:$E,MATCH(_xlpm.pos,MASTER!$I:$I,0)),"mmddyy"),""),_xlpm.slot,1536+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85" s="4" t="str">
        <f>_xlfn.LET(_xlpm.pos,"NIH plate 17: "&amp;$A9&amp;J$2,_xlpm.normal,IFERROR(INDEX(MASTER!$A:$A,MATCH(_xlpm.pos,MASTER!$I:$I,0))&amp;"_ser_0.20_"&amp;TEXT(INDEX(MASTER!$E:$E,MATCH(_xlpm.pos,MASTER!$I:$I,0)),"mmddyy"),""),_xlpm.slot,1536+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85" s="4" t="str">
        <f>_xlfn.LET(_xlpm.pos,"NIH plate 17: "&amp;$A9&amp;K$2,_xlpm.normal,IFERROR(INDEX(MASTER!$A:$A,MATCH(_xlpm.pos,MASTER!$I:$I,0))&amp;"_ser_0.20_"&amp;TEXT(INDEX(MASTER!$E:$E,MATCH(_xlpm.pos,MASTER!$I:$I,0)),"mmddyy"),""),_xlpm.slot,1536+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85" s="4" t="str">
        <f>_xlfn.LET(_xlpm.pos,"NIH plate 17: "&amp;$A9&amp;L$2,_xlpm.normal,IFERROR(INDEX(MASTER!$A:$A,MATCH(_xlpm.pos,MASTER!$I:$I,0))&amp;"_ser_0.20_"&amp;TEXT(INDEX(MASTER!$E:$E,MATCH(_xlpm.pos,MASTER!$I:$I,0)),"mmddyy"),""),_xlpm.slot,1536+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85" s="4" t="str">
        <f>_xlfn.LET(_xlpm.pos,"NIH plate 17: "&amp;$A9&amp;M$2,_xlpm.normal,IFERROR(INDEX(MASTER!$A:$A,MATCH(_xlpm.pos,MASTER!$I:$I,0))&amp;"_ser_0.20_"&amp;TEXT(INDEX(MASTER!$E:$E,MATCH(_xlpm.pos,MASTER!$I:$I,0)),"mmddyy"),""),_xlpm.slot,1536+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86" spans="1:13" ht="22" customHeight="1" x14ac:dyDescent="0.35">
      <c r="A186" s="6" t="s">
        <v>36</v>
      </c>
      <c r="B186" s="4" t="str">
        <f>_xlfn.LET(_xlpm.pos,"NIH plate 17: "&amp;$A10&amp;B$2,_xlpm.normal,IFERROR(INDEX(MASTER!$A:$A,MATCH(_xlpm.pos,MASTER!$I:$I,0))&amp;"_ser_0.20_"&amp;TEXT(INDEX(MASTER!$E:$E,MATCH(_xlpm.pos,MASTER!$I:$I,0)),"mmddyy"),""),_xlpm.slot,1536+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86" s="4" t="str">
        <f>_xlfn.LET(_xlpm.pos,"NIH plate 17: "&amp;$A10&amp;C$2,_xlpm.normal,IFERROR(INDEX(MASTER!$A:$A,MATCH(_xlpm.pos,MASTER!$I:$I,0))&amp;"_ser_0.20_"&amp;TEXT(INDEX(MASTER!$E:$E,MATCH(_xlpm.pos,MASTER!$I:$I,0)),"mmddyy"),""),_xlpm.slot,1536+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86" s="4" t="str">
        <f>_xlfn.LET(_xlpm.pos,"NIH plate 17: "&amp;$A10&amp;D$2,_xlpm.normal,IFERROR(INDEX(MASTER!$A:$A,MATCH(_xlpm.pos,MASTER!$I:$I,0))&amp;"_ser_0.20_"&amp;TEXT(INDEX(MASTER!$E:$E,MATCH(_xlpm.pos,MASTER!$I:$I,0)),"mmddyy"),""),_xlpm.slot,1536+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86" s="4" t="str">
        <f>_xlfn.LET(_xlpm.pos,"NIH plate 17: "&amp;$A10&amp;E$2,_xlpm.normal,IFERROR(INDEX(MASTER!$A:$A,MATCH(_xlpm.pos,MASTER!$I:$I,0))&amp;"_ser_0.20_"&amp;TEXT(INDEX(MASTER!$E:$E,MATCH(_xlpm.pos,MASTER!$I:$I,0)),"mmddyy"),""),_xlpm.slot,1536+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86" s="4" t="str">
        <f>_xlfn.LET(_xlpm.pos,"NIH plate 17: "&amp;$A10&amp;F$2,_xlpm.normal,IFERROR(INDEX(MASTER!$A:$A,MATCH(_xlpm.pos,MASTER!$I:$I,0))&amp;"_ser_0.20_"&amp;TEXT(INDEX(MASTER!$E:$E,MATCH(_xlpm.pos,MASTER!$I:$I,0)),"mmddyy"),""),_xlpm.slot,1536+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86" s="4" t="str">
        <f>_xlfn.LET(_xlpm.pos,"NIH plate 17: "&amp;$A10&amp;G$2,_xlpm.normal,IFERROR(INDEX(MASTER!$A:$A,MATCH(_xlpm.pos,MASTER!$I:$I,0))&amp;"_ser_0.20_"&amp;TEXT(INDEX(MASTER!$E:$E,MATCH(_xlpm.pos,MASTER!$I:$I,0)),"mmddyy"),""),_xlpm.slot,1536+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86" s="4" t="str">
        <f>_xlfn.LET(_xlpm.pos,"NIH plate 17: "&amp;$A10&amp;H$2,_xlpm.normal,IFERROR(INDEX(MASTER!$A:$A,MATCH(_xlpm.pos,MASTER!$I:$I,0))&amp;"_ser_0.20_"&amp;TEXT(INDEX(MASTER!$E:$E,MATCH(_xlpm.pos,MASTER!$I:$I,0)),"mmddyy"),""),_xlpm.slot,1536+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86" s="4" t="str">
        <f>_xlfn.LET(_xlpm.pos,"NIH plate 17: "&amp;$A10&amp;I$2,_xlpm.normal,IFERROR(INDEX(MASTER!$A:$A,MATCH(_xlpm.pos,MASTER!$I:$I,0))&amp;"_ser_0.20_"&amp;TEXT(INDEX(MASTER!$E:$E,MATCH(_xlpm.pos,MASTER!$I:$I,0)),"mmddyy"),""),_xlpm.slot,1536+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86" s="4" t="str">
        <f>_xlfn.LET(_xlpm.pos,"NIH plate 17: "&amp;$A10&amp;J$2,_xlpm.normal,IFERROR(INDEX(MASTER!$A:$A,MATCH(_xlpm.pos,MASTER!$I:$I,0))&amp;"_ser_0.20_"&amp;TEXT(INDEX(MASTER!$E:$E,MATCH(_xlpm.pos,MASTER!$I:$I,0)),"mmddyy"),""),_xlpm.slot,1536+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86" s="4" t="str">
        <f>_xlfn.LET(_xlpm.pos,"NIH plate 17: "&amp;$A10&amp;K$2,_xlpm.normal,IFERROR(INDEX(MASTER!$A:$A,MATCH(_xlpm.pos,MASTER!$I:$I,0))&amp;"_ser_0.20_"&amp;TEXT(INDEX(MASTER!$E:$E,MATCH(_xlpm.pos,MASTER!$I:$I,0)),"mmddyy"),""),_xlpm.slot,1536+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86" s="4" t="str">
        <f>_xlfn.LET(_xlpm.pos,"NIH plate 17: "&amp;$A10&amp;L$2,_xlpm.normal,IFERROR(INDEX(MASTER!$A:$A,MATCH(_xlpm.pos,MASTER!$I:$I,0))&amp;"_ser_0.20_"&amp;TEXT(INDEX(MASTER!$E:$E,MATCH(_xlpm.pos,MASTER!$I:$I,0)),"mmddyy"),""),_xlpm.slot,1536+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86" s="4" t="str">
        <f>_xlfn.LET(_xlpm.pos,"NIH plate 17: "&amp;$A10&amp;M$2,_xlpm.normal,IFERROR(INDEX(MASTER!$A:$A,MATCH(_xlpm.pos,MASTER!$I:$I,0))&amp;"_ser_0.20_"&amp;TEXT(INDEX(MASTER!$E:$E,MATCH(_xlpm.pos,MASTER!$I:$I,0)),"mmddyy"),""),_xlpm.slot,1536+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87" spans="1:13" ht="22" customHeight="1" x14ac:dyDescent="0.3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</row>
    <row r="188" spans="1:13" ht="22" customHeight="1" x14ac:dyDescent="0.35">
      <c r="A188" s="7"/>
      <c r="B188" s="31" t="s">
        <v>74</v>
      </c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3"/>
    </row>
    <row r="189" spans="1:13" ht="22" customHeight="1" x14ac:dyDescent="0.35">
      <c r="A189" s="7"/>
      <c r="B189" s="6">
        <v>1</v>
      </c>
      <c r="C189" s="6">
        <v>2</v>
      </c>
      <c r="D189" s="6">
        <v>3</v>
      </c>
      <c r="E189" s="6">
        <v>4</v>
      </c>
      <c r="F189" s="6">
        <v>5</v>
      </c>
      <c r="G189" s="6">
        <v>6</v>
      </c>
      <c r="H189" s="6">
        <v>7</v>
      </c>
      <c r="I189" s="6">
        <v>8</v>
      </c>
      <c r="J189" s="6">
        <v>9</v>
      </c>
      <c r="K189" s="6">
        <v>10</v>
      </c>
      <c r="L189" s="6">
        <v>11</v>
      </c>
      <c r="M189" s="6">
        <v>12</v>
      </c>
    </row>
    <row r="190" spans="1:13" ht="22" customHeight="1" x14ac:dyDescent="0.35">
      <c r="A190" s="6" t="s">
        <v>30</v>
      </c>
      <c r="B190" s="4" t="str">
        <f>_xlfn.LET(_xlpm.pos,"NIH plate 18: "&amp;$A3&amp;B$2,_xlpm.normal,IFERROR(INDEX(MASTER!$A:$A,MATCH(_xlpm.pos,MASTER!$I:$I,0))&amp;"_ser_0.20_"&amp;TEXT(INDEX(MASTER!$E:$E,MATCH(_xlpm.pos,MASTER!$I:$I,0)),"mmddyy"),""),_xlpm.slot,1632+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90" s="4" t="str">
        <f>_xlfn.LET(_xlpm.pos,"NIH plate 18: "&amp;$A3&amp;C$2,_xlpm.normal,IFERROR(INDEX(MASTER!$A:$A,MATCH(_xlpm.pos,MASTER!$I:$I,0))&amp;"_ser_0.20_"&amp;TEXT(INDEX(MASTER!$E:$E,MATCH(_xlpm.pos,MASTER!$I:$I,0)),"mmddyy"),""),_xlpm.slot,1632+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90" s="4" t="str">
        <f>_xlfn.LET(_xlpm.pos,"NIH plate 18: "&amp;$A3&amp;D$2,_xlpm.normal,IFERROR(INDEX(MASTER!$A:$A,MATCH(_xlpm.pos,MASTER!$I:$I,0))&amp;"_ser_0.20_"&amp;TEXT(INDEX(MASTER!$E:$E,MATCH(_xlpm.pos,MASTER!$I:$I,0)),"mmddyy"),""),_xlpm.slot,1632+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90" s="4" t="str">
        <f>_xlfn.LET(_xlpm.pos,"NIH plate 18: "&amp;$A3&amp;E$2,_xlpm.normal,IFERROR(INDEX(MASTER!$A:$A,MATCH(_xlpm.pos,MASTER!$I:$I,0))&amp;"_ser_0.20_"&amp;TEXT(INDEX(MASTER!$E:$E,MATCH(_xlpm.pos,MASTER!$I:$I,0)),"mmddyy"),""),_xlpm.slot,1632+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90" s="4" t="str">
        <f>_xlfn.LET(_xlpm.pos,"NIH plate 18: "&amp;$A3&amp;F$2,_xlpm.normal,IFERROR(INDEX(MASTER!$A:$A,MATCH(_xlpm.pos,MASTER!$I:$I,0))&amp;"_ser_0.20_"&amp;TEXT(INDEX(MASTER!$E:$E,MATCH(_xlpm.pos,MASTER!$I:$I,0)),"mmddyy"),""),_xlpm.slot,1632+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90" s="4" t="str">
        <f>_xlfn.LET(_xlpm.pos,"NIH plate 18: "&amp;$A3&amp;G$2,_xlpm.normal,IFERROR(INDEX(MASTER!$A:$A,MATCH(_xlpm.pos,MASTER!$I:$I,0))&amp;"_ser_0.20_"&amp;TEXT(INDEX(MASTER!$E:$E,MATCH(_xlpm.pos,MASTER!$I:$I,0)),"mmddyy"),""),_xlpm.slot,1632+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90" s="4" t="str">
        <f>_xlfn.LET(_xlpm.pos,"NIH plate 18: "&amp;$A3&amp;H$2,_xlpm.normal,IFERROR(INDEX(MASTER!$A:$A,MATCH(_xlpm.pos,MASTER!$I:$I,0))&amp;"_ser_0.20_"&amp;TEXT(INDEX(MASTER!$E:$E,MATCH(_xlpm.pos,MASTER!$I:$I,0)),"mmddyy"),""),_xlpm.slot,1632+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90" s="4" t="str">
        <f>_xlfn.LET(_xlpm.pos,"NIH plate 18: "&amp;$A3&amp;I$2,_xlpm.normal,IFERROR(INDEX(MASTER!$A:$A,MATCH(_xlpm.pos,MASTER!$I:$I,0))&amp;"_ser_0.20_"&amp;TEXT(INDEX(MASTER!$E:$E,MATCH(_xlpm.pos,MASTER!$I:$I,0)),"mmddyy"),""),_xlpm.slot,1632+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90" s="4" t="str">
        <f>_xlfn.LET(_xlpm.pos,"NIH plate 18: "&amp;$A3&amp;J$2,_xlpm.normal,IFERROR(INDEX(MASTER!$A:$A,MATCH(_xlpm.pos,MASTER!$I:$I,0))&amp;"_ser_0.20_"&amp;TEXT(INDEX(MASTER!$E:$E,MATCH(_xlpm.pos,MASTER!$I:$I,0)),"mmddyy"),""),_xlpm.slot,1632+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90" s="4" t="str">
        <f>_xlfn.LET(_xlpm.pos,"NIH plate 18: "&amp;$A3&amp;K$2,_xlpm.normal,IFERROR(INDEX(MASTER!$A:$A,MATCH(_xlpm.pos,MASTER!$I:$I,0))&amp;"_ser_0.20_"&amp;TEXT(INDEX(MASTER!$E:$E,MATCH(_xlpm.pos,MASTER!$I:$I,0)),"mmddyy"),""),_xlpm.slot,1632+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90" s="4" t="str">
        <f>_xlfn.LET(_xlpm.pos,"NIH plate 18: "&amp;$A3&amp;L$2,_xlpm.normal,IFERROR(INDEX(MASTER!$A:$A,MATCH(_xlpm.pos,MASTER!$I:$I,0))&amp;"_ser_0.20_"&amp;TEXT(INDEX(MASTER!$E:$E,MATCH(_xlpm.pos,MASTER!$I:$I,0)),"mmddyy"),""),_xlpm.slot,1632+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90" s="4" t="str">
        <f>_xlfn.LET(_xlpm.pos,"NIH plate 18: "&amp;$A3&amp;M$2,_xlpm.normal,IFERROR(INDEX(MASTER!$A:$A,MATCH(_xlpm.pos,MASTER!$I:$I,0))&amp;"_ser_0.20_"&amp;TEXT(INDEX(MASTER!$E:$E,MATCH(_xlpm.pos,MASTER!$I:$I,0)),"mmddyy"),""),_xlpm.slot,1632+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91" spans="1:13" ht="22" customHeight="1" x14ac:dyDescent="0.35">
      <c r="A191" s="6" t="s">
        <v>31</v>
      </c>
      <c r="B191" s="4" t="str">
        <f>_xlfn.LET(_xlpm.pos,"NIH plate 18: "&amp;$A4&amp;B$2,_xlpm.normal,IFERROR(INDEX(MASTER!$A:$A,MATCH(_xlpm.pos,MASTER!$I:$I,0))&amp;"_ser_0.20_"&amp;TEXT(INDEX(MASTER!$E:$E,MATCH(_xlpm.pos,MASTER!$I:$I,0)),"mmddyy"),""),_xlpm.slot,1632+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91" s="4" t="str">
        <f>_xlfn.LET(_xlpm.pos,"NIH plate 18: "&amp;$A4&amp;C$2,_xlpm.normal,IFERROR(INDEX(MASTER!$A:$A,MATCH(_xlpm.pos,MASTER!$I:$I,0))&amp;"_ser_0.20_"&amp;TEXT(INDEX(MASTER!$E:$E,MATCH(_xlpm.pos,MASTER!$I:$I,0)),"mmddyy"),""),_xlpm.slot,1632+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91" s="4" t="str">
        <f>_xlfn.LET(_xlpm.pos,"NIH plate 18: "&amp;$A4&amp;D$2,_xlpm.normal,IFERROR(INDEX(MASTER!$A:$A,MATCH(_xlpm.pos,MASTER!$I:$I,0))&amp;"_ser_0.20_"&amp;TEXT(INDEX(MASTER!$E:$E,MATCH(_xlpm.pos,MASTER!$I:$I,0)),"mmddyy"),""),_xlpm.slot,1632+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91" s="4" t="str">
        <f>_xlfn.LET(_xlpm.pos,"NIH plate 18: "&amp;$A4&amp;E$2,_xlpm.normal,IFERROR(INDEX(MASTER!$A:$A,MATCH(_xlpm.pos,MASTER!$I:$I,0))&amp;"_ser_0.20_"&amp;TEXT(INDEX(MASTER!$E:$E,MATCH(_xlpm.pos,MASTER!$I:$I,0)),"mmddyy"),""),_xlpm.slot,1632+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91" s="4" t="str">
        <f>_xlfn.LET(_xlpm.pos,"NIH plate 18: "&amp;$A4&amp;F$2,_xlpm.normal,IFERROR(INDEX(MASTER!$A:$A,MATCH(_xlpm.pos,MASTER!$I:$I,0))&amp;"_ser_0.20_"&amp;TEXT(INDEX(MASTER!$E:$E,MATCH(_xlpm.pos,MASTER!$I:$I,0)),"mmddyy"),""),_xlpm.slot,1632+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91" s="4" t="str">
        <f>_xlfn.LET(_xlpm.pos,"NIH plate 18: "&amp;$A4&amp;G$2,_xlpm.normal,IFERROR(INDEX(MASTER!$A:$A,MATCH(_xlpm.pos,MASTER!$I:$I,0))&amp;"_ser_0.20_"&amp;TEXT(INDEX(MASTER!$E:$E,MATCH(_xlpm.pos,MASTER!$I:$I,0)),"mmddyy"),""),_xlpm.slot,1632+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91" s="4" t="str">
        <f>_xlfn.LET(_xlpm.pos,"NIH plate 18: "&amp;$A4&amp;H$2,_xlpm.normal,IFERROR(INDEX(MASTER!$A:$A,MATCH(_xlpm.pos,MASTER!$I:$I,0))&amp;"_ser_0.20_"&amp;TEXT(INDEX(MASTER!$E:$E,MATCH(_xlpm.pos,MASTER!$I:$I,0)),"mmddyy"),""),_xlpm.slot,1632+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91" s="4" t="str">
        <f>_xlfn.LET(_xlpm.pos,"NIH plate 18: "&amp;$A4&amp;I$2,_xlpm.normal,IFERROR(INDEX(MASTER!$A:$A,MATCH(_xlpm.pos,MASTER!$I:$I,0))&amp;"_ser_0.20_"&amp;TEXT(INDEX(MASTER!$E:$E,MATCH(_xlpm.pos,MASTER!$I:$I,0)),"mmddyy"),""),_xlpm.slot,1632+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91" s="4" t="str">
        <f>_xlfn.LET(_xlpm.pos,"NIH plate 18: "&amp;$A4&amp;J$2,_xlpm.normal,IFERROR(INDEX(MASTER!$A:$A,MATCH(_xlpm.pos,MASTER!$I:$I,0))&amp;"_ser_0.20_"&amp;TEXT(INDEX(MASTER!$E:$E,MATCH(_xlpm.pos,MASTER!$I:$I,0)),"mmddyy"),""),_xlpm.slot,1632+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91" s="4" t="str">
        <f>_xlfn.LET(_xlpm.pos,"NIH plate 18: "&amp;$A4&amp;K$2,_xlpm.normal,IFERROR(INDEX(MASTER!$A:$A,MATCH(_xlpm.pos,MASTER!$I:$I,0))&amp;"_ser_0.20_"&amp;TEXT(INDEX(MASTER!$E:$E,MATCH(_xlpm.pos,MASTER!$I:$I,0)),"mmddyy"),""),_xlpm.slot,1632+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91" s="4" t="str">
        <f>_xlfn.LET(_xlpm.pos,"NIH plate 18: "&amp;$A4&amp;L$2,_xlpm.normal,IFERROR(INDEX(MASTER!$A:$A,MATCH(_xlpm.pos,MASTER!$I:$I,0))&amp;"_ser_0.20_"&amp;TEXT(INDEX(MASTER!$E:$E,MATCH(_xlpm.pos,MASTER!$I:$I,0)),"mmddyy"),""),_xlpm.slot,1632+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91" s="4" t="str">
        <f>_xlfn.LET(_xlpm.pos,"NIH plate 18: "&amp;$A4&amp;M$2,_xlpm.normal,IFERROR(INDEX(MASTER!$A:$A,MATCH(_xlpm.pos,MASTER!$I:$I,0))&amp;"_ser_0.20_"&amp;TEXT(INDEX(MASTER!$E:$E,MATCH(_xlpm.pos,MASTER!$I:$I,0)),"mmddyy"),""),_xlpm.slot,1632+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92" spans="1:13" ht="22" customHeight="1" x14ac:dyDescent="0.35">
      <c r="A192" s="6" t="s">
        <v>32</v>
      </c>
      <c r="B192" s="4" t="str">
        <f>_xlfn.LET(_xlpm.pos,"NIH plate 18: "&amp;$A5&amp;B$2,_xlpm.normal,IFERROR(INDEX(MASTER!$A:$A,MATCH(_xlpm.pos,MASTER!$I:$I,0))&amp;"_ser_0.20_"&amp;TEXT(INDEX(MASTER!$E:$E,MATCH(_xlpm.pos,MASTER!$I:$I,0)),"mmddyy"),""),_xlpm.slot,1632+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92" s="4" t="str">
        <f>_xlfn.LET(_xlpm.pos,"NIH plate 18: "&amp;$A5&amp;C$2,_xlpm.normal,IFERROR(INDEX(MASTER!$A:$A,MATCH(_xlpm.pos,MASTER!$I:$I,0))&amp;"_ser_0.20_"&amp;TEXT(INDEX(MASTER!$E:$E,MATCH(_xlpm.pos,MASTER!$I:$I,0)),"mmddyy"),""),_xlpm.slot,1632+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92" s="4" t="str">
        <f>_xlfn.LET(_xlpm.pos,"NIH plate 18: "&amp;$A5&amp;D$2,_xlpm.normal,IFERROR(INDEX(MASTER!$A:$A,MATCH(_xlpm.pos,MASTER!$I:$I,0))&amp;"_ser_0.20_"&amp;TEXT(INDEX(MASTER!$E:$E,MATCH(_xlpm.pos,MASTER!$I:$I,0)),"mmddyy"),""),_xlpm.slot,1632+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92" s="4" t="str">
        <f>_xlfn.LET(_xlpm.pos,"NIH plate 18: "&amp;$A5&amp;E$2,_xlpm.normal,IFERROR(INDEX(MASTER!$A:$A,MATCH(_xlpm.pos,MASTER!$I:$I,0))&amp;"_ser_0.20_"&amp;TEXT(INDEX(MASTER!$E:$E,MATCH(_xlpm.pos,MASTER!$I:$I,0)),"mmddyy"),""),_xlpm.slot,1632+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92" s="4" t="str">
        <f>_xlfn.LET(_xlpm.pos,"NIH plate 18: "&amp;$A5&amp;F$2,_xlpm.normal,IFERROR(INDEX(MASTER!$A:$A,MATCH(_xlpm.pos,MASTER!$I:$I,0))&amp;"_ser_0.20_"&amp;TEXT(INDEX(MASTER!$E:$E,MATCH(_xlpm.pos,MASTER!$I:$I,0)),"mmddyy"),""),_xlpm.slot,1632+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92" s="4" t="str">
        <f>_xlfn.LET(_xlpm.pos,"NIH plate 18: "&amp;$A5&amp;G$2,_xlpm.normal,IFERROR(INDEX(MASTER!$A:$A,MATCH(_xlpm.pos,MASTER!$I:$I,0))&amp;"_ser_0.20_"&amp;TEXT(INDEX(MASTER!$E:$E,MATCH(_xlpm.pos,MASTER!$I:$I,0)),"mmddyy"),""),_xlpm.slot,1632+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92" s="4" t="str">
        <f>_xlfn.LET(_xlpm.pos,"NIH plate 18: "&amp;$A5&amp;H$2,_xlpm.normal,IFERROR(INDEX(MASTER!$A:$A,MATCH(_xlpm.pos,MASTER!$I:$I,0))&amp;"_ser_0.20_"&amp;TEXT(INDEX(MASTER!$E:$E,MATCH(_xlpm.pos,MASTER!$I:$I,0)),"mmddyy"),""),_xlpm.slot,1632+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92" s="4" t="str">
        <f>_xlfn.LET(_xlpm.pos,"NIH plate 18: "&amp;$A5&amp;I$2,_xlpm.normal,IFERROR(INDEX(MASTER!$A:$A,MATCH(_xlpm.pos,MASTER!$I:$I,0))&amp;"_ser_0.20_"&amp;TEXT(INDEX(MASTER!$E:$E,MATCH(_xlpm.pos,MASTER!$I:$I,0)),"mmddyy"),""),_xlpm.slot,1632+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92" s="4" t="str">
        <f>_xlfn.LET(_xlpm.pos,"NIH plate 18: "&amp;$A5&amp;J$2,_xlpm.normal,IFERROR(INDEX(MASTER!$A:$A,MATCH(_xlpm.pos,MASTER!$I:$I,0))&amp;"_ser_0.20_"&amp;TEXT(INDEX(MASTER!$E:$E,MATCH(_xlpm.pos,MASTER!$I:$I,0)),"mmddyy"),""),_xlpm.slot,1632+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92" s="4" t="str">
        <f>_xlfn.LET(_xlpm.pos,"NIH plate 18: "&amp;$A5&amp;K$2,_xlpm.normal,IFERROR(INDEX(MASTER!$A:$A,MATCH(_xlpm.pos,MASTER!$I:$I,0))&amp;"_ser_0.20_"&amp;TEXT(INDEX(MASTER!$E:$E,MATCH(_xlpm.pos,MASTER!$I:$I,0)),"mmddyy"),""),_xlpm.slot,1632+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92" s="4" t="str">
        <f>_xlfn.LET(_xlpm.pos,"NIH plate 18: "&amp;$A5&amp;L$2,_xlpm.normal,IFERROR(INDEX(MASTER!$A:$A,MATCH(_xlpm.pos,MASTER!$I:$I,0))&amp;"_ser_0.20_"&amp;TEXT(INDEX(MASTER!$E:$E,MATCH(_xlpm.pos,MASTER!$I:$I,0)),"mmddyy"),""),_xlpm.slot,1632+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92" s="4" t="str">
        <f>_xlfn.LET(_xlpm.pos,"NIH plate 18: "&amp;$A5&amp;M$2,_xlpm.normal,IFERROR(INDEX(MASTER!$A:$A,MATCH(_xlpm.pos,MASTER!$I:$I,0))&amp;"_ser_0.20_"&amp;TEXT(INDEX(MASTER!$E:$E,MATCH(_xlpm.pos,MASTER!$I:$I,0)),"mmddyy"),""),_xlpm.slot,1632+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93" spans="1:13" ht="22" customHeight="1" x14ac:dyDescent="0.35">
      <c r="A193" s="6" t="s">
        <v>33</v>
      </c>
      <c r="B193" s="4" t="str">
        <f>_xlfn.LET(_xlpm.pos,"NIH plate 18: "&amp;$A6&amp;B$2,_xlpm.normal,IFERROR(INDEX(MASTER!$A:$A,MATCH(_xlpm.pos,MASTER!$I:$I,0))&amp;"_ser_0.20_"&amp;TEXT(INDEX(MASTER!$E:$E,MATCH(_xlpm.pos,MASTER!$I:$I,0)),"mmddyy"),""),_xlpm.slot,1632+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93" s="4" t="str">
        <f>_xlfn.LET(_xlpm.pos,"NIH plate 18: "&amp;$A6&amp;C$2,_xlpm.normal,IFERROR(INDEX(MASTER!$A:$A,MATCH(_xlpm.pos,MASTER!$I:$I,0))&amp;"_ser_0.20_"&amp;TEXT(INDEX(MASTER!$E:$E,MATCH(_xlpm.pos,MASTER!$I:$I,0)),"mmddyy"),""),_xlpm.slot,1632+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93" s="4" t="str">
        <f>_xlfn.LET(_xlpm.pos,"NIH plate 18: "&amp;$A6&amp;D$2,_xlpm.normal,IFERROR(INDEX(MASTER!$A:$A,MATCH(_xlpm.pos,MASTER!$I:$I,0))&amp;"_ser_0.20_"&amp;TEXT(INDEX(MASTER!$E:$E,MATCH(_xlpm.pos,MASTER!$I:$I,0)),"mmddyy"),""),_xlpm.slot,1632+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93" s="4" t="str">
        <f>_xlfn.LET(_xlpm.pos,"NIH plate 18: "&amp;$A6&amp;E$2,_xlpm.normal,IFERROR(INDEX(MASTER!$A:$A,MATCH(_xlpm.pos,MASTER!$I:$I,0))&amp;"_ser_0.20_"&amp;TEXT(INDEX(MASTER!$E:$E,MATCH(_xlpm.pos,MASTER!$I:$I,0)),"mmddyy"),""),_xlpm.slot,1632+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93" s="4" t="str">
        <f>_xlfn.LET(_xlpm.pos,"NIH plate 18: "&amp;$A6&amp;F$2,_xlpm.normal,IFERROR(INDEX(MASTER!$A:$A,MATCH(_xlpm.pos,MASTER!$I:$I,0))&amp;"_ser_0.20_"&amp;TEXT(INDEX(MASTER!$E:$E,MATCH(_xlpm.pos,MASTER!$I:$I,0)),"mmddyy"),""),_xlpm.slot,1632+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93" s="4" t="str">
        <f>_xlfn.LET(_xlpm.pos,"NIH plate 18: "&amp;$A6&amp;G$2,_xlpm.normal,IFERROR(INDEX(MASTER!$A:$A,MATCH(_xlpm.pos,MASTER!$I:$I,0))&amp;"_ser_0.20_"&amp;TEXT(INDEX(MASTER!$E:$E,MATCH(_xlpm.pos,MASTER!$I:$I,0)),"mmddyy"),""),_xlpm.slot,1632+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93" s="4" t="str">
        <f>_xlfn.LET(_xlpm.pos,"NIH plate 18: "&amp;$A6&amp;H$2,_xlpm.normal,IFERROR(INDEX(MASTER!$A:$A,MATCH(_xlpm.pos,MASTER!$I:$I,0))&amp;"_ser_0.20_"&amp;TEXT(INDEX(MASTER!$E:$E,MATCH(_xlpm.pos,MASTER!$I:$I,0)),"mmddyy"),""),_xlpm.slot,1632+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93" s="4" t="str">
        <f>_xlfn.LET(_xlpm.pos,"NIH plate 18: "&amp;$A6&amp;I$2,_xlpm.normal,IFERROR(INDEX(MASTER!$A:$A,MATCH(_xlpm.pos,MASTER!$I:$I,0))&amp;"_ser_0.20_"&amp;TEXT(INDEX(MASTER!$E:$E,MATCH(_xlpm.pos,MASTER!$I:$I,0)),"mmddyy"),""),_xlpm.slot,1632+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93" s="4" t="str">
        <f>_xlfn.LET(_xlpm.pos,"NIH plate 18: "&amp;$A6&amp;J$2,_xlpm.normal,IFERROR(INDEX(MASTER!$A:$A,MATCH(_xlpm.pos,MASTER!$I:$I,0))&amp;"_ser_0.20_"&amp;TEXT(INDEX(MASTER!$E:$E,MATCH(_xlpm.pos,MASTER!$I:$I,0)),"mmddyy"),""),_xlpm.slot,1632+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93" s="4" t="str">
        <f>_xlfn.LET(_xlpm.pos,"NIH plate 18: "&amp;$A6&amp;K$2,_xlpm.normal,IFERROR(INDEX(MASTER!$A:$A,MATCH(_xlpm.pos,MASTER!$I:$I,0))&amp;"_ser_0.20_"&amp;TEXT(INDEX(MASTER!$E:$E,MATCH(_xlpm.pos,MASTER!$I:$I,0)),"mmddyy"),""),_xlpm.slot,1632+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93" s="4" t="str">
        <f>_xlfn.LET(_xlpm.pos,"NIH plate 18: "&amp;$A6&amp;L$2,_xlpm.normal,IFERROR(INDEX(MASTER!$A:$A,MATCH(_xlpm.pos,MASTER!$I:$I,0))&amp;"_ser_0.20_"&amp;TEXT(INDEX(MASTER!$E:$E,MATCH(_xlpm.pos,MASTER!$I:$I,0)),"mmddyy"),""),_xlpm.slot,1632+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93" s="4" t="str">
        <f>_xlfn.LET(_xlpm.pos,"NIH plate 18: "&amp;$A6&amp;M$2,_xlpm.normal,IFERROR(INDEX(MASTER!$A:$A,MATCH(_xlpm.pos,MASTER!$I:$I,0))&amp;"_ser_0.20_"&amp;TEXT(INDEX(MASTER!$E:$E,MATCH(_xlpm.pos,MASTER!$I:$I,0)),"mmddyy"),""),_xlpm.slot,1632+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94" spans="1:13" ht="22" customHeight="1" x14ac:dyDescent="0.35">
      <c r="A194" s="6" t="s">
        <v>34</v>
      </c>
      <c r="B194" s="4" t="str">
        <f>_xlfn.LET(_xlpm.pos,"NIH plate 18: "&amp;$A7&amp;B$2,_xlpm.normal,IFERROR(INDEX(MASTER!$A:$A,MATCH(_xlpm.pos,MASTER!$I:$I,0))&amp;"_ser_0.20_"&amp;TEXT(INDEX(MASTER!$E:$E,MATCH(_xlpm.pos,MASTER!$I:$I,0)),"mmddyy"),""),_xlpm.slot,1632+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94" s="4" t="str">
        <f>_xlfn.LET(_xlpm.pos,"NIH plate 18: "&amp;$A7&amp;C$2,_xlpm.normal,IFERROR(INDEX(MASTER!$A:$A,MATCH(_xlpm.pos,MASTER!$I:$I,0))&amp;"_ser_0.20_"&amp;TEXT(INDEX(MASTER!$E:$E,MATCH(_xlpm.pos,MASTER!$I:$I,0)),"mmddyy"),""),_xlpm.slot,1632+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94" s="4" t="str">
        <f>_xlfn.LET(_xlpm.pos,"NIH plate 18: "&amp;$A7&amp;D$2,_xlpm.normal,IFERROR(INDEX(MASTER!$A:$A,MATCH(_xlpm.pos,MASTER!$I:$I,0))&amp;"_ser_0.20_"&amp;TEXT(INDEX(MASTER!$E:$E,MATCH(_xlpm.pos,MASTER!$I:$I,0)),"mmddyy"),""),_xlpm.slot,1632+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94" s="4" t="str">
        <f>_xlfn.LET(_xlpm.pos,"NIH plate 18: "&amp;$A7&amp;E$2,_xlpm.normal,IFERROR(INDEX(MASTER!$A:$A,MATCH(_xlpm.pos,MASTER!$I:$I,0))&amp;"_ser_0.20_"&amp;TEXT(INDEX(MASTER!$E:$E,MATCH(_xlpm.pos,MASTER!$I:$I,0)),"mmddyy"),""),_xlpm.slot,1632+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94" s="4" t="str">
        <f>_xlfn.LET(_xlpm.pos,"NIH plate 18: "&amp;$A7&amp;F$2,_xlpm.normal,IFERROR(INDEX(MASTER!$A:$A,MATCH(_xlpm.pos,MASTER!$I:$I,0))&amp;"_ser_0.20_"&amp;TEXT(INDEX(MASTER!$E:$E,MATCH(_xlpm.pos,MASTER!$I:$I,0)),"mmddyy"),""),_xlpm.slot,1632+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94" s="4" t="str">
        <f>_xlfn.LET(_xlpm.pos,"NIH plate 18: "&amp;$A7&amp;G$2,_xlpm.normal,IFERROR(INDEX(MASTER!$A:$A,MATCH(_xlpm.pos,MASTER!$I:$I,0))&amp;"_ser_0.20_"&amp;TEXT(INDEX(MASTER!$E:$E,MATCH(_xlpm.pos,MASTER!$I:$I,0)),"mmddyy"),""),_xlpm.slot,1632+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94" s="4" t="str">
        <f>_xlfn.LET(_xlpm.pos,"NIH plate 18: "&amp;$A7&amp;H$2,_xlpm.normal,IFERROR(INDEX(MASTER!$A:$A,MATCH(_xlpm.pos,MASTER!$I:$I,0))&amp;"_ser_0.20_"&amp;TEXT(INDEX(MASTER!$E:$E,MATCH(_xlpm.pos,MASTER!$I:$I,0)),"mmddyy"),""),_xlpm.slot,1632+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94" s="4" t="str">
        <f>_xlfn.LET(_xlpm.pos,"NIH plate 18: "&amp;$A7&amp;I$2,_xlpm.normal,IFERROR(INDEX(MASTER!$A:$A,MATCH(_xlpm.pos,MASTER!$I:$I,0))&amp;"_ser_0.20_"&amp;TEXT(INDEX(MASTER!$E:$E,MATCH(_xlpm.pos,MASTER!$I:$I,0)),"mmddyy"),""),_xlpm.slot,1632+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94" s="4" t="str">
        <f>_xlfn.LET(_xlpm.pos,"NIH plate 18: "&amp;$A7&amp;J$2,_xlpm.normal,IFERROR(INDEX(MASTER!$A:$A,MATCH(_xlpm.pos,MASTER!$I:$I,0))&amp;"_ser_0.20_"&amp;TEXT(INDEX(MASTER!$E:$E,MATCH(_xlpm.pos,MASTER!$I:$I,0)),"mmddyy"),""),_xlpm.slot,1632+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94" s="4" t="str">
        <f>_xlfn.LET(_xlpm.pos,"NIH plate 18: "&amp;$A7&amp;K$2,_xlpm.normal,IFERROR(INDEX(MASTER!$A:$A,MATCH(_xlpm.pos,MASTER!$I:$I,0))&amp;"_ser_0.20_"&amp;TEXT(INDEX(MASTER!$E:$E,MATCH(_xlpm.pos,MASTER!$I:$I,0)),"mmddyy"),""),_xlpm.slot,1632+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94" s="4" t="str">
        <f>_xlfn.LET(_xlpm.pos,"NIH plate 18: "&amp;$A7&amp;L$2,_xlpm.normal,IFERROR(INDEX(MASTER!$A:$A,MATCH(_xlpm.pos,MASTER!$I:$I,0))&amp;"_ser_0.20_"&amp;TEXT(INDEX(MASTER!$E:$E,MATCH(_xlpm.pos,MASTER!$I:$I,0)),"mmddyy"),""),_xlpm.slot,1632+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94" s="4" t="str">
        <f>_xlfn.LET(_xlpm.pos,"NIH plate 18: "&amp;$A7&amp;M$2,_xlpm.normal,IFERROR(INDEX(MASTER!$A:$A,MATCH(_xlpm.pos,MASTER!$I:$I,0))&amp;"_ser_0.20_"&amp;TEXT(INDEX(MASTER!$E:$E,MATCH(_xlpm.pos,MASTER!$I:$I,0)),"mmddyy"),""),_xlpm.slot,1632+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95" spans="1:13" ht="22" customHeight="1" x14ac:dyDescent="0.35">
      <c r="A195" s="6" t="s">
        <v>15</v>
      </c>
      <c r="B195" s="4" t="str">
        <f>_xlfn.LET(_xlpm.pos,"NIH plate 18: "&amp;$A8&amp;B$2,_xlpm.normal,IFERROR(INDEX(MASTER!$A:$A,MATCH(_xlpm.pos,MASTER!$I:$I,0))&amp;"_ser_0.20_"&amp;TEXT(INDEX(MASTER!$E:$E,MATCH(_xlpm.pos,MASTER!$I:$I,0)),"mmddyy"),""),_xlpm.slot,1632+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95" s="4" t="str">
        <f>_xlfn.LET(_xlpm.pos,"NIH plate 18: "&amp;$A8&amp;C$2,_xlpm.normal,IFERROR(INDEX(MASTER!$A:$A,MATCH(_xlpm.pos,MASTER!$I:$I,0))&amp;"_ser_0.20_"&amp;TEXT(INDEX(MASTER!$E:$E,MATCH(_xlpm.pos,MASTER!$I:$I,0)),"mmddyy"),""),_xlpm.slot,1632+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95" s="4" t="str">
        <f>_xlfn.LET(_xlpm.pos,"NIH plate 18: "&amp;$A8&amp;D$2,_xlpm.normal,IFERROR(INDEX(MASTER!$A:$A,MATCH(_xlpm.pos,MASTER!$I:$I,0))&amp;"_ser_0.20_"&amp;TEXT(INDEX(MASTER!$E:$E,MATCH(_xlpm.pos,MASTER!$I:$I,0)),"mmddyy"),""),_xlpm.slot,1632+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95" s="4" t="str">
        <f>_xlfn.LET(_xlpm.pos,"NIH plate 18: "&amp;$A8&amp;E$2,_xlpm.normal,IFERROR(INDEX(MASTER!$A:$A,MATCH(_xlpm.pos,MASTER!$I:$I,0))&amp;"_ser_0.20_"&amp;TEXT(INDEX(MASTER!$E:$E,MATCH(_xlpm.pos,MASTER!$I:$I,0)),"mmddyy"),""),_xlpm.slot,1632+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95" s="4" t="str">
        <f>_xlfn.LET(_xlpm.pos,"NIH plate 18: "&amp;$A8&amp;F$2,_xlpm.normal,IFERROR(INDEX(MASTER!$A:$A,MATCH(_xlpm.pos,MASTER!$I:$I,0))&amp;"_ser_0.20_"&amp;TEXT(INDEX(MASTER!$E:$E,MATCH(_xlpm.pos,MASTER!$I:$I,0)),"mmddyy"),""),_xlpm.slot,1632+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95" s="4" t="str">
        <f>_xlfn.LET(_xlpm.pos,"NIH plate 18: "&amp;$A8&amp;G$2,_xlpm.normal,IFERROR(INDEX(MASTER!$A:$A,MATCH(_xlpm.pos,MASTER!$I:$I,0))&amp;"_ser_0.20_"&amp;TEXT(INDEX(MASTER!$E:$E,MATCH(_xlpm.pos,MASTER!$I:$I,0)),"mmddyy"),""),_xlpm.slot,1632+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95" s="4" t="str">
        <f>_xlfn.LET(_xlpm.pos,"NIH plate 18: "&amp;$A8&amp;H$2,_xlpm.normal,IFERROR(INDEX(MASTER!$A:$A,MATCH(_xlpm.pos,MASTER!$I:$I,0))&amp;"_ser_0.20_"&amp;TEXT(INDEX(MASTER!$E:$E,MATCH(_xlpm.pos,MASTER!$I:$I,0)),"mmddyy"),""),_xlpm.slot,1632+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95" s="4" t="str">
        <f>_xlfn.LET(_xlpm.pos,"NIH plate 18: "&amp;$A8&amp;I$2,_xlpm.normal,IFERROR(INDEX(MASTER!$A:$A,MATCH(_xlpm.pos,MASTER!$I:$I,0))&amp;"_ser_0.20_"&amp;TEXT(INDEX(MASTER!$E:$E,MATCH(_xlpm.pos,MASTER!$I:$I,0)),"mmddyy"),""),_xlpm.slot,1632+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95" s="4" t="str">
        <f>_xlfn.LET(_xlpm.pos,"NIH plate 18: "&amp;$A8&amp;J$2,_xlpm.normal,IFERROR(INDEX(MASTER!$A:$A,MATCH(_xlpm.pos,MASTER!$I:$I,0))&amp;"_ser_0.20_"&amp;TEXT(INDEX(MASTER!$E:$E,MATCH(_xlpm.pos,MASTER!$I:$I,0)),"mmddyy"),""),_xlpm.slot,1632+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95" s="4" t="str">
        <f>_xlfn.LET(_xlpm.pos,"NIH plate 18: "&amp;$A8&amp;K$2,_xlpm.normal,IFERROR(INDEX(MASTER!$A:$A,MATCH(_xlpm.pos,MASTER!$I:$I,0))&amp;"_ser_0.20_"&amp;TEXT(INDEX(MASTER!$E:$E,MATCH(_xlpm.pos,MASTER!$I:$I,0)),"mmddyy"),""),_xlpm.slot,1632+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95" s="4" t="str">
        <f>_xlfn.LET(_xlpm.pos,"NIH plate 18: "&amp;$A8&amp;L$2,_xlpm.normal,IFERROR(INDEX(MASTER!$A:$A,MATCH(_xlpm.pos,MASTER!$I:$I,0))&amp;"_ser_0.20_"&amp;TEXT(INDEX(MASTER!$E:$E,MATCH(_xlpm.pos,MASTER!$I:$I,0)),"mmddyy"),""),_xlpm.slot,1632+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95" s="4" t="str">
        <f>_xlfn.LET(_xlpm.pos,"NIH plate 18: "&amp;$A8&amp;M$2,_xlpm.normal,IFERROR(INDEX(MASTER!$A:$A,MATCH(_xlpm.pos,MASTER!$I:$I,0))&amp;"_ser_0.20_"&amp;TEXT(INDEX(MASTER!$E:$E,MATCH(_xlpm.pos,MASTER!$I:$I,0)),"mmddyy"),""),_xlpm.slot,1632+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96" spans="1:13" ht="22" customHeight="1" x14ac:dyDescent="0.35">
      <c r="A196" s="6" t="s">
        <v>35</v>
      </c>
      <c r="B196" s="4" t="str">
        <f>_xlfn.LET(_xlpm.pos,"NIH plate 18: "&amp;$A9&amp;B$2,_xlpm.normal,IFERROR(INDEX(MASTER!$A:$A,MATCH(_xlpm.pos,MASTER!$I:$I,0))&amp;"_ser_0.20_"&amp;TEXT(INDEX(MASTER!$E:$E,MATCH(_xlpm.pos,MASTER!$I:$I,0)),"mmddyy"),""),_xlpm.slot,1632+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96" s="4" t="str">
        <f>_xlfn.LET(_xlpm.pos,"NIH plate 18: "&amp;$A9&amp;C$2,_xlpm.normal,IFERROR(INDEX(MASTER!$A:$A,MATCH(_xlpm.pos,MASTER!$I:$I,0))&amp;"_ser_0.20_"&amp;TEXT(INDEX(MASTER!$E:$E,MATCH(_xlpm.pos,MASTER!$I:$I,0)),"mmddyy"),""),_xlpm.slot,1632+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96" s="4" t="str">
        <f>_xlfn.LET(_xlpm.pos,"NIH plate 18: "&amp;$A9&amp;D$2,_xlpm.normal,IFERROR(INDEX(MASTER!$A:$A,MATCH(_xlpm.pos,MASTER!$I:$I,0))&amp;"_ser_0.20_"&amp;TEXT(INDEX(MASTER!$E:$E,MATCH(_xlpm.pos,MASTER!$I:$I,0)),"mmddyy"),""),_xlpm.slot,1632+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96" s="4" t="str">
        <f>_xlfn.LET(_xlpm.pos,"NIH plate 18: "&amp;$A9&amp;E$2,_xlpm.normal,IFERROR(INDEX(MASTER!$A:$A,MATCH(_xlpm.pos,MASTER!$I:$I,0))&amp;"_ser_0.20_"&amp;TEXT(INDEX(MASTER!$E:$E,MATCH(_xlpm.pos,MASTER!$I:$I,0)),"mmddyy"),""),_xlpm.slot,1632+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96" s="4" t="str">
        <f>_xlfn.LET(_xlpm.pos,"NIH plate 18: "&amp;$A9&amp;F$2,_xlpm.normal,IFERROR(INDEX(MASTER!$A:$A,MATCH(_xlpm.pos,MASTER!$I:$I,0))&amp;"_ser_0.20_"&amp;TEXT(INDEX(MASTER!$E:$E,MATCH(_xlpm.pos,MASTER!$I:$I,0)),"mmddyy"),""),_xlpm.slot,1632+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96" s="4" t="str">
        <f>_xlfn.LET(_xlpm.pos,"NIH plate 18: "&amp;$A9&amp;G$2,_xlpm.normal,IFERROR(INDEX(MASTER!$A:$A,MATCH(_xlpm.pos,MASTER!$I:$I,0))&amp;"_ser_0.20_"&amp;TEXT(INDEX(MASTER!$E:$E,MATCH(_xlpm.pos,MASTER!$I:$I,0)),"mmddyy"),""),_xlpm.slot,1632+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96" s="4" t="str">
        <f>_xlfn.LET(_xlpm.pos,"NIH plate 18: "&amp;$A9&amp;H$2,_xlpm.normal,IFERROR(INDEX(MASTER!$A:$A,MATCH(_xlpm.pos,MASTER!$I:$I,0))&amp;"_ser_0.20_"&amp;TEXT(INDEX(MASTER!$E:$E,MATCH(_xlpm.pos,MASTER!$I:$I,0)),"mmddyy"),""),_xlpm.slot,1632+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96" s="4" t="str">
        <f>_xlfn.LET(_xlpm.pos,"NIH plate 18: "&amp;$A9&amp;I$2,_xlpm.normal,IFERROR(INDEX(MASTER!$A:$A,MATCH(_xlpm.pos,MASTER!$I:$I,0))&amp;"_ser_0.20_"&amp;TEXT(INDEX(MASTER!$E:$E,MATCH(_xlpm.pos,MASTER!$I:$I,0)),"mmddyy"),""),_xlpm.slot,1632+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96" s="4" t="str">
        <f>_xlfn.LET(_xlpm.pos,"NIH plate 18: "&amp;$A9&amp;J$2,_xlpm.normal,IFERROR(INDEX(MASTER!$A:$A,MATCH(_xlpm.pos,MASTER!$I:$I,0))&amp;"_ser_0.20_"&amp;TEXT(INDEX(MASTER!$E:$E,MATCH(_xlpm.pos,MASTER!$I:$I,0)),"mmddyy"),""),_xlpm.slot,1632+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96" s="4" t="str">
        <f>_xlfn.LET(_xlpm.pos,"NIH plate 18: "&amp;$A9&amp;K$2,_xlpm.normal,IFERROR(INDEX(MASTER!$A:$A,MATCH(_xlpm.pos,MASTER!$I:$I,0))&amp;"_ser_0.20_"&amp;TEXT(INDEX(MASTER!$E:$E,MATCH(_xlpm.pos,MASTER!$I:$I,0)),"mmddyy"),""),_xlpm.slot,1632+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96" s="4" t="str">
        <f>_xlfn.LET(_xlpm.pos,"NIH plate 18: "&amp;$A9&amp;L$2,_xlpm.normal,IFERROR(INDEX(MASTER!$A:$A,MATCH(_xlpm.pos,MASTER!$I:$I,0))&amp;"_ser_0.20_"&amp;TEXT(INDEX(MASTER!$E:$E,MATCH(_xlpm.pos,MASTER!$I:$I,0)),"mmddyy"),""),_xlpm.slot,1632+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96" s="4" t="str">
        <f>_xlfn.LET(_xlpm.pos,"NIH plate 18: "&amp;$A9&amp;M$2,_xlpm.normal,IFERROR(INDEX(MASTER!$A:$A,MATCH(_xlpm.pos,MASTER!$I:$I,0))&amp;"_ser_0.20_"&amp;TEXT(INDEX(MASTER!$E:$E,MATCH(_xlpm.pos,MASTER!$I:$I,0)),"mmddyy"),""),_xlpm.slot,1632+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97" spans="1:13" ht="22" customHeight="1" x14ac:dyDescent="0.35">
      <c r="A197" s="6" t="s">
        <v>36</v>
      </c>
      <c r="B197" s="4" t="str">
        <f>_xlfn.LET(_xlpm.pos,"NIH plate 18: "&amp;$A10&amp;B$2,_xlpm.normal,IFERROR(INDEX(MASTER!$A:$A,MATCH(_xlpm.pos,MASTER!$I:$I,0))&amp;"_ser_0.20_"&amp;TEXT(INDEX(MASTER!$E:$E,MATCH(_xlpm.pos,MASTER!$I:$I,0)),"mmddyy"),""),_xlpm.slot,1632+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197" s="4" t="str">
        <f>_xlfn.LET(_xlpm.pos,"NIH plate 18: "&amp;$A10&amp;C$2,_xlpm.normal,IFERROR(INDEX(MASTER!$A:$A,MATCH(_xlpm.pos,MASTER!$I:$I,0))&amp;"_ser_0.20_"&amp;TEXT(INDEX(MASTER!$E:$E,MATCH(_xlpm.pos,MASTER!$I:$I,0)),"mmddyy"),""),_xlpm.slot,1632+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197" s="4" t="str">
        <f>_xlfn.LET(_xlpm.pos,"NIH plate 18: "&amp;$A10&amp;D$2,_xlpm.normal,IFERROR(INDEX(MASTER!$A:$A,MATCH(_xlpm.pos,MASTER!$I:$I,0))&amp;"_ser_0.20_"&amp;TEXT(INDEX(MASTER!$E:$E,MATCH(_xlpm.pos,MASTER!$I:$I,0)),"mmddyy"),""),_xlpm.slot,1632+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197" s="4" t="str">
        <f>_xlfn.LET(_xlpm.pos,"NIH plate 18: "&amp;$A10&amp;E$2,_xlpm.normal,IFERROR(INDEX(MASTER!$A:$A,MATCH(_xlpm.pos,MASTER!$I:$I,0))&amp;"_ser_0.20_"&amp;TEXT(INDEX(MASTER!$E:$E,MATCH(_xlpm.pos,MASTER!$I:$I,0)),"mmddyy"),""),_xlpm.slot,1632+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197" s="4" t="str">
        <f>_xlfn.LET(_xlpm.pos,"NIH plate 18: "&amp;$A10&amp;F$2,_xlpm.normal,IFERROR(INDEX(MASTER!$A:$A,MATCH(_xlpm.pos,MASTER!$I:$I,0))&amp;"_ser_0.20_"&amp;TEXT(INDEX(MASTER!$E:$E,MATCH(_xlpm.pos,MASTER!$I:$I,0)),"mmddyy"),""),_xlpm.slot,1632+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197" s="4" t="str">
        <f>_xlfn.LET(_xlpm.pos,"NIH plate 18: "&amp;$A10&amp;G$2,_xlpm.normal,IFERROR(INDEX(MASTER!$A:$A,MATCH(_xlpm.pos,MASTER!$I:$I,0))&amp;"_ser_0.20_"&amp;TEXT(INDEX(MASTER!$E:$E,MATCH(_xlpm.pos,MASTER!$I:$I,0)),"mmddyy"),""),_xlpm.slot,1632+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197" s="4" t="str">
        <f>_xlfn.LET(_xlpm.pos,"NIH plate 18: "&amp;$A10&amp;H$2,_xlpm.normal,IFERROR(INDEX(MASTER!$A:$A,MATCH(_xlpm.pos,MASTER!$I:$I,0))&amp;"_ser_0.20_"&amp;TEXT(INDEX(MASTER!$E:$E,MATCH(_xlpm.pos,MASTER!$I:$I,0)),"mmddyy"),""),_xlpm.slot,1632+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197" s="4" t="str">
        <f>_xlfn.LET(_xlpm.pos,"NIH plate 18: "&amp;$A10&amp;I$2,_xlpm.normal,IFERROR(INDEX(MASTER!$A:$A,MATCH(_xlpm.pos,MASTER!$I:$I,0))&amp;"_ser_0.20_"&amp;TEXT(INDEX(MASTER!$E:$E,MATCH(_xlpm.pos,MASTER!$I:$I,0)),"mmddyy"),""),_xlpm.slot,1632+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197" s="4" t="str">
        <f>_xlfn.LET(_xlpm.pos,"NIH plate 18: "&amp;$A10&amp;J$2,_xlpm.normal,IFERROR(INDEX(MASTER!$A:$A,MATCH(_xlpm.pos,MASTER!$I:$I,0))&amp;"_ser_0.20_"&amp;TEXT(INDEX(MASTER!$E:$E,MATCH(_xlpm.pos,MASTER!$I:$I,0)),"mmddyy"),""),_xlpm.slot,1632+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197" s="4" t="str">
        <f>_xlfn.LET(_xlpm.pos,"NIH plate 18: "&amp;$A10&amp;K$2,_xlpm.normal,IFERROR(INDEX(MASTER!$A:$A,MATCH(_xlpm.pos,MASTER!$I:$I,0))&amp;"_ser_0.20_"&amp;TEXT(INDEX(MASTER!$E:$E,MATCH(_xlpm.pos,MASTER!$I:$I,0)),"mmddyy"),""),_xlpm.slot,1632+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197" s="4" t="str">
        <f>_xlfn.LET(_xlpm.pos,"NIH plate 18: "&amp;$A10&amp;L$2,_xlpm.normal,IFERROR(INDEX(MASTER!$A:$A,MATCH(_xlpm.pos,MASTER!$I:$I,0))&amp;"_ser_0.20_"&amp;TEXT(INDEX(MASTER!$E:$E,MATCH(_xlpm.pos,MASTER!$I:$I,0)),"mmddyy"),""),_xlpm.slot,1632+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197" s="4" t="str">
        <f>_xlfn.LET(_xlpm.pos,"NIH plate 18: "&amp;$A10&amp;M$2,_xlpm.normal,IFERROR(INDEX(MASTER!$A:$A,MATCH(_xlpm.pos,MASTER!$I:$I,0))&amp;"_ser_0.20_"&amp;TEXT(INDEX(MASTER!$E:$E,MATCH(_xlpm.pos,MASTER!$I:$I,0)),"mmddyy"),""),_xlpm.slot,1632+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198" spans="1:13" ht="22" customHeight="1" x14ac:dyDescent="0.3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</row>
    <row r="199" spans="1:13" ht="22" customHeight="1" x14ac:dyDescent="0.35">
      <c r="A199" s="7"/>
      <c r="B199" s="31" t="s">
        <v>75</v>
      </c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3"/>
    </row>
    <row r="200" spans="1:13" ht="22" customHeight="1" x14ac:dyDescent="0.35">
      <c r="A200" s="7"/>
      <c r="B200" s="6">
        <v>1</v>
      </c>
      <c r="C200" s="6">
        <v>2</v>
      </c>
      <c r="D200" s="6">
        <v>3</v>
      </c>
      <c r="E200" s="6">
        <v>4</v>
      </c>
      <c r="F200" s="6">
        <v>5</v>
      </c>
      <c r="G200" s="6">
        <v>6</v>
      </c>
      <c r="H200" s="6">
        <v>7</v>
      </c>
      <c r="I200" s="6">
        <v>8</v>
      </c>
      <c r="J200" s="6">
        <v>9</v>
      </c>
      <c r="K200" s="6">
        <v>10</v>
      </c>
      <c r="L200" s="6">
        <v>11</v>
      </c>
      <c r="M200" s="6">
        <v>12</v>
      </c>
    </row>
    <row r="201" spans="1:13" ht="22" customHeight="1" x14ac:dyDescent="0.35">
      <c r="A201" s="6" t="s">
        <v>30</v>
      </c>
      <c r="B201" s="4" t="str">
        <f>_xlfn.LET(_xlpm.pos,"NIH plate 19: "&amp;$A3&amp;B$2,_xlpm.normal,IFERROR(INDEX(MASTER!$A:$A,MATCH(_xlpm.pos,MASTER!$I:$I,0))&amp;"_ser_0.20_"&amp;TEXT(INDEX(MASTER!$E:$E,MATCH(_xlpm.pos,MASTER!$I:$I,0)),"mmddyy"),""),_xlpm.slot,1728+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01" s="4" t="str">
        <f>_xlfn.LET(_xlpm.pos,"NIH plate 19: "&amp;$A3&amp;C$2,_xlpm.normal,IFERROR(INDEX(MASTER!$A:$A,MATCH(_xlpm.pos,MASTER!$I:$I,0))&amp;"_ser_0.20_"&amp;TEXT(INDEX(MASTER!$E:$E,MATCH(_xlpm.pos,MASTER!$I:$I,0)),"mmddyy"),""),_xlpm.slot,1728+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01" s="4" t="str">
        <f>_xlfn.LET(_xlpm.pos,"NIH plate 19: "&amp;$A3&amp;D$2,_xlpm.normal,IFERROR(INDEX(MASTER!$A:$A,MATCH(_xlpm.pos,MASTER!$I:$I,0))&amp;"_ser_0.20_"&amp;TEXT(INDEX(MASTER!$E:$E,MATCH(_xlpm.pos,MASTER!$I:$I,0)),"mmddyy"),""),_xlpm.slot,1728+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01" s="4" t="str">
        <f>_xlfn.LET(_xlpm.pos,"NIH plate 19: "&amp;$A3&amp;E$2,_xlpm.normal,IFERROR(INDEX(MASTER!$A:$A,MATCH(_xlpm.pos,MASTER!$I:$I,0))&amp;"_ser_0.20_"&amp;TEXT(INDEX(MASTER!$E:$E,MATCH(_xlpm.pos,MASTER!$I:$I,0)),"mmddyy"),""),_xlpm.slot,1728+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01" s="4" t="str">
        <f>_xlfn.LET(_xlpm.pos,"NIH plate 19: "&amp;$A3&amp;F$2,_xlpm.normal,IFERROR(INDEX(MASTER!$A:$A,MATCH(_xlpm.pos,MASTER!$I:$I,0))&amp;"_ser_0.20_"&amp;TEXT(INDEX(MASTER!$E:$E,MATCH(_xlpm.pos,MASTER!$I:$I,0)),"mmddyy"),""),_xlpm.slot,1728+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01" s="4" t="str">
        <f>_xlfn.LET(_xlpm.pos,"NIH plate 19: "&amp;$A3&amp;G$2,_xlpm.normal,IFERROR(INDEX(MASTER!$A:$A,MATCH(_xlpm.pos,MASTER!$I:$I,0))&amp;"_ser_0.20_"&amp;TEXT(INDEX(MASTER!$E:$E,MATCH(_xlpm.pos,MASTER!$I:$I,0)),"mmddyy"),""),_xlpm.slot,1728+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01" s="4" t="str">
        <f>_xlfn.LET(_xlpm.pos,"NIH plate 19: "&amp;$A3&amp;H$2,_xlpm.normal,IFERROR(INDEX(MASTER!$A:$A,MATCH(_xlpm.pos,MASTER!$I:$I,0))&amp;"_ser_0.20_"&amp;TEXT(INDEX(MASTER!$E:$E,MATCH(_xlpm.pos,MASTER!$I:$I,0)),"mmddyy"),""),_xlpm.slot,1728+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01" s="4" t="str">
        <f>_xlfn.LET(_xlpm.pos,"NIH plate 19: "&amp;$A3&amp;I$2,_xlpm.normal,IFERROR(INDEX(MASTER!$A:$A,MATCH(_xlpm.pos,MASTER!$I:$I,0))&amp;"_ser_0.20_"&amp;TEXT(INDEX(MASTER!$E:$E,MATCH(_xlpm.pos,MASTER!$I:$I,0)),"mmddyy"),""),_xlpm.slot,1728+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01" s="4" t="str">
        <f>_xlfn.LET(_xlpm.pos,"NIH plate 19: "&amp;$A3&amp;J$2,_xlpm.normal,IFERROR(INDEX(MASTER!$A:$A,MATCH(_xlpm.pos,MASTER!$I:$I,0))&amp;"_ser_0.20_"&amp;TEXT(INDEX(MASTER!$E:$E,MATCH(_xlpm.pos,MASTER!$I:$I,0)),"mmddyy"),""),_xlpm.slot,1728+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01" s="4" t="str">
        <f>_xlfn.LET(_xlpm.pos,"NIH plate 19: "&amp;$A3&amp;K$2,_xlpm.normal,IFERROR(INDEX(MASTER!$A:$A,MATCH(_xlpm.pos,MASTER!$I:$I,0))&amp;"_ser_0.20_"&amp;TEXT(INDEX(MASTER!$E:$E,MATCH(_xlpm.pos,MASTER!$I:$I,0)),"mmddyy"),""),_xlpm.slot,1728+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01" s="4" t="str">
        <f>_xlfn.LET(_xlpm.pos,"NIH plate 19: "&amp;$A3&amp;L$2,_xlpm.normal,IFERROR(INDEX(MASTER!$A:$A,MATCH(_xlpm.pos,MASTER!$I:$I,0))&amp;"_ser_0.20_"&amp;TEXT(INDEX(MASTER!$E:$E,MATCH(_xlpm.pos,MASTER!$I:$I,0)),"mmddyy"),""),_xlpm.slot,1728+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01" s="4" t="str">
        <f>_xlfn.LET(_xlpm.pos,"NIH plate 19: "&amp;$A3&amp;M$2,_xlpm.normal,IFERROR(INDEX(MASTER!$A:$A,MATCH(_xlpm.pos,MASTER!$I:$I,0))&amp;"_ser_0.20_"&amp;TEXT(INDEX(MASTER!$E:$E,MATCH(_xlpm.pos,MASTER!$I:$I,0)),"mmddyy"),""),_xlpm.slot,1728+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02" spans="1:13" ht="22" customHeight="1" x14ac:dyDescent="0.35">
      <c r="A202" s="6" t="s">
        <v>31</v>
      </c>
      <c r="B202" s="4" t="str">
        <f>_xlfn.LET(_xlpm.pos,"NIH plate 19: "&amp;$A4&amp;B$2,_xlpm.normal,IFERROR(INDEX(MASTER!$A:$A,MATCH(_xlpm.pos,MASTER!$I:$I,0))&amp;"_ser_0.20_"&amp;TEXT(INDEX(MASTER!$E:$E,MATCH(_xlpm.pos,MASTER!$I:$I,0)),"mmddyy"),""),_xlpm.slot,1728+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02" s="4" t="str">
        <f>_xlfn.LET(_xlpm.pos,"NIH plate 19: "&amp;$A4&amp;C$2,_xlpm.normal,IFERROR(INDEX(MASTER!$A:$A,MATCH(_xlpm.pos,MASTER!$I:$I,0))&amp;"_ser_0.20_"&amp;TEXT(INDEX(MASTER!$E:$E,MATCH(_xlpm.pos,MASTER!$I:$I,0)),"mmddyy"),""),_xlpm.slot,1728+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02" s="4" t="str">
        <f>_xlfn.LET(_xlpm.pos,"NIH plate 19: "&amp;$A4&amp;D$2,_xlpm.normal,IFERROR(INDEX(MASTER!$A:$A,MATCH(_xlpm.pos,MASTER!$I:$I,0))&amp;"_ser_0.20_"&amp;TEXT(INDEX(MASTER!$E:$E,MATCH(_xlpm.pos,MASTER!$I:$I,0)),"mmddyy"),""),_xlpm.slot,1728+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02" s="4" t="str">
        <f>_xlfn.LET(_xlpm.pos,"NIH plate 19: "&amp;$A4&amp;E$2,_xlpm.normal,IFERROR(INDEX(MASTER!$A:$A,MATCH(_xlpm.pos,MASTER!$I:$I,0))&amp;"_ser_0.20_"&amp;TEXT(INDEX(MASTER!$E:$E,MATCH(_xlpm.pos,MASTER!$I:$I,0)),"mmddyy"),""),_xlpm.slot,1728+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02" s="4" t="str">
        <f>_xlfn.LET(_xlpm.pos,"NIH plate 19: "&amp;$A4&amp;F$2,_xlpm.normal,IFERROR(INDEX(MASTER!$A:$A,MATCH(_xlpm.pos,MASTER!$I:$I,0))&amp;"_ser_0.20_"&amp;TEXT(INDEX(MASTER!$E:$E,MATCH(_xlpm.pos,MASTER!$I:$I,0)),"mmddyy"),""),_xlpm.slot,1728+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02" s="4" t="str">
        <f>_xlfn.LET(_xlpm.pos,"NIH plate 19: "&amp;$A4&amp;G$2,_xlpm.normal,IFERROR(INDEX(MASTER!$A:$A,MATCH(_xlpm.pos,MASTER!$I:$I,0))&amp;"_ser_0.20_"&amp;TEXT(INDEX(MASTER!$E:$E,MATCH(_xlpm.pos,MASTER!$I:$I,0)),"mmddyy"),""),_xlpm.slot,1728+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02" s="4" t="str">
        <f>_xlfn.LET(_xlpm.pos,"NIH plate 19: "&amp;$A4&amp;H$2,_xlpm.normal,IFERROR(INDEX(MASTER!$A:$A,MATCH(_xlpm.pos,MASTER!$I:$I,0))&amp;"_ser_0.20_"&amp;TEXT(INDEX(MASTER!$E:$E,MATCH(_xlpm.pos,MASTER!$I:$I,0)),"mmddyy"),""),_xlpm.slot,1728+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02" s="4" t="str">
        <f>_xlfn.LET(_xlpm.pos,"NIH plate 19: "&amp;$A4&amp;I$2,_xlpm.normal,IFERROR(INDEX(MASTER!$A:$A,MATCH(_xlpm.pos,MASTER!$I:$I,0))&amp;"_ser_0.20_"&amp;TEXT(INDEX(MASTER!$E:$E,MATCH(_xlpm.pos,MASTER!$I:$I,0)),"mmddyy"),""),_xlpm.slot,1728+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02" s="4" t="str">
        <f>_xlfn.LET(_xlpm.pos,"NIH plate 19: "&amp;$A4&amp;J$2,_xlpm.normal,IFERROR(INDEX(MASTER!$A:$A,MATCH(_xlpm.pos,MASTER!$I:$I,0))&amp;"_ser_0.20_"&amp;TEXT(INDEX(MASTER!$E:$E,MATCH(_xlpm.pos,MASTER!$I:$I,0)),"mmddyy"),""),_xlpm.slot,1728+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02" s="4" t="str">
        <f>_xlfn.LET(_xlpm.pos,"NIH plate 19: "&amp;$A4&amp;K$2,_xlpm.normal,IFERROR(INDEX(MASTER!$A:$A,MATCH(_xlpm.pos,MASTER!$I:$I,0))&amp;"_ser_0.20_"&amp;TEXT(INDEX(MASTER!$E:$E,MATCH(_xlpm.pos,MASTER!$I:$I,0)),"mmddyy"),""),_xlpm.slot,1728+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02" s="4" t="str">
        <f>_xlfn.LET(_xlpm.pos,"NIH plate 19: "&amp;$A4&amp;L$2,_xlpm.normal,IFERROR(INDEX(MASTER!$A:$A,MATCH(_xlpm.pos,MASTER!$I:$I,0))&amp;"_ser_0.20_"&amp;TEXT(INDEX(MASTER!$E:$E,MATCH(_xlpm.pos,MASTER!$I:$I,0)),"mmddyy"),""),_xlpm.slot,1728+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02" s="4" t="str">
        <f>_xlfn.LET(_xlpm.pos,"NIH plate 19: "&amp;$A4&amp;M$2,_xlpm.normal,IFERROR(INDEX(MASTER!$A:$A,MATCH(_xlpm.pos,MASTER!$I:$I,0))&amp;"_ser_0.20_"&amp;TEXT(INDEX(MASTER!$E:$E,MATCH(_xlpm.pos,MASTER!$I:$I,0)),"mmddyy"),""),_xlpm.slot,1728+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03" spans="1:13" ht="22" customHeight="1" x14ac:dyDescent="0.35">
      <c r="A203" s="6" t="s">
        <v>32</v>
      </c>
      <c r="B203" s="4" t="str">
        <f>_xlfn.LET(_xlpm.pos,"NIH plate 19: "&amp;$A5&amp;B$2,_xlpm.normal,IFERROR(INDEX(MASTER!$A:$A,MATCH(_xlpm.pos,MASTER!$I:$I,0))&amp;"_ser_0.20_"&amp;TEXT(INDEX(MASTER!$E:$E,MATCH(_xlpm.pos,MASTER!$I:$I,0)),"mmddyy"),""),_xlpm.slot,1728+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03" s="4" t="str">
        <f>_xlfn.LET(_xlpm.pos,"NIH plate 19: "&amp;$A5&amp;C$2,_xlpm.normal,IFERROR(INDEX(MASTER!$A:$A,MATCH(_xlpm.pos,MASTER!$I:$I,0))&amp;"_ser_0.20_"&amp;TEXT(INDEX(MASTER!$E:$E,MATCH(_xlpm.pos,MASTER!$I:$I,0)),"mmddyy"),""),_xlpm.slot,1728+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03" s="4" t="str">
        <f>_xlfn.LET(_xlpm.pos,"NIH plate 19: "&amp;$A5&amp;D$2,_xlpm.normal,IFERROR(INDEX(MASTER!$A:$A,MATCH(_xlpm.pos,MASTER!$I:$I,0))&amp;"_ser_0.20_"&amp;TEXT(INDEX(MASTER!$E:$E,MATCH(_xlpm.pos,MASTER!$I:$I,0)),"mmddyy"),""),_xlpm.slot,1728+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03" s="4" t="str">
        <f>_xlfn.LET(_xlpm.pos,"NIH plate 19: "&amp;$A5&amp;E$2,_xlpm.normal,IFERROR(INDEX(MASTER!$A:$A,MATCH(_xlpm.pos,MASTER!$I:$I,0))&amp;"_ser_0.20_"&amp;TEXT(INDEX(MASTER!$E:$E,MATCH(_xlpm.pos,MASTER!$I:$I,0)),"mmddyy"),""),_xlpm.slot,1728+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03" s="4" t="str">
        <f>_xlfn.LET(_xlpm.pos,"NIH plate 19: "&amp;$A5&amp;F$2,_xlpm.normal,IFERROR(INDEX(MASTER!$A:$A,MATCH(_xlpm.pos,MASTER!$I:$I,0))&amp;"_ser_0.20_"&amp;TEXT(INDEX(MASTER!$E:$E,MATCH(_xlpm.pos,MASTER!$I:$I,0)),"mmddyy"),""),_xlpm.slot,1728+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03" s="4" t="str">
        <f>_xlfn.LET(_xlpm.pos,"NIH plate 19: "&amp;$A5&amp;G$2,_xlpm.normal,IFERROR(INDEX(MASTER!$A:$A,MATCH(_xlpm.pos,MASTER!$I:$I,0))&amp;"_ser_0.20_"&amp;TEXT(INDEX(MASTER!$E:$E,MATCH(_xlpm.pos,MASTER!$I:$I,0)),"mmddyy"),""),_xlpm.slot,1728+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03" s="4" t="str">
        <f>_xlfn.LET(_xlpm.pos,"NIH plate 19: "&amp;$A5&amp;H$2,_xlpm.normal,IFERROR(INDEX(MASTER!$A:$A,MATCH(_xlpm.pos,MASTER!$I:$I,0))&amp;"_ser_0.20_"&amp;TEXT(INDEX(MASTER!$E:$E,MATCH(_xlpm.pos,MASTER!$I:$I,0)),"mmddyy"),""),_xlpm.slot,1728+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03" s="4" t="str">
        <f>_xlfn.LET(_xlpm.pos,"NIH plate 19: "&amp;$A5&amp;I$2,_xlpm.normal,IFERROR(INDEX(MASTER!$A:$A,MATCH(_xlpm.pos,MASTER!$I:$I,0))&amp;"_ser_0.20_"&amp;TEXT(INDEX(MASTER!$E:$E,MATCH(_xlpm.pos,MASTER!$I:$I,0)),"mmddyy"),""),_xlpm.slot,1728+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03" s="4" t="str">
        <f>_xlfn.LET(_xlpm.pos,"NIH plate 19: "&amp;$A5&amp;J$2,_xlpm.normal,IFERROR(INDEX(MASTER!$A:$A,MATCH(_xlpm.pos,MASTER!$I:$I,0))&amp;"_ser_0.20_"&amp;TEXT(INDEX(MASTER!$E:$E,MATCH(_xlpm.pos,MASTER!$I:$I,0)),"mmddyy"),""),_xlpm.slot,1728+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03" s="4" t="str">
        <f>_xlfn.LET(_xlpm.pos,"NIH plate 19: "&amp;$A5&amp;K$2,_xlpm.normal,IFERROR(INDEX(MASTER!$A:$A,MATCH(_xlpm.pos,MASTER!$I:$I,0))&amp;"_ser_0.20_"&amp;TEXT(INDEX(MASTER!$E:$E,MATCH(_xlpm.pos,MASTER!$I:$I,0)),"mmddyy"),""),_xlpm.slot,1728+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03" s="4" t="str">
        <f>_xlfn.LET(_xlpm.pos,"NIH plate 19: "&amp;$A5&amp;L$2,_xlpm.normal,IFERROR(INDEX(MASTER!$A:$A,MATCH(_xlpm.pos,MASTER!$I:$I,0))&amp;"_ser_0.20_"&amp;TEXT(INDEX(MASTER!$E:$E,MATCH(_xlpm.pos,MASTER!$I:$I,0)),"mmddyy"),""),_xlpm.slot,1728+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03" s="4" t="str">
        <f>_xlfn.LET(_xlpm.pos,"NIH plate 19: "&amp;$A5&amp;M$2,_xlpm.normal,IFERROR(INDEX(MASTER!$A:$A,MATCH(_xlpm.pos,MASTER!$I:$I,0))&amp;"_ser_0.20_"&amp;TEXT(INDEX(MASTER!$E:$E,MATCH(_xlpm.pos,MASTER!$I:$I,0)),"mmddyy"),""),_xlpm.slot,1728+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04" spans="1:13" ht="22" customHeight="1" x14ac:dyDescent="0.35">
      <c r="A204" s="6" t="s">
        <v>33</v>
      </c>
      <c r="B204" s="4" t="str">
        <f>_xlfn.LET(_xlpm.pos,"NIH plate 19: "&amp;$A6&amp;B$2,_xlpm.normal,IFERROR(INDEX(MASTER!$A:$A,MATCH(_xlpm.pos,MASTER!$I:$I,0))&amp;"_ser_0.20_"&amp;TEXT(INDEX(MASTER!$E:$E,MATCH(_xlpm.pos,MASTER!$I:$I,0)),"mmddyy"),""),_xlpm.slot,1728+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04" s="4" t="str">
        <f>_xlfn.LET(_xlpm.pos,"NIH plate 19: "&amp;$A6&amp;C$2,_xlpm.normal,IFERROR(INDEX(MASTER!$A:$A,MATCH(_xlpm.pos,MASTER!$I:$I,0))&amp;"_ser_0.20_"&amp;TEXT(INDEX(MASTER!$E:$E,MATCH(_xlpm.pos,MASTER!$I:$I,0)),"mmddyy"),""),_xlpm.slot,1728+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04" s="4" t="str">
        <f>_xlfn.LET(_xlpm.pos,"NIH plate 19: "&amp;$A6&amp;D$2,_xlpm.normal,IFERROR(INDEX(MASTER!$A:$A,MATCH(_xlpm.pos,MASTER!$I:$I,0))&amp;"_ser_0.20_"&amp;TEXT(INDEX(MASTER!$E:$E,MATCH(_xlpm.pos,MASTER!$I:$I,0)),"mmddyy"),""),_xlpm.slot,1728+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04" s="4" t="str">
        <f>_xlfn.LET(_xlpm.pos,"NIH plate 19: "&amp;$A6&amp;E$2,_xlpm.normal,IFERROR(INDEX(MASTER!$A:$A,MATCH(_xlpm.pos,MASTER!$I:$I,0))&amp;"_ser_0.20_"&amp;TEXT(INDEX(MASTER!$E:$E,MATCH(_xlpm.pos,MASTER!$I:$I,0)),"mmddyy"),""),_xlpm.slot,1728+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04" s="4" t="str">
        <f>_xlfn.LET(_xlpm.pos,"NIH plate 19: "&amp;$A6&amp;F$2,_xlpm.normal,IFERROR(INDEX(MASTER!$A:$A,MATCH(_xlpm.pos,MASTER!$I:$I,0))&amp;"_ser_0.20_"&amp;TEXT(INDEX(MASTER!$E:$E,MATCH(_xlpm.pos,MASTER!$I:$I,0)),"mmddyy"),""),_xlpm.slot,1728+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04" s="4" t="str">
        <f>_xlfn.LET(_xlpm.pos,"NIH plate 19: "&amp;$A6&amp;G$2,_xlpm.normal,IFERROR(INDEX(MASTER!$A:$A,MATCH(_xlpm.pos,MASTER!$I:$I,0))&amp;"_ser_0.20_"&amp;TEXT(INDEX(MASTER!$E:$E,MATCH(_xlpm.pos,MASTER!$I:$I,0)),"mmddyy"),""),_xlpm.slot,1728+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04" s="4" t="str">
        <f>_xlfn.LET(_xlpm.pos,"NIH plate 19: "&amp;$A6&amp;H$2,_xlpm.normal,IFERROR(INDEX(MASTER!$A:$A,MATCH(_xlpm.pos,MASTER!$I:$I,0))&amp;"_ser_0.20_"&amp;TEXT(INDEX(MASTER!$E:$E,MATCH(_xlpm.pos,MASTER!$I:$I,0)),"mmddyy"),""),_xlpm.slot,1728+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04" s="4" t="str">
        <f>_xlfn.LET(_xlpm.pos,"NIH plate 19: "&amp;$A6&amp;I$2,_xlpm.normal,IFERROR(INDEX(MASTER!$A:$A,MATCH(_xlpm.pos,MASTER!$I:$I,0))&amp;"_ser_0.20_"&amp;TEXT(INDEX(MASTER!$E:$E,MATCH(_xlpm.pos,MASTER!$I:$I,0)),"mmddyy"),""),_xlpm.slot,1728+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04" s="4" t="str">
        <f>_xlfn.LET(_xlpm.pos,"NIH plate 19: "&amp;$A6&amp;J$2,_xlpm.normal,IFERROR(INDEX(MASTER!$A:$A,MATCH(_xlpm.pos,MASTER!$I:$I,0))&amp;"_ser_0.20_"&amp;TEXT(INDEX(MASTER!$E:$E,MATCH(_xlpm.pos,MASTER!$I:$I,0)),"mmddyy"),""),_xlpm.slot,1728+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04" s="4" t="str">
        <f>_xlfn.LET(_xlpm.pos,"NIH plate 19: "&amp;$A6&amp;K$2,_xlpm.normal,IFERROR(INDEX(MASTER!$A:$A,MATCH(_xlpm.pos,MASTER!$I:$I,0))&amp;"_ser_0.20_"&amp;TEXT(INDEX(MASTER!$E:$E,MATCH(_xlpm.pos,MASTER!$I:$I,0)),"mmddyy"),""),_xlpm.slot,1728+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04" s="4" t="str">
        <f>_xlfn.LET(_xlpm.pos,"NIH plate 19: "&amp;$A6&amp;L$2,_xlpm.normal,IFERROR(INDEX(MASTER!$A:$A,MATCH(_xlpm.pos,MASTER!$I:$I,0))&amp;"_ser_0.20_"&amp;TEXT(INDEX(MASTER!$E:$E,MATCH(_xlpm.pos,MASTER!$I:$I,0)),"mmddyy"),""),_xlpm.slot,1728+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04" s="4" t="str">
        <f>_xlfn.LET(_xlpm.pos,"NIH plate 19: "&amp;$A6&amp;M$2,_xlpm.normal,IFERROR(INDEX(MASTER!$A:$A,MATCH(_xlpm.pos,MASTER!$I:$I,0))&amp;"_ser_0.20_"&amp;TEXT(INDEX(MASTER!$E:$E,MATCH(_xlpm.pos,MASTER!$I:$I,0)),"mmddyy"),""),_xlpm.slot,1728+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05" spans="1:13" ht="22" customHeight="1" x14ac:dyDescent="0.35">
      <c r="A205" s="6" t="s">
        <v>34</v>
      </c>
      <c r="B205" s="4" t="str">
        <f>_xlfn.LET(_xlpm.pos,"NIH plate 19: "&amp;$A7&amp;B$2,_xlpm.normal,IFERROR(INDEX(MASTER!$A:$A,MATCH(_xlpm.pos,MASTER!$I:$I,0))&amp;"_ser_0.20_"&amp;TEXT(INDEX(MASTER!$E:$E,MATCH(_xlpm.pos,MASTER!$I:$I,0)),"mmddyy"),""),_xlpm.slot,1728+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05" s="4" t="str">
        <f>_xlfn.LET(_xlpm.pos,"NIH plate 19: "&amp;$A7&amp;C$2,_xlpm.normal,IFERROR(INDEX(MASTER!$A:$A,MATCH(_xlpm.pos,MASTER!$I:$I,0))&amp;"_ser_0.20_"&amp;TEXT(INDEX(MASTER!$E:$E,MATCH(_xlpm.pos,MASTER!$I:$I,0)),"mmddyy"),""),_xlpm.slot,1728+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05" s="4" t="str">
        <f>_xlfn.LET(_xlpm.pos,"NIH plate 19: "&amp;$A7&amp;D$2,_xlpm.normal,IFERROR(INDEX(MASTER!$A:$A,MATCH(_xlpm.pos,MASTER!$I:$I,0))&amp;"_ser_0.20_"&amp;TEXT(INDEX(MASTER!$E:$E,MATCH(_xlpm.pos,MASTER!$I:$I,0)),"mmddyy"),""),_xlpm.slot,1728+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05" s="4" t="str">
        <f>_xlfn.LET(_xlpm.pos,"NIH plate 19: "&amp;$A7&amp;E$2,_xlpm.normal,IFERROR(INDEX(MASTER!$A:$A,MATCH(_xlpm.pos,MASTER!$I:$I,0))&amp;"_ser_0.20_"&amp;TEXT(INDEX(MASTER!$E:$E,MATCH(_xlpm.pos,MASTER!$I:$I,0)),"mmddyy"),""),_xlpm.slot,1728+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05" s="4" t="str">
        <f>_xlfn.LET(_xlpm.pos,"NIH plate 19: "&amp;$A7&amp;F$2,_xlpm.normal,IFERROR(INDEX(MASTER!$A:$A,MATCH(_xlpm.pos,MASTER!$I:$I,0))&amp;"_ser_0.20_"&amp;TEXT(INDEX(MASTER!$E:$E,MATCH(_xlpm.pos,MASTER!$I:$I,0)),"mmddyy"),""),_xlpm.slot,1728+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05" s="4" t="str">
        <f>_xlfn.LET(_xlpm.pos,"NIH plate 19: "&amp;$A7&amp;G$2,_xlpm.normal,IFERROR(INDEX(MASTER!$A:$A,MATCH(_xlpm.pos,MASTER!$I:$I,0))&amp;"_ser_0.20_"&amp;TEXT(INDEX(MASTER!$E:$E,MATCH(_xlpm.pos,MASTER!$I:$I,0)),"mmddyy"),""),_xlpm.slot,1728+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05" s="4" t="str">
        <f>_xlfn.LET(_xlpm.pos,"NIH plate 19: "&amp;$A7&amp;H$2,_xlpm.normal,IFERROR(INDEX(MASTER!$A:$A,MATCH(_xlpm.pos,MASTER!$I:$I,0))&amp;"_ser_0.20_"&amp;TEXT(INDEX(MASTER!$E:$E,MATCH(_xlpm.pos,MASTER!$I:$I,0)),"mmddyy"),""),_xlpm.slot,1728+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05" s="4" t="str">
        <f>_xlfn.LET(_xlpm.pos,"NIH plate 19: "&amp;$A7&amp;I$2,_xlpm.normal,IFERROR(INDEX(MASTER!$A:$A,MATCH(_xlpm.pos,MASTER!$I:$I,0))&amp;"_ser_0.20_"&amp;TEXT(INDEX(MASTER!$E:$E,MATCH(_xlpm.pos,MASTER!$I:$I,0)),"mmddyy"),""),_xlpm.slot,1728+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05" s="4" t="str">
        <f>_xlfn.LET(_xlpm.pos,"NIH plate 19: "&amp;$A7&amp;J$2,_xlpm.normal,IFERROR(INDEX(MASTER!$A:$A,MATCH(_xlpm.pos,MASTER!$I:$I,0))&amp;"_ser_0.20_"&amp;TEXT(INDEX(MASTER!$E:$E,MATCH(_xlpm.pos,MASTER!$I:$I,0)),"mmddyy"),""),_xlpm.slot,1728+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05" s="4" t="str">
        <f>_xlfn.LET(_xlpm.pos,"NIH plate 19: "&amp;$A7&amp;K$2,_xlpm.normal,IFERROR(INDEX(MASTER!$A:$A,MATCH(_xlpm.pos,MASTER!$I:$I,0))&amp;"_ser_0.20_"&amp;TEXT(INDEX(MASTER!$E:$E,MATCH(_xlpm.pos,MASTER!$I:$I,0)),"mmddyy"),""),_xlpm.slot,1728+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05" s="4" t="str">
        <f>_xlfn.LET(_xlpm.pos,"NIH plate 19: "&amp;$A7&amp;L$2,_xlpm.normal,IFERROR(INDEX(MASTER!$A:$A,MATCH(_xlpm.pos,MASTER!$I:$I,0))&amp;"_ser_0.20_"&amp;TEXT(INDEX(MASTER!$E:$E,MATCH(_xlpm.pos,MASTER!$I:$I,0)),"mmddyy"),""),_xlpm.slot,1728+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05" s="4" t="str">
        <f>_xlfn.LET(_xlpm.pos,"NIH plate 19: "&amp;$A7&amp;M$2,_xlpm.normal,IFERROR(INDEX(MASTER!$A:$A,MATCH(_xlpm.pos,MASTER!$I:$I,0))&amp;"_ser_0.20_"&amp;TEXT(INDEX(MASTER!$E:$E,MATCH(_xlpm.pos,MASTER!$I:$I,0)),"mmddyy"),""),_xlpm.slot,1728+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06" spans="1:13" ht="22" customHeight="1" x14ac:dyDescent="0.35">
      <c r="A206" s="6" t="s">
        <v>15</v>
      </c>
      <c r="B206" s="4" t="str">
        <f>_xlfn.LET(_xlpm.pos,"NIH plate 19: "&amp;$A8&amp;B$2,_xlpm.normal,IFERROR(INDEX(MASTER!$A:$A,MATCH(_xlpm.pos,MASTER!$I:$I,0))&amp;"_ser_0.20_"&amp;TEXT(INDEX(MASTER!$E:$E,MATCH(_xlpm.pos,MASTER!$I:$I,0)),"mmddyy"),""),_xlpm.slot,1728+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06" s="4" t="str">
        <f>_xlfn.LET(_xlpm.pos,"NIH plate 19: "&amp;$A8&amp;C$2,_xlpm.normal,IFERROR(INDEX(MASTER!$A:$A,MATCH(_xlpm.pos,MASTER!$I:$I,0))&amp;"_ser_0.20_"&amp;TEXT(INDEX(MASTER!$E:$E,MATCH(_xlpm.pos,MASTER!$I:$I,0)),"mmddyy"),""),_xlpm.slot,1728+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06" s="4" t="str">
        <f>_xlfn.LET(_xlpm.pos,"NIH plate 19: "&amp;$A8&amp;D$2,_xlpm.normal,IFERROR(INDEX(MASTER!$A:$A,MATCH(_xlpm.pos,MASTER!$I:$I,0))&amp;"_ser_0.20_"&amp;TEXT(INDEX(MASTER!$E:$E,MATCH(_xlpm.pos,MASTER!$I:$I,0)),"mmddyy"),""),_xlpm.slot,1728+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06" s="4" t="str">
        <f>_xlfn.LET(_xlpm.pos,"NIH plate 19: "&amp;$A8&amp;E$2,_xlpm.normal,IFERROR(INDEX(MASTER!$A:$A,MATCH(_xlpm.pos,MASTER!$I:$I,0))&amp;"_ser_0.20_"&amp;TEXT(INDEX(MASTER!$E:$E,MATCH(_xlpm.pos,MASTER!$I:$I,0)),"mmddyy"),""),_xlpm.slot,1728+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06" s="4" t="str">
        <f>_xlfn.LET(_xlpm.pos,"NIH plate 19: "&amp;$A8&amp;F$2,_xlpm.normal,IFERROR(INDEX(MASTER!$A:$A,MATCH(_xlpm.pos,MASTER!$I:$I,0))&amp;"_ser_0.20_"&amp;TEXT(INDEX(MASTER!$E:$E,MATCH(_xlpm.pos,MASTER!$I:$I,0)),"mmddyy"),""),_xlpm.slot,1728+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06" s="4" t="str">
        <f>_xlfn.LET(_xlpm.pos,"NIH plate 19: "&amp;$A8&amp;G$2,_xlpm.normal,IFERROR(INDEX(MASTER!$A:$A,MATCH(_xlpm.pos,MASTER!$I:$I,0))&amp;"_ser_0.20_"&amp;TEXT(INDEX(MASTER!$E:$E,MATCH(_xlpm.pos,MASTER!$I:$I,0)),"mmddyy"),""),_xlpm.slot,1728+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06" s="4" t="str">
        <f>_xlfn.LET(_xlpm.pos,"NIH plate 19: "&amp;$A8&amp;H$2,_xlpm.normal,IFERROR(INDEX(MASTER!$A:$A,MATCH(_xlpm.pos,MASTER!$I:$I,0))&amp;"_ser_0.20_"&amp;TEXT(INDEX(MASTER!$E:$E,MATCH(_xlpm.pos,MASTER!$I:$I,0)),"mmddyy"),""),_xlpm.slot,1728+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06" s="4" t="str">
        <f>_xlfn.LET(_xlpm.pos,"NIH plate 19: "&amp;$A8&amp;I$2,_xlpm.normal,IFERROR(INDEX(MASTER!$A:$A,MATCH(_xlpm.pos,MASTER!$I:$I,0))&amp;"_ser_0.20_"&amp;TEXT(INDEX(MASTER!$E:$E,MATCH(_xlpm.pos,MASTER!$I:$I,0)),"mmddyy"),""),_xlpm.slot,1728+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06" s="4" t="str">
        <f>_xlfn.LET(_xlpm.pos,"NIH plate 19: "&amp;$A8&amp;J$2,_xlpm.normal,IFERROR(INDEX(MASTER!$A:$A,MATCH(_xlpm.pos,MASTER!$I:$I,0))&amp;"_ser_0.20_"&amp;TEXT(INDEX(MASTER!$E:$E,MATCH(_xlpm.pos,MASTER!$I:$I,0)),"mmddyy"),""),_xlpm.slot,1728+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06" s="4" t="str">
        <f>_xlfn.LET(_xlpm.pos,"NIH plate 19: "&amp;$A8&amp;K$2,_xlpm.normal,IFERROR(INDEX(MASTER!$A:$A,MATCH(_xlpm.pos,MASTER!$I:$I,0))&amp;"_ser_0.20_"&amp;TEXT(INDEX(MASTER!$E:$E,MATCH(_xlpm.pos,MASTER!$I:$I,0)),"mmddyy"),""),_xlpm.slot,1728+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06" s="4" t="str">
        <f>_xlfn.LET(_xlpm.pos,"NIH plate 19: "&amp;$A8&amp;L$2,_xlpm.normal,IFERROR(INDEX(MASTER!$A:$A,MATCH(_xlpm.pos,MASTER!$I:$I,0))&amp;"_ser_0.20_"&amp;TEXT(INDEX(MASTER!$E:$E,MATCH(_xlpm.pos,MASTER!$I:$I,0)),"mmddyy"),""),_xlpm.slot,1728+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06" s="4" t="str">
        <f>_xlfn.LET(_xlpm.pos,"NIH plate 19: "&amp;$A8&amp;M$2,_xlpm.normal,IFERROR(INDEX(MASTER!$A:$A,MATCH(_xlpm.pos,MASTER!$I:$I,0))&amp;"_ser_0.20_"&amp;TEXT(INDEX(MASTER!$E:$E,MATCH(_xlpm.pos,MASTER!$I:$I,0)),"mmddyy"),""),_xlpm.slot,1728+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07" spans="1:13" ht="22" customHeight="1" x14ac:dyDescent="0.35">
      <c r="A207" s="6" t="s">
        <v>35</v>
      </c>
      <c r="B207" s="4" t="str">
        <f>_xlfn.LET(_xlpm.pos,"NIH plate 19: "&amp;$A9&amp;B$2,_xlpm.normal,IFERROR(INDEX(MASTER!$A:$A,MATCH(_xlpm.pos,MASTER!$I:$I,0))&amp;"_ser_0.20_"&amp;TEXT(INDEX(MASTER!$E:$E,MATCH(_xlpm.pos,MASTER!$I:$I,0)),"mmddyy"),""),_xlpm.slot,1728+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07" s="4" t="str">
        <f>_xlfn.LET(_xlpm.pos,"NIH plate 19: "&amp;$A9&amp;C$2,_xlpm.normal,IFERROR(INDEX(MASTER!$A:$A,MATCH(_xlpm.pos,MASTER!$I:$I,0))&amp;"_ser_0.20_"&amp;TEXT(INDEX(MASTER!$E:$E,MATCH(_xlpm.pos,MASTER!$I:$I,0)),"mmddyy"),""),_xlpm.slot,1728+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07" s="4" t="str">
        <f>_xlfn.LET(_xlpm.pos,"NIH plate 19: "&amp;$A9&amp;D$2,_xlpm.normal,IFERROR(INDEX(MASTER!$A:$A,MATCH(_xlpm.pos,MASTER!$I:$I,0))&amp;"_ser_0.20_"&amp;TEXT(INDEX(MASTER!$E:$E,MATCH(_xlpm.pos,MASTER!$I:$I,0)),"mmddyy"),""),_xlpm.slot,1728+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07" s="4" t="str">
        <f>_xlfn.LET(_xlpm.pos,"NIH plate 19: "&amp;$A9&amp;E$2,_xlpm.normal,IFERROR(INDEX(MASTER!$A:$A,MATCH(_xlpm.pos,MASTER!$I:$I,0))&amp;"_ser_0.20_"&amp;TEXT(INDEX(MASTER!$E:$E,MATCH(_xlpm.pos,MASTER!$I:$I,0)),"mmddyy"),""),_xlpm.slot,1728+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07" s="4" t="str">
        <f>_xlfn.LET(_xlpm.pos,"NIH plate 19: "&amp;$A9&amp;F$2,_xlpm.normal,IFERROR(INDEX(MASTER!$A:$A,MATCH(_xlpm.pos,MASTER!$I:$I,0))&amp;"_ser_0.20_"&amp;TEXT(INDEX(MASTER!$E:$E,MATCH(_xlpm.pos,MASTER!$I:$I,0)),"mmddyy"),""),_xlpm.slot,1728+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07" s="4" t="str">
        <f>_xlfn.LET(_xlpm.pos,"NIH plate 19: "&amp;$A9&amp;G$2,_xlpm.normal,IFERROR(INDEX(MASTER!$A:$A,MATCH(_xlpm.pos,MASTER!$I:$I,0))&amp;"_ser_0.20_"&amp;TEXT(INDEX(MASTER!$E:$E,MATCH(_xlpm.pos,MASTER!$I:$I,0)),"mmddyy"),""),_xlpm.slot,1728+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07" s="4" t="str">
        <f>_xlfn.LET(_xlpm.pos,"NIH plate 19: "&amp;$A9&amp;H$2,_xlpm.normal,IFERROR(INDEX(MASTER!$A:$A,MATCH(_xlpm.pos,MASTER!$I:$I,0))&amp;"_ser_0.20_"&amp;TEXT(INDEX(MASTER!$E:$E,MATCH(_xlpm.pos,MASTER!$I:$I,0)),"mmddyy"),""),_xlpm.slot,1728+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07" s="4" t="str">
        <f>_xlfn.LET(_xlpm.pos,"NIH plate 19: "&amp;$A9&amp;I$2,_xlpm.normal,IFERROR(INDEX(MASTER!$A:$A,MATCH(_xlpm.pos,MASTER!$I:$I,0))&amp;"_ser_0.20_"&amp;TEXT(INDEX(MASTER!$E:$E,MATCH(_xlpm.pos,MASTER!$I:$I,0)),"mmddyy"),""),_xlpm.slot,1728+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07" s="4" t="str">
        <f>_xlfn.LET(_xlpm.pos,"NIH plate 19: "&amp;$A9&amp;J$2,_xlpm.normal,IFERROR(INDEX(MASTER!$A:$A,MATCH(_xlpm.pos,MASTER!$I:$I,0))&amp;"_ser_0.20_"&amp;TEXT(INDEX(MASTER!$E:$E,MATCH(_xlpm.pos,MASTER!$I:$I,0)),"mmddyy"),""),_xlpm.slot,1728+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07" s="4" t="str">
        <f>_xlfn.LET(_xlpm.pos,"NIH plate 19: "&amp;$A9&amp;K$2,_xlpm.normal,IFERROR(INDEX(MASTER!$A:$A,MATCH(_xlpm.pos,MASTER!$I:$I,0))&amp;"_ser_0.20_"&amp;TEXT(INDEX(MASTER!$E:$E,MATCH(_xlpm.pos,MASTER!$I:$I,0)),"mmddyy"),""),_xlpm.slot,1728+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07" s="4" t="str">
        <f>_xlfn.LET(_xlpm.pos,"NIH plate 19: "&amp;$A9&amp;L$2,_xlpm.normal,IFERROR(INDEX(MASTER!$A:$A,MATCH(_xlpm.pos,MASTER!$I:$I,0))&amp;"_ser_0.20_"&amp;TEXT(INDEX(MASTER!$E:$E,MATCH(_xlpm.pos,MASTER!$I:$I,0)),"mmddyy"),""),_xlpm.slot,1728+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07" s="4" t="str">
        <f>_xlfn.LET(_xlpm.pos,"NIH plate 19: "&amp;$A9&amp;M$2,_xlpm.normal,IFERROR(INDEX(MASTER!$A:$A,MATCH(_xlpm.pos,MASTER!$I:$I,0))&amp;"_ser_0.20_"&amp;TEXT(INDEX(MASTER!$E:$E,MATCH(_xlpm.pos,MASTER!$I:$I,0)),"mmddyy"),""),_xlpm.slot,1728+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08" spans="1:13" ht="22" customHeight="1" x14ac:dyDescent="0.35">
      <c r="A208" s="6" t="s">
        <v>36</v>
      </c>
      <c r="B208" s="4" t="str">
        <f>_xlfn.LET(_xlpm.pos,"NIH plate 19: "&amp;$A10&amp;B$2,_xlpm.normal,IFERROR(INDEX(MASTER!$A:$A,MATCH(_xlpm.pos,MASTER!$I:$I,0))&amp;"_ser_0.20_"&amp;TEXT(INDEX(MASTER!$E:$E,MATCH(_xlpm.pos,MASTER!$I:$I,0)),"mmddyy"),""),_xlpm.slot,1728+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08" s="4" t="str">
        <f>_xlfn.LET(_xlpm.pos,"NIH plate 19: "&amp;$A10&amp;C$2,_xlpm.normal,IFERROR(INDEX(MASTER!$A:$A,MATCH(_xlpm.pos,MASTER!$I:$I,0))&amp;"_ser_0.20_"&amp;TEXT(INDEX(MASTER!$E:$E,MATCH(_xlpm.pos,MASTER!$I:$I,0)),"mmddyy"),""),_xlpm.slot,1728+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08" s="4" t="str">
        <f>_xlfn.LET(_xlpm.pos,"NIH plate 19: "&amp;$A10&amp;D$2,_xlpm.normal,IFERROR(INDEX(MASTER!$A:$A,MATCH(_xlpm.pos,MASTER!$I:$I,0))&amp;"_ser_0.20_"&amp;TEXT(INDEX(MASTER!$E:$E,MATCH(_xlpm.pos,MASTER!$I:$I,0)),"mmddyy"),""),_xlpm.slot,1728+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08" s="4" t="str">
        <f>_xlfn.LET(_xlpm.pos,"NIH plate 19: "&amp;$A10&amp;E$2,_xlpm.normal,IFERROR(INDEX(MASTER!$A:$A,MATCH(_xlpm.pos,MASTER!$I:$I,0))&amp;"_ser_0.20_"&amp;TEXT(INDEX(MASTER!$E:$E,MATCH(_xlpm.pos,MASTER!$I:$I,0)),"mmddyy"),""),_xlpm.slot,1728+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08" s="4" t="str">
        <f>_xlfn.LET(_xlpm.pos,"NIH plate 19: "&amp;$A10&amp;F$2,_xlpm.normal,IFERROR(INDEX(MASTER!$A:$A,MATCH(_xlpm.pos,MASTER!$I:$I,0))&amp;"_ser_0.20_"&amp;TEXT(INDEX(MASTER!$E:$E,MATCH(_xlpm.pos,MASTER!$I:$I,0)),"mmddyy"),""),_xlpm.slot,1728+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08" s="4" t="str">
        <f>_xlfn.LET(_xlpm.pos,"NIH plate 19: "&amp;$A10&amp;G$2,_xlpm.normal,IFERROR(INDEX(MASTER!$A:$A,MATCH(_xlpm.pos,MASTER!$I:$I,0))&amp;"_ser_0.20_"&amp;TEXT(INDEX(MASTER!$E:$E,MATCH(_xlpm.pos,MASTER!$I:$I,0)),"mmddyy"),""),_xlpm.slot,1728+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08" s="4" t="str">
        <f>_xlfn.LET(_xlpm.pos,"NIH plate 19: "&amp;$A10&amp;H$2,_xlpm.normal,IFERROR(INDEX(MASTER!$A:$A,MATCH(_xlpm.pos,MASTER!$I:$I,0))&amp;"_ser_0.20_"&amp;TEXT(INDEX(MASTER!$E:$E,MATCH(_xlpm.pos,MASTER!$I:$I,0)),"mmddyy"),""),_xlpm.slot,1728+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08" s="4" t="str">
        <f>_xlfn.LET(_xlpm.pos,"NIH plate 19: "&amp;$A10&amp;I$2,_xlpm.normal,IFERROR(INDEX(MASTER!$A:$A,MATCH(_xlpm.pos,MASTER!$I:$I,0))&amp;"_ser_0.20_"&amp;TEXT(INDEX(MASTER!$E:$E,MATCH(_xlpm.pos,MASTER!$I:$I,0)),"mmddyy"),""),_xlpm.slot,1728+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08" s="4" t="str">
        <f>_xlfn.LET(_xlpm.pos,"NIH plate 19: "&amp;$A10&amp;J$2,_xlpm.normal,IFERROR(INDEX(MASTER!$A:$A,MATCH(_xlpm.pos,MASTER!$I:$I,0))&amp;"_ser_0.20_"&amp;TEXT(INDEX(MASTER!$E:$E,MATCH(_xlpm.pos,MASTER!$I:$I,0)),"mmddyy"),""),_xlpm.slot,1728+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08" s="4" t="str">
        <f>_xlfn.LET(_xlpm.pos,"NIH plate 19: "&amp;$A10&amp;K$2,_xlpm.normal,IFERROR(INDEX(MASTER!$A:$A,MATCH(_xlpm.pos,MASTER!$I:$I,0))&amp;"_ser_0.20_"&amp;TEXT(INDEX(MASTER!$E:$E,MATCH(_xlpm.pos,MASTER!$I:$I,0)),"mmddyy"),""),_xlpm.slot,1728+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08" s="4" t="str">
        <f>_xlfn.LET(_xlpm.pos,"NIH plate 19: "&amp;$A10&amp;L$2,_xlpm.normal,IFERROR(INDEX(MASTER!$A:$A,MATCH(_xlpm.pos,MASTER!$I:$I,0))&amp;"_ser_0.20_"&amp;TEXT(INDEX(MASTER!$E:$E,MATCH(_xlpm.pos,MASTER!$I:$I,0)),"mmddyy"),""),_xlpm.slot,1728+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08" s="4" t="str">
        <f>_xlfn.LET(_xlpm.pos,"NIH plate 19: "&amp;$A10&amp;M$2,_xlpm.normal,IFERROR(INDEX(MASTER!$A:$A,MATCH(_xlpm.pos,MASTER!$I:$I,0))&amp;"_ser_0.20_"&amp;TEXT(INDEX(MASTER!$E:$E,MATCH(_xlpm.pos,MASTER!$I:$I,0)),"mmddyy"),""),_xlpm.slot,1728+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10" spans="1:13" ht="22" customHeight="1" x14ac:dyDescent="0.35">
      <c r="A210" s="7"/>
      <c r="B210" s="31" t="s">
        <v>76</v>
      </c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3"/>
    </row>
    <row r="211" spans="1:13" ht="22" customHeight="1" x14ac:dyDescent="0.35">
      <c r="A211" s="7"/>
      <c r="B211" s="6">
        <v>1</v>
      </c>
      <c r="C211" s="6">
        <v>2</v>
      </c>
      <c r="D211" s="6">
        <v>3</v>
      </c>
      <c r="E211" s="6">
        <v>4</v>
      </c>
      <c r="F211" s="6">
        <v>5</v>
      </c>
      <c r="G211" s="6">
        <v>6</v>
      </c>
      <c r="H211" s="6">
        <v>7</v>
      </c>
      <c r="I211" s="6">
        <v>8</v>
      </c>
      <c r="J211" s="6">
        <v>9</v>
      </c>
      <c r="K211" s="6">
        <v>10</v>
      </c>
      <c r="L211" s="6">
        <v>11</v>
      </c>
      <c r="M211" s="6">
        <v>12</v>
      </c>
    </row>
    <row r="212" spans="1:13" ht="22" customHeight="1" x14ac:dyDescent="0.35">
      <c r="A212" s="6" t="s">
        <v>30</v>
      </c>
      <c r="B212" s="4" t="str">
        <f>_xlfn.LET(_xlpm.pos,"NIH plate 20: "&amp;$A3&amp;B$2,_xlpm.normal,IFERROR(INDEX(MASTER!$A:$A,MATCH(_xlpm.pos,MASTER!$I:$I,0))&amp;"_ser_0.20_"&amp;TEXT(INDEX(MASTER!$E:$E,MATCH(_xlpm.pos,MASTER!$I:$I,0)),"mmddyy"),""),_xlpm.slot,1824+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12" s="4" t="str">
        <f>_xlfn.LET(_xlpm.pos,"NIH plate 20: "&amp;$A3&amp;C$2,_xlpm.normal,IFERROR(INDEX(MASTER!$A:$A,MATCH(_xlpm.pos,MASTER!$I:$I,0))&amp;"_ser_0.20_"&amp;TEXT(INDEX(MASTER!$E:$E,MATCH(_xlpm.pos,MASTER!$I:$I,0)),"mmddyy"),""),_xlpm.slot,1824+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12" s="4" t="str">
        <f>_xlfn.LET(_xlpm.pos,"NIH plate 20: "&amp;$A3&amp;D$2,_xlpm.normal,IFERROR(INDEX(MASTER!$A:$A,MATCH(_xlpm.pos,MASTER!$I:$I,0))&amp;"_ser_0.20_"&amp;TEXT(INDEX(MASTER!$E:$E,MATCH(_xlpm.pos,MASTER!$I:$I,0)),"mmddyy"),""),_xlpm.slot,1824+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12" s="4" t="str">
        <f>_xlfn.LET(_xlpm.pos,"NIH plate 20: "&amp;$A3&amp;E$2,_xlpm.normal,IFERROR(INDEX(MASTER!$A:$A,MATCH(_xlpm.pos,MASTER!$I:$I,0))&amp;"_ser_0.20_"&amp;TEXT(INDEX(MASTER!$E:$E,MATCH(_xlpm.pos,MASTER!$I:$I,0)),"mmddyy"),""),_xlpm.slot,1824+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12" s="4" t="str">
        <f>_xlfn.LET(_xlpm.pos,"NIH plate 20: "&amp;$A3&amp;F$2,_xlpm.normal,IFERROR(INDEX(MASTER!$A:$A,MATCH(_xlpm.pos,MASTER!$I:$I,0))&amp;"_ser_0.20_"&amp;TEXT(INDEX(MASTER!$E:$E,MATCH(_xlpm.pos,MASTER!$I:$I,0)),"mmddyy"),""),_xlpm.slot,1824+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12" s="4" t="str">
        <f>_xlfn.LET(_xlpm.pos,"NIH plate 20: "&amp;$A3&amp;G$2,_xlpm.normal,IFERROR(INDEX(MASTER!$A:$A,MATCH(_xlpm.pos,MASTER!$I:$I,0))&amp;"_ser_0.20_"&amp;TEXT(INDEX(MASTER!$E:$E,MATCH(_xlpm.pos,MASTER!$I:$I,0)),"mmddyy"),""),_xlpm.slot,1824+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12" s="4" t="str">
        <f>_xlfn.LET(_xlpm.pos,"NIH plate 20: "&amp;$A3&amp;H$2,_xlpm.normal,IFERROR(INDEX(MASTER!$A:$A,MATCH(_xlpm.pos,MASTER!$I:$I,0))&amp;"_ser_0.20_"&amp;TEXT(INDEX(MASTER!$E:$E,MATCH(_xlpm.pos,MASTER!$I:$I,0)),"mmddyy"),""),_xlpm.slot,1824+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12" s="4" t="str">
        <f>_xlfn.LET(_xlpm.pos,"NIH plate 20: "&amp;$A3&amp;I$2,_xlpm.normal,IFERROR(INDEX(MASTER!$A:$A,MATCH(_xlpm.pos,MASTER!$I:$I,0))&amp;"_ser_0.20_"&amp;TEXT(INDEX(MASTER!$E:$E,MATCH(_xlpm.pos,MASTER!$I:$I,0)),"mmddyy"),""),_xlpm.slot,1824+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12" s="4" t="str">
        <f>_xlfn.LET(_xlpm.pos,"NIH plate 20: "&amp;$A3&amp;J$2,_xlpm.normal,IFERROR(INDEX(MASTER!$A:$A,MATCH(_xlpm.pos,MASTER!$I:$I,0))&amp;"_ser_0.20_"&amp;TEXT(INDEX(MASTER!$E:$E,MATCH(_xlpm.pos,MASTER!$I:$I,0)),"mmddyy"),""),_xlpm.slot,1824+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12" s="4" t="str">
        <f>_xlfn.LET(_xlpm.pos,"NIH plate 20: "&amp;$A3&amp;K$2,_xlpm.normal,IFERROR(INDEX(MASTER!$A:$A,MATCH(_xlpm.pos,MASTER!$I:$I,0))&amp;"_ser_0.20_"&amp;TEXT(INDEX(MASTER!$E:$E,MATCH(_xlpm.pos,MASTER!$I:$I,0)),"mmddyy"),""),_xlpm.slot,1824+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12" s="4" t="str">
        <f>_xlfn.LET(_xlpm.pos,"NIH plate 20: "&amp;$A3&amp;L$2,_xlpm.normal,IFERROR(INDEX(MASTER!$A:$A,MATCH(_xlpm.pos,MASTER!$I:$I,0))&amp;"_ser_0.20_"&amp;TEXT(INDEX(MASTER!$E:$E,MATCH(_xlpm.pos,MASTER!$I:$I,0)),"mmddyy"),""),_xlpm.slot,1824+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12" s="4" t="str">
        <f>_xlfn.LET(_xlpm.pos,"NIH plate 20: "&amp;$A3&amp;M$2,_xlpm.normal,IFERROR(INDEX(MASTER!$A:$A,MATCH(_xlpm.pos,MASTER!$I:$I,0))&amp;"_ser_0.20_"&amp;TEXT(INDEX(MASTER!$E:$E,MATCH(_xlpm.pos,MASTER!$I:$I,0)),"mmddyy"),""),_xlpm.slot,1824+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13" spans="1:13" ht="22" customHeight="1" x14ac:dyDescent="0.35">
      <c r="A213" s="6" t="s">
        <v>31</v>
      </c>
      <c r="B213" s="4" t="str">
        <f>_xlfn.LET(_xlpm.pos,"NIH plate 20: "&amp;$A4&amp;B$2,_xlpm.normal,IFERROR(INDEX(MASTER!$A:$A,MATCH(_xlpm.pos,MASTER!$I:$I,0))&amp;"_ser_0.20_"&amp;TEXT(INDEX(MASTER!$E:$E,MATCH(_xlpm.pos,MASTER!$I:$I,0)),"mmddyy"),""),_xlpm.slot,1824+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13" s="4" t="str">
        <f>_xlfn.LET(_xlpm.pos,"NIH plate 20: "&amp;$A4&amp;C$2,_xlpm.normal,IFERROR(INDEX(MASTER!$A:$A,MATCH(_xlpm.pos,MASTER!$I:$I,0))&amp;"_ser_0.20_"&amp;TEXT(INDEX(MASTER!$E:$E,MATCH(_xlpm.pos,MASTER!$I:$I,0)),"mmddyy"),""),_xlpm.slot,1824+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13" s="4" t="str">
        <f>_xlfn.LET(_xlpm.pos,"NIH plate 20: "&amp;$A4&amp;D$2,_xlpm.normal,IFERROR(INDEX(MASTER!$A:$A,MATCH(_xlpm.pos,MASTER!$I:$I,0))&amp;"_ser_0.20_"&amp;TEXT(INDEX(MASTER!$E:$E,MATCH(_xlpm.pos,MASTER!$I:$I,0)),"mmddyy"),""),_xlpm.slot,1824+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13" s="4" t="str">
        <f>_xlfn.LET(_xlpm.pos,"NIH plate 20: "&amp;$A4&amp;E$2,_xlpm.normal,IFERROR(INDEX(MASTER!$A:$A,MATCH(_xlpm.pos,MASTER!$I:$I,0))&amp;"_ser_0.20_"&amp;TEXT(INDEX(MASTER!$E:$E,MATCH(_xlpm.pos,MASTER!$I:$I,0)),"mmddyy"),""),_xlpm.slot,1824+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13" s="4" t="str">
        <f>_xlfn.LET(_xlpm.pos,"NIH plate 20: "&amp;$A4&amp;F$2,_xlpm.normal,IFERROR(INDEX(MASTER!$A:$A,MATCH(_xlpm.pos,MASTER!$I:$I,0))&amp;"_ser_0.20_"&amp;TEXT(INDEX(MASTER!$E:$E,MATCH(_xlpm.pos,MASTER!$I:$I,0)),"mmddyy"),""),_xlpm.slot,1824+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13" s="4" t="str">
        <f>_xlfn.LET(_xlpm.pos,"NIH plate 20: "&amp;$A4&amp;G$2,_xlpm.normal,IFERROR(INDEX(MASTER!$A:$A,MATCH(_xlpm.pos,MASTER!$I:$I,0))&amp;"_ser_0.20_"&amp;TEXT(INDEX(MASTER!$E:$E,MATCH(_xlpm.pos,MASTER!$I:$I,0)),"mmddyy"),""),_xlpm.slot,1824+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13" s="4" t="str">
        <f>_xlfn.LET(_xlpm.pos,"NIH plate 20: "&amp;$A4&amp;H$2,_xlpm.normal,IFERROR(INDEX(MASTER!$A:$A,MATCH(_xlpm.pos,MASTER!$I:$I,0))&amp;"_ser_0.20_"&amp;TEXT(INDEX(MASTER!$E:$E,MATCH(_xlpm.pos,MASTER!$I:$I,0)),"mmddyy"),""),_xlpm.slot,1824+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13" s="4" t="str">
        <f>_xlfn.LET(_xlpm.pos,"NIH plate 20: "&amp;$A4&amp;I$2,_xlpm.normal,IFERROR(INDEX(MASTER!$A:$A,MATCH(_xlpm.pos,MASTER!$I:$I,0))&amp;"_ser_0.20_"&amp;TEXT(INDEX(MASTER!$E:$E,MATCH(_xlpm.pos,MASTER!$I:$I,0)),"mmddyy"),""),_xlpm.slot,1824+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13" s="4" t="str">
        <f>_xlfn.LET(_xlpm.pos,"NIH plate 20: "&amp;$A4&amp;J$2,_xlpm.normal,IFERROR(INDEX(MASTER!$A:$A,MATCH(_xlpm.pos,MASTER!$I:$I,0))&amp;"_ser_0.20_"&amp;TEXT(INDEX(MASTER!$E:$E,MATCH(_xlpm.pos,MASTER!$I:$I,0)),"mmddyy"),""),_xlpm.slot,1824+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13" s="4" t="str">
        <f>_xlfn.LET(_xlpm.pos,"NIH plate 20: "&amp;$A4&amp;K$2,_xlpm.normal,IFERROR(INDEX(MASTER!$A:$A,MATCH(_xlpm.pos,MASTER!$I:$I,0))&amp;"_ser_0.20_"&amp;TEXT(INDEX(MASTER!$E:$E,MATCH(_xlpm.pos,MASTER!$I:$I,0)),"mmddyy"),""),_xlpm.slot,1824+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13" s="4" t="str">
        <f>_xlfn.LET(_xlpm.pos,"NIH plate 20: "&amp;$A4&amp;L$2,_xlpm.normal,IFERROR(INDEX(MASTER!$A:$A,MATCH(_xlpm.pos,MASTER!$I:$I,0))&amp;"_ser_0.20_"&amp;TEXT(INDEX(MASTER!$E:$E,MATCH(_xlpm.pos,MASTER!$I:$I,0)),"mmddyy"),""),_xlpm.slot,1824+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13" s="4" t="str">
        <f>_xlfn.LET(_xlpm.pos,"NIH plate 20: "&amp;$A4&amp;M$2,_xlpm.normal,IFERROR(INDEX(MASTER!$A:$A,MATCH(_xlpm.pos,MASTER!$I:$I,0))&amp;"_ser_0.20_"&amp;TEXT(INDEX(MASTER!$E:$E,MATCH(_xlpm.pos,MASTER!$I:$I,0)),"mmddyy"),""),_xlpm.slot,1824+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14" spans="1:13" ht="22" customHeight="1" x14ac:dyDescent="0.35">
      <c r="A214" s="6" t="s">
        <v>32</v>
      </c>
      <c r="B214" s="4" t="str">
        <f>_xlfn.LET(_xlpm.pos,"NIH plate 20: "&amp;$A5&amp;B$2,_xlpm.normal,IFERROR(INDEX(MASTER!$A:$A,MATCH(_xlpm.pos,MASTER!$I:$I,0))&amp;"_ser_0.20_"&amp;TEXT(INDEX(MASTER!$E:$E,MATCH(_xlpm.pos,MASTER!$I:$I,0)),"mmddyy"),""),_xlpm.slot,1824+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14" s="4" t="str">
        <f>_xlfn.LET(_xlpm.pos,"NIH plate 20: "&amp;$A5&amp;C$2,_xlpm.normal,IFERROR(INDEX(MASTER!$A:$A,MATCH(_xlpm.pos,MASTER!$I:$I,0))&amp;"_ser_0.20_"&amp;TEXT(INDEX(MASTER!$E:$E,MATCH(_xlpm.pos,MASTER!$I:$I,0)),"mmddyy"),""),_xlpm.slot,1824+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14" s="4" t="str">
        <f>_xlfn.LET(_xlpm.pos,"NIH plate 20: "&amp;$A5&amp;D$2,_xlpm.normal,IFERROR(INDEX(MASTER!$A:$A,MATCH(_xlpm.pos,MASTER!$I:$I,0))&amp;"_ser_0.20_"&amp;TEXT(INDEX(MASTER!$E:$E,MATCH(_xlpm.pos,MASTER!$I:$I,0)),"mmddyy"),""),_xlpm.slot,1824+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14" s="4" t="str">
        <f>_xlfn.LET(_xlpm.pos,"NIH plate 20: "&amp;$A5&amp;E$2,_xlpm.normal,IFERROR(INDEX(MASTER!$A:$A,MATCH(_xlpm.pos,MASTER!$I:$I,0))&amp;"_ser_0.20_"&amp;TEXT(INDEX(MASTER!$E:$E,MATCH(_xlpm.pos,MASTER!$I:$I,0)),"mmddyy"),""),_xlpm.slot,1824+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14" s="4" t="str">
        <f>_xlfn.LET(_xlpm.pos,"NIH plate 20: "&amp;$A5&amp;F$2,_xlpm.normal,IFERROR(INDEX(MASTER!$A:$A,MATCH(_xlpm.pos,MASTER!$I:$I,0))&amp;"_ser_0.20_"&amp;TEXT(INDEX(MASTER!$E:$E,MATCH(_xlpm.pos,MASTER!$I:$I,0)),"mmddyy"),""),_xlpm.slot,1824+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14" s="4" t="str">
        <f>_xlfn.LET(_xlpm.pos,"NIH plate 20: "&amp;$A5&amp;G$2,_xlpm.normal,IFERROR(INDEX(MASTER!$A:$A,MATCH(_xlpm.pos,MASTER!$I:$I,0))&amp;"_ser_0.20_"&amp;TEXT(INDEX(MASTER!$E:$E,MATCH(_xlpm.pos,MASTER!$I:$I,0)),"mmddyy"),""),_xlpm.slot,1824+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14" s="4" t="str">
        <f>_xlfn.LET(_xlpm.pos,"NIH plate 20: "&amp;$A5&amp;H$2,_xlpm.normal,IFERROR(INDEX(MASTER!$A:$A,MATCH(_xlpm.pos,MASTER!$I:$I,0))&amp;"_ser_0.20_"&amp;TEXT(INDEX(MASTER!$E:$E,MATCH(_xlpm.pos,MASTER!$I:$I,0)),"mmddyy"),""),_xlpm.slot,1824+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14" s="4" t="str">
        <f>_xlfn.LET(_xlpm.pos,"NIH plate 20: "&amp;$A5&amp;I$2,_xlpm.normal,IFERROR(INDEX(MASTER!$A:$A,MATCH(_xlpm.pos,MASTER!$I:$I,0))&amp;"_ser_0.20_"&amp;TEXT(INDEX(MASTER!$E:$E,MATCH(_xlpm.pos,MASTER!$I:$I,0)),"mmddyy"),""),_xlpm.slot,1824+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14" s="4" t="str">
        <f>_xlfn.LET(_xlpm.pos,"NIH plate 20: "&amp;$A5&amp;J$2,_xlpm.normal,IFERROR(INDEX(MASTER!$A:$A,MATCH(_xlpm.pos,MASTER!$I:$I,0))&amp;"_ser_0.20_"&amp;TEXT(INDEX(MASTER!$E:$E,MATCH(_xlpm.pos,MASTER!$I:$I,0)),"mmddyy"),""),_xlpm.slot,1824+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14" s="4" t="str">
        <f>_xlfn.LET(_xlpm.pos,"NIH plate 20: "&amp;$A5&amp;K$2,_xlpm.normal,IFERROR(INDEX(MASTER!$A:$A,MATCH(_xlpm.pos,MASTER!$I:$I,0))&amp;"_ser_0.20_"&amp;TEXT(INDEX(MASTER!$E:$E,MATCH(_xlpm.pos,MASTER!$I:$I,0)),"mmddyy"),""),_xlpm.slot,1824+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14" s="4" t="str">
        <f>_xlfn.LET(_xlpm.pos,"NIH plate 20: "&amp;$A5&amp;L$2,_xlpm.normal,IFERROR(INDEX(MASTER!$A:$A,MATCH(_xlpm.pos,MASTER!$I:$I,0))&amp;"_ser_0.20_"&amp;TEXT(INDEX(MASTER!$E:$E,MATCH(_xlpm.pos,MASTER!$I:$I,0)),"mmddyy"),""),_xlpm.slot,1824+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14" s="4" t="str">
        <f>_xlfn.LET(_xlpm.pos,"NIH plate 20: "&amp;$A5&amp;M$2,_xlpm.normal,IFERROR(INDEX(MASTER!$A:$A,MATCH(_xlpm.pos,MASTER!$I:$I,0))&amp;"_ser_0.20_"&amp;TEXT(INDEX(MASTER!$E:$E,MATCH(_xlpm.pos,MASTER!$I:$I,0)),"mmddyy"),""),_xlpm.slot,1824+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15" spans="1:13" ht="22" customHeight="1" x14ac:dyDescent="0.35">
      <c r="A215" s="6" t="s">
        <v>33</v>
      </c>
      <c r="B215" s="4" t="str">
        <f>_xlfn.LET(_xlpm.pos,"NIH plate 20: "&amp;$A6&amp;B$2,_xlpm.normal,IFERROR(INDEX(MASTER!$A:$A,MATCH(_xlpm.pos,MASTER!$I:$I,0))&amp;"_ser_0.20_"&amp;TEXT(INDEX(MASTER!$E:$E,MATCH(_xlpm.pos,MASTER!$I:$I,0)),"mmddyy"),""),_xlpm.slot,1824+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15" s="4" t="str">
        <f>_xlfn.LET(_xlpm.pos,"NIH plate 20: "&amp;$A6&amp;C$2,_xlpm.normal,IFERROR(INDEX(MASTER!$A:$A,MATCH(_xlpm.pos,MASTER!$I:$I,0))&amp;"_ser_0.20_"&amp;TEXT(INDEX(MASTER!$E:$E,MATCH(_xlpm.pos,MASTER!$I:$I,0)),"mmddyy"),""),_xlpm.slot,1824+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15" s="4" t="str">
        <f>_xlfn.LET(_xlpm.pos,"NIH plate 20: "&amp;$A6&amp;D$2,_xlpm.normal,IFERROR(INDEX(MASTER!$A:$A,MATCH(_xlpm.pos,MASTER!$I:$I,0))&amp;"_ser_0.20_"&amp;TEXT(INDEX(MASTER!$E:$E,MATCH(_xlpm.pos,MASTER!$I:$I,0)),"mmddyy"),""),_xlpm.slot,1824+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15" s="4" t="str">
        <f>_xlfn.LET(_xlpm.pos,"NIH plate 20: "&amp;$A6&amp;E$2,_xlpm.normal,IFERROR(INDEX(MASTER!$A:$A,MATCH(_xlpm.pos,MASTER!$I:$I,0))&amp;"_ser_0.20_"&amp;TEXT(INDEX(MASTER!$E:$E,MATCH(_xlpm.pos,MASTER!$I:$I,0)),"mmddyy"),""),_xlpm.slot,1824+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15" s="4" t="str">
        <f>_xlfn.LET(_xlpm.pos,"NIH plate 20: "&amp;$A6&amp;F$2,_xlpm.normal,IFERROR(INDEX(MASTER!$A:$A,MATCH(_xlpm.pos,MASTER!$I:$I,0))&amp;"_ser_0.20_"&amp;TEXT(INDEX(MASTER!$E:$E,MATCH(_xlpm.pos,MASTER!$I:$I,0)),"mmddyy"),""),_xlpm.slot,1824+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15" s="4" t="str">
        <f>_xlfn.LET(_xlpm.pos,"NIH plate 20: "&amp;$A6&amp;G$2,_xlpm.normal,IFERROR(INDEX(MASTER!$A:$A,MATCH(_xlpm.pos,MASTER!$I:$I,0))&amp;"_ser_0.20_"&amp;TEXT(INDEX(MASTER!$E:$E,MATCH(_xlpm.pos,MASTER!$I:$I,0)),"mmddyy"),""),_xlpm.slot,1824+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15" s="4" t="str">
        <f>_xlfn.LET(_xlpm.pos,"NIH plate 20: "&amp;$A6&amp;H$2,_xlpm.normal,IFERROR(INDEX(MASTER!$A:$A,MATCH(_xlpm.pos,MASTER!$I:$I,0))&amp;"_ser_0.20_"&amp;TEXT(INDEX(MASTER!$E:$E,MATCH(_xlpm.pos,MASTER!$I:$I,0)),"mmddyy"),""),_xlpm.slot,1824+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15" s="4" t="str">
        <f>_xlfn.LET(_xlpm.pos,"NIH plate 20: "&amp;$A6&amp;I$2,_xlpm.normal,IFERROR(INDEX(MASTER!$A:$A,MATCH(_xlpm.pos,MASTER!$I:$I,0))&amp;"_ser_0.20_"&amp;TEXT(INDEX(MASTER!$E:$E,MATCH(_xlpm.pos,MASTER!$I:$I,0)),"mmddyy"),""),_xlpm.slot,1824+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15" s="4" t="str">
        <f>_xlfn.LET(_xlpm.pos,"NIH plate 20: "&amp;$A6&amp;J$2,_xlpm.normal,IFERROR(INDEX(MASTER!$A:$A,MATCH(_xlpm.pos,MASTER!$I:$I,0))&amp;"_ser_0.20_"&amp;TEXT(INDEX(MASTER!$E:$E,MATCH(_xlpm.pos,MASTER!$I:$I,0)),"mmddyy"),""),_xlpm.slot,1824+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15" s="4" t="str">
        <f>_xlfn.LET(_xlpm.pos,"NIH plate 20: "&amp;$A6&amp;K$2,_xlpm.normal,IFERROR(INDEX(MASTER!$A:$A,MATCH(_xlpm.pos,MASTER!$I:$I,0))&amp;"_ser_0.20_"&amp;TEXT(INDEX(MASTER!$E:$E,MATCH(_xlpm.pos,MASTER!$I:$I,0)),"mmddyy"),""),_xlpm.slot,1824+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15" s="4" t="str">
        <f>_xlfn.LET(_xlpm.pos,"NIH plate 20: "&amp;$A6&amp;L$2,_xlpm.normal,IFERROR(INDEX(MASTER!$A:$A,MATCH(_xlpm.pos,MASTER!$I:$I,0))&amp;"_ser_0.20_"&amp;TEXT(INDEX(MASTER!$E:$E,MATCH(_xlpm.pos,MASTER!$I:$I,0)),"mmddyy"),""),_xlpm.slot,1824+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15" s="4" t="str">
        <f>_xlfn.LET(_xlpm.pos,"NIH plate 20: "&amp;$A6&amp;M$2,_xlpm.normal,IFERROR(INDEX(MASTER!$A:$A,MATCH(_xlpm.pos,MASTER!$I:$I,0))&amp;"_ser_0.20_"&amp;TEXT(INDEX(MASTER!$E:$E,MATCH(_xlpm.pos,MASTER!$I:$I,0)),"mmddyy"),""),_xlpm.slot,1824+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16" spans="1:13" ht="22" customHeight="1" x14ac:dyDescent="0.35">
      <c r="A216" s="6" t="s">
        <v>34</v>
      </c>
      <c r="B216" s="4" t="str">
        <f>_xlfn.LET(_xlpm.pos,"NIH plate 20: "&amp;$A7&amp;B$2,_xlpm.normal,IFERROR(INDEX(MASTER!$A:$A,MATCH(_xlpm.pos,MASTER!$I:$I,0))&amp;"_ser_0.20_"&amp;TEXT(INDEX(MASTER!$E:$E,MATCH(_xlpm.pos,MASTER!$I:$I,0)),"mmddyy"),""),_xlpm.slot,1824+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16" s="4" t="str">
        <f>_xlfn.LET(_xlpm.pos,"NIH plate 20: "&amp;$A7&amp;C$2,_xlpm.normal,IFERROR(INDEX(MASTER!$A:$A,MATCH(_xlpm.pos,MASTER!$I:$I,0))&amp;"_ser_0.20_"&amp;TEXT(INDEX(MASTER!$E:$E,MATCH(_xlpm.pos,MASTER!$I:$I,0)),"mmddyy"),""),_xlpm.slot,1824+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16" s="4" t="str">
        <f>_xlfn.LET(_xlpm.pos,"NIH plate 20: "&amp;$A7&amp;D$2,_xlpm.normal,IFERROR(INDEX(MASTER!$A:$A,MATCH(_xlpm.pos,MASTER!$I:$I,0))&amp;"_ser_0.20_"&amp;TEXT(INDEX(MASTER!$E:$E,MATCH(_xlpm.pos,MASTER!$I:$I,0)),"mmddyy"),""),_xlpm.slot,1824+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16" s="4" t="str">
        <f>_xlfn.LET(_xlpm.pos,"NIH plate 20: "&amp;$A7&amp;E$2,_xlpm.normal,IFERROR(INDEX(MASTER!$A:$A,MATCH(_xlpm.pos,MASTER!$I:$I,0))&amp;"_ser_0.20_"&amp;TEXT(INDEX(MASTER!$E:$E,MATCH(_xlpm.pos,MASTER!$I:$I,0)),"mmddyy"),""),_xlpm.slot,1824+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16" s="4" t="str">
        <f>_xlfn.LET(_xlpm.pos,"NIH plate 20: "&amp;$A7&amp;F$2,_xlpm.normal,IFERROR(INDEX(MASTER!$A:$A,MATCH(_xlpm.pos,MASTER!$I:$I,0))&amp;"_ser_0.20_"&amp;TEXT(INDEX(MASTER!$E:$E,MATCH(_xlpm.pos,MASTER!$I:$I,0)),"mmddyy"),""),_xlpm.slot,1824+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16" s="4" t="str">
        <f>_xlfn.LET(_xlpm.pos,"NIH plate 20: "&amp;$A7&amp;G$2,_xlpm.normal,IFERROR(INDEX(MASTER!$A:$A,MATCH(_xlpm.pos,MASTER!$I:$I,0))&amp;"_ser_0.20_"&amp;TEXT(INDEX(MASTER!$E:$E,MATCH(_xlpm.pos,MASTER!$I:$I,0)),"mmddyy"),""),_xlpm.slot,1824+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16" s="4" t="str">
        <f>_xlfn.LET(_xlpm.pos,"NIH plate 20: "&amp;$A7&amp;H$2,_xlpm.normal,IFERROR(INDEX(MASTER!$A:$A,MATCH(_xlpm.pos,MASTER!$I:$I,0))&amp;"_ser_0.20_"&amp;TEXT(INDEX(MASTER!$E:$E,MATCH(_xlpm.pos,MASTER!$I:$I,0)),"mmddyy"),""),_xlpm.slot,1824+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16" s="4" t="str">
        <f>_xlfn.LET(_xlpm.pos,"NIH plate 20: "&amp;$A7&amp;I$2,_xlpm.normal,IFERROR(INDEX(MASTER!$A:$A,MATCH(_xlpm.pos,MASTER!$I:$I,0))&amp;"_ser_0.20_"&amp;TEXT(INDEX(MASTER!$E:$E,MATCH(_xlpm.pos,MASTER!$I:$I,0)),"mmddyy"),""),_xlpm.slot,1824+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16" s="4" t="str">
        <f>_xlfn.LET(_xlpm.pos,"NIH plate 20: "&amp;$A7&amp;J$2,_xlpm.normal,IFERROR(INDEX(MASTER!$A:$A,MATCH(_xlpm.pos,MASTER!$I:$I,0))&amp;"_ser_0.20_"&amp;TEXT(INDEX(MASTER!$E:$E,MATCH(_xlpm.pos,MASTER!$I:$I,0)),"mmddyy"),""),_xlpm.slot,1824+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16" s="4" t="str">
        <f>_xlfn.LET(_xlpm.pos,"NIH plate 20: "&amp;$A7&amp;K$2,_xlpm.normal,IFERROR(INDEX(MASTER!$A:$A,MATCH(_xlpm.pos,MASTER!$I:$I,0))&amp;"_ser_0.20_"&amp;TEXT(INDEX(MASTER!$E:$E,MATCH(_xlpm.pos,MASTER!$I:$I,0)),"mmddyy"),""),_xlpm.slot,1824+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16" s="4" t="str">
        <f>_xlfn.LET(_xlpm.pos,"NIH plate 20: "&amp;$A7&amp;L$2,_xlpm.normal,IFERROR(INDEX(MASTER!$A:$A,MATCH(_xlpm.pos,MASTER!$I:$I,0))&amp;"_ser_0.20_"&amp;TEXT(INDEX(MASTER!$E:$E,MATCH(_xlpm.pos,MASTER!$I:$I,0)),"mmddyy"),""),_xlpm.slot,1824+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16" s="4" t="str">
        <f>_xlfn.LET(_xlpm.pos,"NIH plate 20: "&amp;$A7&amp;M$2,_xlpm.normal,IFERROR(INDEX(MASTER!$A:$A,MATCH(_xlpm.pos,MASTER!$I:$I,0))&amp;"_ser_0.20_"&amp;TEXT(INDEX(MASTER!$E:$E,MATCH(_xlpm.pos,MASTER!$I:$I,0)),"mmddyy"),""),_xlpm.slot,1824+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17" spans="1:13" ht="22" customHeight="1" x14ac:dyDescent="0.35">
      <c r="A217" s="6" t="s">
        <v>15</v>
      </c>
      <c r="B217" s="4" t="str">
        <f>_xlfn.LET(_xlpm.pos,"NIH plate 20: "&amp;$A8&amp;B$2,_xlpm.normal,IFERROR(INDEX(MASTER!$A:$A,MATCH(_xlpm.pos,MASTER!$I:$I,0))&amp;"_ser_0.20_"&amp;TEXT(INDEX(MASTER!$E:$E,MATCH(_xlpm.pos,MASTER!$I:$I,0)),"mmddyy"),""),_xlpm.slot,1824+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17" s="4" t="str">
        <f>_xlfn.LET(_xlpm.pos,"NIH plate 20: "&amp;$A8&amp;C$2,_xlpm.normal,IFERROR(INDEX(MASTER!$A:$A,MATCH(_xlpm.pos,MASTER!$I:$I,0))&amp;"_ser_0.20_"&amp;TEXT(INDEX(MASTER!$E:$E,MATCH(_xlpm.pos,MASTER!$I:$I,0)),"mmddyy"),""),_xlpm.slot,1824+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17" s="4" t="str">
        <f>_xlfn.LET(_xlpm.pos,"NIH plate 20: "&amp;$A8&amp;D$2,_xlpm.normal,IFERROR(INDEX(MASTER!$A:$A,MATCH(_xlpm.pos,MASTER!$I:$I,0))&amp;"_ser_0.20_"&amp;TEXT(INDEX(MASTER!$E:$E,MATCH(_xlpm.pos,MASTER!$I:$I,0)),"mmddyy"),""),_xlpm.slot,1824+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17" s="4" t="str">
        <f>_xlfn.LET(_xlpm.pos,"NIH plate 20: "&amp;$A8&amp;E$2,_xlpm.normal,IFERROR(INDEX(MASTER!$A:$A,MATCH(_xlpm.pos,MASTER!$I:$I,0))&amp;"_ser_0.20_"&amp;TEXT(INDEX(MASTER!$E:$E,MATCH(_xlpm.pos,MASTER!$I:$I,0)),"mmddyy"),""),_xlpm.slot,1824+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17" s="4" t="str">
        <f>_xlfn.LET(_xlpm.pos,"NIH plate 20: "&amp;$A8&amp;F$2,_xlpm.normal,IFERROR(INDEX(MASTER!$A:$A,MATCH(_xlpm.pos,MASTER!$I:$I,0))&amp;"_ser_0.20_"&amp;TEXT(INDEX(MASTER!$E:$E,MATCH(_xlpm.pos,MASTER!$I:$I,0)),"mmddyy"),""),_xlpm.slot,1824+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17" s="4" t="str">
        <f>_xlfn.LET(_xlpm.pos,"NIH plate 20: "&amp;$A8&amp;G$2,_xlpm.normal,IFERROR(INDEX(MASTER!$A:$A,MATCH(_xlpm.pos,MASTER!$I:$I,0))&amp;"_ser_0.20_"&amp;TEXT(INDEX(MASTER!$E:$E,MATCH(_xlpm.pos,MASTER!$I:$I,0)),"mmddyy"),""),_xlpm.slot,1824+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17" s="4" t="str">
        <f>_xlfn.LET(_xlpm.pos,"NIH plate 20: "&amp;$A8&amp;H$2,_xlpm.normal,IFERROR(INDEX(MASTER!$A:$A,MATCH(_xlpm.pos,MASTER!$I:$I,0))&amp;"_ser_0.20_"&amp;TEXT(INDEX(MASTER!$E:$E,MATCH(_xlpm.pos,MASTER!$I:$I,0)),"mmddyy"),""),_xlpm.slot,1824+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17" s="4" t="str">
        <f>_xlfn.LET(_xlpm.pos,"NIH plate 20: "&amp;$A8&amp;I$2,_xlpm.normal,IFERROR(INDEX(MASTER!$A:$A,MATCH(_xlpm.pos,MASTER!$I:$I,0))&amp;"_ser_0.20_"&amp;TEXT(INDEX(MASTER!$E:$E,MATCH(_xlpm.pos,MASTER!$I:$I,0)),"mmddyy"),""),_xlpm.slot,1824+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17" s="4" t="str">
        <f>_xlfn.LET(_xlpm.pos,"NIH plate 20: "&amp;$A8&amp;J$2,_xlpm.normal,IFERROR(INDEX(MASTER!$A:$A,MATCH(_xlpm.pos,MASTER!$I:$I,0))&amp;"_ser_0.20_"&amp;TEXT(INDEX(MASTER!$E:$E,MATCH(_xlpm.pos,MASTER!$I:$I,0)),"mmddyy"),""),_xlpm.slot,1824+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17" s="4" t="str">
        <f>_xlfn.LET(_xlpm.pos,"NIH plate 20: "&amp;$A8&amp;K$2,_xlpm.normal,IFERROR(INDEX(MASTER!$A:$A,MATCH(_xlpm.pos,MASTER!$I:$I,0))&amp;"_ser_0.20_"&amp;TEXT(INDEX(MASTER!$E:$E,MATCH(_xlpm.pos,MASTER!$I:$I,0)),"mmddyy"),""),_xlpm.slot,1824+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17" s="4" t="str">
        <f>_xlfn.LET(_xlpm.pos,"NIH plate 20: "&amp;$A8&amp;L$2,_xlpm.normal,IFERROR(INDEX(MASTER!$A:$A,MATCH(_xlpm.pos,MASTER!$I:$I,0))&amp;"_ser_0.20_"&amp;TEXT(INDEX(MASTER!$E:$E,MATCH(_xlpm.pos,MASTER!$I:$I,0)),"mmddyy"),""),_xlpm.slot,1824+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17" s="4" t="str">
        <f>_xlfn.LET(_xlpm.pos,"NIH plate 20: "&amp;$A8&amp;M$2,_xlpm.normal,IFERROR(INDEX(MASTER!$A:$A,MATCH(_xlpm.pos,MASTER!$I:$I,0))&amp;"_ser_0.20_"&amp;TEXT(INDEX(MASTER!$E:$E,MATCH(_xlpm.pos,MASTER!$I:$I,0)),"mmddyy"),""),_xlpm.slot,1824+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18" spans="1:13" ht="22" customHeight="1" x14ac:dyDescent="0.35">
      <c r="A218" s="6" t="s">
        <v>35</v>
      </c>
      <c r="B218" s="4" t="str">
        <f>_xlfn.LET(_xlpm.pos,"NIH plate 20: "&amp;$A9&amp;B$2,_xlpm.normal,IFERROR(INDEX(MASTER!$A:$A,MATCH(_xlpm.pos,MASTER!$I:$I,0))&amp;"_ser_0.20_"&amp;TEXT(INDEX(MASTER!$E:$E,MATCH(_xlpm.pos,MASTER!$I:$I,0)),"mmddyy"),""),_xlpm.slot,1824+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18" s="4" t="str">
        <f>_xlfn.LET(_xlpm.pos,"NIH plate 20: "&amp;$A9&amp;C$2,_xlpm.normal,IFERROR(INDEX(MASTER!$A:$A,MATCH(_xlpm.pos,MASTER!$I:$I,0))&amp;"_ser_0.20_"&amp;TEXT(INDEX(MASTER!$E:$E,MATCH(_xlpm.pos,MASTER!$I:$I,0)),"mmddyy"),""),_xlpm.slot,1824+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18" s="4" t="str">
        <f>_xlfn.LET(_xlpm.pos,"NIH plate 20: "&amp;$A9&amp;D$2,_xlpm.normal,IFERROR(INDEX(MASTER!$A:$A,MATCH(_xlpm.pos,MASTER!$I:$I,0))&amp;"_ser_0.20_"&amp;TEXT(INDEX(MASTER!$E:$E,MATCH(_xlpm.pos,MASTER!$I:$I,0)),"mmddyy"),""),_xlpm.slot,1824+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18" s="4" t="str">
        <f>_xlfn.LET(_xlpm.pos,"NIH plate 20: "&amp;$A9&amp;E$2,_xlpm.normal,IFERROR(INDEX(MASTER!$A:$A,MATCH(_xlpm.pos,MASTER!$I:$I,0))&amp;"_ser_0.20_"&amp;TEXT(INDEX(MASTER!$E:$E,MATCH(_xlpm.pos,MASTER!$I:$I,0)),"mmddyy"),""),_xlpm.slot,1824+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18" s="4" t="str">
        <f>_xlfn.LET(_xlpm.pos,"NIH plate 20: "&amp;$A9&amp;F$2,_xlpm.normal,IFERROR(INDEX(MASTER!$A:$A,MATCH(_xlpm.pos,MASTER!$I:$I,0))&amp;"_ser_0.20_"&amp;TEXT(INDEX(MASTER!$E:$E,MATCH(_xlpm.pos,MASTER!$I:$I,0)),"mmddyy"),""),_xlpm.slot,1824+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18" s="4" t="str">
        <f>_xlfn.LET(_xlpm.pos,"NIH plate 20: "&amp;$A9&amp;G$2,_xlpm.normal,IFERROR(INDEX(MASTER!$A:$A,MATCH(_xlpm.pos,MASTER!$I:$I,0))&amp;"_ser_0.20_"&amp;TEXT(INDEX(MASTER!$E:$E,MATCH(_xlpm.pos,MASTER!$I:$I,0)),"mmddyy"),""),_xlpm.slot,1824+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18" s="4" t="str">
        <f>_xlfn.LET(_xlpm.pos,"NIH plate 20: "&amp;$A9&amp;H$2,_xlpm.normal,IFERROR(INDEX(MASTER!$A:$A,MATCH(_xlpm.pos,MASTER!$I:$I,0))&amp;"_ser_0.20_"&amp;TEXT(INDEX(MASTER!$E:$E,MATCH(_xlpm.pos,MASTER!$I:$I,0)),"mmddyy"),""),_xlpm.slot,1824+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18" s="4" t="str">
        <f>_xlfn.LET(_xlpm.pos,"NIH plate 20: "&amp;$A9&amp;I$2,_xlpm.normal,IFERROR(INDEX(MASTER!$A:$A,MATCH(_xlpm.pos,MASTER!$I:$I,0))&amp;"_ser_0.20_"&amp;TEXT(INDEX(MASTER!$E:$E,MATCH(_xlpm.pos,MASTER!$I:$I,0)),"mmddyy"),""),_xlpm.slot,1824+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18" s="4" t="str">
        <f>_xlfn.LET(_xlpm.pos,"NIH plate 20: "&amp;$A9&amp;J$2,_xlpm.normal,IFERROR(INDEX(MASTER!$A:$A,MATCH(_xlpm.pos,MASTER!$I:$I,0))&amp;"_ser_0.20_"&amp;TEXT(INDEX(MASTER!$E:$E,MATCH(_xlpm.pos,MASTER!$I:$I,0)),"mmddyy"),""),_xlpm.slot,1824+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18" s="4" t="str">
        <f>_xlfn.LET(_xlpm.pos,"NIH plate 20: "&amp;$A9&amp;K$2,_xlpm.normal,IFERROR(INDEX(MASTER!$A:$A,MATCH(_xlpm.pos,MASTER!$I:$I,0))&amp;"_ser_0.20_"&amp;TEXT(INDEX(MASTER!$E:$E,MATCH(_xlpm.pos,MASTER!$I:$I,0)),"mmddyy"),""),_xlpm.slot,1824+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18" s="4" t="str">
        <f>_xlfn.LET(_xlpm.pos,"NIH plate 20: "&amp;$A9&amp;L$2,_xlpm.normal,IFERROR(INDEX(MASTER!$A:$A,MATCH(_xlpm.pos,MASTER!$I:$I,0))&amp;"_ser_0.20_"&amp;TEXT(INDEX(MASTER!$E:$E,MATCH(_xlpm.pos,MASTER!$I:$I,0)),"mmddyy"),""),_xlpm.slot,1824+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18" s="4" t="str">
        <f>_xlfn.LET(_xlpm.pos,"NIH plate 20: "&amp;$A9&amp;M$2,_xlpm.normal,IFERROR(INDEX(MASTER!$A:$A,MATCH(_xlpm.pos,MASTER!$I:$I,0))&amp;"_ser_0.20_"&amp;TEXT(INDEX(MASTER!$E:$E,MATCH(_xlpm.pos,MASTER!$I:$I,0)),"mmddyy"),""),_xlpm.slot,1824+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19" spans="1:13" ht="22" customHeight="1" x14ac:dyDescent="0.35">
      <c r="A219" s="6" t="s">
        <v>36</v>
      </c>
      <c r="B219" s="4" t="str">
        <f>_xlfn.LET(_xlpm.pos,"NIH plate 20: "&amp;$A10&amp;B$2,_xlpm.normal,IFERROR(INDEX(MASTER!$A:$A,MATCH(_xlpm.pos,MASTER!$I:$I,0))&amp;"_ser_0.20_"&amp;TEXT(INDEX(MASTER!$E:$E,MATCH(_xlpm.pos,MASTER!$I:$I,0)),"mmddyy"),""),_xlpm.slot,1824+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19" s="4" t="str">
        <f>_xlfn.LET(_xlpm.pos,"NIH plate 20: "&amp;$A10&amp;C$2,_xlpm.normal,IFERROR(INDEX(MASTER!$A:$A,MATCH(_xlpm.pos,MASTER!$I:$I,0))&amp;"_ser_0.20_"&amp;TEXT(INDEX(MASTER!$E:$E,MATCH(_xlpm.pos,MASTER!$I:$I,0)),"mmddyy"),""),_xlpm.slot,1824+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19" s="4" t="str">
        <f>_xlfn.LET(_xlpm.pos,"NIH plate 20: "&amp;$A10&amp;D$2,_xlpm.normal,IFERROR(INDEX(MASTER!$A:$A,MATCH(_xlpm.pos,MASTER!$I:$I,0))&amp;"_ser_0.20_"&amp;TEXT(INDEX(MASTER!$E:$E,MATCH(_xlpm.pos,MASTER!$I:$I,0)),"mmddyy"),""),_xlpm.slot,1824+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19" s="4" t="str">
        <f>_xlfn.LET(_xlpm.pos,"NIH plate 20: "&amp;$A10&amp;E$2,_xlpm.normal,IFERROR(INDEX(MASTER!$A:$A,MATCH(_xlpm.pos,MASTER!$I:$I,0))&amp;"_ser_0.20_"&amp;TEXT(INDEX(MASTER!$E:$E,MATCH(_xlpm.pos,MASTER!$I:$I,0)),"mmddyy"),""),_xlpm.slot,1824+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19" s="4" t="str">
        <f>_xlfn.LET(_xlpm.pos,"NIH plate 20: "&amp;$A10&amp;F$2,_xlpm.normal,IFERROR(INDEX(MASTER!$A:$A,MATCH(_xlpm.pos,MASTER!$I:$I,0))&amp;"_ser_0.20_"&amp;TEXT(INDEX(MASTER!$E:$E,MATCH(_xlpm.pos,MASTER!$I:$I,0)),"mmddyy"),""),_xlpm.slot,1824+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19" s="4" t="str">
        <f>_xlfn.LET(_xlpm.pos,"NIH plate 20: "&amp;$A10&amp;G$2,_xlpm.normal,IFERROR(INDEX(MASTER!$A:$A,MATCH(_xlpm.pos,MASTER!$I:$I,0))&amp;"_ser_0.20_"&amp;TEXT(INDEX(MASTER!$E:$E,MATCH(_xlpm.pos,MASTER!$I:$I,0)),"mmddyy"),""),_xlpm.slot,1824+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19" s="4" t="str">
        <f>_xlfn.LET(_xlpm.pos,"NIH plate 20: "&amp;$A10&amp;H$2,_xlpm.normal,IFERROR(INDEX(MASTER!$A:$A,MATCH(_xlpm.pos,MASTER!$I:$I,0))&amp;"_ser_0.20_"&amp;TEXT(INDEX(MASTER!$E:$E,MATCH(_xlpm.pos,MASTER!$I:$I,0)),"mmddyy"),""),_xlpm.slot,1824+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19" s="4" t="str">
        <f>_xlfn.LET(_xlpm.pos,"NIH plate 20: "&amp;$A10&amp;I$2,_xlpm.normal,IFERROR(INDEX(MASTER!$A:$A,MATCH(_xlpm.pos,MASTER!$I:$I,0))&amp;"_ser_0.20_"&amp;TEXT(INDEX(MASTER!$E:$E,MATCH(_xlpm.pos,MASTER!$I:$I,0)),"mmddyy"),""),_xlpm.slot,1824+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19" s="4" t="str">
        <f>_xlfn.LET(_xlpm.pos,"NIH plate 20: "&amp;$A10&amp;J$2,_xlpm.normal,IFERROR(INDEX(MASTER!$A:$A,MATCH(_xlpm.pos,MASTER!$I:$I,0))&amp;"_ser_0.20_"&amp;TEXT(INDEX(MASTER!$E:$E,MATCH(_xlpm.pos,MASTER!$I:$I,0)),"mmddyy"),""),_xlpm.slot,1824+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19" s="4" t="str">
        <f>_xlfn.LET(_xlpm.pos,"NIH plate 20: "&amp;$A10&amp;K$2,_xlpm.normal,IFERROR(INDEX(MASTER!$A:$A,MATCH(_xlpm.pos,MASTER!$I:$I,0))&amp;"_ser_0.20_"&amp;TEXT(INDEX(MASTER!$E:$E,MATCH(_xlpm.pos,MASTER!$I:$I,0)),"mmddyy"),""),_xlpm.slot,1824+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19" s="4" t="str">
        <f>_xlfn.LET(_xlpm.pos,"NIH plate 20: "&amp;$A10&amp;L$2,_xlpm.normal,IFERROR(INDEX(MASTER!$A:$A,MATCH(_xlpm.pos,MASTER!$I:$I,0))&amp;"_ser_0.20_"&amp;TEXT(INDEX(MASTER!$E:$E,MATCH(_xlpm.pos,MASTER!$I:$I,0)),"mmddyy"),""),_xlpm.slot,1824+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19" s="4" t="str">
        <f>_xlfn.LET(_xlpm.pos,"NIH plate 20: "&amp;$A10&amp;M$2,_xlpm.normal,IFERROR(INDEX(MASTER!$A:$A,MATCH(_xlpm.pos,MASTER!$I:$I,0))&amp;"_ser_0.20_"&amp;TEXT(INDEX(MASTER!$E:$E,MATCH(_xlpm.pos,MASTER!$I:$I,0)),"mmddyy"),""),_xlpm.slot,1824+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20" spans="1:13" ht="22" customHeight="1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</row>
    <row r="221" spans="1:13" ht="22" customHeight="1" x14ac:dyDescent="0.35">
      <c r="A221" s="9"/>
      <c r="B221" s="35" t="s">
        <v>77</v>
      </c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</row>
    <row r="222" spans="1:13" ht="22" customHeight="1" x14ac:dyDescent="0.35">
      <c r="A222" s="9"/>
      <c r="B222" s="9">
        <v>1</v>
      </c>
      <c r="C222" s="9">
        <v>2</v>
      </c>
      <c r="D222" s="9">
        <v>3</v>
      </c>
      <c r="E222" s="9">
        <v>4</v>
      </c>
      <c r="F222" s="9">
        <v>5</v>
      </c>
      <c r="G222" s="9">
        <v>6</v>
      </c>
      <c r="H222" s="9">
        <v>7</v>
      </c>
      <c r="I222" s="9">
        <v>8</v>
      </c>
      <c r="J222" s="9">
        <v>9</v>
      </c>
      <c r="K222" s="9">
        <v>10</v>
      </c>
      <c r="L222" s="9">
        <v>11</v>
      </c>
      <c r="M222" s="9">
        <v>12</v>
      </c>
    </row>
    <row r="223" spans="1:13" ht="22" customHeight="1" x14ac:dyDescent="0.35">
      <c r="A223" s="9" t="s">
        <v>30</v>
      </c>
      <c r="B223" s="9" t="str">
        <f>_xlfn.LET(_xlpm.pos,"NIH plate 21: "&amp;$A3&amp;B$2,_xlpm.normal,IFERROR(INDEX(MASTER!$A:$A,MATCH(_xlpm.pos,MASTER!$I:$I,0))&amp;"_ser_0.20_"&amp;TEXT(INDEX(MASTER!$E:$E,MATCH(_xlpm.pos,MASTER!$I:$I,0)),"mmddyy"),""),_xlpm.slot,1920+(MATCH($A3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23" s="9" t="str">
        <f>_xlfn.LET(_xlpm.pos,"NIH plate 21: "&amp;$A3&amp;C$2,_xlpm.normal,IFERROR(INDEX(MASTER!$A:$A,MATCH(_xlpm.pos,MASTER!$I:$I,0))&amp;"_ser_0.20_"&amp;TEXT(INDEX(MASTER!$E:$E,MATCH(_xlpm.pos,MASTER!$I:$I,0)),"mmddyy"),""),_xlpm.slot,1920+(MATCH($A3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23" s="9" t="str">
        <f>_xlfn.LET(_xlpm.pos,"NIH plate 21: "&amp;$A3&amp;D$2,_xlpm.normal,IFERROR(INDEX(MASTER!$A:$A,MATCH(_xlpm.pos,MASTER!$I:$I,0))&amp;"_ser_0.20_"&amp;TEXT(INDEX(MASTER!$E:$E,MATCH(_xlpm.pos,MASTER!$I:$I,0)),"mmddyy"),""),_xlpm.slot,1920+(MATCH($A3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23" s="9" t="str">
        <f>_xlfn.LET(_xlpm.pos,"NIH plate 21: "&amp;$A3&amp;E$2,_xlpm.normal,IFERROR(INDEX(MASTER!$A:$A,MATCH(_xlpm.pos,MASTER!$I:$I,0))&amp;"_ser_0.20_"&amp;TEXT(INDEX(MASTER!$E:$E,MATCH(_xlpm.pos,MASTER!$I:$I,0)),"mmddyy"),""),_xlpm.slot,1920+(MATCH($A3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23" s="9" t="str">
        <f>_xlfn.LET(_xlpm.pos,"NIH plate 21: "&amp;$A3&amp;F$2,_xlpm.normal,IFERROR(INDEX(MASTER!$A:$A,MATCH(_xlpm.pos,MASTER!$I:$I,0))&amp;"_ser_0.20_"&amp;TEXT(INDEX(MASTER!$E:$E,MATCH(_xlpm.pos,MASTER!$I:$I,0)),"mmddyy"),""),_xlpm.slot,1920+(MATCH($A3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23" s="9" t="str">
        <f>_xlfn.LET(_xlpm.pos,"NIH plate 21: "&amp;$A3&amp;G$2,_xlpm.normal,IFERROR(INDEX(MASTER!$A:$A,MATCH(_xlpm.pos,MASTER!$I:$I,0))&amp;"_ser_0.20_"&amp;TEXT(INDEX(MASTER!$E:$E,MATCH(_xlpm.pos,MASTER!$I:$I,0)),"mmddyy"),""),_xlpm.slot,1920+(MATCH($A3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23" s="9" t="str">
        <f>_xlfn.LET(_xlpm.pos,"NIH plate 21: "&amp;$A3&amp;H$2,_xlpm.normal,IFERROR(INDEX(MASTER!$A:$A,MATCH(_xlpm.pos,MASTER!$I:$I,0))&amp;"_ser_0.20_"&amp;TEXT(INDEX(MASTER!$E:$E,MATCH(_xlpm.pos,MASTER!$I:$I,0)),"mmddyy"),""),_xlpm.slot,1920+(MATCH($A3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23" s="9" t="str">
        <f>_xlfn.LET(_xlpm.pos,"NIH plate 21: "&amp;$A3&amp;I$2,_xlpm.normal,IFERROR(INDEX(MASTER!$A:$A,MATCH(_xlpm.pos,MASTER!$I:$I,0))&amp;"_ser_0.20_"&amp;TEXT(INDEX(MASTER!$E:$E,MATCH(_xlpm.pos,MASTER!$I:$I,0)),"mmddyy"),""),_xlpm.slot,1920+(MATCH($A3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23" s="9" t="str">
        <f>_xlfn.LET(_xlpm.pos,"NIH plate 21: "&amp;$A3&amp;J$2,_xlpm.normal,IFERROR(INDEX(MASTER!$A:$A,MATCH(_xlpm.pos,MASTER!$I:$I,0))&amp;"_ser_0.20_"&amp;TEXT(INDEX(MASTER!$E:$E,MATCH(_xlpm.pos,MASTER!$I:$I,0)),"mmddyy"),""),_xlpm.slot,1920+(MATCH($A3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23" s="9" t="str">
        <f>_xlfn.LET(_xlpm.pos,"NIH plate 21: "&amp;$A3&amp;K$2,_xlpm.normal,IFERROR(INDEX(MASTER!$A:$A,MATCH(_xlpm.pos,MASTER!$I:$I,0))&amp;"_ser_0.20_"&amp;TEXT(INDEX(MASTER!$E:$E,MATCH(_xlpm.pos,MASTER!$I:$I,0)),"mmddyy"),""),_xlpm.slot,1920+(MATCH($A3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23" s="9" t="str">
        <f>_xlfn.LET(_xlpm.pos,"NIH plate 21: "&amp;$A3&amp;L$2,_xlpm.normal,IFERROR(INDEX(MASTER!$A:$A,MATCH(_xlpm.pos,MASTER!$I:$I,0))&amp;"_ser_0.20_"&amp;TEXT(INDEX(MASTER!$E:$E,MATCH(_xlpm.pos,MASTER!$I:$I,0)),"mmddyy"),""),_xlpm.slot,1920+(MATCH($A3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23" s="9" t="str">
        <f>_xlfn.LET(_xlpm.pos,"NIH plate 21: "&amp;$A3&amp;M$2,_xlpm.normal,IFERROR(INDEX(MASTER!$A:$A,MATCH(_xlpm.pos,MASTER!$I:$I,0))&amp;"_ser_0.20_"&amp;TEXT(INDEX(MASTER!$E:$E,MATCH(_xlpm.pos,MASTER!$I:$I,0)),"mmddyy"),""),_xlpm.slot,1920+(MATCH($A3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24" spans="1:13" ht="22" customHeight="1" x14ac:dyDescent="0.35">
      <c r="A224" s="9" t="s">
        <v>31</v>
      </c>
      <c r="B224" s="9" t="str">
        <f>_xlfn.LET(_xlpm.pos,"NIH plate 21: "&amp;$A4&amp;B$2,_xlpm.normal,IFERROR(INDEX(MASTER!$A:$A,MATCH(_xlpm.pos,MASTER!$I:$I,0))&amp;"_ser_0.20_"&amp;TEXT(INDEX(MASTER!$E:$E,MATCH(_xlpm.pos,MASTER!$I:$I,0)),"mmddyy"),""),_xlpm.slot,1920+(MATCH($A4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24" s="9" t="str">
        <f>_xlfn.LET(_xlpm.pos,"NIH plate 21: "&amp;$A4&amp;C$2,_xlpm.normal,IFERROR(INDEX(MASTER!$A:$A,MATCH(_xlpm.pos,MASTER!$I:$I,0))&amp;"_ser_0.20_"&amp;TEXT(INDEX(MASTER!$E:$E,MATCH(_xlpm.pos,MASTER!$I:$I,0)),"mmddyy"),""),_xlpm.slot,1920+(MATCH($A4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24" s="9" t="str">
        <f>_xlfn.LET(_xlpm.pos,"NIH plate 21: "&amp;$A4&amp;D$2,_xlpm.normal,IFERROR(INDEX(MASTER!$A:$A,MATCH(_xlpm.pos,MASTER!$I:$I,0))&amp;"_ser_0.20_"&amp;TEXT(INDEX(MASTER!$E:$E,MATCH(_xlpm.pos,MASTER!$I:$I,0)),"mmddyy"),""),_xlpm.slot,1920+(MATCH($A4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24" s="9" t="str">
        <f>_xlfn.LET(_xlpm.pos,"NIH plate 21: "&amp;$A4&amp;E$2,_xlpm.normal,IFERROR(INDEX(MASTER!$A:$A,MATCH(_xlpm.pos,MASTER!$I:$I,0))&amp;"_ser_0.20_"&amp;TEXT(INDEX(MASTER!$E:$E,MATCH(_xlpm.pos,MASTER!$I:$I,0)),"mmddyy"),""),_xlpm.slot,1920+(MATCH($A4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24" s="9" t="str">
        <f>_xlfn.LET(_xlpm.pos,"NIH plate 21: "&amp;$A4&amp;F$2,_xlpm.normal,IFERROR(INDEX(MASTER!$A:$A,MATCH(_xlpm.pos,MASTER!$I:$I,0))&amp;"_ser_0.20_"&amp;TEXT(INDEX(MASTER!$E:$E,MATCH(_xlpm.pos,MASTER!$I:$I,0)),"mmddyy"),""),_xlpm.slot,1920+(MATCH($A4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24" s="9" t="str">
        <f>_xlfn.LET(_xlpm.pos,"NIH plate 21: "&amp;$A4&amp;G$2,_xlpm.normal,IFERROR(INDEX(MASTER!$A:$A,MATCH(_xlpm.pos,MASTER!$I:$I,0))&amp;"_ser_0.20_"&amp;TEXT(INDEX(MASTER!$E:$E,MATCH(_xlpm.pos,MASTER!$I:$I,0)),"mmddyy"),""),_xlpm.slot,1920+(MATCH($A4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24" s="9" t="str">
        <f>_xlfn.LET(_xlpm.pos,"NIH plate 21: "&amp;$A4&amp;H$2,_xlpm.normal,IFERROR(INDEX(MASTER!$A:$A,MATCH(_xlpm.pos,MASTER!$I:$I,0))&amp;"_ser_0.20_"&amp;TEXT(INDEX(MASTER!$E:$E,MATCH(_xlpm.pos,MASTER!$I:$I,0)),"mmddyy"),""),_xlpm.slot,1920+(MATCH($A4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24" s="9" t="str">
        <f>_xlfn.LET(_xlpm.pos,"NIH plate 21: "&amp;$A4&amp;I$2,_xlpm.normal,IFERROR(INDEX(MASTER!$A:$A,MATCH(_xlpm.pos,MASTER!$I:$I,0))&amp;"_ser_0.20_"&amp;TEXT(INDEX(MASTER!$E:$E,MATCH(_xlpm.pos,MASTER!$I:$I,0)),"mmddyy"),""),_xlpm.slot,1920+(MATCH($A4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24" s="9" t="str">
        <f>_xlfn.LET(_xlpm.pos,"NIH plate 21: "&amp;$A4&amp;J$2,_xlpm.normal,IFERROR(INDEX(MASTER!$A:$A,MATCH(_xlpm.pos,MASTER!$I:$I,0))&amp;"_ser_0.20_"&amp;TEXT(INDEX(MASTER!$E:$E,MATCH(_xlpm.pos,MASTER!$I:$I,0)),"mmddyy"),""),_xlpm.slot,1920+(MATCH($A4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24" s="9" t="str">
        <f>_xlfn.LET(_xlpm.pos,"NIH plate 21: "&amp;$A4&amp;K$2,_xlpm.normal,IFERROR(INDEX(MASTER!$A:$A,MATCH(_xlpm.pos,MASTER!$I:$I,0))&amp;"_ser_0.20_"&amp;TEXT(INDEX(MASTER!$E:$E,MATCH(_xlpm.pos,MASTER!$I:$I,0)),"mmddyy"),""),_xlpm.slot,1920+(MATCH($A4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24" s="9" t="str">
        <f>_xlfn.LET(_xlpm.pos,"NIH plate 21: "&amp;$A4&amp;L$2,_xlpm.normal,IFERROR(INDEX(MASTER!$A:$A,MATCH(_xlpm.pos,MASTER!$I:$I,0))&amp;"_ser_0.20_"&amp;TEXT(INDEX(MASTER!$E:$E,MATCH(_xlpm.pos,MASTER!$I:$I,0)),"mmddyy"),""),_xlpm.slot,1920+(MATCH($A4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24" s="9" t="str">
        <f>_xlfn.LET(_xlpm.pos,"NIH plate 21: "&amp;$A4&amp;M$2,_xlpm.normal,IFERROR(INDEX(MASTER!$A:$A,MATCH(_xlpm.pos,MASTER!$I:$I,0))&amp;"_ser_0.20_"&amp;TEXT(INDEX(MASTER!$E:$E,MATCH(_xlpm.pos,MASTER!$I:$I,0)),"mmddyy"),""),_xlpm.slot,1920+(MATCH($A4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25" spans="1:13" ht="22" customHeight="1" x14ac:dyDescent="0.35">
      <c r="A225" s="9" t="s">
        <v>32</v>
      </c>
      <c r="B225" s="9" t="str">
        <f>_xlfn.LET(_xlpm.pos,"NIH plate 21: "&amp;$A5&amp;B$2,_xlpm.normal,IFERROR(INDEX(MASTER!$A:$A,MATCH(_xlpm.pos,MASTER!$I:$I,0))&amp;"_ser_0.20_"&amp;TEXT(INDEX(MASTER!$E:$E,MATCH(_xlpm.pos,MASTER!$I:$I,0)),"mmddyy"),""),_xlpm.slot,1920+(MATCH($A5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25" s="9" t="str">
        <f>_xlfn.LET(_xlpm.pos,"NIH plate 21: "&amp;$A5&amp;C$2,_xlpm.normal,IFERROR(INDEX(MASTER!$A:$A,MATCH(_xlpm.pos,MASTER!$I:$I,0))&amp;"_ser_0.20_"&amp;TEXT(INDEX(MASTER!$E:$E,MATCH(_xlpm.pos,MASTER!$I:$I,0)),"mmddyy"),""),_xlpm.slot,1920+(MATCH($A5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25" s="9" t="str">
        <f>_xlfn.LET(_xlpm.pos,"NIH plate 21: "&amp;$A5&amp;D$2,_xlpm.normal,IFERROR(INDEX(MASTER!$A:$A,MATCH(_xlpm.pos,MASTER!$I:$I,0))&amp;"_ser_0.20_"&amp;TEXT(INDEX(MASTER!$E:$E,MATCH(_xlpm.pos,MASTER!$I:$I,0)),"mmddyy"),""),_xlpm.slot,1920+(MATCH($A5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25" s="9" t="str">
        <f>_xlfn.LET(_xlpm.pos,"NIH plate 21: "&amp;$A5&amp;E$2,_xlpm.normal,IFERROR(INDEX(MASTER!$A:$A,MATCH(_xlpm.pos,MASTER!$I:$I,0))&amp;"_ser_0.20_"&amp;TEXT(INDEX(MASTER!$E:$E,MATCH(_xlpm.pos,MASTER!$I:$I,0)),"mmddyy"),""),_xlpm.slot,1920+(MATCH($A5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25" s="9" t="str">
        <f>_xlfn.LET(_xlpm.pos,"NIH plate 21: "&amp;$A5&amp;F$2,_xlpm.normal,IFERROR(INDEX(MASTER!$A:$A,MATCH(_xlpm.pos,MASTER!$I:$I,0))&amp;"_ser_0.20_"&amp;TEXT(INDEX(MASTER!$E:$E,MATCH(_xlpm.pos,MASTER!$I:$I,0)),"mmddyy"),""),_xlpm.slot,1920+(MATCH($A5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25" s="9" t="str">
        <f>_xlfn.LET(_xlpm.pos,"NIH plate 21: "&amp;$A5&amp;G$2,_xlpm.normal,IFERROR(INDEX(MASTER!$A:$A,MATCH(_xlpm.pos,MASTER!$I:$I,0))&amp;"_ser_0.20_"&amp;TEXT(INDEX(MASTER!$E:$E,MATCH(_xlpm.pos,MASTER!$I:$I,0)),"mmddyy"),""),_xlpm.slot,1920+(MATCH($A5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25" s="9" t="str">
        <f>_xlfn.LET(_xlpm.pos,"NIH plate 21: "&amp;$A5&amp;H$2,_xlpm.normal,IFERROR(INDEX(MASTER!$A:$A,MATCH(_xlpm.pos,MASTER!$I:$I,0))&amp;"_ser_0.20_"&amp;TEXT(INDEX(MASTER!$E:$E,MATCH(_xlpm.pos,MASTER!$I:$I,0)),"mmddyy"),""),_xlpm.slot,1920+(MATCH($A5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25" s="9" t="str">
        <f>_xlfn.LET(_xlpm.pos,"NIH plate 21: "&amp;$A5&amp;I$2,_xlpm.normal,IFERROR(INDEX(MASTER!$A:$A,MATCH(_xlpm.pos,MASTER!$I:$I,0))&amp;"_ser_0.20_"&amp;TEXT(INDEX(MASTER!$E:$E,MATCH(_xlpm.pos,MASTER!$I:$I,0)),"mmddyy"),""),_xlpm.slot,1920+(MATCH($A5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25" s="9" t="str">
        <f>_xlfn.LET(_xlpm.pos,"NIH plate 21: "&amp;$A5&amp;J$2,_xlpm.normal,IFERROR(INDEX(MASTER!$A:$A,MATCH(_xlpm.pos,MASTER!$I:$I,0))&amp;"_ser_0.20_"&amp;TEXT(INDEX(MASTER!$E:$E,MATCH(_xlpm.pos,MASTER!$I:$I,0)),"mmddyy"),""),_xlpm.slot,1920+(MATCH($A5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25" s="9" t="str">
        <f>_xlfn.LET(_xlpm.pos,"NIH plate 21: "&amp;$A5&amp;K$2,_xlpm.normal,IFERROR(INDEX(MASTER!$A:$A,MATCH(_xlpm.pos,MASTER!$I:$I,0))&amp;"_ser_0.20_"&amp;TEXT(INDEX(MASTER!$E:$E,MATCH(_xlpm.pos,MASTER!$I:$I,0)),"mmddyy"),""),_xlpm.slot,1920+(MATCH($A5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25" s="9" t="str">
        <f>_xlfn.LET(_xlpm.pos,"NIH plate 21: "&amp;$A5&amp;L$2,_xlpm.normal,IFERROR(INDEX(MASTER!$A:$A,MATCH(_xlpm.pos,MASTER!$I:$I,0))&amp;"_ser_0.20_"&amp;TEXT(INDEX(MASTER!$E:$E,MATCH(_xlpm.pos,MASTER!$I:$I,0)),"mmddyy"),""),_xlpm.slot,1920+(MATCH($A5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25" s="9" t="str">
        <f>_xlfn.LET(_xlpm.pos,"NIH plate 21: "&amp;$A5&amp;M$2,_xlpm.normal,IFERROR(INDEX(MASTER!$A:$A,MATCH(_xlpm.pos,MASTER!$I:$I,0))&amp;"_ser_0.20_"&amp;TEXT(INDEX(MASTER!$E:$E,MATCH(_xlpm.pos,MASTER!$I:$I,0)),"mmddyy"),""),_xlpm.slot,1920+(MATCH($A5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26" spans="1:13" ht="22" customHeight="1" x14ac:dyDescent="0.35">
      <c r="A226" s="9" t="s">
        <v>33</v>
      </c>
      <c r="B226" s="9" t="str">
        <f>_xlfn.LET(_xlpm.pos,"NIH plate 21: "&amp;$A6&amp;B$2,_xlpm.normal,IFERROR(INDEX(MASTER!$A:$A,MATCH(_xlpm.pos,MASTER!$I:$I,0))&amp;"_ser_0.20_"&amp;TEXT(INDEX(MASTER!$E:$E,MATCH(_xlpm.pos,MASTER!$I:$I,0)),"mmddyy"),""),_xlpm.slot,1920+(MATCH($A6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26" s="9" t="str">
        <f>_xlfn.LET(_xlpm.pos,"NIH plate 21: "&amp;$A6&amp;C$2,_xlpm.normal,IFERROR(INDEX(MASTER!$A:$A,MATCH(_xlpm.pos,MASTER!$I:$I,0))&amp;"_ser_0.20_"&amp;TEXT(INDEX(MASTER!$E:$E,MATCH(_xlpm.pos,MASTER!$I:$I,0)),"mmddyy"),""),_xlpm.slot,1920+(MATCH($A6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26" s="9" t="str">
        <f>_xlfn.LET(_xlpm.pos,"NIH plate 21: "&amp;$A6&amp;D$2,_xlpm.normal,IFERROR(INDEX(MASTER!$A:$A,MATCH(_xlpm.pos,MASTER!$I:$I,0))&amp;"_ser_0.20_"&amp;TEXT(INDEX(MASTER!$E:$E,MATCH(_xlpm.pos,MASTER!$I:$I,0)),"mmddyy"),""),_xlpm.slot,1920+(MATCH($A6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26" s="9" t="str">
        <f>_xlfn.LET(_xlpm.pos,"NIH plate 21: "&amp;$A6&amp;E$2,_xlpm.normal,IFERROR(INDEX(MASTER!$A:$A,MATCH(_xlpm.pos,MASTER!$I:$I,0))&amp;"_ser_0.20_"&amp;TEXT(INDEX(MASTER!$E:$E,MATCH(_xlpm.pos,MASTER!$I:$I,0)),"mmddyy"),""),_xlpm.slot,1920+(MATCH($A6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26" s="9" t="str">
        <f>_xlfn.LET(_xlpm.pos,"NIH plate 21: "&amp;$A6&amp;F$2,_xlpm.normal,IFERROR(INDEX(MASTER!$A:$A,MATCH(_xlpm.pos,MASTER!$I:$I,0))&amp;"_ser_0.20_"&amp;TEXT(INDEX(MASTER!$E:$E,MATCH(_xlpm.pos,MASTER!$I:$I,0)),"mmddyy"),""),_xlpm.slot,1920+(MATCH($A6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26" s="9" t="str">
        <f>_xlfn.LET(_xlpm.pos,"NIH plate 21: "&amp;$A6&amp;G$2,_xlpm.normal,IFERROR(INDEX(MASTER!$A:$A,MATCH(_xlpm.pos,MASTER!$I:$I,0))&amp;"_ser_0.20_"&amp;TEXT(INDEX(MASTER!$E:$E,MATCH(_xlpm.pos,MASTER!$I:$I,0)),"mmddyy"),""),_xlpm.slot,1920+(MATCH($A6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26" s="9" t="str">
        <f>_xlfn.LET(_xlpm.pos,"NIH plate 21: "&amp;$A6&amp;H$2,_xlpm.normal,IFERROR(INDEX(MASTER!$A:$A,MATCH(_xlpm.pos,MASTER!$I:$I,0))&amp;"_ser_0.20_"&amp;TEXT(INDEX(MASTER!$E:$E,MATCH(_xlpm.pos,MASTER!$I:$I,0)),"mmddyy"),""),_xlpm.slot,1920+(MATCH($A6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26" s="9" t="str">
        <f>_xlfn.LET(_xlpm.pos,"NIH plate 21: "&amp;$A6&amp;I$2,_xlpm.normal,IFERROR(INDEX(MASTER!$A:$A,MATCH(_xlpm.pos,MASTER!$I:$I,0))&amp;"_ser_0.20_"&amp;TEXT(INDEX(MASTER!$E:$E,MATCH(_xlpm.pos,MASTER!$I:$I,0)),"mmddyy"),""),_xlpm.slot,1920+(MATCH($A6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26" s="9" t="str">
        <f>_xlfn.LET(_xlpm.pos,"NIH plate 21: "&amp;$A6&amp;J$2,_xlpm.normal,IFERROR(INDEX(MASTER!$A:$A,MATCH(_xlpm.pos,MASTER!$I:$I,0))&amp;"_ser_0.20_"&amp;TEXT(INDEX(MASTER!$E:$E,MATCH(_xlpm.pos,MASTER!$I:$I,0)),"mmddyy"),""),_xlpm.slot,1920+(MATCH($A6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26" s="9" t="str">
        <f>_xlfn.LET(_xlpm.pos,"NIH plate 21: "&amp;$A6&amp;K$2,_xlpm.normal,IFERROR(INDEX(MASTER!$A:$A,MATCH(_xlpm.pos,MASTER!$I:$I,0))&amp;"_ser_0.20_"&amp;TEXT(INDEX(MASTER!$E:$E,MATCH(_xlpm.pos,MASTER!$I:$I,0)),"mmddyy"),""),_xlpm.slot,1920+(MATCH($A6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26" s="9" t="str">
        <f>_xlfn.LET(_xlpm.pos,"NIH plate 21: "&amp;$A6&amp;L$2,_xlpm.normal,IFERROR(INDEX(MASTER!$A:$A,MATCH(_xlpm.pos,MASTER!$I:$I,0))&amp;"_ser_0.20_"&amp;TEXT(INDEX(MASTER!$E:$E,MATCH(_xlpm.pos,MASTER!$I:$I,0)),"mmddyy"),""),_xlpm.slot,1920+(MATCH($A6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26" s="9" t="str">
        <f>_xlfn.LET(_xlpm.pos,"NIH plate 21: "&amp;$A6&amp;M$2,_xlpm.normal,IFERROR(INDEX(MASTER!$A:$A,MATCH(_xlpm.pos,MASTER!$I:$I,0))&amp;"_ser_0.20_"&amp;TEXT(INDEX(MASTER!$E:$E,MATCH(_xlpm.pos,MASTER!$I:$I,0)),"mmddyy"),""),_xlpm.slot,1920+(MATCH($A6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27" spans="1:13" ht="22" customHeight="1" x14ac:dyDescent="0.35">
      <c r="A227" s="9" t="s">
        <v>34</v>
      </c>
      <c r="B227" s="9" t="str">
        <f>_xlfn.LET(_xlpm.pos,"NIH plate 21: "&amp;$A7&amp;B$2,_xlpm.normal,IFERROR(INDEX(MASTER!$A:$A,MATCH(_xlpm.pos,MASTER!$I:$I,0))&amp;"_ser_0.20_"&amp;TEXT(INDEX(MASTER!$E:$E,MATCH(_xlpm.pos,MASTER!$I:$I,0)),"mmddyy"),""),_xlpm.slot,1920+(MATCH($A7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27" s="9" t="str">
        <f>_xlfn.LET(_xlpm.pos,"NIH plate 21: "&amp;$A7&amp;C$2,_xlpm.normal,IFERROR(INDEX(MASTER!$A:$A,MATCH(_xlpm.pos,MASTER!$I:$I,0))&amp;"_ser_0.20_"&amp;TEXT(INDEX(MASTER!$E:$E,MATCH(_xlpm.pos,MASTER!$I:$I,0)),"mmddyy"),""),_xlpm.slot,1920+(MATCH($A7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27" s="9" t="str">
        <f>_xlfn.LET(_xlpm.pos,"NIH plate 21: "&amp;$A7&amp;D$2,_xlpm.normal,IFERROR(INDEX(MASTER!$A:$A,MATCH(_xlpm.pos,MASTER!$I:$I,0))&amp;"_ser_0.20_"&amp;TEXT(INDEX(MASTER!$E:$E,MATCH(_xlpm.pos,MASTER!$I:$I,0)),"mmddyy"),""),_xlpm.slot,1920+(MATCH($A7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27" s="9" t="str">
        <f>_xlfn.LET(_xlpm.pos,"NIH plate 21: "&amp;$A7&amp;E$2,_xlpm.normal,IFERROR(INDEX(MASTER!$A:$A,MATCH(_xlpm.pos,MASTER!$I:$I,0))&amp;"_ser_0.20_"&amp;TEXT(INDEX(MASTER!$E:$E,MATCH(_xlpm.pos,MASTER!$I:$I,0)),"mmddyy"),""),_xlpm.slot,1920+(MATCH($A7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27" s="9" t="str">
        <f>_xlfn.LET(_xlpm.pos,"NIH plate 21: "&amp;$A7&amp;F$2,_xlpm.normal,IFERROR(INDEX(MASTER!$A:$A,MATCH(_xlpm.pos,MASTER!$I:$I,0))&amp;"_ser_0.20_"&amp;TEXT(INDEX(MASTER!$E:$E,MATCH(_xlpm.pos,MASTER!$I:$I,0)),"mmddyy"),""),_xlpm.slot,1920+(MATCH($A7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27" s="9" t="str">
        <f>_xlfn.LET(_xlpm.pos,"NIH plate 21: "&amp;$A7&amp;G$2,_xlpm.normal,IFERROR(INDEX(MASTER!$A:$A,MATCH(_xlpm.pos,MASTER!$I:$I,0))&amp;"_ser_0.20_"&amp;TEXT(INDEX(MASTER!$E:$E,MATCH(_xlpm.pos,MASTER!$I:$I,0)),"mmddyy"),""),_xlpm.slot,1920+(MATCH($A7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27" s="9" t="str">
        <f>_xlfn.LET(_xlpm.pos,"NIH plate 21: "&amp;$A7&amp;H$2,_xlpm.normal,IFERROR(INDEX(MASTER!$A:$A,MATCH(_xlpm.pos,MASTER!$I:$I,0))&amp;"_ser_0.20_"&amp;TEXT(INDEX(MASTER!$E:$E,MATCH(_xlpm.pos,MASTER!$I:$I,0)),"mmddyy"),""),_xlpm.slot,1920+(MATCH($A7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27" s="9" t="str">
        <f>_xlfn.LET(_xlpm.pos,"NIH plate 21: "&amp;$A7&amp;I$2,_xlpm.normal,IFERROR(INDEX(MASTER!$A:$A,MATCH(_xlpm.pos,MASTER!$I:$I,0))&amp;"_ser_0.20_"&amp;TEXT(INDEX(MASTER!$E:$E,MATCH(_xlpm.pos,MASTER!$I:$I,0)),"mmddyy"),""),_xlpm.slot,1920+(MATCH($A7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27" s="9" t="str">
        <f>_xlfn.LET(_xlpm.pos,"NIH plate 21: "&amp;$A7&amp;J$2,_xlpm.normal,IFERROR(INDEX(MASTER!$A:$A,MATCH(_xlpm.pos,MASTER!$I:$I,0))&amp;"_ser_0.20_"&amp;TEXT(INDEX(MASTER!$E:$E,MATCH(_xlpm.pos,MASTER!$I:$I,0)),"mmddyy"),""),_xlpm.slot,1920+(MATCH($A7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27" s="9" t="str">
        <f>_xlfn.LET(_xlpm.pos,"NIH plate 21: "&amp;$A7&amp;K$2,_xlpm.normal,IFERROR(INDEX(MASTER!$A:$A,MATCH(_xlpm.pos,MASTER!$I:$I,0))&amp;"_ser_0.20_"&amp;TEXT(INDEX(MASTER!$E:$E,MATCH(_xlpm.pos,MASTER!$I:$I,0)),"mmddyy"),""),_xlpm.slot,1920+(MATCH($A7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27" s="9" t="str">
        <f>_xlfn.LET(_xlpm.pos,"NIH plate 21: "&amp;$A7&amp;L$2,_xlpm.normal,IFERROR(INDEX(MASTER!$A:$A,MATCH(_xlpm.pos,MASTER!$I:$I,0))&amp;"_ser_0.20_"&amp;TEXT(INDEX(MASTER!$E:$E,MATCH(_xlpm.pos,MASTER!$I:$I,0)),"mmddyy"),""),_xlpm.slot,1920+(MATCH($A7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27" s="9" t="str">
        <f>_xlfn.LET(_xlpm.pos,"NIH plate 21: "&amp;$A7&amp;M$2,_xlpm.normal,IFERROR(INDEX(MASTER!$A:$A,MATCH(_xlpm.pos,MASTER!$I:$I,0))&amp;"_ser_0.20_"&amp;TEXT(INDEX(MASTER!$E:$E,MATCH(_xlpm.pos,MASTER!$I:$I,0)),"mmddyy"),""),_xlpm.slot,1920+(MATCH($A7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28" spans="1:13" ht="22" customHeight="1" x14ac:dyDescent="0.35">
      <c r="A228" s="9" t="s">
        <v>15</v>
      </c>
      <c r="B228" s="9" t="str">
        <f>_xlfn.LET(_xlpm.pos,"NIH plate 21: "&amp;$A8&amp;B$2,_xlpm.normal,IFERROR(INDEX(MASTER!$A:$A,MATCH(_xlpm.pos,MASTER!$I:$I,0))&amp;"_ser_0.20_"&amp;TEXT(INDEX(MASTER!$E:$E,MATCH(_xlpm.pos,MASTER!$I:$I,0)),"mmddyy"),""),_xlpm.slot,1920+(MATCH($A8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28" s="9" t="str">
        <f>_xlfn.LET(_xlpm.pos,"NIH plate 21: "&amp;$A8&amp;C$2,_xlpm.normal,IFERROR(INDEX(MASTER!$A:$A,MATCH(_xlpm.pos,MASTER!$I:$I,0))&amp;"_ser_0.20_"&amp;TEXT(INDEX(MASTER!$E:$E,MATCH(_xlpm.pos,MASTER!$I:$I,0)),"mmddyy"),""),_xlpm.slot,1920+(MATCH($A8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28" s="9" t="str">
        <f>_xlfn.LET(_xlpm.pos,"NIH plate 21: "&amp;$A8&amp;D$2,_xlpm.normal,IFERROR(INDEX(MASTER!$A:$A,MATCH(_xlpm.pos,MASTER!$I:$I,0))&amp;"_ser_0.20_"&amp;TEXT(INDEX(MASTER!$E:$E,MATCH(_xlpm.pos,MASTER!$I:$I,0)),"mmddyy"),""),_xlpm.slot,1920+(MATCH($A8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28" s="9" t="str">
        <f>_xlfn.LET(_xlpm.pos,"NIH plate 21: "&amp;$A8&amp;E$2,_xlpm.normal,IFERROR(INDEX(MASTER!$A:$A,MATCH(_xlpm.pos,MASTER!$I:$I,0))&amp;"_ser_0.20_"&amp;TEXT(INDEX(MASTER!$E:$E,MATCH(_xlpm.pos,MASTER!$I:$I,0)),"mmddyy"),""),_xlpm.slot,1920+(MATCH($A8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28" s="9" t="str">
        <f>_xlfn.LET(_xlpm.pos,"NIH plate 21: "&amp;$A8&amp;F$2,_xlpm.normal,IFERROR(INDEX(MASTER!$A:$A,MATCH(_xlpm.pos,MASTER!$I:$I,0))&amp;"_ser_0.20_"&amp;TEXT(INDEX(MASTER!$E:$E,MATCH(_xlpm.pos,MASTER!$I:$I,0)),"mmddyy"),""),_xlpm.slot,1920+(MATCH($A8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28" s="9" t="str">
        <f>_xlfn.LET(_xlpm.pos,"NIH plate 21: "&amp;$A8&amp;G$2,_xlpm.normal,IFERROR(INDEX(MASTER!$A:$A,MATCH(_xlpm.pos,MASTER!$I:$I,0))&amp;"_ser_0.20_"&amp;TEXT(INDEX(MASTER!$E:$E,MATCH(_xlpm.pos,MASTER!$I:$I,0)),"mmddyy"),""),_xlpm.slot,1920+(MATCH($A8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28" s="9" t="str">
        <f>_xlfn.LET(_xlpm.pos,"NIH plate 21: "&amp;$A8&amp;H$2,_xlpm.normal,IFERROR(INDEX(MASTER!$A:$A,MATCH(_xlpm.pos,MASTER!$I:$I,0))&amp;"_ser_0.20_"&amp;TEXT(INDEX(MASTER!$E:$E,MATCH(_xlpm.pos,MASTER!$I:$I,0)),"mmddyy"),""),_xlpm.slot,1920+(MATCH($A8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28" s="9" t="str">
        <f>_xlfn.LET(_xlpm.pos,"NIH plate 21: "&amp;$A8&amp;I$2,_xlpm.normal,IFERROR(INDEX(MASTER!$A:$A,MATCH(_xlpm.pos,MASTER!$I:$I,0))&amp;"_ser_0.20_"&amp;TEXT(INDEX(MASTER!$E:$E,MATCH(_xlpm.pos,MASTER!$I:$I,0)),"mmddyy"),""),_xlpm.slot,1920+(MATCH($A8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28" s="9" t="str">
        <f>_xlfn.LET(_xlpm.pos,"NIH plate 21: "&amp;$A8&amp;J$2,_xlpm.normal,IFERROR(INDEX(MASTER!$A:$A,MATCH(_xlpm.pos,MASTER!$I:$I,0))&amp;"_ser_0.20_"&amp;TEXT(INDEX(MASTER!$E:$E,MATCH(_xlpm.pos,MASTER!$I:$I,0)),"mmddyy"),""),_xlpm.slot,1920+(MATCH($A8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28" s="9" t="str">
        <f>_xlfn.LET(_xlpm.pos,"NIH plate 21: "&amp;$A8&amp;K$2,_xlpm.normal,IFERROR(INDEX(MASTER!$A:$A,MATCH(_xlpm.pos,MASTER!$I:$I,0))&amp;"_ser_0.20_"&amp;TEXT(INDEX(MASTER!$E:$E,MATCH(_xlpm.pos,MASTER!$I:$I,0)),"mmddyy"),""),_xlpm.slot,1920+(MATCH($A8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28" s="9" t="str">
        <f>_xlfn.LET(_xlpm.pos,"NIH plate 21: "&amp;$A8&amp;L$2,_xlpm.normal,IFERROR(INDEX(MASTER!$A:$A,MATCH(_xlpm.pos,MASTER!$I:$I,0))&amp;"_ser_0.20_"&amp;TEXT(INDEX(MASTER!$E:$E,MATCH(_xlpm.pos,MASTER!$I:$I,0)),"mmddyy"),""),_xlpm.slot,1920+(MATCH($A8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28" s="9" t="str">
        <f>_xlfn.LET(_xlpm.pos,"NIH plate 21: "&amp;$A8&amp;M$2,_xlpm.normal,IFERROR(INDEX(MASTER!$A:$A,MATCH(_xlpm.pos,MASTER!$I:$I,0))&amp;"_ser_0.20_"&amp;TEXT(INDEX(MASTER!$E:$E,MATCH(_xlpm.pos,MASTER!$I:$I,0)),"mmddyy"),""),_xlpm.slot,1920+(MATCH($A8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29" spans="1:13" ht="22" customHeight="1" x14ac:dyDescent="0.35">
      <c r="A229" s="9" t="s">
        <v>35</v>
      </c>
      <c r="B229" s="9" t="str">
        <f>_xlfn.LET(_xlpm.pos,"NIH plate 21: "&amp;$A9&amp;B$2,_xlpm.normal,IFERROR(INDEX(MASTER!$A:$A,MATCH(_xlpm.pos,MASTER!$I:$I,0))&amp;"_ser_0.20_"&amp;TEXT(INDEX(MASTER!$E:$E,MATCH(_xlpm.pos,MASTER!$I:$I,0)),"mmddyy"),""),_xlpm.slot,1920+(MATCH($A9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29" s="9" t="str">
        <f>_xlfn.LET(_xlpm.pos,"NIH plate 21: "&amp;$A9&amp;C$2,_xlpm.normal,IFERROR(INDEX(MASTER!$A:$A,MATCH(_xlpm.pos,MASTER!$I:$I,0))&amp;"_ser_0.20_"&amp;TEXT(INDEX(MASTER!$E:$E,MATCH(_xlpm.pos,MASTER!$I:$I,0)),"mmddyy"),""),_xlpm.slot,1920+(MATCH($A9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29" s="9" t="str">
        <f>_xlfn.LET(_xlpm.pos,"NIH plate 21: "&amp;$A9&amp;D$2,_xlpm.normal,IFERROR(INDEX(MASTER!$A:$A,MATCH(_xlpm.pos,MASTER!$I:$I,0))&amp;"_ser_0.20_"&amp;TEXT(INDEX(MASTER!$E:$E,MATCH(_xlpm.pos,MASTER!$I:$I,0)),"mmddyy"),""),_xlpm.slot,1920+(MATCH($A9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29" s="9" t="str">
        <f>_xlfn.LET(_xlpm.pos,"NIH plate 21: "&amp;$A9&amp;E$2,_xlpm.normal,IFERROR(INDEX(MASTER!$A:$A,MATCH(_xlpm.pos,MASTER!$I:$I,0))&amp;"_ser_0.20_"&amp;TEXT(INDEX(MASTER!$E:$E,MATCH(_xlpm.pos,MASTER!$I:$I,0)),"mmddyy"),""),_xlpm.slot,1920+(MATCH($A9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29" s="9" t="str">
        <f>_xlfn.LET(_xlpm.pos,"NIH plate 21: "&amp;$A9&amp;F$2,_xlpm.normal,IFERROR(INDEX(MASTER!$A:$A,MATCH(_xlpm.pos,MASTER!$I:$I,0))&amp;"_ser_0.20_"&amp;TEXT(INDEX(MASTER!$E:$E,MATCH(_xlpm.pos,MASTER!$I:$I,0)),"mmddyy"),""),_xlpm.slot,1920+(MATCH($A9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29" s="9" t="str">
        <f>_xlfn.LET(_xlpm.pos,"NIH plate 21: "&amp;$A9&amp;G$2,_xlpm.normal,IFERROR(INDEX(MASTER!$A:$A,MATCH(_xlpm.pos,MASTER!$I:$I,0))&amp;"_ser_0.20_"&amp;TEXT(INDEX(MASTER!$E:$E,MATCH(_xlpm.pos,MASTER!$I:$I,0)),"mmddyy"),""),_xlpm.slot,1920+(MATCH($A9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29" s="9" t="str">
        <f>_xlfn.LET(_xlpm.pos,"NIH plate 21: "&amp;$A9&amp;H$2,_xlpm.normal,IFERROR(INDEX(MASTER!$A:$A,MATCH(_xlpm.pos,MASTER!$I:$I,0))&amp;"_ser_0.20_"&amp;TEXT(INDEX(MASTER!$E:$E,MATCH(_xlpm.pos,MASTER!$I:$I,0)),"mmddyy"),""),_xlpm.slot,1920+(MATCH($A9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29" s="9" t="str">
        <f>_xlfn.LET(_xlpm.pos,"NIH plate 21: "&amp;$A9&amp;I$2,_xlpm.normal,IFERROR(INDEX(MASTER!$A:$A,MATCH(_xlpm.pos,MASTER!$I:$I,0))&amp;"_ser_0.20_"&amp;TEXT(INDEX(MASTER!$E:$E,MATCH(_xlpm.pos,MASTER!$I:$I,0)),"mmddyy"),""),_xlpm.slot,1920+(MATCH($A9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29" s="9" t="str">
        <f>_xlfn.LET(_xlpm.pos,"NIH plate 21: "&amp;$A9&amp;J$2,_xlpm.normal,IFERROR(INDEX(MASTER!$A:$A,MATCH(_xlpm.pos,MASTER!$I:$I,0))&amp;"_ser_0.20_"&amp;TEXT(INDEX(MASTER!$E:$E,MATCH(_xlpm.pos,MASTER!$I:$I,0)),"mmddyy"),""),_xlpm.slot,1920+(MATCH($A9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29" s="9" t="str">
        <f>_xlfn.LET(_xlpm.pos,"NIH plate 21: "&amp;$A9&amp;K$2,_xlpm.normal,IFERROR(INDEX(MASTER!$A:$A,MATCH(_xlpm.pos,MASTER!$I:$I,0))&amp;"_ser_0.20_"&amp;TEXT(INDEX(MASTER!$E:$E,MATCH(_xlpm.pos,MASTER!$I:$I,0)),"mmddyy"),""),_xlpm.slot,1920+(MATCH($A9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29" s="9" t="str">
        <f>_xlfn.LET(_xlpm.pos,"NIH plate 21: "&amp;$A9&amp;L$2,_xlpm.normal,IFERROR(INDEX(MASTER!$A:$A,MATCH(_xlpm.pos,MASTER!$I:$I,0))&amp;"_ser_0.20_"&amp;TEXT(INDEX(MASTER!$E:$E,MATCH(_xlpm.pos,MASTER!$I:$I,0)),"mmddyy"),""),_xlpm.slot,1920+(MATCH($A9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29" s="9" t="str">
        <f>_xlfn.LET(_xlpm.pos,"NIH plate 21: "&amp;$A9&amp;M$2,_xlpm.normal,IFERROR(INDEX(MASTER!$A:$A,MATCH(_xlpm.pos,MASTER!$I:$I,0))&amp;"_ser_0.20_"&amp;TEXT(INDEX(MASTER!$E:$E,MATCH(_xlpm.pos,MASTER!$I:$I,0)),"mmddyy"),""),_xlpm.slot,1920+(MATCH($A9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  <row r="230" spans="1:13" ht="22" customHeight="1" x14ac:dyDescent="0.35">
      <c r="A230" s="9" t="s">
        <v>36</v>
      </c>
      <c r="B230" s="9" t="str">
        <f>_xlfn.LET(_xlpm.pos,"NIH plate 21: "&amp;$A10&amp;B$2,_xlpm.normal,IFERROR(INDEX(MASTER!$A:$A,MATCH(_xlpm.pos,MASTER!$I:$I,0))&amp;"_ser_0.20_"&amp;TEXT(INDEX(MASTER!$E:$E,MATCH(_xlpm.pos,MASTER!$I:$I,0)),"mmddyy"),""),_xlpm.slot,1920+(MATCH($A10,{"A","B","C","D","E","F","G","H"},0)-1)*12+B$2,_xlpm.code,"TXS"&amp;TEXT(_xlpm.slot,"00000"),_xlpm.xval,IFERROR(_xlfn.XLOOKUP(_xlpm.code,MASTER!$A:$A,MASTER!$I:$I,""),""),IF(_xlpm.normal&lt;&gt;"",_xlpm.normal,IF(_xlpm.xval="X","X","")))</f>
        <v/>
      </c>
      <c r="C230" s="9" t="str">
        <f>_xlfn.LET(_xlpm.pos,"NIH plate 21: "&amp;$A10&amp;C$2,_xlpm.normal,IFERROR(INDEX(MASTER!$A:$A,MATCH(_xlpm.pos,MASTER!$I:$I,0))&amp;"_ser_0.20_"&amp;TEXT(INDEX(MASTER!$E:$E,MATCH(_xlpm.pos,MASTER!$I:$I,0)),"mmddyy"),""),_xlpm.slot,1920+(MATCH($A10,{"A","B","C","D","E","F","G","H"},0)-1)*12+C$2,_xlpm.code,"TXS"&amp;TEXT(_xlpm.slot,"00000"),_xlpm.xval,IFERROR(_xlfn.XLOOKUP(_xlpm.code,MASTER!$A:$A,MASTER!$I:$I,""),""),IF(_xlpm.normal&lt;&gt;"",_xlpm.normal,IF(_xlpm.xval="X","X","")))</f>
        <v/>
      </c>
      <c r="D230" s="9" t="str">
        <f>_xlfn.LET(_xlpm.pos,"NIH plate 21: "&amp;$A10&amp;D$2,_xlpm.normal,IFERROR(INDEX(MASTER!$A:$A,MATCH(_xlpm.pos,MASTER!$I:$I,0))&amp;"_ser_0.20_"&amp;TEXT(INDEX(MASTER!$E:$E,MATCH(_xlpm.pos,MASTER!$I:$I,0)),"mmddyy"),""),_xlpm.slot,1920+(MATCH($A10,{"A","B","C","D","E","F","G","H"},0)-1)*12+D$2,_xlpm.code,"TXS"&amp;TEXT(_xlpm.slot,"00000"),_xlpm.xval,IFERROR(_xlfn.XLOOKUP(_xlpm.code,MASTER!$A:$A,MASTER!$I:$I,""),""),IF(_xlpm.normal&lt;&gt;"",_xlpm.normal,IF(_xlpm.xval="X","X","")))</f>
        <v/>
      </c>
      <c r="E230" s="9" t="str">
        <f>_xlfn.LET(_xlpm.pos,"NIH plate 21: "&amp;$A10&amp;E$2,_xlpm.normal,IFERROR(INDEX(MASTER!$A:$A,MATCH(_xlpm.pos,MASTER!$I:$I,0))&amp;"_ser_0.20_"&amp;TEXT(INDEX(MASTER!$E:$E,MATCH(_xlpm.pos,MASTER!$I:$I,0)),"mmddyy"),""),_xlpm.slot,1920+(MATCH($A10,{"A","B","C","D","E","F","G","H"},0)-1)*12+E$2,_xlpm.code,"TXS"&amp;TEXT(_xlpm.slot,"00000"),_xlpm.xval,IFERROR(_xlfn.XLOOKUP(_xlpm.code,MASTER!$A:$A,MASTER!$I:$I,""),""),IF(_xlpm.normal&lt;&gt;"",_xlpm.normal,IF(_xlpm.xval="X","X","")))</f>
        <v/>
      </c>
      <c r="F230" s="9" t="str">
        <f>_xlfn.LET(_xlpm.pos,"NIH plate 21: "&amp;$A10&amp;F$2,_xlpm.normal,IFERROR(INDEX(MASTER!$A:$A,MATCH(_xlpm.pos,MASTER!$I:$I,0))&amp;"_ser_0.20_"&amp;TEXT(INDEX(MASTER!$E:$E,MATCH(_xlpm.pos,MASTER!$I:$I,0)),"mmddyy"),""),_xlpm.slot,1920+(MATCH($A10,{"A","B","C","D","E","F","G","H"},0)-1)*12+F$2,_xlpm.code,"TXS"&amp;TEXT(_xlpm.slot,"00000"),_xlpm.xval,IFERROR(_xlfn.XLOOKUP(_xlpm.code,MASTER!$A:$A,MASTER!$I:$I,""),""),IF(_xlpm.normal&lt;&gt;"",_xlpm.normal,IF(_xlpm.xval="X","X","")))</f>
        <v/>
      </c>
      <c r="G230" s="9" t="str">
        <f>_xlfn.LET(_xlpm.pos,"NIH plate 21: "&amp;$A10&amp;G$2,_xlpm.normal,IFERROR(INDEX(MASTER!$A:$A,MATCH(_xlpm.pos,MASTER!$I:$I,0))&amp;"_ser_0.20_"&amp;TEXT(INDEX(MASTER!$E:$E,MATCH(_xlpm.pos,MASTER!$I:$I,0)),"mmddyy"),""),_xlpm.slot,1920+(MATCH($A10,{"A","B","C","D","E","F","G","H"},0)-1)*12+G$2,_xlpm.code,"TXS"&amp;TEXT(_xlpm.slot,"00000"),_xlpm.xval,IFERROR(_xlfn.XLOOKUP(_xlpm.code,MASTER!$A:$A,MASTER!$I:$I,""),""),IF(_xlpm.normal&lt;&gt;"",_xlpm.normal,IF(_xlpm.xval="X","X","")))</f>
        <v/>
      </c>
      <c r="H230" s="9" t="str">
        <f>_xlfn.LET(_xlpm.pos,"NIH plate 21: "&amp;$A10&amp;H$2,_xlpm.normal,IFERROR(INDEX(MASTER!$A:$A,MATCH(_xlpm.pos,MASTER!$I:$I,0))&amp;"_ser_0.20_"&amp;TEXT(INDEX(MASTER!$E:$E,MATCH(_xlpm.pos,MASTER!$I:$I,0)),"mmddyy"),""),_xlpm.slot,1920+(MATCH($A10,{"A","B","C","D","E","F","G","H"},0)-1)*12+H$2,_xlpm.code,"TXS"&amp;TEXT(_xlpm.slot,"00000"),_xlpm.xval,IFERROR(_xlfn.XLOOKUP(_xlpm.code,MASTER!$A:$A,MASTER!$I:$I,""),""),IF(_xlpm.normal&lt;&gt;"",_xlpm.normal,IF(_xlpm.xval="X","X","")))</f>
        <v/>
      </c>
      <c r="I230" s="9" t="str">
        <f>_xlfn.LET(_xlpm.pos,"NIH plate 21: "&amp;$A10&amp;I$2,_xlpm.normal,IFERROR(INDEX(MASTER!$A:$A,MATCH(_xlpm.pos,MASTER!$I:$I,0))&amp;"_ser_0.20_"&amp;TEXT(INDEX(MASTER!$E:$E,MATCH(_xlpm.pos,MASTER!$I:$I,0)),"mmddyy"),""),_xlpm.slot,1920+(MATCH($A10,{"A","B","C","D","E","F","G","H"},0)-1)*12+I$2,_xlpm.code,"TXS"&amp;TEXT(_xlpm.slot,"00000"),_xlpm.xval,IFERROR(_xlfn.XLOOKUP(_xlpm.code,MASTER!$A:$A,MASTER!$I:$I,""),""),IF(_xlpm.normal&lt;&gt;"",_xlpm.normal,IF(_xlpm.xval="X","X","")))</f>
        <v/>
      </c>
      <c r="J230" s="9" t="str">
        <f>_xlfn.LET(_xlpm.pos,"NIH plate 21: "&amp;$A10&amp;J$2,_xlpm.normal,IFERROR(INDEX(MASTER!$A:$A,MATCH(_xlpm.pos,MASTER!$I:$I,0))&amp;"_ser_0.20_"&amp;TEXT(INDEX(MASTER!$E:$E,MATCH(_xlpm.pos,MASTER!$I:$I,0)),"mmddyy"),""),_xlpm.slot,1920+(MATCH($A10,{"A","B","C","D","E","F","G","H"},0)-1)*12+J$2,_xlpm.code,"TXS"&amp;TEXT(_xlpm.slot,"00000"),_xlpm.xval,IFERROR(_xlfn.XLOOKUP(_xlpm.code,MASTER!$A:$A,MASTER!$I:$I,""),""),IF(_xlpm.normal&lt;&gt;"",_xlpm.normal,IF(_xlpm.xval="X","X","")))</f>
        <v/>
      </c>
      <c r="K230" s="9" t="str">
        <f>_xlfn.LET(_xlpm.pos,"NIH plate 21: "&amp;$A10&amp;K$2,_xlpm.normal,IFERROR(INDEX(MASTER!$A:$A,MATCH(_xlpm.pos,MASTER!$I:$I,0))&amp;"_ser_0.20_"&amp;TEXT(INDEX(MASTER!$E:$E,MATCH(_xlpm.pos,MASTER!$I:$I,0)),"mmddyy"),""),_xlpm.slot,1920+(MATCH($A10,{"A","B","C","D","E","F","G","H"},0)-1)*12+K$2,_xlpm.code,"TXS"&amp;TEXT(_xlpm.slot,"00000"),_xlpm.xval,IFERROR(_xlfn.XLOOKUP(_xlpm.code,MASTER!$A:$A,MASTER!$I:$I,""),""),IF(_xlpm.normal&lt;&gt;"",_xlpm.normal,IF(_xlpm.xval="X","X","")))</f>
        <v/>
      </c>
      <c r="L230" s="9" t="str">
        <f>_xlfn.LET(_xlpm.pos,"NIH plate 21: "&amp;$A10&amp;L$2,_xlpm.normal,IFERROR(INDEX(MASTER!$A:$A,MATCH(_xlpm.pos,MASTER!$I:$I,0))&amp;"_ser_0.20_"&amp;TEXT(INDEX(MASTER!$E:$E,MATCH(_xlpm.pos,MASTER!$I:$I,0)),"mmddyy"),""),_xlpm.slot,1920+(MATCH($A10,{"A","B","C","D","E","F","G","H"},0)-1)*12+L$2,_xlpm.code,"TXS"&amp;TEXT(_xlpm.slot,"00000"),_xlpm.xval,IFERROR(_xlfn.XLOOKUP(_xlpm.code,MASTER!$A:$A,MASTER!$I:$I,""),""),IF(_xlpm.normal&lt;&gt;"",_xlpm.normal,IF(_xlpm.xval="X","X","")))</f>
        <v/>
      </c>
      <c r="M230" s="9" t="str">
        <f>_xlfn.LET(_xlpm.pos,"NIH plate 21: "&amp;$A10&amp;M$2,_xlpm.normal,IFERROR(INDEX(MASTER!$A:$A,MATCH(_xlpm.pos,MASTER!$I:$I,0))&amp;"_ser_0.20_"&amp;TEXT(INDEX(MASTER!$E:$E,MATCH(_xlpm.pos,MASTER!$I:$I,0)),"mmddyy"),""),_xlpm.slot,1920+(MATCH($A10,{"A","B","C","D","E","F","G","H"},0)-1)*12+M$2,_xlpm.code,"TXS"&amp;TEXT(_xlpm.slot,"00000"),_xlpm.xval,IFERROR(_xlfn.XLOOKUP(_xlpm.code,MASTER!$A:$A,MASTER!$I:$I,""),""),IF(_xlpm.normal&lt;&gt;"",_xlpm.normal,IF(_xlpm.xval="X","X","")))</f>
        <v/>
      </c>
    </row>
  </sheetData>
  <mergeCells count="21">
    <mergeCell ref="B221:M221"/>
    <mergeCell ref="B188:M188"/>
    <mergeCell ref="B144:M144"/>
    <mergeCell ref="B100:M100"/>
    <mergeCell ref="B199:M199"/>
    <mergeCell ref="B122:M122"/>
    <mergeCell ref="B155:M155"/>
    <mergeCell ref="B210:M210"/>
    <mergeCell ref="B111:M111"/>
    <mergeCell ref="B177:M177"/>
    <mergeCell ref="B67:M67"/>
    <mergeCell ref="B23:M23"/>
    <mergeCell ref="B1:M1"/>
    <mergeCell ref="B166:M166"/>
    <mergeCell ref="B34:M34"/>
    <mergeCell ref="B78:M78"/>
    <mergeCell ref="B133:M133"/>
    <mergeCell ref="B89:M89"/>
    <mergeCell ref="B45:M45"/>
    <mergeCell ref="B56:M56"/>
    <mergeCell ref="B12:M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30"/>
  <sheetViews>
    <sheetView zoomScale="71" zoomScaleNormal="71" workbookViewId="0">
      <pane xSplit="1" ySplit="1" topLeftCell="B2" activePane="bottomRight" state="frozen"/>
      <selection pane="topRight"/>
      <selection pane="bottomLeft"/>
      <selection pane="bottomRight" activeCell="B3" sqref="B3"/>
    </sheetView>
  </sheetViews>
  <sheetFormatPr defaultColWidth="8.7265625" defaultRowHeight="22" customHeight="1" x14ac:dyDescent="0.3"/>
  <cols>
    <col min="1" max="1" width="2.26953125" style="1" bestFit="1" customWidth="1"/>
    <col min="2" max="13" width="28.54296875" style="1" customWidth="1"/>
    <col min="14" max="17" width="8.7265625" style="1" customWidth="1"/>
    <col min="18" max="16384" width="8.7265625" style="1"/>
  </cols>
  <sheetData>
    <row r="1" spans="1:13" ht="22" customHeight="1" x14ac:dyDescent="0.35">
      <c r="A1" s="5"/>
      <c r="B1" s="31" t="s">
        <v>78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</row>
    <row r="2" spans="1:13" ht="22" customHeight="1" x14ac:dyDescent="0.3">
      <c r="A2" s="5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</row>
    <row r="3" spans="1:13" ht="22" customHeight="1" x14ac:dyDescent="0.3">
      <c r="A3" s="6" t="s">
        <v>30</v>
      </c>
      <c r="B3" s="4" t="str">
        <f t="array" ref="B3">_xlfn.LET(_xlpm.pos,"Max Planck plate 1: "&amp;$A3&amp;B$2,_xlpm.normal,IFERROR(INDEX(MASTER!$A:$A,MATCH(_xlpm.pos,MASTER!$J:$J,0))&amp;"_ser_0.20_"&amp;TEXT(INDEX(MASTER!$E:$E,MATCH(_xlpm.pos,MASTER!$J:$J,0)),"mmddyy"),""),_xlpm.slot,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3" s="4" t="str">
        <f t="array" ref="C3">_xlfn.LET(_xlpm.pos,"Max Planck plate 1: "&amp;$A3&amp;C$2,_xlpm.normal,IFERROR(INDEX(MASTER!$A:$A,MATCH(_xlpm.pos,MASTER!$J:$J,0))&amp;"_ser_0.20_"&amp;TEXT(INDEX(MASTER!$E:$E,MATCH(_xlpm.pos,MASTER!$J:$J,0)),"mmddyy"),""),_xlpm.slot,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3" s="4" t="str">
        <f t="array" ref="D3">_xlfn.LET(_xlpm.pos,"Max Planck plate 1: "&amp;$A3&amp;D$2,_xlpm.normal,IFERROR(INDEX(MASTER!$A:$A,MATCH(_xlpm.pos,MASTER!$J:$J,0))&amp;"_ser_0.20_"&amp;TEXT(INDEX(MASTER!$E:$E,MATCH(_xlpm.pos,MASTER!$J:$J,0)),"mmddyy"),""),_xlpm.slot,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3" s="4" t="str">
        <f t="array" ref="E3">_xlfn.LET(_xlpm.pos,"Max Planck plate 1: "&amp;$A3&amp;E$2,_xlpm.normal,IFERROR(INDEX(MASTER!$A:$A,MATCH(_xlpm.pos,MASTER!$J:$J,0))&amp;"_ser_0.20_"&amp;TEXT(INDEX(MASTER!$E:$E,MATCH(_xlpm.pos,MASTER!$J:$J,0)),"mmddyy"),""),_xlpm.slot,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3" s="4" t="str">
        <f t="array" ref="F3">_xlfn.LET(_xlpm.pos,"Max Planck plate 1: "&amp;$A3&amp;F$2,_xlpm.normal,IFERROR(INDEX(MASTER!$A:$A,MATCH(_xlpm.pos,MASTER!$J:$J,0))&amp;"_ser_0.20_"&amp;TEXT(INDEX(MASTER!$E:$E,MATCH(_xlpm.pos,MASTER!$J:$J,0)),"mmddyy"),""),_xlpm.slot,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3" s="4" t="str">
        <f t="array" ref="G3">_xlfn.LET(_xlpm.pos,"Max Planck plate 1: "&amp;$A3&amp;G$2,_xlpm.normal,IFERROR(INDEX(MASTER!$A:$A,MATCH(_xlpm.pos,MASTER!$J:$J,0))&amp;"_ser_0.20_"&amp;TEXT(INDEX(MASTER!$E:$E,MATCH(_xlpm.pos,MASTER!$J:$J,0)),"mmddyy"),""),_xlpm.slot,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3" s="4" t="str">
        <f t="array" ref="H3">_xlfn.LET(_xlpm.pos,"Max Planck plate 1: "&amp;$A3&amp;H$2,_xlpm.normal,IFERROR(INDEX(MASTER!$A:$A,MATCH(_xlpm.pos,MASTER!$J:$J,0))&amp;"_ser_0.20_"&amp;TEXT(INDEX(MASTER!$E:$E,MATCH(_xlpm.pos,MASTER!$J:$J,0)),"mmddyy"),""),_xlpm.slot,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3" s="4" t="str">
        <f t="array" ref="I3">_xlfn.LET(_xlpm.pos,"Max Planck plate 1: "&amp;$A3&amp;I$2,_xlpm.normal,IFERROR(INDEX(MASTER!$A:$A,MATCH(_xlpm.pos,MASTER!$J:$J,0))&amp;"_ser_0.20_"&amp;TEXT(INDEX(MASTER!$E:$E,MATCH(_xlpm.pos,MASTER!$J:$J,0)),"mmddyy"),""),_xlpm.slot,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3" s="4" t="str">
        <f t="array" ref="J3">_xlfn.LET(_xlpm.pos,"Max Planck plate 1: "&amp;$A3&amp;J$2,_xlpm.normal,IFERROR(INDEX(MASTER!$A:$A,MATCH(_xlpm.pos,MASTER!$J:$J,0))&amp;"_ser_0.20_"&amp;TEXT(INDEX(MASTER!$E:$E,MATCH(_xlpm.pos,MASTER!$J:$J,0)),"mmddyy"),""),_xlpm.slot,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3" s="4" t="str">
        <f t="array" ref="K3">_xlfn.LET(_xlpm.pos,"Max Planck plate 1: "&amp;$A3&amp;K$2,_xlpm.normal,IFERROR(INDEX(MASTER!$A:$A,MATCH(_xlpm.pos,MASTER!$J:$J,0))&amp;"_ser_0.20_"&amp;TEXT(INDEX(MASTER!$E:$E,MATCH(_xlpm.pos,MASTER!$J:$J,0)),"mmddyy"),""),_xlpm.slot,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3" s="4" t="str">
        <f t="array" ref="L3">_xlfn.LET(_xlpm.pos,"Max Planck plate 1: "&amp;$A3&amp;L$2,_xlpm.normal,IFERROR(INDEX(MASTER!$A:$A,MATCH(_xlpm.pos,MASTER!$J:$J,0))&amp;"_ser_0.20_"&amp;TEXT(INDEX(MASTER!$E:$E,MATCH(_xlpm.pos,MASTER!$J:$J,0)),"mmddyy"),""),_xlpm.slot,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3" s="4" t="str">
        <f t="array" ref="M3">_xlfn.LET(_xlpm.pos,"Max Planck plate 1: "&amp;$A3&amp;M$2,_xlpm.normal,IFERROR(INDEX(MASTER!$A:$A,MATCH(_xlpm.pos,MASTER!$J:$J,0))&amp;"_ser_0.20_"&amp;TEXT(INDEX(MASTER!$E:$E,MATCH(_xlpm.pos,MASTER!$J:$J,0)),"mmddyy"),""),_xlpm.slot,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4" spans="1:13" ht="22" customHeight="1" x14ac:dyDescent="0.3">
      <c r="A4" s="6" t="s">
        <v>31</v>
      </c>
      <c r="B4" s="4" t="str">
        <f t="array" ref="B4">_xlfn.LET(_xlpm.pos,"Max Planck plate 1: "&amp;$A4&amp;B$2,_xlpm.normal,IFERROR(INDEX(MASTER!$A:$A,MATCH(_xlpm.pos,MASTER!$J:$J,0))&amp;"_ser_0.20_"&amp;TEXT(INDEX(MASTER!$E:$E,MATCH(_xlpm.pos,MASTER!$J:$J,0)),"mmddyy"),""),_xlpm.slot,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4" s="4" t="str">
        <f t="array" ref="C4">_xlfn.LET(_xlpm.pos,"Max Planck plate 1: "&amp;$A4&amp;C$2,_xlpm.normal,IFERROR(INDEX(MASTER!$A:$A,MATCH(_xlpm.pos,MASTER!$J:$J,0))&amp;"_ser_0.20_"&amp;TEXT(INDEX(MASTER!$E:$E,MATCH(_xlpm.pos,MASTER!$J:$J,0)),"mmddyy"),""),_xlpm.slot,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4" s="4" t="str">
        <f t="array" ref="D4">_xlfn.LET(_xlpm.pos,"Max Planck plate 1: "&amp;$A4&amp;D$2,_xlpm.normal,IFERROR(INDEX(MASTER!$A:$A,MATCH(_xlpm.pos,MASTER!$J:$J,0))&amp;"_ser_0.20_"&amp;TEXT(INDEX(MASTER!$E:$E,MATCH(_xlpm.pos,MASTER!$J:$J,0)),"mmddyy"),""),_xlpm.slot,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4" s="4" t="str">
        <f t="array" ref="E4">_xlfn.LET(_xlpm.pos,"Max Planck plate 1: "&amp;$A4&amp;E$2,_xlpm.normal,IFERROR(INDEX(MASTER!$A:$A,MATCH(_xlpm.pos,MASTER!$J:$J,0))&amp;"_ser_0.20_"&amp;TEXT(INDEX(MASTER!$E:$E,MATCH(_xlpm.pos,MASTER!$J:$J,0)),"mmddyy"),""),_xlpm.slot,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4" s="4" t="str">
        <f t="array" ref="F4">_xlfn.LET(_xlpm.pos,"Max Planck plate 1: "&amp;$A4&amp;F$2,_xlpm.normal,IFERROR(INDEX(MASTER!$A:$A,MATCH(_xlpm.pos,MASTER!$J:$J,0))&amp;"_ser_0.20_"&amp;TEXT(INDEX(MASTER!$E:$E,MATCH(_xlpm.pos,MASTER!$J:$J,0)),"mmddyy"),""),_xlpm.slot,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4" s="4" t="str">
        <f t="array" ref="G4">_xlfn.LET(_xlpm.pos,"Max Planck plate 1: "&amp;$A4&amp;G$2,_xlpm.normal,IFERROR(INDEX(MASTER!$A:$A,MATCH(_xlpm.pos,MASTER!$J:$J,0))&amp;"_ser_0.20_"&amp;TEXT(INDEX(MASTER!$E:$E,MATCH(_xlpm.pos,MASTER!$J:$J,0)),"mmddyy"),""),_xlpm.slot,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4" s="4" t="str">
        <f t="array" ref="H4">_xlfn.LET(_xlpm.pos,"Max Planck plate 1: "&amp;$A4&amp;H$2,_xlpm.normal,IFERROR(INDEX(MASTER!$A:$A,MATCH(_xlpm.pos,MASTER!$J:$J,0))&amp;"_ser_0.20_"&amp;TEXT(INDEX(MASTER!$E:$E,MATCH(_xlpm.pos,MASTER!$J:$J,0)),"mmddyy"),""),_xlpm.slot,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4" s="4" t="str">
        <f t="array" ref="I4">_xlfn.LET(_xlpm.pos,"Max Planck plate 1: "&amp;$A4&amp;I$2,_xlpm.normal,IFERROR(INDEX(MASTER!$A:$A,MATCH(_xlpm.pos,MASTER!$J:$J,0))&amp;"_ser_0.20_"&amp;TEXT(INDEX(MASTER!$E:$E,MATCH(_xlpm.pos,MASTER!$J:$J,0)),"mmddyy"),""),_xlpm.slot,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4" s="4" t="str">
        <f t="array" ref="J4">_xlfn.LET(_xlpm.pos,"Max Planck plate 1: "&amp;$A4&amp;J$2,_xlpm.normal,IFERROR(INDEX(MASTER!$A:$A,MATCH(_xlpm.pos,MASTER!$J:$J,0))&amp;"_ser_0.20_"&amp;TEXT(INDEX(MASTER!$E:$E,MATCH(_xlpm.pos,MASTER!$J:$J,0)),"mmddyy"),""),_xlpm.slot,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4" s="4" t="str">
        <f t="array" ref="K4">_xlfn.LET(_xlpm.pos,"Max Planck plate 1: "&amp;$A4&amp;K$2,_xlpm.normal,IFERROR(INDEX(MASTER!$A:$A,MATCH(_xlpm.pos,MASTER!$J:$J,0))&amp;"_ser_0.20_"&amp;TEXT(INDEX(MASTER!$E:$E,MATCH(_xlpm.pos,MASTER!$J:$J,0)),"mmddyy"),""),_xlpm.slot,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4" s="4" t="str">
        <f t="array" ref="L4">_xlfn.LET(_xlpm.pos,"Max Planck plate 1: "&amp;$A4&amp;L$2,_xlpm.normal,IFERROR(INDEX(MASTER!$A:$A,MATCH(_xlpm.pos,MASTER!$J:$J,0))&amp;"_ser_0.20_"&amp;TEXT(INDEX(MASTER!$E:$E,MATCH(_xlpm.pos,MASTER!$J:$J,0)),"mmddyy"),""),_xlpm.slot,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4" s="4" t="str">
        <f t="array" ref="M4">_xlfn.LET(_xlpm.pos,"Max Planck plate 1: "&amp;$A4&amp;M$2,_xlpm.normal,IFERROR(INDEX(MASTER!$A:$A,MATCH(_xlpm.pos,MASTER!$J:$J,0))&amp;"_ser_0.20_"&amp;TEXT(INDEX(MASTER!$E:$E,MATCH(_xlpm.pos,MASTER!$J:$J,0)),"mmddyy"),""),_xlpm.slot,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5" spans="1:13" ht="22" customHeight="1" x14ac:dyDescent="0.3">
      <c r="A5" s="6" t="s">
        <v>32</v>
      </c>
      <c r="B5" s="4" t="str">
        <f t="array" ref="B5">_xlfn.LET(_xlpm.pos,"Max Planck plate 1: "&amp;$A5&amp;B$2,_xlpm.normal,IFERROR(INDEX(MASTER!$A:$A,MATCH(_xlpm.pos,MASTER!$J:$J,0))&amp;"_ser_0.20_"&amp;TEXT(INDEX(MASTER!$E:$E,MATCH(_xlpm.pos,MASTER!$J:$J,0)),"mmddyy"),""),_xlpm.slot,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5" s="4" t="str">
        <f t="array" ref="C5">_xlfn.LET(_xlpm.pos,"Max Planck plate 1: "&amp;$A5&amp;C$2,_xlpm.normal,IFERROR(INDEX(MASTER!$A:$A,MATCH(_xlpm.pos,MASTER!$J:$J,0))&amp;"_ser_0.20_"&amp;TEXT(INDEX(MASTER!$E:$E,MATCH(_xlpm.pos,MASTER!$J:$J,0)),"mmddyy"),""),_xlpm.slot,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5" s="4" t="str">
        <f t="array" ref="D5">_xlfn.LET(_xlpm.pos,"Max Planck plate 1: "&amp;$A5&amp;D$2,_xlpm.normal,IFERROR(INDEX(MASTER!$A:$A,MATCH(_xlpm.pos,MASTER!$J:$J,0))&amp;"_ser_0.20_"&amp;TEXT(INDEX(MASTER!$E:$E,MATCH(_xlpm.pos,MASTER!$J:$J,0)),"mmddyy"),""),_xlpm.slot,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5" s="4" t="str">
        <f t="array" ref="E5">_xlfn.LET(_xlpm.pos,"Max Planck plate 1: "&amp;$A5&amp;E$2,_xlpm.normal,IFERROR(INDEX(MASTER!$A:$A,MATCH(_xlpm.pos,MASTER!$J:$J,0))&amp;"_ser_0.20_"&amp;TEXT(INDEX(MASTER!$E:$E,MATCH(_xlpm.pos,MASTER!$J:$J,0)),"mmddyy"),""),_xlpm.slot,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5" s="4" t="str">
        <f t="array" ref="F5">_xlfn.LET(_xlpm.pos,"Max Planck plate 1: "&amp;$A5&amp;F$2,_xlpm.normal,IFERROR(INDEX(MASTER!$A:$A,MATCH(_xlpm.pos,MASTER!$J:$J,0))&amp;"_ser_0.20_"&amp;TEXT(INDEX(MASTER!$E:$E,MATCH(_xlpm.pos,MASTER!$J:$J,0)),"mmddyy"),""),_xlpm.slot,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5" s="4" t="str">
        <f t="array" ref="G5">_xlfn.LET(_xlpm.pos,"Max Planck plate 1: "&amp;$A5&amp;G$2,_xlpm.normal,IFERROR(INDEX(MASTER!$A:$A,MATCH(_xlpm.pos,MASTER!$J:$J,0))&amp;"_ser_0.20_"&amp;TEXT(INDEX(MASTER!$E:$E,MATCH(_xlpm.pos,MASTER!$J:$J,0)),"mmddyy"),""),_xlpm.slot,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5" s="4" t="str">
        <f t="array" ref="H5">_xlfn.LET(_xlpm.pos,"Max Planck plate 1: "&amp;$A5&amp;H$2,_xlpm.normal,IFERROR(INDEX(MASTER!$A:$A,MATCH(_xlpm.pos,MASTER!$J:$J,0))&amp;"_ser_0.20_"&amp;TEXT(INDEX(MASTER!$E:$E,MATCH(_xlpm.pos,MASTER!$J:$J,0)),"mmddyy"),""),_xlpm.slot,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5" s="4" t="str">
        <f t="array" ref="I5">_xlfn.LET(_xlpm.pos,"Max Planck plate 1: "&amp;$A5&amp;I$2,_xlpm.normal,IFERROR(INDEX(MASTER!$A:$A,MATCH(_xlpm.pos,MASTER!$J:$J,0))&amp;"_ser_0.20_"&amp;TEXT(INDEX(MASTER!$E:$E,MATCH(_xlpm.pos,MASTER!$J:$J,0)),"mmddyy"),""),_xlpm.slot,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5" s="4" t="str">
        <f t="array" ref="J5">_xlfn.LET(_xlpm.pos,"Max Planck plate 1: "&amp;$A5&amp;J$2,_xlpm.normal,IFERROR(INDEX(MASTER!$A:$A,MATCH(_xlpm.pos,MASTER!$J:$J,0))&amp;"_ser_0.20_"&amp;TEXT(INDEX(MASTER!$E:$E,MATCH(_xlpm.pos,MASTER!$J:$J,0)),"mmddyy"),""),_xlpm.slot,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5" s="4" t="str">
        <f t="array" ref="K5">_xlfn.LET(_xlpm.pos,"Max Planck plate 1: "&amp;$A5&amp;K$2,_xlpm.normal,IFERROR(INDEX(MASTER!$A:$A,MATCH(_xlpm.pos,MASTER!$J:$J,0))&amp;"_ser_0.20_"&amp;TEXT(INDEX(MASTER!$E:$E,MATCH(_xlpm.pos,MASTER!$J:$J,0)),"mmddyy"),""),_xlpm.slot,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5" s="4" t="str">
        <f t="array" ref="L5">_xlfn.LET(_xlpm.pos,"Max Planck plate 1: "&amp;$A5&amp;L$2,_xlpm.normal,IFERROR(INDEX(MASTER!$A:$A,MATCH(_xlpm.pos,MASTER!$J:$J,0))&amp;"_ser_0.20_"&amp;TEXT(INDEX(MASTER!$E:$E,MATCH(_xlpm.pos,MASTER!$J:$J,0)),"mmddyy"),""),_xlpm.slot,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5" s="4" t="str">
        <f t="array" ref="M5">_xlfn.LET(_xlpm.pos,"Max Planck plate 1: "&amp;$A5&amp;M$2,_xlpm.normal,IFERROR(INDEX(MASTER!$A:$A,MATCH(_xlpm.pos,MASTER!$J:$J,0))&amp;"_ser_0.20_"&amp;TEXT(INDEX(MASTER!$E:$E,MATCH(_xlpm.pos,MASTER!$J:$J,0)),"mmddyy"),""),_xlpm.slot,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6" spans="1:13" ht="22" customHeight="1" x14ac:dyDescent="0.3">
      <c r="A6" s="6" t="s">
        <v>33</v>
      </c>
      <c r="B6" s="4" t="str">
        <f t="array" ref="B6">_xlfn.LET(_xlpm.pos,"Max Planck plate 1: "&amp;$A6&amp;B$2,_xlpm.normal,IFERROR(INDEX(MASTER!$A:$A,MATCH(_xlpm.pos,MASTER!$J:$J,0))&amp;"_ser_0.20_"&amp;TEXT(INDEX(MASTER!$E:$E,MATCH(_xlpm.pos,MASTER!$J:$J,0)),"mmddyy"),""),_xlpm.slot,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6" s="4" t="str">
        <f t="array" ref="C6">_xlfn.LET(_xlpm.pos,"Max Planck plate 1: "&amp;$A6&amp;C$2,_xlpm.normal,IFERROR(INDEX(MASTER!$A:$A,MATCH(_xlpm.pos,MASTER!$J:$J,0))&amp;"_ser_0.20_"&amp;TEXT(INDEX(MASTER!$E:$E,MATCH(_xlpm.pos,MASTER!$J:$J,0)),"mmddyy"),""),_xlpm.slot,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6" s="4" t="str">
        <f t="array" ref="D6">_xlfn.LET(_xlpm.pos,"Max Planck plate 1: "&amp;$A6&amp;D$2,_xlpm.normal,IFERROR(INDEX(MASTER!$A:$A,MATCH(_xlpm.pos,MASTER!$J:$J,0))&amp;"_ser_0.20_"&amp;TEXT(INDEX(MASTER!$E:$E,MATCH(_xlpm.pos,MASTER!$J:$J,0)),"mmddyy"),""),_xlpm.slot,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6" s="4" t="str">
        <f t="array" ref="E6">_xlfn.LET(_xlpm.pos,"Max Planck plate 1: "&amp;$A6&amp;E$2,_xlpm.normal,IFERROR(INDEX(MASTER!$A:$A,MATCH(_xlpm.pos,MASTER!$J:$J,0))&amp;"_ser_0.20_"&amp;TEXT(INDEX(MASTER!$E:$E,MATCH(_xlpm.pos,MASTER!$J:$J,0)),"mmddyy"),""),_xlpm.slot,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6" s="4" t="str">
        <f t="array" ref="F6">_xlfn.LET(_xlpm.pos,"Max Planck plate 1: "&amp;$A6&amp;F$2,_xlpm.normal,IFERROR(INDEX(MASTER!$A:$A,MATCH(_xlpm.pos,MASTER!$J:$J,0))&amp;"_ser_0.20_"&amp;TEXT(INDEX(MASTER!$E:$E,MATCH(_xlpm.pos,MASTER!$J:$J,0)),"mmddyy"),""),_xlpm.slot,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6" s="4" t="str">
        <f t="array" ref="G6">_xlfn.LET(_xlpm.pos,"Max Planck plate 1: "&amp;$A6&amp;G$2,_xlpm.normal,IFERROR(INDEX(MASTER!$A:$A,MATCH(_xlpm.pos,MASTER!$J:$J,0))&amp;"_ser_0.20_"&amp;TEXT(INDEX(MASTER!$E:$E,MATCH(_xlpm.pos,MASTER!$J:$J,0)),"mmddyy"),""),_xlpm.slot,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6" s="4" t="str">
        <f t="array" ref="H6">_xlfn.LET(_xlpm.pos,"Max Planck plate 1: "&amp;$A6&amp;H$2,_xlpm.normal,IFERROR(INDEX(MASTER!$A:$A,MATCH(_xlpm.pos,MASTER!$J:$J,0))&amp;"_ser_0.20_"&amp;TEXT(INDEX(MASTER!$E:$E,MATCH(_xlpm.pos,MASTER!$J:$J,0)),"mmddyy"),""),_xlpm.slot,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6" s="4" t="str">
        <f t="array" ref="I6">_xlfn.LET(_xlpm.pos,"Max Planck plate 1: "&amp;$A6&amp;I$2,_xlpm.normal,IFERROR(INDEX(MASTER!$A:$A,MATCH(_xlpm.pos,MASTER!$J:$J,0))&amp;"_ser_0.20_"&amp;TEXT(INDEX(MASTER!$E:$E,MATCH(_xlpm.pos,MASTER!$J:$J,0)),"mmddyy"),""),_xlpm.slot,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6" s="4" t="str">
        <f t="array" ref="J6">_xlfn.LET(_xlpm.pos,"Max Planck plate 1: "&amp;$A6&amp;J$2,_xlpm.normal,IFERROR(INDEX(MASTER!$A:$A,MATCH(_xlpm.pos,MASTER!$J:$J,0))&amp;"_ser_0.20_"&amp;TEXT(INDEX(MASTER!$E:$E,MATCH(_xlpm.pos,MASTER!$J:$J,0)),"mmddyy"),""),_xlpm.slot,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6" s="4" t="str">
        <f t="array" ref="K6">_xlfn.LET(_xlpm.pos,"Max Planck plate 1: "&amp;$A6&amp;K$2,_xlpm.normal,IFERROR(INDEX(MASTER!$A:$A,MATCH(_xlpm.pos,MASTER!$J:$J,0))&amp;"_ser_0.20_"&amp;TEXT(INDEX(MASTER!$E:$E,MATCH(_xlpm.pos,MASTER!$J:$J,0)),"mmddyy"),""),_xlpm.slot,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6" s="4" t="str">
        <f t="array" ref="L6">_xlfn.LET(_xlpm.pos,"Max Planck plate 1: "&amp;$A6&amp;L$2,_xlpm.normal,IFERROR(INDEX(MASTER!$A:$A,MATCH(_xlpm.pos,MASTER!$J:$J,0))&amp;"_ser_0.20_"&amp;TEXT(INDEX(MASTER!$E:$E,MATCH(_xlpm.pos,MASTER!$J:$J,0)),"mmddyy"),""),_xlpm.slot,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6" s="4" t="str">
        <f t="array" ref="M6">_xlfn.LET(_xlpm.pos,"Max Planck plate 1: "&amp;$A6&amp;M$2,_xlpm.normal,IFERROR(INDEX(MASTER!$A:$A,MATCH(_xlpm.pos,MASTER!$J:$J,0))&amp;"_ser_0.20_"&amp;TEXT(INDEX(MASTER!$E:$E,MATCH(_xlpm.pos,MASTER!$J:$J,0)),"mmddyy"),""),_xlpm.slot,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7" spans="1:13" ht="22" customHeight="1" x14ac:dyDescent="0.3">
      <c r="A7" s="6" t="s">
        <v>34</v>
      </c>
      <c r="B7" s="4" t="str">
        <f t="array" ref="B7">_xlfn.LET(_xlpm.pos,"Max Planck plate 1: "&amp;$A7&amp;B$2,_xlpm.normal,IFERROR(INDEX(MASTER!$A:$A,MATCH(_xlpm.pos,MASTER!$J:$J,0))&amp;"_ser_0.20_"&amp;TEXT(INDEX(MASTER!$E:$E,MATCH(_xlpm.pos,MASTER!$J:$J,0)),"mmddyy"),""),_xlpm.slot,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7" s="4" t="str">
        <f t="array" ref="C7">_xlfn.LET(_xlpm.pos,"Max Planck plate 1: "&amp;$A7&amp;C$2,_xlpm.normal,IFERROR(INDEX(MASTER!$A:$A,MATCH(_xlpm.pos,MASTER!$J:$J,0))&amp;"_ser_0.20_"&amp;TEXT(INDEX(MASTER!$E:$E,MATCH(_xlpm.pos,MASTER!$J:$J,0)),"mmddyy"),""),_xlpm.slot,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7" s="4" t="str">
        <f t="array" ref="D7">_xlfn.LET(_xlpm.pos,"Max Planck plate 1: "&amp;$A7&amp;D$2,_xlpm.normal,IFERROR(INDEX(MASTER!$A:$A,MATCH(_xlpm.pos,MASTER!$J:$J,0))&amp;"_ser_0.20_"&amp;TEXT(INDEX(MASTER!$E:$E,MATCH(_xlpm.pos,MASTER!$J:$J,0)),"mmddyy"),""),_xlpm.slot,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7" s="4" t="str">
        <f t="array" ref="E7">_xlfn.LET(_xlpm.pos,"Max Planck plate 1: "&amp;$A7&amp;E$2,_xlpm.normal,IFERROR(INDEX(MASTER!$A:$A,MATCH(_xlpm.pos,MASTER!$J:$J,0))&amp;"_ser_0.20_"&amp;TEXT(INDEX(MASTER!$E:$E,MATCH(_xlpm.pos,MASTER!$J:$J,0)),"mmddyy"),""),_xlpm.slot,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7" s="4" t="str">
        <f t="array" ref="F7">_xlfn.LET(_xlpm.pos,"Max Planck plate 1: "&amp;$A7&amp;F$2,_xlpm.normal,IFERROR(INDEX(MASTER!$A:$A,MATCH(_xlpm.pos,MASTER!$J:$J,0))&amp;"_ser_0.20_"&amp;TEXT(INDEX(MASTER!$E:$E,MATCH(_xlpm.pos,MASTER!$J:$J,0)),"mmddyy"),""),_xlpm.slot,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7" s="4" t="str">
        <f t="array" ref="G7">_xlfn.LET(_xlpm.pos,"Max Planck plate 1: "&amp;$A7&amp;G$2,_xlpm.normal,IFERROR(INDEX(MASTER!$A:$A,MATCH(_xlpm.pos,MASTER!$J:$J,0))&amp;"_ser_0.20_"&amp;TEXT(INDEX(MASTER!$E:$E,MATCH(_xlpm.pos,MASTER!$J:$J,0)),"mmddyy"),""),_xlpm.slot,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7" s="4" t="str">
        <f t="array" ref="H7">_xlfn.LET(_xlpm.pos,"Max Planck plate 1: "&amp;$A7&amp;H$2,_xlpm.normal,IFERROR(INDEX(MASTER!$A:$A,MATCH(_xlpm.pos,MASTER!$J:$J,0))&amp;"_ser_0.20_"&amp;TEXT(INDEX(MASTER!$E:$E,MATCH(_xlpm.pos,MASTER!$J:$J,0)),"mmddyy"),""),_xlpm.slot,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7" s="4" t="str">
        <f t="array" ref="I7">_xlfn.LET(_xlpm.pos,"Max Planck plate 1: "&amp;$A7&amp;I$2,_xlpm.normal,IFERROR(INDEX(MASTER!$A:$A,MATCH(_xlpm.pos,MASTER!$J:$J,0))&amp;"_ser_0.20_"&amp;TEXT(INDEX(MASTER!$E:$E,MATCH(_xlpm.pos,MASTER!$J:$J,0)),"mmddyy"),""),_xlpm.slot,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7" s="4" t="str">
        <f t="array" ref="J7">_xlfn.LET(_xlpm.pos,"Max Planck plate 1: "&amp;$A7&amp;J$2,_xlpm.normal,IFERROR(INDEX(MASTER!$A:$A,MATCH(_xlpm.pos,MASTER!$J:$J,0))&amp;"_ser_0.20_"&amp;TEXT(INDEX(MASTER!$E:$E,MATCH(_xlpm.pos,MASTER!$J:$J,0)),"mmddyy"),""),_xlpm.slot,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7" s="4" t="str">
        <f t="array" ref="K7">_xlfn.LET(_xlpm.pos,"Max Planck plate 1: "&amp;$A7&amp;K$2,_xlpm.normal,IFERROR(INDEX(MASTER!$A:$A,MATCH(_xlpm.pos,MASTER!$J:$J,0))&amp;"_ser_0.20_"&amp;TEXT(INDEX(MASTER!$E:$E,MATCH(_xlpm.pos,MASTER!$J:$J,0)),"mmddyy"),""),_xlpm.slot,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7" s="4" t="str">
        <f t="array" ref="L7">_xlfn.LET(_xlpm.pos,"Max Planck plate 1: "&amp;$A7&amp;L$2,_xlpm.normal,IFERROR(INDEX(MASTER!$A:$A,MATCH(_xlpm.pos,MASTER!$J:$J,0))&amp;"_ser_0.20_"&amp;TEXT(INDEX(MASTER!$E:$E,MATCH(_xlpm.pos,MASTER!$J:$J,0)),"mmddyy"),""),_xlpm.slot,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7" s="4" t="str">
        <f t="array" ref="M7">_xlfn.LET(_xlpm.pos,"Max Planck plate 1: "&amp;$A7&amp;M$2,_xlpm.normal,IFERROR(INDEX(MASTER!$A:$A,MATCH(_xlpm.pos,MASTER!$J:$J,0))&amp;"_ser_0.20_"&amp;TEXT(INDEX(MASTER!$E:$E,MATCH(_xlpm.pos,MASTER!$J:$J,0)),"mmddyy"),""),_xlpm.slot,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8" spans="1:13" ht="22" customHeight="1" x14ac:dyDescent="0.3">
      <c r="A8" s="6" t="s">
        <v>15</v>
      </c>
      <c r="B8" s="4" t="str">
        <f t="array" ref="B8">_xlfn.LET(_xlpm.pos,"Max Planck plate 1: "&amp;$A8&amp;B$2,_xlpm.normal,IFERROR(INDEX(MASTER!$A:$A,MATCH(_xlpm.pos,MASTER!$J:$J,0))&amp;"_ser_0.20_"&amp;TEXT(INDEX(MASTER!$E:$E,MATCH(_xlpm.pos,MASTER!$J:$J,0)),"mmddyy"),""),_xlpm.slot,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8" s="4" t="str">
        <f t="array" ref="C8">_xlfn.LET(_xlpm.pos,"Max Planck plate 1: "&amp;$A8&amp;C$2,_xlpm.normal,IFERROR(INDEX(MASTER!$A:$A,MATCH(_xlpm.pos,MASTER!$J:$J,0))&amp;"_ser_0.20_"&amp;TEXT(INDEX(MASTER!$E:$E,MATCH(_xlpm.pos,MASTER!$J:$J,0)),"mmddyy"),""),_xlpm.slot,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8" s="4" t="str">
        <f t="array" ref="D8">_xlfn.LET(_xlpm.pos,"Max Planck plate 1: "&amp;$A8&amp;D$2,_xlpm.normal,IFERROR(INDEX(MASTER!$A:$A,MATCH(_xlpm.pos,MASTER!$J:$J,0))&amp;"_ser_0.20_"&amp;TEXT(INDEX(MASTER!$E:$E,MATCH(_xlpm.pos,MASTER!$J:$J,0)),"mmddyy"),""),_xlpm.slot,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8" s="4" t="str">
        <f t="array" ref="E8">_xlfn.LET(_xlpm.pos,"Max Planck plate 1: "&amp;$A8&amp;E$2,_xlpm.normal,IFERROR(INDEX(MASTER!$A:$A,MATCH(_xlpm.pos,MASTER!$J:$J,0))&amp;"_ser_0.20_"&amp;TEXT(INDEX(MASTER!$E:$E,MATCH(_xlpm.pos,MASTER!$J:$J,0)),"mmddyy"),""),_xlpm.slot,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8" s="4" t="str">
        <f t="array" ref="F8">_xlfn.LET(_xlpm.pos,"Max Planck plate 1: "&amp;$A8&amp;F$2,_xlpm.normal,IFERROR(INDEX(MASTER!$A:$A,MATCH(_xlpm.pos,MASTER!$J:$J,0))&amp;"_ser_0.20_"&amp;TEXT(INDEX(MASTER!$E:$E,MATCH(_xlpm.pos,MASTER!$J:$J,0)),"mmddyy"),""),_xlpm.slot,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8" s="4" t="str">
        <f t="array" ref="G8">_xlfn.LET(_xlpm.pos,"Max Planck plate 1: "&amp;$A8&amp;G$2,_xlpm.normal,IFERROR(INDEX(MASTER!$A:$A,MATCH(_xlpm.pos,MASTER!$J:$J,0))&amp;"_ser_0.20_"&amp;TEXT(INDEX(MASTER!$E:$E,MATCH(_xlpm.pos,MASTER!$J:$J,0)),"mmddyy"),""),_xlpm.slot,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8" s="4" t="str">
        <f t="array" ref="H8">_xlfn.LET(_xlpm.pos,"Max Planck plate 1: "&amp;$A8&amp;H$2,_xlpm.normal,IFERROR(INDEX(MASTER!$A:$A,MATCH(_xlpm.pos,MASTER!$J:$J,0))&amp;"_ser_0.20_"&amp;TEXT(INDEX(MASTER!$E:$E,MATCH(_xlpm.pos,MASTER!$J:$J,0)),"mmddyy"),""),_xlpm.slot,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8" s="4" t="str">
        <f t="array" ref="I8">_xlfn.LET(_xlpm.pos,"Max Planck plate 1: "&amp;$A8&amp;I$2,_xlpm.normal,IFERROR(INDEX(MASTER!$A:$A,MATCH(_xlpm.pos,MASTER!$J:$J,0))&amp;"_ser_0.20_"&amp;TEXT(INDEX(MASTER!$E:$E,MATCH(_xlpm.pos,MASTER!$J:$J,0)),"mmddyy"),""),_xlpm.slot,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8" s="4" t="str">
        <f t="array" ref="J8">_xlfn.LET(_xlpm.pos,"Max Planck plate 1: "&amp;$A8&amp;J$2,_xlpm.normal,IFERROR(INDEX(MASTER!$A:$A,MATCH(_xlpm.pos,MASTER!$J:$J,0))&amp;"_ser_0.20_"&amp;TEXT(INDEX(MASTER!$E:$E,MATCH(_xlpm.pos,MASTER!$J:$J,0)),"mmddyy"),""),_xlpm.slot,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8" s="4" t="str">
        <f t="array" ref="K8">_xlfn.LET(_xlpm.pos,"Max Planck plate 1: "&amp;$A8&amp;K$2,_xlpm.normal,IFERROR(INDEX(MASTER!$A:$A,MATCH(_xlpm.pos,MASTER!$J:$J,0))&amp;"_ser_0.20_"&amp;TEXT(INDEX(MASTER!$E:$E,MATCH(_xlpm.pos,MASTER!$J:$J,0)),"mmddyy"),""),_xlpm.slot,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8" s="4" t="str">
        <f t="array" ref="L8">_xlfn.LET(_xlpm.pos,"Max Planck plate 1: "&amp;$A8&amp;L$2,_xlpm.normal,IFERROR(INDEX(MASTER!$A:$A,MATCH(_xlpm.pos,MASTER!$J:$J,0))&amp;"_ser_0.20_"&amp;TEXT(INDEX(MASTER!$E:$E,MATCH(_xlpm.pos,MASTER!$J:$J,0)),"mmddyy"),""),_xlpm.slot,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8" s="4" t="str">
        <f t="array" ref="M8">_xlfn.LET(_xlpm.pos,"Max Planck plate 1: "&amp;$A8&amp;M$2,_xlpm.normal,IFERROR(INDEX(MASTER!$A:$A,MATCH(_xlpm.pos,MASTER!$J:$J,0))&amp;"_ser_0.20_"&amp;TEXT(INDEX(MASTER!$E:$E,MATCH(_xlpm.pos,MASTER!$J:$J,0)),"mmddyy"),""),_xlpm.slot,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9" spans="1:13" ht="22" customHeight="1" x14ac:dyDescent="0.3">
      <c r="A9" s="6" t="s">
        <v>35</v>
      </c>
      <c r="B9" s="4" t="str">
        <f t="array" ref="B9">_xlfn.LET(_xlpm.pos,"Max Planck plate 1: "&amp;$A9&amp;B$2,_xlpm.normal,IFERROR(INDEX(MASTER!$A:$A,MATCH(_xlpm.pos,MASTER!$J:$J,0))&amp;"_ser_0.20_"&amp;TEXT(INDEX(MASTER!$E:$E,MATCH(_xlpm.pos,MASTER!$J:$J,0)),"mmddyy"),""),_xlpm.slot,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9" s="4" t="str">
        <f t="array" ref="C9">_xlfn.LET(_xlpm.pos,"Max Planck plate 1: "&amp;$A9&amp;C$2,_xlpm.normal,IFERROR(INDEX(MASTER!$A:$A,MATCH(_xlpm.pos,MASTER!$J:$J,0))&amp;"_ser_0.20_"&amp;TEXT(INDEX(MASTER!$E:$E,MATCH(_xlpm.pos,MASTER!$J:$J,0)),"mmddyy"),""),_xlpm.slot,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9" s="4" t="str">
        <f t="array" ref="D9">_xlfn.LET(_xlpm.pos,"Max Planck plate 1: "&amp;$A9&amp;D$2,_xlpm.normal,IFERROR(INDEX(MASTER!$A:$A,MATCH(_xlpm.pos,MASTER!$J:$J,0))&amp;"_ser_0.20_"&amp;TEXT(INDEX(MASTER!$E:$E,MATCH(_xlpm.pos,MASTER!$J:$J,0)),"mmddyy"),""),_xlpm.slot,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9" s="4" t="str">
        <f t="array" ref="E9">_xlfn.LET(_xlpm.pos,"Max Planck plate 1: "&amp;$A9&amp;E$2,_xlpm.normal,IFERROR(INDEX(MASTER!$A:$A,MATCH(_xlpm.pos,MASTER!$J:$J,0))&amp;"_ser_0.20_"&amp;TEXT(INDEX(MASTER!$E:$E,MATCH(_xlpm.pos,MASTER!$J:$J,0)),"mmddyy"),""),_xlpm.slot,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9" s="4" t="str">
        <f t="array" ref="F9">_xlfn.LET(_xlpm.pos,"Max Planck plate 1: "&amp;$A9&amp;F$2,_xlpm.normal,IFERROR(INDEX(MASTER!$A:$A,MATCH(_xlpm.pos,MASTER!$J:$J,0))&amp;"_ser_0.20_"&amp;TEXT(INDEX(MASTER!$E:$E,MATCH(_xlpm.pos,MASTER!$J:$J,0)),"mmddyy"),""),_xlpm.slot,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9" s="4" t="str">
        <f t="array" ref="G9">_xlfn.LET(_xlpm.pos,"Max Planck plate 1: "&amp;$A9&amp;G$2,_xlpm.normal,IFERROR(INDEX(MASTER!$A:$A,MATCH(_xlpm.pos,MASTER!$J:$J,0))&amp;"_ser_0.20_"&amp;TEXT(INDEX(MASTER!$E:$E,MATCH(_xlpm.pos,MASTER!$J:$J,0)),"mmddyy"),""),_xlpm.slot,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9" s="4" t="str">
        <f t="array" ref="H9">_xlfn.LET(_xlpm.pos,"Max Planck plate 1: "&amp;$A9&amp;H$2,_xlpm.normal,IFERROR(INDEX(MASTER!$A:$A,MATCH(_xlpm.pos,MASTER!$J:$J,0))&amp;"_ser_0.20_"&amp;TEXT(INDEX(MASTER!$E:$E,MATCH(_xlpm.pos,MASTER!$J:$J,0)),"mmddyy"),""),_xlpm.slot,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9" s="4" t="str">
        <f t="array" ref="I9">_xlfn.LET(_xlpm.pos,"Max Planck plate 1: "&amp;$A9&amp;I$2,_xlpm.normal,IFERROR(INDEX(MASTER!$A:$A,MATCH(_xlpm.pos,MASTER!$J:$J,0))&amp;"_ser_0.20_"&amp;TEXT(INDEX(MASTER!$E:$E,MATCH(_xlpm.pos,MASTER!$J:$J,0)),"mmddyy"),""),_xlpm.slot,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9" s="4" t="str">
        <f t="array" ref="J9">_xlfn.LET(_xlpm.pos,"Max Planck plate 1: "&amp;$A9&amp;J$2,_xlpm.normal,IFERROR(INDEX(MASTER!$A:$A,MATCH(_xlpm.pos,MASTER!$J:$J,0))&amp;"_ser_0.20_"&amp;TEXT(INDEX(MASTER!$E:$E,MATCH(_xlpm.pos,MASTER!$J:$J,0)),"mmddyy"),""),_xlpm.slot,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9" s="4" t="str">
        <f t="array" ref="K9">_xlfn.LET(_xlpm.pos,"Max Planck plate 1: "&amp;$A9&amp;K$2,_xlpm.normal,IFERROR(INDEX(MASTER!$A:$A,MATCH(_xlpm.pos,MASTER!$J:$J,0))&amp;"_ser_0.20_"&amp;TEXT(INDEX(MASTER!$E:$E,MATCH(_xlpm.pos,MASTER!$J:$J,0)),"mmddyy"),""),_xlpm.slot,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9" s="4" t="str">
        <f t="array" ref="L9">_xlfn.LET(_xlpm.pos,"Max Planck plate 1: "&amp;$A9&amp;L$2,_xlpm.normal,IFERROR(INDEX(MASTER!$A:$A,MATCH(_xlpm.pos,MASTER!$J:$J,0))&amp;"_ser_0.20_"&amp;TEXT(INDEX(MASTER!$E:$E,MATCH(_xlpm.pos,MASTER!$J:$J,0)),"mmddyy"),""),_xlpm.slot,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9" s="4" t="str">
        <f t="array" ref="M9">_xlfn.LET(_xlpm.pos,"Max Planck plate 1: "&amp;$A9&amp;M$2,_xlpm.normal,IFERROR(INDEX(MASTER!$A:$A,MATCH(_xlpm.pos,MASTER!$J:$J,0))&amp;"_ser_0.20_"&amp;TEXT(INDEX(MASTER!$E:$E,MATCH(_xlpm.pos,MASTER!$J:$J,0)),"mmddyy"),""),_xlpm.slot,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0" spans="1:13" ht="22" customHeight="1" x14ac:dyDescent="0.3">
      <c r="A10" s="6" t="s">
        <v>36</v>
      </c>
      <c r="B10" s="4" t="str">
        <f t="array" ref="B10">_xlfn.LET(_xlpm.pos,"Max Planck plate 1: "&amp;$A10&amp;B$2,_xlpm.normal,IFERROR(INDEX(MASTER!$A:$A,MATCH(_xlpm.pos,MASTER!$J:$J,0))&amp;"_ser_0.20_"&amp;TEXT(INDEX(MASTER!$E:$E,MATCH(_xlpm.pos,MASTER!$J:$J,0)),"mmddyy"),""),_xlpm.slot,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0" s="4" t="str">
        <f t="array" ref="C10">_xlfn.LET(_xlpm.pos,"Max Planck plate 1: "&amp;$A10&amp;C$2,_xlpm.normal,IFERROR(INDEX(MASTER!$A:$A,MATCH(_xlpm.pos,MASTER!$J:$J,0))&amp;"_ser_0.20_"&amp;TEXT(INDEX(MASTER!$E:$E,MATCH(_xlpm.pos,MASTER!$J:$J,0)),"mmddyy"),""),_xlpm.slot,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0" s="4" t="str">
        <f t="array" ref="D10">_xlfn.LET(_xlpm.pos,"Max Planck plate 1: "&amp;$A10&amp;D$2,_xlpm.normal,IFERROR(INDEX(MASTER!$A:$A,MATCH(_xlpm.pos,MASTER!$J:$J,0))&amp;"_ser_0.20_"&amp;TEXT(INDEX(MASTER!$E:$E,MATCH(_xlpm.pos,MASTER!$J:$J,0)),"mmddyy"),""),_xlpm.slot,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0" s="4" t="str">
        <f t="array" ref="E10">_xlfn.LET(_xlpm.pos,"Max Planck plate 1: "&amp;$A10&amp;E$2,_xlpm.normal,IFERROR(INDEX(MASTER!$A:$A,MATCH(_xlpm.pos,MASTER!$J:$J,0))&amp;"_ser_0.20_"&amp;TEXT(INDEX(MASTER!$E:$E,MATCH(_xlpm.pos,MASTER!$J:$J,0)),"mmddyy"),""),_xlpm.slot,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0" s="4" t="str">
        <f t="array" ref="F10">_xlfn.LET(_xlpm.pos,"Max Planck plate 1: "&amp;$A10&amp;F$2,_xlpm.normal,IFERROR(INDEX(MASTER!$A:$A,MATCH(_xlpm.pos,MASTER!$J:$J,0))&amp;"_ser_0.20_"&amp;TEXT(INDEX(MASTER!$E:$E,MATCH(_xlpm.pos,MASTER!$J:$J,0)),"mmddyy"),""),_xlpm.slot,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0" s="4" t="str">
        <f t="array" ref="G10">_xlfn.LET(_xlpm.pos,"Max Planck plate 1: "&amp;$A10&amp;G$2,_xlpm.normal,IFERROR(INDEX(MASTER!$A:$A,MATCH(_xlpm.pos,MASTER!$J:$J,0))&amp;"_ser_0.20_"&amp;TEXT(INDEX(MASTER!$E:$E,MATCH(_xlpm.pos,MASTER!$J:$J,0)),"mmddyy"),""),_xlpm.slot,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0" s="4" t="str">
        <f t="array" ref="H10">_xlfn.LET(_xlpm.pos,"Max Planck plate 1: "&amp;$A10&amp;H$2,_xlpm.normal,IFERROR(INDEX(MASTER!$A:$A,MATCH(_xlpm.pos,MASTER!$J:$J,0))&amp;"_ser_0.20_"&amp;TEXT(INDEX(MASTER!$E:$E,MATCH(_xlpm.pos,MASTER!$J:$J,0)),"mmddyy"),""),_xlpm.slot,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0" s="4" t="str">
        <f t="array" ref="I10">_xlfn.LET(_xlpm.pos,"Max Planck plate 1: "&amp;$A10&amp;I$2,_xlpm.normal,IFERROR(INDEX(MASTER!$A:$A,MATCH(_xlpm.pos,MASTER!$J:$J,0))&amp;"_ser_0.20_"&amp;TEXT(INDEX(MASTER!$E:$E,MATCH(_xlpm.pos,MASTER!$J:$J,0)),"mmddyy"),""),_xlpm.slot,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0" s="4" t="str">
        <f t="array" ref="J10">_xlfn.LET(_xlpm.pos,"Max Planck plate 1: "&amp;$A10&amp;J$2,_xlpm.normal,IFERROR(INDEX(MASTER!$A:$A,MATCH(_xlpm.pos,MASTER!$J:$J,0))&amp;"_ser_0.20_"&amp;TEXT(INDEX(MASTER!$E:$E,MATCH(_xlpm.pos,MASTER!$J:$J,0)),"mmddyy"),""),_xlpm.slot,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0" s="4" t="str">
        <f t="array" ref="K10">_xlfn.LET(_xlpm.pos,"Max Planck plate 1: "&amp;$A10&amp;K$2,_xlpm.normal,IFERROR(INDEX(MASTER!$A:$A,MATCH(_xlpm.pos,MASTER!$J:$J,0))&amp;"_ser_0.20_"&amp;TEXT(INDEX(MASTER!$E:$E,MATCH(_xlpm.pos,MASTER!$J:$J,0)),"mmddyy"),""),_xlpm.slot,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0" s="4" t="str">
        <f t="array" ref="L10">_xlfn.LET(_xlpm.pos,"Max Planck plate 1: "&amp;$A10&amp;L$2,_xlpm.normal,IFERROR(INDEX(MASTER!$A:$A,MATCH(_xlpm.pos,MASTER!$J:$J,0))&amp;"_ser_0.20_"&amp;TEXT(INDEX(MASTER!$E:$E,MATCH(_xlpm.pos,MASTER!$J:$J,0)),"mmddyy"),""),_xlpm.slot,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0" s="4" t="str">
        <f t="array" ref="M10">_xlfn.LET(_xlpm.pos,"Max Planck plate 1: "&amp;$A10&amp;M$2,_xlpm.normal,IFERROR(INDEX(MASTER!$A:$A,MATCH(_xlpm.pos,MASTER!$J:$J,0))&amp;"_ser_0.20_"&amp;TEXT(INDEX(MASTER!$E:$E,MATCH(_xlpm.pos,MASTER!$J:$J,0)),"mmddyy"),""),_xlpm.slot,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1" spans="1:13" ht="22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22" customHeight="1" x14ac:dyDescent="0.35">
      <c r="A12" s="5"/>
      <c r="B12" s="31" t="s">
        <v>79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</row>
    <row r="13" spans="1:13" ht="22" customHeight="1" x14ac:dyDescent="0.3">
      <c r="A13" s="5"/>
      <c r="B13" s="6">
        <v>1</v>
      </c>
      <c r="C13" s="6">
        <v>2</v>
      </c>
      <c r="D13" s="6">
        <v>3</v>
      </c>
      <c r="E13" s="6">
        <v>4</v>
      </c>
      <c r="F13" s="6">
        <v>5</v>
      </c>
      <c r="G13" s="6">
        <v>6</v>
      </c>
      <c r="H13" s="6">
        <v>7</v>
      </c>
      <c r="I13" s="6">
        <v>8</v>
      </c>
      <c r="J13" s="6">
        <v>9</v>
      </c>
      <c r="K13" s="6">
        <v>10</v>
      </c>
      <c r="L13" s="6">
        <v>11</v>
      </c>
      <c r="M13" s="6">
        <v>12</v>
      </c>
    </row>
    <row r="14" spans="1:13" ht="22" customHeight="1" x14ac:dyDescent="0.3">
      <c r="A14" s="6" t="s">
        <v>30</v>
      </c>
      <c r="B14" s="4" t="str">
        <f t="array" ref="B14">_xlfn.LET(_xlpm.pos,"Max Planck plate 2: "&amp;$A3&amp;B$2,_xlpm.normal,IFERROR(INDEX(MASTER!$A:$A,MATCH(_xlpm.pos,MASTER!$J:$J,0))&amp;"_ser_0.20_"&amp;TEXT(INDEX(MASTER!$E:$E,MATCH(_xlpm.pos,MASTER!$J:$J,0)),"mmddyy"),""),_xlpm.slot,96+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4" s="4" t="str">
        <f t="array" ref="C14">_xlfn.LET(_xlpm.pos,"Max Planck plate 2: "&amp;$A3&amp;C$2,_xlpm.normal,IFERROR(INDEX(MASTER!$A:$A,MATCH(_xlpm.pos,MASTER!$J:$J,0))&amp;"_ser_0.20_"&amp;TEXT(INDEX(MASTER!$E:$E,MATCH(_xlpm.pos,MASTER!$J:$J,0)),"mmddyy"),""),_xlpm.slot,96+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4" s="4" t="str">
        <f t="array" ref="D14">_xlfn.LET(_xlpm.pos,"Max Planck plate 2: "&amp;$A3&amp;D$2,_xlpm.normal,IFERROR(INDEX(MASTER!$A:$A,MATCH(_xlpm.pos,MASTER!$J:$J,0))&amp;"_ser_0.20_"&amp;TEXT(INDEX(MASTER!$E:$E,MATCH(_xlpm.pos,MASTER!$J:$J,0)),"mmddyy"),""),_xlpm.slot,96+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4" s="4" t="str">
        <f t="array" ref="E14">_xlfn.LET(_xlpm.pos,"Max Planck plate 2: "&amp;$A3&amp;E$2,_xlpm.normal,IFERROR(INDEX(MASTER!$A:$A,MATCH(_xlpm.pos,MASTER!$J:$J,0))&amp;"_ser_0.20_"&amp;TEXT(INDEX(MASTER!$E:$E,MATCH(_xlpm.pos,MASTER!$J:$J,0)),"mmddyy"),""),_xlpm.slot,96+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4" s="4" t="str">
        <f t="array" ref="F14">_xlfn.LET(_xlpm.pos,"Max Planck plate 2: "&amp;$A3&amp;F$2,_xlpm.normal,IFERROR(INDEX(MASTER!$A:$A,MATCH(_xlpm.pos,MASTER!$J:$J,0))&amp;"_ser_0.20_"&amp;TEXT(INDEX(MASTER!$E:$E,MATCH(_xlpm.pos,MASTER!$J:$J,0)),"mmddyy"),""),_xlpm.slot,96+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4" s="4" t="str">
        <f t="array" ref="G14">_xlfn.LET(_xlpm.pos,"Max Planck plate 2: "&amp;$A3&amp;G$2,_xlpm.normal,IFERROR(INDEX(MASTER!$A:$A,MATCH(_xlpm.pos,MASTER!$J:$J,0))&amp;"_ser_0.20_"&amp;TEXT(INDEX(MASTER!$E:$E,MATCH(_xlpm.pos,MASTER!$J:$J,0)),"mmddyy"),""),_xlpm.slot,96+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4" s="4" t="str">
        <f t="array" ref="H14">_xlfn.LET(_xlpm.pos,"Max Planck plate 2: "&amp;$A3&amp;H$2,_xlpm.normal,IFERROR(INDEX(MASTER!$A:$A,MATCH(_xlpm.pos,MASTER!$J:$J,0))&amp;"_ser_0.20_"&amp;TEXT(INDEX(MASTER!$E:$E,MATCH(_xlpm.pos,MASTER!$J:$J,0)),"mmddyy"),""),_xlpm.slot,96+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4" s="4" t="str">
        <f t="array" ref="I14">_xlfn.LET(_xlpm.pos,"Max Planck plate 2: "&amp;$A3&amp;I$2,_xlpm.normal,IFERROR(INDEX(MASTER!$A:$A,MATCH(_xlpm.pos,MASTER!$J:$J,0))&amp;"_ser_0.20_"&amp;TEXT(INDEX(MASTER!$E:$E,MATCH(_xlpm.pos,MASTER!$J:$J,0)),"mmddyy"),""),_xlpm.slot,96+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4" s="4" t="str">
        <f t="array" ref="J14">_xlfn.LET(_xlpm.pos,"Max Planck plate 2: "&amp;$A3&amp;J$2,_xlpm.normal,IFERROR(INDEX(MASTER!$A:$A,MATCH(_xlpm.pos,MASTER!$J:$J,0))&amp;"_ser_0.20_"&amp;TEXT(INDEX(MASTER!$E:$E,MATCH(_xlpm.pos,MASTER!$J:$J,0)),"mmddyy"),""),_xlpm.slot,96+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4" s="4" t="str">
        <f t="array" ref="K14">_xlfn.LET(_xlpm.pos,"Max Planck plate 2: "&amp;$A3&amp;K$2,_xlpm.normal,IFERROR(INDEX(MASTER!$A:$A,MATCH(_xlpm.pos,MASTER!$J:$J,0))&amp;"_ser_0.20_"&amp;TEXT(INDEX(MASTER!$E:$E,MATCH(_xlpm.pos,MASTER!$J:$J,0)),"mmddyy"),""),_xlpm.slot,96+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4" s="4" t="str">
        <f t="array" ref="L14">_xlfn.LET(_xlpm.pos,"Max Planck plate 2: "&amp;$A3&amp;L$2,_xlpm.normal,IFERROR(INDEX(MASTER!$A:$A,MATCH(_xlpm.pos,MASTER!$J:$J,0))&amp;"_ser_0.20_"&amp;TEXT(INDEX(MASTER!$E:$E,MATCH(_xlpm.pos,MASTER!$J:$J,0)),"mmddyy"),""),_xlpm.slot,96+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4" s="4" t="str">
        <f t="array" ref="M14">_xlfn.LET(_xlpm.pos,"Max Planck plate 2: "&amp;$A3&amp;M$2,_xlpm.normal,IFERROR(INDEX(MASTER!$A:$A,MATCH(_xlpm.pos,MASTER!$J:$J,0))&amp;"_ser_0.20_"&amp;TEXT(INDEX(MASTER!$E:$E,MATCH(_xlpm.pos,MASTER!$J:$J,0)),"mmddyy"),""),_xlpm.slot,96+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5" spans="1:13" ht="22" customHeight="1" x14ac:dyDescent="0.3">
      <c r="A15" s="6" t="s">
        <v>31</v>
      </c>
      <c r="B15" s="4" t="str">
        <f t="array" ref="B15">_xlfn.LET(_xlpm.pos,"Max Planck plate 2: "&amp;$A4&amp;B$2,_xlpm.normal,IFERROR(INDEX(MASTER!$A:$A,MATCH(_xlpm.pos,MASTER!$J:$J,0))&amp;"_ser_0.20_"&amp;TEXT(INDEX(MASTER!$E:$E,MATCH(_xlpm.pos,MASTER!$J:$J,0)),"mmddyy"),""),_xlpm.slot,96+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5" s="4" t="str">
        <f t="array" ref="C15">_xlfn.LET(_xlpm.pos,"Max Planck plate 2: "&amp;$A4&amp;C$2,_xlpm.normal,IFERROR(INDEX(MASTER!$A:$A,MATCH(_xlpm.pos,MASTER!$J:$J,0))&amp;"_ser_0.20_"&amp;TEXT(INDEX(MASTER!$E:$E,MATCH(_xlpm.pos,MASTER!$J:$J,0)),"mmddyy"),""),_xlpm.slot,96+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5" s="4" t="str">
        <f t="array" ref="D15">_xlfn.LET(_xlpm.pos,"Max Planck plate 2: "&amp;$A4&amp;D$2,_xlpm.normal,IFERROR(INDEX(MASTER!$A:$A,MATCH(_xlpm.pos,MASTER!$J:$J,0))&amp;"_ser_0.20_"&amp;TEXT(INDEX(MASTER!$E:$E,MATCH(_xlpm.pos,MASTER!$J:$J,0)),"mmddyy"),""),_xlpm.slot,96+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5" s="4" t="str">
        <f t="array" ref="E15">_xlfn.LET(_xlpm.pos,"Max Planck plate 2: "&amp;$A4&amp;E$2,_xlpm.normal,IFERROR(INDEX(MASTER!$A:$A,MATCH(_xlpm.pos,MASTER!$J:$J,0))&amp;"_ser_0.20_"&amp;TEXT(INDEX(MASTER!$E:$E,MATCH(_xlpm.pos,MASTER!$J:$J,0)),"mmddyy"),""),_xlpm.slot,96+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5" s="4" t="str">
        <f t="array" ref="F15">_xlfn.LET(_xlpm.pos,"Max Planck plate 2: "&amp;$A4&amp;F$2,_xlpm.normal,IFERROR(INDEX(MASTER!$A:$A,MATCH(_xlpm.pos,MASTER!$J:$J,0))&amp;"_ser_0.20_"&amp;TEXT(INDEX(MASTER!$E:$E,MATCH(_xlpm.pos,MASTER!$J:$J,0)),"mmddyy"),""),_xlpm.slot,96+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5" s="4" t="str">
        <f t="array" ref="G15">_xlfn.LET(_xlpm.pos,"Max Planck plate 2: "&amp;$A4&amp;G$2,_xlpm.normal,IFERROR(INDEX(MASTER!$A:$A,MATCH(_xlpm.pos,MASTER!$J:$J,0))&amp;"_ser_0.20_"&amp;TEXT(INDEX(MASTER!$E:$E,MATCH(_xlpm.pos,MASTER!$J:$J,0)),"mmddyy"),""),_xlpm.slot,96+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5" s="4" t="str">
        <f t="array" ref="H15">_xlfn.LET(_xlpm.pos,"Max Planck plate 2: "&amp;$A4&amp;H$2,_xlpm.normal,IFERROR(INDEX(MASTER!$A:$A,MATCH(_xlpm.pos,MASTER!$J:$J,0))&amp;"_ser_0.20_"&amp;TEXT(INDEX(MASTER!$E:$E,MATCH(_xlpm.pos,MASTER!$J:$J,0)),"mmddyy"),""),_xlpm.slot,96+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5" s="4" t="str">
        <f t="array" ref="I15">_xlfn.LET(_xlpm.pos,"Max Planck plate 2: "&amp;$A4&amp;I$2,_xlpm.normal,IFERROR(INDEX(MASTER!$A:$A,MATCH(_xlpm.pos,MASTER!$J:$J,0))&amp;"_ser_0.20_"&amp;TEXT(INDEX(MASTER!$E:$E,MATCH(_xlpm.pos,MASTER!$J:$J,0)),"mmddyy"),""),_xlpm.slot,96+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5" s="4" t="str">
        <f t="array" ref="J15">_xlfn.LET(_xlpm.pos,"Max Planck plate 2: "&amp;$A4&amp;J$2,_xlpm.normal,IFERROR(INDEX(MASTER!$A:$A,MATCH(_xlpm.pos,MASTER!$J:$J,0))&amp;"_ser_0.20_"&amp;TEXT(INDEX(MASTER!$E:$E,MATCH(_xlpm.pos,MASTER!$J:$J,0)),"mmddyy"),""),_xlpm.slot,96+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5" s="4" t="str">
        <f t="array" ref="K15">_xlfn.LET(_xlpm.pos,"Max Planck plate 2: "&amp;$A4&amp;K$2,_xlpm.normal,IFERROR(INDEX(MASTER!$A:$A,MATCH(_xlpm.pos,MASTER!$J:$J,0))&amp;"_ser_0.20_"&amp;TEXT(INDEX(MASTER!$E:$E,MATCH(_xlpm.pos,MASTER!$J:$J,0)),"mmddyy"),""),_xlpm.slot,96+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5" s="4" t="str">
        <f t="array" ref="L15">_xlfn.LET(_xlpm.pos,"Max Planck plate 2: "&amp;$A4&amp;L$2,_xlpm.normal,IFERROR(INDEX(MASTER!$A:$A,MATCH(_xlpm.pos,MASTER!$J:$J,0))&amp;"_ser_0.20_"&amp;TEXT(INDEX(MASTER!$E:$E,MATCH(_xlpm.pos,MASTER!$J:$J,0)),"mmddyy"),""),_xlpm.slot,96+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5" s="4" t="str">
        <f t="array" ref="M15">_xlfn.LET(_xlpm.pos,"Max Planck plate 2: "&amp;$A4&amp;M$2,_xlpm.normal,IFERROR(INDEX(MASTER!$A:$A,MATCH(_xlpm.pos,MASTER!$J:$J,0))&amp;"_ser_0.20_"&amp;TEXT(INDEX(MASTER!$E:$E,MATCH(_xlpm.pos,MASTER!$J:$J,0)),"mmddyy"),""),_xlpm.slot,96+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6" spans="1:13" ht="22" customHeight="1" x14ac:dyDescent="0.3">
      <c r="A16" s="6" t="s">
        <v>32</v>
      </c>
      <c r="B16" s="4" t="str">
        <f t="array" ref="B16">_xlfn.LET(_xlpm.pos,"Max Planck plate 2: "&amp;$A5&amp;B$2,_xlpm.normal,IFERROR(INDEX(MASTER!$A:$A,MATCH(_xlpm.pos,MASTER!$J:$J,0))&amp;"_ser_0.20_"&amp;TEXT(INDEX(MASTER!$E:$E,MATCH(_xlpm.pos,MASTER!$J:$J,0)),"mmddyy"),""),_xlpm.slot,96+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6" s="4" t="str">
        <f t="array" ref="C16">_xlfn.LET(_xlpm.pos,"Max Planck plate 2: "&amp;$A5&amp;C$2,_xlpm.normal,IFERROR(INDEX(MASTER!$A:$A,MATCH(_xlpm.pos,MASTER!$J:$J,0))&amp;"_ser_0.20_"&amp;TEXT(INDEX(MASTER!$E:$E,MATCH(_xlpm.pos,MASTER!$J:$J,0)),"mmddyy"),""),_xlpm.slot,96+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6" s="4" t="str">
        <f t="array" ref="D16">_xlfn.LET(_xlpm.pos,"Max Planck plate 2: "&amp;$A5&amp;D$2,_xlpm.normal,IFERROR(INDEX(MASTER!$A:$A,MATCH(_xlpm.pos,MASTER!$J:$J,0))&amp;"_ser_0.20_"&amp;TEXT(INDEX(MASTER!$E:$E,MATCH(_xlpm.pos,MASTER!$J:$J,0)),"mmddyy"),""),_xlpm.slot,96+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6" s="4" t="str">
        <f t="array" ref="E16">_xlfn.LET(_xlpm.pos,"Max Planck plate 2: "&amp;$A5&amp;E$2,_xlpm.normal,IFERROR(INDEX(MASTER!$A:$A,MATCH(_xlpm.pos,MASTER!$J:$J,0))&amp;"_ser_0.20_"&amp;TEXT(INDEX(MASTER!$E:$E,MATCH(_xlpm.pos,MASTER!$J:$J,0)),"mmddyy"),""),_xlpm.slot,96+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6" s="4" t="str">
        <f t="array" ref="F16">_xlfn.LET(_xlpm.pos,"Max Planck plate 2: "&amp;$A5&amp;F$2,_xlpm.normal,IFERROR(INDEX(MASTER!$A:$A,MATCH(_xlpm.pos,MASTER!$J:$J,0))&amp;"_ser_0.20_"&amp;TEXT(INDEX(MASTER!$E:$E,MATCH(_xlpm.pos,MASTER!$J:$J,0)),"mmddyy"),""),_xlpm.slot,96+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6" s="4" t="str">
        <f t="array" ref="G16">_xlfn.LET(_xlpm.pos,"Max Planck plate 2: "&amp;$A5&amp;G$2,_xlpm.normal,IFERROR(INDEX(MASTER!$A:$A,MATCH(_xlpm.pos,MASTER!$J:$J,0))&amp;"_ser_0.20_"&amp;TEXT(INDEX(MASTER!$E:$E,MATCH(_xlpm.pos,MASTER!$J:$J,0)),"mmddyy"),""),_xlpm.slot,96+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6" s="4" t="str">
        <f t="array" ref="H16">_xlfn.LET(_xlpm.pos,"Max Planck plate 2: "&amp;$A5&amp;H$2,_xlpm.normal,IFERROR(INDEX(MASTER!$A:$A,MATCH(_xlpm.pos,MASTER!$J:$J,0))&amp;"_ser_0.20_"&amp;TEXT(INDEX(MASTER!$E:$E,MATCH(_xlpm.pos,MASTER!$J:$J,0)),"mmddyy"),""),_xlpm.slot,96+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6" s="4" t="str">
        <f t="array" ref="I16">_xlfn.LET(_xlpm.pos,"Max Planck plate 2: "&amp;$A5&amp;I$2,_xlpm.normal,IFERROR(INDEX(MASTER!$A:$A,MATCH(_xlpm.pos,MASTER!$J:$J,0))&amp;"_ser_0.20_"&amp;TEXT(INDEX(MASTER!$E:$E,MATCH(_xlpm.pos,MASTER!$J:$J,0)),"mmddyy"),""),_xlpm.slot,96+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6" s="4" t="str">
        <f t="array" ref="J16">_xlfn.LET(_xlpm.pos,"Max Planck plate 2: "&amp;$A5&amp;J$2,_xlpm.normal,IFERROR(INDEX(MASTER!$A:$A,MATCH(_xlpm.pos,MASTER!$J:$J,0))&amp;"_ser_0.20_"&amp;TEXT(INDEX(MASTER!$E:$E,MATCH(_xlpm.pos,MASTER!$J:$J,0)),"mmddyy"),""),_xlpm.slot,96+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6" s="4" t="str">
        <f t="array" ref="K16">_xlfn.LET(_xlpm.pos,"Max Planck plate 2: "&amp;$A5&amp;K$2,_xlpm.normal,IFERROR(INDEX(MASTER!$A:$A,MATCH(_xlpm.pos,MASTER!$J:$J,0))&amp;"_ser_0.20_"&amp;TEXT(INDEX(MASTER!$E:$E,MATCH(_xlpm.pos,MASTER!$J:$J,0)),"mmddyy"),""),_xlpm.slot,96+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6" s="4" t="str">
        <f t="array" ref="L16">_xlfn.LET(_xlpm.pos,"Max Planck plate 2: "&amp;$A5&amp;L$2,_xlpm.normal,IFERROR(INDEX(MASTER!$A:$A,MATCH(_xlpm.pos,MASTER!$J:$J,0))&amp;"_ser_0.20_"&amp;TEXT(INDEX(MASTER!$E:$E,MATCH(_xlpm.pos,MASTER!$J:$J,0)),"mmddyy"),""),_xlpm.slot,96+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6" s="4" t="str">
        <f t="array" ref="M16">_xlfn.LET(_xlpm.pos,"Max Planck plate 2: "&amp;$A5&amp;M$2,_xlpm.normal,IFERROR(INDEX(MASTER!$A:$A,MATCH(_xlpm.pos,MASTER!$J:$J,0))&amp;"_ser_0.20_"&amp;TEXT(INDEX(MASTER!$E:$E,MATCH(_xlpm.pos,MASTER!$J:$J,0)),"mmddyy"),""),_xlpm.slot,96+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7" spans="1:13" ht="22" customHeight="1" x14ac:dyDescent="0.3">
      <c r="A17" s="6" t="s">
        <v>33</v>
      </c>
      <c r="B17" s="4" t="str">
        <f t="array" ref="B17">_xlfn.LET(_xlpm.pos,"Max Planck plate 2: "&amp;$A6&amp;B$2,_xlpm.normal,IFERROR(INDEX(MASTER!$A:$A,MATCH(_xlpm.pos,MASTER!$J:$J,0))&amp;"_ser_0.20_"&amp;TEXT(INDEX(MASTER!$E:$E,MATCH(_xlpm.pos,MASTER!$J:$J,0)),"mmddyy"),""),_xlpm.slot,96+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7" s="4" t="str">
        <f t="array" ref="C17">_xlfn.LET(_xlpm.pos,"Max Planck plate 2: "&amp;$A6&amp;C$2,_xlpm.normal,IFERROR(INDEX(MASTER!$A:$A,MATCH(_xlpm.pos,MASTER!$J:$J,0))&amp;"_ser_0.20_"&amp;TEXT(INDEX(MASTER!$E:$E,MATCH(_xlpm.pos,MASTER!$J:$J,0)),"mmddyy"),""),_xlpm.slot,96+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7" s="4" t="str">
        <f t="array" ref="D17">_xlfn.LET(_xlpm.pos,"Max Planck plate 2: "&amp;$A6&amp;D$2,_xlpm.normal,IFERROR(INDEX(MASTER!$A:$A,MATCH(_xlpm.pos,MASTER!$J:$J,0))&amp;"_ser_0.20_"&amp;TEXT(INDEX(MASTER!$E:$E,MATCH(_xlpm.pos,MASTER!$J:$J,0)),"mmddyy"),""),_xlpm.slot,96+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7" s="4" t="str">
        <f t="array" ref="E17">_xlfn.LET(_xlpm.pos,"Max Planck plate 2: "&amp;$A6&amp;E$2,_xlpm.normal,IFERROR(INDEX(MASTER!$A:$A,MATCH(_xlpm.pos,MASTER!$J:$J,0))&amp;"_ser_0.20_"&amp;TEXT(INDEX(MASTER!$E:$E,MATCH(_xlpm.pos,MASTER!$J:$J,0)),"mmddyy"),""),_xlpm.slot,96+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7" s="4" t="str">
        <f t="array" ref="F17">_xlfn.LET(_xlpm.pos,"Max Planck plate 2: "&amp;$A6&amp;F$2,_xlpm.normal,IFERROR(INDEX(MASTER!$A:$A,MATCH(_xlpm.pos,MASTER!$J:$J,0))&amp;"_ser_0.20_"&amp;TEXT(INDEX(MASTER!$E:$E,MATCH(_xlpm.pos,MASTER!$J:$J,0)),"mmddyy"),""),_xlpm.slot,96+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7" s="4" t="str">
        <f t="array" ref="G17">_xlfn.LET(_xlpm.pos,"Max Planck plate 2: "&amp;$A6&amp;G$2,_xlpm.normal,IFERROR(INDEX(MASTER!$A:$A,MATCH(_xlpm.pos,MASTER!$J:$J,0))&amp;"_ser_0.20_"&amp;TEXT(INDEX(MASTER!$E:$E,MATCH(_xlpm.pos,MASTER!$J:$J,0)),"mmddyy"),""),_xlpm.slot,96+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7" s="4" t="str">
        <f t="array" ref="H17">_xlfn.LET(_xlpm.pos,"Max Planck plate 2: "&amp;$A6&amp;H$2,_xlpm.normal,IFERROR(INDEX(MASTER!$A:$A,MATCH(_xlpm.pos,MASTER!$J:$J,0))&amp;"_ser_0.20_"&amp;TEXT(INDEX(MASTER!$E:$E,MATCH(_xlpm.pos,MASTER!$J:$J,0)),"mmddyy"),""),_xlpm.slot,96+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7" s="4" t="str">
        <f t="array" ref="I17">_xlfn.LET(_xlpm.pos,"Max Planck plate 2: "&amp;$A6&amp;I$2,_xlpm.normal,IFERROR(INDEX(MASTER!$A:$A,MATCH(_xlpm.pos,MASTER!$J:$J,0))&amp;"_ser_0.20_"&amp;TEXT(INDEX(MASTER!$E:$E,MATCH(_xlpm.pos,MASTER!$J:$J,0)),"mmddyy"),""),_xlpm.slot,96+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7" s="4" t="str">
        <f t="array" ref="J17">_xlfn.LET(_xlpm.pos,"Max Planck plate 2: "&amp;$A6&amp;J$2,_xlpm.normal,IFERROR(INDEX(MASTER!$A:$A,MATCH(_xlpm.pos,MASTER!$J:$J,0))&amp;"_ser_0.20_"&amp;TEXT(INDEX(MASTER!$E:$E,MATCH(_xlpm.pos,MASTER!$J:$J,0)),"mmddyy"),""),_xlpm.slot,96+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7" s="4" t="str">
        <f t="array" ref="K17">_xlfn.LET(_xlpm.pos,"Max Planck plate 2: "&amp;$A6&amp;K$2,_xlpm.normal,IFERROR(INDEX(MASTER!$A:$A,MATCH(_xlpm.pos,MASTER!$J:$J,0))&amp;"_ser_0.20_"&amp;TEXT(INDEX(MASTER!$E:$E,MATCH(_xlpm.pos,MASTER!$J:$J,0)),"mmddyy"),""),_xlpm.slot,96+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7" s="4" t="str">
        <f t="array" ref="L17">_xlfn.LET(_xlpm.pos,"Max Planck plate 2: "&amp;$A6&amp;L$2,_xlpm.normal,IFERROR(INDEX(MASTER!$A:$A,MATCH(_xlpm.pos,MASTER!$J:$J,0))&amp;"_ser_0.20_"&amp;TEXT(INDEX(MASTER!$E:$E,MATCH(_xlpm.pos,MASTER!$J:$J,0)),"mmddyy"),""),_xlpm.slot,96+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7" s="4" t="str">
        <f t="array" ref="M17">_xlfn.LET(_xlpm.pos,"Max Planck plate 2: "&amp;$A6&amp;M$2,_xlpm.normal,IFERROR(INDEX(MASTER!$A:$A,MATCH(_xlpm.pos,MASTER!$J:$J,0))&amp;"_ser_0.20_"&amp;TEXT(INDEX(MASTER!$E:$E,MATCH(_xlpm.pos,MASTER!$J:$J,0)),"mmddyy"),""),_xlpm.slot,96+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8" spans="1:13" ht="22" customHeight="1" x14ac:dyDescent="0.3">
      <c r="A18" s="6" t="s">
        <v>34</v>
      </c>
      <c r="B18" s="4" t="str">
        <f t="array" ref="B18">_xlfn.LET(_xlpm.pos,"Max Planck plate 2: "&amp;$A7&amp;B$2,_xlpm.normal,IFERROR(INDEX(MASTER!$A:$A,MATCH(_xlpm.pos,MASTER!$J:$J,0))&amp;"_ser_0.20_"&amp;TEXT(INDEX(MASTER!$E:$E,MATCH(_xlpm.pos,MASTER!$J:$J,0)),"mmddyy"),""),_xlpm.slot,96+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8" s="4" t="str">
        <f t="array" ref="C18">_xlfn.LET(_xlpm.pos,"Max Planck plate 2: "&amp;$A7&amp;C$2,_xlpm.normal,IFERROR(INDEX(MASTER!$A:$A,MATCH(_xlpm.pos,MASTER!$J:$J,0))&amp;"_ser_0.20_"&amp;TEXT(INDEX(MASTER!$E:$E,MATCH(_xlpm.pos,MASTER!$J:$J,0)),"mmddyy"),""),_xlpm.slot,96+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8" s="4" t="str">
        <f t="array" ref="D18">_xlfn.LET(_xlpm.pos,"Max Planck plate 2: "&amp;$A7&amp;D$2,_xlpm.normal,IFERROR(INDEX(MASTER!$A:$A,MATCH(_xlpm.pos,MASTER!$J:$J,0))&amp;"_ser_0.20_"&amp;TEXT(INDEX(MASTER!$E:$E,MATCH(_xlpm.pos,MASTER!$J:$J,0)),"mmddyy"),""),_xlpm.slot,96+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8" s="4" t="str">
        <f t="array" ref="E18">_xlfn.LET(_xlpm.pos,"Max Planck plate 2: "&amp;$A7&amp;E$2,_xlpm.normal,IFERROR(INDEX(MASTER!$A:$A,MATCH(_xlpm.pos,MASTER!$J:$J,0))&amp;"_ser_0.20_"&amp;TEXT(INDEX(MASTER!$E:$E,MATCH(_xlpm.pos,MASTER!$J:$J,0)),"mmddyy"),""),_xlpm.slot,96+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8" s="4" t="str">
        <f t="array" ref="F18">_xlfn.LET(_xlpm.pos,"Max Planck plate 2: "&amp;$A7&amp;F$2,_xlpm.normal,IFERROR(INDEX(MASTER!$A:$A,MATCH(_xlpm.pos,MASTER!$J:$J,0))&amp;"_ser_0.20_"&amp;TEXT(INDEX(MASTER!$E:$E,MATCH(_xlpm.pos,MASTER!$J:$J,0)),"mmddyy"),""),_xlpm.slot,96+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8" s="4" t="str">
        <f t="array" ref="G18">_xlfn.LET(_xlpm.pos,"Max Planck plate 2: "&amp;$A7&amp;G$2,_xlpm.normal,IFERROR(INDEX(MASTER!$A:$A,MATCH(_xlpm.pos,MASTER!$J:$J,0))&amp;"_ser_0.20_"&amp;TEXT(INDEX(MASTER!$E:$E,MATCH(_xlpm.pos,MASTER!$J:$J,0)),"mmddyy"),""),_xlpm.slot,96+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8" s="4" t="str">
        <f t="array" ref="H18">_xlfn.LET(_xlpm.pos,"Max Planck plate 2: "&amp;$A7&amp;H$2,_xlpm.normal,IFERROR(INDEX(MASTER!$A:$A,MATCH(_xlpm.pos,MASTER!$J:$J,0))&amp;"_ser_0.20_"&amp;TEXT(INDEX(MASTER!$E:$E,MATCH(_xlpm.pos,MASTER!$J:$J,0)),"mmddyy"),""),_xlpm.slot,96+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8" s="4" t="str">
        <f t="array" ref="I18">_xlfn.LET(_xlpm.pos,"Max Planck plate 2: "&amp;$A7&amp;I$2,_xlpm.normal,IFERROR(INDEX(MASTER!$A:$A,MATCH(_xlpm.pos,MASTER!$J:$J,0))&amp;"_ser_0.20_"&amp;TEXT(INDEX(MASTER!$E:$E,MATCH(_xlpm.pos,MASTER!$J:$J,0)),"mmddyy"),""),_xlpm.slot,96+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8" s="4" t="str">
        <f t="array" ref="J18">_xlfn.LET(_xlpm.pos,"Max Planck plate 2: "&amp;$A7&amp;J$2,_xlpm.normal,IFERROR(INDEX(MASTER!$A:$A,MATCH(_xlpm.pos,MASTER!$J:$J,0))&amp;"_ser_0.20_"&amp;TEXT(INDEX(MASTER!$E:$E,MATCH(_xlpm.pos,MASTER!$J:$J,0)),"mmddyy"),""),_xlpm.slot,96+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8" s="4" t="str">
        <f t="array" ref="K18">_xlfn.LET(_xlpm.pos,"Max Planck plate 2: "&amp;$A7&amp;K$2,_xlpm.normal,IFERROR(INDEX(MASTER!$A:$A,MATCH(_xlpm.pos,MASTER!$J:$J,0))&amp;"_ser_0.20_"&amp;TEXT(INDEX(MASTER!$E:$E,MATCH(_xlpm.pos,MASTER!$J:$J,0)),"mmddyy"),""),_xlpm.slot,96+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8" s="4" t="str">
        <f t="array" ref="L18">_xlfn.LET(_xlpm.pos,"Max Planck plate 2: "&amp;$A7&amp;L$2,_xlpm.normal,IFERROR(INDEX(MASTER!$A:$A,MATCH(_xlpm.pos,MASTER!$J:$J,0))&amp;"_ser_0.20_"&amp;TEXT(INDEX(MASTER!$E:$E,MATCH(_xlpm.pos,MASTER!$J:$J,0)),"mmddyy"),""),_xlpm.slot,96+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8" s="4" t="str">
        <f t="array" ref="M18">_xlfn.LET(_xlpm.pos,"Max Planck plate 2: "&amp;$A7&amp;M$2,_xlpm.normal,IFERROR(INDEX(MASTER!$A:$A,MATCH(_xlpm.pos,MASTER!$J:$J,0))&amp;"_ser_0.20_"&amp;TEXT(INDEX(MASTER!$E:$E,MATCH(_xlpm.pos,MASTER!$J:$J,0)),"mmddyy"),""),_xlpm.slot,96+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9" spans="1:13" ht="22" customHeight="1" x14ac:dyDescent="0.3">
      <c r="A19" s="6" t="s">
        <v>15</v>
      </c>
      <c r="B19" s="4" t="str">
        <f t="array" ref="B19">_xlfn.LET(_xlpm.pos,"Max Planck plate 2: "&amp;$A8&amp;B$2,_xlpm.normal,IFERROR(INDEX(MASTER!$A:$A,MATCH(_xlpm.pos,MASTER!$J:$J,0))&amp;"_ser_0.20_"&amp;TEXT(INDEX(MASTER!$E:$E,MATCH(_xlpm.pos,MASTER!$J:$J,0)),"mmddyy"),""),_xlpm.slot,96+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9" s="4" t="str">
        <f t="array" ref="C19">_xlfn.LET(_xlpm.pos,"Max Planck plate 2: "&amp;$A8&amp;C$2,_xlpm.normal,IFERROR(INDEX(MASTER!$A:$A,MATCH(_xlpm.pos,MASTER!$J:$J,0))&amp;"_ser_0.20_"&amp;TEXT(INDEX(MASTER!$E:$E,MATCH(_xlpm.pos,MASTER!$J:$J,0)),"mmddyy"),""),_xlpm.slot,96+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9" s="4" t="str">
        <f t="array" ref="D19">_xlfn.LET(_xlpm.pos,"Max Planck plate 2: "&amp;$A8&amp;D$2,_xlpm.normal,IFERROR(INDEX(MASTER!$A:$A,MATCH(_xlpm.pos,MASTER!$J:$J,0))&amp;"_ser_0.20_"&amp;TEXT(INDEX(MASTER!$E:$E,MATCH(_xlpm.pos,MASTER!$J:$J,0)),"mmddyy"),""),_xlpm.slot,96+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9" s="4" t="str">
        <f t="array" ref="E19">_xlfn.LET(_xlpm.pos,"Max Planck plate 2: "&amp;$A8&amp;E$2,_xlpm.normal,IFERROR(INDEX(MASTER!$A:$A,MATCH(_xlpm.pos,MASTER!$J:$J,0))&amp;"_ser_0.20_"&amp;TEXT(INDEX(MASTER!$E:$E,MATCH(_xlpm.pos,MASTER!$J:$J,0)),"mmddyy"),""),_xlpm.slot,96+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9" s="4" t="str">
        <f t="array" ref="F19">_xlfn.LET(_xlpm.pos,"Max Planck plate 2: "&amp;$A8&amp;F$2,_xlpm.normal,IFERROR(INDEX(MASTER!$A:$A,MATCH(_xlpm.pos,MASTER!$J:$J,0))&amp;"_ser_0.20_"&amp;TEXT(INDEX(MASTER!$E:$E,MATCH(_xlpm.pos,MASTER!$J:$J,0)),"mmddyy"),""),_xlpm.slot,96+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9" s="4" t="str">
        <f t="array" ref="G19">_xlfn.LET(_xlpm.pos,"Max Planck plate 2: "&amp;$A8&amp;G$2,_xlpm.normal,IFERROR(INDEX(MASTER!$A:$A,MATCH(_xlpm.pos,MASTER!$J:$J,0))&amp;"_ser_0.20_"&amp;TEXT(INDEX(MASTER!$E:$E,MATCH(_xlpm.pos,MASTER!$J:$J,0)),"mmddyy"),""),_xlpm.slot,96+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9" s="4" t="str">
        <f t="array" ref="H19">_xlfn.LET(_xlpm.pos,"Max Planck plate 2: "&amp;$A8&amp;H$2,_xlpm.normal,IFERROR(INDEX(MASTER!$A:$A,MATCH(_xlpm.pos,MASTER!$J:$J,0))&amp;"_ser_0.20_"&amp;TEXT(INDEX(MASTER!$E:$E,MATCH(_xlpm.pos,MASTER!$J:$J,0)),"mmddyy"),""),_xlpm.slot,96+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9" s="4" t="str">
        <f t="array" ref="I19">_xlfn.LET(_xlpm.pos,"Max Planck plate 2: "&amp;$A8&amp;I$2,_xlpm.normal,IFERROR(INDEX(MASTER!$A:$A,MATCH(_xlpm.pos,MASTER!$J:$J,0))&amp;"_ser_0.20_"&amp;TEXT(INDEX(MASTER!$E:$E,MATCH(_xlpm.pos,MASTER!$J:$J,0)),"mmddyy"),""),_xlpm.slot,96+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9" s="4" t="str">
        <f t="array" ref="J19">_xlfn.LET(_xlpm.pos,"Max Planck plate 2: "&amp;$A8&amp;J$2,_xlpm.normal,IFERROR(INDEX(MASTER!$A:$A,MATCH(_xlpm.pos,MASTER!$J:$J,0))&amp;"_ser_0.20_"&amp;TEXT(INDEX(MASTER!$E:$E,MATCH(_xlpm.pos,MASTER!$J:$J,0)),"mmddyy"),""),_xlpm.slot,96+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9" s="4" t="str">
        <f t="array" ref="K19">_xlfn.LET(_xlpm.pos,"Max Planck plate 2: "&amp;$A8&amp;K$2,_xlpm.normal,IFERROR(INDEX(MASTER!$A:$A,MATCH(_xlpm.pos,MASTER!$J:$J,0))&amp;"_ser_0.20_"&amp;TEXT(INDEX(MASTER!$E:$E,MATCH(_xlpm.pos,MASTER!$J:$J,0)),"mmddyy"),""),_xlpm.slot,96+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9" s="4" t="str">
        <f t="array" ref="L19">_xlfn.LET(_xlpm.pos,"Max Planck plate 2: "&amp;$A8&amp;L$2,_xlpm.normal,IFERROR(INDEX(MASTER!$A:$A,MATCH(_xlpm.pos,MASTER!$J:$J,0))&amp;"_ser_0.20_"&amp;TEXT(INDEX(MASTER!$E:$E,MATCH(_xlpm.pos,MASTER!$J:$J,0)),"mmddyy"),""),_xlpm.slot,96+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9" s="4" t="str">
        <f t="array" ref="M19">_xlfn.LET(_xlpm.pos,"Max Planck plate 2: "&amp;$A8&amp;M$2,_xlpm.normal,IFERROR(INDEX(MASTER!$A:$A,MATCH(_xlpm.pos,MASTER!$J:$J,0))&amp;"_ser_0.20_"&amp;TEXT(INDEX(MASTER!$E:$E,MATCH(_xlpm.pos,MASTER!$J:$J,0)),"mmddyy"),""),_xlpm.slot,96+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0" spans="1:13" ht="22" customHeight="1" x14ac:dyDescent="0.3">
      <c r="A20" s="6" t="s">
        <v>35</v>
      </c>
      <c r="B20" s="4" t="str">
        <f t="array" ref="B20">_xlfn.LET(_xlpm.pos,"Max Planck plate 2: "&amp;$A9&amp;B$2,_xlpm.normal,IFERROR(INDEX(MASTER!$A:$A,MATCH(_xlpm.pos,MASTER!$J:$J,0))&amp;"_ser_0.20_"&amp;TEXT(INDEX(MASTER!$E:$E,MATCH(_xlpm.pos,MASTER!$J:$J,0)),"mmddyy"),""),_xlpm.slot,96+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0" s="4" t="str">
        <f t="array" ref="C20">_xlfn.LET(_xlpm.pos,"Max Planck plate 2: "&amp;$A9&amp;C$2,_xlpm.normal,IFERROR(INDEX(MASTER!$A:$A,MATCH(_xlpm.pos,MASTER!$J:$J,0))&amp;"_ser_0.20_"&amp;TEXT(INDEX(MASTER!$E:$E,MATCH(_xlpm.pos,MASTER!$J:$J,0)),"mmddyy"),""),_xlpm.slot,96+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0" s="4" t="str">
        <f t="array" ref="D20">_xlfn.LET(_xlpm.pos,"Max Planck plate 2: "&amp;$A9&amp;D$2,_xlpm.normal,IFERROR(INDEX(MASTER!$A:$A,MATCH(_xlpm.pos,MASTER!$J:$J,0))&amp;"_ser_0.20_"&amp;TEXT(INDEX(MASTER!$E:$E,MATCH(_xlpm.pos,MASTER!$J:$J,0)),"mmddyy"),""),_xlpm.slot,96+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0" s="4" t="str">
        <f t="array" ref="E20">_xlfn.LET(_xlpm.pos,"Max Planck plate 2: "&amp;$A9&amp;E$2,_xlpm.normal,IFERROR(INDEX(MASTER!$A:$A,MATCH(_xlpm.pos,MASTER!$J:$J,0))&amp;"_ser_0.20_"&amp;TEXT(INDEX(MASTER!$E:$E,MATCH(_xlpm.pos,MASTER!$J:$J,0)),"mmddyy"),""),_xlpm.slot,96+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0" s="4" t="str">
        <f t="array" ref="F20">_xlfn.LET(_xlpm.pos,"Max Planck plate 2: "&amp;$A9&amp;F$2,_xlpm.normal,IFERROR(INDEX(MASTER!$A:$A,MATCH(_xlpm.pos,MASTER!$J:$J,0))&amp;"_ser_0.20_"&amp;TEXT(INDEX(MASTER!$E:$E,MATCH(_xlpm.pos,MASTER!$J:$J,0)),"mmddyy"),""),_xlpm.slot,96+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0" s="4" t="str">
        <f t="array" ref="G20">_xlfn.LET(_xlpm.pos,"Max Planck plate 2: "&amp;$A9&amp;G$2,_xlpm.normal,IFERROR(INDEX(MASTER!$A:$A,MATCH(_xlpm.pos,MASTER!$J:$J,0))&amp;"_ser_0.20_"&amp;TEXT(INDEX(MASTER!$E:$E,MATCH(_xlpm.pos,MASTER!$J:$J,0)),"mmddyy"),""),_xlpm.slot,96+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0" s="4" t="str">
        <f t="array" ref="H20">_xlfn.LET(_xlpm.pos,"Max Planck plate 2: "&amp;$A9&amp;H$2,_xlpm.normal,IFERROR(INDEX(MASTER!$A:$A,MATCH(_xlpm.pos,MASTER!$J:$J,0))&amp;"_ser_0.20_"&amp;TEXT(INDEX(MASTER!$E:$E,MATCH(_xlpm.pos,MASTER!$J:$J,0)),"mmddyy"),""),_xlpm.slot,96+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0" s="4" t="str">
        <f t="array" ref="I20">_xlfn.LET(_xlpm.pos,"Max Planck plate 2: "&amp;$A9&amp;I$2,_xlpm.normal,IFERROR(INDEX(MASTER!$A:$A,MATCH(_xlpm.pos,MASTER!$J:$J,0))&amp;"_ser_0.20_"&amp;TEXT(INDEX(MASTER!$E:$E,MATCH(_xlpm.pos,MASTER!$J:$J,0)),"mmddyy"),""),_xlpm.slot,96+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0" s="4" t="str">
        <f t="array" ref="J20">_xlfn.LET(_xlpm.pos,"Max Planck plate 2: "&amp;$A9&amp;J$2,_xlpm.normal,IFERROR(INDEX(MASTER!$A:$A,MATCH(_xlpm.pos,MASTER!$J:$J,0))&amp;"_ser_0.20_"&amp;TEXT(INDEX(MASTER!$E:$E,MATCH(_xlpm.pos,MASTER!$J:$J,0)),"mmddyy"),""),_xlpm.slot,96+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0" s="4" t="str">
        <f t="array" ref="K20">_xlfn.LET(_xlpm.pos,"Max Planck plate 2: "&amp;$A9&amp;K$2,_xlpm.normal,IFERROR(INDEX(MASTER!$A:$A,MATCH(_xlpm.pos,MASTER!$J:$J,0))&amp;"_ser_0.20_"&amp;TEXT(INDEX(MASTER!$E:$E,MATCH(_xlpm.pos,MASTER!$J:$J,0)),"mmddyy"),""),_xlpm.slot,96+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0" s="4" t="str">
        <f t="array" ref="L20">_xlfn.LET(_xlpm.pos,"Max Planck plate 2: "&amp;$A9&amp;L$2,_xlpm.normal,IFERROR(INDEX(MASTER!$A:$A,MATCH(_xlpm.pos,MASTER!$J:$J,0))&amp;"_ser_0.20_"&amp;TEXT(INDEX(MASTER!$E:$E,MATCH(_xlpm.pos,MASTER!$J:$J,0)),"mmddyy"),""),_xlpm.slot,96+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0" s="4" t="str">
        <f t="array" ref="M20">_xlfn.LET(_xlpm.pos,"Max Planck plate 2: "&amp;$A9&amp;M$2,_xlpm.normal,IFERROR(INDEX(MASTER!$A:$A,MATCH(_xlpm.pos,MASTER!$J:$J,0))&amp;"_ser_0.20_"&amp;TEXT(INDEX(MASTER!$E:$E,MATCH(_xlpm.pos,MASTER!$J:$J,0)),"mmddyy"),""),_xlpm.slot,96+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1" spans="1:13" ht="22" customHeight="1" x14ac:dyDescent="0.3">
      <c r="A21" s="6" t="s">
        <v>36</v>
      </c>
      <c r="B21" s="4" t="str">
        <f t="array" ref="B21">_xlfn.LET(_xlpm.pos,"Max Planck plate 2: "&amp;$A10&amp;B$2,_xlpm.normal,IFERROR(INDEX(MASTER!$A:$A,MATCH(_xlpm.pos,MASTER!$J:$J,0))&amp;"_ser_0.20_"&amp;TEXT(INDEX(MASTER!$E:$E,MATCH(_xlpm.pos,MASTER!$J:$J,0)),"mmddyy"),""),_xlpm.slot,96+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1" s="4" t="str">
        <f t="array" ref="C21">_xlfn.LET(_xlpm.pos,"Max Planck plate 2: "&amp;$A10&amp;C$2,_xlpm.normal,IFERROR(INDEX(MASTER!$A:$A,MATCH(_xlpm.pos,MASTER!$J:$J,0))&amp;"_ser_0.20_"&amp;TEXT(INDEX(MASTER!$E:$E,MATCH(_xlpm.pos,MASTER!$J:$J,0)),"mmddyy"),""),_xlpm.slot,96+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1" s="4" t="str">
        <f t="array" ref="D21">_xlfn.LET(_xlpm.pos,"Max Planck plate 2: "&amp;$A10&amp;D$2,_xlpm.normal,IFERROR(INDEX(MASTER!$A:$A,MATCH(_xlpm.pos,MASTER!$J:$J,0))&amp;"_ser_0.20_"&amp;TEXT(INDEX(MASTER!$E:$E,MATCH(_xlpm.pos,MASTER!$J:$J,0)),"mmddyy"),""),_xlpm.slot,96+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1" s="4" t="str">
        <f t="array" ref="E21">_xlfn.LET(_xlpm.pos,"Max Planck plate 2: "&amp;$A10&amp;E$2,_xlpm.normal,IFERROR(INDEX(MASTER!$A:$A,MATCH(_xlpm.pos,MASTER!$J:$J,0))&amp;"_ser_0.20_"&amp;TEXT(INDEX(MASTER!$E:$E,MATCH(_xlpm.pos,MASTER!$J:$J,0)),"mmddyy"),""),_xlpm.slot,96+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1" s="4" t="str">
        <f t="array" ref="F21">_xlfn.LET(_xlpm.pos,"Max Planck plate 2: "&amp;$A10&amp;F$2,_xlpm.normal,IFERROR(INDEX(MASTER!$A:$A,MATCH(_xlpm.pos,MASTER!$J:$J,0))&amp;"_ser_0.20_"&amp;TEXT(INDEX(MASTER!$E:$E,MATCH(_xlpm.pos,MASTER!$J:$J,0)),"mmddyy"),""),_xlpm.slot,96+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1" s="4" t="str">
        <f t="array" ref="G21">_xlfn.LET(_xlpm.pos,"Max Planck plate 2: "&amp;$A10&amp;G$2,_xlpm.normal,IFERROR(INDEX(MASTER!$A:$A,MATCH(_xlpm.pos,MASTER!$J:$J,0))&amp;"_ser_0.20_"&amp;TEXT(INDEX(MASTER!$E:$E,MATCH(_xlpm.pos,MASTER!$J:$J,0)),"mmddyy"),""),_xlpm.slot,96+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1" s="4" t="str">
        <f t="array" ref="H21">_xlfn.LET(_xlpm.pos,"Max Planck plate 2: "&amp;$A10&amp;H$2,_xlpm.normal,IFERROR(INDEX(MASTER!$A:$A,MATCH(_xlpm.pos,MASTER!$J:$J,0))&amp;"_ser_0.20_"&amp;TEXT(INDEX(MASTER!$E:$E,MATCH(_xlpm.pos,MASTER!$J:$J,0)),"mmddyy"),""),_xlpm.slot,96+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1" s="4" t="str">
        <f t="array" ref="I21">_xlfn.LET(_xlpm.pos,"Max Planck plate 2: "&amp;$A10&amp;I$2,_xlpm.normal,IFERROR(INDEX(MASTER!$A:$A,MATCH(_xlpm.pos,MASTER!$J:$J,0))&amp;"_ser_0.20_"&amp;TEXT(INDEX(MASTER!$E:$E,MATCH(_xlpm.pos,MASTER!$J:$J,0)),"mmddyy"),""),_xlpm.slot,96+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1" s="4" t="str">
        <f t="array" ref="J21">_xlfn.LET(_xlpm.pos,"Max Planck plate 2: "&amp;$A10&amp;J$2,_xlpm.normal,IFERROR(INDEX(MASTER!$A:$A,MATCH(_xlpm.pos,MASTER!$J:$J,0))&amp;"_ser_0.20_"&amp;TEXT(INDEX(MASTER!$E:$E,MATCH(_xlpm.pos,MASTER!$J:$J,0)),"mmddyy"),""),_xlpm.slot,96+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1" s="4" t="str">
        <f t="array" ref="K21">_xlfn.LET(_xlpm.pos,"Max Planck plate 2: "&amp;$A10&amp;K$2,_xlpm.normal,IFERROR(INDEX(MASTER!$A:$A,MATCH(_xlpm.pos,MASTER!$J:$J,0))&amp;"_ser_0.20_"&amp;TEXT(INDEX(MASTER!$E:$E,MATCH(_xlpm.pos,MASTER!$J:$J,0)),"mmddyy"),""),_xlpm.slot,96+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1" s="4" t="str">
        <f t="array" ref="L21">_xlfn.LET(_xlpm.pos,"Max Planck plate 2: "&amp;$A10&amp;L$2,_xlpm.normal,IFERROR(INDEX(MASTER!$A:$A,MATCH(_xlpm.pos,MASTER!$J:$J,0))&amp;"_ser_0.20_"&amp;TEXT(INDEX(MASTER!$E:$E,MATCH(_xlpm.pos,MASTER!$J:$J,0)),"mmddyy"),""),_xlpm.slot,96+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1" s="4" t="str">
        <f t="array" ref="M21">_xlfn.LET(_xlpm.pos,"Max Planck plate 2: "&amp;$A10&amp;M$2,_xlpm.normal,IFERROR(INDEX(MASTER!$A:$A,MATCH(_xlpm.pos,MASTER!$J:$J,0))&amp;"_ser_0.20_"&amp;TEXT(INDEX(MASTER!$E:$E,MATCH(_xlpm.pos,MASTER!$J:$J,0)),"mmddyy"),""),_xlpm.slot,96+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2" spans="1:13" ht="22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22" customHeight="1" x14ac:dyDescent="0.35">
      <c r="A23" s="5"/>
      <c r="B23" s="31" t="s">
        <v>80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</row>
    <row r="24" spans="1:13" ht="22" customHeight="1" x14ac:dyDescent="0.3">
      <c r="A24" s="5"/>
      <c r="B24" s="6">
        <v>1</v>
      </c>
      <c r="C24" s="6">
        <v>2</v>
      </c>
      <c r="D24" s="6">
        <v>3</v>
      </c>
      <c r="E24" s="6">
        <v>4</v>
      </c>
      <c r="F24" s="6">
        <v>5</v>
      </c>
      <c r="G24" s="6">
        <v>6</v>
      </c>
      <c r="H24" s="6">
        <v>7</v>
      </c>
      <c r="I24" s="6">
        <v>8</v>
      </c>
      <c r="J24" s="6">
        <v>9</v>
      </c>
      <c r="K24" s="6">
        <v>10</v>
      </c>
      <c r="L24" s="6">
        <v>11</v>
      </c>
      <c r="M24" s="6">
        <v>12</v>
      </c>
    </row>
    <row r="25" spans="1:13" ht="22" customHeight="1" x14ac:dyDescent="0.3">
      <c r="A25" s="6" t="s">
        <v>30</v>
      </c>
      <c r="B25" s="4" t="str">
        <f t="array" ref="B25">_xlfn.LET(_xlpm.pos,"Max Planck plate 3: "&amp;$A3&amp;B$2,_xlpm.normal,IFERROR(INDEX(MASTER!$A:$A,MATCH(_xlpm.pos,MASTER!$J:$J,0))&amp;"_ser_0.20_"&amp;TEXT(INDEX(MASTER!$E:$E,MATCH(_xlpm.pos,MASTER!$J:$J,0)),"mmddyy"),""),_xlpm.slot,192+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5" s="4" t="str">
        <f t="array" ref="C25">_xlfn.LET(_xlpm.pos,"Max Planck plate 3: "&amp;$A3&amp;C$2,_xlpm.normal,IFERROR(INDEX(MASTER!$A:$A,MATCH(_xlpm.pos,MASTER!$J:$J,0))&amp;"_ser_0.20_"&amp;TEXT(INDEX(MASTER!$E:$E,MATCH(_xlpm.pos,MASTER!$J:$J,0)),"mmddyy"),""),_xlpm.slot,192+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5" s="4" t="str">
        <f t="array" ref="D25">_xlfn.LET(_xlpm.pos,"Max Planck plate 3: "&amp;$A3&amp;D$2,_xlpm.normal,IFERROR(INDEX(MASTER!$A:$A,MATCH(_xlpm.pos,MASTER!$J:$J,0))&amp;"_ser_0.20_"&amp;TEXT(INDEX(MASTER!$E:$E,MATCH(_xlpm.pos,MASTER!$J:$J,0)),"mmddyy"),""),_xlpm.slot,192+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5" s="4" t="str">
        <f t="array" ref="E25">_xlfn.LET(_xlpm.pos,"Max Planck plate 3: "&amp;$A3&amp;E$2,_xlpm.normal,IFERROR(INDEX(MASTER!$A:$A,MATCH(_xlpm.pos,MASTER!$J:$J,0))&amp;"_ser_0.20_"&amp;TEXT(INDEX(MASTER!$E:$E,MATCH(_xlpm.pos,MASTER!$J:$J,0)),"mmddyy"),""),_xlpm.slot,192+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5" s="4" t="str">
        <f t="array" ref="F25">_xlfn.LET(_xlpm.pos,"Max Planck plate 3: "&amp;$A3&amp;F$2,_xlpm.normal,IFERROR(INDEX(MASTER!$A:$A,MATCH(_xlpm.pos,MASTER!$J:$J,0))&amp;"_ser_0.20_"&amp;TEXT(INDEX(MASTER!$E:$E,MATCH(_xlpm.pos,MASTER!$J:$J,0)),"mmddyy"),""),_xlpm.slot,192+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5" s="4" t="str">
        <f t="array" ref="G25">_xlfn.LET(_xlpm.pos,"Max Planck plate 3: "&amp;$A3&amp;G$2,_xlpm.normal,IFERROR(INDEX(MASTER!$A:$A,MATCH(_xlpm.pos,MASTER!$J:$J,0))&amp;"_ser_0.20_"&amp;TEXT(INDEX(MASTER!$E:$E,MATCH(_xlpm.pos,MASTER!$J:$J,0)),"mmddyy"),""),_xlpm.slot,192+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5" s="4" t="str">
        <f t="array" ref="H25">_xlfn.LET(_xlpm.pos,"Max Planck plate 3: "&amp;$A3&amp;H$2,_xlpm.normal,IFERROR(INDEX(MASTER!$A:$A,MATCH(_xlpm.pos,MASTER!$J:$J,0))&amp;"_ser_0.20_"&amp;TEXT(INDEX(MASTER!$E:$E,MATCH(_xlpm.pos,MASTER!$J:$J,0)),"mmddyy"),""),_xlpm.slot,192+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5" s="4" t="str">
        <f t="array" ref="I25">_xlfn.LET(_xlpm.pos,"Max Planck plate 3: "&amp;$A3&amp;I$2,_xlpm.normal,IFERROR(INDEX(MASTER!$A:$A,MATCH(_xlpm.pos,MASTER!$J:$J,0))&amp;"_ser_0.20_"&amp;TEXT(INDEX(MASTER!$E:$E,MATCH(_xlpm.pos,MASTER!$J:$J,0)),"mmddyy"),""),_xlpm.slot,192+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5" s="4" t="str">
        <f t="array" ref="J25">_xlfn.LET(_xlpm.pos,"Max Planck plate 3: "&amp;$A3&amp;J$2,_xlpm.normal,IFERROR(INDEX(MASTER!$A:$A,MATCH(_xlpm.pos,MASTER!$J:$J,0))&amp;"_ser_0.20_"&amp;TEXT(INDEX(MASTER!$E:$E,MATCH(_xlpm.pos,MASTER!$J:$J,0)),"mmddyy"),""),_xlpm.slot,192+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5" s="4" t="str">
        <f t="array" ref="K25">_xlfn.LET(_xlpm.pos,"Max Planck plate 3: "&amp;$A3&amp;K$2,_xlpm.normal,IFERROR(INDEX(MASTER!$A:$A,MATCH(_xlpm.pos,MASTER!$J:$J,0))&amp;"_ser_0.20_"&amp;TEXT(INDEX(MASTER!$E:$E,MATCH(_xlpm.pos,MASTER!$J:$J,0)),"mmddyy"),""),_xlpm.slot,192+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5" s="4" t="str">
        <f t="array" ref="L25">_xlfn.LET(_xlpm.pos,"Max Planck plate 3: "&amp;$A3&amp;L$2,_xlpm.normal,IFERROR(INDEX(MASTER!$A:$A,MATCH(_xlpm.pos,MASTER!$J:$J,0))&amp;"_ser_0.20_"&amp;TEXT(INDEX(MASTER!$E:$E,MATCH(_xlpm.pos,MASTER!$J:$J,0)),"mmddyy"),""),_xlpm.slot,192+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5" s="4" t="str">
        <f t="array" ref="M25">_xlfn.LET(_xlpm.pos,"Max Planck plate 3: "&amp;$A3&amp;M$2,_xlpm.normal,IFERROR(INDEX(MASTER!$A:$A,MATCH(_xlpm.pos,MASTER!$J:$J,0))&amp;"_ser_0.20_"&amp;TEXT(INDEX(MASTER!$E:$E,MATCH(_xlpm.pos,MASTER!$J:$J,0)),"mmddyy"),""),_xlpm.slot,192+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6" spans="1:13" ht="22" customHeight="1" x14ac:dyDescent="0.3">
      <c r="A26" s="6" t="s">
        <v>31</v>
      </c>
      <c r="B26" s="4" t="str">
        <f t="array" ref="B26">_xlfn.LET(_xlpm.pos,"Max Planck plate 3: "&amp;$A4&amp;B$2,_xlpm.normal,IFERROR(INDEX(MASTER!$A:$A,MATCH(_xlpm.pos,MASTER!$J:$J,0))&amp;"_ser_0.20_"&amp;TEXT(INDEX(MASTER!$E:$E,MATCH(_xlpm.pos,MASTER!$J:$J,0)),"mmddyy"),""),_xlpm.slot,192+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6" s="4" t="str">
        <f t="array" ref="C26">_xlfn.LET(_xlpm.pos,"Max Planck plate 3: "&amp;$A4&amp;C$2,_xlpm.normal,IFERROR(INDEX(MASTER!$A:$A,MATCH(_xlpm.pos,MASTER!$J:$J,0))&amp;"_ser_0.20_"&amp;TEXT(INDEX(MASTER!$E:$E,MATCH(_xlpm.pos,MASTER!$J:$J,0)),"mmddyy"),""),_xlpm.slot,192+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6" s="4" t="str">
        <f t="array" ref="D26">_xlfn.LET(_xlpm.pos,"Max Planck plate 3: "&amp;$A4&amp;D$2,_xlpm.normal,IFERROR(INDEX(MASTER!$A:$A,MATCH(_xlpm.pos,MASTER!$J:$J,0))&amp;"_ser_0.20_"&amp;TEXT(INDEX(MASTER!$E:$E,MATCH(_xlpm.pos,MASTER!$J:$J,0)),"mmddyy"),""),_xlpm.slot,192+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6" s="4" t="str">
        <f t="array" ref="E26">_xlfn.LET(_xlpm.pos,"Max Planck plate 3: "&amp;$A4&amp;E$2,_xlpm.normal,IFERROR(INDEX(MASTER!$A:$A,MATCH(_xlpm.pos,MASTER!$J:$J,0))&amp;"_ser_0.20_"&amp;TEXT(INDEX(MASTER!$E:$E,MATCH(_xlpm.pos,MASTER!$J:$J,0)),"mmddyy"),""),_xlpm.slot,192+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6" s="4" t="str">
        <f t="array" ref="F26">_xlfn.LET(_xlpm.pos,"Max Planck plate 3: "&amp;$A4&amp;F$2,_xlpm.normal,IFERROR(INDEX(MASTER!$A:$A,MATCH(_xlpm.pos,MASTER!$J:$J,0))&amp;"_ser_0.20_"&amp;TEXT(INDEX(MASTER!$E:$E,MATCH(_xlpm.pos,MASTER!$J:$J,0)),"mmddyy"),""),_xlpm.slot,192+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6" s="4" t="str">
        <f t="array" ref="G26">_xlfn.LET(_xlpm.pos,"Max Planck plate 3: "&amp;$A4&amp;G$2,_xlpm.normal,IFERROR(INDEX(MASTER!$A:$A,MATCH(_xlpm.pos,MASTER!$J:$J,0))&amp;"_ser_0.20_"&amp;TEXT(INDEX(MASTER!$E:$E,MATCH(_xlpm.pos,MASTER!$J:$J,0)),"mmddyy"),""),_xlpm.slot,192+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6" s="4" t="str">
        <f t="array" ref="H26">_xlfn.LET(_xlpm.pos,"Max Planck plate 3: "&amp;$A4&amp;H$2,_xlpm.normal,IFERROR(INDEX(MASTER!$A:$A,MATCH(_xlpm.pos,MASTER!$J:$J,0))&amp;"_ser_0.20_"&amp;TEXT(INDEX(MASTER!$E:$E,MATCH(_xlpm.pos,MASTER!$J:$J,0)),"mmddyy"),""),_xlpm.slot,192+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6" s="4" t="str">
        <f t="array" ref="I26">_xlfn.LET(_xlpm.pos,"Max Planck plate 3: "&amp;$A4&amp;I$2,_xlpm.normal,IFERROR(INDEX(MASTER!$A:$A,MATCH(_xlpm.pos,MASTER!$J:$J,0))&amp;"_ser_0.20_"&amp;TEXT(INDEX(MASTER!$E:$E,MATCH(_xlpm.pos,MASTER!$J:$J,0)),"mmddyy"),""),_xlpm.slot,192+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6" s="4" t="str">
        <f t="array" ref="J26">_xlfn.LET(_xlpm.pos,"Max Planck plate 3: "&amp;$A4&amp;J$2,_xlpm.normal,IFERROR(INDEX(MASTER!$A:$A,MATCH(_xlpm.pos,MASTER!$J:$J,0))&amp;"_ser_0.20_"&amp;TEXT(INDEX(MASTER!$E:$E,MATCH(_xlpm.pos,MASTER!$J:$J,0)),"mmddyy"),""),_xlpm.slot,192+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6" s="4" t="str">
        <f t="array" ref="K26">_xlfn.LET(_xlpm.pos,"Max Planck plate 3: "&amp;$A4&amp;K$2,_xlpm.normal,IFERROR(INDEX(MASTER!$A:$A,MATCH(_xlpm.pos,MASTER!$J:$J,0))&amp;"_ser_0.20_"&amp;TEXT(INDEX(MASTER!$E:$E,MATCH(_xlpm.pos,MASTER!$J:$J,0)),"mmddyy"),""),_xlpm.slot,192+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6" s="4" t="str">
        <f t="array" ref="L26">_xlfn.LET(_xlpm.pos,"Max Planck plate 3: "&amp;$A4&amp;L$2,_xlpm.normal,IFERROR(INDEX(MASTER!$A:$A,MATCH(_xlpm.pos,MASTER!$J:$J,0))&amp;"_ser_0.20_"&amp;TEXT(INDEX(MASTER!$E:$E,MATCH(_xlpm.pos,MASTER!$J:$J,0)),"mmddyy"),""),_xlpm.slot,192+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6" s="4" t="str">
        <f t="array" ref="M26">_xlfn.LET(_xlpm.pos,"Max Planck plate 3: "&amp;$A4&amp;M$2,_xlpm.normal,IFERROR(INDEX(MASTER!$A:$A,MATCH(_xlpm.pos,MASTER!$J:$J,0))&amp;"_ser_0.20_"&amp;TEXT(INDEX(MASTER!$E:$E,MATCH(_xlpm.pos,MASTER!$J:$J,0)),"mmddyy"),""),_xlpm.slot,192+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7" spans="1:13" ht="22" customHeight="1" x14ac:dyDescent="0.3">
      <c r="A27" s="6" t="s">
        <v>32</v>
      </c>
      <c r="B27" s="4" t="str">
        <f t="array" ref="B27">_xlfn.LET(_xlpm.pos,"Max Planck plate 3: "&amp;$A5&amp;B$2,_xlpm.normal,IFERROR(INDEX(MASTER!$A:$A,MATCH(_xlpm.pos,MASTER!$J:$J,0))&amp;"_ser_0.20_"&amp;TEXT(INDEX(MASTER!$E:$E,MATCH(_xlpm.pos,MASTER!$J:$J,0)),"mmddyy"),""),_xlpm.slot,192+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7" s="4" t="str">
        <f t="array" ref="C27">_xlfn.LET(_xlpm.pos,"Max Planck plate 3: "&amp;$A5&amp;C$2,_xlpm.normal,IFERROR(INDEX(MASTER!$A:$A,MATCH(_xlpm.pos,MASTER!$J:$J,0))&amp;"_ser_0.20_"&amp;TEXT(INDEX(MASTER!$E:$E,MATCH(_xlpm.pos,MASTER!$J:$J,0)),"mmddyy"),""),_xlpm.slot,192+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7" s="4" t="str">
        <f t="array" ref="D27">_xlfn.LET(_xlpm.pos,"Max Planck plate 3: "&amp;$A5&amp;D$2,_xlpm.normal,IFERROR(INDEX(MASTER!$A:$A,MATCH(_xlpm.pos,MASTER!$J:$J,0))&amp;"_ser_0.20_"&amp;TEXT(INDEX(MASTER!$E:$E,MATCH(_xlpm.pos,MASTER!$J:$J,0)),"mmddyy"),""),_xlpm.slot,192+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7" s="4" t="str">
        <f t="array" ref="E27">_xlfn.LET(_xlpm.pos,"Max Planck plate 3: "&amp;$A5&amp;E$2,_xlpm.normal,IFERROR(INDEX(MASTER!$A:$A,MATCH(_xlpm.pos,MASTER!$J:$J,0))&amp;"_ser_0.20_"&amp;TEXT(INDEX(MASTER!$E:$E,MATCH(_xlpm.pos,MASTER!$J:$J,0)),"mmddyy"),""),_xlpm.slot,192+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7" s="4" t="str">
        <f t="array" ref="F27">_xlfn.LET(_xlpm.pos,"Max Planck plate 3: "&amp;$A5&amp;F$2,_xlpm.normal,IFERROR(INDEX(MASTER!$A:$A,MATCH(_xlpm.pos,MASTER!$J:$J,0))&amp;"_ser_0.20_"&amp;TEXT(INDEX(MASTER!$E:$E,MATCH(_xlpm.pos,MASTER!$J:$J,0)),"mmddyy"),""),_xlpm.slot,192+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7" s="4" t="str">
        <f t="array" ref="G27">_xlfn.LET(_xlpm.pos,"Max Planck plate 3: "&amp;$A5&amp;G$2,_xlpm.normal,IFERROR(INDEX(MASTER!$A:$A,MATCH(_xlpm.pos,MASTER!$J:$J,0))&amp;"_ser_0.20_"&amp;TEXT(INDEX(MASTER!$E:$E,MATCH(_xlpm.pos,MASTER!$J:$J,0)),"mmddyy"),""),_xlpm.slot,192+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7" s="4" t="str">
        <f t="array" ref="H27">_xlfn.LET(_xlpm.pos,"Max Planck plate 3: "&amp;$A5&amp;H$2,_xlpm.normal,IFERROR(INDEX(MASTER!$A:$A,MATCH(_xlpm.pos,MASTER!$J:$J,0))&amp;"_ser_0.20_"&amp;TEXT(INDEX(MASTER!$E:$E,MATCH(_xlpm.pos,MASTER!$J:$J,0)),"mmddyy"),""),_xlpm.slot,192+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7" s="4" t="str">
        <f t="array" ref="I27">_xlfn.LET(_xlpm.pos,"Max Planck plate 3: "&amp;$A5&amp;I$2,_xlpm.normal,IFERROR(INDEX(MASTER!$A:$A,MATCH(_xlpm.pos,MASTER!$J:$J,0))&amp;"_ser_0.20_"&amp;TEXT(INDEX(MASTER!$E:$E,MATCH(_xlpm.pos,MASTER!$J:$J,0)),"mmddyy"),""),_xlpm.slot,192+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7" s="4" t="str">
        <f t="array" ref="J27">_xlfn.LET(_xlpm.pos,"Max Planck plate 3: "&amp;$A5&amp;J$2,_xlpm.normal,IFERROR(INDEX(MASTER!$A:$A,MATCH(_xlpm.pos,MASTER!$J:$J,0))&amp;"_ser_0.20_"&amp;TEXT(INDEX(MASTER!$E:$E,MATCH(_xlpm.pos,MASTER!$J:$J,0)),"mmddyy"),""),_xlpm.slot,192+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7" s="4" t="str">
        <f t="array" ref="K27">_xlfn.LET(_xlpm.pos,"Max Planck plate 3: "&amp;$A5&amp;K$2,_xlpm.normal,IFERROR(INDEX(MASTER!$A:$A,MATCH(_xlpm.pos,MASTER!$J:$J,0))&amp;"_ser_0.20_"&amp;TEXT(INDEX(MASTER!$E:$E,MATCH(_xlpm.pos,MASTER!$J:$J,0)),"mmddyy"),""),_xlpm.slot,192+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7" s="4" t="str">
        <f t="array" ref="L27">_xlfn.LET(_xlpm.pos,"Max Planck plate 3: "&amp;$A5&amp;L$2,_xlpm.normal,IFERROR(INDEX(MASTER!$A:$A,MATCH(_xlpm.pos,MASTER!$J:$J,0))&amp;"_ser_0.20_"&amp;TEXT(INDEX(MASTER!$E:$E,MATCH(_xlpm.pos,MASTER!$J:$J,0)),"mmddyy"),""),_xlpm.slot,192+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7" s="4" t="str">
        <f t="array" ref="M27">_xlfn.LET(_xlpm.pos,"Max Planck plate 3: "&amp;$A5&amp;M$2,_xlpm.normal,IFERROR(INDEX(MASTER!$A:$A,MATCH(_xlpm.pos,MASTER!$J:$J,0))&amp;"_ser_0.20_"&amp;TEXT(INDEX(MASTER!$E:$E,MATCH(_xlpm.pos,MASTER!$J:$J,0)),"mmddyy"),""),_xlpm.slot,192+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8" spans="1:13" ht="22" customHeight="1" x14ac:dyDescent="0.3">
      <c r="A28" s="6" t="s">
        <v>33</v>
      </c>
      <c r="B28" s="4" t="str">
        <f t="array" ref="B28">_xlfn.LET(_xlpm.pos,"Max Planck plate 3: "&amp;$A6&amp;B$2,_xlpm.normal,IFERROR(INDEX(MASTER!$A:$A,MATCH(_xlpm.pos,MASTER!$J:$J,0))&amp;"_ser_0.20_"&amp;TEXT(INDEX(MASTER!$E:$E,MATCH(_xlpm.pos,MASTER!$J:$J,0)),"mmddyy"),""),_xlpm.slot,192+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8" s="4" t="str">
        <f t="array" ref="C28">_xlfn.LET(_xlpm.pos,"Max Planck plate 3: "&amp;$A6&amp;C$2,_xlpm.normal,IFERROR(INDEX(MASTER!$A:$A,MATCH(_xlpm.pos,MASTER!$J:$J,0))&amp;"_ser_0.20_"&amp;TEXT(INDEX(MASTER!$E:$E,MATCH(_xlpm.pos,MASTER!$J:$J,0)),"mmddyy"),""),_xlpm.slot,192+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8" s="4" t="str">
        <f t="array" ref="D28">_xlfn.LET(_xlpm.pos,"Max Planck plate 3: "&amp;$A6&amp;D$2,_xlpm.normal,IFERROR(INDEX(MASTER!$A:$A,MATCH(_xlpm.pos,MASTER!$J:$J,0))&amp;"_ser_0.20_"&amp;TEXT(INDEX(MASTER!$E:$E,MATCH(_xlpm.pos,MASTER!$J:$J,0)),"mmddyy"),""),_xlpm.slot,192+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8" s="4" t="str">
        <f t="array" ref="E28">_xlfn.LET(_xlpm.pos,"Max Planck plate 3: "&amp;$A6&amp;E$2,_xlpm.normal,IFERROR(INDEX(MASTER!$A:$A,MATCH(_xlpm.pos,MASTER!$J:$J,0))&amp;"_ser_0.20_"&amp;TEXT(INDEX(MASTER!$E:$E,MATCH(_xlpm.pos,MASTER!$J:$J,0)),"mmddyy"),""),_xlpm.slot,192+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8" s="4" t="str">
        <f t="array" ref="F28">_xlfn.LET(_xlpm.pos,"Max Planck plate 3: "&amp;$A6&amp;F$2,_xlpm.normal,IFERROR(INDEX(MASTER!$A:$A,MATCH(_xlpm.pos,MASTER!$J:$J,0))&amp;"_ser_0.20_"&amp;TEXT(INDEX(MASTER!$E:$E,MATCH(_xlpm.pos,MASTER!$J:$J,0)),"mmddyy"),""),_xlpm.slot,192+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8" s="4" t="str">
        <f t="array" ref="G28">_xlfn.LET(_xlpm.pos,"Max Planck plate 3: "&amp;$A6&amp;G$2,_xlpm.normal,IFERROR(INDEX(MASTER!$A:$A,MATCH(_xlpm.pos,MASTER!$J:$J,0))&amp;"_ser_0.20_"&amp;TEXT(INDEX(MASTER!$E:$E,MATCH(_xlpm.pos,MASTER!$J:$J,0)),"mmddyy"),""),_xlpm.slot,192+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8" s="4" t="str">
        <f t="array" ref="H28">_xlfn.LET(_xlpm.pos,"Max Planck plate 3: "&amp;$A6&amp;H$2,_xlpm.normal,IFERROR(INDEX(MASTER!$A:$A,MATCH(_xlpm.pos,MASTER!$J:$J,0))&amp;"_ser_0.20_"&amp;TEXT(INDEX(MASTER!$E:$E,MATCH(_xlpm.pos,MASTER!$J:$J,0)),"mmddyy"),""),_xlpm.slot,192+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8" s="4" t="str">
        <f t="array" ref="I28">_xlfn.LET(_xlpm.pos,"Max Planck plate 3: "&amp;$A6&amp;I$2,_xlpm.normal,IFERROR(INDEX(MASTER!$A:$A,MATCH(_xlpm.pos,MASTER!$J:$J,0))&amp;"_ser_0.20_"&amp;TEXT(INDEX(MASTER!$E:$E,MATCH(_xlpm.pos,MASTER!$J:$J,0)),"mmddyy"),""),_xlpm.slot,192+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8" s="4" t="str">
        <f t="array" ref="J28">_xlfn.LET(_xlpm.pos,"Max Planck plate 3: "&amp;$A6&amp;J$2,_xlpm.normal,IFERROR(INDEX(MASTER!$A:$A,MATCH(_xlpm.pos,MASTER!$J:$J,0))&amp;"_ser_0.20_"&amp;TEXT(INDEX(MASTER!$E:$E,MATCH(_xlpm.pos,MASTER!$J:$J,0)),"mmddyy"),""),_xlpm.slot,192+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8" s="4" t="str">
        <f t="array" ref="K28">_xlfn.LET(_xlpm.pos,"Max Planck plate 3: "&amp;$A6&amp;K$2,_xlpm.normal,IFERROR(INDEX(MASTER!$A:$A,MATCH(_xlpm.pos,MASTER!$J:$J,0))&amp;"_ser_0.20_"&amp;TEXT(INDEX(MASTER!$E:$E,MATCH(_xlpm.pos,MASTER!$J:$J,0)),"mmddyy"),""),_xlpm.slot,192+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8" s="4" t="str">
        <f t="array" ref="L28">_xlfn.LET(_xlpm.pos,"Max Planck plate 3: "&amp;$A6&amp;L$2,_xlpm.normal,IFERROR(INDEX(MASTER!$A:$A,MATCH(_xlpm.pos,MASTER!$J:$J,0))&amp;"_ser_0.20_"&amp;TEXT(INDEX(MASTER!$E:$E,MATCH(_xlpm.pos,MASTER!$J:$J,0)),"mmddyy"),""),_xlpm.slot,192+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8" s="4" t="str">
        <f t="array" ref="M28">_xlfn.LET(_xlpm.pos,"Max Planck plate 3: "&amp;$A6&amp;M$2,_xlpm.normal,IFERROR(INDEX(MASTER!$A:$A,MATCH(_xlpm.pos,MASTER!$J:$J,0))&amp;"_ser_0.20_"&amp;TEXT(INDEX(MASTER!$E:$E,MATCH(_xlpm.pos,MASTER!$J:$J,0)),"mmddyy"),""),_xlpm.slot,192+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9" spans="1:13" ht="22" customHeight="1" x14ac:dyDescent="0.3">
      <c r="A29" s="6" t="s">
        <v>34</v>
      </c>
      <c r="B29" s="4" t="str">
        <f t="array" ref="B29">_xlfn.LET(_xlpm.pos,"Max Planck plate 3: "&amp;$A7&amp;B$2,_xlpm.normal,IFERROR(INDEX(MASTER!$A:$A,MATCH(_xlpm.pos,MASTER!$J:$J,0))&amp;"_ser_0.20_"&amp;TEXT(INDEX(MASTER!$E:$E,MATCH(_xlpm.pos,MASTER!$J:$J,0)),"mmddyy"),""),_xlpm.slot,192+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9" s="4" t="str">
        <f t="array" ref="C29">_xlfn.LET(_xlpm.pos,"Max Planck plate 3: "&amp;$A7&amp;C$2,_xlpm.normal,IFERROR(INDEX(MASTER!$A:$A,MATCH(_xlpm.pos,MASTER!$J:$J,0))&amp;"_ser_0.20_"&amp;TEXT(INDEX(MASTER!$E:$E,MATCH(_xlpm.pos,MASTER!$J:$J,0)),"mmddyy"),""),_xlpm.slot,192+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9" s="4" t="str">
        <f t="array" ref="D29">_xlfn.LET(_xlpm.pos,"Max Planck plate 3: "&amp;$A7&amp;D$2,_xlpm.normal,IFERROR(INDEX(MASTER!$A:$A,MATCH(_xlpm.pos,MASTER!$J:$J,0))&amp;"_ser_0.20_"&amp;TEXT(INDEX(MASTER!$E:$E,MATCH(_xlpm.pos,MASTER!$J:$J,0)),"mmddyy"),""),_xlpm.slot,192+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9" s="4" t="str">
        <f t="array" ref="E29">_xlfn.LET(_xlpm.pos,"Max Planck plate 3: "&amp;$A7&amp;E$2,_xlpm.normal,IFERROR(INDEX(MASTER!$A:$A,MATCH(_xlpm.pos,MASTER!$J:$J,0))&amp;"_ser_0.20_"&amp;TEXT(INDEX(MASTER!$E:$E,MATCH(_xlpm.pos,MASTER!$J:$J,0)),"mmddyy"),""),_xlpm.slot,192+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9" s="4" t="str">
        <f t="array" ref="F29">_xlfn.LET(_xlpm.pos,"Max Planck plate 3: "&amp;$A7&amp;F$2,_xlpm.normal,IFERROR(INDEX(MASTER!$A:$A,MATCH(_xlpm.pos,MASTER!$J:$J,0))&amp;"_ser_0.20_"&amp;TEXT(INDEX(MASTER!$E:$E,MATCH(_xlpm.pos,MASTER!$J:$J,0)),"mmddyy"),""),_xlpm.slot,192+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9" s="4" t="str">
        <f t="array" ref="G29">_xlfn.LET(_xlpm.pos,"Max Planck plate 3: "&amp;$A7&amp;G$2,_xlpm.normal,IFERROR(INDEX(MASTER!$A:$A,MATCH(_xlpm.pos,MASTER!$J:$J,0))&amp;"_ser_0.20_"&amp;TEXT(INDEX(MASTER!$E:$E,MATCH(_xlpm.pos,MASTER!$J:$J,0)),"mmddyy"),""),_xlpm.slot,192+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9" s="4" t="str">
        <f t="array" ref="H29">_xlfn.LET(_xlpm.pos,"Max Planck plate 3: "&amp;$A7&amp;H$2,_xlpm.normal,IFERROR(INDEX(MASTER!$A:$A,MATCH(_xlpm.pos,MASTER!$J:$J,0))&amp;"_ser_0.20_"&amp;TEXT(INDEX(MASTER!$E:$E,MATCH(_xlpm.pos,MASTER!$J:$J,0)),"mmddyy"),""),_xlpm.slot,192+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9" s="4" t="str">
        <f t="array" ref="I29">_xlfn.LET(_xlpm.pos,"Max Planck plate 3: "&amp;$A7&amp;I$2,_xlpm.normal,IFERROR(INDEX(MASTER!$A:$A,MATCH(_xlpm.pos,MASTER!$J:$J,0))&amp;"_ser_0.20_"&amp;TEXT(INDEX(MASTER!$E:$E,MATCH(_xlpm.pos,MASTER!$J:$J,0)),"mmddyy"),""),_xlpm.slot,192+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9" s="4" t="str">
        <f t="array" ref="J29">_xlfn.LET(_xlpm.pos,"Max Planck plate 3: "&amp;$A7&amp;J$2,_xlpm.normal,IFERROR(INDEX(MASTER!$A:$A,MATCH(_xlpm.pos,MASTER!$J:$J,0))&amp;"_ser_0.20_"&amp;TEXT(INDEX(MASTER!$E:$E,MATCH(_xlpm.pos,MASTER!$J:$J,0)),"mmddyy"),""),_xlpm.slot,192+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9" s="4" t="str">
        <f t="array" ref="K29">_xlfn.LET(_xlpm.pos,"Max Planck plate 3: "&amp;$A7&amp;K$2,_xlpm.normal,IFERROR(INDEX(MASTER!$A:$A,MATCH(_xlpm.pos,MASTER!$J:$J,0))&amp;"_ser_0.20_"&amp;TEXT(INDEX(MASTER!$E:$E,MATCH(_xlpm.pos,MASTER!$J:$J,0)),"mmddyy"),""),_xlpm.slot,192+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9" s="4" t="str">
        <f t="array" ref="L29">_xlfn.LET(_xlpm.pos,"Max Planck plate 3: "&amp;$A7&amp;L$2,_xlpm.normal,IFERROR(INDEX(MASTER!$A:$A,MATCH(_xlpm.pos,MASTER!$J:$J,0))&amp;"_ser_0.20_"&amp;TEXT(INDEX(MASTER!$E:$E,MATCH(_xlpm.pos,MASTER!$J:$J,0)),"mmddyy"),""),_xlpm.slot,192+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9" s="4" t="str">
        <f t="array" ref="M29">_xlfn.LET(_xlpm.pos,"Max Planck plate 3: "&amp;$A7&amp;M$2,_xlpm.normal,IFERROR(INDEX(MASTER!$A:$A,MATCH(_xlpm.pos,MASTER!$J:$J,0))&amp;"_ser_0.20_"&amp;TEXT(INDEX(MASTER!$E:$E,MATCH(_xlpm.pos,MASTER!$J:$J,0)),"mmddyy"),""),_xlpm.slot,192+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30" spans="1:13" ht="22" customHeight="1" x14ac:dyDescent="0.3">
      <c r="A30" s="6" t="s">
        <v>15</v>
      </c>
      <c r="B30" s="4" t="str">
        <f t="array" ref="B30">_xlfn.LET(_xlpm.pos,"Max Planck plate 3: "&amp;$A8&amp;B$2,_xlpm.normal,IFERROR(INDEX(MASTER!$A:$A,MATCH(_xlpm.pos,MASTER!$J:$J,0))&amp;"_ser_0.20_"&amp;TEXT(INDEX(MASTER!$E:$E,MATCH(_xlpm.pos,MASTER!$J:$J,0)),"mmddyy"),""),_xlpm.slot,192+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30" s="4" t="str">
        <f t="array" ref="C30">_xlfn.LET(_xlpm.pos,"Max Planck plate 3: "&amp;$A8&amp;C$2,_xlpm.normal,IFERROR(INDEX(MASTER!$A:$A,MATCH(_xlpm.pos,MASTER!$J:$J,0))&amp;"_ser_0.20_"&amp;TEXT(INDEX(MASTER!$E:$E,MATCH(_xlpm.pos,MASTER!$J:$J,0)),"mmddyy"),""),_xlpm.slot,192+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30" s="4" t="str">
        <f t="array" ref="D30">_xlfn.LET(_xlpm.pos,"Max Planck plate 3: "&amp;$A8&amp;D$2,_xlpm.normal,IFERROR(INDEX(MASTER!$A:$A,MATCH(_xlpm.pos,MASTER!$J:$J,0))&amp;"_ser_0.20_"&amp;TEXT(INDEX(MASTER!$E:$E,MATCH(_xlpm.pos,MASTER!$J:$J,0)),"mmddyy"),""),_xlpm.slot,192+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30" s="4" t="str">
        <f t="array" ref="E30">_xlfn.LET(_xlpm.pos,"Max Planck plate 3: "&amp;$A8&amp;E$2,_xlpm.normal,IFERROR(INDEX(MASTER!$A:$A,MATCH(_xlpm.pos,MASTER!$J:$J,0))&amp;"_ser_0.20_"&amp;TEXT(INDEX(MASTER!$E:$E,MATCH(_xlpm.pos,MASTER!$J:$J,0)),"mmddyy"),""),_xlpm.slot,192+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30" s="4" t="str">
        <f t="array" ref="F30">_xlfn.LET(_xlpm.pos,"Max Planck plate 3: "&amp;$A8&amp;F$2,_xlpm.normal,IFERROR(INDEX(MASTER!$A:$A,MATCH(_xlpm.pos,MASTER!$J:$J,0))&amp;"_ser_0.20_"&amp;TEXT(INDEX(MASTER!$E:$E,MATCH(_xlpm.pos,MASTER!$J:$J,0)),"mmddyy"),""),_xlpm.slot,192+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30" s="4" t="str">
        <f t="array" ref="G30">_xlfn.LET(_xlpm.pos,"Max Planck plate 3: "&amp;$A8&amp;G$2,_xlpm.normal,IFERROR(INDEX(MASTER!$A:$A,MATCH(_xlpm.pos,MASTER!$J:$J,0))&amp;"_ser_0.20_"&amp;TEXT(INDEX(MASTER!$E:$E,MATCH(_xlpm.pos,MASTER!$J:$J,0)),"mmddyy"),""),_xlpm.slot,192+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30" s="4" t="str">
        <f t="array" ref="H30">_xlfn.LET(_xlpm.pos,"Max Planck plate 3: "&amp;$A8&amp;H$2,_xlpm.normal,IFERROR(INDEX(MASTER!$A:$A,MATCH(_xlpm.pos,MASTER!$J:$J,0))&amp;"_ser_0.20_"&amp;TEXT(INDEX(MASTER!$E:$E,MATCH(_xlpm.pos,MASTER!$J:$J,0)),"mmddyy"),""),_xlpm.slot,192+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30" s="4" t="str">
        <f t="array" ref="I30">_xlfn.LET(_xlpm.pos,"Max Planck plate 3: "&amp;$A8&amp;I$2,_xlpm.normal,IFERROR(INDEX(MASTER!$A:$A,MATCH(_xlpm.pos,MASTER!$J:$J,0))&amp;"_ser_0.20_"&amp;TEXT(INDEX(MASTER!$E:$E,MATCH(_xlpm.pos,MASTER!$J:$J,0)),"mmddyy"),""),_xlpm.slot,192+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30" s="4" t="str">
        <f t="array" ref="J30">_xlfn.LET(_xlpm.pos,"Max Planck plate 3: "&amp;$A8&amp;J$2,_xlpm.normal,IFERROR(INDEX(MASTER!$A:$A,MATCH(_xlpm.pos,MASTER!$J:$J,0))&amp;"_ser_0.20_"&amp;TEXT(INDEX(MASTER!$E:$E,MATCH(_xlpm.pos,MASTER!$J:$J,0)),"mmddyy"),""),_xlpm.slot,192+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30" s="4" t="str">
        <f t="array" ref="K30">_xlfn.LET(_xlpm.pos,"Max Planck plate 3: "&amp;$A8&amp;K$2,_xlpm.normal,IFERROR(INDEX(MASTER!$A:$A,MATCH(_xlpm.pos,MASTER!$J:$J,0))&amp;"_ser_0.20_"&amp;TEXT(INDEX(MASTER!$E:$E,MATCH(_xlpm.pos,MASTER!$J:$J,0)),"mmddyy"),""),_xlpm.slot,192+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30" s="4" t="str">
        <f t="array" ref="L30">_xlfn.LET(_xlpm.pos,"Max Planck plate 3: "&amp;$A8&amp;L$2,_xlpm.normal,IFERROR(INDEX(MASTER!$A:$A,MATCH(_xlpm.pos,MASTER!$J:$J,0))&amp;"_ser_0.20_"&amp;TEXT(INDEX(MASTER!$E:$E,MATCH(_xlpm.pos,MASTER!$J:$J,0)),"mmddyy"),""),_xlpm.slot,192+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30" s="4" t="str">
        <f t="array" ref="M30">_xlfn.LET(_xlpm.pos,"Max Planck plate 3: "&amp;$A8&amp;M$2,_xlpm.normal,IFERROR(INDEX(MASTER!$A:$A,MATCH(_xlpm.pos,MASTER!$J:$J,0))&amp;"_ser_0.20_"&amp;TEXT(INDEX(MASTER!$E:$E,MATCH(_xlpm.pos,MASTER!$J:$J,0)),"mmddyy"),""),_xlpm.slot,192+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31" spans="1:13" ht="22" customHeight="1" x14ac:dyDescent="0.3">
      <c r="A31" s="6" t="s">
        <v>35</v>
      </c>
      <c r="B31" s="4" t="str">
        <f t="array" ref="B31">_xlfn.LET(_xlpm.pos,"Max Planck plate 3: "&amp;$A9&amp;B$2,_xlpm.normal,IFERROR(INDEX(MASTER!$A:$A,MATCH(_xlpm.pos,MASTER!$J:$J,0))&amp;"_ser_0.20_"&amp;TEXT(INDEX(MASTER!$E:$E,MATCH(_xlpm.pos,MASTER!$J:$J,0)),"mmddyy"),""),_xlpm.slot,192+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31" s="4" t="str">
        <f t="array" ref="C31">_xlfn.LET(_xlpm.pos,"Max Planck plate 3: "&amp;$A9&amp;C$2,_xlpm.normal,IFERROR(INDEX(MASTER!$A:$A,MATCH(_xlpm.pos,MASTER!$J:$J,0))&amp;"_ser_0.20_"&amp;TEXT(INDEX(MASTER!$E:$E,MATCH(_xlpm.pos,MASTER!$J:$J,0)),"mmddyy"),""),_xlpm.slot,192+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31" s="4" t="str">
        <f t="array" ref="D31">_xlfn.LET(_xlpm.pos,"Max Planck plate 3: "&amp;$A9&amp;D$2,_xlpm.normal,IFERROR(INDEX(MASTER!$A:$A,MATCH(_xlpm.pos,MASTER!$J:$J,0))&amp;"_ser_0.20_"&amp;TEXT(INDEX(MASTER!$E:$E,MATCH(_xlpm.pos,MASTER!$J:$J,0)),"mmddyy"),""),_xlpm.slot,192+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31" s="4" t="str">
        <f t="array" ref="E31">_xlfn.LET(_xlpm.pos,"Max Planck plate 3: "&amp;$A9&amp;E$2,_xlpm.normal,IFERROR(INDEX(MASTER!$A:$A,MATCH(_xlpm.pos,MASTER!$J:$J,0))&amp;"_ser_0.20_"&amp;TEXT(INDEX(MASTER!$E:$E,MATCH(_xlpm.pos,MASTER!$J:$J,0)),"mmddyy"),""),_xlpm.slot,192+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31" s="4" t="str">
        <f t="array" ref="F31">_xlfn.LET(_xlpm.pos,"Max Planck plate 3: "&amp;$A9&amp;F$2,_xlpm.normal,IFERROR(INDEX(MASTER!$A:$A,MATCH(_xlpm.pos,MASTER!$J:$J,0))&amp;"_ser_0.20_"&amp;TEXT(INDEX(MASTER!$E:$E,MATCH(_xlpm.pos,MASTER!$J:$J,0)),"mmddyy"),""),_xlpm.slot,192+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31" s="4" t="str">
        <f t="array" ref="G31">_xlfn.LET(_xlpm.pos,"Max Planck plate 3: "&amp;$A9&amp;G$2,_xlpm.normal,IFERROR(INDEX(MASTER!$A:$A,MATCH(_xlpm.pos,MASTER!$J:$J,0))&amp;"_ser_0.20_"&amp;TEXT(INDEX(MASTER!$E:$E,MATCH(_xlpm.pos,MASTER!$J:$J,0)),"mmddyy"),""),_xlpm.slot,192+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31" s="4" t="str">
        <f t="array" ref="H31">_xlfn.LET(_xlpm.pos,"Max Planck plate 3: "&amp;$A9&amp;H$2,_xlpm.normal,IFERROR(INDEX(MASTER!$A:$A,MATCH(_xlpm.pos,MASTER!$J:$J,0))&amp;"_ser_0.20_"&amp;TEXT(INDEX(MASTER!$E:$E,MATCH(_xlpm.pos,MASTER!$J:$J,0)),"mmddyy"),""),_xlpm.slot,192+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31" s="4" t="str">
        <f t="array" ref="I31">_xlfn.LET(_xlpm.pos,"Max Planck plate 3: "&amp;$A9&amp;I$2,_xlpm.normal,IFERROR(INDEX(MASTER!$A:$A,MATCH(_xlpm.pos,MASTER!$J:$J,0))&amp;"_ser_0.20_"&amp;TEXT(INDEX(MASTER!$E:$E,MATCH(_xlpm.pos,MASTER!$J:$J,0)),"mmddyy"),""),_xlpm.slot,192+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31" s="4" t="str">
        <f t="array" ref="J31">_xlfn.LET(_xlpm.pos,"Max Planck plate 3: "&amp;$A9&amp;J$2,_xlpm.normal,IFERROR(INDEX(MASTER!$A:$A,MATCH(_xlpm.pos,MASTER!$J:$J,0))&amp;"_ser_0.20_"&amp;TEXT(INDEX(MASTER!$E:$E,MATCH(_xlpm.pos,MASTER!$J:$J,0)),"mmddyy"),""),_xlpm.slot,192+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31" s="4" t="str">
        <f t="array" ref="K31">_xlfn.LET(_xlpm.pos,"Max Planck plate 3: "&amp;$A9&amp;K$2,_xlpm.normal,IFERROR(INDEX(MASTER!$A:$A,MATCH(_xlpm.pos,MASTER!$J:$J,0))&amp;"_ser_0.20_"&amp;TEXT(INDEX(MASTER!$E:$E,MATCH(_xlpm.pos,MASTER!$J:$J,0)),"mmddyy"),""),_xlpm.slot,192+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31" s="4" t="str">
        <f t="array" ref="L31">_xlfn.LET(_xlpm.pos,"Max Planck plate 3: "&amp;$A9&amp;L$2,_xlpm.normal,IFERROR(INDEX(MASTER!$A:$A,MATCH(_xlpm.pos,MASTER!$J:$J,0))&amp;"_ser_0.20_"&amp;TEXT(INDEX(MASTER!$E:$E,MATCH(_xlpm.pos,MASTER!$J:$J,0)),"mmddyy"),""),_xlpm.slot,192+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31" s="4" t="str">
        <f t="array" ref="M31">_xlfn.LET(_xlpm.pos,"Max Planck plate 3: "&amp;$A9&amp;M$2,_xlpm.normal,IFERROR(INDEX(MASTER!$A:$A,MATCH(_xlpm.pos,MASTER!$J:$J,0))&amp;"_ser_0.20_"&amp;TEXT(INDEX(MASTER!$E:$E,MATCH(_xlpm.pos,MASTER!$J:$J,0)),"mmddyy"),""),_xlpm.slot,192+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32" spans="1:13" ht="22" customHeight="1" x14ac:dyDescent="0.3">
      <c r="A32" s="6" t="s">
        <v>36</v>
      </c>
      <c r="B32" s="4" t="str">
        <f t="array" ref="B32">_xlfn.LET(_xlpm.pos,"Max Planck plate 3: "&amp;$A10&amp;B$2,_xlpm.normal,IFERROR(INDEX(MASTER!$A:$A,MATCH(_xlpm.pos,MASTER!$J:$J,0))&amp;"_ser_0.20_"&amp;TEXT(INDEX(MASTER!$E:$E,MATCH(_xlpm.pos,MASTER!$J:$J,0)),"mmddyy"),""),_xlpm.slot,192+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32" s="4" t="str">
        <f t="array" ref="C32">_xlfn.LET(_xlpm.pos,"Max Planck plate 3: "&amp;$A10&amp;C$2,_xlpm.normal,IFERROR(INDEX(MASTER!$A:$A,MATCH(_xlpm.pos,MASTER!$J:$J,0))&amp;"_ser_0.20_"&amp;TEXT(INDEX(MASTER!$E:$E,MATCH(_xlpm.pos,MASTER!$J:$J,0)),"mmddyy"),""),_xlpm.slot,192+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32" s="4" t="str">
        <f t="array" ref="D32">_xlfn.LET(_xlpm.pos,"Max Planck plate 3: "&amp;$A10&amp;D$2,_xlpm.normal,IFERROR(INDEX(MASTER!$A:$A,MATCH(_xlpm.pos,MASTER!$J:$J,0))&amp;"_ser_0.20_"&amp;TEXT(INDEX(MASTER!$E:$E,MATCH(_xlpm.pos,MASTER!$J:$J,0)),"mmddyy"),""),_xlpm.slot,192+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32" s="4" t="str">
        <f t="array" ref="E32">_xlfn.LET(_xlpm.pos,"Max Planck plate 3: "&amp;$A10&amp;E$2,_xlpm.normal,IFERROR(INDEX(MASTER!$A:$A,MATCH(_xlpm.pos,MASTER!$J:$J,0))&amp;"_ser_0.20_"&amp;TEXT(INDEX(MASTER!$E:$E,MATCH(_xlpm.pos,MASTER!$J:$J,0)),"mmddyy"),""),_xlpm.slot,192+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32" s="4" t="str">
        <f t="array" ref="F32">_xlfn.LET(_xlpm.pos,"Max Planck plate 3: "&amp;$A10&amp;F$2,_xlpm.normal,IFERROR(INDEX(MASTER!$A:$A,MATCH(_xlpm.pos,MASTER!$J:$J,0))&amp;"_ser_0.20_"&amp;TEXT(INDEX(MASTER!$E:$E,MATCH(_xlpm.pos,MASTER!$J:$J,0)),"mmddyy"),""),_xlpm.slot,192+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32" s="4" t="str">
        <f t="array" ref="G32">_xlfn.LET(_xlpm.pos,"Max Planck plate 3: "&amp;$A10&amp;G$2,_xlpm.normal,IFERROR(INDEX(MASTER!$A:$A,MATCH(_xlpm.pos,MASTER!$J:$J,0))&amp;"_ser_0.20_"&amp;TEXT(INDEX(MASTER!$E:$E,MATCH(_xlpm.pos,MASTER!$J:$J,0)),"mmddyy"),""),_xlpm.slot,192+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32" s="4" t="str">
        <f t="array" ref="H32">_xlfn.LET(_xlpm.pos,"Max Planck plate 3: "&amp;$A10&amp;H$2,_xlpm.normal,IFERROR(INDEX(MASTER!$A:$A,MATCH(_xlpm.pos,MASTER!$J:$J,0))&amp;"_ser_0.20_"&amp;TEXT(INDEX(MASTER!$E:$E,MATCH(_xlpm.pos,MASTER!$J:$J,0)),"mmddyy"),""),_xlpm.slot,192+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32" s="4" t="str">
        <f t="array" ref="I32">_xlfn.LET(_xlpm.pos,"Max Planck plate 3: "&amp;$A10&amp;I$2,_xlpm.normal,IFERROR(INDEX(MASTER!$A:$A,MATCH(_xlpm.pos,MASTER!$J:$J,0))&amp;"_ser_0.20_"&amp;TEXT(INDEX(MASTER!$E:$E,MATCH(_xlpm.pos,MASTER!$J:$J,0)),"mmddyy"),""),_xlpm.slot,192+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32" s="4" t="str">
        <f t="array" ref="J32">_xlfn.LET(_xlpm.pos,"Max Planck plate 3: "&amp;$A10&amp;J$2,_xlpm.normal,IFERROR(INDEX(MASTER!$A:$A,MATCH(_xlpm.pos,MASTER!$J:$J,0))&amp;"_ser_0.20_"&amp;TEXT(INDEX(MASTER!$E:$E,MATCH(_xlpm.pos,MASTER!$J:$J,0)),"mmddyy"),""),_xlpm.slot,192+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32" s="4" t="str">
        <f t="array" ref="K32">_xlfn.LET(_xlpm.pos,"Max Planck plate 3: "&amp;$A10&amp;K$2,_xlpm.normal,IFERROR(INDEX(MASTER!$A:$A,MATCH(_xlpm.pos,MASTER!$J:$J,0))&amp;"_ser_0.20_"&amp;TEXT(INDEX(MASTER!$E:$E,MATCH(_xlpm.pos,MASTER!$J:$J,0)),"mmddyy"),""),_xlpm.slot,192+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32" s="4" t="str">
        <f t="array" ref="L32">_xlfn.LET(_xlpm.pos,"Max Planck plate 3: "&amp;$A10&amp;L$2,_xlpm.normal,IFERROR(INDEX(MASTER!$A:$A,MATCH(_xlpm.pos,MASTER!$J:$J,0))&amp;"_ser_0.20_"&amp;TEXT(INDEX(MASTER!$E:$E,MATCH(_xlpm.pos,MASTER!$J:$J,0)),"mmddyy"),""),_xlpm.slot,192+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32" s="4" t="str">
        <f t="array" ref="M32">_xlfn.LET(_xlpm.pos,"Max Planck plate 3: "&amp;$A10&amp;M$2,_xlpm.normal,IFERROR(INDEX(MASTER!$A:$A,MATCH(_xlpm.pos,MASTER!$J:$J,0))&amp;"_ser_0.20_"&amp;TEXT(INDEX(MASTER!$E:$E,MATCH(_xlpm.pos,MASTER!$J:$J,0)),"mmddyy"),""),_xlpm.slot,192+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34" spans="1:13" ht="22" customHeight="1" x14ac:dyDescent="0.35">
      <c r="A34" s="5"/>
      <c r="B34" s="31" t="s">
        <v>81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3"/>
    </row>
    <row r="35" spans="1:13" ht="22" customHeight="1" x14ac:dyDescent="0.3">
      <c r="A35" s="5"/>
      <c r="B35" s="6">
        <v>1</v>
      </c>
      <c r="C35" s="6">
        <v>2</v>
      </c>
      <c r="D35" s="6">
        <v>3</v>
      </c>
      <c r="E35" s="6">
        <v>4</v>
      </c>
      <c r="F35" s="6">
        <v>5</v>
      </c>
      <c r="G35" s="6">
        <v>6</v>
      </c>
      <c r="H35" s="6">
        <v>7</v>
      </c>
      <c r="I35" s="6">
        <v>8</v>
      </c>
      <c r="J35" s="6">
        <v>9</v>
      </c>
      <c r="K35" s="6">
        <v>10</v>
      </c>
      <c r="L35" s="6">
        <v>11</v>
      </c>
      <c r="M35" s="6">
        <v>12</v>
      </c>
    </row>
    <row r="36" spans="1:13" ht="22" customHeight="1" x14ac:dyDescent="0.3">
      <c r="A36" s="6" t="s">
        <v>30</v>
      </c>
      <c r="B36" s="4" t="str">
        <f t="array" ref="B36">_xlfn.LET(_xlpm.pos,"Max Planck plate 4: "&amp;$A3&amp;B$2,_xlpm.normal,IFERROR(INDEX(MASTER!$A:$A,MATCH(_xlpm.pos,MASTER!$J:$J,0))&amp;"_ser_0.20_"&amp;TEXT(INDEX(MASTER!$E:$E,MATCH(_xlpm.pos,MASTER!$J:$J,0)),"mmddyy"),""),_xlpm.slot,288+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36" s="4" t="str">
        <f t="array" ref="C36">_xlfn.LET(_xlpm.pos,"Max Planck plate 4: "&amp;$A3&amp;C$2,_xlpm.normal,IFERROR(INDEX(MASTER!$A:$A,MATCH(_xlpm.pos,MASTER!$J:$J,0))&amp;"_ser_0.20_"&amp;TEXT(INDEX(MASTER!$E:$E,MATCH(_xlpm.pos,MASTER!$J:$J,0)),"mmddyy"),""),_xlpm.slot,288+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36" s="4" t="str">
        <f t="array" ref="D36">_xlfn.LET(_xlpm.pos,"Max Planck plate 4: "&amp;$A3&amp;D$2,_xlpm.normal,IFERROR(INDEX(MASTER!$A:$A,MATCH(_xlpm.pos,MASTER!$J:$J,0))&amp;"_ser_0.20_"&amp;TEXT(INDEX(MASTER!$E:$E,MATCH(_xlpm.pos,MASTER!$J:$J,0)),"mmddyy"),""),_xlpm.slot,288+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36" s="4" t="str">
        <f t="array" ref="E36">_xlfn.LET(_xlpm.pos,"Max Planck plate 4: "&amp;$A3&amp;E$2,_xlpm.normal,IFERROR(INDEX(MASTER!$A:$A,MATCH(_xlpm.pos,MASTER!$J:$J,0))&amp;"_ser_0.20_"&amp;TEXT(INDEX(MASTER!$E:$E,MATCH(_xlpm.pos,MASTER!$J:$J,0)),"mmddyy"),""),_xlpm.slot,288+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36" s="4" t="str">
        <f t="array" ref="F36">_xlfn.LET(_xlpm.pos,"Max Planck plate 4: "&amp;$A3&amp;F$2,_xlpm.normal,IFERROR(INDEX(MASTER!$A:$A,MATCH(_xlpm.pos,MASTER!$J:$J,0))&amp;"_ser_0.20_"&amp;TEXT(INDEX(MASTER!$E:$E,MATCH(_xlpm.pos,MASTER!$J:$J,0)),"mmddyy"),""),_xlpm.slot,288+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36" s="4" t="str">
        <f t="array" ref="G36">_xlfn.LET(_xlpm.pos,"Max Planck plate 4: "&amp;$A3&amp;G$2,_xlpm.normal,IFERROR(INDEX(MASTER!$A:$A,MATCH(_xlpm.pos,MASTER!$J:$J,0))&amp;"_ser_0.20_"&amp;TEXT(INDEX(MASTER!$E:$E,MATCH(_xlpm.pos,MASTER!$J:$J,0)),"mmddyy"),""),_xlpm.slot,288+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36" s="4" t="str">
        <f t="array" ref="H36">_xlfn.LET(_xlpm.pos,"Max Planck plate 4: "&amp;$A3&amp;H$2,_xlpm.normal,IFERROR(INDEX(MASTER!$A:$A,MATCH(_xlpm.pos,MASTER!$J:$J,0))&amp;"_ser_0.20_"&amp;TEXT(INDEX(MASTER!$E:$E,MATCH(_xlpm.pos,MASTER!$J:$J,0)),"mmddyy"),""),_xlpm.slot,288+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36" s="4" t="str">
        <f t="array" ref="I36">_xlfn.LET(_xlpm.pos,"Max Planck plate 4: "&amp;$A3&amp;I$2,_xlpm.normal,IFERROR(INDEX(MASTER!$A:$A,MATCH(_xlpm.pos,MASTER!$J:$J,0))&amp;"_ser_0.20_"&amp;TEXT(INDEX(MASTER!$E:$E,MATCH(_xlpm.pos,MASTER!$J:$J,0)),"mmddyy"),""),_xlpm.slot,288+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36" s="4" t="str">
        <f t="array" ref="J36">_xlfn.LET(_xlpm.pos,"Max Planck plate 4: "&amp;$A3&amp;J$2,_xlpm.normal,IFERROR(INDEX(MASTER!$A:$A,MATCH(_xlpm.pos,MASTER!$J:$J,0))&amp;"_ser_0.20_"&amp;TEXT(INDEX(MASTER!$E:$E,MATCH(_xlpm.pos,MASTER!$J:$J,0)),"mmddyy"),""),_xlpm.slot,288+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36" s="4" t="str">
        <f t="array" ref="K36">_xlfn.LET(_xlpm.pos,"Max Planck plate 4: "&amp;$A3&amp;K$2,_xlpm.normal,IFERROR(INDEX(MASTER!$A:$A,MATCH(_xlpm.pos,MASTER!$J:$J,0))&amp;"_ser_0.20_"&amp;TEXT(INDEX(MASTER!$E:$E,MATCH(_xlpm.pos,MASTER!$J:$J,0)),"mmddyy"),""),_xlpm.slot,288+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36" s="4" t="str">
        <f t="array" ref="L36">_xlfn.LET(_xlpm.pos,"Max Planck plate 4: "&amp;$A3&amp;L$2,_xlpm.normal,IFERROR(INDEX(MASTER!$A:$A,MATCH(_xlpm.pos,MASTER!$J:$J,0))&amp;"_ser_0.20_"&amp;TEXT(INDEX(MASTER!$E:$E,MATCH(_xlpm.pos,MASTER!$J:$J,0)),"mmddyy"),""),_xlpm.slot,288+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36" s="4" t="str">
        <f t="array" ref="M36">_xlfn.LET(_xlpm.pos,"Max Planck plate 4: "&amp;$A3&amp;M$2,_xlpm.normal,IFERROR(INDEX(MASTER!$A:$A,MATCH(_xlpm.pos,MASTER!$J:$J,0))&amp;"_ser_0.20_"&amp;TEXT(INDEX(MASTER!$E:$E,MATCH(_xlpm.pos,MASTER!$J:$J,0)),"mmddyy"),""),_xlpm.slot,288+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37" spans="1:13" ht="22" customHeight="1" x14ac:dyDescent="0.3">
      <c r="A37" s="6" t="s">
        <v>31</v>
      </c>
      <c r="B37" s="4" t="str">
        <f t="array" ref="B37">_xlfn.LET(_xlpm.pos,"Max Planck plate 4: "&amp;$A4&amp;B$2,_xlpm.normal,IFERROR(INDEX(MASTER!$A:$A,MATCH(_xlpm.pos,MASTER!$J:$J,0))&amp;"_ser_0.20_"&amp;TEXT(INDEX(MASTER!$E:$E,MATCH(_xlpm.pos,MASTER!$J:$J,0)),"mmddyy"),""),_xlpm.slot,288+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37" s="4" t="str">
        <f t="array" ref="C37">_xlfn.LET(_xlpm.pos,"Max Planck plate 4: "&amp;$A4&amp;C$2,_xlpm.normal,IFERROR(INDEX(MASTER!$A:$A,MATCH(_xlpm.pos,MASTER!$J:$J,0))&amp;"_ser_0.20_"&amp;TEXT(INDEX(MASTER!$E:$E,MATCH(_xlpm.pos,MASTER!$J:$J,0)),"mmddyy"),""),_xlpm.slot,288+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37" s="4" t="str">
        <f t="array" ref="D37">_xlfn.LET(_xlpm.pos,"Max Planck plate 4: "&amp;$A4&amp;D$2,_xlpm.normal,IFERROR(INDEX(MASTER!$A:$A,MATCH(_xlpm.pos,MASTER!$J:$J,0))&amp;"_ser_0.20_"&amp;TEXT(INDEX(MASTER!$E:$E,MATCH(_xlpm.pos,MASTER!$J:$J,0)),"mmddyy"),""),_xlpm.slot,288+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37" s="4" t="str">
        <f t="array" ref="E37">_xlfn.LET(_xlpm.pos,"Max Planck plate 4: "&amp;$A4&amp;E$2,_xlpm.normal,IFERROR(INDEX(MASTER!$A:$A,MATCH(_xlpm.pos,MASTER!$J:$J,0))&amp;"_ser_0.20_"&amp;TEXT(INDEX(MASTER!$E:$E,MATCH(_xlpm.pos,MASTER!$J:$J,0)),"mmddyy"),""),_xlpm.slot,288+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37" s="4" t="str">
        <f t="array" ref="F37">_xlfn.LET(_xlpm.pos,"Max Planck plate 4: "&amp;$A4&amp;F$2,_xlpm.normal,IFERROR(INDEX(MASTER!$A:$A,MATCH(_xlpm.pos,MASTER!$J:$J,0))&amp;"_ser_0.20_"&amp;TEXT(INDEX(MASTER!$E:$E,MATCH(_xlpm.pos,MASTER!$J:$J,0)),"mmddyy"),""),_xlpm.slot,288+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37" s="4" t="str">
        <f t="array" ref="G37">_xlfn.LET(_xlpm.pos,"Max Planck plate 4: "&amp;$A4&amp;G$2,_xlpm.normal,IFERROR(INDEX(MASTER!$A:$A,MATCH(_xlpm.pos,MASTER!$J:$J,0))&amp;"_ser_0.20_"&amp;TEXT(INDEX(MASTER!$E:$E,MATCH(_xlpm.pos,MASTER!$J:$J,0)),"mmddyy"),""),_xlpm.slot,288+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37" s="4" t="str">
        <f t="array" ref="H37">_xlfn.LET(_xlpm.pos,"Max Planck plate 4: "&amp;$A4&amp;H$2,_xlpm.normal,IFERROR(INDEX(MASTER!$A:$A,MATCH(_xlpm.pos,MASTER!$J:$J,0))&amp;"_ser_0.20_"&amp;TEXT(INDEX(MASTER!$E:$E,MATCH(_xlpm.pos,MASTER!$J:$J,0)),"mmddyy"),""),_xlpm.slot,288+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37" s="4" t="str">
        <f t="array" ref="I37">_xlfn.LET(_xlpm.pos,"Max Planck plate 4: "&amp;$A4&amp;I$2,_xlpm.normal,IFERROR(INDEX(MASTER!$A:$A,MATCH(_xlpm.pos,MASTER!$J:$J,0))&amp;"_ser_0.20_"&amp;TEXT(INDEX(MASTER!$E:$E,MATCH(_xlpm.pos,MASTER!$J:$J,0)),"mmddyy"),""),_xlpm.slot,288+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37" s="4" t="str">
        <f t="array" ref="J37">_xlfn.LET(_xlpm.pos,"Max Planck plate 4: "&amp;$A4&amp;J$2,_xlpm.normal,IFERROR(INDEX(MASTER!$A:$A,MATCH(_xlpm.pos,MASTER!$J:$J,0))&amp;"_ser_0.20_"&amp;TEXT(INDEX(MASTER!$E:$E,MATCH(_xlpm.pos,MASTER!$J:$J,0)),"mmddyy"),""),_xlpm.slot,288+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37" s="4" t="str">
        <f t="array" ref="K37">_xlfn.LET(_xlpm.pos,"Max Planck plate 4: "&amp;$A4&amp;K$2,_xlpm.normal,IFERROR(INDEX(MASTER!$A:$A,MATCH(_xlpm.pos,MASTER!$J:$J,0))&amp;"_ser_0.20_"&amp;TEXT(INDEX(MASTER!$E:$E,MATCH(_xlpm.pos,MASTER!$J:$J,0)),"mmddyy"),""),_xlpm.slot,288+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37" s="4" t="str">
        <f t="array" ref="L37">_xlfn.LET(_xlpm.pos,"Max Planck plate 4: "&amp;$A4&amp;L$2,_xlpm.normal,IFERROR(INDEX(MASTER!$A:$A,MATCH(_xlpm.pos,MASTER!$J:$J,0))&amp;"_ser_0.20_"&amp;TEXT(INDEX(MASTER!$E:$E,MATCH(_xlpm.pos,MASTER!$J:$J,0)),"mmddyy"),""),_xlpm.slot,288+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37" s="4" t="str">
        <f t="array" ref="M37">_xlfn.LET(_xlpm.pos,"Max Planck plate 4: "&amp;$A4&amp;M$2,_xlpm.normal,IFERROR(INDEX(MASTER!$A:$A,MATCH(_xlpm.pos,MASTER!$J:$J,0))&amp;"_ser_0.20_"&amp;TEXT(INDEX(MASTER!$E:$E,MATCH(_xlpm.pos,MASTER!$J:$J,0)),"mmddyy"),""),_xlpm.slot,288+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38" spans="1:13" ht="22" customHeight="1" x14ac:dyDescent="0.3">
      <c r="A38" s="6" t="s">
        <v>32</v>
      </c>
      <c r="B38" s="4" t="str">
        <f t="array" ref="B38">_xlfn.LET(_xlpm.pos,"Max Planck plate 4: "&amp;$A5&amp;B$2,_xlpm.normal,IFERROR(INDEX(MASTER!$A:$A,MATCH(_xlpm.pos,MASTER!$J:$J,0))&amp;"_ser_0.20_"&amp;TEXT(INDEX(MASTER!$E:$E,MATCH(_xlpm.pos,MASTER!$J:$J,0)),"mmddyy"),""),_xlpm.slot,288+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38" s="4" t="str">
        <f t="array" ref="C38">_xlfn.LET(_xlpm.pos,"Max Planck plate 4: "&amp;$A5&amp;C$2,_xlpm.normal,IFERROR(INDEX(MASTER!$A:$A,MATCH(_xlpm.pos,MASTER!$J:$J,0))&amp;"_ser_0.20_"&amp;TEXT(INDEX(MASTER!$E:$E,MATCH(_xlpm.pos,MASTER!$J:$J,0)),"mmddyy"),""),_xlpm.slot,288+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38" s="4" t="str">
        <f t="array" ref="D38">_xlfn.LET(_xlpm.pos,"Max Planck plate 4: "&amp;$A5&amp;D$2,_xlpm.normal,IFERROR(INDEX(MASTER!$A:$A,MATCH(_xlpm.pos,MASTER!$J:$J,0))&amp;"_ser_0.20_"&amp;TEXT(INDEX(MASTER!$E:$E,MATCH(_xlpm.pos,MASTER!$J:$J,0)),"mmddyy"),""),_xlpm.slot,288+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38" s="4" t="str">
        <f t="array" ref="E38">_xlfn.LET(_xlpm.pos,"Max Planck plate 4: "&amp;$A5&amp;E$2,_xlpm.normal,IFERROR(INDEX(MASTER!$A:$A,MATCH(_xlpm.pos,MASTER!$J:$J,0))&amp;"_ser_0.20_"&amp;TEXT(INDEX(MASTER!$E:$E,MATCH(_xlpm.pos,MASTER!$J:$J,0)),"mmddyy"),""),_xlpm.slot,288+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38" s="4" t="str">
        <f t="array" ref="F38">_xlfn.LET(_xlpm.pos,"Max Planck plate 4: "&amp;$A5&amp;F$2,_xlpm.normal,IFERROR(INDEX(MASTER!$A:$A,MATCH(_xlpm.pos,MASTER!$J:$J,0))&amp;"_ser_0.20_"&amp;TEXT(INDEX(MASTER!$E:$E,MATCH(_xlpm.pos,MASTER!$J:$J,0)),"mmddyy"),""),_xlpm.slot,288+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38" s="4" t="str">
        <f t="array" ref="G38">_xlfn.LET(_xlpm.pos,"Max Planck plate 4: "&amp;$A5&amp;G$2,_xlpm.normal,IFERROR(INDEX(MASTER!$A:$A,MATCH(_xlpm.pos,MASTER!$J:$J,0))&amp;"_ser_0.20_"&amp;TEXT(INDEX(MASTER!$E:$E,MATCH(_xlpm.pos,MASTER!$J:$J,0)),"mmddyy"),""),_xlpm.slot,288+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38" s="4" t="str">
        <f t="array" ref="H38">_xlfn.LET(_xlpm.pos,"Max Planck plate 4: "&amp;$A5&amp;H$2,_xlpm.normal,IFERROR(INDEX(MASTER!$A:$A,MATCH(_xlpm.pos,MASTER!$J:$J,0))&amp;"_ser_0.20_"&amp;TEXT(INDEX(MASTER!$E:$E,MATCH(_xlpm.pos,MASTER!$J:$J,0)),"mmddyy"),""),_xlpm.slot,288+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38" s="4" t="str">
        <f t="array" ref="I38">_xlfn.LET(_xlpm.pos,"Max Planck plate 4: "&amp;$A5&amp;I$2,_xlpm.normal,IFERROR(INDEX(MASTER!$A:$A,MATCH(_xlpm.pos,MASTER!$J:$J,0))&amp;"_ser_0.20_"&amp;TEXT(INDEX(MASTER!$E:$E,MATCH(_xlpm.pos,MASTER!$J:$J,0)),"mmddyy"),""),_xlpm.slot,288+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38" s="4" t="str">
        <f t="array" ref="J38">_xlfn.LET(_xlpm.pos,"Max Planck plate 4: "&amp;$A5&amp;J$2,_xlpm.normal,IFERROR(INDEX(MASTER!$A:$A,MATCH(_xlpm.pos,MASTER!$J:$J,0))&amp;"_ser_0.20_"&amp;TEXT(INDEX(MASTER!$E:$E,MATCH(_xlpm.pos,MASTER!$J:$J,0)),"mmddyy"),""),_xlpm.slot,288+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38" s="4" t="str">
        <f t="array" ref="K38">_xlfn.LET(_xlpm.pos,"Max Planck plate 4: "&amp;$A5&amp;K$2,_xlpm.normal,IFERROR(INDEX(MASTER!$A:$A,MATCH(_xlpm.pos,MASTER!$J:$J,0))&amp;"_ser_0.20_"&amp;TEXT(INDEX(MASTER!$E:$E,MATCH(_xlpm.pos,MASTER!$J:$J,0)),"mmddyy"),""),_xlpm.slot,288+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38" s="4" t="str">
        <f t="array" ref="L38">_xlfn.LET(_xlpm.pos,"Max Planck plate 4: "&amp;$A5&amp;L$2,_xlpm.normal,IFERROR(INDEX(MASTER!$A:$A,MATCH(_xlpm.pos,MASTER!$J:$J,0))&amp;"_ser_0.20_"&amp;TEXT(INDEX(MASTER!$E:$E,MATCH(_xlpm.pos,MASTER!$J:$J,0)),"mmddyy"),""),_xlpm.slot,288+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38" s="4" t="str">
        <f t="array" ref="M38">_xlfn.LET(_xlpm.pos,"Max Planck plate 4: "&amp;$A5&amp;M$2,_xlpm.normal,IFERROR(INDEX(MASTER!$A:$A,MATCH(_xlpm.pos,MASTER!$J:$J,0))&amp;"_ser_0.20_"&amp;TEXT(INDEX(MASTER!$E:$E,MATCH(_xlpm.pos,MASTER!$J:$J,0)),"mmddyy"),""),_xlpm.slot,288+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39" spans="1:13" ht="22" customHeight="1" x14ac:dyDescent="0.3">
      <c r="A39" s="6" t="s">
        <v>33</v>
      </c>
      <c r="B39" s="4" t="str">
        <f t="array" ref="B39">_xlfn.LET(_xlpm.pos,"Max Planck plate 4: "&amp;$A6&amp;B$2,_xlpm.normal,IFERROR(INDEX(MASTER!$A:$A,MATCH(_xlpm.pos,MASTER!$J:$J,0))&amp;"_ser_0.20_"&amp;TEXT(INDEX(MASTER!$E:$E,MATCH(_xlpm.pos,MASTER!$J:$J,0)),"mmddyy"),""),_xlpm.slot,288+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39" s="4" t="str">
        <f t="array" ref="C39">_xlfn.LET(_xlpm.pos,"Max Planck plate 4: "&amp;$A6&amp;C$2,_xlpm.normal,IFERROR(INDEX(MASTER!$A:$A,MATCH(_xlpm.pos,MASTER!$J:$J,0))&amp;"_ser_0.20_"&amp;TEXT(INDEX(MASTER!$E:$E,MATCH(_xlpm.pos,MASTER!$J:$J,0)),"mmddyy"),""),_xlpm.slot,288+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39" s="4" t="str">
        <f t="array" ref="D39">_xlfn.LET(_xlpm.pos,"Max Planck plate 4: "&amp;$A6&amp;D$2,_xlpm.normal,IFERROR(INDEX(MASTER!$A:$A,MATCH(_xlpm.pos,MASTER!$J:$J,0))&amp;"_ser_0.20_"&amp;TEXT(INDEX(MASTER!$E:$E,MATCH(_xlpm.pos,MASTER!$J:$J,0)),"mmddyy"),""),_xlpm.slot,288+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39" s="4" t="str">
        <f t="array" ref="E39">_xlfn.LET(_xlpm.pos,"Max Planck plate 4: "&amp;$A6&amp;E$2,_xlpm.normal,IFERROR(INDEX(MASTER!$A:$A,MATCH(_xlpm.pos,MASTER!$J:$J,0))&amp;"_ser_0.20_"&amp;TEXT(INDEX(MASTER!$E:$E,MATCH(_xlpm.pos,MASTER!$J:$J,0)),"mmddyy"),""),_xlpm.slot,288+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39" s="4" t="str">
        <f t="array" ref="F39">_xlfn.LET(_xlpm.pos,"Max Planck plate 4: "&amp;$A6&amp;F$2,_xlpm.normal,IFERROR(INDEX(MASTER!$A:$A,MATCH(_xlpm.pos,MASTER!$J:$J,0))&amp;"_ser_0.20_"&amp;TEXT(INDEX(MASTER!$E:$E,MATCH(_xlpm.pos,MASTER!$J:$J,0)),"mmddyy"),""),_xlpm.slot,288+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39" s="4" t="str">
        <f t="array" ref="G39">_xlfn.LET(_xlpm.pos,"Max Planck plate 4: "&amp;$A6&amp;G$2,_xlpm.normal,IFERROR(INDEX(MASTER!$A:$A,MATCH(_xlpm.pos,MASTER!$J:$J,0))&amp;"_ser_0.20_"&amp;TEXT(INDEX(MASTER!$E:$E,MATCH(_xlpm.pos,MASTER!$J:$J,0)),"mmddyy"),""),_xlpm.slot,288+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39" s="4" t="str">
        <f t="array" ref="H39">_xlfn.LET(_xlpm.pos,"Max Planck plate 4: "&amp;$A6&amp;H$2,_xlpm.normal,IFERROR(INDEX(MASTER!$A:$A,MATCH(_xlpm.pos,MASTER!$J:$J,0))&amp;"_ser_0.20_"&amp;TEXT(INDEX(MASTER!$E:$E,MATCH(_xlpm.pos,MASTER!$J:$J,0)),"mmddyy"),""),_xlpm.slot,288+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39" s="4" t="str">
        <f t="array" ref="I39">_xlfn.LET(_xlpm.pos,"Max Planck plate 4: "&amp;$A6&amp;I$2,_xlpm.normal,IFERROR(INDEX(MASTER!$A:$A,MATCH(_xlpm.pos,MASTER!$J:$J,0))&amp;"_ser_0.20_"&amp;TEXT(INDEX(MASTER!$E:$E,MATCH(_xlpm.pos,MASTER!$J:$J,0)),"mmddyy"),""),_xlpm.slot,288+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39" s="4" t="str">
        <f t="array" ref="J39">_xlfn.LET(_xlpm.pos,"Max Planck plate 4: "&amp;$A6&amp;J$2,_xlpm.normal,IFERROR(INDEX(MASTER!$A:$A,MATCH(_xlpm.pos,MASTER!$J:$J,0))&amp;"_ser_0.20_"&amp;TEXT(INDEX(MASTER!$E:$E,MATCH(_xlpm.pos,MASTER!$J:$J,0)),"mmddyy"),""),_xlpm.slot,288+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39" s="4" t="str">
        <f t="array" ref="K39">_xlfn.LET(_xlpm.pos,"Max Planck plate 4: "&amp;$A6&amp;K$2,_xlpm.normal,IFERROR(INDEX(MASTER!$A:$A,MATCH(_xlpm.pos,MASTER!$J:$J,0))&amp;"_ser_0.20_"&amp;TEXT(INDEX(MASTER!$E:$E,MATCH(_xlpm.pos,MASTER!$J:$J,0)),"mmddyy"),""),_xlpm.slot,288+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39" s="4" t="str">
        <f t="array" ref="L39">_xlfn.LET(_xlpm.pos,"Max Planck plate 4: "&amp;$A6&amp;L$2,_xlpm.normal,IFERROR(INDEX(MASTER!$A:$A,MATCH(_xlpm.pos,MASTER!$J:$J,0))&amp;"_ser_0.20_"&amp;TEXT(INDEX(MASTER!$E:$E,MATCH(_xlpm.pos,MASTER!$J:$J,0)),"mmddyy"),""),_xlpm.slot,288+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39" s="4" t="str">
        <f t="array" ref="M39">_xlfn.LET(_xlpm.pos,"Max Planck plate 4: "&amp;$A6&amp;M$2,_xlpm.normal,IFERROR(INDEX(MASTER!$A:$A,MATCH(_xlpm.pos,MASTER!$J:$J,0))&amp;"_ser_0.20_"&amp;TEXT(INDEX(MASTER!$E:$E,MATCH(_xlpm.pos,MASTER!$J:$J,0)),"mmddyy"),""),_xlpm.slot,288+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40" spans="1:13" ht="22" customHeight="1" x14ac:dyDescent="0.3">
      <c r="A40" s="6" t="s">
        <v>34</v>
      </c>
      <c r="B40" s="4" t="str">
        <f t="array" ref="B40">_xlfn.LET(_xlpm.pos,"Max Planck plate 4: "&amp;$A7&amp;B$2,_xlpm.normal,IFERROR(INDEX(MASTER!$A:$A,MATCH(_xlpm.pos,MASTER!$J:$J,0))&amp;"_ser_0.20_"&amp;TEXT(INDEX(MASTER!$E:$E,MATCH(_xlpm.pos,MASTER!$J:$J,0)),"mmddyy"),""),_xlpm.slot,288+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40" s="4" t="str">
        <f t="array" ref="C40">_xlfn.LET(_xlpm.pos,"Max Planck plate 4: "&amp;$A7&amp;C$2,_xlpm.normal,IFERROR(INDEX(MASTER!$A:$A,MATCH(_xlpm.pos,MASTER!$J:$J,0))&amp;"_ser_0.20_"&amp;TEXT(INDEX(MASTER!$E:$E,MATCH(_xlpm.pos,MASTER!$J:$J,0)),"mmddyy"),""),_xlpm.slot,288+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40" s="4" t="str">
        <f t="array" ref="D40">_xlfn.LET(_xlpm.pos,"Max Planck plate 4: "&amp;$A7&amp;D$2,_xlpm.normal,IFERROR(INDEX(MASTER!$A:$A,MATCH(_xlpm.pos,MASTER!$J:$J,0))&amp;"_ser_0.20_"&amp;TEXT(INDEX(MASTER!$E:$E,MATCH(_xlpm.pos,MASTER!$J:$J,0)),"mmddyy"),""),_xlpm.slot,288+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40" s="4" t="str">
        <f t="array" ref="E40">_xlfn.LET(_xlpm.pos,"Max Planck plate 4: "&amp;$A7&amp;E$2,_xlpm.normal,IFERROR(INDEX(MASTER!$A:$A,MATCH(_xlpm.pos,MASTER!$J:$J,0))&amp;"_ser_0.20_"&amp;TEXT(INDEX(MASTER!$E:$E,MATCH(_xlpm.pos,MASTER!$J:$J,0)),"mmddyy"),""),_xlpm.slot,288+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40" s="4" t="str">
        <f t="array" ref="F40">_xlfn.LET(_xlpm.pos,"Max Planck plate 4: "&amp;$A7&amp;F$2,_xlpm.normal,IFERROR(INDEX(MASTER!$A:$A,MATCH(_xlpm.pos,MASTER!$J:$J,0))&amp;"_ser_0.20_"&amp;TEXT(INDEX(MASTER!$E:$E,MATCH(_xlpm.pos,MASTER!$J:$J,0)),"mmddyy"),""),_xlpm.slot,288+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40" s="4" t="str">
        <f t="array" ref="G40">_xlfn.LET(_xlpm.pos,"Max Planck plate 4: "&amp;$A7&amp;G$2,_xlpm.normal,IFERROR(INDEX(MASTER!$A:$A,MATCH(_xlpm.pos,MASTER!$J:$J,0))&amp;"_ser_0.20_"&amp;TEXT(INDEX(MASTER!$E:$E,MATCH(_xlpm.pos,MASTER!$J:$J,0)),"mmddyy"),""),_xlpm.slot,288+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40" s="4" t="str">
        <f t="array" ref="H40">_xlfn.LET(_xlpm.pos,"Max Planck plate 4: "&amp;$A7&amp;H$2,_xlpm.normal,IFERROR(INDEX(MASTER!$A:$A,MATCH(_xlpm.pos,MASTER!$J:$J,0))&amp;"_ser_0.20_"&amp;TEXT(INDEX(MASTER!$E:$E,MATCH(_xlpm.pos,MASTER!$J:$J,0)),"mmddyy"),""),_xlpm.slot,288+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40" s="4" t="str">
        <f t="array" ref="I40">_xlfn.LET(_xlpm.pos,"Max Planck plate 4: "&amp;$A7&amp;I$2,_xlpm.normal,IFERROR(INDEX(MASTER!$A:$A,MATCH(_xlpm.pos,MASTER!$J:$J,0))&amp;"_ser_0.20_"&amp;TEXT(INDEX(MASTER!$E:$E,MATCH(_xlpm.pos,MASTER!$J:$J,0)),"mmddyy"),""),_xlpm.slot,288+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40" s="4" t="str">
        <f t="array" ref="J40">_xlfn.LET(_xlpm.pos,"Max Planck plate 4: "&amp;$A7&amp;J$2,_xlpm.normal,IFERROR(INDEX(MASTER!$A:$A,MATCH(_xlpm.pos,MASTER!$J:$J,0))&amp;"_ser_0.20_"&amp;TEXT(INDEX(MASTER!$E:$E,MATCH(_xlpm.pos,MASTER!$J:$J,0)),"mmddyy"),""),_xlpm.slot,288+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40" s="4" t="str">
        <f t="array" ref="K40">_xlfn.LET(_xlpm.pos,"Max Planck plate 4: "&amp;$A7&amp;K$2,_xlpm.normal,IFERROR(INDEX(MASTER!$A:$A,MATCH(_xlpm.pos,MASTER!$J:$J,0))&amp;"_ser_0.20_"&amp;TEXT(INDEX(MASTER!$E:$E,MATCH(_xlpm.pos,MASTER!$J:$J,0)),"mmddyy"),""),_xlpm.slot,288+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40" s="4" t="str">
        <f t="array" ref="L40">_xlfn.LET(_xlpm.pos,"Max Planck plate 4: "&amp;$A7&amp;L$2,_xlpm.normal,IFERROR(INDEX(MASTER!$A:$A,MATCH(_xlpm.pos,MASTER!$J:$J,0))&amp;"_ser_0.20_"&amp;TEXT(INDEX(MASTER!$E:$E,MATCH(_xlpm.pos,MASTER!$J:$J,0)),"mmddyy"),""),_xlpm.slot,288+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40" s="4" t="str">
        <f t="array" ref="M40">_xlfn.LET(_xlpm.pos,"Max Planck plate 4: "&amp;$A7&amp;M$2,_xlpm.normal,IFERROR(INDEX(MASTER!$A:$A,MATCH(_xlpm.pos,MASTER!$J:$J,0))&amp;"_ser_0.20_"&amp;TEXT(INDEX(MASTER!$E:$E,MATCH(_xlpm.pos,MASTER!$J:$J,0)),"mmddyy"),""),_xlpm.slot,288+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41" spans="1:13" ht="22" customHeight="1" x14ac:dyDescent="0.3">
      <c r="A41" s="6" t="s">
        <v>15</v>
      </c>
      <c r="B41" s="4" t="str">
        <f t="array" ref="B41">_xlfn.LET(_xlpm.pos,"Max Planck plate 4: "&amp;$A8&amp;B$2,_xlpm.normal,IFERROR(INDEX(MASTER!$A:$A,MATCH(_xlpm.pos,MASTER!$J:$J,0))&amp;"_ser_0.20_"&amp;TEXT(INDEX(MASTER!$E:$E,MATCH(_xlpm.pos,MASTER!$J:$J,0)),"mmddyy"),""),_xlpm.slot,288+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41" s="4" t="str">
        <f t="array" ref="C41">_xlfn.LET(_xlpm.pos,"Max Planck plate 4: "&amp;$A8&amp;C$2,_xlpm.normal,IFERROR(INDEX(MASTER!$A:$A,MATCH(_xlpm.pos,MASTER!$J:$J,0))&amp;"_ser_0.20_"&amp;TEXT(INDEX(MASTER!$E:$E,MATCH(_xlpm.pos,MASTER!$J:$J,0)),"mmddyy"),""),_xlpm.slot,288+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41" s="4" t="str">
        <f t="array" ref="D41">_xlfn.LET(_xlpm.pos,"Max Planck plate 4: "&amp;$A8&amp;D$2,_xlpm.normal,IFERROR(INDEX(MASTER!$A:$A,MATCH(_xlpm.pos,MASTER!$J:$J,0))&amp;"_ser_0.20_"&amp;TEXT(INDEX(MASTER!$E:$E,MATCH(_xlpm.pos,MASTER!$J:$J,0)),"mmddyy"),""),_xlpm.slot,288+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41" s="4" t="str">
        <f t="array" ref="E41">_xlfn.LET(_xlpm.pos,"Max Planck plate 4: "&amp;$A8&amp;E$2,_xlpm.normal,IFERROR(INDEX(MASTER!$A:$A,MATCH(_xlpm.pos,MASTER!$J:$J,0))&amp;"_ser_0.20_"&amp;TEXT(INDEX(MASTER!$E:$E,MATCH(_xlpm.pos,MASTER!$J:$J,0)),"mmddyy"),""),_xlpm.slot,288+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41" s="4" t="str">
        <f t="array" ref="F41">_xlfn.LET(_xlpm.pos,"Max Planck plate 4: "&amp;$A8&amp;F$2,_xlpm.normal,IFERROR(INDEX(MASTER!$A:$A,MATCH(_xlpm.pos,MASTER!$J:$J,0))&amp;"_ser_0.20_"&amp;TEXT(INDEX(MASTER!$E:$E,MATCH(_xlpm.pos,MASTER!$J:$J,0)),"mmddyy"),""),_xlpm.slot,288+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41" s="4" t="str">
        <f t="array" ref="G41">_xlfn.LET(_xlpm.pos,"Max Planck plate 4: "&amp;$A8&amp;G$2,_xlpm.normal,IFERROR(INDEX(MASTER!$A:$A,MATCH(_xlpm.pos,MASTER!$J:$J,0))&amp;"_ser_0.20_"&amp;TEXT(INDEX(MASTER!$E:$E,MATCH(_xlpm.pos,MASTER!$J:$J,0)),"mmddyy"),""),_xlpm.slot,288+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41" s="4" t="str">
        <f t="array" ref="H41">_xlfn.LET(_xlpm.pos,"Max Planck plate 4: "&amp;$A8&amp;H$2,_xlpm.normal,IFERROR(INDEX(MASTER!$A:$A,MATCH(_xlpm.pos,MASTER!$J:$J,0))&amp;"_ser_0.20_"&amp;TEXT(INDEX(MASTER!$E:$E,MATCH(_xlpm.pos,MASTER!$J:$J,0)),"mmddyy"),""),_xlpm.slot,288+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41" s="4" t="str">
        <f t="array" ref="I41">_xlfn.LET(_xlpm.pos,"Max Planck plate 4: "&amp;$A8&amp;I$2,_xlpm.normal,IFERROR(INDEX(MASTER!$A:$A,MATCH(_xlpm.pos,MASTER!$J:$J,0))&amp;"_ser_0.20_"&amp;TEXT(INDEX(MASTER!$E:$E,MATCH(_xlpm.pos,MASTER!$J:$J,0)),"mmddyy"),""),_xlpm.slot,288+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41" s="4" t="str">
        <f t="array" ref="J41">_xlfn.LET(_xlpm.pos,"Max Planck plate 4: "&amp;$A8&amp;J$2,_xlpm.normal,IFERROR(INDEX(MASTER!$A:$A,MATCH(_xlpm.pos,MASTER!$J:$J,0))&amp;"_ser_0.20_"&amp;TEXT(INDEX(MASTER!$E:$E,MATCH(_xlpm.pos,MASTER!$J:$J,0)),"mmddyy"),""),_xlpm.slot,288+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41" s="4" t="str">
        <f t="array" ref="K41">_xlfn.LET(_xlpm.pos,"Max Planck plate 4: "&amp;$A8&amp;K$2,_xlpm.normal,IFERROR(INDEX(MASTER!$A:$A,MATCH(_xlpm.pos,MASTER!$J:$J,0))&amp;"_ser_0.20_"&amp;TEXT(INDEX(MASTER!$E:$E,MATCH(_xlpm.pos,MASTER!$J:$J,0)),"mmddyy"),""),_xlpm.slot,288+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41" s="4" t="str">
        <f t="array" ref="L41">_xlfn.LET(_xlpm.pos,"Max Planck plate 4: "&amp;$A8&amp;L$2,_xlpm.normal,IFERROR(INDEX(MASTER!$A:$A,MATCH(_xlpm.pos,MASTER!$J:$J,0))&amp;"_ser_0.20_"&amp;TEXT(INDEX(MASTER!$E:$E,MATCH(_xlpm.pos,MASTER!$J:$J,0)),"mmddyy"),""),_xlpm.slot,288+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41" s="4" t="str">
        <f t="array" ref="M41">_xlfn.LET(_xlpm.pos,"Max Planck plate 4: "&amp;$A8&amp;M$2,_xlpm.normal,IFERROR(INDEX(MASTER!$A:$A,MATCH(_xlpm.pos,MASTER!$J:$J,0))&amp;"_ser_0.20_"&amp;TEXT(INDEX(MASTER!$E:$E,MATCH(_xlpm.pos,MASTER!$J:$J,0)),"mmddyy"),""),_xlpm.slot,288+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42" spans="1:13" ht="22" customHeight="1" x14ac:dyDescent="0.3">
      <c r="A42" s="6" t="s">
        <v>35</v>
      </c>
      <c r="B42" s="4" t="str">
        <f t="array" ref="B42">_xlfn.LET(_xlpm.pos,"Max Planck plate 4: "&amp;$A9&amp;B$2,_xlpm.normal,IFERROR(INDEX(MASTER!$A:$A,MATCH(_xlpm.pos,MASTER!$J:$J,0))&amp;"_ser_0.20_"&amp;TEXT(INDEX(MASTER!$E:$E,MATCH(_xlpm.pos,MASTER!$J:$J,0)),"mmddyy"),""),_xlpm.slot,288+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42" s="4" t="str">
        <f t="array" ref="C42">_xlfn.LET(_xlpm.pos,"Max Planck plate 4: "&amp;$A9&amp;C$2,_xlpm.normal,IFERROR(INDEX(MASTER!$A:$A,MATCH(_xlpm.pos,MASTER!$J:$J,0))&amp;"_ser_0.20_"&amp;TEXT(INDEX(MASTER!$E:$E,MATCH(_xlpm.pos,MASTER!$J:$J,0)),"mmddyy"),""),_xlpm.slot,288+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42" s="4" t="str">
        <f t="array" ref="D42">_xlfn.LET(_xlpm.pos,"Max Planck plate 4: "&amp;$A9&amp;D$2,_xlpm.normal,IFERROR(INDEX(MASTER!$A:$A,MATCH(_xlpm.pos,MASTER!$J:$J,0))&amp;"_ser_0.20_"&amp;TEXT(INDEX(MASTER!$E:$E,MATCH(_xlpm.pos,MASTER!$J:$J,0)),"mmddyy"),""),_xlpm.slot,288+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42" s="4" t="str">
        <f t="array" ref="E42">_xlfn.LET(_xlpm.pos,"Max Planck plate 4: "&amp;$A9&amp;E$2,_xlpm.normal,IFERROR(INDEX(MASTER!$A:$A,MATCH(_xlpm.pos,MASTER!$J:$J,0))&amp;"_ser_0.20_"&amp;TEXT(INDEX(MASTER!$E:$E,MATCH(_xlpm.pos,MASTER!$J:$J,0)),"mmddyy"),""),_xlpm.slot,288+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42" s="4" t="str">
        <f t="array" ref="F42">_xlfn.LET(_xlpm.pos,"Max Planck plate 4: "&amp;$A9&amp;F$2,_xlpm.normal,IFERROR(INDEX(MASTER!$A:$A,MATCH(_xlpm.pos,MASTER!$J:$J,0))&amp;"_ser_0.20_"&amp;TEXT(INDEX(MASTER!$E:$E,MATCH(_xlpm.pos,MASTER!$J:$J,0)),"mmddyy"),""),_xlpm.slot,288+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42" s="4" t="str">
        <f t="array" ref="G42">_xlfn.LET(_xlpm.pos,"Max Planck plate 4: "&amp;$A9&amp;G$2,_xlpm.normal,IFERROR(INDEX(MASTER!$A:$A,MATCH(_xlpm.pos,MASTER!$J:$J,0))&amp;"_ser_0.20_"&amp;TEXT(INDEX(MASTER!$E:$E,MATCH(_xlpm.pos,MASTER!$J:$J,0)),"mmddyy"),""),_xlpm.slot,288+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42" s="4" t="str">
        <f t="array" ref="H42">_xlfn.LET(_xlpm.pos,"Max Planck plate 4: "&amp;$A9&amp;H$2,_xlpm.normal,IFERROR(INDEX(MASTER!$A:$A,MATCH(_xlpm.pos,MASTER!$J:$J,0))&amp;"_ser_0.20_"&amp;TEXT(INDEX(MASTER!$E:$E,MATCH(_xlpm.pos,MASTER!$J:$J,0)),"mmddyy"),""),_xlpm.slot,288+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42" s="4" t="str">
        <f t="array" ref="I42">_xlfn.LET(_xlpm.pos,"Max Planck plate 4: "&amp;$A9&amp;I$2,_xlpm.normal,IFERROR(INDEX(MASTER!$A:$A,MATCH(_xlpm.pos,MASTER!$J:$J,0))&amp;"_ser_0.20_"&amp;TEXT(INDEX(MASTER!$E:$E,MATCH(_xlpm.pos,MASTER!$J:$J,0)),"mmddyy"),""),_xlpm.slot,288+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42" s="4" t="str">
        <f t="array" ref="J42">_xlfn.LET(_xlpm.pos,"Max Planck plate 4: "&amp;$A9&amp;J$2,_xlpm.normal,IFERROR(INDEX(MASTER!$A:$A,MATCH(_xlpm.pos,MASTER!$J:$J,0))&amp;"_ser_0.20_"&amp;TEXT(INDEX(MASTER!$E:$E,MATCH(_xlpm.pos,MASTER!$J:$J,0)),"mmddyy"),""),_xlpm.slot,288+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42" s="4" t="str">
        <f t="array" ref="K42">_xlfn.LET(_xlpm.pos,"Max Planck plate 4: "&amp;$A9&amp;K$2,_xlpm.normal,IFERROR(INDEX(MASTER!$A:$A,MATCH(_xlpm.pos,MASTER!$J:$J,0))&amp;"_ser_0.20_"&amp;TEXT(INDEX(MASTER!$E:$E,MATCH(_xlpm.pos,MASTER!$J:$J,0)),"mmddyy"),""),_xlpm.slot,288+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42" s="4" t="str">
        <f t="array" ref="L42">_xlfn.LET(_xlpm.pos,"Max Planck plate 4: "&amp;$A9&amp;L$2,_xlpm.normal,IFERROR(INDEX(MASTER!$A:$A,MATCH(_xlpm.pos,MASTER!$J:$J,0))&amp;"_ser_0.20_"&amp;TEXT(INDEX(MASTER!$E:$E,MATCH(_xlpm.pos,MASTER!$J:$J,0)),"mmddyy"),""),_xlpm.slot,288+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42" s="4" t="str">
        <f t="array" ref="M42">_xlfn.LET(_xlpm.pos,"Max Planck plate 4: "&amp;$A9&amp;M$2,_xlpm.normal,IFERROR(INDEX(MASTER!$A:$A,MATCH(_xlpm.pos,MASTER!$J:$J,0))&amp;"_ser_0.20_"&amp;TEXT(INDEX(MASTER!$E:$E,MATCH(_xlpm.pos,MASTER!$J:$J,0)),"mmddyy"),""),_xlpm.slot,288+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43" spans="1:13" ht="22" customHeight="1" x14ac:dyDescent="0.3">
      <c r="A43" s="6" t="s">
        <v>36</v>
      </c>
      <c r="B43" s="4" t="str">
        <f t="array" ref="B43">_xlfn.LET(_xlpm.pos,"Max Planck plate 4: "&amp;$A10&amp;B$2,_xlpm.normal,IFERROR(INDEX(MASTER!$A:$A,MATCH(_xlpm.pos,MASTER!$J:$J,0))&amp;"_ser_0.20_"&amp;TEXT(INDEX(MASTER!$E:$E,MATCH(_xlpm.pos,MASTER!$J:$J,0)),"mmddyy"),""),_xlpm.slot,288+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43" s="4" t="str">
        <f t="array" ref="C43">_xlfn.LET(_xlpm.pos,"Max Planck plate 4: "&amp;$A10&amp;C$2,_xlpm.normal,IFERROR(INDEX(MASTER!$A:$A,MATCH(_xlpm.pos,MASTER!$J:$J,0))&amp;"_ser_0.20_"&amp;TEXT(INDEX(MASTER!$E:$E,MATCH(_xlpm.pos,MASTER!$J:$J,0)),"mmddyy"),""),_xlpm.slot,288+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43" s="4" t="str">
        <f t="array" ref="D43">_xlfn.LET(_xlpm.pos,"Max Planck plate 4: "&amp;$A10&amp;D$2,_xlpm.normal,IFERROR(INDEX(MASTER!$A:$A,MATCH(_xlpm.pos,MASTER!$J:$J,0))&amp;"_ser_0.20_"&amp;TEXT(INDEX(MASTER!$E:$E,MATCH(_xlpm.pos,MASTER!$J:$J,0)),"mmddyy"),""),_xlpm.slot,288+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43" s="4" t="str">
        <f t="array" ref="E43">_xlfn.LET(_xlpm.pos,"Max Planck plate 4: "&amp;$A10&amp;E$2,_xlpm.normal,IFERROR(INDEX(MASTER!$A:$A,MATCH(_xlpm.pos,MASTER!$J:$J,0))&amp;"_ser_0.20_"&amp;TEXT(INDEX(MASTER!$E:$E,MATCH(_xlpm.pos,MASTER!$J:$J,0)),"mmddyy"),""),_xlpm.slot,288+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43" s="4" t="str">
        <f t="array" ref="F43">_xlfn.LET(_xlpm.pos,"Max Planck plate 4: "&amp;$A10&amp;F$2,_xlpm.normal,IFERROR(INDEX(MASTER!$A:$A,MATCH(_xlpm.pos,MASTER!$J:$J,0))&amp;"_ser_0.20_"&amp;TEXT(INDEX(MASTER!$E:$E,MATCH(_xlpm.pos,MASTER!$J:$J,0)),"mmddyy"),""),_xlpm.slot,288+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43" s="4" t="str">
        <f t="array" ref="G43">_xlfn.LET(_xlpm.pos,"Max Planck plate 4: "&amp;$A10&amp;G$2,_xlpm.normal,IFERROR(INDEX(MASTER!$A:$A,MATCH(_xlpm.pos,MASTER!$J:$J,0))&amp;"_ser_0.20_"&amp;TEXT(INDEX(MASTER!$E:$E,MATCH(_xlpm.pos,MASTER!$J:$J,0)),"mmddyy"),""),_xlpm.slot,288+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43" s="4" t="str">
        <f t="array" ref="H43">_xlfn.LET(_xlpm.pos,"Max Planck plate 4: "&amp;$A10&amp;H$2,_xlpm.normal,IFERROR(INDEX(MASTER!$A:$A,MATCH(_xlpm.pos,MASTER!$J:$J,0))&amp;"_ser_0.20_"&amp;TEXT(INDEX(MASTER!$E:$E,MATCH(_xlpm.pos,MASTER!$J:$J,0)),"mmddyy"),""),_xlpm.slot,288+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43" s="4" t="str">
        <f t="array" ref="I43">_xlfn.LET(_xlpm.pos,"Max Planck plate 4: "&amp;$A10&amp;I$2,_xlpm.normal,IFERROR(INDEX(MASTER!$A:$A,MATCH(_xlpm.pos,MASTER!$J:$J,0))&amp;"_ser_0.20_"&amp;TEXT(INDEX(MASTER!$E:$E,MATCH(_xlpm.pos,MASTER!$J:$J,0)),"mmddyy"),""),_xlpm.slot,288+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43" s="4" t="str">
        <f t="array" ref="J43">_xlfn.LET(_xlpm.pos,"Max Planck plate 4: "&amp;$A10&amp;J$2,_xlpm.normal,IFERROR(INDEX(MASTER!$A:$A,MATCH(_xlpm.pos,MASTER!$J:$J,0))&amp;"_ser_0.20_"&amp;TEXT(INDEX(MASTER!$E:$E,MATCH(_xlpm.pos,MASTER!$J:$J,0)),"mmddyy"),""),_xlpm.slot,288+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43" s="4" t="str">
        <f t="array" ref="K43">_xlfn.LET(_xlpm.pos,"Max Planck plate 4: "&amp;$A10&amp;K$2,_xlpm.normal,IFERROR(INDEX(MASTER!$A:$A,MATCH(_xlpm.pos,MASTER!$J:$J,0))&amp;"_ser_0.20_"&amp;TEXT(INDEX(MASTER!$E:$E,MATCH(_xlpm.pos,MASTER!$J:$J,0)),"mmddyy"),""),_xlpm.slot,288+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43" s="4" t="str">
        <f t="array" ref="L43">_xlfn.LET(_xlpm.pos,"Max Planck plate 4: "&amp;$A10&amp;L$2,_xlpm.normal,IFERROR(INDEX(MASTER!$A:$A,MATCH(_xlpm.pos,MASTER!$J:$J,0))&amp;"_ser_0.20_"&amp;TEXT(INDEX(MASTER!$E:$E,MATCH(_xlpm.pos,MASTER!$J:$J,0)),"mmddyy"),""),_xlpm.slot,288+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43" s="4" t="str">
        <f t="array" ref="M43">_xlfn.LET(_xlpm.pos,"Max Planck plate 4: "&amp;$A10&amp;M$2,_xlpm.normal,IFERROR(INDEX(MASTER!$A:$A,MATCH(_xlpm.pos,MASTER!$J:$J,0))&amp;"_ser_0.20_"&amp;TEXT(INDEX(MASTER!$E:$E,MATCH(_xlpm.pos,MASTER!$J:$J,0)),"mmddyy"),""),_xlpm.slot,288+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44" spans="1:13" ht="22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 ht="22" customHeight="1" x14ac:dyDescent="0.35">
      <c r="A45" s="5"/>
      <c r="B45" s="31" t="s">
        <v>82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3"/>
    </row>
    <row r="46" spans="1:13" ht="22" customHeight="1" x14ac:dyDescent="0.3">
      <c r="A46" s="5"/>
      <c r="B46" s="6">
        <v>1</v>
      </c>
      <c r="C46" s="6">
        <v>2</v>
      </c>
      <c r="D46" s="6">
        <v>3</v>
      </c>
      <c r="E46" s="6">
        <v>4</v>
      </c>
      <c r="F46" s="6">
        <v>5</v>
      </c>
      <c r="G46" s="6">
        <v>6</v>
      </c>
      <c r="H46" s="6">
        <v>7</v>
      </c>
      <c r="I46" s="6">
        <v>8</v>
      </c>
      <c r="J46" s="6">
        <v>9</v>
      </c>
      <c r="K46" s="6">
        <v>10</v>
      </c>
      <c r="L46" s="6">
        <v>11</v>
      </c>
      <c r="M46" s="6">
        <v>12</v>
      </c>
    </row>
    <row r="47" spans="1:13" ht="22" customHeight="1" x14ac:dyDescent="0.3">
      <c r="A47" s="6" t="s">
        <v>30</v>
      </c>
      <c r="B47" s="4" t="str">
        <f t="array" ref="B47">_xlfn.LET(_xlpm.pos,"Max Planck plate 5: "&amp;$A3&amp;B$2,_xlpm.normal,IFERROR(INDEX(MASTER!$A:$A,MATCH(_xlpm.pos,MASTER!$J:$J,0))&amp;"_ser_0.20_"&amp;TEXT(INDEX(MASTER!$E:$E,MATCH(_xlpm.pos,MASTER!$J:$J,0)),"mmddyy"),""),_xlpm.slot,384+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47" s="4" t="str">
        <f t="array" ref="C47">_xlfn.LET(_xlpm.pos,"Max Planck plate 5: "&amp;$A3&amp;C$2,_xlpm.normal,IFERROR(INDEX(MASTER!$A:$A,MATCH(_xlpm.pos,MASTER!$J:$J,0))&amp;"_ser_0.20_"&amp;TEXT(INDEX(MASTER!$E:$E,MATCH(_xlpm.pos,MASTER!$J:$J,0)),"mmddyy"),""),_xlpm.slot,384+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47" s="4" t="str">
        <f t="array" ref="D47">_xlfn.LET(_xlpm.pos,"Max Planck plate 5: "&amp;$A3&amp;D$2,_xlpm.normal,IFERROR(INDEX(MASTER!$A:$A,MATCH(_xlpm.pos,MASTER!$J:$J,0))&amp;"_ser_0.20_"&amp;TEXT(INDEX(MASTER!$E:$E,MATCH(_xlpm.pos,MASTER!$J:$J,0)),"mmddyy"),""),_xlpm.slot,384+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47" s="4" t="str">
        <f t="array" ref="E47">_xlfn.LET(_xlpm.pos,"Max Planck plate 5: "&amp;$A3&amp;E$2,_xlpm.normal,IFERROR(INDEX(MASTER!$A:$A,MATCH(_xlpm.pos,MASTER!$J:$J,0))&amp;"_ser_0.20_"&amp;TEXT(INDEX(MASTER!$E:$E,MATCH(_xlpm.pos,MASTER!$J:$J,0)),"mmddyy"),""),_xlpm.slot,384+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47" s="4" t="str">
        <f t="array" ref="F47">_xlfn.LET(_xlpm.pos,"Max Planck plate 5: "&amp;$A3&amp;F$2,_xlpm.normal,IFERROR(INDEX(MASTER!$A:$A,MATCH(_xlpm.pos,MASTER!$J:$J,0))&amp;"_ser_0.20_"&amp;TEXT(INDEX(MASTER!$E:$E,MATCH(_xlpm.pos,MASTER!$J:$J,0)),"mmddyy"),""),_xlpm.slot,384+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47" s="4" t="str">
        <f t="array" ref="G47">_xlfn.LET(_xlpm.pos,"Max Planck plate 5: "&amp;$A3&amp;G$2,_xlpm.normal,IFERROR(INDEX(MASTER!$A:$A,MATCH(_xlpm.pos,MASTER!$J:$J,0))&amp;"_ser_0.20_"&amp;TEXT(INDEX(MASTER!$E:$E,MATCH(_xlpm.pos,MASTER!$J:$J,0)),"mmddyy"),""),_xlpm.slot,384+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47" s="4" t="str">
        <f t="array" ref="H47">_xlfn.LET(_xlpm.pos,"Max Planck plate 5: "&amp;$A3&amp;H$2,_xlpm.normal,IFERROR(INDEX(MASTER!$A:$A,MATCH(_xlpm.pos,MASTER!$J:$J,0))&amp;"_ser_0.20_"&amp;TEXT(INDEX(MASTER!$E:$E,MATCH(_xlpm.pos,MASTER!$J:$J,0)),"mmddyy"),""),_xlpm.slot,384+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47" s="4" t="str">
        <f t="array" ref="I47">_xlfn.LET(_xlpm.pos,"Max Planck plate 5: "&amp;$A3&amp;I$2,_xlpm.normal,IFERROR(INDEX(MASTER!$A:$A,MATCH(_xlpm.pos,MASTER!$J:$J,0))&amp;"_ser_0.20_"&amp;TEXT(INDEX(MASTER!$E:$E,MATCH(_xlpm.pos,MASTER!$J:$J,0)),"mmddyy"),""),_xlpm.slot,384+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47" s="4" t="str">
        <f t="array" ref="J47">_xlfn.LET(_xlpm.pos,"Max Planck plate 5: "&amp;$A3&amp;J$2,_xlpm.normal,IFERROR(INDEX(MASTER!$A:$A,MATCH(_xlpm.pos,MASTER!$J:$J,0))&amp;"_ser_0.20_"&amp;TEXT(INDEX(MASTER!$E:$E,MATCH(_xlpm.pos,MASTER!$J:$J,0)),"mmddyy"),""),_xlpm.slot,384+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47" s="4" t="str">
        <f t="array" ref="K47">_xlfn.LET(_xlpm.pos,"Max Planck plate 5: "&amp;$A3&amp;K$2,_xlpm.normal,IFERROR(INDEX(MASTER!$A:$A,MATCH(_xlpm.pos,MASTER!$J:$J,0))&amp;"_ser_0.20_"&amp;TEXT(INDEX(MASTER!$E:$E,MATCH(_xlpm.pos,MASTER!$J:$J,0)),"mmddyy"),""),_xlpm.slot,384+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47" s="4" t="str">
        <f t="array" ref="L47">_xlfn.LET(_xlpm.pos,"Max Planck plate 5: "&amp;$A3&amp;L$2,_xlpm.normal,IFERROR(INDEX(MASTER!$A:$A,MATCH(_xlpm.pos,MASTER!$J:$J,0))&amp;"_ser_0.20_"&amp;TEXT(INDEX(MASTER!$E:$E,MATCH(_xlpm.pos,MASTER!$J:$J,0)),"mmddyy"),""),_xlpm.slot,384+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47" s="4" t="str">
        <f t="array" ref="M47">_xlfn.LET(_xlpm.pos,"Max Planck plate 5: "&amp;$A3&amp;M$2,_xlpm.normal,IFERROR(INDEX(MASTER!$A:$A,MATCH(_xlpm.pos,MASTER!$J:$J,0))&amp;"_ser_0.20_"&amp;TEXT(INDEX(MASTER!$E:$E,MATCH(_xlpm.pos,MASTER!$J:$J,0)),"mmddyy"),""),_xlpm.slot,384+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48" spans="1:13" ht="22" customHeight="1" x14ac:dyDescent="0.3">
      <c r="A48" s="6" t="s">
        <v>31</v>
      </c>
      <c r="B48" s="4" t="str">
        <f t="array" ref="B48">_xlfn.LET(_xlpm.pos,"Max Planck plate 5: "&amp;$A4&amp;B$2,_xlpm.normal,IFERROR(INDEX(MASTER!$A:$A,MATCH(_xlpm.pos,MASTER!$J:$J,0))&amp;"_ser_0.20_"&amp;TEXT(INDEX(MASTER!$E:$E,MATCH(_xlpm.pos,MASTER!$J:$J,0)),"mmddyy"),""),_xlpm.slot,384+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48" s="4" t="str">
        <f t="array" ref="C48">_xlfn.LET(_xlpm.pos,"Max Planck plate 5: "&amp;$A4&amp;C$2,_xlpm.normal,IFERROR(INDEX(MASTER!$A:$A,MATCH(_xlpm.pos,MASTER!$J:$J,0))&amp;"_ser_0.20_"&amp;TEXT(INDEX(MASTER!$E:$E,MATCH(_xlpm.pos,MASTER!$J:$J,0)),"mmddyy"),""),_xlpm.slot,384+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48" s="4" t="str">
        <f t="array" ref="D48">_xlfn.LET(_xlpm.pos,"Max Planck plate 5: "&amp;$A4&amp;D$2,_xlpm.normal,IFERROR(INDEX(MASTER!$A:$A,MATCH(_xlpm.pos,MASTER!$J:$J,0))&amp;"_ser_0.20_"&amp;TEXT(INDEX(MASTER!$E:$E,MATCH(_xlpm.pos,MASTER!$J:$J,0)),"mmddyy"),""),_xlpm.slot,384+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48" s="4" t="str">
        <f t="array" ref="E48">_xlfn.LET(_xlpm.pos,"Max Planck plate 5: "&amp;$A4&amp;E$2,_xlpm.normal,IFERROR(INDEX(MASTER!$A:$A,MATCH(_xlpm.pos,MASTER!$J:$J,0))&amp;"_ser_0.20_"&amp;TEXT(INDEX(MASTER!$E:$E,MATCH(_xlpm.pos,MASTER!$J:$J,0)),"mmddyy"),""),_xlpm.slot,384+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48" s="4" t="str">
        <f t="array" ref="F48">_xlfn.LET(_xlpm.pos,"Max Planck plate 5: "&amp;$A4&amp;F$2,_xlpm.normal,IFERROR(INDEX(MASTER!$A:$A,MATCH(_xlpm.pos,MASTER!$J:$J,0))&amp;"_ser_0.20_"&amp;TEXT(INDEX(MASTER!$E:$E,MATCH(_xlpm.pos,MASTER!$J:$J,0)),"mmddyy"),""),_xlpm.slot,384+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48" s="4" t="str">
        <f t="array" ref="G48">_xlfn.LET(_xlpm.pos,"Max Planck plate 5: "&amp;$A4&amp;G$2,_xlpm.normal,IFERROR(INDEX(MASTER!$A:$A,MATCH(_xlpm.pos,MASTER!$J:$J,0))&amp;"_ser_0.20_"&amp;TEXT(INDEX(MASTER!$E:$E,MATCH(_xlpm.pos,MASTER!$J:$J,0)),"mmddyy"),""),_xlpm.slot,384+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48" s="4" t="str">
        <f t="array" ref="H48">_xlfn.LET(_xlpm.pos,"Max Planck plate 5: "&amp;$A4&amp;H$2,_xlpm.normal,IFERROR(INDEX(MASTER!$A:$A,MATCH(_xlpm.pos,MASTER!$J:$J,0))&amp;"_ser_0.20_"&amp;TEXT(INDEX(MASTER!$E:$E,MATCH(_xlpm.pos,MASTER!$J:$J,0)),"mmddyy"),""),_xlpm.slot,384+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48" s="4" t="str">
        <f t="array" ref="I48">_xlfn.LET(_xlpm.pos,"Max Planck plate 5: "&amp;$A4&amp;I$2,_xlpm.normal,IFERROR(INDEX(MASTER!$A:$A,MATCH(_xlpm.pos,MASTER!$J:$J,0))&amp;"_ser_0.20_"&amp;TEXT(INDEX(MASTER!$E:$E,MATCH(_xlpm.pos,MASTER!$J:$J,0)),"mmddyy"),""),_xlpm.slot,384+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48" s="4" t="str">
        <f t="array" ref="J48">_xlfn.LET(_xlpm.pos,"Max Planck plate 5: "&amp;$A4&amp;J$2,_xlpm.normal,IFERROR(INDEX(MASTER!$A:$A,MATCH(_xlpm.pos,MASTER!$J:$J,0))&amp;"_ser_0.20_"&amp;TEXT(INDEX(MASTER!$E:$E,MATCH(_xlpm.pos,MASTER!$J:$J,0)),"mmddyy"),""),_xlpm.slot,384+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48" s="4" t="str">
        <f t="array" ref="K48">_xlfn.LET(_xlpm.pos,"Max Planck plate 5: "&amp;$A4&amp;K$2,_xlpm.normal,IFERROR(INDEX(MASTER!$A:$A,MATCH(_xlpm.pos,MASTER!$J:$J,0))&amp;"_ser_0.20_"&amp;TEXT(INDEX(MASTER!$E:$E,MATCH(_xlpm.pos,MASTER!$J:$J,0)),"mmddyy"),""),_xlpm.slot,384+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48" s="4" t="str">
        <f t="array" ref="L48">_xlfn.LET(_xlpm.pos,"Max Planck plate 5: "&amp;$A4&amp;L$2,_xlpm.normal,IFERROR(INDEX(MASTER!$A:$A,MATCH(_xlpm.pos,MASTER!$J:$J,0))&amp;"_ser_0.20_"&amp;TEXT(INDEX(MASTER!$E:$E,MATCH(_xlpm.pos,MASTER!$J:$J,0)),"mmddyy"),""),_xlpm.slot,384+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48" s="4" t="str">
        <f t="array" ref="M48">_xlfn.LET(_xlpm.pos,"Max Planck plate 5: "&amp;$A4&amp;M$2,_xlpm.normal,IFERROR(INDEX(MASTER!$A:$A,MATCH(_xlpm.pos,MASTER!$J:$J,0))&amp;"_ser_0.20_"&amp;TEXT(INDEX(MASTER!$E:$E,MATCH(_xlpm.pos,MASTER!$J:$J,0)),"mmddyy"),""),_xlpm.slot,384+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49" spans="1:13" ht="22" customHeight="1" x14ac:dyDescent="0.3">
      <c r="A49" s="6" t="s">
        <v>32</v>
      </c>
      <c r="B49" s="4" t="str">
        <f t="array" ref="B49">_xlfn.LET(_xlpm.pos,"Max Planck plate 5: "&amp;$A5&amp;B$2,_xlpm.normal,IFERROR(INDEX(MASTER!$A:$A,MATCH(_xlpm.pos,MASTER!$J:$J,0))&amp;"_ser_0.20_"&amp;TEXT(INDEX(MASTER!$E:$E,MATCH(_xlpm.pos,MASTER!$J:$J,0)),"mmddyy"),""),_xlpm.slot,384+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49" s="4" t="str">
        <f t="array" ref="C49">_xlfn.LET(_xlpm.pos,"Max Planck plate 5: "&amp;$A5&amp;C$2,_xlpm.normal,IFERROR(INDEX(MASTER!$A:$A,MATCH(_xlpm.pos,MASTER!$J:$J,0))&amp;"_ser_0.20_"&amp;TEXT(INDEX(MASTER!$E:$E,MATCH(_xlpm.pos,MASTER!$J:$J,0)),"mmddyy"),""),_xlpm.slot,384+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49" s="4" t="str">
        <f t="array" ref="D49">_xlfn.LET(_xlpm.pos,"Max Planck plate 5: "&amp;$A5&amp;D$2,_xlpm.normal,IFERROR(INDEX(MASTER!$A:$A,MATCH(_xlpm.pos,MASTER!$J:$J,0))&amp;"_ser_0.20_"&amp;TEXT(INDEX(MASTER!$E:$E,MATCH(_xlpm.pos,MASTER!$J:$J,0)),"mmddyy"),""),_xlpm.slot,384+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49" s="4" t="str">
        <f t="array" ref="E49">_xlfn.LET(_xlpm.pos,"Max Planck plate 5: "&amp;$A5&amp;E$2,_xlpm.normal,IFERROR(INDEX(MASTER!$A:$A,MATCH(_xlpm.pos,MASTER!$J:$J,0))&amp;"_ser_0.20_"&amp;TEXT(INDEX(MASTER!$E:$E,MATCH(_xlpm.pos,MASTER!$J:$J,0)),"mmddyy"),""),_xlpm.slot,384+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49" s="4" t="str">
        <f t="array" ref="F49">_xlfn.LET(_xlpm.pos,"Max Planck plate 5: "&amp;$A5&amp;F$2,_xlpm.normal,IFERROR(INDEX(MASTER!$A:$A,MATCH(_xlpm.pos,MASTER!$J:$J,0))&amp;"_ser_0.20_"&amp;TEXT(INDEX(MASTER!$E:$E,MATCH(_xlpm.pos,MASTER!$J:$J,0)),"mmddyy"),""),_xlpm.slot,384+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49" s="4" t="str">
        <f t="array" ref="G49">_xlfn.LET(_xlpm.pos,"Max Planck plate 5: "&amp;$A5&amp;G$2,_xlpm.normal,IFERROR(INDEX(MASTER!$A:$A,MATCH(_xlpm.pos,MASTER!$J:$J,0))&amp;"_ser_0.20_"&amp;TEXT(INDEX(MASTER!$E:$E,MATCH(_xlpm.pos,MASTER!$J:$J,0)),"mmddyy"),""),_xlpm.slot,384+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49" s="4" t="str">
        <f t="array" ref="H49">_xlfn.LET(_xlpm.pos,"Max Planck plate 5: "&amp;$A5&amp;H$2,_xlpm.normal,IFERROR(INDEX(MASTER!$A:$A,MATCH(_xlpm.pos,MASTER!$J:$J,0))&amp;"_ser_0.20_"&amp;TEXT(INDEX(MASTER!$E:$E,MATCH(_xlpm.pos,MASTER!$J:$J,0)),"mmddyy"),""),_xlpm.slot,384+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49" s="4" t="str">
        <f t="array" ref="I49">_xlfn.LET(_xlpm.pos,"Max Planck plate 5: "&amp;$A5&amp;I$2,_xlpm.normal,IFERROR(INDEX(MASTER!$A:$A,MATCH(_xlpm.pos,MASTER!$J:$J,0))&amp;"_ser_0.20_"&amp;TEXT(INDEX(MASTER!$E:$E,MATCH(_xlpm.pos,MASTER!$J:$J,0)),"mmddyy"),""),_xlpm.slot,384+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49" s="4" t="str">
        <f t="array" ref="J49">_xlfn.LET(_xlpm.pos,"Max Planck plate 5: "&amp;$A5&amp;J$2,_xlpm.normal,IFERROR(INDEX(MASTER!$A:$A,MATCH(_xlpm.pos,MASTER!$J:$J,0))&amp;"_ser_0.20_"&amp;TEXT(INDEX(MASTER!$E:$E,MATCH(_xlpm.pos,MASTER!$J:$J,0)),"mmddyy"),""),_xlpm.slot,384+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49" s="4" t="str">
        <f t="array" ref="K49">_xlfn.LET(_xlpm.pos,"Max Planck plate 5: "&amp;$A5&amp;K$2,_xlpm.normal,IFERROR(INDEX(MASTER!$A:$A,MATCH(_xlpm.pos,MASTER!$J:$J,0))&amp;"_ser_0.20_"&amp;TEXT(INDEX(MASTER!$E:$E,MATCH(_xlpm.pos,MASTER!$J:$J,0)),"mmddyy"),""),_xlpm.slot,384+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49" s="4" t="str">
        <f t="array" ref="L49">_xlfn.LET(_xlpm.pos,"Max Planck plate 5: "&amp;$A5&amp;L$2,_xlpm.normal,IFERROR(INDEX(MASTER!$A:$A,MATCH(_xlpm.pos,MASTER!$J:$J,0))&amp;"_ser_0.20_"&amp;TEXT(INDEX(MASTER!$E:$E,MATCH(_xlpm.pos,MASTER!$J:$J,0)),"mmddyy"),""),_xlpm.slot,384+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49" s="4" t="str">
        <f t="array" ref="M49">_xlfn.LET(_xlpm.pos,"Max Planck plate 5: "&amp;$A5&amp;M$2,_xlpm.normal,IFERROR(INDEX(MASTER!$A:$A,MATCH(_xlpm.pos,MASTER!$J:$J,0))&amp;"_ser_0.20_"&amp;TEXT(INDEX(MASTER!$E:$E,MATCH(_xlpm.pos,MASTER!$J:$J,0)),"mmddyy"),""),_xlpm.slot,384+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50" spans="1:13" ht="22" customHeight="1" x14ac:dyDescent="0.3">
      <c r="A50" s="6" t="s">
        <v>33</v>
      </c>
      <c r="B50" s="4" t="str">
        <f t="array" ref="B50">_xlfn.LET(_xlpm.pos,"Max Planck plate 5: "&amp;$A6&amp;B$2,_xlpm.normal,IFERROR(INDEX(MASTER!$A:$A,MATCH(_xlpm.pos,MASTER!$J:$J,0))&amp;"_ser_0.20_"&amp;TEXT(INDEX(MASTER!$E:$E,MATCH(_xlpm.pos,MASTER!$J:$J,0)),"mmddyy"),""),_xlpm.slot,384+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50" s="4" t="str">
        <f t="array" ref="C50">_xlfn.LET(_xlpm.pos,"Max Planck plate 5: "&amp;$A6&amp;C$2,_xlpm.normal,IFERROR(INDEX(MASTER!$A:$A,MATCH(_xlpm.pos,MASTER!$J:$J,0))&amp;"_ser_0.20_"&amp;TEXT(INDEX(MASTER!$E:$E,MATCH(_xlpm.pos,MASTER!$J:$J,0)),"mmddyy"),""),_xlpm.slot,384+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50" s="4" t="str">
        <f t="array" ref="D50">_xlfn.LET(_xlpm.pos,"Max Planck plate 5: "&amp;$A6&amp;D$2,_xlpm.normal,IFERROR(INDEX(MASTER!$A:$A,MATCH(_xlpm.pos,MASTER!$J:$J,0))&amp;"_ser_0.20_"&amp;TEXT(INDEX(MASTER!$E:$E,MATCH(_xlpm.pos,MASTER!$J:$J,0)),"mmddyy"),""),_xlpm.slot,384+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50" s="4" t="str">
        <f t="array" ref="E50">_xlfn.LET(_xlpm.pos,"Max Planck plate 5: "&amp;$A6&amp;E$2,_xlpm.normal,IFERROR(INDEX(MASTER!$A:$A,MATCH(_xlpm.pos,MASTER!$J:$J,0))&amp;"_ser_0.20_"&amp;TEXT(INDEX(MASTER!$E:$E,MATCH(_xlpm.pos,MASTER!$J:$J,0)),"mmddyy"),""),_xlpm.slot,384+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50" s="4" t="str">
        <f t="array" ref="F50">_xlfn.LET(_xlpm.pos,"Max Planck plate 5: "&amp;$A6&amp;F$2,_xlpm.normal,IFERROR(INDEX(MASTER!$A:$A,MATCH(_xlpm.pos,MASTER!$J:$J,0))&amp;"_ser_0.20_"&amp;TEXT(INDEX(MASTER!$E:$E,MATCH(_xlpm.pos,MASTER!$J:$J,0)),"mmddyy"),""),_xlpm.slot,384+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50" s="4" t="str">
        <f t="array" ref="G50">_xlfn.LET(_xlpm.pos,"Max Planck plate 5: "&amp;$A6&amp;G$2,_xlpm.normal,IFERROR(INDEX(MASTER!$A:$A,MATCH(_xlpm.pos,MASTER!$J:$J,0))&amp;"_ser_0.20_"&amp;TEXT(INDEX(MASTER!$E:$E,MATCH(_xlpm.pos,MASTER!$J:$J,0)),"mmddyy"),""),_xlpm.slot,384+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50" s="4" t="str">
        <f t="array" ref="H50">_xlfn.LET(_xlpm.pos,"Max Planck plate 5: "&amp;$A6&amp;H$2,_xlpm.normal,IFERROR(INDEX(MASTER!$A:$A,MATCH(_xlpm.pos,MASTER!$J:$J,0))&amp;"_ser_0.20_"&amp;TEXT(INDEX(MASTER!$E:$E,MATCH(_xlpm.pos,MASTER!$J:$J,0)),"mmddyy"),""),_xlpm.slot,384+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50" s="4" t="str">
        <f t="array" ref="I50">_xlfn.LET(_xlpm.pos,"Max Planck plate 5: "&amp;$A6&amp;I$2,_xlpm.normal,IFERROR(INDEX(MASTER!$A:$A,MATCH(_xlpm.pos,MASTER!$J:$J,0))&amp;"_ser_0.20_"&amp;TEXT(INDEX(MASTER!$E:$E,MATCH(_xlpm.pos,MASTER!$J:$J,0)),"mmddyy"),""),_xlpm.slot,384+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50" s="4" t="str">
        <f t="array" ref="J50">_xlfn.LET(_xlpm.pos,"Max Planck plate 5: "&amp;$A6&amp;J$2,_xlpm.normal,IFERROR(INDEX(MASTER!$A:$A,MATCH(_xlpm.pos,MASTER!$J:$J,0))&amp;"_ser_0.20_"&amp;TEXT(INDEX(MASTER!$E:$E,MATCH(_xlpm.pos,MASTER!$J:$J,0)),"mmddyy"),""),_xlpm.slot,384+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50" s="4" t="str">
        <f t="array" ref="K50">_xlfn.LET(_xlpm.pos,"Max Planck plate 5: "&amp;$A6&amp;K$2,_xlpm.normal,IFERROR(INDEX(MASTER!$A:$A,MATCH(_xlpm.pos,MASTER!$J:$J,0))&amp;"_ser_0.20_"&amp;TEXT(INDEX(MASTER!$E:$E,MATCH(_xlpm.pos,MASTER!$J:$J,0)),"mmddyy"),""),_xlpm.slot,384+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50" s="4" t="str">
        <f t="array" ref="L50">_xlfn.LET(_xlpm.pos,"Max Planck plate 5: "&amp;$A6&amp;L$2,_xlpm.normal,IFERROR(INDEX(MASTER!$A:$A,MATCH(_xlpm.pos,MASTER!$J:$J,0))&amp;"_ser_0.20_"&amp;TEXT(INDEX(MASTER!$E:$E,MATCH(_xlpm.pos,MASTER!$J:$J,0)),"mmddyy"),""),_xlpm.slot,384+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50" s="4" t="str">
        <f t="array" ref="M50">_xlfn.LET(_xlpm.pos,"Max Planck plate 5: "&amp;$A6&amp;M$2,_xlpm.normal,IFERROR(INDEX(MASTER!$A:$A,MATCH(_xlpm.pos,MASTER!$J:$J,0))&amp;"_ser_0.20_"&amp;TEXT(INDEX(MASTER!$E:$E,MATCH(_xlpm.pos,MASTER!$J:$J,0)),"mmddyy"),""),_xlpm.slot,384+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51" spans="1:13" ht="22" customHeight="1" x14ac:dyDescent="0.3">
      <c r="A51" s="6" t="s">
        <v>34</v>
      </c>
      <c r="B51" s="4" t="str">
        <f t="array" ref="B51">_xlfn.LET(_xlpm.pos,"Max Planck plate 5: "&amp;$A7&amp;B$2,_xlpm.normal,IFERROR(INDEX(MASTER!$A:$A,MATCH(_xlpm.pos,MASTER!$J:$J,0))&amp;"_ser_0.20_"&amp;TEXT(INDEX(MASTER!$E:$E,MATCH(_xlpm.pos,MASTER!$J:$J,0)),"mmddyy"),""),_xlpm.slot,384+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51" s="4" t="str">
        <f t="array" ref="C51">_xlfn.LET(_xlpm.pos,"Max Planck plate 5: "&amp;$A7&amp;C$2,_xlpm.normal,IFERROR(INDEX(MASTER!$A:$A,MATCH(_xlpm.pos,MASTER!$J:$J,0))&amp;"_ser_0.20_"&amp;TEXT(INDEX(MASTER!$E:$E,MATCH(_xlpm.pos,MASTER!$J:$J,0)),"mmddyy"),""),_xlpm.slot,384+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51" s="4" t="str">
        <f t="array" ref="D51">_xlfn.LET(_xlpm.pos,"Max Planck plate 5: "&amp;$A7&amp;D$2,_xlpm.normal,IFERROR(INDEX(MASTER!$A:$A,MATCH(_xlpm.pos,MASTER!$J:$J,0))&amp;"_ser_0.20_"&amp;TEXT(INDEX(MASTER!$E:$E,MATCH(_xlpm.pos,MASTER!$J:$J,0)),"mmddyy"),""),_xlpm.slot,384+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51" s="4" t="str">
        <f t="array" ref="E51">_xlfn.LET(_xlpm.pos,"Max Planck plate 5: "&amp;$A7&amp;E$2,_xlpm.normal,IFERROR(INDEX(MASTER!$A:$A,MATCH(_xlpm.pos,MASTER!$J:$J,0))&amp;"_ser_0.20_"&amp;TEXT(INDEX(MASTER!$E:$E,MATCH(_xlpm.pos,MASTER!$J:$J,0)),"mmddyy"),""),_xlpm.slot,384+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51" s="4" t="str">
        <f t="array" ref="F51">_xlfn.LET(_xlpm.pos,"Max Planck plate 5: "&amp;$A7&amp;F$2,_xlpm.normal,IFERROR(INDEX(MASTER!$A:$A,MATCH(_xlpm.pos,MASTER!$J:$J,0))&amp;"_ser_0.20_"&amp;TEXT(INDEX(MASTER!$E:$E,MATCH(_xlpm.pos,MASTER!$J:$J,0)),"mmddyy"),""),_xlpm.slot,384+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51" s="4" t="str">
        <f t="array" ref="G51">_xlfn.LET(_xlpm.pos,"Max Planck plate 5: "&amp;$A7&amp;G$2,_xlpm.normal,IFERROR(INDEX(MASTER!$A:$A,MATCH(_xlpm.pos,MASTER!$J:$J,0))&amp;"_ser_0.20_"&amp;TEXT(INDEX(MASTER!$E:$E,MATCH(_xlpm.pos,MASTER!$J:$J,0)),"mmddyy"),""),_xlpm.slot,384+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51" s="4" t="str">
        <f t="array" ref="H51">_xlfn.LET(_xlpm.pos,"Max Planck plate 5: "&amp;$A7&amp;H$2,_xlpm.normal,IFERROR(INDEX(MASTER!$A:$A,MATCH(_xlpm.pos,MASTER!$J:$J,0))&amp;"_ser_0.20_"&amp;TEXT(INDEX(MASTER!$E:$E,MATCH(_xlpm.pos,MASTER!$J:$J,0)),"mmddyy"),""),_xlpm.slot,384+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51" s="4" t="str">
        <f t="array" ref="I51">_xlfn.LET(_xlpm.pos,"Max Planck plate 5: "&amp;$A7&amp;I$2,_xlpm.normal,IFERROR(INDEX(MASTER!$A:$A,MATCH(_xlpm.pos,MASTER!$J:$J,0))&amp;"_ser_0.20_"&amp;TEXT(INDEX(MASTER!$E:$E,MATCH(_xlpm.pos,MASTER!$J:$J,0)),"mmddyy"),""),_xlpm.slot,384+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51" s="4" t="str">
        <f t="array" ref="J51">_xlfn.LET(_xlpm.pos,"Max Planck plate 5: "&amp;$A7&amp;J$2,_xlpm.normal,IFERROR(INDEX(MASTER!$A:$A,MATCH(_xlpm.pos,MASTER!$J:$J,0))&amp;"_ser_0.20_"&amp;TEXT(INDEX(MASTER!$E:$E,MATCH(_xlpm.pos,MASTER!$J:$J,0)),"mmddyy"),""),_xlpm.slot,384+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51" s="4" t="str">
        <f t="array" ref="K51">_xlfn.LET(_xlpm.pos,"Max Planck plate 5: "&amp;$A7&amp;K$2,_xlpm.normal,IFERROR(INDEX(MASTER!$A:$A,MATCH(_xlpm.pos,MASTER!$J:$J,0))&amp;"_ser_0.20_"&amp;TEXT(INDEX(MASTER!$E:$E,MATCH(_xlpm.pos,MASTER!$J:$J,0)),"mmddyy"),""),_xlpm.slot,384+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51" s="4" t="str">
        <f t="array" ref="L51">_xlfn.LET(_xlpm.pos,"Max Planck plate 5: "&amp;$A7&amp;L$2,_xlpm.normal,IFERROR(INDEX(MASTER!$A:$A,MATCH(_xlpm.pos,MASTER!$J:$J,0))&amp;"_ser_0.20_"&amp;TEXT(INDEX(MASTER!$E:$E,MATCH(_xlpm.pos,MASTER!$J:$J,0)),"mmddyy"),""),_xlpm.slot,384+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51" s="4" t="str">
        <f t="array" ref="M51">_xlfn.LET(_xlpm.pos,"Max Planck plate 5: "&amp;$A7&amp;M$2,_xlpm.normal,IFERROR(INDEX(MASTER!$A:$A,MATCH(_xlpm.pos,MASTER!$J:$J,0))&amp;"_ser_0.20_"&amp;TEXT(INDEX(MASTER!$E:$E,MATCH(_xlpm.pos,MASTER!$J:$J,0)),"mmddyy"),""),_xlpm.slot,384+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52" spans="1:13" ht="22" customHeight="1" x14ac:dyDescent="0.3">
      <c r="A52" s="6" t="s">
        <v>15</v>
      </c>
      <c r="B52" s="4" t="str">
        <f t="array" ref="B52">_xlfn.LET(_xlpm.pos,"Max Planck plate 5: "&amp;$A8&amp;B$2,_xlpm.normal,IFERROR(INDEX(MASTER!$A:$A,MATCH(_xlpm.pos,MASTER!$J:$J,0))&amp;"_ser_0.20_"&amp;TEXT(INDEX(MASTER!$E:$E,MATCH(_xlpm.pos,MASTER!$J:$J,0)),"mmddyy"),""),_xlpm.slot,384+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52" s="4" t="str">
        <f t="array" ref="C52">_xlfn.LET(_xlpm.pos,"Max Planck plate 5: "&amp;$A8&amp;C$2,_xlpm.normal,IFERROR(INDEX(MASTER!$A:$A,MATCH(_xlpm.pos,MASTER!$J:$J,0))&amp;"_ser_0.20_"&amp;TEXT(INDEX(MASTER!$E:$E,MATCH(_xlpm.pos,MASTER!$J:$J,0)),"mmddyy"),""),_xlpm.slot,384+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52" s="4" t="str">
        <f t="array" ref="D52">_xlfn.LET(_xlpm.pos,"Max Planck plate 5: "&amp;$A8&amp;D$2,_xlpm.normal,IFERROR(INDEX(MASTER!$A:$A,MATCH(_xlpm.pos,MASTER!$J:$J,0))&amp;"_ser_0.20_"&amp;TEXT(INDEX(MASTER!$E:$E,MATCH(_xlpm.pos,MASTER!$J:$J,0)),"mmddyy"),""),_xlpm.slot,384+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52" s="4" t="str">
        <f t="array" ref="E52">_xlfn.LET(_xlpm.pos,"Max Planck plate 5: "&amp;$A8&amp;E$2,_xlpm.normal,IFERROR(INDEX(MASTER!$A:$A,MATCH(_xlpm.pos,MASTER!$J:$J,0))&amp;"_ser_0.20_"&amp;TEXT(INDEX(MASTER!$E:$E,MATCH(_xlpm.pos,MASTER!$J:$J,0)),"mmddyy"),""),_xlpm.slot,384+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52" s="4" t="str">
        <f t="array" ref="F52">_xlfn.LET(_xlpm.pos,"Max Planck plate 5: "&amp;$A8&amp;F$2,_xlpm.normal,IFERROR(INDEX(MASTER!$A:$A,MATCH(_xlpm.pos,MASTER!$J:$J,0))&amp;"_ser_0.20_"&amp;TEXT(INDEX(MASTER!$E:$E,MATCH(_xlpm.pos,MASTER!$J:$J,0)),"mmddyy"),""),_xlpm.slot,384+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52" s="4" t="str">
        <f t="array" ref="G52">_xlfn.LET(_xlpm.pos,"Max Planck plate 5: "&amp;$A8&amp;G$2,_xlpm.normal,IFERROR(INDEX(MASTER!$A:$A,MATCH(_xlpm.pos,MASTER!$J:$J,0))&amp;"_ser_0.20_"&amp;TEXT(INDEX(MASTER!$E:$E,MATCH(_xlpm.pos,MASTER!$J:$J,0)),"mmddyy"),""),_xlpm.slot,384+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52" s="4" t="str">
        <f t="array" ref="H52">_xlfn.LET(_xlpm.pos,"Max Planck plate 5: "&amp;$A8&amp;H$2,_xlpm.normal,IFERROR(INDEX(MASTER!$A:$A,MATCH(_xlpm.pos,MASTER!$J:$J,0))&amp;"_ser_0.20_"&amp;TEXT(INDEX(MASTER!$E:$E,MATCH(_xlpm.pos,MASTER!$J:$J,0)),"mmddyy"),""),_xlpm.slot,384+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52" s="4" t="str">
        <f t="array" ref="I52">_xlfn.LET(_xlpm.pos,"Max Planck plate 5: "&amp;$A8&amp;I$2,_xlpm.normal,IFERROR(INDEX(MASTER!$A:$A,MATCH(_xlpm.pos,MASTER!$J:$J,0))&amp;"_ser_0.20_"&amp;TEXT(INDEX(MASTER!$E:$E,MATCH(_xlpm.pos,MASTER!$J:$J,0)),"mmddyy"),""),_xlpm.slot,384+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52" s="4" t="str">
        <f t="array" ref="J52">_xlfn.LET(_xlpm.pos,"Max Planck plate 5: "&amp;$A8&amp;J$2,_xlpm.normal,IFERROR(INDEX(MASTER!$A:$A,MATCH(_xlpm.pos,MASTER!$J:$J,0))&amp;"_ser_0.20_"&amp;TEXT(INDEX(MASTER!$E:$E,MATCH(_xlpm.pos,MASTER!$J:$J,0)),"mmddyy"),""),_xlpm.slot,384+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52" s="4" t="str">
        <f t="array" ref="K52">_xlfn.LET(_xlpm.pos,"Max Planck plate 5: "&amp;$A8&amp;K$2,_xlpm.normal,IFERROR(INDEX(MASTER!$A:$A,MATCH(_xlpm.pos,MASTER!$J:$J,0))&amp;"_ser_0.20_"&amp;TEXT(INDEX(MASTER!$E:$E,MATCH(_xlpm.pos,MASTER!$J:$J,0)),"mmddyy"),""),_xlpm.slot,384+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52" s="4" t="str">
        <f t="array" ref="L52">_xlfn.LET(_xlpm.pos,"Max Planck plate 5: "&amp;$A8&amp;L$2,_xlpm.normal,IFERROR(INDEX(MASTER!$A:$A,MATCH(_xlpm.pos,MASTER!$J:$J,0))&amp;"_ser_0.20_"&amp;TEXT(INDEX(MASTER!$E:$E,MATCH(_xlpm.pos,MASTER!$J:$J,0)),"mmddyy"),""),_xlpm.slot,384+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52" s="4" t="str">
        <f t="array" ref="M52">_xlfn.LET(_xlpm.pos,"Max Planck plate 5: "&amp;$A8&amp;M$2,_xlpm.normal,IFERROR(INDEX(MASTER!$A:$A,MATCH(_xlpm.pos,MASTER!$J:$J,0))&amp;"_ser_0.20_"&amp;TEXT(INDEX(MASTER!$E:$E,MATCH(_xlpm.pos,MASTER!$J:$J,0)),"mmddyy"),""),_xlpm.slot,384+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53" spans="1:13" ht="22" customHeight="1" x14ac:dyDescent="0.3">
      <c r="A53" s="6" t="s">
        <v>35</v>
      </c>
      <c r="B53" s="4" t="str">
        <f t="array" ref="B53">_xlfn.LET(_xlpm.pos,"Max Planck plate 5: "&amp;$A9&amp;B$2,_xlpm.normal,IFERROR(INDEX(MASTER!$A:$A,MATCH(_xlpm.pos,MASTER!$J:$J,0))&amp;"_ser_0.20_"&amp;TEXT(INDEX(MASTER!$E:$E,MATCH(_xlpm.pos,MASTER!$J:$J,0)),"mmddyy"),""),_xlpm.slot,384+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53" s="4" t="str">
        <f t="array" ref="C53">_xlfn.LET(_xlpm.pos,"Max Planck plate 5: "&amp;$A9&amp;C$2,_xlpm.normal,IFERROR(INDEX(MASTER!$A:$A,MATCH(_xlpm.pos,MASTER!$J:$J,0))&amp;"_ser_0.20_"&amp;TEXT(INDEX(MASTER!$E:$E,MATCH(_xlpm.pos,MASTER!$J:$J,0)),"mmddyy"),""),_xlpm.slot,384+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53" s="4" t="str">
        <f t="array" ref="D53">_xlfn.LET(_xlpm.pos,"Max Planck plate 5: "&amp;$A9&amp;D$2,_xlpm.normal,IFERROR(INDEX(MASTER!$A:$A,MATCH(_xlpm.pos,MASTER!$J:$J,0))&amp;"_ser_0.20_"&amp;TEXT(INDEX(MASTER!$E:$E,MATCH(_xlpm.pos,MASTER!$J:$J,0)),"mmddyy"),""),_xlpm.slot,384+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53" s="4" t="str">
        <f t="array" ref="E53">_xlfn.LET(_xlpm.pos,"Max Planck plate 5: "&amp;$A9&amp;E$2,_xlpm.normal,IFERROR(INDEX(MASTER!$A:$A,MATCH(_xlpm.pos,MASTER!$J:$J,0))&amp;"_ser_0.20_"&amp;TEXT(INDEX(MASTER!$E:$E,MATCH(_xlpm.pos,MASTER!$J:$J,0)),"mmddyy"),""),_xlpm.slot,384+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53" s="4" t="str">
        <f t="array" ref="F53">_xlfn.LET(_xlpm.pos,"Max Planck plate 5: "&amp;$A9&amp;F$2,_xlpm.normal,IFERROR(INDEX(MASTER!$A:$A,MATCH(_xlpm.pos,MASTER!$J:$J,0))&amp;"_ser_0.20_"&amp;TEXT(INDEX(MASTER!$E:$E,MATCH(_xlpm.pos,MASTER!$J:$J,0)),"mmddyy"),""),_xlpm.slot,384+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53" s="4" t="str">
        <f t="array" ref="G53">_xlfn.LET(_xlpm.pos,"Max Planck plate 5: "&amp;$A9&amp;G$2,_xlpm.normal,IFERROR(INDEX(MASTER!$A:$A,MATCH(_xlpm.pos,MASTER!$J:$J,0))&amp;"_ser_0.20_"&amp;TEXT(INDEX(MASTER!$E:$E,MATCH(_xlpm.pos,MASTER!$J:$J,0)),"mmddyy"),""),_xlpm.slot,384+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53" s="4" t="str">
        <f t="array" ref="H53">_xlfn.LET(_xlpm.pos,"Max Planck plate 5: "&amp;$A9&amp;H$2,_xlpm.normal,IFERROR(INDEX(MASTER!$A:$A,MATCH(_xlpm.pos,MASTER!$J:$J,0))&amp;"_ser_0.20_"&amp;TEXT(INDEX(MASTER!$E:$E,MATCH(_xlpm.pos,MASTER!$J:$J,0)),"mmddyy"),""),_xlpm.slot,384+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53" s="4" t="str">
        <f t="array" ref="I53">_xlfn.LET(_xlpm.pos,"Max Planck plate 5: "&amp;$A9&amp;I$2,_xlpm.normal,IFERROR(INDEX(MASTER!$A:$A,MATCH(_xlpm.pos,MASTER!$J:$J,0))&amp;"_ser_0.20_"&amp;TEXT(INDEX(MASTER!$E:$E,MATCH(_xlpm.pos,MASTER!$J:$J,0)),"mmddyy"),""),_xlpm.slot,384+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53" s="4" t="str">
        <f t="array" ref="J53">_xlfn.LET(_xlpm.pos,"Max Planck plate 5: "&amp;$A9&amp;J$2,_xlpm.normal,IFERROR(INDEX(MASTER!$A:$A,MATCH(_xlpm.pos,MASTER!$J:$J,0))&amp;"_ser_0.20_"&amp;TEXT(INDEX(MASTER!$E:$E,MATCH(_xlpm.pos,MASTER!$J:$J,0)),"mmddyy"),""),_xlpm.slot,384+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53" s="4" t="str">
        <f t="array" ref="K53">_xlfn.LET(_xlpm.pos,"Max Planck plate 5: "&amp;$A9&amp;K$2,_xlpm.normal,IFERROR(INDEX(MASTER!$A:$A,MATCH(_xlpm.pos,MASTER!$J:$J,0))&amp;"_ser_0.20_"&amp;TEXT(INDEX(MASTER!$E:$E,MATCH(_xlpm.pos,MASTER!$J:$J,0)),"mmddyy"),""),_xlpm.slot,384+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53" s="4" t="str">
        <f t="array" ref="L53">_xlfn.LET(_xlpm.pos,"Max Planck plate 5: "&amp;$A9&amp;L$2,_xlpm.normal,IFERROR(INDEX(MASTER!$A:$A,MATCH(_xlpm.pos,MASTER!$J:$J,0))&amp;"_ser_0.20_"&amp;TEXT(INDEX(MASTER!$E:$E,MATCH(_xlpm.pos,MASTER!$J:$J,0)),"mmddyy"),""),_xlpm.slot,384+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53" s="4" t="str">
        <f t="array" ref="M53">_xlfn.LET(_xlpm.pos,"Max Planck plate 5: "&amp;$A9&amp;M$2,_xlpm.normal,IFERROR(INDEX(MASTER!$A:$A,MATCH(_xlpm.pos,MASTER!$J:$J,0))&amp;"_ser_0.20_"&amp;TEXT(INDEX(MASTER!$E:$E,MATCH(_xlpm.pos,MASTER!$J:$J,0)),"mmddyy"),""),_xlpm.slot,384+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54" spans="1:13" ht="22" customHeight="1" x14ac:dyDescent="0.3">
      <c r="A54" s="6" t="s">
        <v>36</v>
      </c>
      <c r="B54" s="4" t="str">
        <f t="array" ref="B54">_xlfn.LET(_xlpm.pos,"Max Planck plate 5: "&amp;$A10&amp;B$2,_xlpm.normal,IFERROR(INDEX(MASTER!$A:$A,MATCH(_xlpm.pos,MASTER!$J:$J,0))&amp;"_ser_0.20_"&amp;TEXT(INDEX(MASTER!$E:$E,MATCH(_xlpm.pos,MASTER!$J:$J,0)),"mmddyy"),""),_xlpm.slot,384+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54" s="4" t="str">
        <f t="array" ref="C54">_xlfn.LET(_xlpm.pos,"Max Planck plate 5: "&amp;$A10&amp;C$2,_xlpm.normal,IFERROR(INDEX(MASTER!$A:$A,MATCH(_xlpm.pos,MASTER!$J:$J,0))&amp;"_ser_0.20_"&amp;TEXT(INDEX(MASTER!$E:$E,MATCH(_xlpm.pos,MASTER!$J:$J,0)),"mmddyy"),""),_xlpm.slot,384+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54" s="4" t="str">
        <f t="array" ref="D54">_xlfn.LET(_xlpm.pos,"Max Planck plate 5: "&amp;$A10&amp;D$2,_xlpm.normal,IFERROR(INDEX(MASTER!$A:$A,MATCH(_xlpm.pos,MASTER!$J:$J,0))&amp;"_ser_0.20_"&amp;TEXT(INDEX(MASTER!$E:$E,MATCH(_xlpm.pos,MASTER!$J:$J,0)),"mmddyy"),""),_xlpm.slot,384+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54" s="4" t="str">
        <f t="array" ref="E54">_xlfn.LET(_xlpm.pos,"Max Planck plate 5: "&amp;$A10&amp;E$2,_xlpm.normal,IFERROR(INDEX(MASTER!$A:$A,MATCH(_xlpm.pos,MASTER!$J:$J,0))&amp;"_ser_0.20_"&amp;TEXT(INDEX(MASTER!$E:$E,MATCH(_xlpm.pos,MASTER!$J:$J,0)),"mmddyy"),""),_xlpm.slot,384+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54" s="4" t="str">
        <f t="array" ref="F54">_xlfn.LET(_xlpm.pos,"Max Planck plate 5: "&amp;$A10&amp;F$2,_xlpm.normal,IFERROR(INDEX(MASTER!$A:$A,MATCH(_xlpm.pos,MASTER!$J:$J,0))&amp;"_ser_0.20_"&amp;TEXT(INDEX(MASTER!$E:$E,MATCH(_xlpm.pos,MASTER!$J:$J,0)),"mmddyy"),""),_xlpm.slot,384+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54" s="4" t="str">
        <f t="array" ref="G54">_xlfn.LET(_xlpm.pos,"Max Planck plate 5: "&amp;$A10&amp;G$2,_xlpm.normal,IFERROR(INDEX(MASTER!$A:$A,MATCH(_xlpm.pos,MASTER!$J:$J,0))&amp;"_ser_0.20_"&amp;TEXT(INDEX(MASTER!$E:$E,MATCH(_xlpm.pos,MASTER!$J:$J,0)),"mmddyy"),""),_xlpm.slot,384+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54" s="4" t="str">
        <f t="array" ref="H54">_xlfn.LET(_xlpm.pos,"Max Planck plate 5: "&amp;$A10&amp;H$2,_xlpm.normal,IFERROR(INDEX(MASTER!$A:$A,MATCH(_xlpm.pos,MASTER!$J:$J,0))&amp;"_ser_0.20_"&amp;TEXT(INDEX(MASTER!$E:$E,MATCH(_xlpm.pos,MASTER!$J:$J,0)),"mmddyy"),""),_xlpm.slot,384+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54" s="4" t="str">
        <f t="array" ref="I54">_xlfn.LET(_xlpm.pos,"Max Planck plate 5: "&amp;$A10&amp;I$2,_xlpm.normal,IFERROR(INDEX(MASTER!$A:$A,MATCH(_xlpm.pos,MASTER!$J:$J,0))&amp;"_ser_0.20_"&amp;TEXT(INDEX(MASTER!$E:$E,MATCH(_xlpm.pos,MASTER!$J:$J,0)),"mmddyy"),""),_xlpm.slot,384+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54" s="4" t="str">
        <f t="array" ref="J54">_xlfn.LET(_xlpm.pos,"Max Planck plate 5: "&amp;$A10&amp;J$2,_xlpm.normal,IFERROR(INDEX(MASTER!$A:$A,MATCH(_xlpm.pos,MASTER!$J:$J,0))&amp;"_ser_0.20_"&amp;TEXT(INDEX(MASTER!$E:$E,MATCH(_xlpm.pos,MASTER!$J:$J,0)),"mmddyy"),""),_xlpm.slot,384+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54" s="4" t="str">
        <f t="array" ref="K54">_xlfn.LET(_xlpm.pos,"Max Planck plate 5: "&amp;$A10&amp;K$2,_xlpm.normal,IFERROR(INDEX(MASTER!$A:$A,MATCH(_xlpm.pos,MASTER!$J:$J,0))&amp;"_ser_0.20_"&amp;TEXT(INDEX(MASTER!$E:$E,MATCH(_xlpm.pos,MASTER!$J:$J,0)),"mmddyy"),""),_xlpm.slot,384+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54" s="4" t="str">
        <f t="array" ref="L54">_xlfn.LET(_xlpm.pos,"Max Planck plate 5: "&amp;$A10&amp;L$2,_xlpm.normal,IFERROR(INDEX(MASTER!$A:$A,MATCH(_xlpm.pos,MASTER!$J:$J,0))&amp;"_ser_0.20_"&amp;TEXT(INDEX(MASTER!$E:$E,MATCH(_xlpm.pos,MASTER!$J:$J,0)),"mmddyy"),""),_xlpm.slot,384+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54" s="4" t="str">
        <f t="array" ref="M54">_xlfn.LET(_xlpm.pos,"Max Planck plate 5: "&amp;$A10&amp;M$2,_xlpm.normal,IFERROR(INDEX(MASTER!$A:$A,MATCH(_xlpm.pos,MASTER!$J:$J,0))&amp;"_ser_0.20_"&amp;TEXT(INDEX(MASTER!$E:$E,MATCH(_xlpm.pos,MASTER!$J:$J,0)),"mmddyy"),""),_xlpm.slot,384+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55" spans="1:13" ht="22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 ht="22" customHeight="1" x14ac:dyDescent="0.35">
      <c r="A56" s="5"/>
      <c r="B56" s="31" t="s">
        <v>83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3"/>
    </row>
    <row r="57" spans="1:13" ht="22" customHeight="1" x14ac:dyDescent="0.3">
      <c r="A57" s="5"/>
      <c r="B57" s="6">
        <v>1</v>
      </c>
      <c r="C57" s="6">
        <v>2</v>
      </c>
      <c r="D57" s="6">
        <v>3</v>
      </c>
      <c r="E57" s="6">
        <v>4</v>
      </c>
      <c r="F57" s="6">
        <v>5</v>
      </c>
      <c r="G57" s="6">
        <v>6</v>
      </c>
      <c r="H57" s="6">
        <v>7</v>
      </c>
      <c r="I57" s="6">
        <v>8</v>
      </c>
      <c r="J57" s="6">
        <v>9</v>
      </c>
      <c r="K57" s="6">
        <v>10</v>
      </c>
      <c r="L57" s="6">
        <v>11</v>
      </c>
      <c r="M57" s="6">
        <v>12</v>
      </c>
    </row>
    <row r="58" spans="1:13" ht="22" customHeight="1" x14ac:dyDescent="0.3">
      <c r="A58" s="6" t="s">
        <v>30</v>
      </c>
      <c r="B58" s="4" t="str">
        <f t="array" ref="B58">_xlfn.LET(_xlpm.pos,"Max Planck plate 6: "&amp;$A3&amp;B$2,_xlpm.normal,IFERROR(INDEX(MASTER!$A:$A,MATCH(_xlpm.pos,MASTER!$J:$J,0))&amp;"_ser_0.20_"&amp;TEXT(INDEX(MASTER!$E:$E,MATCH(_xlpm.pos,MASTER!$J:$J,0)),"mmddyy"),""),_xlpm.slot,480+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58" s="4" t="str">
        <f t="array" ref="C58">_xlfn.LET(_xlpm.pos,"Max Planck plate 6: "&amp;$A3&amp;C$2,_xlpm.normal,IFERROR(INDEX(MASTER!$A:$A,MATCH(_xlpm.pos,MASTER!$J:$J,0))&amp;"_ser_0.20_"&amp;TEXT(INDEX(MASTER!$E:$E,MATCH(_xlpm.pos,MASTER!$J:$J,0)),"mmddyy"),""),_xlpm.slot,480+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58" s="4" t="str">
        <f t="array" ref="D58">_xlfn.LET(_xlpm.pos,"Max Planck plate 6: "&amp;$A3&amp;D$2,_xlpm.normal,IFERROR(INDEX(MASTER!$A:$A,MATCH(_xlpm.pos,MASTER!$J:$J,0))&amp;"_ser_0.20_"&amp;TEXT(INDEX(MASTER!$E:$E,MATCH(_xlpm.pos,MASTER!$J:$J,0)),"mmddyy"),""),_xlpm.slot,480+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58" s="4" t="str">
        <f t="array" ref="E58">_xlfn.LET(_xlpm.pos,"Max Planck plate 6: "&amp;$A3&amp;E$2,_xlpm.normal,IFERROR(INDEX(MASTER!$A:$A,MATCH(_xlpm.pos,MASTER!$J:$J,0))&amp;"_ser_0.20_"&amp;TEXT(INDEX(MASTER!$E:$E,MATCH(_xlpm.pos,MASTER!$J:$J,0)),"mmddyy"),""),_xlpm.slot,480+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58" s="4" t="str">
        <f t="array" ref="F58">_xlfn.LET(_xlpm.pos,"Max Planck plate 6: "&amp;$A3&amp;F$2,_xlpm.normal,IFERROR(INDEX(MASTER!$A:$A,MATCH(_xlpm.pos,MASTER!$J:$J,0))&amp;"_ser_0.20_"&amp;TEXT(INDEX(MASTER!$E:$E,MATCH(_xlpm.pos,MASTER!$J:$J,0)),"mmddyy"),""),_xlpm.slot,480+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58" s="4" t="str">
        <f t="array" ref="G58">_xlfn.LET(_xlpm.pos,"Max Planck plate 6: "&amp;$A3&amp;G$2,_xlpm.normal,IFERROR(INDEX(MASTER!$A:$A,MATCH(_xlpm.pos,MASTER!$J:$J,0))&amp;"_ser_0.20_"&amp;TEXT(INDEX(MASTER!$E:$E,MATCH(_xlpm.pos,MASTER!$J:$J,0)),"mmddyy"),""),_xlpm.slot,480+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58" s="4" t="str">
        <f t="array" ref="H58">_xlfn.LET(_xlpm.pos,"Max Planck plate 6: "&amp;$A3&amp;H$2,_xlpm.normal,IFERROR(INDEX(MASTER!$A:$A,MATCH(_xlpm.pos,MASTER!$J:$J,0))&amp;"_ser_0.20_"&amp;TEXT(INDEX(MASTER!$E:$E,MATCH(_xlpm.pos,MASTER!$J:$J,0)),"mmddyy"),""),_xlpm.slot,480+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58" s="4" t="str">
        <f t="array" ref="I58">_xlfn.LET(_xlpm.pos,"Max Planck plate 6: "&amp;$A3&amp;I$2,_xlpm.normal,IFERROR(INDEX(MASTER!$A:$A,MATCH(_xlpm.pos,MASTER!$J:$J,0))&amp;"_ser_0.20_"&amp;TEXT(INDEX(MASTER!$E:$E,MATCH(_xlpm.pos,MASTER!$J:$J,0)),"mmddyy"),""),_xlpm.slot,480+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58" s="4" t="str">
        <f t="array" ref="J58">_xlfn.LET(_xlpm.pos,"Max Planck plate 6: "&amp;$A3&amp;J$2,_xlpm.normal,IFERROR(INDEX(MASTER!$A:$A,MATCH(_xlpm.pos,MASTER!$J:$J,0))&amp;"_ser_0.20_"&amp;TEXT(INDEX(MASTER!$E:$E,MATCH(_xlpm.pos,MASTER!$J:$J,0)),"mmddyy"),""),_xlpm.slot,480+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58" s="4" t="str">
        <f t="array" ref="K58">_xlfn.LET(_xlpm.pos,"Max Planck plate 6: "&amp;$A3&amp;K$2,_xlpm.normal,IFERROR(INDEX(MASTER!$A:$A,MATCH(_xlpm.pos,MASTER!$J:$J,0))&amp;"_ser_0.20_"&amp;TEXT(INDEX(MASTER!$E:$E,MATCH(_xlpm.pos,MASTER!$J:$J,0)),"mmddyy"),""),_xlpm.slot,480+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58" s="4" t="str">
        <f t="array" ref="L58">_xlfn.LET(_xlpm.pos,"Max Planck plate 6: "&amp;$A3&amp;L$2,_xlpm.normal,IFERROR(INDEX(MASTER!$A:$A,MATCH(_xlpm.pos,MASTER!$J:$J,0))&amp;"_ser_0.20_"&amp;TEXT(INDEX(MASTER!$E:$E,MATCH(_xlpm.pos,MASTER!$J:$J,0)),"mmddyy"),""),_xlpm.slot,480+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58" s="4" t="str">
        <f t="array" ref="M58">_xlfn.LET(_xlpm.pos,"Max Planck plate 6: "&amp;$A3&amp;M$2,_xlpm.normal,IFERROR(INDEX(MASTER!$A:$A,MATCH(_xlpm.pos,MASTER!$J:$J,0))&amp;"_ser_0.20_"&amp;TEXT(INDEX(MASTER!$E:$E,MATCH(_xlpm.pos,MASTER!$J:$J,0)),"mmddyy"),""),_xlpm.slot,480+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59" spans="1:13" ht="22" customHeight="1" x14ac:dyDescent="0.3">
      <c r="A59" s="6" t="s">
        <v>31</v>
      </c>
      <c r="B59" s="4" t="str">
        <f t="array" ref="B59">_xlfn.LET(_xlpm.pos,"Max Planck plate 6: "&amp;$A4&amp;B$2,_xlpm.normal,IFERROR(INDEX(MASTER!$A:$A,MATCH(_xlpm.pos,MASTER!$J:$J,0))&amp;"_ser_0.20_"&amp;TEXT(INDEX(MASTER!$E:$E,MATCH(_xlpm.pos,MASTER!$J:$J,0)),"mmddyy"),""),_xlpm.slot,480+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59" s="4" t="str">
        <f t="array" ref="C59">_xlfn.LET(_xlpm.pos,"Max Planck plate 6: "&amp;$A4&amp;C$2,_xlpm.normal,IFERROR(INDEX(MASTER!$A:$A,MATCH(_xlpm.pos,MASTER!$J:$J,0))&amp;"_ser_0.20_"&amp;TEXT(INDEX(MASTER!$E:$E,MATCH(_xlpm.pos,MASTER!$J:$J,0)),"mmddyy"),""),_xlpm.slot,480+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59" s="4" t="str">
        <f t="array" ref="D59">_xlfn.LET(_xlpm.pos,"Max Planck plate 6: "&amp;$A4&amp;D$2,_xlpm.normal,IFERROR(INDEX(MASTER!$A:$A,MATCH(_xlpm.pos,MASTER!$J:$J,0))&amp;"_ser_0.20_"&amp;TEXT(INDEX(MASTER!$E:$E,MATCH(_xlpm.pos,MASTER!$J:$J,0)),"mmddyy"),""),_xlpm.slot,480+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59" s="4" t="str">
        <f t="array" ref="E59">_xlfn.LET(_xlpm.pos,"Max Planck plate 6: "&amp;$A4&amp;E$2,_xlpm.normal,IFERROR(INDEX(MASTER!$A:$A,MATCH(_xlpm.pos,MASTER!$J:$J,0))&amp;"_ser_0.20_"&amp;TEXT(INDEX(MASTER!$E:$E,MATCH(_xlpm.pos,MASTER!$J:$J,0)),"mmddyy"),""),_xlpm.slot,480+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59" s="4" t="str">
        <f t="array" ref="F59">_xlfn.LET(_xlpm.pos,"Max Planck plate 6: "&amp;$A4&amp;F$2,_xlpm.normal,IFERROR(INDEX(MASTER!$A:$A,MATCH(_xlpm.pos,MASTER!$J:$J,0))&amp;"_ser_0.20_"&amp;TEXT(INDEX(MASTER!$E:$E,MATCH(_xlpm.pos,MASTER!$J:$J,0)),"mmddyy"),""),_xlpm.slot,480+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59" s="4" t="str">
        <f t="array" ref="G59">_xlfn.LET(_xlpm.pos,"Max Planck plate 6: "&amp;$A4&amp;G$2,_xlpm.normal,IFERROR(INDEX(MASTER!$A:$A,MATCH(_xlpm.pos,MASTER!$J:$J,0))&amp;"_ser_0.20_"&amp;TEXT(INDEX(MASTER!$E:$E,MATCH(_xlpm.pos,MASTER!$J:$J,0)),"mmddyy"),""),_xlpm.slot,480+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59" s="4" t="str">
        <f t="array" ref="H59">_xlfn.LET(_xlpm.pos,"Max Planck plate 6: "&amp;$A4&amp;H$2,_xlpm.normal,IFERROR(INDEX(MASTER!$A:$A,MATCH(_xlpm.pos,MASTER!$J:$J,0))&amp;"_ser_0.20_"&amp;TEXT(INDEX(MASTER!$E:$E,MATCH(_xlpm.pos,MASTER!$J:$J,0)),"mmddyy"),""),_xlpm.slot,480+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59" s="4" t="str">
        <f t="array" ref="I59">_xlfn.LET(_xlpm.pos,"Max Planck plate 6: "&amp;$A4&amp;I$2,_xlpm.normal,IFERROR(INDEX(MASTER!$A:$A,MATCH(_xlpm.pos,MASTER!$J:$J,0))&amp;"_ser_0.20_"&amp;TEXT(INDEX(MASTER!$E:$E,MATCH(_xlpm.pos,MASTER!$J:$J,0)),"mmddyy"),""),_xlpm.slot,480+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59" s="4" t="str">
        <f t="array" ref="J59">_xlfn.LET(_xlpm.pos,"Max Planck plate 6: "&amp;$A4&amp;J$2,_xlpm.normal,IFERROR(INDEX(MASTER!$A:$A,MATCH(_xlpm.pos,MASTER!$J:$J,0))&amp;"_ser_0.20_"&amp;TEXT(INDEX(MASTER!$E:$E,MATCH(_xlpm.pos,MASTER!$J:$J,0)),"mmddyy"),""),_xlpm.slot,480+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59" s="4" t="str">
        <f t="array" ref="K59">_xlfn.LET(_xlpm.pos,"Max Planck plate 6: "&amp;$A4&amp;K$2,_xlpm.normal,IFERROR(INDEX(MASTER!$A:$A,MATCH(_xlpm.pos,MASTER!$J:$J,0))&amp;"_ser_0.20_"&amp;TEXT(INDEX(MASTER!$E:$E,MATCH(_xlpm.pos,MASTER!$J:$J,0)),"mmddyy"),""),_xlpm.slot,480+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59" s="4" t="str">
        <f t="array" ref="L59">_xlfn.LET(_xlpm.pos,"Max Planck plate 6: "&amp;$A4&amp;L$2,_xlpm.normal,IFERROR(INDEX(MASTER!$A:$A,MATCH(_xlpm.pos,MASTER!$J:$J,0))&amp;"_ser_0.20_"&amp;TEXT(INDEX(MASTER!$E:$E,MATCH(_xlpm.pos,MASTER!$J:$J,0)),"mmddyy"),""),_xlpm.slot,480+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59" s="4" t="str">
        <f t="array" ref="M59">_xlfn.LET(_xlpm.pos,"Max Planck plate 6: "&amp;$A4&amp;M$2,_xlpm.normal,IFERROR(INDEX(MASTER!$A:$A,MATCH(_xlpm.pos,MASTER!$J:$J,0))&amp;"_ser_0.20_"&amp;TEXT(INDEX(MASTER!$E:$E,MATCH(_xlpm.pos,MASTER!$J:$J,0)),"mmddyy"),""),_xlpm.slot,480+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60" spans="1:13" ht="22" customHeight="1" x14ac:dyDescent="0.3">
      <c r="A60" s="6" t="s">
        <v>32</v>
      </c>
      <c r="B60" s="4" t="str">
        <f t="array" ref="B60">_xlfn.LET(_xlpm.pos,"Max Planck plate 6: "&amp;$A5&amp;B$2,_xlpm.normal,IFERROR(INDEX(MASTER!$A:$A,MATCH(_xlpm.pos,MASTER!$J:$J,0))&amp;"_ser_0.20_"&amp;TEXT(INDEX(MASTER!$E:$E,MATCH(_xlpm.pos,MASTER!$J:$J,0)),"mmddyy"),""),_xlpm.slot,480+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60" s="4" t="str">
        <f t="array" ref="C60">_xlfn.LET(_xlpm.pos,"Max Planck plate 6: "&amp;$A5&amp;C$2,_xlpm.normal,IFERROR(INDEX(MASTER!$A:$A,MATCH(_xlpm.pos,MASTER!$J:$J,0))&amp;"_ser_0.20_"&amp;TEXT(INDEX(MASTER!$E:$E,MATCH(_xlpm.pos,MASTER!$J:$J,0)),"mmddyy"),""),_xlpm.slot,480+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60" s="4" t="str">
        <f t="array" ref="D60">_xlfn.LET(_xlpm.pos,"Max Planck plate 6: "&amp;$A5&amp;D$2,_xlpm.normal,IFERROR(INDEX(MASTER!$A:$A,MATCH(_xlpm.pos,MASTER!$J:$J,0))&amp;"_ser_0.20_"&amp;TEXT(INDEX(MASTER!$E:$E,MATCH(_xlpm.pos,MASTER!$J:$J,0)),"mmddyy"),""),_xlpm.slot,480+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60" s="4" t="str">
        <f t="array" ref="E60">_xlfn.LET(_xlpm.pos,"Max Planck plate 6: "&amp;$A5&amp;E$2,_xlpm.normal,IFERROR(INDEX(MASTER!$A:$A,MATCH(_xlpm.pos,MASTER!$J:$J,0))&amp;"_ser_0.20_"&amp;TEXT(INDEX(MASTER!$E:$E,MATCH(_xlpm.pos,MASTER!$J:$J,0)),"mmddyy"),""),_xlpm.slot,480+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60" s="4" t="str">
        <f t="array" ref="F60">_xlfn.LET(_xlpm.pos,"Max Planck plate 6: "&amp;$A5&amp;F$2,_xlpm.normal,IFERROR(INDEX(MASTER!$A:$A,MATCH(_xlpm.pos,MASTER!$J:$J,0))&amp;"_ser_0.20_"&amp;TEXT(INDEX(MASTER!$E:$E,MATCH(_xlpm.pos,MASTER!$J:$J,0)),"mmddyy"),""),_xlpm.slot,480+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60" s="4" t="str">
        <f t="array" ref="G60">_xlfn.LET(_xlpm.pos,"Max Planck plate 6: "&amp;$A5&amp;G$2,_xlpm.normal,IFERROR(INDEX(MASTER!$A:$A,MATCH(_xlpm.pos,MASTER!$J:$J,0))&amp;"_ser_0.20_"&amp;TEXT(INDEX(MASTER!$E:$E,MATCH(_xlpm.pos,MASTER!$J:$J,0)),"mmddyy"),""),_xlpm.slot,480+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60" s="4" t="str">
        <f t="array" ref="H60">_xlfn.LET(_xlpm.pos,"Max Planck plate 6: "&amp;$A5&amp;H$2,_xlpm.normal,IFERROR(INDEX(MASTER!$A:$A,MATCH(_xlpm.pos,MASTER!$J:$J,0))&amp;"_ser_0.20_"&amp;TEXT(INDEX(MASTER!$E:$E,MATCH(_xlpm.pos,MASTER!$J:$J,0)),"mmddyy"),""),_xlpm.slot,480+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60" s="4" t="str">
        <f t="array" ref="I60">_xlfn.LET(_xlpm.pos,"Max Planck plate 6: "&amp;$A5&amp;I$2,_xlpm.normal,IFERROR(INDEX(MASTER!$A:$A,MATCH(_xlpm.pos,MASTER!$J:$J,0))&amp;"_ser_0.20_"&amp;TEXT(INDEX(MASTER!$E:$E,MATCH(_xlpm.pos,MASTER!$J:$J,0)),"mmddyy"),""),_xlpm.slot,480+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60" s="4" t="str">
        <f t="array" ref="J60">_xlfn.LET(_xlpm.pos,"Max Planck plate 6: "&amp;$A5&amp;J$2,_xlpm.normal,IFERROR(INDEX(MASTER!$A:$A,MATCH(_xlpm.pos,MASTER!$J:$J,0))&amp;"_ser_0.20_"&amp;TEXT(INDEX(MASTER!$E:$E,MATCH(_xlpm.pos,MASTER!$J:$J,0)),"mmddyy"),""),_xlpm.slot,480+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60" s="4" t="str">
        <f t="array" ref="K60">_xlfn.LET(_xlpm.pos,"Max Planck plate 6: "&amp;$A5&amp;K$2,_xlpm.normal,IFERROR(INDEX(MASTER!$A:$A,MATCH(_xlpm.pos,MASTER!$J:$J,0))&amp;"_ser_0.20_"&amp;TEXT(INDEX(MASTER!$E:$E,MATCH(_xlpm.pos,MASTER!$J:$J,0)),"mmddyy"),""),_xlpm.slot,480+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60" s="4" t="str">
        <f t="array" ref="L60">_xlfn.LET(_xlpm.pos,"Max Planck plate 6: "&amp;$A5&amp;L$2,_xlpm.normal,IFERROR(INDEX(MASTER!$A:$A,MATCH(_xlpm.pos,MASTER!$J:$J,0))&amp;"_ser_0.20_"&amp;TEXT(INDEX(MASTER!$E:$E,MATCH(_xlpm.pos,MASTER!$J:$J,0)),"mmddyy"),""),_xlpm.slot,480+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60" s="4" t="str">
        <f t="array" ref="M60">_xlfn.LET(_xlpm.pos,"Max Planck plate 6: "&amp;$A5&amp;M$2,_xlpm.normal,IFERROR(INDEX(MASTER!$A:$A,MATCH(_xlpm.pos,MASTER!$J:$J,0))&amp;"_ser_0.20_"&amp;TEXT(INDEX(MASTER!$E:$E,MATCH(_xlpm.pos,MASTER!$J:$J,0)),"mmddyy"),""),_xlpm.slot,480+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61" spans="1:13" ht="22" customHeight="1" x14ac:dyDescent="0.3">
      <c r="A61" s="6" t="s">
        <v>33</v>
      </c>
      <c r="B61" s="4" t="str">
        <f t="array" ref="B61">_xlfn.LET(_xlpm.pos,"Max Planck plate 6: "&amp;$A6&amp;B$2,_xlpm.normal,IFERROR(INDEX(MASTER!$A:$A,MATCH(_xlpm.pos,MASTER!$J:$J,0))&amp;"_ser_0.20_"&amp;TEXT(INDEX(MASTER!$E:$E,MATCH(_xlpm.pos,MASTER!$J:$J,0)),"mmddyy"),""),_xlpm.slot,480+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61" s="4" t="str">
        <f t="array" ref="C61">_xlfn.LET(_xlpm.pos,"Max Planck plate 6: "&amp;$A6&amp;C$2,_xlpm.normal,IFERROR(INDEX(MASTER!$A:$A,MATCH(_xlpm.pos,MASTER!$J:$J,0))&amp;"_ser_0.20_"&amp;TEXT(INDEX(MASTER!$E:$E,MATCH(_xlpm.pos,MASTER!$J:$J,0)),"mmddyy"),""),_xlpm.slot,480+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61" s="4" t="str">
        <f t="array" ref="D61">_xlfn.LET(_xlpm.pos,"Max Planck plate 6: "&amp;$A6&amp;D$2,_xlpm.normal,IFERROR(INDEX(MASTER!$A:$A,MATCH(_xlpm.pos,MASTER!$J:$J,0))&amp;"_ser_0.20_"&amp;TEXT(INDEX(MASTER!$E:$E,MATCH(_xlpm.pos,MASTER!$J:$J,0)),"mmddyy"),""),_xlpm.slot,480+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61" s="4" t="str">
        <f t="array" ref="E61">_xlfn.LET(_xlpm.pos,"Max Planck plate 6: "&amp;$A6&amp;E$2,_xlpm.normal,IFERROR(INDEX(MASTER!$A:$A,MATCH(_xlpm.pos,MASTER!$J:$J,0))&amp;"_ser_0.20_"&amp;TEXT(INDEX(MASTER!$E:$E,MATCH(_xlpm.pos,MASTER!$J:$J,0)),"mmddyy"),""),_xlpm.slot,480+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61" s="4" t="str">
        <f t="array" ref="F61">_xlfn.LET(_xlpm.pos,"Max Planck plate 6: "&amp;$A6&amp;F$2,_xlpm.normal,IFERROR(INDEX(MASTER!$A:$A,MATCH(_xlpm.pos,MASTER!$J:$J,0))&amp;"_ser_0.20_"&amp;TEXT(INDEX(MASTER!$E:$E,MATCH(_xlpm.pos,MASTER!$J:$J,0)),"mmddyy"),""),_xlpm.slot,480+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61" s="4" t="str">
        <f t="array" ref="G61">_xlfn.LET(_xlpm.pos,"Max Planck plate 6: "&amp;$A6&amp;G$2,_xlpm.normal,IFERROR(INDEX(MASTER!$A:$A,MATCH(_xlpm.pos,MASTER!$J:$J,0))&amp;"_ser_0.20_"&amp;TEXT(INDEX(MASTER!$E:$E,MATCH(_xlpm.pos,MASTER!$J:$J,0)),"mmddyy"),""),_xlpm.slot,480+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61" s="4" t="str">
        <f t="array" ref="H61">_xlfn.LET(_xlpm.pos,"Max Planck plate 6: "&amp;$A6&amp;H$2,_xlpm.normal,IFERROR(INDEX(MASTER!$A:$A,MATCH(_xlpm.pos,MASTER!$J:$J,0))&amp;"_ser_0.20_"&amp;TEXT(INDEX(MASTER!$E:$E,MATCH(_xlpm.pos,MASTER!$J:$J,0)),"mmddyy"),""),_xlpm.slot,480+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61" s="4" t="str">
        <f t="array" ref="I61">_xlfn.LET(_xlpm.pos,"Max Planck plate 6: "&amp;$A6&amp;I$2,_xlpm.normal,IFERROR(INDEX(MASTER!$A:$A,MATCH(_xlpm.pos,MASTER!$J:$J,0))&amp;"_ser_0.20_"&amp;TEXT(INDEX(MASTER!$E:$E,MATCH(_xlpm.pos,MASTER!$J:$J,0)),"mmddyy"),""),_xlpm.slot,480+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61" s="4" t="str">
        <f t="array" ref="J61">_xlfn.LET(_xlpm.pos,"Max Planck plate 6: "&amp;$A6&amp;J$2,_xlpm.normal,IFERROR(INDEX(MASTER!$A:$A,MATCH(_xlpm.pos,MASTER!$J:$J,0))&amp;"_ser_0.20_"&amp;TEXT(INDEX(MASTER!$E:$E,MATCH(_xlpm.pos,MASTER!$J:$J,0)),"mmddyy"),""),_xlpm.slot,480+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61" s="4" t="str">
        <f t="array" ref="K61">_xlfn.LET(_xlpm.pos,"Max Planck plate 6: "&amp;$A6&amp;K$2,_xlpm.normal,IFERROR(INDEX(MASTER!$A:$A,MATCH(_xlpm.pos,MASTER!$J:$J,0))&amp;"_ser_0.20_"&amp;TEXT(INDEX(MASTER!$E:$E,MATCH(_xlpm.pos,MASTER!$J:$J,0)),"mmddyy"),""),_xlpm.slot,480+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61" s="4" t="str">
        <f t="array" ref="L61">_xlfn.LET(_xlpm.pos,"Max Planck plate 6: "&amp;$A6&amp;L$2,_xlpm.normal,IFERROR(INDEX(MASTER!$A:$A,MATCH(_xlpm.pos,MASTER!$J:$J,0))&amp;"_ser_0.20_"&amp;TEXT(INDEX(MASTER!$E:$E,MATCH(_xlpm.pos,MASTER!$J:$J,0)),"mmddyy"),""),_xlpm.slot,480+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61" s="4" t="str">
        <f t="array" ref="M61">_xlfn.LET(_xlpm.pos,"Max Planck plate 6: "&amp;$A6&amp;M$2,_xlpm.normal,IFERROR(INDEX(MASTER!$A:$A,MATCH(_xlpm.pos,MASTER!$J:$J,0))&amp;"_ser_0.20_"&amp;TEXT(INDEX(MASTER!$E:$E,MATCH(_xlpm.pos,MASTER!$J:$J,0)),"mmddyy"),""),_xlpm.slot,480+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62" spans="1:13" ht="22" customHeight="1" x14ac:dyDescent="0.3">
      <c r="A62" s="6" t="s">
        <v>34</v>
      </c>
      <c r="B62" s="4" t="str">
        <f t="array" ref="B62">_xlfn.LET(_xlpm.pos,"Max Planck plate 6: "&amp;$A7&amp;B$2,_xlpm.normal,IFERROR(INDEX(MASTER!$A:$A,MATCH(_xlpm.pos,MASTER!$J:$J,0))&amp;"_ser_0.20_"&amp;TEXT(INDEX(MASTER!$E:$E,MATCH(_xlpm.pos,MASTER!$J:$J,0)),"mmddyy"),""),_xlpm.slot,480+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62" s="4" t="str">
        <f t="array" ref="C62">_xlfn.LET(_xlpm.pos,"Max Planck plate 6: "&amp;$A7&amp;C$2,_xlpm.normal,IFERROR(INDEX(MASTER!$A:$A,MATCH(_xlpm.pos,MASTER!$J:$J,0))&amp;"_ser_0.20_"&amp;TEXT(INDEX(MASTER!$E:$E,MATCH(_xlpm.pos,MASTER!$J:$J,0)),"mmddyy"),""),_xlpm.slot,480+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62" s="4" t="str">
        <f t="array" ref="D62">_xlfn.LET(_xlpm.pos,"Max Planck plate 6: "&amp;$A7&amp;D$2,_xlpm.normal,IFERROR(INDEX(MASTER!$A:$A,MATCH(_xlpm.pos,MASTER!$J:$J,0))&amp;"_ser_0.20_"&amp;TEXT(INDEX(MASTER!$E:$E,MATCH(_xlpm.pos,MASTER!$J:$J,0)),"mmddyy"),""),_xlpm.slot,480+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62" s="4" t="str">
        <f t="array" ref="E62">_xlfn.LET(_xlpm.pos,"Max Planck plate 6: "&amp;$A7&amp;E$2,_xlpm.normal,IFERROR(INDEX(MASTER!$A:$A,MATCH(_xlpm.pos,MASTER!$J:$J,0))&amp;"_ser_0.20_"&amp;TEXT(INDEX(MASTER!$E:$E,MATCH(_xlpm.pos,MASTER!$J:$J,0)),"mmddyy"),""),_xlpm.slot,480+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62" s="4" t="str">
        <f t="array" ref="F62">_xlfn.LET(_xlpm.pos,"Max Planck plate 6: "&amp;$A7&amp;F$2,_xlpm.normal,IFERROR(INDEX(MASTER!$A:$A,MATCH(_xlpm.pos,MASTER!$J:$J,0))&amp;"_ser_0.20_"&amp;TEXT(INDEX(MASTER!$E:$E,MATCH(_xlpm.pos,MASTER!$J:$J,0)),"mmddyy"),""),_xlpm.slot,480+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62" s="4" t="str">
        <f t="array" ref="G62">_xlfn.LET(_xlpm.pos,"Max Planck plate 6: "&amp;$A7&amp;G$2,_xlpm.normal,IFERROR(INDEX(MASTER!$A:$A,MATCH(_xlpm.pos,MASTER!$J:$J,0))&amp;"_ser_0.20_"&amp;TEXT(INDEX(MASTER!$E:$E,MATCH(_xlpm.pos,MASTER!$J:$J,0)),"mmddyy"),""),_xlpm.slot,480+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62" s="4" t="str">
        <f t="array" ref="H62">_xlfn.LET(_xlpm.pos,"Max Planck plate 6: "&amp;$A7&amp;H$2,_xlpm.normal,IFERROR(INDEX(MASTER!$A:$A,MATCH(_xlpm.pos,MASTER!$J:$J,0))&amp;"_ser_0.20_"&amp;TEXT(INDEX(MASTER!$E:$E,MATCH(_xlpm.pos,MASTER!$J:$J,0)),"mmddyy"),""),_xlpm.slot,480+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62" s="4" t="str">
        <f t="array" ref="I62">_xlfn.LET(_xlpm.pos,"Max Planck plate 6: "&amp;$A7&amp;I$2,_xlpm.normal,IFERROR(INDEX(MASTER!$A:$A,MATCH(_xlpm.pos,MASTER!$J:$J,0))&amp;"_ser_0.20_"&amp;TEXT(INDEX(MASTER!$E:$E,MATCH(_xlpm.pos,MASTER!$J:$J,0)),"mmddyy"),""),_xlpm.slot,480+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62" s="4" t="str">
        <f t="array" ref="J62">_xlfn.LET(_xlpm.pos,"Max Planck plate 6: "&amp;$A7&amp;J$2,_xlpm.normal,IFERROR(INDEX(MASTER!$A:$A,MATCH(_xlpm.pos,MASTER!$J:$J,0))&amp;"_ser_0.20_"&amp;TEXT(INDEX(MASTER!$E:$E,MATCH(_xlpm.pos,MASTER!$J:$J,0)),"mmddyy"),""),_xlpm.slot,480+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62" s="4" t="str">
        <f t="array" ref="K62">_xlfn.LET(_xlpm.pos,"Max Planck plate 6: "&amp;$A7&amp;K$2,_xlpm.normal,IFERROR(INDEX(MASTER!$A:$A,MATCH(_xlpm.pos,MASTER!$J:$J,0))&amp;"_ser_0.20_"&amp;TEXT(INDEX(MASTER!$E:$E,MATCH(_xlpm.pos,MASTER!$J:$J,0)),"mmddyy"),""),_xlpm.slot,480+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62" s="4" t="str">
        <f t="array" ref="L62">_xlfn.LET(_xlpm.pos,"Max Planck plate 6: "&amp;$A7&amp;L$2,_xlpm.normal,IFERROR(INDEX(MASTER!$A:$A,MATCH(_xlpm.pos,MASTER!$J:$J,0))&amp;"_ser_0.20_"&amp;TEXT(INDEX(MASTER!$E:$E,MATCH(_xlpm.pos,MASTER!$J:$J,0)),"mmddyy"),""),_xlpm.slot,480+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62" s="4" t="str">
        <f t="array" ref="M62">_xlfn.LET(_xlpm.pos,"Max Planck plate 6: "&amp;$A7&amp;M$2,_xlpm.normal,IFERROR(INDEX(MASTER!$A:$A,MATCH(_xlpm.pos,MASTER!$J:$J,0))&amp;"_ser_0.20_"&amp;TEXT(INDEX(MASTER!$E:$E,MATCH(_xlpm.pos,MASTER!$J:$J,0)),"mmddyy"),""),_xlpm.slot,480+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63" spans="1:13" ht="22" customHeight="1" x14ac:dyDescent="0.3">
      <c r="A63" s="6" t="s">
        <v>15</v>
      </c>
      <c r="B63" s="4" t="str">
        <f t="array" ref="B63">_xlfn.LET(_xlpm.pos,"Max Planck plate 6: "&amp;$A8&amp;B$2,_xlpm.normal,IFERROR(INDEX(MASTER!$A:$A,MATCH(_xlpm.pos,MASTER!$J:$J,0))&amp;"_ser_0.20_"&amp;TEXT(INDEX(MASTER!$E:$E,MATCH(_xlpm.pos,MASTER!$J:$J,0)),"mmddyy"),""),_xlpm.slot,480+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63" s="4" t="str">
        <f t="array" ref="C63">_xlfn.LET(_xlpm.pos,"Max Planck plate 6: "&amp;$A8&amp;C$2,_xlpm.normal,IFERROR(INDEX(MASTER!$A:$A,MATCH(_xlpm.pos,MASTER!$J:$J,0))&amp;"_ser_0.20_"&amp;TEXT(INDEX(MASTER!$E:$E,MATCH(_xlpm.pos,MASTER!$J:$J,0)),"mmddyy"),""),_xlpm.slot,480+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63" s="4" t="str">
        <f t="array" ref="D63">_xlfn.LET(_xlpm.pos,"Max Planck plate 6: "&amp;$A8&amp;D$2,_xlpm.normal,IFERROR(INDEX(MASTER!$A:$A,MATCH(_xlpm.pos,MASTER!$J:$J,0))&amp;"_ser_0.20_"&amp;TEXT(INDEX(MASTER!$E:$E,MATCH(_xlpm.pos,MASTER!$J:$J,0)),"mmddyy"),""),_xlpm.slot,480+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63" s="4" t="str">
        <f t="array" ref="E63">_xlfn.LET(_xlpm.pos,"Max Planck plate 6: "&amp;$A8&amp;E$2,_xlpm.normal,IFERROR(INDEX(MASTER!$A:$A,MATCH(_xlpm.pos,MASTER!$J:$J,0))&amp;"_ser_0.20_"&amp;TEXT(INDEX(MASTER!$E:$E,MATCH(_xlpm.pos,MASTER!$J:$J,0)),"mmddyy"),""),_xlpm.slot,480+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63" s="4" t="str">
        <f t="array" ref="F63">_xlfn.LET(_xlpm.pos,"Max Planck plate 6: "&amp;$A8&amp;F$2,_xlpm.normal,IFERROR(INDEX(MASTER!$A:$A,MATCH(_xlpm.pos,MASTER!$J:$J,0))&amp;"_ser_0.20_"&amp;TEXT(INDEX(MASTER!$E:$E,MATCH(_xlpm.pos,MASTER!$J:$J,0)),"mmddyy"),""),_xlpm.slot,480+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63" s="4" t="str">
        <f t="array" ref="G63">_xlfn.LET(_xlpm.pos,"Max Planck plate 6: "&amp;$A8&amp;G$2,_xlpm.normal,IFERROR(INDEX(MASTER!$A:$A,MATCH(_xlpm.pos,MASTER!$J:$J,0))&amp;"_ser_0.20_"&amp;TEXT(INDEX(MASTER!$E:$E,MATCH(_xlpm.pos,MASTER!$J:$J,0)),"mmddyy"),""),_xlpm.slot,480+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63" s="4" t="str">
        <f t="array" ref="H63">_xlfn.LET(_xlpm.pos,"Max Planck plate 6: "&amp;$A8&amp;H$2,_xlpm.normal,IFERROR(INDEX(MASTER!$A:$A,MATCH(_xlpm.pos,MASTER!$J:$J,0))&amp;"_ser_0.20_"&amp;TEXT(INDEX(MASTER!$E:$E,MATCH(_xlpm.pos,MASTER!$J:$J,0)),"mmddyy"),""),_xlpm.slot,480+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63" s="4" t="str">
        <f t="array" ref="I63">_xlfn.LET(_xlpm.pos,"Max Planck plate 6: "&amp;$A8&amp;I$2,_xlpm.normal,IFERROR(INDEX(MASTER!$A:$A,MATCH(_xlpm.pos,MASTER!$J:$J,0))&amp;"_ser_0.20_"&amp;TEXT(INDEX(MASTER!$E:$E,MATCH(_xlpm.pos,MASTER!$J:$J,0)),"mmddyy"),""),_xlpm.slot,480+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63" s="4" t="str">
        <f t="array" ref="J63">_xlfn.LET(_xlpm.pos,"Max Planck plate 6: "&amp;$A8&amp;J$2,_xlpm.normal,IFERROR(INDEX(MASTER!$A:$A,MATCH(_xlpm.pos,MASTER!$J:$J,0))&amp;"_ser_0.20_"&amp;TEXT(INDEX(MASTER!$E:$E,MATCH(_xlpm.pos,MASTER!$J:$J,0)),"mmddyy"),""),_xlpm.slot,480+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63" s="4" t="str">
        <f t="array" ref="K63">_xlfn.LET(_xlpm.pos,"Max Planck plate 6: "&amp;$A8&amp;K$2,_xlpm.normal,IFERROR(INDEX(MASTER!$A:$A,MATCH(_xlpm.pos,MASTER!$J:$J,0))&amp;"_ser_0.20_"&amp;TEXT(INDEX(MASTER!$E:$E,MATCH(_xlpm.pos,MASTER!$J:$J,0)),"mmddyy"),""),_xlpm.slot,480+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63" s="4" t="str">
        <f t="array" ref="L63">_xlfn.LET(_xlpm.pos,"Max Planck plate 6: "&amp;$A8&amp;L$2,_xlpm.normal,IFERROR(INDEX(MASTER!$A:$A,MATCH(_xlpm.pos,MASTER!$J:$J,0))&amp;"_ser_0.20_"&amp;TEXT(INDEX(MASTER!$E:$E,MATCH(_xlpm.pos,MASTER!$J:$J,0)),"mmddyy"),""),_xlpm.slot,480+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63" s="4" t="str">
        <f t="array" ref="M63">_xlfn.LET(_xlpm.pos,"Max Planck plate 6: "&amp;$A8&amp;M$2,_xlpm.normal,IFERROR(INDEX(MASTER!$A:$A,MATCH(_xlpm.pos,MASTER!$J:$J,0))&amp;"_ser_0.20_"&amp;TEXT(INDEX(MASTER!$E:$E,MATCH(_xlpm.pos,MASTER!$J:$J,0)),"mmddyy"),""),_xlpm.slot,480+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64" spans="1:13" ht="22" customHeight="1" x14ac:dyDescent="0.3">
      <c r="A64" s="6" t="s">
        <v>35</v>
      </c>
      <c r="B64" s="4" t="str">
        <f t="array" ref="B64">_xlfn.LET(_xlpm.pos,"Max Planck plate 6: "&amp;$A9&amp;B$2,_xlpm.normal,IFERROR(INDEX(MASTER!$A:$A,MATCH(_xlpm.pos,MASTER!$J:$J,0))&amp;"_ser_0.20_"&amp;TEXT(INDEX(MASTER!$E:$E,MATCH(_xlpm.pos,MASTER!$J:$J,0)),"mmddyy"),""),_xlpm.slot,480+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64" s="4" t="str">
        <f t="array" ref="C64">_xlfn.LET(_xlpm.pos,"Max Planck plate 6: "&amp;$A9&amp;C$2,_xlpm.normal,IFERROR(INDEX(MASTER!$A:$A,MATCH(_xlpm.pos,MASTER!$J:$J,0))&amp;"_ser_0.20_"&amp;TEXT(INDEX(MASTER!$E:$E,MATCH(_xlpm.pos,MASTER!$J:$J,0)),"mmddyy"),""),_xlpm.slot,480+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64" s="4" t="str">
        <f t="array" ref="D64">_xlfn.LET(_xlpm.pos,"Max Planck plate 6: "&amp;$A9&amp;D$2,_xlpm.normal,IFERROR(INDEX(MASTER!$A:$A,MATCH(_xlpm.pos,MASTER!$J:$J,0))&amp;"_ser_0.20_"&amp;TEXT(INDEX(MASTER!$E:$E,MATCH(_xlpm.pos,MASTER!$J:$J,0)),"mmddyy"),""),_xlpm.slot,480+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64" s="4" t="str">
        <f t="array" ref="E64">_xlfn.LET(_xlpm.pos,"Max Planck plate 6: "&amp;$A9&amp;E$2,_xlpm.normal,IFERROR(INDEX(MASTER!$A:$A,MATCH(_xlpm.pos,MASTER!$J:$J,0))&amp;"_ser_0.20_"&amp;TEXT(INDEX(MASTER!$E:$E,MATCH(_xlpm.pos,MASTER!$J:$J,0)),"mmddyy"),""),_xlpm.slot,480+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64" s="4" t="str">
        <f t="array" ref="F64">_xlfn.LET(_xlpm.pos,"Max Planck plate 6: "&amp;$A9&amp;F$2,_xlpm.normal,IFERROR(INDEX(MASTER!$A:$A,MATCH(_xlpm.pos,MASTER!$J:$J,0))&amp;"_ser_0.20_"&amp;TEXT(INDEX(MASTER!$E:$E,MATCH(_xlpm.pos,MASTER!$J:$J,0)),"mmddyy"),""),_xlpm.slot,480+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64" s="4" t="str">
        <f t="array" ref="G64">_xlfn.LET(_xlpm.pos,"Max Planck plate 6: "&amp;$A9&amp;G$2,_xlpm.normal,IFERROR(INDEX(MASTER!$A:$A,MATCH(_xlpm.pos,MASTER!$J:$J,0))&amp;"_ser_0.20_"&amp;TEXT(INDEX(MASTER!$E:$E,MATCH(_xlpm.pos,MASTER!$J:$J,0)),"mmddyy"),""),_xlpm.slot,480+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64" s="4" t="str">
        <f t="array" ref="H64">_xlfn.LET(_xlpm.pos,"Max Planck plate 6: "&amp;$A9&amp;H$2,_xlpm.normal,IFERROR(INDEX(MASTER!$A:$A,MATCH(_xlpm.pos,MASTER!$J:$J,0))&amp;"_ser_0.20_"&amp;TEXT(INDEX(MASTER!$E:$E,MATCH(_xlpm.pos,MASTER!$J:$J,0)),"mmddyy"),""),_xlpm.slot,480+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64" s="4" t="str">
        <f t="array" ref="I64">_xlfn.LET(_xlpm.pos,"Max Planck plate 6: "&amp;$A9&amp;I$2,_xlpm.normal,IFERROR(INDEX(MASTER!$A:$A,MATCH(_xlpm.pos,MASTER!$J:$J,0))&amp;"_ser_0.20_"&amp;TEXT(INDEX(MASTER!$E:$E,MATCH(_xlpm.pos,MASTER!$J:$J,0)),"mmddyy"),""),_xlpm.slot,480+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64" s="4" t="str">
        <f t="array" ref="J64">_xlfn.LET(_xlpm.pos,"Max Planck plate 6: "&amp;$A9&amp;J$2,_xlpm.normal,IFERROR(INDEX(MASTER!$A:$A,MATCH(_xlpm.pos,MASTER!$J:$J,0))&amp;"_ser_0.20_"&amp;TEXT(INDEX(MASTER!$E:$E,MATCH(_xlpm.pos,MASTER!$J:$J,0)),"mmddyy"),""),_xlpm.slot,480+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64" s="4" t="str">
        <f t="array" ref="K64">_xlfn.LET(_xlpm.pos,"Max Planck plate 6: "&amp;$A9&amp;K$2,_xlpm.normal,IFERROR(INDEX(MASTER!$A:$A,MATCH(_xlpm.pos,MASTER!$J:$J,0))&amp;"_ser_0.20_"&amp;TEXT(INDEX(MASTER!$E:$E,MATCH(_xlpm.pos,MASTER!$J:$J,0)),"mmddyy"),""),_xlpm.slot,480+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64" s="4" t="str">
        <f t="array" ref="L64">_xlfn.LET(_xlpm.pos,"Max Planck plate 6: "&amp;$A9&amp;L$2,_xlpm.normal,IFERROR(INDEX(MASTER!$A:$A,MATCH(_xlpm.pos,MASTER!$J:$J,0))&amp;"_ser_0.20_"&amp;TEXT(INDEX(MASTER!$E:$E,MATCH(_xlpm.pos,MASTER!$J:$J,0)),"mmddyy"),""),_xlpm.slot,480+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64" s="4" t="str">
        <f t="array" ref="M64">_xlfn.LET(_xlpm.pos,"Max Planck plate 6: "&amp;$A9&amp;M$2,_xlpm.normal,IFERROR(INDEX(MASTER!$A:$A,MATCH(_xlpm.pos,MASTER!$J:$J,0))&amp;"_ser_0.20_"&amp;TEXT(INDEX(MASTER!$E:$E,MATCH(_xlpm.pos,MASTER!$J:$J,0)),"mmddyy"),""),_xlpm.slot,480+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65" spans="1:13" ht="22" customHeight="1" x14ac:dyDescent="0.3">
      <c r="A65" s="6" t="s">
        <v>36</v>
      </c>
      <c r="B65" s="4" t="str">
        <f t="array" ref="B65">_xlfn.LET(_xlpm.pos,"Max Planck plate 6: "&amp;$A10&amp;B$2,_xlpm.normal,IFERROR(INDEX(MASTER!$A:$A,MATCH(_xlpm.pos,MASTER!$J:$J,0))&amp;"_ser_0.20_"&amp;TEXT(INDEX(MASTER!$E:$E,MATCH(_xlpm.pos,MASTER!$J:$J,0)),"mmddyy"),""),_xlpm.slot,480+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65" s="4" t="str">
        <f t="array" ref="C65">_xlfn.LET(_xlpm.pos,"Max Planck plate 6: "&amp;$A10&amp;C$2,_xlpm.normal,IFERROR(INDEX(MASTER!$A:$A,MATCH(_xlpm.pos,MASTER!$J:$J,0))&amp;"_ser_0.20_"&amp;TEXT(INDEX(MASTER!$E:$E,MATCH(_xlpm.pos,MASTER!$J:$J,0)),"mmddyy"),""),_xlpm.slot,480+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65" s="4" t="str">
        <f t="array" ref="D65">_xlfn.LET(_xlpm.pos,"Max Planck plate 6: "&amp;$A10&amp;D$2,_xlpm.normal,IFERROR(INDEX(MASTER!$A:$A,MATCH(_xlpm.pos,MASTER!$J:$J,0))&amp;"_ser_0.20_"&amp;TEXT(INDEX(MASTER!$E:$E,MATCH(_xlpm.pos,MASTER!$J:$J,0)),"mmddyy"),""),_xlpm.slot,480+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65" s="4" t="str">
        <f t="array" ref="E65">_xlfn.LET(_xlpm.pos,"Max Planck plate 6: "&amp;$A10&amp;E$2,_xlpm.normal,IFERROR(INDEX(MASTER!$A:$A,MATCH(_xlpm.pos,MASTER!$J:$J,0))&amp;"_ser_0.20_"&amp;TEXT(INDEX(MASTER!$E:$E,MATCH(_xlpm.pos,MASTER!$J:$J,0)),"mmddyy"),""),_xlpm.slot,480+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65" s="4" t="str">
        <f t="array" ref="F65">_xlfn.LET(_xlpm.pos,"Max Planck plate 6: "&amp;$A10&amp;F$2,_xlpm.normal,IFERROR(INDEX(MASTER!$A:$A,MATCH(_xlpm.pos,MASTER!$J:$J,0))&amp;"_ser_0.20_"&amp;TEXT(INDEX(MASTER!$E:$E,MATCH(_xlpm.pos,MASTER!$J:$J,0)),"mmddyy"),""),_xlpm.slot,480+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65" s="4" t="str">
        <f t="array" ref="G65">_xlfn.LET(_xlpm.pos,"Max Planck plate 6: "&amp;$A10&amp;G$2,_xlpm.normal,IFERROR(INDEX(MASTER!$A:$A,MATCH(_xlpm.pos,MASTER!$J:$J,0))&amp;"_ser_0.20_"&amp;TEXT(INDEX(MASTER!$E:$E,MATCH(_xlpm.pos,MASTER!$J:$J,0)),"mmddyy"),""),_xlpm.slot,480+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65" s="4" t="str">
        <f t="array" ref="H65">_xlfn.LET(_xlpm.pos,"Max Planck plate 6: "&amp;$A10&amp;H$2,_xlpm.normal,IFERROR(INDEX(MASTER!$A:$A,MATCH(_xlpm.pos,MASTER!$J:$J,0))&amp;"_ser_0.20_"&amp;TEXT(INDEX(MASTER!$E:$E,MATCH(_xlpm.pos,MASTER!$J:$J,0)),"mmddyy"),""),_xlpm.slot,480+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65" s="4" t="str">
        <f t="array" ref="I65">_xlfn.LET(_xlpm.pos,"Max Planck plate 6: "&amp;$A10&amp;I$2,_xlpm.normal,IFERROR(INDEX(MASTER!$A:$A,MATCH(_xlpm.pos,MASTER!$J:$J,0))&amp;"_ser_0.20_"&amp;TEXT(INDEX(MASTER!$E:$E,MATCH(_xlpm.pos,MASTER!$J:$J,0)),"mmddyy"),""),_xlpm.slot,480+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65" s="4" t="str">
        <f t="array" ref="J65">_xlfn.LET(_xlpm.pos,"Max Planck plate 6: "&amp;$A10&amp;J$2,_xlpm.normal,IFERROR(INDEX(MASTER!$A:$A,MATCH(_xlpm.pos,MASTER!$J:$J,0))&amp;"_ser_0.20_"&amp;TEXT(INDEX(MASTER!$E:$E,MATCH(_xlpm.pos,MASTER!$J:$J,0)),"mmddyy"),""),_xlpm.slot,480+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65" s="4" t="str">
        <f t="array" ref="K65">_xlfn.LET(_xlpm.pos,"Max Planck plate 6: "&amp;$A10&amp;K$2,_xlpm.normal,IFERROR(INDEX(MASTER!$A:$A,MATCH(_xlpm.pos,MASTER!$J:$J,0))&amp;"_ser_0.20_"&amp;TEXT(INDEX(MASTER!$E:$E,MATCH(_xlpm.pos,MASTER!$J:$J,0)),"mmddyy"),""),_xlpm.slot,480+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65" s="4" t="str">
        <f t="array" ref="L65">_xlfn.LET(_xlpm.pos,"Max Planck plate 6: "&amp;$A10&amp;L$2,_xlpm.normal,IFERROR(INDEX(MASTER!$A:$A,MATCH(_xlpm.pos,MASTER!$J:$J,0))&amp;"_ser_0.20_"&amp;TEXT(INDEX(MASTER!$E:$E,MATCH(_xlpm.pos,MASTER!$J:$J,0)),"mmddyy"),""),_xlpm.slot,480+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65" s="4" t="str">
        <f t="array" ref="M65">_xlfn.LET(_xlpm.pos,"Max Planck plate 6: "&amp;$A10&amp;M$2,_xlpm.normal,IFERROR(INDEX(MASTER!$A:$A,MATCH(_xlpm.pos,MASTER!$J:$J,0))&amp;"_ser_0.20_"&amp;TEXT(INDEX(MASTER!$E:$E,MATCH(_xlpm.pos,MASTER!$J:$J,0)),"mmddyy"),""),_xlpm.slot,480+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66" spans="1:13" ht="22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3" ht="22" customHeight="1" x14ac:dyDescent="0.35">
      <c r="A67" s="5"/>
      <c r="B67" s="31" t="s">
        <v>84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3"/>
    </row>
    <row r="68" spans="1:13" ht="22" customHeight="1" x14ac:dyDescent="0.3">
      <c r="A68" s="5"/>
      <c r="B68" s="6">
        <v>1</v>
      </c>
      <c r="C68" s="6">
        <v>2</v>
      </c>
      <c r="D68" s="6">
        <v>3</v>
      </c>
      <c r="E68" s="6">
        <v>4</v>
      </c>
      <c r="F68" s="6">
        <v>5</v>
      </c>
      <c r="G68" s="6">
        <v>6</v>
      </c>
      <c r="H68" s="6">
        <v>7</v>
      </c>
      <c r="I68" s="6">
        <v>8</v>
      </c>
      <c r="J68" s="6">
        <v>9</v>
      </c>
      <c r="K68" s="6">
        <v>10</v>
      </c>
      <c r="L68" s="6">
        <v>11</v>
      </c>
      <c r="M68" s="6">
        <v>12</v>
      </c>
    </row>
    <row r="69" spans="1:13" ht="22" customHeight="1" x14ac:dyDescent="0.3">
      <c r="A69" s="6" t="s">
        <v>30</v>
      </c>
      <c r="B69" s="4" t="str">
        <f t="array" ref="B69">_xlfn.LET(_xlpm.pos,"Max Planck plate 7: "&amp;$A3&amp;B$2,_xlpm.normal,IFERROR(INDEX(MASTER!$A:$A,MATCH(_xlpm.pos,MASTER!$J:$J,0))&amp;"_ser_0.20_"&amp;TEXT(INDEX(MASTER!$E:$E,MATCH(_xlpm.pos,MASTER!$J:$J,0)),"mmddyy"),""),_xlpm.slot,576+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69" s="4" t="str">
        <f t="array" ref="C69">_xlfn.LET(_xlpm.pos,"Max Planck plate 7: "&amp;$A3&amp;C$2,_xlpm.normal,IFERROR(INDEX(MASTER!$A:$A,MATCH(_xlpm.pos,MASTER!$J:$J,0))&amp;"_ser_0.20_"&amp;TEXT(INDEX(MASTER!$E:$E,MATCH(_xlpm.pos,MASTER!$J:$J,0)),"mmddyy"),""),_xlpm.slot,576+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69" s="4" t="str">
        <f t="array" ref="D69">_xlfn.LET(_xlpm.pos,"Max Planck plate 7: "&amp;$A3&amp;D$2,_xlpm.normal,IFERROR(INDEX(MASTER!$A:$A,MATCH(_xlpm.pos,MASTER!$J:$J,0))&amp;"_ser_0.20_"&amp;TEXT(INDEX(MASTER!$E:$E,MATCH(_xlpm.pos,MASTER!$J:$J,0)),"mmddyy"),""),_xlpm.slot,576+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69" s="4" t="str">
        <f t="array" ref="E69">_xlfn.LET(_xlpm.pos,"Max Planck plate 7: "&amp;$A3&amp;E$2,_xlpm.normal,IFERROR(INDEX(MASTER!$A:$A,MATCH(_xlpm.pos,MASTER!$J:$J,0))&amp;"_ser_0.20_"&amp;TEXT(INDEX(MASTER!$E:$E,MATCH(_xlpm.pos,MASTER!$J:$J,0)),"mmddyy"),""),_xlpm.slot,576+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69" s="4" t="str">
        <f t="array" ref="F69">_xlfn.LET(_xlpm.pos,"Max Planck plate 7: "&amp;$A3&amp;F$2,_xlpm.normal,IFERROR(INDEX(MASTER!$A:$A,MATCH(_xlpm.pos,MASTER!$J:$J,0))&amp;"_ser_0.20_"&amp;TEXT(INDEX(MASTER!$E:$E,MATCH(_xlpm.pos,MASTER!$J:$J,0)),"mmddyy"),""),_xlpm.slot,576+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69" s="4" t="str">
        <f t="array" ref="G69">_xlfn.LET(_xlpm.pos,"Max Planck plate 7: "&amp;$A3&amp;G$2,_xlpm.normal,IFERROR(INDEX(MASTER!$A:$A,MATCH(_xlpm.pos,MASTER!$J:$J,0))&amp;"_ser_0.20_"&amp;TEXT(INDEX(MASTER!$E:$E,MATCH(_xlpm.pos,MASTER!$J:$J,0)),"mmddyy"),""),_xlpm.slot,576+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69" s="4" t="str">
        <f t="array" ref="H69">_xlfn.LET(_xlpm.pos,"Max Planck plate 7: "&amp;$A3&amp;H$2,_xlpm.normal,IFERROR(INDEX(MASTER!$A:$A,MATCH(_xlpm.pos,MASTER!$J:$J,0))&amp;"_ser_0.20_"&amp;TEXT(INDEX(MASTER!$E:$E,MATCH(_xlpm.pos,MASTER!$J:$J,0)),"mmddyy"),""),_xlpm.slot,576+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69" s="4" t="str">
        <f t="array" ref="I69">_xlfn.LET(_xlpm.pos,"Max Planck plate 7: "&amp;$A3&amp;I$2,_xlpm.normal,IFERROR(INDEX(MASTER!$A:$A,MATCH(_xlpm.pos,MASTER!$J:$J,0))&amp;"_ser_0.20_"&amp;TEXT(INDEX(MASTER!$E:$E,MATCH(_xlpm.pos,MASTER!$J:$J,0)),"mmddyy"),""),_xlpm.slot,576+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69" s="4" t="str">
        <f t="array" ref="J69">_xlfn.LET(_xlpm.pos,"Max Planck plate 7: "&amp;$A3&amp;J$2,_xlpm.normal,IFERROR(INDEX(MASTER!$A:$A,MATCH(_xlpm.pos,MASTER!$J:$J,0))&amp;"_ser_0.20_"&amp;TEXT(INDEX(MASTER!$E:$E,MATCH(_xlpm.pos,MASTER!$J:$J,0)),"mmddyy"),""),_xlpm.slot,576+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69" s="4" t="str">
        <f t="array" ref="K69">_xlfn.LET(_xlpm.pos,"Max Planck plate 7: "&amp;$A3&amp;K$2,_xlpm.normal,IFERROR(INDEX(MASTER!$A:$A,MATCH(_xlpm.pos,MASTER!$J:$J,0))&amp;"_ser_0.20_"&amp;TEXT(INDEX(MASTER!$E:$E,MATCH(_xlpm.pos,MASTER!$J:$J,0)),"mmddyy"),""),_xlpm.slot,576+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69" s="4" t="str">
        <f t="array" ref="L69">_xlfn.LET(_xlpm.pos,"Max Planck plate 7: "&amp;$A3&amp;L$2,_xlpm.normal,IFERROR(INDEX(MASTER!$A:$A,MATCH(_xlpm.pos,MASTER!$J:$J,0))&amp;"_ser_0.20_"&amp;TEXT(INDEX(MASTER!$E:$E,MATCH(_xlpm.pos,MASTER!$J:$J,0)),"mmddyy"),""),_xlpm.slot,576+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69" s="4" t="str">
        <f t="array" ref="M69">_xlfn.LET(_xlpm.pos,"Max Planck plate 7: "&amp;$A3&amp;M$2,_xlpm.normal,IFERROR(INDEX(MASTER!$A:$A,MATCH(_xlpm.pos,MASTER!$J:$J,0))&amp;"_ser_0.20_"&amp;TEXT(INDEX(MASTER!$E:$E,MATCH(_xlpm.pos,MASTER!$J:$J,0)),"mmddyy"),""),_xlpm.slot,576+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70" spans="1:13" ht="22" customHeight="1" x14ac:dyDescent="0.3">
      <c r="A70" s="6" t="s">
        <v>31</v>
      </c>
      <c r="B70" s="4" t="str">
        <f t="array" ref="B70">_xlfn.LET(_xlpm.pos,"Max Planck plate 7: "&amp;$A4&amp;B$2,_xlpm.normal,IFERROR(INDEX(MASTER!$A:$A,MATCH(_xlpm.pos,MASTER!$J:$J,0))&amp;"_ser_0.20_"&amp;TEXT(INDEX(MASTER!$E:$E,MATCH(_xlpm.pos,MASTER!$J:$J,0)),"mmddyy"),""),_xlpm.slot,576+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70" s="4" t="str">
        <f t="array" ref="C70">_xlfn.LET(_xlpm.pos,"Max Planck plate 7: "&amp;$A4&amp;C$2,_xlpm.normal,IFERROR(INDEX(MASTER!$A:$A,MATCH(_xlpm.pos,MASTER!$J:$J,0))&amp;"_ser_0.20_"&amp;TEXT(INDEX(MASTER!$E:$E,MATCH(_xlpm.pos,MASTER!$J:$J,0)),"mmddyy"),""),_xlpm.slot,576+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70" s="4" t="str">
        <f t="array" ref="D70">_xlfn.LET(_xlpm.pos,"Max Planck plate 7: "&amp;$A4&amp;D$2,_xlpm.normal,IFERROR(INDEX(MASTER!$A:$A,MATCH(_xlpm.pos,MASTER!$J:$J,0))&amp;"_ser_0.20_"&amp;TEXT(INDEX(MASTER!$E:$E,MATCH(_xlpm.pos,MASTER!$J:$J,0)),"mmddyy"),""),_xlpm.slot,576+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70" s="4" t="str">
        <f t="array" ref="E70">_xlfn.LET(_xlpm.pos,"Max Planck plate 7: "&amp;$A4&amp;E$2,_xlpm.normal,IFERROR(INDEX(MASTER!$A:$A,MATCH(_xlpm.pos,MASTER!$J:$J,0))&amp;"_ser_0.20_"&amp;TEXT(INDEX(MASTER!$E:$E,MATCH(_xlpm.pos,MASTER!$J:$J,0)),"mmddyy"),""),_xlpm.slot,576+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70" s="4" t="str">
        <f t="array" ref="F70">_xlfn.LET(_xlpm.pos,"Max Planck plate 7: "&amp;$A4&amp;F$2,_xlpm.normal,IFERROR(INDEX(MASTER!$A:$A,MATCH(_xlpm.pos,MASTER!$J:$J,0))&amp;"_ser_0.20_"&amp;TEXT(INDEX(MASTER!$E:$E,MATCH(_xlpm.pos,MASTER!$J:$J,0)),"mmddyy"),""),_xlpm.slot,576+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70" s="4" t="str">
        <f t="array" ref="G70">_xlfn.LET(_xlpm.pos,"Max Planck plate 7: "&amp;$A4&amp;G$2,_xlpm.normal,IFERROR(INDEX(MASTER!$A:$A,MATCH(_xlpm.pos,MASTER!$J:$J,0))&amp;"_ser_0.20_"&amp;TEXT(INDEX(MASTER!$E:$E,MATCH(_xlpm.pos,MASTER!$J:$J,0)),"mmddyy"),""),_xlpm.slot,576+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70" s="4" t="str">
        <f t="array" ref="H70">_xlfn.LET(_xlpm.pos,"Max Planck plate 7: "&amp;$A4&amp;H$2,_xlpm.normal,IFERROR(INDEX(MASTER!$A:$A,MATCH(_xlpm.pos,MASTER!$J:$J,0))&amp;"_ser_0.20_"&amp;TEXT(INDEX(MASTER!$E:$E,MATCH(_xlpm.pos,MASTER!$J:$J,0)),"mmddyy"),""),_xlpm.slot,576+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70" s="4" t="str">
        <f t="array" ref="I70">_xlfn.LET(_xlpm.pos,"Max Planck plate 7: "&amp;$A4&amp;I$2,_xlpm.normal,IFERROR(INDEX(MASTER!$A:$A,MATCH(_xlpm.pos,MASTER!$J:$J,0))&amp;"_ser_0.20_"&amp;TEXT(INDEX(MASTER!$E:$E,MATCH(_xlpm.pos,MASTER!$J:$J,0)),"mmddyy"),""),_xlpm.slot,576+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70" s="4" t="str">
        <f t="array" ref="J70">_xlfn.LET(_xlpm.pos,"Max Planck plate 7: "&amp;$A4&amp;J$2,_xlpm.normal,IFERROR(INDEX(MASTER!$A:$A,MATCH(_xlpm.pos,MASTER!$J:$J,0))&amp;"_ser_0.20_"&amp;TEXT(INDEX(MASTER!$E:$E,MATCH(_xlpm.pos,MASTER!$J:$J,0)),"mmddyy"),""),_xlpm.slot,576+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70" s="4" t="str">
        <f t="array" ref="K70">_xlfn.LET(_xlpm.pos,"Max Planck plate 7: "&amp;$A4&amp;K$2,_xlpm.normal,IFERROR(INDEX(MASTER!$A:$A,MATCH(_xlpm.pos,MASTER!$J:$J,0))&amp;"_ser_0.20_"&amp;TEXT(INDEX(MASTER!$E:$E,MATCH(_xlpm.pos,MASTER!$J:$J,0)),"mmddyy"),""),_xlpm.slot,576+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70" s="4" t="str">
        <f t="array" ref="L70">_xlfn.LET(_xlpm.pos,"Max Planck plate 7: "&amp;$A4&amp;L$2,_xlpm.normal,IFERROR(INDEX(MASTER!$A:$A,MATCH(_xlpm.pos,MASTER!$J:$J,0))&amp;"_ser_0.20_"&amp;TEXT(INDEX(MASTER!$E:$E,MATCH(_xlpm.pos,MASTER!$J:$J,0)),"mmddyy"),""),_xlpm.slot,576+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70" s="4" t="str">
        <f t="array" ref="M70">_xlfn.LET(_xlpm.pos,"Max Planck plate 7: "&amp;$A4&amp;M$2,_xlpm.normal,IFERROR(INDEX(MASTER!$A:$A,MATCH(_xlpm.pos,MASTER!$J:$J,0))&amp;"_ser_0.20_"&amp;TEXT(INDEX(MASTER!$E:$E,MATCH(_xlpm.pos,MASTER!$J:$J,0)),"mmddyy"),""),_xlpm.slot,576+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71" spans="1:13" ht="22" customHeight="1" x14ac:dyDescent="0.3">
      <c r="A71" s="6" t="s">
        <v>32</v>
      </c>
      <c r="B71" s="4" t="str">
        <f t="array" ref="B71">_xlfn.LET(_xlpm.pos,"Max Planck plate 7: "&amp;$A5&amp;B$2,_xlpm.normal,IFERROR(INDEX(MASTER!$A:$A,MATCH(_xlpm.pos,MASTER!$J:$J,0))&amp;"_ser_0.20_"&amp;TEXT(INDEX(MASTER!$E:$E,MATCH(_xlpm.pos,MASTER!$J:$J,0)),"mmddyy"),""),_xlpm.slot,576+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71" s="4" t="str">
        <f t="array" ref="C71">_xlfn.LET(_xlpm.pos,"Max Planck plate 7: "&amp;$A5&amp;C$2,_xlpm.normal,IFERROR(INDEX(MASTER!$A:$A,MATCH(_xlpm.pos,MASTER!$J:$J,0))&amp;"_ser_0.20_"&amp;TEXT(INDEX(MASTER!$E:$E,MATCH(_xlpm.pos,MASTER!$J:$J,0)),"mmddyy"),""),_xlpm.slot,576+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71" s="4" t="str">
        <f t="array" ref="D71">_xlfn.LET(_xlpm.pos,"Max Planck plate 7: "&amp;$A5&amp;D$2,_xlpm.normal,IFERROR(INDEX(MASTER!$A:$A,MATCH(_xlpm.pos,MASTER!$J:$J,0))&amp;"_ser_0.20_"&amp;TEXT(INDEX(MASTER!$E:$E,MATCH(_xlpm.pos,MASTER!$J:$J,0)),"mmddyy"),""),_xlpm.slot,576+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71" s="4" t="str">
        <f t="array" ref="E71">_xlfn.LET(_xlpm.pos,"Max Planck plate 7: "&amp;$A5&amp;E$2,_xlpm.normal,IFERROR(INDEX(MASTER!$A:$A,MATCH(_xlpm.pos,MASTER!$J:$J,0))&amp;"_ser_0.20_"&amp;TEXT(INDEX(MASTER!$E:$E,MATCH(_xlpm.pos,MASTER!$J:$J,0)),"mmddyy"),""),_xlpm.slot,576+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71" s="4" t="str">
        <f t="array" ref="F71">_xlfn.LET(_xlpm.pos,"Max Planck plate 7: "&amp;$A5&amp;F$2,_xlpm.normal,IFERROR(INDEX(MASTER!$A:$A,MATCH(_xlpm.pos,MASTER!$J:$J,0))&amp;"_ser_0.20_"&amp;TEXT(INDEX(MASTER!$E:$E,MATCH(_xlpm.pos,MASTER!$J:$J,0)),"mmddyy"),""),_xlpm.slot,576+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71" s="4" t="str">
        <f t="array" ref="G71">_xlfn.LET(_xlpm.pos,"Max Planck plate 7: "&amp;$A5&amp;G$2,_xlpm.normal,IFERROR(INDEX(MASTER!$A:$A,MATCH(_xlpm.pos,MASTER!$J:$J,0))&amp;"_ser_0.20_"&amp;TEXT(INDEX(MASTER!$E:$E,MATCH(_xlpm.pos,MASTER!$J:$J,0)),"mmddyy"),""),_xlpm.slot,576+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71" s="4" t="str">
        <f t="array" ref="H71">_xlfn.LET(_xlpm.pos,"Max Planck plate 7: "&amp;$A5&amp;H$2,_xlpm.normal,IFERROR(INDEX(MASTER!$A:$A,MATCH(_xlpm.pos,MASTER!$J:$J,0))&amp;"_ser_0.20_"&amp;TEXT(INDEX(MASTER!$E:$E,MATCH(_xlpm.pos,MASTER!$J:$J,0)),"mmddyy"),""),_xlpm.slot,576+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71" s="4" t="str">
        <f t="array" ref="I71">_xlfn.LET(_xlpm.pos,"Max Planck plate 7: "&amp;$A5&amp;I$2,_xlpm.normal,IFERROR(INDEX(MASTER!$A:$A,MATCH(_xlpm.pos,MASTER!$J:$J,0))&amp;"_ser_0.20_"&amp;TEXT(INDEX(MASTER!$E:$E,MATCH(_xlpm.pos,MASTER!$J:$J,0)),"mmddyy"),""),_xlpm.slot,576+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71" s="4" t="str">
        <f t="array" ref="J71">_xlfn.LET(_xlpm.pos,"Max Planck plate 7: "&amp;$A5&amp;J$2,_xlpm.normal,IFERROR(INDEX(MASTER!$A:$A,MATCH(_xlpm.pos,MASTER!$J:$J,0))&amp;"_ser_0.20_"&amp;TEXT(INDEX(MASTER!$E:$E,MATCH(_xlpm.pos,MASTER!$J:$J,0)),"mmddyy"),""),_xlpm.slot,576+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71" s="4" t="str">
        <f t="array" ref="K71">_xlfn.LET(_xlpm.pos,"Max Planck plate 7: "&amp;$A5&amp;K$2,_xlpm.normal,IFERROR(INDEX(MASTER!$A:$A,MATCH(_xlpm.pos,MASTER!$J:$J,0))&amp;"_ser_0.20_"&amp;TEXT(INDEX(MASTER!$E:$E,MATCH(_xlpm.pos,MASTER!$J:$J,0)),"mmddyy"),""),_xlpm.slot,576+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71" s="4" t="str">
        <f t="array" ref="L71">_xlfn.LET(_xlpm.pos,"Max Planck plate 7: "&amp;$A5&amp;L$2,_xlpm.normal,IFERROR(INDEX(MASTER!$A:$A,MATCH(_xlpm.pos,MASTER!$J:$J,0))&amp;"_ser_0.20_"&amp;TEXT(INDEX(MASTER!$E:$E,MATCH(_xlpm.pos,MASTER!$J:$J,0)),"mmddyy"),""),_xlpm.slot,576+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71" s="4" t="str">
        <f t="array" ref="M71">_xlfn.LET(_xlpm.pos,"Max Planck plate 7: "&amp;$A5&amp;M$2,_xlpm.normal,IFERROR(INDEX(MASTER!$A:$A,MATCH(_xlpm.pos,MASTER!$J:$J,0))&amp;"_ser_0.20_"&amp;TEXT(INDEX(MASTER!$E:$E,MATCH(_xlpm.pos,MASTER!$J:$J,0)),"mmddyy"),""),_xlpm.slot,576+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72" spans="1:13" ht="22" customHeight="1" x14ac:dyDescent="0.3">
      <c r="A72" s="6" t="s">
        <v>33</v>
      </c>
      <c r="B72" s="4" t="str">
        <f t="array" ref="B72">_xlfn.LET(_xlpm.pos,"Max Planck plate 7: "&amp;$A6&amp;B$2,_xlpm.normal,IFERROR(INDEX(MASTER!$A:$A,MATCH(_xlpm.pos,MASTER!$J:$J,0))&amp;"_ser_0.20_"&amp;TEXT(INDEX(MASTER!$E:$E,MATCH(_xlpm.pos,MASTER!$J:$J,0)),"mmddyy"),""),_xlpm.slot,576+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72" s="4" t="str">
        <f t="array" ref="C72">_xlfn.LET(_xlpm.pos,"Max Planck plate 7: "&amp;$A6&amp;C$2,_xlpm.normal,IFERROR(INDEX(MASTER!$A:$A,MATCH(_xlpm.pos,MASTER!$J:$J,0))&amp;"_ser_0.20_"&amp;TEXT(INDEX(MASTER!$E:$E,MATCH(_xlpm.pos,MASTER!$J:$J,0)),"mmddyy"),""),_xlpm.slot,576+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72" s="4" t="str">
        <f t="array" ref="D72">_xlfn.LET(_xlpm.pos,"Max Planck plate 7: "&amp;$A6&amp;D$2,_xlpm.normal,IFERROR(INDEX(MASTER!$A:$A,MATCH(_xlpm.pos,MASTER!$J:$J,0))&amp;"_ser_0.20_"&amp;TEXT(INDEX(MASTER!$E:$E,MATCH(_xlpm.pos,MASTER!$J:$J,0)),"mmddyy"),""),_xlpm.slot,576+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72" s="4" t="str">
        <f t="array" ref="E72">_xlfn.LET(_xlpm.pos,"Max Planck plate 7: "&amp;$A6&amp;E$2,_xlpm.normal,IFERROR(INDEX(MASTER!$A:$A,MATCH(_xlpm.pos,MASTER!$J:$J,0))&amp;"_ser_0.20_"&amp;TEXT(INDEX(MASTER!$E:$E,MATCH(_xlpm.pos,MASTER!$J:$J,0)),"mmddyy"),""),_xlpm.slot,576+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72" s="4" t="str">
        <f t="array" ref="F72">_xlfn.LET(_xlpm.pos,"Max Planck plate 7: "&amp;$A6&amp;F$2,_xlpm.normal,IFERROR(INDEX(MASTER!$A:$A,MATCH(_xlpm.pos,MASTER!$J:$J,0))&amp;"_ser_0.20_"&amp;TEXT(INDEX(MASTER!$E:$E,MATCH(_xlpm.pos,MASTER!$J:$J,0)),"mmddyy"),""),_xlpm.slot,576+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72" s="4" t="str">
        <f t="array" ref="G72">_xlfn.LET(_xlpm.pos,"Max Planck plate 7: "&amp;$A6&amp;G$2,_xlpm.normal,IFERROR(INDEX(MASTER!$A:$A,MATCH(_xlpm.pos,MASTER!$J:$J,0))&amp;"_ser_0.20_"&amp;TEXT(INDEX(MASTER!$E:$E,MATCH(_xlpm.pos,MASTER!$J:$J,0)),"mmddyy"),""),_xlpm.slot,576+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72" s="4" t="str">
        <f t="array" ref="H72">_xlfn.LET(_xlpm.pos,"Max Planck plate 7: "&amp;$A6&amp;H$2,_xlpm.normal,IFERROR(INDEX(MASTER!$A:$A,MATCH(_xlpm.pos,MASTER!$J:$J,0))&amp;"_ser_0.20_"&amp;TEXT(INDEX(MASTER!$E:$E,MATCH(_xlpm.pos,MASTER!$J:$J,0)),"mmddyy"),""),_xlpm.slot,576+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72" s="4" t="str">
        <f t="array" ref="I72">_xlfn.LET(_xlpm.pos,"Max Planck plate 7: "&amp;$A6&amp;I$2,_xlpm.normal,IFERROR(INDEX(MASTER!$A:$A,MATCH(_xlpm.pos,MASTER!$J:$J,0))&amp;"_ser_0.20_"&amp;TEXT(INDEX(MASTER!$E:$E,MATCH(_xlpm.pos,MASTER!$J:$J,0)),"mmddyy"),""),_xlpm.slot,576+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72" s="4" t="str">
        <f t="array" ref="J72">_xlfn.LET(_xlpm.pos,"Max Planck plate 7: "&amp;$A6&amp;J$2,_xlpm.normal,IFERROR(INDEX(MASTER!$A:$A,MATCH(_xlpm.pos,MASTER!$J:$J,0))&amp;"_ser_0.20_"&amp;TEXT(INDEX(MASTER!$E:$E,MATCH(_xlpm.pos,MASTER!$J:$J,0)),"mmddyy"),""),_xlpm.slot,576+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72" s="4" t="str">
        <f t="array" ref="K72">_xlfn.LET(_xlpm.pos,"Max Planck plate 7: "&amp;$A6&amp;K$2,_xlpm.normal,IFERROR(INDEX(MASTER!$A:$A,MATCH(_xlpm.pos,MASTER!$J:$J,0))&amp;"_ser_0.20_"&amp;TEXT(INDEX(MASTER!$E:$E,MATCH(_xlpm.pos,MASTER!$J:$J,0)),"mmddyy"),""),_xlpm.slot,576+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72" s="4" t="str">
        <f t="array" ref="L72">_xlfn.LET(_xlpm.pos,"Max Planck plate 7: "&amp;$A6&amp;L$2,_xlpm.normal,IFERROR(INDEX(MASTER!$A:$A,MATCH(_xlpm.pos,MASTER!$J:$J,0))&amp;"_ser_0.20_"&amp;TEXT(INDEX(MASTER!$E:$E,MATCH(_xlpm.pos,MASTER!$J:$J,0)),"mmddyy"),""),_xlpm.slot,576+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72" s="4" t="str">
        <f t="array" ref="M72">_xlfn.LET(_xlpm.pos,"Max Planck plate 7: "&amp;$A6&amp;M$2,_xlpm.normal,IFERROR(INDEX(MASTER!$A:$A,MATCH(_xlpm.pos,MASTER!$J:$J,0))&amp;"_ser_0.20_"&amp;TEXT(INDEX(MASTER!$E:$E,MATCH(_xlpm.pos,MASTER!$J:$J,0)),"mmddyy"),""),_xlpm.slot,576+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73" spans="1:13" ht="22" customHeight="1" x14ac:dyDescent="0.3">
      <c r="A73" s="6" t="s">
        <v>34</v>
      </c>
      <c r="B73" s="4" t="str">
        <f t="array" ref="B73">_xlfn.LET(_xlpm.pos,"Max Planck plate 7: "&amp;$A7&amp;B$2,_xlpm.normal,IFERROR(INDEX(MASTER!$A:$A,MATCH(_xlpm.pos,MASTER!$J:$J,0))&amp;"_ser_0.20_"&amp;TEXT(INDEX(MASTER!$E:$E,MATCH(_xlpm.pos,MASTER!$J:$J,0)),"mmddyy"),""),_xlpm.slot,576+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73" s="4" t="str">
        <f t="array" ref="C73">_xlfn.LET(_xlpm.pos,"Max Planck plate 7: "&amp;$A7&amp;C$2,_xlpm.normal,IFERROR(INDEX(MASTER!$A:$A,MATCH(_xlpm.pos,MASTER!$J:$J,0))&amp;"_ser_0.20_"&amp;TEXT(INDEX(MASTER!$E:$E,MATCH(_xlpm.pos,MASTER!$J:$J,0)),"mmddyy"),""),_xlpm.slot,576+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73" s="4" t="str">
        <f t="array" ref="D73">_xlfn.LET(_xlpm.pos,"Max Planck plate 7: "&amp;$A7&amp;D$2,_xlpm.normal,IFERROR(INDEX(MASTER!$A:$A,MATCH(_xlpm.pos,MASTER!$J:$J,0))&amp;"_ser_0.20_"&amp;TEXT(INDEX(MASTER!$E:$E,MATCH(_xlpm.pos,MASTER!$J:$J,0)),"mmddyy"),""),_xlpm.slot,576+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73" s="4" t="str">
        <f t="array" ref="E73">_xlfn.LET(_xlpm.pos,"Max Planck plate 7: "&amp;$A7&amp;E$2,_xlpm.normal,IFERROR(INDEX(MASTER!$A:$A,MATCH(_xlpm.pos,MASTER!$J:$J,0))&amp;"_ser_0.20_"&amp;TEXT(INDEX(MASTER!$E:$E,MATCH(_xlpm.pos,MASTER!$J:$J,0)),"mmddyy"),""),_xlpm.slot,576+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73" s="4" t="str">
        <f t="array" ref="F73">_xlfn.LET(_xlpm.pos,"Max Planck plate 7: "&amp;$A7&amp;F$2,_xlpm.normal,IFERROR(INDEX(MASTER!$A:$A,MATCH(_xlpm.pos,MASTER!$J:$J,0))&amp;"_ser_0.20_"&amp;TEXT(INDEX(MASTER!$E:$E,MATCH(_xlpm.pos,MASTER!$J:$J,0)),"mmddyy"),""),_xlpm.slot,576+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73" s="4" t="str">
        <f t="array" ref="G73">_xlfn.LET(_xlpm.pos,"Max Planck plate 7: "&amp;$A7&amp;G$2,_xlpm.normal,IFERROR(INDEX(MASTER!$A:$A,MATCH(_xlpm.pos,MASTER!$J:$J,0))&amp;"_ser_0.20_"&amp;TEXT(INDEX(MASTER!$E:$E,MATCH(_xlpm.pos,MASTER!$J:$J,0)),"mmddyy"),""),_xlpm.slot,576+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73" s="4" t="str">
        <f t="array" ref="H73">_xlfn.LET(_xlpm.pos,"Max Planck plate 7: "&amp;$A7&amp;H$2,_xlpm.normal,IFERROR(INDEX(MASTER!$A:$A,MATCH(_xlpm.pos,MASTER!$J:$J,0))&amp;"_ser_0.20_"&amp;TEXT(INDEX(MASTER!$E:$E,MATCH(_xlpm.pos,MASTER!$J:$J,0)),"mmddyy"),""),_xlpm.slot,576+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73" s="4" t="str">
        <f t="array" ref="I73">_xlfn.LET(_xlpm.pos,"Max Planck plate 7: "&amp;$A7&amp;I$2,_xlpm.normal,IFERROR(INDEX(MASTER!$A:$A,MATCH(_xlpm.pos,MASTER!$J:$J,0))&amp;"_ser_0.20_"&amp;TEXT(INDEX(MASTER!$E:$E,MATCH(_xlpm.pos,MASTER!$J:$J,0)),"mmddyy"),""),_xlpm.slot,576+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73" s="4" t="str">
        <f t="array" ref="J73">_xlfn.LET(_xlpm.pos,"Max Planck plate 7: "&amp;$A7&amp;J$2,_xlpm.normal,IFERROR(INDEX(MASTER!$A:$A,MATCH(_xlpm.pos,MASTER!$J:$J,0))&amp;"_ser_0.20_"&amp;TEXT(INDEX(MASTER!$E:$E,MATCH(_xlpm.pos,MASTER!$J:$J,0)),"mmddyy"),""),_xlpm.slot,576+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73" s="4" t="str">
        <f t="array" ref="K73">_xlfn.LET(_xlpm.pos,"Max Planck plate 7: "&amp;$A7&amp;K$2,_xlpm.normal,IFERROR(INDEX(MASTER!$A:$A,MATCH(_xlpm.pos,MASTER!$J:$J,0))&amp;"_ser_0.20_"&amp;TEXT(INDEX(MASTER!$E:$E,MATCH(_xlpm.pos,MASTER!$J:$J,0)),"mmddyy"),""),_xlpm.slot,576+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73" s="4" t="str">
        <f t="array" ref="L73">_xlfn.LET(_xlpm.pos,"Max Planck plate 7: "&amp;$A7&amp;L$2,_xlpm.normal,IFERROR(INDEX(MASTER!$A:$A,MATCH(_xlpm.pos,MASTER!$J:$J,0))&amp;"_ser_0.20_"&amp;TEXT(INDEX(MASTER!$E:$E,MATCH(_xlpm.pos,MASTER!$J:$J,0)),"mmddyy"),""),_xlpm.slot,576+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73" s="4" t="str">
        <f t="array" ref="M73">_xlfn.LET(_xlpm.pos,"Max Planck plate 7: "&amp;$A7&amp;M$2,_xlpm.normal,IFERROR(INDEX(MASTER!$A:$A,MATCH(_xlpm.pos,MASTER!$J:$J,0))&amp;"_ser_0.20_"&amp;TEXT(INDEX(MASTER!$E:$E,MATCH(_xlpm.pos,MASTER!$J:$J,0)),"mmddyy"),""),_xlpm.slot,576+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74" spans="1:13" ht="22" customHeight="1" x14ac:dyDescent="0.3">
      <c r="A74" s="6" t="s">
        <v>15</v>
      </c>
      <c r="B74" s="4" t="str">
        <f t="array" ref="B74">_xlfn.LET(_xlpm.pos,"Max Planck plate 7: "&amp;$A8&amp;B$2,_xlpm.normal,IFERROR(INDEX(MASTER!$A:$A,MATCH(_xlpm.pos,MASTER!$J:$J,0))&amp;"_ser_0.20_"&amp;TEXT(INDEX(MASTER!$E:$E,MATCH(_xlpm.pos,MASTER!$J:$J,0)),"mmddyy"),""),_xlpm.slot,576+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74" s="4" t="str">
        <f t="array" ref="C74">_xlfn.LET(_xlpm.pos,"Max Planck plate 7: "&amp;$A8&amp;C$2,_xlpm.normal,IFERROR(INDEX(MASTER!$A:$A,MATCH(_xlpm.pos,MASTER!$J:$J,0))&amp;"_ser_0.20_"&amp;TEXT(INDEX(MASTER!$E:$E,MATCH(_xlpm.pos,MASTER!$J:$J,0)),"mmddyy"),""),_xlpm.slot,576+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74" s="4" t="str">
        <f t="array" ref="D74">_xlfn.LET(_xlpm.pos,"Max Planck plate 7: "&amp;$A8&amp;D$2,_xlpm.normal,IFERROR(INDEX(MASTER!$A:$A,MATCH(_xlpm.pos,MASTER!$J:$J,0))&amp;"_ser_0.20_"&amp;TEXT(INDEX(MASTER!$E:$E,MATCH(_xlpm.pos,MASTER!$J:$J,0)),"mmddyy"),""),_xlpm.slot,576+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74" s="4" t="str">
        <f t="array" ref="E74">_xlfn.LET(_xlpm.pos,"Max Planck plate 7: "&amp;$A8&amp;E$2,_xlpm.normal,IFERROR(INDEX(MASTER!$A:$A,MATCH(_xlpm.pos,MASTER!$J:$J,0))&amp;"_ser_0.20_"&amp;TEXT(INDEX(MASTER!$E:$E,MATCH(_xlpm.pos,MASTER!$J:$J,0)),"mmddyy"),""),_xlpm.slot,576+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74" s="4" t="str">
        <f t="array" ref="F74">_xlfn.LET(_xlpm.pos,"Max Planck plate 7: "&amp;$A8&amp;F$2,_xlpm.normal,IFERROR(INDEX(MASTER!$A:$A,MATCH(_xlpm.pos,MASTER!$J:$J,0))&amp;"_ser_0.20_"&amp;TEXT(INDEX(MASTER!$E:$E,MATCH(_xlpm.pos,MASTER!$J:$J,0)),"mmddyy"),""),_xlpm.slot,576+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74" s="4" t="str">
        <f t="array" ref="G74">_xlfn.LET(_xlpm.pos,"Max Planck plate 7: "&amp;$A8&amp;G$2,_xlpm.normal,IFERROR(INDEX(MASTER!$A:$A,MATCH(_xlpm.pos,MASTER!$J:$J,0))&amp;"_ser_0.20_"&amp;TEXT(INDEX(MASTER!$E:$E,MATCH(_xlpm.pos,MASTER!$J:$J,0)),"mmddyy"),""),_xlpm.slot,576+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74" s="4" t="str">
        <f t="array" ref="H74">_xlfn.LET(_xlpm.pos,"Max Planck plate 7: "&amp;$A8&amp;H$2,_xlpm.normal,IFERROR(INDEX(MASTER!$A:$A,MATCH(_xlpm.pos,MASTER!$J:$J,0))&amp;"_ser_0.20_"&amp;TEXT(INDEX(MASTER!$E:$E,MATCH(_xlpm.pos,MASTER!$J:$J,0)),"mmddyy"),""),_xlpm.slot,576+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74" s="4" t="str">
        <f t="array" ref="I74">_xlfn.LET(_xlpm.pos,"Max Planck plate 7: "&amp;$A8&amp;I$2,_xlpm.normal,IFERROR(INDEX(MASTER!$A:$A,MATCH(_xlpm.pos,MASTER!$J:$J,0))&amp;"_ser_0.20_"&amp;TEXT(INDEX(MASTER!$E:$E,MATCH(_xlpm.pos,MASTER!$J:$J,0)),"mmddyy"),""),_xlpm.slot,576+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74" s="4" t="str">
        <f t="array" ref="J74">_xlfn.LET(_xlpm.pos,"Max Planck plate 7: "&amp;$A8&amp;J$2,_xlpm.normal,IFERROR(INDEX(MASTER!$A:$A,MATCH(_xlpm.pos,MASTER!$J:$J,0))&amp;"_ser_0.20_"&amp;TEXT(INDEX(MASTER!$E:$E,MATCH(_xlpm.pos,MASTER!$J:$J,0)),"mmddyy"),""),_xlpm.slot,576+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74" s="4" t="str">
        <f t="array" ref="K74">_xlfn.LET(_xlpm.pos,"Max Planck plate 7: "&amp;$A8&amp;K$2,_xlpm.normal,IFERROR(INDEX(MASTER!$A:$A,MATCH(_xlpm.pos,MASTER!$J:$J,0))&amp;"_ser_0.20_"&amp;TEXT(INDEX(MASTER!$E:$E,MATCH(_xlpm.pos,MASTER!$J:$J,0)),"mmddyy"),""),_xlpm.slot,576+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74" s="4" t="str">
        <f t="array" ref="L74">_xlfn.LET(_xlpm.pos,"Max Planck plate 7: "&amp;$A8&amp;L$2,_xlpm.normal,IFERROR(INDEX(MASTER!$A:$A,MATCH(_xlpm.pos,MASTER!$J:$J,0))&amp;"_ser_0.20_"&amp;TEXT(INDEX(MASTER!$E:$E,MATCH(_xlpm.pos,MASTER!$J:$J,0)),"mmddyy"),""),_xlpm.slot,576+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74" s="4" t="str">
        <f t="array" ref="M74">_xlfn.LET(_xlpm.pos,"Max Planck plate 7: "&amp;$A8&amp;M$2,_xlpm.normal,IFERROR(INDEX(MASTER!$A:$A,MATCH(_xlpm.pos,MASTER!$J:$J,0))&amp;"_ser_0.20_"&amp;TEXT(INDEX(MASTER!$E:$E,MATCH(_xlpm.pos,MASTER!$J:$J,0)),"mmddyy"),""),_xlpm.slot,576+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75" spans="1:13" ht="22" customHeight="1" x14ac:dyDescent="0.3">
      <c r="A75" s="6" t="s">
        <v>35</v>
      </c>
      <c r="B75" s="4" t="str">
        <f t="array" ref="B75">_xlfn.LET(_xlpm.pos,"Max Planck plate 7: "&amp;$A9&amp;B$2,_xlpm.normal,IFERROR(INDEX(MASTER!$A:$A,MATCH(_xlpm.pos,MASTER!$J:$J,0))&amp;"_ser_0.20_"&amp;TEXT(INDEX(MASTER!$E:$E,MATCH(_xlpm.pos,MASTER!$J:$J,0)),"mmddyy"),""),_xlpm.slot,576+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75" s="4" t="str">
        <f t="array" ref="C75">_xlfn.LET(_xlpm.pos,"Max Planck plate 7: "&amp;$A9&amp;C$2,_xlpm.normal,IFERROR(INDEX(MASTER!$A:$A,MATCH(_xlpm.pos,MASTER!$J:$J,0))&amp;"_ser_0.20_"&amp;TEXT(INDEX(MASTER!$E:$E,MATCH(_xlpm.pos,MASTER!$J:$J,0)),"mmddyy"),""),_xlpm.slot,576+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75" s="4" t="str">
        <f t="array" ref="D75">_xlfn.LET(_xlpm.pos,"Max Planck plate 7: "&amp;$A9&amp;D$2,_xlpm.normal,IFERROR(INDEX(MASTER!$A:$A,MATCH(_xlpm.pos,MASTER!$J:$J,0))&amp;"_ser_0.20_"&amp;TEXT(INDEX(MASTER!$E:$E,MATCH(_xlpm.pos,MASTER!$J:$J,0)),"mmddyy"),""),_xlpm.slot,576+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75" s="4" t="str">
        <f t="array" ref="E75">_xlfn.LET(_xlpm.pos,"Max Planck plate 7: "&amp;$A9&amp;E$2,_xlpm.normal,IFERROR(INDEX(MASTER!$A:$A,MATCH(_xlpm.pos,MASTER!$J:$J,0))&amp;"_ser_0.20_"&amp;TEXT(INDEX(MASTER!$E:$E,MATCH(_xlpm.pos,MASTER!$J:$J,0)),"mmddyy"),""),_xlpm.slot,576+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75" s="4" t="str">
        <f t="array" ref="F75">_xlfn.LET(_xlpm.pos,"Max Planck plate 7: "&amp;$A9&amp;F$2,_xlpm.normal,IFERROR(INDEX(MASTER!$A:$A,MATCH(_xlpm.pos,MASTER!$J:$J,0))&amp;"_ser_0.20_"&amp;TEXT(INDEX(MASTER!$E:$E,MATCH(_xlpm.pos,MASTER!$J:$J,0)),"mmddyy"),""),_xlpm.slot,576+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75" s="4" t="str">
        <f t="array" ref="G75">_xlfn.LET(_xlpm.pos,"Max Planck plate 7: "&amp;$A9&amp;G$2,_xlpm.normal,IFERROR(INDEX(MASTER!$A:$A,MATCH(_xlpm.pos,MASTER!$J:$J,0))&amp;"_ser_0.20_"&amp;TEXT(INDEX(MASTER!$E:$E,MATCH(_xlpm.pos,MASTER!$J:$J,0)),"mmddyy"),""),_xlpm.slot,576+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75" s="4" t="str">
        <f t="array" ref="H75">_xlfn.LET(_xlpm.pos,"Max Planck plate 7: "&amp;$A9&amp;H$2,_xlpm.normal,IFERROR(INDEX(MASTER!$A:$A,MATCH(_xlpm.pos,MASTER!$J:$J,0))&amp;"_ser_0.20_"&amp;TEXT(INDEX(MASTER!$E:$E,MATCH(_xlpm.pos,MASTER!$J:$J,0)),"mmddyy"),""),_xlpm.slot,576+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75" s="4" t="str">
        <f t="array" ref="I75">_xlfn.LET(_xlpm.pos,"Max Planck plate 7: "&amp;$A9&amp;I$2,_xlpm.normal,IFERROR(INDEX(MASTER!$A:$A,MATCH(_xlpm.pos,MASTER!$J:$J,0))&amp;"_ser_0.20_"&amp;TEXT(INDEX(MASTER!$E:$E,MATCH(_xlpm.pos,MASTER!$J:$J,0)),"mmddyy"),""),_xlpm.slot,576+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75" s="4" t="str">
        <f t="array" ref="J75">_xlfn.LET(_xlpm.pos,"Max Planck plate 7: "&amp;$A9&amp;J$2,_xlpm.normal,IFERROR(INDEX(MASTER!$A:$A,MATCH(_xlpm.pos,MASTER!$J:$J,0))&amp;"_ser_0.20_"&amp;TEXT(INDEX(MASTER!$E:$E,MATCH(_xlpm.pos,MASTER!$J:$J,0)),"mmddyy"),""),_xlpm.slot,576+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75" s="4" t="str">
        <f t="array" ref="K75">_xlfn.LET(_xlpm.pos,"Max Planck plate 7: "&amp;$A9&amp;K$2,_xlpm.normal,IFERROR(INDEX(MASTER!$A:$A,MATCH(_xlpm.pos,MASTER!$J:$J,0))&amp;"_ser_0.20_"&amp;TEXT(INDEX(MASTER!$E:$E,MATCH(_xlpm.pos,MASTER!$J:$J,0)),"mmddyy"),""),_xlpm.slot,576+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75" s="4" t="str">
        <f t="array" ref="L75">_xlfn.LET(_xlpm.pos,"Max Planck plate 7: "&amp;$A9&amp;L$2,_xlpm.normal,IFERROR(INDEX(MASTER!$A:$A,MATCH(_xlpm.pos,MASTER!$J:$J,0))&amp;"_ser_0.20_"&amp;TEXT(INDEX(MASTER!$E:$E,MATCH(_xlpm.pos,MASTER!$J:$J,0)),"mmddyy"),""),_xlpm.slot,576+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75" s="4" t="str">
        <f t="array" ref="M75">_xlfn.LET(_xlpm.pos,"Max Planck plate 7: "&amp;$A9&amp;M$2,_xlpm.normal,IFERROR(INDEX(MASTER!$A:$A,MATCH(_xlpm.pos,MASTER!$J:$J,0))&amp;"_ser_0.20_"&amp;TEXT(INDEX(MASTER!$E:$E,MATCH(_xlpm.pos,MASTER!$J:$J,0)),"mmddyy"),""),_xlpm.slot,576+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76" spans="1:13" ht="22" customHeight="1" x14ac:dyDescent="0.3">
      <c r="A76" s="6" t="s">
        <v>36</v>
      </c>
      <c r="B76" s="4" t="str">
        <f t="array" ref="B76">_xlfn.LET(_xlpm.pos,"Max Planck plate 7: "&amp;$A10&amp;B$2,_xlpm.normal,IFERROR(INDEX(MASTER!$A:$A,MATCH(_xlpm.pos,MASTER!$J:$J,0))&amp;"_ser_0.20_"&amp;TEXT(INDEX(MASTER!$E:$E,MATCH(_xlpm.pos,MASTER!$J:$J,0)),"mmddyy"),""),_xlpm.slot,576+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76" s="4" t="str">
        <f t="array" ref="C76">_xlfn.LET(_xlpm.pos,"Max Planck plate 7: "&amp;$A10&amp;C$2,_xlpm.normal,IFERROR(INDEX(MASTER!$A:$A,MATCH(_xlpm.pos,MASTER!$J:$J,0))&amp;"_ser_0.20_"&amp;TEXT(INDEX(MASTER!$E:$E,MATCH(_xlpm.pos,MASTER!$J:$J,0)),"mmddyy"),""),_xlpm.slot,576+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76" s="4" t="str">
        <f t="array" ref="D76">_xlfn.LET(_xlpm.pos,"Max Planck plate 7: "&amp;$A10&amp;D$2,_xlpm.normal,IFERROR(INDEX(MASTER!$A:$A,MATCH(_xlpm.pos,MASTER!$J:$J,0))&amp;"_ser_0.20_"&amp;TEXT(INDEX(MASTER!$E:$E,MATCH(_xlpm.pos,MASTER!$J:$J,0)),"mmddyy"),""),_xlpm.slot,576+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76" s="4" t="str">
        <f t="array" ref="E76">_xlfn.LET(_xlpm.pos,"Max Planck plate 7: "&amp;$A10&amp;E$2,_xlpm.normal,IFERROR(INDEX(MASTER!$A:$A,MATCH(_xlpm.pos,MASTER!$J:$J,0))&amp;"_ser_0.20_"&amp;TEXT(INDEX(MASTER!$E:$E,MATCH(_xlpm.pos,MASTER!$J:$J,0)),"mmddyy"),""),_xlpm.slot,576+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76" s="4" t="str">
        <f t="array" ref="F76">_xlfn.LET(_xlpm.pos,"Max Planck plate 7: "&amp;$A10&amp;F$2,_xlpm.normal,IFERROR(INDEX(MASTER!$A:$A,MATCH(_xlpm.pos,MASTER!$J:$J,0))&amp;"_ser_0.20_"&amp;TEXT(INDEX(MASTER!$E:$E,MATCH(_xlpm.pos,MASTER!$J:$J,0)),"mmddyy"),""),_xlpm.slot,576+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76" s="4" t="str">
        <f t="array" ref="G76">_xlfn.LET(_xlpm.pos,"Max Planck plate 7: "&amp;$A10&amp;G$2,_xlpm.normal,IFERROR(INDEX(MASTER!$A:$A,MATCH(_xlpm.pos,MASTER!$J:$J,0))&amp;"_ser_0.20_"&amp;TEXT(INDEX(MASTER!$E:$E,MATCH(_xlpm.pos,MASTER!$J:$J,0)),"mmddyy"),""),_xlpm.slot,576+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76" s="4" t="str">
        <f t="array" ref="H76">_xlfn.LET(_xlpm.pos,"Max Planck plate 7: "&amp;$A10&amp;H$2,_xlpm.normal,IFERROR(INDEX(MASTER!$A:$A,MATCH(_xlpm.pos,MASTER!$J:$J,0))&amp;"_ser_0.20_"&amp;TEXT(INDEX(MASTER!$E:$E,MATCH(_xlpm.pos,MASTER!$J:$J,0)),"mmddyy"),""),_xlpm.slot,576+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76" s="4" t="str">
        <f t="array" ref="I76">_xlfn.LET(_xlpm.pos,"Max Planck plate 7: "&amp;$A10&amp;I$2,_xlpm.normal,IFERROR(INDEX(MASTER!$A:$A,MATCH(_xlpm.pos,MASTER!$J:$J,0))&amp;"_ser_0.20_"&amp;TEXT(INDEX(MASTER!$E:$E,MATCH(_xlpm.pos,MASTER!$J:$J,0)),"mmddyy"),""),_xlpm.slot,576+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76" s="4" t="str">
        <f t="array" ref="J76">_xlfn.LET(_xlpm.pos,"Max Planck plate 7: "&amp;$A10&amp;J$2,_xlpm.normal,IFERROR(INDEX(MASTER!$A:$A,MATCH(_xlpm.pos,MASTER!$J:$J,0))&amp;"_ser_0.20_"&amp;TEXT(INDEX(MASTER!$E:$E,MATCH(_xlpm.pos,MASTER!$J:$J,0)),"mmddyy"),""),_xlpm.slot,576+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76" s="4" t="str">
        <f t="array" ref="K76">_xlfn.LET(_xlpm.pos,"Max Planck plate 7: "&amp;$A10&amp;K$2,_xlpm.normal,IFERROR(INDEX(MASTER!$A:$A,MATCH(_xlpm.pos,MASTER!$J:$J,0))&amp;"_ser_0.20_"&amp;TEXT(INDEX(MASTER!$E:$E,MATCH(_xlpm.pos,MASTER!$J:$J,0)),"mmddyy"),""),_xlpm.slot,576+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76" s="4" t="str">
        <f t="array" ref="L76">_xlfn.LET(_xlpm.pos,"Max Planck plate 7: "&amp;$A10&amp;L$2,_xlpm.normal,IFERROR(INDEX(MASTER!$A:$A,MATCH(_xlpm.pos,MASTER!$J:$J,0))&amp;"_ser_0.20_"&amp;TEXT(INDEX(MASTER!$E:$E,MATCH(_xlpm.pos,MASTER!$J:$J,0)),"mmddyy"),""),_xlpm.slot,576+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76" s="4" t="str">
        <f t="array" ref="M76">_xlfn.LET(_xlpm.pos,"Max Planck plate 7: "&amp;$A10&amp;M$2,_xlpm.normal,IFERROR(INDEX(MASTER!$A:$A,MATCH(_xlpm.pos,MASTER!$J:$J,0))&amp;"_ser_0.20_"&amp;TEXT(INDEX(MASTER!$E:$E,MATCH(_xlpm.pos,MASTER!$J:$J,0)),"mmddyy"),""),_xlpm.slot,576+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77" spans="1:13" ht="22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1:13" ht="22" customHeight="1" x14ac:dyDescent="0.35">
      <c r="A78" s="5"/>
      <c r="B78" s="31" t="s">
        <v>85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3"/>
    </row>
    <row r="79" spans="1:13" ht="22" customHeight="1" x14ac:dyDescent="0.3">
      <c r="A79" s="5"/>
      <c r="B79" s="6">
        <v>1</v>
      </c>
      <c r="C79" s="6">
        <v>2</v>
      </c>
      <c r="D79" s="6">
        <v>3</v>
      </c>
      <c r="E79" s="6">
        <v>4</v>
      </c>
      <c r="F79" s="6">
        <v>5</v>
      </c>
      <c r="G79" s="6">
        <v>6</v>
      </c>
      <c r="H79" s="6">
        <v>7</v>
      </c>
      <c r="I79" s="6">
        <v>8</v>
      </c>
      <c r="J79" s="6">
        <v>9</v>
      </c>
      <c r="K79" s="6">
        <v>10</v>
      </c>
      <c r="L79" s="6">
        <v>11</v>
      </c>
      <c r="M79" s="6">
        <v>12</v>
      </c>
    </row>
    <row r="80" spans="1:13" ht="22" customHeight="1" x14ac:dyDescent="0.3">
      <c r="A80" s="6" t="s">
        <v>30</v>
      </c>
      <c r="B80" s="4" t="str">
        <f t="array" ref="B80">_xlfn.LET(_xlpm.pos,"Max Planck plate 8: "&amp;$A3&amp;B$2,_xlpm.normal,IFERROR(INDEX(MASTER!$A:$A,MATCH(_xlpm.pos,MASTER!$J:$J,0))&amp;"_ser_0.20_"&amp;TEXT(INDEX(MASTER!$E:$E,MATCH(_xlpm.pos,MASTER!$J:$J,0)),"mmddyy"),""),_xlpm.slot,672+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80" s="4" t="str">
        <f t="array" ref="C80">_xlfn.LET(_xlpm.pos,"Max Planck plate 8: "&amp;$A3&amp;C$2,_xlpm.normal,IFERROR(INDEX(MASTER!$A:$A,MATCH(_xlpm.pos,MASTER!$J:$J,0))&amp;"_ser_0.20_"&amp;TEXT(INDEX(MASTER!$E:$E,MATCH(_xlpm.pos,MASTER!$J:$J,0)),"mmddyy"),""),_xlpm.slot,672+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80" s="4" t="str">
        <f t="array" ref="D80">_xlfn.LET(_xlpm.pos,"Max Planck plate 8: "&amp;$A3&amp;D$2,_xlpm.normal,IFERROR(INDEX(MASTER!$A:$A,MATCH(_xlpm.pos,MASTER!$J:$J,0))&amp;"_ser_0.20_"&amp;TEXT(INDEX(MASTER!$E:$E,MATCH(_xlpm.pos,MASTER!$J:$J,0)),"mmddyy"),""),_xlpm.slot,672+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80" s="4" t="str">
        <f t="array" ref="E80">_xlfn.LET(_xlpm.pos,"Max Planck plate 8: "&amp;$A3&amp;E$2,_xlpm.normal,IFERROR(INDEX(MASTER!$A:$A,MATCH(_xlpm.pos,MASTER!$J:$J,0))&amp;"_ser_0.20_"&amp;TEXT(INDEX(MASTER!$E:$E,MATCH(_xlpm.pos,MASTER!$J:$J,0)),"mmddyy"),""),_xlpm.slot,672+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80" s="4" t="str">
        <f t="array" ref="F80">_xlfn.LET(_xlpm.pos,"Max Planck plate 8: "&amp;$A3&amp;F$2,_xlpm.normal,IFERROR(INDEX(MASTER!$A:$A,MATCH(_xlpm.pos,MASTER!$J:$J,0))&amp;"_ser_0.20_"&amp;TEXT(INDEX(MASTER!$E:$E,MATCH(_xlpm.pos,MASTER!$J:$J,0)),"mmddyy"),""),_xlpm.slot,672+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80" s="4" t="str">
        <f t="array" ref="G80">_xlfn.LET(_xlpm.pos,"Max Planck plate 8: "&amp;$A3&amp;G$2,_xlpm.normal,IFERROR(INDEX(MASTER!$A:$A,MATCH(_xlpm.pos,MASTER!$J:$J,0))&amp;"_ser_0.20_"&amp;TEXT(INDEX(MASTER!$E:$E,MATCH(_xlpm.pos,MASTER!$J:$J,0)),"mmddyy"),""),_xlpm.slot,672+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80" s="4" t="str">
        <f t="array" ref="H80">_xlfn.LET(_xlpm.pos,"Max Planck plate 8: "&amp;$A3&amp;H$2,_xlpm.normal,IFERROR(INDEX(MASTER!$A:$A,MATCH(_xlpm.pos,MASTER!$J:$J,0))&amp;"_ser_0.20_"&amp;TEXT(INDEX(MASTER!$E:$E,MATCH(_xlpm.pos,MASTER!$J:$J,0)),"mmddyy"),""),_xlpm.slot,672+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80" s="4" t="str">
        <f t="array" ref="I80">_xlfn.LET(_xlpm.pos,"Max Planck plate 8: "&amp;$A3&amp;I$2,_xlpm.normal,IFERROR(INDEX(MASTER!$A:$A,MATCH(_xlpm.pos,MASTER!$J:$J,0))&amp;"_ser_0.20_"&amp;TEXT(INDEX(MASTER!$E:$E,MATCH(_xlpm.pos,MASTER!$J:$J,0)),"mmddyy"),""),_xlpm.slot,672+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80" s="4" t="str">
        <f t="array" ref="J80">_xlfn.LET(_xlpm.pos,"Max Planck plate 8: "&amp;$A3&amp;J$2,_xlpm.normal,IFERROR(INDEX(MASTER!$A:$A,MATCH(_xlpm.pos,MASTER!$J:$J,0))&amp;"_ser_0.20_"&amp;TEXT(INDEX(MASTER!$E:$E,MATCH(_xlpm.pos,MASTER!$J:$J,0)),"mmddyy"),""),_xlpm.slot,672+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80" s="4" t="str">
        <f t="array" ref="K80">_xlfn.LET(_xlpm.pos,"Max Planck plate 8: "&amp;$A3&amp;K$2,_xlpm.normal,IFERROR(INDEX(MASTER!$A:$A,MATCH(_xlpm.pos,MASTER!$J:$J,0))&amp;"_ser_0.20_"&amp;TEXT(INDEX(MASTER!$E:$E,MATCH(_xlpm.pos,MASTER!$J:$J,0)),"mmddyy"),""),_xlpm.slot,672+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80" s="4" t="str">
        <f t="array" ref="L80">_xlfn.LET(_xlpm.pos,"Max Planck plate 8: "&amp;$A3&amp;L$2,_xlpm.normal,IFERROR(INDEX(MASTER!$A:$A,MATCH(_xlpm.pos,MASTER!$J:$J,0))&amp;"_ser_0.20_"&amp;TEXT(INDEX(MASTER!$E:$E,MATCH(_xlpm.pos,MASTER!$J:$J,0)),"mmddyy"),""),_xlpm.slot,672+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80" s="4" t="str">
        <f t="array" ref="M80">_xlfn.LET(_xlpm.pos,"Max Planck plate 8: "&amp;$A3&amp;M$2,_xlpm.normal,IFERROR(INDEX(MASTER!$A:$A,MATCH(_xlpm.pos,MASTER!$J:$J,0))&amp;"_ser_0.20_"&amp;TEXT(INDEX(MASTER!$E:$E,MATCH(_xlpm.pos,MASTER!$J:$J,0)),"mmddyy"),""),_xlpm.slot,672+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81" spans="1:13" ht="22" customHeight="1" x14ac:dyDescent="0.3">
      <c r="A81" s="6" t="s">
        <v>31</v>
      </c>
      <c r="B81" s="4" t="str">
        <f t="array" ref="B81">_xlfn.LET(_xlpm.pos,"Max Planck plate 8: "&amp;$A4&amp;B$2,_xlpm.normal,IFERROR(INDEX(MASTER!$A:$A,MATCH(_xlpm.pos,MASTER!$J:$J,0))&amp;"_ser_0.20_"&amp;TEXT(INDEX(MASTER!$E:$E,MATCH(_xlpm.pos,MASTER!$J:$J,0)),"mmddyy"),""),_xlpm.slot,672+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81" s="4" t="str">
        <f t="array" ref="C81">_xlfn.LET(_xlpm.pos,"Max Planck plate 8: "&amp;$A4&amp;C$2,_xlpm.normal,IFERROR(INDEX(MASTER!$A:$A,MATCH(_xlpm.pos,MASTER!$J:$J,0))&amp;"_ser_0.20_"&amp;TEXT(INDEX(MASTER!$E:$E,MATCH(_xlpm.pos,MASTER!$J:$J,0)),"mmddyy"),""),_xlpm.slot,672+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81" s="4" t="str">
        <f t="array" ref="D81">_xlfn.LET(_xlpm.pos,"Max Planck plate 8: "&amp;$A4&amp;D$2,_xlpm.normal,IFERROR(INDEX(MASTER!$A:$A,MATCH(_xlpm.pos,MASTER!$J:$J,0))&amp;"_ser_0.20_"&amp;TEXT(INDEX(MASTER!$E:$E,MATCH(_xlpm.pos,MASTER!$J:$J,0)),"mmddyy"),""),_xlpm.slot,672+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81" s="4" t="str">
        <f t="array" ref="E81">_xlfn.LET(_xlpm.pos,"Max Planck plate 8: "&amp;$A4&amp;E$2,_xlpm.normal,IFERROR(INDEX(MASTER!$A:$A,MATCH(_xlpm.pos,MASTER!$J:$J,0))&amp;"_ser_0.20_"&amp;TEXT(INDEX(MASTER!$E:$E,MATCH(_xlpm.pos,MASTER!$J:$J,0)),"mmddyy"),""),_xlpm.slot,672+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81" s="4" t="str">
        <f t="array" ref="F81">_xlfn.LET(_xlpm.pos,"Max Planck plate 8: "&amp;$A4&amp;F$2,_xlpm.normal,IFERROR(INDEX(MASTER!$A:$A,MATCH(_xlpm.pos,MASTER!$J:$J,0))&amp;"_ser_0.20_"&amp;TEXT(INDEX(MASTER!$E:$E,MATCH(_xlpm.pos,MASTER!$J:$J,0)),"mmddyy"),""),_xlpm.slot,672+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81" s="4" t="str">
        <f t="array" ref="G81">_xlfn.LET(_xlpm.pos,"Max Planck plate 8: "&amp;$A4&amp;G$2,_xlpm.normal,IFERROR(INDEX(MASTER!$A:$A,MATCH(_xlpm.pos,MASTER!$J:$J,0))&amp;"_ser_0.20_"&amp;TEXT(INDEX(MASTER!$E:$E,MATCH(_xlpm.pos,MASTER!$J:$J,0)),"mmddyy"),""),_xlpm.slot,672+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81" s="4" t="str">
        <f t="array" ref="H81">_xlfn.LET(_xlpm.pos,"Max Planck plate 8: "&amp;$A4&amp;H$2,_xlpm.normal,IFERROR(INDEX(MASTER!$A:$A,MATCH(_xlpm.pos,MASTER!$J:$J,0))&amp;"_ser_0.20_"&amp;TEXT(INDEX(MASTER!$E:$E,MATCH(_xlpm.pos,MASTER!$J:$J,0)),"mmddyy"),""),_xlpm.slot,672+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81" s="4" t="str">
        <f t="array" ref="I81">_xlfn.LET(_xlpm.pos,"Max Planck plate 8: "&amp;$A4&amp;I$2,_xlpm.normal,IFERROR(INDEX(MASTER!$A:$A,MATCH(_xlpm.pos,MASTER!$J:$J,0))&amp;"_ser_0.20_"&amp;TEXT(INDEX(MASTER!$E:$E,MATCH(_xlpm.pos,MASTER!$J:$J,0)),"mmddyy"),""),_xlpm.slot,672+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81" s="4" t="str">
        <f t="array" ref="J81">_xlfn.LET(_xlpm.pos,"Max Planck plate 8: "&amp;$A4&amp;J$2,_xlpm.normal,IFERROR(INDEX(MASTER!$A:$A,MATCH(_xlpm.pos,MASTER!$J:$J,0))&amp;"_ser_0.20_"&amp;TEXT(INDEX(MASTER!$E:$E,MATCH(_xlpm.pos,MASTER!$J:$J,0)),"mmddyy"),""),_xlpm.slot,672+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81" s="4" t="str">
        <f t="array" ref="K81">_xlfn.LET(_xlpm.pos,"Max Planck plate 8: "&amp;$A4&amp;K$2,_xlpm.normal,IFERROR(INDEX(MASTER!$A:$A,MATCH(_xlpm.pos,MASTER!$J:$J,0))&amp;"_ser_0.20_"&amp;TEXT(INDEX(MASTER!$E:$E,MATCH(_xlpm.pos,MASTER!$J:$J,0)),"mmddyy"),""),_xlpm.slot,672+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81" s="4" t="str">
        <f t="array" ref="L81">_xlfn.LET(_xlpm.pos,"Max Planck plate 8: "&amp;$A4&amp;L$2,_xlpm.normal,IFERROR(INDEX(MASTER!$A:$A,MATCH(_xlpm.pos,MASTER!$J:$J,0))&amp;"_ser_0.20_"&amp;TEXT(INDEX(MASTER!$E:$E,MATCH(_xlpm.pos,MASTER!$J:$J,0)),"mmddyy"),""),_xlpm.slot,672+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81" s="4" t="str">
        <f t="array" ref="M81">_xlfn.LET(_xlpm.pos,"Max Planck plate 8: "&amp;$A4&amp;M$2,_xlpm.normal,IFERROR(INDEX(MASTER!$A:$A,MATCH(_xlpm.pos,MASTER!$J:$J,0))&amp;"_ser_0.20_"&amp;TEXT(INDEX(MASTER!$E:$E,MATCH(_xlpm.pos,MASTER!$J:$J,0)),"mmddyy"),""),_xlpm.slot,672+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82" spans="1:13" ht="22" customHeight="1" x14ac:dyDescent="0.3">
      <c r="A82" s="6" t="s">
        <v>32</v>
      </c>
      <c r="B82" s="4" t="str">
        <f t="array" ref="B82">_xlfn.LET(_xlpm.pos,"Max Planck plate 8: "&amp;$A5&amp;B$2,_xlpm.normal,IFERROR(INDEX(MASTER!$A:$A,MATCH(_xlpm.pos,MASTER!$J:$J,0))&amp;"_ser_0.20_"&amp;TEXT(INDEX(MASTER!$E:$E,MATCH(_xlpm.pos,MASTER!$J:$J,0)),"mmddyy"),""),_xlpm.slot,672+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82" s="4" t="str">
        <f t="array" ref="C82">_xlfn.LET(_xlpm.pos,"Max Planck plate 8: "&amp;$A5&amp;C$2,_xlpm.normal,IFERROR(INDEX(MASTER!$A:$A,MATCH(_xlpm.pos,MASTER!$J:$J,0))&amp;"_ser_0.20_"&amp;TEXT(INDEX(MASTER!$E:$E,MATCH(_xlpm.pos,MASTER!$J:$J,0)),"mmddyy"),""),_xlpm.slot,672+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82" s="4" t="str">
        <f t="array" ref="D82">_xlfn.LET(_xlpm.pos,"Max Planck plate 8: "&amp;$A5&amp;D$2,_xlpm.normal,IFERROR(INDEX(MASTER!$A:$A,MATCH(_xlpm.pos,MASTER!$J:$J,0))&amp;"_ser_0.20_"&amp;TEXT(INDEX(MASTER!$E:$E,MATCH(_xlpm.pos,MASTER!$J:$J,0)),"mmddyy"),""),_xlpm.slot,672+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82" s="4" t="str">
        <f t="array" ref="E82">_xlfn.LET(_xlpm.pos,"Max Planck plate 8: "&amp;$A5&amp;E$2,_xlpm.normal,IFERROR(INDEX(MASTER!$A:$A,MATCH(_xlpm.pos,MASTER!$J:$J,0))&amp;"_ser_0.20_"&amp;TEXT(INDEX(MASTER!$E:$E,MATCH(_xlpm.pos,MASTER!$J:$J,0)),"mmddyy"),""),_xlpm.slot,672+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82" s="4" t="str">
        <f t="array" ref="F82">_xlfn.LET(_xlpm.pos,"Max Planck plate 8: "&amp;$A5&amp;F$2,_xlpm.normal,IFERROR(INDEX(MASTER!$A:$A,MATCH(_xlpm.pos,MASTER!$J:$J,0))&amp;"_ser_0.20_"&amp;TEXT(INDEX(MASTER!$E:$E,MATCH(_xlpm.pos,MASTER!$J:$J,0)),"mmddyy"),""),_xlpm.slot,672+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82" s="4" t="str">
        <f t="array" ref="G82">_xlfn.LET(_xlpm.pos,"Max Planck plate 8: "&amp;$A5&amp;G$2,_xlpm.normal,IFERROR(INDEX(MASTER!$A:$A,MATCH(_xlpm.pos,MASTER!$J:$J,0))&amp;"_ser_0.20_"&amp;TEXT(INDEX(MASTER!$E:$E,MATCH(_xlpm.pos,MASTER!$J:$J,0)),"mmddyy"),""),_xlpm.slot,672+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82" s="4" t="str">
        <f t="array" ref="H82">_xlfn.LET(_xlpm.pos,"Max Planck plate 8: "&amp;$A5&amp;H$2,_xlpm.normal,IFERROR(INDEX(MASTER!$A:$A,MATCH(_xlpm.pos,MASTER!$J:$J,0))&amp;"_ser_0.20_"&amp;TEXT(INDEX(MASTER!$E:$E,MATCH(_xlpm.pos,MASTER!$J:$J,0)),"mmddyy"),""),_xlpm.slot,672+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82" s="4" t="str">
        <f t="array" ref="I82">_xlfn.LET(_xlpm.pos,"Max Planck plate 8: "&amp;$A5&amp;I$2,_xlpm.normal,IFERROR(INDEX(MASTER!$A:$A,MATCH(_xlpm.pos,MASTER!$J:$J,0))&amp;"_ser_0.20_"&amp;TEXT(INDEX(MASTER!$E:$E,MATCH(_xlpm.pos,MASTER!$J:$J,0)),"mmddyy"),""),_xlpm.slot,672+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82" s="4" t="str">
        <f t="array" ref="J82">_xlfn.LET(_xlpm.pos,"Max Planck plate 8: "&amp;$A5&amp;J$2,_xlpm.normal,IFERROR(INDEX(MASTER!$A:$A,MATCH(_xlpm.pos,MASTER!$J:$J,0))&amp;"_ser_0.20_"&amp;TEXT(INDEX(MASTER!$E:$E,MATCH(_xlpm.pos,MASTER!$J:$J,0)),"mmddyy"),""),_xlpm.slot,672+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82" s="4" t="str">
        <f t="array" ref="K82">_xlfn.LET(_xlpm.pos,"Max Planck plate 8: "&amp;$A5&amp;K$2,_xlpm.normal,IFERROR(INDEX(MASTER!$A:$A,MATCH(_xlpm.pos,MASTER!$J:$J,0))&amp;"_ser_0.20_"&amp;TEXT(INDEX(MASTER!$E:$E,MATCH(_xlpm.pos,MASTER!$J:$J,0)),"mmddyy"),""),_xlpm.slot,672+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82" s="4" t="str">
        <f t="array" ref="L82">_xlfn.LET(_xlpm.pos,"Max Planck plate 8: "&amp;$A5&amp;L$2,_xlpm.normal,IFERROR(INDEX(MASTER!$A:$A,MATCH(_xlpm.pos,MASTER!$J:$J,0))&amp;"_ser_0.20_"&amp;TEXT(INDEX(MASTER!$E:$E,MATCH(_xlpm.pos,MASTER!$J:$J,0)),"mmddyy"),""),_xlpm.slot,672+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82" s="4" t="str">
        <f t="array" ref="M82">_xlfn.LET(_xlpm.pos,"Max Planck plate 8: "&amp;$A5&amp;M$2,_xlpm.normal,IFERROR(INDEX(MASTER!$A:$A,MATCH(_xlpm.pos,MASTER!$J:$J,0))&amp;"_ser_0.20_"&amp;TEXT(INDEX(MASTER!$E:$E,MATCH(_xlpm.pos,MASTER!$J:$J,0)),"mmddyy"),""),_xlpm.slot,672+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83" spans="1:13" ht="22" customHeight="1" x14ac:dyDescent="0.3">
      <c r="A83" s="6" t="s">
        <v>33</v>
      </c>
      <c r="B83" s="4" t="str">
        <f t="array" ref="B83">_xlfn.LET(_xlpm.pos,"Max Planck plate 8: "&amp;$A6&amp;B$2,_xlpm.normal,IFERROR(INDEX(MASTER!$A:$A,MATCH(_xlpm.pos,MASTER!$J:$J,0))&amp;"_ser_0.20_"&amp;TEXT(INDEX(MASTER!$E:$E,MATCH(_xlpm.pos,MASTER!$J:$J,0)),"mmddyy"),""),_xlpm.slot,672+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83" s="4" t="str">
        <f t="array" ref="C83">_xlfn.LET(_xlpm.pos,"Max Planck plate 8: "&amp;$A6&amp;C$2,_xlpm.normal,IFERROR(INDEX(MASTER!$A:$A,MATCH(_xlpm.pos,MASTER!$J:$J,0))&amp;"_ser_0.20_"&amp;TEXT(INDEX(MASTER!$E:$E,MATCH(_xlpm.pos,MASTER!$J:$J,0)),"mmddyy"),""),_xlpm.slot,672+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83" s="4" t="str">
        <f t="array" ref="D83">_xlfn.LET(_xlpm.pos,"Max Planck plate 8: "&amp;$A6&amp;D$2,_xlpm.normal,IFERROR(INDEX(MASTER!$A:$A,MATCH(_xlpm.pos,MASTER!$J:$J,0))&amp;"_ser_0.20_"&amp;TEXT(INDEX(MASTER!$E:$E,MATCH(_xlpm.pos,MASTER!$J:$J,0)),"mmddyy"),""),_xlpm.slot,672+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83" s="4" t="str">
        <f t="array" ref="E83">_xlfn.LET(_xlpm.pos,"Max Planck plate 8: "&amp;$A6&amp;E$2,_xlpm.normal,IFERROR(INDEX(MASTER!$A:$A,MATCH(_xlpm.pos,MASTER!$J:$J,0))&amp;"_ser_0.20_"&amp;TEXT(INDEX(MASTER!$E:$E,MATCH(_xlpm.pos,MASTER!$J:$J,0)),"mmddyy"),""),_xlpm.slot,672+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83" s="4" t="str">
        <f t="array" ref="F83">_xlfn.LET(_xlpm.pos,"Max Planck plate 8: "&amp;$A6&amp;F$2,_xlpm.normal,IFERROR(INDEX(MASTER!$A:$A,MATCH(_xlpm.pos,MASTER!$J:$J,0))&amp;"_ser_0.20_"&amp;TEXT(INDEX(MASTER!$E:$E,MATCH(_xlpm.pos,MASTER!$J:$J,0)),"mmddyy"),""),_xlpm.slot,672+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83" s="4" t="str">
        <f t="array" ref="G83">_xlfn.LET(_xlpm.pos,"Max Planck plate 8: "&amp;$A6&amp;G$2,_xlpm.normal,IFERROR(INDEX(MASTER!$A:$A,MATCH(_xlpm.pos,MASTER!$J:$J,0))&amp;"_ser_0.20_"&amp;TEXT(INDEX(MASTER!$E:$E,MATCH(_xlpm.pos,MASTER!$J:$J,0)),"mmddyy"),""),_xlpm.slot,672+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83" s="4" t="str">
        <f t="array" ref="H83">_xlfn.LET(_xlpm.pos,"Max Planck plate 8: "&amp;$A6&amp;H$2,_xlpm.normal,IFERROR(INDEX(MASTER!$A:$A,MATCH(_xlpm.pos,MASTER!$J:$J,0))&amp;"_ser_0.20_"&amp;TEXT(INDEX(MASTER!$E:$E,MATCH(_xlpm.pos,MASTER!$J:$J,0)),"mmddyy"),""),_xlpm.slot,672+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83" s="4" t="str">
        <f t="array" ref="I83">_xlfn.LET(_xlpm.pos,"Max Planck plate 8: "&amp;$A6&amp;I$2,_xlpm.normal,IFERROR(INDEX(MASTER!$A:$A,MATCH(_xlpm.pos,MASTER!$J:$J,0))&amp;"_ser_0.20_"&amp;TEXT(INDEX(MASTER!$E:$E,MATCH(_xlpm.pos,MASTER!$J:$J,0)),"mmddyy"),""),_xlpm.slot,672+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83" s="4" t="str">
        <f t="array" ref="J83">_xlfn.LET(_xlpm.pos,"Max Planck plate 8: "&amp;$A6&amp;J$2,_xlpm.normal,IFERROR(INDEX(MASTER!$A:$A,MATCH(_xlpm.pos,MASTER!$J:$J,0))&amp;"_ser_0.20_"&amp;TEXT(INDEX(MASTER!$E:$E,MATCH(_xlpm.pos,MASTER!$J:$J,0)),"mmddyy"),""),_xlpm.slot,672+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83" s="4" t="str">
        <f t="array" ref="K83">_xlfn.LET(_xlpm.pos,"Max Planck plate 8: "&amp;$A6&amp;K$2,_xlpm.normal,IFERROR(INDEX(MASTER!$A:$A,MATCH(_xlpm.pos,MASTER!$J:$J,0))&amp;"_ser_0.20_"&amp;TEXT(INDEX(MASTER!$E:$E,MATCH(_xlpm.pos,MASTER!$J:$J,0)),"mmddyy"),""),_xlpm.slot,672+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83" s="4" t="str">
        <f t="array" ref="L83">_xlfn.LET(_xlpm.pos,"Max Planck plate 8: "&amp;$A6&amp;L$2,_xlpm.normal,IFERROR(INDEX(MASTER!$A:$A,MATCH(_xlpm.pos,MASTER!$J:$J,0))&amp;"_ser_0.20_"&amp;TEXT(INDEX(MASTER!$E:$E,MATCH(_xlpm.pos,MASTER!$J:$J,0)),"mmddyy"),""),_xlpm.slot,672+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83" s="4" t="str">
        <f t="array" ref="M83">_xlfn.LET(_xlpm.pos,"Max Planck plate 8: "&amp;$A6&amp;M$2,_xlpm.normal,IFERROR(INDEX(MASTER!$A:$A,MATCH(_xlpm.pos,MASTER!$J:$J,0))&amp;"_ser_0.20_"&amp;TEXT(INDEX(MASTER!$E:$E,MATCH(_xlpm.pos,MASTER!$J:$J,0)),"mmddyy"),""),_xlpm.slot,672+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84" spans="1:13" ht="22" customHeight="1" x14ac:dyDescent="0.3">
      <c r="A84" s="6" t="s">
        <v>34</v>
      </c>
      <c r="B84" s="4" t="str">
        <f t="array" ref="B84">_xlfn.LET(_xlpm.pos,"Max Planck plate 8: "&amp;$A7&amp;B$2,_xlpm.normal,IFERROR(INDEX(MASTER!$A:$A,MATCH(_xlpm.pos,MASTER!$J:$J,0))&amp;"_ser_0.20_"&amp;TEXT(INDEX(MASTER!$E:$E,MATCH(_xlpm.pos,MASTER!$J:$J,0)),"mmddyy"),""),_xlpm.slot,672+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84" s="4" t="str">
        <f t="array" ref="C84">_xlfn.LET(_xlpm.pos,"Max Planck plate 8: "&amp;$A7&amp;C$2,_xlpm.normal,IFERROR(INDEX(MASTER!$A:$A,MATCH(_xlpm.pos,MASTER!$J:$J,0))&amp;"_ser_0.20_"&amp;TEXT(INDEX(MASTER!$E:$E,MATCH(_xlpm.pos,MASTER!$J:$J,0)),"mmddyy"),""),_xlpm.slot,672+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84" s="4" t="str">
        <f t="array" ref="D84">_xlfn.LET(_xlpm.pos,"Max Planck plate 8: "&amp;$A7&amp;D$2,_xlpm.normal,IFERROR(INDEX(MASTER!$A:$A,MATCH(_xlpm.pos,MASTER!$J:$J,0))&amp;"_ser_0.20_"&amp;TEXT(INDEX(MASTER!$E:$E,MATCH(_xlpm.pos,MASTER!$J:$J,0)),"mmddyy"),""),_xlpm.slot,672+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84" s="4" t="str">
        <f t="array" ref="E84">_xlfn.LET(_xlpm.pos,"Max Planck plate 8: "&amp;$A7&amp;E$2,_xlpm.normal,IFERROR(INDEX(MASTER!$A:$A,MATCH(_xlpm.pos,MASTER!$J:$J,0))&amp;"_ser_0.20_"&amp;TEXT(INDEX(MASTER!$E:$E,MATCH(_xlpm.pos,MASTER!$J:$J,0)),"mmddyy"),""),_xlpm.slot,672+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84" s="4" t="str">
        <f t="array" ref="F84">_xlfn.LET(_xlpm.pos,"Max Planck plate 8: "&amp;$A7&amp;F$2,_xlpm.normal,IFERROR(INDEX(MASTER!$A:$A,MATCH(_xlpm.pos,MASTER!$J:$J,0))&amp;"_ser_0.20_"&amp;TEXT(INDEX(MASTER!$E:$E,MATCH(_xlpm.pos,MASTER!$J:$J,0)),"mmddyy"),""),_xlpm.slot,672+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84" s="4" t="str">
        <f t="array" ref="G84">_xlfn.LET(_xlpm.pos,"Max Planck plate 8: "&amp;$A7&amp;G$2,_xlpm.normal,IFERROR(INDEX(MASTER!$A:$A,MATCH(_xlpm.pos,MASTER!$J:$J,0))&amp;"_ser_0.20_"&amp;TEXT(INDEX(MASTER!$E:$E,MATCH(_xlpm.pos,MASTER!$J:$J,0)),"mmddyy"),""),_xlpm.slot,672+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84" s="4" t="str">
        <f t="array" ref="H84">_xlfn.LET(_xlpm.pos,"Max Planck plate 8: "&amp;$A7&amp;H$2,_xlpm.normal,IFERROR(INDEX(MASTER!$A:$A,MATCH(_xlpm.pos,MASTER!$J:$J,0))&amp;"_ser_0.20_"&amp;TEXT(INDEX(MASTER!$E:$E,MATCH(_xlpm.pos,MASTER!$J:$J,0)),"mmddyy"),""),_xlpm.slot,672+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84" s="4" t="str">
        <f t="array" ref="I84">_xlfn.LET(_xlpm.pos,"Max Planck plate 8: "&amp;$A7&amp;I$2,_xlpm.normal,IFERROR(INDEX(MASTER!$A:$A,MATCH(_xlpm.pos,MASTER!$J:$J,0))&amp;"_ser_0.20_"&amp;TEXT(INDEX(MASTER!$E:$E,MATCH(_xlpm.pos,MASTER!$J:$J,0)),"mmddyy"),""),_xlpm.slot,672+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84" s="4" t="str">
        <f t="array" ref="J84">_xlfn.LET(_xlpm.pos,"Max Planck plate 8: "&amp;$A7&amp;J$2,_xlpm.normal,IFERROR(INDEX(MASTER!$A:$A,MATCH(_xlpm.pos,MASTER!$J:$J,0))&amp;"_ser_0.20_"&amp;TEXT(INDEX(MASTER!$E:$E,MATCH(_xlpm.pos,MASTER!$J:$J,0)),"mmddyy"),""),_xlpm.slot,672+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84" s="4" t="str">
        <f t="array" ref="K84">_xlfn.LET(_xlpm.pos,"Max Planck plate 8: "&amp;$A7&amp;K$2,_xlpm.normal,IFERROR(INDEX(MASTER!$A:$A,MATCH(_xlpm.pos,MASTER!$J:$J,0))&amp;"_ser_0.20_"&amp;TEXT(INDEX(MASTER!$E:$E,MATCH(_xlpm.pos,MASTER!$J:$J,0)),"mmddyy"),""),_xlpm.slot,672+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84" s="4" t="str">
        <f t="array" ref="L84">_xlfn.LET(_xlpm.pos,"Max Planck plate 8: "&amp;$A7&amp;L$2,_xlpm.normal,IFERROR(INDEX(MASTER!$A:$A,MATCH(_xlpm.pos,MASTER!$J:$J,0))&amp;"_ser_0.20_"&amp;TEXT(INDEX(MASTER!$E:$E,MATCH(_xlpm.pos,MASTER!$J:$J,0)),"mmddyy"),""),_xlpm.slot,672+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84" s="4" t="str">
        <f t="array" ref="M84">_xlfn.LET(_xlpm.pos,"Max Planck plate 8: "&amp;$A7&amp;M$2,_xlpm.normal,IFERROR(INDEX(MASTER!$A:$A,MATCH(_xlpm.pos,MASTER!$J:$J,0))&amp;"_ser_0.20_"&amp;TEXT(INDEX(MASTER!$E:$E,MATCH(_xlpm.pos,MASTER!$J:$J,0)),"mmddyy"),""),_xlpm.slot,672+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85" spans="1:13" ht="22" customHeight="1" x14ac:dyDescent="0.3">
      <c r="A85" s="6" t="s">
        <v>15</v>
      </c>
      <c r="B85" s="4" t="str">
        <f t="array" ref="B85">_xlfn.LET(_xlpm.pos,"Max Planck plate 8: "&amp;$A8&amp;B$2,_xlpm.normal,IFERROR(INDEX(MASTER!$A:$A,MATCH(_xlpm.pos,MASTER!$J:$J,0))&amp;"_ser_0.20_"&amp;TEXT(INDEX(MASTER!$E:$E,MATCH(_xlpm.pos,MASTER!$J:$J,0)),"mmddyy"),""),_xlpm.slot,672+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85" s="4" t="str">
        <f t="array" ref="C85">_xlfn.LET(_xlpm.pos,"Max Planck plate 8: "&amp;$A8&amp;C$2,_xlpm.normal,IFERROR(INDEX(MASTER!$A:$A,MATCH(_xlpm.pos,MASTER!$J:$J,0))&amp;"_ser_0.20_"&amp;TEXT(INDEX(MASTER!$E:$E,MATCH(_xlpm.pos,MASTER!$J:$J,0)),"mmddyy"),""),_xlpm.slot,672+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85" s="4" t="str">
        <f t="array" ref="D85">_xlfn.LET(_xlpm.pos,"Max Planck plate 8: "&amp;$A8&amp;D$2,_xlpm.normal,IFERROR(INDEX(MASTER!$A:$A,MATCH(_xlpm.pos,MASTER!$J:$J,0))&amp;"_ser_0.20_"&amp;TEXT(INDEX(MASTER!$E:$E,MATCH(_xlpm.pos,MASTER!$J:$J,0)),"mmddyy"),""),_xlpm.slot,672+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85" s="4" t="str">
        <f t="array" ref="E85">_xlfn.LET(_xlpm.pos,"Max Planck plate 8: "&amp;$A8&amp;E$2,_xlpm.normal,IFERROR(INDEX(MASTER!$A:$A,MATCH(_xlpm.pos,MASTER!$J:$J,0))&amp;"_ser_0.20_"&amp;TEXT(INDEX(MASTER!$E:$E,MATCH(_xlpm.pos,MASTER!$J:$J,0)),"mmddyy"),""),_xlpm.slot,672+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85" s="4" t="str">
        <f t="array" ref="F85">_xlfn.LET(_xlpm.pos,"Max Planck plate 8: "&amp;$A8&amp;F$2,_xlpm.normal,IFERROR(INDEX(MASTER!$A:$A,MATCH(_xlpm.pos,MASTER!$J:$J,0))&amp;"_ser_0.20_"&amp;TEXT(INDEX(MASTER!$E:$E,MATCH(_xlpm.pos,MASTER!$J:$J,0)),"mmddyy"),""),_xlpm.slot,672+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85" s="4" t="str">
        <f t="array" ref="G85">_xlfn.LET(_xlpm.pos,"Max Planck plate 8: "&amp;$A8&amp;G$2,_xlpm.normal,IFERROR(INDEX(MASTER!$A:$A,MATCH(_xlpm.pos,MASTER!$J:$J,0))&amp;"_ser_0.20_"&amp;TEXT(INDEX(MASTER!$E:$E,MATCH(_xlpm.pos,MASTER!$J:$J,0)),"mmddyy"),""),_xlpm.slot,672+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85" s="4" t="str">
        <f t="array" ref="H85">_xlfn.LET(_xlpm.pos,"Max Planck plate 8: "&amp;$A8&amp;H$2,_xlpm.normal,IFERROR(INDEX(MASTER!$A:$A,MATCH(_xlpm.pos,MASTER!$J:$J,0))&amp;"_ser_0.20_"&amp;TEXT(INDEX(MASTER!$E:$E,MATCH(_xlpm.pos,MASTER!$J:$J,0)),"mmddyy"),""),_xlpm.slot,672+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85" s="4" t="str">
        <f t="array" ref="I85">_xlfn.LET(_xlpm.pos,"Max Planck plate 8: "&amp;$A8&amp;I$2,_xlpm.normal,IFERROR(INDEX(MASTER!$A:$A,MATCH(_xlpm.pos,MASTER!$J:$J,0))&amp;"_ser_0.20_"&amp;TEXT(INDEX(MASTER!$E:$E,MATCH(_xlpm.pos,MASTER!$J:$J,0)),"mmddyy"),""),_xlpm.slot,672+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85" s="4" t="str">
        <f t="array" ref="J85">_xlfn.LET(_xlpm.pos,"Max Planck plate 8: "&amp;$A8&amp;J$2,_xlpm.normal,IFERROR(INDEX(MASTER!$A:$A,MATCH(_xlpm.pos,MASTER!$J:$J,0))&amp;"_ser_0.20_"&amp;TEXT(INDEX(MASTER!$E:$E,MATCH(_xlpm.pos,MASTER!$J:$J,0)),"mmddyy"),""),_xlpm.slot,672+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85" s="4" t="str">
        <f t="array" ref="K85">_xlfn.LET(_xlpm.pos,"Max Planck plate 8: "&amp;$A8&amp;K$2,_xlpm.normal,IFERROR(INDEX(MASTER!$A:$A,MATCH(_xlpm.pos,MASTER!$J:$J,0))&amp;"_ser_0.20_"&amp;TEXT(INDEX(MASTER!$E:$E,MATCH(_xlpm.pos,MASTER!$J:$J,0)),"mmddyy"),""),_xlpm.slot,672+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85" s="4" t="str">
        <f t="array" ref="L85">_xlfn.LET(_xlpm.pos,"Max Planck plate 8: "&amp;$A8&amp;L$2,_xlpm.normal,IFERROR(INDEX(MASTER!$A:$A,MATCH(_xlpm.pos,MASTER!$J:$J,0))&amp;"_ser_0.20_"&amp;TEXT(INDEX(MASTER!$E:$E,MATCH(_xlpm.pos,MASTER!$J:$J,0)),"mmddyy"),""),_xlpm.slot,672+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85" s="4" t="str">
        <f t="array" ref="M85">_xlfn.LET(_xlpm.pos,"Max Planck plate 8: "&amp;$A8&amp;M$2,_xlpm.normal,IFERROR(INDEX(MASTER!$A:$A,MATCH(_xlpm.pos,MASTER!$J:$J,0))&amp;"_ser_0.20_"&amp;TEXT(INDEX(MASTER!$E:$E,MATCH(_xlpm.pos,MASTER!$J:$J,0)),"mmddyy"),""),_xlpm.slot,672+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86" spans="1:13" ht="22" customHeight="1" x14ac:dyDescent="0.3">
      <c r="A86" s="6" t="s">
        <v>35</v>
      </c>
      <c r="B86" s="4" t="str">
        <f t="array" ref="B86">_xlfn.LET(_xlpm.pos,"Max Planck plate 8: "&amp;$A9&amp;B$2,_xlpm.normal,IFERROR(INDEX(MASTER!$A:$A,MATCH(_xlpm.pos,MASTER!$J:$J,0))&amp;"_ser_0.20_"&amp;TEXT(INDEX(MASTER!$E:$E,MATCH(_xlpm.pos,MASTER!$J:$J,0)),"mmddyy"),""),_xlpm.slot,672+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86" s="4" t="str">
        <f t="array" ref="C86">_xlfn.LET(_xlpm.pos,"Max Planck plate 8: "&amp;$A9&amp;C$2,_xlpm.normal,IFERROR(INDEX(MASTER!$A:$A,MATCH(_xlpm.pos,MASTER!$J:$J,0))&amp;"_ser_0.20_"&amp;TEXT(INDEX(MASTER!$E:$E,MATCH(_xlpm.pos,MASTER!$J:$J,0)),"mmddyy"),""),_xlpm.slot,672+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86" s="4" t="str">
        <f t="array" ref="D86">_xlfn.LET(_xlpm.pos,"Max Planck plate 8: "&amp;$A9&amp;D$2,_xlpm.normal,IFERROR(INDEX(MASTER!$A:$A,MATCH(_xlpm.pos,MASTER!$J:$J,0))&amp;"_ser_0.20_"&amp;TEXT(INDEX(MASTER!$E:$E,MATCH(_xlpm.pos,MASTER!$J:$J,0)),"mmddyy"),""),_xlpm.slot,672+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86" s="4" t="str">
        <f t="array" ref="E86">_xlfn.LET(_xlpm.pos,"Max Planck plate 8: "&amp;$A9&amp;E$2,_xlpm.normal,IFERROR(INDEX(MASTER!$A:$A,MATCH(_xlpm.pos,MASTER!$J:$J,0))&amp;"_ser_0.20_"&amp;TEXT(INDEX(MASTER!$E:$E,MATCH(_xlpm.pos,MASTER!$J:$J,0)),"mmddyy"),""),_xlpm.slot,672+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86" s="4" t="str">
        <f t="array" ref="F86">_xlfn.LET(_xlpm.pos,"Max Planck plate 8: "&amp;$A9&amp;F$2,_xlpm.normal,IFERROR(INDEX(MASTER!$A:$A,MATCH(_xlpm.pos,MASTER!$J:$J,0))&amp;"_ser_0.20_"&amp;TEXT(INDEX(MASTER!$E:$E,MATCH(_xlpm.pos,MASTER!$J:$J,0)),"mmddyy"),""),_xlpm.slot,672+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86" s="4" t="str">
        <f t="array" ref="G86">_xlfn.LET(_xlpm.pos,"Max Planck plate 8: "&amp;$A9&amp;G$2,_xlpm.normal,IFERROR(INDEX(MASTER!$A:$A,MATCH(_xlpm.pos,MASTER!$J:$J,0))&amp;"_ser_0.20_"&amp;TEXT(INDEX(MASTER!$E:$E,MATCH(_xlpm.pos,MASTER!$J:$J,0)),"mmddyy"),""),_xlpm.slot,672+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86" s="4" t="str">
        <f t="array" ref="H86">_xlfn.LET(_xlpm.pos,"Max Planck plate 8: "&amp;$A9&amp;H$2,_xlpm.normal,IFERROR(INDEX(MASTER!$A:$A,MATCH(_xlpm.pos,MASTER!$J:$J,0))&amp;"_ser_0.20_"&amp;TEXT(INDEX(MASTER!$E:$E,MATCH(_xlpm.pos,MASTER!$J:$J,0)),"mmddyy"),""),_xlpm.slot,672+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86" s="4" t="str">
        <f t="array" ref="I86">_xlfn.LET(_xlpm.pos,"Max Planck plate 8: "&amp;$A9&amp;I$2,_xlpm.normal,IFERROR(INDEX(MASTER!$A:$A,MATCH(_xlpm.pos,MASTER!$J:$J,0))&amp;"_ser_0.20_"&amp;TEXT(INDEX(MASTER!$E:$E,MATCH(_xlpm.pos,MASTER!$J:$J,0)),"mmddyy"),""),_xlpm.slot,672+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86" s="4" t="str">
        <f t="array" ref="J86">_xlfn.LET(_xlpm.pos,"Max Planck plate 8: "&amp;$A9&amp;J$2,_xlpm.normal,IFERROR(INDEX(MASTER!$A:$A,MATCH(_xlpm.pos,MASTER!$J:$J,0))&amp;"_ser_0.20_"&amp;TEXT(INDEX(MASTER!$E:$E,MATCH(_xlpm.pos,MASTER!$J:$J,0)),"mmddyy"),""),_xlpm.slot,672+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86" s="4" t="str">
        <f t="array" ref="K86">_xlfn.LET(_xlpm.pos,"Max Planck plate 8: "&amp;$A9&amp;K$2,_xlpm.normal,IFERROR(INDEX(MASTER!$A:$A,MATCH(_xlpm.pos,MASTER!$J:$J,0))&amp;"_ser_0.20_"&amp;TEXT(INDEX(MASTER!$E:$E,MATCH(_xlpm.pos,MASTER!$J:$J,0)),"mmddyy"),""),_xlpm.slot,672+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86" s="4" t="str">
        <f t="array" ref="L86">_xlfn.LET(_xlpm.pos,"Max Planck plate 8: "&amp;$A9&amp;L$2,_xlpm.normal,IFERROR(INDEX(MASTER!$A:$A,MATCH(_xlpm.pos,MASTER!$J:$J,0))&amp;"_ser_0.20_"&amp;TEXT(INDEX(MASTER!$E:$E,MATCH(_xlpm.pos,MASTER!$J:$J,0)),"mmddyy"),""),_xlpm.slot,672+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86" s="4" t="str">
        <f t="array" ref="M86">_xlfn.LET(_xlpm.pos,"Max Planck plate 8: "&amp;$A9&amp;M$2,_xlpm.normal,IFERROR(INDEX(MASTER!$A:$A,MATCH(_xlpm.pos,MASTER!$J:$J,0))&amp;"_ser_0.20_"&amp;TEXT(INDEX(MASTER!$E:$E,MATCH(_xlpm.pos,MASTER!$J:$J,0)),"mmddyy"),""),_xlpm.slot,672+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87" spans="1:13" ht="22" customHeight="1" x14ac:dyDescent="0.3">
      <c r="A87" s="6" t="s">
        <v>36</v>
      </c>
      <c r="B87" s="4" t="str">
        <f t="array" ref="B87">_xlfn.LET(_xlpm.pos,"Max Planck plate 8: "&amp;$A10&amp;B$2,_xlpm.normal,IFERROR(INDEX(MASTER!$A:$A,MATCH(_xlpm.pos,MASTER!$J:$J,0))&amp;"_ser_0.20_"&amp;TEXT(INDEX(MASTER!$E:$E,MATCH(_xlpm.pos,MASTER!$J:$J,0)),"mmddyy"),""),_xlpm.slot,672+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87" s="4" t="str">
        <f t="array" ref="C87">_xlfn.LET(_xlpm.pos,"Max Planck plate 8: "&amp;$A10&amp;C$2,_xlpm.normal,IFERROR(INDEX(MASTER!$A:$A,MATCH(_xlpm.pos,MASTER!$J:$J,0))&amp;"_ser_0.20_"&amp;TEXT(INDEX(MASTER!$E:$E,MATCH(_xlpm.pos,MASTER!$J:$J,0)),"mmddyy"),""),_xlpm.slot,672+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87" s="4" t="str">
        <f t="array" ref="D87">_xlfn.LET(_xlpm.pos,"Max Planck plate 8: "&amp;$A10&amp;D$2,_xlpm.normal,IFERROR(INDEX(MASTER!$A:$A,MATCH(_xlpm.pos,MASTER!$J:$J,0))&amp;"_ser_0.20_"&amp;TEXT(INDEX(MASTER!$E:$E,MATCH(_xlpm.pos,MASTER!$J:$J,0)),"mmddyy"),""),_xlpm.slot,672+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87" s="4" t="str">
        <f t="array" ref="E87">_xlfn.LET(_xlpm.pos,"Max Planck plate 8: "&amp;$A10&amp;E$2,_xlpm.normal,IFERROR(INDEX(MASTER!$A:$A,MATCH(_xlpm.pos,MASTER!$J:$J,0))&amp;"_ser_0.20_"&amp;TEXT(INDEX(MASTER!$E:$E,MATCH(_xlpm.pos,MASTER!$J:$J,0)),"mmddyy"),""),_xlpm.slot,672+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87" s="4" t="str">
        <f t="array" ref="F87">_xlfn.LET(_xlpm.pos,"Max Planck plate 8: "&amp;$A10&amp;F$2,_xlpm.normal,IFERROR(INDEX(MASTER!$A:$A,MATCH(_xlpm.pos,MASTER!$J:$J,0))&amp;"_ser_0.20_"&amp;TEXT(INDEX(MASTER!$E:$E,MATCH(_xlpm.pos,MASTER!$J:$J,0)),"mmddyy"),""),_xlpm.slot,672+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87" s="4" t="str">
        <f t="array" ref="G87">_xlfn.LET(_xlpm.pos,"Max Planck plate 8: "&amp;$A10&amp;G$2,_xlpm.normal,IFERROR(INDEX(MASTER!$A:$A,MATCH(_xlpm.pos,MASTER!$J:$J,0))&amp;"_ser_0.20_"&amp;TEXT(INDEX(MASTER!$E:$E,MATCH(_xlpm.pos,MASTER!$J:$J,0)),"mmddyy"),""),_xlpm.slot,672+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87" s="4" t="str">
        <f t="array" ref="H87">_xlfn.LET(_xlpm.pos,"Max Planck plate 8: "&amp;$A10&amp;H$2,_xlpm.normal,IFERROR(INDEX(MASTER!$A:$A,MATCH(_xlpm.pos,MASTER!$J:$J,0))&amp;"_ser_0.20_"&amp;TEXT(INDEX(MASTER!$E:$E,MATCH(_xlpm.pos,MASTER!$J:$J,0)),"mmddyy"),""),_xlpm.slot,672+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87" s="4" t="str">
        <f t="array" ref="I87">_xlfn.LET(_xlpm.pos,"Max Planck plate 8: "&amp;$A10&amp;I$2,_xlpm.normal,IFERROR(INDEX(MASTER!$A:$A,MATCH(_xlpm.pos,MASTER!$J:$J,0))&amp;"_ser_0.20_"&amp;TEXT(INDEX(MASTER!$E:$E,MATCH(_xlpm.pos,MASTER!$J:$J,0)),"mmddyy"),""),_xlpm.slot,672+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87" s="4" t="str">
        <f t="array" ref="J87">_xlfn.LET(_xlpm.pos,"Max Planck plate 8: "&amp;$A10&amp;J$2,_xlpm.normal,IFERROR(INDEX(MASTER!$A:$A,MATCH(_xlpm.pos,MASTER!$J:$J,0))&amp;"_ser_0.20_"&amp;TEXT(INDEX(MASTER!$E:$E,MATCH(_xlpm.pos,MASTER!$J:$J,0)),"mmddyy"),""),_xlpm.slot,672+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87" s="4" t="str">
        <f t="array" ref="K87">_xlfn.LET(_xlpm.pos,"Max Planck plate 8: "&amp;$A10&amp;K$2,_xlpm.normal,IFERROR(INDEX(MASTER!$A:$A,MATCH(_xlpm.pos,MASTER!$J:$J,0))&amp;"_ser_0.20_"&amp;TEXT(INDEX(MASTER!$E:$E,MATCH(_xlpm.pos,MASTER!$J:$J,0)),"mmddyy"),""),_xlpm.slot,672+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87" s="4" t="str">
        <f t="array" ref="L87">_xlfn.LET(_xlpm.pos,"Max Planck plate 8: "&amp;$A10&amp;L$2,_xlpm.normal,IFERROR(INDEX(MASTER!$A:$A,MATCH(_xlpm.pos,MASTER!$J:$J,0))&amp;"_ser_0.20_"&amp;TEXT(INDEX(MASTER!$E:$E,MATCH(_xlpm.pos,MASTER!$J:$J,0)),"mmddyy"),""),_xlpm.slot,672+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87" s="4" t="str">
        <f t="array" ref="M87">_xlfn.LET(_xlpm.pos,"Max Planck plate 8: "&amp;$A10&amp;M$2,_xlpm.normal,IFERROR(INDEX(MASTER!$A:$A,MATCH(_xlpm.pos,MASTER!$J:$J,0))&amp;"_ser_0.20_"&amp;TEXT(INDEX(MASTER!$E:$E,MATCH(_xlpm.pos,MASTER!$J:$J,0)),"mmddyy"),""),_xlpm.slot,672+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88" spans="1:13" ht="22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spans="1:13" ht="22" customHeight="1" x14ac:dyDescent="0.35">
      <c r="A89" s="5"/>
      <c r="B89" s="31" t="s">
        <v>86</v>
      </c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3"/>
    </row>
    <row r="90" spans="1:13" ht="22" customHeight="1" x14ac:dyDescent="0.3">
      <c r="A90" s="5"/>
      <c r="B90" s="6">
        <v>1</v>
      </c>
      <c r="C90" s="6">
        <v>2</v>
      </c>
      <c r="D90" s="6">
        <v>3</v>
      </c>
      <c r="E90" s="6">
        <v>4</v>
      </c>
      <c r="F90" s="6">
        <v>5</v>
      </c>
      <c r="G90" s="6">
        <v>6</v>
      </c>
      <c r="H90" s="6">
        <v>7</v>
      </c>
      <c r="I90" s="6">
        <v>8</v>
      </c>
      <c r="J90" s="6">
        <v>9</v>
      </c>
      <c r="K90" s="6">
        <v>10</v>
      </c>
      <c r="L90" s="6">
        <v>11</v>
      </c>
      <c r="M90" s="6">
        <v>12</v>
      </c>
    </row>
    <row r="91" spans="1:13" ht="22" customHeight="1" x14ac:dyDescent="0.3">
      <c r="A91" s="6" t="s">
        <v>30</v>
      </c>
      <c r="B91" s="4" t="str">
        <f t="array" ref="B91">_xlfn.LET(_xlpm.pos,"Max Planck plate 9: "&amp;$A3&amp;B$2,_xlpm.normal,IFERROR(INDEX(MASTER!$A:$A,MATCH(_xlpm.pos,MASTER!$J:$J,0))&amp;"_ser_0.20_"&amp;TEXT(INDEX(MASTER!$E:$E,MATCH(_xlpm.pos,MASTER!$J:$J,0)),"mmddyy"),""),_xlpm.slot,768+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91" s="4" t="str">
        <f t="array" ref="C91">_xlfn.LET(_xlpm.pos,"Max Planck plate 9: "&amp;$A3&amp;C$2,_xlpm.normal,IFERROR(INDEX(MASTER!$A:$A,MATCH(_xlpm.pos,MASTER!$J:$J,0))&amp;"_ser_0.20_"&amp;TEXT(INDEX(MASTER!$E:$E,MATCH(_xlpm.pos,MASTER!$J:$J,0)),"mmddyy"),""),_xlpm.slot,768+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91" s="4" t="str">
        <f t="array" ref="D91">_xlfn.LET(_xlpm.pos,"Max Planck plate 9: "&amp;$A3&amp;D$2,_xlpm.normal,IFERROR(INDEX(MASTER!$A:$A,MATCH(_xlpm.pos,MASTER!$J:$J,0))&amp;"_ser_0.20_"&amp;TEXT(INDEX(MASTER!$E:$E,MATCH(_xlpm.pos,MASTER!$J:$J,0)),"mmddyy"),""),_xlpm.slot,768+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91" s="4" t="str">
        <f t="array" ref="E91">_xlfn.LET(_xlpm.pos,"Max Planck plate 9: "&amp;$A3&amp;E$2,_xlpm.normal,IFERROR(INDEX(MASTER!$A:$A,MATCH(_xlpm.pos,MASTER!$J:$J,0))&amp;"_ser_0.20_"&amp;TEXT(INDEX(MASTER!$E:$E,MATCH(_xlpm.pos,MASTER!$J:$J,0)),"mmddyy"),""),_xlpm.slot,768+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91" s="4" t="str">
        <f t="array" ref="F91">_xlfn.LET(_xlpm.pos,"Max Planck plate 9: "&amp;$A3&amp;F$2,_xlpm.normal,IFERROR(INDEX(MASTER!$A:$A,MATCH(_xlpm.pos,MASTER!$J:$J,0))&amp;"_ser_0.20_"&amp;TEXT(INDEX(MASTER!$E:$E,MATCH(_xlpm.pos,MASTER!$J:$J,0)),"mmddyy"),""),_xlpm.slot,768+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91" s="4" t="str">
        <f t="array" ref="G91">_xlfn.LET(_xlpm.pos,"Max Planck plate 9: "&amp;$A3&amp;G$2,_xlpm.normal,IFERROR(INDEX(MASTER!$A:$A,MATCH(_xlpm.pos,MASTER!$J:$J,0))&amp;"_ser_0.20_"&amp;TEXT(INDEX(MASTER!$E:$E,MATCH(_xlpm.pos,MASTER!$J:$J,0)),"mmddyy"),""),_xlpm.slot,768+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91" s="4" t="str">
        <f t="array" ref="H91">_xlfn.LET(_xlpm.pos,"Max Planck plate 9: "&amp;$A3&amp;H$2,_xlpm.normal,IFERROR(INDEX(MASTER!$A:$A,MATCH(_xlpm.pos,MASTER!$J:$J,0))&amp;"_ser_0.20_"&amp;TEXT(INDEX(MASTER!$E:$E,MATCH(_xlpm.pos,MASTER!$J:$J,0)),"mmddyy"),""),_xlpm.slot,768+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91" s="4" t="str">
        <f t="array" ref="I91">_xlfn.LET(_xlpm.pos,"Max Planck plate 9: "&amp;$A3&amp;I$2,_xlpm.normal,IFERROR(INDEX(MASTER!$A:$A,MATCH(_xlpm.pos,MASTER!$J:$J,0))&amp;"_ser_0.20_"&amp;TEXT(INDEX(MASTER!$E:$E,MATCH(_xlpm.pos,MASTER!$J:$J,0)),"mmddyy"),""),_xlpm.slot,768+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91" s="4" t="str">
        <f t="array" ref="J91">_xlfn.LET(_xlpm.pos,"Max Planck plate 9: "&amp;$A3&amp;J$2,_xlpm.normal,IFERROR(INDEX(MASTER!$A:$A,MATCH(_xlpm.pos,MASTER!$J:$J,0))&amp;"_ser_0.20_"&amp;TEXT(INDEX(MASTER!$E:$E,MATCH(_xlpm.pos,MASTER!$J:$J,0)),"mmddyy"),""),_xlpm.slot,768+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91" s="4" t="str">
        <f t="array" ref="K91">_xlfn.LET(_xlpm.pos,"Max Planck plate 9: "&amp;$A3&amp;K$2,_xlpm.normal,IFERROR(INDEX(MASTER!$A:$A,MATCH(_xlpm.pos,MASTER!$J:$J,0))&amp;"_ser_0.20_"&amp;TEXT(INDEX(MASTER!$E:$E,MATCH(_xlpm.pos,MASTER!$J:$J,0)),"mmddyy"),""),_xlpm.slot,768+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91" s="4" t="str">
        <f t="array" ref="L91">_xlfn.LET(_xlpm.pos,"Max Planck plate 9: "&amp;$A3&amp;L$2,_xlpm.normal,IFERROR(INDEX(MASTER!$A:$A,MATCH(_xlpm.pos,MASTER!$J:$J,0))&amp;"_ser_0.20_"&amp;TEXT(INDEX(MASTER!$E:$E,MATCH(_xlpm.pos,MASTER!$J:$J,0)),"mmddyy"),""),_xlpm.slot,768+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91" s="4" t="str">
        <f t="array" ref="M91">_xlfn.LET(_xlpm.pos,"Max Planck plate 9: "&amp;$A3&amp;M$2,_xlpm.normal,IFERROR(INDEX(MASTER!$A:$A,MATCH(_xlpm.pos,MASTER!$J:$J,0))&amp;"_ser_0.20_"&amp;TEXT(INDEX(MASTER!$E:$E,MATCH(_xlpm.pos,MASTER!$J:$J,0)),"mmddyy"),""),_xlpm.slot,768+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92" spans="1:13" ht="22" customHeight="1" x14ac:dyDescent="0.3">
      <c r="A92" s="6" t="s">
        <v>31</v>
      </c>
      <c r="B92" s="4" t="str">
        <f t="array" ref="B92">_xlfn.LET(_xlpm.pos,"Max Planck plate 9: "&amp;$A4&amp;B$2,_xlpm.normal,IFERROR(INDEX(MASTER!$A:$A,MATCH(_xlpm.pos,MASTER!$J:$J,0))&amp;"_ser_0.20_"&amp;TEXT(INDEX(MASTER!$E:$E,MATCH(_xlpm.pos,MASTER!$J:$J,0)),"mmddyy"),""),_xlpm.slot,768+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92" s="4" t="str">
        <f t="array" ref="C92">_xlfn.LET(_xlpm.pos,"Max Planck plate 9: "&amp;$A4&amp;C$2,_xlpm.normal,IFERROR(INDEX(MASTER!$A:$A,MATCH(_xlpm.pos,MASTER!$J:$J,0))&amp;"_ser_0.20_"&amp;TEXT(INDEX(MASTER!$E:$E,MATCH(_xlpm.pos,MASTER!$J:$J,0)),"mmddyy"),""),_xlpm.slot,768+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92" s="4" t="str">
        <f t="array" ref="D92">_xlfn.LET(_xlpm.pos,"Max Planck plate 9: "&amp;$A4&amp;D$2,_xlpm.normal,IFERROR(INDEX(MASTER!$A:$A,MATCH(_xlpm.pos,MASTER!$J:$J,0))&amp;"_ser_0.20_"&amp;TEXT(INDEX(MASTER!$E:$E,MATCH(_xlpm.pos,MASTER!$J:$J,0)),"mmddyy"),""),_xlpm.slot,768+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92" s="4" t="str">
        <f t="array" ref="E92">_xlfn.LET(_xlpm.pos,"Max Planck plate 9: "&amp;$A4&amp;E$2,_xlpm.normal,IFERROR(INDEX(MASTER!$A:$A,MATCH(_xlpm.pos,MASTER!$J:$J,0))&amp;"_ser_0.20_"&amp;TEXT(INDEX(MASTER!$E:$E,MATCH(_xlpm.pos,MASTER!$J:$J,0)),"mmddyy"),""),_xlpm.slot,768+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92" s="4" t="str">
        <f t="array" ref="F92">_xlfn.LET(_xlpm.pos,"Max Planck plate 9: "&amp;$A4&amp;F$2,_xlpm.normal,IFERROR(INDEX(MASTER!$A:$A,MATCH(_xlpm.pos,MASTER!$J:$J,0))&amp;"_ser_0.20_"&amp;TEXT(INDEX(MASTER!$E:$E,MATCH(_xlpm.pos,MASTER!$J:$J,0)),"mmddyy"),""),_xlpm.slot,768+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92" s="4" t="str">
        <f t="array" ref="G92">_xlfn.LET(_xlpm.pos,"Max Planck plate 9: "&amp;$A4&amp;G$2,_xlpm.normal,IFERROR(INDEX(MASTER!$A:$A,MATCH(_xlpm.pos,MASTER!$J:$J,0))&amp;"_ser_0.20_"&amp;TEXT(INDEX(MASTER!$E:$E,MATCH(_xlpm.pos,MASTER!$J:$J,0)),"mmddyy"),""),_xlpm.slot,768+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92" s="4" t="str">
        <f t="array" ref="H92">_xlfn.LET(_xlpm.pos,"Max Planck plate 9: "&amp;$A4&amp;H$2,_xlpm.normal,IFERROR(INDEX(MASTER!$A:$A,MATCH(_xlpm.pos,MASTER!$J:$J,0))&amp;"_ser_0.20_"&amp;TEXT(INDEX(MASTER!$E:$E,MATCH(_xlpm.pos,MASTER!$J:$J,0)),"mmddyy"),""),_xlpm.slot,768+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92" s="4" t="str">
        <f t="array" ref="I92">_xlfn.LET(_xlpm.pos,"Max Planck plate 9: "&amp;$A4&amp;I$2,_xlpm.normal,IFERROR(INDEX(MASTER!$A:$A,MATCH(_xlpm.pos,MASTER!$J:$J,0))&amp;"_ser_0.20_"&amp;TEXT(INDEX(MASTER!$E:$E,MATCH(_xlpm.pos,MASTER!$J:$J,0)),"mmddyy"),""),_xlpm.slot,768+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92" s="4" t="str">
        <f t="array" ref="J92">_xlfn.LET(_xlpm.pos,"Max Planck plate 9: "&amp;$A4&amp;J$2,_xlpm.normal,IFERROR(INDEX(MASTER!$A:$A,MATCH(_xlpm.pos,MASTER!$J:$J,0))&amp;"_ser_0.20_"&amp;TEXT(INDEX(MASTER!$E:$E,MATCH(_xlpm.pos,MASTER!$J:$J,0)),"mmddyy"),""),_xlpm.slot,768+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92" s="4" t="str">
        <f t="array" ref="K92">_xlfn.LET(_xlpm.pos,"Max Planck plate 9: "&amp;$A4&amp;K$2,_xlpm.normal,IFERROR(INDEX(MASTER!$A:$A,MATCH(_xlpm.pos,MASTER!$J:$J,0))&amp;"_ser_0.20_"&amp;TEXT(INDEX(MASTER!$E:$E,MATCH(_xlpm.pos,MASTER!$J:$J,0)),"mmddyy"),""),_xlpm.slot,768+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92" s="4" t="str">
        <f t="array" ref="L92">_xlfn.LET(_xlpm.pos,"Max Planck plate 9: "&amp;$A4&amp;L$2,_xlpm.normal,IFERROR(INDEX(MASTER!$A:$A,MATCH(_xlpm.pos,MASTER!$J:$J,0))&amp;"_ser_0.20_"&amp;TEXT(INDEX(MASTER!$E:$E,MATCH(_xlpm.pos,MASTER!$J:$J,0)),"mmddyy"),""),_xlpm.slot,768+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92" s="4" t="str">
        <f t="array" ref="M92">_xlfn.LET(_xlpm.pos,"Max Planck plate 9: "&amp;$A4&amp;M$2,_xlpm.normal,IFERROR(INDEX(MASTER!$A:$A,MATCH(_xlpm.pos,MASTER!$J:$J,0))&amp;"_ser_0.20_"&amp;TEXT(INDEX(MASTER!$E:$E,MATCH(_xlpm.pos,MASTER!$J:$J,0)),"mmddyy"),""),_xlpm.slot,768+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93" spans="1:13" ht="22" customHeight="1" x14ac:dyDescent="0.3">
      <c r="A93" s="6" t="s">
        <v>32</v>
      </c>
      <c r="B93" s="4" t="str">
        <f t="array" ref="B93">_xlfn.LET(_xlpm.pos,"Max Planck plate 9: "&amp;$A5&amp;B$2,_xlpm.normal,IFERROR(INDEX(MASTER!$A:$A,MATCH(_xlpm.pos,MASTER!$J:$J,0))&amp;"_ser_0.20_"&amp;TEXT(INDEX(MASTER!$E:$E,MATCH(_xlpm.pos,MASTER!$J:$J,0)),"mmddyy"),""),_xlpm.slot,768+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93" s="4" t="str">
        <f t="array" ref="C93">_xlfn.LET(_xlpm.pos,"Max Planck plate 9: "&amp;$A5&amp;C$2,_xlpm.normal,IFERROR(INDEX(MASTER!$A:$A,MATCH(_xlpm.pos,MASTER!$J:$J,0))&amp;"_ser_0.20_"&amp;TEXT(INDEX(MASTER!$E:$E,MATCH(_xlpm.pos,MASTER!$J:$J,0)),"mmddyy"),""),_xlpm.slot,768+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93" s="4" t="str">
        <f t="array" ref="D93">_xlfn.LET(_xlpm.pos,"Max Planck plate 9: "&amp;$A5&amp;D$2,_xlpm.normal,IFERROR(INDEX(MASTER!$A:$A,MATCH(_xlpm.pos,MASTER!$J:$J,0))&amp;"_ser_0.20_"&amp;TEXT(INDEX(MASTER!$E:$E,MATCH(_xlpm.pos,MASTER!$J:$J,0)),"mmddyy"),""),_xlpm.slot,768+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93" s="4" t="str">
        <f t="array" ref="E93">_xlfn.LET(_xlpm.pos,"Max Planck plate 9: "&amp;$A5&amp;E$2,_xlpm.normal,IFERROR(INDEX(MASTER!$A:$A,MATCH(_xlpm.pos,MASTER!$J:$J,0))&amp;"_ser_0.20_"&amp;TEXT(INDEX(MASTER!$E:$E,MATCH(_xlpm.pos,MASTER!$J:$J,0)),"mmddyy"),""),_xlpm.slot,768+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93" s="4" t="str">
        <f t="array" ref="F93">_xlfn.LET(_xlpm.pos,"Max Planck plate 9: "&amp;$A5&amp;F$2,_xlpm.normal,IFERROR(INDEX(MASTER!$A:$A,MATCH(_xlpm.pos,MASTER!$J:$J,0))&amp;"_ser_0.20_"&amp;TEXT(INDEX(MASTER!$E:$E,MATCH(_xlpm.pos,MASTER!$J:$J,0)),"mmddyy"),""),_xlpm.slot,768+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93" s="4" t="str">
        <f t="array" ref="G93">_xlfn.LET(_xlpm.pos,"Max Planck plate 9: "&amp;$A5&amp;G$2,_xlpm.normal,IFERROR(INDEX(MASTER!$A:$A,MATCH(_xlpm.pos,MASTER!$J:$J,0))&amp;"_ser_0.20_"&amp;TEXT(INDEX(MASTER!$E:$E,MATCH(_xlpm.pos,MASTER!$J:$J,0)),"mmddyy"),""),_xlpm.slot,768+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93" s="4" t="str">
        <f t="array" ref="H93">_xlfn.LET(_xlpm.pos,"Max Planck plate 9: "&amp;$A5&amp;H$2,_xlpm.normal,IFERROR(INDEX(MASTER!$A:$A,MATCH(_xlpm.pos,MASTER!$J:$J,0))&amp;"_ser_0.20_"&amp;TEXT(INDEX(MASTER!$E:$E,MATCH(_xlpm.pos,MASTER!$J:$J,0)),"mmddyy"),""),_xlpm.slot,768+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93" s="4" t="str">
        <f t="array" ref="I93">_xlfn.LET(_xlpm.pos,"Max Planck plate 9: "&amp;$A5&amp;I$2,_xlpm.normal,IFERROR(INDEX(MASTER!$A:$A,MATCH(_xlpm.pos,MASTER!$J:$J,0))&amp;"_ser_0.20_"&amp;TEXT(INDEX(MASTER!$E:$E,MATCH(_xlpm.pos,MASTER!$J:$J,0)),"mmddyy"),""),_xlpm.slot,768+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93" s="4" t="str">
        <f t="array" ref="J93">_xlfn.LET(_xlpm.pos,"Max Planck plate 9: "&amp;$A5&amp;J$2,_xlpm.normal,IFERROR(INDEX(MASTER!$A:$A,MATCH(_xlpm.pos,MASTER!$J:$J,0))&amp;"_ser_0.20_"&amp;TEXT(INDEX(MASTER!$E:$E,MATCH(_xlpm.pos,MASTER!$J:$J,0)),"mmddyy"),""),_xlpm.slot,768+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93" s="4" t="str">
        <f t="array" ref="K93">_xlfn.LET(_xlpm.pos,"Max Planck plate 9: "&amp;$A5&amp;K$2,_xlpm.normal,IFERROR(INDEX(MASTER!$A:$A,MATCH(_xlpm.pos,MASTER!$J:$J,0))&amp;"_ser_0.20_"&amp;TEXT(INDEX(MASTER!$E:$E,MATCH(_xlpm.pos,MASTER!$J:$J,0)),"mmddyy"),""),_xlpm.slot,768+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93" s="4" t="str">
        <f t="array" ref="L93">_xlfn.LET(_xlpm.pos,"Max Planck plate 9: "&amp;$A5&amp;L$2,_xlpm.normal,IFERROR(INDEX(MASTER!$A:$A,MATCH(_xlpm.pos,MASTER!$J:$J,0))&amp;"_ser_0.20_"&amp;TEXT(INDEX(MASTER!$E:$E,MATCH(_xlpm.pos,MASTER!$J:$J,0)),"mmddyy"),""),_xlpm.slot,768+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93" s="4" t="str">
        <f t="array" ref="M93">_xlfn.LET(_xlpm.pos,"Max Planck plate 9: "&amp;$A5&amp;M$2,_xlpm.normal,IFERROR(INDEX(MASTER!$A:$A,MATCH(_xlpm.pos,MASTER!$J:$J,0))&amp;"_ser_0.20_"&amp;TEXT(INDEX(MASTER!$E:$E,MATCH(_xlpm.pos,MASTER!$J:$J,0)),"mmddyy"),""),_xlpm.slot,768+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94" spans="1:13" ht="22" customHeight="1" x14ac:dyDescent="0.3">
      <c r="A94" s="6" t="s">
        <v>33</v>
      </c>
      <c r="B94" s="4" t="str">
        <f t="array" ref="B94">_xlfn.LET(_xlpm.pos,"Max Planck plate 9: "&amp;$A6&amp;B$2,_xlpm.normal,IFERROR(INDEX(MASTER!$A:$A,MATCH(_xlpm.pos,MASTER!$J:$J,0))&amp;"_ser_0.20_"&amp;TEXT(INDEX(MASTER!$E:$E,MATCH(_xlpm.pos,MASTER!$J:$J,0)),"mmddyy"),""),_xlpm.slot,768+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94" s="4" t="str">
        <f t="array" ref="C94">_xlfn.LET(_xlpm.pos,"Max Planck plate 9: "&amp;$A6&amp;C$2,_xlpm.normal,IFERROR(INDEX(MASTER!$A:$A,MATCH(_xlpm.pos,MASTER!$J:$J,0))&amp;"_ser_0.20_"&amp;TEXT(INDEX(MASTER!$E:$E,MATCH(_xlpm.pos,MASTER!$J:$J,0)),"mmddyy"),""),_xlpm.slot,768+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94" s="4" t="str">
        <f t="array" ref="D94">_xlfn.LET(_xlpm.pos,"Max Planck plate 9: "&amp;$A6&amp;D$2,_xlpm.normal,IFERROR(INDEX(MASTER!$A:$A,MATCH(_xlpm.pos,MASTER!$J:$J,0))&amp;"_ser_0.20_"&amp;TEXT(INDEX(MASTER!$E:$E,MATCH(_xlpm.pos,MASTER!$J:$J,0)),"mmddyy"),""),_xlpm.slot,768+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94" s="4" t="str">
        <f t="array" ref="E94">_xlfn.LET(_xlpm.pos,"Max Planck plate 9: "&amp;$A6&amp;E$2,_xlpm.normal,IFERROR(INDEX(MASTER!$A:$A,MATCH(_xlpm.pos,MASTER!$J:$J,0))&amp;"_ser_0.20_"&amp;TEXT(INDEX(MASTER!$E:$E,MATCH(_xlpm.pos,MASTER!$J:$J,0)),"mmddyy"),""),_xlpm.slot,768+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94" s="4" t="str">
        <f t="array" ref="F94">_xlfn.LET(_xlpm.pos,"Max Planck plate 9: "&amp;$A6&amp;F$2,_xlpm.normal,IFERROR(INDEX(MASTER!$A:$A,MATCH(_xlpm.pos,MASTER!$J:$J,0))&amp;"_ser_0.20_"&amp;TEXT(INDEX(MASTER!$E:$E,MATCH(_xlpm.pos,MASTER!$J:$J,0)),"mmddyy"),""),_xlpm.slot,768+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94" s="4" t="str">
        <f t="array" ref="G94">_xlfn.LET(_xlpm.pos,"Max Planck plate 9: "&amp;$A6&amp;G$2,_xlpm.normal,IFERROR(INDEX(MASTER!$A:$A,MATCH(_xlpm.pos,MASTER!$J:$J,0))&amp;"_ser_0.20_"&amp;TEXT(INDEX(MASTER!$E:$E,MATCH(_xlpm.pos,MASTER!$J:$J,0)),"mmddyy"),""),_xlpm.slot,768+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94" s="4" t="str">
        <f t="array" ref="H94">_xlfn.LET(_xlpm.pos,"Max Planck plate 9: "&amp;$A6&amp;H$2,_xlpm.normal,IFERROR(INDEX(MASTER!$A:$A,MATCH(_xlpm.pos,MASTER!$J:$J,0))&amp;"_ser_0.20_"&amp;TEXT(INDEX(MASTER!$E:$E,MATCH(_xlpm.pos,MASTER!$J:$J,0)),"mmddyy"),""),_xlpm.slot,768+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94" s="4" t="str">
        <f t="array" ref="I94">_xlfn.LET(_xlpm.pos,"Max Planck plate 9: "&amp;$A6&amp;I$2,_xlpm.normal,IFERROR(INDEX(MASTER!$A:$A,MATCH(_xlpm.pos,MASTER!$J:$J,0))&amp;"_ser_0.20_"&amp;TEXT(INDEX(MASTER!$E:$E,MATCH(_xlpm.pos,MASTER!$J:$J,0)),"mmddyy"),""),_xlpm.slot,768+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94" s="4" t="str">
        <f t="array" ref="J94">_xlfn.LET(_xlpm.pos,"Max Planck plate 9: "&amp;$A6&amp;J$2,_xlpm.normal,IFERROR(INDEX(MASTER!$A:$A,MATCH(_xlpm.pos,MASTER!$J:$J,0))&amp;"_ser_0.20_"&amp;TEXT(INDEX(MASTER!$E:$E,MATCH(_xlpm.pos,MASTER!$J:$J,0)),"mmddyy"),""),_xlpm.slot,768+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94" s="4" t="str">
        <f t="array" ref="K94">_xlfn.LET(_xlpm.pos,"Max Planck plate 9: "&amp;$A6&amp;K$2,_xlpm.normal,IFERROR(INDEX(MASTER!$A:$A,MATCH(_xlpm.pos,MASTER!$J:$J,0))&amp;"_ser_0.20_"&amp;TEXT(INDEX(MASTER!$E:$E,MATCH(_xlpm.pos,MASTER!$J:$J,0)),"mmddyy"),""),_xlpm.slot,768+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94" s="4" t="str">
        <f t="array" ref="L94">_xlfn.LET(_xlpm.pos,"Max Planck plate 9: "&amp;$A6&amp;L$2,_xlpm.normal,IFERROR(INDEX(MASTER!$A:$A,MATCH(_xlpm.pos,MASTER!$J:$J,0))&amp;"_ser_0.20_"&amp;TEXT(INDEX(MASTER!$E:$E,MATCH(_xlpm.pos,MASTER!$J:$J,0)),"mmddyy"),""),_xlpm.slot,768+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94" s="4" t="str">
        <f t="array" ref="M94">_xlfn.LET(_xlpm.pos,"Max Planck plate 9: "&amp;$A6&amp;M$2,_xlpm.normal,IFERROR(INDEX(MASTER!$A:$A,MATCH(_xlpm.pos,MASTER!$J:$J,0))&amp;"_ser_0.20_"&amp;TEXT(INDEX(MASTER!$E:$E,MATCH(_xlpm.pos,MASTER!$J:$J,0)),"mmddyy"),""),_xlpm.slot,768+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95" spans="1:13" ht="22" customHeight="1" x14ac:dyDescent="0.3">
      <c r="A95" s="6" t="s">
        <v>34</v>
      </c>
      <c r="B95" s="4" t="str">
        <f t="array" ref="B95">_xlfn.LET(_xlpm.pos,"Max Planck plate 9: "&amp;$A7&amp;B$2,_xlpm.normal,IFERROR(INDEX(MASTER!$A:$A,MATCH(_xlpm.pos,MASTER!$J:$J,0))&amp;"_ser_0.20_"&amp;TEXT(INDEX(MASTER!$E:$E,MATCH(_xlpm.pos,MASTER!$J:$J,0)),"mmddyy"),""),_xlpm.slot,768+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95" s="4" t="str">
        <f t="array" ref="C95">_xlfn.LET(_xlpm.pos,"Max Planck plate 9: "&amp;$A7&amp;C$2,_xlpm.normal,IFERROR(INDEX(MASTER!$A:$A,MATCH(_xlpm.pos,MASTER!$J:$J,0))&amp;"_ser_0.20_"&amp;TEXT(INDEX(MASTER!$E:$E,MATCH(_xlpm.pos,MASTER!$J:$J,0)),"mmddyy"),""),_xlpm.slot,768+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95" s="4" t="str">
        <f t="array" ref="D95">_xlfn.LET(_xlpm.pos,"Max Planck plate 9: "&amp;$A7&amp;D$2,_xlpm.normal,IFERROR(INDEX(MASTER!$A:$A,MATCH(_xlpm.pos,MASTER!$J:$J,0))&amp;"_ser_0.20_"&amp;TEXT(INDEX(MASTER!$E:$E,MATCH(_xlpm.pos,MASTER!$J:$J,0)),"mmddyy"),""),_xlpm.slot,768+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95" s="4" t="str">
        <f t="array" ref="E95">_xlfn.LET(_xlpm.pos,"Max Planck plate 9: "&amp;$A7&amp;E$2,_xlpm.normal,IFERROR(INDEX(MASTER!$A:$A,MATCH(_xlpm.pos,MASTER!$J:$J,0))&amp;"_ser_0.20_"&amp;TEXT(INDEX(MASTER!$E:$E,MATCH(_xlpm.pos,MASTER!$J:$J,0)),"mmddyy"),""),_xlpm.slot,768+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95" s="4" t="str">
        <f t="array" ref="F95">_xlfn.LET(_xlpm.pos,"Max Planck plate 9: "&amp;$A7&amp;F$2,_xlpm.normal,IFERROR(INDEX(MASTER!$A:$A,MATCH(_xlpm.pos,MASTER!$J:$J,0))&amp;"_ser_0.20_"&amp;TEXT(INDEX(MASTER!$E:$E,MATCH(_xlpm.pos,MASTER!$J:$J,0)),"mmddyy"),""),_xlpm.slot,768+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95" s="4" t="str">
        <f t="array" ref="G95">_xlfn.LET(_xlpm.pos,"Max Planck plate 9: "&amp;$A7&amp;G$2,_xlpm.normal,IFERROR(INDEX(MASTER!$A:$A,MATCH(_xlpm.pos,MASTER!$J:$J,0))&amp;"_ser_0.20_"&amp;TEXT(INDEX(MASTER!$E:$E,MATCH(_xlpm.pos,MASTER!$J:$J,0)),"mmddyy"),""),_xlpm.slot,768+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95" s="4" t="str">
        <f t="array" ref="H95">_xlfn.LET(_xlpm.pos,"Max Planck plate 9: "&amp;$A7&amp;H$2,_xlpm.normal,IFERROR(INDEX(MASTER!$A:$A,MATCH(_xlpm.pos,MASTER!$J:$J,0))&amp;"_ser_0.20_"&amp;TEXT(INDEX(MASTER!$E:$E,MATCH(_xlpm.pos,MASTER!$J:$J,0)),"mmddyy"),""),_xlpm.slot,768+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95" s="4" t="str">
        <f t="array" ref="I95">_xlfn.LET(_xlpm.pos,"Max Planck plate 9: "&amp;$A7&amp;I$2,_xlpm.normal,IFERROR(INDEX(MASTER!$A:$A,MATCH(_xlpm.pos,MASTER!$J:$J,0))&amp;"_ser_0.20_"&amp;TEXT(INDEX(MASTER!$E:$E,MATCH(_xlpm.pos,MASTER!$J:$J,0)),"mmddyy"),""),_xlpm.slot,768+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95" s="4" t="str">
        <f t="array" ref="J95">_xlfn.LET(_xlpm.pos,"Max Planck plate 9: "&amp;$A7&amp;J$2,_xlpm.normal,IFERROR(INDEX(MASTER!$A:$A,MATCH(_xlpm.pos,MASTER!$J:$J,0))&amp;"_ser_0.20_"&amp;TEXT(INDEX(MASTER!$E:$E,MATCH(_xlpm.pos,MASTER!$J:$J,0)),"mmddyy"),""),_xlpm.slot,768+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95" s="4" t="str">
        <f t="array" ref="K95">_xlfn.LET(_xlpm.pos,"Max Planck plate 9: "&amp;$A7&amp;K$2,_xlpm.normal,IFERROR(INDEX(MASTER!$A:$A,MATCH(_xlpm.pos,MASTER!$J:$J,0))&amp;"_ser_0.20_"&amp;TEXT(INDEX(MASTER!$E:$E,MATCH(_xlpm.pos,MASTER!$J:$J,0)),"mmddyy"),""),_xlpm.slot,768+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95" s="4" t="str">
        <f t="array" ref="L95">_xlfn.LET(_xlpm.pos,"Max Planck plate 9: "&amp;$A7&amp;L$2,_xlpm.normal,IFERROR(INDEX(MASTER!$A:$A,MATCH(_xlpm.pos,MASTER!$J:$J,0))&amp;"_ser_0.20_"&amp;TEXT(INDEX(MASTER!$E:$E,MATCH(_xlpm.pos,MASTER!$J:$J,0)),"mmddyy"),""),_xlpm.slot,768+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95" s="4" t="str">
        <f t="array" ref="M95">_xlfn.LET(_xlpm.pos,"Max Planck plate 9: "&amp;$A7&amp;M$2,_xlpm.normal,IFERROR(INDEX(MASTER!$A:$A,MATCH(_xlpm.pos,MASTER!$J:$J,0))&amp;"_ser_0.20_"&amp;TEXT(INDEX(MASTER!$E:$E,MATCH(_xlpm.pos,MASTER!$J:$J,0)),"mmddyy"),""),_xlpm.slot,768+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96" spans="1:13" ht="22" customHeight="1" x14ac:dyDescent="0.3">
      <c r="A96" s="6" t="s">
        <v>15</v>
      </c>
      <c r="B96" s="4" t="str">
        <f t="array" ref="B96">_xlfn.LET(_xlpm.pos,"Max Planck plate 9: "&amp;$A8&amp;B$2,_xlpm.normal,IFERROR(INDEX(MASTER!$A:$A,MATCH(_xlpm.pos,MASTER!$J:$J,0))&amp;"_ser_0.20_"&amp;TEXT(INDEX(MASTER!$E:$E,MATCH(_xlpm.pos,MASTER!$J:$J,0)),"mmddyy"),""),_xlpm.slot,768+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96" s="4" t="str">
        <f t="array" ref="C96">_xlfn.LET(_xlpm.pos,"Max Planck plate 9: "&amp;$A8&amp;C$2,_xlpm.normal,IFERROR(INDEX(MASTER!$A:$A,MATCH(_xlpm.pos,MASTER!$J:$J,0))&amp;"_ser_0.20_"&amp;TEXT(INDEX(MASTER!$E:$E,MATCH(_xlpm.pos,MASTER!$J:$J,0)),"mmddyy"),""),_xlpm.slot,768+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96" s="4" t="str">
        <f t="array" ref="D96">_xlfn.LET(_xlpm.pos,"Max Planck plate 9: "&amp;$A8&amp;D$2,_xlpm.normal,IFERROR(INDEX(MASTER!$A:$A,MATCH(_xlpm.pos,MASTER!$J:$J,0))&amp;"_ser_0.20_"&amp;TEXT(INDEX(MASTER!$E:$E,MATCH(_xlpm.pos,MASTER!$J:$J,0)),"mmddyy"),""),_xlpm.slot,768+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96" s="4" t="str">
        <f t="array" ref="E96">_xlfn.LET(_xlpm.pos,"Max Planck plate 9: "&amp;$A8&amp;E$2,_xlpm.normal,IFERROR(INDEX(MASTER!$A:$A,MATCH(_xlpm.pos,MASTER!$J:$J,0))&amp;"_ser_0.20_"&amp;TEXT(INDEX(MASTER!$E:$E,MATCH(_xlpm.pos,MASTER!$J:$J,0)),"mmddyy"),""),_xlpm.slot,768+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96" s="4" t="str">
        <f t="array" ref="F96">_xlfn.LET(_xlpm.pos,"Max Planck plate 9: "&amp;$A8&amp;F$2,_xlpm.normal,IFERROR(INDEX(MASTER!$A:$A,MATCH(_xlpm.pos,MASTER!$J:$J,0))&amp;"_ser_0.20_"&amp;TEXT(INDEX(MASTER!$E:$E,MATCH(_xlpm.pos,MASTER!$J:$J,0)),"mmddyy"),""),_xlpm.slot,768+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96" s="4" t="str">
        <f t="array" ref="G96">_xlfn.LET(_xlpm.pos,"Max Planck plate 9: "&amp;$A8&amp;G$2,_xlpm.normal,IFERROR(INDEX(MASTER!$A:$A,MATCH(_xlpm.pos,MASTER!$J:$J,0))&amp;"_ser_0.20_"&amp;TEXT(INDEX(MASTER!$E:$E,MATCH(_xlpm.pos,MASTER!$J:$J,0)),"mmddyy"),""),_xlpm.slot,768+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96" s="4" t="str">
        <f t="array" ref="H96">_xlfn.LET(_xlpm.pos,"Max Planck plate 9: "&amp;$A8&amp;H$2,_xlpm.normal,IFERROR(INDEX(MASTER!$A:$A,MATCH(_xlpm.pos,MASTER!$J:$J,0))&amp;"_ser_0.20_"&amp;TEXT(INDEX(MASTER!$E:$E,MATCH(_xlpm.pos,MASTER!$J:$J,0)),"mmddyy"),""),_xlpm.slot,768+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96" s="4" t="str">
        <f t="array" ref="I96">_xlfn.LET(_xlpm.pos,"Max Planck plate 9: "&amp;$A8&amp;I$2,_xlpm.normal,IFERROR(INDEX(MASTER!$A:$A,MATCH(_xlpm.pos,MASTER!$J:$J,0))&amp;"_ser_0.20_"&amp;TEXT(INDEX(MASTER!$E:$E,MATCH(_xlpm.pos,MASTER!$J:$J,0)),"mmddyy"),""),_xlpm.slot,768+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96" s="4" t="str">
        <f t="array" ref="J96">_xlfn.LET(_xlpm.pos,"Max Planck plate 9: "&amp;$A8&amp;J$2,_xlpm.normal,IFERROR(INDEX(MASTER!$A:$A,MATCH(_xlpm.pos,MASTER!$J:$J,0))&amp;"_ser_0.20_"&amp;TEXT(INDEX(MASTER!$E:$E,MATCH(_xlpm.pos,MASTER!$J:$J,0)),"mmddyy"),""),_xlpm.slot,768+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96" s="4" t="str">
        <f t="array" ref="K96">_xlfn.LET(_xlpm.pos,"Max Planck plate 9: "&amp;$A8&amp;K$2,_xlpm.normal,IFERROR(INDEX(MASTER!$A:$A,MATCH(_xlpm.pos,MASTER!$J:$J,0))&amp;"_ser_0.20_"&amp;TEXT(INDEX(MASTER!$E:$E,MATCH(_xlpm.pos,MASTER!$J:$J,0)),"mmddyy"),""),_xlpm.slot,768+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96" s="4" t="str">
        <f t="array" ref="L96">_xlfn.LET(_xlpm.pos,"Max Planck plate 9: "&amp;$A8&amp;L$2,_xlpm.normal,IFERROR(INDEX(MASTER!$A:$A,MATCH(_xlpm.pos,MASTER!$J:$J,0))&amp;"_ser_0.20_"&amp;TEXT(INDEX(MASTER!$E:$E,MATCH(_xlpm.pos,MASTER!$J:$J,0)),"mmddyy"),""),_xlpm.slot,768+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96" s="4" t="str">
        <f t="array" ref="M96">_xlfn.LET(_xlpm.pos,"Max Planck plate 9: "&amp;$A8&amp;M$2,_xlpm.normal,IFERROR(INDEX(MASTER!$A:$A,MATCH(_xlpm.pos,MASTER!$J:$J,0))&amp;"_ser_0.20_"&amp;TEXT(INDEX(MASTER!$E:$E,MATCH(_xlpm.pos,MASTER!$J:$J,0)),"mmddyy"),""),_xlpm.slot,768+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97" spans="1:13" ht="22" customHeight="1" x14ac:dyDescent="0.3">
      <c r="A97" s="6" t="s">
        <v>35</v>
      </c>
      <c r="B97" s="4" t="str">
        <f t="array" ref="B97">_xlfn.LET(_xlpm.pos,"Max Planck plate 9: "&amp;$A9&amp;B$2,_xlpm.normal,IFERROR(INDEX(MASTER!$A:$A,MATCH(_xlpm.pos,MASTER!$J:$J,0))&amp;"_ser_0.20_"&amp;TEXT(INDEX(MASTER!$E:$E,MATCH(_xlpm.pos,MASTER!$J:$J,0)),"mmddyy"),""),_xlpm.slot,768+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97" s="4" t="str">
        <f t="array" ref="C97">_xlfn.LET(_xlpm.pos,"Max Planck plate 9: "&amp;$A9&amp;C$2,_xlpm.normal,IFERROR(INDEX(MASTER!$A:$A,MATCH(_xlpm.pos,MASTER!$J:$J,0))&amp;"_ser_0.20_"&amp;TEXT(INDEX(MASTER!$E:$E,MATCH(_xlpm.pos,MASTER!$J:$J,0)),"mmddyy"),""),_xlpm.slot,768+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97" s="4" t="str">
        <f t="array" ref="D97">_xlfn.LET(_xlpm.pos,"Max Planck plate 9: "&amp;$A9&amp;D$2,_xlpm.normal,IFERROR(INDEX(MASTER!$A:$A,MATCH(_xlpm.pos,MASTER!$J:$J,0))&amp;"_ser_0.20_"&amp;TEXT(INDEX(MASTER!$E:$E,MATCH(_xlpm.pos,MASTER!$J:$J,0)),"mmddyy"),""),_xlpm.slot,768+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97" s="4" t="str">
        <f t="array" ref="E97">_xlfn.LET(_xlpm.pos,"Max Planck plate 9: "&amp;$A9&amp;E$2,_xlpm.normal,IFERROR(INDEX(MASTER!$A:$A,MATCH(_xlpm.pos,MASTER!$J:$J,0))&amp;"_ser_0.20_"&amp;TEXT(INDEX(MASTER!$E:$E,MATCH(_xlpm.pos,MASTER!$J:$J,0)),"mmddyy"),""),_xlpm.slot,768+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97" s="4" t="str">
        <f t="array" ref="F97">_xlfn.LET(_xlpm.pos,"Max Planck plate 9: "&amp;$A9&amp;F$2,_xlpm.normal,IFERROR(INDEX(MASTER!$A:$A,MATCH(_xlpm.pos,MASTER!$J:$J,0))&amp;"_ser_0.20_"&amp;TEXT(INDEX(MASTER!$E:$E,MATCH(_xlpm.pos,MASTER!$J:$J,0)),"mmddyy"),""),_xlpm.slot,768+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97" s="4" t="str">
        <f t="array" ref="G97">_xlfn.LET(_xlpm.pos,"Max Planck plate 9: "&amp;$A9&amp;G$2,_xlpm.normal,IFERROR(INDEX(MASTER!$A:$A,MATCH(_xlpm.pos,MASTER!$J:$J,0))&amp;"_ser_0.20_"&amp;TEXT(INDEX(MASTER!$E:$E,MATCH(_xlpm.pos,MASTER!$J:$J,0)),"mmddyy"),""),_xlpm.slot,768+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97" s="4" t="str">
        <f t="array" ref="H97">_xlfn.LET(_xlpm.pos,"Max Planck plate 9: "&amp;$A9&amp;H$2,_xlpm.normal,IFERROR(INDEX(MASTER!$A:$A,MATCH(_xlpm.pos,MASTER!$J:$J,0))&amp;"_ser_0.20_"&amp;TEXT(INDEX(MASTER!$E:$E,MATCH(_xlpm.pos,MASTER!$J:$J,0)),"mmddyy"),""),_xlpm.slot,768+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97" s="4" t="str">
        <f t="array" ref="I97">_xlfn.LET(_xlpm.pos,"Max Planck plate 9: "&amp;$A9&amp;I$2,_xlpm.normal,IFERROR(INDEX(MASTER!$A:$A,MATCH(_xlpm.pos,MASTER!$J:$J,0))&amp;"_ser_0.20_"&amp;TEXT(INDEX(MASTER!$E:$E,MATCH(_xlpm.pos,MASTER!$J:$J,0)),"mmddyy"),""),_xlpm.slot,768+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97" s="4" t="str">
        <f t="array" ref="J97">_xlfn.LET(_xlpm.pos,"Max Planck plate 9: "&amp;$A9&amp;J$2,_xlpm.normal,IFERROR(INDEX(MASTER!$A:$A,MATCH(_xlpm.pos,MASTER!$J:$J,0))&amp;"_ser_0.20_"&amp;TEXT(INDEX(MASTER!$E:$E,MATCH(_xlpm.pos,MASTER!$J:$J,0)),"mmddyy"),""),_xlpm.slot,768+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97" s="4" t="str">
        <f t="array" ref="K97">_xlfn.LET(_xlpm.pos,"Max Planck plate 9: "&amp;$A9&amp;K$2,_xlpm.normal,IFERROR(INDEX(MASTER!$A:$A,MATCH(_xlpm.pos,MASTER!$J:$J,0))&amp;"_ser_0.20_"&amp;TEXT(INDEX(MASTER!$E:$E,MATCH(_xlpm.pos,MASTER!$J:$J,0)),"mmddyy"),""),_xlpm.slot,768+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97" s="4" t="str">
        <f t="array" ref="L97">_xlfn.LET(_xlpm.pos,"Max Planck plate 9: "&amp;$A9&amp;L$2,_xlpm.normal,IFERROR(INDEX(MASTER!$A:$A,MATCH(_xlpm.pos,MASTER!$J:$J,0))&amp;"_ser_0.20_"&amp;TEXT(INDEX(MASTER!$E:$E,MATCH(_xlpm.pos,MASTER!$J:$J,0)),"mmddyy"),""),_xlpm.slot,768+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97" s="4" t="str">
        <f t="array" ref="M97">_xlfn.LET(_xlpm.pos,"Max Planck plate 9: "&amp;$A9&amp;M$2,_xlpm.normal,IFERROR(INDEX(MASTER!$A:$A,MATCH(_xlpm.pos,MASTER!$J:$J,0))&amp;"_ser_0.20_"&amp;TEXT(INDEX(MASTER!$E:$E,MATCH(_xlpm.pos,MASTER!$J:$J,0)),"mmddyy"),""),_xlpm.slot,768+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98" spans="1:13" ht="22" customHeight="1" x14ac:dyDescent="0.3">
      <c r="A98" s="6" t="s">
        <v>36</v>
      </c>
      <c r="B98" s="4" t="str">
        <f t="array" ref="B98">_xlfn.LET(_xlpm.pos,"Max Planck plate 9: "&amp;$A10&amp;B$2,_xlpm.normal,IFERROR(INDEX(MASTER!$A:$A,MATCH(_xlpm.pos,MASTER!$J:$J,0))&amp;"_ser_0.20_"&amp;TEXT(INDEX(MASTER!$E:$E,MATCH(_xlpm.pos,MASTER!$J:$J,0)),"mmddyy"),""),_xlpm.slot,768+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98" s="4" t="str">
        <f t="array" ref="C98">_xlfn.LET(_xlpm.pos,"Max Planck plate 9: "&amp;$A10&amp;C$2,_xlpm.normal,IFERROR(INDEX(MASTER!$A:$A,MATCH(_xlpm.pos,MASTER!$J:$J,0))&amp;"_ser_0.20_"&amp;TEXT(INDEX(MASTER!$E:$E,MATCH(_xlpm.pos,MASTER!$J:$J,0)),"mmddyy"),""),_xlpm.slot,768+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98" s="4" t="str">
        <f t="array" ref="D98">_xlfn.LET(_xlpm.pos,"Max Planck plate 9: "&amp;$A10&amp;D$2,_xlpm.normal,IFERROR(INDEX(MASTER!$A:$A,MATCH(_xlpm.pos,MASTER!$J:$J,0))&amp;"_ser_0.20_"&amp;TEXT(INDEX(MASTER!$E:$E,MATCH(_xlpm.pos,MASTER!$J:$J,0)),"mmddyy"),""),_xlpm.slot,768+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98" s="4" t="str">
        <f t="array" ref="E98">_xlfn.LET(_xlpm.pos,"Max Planck plate 9: "&amp;$A10&amp;E$2,_xlpm.normal,IFERROR(INDEX(MASTER!$A:$A,MATCH(_xlpm.pos,MASTER!$J:$J,0))&amp;"_ser_0.20_"&amp;TEXT(INDEX(MASTER!$E:$E,MATCH(_xlpm.pos,MASTER!$J:$J,0)),"mmddyy"),""),_xlpm.slot,768+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98" s="4" t="str">
        <f t="array" ref="F98">_xlfn.LET(_xlpm.pos,"Max Planck plate 9: "&amp;$A10&amp;F$2,_xlpm.normal,IFERROR(INDEX(MASTER!$A:$A,MATCH(_xlpm.pos,MASTER!$J:$J,0))&amp;"_ser_0.20_"&amp;TEXT(INDEX(MASTER!$E:$E,MATCH(_xlpm.pos,MASTER!$J:$J,0)),"mmddyy"),""),_xlpm.slot,768+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98" s="4" t="str">
        <f t="array" ref="G98">_xlfn.LET(_xlpm.pos,"Max Planck plate 9: "&amp;$A10&amp;G$2,_xlpm.normal,IFERROR(INDEX(MASTER!$A:$A,MATCH(_xlpm.pos,MASTER!$J:$J,0))&amp;"_ser_0.20_"&amp;TEXT(INDEX(MASTER!$E:$E,MATCH(_xlpm.pos,MASTER!$J:$J,0)),"mmddyy"),""),_xlpm.slot,768+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98" s="4" t="str">
        <f t="array" ref="H98">_xlfn.LET(_xlpm.pos,"Max Planck plate 9: "&amp;$A10&amp;H$2,_xlpm.normal,IFERROR(INDEX(MASTER!$A:$A,MATCH(_xlpm.pos,MASTER!$J:$J,0))&amp;"_ser_0.20_"&amp;TEXT(INDEX(MASTER!$E:$E,MATCH(_xlpm.pos,MASTER!$J:$J,0)),"mmddyy"),""),_xlpm.slot,768+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98" s="4" t="str">
        <f t="array" ref="I98">_xlfn.LET(_xlpm.pos,"Max Planck plate 9: "&amp;$A10&amp;I$2,_xlpm.normal,IFERROR(INDEX(MASTER!$A:$A,MATCH(_xlpm.pos,MASTER!$J:$J,0))&amp;"_ser_0.20_"&amp;TEXT(INDEX(MASTER!$E:$E,MATCH(_xlpm.pos,MASTER!$J:$J,0)),"mmddyy"),""),_xlpm.slot,768+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98" s="4" t="str">
        <f t="array" ref="J98">_xlfn.LET(_xlpm.pos,"Max Planck plate 9: "&amp;$A10&amp;J$2,_xlpm.normal,IFERROR(INDEX(MASTER!$A:$A,MATCH(_xlpm.pos,MASTER!$J:$J,0))&amp;"_ser_0.20_"&amp;TEXT(INDEX(MASTER!$E:$E,MATCH(_xlpm.pos,MASTER!$J:$J,0)),"mmddyy"),""),_xlpm.slot,768+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98" s="4" t="str">
        <f t="array" ref="K98">_xlfn.LET(_xlpm.pos,"Max Planck plate 9: "&amp;$A10&amp;K$2,_xlpm.normal,IFERROR(INDEX(MASTER!$A:$A,MATCH(_xlpm.pos,MASTER!$J:$J,0))&amp;"_ser_0.20_"&amp;TEXT(INDEX(MASTER!$E:$E,MATCH(_xlpm.pos,MASTER!$J:$J,0)),"mmddyy"),""),_xlpm.slot,768+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98" s="4" t="str">
        <f t="array" ref="L98">_xlfn.LET(_xlpm.pos,"Max Planck plate 9: "&amp;$A10&amp;L$2,_xlpm.normal,IFERROR(INDEX(MASTER!$A:$A,MATCH(_xlpm.pos,MASTER!$J:$J,0))&amp;"_ser_0.20_"&amp;TEXT(INDEX(MASTER!$E:$E,MATCH(_xlpm.pos,MASTER!$J:$J,0)),"mmddyy"),""),_xlpm.slot,768+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98" s="4" t="str">
        <f t="array" ref="M98">_xlfn.LET(_xlpm.pos,"Max Planck plate 9: "&amp;$A10&amp;M$2,_xlpm.normal,IFERROR(INDEX(MASTER!$A:$A,MATCH(_xlpm.pos,MASTER!$J:$J,0))&amp;"_ser_0.20_"&amp;TEXT(INDEX(MASTER!$E:$E,MATCH(_xlpm.pos,MASTER!$J:$J,0)),"mmddyy"),""),_xlpm.slot,768+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99" spans="1:13" ht="22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spans="1:13" ht="22" customHeight="1" x14ac:dyDescent="0.35">
      <c r="A100" s="5"/>
      <c r="B100" s="31" t="s">
        <v>87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3"/>
    </row>
    <row r="101" spans="1:13" ht="22" customHeight="1" x14ac:dyDescent="0.3">
      <c r="A101" s="5"/>
      <c r="B101" s="6">
        <v>1</v>
      </c>
      <c r="C101" s="6">
        <v>2</v>
      </c>
      <c r="D101" s="6">
        <v>3</v>
      </c>
      <c r="E101" s="6">
        <v>4</v>
      </c>
      <c r="F101" s="6">
        <v>5</v>
      </c>
      <c r="G101" s="6">
        <v>6</v>
      </c>
      <c r="H101" s="6">
        <v>7</v>
      </c>
      <c r="I101" s="6">
        <v>8</v>
      </c>
      <c r="J101" s="6">
        <v>9</v>
      </c>
      <c r="K101" s="6">
        <v>10</v>
      </c>
      <c r="L101" s="6">
        <v>11</v>
      </c>
      <c r="M101" s="6">
        <v>12</v>
      </c>
    </row>
    <row r="102" spans="1:13" ht="22" customHeight="1" x14ac:dyDescent="0.3">
      <c r="A102" s="6" t="s">
        <v>30</v>
      </c>
      <c r="B102" s="4" t="str">
        <f t="array" ref="B102">_xlfn.LET(_xlpm.pos,"Max Planck plate 10: "&amp;$A3&amp;B$2,_xlpm.normal,IFERROR(INDEX(MASTER!$A:$A,MATCH(_xlpm.pos,MASTER!$J:$J,0))&amp;"_ser_0.20_"&amp;TEXT(INDEX(MASTER!$E:$E,MATCH(_xlpm.pos,MASTER!$J:$J,0)),"mmddyy"),""),_xlpm.slot,864+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02" s="4" t="str">
        <f t="array" ref="C102">_xlfn.LET(_xlpm.pos,"Max Planck plate 10: "&amp;$A3&amp;C$2,_xlpm.normal,IFERROR(INDEX(MASTER!$A:$A,MATCH(_xlpm.pos,MASTER!$J:$J,0))&amp;"_ser_0.20_"&amp;TEXT(INDEX(MASTER!$E:$E,MATCH(_xlpm.pos,MASTER!$J:$J,0)),"mmddyy"),""),_xlpm.slot,864+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02" s="4" t="str">
        <f t="array" ref="D102">_xlfn.LET(_xlpm.pos,"Max Planck plate 10: "&amp;$A3&amp;D$2,_xlpm.normal,IFERROR(INDEX(MASTER!$A:$A,MATCH(_xlpm.pos,MASTER!$J:$J,0))&amp;"_ser_0.20_"&amp;TEXT(INDEX(MASTER!$E:$E,MATCH(_xlpm.pos,MASTER!$J:$J,0)),"mmddyy"),""),_xlpm.slot,864+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02" s="4" t="str">
        <f t="array" ref="E102">_xlfn.LET(_xlpm.pos,"Max Planck plate 10: "&amp;$A3&amp;E$2,_xlpm.normal,IFERROR(INDEX(MASTER!$A:$A,MATCH(_xlpm.pos,MASTER!$J:$J,0))&amp;"_ser_0.20_"&amp;TEXT(INDEX(MASTER!$E:$E,MATCH(_xlpm.pos,MASTER!$J:$J,0)),"mmddyy"),""),_xlpm.slot,864+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02" s="4" t="str">
        <f t="array" ref="F102">_xlfn.LET(_xlpm.pos,"Max Planck plate 10: "&amp;$A3&amp;F$2,_xlpm.normal,IFERROR(INDEX(MASTER!$A:$A,MATCH(_xlpm.pos,MASTER!$J:$J,0))&amp;"_ser_0.20_"&amp;TEXT(INDEX(MASTER!$E:$E,MATCH(_xlpm.pos,MASTER!$J:$J,0)),"mmddyy"),""),_xlpm.slot,864+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02" s="4" t="str">
        <f t="array" ref="G102">_xlfn.LET(_xlpm.pos,"Max Planck plate 10: "&amp;$A3&amp;G$2,_xlpm.normal,IFERROR(INDEX(MASTER!$A:$A,MATCH(_xlpm.pos,MASTER!$J:$J,0))&amp;"_ser_0.20_"&amp;TEXT(INDEX(MASTER!$E:$E,MATCH(_xlpm.pos,MASTER!$J:$J,0)),"mmddyy"),""),_xlpm.slot,864+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02" s="4" t="str">
        <f t="array" ref="H102">_xlfn.LET(_xlpm.pos,"Max Planck plate 10: "&amp;$A3&amp;H$2,_xlpm.normal,IFERROR(INDEX(MASTER!$A:$A,MATCH(_xlpm.pos,MASTER!$J:$J,0))&amp;"_ser_0.20_"&amp;TEXT(INDEX(MASTER!$E:$E,MATCH(_xlpm.pos,MASTER!$J:$J,0)),"mmddyy"),""),_xlpm.slot,864+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02" s="4" t="str">
        <f t="array" ref="I102">_xlfn.LET(_xlpm.pos,"Max Planck plate 10: "&amp;$A3&amp;I$2,_xlpm.normal,IFERROR(INDEX(MASTER!$A:$A,MATCH(_xlpm.pos,MASTER!$J:$J,0))&amp;"_ser_0.20_"&amp;TEXT(INDEX(MASTER!$E:$E,MATCH(_xlpm.pos,MASTER!$J:$J,0)),"mmddyy"),""),_xlpm.slot,864+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02" s="4" t="str">
        <f t="array" ref="J102">_xlfn.LET(_xlpm.pos,"Max Planck plate 10: "&amp;$A3&amp;J$2,_xlpm.normal,IFERROR(INDEX(MASTER!$A:$A,MATCH(_xlpm.pos,MASTER!$J:$J,0))&amp;"_ser_0.20_"&amp;TEXT(INDEX(MASTER!$E:$E,MATCH(_xlpm.pos,MASTER!$J:$J,0)),"mmddyy"),""),_xlpm.slot,864+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02" s="4" t="str">
        <f t="array" ref="K102">_xlfn.LET(_xlpm.pos,"Max Planck plate 10: "&amp;$A3&amp;K$2,_xlpm.normal,IFERROR(INDEX(MASTER!$A:$A,MATCH(_xlpm.pos,MASTER!$J:$J,0))&amp;"_ser_0.20_"&amp;TEXT(INDEX(MASTER!$E:$E,MATCH(_xlpm.pos,MASTER!$J:$J,0)),"mmddyy"),""),_xlpm.slot,864+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02" s="4" t="str">
        <f t="array" ref="L102">_xlfn.LET(_xlpm.pos,"Max Planck plate 10: "&amp;$A3&amp;L$2,_xlpm.normal,IFERROR(INDEX(MASTER!$A:$A,MATCH(_xlpm.pos,MASTER!$J:$J,0))&amp;"_ser_0.20_"&amp;TEXT(INDEX(MASTER!$E:$E,MATCH(_xlpm.pos,MASTER!$J:$J,0)),"mmddyy"),""),_xlpm.slot,864+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02" s="4" t="str">
        <f t="array" ref="M102">_xlfn.LET(_xlpm.pos,"Max Planck plate 10: "&amp;$A3&amp;M$2,_xlpm.normal,IFERROR(INDEX(MASTER!$A:$A,MATCH(_xlpm.pos,MASTER!$J:$J,0))&amp;"_ser_0.20_"&amp;TEXT(INDEX(MASTER!$E:$E,MATCH(_xlpm.pos,MASTER!$J:$J,0)),"mmddyy"),""),_xlpm.slot,864+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03" spans="1:13" ht="22" customHeight="1" x14ac:dyDescent="0.3">
      <c r="A103" s="6" t="s">
        <v>31</v>
      </c>
      <c r="B103" s="4" t="str">
        <f t="array" ref="B103">_xlfn.LET(_xlpm.pos,"Max Planck plate 10: "&amp;$A4&amp;B$2,_xlpm.normal,IFERROR(INDEX(MASTER!$A:$A,MATCH(_xlpm.pos,MASTER!$J:$J,0))&amp;"_ser_0.20_"&amp;TEXT(INDEX(MASTER!$E:$E,MATCH(_xlpm.pos,MASTER!$J:$J,0)),"mmddyy"),""),_xlpm.slot,864+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03" s="4" t="str">
        <f t="array" ref="C103">_xlfn.LET(_xlpm.pos,"Max Planck plate 10: "&amp;$A4&amp;C$2,_xlpm.normal,IFERROR(INDEX(MASTER!$A:$A,MATCH(_xlpm.pos,MASTER!$J:$J,0))&amp;"_ser_0.20_"&amp;TEXT(INDEX(MASTER!$E:$E,MATCH(_xlpm.pos,MASTER!$J:$J,0)),"mmddyy"),""),_xlpm.slot,864+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03" s="4" t="str">
        <f t="array" ref="D103">_xlfn.LET(_xlpm.pos,"Max Planck plate 10: "&amp;$A4&amp;D$2,_xlpm.normal,IFERROR(INDEX(MASTER!$A:$A,MATCH(_xlpm.pos,MASTER!$J:$J,0))&amp;"_ser_0.20_"&amp;TEXT(INDEX(MASTER!$E:$E,MATCH(_xlpm.pos,MASTER!$J:$J,0)),"mmddyy"),""),_xlpm.slot,864+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03" s="4" t="str">
        <f t="array" ref="E103">_xlfn.LET(_xlpm.pos,"Max Planck plate 10: "&amp;$A4&amp;E$2,_xlpm.normal,IFERROR(INDEX(MASTER!$A:$A,MATCH(_xlpm.pos,MASTER!$J:$J,0))&amp;"_ser_0.20_"&amp;TEXT(INDEX(MASTER!$E:$E,MATCH(_xlpm.pos,MASTER!$J:$J,0)),"mmddyy"),""),_xlpm.slot,864+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03" s="4" t="str">
        <f t="array" ref="F103">_xlfn.LET(_xlpm.pos,"Max Planck plate 10: "&amp;$A4&amp;F$2,_xlpm.normal,IFERROR(INDEX(MASTER!$A:$A,MATCH(_xlpm.pos,MASTER!$J:$J,0))&amp;"_ser_0.20_"&amp;TEXT(INDEX(MASTER!$E:$E,MATCH(_xlpm.pos,MASTER!$J:$J,0)),"mmddyy"),""),_xlpm.slot,864+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03" s="4" t="str">
        <f t="array" ref="G103">_xlfn.LET(_xlpm.pos,"Max Planck plate 10: "&amp;$A4&amp;G$2,_xlpm.normal,IFERROR(INDEX(MASTER!$A:$A,MATCH(_xlpm.pos,MASTER!$J:$J,0))&amp;"_ser_0.20_"&amp;TEXT(INDEX(MASTER!$E:$E,MATCH(_xlpm.pos,MASTER!$J:$J,0)),"mmddyy"),""),_xlpm.slot,864+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03" s="4" t="str">
        <f t="array" ref="H103">_xlfn.LET(_xlpm.pos,"Max Planck plate 10: "&amp;$A4&amp;H$2,_xlpm.normal,IFERROR(INDEX(MASTER!$A:$A,MATCH(_xlpm.pos,MASTER!$J:$J,0))&amp;"_ser_0.20_"&amp;TEXT(INDEX(MASTER!$E:$E,MATCH(_xlpm.pos,MASTER!$J:$J,0)),"mmddyy"),""),_xlpm.slot,864+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03" s="4" t="str">
        <f t="array" ref="I103">_xlfn.LET(_xlpm.pos,"Max Planck plate 10: "&amp;$A4&amp;I$2,_xlpm.normal,IFERROR(INDEX(MASTER!$A:$A,MATCH(_xlpm.pos,MASTER!$J:$J,0))&amp;"_ser_0.20_"&amp;TEXT(INDEX(MASTER!$E:$E,MATCH(_xlpm.pos,MASTER!$J:$J,0)),"mmddyy"),""),_xlpm.slot,864+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03" s="4" t="str">
        <f t="array" ref="J103">_xlfn.LET(_xlpm.pos,"Max Planck plate 10: "&amp;$A4&amp;J$2,_xlpm.normal,IFERROR(INDEX(MASTER!$A:$A,MATCH(_xlpm.pos,MASTER!$J:$J,0))&amp;"_ser_0.20_"&amp;TEXT(INDEX(MASTER!$E:$E,MATCH(_xlpm.pos,MASTER!$J:$J,0)),"mmddyy"),""),_xlpm.slot,864+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03" s="4" t="str">
        <f t="array" ref="K103">_xlfn.LET(_xlpm.pos,"Max Planck plate 10: "&amp;$A4&amp;K$2,_xlpm.normal,IFERROR(INDEX(MASTER!$A:$A,MATCH(_xlpm.pos,MASTER!$J:$J,0))&amp;"_ser_0.20_"&amp;TEXT(INDEX(MASTER!$E:$E,MATCH(_xlpm.pos,MASTER!$J:$J,0)),"mmddyy"),""),_xlpm.slot,864+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03" s="4" t="str">
        <f t="array" ref="L103">_xlfn.LET(_xlpm.pos,"Max Planck plate 10: "&amp;$A4&amp;L$2,_xlpm.normal,IFERROR(INDEX(MASTER!$A:$A,MATCH(_xlpm.pos,MASTER!$J:$J,0))&amp;"_ser_0.20_"&amp;TEXT(INDEX(MASTER!$E:$E,MATCH(_xlpm.pos,MASTER!$J:$J,0)),"mmddyy"),""),_xlpm.slot,864+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03" s="4" t="str">
        <f t="array" ref="M103">_xlfn.LET(_xlpm.pos,"Max Planck plate 10: "&amp;$A4&amp;M$2,_xlpm.normal,IFERROR(INDEX(MASTER!$A:$A,MATCH(_xlpm.pos,MASTER!$J:$J,0))&amp;"_ser_0.20_"&amp;TEXT(INDEX(MASTER!$E:$E,MATCH(_xlpm.pos,MASTER!$J:$J,0)),"mmddyy"),""),_xlpm.slot,864+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04" spans="1:13" ht="22" customHeight="1" x14ac:dyDescent="0.3">
      <c r="A104" s="6" t="s">
        <v>32</v>
      </c>
      <c r="B104" s="4" t="str">
        <f t="array" ref="B104">_xlfn.LET(_xlpm.pos,"Max Planck plate 10: "&amp;$A5&amp;B$2,_xlpm.normal,IFERROR(INDEX(MASTER!$A:$A,MATCH(_xlpm.pos,MASTER!$J:$J,0))&amp;"_ser_0.20_"&amp;TEXT(INDEX(MASTER!$E:$E,MATCH(_xlpm.pos,MASTER!$J:$J,0)),"mmddyy"),""),_xlpm.slot,864+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04" s="4" t="str">
        <f t="array" ref="C104">_xlfn.LET(_xlpm.pos,"Max Planck plate 10: "&amp;$A5&amp;C$2,_xlpm.normal,IFERROR(INDEX(MASTER!$A:$A,MATCH(_xlpm.pos,MASTER!$J:$J,0))&amp;"_ser_0.20_"&amp;TEXT(INDEX(MASTER!$E:$E,MATCH(_xlpm.pos,MASTER!$J:$J,0)),"mmddyy"),""),_xlpm.slot,864+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04" s="4" t="str">
        <f t="array" ref="D104">_xlfn.LET(_xlpm.pos,"Max Planck plate 10: "&amp;$A5&amp;D$2,_xlpm.normal,IFERROR(INDEX(MASTER!$A:$A,MATCH(_xlpm.pos,MASTER!$J:$J,0))&amp;"_ser_0.20_"&amp;TEXT(INDEX(MASTER!$E:$E,MATCH(_xlpm.pos,MASTER!$J:$J,0)),"mmddyy"),""),_xlpm.slot,864+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04" s="4" t="str">
        <f t="array" ref="E104">_xlfn.LET(_xlpm.pos,"Max Planck plate 10: "&amp;$A5&amp;E$2,_xlpm.normal,IFERROR(INDEX(MASTER!$A:$A,MATCH(_xlpm.pos,MASTER!$J:$J,0))&amp;"_ser_0.20_"&amp;TEXT(INDEX(MASTER!$E:$E,MATCH(_xlpm.pos,MASTER!$J:$J,0)),"mmddyy"),""),_xlpm.slot,864+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04" s="4" t="str">
        <f t="array" ref="F104">_xlfn.LET(_xlpm.pos,"Max Planck plate 10: "&amp;$A5&amp;F$2,_xlpm.normal,IFERROR(INDEX(MASTER!$A:$A,MATCH(_xlpm.pos,MASTER!$J:$J,0))&amp;"_ser_0.20_"&amp;TEXT(INDEX(MASTER!$E:$E,MATCH(_xlpm.pos,MASTER!$J:$J,0)),"mmddyy"),""),_xlpm.slot,864+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04" s="4" t="str">
        <f t="array" ref="G104">_xlfn.LET(_xlpm.pos,"Max Planck plate 10: "&amp;$A5&amp;G$2,_xlpm.normal,IFERROR(INDEX(MASTER!$A:$A,MATCH(_xlpm.pos,MASTER!$J:$J,0))&amp;"_ser_0.20_"&amp;TEXT(INDEX(MASTER!$E:$E,MATCH(_xlpm.pos,MASTER!$J:$J,0)),"mmddyy"),""),_xlpm.slot,864+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04" s="4" t="str">
        <f t="array" ref="H104">_xlfn.LET(_xlpm.pos,"Max Planck plate 10: "&amp;$A5&amp;H$2,_xlpm.normal,IFERROR(INDEX(MASTER!$A:$A,MATCH(_xlpm.pos,MASTER!$J:$J,0))&amp;"_ser_0.20_"&amp;TEXT(INDEX(MASTER!$E:$E,MATCH(_xlpm.pos,MASTER!$J:$J,0)),"mmddyy"),""),_xlpm.slot,864+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04" s="4" t="str">
        <f t="array" ref="I104">_xlfn.LET(_xlpm.pos,"Max Planck plate 10: "&amp;$A5&amp;I$2,_xlpm.normal,IFERROR(INDEX(MASTER!$A:$A,MATCH(_xlpm.pos,MASTER!$J:$J,0))&amp;"_ser_0.20_"&amp;TEXT(INDEX(MASTER!$E:$E,MATCH(_xlpm.pos,MASTER!$J:$J,0)),"mmddyy"),""),_xlpm.slot,864+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04" s="4" t="str">
        <f t="array" ref="J104">_xlfn.LET(_xlpm.pos,"Max Planck plate 10: "&amp;$A5&amp;J$2,_xlpm.normal,IFERROR(INDEX(MASTER!$A:$A,MATCH(_xlpm.pos,MASTER!$J:$J,0))&amp;"_ser_0.20_"&amp;TEXT(INDEX(MASTER!$E:$E,MATCH(_xlpm.pos,MASTER!$J:$J,0)),"mmddyy"),""),_xlpm.slot,864+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04" s="4" t="str">
        <f t="array" ref="K104">_xlfn.LET(_xlpm.pos,"Max Planck plate 10: "&amp;$A5&amp;K$2,_xlpm.normal,IFERROR(INDEX(MASTER!$A:$A,MATCH(_xlpm.pos,MASTER!$J:$J,0))&amp;"_ser_0.20_"&amp;TEXT(INDEX(MASTER!$E:$E,MATCH(_xlpm.pos,MASTER!$J:$J,0)),"mmddyy"),""),_xlpm.slot,864+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04" s="4" t="str">
        <f t="array" ref="L104">_xlfn.LET(_xlpm.pos,"Max Planck plate 10: "&amp;$A5&amp;L$2,_xlpm.normal,IFERROR(INDEX(MASTER!$A:$A,MATCH(_xlpm.pos,MASTER!$J:$J,0))&amp;"_ser_0.20_"&amp;TEXT(INDEX(MASTER!$E:$E,MATCH(_xlpm.pos,MASTER!$J:$J,0)),"mmddyy"),""),_xlpm.slot,864+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04" s="4" t="str">
        <f t="array" ref="M104">_xlfn.LET(_xlpm.pos,"Max Planck plate 10: "&amp;$A5&amp;M$2,_xlpm.normal,IFERROR(INDEX(MASTER!$A:$A,MATCH(_xlpm.pos,MASTER!$J:$J,0))&amp;"_ser_0.20_"&amp;TEXT(INDEX(MASTER!$E:$E,MATCH(_xlpm.pos,MASTER!$J:$J,0)),"mmddyy"),""),_xlpm.slot,864+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05" spans="1:13" ht="22" customHeight="1" x14ac:dyDescent="0.3">
      <c r="A105" s="6" t="s">
        <v>33</v>
      </c>
      <c r="B105" s="4" t="str">
        <f t="array" ref="B105">_xlfn.LET(_xlpm.pos,"Max Planck plate 10: "&amp;$A6&amp;B$2,_xlpm.normal,IFERROR(INDEX(MASTER!$A:$A,MATCH(_xlpm.pos,MASTER!$J:$J,0))&amp;"_ser_0.20_"&amp;TEXT(INDEX(MASTER!$E:$E,MATCH(_xlpm.pos,MASTER!$J:$J,0)),"mmddyy"),""),_xlpm.slot,864+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05" s="4" t="str">
        <f t="array" ref="C105">_xlfn.LET(_xlpm.pos,"Max Planck plate 10: "&amp;$A6&amp;C$2,_xlpm.normal,IFERROR(INDEX(MASTER!$A:$A,MATCH(_xlpm.pos,MASTER!$J:$J,0))&amp;"_ser_0.20_"&amp;TEXT(INDEX(MASTER!$E:$E,MATCH(_xlpm.pos,MASTER!$J:$J,0)),"mmddyy"),""),_xlpm.slot,864+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05" s="4" t="str">
        <f t="array" ref="D105">_xlfn.LET(_xlpm.pos,"Max Planck plate 10: "&amp;$A6&amp;D$2,_xlpm.normal,IFERROR(INDEX(MASTER!$A:$A,MATCH(_xlpm.pos,MASTER!$J:$J,0))&amp;"_ser_0.20_"&amp;TEXT(INDEX(MASTER!$E:$E,MATCH(_xlpm.pos,MASTER!$J:$J,0)),"mmddyy"),""),_xlpm.slot,864+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05" s="4" t="str">
        <f t="array" ref="E105">_xlfn.LET(_xlpm.pos,"Max Planck plate 10: "&amp;$A6&amp;E$2,_xlpm.normal,IFERROR(INDEX(MASTER!$A:$A,MATCH(_xlpm.pos,MASTER!$J:$J,0))&amp;"_ser_0.20_"&amp;TEXT(INDEX(MASTER!$E:$E,MATCH(_xlpm.pos,MASTER!$J:$J,0)),"mmddyy"),""),_xlpm.slot,864+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05" s="4" t="str">
        <f t="array" ref="F105">_xlfn.LET(_xlpm.pos,"Max Planck plate 10: "&amp;$A6&amp;F$2,_xlpm.normal,IFERROR(INDEX(MASTER!$A:$A,MATCH(_xlpm.pos,MASTER!$J:$J,0))&amp;"_ser_0.20_"&amp;TEXT(INDEX(MASTER!$E:$E,MATCH(_xlpm.pos,MASTER!$J:$J,0)),"mmddyy"),""),_xlpm.slot,864+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05" s="4" t="str">
        <f t="array" ref="G105">_xlfn.LET(_xlpm.pos,"Max Planck plate 10: "&amp;$A6&amp;G$2,_xlpm.normal,IFERROR(INDEX(MASTER!$A:$A,MATCH(_xlpm.pos,MASTER!$J:$J,0))&amp;"_ser_0.20_"&amp;TEXT(INDEX(MASTER!$E:$E,MATCH(_xlpm.pos,MASTER!$J:$J,0)),"mmddyy"),""),_xlpm.slot,864+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05" s="4" t="str">
        <f t="array" ref="H105">_xlfn.LET(_xlpm.pos,"Max Planck plate 10: "&amp;$A6&amp;H$2,_xlpm.normal,IFERROR(INDEX(MASTER!$A:$A,MATCH(_xlpm.pos,MASTER!$J:$J,0))&amp;"_ser_0.20_"&amp;TEXT(INDEX(MASTER!$E:$E,MATCH(_xlpm.pos,MASTER!$J:$J,0)),"mmddyy"),""),_xlpm.slot,864+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05" s="4" t="str">
        <f t="array" ref="I105">_xlfn.LET(_xlpm.pos,"Max Planck plate 10: "&amp;$A6&amp;I$2,_xlpm.normal,IFERROR(INDEX(MASTER!$A:$A,MATCH(_xlpm.pos,MASTER!$J:$J,0))&amp;"_ser_0.20_"&amp;TEXT(INDEX(MASTER!$E:$E,MATCH(_xlpm.pos,MASTER!$J:$J,0)),"mmddyy"),""),_xlpm.slot,864+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05" s="4" t="str">
        <f t="array" ref="J105">_xlfn.LET(_xlpm.pos,"Max Planck plate 10: "&amp;$A6&amp;J$2,_xlpm.normal,IFERROR(INDEX(MASTER!$A:$A,MATCH(_xlpm.pos,MASTER!$J:$J,0))&amp;"_ser_0.20_"&amp;TEXT(INDEX(MASTER!$E:$E,MATCH(_xlpm.pos,MASTER!$J:$J,0)),"mmddyy"),""),_xlpm.slot,864+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05" s="4" t="str">
        <f t="array" ref="K105">_xlfn.LET(_xlpm.pos,"Max Planck plate 10: "&amp;$A6&amp;K$2,_xlpm.normal,IFERROR(INDEX(MASTER!$A:$A,MATCH(_xlpm.pos,MASTER!$J:$J,0))&amp;"_ser_0.20_"&amp;TEXT(INDEX(MASTER!$E:$E,MATCH(_xlpm.pos,MASTER!$J:$J,0)),"mmddyy"),""),_xlpm.slot,864+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05" s="4" t="str">
        <f t="array" ref="L105">_xlfn.LET(_xlpm.pos,"Max Planck plate 10: "&amp;$A6&amp;L$2,_xlpm.normal,IFERROR(INDEX(MASTER!$A:$A,MATCH(_xlpm.pos,MASTER!$J:$J,0))&amp;"_ser_0.20_"&amp;TEXT(INDEX(MASTER!$E:$E,MATCH(_xlpm.pos,MASTER!$J:$J,0)),"mmddyy"),""),_xlpm.slot,864+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05" s="4" t="str">
        <f t="array" ref="M105">_xlfn.LET(_xlpm.pos,"Max Planck plate 10: "&amp;$A6&amp;M$2,_xlpm.normal,IFERROR(INDEX(MASTER!$A:$A,MATCH(_xlpm.pos,MASTER!$J:$J,0))&amp;"_ser_0.20_"&amp;TEXT(INDEX(MASTER!$E:$E,MATCH(_xlpm.pos,MASTER!$J:$J,0)),"mmddyy"),""),_xlpm.slot,864+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06" spans="1:13" ht="22" customHeight="1" x14ac:dyDescent="0.3">
      <c r="A106" s="6" t="s">
        <v>34</v>
      </c>
      <c r="B106" s="4" t="str">
        <f t="array" ref="B106">_xlfn.LET(_xlpm.pos,"Max Planck plate 10: "&amp;$A7&amp;B$2,_xlpm.normal,IFERROR(INDEX(MASTER!$A:$A,MATCH(_xlpm.pos,MASTER!$J:$J,0))&amp;"_ser_0.20_"&amp;TEXT(INDEX(MASTER!$E:$E,MATCH(_xlpm.pos,MASTER!$J:$J,0)),"mmddyy"),""),_xlpm.slot,864+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06" s="4" t="str">
        <f t="array" ref="C106">_xlfn.LET(_xlpm.pos,"Max Planck plate 10: "&amp;$A7&amp;C$2,_xlpm.normal,IFERROR(INDEX(MASTER!$A:$A,MATCH(_xlpm.pos,MASTER!$J:$J,0))&amp;"_ser_0.20_"&amp;TEXT(INDEX(MASTER!$E:$E,MATCH(_xlpm.pos,MASTER!$J:$J,0)),"mmddyy"),""),_xlpm.slot,864+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06" s="4" t="str">
        <f t="array" ref="D106">_xlfn.LET(_xlpm.pos,"Max Planck plate 10: "&amp;$A7&amp;D$2,_xlpm.normal,IFERROR(INDEX(MASTER!$A:$A,MATCH(_xlpm.pos,MASTER!$J:$J,0))&amp;"_ser_0.20_"&amp;TEXT(INDEX(MASTER!$E:$E,MATCH(_xlpm.pos,MASTER!$J:$J,0)),"mmddyy"),""),_xlpm.slot,864+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06" s="4" t="str">
        <f t="array" ref="E106">_xlfn.LET(_xlpm.pos,"Max Planck plate 10: "&amp;$A7&amp;E$2,_xlpm.normal,IFERROR(INDEX(MASTER!$A:$A,MATCH(_xlpm.pos,MASTER!$J:$J,0))&amp;"_ser_0.20_"&amp;TEXT(INDEX(MASTER!$E:$E,MATCH(_xlpm.pos,MASTER!$J:$J,0)),"mmddyy"),""),_xlpm.slot,864+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06" s="4" t="str">
        <f t="array" ref="F106">_xlfn.LET(_xlpm.pos,"Max Planck plate 10: "&amp;$A7&amp;F$2,_xlpm.normal,IFERROR(INDEX(MASTER!$A:$A,MATCH(_xlpm.pos,MASTER!$J:$J,0))&amp;"_ser_0.20_"&amp;TEXT(INDEX(MASTER!$E:$E,MATCH(_xlpm.pos,MASTER!$J:$J,0)),"mmddyy"),""),_xlpm.slot,864+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06" s="4" t="str">
        <f t="array" ref="G106">_xlfn.LET(_xlpm.pos,"Max Planck plate 10: "&amp;$A7&amp;G$2,_xlpm.normal,IFERROR(INDEX(MASTER!$A:$A,MATCH(_xlpm.pos,MASTER!$J:$J,0))&amp;"_ser_0.20_"&amp;TEXT(INDEX(MASTER!$E:$E,MATCH(_xlpm.pos,MASTER!$J:$J,0)),"mmddyy"),""),_xlpm.slot,864+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06" s="4" t="str">
        <f t="array" ref="H106">_xlfn.LET(_xlpm.pos,"Max Planck plate 10: "&amp;$A7&amp;H$2,_xlpm.normal,IFERROR(INDEX(MASTER!$A:$A,MATCH(_xlpm.pos,MASTER!$J:$J,0))&amp;"_ser_0.20_"&amp;TEXT(INDEX(MASTER!$E:$E,MATCH(_xlpm.pos,MASTER!$J:$J,0)),"mmddyy"),""),_xlpm.slot,864+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06" s="4" t="str">
        <f t="array" ref="I106">_xlfn.LET(_xlpm.pos,"Max Planck plate 10: "&amp;$A7&amp;I$2,_xlpm.normal,IFERROR(INDEX(MASTER!$A:$A,MATCH(_xlpm.pos,MASTER!$J:$J,0))&amp;"_ser_0.20_"&amp;TEXT(INDEX(MASTER!$E:$E,MATCH(_xlpm.pos,MASTER!$J:$J,0)),"mmddyy"),""),_xlpm.slot,864+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06" s="4" t="str">
        <f t="array" ref="J106">_xlfn.LET(_xlpm.pos,"Max Planck plate 10: "&amp;$A7&amp;J$2,_xlpm.normal,IFERROR(INDEX(MASTER!$A:$A,MATCH(_xlpm.pos,MASTER!$J:$J,0))&amp;"_ser_0.20_"&amp;TEXT(INDEX(MASTER!$E:$E,MATCH(_xlpm.pos,MASTER!$J:$J,0)),"mmddyy"),""),_xlpm.slot,864+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06" s="4" t="str">
        <f t="array" ref="K106">_xlfn.LET(_xlpm.pos,"Max Planck plate 10: "&amp;$A7&amp;K$2,_xlpm.normal,IFERROR(INDEX(MASTER!$A:$A,MATCH(_xlpm.pos,MASTER!$J:$J,0))&amp;"_ser_0.20_"&amp;TEXT(INDEX(MASTER!$E:$E,MATCH(_xlpm.pos,MASTER!$J:$J,0)),"mmddyy"),""),_xlpm.slot,864+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06" s="4" t="str">
        <f t="array" ref="L106">_xlfn.LET(_xlpm.pos,"Max Planck plate 10: "&amp;$A7&amp;L$2,_xlpm.normal,IFERROR(INDEX(MASTER!$A:$A,MATCH(_xlpm.pos,MASTER!$J:$J,0))&amp;"_ser_0.20_"&amp;TEXT(INDEX(MASTER!$E:$E,MATCH(_xlpm.pos,MASTER!$J:$J,0)),"mmddyy"),""),_xlpm.slot,864+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06" s="4" t="str">
        <f t="array" ref="M106">_xlfn.LET(_xlpm.pos,"Max Planck plate 10: "&amp;$A7&amp;M$2,_xlpm.normal,IFERROR(INDEX(MASTER!$A:$A,MATCH(_xlpm.pos,MASTER!$J:$J,0))&amp;"_ser_0.20_"&amp;TEXT(INDEX(MASTER!$E:$E,MATCH(_xlpm.pos,MASTER!$J:$J,0)),"mmddyy"),""),_xlpm.slot,864+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07" spans="1:13" ht="22" customHeight="1" x14ac:dyDescent="0.3">
      <c r="A107" s="6" t="s">
        <v>15</v>
      </c>
      <c r="B107" s="4" t="str">
        <f t="array" ref="B107">_xlfn.LET(_xlpm.pos,"Max Planck plate 10: "&amp;$A8&amp;B$2,_xlpm.normal,IFERROR(INDEX(MASTER!$A:$A,MATCH(_xlpm.pos,MASTER!$J:$J,0))&amp;"_ser_0.20_"&amp;TEXT(INDEX(MASTER!$E:$E,MATCH(_xlpm.pos,MASTER!$J:$J,0)),"mmddyy"),""),_xlpm.slot,864+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07" s="4" t="str">
        <f t="array" ref="C107">_xlfn.LET(_xlpm.pos,"Max Planck plate 10: "&amp;$A8&amp;C$2,_xlpm.normal,IFERROR(INDEX(MASTER!$A:$A,MATCH(_xlpm.pos,MASTER!$J:$J,0))&amp;"_ser_0.20_"&amp;TEXT(INDEX(MASTER!$E:$E,MATCH(_xlpm.pos,MASTER!$J:$J,0)),"mmddyy"),""),_xlpm.slot,864+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07" s="4" t="str">
        <f t="array" ref="D107">_xlfn.LET(_xlpm.pos,"Max Planck plate 10: "&amp;$A8&amp;D$2,_xlpm.normal,IFERROR(INDEX(MASTER!$A:$A,MATCH(_xlpm.pos,MASTER!$J:$J,0))&amp;"_ser_0.20_"&amp;TEXT(INDEX(MASTER!$E:$E,MATCH(_xlpm.pos,MASTER!$J:$J,0)),"mmddyy"),""),_xlpm.slot,864+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07" s="4" t="str">
        <f t="array" ref="E107">_xlfn.LET(_xlpm.pos,"Max Planck plate 10: "&amp;$A8&amp;E$2,_xlpm.normal,IFERROR(INDEX(MASTER!$A:$A,MATCH(_xlpm.pos,MASTER!$J:$J,0))&amp;"_ser_0.20_"&amp;TEXT(INDEX(MASTER!$E:$E,MATCH(_xlpm.pos,MASTER!$J:$J,0)),"mmddyy"),""),_xlpm.slot,864+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07" s="4" t="str">
        <f t="array" ref="F107">_xlfn.LET(_xlpm.pos,"Max Planck plate 10: "&amp;$A8&amp;F$2,_xlpm.normal,IFERROR(INDEX(MASTER!$A:$A,MATCH(_xlpm.pos,MASTER!$J:$J,0))&amp;"_ser_0.20_"&amp;TEXT(INDEX(MASTER!$E:$E,MATCH(_xlpm.pos,MASTER!$J:$J,0)),"mmddyy"),""),_xlpm.slot,864+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07" s="4" t="str">
        <f t="array" ref="G107">_xlfn.LET(_xlpm.pos,"Max Planck plate 10: "&amp;$A8&amp;G$2,_xlpm.normal,IFERROR(INDEX(MASTER!$A:$A,MATCH(_xlpm.pos,MASTER!$J:$J,0))&amp;"_ser_0.20_"&amp;TEXT(INDEX(MASTER!$E:$E,MATCH(_xlpm.pos,MASTER!$J:$J,0)),"mmddyy"),""),_xlpm.slot,864+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07" s="4" t="str">
        <f t="array" ref="H107">_xlfn.LET(_xlpm.pos,"Max Planck plate 10: "&amp;$A8&amp;H$2,_xlpm.normal,IFERROR(INDEX(MASTER!$A:$A,MATCH(_xlpm.pos,MASTER!$J:$J,0))&amp;"_ser_0.20_"&amp;TEXT(INDEX(MASTER!$E:$E,MATCH(_xlpm.pos,MASTER!$J:$J,0)),"mmddyy"),""),_xlpm.slot,864+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07" s="4" t="str">
        <f t="array" ref="I107">_xlfn.LET(_xlpm.pos,"Max Planck plate 10: "&amp;$A8&amp;I$2,_xlpm.normal,IFERROR(INDEX(MASTER!$A:$A,MATCH(_xlpm.pos,MASTER!$J:$J,0))&amp;"_ser_0.20_"&amp;TEXT(INDEX(MASTER!$E:$E,MATCH(_xlpm.pos,MASTER!$J:$J,0)),"mmddyy"),""),_xlpm.slot,864+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07" s="4" t="str">
        <f t="array" ref="J107">_xlfn.LET(_xlpm.pos,"Max Planck plate 10: "&amp;$A8&amp;J$2,_xlpm.normal,IFERROR(INDEX(MASTER!$A:$A,MATCH(_xlpm.pos,MASTER!$J:$J,0))&amp;"_ser_0.20_"&amp;TEXT(INDEX(MASTER!$E:$E,MATCH(_xlpm.pos,MASTER!$J:$J,0)),"mmddyy"),""),_xlpm.slot,864+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07" s="4" t="str">
        <f t="array" ref="K107">_xlfn.LET(_xlpm.pos,"Max Planck plate 10: "&amp;$A8&amp;K$2,_xlpm.normal,IFERROR(INDEX(MASTER!$A:$A,MATCH(_xlpm.pos,MASTER!$J:$J,0))&amp;"_ser_0.20_"&amp;TEXT(INDEX(MASTER!$E:$E,MATCH(_xlpm.pos,MASTER!$J:$J,0)),"mmddyy"),""),_xlpm.slot,864+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07" s="4" t="str">
        <f t="array" ref="L107">_xlfn.LET(_xlpm.pos,"Max Planck plate 10: "&amp;$A8&amp;L$2,_xlpm.normal,IFERROR(INDEX(MASTER!$A:$A,MATCH(_xlpm.pos,MASTER!$J:$J,0))&amp;"_ser_0.20_"&amp;TEXT(INDEX(MASTER!$E:$E,MATCH(_xlpm.pos,MASTER!$J:$J,0)),"mmddyy"),""),_xlpm.slot,864+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07" s="4" t="str">
        <f t="array" ref="M107">_xlfn.LET(_xlpm.pos,"Max Planck plate 10: "&amp;$A8&amp;M$2,_xlpm.normal,IFERROR(INDEX(MASTER!$A:$A,MATCH(_xlpm.pos,MASTER!$J:$J,0))&amp;"_ser_0.20_"&amp;TEXT(INDEX(MASTER!$E:$E,MATCH(_xlpm.pos,MASTER!$J:$J,0)),"mmddyy"),""),_xlpm.slot,864+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08" spans="1:13" ht="22" customHeight="1" x14ac:dyDescent="0.3">
      <c r="A108" s="6" t="s">
        <v>35</v>
      </c>
      <c r="B108" s="4" t="str">
        <f t="array" ref="B108">_xlfn.LET(_xlpm.pos,"Max Planck plate 10: "&amp;$A9&amp;B$2,_xlpm.normal,IFERROR(INDEX(MASTER!$A:$A,MATCH(_xlpm.pos,MASTER!$J:$J,0))&amp;"_ser_0.20_"&amp;TEXT(INDEX(MASTER!$E:$E,MATCH(_xlpm.pos,MASTER!$J:$J,0)),"mmddyy"),""),_xlpm.slot,864+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08" s="4" t="str">
        <f t="array" ref="C108">_xlfn.LET(_xlpm.pos,"Max Planck plate 10: "&amp;$A9&amp;C$2,_xlpm.normal,IFERROR(INDEX(MASTER!$A:$A,MATCH(_xlpm.pos,MASTER!$J:$J,0))&amp;"_ser_0.20_"&amp;TEXT(INDEX(MASTER!$E:$E,MATCH(_xlpm.pos,MASTER!$J:$J,0)),"mmddyy"),""),_xlpm.slot,864+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08" s="4" t="str">
        <f t="array" ref="D108">_xlfn.LET(_xlpm.pos,"Max Planck plate 10: "&amp;$A9&amp;D$2,_xlpm.normal,IFERROR(INDEX(MASTER!$A:$A,MATCH(_xlpm.pos,MASTER!$J:$J,0))&amp;"_ser_0.20_"&amp;TEXT(INDEX(MASTER!$E:$E,MATCH(_xlpm.pos,MASTER!$J:$J,0)),"mmddyy"),""),_xlpm.slot,864+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08" s="4" t="str">
        <f t="array" ref="E108">_xlfn.LET(_xlpm.pos,"Max Planck plate 10: "&amp;$A9&amp;E$2,_xlpm.normal,IFERROR(INDEX(MASTER!$A:$A,MATCH(_xlpm.pos,MASTER!$J:$J,0))&amp;"_ser_0.20_"&amp;TEXT(INDEX(MASTER!$E:$E,MATCH(_xlpm.pos,MASTER!$J:$J,0)),"mmddyy"),""),_xlpm.slot,864+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08" s="4" t="str">
        <f t="array" ref="F108">_xlfn.LET(_xlpm.pos,"Max Planck plate 10: "&amp;$A9&amp;F$2,_xlpm.normal,IFERROR(INDEX(MASTER!$A:$A,MATCH(_xlpm.pos,MASTER!$J:$J,0))&amp;"_ser_0.20_"&amp;TEXT(INDEX(MASTER!$E:$E,MATCH(_xlpm.pos,MASTER!$J:$J,0)),"mmddyy"),""),_xlpm.slot,864+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08" s="4" t="str">
        <f t="array" ref="G108">_xlfn.LET(_xlpm.pos,"Max Planck plate 10: "&amp;$A9&amp;G$2,_xlpm.normal,IFERROR(INDEX(MASTER!$A:$A,MATCH(_xlpm.pos,MASTER!$J:$J,0))&amp;"_ser_0.20_"&amp;TEXT(INDEX(MASTER!$E:$E,MATCH(_xlpm.pos,MASTER!$J:$J,0)),"mmddyy"),""),_xlpm.slot,864+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08" s="4" t="str">
        <f t="array" ref="H108">_xlfn.LET(_xlpm.pos,"Max Planck plate 10: "&amp;$A9&amp;H$2,_xlpm.normal,IFERROR(INDEX(MASTER!$A:$A,MATCH(_xlpm.pos,MASTER!$J:$J,0))&amp;"_ser_0.20_"&amp;TEXT(INDEX(MASTER!$E:$E,MATCH(_xlpm.pos,MASTER!$J:$J,0)),"mmddyy"),""),_xlpm.slot,864+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08" s="4" t="str">
        <f t="array" ref="I108">_xlfn.LET(_xlpm.pos,"Max Planck plate 10: "&amp;$A9&amp;I$2,_xlpm.normal,IFERROR(INDEX(MASTER!$A:$A,MATCH(_xlpm.pos,MASTER!$J:$J,0))&amp;"_ser_0.20_"&amp;TEXT(INDEX(MASTER!$E:$E,MATCH(_xlpm.pos,MASTER!$J:$J,0)),"mmddyy"),""),_xlpm.slot,864+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08" s="4" t="str">
        <f t="array" ref="J108">_xlfn.LET(_xlpm.pos,"Max Planck plate 10: "&amp;$A9&amp;J$2,_xlpm.normal,IFERROR(INDEX(MASTER!$A:$A,MATCH(_xlpm.pos,MASTER!$J:$J,0))&amp;"_ser_0.20_"&amp;TEXT(INDEX(MASTER!$E:$E,MATCH(_xlpm.pos,MASTER!$J:$J,0)),"mmddyy"),""),_xlpm.slot,864+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08" s="4" t="str">
        <f t="array" ref="K108">_xlfn.LET(_xlpm.pos,"Max Planck plate 10: "&amp;$A9&amp;K$2,_xlpm.normal,IFERROR(INDEX(MASTER!$A:$A,MATCH(_xlpm.pos,MASTER!$J:$J,0))&amp;"_ser_0.20_"&amp;TEXT(INDEX(MASTER!$E:$E,MATCH(_xlpm.pos,MASTER!$J:$J,0)),"mmddyy"),""),_xlpm.slot,864+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08" s="4" t="str">
        <f t="array" ref="L108">_xlfn.LET(_xlpm.pos,"Max Planck plate 10: "&amp;$A9&amp;L$2,_xlpm.normal,IFERROR(INDEX(MASTER!$A:$A,MATCH(_xlpm.pos,MASTER!$J:$J,0))&amp;"_ser_0.20_"&amp;TEXT(INDEX(MASTER!$E:$E,MATCH(_xlpm.pos,MASTER!$J:$J,0)),"mmddyy"),""),_xlpm.slot,864+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08" s="4" t="str">
        <f t="array" ref="M108">_xlfn.LET(_xlpm.pos,"Max Planck plate 10: "&amp;$A9&amp;M$2,_xlpm.normal,IFERROR(INDEX(MASTER!$A:$A,MATCH(_xlpm.pos,MASTER!$J:$J,0))&amp;"_ser_0.20_"&amp;TEXT(INDEX(MASTER!$E:$E,MATCH(_xlpm.pos,MASTER!$J:$J,0)),"mmddyy"),""),_xlpm.slot,864+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09" spans="1:13" ht="22" customHeight="1" x14ac:dyDescent="0.3">
      <c r="A109" s="6" t="s">
        <v>36</v>
      </c>
      <c r="B109" s="4" t="str">
        <f t="array" ref="B109">_xlfn.LET(_xlpm.pos,"Max Planck plate 10: "&amp;$A10&amp;B$2,_xlpm.normal,IFERROR(INDEX(MASTER!$A:$A,MATCH(_xlpm.pos,MASTER!$J:$J,0))&amp;"_ser_0.20_"&amp;TEXT(INDEX(MASTER!$E:$E,MATCH(_xlpm.pos,MASTER!$J:$J,0)),"mmddyy"),""),_xlpm.slot,864+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09" s="4" t="str">
        <f t="array" ref="C109">_xlfn.LET(_xlpm.pos,"Max Planck plate 10: "&amp;$A10&amp;C$2,_xlpm.normal,IFERROR(INDEX(MASTER!$A:$A,MATCH(_xlpm.pos,MASTER!$J:$J,0))&amp;"_ser_0.20_"&amp;TEXT(INDEX(MASTER!$E:$E,MATCH(_xlpm.pos,MASTER!$J:$J,0)),"mmddyy"),""),_xlpm.slot,864+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09" s="4" t="str">
        <f t="array" ref="D109">_xlfn.LET(_xlpm.pos,"Max Planck plate 10: "&amp;$A10&amp;D$2,_xlpm.normal,IFERROR(INDEX(MASTER!$A:$A,MATCH(_xlpm.pos,MASTER!$J:$J,0))&amp;"_ser_0.20_"&amp;TEXT(INDEX(MASTER!$E:$E,MATCH(_xlpm.pos,MASTER!$J:$J,0)),"mmddyy"),""),_xlpm.slot,864+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09" s="4" t="str">
        <f t="array" ref="E109">_xlfn.LET(_xlpm.pos,"Max Planck plate 10: "&amp;$A10&amp;E$2,_xlpm.normal,IFERROR(INDEX(MASTER!$A:$A,MATCH(_xlpm.pos,MASTER!$J:$J,0))&amp;"_ser_0.20_"&amp;TEXT(INDEX(MASTER!$E:$E,MATCH(_xlpm.pos,MASTER!$J:$J,0)),"mmddyy"),""),_xlpm.slot,864+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09" s="4" t="str">
        <f t="array" ref="F109">_xlfn.LET(_xlpm.pos,"Max Planck plate 10: "&amp;$A10&amp;F$2,_xlpm.normal,IFERROR(INDEX(MASTER!$A:$A,MATCH(_xlpm.pos,MASTER!$J:$J,0))&amp;"_ser_0.20_"&amp;TEXT(INDEX(MASTER!$E:$E,MATCH(_xlpm.pos,MASTER!$J:$J,0)),"mmddyy"),""),_xlpm.slot,864+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09" s="4" t="str">
        <f t="array" ref="G109">_xlfn.LET(_xlpm.pos,"Max Planck plate 10: "&amp;$A10&amp;G$2,_xlpm.normal,IFERROR(INDEX(MASTER!$A:$A,MATCH(_xlpm.pos,MASTER!$J:$J,0))&amp;"_ser_0.20_"&amp;TEXT(INDEX(MASTER!$E:$E,MATCH(_xlpm.pos,MASTER!$J:$J,0)),"mmddyy"),""),_xlpm.slot,864+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09" s="4" t="str">
        <f t="array" ref="H109">_xlfn.LET(_xlpm.pos,"Max Planck plate 10: "&amp;$A10&amp;H$2,_xlpm.normal,IFERROR(INDEX(MASTER!$A:$A,MATCH(_xlpm.pos,MASTER!$J:$J,0))&amp;"_ser_0.20_"&amp;TEXT(INDEX(MASTER!$E:$E,MATCH(_xlpm.pos,MASTER!$J:$J,0)),"mmddyy"),""),_xlpm.slot,864+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09" s="4" t="str">
        <f t="array" ref="I109">_xlfn.LET(_xlpm.pos,"Max Planck plate 10: "&amp;$A10&amp;I$2,_xlpm.normal,IFERROR(INDEX(MASTER!$A:$A,MATCH(_xlpm.pos,MASTER!$J:$J,0))&amp;"_ser_0.20_"&amp;TEXT(INDEX(MASTER!$E:$E,MATCH(_xlpm.pos,MASTER!$J:$J,0)),"mmddyy"),""),_xlpm.slot,864+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09" s="4" t="str">
        <f t="array" ref="J109">_xlfn.LET(_xlpm.pos,"Max Planck plate 10: "&amp;$A10&amp;J$2,_xlpm.normal,IFERROR(INDEX(MASTER!$A:$A,MATCH(_xlpm.pos,MASTER!$J:$J,0))&amp;"_ser_0.20_"&amp;TEXT(INDEX(MASTER!$E:$E,MATCH(_xlpm.pos,MASTER!$J:$J,0)),"mmddyy"),""),_xlpm.slot,864+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09" s="4" t="str">
        <f t="array" ref="K109">_xlfn.LET(_xlpm.pos,"Max Planck plate 10: "&amp;$A10&amp;K$2,_xlpm.normal,IFERROR(INDEX(MASTER!$A:$A,MATCH(_xlpm.pos,MASTER!$J:$J,0))&amp;"_ser_0.20_"&amp;TEXT(INDEX(MASTER!$E:$E,MATCH(_xlpm.pos,MASTER!$J:$J,0)),"mmddyy"),""),_xlpm.slot,864+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09" s="4" t="str">
        <f t="array" ref="L109">_xlfn.LET(_xlpm.pos,"Max Planck plate 10: "&amp;$A10&amp;L$2,_xlpm.normal,IFERROR(INDEX(MASTER!$A:$A,MATCH(_xlpm.pos,MASTER!$J:$J,0))&amp;"_ser_0.20_"&amp;TEXT(INDEX(MASTER!$E:$E,MATCH(_xlpm.pos,MASTER!$J:$J,0)),"mmddyy"),""),_xlpm.slot,864+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09" s="4" t="str">
        <f t="array" ref="M109">_xlfn.LET(_xlpm.pos,"Max Planck plate 10: "&amp;$A10&amp;M$2,_xlpm.normal,IFERROR(INDEX(MASTER!$A:$A,MATCH(_xlpm.pos,MASTER!$J:$J,0))&amp;"_ser_0.20_"&amp;TEXT(INDEX(MASTER!$E:$E,MATCH(_xlpm.pos,MASTER!$J:$J,0)),"mmddyy"),""),_xlpm.slot,864+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10" spans="1:13" ht="22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22" customHeight="1" x14ac:dyDescent="0.35">
      <c r="A111" s="5"/>
      <c r="B111" s="31" t="s">
        <v>88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3"/>
    </row>
    <row r="112" spans="1:13" ht="22" customHeight="1" x14ac:dyDescent="0.3">
      <c r="A112" s="5"/>
      <c r="B112" s="6">
        <v>1</v>
      </c>
      <c r="C112" s="6">
        <v>2</v>
      </c>
      <c r="D112" s="6">
        <v>3</v>
      </c>
      <c r="E112" s="6">
        <v>4</v>
      </c>
      <c r="F112" s="6">
        <v>5</v>
      </c>
      <c r="G112" s="6">
        <v>6</v>
      </c>
      <c r="H112" s="6">
        <v>7</v>
      </c>
      <c r="I112" s="6">
        <v>8</v>
      </c>
      <c r="J112" s="6">
        <v>9</v>
      </c>
      <c r="K112" s="6">
        <v>10</v>
      </c>
      <c r="L112" s="6">
        <v>11</v>
      </c>
      <c r="M112" s="6">
        <v>12</v>
      </c>
    </row>
    <row r="113" spans="1:13" ht="22" customHeight="1" x14ac:dyDescent="0.3">
      <c r="A113" s="6" t="s">
        <v>30</v>
      </c>
      <c r="B113" s="4" t="str">
        <f t="array" ref="B113">_xlfn.LET(_xlpm.pos,"Max Planck plate 11: "&amp;$A3&amp;B$2,_xlpm.normal,IFERROR(INDEX(MASTER!$A:$A,MATCH(_xlpm.pos,MASTER!$J:$J,0))&amp;"_ser_0.20_"&amp;TEXT(INDEX(MASTER!$E:$E,MATCH(_xlpm.pos,MASTER!$J:$J,0)),"mmddyy"),""),_xlpm.slot,960+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13" s="4" t="str">
        <f t="array" ref="C113">_xlfn.LET(_xlpm.pos,"Max Planck plate 11: "&amp;$A3&amp;C$2,_xlpm.normal,IFERROR(INDEX(MASTER!$A:$A,MATCH(_xlpm.pos,MASTER!$J:$J,0))&amp;"_ser_0.20_"&amp;TEXT(INDEX(MASTER!$E:$E,MATCH(_xlpm.pos,MASTER!$J:$J,0)),"mmddyy"),""),_xlpm.slot,960+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13" s="4" t="str">
        <f t="array" ref="D113">_xlfn.LET(_xlpm.pos,"Max Planck plate 11: "&amp;$A3&amp;D$2,_xlpm.normal,IFERROR(INDEX(MASTER!$A:$A,MATCH(_xlpm.pos,MASTER!$J:$J,0))&amp;"_ser_0.20_"&amp;TEXT(INDEX(MASTER!$E:$E,MATCH(_xlpm.pos,MASTER!$J:$J,0)),"mmddyy"),""),_xlpm.slot,960+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13" s="4" t="str">
        <f t="array" ref="E113">_xlfn.LET(_xlpm.pos,"Max Planck plate 11: "&amp;$A3&amp;E$2,_xlpm.normal,IFERROR(INDEX(MASTER!$A:$A,MATCH(_xlpm.pos,MASTER!$J:$J,0))&amp;"_ser_0.20_"&amp;TEXT(INDEX(MASTER!$E:$E,MATCH(_xlpm.pos,MASTER!$J:$J,0)),"mmddyy"),""),_xlpm.slot,960+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13" s="4" t="str">
        <f t="array" ref="F113">_xlfn.LET(_xlpm.pos,"Max Planck plate 11: "&amp;$A3&amp;F$2,_xlpm.normal,IFERROR(INDEX(MASTER!$A:$A,MATCH(_xlpm.pos,MASTER!$J:$J,0))&amp;"_ser_0.20_"&amp;TEXT(INDEX(MASTER!$E:$E,MATCH(_xlpm.pos,MASTER!$J:$J,0)),"mmddyy"),""),_xlpm.slot,960+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13" s="4" t="str">
        <f t="array" ref="G113">_xlfn.LET(_xlpm.pos,"Max Planck plate 11: "&amp;$A3&amp;G$2,_xlpm.normal,IFERROR(INDEX(MASTER!$A:$A,MATCH(_xlpm.pos,MASTER!$J:$J,0))&amp;"_ser_0.20_"&amp;TEXT(INDEX(MASTER!$E:$E,MATCH(_xlpm.pos,MASTER!$J:$J,0)),"mmddyy"),""),_xlpm.slot,960+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13" s="4" t="str">
        <f t="array" ref="H113">_xlfn.LET(_xlpm.pos,"Max Planck plate 11: "&amp;$A3&amp;H$2,_xlpm.normal,IFERROR(INDEX(MASTER!$A:$A,MATCH(_xlpm.pos,MASTER!$J:$J,0))&amp;"_ser_0.20_"&amp;TEXT(INDEX(MASTER!$E:$E,MATCH(_xlpm.pos,MASTER!$J:$J,0)),"mmddyy"),""),_xlpm.slot,960+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13" s="4" t="str">
        <f t="array" ref="I113">_xlfn.LET(_xlpm.pos,"Max Planck plate 11: "&amp;$A3&amp;I$2,_xlpm.normal,IFERROR(INDEX(MASTER!$A:$A,MATCH(_xlpm.pos,MASTER!$J:$J,0))&amp;"_ser_0.20_"&amp;TEXT(INDEX(MASTER!$E:$E,MATCH(_xlpm.pos,MASTER!$J:$J,0)),"mmddyy"),""),_xlpm.slot,960+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13" s="4" t="str">
        <f t="array" ref="J113">_xlfn.LET(_xlpm.pos,"Max Planck plate 11: "&amp;$A3&amp;J$2,_xlpm.normal,IFERROR(INDEX(MASTER!$A:$A,MATCH(_xlpm.pos,MASTER!$J:$J,0))&amp;"_ser_0.20_"&amp;TEXT(INDEX(MASTER!$E:$E,MATCH(_xlpm.pos,MASTER!$J:$J,0)),"mmddyy"),""),_xlpm.slot,960+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13" s="4" t="str">
        <f t="array" ref="K113">_xlfn.LET(_xlpm.pos,"Max Planck plate 11: "&amp;$A3&amp;K$2,_xlpm.normal,IFERROR(INDEX(MASTER!$A:$A,MATCH(_xlpm.pos,MASTER!$J:$J,0))&amp;"_ser_0.20_"&amp;TEXT(INDEX(MASTER!$E:$E,MATCH(_xlpm.pos,MASTER!$J:$J,0)),"mmddyy"),""),_xlpm.slot,960+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13" s="4" t="str">
        <f t="array" ref="L113">_xlfn.LET(_xlpm.pos,"Max Planck plate 11: "&amp;$A3&amp;L$2,_xlpm.normal,IFERROR(INDEX(MASTER!$A:$A,MATCH(_xlpm.pos,MASTER!$J:$J,0))&amp;"_ser_0.20_"&amp;TEXT(INDEX(MASTER!$E:$E,MATCH(_xlpm.pos,MASTER!$J:$J,0)),"mmddyy"),""),_xlpm.slot,960+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13" s="4" t="str">
        <f t="array" ref="M113">_xlfn.LET(_xlpm.pos,"Max Planck plate 11: "&amp;$A3&amp;M$2,_xlpm.normal,IFERROR(INDEX(MASTER!$A:$A,MATCH(_xlpm.pos,MASTER!$J:$J,0))&amp;"_ser_0.20_"&amp;TEXT(INDEX(MASTER!$E:$E,MATCH(_xlpm.pos,MASTER!$J:$J,0)),"mmddyy"),""),_xlpm.slot,960+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14" spans="1:13" ht="22" customHeight="1" x14ac:dyDescent="0.3">
      <c r="A114" s="6" t="s">
        <v>31</v>
      </c>
      <c r="B114" s="4" t="str">
        <f t="array" ref="B114">_xlfn.LET(_xlpm.pos,"Max Planck plate 11: "&amp;$A4&amp;B$2,_xlpm.normal,IFERROR(INDEX(MASTER!$A:$A,MATCH(_xlpm.pos,MASTER!$J:$J,0))&amp;"_ser_0.20_"&amp;TEXT(INDEX(MASTER!$E:$E,MATCH(_xlpm.pos,MASTER!$J:$J,0)),"mmddyy"),""),_xlpm.slot,960+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14" s="4" t="str">
        <f t="array" ref="C114">_xlfn.LET(_xlpm.pos,"Max Planck plate 11: "&amp;$A4&amp;C$2,_xlpm.normal,IFERROR(INDEX(MASTER!$A:$A,MATCH(_xlpm.pos,MASTER!$J:$J,0))&amp;"_ser_0.20_"&amp;TEXT(INDEX(MASTER!$E:$E,MATCH(_xlpm.pos,MASTER!$J:$J,0)),"mmddyy"),""),_xlpm.slot,960+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14" s="4" t="str">
        <f t="array" ref="D114">_xlfn.LET(_xlpm.pos,"Max Planck plate 11: "&amp;$A4&amp;D$2,_xlpm.normal,IFERROR(INDEX(MASTER!$A:$A,MATCH(_xlpm.pos,MASTER!$J:$J,0))&amp;"_ser_0.20_"&amp;TEXT(INDEX(MASTER!$E:$E,MATCH(_xlpm.pos,MASTER!$J:$J,0)),"mmddyy"),""),_xlpm.slot,960+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14" s="4" t="str">
        <f t="array" ref="E114">_xlfn.LET(_xlpm.pos,"Max Planck plate 11: "&amp;$A4&amp;E$2,_xlpm.normal,IFERROR(INDEX(MASTER!$A:$A,MATCH(_xlpm.pos,MASTER!$J:$J,0))&amp;"_ser_0.20_"&amp;TEXT(INDEX(MASTER!$E:$E,MATCH(_xlpm.pos,MASTER!$J:$J,0)),"mmddyy"),""),_xlpm.slot,960+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14" s="4" t="str">
        <f t="array" ref="F114">_xlfn.LET(_xlpm.pos,"Max Planck plate 11: "&amp;$A4&amp;F$2,_xlpm.normal,IFERROR(INDEX(MASTER!$A:$A,MATCH(_xlpm.pos,MASTER!$J:$J,0))&amp;"_ser_0.20_"&amp;TEXT(INDEX(MASTER!$E:$E,MATCH(_xlpm.pos,MASTER!$J:$J,0)),"mmddyy"),""),_xlpm.slot,960+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14" s="4" t="str">
        <f t="array" ref="G114">_xlfn.LET(_xlpm.pos,"Max Planck plate 11: "&amp;$A4&amp;G$2,_xlpm.normal,IFERROR(INDEX(MASTER!$A:$A,MATCH(_xlpm.pos,MASTER!$J:$J,0))&amp;"_ser_0.20_"&amp;TEXT(INDEX(MASTER!$E:$E,MATCH(_xlpm.pos,MASTER!$J:$J,0)),"mmddyy"),""),_xlpm.slot,960+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14" s="4" t="str">
        <f t="array" ref="H114">_xlfn.LET(_xlpm.pos,"Max Planck plate 11: "&amp;$A4&amp;H$2,_xlpm.normal,IFERROR(INDEX(MASTER!$A:$A,MATCH(_xlpm.pos,MASTER!$J:$J,0))&amp;"_ser_0.20_"&amp;TEXT(INDEX(MASTER!$E:$E,MATCH(_xlpm.pos,MASTER!$J:$J,0)),"mmddyy"),""),_xlpm.slot,960+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14" s="4" t="str">
        <f t="array" ref="I114">_xlfn.LET(_xlpm.pos,"Max Planck plate 11: "&amp;$A4&amp;I$2,_xlpm.normal,IFERROR(INDEX(MASTER!$A:$A,MATCH(_xlpm.pos,MASTER!$J:$J,0))&amp;"_ser_0.20_"&amp;TEXT(INDEX(MASTER!$E:$E,MATCH(_xlpm.pos,MASTER!$J:$J,0)),"mmddyy"),""),_xlpm.slot,960+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14" s="4" t="str">
        <f t="array" ref="J114">_xlfn.LET(_xlpm.pos,"Max Planck plate 11: "&amp;$A4&amp;J$2,_xlpm.normal,IFERROR(INDEX(MASTER!$A:$A,MATCH(_xlpm.pos,MASTER!$J:$J,0))&amp;"_ser_0.20_"&amp;TEXT(INDEX(MASTER!$E:$E,MATCH(_xlpm.pos,MASTER!$J:$J,0)),"mmddyy"),""),_xlpm.slot,960+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14" s="4" t="str">
        <f t="array" ref="K114">_xlfn.LET(_xlpm.pos,"Max Planck plate 11: "&amp;$A4&amp;K$2,_xlpm.normal,IFERROR(INDEX(MASTER!$A:$A,MATCH(_xlpm.pos,MASTER!$J:$J,0))&amp;"_ser_0.20_"&amp;TEXT(INDEX(MASTER!$E:$E,MATCH(_xlpm.pos,MASTER!$J:$J,0)),"mmddyy"),""),_xlpm.slot,960+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14" s="4" t="str">
        <f t="array" ref="L114">_xlfn.LET(_xlpm.pos,"Max Planck plate 11: "&amp;$A4&amp;L$2,_xlpm.normal,IFERROR(INDEX(MASTER!$A:$A,MATCH(_xlpm.pos,MASTER!$J:$J,0))&amp;"_ser_0.20_"&amp;TEXT(INDEX(MASTER!$E:$E,MATCH(_xlpm.pos,MASTER!$J:$J,0)),"mmddyy"),""),_xlpm.slot,960+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14" s="4" t="str">
        <f t="array" ref="M114">_xlfn.LET(_xlpm.pos,"Max Planck plate 11: "&amp;$A4&amp;M$2,_xlpm.normal,IFERROR(INDEX(MASTER!$A:$A,MATCH(_xlpm.pos,MASTER!$J:$J,0))&amp;"_ser_0.20_"&amp;TEXT(INDEX(MASTER!$E:$E,MATCH(_xlpm.pos,MASTER!$J:$J,0)),"mmddyy"),""),_xlpm.slot,960+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15" spans="1:13" ht="22" customHeight="1" x14ac:dyDescent="0.3">
      <c r="A115" s="6" t="s">
        <v>32</v>
      </c>
      <c r="B115" s="4" t="str">
        <f t="array" ref="B115">_xlfn.LET(_xlpm.pos,"Max Planck plate 11: "&amp;$A5&amp;B$2,_xlpm.normal,IFERROR(INDEX(MASTER!$A:$A,MATCH(_xlpm.pos,MASTER!$J:$J,0))&amp;"_ser_0.20_"&amp;TEXT(INDEX(MASTER!$E:$E,MATCH(_xlpm.pos,MASTER!$J:$J,0)),"mmddyy"),""),_xlpm.slot,960+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15" s="4" t="str">
        <f t="array" ref="C115">_xlfn.LET(_xlpm.pos,"Max Planck plate 11: "&amp;$A5&amp;C$2,_xlpm.normal,IFERROR(INDEX(MASTER!$A:$A,MATCH(_xlpm.pos,MASTER!$J:$J,0))&amp;"_ser_0.20_"&amp;TEXT(INDEX(MASTER!$E:$E,MATCH(_xlpm.pos,MASTER!$J:$J,0)),"mmddyy"),""),_xlpm.slot,960+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15" s="4" t="str">
        <f t="array" ref="D115">_xlfn.LET(_xlpm.pos,"Max Planck plate 11: "&amp;$A5&amp;D$2,_xlpm.normal,IFERROR(INDEX(MASTER!$A:$A,MATCH(_xlpm.pos,MASTER!$J:$J,0))&amp;"_ser_0.20_"&amp;TEXT(INDEX(MASTER!$E:$E,MATCH(_xlpm.pos,MASTER!$J:$J,0)),"mmddyy"),""),_xlpm.slot,960+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15" s="4" t="str">
        <f t="array" ref="E115">_xlfn.LET(_xlpm.pos,"Max Planck plate 11: "&amp;$A5&amp;E$2,_xlpm.normal,IFERROR(INDEX(MASTER!$A:$A,MATCH(_xlpm.pos,MASTER!$J:$J,0))&amp;"_ser_0.20_"&amp;TEXT(INDEX(MASTER!$E:$E,MATCH(_xlpm.pos,MASTER!$J:$J,0)),"mmddyy"),""),_xlpm.slot,960+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15" s="4" t="str">
        <f t="array" ref="F115">_xlfn.LET(_xlpm.pos,"Max Planck plate 11: "&amp;$A5&amp;F$2,_xlpm.normal,IFERROR(INDEX(MASTER!$A:$A,MATCH(_xlpm.pos,MASTER!$J:$J,0))&amp;"_ser_0.20_"&amp;TEXT(INDEX(MASTER!$E:$E,MATCH(_xlpm.pos,MASTER!$J:$J,0)),"mmddyy"),""),_xlpm.slot,960+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15" s="4" t="str">
        <f t="array" ref="G115">_xlfn.LET(_xlpm.pos,"Max Planck plate 11: "&amp;$A5&amp;G$2,_xlpm.normal,IFERROR(INDEX(MASTER!$A:$A,MATCH(_xlpm.pos,MASTER!$J:$J,0))&amp;"_ser_0.20_"&amp;TEXT(INDEX(MASTER!$E:$E,MATCH(_xlpm.pos,MASTER!$J:$J,0)),"mmddyy"),""),_xlpm.slot,960+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15" s="4" t="str">
        <f t="array" ref="H115">_xlfn.LET(_xlpm.pos,"Max Planck plate 11: "&amp;$A5&amp;H$2,_xlpm.normal,IFERROR(INDEX(MASTER!$A:$A,MATCH(_xlpm.pos,MASTER!$J:$J,0))&amp;"_ser_0.20_"&amp;TEXT(INDEX(MASTER!$E:$E,MATCH(_xlpm.pos,MASTER!$J:$J,0)),"mmddyy"),""),_xlpm.slot,960+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15" s="4" t="str">
        <f t="array" ref="I115">_xlfn.LET(_xlpm.pos,"Max Planck plate 11: "&amp;$A5&amp;I$2,_xlpm.normal,IFERROR(INDEX(MASTER!$A:$A,MATCH(_xlpm.pos,MASTER!$J:$J,0))&amp;"_ser_0.20_"&amp;TEXT(INDEX(MASTER!$E:$E,MATCH(_xlpm.pos,MASTER!$J:$J,0)),"mmddyy"),""),_xlpm.slot,960+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15" s="4" t="str">
        <f t="array" ref="J115">_xlfn.LET(_xlpm.pos,"Max Planck plate 11: "&amp;$A5&amp;J$2,_xlpm.normal,IFERROR(INDEX(MASTER!$A:$A,MATCH(_xlpm.pos,MASTER!$J:$J,0))&amp;"_ser_0.20_"&amp;TEXT(INDEX(MASTER!$E:$E,MATCH(_xlpm.pos,MASTER!$J:$J,0)),"mmddyy"),""),_xlpm.slot,960+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15" s="4" t="str">
        <f t="array" ref="K115">_xlfn.LET(_xlpm.pos,"Max Planck plate 11: "&amp;$A5&amp;K$2,_xlpm.normal,IFERROR(INDEX(MASTER!$A:$A,MATCH(_xlpm.pos,MASTER!$J:$J,0))&amp;"_ser_0.20_"&amp;TEXT(INDEX(MASTER!$E:$E,MATCH(_xlpm.pos,MASTER!$J:$J,0)),"mmddyy"),""),_xlpm.slot,960+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15" s="4" t="str">
        <f t="array" ref="L115">_xlfn.LET(_xlpm.pos,"Max Planck plate 11: "&amp;$A5&amp;L$2,_xlpm.normal,IFERROR(INDEX(MASTER!$A:$A,MATCH(_xlpm.pos,MASTER!$J:$J,0))&amp;"_ser_0.20_"&amp;TEXT(INDEX(MASTER!$E:$E,MATCH(_xlpm.pos,MASTER!$J:$J,0)),"mmddyy"),""),_xlpm.slot,960+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15" s="4" t="str">
        <f t="array" ref="M115">_xlfn.LET(_xlpm.pos,"Max Planck plate 11: "&amp;$A5&amp;M$2,_xlpm.normal,IFERROR(INDEX(MASTER!$A:$A,MATCH(_xlpm.pos,MASTER!$J:$J,0))&amp;"_ser_0.20_"&amp;TEXT(INDEX(MASTER!$E:$E,MATCH(_xlpm.pos,MASTER!$J:$J,0)),"mmddyy"),""),_xlpm.slot,960+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16" spans="1:13" ht="22" customHeight="1" x14ac:dyDescent="0.3">
      <c r="A116" s="6" t="s">
        <v>33</v>
      </c>
      <c r="B116" s="4" t="str">
        <f t="array" ref="B116">_xlfn.LET(_xlpm.pos,"Max Planck plate 11: "&amp;$A6&amp;B$2,_xlpm.normal,IFERROR(INDEX(MASTER!$A:$A,MATCH(_xlpm.pos,MASTER!$J:$J,0))&amp;"_ser_0.20_"&amp;TEXT(INDEX(MASTER!$E:$E,MATCH(_xlpm.pos,MASTER!$J:$J,0)),"mmddyy"),""),_xlpm.slot,960+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16" s="4" t="str">
        <f t="array" ref="C116">_xlfn.LET(_xlpm.pos,"Max Planck plate 11: "&amp;$A6&amp;C$2,_xlpm.normal,IFERROR(INDEX(MASTER!$A:$A,MATCH(_xlpm.pos,MASTER!$J:$J,0))&amp;"_ser_0.20_"&amp;TEXT(INDEX(MASTER!$E:$E,MATCH(_xlpm.pos,MASTER!$J:$J,0)),"mmddyy"),""),_xlpm.slot,960+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16" s="4" t="str">
        <f t="array" ref="D116">_xlfn.LET(_xlpm.pos,"Max Planck plate 11: "&amp;$A6&amp;D$2,_xlpm.normal,IFERROR(INDEX(MASTER!$A:$A,MATCH(_xlpm.pos,MASTER!$J:$J,0))&amp;"_ser_0.20_"&amp;TEXT(INDEX(MASTER!$E:$E,MATCH(_xlpm.pos,MASTER!$J:$J,0)),"mmddyy"),""),_xlpm.slot,960+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16" s="4" t="str">
        <f t="array" ref="E116">_xlfn.LET(_xlpm.pos,"Max Planck plate 11: "&amp;$A6&amp;E$2,_xlpm.normal,IFERROR(INDEX(MASTER!$A:$A,MATCH(_xlpm.pos,MASTER!$J:$J,0))&amp;"_ser_0.20_"&amp;TEXT(INDEX(MASTER!$E:$E,MATCH(_xlpm.pos,MASTER!$J:$J,0)),"mmddyy"),""),_xlpm.slot,960+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16" s="4" t="str">
        <f t="array" ref="F116">_xlfn.LET(_xlpm.pos,"Max Planck plate 11: "&amp;$A6&amp;F$2,_xlpm.normal,IFERROR(INDEX(MASTER!$A:$A,MATCH(_xlpm.pos,MASTER!$J:$J,0))&amp;"_ser_0.20_"&amp;TEXT(INDEX(MASTER!$E:$E,MATCH(_xlpm.pos,MASTER!$J:$J,0)),"mmddyy"),""),_xlpm.slot,960+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16" s="4" t="str">
        <f t="array" ref="G116">_xlfn.LET(_xlpm.pos,"Max Planck plate 11: "&amp;$A6&amp;G$2,_xlpm.normal,IFERROR(INDEX(MASTER!$A:$A,MATCH(_xlpm.pos,MASTER!$J:$J,0))&amp;"_ser_0.20_"&amp;TEXT(INDEX(MASTER!$E:$E,MATCH(_xlpm.pos,MASTER!$J:$J,0)),"mmddyy"),""),_xlpm.slot,960+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16" s="4" t="str">
        <f t="array" ref="H116">_xlfn.LET(_xlpm.pos,"Max Planck plate 11: "&amp;$A6&amp;H$2,_xlpm.normal,IFERROR(INDEX(MASTER!$A:$A,MATCH(_xlpm.pos,MASTER!$J:$J,0))&amp;"_ser_0.20_"&amp;TEXT(INDEX(MASTER!$E:$E,MATCH(_xlpm.pos,MASTER!$J:$J,0)),"mmddyy"),""),_xlpm.slot,960+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16" s="4" t="str">
        <f t="array" ref="I116">_xlfn.LET(_xlpm.pos,"Max Planck plate 11: "&amp;$A6&amp;I$2,_xlpm.normal,IFERROR(INDEX(MASTER!$A:$A,MATCH(_xlpm.pos,MASTER!$J:$J,0))&amp;"_ser_0.20_"&amp;TEXT(INDEX(MASTER!$E:$E,MATCH(_xlpm.pos,MASTER!$J:$J,0)),"mmddyy"),""),_xlpm.slot,960+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16" s="4" t="str">
        <f t="array" ref="J116">_xlfn.LET(_xlpm.pos,"Max Planck plate 11: "&amp;$A6&amp;J$2,_xlpm.normal,IFERROR(INDEX(MASTER!$A:$A,MATCH(_xlpm.pos,MASTER!$J:$J,0))&amp;"_ser_0.20_"&amp;TEXT(INDEX(MASTER!$E:$E,MATCH(_xlpm.pos,MASTER!$J:$J,0)),"mmddyy"),""),_xlpm.slot,960+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16" s="4" t="str">
        <f t="array" ref="K116">_xlfn.LET(_xlpm.pos,"Max Planck plate 11: "&amp;$A6&amp;K$2,_xlpm.normal,IFERROR(INDEX(MASTER!$A:$A,MATCH(_xlpm.pos,MASTER!$J:$J,0))&amp;"_ser_0.20_"&amp;TEXT(INDEX(MASTER!$E:$E,MATCH(_xlpm.pos,MASTER!$J:$J,0)),"mmddyy"),""),_xlpm.slot,960+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16" s="4" t="str">
        <f t="array" ref="L116">_xlfn.LET(_xlpm.pos,"Max Planck plate 11: "&amp;$A6&amp;L$2,_xlpm.normal,IFERROR(INDEX(MASTER!$A:$A,MATCH(_xlpm.pos,MASTER!$J:$J,0))&amp;"_ser_0.20_"&amp;TEXT(INDEX(MASTER!$E:$E,MATCH(_xlpm.pos,MASTER!$J:$J,0)),"mmddyy"),""),_xlpm.slot,960+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16" s="4" t="str">
        <f t="array" ref="M116">_xlfn.LET(_xlpm.pos,"Max Planck plate 11: "&amp;$A6&amp;M$2,_xlpm.normal,IFERROR(INDEX(MASTER!$A:$A,MATCH(_xlpm.pos,MASTER!$J:$J,0))&amp;"_ser_0.20_"&amp;TEXT(INDEX(MASTER!$E:$E,MATCH(_xlpm.pos,MASTER!$J:$J,0)),"mmddyy"),""),_xlpm.slot,960+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17" spans="1:13" ht="22" customHeight="1" x14ac:dyDescent="0.3">
      <c r="A117" s="6" t="s">
        <v>34</v>
      </c>
      <c r="B117" s="4" t="str">
        <f t="array" ref="B117">_xlfn.LET(_xlpm.pos,"Max Planck plate 11: "&amp;$A7&amp;B$2,_xlpm.normal,IFERROR(INDEX(MASTER!$A:$A,MATCH(_xlpm.pos,MASTER!$J:$J,0))&amp;"_ser_0.20_"&amp;TEXT(INDEX(MASTER!$E:$E,MATCH(_xlpm.pos,MASTER!$J:$J,0)),"mmddyy"),""),_xlpm.slot,960+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17" s="4" t="str">
        <f t="array" ref="C117">_xlfn.LET(_xlpm.pos,"Max Planck plate 11: "&amp;$A7&amp;C$2,_xlpm.normal,IFERROR(INDEX(MASTER!$A:$A,MATCH(_xlpm.pos,MASTER!$J:$J,0))&amp;"_ser_0.20_"&amp;TEXT(INDEX(MASTER!$E:$E,MATCH(_xlpm.pos,MASTER!$J:$J,0)),"mmddyy"),""),_xlpm.slot,960+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17" s="4" t="str">
        <f t="array" ref="D117">_xlfn.LET(_xlpm.pos,"Max Planck plate 11: "&amp;$A7&amp;D$2,_xlpm.normal,IFERROR(INDEX(MASTER!$A:$A,MATCH(_xlpm.pos,MASTER!$J:$J,0))&amp;"_ser_0.20_"&amp;TEXT(INDEX(MASTER!$E:$E,MATCH(_xlpm.pos,MASTER!$J:$J,0)),"mmddyy"),""),_xlpm.slot,960+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17" s="4" t="str">
        <f t="array" ref="E117">_xlfn.LET(_xlpm.pos,"Max Planck plate 11: "&amp;$A7&amp;E$2,_xlpm.normal,IFERROR(INDEX(MASTER!$A:$A,MATCH(_xlpm.pos,MASTER!$J:$J,0))&amp;"_ser_0.20_"&amp;TEXT(INDEX(MASTER!$E:$E,MATCH(_xlpm.pos,MASTER!$J:$J,0)),"mmddyy"),""),_xlpm.slot,960+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17" s="4" t="str">
        <f t="array" ref="F117">_xlfn.LET(_xlpm.pos,"Max Planck plate 11: "&amp;$A7&amp;F$2,_xlpm.normal,IFERROR(INDEX(MASTER!$A:$A,MATCH(_xlpm.pos,MASTER!$J:$J,0))&amp;"_ser_0.20_"&amp;TEXT(INDEX(MASTER!$E:$E,MATCH(_xlpm.pos,MASTER!$J:$J,0)),"mmddyy"),""),_xlpm.slot,960+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17" s="4" t="str">
        <f t="array" ref="G117">_xlfn.LET(_xlpm.pos,"Max Planck plate 11: "&amp;$A7&amp;G$2,_xlpm.normal,IFERROR(INDEX(MASTER!$A:$A,MATCH(_xlpm.pos,MASTER!$J:$J,0))&amp;"_ser_0.20_"&amp;TEXT(INDEX(MASTER!$E:$E,MATCH(_xlpm.pos,MASTER!$J:$J,0)),"mmddyy"),""),_xlpm.slot,960+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17" s="4" t="str">
        <f t="array" ref="H117">_xlfn.LET(_xlpm.pos,"Max Planck plate 11: "&amp;$A7&amp;H$2,_xlpm.normal,IFERROR(INDEX(MASTER!$A:$A,MATCH(_xlpm.pos,MASTER!$J:$J,0))&amp;"_ser_0.20_"&amp;TEXT(INDEX(MASTER!$E:$E,MATCH(_xlpm.pos,MASTER!$J:$J,0)),"mmddyy"),""),_xlpm.slot,960+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17" s="4" t="str">
        <f t="array" ref="I117">_xlfn.LET(_xlpm.pos,"Max Planck plate 11: "&amp;$A7&amp;I$2,_xlpm.normal,IFERROR(INDEX(MASTER!$A:$A,MATCH(_xlpm.pos,MASTER!$J:$J,0))&amp;"_ser_0.20_"&amp;TEXT(INDEX(MASTER!$E:$E,MATCH(_xlpm.pos,MASTER!$J:$J,0)),"mmddyy"),""),_xlpm.slot,960+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17" s="4" t="str">
        <f t="array" ref="J117">_xlfn.LET(_xlpm.pos,"Max Planck plate 11: "&amp;$A7&amp;J$2,_xlpm.normal,IFERROR(INDEX(MASTER!$A:$A,MATCH(_xlpm.pos,MASTER!$J:$J,0))&amp;"_ser_0.20_"&amp;TEXT(INDEX(MASTER!$E:$E,MATCH(_xlpm.pos,MASTER!$J:$J,0)),"mmddyy"),""),_xlpm.slot,960+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17" s="4" t="str">
        <f t="array" ref="K117">_xlfn.LET(_xlpm.pos,"Max Planck plate 11: "&amp;$A7&amp;K$2,_xlpm.normal,IFERROR(INDEX(MASTER!$A:$A,MATCH(_xlpm.pos,MASTER!$J:$J,0))&amp;"_ser_0.20_"&amp;TEXT(INDEX(MASTER!$E:$E,MATCH(_xlpm.pos,MASTER!$J:$J,0)),"mmddyy"),""),_xlpm.slot,960+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17" s="4" t="str">
        <f t="array" ref="L117">_xlfn.LET(_xlpm.pos,"Max Planck plate 11: "&amp;$A7&amp;L$2,_xlpm.normal,IFERROR(INDEX(MASTER!$A:$A,MATCH(_xlpm.pos,MASTER!$J:$J,0))&amp;"_ser_0.20_"&amp;TEXT(INDEX(MASTER!$E:$E,MATCH(_xlpm.pos,MASTER!$J:$J,0)),"mmddyy"),""),_xlpm.slot,960+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17" s="4" t="str">
        <f t="array" ref="M117">_xlfn.LET(_xlpm.pos,"Max Planck plate 11: "&amp;$A7&amp;M$2,_xlpm.normal,IFERROR(INDEX(MASTER!$A:$A,MATCH(_xlpm.pos,MASTER!$J:$J,0))&amp;"_ser_0.20_"&amp;TEXT(INDEX(MASTER!$E:$E,MATCH(_xlpm.pos,MASTER!$J:$J,0)),"mmddyy"),""),_xlpm.slot,960+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18" spans="1:13" ht="22" customHeight="1" x14ac:dyDescent="0.3">
      <c r="A118" s="6" t="s">
        <v>15</v>
      </c>
      <c r="B118" s="4" t="str">
        <f t="array" ref="B118">_xlfn.LET(_xlpm.pos,"Max Planck plate 11: "&amp;$A8&amp;B$2,_xlpm.normal,IFERROR(INDEX(MASTER!$A:$A,MATCH(_xlpm.pos,MASTER!$J:$J,0))&amp;"_ser_0.20_"&amp;TEXT(INDEX(MASTER!$E:$E,MATCH(_xlpm.pos,MASTER!$J:$J,0)),"mmddyy"),""),_xlpm.slot,960+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18" s="4" t="str">
        <f t="array" ref="C118">_xlfn.LET(_xlpm.pos,"Max Planck plate 11: "&amp;$A8&amp;C$2,_xlpm.normal,IFERROR(INDEX(MASTER!$A:$A,MATCH(_xlpm.pos,MASTER!$J:$J,0))&amp;"_ser_0.20_"&amp;TEXT(INDEX(MASTER!$E:$E,MATCH(_xlpm.pos,MASTER!$J:$J,0)),"mmddyy"),""),_xlpm.slot,960+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18" s="4" t="str">
        <f t="array" ref="D118">_xlfn.LET(_xlpm.pos,"Max Planck plate 11: "&amp;$A8&amp;D$2,_xlpm.normal,IFERROR(INDEX(MASTER!$A:$A,MATCH(_xlpm.pos,MASTER!$J:$J,0))&amp;"_ser_0.20_"&amp;TEXT(INDEX(MASTER!$E:$E,MATCH(_xlpm.pos,MASTER!$J:$J,0)),"mmddyy"),""),_xlpm.slot,960+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18" s="4" t="str">
        <f t="array" ref="E118">_xlfn.LET(_xlpm.pos,"Max Planck plate 11: "&amp;$A8&amp;E$2,_xlpm.normal,IFERROR(INDEX(MASTER!$A:$A,MATCH(_xlpm.pos,MASTER!$J:$J,0))&amp;"_ser_0.20_"&amp;TEXT(INDEX(MASTER!$E:$E,MATCH(_xlpm.pos,MASTER!$J:$J,0)),"mmddyy"),""),_xlpm.slot,960+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18" s="4" t="str">
        <f t="array" ref="F118">_xlfn.LET(_xlpm.pos,"Max Planck plate 11: "&amp;$A8&amp;F$2,_xlpm.normal,IFERROR(INDEX(MASTER!$A:$A,MATCH(_xlpm.pos,MASTER!$J:$J,0))&amp;"_ser_0.20_"&amp;TEXT(INDEX(MASTER!$E:$E,MATCH(_xlpm.pos,MASTER!$J:$J,0)),"mmddyy"),""),_xlpm.slot,960+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18" s="4" t="str">
        <f t="array" ref="G118">_xlfn.LET(_xlpm.pos,"Max Planck plate 11: "&amp;$A8&amp;G$2,_xlpm.normal,IFERROR(INDEX(MASTER!$A:$A,MATCH(_xlpm.pos,MASTER!$J:$J,0))&amp;"_ser_0.20_"&amp;TEXT(INDEX(MASTER!$E:$E,MATCH(_xlpm.pos,MASTER!$J:$J,0)),"mmddyy"),""),_xlpm.slot,960+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18" s="4" t="str">
        <f t="array" ref="H118">_xlfn.LET(_xlpm.pos,"Max Planck plate 11: "&amp;$A8&amp;H$2,_xlpm.normal,IFERROR(INDEX(MASTER!$A:$A,MATCH(_xlpm.pos,MASTER!$J:$J,0))&amp;"_ser_0.20_"&amp;TEXT(INDEX(MASTER!$E:$E,MATCH(_xlpm.pos,MASTER!$J:$J,0)),"mmddyy"),""),_xlpm.slot,960+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18" s="4" t="str">
        <f t="array" ref="I118">_xlfn.LET(_xlpm.pos,"Max Planck plate 11: "&amp;$A8&amp;I$2,_xlpm.normal,IFERROR(INDEX(MASTER!$A:$A,MATCH(_xlpm.pos,MASTER!$J:$J,0))&amp;"_ser_0.20_"&amp;TEXT(INDEX(MASTER!$E:$E,MATCH(_xlpm.pos,MASTER!$J:$J,0)),"mmddyy"),""),_xlpm.slot,960+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18" s="4" t="str">
        <f t="array" ref="J118">_xlfn.LET(_xlpm.pos,"Max Planck plate 11: "&amp;$A8&amp;J$2,_xlpm.normal,IFERROR(INDEX(MASTER!$A:$A,MATCH(_xlpm.pos,MASTER!$J:$J,0))&amp;"_ser_0.20_"&amp;TEXT(INDEX(MASTER!$E:$E,MATCH(_xlpm.pos,MASTER!$J:$J,0)),"mmddyy"),""),_xlpm.slot,960+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18" s="4" t="str">
        <f t="array" ref="K118">_xlfn.LET(_xlpm.pos,"Max Planck plate 11: "&amp;$A8&amp;K$2,_xlpm.normal,IFERROR(INDEX(MASTER!$A:$A,MATCH(_xlpm.pos,MASTER!$J:$J,0))&amp;"_ser_0.20_"&amp;TEXT(INDEX(MASTER!$E:$E,MATCH(_xlpm.pos,MASTER!$J:$J,0)),"mmddyy"),""),_xlpm.slot,960+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18" s="4" t="str">
        <f t="array" ref="L118">_xlfn.LET(_xlpm.pos,"Max Planck plate 11: "&amp;$A8&amp;L$2,_xlpm.normal,IFERROR(INDEX(MASTER!$A:$A,MATCH(_xlpm.pos,MASTER!$J:$J,0))&amp;"_ser_0.20_"&amp;TEXT(INDEX(MASTER!$E:$E,MATCH(_xlpm.pos,MASTER!$J:$J,0)),"mmddyy"),""),_xlpm.slot,960+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18" s="4" t="str">
        <f t="array" ref="M118">_xlfn.LET(_xlpm.pos,"Max Planck plate 11: "&amp;$A8&amp;M$2,_xlpm.normal,IFERROR(INDEX(MASTER!$A:$A,MATCH(_xlpm.pos,MASTER!$J:$J,0))&amp;"_ser_0.20_"&amp;TEXT(INDEX(MASTER!$E:$E,MATCH(_xlpm.pos,MASTER!$J:$J,0)),"mmddyy"),""),_xlpm.slot,960+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19" spans="1:13" ht="22" customHeight="1" x14ac:dyDescent="0.3">
      <c r="A119" s="6" t="s">
        <v>35</v>
      </c>
      <c r="B119" s="4" t="str">
        <f t="array" ref="B119">_xlfn.LET(_xlpm.pos,"Max Planck plate 11: "&amp;$A9&amp;B$2,_xlpm.normal,IFERROR(INDEX(MASTER!$A:$A,MATCH(_xlpm.pos,MASTER!$J:$J,0))&amp;"_ser_0.20_"&amp;TEXT(INDEX(MASTER!$E:$E,MATCH(_xlpm.pos,MASTER!$J:$J,0)),"mmddyy"),""),_xlpm.slot,960+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19" s="4" t="str">
        <f t="array" ref="C119">_xlfn.LET(_xlpm.pos,"Max Planck plate 11: "&amp;$A9&amp;C$2,_xlpm.normal,IFERROR(INDEX(MASTER!$A:$A,MATCH(_xlpm.pos,MASTER!$J:$J,0))&amp;"_ser_0.20_"&amp;TEXT(INDEX(MASTER!$E:$E,MATCH(_xlpm.pos,MASTER!$J:$J,0)),"mmddyy"),""),_xlpm.slot,960+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19" s="4" t="str">
        <f t="array" ref="D119">_xlfn.LET(_xlpm.pos,"Max Planck plate 11: "&amp;$A9&amp;D$2,_xlpm.normal,IFERROR(INDEX(MASTER!$A:$A,MATCH(_xlpm.pos,MASTER!$J:$J,0))&amp;"_ser_0.20_"&amp;TEXT(INDEX(MASTER!$E:$E,MATCH(_xlpm.pos,MASTER!$J:$J,0)),"mmddyy"),""),_xlpm.slot,960+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19" s="4" t="str">
        <f t="array" ref="E119">_xlfn.LET(_xlpm.pos,"Max Planck plate 11: "&amp;$A9&amp;E$2,_xlpm.normal,IFERROR(INDEX(MASTER!$A:$A,MATCH(_xlpm.pos,MASTER!$J:$J,0))&amp;"_ser_0.20_"&amp;TEXT(INDEX(MASTER!$E:$E,MATCH(_xlpm.pos,MASTER!$J:$J,0)),"mmddyy"),""),_xlpm.slot,960+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19" s="4" t="str">
        <f t="array" ref="F119">_xlfn.LET(_xlpm.pos,"Max Planck plate 11: "&amp;$A9&amp;F$2,_xlpm.normal,IFERROR(INDEX(MASTER!$A:$A,MATCH(_xlpm.pos,MASTER!$J:$J,0))&amp;"_ser_0.20_"&amp;TEXT(INDEX(MASTER!$E:$E,MATCH(_xlpm.pos,MASTER!$J:$J,0)),"mmddyy"),""),_xlpm.slot,960+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19" s="4" t="str">
        <f t="array" ref="G119">_xlfn.LET(_xlpm.pos,"Max Planck plate 11: "&amp;$A9&amp;G$2,_xlpm.normal,IFERROR(INDEX(MASTER!$A:$A,MATCH(_xlpm.pos,MASTER!$J:$J,0))&amp;"_ser_0.20_"&amp;TEXT(INDEX(MASTER!$E:$E,MATCH(_xlpm.pos,MASTER!$J:$J,0)),"mmddyy"),""),_xlpm.slot,960+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19" s="4" t="str">
        <f t="array" ref="H119">_xlfn.LET(_xlpm.pos,"Max Planck plate 11: "&amp;$A9&amp;H$2,_xlpm.normal,IFERROR(INDEX(MASTER!$A:$A,MATCH(_xlpm.pos,MASTER!$J:$J,0))&amp;"_ser_0.20_"&amp;TEXT(INDEX(MASTER!$E:$E,MATCH(_xlpm.pos,MASTER!$J:$J,0)),"mmddyy"),""),_xlpm.slot,960+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19" s="4" t="str">
        <f t="array" ref="I119">_xlfn.LET(_xlpm.pos,"Max Planck plate 11: "&amp;$A9&amp;I$2,_xlpm.normal,IFERROR(INDEX(MASTER!$A:$A,MATCH(_xlpm.pos,MASTER!$J:$J,0))&amp;"_ser_0.20_"&amp;TEXT(INDEX(MASTER!$E:$E,MATCH(_xlpm.pos,MASTER!$J:$J,0)),"mmddyy"),""),_xlpm.slot,960+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19" s="4" t="str">
        <f t="array" ref="J119">_xlfn.LET(_xlpm.pos,"Max Planck plate 11: "&amp;$A9&amp;J$2,_xlpm.normal,IFERROR(INDEX(MASTER!$A:$A,MATCH(_xlpm.pos,MASTER!$J:$J,0))&amp;"_ser_0.20_"&amp;TEXT(INDEX(MASTER!$E:$E,MATCH(_xlpm.pos,MASTER!$J:$J,0)),"mmddyy"),""),_xlpm.slot,960+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19" s="4" t="str">
        <f t="array" ref="K119">_xlfn.LET(_xlpm.pos,"Max Planck plate 11: "&amp;$A9&amp;K$2,_xlpm.normal,IFERROR(INDEX(MASTER!$A:$A,MATCH(_xlpm.pos,MASTER!$J:$J,0))&amp;"_ser_0.20_"&amp;TEXT(INDEX(MASTER!$E:$E,MATCH(_xlpm.pos,MASTER!$J:$J,0)),"mmddyy"),""),_xlpm.slot,960+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19" s="4" t="str">
        <f t="array" ref="L119">_xlfn.LET(_xlpm.pos,"Max Planck plate 11: "&amp;$A9&amp;L$2,_xlpm.normal,IFERROR(INDEX(MASTER!$A:$A,MATCH(_xlpm.pos,MASTER!$J:$J,0))&amp;"_ser_0.20_"&amp;TEXT(INDEX(MASTER!$E:$E,MATCH(_xlpm.pos,MASTER!$J:$J,0)),"mmddyy"),""),_xlpm.slot,960+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19" s="4" t="str">
        <f t="array" ref="M119">_xlfn.LET(_xlpm.pos,"Max Planck plate 11: "&amp;$A9&amp;M$2,_xlpm.normal,IFERROR(INDEX(MASTER!$A:$A,MATCH(_xlpm.pos,MASTER!$J:$J,0))&amp;"_ser_0.20_"&amp;TEXT(INDEX(MASTER!$E:$E,MATCH(_xlpm.pos,MASTER!$J:$J,0)),"mmddyy"),""),_xlpm.slot,960+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20" spans="1:13" ht="22" customHeight="1" x14ac:dyDescent="0.3">
      <c r="A120" s="6" t="s">
        <v>36</v>
      </c>
      <c r="B120" s="4" t="str">
        <f t="array" ref="B120">_xlfn.LET(_xlpm.pos,"Max Planck plate 11: "&amp;$A10&amp;B$2,_xlpm.normal,IFERROR(INDEX(MASTER!$A:$A,MATCH(_xlpm.pos,MASTER!$J:$J,0))&amp;"_ser_0.20_"&amp;TEXT(INDEX(MASTER!$E:$E,MATCH(_xlpm.pos,MASTER!$J:$J,0)),"mmddyy"),""),_xlpm.slot,960+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20" s="4" t="str">
        <f t="array" ref="C120">_xlfn.LET(_xlpm.pos,"Max Planck plate 11: "&amp;$A10&amp;C$2,_xlpm.normal,IFERROR(INDEX(MASTER!$A:$A,MATCH(_xlpm.pos,MASTER!$J:$J,0))&amp;"_ser_0.20_"&amp;TEXT(INDEX(MASTER!$E:$E,MATCH(_xlpm.pos,MASTER!$J:$J,0)),"mmddyy"),""),_xlpm.slot,960+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20" s="4" t="str">
        <f t="array" ref="D120">_xlfn.LET(_xlpm.pos,"Max Planck plate 11: "&amp;$A10&amp;D$2,_xlpm.normal,IFERROR(INDEX(MASTER!$A:$A,MATCH(_xlpm.pos,MASTER!$J:$J,0))&amp;"_ser_0.20_"&amp;TEXT(INDEX(MASTER!$E:$E,MATCH(_xlpm.pos,MASTER!$J:$J,0)),"mmddyy"),""),_xlpm.slot,960+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20" s="4" t="str">
        <f t="array" ref="E120">_xlfn.LET(_xlpm.pos,"Max Planck plate 11: "&amp;$A10&amp;E$2,_xlpm.normal,IFERROR(INDEX(MASTER!$A:$A,MATCH(_xlpm.pos,MASTER!$J:$J,0))&amp;"_ser_0.20_"&amp;TEXT(INDEX(MASTER!$E:$E,MATCH(_xlpm.pos,MASTER!$J:$J,0)),"mmddyy"),""),_xlpm.slot,960+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20" s="4" t="str">
        <f t="array" ref="F120">_xlfn.LET(_xlpm.pos,"Max Planck plate 11: "&amp;$A10&amp;F$2,_xlpm.normal,IFERROR(INDEX(MASTER!$A:$A,MATCH(_xlpm.pos,MASTER!$J:$J,0))&amp;"_ser_0.20_"&amp;TEXT(INDEX(MASTER!$E:$E,MATCH(_xlpm.pos,MASTER!$J:$J,0)),"mmddyy"),""),_xlpm.slot,960+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20" s="4" t="str">
        <f t="array" ref="G120">_xlfn.LET(_xlpm.pos,"Max Planck plate 11: "&amp;$A10&amp;G$2,_xlpm.normal,IFERROR(INDEX(MASTER!$A:$A,MATCH(_xlpm.pos,MASTER!$J:$J,0))&amp;"_ser_0.20_"&amp;TEXT(INDEX(MASTER!$E:$E,MATCH(_xlpm.pos,MASTER!$J:$J,0)),"mmddyy"),""),_xlpm.slot,960+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20" s="4" t="str">
        <f t="array" ref="H120">_xlfn.LET(_xlpm.pos,"Max Planck plate 11: "&amp;$A10&amp;H$2,_xlpm.normal,IFERROR(INDEX(MASTER!$A:$A,MATCH(_xlpm.pos,MASTER!$J:$J,0))&amp;"_ser_0.20_"&amp;TEXT(INDEX(MASTER!$E:$E,MATCH(_xlpm.pos,MASTER!$J:$J,0)),"mmddyy"),""),_xlpm.slot,960+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20" s="4" t="str">
        <f t="array" ref="I120">_xlfn.LET(_xlpm.pos,"Max Planck plate 11: "&amp;$A10&amp;I$2,_xlpm.normal,IFERROR(INDEX(MASTER!$A:$A,MATCH(_xlpm.pos,MASTER!$J:$J,0))&amp;"_ser_0.20_"&amp;TEXT(INDEX(MASTER!$E:$E,MATCH(_xlpm.pos,MASTER!$J:$J,0)),"mmddyy"),""),_xlpm.slot,960+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20" s="4" t="str">
        <f t="array" ref="J120">_xlfn.LET(_xlpm.pos,"Max Planck plate 11: "&amp;$A10&amp;J$2,_xlpm.normal,IFERROR(INDEX(MASTER!$A:$A,MATCH(_xlpm.pos,MASTER!$J:$J,0))&amp;"_ser_0.20_"&amp;TEXT(INDEX(MASTER!$E:$E,MATCH(_xlpm.pos,MASTER!$J:$J,0)),"mmddyy"),""),_xlpm.slot,960+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20" s="4" t="str">
        <f t="array" ref="K120">_xlfn.LET(_xlpm.pos,"Max Planck plate 11: "&amp;$A10&amp;K$2,_xlpm.normal,IFERROR(INDEX(MASTER!$A:$A,MATCH(_xlpm.pos,MASTER!$J:$J,0))&amp;"_ser_0.20_"&amp;TEXT(INDEX(MASTER!$E:$E,MATCH(_xlpm.pos,MASTER!$J:$J,0)),"mmddyy"),""),_xlpm.slot,960+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20" s="4" t="str">
        <f t="array" ref="L120">_xlfn.LET(_xlpm.pos,"Max Planck plate 11: "&amp;$A10&amp;L$2,_xlpm.normal,IFERROR(INDEX(MASTER!$A:$A,MATCH(_xlpm.pos,MASTER!$J:$J,0))&amp;"_ser_0.20_"&amp;TEXT(INDEX(MASTER!$E:$E,MATCH(_xlpm.pos,MASTER!$J:$J,0)),"mmddyy"),""),_xlpm.slot,960+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20" s="4" t="str">
        <f t="array" ref="M120">_xlfn.LET(_xlpm.pos,"Max Planck plate 11: "&amp;$A10&amp;M$2,_xlpm.normal,IFERROR(INDEX(MASTER!$A:$A,MATCH(_xlpm.pos,MASTER!$J:$J,0))&amp;"_ser_0.20_"&amp;TEXT(INDEX(MASTER!$E:$E,MATCH(_xlpm.pos,MASTER!$J:$J,0)),"mmddyy"),""),_xlpm.slot,960+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21" spans="1:13" ht="22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spans="1:13" ht="22" customHeight="1" x14ac:dyDescent="0.35">
      <c r="A122" s="5"/>
      <c r="B122" s="31" t="s">
        <v>89</v>
      </c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3"/>
    </row>
    <row r="123" spans="1:13" ht="22" customHeight="1" x14ac:dyDescent="0.3">
      <c r="A123" s="5"/>
      <c r="B123" s="6">
        <v>1</v>
      </c>
      <c r="C123" s="6">
        <v>2</v>
      </c>
      <c r="D123" s="6">
        <v>3</v>
      </c>
      <c r="E123" s="6">
        <v>4</v>
      </c>
      <c r="F123" s="6">
        <v>5</v>
      </c>
      <c r="G123" s="6">
        <v>6</v>
      </c>
      <c r="H123" s="6">
        <v>7</v>
      </c>
      <c r="I123" s="6">
        <v>8</v>
      </c>
      <c r="J123" s="6">
        <v>9</v>
      </c>
      <c r="K123" s="6">
        <v>10</v>
      </c>
      <c r="L123" s="6">
        <v>11</v>
      </c>
      <c r="M123" s="6">
        <v>12</v>
      </c>
    </row>
    <row r="124" spans="1:13" ht="22" customHeight="1" x14ac:dyDescent="0.3">
      <c r="A124" s="6" t="s">
        <v>30</v>
      </c>
      <c r="B124" s="4" t="str">
        <f t="array" ref="B124">_xlfn.LET(_xlpm.pos,"Max Planck plate 12: "&amp;$A3&amp;B$2,_xlpm.normal,IFERROR(INDEX(MASTER!$A:$A,MATCH(_xlpm.pos,MASTER!$J:$J,0))&amp;"_ser_0.20_"&amp;TEXT(INDEX(MASTER!$E:$E,MATCH(_xlpm.pos,MASTER!$J:$J,0)),"mmddyy"),""),_xlpm.slot,1056+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24" s="4" t="str">
        <f t="array" ref="C124">_xlfn.LET(_xlpm.pos,"Max Planck plate 12: "&amp;$A3&amp;C$2,_xlpm.normal,IFERROR(INDEX(MASTER!$A:$A,MATCH(_xlpm.pos,MASTER!$J:$J,0))&amp;"_ser_0.20_"&amp;TEXT(INDEX(MASTER!$E:$E,MATCH(_xlpm.pos,MASTER!$J:$J,0)),"mmddyy"),""),_xlpm.slot,1056+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24" s="4" t="str">
        <f t="array" ref="D124">_xlfn.LET(_xlpm.pos,"Max Planck plate 12: "&amp;$A3&amp;D$2,_xlpm.normal,IFERROR(INDEX(MASTER!$A:$A,MATCH(_xlpm.pos,MASTER!$J:$J,0))&amp;"_ser_0.20_"&amp;TEXT(INDEX(MASTER!$E:$E,MATCH(_xlpm.pos,MASTER!$J:$J,0)),"mmddyy"),""),_xlpm.slot,1056+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24" s="4" t="str">
        <f t="array" ref="E124">_xlfn.LET(_xlpm.pos,"Max Planck plate 12: "&amp;$A3&amp;E$2,_xlpm.normal,IFERROR(INDEX(MASTER!$A:$A,MATCH(_xlpm.pos,MASTER!$J:$J,0))&amp;"_ser_0.20_"&amp;TEXT(INDEX(MASTER!$E:$E,MATCH(_xlpm.pos,MASTER!$J:$J,0)),"mmddyy"),""),_xlpm.slot,1056+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24" s="4" t="str">
        <f t="array" ref="F124">_xlfn.LET(_xlpm.pos,"Max Planck plate 12: "&amp;$A3&amp;F$2,_xlpm.normal,IFERROR(INDEX(MASTER!$A:$A,MATCH(_xlpm.pos,MASTER!$J:$J,0))&amp;"_ser_0.20_"&amp;TEXT(INDEX(MASTER!$E:$E,MATCH(_xlpm.pos,MASTER!$J:$J,0)),"mmddyy"),""),_xlpm.slot,1056+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24" s="4" t="str">
        <f t="array" ref="G124">_xlfn.LET(_xlpm.pos,"Max Planck plate 12: "&amp;$A3&amp;G$2,_xlpm.normal,IFERROR(INDEX(MASTER!$A:$A,MATCH(_xlpm.pos,MASTER!$J:$J,0))&amp;"_ser_0.20_"&amp;TEXT(INDEX(MASTER!$E:$E,MATCH(_xlpm.pos,MASTER!$J:$J,0)),"mmddyy"),""),_xlpm.slot,1056+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24" s="4" t="str">
        <f t="array" ref="H124">_xlfn.LET(_xlpm.pos,"Max Planck plate 12: "&amp;$A3&amp;H$2,_xlpm.normal,IFERROR(INDEX(MASTER!$A:$A,MATCH(_xlpm.pos,MASTER!$J:$J,0))&amp;"_ser_0.20_"&amp;TEXT(INDEX(MASTER!$E:$E,MATCH(_xlpm.pos,MASTER!$J:$J,0)),"mmddyy"),""),_xlpm.slot,1056+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24" s="4" t="str">
        <f t="array" ref="I124">_xlfn.LET(_xlpm.pos,"Max Planck plate 12: "&amp;$A3&amp;I$2,_xlpm.normal,IFERROR(INDEX(MASTER!$A:$A,MATCH(_xlpm.pos,MASTER!$J:$J,0))&amp;"_ser_0.20_"&amp;TEXT(INDEX(MASTER!$E:$E,MATCH(_xlpm.pos,MASTER!$J:$J,0)),"mmddyy"),""),_xlpm.slot,1056+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24" s="4" t="str">
        <f t="array" ref="J124">_xlfn.LET(_xlpm.pos,"Max Planck plate 12: "&amp;$A3&amp;J$2,_xlpm.normal,IFERROR(INDEX(MASTER!$A:$A,MATCH(_xlpm.pos,MASTER!$J:$J,0))&amp;"_ser_0.20_"&amp;TEXT(INDEX(MASTER!$E:$E,MATCH(_xlpm.pos,MASTER!$J:$J,0)),"mmddyy"),""),_xlpm.slot,1056+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24" s="4" t="str">
        <f t="array" ref="K124">_xlfn.LET(_xlpm.pos,"Max Planck plate 12: "&amp;$A3&amp;K$2,_xlpm.normal,IFERROR(INDEX(MASTER!$A:$A,MATCH(_xlpm.pos,MASTER!$J:$J,0))&amp;"_ser_0.20_"&amp;TEXT(INDEX(MASTER!$E:$E,MATCH(_xlpm.pos,MASTER!$J:$J,0)),"mmddyy"),""),_xlpm.slot,1056+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24" s="4" t="str">
        <f t="array" ref="L124">_xlfn.LET(_xlpm.pos,"Max Planck plate 12: "&amp;$A3&amp;L$2,_xlpm.normal,IFERROR(INDEX(MASTER!$A:$A,MATCH(_xlpm.pos,MASTER!$J:$J,0))&amp;"_ser_0.20_"&amp;TEXT(INDEX(MASTER!$E:$E,MATCH(_xlpm.pos,MASTER!$J:$J,0)),"mmddyy"),""),_xlpm.slot,1056+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24" s="4" t="str">
        <f t="array" ref="M124">_xlfn.LET(_xlpm.pos,"Max Planck plate 12: "&amp;$A3&amp;M$2,_xlpm.normal,IFERROR(INDEX(MASTER!$A:$A,MATCH(_xlpm.pos,MASTER!$J:$J,0))&amp;"_ser_0.20_"&amp;TEXT(INDEX(MASTER!$E:$E,MATCH(_xlpm.pos,MASTER!$J:$J,0)),"mmddyy"),""),_xlpm.slot,1056+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25" spans="1:13" ht="22" customHeight="1" x14ac:dyDescent="0.3">
      <c r="A125" s="6" t="s">
        <v>31</v>
      </c>
      <c r="B125" s="4" t="str">
        <f t="array" ref="B125">_xlfn.LET(_xlpm.pos,"Max Planck plate 12: "&amp;$A4&amp;B$2,_xlpm.normal,IFERROR(INDEX(MASTER!$A:$A,MATCH(_xlpm.pos,MASTER!$J:$J,0))&amp;"_ser_0.20_"&amp;TEXT(INDEX(MASTER!$E:$E,MATCH(_xlpm.pos,MASTER!$J:$J,0)),"mmddyy"),""),_xlpm.slot,1056+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25" s="4" t="str">
        <f t="array" ref="C125">_xlfn.LET(_xlpm.pos,"Max Planck plate 12: "&amp;$A4&amp;C$2,_xlpm.normal,IFERROR(INDEX(MASTER!$A:$A,MATCH(_xlpm.pos,MASTER!$J:$J,0))&amp;"_ser_0.20_"&amp;TEXT(INDEX(MASTER!$E:$E,MATCH(_xlpm.pos,MASTER!$J:$J,0)),"mmddyy"),""),_xlpm.slot,1056+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25" s="4" t="str">
        <f t="array" ref="D125">_xlfn.LET(_xlpm.pos,"Max Planck plate 12: "&amp;$A4&amp;D$2,_xlpm.normal,IFERROR(INDEX(MASTER!$A:$A,MATCH(_xlpm.pos,MASTER!$J:$J,0))&amp;"_ser_0.20_"&amp;TEXT(INDEX(MASTER!$E:$E,MATCH(_xlpm.pos,MASTER!$J:$J,0)),"mmddyy"),""),_xlpm.slot,1056+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25" s="4" t="str">
        <f t="array" ref="E125">_xlfn.LET(_xlpm.pos,"Max Planck plate 12: "&amp;$A4&amp;E$2,_xlpm.normal,IFERROR(INDEX(MASTER!$A:$A,MATCH(_xlpm.pos,MASTER!$J:$J,0))&amp;"_ser_0.20_"&amp;TEXT(INDEX(MASTER!$E:$E,MATCH(_xlpm.pos,MASTER!$J:$J,0)),"mmddyy"),""),_xlpm.slot,1056+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25" s="4" t="str">
        <f t="array" ref="F125">_xlfn.LET(_xlpm.pos,"Max Planck plate 12: "&amp;$A4&amp;F$2,_xlpm.normal,IFERROR(INDEX(MASTER!$A:$A,MATCH(_xlpm.pos,MASTER!$J:$J,0))&amp;"_ser_0.20_"&amp;TEXT(INDEX(MASTER!$E:$E,MATCH(_xlpm.pos,MASTER!$J:$J,0)),"mmddyy"),""),_xlpm.slot,1056+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25" s="4" t="str">
        <f t="array" ref="G125">_xlfn.LET(_xlpm.pos,"Max Planck plate 12: "&amp;$A4&amp;G$2,_xlpm.normal,IFERROR(INDEX(MASTER!$A:$A,MATCH(_xlpm.pos,MASTER!$J:$J,0))&amp;"_ser_0.20_"&amp;TEXT(INDEX(MASTER!$E:$E,MATCH(_xlpm.pos,MASTER!$J:$J,0)),"mmddyy"),""),_xlpm.slot,1056+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25" s="4" t="str">
        <f t="array" ref="H125">_xlfn.LET(_xlpm.pos,"Max Planck plate 12: "&amp;$A4&amp;H$2,_xlpm.normal,IFERROR(INDEX(MASTER!$A:$A,MATCH(_xlpm.pos,MASTER!$J:$J,0))&amp;"_ser_0.20_"&amp;TEXT(INDEX(MASTER!$E:$E,MATCH(_xlpm.pos,MASTER!$J:$J,0)),"mmddyy"),""),_xlpm.slot,1056+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25" s="4" t="str">
        <f t="array" ref="I125">_xlfn.LET(_xlpm.pos,"Max Planck plate 12: "&amp;$A4&amp;I$2,_xlpm.normal,IFERROR(INDEX(MASTER!$A:$A,MATCH(_xlpm.pos,MASTER!$J:$J,0))&amp;"_ser_0.20_"&amp;TEXT(INDEX(MASTER!$E:$E,MATCH(_xlpm.pos,MASTER!$J:$J,0)),"mmddyy"),""),_xlpm.slot,1056+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25" s="4" t="str">
        <f t="array" ref="J125">_xlfn.LET(_xlpm.pos,"Max Planck plate 12: "&amp;$A4&amp;J$2,_xlpm.normal,IFERROR(INDEX(MASTER!$A:$A,MATCH(_xlpm.pos,MASTER!$J:$J,0))&amp;"_ser_0.20_"&amp;TEXT(INDEX(MASTER!$E:$E,MATCH(_xlpm.pos,MASTER!$J:$J,0)),"mmddyy"),""),_xlpm.slot,1056+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25" s="4" t="str">
        <f t="array" ref="K125">_xlfn.LET(_xlpm.pos,"Max Planck plate 12: "&amp;$A4&amp;K$2,_xlpm.normal,IFERROR(INDEX(MASTER!$A:$A,MATCH(_xlpm.pos,MASTER!$J:$J,0))&amp;"_ser_0.20_"&amp;TEXT(INDEX(MASTER!$E:$E,MATCH(_xlpm.pos,MASTER!$J:$J,0)),"mmddyy"),""),_xlpm.slot,1056+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25" s="4" t="str">
        <f t="array" ref="L125">_xlfn.LET(_xlpm.pos,"Max Planck plate 12: "&amp;$A4&amp;L$2,_xlpm.normal,IFERROR(INDEX(MASTER!$A:$A,MATCH(_xlpm.pos,MASTER!$J:$J,0))&amp;"_ser_0.20_"&amp;TEXT(INDEX(MASTER!$E:$E,MATCH(_xlpm.pos,MASTER!$J:$J,0)),"mmddyy"),""),_xlpm.slot,1056+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25" s="4" t="str">
        <f t="array" ref="M125">_xlfn.LET(_xlpm.pos,"Max Planck plate 12: "&amp;$A4&amp;M$2,_xlpm.normal,IFERROR(INDEX(MASTER!$A:$A,MATCH(_xlpm.pos,MASTER!$J:$J,0))&amp;"_ser_0.20_"&amp;TEXT(INDEX(MASTER!$E:$E,MATCH(_xlpm.pos,MASTER!$J:$J,0)),"mmddyy"),""),_xlpm.slot,1056+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26" spans="1:13" ht="22" customHeight="1" x14ac:dyDescent="0.3">
      <c r="A126" s="6" t="s">
        <v>32</v>
      </c>
      <c r="B126" s="4" t="str">
        <f t="array" ref="B126">_xlfn.LET(_xlpm.pos,"Max Planck plate 12: "&amp;$A5&amp;B$2,_xlpm.normal,IFERROR(INDEX(MASTER!$A:$A,MATCH(_xlpm.pos,MASTER!$J:$J,0))&amp;"_ser_0.20_"&amp;TEXT(INDEX(MASTER!$E:$E,MATCH(_xlpm.pos,MASTER!$J:$J,0)),"mmddyy"),""),_xlpm.slot,1056+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26" s="4" t="str">
        <f t="array" ref="C126">_xlfn.LET(_xlpm.pos,"Max Planck plate 12: "&amp;$A5&amp;C$2,_xlpm.normal,IFERROR(INDEX(MASTER!$A:$A,MATCH(_xlpm.pos,MASTER!$J:$J,0))&amp;"_ser_0.20_"&amp;TEXT(INDEX(MASTER!$E:$E,MATCH(_xlpm.pos,MASTER!$J:$J,0)),"mmddyy"),""),_xlpm.slot,1056+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26" s="4" t="str">
        <f t="array" ref="D126">_xlfn.LET(_xlpm.pos,"Max Planck plate 12: "&amp;$A5&amp;D$2,_xlpm.normal,IFERROR(INDEX(MASTER!$A:$A,MATCH(_xlpm.pos,MASTER!$J:$J,0))&amp;"_ser_0.20_"&amp;TEXT(INDEX(MASTER!$E:$E,MATCH(_xlpm.pos,MASTER!$J:$J,0)),"mmddyy"),""),_xlpm.slot,1056+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26" s="4" t="str">
        <f t="array" ref="E126">_xlfn.LET(_xlpm.pos,"Max Planck plate 12: "&amp;$A5&amp;E$2,_xlpm.normal,IFERROR(INDEX(MASTER!$A:$A,MATCH(_xlpm.pos,MASTER!$J:$J,0))&amp;"_ser_0.20_"&amp;TEXT(INDEX(MASTER!$E:$E,MATCH(_xlpm.pos,MASTER!$J:$J,0)),"mmddyy"),""),_xlpm.slot,1056+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26" s="4" t="str">
        <f t="array" ref="F126">_xlfn.LET(_xlpm.pos,"Max Planck plate 12: "&amp;$A5&amp;F$2,_xlpm.normal,IFERROR(INDEX(MASTER!$A:$A,MATCH(_xlpm.pos,MASTER!$J:$J,0))&amp;"_ser_0.20_"&amp;TEXT(INDEX(MASTER!$E:$E,MATCH(_xlpm.pos,MASTER!$J:$J,0)),"mmddyy"),""),_xlpm.slot,1056+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26" s="4" t="str">
        <f t="array" ref="G126">_xlfn.LET(_xlpm.pos,"Max Planck plate 12: "&amp;$A5&amp;G$2,_xlpm.normal,IFERROR(INDEX(MASTER!$A:$A,MATCH(_xlpm.pos,MASTER!$J:$J,0))&amp;"_ser_0.20_"&amp;TEXT(INDEX(MASTER!$E:$E,MATCH(_xlpm.pos,MASTER!$J:$J,0)),"mmddyy"),""),_xlpm.slot,1056+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26" s="4" t="str">
        <f t="array" ref="H126">_xlfn.LET(_xlpm.pos,"Max Planck plate 12: "&amp;$A5&amp;H$2,_xlpm.normal,IFERROR(INDEX(MASTER!$A:$A,MATCH(_xlpm.pos,MASTER!$J:$J,0))&amp;"_ser_0.20_"&amp;TEXT(INDEX(MASTER!$E:$E,MATCH(_xlpm.pos,MASTER!$J:$J,0)),"mmddyy"),""),_xlpm.slot,1056+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26" s="4" t="str">
        <f t="array" ref="I126">_xlfn.LET(_xlpm.pos,"Max Planck plate 12: "&amp;$A5&amp;I$2,_xlpm.normal,IFERROR(INDEX(MASTER!$A:$A,MATCH(_xlpm.pos,MASTER!$J:$J,0))&amp;"_ser_0.20_"&amp;TEXT(INDEX(MASTER!$E:$E,MATCH(_xlpm.pos,MASTER!$J:$J,0)),"mmddyy"),""),_xlpm.slot,1056+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26" s="4" t="str">
        <f t="array" ref="J126">_xlfn.LET(_xlpm.pos,"Max Planck plate 12: "&amp;$A5&amp;J$2,_xlpm.normal,IFERROR(INDEX(MASTER!$A:$A,MATCH(_xlpm.pos,MASTER!$J:$J,0))&amp;"_ser_0.20_"&amp;TEXT(INDEX(MASTER!$E:$E,MATCH(_xlpm.pos,MASTER!$J:$J,0)),"mmddyy"),""),_xlpm.slot,1056+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26" s="4" t="str">
        <f t="array" ref="K126">_xlfn.LET(_xlpm.pos,"Max Planck plate 12: "&amp;$A5&amp;K$2,_xlpm.normal,IFERROR(INDEX(MASTER!$A:$A,MATCH(_xlpm.pos,MASTER!$J:$J,0))&amp;"_ser_0.20_"&amp;TEXT(INDEX(MASTER!$E:$E,MATCH(_xlpm.pos,MASTER!$J:$J,0)),"mmddyy"),""),_xlpm.slot,1056+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26" s="4" t="str">
        <f t="array" ref="L126">_xlfn.LET(_xlpm.pos,"Max Planck plate 12: "&amp;$A5&amp;L$2,_xlpm.normal,IFERROR(INDEX(MASTER!$A:$A,MATCH(_xlpm.pos,MASTER!$J:$J,0))&amp;"_ser_0.20_"&amp;TEXT(INDEX(MASTER!$E:$E,MATCH(_xlpm.pos,MASTER!$J:$J,0)),"mmddyy"),""),_xlpm.slot,1056+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26" s="4" t="str">
        <f t="array" ref="M126">_xlfn.LET(_xlpm.pos,"Max Planck plate 12: "&amp;$A5&amp;M$2,_xlpm.normal,IFERROR(INDEX(MASTER!$A:$A,MATCH(_xlpm.pos,MASTER!$J:$J,0))&amp;"_ser_0.20_"&amp;TEXT(INDEX(MASTER!$E:$E,MATCH(_xlpm.pos,MASTER!$J:$J,0)),"mmddyy"),""),_xlpm.slot,1056+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27" spans="1:13" ht="22" customHeight="1" x14ac:dyDescent="0.3">
      <c r="A127" s="6" t="s">
        <v>33</v>
      </c>
      <c r="B127" s="4" t="str">
        <f t="array" ref="B127">_xlfn.LET(_xlpm.pos,"Max Planck plate 12: "&amp;$A6&amp;B$2,_xlpm.normal,IFERROR(INDEX(MASTER!$A:$A,MATCH(_xlpm.pos,MASTER!$J:$J,0))&amp;"_ser_0.20_"&amp;TEXT(INDEX(MASTER!$E:$E,MATCH(_xlpm.pos,MASTER!$J:$J,0)),"mmddyy"),""),_xlpm.slot,1056+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27" s="4" t="str">
        <f t="array" ref="C127">_xlfn.LET(_xlpm.pos,"Max Planck plate 12: "&amp;$A6&amp;C$2,_xlpm.normal,IFERROR(INDEX(MASTER!$A:$A,MATCH(_xlpm.pos,MASTER!$J:$J,0))&amp;"_ser_0.20_"&amp;TEXT(INDEX(MASTER!$E:$E,MATCH(_xlpm.pos,MASTER!$J:$J,0)),"mmddyy"),""),_xlpm.slot,1056+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27" s="4" t="str">
        <f t="array" ref="D127">_xlfn.LET(_xlpm.pos,"Max Planck plate 12: "&amp;$A6&amp;D$2,_xlpm.normal,IFERROR(INDEX(MASTER!$A:$A,MATCH(_xlpm.pos,MASTER!$J:$J,0))&amp;"_ser_0.20_"&amp;TEXT(INDEX(MASTER!$E:$E,MATCH(_xlpm.pos,MASTER!$J:$J,0)),"mmddyy"),""),_xlpm.slot,1056+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27" s="4" t="str">
        <f t="array" ref="E127">_xlfn.LET(_xlpm.pos,"Max Planck plate 12: "&amp;$A6&amp;E$2,_xlpm.normal,IFERROR(INDEX(MASTER!$A:$A,MATCH(_xlpm.pos,MASTER!$J:$J,0))&amp;"_ser_0.20_"&amp;TEXT(INDEX(MASTER!$E:$E,MATCH(_xlpm.pos,MASTER!$J:$J,0)),"mmddyy"),""),_xlpm.slot,1056+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27" s="4" t="str">
        <f t="array" ref="F127">_xlfn.LET(_xlpm.pos,"Max Planck plate 12: "&amp;$A6&amp;F$2,_xlpm.normal,IFERROR(INDEX(MASTER!$A:$A,MATCH(_xlpm.pos,MASTER!$J:$J,0))&amp;"_ser_0.20_"&amp;TEXT(INDEX(MASTER!$E:$E,MATCH(_xlpm.pos,MASTER!$J:$J,0)),"mmddyy"),""),_xlpm.slot,1056+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27" s="4" t="str">
        <f t="array" ref="G127">_xlfn.LET(_xlpm.pos,"Max Planck plate 12: "&amp;$A6&amp;G$2,_xlpm.normal,IFERROR(INDEX(MASTER!$A:$A,MATCH(_xlpm.pos,MASTER!$J:$J,0))&amp;"_ser_0.20_"&amp;TEXT(INDEX(MASTER!$E:$E,MATCH(_xlpm.pos,MASTER!$J:$J,0)),"mmddyy"),""),_xlpm.slot,1056+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27" s="4" t="str">
        <f t="array" ref="H127">_xlfn.LET(_xlpm.pos,"Max Planck plate 12: "&amp;$A6&amp;H$2,_xlpm.normal,IFERROR(INDEX(MASTER!$A:$A,MATCH(_xlpm.pos,MASTER!$J:$J,0))&amp;"_ser_0.20_"&amp;TEXT(INDEX(MASTER!$E:$E,MATCH(_xlpm.pos,MASTER!$J:$J,0)),"mmddyy"),""),_xlpm.slot,1056+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27" s="4" t="str">
        <f t="array" ref="I127">_xlfn.LET(_xlpm.pos,"Max Planck plate 12: "&amp;$A6&amp;I$2,_xlpm.normal,IFERROR(INDEX(MASTER!$A:$A,MATCH(_xlpm.pos,MASTER!$J:$J,0))&amp;"_ser_0.20_"&amp;TEXT(INDEX(MASTER!$E:$E,MATCH(_xlpm.pos,MASTER!$J:$J,0)),"mmddyy"),""),_xlpm.slot,1056+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27" s="4" t="str">
        <f t="array" ref="J127">_xlfn.LET(_xlpm.pos,"Max Planck plate 12: "&amp;$A6&amp;J$2,_xlpm.normal,IFERROR(INDEX(MASTER!$A:$A,MATCH(_xlpm.pos,MASTER!$J:$J,0))&amp;"_ser_0.20_"&amp;TEXT(INDEX(MASTER!$E:$E,MATCH(_xlpm.pos,MASTER!$J:$J,0)),"mmddyy"),""),_xlpm.slot,1056+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27" s="4" t="str">
        <f t="array" ref="K127">_xlfn.LET(_xlpm.pos,"Max Planck plate 12: "&amp;$A6&amp;K$2,_xlpm.normal,IFERROR(INDEX(MASTER!$A:$A,MATCH(_xlpm.pos,MASTER!$J:$J,0))&amp;"_ser_0.20_"&amp;TEXT(INDEX(MASTER!$E:$E,MATCH(_xlpm.pos,MASTER!$J:$J,0)),"mmddyy"),""),_xlpm.slot,1056+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27" s="4" t="str">
        <f t="array" ref="L127">_xlfn.LET(_xlpm.pos,"Max Planck plate 12: "&amp;$A6&amp;L$2,_xlpm.normal,IFERROR(INDEX(MASTER!$A:$A,MATCH(_xlpm.pos,MASTER!$J:$J,0))&amp;"_ser_0.20_"&amp;TEXT(INDEX(MASTER!$E:$E,MATCH(_xlpm.pos,MASTER!$J:$J,0)),"mmddyy"),""),_xlpm.slot,1056+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27" s="4" t="str">
        <f t="array" ref="M127">_xlfn.LET(_xlpm.pos,"Max Planck plate 12: "&amp;$A6&amp;M$2,_xlpm.normal,IFERROR(INDEX(MASTER!$A:$A,MATCH(_xlpm.pos,MASTER!$J:$J,0))&amp;"_ser_0.20_"&amp;TEXT(INDEX(MASTER!$E:$E,MATCH(_xlpm.pos,MASTER!$J:$J,0)),"mmddyy"),""),_xlpm.slot,1056+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28" spans="1:13" ht="22" customHeight="1" x14ac:dyDescent="0.3">
      <c r="A128" s="6" t="s">
        <v>34</v>
      </c>
      <c r="B128" s="4" t="str">
        <f t="array" ref="B128">_xlfn.LET(_xlpm.pos,"Max Planck plate 12: "&amp;$A7&amp;B$2,_xlpm.normal,IFERROR(INDEX(MASTER!$A:$A,MATCH(_xlpm.pos,MASTER!$J:$J,0))&amp;"_ser_0.20_"&amp;TEXT(INDEX(MASTER!$E:$E,MATCH(_xlpm.pos,MASTER!$J:$J,0)),"mmddyy"),""),_xlpm.slot,1056+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28" s="4" t="str">
        <f t="array" ref="C128">_xlfn.LET(_xlpm.pos,"Max Planck plate 12: "&amp;$A7&amp;C$2,_xlpm.normal,IFERROR(INDEX(MASTER!$A:$A,MATCH(_xlpm.pos,MASTER!$J:$J,0))&amp;"_ser_0.20_"&amp;TEXT(INDEX(MASTER!$E:$E,MATCH(_xlpm.pos,MASTER!$J:$J,0)),"mmddyy"),""),_xlpm.slot,1056+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28" s="4" t="str">
        <f t="array" ref="D128">_xlfn.LET(_xlpm.pos,"Max Planck plate 12: "&amp;$A7&amp;D$2,_xlpm.normal,IFERROR(INDEX(MASTER!$A:$A,MATCH(_xlpm.pos,MASTER!$J:$J,0))&amp;"_ser_0.20_"&amp;TEXT(INDEX(MASTER!$E:$E,MATCH(_xlpm.pos,MASTER!$J:$J,0)),"mmddyy"),""),_xlpm.slot,1056+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28" s="4" t="str">
        <f t="array" ref="E128">_xlfn.LET(_xlpm.pos,"Max Planck plate 12: "&amp;$A7&amp;E$2,_xlpm.normal,IFERROR(INDEX(MASTER!$A:$A,MATCH(_xlpm.pos,MASTER!$J:$J,0))&amp;"_ser_0.20_"&amp;TEXT(INDEX(MASTER!$E:$E,MATCH(_xlpm.pos,MASTER!$J:$J,0)),"mmddyy"),""),_xlpm.slot,1056+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28" s="4" t="str">
        <f t="array" ref="F128">_xlfn.LET(_xlpm.pos,"Max Planck plate 12: "&amp;$A7&amp;F$2,_xlpm.normal,IFERROR(INDEX(MASTER!$A:$A,MATCH(_xlpm.pos,MASTER!$J:$J,0))&amp;"_ser_0.20_"&amp;TEXT(INDEX(MASTER!$E:$E,MATCH(_xlpm.pos,MASTER!$J:$J,0)),"mmddyy"),""),_xlpm.slot,1056+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28" s="4" t="str">
        <f t="array" ref="G128">_xlfn.LET(_xlpm.pos,"Max Planck plate 12: "&amp;$A7&amp;G$2,_xlpm.normal,IFERROR(INDEX(MASTER!$A:$A,MATCH(_xlpm.pos,MASTER!$J:$J,0))&amp;"_ser_0.20_"&amp;TEXT(INDEX(MASTER!$E:$E,MATCH(_xlpm.pos,MASTER!$J:$J,0)),"mmddyy"),""),_xlpm.slot,1056+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28" s="4" t="str">
        <f t="array" ref="H128">_xlfn.LET(_xlpm.pos,"Max Planck plate 12: "&amp;$A7&amp;H$2,_xlpm.normal,IFERROR(INDEX(MASTER!$A:$A,MATCH(_xlpm.pos,MASTER!$J:$J,0))&amp;"_ser_0.20_"&amp;TEXT(INDEX(MASTER!$E:$E,MATCH(_xlpm.pos,MASTER!$J:$J,0)),"mmddyy"),""),_xlpm.slot,1056+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28" s="4" t="str">
        <f t="array" ref="I128">_xlfn.LET(_xlpm.pos,"Max Planck plate 12: "&amp;$A7&amp;I$2,_xlpm.normal,IFERROR(INDEX(MASTER!$A:$A,MATCH(_xlpm.pos,MASTER!$J:$J,0))&amp;"_ser_0.20_"&amp;TEXT(INDEX(MASTER!$E:$E,MATCH(_xlpm.pos,MASTER!$J:$J,0)),"mmddyy"),""),_xlpm.slot,1056+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28" s="4" t="str">
        <f t="array" ref="J128">_xlfn.LET(_xlpm.pos,"Max Planck plate 12: "&amp;$A7&amp;J$2,_xlpm.normal,IFERROR(INDEX(MASTER!$A:$A,MATCH(_xlpm.pos,MASTER!$J:$J,0))&amp;"_ser_0.20_"&amp;TEXT(INDEX(MASTER!$E:$E,MATCH(_xlpm.pos,MASTER!$J:$J,0)),"mmddyy"),""),_xlpm.slot,1056+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28" s="4" t="str">
        <f t="array" ref="K128">_xlfn.LET(_xlpm.pos,"Max Planck plate 12: "&amp;$A7&amp;K$2,_xlpm.normal,IFERROR(INDEX(MASTER!$A:$A,MATCH(_xlpm.pos,MASTER!$J:$J,0))&amp;"_ser_0.20_"&amp;TEXT(INDEX(MASTER!$E:$E,MATCH(_xlpm.pos,MASTER!$J:$J,0)),"mmddyy"),""),_xlpm.slot,1056+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28" s="4" t="str">
        <f t="array" ref="L128">_xlfn.LET(_xlpm.pos,"Max Planck plate 12: "&amp;$A7&amp;L$2,_xlpm.normal,IFERROR(INDEX(MASTER!$A:$A,MATCH(_xlpm.pos,MASTER!$J:$J,0))&amp;"_ser_0.20_"&amp;TEXT(INDEX(MASTER!$E:$E,MATCH(_xlpm.pos,MASTER!$J:$J,0)),"mmddyy"),""),_xlpm.slot,1056+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28" s="4" t="str">
        <f t="array" ref="M128">_xlfn.LET(_xlpm.pos,"Max Planck plate 12: "&amp;$A7&amp;M$2,_xlpm.normal,IFERROR(INDEX(MASTER!$A:$A,MATCH(_xlpm.pos,MASTER!$J:$J,0))&amp;"_ser_0.20_"&amp;TEXT(INDEX(MASTER!$E:$E,MATCH(_xlpm.pos,MASTER!$J:$J,0)),"mmddyy"),""),_xlpm.slot,1056+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29" spans="1:13" ht="22" customHeight="1" x14ac:dyDescent="0.3">
      <c r="A129" s="6" t="s">
        <v>15</v>
      </c>
      <c r="B129" s="4" t="str">
        <f t="array" ref="B129">_xlfn.LET(_xlpm.pos,"Max Planck plate 12: "&amp;$A8&amp;B$2,_xlpm.normal,IFERROR(INDEX(MASTER!$A:$A,MATCH(_xlpm.pos,MASTER!$J:$J,0))&amp;"_ser_0.20_"&amp;TEXT(INDEX(MASTER!$E:$E,MATCH(_xlpm.pos,MASTER!$J:$J,0)),"mmddyy"),""),_xlpm.slot,1056+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29" s="4" t="str">
        <f t="array" ref="C129">_xlfn.LET(_xlpm.pos,"Max Planck plate 12: "&amp;$A8&amp;C$2,_xlpm.normal,IFERROR(INDEX(MASTER!$A:$A,MATCH(_xlpm.pos,MASTER!$J:$J,0))&amp;"_ser_0.20_"&amp;TEXT(INDEX(MASTER!$E:$E,MATCH(_xlpm.pos,MASTER!$J:$J,0)),"mmddyy"),""),_xlpm.slot,1056+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29" s="4" t="str">
        <f t="array" ref="D129">_xlfn.LET(_xlpm.pos,"Max Planck plate 12: "&amp;$A8&amp;D$2,_xlpm.normal,IFERROR(INDEX(MASTER!$A:$A,MATCH(_xlpm.pos,MASTER!$J:$J,0))&amp;"_ser_0.20_"&amp;TEXT(INDEX(MASTER!$E:$E,MATCH(_xlpm.pos,MASTER!$J:$J,0)),"mmddyy"),""),_xlpm.slot,1056+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29" s="4" t="str">
        <f t="array" ref="E129">_xlfn.LET(_xlpm.pos,"Max Planck plate 12: "&amp;$A8&amp;E$2,_xlpm.normal,IFERROR(INDEX(MASTER!$A:$A,MATCH(_xlpm.pos,MASTER!$J:$J,0))&amp;"_ser_0.20_"&amp;TEXT(INDEX(MASTER!$E:$E,MATCH(_xlpm.pos,MASTER!$J:$J,0)),"mmddyy"),""),_xlpm.slot,1056+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29" s="4" t="str">
        <f t="array" ref="F129">_xlfn.LET(_xlpm.pos,"Max Planck plate 12: "&amp;$A8&amp;F$2,_xlpm.normal,IFERROR(INDEX(MASTER!$A:$A,MATCH(_xlpm.pos,MASTER!$J:$J,0))&amp;"_ser_0.20_"&amp;TEXT(INDEX(MASTER!$E:$E,MATCH(_xlpm.pos,MASTER!$J:$J,0)),"mmddyy"),""),_xlpm.slot,1056+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29" s="4" t="str">
        <f t="array" ref="G129">_xlfn.LET(_xlpm.pos,"Max Planck plate 12: "&amp;$A8&amp;G$2,_xlpm.normal,IFERROR(INDEX(MASTER!$A:$A,MATCH(_xlpm.pos,MASTER!$J:$J,0))&amp;"_ser_0.20_"&amp;TEXT(INDEX(MASTER!$E:$E,MATCH(_xlpm.pos,MASTER!$J:$J,0)),"mmddyy"),""),_xlpm.slot,1056+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29" s="4" t="str">
        <f t="array" ref="H129">_xlfn.LET(_xlpm.pos,"Max Planck plate 12: "&amp;$A8&amp;H$2,_xlpm.normal,IFERROR(INDEX(MASTER!$A:$A,MATCH(_xlpm.pos,MASTER!$J:$J,0))&amp;"_ser_0.20_"&amp;TEXT(INDEX(MASTER!$E:$E,MATCH(_xlpm.pos,MASTER!$J:$J,0)),"mmddyy"),""),_xlpm.slot,1056+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29" s="4" t="str">
        <f t="array" ref="I129">_xlfn.LET(_xlpm.pos,"Max Planck plate 12: "&amp;$A8&amp;I$2,_xlpm.normal,IFERROR(INDEX(MASTER!$A:$A,MATCH(_xlpm.pos,MASTER!$J:$J,0))&amp;"_ser_0.20_"&amp;TEXT(INDEX(MASTER!$E:$E,MATCH(_xlpm.pos,MASTER!$J:$J,0)),"mmddyy"),""),_xlpm.slot,1056+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29" s="4" t="str">
        <f t="array" ref="J129">_xlfn.LET(_xlpm.pos,"Max Planck plate 12: "&amp;$A8&amp;J$2,_xlpm.normal,IFERROR(INDEX(MASTER!$A:$A,MATCH(_xlpm.pos,MASTER!$J:$J,0))&amp;"_ser_0.20_"&amp;TEXT(INDEX(MASTER!$E:$E,MATCH(_xlpm.pos,MASTER!$J:$J,0)),"mmddyy"),""),_xlpm.slot,1056+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29" s="4" t="str">
        <f t="array" ref="K129">_xlfn.LET(_xlpm.pos,"Max Planck plate 12: "&amp;$A8&amp;K$2,_xlpm.normal,IFERROR(INDEX(MASTER!$A:$A,MATCH(_xlpm.pos,MASTER!$J:$J,0))&amp;"_ser_0.20_"&amp;TEXT(INDEX(MASTER!$E:$E,MATCH(_xlpm.pos,MASTER!$J:$J,0)),"mmddyy"),""),_xlpm.slot,1056+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29" s="4" t="str">
        <f t="array" ref="L129">_xlfn.LET(_xlpm.pos,"Max Planck plate 12: "&amp;$A8&amp;L$2,_xlpm.normal,IFERROR(INDEX(MASTER!$A:$A,MATCH(_xlpm.pos,MASTER!$J:$J,0))&amp;"_ser_0.20_"&amp;TEXT(INDEX(MASTER!$E:$E,MATCH(_xlpm.pos,MASTER!$J:$J,0)),"mmddyy"),""),_xlpm.slot,1056+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29" s="4" t="str">
        <f t="array" ref="M129">_xlfn.LET(_xlpm.pos,"Max Planck plate 12: "&amp;$A8&amp;M$2,_xlpm.normal,IFERROR(INDEX(MASTER!$A:$A,MATCH(_xlpm.pos,MASTER!$J:$J,0))&amp;"_ser_0.20_"&amp;TEXT(INDEX(MASTER!$E:$E,MATCH(_xlpm.pos,MASTER!$J:$J,0)),"mmddyy"),""),_xlpm.slot,1056+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30" spans="1:13" ht="22" customHeight="1" x14ac:dyDescent="0.3">
      <c r="A130" s="6" t="s">
        <v>35</v>
      </c>
      <c r="B130" s="4" t="str">
        <f t="array" ref="B130">_xlfn.LET(_xlpm.pos,"Max Planck plate 12: "&amp;$A9&amp;B$2,_xlpm.normal,IFERROR(INDEX(MASTER!$A:$A,MATCH(_xlpm.pos,MASTER!$J:$J,0))&amp;"_ser_0.20_"&amp;TEXT(INDEX(MASTER!$E:$E,MATCH(_xlpm.pos,MASTER!$J:$J,0)),"mmddyy"),""),_xlpm.slot,1056+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30" s="4" t="str">
        <f t="array" ref="C130">_xlfn.LET(_xlpm.pos,"Max Planck plate 12: "&amp;$A9&amp;C$2,_xlpm.normal,IFERROR(INDEX(MASTER!$A:$A,MATCH(_xlpm.pos,MASTER!$J:$J,0))&amp;"_ser_0.20_"&amp;TEXT(INDEX(MASTER!$E:$E,MATCH(_xlpm.pos,MASTER!$J:$J,0)),"mmddyy"),""),_xlpm.slot,1056+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30" s="4" t="str">
        <f t="array" ref="D130">_xlfn.LET(_xlpm.pos,"Max Planck plate 12: "&amp;$A9&amp;D$2,_xlpm.normal,IFERROR(INDEX(MASTER!$A:$A,MATCH(_xlpm.pos,MASTER!$J:$J,0))&amp;"_ser_0.20_"&amp;TEXT(INDEX(MASTER!$E:$E,MATCH(_xlpm.pos,MASTER!$J:$J,0)),"mmddyy"),""),_xlpm.slot,1056+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30" s="4" t="str">
        <f t="array" ref="E130">_xlfn.LET(_xlpm.pos,"Max Planck plate 12: "&amp;$A9&amp;E$2,_xlpm.normal,IFERROR(INDEX(MASTER!$A:$A,MATCH(_xlpm.pos,MASTER!$J:$J,0))&amp;"_ser_0.20_"&amp;TEXT(INDEX(MASTER!$E:$E,MATCH(_xlpm.pos,MASTER!$J:$J,0)),"mmddyy"),""),_xlpm.slot,1056+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30" s="4" t="str">
        <f t="array" ref="F130">_xlfn.LET(_xlpm.pos,"Max Planck plate 12: "&amp;$A9&amp;F$2,_xlpm.normal,IFERROR(INDEX(MASTER!$A:$A,MATCH(_xlpm.pos,MASTER!$J:$J,0))&amp;"_ser_0.20_"&amp;TEXT(INDEX(MASTER!$E:$E,MATCH(_xlpm.pos,MASTER!$J:$J,0)),"mmddyy"),""),_xlpm.slot,1056+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30" s="4" t="str">
        <f t="array" ref="G130">_xlfn.LET(_xlpm.pos,"Max Planck plate 12: "&amp;$A9&amp;G$2,_xlpm.normal,IFERROR(INDEX(MASTER!$A:$A,MATCH(_xlpm.pos,MASTER!$J:$J,0))&amp;"_ser_0.20_"&amp;TEXT(INDEX(MASTER!$E:$E,MATCH(_xlpm.pos,MASTER!$J:$J,0)),"mmddyy"),""),_xlpm.slot,1056+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30" s="4" t="str">
        <f t="array" ref="H130">_xlfn.LET(_xlpm.pos,"Max Planck plate 12: "&amp;$A9&amp;H$2,_xlpm.normal,IFERROR(INDEX(MASTER!$A:$A,MATCH(_xlpm.pos,MASTER!$J:$J,0))&amp;"_ser_0.20_"&amp;TEXT(INDEX(MASTER!$E:$E,MATCH(_xlpm.pos,MASTER!$J:$J,0)),"mmddyy"),""),_xlpm.slot,1056+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30" s="4" t="str">
        <f t="array" ref="I130">_xlfn.LET(_xlpm.pos,"Max Planck plate 12: "&amp;$A9&amp;I$2,_xlpm.normal,IFERROR(INDEX(MASTER!$A:$A,MATCH(_xlpm.pos,MASTER!$J:$J,0))&amp;"_ser_0.20_"&amp;TEXT(INDEX(MASTER!$E:$E,MATCH(_xlpm.pos,MASTER!$J:$J,0)),"mmddyy"),""),_xlpm.slot,1056+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30" s="4" t="str">
        <f t="array" ref="J130">_xlfn.LET(_xlpm.pos,"Max Planck plate 12: "&amp;$A9&amp;J$2,_xlpm.normal,IFERROR(INDEX(MASTER!$A:$A,MATCH(_xlpm.pos,MASTER!$J:$J,0))&amp;"_ser_0.20_"&amp;TEXT(INDEX(MASTER!$E:$E,MATCH(_xlpm.pos,MASTER!$J:$J,0)),"mmddyy"),""),_xlpm.slot,1056+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30" s="4" t="str">
        <f t="array" ref="K130">_xlfn.LET(_xlpm.pos,"Max Planck plate 12: "&amp;$A9&amp;K$2,_xlpm.normal,IFERROR(INDEX(MASTER!$A:$A,MATCH(_xlpm.pos,MASTER!$J:$J,0))&amp;"_ser_0.20_"&amp;TEXT(INDEX(MASTER!$E:$E,MATCH(_xlpm.pos,MASTER!$J:$J,0)),"mmddyy"),""),_xlpm.slot,1056+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30" s="4" t="str">
        <f t="array" ref="L130">_xlfn.LET(_xlpm.pos,"Max Planck plate 12: "&amp;$A9&amp;L$2,_xlpm.normal,IFERROR(INDEX(MASTER!$A:$A,MATCH(_xlpm.pos,MASTER!$J:$J,0))&amp;"_ser_0.20_"&amp;TEXT(INDEX(MASTER!$E:$E,MATCH(_xlpm.pos,MASTER!$J:$J,0)),"mmddyy"),""),_xlpm.slot,1056+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30" s="4" t="str">
        <f t="array" ref="M130">_xlfn.LET(_xlpm.pos,"Max Planck plate 12: "&amp;$A9&amp;M$2,_xlpm.normal,IFERROR(INDEX(MASTER!$A:$A,MATCH(_xlpm.pos,MASTER!$J:$J,0))&amp;"_ser_0.20_"&amp;TEXT(INDEX(MASTER!$E:$E,MATCH(_xlpm.pos,MASTER!$J:$J,0)),"mmddyy"),""),_xlpm.slot,1056+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31" spans="1:13" ht="22" customHeight="1" x14ac:dyDescent="0.3">
      <c r="A131" s="6" t="s">
        <v>36</v>
      </c>
      <c r="B131" s="4" t="str">
        <f t="array" ref="B131">_xlfn.LET(_xlpm.pos,"Max Planck plate 12: "&amp;$A10&amp;B$2,_xlpm.normal,IFERROR(INDEX(MASTER!$A:$A,MATCH(_xlpm.pos,MASTER!$J:$J,0))&amp;"_ser_0.20_"&amp;TEXT(INDEX(MASTER!$E:$E,MATCH(_xlpm.pos,MASTER!$J:$J,0)),"mmddyy"),""),_xlpm.slot,1056+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31" s="4" t="str">
        <f t="array" ref="C131">_xlfn.LET(_xlpm.pos,"Max Planck plate 12: "&amp;$A10&amp;C$2,_xlpm.normal,IFERROR(INDEX(MASTER!$A:$A,MATCH(_xlpm.pos,MASTER!$J:$J,0))&amp;"_ser_0.20_"&amp;TEXT(INDEX(MASTER!$E:$E,MATCH(_xlpm.pos,MASTER!$J:$J,0)),"mmddyy"),""),_xlpm.slot,1056+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31" s="4" t="str">
        <f t="array" ref="D131">_xlfn.LET(_xlpm.pos,"Max Planck plate 12: "&amp;$A10&amp;D$2,_xlpm.normal,IFERROR(INDEX(MASTER!$A:$A,MATCH(_xlpm.pos,MASTER!$J:$J,0))&amp;"_ser_0.20_"&amp;TEXT(INDEX(MASTER!$E:$E,MATCH(_xlpm.pos,MASTER!$J:$J,0)),"mmddyy"),""),_xlpm.slot,1056+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31" s="4" t="str">
        <f t="array" ref="E131">_xlfn.LET(_xlpm.pos,"Max Planck plate 12: "&amp;$A10&amp;E$2,_xlpm.normal,IFERROR(INDEX(MASTER!$A:$A,MATCH(_xlpm.pos,MASTER!$J:$J,0))&amp;"_ser_0.20_"&amp;TEXT(INDEX(MASTER!$E:$E,MATCH(_xlpm.pos,MASTER!$J:$J,0)),"mmddyy"),""),_xlpm.slot,1056+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31" s="4" t="str">
        <f t="array" ref="F131">_xlfn.LET(_xlpm.pos,"Max Planck plate 12: "&amp;$A10&amp;F$2,_xlpm.normal,IFERROR(INDEX(MASTER!$A:$A,MATCH(_xlpm.pos,MASTER!$J:$J,0))&amp;"_ser_0.20_"&amp;TEXT(INDEX(MASTER!$E:$E,MATCH(_xlpm.pos,MASTER!$J:$J,0)),"mmddyy"),""),_xlpm.slot,1056+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31" s="4" t="str">
        <f t="array" ref="G131">_xlfn.LET(_xlpm.pos,"Max Planck plate 12: "&amp;$A10&amp;G$2,_xlpm.normal,IFERROR(INDEX(MASTER!$A:$A,MATCH(_xlpm.pos,MASTER!$J:$J,0))&amp;"_ser_0.20_"&amp;TEXT(INDEX(MASTER!$E:$E,MATCH(_xlpm.pos,MASTER!$J:$J,0)),"mmddyy"),""),_xlpm.slot,1056+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31" s="4" t="str">
        <f t="array" ref="H131">_xlfn.LET(_xlpm.pos,"Max Planck plate 12: "&amp;$A10&amp;H$2,_xlpm.normal,IFERROR(INDEX(MASTER!$A:$A,MATCH(_xlpm.pos,MASTER!$J:$J,0))&amp;"_ser_0.20_"&amp;TEXT(INDEX(MASTER!$E:$E,MATCH(_xlpm.pos,MASTER!$J:$J,0)),"mmddyy"),""),_xlpm.slot,1056+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31" s="4" t="str">
        <f t="array" ref="I131">_xlfn.LET(_xlpm.pos,"Max Planck plate 12: "&amp;$A10&amp;I$2,_xlpm.normal,IFERROR(INDEX(MASTER!$A:$A,MATCH(_xlpm.pos,MASTER!$J:$J,0))&amp;"_ser_0.20_"&amp;TEXT(INDEX(MASTER!$E:$E,MATCH(_xlpm.pos,MASTER!$J:$J,0)),"mmddyy"),""),_xlpm.slot,1056+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31" s="4" t="str">
        <f t="array" ref="J131">_xlfn.LET(_xlpm.pos,"Max Planck plate 12: "&amp;$A10&amp;J$2,_xlpm.normal,IFERROR(INDEX(MASTER!$A:$A,MATCH(_xlpm.pos,MASTER!$J:$J,0))&amp;"_ser_0.20_"&amp;TEXT(INDEX(MASTER!$E:$E,MATCH(_xlpm.pos,MASTER!$J:$J,0)),"mmddyy"),""),_xlpm.slot,1056+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31" s="4" t="str">
        <f t="array" ref="K131">_xlfn.LET(_xlpm.pos,"Max Planck plate 12: "&amp;$A10&amp;K$2,_xlpm.normal,IFERROR(INDEX(MASTER!$A:$A,MATCH(_xlpm.pos,MASTER!$J:$J,0))&amp;"_ser_0.20_"&amp;TEXT(INDEX(MASTER!$E:$E,MATCH(_xlpm.pos,MASTER!$J:$J,0)),"mmddyy"),""),_xlpm.slot,1056+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31" s="4" t="str">
        <f t="array" ref="L131">_xlfn.LET(_xlpm.pos,"Max Planck plate 12: "&amp;$A10&amp;L$2,_xlpm.normal,IFERROR(INDEX(MASTER!$A:$A,MATCH(_xlpm.pos,MASTER!$J:$J,0))&amp;"_ser_0.20_"&amp;TEXT(INDEX(MASTER!$E:$E,MATCH(_xlpm.pos,MASTER!$J:$J,0)),"mmddyy"),""),_xlpm.slot,1056+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31" s="4" t="str">
        <f t="array" ref="M131">_xlfn.LET(_xlpm.pos,"Max Planck plate 12: "&amp;$A10&amp;M$2,_xlpm.normal,IFERROR(INDEX(MASTER!$A:$A,MATCH(_xlpm.pos,MASTER!$J:$J,0))&amp;"_ser_0.20_"&amp;TEXT(INDEX(MASTER!$E:$E,MATCH(_xlpm.pos,MASTER!$J:$J,0)),"mmddyy"),""),_xlpm.slot,1056+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32" spans="1:13" ht="22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spans="1:13" ht="22" customHeight="1" x14ac:dyDescent="0.35">
      <c r="A133" s="5"/>
      <c r="B133" s="31" t="s">
        <v>90</v>
      </c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3"/>
    </row>
    <row r="134" spans="1:13" ht="22" customHeight="1" x14ac:dyDescent="0.3">
      <c r="A134" s="5"/>
      <c r="B134" s="6">
        <v>1</v>
      </c>
      <c r="C134" s="6">
        <v>2</v>
      </c>
      <c r="D134" s="6">
        <v>3</v>
      </c>
      <c r="E134" s="6">
        <v>4</v>
      </c>
      <c r="F134" s="6">
        <v>5</v>
      </c>
      <c r="G134" s="6">
        <v>6</v>
      </c>
      <c r="H134" s="6">
        <v>7</v>
      </c>
      <c r="I134" s="6">
        <v>8</v>
      </c>
      <c r="J134" s="6">
        <v>9</v>
      </c>
      <c r="K134" s="6">
        <v>10</v>
      </c>
      <c r="L134" s="6">
        <v>11</v>
      </c>
      <c r="M134" s="6">
        <v>12</v>
      </c>
    </row>
    <row r="135" spans="1:13" ht="22" customHeight="1" x14ac:dyDescent="0.3">
      <c r="A135" s="6" t="s">
        <v>30</v>
      </c>
      <c r="B135" s="4" t="str">
        <f t="array" ref="B135">_xlfn.LET(_xlpm.pos,"Max Planck plate 13: "&amp;$A3&amp;B$2,_xlpm.normal,IFERROR(INDEX(MASTER!$A:$A,MATCH(_xlpm.pos,MASTER!$J:$J,0))&amp;"_ser_0.20_"&amp;TEXT(INDEX(MASTER!$E:$E,MATCH(_xlpm.pos,MASTER!$J:$J,0)),"mmddyy"),""),_xlpm.slot,1152+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35" s="4" t="str">
        <f t="array" ref="C135">_xlfn.LET(_xlpm.pos,"Max Planck plate 13: "&amp;$A3&amp;C$2,_xlpm.normal,IFERROR(INDEX(MASTER!$A:$A,MATCH(_xlpm.pos,MASTER!$J:$J,0))&amp;"_ser_0.20_"&amp;TEXT(INDEX(MASTER!$E:$E,MATCH(_xlpm.pos,MASTER!$J:$J,0)),"mmddyy"),""),_xlpm.slot,1152+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35" s="4" t="str">
        <f t="array" ref="D135">_xlfn.LET(_xlpm.pos,"Max Planck plate 13: "&amp;$A3&amp;D$2,_xlpm.normal,IFERROR(INDEX(MASTER!$A:$A,MATCH(_xlpm.pos,MASTER!$J:$J,0))&amp;"_ser_0.20_"&amp;TEXT(INDEX(MASTER!$E:$E,MATCH(_xlpm.pos,MASTER!$J:$J,0)),"mmddyy"),""),_xlpm.slot,1152+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35" s="4" t="str">
        <f t="array" ref="E135">_xlfn.LET(_xlpm.pos,"Max Planck plate 13: "&amp;$A3&amp;E$2,_xlpm.normal,IFERROR(INDEX(MASTER!$A:$A,MATCH(_xlpm.pos,MASTER!$J:$J,0))&amp;"_ser_0.20_"&amp;TEXT(INDEX(MASTER!$E:$E,MATCH(_xlpm.pos,MASTER!$J:$J,0)),"mmddyy"),""),_xlpm.slot,1152+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35" s="4" t="str">
        <f t="array" ref="F135">_xlfn.LET(_xlpm.pos,"Max Planck plate 13: "&amp;$A3&amp;F$2,_xlpm.normal,IFERROR(INDEX(MASTER!$A:$A,MATCH(_xlpm.pos,MASTER!$J:$J,0))&amp;"_ser_0.20_"&amp;TEXT(INDEX(MASTER!$E:$E,MATCH(_xlpm.pos,MASTER!$J:$J,0)),"mmddyy"),""),_xlpm.slot,1152+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35" s="4" t="str">
        <f t="array" ref="G135">_xlfn.LET(_xlpm.pos,"Max Planck plate 13: "&amp;$A3&amp;G$2,_xlpm.normal,IFERROR(INDEX(MASTER!$A:$A,MATCH(_xlpm.pos,MASTER!$J:$J,0))&amp;"_ser_0.20_"&amp;TEXT(INDEX(MASTER!$E:$E,MATCH(_xlpm.pos,MASTER!$J:$J,0)),"mmddyy"),""),_xlpm.slot,1152+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35" s="4" t="str">
        <f t="array" ref="H135">_xlfn.LET(_xlpm.pos,"Max Planck plate 13: "&amp;$A3&amp;H$2,_xlpm.normal,IFERROR(INDEX(MASTER!$A:$A,MATCH(_xlpm.pos,MASTER!$J:$J,0))&amp;"_ser_0.20_"&amp;TEXT(INDEX(MASTER!$E:$E,MATCH(_xlpm.pos,MASTER!$J:$J,0)),"mmddyy"),""),_xlpm.slot,1152+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35" s="4" t="str">
        <f t="array" ref="I135">_xlfn.LET(_xlpm.pos,"Max Planck plate 13: "&amp;$A3&amp;I$2,_xlpm.normal,IFERROR(INDEX(MASTER!$A:$A,MATCH(_xlpm.pos,MASTER!$J:$J,0))&amp;"_ser_0.20_"&amp;TEXT(INDEX(MASTER!$E:$E,MATCH(_xlpm.pos,MASTER!$J:$J,0)),"mmddyy"),""),_xlpm.slot,1152+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35" s="4" t="str">
        <f t="array" ref="J135">_xlfn.LET(_xlpm.pos,"Max Planck plate 13: "&amp;$A3&amp;J$2,_xlpm.normal,IFERROR(INDEX(MASTER!$A:$A,MATCH(_xlpm.pos,MASTER!$J:$J,0))&amp;"_ser_0.20_"&amp;TEXT(INDEX(MASTER!$E:$E,MATCH(_xlpm.pos,MASTER!$J:$J,0)),"mmddyy"),""),_xlpm.slot,1152+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35" s="4" t="str">
        <f t="array" ref="K135">_xlfn.LET(_xlpm.pos,"Max Planck plate 13: "&amp;$A3&amp;K$2,_xlpm.normal,IFERROR(INDEX(MASTER!$A:$A,MATCH(_xlpm.pos,MASTER!$J:$J,0))&amp;"_ser_0.20_"&amp;TEXT(INDEX(MASTER!$E:$E,MATCH(_xlpm.pos,MASTER!$J:$J,0)),"mmddyy"),""),_xlpm.slot,1152+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35" s="4" t="str">
        <f t="array" ref="L135">_xlfn.LET(_xlpm.pos,"Max Planck plate 13: "&amp;$A3&amp;L$2,_xlpm.normal,IFERROR(INDEX(MASTER!$A:$A,MATCH(_xlpm.pos,MASTER!$J:$J,0))&amp;"_ser_0.20_"&amp;TEXT(INDEX(MASTER!$E:$E,MATCH(_xlpm.pos,MASTER!$J:$J,0)),"mmddyy"),""),_xlpm.slot,1152+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35" s="4" t="str">
        <f t="array" ref="M135">_xlfn.LET(_xlpm.pos,"Max Planck plate 13: "&amp;$A3&amp;M$2,_xlpm.normal,IFERROR(INDEX(MASTER!$A:$A,MATCH(_xlpm.pos,MASTER!$J:$J,0))&amp;"_ser_0.20_"&amp;TEXT(INDEX(MASTER!$E:$E,MATCH(_xlpm.pos,MASTER!$J:$J,0)),"mmddyy"),""),_xlpm.slot,1152+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36" spans="1:13" ht="22" customHeight="1" x14ac:dyDescent="0.3">
      <c r="A136" s="6" t="s">
        <v>31</v>
      </c>
      <c r="B136" s="4" t="str">
        <f t="array" ref="B136">_xlfn.LET(_xlpm.pos,"Max Planck plate 13: "&amp;$A4&amp;B$2,_xlpm.normal,IFERROR(INDEX(MASTER!$A:$A,MATCH(_xlpm.pos,MASTER!$J:$J,0))&amp;"_ser_0.20_"&amp;TEXT(INDEX(MASTER!$E:$E,MATCH(_xlpm.pos,MASTER!$J:$J,0)),"mmddyy"),""),_xlpm.slot,1152+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36" s="4" t="str">
        <f t="array" ref="C136">_xlfn.LET(_xlpm.pos,"Max Planck plate 13: "&amp;$A4&amp;C$2,_xlpm.normal,IFERROR(INDEX(MASTER!$A:$A,MATCH(_xlpm.pos,MASTER!$J:$J,0))&amp;"_ser_0.20_"&amp;TEXT(INDEX(MASTER!$E:$E,MATCH(_xlpm.pos,MASTER!$J:$J,0)),"mmddyy"),""),_xlpm.slot,1152+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36" s="4" t="str">
        <f t="array" ref="D136">_xlfn.LET(_xlpm.pos,"Max Planck plate 13: "&amp;$A4&amp;D$2,_xlpm.normal,IFERROR(INDEX(MASTER!$A:$A,MATCH(_xlpm.pos,MASTER!$J:$J,0))&amp;"_ser_0.20_"&amp;TEXT(INDEX(MASTER!$E:$E,MATCH(_xlpm.pos,MASTER!$J:$J,0)),"mmddyy"),""),_xlpm.slot,1152+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36" s="4" t="str">
        <f t="array" ref="E136">_xlfn.LET(_xlpm.pos,"Max Planck plate 13: "&amp;$A4&amp;E$2,_xlpm.normal,IFERROR(INDEX(MASTER!$A:$A,MATCH(_xlpm.pos,MASTER!$J:$J,0))&amp;"_ser_0.20_"&amp;TEXT(INDEX(MASTER!$E:$E,MATCH(_xlpm.pos,MASTER!$J:$J,0)),"mmddyy"),""),_xlpm.slot,1152+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36" s="4" t="str">
        <f t="array" ref="F136">_xlfn.LET(_xlpm.pos,"Max Planck plate 13: "&amp;$A4&amp;F$2,_xlpm.normal,IFERROR(INDEX(MASTER!$A:$A,MATCH(_xlpm.pos,MASTER!$J:$J,0))&amp;"_ser_0.20_"&amp;TEXT(INDEX(MASTER!$E:$E,MATCH(_xlpm.pos,MASTER!$J:$J,0)),"mmddyy"),""),_xlpm.slot,1152+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36" s="4" t="str">
        <f t="array" ref="G136">_xlfn.LET(_xlpm.pos,"Max Planck plate 13: "&amp;$A4&amp;G$2,_xlpm.normal,IFERROR(INDEX(MASTER!$A:$A,MATCH(_xlpm.pos,MASTER!$J:$J,0))&amp;"_ser_0.20_"&amp;TEXT(INDEX(MASTER!$E:$E,MATCH(_xlpm.pos,MASTER!$J:$J,0)),"mmddyy"),""),_xlpm.slot,1152+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36" s="4" t="str">
        <f t="array" ref="H136">_xlfn.LET(_xlpm.pos,"Max Planck plate 13: "&amp;$A4&amp;H$2,_xlpm.normal,IFERROR(INDEX(MASTER!$A:$A,MATCH(_xlpm.pos,MASTER!$J:$J,0))&amp;"_ser_0.20_"&amp;TEXT(INDEX(MASTER!$E:$E,MATCH(_xlpm.pos,MASTER!$J:$J,0)),"mmddyy"),""),_xlpm.slot,1152+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36" s="4" t="str">
        <f t="array" ref="I136">_xlfn.LET(_xlpm.pos,"Max Planck plate 13: "&amp;$A4&amp;I$2,_xlpm.normal,IFERROR(INDEX(MASTER!$A:$A,MATCH(_xlpm.pos,MASTER!$J:$J,0))&amp;"_ser_0.20_"&amp;TEXT(INDEX(MASTER!$E:$E,MATCH(_xlpm.pos,MASTER!$J:$J,0)),"mmddyy"),""),_xlpm.slot,1152+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36" s="4" t="str">
        <f t="array" ref="J136">_xlfn.LET(_xlpm.pos,"Max Planck plate 13: "&amp;$A4&amp;J$2,_xlpm.normal,IFERROR(INDEX(MASTER!$A:$A,MATCH(_xlpm.pos,MASTER!$J:$J,0))&amp;"_ser_0.20_"&amp;TEXT(INDEX(MASTER!$E:$E,MATCH(_xlpm.pos,MASTER!$J:$J,0)),"mmddyy"),""),_xlpm.slot,1152+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36" s="4" t="str">
        <f t="array" ref="K136">_xlfn.LET(_xlpm.pos,"Max Planck plate 13: "&amp;$A4&amp;K$2,_xlpm.normal,IFERROR(INDEX(MASTER!$A:$A,MATCH(_xlpm.pos,MASTER!$J:$J,0))&amp;"_ser_0.20_"&amp;TEXT(INDEX(MASTER!$E:$E,MATCH(_xlpm.pos,MASTER!$J:$J,0)),"mmddyy"),""),_xlpm.slot,1152+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36" s="4" t="str">
        <f t="array" ref="L136">_xlfn.LET(_xlpm.pos,"Max Planck plate 13: "&amp;$A4&amp;L$2,_xlpm.normal,IFERROR(INDEX(MASTER!$A:$A,MATCH(_xlpm.pos,MASTER!$J:$J,0))&amp;"_ser_0.20_"&amp;TEXT(INDEX(MASTER!$E:$E,MATCH(_xlpm.pos,MASTER!$J:$J,0)),"mmddyy"),""),_xlpm.slot,1152+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36" s="4" t="str">
        <f t="array" ref="M136">_xlfn.LET(_xlpm.pos,"Max Planck plate 13: "&amp;$A4&amp;M$2,_xlpm.normal,IFERROR(INDEX(MASTER!$A:$A,MATCH(_xlpm.pos,MASTER!$J:$J,0))&amp;"_ser_0.20_"&amp;TEXT(INDEX(MASTER!$E:$E,MATCH(_xlpm.pos,MASTER!$J:$J,0)),"mmddyy"),""),_xlpm.slot,1152+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37" spans="1:13" ht="22" customHeight="1" x14ac:dyDescent="0.3">
      <c r="A137" s="6" t="s">
        <v>32</v>
      </c>
      <c r="B137" s="4" t="str">
        <f t="array" ref="B137">_xlfn.LET(_xlpm.pos,"Max Planck plate 13: "&amp;$A5&amp;B$2,_xlpm.normal,IFERROR(INDEX(MASTER!$A:$A,MATCH(_xlpm.pos,MASTER!$J:$J,0))&amp;"_ser_0.20_"&amp;TEXT(INDEX(MASTER!$E:$E,MATCH(_xlpm.pos,MASTER!$J:$J,0)),"mmddyy"),""),_xlpm.slot,1152+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37" s="4" t="str">
        <f t="array" ref="C137">_xlfn.LET(_xlpm.pos,"Max Planck plate 13: "&amp;$A5&amp;C$2,_xlpm.normal,IFERROR(INDEX(MASTER!$A:$A,MATCH(_xlpm.pos,MASTER!$J:$J,0))&amp;"_ser_0.20_"&amp;TEXT(INDEX(MASTER!$E:$E,MATCH(_xlpm.pos,MASTER!$J:$J,0)),"mmddyy"),""),_xlpm.slot,1152+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37" s="4" t="str">
        <f t="array" ref="D137">_xlfn.LET(_xlpm.pos,"Max Planck plate 13: "&amp;$A5&amp;D$2,_xlpm.normal,IFERROR(INDEX(MASTER!$A:$A,MATCH(_xlpm.pos,MASTER!$J:$J,0))&amp;"_ser_0.20_"&amp;TEXT(INDEX(MASTER!$E:$E,MATCH(_xlpm.pos,MASTER!$J:$J,0)),"mmddyy"),""),_xlpm.slot,1152+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37" s="4" t="str">
        <f t="array" ref="E137">_xlfn.LET(_xlpm.pos,"Max Planck plate 13: "&amp;$A5&amp;E$2,_xlpm.normal,IFERROR(INDEX(MASTER!$A:$A,MATCH(_xlpm.pos,MASTER!$J:$J,0))&amp;"_ser_0.20_"&amp;TEXT(INDEX(MASTER!$E:$E,MATCH(_xlpm.pos,MASTER!$J:$J,0)),"mmddyy"),""),_xlpm.slot,1152+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37" s="4" t="str">
        <f t="array" ref="F137">_xlfn.LET(_xlpm.pos,"Max Planck plate 13: "&amp;$A5&amp;F$2,_xlpm.normal,IFERROR(INDEX(MASTER!$A:$A,MATCH(_xlpm.pos,MASTER!$J:$J,0))&amp;"_ser_0.20_"&amp;TEXT(INDEX(MASTER!$E:$E,MATCH(_xlpm.pos,MASTER!$J:$J,0)),"mmddyy"),""),_xlpm.slot,1152+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37" s="4" t="str">
        <f t="array" ref="G137">_xlfn.LET(_xlpm.pos,"Max Planck plate 13: "&amp;$A5&amp;G$2,_xlpm.normal,IFERROR(INDEX(MASTER!$A:$A,MATCH(_xlpm.pos,MASTER!$J:$J,0))&amp;"_ser_0.20_"&amp;TEXT(INDEX(MASTER!$E:$E,MATCH(_xlpm.pos,MASTER!$J:$J,0)),"mmddyy"),""),_xlpm.slot,1152+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37" s="4" t="str">
        <f t="array" ref="H137">_xlfn.LET(_xlpm.pos,"Max Planck plate 13: "&amp;$A5&amp;H$2,_xlpm.normal,IFERROR(INDEX(MASTER!$A:$A,MATCH(_xlpm.pos,MASTER!$J:$J,0))&amp;"_ser_0.20_"&amp;TEXT(INDEX(MASTER!$E:$E,MATCH(_xlpm.pos,MASTER!$J:$J,0)),"mmddyy"),""),_xlpm.slot,1152+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37" s="4" t="str">
        <f t="array" ref="I137">_xlfn.LET(_xlpm.pos,"Max Planck plate 13: "&amp;$A5&amp;I$2,_xlpm.normal,IFERROR(INDEX(MASTER!$A:$A,MATCH(_xlpm.pos,MASTER!$J:$J,0))&amp;"_ser_0.20_"&amp;TEXT(INDEX(MASTER!$E:$E,MATCH(_xlpm.pos,MASTER!$J:$J,0)),"mmddyy"),""),_xlpm.slot,1152+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37" s="4" t="str">
        <f t="array" ref="J137">_xlfn.LET(_xlpm.pos,"Max Planck plate 13: "&amp;$A5&amp;J$2,_xlpm.normal,IFERROR(INDEX(MASTER!$A:$A,MATCH(_xlpm.pos,MASTER!$J:$J,0))&amp;"_ser_0.20_"&amp;TEXT(INDEX(MASTER!$E:$E,MATCH(_xlpm.pos,MASTER!$J:$J,0)),"mmddyy"),""),_xlpm.slot,1152+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37" s="4" t="str">
        <f t="array" ref="K137">_xlfn.LET(_xlpm.pos,"Max Planck plate 13: "&amp;$A5&amp;K$2,_xlpm.normal,IFERROR(INDEX(MASTER!$A:$A,MATCH(_xlpm.pos,MASTER!$J:$J,0))&amp;"_ser_0.20_"&amp;TEXT(INDEX(MASTER!$E:$E,MATCH(_xlpm.pos,MASTER!$J:$J,0)),"mmddyy"),""),_xlpm.slot,1152+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37" s="4" t="str">
        <f t="array" ref="L137">_xlfn.LET(_xlpm.pos,"Max Planck plate 13: "&amp;$A5&amp;L$2,_xlpm.normal,IFERROR(INDEX(MASTER!$A:$A,MATCH(_xlpm.pos,MASTER!$J:$J,0))&amp;"_ser_0.20_"&amp;TEXT(INDEX(MASTER!$E:$E,MATCH(_xlpm.pos,MASTER!$J:$J,0)),"mmddyy"),""),_xlpm.slot,1152+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37" s="4" t="str">
        <f t="array" ref="M137">_xlfn.LET(_xlpm.pos,"Max Planck plate 13: "&amp;$A5&amp;M$2,_xlpm.normal,IFERROR(INDEX(MASTER!$A:$A,MATCH(_xlpm.pos,MASTER!$J:$J,0))&amp;"_ser_0.20_"&amp;TEXT(INDEX(MASTER!$E:$E,MATCH(_xlpm.pos,MASTER!$J:$J,0)),"mmddyy"),""),_xlpm.slot,1152+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38" spans="1:13" ht="22" customHeight="1" x14ac:dyDescent="0.3">
      <c r="A138" s="6" t="s">
        <v>33</v>
      </c>
      <c r="B138" s="4" t="str">
        <f t="array" ref="B138">_xlfn.LET(_xlpm.pos,"Max Planck plate 13: "&amp;$A6&amp;B$2,_xlpm.normal,IFERROR(INDEX(MASTER!$A:$A,MATCH(_xlpm.pos,MASTER!$J:$J,0))&amp;"_ser_0.20_"&amp;TEXT(INDEX(MASTER!$E:$E,MATCH(_xlpm.pos,MASTER!$J:$J,0)),"mmddyy"),""),_xlpm.slot,1152+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38" s="4" t="str">
        <f t="array" ref="C138">_xlfn.LET(_xlpm.pos,"Max Planck plate 13: "&amp;$A6&amp;C$2,_xlpm.normal,IFERROR(INDEX(MASTER!$A:$A,MATCH(_xlpm.pos,MASTER!$J:$J,0))&amp;"_ser_0.20_"&amp;TEXT(INDEX(MASTER!$E:$E,MATCH(_xlpm.pos,MASTER!$J:$J,0)),"mmddyy"),""),_xlpm.slot,1152+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38" s="4" t="str">
        <f t="array" ref="D138">_xlfn.LET(_xlpm.pos,"Max Planck plate 13: "&amp;$A6&amp;D$2,_xlpm.normal,IFERROR(INDEX(MASTER!$A:$A,MATCH(_xlpm.pos,MASTER!$J:$J,0))&amp;"_ser_0.20_"&amp;TEXT(INDEX(MASTER!$E:$E,MATCH(_xlpm.pos,MASTER!$J:$J,0)),"mmddyy"),""),_xlpm.slot,1152+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38" s="4" t="str">
        <f t="array" ref="E138">_xlfn.LET(_xlpm.pos,"Max Planck plate 13: "&amp;$A6&amp;E$2,_xlpm.normal,IFERROR(INDEX(MASTER!$A:$A,MATCH(_xlpm.pos,MASTER!$J:$J,0))&amp;"_ser_0.20_"&amp;TEXT(INDEX(MASTER!$E:$E,MATCH(_xlpm.pos,MASTER!$J:$J,0)),"mmddyy"),""),_xlpm.slot,1152+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38" s="4" t="str">
        <f t="array" ref="F138">_xlfn.LET(_xlpm.pos,"Max Planck plate 13: "&amp;$A6&amp;F$2,_xlpm.normal,IFERROR(INDEX(MASTER!$A:$A,MATCH(_xlpm.pos,MASTER!$J:$J,0))&amp;"_ser_0.20_"&amp;TEXT(INDEX(MASTER!$E:$E,MATCH(_xlpm.pos,MASTER!$J:$J,0)),"mmddyy"),""),_xlpm.slot,1152+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38" s="4" t="str">
        <f t="array" ref="G138">_xlfn.LET(_xlpm.pos,"Max Planck plate 13: "&amp;$A6&amp;G$2,_xlpm.normal,IFERROR(INDEX(MASTER!$A:$A,MATCH(_xlpm.pos,MASTER!$J:$J,0))&amp;"_ser_0.20_"&amp;TEXT(INDEX(MASTER!$E:$E,MATCH(_xlpm.pos,MASTER!$J:$J,0)),"mmddyy"),""),_xlpm.slot,1152+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38" s="4" t="str">
        <f t="array" ref="H138">_xlfn.LET(_xlpm.pos,"Max Planck plate 13: "&amp;$A6&amp;H$2,_xlpm.normal,IFERROR(INDEX(MASTER!$A:$A,MATCH(_xlpm.pos,MASTER!$J:$J,0))&amp;"_ser_0.20_"&amp;TEXT(INDEX(MASTER!$E:$E,MATCH(_xlpm.pos,MASTER!$J:$J,0)),"mmddyy"),""),_xlpm.slot,1152+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38" s="4" t="str">
        <f t="array" ref="I138">_xlfn.LET(_xlpm.pos,"Max Planck plate 13: "&amp;$A6&amp;I$2,_xlpm.normal,IFERROR(INDEX(MASTER!$A:$A,MATCH(_xlpm.pos,MASTER!$J:$J,0))&amp;"_ser_0.20_"&amp;TEXT(INDEX(MASTER!$E:$E,MATCH(_xlpm.pos,MASTER!$J:$J,0)),"mmddyy"),""),_xlpm.slot,1152+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38" s="4" t="str">
        <f t="array" ref="J138">_xlfn.LET(_xlpm.pos,"Max Planck plate 13: "&amp;$A6&amp;J$2,_xlpm.normal,IFERROR(INDEX(MASTER!$A:$A,MATCH(_xlpm.pos,MASTER!$J:$J,0))&amp;"_ser_0.20_"&amp;TEXT(INDEX(MASTER!$E:$E,MATCH(_xlpm.pos,MASTER!$J:$J,0)),"mmddyy"),""),_xlpm.slot,1152+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38" s="4" t="str">
        <f t="array" ref="K138">_xlfn.LET(_xlpm.pos,"Max Planck plate 13: "&amp;$A6&amp;K$2,_xlpm.normal,IFERROR(INDEX(MASTER!$A:$A,MATCH(_xlpm.pos,MASTER!$J:$J,0))&amp;"_ser_0.20_"&amp;TEXT(INDEX(MASTER!$E:$E,MATCH(_xlpm.pos,MASTER!$J:$J,0)),"mmddyy"),""),_xlpm.slot,1152+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38" s="4" t="str">
        <f t="array" ref="L138">_xlfn.LET(_xlpm.pos,"Max Planck plate 13: "&amp;$A6&amp;L$2,_xlpm.normal,IFERROR(INDEX(MASTER!$A:$A,MATCH(_xlpm.pos,MASTER!$J:$J,0))&amp;"_ser_0.20_"&amp;TEXT(INDEX(MASTER!$E:$E,MATCH(_xlpm.pos,MASTER!$J:$J,0)),"mmddyy"),""),_xlpm.slot,1152+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38" s="4" t="str">
        <f t="array" ref="M138">_xlfn.LET(_xlpm.pos,"Max Planck plate 13: "&amp;$A6&amp;M$2,_xlpm.normal,IFERROR(INDEX(MASTER!$A:$A,MATCH(_xlpm.pos,MASTER!$J:$J,0))&amp;"_ser_0.20_"&amp;TEXT(INDEX(MASTER!$E:$E,MATCH(_xlpm.pos,MASTER!$J:$J,0)),"mmddyy"),""),_xlpm.slot,1152+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39" spans="1:13" ht="22" customHeight="1" x14ac:dyDescent="0.3">
      <c r="A139" s="6" t="s">
        <v>34</v>
      </c>
      <c r="B139" s="4" t="str">
        <f t="array" ref="B139">_xlfn.LET(_xlpm.pos,"Max Planck plate 13: "&amp;$A7&amp;B$2,_xlpm.normal,IFERROR(INDEX(MASTER!$A:$A,MATCH(_xlpm.pos,MASTER!$J:$J,0))&amp;"_ser_0.20_"&amp;TEXT(INDEX(MASTER!$E:$E,MATCH(_xlpm.pos,MASTER!$J:$J,0)),"mmddyy"),""),_xlpm.slot,1152+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39" s="4" t="str">
        <f t="array" ref="C139">_xlfn.LET(_xlpm.pos,"Max Planck plate 13: "&amp;$A7&amp;C$2,_xlpm.normal,IFERROR(INDEX(MASTER!$A:$A,MATCH(_xlpm.pos,MASTER!$J:$J,0))&amp;"_ser_0.20_"&amp;TEXT(INDEX(MASTER!$E:$E,MATCH(_xlpm.pos,MASTER!$J:$J,0)),"mmddyy"),""),_xlpm.slot,1152+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39" s="4" t="str">
        <f t="array" ref="D139">_xlfn.LET(_xlpm.pos,"Max Planck plate 13: "&amp;$A7&amp;D$2,_xlpm.normal,IFERROR(INDEX(MASTER!$A:$A,MATCH(_xlpm.pos,MASTER!$J:$J,0))&amp;"_ser_0.20_"&amp;TEXT(INDEX(MASTER!$E:$E,MATCH(_xlpm.pos,MASTER!$J:$J,0)),"mmddyy"),""),_xlpm.slot,1152+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39" s="4" t="str">
        <f t="array" ref="E139">_xlfn.LET(_xlpm.pos,"Max Planck plate 13: "&amp;$A7&amp;E$2,_xlpm.normal,IFERROR(INDEX(MASTER!$A:$A,MATCH(_xlpm.pos,MASTER!$J:$J,0))&amp;"_ser_0.20_"&amp;TEXT(INDEX(MASTER!$E:$E,MATCH(_xlpm.pos,MASTER!$J:$J,0)),"mmddyy"),""),_xlpm.slot,1152+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39" s="4" t="str">
        <f t="array" ref="F139">_xlfn.LET(_xlpm.pos,"Max Planck plate 13: "&amp;$A7&amp;F$2,_xlpm.normal,IFERROR(INDEX(MASTER!$A:$A,MATCH(_xlpm.pos,MASTER!$J:$J,0))&amp;"_ser_0.20_"&amp;TEXT(INDEX(MASTER!$E:$E,MATCH(_xlpm.pos,MASTER!$J:$J,0)),"mmddyy"),""),_xlpm.slot,1152+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39" s="4" t="str">
        <f t="array" ref="G139">_xlfn.LET(_xlpm.pos,"Max Planck plate 13: "&amp;$A7&amp;G$2,_xlpm.normal,IFERROR(INDEX(MASTER!$A:$A,MATCH(_xlpm.pos,MASTER!$J:$J,0))&amp;"_ser_0.20_"&amp;TEXT(INDEX(MASTER!$E:$E,MATCH(_xlpm.pos,MASTER!$J:$J,0)),"mmddyy"),""),_xlpm.slot,1152+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39" s="4" t="str">
        <f t="array" ref="H139">_xlfn.LET(_xlpm.pos,"Max Planck plate 13: "&amp;$A7&amp;H$2,_xlpm.normal,IFERROR(INDEX(MASTER!$A:$A,MATCH(_xlpm.pos,MASTER!$J:$J,0))&amp;"_ser_0.20_"&amp;TEXT(INDEX(MASTER!$E:$E,MATCH(_xlpm.pos,MASTER!$J:$J,0)),"mmddyy"),""),_xlpm.slot,1152+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39" s="4" t="str">
        <f t="array" ref="I139">_xlfn.LET(_xlpm.pos,"Max Planck plate 13: "&amp;$A7&amp;I$2,_xlpm.normal,IFERROR(INDEX(MASTER!$A:$A,MATCH(_xlpm.pos,MASTER!$J:$J,0))&amp;"_ser_0.20_"&amp;TEXT(INDEX(MASTER!$E:$E,MATCH(_xlpm.pos,MASTER!$J:$J,0)),"mmddyy"),""),_xlpm.slot,1152+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39" s="4" t="str">
        <f t="array" ref="J139">_xlfn.LET(_xlpm.pos,"Max Planck plate 13: "&amp;$A7&amp;J$2,_xlpm.normal,IFERROR(INDEX(MASTER!$A:$A,MATCH(_xlpm.pos,MASTER!$J:$J,0))&amp;"_ser_0.20_"&amp;TEXT(INDEX(MASTER!$E:$E,MATCH(_xlpm.pos,MASTER!$J:$J,0)),"mmddyy"),""),_xlpm.slot,1152+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39" s="4" t="str">
        <f t="array" ref="K139">_xlfn.LET(_xlpm.pos,"Max Planck plate 13: "&amp;$A7&amp;K$2,_xlpm.normal,IFERROR(INDEX(MASTER!$A:$A,MATCH(_xlpm.pos,MASTER!$J:$J,0))&amp;"_ser_0.20_"&amp;TEXT(INDEX(MASTER!$E:$E,MATCH(_xlpm.pos,MASTER!$J:$J,0)),"mmddyy"),""),_xlpm.slot,1152+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39" s="4" t="str">
        <f t="array" ref="L139">_xlfn.LET(_xlpm.pos,"Max Planck plate 13: "&amp;$A7&amp;L$2,_xlpm.normal,IFERROR(INDEX(MASTER!$A:$A,MATCH(_xlpm.pos,MASTER!$J:$J,0))&amp;"_ser_0.20_"&amp;TEXT(INDEX(MASTER!$E:$E,MATCH(_xlpm.pos,MASTER!$J:$J,0)),"mmddyy"),""),_xlpm.slot,1152+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39" s="4" t="str">
        <f t="array" ref="M139">_xlfn.LET(_xlpm.pos,"Max Planck plate 13: "&amp;$A7&amp;M$2,_xlpm.normal,IFERROR(INDEX(MASTER!$A:$A,MATCH(_xlpm.pos,MASTER!$J:$J,0))&amp;"_ser_0.20_"&amp;TEXT(INDEX(MASTER!$E:$E,MATCH(_xlpm.pos,MASTER!$J:$J,0)),"mmddyy"),""),_xlpm.slot,1152+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40" spans="1:13" ht="22" customHeight="1" x14ac:dyDescent="0.3">
      <c r="A140" s="6" t="s">
        <v>15</v>
      </c>
      <c r="B140" s="4" t="str">
        <f t="array" ref="B140">_xlfn.LET(_xlpm.pos,"Max Planck plate 13: "&amp;$A8&amp;B$2,_xlpm.normal,IFERROR(INDEX(MASTER!$A:$A,MATCH(_xlpm.pos,MASTER!$J:$J,0))&amp;"_ser_0.20_"&amp;TEXT(INDEX(MASTER!$E:$E,MATCH(_xlpm.pos,MASTER!$J:$J,0)),"mmddyy"),""),_xlpm.slot,1152+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40" s="4" t="str">
        <f t="array" ref="C140">_xlfn.LET(_xlpm.pos,"Max Planck plate 13: "&amp;$A8&amp;C$2,_xlpm.normal,IFERROR(INDEX(MASTER!$A:$A,MATCH(_xlpm.pos,MASTER!$J:$J,0))&amp;"_ser_0.20_"&amp;TEXT(INDEX(MASTER!$E:$E,MATCH(_xlpm.pos,MASTER!$J:$J,0)),"mmddyy"),""),_xlpm.slot,1152+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40" s="4" t="str">
        <f t="array" ref="D140">_xlfn.LET(_xlpm.pos,"Max Planck plate 13: "&amp;$A8&amp;D$2,_xlpm.normal,IFERROR(INDEX(MASTER!$A:$A,MATCH(_xlpm.pos,MASTER!$J:$J,0))&amp;"_ser_0.20_"&amp;TEXT(INDEX(MASTER!$E:$E,MATCH(_xlpm.pos,MASTER!$J:$J,0)),"mmddyy"),""),_xlpm.slot,1152+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40" s="4" t="str">
        <f t="array" ref="E140">_xlfn.LET(_xlpm.pos,"Max Planck plate 13: "&amp;$A8&amp;E$2,_xlpm.normal,IFERROR(INDEX(MASTER!$A:$A,MATCH(_xlpm.pos,MASTER!$J:$J,0))&amp;"_ser_0.20_"&amp;TEXT(INDEX(MASTER!$E:$E,MATCH(_xlpm.pos,MASTER!$J:$J,0)),"mmddyy"),""),_xlpm.slot,1152+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40" s="4" t="str">
        <f t="array" ref="F140">_xlfn.LET(_xlpm.pos,"Max Planck plate 13: "&amp;$A8&amp;F$2,_xlpm.normal,IFERROR(INDEX(MASTER!$A:$A,MATCH(_xlpm.pos,MASTER!$J:$J,0))&amp;"_ser_0.20_"&amp;TEXT(INDEX(MASTER!$E:$E,MATCH(_xlpm.pos,MASTER!$J:$J,0)),"mmddyy"),""),_xlpm.slot,1152+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40" s="4" t="str">
        <f t="array" ref="G140">_xlfn.LET(_xlpm.pos,"Max Planck plate 13: "&amp;$A8&amp;G$2,_xlpm.normal,IFERROR(INDEX(MASTER!$A:$A,MATCH(_xlpm.pos,MASTER!$J:$J,0))&amp;"_ser_0.20_"&amp;TEXT(INDEX(MASTER!$E:$E,MATCH(_xlpm.pos,MASTER!$J:$J,0)),"mmddyy"),""),_xlpm.slot,1152+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40" s="4" t="str">
        <f t="array" ref="H140">_xlfn.LET(_xlpm.pos,"Max Planck plate 13: "&amp;$A8&amp;H$2,_xlpm.normal,IFERROR(INDEX(MASTER!$A:$A,MATCH(_xlpm.pos,MASTER!$J:$J,0))&amp;"_ser_0.20_"&amp;TEXT(INDEX(MASTER!$E:$E,MATCH(_xlpm.pos,MASTER!$J:$J,0)),"mmddyy"),""),_xlpm.slot,1152+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40" s="4" t="str">
        <f t="array" ref="I140">_xlfn.LET(_xlpm.pos,"Max Planck plate 13: "&amp;$A8&amp;I$2,_xlpm.normal,IFERROR(INDEX(MASTER!$A:$A,MATCH(_xlpm.pos,MASTER!$J:$J,0))&amp;"_ser_0.20_"&amp;TEXT(INDEX(MASTER!$E:$E,MATCH(_xlpm.pos,MASTER!$J:$J,0)),"mmddyy"),""),_xlpm.slot,1152+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40" s="4" t="str">
        <f t="array" ref="J140">_xlfn.LET(_xlpm.pos,"Max Planck plate 13: "&amp;$A8&amp;J$2,_xlpm.normal,IFERROR(INDEX(MASTER!$A:$A,MATCH(_xlpm.pos,MASTER!$J:$J,0))&amp;"_ser_0.20_"&amp;TEXT(INDEX(MASTER!$E:$E,MATCH(_xlpm.pos,MASTER!$J:$J,0)),"mmddyy"),""),_xlpm.slot,1152+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40" s="4" t="str">
        <f t="array" ref="K140">_xlfn.LET(_xlpm.pos,"Max Planck plate 13: "&amp;$A8&amp;K$2,_xlpm.normal,IFERROR(INDEX(MASTER!$A:$A,MATCH(_xlpm.pos,MASTER!$J:$J,0))&amp;"_ser_0.20_"&amp;TEXT(INDEX(MASTER!$E:$E,MATCH(_xlpm.pos,MASTER!$J:$J,0)),"mmddyy"),""),_xlpm.slot,1152+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40" s="4" t="str">
        <f t="array" ref="L140">_xlfn.LET(_xlpm.pos,"Max Planck plate 13: "&amp;$A8&amp;L$2,_xlpm.normal,IFERROR(INDEX(MASTER!$A:$A,MATCH(_xlpm.pos,MASTER!$J:$J,0))&amp;"_ser_0.20_"&amp;TEXT(INDEX(MASTER!$E:$E,MATCH(_xlpm.pos,MASTER!$J:$J,0)),"mmddyy"),""),_xlpm.slot,1152+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40" s="4" t="str">
        <f t="array" ref="M140">_xlfn.LET(_xlpm.pos,"Max Planck plate 13: "&amp;$A8&amp;M$2,_xlpm.normal,IFERROR(INDEX(MASTER!$A:$A,MATCH(_xlpm.pos,MASTER!$J:$J,0))&amp;"_ser_0.20_"&amp;TEXT(INDEX(MASTER!$E:$E,MATCH(_xlpm.pos,MASTER!$J:$J,0)),"mmddyy"),""),_xlpm.slot,1152+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41" spans="1:13" ht="22" customHeight="1" x14ac:dyDescent="0.3">
      <c r="A141" s="6" t="s">
        <v>35</v>
      </c>
      <c r="B141" s="4" t="str">
        <f t="array" ref="B141">_xlfn.LET(_xlpm.pos,"Max Planck plate 13: "&amp;$A9&amp;B$2,_xlpm.normal,IFERROR(INDEX(MASTER!$A:$A,MATCH(_xlpm.pos,MASTER!$J:$J,0))&amp;"_ser_0.20_"&amp;TEXT(INDEX(MASTER!$E:$E,MATCH(_xlpm.pos,MASTER!$J:$J,0)),"mmddyy"),""),_xlpm.slot,1152+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41" s="4" t="str">
        <f t="array" ref="C141">_xlfn.LET(_xlpm.pos,"Max Planck plate 13: "&amp;$A9&amp;C$2,_xlpm.normal,IFERROR(INDEX(MASTER!$A:$A,MATCH(_xlpm.pos,MASTER!$J:$J,0))&amp;"_ser_0.20_"&amp;TEXT(INDEX(MASTER!$E:$E,MATCH(_xlpm.pos,MASTER!$J:$J,0)),"mmddyy"),""),_xlpm.slot,1152+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41" s="4" t="str">
        <f t="array" ref="D141">_xlfn.LET(_xlpm.pos,"Max Planck plate 13: "&amp;$A9&amp;D$2,_xlpm.normal,IFERROR(INDEX(MASTER!$A:$A,MATCH(_xlpm.pos,MASTER!$J:$J,0))&amp;"_ser_0.20_"&amp;TEXT(INDEX(MASTER!$E:$E,MATCH(_xlpm.pos,MASTER!$J:$J,0)),"mmddyy"),""),_xlpm.slot,1152+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41" s="4" t="str">
        <f t="array" ref="E141">_xlfn.LET(_xlpm.pos,"Max Planck plate 13: "&amp;$A9&amp;E$2,_xlpm.normal,IFERROR(INDEX(MASTER!$A:$A,MATCH(_xlpm.pos,MASTER!$J:$J,0))&amp;"_ser_0.20_"&amp;TEXT(INDEX(MASTER!$E:$E,MATCH(_xlpm.pos,MASTER!$J:$J,0)),"mmddyy"),""),_xlpm.slot,1152+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41" s="4" t="str">
        <f t="array" ref="F141">_xlfn.LET(_xlpm.pos,"Max Planck plate 13: "&amp;$A9&amp;F$2,_xlpm.normal,IFERROR(INDEX(MASTER!$A:$A,MATCH(_xlpm.pos,MASTER!$J:$J,0))&amp;"_ser_0.20_"&amp;TEXT(INDEX(MASTER!$E:$E,MATCH(_xlpm.pos,MASTER!$J:$J,0)),"mmddyy"),""),_xlpm.slot,1152+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41" s="4" t="str">
        <f t="array" ref="G141">_xlfn.LET(_xlpm.pos,"Max Planck plate 13: "&amp;$A9&amp;G$2,_xlpm.normal,IFERROR(INDEX(MASTER!$A:$A,MATCH(_xlpm.pos,MASTER!$J:$J,0))&amp;"_ser_0.20_"&amp;TEXT(INDEX(MASTER!$E:$E,MATCH(_xlpm.pos,MASTER!$J:$J,0)),"mmddyy"),""),_xlpm.slot,1152+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41" s="4" t="str">
        <f t="array" ref="H141">_xlfn.LET(_xlpm.pos,"Max Planck plate 13: "&amp;$A9&amp;H$2,_xlpm.normal,IFERROR(INDEX(MASTER!$A:$A,MATCH(_xlpm.pos,MASTER!$J:$J,0))&amp;"_ser_0.20_"&amp;TEXT(INDEX(MASTER!$E:$E,MATCH(_xlpm.pos,MASTER!$J:$J,0)),"mmddyy"),""),_xlpm.slot,1152+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41" s="4" t="str">
        <f t="array" ref="I141">_xlfn.LET(_xlpm.pos,"Max Planck plate 13: "&amp;$A9&amp;I$2,_xlpm.normal,IFERROR(INDEX(MASTER!$A:$A,MATCH(_xlpm.pos,MASTER!$J:$J,0))&amp;"_ser_0.20_"&amp;TEXT(INDEX(MASTER!$E:$E,MATCH(_xlpm.pos,MASTER!$J:$J,0)),"mmddyy"),""),_xlpm.slot,1152+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41" s="4" t="str">
        <f t="array" ref="J141">_xlfn.LET(_xlpm.pos,"Max Planck plate 13: "&amp;$A9&amp;J$2,_xlpm.normal,IFERROR(INDEX(MASTER!$A:$A,MATCH(_xlpm.pos,MASTER!$J:$J,0))&amp;"_ser_0.20_"&amp;TEXT(INDEX(MASTER!$E:$E,MATCH(_xlpm.pos,MASTER!$J:$J,0)),"mmddyy"),""),_xlpm.slot,1152+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41" s="4" t="str">
        <f t="array" ref="K141">_xlfn.LET(_xlpm.pos,"Max Planck plate 13: "&amp;$A9&amp;K$2,_xlpm.normal,IFERROR(INDEX(MASTER!$A:$A,MATCH(_xlpm.pos,MASTER!$J:$J,0))&amp;"_ser_0.20_"&amp;TEXT(INDEX(MASTER!$E:$E,MATCH(_xlpm.pos,MASTER!$J:$J,0)),"mmddyy"),""),_xlpm.slot,1152+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41" s="4" t="str">
        <f t="array" ref="L141">_xlfn.LET(_xlpm.pos,"Max Planck plate 13: "&amp;$A9&amp;L$2,_xlpm.normal,IFERROR(INDEX(MASTER!$A:$A,MATCH(_xlpm.pos,MASTER!$J:$J,0))&amp;"_ser_0.20_"&amp;TEXT(INDEX(MASTER!$E:$E,MATCH(_xlpm.pos,MASTER!$J:$J,0)),"mmddyy"),""),_xlpm.slot,1152+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41" s="4" t="str">
        <f t="array" ref="M141">_xlfn.LET(_xlpm.pos,"Max Planck plate 13: "&amp;$A9&amp;M$2,_xlpm.normal,IFERROR(INDEX(MASTER!$A:$A,MATCH(_xlpm.pos,MASTER!$J:$J,0))&amp;"_ser_0.20_"&amp;TEXT(INDEX(MASTER!$E:$E,MATCH(_xlpm.pos,MASTER!$J:$J,0)),"mmddyy"),""),_xlpm.slot,1152+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42" spans="1:13" ht="22" customHeight="1" x14ac:dyDescent="0.3">
      <c r="A142" s="6" t="s">
        <v>36</v>
      </c>
      <c r="B142" s="4" t="str">
        <f t="array" ref="B142">_xlfn.LET(_xlpm.pos,"Max Planck plate 13: "&amp;$A10&amp;B$2,_xlpm.normal,IFERROR(INDEX(MASTER!$A:$A,MATCH(_xlpm.pos,MASTER!$J:$J,0))&amp;"_ser_0.20_"&amp;TEXT(INDEX(MASTER!$E:$E,MATCH(_xlpm.pos,MASTER!$J:$J,0)),"mmddyy"),""),_xlpm.slot,1152+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42" s="4" t="str">
        <f t="array" ref="C142">_xlfn.LET(_xlpm.pos,"Max Planck plate 13: "&amp;$A10&amp;C$2,_xlpm.normal,IFERROR(INDEX(MASTER!$A:$A,MATCH(_xlpm.pos,MASTER!$J:$J,0))&amp;"_ser_0.20_"&amp;TEXT(INDEX(MASTER!$E:$E,MATCH(_xlpm.pos,MASTER!$J:$J,0)),"mmddyy"),""),_xlpm.slot,1152+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42" s="4" t="str">
        <f t="array" ref="D142">_xlfn.LET(_xlpm.pos,"Max Planck plate 13: "&amp;$A10&amp;D$2,_xlpm.normal,IFERROR(INDEX(MASTER!$A:$A,MATCH(_xlpm.pos,MASTER!$J:$J,0))&amp;"_ser_0.20_"&amp;TEXT(INDEX(MASTER!$E:$E,MATCH(_xlpm.pos,MASTER!$J:$J,0)),"mmddyy"),""),_xlpm.slot,1152+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42" s="4" t="str">
        <f t="array" ref="E142">_xlfn.LET(_xlpm.pos,"Max Planck plate 13: "&amp;$A10&amp;E$2,_xlpm.normal,IFERROR(INDEX(MASTER!$A:$A,MATCH(_xlpm.pos,MASTER!$J:$J,0))&amp;"_ser_0.20_"&amp;TEXT(INDEX(MASTER!$E:$E,MATCH(_xlpm.pos,MASTER!$J:$J,0)),"mmddyy"),""),_xlpm.slot,1152+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42" s="4" t="str">
        <f t="array" ref="F142">_xlfn.LET(_xlpm.pos,"Max Planck plate 13: "&amp;$A10&amp;F$2,_xlpm.normal,IFERROR(INDEX(MASTER!$A:$A,MATCH(_xlpm.pos,MASTER!$J:$J,0))&amp;"_ser_0.20_"&amp;TEXT(INDEX(MASTER!$E:$E,MATCH(_xlpm.pos,MASTER!$J:$J,0)),"mmddyy"),""),_xlpm.slot,1152+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42" s="4" t="str">
        <f t="array" ref="G142">_xlfn.LET(_xlpm.pos,"Max Planck plate 13: "&amp;$A10&amp;G$2,_xlpm.normal,IFERROR(INDEX(MASTER!$A:$A,MATCH(_xlpm.pos,MASTER!$J:$J,0))&amp;"_ser_0.20_"&amp;TEXT(INDEX(MASTER!$E:$E,MATCH(_xlpm.pos,MASTER!$J:$J,0)),"mmddyy"),""),_xlpm.slot,1152+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42" s="4" t="str">
        <f t="array" ref="H142">_xlfn.LET(_xlpm.pos,"Max Planck plate 13: "&amp;$A10&amp;H$2,_xlpm.normal,IFERROR(INDEX(MASTER!$A:$A,MATCH(_xlpm.pos,MASTER!$J:$J,0))&amp;"_ser_0.20_"&amp;TEXT(INDEX(MASTER!$E:$E,MATCH(_xlpm.pos,MASTER!$J:$J,0)),"mmddyy"),""),_xlpm.slot,1152+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42" s="4" t="str">
        <f t="array" ref="I142">_xlfn.LET(_xlpm.pos,"Max Planck plate 13: "&amp;$A10&amp;I$2,_xlpm.normal,IFERROR(INDEX(MASTER!$A:$A,MATCH(_xlpm.pos,MASTER!$J:$J,0))&amp;"_ser_0.20_"&amp;TEXT(INDEX(MASTER!$E:$E,MATCH(_xlpm.pos,MASTER!$J:$J,0)),"mmddyy"),""),_xlpm.slot,1152+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42" s="4" t="str">
        <f t="array" ref="J142">_xlfn.LET(_xlpm.pos,"Max Planck plate 13: "&amp;$A10&amp;J$2,_xlpm.normal,IFERROR(INDEX(MASTER!$A:$A,MATCH(_xlpm.pos,MASTER!$J:$J,0))&amp;"_ser_0.20_"&amp;TEXT(INDEX(MASTER!$E:$E,MATCH(_xlpm.pos,MASTER!$J:$J,0)),"mmddyy"),""),_xlpm.slot,1152+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42" s="4" t="str">
        <f t="array" ref="K142">_xlfn.LET(_xlpm.pos,"Max Planck plate 13: "&amp;$A10&amp;K$2,_xlpm.normal,IFERROR(INDEX(MASTER!$A:$A,MATCH(_xlpm.pos,MASTER!$J:$J,0))&amp;"_ser_0.20_"&amp;TEXT(INDEX(MASTER!$E:$E,MATCH(_xlpm.pos,MASTER!$J:$J,0)),"mmddyy"),""),_xlpm.slot,1152+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42" s="4" t="str">
        <f t="array" ref="L142">_xlfn.LET(_xlpm.pos,"Max Planck plate 13: "&amp;$A10&amp;L$2,_xlpm.normal,IFERROR(INDEX(MASTER!$A:$A,MATCH(_xlpm.pos,MASTER!$J:$J,0))&amp;"_ser_0.20_"&amp;TEXT(INDEX(MASTER!$E:$E,MATCH(_xlpm.pos,MASTER!$J:$J,0)),"mmddyy"),""),_xlpm.slot,1152+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42" s="4" t="str">
        <f t="array" ref="M142">_xlfn.LET(_xlpm.pos,"Max Planck plate 13: "&amp;$A10&amp;M$2,_xlpm.normal,IFERROR(INDEX(MASTER!$A:$A,MATCH(_xlpm.pos,MASTER!$J:$J,0))&amp;"_ser_0.20_"&amp;TEXT(INDEX(MASTER!$E:$E,MATCH(_xlpm.pos,MASTER!$J:$J,0)),"mmddyy"),""),_xlpm.slot,1152+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43" spans="1:13" ht="22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spans="1:13" ht="22" customHeight="1" x14ac:dyDescent="0.35">
      <c r="A144" s="5"/>
      <c r="B144" s="31" t="s">
        <v>91</v>
      </c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3"/>
    </row>
    <row r="145" spans="1:13" ht="22" customHeight="1" x14ac:dyDescent="0.3">
      <c r="A145" s="5"/>
      <c r="B145" s="6">
        <v>1</v>
      </c>
      <c r="C145" s="6">
        <v>2</v>
      </c>
      <c r="D145" s="6">
        <v>3</v>
      </c>
      <c r="E145" s="6">
        <v>4</v>
      </c>
      <c r="F145" s="6">
        <v>5</v>
      </c>
      <c r="G145" s="6">
        <v>6</v>
      </c>
      <c r="H145" s="6">
        <v>7</v>
      </c>
      <c r="I145" s="6">
        <v>8</v>
      </c>
      <c r="J145" s="6">
        <v>9</v>
      </c>
      <c r="K145" s="6">
        <v>10</v>
      </c>
      <c r="L145" s="6">
        <v>11</v>
      </c>
      <c r="M145" s="6">
        <v>12</v>
      </c>
    </row>
    <row r="146" spans="1:13" ht="22" customHeight="1" x14ac:dyDescent="0.3">
      <c r="A146" s="6" t="s">
        <v>30</v>
      </c>
      <c r="B146" s="4" t="str">
        <f t="array" ref="B146">_xlfn.LET(_xlpm.pos,"Max Planck plate 14: "&amp;$A3&amp;B$2,_xlpm.normal,IFERROR(INDEX(MASTER!$A:$A,MATCH(_xlpm.pos,MASTER!$J:$J,0))&amp;"_ser_0.20_"&amp;TEXT(INDEX(MASTER!$E:$E,MATCH(_xlpm.pos,MASTER!$J:$J,0)),"mmddyy"),""),_xlpm.slot,1248+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46" s="4" t="str">
        <f t="array" ref="C146">_xlfn.LET(_xlpm.pos,"Max Planck plate 14: "&amp;$A3&amp;C$2,_xlpm.normal,IFERROR(INDEX(MASTER!$A:$A,MATCH(_xlpm.pos,MASTER!$J:$J,0))&amp;"_ser_0.20_"&amp;TEXT(INDEX(MASTER!$E:$E,MATCH(_xlpm.pos,MASTER!$J:$J,0)),"mmddyy"),""),_xlpm.slot,1248+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46" s="4" t="str">
        <f t="array" ref="D146">_xlfn.LET(_xlpm.pos,"Max Planck plate 14: "&amp;$A3&amp;D$2,_xlpm.normal,IFERROR(INDEX(MASTER!$A:$A,MATCH(_xlpm.pos,MASTER!$J:$J,0))&amp;"_ser_0.20_"&amp;TEXT(INDEX(MASTER!$E:$E,MATCH(_xlpm.pos,MASTER!$J:$J,0)),"mmddyy"),""),_xlpm.slot,1248+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46" s="4" t="str">
        <f t="array" ref="E146">_xlfn.LET(_xlpm.pos,"Max Planck plate 14: "&amp;$A3&amp;E$2,_xlpm.normal,IFERROR(INDEX(MASTER!$A:$A,MATCH(_xlpm.pos,MASTER!$J:$J,0))&amp;"_ser_0.20_"&amp;TEXT(INDEX(MASTER!$E:$E,MATCH(_xlpm.pos,MASTER!$J:$J,0)),"mmddyy"),""),_xlpm.slot,1248+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46" s="4" t="str">
        <f t="array" ref="F146">_xlfn.LET(_xlpm.pos,"Max Planck plate 14: "&amp;$A3&amp;F$2,_xlpm.normal,IFERROR(INDEX(MASTER!$A:$A,MATCH(_xlpm.pos,MASTER!$J:$J,0))&amp;"_ser_0.20_"&amp;TEXT(INDEX(MASTER!$E:$E,MATCH(_xlpm.pos,MASTER!$J:$J,0)),"mmddyy"),""),_xlpm.slot,1248+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46" s="4" t="str">
        <f t="array" ref="G146">_xlfn.LET(_xlpm.pos,"Max Planck plate 14: "&amp;$A3&amp;G$2,_xlpm.normal,IFERROR(INDEX(MASTER!$A:$A,MATCH(_xlpm.pos,MASTER!$J:$J,0))&amp;"_ser_0.20_"&amp;TEXT(INDEX(MASTER!$E:$E,MATCH(_xlpm.pos,MASTER!$J:$J,0)),"mmddyy"),""),_xlpm.slot,1248+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46" s="4" t="str">
        <f t="array" ref="H146">_xlfn.LET(_xlpm.pos,"Max Planck plate 14: "&amp;$A3&amp;H$2,_xlpm.normal,IFERROR(INDEX(MASTER!$A:$A,MATCH(_xlpm.pos,MASTER!$J:$J,0))&amp;"_ser_0.20_"&amp;TEXT(INDEX(MASTER!$E:$E,MATCH(_xlpm.pos,MASTER!$J:$J,0)),"mmddyy"),""),_xlpm.slot,1248+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46" s="4" t="str">
        <f t="array" ref="I146">_xlfn.LET(_xlpm.pos,"Max Planck plate 14: "&amp;$A3&amp;I$2,_xlpm.normal,IFERROR(INDEX(MASTER!$A:$A,MATCH(_xlpm.pos,MASTER!$J:$J,0))&amp;"_ser_0.20_"&amp;TEXT(INDEX(MASTER!$E:$E,MATCH(_xlpm.pos,MASTER!$J:$J,0)),"mmddyy"),""),_xlpm.slot,1248+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46" s="4" t="str">
        <f t="array" ref="J146">_xlfn.LET(_xlpm.pos,"Max Planck plate 14: "&amp;$A3&amp;J$2,_xlpm.normal,IFERROR(INDEX(MASTER!$A:$A,MATCH(_xlpm.pos,MASTER!$J:$J,0))&amp;"_ser_0.20_"&amp;TEXT(INDEX(MASTER!$E:$E,MATCH(_xlpm.pos,MASTER!$J:$J,0)),"mmddyy"),""),_xlpm.slot,1248+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46" s="4" t="str">
        <f t="array" ref="K146">_xlfn.LET(_xlpm.pos,"Max Planck plate 14: "&amp;$A3&amp;K$2,_xlpm.normal,IFERROR(INDEX(MASTER!$A:$A,MATCH(_xlpm.pos,MASTER!$J:$J,0))&amp;"_ser_0.20_"&amp;TEXT(INDEX(MASTER!$E:$E,MATCH(_xlpm.pos,MASTER!$J:$J,0)),"mmddyy"),""),_xlpm.slot,1248+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46" s="4" t="str">
        <f t="array" ref="L146">_xlfn.LET(_xlpm.pos,"Max Planck plate 14: "&amp;$A3&amp;L$2,_xlpm.normal,IFERROR(INDEX(MASTER!$A:$A,MATCH(_xlpm.pos,MASTER!$J:$J,0))&amp;"_ser_0.20_"&amp;TEXT(INDEX(MASTER!$E:$E,MATCH(_xlpm.pos,MASTER!$J:$J,0)),"mmddyy"),""),_xlpm.slot,1248+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46" s="4" t="str">
        <f t="array" ref="M146">_xlfn.LET(_xlpm.pos,"Max Planck plate 14: "&amp;$A3&amp;M$2,_xlpm.normal,IFERROR(INDEX(MASTER!$A:$A,MATCH(_xlpm.pos,MASTER!$J:$J,0))&amp;"_ser_0.20_"&amp;TEXT(INDEX(MASTER!$E:$E,MATCH(_xlpm.pos,MASTER!$J:$J,0)),"mmddyy"),""),_xlpm.slot,1248+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47" spans="1:13" ht="22" customHeight="1" x14ac:dyDescent="0.3">
      <c r="A147" s="6" t="s">
        <v>31</v>
      </c>
      <c r="B147" s="4" t="str">
        <f t="array" ref="B147">_xlfn.LET(_xlpm.pos,"Max Planck plate 14: "&amp;$A4&amp;B$2,_xlpm.normal,IFERROR(INDEX(MASTER!$A:$A,MATCH(_xlpm.pos,MASTER!$J:$J,0))&amp;"_ser_0.20_"&amp;TEXT(INDEX(MASTER!$E:$E,MATCH(_xlpm.pos,MASTER!$J:$J,0)),"mmddyy"),""),_xlpm.slot,1248+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47" s="4" t="str">
        <f t="array" ref="C147">_xlfn.LET(_xlpm.pos,"Max Planck plate 14: "&amp;$A4&amp;C$2,_xlpm.normal,IFERROR(INDEX(MASTER!$A:$A,MATCH(_xlpm.pos,MASTER!$J:$J,0))&amp;"_ser_0.20_"&amp;TEXT(INDEX(MASTER!$E:$E,MATCH(_xlpm.pos,MASTER!$J:$J,0)),"mmddyy"),""),_xlpm.slot,1248+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47" s="4" t="str">
        <f t="array" ref="D147">_xlfn.LET(_xlpm.pos,"Max Planck plate 14: "&amp;$A4&amp;D$2,_xlpm.normal,IFERROR(INDEX(MASTER!$A:$A,MATCH(_xlpm.pos,MASTER!$J:$J,0))&amp;"_ser_0.20_"&amp;TEXT(INDEX(MASTER!$E:$E,MATCH(_xlpm.pos,MASTER!$J:$J,0)),"mmddyy"),""),_xlpm.slot,1248+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47" s="4" t="str">
        <f t="array" ref="E147">_xlfn.LET(_xlpm.pos,"Max Planck plate 14: "&amp;$A4&amp;E$2,_xlpm.normal,IFERROR(INDEX(MASTER!$A:$A,MATCH(_xlpm.pos,MASTER!$J:$J,0))&amp;"_ser_0.20_"&amp;TEXT(INDEX(MASTER!$E:$E,MATCH(_xlpm.pos,MASTER!$J:$J,0)),"mmddyy"),""),_xlpm.slot,1248+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47" s="4" t="str">
        <f t="array" ref="F147">_xlfn.LET(_xlpm.pos,"Max Planck plate 14: "&amp;$A4&amp;F$2,_xlpm.normal,IFERROR(INDEX(MASTER!$A:$A,MATCH(_xlpm.pos,MASTER!$J:$J,0))&amp;"_ser_0.20_"&amp;TEXT(INDEX(MASTER!$E:$E,MATCH(_xlpm.pos,MASTER!$J:$J,0)),"mmddyy"),""),_xlpm.slot,1248+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47" s="4" t="str">
        <f t="array" ref="G147">_xlfn.LET(_xlpm.pos,"Max Planck plate 14: "&amp;$A4&amp;G$2,_xlpm.normal,IFERROR(INDEX(MASTER!$A:$A,MATCH(_xlpm.pos,MASTER!$J:$J,0))&amp;"_ser_0.20_"&amp;TEXT(INDEX(MASTER!$E:$E,MATCH(_xlpm.pos,MASTER!$J:$J,0)),"mmddyy"),""),_xlpm.slot,1248+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47" s="4" t="str">
        <f t="array" ref="H147">_xlfn.LET(_xlpm.pos,"Max Planck plate 14: "&amp;$A4&amp;H$2,_xlpm.normal,IFERROR(INDEX(MASTER!$A:$A,MATCH(_xlpm.pos,MASTER!$J:$J,0))&amp;"_ser_0.20_"&amp;TEXT(INDEX(MASTER!$E:$E,MATCH(_xlpm.pos,MASTER!$J:$J,0)),"mmddyy"),""),_xlpm.slot,1248+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47" s="4" t="str">
        <f t="array" ref="I147">_xlfn.LET(_xlpm.pos,"Max Planck plate 14: "&amp;$A4&amp;I$2,_xlpm.normal,IFERROR(INDEX(MASTER!$A:$A,MATCH(_xlpm.pos,MASTER!$J:$J,0))&amp;"_ser_0.20_"&amp;TEXT(INDEX(MASTER!$E:$E,MATCH(_xlpm.pos,MASTER!$J:$J,0)),"mmddyy"),""),_xlpm.slot,1248+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47" s="4" t="str">
        <f t="array" ref="J147">_xlfn.LET(_xlpm.pos,"Max Planck plate 14: "&amp;$A4&amp;J$2,_xlpm.normal,IFERROR(INDEX(MASTER!$A:$A,MATCH(_xlpm.pos,MASTER!$J:$J,0))&amp;"_ser_0.20_"&amp;TEXT(INDEX(MASTER!$E:$E,MATCH(_xlpm.pos,MASTER!$J:$J,0)),"mmddyy"),""),_xlpm.slot,1248+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47" s="4" t="str">
        <f t="array" ref="K147">_xlfn.LET(_xlpm.pos,"Max Planck plate 14: "&amp;$A4&amp;K$2,_xlpm.normal,IFERROR(INDEX(MASTER!$A:$A,MATCH(_xlpm.pos,MASTER!$J:$J,0))&amp;"_ser_0.20_"&amp;TEXT(INDEX(MASTER!$E:$E,MATCH(_xlpm.pos,MASTER!$J:$J,0)),"mmddyy"),""),_xlpm.slot,1248+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47" s="4" t="str">
        <f t="array" ref="L147">_xlfn.LET(_xlpm.pos,"Max Planck plate 14: "&amp;$A4&amp;L$2,_xlpm.normal,IFERROR(INDEX(MASTER!$A:$A,MATCH(_xlpm.pos,MASTER!$J:$J,0))&amp;"_ser_0.20_"&amp;TEXT(INDEX(MASTER!$E:$E,MATCH(_xlpm.pos,MASTER!$J:$J,0)),"mmddyy"),""),_xlpm.slot,1248+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47" s="4" t="str">
        <f t="array" ref="M147">_xlfn.LET(_xlpm.pos,"Max Planck plate 14: "&amp;$A4&amp;M$2,_xlpm.normal,IFERROR(INDEX(MASTER!$A:$A,MATCH(_xlpm.pos,MASTER!$J:$J,0))&amp;"_ser_0.20_"&amp;TEXT(INDEX(MASTER!$E:$E,MATCH(_xlpm.pos,MASTER!$J:$J,0)),"mmddyy"),""),_xlpm.slot,1248+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48" spans="1:13" ht="22" customHeight="1" x14ac:dyDescent="0.3">
      <c r="A148" s="6" t="s">
        <v>32</v>
      </c>
      <c r="B148" s="4" t="str">
        <f t="array" ref="B148">_xlfn.LET(_xlpm.pos,"Max Planck plate 14: "&amp;$A5&amp;B$2,_xlpm.normal,IFERROR(INDEX(MASTER!$A:$A,MATCH(_xlpm.pos,MASTER!$J:$J,0))&amp;"_ser_0.20_"&amp;TEXT(INDEX(MASTER!$E:$E,MATCH(_xlpm.pos,MASTER!$J:$J,0)),"mmddyy"),""),_xlpm.slot,1248+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48" s="4" t="str">
        <f t="array" ref="C148">_xlfn.LET(_xlpm.pos,"Max Planck plate 14: "&amp;$A5&amp;C$2,_xlpm.normal,IFERROR(INDEX(MASTER!$A:$A,MATCH(_xlpm.pos,MASTER!$J:$J,0))&amp;"_ser_0.20_"&amp;TEXT(INDEX(MASTER!$E:$E,MATCH(_xlpm.pos,MASTER!$J:$J,0)),"mmddyy"),""),_xlpm.slot,1248+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48" s="4" t="str">
        <f t="array" ref="D148">_xlfn.LET(_xlpm.pos,"Max Planck plate 14: "&amp;$A5&amp;D$2,_xlpm.normal,IFERROR(INDEX(MASTER!$A:$A,MATCH(_xlpm.pos,MASTER!$J:$J,0))&amp;"_ser_0.20_"&amp;TEXT(INDEX(MASTER!$E:$E,MATCH(_xlpm.pos,MASTER!$J:$J,0)),"mmddyy"),""),_xlpm.slot,1248+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48" s="4" t="str">
        <f t="array" ref="E148">_xlfn.LET(_xlpm.pos,"Max Planck plate 14: "&amp;$A5&amp;E$2,_xlpm.normal,IFERROR(INDEX(MASTER!$A:$A,MATCH(_xlpm.pos,MASTER!$J:$J,0))&amp;"_ser_0.20_"&amp;TEXT(INDEX(MASTER!$E:$E,MATCH(_xlpm.pos,MASTER!$J:$J,0)),"mmddyy"),""),_xlpm.slot,1248+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48" s="4" t="str">
        <f t="array" ref="F148">_xlfn.LET(_xlpm.pos,"Max Planck plate 14: "&amp;$A5&amp;F$2,_xlpm.normal,IFERROR(INDEX(MASTER!$A:$A,MATCH(_xlpm.pos,MASTER!$J:$J,0))&amp;"_ser_0.20_"&amp;TEXT(INDEX(MASTER!$E:$E,MATCH(_xlpm.pos,MASTER!$J:$J,0)),"mmddyy"),""),_xlpm.slot,1248+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48" s="4" t="str">
        <f t="array" ref="G148">_xlfn.LET(_xlpm.pos,"Max Planck plate 14: "&amp;$A5&amp;G$2,_xlpm.normal,IFERROR(INDEX(MASTER!$A:$A,MATCH(_xlpm.pos,MASTER!$J:$J,0))&amp;"_ser_0.20_"&amp;TEXT(INDEX(MASTER!$E:$E,MATCH(_xlpm.pos,MASTER!$J:$J,0)),"mmddyy"),""),_xlpm.slot,1248+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48" s="4" t="str">
        <f t="array" ref="H148">_xlfn.LET(_xlpm.pos,"Max Planck plate 14: "&amp;$A5&amp;H$2,_xlpm.normal,IFERROR(INDEX(MASTER!$A:$A,MATCH(_xlpm.pos,MASTER!$J:$J,0))&amp;"_ser_0.20_"&amp;TEXT(INDEX(MASTER!$E:$E,MATCH(_xlpm.pos,MASTER!$J:$J,0)),"mmddyy"),""),_xlpm.slot,1248+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48" s="4" t="str">
        <f t="array" ref="I148">_xlfn.LET(_xlpm.pos,"Max Planck plate 14: "&amp;$A5&amp;I$2,_xlpm.normal,IFERROR(INDEX(MASTER!$A:$A,MATCH(_xlpm.pos,MASTER!$J:$J,0))&amp;"_ser_0.20_"&amp;TEXT(INDEX(MASTER!$E:$E,MATCH(_xlpm.pos,MASTER!$J:$J,0)),"mmddyy"),""),_xlpm.slot,1248+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48" s="4" t="str">
        <f t="array" ref="J148">_xlfn.LET(_xlpm.pos,"Max Planck plate 14: "&amp;$A5&amp;J$2,_xlpm.normal,IFERROR(INDEX(MASTER!$A:$A,MATCH(_xlpm.pos,MASTER!$J:$J,0))&amp;"_ser_0.20_"&amp;TEXT(INDEX(MASTER!$E:$E,MATCH(_xlpm.pos,MASTER!$J:$J,0)),"mmddyy"),""),_xlpm.slot,1248+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48" s="4" t="str">
        <f t="array" ref="K148">_xlfn.LET(_xlpm.pos,"Max Planck plate 14: "&amp;$A5&amp;K$2,_xlpm.normal,IFERROR(INDEX(MASTER!$A:$A,MATCH(_xlpm.pos,MASTER!$J:$J,0))&amp;"_ser_0.20_"&amp;TEXT(INDEX(MASTER!$E:$E,MATCH(_xlpm.pos,MASTER!$J:$J,0)),"mmddyy"),""),_xlpm.slot,1248+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48" s="4" t="str">
        <f t="array" ref="L148">_xlfn.LET(_xlpm.pos,"Max Planck plate 14: "&amp;$A5&amp;L$2,_xlpm.normal,IFERROR(INDEX(MASTER!$A:$A,MATCH(_xlpm.pos,MASTER!$J:$J,0))&amp;"_ser_0.20_"&amp;TEXT(INDEX(MASTER!$E:$E,MATCH(_xlpm.pos,MASTER!$J:$J,0)),"mmddyy"),""),_xlpm.slot,1248+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48" s="4" t="str">
        <f t="array" ref="M148">_xlfn.LET(_xlpm.pos,"Max Planck plate 14: "&amp;$A5&amp;M$2,_xlpm.normal,IFERROR(INDEX(MASTER!$A:$A,MATCH(_xlpm.pos,MASTER!$J:$J,0))&amp;"_ser_0.20_"&amp;TEXT(INDEX(MASTER!$E:$E,MATCH(_xlpm.pos,MASTER!$J:$J,0)),"mmddyy"),""),_xlpm.slot,1248+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49" spans="1:13" ht="22" customHeight="1" x14ac:dyDescent="0.3">
      <c r="A149" s="6" t="s">
        <v>33</v>
      </c>
      <c r="B149" s="4" t="str">
        <f t="array" ref="B149">_xlfn.LET(_xlpm.pos,"Max Planck plate 14: "&amp;$A6&amp;B$2,_xlpm.normal,IFERROR(INDEX(MASTER!$A:$A,MATCH(_xlpm.pos,MASTER!$J:$J,0))&amp;"_ser_0.20_"&amp;TEXT(INDEX(MASTER!$E:$E,MATCH(_xlpm.pos,MASTER!$J:$J,0)),"mmddyy"),""),_xlpm.slot,1248+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49" s="4" t="str">
        <f t="array" ref="C149">_xlfn.LET(_xlpm.pos,"Max Planck plate 14: "&amp;$A6&amp;C$2,_xlpm.normal,IFERROR(INDEX(MASTER!$A:$A,MATCH(_xlpm.pos,MASTER!$J:$J,0))&amp;"_ser_0.20_"&amp;TEXT(INDEX(MASTER!$E:$E,MATCH(_xlpm.pos,MASTER!$J:$J,0)),"mmddyy"),""),_xlpm.slot,1248+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49" s="4" t="str">
        <f t="array" ref="D149">_xlfn.LET(_xlpm.pos,"Max Planck plate 14: "&amp;$A6&amp;D$2,_xlpm.normal,IFERROR(INDEX(MASTER!$A:$A,MATCH(_xlpm.pos,MASTER!$J:$J,0))&amp;"_ser_0.20_"&amp;TEXT(INDEX(MASTER!$E:$E,MATCH(_xlpm.pos,MASTER!$J:$J,0)),"mmddyy"),""),_xlpm.slot,1248+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49" s="4" t="str">
        <f t="array" ref="E149">_xlfn.LET(_xlpm.pos,"Max Planck plate 14: "&amp;$A6&amp;E$2,_xlpm.normal,IFERROR(INDEX(MASTER!$A:$A,MATCH(_xlpm.pos,MASTER!$J:$J,0))&amp;"_ser_0.20_"&amp;TEXT(INDEX(MASTER!$E:$E,MATCH(_xlpm.pos,MASTER!$J:$J,0)),"mmddyy"),""),_xlpm.slot,1248+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49" s="4" t="str">
        <f t="array" ref="F149">_xlfn.LET(_xlpm.pos,"Max Planck plate 14: "&amp;$A6&amp;F$2,_xlpm.normal,IFERROR(INDEX(MASTER!$A:$A,MATCH(_xlpm.pos,MASTER!$J:$J,0))&amp;"_ser_0.20_"&amp;TEXT(INDEX(MASTER!$E:$E,MATCH(_xlpm.pos,MASTER!$J:$J,0)),"mmddyy"),""),_xlpm.slot,1248+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49" s="4" t="str">
        <f t="array" ref="G149">_xlfn.LET(_xlpm.pos,"Max Planck plate 14: "&amp;$A6&amp;G$2,_xlpm.normal,IFERROR(INDEX(MASTER!$A:$A,MATCH(_xlpm.pos,MASTER!$J:$J,0))&amp;"_ser_0.20_"&amp;TEXT(INDEX(MASTER!$E:$E,MATCH(_xlpm.pos,MASTER!$J:$J,0)),"mmddyy"),""),_xlpm.slot,1248+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49" s="4" t="str">
        <f t="array" ref="H149">_xlfn.LET(_xlpm.pos,"Max Planck plate 14: "&amp;$A6&amp;H$2,_xlpm.normal,IFERROR(INDEX(MASTER!$A:$A,MATCH(_xlpm.pos,MASTER!$J:$J,0))&amp;"_ser_0.20_"&amp;TEXT(INDEX(MASTER!$E:$E,MATCH(_xlpm.pos,MASTER!$J:$J,0)),"mmddyy"),""),_xlpm.slot,1248+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49" s="4" t="str">
        <f t="array" ref="I149">_xlfn.LET(_xlpm.pos,"Max Planck plate 14: "&amp;$A6&amp;I$2,_xlpm.normal,IFERROR(INDEX(MASTER!$A:$A,MATCH(_xlpm.pos,MASTER!$J:$J,0))&amp;"_ser_0.20_"&amp;TEXT(INDEX(MASTER!$E:$E,MATCH(_xlpm.pos,MASTER!$J:$J,0)),"mmddyy"),""),_xlpm.slot,1248+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49" s="4" t="str">
        <f t="array" ref="J149">_xlfn.LET(_xlpm.pos,"Max Planck plate 14: "&amp;$A6&amp;J$2,_xlpm.normal,IFERROR(INDEX(MASTER!$A:$A,MATCH(_xlpm.pos,MASTER!$J:$J,0))&amp;"_ser_0.20_"&amp;TEXT(INDEX(MASTER!$E:$E,MATCH(_xlpm.pos,MASTER!$J:$J,0)),"mmddyy"),""),_xlpm.slot,1248+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49" s="4" t="str">
        <f t="array" ref="K149">_xlfn.LET(_xlpm.pos,"Max Planck plate 14: "&amp;$A6&amp;K$2,_xlpm.normal,IFERROR(INDEX(MASTER!$A:$A,MATCH(_xlpm.pos,MASTER!$J:$J,0))&amp;"_ser_0.20_"&amp;TEXT(INDEX(MASTER!$E:$E,MATCH(_xlpm.pos,MASTER!$J:$J,0)),"mmddyy"),""),_xlpm.slot,1248+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49" s="4" t="str">
        <f t="array" ref="L149">_xlfn.LET(_xlpm.pos,"Max Planck plate 14: "&amp;$A6&amp;L$2,_xlpm.normal,IFERROR(INDEX(MASTER!$A:$A,MATCH(_xlpm.pos,MASTER!$J:$J,0))&amp;"_ser_0.20_"&amp;TEXT(INDEX(MASTER!$E:$E,MATCH(_xlpm.pos,MASTER!$J:$J,0)),"mmddyy"),""),_xlpm.slot,1248+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49" s="4" t="str">
        <f t="array" ref="M149">_xlfn.LET(_xlpm.pos,"Max Planck plate 14: "&amp;$A6&amp;M$2,_xlpm.normal,IFERROR(INDEX(MASTER!$A:$A,MATCH(_xlpm.pos,MASTER!$J:$J,0))&amp;"_ser_0.20_"&amp;TEXT(INDEX(MASTER!$E:$E,MATCH(_xlpm.pos,MASTER!$J:$J,0)),"mmddyy"),""),_xlpm.slot,1248+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50" spans="1:13" ht="22" customHeight="1" x14ac:dyDescent="0.3">
      <c r="A150" s="6" t="s">
        <v>34</v>
      </c>
      <c r="B150" s="4" t="str">
        <f t="array" ref="B150">_xlfn.LET(_xlpm.pos,"Max Planck plate 14: "&amp;$A7&amp;B$2,_xlpm.normal,IFERROR(INDEX(MASTER!$A:$A,MATCH(_xlpm.pos,MASTER!$J:$J,0))&amp;"_ser_0.20_"&amp;TEXT(INDEX(MASTER!$E:$E,MATCH(_xlpm.pos,MASTER!$J:$J,0)),"mmddyy"),""),_xlpm.slot,1248+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50" s="4" t="str">
        <f t="array" ref="C150">_xlfn.LET(_xlpm.pos,"Max Planck plate 14: "&amp;$A7&amp;C$2,_xlpm.normal,IFERROR(INDEX(MASTER!$A:$A,MATCH(_xlpm.pos,MASTER!$J:$J,0))&amp;"_ser_0.20_"&amp;TEXT(INDEX(MASTER!$E:$E,MATCH(_xlpm.pos,MASTER!$J:$J,0)),"mmddyy"),""),_xlpm.slot,1248+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50" s="4" t="str">
        <f t="array" ref="D150">_xlfn.LET(_xlpm.pos,"Max Planck plate 14: "&amp;$A7&amp;D$2,_xlpm.normal,IFERROR(INDEX(MASTER!$A:$A,MATCH(_xlpm.pos,MASTER!$J:$J,0))&amp;"_ser_0.20_"&amp;TEXT(INDEX(MASTER!$E:$E,MATCH(_xlpm.pos,MASTER!$J:$J,0)),"mmddyy"),""),_xlpm.slot,1248+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50" s="4" t="str">
        <f t="array" ref="E150">_xlfn.LET(_xlpm.pos,"Max Planck plate 14: "&amp;$A7&amp;E$2,_xlpm.normal,IFERROR(INDEX(MASTER!$A:$A,MATCH(_xlpm.pos,MASTER!$J:$J,0))&amp;"_ser_0.20_"&amp;TEXT(INDEX(MASTER!$E:$E,MATCH(_xlpm.pos,MASTER!$J:$J,0)),"mmddyy"),""),_xlpm.slot,1248+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50" s="4" t="str">
        <f t="array" ref="F150">_xlfn.LET(_xlpm.pos,"Max Planck plate 14: "&amp;$A7&amp;F$2,_xlpm.normal,IFERROR(INDEX(MASTER!$A:$A,MATCH(_xlpm.pos,MASTER!$J:$J,0))&amp;"_ser_0.20_"&amp;TEXT(INDEX(MASTER!$E:$E,MATCH(_xlpm.pos,MASTER!$J:$J,0)),"mmddyy"),""),_xlpm.slot,1248+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50" s="4" t="str">
        <f t="array" ref="G150">_xlfn.LET(_xlpm.pos,"Max Planck plate 14: "&amp;$A7&amp;G$2,_xlpm.normal,IFERROR(INDEX(MASTER!$A:$A,MATCH(_xlpm.pos,MASTER!$J:$J,0))&amp;"_ser_0.20_"&amp;TEXT(INDEX(MASTER!$E:$E,MATCH(_xlpm.pos,MASTER!$J:$J,0)),"mmddyy"),""),_xlpm.slot,1248+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50" s="4" t="str">
        <f t="array" ref="H150">_xlfn.LET(_xlpm.pos,"Max Planck plate 14: "&amp;$A7&amp;H$2,_xlpm.normal,IFERROR(INDEX(MASTER!$A:$A,MATCH(_xlpm.pos,MASTER!$J:$J,0))&amp;"_ser_0.20_"&amp;TEXT(INDEX(MASTER!$E:$E,MATCH(_xlpm.pos,MASTER!$J:$J,0)),"mmddyy"),""),_xlpm.slot,1248+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50" s="4" t="str">
        <f t="array" ref="I150">_xlfn.LET(_xlpm.pos,"Max Planck plate 14: "&amp;$A7&amp;I$2,_xlpm.normal,IFERROR(INDEX(MASTER!$A:$A,MATCH(_xlpm.pos,MASTER!$J:$J,0))&amp;"_ser_0.20_"&amp;TEXT(INDEX(MASTER!$E:$E,MATCH(_xlpm.pos,MASTER!$J:$J,0)),"mmddyy"),""),_xlpm.slot,1248+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50" s="4" t="str">
        <f t="array" ref="J150">_xlfn.LET(_xlpm.pos,"Max Planck plate 14: "&amp;$A7&amp;J$2,_xlpm.normal,IFERROR(INDEX(MASTER!$A:$A,MATCH(_xlpm.pos,MASTER!$J:$J,0))&amp;"_ser_0.20_"&amp;TEXT(INDEX(MASTER!$E:$E,MATCH(_xlpm.pos,MASTER!$J:$J,0)),"mmddyy"),""),_xlpm.slot,1248+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50" s="4" t="str">
        <f t="array" ref="K150">_xlfn.LET(_xlpm.pos,"Max Planck plate 14: "&amp;$A7&amp;K$2,_xlpm.normal,IFERROR(INDEX(MASTER!$A:$A,MATCH(_xlpm.pos,MASTER!$J:$J,0))&amp;"_ser_0.20_"&amp;TEXT(INDEX(MASTER!$E:$E,MATCH(_xlpm.pos,MASTER!$J:$J,0)),"mmddyy"),""),_xlpm.slot,1248+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50" s="4" t="str">
        <f t="array" ref="L150">_xlfn.LET(_xlpm.pos,"Max Planck plate 14: "&amp;$A7&amp;L$2,_xlpm.normal,IFERROR(INDEX(MASTER!$A:$A,MATCH(_xlpm.pos,MASTER!$J:$J,0))&amp;"_ser_0.20_"&amp;TEXT(INDEX(MASTER!$E:$E,MATCH(_xlpm.pos,MASTER!$J:$J,0)),"mmddyy"),""),_xlpm.slot,1248+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50" s="4" t="str">
        <f t="array" ref="M150">_xlfn.LET(_xlpm.pos,"Max Planck plate 14: "&amp;$A7&amp;M$2,_xlpm.normal,IFERROR(INDEX(MASTER!$A:$A,MATCH(_xlpm.pos,MASTER!$J:$J,0))&amp;"_ser_0.20_"&amp;TEXT(INDEX(MASTER!$E:$E,MATCH(_xlpm.pos,MASTER!$J:$J,0)),"mmddyy"),""),_xlpm.slot,1248+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51" spans="1:13" ht="22" customHeight="1" x14ac:dyDescent="0.3">
      <c r="A151" s="6" t="s">
        <v>15</v>
      </c>
      <c r="B151" s="4" t="str">
        <f t="array" ref="B151">_xlfn.LET(_xlpm.pos,"Max Planck plate 14: "&amp;$A8&amp;B$2,_xlpm.normal,IFERROR(INDEX(MASTER!$A:$A,MATCH(_xlpm.pos,MASTER!$J:$J,0))&amp;"_ser_0.20_"&amp;TEXT(INDEX(MASTER!$E:$E,MATCH(_xlpm.pos,MASTER!$J:$J,0)),"mmddyy"),""),_xlpm.slot,1248+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51" s="4" t="str">
        <f t="array" ref="C151">_xlfn.LET(_xlpm.pos,"Max Planck plate 14: "&amp;$A8&amp;C$2,_xlpm.normal,IFERROR(INDEX(MASTER!$A:$A,MATCH(_xlpm.pos,MASTER!$J:$J,0))&amp;"_ser_0.20_"&amp;TEXT(INDEX(MASTER!$E:$E,MATCH(_xlpm.pos,MASTER!$J:$J,0)),"mmddyy"),""),_xlpm.slot,1248+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51" s="4" t="str">
        <f t="array" ref="D151">_xlfn.LET(_xlpm.pos,"Max Planck plate 14: "&amp;$A8&amp;D$2,_xlpm.normal,IFERROR(INDEX(MASTER!$A:$A,MATCH(_xlpm.pos,MASTER!$J:$J,0))&amp;"_ser_0.20_"&amp;TEXT(INDEX(MASTER!$E:$E,MATCH(_xlpm.pos,MASTER!$J:$J,0)),"mmddyy"),""),_xlpm.slot,1248+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51" s="4" t="str">
        <f t="array" ref="E151">_xlfn.LET(_xlpm.pos,"Max Planck plate 14: "&amp;$A8&amp;E$2,_xlpm.normal,IFERROR(INDEX(MASTER!$A:$A,MATCH(_xlpm.pos,MASTER!$J:$J,0))&amp;"_ser_0.20_"&amp;TEXT(INDEX(MASTER!$E:$E,MATCH(_xlpm.pos,MASTER!$J:$J,0)),"mmddyy"),""),_xlpm.slot,1248+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51" s="4" t="str">
        <f t="array" ref="F151">_xlfn.LET(_xlpm.pos,"Max Planck plate 14: "&amp;$A8&amp;F$2,_xlpm.normal,IFERROR(INDEX(MASTER!$A:$A,MATCH(_xlpm.pos,MASTER!$J:$J,0))&amp;"_ser_0.20_"&amp;TEXT(INDEX(MASTER!$E:$E,MATCH(_xlpm.pos,MASTER!$J:$J,0)),"mmddyy"),""),_xlpm.slot,1248+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51" s="4" t="str">
        <f t="array" ref="G151">_xlfn.LET(_xlpm.pos,"Max Planck plate 14: "&amp;$A8&amp;G$2,_xlpm.normal,IFERROR(INDEX(MASTER!$A:$A,MATCH(_xlpm.pos,MASTER!$J:$J,0))&amp;"_ser_0.20_"&amp;TEXT(INDEX(MASTER!$E:$E,MATCH(_xlpm.pos,MASTER!$J:$J,0)),"mmddyy"),""),_xlpm.slot,1248+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51" s="4" t="str">
        <f t="array" ref="H151">_xlfn.LET(_xlpm.pos,"Max Planck plate 14: "&amp;$A8&amp;H$2,_xlpm.normal,IFERROR(INDEX(MASTER!$A:$A,MATCH(_xlpm.pos,MASTER!$J:$J,0))&amp;"_ser_0.20_"&amp;TEXT(INDEX(MASTER!$E:$E,MATCH(_xlpm.pos,MASTER!$J:$J,0)),"mmddyy"),""),_xlpm.slot,1248+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51" s="4" t="str">
        <f t="array" ref="I151">_xlfn.LET(_xlpm.pos,"Max Planck plate 14: "&amp;$A8&amp;I$2,_xlpm.normal,IFERROR(INDEX(MASTER!$A:$A,MATCH(_xlpm.pos,MASTER!$J:$J,0))&amp;"_ser_0.20_"&amp;TEXT(INDEX(MASTER!$E:$E,MATCH(_xlpm.pos,MASTER!$J:$J,0)),"mmddyy"),""),_xlpm.slot,1248+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51" s="4" t="str">
        <f t="array" ref="J151">_xlfn.LET(_xlpm.pos,"Max Planck plate 14: "&amp;$A8&amp;J$2,_xlpm.normal,IFERROR(INDEX(MASTER!$A:$A,MATCH(_xlpm.pos,MASTER!$J:$J,0))&amp;"_ser_0.20_"&amp;TEXT(INDEX(MASTER!$E:$E,MATCH(_xlpm.pos,MASTER!$J:$J,0)),"mmddyy"),""),_xlpm.slot,1248+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51" s="4" t="str">
        <f t="array" ref="K151">_xlfn.LET(_xlpm.pos,"Max Planck plate 14: "&amp;$A8&amp;K$2,_xlpm.normal,IFERROR(INDEX(MASTER!$A:$A,MATCH(_xlpm.pos,MASTER!$J:$J,0))&amp;"_ser_0.20_"&amp;TEXT(INDEX(MASTER!$E:$E,MATCH(_xlpm.pos,MASTER!$J:$J,0)),"mmddyy"),""),_xlpm.slot,1248+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51" s="4" t="str">
        <f t="array" ref="L151">_xlfn.LET(_xlpm.pos,"Max Planck plate 14: "&amp;$A8&amp;L$2,_xlpm.normal,IFERROR(INDEX(MASTER!$A:$A,MATCH(_xlpm.pos,MASTER!$J:$J,0))&amp;"_ser_0.20_"&amp;TEXT(INDEX(MASTER!$E:$E,MATCH(_xlpm.pos,MASTER!$J:$J,0)),"mmddyy"),""),_xlpm.slot,1248+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51" s="4" t="str">
        <f t="array" ref="M151">_xlfn.LET(_xlpm.pos,"Max Planck plate 14: "&amp;$A8&amp;M$2,_xlpm.normal,IFERROR(INDEX(MASTER!$A:$A,MATCH(_xlpm.pos,MASTER!$J:$J,0))&amp;"_ser_0.20_"&amp;TEXT(INDEX(MASTER!$E:$E,MATCH(_xlpm.pos,MASTER!$J:$J,0)),"mmddyy"),""),_xlpm.slot,1248+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52" spans="1:13" ht="22" customHeight="1" x14ac:dyDescent="0.3">
      <c r="A152" s="6" t="s">
        <v>35</v>
      </c>
      <c r="B152" s="4" t="str">
        <f t="array" ref="B152">_xlfn.LET(_xlpm.pos,"Max Planck plate 14: "&amp;$A9&amp;B$2,_xlpm.normal,IFERROR(INDEX(MASTER!$A:$A,MATCH(_xlpm.pos,MASTER!$J:$J,0))&amp;"_ser_0.20_"&amp;TEXT(INDEX(MASTER!$E:$E,MATCH(_xlpm.pos,MASTER!$J:$J,0)),"mmddyy"),""),_xlpm.slot,1248+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52" s="4" t="str">
        <f t="array" ref="C152">_xlfn.LET(_xlpm.pos,"Max Planck plate 14: "&amp;$A9&amp;C$2,_xlpm.normal,IFERROR(INDEX(MASTER!$A:$A,MATCH(_xlpm.pos,MASTER!$J:$J,0))&amp;"_ser_0.20_"&amp;TEXT(INDEX(MASTER!$E:$E,MATCH(_xlpm.pos,MASTER!$J:$J,0)),"mmddyy"),""),_xlpm.slot,1248+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52" s="4" t="str">
        <f t="array" ref="D152">_xlfn.LET(_xlpm.pos,"Max Planck plate 14: "&amp;$A9&amp;D$2,_xlpm.normal,IFERROR(INDEX(MASTER!$A:$A,MATCH(_xlpm.pos,MASTER!$J:$J,0))&amp;"_ser_0.20_"&amp;TEXT(INDEX(MASTER!$E:$E,MATCH(_xlpm.pos,MASTER!$J:$J,0)),"mmddyy"),""),_xlpm.slot,1248+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52" s="4" t="str">
        <f t="array" ref="E152">_xlfn.LET(_xlpm.pos,"Max Planck plate 14: "&amp;$A9&amp;E$2,_xlpm.normal,IFERROR(INDEX(MASTER!$A:$A,MATCH(_xlpm.pos,MASTER!$J:$J,0))&amp;"_ser_0.20_"&amp;TEXT(INDEX(MASTER!$E:$E,MATCH(_xlpm.pos,MASTER!$J:$J,0)),"mmddyy"),""),_xlpm.slot,1248+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52" s="4" t="str">
        <f t="array" ref="F152">_xlfn.LET(_xlpm.pos,"Max Planck plate 14: "&amp;$A9&amp;F$2,_xlpm.normal,IFERROR(INDEX(MASTER!$A:$A,MATCH(_xlpm.pos,MASTER!$J:$J,0))&amp;"_ser_0.20_"&amp;TEXT(INDEX(MASTER!$E:$E,MATCH(_xlpm.pos,MASTER!$J:$J,0)),"mmddyy"),""),_xlpm.slot,1248+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52" s="4" t="str">
        <f t="array" ref="G152">_xlfn.LET(_xlpm.pos,"Max Planck plate 14: "&amp;$A9&amp;G$2,_xlpm.normal,IFERROR(INDEX(MASTER!$A:$A,MATCH(_xlpm.pos,MASTER!$J:$J,0))&amp;"_ser_0.20_"&amp;TEXT(INDEX(MASTER!$E:$E,MATCH(_xlpm.pos,MASTER!$J:$J,0)),"mmddyy"),""),_xlpm.slot,1248+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52" s="4" t="str">
        <f t="array" ref="H152">_xlfn.LET(_xlpm.pos,"Max Planck plate 14: "&amp;$A9&amp;H$2,_xlpm.normal,IFERROR(INDEX(MASTER!$A:$A,MATCH(_xlpm.pos,MASTER!$J:$J,0))&amp;"_ser_0.20_"&amp;TEXT(INDEX(MASTER!$E:$E,MATCH(_xlpm.pos,MASTER!$J:$J,0)),"mmddyy"),""),_xlpm.slot,1248+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52" s="4" t="str">
        <f t="array" ref="I152">_xlfn.LET(_xlpm.pos,"Max Planck plate 14: "&amp;$A9&amp;I$2,_xlpm.normal,IFERROR(INDEX(MASTER!$A:$A,MATCH(_xlpm.pos,MASTER!$J:$J,0))&amp;"_ser_0.20_"&amp;TEXT(INDEX(MASTER!$E:$E,MATCH(_xlpm.pos,MASTER!$J:$J,0)),"mmddyy"),""),_xlpm.slot,1248+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52" s="4" t="str">
        <f t="array" ref="J152">_xlfn.LET(_xlpm.pos,"Max Planck plate 14: "&amp;$A9&amp;J$2,_xlpm.normal,IFERROR(INDEX(MASTER!$A:$A,MATCH(_xlpm.pos,MASTER!$J:$J,0))&amp;"_ser_0.20_"&amp;TEXT(INDEX(MASTER!$E:$E,MATCH(_xlpm.pos,MASTER!$J:$J,0)),"mmddyy"),""),_xlpm.slot,1248+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52" s="4" t="str">
        <f t="array" ref="K152">_xlfn.LET(_xlpm.pos,"Max Planck plate 14: "&amp;$A9&amp;K$2,_xlpm.normal,IFERROR(INDEX(MASTER!$A:$A,MATCH(_xlpm.pos,MASTER!$J:$J,0))&amp;"_ser_0.20_"&amp;TEXT(INDEX(MASTER!$E:$E,MATCH(_xlpm.pos,MASTER!$J:$J,0)),"mmddyy"),""),_xlpm.slot,1248+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52" s="4" t="str">
        <f t="array" ref="L152">_xlfn.LET(_xlpm.pos,"Max Planck plate 14: "&amp;$A9&amp;L$2,_xlpm.normal,IFERROR(INDEX(MASTER!$A:$A,MATCH(_xlpm.pos,MASTER!$J:$J,0))&amp;"_ser_0.20_"&amp;TEXT(INDEX(MASTER!$E:$E,MATCH(_xlpm.pos,MASTER!$J:$J,0)),"mmddyy"),""),_xlpm.slot,1248+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52" s="4" t="str">
        <f t="array" ref="M152">_xlfn.LET(_xlpm.pos,"Max Planck plate 14: "&amp;$A9&amp;M$2,_xlpm.normal,IFERROR(INDEX(MASTER!$A:$A,MATCH(_xlpm.pos,MASTER!$J:$J,0))&amp;"_ser_0.20_"&amp;TEXT(INDEX(MASTER!$E:$E,MATCH(_xlpm.pos,MASTER!$J:$J,0)),"mmddyy"),""),_xlpm.slot,1248+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53" spans="1:13" ht="22" customHeight="1" x14ac:dyDescent="0.3">
      <c r="A153" s="6" t="s">
        <v>36</v>
      </c>
      <c r="B153" s="4" t="str">
        <f t="array" ref="B153">_xlfn.LET(_xlpm.pos,"Max Planck plate 14: "&amp;$A10&amp;B$2,_xlpm.normal,IFERROR(INDEX(MASTER!$A:$A,MATCH(_xlpm.pos,MASTER!$J:$J,0))&amp;"_ser_0.20_"&amp;TEXT(INDEX(MASTER!$E:$E,MATCH(_xlpm.pos,MASTER!$J:$J,0)),"mmddyy"),""),_xlpm.slot,1248+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53" s="4" t="str">
        <f t="array" ref="C153">_xlfn.LET(_xlpm.pos,"Max Planck plate 14: "&amp;$A10&amp;C$2,_xlpm.normal,IFERROR(INDEX(MASTER!$A:$A,MATCH(_xlpm.pos,MASTER!$J:$J,0))&amp;"_ser_0.20_"&amp;TEXT(INDEX(MASTER!$E:$E,MATCH(_xlpm.pos,MASTER!$J:$J,0)),"mmddyy"),""),_xlpm.slot,1248+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53" s="4" t="str">
        <f t="array" ref="D153">_xlfn.LET(_xlpm.pos,"Max Planck plate 14: "&amp;$A10&amp;D$2,_xlpm.normal,IFERROR(INDEX(MASTER!$A:$A,MATCH(_xlpm.pos,MASTER!$J:$J,0))&amp;"_ser_0.20_"&amp;TEXT(INDEX(MASTER!$E:$E,MATCH(_xlpm.pos,MASTER!$J:$J,0)),"mmddyy"),""),_xlpm.slot,1248+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53" s="4" t="str">
        <f t="array" ref="E153">_xlfn.LET(_xlpm.pos,"Max Planck plate 14: "&amp;$A10&amp;E$2,_xlpm.normal,IFERROR(INDEX(MASTER!$A:$A,MATCH(_xlpm.pos,MASTER!$J:$J,0))&amp;"_ser_0.20_"&amp;TEXT(INDEX(MASTER!$E:$E,MATCH(_xlpm.pos,MASTER!$J:$J,0)),"mmddyy"),""),_xlpm.slot,1248+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53" s="4" t="str">
        <f t="array" ref="F153">_xlfn.LET(_xlpm.pos,"Max Planck plate 14: "&amp;$A10&amp;F$2,_xlpm.normal,IFERROR(INDEX(MASTER!$A:$A,MATCH(_xlpm.pos,MASTER!$J:$J,0))&amp;"_ser_0.20_"&amp;TEXT(INDEX(MASTER!$E:$E,MATCH(_xlpm.pos,MASTER!$J:$J,0)),"mmddyy"),""),_xlpm.slot,1248+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53" s="4" t="str">
        <f t="array" ref="G153">_xlfn.LET(_xlpm.pos,"Max Planck plate 14: "&amp;$A10&amp;G$2,_xlpm.normal,IFERROR(INDEX(MASTER!$A:$A,MATCH(_xlpm.pos,MASTER!$J:$J,0))&amp;"_ser_0.20_"&amp;TEXT(INDEX(MASTER!$E:$E,MATCH(_xlpm.pos,MASTER!$J:$J,0)),"mmddyy"),""),_xlpm.slot,1248+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53" s="4" t="str">
        <f t="array" ref="H153">_xlfn.LET(_xlpm.pos,"Max Planck plate 14: "&amp;$A10&amp;H$2,_xlpm.normal,IFERROR(INDEX(MASTER!$A:$A,MATCH(_xlpm.pos,MASTER!$J:$J,0))&amp;"_ser_0.20_"&amp;TEXT(INDEX(MASTER!$E:$E,MATCH(_xlpm.pos,MASTER!$J:$J,0)),"mmddyy"),""),_xlpm.slot,1248+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53" s="4" t="str">
        <f t="array" ref="I153">_xlfn.LET(_xlpm.pos,"Max Planck plate 14: "&amp;$A10&amp;I$2,_xlpm.normal,IFERROR(INDEX(MASTER!$A:$A,MATCH(_xlpm.pos,MASTER!$J:$J,0))&amp;"_ser_0.20_"&amp;TEXT(INDEX(MASTER!$E:$E,MATCH(_xlpm.pos,MASTER!$J:$J,0)),"mmddyy"),""),_xlpm.slot,1248+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53" s="4" t="str">
        <f t="array" ref="J153">_xlfn.LET(_xlpm.pos,"Max Planck plate 14: "&amp;$A10&amp;J$2,_xlpm.normal,IFERROR(INDEX(MASTER!$A:$A,MATCH(_xlpm.pos,MASTER!$J:$J,0))&amp;"_ser_0.20_"&amp;TEXT(INDEX(MASTER!$E:$E,MATCH(_xlpm.pos,MASTER!$J:$J,0)),"mmddyy"),""),_xlpm.slot,1248+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53" s="4" t="str">
        <f t="array" ref="K153">_xlfn.LET(_xlpm.pos,"Max Planck plate 14: "&amp;$A10&amp;K$2,_xlpm.normal,IFERROR(INDEX(MASTER!$A:$A,MATCH(_xlpm.pos,MASTER!$J:$J,0))&amp;"_ser_0.20_"&amp;TEXT(INDEX(MASTER!$E:$E,MATCH(_xlpm.pos,MASTER!$J:$J,0)),"mmddyy"),""),_xlpm.slot,1248+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53" s="4" t="str">
        <f t="array" ref="L153">_xlfn.LET(_xlpm.pos,"Max Planck plate 14: "&amp;$A10&amp;L$2,_xlpm.normal,IFERROR(INDEX(MASTER!$A:$A,MATCH(_xlpm.pos,MASTER!$J:$J,0))&amp;"_ser_0.20_"&amp;TEXT(INDEX(MASTER!$E:$E,MATCH(_xlpm.pos,MASTER!$J:$J,0)),"mmddyy"),""),_xlpm.slot,1248+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53" s="4" t="str">
        <f t="array" ref="M153">_xlfn.LET(_xlpm.pos,"Max Planck plate 14: "&amp;$A10&amp;M$2,_xlpm.normal,IFERROR(INDEX(MASTER!$A:$A,MATCH(_xlpm.pos,MASTER!$J:$J,0))&amp;"_ser_0.20_"&amp;TEXT(INDEX(MASTER!$E:$E,MATCH(_xlpm.pos,MASTER!$J:$J,0)),"mmddyy"),""),_xlpm.slot,1248+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54" spans="1:13" ht="22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3" ht="22" customHeight="1" x14ac:dyDescent="0.35">
      <c r="A155" s="5"/>
      <c r="B155" s="31" t="s">
        <v>92</v>
      </c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3"/>
    </row>
    <row r="156" spans="1:13" ht="22" customHeight="1" x14ac:dyDescent="0.3">
      <c r="A156" s="5"/>
      <c r="B156" s="6">
        <v>1</v>
      </c>
      <c r="C156" s="6">
        <v>2</v>
      </c>
      <c r="D156" s="6">
        <v>3</v>
      </c>
      <c r="E156" s="6">
        <v>4</v>
      </c>
      <c r="F156" s="6">
        <v>5</v>
      </c>
      <c r="G156" s="6">
        <v>6</v>
      </c>
      <c r="H156" s="6">
        <v>7</v>
      </c>
      <c r="I156" s="6">
        <v>8</v>
      </c>
      <c r="J156" s="6">
        <v>9</v>
      </c>
      <c r="K156" s="6">
        <v>10</v>
      </c>
      <c r="L156" s="6">
        <v>11</v>
      </c>
      <c r="M156" s="6">
        <v>12</v>
      </c>
    </row>
    <row r="157" spans="1:13" ht="22" customHeight="1" x14ac:dyDescent="0.3">
      <c r="A157" s="6" t="s">
        <v>30</v>
      </c>
      <c r="B157" s="4" t="str">
        <f t="array" ref="B157">_xlfn.LET(_xlpm.pos,"Max Planck plate 15: "&amp;$A3&amp;B$2,_xlpm.normal,IFERROR(INDEX(MASTER!$A:$A,MATCH(_xlpm.pos,MASTER!$J:$J,0))&amp;"_ser_0.20_"&amp;TEXT(INDEX(MASTER!$E:$E,MATCH(_xlpm.pos,MASTER!$J:$J,0)),"mmddyy"),""),_xlpm.slot,1344+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57" s="4" t="str">
        <f t="array" ref="C157">_xlfn.LET(_xlpm.pos,"Max Planck plate 15: "&amp;$A3&amp;C$2,_xlpm.normal,IFERROR(INDEX(MASTER!$A:$A,MATCH(_xlpm.pos,MASTER!$J:$J,0))&amp;"_ser_0.20_"&amp;TEXT(INDEX(MASTER!$E:$E,MATCH(_xlpm.pos,MASTER!$J:$J,0)),"mmddyy"),""),_xlpm.slot,1344+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57" s="4" t="str">
        <f t="array" ref="D157">_xlfn.LET(_xlpm.pos,"Max Planck plate 15: "&amp;$A3&amp;D$2,_xlpm.normal,IFERROR(INDEX(MASTER!$A:$A,MATCH(_xlpm.pos,MASTER!$J:$J,0))&amp;"_ser_0.20_"&amp;TEXT(INDEX(MASTER!$E:$E,MATCH(_xlpm.pos,MASTER!$J:$J,0)),"mmddyy"),""),_xlpm.slot,1344+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57" s="4" t="str">
        <f t="array" ref="E157">_xlfn.LET(_xlpm.pos,"Max Planck plate 15: "&amp;$A3&amp;E$2,_xlpm.normal,IFERROR(INDEX(MASTER!$A:$A,MATCH(_xlpm.pos,MASTER!$J:$J,0))&amp;"_ser_0.20_"&amp;TEXT(INDEX(MASTER!$E:$E,MATCH(_xlpm.pos,MASTER!$J:$J,0)),"mmddyy"),""),_xlpm.slot,1344+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57" s="4" t="str">
        <f t="array" ref="F157">_xlfn.LET(_xlpm.pos,"Max Planck plate 15: "&amp;$A3&amp;F$2,_xlpm.normal,IFERROR(INDEX(MASTER!$A:$A,MATCH(_xlpm.pos,MASTER!$J:$J,0))&amp;"_ser_0.20_"&amp;TEXT(INDEX(MASTER!$E:$E,MATCH(_xlpm.pos,MASTER!$J:$J,0)),"mmddyy"),""),_xlpm.slot,1344+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57" s="4" t="str">
        <f t="array" ref="G157">_xlfn.LET(_xlpm.pos,"Max Planck plate 15: "&amp;$A3&amp;G$2,_xlpm.normal,IFERROR(INDEX(MASTER!$A:$A,MATCH(_xlpm.pos,MASTER!$J:$J,0))&amp;"_ser_0.20_"&amp;TEXT(INDEX(MASTER!$E:$E,MATCH(_xlpm.pos,MASTER!$J:$J,0)),"mmddyy"),""),_xlpm.slot,1344+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57" s="4" t="str">
        <f t="array" ref="H157">_xlfn.LET(_xlpm.pos,"Max Planck plate 15: "&amp;$A3&amp;H$2,_xlpm.normal,IFERROR(INDEX(MASTER!$A:$A,MATCH(_xlpm.pos,MASTER!$J:$J,0))&amp;"_ser_0.20_"&amp;TEXT(INDEX(MASTER!$E:$E,MATCH(_xlpm.pos,MASTER!$J:$J,0)),"mmddyy"),""),_xlpm.slot,1344+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57" s="4" t="str">
        <f t="array" ref="I157">_xlfn.LET(_xlpm.pos,"Max Planck plate 15: "&amp;$A3&amp;I$2,_xlpm.normal,IFERROR(INDEX(MASTER!$A:$A,MATCH(_xlpm.pos,MASTER!$J:$J,0))&amp;"_ser_0.20_"&amp;TEXT(INDEX(MASTER!$E:$E,MATCH(_xlpm.pos,MASTER!$J:$J,0)),"mmddyy"),""),_xlpm.slot,1344+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57" s="4" t="str">
        <f t="array" ref="J157">_xlfn.LET(_xlpm.pos,"Max Planck plate 15: "&amp;$A3&amp;J$2,_xlpm.normal,IFERROR(INDEX(MASTER!$A:$A,MATCH(_xlpm.pos,MASTER!$J:$J,0))&amp;"_ser_0.20_"&amp;TEXT(INDEX(MASTER!$E:$E,MATCH(_xlpm.pos,MASTER!$J:$J,0)),"mmddyy"),""),_xlpm.slot,1344+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57" s="4" t="str">
        <f t="array" ref="K157">_xlfn.LET(_xlpm.pos,"Max Planck plate 15: "&amp;$A3&amp;K$2,_xlpm.normal,IFERROR(INDEX(MASTER!$A:$A,MATCH(_xlpm.pos,MASTER!$J:$J,0))&amp;"_ser_0.20_"&amp;TEXT(INDEX(MASTER!$E:$E,MATCH(_xlpm.pos,MASTER!$J:$J,0)),"mmddyy"),""),_xlpm.slot,1344+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57" s="4" t="str">
        <f t="array" ref="L157">_xlfn.LET(_xlpm.pos,"Max Planck plate 15: "&amp;$A3&amp;L$2,_xlpm.normal,IFERROR(INDEX(MASTER!$A:$A,MATCH(_xlpm.pos,MASTER!$J:$J,0))&amp;"_ser_0.20_"&amp;TEXT(INDEX(MASTER!$E:$E,MATCH(_xlpm.pos,MASTER!$J:$J,0)),"mmddyy"),""),_xlpm.slot,1344+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57" s="4" t="str">
        <f t="array" ref="M157">_xlfn.LET(_xlpm.pos,"Max Planck plate 15: "&amp;$A3&amp;M$2,_xlpm.normal,IFERROR(INDEX(MASTER!$A:$A,MATCH(_xlpm.pos,MASTER!$J:$J,0))&amp;"_ser_0.20_"&amp;TEXT(INDEX(MASTER!$E:$E,MATCH(_xlpm.pos,MASTER!$J:$J,0)),"mmddyy"),""),_xlpm.slot,1344+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58" spans="1:13" ht="22" customHeight="1" x14ac:dyDescent="0.3">
      <c r="A158" s="6" t="s">
        <v>31</v>
      </c>
      <c r="B158" s="4" t="str">
        <f t="array" ref="B158">_xlfn.LET(_xlpm.pos,"Max Planck plate 15: "&amp;$A4&amp;B$2,_xlpm.normal,IFERROR(INDEX(MASTER!$A:$A,MATCH(_xlpm.pos,MASTER!$J:$J,0))&amp;"_ser_0.20_"&amp;TEXT(INDEX(MASTER!$E:$E,MATCH(_xlpm.pos,MASTER!$J:$J,0)),"mmddyy"),""),_xlpm.slot,1344+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58" s="4" t="str">
        <f t="array" ref="C158">_xlfn.LET(_xlpm.pos,"Max Planck plate 15: "&amp;$A4&amp;C$2,_xlpm.normal,IFERROR(INDEX(MASTER!$A:$A,MATCH(_xlpm.pos,MASTER!$J:$J,0))&amp;"_ser_0.20_"&amp;TEXT(INDEX(MASTER!$E:$E,MATCH(_xlpm.pos,MASTER!$J:$J,0)),"mmddyy"),""),_xlpm.slot,1344+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58" s="4" t="str">
        <f t="array" ref="D158">_xlfn.LET(_xlpm.pos,"Max Planck plate 15: "&amp;$A4&amp;D$2,_xlpm.normal,IFERROR(INDEX(MASTER!$A:$A,MATCH(_xlpm.pos,MASTER!$J:$J,0))&amp;"_ser_0.20_"&amp;TEXT(INDEX(MASTER!$E:$E,MATCH(_xlpm.pos,MASTER!$J:$J,0)),"mmddyy"),""),_xlpm.slot,1344+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58" s="4" t="str">
        <f t="array" ref="E158">_xlfn.LET(_xlpm.pos,"Max Planck plate 15: "&amp;$A4&amp;E$2,_xlpm.normal,IFERROR(INDEX(MASTER!$A:$A,MATCH(_xlpm.pos,MASTER!$J:$J,0))&amp;"_ser_0.20_"&amp;TEXT(INDEX(MASTER!$E:$E,MATCH(_xlpm.pos,MASTER!$J:$J,0)),"mmddyy"),""),_xlpm.slot,1344+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58" s="4" t="str">
        <f t="array" ref="F158">_xlfn.LET(_xlpm.pos,"Max Planck plate 15: "&amp;$A4&amp;F$2,_xlpm.normal,IFERROR(INDEX(MASTER!$A:$A,MATCH(_xlpm.pos,MASTER!$J:$J,0))&amp;"_ser_0.20_"&amp;TEXT(INDEX(MASTER!$E:$E,MATCH(_xlpm.pos,MASTER!$J:$J,0)),"mmddyy"),""),_xlpm.slot,1344+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58" s="4" t="str">
        <f t="array" ref="G158">_xlfn.LET(_xlpm.pos,"Max Planck plate 15: "&amp;$A4&amp;G$2,_xlpm.normal,IFERROR(INDEX(MASTER!$A:$A,MATCH(_xlpm.pos,MASTER!$J:$J,0))&amp;"_ser_0.20_"&amp;TEXT(INDEX(MASTER!$E:$E,MATCH(_xlpm.pos,MASTER!$J:$J,0)),"mmddyy"),""),_xlpm.slot,1344+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58" s="4" t="str">
        <f t="array" ref="H158">_xlfn.LET(_xlpm.pos,"Max Planck plate 15: "&amp;$A4&amp;H$2,_xlpm.normal,IFERROR(INDEX(MASTER!$A:$A,MATCH(_xlpm.pos,MASTER!$J:$J,0))&amp;"_ser_0.20_"&amp;TEXT(INDEX(MASTER!$E:$E,MATCH(_xlpm.pos,MASTER!$J:$J,0)),"mmddyy"),""),_xlpm.slot,1344+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58" s="4" t="str">
        <f t="array" ref="I158">_xlfn.LET(_xlpm.pos,"Max Planck plate 15: "&amp;$A4&amp;I$2,_xlpm.normal,IFERROR(INDEX(MASTER!$A:$A,MATCH(_xlpm.pos,MASTER!$J:$J,0))&amp;"_ser_0.20_"&amp;TEXT(INDEX(MASTER!$E:$E,MATCH(_xlpm.pos,MASTER!$J:$J,0)),"mmddyy"),""),_xlpm.slot,1344+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58" s="4" t="str">
        <f t="array" ref="J158">_xlfn.LET(_xlpm.pos,"Max Planck plate 15: "&amp;$A4&amp;J$2,_xlpm.normal,IFERROR(INDEX(MASTER!$A:$A,MATCH(_xlpm.pos,MASTER!$J:$J,0))&amp;"_ser_0.20_"&amp;TEXT(INDEX(MASTER!$E:$E,MATCH(_xlpm.pos,MASTER!$J:$J,0)),"mmddyy"),""),_xlpm.slot,1344+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58" s="4" t="str">
        <f t="array" ref="K158">_xlfn.LET(_xlpm.pos,"Max Planck plate 15: "&amp;$A4&amp;K$2,_xlpm.normal,IFERROR(INDEX(MASTER!$A:$A,MATCH(_xlpm.pos,MASTER!$J:$J,0))&amp;"_ser_0.20_"&amp;TEXT(INDEX(MASTER!$E:$E,MATCH(_xlpm.pos,MASTER!$J:$J,0)),"mmddyy"),""),_xlpm.slot,1344+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58" s="4" t="str">
        <f t="array" ref="L158">_xlfn.LET(_xlpm.pos,"Max Planck plate 15: "&amp;$A4&amp;L$2,_xlpm.normal,IFERROR(INDEX(MASTER!$A:$A,MATCH(_xlpm.pos,MASTER!$J:$J,0))&amp;"_ser_0.20_"&amp;TEXT(INDEX(MASTER!$E:$E,MATCH(_xlpm.pos,MASTER!$J:$J,0)),"mmddyy"),""),_xlpm.slot,1344+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58" s="4" t="str">
        <f t="array" ref="M158">_xlfn.LET(_xlpm.pos,"Max Planck plate 15: "&amp;$A4&amp;M$2,_xlpm.normal,IFERROR(INDEX(MASTER!$A:$A,MATCH(_xlpm.pos,MASTER!$J:$J,0))&amp;"_ser_0.20_"&amp;TEXT(INDEX(MASTER!$E:$E,MATCH(_xlpm.pos,MASTER!$J:$J,0)),"mmddyy"),""),_xlpm.slot,1344+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59" spans="1:13" ht="22" customHeight="1" x14ac:dyDescent="0.3">
      <c r="A159" s="6" t="s">
        <v>32</v>
      </c>
      <c r="B159" s="4" t="str">
        <f t="array" ref="B159">_xlfn.LET(_xlpm.pos,"Max Planck plate 15: "&amp;$A5&amp;B$2,_xlpm.normal,IFERROR(INDEX(MASTER!$A:$A,MATCH(_xlpm.pos,MASTER!$J:$J,0))&amp;"_ser_0.20_"&amp;TEXT(INDEX(MASTER!$E:$E,MATCH(_xlpm.pos,MASTER!$J:$J,0)),"mmddyy"),""),_xlpm.slot,1344+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59" s="4" t="str">
        <f t="array" ref="C159">_xlfn.LET(_xlpm.pos,"Max Planck plate 15: "&amp;$A5&amp;C$2,_xlpm.normal,IFERROR(INDEX(MASTER!$A:$A,MATCH(_xlpm.pos,MASTER!$J:$J,0))&amp;"_ser_0.20_"&amp;TEXT(INDEX(MASTER!$E:$E,MATCH(_xlpm.pos,MASTER!$J:$J,0)),"mmddyy"),""),_xlpm.slot,1344+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59" s="4" t="str">
        <f t="array" ref="D159">_xlfn.LET(_xlpm.pos,"Max Planck plate 15: "&amp;$A5&amp;D$2,_xlpm.normal,IFERROR(INDEX(MASTER!$A:$A,MATCH(_xlpm.pos,MASTER!$J:$J,0))&amp;"_ser_0.20_"&amp;TEXT(INDEX(MASTER!$E:$E,MATCH(_xlpm.pos,MASTER!$J:$J,0)),"mmddyy"),""),_xlpm.slot,1344+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59" s="4" t="str">
        <f t="array" ref="E159">_xlfn.LET(_xlpm.pos,"Max Planck plate 15: "&amp;$A5&amp;E$2,_xlpm.normal,IFERROR(INDEX(MASTER!$A:$A,MATCH(_xlpm.pos,MASTER!$J:$J,0))&amp;"_ser_0.20_"&amp;TEXT(INDEX(MASTER!$E:$E,MATCH(_xlpm.pos,MASTER!$J:$J,0)),"mmddyy"),""),_xlpm.slot,1344+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59" s="4" t="str">
        <f t="array" ref="F159">_xlfn.LET(_xlpm.pos,"Max Planck plate 15: "&amp;$A5&amp;F$2,_xlpm.normal,IFERROR(INDEX(MASTER!$A:$A,MATCH(_xlpm.pos,MASTER!$J:$J,0))&amp;"_ser_0.20_"&amp;TEXT(INDEX(MASTER!$E:$E,MATCH(_xlpm.pos,MASTER!$J:$J,0)),"mmddyy"),""),_xlpm.slot,1344+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59" s="4" t="str">
        <f t="array" ref="G159">_xlfn.LET(_xlpm.pos,"Max Planck plate 15: "&amp;$A5&amp;G$2,_xlpm.normal,IFERROR(INDEX(MASTER!$A:$A,MATCH(_xlpm.pos,MASTER!$J:$J,0))&amp;"_ser_0.20_"&amp;TEXT(INDEX(MASTER!$E:$E,MATCH(_xlpm.pos,MASTER!$J:$J,0)),"mmddyy"),""),_xlpm.slot,1344+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59" s="4" t="str">
        <f t="array" ref="H159">_xlfn.LET(_xlpm.pos,"Max Planck plate 15: "&amp;$A5&amp;H$2,_xlpm.normal,IFERROR(INDEX(MASTER!$A:$A,MATCH(_xlpm.pos,MASTER!$J:$J,0))&amp;"_ser_0.20_"&amp;TEXT(INDEX(MASTER!$E:$E,MATCH(_xlpm.pos,MASTER!$J:$J,0)),"mmddyy"),""),_xlpm.slot,1344+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59" s="4" t="str">
        <f t="array" ref="I159">_xlfn.LET(_xlpm.pos,"Max Planck plate 15: "&amp;$A5&amp;I$2,_xlpm.normal,IFERROR(INDEX(MASTER!$A:$A,MATCH(_xlpm.pos,MASTER!$J:$J,0))&amp;"_ser_0.20_"&amp;TEXT(INDEX(MASTER!$E:$E,MATCH(_xlpm.pos,MASTER!$J:$J,0)),"mmddyy"),""),_xlpm.slot,1344+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59" s="4" t="str">
        <f t="array" ref="J159">_xlfn.LET(_xlpm.pos,"Max Planck plate 15: "&amp;$A5&amp;J$2,_xlpm.normal,IFERROR(INDEX(MASTER!$A:$A,MATCH(_xlpm.pos,MASTER!$J:$J,0))&amp;"_ser_0.20_"&amp;TEXT(INDEX(MASTER!$E:$E,MATCH(_xlpm.pos,MASTER!$J:$J,0)),"mmddyy"),""),_xlpm.slot,1344+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59" s="4" t="str">
        <f t="array" ref="K159">_xlfn.LET(_xlpm.pos,"Max Planck plate 15: "&amp;$A5&amp;K$2,_xlpm.normal,IFERROR(INDEX(MASTER!$A:$A,MATCH(_xlpm.pos,MASTER!$J:$J,0))&amp;"_ser_0.20_"&amp;TEXT(INDEX(MASTER!$E:$E,MATCH(_xlpm.pos,MASTER!$J:$J,0)),"mmddyy"),""),_xlpm.slot,1344+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59" s="4" t="str">
        <f t="array" ref="L159">_xlfn.LET(_xlpm.pos,"Max Planck plate 15: "&amp;$A5&amp;L$2,_xlpm.normal,IFERROR(INDEX(MASTER!$A:$A,MATCH(_xlpm.pos,MASTER!$J:$J,0))&amp;"_ser_0.20_"&amp;TEXT(INDEX(MASTER!$E:$E,MATCH(_xlpm.pos,MASTER!$J:$J,0)),"mmddyy"),""),_xlpm.slot,1344+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59" s="4" t="str">
        <f t="array" ref="M159">_xlfn.LET(_xlpm.pos,"Max Planck plate 15: "&amp;$A5&amp;M$2,_xlpm.normal,IFERROR(INDEX(MASTER!$A:$A,MATCH(_xlpm.pos,MASTER!$J:$J,0))&amp;"_ser_0.20_"&amp;TEXT(INDEX(MASTER!$E:$E,MATCH(_xlpm.pos,MASTER!$J:$J,0)),"mmddyy"),""),_xlpm.slot,1344+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60" spans="1:13" ht="22" customHeight="1" x14ac:dyDescent="0.3">
      <c r="A160" s="6" t="s">
        <v>33</v>
      </c>
      <c r="B160" s="4" t="str">
        <f t="array" ref="B160">_xlfn.LET(_xlpm.pos,"Max Planck plate 15: "&amp;$A6&amp;B$2,_xlpm.normal,IFERROR(INDEX(MASTER!$A:$A,MATCH(_xlpm.pos,MASTER!$J:$J,0))&amp;"_ser_0.20_"&amp;TEXT(INDEX(MASTER!$E:$E,MATCH(_xlpm.pos,MASTER!$J:$J,0)),"mmddyy"),""),_xlpm.slot,1344+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60" s="4" t="str">
        <f t="array" ref="C160">_xlfn.LET(_xlpm.pos,"Max Planck plate 15: "&amp;$A6&amp;C$2,_xlpm.normal,IFERROR(INDEX(MASTER!$A:$A,MATCH(_xlpm.pos,MASTER!$J:$J,0))&amp;"_ser_0.20_"&amp;TEXT(INDEX(MASTER!$E:$E,MATCH(_xlpm.pos,MASTER!$J:$J,0)),"mmddyy"),""),_xlpm.slot,1344+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60" s="4" t="str">
        <f t="array" ref="D160">_xlfn.LET(_xlpm.pos,"Max Planck plate 15: "&amp;$A6&amp;D$2,_xlpm.normal,IFERROR(INDEX(MASTER!$A:$A,MATCH(_xlpm.pos,MASTER!$J:$J,0))&amp;"_ser_0.20_"&amp;TEXT(INDEX(MASTER!$E:$E,MATCH(_xlpm.pos,MASTER!$J:$J,0)),"mmddyy"),""),_xlpm.slot,1344+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60" s="4" t="str">
        <f t="array" ref="E160">_xlfn.LET(_xlpm.pos,"Max Planck plate 15: "&amp;$A6&amp;E$2,_xlpm.normal,IFERROR(INDEX(MASTER!$A:$A,MATCH(_xlpm.pos,MASTER!$J:$J,0))&amp;"_ser_0.20_"&amp;TEXT(INDEX(MASTER!$E:$E,MATCH(_xlpm.pos,MASTER!$J:$J,0)),"mmddyy"),""),_xlpm.slot,1344+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60" s="4" t="str">
        <f t="array" ref="F160">_xlfn.LET(_xlpm.pos,"Max Planck plate 15: "&amp;$A6&amp;F$2,_xlpm.normal,IFERROR(INDEX(MASTER!$A:$A,MATCH(_xlpm.pos,MASTER!$J:$J,0))&amp;"_ser_0.20_"&amp;TEXT(INDEX(MASTER!$E:$E,MATCH(_xlpm.pos,MASTER!$J:$J,0)),"mmddyy"),""),_xlpm.slot,1344+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60" s="4" t="str">
        <f t="array" ref="G160">_xlfn.LET(_xlpm.pos,"Max Planck plate 15: "&amp;$A6&amp;G$2,_xlpm.normal,IFERROR(INDEX(MASTER!$A:$A,MATCH(_xlpm.pos,MASTER!$J:$J,0))&amp;"_ser_0.20_"&amp;TEXT(INDEX(MASTER!$E:$E,MATCH(_xlpm.pos,MASTER!$J:$J,0)),"mmddyy"),""),_xlpm.slot,1344+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60" s="4" t="str">
        <f t="array" ref="H160">_xlfn.LET(_xlpm.pos,"Max Planck plate 15: "&amp;$A6&amp;H$2,_xlpm.normal,IFERROR(INDEX(MASTER!$A:$A,MATCH(_xlpm.pos,MASTER!$J:$J,0))&amp;"_ser_0.20_"&amp;TEXT(INDEX(MASTER!$E:$E,MATCH(_xlpm.pos,MASTER!$J:$J,0)),"mmddyy"),""),_xlpm.slot,1344+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60" s="4" t="str">
        <f t="array" ref="I160">_xlfn.LET(_xlpm.pos,"Max Planck plate 15: "&amp;$A6&amp;I$2,_xlpm.normal,IFERROR(INDEX(MASTER!$A:$A,MATCH(_xlpm.pos,MASTER!$J:$J,0))&amp;"_ser_0.20_"&amp;TEXT(INDEX(MASTER!$E:$E,MATCH(_xlpm.pos,MASTER!$J:$J,0)),"mmddyy"),""),_xlpm.slot,1344+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60" s="4" t="str">
        <f t="array" ref="J160">_xlfn.LET(_xlpm.pos,"Max Planck plate 15: "&amp;$A6&amp;J$2,_xlpm.normal,IFERROR(INDEX(MASTER!$A:$A,MATCH(_xlpm.pos,MASTER!$J:$J,0))&amp;"_ser_0.20_"&amp;TEXT(INDEX(MASTER!$E:$E,MATCH(_xlpm.pos,MASTER!$J:$J,0)),"mmddyy"),""),_xlpm.slot,1344+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60" s="4" t="str">
        <f t="array" ref="K160">_xlfn.LET(_xlpm.pos,"Max Planck plate 15: "&amp;$A6&amp;K$2,_xlpm.normal,IFERROR(INDEX(MASTER!$A:$A,MATCH(_xlpm.pos,MASTER!$J:$J,0))&amp;"_ser_0.20_"&amp;TEXT(INDEX(MASTER!$E:$E,MATCH(_xlpm.pos,MASTER!$J:$J,0)),"mmddyy"),""),_xlpm.slot,1344+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60" s="4" t="str">
        <f t="array" ref="L160">_xlfn.LET(_xlpm.pos,"Max Planck plate 15: "&amp;$A6&amp;L$2,_xlpm.normal,IFERROR(INDEX(MASTER!$A:$A,MATCH(_xlpm.pos,MASTER!$J:$J,0))&amp;"_ser_0.20_"&amp;TEXT(INDEX(MASTER!$E:$E,MATCH(_xlpm.pos,MASTER!$J:$J,0)),"mmddyy"),""),_xlpm.slot,1344+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60" s="4" t="str">
        <f t="array" ref="M160">_xlfn.LET(_xlpm.pos,"Max Planck plate 15: "&amp;$A6&amp;M$2,_xlpm.normal,IFERROR(INDEX(MASTER!$A:$A,MATCH(_xlpm.pos,MASTER!$J:$J,0))&amp;"_ser_0.20_"&amp;TEXT(INDEX(MASTER!$E:$E,MATCH(_xlpm.pos,MASTER!$J:$J,0)),"mmddyy"),""),_xlpm.slot,1344+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61" spans="1:13" ht="22" customHeight="1" x14ac:dyDescent="0.3">
      <c r="A161" s="6" t="s">
        <v>34</v>
      </c>
      <c r="B161" s="4" t="str">
        <f t="array" ref="B161">_xlfn.LET(_xlpm.pos,"Max Planck plate 15: "&amp;$A7&amp;B$2,_xlpm.normal,IFERROR(INDEX(MASTER!$A:$A,MATCH(_xlpm.pos,MASTER!$J:$J,0))&amp;"_ser_0.20_"&amp;TEXT(INDEX(MASTER!$E:$E,MATCH(_xlpm.pos,MASTER!$J:$J,0)),"mmddyy"),""),_xlpm.slot,1344+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61" s="4" t="str">
        <f t="array" ref="C161">_xlfn.LET(_xlpm.pos,"Max Planck plate 15: "&amp;$A7&amp;C$2,_xlpm.normal,IFERROR(INDEX(MASTER!$A:$A,MATCH(_xlpm.pos,MASTER!$J:$J,0))&amp;"_ser_0.20_"&amp;TEXT(INDEX(MASTER!$E:$E,MATCH(_xlpm.pos,MASTER!$J:$J,0)),"mmddyy"),""),_xlpm.slot,1344+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61" s="4" t="str">
        <f t="array" ref="D161">_xlfn.LET(_xlpm.pos,"Max Planck plate 15: "&amp;$A7&amp;D$2,_xlpm.normal,IFERROR(INDEX(MASTER!$A:$A,MATCH(_xlpm.pos,MASTER!$J:$J,0))&amp;"_ser_0.20_"&amp;TEXT(INDEX(MASTER!$E:$E,MATCH(_xlpm.pos,MASTER!$J:$J,0)),"mmddyy"),""),_xlpm.slot,1344+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61" s="4" t="str">
        <f t="array" ref="E161">_xlfn.LET(_xlpm.pos,"Max Planck plate 15: "&amp;$A7&amp;E$2,_xlpm.normal,IFERROR(INDEX(MASTER!$A:$A,MATCH(_xlpm.pos,MASTER!$J:$J,0))&amp;"_ser_0.20_"&amp;TEXT(INDEX(MASTER!$E:$E,MATCH(_xlpm.pos,MASTER!$J:$J,0)),"mmddyy"),""),_xlpm.slot,1344+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61" s="4" t="str">
        <f t="array" ref="F161">_xlfn.LET(_xlpm.pos,"Max Planck plate 15: "&amp;$A7&amp;F$2,_xlpm.normal,IFERROR(INDEX(MASTER!$A:$A,MATCH(_xlpm.pos,MASTER!$J:$J,0))&amp;"_ser_0.20_"&amp;TEXT(INDEX(MASTER!$E:$E,MATCH(_xlpm.pos,MASTER!$J:$J,0)),"mmddyy"),""),_xlpm.slot,1344+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61" s="4" t="str">
        <f t="array" ref="G161">_xlfn.LET(_xlpm.pos,"Max Planck plate 15: "&amp;$A7&amp;G$2,_xlpm.normal,IFERROR(INDEX(MASTER!$A:$A,MATCH(_xlpm.pos,MASTER!$J:$J,0))&amp;"_ser_0.20_"&amp;TEXT(INDEX(MASTER!$E:$E,MATCH(_xlpm.pos,MASTER!$J:$J,0)),"mmddyy"),""),_xlpm.slot,1344+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61" s="4" t="str">
        <f t="array" ref="H161">_xlfn.LET(_xlpm.pos,"Max Planck plate 15: "&amp;$A7&amp;H$2,_xlpm.normal,IFERROR(INDEX(MASTER!$A:$A,MATCH(_xlpm.pos,MASTER!$J:$J,0))&amp;"_ser_0.20_"&amp;TEXT(INDEX(MASTER!$E:$E,MATCH(_xlpm.pos,MASTER!$J:$J,0)),"mmddyy"),""),_xlpm.slot,1344+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61" s="4" t="str">
        <f t="array" ref="I161">_xlfn.LET(_xlpm.pos,"Max Planck plate 15: "&amp;$A7&amp;I$2,_xlpm.normal,IFERROR(INDEX(MASTER!$A:$A,MATCH(_xlpm.pos,MASTER!$J:$J,0))&amp;"_ser_0.20_"&amp;TEXT(INDEX(MASTER!$E:$E,MATCH(_xlpm.pos,MASTER!$J:$J,0)),"mmddyy"),""),_xlpm.slot,1344+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61" s="4" t="str">
        <f t="array" ref="J161">_xlfn.LET(_xlpm.pos,"Max Planck plate 15: "&amp;$A7&amp;J$2,_xlpm.normal,IFERROR(INDEX(MASTER!$A:$A,MATCH(_xlpm.pos,MASTER!$J:$J,0))&amp;"_ser_0.20_"&amp;TEXT(INDEX(MASTER!$E:$E,MATCH(_xlpm.pos,MASTER!$J:$J,0)),"mmddyy"),""),_xlpm.slot,1344+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61" s="4" t="str">
        <f t="array" ref="K161">_xlfn.LET(_xlpm.pos,"Max Planck plate 15: "&amp;$A7&amp;K$2,_xlpm.normal,IFERROR(INDEX(MASTER!$A:$A,MATCH(_xlpm.pos,MASTER!$J:$J,0))&amp;"_ser_0.20_"&amp;TEXT(INDEX(MASTER!$E:$E,MATCH(_xlpm.pos,MASTER!$J:$J,0)),"mmddyy"),""),_xlpm.slot,1344+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61" s="4" t="str">
        <f t="array" ref="L161">_xlfn.LET(_xlpm.pos,"Max Planck plate 15: "&amp;$A7&amp;L$2,_xlpm.normal,IFERROR(INDEX(MASTER!$A:$A,MATCH(_xlpm.pos,MASTER!$J:$J,0))&amp;"_ser_0.20_"&amp;TEXT(INDEX(MASTER!$E:$E,MATCH(_xlpm.pos,MASTER!$J:$J,0)),"mmddyy"),""),_xlpm.slot,1344+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61" s="4" t="str">
        <f t="array" ref="M161">_xlfn.LET(_xlpm.pos,"Max Planck plate 15: "&amp;$A7&amp;M$2,_xlpm.normal,IFERROR(INDEX(MASTER!$A:$A,MATCH(_xlpm.pos,MASTER!$J:$J,0))&amp;"_ser_0.20_"&amp;TEXT(INDEX(MASTER!$E:$E,MATCH(_xlpm.pos,MASTER!$J:$J,0)),"mmddyy"),""),_xlpm.slot,1344+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62" spans="1:13" ht="22" customHeight="1" x14ac:dyDescent="0.3">
      <c r="A162" s="6" t="s">
        <v>15</v>
      </c>
      <c r="B162" s="4" t="str">
        <f t="array" ref="B162">_xlfn.LET(_xlpm.pos,"Max Planck plate 15: "&amp;$A8&amp;B$2,_xlpm.normal,IFERROR(INDEX(MASTER!$A:$A,MATCH(_xlpm.pos,MASTER!$J:$J,0))&amp;"_ser_0.20_"&amp;TEXT(INDEX(MASTER!$E:$E,MATCH(_xlpm.pos,MASTER!$J:$J,0)),"mmddyy"),""),_xlpm.slot,1344+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62" s="4" t="str">
        <f t="array" ref="C162">_xlfn.LET(_xlpm.pos,"Max Planck plate 15: "&amp;$A8&amp;C$2,_xlpm.normal,IFERROR(INDEX(MASTER!$A:$A,MATCH(_xlpm.pos,MASTER!$J:$J,0))&amp;"_ser_0.20_"&amp;TEXT(INDEX(MASTER!$E:$E,MATCH(_xlpm.pos,MASTER!$J:$J,0)),"mmddyy"),""),_xlpm.slot,1344+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62" s="4" t="str">
        <f t="array" ref="D162">_xlfn.LET(_xlpm.pos,"Max Planck plate 15: "&amp;$A8&amp;D$2,_xlpm.normal,IFERROR(INDEX(MASTER!$A:$A,MATCH(_xlpm.pos,MASTER!$J:$J,0))&amp;"_ser_0.20_"&amp;TEXT(INDEX(MASTER!$E:$E,MATCH(_xlpm.pos,MASTER!$J:$J,0)),"mmddyy"),""),_xlpm.slot,1344+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62" s="4" t="str">
        <f t="array" ref="E162">_xlfn.LET(_xlpm.pos,"Max Planck plate 15: "&amp;$A8&amp;E$2,_xlpm.normal,IFERROR(INDEX(MASTER!$A:$A,MATCH(_xlpm.pos,MASTER!$J:$J,0))&amp;"_ser_0.20_"&amp;TEXT(INDEX(MASTER!$E:$E,MATCH(_xlpm.pos,MASTER!$J:$J,0)),"mmddyy"),""),_xlpm.slot,1344+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62" s="4" t="str">
        <f t="array" ref="F162">_xlfn.LET(_xlpm.pos,"Max Planck plate 15: "&amp;$A8&amp;F$2,_xlpm.normal,IFERROR(INDEX(MASTER!$A:$A,MATCH(_xlpm.pos,MASTER!$J:$J,0))&amp;"_ser_0.20_"&amp;TEXT(INDEX(MASTER!$E:$E,MATCH(_xlpm.pos,MASTER!$J:$J,0)),"mmddyy"),""),_xlpm.slot,1344+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62" s="4" t="str">
        <f t="array" ref="G162">_xlfn.LET(_xlpm.pos,"Max Planck plate 15: "&amp;$A8&amp;G$2,_xlpm.normal,IFERROR(INDEX(MASTER!$A:$A,MATCH(_xlpm.pos,MASTER!$J:$J,0))&amp;"_ser_0.20_"&amp;TEXT(INDEX(MASTER!$E:$E,MATCH(_xlpm.pos,MASTER!$J:$J,0)),"mmddyy"),""),_xlpm.slot,1344+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62" s="4" t="str">
        <f t="array" ref="H162">_xlfn.LET(_xlpm.pos,"Max Planck plate 15: "&amp;$A8&amp;H$2,_xlpm.normal,IFERROR(INDEX(MASTER!$A:$A,MATCH(_xlpm.pos,MASTER!$J:$J,0))&amp;"_ser_0.20_"&amp;TEXT(INDEX(MASTER!$E:$E,MATCH(_xlpm.pos,MASTER!$J:$J,0)),"mmddyy"),""),_xlpm.slot,1344+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62" s="4" t="str">
        <f t="array" ref="I162">_xlfn.LET(_xlpm.pos,"Max Planck plate 15: "&amp;$A8&amp;I$2,_xlpm.normal,IFERROR(INDEX(MASTER!$A:$A,MATCH(_xlpm.pos,MASTER!$J:$J,0))&amp;"_ser_0.20_"&amp;TEXT(INDEX(MASTER!$E:$E,MATCH(_xlpm.pos,MASTER!$J:$J,0)),"mmddyy"),""),_xlpm.slot,1344+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62" s="4" t="str">
        <f t="array" ref="J162">_xlfn.LET(_xlpm.pos,"Max Planck plate 15: "&amp;$A8&amp;J$2,_xlpm.normal,IFERROR(INDEX(MASTER!$A:$A,MATCH(_xlpm.pos,MASTER!$J:$J,0))&amp;"_ser_0.20_"&amp;TEXT(INDEX(MASTER!$E:$E,MATCH(_xlpm.pos,MASTER!$J:$J,0)),"mmddyy"),""),_xlpm.slot,1344+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62" s="4" t="str">
        <f t="array" ref="K162">_xlfn.LET(_xlpm.pos,"Max Planck plate 15: "&amp;$A8&amp;K$2,_xlpm.normal,IFERROR(INDEX(MASTER!$A:$A,MATCH(_xlpm.pos,MASTER!$J:$J,0))&amp;"_ser_0.20_"&amp;TEXT(INDEX(MASTER!$E:$E,MATCH(_xlpm.pos,MASTER!$J:$J,0)),"mmddyy"),""),_xlpm.slot,1344+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62" s="4" t="str">
        <f t="array" ref="L162">_xlfn.LET(_xlpm.pos,"Max Planck plate 15: "&amp;$A8&amp;L$2,_xlpm.normal,IFERROR(INDEX(MASTER!$A:$A,MATCH(_xlpm.pos,MASTER!$J:$J,0))&amp;"_ser_0.20_"&amp;TEXT(INDEX(MASTER!$E:$E,MATCH(_xlpm.pos,MASTER!$J:$J,0)),"mmddyy"),""),_xlpm.slot,1344+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62" s="4" t="str">
        <f t="array" ref="M162">_xlfn.LET(_xlpm.pos,"Max Planck plate 15: "&amp;$A8&amp;M$2,_xlpm.normal,IFERROR(INDEX(MASTER!$A:$A,MATCH(_xlpm.pos,MASTER!$J:$J,0))&amp;"_ser_0.20_"&amp;TEXT(INDEX(MASTER!$E:$E,MATCH(_xlpm.pos,MASTER!$J:$J,0)),"mmddyy"),""),_xlpm.slot,1344+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63" spans="1:13" ht="22" customHeight="1" x14ac:dyDescent="0.3">
      <c r="A163" s="6" t="s">
        <v>35</v>
      </c>
      <c r="B163" s="4" t="str">
        <f t="array" ref="B163">_xlfn.LET(_xlpm.pos,"Max Planck plate 15: "&amp;$A9&amp;B$2,_xlpm.normal,IFERROR(INDEX(MASTER!$A:$A,MATCH(_xlpm.pos,MASTER!$J:$J,0))&amp;"_ser_0.20_"&amp;TEXT(INDEX(MASTER!$E:$E,MATCH(_xlpm.pos,MASTER!$J:$J,0)),"mmddyy"),""),_xlpm.slot,1344+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63" s="4" t="str">
        <f t="array" ref="C163">_xlfn.LET(_xlpm.pos,"Max Planck plate 15: "&amp;$A9&amp;C$2,_xlpm.normal,IFERROR(INDEX(MASTER!$A:$A,MATCH(_xlpm.pos,MASTER!$J:$J,0))&amp;"_ser_0.20_"&amp;TEXT(INDEX(MASTER!$E:$E,MATCH(_xlpm.pos,MASTER!$J:$J,0)),"mmddyy"),""),_xlpm.slot,1344+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63" s="4" t="str">
        <f t="array" ref="D163">_xlfn.LET(_xlpm.pos,"Max Planck plate 15: "&amp;$A9&amp;D$2,_xlpm.normal,IFERROR(INDEX(MASTER!$A:$A,MATCH(_xlpm.pos,MASTER!$J:$J,0))&amp;"_ser_0.20_"&amp;TEXT(INDEX(MASTER!$E:$E,MATCH(_xlpm.pos,MASTER!$J:$J,0)),"mmddyy"),""),_xlpm.slot,1344+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63" s="4" t="str">
        <f t="array" ref="E163">_xlfn.LET(_xlpm.pos,"Max Planck plate 15: "&amp;$A9&amp;E$2,_xlpm.normal,IFERROR(INDEX(MASTER!$A:$A,MATCH(_xlpm.pos,MASTER!$J:$J,0))&amp;"_ser_0.20_"&amp;TEXT(INDEX(MASTER!$E:$E,MATCH(_xlpm.pos,MASTER!$J:$J,0)),"mmddyy"),""),_xlpm.slot,1344+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63" s="4" t="str">
        <f t="array" ref="F163">_xlfn.LET(_xlpm.pos,"Max Planck plate 15: "&amp;$A9&amp;F$2,_xlpm.normal,IFERROR(INDEX(MASTER!$A:$A,MATCH(_xlpm.pos,MASTER!$J:$J,0))&amp;"_ser_0.20_"&amp;TEXT(INDEX(MASTER!$E:$E,MATCH(_xlpm.pos,MASTER!$J:$J,0)),"mmddyy"),""),_xlpm.slot,1344+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63" s="4" t="str">
        <f t="array" ref="G163">_xlfn.LET(_xlpm.pos,"Max Planck plate 15: "&amp;$A9&amp;G$2,_xlpm.normal,IFERROR(INDEX(MASTER!$A:$A,MATCH(_xlpm.pos,MASTER!$J:$J,0))&amp;"_ser_0.20_"&amp;TEXT(INDEX(MASTER!$E:$E,MATCH(_xlpm.pos,MASTER!$J:$J,0)),"mmddyy"),""),_xlpm.slot,1344+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63" s="4" t="str">
        <f t="array" ref="H163">_xlfn.LET(_xlpm.pos,"Max Planck plate 15: "&amp;$A9&amp;H$2,_xlpm.normal,IFERROR(INDEX(MASTER!$A:$A,MATCH(_xlpm.pos,MASTER!$J:$J,0))&amp;"_ser_0.20_"&amp;TEXT(INDEX(MASTER!$E:$E,MATCH(_xlpm.pos,MASTER!$J:$J,0)),"mmddyy"),""),_xlpm.slot,1344+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63" s="4" t="str">
        <f t="array" ref="I163">_xlfn.LET(_xlpm.pos,"Max Planck plate 15: "&amp;$A9&amp;I$2,_xlpm.normal,IFERROR(INDEX(MASTER!$A:$A,MATCH(_xlpm.pos,MASTER!$J:$J,0))&amp;"_ser_0.20_"&amp;TEXT(INDEX(MASTER!$E:$E,MATCH(_xlpm.pos,MASTER!$J:$J,0)),"mmddyy"),""),_xlpm.slot,1344+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63" s="4" t="str">
        <f t="array" ref="J163">_xlfn.LET(_xlpm.pos,"Max Planck plate 15: "&amp;$A9&amp;J$2,_xlpm.normal,IFERROR(INDEX(MASTER!$A:$A,MATCH(_xlpm.pos,MASTER!$J:$J,0))&amp;"_ser_0.20_"&amp;TEXT(INDEX(MASTER!$E:$E,MATCH(_xlpm.pos,MASTER!$J:$J,0)),"mmddyy"),""),_xlpm.slot,1344+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63" s="4" t="str">
        <f t="array" ref="K163">_xlfn.LET(_xlpm.pos,"Max Planck plate 15: "&amp;$A9&amp;K$2,_xlpm.normal,IFERROR(INDEX(MASTER!$A:$A,MATCH(_xlpm.pos,MASTER!$J:$J,0))&amp;"_ser_0.20_"&amp;TEXT(INDEX(MASTER!$E:$E,MATCH(_xlpm.pos,MASTER!$J:$J,0)),"mmddyy"),""),_xlpm.slot,1344+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63" s="4" t="str">
        <f t="array" ref="L163">_xlfn.LET(_xlpm.pos,"Max Planck plate 15: "&amp;$A9&amp;L$2,_xlpm.normal,IFERROR(INDEX(MASTER!$A:$A,MATCH(_xlpm.pos,MASTER!$J:$J,0))&amp;"_ser_0.20_"&amp;TEXT(INDEX(MASTER!$E:$E,MATCH(_xlpm.pos,MASTER!$J:$J,0)),"mmddyy"),""),_xlpm.slot,1344+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63" s="4" t="str">
        <f t="array" ref="M163">_xlfn.LET(_xlpm.pos,"Max Planck plate 15: "&amp;$A9&amp;M$2,_xlpm.normal,IFERROR(INDEX(MASTER!$A:$A,MATCH(_xlpm.pos,MASTER!$J:$J,0))&amp;"_ser_0.20_"&amp;TEXT(INDEX(MASTER!$E:$E,MATCH(_xlpm.pos,MASTER!$J:$J,0)),"mmddyy"),""),_xlpm.slot,1344+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64" spans="1:13" ht="22" customHeight="1" x14ac:dyDescent="0.3">
      <c r="A164" s="6" t="s">
        <v>36</v>
      </c>
      <c r="B164" s="4" t="str">
        <f t="array" ref="B164">_xlfn.LET(_xlpm.pos,"Max Planck plate 15: "&amp;$A10&amp;B$2,_xlpm.normal,IFERROR(INDEX(MASTER!$A:$A,MATCH(_xlpm.pos,MASTER!$J:$J,0))&amp;"_ser_0.20_"&amp;TEXT(INDEX(MASTER!$E:$E,MATCH(_xlpm.pos,MASTER!$J:$J,0)),"mmddyy"),""),_xlpm.slot,1344+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64" s="4" t="str">
        <f t="array" ref="C164">_xlfn.LET(_xlpm.pos,"Max Planck plate 15: "&amp;$A10&amp;C$2,_xlpm.normal,IFERROR(INDEX(MASTER!$A:$A,MATCH(_xlpm.pos,MASTER!$J:$J,0))&amp;"_ser_0.20_"&amp;TEXT(INDEX(MASTER!$E:$E,MATCH(_xlpm.pos,MASTER!$J:$J,0)),"mmddyy"),""),_xlpm.slot,1344+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64" s="4" t="str">
        <f t="array" ref="D164">_xlfn.LET(_xlpm.pos,"Max Planck plate 15: "&amp;$A10&amp;D$2,_xlpm.normal,IFERROR(INDEX(MASTER!$A:$A,MATCH(_xlpm.pos,MASTER!$J:$J,0))&amp;"_ser_0.20_"&amp;TEXT(INDEX(MASTER!$E:$E,MATCH(_xlpm.pos,MASTER!$J:$J,0)),"mmddyy"),""),_xlpm.slot,1344+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64" s="4" t="str">
        <f t="array" ref="E164">_xlfn.LET(_xlpm.pos,"Max Planck plate 15: "&amp;$A10&amp;E$2,_xlpm.normal,IFERROR(INDEX(MASTER!$A:$A,MATCH(_xlpm.pos,MASTER!$J:$J,0))&amp;"_ser_0.20_"&amp;TEXT(INDEX(MASTER!$E:$E,MATCH(_xlpm.pos,MASTER!$J:$J,0)),"mmddyy"),""),_xlpm.slot,1344+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64" s="4" t="str">
        <f t="array" ref="F164">_xlfn.LET(_xlpm.pos,"Max Planck plate 15: "&amp;$A10&amp;F$2,_xlpm.normal,IFERROR(INDEX(MASTER!$A:$A,MATCH(_xlpm.pos,MASTER!$J:$J,0))&amp;"_ser_0.20_"&amp;TEXT(INDEX(MASTER!$E:$E,MATCH(_xlpm.pos,MASTER!$J:$J,0)),"mmddyy"),""),_xlpm.slot,1344+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64" s="4" t="str">
        <f t="array" ref="G164">_xlfn.LET(_xlpm.pos,"Max Planck plate 15: "&amp;$A10&amp;G$2,_xlpm.normal,IFERROR(INDEX(MASTER!$A:$A,MATCH(_xlpm.pos,MASTER!$J:$J,0))&amp;"_ser_0.20_"&amp;TEXT(INDEX(MASTER!$E:$E,MATCH(_xlpm.pos,MASTER!$J:$J,0)),"mmddyy"),""),_xlpm.slot,1344+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64" s="4" t="str">
        <f t="array" ref="H164">_xlfn.LET(_xlpm.pos,"Max Planck plate 15: "&amp;$A10&amp;H$2,_xlpm.normal,IFERROR(INDEX(MASTER!$A:$A,MATCH(_xlpm.pos,MASTER!$J:$J,0))&amp;"_ser_0.20_"&amp;TEXT(INDEX(MASTER!$E:$E,MATCH(_xlpm.pos,MASTER!$J:$J,0)),"mmddyy"),""),_xlpm.slot,1344+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64" s="4" t="str">
        <f t="array" ref="I164">_xlfn.LET(_xlpm.pos,"Max Planck plate 15: "&amp;$A10&amp;I$2,_xlpm.normal,IFERROR(INDEX(MASTER!$A:$A,MATCH(_xlpm.pos,MASTER!$J:$J,0))&amp;"_ser_0.20_"&amp;TEXT(INDEX(MASTER!$E:$E,MATCH(_xlpm.pos,MASTER!$J:$J,0)),"mmddyy"),""),_xlpm.slot,1344+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64" s="4" t="str">
        <f t="array" ref="J164">_xlfn.LET(_xlpm.pos,"Max Planck plate 15: "&amp;$A10&amp;J$2,_xlpm.normal,IFERROR(INDEX(MASTER!$A:$A,MATCH(_xlpm.pos,MASTER!$J:$J,0))&amp;"_ser_0.20_"&amp;TEXT(INDEX(MASTER!$E:$E,MATCH(_xlpm.pos,MASTER!$J:$J,0)),"mmddyy"),""),_xlpm.slot,1344+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64" s="4" t="str">
        <f t="array" ref="K164">_xlfn.LET(_xlpm.pos,"Max Planck plate 15: "&amp;$A10&amp;K$2,_xlpm.normal,IFERROR(INDEX(MASTER!$A:$A,MATCH(_xlpm.pos,MASTER!$J:$J,0))&amp;"_ser_0.20_"&amp;TEXT(INDEX(MASTER!$E:$E,MATCH(_xlpm.pos,MASTER!$J:$J,0)),"mmddyy"),""),_xlpm.slot,1344+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64" s="4" t="str">
        <f t="array" ref="L164">_xlfn.LET(_xlpm.pos,"Max Planck plate 15: "&amp;$A10&amp;L$2,_xlpm.normal,IFERROR(INDEX(MASTER!$A:$A,MATCH(_xlpm.pos,MASTER!$J:$J,0))&amp;"_ser_0.20_"&amp;TEXT(INDEX(MASTER!$E:$E,MATCH(_xlpm.pos,MASTER!$J:$J,0)),"mmddyy"),""),_xlpm.slot,1344+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64" s="4" t="str">
        <f t="array" ref="M164">_xlfn.LET(_xlpm.pos,"Max Planck plate 15: "&amp;$A10&amp;M$2,_xlpm.normal,IFERROR(INDEX(MASTER!$A:$A,MATCH(_xlpm.pos,MASTER!$J:$J,0))&amp;"_ser_0.20_"&amp;TEXT(INDEX(MASTER!$E:$E,MATCH(_xlpm.pos,MASTER!$J:$J,0)),"mmddyy"),""),_xlpm.slot,1344+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65" spans="1:13" ht="22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ht="22" customHeight="1" x14ac:dyDescent="0.35">
      <c r="A166" s="5"/>
      <c r="B166" s="31" t="s">
        <v>93</v>
      </c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3"/>
    </row>
    <row r="167" spans="1:13" ht="22" customHeight="1" x14ac:dyDescent="0.3">
      <c r="A167" s="5"/>
      <c r="B167" s="6">
        <v>1</v>
      </c>
      <c r="C167" s="6">
        <v>2</v>
      </c>
      <c r="D167" s="6">
        <v>3</v>
      </c>
      <c r="E167" s="6">
        <v>4</v>
      </c>
      <c r="F167" s="6">
        <v>5</v>
      </c>
      <c r="G167" s="6">
        <v>6</v>
      </c>
      <c r="H167" s="6">
        <v>7</v>
      </c>
      <c r="I167" s="6">
        <v>8</v>
      </c>
      <c r="J167" s="6">
        <v>9</v>
      </c>
      <c r="K167" s="6">
        <v>10</v>
      </c>
      <c r="L167" s="6">
        <v>11</v>
      </c>
      <c r="M167" s="6">
        <v>12</v>
      </c>
    </row>
    <row r="168" spans="1:13" ht="22" customHeight="1" x14ac:dyDescent="0.3">
      <c r="A168" s="6" t="s">
        <v>30</v>
      </c>
      <c r="B168" s="4" t="str">
        <f t="array" ref="B168">_xlfn.LET(_xlpm.pos,"Max Planck plate 16: "&amp;$A3&amp;B$2,_xlpm.normal,IFERROR(INDEX(MASTER!$A:$A,MATCH(_xlpm.pos,MASTER!$J:$J,0))&amp;"_ser_0.20_"&amp;TEXT(INDEX(MASTER!$E:$E,MATCH(_xlpm.pos,MASTER!$J:$J,0)),"mmddyy"),""),_xlpm.slot,1440+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68" s="4" t="str">
        <f t="array" ref="C168">_xlfn.LET(_xlpm.pos,"Max Planck plate 16: "&amp;$A3&amp;C$2,_xlpm.normal,IFERROR(INDEX(MASTER!$A:$A,MATCH(_xlpm.pos,MASTER!$J:$J,0))&amp;"_ser_0.20_"&amp;TEXT(INDEX(MASTER!$E:$E,MATCH(_xlpm.pos,MASTER!$J:$J,0)),"mmddyy"),""),_xlpm.slot,1440+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68" s="4" t="str">
        <f t="array" ref="D168">_xlfn.LET(_xlpm.pos,"Max Planck plate 16: "&amp;$A3&amp;D$2,_xlpm.normal,IFERROR(INDEX(MASTER!$A:$A,MATCH(_xlpm.pos,MASTER!$J:$J,0))&amp;"_ser_0.20_"&amp;TEXT(INDEX(MASTER!$E:$E,MATCH(_xlpm.pos,MASTER!$J:$J,0)),"mmddyy"),""),_xlpm.slot,1440+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68" s="4" t="str">
        <f t="array" ref="E168">_xlfn.LET(_xlpm.pos,"Max Planck plate 16: "&amp;$A3&amp;E$2,_xlpm.normal,IFERROR(INDEX(MASTER!$A:$A,MATCH(_xlpm.pos,MASTER!$J:$J,0))&amp;"_ser_0.20_"&amp;TEXT(INDEX(MASTER!$E:$E,MATCH(_xlpm.pos,MASTER!$J:$J,0)),"mmddyy"),""),_xlpm.slot,1440+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68" s="4" t="str">
        <f t="array" ref="F168">_xlfn.LET(_xlpm.pos,"Max Planck plate 16: "&amp;$A3&amp;F$2,_xlpm.normal,IFERROR(INDEX(MASTER!$A:$A,MATCH(_xlpm.pos,MASTER!$J:$J,0))&amp;"_ser_0.20_"&amp;TEXT(INDEX(MASTER!$E:$E,MATCH(_xlpm.pos,MASTER!$J:$J,0)),"mmddyy"),""),_xlpm.slot,1440+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68" s="4" t="str">
        <f t="array" ref="G168">_xlfn.LET(_xlpm.pos,"Max Planck plate 16: "&amp;$A3&amp;G$2,_xlpm.normal,IFERROR(INDEX(MASTER!$A:$A,MATCH(_xlpm.pos,MASTER!$J:$J,0))&amp;"_ser_0.20_"&amp;TEXT(INDEX(MASTER!$E:$E,MATCH(_xlpm.pos,MASTER!$J:$J,0)),"mmddyy"),""),_xlpm.slot,1440+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68" s="4" t="str">
        <f t="array" ref="H168">_xlfn.LET(_xlpm.pos,"Max Planck plate 16: "&amp;$A3&amp;H$2,_xlpm.normal,IFERROR(INDEX(MASTER!$A:$A,MATCH(_xlpm.pos,MASTER!$J:$J,0))&amp;"_ser_0.20_"&amp;TEXT(INDEX(MASTER!$E:$E,MATCH(_xlpm.pos,MASTER!$J:$J,0)),"mmddyy"),""),_xlpm.slot,1440+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68" s="4" t="str">
        <f t="array" ref="I168">_xlfn.LET(_xlpm.pos,"Max Planck plate 16: "&amp;$A3&amp;I$2,_xlpm.normal,IFERROR(INDEX(MASTER!$A:$A,MATCH(_xlpm.pos,MASTER!$J:$J,0))&amp;"_ser_0.20_"&amp;TEXT(INDEX(MASTER!$E:$E,MATCH(_xlpm.pos,MASTER!$J:$J,0)),"mmddyy"),""),_xlpm.slot,1440+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68" s="4" t="str">
        <f t="array" ref="J168">_xlfn.LET(_xlpm.pos,"Max Planck plate 16: "&amp;$A3&amp;J$2,_xlpm.normal,IFERROR(INDEX(MASTER!$A:$A,MATCH(_xlpm.pos,MASTER!$J:$J,0))&amp;"_ser_0.20_"&amp;TEXT(INDEX(MASTER!$E:$E,MATCH(_xlpm.pos,MASTER!$J:$J,0)),"mmddyy"),""),_xlpm.slot,1440+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68" s="4" t="str">
        <f t="array" ref="K168">_xlfn.LET(_xlpm.pos,"Max Planck plate 16: "&amp;$A3&amp;K$2,_xlpm.normal,IFERROR(INDEX(MASTER!$A:$A,MATCH(_xlpm.pos,MASTER!$J:$J,0))&amp;"_ser_0.20_"&amp;TEXT(INDEX(MASTER!$E:$E,MATCH(_xlpm.pos,MASTER!$J:$J,0)),"mmddyy"),""),_xlpm.slot,1440+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68" s="4" t="str">
        <f t="array" ref="L168">_xlfn.LET(_xlpm.pos,"Max Planck plate 16: "&amp;$A3&amp;L$2,_xlpm.normal,IFERROR(INDEX(MASTER!$A:$A,MATCH(_xlpm.pos,MASTER!$J:$J,0))&amp;"_ser_0.20_"&amp;TEXT(INDEX(MASTER!$E:$E,MATCH(_xlpm.pos,MASTER!$J:$J,0)),"mmddyy"),""),_xlpm.slot,1440+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68" s="4" t="str">
        <f t="array" ref="M168">_xlfn.LET(_xlpm.pos,"Max Planck plate 16: "&amp;$A3&amp;M$2,_xlpm.normal,IFERROR(INDEX(MASTER!$A:$A,MATCH(_xlpm.pos,MASTER!$J:$J,0))&amp;"_ser_0.20_"&amp;TEXT(INDEX(MASTER!$E:$E,MATCH(_xlpm.pos,MASTER!$J:$J,0)),"mmddyy"),""),_xlpm.slot,1440+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69" spans="1:13" ht="22" customHeight="1" x14ac:dyDescent="0.3">
      <c r="A169" s="6" t="s">
        <v>31</v>
      </c>
      <c r="B169" s="4" t="str">
        <f t="array" ref="B169">_xlfn.LET(_xlpm.pos,"Max Planck plate 16: "&amp;$A4&amp;B$2,_xlpm.normal,IFERROR(INDEX(MASTER!$A:$A,MATCH(_xlpm.pos,MASTER!$J:$J,0))&amp;"_ser_0.20_"&amp;TEXT(INDEX(MASTER!$E:$E,MATCH(_xlpm.pos,MASTER!$J:$J,0)),"mmddyy"),""),_xlpm.slot,1440+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69" s="4" t="str">
        <f t="array" ref="C169">_xlfn.LET(_xlpm.pos,"Max Planck plate 16: "&amp;$A4&amp;C$2,_xlpm.normal,IFERROR(INDEX(MASTER!$A:$A,MATCH(_xlpm.pos,MASTER!$J:$J,0))&amp;"_ser_0.20_"&amp;TEXT(INDEX(MASTER!$E:$E,MATCH(_xlpm.pos,MASTER!$J:$J,0)),"mmddyy"),""),_xlpm.slot,1440+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69" s="4" t="str">
        <f t="array" ref="D169">_xlfn.LET(_xlpm.pos,"Max Planck plate 16: "&amp;$A4&amp;D$2,_xlpm.normal,IFERROR(INDEX(MASTER!$A:$A,MATCH(_xlpm.pos,MASTER!$J:$J,0))&amp;"_ser_0.20_"&amp;TEXT(INDEX(MASTER!$E:$E,MATCH(_xlpm.pos,MASTER!$J:$J,0)),"mmddyy"),""),_xlpm.slot,1440+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69" s="4" t="str">
        <f t="array" ref="E169">_xlfn.LET(_xlpm.pos,"Max Planck plate 16: "&amp;$A4&amp;E$2,_xlpm.normal,IFERROR(INDEX(MASTER!$A:$A,MATCH(_xlpm.pos,MASTER!$J:$J,0))&amp;"_ser_0.20_"&amp;TEXT(INDEX(MASTER!$E:$E,MATCH(_xlpm.pos,MASTER!$J:$J,0)),"mmddyy"),""),_xlpm.slot,1440+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69" s="4" t="str">
        <f t="array" ref="F169">_xlfn.LET(_xlpm.pos,"Max Planck plate 16: "&amp;$A4&amp;F$2,_xlpm.normal,IFERROR(INDEX(MASTER!$A:$A,MATCH(_xlpm.pos,MASTER!$J:$J,0))&amp;"_ser_0.20_"&amp;TEXT(INDEX(MASTER!$E:$E,MATCH(_xlpm.pos,MASTER!$J:$J,0)),"mmddyy"),""),_xlpm.slot,1440+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69" s="4" t="str">
        <f t="array" ref="G169">_xlfn.LET(_xlpm.pos,"Max Planck plate 16: "&amp;$A4&amp;G$2,_xlpm.normal,IFERROR(INDEX(MASTER!$A:$A,MATCH(_xlpm.pos,MASTER!$J:$J,0))&amp;"_ser_0.20_"&amp;TEXT(INDEX(MASTER!$E:$E,MATCH(_xlpm.pos,MASTER!$J:$J,0)),"mmddyy"),""),_xlpm.slot,1440+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69" s="4" t="str">
        <f t="array" ref="H169">_xlfn.LET(_xlpm.pos,"Max Planck plate 16: "&amp;$A4&amp;H$2,_xlpm.normal,IFERROR(INDEX(MASTER!$A:$A,MATCH(_xlpm.pos,MASTER!$J:$J,0))&amp;"_ser_0.20_"&amp;TEXT(INDEX(MASTER!$E:$E,MATCH(_xlpm.pos,MASTER!$J:$J,0)),"mmddyy"),""),_xlpm.slot,1440+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69" s="4" t="str">
        <f t="array" ref="I169">_xlfn.LET(_xlpm.pos,"Max Planck plate 16: "&amp;$A4&amp;I$2,_xlpm.normal,IFERROR(INDEX(MASTER!$A:$A,MATCH(_xlpm.pos,MASTER!$J:$J,0))&amp;"_ser_0.20_"&amp;TEXT(INDEX(MASTER!$E:$E,MATCH(_xlpm.pos,MASTER!$J:$J,0)),"mmddyy"),""),_xlpm.slot,1440+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69" s="4" t="str">
        <f t="array" ref="J169">_xlfn.LET(_xlpm.pos,"Max Planck plate 16: "&amp;$A4&amp;J$2,_xlpm.normal,IFERROR(INDEX(MASTER!$A:$A,MATCH(_xlpm.pos,MASTER!$J:$J,0))&amp;"_ser_0.20_"&amp;TEXT(INDEX(MASTER!$E:$E,MATCH(_xlpm.pos,MASTER!$J:$J,0)),"mmddyy"),""),_xlpm.slot,1440+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69" s="4" t="str">
        <f t="array" ref="K169">_xlfn.LET(_xlpm.pos,"Max Planck plate 16: "&amp;$A4&amp;K$2,_xlpm.normal,IFERROR(INDEX(MASTER!$A:$A,MATCH(_xlpm.pos,MASTER!$J:$J,0))&amp;"_ser_0.20_"&amp;TEXT(INDEX(MASTER!$E:$E,MATCH(_xlpm.pos,MASTER!$J:$J,0)),"mmddyy"),""),_xlpm.slot,1440+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69" s="4" t="str">
        <f t="array" ref="L169">_xlfn.LET(_xlpm.pos,"Max Planck plate 16: "&amp;$A4&amp;L$2,_xlpm.normal,IFERROR(INDEX(MASTER!$A:$A,MATCH(_xlpm.pos,MASTER!$J:$J,0))&amp;"_ser_0.20_"&amp;TEXT(INDEX(MASTER!$E:$E,MATCH(_xlpm.pos,MASTER!$J:$J,0)),"mmddyy"),""),_xlpm.slot,1440+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69" s="4" t="str">
        <f t="array" ref="M169">_xlfn.LET(_xlpm.pos,"Max Planck plate 16: "&amp;$A4&amp;M$2,_xlpm.normal,IFERROR(INDEX(MASTER!$A:$A,MATCH(_xlpm.pos,MASTER!$J:$J,0))&amp;"_ser_0.20_"&amp;TEXT(INDEX(MASTER!$E:$E,MATCH(_xlpm.pos,MASTER!$J:$J,0)),"mmddyy"),""),_xlpm.slot,1440+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70" spans="1:13" ht="22" customHeight="1" x14ac:dyDescent="0.3">
      <c r="A170" s="6" t="s">
        <v>32</v>
      </c>
      <c r="B170" s="4" t="str">
        <f t="array" ref="B170">_xlfn.LET(_xlpm.pos,"Max Planck plate 16: "&amp;$A5&amp;B$2,_xlpm.normal,IFERROR(INDEX(MASTER!$A:$A,MATCH(_xlpm.pos,MASTER!$J:$J,0))&amp;"_ser_0.20_"&amp;TEXT(INDEX(MASTER!$E:$E,MATCH(_xlpm.pos,MASTER!$J:$J,0)),"mmddyy"),""),_xlpm.slot,1440+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70" s="4" t="str">
        <f t="array" ref="C170">_xlfn.LET(_xlpm.pos,"Max Planck plate 16: "&amp;$A5&amp;C$2,_xlpm.normal,IFERROR(INDEX(MASTER!$A:$A,MATCH(_xlpm.pos,MASTER!$J:$J,0))&amp;"_ser_0.20_"&amp;TEXT(INDEX(MASTER!$E:$E,MATCH(_xlpm.pos,MASTER!$J:$J,0)),"mmddyy"),""),_xlpm.slot,1440+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70" s="4" t="str">
        <f t="array" ref="D170">_xlfn.LET(_xlpm.pos,"Max Planck plate 16: "&amp;$A5&amp;D$2,_xlpm.normal,IFERROR(INDEX(MASTER!$A:$A,MATCH(_xlpm.pos,MASTER!$J:$J,0))&amp;"_ser_0.20_"&amp;TEXT(INDEX(MASTER!$E:$E,MATCH(_xlpm.pos,MASTER!$J:$J,0)),"mmddyy"),""),_xlpm.slot,1440+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70" s="4" t="str">
        <f t="array" ref="E170">_xlfn.LET(_xlpm.pos,"Max Planck plate 16: "&amp;$A5&amp;E$2,_xlpm.normal,IFERROR(INDEX(MASTER!$A:$A,MATCH(_xlpm.pos,MASTER!$J:$J,0))&amp;"_ser_0.20_"&amp;TEXT(INDEX(MASTER!$E:$E,MATCH(_xlpm.pos,MASTER!$J:$J,0)),"mmddyy"),""),_xlpm.slot,1440+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70" s="4" t="str">
        <f t="array" ref="F170">_xlfn.LET(_xlpm.pos,"Max Planck plate 16: "&amp;$A5&amp;F$2,_xlpm.normal,IFERROR(INDEX(MASTER!$A:$A,MATCH(_xlpm.pos,MASTER!$J:$J,0))&amp;"_ser_0.20_"&amp;TEXT(INDEX(MASTER!$E:$E,MATCH(_xlpm.pos,MASTER!$J:$J,0)),"mmddyy"),""),_xlpm.slot,1440+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70" s="4" t="str">
        <f t="array" ref="G170">_xlfn.LET(_xlpm.pos,"Max Planck plate 16: "&amp;$A5&amp;G$2,_xlpm.normal,IFERROR(INDEX(MASTER!$A:$A,MATCH(_xlpm.pos,MASTER!$J:$J,0))&amp;"_ser_0.20_"&amp;TEXT(INDEX(MASTER!$E:$E,MATCH(_xlpm.pos,MASTER!$J:$J,0)),"mmddyy"),""),_xlpm.slot,1440+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70" s="4" t="str">
        <f t="array" ref="H170">_xlfn.LET(_xlpm.pos,"Max Planck plate 16: "&amp;$A5&amp;H$2,_xlpm.normal,IFERROR(INDEX(MASTER!$A:$A,MATCH(_xlpm.pos,MASTER!$J:$J,0))&amp;"_ser_0.20_"&amp;TEXT(INDEX(MASTER!$E:$E,MATCH(_xlpm.pos,MASTER!$J:$J,0)),"mmddyy"),""),_xlpm.slot,1440+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70" s="4" t="str">
        <f t="array" ref="I170">_xlfn.LET(_xlpm.pos,"Max Planck plate 16: "&amp;$A5&amp;I$2,_xlpm.normal,IFERROR(INDEX(MASTER!$A:$A,MATCH(_xlpm.pos,MASTER!$J:$J,0))&amp;"_ser_0.20_"&amp;TEXT(INDEX(MASTER!$E:$E,MATCH(_xlpm.pos,MASTER!$J:$J,0)),"mmddyy"),""),_xlpm.slot,1440+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70" s="4" t="str">
        <f t="array" ref="J170">_xlfn.LET(_xlpm.pos,"Max Planck plate 16: "&amp;$A5&amp;J$2,_xlpm.normal,IFERROR(INDEX(MASTER!$A:$A,MATCH(_xlpm.pos,MASTER!$J:$J,0))&amp;"_ser_0.20_"&amp;TEXT(INDEX(MASTER!$E:$E,MATCH(_xlpm.pos,MASTER!$J:$J,0)),"mmddyy"),""),_xlpm.slot,1440+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70" s="4" t="str">
        <f t="array" ref="K170">_xlfn.LET(_xlpm.pos,"Max Planck plate 16: "&amp;$A5&amp;K$2,_xlpm.normal,IFERROR(INDEX(MASTER!$A:$A,MATCH(_xlpm.pos,MASTER!$J:$J,0))&amp;"_ser_0.20_"&amp;TEXT(INDEX(MASTER!$E:$E,MATCH(_xlpm.pos,MASTER!$J:$J,0)),"mmddyy"),""),_xlpm.slot,1440+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70" s="4" t="str">
        <f t="array" ref="L170">_xlfn.LET(_xlpm.pos,"Max Planck plate 16: "&amp;$A5&amp;L$2,_xlpm.normal,IFERROR(INDEX(MASTER!$A:$A,MATCH(_xlpm.pos,MASTER!$J:$J,0))&amp;"_ser_0.20_"&amp;TEXT(INDEX(MASTER!$E:$E,MATCH(_xlpm.pos,MASTER!$J:$J,0)),"mmddyy"),""),_xlpm.slot,1440+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70" s="4" t="str">
        <f t="array" ref="M170">_xlfn.LET(_xlpm.pos,"Max Planck plate 16: "&amp;$A5&amp;M$2,_xlpm.normal,IFERROR(INDEX(MASTER!$A:$A,MATCH(_xlpm.pos,MASTER!$J:$J,0))&amp;"_ser_0.20_"&amp;TEXT(INDEX(MASTER!$E:$E,MATCH(_xlpm.pos,MASTER!$J:$J,0)),"mmddyy"),""),_xlpm.slot,1440+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71" spans="1:13" ht="22" customHeight="1" x14ac:dyDescent="0.3">
      <c r="A171" s="6" t="s">
        <v>33</v>
      </c>
      <c r="B171" s="4" t="str">
        <f t="array" ref="B171">_xlfn.LET(_xlpm.pos,"Max Planck plate 16: "&amp;$A6&amp;B$2,_xlpm.normal,IFERROR(INDEX(MASTER!$A:$A,MATCH(_xlpm.pos,MASTER!$J:$J,0))&amp;"_ser_0.20_"&amp;TEXT(INDEX(MASTER!$E:$E,MATCH(_xlpm.pos,MASTER!$J:$J,0)),"mmddyy"),""),_xlpm.slot,1440+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71" s="4" t="str">
        <f t="array" ref="C171">_xlfn.LET(_xlpm.pos,"Max Planck plate 16: "&amp;$A6&amp;C$2,_xlpm.normal,IFERROR(INDEX(MASTER!$A:$A,MATCH(_xlpm.pos,MASTER!$J:$J,0))&amp;"_ser_0.20_"&amp;TEXT(INDEX(MASTER!$E:$E,MATCH(_xlpm.pos,MASTER!$J:$J,0)),"mmddyy"),""),_xlpm.slot,1440+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71" s="4" t="str">
        <f t="array" ref="D171">_xlfn.LET(_xlpm.pos,"Max Planck plate 16: "&amp;$A6&amp;D$2,_xlpm.normal,IFERROR(INDEX(MASTER!$A:$A,MATCH(_xlpm.pos,MASTER!$J:$J,0))&amp;"_ser_0.20_"&amp;TEXT(INDEX(MASTER!$E:$E,MATCH(_xlpm.pos,MASTER!$J:$J,0)),"mmddyy"),""),_xlpm.slot,1440+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71" s="4" t="str">
        <f t="array" ref="E171">_xlfn.LET(_xlpm.pos,"Max Planck plate 16: "&amp;$A6&amp;E$2,_xlpm.normal,IFERROR(INDEX(MASTER!$A:$A,MATCH(_xlpm.pos,MASTER!$J:$J,0))&amp;"_ser_0.20_"&amp;TEXT(INDEX(MASTER!$E:$E,MATCH(_xlpm.pos,MASTER!$J:$J,0)),"mmddyy"),""),_xlpm.slot,1440+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71" s="4" t="str">
        <f t="array" ref="F171">_xlfn.LET(_xlpm.pos,"Max Planck plate 16: "&amp;$A6&amp;F$2,_xlpm.normal,IFERROR(INDEX(MASTER!$A:$A,MATCH(_xlpm.pos,MASTER!$J:$J,0))&amp;"_ser_0.20_"&amp;TEXT(INDEX(MASTER!$E:$E,MATCH(_xlpm.pos,MASTER!$J:$J,0)),"mmddyy"),""),_xlpm.slot,1440+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71" s="4" t="str">
        <f t="array" ref="G171">_xlfn.LET(_xlpm.pos,"Max Planck plate 16: "&amp;$A6&amp;G$2,_xlpm.normal,IFERROR(INDEX(MASTER!$A:$A,MATCH(_xlpm.pos,MASTER!$J:$J,0))&amp;"_ser_0.20_"&amp;TEXT(INDEX(MASTER!$E:$E,MATCH(_xlpm.pos,MASTER!$J:$J,0)),"mmddyy"),""),_xlpm.slot,1440+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71" s="4" t="str">
        <f t="array" ref="H171">_xlfn.LET(_xlpm.pos,"Max Planck plate 16: "&amp;$A6&amp;H$2,_xlpm.normal,IFERROR(INDEX(MASTER!$A:$A,MATCH(_xlpm.pos,MASTER!$J:$J,0))&amp;"_ser_0.20_"&amp;TEXT(INDEX(MASTER!$E:$E,MATCH(_xlpm.pos,MASTER!$J:$J,0)),"mmddyy"),""),_xlpm.slot,1440+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71" s="4" t="str">
        <f t="array" ref="I171">_xlfn.LET(_xlpm.pos,"Max Planck plate 16: "&amp;$A6&amp;I$2,_xlpm.normal,IFERROR(INDEX(MASTER!$A:$A,MATCH(_xlpm.pos,MASTER!$J:$J,0))&amp;"_ser_0.20_"&amp;TEXT(INDEX(MASTER!$E:$E,MATCH(_xlpm.pos,MASTER!$J:$J,0)),"mmddyy"),""),_xlpm.slot,1440+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71" s="4" t="str">
        <f t="array" ref="J171">_xlfn.LET(_xlpm.pos,"Max Planck plate 16: "&amp;$A6&amp;J$2,_xlpm.normal,IFERROR(INDEX(MASTER!$A:$A,MATCH(_xlpm.pos,MASTER!$J:$J,0))&amp;"_ser_0.20_"&amp;TEXT(INDEX(MASTER!$E:$E,MATCH(_xlpm.pos,MASTER!$J:$J,0)),"mmddyy"),""),_xlpm.slot,1440+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71" s="4" t="str">
        <f t="array" ref="K171">_xlfn.LET(_xlpm.pos,"Max Planck plate 16: "&amp;$A6&amp;K$2,_xlpm.normal,IFERROR(INDEX(MASTER!$A:$A,MATCH(_xlpm.pos,MASTER!$J:$J,0))&amp;"_ser_0.20_"&amp;TEXT(INDEX(MASTER!$E:$E,MATCH(_xlpm.pos,MASTER!$J:$J,0)),"mmddyy"),""),_xlpm.slot,1440+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71" s="4" t="str">
        <f t="array" ref="L171">_xlfn.LET(_xlpm.pos,"Max Planck plate 16: "&amp;$A6&amp;L$2,_xlpm.normal,IFERROR(INDEX(MASTER!$A:$A,MATCH(_xlpm.pos,MASTER!$J:$J,0))&amp;"_ser_0.20_"&amp;TEXT(INDEX(MASTER!$E:$E,MATCH(_xlpm.pos,MASTER!$J:$J,0)),"mmddyy"),""),_xlpm.slot,1440+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71" s="4" t="str">
        <f t="array" ref="M171">_xlfn.LET(_xlpm.pos,"Max Planck plate 16: "&amp;$A6&amp;M$2,_xlpm.normal,IFERROR(INDEX(MASTER!$A:$A,MATCH(_xlpm.pos,MASTER!$J:$J,0))&amp;"_ser_0.20_"&amp;TEXT(INDEX(MASTER!$E:$E,MATCH(_xlpm.pos,MASTER!$J:$J,0)),"mmddyy"),""),_xlpm.slot,1440+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72" spans="1:13" ht="22" customHeight="1" x14ac:dyDescent="0.3">
      <c r="A172" s="6" t="s">
        <v>34</v>
      </c>
      <c r="B172" s="4" t="str">
        <f t="array" ref="B172">_xlfn.LET(_xlpm.pos,"Max Planck plate 16: "&amp;$A7&amp;B$2,_xlpm.normal,IFERROR(INDEX(MASTER!$A:$A,MATCH(_xlpm.pos,MASTER!$J:$J,0))&amp;"_ser_0.20_"&amp;TEXT(INDEX(MASTER!$E:$E,MATCH(_xlpm.pos,MASTER!$J:$J,0)),"mmddyy"),""),_xlpm.slot,1440+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72" s="4" t="str">
        <f t="array" ref="C172">_xlfn.LET(_xlpm.pos,"Max Planck plate 16: "&amp;$A7&amp;C$2,_xlpm.normal,IFERROR(INDEX(MASTER!$A:$A,MATCH(_xlpm.pos,MASTER!$J:$J,0))&amp;"_ser_0.20_"&amp;TEXT(INDEX(MASTER!$E:$E,MATCH(_xlpm.pos,MASTER!$J:$J,0)),"mmddyy"),""),_xlpm.slot,1440+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72" s="4" t="str">
        <f t="array" ref="D172">_xlfn.LET(_xlpm.pos,"Max Planck plate 16: "&amp;$A7&amp;D$2,_xlpm.normal,IFERROR(INDEX(MASTER!$A:$A,MATCH(_xlpm.pos,MASTER!$J:$J,0))&amp;"_ser_0.20_"&amp;TEXT(INDEX(MASTER!$E:$E,MATCH(_xlpm.pos,MASTER!$J:$J,0)),"mmddyy"),""),_xlpm.slot,1440+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72" s="4" t="str">
        <f t="array" ref="E172">_xlfn.LET(_xlpm.pos,"Max Planck plate 16: "&amp;$A7&amp;E$2,_xlpm.normal,IFERROR(INDEX(MASTER!$A:$A,MATCH(_xlpm.pos,MASTER!$J:$J,0))&amp;"_ser_0.20_"&amp;TEXT(INDEX(MASTER!$E:$E,MATCH(_xlpm.pos,MASTER!$J:$J,0)),"mmddyy"),""),_xlpm.slot,1440+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72" s="4" t="str">
        <f t="array" ref="F172">_xlfn.LET(_xlpm.pos,"Max Planck plate 16: "&amp;$A7&amp;F$2,_xlpm.normal,IFERROR(INDEX(MASTER!$A:$A,MATCH(_xlpm.pos,MASTER!$J:$J,0))&amp;"_ser_0.20_"&amp;TEXT(INDEX(MASTER!$E:$E,MATCH(_xlpm.pos,MASTER!$J:$J,0)),"mmddyy"),""),_xlpm.slot,1440+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72" s="4" t="str">
        <f t="array" ref="G172">_xlfn.LET(_xlpm.pos,"Max Planck plate 16: "&amp;$A7&amp;G$2,_xlpm.normal,IFERROR(INDEX(MASTER!$A:$A,MATCH(_xlpm.pos,MASTER!$J:$J,0))&amp;"_ser_0.20_"&amp;TEXT(INDEX(MASTER!$E:$E,MATCH(_xlpm.pos,MASTER!$J:$J,0)),"mmddyy"),""),_xlpm.slot,1440+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72" s="4" t="str">
        <f t="array" ref="H172">_xlfn.LET(_xlpm.pos,"Max Planck plate 16: "&amp;$A7&amp;H$2,_xlpm.normal,IFERROR(INDEX(MASTER!$A:$A,MATCH(_xlpm.pos,MASTER!$J:$J,0))&amp;"_ser_0.20_"&amp;TEXT(INDEX(MASTER!$E:$E,MATCH(_xlpm.pos,MASTER!$J:$J,0)),"mmddyy"),""),_xlpm.slot,1440+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72" s="4" t="str">
        <f t="array" ref="I172">_xlfn.LET(_xlpm.pos,"Max Planck plate 16: "&amp;$A7&amp;I$2,_xlpm.normal,IFERROR(INDEX(MASTER!$A:$A,MATCH(_xlpm.pos,MASTER!$J:$J,0))&amp;"_ser_0.20_"&amp;TEXT(INDEX(MASTER!$E:$E,MATCH(_xlpm.pos,MASTER!$J:$J,0)),"mmddyy"),""),_xlpm.slot,1440+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72" s="4" t="str">
        <f t="array" ref="J172">_xlfn.LET(_xlpm.pos,"Max Planck plate 16: "&amp;$A7&amp;J$2,_xlpm.normal,IFERROR(INDEX(MASTER!$A:$A,MATCH(_xlpm.pos,MASTER!$J:$J,0))&amp;"_ser_0.20_"&amp;TEXT(INDEX(MASTER!$E:$E,MATCH(_xlpm.pos,MASTER!$J:$J,0)),"mmddyy"),""),_xlpm.slot,1440+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72" s="4" t="str">
        <f t="array" ref="K172">_xlfn.LET(_xlpm.pos,"Max Planck plate 16: "&amp;$A7&amp;K$2,_xlpm.normal,IFERROR(INDEX(MASTER!$A:$A,MATCH(_xlpm.pos,MASTER!$J:$J,0))&amp;"_ser_0.20_"&amp;TEXT(INDEX(MASTER!$E:$E,MATCH(_xlpm.pos,MASTER!$J:$J,0)),"mmddyy"),""),_xlpm.slot,1440+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72" s="4" t="str">
        <f t="array" ref="L172">_xlfn.LET(_xlpm.pos,"Max Planck plate 16: "&amp;$A7&amp;L$2,_xlpm.normal,IFERROR(INDEX(MASTER!$A:$A,MATCH(_xlpm.pos,MASTER!$J:$J,0))&amp;"_ser_0.20_"&amp;TEXT(INDEX(MASTER!$E:$E,MATCH(_xlpm.pos,MASTER!$J:$J,0)),"mmddyy"),""),_xlpm.slot,1440+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72" s="4" t="str">
        <f t="array" ref="M172">_xlfn.LET(_xlpm.pos,"Max Planck plate 16: "&amp;$A7&amp;M$2,_xlpm.normal,IFERROR(INDEX(MASTER!$A:$A,MATCH(_xlpm.pos,MASTER!$J:$J,0))&amp;"_ser_0.20_"&amp;TEXT(INDEX(MASTER!$E:$E,MATCH(_xlpm.pos,MASTER!$J:$J,0)),"mmddyy"),""),_xlpm.slot,1440+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73" spans="1:13" ht="22" customHeight="1" x14ac:dyDescent="0.3">
      <c r="A173" s="6" t="s">
        <v>15</v>
      </c>
      <c r="B173" s="4" t="str">
        <f t="array" ref="B173">_xlfn.LET(_xlpm.pos,"Max Planck plate 16: "&amp;$A8&amp;B$2,_xlpm.normal,IFERROR(INDEX(MASTER!$A:$A,MATCH(_xlpm.pos,MASTER!$J:$J,0))&amp;"_ser_0.20_"&amp;TEXT(INDEX(MASTER!$E:$E,MATCH(_xlpm.pos,MASTER!$J:$J,0)),"mmddyy"),""),_xlpm.slot,1440+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73" s="4" t="str">
        <f t="array" ref="C173">_xlfn.LET(_xlpm.pos,"Max Planck plate 16: "&amp;$A8&amp;C$2,_xlpm.normal,IFERROR(INDEX(MASTER!$A:$A,MATCH(_xlpm.pos,MASTER!$J:$J,0))&amp;"_ser_0.20_"&amp;TEXT(INDEX(MASTER!$E:$E,MATCH(_xlpm.pos,MASTER!$J:$J,0)),"mmddyy"),""),_xlpm.slot,1440+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73" s="4" t="str">
        <f t="array" ref="D173">_xlfn.LET(_xlpm.pos,"Max Planck plate 16: "&amp;$A8&amp;D$2,_xlpm.normal,IFERROR(INDEX(MASTER!$A:$A,MATCH(_xlpm.pos,MASTER!$J:$J,0))&amp;"_ser_0.20_"&amp;TEXT(INDEX(MASTER!$E:$E,MATCH(_xlpm.pos,MASTER!$J:$J,0)),"mmddyy"),""),_xlpm.slot,1440+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73" s="4" t="str">
        <f t="array" ref="E173">_xlfn.LET(_xlpm.pos,"Max Planck plate 16: "&amp;$A8&amp;E$2,_xlpm.normal,IFERROR(INDEX(MASTER!$A:$A,MATCH(_xlpm.pos,MASTER!$J:$J,0))&amp;"_ser_0.20_"&amp;TEXT(INDEX(MASTER!$E:$E,MATCH(_xlpm.pos,MASTER!$J:$J,0)),"mmddyy"),""),_xlpm.slot,1440+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73" s="4" t="str">
        <f t="array" ref="F173">_xlfn.LET(_xlpm.pos,"Max Planck plate 16: "&amp;$A8&amp;F$2,_xlpm.normal,IFERROR(INDEX(MASTER!$A:$A,MATCH(_xlpm.pos,MASTER!$J:$J,0))&amp;"_ser_0.20_"&amp;TEXT(INDEX(MASTER!$E:$E,MATCH(_xlpm.pos,MASTER!$J:$J,0)),"mmddyy"),""),_xlpm.slot,1440+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73" s="4" t="str">
        <f t="array" ref="G173">_xlfn.LET(_xlpm.pos,"Max Planck plate 16: "&amp;$A8&amp;G$2,_xlpm.normal,IFERROR(INDEX(MASTER!$A:$A,MATCH(_xlpm.pos,MASTER!$J:$J,0))&amp;"_ser_0.20_"&amp;TEXT(INDEX(MASTER!$E:$E,MATCH(_xlpm.pos,MASTER!$J:$J,0)),"mmddyy"),""),_xlpm.slot,1440+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73" s="4" t="str">
        <f t="array" ref="H173">_xlfn.LET(_xlpm.pos,"Max Planck plate 16: "&amp;$A8&amp;H$2,_xlpm.normal,IFERROR(INDEX(MASTER!$A:$A,MATCH(_xlpm.pos,MASTER!$J:$J,0))&amp;"_ser_0.20_"&amp;TEXT(INDEX(MASTER!$E:$E,MATCH(_xlpm.pos,MASTER!$J:$J,0)),"mmddyy"),""),_xlpm.slot,1440+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73" s="4" t="str">
        <f t="array" ref="I173">_xlfn.LET(_xlpm.pos,"Max Planck plate 16: "&amp;$A8&amp;I$2,_xlpm.normal,IFERROR(INDEX(MASTER!$A:$A,MATCH(_xlpm.pos,MASTER!$J:$J,0))&amp;"_ser_0.20_"&amp;TEXT(INDEX(MASTER!$E:$E,MATCH(_xlpm.pos,MASTER!$J:$J,0)),"mmddyy"),""),_xlpm.slot,1440+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73" s="4" t="str">
        <f t="array" ref="J173">_xlfn.LET(_xlpm.pos,"Max Planck plate 16: "&amp;$A8&amp;J$2,_xlpm.normal,IFERROR(INDEX(MASTER!$A:$A,MATCH(_xlpm.pos,MASTER!$J:$J,0))&amp;"_ser_0.20_"&amp;TEXT(INDEX(MASTER!$E:$E,MATCH(_xlpm.pos,MASTER!$J:$J,0)),"mmddyy"),""),_xlpm.slot,1440+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73" s="4" t="str">
        <f t="array" ref="K173">_xlfn.LET(_xlpm.pos,"Max Planck plate 16: "&amp;$A8&amp;K$2,_xlpm.normal,IFERROR(INDEX(MASTER!$A:$A,MATCH(_xlpm.pos,MASTER!$J:$J,0))&amp;"_ser_0.20_"&amp;TEXT(INDEX(MASTER!$E:$E,MATCH(_xlpm.pos,MASTER!$J:$J,0)),"mmddyy"),""),_xlpm.slot,1440+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73" s="4" t="str">
        <f t="array" ref="L173">_xlfn.LET(_xlpm.pos,"Max Planck plate 16: "&amp;$A8&amp;L$2,_xlpm.normal,IFERROR(INDEX(MASTER!$A:$A,MATCH(_xlpm.pos,MASTER!$J:$J,0))&amp;"_ser_0.20_"&amp;TEXT(INDEX(MASTER!$E:$E,MATCH(_xlpm.pos,MASTER!$J:$J,0)),"mmddyy"),""),_xlpm.slot,1440+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73" s="4" t="str">
        <f t="array" ref="M173">_xlfn.LET(_xlpm.pos,"Max Planck plate 16: "&amp;$A8&amp;M$2,_xlpm.normal,IFERROR(INDEX(MASTER!$A:$A,MATCH(_xlpm.pos,MASTER!$J:$J,0))&amp;"_ser_0.20_"&amp;TEXT(INDEX(MASTER!$E:$E,MATCH(_xlpm.pos,MASTER!$J:$J,0)),"mmddyy"),""),_xlpm.slot,1440+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74" spans="1:13" ht="22" customHeight="1" x14ac:dyDescent="0.3">
      <c r="A174" s="6" t="s">
        <v>35</v>
      </c>
      <c r="B174" s="4" t="str">
        <f t="array" ref="B174">_xlfn.LET(_xlpm.pos,"Max Planck plate 16: "&amp;$A9&amp;B$2,_xlpm.normal,IFERROR(INDEX(MASTER!$A:$A,MATCH(_xlpm.pos,MASTER!$J:$J,0))&amp;"_ser_0.20_"&amp;TEXT(INDEX(MASTER!$E:$E,MATCH(_xlpm.pos,MASTER!$J:$J,0)),"mmddyy"),""),_xlpm.slot,1440+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74" s="4" t="str">
        <f t="array" ref="C174">_xlfn.LET(_xlpm.pos,"Max Planck plate 16: "&amp;$A9&amp;C$2,_xlpm.normal,IFERROR(INDEX(MASTER!$A:$A,MATCH(_xlpm.pos,MASTER!$J:$J,0))&amp;"_ser_0.20_"&amp;TEXT(INDEX(MASTER!$E:$E,MATCH(_xlpm.pos,MASTER!$J:$J,0)),"mmddyy"),""),_xlpm.slot,1440+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74" s="4" t="str">
        <f t="array" ref="D174">_xlfn.LET(_xlpm.pos,"Max Planck plate 16: "&amp;$A9&amp;D$2,_xlpm.normal,IFERROR(INDEX(MASTER!$A:$A,MATCH(_xlpm.pos,MASTER!$J:$J,0))&amp;"_ser_0.20_"&amp;TEXT(INDEX(MASTER!$E:$E,MATCH(_xlpm.pos,MASTER!$J:$J,0)),"mmddyy"),""),_xlpm.slot,1440+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74" s="4" t="str">
        <f t="array" ref="E174">_xlfn.LET(_xlpm.pos,"Max Planck plate 16: "&amp;$A9&amp;E$2,_xlpm.normal,IFERROR(INDEX(MASTER!$A:$A,MATCH(_xlpm.pos,MASTER!$J:$J,0))&amp;"_ser_0.20_"&amp;TEXT(INDEX(MASTER!$E:$E,MATCH(_xlpm.pos,MASTER!$J:$J,0)),"mmddyy"),""),_xlpm.slot,1440+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74" s="4" t="str">
        <f t="array" ref="F174">_xlfn.LET(_xlpm.pos,"Max Planck plate 16: "&amp;$A9&amp;F$2,_xlpm.normal,IFERROR(INDEX(MASTER!$A:$A,MATCH(_xlpm.pos,MASTER!$J:$J,0))&amp;"_ser_0.20_"&amp;TEXT(INDEX(MASTER!$E:$E,MATCH(_xlpm.pos,MASTER!$J:$J,0)),"mmddyy"),""),_xlpm.slot,1440+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74" s="4" t="str">
        <f t="array" ref="G174">_xlfn.LET(_xlpm.pos,"Max Planck plate 16: "&amp;$A9&amp;G$2,_xlpm.normal,IFERROR(INDEX(MASTER!$A:$A,MATCH(_xlpm.pos,MASTER!$J:$J,0))&amp;"_ser_0.20_"&amp;TEXT(INDEX(MASTER!$E:$E,MATCH(_xlpm.pos,MASTER!$J:$J,0)),"mmddyy"),""),_xlpm.slot,1440+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74" s="4" t="str">
        <f t="array" ref="H174">_xlfn.LET(_xlpm.pos,"Max Planck plate 16: "&amp;$A9&amp;H$2,_xlpm.normal,IFERROR(INDEX(MASTER!$A:$A,MATCH(_xlpm.pos,MASTER!$J:$J,0))&amp;"_ser_0.20_"&amp;TEXT(INDEX(MASTER!$E:$E,MATCH(_xlpm.pos,MASTER!$J:$J,0)),"mmddyy"),""),_xlpm.slot,1440+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74" s="4" t="str">
        <f t="array" ref="I174">_xlfn.LET(_xlpm.pos,"Max Planck plate 16: "&amp;$A9&amp;I$2,_xlpm.normal,IFERROR(INDEX(MASTER!$A:$A,MATCH(_xlpm.pos,MASTER!$J:$J,0))&amp;"_ser_0.20_"&amp;TEXT(INDEX(MASTER!$E:$E,MATCH(_xlpm.pos,MASTER!$J:$J,0)),"mmddyy"),""),_xlpm.slot,1440+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74" s="4" t="str">
        <f t="array" ref="J174">_xlfn.LET(_xlpm.pos,"Max Planck plate 16: "&amp;$A9&amp;J$2,_xlpm.normal,IFERROR(INDEX(MASTER!$A:$A,MATCH(_xlpm.pos,MASTER!$J:$J,0))&amp;"_ser_0.20_"&amp;TEXT(INDEX(MASTER!$E:$E,MATCH(_xlpm.pos,MASTER!$J:$J,0)),"mmddyy"),""),_xlpm.slot,1440+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74" s="4" t="str">
        <f t="array" ref="K174">_xlfn.LET(_xlpm.pos,"Max Planck plate 16: "&amp;$A9&amp;K$2,_xlpm.normal,IFERROR(INDEX(MASTER!$A:$A,MATCH(_xlpm.pos,MASTER!$J:$J,0))&amp;"_ser_0.20_"&amp;TEXT(INDEX(MASTER!$E:$E,MATCH(_xlpm.pos,MASTER!$J:$J,0)),"mmddyy"),""),_xlpm.slot,1440+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74" s="4" t="str">
        <f t="array" ref="L174">_xlfn.LET(_xlpm.pos,"Max Planck plate 16: "&amp;$A9&amp;L$2,_xlpm.normal,IFERROR(INDEX(MASTER!$A:$A,MATCH(_xlpm.pos,MASTER!$J:$J,0))&amp;"_ser_0.20_"&amp;TEXT(INDEX(MASTER!$E:$E,MATCH(_xlpm.pos,MASTER!$J:$J,0)),"mmddyy"),""),_xlpm.slot,1440+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74" s="4" t="str">
        <f t="array" ref="M174">_xlfn.LET(_xlpm.pos,"Max Planck plate 16: "&amp;$A9&amp;M$2,_xlpm.normal,IFERROR(INDEX(MASTER!$A:$A,MATCH(_xlpm.pos,MASTER!$J:$J,0))&amp;"_ser_0.20_"&amp;TEXT(INDEX(MASTER!$E:$E,MATCH(_xlpm.pos,MASTER!$J:$J,0)),"mmddyy"),""),_xlpm.slot,1440+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75" spans="1:13" ht="22" customHeight="1" x14ac:dyDescent="0.3">
      <c r="A175" s="6" t="s">
        <v>36</v>
      </c>
      <c r="B175" s="4" t="str">
        <f t="array" ref="B175">_xlfn.LET(_xlpm.pos,"Max Planck plate 16: "&amp;$A10&amp;B$2,_xlpm.normal,IFERROR(INDEX(MASTER!$A:$A,MATCH(_xlpm.pos,MASTER!$J:$J,0))&amp;"_ser_0.20_"&amp;TEXT(INDEX(MASTER!$E:$E,MATCH(_xlpm.pos,MASTER!$J:$J,0)),"mmddyy"),""),_xlpm.slot,1440+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75" s="4" t="str">
        <f t="array" ref="C175">_xlfn.LET(_xlpm.pos,"Max Planck plate 16: "&amp;$A10&amp;C$2,_xlpm.normal,IFERROR(INDEX(MASTER!$A:$A,MATCH(_xlpm.pos,MASTER!$J:$J,0))&amp;"_ser_0.20_"&amp;TEXT(INDEX(MASTER!$E:$E,MATCH(_xlpm.pos,MASTER!$J:$J,0)),"mmddyy"),""),_xlpm.slot,1440+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75" s="4" t="str">
        <f t="array" ref="D175">_xlfn.LET(_xlpm.pos,"Max Planck plate 16: "&amp;$A10&amp;D$2,_xlpm.normal,IFERROR(INDEX(MASTER!$A:$A,MATCH(_xlpm.pos,MASTER!$J:$J,0))&amp;"_ser_0.20_"&amp;TEXT(INDEX(MASTER!$E:$E,MATCH(_xlpm.pos,MASTER!$J:$J,0)),"mmddyy"),""),_xlpm.slot,1440+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75" s="4" t="str">
        <f t="array" ref="E175">_xlfn.LET(_xlpm.pos,"Max Planck plate 16: "&amp;$A10&amp;E$2,_xlpm.normal,IFERROR(INDEX(MASTER!$A:$A,MATCH(_xlpm.pos,MASTER!$J:$J,0))&amp;"_ser_0.20_"&amp;TEXT(INDEX(MASTER!$E:$E,MATCH(_xlpm.pos,MASTER!$J:$J,0)),"mmddyy"),""),_xlpm.slot,1440+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75" s="4" t="str">
        <f t="array" ref="F175">_xlfn.LET(_xlpm.pos,"Max Planck plate 16: "&amp;$A10&amp;F$2,_xlpm.normal,IFERROR(INDEX(MASTER!$A:$A,MATCH(_xlpm.pos,MASTER!$J:$J,0))&amp;"_ser_0.20_"&amp;TEXT(INDEX(MASTER!$E:$E,MATCH(_xlpm.pos,MASTER!$J:$J,0)),"mmddyy"),""),_xlpm.slot,1440+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75" s="4" t="str">
        <f t="array" ref="G175">_xlfn.LET(_xlpm.pos,"Max Planck plate 16: "&amp;$A10&amp;G$2,_xlpm.normal,IFERROR(INDEX(MASTER!$A:$A,MATCH(_xlpm.pos,MASTER!$J:$J,0))&amp;"_ser_0.20_"&amp;TEXT(INDEX(MASTER!$E:$E,MATCH(_xlpm.pos,MASTER!$J:$J,0)),"mmddyy"),""),_xlpm.slot,1440+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75" s="4" t="str">
        <f t="array" ref="H175">_xlfn.LET(_xlpm.pos,"Max Planck plate 16: "&amp;$A10&amp;H$2,_xlpm.normal,IFERROR(INDEX(MASTER!$A:$A,MATCH(_xlpm.pos,MASTER!$J:$J,0))&amp;"_ser_0.20_"&amp;TEXT(INDEX(MASTER!$E:$E,MATCH(_xlpm.pos,MASTER!$J:$J,0)),"mmddyy"),""),_xlpm.slot,1440+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75" s="4" t="str">
        <f t="array" ref="I175">_xlfn.LET(_xlpm.pos,"Max Planck plate 16: "&amp;$A10&amp;I$2,_xlpm.normal,IFERROR(INDEX(MASTER!$A:$A,MATCH(_xlpm.pos,MASTER!$J:$J,0))&amp;"_ser_0.20_"&amp;TEXT(INDEX(MASTER!$E:$E,MATCH(_xlpm.pos,MASTER!$J:$J,0)),"mmddyy"),""),_xlpm.slot,1440+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75" s="4" t="str">
        <f t="array" ref="J175">_xlfn.LET(_xlpm.pos,"Max Planck plate 16: "&amp;$A10&amp;J$2,_xlpm.normal,IFERROR(INDEX(MASTER!$A:$A,MATCH(_xlpm.pos,MASTER!$J:$J,0))&amp;"_ser_0.20_"&amp;TEXT(INDEX(MASTER!$E:$E,MATCH(_xlpm.pos,MASTER!$J:$J,0)),"mmddyy"),""),_xlpm.slot,1440+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75" s="4" t="str">
        <f t="array" ref="K175">_xlfn.LET(_xlpm.pos,"Max Planck plate 16: "&amp;$A10&amp;K$2,_xlpm.normal,IFERROR(INDEX(MASTER!$A:$A,MATCH(_xlpm.pos,MASTER!$J:$J,0))&amp;"_ser_0.20_"&amp;TEXT(INDEX(MASTER!$E:$E,MATCH(_xlpm.pos,MASTER!$J:$J,0)),"mmddyy"),""),_xlpm.slot,1440+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75" s="4" t="str">
        <f t="array" ref="L175">_xlfn.LET(_xlpm.pos,"Max Planck plate 16: "&amp;$A10&amp;L$2,_xlpm.normal,IFERROR(INDEX(MASTER!$A:$A,MATCH(_xlpm.pos,MASTER!$J:$J,0))&amp;"_ser_0.20_"&amp;TEXT(INDEX(MASTER!$E:$E,MATCH(_xlpm.pos,MASTER!$J:$J,0)),"mmddyy"),""),_xlpm.slot,1440+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75" s="4" t="str">
        <f t="array" ref="M175">_xlfn.LET(_xlpm.pos,"Max Planck plate 16: "&amp;$A10&amp;M$2,_xlpm.normal,IFERROR(INDEX(MASTER!$A:$A,MATCH(_xlpm.pos,MASTER!$J:$J,0))&amp;"_ser_0.20_"&amp;TEXT(INDEX(MASTER!$E:$E,MATCH(_xlpm.pos,MASTER!$J:$J,0)),"mmddyy"),""),_xlpm.slot,1440+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77" spans="1:13" ht="22" customHeight="1" x14ac:dyDescent="0.35">
      <c r="A177" s="5"/>
      <c r="B177" s="31" t="s">
        <v>94</v>
      </c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3"/>
    </row>
    <row r="178" spans="1:13" ht="22" customHeight="1" x14ac:dyDescent="0.3">
      <c r="A178" s="5"/>
      <c r="B178" s="6">
        <v>1</v>
      </c>
      <c r="C178" s="6">
        <v>2</v>
      </c>
      <c r="D178" s="6">
        <v>3</v>
      </c>
      <c r="E178" s="6">
        <v>4</v>
      </c>
      <c r="F178" s="6">
        <v>5</v>
      </c>
      <c r="G178" s="6">
        <v>6</v>
      </c>
      <c r="H178" s="6">
        <v>7</v>
      </c>
      <c r="I178" s="6">
        <v>8</v>
      </c>
      <c r="J178" s="6">
        <v>9</v>
      </c>
      <c r="K178" s="6">
        <v>10</v>
      </c>
      <c r="L178" s="6">
        <v>11</v>
      </c>
      <c r="M178" s="6">
        <v>12</v>
      </c>
    </row>
    <row r="179" spans="1:13" ht="22" customHeight="1" x14ac:dyDescent="0.3">
      <c r="A179" s="6" t="s">
        <v>30</v>
      </c>
      <c r="B179" s="4" t="str">
        <f t="array" ref="B179">_xlfn.LET(_xlpm.pos,"Max Planck plate 17: "&amp;$A3&amp;B$2,_xlpm.normal,IFERROR(INDEX(MASTER!$A:$A,MATCH(_xlpm.pos,MASTER!$J:$J,0))&amp;"_ser_0.20_"&amp;TEXT(INDEX(MASTER!$E:$E,MATCH(_xlpm.pos,MASTER!$J:$J,0)),"mmddyy"),""),_xlpm.slot,1536+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79" s="4" t="str">
        <f t="array" ref="C179">_xlfn.LET(_xlpm.pos,"Max Planck plate 17: "&amp;$A3&amp;C$2,_xlpm.normal,IFERROR(INDEX(MASTER!$A:$A,MATCH(_xlpm.pos,MASTER!$J:$J,0))&amp;"_ser_0.20_"&amp;TEXT(INDEX(MASTER!$E:$E,MATCH(_xlpm.pos,MASTER!$J:$J,0)),"mmddyy"),""),_xlpm.slot,1536+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79" s="4" t="str">
        <f t="array" ref="D179">_xlfn.LET(_xlpm.pos,"Max Planck plate 17: "&amp;$A3&amp;D$2,_xlpm.normal,IFERROR(INDEX(MASTER!$A:$A,MATCH(_xlpm.pos,MASTER!$J:$J,0))&amp;"_ser_0.20_"&amp;TEXT(INDEX(MASTER!$E:$E,MATCH(_xlpm.pos,MASTER!$J:$J,0)),"mmddyy"),""),_xlpm.slot,1536+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79" s="4" t="str">
        <f t="array" ref="E179">_xlfn.LET(_xlpm.pos,"Max Planck plate 17: "&amp;$A3&amp;E$2,_xlpm.normal,IFERROR(INDEX(MASTER!$A:$A,MATCH(_xlpm.pos,MASTER!$J:$J,0))&amp;"_ser_0.20_"&amp;TEXT(INDEX(MASTER!$E:$E,MATCH(_xlpm.pos,MASTER!$J:$J,0)),"mmddyy"),""),_xlpm.slot,1536+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79" s="4" t="str">
        <f t="array" ref="F179">_xlfn.LET(_xlpm.pos,"Max Planck plate 17: "&amp;$A3&amp;F$2,_xlpm.normal,IFERROR(INDEX(MASTER!$A:$A,MATCH(_xlpm.pos,MASTER!$J:$J,0))&amp;"_ser_0.20_"&amp;TEXT(INDEX(MASTER!$E:$E,MATCH(_xlpm.pos,MASTER!$J:$J,0)),"mmddyy"),""),_xlpm.slot,1536+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79" s="4" t="str">
        <f t="array" ref="G179">_xlfn.LET(_xlpm.pos,"Max Planck plate 17: "&amp;$A3&amp;G$2,_xlpm.normal,IFERROR(INDEX(MASTER!$A:$A,MATCH(_xlpm.pos,MASTER!$J:$J,0))&amp;"_ser_0.20_"&amp;TEXT(INDEX(MASTER!$E:$E,MATCH(_xlpm.pos,MASTER!$J:$J,0)),"mmddyy"),""),_xlpm.slot,1536+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79" s="4" t="str">
        <f t="array" ref="H179">_xlfn.LET(_xlpm.pos,"Max Planck plate 17: "&amp;$A3&amp;H$2,_xlpm.normal,IFERROR(INDEX(MASTER!$A:$A,MATCH(_xlpm.pos,MASTER!$J:$J,0))&amp;"_ser_0.20_"&amp;TEXT(INDEX(MASTER!$E:$E,MATCH(_xlpm.pos,MASTER!$J:$J,0)),"mmddyy"),""),_xlpm.slot,1536+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79" s="4" t="str">
        <f t="array" ref="I179">_xlfn.LET(_xlpm.pos,"Max Planck plate 17: "&amp;$A3&amp;I$2,_xlpm.normal,IFERROR(INDEX(MASTER!$A:$A,MATCH(_xlpm.pos,MASTER!$J:$J,0))&amp;"_ser_0.20_"&amp;TEXT(INDEX(MASTER!$E:$E,MATCH(_xlpm.pos,MASTER!$J:$J,0)),"mmddyy"),""),_xlpm.slot,1536+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79" s="4" t="str">
        <f t="array" ref="J179">_xlfn.LET(_xlpm.pos,"Max Planck plate 17: "&amp;$A3&amp;J$2,_xlpm.normal,IFERROR(INDEX(MASTER!$A:$A,MATCH(_xlpm.pos,MASTER!$J:$J,0))&amp;"_ser_0.20_"&amp;TEXT(INDEX(MASTER!$E:$E,MATCH(_xlpm.pos,MASTER!$J:$J,0)),"mmddyy"),""),_xlpm.slot,1536+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79" s="4" t="str">
        <f t="array" ref="K179">_xlfn.LET(_xlpm.pos,"Max Planck plate 17: "&amp;$A3&amp;K$2,_xlpm.normal,IFERROR(INDEX(MASTER!$A:$A,MATCH(_xlpm.pos,MASTER!$J:$J,0))&amp;"_ser_0.20_"&amp;TEXT(INDEX(MASTER!$E:$E,MATCH(_xlpm.pos,MASTER!$J:$J,0)),"mmddyy"),""),_xlpm.slot,1536+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79" s="4" t="str">
        <f t="array" ref="L179">_xlfn.LET(_xlpm.pos,"Max Planck plate 17: "&amp;$A3&amp;L$2,_xlpm.normal,IFERROR(INDEX(MASTER!$A:$A,MATCH(_xlpm.pos,MASTER!$J:$J,0))&amp;"_ser_0.20_"&amp;TEXT(INDEX(MASTER!$E:$E,MATCH(_xlpm.pos,MASTER!$J:$J,0)),"mmddyy"),""),_xlpm.slot,1536+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79" s="4" t="str">
        <f t="array" ref="M179">_xlfn.LET(_xlpm.pos,"Max Planck plate 17: "&amp;$A3&amp;M$2,_xlpm.normal,IFERROR(INDEX(MASTER!$A:$A,MATCH(_xlpm.pos,MASTER!$J:$J,0))&amp;"_ser_0.20_"&amp;TEXT(INDEX(MASTER!$E:$E,MATCH(_xlpm.pos,MASTER!$J:$J,0)),"mmddyy"),""),_xlpm.slot,1536+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80" spans="1:13" ht="22" customHeight="1" x14ac:dyDescent="0.3">
      <c r="A180" s="6" t="s">
        <v>31</v>
      </c>
      <c r="B180" s="4" t="str">
        <f t="array" ref="B180">_xlfn.LET(_xlpm.pos,"Max Planck plate 17: "&amp;$A4&amp;B$2,_xlpm.normal,IFERROR(INDEX(MASTER!$A:$A,MATCH(_xlpm.pos,MASTER!$J:$J,0))&amp;"_ser_0.20_"&amp;TEXT(INDEX(MASTER!$E:$E,MATCH(_xlpm.pos,MASTER!$J:$J,0)),"mmddyy"),""),_xlpm.slot,1536+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80" s="4" t="str">
        <f t="array" ref="C180">_xlfn.LET(_xlpm.pos,"Max Planck plate 17: "&amp;$A4&amp;C$2,_xlpm.normal,IFERROR(INDEX(MASTER!$A:$A,MATCH(_xlpm.pos,MASTER!$J:$J,0))&amp;"_ser_0.20_"&amp;TEXT(INDEX(MASTER!$E:$E,MATCH(_xlpm.pos,MASTER!$J:$J,0)),"mmddyy"),""),_xlpm.slot,1536+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80" s="4" t="str">
        <f t="array" ref="D180">_xlfn.LET(_xlpm.pos,"Max Planck plate 17: "&amp;$A4&amp;D$2,_xlpm.normal,IFERROR(INDEX(MASTER!$A:$A,MATCH(_xlpm.pos,MASTER!$J:$J,0))&amp;"_ser_0.20_"&amp;TEXT(INDEX(MASTER!$E:$E,MATCH(_xlpm.pos,MASTER!$J:$J,0)),"mmddyy"),""),_xlpm.slot,1536+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80" s="4" t="str">
        <f t="array" ref="E180">_xlfn.LET(_xlpm.pos,"Max Planck plate 17: "&amp;$A4&amp;E$2,_xlpm.normal,IFERROR(INDEX(MASTER!$A:$A,MATCH(_xlpm.pos,MASTER!$J:$J,0))&amp;"_ser_0.20_"&amp;TEXT(INDEX(MASTER!$E:$E,MATCH(_xlpm.pos,MASTER!$J:$J,0)),"mmddyy"),""),_xlpm.slot,1536+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80" s="4" t="str">
        <f t="array" ref="F180">_xlfn.LET(_xlpm.pos,"Max Planck plate 17: "&amp;$A4&amp;F$2,_xlpm.normal,IFERROR(INDEX(MASTER!$A:$A,MATCH(_xlpm.pos,MASTER!$J:$J,0))&amp;"_ser_0.20_"&amp;TEXT(INDEX(MASTER!$E:$E,MATCH(_xlpm.pos,MASTER!$J:$J,0)),"mmddyy"),""),_xlpm.slot,1536+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80" s="4" t="str">
        <f t="array" ref="G180">_xlfn.LET(_xlpm.pos,"Max Planck plate 17: "&amp;$A4&amp;G$2,_xlpm.normal,IFERROR(INDEX(MASTER!$A:$A,MATCH(_xlpm.pos,MASTER!$J:$J,0))&amp;"_ser_0.20_"&amp;TEXT(INDEX(MASTER!$E:$E,MATCH(_xlpm.pos,MASTER!$J:$J,0)),"mmddyy"),""),_xlpm.slot,1536+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80" s="4" t="str">
        <f t="array" ref="H180">_xlfn.LET(_xlpm.pos,"Max Planck plate 17: "&amp;$A4&amp;H$2,_xlpm.normal,IFERROR(INDEX(MASTER!$A:$A,MATCH(_xlpm.pos,MASTER!$J:$J,0))&amp;"_ser_0.20_"&amp;TEXT(INDEX(MASTER!$E:$E,MATCH(_xlpm.pos,MASTER!$J:$J,0)),"mmddyy"),""),_xlpm.slot,1536+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80" s="4" t="str">
        <f t="array" ref="I180">_xlfn.LET(_xlpm.pos,"Max Planck plate 17: "&amp;$A4&amp;I$2,_xlpm.normal,IFERROR(INDEX(MASTER!$A:$A,MATCH(_xlpm.pos,MASTER!$J:$J,0))&amp;"_ser_0.20_"&amp;TEXT(INDEX(MASTER!$E:$E,MATCH(_xlpm.pos,MASTER!$J:$J,0)),"mmddyy"),""),_xlpm.slot,1536+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80" s="4" t="str">
        <f t="array" ref="J180">_xlfn.LET(_xlpm.pos,"Max Planck plate 17: "&amp;$A4&amp;J$2,_xlpm.normal,IFERROR(INDEX(MASTER!$A:$A,MATCH(_xlpm.pos,MASTER!$J:$J,0))&amp;"_ser_0.20_"&amp;TEXT(INDEX(MASTER!$E:$E,MATCH(_xlpm.pos,MASTER!$J:$J,0)),"mmddyy"),""),_xlpm.slot,1536+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80" s="4" t="str">
        <f t="array" ref="K180">_xlfn.LET(_xlpm.pos,"Max Planck plate 17: "&amp;$A4&amp;K$2,_xlpm.normal,IFERROR(INDEX(MASTER!$A:$A,MATCH(_xlpm.pos,MASTER!$J:$J,0))&amp;"_ser_0.20_"&amp;TEXT(INDEX(MASTER!$E:$E,MATCH(_xlpm.pos,MASTER!$J:$J,0)),"mmddyy"),""),_xlpm.slot,1536+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80" s="4" t="str">
        <f t="array" ref="L180">_xlfn.LET(_xlpm.pos,"Max Planck plate 17: "&amp;$A4&amp;L$2,_xlpm.normal,IFERROR(INDEX(MASTER!$A:$A,MATCH(_xlpm.pos,MASTER!$J:$J,0))&amp;"_ser_0.20_"&amp;TEXT(INDEX(MASTER!$E:$E,MATCH(_xlpm.pos,MASTER!$J:$J,0)),"mmddyy"),""),_xlpm.slot,1536+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80" s="4" t="str">
        <f t="array" ref="M180">_xlfn.LET(_xlpm.pos,"Max Planck plate 17: "&amp;$A4&amp;M$2,_xlpm.normal,IFERROR(INDEX(MASTER!$A:$A,MATCH(_xlpm.pos,MASTER!$J:$J,0))&amp;"_ser_0.20_"&amp;TEXT(INDEX(MASTER!$E:$E,MATCH(_xlpm.pos,MASTER!$J:$J,0)),"mmddyy"),""),_xlpm.slot,1536+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81" spans="1:13" ht="22" customHeight="1" x14ac:dyDescent="0.3">
      <c r="A181" s="6" t="s">
        <v>32</v>
      </c>
      <c r="B181" s="4" t="str">
        <f t="array" ref="B181">_xlfn.LET(_xlpm.pos,"Max Planck plate 17: "&amp;$A5&amp;B$2,_xlpm.normal,IFERROR(INDEX(MASTER!$A:$A,MATCH(_xlpm.pos,MASTER!$J:$J,0))&amp;"_ser_0.20_"&amp;TEXT(INDEX(MASTER!$E:$E,MATCH(_xlpm.pos,MASTER!$J:$J,0)),"mmddyy"),""),_xlpm.slot,1536+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81" s="4" t="str">
        <f t="array" ref="C181">_xlfn.LET(_xlpm.pos,"Max Planck plate 17: "&amp;$A5&amp;C$2,_xlpm.normal,IFERROR(INDEX(MASTER!$A:$A,MATCH(_xlpm.pos,MASTER!$J:$J,0))&amp;"_ser_0.20_"&amp;TEXT(INDEX(MASTER!$E:$E,MATCH(_xlpm.pos,MASTER!$J:$J,0)),"mmddyy"),""),_xlpm.slot,1536+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81" s="4" t="str">
        <f t="array" ref="D181">_xlfn.LET(_xlpm.pos,"Max Planck plate 17: "&amp;$A5&amp;D$2,_xlpm.normal,IFERROR(INDEX(MASTER!$A:$A,MATCH(_xlpm.pos,MASTER!$J:$J,0))&amp;"_ser_0.20_"&amp;TEXT(INDEX(MASTER!$E:$E,MATCH(_xlpm.pos,MASTER!$J:$J,0)),"mmddyy"),""),_xlpm.slot,1536+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81" s="4" t="str">
        <f t="array" ref="E181">_xlfn.LET(_xlpm.pos,"Max Planck plate 17: "&amp;$A5&amp;E$2,_xlpm.normal,IFERROR(INDEX(MASTER!$A:$A,MATCH(_xlpm.pos,MASTER!$J:$J,0))&amp;"_ser_0.20_"&amp;TEXT(INDEX(MASTER!$E:$E,MATCH(_xlpm.pos,MASTER!$J:$J,0)),"mmddyy"),""),_xlpm.slot,1536+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81" s="4" t="str">
        <f t="array" ref="F181">_xlfn.LET(_xlpm.pos,"Max Planck plate 17: "&amp;$A5&amp;F$2,_xlpm.normal,IFERROR(INDEX(MASTER!$A:$A,MATCH(_xlpm.pos,MASTER!$J:$J,0))&amp;"_ser_0.20_"&amp;TEXT(INDEX(MASTER!$E:$E,MATCH(_xlpm.pos,MASTER!$J:$J,0)),"mmddyy"),""),_xlpm.slot,1536+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81" s="4" t="str">
        <f t="array" ref="G181">_xlfn.LET(_xlpm.pos,"Max Planck plate 17: "&amp;$A5&amp;G$2,_xlpm.normal,IFERROR(INDEX(MASTER!$A:$A,MATCH(_xlpm.pos,MASTER!$J:$J,0))&amp;"_ser_0.20_"&amp;TEXT(INDEX(MASTER!$E:$E,MATCH(_xlpm.pos,MASTER!$J:$J,0)),"mmddyy"),""),_xlpm.slot,1536+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81" s="4" t="str">
        <f t="array" ref="H181">_xlfn.LET(_xlpm.pos,"Max Planck plate 17: "&amp;$A5&amp;H$2,_xlpm.normal,IFERROR(INDEX(MASTER!$A:$A,MATCH(_xlpm.pos,MASTER!$J:$J,0))&amp;"_ser_0.20_"&amp;TEXT(INDEX(MASTER!$E:$E,MATCH(_xlpm.pos,MASTER!$J:$J,0)),"mmddyy"),""),_xlpm.slot,1536+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81" s="4" t="str">
        <f t="array" ref="I181">_xlfn.LET(_xlpm.pos,"Max Planck plate 17: "&amp;$A5&amp;I$2,_xlpm.normal,IFERROR(INDEX(MASTER!$A:$A,MATCH(_xlpm.pos,MASTER!$J:$J,0))&amp;"_ser_0.20_"&amp;TEXT(INDEX(MASTER!$E:$E,MATCH(_xlpm.pos,MASTER!$J:$J,0)),"mmddyy"),""),_xlpm.slot,1536+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81" s="4" t="str">
        <f t="array" ref="J181">_xlfn.LET(_xlpm.pos,"Max Planck plate 17: "&amp;$A5&amp;J$2,_xlpm.normal,IFERROR(INDEX(MASTER!$A:$A,MATCH(_xlpm.pos,MASTER!$J:$J,0))&amp;"_ser_0.20_"&amp;TEXT(INDEX(MASTER!$E:$E,MATCH(_xlpm.pos,MASTER!$J:$J,0)),"mmddyy"),""),_xlpm.slot,1536+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81" s="4" t="str">
        <f t="array" ref="K181">_xlfn.LET(_xlpm.pos,"Max Planck plate 17: "&amp;$A5&amp;K$2,_xlpm.normal,IFERROR(INDEX(MASTER!$A:$A,MATCH(_xlpm.pos,MASTER!$J:$J,0))&amp;"_ser_0.20_"&amp;TEXT(INDEX(MASTER!$E:$E,MATCH(_xlpm.pos,MASTER!$J:$J,0)),"mmddyy"),""),_xlpm.slot,1536+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81" s="4" t="str">
        <f t="array" ref="L181">_xlfn.LET(_xlpm.pos,"Max Planck plate 17: "&amp;$A5&amp;L$2,_xlpm.normal,IFERROR(INDEX(MASTER!$A:$A,MATCH(_xlpm.pos,MASTER!$J:$J,0))&amp;"_ser_0.20_"&amp;TEXT(INDEX(MASTER!$E:$E,MATCH(_xlpm.pos,MASTER!$J:$J,0)),"mmddyy"),""),_xlpm.slot,1536+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81" s="4" t="str">
        <f t="array" ref="M181">_xlfn.LET(_xlpm.pos,"Max Planck plate 17: "&amp;$A5&amp;M$2,_xlpm.normal,IFERROR(INDEX(MASTER!$A:$A,MATCH(_xlpm.pos,MASTER!$J:$J,0))&amp;"_ser_0.20_"&amp;TEXT(INDEX(MASTER!$E:$E,MATCH(_xlpm.pos,MASTER!$J:$J,0)),"mmddyy"),""),_xlpm.slot,1536+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82" spans="1:13" ht="22" customHeight="1" x14ac:dyDescent="0.3">
      <c r="A182" s="6" t="s">
        <v>33</v>
      </c>
      <c r="B182" s="4" t="str">
        <f t="array" ref="B182">_xlfn.LET(_xlpm.pos,"Max Planck plate 17: "&amp;$A6&amp;B$2,_xlpm.normal,IFERROR(INDEX(MASTER!$A:$A,MATCH(_xlpm.pos,MASTER!$J:$J,0))&amp;"_ser_0.20_"&amp;TEXT(INDEX(MASTER!$E:$E,MATCH(_xlpm.pos,MASTER!$J:$J,0)),"mmddyy"),""),_xlpm.slot,1536+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82" s="4" t="str">
        <f t="array" ref="C182">_xlfn.LET(_xlpm.pos,"Max Planck plate 17: "&amp;$A6&amp;C$2,_xlpm.normal,IFERROR(INDEX(MASTER!$A:$A,MATCH(_xlpm.pos,MASTER!$J:$J,0))&amp;"_ser_0.20_"&amp;TEXT(INDEX(MASTER!$E:$E,MATCH(_xlpm.pos,MASTER!$J:$J,0)),"mmddyy"),""),_xlpm.slot,1536+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82" s="4" t="str">
        <f t="array" ref="D182">_xlfn.LET(_xlpm.pos,"Max Planck plate 17: "&amp;$A6&amp;D$2,_xlpm.normal,IFERROR(INDEX(MASTER!$A:$A,MATCH(_xlpm.pos,MASTER!$J:$J,0))&amp;"_ser_0.20_"&amp;TEXT(INDEX(MASTER!$E:$E,MATCH(_xlpm.pos,MASTER!$J:$J,0)),"mmddyy"),""),_xlpm.slot,1536+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82" s="4" t="str">
        <f t="array" ref="E182">_xlfn.LET(_xlpm.pos,"Max Planck plate 17: "&amp;$A6&amp;E$2,_xlpm.normal,IFERROR(INDEX(MASTER!$A:$A,MATCH(_xlpm.pos,MASTER!$J:$J,0))&amp;"_ser_0.20_"&amp;TEXT(INDEX(MASTER!$E:$E,MATCH(_xlpm.pos,MASTER!$J:$J,0)),"mmddyy"),""),_xlpm.slot,1536+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82" s="4" t="str">
        <f t="array" ref="F182">_xlfn.LET(_xlpm.pos,"Max Planck plate 17: "&amp;$A6&amp;F$2,_xlpm.normal,IFERROR(INDEX(MASTER!$A:$A,MATCH(_xlpm.pos,MASTER!$J:$J,0))&amp;"_ser_0.20_"&amp;TEXT(INDEX(MASTER!$E:$E,MATCH(_xlpm.pos,MASTER!$J:$J,0)),"mmddyy"),""),_xlpm.slot,1536+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82" s="4" t="str">
        <f t="array" ref="G182">_xlfn.LET(_xlpm.pos,"Max Planck plate 17: "&amp;$A6&amp;G$2,_xlpm.normal,IFERROR(INDEX(MASTER!$A:$A,MATCH(_xlpm.pos,MASTER!$J:$J,0))&amp;"_ser_0.20_"&amp;TEXT(INDEX(MASTER!$E:$E,MATCH(_xlpm.pos,MASTER!$J:$J,0)),"mmddyy"),""),_xlpm.slot,1536+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82" s="4" t="str">
        <f t="array" ref="H182">_xlfn.LET(_xlpm.pos,"Max Planck plate 17: "&amp;$A6&amp;H$2,_xlpm.normal,IFERROR(INDEX(MASTER!$A:$A,MATCH(_xlpm.pos,MASTER!$J:$J,0))&amp;"_ser_0.20_"&amp;TEXT(INDEX(MASTER!$E:$E,MATCH(_xlpm.pos,MASTER!$J:$J,0)),"mmddyy"),""),_xlpm.slot,1536+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82" s="4" t="str">
        <f t="array" ref="I182">_xlfn.LET(_xlpm.pos,"Max Planck plate 17: "&amp;$A6&amp;I$2,_xlpm.normal,IFERROR(INDEX(MASTER!$A:$A,MATCH(_xlpm.pos,MASTER!$J:$J,0))&amp;"_ser_0.20_"&amp;TEXT(INDEX(MASTER!$E:$E,MATCH(_xlpm.pos,MASTER!$J:$J,0)),"mmddyy"),""),_xlpm.slot,1536+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82" s="4" t="str">
        <f t="array" ref="J182">_xlfn.LET(_xlpm.pos,"Max Planck plate 17: "&amp;$A6&amp;J$2,_xlpm.normal,IFERROR(INDEX(MASTER!$A:$A,MATCH(_xlpm.pos,MASTER!$J:$J,0))&amp;"_ser_0.20_"&amp;TEXT(INDEX(MASTER!$E:$E,MATCH(_xlpm.pos,MASTER!$J:$J,0)),"mmddyy"),""),_xlpm.slot,1536+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82" s="4" t="str">
        <f t="array" ref="K182">_xlfn.LET(_xlpm.pos,"Max Planck plate 17: "&amp;$A6&amp;K$2,_xlpm.normal,IFERROR(INDEX(MASTER!$A:$A,MATCH(_xlpm.pos,MASTER!$J:$J,0))&amp;"_ser_0.20_"&amp;TEXT(INDEX(MASTER!$E:$E,MATCH(_xlpm.pos,MASTER!$J:$J,0)),"mmddyy"),""),_xlpm.slot,1536+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82" s="4" t="str">
        <f t="array" ref="L182">_xlfn.LET(_xlpm.pos,"Max Planck plate 17: "&amp;$A6&amp;L$2,_xlpm.normal,IFERROR(INDEX(MASTER!$A:$A,MATCH(_xlpm.pos,MASTER!$J:$J,0))&amp;"_ser_0.20_"&amp;TEXT(INDEX(MASTER!$E:$E,MATCH(_xlpm.pos,MASTER!$J:$J,0)),"mmddyy"),""),_xlpm.slot,1536+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82" s="4" t="str">
        <f t="array" ref="M182">_xlfn.LET(_xlpm.pos,"Max Planck plate 17: "&amp;$A6&amp;M$2,_xlpm.normal,IFERROR(INDEX(MASTER!$A:$A,MATCH(_xlpm.pos,MASTER!$J:$J,0))&amp;"_ser_0.20_"&amp;TEXT(INDEX(MASTER!$E:$E,MATCH(_xlpm.pos,MASTER!$J:$J,0)),"mmddyy"),""),_xlpm.slot,1536+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83" spans="1:13" ht="22" customHeight="1" x14ac:dyDescent="0.3">
      <c r="A183" s="6" t="s">
        <v>34</v>
      </c>
      <c r="B183" s="4" t="str">
        <f t="array" ref="B183">_xlfn.LET(_xlpm.pos,"Max Planck plate 17: "&amp;$A7&amp;B$2,_xlpm.normal,IFERROR(INDEX(MASTER!$A:$A,MATCH(_xlpm.pos,MASTER!$J:$J,0))&amp;"_ser_0.20_"&amp;TEXT(INDEX(MASTER!$E:$E,MATCH(_xlpm.pos,MASTER!$J:$J,0)),"mmddyy"),""),_xlpm.slot,1536+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83" s="4" t="str">
        <f t="array" ref="C183">_xlfn.LET(_xlpm.pos,"Max Planck plate 17: "&amp;$A7&amp;C$2,_xlpm.normal,IFERROR(INDEX(MASTER!$A:$A,MATCH(_xlpm.pos,MASTER!$J:$J,0))&amp;"_ser_0.20_"&amp;TEXT(INDEX(MASTER!$E:$E,MATCH(_xlpm.pos,MASTER!$J:$J,0)),"mmddyy"),""),_xlpm.slot,1536+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83" s="4" t="str">
        <f t="array" ref="D183">_xlfn.LET(_xlpm.pos,"Max Planck plate 17: "&amp;$A7&amp;D$2,_xlpm.normal,IFERROR(INDEX(MASTER!$A:$A,MATCH(_xlpm.pos,MASTER!$J:$J,0))&amp;"_ser_0.20_"&amp;TEXT(INDEX(MASTER!$E:$E,MATCH(_xlpm.pos,MASTER!$J:$J,0)),"mmddyy"),""),_xlpm.slot,1536+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83" s="4" t="str">
        <f t="array" ref="E183">_xlfn.LET(_xlpm.pos,"Max Planck plate 17: "&amp;$A7&amp;E$2,_xlpm.normal,IFERROR(INDEX(MASTER!$A:$A,MATCH(_xlpm.pos,MASTER!$J:$J,0))&amp;"_ser_0.20_"&amp;TEXT(INDEX(MASTER!$E:$E,MATCH(_xlpm.pos,MASTER!$J:$J,0)),"mmddyy"),""),_xlpm.slot,1536+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83" s="4" t="str">
        <f t="array" ref="F183">_xlfn.LET(_xlpm.pos,"Max Planck plate 17: "&amp;$A7&amp;F$2,_xlpm.normal,IFERROR(INDEX(MASTER!$A:$A,MATCH(_xlpm.pos,MASTER!$J:$J,0))&amp;"_ser_0.20_"&amp;TEXT(INDEX(MASTER!$E:$E,MATCH(_xlpm.pos,MASTER!$J:$J,0)),"mmddyy"),""),_xlpm.slot,1536+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83" s="4" t="str">
        <f t="array" ref="G183">_xlfn.LET(_xlpm.pos,"Max Planck plate 17: "&amp;$A7&amp;G$2,_xlpm.normal,IFERROR(INDEX(MASTER!$A:$A,MATCH(_xlpm.pos,MASTER!$J:$J,0))&amp;"_ser_0.20_"&amp;TEXT(INDEX(MASTER!$E:$E,MATCH(_xlpm.pos,MASTER!$J:$J,0)),"mmddyy"),""),_xlpm.slot,1536+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83" s="4" t="str">
        <f t="array" ref="H183">_xlfn.LET(_xlpm.pos,"Max Planck plate 17: "&amp;$A7&amp;H$2,_xlpm.normal,IFERROR(INDEX(MASTER!$A:$A,MATCH(_xlpm.pos,MASTER!$J:$J,0))&amp;"_ser_0.20_"&amp;TEXT(INDEX(MASTER!$E:$E,MATCH(_xlpm.pos,MASTER!$J:$J,0)),"mmddyy"),""),_xlpm.slot,1536+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83" s="4" t="str">
        <f t="array" ref="I183">_xlfn.LET(_xlpm.pos,"Max Planck plate 17: "&amp;$A7&amp;I$2,_xlpm.normal,IFERROR(INDEX(MASTER!$A:$A,MATCH(_xlpm.pos,MASTER!$J:$J,0))&amp;"_ser_0.20_"&amp;TEXT(INDEX(MASTER!$E:$E,MATCH(_xlpm.pos,MASTER!$J:$J,0)),"mmddyy"),""),_xlpm.slot,1536+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83" s="4" t="str">
        <f t="array" ref="J183">_xlfn.LET(_xlpm.pos,"Max Planck plate 17: "&amp;$A7&amp;J$2,_xlpm.normal,IFERROR(INDEX(MASTER!$A:$A,MATCH(_xlpm.pos,MASTER!$J:$J,0))&amp;"_ser_0.20_"&amp;TEXT(INDEX(MASTER!$E:$E,MATCH(_xlpm.pos,MASTER!$J:$J,0)),"mmddyy"),""),_xlpm.slot,1536+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83" s="4" t="str">
        <f t="array" ref="K183">_xlfn.LET(_xlpm.pos,"Max Planck plate 17: "&amp;$A7&amp;K$2,_xlpm.normal,IFERROR(INDEX(MASTER!$A:$A,MATCH(_xlpm.pos,MASTER!$J:$J,0))&amp;"_ser_0.20_"&amp;TEXT(INDEX(MASTER!$E:$E,MATCH(_xlpm.pos,MASTER!$J:$J,0)),"mmddyy"),""),_xlpm.slot,1536+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83" s="4" t="str">
        <f t="array" ref="L183">_xlfn.LET(_xlpm.pos,"Max Planck plate 17: "&amp;$A7&amp;L$2,_xlpm.normal,IFERROR(INDEX(MASTER!$A:$A,MATCH(_xlpm.pos,MASTER!$J:$J,0))&amp;"_ser_0.20_"&amp;TEXT(INDEX(MASTER!$E:$E,MATCH(_xlpm.pos,MASTER!$J:$J,0)),"mmddyy"),""),_xlpm.slot,1536+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83" s="4" t="str">
        <f t="array" ref="M183">_xlfn.LET(_xlpm.pos,"Max Planck plate 17: "&amp;$A7&amp;M$2,_xlpm.normal,IFERROR(INDEX(MASTER!$A:$A,MATCH(_xlpm.pos,MASTER!$J:$J,0))&amp;"_ser_0.20_"&amp;TEXT(INDEX(MASTER!$E:$E,MATCH(_xlpm.pos,MASTER!$J:$J,0)),"mmddyy"),""),_xlpm.slot,1536+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84" spans="1:13" ht="22" customHeight="1" x14ac:dyDescent="0.3">
      <c r="A184" s="6" t="s">
        <v>15</v>
      </c>
      <c r="B184" s="4" t="str">
        <f t="array" ref="B184">_xlfn.LET(_xlpm.pos,"Max Planck plate 17: "&amp;$A8&amp;B$2,_xlpm.normal,IFERROR(INDEX(MASTER!$A:$A,MATCH(_xlpm.pos,MASTER!$J:$J,0))&amp;"_ser_0.20_"&amp;TEXT(INDEX(MASTER!$E:$E,MATCH(_xlpm.pos,MASTER!$J:$J,0)),"mmddyy"),""),_xlpm.slot,1536+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84" s="4" t="str">
        <f t="array" ref="C184">_xlfn.LET(_xlpm.pos,"Max Planck plate 17: "&amp;$A8&amp;C$2,_xlpm.normal,IFERROR(INDEX(MASTER!$A:$A,MATCH(_xlpm.pos,MASTER!$J:$J,0))&amp;"_ser_0.20_"&amp;TEXT(INDEX(MASTER!$E:$E,MATCH(_xlpm.pos,MASTER!$J:$J,0)),"mmddyy"),""),_xlpm.slot,1536+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84" s="4" t="str">
        <f t="array" ref="D184">_xlfn.LET(_xlpm.pos,"Max Planck plate 17: "&amp;$A8&amp;D$2,_xlpm.normal,IFERROR(INDEX(MASTER!$A:$A,MATCH(_xlpm.pos,MASTER!$J:$J,0))&amp;"_ser_0.20_"&amp;TEXT(INDEX(MASTER!$E:$E,MATCH(_xlpm.pos,MASTER!$J:$J,0)),"mmddyy"),""),_xlpm.slot,1536+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84" s="4" t="str">
        <f t="array" ref="E184">_xlfn.LET(_xlpm.pos,"Max Planck plate 17: "&amp;$A8&amp;E$2,_xlpm.normal,IFERROR(INDEX(MASTER!$A:$A,MATCH(_xlpm.pos,MASTER!$J:$J,0))&amp;"_ser_0.20_"&amp;TEXT(INDEX(MASTER!$E:$E,MATCH(_xlpm.pos,MASTER!$J:$J,0)),"mmddyy"),""),_xlpm.slot,1536+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84" s="4" t="str">
        <f t="array" ref="F184">_xlfn.LET(_xlpm.pos,"Max Planck plate 17: "&amp;$A8&amp;F$2,_xlpm.normal,IFERROR(INDEX(MASTER!$A:$A,MATCH(_xlpm.pos,MASTER!$J:$J,0))&amp;"_ser_0.20_"&amp;TEXT(INDEX(MASTER!$E:$E,MATCH(_xlpm.pos,MASTER!$J:$J,0)),"mmddyy"),""),_xlpm.slot,1536+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84" s="4" t="str">
        <f t="array" ref="G184">_xlfn.LET(_xlpm.pos,"Max Planck plate 17: "&amp;$A8&amp;G$2,_xlpm.normal,IFERROR(INDEX(MASTER!$A:$A,MATCH(_xlpm.pos,MASTER!$J:$J,0))&amp;"_ser_0.20_"&amp;TEXT(INDEX(MASTER!$E:$E,MATCH(_xlpm.pos,MASTER!$J:$J,0)),"mmddyy"),""),_xlpm.slot,1536+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84" s="4" t="str">
        <f t="array" ref="H184">_xlfn.LET(_xlpm.pos,"Max Planck plate 17: "&amp;$A8&amp;H$2,_xlpm.normal,IFERROR(INDEX(MASTER!$A:$A,MATCH(_xlpm.pos,MASTER!$J:$J,0))&amp;"_ser_0.20_"&amp;TEXT(INDEX(MASTER!$E:$E,MATCH(_xlpm.pos,MASTER!$J:$J,0)),"mmddyy"),""),_xlpm.slot,1536+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84" s="4" t="str">
        <f t="array" ref="I184">_xlfn.LET(_xlpm.pos,"Max Planck plate 17: "&amp;$A8&amp;I$2,_xlpm.normal,IFERROR(INDEX(MASTER!$A:$A,MATCH(_xlpm.pos,MASTER!$J:$J,0))&amp;"_ser_0.20_"&amp;TEXT(INDEX(MASTER!$E:$E,MATCH(_xlpm.pos,MASTER!$J:$J,0)),"mmddyy"),""),_xlpm.slot,1536+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84" s="4" t="str">
        <f t="array" ref="J184">_xlfn.LET(_xlpm.pos,"Max Planck plate 17: "&amp;$A8&amp;J$2,_xlpm.normal,IFERROR(INDEX(MASTER!$A:$A,MATCH(_xlpm.pos,MASTER!$J:$J,0))&amp;"_ser_0.20_"&amp;TEXT(INDEX(MASTER!$E:$E,MATCH(_xlpm.pos,MASTER!$J:$J,0)),"mmddyy"),""),_xlpm.slot,1536+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84" s="4" t="str">
        <f t="array" ref="K184">_xlfn.LET(_xlpm.pos,"Max Planck plate 17: "&amp;$A8&amp;K$2,_xlpm.normal,IFERROR(INDEX(MASTER!$A:$A,MATCH(_xlpm.pos,MASTER!$J:$J,0))&amp;"_ser_0.20_"&amp;TEXT(INDEX(MASTER!$E:$E,MATCH(_xlpm.pos,MASTER!$J:$J,0)),"mmddyy"),""),_xlpm.slot,1536+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84" s="4" t="str">
        <f t="array" ref="L184">_xlfn.LET(_xlpm.pos,"Max Planck plate 17: "&amp;$A8&amp;L$2,_xlpm.normal,IFERROR(INDEX(MASTER!$A:$A,MATCH(_xlpm.pos,MASTER!$J:$J,0))&amp;"_ser_0.20_"&amp;TEXT(INDEX(MASTER!$E:$E,MATCH(_xlpm.pos,MASTER!$J:$J,0)),"mmddyy"),""),_xlpm.slot,1536+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84" s="4" t="str">
        <f t="array" ref="M184">_xlfn.LET(_xlpm.pos,"Max Planck plate 17: "&amp;$A8&amp;M$2,_xlpm.normal,IFERROR(INDEX(MASTER!$A:$A,MATCH(_xlpm.pos,MASTER!$J:$J,0))&amp;"_ser_0.20_"&amp;TEXT(INDEX(MASTER!$E:$E,MATCH(_xlpm.pos,MASTER!$J:$J,0)),"mmddyy"),""),_xlpm.slot,1536+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85" spans="1:13" ht="22" customHeight="1" x14ac:dyDescent="0.3">
      <c r="A185" s="6" t="s">
        <v>35</v>
      </c>
      <c r="B185" s="4" t="str">
        <f t="array" ref="B185">_xlfn.LET(_xlpm.pos,"Max Planck plate 17: "&amp;$A9&amp;B$2,_xlpm.normal,IFERROR(INDEX(MASTER!$A:$A,MATCH(_xlpm.pos,MASTER!$J:$J,0))&amp;"_ser_0.20_"&amp;TEXT(INDEX(MASTER!$E:$E,MATCH(_xlpm.pos,MASTER!$J:$J,0)),"mmddyy"),""),_xlpm.slot,1536+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85" s="4" t="str">
        <f t="array" ref="C185">_xlfn.LET(_xlpm.pos,"Max Planck plate 17: "&amp;$A9&amp;C$2,_xlpm.normal,IFERROR(INDEX(MASTER!$A:$A,MATCH(_xlpm.pos,MASTER!$J:$J,0))&amp;"_ser_0.20_"&amp;TEXT(INDEX(MASTER!$E:$E,MATCH(_xlpm.pos,MASTER!$J:$J,0)),"mmddyy"),""),_xlpm.slot,1536+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85" s="4" t="str">
        <f t="array" ref="D185">_xlfn.LET(_xlpm.pos,"Max Planck plate 17: "&amp;$A9&amp;D$2,_xlpm.normal,IFERROR(INDEX(MASTER!$A:$A,MATCH(_xlpm.pos,MASTER!$J:$J,0))&amp;"_ser_0.20_"&amp;TEXT(INDEX(MASTER!$E:$E,MATCH(_xlpm.pos,MASTER!$J:$J,0)),"mmddyy"),""),_xlpm.slot,1536+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85" s="4" t="str">
        <f t="array" ref="E185">_xlfn.LET(_xlpm.pos,"Max Planck plate 17: "&amp;$A9&amp;E$2,_xlpm.normal,IFERROR(INDEX(MASTER!$A:$A,MATCH(_xlpm.pos,MASTER!$J:$J,0))&amp;"_ser_0.20_"&amp;TEXT(INDEX(MASTER!$E:$E,MATCH(_xlpm.pos,MASTER!$J:$J,0)),"mmddyy"),""),_xlpm.slot,1536+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85" s="4" t="str">
        <f t="array" ref="F185">_xlfn.LET(_xlpm.pos,"Max Planck plate 17: "&amp;$A9&amp;F$2,_xlpm.normal,IFERROR(INDEX(MASTER!$A:$A,MATCH(_xlpm.pos,MASTER!$J:$J,0))&amp;"_ser_0.20_"&amp;TEXT(INDEX(MASTER!$E:$E,MATCH(_xlpm.pos,MASTER!$J:$J,0)),"mmddyy"),""),_xlpm.slot,1536+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85" s="4" t="str">
        <f t="array" ref="G185">_xlfn.LET(_xlpm.pos,"Max Planck plate 17: "&amp;$A9&amp;G$2,_xlpm.normal,IFERROR(INDEX(MASTER!$A:$A,MATCH(_xlpm.pos,MASTER!$J:$J,0))&amp;"_ser_0.20_"&amp;TEXT(INDEX(MASTER!$E:$E,MATCH(_xlpm.pos,MASTER!$J:$J,0)),"mmddyy"),""),_xlpm.slot,1536+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85" s="4" t="str">
        <f t="array" ref="H185">_xlfn.LET(_xlpm.pos,"Max Planck plate 17: "&amp;$A9&amp;H$2,_xlpm.normal,IFERROR(INDEX(MASTER!$A:$A,MATCH(_xlpm.pos,MASTER!$J:$J,0))&amp;"_ser_0.20_"&amp;TEXT(INDEX(MASTER!$E:$E,MATCH(_xlpm.pos,MASTER!$J:$J,0)),"mmddyy"),""),_xlpm.slot,1536+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85" s="4" t="str">
        <f t="array" ref="I185">_xlfn.LET(_xlpm.pos,"Max Planck plate 17: "&amp;$A9&amp;I$2,_xlpm.normal,IFERROR(INDEX(MASTER!$A:$A,MATCH(_xlpm.pos,MASTER!$J:$J,0))&amp;"_ser_0.20_"&amp;TEXT(INDEX(MASTER!$E:$E,MATCH(_xlpm.pos,MASTER!$J:$J,0)),"mmddyy"),""),_xlpm.slot,1536+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85" s="4" t="str">
        <f t="array" ref="J185">_xlfn.LET(_xlpm.pos,"Max Planck plate 17: "&amp;$A9&amp;J$2,_xlpm.normal,IFERROR(INDEX(MASTER!$A:$A,MATCH(_xlpm.pos,MASTER!$J:$J,0))&amp;"_ser_0.20_"&amp;TEXT(INDEX(MASTER!$E:$E,MATCH(_xlpm.pos,MASTER!$J:$J,0)),"mmddyy"),""),_xlpm.slot,1536+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85" s="4" t="str">
        <f t="array" ref="K185">_xlfn.LET(_xlpm.pos,"Max Planck plate 17: "&amp;$A9&amp;K$2,_xlpm.normal,IFERROR(INDEX(MASTER!$A:$A,MATCH(_xlpm.pos,MASTER!$J:$J,0))&amp;"_ser_0.20_"&amp;TEXT(INDEX(MASTER!$E:$E,MATCH(_xlpm.pos,MASTER!$J:$J,0)),"mmddyy"),""),_xlpm.slot,1536+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85" s="4" t="str">
        <f t="array" ref="L185">_xlfn.LET(_xlpm.pos,"Max Planck plate 17: "&amp;$A9&amp;L$2,_xlpm.normal,IFERROR(INDEX(MASTER!$A:$A,MATCH(_xlpm.pos,MASTER!$J:$J,0))&amp;"_ser_0.20_"&amp;TEXT(INDEX(MASTER!$E:$E,MATCH(_xlpm.pos,MASTER!$J:$J,0)),"mmddyy"),""),_xlpm.slot,1536+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85" s="4" t="str">
        <f t="array" ref="M185">_xlfn.LET(_xlpm.pos,"Max Planck plate 17: "&amp;$A9&amp;M$2,_xlpm.normal,IFERROR(INDEX(MASTER!$A:$A,MATCH(_xlpm.pos,MASTER!$J:$J,0))&amp;"_ser_0.20_"&amp;TEXT(INDEX(MASTER!$E:$E,MATCH(_xlpm.pos,MASTER!$J:$J,0)),"mmddyy"),""),_xlpm.slot,1536+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86" spans="1:13" ht="22" customHeight="1" x14ac:dyDescent="0.3">
      <c r="A186" s="6" t="s">
        <v>36</v>
      </c>
      <c r="B186" s="4" t="str">
        <f t="array" ref="B186">_xlfn.LET(_xlpm.pos,"Max Planck plate 17: "&amp;$A10&amp;B$2,_xlpm.normal,IFERROR(INDEX(MASTER!$A:$A,MATCH(_xlpm.pos,MASTER!$J:$J,0))&amp;"_ser_0.20_"&amp;TEXT(INDEX(MASTER!$E:$E,MATCH(_xlpm.pos,MASTER!$J:$J,0)),"mmddyy"),""),_xlpm.slot,1536+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86" s="4" t="str">
        <f t="array" ref="C186">_xlfn.LET(_xlpm.pos,"Max Planck plate 17: "&amp;$A10&amp;C$2,_xlpm.normal,IFERROR(INDEX(MASTER!$A:$A,MATCH(_xlpm.pos,MASTER!$J:$J,0))&amp;"_ser_0.20_"&amp;TEXT(INDEX(MASTER!$E:$E,MATCH(_xlpm.pos,MASTER!$J:$J,0)),"mmddyy"),""),_xlpm.slot,1536+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86" s="4" t="str">
        <f t="array" ref="D186">_xlfn.LET(_xlpm.pos,"Max Planck plate 17: "&amp;$A10&amp;D$2,_xlpm.normal,IFERROR(INDEX(MASTER!$A:$A,MATCH(_xlpm.pos,MASTER!$J:$J,0))&amp;"_ser_0.20_"&amp;TEXT(INDEX(MASTER!$E:$E,MATCH(_xlpm.pos,MASTER!$J:$J,0)),"mmddyy"),""),_xlpm.slot,1536+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86" s="4" t="str">
        <f t="array" ref="E186">_xlfn.LET(_xlpm.pos,"Max Planck plate 17: "&amp;$A10&amp;E$2,_xlpm.normal,IFERROR(INDEX(MASTER!$A:$A,MATCH(_xlpm.pos,MASTER!$J:$J,0))&amp;"_ser_0.20_"&amp;TEXT(INDEX(MASTER!$E:$E,MATCH(_xlpm.pos,MASTER!$J:$J,0)),"mmddyy"),""),_xlpm.slot,1536+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86" s="4" t="str">
        <f t="array" ref="F186">_xlfn.LET(_xlpm.pos,"Max Planck plate 17: "&amp;$A10&amp;F$2,_xlpm.normal,IFERROR(INDEX(MASTER!$A:$A,MATCH(_xlpm.pos,MASTER!$J:$J,0))&amp;"_ser_0.20_"&amp;TEXT(INDEX(MASTER!$E:$E,MATCH(_xlpm.pos,MASTER!$J:$J,0)),"mmddyy"),""),_xlpm.slot,1536+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86" s="4" t="str">
        <f t="array" ref="G186">_xlfn.LET(_xlpm.pos,"Max Planck plate 17: "&amp;$A10&amp;G$2,_xlpm.normal,IFERROR(INDEX(MASTER!$A:$A,MATCH(_xlpm.pos,MASTER!$J:$J,0))&amp;"_ser_0.20_"&amp;TEXT(INDEX(MASTER!$E:$E,MATCH(_xlpm.pos,MASTER!$J:$J,0)),"mmddyy"),""),_xlpm.slot,1536+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86" s="4" t="str">
        <f t="array" ref="H186">_xlfn.LET(_xlpm.pos,"Max Planck plate 17: "&amp;$A10&amp;H$2,_xlpm.normal,IFERROR(INDEX(MASTER!$A:$A,MATCH(_xlpm.pos,MASTER!$J:$J,0))&amp;"_ser_0.20_"&amp;TEXT(INDEX(MASTER!$E:$E,MATCH(_xlpm.pos,MASTER!$J:$J,0)),"mmddyy"),""),_xlpm.slot,1536+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86" s="4" t="str">
        <f t="array" ref="I186">_xlfn.LET(_xlpm.pos,"Max Planck plate 17: "&amp;$A10&amp;I$2,_xlpm.normal,IFERROR(INDEX(MASTER!$A:$A,MATCH(_xlpm.pos,MASTER!$J:$J,0))&amp;"_ser_0.20_"&amp;TEXT(INDEX(MASTER!$E:$E,MATCH(_xlpm.pos,MASTER!$J:$J,0)),"mmddyy"),""),_xlpm.slot,1536+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86" s="4" t="str">
        <f t="array" ref="J186">_xlfn.LET(_xlpm.pos,"Max Planck plate 17: "&amp;$A10&amp;J$2,_xlpm.normal,IFERROR(INDEX(MASTER!$A:$A,MATCH(_xlpm.pos,MASTER!$J:$J,0))&amp;"_ser_0.20_"&amp;TEXT(INDEX(MASTER!$E:$E,MATCH(_xlpm.pos,MASTER!$J:$J,0)),"mmddyy"),""),_xlpm.slot,1536+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86" s="4" t="str">
        <f t="array" ref="K186">_xlfn.LET(_xlpm.pos,"Max Planck plate 17: "&amp;$A10&amp;K$2,_xlpm.normal,IFERROR(INDEX(MASTER!$A:$A,MATCH(_xlpm.pos,MASTER!$J:$J,0))&amp;"_ser_0.20_"&amp;TEXT(INDEX(MASTER!$E:$E,MATCH(_xlpm.pos,MASTER!$J:$J,0)),"mmddyy"),""),_xlpm.slot,1536+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86" s="4" t="str">
        <f t="array" ref="L186">_xlfn.LET(_xlpm.pos,"Max Planck plate 17: "&amp;$A10&amp;L$2,_xlpm.normal,IFERROR(INDEX(MASTER!$A:$A,MATCH(_xlpm.pos,MASTER!$J:$J,0))&amp;"_ser_0.20_"&amp;TEXT(INDEX(MASTER!$E:$E,MATCH(_xlpm.pos,MASTER!$J:$J,0)),"mmddyy"),""),_xlpm.slot,1536+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86" s="4" t="str">
        <f t="array" ref="M186">_xlfn.LET(_xlpm.pos,"Max Planck plate 17: "&amp;$A10&amp;M$2,_xlpm.normal,IFERROR(INDEX(MASTER!$A:$A,MATCH(_xlpm.pos,MASTER!$J:$J,0))&amp;"_ser_0.20_"&amp;TEXT(INDEX(MASTER!$E:$E,MATCH(_xlpm.pos,MASTER!$J:$J,0)),"mmddyy"),""),_xlpm.slot,1536+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87" spans="1:13" ht="22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ht="22" customHeight="1" x14ac:dyDescent="0.35">
      <c r="A188" s="5"/>
      <c r="B188" s="31" t="s">
        <v>95</v>
      </c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3"/>
    </row>
    <row r="189" spans="1:13" ht="22" customHeight="1" x14ac:dyDescent="0.3">
      <c r="A189" s="5"/>
      <c r="B189" s="6">
        <v>1</v>
      </c>
      <c r="C189" s="6">
        <v>2</v>
      </c>
      <c r="D189" s="6">
        <v>3</v>
      </c>
      <c r="E189" s="6">
        <v>4</v>
      </c>
      <c r="F189" s="6">
        <v>5</v>
      </c>
      <c r="G189" s="6">
        <v>6</v>
      </c>
      <c r="H189" s="6">
        <v>7</v>
      </c>
      <c r="I189" s="6">
        <v>8</v>
      </c>
      <c r="J189" s="6">
        <v>9</v>
      </c>
      <c r="K189" s="6">
        <v>10</v>
      </c>
      <c r="L189" s="6">
        <v>11</v>
      </c>
      <c r="M189" s="6">
        <v>12</v>
      </c>
    </row>
    <row r="190" spans="1:13" ht="22" customHeight="1" x14ac:dyDescent="0.3">
      <c r="A190" s="6" t="s">
        <v>30</v>
      </c>
      <c r="B190" s="4" t="str">
        <f t="array" ref="B190">_xlfn.LET(_xlpm.pos,"Max Planck plate 18: "&amp;$A3&amp;B$2,_xlpm.normal,IFERROR(INDEX(MASTER!$A:$A,MATCH(_xlpm.pos,MASTER!$J:$J,0))&amp;"_ser_0.20_"&amp;TEXT(INDEX(MASTER!$E:$E,MATCH(_xlpm.pos,MASTER!$J:$J,0)),"mmddyy"),""),_xlpm.slot,1632+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90" s="4" t="str">
        <f t="array" ref="C190">_xlfn.LET(_xlpm.pos,"Max Planck plate 18: "&amp;$A3&amp;C$2,_xlpm.normal,IFERROR(INDEX(MASTER!$A:$A,MATCH(_xlpm.pos,MASTER!$J:$J,0))&amp;"_ser_0.20_"&amp;TEXT(INDEX(MASTER!$E:$E,MATCH(_xlpm.pos,MASTER!$J:$J,0)),"mmddyy"),""),_xlpm.slot,1632+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90" s="4" t="str">
        <f t="array" ref="D190">_xlfn.LET(_xlpm.pos,"Max Planck plate 18: "&amp;$A3&amp;D$2,_xlpm.normal,IFERROR(INDEX(MASTER!$A:$A,MATCH(_xlpm.pos,MASTER!$J:$J,0))&amp;"_ser_0.20_"&amp;TEXT(INDEX(MASTER!$E:$E,MATCH(_xlpm.pos,MASTER!$J:$J,0)),"mmddyy"),""),_xlpm.slot,1632+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90" s="4" t="str">
        <f t="array" ref="E190">_xlfn.LET(_xlpm.pos,"Max Planck plate 18: "&amp;$A3&amp;E$2,_xlpm.normal,IFERROR(INDEX(MASTER!$A:$A,MATCH(_xlpm.pos,MASTER!$J:$J,0))&amp;"_ser_0.20_"&amp;TEXT(INDEX(MASTER!$E:$E,MATCH(_xlpm.pos,MASTER!$J:$J,0)),"mmddyy"),""),_xlpm.slot,1632+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90" s="4" t="str">
        <f t="array" ref="F190">_xlfn.LET(_xlpm.pos,"Max Planck plate 18: "&amp;$A3&amp;F$2,_xlpm.normal,IFERROR(INDEX(MASTER!$A:$A,MATCH(_xlpm.pos,MASTER!$J:$J,0))&amp;"_ser_0.20_"&amp;TEXT(INDEX(MASTER!$E:$E,MATCH(_xlpm.pos,MASTER!$J:$J,0)),"mmddyy"),""),_xlpm.slot,1632+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90" s="4" t="str">
        <f t="array" ref="G190">_xlfn.LET(_xlpm.pos,"Max Planck plate 18: "&amp;$A3&amp;G$2,_xlpm.normal,IFERROR(INDEX(MASTER!$A:$A,MATCH(_xlpm.pos,MASTER!$J:$J,0))&amp;"_ser_0.20_"&amp;TEXT(INDEX(MASTER!$E:$E,MATCH(_xlpm.pos,MASTER!$J:$J,0)),"mmddyy"),""),_xlpm.slot,1632+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90" s="4" t="str">
        <f t="array" ref="H190">_xlfn.LET(_xlpm.pos,"Max Planck plate 18: "&amp;$A3&amp;H$2,_xlpm.normal,IFERROR(INDEX(MASTER!$A:$A,MATCH(_xlpm.pos,MASTER!$J:$J,0))&amp;"_ser_0.20_"&amp;TEXT(INDEX(MASTER!$E:$E,MATCH(_xlpm.pos,MASTER!$J:$J,0)),"mmddyy"),""),_xlpm.slot,1632+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90" s="4" t="str">
        <f t="array" ref="I190">_xlfn.LET(_xlpm.pos,"Max Planck plate 18: "&amp;$A3&amp;I$2,_xlpm.normal,IFERROR(INDEX(MASTER!$A:$A,MATCH(_xlpm.pos,MASTER!$J:$J,0))&amp;"_ser_0.20_"&amp;TEXT(INDEX(MASTER!$E:$E,MATCH(_xlpm.pos,MASTER!$J:$J,0)),"mmddyy"),""),_xlpm.slot,1632+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90" s="4" t="str">
        <f t="array" ref="J190">_xlfn.LET(_xlpm.pos,"Max Planck plate 18: "&amp;$A3&amp;J$2,_xlpm.normal,IFERROR(INDEX(MASTER!$A:$A,MATCH(_xlpm.pos,MASTER!$J:$J,0))&amp;"_ser_0.20_"&amp;TEXT(INDEX(MASTER!$E:$E,MATCH(_xlpm.pos,MASTER!$J:$J,0)),"mmddyy"),""),_xlpm.slot,1632+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90" s="4" t="str">
        <f t="array" ref="K190">_xlfn.LET(_xlpm.pos,"Max Planck plate 18: "&amp;$A3&amp;K$2,_xlpm.normal,IFERROR(INDEX(MASTER!$A:$A,MATCH(_xlpm.pos,MASTER!$J:$J,0))&amp;"_ser_0.20_"&amp;TEXT(INDEX(MASTER!$E:$E,MATCH(_xlpm.pos,MASTER!$J:$J,0)),"mmddyy"),""),_xlpm.slot,1632+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90" s="4" t="str">
        <f t="array" ref="L190">_xlfn.LET(_xlpm.pos,"Max Planck plate 18: "&amp;$A3&amp;L$2,_xlpm.normal,IFERROR(INDEX(MASTER!$A:$A,MATCH(_xlpm.pos,MASTER!$J:$J,0))&amp;"_ser_0.20_"&amp;TEXT(INDEX(MASTER!$E:$E,MATCH(_xlpm.pos,MASTER!$J:$J,0)),"mmddyy"),""),_xlpm.slot,1632+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90" s="4" t="str">
        <f t="array" ref="M190">_xlfn.LET(_xlpm.pos,"Max Planck plate 18: "&amp;$A3&amp;M$2,_xlpm.normal,IFERROR(INDEX(MASTER!$A:$A,MATCH(_xlpm.pos,MASTER!$J:$J,0))&amp;"_ser_0.20_"&amp;TEXT(INDEX(MASTER!$E:$E,MATCH(_xlpm.pos,MASTER!$J:$J,0)),"mmddyy"),""),_xlpm.slot,1632+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91" spans="1:13" ht="22" customHeight="1" x14ac:dyDescent="0.3">
      <c r="A191" s="6" t="s">
        <v>31</v>
      </c>
      <c r="B191" s="4" t="str">
        <f t="array" ref="B191">_xlfn.LET(_xlpm.pos,"Max Planck plate 18: "&amp;$A4&amp;B$2,_xlpm.normal,IFERROR(INDEX(MASTER!$A:$A,MATCH(_xlpm.pos,MASTER!$J:$J,0))&amp;"_ser_0.20_"&amp;TEXT(INDEX(MASTER!$E:$E,MATCH(_xlpm.pos,MASTER!$J:$J,0)),"mmddyy"),""),_xlpm.slot,1632+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91" s="4" t="str">
        <f t="array" ref="C191">_xlfn.LET(_xlpm.pos,"Max Planck plate 18: "&amp;$A4&amp;C$2,_xlpm.normal,IFERROR(INDEX(MASTER!$A:$A,MATCH(_xlpm.pos,MASTER!$J:$J,0))&amp;"_ser_0.20_"&amp;TEXT(INDEX(MASTER!$E:$E,MATCH(_xlpm.pos,MASTER!$J:$J,0)),"mmddyy"),""),_xlpm.slot,1632+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91" s="4" t="str">
        <f t="array" ref="D191">_xlfn.LET(_xlpm.pos,"Max Planck plate 18: "&amp;$A4&amp;D$2,_xlpm.normal,IFERROR(INDEX(MASTER!$A:$A,MATCH(_xlpm.pos,MASTER!$J:$J,0))&amp;"_ser_0.20_"&amp;TEXT(INDEX(MASTER!$E:$E,MATCH(_xlpm.pos,MASTER!$J:$J,0)),"mmddyy"),""),_xlpm.slot,1632+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91" s="4" t="str">
        <f t="array" ref="E191">_xlfn.LET(_xlpm.pos,"Max Planck plate 18: "&amp;$A4&amp;E$2,_xlpm.normal,IFERROR(INDEX(MASTER!$A:$A,MATCH(_xlpm.pos,MASTER!$J:$J,0))&amp;"_ser_0.20_"&amp;TEXT(INDEX(MASTER!$E:$E,MATCH(_xlpm.pos,MASTER!$J:$J,0)),"mmddyy"),""),_xlpm.slot,1632+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91" s="4" t="str">
        <f t="array" ref="F191">_xlfn.LET(_xlpm.pos,"Max Planck plate 18: "&amp;$A4&amp;F$2,_xlpm.normal,IFERROR(INDEX(MASTER!$A:$A,MATCH(_xlpm.pos,MASTER!$J:$J,0))&amp;"_ser_0.20_"&amp;TEXT(INDEX(MASTER!$E:$E,MATCH(_xlpm.pos,MASTER!$J:$J,0)),"mmddyy"),""),_xlpm.slot,1632+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91" s="4" t="str">
        <f t="array" ref="G191">_xlfn.LET(_xlpm.pos,"Max Planck plate 18: "&amp;$A4&amp;G$2,_xlpm.normal,IFERROR(INDEX(MASTER!$A:$A,MATCH(_xlpm.pos,MASTER!$J:$J,0))&amp;"_ser_0.20_"&amp;TEXT(INDEX(MASTER!$E:$E,MATCH(_xlpm.pos,MASTER!$J:$J,0)),"mmddyy"),""),_xlpm.slot,1632+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91" s="4" t="str">
        <f t="array" ref="H191">_xlfn.LET(_xlpm.pos,"Max Planck plate 18: "&amp;$A4&amp;H$2,_xlpm.normal,IFERROR(INDEX(MASTER!$A:$A,MATCH(_xlpm.pos,MASTER!$J:$J,0))&amp;"_ser_0.20_"&amp;TEXT(INDEX(MASTER!$E:$E,MATCH(_xlpm.pos,MASTER!$J:$J,0)),"mmddyy"),""),_xlpm.slot,1632+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91" s="4" t="str">
        <f t="array" ref="I191">_xlfn.LET(_xlpm.pos,"Max Planck plate 18: "&amp;$A4&amp;I$2,_xlpm.normal,IFERROR(INDEX(MASTER!$A:$A,MATCH(_xlpm.pos,MASTER!$J:$J,0))&amp;"_ser_0.20_"&amp;TEXT(INDEX(MASTER!$E:$E,MATCH(_xlpm.pos,MASTER!$J:$J,0)),"mmddyy"),""),_xlpm.slot,1632+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91" s="4" t="str">
        <f t="array" ref="J191">_xlfn.LET(_xlpm.pos,"Max Planck plate 18: "&amp;$A4&amp;J$2,_xlpm.normal,IFERROR(INDEX(MASTER!$A:$A,MATCH(_xlpm.pos,MASTER!$J:$J,0))&amp;"_ser_0.20_"&amp;TEXT(INDEX(MASTER!$E:$E,MATCH(_xlpm.pos,MASTER!$J:$J,0)),"mmddyy"),""),_xlpm.slot,1632+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91" s="4" t="str">
        <f t="array" ref="K191">_xlfn.LET(_xlpm.pos,"Max Planck plate 18: "&amp;$A4&amp;K$2,_xlpm.normal,IFERROR(INDEX(MASTER!$A:$A,MATCH(_xlpm.pos,MASTER!$J:$J,0))&amp;"_ser_0.20_"&amp;TEXT(INDEX(MASTER!$E:$E,MATCH(_xlpm.pos,MASTER!$J:$J,0)),"mmddyy"),""),_xlpm.slot,1632+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91" s="4" t="str">
        <f t="array" ref="L191">_xlfn.LET(_xlpm.pos,"Max Planck plate 18: "&amp;$A4&amp;L$2,_xlpm.normal,IFERROR(INDEX(MASTER!$A:$A,MATCH(_xlpm.pos,MASTER!$J:$J,0))&amp;"_ser_0.20_"&amp;TEXT(INDEX(MASTER!$E:$E,MATCH(_xlpm.pos,MASTER!$J:$J,0)),"mmddyy"),""),_xlpm.slot,1632+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91" s="4" t="str">
        <f t="array" ref="M191">_xlfn.LET(_xlpm.pos,"Max Planck plate 18: "&amp;$A4&amp;M$2,_xlpm.normal,IFERROR(INDEX(MASTER!$A:$A,MATCH(_xlpm.pos,MASTER!$J:$J,0))&amp;"_ser_0.20_"&amp;TEXT(INDEX(MASTER!$E:$E,MATCH(_xlpm.pos,MASTER!$J:$J,0)),"mmddyy"),""),_xlpm.slot,1632+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92" spans="1:13" ht="22" customHeight="1" x14ac:dyDescent="0.3">
      <c r="A192" s="6" t="s">
        <v>32</v>
      </c>
      <c r="B192" s="4" t="str">
        <f t="array" ref="B192">_xlfn.LET(_xlpm.pos,"Max Planck plate 18: "&amp;$A5&amp;B$2,_xlpm.normal,IFERROR(INDEX(MASTER!$A:$A,MATCH(_xlpm.pos,MASTER!$J:$J,0))&amp;"_ser_0.20_"&amp;TEXT(INDEX(MASTER!$E:$E,MATCH(_xlpm.pos,MASTER!$J:$J,0)),"mmddyy"),""),_xlpm.slot,1632+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92" s="4" t="str">
        <f t="array" ref="C192">_xlfn.LET(_xlpm.pos,"Max Planck plate 18: "&amp;$A5&amp;C$2,_xlpm.normal,IFERROR(INDEX(MASTER!$A:$A,MATCH(_xlpm.pos,MASTER!$J:$J,0))&amp;"_ser_0.20_"&amp;TEXT(INDEX(MASTER!$E:$E,MATCH(_xlpm.pos,MASTER!$J:$J,0)),"mmddyy"),""),_xlpm.slot,1632+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92" s="4" t="str">
        <f t="array" ref="D192">_xlfn.LET(_xlpm.pos,"Max Planck plate 18: "&amp;$A5&amp;D$2,_xlpm.normal,IFERROR(INDEX(MASTER!$A:$A,MATCH(_xlpm.pos,MASTER!$J:$J,0))&amp;"_ser_0.20_"&amp;TEXT(INDEX(MASTER!$E:$E,MATCH(_xlpm.pos,MASTER!$J:$J,0)),"mmddyy"),""),_xlpm.slot,1632+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92" s="4" t="str">
        <f t="array" ref="E192">_xlfn.LET(_xlpm.pos,"Max Planck plate 18: "&amp;$A5&amp;E$2,_xlpm.normal,IFERROR(INDEX(MASTER!$A:$A,MATCH(_xlpm.pos,MASTER!$J:$J,0))&amp;"_ser_0.20_"&amp;TEXT(INDEX(MASTER!$E:$E,MATCH(_xlpm.pos,MASTER!$J:$J,0)),"mmddyy"),""),_xlpm.slot,1632+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92" s="4" t="str">
        <f t="array" ref="F192">_xlfn.LET(_xlpm.pos,"Max Planck plate 18: "&amp;$A5&amp;F$2,_xlpm.normal,IFERROR(INDEX(MASTER!$A:$A,MATCH(_xlpm.pos,MASTER!$J:$J,0))&amp;"_ser_0.20_"&amp;TEXT(INDEX(MASTER!$E:$E,MATCH(_xlpm.pos,MASTER!$J:$J,0)),"mmddyy"),""),_xlpm.slot,1632+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92" s="4" t="str">
        <f t="array" ref="G192">_xlfn.LET(_xlpm.pos,"Max Planck plate 18: "&amp;$A5&amp;G$2,_xlpm.normal,IFERROR(INDEX(MASTER!$A:$A,MATCH(_xlpm.pos,MASTER!$J:$J,0))&amp;"_ser_0.20_"&amp;TEXT(INDEX(MASTER!$E:$E,MATCH(_xlpm.pos,MASTER!$J:$J,0)),"mmddyy"),""),_xlpm.slot,1632+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92" s="4" t="str">
        <f t="array" ref="H192">_xlfn.LET(_xlpm.pos,"Max Planck plate 18: "&amp;$A5&amp;H$2,_xlpm.normal,IFERROR(INDEX(MASTER!$A:$A,MATCH(_xlpm.pos,MASTER!$J:$J,0))&amp;"_ser_0.20_"&amp;TEXT(INDEX(MASTER!$E:$E,MATCH(_xlpm.pos,MASTER!$J:$J,0)),"mmddyy"),""),_xlpm.slot,1632+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92" s="4" t="str">
        <f t="array" ref="I192">_xlfn.LET(_xlpm.pos,"Max Planck plate 18: "&amp;$A5&amp;I$2,_xlpm.normal,IFERROR(INDEX(MASTER!$A:$A,MATCH(_xlpm.pos,MASTER!$J:$J,0))&amp;"_ser_0.20_"&amp;TEXT(INDEX(MASTER!$E:$E,MATCH(_xlpm.pos,MASTER!$J:$J,0)),"mmddyy"),""),_xlpm.slot,1632+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92" s="4" t="str">
        <f t="array" ref="J192">_xlfn.LET(_xlpm.pos,"Max Planck plate 18: "&amp;$A5&amp;J$2,_xlpm.normal,IFERROR(INDEX(MASTER!$A:$A,MATCH(_xlpm.pos,MASTER!$J:$J,0))&amp;"_ser_0.20_"&amp;TEXT(INDEX(MASTER!$E:$E,MATCH(_xlpm.pos,MASTER!$J:$J,0)),"mmddyy"),""),_xlpm.slot,1632+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92" s="4" t="str">
        <f t="array" ref="K192">_xlfn.LET(_xlpm.pos,"Max Planck plate 18: "&amp;$A5&amp;K$2,_xlpm.normal,IFERROR(INDEX(MASTER!$A:$A,MATCH(_xlpm.pos,MASTER!$J:$J,0))&amp;"_ser_0.20_"&amp;TEXT(INDEX(MASTER!$E:$E,MATCH(_xlpm.pos,MASTER!$J:$J,0)),"mmddyy"),""),_xlpm.slot,1632+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92" s="4" t="str">
        <f t="array" ref="L192">_xlfn.LET(_xlpm.pos,"Max Planck plate 18: "&amp;$A5&amp;L$2,_xlpm.normal,IFERROR(INDEX(MASTER!$A:$A,MATCH(_xlpm.pos,MASTER!$J:$J,0))&amp;"_ser_0.20_"&amp;TEXT(INDEX(MASTER!$E:$E,MATCH(_xlpm.pos,MASTER!$J:$J,0)),"mmddyy"),""),_xlpm.slot,1632+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92" s="4" t="str">
        <f t="array" ref="M192">_xlfn.LET(_xlpm.pos,"Max Planck plate 18: "&amp;$A5&amp;M$2,_xlpm.normal,IFERROR(INDEX(MASTER!$A:$A,MATCH(_xlpm.pos,MASTER!$J:$J,0))&amp;"_ser_0.20_"&amp;TEXT(INDEX(MASTER!$E:$E,MATCH(_xlpm.pos,MASTER!$J:$J,0)),"mmddyy"),""),_xlpm.slot,1632+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93" spans="1:13" ht="22" customHeight="1" x14ac:dyDescent="0.3">
      <c r="A193" s="6" t="s">
        <v>33</v>
      </c>
      <c r="B193" s="4" t="str">
        <f t="array" ref="B193">_xlfn.LET(_xlpm.pos,"Max Planck plate 18: "&amp;$A6&amp;B$2,_xlpm.normal,IFERROR(INDEX(MASTER!$A:$A,MATCH(_xlpm.pos,MASTER!$J:$J,0))&amp;"_ser_0.20_"&amp;TEXT(INDEX(MASTER!$E:$E,MATCH(_xlpm.pos,MASTER!$J:$J,0)),"mmddyy"),""),_xlpm.slot,1632+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93" s="4" t="str">
        <f t="array" ref="C193">_xlfn.LET(_xlpm.pos,"Max Planck plate 18: "&amp;$A6&amp;C$2,_xlpm.normal,IFERROR(INDEX(MASTER!$A:$A,MATCH(_xlpm.pos,MASTER!$J:$J,0))&amp;"_ser_0.20_"&amp;TEXT(INDEX(MASTER!$E:$E,MATCH(_xlpm.pos,MASTER!$J:$J,0)),"mmddyy"),""),_xlpm.slot,1632+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93" s="4" t="str">
        <f t="array" ref="D193">_xlfn.LET(_xlpm.pos,"Max Planck plate 18: "&amp;$A6&amp;D$2,_xlpm.normal,IFERROR(INDEX(MASTER!$A:$A,MATCH(_xlpm.pos,MASTER!$J:$J,0))&amp;"_ser_0.20_"&amp;TEXT(INDEX(MASTER!$E:$E,MATCH(_xlpm.pos,MASTER!$J:$J,0)),"mmddyy"),""),_xlpm.slot,1632+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93" s="4" t="str">
        <f t="array" ref="E193">_xlfn.LET(_xlpm.pos,"Max Planck plate 18: "&amp;$A6&amp;E$2,_xlpm.normal,IFERROR(INDEX(MASTER!$A:$A,MATCH(_xlpm.pos,MASTER!$J:$J,0))&amp;"_ser_0.20_"&amp;TEXT(INDEX(MASTER!$E:$E,MATCH(_xlpm.pos,MASTER!$J:$J,0)),"mmddyy"),""),_xlpm.slot,1632+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93" s="4" t="str">
        <f t="array" ref="F193">_xlfn.LET(_xlpm.pos,"Max Planck plate 18: "&amp;$A6&amp;F$2,_xlpm.normal,IFERROR(INDEX(MASTER!$A:$A,MATCH(_xlpm.pos,MASTER!$J:$J,0))&amp;"_ser_0.20_"&amp;TEXT(INDEX(MASTER!$E:$E,MATCH(_xlpm.pos,MASTER!$J:$J,0)),"mmddyy"),""),_xlpm.slot,1632+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93" s="4" t="str">
        <f t="array" ref="G193">_xlfn.LET(_xlpm.pos,"Max Planck plate 18: "&amp;$A6&amp;G$2,_xlpm.normal,IFERROR(INDEX(MASTER!$A:$A,MATCH(_xlpm.pos,MASTER!$J:$J,0))&amp;"_ser_0.20_"&amp;TEXT(INDEX(MASTER!$E:$E,MATCH(_xlpm.pos,MASTER!$J:$J,0)),"mmddyy"),""),_xlpm.slot,1632+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93" s="4" t="str">
        <f t="array" ref="H193">_xlfn.LET(_xlpm.pos,"Max Planck plate 18: "&amp;$A6&amp;H$2,_xlpm.normal,IFERROR(INDEX(MASTER!$A:$A,MATCH(_xlpm.pos,MASTER!$J:$J,0))&amp;"_ser_0.20_"&amp;TEXT(INDEX(MASTER!$E:$E,MATCH(_xlpm.pos,MASTER!$J:$J,0)),"mmddyy"),""),_xlpm.slot,1632+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93" s="4" t="str">
        <f t="array" ref="I193">_xlfn.LET(_xlpm.pos,"Max Planck plate 18: "&amp;$A6&amp;I$2,_xlpm.normal,IFERROR(INDEX(MASTER!$A:$A,MATCH(_xlpm.pos,MASTER!$J:$J,0))&amp;"_ser_0.20_"&amp;TEXT(INDEX(MASTER!$E:$E,MATCH(_xlpm.pos,MASTER!$J:$J,0)),"mmddyy"),""),_xlpm.slot,1632+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93" s="4" t="str">
        <f t="array" ref="J193">_xlfn.LET(_xlpm.pos,"Max Planck plate 18: "&amp;$A6&amp;J$2,_xlpm.normal,IFERROR(INDEX(MASTER!$A:$A,MATCH(_xlpm.pos,MASTER!$J:$J,0))&amp;"_ser_0.20_"&amp;TEXT(INDEX(MASTER!$E:$E,MATCH(_xlpm.pos,MASTER!$J:$J,0)),"mmddyy"),""),_xlpm.slot,1632+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93" s="4" t="str">
        <f t="array" ref="K193">_xlfn.LET(_xlpm.pos,"Max Planck plate 18: "&amp;$A6&amp;K$2,_xlpm.normal,IFERROR(INDEX(MASTER!$A:$A,MATCH(_xlpm.pos,MASTER!$J:$J,0))&amp;"_ser_0.20_"&amp;TEXT(INDEX(MASTER!$E:$E,MATCH(_xlpm.pos,MASTER!$J:$J,0)),"mmddyy"),""),_xlpm.slot,1632+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93" s="4" t="str">
        <f t="array" ref="L193">_xlfn.LET(_xlpm.pos,"Max Planck plate 18: "&amp;$A6&amp;L$2,_xlpm.normal,IFERROR(INDEX(MASTER!$A:$A,MATCH(_xlpm.pos,MASTER!$J:$J,0))&amp;"_ser_0.20_"&amp;TEXT(INDEX(MASTER!$E:$E,MATCH(_xlpm.pos,MASTER!$J:$J,0)),"mmddyy"),""),_xlpm.slot,1632+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93" s="4" t="str">
        <f t="array" ref="M193">_xlfn.LET(_xlpm.pos,"Max Planck plate 18: "&amp;$A6&amp;M$2,_xlpm.normal,IFERROR(INDEX(MASTER!$A:$A,MATCH(_xlpm.pos,MASTER!$J:$J,0))&amp;"_ser_0.20_"&amp;TEXT(INDEX(MASTER!$E:$E,MATCH(_xlpm.pos,MASTER!$J:$J,0)),"mmddyy"),""),_xlpm.slot,1632+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94" spans="1:13" ht="22" customHeight="1" x14ac:dyDescent="0.3">
      <c r="A194" s="6" t="s">
        <v>34</v>
      </c>
      <c r="B194" s="4" t="str">
        <f t="array" ref="B194">_xlfn.LET(_xlpm.pos,"Max Planck plate 18: "&amp;$A7&amp;B$2,_xlpm.normal,IFERROR(INDEX(MASTER!$A:$A,MATCH(_xlpm.pos,MASTER!$J:$J,0))&amp;"_ser_0.20_"&amp;TEXT(INDEX(MASTER!$E:$E,MATCH(_xlpm.pos,MASTER!$J:$J,0)),"mmddyy"),""),_xlpm.slot,1632+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94" s="4" t="str">
        <f t="array" ref="C194">_xlfn.LET(_xlpm.pos,"Max Planck plate 18: "&amp;$A7&amp;C$2,_xlpm.normal,IFERROR(INDEX(MASTER!$A:$A,MATCH(_xlpm.pos,MASTER!$J:$J,0))&amp;"_ser_0.20_"&amp;TEXT(INDEX(MASTER!$E:$E,MATCH(_xlpm.pos,MASTER!$J:$J,0)),"mmddyy"),""),_xlpm.slot,1632+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94" s="4" t="str">
        <f t="array" ref="D194">_xlfn.LET(_xlpm.pos,"Max Planck plate 18: "&amp;$A7&amp;D$2,_xlpm.normal,IFERROR(INDEX(MASTER!$A:$A,MATCH(_xlpm.pos,MASTER!$J:$J,0))&amp;"_ser_0.20_"&amp;TEXT(INDEX(MASTER!$E:$E,MATCH(_xlpm.pos,MASTER!$J:$J,0)),"mmddyy"),""),_xlpm.slot,1632+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94" s="4" t="str">
        <f t="array" ref="E194">_xlfn.LET(_xlpm.pos,"Max Planck plate 18: "&amp;$A7&amp;E$2,_xlpm.normal,IFERROR(INDEX(MASTER!$A:$A,MATCH(_xlpm.pos,MASTER!$J:$J,0))&amp;"_ser_0.20_"&amp;TEXT(INDEX(MASTER!$E:$E,MATCH(_xlpm.pos,MASTER!$J:$J,0)),"mmddyy"),""),_xlpm.slot,1632+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94" s="4" t="str">
        <f t="array" ref="F194">_xlfn.LET(_xlpm.pos,"Max Planck plate 18: "&amp;$A7&amp;F$2,_xlpm.normal,IFERROR(INDEX(MASTER!$A:$A,MATCH(_xlpm.pos,MASTER!$J:$J,0))&amp;"_ser_0.20_"&amp;TEXT(INDEX(MASTER!$E:$E,MATCH(_xlpm.pos,MASTER!$J:$J,0)),"mmddyy"),""),_xlpm.slot,1632+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94" s="4" t="str">
        <f t="array" ref="G194">_xlfn.LET(_xlpm.pos,"Max Planck plate 18: "&amp;$A7&amp;G$2,_xlpm.normal,IFERROR(INDEX(MASTER!$A:$A,MATCH(_xlpm.pos,MASTER!$J:$J,0))&amp;"_ser_0.20_"&amp;TEXT(INDEX(MASTER!$E:$E,MATCH(_xlpm.pos,MASTER!$J:$J,0)),"mmddyy"),""),_xlpm.slot,1632+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94" s="4" t="str">
        <f t="array" ref="H194">_xlfn.LET(_xlpm.pos,"Max Planck plate 18: "&amp;$A7&amp;H$2,_xlpm.normal,IFERROR(INDEX(MASTER!$A:$A,MATCH(_xlpm.pos,MASTER!$J:$J,0))&amp;"_ser_0.20_"&amp;TEXT(INDEX(MASTER!$E:$E,MATCH(_xlpm.pos,MASTER!$J:$J,0)),"mmddyy"),""),_xlpm.slot,1632+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94" s="4" t="str">
        <f t="array" ref="I194">_xlfn.LET(_xlpm.pos,"Max Planck plate 18: "&amp;$A7&amp;I$2,_xlpm.normal,IFERROR(INDEX(MASTER!$A:$A,MATCH(_xlpm.pos,MASTER!$J:$J,0))&amp;"_ser_0.20_"&amp;TEXT(INDEX(MASTER!$E:$E,MATCH(_xlpm.pos,MASTER!$J:$J,0)),"mmddyy"),""),_xlpm.slot,1632+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94" s="4" t="str">
        <f t="array" ref="J194">_xlfn.LET(_xlpm.pos,"Max Planck plate 18: "&amp;$A7&amp;J$2,_xlpm.normal,IFERROR(INDEX(MASTER!$A:$A,MATCH(_xlpm.pos,MASTER!$J:$J,0))&amp;"_ser_0.20_"&amp;TEXT(INDEX(MASTER!$E:$E,MATCH(_xlpm.pos,MASTER!$J:$J,0)),"mmddyy"),""),_xlpm.slot,1632+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94" s="4" t="str">
        <f t="array" ref="K194">_xlfn.LET(_xlpm.pos,"Max Planck plate 18: "&amp;$A7&amp;K$2,_xlpm.normal,IFERROR(INDEX(MASTER!$A:$A,MATCH(_xlpm.pos,MASTER!$J:$J,0))&amp;"_ser_0.20_"&amp;TEXT(INDEX(MASTER!$E:$E,MATCH(_xlpm.pos,MASTER!$J:$J,0)),"mmddyy"),""),_xlpm.slot,1632+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94" s="4" t="str">
        <f t="array" ref="L194">_xlfn.LET(_xlpm.pos,"Max Planck plate 18: "&amp;$A7&amp;L$2,_xlpm.normal,IFERROR(INDEX(MASTER!$A:$A,MATCH(_xlpm.pos,MASTER!$J:$J,0))&amp;"_ser_0.20_"&amp;TEXT(INDEX(MASTER!$E:$E,MATCH(_xlpm.pos,MASTER!$J:$J,0)),"mmddyy"),""),_xlpm.slot,1632+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94" s="4" t="str">
        <f t="array" ref="M194">_xlfn.LET(_xlpm.pos,"Max Planck plate 18: "&amp;$A7&amp;M$2,_xlpm.normal,IFERROR(INDEX(MASTER!$A:$A,MATCH(_xlpm.pos,MASTER!$J:$J,0))&amp;"_ser_0.20_"&amp;TEXT(INDEX(MASTER!$E:$E,MATCH(_xlpm.pos,MASTER!$J:$J,0)),"mmddyy"),""),_xlpm.slot,1632+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95" spans="1:13" ht="22" customHeight="1" x14ac:dyDescent="0.3">
      <c r="A195" s="6" t="s">
        <v>15</v>
      </c>
      <c r="B195" s="4" t="str">
        <f t="array" ref="B195">_xlfn.LET(_xlpm.pos,"Max Planck plate 18: "&amp;$A8&amp;B$2,_xlpm.normal,IFERROR(INDEX(MASTER!$A:$A,MATCH(_xlpm.pos,MASTER!$J:$J,0))&amp;"_ser_0.20_"&amp;TEXT(INDEX(MASTER!$E:$E,MATCH(_xlpm.pos,MASTER!$J:$J,0)),"mmddyy"),""),_xlpm.slot,1632+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95" s="4" t="str">
        <f t="array" ref="C195">_xlfn.LET(_xlpm.pos,"Max Planck plate 18: "&amp;$A8&amp;C$2,_xlpm.normal,IFERROR(INDEX(MASTER!$A:$A,MATCH(_xlpm.pos,MASTER!$J:$J,0))&amp;"_ser_0.20_"&amp;TEXT(INDEX(MASTER!$E:$E,MATCH(_xlpm.pos,MASTER!$J:$J,0)),"mmddyy"),""),_xlpm.slot,1632+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95" s="4" t="str">
        <f t="array" ref="D195">_xlfn.LET(_xlpm.pos,"Max Planck plate 18: "&amp;$A8&amp;D$2,_xlpm.normal,IFERROR(INDEX(MASTER!$A:$A,MATCH(_xlpm.pos,MASTER!$J:$J,0))&amp;"_ser_0.20_"&amp;TEXT(INDEX(MASTER!$E:$E,MATCH(_xlpm.pos,MASTER!$J:$J,0)),"mmddyy"),""),_xlpm.slot,1632+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95" s="4" t="str">
        <f t="array" ref="E195">_xlfn.LET(_xlpm.pos,"Max Planck plate 18: "&amp;$A8&amp;E$2,_xlpm.normal,IFERROR(INDEX(MASTER!$A:$A,MATCH(_xlpm.pos,MASTER!$J:$J,0))&amp;"_ser_0.20_"&amp;TEXT(INDEX(MASTER!$E:$E,MATCH(_xlpm.pos,MASTER!$J:$J,0)),"mmddyy"),""),_xlpm.slot,1632+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95" s="4" t="str">
        <f t="array" ref="F195">_xlfn.LET(_xlpm.pos,"Max Planck plate 18: "&amp;$A8&amp;F$2,_xlpm.normal,IFERROR(INDEX(MASTER!$A:$A,MATCH(_xlpm.pos,MASTER!$J:$J,0))&amp;"_ser_0.20_"&amp;TEXT(INDEX(MASTER!$E:$E,MATCH(_xlpm.pos,MASTER!$J:$J,0)),"mmddyy"),""),_xlpm.slot,1632+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95" s="4" t="str">
        <f t="array" ref="G195">_xlfn.LET(_xlpm.pos,"Max Planck plate 18: "&amp;$A8&amp;G$2,_xlpm.normal,IFERROR(INDEX(MASTER!$A:$A,MATCH(_xlpm.pos,MASTER!$J:$J,0))&amp;"_ser_0.20_"&amp;TEXT(INDEX(MASTER!$E:$E,MATCH(_xlpm.pos,MASTER!$J:$J,0)),"mmddyy"),""),_xlpm.slot,1632+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95" s="4" t="str">
        <f t="array" ref="H195">_xlfn.LET(_xlpm.pos,"Max Planck plate 18: "&amp;$A8&amp;H$2,_xlpm.normal,IFERROR(INDEX(MASTER!$A:$A,MATCH(_xlpm.pos,MASTER!$J:$J,0))&amp;"_ser_0.20_"&amp;TEXT(INDEX(MASTER!$E:$E,MATCH(_xlpm.pos,MASTER!$J:$J,0)),"mmddyy"),""),_xlpm.slot,1632+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95" s="4" t="str">
        <f t="array" ref="I195">_xlfn.LET(_xlpm.pos,"Max Planck plate 18: "&amp;$A8&amp;I$2,_xlpm.normal,IFERROR(INDEX(MASTER!$A:$A,MATCH(_xlpm.pos,MASTER!$J:$J,0))&amp;"_ser_0.20_"&amp;TEXT(INDEX(MASTER!$E:$E,MATCH(_xlpm.pos,MASTER!$J:$J,0)),"mmddyy"),""),_xlpm.slot,1632+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95" s="4" t="str">
        <f t="array" ref="J195">_xlfn.LET(_xlpm.pos,"Max Planck plate 18: "&amp;$A8&amp;J$2,_xlpm.normal,IFERROR(INDEX(MASTER!$A:$A,MATCH(_xlpm.pos,MASTER!$J:$J,0))&amp;"_ser_0.20_"&amp;TEXT(INDEX(MASTER!$E:$E,MATCH(_xlpm.pos,MASTER!$J:$J,0)),"mmddyy"),""),_xlpm.slot,1632+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95" s="4" t="str">
        <f t="array" ref="K195">_xlfn.LET(_xlpm.pos,"Max Planck plate 18: "&amp;$A8&amp;K$2,_xlpm.normal,IFERROR(INDEX(MASTER!$A:$A,MATCH(_xlpm.pos,MASTER!$J:$J,0))&amp;"_ser_0.20_"&amp;TEXT(INDEX(MASTER!$E:$E,MATCH(_xlpm.pos,MASTER!$J:$J,0)),"mmddyy"),""),_xlpm.slot,1632+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95" s="4" t="str">
        <f t="array" ref="L195">_xlfn.LET(_xlpm.pos,"Max Planck plate 18: "&amp;$A8&amp;L$2,_xlpm.normal,IFERROR(INDEX(MASTER!$A:$A,MATCH(_xlpm.pos,MASTER!$J:$J,0))&amp;"_ser_0.20_"&amp;TEXT(INDEX(MASTER!$E:$E,MATCH(_xlpm.pos,MASTER!$J:$J,0)),"mmddyy"),""),_xlpm.slot,1632+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95" s="4" t="str">
        <f t="array" ref="M195">_xlfn.LET(_xlpm.pos,"Max Planck plate 18: "&amp;$A8&amp;M$2,_xlpm.normal,IFERROR(INDEX(MASTER!$A:$A,MATCH(_xlpm.pos,MASTER!$J:$J,0))&amp;"_ser_0.20_"&amp;TEXT(INDEX(MASTER!$E:$E,MATCH(_xlpm.pos,MASTER!$J:$J,0)),"mmddyy"),""),_xlpm.slot,1632+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96" spans="1:13" ht="22" customHeight="1" x14ac:dyDescent="0.3">
      <c r="A196" s="6" t="s">
        <v>35</v>
      </c>
      <c r="B196" s="4" t="str">
        <f t="array" ref="B196">_xlfn.LET(_xlpm.pos,"Max Planck plate 18: "&amp;$A9&amp;B$2,_xlpm.normal,IFERROR(INDEX(MASTER!$A:$A,MATCH(_xlpm.pos,MASTER!$J:$J,0))&amp;"_ser_0.20_"&amp;TEXT(INDEX(MASTER!$E:$E,MATCH(_xlpm.pos,MASTER!$J:$J,0)),"mmddyy"),""),_xlpm.slot,1632+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96" s="4" t="str">
        <f t="array" ref="C196">_xlfn.LET(_xlpm.pos,"Max Planck plate 18: "&amp;$A9&amp;C$2,_xlpm.normal,IFERROR(INDEX(MASTER!$A:$A,MATCH(_xlpm.pos,MASTER!$J:$J,0))&amp;"_ser_0.20_"&amp;TEXT(INDEX(MASTER!$E:$E,MATCH(_xlpm.pos,MASTER!$J:$J,0)),"mmddyy"),""),_xlpm.slot,1632+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96" s="4" t="str">
        <f t="array" ref="D196">_xlfn.LET(_xlpm.pos,"Max Planck plate 18: "&amp;$A9&amp;D$2,_xlpm.normal,IFERROR(INDEX(MASTER!$A:$A,MATCH(_xlpm.pos,MASTER!$J:$J,0))&amp;"_ser_0.20_"&amp;TEXT(INDEX(MASTER!$E:$E,MATCH(_xlpm.pos,MASTER!$J:$J,0)),"mmddyy"),""),_xlpm.slot,1632+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96" s="4" t="str">
        <f t="array" ref="E196">_xlfn.LET(_xlpm.pos,"Max Planck plate 18: "&amp;$A9&amp;E$2,_xlpm.normal,IFERROR(INDEX(MASTER!$A:$A,MATCH(_xlpm.pos,MASTER!$J:$J,0))&amp;"_ser_0.20_"&amp;TEXT(INDEX(MASTER!$E:$E,MATCH(_xlpm.pos,MASTER!$J:$J,0)),"mmddyy"),""),_xlpm.slot,1632+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96" s="4" t="str">
        <f t="array" ref="F196">_xlfn.LET(_xlpm.pos,"Max Planck plate 18: "&amp;$A9&amp;F$2,_xlpm.normal,IFERROR(INDEX(MASTER!$A:$A,MATCH(_xlpm.pos,MASTER!$J:$J,0))&amp;"_ser_0.20_"&amp;TEXT(INDEX(MASTER!$E:$E,MATCH(_xlpm.pos,MASTER!$J:$J,0)),"mmddyy"),""),_xlpm.slot,1632+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96" s="4" t="str">
        <f t="array" ref="G196">_xlfn.LET(_xlpm.pos,"Max Planck plate 18: "&amp;$A9&amp;G$2,_xlpm.normal,IFERROR(INDEX(MASTER!$A:$A,MATCH(_xlpm.pos,MASTER!$J:$J,0))&amp;"_ser_0.20_"&amp;TEXT(INDEX(MASTER!$E:$E,MATCH(_xlpm.pos,MASTER!$J:$J,0)),"mmddyy"),""),_xlpm.slot,1632+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96" s="4" t="str">
        <f t="array" ref="H196">_xlfn.LET(_xlpm.pos,"Max Planck plate 18: "&amp;$A9&amp;H$2,_xlpm.normal,IFERROR(INDEX(MASTER!$A:$A,MATCH(_xlpm.pos,MASTER!$J:$J,0))&amp;"_ser_0.20_"&amp;TEXT(INDEX(MASTER!$E:$E,MATCH(_xlpm.pos,MASTER!$J:$J,0)),"mmddyy"),""),_xlpm.slot,1632+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96" s="4" t="str">
        <f t="array" ref="I196">_xlfn.LET(_xlpm.pos,"Max Planck plate 18: "&amp;$A9&amp;I$2,_xlpm.normal,IFERROR(INDEX(MASTER!$A:$A,MATCH(_xlpm.pos,MASTER!$J:$J,0))&amp;"_ser_0.20_"&amp;TEXT(INDEX(MASTER!$E:$E,MATCH(_xlpm.pos,MASTER!$J:$J,0)),"mmddyy"),""),_xlpm.slot,1632+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96" s="4" t="str">
        <f t="array" ref="J196">_xlfn.LET(_xlpm.pos,"Max Planck plate 18: "&amp;$A9&amp;J$2,_xlpm.normal,IFERROR(INDEX(MASTER!$A:$A,MATCH(_xlpm.pos,MASTER!$J:$J,0))&amp;"_ser_0.20_"&amp;TEXT(INDEX(MASTER!$E:$E,MATCH(_xlpm.pos,MASTER!$J:$J,0)),"mmddyy"),""),_xlpm.slot,1632+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96" s="4" t="str">
        <f t="array" ref="K196">_xlfn.LET(_xlpm.pos,"Max Planck plate 18: "&amp;$A9&amp;K$2,_xlpm.normal,IFERROR(INDEX(MASTER!$A:$A,MATCH(_xlpm.pos,MASTER!$J:$J,0))&amp;"_ser_0.20_"&amp;TEXT(INDEX(MASTER!$E:$E,MATCH(_xlpm.pos,MASTER!$J:$J,0)),"mmddyy"),""),_xlpm.slot,1632+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96" s="4" t="str">
        <f t="array" ref="L196">_xlfn.LET(_xlpm.pos,"Max Planck plate 18: "&amp;$A9&amp;L$2,_xlpm.normal,IFERROR(INDEX(MASTER!$A:$A,MATCH(_xlpm.pos,MASTER!$J:$J,0))&amp;"_ser_0.20_"&amp;TEXT(INDEX(MASTER!$E:$E,MATCH(_xlpm.pos,MASTER!$J:$J,0)),"mmddyy"),""),_xlpm.slot,1632+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96" s="4" t="str">
        <f t="array" ref="M196">_xlfn.LET(_xlpm.pos,"Max Planck plate 18: "&amp;$A9&amp;M$2,_xlpm.normal,IFERROR(INDEX(MASTER!$A:$A,MATCH(_xlpm.pos,MASTER!$J:$J,0))&amp;"_ser_0.20_"&amp;TEXT(INDEX(MASTER!$E:$E,MATCH(_xlpm.pos,MASTER!$J:$J,0)),"mmddyy"),""),_xlpm.slot,1632+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97" spans="1:13" ht="22" customHeight="1" x14ac:dyDescent="0.3">
      <c r="A197" s="6" t="s">
        <v>36</v>
      </c>
      <c r="B197" s="4" t="str">
        <f t="array" ref="B197">_xlfn.LET(_xlpm.pos,"Max Planck plate 18: "&amp;$A10&amp;B$2,_xlpm.normal,IFERROR(INDEX(MASTER!$A:$A,MATCH(_xlpm.pos,MASTER!$J:$J,0))&amp;"_ser_0.20_"&amp;TEXT(INDEX(MASTER!$E:$E,MATCH(_xlpm.pos,MASTER!$J:$J,0)),"mmddyy"),""),_xlpm.slot,1632+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197" s="4" t="str">
        <f t="array" ref="C197">_xlfn.LET(_xlpm.pos,"Max Planck plate 18: "&amp;$A10&amp;C$2,_xlpm.normal,IFERROR(INDEX(MASTER!$A:$A,MATCH(_xlpm.pos,MASTER!$J:$J,0))&amp;"_ser_0.20_"&amp;TEXT(INDEX(MASTER!$E:$E,MATCH(_xlpm.pos,MASTER!$J:$J,0)),"mmddyy"),""),_xlpm.slot,1632+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197" s="4" t="str">
        <f t="array" ref="D197">_xlfn.LET(_xlpm.pos,"Max Planck plate 18: "&amp;$A10&amp;D$2,_xlpm.normal,IFERROR(INDEX(MASTER!$A:$A,MATCH(_xlpm.pos,MASTER!$J:$J,0))&amp;"_ser_0.20_"&amp;TEXT(INDEX(MASTER!$E:$E,MATCH(_xlpm.pos,MASTER!$J:$J,0)),"mmddyy"),""),_xlpm.slot,1632+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197" s="4" t="str">
        <f t="array" ref="E197">_xlfn.LET(_xlpm.pos,"Max Planck plate 18: "&amp;$A10&amp;E$2,_xlpm.normal,IFERROR(INDEX(MASTER!$A:$A,MATCH(_xlpm.pos,MASTER!$J:$J,0))&amp;"_ser_0.20_"&amp;TEXT(INDEX(MASTER!$E:$E,MATCH(_xlpm.pos,MASTER!$J:$J,0)),"mmddyy"),""),_xlpm.slot,1632+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197" s="4" t="str">
        <f t="array" ref="F197">_xlfn.LET(_xlpm.pos,"Max Planck plate 18: "&amp;$A10&amp;F$2,_xlpm.normal,IFERROR(INDEX(MASTER!$A:$A,MATCH(_xlpm.pos,MASTER!$J:$J,0))&amp;"_ser_0.20_"&amp;TEXT(INDEX(MASTER!$E:$E,MATCH(_xlpm.pos,MASTER!$J:$J,0)),"mmddyy"),""),_xlpm.slot,1632+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197" s="4" t="str">
        <f t="array" ref="G197">_xlfn.LET(_xlpm.pos,"Max Planck plate 18: "&amp;$A10&amp;G$2,_xlpm.normal,IFERROR(INDEX(MASTER!$A:$A,MATCH(_xlpm.pos,MASTER!$J:$J,0))&amp;"_ser_0.20_"&amp;TEXT(INDEX(MASTER!$E:$E,MATCH(_xlpm.pos,MASTER!$J:$J,0)),"mmddyy"),""),_xlpm.slot,1632+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197" s="4" t="str">
        <f t="array" ref="H197">_xlfn.LET(_xlpm.pos,"Max Planck plate 18: "&amp;$A10&amp;H$2,_xlpm.normal,IFERROR(INDEX(MASTER!$A:$A,MATCH(_xlpm.pos,MASTER!$J:$J,0))&amp;"_ser_0.20_"&amp;TEXT(INDEX(MASTER!$E:$E,MATCH(_xlpm.pos,MASTER!$J:$J,0)),"mmddyy"),""),_xlpm.slot,1632+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197" s="4" t="str">
        <f t="array" ref="I197">_xlfn.LET(_xlpm.pos,"Max Planck plate 18: "&amp;$A10&amp;I$2,_xlpm.normal,IFERROR(INDEX(MASTER!$A:$A,MATCH(_xlpm.pos,MASTER!$J:$J,0))&amp;"_ser_0.20_"&amp;TEXT(INDEX(MASTER!$E:$E,MATCH(_xlpm.pos,MASTER!$J:$J,0)),"mmddyy"),""),_xlpm.slot,1632+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197" s="4" t="str">
        <f t="array" ref="J197">_xlfn.LET(_xlpm.pos,"Max Planck plate 18: "&amp;$A10&amp;J$2,_xlpm.normal,IFERROR(INDEX(MASTER!$A:$A,MATCH(_xlpm.pos,MASTER!$J:$J,0))&amp;"_ser_0.20_"&amp;TEXT(INDEX(MASTER!$E:$E,MATCH(_xlpm.pos,MASTER!$J:$J,0)),"mmddyy"),""),_xlpm.slot,1632+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197" s="4" t="str">
        <f t="array" ref="K197">_xlfn.LET(_xlpm.pos,"Max Planck plate 18: "&amp;$A10&amp;K$2,_xlpm.normal,IFERROR(INDEX(MASTER!$A:$A,MATCH(_xlpm.pos,MASTER!$J:$J,0))&amp;"_ser_0.20_"&amp;TEXT(INDEX(MASTER!$E:$E,MATCH(_xlpm.pos,MASTER!$J:$J,0)),"mmddyy"),""),_xlpm.slot,1632+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197" s="4" t="str">
        <f t="array" ref="L197">_xlfn.LET(_xlpm.pos,"Max Planck plate 18: "&amp;$A10&amp;L$2,_xlpm.normal,IFERROR(INDEX(MASTER!$A:$A,MATCH(_xlpm.pos,MASTER!$J:$J,0))&amp;"_ser_0.20_"&amp;TEXT(INDEX(MASTER!$E:$E,MATCH(_xlpm.pos,MASTER!$J:$J,0)),"mmddyy"),""),_xlpm.slot,1632+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197" s="4" t="str">
        <f t="array" ref="M197">_xlfn.LET(_xlpm.pos,"Max Planck plate 18: "&amp;$A10&amp;M$2,_xlpm.normal,IFERROR(INDEX(MASTER!$A:$A,MATCH(_xlpm.pos,MASTER!$J:$J,0))&amp;"_ser_0.20_"&amp;TEXT(INDEX(MASTER!$E:$E,MATCH(_xlpm.pos,MASTER!$J:$J,0)),"mmddyy"),""),_xlpm.slot,1632+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198" spans="1:13" ht="22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ht="22" customHeight="1" x14ac:dyDescent="0.35">
      <c r="A199" s="5"/>
      <c r="B199" s="31" t="s">
        <v>96</v>
      </c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3"/>
    </row>
    <row r="200" spans="1:13" ht="22" customHeight="1" x14ac:dyDescent="0.3">
      <c r="A200" s="5"/>
      <c r="B200" s="6">
        <v>1</v>
      </c>
      <c r="C200" s="6">
        <v>2</v>
      </c>
      <c r="D200" s="6">
        <v>3</v>
      </c>
      <c r="E200" s="6">
        <v>4</v>
      </c>
      <c r="F200" s="6">
        <v>5</v>
      </c>
      <c r="G200" s="6">
        <v>6</v>
      </c>
      <c r="H200" s="6">
        <v>7</v>
      </c>
      <c r="I200" s="6">
        <v>8</v>
      </c>
      <c r="J200" s="6">
        <v>9</v>
      </c>
      <c r="K200" s="6">
        <v>10</v>
      </c>
      <c r="L200" s="6">
        <v>11</v>
      </c>
      <c r="M200" s="6">
        <v>12</v>
      </c>
    </row>
    <row r="201" spans="1:13" ht="22" customHeight="1" x14ac:dyDescent="0.3">
      <c r="A201" s="6" t="s">
        <v>30</v>
      </c>
      <c r="B201" s="4" t="str">
        <f t="array" ref="B201">_xlfn.LET(_xlpm.pos,"Max Planck plate 19: "&amp;$A3&amp;B$2,_xlpm.normal,IFERROR(INDEX(MASTER!$A:$A,MATCH(_xlpm.pos,MASTER!$J:$J,0))&amp;"_ser_0.20_"&amp;TEXT(INDEX(MASTER!$E:$E,MATCH(_xlpm.pos,MASTER!$J:$J,0)),"mmddyy"),""),_xlpm.slot,1728+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01" s="4" t="str">
        <f t="array" ref="C201">_xlfn.LET(_xlpm.pos,"Max Planck plate 19: "&amp;$A3&amp;C$2,_xlpm.normal,IFERROR(INDEX(MASTER!$A:$A,MATCH(_xlpm.pos,MASTER!$J:$J,0))&amp;"_ser_0.20_"&amp;TEXT(INDEX(MASTER!$E:$E,MATCH(_xlpm.pos,MASTER!$J:$J,0)),"mmddyy"),""),_xlpm.slot,1728+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01" s="4" t="str">
        <f t="array" ref="D201">_xlfn.LET(_xlpm.pos,"Max Planck plate 19: "&amp;$A3&amp;D$2,_xlpm.normal,IFERROR(INDEX(MASTER!$A:$A,MATCH(_xlpm.pos,MASTER!$J:$J,0))&amp;"_ser_0.20_"&amp;TEXT(INDEX(MASTER!$E:$E,MATCH(_xlpm.pos,MASTER!$J:$J,0)),"mmddyy"),""),_xlpm.slot,1728+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01" s="4" t="str">
        <f t="array" ref="E201">_xlfn.LET(_xlpm.pos,"Max Planck plate 19: "&amp;$A3&amp;E$2,_xlpm.normal,IFERROR(INDEX(MASTER!$A:$A,MATCH(_xlpm.pos,MASTER!$J:$J,0))&amp;"_ser_0.20_"&amp;TEXT(INDEX(MASTER!$E:$E,MATCH(_xlpm.pos,MASTER!$J:$J,0)),"mmddyy"),""),_xlpm.slot,1728+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01" s="4" t="str">
        <f t="array" ref="F201">_xlfn.LET(_xlpm.pos,"Max Planck plate 19: "&amp;$A3&amp;F$2,_xlpm.normal,IFERROR(INDEX(MASTER!$A:$A,MATCH(_xlpm.pos,MASTER!$J:$J,0))&amp;"_ser_0.20_"&amp;TEXT(INDEX(MASTER!$E:$E,MATCH(_xlpm.pos,MASTER!$J:$J,0)),"mmddyy"),""),_xlpm.slot,1728+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01" s="4" t="str">
        <f t="array" ref="G201">_xlfn.LET(_xlpm.pos,"Max Planck plate 19: "&amp;$A3&amp;G$2,_xlpm.normal,IFERROR(INDEX(MASTER!$A:$A,MATCH(_xlpm.pos,MASTER!$J:$J,0))&amp;"_ser_0.20_"&amp;TEXT(INDEX(MASTER!$E:$E,MATCH(_xlpm.pos,MASTER!$J:$J,0)),"mmddyy"),""),_xlpm.slot,1728+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01" s="4" t="str">
        <f t="array" ref="H201">_xlfn.LET(_xlpm.pos,"Max Planck plate 19: "&amp;$A3&amp;H$2,_xlpm.normal,IFERROR(INDEX(MASTER!$A:$A,MATCH(_xlpm.pos,MASTER!$J:$J,0))&amp;"_ser_0.20_"&amp;TEXT(INDEX(MASTER!$E:$E,MATCH(_xlpm.pos,MASTER!$J:$J,0)),"mmddyy"),""),_xlpm.slot,1728+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01" s="4" t="str">
        <f t="array" ref="I201">_xlfn.LET(_xlpm.pos,"Max Planck plate 19: "&amp;$A3&amp;I$2,_xlpm.normal,IFERROR(INDEX(MASTER!$A:$A,MATCH(_xlpm.pos,MASTER!$J:$J,0))&amp;"_ser_0.20_"&amp;TEXT(INDEX(MASTER!$E:$E,MATCH(_xlpm.pos,MASTER!$J:$J,0)),"mmddyy"),""),_xlpm.slot,1728+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01" s="4" t="str">
        <f t="array" ref="J201">_xlfn.LET(_xlpm.pos,"Max Planck plate 19: "&amp;$A3&amp;J$2,_xlpm.normal,IFERROR(INDEX(MASTER!$A:$A,MATCH(_xlpm.pos,MASTER!$J:$J,0))&amp;"_ser_0.20_"&amp;TEXT(INDEX(MASTER!$E:$E,MATCH(_xlpm.pos,MASTER!$J:$J,0)),"mmddyy"),""),_xlpm.slot,1728+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01" s="4" t="str">
        <f t="array" ref="K201">_xlfn.LET(_xlpm.pos,"Max Planck plate 19: "&amp;$A3&amp;K$2,_xlpm.normal,IFERROR(INDEX(MASTER!$A:$A,MATCH(_xlpm.pos,MASTER!$J:$J,0))&amp;"_ser_0.20_"&amp;TEXT(INDEX(MASTER!$E:$E,MATCH(_xlpm.pos,MASTER!$J:$J,0)),"mmddyy"),""),_xlpm.slot,1728+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01" s="4" t="str">
        <f t="array" ref="L201">_xlfn.LET(_xlpm.pos,"Max Planck plate 19: "&amp;$A3&amp;L$2,_xlpm.normal,IFERROR(INDEX(MASTER!$A:$A,MATCH(_xlpm.pos,MASTER!$J:$J,0))&amp;"_ser_0.20_"&amp;TEXT(INDEX(MASTER!$E:$E,MATCH(_xlpm.pos,MASTER!$J:$J,0)),"mmddyy"),""),_xlpm.slot,1728+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01" s="4" t="str">
        <f t="array" ref="M201">_xlfn.LET(_xlpm.pos,"Max Planck plate 19: "&amp;$A3&amp;M$2,_xlpm.normal,IFERROR(INDEX(MASTER!$A:$A,MATCH(_xlpm.pos,MASTER!$J:$J,0))&amp;"_ser_0.20_"&amp;TEXT(INDEX(MASTER!$E:$E,MATCH(_xlpm.pos,MASTER!$J:$J,0)),"mmddyy"),""),_xlpm.slot,1728+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02" spans="1:13" ht="22" customHeight="1" x14ac:dyDescent="0.3">
      <c r="A202" s="6" t="s">
        <v>31</v>
      </c>
      <c r="B202" s="4" t="str">
        <f t="array" ref="B202">_xlfn.LET(_xlpm.pos,"Max Planck plate 19: "&amp;$A4&amp;B$2,_xlpm.normal,IFERROR(INDEX(MASTER!$A:$A,MATCH(_xlpm.pos,MASTER!$J:$J,0))&amp;"_ser_0.20_"&amp;TEXT(INDEX(MASTER!$E:$E,MATCH(_xlpm.pos,MASTER!$J:$J,0)),"mmddyy"),""),_xlpm.slot,1728+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02" s="4" t="str">
        <f t="array" ref="C202">_xlfn.LET(_xlpm.pos,"Max Planck plate 19: "&amp;$A4&amp;C$2,_xlpm.normal,IFERROR(INDEX(MASTER!$A:$A,MATCH(_xlpm.pos,MASTER!$J:$J,0))&amp;"_ser_0.20_"&amp;TEXT(INDEX(MASTER!$E:$E,MATCH(_xlpm.pos,MASTER!$J:$J,0)),"mmddyy"),""),_xlpm.slot,1728+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02" s="4" t="str">
        <f t="array" ref="D202">_xlfn.LET(_xlpm.pos,"Max Planck plate 19: "&amp;$A4&amp;D$2,_xlpm.normal,IFERROR(INDEX(MASTER!$A:$A,MATCH(_xlpm.pos,MASTER!$J:$J,0))&amp;"_ser_0.20_"&amp;TEXT(INDEX(MASTER!$E:$E,MATCH(_xlpm.pos,MASTER!$J:$J,0)),"mmddyy"),""),_xlpm.slot,1728+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02" s="4" t="str">
        <f t="array" ref="E202">_xlfn.LET(_xlpm.pos,"Max Planck plate 19: "&amp;$A4&amp;E$2,_xlpm.normal,IFERROR(INDEX(MASTER!$A:$A,MATCH(_xlpm.pos,MASTER!$J:$J,0))&amp;"_ser_0.20_"&amp;TEXT(INDEX(MASTER!$E:$E,MATCH(_xlpm.pos,MASTER!$J:$J,0)),"mmddyy"),""),_xlpm.slot,1728+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02" s="4" t="str">
        <f t="array" ref="F202">_xlfn.LET(_xlpm.pos,"Max Planck plate 19: "&amp;$A4&amp;F$2,_xlpm.normal,IFERROR(INDEX(MASTER!$A:$A,MATCH(_xlpm.pos,MASTER!$J:$J,0))&amp;"_ser_0.20_"&amp;TEXT(INDEX(MASTER!$E:$E,MATCH(_xlpm.pos,MASTER!$J:$J,0)),"mmddyy"),""),_xlpm.slot,1728+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02" s="4" t="str">
        <f t="array" ref="G202">_xlfn.LET(_xlpm.pos,"Max Planck plate 19: "&amp;$A4&amp;G$2,_xlpm.normal,IFERROR(INDEX(MASTER!$A:$A,MATCH(_xlpm.pos,MASTER!$J:$J,0))&amp;"_ser_0.20_"&amp;TEXT(INDEX(MASTER!$E:$E,MATCH(_xlpm.pos,MASTER!$J:$J,0)),"mmddyy"),""),_xlpm.slot,1728+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02" s="4" t="str">
        <f t="array" ref="H202">_xlfn.LET(_xlpm.pos,"Max Planck plate 19: "&amp;$A4&amp;H$2,_xlpm.normal,IFERROR(INDEX(MASTER!$A:$A,MATCH(_xlpm.pos,MASTER!$J:$J,0))&amp;"_ser_0.20_"&amp;TEXT(INDEX(MASTER!$E:$E,MATCH(_xlpm.pos,MASTER!$J:$J,0)),"mmddyy"),""),_xlpm.slot,1728+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02" s="4" t="str">
        <f t="array" ref="I202">_xlfn.LET(_xlpm.pos,"Max Planck plate 19: "&amp;$A4&amp;I$2,_xlpm.normal,IFERROR(INDEX(MASTER!$A:$A,MATCH(_xlpm.pos,MASTER!$J:$J,0))&amp;"_ser_0.20_"&amp;TEXT(INDEX(MASTER!$E:$E,MATCH(_xlpm.pos,MASTER!$J:$J,0)),"mmddyy"),""),_xlpm.slot,1728+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02" s="4" t="str">
        <f t="array" ref="J202">_xlfn.LET(_xlpm.pos,"Max Planck plate 19: "&amp;$A4&amp;J$2,_xlpm.normal,IFERROR(INDEX(MASTER!$A:$A,MATCH(_xlpm.pos,MASTER!$J:$J,0))&amp;"_ser_0.20_"&amp;TEXT(INDEX(MASTER!$E:$E,MATCH(_xlpm.pos,MASTER!$J:$J,0)),"mmddyy"),""),_xlpm.slot,1728+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02" s="4" t="str">
        <f t="array" ref="K202">_xlfn.LET(_xlpm.pos,"Max Planck plate 19: "&amp;$A4&amp;K$2,_xlpm.normal,IFERROR(INDEX(MASTER!$A:$A,MATCH(_xlpm.pos,MASTER!$J:$J,0))&amp;"_ser_0.20_"&amp;TEXT(INDEX(MASTER!$E:$E,MATCH(_xlpm.pos,MASTER!$J:$J,0)),"mmddyy"),""),_xlpm.slot,1728+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02" s="4" t="str">
        <f t="array" ref="L202">_xlfn.LET(_xlpm.pos,"Max Planck plate 19: "&amp;$A4&amp;L$2,_xlpm.normal,IFERROR(INDEX(MASTER!$A:$A,MATCH(_xlpm.pos,MASTER!$J:$J,0))&amp;"_ser_0.20_"&amp;TEXT(INDEX(MASTER!$E:$E,MATCH(_xlpm.pos,MASTER!$J:$J,0)),"mmddyy"),""),_xlpm.slot,1728+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02" s="4" t="str">
        <f t="array" ref="M202">_xlfn.LET(_xlpm.pos,"Max Planck plate 19: "&amp;$A4&amp;M$2,_xlpm.normal,IFERROR(INDEX(MASTER!$A:$A,MATCH(_xlpm.pos,MASTER!$J:$J,0))&amp;"_ser_0.20_"&amp;TEXT(INDEX(MASTER!$E:$E,MATCH(_xlpm.pos,MASTER!$J:$J,0)),"mmddyy"),""),_xlpm.slot,1728+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03" spans="1:13" ht="22" customHeight="1" x14ac:dyDescent="0.3">
      <c r="A203" s="6" t="s">
        <v>32</v>
      </c>
      <c r="B203" s="4" t="str">
        <f t="array" ref="B203">_xlfn.LET(_xlpm.pos,"Max Planck plate 19: "&amp;$A5&amp;B$2,_xlpm.normal,IFERROR(INDEX(MASTER!$A:$A,MATCH(_xlpm.pos,MASTER!$J:$J,0))&amp;"_ser_0.20_"&amp;TEXT(INDEX(MASTER!$E:$E,MATCH(_xlpm.pos,MASTER!$J:$J,0)),"mmddyy"),""),_xlpm.slot,1728+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03" s="4" t="str">
        <f t="array" ref="C203">_xlfn.LET(_xlpm.pos,"Max Planck plate 19: "&amp;$A5&amp;C$2,_xlpm.normal,IFERROR(INDEX(MASTER!$A:$A,MATCH(_xlpm.pos,MASTER!$J:$J,0))&amp;"_ser_0.20_"&amp;TEXT(INDEX(MASTER!$E:$E,MATCH(_xlpm.pos,MASTER!$J:$J,0)),"mmddyy"),""),_xlpm.slot,1728+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03" s="4" t="str">
        <f t="array" ref="D203">_xlfn.LET(_xlpm.pos,"Max Planck plate 19: "&amp;$A5&amp;D$2,_xlpm.normal,IFERROR(INDEX(MASTER!$A:$A,MATCH(_xlpm.pos,MASTER!$J:$J,0))&amp;"_ser_0.20_"&amp;TEXT(INDEX(MASTER!$E:$E,MATCH(_xlpm.pos,MASTER!$J:$J,0)),"mmddyy"),""),_xlpm.slot,1728+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03" s="4" t="str">
        <f t="array" ref="E203">_xlfn.LET(_xlpm.pos,"Max Planck plate 19: "&amp;$A5&amp;E$2,_xlpm.normal,IFERROR(INDEX(MASTER!$A:$A,MATCH(_xlpm.pos,MASTER!$J:$J,0))&amp;"_ser_0.20_"&amp;TEXT(INDEX(MASTER!$E:$E,MATCH(_xlpm.pos,MASTER!$J:$J,0)),"mmddyy"),""),_xlpm.slot,1728+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03" s="4" t="str">
        <f t="array" ref="F203">_xlfn.LET(_xlpm.pos,"Max Planck plate 19: "&amp;$A5&amp;F$2,_xlpm.normal,IFERROR(INDEX(MASTER!$A:$A,MATCH(_xlpm.pos,MASTER!$J:$J,0))&amp;"_ser_0.20_"&amp;TEXT(INDEX(MASTER!$E:$E,MATCH(_xlpm.pos,MASTER!$J:$J,0)),"mmddyy"),""),_xlpm.slot,1728+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03" s="4" t="str">
        <f t="array" ref="G203">_xlfn.LET(_xlpm.pos,"Max Planck plate 19: "&amp;$A5&amp;G$2,_xlpm.normal,IFERROR(INDEX(MASTER!$A:$A,MATCH(_xlpm.pos,MASTER!$J:$J,0))&amp;"_ser_0.20_"&amp;TEXT(INDEX(MASTER!$E:$E,MATCH(_xlpm.pos,MASTER!$J:$J,0)),"mmddyy"),""),_xlpm.slot,1728+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03" s="4" t="str">
        <f t="array" ref="H203">_xlfn.LET(_xlpm.pos,"Max Planck plate 19: "&amp;$A5&amp;H$2,_xlpm.normal,IFERROR(INDEX(MASTER!$A:$A,MATCH(_xlpm.pos,MASTER!$J:$J,0))&amp;"_ser_0.20_"&amp;TEXT(INDEX(MASTER!$E:$E,MATCH(_xlpm.pos,MASTER!$J:$J,0)),"mmddyy"),""),_xlpm.slot,1728+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03" s="4" t="str">
        <f t="array" ref="I203">_xlfn.LET(_xlpm.pos,"Max Planck plate 19: "&amp;$A5&amp;I$2,_xlpm.normal,IFERROR(INDEX(MASTER!$A:$A,MATCH(_xlpm.pos,MASTER!$J:$J,0))&amp;"_ser_0.20_"&amp;TEXT(INDEX(MASTER!$E:$E,MATCH(_xlpm.pos,MASTER!$J:$J,0)),"mmddyy"),""),_xlpm.slot,1728+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03" s="4" t="str">
        <f t="array" ref="J203">_xlfn.LET(_xlpm.pos,"Max Planck plate 19: "&amp;$A5&amp;J$2,_xlpm.normal,IFERROR(INDEX(MASTER!$A:$A,MATCH(_xlpm.pos,MASTER!$J:$J,0))&amp;"_ser_0.20_"&amp;TEXT(INDEX(MASTER!$E:$E,MATCH(_xlpm.pos,MASTER!$J:$J,0)),"mmddyy"),""),_xlpm.slot,1728+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03" s="4" t="str">
        <f t="array" ref="K203">_xlfn.LET(_xlpm.pos,"Max Planck plate 19: "&amp;$A5&amp;K$2,_xlpm.normal,IFERROR(INDEX(MASTER!$A:$A,MATCH(_xlpm.pos,MASTER!$J:$J,0))&amp;"_ser_0.20_"&amp;TEXT(INDEX(MASTER!$E:$E,MATCH(_xlpm.pos,MASTER!$J:$J,0)),"mmddyy"),""),_xlpm.slot,1728+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03" s="4" t="str">
        <f t="array" ref="L203">_xlfn.LET(_xlpm.pos,"Max Planck plate 19: "&amp;$A5&amp;L$2,_xlpm.normal,IFERROR(INDEX(MASTER!$A:$A,MATCH(_xlpm.pos,MASTER!$J:$J,0))&amp;"_ser_0.20_"&amp;TEXT(INDEX(MASTER!$E:$E,MATCH(_xlpm.pos,MASTER!$J:$J,0)),"mmddyy"),""),_xlpm.slot,1728+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03" s="4" t="str">
        <f t="array" ref="M203">_xlfn.LET(_xlpm.pos,"Max Planck plate 19: "&amp;$A5&amp;M$2,_xlpm.normal,IFERROR(INDEX(MASTER!$A:$A,MATCH(_xlpm.pos,MASTER!$J:$J,0))&amp;"_ser_0.20_"&amp;TEXT(INDEX(MASTER!$E:$E,MATCH(_xlpm.pos,MASTER!$J:$J,0)),"mmddyy"),""),_xlpm.slot,1728+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04" spans="1:13" ht="22" customHeight="1" x14ac:dyDescent="0.3">
      <c r="A204" s="6" t="s">
        <v>33</v>
      </c>
      <c r="B204" s="4" t="str">
        <f t="array" ref="B204">_xlfn.LET(_xlpm.pos,"Max Planck plate 19: "&amp;$A6&amp;B$2,_xlpm.normal,IFERROR(INDEX(MASTER!$A:$A,MATCH(_xlpm.pos,MASTER!$J:$J,0))&amp;"_ser_0.20_"&amp;TEXT(INDEX(MASTER!$E:$E,MATCH(_xlpm.pos,MASTER!$J:$J,0)),"mmddyy"),""),_xlpm.slot,1728+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04" s="4" t="str">
        <f t="array" ref="C204">_xlfn.LET(_xlpm.pos,"Max Planck plate 19: "&amp;$A6&amp;C$2,_xlpm.normal,IFERROR(INDEX(MASTER!$A:$A,MATCH(_xlpm.pos,MASTER!$J:$J,0))&amp;"_ser_0.20_"&amp;TEXT(INDEX(MASTER!$E:$E,MATCH(_xlpm.pos,MASTER!$J:$J,0)),"mmddyy"),""),_xlpm.slot,1728+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04" s="4" t="str">
        <f t="array" ref="D204">_xlfn.LET(_xlpm.pos,"Max Planck plate 19: "&amp;$A6&amp;D$2,_xlpm.normal,IFERROR(INDEX(MASTER!$A:$A,MATCH(_xlpm.pos,MASTER!$J:$J,0))&amp;"_ser_0.20_"&amp;TEXT(INDEX(MASTER!$E:$E,MATCH(_xlpm.pos,MASTER!$J:$J,0)),"mmddyy"),""),_xlpm.slot,1728+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04" s="4" t="str">
        <f t="array" ref="E204">_xlfn.LET(_xlpm.pos,"Max Planck plate 19: "&amp;$A6&amp;E$2,_xlpm.normal,IFERROR(INDEX(MASTER!$A:$A,MATCH(_xlpm.pos,MASTER!$J:$J,0))&amp;"_ser_0.20_"&amp;TEXT(INDEX(MASTER!$E:$E,MATCH(_xlpm.pos,MASTER!$J:$J,0)),"mmddyy"),""),_xlpm.slot,1728+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04" s="4" t="str">
        <f t="array" ref="F204">_xlfn.LET(_xlpm.pos,"Max Planck plate 19: "&amp;$A6&amp;F$2,_xlpm.normal,IFERROR(INDEX(MASTER!$A:$A,MATCH(_xlpm.pos,MASTER!$J:$J,0))&amp;"_ser_0.20_"&amp;TEXT(INDEX(MASTER!$E:$E,MATCH(_xlpm.pos,MASTER!$J:$J,0)),"mmddyy"),""),_xlpm.slot,1728+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04" s="4" t="str">
        <f t="array" ref="G204">_xlfn.LET(_xlpm.pos,"Max Planck plate 19: "&amp;$A6&amp;G$2,_xlpm.normal,IFERROR(INDEX(MASTER!$A:$A,MATCH(_xlpm.pos,MASTER!$J:$J,0))&amp;"_ser_0.20_"&amp;TEXT(INDEX(MASTER!$E:$E,MATCH(_xlpm.pos,MASTER!$J:$J,0)),"mmddyy"),""),_xlpm.slot,1728+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04" s="4" t="str">
        <f t="array" ref="H204">_xlfn.LET(_xlpm.pos,"Max Planck plate 19: "&amp;$A6&amp;H$2,_xlpm.normal,IFERROR(INDEX(MASTER!$A:$A,MATCH(_xlpm.pos,MASTER!$J:$J,0))&amp;"_ser_0.20_"&amp;TEXT(INDEX(MASTER!$E:$E,MATCH(_xlpm.pos,MASTER!$J:$J,0)),"mmddyy"),""),_xlpm.slot,1728+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04" s="4" t="str">
        <f t="array" ref="I204">_xlfn.LET(_xlpm.pos,"Max Planck plate 19: "&amp;$A6&amp;I$2,_xlpm.normal,IFERROR(INDEX(MASTER!$A:$A,MATCH(_xlpm.pos,MASTER!$J:$J,0))&amp;"_ser_0.20_"&amp;TEXT(INDEX(MASTER!$E:$E,MATCH(_xlpm.pos,MASTER!$J:$J,0)),"mmddyy"),""),_xlpm.slot,1728+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04" s="4" t="str">
        <f t="array" ref="J204">_xlfn.LET(_xlpm.pos,"Max Planck plate 19: "&amp;$A6&amp;J$2,_xlpm.normal,IFERROR(INDEX(MASTER!$A:$A,MATCH(_xlpm.pos,MASTER!$J:$J,0))&amp;"_ser_0.20_"&amp;TEXT(INDEX(MASTER!$E:$E,MATCH(_xlpm.pos,MASTER!$J:$J,0)),"mmddyy"),""),_xlpm.slot,1728+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04" s="4" t="str">
        <f t="array" ref="K204">_xlfn.LET(_xlpm.pos,"Max Planck plate 19: "&amp;$A6&amp;K$2,_xlpm.normal,IFERROR(INDEX(MASTER!$A:$A,MATCH(_xlpm.pos,MASTER!$J:$J,0))&amp;"_ser_0.20_"&amp;TEXT(INDEX(MASTER!$E:$E,MATCH(_xlpm.pos,MASTER!$J:$J,0)),"mmddyy"),""),_xlpm.slot,1728+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04" s="4" t="str">
        <f t="array" ref="L204">_xlfn.LET(_xlpm.pos,"Max Planck plate 19: "&amp;$A6&amp;L$2,_xlpm.normal,IFERROR(INDEX(MASTER!$A:$A,MATCH(_xlpm.pos,MASTER!$J:$J,0))&amp;"_ser_0.20_"&amp;TEXT(INDEX(MASTER!$E:$E,MATCH(_xlpm.pos,MASTER!$J:$J,0)),"mmddyy"),""),_xlpm.slot,1728+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04" s="4" t="str">
        <f t="array" ref="M204">_xlfn.LET(_xlpm.pos,"Max Planck plate 19: "&amp;$A6&amp;M$2,_xlpm.normal,IFERROR(INDEX(MASTER!$A:$A,MATCH(_xlpm.pos,MASTER!$J:$J,0))&amp;"_ser_0.20_"&amp;TEXT(INDEX(MASTER!$E:$E,MATCH(_xlpm.pos,MASTER!$J:$J,0)),"mmddyy"),""),_xlpm.slot,1728+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05" spans="1:13" ht="22" customHeight="1" x14ac:dyDescent="0.3">
      <c r="A205" s="6" t="s">
        <v>34</v>
      </c>
      <c r="B205" s="4" t="str">
        <f t="array" ref="B205">_xlfn.LET(_xlpm.pos,"Max Planck plate 19: "&amp;$A7&amp;B$2,_xlpm.normal,IFERROR(INDEX(MASTER!$A:$A,MATCH(_xlpm.pos,MASTER!$J:$J,0))&amp;"_ser_0.20_"&amp;TEXT(INDEX(MASTER!$E:$E,MATCH(_xlpm.pos,MASTER!$J:$J,0)),"mmddyy"),""),_xlpm.slot,1728+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05" s="4" t="str">
        <f t="array" ref="C205">_xlfn.LET(_xlpm.pos,"Max Planck plate 19: "&amp;$A7&amp;C$2,_xlpm.normal,IFERROR(INDEX(MASTER!$A:$A,MATCH(_xlpm.pos,MASTER!$J:$J,0))&amp;"_ser_0.20_"&amp;TEXT(INDEX(MASTER!$E:$E,MATCH(_xlpm.pos,MASTER!$J:$J,0)),"mmddyy"),""),_xlpm.slot,1728+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05" s="4" t="str">
        <f t="array" ref="D205">_xlfn.LET(_xlpm.pos,"Max Planck plate 19: "&amp;$A7&amp;D$2,_xlpm.normal,IFERROR(INDEX(MASTER!$A:$A,MATCH(_xlpm.pos,MASTER!$J:$J,0))&amp;"_ser_0.20_"&amp;TEXT(INDEX(MASTER!$E:$E,MATCH(_xlpm.pos,MASTER!$J:$J,0)),"mmddyy"),""),_xlpm.slot,1728+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05" s="4" t="str">
        <f t="array" ref="E205">_xlfn.LET(_xlpm.pos,"Max Planck plate 19: "&amp;$A7&amp;E$2,_xlpm.normal,IFERROR(INDEX(MASTER!$A:$A,MATCH(_xlpm.pos,MASTER!$J:$J,0))&amp;"_ser_0.20_"&amp;TEXT(INDEX(MASTER!$E:$E,MATCH(_xlpm.pos,MASTER!$J:$J,0)),"mmddyy"),""),_xlpm.slot,1728+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05" s="4" t="str">
        <f t="array" ref="F205">_xlfn.LET(_xlpm.pos,"Max Planck plate 19: "&amp;$A7&amp;F$2,_xlpm.normal,IFERROR(INDEX(MASTER!$A:$A,MATCH(_xlpm.pos,MASTER!$J:$J,0))&amp;"_ser_0.20_"&amp;TEXT(INDEX(MASTER!$E:$E,MATCH(_xlpm.pos,MASTER!$J:$J,0)),"mmddyy"),""),_xlpm.slot,1728+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05" s="4" t="str">
        <f t="array" ref="G205">_xlfn.LET(_xlpm.pos,"Max Planck plate 19: "&amp;$A7&amp;G$2,_xlpm.normal,IFERROR(INDEX(MASTER!$A:$A,MATCH(_xlpm.pos,MASTER!$J:$J,0))&amp;"_ser_0.20_"&amp;TEXT(INDEX(MASTER!$E:$E,MATCH(_xlpm.pos,MASTER!$J:$J,0)),"mmddyy"),""),_xlpm.slot,1728+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05" s="4" t="str">
        <f t="array" ref="H205">_xlfn.LET(_xlpm.pos,"Max Planck plate 19: "&amp;$A7&amp;H$2,_xlpm.normal,IFERROR(INDEX(MASTER!$A:$A,MATCH(_xlpm.pos,MASTER!$J:$J,0))&amp;"_ser_0.20_"&amp;TEXT(INDEX(MASTER!$E:$E,MATCH(_xlpm.pos,MASTER!$J:$J,0)),"mmddyy"),""),_xlpm.slot,1728+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05" s="4" t="str">
        <f t="array" ref="I205">_xlfn.LET(_xlpm.pos,"Max Planck plate 19: "&amp;$A7&amp;I$2,_xlpm.normal,IFERROR(INDEX(MASTER!$A:$A,MATCH(_xlpm.pos,MASTER!$J:$J,0))&amp;"_ser_0.20_"&amp;TEXT(INDEX(MASTER!$E:$E,MATCH(_xlpm.pos,MASTER!$J:$J,0)),"mmddyy"),""),_xlpm.slot,1728+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05" s="4" t="str">
        <f t="array" ref="J205">_xlfn.LET(_xlpm.pos,"Max Planck plate 19: "&amp;$A7&amp;J$2,_xlpm.normal,IFERROR(INDEX(MASTER!$A:$A,MATCH(_xlpm.pos,MASTER!$J:$J,0))&amp;"_ser_0.20_"&amp;TEXT(INDEX(MASTER!$E:$E,MATCH(_xlpm.pos,MASTER!$J:$J,0)),"mmddyy"),""),_xlpm.slot,1728+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05" s="4" t="str">
        <f t="array" ref="K205">_xlfn.LET(_xlpm.pos,"Max Planck plate 19: "&amp;$A7&amp;K$2,_xlpm.normal,IFERROR(INDEX(MASTER!$A:$A,MATCH(_xlpm.pos,MASTER!$J:$J,0))&amp;"_ser_0.20_"&amp;TEXT(INDEX(MASTER!$E:$E,MATCH(_xlpm.pos,MASTER!$J:$J,0)),"mmddyy"),""),_xlpm.slot,1728+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05" s="4" t="str">
        <f t="array" ref="L205">_xlfn.LET(_xlpm.pos,"Max Planck plate 19: "&amp;$A7&amp;L$2,_xlpm.normal,IFERROR(INDEX(MASTER!$A:$A,MATCH(_xlpm.pos,MASTER!$J:$J,0))&amp;"_ser_0.20_"&amp;TEXT(INDEX(MASTER!$E:$E,MATCH(_xlpm.pos,MASTER!$J:$J,0)),"mmddyy"),""),_xlpm.slot,1728+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05" s="4" t="str">
        <f t="array" ref="M205">_xlfn.LET(_xlpm.pos,"Max Planck plate 19: "&amp;$A7&amp;M$2,_xlpm.normal,IFERROR(INDEX(MASTER!$A:$A,MATCH(_xlpm.pos,MASTER!$J:$J,0))&amp;"_ser_0.20_"&amp;TEXT(INDEX(MASTER!$E:$E,MATCH(_xlpm.pos,MASTER!$J:$J,0)),"mmddyy"),""),_xlpm.slot,1728+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06" spans="1:13" ht="22" customHeight="1" x14ac:dyDescent="0.3">
      <c r="A206" s="6" t="s">
        <v>15</v>
      </c>
      <c r="B206" s="4" t="str">
        <f t="array" ref="B206">_xlfn.LET(_xlpm.pos,"Max Planck plate 19: "&amp;$A8&amp;B$2,_xlpm.normal,IFERROR(INDEX(MASTER!$A:$A,MATCH(_xlpm.pos,MASTER!$J:$J,0))&amp;"_ser_0.20_"&amp;TEXT(INDEX(MASTER!$E:$E,MATCH(_xlpm.pos,MASTER!$J:$J,0)),"mmddyy"),""),_xlpm.slot,1728+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06" s="4" t="str">
        <f t="array" ref="C206">_xlfn.LET(_xlpm.pos,"Max Planck plate 19: "&amp;$A8&amp;C$2,_xlpm.normal,IFERROR(INDEX(MASTER!$A:$A,MATCH(_xlpm.pos,MASTER!$J:$J,0))&amp;"_ser_0.20_"&amp;TEXT(INDEX(MASTER!$E:$E,MATCH(_xlpm.pos,MASTER!$J:$J,0)),"mmddyy"),""),_xlpm.slot,1728+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06" s="4" t="str">
        <f t="array" ref="D206">_xlfn.LET(_xlpm.pos,"Max Planck plate 19: "&amp;$A8&amp;D$2,_xlpm.normal,IFERROR(INDEX(MASTER!$A:$A,MATCH(_xlpm.pos,MASTER!$J:$J,0))&amp;"_ser_0.20_"&amp;TEXT(INDEX(MASTER!$E:$E,MATCH(_xlpm.pos,MASTER!$J:$J,0)),"mmddyy"),""),_xlpm.slot,1728+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06" s="4" t="str">
        <f t="array" ref="E206">_xlfn.LET(_xlpm.pos,"Max Planck plate 19: "&amp;$A8&amp;E$2,_xlpm.normal,IFERROR(INDEX(MASTER!$A:$A,MATCH(_xlpm.pos,MASTER!$J:$J,0))&amp;"_ser_0.20_"&amp;TEXT(INDEX(MASTER!$E:$E,MATCH(_xlpm.pos,MASTER!$J:$J,0)),"mmddyy"),""),_xlpm.slot,1728+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06" s="4" t="str">
        <f t="array" ref="F206">_xlfn.LET(_xlpm.pos,"Max Planck plate 19: "&amp;$A8&amp;F$2,_xlpm.normal,IFERROR(INDEX(MASTER!$A:$A,MATCH(_xlpm.pos,MASTER!$J:$J,0))&amp;"_ser_0.20_"&amp;TEXT(INDEX(MASTER!$E:$E,MATCH(_xlpm.pos,MASTER!$J:$J,0)),"mmddyy"),""),_xlpm.slot,1728+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06" s="4" t="str">
        <f t="array" ref="G206">_xlfn.LET(_xlpm.pos,"Max Planck plate 19: "&amp;$A8&amp;G$2,_xlpm.normal,IFERROR(INDEX(MASTER!$A:$A,MATCH(_xlpm.pos,MASTER!$J:$J,0))&amp;"_ser_0.20_"&amp;TEXT(INDEX(MASTER!$E:$E,MATCH(_xlpm.pos,MASTER!$J:$J,0)),"mmddyy"),""),_xlpm.slot,1728+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06" s="4" t="str">
        <f t="array" ref="H206">_xlfn.LET(_xlpm.pos,"Max Planck plate 19: "&amp;$A8&amp;H$2,_xlpm.normal,IFERROR(INDEX(MASTER!$A:$A,MATCH(_xlpm.pos,MASTER!$J:$J,0))&amp;"_ser_0.20_"&amp;TEXT(INDEX(MASTER!$E:$E,MATCH(_xlpm.pos,MASTER!$J:$J,0)),"mmddyy"),""),_xlpm.slot,1728+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06" s="4" t="str">
        <f t="array" ref="I206">_xlfn.LET(_xlpm.pos,"Max Planck plate 19: "&amp;$A8&amp;I$2,_xlpm.normal,IFERROR(INDEX(MASTER!$A:$A,MATCH(_xlpm.pos,MASTER!$J:$J,0))&amp;"_ser_0.20_"&amp;TEXT(INDEX(MASTER!$E:$E,MATCH(_xlpm.pos,MASTER!$J:$J,0)),"mmddyy"),""),_xlpm.slot,1728+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06" s="4" t="str">
        <f t="array" ref="J206">_xlfn.LET(_xlpm.pos,"Max Planck plate 19: "&amp;$A8&amp;J$2,_xlpm.normal,IFERROR(INDEX(MASTER!$A:$A,MATCH(_xlpm.pos,MASTER!$J:$J,0))&amp;"_ser_0.20_"&amp;TEXT(INDEX(MASTER!$E:$E,MATCH(_xlpm.pos,MASTER!$J:$J,0)),"mmddyy"),""),_xlpm.slot,1728+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06" s="4" t="str">
        <f t="array" ref="K206">_xlfn.LET(_xlpm.pos,"Max Planck plate 19: "&amp;$A8&amp;K$2,_xlpm.normal,IFERROR(INDEX(MASTER!$A:$A,MATCH(_xlpm.pos,MASTER!$J:$J,0))&amp;"_ser_0.20_"&amp;TEXT(INDEX(MASTER!$E:$E,MATCH(_xlpm.pos,MASTER!$J:$J,0)),"mmddyy"),""),_xlpm.slot,1728+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06" s="4" t="str">
        <f t="array" ref="L206">_xlfn.LET(_xlpm.pos,"Max Planck plate 19: "&amp;$A8&amp;L$2,_xlpm.normal,IFERROR(INDEX(MASTER!$A:$A,MATCH(_xlpm.pos,MASTER!$J:$J,0))&amp;"_ser_0.20_"&amp;TEXT(INDEX(MASTER!$E:$E,MATCH(_xlpm.pos,MASTER!$J:$J,0)),"mmddyy"),""),_xlpm.slot,1728+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06" s="4" t="str">
        <f t="array" ref="M206">_xlfn.LET(_xlpm.pos,"Max Planck plate 19: "&amp;$A8&amp;M$2,_xlpm.normal,IFERROR(INDEX(MASTER!$A:$A,MATCH(_xlpm.pos,MASTER!$J:$J,0))&amp;"_ser_0.20_"&amp;TEXT(INDEX(MASTER!$E:$E,MATCH(_xlpm.pos,MASTER!$J:$J,0)),"mmddyy"),""),_xlpm.slot,1728+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07" spans="1:13" ht="22" customHeight="1" x14ac:dyDescent="0.3">
      <c r="A207" s="6" t="s">
        <v>35</v>
      </c>
      <c r="B207" s="4" t="str">
        <f t="array" ref="B207">_xlfn.LET(_xlpm.pos,"Max Planck plate 19: "&amp;$A9&amp;B$2,_xlpm.normal,IFERROR(INDEX(MASTER!$A:$A,MATCH(_xlpm.pos,MASTER!$J:$J,0))&amp;"_ser_0.20_"&amp;TEXT(INDEX(MASTER!$E:$E,MATCH(_xlpm.pos,MASTER!$J:$J,0)),"mmddyy"),""),_xlpm.slot,1728+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07" s="4" t="str">
        <f t="array" ref="C207">_xlfn.LET(_xlpm.pos,"Max Planck plate 19: "&amp;$A9&amp;C$2,_xlpm.normal,IFERROR(INDEX(MASTER!$A:$A,MATCH(_xlpm.pos,MASTER!$J:$J,0))&amp;"_ser_0.20_"&amp;TEXT(INDEX(MASTER!$E:$E,MATCH(_xlpm.pos,MASTER!$J:$J,0)),"mmddyy"),""),_xlpm.slot,1728+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07" s="4" t="str">
        <f t="array" ref="D207">_xlfn.LET(_xlpm.pos,"Max Planck plate 19: "&amp;$A9&amp;D$2,_xlpm.normal,IFERROR(INDEX(MASTER!$A:$A,MATCH(_xlpm.pos,MASTER!$J:$J,0))&amp;"_ser_0.20_"&amp;TEXT(INDEX(MASTER!$E:$E,MATCH(_xlpm.pos,MASTER!$J:$J,0)),"mmddyy"),""),_xlpm.slot,1728+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07" s="4" t="str">
        <f t="array" ref="E207">_xlfn.LET(_xlpm.pos,"Max Planck plate 19: "&amp;$A9&amp;E$2,_xlpm.normal,IFERROR(INDEX(MASTER!$A:$A,MATCH(_xlpm.pos,MASTER!$J:$J,0))&amp;"_ser_0.20_"&amp;TEXT(INDEX(MASTER!$E:$E,MATCH(_xlpm.pos,MASTER!$J:$J,0)),"mmddyy"),""),_xlpm.slot,1728+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07" s="4" t="str">
        <f t="array" ref="F207">_xlfn.LET(_xlpm.pos,"Max Planck plate 19: "&amp;$A9&amp;F$2,_xlpm.normal,IFERROR(INDEX(MASTER!$A:$A,MATCH(_xlpm.pos,MASTER!$J:$J,0))&amp;"_ser_0.20_"&amp;TEXT(INDEX(MASTER!$E:$E,MATCH(_xlpm.pos,MASTER!$J:$J,0)),"mmddyy"),""),_xlpm.slot,1728+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07" s="4" t="str">
        <f t="array" ref="G207">_xlfn.LET(_xlpm.pos,"Max Planck plate 19: "&amp;$A9&amp;G$2,_xlpm.normal,IFERROR(INDEX(MASTER!$A:$A,MATCH(_xlpm.pos,MASTER!$J:$J,0))&amp;"_ser_0.20_"&amp;TEXT(INDEX(MASTER!$E:$E,MATCH(_xlpm.pos,MASTER!$J:$J,0)),"mmddyy"),""),_xlpm.slot,1728+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07" s="4" t="str">
        <f t="array" ref="H207">_xlfn.LET(_xlpm.pos,"Max Planck plate 19: "&amp;$A9&amp;H$2,_xlpm.normal,IFERROR(INDEX(MASTER!$A:$A,MATCH(_xlpm.pos,MASTER!$J:$J,0))&amp;"_ser_0.20_"&amp;TEXT(INDEX(MASTER!$E:$E,MATCH(_xlpm.pos,MASTER!$J:$J,0)),"mmddyy"),""),_xlpm.slot,1728+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07" s="4" t="str">
        <f t="array" ref="I207">_xlfn.LET(_xlpm.pos,"Max Planck plate 19: "&amp;$A9&amp;I$2,_xlpm.normal,IFERROR(INDEX(MASTER!$A:$A,MATCH(_xlpm.pos,MASTER!$J:$J,0))&amp;"_ser_0.20_"&amp;TEXT(INDEX(MASTER!$E:$E,MATCH(_xlpm.pos,MASTER!$J:$J,0)),"mmddyy"),""),_xlpm.slot,1728+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07" s="4" t="str">
        <f t="array" ref="J207">_xlfn.LET(_xlpm.pos,"Max Planck plate 19: "&amp;$A9&amp;J$2,_xlpm.normal,IFERROR(INDEX(MASTER!$A:$A,MATCH(_xlpm.pos,MASTER!$J:$J,0))&amp;"_ser_0.20_"&amp;TEXT(INDEX(MASTER!$E:$E,MATCH(_xlpm.pos,MASTER!$J:$J,0)),"mmddyy"),""),_xlpm.slot,1728+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07" s="4" t="str">
        <f t="array" ref="K207">_xlfn.LET(_xlpm.pos,"Max Planck plate 19: "&amp;$A9&amp;K$2,_xlpm.normal,IFERROR(INDEX(MASTER!$A:$A,MATCH(_xlpm.pos,MASTER!$J:$J,0))&amp;"_ser_0.20_"&amp;TEXT(INDEX(MASTER!$E:$E,MATCH(_xlpm.pos,MASTER!$J:$J,0)),"mmddyy"),""),_xlpm.slot,1728+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07" s="4" t="str">
        <f t="array" ref="L207">_xlfn.LET(_xlpm.pos,"Max Planck plate 19: "&amp;$A9&amp;L$2,_xlpm.normal,IFERROR(INDEX(MASTER!$A:$A,MATCH(_xlpm.pos,MASTER!$J:$J,0))&amp;"_ser_0.20_"&amp;TEXT(INDEX(MASTER!$E:$E,MATCH(_xlpm.pos,MASTER!$J:$J,0)),"mmddyy"),""),_xlpm.slot,1728+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07" s="4" t="str">
        <f t="array" ref="M207">_xlfn.LET(_xlpm.pos,"Max Planck plate 19: "&amp;$A9&amp;M$2,_xlpm.normal,IFERROR(INDEX(MASTER!$A:$A,MATCH(_xlpm.pos,MASTER!$J:$J,0))&amp;"_ser_0.20_"&amp;TEXT(INDEX(MASTER!$E:$E,MATCH(_xlpm.pos,MASTER!$J:$J,0)),"mmddyy"),""),_xlpm.slot,1728+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08" spans="1:13" ht="22" customHeight="1" x14ac:dyDescent="0.3">
      <c r="A208" s="6" t="s">
        <v>36</v>
      </c>
      <c r="B208" s="4" t="str">
        <f t="array" ref="B208">_xlfn.LET(_xlpm.pos,"Max Planck plate 19: "&amp;$A10&amp;B$2,_xlpm.normal,IFERROR(INDEX(MASTER!$A:$A,MATCH(_xlpm.pos,MASTER!$J:$J,0))&amp;"_ser_0.20_"&amp;TEXT(INDEX(MASTER!$E:$E,MATCH(_xlpm.pos,MASTER!$J:$J,0)),"mmddyy"),""),_xlpm.slot,1728+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08" s="4" t="str">
        <f t="array" ref="C208">_xlfn.LET(_xlpm.pos,"Max Planck plate 19: "&amp;$A10&amp;C$2,_xlpm.normal,IFERROR(INDEX(MASTER!$A:$A,MATCH(_xlpm.pos,MASTER!$J:$J,0))&amp;"_ser_0.20_"&amp;TEXT(INDEX(MASTER!$E:$E,MATCH(_xlpm.pos,MASTER!$J:$J,0)),"mmddyy"),""),_xlpm.slot,1728+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08" s="4" t="str">
        <f t="array" ref="D208">_xlfn.LET(_xlpm.pos,"Max Planck plate 19: "&amp;$A10&amp;D$2,_xlpm.normal,IFERROR(INDEX(MASTER!$A:$A,MATCH(_xlpm.pos,MASTER!$J:$J,0))&amp;"_ser_0.20_"&amp;TEXT(INDEX(MASTER!$E:$E,MATCH(_xlpm.pos,MASTER!$J:$J,0)),"mmddyy"),""),_xlpm.slot,1728+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08" s="4" t="str">
        <f t="array" ref="E208">_xlfn.LET(_xlpm.pos,"Max Planck plate 19: "&amp;$A10&amp;E$2,_xlpm.normal,IFERROR(INDEX(MASTER!$A:$A,MATCH(_xlpm.pos,MASTER!$J:$J,0))&amp;"_ser_0.20_"&amp;TEXT(INDEX(MASTER!$E:$E,MATCH(_xlpm.pos,MASTER!$J:$J,0)),"mmddyy"),""),_xlpm.slot,1728+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08" s="4" t="str">
        <f t="array" ref="F208">_xlfn.LET(_xlpm.pos,"Max Planck plate 19: "&amp;$A10&amp;F$2,_xlpm.normal,IFERROR(INDEX(MASTER!$A:$A,MATCH(_xlpm.pos,MASTER!$J:$J,0))&amp;"_ser_0.20_"&amp;TEXT(INDEX(MASTER!$E:$E,MATCH(_xlpm.pos,MASTER!$J:$J,0)),"mmddyy"),""),_xlpm.slot,1728+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08" s="4" t="str">
        <f t="array" ref="G208">_xlfn.LET(_xlpm.pos,"Max Planck plate 19: "&amp;$A10&amp;G$2,_xlpm.normal,IFERROR(INDEX(MASTER!$A:$A,MATCH(_xlpm.pos,MASTER!$J:$J,0))&amp;"_ser_0.20_"&amp;TEXT(INDEX(MASTER!$E:$E,MATCH(_xlpm.pos,MASTER!$J:$J,0)),"mmddyy"),""),_xlpm.slot,1728+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08" s="4" t="str">
        <f t="array" ref="H208">_xlfn.LET(_xlpm.pos,"Max Planck plate 19: "&amp;$A10&amp;H$2,_xlpm.normal,IFERROR(INDEX(MASTER!$A:$A,MATCH(_xlpm.pos,MASTER!$J:$J,0))&amp;"_ser_0.20_"&amp;TEXT(INDEX(MASTER!$E:$E,MATCH(_xlpm.pos,MASTER!$J:$J,0)),"mmddyy"),""),_xlpm.slot,1728+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08" s="4" t="str">
        <f t="array" ref="I208">_xlfn.LET(_xlpm.pos,"Max Planck plate 19: "&amp;$A10&amp;I$2,_xlpm.normal,IFERROR(INDEX(MASTER!$A:$A,MATCH(_xlpm.pos,MASTER!$J:$J,0))&amp;"_ser_0.20_"&amp;TEXT(INDEX(MASTER!$E:$E,MATCH(_xlpm.pos,MASTER!$J:$J,0)),"mmddyy"),""),_xlpm.slot,1728+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08" s="4" t="str">
        <f t="array" ref="J208">_xlfn.LET(_xlpm.pos,"Max Planck plate 19: "&amp;$A10&amp;J$2,_xlpm.normal,IFERROR(INDEX(MASTER!$A:$A,MATCH(_xlpm.pos,MASTER!$J:$J,0))&amp;"_ser_0.20_"&amp;TEXT(INDEX(MASTER!$E:$E,MATCH(_xlpm.pos,MASTER!$J:$J,0)),"mmddyy"),""),_xlpm.slot,1728+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08" s="4" t="str">
        <f t="array" ref="K208">_xlfn.LET(_xlpm.pos,"Max Planck plate 19: "&amp;$A10&amp;K$2,_xlpm.normal,IFERROR(INDEX(MASTER!$A:$A,MATCH(_xlpm.pos,MASTER!$J:$J,0))&amp;"_ser_0.20_"&amp;TEXT(INDEX(MASTER!$E:$E,MATCH(_xlpm.pos,MASTER!$J:$J,0)),"mmddyy"),""),_xlpm.slot,1728+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08" s="4" t="str">
        <f t="array" ref="L208">_xlfn.LET(_xlpm.pos,"Max Planck plate 19: "&amp;$A10&amp;L$2,_xlpm.normal,IFERROR(INDEX(MASTER!$A:$A,MATCH(_xlpm.pos,MASTER!$J:$J,0))&amp;"_ser_0.20_"&amp;TEXT(INDEX(MASTER!$E:$E,MATCH(_xlpm.pos,MASTER!$J:$J,0)),"mmddyy"),""),_xlpm.slot,1728+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08" s="4" t="str">
        <f t="array" ref="M208">_xlfn.LET(_xlpm.pos,"Max Planck plate 19: "&amp;$A10&amp;M$2,_xlpm.normal,IFERROR(INDEX(MASTER!$A:$A,MATCH(_xlpm.pos,MASTER!$J:$J,0))&amp;"_ser_0.20_"&amp;TEXT(INDEX(MASTER!$E:$E,MATCH(_xlpm.pos,MASTER!$J:$J,0)),"mmddyy"),""),_xlpm.slot,1728+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10" spans="1:13" ht="22" customHeight="1" x14ac:dyDescent="0.35">
      <c r="A210" s="5"/>
      <c r="B210" s="31" t="s">
        <v>97</v>
      </c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3"/>
    </row>
    <row r="211" spans="1:13" ht="22" customHeight="1" x14ac:dyDescent="0.3">
      <c r="A211" s="5"/>
      <c r="B211" s="6">
        <v>1</v>
      </c>
      <c r="C211" s="6">
        <v>2</v>
      </c>
      <c r="D211" s="6">
        <v>3</v>
      </c>
      <c r="E211" s="6">
        <v>4</v>
      </c>
      <c r="F211" s="6">
        <v>5</v>
      </c>
      <c r="G211" s="6">
        <v>6</v>
      </c>
      <c r="H211" s="6">
        <v>7</v>
      </c>
      <c r="I211" s="6">
        <v>8</v>
      </c>
      <c r="J211" s="6">
        <v>9</v>
      </c>
      <c r="K211" s="6">
        <v>10</v>
      </c>
      <c r="L211" s="6">
        <v>11</v>
      </c>
      <c r="M211" s="6">
        <v>12</v>
      </c>
    </row>
    <row r="212" spans="1:13" ht="22" customHeight="1" x14ac:dyDescent="0.3">
      <c r="A212" s="6" t="s">
        <v>30</v>
      </c>
      <c r="B212" s="4" t="str">
        <f t="array" ref="B212">_xlfn.LET(_xlpm.pos,"Max Planck plate 20: "&amp;$A3&amp;B$2,_xlpm.normal,IFERROR(INDEX(MASTER!$A:$A,MATCH(_xlpm.pos,MASTER!$J:$J,0))&amp;"_ser_0.20_"&amp;TEXT(INDEX(MASTER!$E:$E,MATCH(_xlpm.pos,MASTER!$J:$J,0)),"mmddyy"),""),_xlpm.slot,1824+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12" s="4" t="str">
        <f t="array" ref="C212">_xlfn.LET(_xlpm.pos,"Max Planck plate 20: "&amp;$A3&amp;C$2,_xlpm.normal,IFERROR(INDEX(MASTER!$A:$A,MATCH(_xlpm.pos,MASTER!$J:$J,0))&amp;"_ser_0.20_"&amp;TEXT(INDEX(MASTER!$E:$E,MATCH(_xlpm.pos,MASTER!$J:$J,0)),"mmddyy"),""),_xlpm.slot,1824+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12" s="4" t="str">
        <f t="array" ref="D212">_xlfn.LET(_xlpm.pos,"Max Planck plate 20: "&amp;$A3&amp;D$2,_xlpm.normal,IFERROR(INDEX(MASTER!$A:$A,MATCH(_xlpm.pos,MASTER!$J:$J,0))&amp;"_ser_0.20_"&amp;TEXT(INDEX(MASTER!$E:$E,MATCH(_xlpm.pos,MASTER!$J:$J,0)),"mmddyy"),""),_xlpm.slot,1824+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12" s="4" t="str">
        <f t="array" ref="E212">_xlfn.LET(_xlpm.pos,"Max Planck plate 20: "&amp;$A3&amp;E$2,_xlpm.normal,IFERROR(INDEX(MASTER!$A:$A,MATCH(_xlpm.pos,MASTER!$J:$J,0))&amp;"_ser_0.20_"&amp;TEXT(INDEX(MASTER!$E:$E,MATCH(_xlpm.pos,MASTER!$J:$J,0)),"mmddyy"),""),_xlpm.slot,1824+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12" s="4" t="str">
        <f t="array" ref="F212">_xlfn.LET(_xlpm.pos,"Max Planck plate 20: "&amp;$A3&amp;F$2,_xlpm.normal,IFERROR(INDEX(MASTER!$A:$A,MATCH(_xlpm.pos,MASTER!$J:$J,0))&amp;"_ser_0.20_"&amp;TEXT(INDEX(MASTER!$E:$E,MATCH(_xlpm.pos,MASTER!$J:$J,0)),"mmddyy"),""),_xlpm.slot,1824+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12" s="4" t="str">
        <f t="array" ref="G212">_xlfn.LET(_xlpm.pos,"Max Planck plate 20: "&amp;$A3&amp;G$2,_xlpm.normal,IFERROR(INDEX(MASTER!$A:$A,MATCH(_xlpm.pos,MASTER!$J:$J,0))&amp;"_ser_0.20_"&amp;TEXT(INDEX(MASTER!$E:$E,MATCH(_xlpm.pos,MASTER!$J:$J,0)),"mmddyy"),""),_xlpm.slot,1824+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12" s="4" t="str">
        <f t="array" ref="H212">_xlfn.LET(_xlpm.pos,"Max Planck plate 20: "&amp;$A3&amp;H$2,_xlpm.normal,IFERROR(INDEX(MASTER!$A:$A,MATCH(_xlpm.pos,MASTER!$J:$J,0))&amp;"_ser_0.20_"&amp;TEXT(INDEX(MASTER!$E:$E,MATCH(_xlpm.pos,MASTER!$J:$J,0)),"mmddyy"),""),_xlpm.slot,1824+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12" s="4" t="str">
        <f t="array" ref="I212">_xlfn.LET(_xlpm.pos,"Max Planck plate 20: "&amp;$A3&amp;I$2,_xlpm.normal,IFERROR(INDEX(MASTER!$A:$A,MATCH(_xlpm.pos,MASTER!$J:$J,0))&amp;"_ser_0.20_"&amp;TEXT(INDEX(MASTER!$E:$E,MATCH(_xlpm.pos,MASTER!$J:$J,0)),"mmddyy"),""),_xlpm.slot,1824+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12" s="4" t="str">
        <f t="array" ref="J212">_xlfn.LET(_xlpm.pos,"Max Planck plate 20: "&amp;$A3&amp;J$2,_xlpm.normal,IFERROR(INDEX(MASTER!$A:$A,MATCH(_xlpm.pos,MASTER!$J:$J,0))&amp;"_ser_0.20_"&amp;TEXT(INDEX(MASTER!$E:$E,MATCH(_xlpm.pos,MASTER!$J:$J,0)),"mmddyy"),""),_xlpm.slot,1824+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12" s="4" t="str">
        <f t="array" ref="K212">_xlfn.LET(_xlpm.pos,"Max Planck plate 20: "&amp;$A3&amp;K$2,_xlpm.normal,IFERROR(INDEX(MASTER!$A:$A,MATCH(_xlpm.pos,MASTER!$J:$J,0))&amp;"_ser_0.20_"&amp;TEXT(INDEX(MASTER!$E:$E,MATCH(_xlpm.pos,MASTER!$J:$J,0)),"mmddyy"),""),_xlpm.slot,1824+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12" s="4" t="str">
        <f t="array" ref="L212">_xlfn.LET(_xlpm.pos,"Max Planck plate 20: "&amp;$A3&amp;L$2,_xlpm.normal,IFERROR(INDEX(MASTER!$A:$A,MATCH(_xlpm.pos,MASTER!$J:$J,0))&amp;"_ser_0.20_"&amp;TEXT(INDEX(MASTER!$E:$E,MATCH(_xlpm.pos,MASTER!$J:$J,0)),"mmddyy"),""),_xlpm.slot,1824+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12" s="4" t="str">
        <f t="array" ref="M212">_xlfn.LET(_xlpm.pos,"Max Planck plate 20: "&amp;$A3&amp;M$2,_xlpm.normal,IFERROR(INDEX(MASTER!$A:$A,MATCH(_xlpm.pos,MASTER!$J:$J,0))&amp;"_ser_0.20_"&amp;TEXT(INDEX(MASTER!$E:$E,MATCH(_xlpm.pos,MASTER!$J:$J,0)),"mmddyy"),""),_xlpm.slot,1824+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13" spans="1:13" ht="22" customHeight="1" x14ac:dyDescent="0.3">
      <c r="A213" s="6" t="s">
        <v>31</v>
      </c>
      <c r="B213" s="4" t="str">
        <f t="array" ref="B213">_xlfn.LET(_xlpm.pos,"Max Planck plate 20: "&amp;$A4&amp;B$2,_xlpm.normal,IFERROR(INDEX(MASTER!$A:$A,MATCH(_xlpm.pos,MASTER!$J:$J,0))&amp;"_ser_0.20_"&amp;TEXT(INDEX(MASTER!$E:$E,MATCH(_xlpm.pos,MASTER!$J:$J,0)),"mmddyy"),""),_xlpm.slot,1824+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13" s="4" t="str">
        <f t="array" ref="C213">_xlfn.LET(_xlpm.pos,"Max Planck plate 20: "&amp;$A4&amp;C$2,_xlpm.normal,IFERROR(INDEX(MASTER!$A:$A,MATCH(_xlpm.pos,MASTER!$J:$J,0))&amp;"_ser_0.20_"&amp;TEXT(INDEX(MASTER!$E:$E,MATCH(_xlpm.pos,MASTER!$J:$J,0)),"mmddyy"),""),_xlpm.slot,1824+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13" s="4" t="str">
        <f t="array" ref="D213">_xlfn.LET(_xlpm.pos,"Max Planck plate 20: "&amp;$A4&amp;D$2,_xlpm.normal,IFERROR(INDEX(MASTER!$A:$A,MATCH(_xlpm.pos,MASTER!$J:$J,0))&amp;"_ser_0.20_"&amp;TEXT(INDEX(MASTER!$E:$E,MATCH(_xlpm.pos,MASTER!$J:$J,0)),"mmddyy"),""),_xlpm.slot,1824+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13" s="4" t="str">
        <f t="array" ref="E213">_xlfn.LET(_xlpm.pos,"Max Planck plate 20: "&amp;$A4&amp;E$2,_xlpm.normal,IFERROR(INDEX(MASTER!$A:$A,MATCH(_xlpm.pos,MASTER!$J:$J,0))&amp;"_ser_0.20_"&amp;TEXT(INDEX(MASTER!$E:$E,MATCH(_xlpm.pos,MASTER!$J:$J,0)),"mmddyy"),""),_xlpm.slot,1824+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13" s="4" t="str">
        <f t="array" ref="F213">_xlfn.LET(_xlpm.pos,"Max Planck plate 20: "&amp;$A4&amp;F$2,_xlpm.normal,IFERROR(INDEX(MASTER!$A:$A,MATCH(_xlpm.pos,MASTER!$J:$J,0))&amp;"_ser_0.20_"&amp;TEXT(INDEX(MASTER!$E:$E,MATCH(_xlpm.pos,MASTER!$J:$J,0)),"mmddyy"),""),_xlpm.slot,1824+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13" s="4" t="str">
        <f t="array" ref="G213">_xlfn.LET(_xlpm.pos,"Max Planck plate 20: "&amp;$A4&amp;G$2,_xlpm.normal,IFERROR(INDEX(MASTER!$A:$A,MATCH(_xlpm.pos,MASTER!$J:$J,0))&amp;"_ser_0.20_"&amp;TEXT(INDEX(MASTER!$E:$E,MATCH(_xlpm.pos,MASTER!$J:$J,0)),"mmddyy"),""),_xlpm.slot,1824+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13" s="4" t="str">
        <f t="array" ref="H213">_xlfn.LET(_xlpm.pos,"Max Planck plate 20: "&amp;$A4&amp;H$2,_xlpm.normal,IFERROR(INDEX(MASTER!$A:$A,MATCH(_xlpm.pos,MASTER!$J:$J,0))&amp;"_ser_0.20_"&amp;TEXT(INDEX(MASTER!$E:$E,MATCH(_xlpm.pos,MASTER!$J:$J,0)),"mmddyy"),""),_xlpm.slot,1824+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13" s="4" t="str">
        <f t="array" ref="I213">_xlfn.LET(_xlpm.pos,"Max Planck plate 20: "&amp;$A4&amp;I$2,_xlpm.normal,IFERROR(INDEX(MASTER!$A:$A,MATCH(_xlpm.pos,MASTER!$J:$J,0))&amp;"_ser_0.20_"&amp;TEXT(INDEX(MASTER!$E:$E,MATCH(_xlpm.pos,MASTER!$J:$J,0)),"mmddyy"),""),_xlpm.slot,1824+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13" s="4" t="str">
        <f t="array" ref="J213">_xlfn.LET(_xlpm.pos,"Max Planck plate 20: "&amp;$A4&amp;J$2,_xlpm.normal,IFERROR(INDEX(MASTER!$A:$A,MATCH(_xlpm.pos,MASTER!$J:$J,0))&amp;"_ser_0.20_"&amp;TEXT(INDEX(MASTER!$E:$E,MATCH(_xlpm.pos,MASTER!$J:$J,0)),"mmddyy"),""),_xlpm.slot,1824+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13" s="4" t="str">
        <f t="array" ref="K213">_xlfn.LET(_xlpm.pos,"Max Planck plate 20: "&amp;$A4&amp;K$2,_xlpm.normal,IFERROR(INDEX(MASTER!$A:$A,MATCH(_xlpm.pos,MASTER!$J:$J,0))&amp;"_ser_0.20_"&amp;TEXT(INDEX(MASTER!$E:$E,MATCH(_xlpm.pos,MASTER!$J:$J,0)),"mmddyy"),""),_xlpm.slot,1824+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13" s="4" t="str">
        <f t="array" ref="L213">_xlfn.LET(_xlpm.pos,"Max Planck plate 20: "&amp;$A4&amp;L$2,_xlpm.normal,IFERROR(INDEX(MASTER!$A:$A,MATCH(_xlpm.pos,MASTER!$J:$J,0))&amp;"_ser_0.20_"&amp;TEXT(INDEX(MASTER!$E:$E,MATCH(_xlpm.pos,MASTER!$J:$J,0)),"mmddyy"),""),_xlpm.slot,1824+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13" s="4" t="str">
        <f t="array" ref="M213">_xlfn.LET(_xlpm.pos,"Max Planck plate 20: "&amp;$A4&amp;M$2,_xlpm.normal,IFERROR(INDEX(MASTER!$A:$A,MATCH(_xlpm.pos,MASTER!$J:$J,0))&amp;"_ser_0.20_"&amp;TEXT(INDEX(MASTER!$E:$E,MATCH(_xlpm.pos,MASTER!$J:$J,0)),"mmddyy"),""),_xlpm.slot,1824+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14" spans="1:13" ht="22" customHeight="1" x14ac:dyDescent="0.3">
      <c r="A214" s="6" t="s">
        <v>32</v>
      </c>
      <c r="B214" s="4" t="str">
        <f t="array" ref="B214">_xlfn.LET(_xlpm.pos,"Max Planck plate 20: "&amp;$A5&amp;B$2,_xlpm.normal,IFERROR(INDEX(MASTER!$A:$A,MATCH(_xlpm.pos,MASTER!$J:$J,0))&amp;"_ser_0.20_"&amp;TEXT(INDEX(MASTER!$E:$E,MATCH(_xlpm.pos,MASTER!$J:$J,0)),"mmddyy"),""),_xlpm.slot,1824+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14" s="4" t="str">
        <f t="array" ref="C214">_xlfn.LET(_xlpm.pos,"Max Planck plate 20: "&amp;$A5&amp;C$2,_xlpm.normal,IFERROR(INDEX(MASTER!$A:$A,MATCH(_xlpm.pos,MASTER!$J:$J,0))&amp;"_ser_0.20_"&amp;TEXT(INDEX(MASTER!$E:$E,MATCH(_xlpm.pos,MASTER!$J:$J,0)),"mmddyy"),""),_xlpm.slot,1824+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14" s="4" t="str">
        <f t="array" ref="D214">_xlfn.LET(_xlpm.pos,"Max Planck plate 20: "&amp;$A5&amp;D$2,_xlpm.normal,IFERROR(INDEX(MASTER!$A:$A,MATCH(_xlpm.pos,MASTER!$J:$J,0))&amp;"_ser_0.20_"&amp;TEXT(INDEX(MASTER!$E:$E,MATCH(_xlpm.pos,MASTER!$J:$J,0)),"mmddyy"),""),_xlpm.slot,1824+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14" s="4" t="str">
        <f t="array" ref="E214">_xlfn.LET(_xlpm.pos,"Max Planck plate 20: "&amp;$A5&amp;E$2,_xlpm.normal,IFERROR(INDEX(MASTER!$A:$A,MATCH(_xlpm.pos,MASTER!$J:$J,0))&amp;"_ser_0.20_"&amp;TEXT(INDEX(MASTER!$E:$E,MATCH(_xlpm.pos,MASTER!$J:$J,0)),"mmddyy"),""),_xlpm.slot,1824+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14" s="4" t="str">
        <f t="array" ref="F214">_xlfn.LET(_xlpm.pos,"Max Planck plate 20: "&amp;$A5&amp;F$2,_xlpm.normal,IFERROR(INDEX(MASTER!$A:$A,MATCH(_xlpm.pos,MASTER!$J:$J,0))&amp;"_ser_0.20_"&amp;TEXT(INDEX(MASTER!$E:$E,MATCH(_xlpm.pos,MASTER!$J:$J,0)),"mmddyy"),""),_xlpm.slot,1824+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14" s="4" t="str">
        <f t="array" ref="G214">_xlfn.LET(_xlpm.pos,"Max Planck plate 20: "&amp;$A5&amp;G$2,_xlpm.normal,IFERROR(INDEX(MASTER!$A:$A,MATCH(_xlpm.pos,MASTER!$J:$J,0))&amp;"_ser_0.20_"&amp;TEXT(INDEX(MASTER!$E:$E,MATCH(_xlpm.pos,MASTER!$J:$J,0)),"mmddyy"),""),_xlpm.slot,1824+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14" s="4" t="str">
        <f t="array" ref="H214">_xlfn.LET(_xlpm.pos,"Max Planck plate 20: "&amp;$A5&amp;H$2,_xlpm.normal,IFERROR(INDEX(MASTER!$A:$A,MATCH(_xlpm.pos,MASTER!$J:$J,0))&amp;"_ser_0.20_"&amp;TEXT(INDEX(MASTER!$E:$E,MATCH(_xlpm.pos,MASTER!$J:$J,0)),"mmddyy"),""),_xlpm.slot,1824+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14" s="4" t="str">
        <f t="array" ref="I214">_xlfn.LET(_xlpm.pos,"Max Planck plate 20: "&amp;$A5&amp;I$2,_xlpm.normal,IFERROR(INDEX(MASTER!$A:$A,MATCH(_xlpm.pos,MASTER!$J:$J,0))&amp;"_ser_0.20_"&amp;TEXT(INDEX(MASTER!$E:$E,MATCH(_xlpm.pos,MASTER!$J:$J,0)),"mmddyy"),""),_xlpm.slot,1824+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14" s="4" t="str">
        <f t="array" ref="J214">_xlfn.LET(_xlpm.pos,"Max Planck plate 20: "&amp;$A5&amp;J$2,_xlpm.normal,IFERROR(INDEX(MASTER!$A:$A,MATCH(_xlpm.pos,MASTER!$J:$J,0))&amp;"_ser_0.20_"&amp;TEXT(INDEX(MASTER!$E:$E,MATCH(_xlpm.pos,MASTER!$J:$J,0)),"mmddyy"),""),_xlpm.slot,1824+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14" s="4" t="str">
        <f t="array" ref="K214">_xlfn.LET(_xlpm.pos,"Max Planck plate 20: "&amp;$A5&amp;K$2,_xlpm.normal,IFERROR(INDEX(MASTER!$A:$A,MATCH(_xlpm.pos,MASTER!$J:$J,0))&amp;"_ser_0.20_"&amp;TEXT(INDEX(MASTER!$E:$E,MATCH(_xlpm.pos,MASTER!$J:$J,0)),"mmddyy"),""),_xlpm.slot,1824+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14" s="4" t="str">
        <f t="array" ref="L214">_xlfn.LET(_xlpm.pos,"Max Planck plate 20: "&amp;$A5&amp;L$2,_xlpm.normal,IFERROR(INDEX(MASTER!$A:$A,MATCH(_xlpm.pos,MASTER!$J:$J,0))&amp;"_ser_0.20_"&amp;TEXT(INDEX(MASTER!$E:$E,MATCH(_xlpm.pos,MASTER!$J:$J,0)),"mmddyy"),""),_xlpm.slot,1824+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14" s="4" t="str">
        <f t="array" ref="M214">_xlfn.LET(_xlpm.pos,"Max Planck plate 20: "&amp;$A5&amp;M$2,_xlpm.normal,IFERROR(INDEX(MASTER!$A:$A,MATCH(_xlpm.pos,MASTER!$J:$J,0))&amp;"_ser_0.20_"&amp;TEXT(INDEX(MASTER!$E:$E,MATCH(_xlpm.pos,MASTER!$J:$J,0)),"mmddyy"),""),_xlpm.slot,1824+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15" spans="1:13" ht="22" customHeight="1" x14ac:dyDescent="0.3">
      <c r="A215" s="6" t="s">
        <v>33</v>
      </c>
      <c r="B215" s="4" t="str">
        <f t="array" ref="B215">_xlfn.LET(_xlpm.pos,"Max Planck plate 20: "&amp;$A6&amp;B$2,_xlpm.normal,IFERROR(INDEX(MASTER!$A:$A,MATCH(_xlpm.pos,MASTER!$J:$J,0))&amp;"_ser_0.20_"&amp;TEXT(INDEX(MASTER!$E:$E,MATCH(_xlpm.pos,MASTER!$J:$J,0)),"mmddyy"),""),_xlpm.slot,1824+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15" s="4" t="str">
        <f t="array" ref="C215">_xlfn.LET(_xlpm.pos,"Max Planck plate 20: "&amp;$A6&amp;C$2,_xlpm.normal,IFERROR(INDEX(MASTER!$A:$A,MATCH(_xlpm.pos,MASTER!$J:$J,0))&amp;"_ser_0.20_"&amp;TEXT(INDEX(MASTER!$E:$E,MATCH(_xlpm.pos,MASTER!$J:$J,0)),"mmddyy"),""),_xlpm.slot,1824+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15" s="4" t="str">
        <f t="array" ref="D215">_xlfn.LET(_xlpm.pos,"Max Planck plate 20: "&amp;$A6&amp;D$2,_xlpm.normal,IFERROR(INDEX(MASTER!$A:$A,MATCH(_xlpm.pos,MASTER!$J:$J,0))&amp;"_ser_0.20_"&amp;TEXT(INDEX(MASTER!$E:$E,MATCH(_xlpm.pos,MASTER!$J:$J,0)),"mmddyy"),""),_xlpm.slot,1824+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15" s="4" t="str">
        <f t="array" ref="E215">_xlfn.LET(_xlpm.pos,"Max Planck plate 20: "&amp;$A6&amp;E$2,_xlpm.normal,IFERROR(INDEX(MASTER!$A:$A,MATCH(_xlpm.pos,MASTER!$J:$J,0))&amp;"_ser_0.20_"&amp;TEXT(INDEX(MASTER!$E:$E,MATCH(_xlpm.pos,MASTER!$J:$J,0)),"mmddyy"),""),_xlpm.slot,1824+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15" s="4" t="str">
        <f t="array" ref="F215">_xlfn.LET(_xlpm.pos,"Max Planck plate 20: "&amp;$A6&amp;F$2,_xlpm.normal,IFERROR(INDEX(MASTER!$A:$A,MATCH(_xlpm.pos,MASTER!$J:$J,0))&amp;"_ser_0.20_"&amp;TEXT(INDEX(MASTER!$E:$E,MATCH(_xlpm.pos,MASTER!$J:$J,0)),"mmddyy"),""),_xlpm.slot,1824+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15" s="4" t="str">
        <f t="array" ref="G215">_xlfn.LET(_xlpm.pos,"Max Planck plate 20: "&amp;$A6&amp;G$2,_xlpm.normal,IFERROR(INDEX(MASTER!$A:$A,MATCH(_xlpm.pos,MASTER!$J:$J,0))&amp;"_ser_0.20_"&amp;TEXT(INDEX(MASTER!$E:$E,MATCH(_xlpm.pos,MASTER!$J:$J,0)),"mmddyy"),""),_xlpm.slot,1824+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15" s="4" t="str">
        <f t="array" ref="H215">_xlfn.LET(_xlpm.pos,"Max Planck plate 20: "&amp;$A6&amp;H$2,_xlpm.normal,IFERROR(INDEX(MASTER!$A:$A,MATCH(_xlpm.pos,MASTER!$J:$J,0))&amp;"_ser_0.20_"&amp;TEXT(INDEX(MASTER!$E:$E,MATCH(_xlpm.pos,MASTER!$J:$J,0)),"mmddyy"),""),_xlpm.slot,1824+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15" s="4" t="str">
        <f t="array" ref="I215">_xlfn.LET(_xlpm.pos,"Max Planck plate 20: "&amp;$A6&amp;I$2,_xlpm.normal,IFERROR(INDEX(MASTER!$A:$A,MATCH(_xlpm.pos,MASTER!$J:$J,0))&amp;"_ser_0.20_"&amp;TEXT(INDEX(MASTER!$E:$E,MATCH(_xlpm.pos,MASTER!$J:$J,0)),"mmddyy"),""),_xlpm.slot,1824+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15" s="4" t="str">
        <f t="array" ref="J215">_xlfn.LET(_xlpm.pos,"Max Planck plate 20: "&amp;$A6&amp;J$2,_xlpm.normal,IFERROR(INDEX(MASTER!$A:$A,MATCH(_xlpm.pos,MASTER!$J:$J,0))&amp;"_ser_0.20_"&amp;TEXT(INDEX(MASTER!$E:$E,MATCH(_xlpm.pos,MASTER!$J:$J,0)),"mmddyy"),""),_xlpm.slot,1824+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15" s="4" t="str">
        <f t="array" ref="K215">_xlfn.LET(_xlpm.pos,"Max Planck plate 20: "&amp;$A6&amp;K$2,_xlpm.normal,IFERROR(INDEX(MASTER!$A:$A,MATCH(_xlpm.pos,MASTER!$J:$J,0))&amp;"_ser_0.20_"&amp;TEXT(INDEX(MASTER!$E:$E,MATCH(_xlpm.pos,MASTER!$J:$J,0)),"mmddyy"),""),_xlpm.slot,1824+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15" s="4" t="str">
        <f t="array" ref="L215">_xlfn.LET(_xlpm.pos,"Max Planck plate 20: "&amp;$A6&amp;L$2,_xlpm.normal,IFERROR(INDEX(MASTER!$A:$A,MATCH(_xlpm.pos,MASTER!$J:$J,0))&amp;"_ser_0.20_"&amp;TEXT(INDEX(MASTER!$E:$E,MATCH(_xlpm.pos,MASTER!$J:$J,0)),"mmddyy"),""),_xlpm.slot,1824+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15" s="4" t="str">
        <f t="array" ref="M215">_xlfn.LET(_xlpm.pos,"Max Planck plate 20: "&amp;$A6&amp;M$2,_xlpm.normal,IFERROR(INDEX(MASTER!$A:$A,MATCH(_xlpm.pos,MASTER!$J:$J,0))&amp;"_ser_0.20_"&amp;TEXT(INDEX(MASTER!$E:$E,MATCH(_xlpm.pos,MASTER!$J:$J,0)),"mmddyy"),""),_xlpm.slot,1824+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16" spans="1:13" ht="22" customHeight="1" x14ac:dyDescent="0.3">
      <c r="A216" s="6" t="s">
        <v>34</v>
      </c>
      <c r="B216" s="4" t="str">
        <f t="array" ref="B216">_xlfn.LET(_xlpm.pos,"Max Planck plate 20: "&amp;$A7&amp;B$2,_xlpm.normal,IFERROR(INDEX(MASTER!$A:$A,MATCH(_xlpm.pos,MASTER!$J:$J,0))&amp;"_ser_0.20_"&amp;TEXT(INDEX(MASTER!$E:$E,MATCH(_xlpm.pos,MASTER!$J:$J,0)),"mmddyy"),""),_xlpm.slot,1824+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16" s="4" t="str">
        <f t="array" ref="C216">_xlfn.LET(_xlpm.pos,"Max Planck plate 20: "&amp;$A7&amp;C$2,_xlpm.normal,IFERROR(INDEX(MASTER!$A:$A,MATCH(_xlpm.pos,MASTER!$J:$J,0))&amp;"_ser_0.20_"&amp;TEXT(INDEX(MASTER!$E:$E,MATCH(_xlpm.pos,MASTER!$J:$J,0)),"mmddyy"),""),_xlpm.slot,1824+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16" s="4" t="str">
        <f t="array" ref="D216">_xlfn.LET(_xlpm.pos,"Max Planck plate 20: "&amp;$A7&amp;D$2,_xlpm.normal,IFERROR(INDEX(MASTER!$A:$A,MATCH(_xlpm.pos,MASTER!$J:$J,0))&amp;"_ser_0.20_"&amp;TEXT(INDEX(MASTER!$E:$E,MATCH(_xlpm.pos,MASTER!$J:$J,0)),"mmddyy"),""),_xlpm.slot,1824+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16" s="4" t="str">
        <f t="array" ref="E216">_xlfn.LET(_xlpm.pos,"Max Planck plate 20: "&amp;$A7&amp;E$2,_xlpm.normal,IFERROR(INDEX(MASTER!$A:$A,MATCH(_xlpm.pos,MASTER!$J:$J,0))&amp;"_ser_0.20_"&amp;TEXT(INDEX(MASTER!$E:$E,MATCH(_xlpm.pos,MASTER!$J:$J,0)),"mmddyy"),""),_xlpm.slot,1824+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16" s="4" t="str">
        <f t="array" ref="F216">_xlfn.LET(_xlpm.pos,"Max Planck plate 20: "&amp;$A7&amp;F$2,_xlpm.normal,IFERROR(INDEX(MASTER!$A:$A,MATCH(_xlpm.pos,MASTER!$J:$J,0))&amp;"_ser_0.20_"&amp;TEXT(INDEX(MASTER!$E:$E,MATCH(_xlpm.pos,MASTER!$J:$J,0)),"mmddyy"),""),_xlpm.slot,1824+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16" s="4" t="str">
        <f t="array" ref="G216">_xlfn.LET(_xlpm.pos,"Max Planck plate 20: "&amp;$A7&amp;G$2,_xlpm.normal,IFERROR(INDEX(MASTER!$A:$A,MATCH(_xlpm.pos,MASTER!$J:$J,0))&amp;"_ser_0.20_"&amp;TEXT(INDEX(MASTER!$E:$E,MATCH(_xlpm.pos,MASTER!$J:$J,0)),"mmddyy"),""),_xlpm.slot,1824+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16" s="4" t="str">
        <f t="array" ref="H216">_xlfn.LET(_xlpm.pos,"Max Planck plate 20: "&amp;$A7&amp;H$2,_xlpm.normal,IFERROR(INDEX(MASTER!$A:$A,MATCH(_xlpm.pos,MASTER!$J:$J,0))&amp;"_ser_0.20_"&amp;TEXT(INDEX(MASTER!$E:$E,MATCH(_xlpm.pos,MASTER!$J:$J,0)),"mmddyy"),""),_xlpm.slot,1824+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16" s="4" t="str">
        <f t="array" ref="I216">_xlfn.LET(_xlpm.pos,"Max Planck plate 20: "&amp;$A7&amp;I$2,_xlpm.normal,IFERROR(INDEX(MASTER!$A:$A,MATCH(_xlpm.pos,MASTER!$J:$J,0))&amp;"_ser_0.20_"&amp;TEXT(INDEX(MASTER!$E:$E,MATCH(_xlpm.pos,MASTER!$J:$J,0)),"mmddyy"),""),_xlpm.slot,1824+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16" s="4" t="str">
        <f t="array" ref="J216">_xlfn.LET(_xlpm.pos,"Max Planck plate 20: "&amp;$A7&amp;J$2,_xlpm.normal,IFERROR(INDEX(MASTER!$A:$A,MATCH(_xlpm.pos,MASTER!$J:$J,0))&amp;"_ser_0.20_"&amp;TEXT(INDEX(MASTER!$E:$E,MATCH(_xlpm.pos,MASTER!$J:$J,0)),"mmddyy"),""),_xlpm.slot,1824+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16" s="4" t="str">
        <f t="array" ref="K216">_xlfn.LET(_xlpm.pos,"Max Planck plate 20: "&amp;$A7&amp;K$2,_xlpm.normal,IFERROR(INDEX(MASTER!$A:$A,MATCH(_xlpm.pos,MASTER!$J:$J,0))&amp;"_ser_0.20_"&amp;TEXT(INDEX(MASTER!$E:$E,MATCH(_xlpm.pos,MASTER!$J:$J,0)),"mmddyy"),""),_xlpm.slot,1824+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16" s="4" t="str">
        <f t="array" ref="L216">_xlfn.LET(_xlpm.pos,"Max Planck plate 20: "&amp;$A7&amp;L$2,_xlpm.normal,IFERROR(INDEX(MASTER!$A:$A,MATCH(_xlpm.pos,MASTER!$J:$J,0))&amp;"_ser_0.20_"&amp;TEXT(INDEX(MASTER!$E:$E,MATCH(_xlpm.pos,MASTER!$J:$J,0)),"mmddyy"),""),_xlpm.slot,1824+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16" s="4" t="str">
        <f t="array" ref="M216">_xlfn.LET(_xlpm.pos,"Max Planck plate 20: "&amp;$A7&amp;M$2,_xlpm.normal,IFERROR(INDEX(MASTER!$A:$A,MATCH(_xlpm.pos,MASTER!$J:$J,0))&amp;"_ser_0.20_"&amp;TEXT(INDEX(MASTER!$E:$E,MATCH(_xlpm.pos,MASTER!$J:$J,0)),"mmddyy"),""),_xlpm.slot,1824+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17" spans="1:13" ht="22" customHeight="1" x14ac:dyDescent="0.3">
      <c r="A217" s="6" t="s">
        <v>15</v>
      </c>
      <c r="B217" s="4" t="str">
        <f t="array" ref="B217">_xlfn.LET(_xlpm.pos,"Max Planck plate 20: "&amp;$A8&amp;B$2,_xlpm.normal,IFERROR(INDEX(MASTER!$A:$A,MATCH(_xlpm.pos,MASTER!$J:$J,0))&amp;"_ser_0.20_"&amp;TEXT(INDEX(MASTER!$E:$E,MATCH(_xlpm.pos,MASTER!$J:$J,0)),"mmddyy"),""),_xlpm.slot,1824+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17" s="4" t="str">
        <f t="array" ref="C217">_xlfn.LET(_xlpm.pos,"Max Planck plate 20: "&amp;$A8&amp;C$2,_xlpm.normal,IFERROR(INDEX(MASTER!$A:$A,MATCH(_xlpm.pos,MASTER!$J:$J,0))&amp;"_ser_0.20_"&amp;TEXT(INDEX(MASTER!$E:$E,MATCH(_xlpm.pos,MASTER!$J:$J,0)),"mmddyy"),""),_xlpm.slot,1824+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17" s="4" t="str">
        <f t="array" ref="D217">_xlfn.LET(_xlpm.pos,"Max Planck plate 20: "&amp;$A8&amp;D$2,_xlpm.normal,IFERROR(INDEX(MASTER!$A:$A,MATCH(_xlpm.pos,MASTER!$J:$J,0))&amp;"_ser_0.20_"&amp;TEXT(INDEX(MASTER!$E:$E,MATCH(_xlpm.pos,MASTER!$J:$J,0)),"mmddyy"),""),_xlpm.slot,1824+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17" s="4" t="str">
        <f t="array" ref="E217">_xlfn.LET(_xlpm.pos,"Max Planck plate 20: "&amp;$A8&amp;E$2,_xlpm.normal,IFERROR(INDEX(MASTER!$A:$A,MATCH(_xlpm.pos,MASTER!$J:$J,0))&amp;"_ser_0.20_"&amp;TEXT(INDEX(MASTER!$E:$E,MATCH(_xlpm.pos,MASTER!$J:$J,0)),"mmddyy"),""),_xlpm.slot,1824+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17" s="4" t="str">
        <f t="array" ref="F217">_xlfn.LET(_xlpm.pos,"Max Planck plate 20: "&amp;$A8&amp;F$2,_xlpm.normal,IFERROR(INDEX(MASTER!$A:$A,MATCH(_xlpm.pos,MASTER!$J:$J,0))&amp;"_ser_0.20_"&amp;TEXT(INDEX(MASTER!$E:$E,MATCH(_xlpm.pos,MASTER!$J:$J,0)),"mmddyy"),""),_xlpm.slot,1824+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17" s="4" t="str">
        <f t="array" ref="G217">_xlfn.LET(_xlpm.pos,"Max Planck plate 20: "&amp;$A8&amp;G$2,_xlpm.normal,IFERROR(INDEX(MASTER!$A:$A,MATCH(_xlpm.pos,MASTER!$J:$J,0))&amp;"_ser_0.20_"&amp;TEXT(INDEX(MASTER!$E:$E,MATCH(_xlpm.pos,MASTER!$J:$J,0)),"mmddyy"),""),_xlpm.slot,1824+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17" s="4" t="str">
        <f t="array" ref="H217">_xlfn.LET(_xlpm.pos,"Max Planck plate 20: "&amp;$A8&amp;H$2,_xlpm.normal,IFERROR(INDEX(MASTER!$A:$A,MATCH(_xlpm.pos,MASTER!$J:$J,0))&amp;"_ser_0.20_"&amp;TEXT(INDEX(MASTER!$E:$E,MATCH(_xlpm.pos,MASTER!$J:$J,0)),"mmddyy"),""),_xlpm.slot,1824+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17" s="4" t="str">
        <f t="array" ref="I217">_xlfn.LET(_xlpm.pos,"Max Planck plate 20: "&amp;$A8&amp;I$2,_xlpm.normal,IFERROR(INDEX(MASTER!$A:$A,MATCH(_xlpm.pos,MASTER!$J:$J,0))&amp;"_ser_0.20_"&amp;TEXT(INDEX(MASTER!$E:$E,MATCH(_xlpm.pos,MASTER!$J:$J,0)),"mmddyy"),""),_xlpm.slot,1824+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17" s="4" t="str">
        <f t="array" ref="J217">_xlfn.LET(_xlpm.pos,"Max Planck plate 20: "&amp;$A8&amp;J$2,_xlpm.normal,IFERROR(INDEX(MASTER!$A:$A,MATCH(_xlpm.pos,MASTER!$J:$J,0))&amp;"_ser_0.20_"&amp;TEXT(INDEX(MASTER!$E:$E,MATCH(_xlpm.pos,MASTER!$J:$J,0)),"mmddyy"),""),_xlpm.slot,1824+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17" s="4" t="str">
        <f t="array" ref="K217">_xlfn.LET(_xlpm.pos,"Max Planck plate 20: "&amp;$A8&amp;K$2,_xlpm.normal,IFERROR(INDEX(MASTER!$A:$A,MATCH(_xlpm.pos,MASTER!$J:$J,0))&amp;"_ser_0.20_"&amp;TEXT(INDEX(MASTER!$E:$E,MATCH(_xlpm.pos,MASTER!$J:$J,0)),"mmddyy"),""),_xlpm.slot,1824+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17" s="4" t="str">
        <f t="array" ref="L217">_xlfn.LET(_xlpm.pos,"Max Planck plate 20: "&amp;$A8&amp;L$2,_xlpm.normal,IFERROR(INDEX(MASTER!$A:$A,MATCH(_xlpm.pos,MASTER!$J:$J,0))&amp;"_ser_0.20_"&amp;TEXT(INDEX(MASTER!$E:$E,MATCH(_xlpm.pos,MASTER!$J:$J,0)),"mmddyy"),""),_xlpm.slot,1824+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17" s="4" t="str">
        <f t="array" ref="M217">_xlfn.LET(_xlpm.pos,"Max Planck plate 20: "&amp;$A8&amp;M$2,_xlpm.normal,IFERROR(INDEX(MASTER!$A:$A,MATCH(_xlpm.pos,MASTER!$J:$J,0))&amp;"_ser_0.20_"&amp;TEXT(INDEX(MASTER!$E:$E,MATCH(_xlpm.pos,MASTER!$J:$J,0)),"mmddyy"),""),_xlpm.slot,1824+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18" spans="1:13" ht="22" customHeight="1" x14ac:dyDescent="0.3">
      <c r="A218" s="6" t="s">
        <v>35</v>
      </c>
      <c r="B218" s="4" t="str">
        <f t="array" ref="B218">_xlfn.LET(_xlpm.pos,"Max Planck plate 20: "&amp;$A9&amp;B$2,_xlpm.normal,IFERROR(INDEX(MASTER!$A:$A,MATCH(_xlpm.pos,MASTER!$J:$J,0))&amp;"_ser_0.20_"&amp;TEXT(INDEX(MASTER!$E:$E,MATCH(_xlpm.pos,MASTER!$J:$J,0)),"mmddyy"),""),_xlpm.slot,1824+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18" s="4" t="str">
        <f t="array" ref="C218">_xlfn.LET(_xlpm.pos,"Max Planck plate 20: "&amp;$A9&amp;C$2,_xlpm.normal,IFERROR(INDEX(MASTER!$A:$A,MATCH(_xlpm.pos,MASTER!$J:$J,0))&amp;"_ser_0.20_"&amp;TEXT(INDEX(MASTER!$E:$E,MATCH(_xlpm.pos,MASTER!$J:$J,0)),"mmddyy"),""),_xlpm.slot,1824+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18" s="4" t="str">
        <f t="array" ref="D218">_xlfn.LET(_xlpm.pos,"Max Planck plate 20: "&amp;$A9&amp;D$2,_xlpm.normal,IFERROR(INDEX(MASTER!$A:$A,MATCH(_xlpm.pos,MASTER!$J:$J,0))&amp;"_ser_0.20_"&amp;TEXT(INDEX(MASTER!$E:$E,MATCH(_xlpm.pos,MASTER!$J:$J,0)),"mmddyy"),""),_xlpm.slot,1824+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18" s="4" t="str">
        <f t="array" ref="E218">_xlfn.LET(_xlpm.pos,"Max Planck plate 20: "&amp;$A9&amp;E$2,_xlpm.normal,IFERROR(INDEX(MASTER!$A:$A,MATCH(_xlpm.pos,MASTER!$J:$J,0))&amp;"_ser_0.20_"&amp;TEXT(INDEX(MASTER!$E:$E,MATCH(_xlpm.pos,MASTER!$J:$J,0)),"mmddyy"),""),_xlpm.slot,1824+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18" s="4" t="str">
        <f t="array" ref="F218">_xlfn.LET(_xlpm.pos,"Max Planck plate 20: "&amp;$A9&amp;F$2,_xlpm.normal,IFERROR(INDEX(MASTER!$A:$A,MATCH(_xlpm.pos,MASTER!$J:$J,0))&amp;"_ser_0.20_"&amp;TEXT(INDEX(MASTER!$E:$E,MATCH(_xlpm.pos,MASTER!$J:$J,0)),"mmddyy"),""),_xlpm.slot,1824+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18" s="4" t="str">
        <f t="array" ref="G218">_xlfn.LET(_xlpm.pos,"Max Planck plate 20: "&amp;$A9&amp;G$2,_xlpm.normal,IFERROR(INDEX(MASTER!$A:$A,MATCH(_xlpm.pos,MASTER!$J:$J,0))&amp;"_ser_0.20_"&amp;TEXT(INDEX(MASTER!$E:$E,MATCH(_xlpm.pos,MASTER!$J:$J,0)),"mmddyy"),""),_xlpm.slot,1824+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18" s="4" t="str">
        <f t="array" ref="H218">_xlfn.LET(_xlpm.pos,"Max Planck plate 20: "&amp;$A9&amp;H$2,_xlpm.normal,IFERROR(INDEX(MASTER!$A:$A,MATCH(_xlpm.pos,MASTER!$J:$J,0))&amp;"_ser_0.20_"&amp;TEXT(INDEX(MASTER!$E:$E,MATCH(_xlpm.pos,MASTER!$J:$J,0)),"mmddyy"),""),_xlpm.slot,1824+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18" s="4" t="str">
        <f t="array" ref="I218">_xlfn.LET(_xlpm.pos,"Max Planck plate 20: "&amp;$A9&amp;I$2,_xlpm.normal,IFERROR(INDEX(MASTER!$A:$A,MATCH(_xlpm.pos,MASTER!$J:$J,0))&amp;"_ser_0.20_"&amp;TEXT(INDEX(MASTER!$E:$E,MATCH(_xlpm.pos,MASTER!$J:$J,0)),"mmddyy"),""),_xlpm.slot,1824+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18" s="4" t="str">
        <f t="array" ref="J218">_xlfn.LET(_xlpm.pos,"Max Planck plate 20: "&amp;$A9&amp;J$2,_xlpm.normal,IFERROR(INDEX(MASTER!$A:$A,MATCH(_xlpm.pos,MASTER!$J:$J,0))&amp;"_ser_0.20_"&amp;TEXT(INDEX(MASTER!$E:$E,MATCH(_xlpm.pos,MASTER!$J:$J,0)),"mmddyy"),""),_xlpm.slot,1824+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18" s="4" t="str">
        <f t="array" ref="K218">_xlfn.LET(_xlpm.pos,"Max Planck plate 20: "&amp;$A9&amp;K$2,_xlpm.normal,IFERROR(INDEX(MASTER!$A:$A,MATCH(_xlpm.pos,MASTER!$J:$J,0))&amp;"_ser_0.20_"&amp;TEXT(INDEX(MASTER!$E:$E,MATCH(_xlpm.pos,MASTER!$J:$J,0)),"mmddyy"),""),_xlpm.slot,1824+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18" s="4" t="str">
        <f t="array" ref="L218">_xlfn.LET(_xlpm.pos,"Max Planck plate 20: "&amp;$A9&amp;L$2,_xlpm.normal,IFERROR(INDEX(MASTER!$A:$A,MATCH(_xlpm.pos,MASTER!$J:$J,0))&amp;"_ser_0.20_"&amp;TEXT(INDEX(MASTER!$E:$E,MATCH(_xlpm.pos,MASTER!$J:$J,0)),"mmddyy"),""),_xlpm.slot,1824+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18" s="4" t="str">
        <f t="array" ref="M218">_xlfn.LET(_xlpm.pos,"Max Planck plate 20: "&amp;$A9&amp;M$2,_xlpm.normal,IFERROR(INDEX(MASTER!$A:$A,MATCH(_xlpm.pos,MASTER!$J:$J,0))&amp;"_ser_0.20_"&amp;TEXT(INDEX(MASTER!$E:$E,MATCH(_xlpm.pos,MASTER!$J:$J,0)),"mmddyy"),""),_xlpm.slot,1824+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19" spans="1:13" ht="22" customHeight="1" x14ac:dyDescent="0.3">
      <c r="A219" s="6" t="s">
        <v>36</v>
      </c>
      <c r="B219" s="4" t="str">
        <f t="array" ref="B219">_xlfn.LET(_xlpm.pos,"Max Planck plate 20: "&amp;$A10&amp;B$2,_xlpm.normal,IFERROR(INDEX(MASTER!$A:$A,MATCH(_xlpm.pos,MASTER!$J:$J,0))&amp;"_ser_0.20_"&amp;TEXT(INDEX(MASTER!$E:$E,MATCH(_xlpm.pos,MASTER!$J:$J,0)),"mmddyy"),""),_xlpm.slot,1824+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19" s="4" t="str">
        <f t="array" ref="C219">_xlfn.LET(_xlpm.pos,"Max Planck plate 20: "&amp;$A10&amp;C$2,_xlpm.normal,IFERROR(INDEX(MASTER!$A:$A,MATCH(_xlpm.pos,MASTER!$J:$J,0))&amp;"_ser_0.20_"&amp;TEXT(INDEX(MASTER!$E:$E,MATCH(_xlpm.pos,MASTER!$J:$J,0)),"mmddyy"),""),_xlpm.slot,1824+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19" s="4" t="str">
        <f t="array" ref="D219">_xlfn.LET(_xlpm.pos,"Max Planck plate 20: "&amp;$A10&amp;D$2,_xlpm.normal,IFERROR(INDEX(MASTER!$A:$A,MATCH(_xlpm.pos,MASTER!$J:$J,0))&amp;"_ser_0.20_"&amp;TEXT(INDEX(MASTER!$E:$E,MATCH(_xlpm.pos,MASTER!$J:$J,0)),"mmddyy"),""),_xlpm.slot,1824+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19" s="4" t="str">
        <f t="array" ref="E219">_xlfn.LET(_xlpm.pos,"Max Planck plate 20: "&amp;$A10&amp;E$2,_xlpm.normal,IFERROR(INDEX(MASTER!$A:$A,MATCH(_xlpm.pos,MASTER!$J:$J,0))&amp;"_ser_0.20_"&amp;TEXT(INDEX(MASTER!$E:$E,MATCH(_xlpm.pos,MASTER!$J:$J,0)),"mmddyy"),""),_xlpm.slot,1824+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19" s="4" t="str">
        <f t="array" ref="F219">_xlfn.LET(_xlpm.pos,"Max Planck plate 20: "&amp;$A10&amp;F$2,_xlpm.normal,IFERROR(INDEX(MASTER!$A:$A,MATCH(_xlpm.pos,MASTER!$J:$J,0))&amp;"_ser_0.20_"&amp;TEXT(INDEX(MASTER!$E:$E,MATCH(_xlpm.pos,MASTER!$J:$J,0)),"mmddyy"),""),_xlpm.slot,1824+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19" s="4" t="str">
        <f t="array" ref="G219">_xlfn.LET(_xlpm.pos,"Max Planck plate 20: "&amp;$A10&amp;G$2,_xlpm.normal,IFERROR(INDEX(MASTER!$A:$A,MATCH(_xlpm.pos,MASTER!$J:$J,0))&amp;"_ser_0.20_"&amp;TEXT(INDEX(MASTER!$E:$E,MATCH(_xlpm.pos,MASTER!$J:$J,0)),"mmddyy"),""),_xlpm.slot,1824+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19" s="4" t="str">
        <f t="array" ref="H219">_xlfn.LET(_xlpm.pos,"Max Planck plate 20: "&amp;$A10&amp;H$2,_xlpm.normal,IFERROR(INDEX(MASTER!$A:$A,MATCH(_xlpm.pos,MASTER!$J:$J,0))&amp;"_ser_0.20_"&amp;TEXT(INDEX(MASTER!$E:$E,MATCH(_xlpm.pos,MASTER!$J:$J,0)),"mmddyy"),""),_xlpm.slot,1824+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19" s="4" t="str">
        <f t="array" ref="I219">_xlfn.LET(_xlpm.pos,"Max Planck plate 20: "&amp;$A10&amp;I$2,_xlpm.normal,IFERROR(INDEX(MASTER!$A:$A,MATCH(_xlpm.pos,MASTER!$J:$J,0))&amp;"_ser_0.20_"&amp;TEXT(INDEX(MASTER!$E:$E,MATCH(_xlpm.pos,MASTER!$J:$J,0)),"mmddyy"),""),_xlpm.slot,1824+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19" s="4" t="str">
        <f t="array" ref="J219">_xlfn.LET(_xlpm.pos,"Max Planck plate 20: "&amp;$A10&amp;J$2,_xlpm.normal,IFERROR(INDEX(MASTER!$A:$A,MATCH(_xlpm.pos,MASTER!$J:$J,0))&amp;"_ser_0.20_"&amp;TEXT(INDEX(MASTER!$E:$E,MATCH(_xlpm.pos,MASTER!$J:$J,0)),"mmddyy"),""),_xlpm.slot,1824+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19" s="4" t="str">
        <f t="array" ref="K219">_xlfn.LET(_xlpm.pos,"Max Planck plate 20: "&amp;$A10&amp;K$2,_xlpm.normal,IFERROR(INDEX(MASTER!$A:$A,MATCH(_xlpm.pos,MASTER!$J:$J,0))&amp;"_ser_0.20_"&amp;TEXT(INDEX(MASTER!$E:$E,MATCH(_xlpm.pos,MASTER!$J:$J,0)),"mmddyy"),""),_xlpm.slot,1824+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19" s="4" t="str">
        <f t="array" ref="L219">_xlfn.LET(_xlpm.pos,"Max Planck plate 20: "&amp;$A10&amp;L$2,_xlpm.normal,IFERROR(INDEX(MASTER!$A:$A,MATCH(_xlpm.pos,MASTER!$J:$J,0))&amp;"_ser_0.20_"&amp;TEXT(INDEX(MASTER!$E:$E,MATCH(_xlpm.pos,MASTER!$J:$J,0)),"mmddyy"),""),_xlpm.slot,1824+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19" s="4" t="str">
        <f t="array" ref="M219">_xlfn.LET(_xlpm.pos,"Max Planck plate 20: "&amp;$A10&amp;M$2,_xlpm.normal,IFERROR(INDEX(MASTER!$A:$A,MATCH(_xlpm.pos,MASTER!$J:$J,0))&amp;"_ser_0.20_"&amp;TEXT(INDEX(MASTER!$E:$E,MATCH(_xlpm.pos,MASTER!$J:$J,0)),"mmddyy"),""),_xlpm.slot,1824+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20" spans="1:13" ht="22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ht="22" customHeight="1" x14ac:dyDescent="0.3">
      <c r="A221" s="3"/>
      <c r="B221" s="34" t="s">
        <v>98</v>
      </c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</row>
    <row r="222" spans="1:13" ht="22" customHeight="1" x14ac:dyDescent="0.3">
      <c r="A222" s="3"/>
      <c r="B222" s="3">
        <v>1</v>
      </c>
      <c r="C222" s="3">
        <v>2</v>
      </c>
      <c r="D222" s="3">
        <v>3</v>
      </c>
      <c r="E222" s="3">
        <v>4</v>
      </c>
      <c r="F222" s="3">
        <v>5</v>
      </c>
      <c r="G222" s="3">
        <v>6</v>
      </c>
      <c r="H222" s="3">
        <v>7</v>
      </c>
      <c r="I222" s="3">
        <v>8</v>
      </c>
      <c r="J222" s="3">
        <v>9</v>
      </c>
      <c r="K222" s="3">
        <v>10</v>
      </c>
      <c r="L222" s="3">
        <v>11</v>
      </c>
      <c r="M222" s="3">
        <v>12</v>
      </c>
    </row>
    <row r="223" spans="1:13" ht="22" customHeight="1" x14ac:dyDescent="0.3">
      <c r="A223" s="3" t="s">
        <v>30</v>
      </c>
      <c r="B223" s="3" t="str">
        <f t="array" ref="B223">_xlfn.LET(_xlpm.pos,"Max Planck plate 21: "&amp;$A3&amp;B$2,_xlpm.normal,IFERROR(INDEX(MASTER!$A:$A,MATCH(_xlpm.pos,MASTER!$J:$J,0))&amp;"_ser_0.20_"&amp;TEXT(INDEX(MASTER!$E:$E,MATCH(_xlpm.pos,MASTER!$J:$J,0)),"mmddyy"),""),_xlpm.slot,1920+(MATCH($A3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23" s="3" t="str">
        <f t="array" ref="C223">_xlfn.LET(_xlpm.pos,"Max Planck plate 21: "&amp;$A3&amp;C$2,_xlpm.normal,IFERROR(INDEX(MASTER!$A:$A,MATCH(_xlpm.pos,MASTER!$J:$J,0))&amp;"_ser_0.20_"&amp;TEXT(INDEX(MASTER!$E:$E,MATCH(_xlpm.pos,MASTER!$J:$J,0)),"mmddyy"),""),_xlpm.slot,1920+(MATCH($A3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23" s="3" t="str">
        <f t="array" ref="D223">_xlfn.LET(_xlpm.pos,"Max Planck plate 21: "&amp;$A3&amp;D$2,_xlpm.normal,IFERROR(INDEX(MASTER!$A:$A,MATCH(_xlpm.pos,MASTER!$J:$J,0))&amp;"_ser_0.20_"&amp;TEXT(INDEX(MASTER!$E:$E,MATCH(_xlpm.pos,MASTER!$J:$J,0)),"mmddyy"),""),_xlpm.slot,1920+(MATCH($A3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23" s="3" t="str">
        <f t="array" ref="E223">_xlfn.LET(_xlpm.pos,"Max Planck plate 21: "&amp;$A3&amp;E$2,_xlpm.normal,IFERROR(INDEX(MASTER!$A:$A,MATCH(_xlpm.pos,MASTER!$J:$J,0))&amp;"_ser_0.20_"&amp;TEXT(INDEX(MASTER!$E:$E,MATCH(_xlpm.pos,MASTER!$J:$J,0)),"mmddyy"),""),_xlpm.slot,1920+(MATCH($A3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23" s="3" t="str">
        <f t="array" ref="F223">_xlfn.LET(_xlpm.pos,"Max Planck plate 21: "&amp;$A3&amp;F$2,_xlpm.normal,IFERROR(INDEX(MASTER!$A:$A,MATCH(_xlpm.pos,MASTER!$J:$J,0))&amp;"_ser_0.20_"&amp;TEXT(INDEX(MASTER!$E:$E,MATCH(_xlpm.pos,MASTER!$J:$J,0)),"mmddyy"),""),_xlpm.slot,1920+(MATCH($A3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23" s="3" t="str">
        <f t="array" ref="G223">_xlfn.LET(_xlpm.pos,"Max Planck plate 21: "&amp;$A3&amp;G$2,_xlpm.normal,IFERROR(INDEX(MASTER!$A:$A,MATCH(_xlpm.pos,MASTER!$J:$J,0))&amp;"_ser_0.20_"&amp;TEXT(INDEX(MASTER!$E:$E,MATCH(_xlpm.pos,MASTER!$J:$J,0)),"mmddyy"),""),_xlpm.slot,1920+(MATCH($A3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23" s="3" t="str">
        <f t="array" ref="H223">_xlfn.LET(_xlpm.pos,"Max Planck plate 21: "&amp;$A3&amp;H$2,_xlpm.normal,IFERROR(INDEX(MASTER!$A:$A,MATCH(_xlpm.pos,MASTER!$J:$J,0))&amp;"_ser_0.20_"&amp;TEXT(INDEX(MASTER!$E:$E,MATCH(_xlpm.pos,MASTER!$J:$J,0)),"mmddyy"),""),_xlpm.slot,1920+(MATCH($A3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23" s="3" t="str">
        <f t="array" ref="I223">_xlfn.LET(_xlpm.pos,"Max Planck plate 21: "&amp;$A3&amp;I$2,_xlpm.normal,IFERROR(INDEX(MASTER!$A:$A,MATCH(_xlpm.pos,MASTER!$J:$J,0))&amp;"_ser_0.20_"&amp;TEXT(INDEX(MASTER!$E:$E,MATCH(_xlpm.pos,MASTER!$J:$J,0)),"mmddyy"),""),_xlpm.slot,1920+(MATCH($A3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23" s="3" t="str">
        <f t="array" ref="J223">_xlfn.LET(_xlpm.pos,"Max Planck plate 21: "&amp;$A3&amp;J$2,_xlpm.normal,IFERROR(INDEX(MASTER!$A:$A,MATCH(_xlpm.pos,MASTER!$J:$J,0))&amp;"_ser_0.20_"&amp;TEXT(INDEX(MASTER!$E:$E,MATCH(_xlpm.pos,MASTER!$J:$J,0)),"mmddyy"),""),_xlpm.slot,1920+(MATCH($A3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23" s="3" t="str">
        <f t="array" ref="K223">_xlfn.LET(_xlpm.pos,"Max Planck plate 21: "&amp;$A3&amp;K$2,_xlpm.normal,IFERROR(INDEX(MASTER!$A:$A,MATCH(_xlpm.pos,MASTER!$J:$J,0))&amp;"_ser_0.20_"&amp;TEXT(INDEX(MASTER!$E:$E,MATCH(_xlpm.pos,MASTER!$J:$J,0)),"mmddyy"),""),_xlpm.slot,1920+(MATCH($A3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23" s="3" t="str">
        <f t="array" ref="L223">_xlfn.LET(_xlpm.pos,"Max Planck plate 21: "&amp;$A3&amp;L$2,_xlpm.normal,IFERROR(INDEX(MASTER!$A:$A,MATCH(_xlpm.pos,MASTER!$J:$J,0))&amp;"_ser_0.20_"&amp;TEXT(INDEX(MASTER!$E:$E,MATCH(_xlpm.pos,MASTER!$J:$J,0)),"mmddyy"),""),_xlpm.slot,1920+(MATCH($A3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23" s="3" t="str">
        <f t="array" ref="M223">_xlfn.LET(_xlpm.pos,"Max Planck plate 21: "&amp;$A3&amp;M$2,_xlpm.normal,IFERROR(INDEX(MASTER!$A:$A,MATCH(_xlpm.pos,MASTER!$J:$J,0))&amp;"_ser_0.20_"&amp;TEXT(INDEX(MASTER!$E:$E,MATCH(_xlpm.pos,MASTER!$J:$J,0)),"mmddyy"),""),_xlpm.slot,1920+(MATCH($A3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24" spans="1:13" ht="22" customHeight="1" x14ac:dyDescent="0.3">
      <c r="A224" s="3" t="s">
        <v>31</v>
      </c>
      <c r="B224" s="3" t="str">
        <f t="array" ref="B224">_xlfn.LET(_xlpm.pos,"Max Planck plate 21: "&amp;$A4&amp;B$2,_xlpm.normal,IFERROR(INDEX(MASTER!$A:$A,MATCH(_xlpm.pos,MASTER!$J:$J,0))&amp;"_ser_0.20_"&amp;TEXT(INDEX(MASTER!$E:$E,MATCH(_xlpm.pos,MASTER!$J:$J,0)),"mmddyy"),""),_xlpm.slot,1920+(MATCH($A4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24" s="3" t="str">
        <f t="array" ref="C224">_xlfn.LET(_xlpm.pos,"Max Planck plate 21: "&amp;$A4&amp;C$2,_xlpm.normal,IFERROR(INDEX(MASTER!$A:$A,MATCH(_xlpm.pos,MASTER!$J:$J,0))&amp;"_ser_0.20_"&amp;TEXT(INDEX(MASTER!$E:$E,MATCH(_xlpm.pos,MASTER!$J:$J,0)),"mmddyy"),""),_xlpm.slot,1920+(MATCH($A4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24" s="3" t="str">
        <f t="array" ref="D224">_xlfn.LET(_xlpm.pos,"Max Planck plate 21: "&amp;$A4&amp;D$2,_xlpm.normal,IFERROR(INDEX(MASTER!$A:$A,MATCH(_xlpm.pos,MASTER!$J:$J,0))&amp;"_ser_0.20_"&amp;TEXT(INDEX(MASTER!$E:$E,MATCH(_xlpm.pos,MASTER!$J:$J,0)),"mmddyy"),""),_xlpm.slot,1920+(MATCH($A4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24" s="3" t="str">
        <f t="array" ref="E224">_xlfn.LET(_xlpm.pos,"Max Planck plate 21: "&amp;$A4&amp;E$2,_xlpm.normal,IFERROR(INDEX(MASTER!$A:$A,MATCH(_xlpm.pos,MASTER!$J:$J,0))&amp;"_ser_0.20_"&amp;TEXT(INDEX(MASTER!$E:$E,MATCH(_xlpm.pos,MASTER!$J:$J,0)),"mmddyy"),""),_xlpm.slot,1920+(MATCH($A4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24" s="3" t="str">
        <f t="array" ref="F224">_xlfn.LET(_xlpm.pos,"Max Planck plate 21: "&amp;$A4&amp;F$2,_xlpm.normal,IFERROR(INDEX(MASTER!$A:$A,MATCH(_xlpm.pos,MASTER!$J:$J,0))&amp;"_ser_0.20_"&amp;TEXT(INDEX(MASTER!$E:$E,MATCH(_xlpm.pos,MASTER!$J:$J,0)),"mmddyy"),""),_xlpm.slot,1920+(MATCH($A4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24" s="3" t="str">
        <f t="array" ref="G224">_xlfn.LET(_xlpm.pos,"Max Planck plate 21: "&amp;$A4&amp;G$2,_xlpm.normal,IFERROR(INDEX(MASTER!$A:$A,MATCH(_xlpm.pos,MASTER!$J:$J,0))&amp;"_ser_0.20_"&amp;TEXT(INDEX(MASTER!$E:$E,MATCH(_xlpm.pos,MASTER!$J:$J,0)),"mmddyy"),""),_xlpm.slot,1920+(MATCH($A4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24" s="3" t="str">
        <f t="array" ref="H224">_xlfn.LET(_xlpm.pos,"Max Planck plate 21: "&amp;$A4&amp;H$2,_xlpm.normal,IFERROR(INDEX(MASTER!$A:$A,MATCH(_xlpm.pos,MASTER!$J:$J,0))&amp;"_ser_0.20_"&amp;TEXT(INDEX(MASTER!$E:$E,MATCH(_xlpm.pos,MASTER!$J:$J,0)),"mmddyy"),""),_xlpm.slot,1920+(MATCH($A4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24" s="3" t="str">
        <f t="array" ref="I224">_xlfn.LET(_xlpm.pos,"Max Planck plate 21: "&amp;$A4&amp;I$2,_xlpm.normal,IFERROR(INDEX(MASTER!$A:$A,MATCH(_xlpm.pos,MASTER!$J:$J,0))&amp;"_ser_0.20_"&amp;TEXT(INDEX(MASTER!$E:$E,MATCH(_xlpm.pos,MASTER!$J:$J,0)),"mmddyy"),""),_xlpm.slot,1920+(MATCH($A4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24" s="3" t="str">
        <f t="array" ref="J224">_xlfn.LET(_xlpm.pos,"Max Planck plate 21: "&amp;$A4&amp;J$2,_xlpm.normal,IFERROR(INDEX(MASTER!$A:$A,MATCH(_xlpm.pos,MASTER!$J:$J,0))&amp;"_ser_0.20_"&amp;TEXT(INDEX(MASTER!$E:$E,MATCH(_xlpm.pos,MASTER!$J:$J,0)),"mmddyy"),""),_xlpm.slot,1920+(MATCH($A4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24" s="3" t="str">
        <f t="array" ref="K224">_xlfn.LET(_xlpm.pos,"Max Planck plate 21: "&amp;$A4&amp;K$2,_xlpm.normal,IFERROR(INDEX(MASTER!$A:$A,MATCH(_xlpm.pos,MASTER!$J:$J,0))&amp;"_ser_0.20_"&amp;TEXT(INDEX(MASTER!$E:$E,MATCH(_xlpm.pos,MASTER!$J:$J,0)),"mmddyy"),""),_xlpm.slot,1920+(MATCH($A4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24" s="3" t="str">
        <f t="array" ref="L224">_xlfn.LET(_xlpm.pos,"Max Planck plate 21: "&amp;$A4&amp;L$2,_xlpm.normal,IFERROR(INDEX(MASTER!$A:$A,MATCH(_xlpm.pos,MASTER!$J:$J,0))&amp;"_ser_0.20_"&amp;TEXT(INDEX(MASTER!$E:$E,MATCH(_xlpm.pos,MASTER!$J:$J,0)),"mmddyy"),""),_xlpm.slot,1920+(MATCH($A4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24" s="3" t="str">
        <f t="array" ref="M224">_xlfn.LET(_xlpm.pos,"Max Planck plate 21: "&amp;$A4&amp;M$2,_xlpm.normal,IFERROR(INDEX(MASTER!$A:$A,MATCH(_xlpm.pos,MASTER!$J:$J,0))&amp;"_ser_0.20_"&amp;TEXT(INDEX(MASTER!$E:$E,MATCH(_xlpm.pos,MASTER!$J:$J,0)),"mmddyy"),""),_xlpm.slot,1920+(MATCH($A4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25" spans="1:13" ht="22" customHeight="1" x14ac:dyDescent="0.3">
      <c r="A225" s="3" t="s">
        <v>32</v>
      </c>
      <c r="B225" s="3" t="str">
        <f t="array" ref="B225">_xlfn.LET(_xlpm.pos,"Max Planck plate 21: "&amp;$A5&amp;B$2,_xlpm.normal,IFERROR(INDEX(MASTER!$A:$A,MATCH(_xlpm.pos,MASTER!$J:$J,0))&amp;"_ser_0.20_"&amp;TEXT(INDEX(MASTER!$E:$E,MATCH(_xlpm.pos,MASTER!$J:$J,0)),"mmddyy"),""),_xlpm.slot,1920+(MATCH($A5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25" s="3" t="str">
        <f t="array" ref="C225">_xlfn.LET(_xlpm.pos,"Max Planck plate 21: "&amp;$A5&amp;C$2,_xlpm.normal,IFERROR(INDEX(MASTER!$A:$A,MATCH(_xlpm.pos,MASTER!$J:$J,0))&amp;"_ser_0.20_"&amp;TEXT(INDEX(MASTER!$E:$E,MATCH(_xlpm.pos,MASTER!$J:$J,0)),"mmddyy"),""),_xlpm.slot,1920+(MATCH($A5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25" s="3" t="str">
        <f t="array" ref="D225">_xlfn.LET(_xlpm.pos,"Max Planck plate 21: "&amp;$A5&amp;D$2,_xlpm.normal,IFERROR(INDEX(MASTER!$A:$A,MATCH(_xlpm.pos,MASTER!$J:$J,0))&amp;"_ser_0.20_"&amp;TEXT(INDEX(MASTER!$E:$E,MATCH(_xlpm.pos,MASTER!$J:$J,0)),"mmddyy"),""),_xlpm.slot,1920+(MATCH($A5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25" s="3" t="str">
        <f t="array" ref="E225">_xlfn.LET(_xlpm.pos,"Max Planck plate 21: "&amp;$A5&amp;E$2,_xlpm.normal,IFERROR(INDEX(MASTER!$A:$A,MATCH(_xlpm.pos,MASTER!$J:$J,0))&amp;"_ser_0.20_"&amp;TEXT(INDEX(MASTER!$E:$E,MATCH(_xlpm.pos,MASTER!$J:$J,0)),"mmddyy"),""),_xlpm.slot,1920+(MATCH($A5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25" s="3" t="str">
        <f t="array" ref="F225">_xlfn.LET(_xlpm.pos,"Max Planck plate 21: "&amp;$A5&amp;F$2,_xlpm.normal,IFERROR(INDEX(MASTER!$A:$A,MATCH(_xlpm.pos,MASTER!$J:$J,0))&amp;"_ser_0.20_"&amp;TEXT(INDEX(MASTER!$E:$E,MATCH(_xlpm.pos,MASTER!$J:$J,0)),"mmddyy"),""),_xlpm.slot,1920+(MATCH($A5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25" s="3" t="str">
        <f t="array" ref="G225">_xlfn.LET(_xlpm.pos,"Max Planck plate 21: "&amp;$A5&amp;G$2,_xlpm.normal,IFERROR(INDEX(MASTER!$A:$A,MATCH(_xlpm.pos,MASTER!$J:$J,0))&amp;"_ser_0.20_"&amp;TEXT(INDEX(MASTER!$E:$E,MATCH(_xlpm.pos,MASTER!$J:$J,0)),"mmddyy"),""),_xlpm.slot,1920+(MATCH($A5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25" s="3" t="str">
        <f t="array" ref="H225">_xlfn.LET(_xlpm.pos,"Max Planck plate 21: "&amp;$A5&amp;H$2,_xlpm.normal,IFERROR(INDEX(MASTER!$A:$A,MATCH(_xlpm.pos,MASTER!$J:$J,0))&amp;"_ser_0.20_"&amp;TEXT(INDEX(MASTER!$E:$E,MATCH(_xlpm.pos,MASTER!$J:$J,0)),"mmddyy"),""),_xlpm.slot,1920+(MATCH($A5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25" s="3" t="str">
        <f t="array" ref="I225">_xlfn.LET(_xlpm.pos,"Max Planck plate 21: "&amp;$A5&amp;I$2,_xlpm.normal,IFERROR(INDEX(MASTER!$A:$A,MATCH(_xlpm.pos,MASTER!$J:$J,0))&amp;"_ser_0.20_"&amp;TEXT(INDEX(MASTER!$E:$E,MATCH(_xlpm.pos,MASTER!$J:$J,0)),"mmddyy"),""),_xlpm.slot,1920+(MATCH($A5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25" s="3" t="str">
        <f t="array" ref="J225">_xlfn.LET(_xlpm.pos,"Max Planck plate 21: "&amp;$A5&amp;J$2,_xlpm.normal,IFERROR(INDEX(MASTER!$A:$A,MATCH(_xlpm.pos,MASTER!$J:$J,0))&amp;"_ser_0.20_"&amp;TEXT(INDEX(MASTER!$E:$E,MATCH(_xlpm.pos,MASTER!$J:$J,0)),"mmddyy"),""),_xlpm.slot,1920+(MATCH($A5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25" s="3" t="str">
        <f t="array" ref="K225">_xlfn.LET(_xlpm.pos,"Max Planck plate 21: "&amp;$A5&amp;K$2,_xlpm.normal,IFERROR(INDEX(MASTER!$A:$A,MATCH(_xlpm.pos,MASTER!$J:$J,0))&amp;"_ser_0.20_"&amp;TEXT(INDEX(MASTER!$E:$E,MATCH(_xlpm.pos,MASTER!$J:$J,0)),"mmddyy"),""),_xlpm.slot,1920+(MATCH($A5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25" s="3" t="str">
        <f t="array" ref="L225">_xlfn.LET(_xlpm.pos,"Max Planck plate 21: "&amp;$A5&amp;L$2,_xlpm.normal,IFERROR(INDEX(MASTER!$A:$A,MATCH(_xlpm.pos,MASTER!$J:$J,0))&amp;"_ser_0.20_"&amp;TEXT(INDEX(MASTER!$E:$E,MATCH(_xlpm.pos,MASTER!$J:$J,0)),"mmddyy"),""),_xlpm.slot,1920+(MATCH($A5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25" s="3" t="str">
        <f t="array" ref="M225">_xlfn.LET(_xlpm.pos,"Max Planck plate 21: "&amp;$A5&amp;M$2,_xlpm.normal,IFERROR(INDEX(MASTER!$A:$A,MATCH(_xlpm.pos,MASTER!$J:$J,0))&amp;"_ser_0.20_"&amp;TEXT(INDEX(MASTER!$E:$E,MATCH(_xlpm.pos,MASTER!$J:$J,0)),"mmddyy"),""),_xlpm.slot,1920+(MATCH($A5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26" spans="1:13" ht="22" customHeight="1" x14ac:dyDescent="0.3">
      <c r="A226" s="3" t="s">
        <v>33</v>
      </c>
      <c r="B226" s="3" t="str">
        <f t="array" ref="B226">_xlfn.LET(_xlpm.pos,"Max Planck plate 21: "&amp;$A6&amp;B$2,_xlpm.normal,IFERROR(INDEX(MASTER!$A:$A,MATCH(_xlpm.pos,MASTER!$J:$J,0))&amp;"_ser_0.20_"&amp;TEXT(INDEX(MASTER!$E:$E,MATCH(_xlpm.pos,MASTER!$J:$J,0)),"mmddyy"),""),_xlpm.slot,1920+(MATCH($A6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26" s="3" t="str">
        <f t="array" ref="C226">_xlfn.LET(_xlpm.pos,"Max Planck plate 21: "&amp;$A6&amp;C$2,_xlpm.normal,IFERROR(INDEX(MASTER!$A:$A,MATCH(_xlpm.pos,MASTER!$J:$J,0))&amp;"_ser_0.20_"&amp;TEXT(INDEX(MASTER!$E:$E,MATCH(_xlpm.pos,MASTER!$J:$J,0)),"mmddyy"),""),_xlpm.slot,1920+(MATCH($A6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26" s="3" t="str">
        <f t="array" ref="D226">_xlfn.LET(_xlpm.pos,"Max Planck plate 21: "&amp;$A6&amp;D$2,_xlpm.normal,IFERROR(INDEX(MASTER!$A:$A,MATCH(_xlpm.pos,MASTER!$J:$J,0))&amp;"_ser_0.20_"&amp;TEXT(INDEX(MASTER!$E:$E,MATCH(_xlpm.pos,MASTER!$J:$J,0)),"mmddyy"),""),_xlpm.slot,1920+(MATCH($A6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26" s="3" t="str">
        <f t="array" ref="E226">_xlfn.LET(_xlpm.pos,"Max Planck plate 21: "&amp;$A6&amp;E$2,_xlpm.normal,IFERROR(INDEX(MASTER!$A:$A,MATCH(_xlpm.pos,MASTER!$J:$J,0))&amp;"_ser_0.20_"&amp;TEXT(INDEX(MASTER!$E:$E,MATCH(_xlpm.pos,MASTER!$J:$J,0)),"mmddyy"),""),_xlpm.slot,1920+(MATCH($A6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26" s="3" t="str">
        <f t="array" ref="F226">_xlfn.LET(_xlpm.pos,"Max Planck plate 21: "&amp;$A6&amp;F$2,_xlpm.normal,IFERROR(INDEX(MASTER!$A:$A,MATCH(_xlpm.pos,MASTER!$J:$J,0))&amp;"_ser_0.20_"&amp;TEXT(INDEX(MASTER!$E:$E,MATCH(_xlpm.pos,MASTER!$J:$J,0)),"mmddyy"),""),_xlpm.slot,1920+(MATCH($A6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26" s="3" t="str">
        <f t="array" ref="G226">_xlfn.LET(_xlpm.pos,"Max Planck plate 21: "&amp;$A6&amp;G$2,_xlpm.normal,IFERROR(INDEX(MASTER!$A:$A,MATCH(_xlpm.pos,MASTER!$J:$J,0))&amp;"_ser_0.20_"&amp;TEXT(INDEX(MASTER!$E:$E,MATCH(_xlpm.pos,MASTER!$J:$J,0)),"mmddyy"),""),_xlpm.slot,1920+(MATCH($A6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26" s="3" t="str">
        <f t="array" ref="H226">_xlfn.LET(_xlpm.pos,"Max Planck plate 21: "&amp;$A6&amp;H$2,_xlpm.normal,IFERROR(INDEX(MASTER!$A:$A,MATCH(_xlpm.pos,MASTER!$J:$J,0))&amp;"_ser_0.20_"&amp;TEXT(INDEX(MASTER!$E:$E,MATCH(_xlpm.pos,MASTER!$J:$J,0)),"mmddyy"),""),_xlpm.slot,1920+(MATCH($A6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26" s="3" t="str">
        <f t="array" ref="I226">_xlfn.LET(_xlpm.pos,"Max Planck plate 21: "&amp;$A6&amp;I$2,_xlpm.normal,IFERROR(INDEX(MASTER!$A:$A,MATCH(_xlpm.pos,MASTER!$J:$J,0))&amp;"_ser_0.20_"&amp;TEXT(INDEX(MASTER!$E:$E,MATCH(_xlpm.pos,MASTER!$J:$J,0)),"mmddyy"),""),_xlpm.slot,1920+(MATCH($A6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26" s="3" t="str">
        <f t="array" ref="J226">_xlfn.LET(_xlpm.pos,"Max Planck plate 21: "&amp;$A6&amp;J$2,_xlpm.normal,IFERROR(INDEX(MASTER!$A:$A,MATCH(_xlpm.pos,MASTER!$J:$J,0))&amp;"_ser_0.20_"&amp;TEXT(INDEX(MASTER!$E:$E,MATCH(_xlpm.pos,MASTER!$J:$J,0)),"mmddyy"),""),_xlpm.slot,1920+(MATCH($A6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26" s="3" t="str">
        <f t="array" ref="K226">_xlfn.LET(_xlpm.pos,"Max Planck plate 21: "&amp;$A6&amp;K$2,_xlpm.normal,IFERROR(INDEX(MASTER!$A:$A,MATCH(_xlpm.pos,MASTER!$J:$J,0))&amp;"_ser_0.20_"&amp;TEXT(INDEX(MASTER!$E:$E,MATCH(_xlpm.pos,MASTER!$J:$J,0)),"mmddyy"),""),_xlpm.slot,1920+(MATCH($A6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26" s="3" t="str">
        <f t="array" ref="L226">_xlfn.LET(_xlpm.pos,"Max Planck plate 21: "&amp;$A6&amp;L$2,_xlpm.normal,IFERROR(INDEX(MASTER!$A:$A,MATCH(_xlpm.pos,MASTER!$J:$J,0))&amp;"_ser_0.20_"&amp;TEXT(INDEX(MASTER!$E:$E,MATCH(_xlpm.pos,MASTER!$J:$J,0)),"mmddyy"),""),_xlpm.slot,1920+(MATCH($A6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26" s="3" t="str">
        <f t="array" ref="M226">_xlfn.LET(_xlpm.pos,"Max Planck plate 21: "&amp;$A6&amp;M$2,_xlpm.normal,IFERROR(INDEX(MASTER!$A:$A,MATCH(_xlpm.pos,MASTER!$J:$J,0))&amp;"_ser_0.20_"&amp;TEXT(INDEX(MASTER!$E:$E,MATCH(_xlpm.pos,MASTER!$J:$J,0)),"mmddyy"),""),_xlpm.slot,1920+(MATCH($A6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27" spans="1:13" ht="22" customHeight="1" x14ac:dyDescent="0.3">
      <c r="A227" s="3" t="s">
        <v>34</v>
      </c>
      <c r="B227" s="3" t="str">
        <f t="array" ref="B227">_xlfn.LET(_xlpm.pos,"Max Planck plate 21: "&amp;$A7&amp;B$2,_xlpm.normal,IFERROR(INDEX(MASTER!$A:$A,MATCH(_xlpm.pos,MASTER!$J:$J,0))&amp;"_ser_0.20_"&amp;TEXT(INDEX(MASTER!$E:$E,MATCH(_xlpm.pos,MASTER!$J:$J,0)),"mmddyy"),""),_xlpm.slot,1920+(MATCH($A7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27" s="3" t="str">
        <f t="array" ref="C227">_xlfn.LET(_xlpm.pos,"Max Planck plate 21: "&amp;$A7&amp;C$2,_xlpm.normal,IFERROR(INDEX(MASTER!$A:$A,MATCH(_xlpm.pos,MASTER!$J:$J,0))&amp;"_ser_0.20_"&amp;TEXT(INDEX(MASTER!$E:$E,MATCH(_xlpm.pos,MASTER!$J:$J,0)),"mmddyy"),""),_xlpm.slot,1920+(MATCH($A7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27" s="3" t="str">
        <f t="array" ref="D227">_xlfn.LET(_xlpm.pos,"Max Planck plate 21: "&amp;$A7&amp;D$2,_xlpm.normal,IFERROR(INDEX(MASTER!$A:$A,MATCH(_xlpm.pos,MASTER!$J:$J,0))&amp;"_ser_0.20_"&amp;TEXT(INDEX(MASTER!$E:$E,MATCH(_xlpm.pos,MASTER!$J:$J,0)),"mmddyy"),""),_xlpm.slot,1920+(MATCH($A7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27" s="3" t="str">
        <f t="array" ref="E227">_xlfn.LET(_xlpm.pos,"Max Planck plate 21: "&amp;$A7&amp;E$2,_xlpm.normal,IFERROR(INDEX(MASTER!$A:$A,MATCH(_xlpm.pos,MASTER!$J:$J,0))&amp;"_ser_0.20_"&amp;TEXT(INDEX(MASTER!$E:$E,MATCH(_xlpm.pos,MASTER!$J:$J,0)),"mmddyy"),""),_xlpm.slot,1920+(MATCH($A7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27" s="3" t="str">
        <f t="array" ref="F227">_xlfn.LET(_xlpm.pos,"Max Planck plate 21: "&amp;$A7&amp;F$2,_xlpm.normal,IFERROR(INDEX(MASTER!$A:$A,MATCH(_xlpm.pos,MASTER!$J:$J,0))&amp;"_ser_0.20_"&amp;TEXT(INDEX(MASTER!$E:$E,MATCH(_xlpm.pos,MASTER!$J:$J,0)),"mmddyy"),""),_xlpm.slot,1920+(MATCH($A7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27" s="3" t="str">
        <f t="array" ref="G227">_xlfn.LET(_xlpm.pos,"Max Planck plate 21: "&amp;$A7&amp;G$2,_xlpm.normal,IFERROR(INDEX(MASTER!$A:$A,MATCH(_xlpm.pos,MASTER!$J:$J,0))&amp;"_ser_0.20_"&amp;TEXT(INDEX(MASTER!$E:$E,MATCH(_xlpm.pos,MASTER!$J:$J,0)),"mmddyy"),""),_xlpm.slot,1920+(MATCH($A7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27" s="3" t="str">
        <f t="array" ref="H227">_xlfn.LET(_xlpm.pos,"Max Planck plate 21: "&amp;$A7&amp;H$2,_xlpm.normal,IFERROR(INDEX(MASTER!$A:$A,MATCH(_xlpm.pos,MASTER!$J:$J,0))&amp;"_ser_0.20_"&amp;TEXT(INDEX(MASTER!$E:$E,MATCH(_xlpm.pos,MASTER!$J:$J,0)),"mmddyy"),""),_xlpm.slot,1920+(MATCH($A7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27" s="3" t="str">
        <f t="array" ref="I227">_xlfn.LET(_xlpm.pos,"Max Planck plate 21: "&amp;$A7&amp;I$2,_xlpm.normal,IFERROR(INDEX(MASTER!$A:$A,MATCH(_xlpm.pos,MASTER!$J:$J,0))&amp;"_ser_0.20_"&amp;TEXT(INDEX(MASTER!$E:$E,MATCH(_xlpm.pos,MASTER!$J:$J,0)),"mmddyy"),""),_xlpm.slot,1920+(MATCH($A7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27" s="3" t="str">
        <f t="array" ref="J227">_xlfn.LET(_xlpm.pos,"Max Planck plate 21: "&amp;$A7&amp;J$2,_xlpm.normal,IFERROR(INDEX(MASTER!$A:$A,MATCH(_xlpm.pos,MASTER!$J:$J,0))&amp;"_ser_0.20_"&amp;TEXT(INDEX(MASTER!$E:$E,MATCH(_xlpm.pos,MASTER!$J:$J,0)),"mmddyy"),""),_xlpm.slot,1920+(MATCH($A7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27" s="3" t="str">
        <f t="array" ref="K227">_xlfn.LET(_xlpm.pos,"Max Planck plate 21: "&amp;$A7&amp;K$2,_xlpm.normal,IFERROR(INDEX(MASTER!$A:$A,MATCH(_xlpm.pos,MASTER!$J:$J,0))&amp;"_ser_0.20_"&amp;TEXT(INDEX(MASTER!$E:$E,MATCH(_xlpm.pos,MASTER!$J:$J,0)),"mmddyy"),""),_xlpm.slot,1920+(MATCH($A7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27" s="3" t="str">
        <f t="array" ref="L227">_xlfn.LET(_xlpm.pos,"Max Planck plate 21: "&amp;$A7&amp;L$2,_xlpm.normal,IFERROR(INDEX(MASTER!$A:$A,MATCH(_xlpm.pos,MASTER!$J:$J,0))&amp;"_ser_0.20_"&amp;TEXT(INDEX(MASTER!$E:$E,MATCH(_xlpm.pos,MASTER!$J:$J,0)),"mmddyy"),""),_xlpm.slot,1920+(MATCH($A7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27" s="3" t="str">
        <f t="array" ref="M227">_xlfn.LET(_xlpm.pos,"Max Planck plate 21: "&amp;$A7&amp;M$2,_xlpm.normal,IFERROR(INDEX(MASTER!$A:$A,MATCH(_xlpm.pos,MASTER!$J:$J,0))&amp;"_ser_0.20_"&amp;TEXT(INDEX(MASTER!$E:$E,MATCH(_xlpm.pos,MASTER!$J:$J,0)),"mmddyy"),""),_xlpm.slot,1920+(MATCH($A7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28" spans="1:13" ht="22" customHeight="1" x14ac:dyDescent="0.3">
      <c r="A228" s="3" t="s">
        <v>15</v>
      </c>
      <c r="B228" s="3" t="str">
        <f t="array" ref="B228">_xlfn.LET(_xlpm.pos,"Max Planck plate 21: "&amp;$A8&amp;B$2,_xlpm.normal,IFERROR(INDEX(MASTER!$A:$A,MATCH(_xlpm.pos,MASTER!$J:$J,0))&amp;"_ser_0.20_"&amp;TEXT(INDEX(MASTER!$E:$E,MATCH(_xlpm.pos,MASTER!$J:$J,0)),"mmddyy"),""),_xlpm.slot,1920+(MATCH($A8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28" s="3" t="str">
        <f t="array" ref="C228">_xlfn.LET(_xlpm.pos,"Max Planck plate 21: "&amp;$A8&amp;C$2,_xlpm.normal,IFERROR(INDEX(MASTER!$A:$A,MATCH(_xlpm.pos,MASTER!$J:$J,0))&amp;"_ser_0.20_"&amp;TEXT(INDEX(MASTER!$E:$E,MATCH(_xlpm.pos,MASTER!$J:$J,0)),"mmddyy"),""),_xlpm.slot,1920+(MATCH($A8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28" s="3" t="str">
        <f t="array" ref="D228">_xlfn.LET(_xlpm.pos,"Max Planck plate 21: "&amp;$A8&amp;D$2,_xlpm.normal,IFERROR(INDEX(MASTER!$A:$A,MATCH(_xlpm.pos,MASTER!$J:$J,0))&amp;"_ser_0.20_"&amp;TEXT(INDEX(MASTER!$E:$E,MATCH(_xlpm.pos,MASTER!$J:$J,0)),"mmddyy"),""),_xlpm.slot,1920+(MATCH($A8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28" s="3" t="str">
        <f t="array" ref="E228">_xlfn.LET(_xlpm.pos,"Max Planck plate 21: "&amp;$A8&amp;E$2,_xlpm.normal,IFERROR(INDEX(MASTER!$A:$A,MATCH(_xlpm.pos,MASTER!$J:$J,0))&amp;"_ser_0.20_"&amp;TEXT(INDEX(MASTER!$E:$E,MATCH(_xlpm.pos,MASTER!$J:$J,0)),"mmddyy"),""),_xlpm.slot,1920+(MATCH($A8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28" s="3" t="str">
        <f t="array" ref="F228">_xlfn.LET(_xlpm.pos,"Max Planck plate 21: "&amp;$A8&amp;F$2,_xlpm.normal,IFERROR(INDEX(MASTER!$A:$A,MATCH(_xlpm.pos,MASTER!$J:$J,0))&amp;"_ser_0.20_"&amp;TEXT(INDEX(MASTER!$E:$E,MATCH(_xlpm.pos,MASTER!$J:$J,0)),"mmddyy"),""),_xlpm.slot,1920+(MATCH($A8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28" s="3" t="str">
        <f t="array" ref="G228">_xlfn.LET(_xlpm.pos,"Max Planck plate 21: "&amp;$A8&amp;G$2,_xlpm.normal,IFERROR(INDEX(MASTER!$A:$A,MATCH(_xlpm.pos,MASTER!$J:$J,0))&amp;"_ser_0.20_"&amp;TEXT(INDEX(MASTER!$E:$E,MATCH(_xlpm.pos,MASTER!$J:$J,0)),"mmddyy"),""),_xlpm.slot,1920+(MATCH($A8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28" s="3" t="str">
        <f t="array" ref="H228">_xlfn.LET(_xlpm.pos,"Max Planck plate 21: "&amp;$A8&amp;H$2,_xlpm.normal,IFERROR(INDEX(MASTER!$A:$A,MATCH(_xlpm.pos,MASTER!$J:$J,0))&amp;"_ser_0.20_"&amp;TEXT(INDEX(MASTER!$E:$E,MATCH(_xlpm.pos,MASTER!$J:$J,0)),"mmddyy"),""),_xlpm.slot,1920+(MATCH($A8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28" s="3" t="str">
        <f t="array" ref="I228">_xlfn.LET(_xlpm.pos,"Max Planck plate 21: "&amp;$A8&amp;I$2,_xlpm.normal,IFERROR(INDEX(MASTER!$A:$A,MATCH(_xlpm.pos,MASTER!$J:$J,0))&amp;"_ser_0.20_"&amp;TEXT(INDEX(MASTER!$E:$E,MATCH(_xlpm.pos,MASTER!$J:$J,0)),"mmddyy"),""),_xlpm.slot,1920+(MATCH($A8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28" s="3" t="str">
        <f t="array" ref="J228">_xlfn.LET(_xlpm.pos,"Max Planck plate 21: "&amp;$A8&amp;J$2,_xlpm.normal,IFERROR(INDEX(MASTER!$A:$A,MATCH(_xlpm.pos,MASTER!$J:$J,0))&amp;"_ser_0.20_"&amp;TEXT(INDEX(MASTER!$E:$E,MATCH(_xlpm.pos,MASTER!$J:$J,0)),"mmddyy"),""),_xlpm.slot,1920+(MATCH($A8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28" s="3" t="str">
        <f t="array" ref="K228">_xlfn.LET(_xlpm.pos,"Max Planck plate 21: "&amp;$A8&amp;K$2,_xlpm.normal,IFERROR(INDEX(MASTER!$A:$A,MATCH(_xlpm.pos,MASTER!$J:$J,0))&amp;"_ser_0.20_"&amp;TEXT(INDEX(MASTER!$E:$E,MATCH(_xlpm.pos,MASTER!$J:$J,0)),"mmddyy"),""),_xlpm.slot,1920+(MATCH($A8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28" s="3" t="str">
        <f t="array" ref="L228">_xlfn.LET(_xlpm.pos,"Max Planck plate 21: "&amp;$A8&amp;L$2,_xlpm.normal,IFERROR(INDEX(MASTER!$A:$A,MATCH(_xlpm.pos,MASTER!$J:$J,0))&amp;"_ser_0.20_"&amp;TEXT(INDEX(MASTER!$E:$E,MATCH(_xlpm.pos,MASTER!$J:$J,0)),"mmddyy"),""),_xlpm.slot,1920+(MATCH($A8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28" s="3" t="str">
        <f t="array" ref="M228">_xlfn.LET(_xlpm.pos,"Max Planck plate 21: "&amp;$A8&amp;M$2,_xlpm.normal,IFERROR(INDEX(MASTER!$A:$A,MATCH(_xlpm.pos,MASTER!$J:$J,0))&amp;"_ser_0.20_"&amp;TEXT(INDEX(MASTER!$E:$E,MATCH(_xlpm.pos,MASTER!$J:$J,0)),"mmddyy"),""),_xlpm.slot,1920+(MATCH($A8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29" spans="1:13" ht="22" customHeight="1" x14ac:dyDescent="0.3">
      <c r="A229" s="3" t="s">
        <v>35</v>
      </c>
      <c r="B229" s="3" t="str">
        <f t="array" ref="B229">_xlfn.LET(_xlpm.pos,"Max Planck plate 21: "&amp;$A9&amp;B$2,_xlpm.normal,IFERROR(INDEX(MASTER!$A:$A,MATCH(_xlpm.pos,MASTER!$J:$J,0))&amp;"_ser_0.20_"&amp;TEXT(INDEX(MASTER!$E:$E,MATCH(_xlpm.pos,MASTER!$J:$J,0)),"mmddyy"),""),_xlpm.slot,1920+(MATCH($A9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29" s="3" t="str">
        <f t="array" ref="C229">_xlfn.LET(_xlpm.pos,"Max Planck plate 21: "&amp;$A9&amp;C$2,_xlpm.normal,IFERROR(INDEX(MASTER!$A:$A,MATCH(_xlpm.pos,MASTER!$J:$J,0))&amp;"_ser_0.20_"&amp;TEXT(INDEX(MASTER!$E:$E,MATCH(_xlpm.pos,MASTER!$J:$J,0)),"mmddyy"),""),_xlpm.slot,1920+(MATCH($A9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29" s="3" t="str">
        <f t="array" ref="D229">_xlfn.LET(_xlpm.pos,"Max Planck plate 21: "&amp;$A9&amp;D$2,_xlpm.normal,IFERROR(INDEX(MASTER!$A:$A,MATCH(_xlpm.pos,MASTER!$J:$J,0))&amp;"_ser_0.20_"&amp;TEXT(INDEX(MASTER!$E:$E,MATCH(_xlpm.pos,MASTER!$J:$J,0)),"mmddyy"),""),_xlpm.slot,1920+(MATCH($A9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29" s="3" t="str">
        <f t="array" ref="E229">_xlfn.LET(_xlpm.pos,"Max Planck plate 21: "&amp;$A9&amp;E$2,_xlpm.normal,IFERROR(INDEX(MASTER!$A:$A,MATCH(_xlpm.pos,MASTER!$J:$J,0))&amp;"_ser_0.20_"&amp;TEXT(INDEX(MASTER!$E:$E,MATCH(_xlpm.pos,MASTER!$J:$J,0)),"mmddyy"),""),_xlpm.slot,1920+(MATCH($A9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29" s="3" t="str">
        <f t="array" ref="F229">_xlfn.LET(_xlpm.pos,"Max Planck plate 21: "&amp;$A9&amp;F$2,_xlpm.normal,IFERROR(INDEX(MASTER!$A:$A,MATCH(_xlpm.pos,MASTER!$J:$J,0))&amp;"_ser_0.20_"&amp;TEXT(INDEX(MASTER!$E:$E,MATCH(_xlpm.pos,MASTER!$J:$J,0)),"mmddyy"),""),_xlpm.slot,1920+(MATCH($A9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29" s="3" t="str">
        <f t="array" ref="G229">_xlfn.LET(_xlpm.pos,"Max Planck plate 21: "&amp;$A9&amp;G$2,_xlpm.normal,IFERROR(INDEX(MASTER!$A:$A,MATCH(_xlpm.pos,MASTER!$J:$J,0))&amp;"_ser_0.20_"&amp;TEXT(INDEX(MASTER!$E:$E,MATCH(_xlpm.pos,MASTER!$J:$J,0)),"mmddyy"),""),_xlpm.slot,1920+(MATCH($A9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29" s="3" t="str">
        <f t="array" ref="H229">_xlfn.LET(_xlpm.pos,"Max Planck plate 21: "&amp;$A9&amp;H$2,_xlpm.normal,IFERROR(INDEX(MASTER!$A:$A,MATCH(_xlpm.pos,MASTER!$J:$J,0))&amp;"_ser_0.20_"&amp;TEXT(INDEX(MASTER!$E:$E,MATCH(_xlpm.pos,MASTER!$J:$J,0)),"mmddyy"),""),_xlpm.slot,1920+(MATCH($A9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29" s="3" t="str">
        <f t="array" ref="I229">_xlfn.LET(_xlpm.pos,"Max Planck plate 21: "&amp;$A9&amp;I$2,_xlpm.normal,IFERROR(INDEX(MASTER!$A:$A,MATCH(_xlpm.pos,MASTER!$J:$J,0))&amp;"_ser_0.20_"&amp;TEXT(INDEX(MASTER!$E:$E,MATCH(_xlpm.pos,MASTER!$J:$J,0)),"mmddyy"),""),_xlpm.slot,1920+(MATCH($A9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29" s="3" t="str">
        <f t="array" ref="J229">_xlfn.LET(_xlpm.pos,"Max Planck plate 21: "&amp;$A9&amp;J$2,_xlpm.normal,IFERROR(INDEX(MASTER!$A:$A,MATCH(_xlpm.pos,MASTER!$J:$J,0))&amp;"_ser_0.20_"&amp;TEXT(INDEX(MASTER!$E:$E,MATCH(_xlpm.pos,MASTER!$J:$J,0)),"mmddyy"),""),_xlpm.slot,1920+(MATCH($A9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29" s="3" t="str">
        <f t="array" ref="K229">_xlfn.LET(_xlpm.pos,"Max Planck plate 21: "&amp;$A9&amp;K$2,_xlpm.normal,IFERROR(INDEX(MASTER!$A:$A,MATCH(_xlpm.pos,MASTER!$J:$J,0))&amp;"_ser_0.20_"&amp;TEXT(INDEX(MASTER!$E:$E,MATCH(_xlpm.pos,MASTER!$J:$J,0)),"mmddyy"),""),_xlpm.slot,1920+(MATCH($A9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29" s="3" t="str">
        <f t="array" ref="L229">_xlfn.LET(_xlpm.pos,"Max Planck plate 21: "&amp;$A9&amp;L$2,_xlpm.normal,IFERROR(INDEX(MASTER!$A:$A,MATCH(_xlpm.pos,MASTER!$J:$J,0))&amp;"_ser_0.20_"&amp;TEXT(INDEX(MASTER!$E:$E,MATCH(_xlpm.pos,MASTER!$J:$J,0)),"mmddyy"),""),_xlpm.slot,1920+(MATCH($A9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29" s="3" t="str">
        <f t="array" ref="M229">_xlfn.LET(_xlpm.pos,"Max Planck plate 21: "&amp;$A9&amp;M$2,_xlpm.normal,IFERROR(INDEX(MASTER!$A:$A,MATCH(_xlpm.pos,MASTER!$J:$J,0))&amp;"_ser_0.20_"&amp;TEXT(INDEX(MASTER!$E:$E,MATCH(_xlpm.pos,MASTER!$J:$J,0)),"mmddyy"),""),_xlpm.slot,1920+(MATCH($A9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  <row r="230" spans="1:13" ht="22" customHeight="1" x14ac:dyDescent="0.3">
      <c r="A230" s="3" t="s">
        <v>36</v>
      </c>
      <c r="B230" s="3" t="str">
        <f t="array" ref="B230">_xlfn.LET(_xlpm.pos,"Max Planck plate 21: "&amp;$A10&amp;B$2,_xlpm.normal,IFERROR(INDEX(MASTER!$A:$A,MATCH(_xlpm.pos,MASTER!$J:$J,0))&amp;"_ser_0.20_"&amp;TEXT(INDEX(MASTER!$E:$E,MATCH(_xlpm.pos,MASTER!$J:$J,0)),"mmddyy"),""),_xlpm.slot,1920+(MATCH($A10,{"A","B","C","D","E","F","G","H"},0)-1)*12+B$2,_xlpm.code,"TXS"&amp;TEXT(_xlpm.slot,"00000"),_xlpm.xval,IFERROR(_xlfn.XLOOKUP(_xlpm.code,MASTER!$A:$A,MASTER!$J:$J,""),""),IF(_xlpm.normal&lt;&gt;"",_xlpm.normal,IF(_xlpm.xval="X","X","")))</f>
        <v/>
      </c>
      <c r="C230" s="3" t="str">
        <f t="array" ref="C230">_xlfn.LET(_xlpm.pos,"Max Planck plate 21: "&amp;$A10&amp;C$2,_xlpm.normal,IFERROR(INDEX(MASTER!$A:$A,MATCH(_xlpm.pos,MASTER!$J:$J,0))&amp;"_ser_0.20_"&amp;TEXT(INDEX(MASTER!$E:$E,MATCH(_xlpm.pos,MASTER!$J:$J,0)),"mmddyy"),""),_xlpm.slot,1920+(MATCH($A10,{"A","B","C","D","E","F","G","H"},0)-1)*12+C$2,_xlpm.code,"TXS"&amp;TEXT(_xlpm.slot,"00000"),_xlpm.xval,IFERROR(_xlfn.XLOOKUP(_xlpm.code,MASTER!$A:$A,MASTER!$J:$J,""),""),IF(_xlpm.normal&lt;&gt;"",_xlpm.normal,IF(_xlpm.xval="X","X","")))</f>
        <v/>
      </c>
      <c r="D230" s="3" t="str">
        <f t="array" ref="D230">_xlfn.LET(_xlpm.pos,"Max Planck plate 21: "&amp;$A10&amp;D$2,_xlpm.normal,IFERROR(INDEX(MASTER!$A:$A,MATCH(_xlpm.pos,MASTER!$J:$J,0))&amp;"_ser_0.20_"&amp;TEXT(INDEX(MASTER!$E:$E,MATCH(_xlpm.pos,MASTER!$J:$J,0)),"mmddyy"),""),_xlpm.slot,1920+(MATCH($A10,{"A","B","C","D","E","F","G","H"},0)-1)*12+D$2,_xlpm.code,"TXS"&amp;TEXT(_xlpm.slot,"00000"),_xlpm.xval,IFERROR(_xlfn.XLOOKUP(_xlpm.code,MASTER!$A:$A,MASTER!$J:$J,""),""),IF(_xlpm.normal&lt;&gt;"",_xlpm.normal,IF(_xlpm.xval="X","X","")))</f>
        <v/>
      </c>
      <c r="E230" s="3" t="str">
        <f t="array" ref="E230">_xlfn.LET(_xlpm.pos,"Max Planck plate 21: "&amp;$A10&amp;E$2,_xlpm.normal,IFERROR(INDEX(MASTER!$A:$A,MATCH(_xlpm.pos,MASTER!$J:$J,0))&amp;"_ser_0.20_"&amp;TEXT(INDEX(MASTER!$E:$E,MATCH(_xlpm.pos,MASTER!$J:$J,0)),"mmddyy"),""),_xlpm.slot,1920+(MATCH($A10,{"A","B","C","D","E","F","G","H"},0)-1)*12+E$2,_xlpm.code,"TXS"&amp;TEXT(_xlpm.slot,"00000"),_xlpm.xval,IFERROR(_xlfn.XLOOKUP(_xlpm.code,MASTER!$A:$A,MASTER!$J:$J,""),""),IF(_xlpm.normal&lt;&gt;"",_xlpm.normal,IF(_xlpm.xval="X","X","")))</f>
        <v/>
      </c>
      <c r="F230" s="3" t="str">
        <f t="array" ref="F230">_xlfn.LET(_xlpm.pos,"Max Planck plate 21: "&amp;$A10&amp;F$2,_xlpm.normal,IFERROR(INDEX(MASTER!$A:$A,MATCH(_xlpm.pos,MASTER!$J:$J,0))&amp;"_ser_0.20_"&amp;TEXT(INDEX(MASTER!$E:$E,MATCH(_xlpm.pos,MASTER!$J:$J,0)),"mmddyy"),""),_xlpm.slot,1920+(MATCH($A10,{"A","B","C","D","E","F","G","H"},0)-1)*12+F$2,_xlpm.code,"TXS"&amp;TEXT(_xlpm.slot,"00000"),_xlpm.xval,IFERROR(_xlfn.XLOOKUP(_xlpm.code,MASTER!$A:$A,MASTER!$J:$J,""),""),IF(_xlpm.normal&lt;&gt;"",_xlpm.normal,IF(_xlpm.xval="X","X","")))</f>
        <v/>
      </c>
      <c r="G230" s="3" t="str">
        <f t="array" ref="G230">_xlfn.LET(_xlpm.pos,"Max Planck plate 21: "&amp;$A10&amp;G$2,_xlpm.normal,IFERROR(INDEX(MASTER!$A:$A,MATCH(_xlpm.pos,MASTER!$J:$J,0))&amp;"_ser_0.20_"&amp;TEXT(INDEX(MASTER!$E:$E,MATCH(_xlpm.pos,MASTER!$J:$J,0)),"mmddyy"),""),_xlpm.slot,1920+(MATCH($A10,{"A","B","C","D","E","F","G","H"},0)-1)*12+G$2,_xlpm.code,"TXS"&amp;TEXT(_xlpm.slot,"00000"),_xlpm.xval,IFERROR(_xlfn.XLOOKUP(_xlpm.code,MASTER!$A:$A,MASTER!$J:$J,""),""),IF(_xlpm.normal&lt;&gt;"",_xlpm.normal,IF(_xlpm.xval="X","X","")))</f>
        <v/>
      </c>
      <c r="H230" s="3" t="str">
        <f t="array" ref="H230">_xlfn.LET(_xlpm.pos,"Max Planck plate 21: "&amp;$A10&amp;H$2,_xlpm.normal,IFERROR(INDEX(MASTER!$A:$A,MATCH(_xlpm.pos,MASTER!$J:$J,0))&amp;"_ser_0.20_"&amp;TEXT(INDEX(MASTER!$E:$E,MATCH(_xlpm.pos,MASTER!$J:$J,0)),"mmddyy"),""),_xlpm.slot,1920+(MATCH($A10,{"A","B","C","D","E","F","G","H"},0)-1)*12+H$2,_xlpm.code,"TXS"&amp;TEXT(_xlpm.slot,"00000"),_xlpm.xval,IFERROR(_xlfn.XLOOKUP(_xlpm.code,MASTER!$A:$A,MASTER!$J:$J,""),""),IF(_xlpm.normal&lt;&gt;"",_xlpm.normal,IF(_xlpm.xval="X","X","")))</f>
        <v/>
      </c>
      <c r="I230" s="3" t="str">
        <f t="array" ref="I230">_xlfn.LET(_xlpm.pos,"Max Planck plate 21: "&amp;$A10&amp;I$2,_xlpm.normal,IFERROR(INDEX(MASTER!$A:$A,MATCH(_xlpm.pos,MASTER!$J:$J,0))&amp;"_ser_0.20_"&amp;TEXT(INDEX(MASTER!$E:$E,MATCH(_xlpm.pos,MASTER!$J:$J,0)),"mmddyy"),""),_xlpm.slot,1920+(MATCH($A10,{"A","B","C","D","E","F","G","H"},0)-1)*12+I$2,_xlpm.code,"TXS"&amp;TEXT(_xlpm.slot,"00000"),_xlpm.xval,IFERROR(_xlfn.XLOOKUP(_xlpm.code,MASTER!$A:$A,MASTER!$J:$J,""),""),IF(_xlpm.normal&lt;&gt;"",_xlpm.normal,IF(_xlpm.xval="X","X","")))</f>
        <v/>
      </c>
      <c r="J230" s="3" t="str">
        <f t="array" ref="J230">_xlfn.LET(_xlpm.pos,"Max Planck plate 21: "&amp;$A10&amp;J$2,_xlpm.normal,IFERROR(INDEX(MASTER!$A:$A,MATCH(_xlpm.pos,MASTER!$J:$J,0))&amp;"_ser_0.20_"&amp;TEXT(INDEX(MASTER!$E:$E,MATCH(_xlpm.pos,MASTER!$J:$J,0)),"mmddyy"),""),_xlpm.slot,1920+(MATCH($A10,{"A","B","C","D","E","F","G","H"},0)-1)*12+J$2,_xlpm.code,"TXS"&amp;TEXT(_xlpm.slot,"00000"),_xlpm.xval,IFERROR(_xlfn.XLOOKUP(_xlpm.code,MASTER!$A:$A,MASTER!$J:$J,""),""),IF(_xlpm.normal&lt;&gt;"",_xlpm.normal,IF(_xlpm.xval="X","X","")))</f>
        <v/>
      </c>
      <c r="K230" s="3" t="str">
        <f t="array" ref="K230">_xlfn.LET(_xlpm.pos,"Max Planck plate 21: "&amp;$A10&amp;K$2,_xlpm.normal,IFERROR(INDEX(MASTER!$A:$A,MATCH(_xlpm.pos,MASTER!$J:$J,0))&amp;"_ser_0.20_"&amp;TEXT(INDEX(MASTER!$E:$E,MATCH(_xlpm.pos,MASTER!$J:$J,0)),"mmddyy"),""),_xlpm.slot,1920+(MATCH($A10,{"A","B","C","D","E","F","G","H"},0)-1)*12+K$2,_xlpm.code,"TXS"&amp;TEXT(_xlpm.slot,"00000"),_xlpm.xval,IFERROR(_xlfn.XLOOKUP(_xlpm.code,MASTER!$A:$A,MASTER!$J:$J,""),""),IF(_xlpm.normal&lt;&gt;"",_xlpm.normal,IF(_xlpm.xval="X","X","")))</f>
        <v/>
      </c>
      <c r="L230" s="3" t="str">
        <f t="array" ref="L230">_xlfn.LET(_xlpm.pos,"Max Planck plate 21: "&amp;$A10&amp;L$2,_xlpm.normal,IFERROR(INDEX(MASTER!$A:$A,MATCH(_xlpm.pos,MASTER!$J:$J,0))&amp;"_ser_0.20_"&amp;TEXT(INDEX(MASTER!$E:$E,MATCH(_xlpm.pos,MASTER!$J:$J,0)),"mmddyy"),""),_xlpm.slot,1920+(MATCH($A10,{"A","B","C","D","E","F","G","H"},0)-1)*12+L$2,_xlpm.code,"TXS"&amp;TEXT(_xlpm.slot,"00000"),_xlpm.xval,IFERROR(_xlfn.XLOOKUP(_xlpm.code,MASTER!$A:$A,MASTER!$J:$J,""),""),IF(_xlpm.normal&lt;&gt;"",_xlpm.normal,IF(_xlpm.xval="X","X","")))</f>
        <v/>
      </c>
      <c r="M230" s="3" t="str">
        <f t="array" ref="M230">_xlfn.LET(_xlpm.pos,"Max Planck plate 21: "&amp;$A10&amp;M$2,_xlpm.normal,IFERROR(INDEX(MASTER!$A:$A,MATCH(_xlpm.pos,MASTER!$J:$J,0))&amp;"_ser_0.20_"&amp;TEXT(INDEX(MASTER!$E:$E,MATCH(_xlpm.pos,MASTER!$J:$J,0)),"mmddyy"),""),_xlpm.slot,1920+(MATCH($A10,{"A","B","C","D","E","F","G","H"},0)-1)*12+M$2,_xlpm.code,"TXS"&amp;TEXT(_xlpm.slot,"00000"),_xlpm.xval,IFERROR(_xlfn.XLOOKUP(_xlpm.code,MASTER!$A:$A,MASTER!$J:$J,""),""),IF(_xlpm.normal&lt;&gt;"",_xlpm.normal,IF(_xlpm.xval="X","X","")))</f>
        <v/>
      </c>
    </row>
  </sheetData>
  <mergeCells count="21">
    <mergeCell ref="B221:M221"/>
    <mergeCell ref="B188:M188"/>
    <mergeCell ref="B144:M144"/>
    <mergeCell ref="B100:M100"/>
    <mergeCell ref="B199:M199"/>
    <mergeCell ref="B122:M122"/>
    <mergeCell ref="B155:M155"/>
    <mergeCell ref="B210:M210"/>
    <mergeCell ref="B111:M111"/>
    <mergeCell ref="B177:M177"/>
    <mergeCell ref="B67:M67"/>
    <mergeCell ref="B23:M23"/>
    <mergeCell ref="B1:M1"/>
    <mergeCell ref="B166:M166"/>
    <mergeCell ref="B34:M34"/>
    <mergeCell ref="B78:M78"/>
    <mergeCell ref="B133:M133"/>
    <mergeCell ref="B89:M89"/>
    <mergeCell ref="B45:M45"/>
    <mergeCell ref="B56:M56"/>
    <mergeCell ref="B12:M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9"/>
  <sheetViews>
    <sheetView zoomScale="80" zoomScaleNormal="80" workbookViewId="0">
      <selection activeCell="B3" sqref="B3"/>
    </sheetView>
  </sheetViews>
  <sheetFormatPr defaultColWidth="8.7265625" defaultRowHeight="20.149999999999999" customHeight="1" x14ac:dyDescent="0.3"/>
  <cols>
    <col min="1" max="1" width="2.26953125" style="1" bestFit="1" customWidth="1"/>
    <col min="2" max="11" width="28.54296875" style="1" customWidth="1"/>
    <col min="12" max="15" width="8.7265625" style="1" customWidth="1"/>
    <col min="16" max="16384" width="8.7265625" style="1"/>
  </cols>
  <sheetData>
    <row r="1" spans="1:11" ht="20.149999999999999" customHeight="1" x14ac:dyDescent="0.3">
      <c r="A1" s="5"/>
      <c r="B1" s="31" t="s">
        <v>99</v>
      </c>
      <c r="C1" s="36"/>
      <c r="D1" s="36"/>
      <c r="E1" s="36"/>
      <c r="F1" s="36"/>
      <c r="G1" s="36"/>
      <c r="H1" s="36"/>
      <c r="I1" s="36"/>
      <c r="J1" s="36"/>
      <c r="K1" s="37"/>
    </row>
    <row r="2" spans="1:11" ht="20.149999999999999" customHeight="1" x14ac:dyDescent="0.3">
      <c r="A2" s="5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</row>
    <row r="3" spans="1:11" ht="20.149999999999999" customHeight="1" x14ac:dyDescent="0.3">
      <c r="A3" s="6" t="s">
        <v>30</v>
      </c>
      <c r="B3" s="4" t="str">
        <f>IFERROR(INDEX(MASTER!$A:$A,MATCH("Cryovial box 1: "&amp;($A3&amp;B$2),MASTER!$L:$L,0))&amp;"_ser_"&amp;TEXT(VALUE(SUBSTITUTE(SUBSTITUTE(TRIM(INDEX(MASTER!$M:$M,MATCH("Cryovial box 1: "&amp;($A3&amp;B$2),MASTER!$L:$L,0))),"ml",""),":",".")),"0.00")&amp;"_"&amp;TEXT(INDEX(MASTER!$E:$E,MATCH("Cryovial box 1: "&amp;($A3&amp;B$2),MASTER!$L:$L,0)),"mmddyy"),"")</f>
        <v/>
      </c>
      <c r="C3" s="4" t="str">
        <f>IFERROR(INDEX(MASTER!$A:$A,MATCH("Cryovial box 1: "&amp;($A3&amp;C$2),MASTER!$L:$L,0))&amp;"_ser_"&amp;TEXT(VALUE(SUBSTITUTE(SUBSTITUTE(TRIM(INDEX(MASTER!$M:$M,MATCH("Cryovial box 1: "&amp;($A3&amp;C$2),MASTER!$L:$L,0))),"ml",""),":",".")),"0.00")&amp;"_"&amp;TEXT(INDEX(MASTER!$E:$E,MATCH("Cryovial box 1: "&amp;($A3&amp;C$2),MASTER!$L:$L,0)),"mmddyy"),"")</f>
        <v/>
      </c>
      <c r="D3" s="4" t="str">
        <f>IFERROR(INDEX(MASTER!$A:$A,MATCH("Cryovial box 1: "&amp;($A3&amp;D$2),MASTER!$L:$L,0))&amp;"_ser_"&amp;TEXT(VALUE(SUBSTITUTE(SUBSTITUTE(TRIM(INDEX(MASTER!$M:$M,MATCH("Cryovial box 1: "&amp;($A3&amp;D$2),MASTER!$L:$L,0))),"ml",""),":",".")),"0.00")&amp;"_"&amp;TEXT(INDEX(MASTER!$E:$E,MATCH("Cryovial box 1: "&amp;($A3&amp;D$2),MASTER!$L:$L,0)),"mmddyy"),"")</f>
        <v/>
      </c>
      <c r="E3" s="4" t="str">
        <f>IFERROR(INDEX(MASTER!$A:$A,MATCH("Cryovial box 1: "&amp;($A3&amp;E$2),MASTER!$L:$L,0))&amp;"_ser_"&amp;TEXT(VALUE(SUBSTITUTE(SUBSTITUTE(TRIM(INDEX(MASTER!$M:$M,MATCH("Cryovial box 1: "&amp;($A3&amp;E$2),MASTER!$L:$L,0))),"ml",""),":",".")),"0.00")&amp;"_"&amp;TEXT(INDEX(MASTER!$E:$E,MATCH("Cryovial box 1: "&amp;($A3&amp;E$2),MASTER!$L:$L,0)),"mmddyy"),"")</f>
        <v/>
      </c>
      <c r="F3" s="4" t="str">
        <f>IFERROR(INDEX(MASTER!$A:$A,MATCH("Cryovial box 1: "&amp;($A3&amp;F$2),MASTER!$L:$L,0))&amp;"_ser_"&amp;TEXT(VALUE(SUBSTITUTE(SUBSTITUTE(TRIM(INDEX(MASTER!$M:$M,MATCH("Cryovial box 1: "&amp;($A3&amp;F$2),MASTER!$L:$L,0))),"ml",""),":",".")),"0.00")&amp;"_"&amp;TEXT(INDEX(MASTER!$E:$E,MATCH("Cryovial box 1: "&amp;($A3&amp;F$2),MASTER!$L:$L,0)),"mmddyy"),"")</f>
        <v/>
      </c>
      <c r="G3" s="4" t="str">
        <f>IFERROR(INDEX(MASTER!$A:$A,MATCH("Cryovial box 1: "&amp;($A3&amp;G$2),MASTER!$L:$L,0))&amp;"_ser_"&amp;TEXT(VALUE(SUBSTITUTE(SUBSTITUTE(TRIM(INDEX(MASTER!$M:$M,MATCH("Cryovial box 1: "&amp;($A3&amp;G$2),MASTER!$L:$L,0))),"ml",""),":",".")),"0.00")&amp;"_"&amp;TEXT(INDEX(MASTER!$E:$E,MATCH("Cryovial box 1: "&amp;($A3&amp;G$2),MASTER!$L:$L,0)),"mmddyy"),"")</f>
        <v/>
      </c>
      <c r="H3" s="4" t="str">
        <f>IFERROR(INDEX(MASTER!$A:$A,MATCH("Cryovial box 1: "&amp;($A3&amp;H$2),MASTER!$L:$L,0))&amp;"_ser_"&amp;TEXT(VALUE(SUBSTITUTE(SUBSTITUTE(TRIM(INDEX(MASTER!$M:$M,MATCH("Cryovial box 1: "&amp;($A3&amp;H$2),MASTER!$L:$L,0))),"ml",""),":",".")),"0.00")&amp;"_"&amp;TEXT(INDEX(MASTER!$E:$E,MATCH("Cryovial box 1: "&amp;($A3&amp;H$2),MASTER!$L:$L,0)),"mmddyy"),"")</f>
        <v/>
      </c>
      <c r="I3" s="4" t="str">
        <f>IFERROR(INDEX(MASTER!$A:$A,MATCH("Cryovial box 1: "&amp;($A3&amp;I$2),MASTER!$L:$L,0))&amp;"_ser_"&amp;TEXT(VALUE(SUBSTITUTE(SUBSTITUTE(TRIM(INDEX(MASTER!$M:$M,MATCH("Cryovial box 1: "&amp;($A3&amp;I$2),MASTER!$L:$L,0))),"ml",""),":",".")),"0.00")&amp;"_"&amp;TEXT(INDEX(MASTER!$E:$E,MATCH("Cryovial box 1: "&amp;($A3&amp;I$2),MASTER!$L:$L,0)),"mmddyy"),"")</f>
        <v/>
      </c>
      <c r="J3" s="4" t="str">
        <f>IFERROR(INDEX(MASTER!$A:$A,MATCH("Cryovial box 1: "&amp;($A3&amp;J$2),MASTER!$L:$L,0))&amp;"_ser_"&amp;TEXT(VALUE(SUBSTITUTE(SUBSTITUTE(TRIM(INDEX(MASTER!$M:$M,MATCH("Cryovial box 1: "&amp;($A3&amp;J$2),MASTER!$L:$L,0))),"ml",""),":",".")),"0.00")&amp;"_"&amp;TEXT(INDEX(MASTER!$E:$E,MATCH("Cryovial box 1: "&amp;($A3&amp;J$2),MASTER!$L:$L,0)),"mmddyy"),"")</f>
        <v/>
      </c>
      <c r="K3" s="4" t="str">
        <f>IFERROR(INDEX(MASTER!$A:$A,MATCH("Cryovial box 1: "&amp;($A3&amp;K$2),MASTER!$L:$L,0))&amp;"_ser_"&amp;TEXT(VALUE(SUBSTITUTE(SUBSTITUTE(TRIM(INDEX(MASTER!$M:$M,MATCH("Cryovial box 1: "&amp;($A3&amp;K$2),MASTER!$L:$L,0))),"ml",""),":",".")),"0.00")&amp;"_"&amp;TEXT(INDEX(MASTER!$E:$E,MATCH("Cryovial box 1: "&amp;($A3&amp;K$2),MASTER!$L:$L,0)),"mmddyy"),"")</f>
        <v/>
      </c>
    </row>
    <row r="4" spans="1:11" ht="20.149999999999999" customHeight="1" x14ac:dyDescent="0.3">
      <c r="A4" s="6" t="s">
        <v>31</v>
      </c>
      <c r="B4" s="4" t="str">
        <f>IFERROR(INDEX(MASTER!$A:$A,MATCH("Cryovial box 1: "&amp;($A4&amp;B$2),MASTER!$L:$L,0))&amp;"_ser_"&amp;TEXT(VALUE(SUBSTITUTE(SUBSTITUTE(TRIM(INDEX(MASTER!$M:$M,MATCH("Cryovial box 1: "&amp;($A4&amp;B$2),MASTER!$L:$L,0))),"ml",""),":",".")),"0.00")&amp;"_"&amp;TEXT(INDEX(MASTER!$E:$E,MATCH("Cryovial box 1: "&amp;($A4&amp;B$2),MASTER!$L:$L,0)),"mmddyy"),"")</f>
        <v/>
      </c>
      <c r="C4" s="4" t="str">
        <f>IFERROR(INDEX(MASTER!$A:$A,MATCH("Cryovial box 1: "&amp;($A4&amp;C$2),MASTER!$L:$L,0))&amp;"_ser_"&amp;TEXT(VALUE(SUBSTITUTE(SUBSTITUTE(TRIM(INDEX(MASTER!$M:$M,MATCH("Cryovial box 1: "&amp;($A4&amp;C$2),MASTER!$L:$L,0))),"ml",""),":",".")),"0.00")&amp;"_"&amp;TEXT(INDEX(MASTER!$E:$E,MATCH("Cryovial box 1: "&amp;($A4&amp;C$2),MASTER!$L:$L,0)),"mmddyy"),"")</f>
        <v/>
      </c>
      <c r="D4" s="4" t="str">
        <f>IFERROR(INDEX(MASTER!$A:$A,MATCH("Cryovial box 1: "&amp;($A4&amp;D$2),MASTER!$L:$L,0))&amp;"_ser_"&amp;TEXT(VALUE(SUBSTITUTE(SUBSTITUTE(TRIM(INDEX(MASTER!$M:$M,MATCH("Cryovial box 1: "&amp;($A4&amp;D$2),MASTER!$L:$L,0))),"ml",""),":",".")),"0.00")&amp;"_"&amp;TEXT(INDEX(MASTER!$E:$E,MATCH("Cryovial box 1: "&amp;($A4&amp;D$2),MASTER!$L:$L,0)),"mmddyy"),"")</f>
        <v/>
      </c>
      <c r="E4" s="4" t="str">
        <f>IFERROR(INDEX(MASTER!$A:$A,MATCH("Cryovial box 1: "&amp;($A4&amp;E$2),MASTER!$L:$L,0))&amp;"_ser_"&amp;TEXT(VALUE(SUBSTITUTE(SUBSTITUTE(TRIM(INDEX(MASTER!$M:$M,MATCH("Cryovial box 1: "&amp;($A4&amp;E$2),MASTER!$L:$L,0))),"ml",""),":",".")),"0.00")&amp;"_"&amp;TEXT(INDEX(MASTER!$E:$E,MATCH("Cryovial box 1: "&amp;($A4&amp;E$2),MASTER!$L:$L,0)),"mmddyy"),"")</f>
        <v/>
      </c>
      <c r="F4" s="4" t="str">
        <f>IFERROR(INDEX(MASTER!$A:$A,MATCH("Cryovial box 1: "&amp;($A4&amp;F$2),MASTER!$L:$L,0))&amp;"_ser_"&amp;TEXT(VALUE(SUBSTITUTE(SUBSTITUTE(TRIM(INDEX(MASTER!$M:$M,MATCH("Cryovial box 1: "&amp;($A4&amp;F$2),MASTER!$L:$L,0))),"ml",""),":",".")),"0.00")&amp;"_"&amp;TEXT(INDEX(MASTER!$E:$E,MATCH("Cryovial box 1: "&amp;($A4&amp;F$2),MASTER!$L:$L,0)),"mmddyy"),"")</f>
        <v/>
      </c>
      <c r="G4" s="4" t="str">
        <f>IFERROR(INDEX(MASTER!$A:$A,MATCH("Cryovial box 1: "&amp;($A4&amp;G$2),MASTER!$L:$L,0))&amp;"_ser_"&amp;TEXT(VALUE(SUBSTITUTE(SUBSTITUTE(TRIM(INDEX(MASTER!$M:$M,MATCH("Cryovial box 1: "&amp;($A4&amp;G$2),MASTER!$L:$L,0))),"ml",""),":",".")),"0.00")&amp;"_"&amp;TEXT(INDEX(MASTER!$E:$E,MATCH("Cryovial box 1: "&amp;($A4&amp;G$2),MASTER!$L:$L,0)),"mmddyy"),"")</f>
        <v/>
      </c>
      <c r="H4" s="4" t="str">
        <f>IFERROR(INDEX(MASTER!$A:$A,MATCH("Cryovial box 1: "&amp;($A4&amp;H$2),MASTER!$L:$L,0))&amp;"_ser_"&amp;TEXT(VALUE(SUBSTITUTE(SUBSTITUTE(TRIM(INDEX(MASTER!$M:$M,MATCH("Cryovial box 1: "&amp;($A4&amp;H$2),MASTER!$L:$L,0))),"ml",""),":",".")),"0.00")&amp;"_"&amp;TEXT(INDEX(MASTER!$E:$E,MATCH("Cryovial box 1: "&amp;($A4&amp;H$2),MASTER!$L:$L,0)),"mmddyy"),"")</f>
        <v/>
      </c>
      <c r="I4" s="4" t="str">
        <f>IFERROR(INDEX(MASTER!$A:$A,MATCH("Cryovial box 1: "&amp;($A4&amp;I$2),MASTER!$L:$L,0))&amp;"_ser_"&amp;TEXT(VALUE(SUBSTITUTE(SUBSTITUTE(TRIM(INDEX(MASTER!$M:$M,MATCH("Cryovial box 1: "&amp;($A4&amp;I$2),MASTER!$L:$L,0))),"ml",""),":",".")),"0.00")&amp;"_"&amp;TEXT(INDEX(MASTER!$E:$E,MATCH("Cryovial box 1: "&amp;($A4&amp;I$2),MASTER!$L:$L,0)),"mmddyy"),"")</f>
        <v/>
      </c>
      <c r="J4" s="4" t="str">
        <f>IFERROR(INDEX(MASTER!$A:$A,MATCH("Cryovial box 1: "&amp;($A4&amp;J$2),MASTER!$L:$L,0))&amp;"_ser_"&amp;TEXT(VALUE(SUBSTITUTE(SUBSTITUTE(TRIM(INDEX(MASTER!$M:$M,MATCH("Cryovial box 1: "&amp;($A4&amp;J$2),MASTER!$L:$L,0))),"ml",""),":",".")),"0.00")&amp;"_"&amp;TEXT(INDEX(MASTER!$E:$E,MATCH("Cryovial box 1: "&amp;($A4&amp;J$2),MASTER!$L:$L,0)),"mmddyy"),"")</f>
        <v/>
      </c>
      <c r="K4" s="4" t="str">
        <f>IFERROR(INDEX(MASTER!$A:$A,MATCH("Cryovial box 1: "&amp;($A4&amp;K$2),MASTER!$L:$L,0))&amp;"_ser_"&amp;TEXT(VALUE(SUBSTITUTE(SUBSTITUTE(TRIM(INDEX(MASTER!$M:$M,MATCH("Cryovial box 1: "&amp;($A4&amp;K$2),MASTER!$L:$L,0))),"ml",""),":",".")),"0.00")&amp;"_"&amp;TEXT(INDEX(MASTER!$E:$E,MATCH("Cryovial box 1: "&amp;($A4&amp;K$2),MASTER!$L:$L,0)),"mmddyy"),"")</f>
        <v/>
      </c>
    </row>
    <row r="5" spans="1:11" ht="20.149999999999999" customHeight="1" x14ac:dyDescent="0.3">
      <c r="A5" s="6" t="s">
        <v>32</v>
      </c>
      <c r="B5" s="4" t="str">
        <f>IFERROR(INDEX(MASTER!$A:$A,MATCH("Cryovial box 1: "&amp;($A5&amp;B$2),MASTER!$L:$L,0))&amp;"_ser_"&amp;TEXT(VALUE(SUBSTITUTE(SUBSTITUTE(TRIM(INDEX(MASTER!$M:$M,MATCH("Cryovial box 1: "&amp;($A5&amp;B$2),MASTER!$L:$L,0))),"ml",""),":",".")),"0.00")&amp;"_"&amp;TEXT(INDEX(MASTER!$E:$E,MATCH("Cryovial box 1: "&amp;($A5&amp;B$2),MASTER!$L:$L,0)),"mmddyy"),"")</f>
        <v/>
      </c>
      <c r="C5" s="4" t="str">
        <f>IFERROR(INDEX(MASTER!$A:$A,MATCH("Cryovial box 1: "&amp;($A5&amp;C$2),MASTER!$L:$L,0))&amp;"_ser_"&amp;TEXT(VALUE(SUBSTITUTE(SUBSTITUTE(TRIM(INDEX(MASTER!$M:$M,MATCH("Cryovial box 1: "&amp;($A5&amp;C$2),MASTER!$L:$L,0))),"ml",""),":",".")),"0.00")&amp;"_"&amp;TEXT(INDEX(MASTER!$E:$E,MATCH("Cryovial box 1: "&amp;($A5&amp;C$2),MASTER!$L:$L,0)),"mmddyy"),"")</f>
        <v/>
      </c>
      <c r="D5" s="4" t="str">
        <f>IFERROR(INDEX(MASTER!$A:$A,MATCH("Cryovial box 1: "&amp;($A5&amp;D$2),MASTER!$L:$L,0))&amp;"_ser_"&amp;TEXT(VALUE(SUBSTITUTE(SUBSTITUTE(TRIM(INDEX(MASTER!$M:$M,MATCH("Cryovial box 1: "&amp;($A5&amp;D$2),MASTER!$L:$L,0))),"ml",""),":",".")),"0.00")&amp;"_"&amp;TEXT(INDEX(MASTER!$E:$E,MATCH("Cryovial box 1: "&amp;($A5&amp;D$2),MASTER!$L:$L,0)),"mmddyy"),"")</f>
        <v/>
      </c>
      <c r="E5" s="4" t="str">
        <f>IFERROR(INDEX(MASTER!$A:$A,MATCH("Cryovial box 1: "&amp;($A5&amp;E$2),MASTER!$L:$L,0))&amp;"_ser_"&amp;TEXT(VALUE(SUBSTITUTE(SUBSTITUTE(TRIM(INDEX(MASTER!$M:$M,MATCH("Cryovial box 1: "&amp;($A5&amp;E$2),MASTER!$L:$L,0))),"ml",""),":",".")),"0.00")&amp;"_"&amp;TEXT(INDEX(MASTER!$E:$E,MATCH("Cryovial box 1: "&amp;($A5&amp;E$2),MASTER!$L:$L,0)),"mmddyy"),"")</f>
        <v/>
      </c>
      <c r="F5" s="4" t="str">
        <f>IFERROR(INDEX(MASTER!$A:$A,MATCH("Cryovial box 1: "&amp;($A5&amp;F$2),MASTER!$L:$L,0))&amp;"_ser_"&amp;TEXT(VALUE(SUBSTITUTE(SUBSTITUTE(TRIM(INDEX(MASTER!$M:$M,MATCH("Cryovial box 1: "&amp;($A5&amp;F$2),MASTER!$L:$L,0))),"ml",""),":",".")),"0.00")&amp;"_"&amp;TEXT(INDEX(MASTER!$E:$E,MATCH("Cryovial box 1: "&amp;($A5&amp;F$2),MASTER!$L:$L,0)),"mmddyy"),"")</f>
        <v/>
      </c>
      <c r="G5" s="4" t="str">
        <f>IFERROR(INDEX(MASTER!$A:$A,MATCH("Cryovial box 1: "&amp;($A5&amp;G$2),MASTER!$L:$L,0))&amp;"_ser_"&amp;TEXT(VALUE(SUBSTITUTE(SUBSTITUTE(TRIM(INDEX(MASTER!$M:$M,MATCH("Cryovial box 1: "&amp;($A5&amp;G$2),MASTER!$L:$L,0))),"ml",""),":",".")),"0.00")&amp;"_"&amp;TEXT(INDEX(MASTER!$E:$E,MATCH("Cryovial box 1: "&amp;($A5&amp;G$2),MASTER!$L:$L,0)),"mmddyy"),"")</f>
        <v/>
      </c>
      <c r="H5" s="4" t="str">
        <f>IFERROR(INDEX(MASTER!$A:$A,MATCH("Cryovial box 1: "&amp;($A5&amp;H$2),MASTER!$L:$L,0))&amp;"_ser_"&amp;TEXT(VALUE(SUBSTITUTE(SUBSTITUTE(TRIM(INDEX(MASTER!$M:$M,MATCH("Cryovial box 1: "&amp;($A5&amp;H$2),MASTER!$L:$L,0))),"ml",""),":",".")),"0.00")&amp;"_"&amp;TEXT(INDEX(MASTER!$E:$E,MATCH("Cryovial box 1: "&amp;($A5&amp;H$2),MASTER!$L:$L,0)),"mmddyy"),"")</f>
        <v/>
      </c>
      <c r="I5" s="4" t="str">
        <f>IFERROR(INDEX(MASTER!$A:$A,MATCH("Cryovial box 1: "&amp;($A5&amp;I$2),MASTER!$L:$L,0))&amp;"_ser_"&amp;TEXT(VALUE(SUBSTITUTE(SUBSTITUTE(TRIM(INDEX(MASTER!$M:$M,MATCH("Cryovial box 1: "&amp;($A5&amp;I$2),MASTER!$L:$L,0))),"ml",""),":",".")),"0.00")&amp;"_"&amp;TEXT(INDEX(MASTER!$E:$E,MATCH("Cryovial box 1: "&amp;($A5&amp;I$2),MASTER!$L:$L,0)),"mmddyy"),"")</f>
        <v/>
      </c>
      <c r="J5" s="4" t="str">
        <f>IFERROR(INDEX(MASTER!$A:$A,MATCH("Cryovial box 1: "&amp;($A5&amp;J$2),MASTER!$L:$L,0))&amp;"_ser_"&amp;TEXT(VALUE(SUBSTITUTE(SUBSTITUTE(TRIM(INDEX(MASTER!$M:$M,MATCH("Cryovial box 1: "&amp;($A5&amp;J$2),MASTER!$L:$L,0))),"ml",""),":",".")),"0.00")&amp;"_"&amp;TEXT(INDEX(MASTER!$E:$E,MATCH("Cryovial box 1: "&amp;($A5&amp;J$2),MASTER!$L:$L,0)),"mmddyy"),"")</f>
        <v/>
      </c>
      <c r="K5" s="4" t="str">
        <f>IFERROR(INDEX(MASTER!$A:$A,MATCH("Cryovial box 1: "&amp;($A5&amp;K$2),MASTER!$L:$L,0))&amp;"_ser_"&amp;TEXT(VALUE(SUBSTITUTE(SUBSTITUTE(TRIM(INDEX(MASTER!$M:$M,MATCH("Cryovial box 1: "&amp;($A5&amp;K$2),MASTER!$L:$L,0))),"ml",""),":",".")),"0.00")&amp;"_"&amp;TEXT(INDEX(MASTER!$E:$E,MATCH("Cryovial box 1: "&amp;($A5&amp;K$2),MASTER!$L:$L,0)),"mmddyy"),"")</f>
        <v/>
      </c>
    </row>
    <row r="6" spans="1:11" ht="20.149999999999999" customHeight="1" x14ac:dyDescent="0.3">
      <c r="A6" s="6" t="s">
        <v>33</v>
      </c>
      <c r="B6" s="4" t="str">
        <f>IFERROR(INDEX(MASTER!$A:$A,MATCH("Cryovial box 1: "&amp;($A6&amp;B$2),MASTER!$L:$L,0))&amp;"_ser_"&amp;TEXT(VALUE(SUBSTITUTE(SUBSTITUTE(TRIM(INDEX(MASTER!$M:$M,MATCH("Cryovial box 1: "&amp;($A6&amp;B$2),MASTER!$L:$L,0))),"ml",""),":",".")),"0.00")&amp;"_"&amp;TEXT(INDEX(MASTER!$E:$E,MATCH("Cryovial box 1: "&amp;($A6&amp;B$2),MASTER!$L:$L,0)),"mmddyy"),"")</f>
        <v/>
      </c>
      <c r="C6" s="4" t="str">
        <f>IFERROR(INDEX(MASTER!$A:$A,MATCH("Cryovial box 1: "&amp;($A6&amp;C$2),MASTER!$L:$L,0))&amp;"_ser_"&amp;TEXT(VALUE(SUBSTITUTE(SUBSTITUTE(TRIM(INDEX(MASTER!$M:$M,MATCH("Cryovial box 1: "&amp;($A6&amp;C$2),MASTER!$L:$L,0))),"ml",""),":",".")),"0.00")&amp;"_"&amp;TEXT(INDEX(MASTER!$E:$E,MATCH("Cryovial box 1: "&amp;($A6&amp;C$2),MASTER!$L:$L,0)),"mmddyy"),"")</f>
        <v/>
      </c>
      <c r="D6" s="4" t="str">
        <f>IFERROR(INDEX(MASTER!$A:$A,MATCH("Cryovial box 1: "&amp;($A6&amp;D$2),MASTER!$L:$L,0))&amp;"_ser_"&amp;TEXT(VALUE(SUBSTITUTE(SUBSTITUTE(TRIM(INDEX(MASTER!$M:$M,MATCH("Cryovial box 1: "&amp;($A6&amp;D$2),MASTER!$L:$L,0))),"ml",""),":",".")),"0.00")&amp;"_"&amp;TEXT(INDEX(MASTER!$E:$E,MATCH("Cryovial box 1: "&amp;($A6&amp;D$2),MASTER!$L:$L,0)),"mmddyy"),"")</f>
        <v/>
      </c>
      <c r="E6" s="4" t="str">
        <f>IFERROR(INDEX(MASTER!$A:$A,MATCH("Cryovial box 1: "&amp;($A6&amp;E$2),MASTER!$L:$L,0))&amp;"_ser_"&amp;TEXT(VALUE(SUBSTITUTE(SUBSTITUTE(TRIM(INDEX(MASTER!$M:$M,MATCH("Cryovial box 1: "&amp;($A6&amp;E$2),MASTER!$L:$L,0))),"ml",""),":",".")),"0.00")&amp;"_"&amp;TEXT(INDEX(MASTER!$E:$E,MATCH("Cryovial box 1: "&amp;($A6&amp;E$2),MASTER!$L:$L,0)),"mmddyy"),"")</f>
        <v/>
      </c>
      <c r="F6" s="4" t="str">
        <f>IFERROR(INDEX(MASTER!$A:$A,MATCH("Cryovial box 1: "&amp;($A6&amp;F$2),MASTER!$L:$L,0))&amp;"_ser_"&amp;TEXT(VALUE(SUBSTITUTE(SUBSTITUTE(TRIM(INDEX(MASTER!$M:$M,MATCH("Cryovial box 1: "&amp;($A6&amp;F$2),MASTER!$L:$L,0))),"ml",""),":",".")),"0.00")&amp;"_"&amp;TEXT(INDEX(MASTER!$E:$E,MATCH("Cryovial box 1: "&amp;($A6&amp;F$2),MASTER!$L:$L,0)),"mmddyy"),"")</f>
        <v/>
      </c>
      <c r="G6" s="4" t="str">
        <f>IFERROR(INDEX(MASTER!$A:$A,MATCH("Cryovial box 1: "&amp;($A6&amp;G$2),MASTER!$L:$L,0))&amp;"_ser_"&amp;TEXT(VALUE(SUBSTITUTE(SUBSTITUTE(TRIM(INDEX(MASTER!$M:$M,MATCH("Cryovial box 1: "&amp;($A6&amp;G$2),MASTER!$L:$L,0))),"ml",""),":",".")),"0.00")&amp;"_"&amp;TEXT(INDEX(MASTER!$E:$E,MATCH("Cryovial box 1: "&amp;($A6&amp;G$2),MASTER!$L:$L,0)),"mmddyy"),"")</f>
        <v/>
      </c>
      <c r="H6" s="4" t="str">
        <f>IFERROR(INDEX(MASTER!$A:$A,MATCH("Cryovial box 1: "&amp;($A6&amp;H$2),MASTER!$L:$L,0))&amp;"_ser_"&amp;TEXT(VALUE(SUBSTITUTE(SUBSTITUTE(TRIM(INDEX(MASTER!$M:$M,MATCH("Cryovial box 1: "&amp;($A6&amp;H$2),MASTER!$L:$L,0))),"ml",""),":",".")),"0.00")&amp;"_"&amp;TEXT(INDEX(MASTER!$E:$E,MATCH("Cryovial box 1: "&amp;($A6&amp;H$2),MASTER!$L:$L,0)),"mmddyy"),"")</f>
        <v/>
      </c>
      <c r="I6" s="4" t="str">
        <f>IFERROR(INDEX(MASTER!$A:$A,MATCH("Cryovial box 1: "&amp;($A6&amp;I$2),MASTER!$L:$L,0))&amp;"_ser_"&amp;TEXT(VALUE(SUBSTITUTE(SUBSTITUTE(TRIM(INDEX(MASTER!$M:$M,MATCH("Cryovial box 1: "&amp;($A6&amp;I$2),MASTER!$L:$L,0))),"ml",""),":",".")),"0.00")&amp;"_"&amp;TEXT(INDEX(MASTER!$E:$E,MATCH("Cryovial box 1: "&amp;($A6&amp;I$2),MASTER!$L:$L,0)),"mmddyy"),"")</f>
        <v/>
      </c>
      <c r="J6" s="4" t="str">
        <f>IFERROR(INDEX(MASTER!$A:$A,MATCH("Cryovial box 1: "&amp;($A6&amp;J$2),MASTER!$L:$L,0))&amp;"_ser_"&amp;TEXT(VALUE(SUBSTITUTE(SUBSTITUTE(TRIM(INDEX(MASTER!$M:$M,MATCH("Cryovial box 1: "&amp;($A6&amp;J$2),MASTER!$L:$L,0))),"ml",""),":",".")),"0.00")&amp;"_"&amp;TEXT(INDEX(MASTER!$E:$E,MATCH("Cryovial box 1: "&amp;($A6&amp;J$2),MASTER!$L:$L,0)),"mmddyy"),"")</f>
        <v/>
      </c>
      <c r="K6" s="4" t="str">
        <f>IFERROR(INDEX(MASTER!$A:$A,MATCH("Cryovial box 1: "&amp;($A6&amp;K$2),MASTER!$L:$L,0))&amp;"_ser_"&amp;TEXT(VALUE(SUBSTITUTE(SUBSTITUTE(TRIM(INDEX(MASTER!$M:$M,MATCH("Cryovial box 1: "&amp;($A6&amp;K$2),MASTER!$L:$L,0))),"ml",""),":",".")),"0.00")&amp;"_"&amp;TEXT(INDEX(MASTER!$E:$E,MATCH("Cryovial box 1: "&amp;($A6&amp;K$2),MASTER!$L:$L,0)),"mmddyy"),"")</f>
        <v/>
      </c>
    </row>
    <row r="7" spans="1:11" ht="20.149999999999999" customHeight="1" x14ac:dyDescent="0.3">
      <c r="A7" s="6" t="s">
        <v>34</v>
      </c>
      <c r="B7" s="4" t="str">
        <f>IFERROR(INDEX(MASTER!$A:$A,MATCH("Cryovial box 1: "&amp;($A7&amp;B$2),MASTER!$L:$L,0))&amp;"_ser_"&amp;TEXT(VALUE(SUBSTITUTE(SUBSTITUTE(TRIM(INDEX(MASTER!$M:$M,MATCH("Cryovial box 1: "&amp;($A7&amp;B$2),MASTER!$L:$L,0))),"ml",""),":",".")),"0.00")&amp;"_"&amp;TEXT(INDEX(MASTER!$E:$E,MATCH("Cryovial box 1: "&amp;($A7&amp;B$2),MASTER!$L:$L,0)),"mmddyy"),"")</f>
        <v/>
      </c>
      <c r="C7" s="4" t="str">
        <f>IFERROR(INDEX(MASTER!$A:$A,MATCH("Cryovial box 1: "&amp;($A7&amp;C$2),MASTER!$L:$L,0))&amp;"_ser_"&amp;TEXT(VALUE(SUBSTITUTE(SUBSTITUTE(TRIM(INDEX(MASTER!$M:$M,MATCH("Cryovial box 1: "&amp;($A7&amp;C$2),MASTER!$L:$L,0))),"ml",""),":",".")),"0.00")&amp;"_"&amp;TEXT(INDEX(MASTER!$E:$E,MATCH("Cryovial box 1: "&amp;($A7&amp;C$2),MASTER!$L:$L,0)),"mmddyy"),"")</f>
        <v/>
      </c>
      <c r="D7" s="4" t="str">
        <f>IFERROR(INDEX(MASTER!$A:$A,MATCH("Cryovial box 1: "&amp;($A7&amp;D$2),MASTER!$L:$L,0))&amp;"_ser_"&amp;TEXT(VALUE(SUBSTITUTE(SUBSTITUTE(TRIM(INDEX(MASTER!$M:$M,MATCH("Cryovial box 1: "&amp;($A7&amp;D$2),MASTER!$L:$L,0))),"ml",""),":",".")),"0.00")&amp;"_"&amp;TEXT(INDEX(MASTER!$E:$E,MATCH("Cryovial box 1: "&amp;($A7&amp;D$2),MASTER!$L:$L,0)),"mmddyy"),"")</f>
        <v/>
      </c>
      <c r="E7" s="4" t="str">
        <f>IFERROR(INDEX(MASTER!$A:$A,MATCH("Cryovial box 1: "&amp;($A7&amp;E$2),MASTER!$L:$L,0))&amp;"_ser_"&amp;TEXT(VALUE(SUBSTITUTE(SUBSTITUTE(TRIM(INDEX(MASTER!$M:$M,MATCH("Cryovial box 1: "&amp;($A7&amp;E$2),MASTER!$L:$L,0))),"ml",""),":",".")),"0.00")&amp;"_"&amp;TEXT(INDEX(MASTER!$E:$E,MATCH("Cryovial box 1: "&amp;($A7&amp;E$2),MASTER!$L:$L,0)),"mmddyy"),"")</f>
        <v/>
      </c>
      <c r="F7" s="4" t="str">
        <f>IFERROR(INDEX(MASTER!$A:$A,MATCH("Cryovial box 1: "&amp;($A7&amp;F$2),MASTER!$L:$L,0))&amp;"_ser_"&amp;TEXT(VALUE(SUBSTITUTE(SUBSTITUTE(TRIM(INDEX(MASTER!$M:$M,MATCH("Cryovial box 1: "&amp;($A7&amp;F$2),MASTER!$L:$L,0))),"ml",""),":",".")),"0.00")&amp;"_"&amp;TEXT(INDEX(MASTER!$E:$E,MATCH("Cryovial box 1: "&amp;($A7&amp;F$2),MASTER!$L:$L,0)),"mmddyy"),"")</f>
        <v/>
      </c>
      <c r="G7" s="4" t="str">
        <f>IFERROR(INDEX(MASTER!$A:$A,MATCH("Cryovial box 1: "&amp;($A7&amp;G$2),MASTER!$L:$L,0))&amp;"_ser_"&amp;TEXT(VALUE(SUBSTITUTE(SUBSTITUTE(TRIM(INDEX(MASTER!$M:$M,MATCH("Cryovial box 1: "&amp;($A7&amp;G$2),MASTER!$L:$L,0))),"ml",""),":",".")),"0.00")&amp;"_"&amp;TEXT(INDEX(MASTER!$E:$E,MATCH("Cryovial box 1: "&amp;($A7&amp;G$2),MASTER!$L:$L,0)),"mmddyy"),"")</f>
        <v/>
      </c>
      <c r="H7" s="4" t="str">
        <f>IFERROR(INDEX(MASTER!$A:$A,MATCH("Cryovial box 1: "&amp;($A7&amp;H$2),MASTER!$L:$L,0))&amp;"_ser_"&amp;TEXT(VALUE(SUBSTITUTE(SUBSTITUTE(TRIM(INDEX(MASTER!$M:$M,MATCH("Cryovial box 1: "&amp;($A7&amp;H$2),MASTER!$L:$L,0))),"ml",""),":",".")),"0.00")&amp;"_"&amp;TEXT(INDEX(MASTER!$E:$E,MATCH("Cryovial box 1: "&amp;($A7&amp;H$2),MASTER!$L:$L,0)),"mmddyy"),"")</f>
        <v/>
      </c>
      <c r="I7" s="4" t="str">
        <f>IFERROR(INDEX(MASTER!$A:$A,MATCH("Cryovial box 1: "&amp;($A7&amp;I$2),MASTER!$L:$L,0))&amp;"_ser_"&amp;TEXT(VALUE(SUBSTITUTE(SUBSTITUTE(TRIM(INDEX(MASTER!$M:$M,MATCH("Cryovial box 1: "&amp;($A7&amp;I$2),MASTER!$L:$L,0))),"ml",""),":",".")),"0.00")&amp;"_"&amp;TEXT(INDEX(MASTER!$E:$E,MATCH("Cryovial box 1: "&amp;($A7&amp;I$2),MASTER!$L:$L,0)),"mmddyy"),"")</f>
        <v/>
      </c>
      <c r="J7" s="4" t="str">
        <f>IFERROR(INDEX(MASTER!$A:$A,MATCH("Cryovial box 1: "&amp;($A7&amp;J$2),MASTER!$L:$L,0))&amp;"_ser_"&amp;TEXT(VALUE(SUBSTITUTE(SUBSTITUTE(TRIM(INDEX(MASTER!$M:$M,MATCH("Cryovial box 1: "&amp;($A7&amp;J$2),MASTER!$L:$L,0))),"ml",""),":",".")),"0.00")&amp;"_"&amp;TEXT(INDEX(MASTER!$E:$E,MATCH("Cryovial box 1: "&amp;($A7&amp;J$2),MASTER!$L:$L,0)),"mmddyy"),"")</f>
        <v/>
      </c>
      <c r="K7" s="4" t="str">
        <f>IFERROR(INDEX(MASTER!$A:$A,MATCH("Cryovial box 1: "&amp;($A7&amp;K$2),MASTER!$L:$L,0))&amp;"_ser_"&amp;TEXT(VALUE(SUBSTITUTE(SUBSTITUTE(TRIM(INDEX(MASTER!$M:$M,MATCH("Cryovial box 1: "&amp;($A7&amp;K$2),MASTER!$L:$L,0))),"ml",""),":",".")),"0.00")&amp;"_"&amp;TEXT(INDEX(MASTER!$E:$E,MATCH("Cryovial box 1: "&amp;($A7&amp;K$2),MASTER!$L:$L,0)),"mmddyy"),"")</f>
        <v/>
      </c>
    </row>
    <row r="8" spans="1:11" ht="20.149999999999999" customHeight="1" x14ac:dyDescent="0.3">
      <c r="A8" s="6" t="s">
        <v>15</v>
      </c>
      <c r="B8" s="4" t="str">
        <f>IFERROR(INDEX(MASTER!$A:$A,MATCH("Cryovial box 1: "&amp;($A8&amp;B$2),MASTER!$L:$L,0))&amp;"_ser_"&amp;TEXT(VALUE(SUBSTITUTE(SUBSTITUTE(TRIM(INDEX(MASTER!$M:$M,MATCH("Cryovial box 1: "&amp;($A8&amp;B$2),MASTER!$L:$L,0))),"ml",""),":",".")),"0.00")&amp;"_"&amp;TEXT(INDEX(MASTER!$E:$E,MATCH("Cryovial box 1: "&amp;($A8&amp;B$2),MASTER!$L:$L,0)),"mmddyy"),"")</f>
        <v/>
      </c>
      <c r="C8" s="4" t="str">
        <f>IFERROR(INDEX(MASTER!$A:$A,MATCH("Cryovial box 1: "&amp;($A8&amp;C$2),MASTER!$L:$L,0))&amp;"_ser_"&amp;TEXT(VALUE(SUBSTITUTE(SUBSTITUTE(TRIM(INDEX(MASTER!$M:$M,MATCH("Cryovial box 1: "&amp;($A8&amp;C$2),MASTER!$L:$L,0))),"ml",""),":",".")),"0.00")&amp;"_"&amp;TEXT(INDEX(MASTER!$E:$E,MATCH("Cryovial box 1: "&amp;($A8&amp;C$2),MASTER!$L:$L,0)),"mmddyy"),"")</f>
        <v/>
      </c>
      <c r="D8" s="4" t="str">
        <f>IFERROR(INDEX(MASTER!$A:$A,MATCH("Cryovial box 1: "&amp;($A8&amp;D$2),MASTER!$L:$L,0))&amp;"_ser_"&amp;TEXT(VALUE(SUBSTITUTE(SUBSTITUTE(TRIM(INDEX(MASTER!$M:$M,MATCH("Cryovial box 1: "&amp;($A8&amp;D$2),MASTER!$L:$L,0))),"ml",""),":",".")),"0.00")&amp;"_"&amp;TEXT(INDEX(MASTER!$E:$E,MATCH("Cryovial box 1: "&amp;($A8&amp;D$2),MASTER!$L:$L,0)),"mmddyy"),"")</f>
        <v/>
      </c>
      <c r="E8" s="4" t="str">
        <f>IFERROR(INDEX(MASTER!$A:$A,MATCH("Cryovial box 1: "&amp;($A8&amp;E$2),MASTER!$L:$L,0))&amp;"_ser_"&amp;TEXT(VALUE(SUBSTITUTE(SUBSTITUTE(TRIM(INDEX(MASTER!$M:$M,MATCH("Cryovial box 1: "&amp;($A8&amp;E$2),MASTER!$L:$L,0))),"ml",""),":",".")),"0.00")&amp;"_"&amp;TEXT(INDEX(MASTER!$E:$E,MATCH("Cryovial box 1: "&amp;($A8&amp;E$2),MASTER!$L:$L,0)),"mmddyy"),"")</f>
        <v/>
      </c>
      <c r="F8" s="4" t="str">
        <f>IFERROR(INDEX(MASTER!$A:$A,MATCH("Cryovial box 1: "&amp;($A8&amp;F$2),MASTER!$L:$L,0))&amp;"_ser_"&amp;TEXT(VALUE(SUBSTITUTE(SUBSTITUTE(TRIM(INDEX(MASTER!$M:$M,MATCH("Cryovial box 1: "&amp;($A8&amp;F$2),MASTER!$L:$L,0))),"ml",""),":",".")),"0.00")&amp;"_"&amp;TEXT(INDEX(MASTER!$E:$E,MATCH("Cryovial box 1: "&amp;($A8&amp;F$2),MASTER!$L:$L,0)),"mmddyy"),"")</f>
        <v/>
      </c>
      <c r="G8" s="4" t="str">
        <f>IFERROR(INDEX(MASTER!$A:$A,MATCH("Cryovial box 1: "&amp;($A8&amp;G$2),MASTER!$L:$L,0))&amp;"_ser_"&amp;TEXT(VALUE(SUBSTITUTE(SUBSTITUTE(TRIM(INDEX(MASTER!$M:$M,MATCH("Cryovial box 1: "&amp;($A8&amp;G$2),MASTER!$L:$L,0))),"ml",""),":",".")),"0.00")&amp;"_"&amp;TEXT(INDEX(MASTER!$E:$E,MATCH("Cryovial box 1: "&amp;($A8&amp;G$2),MASTER!$L:$L,0)),"mmddyy"),"")</f>
        <v/>
      </c>
      <c r="H8" s="4" t="str">
        <f>IFERROR(INDEX(MASTER!$A:$A,MATCH("Cryovial box 1: "&amp;($A8&amp;H$2),MASTER!$L:$L,0))&amp;"_ser_"&amp;TEXT(VALUE(SUBSTITUTE(SUBSTITUTE(TRIM(INDEX(MASTER!$M:$M,MATCH("Cryovial box 1: "&amp;($A8&amp;H$2),MASTER!$L:$L,0))),"ml",""),":",".")),"0.00")&amp;"_"&amp;TEXT(INDEX(MASTER!$E:$E,MATCH("Cryovial box 1: "&amp;($A8&amp;H$2),MASTER!$L:$L,0)),"mmddyy"),"")</f>
        <v/>
      </c>
      <c r="I8" s="4" t="str">
        <f>IFERROR(INDEX(MASTER!$A:$A,MATCH("Cryovial box 1: "&amp;($A8&amp;I$2),MASTER!$L:$L,0))&amp;"_ser_"&amp;TEXT(VALUE(SUBSTITUTE(SUBSTITUTE(TRIM(INDEX(MASTER!$M:$M,MATCH("Cryovial box 1: "&amp;($A8&amp;I$2),MASTER!$L:$L,0))),"ml",""),":",".")),"0.00")&amp;"_"&amp;TEXT(INDEX(MASTER!$E:$E,MATCH("Cryovial box 1: "&amp;($A8&amp;I$2),MASTER!$L:$L,0)),"mmddyy"),"")</f>
        <v/>
      </c>
      <c r="J8" s="4" t="str">
        <f>IFERROR(INDEX(MASTER!$A:$A,MATCH("Cryovial box 1: "&amp;($A8&amp;J$2),MASTER!$L:$L,0))&amp;"_ser_"&amp;TEXT(VALUE(SUBSTITUTE(SUBSTITUTE(TRIM(INDEX(MASTER!$M:$M,MATCH("Cryovial box 1: "&amp;($A8&amp;J$2),MASTER!$L:$L,0))),"ml",""),":",".")),"0.00")&amp;"_"&amp;TEXT(INDEX(MASTER!$E:$E,MATCH("Cryovial box 1: "&amp;($A8&amp;J$2),MASTER!$L:$L,0)),"mmddyy"),"")</f>
        <v/>
      </c>
      <c r="K8" s="4" t="str">
        <f>IFERROR(INDEX(MASTER!$A:$A,MATCH("Cryovial box 1: "&amp;($A8&amp;K$2),MASTER!$L:$L,0))&amp;"_ser_"&amp;TEXT(VALUE(SUBSTITUTE(SUBSTITUTE(TRIM(INDEX(MASTER!$M:$M,MATCH("Cryovial box 1: "&amp;($A8&amp;K$2),MASTER!$L:$L,0))),"ml",""),":",".")),"0.00")&amp;"_"&amp;TEXT(INDEX(MASTER!$E:$E,MATCH("Cryovial box 1: "&amp;($A8&amp;K$2),MASTER!$L:$L,0)),"mmddyy"),"")</f>
        <v/>
      </c>
    </row>
    <row r="9" spans="1:11" ht="20.149999999999999" customHeight="1" x14ac:dyDescent="0.3">
      <c r="A9" s="6" t="s">
        <v>35</v>
      </c>
      <c r="B9" s="4" t="str">
        <f>IFERROR(INDEX(MASTER!$A:$A,MATCH("Cryovial box 1: "&amp;($A9&amp;B$2),MASTER!$L:$L,0))&amp;"_ser_"&amp;TEXT(VALUE(SUBSTITUTE(SUBSTITUTE(TRIM(INDEX(MASTER!$M:$M,MATCH("Cryovial box 1: "&amp;($A9&amp;B$2),MASTER!$L:$L,0))),"ml",""),":",".")),"0.00")&amp;"_"&amp;TEXT(INDEX(MASTER!$E:$E,MATCH("Cryovial box 1: "&amp;($A9&amp;B$2),MASTER!$L:$L,0)),"mmddyy"),"")</f>
        <v/>
      </c>
      <c r="C9" s="4" t="str">
        <f>IFERROR(INDEX(MASTER!$A:$A,MATCH("Cryovial box 1: "&amp;($A9&amp;C$2),MASTER!$L:$L,0))&amp;"_ser_"&amp;TEXT(VALUE(SUBSTITUTE(SUBSTITUTE(TRIM(INDEX(MASTER!$M:$M,MATCH("Cryovial box 1: "&amp;($A9&amp;C$2),MASTER!$L:$L,0))),"ml",""),":",".")),"0.00")&amp;"_"&amp;TEXT(INDEX(MASTER!$E:$E,MATCH("Cryovial box 1: "&amp;($A9&amp;C$2),MASTER!$L:$L,0)),"mmddyy"),"")</f>
        <v/>
      </c>
      <c r="D9" s="4" t="str">
        <f>IFERROR(INDEX(MASTER!$A:$A,MATCH("Cryovial box 1: "&amp;($A9&amp;D$2),MASTER!$L:$L,0))&amp;"_ser_"&amp;TEXT(VALUE(SUBSTITUTE(SUBSTITUTE(TRIM(INDEX(MASTER!$M:$M,MATCH("Cryovial box 1: "&amp;($A9&amp;D$2),MASTER!$L:$L,0))),"ml",""),":",".")),"0.00")&amp;"_"&amp;TEXT(INDEX(MASTER!$E:$E,MATCH("Cryovial box 1: "&amp;($A9&amp;D$2),MASTER!$L:$L,0)),"mmddyy"),"")</f>
        <v/>
      </c>
      <c r="E9" s="4" t="str">
        <f>IFERROR(INDEX(MASTER!$A:$A,MATCH("Cryovial box 1: "&amp;($A9&amp;E$2),MASTER!$L:$L,0))&amp;"_ser_"&amp;TEXT(VALUE(SUBSTITUTE(SUBSTITUTE(TRIM(INDEX(MASTER!$M:$M,MATCH("Cryovial box 1: "&amp;($A9&amp;E$2),MASTER!$L:$L,0))),"ml",""),":",".")),"0.00")&amp;"_"&amp;TEXT(INDEX(MASTER!$E:$E,MATCH("Cryovial box 1: "&amp;($A9&amp;E$2),MASTER!$L:$L,0)),"mmddyy"),"")</f>
        <v/>
      </c>
      <c r="F9" s="4" t="str">
        <f>IFERROR(INDEX(MASTER!$A:$A,MATCH("Cryovial box 1: "&amp;($A9&amp;F$2),MASTER!$L:$L,0))&amp;"_ser_"&amp;TEXT(VALUE(SUBSTITUTE(SUBSTITUTE(TRIM(INDEX(MASTER!$M:$M,MATCH("Cryovial box 1: "&amp;($A9&amp;F$2),MASTER!$L:$L,0))),"ml",""),":",".")),"0.00")&amp;"_"&amp;TEXT(INDEX(MASTER!$E:$E,MATCH("Cryovial box 1: "&amp;($A9&amp;F$2),MASTER!$L:$L,0)),"mmddyy"),"")</f>
        <v/>
      </c>
      <c r="G9" s="4" t="str">
        <f>IFERROR(INDEX(MASTER!$A:$A,MATCH("Cryovial box 1: "&amp;($A9&amp;G$2),MASTER!$L:$L,0))&amp;"_ser_"&amp;TEXT(VALUE(SUBSTITUTE(SUBSTITUTE(TRIM(INDEX(MASTER!$M:$M,MATCH("Cryovial box 1: "&amp;($A9&amp;G$2),MASTER!$L:$L,0))),"ml",""),":",".")),"0.00")&amp;"_"&amp;TEXT(INDEX(MASTER!$E:$E,MATCH("Cryovial box 1: "&amp;($A9&amp;G$2),MASTER!$L:$L,0)),"mmddyy"),"")</f>
        <v/>
      </c>
      <c r="H9" s="4" t="str">
        <f>IFERROR(INDEX(MASTER!$A:$A,MATCH("Cryovial box 1: "&amp;($A9&amp;H$2),MASTER!$L:$L,0))&amp;"_ser_"&amp;TEXT(VALUE(SUBSTITUTE(SUBSTITUTE(TRIM(INDEX(MASTER!$M:$M,MATCH("Cryovial box 1: "&amp;($A9&amp;H$2),MASTER!$L:$L,0))),"ml",""),":",".")),"0.00")&amp;"_"&amp;TEXT(INDEX(MASTER!$E:$E,MATCH("Cryovial box 1: "&amp;($A9&amp;H$2),MASTER!$L:$L,0)),"mmddyy"),"")</f>
        <v/>
      </c>
      <c r="I9" s="4" t="str">
        <f>IFERROR(INDEX(MASTER!$A:$A,MATCH("Cryovial box 1: "&amp;($A9&amp;I$2),MASTER!$L:$L,0))&amp;"_ser_"&amp;TEXT(VALUE(SUBSTITUTE(SUBSTITUTE(TRIM(INDEX(MASTER!$M:$M,MATCH("Cryovial box 1: "&amp;($A9&amp;I$2),MASTER!$L:$L,0))),"ml",""),":",".")),"0.00")&amp;"_"&amp;TEXT(INDEX(MASTER!$E:$E,MATCH("Cryovial box 1: "&amp;($A9&amp;I$2),MASTER!$L:$L,0)),"mmddyy"),"")</f>
        <v/>
      </c>
      <c r="J9" s="4" t="str">
        <f>IFERROR(INDEX(MASTER!$A:$A,MATCH("Cryovial box 1: "&amp;($A9&amp;J$2),MASTER!$L:$L,0))&amp;"_ser_"&amp;TEXT(VALUE(SUBSTITUTE(SUBSTITUTE(TRIM(INDEX(MASTER!$M:$M,MATCH("Cryovial box 1: "&amp;($A9&amp;J$2),MASTER!$L:$L,0))),"ml",""),":",".")),"0.00")&amp;"_"&amp;TEXT(INDEX(MASTER!$E:$E,MATCH("Cryovial box 1: "&amp;($A9&amp;J$2),MASTER!$L:$L,0)),"mmddyy"),"")</f>
        <v/>
      </c>
      <c r="K9" s="4" t="str">
        <f>IFERROR(INDEX(MASTER!$A:$A,MATCH("Cryovial box 1: "&amp;($A9&amp;K$2),MASTER!$L:$L,0))&amp;"_ser_"&amp;TEXT(VALUE(SUBSTITUTE(SUBSTITUTE(TRIM(INDEX(MASTER!$M:$M,MATCH("Cryovial box 1: "&amp;($A9&amp;K$2),MASTER!$L:$L,0))),"ml",""),":",".")),"0.00")&amp;"_"&amp;TEXT(INDEX(MASTER!$E:$E,MATCH("Cryovial box 1: "&amp;($A9&amp;K$2),MASTER!$L:$L,0)),"mmddyy"),"")</f>
        <v/>
      </c>
    </row>
    <row r="10" spans="1:11" ht="20.149999999999999" customHeight="1" x14ac:dyDescent="0.3">
      <c r="A10" s="6" t="s">
        <v>36</v>
      </c>
      <c r="B10" s="4" t="str">
        <f>IFERROR(INDEX(MASTER!$A:$A,MATCH("Cryovial box 1: "&amp;($A10&amp;B$2),MASTER!$L:$L,0))&amp;"_ser_"&amp;TEXT(VALUE(SUBSTITUTE(SUBSTITUTE(TRIM(INDEX(MASTER!$M:$M,MATCH("Cryovial box 1: "&amp;($A10&amp;B$2),MASTER!$L:$L,0))),"ml",""),":",".")),"0.00")&amp;"_"&amp;TEXT(INDEX(MASTER!$E:$E,MATCH("Cryovial box 1: "&amp;($A10&amp;B$2),MASTER!$L:$L,0)),"mmddyy"),"")</f>
        <v/>
      </c>
      <c r="C10" s="4" t="str">
        <f>IFERROR(INDEX(MASTER!$A:$A,MATCH("Cryovial box 1: "&amp;($A10&amp;C$2),MASTER!$L:$L,0))&amp;"_ser_"&amp;TEXT(VALUE(SUBSTITUTE(SUBSTITUTE(TRIM(INDEX(MASTER!$M:$M,MATCH("Cryovial box 1: "&amp;($A10&amp;C$2),MASTER!$L:$L,0))),"ml",""),":",".")),"0.00")&amp;"_"&amp;TEXT(INDEX(MASTER!$E:$E,MATCH("Cryovial box 1: "&amp;($A10&amp;C$2),MASTER!$L:$L,0)),"mmddyy"),"")</f>
        <v/>
      </c>
      <c r="D10" s="4" t="str">
        <f>IFERROR(INDEX(MASTER!$A:$A,MATCH("Cryovial box 1: "&amp;($A10&amp;D$2),MASTER!$L:$L,0))&amp;"_ser_"&amp;TEXT(VALUE(SUBSTITUTE(SUBSTITUTE(TRIM(INDEX(MASTER!$M:$M,MATCH("Cryovial box 1: "&amp;($A10&amp;D$2),MASTER!$L:$L,0))),"ml",""),":",".")),"0.00")&amp;"_"&amp;TEXT(INDEX(MASTER!$E:$E,MATCH("Cryovial box 1: "&amp;($A10&amp;D$2),MASTER!$L:$L,0)),"mmddyy"),"")</f>
        <v/>
      </c>
      <c r="E10" s="4" t="str">
        <f>IFERROR(INDEX(MASTER!$A:$A,MATCH("Cryovial box 1: "&amp;($A10&amp;E$2),MASTER!$L:$L,0))&amp;"_ser_"&amp;TEXT(VALUE(SUBSTITUTE(SUBSTITUTE(TRIM(INDEX(MASTER!$M:$M,MATCH("Cryovial box 1: "&amp;($A10&amp;E$2),MASTER!$L:$L,0))),"ml",""),":",".")),"0.00")&amp;"_"&amp;TEXT(INDEX(MASTER!$E:$E,MATCH("Cryovial box 1: "&amp;($A10&amp;E$2),MASTER!$L:$L,0)),"mmddyy"),"")</f>
        <v/>
      </c>
      <c r="F10" s="4" t="str">
        <f>IFERROR(INDEX(MASTER!$A:$A,MATCH("Cryovial box 1: "&amp;($A10&amp;F$2),MASTER!$L:$L,0))&amp;"_ser_"&amp;TEXT(VALUE(SUBSTITUTE(SUBSTITUTE(TRIM(INDEX(MASTER!$M:$M,MATCH("Cryovial box 1: "&amp;($A10&amp;F$2),MASTER!$L:$L,0))),"ml",""),":",".")),"0.00")&amp;"_"&amp;TEXT(INDEX(MASTER!$E:$E,MATCH("Cryovial box 1: "&amp;($A10&amp;F$2),MASTER!$L:$L,0)),"mmddyy"),"")</f>
        <v/>
      </c>
      <c r="G10" s="4" t="str">
        <f>IFERROR(INDEX(MASTER!$A:$A,MATCH("Cryovial box 1: "&amp;($A10&amp;G$2),MASTER!$L:$L,0))&amp;"_ser_"&amp;TEXT(VALUE(SUBSTITUTE(SUBSTITUTE(TRIM(INDEX(MASTER!$M:$M,MATCH("Cryovial box 1: "&amp;($A10&amp;G$2),MASTER!$L:$L,0))),"ml",""),":",".")),"0.00")&amp;"_"&amp;TEXT(INDEX(MASTER!$E:$E,MATCH("Cryovial box 1: "&amp;($A10&amp;G$2),MASTER!$L:$L,0)),"mmddyy"),"")</f>
        <v/>
      </c>
      <c r="H10" s="4" t="str">
        <f>IFERROR(INDEX(MASTER!$A:$A,MATCH("Cryovial box 1: "&amp;($A10&amp;H$2),MASTER!$L:$L,0))&amp;"_ser_"&amp;TEXT(VALUE(SUBSTITUTE(SUBSTITUTE(TRIM(INDEX(MASTER!$M:$M,MATCH("Cryovial box 1: "&amp;($A10&amp;H$2),MASTER!$L:$L,0))),"ml",""),":",".")),"0.00")&amp;"_"&amp;TEXT(INDEX(MASTER!$E:$E,MATCH("Cryovial box 1: "&amp;($A10&amp;H$2),MASTER!$L:$L,0)),"mmddyy"),"")</f>
        <v/>
      </c>
      <c r="I10" s="4" t="str">
        <f>IFERROR(INDEX(MASTER!$A:$A,MATCH("Cryovial box 1: "&amp;($A10&amp;I$2),MASTER!$L:$L,0))&amp;"_ser_"&amp;TEXT(VALUE(SUBSTITUTE(SUBSTITUTE(TRIM(INDEX(MASTER!$M:$M,MATCH("Cryovial box 1: "&amp;($A10&amp;I$2),MASTER!$L:$L,0))),"ml",""),":",".")),"0.00")&amp;"_"&amp;TEXT(INDEX(MASTER!$E:$E,MATCH("Cryovial box 1: "&amp;($A10&amp;I$2),MASTER!$L:$L,0)),"mmddyy"),"")</f>
        <v/>
      </c>
      <c r="J10" s="4" t="str">
        <f>IFERROR(INDEX(MASTER!$A:$A,MATCH("Cryovial box 1: "&amp;($A10&amp;J$2),MASTER!$L:$L,0))&amp;"_ser_"&amp;TEXT(VALUE(SUBSTITUTE(SUBSTITUTE(TRIM(INDEX(MASTER!$M:$M,MATCH("Cryovial box 1: "&amp;($A10&amp;J$2),MASTER!$L:$L,0))),"ml",""),":",".")),"0.00")&amp;"_"&amp;TEXT(INDEX(MASTER!$E:$E,MATCH("Cryovial box 1: "&amp;($A10&amp;J$2),MASTER!$L:$L,0)),"mmddyy"),"")</f>
        <v/>
      </c>
      <c r="K10" s="4" t="str">
        <f>IFERROR(INDEX(MASTER!$A:$A,MATCH("Cryovial box 1: "&amp;($A10&amp;K$2),MASTER!$L:$L,0))&amp;"_ser_"&amp;TEXT(VALUE(SUBSTITUTE(SUBSTITUTE(TRIM(INDEX(MASTER!$M:$M,MATCH("Cryovial box 1: "&amp;($A10&amp;K$2),MASTER!$L:$L,0))),"ml",""),":",".")),"0.00")&amp;"_"&amp;TEXT(INDEX(MASTER!$E:$E,MATCH("Cryovial box 1: "&amp;($A10&amp;K$2),MASTER!$L:$L,0)),"mmddyy"),"")</f>
        <v/>
      </c>
    </row>
    <row r="11" spans="1:11" ht="20.149999999999999" customHeight="1" x14ac:dyDescent="0.3">
      <c r="A11" s="6" t="s">
        <v>100</v>
      </c>
      <c r="B11" s="4" t="str">
        <f>IFERROR(INDEX(MASTER!$A:$A,MATCH("Cryovial box 1: "&amp;($A11&amp;B$2),MASTER!$L:$L,0))&amp;"_ser_"&amp;TEXT(VALUE(SUBSTITUTE(SUBSTITUTE(TRIM(INDEX(MASTER!$M:$M,MATCH("Cryovial box 1: "&amp;($A11&amp;B$2),MASTER!$L:$L,0))),"ml",""),":",".")),"0.00")&amp;"_"&amp;TEXT(INDEX(MASTER!$E:$E,MATCH("Cryovial box 1: "&amp;($A11&amp;B$2),MASTER!$L:$L,0)),"mmddyy"),"")</f>
        <v/>
      </c>
      <c r="C11" s="4" t="str">
        <f>IFERROR(INDEX(MASTER!$A:$A,MATCH("Cryovial box 1: "&amp;($A11&amp;C$2),MASTER!$L:$L,0))&amp;"_ser_"&amp;TEXT(VALUE(SUBSTITUTE(SUBSTITUTE(TRIM(INDEX(MASTER!$M:$M,MATCH("Cryovial box 1: "&amp;($A11&amp;C$2),MASTER!$L:$L,0))),"ml",""),":",".")),"0.00")&amp;"_"&amp;TEXT(INDEX(MASTER!$E:$E,MATCH("Cryovial box 1: "&amp;($A11&amp;C$2),MASTER!$L:$L,0)),"mmddyy"),"")</f>
        <v/>
      </c>
      <c r="D11" s="4" t="str">
        <f>IFERROR(INDEX(MASTER!$A:$A,MATCH("Cryovial box 1: "&amp;($A11&amp;D$2),MASTER!$L:$L,0))&amp;"_ser_"&amp;TEXT(VALUE(SUBSTITUTE(SUBSTITUTE(TRIM(INDEX(MASTER!$M:$M,MATCH("Cryovial box 1: "&amp;($A11&amp;D$2),MASTER!$L:$L,0))),"ml",""),":",".")),"0.00")&amp;"_"&amp;TEXT(INDEX(MASTER!$E:$E,MATCH("Cryovial box 1: "&amp;($A11&amp;D$2),MASTER!$L:$L,0)),"mmddyy"),"")</f>
        <v/>
      </c>
      <c r="E11" s="4" t="str">
        <f>IFERROR(INDEX(MASTER!$A:$A,MATCH("Cryovial box 1: "&amp;($A11&amp;E$2),MASTER!$L:$L,0))&amp;"_ser_"&amp;TEXT(VALUE(SUBSTITUTE(SUBSTITUTE(TRIM(INDEX(MASTER!$M:$M,MATCH("Cryovial box 1: "&amp;($A11&amp;E$2),MASTER!$L:$L,0))),"ml",""),":",".")),"0.00")&amp;"_"&amp;TEXT(INDEX(MASTER!$E:$E,MATCH("Cryovial box 1: "&amp;($A11&amp;E$2),MASTER!$L:$L,0)),"mmddyy"),"")</f>
        <v/>
      </c>
      <c r="F11" s="4" t="str">
        <f>IFERROR(INDEX(MASTER!$A:$A,MATCH("Cryovial box 1: "&amp;($A11&amp;F$2),MASTER!$L:$L,0))&amp;"_ser_"&amp;TEXT(VALUE(SUBSTITUTE(SUBSTITUTE(TRIM(INDEX(MASTER!$M:$M,MATCH("Cryovial box 1: "&amp;($A11&amp;F$2),MASTER!$L:$L,0))),"ml",""),":",".")),"0.00")&amp;"_"&amp;TEXT(INDEX(MASTER!$E:$E,MATCH("Cryovial box 1: "&amp;($A11&amp;F$2),MASTER!$L:$L,0)),"mmddyy"),"")</f>
        <v/>
      </c>
      <c r="G11" s="4" t="str">
        <f>IFERROR(INDEX(MASTER!$A:$A,MATCH("Cryovial box 1: "&amp;($A11&amp;G$2),MASTER!$L:$L,0))&amp;"_ser_"&amp;TEXT(VALUE(SUBSTITUTE(SUBSTITUTE(TRIM(INDEX(MASTER!$M:$M,MATCH("Cryovial box 1: "&amp;($A11&amp;G$2),MASTER!$L:$L,0))),"ml",""),":",".")),"0.00")&amp;"_"&amp;TEXT(INDEX(MASTER!$E:$E,MATCH("Cryovial box 1: "&amp;($A11&amp;G$2),MASTER!$L:$L,0)),"mmddyy"),"")</f>
        <v/>
      </c>
      <c r="H11" s="4" t="str">
        <f>IFERROR(INDEX(MASTER!$A:$A,MATCH("Cryovial box 1: "&amp;($A11&amp;H$2),MASTER!$L:$L,0))&amp;"_ser_"&amp;TEXT(VALUE(SUBSTITUTE(SUBSTITUTE(TRIM(INDEX(MASTER!$M:$M,MATCH("Cryovial box 1: "&amp;($A11&amp;H$2),MASTER!$L:$L,0))),"ml",""),":",".")),"0.00")&amp;"_"&amp;TEXT(INDEX(MASTER!$E:$E,MATCH("Cryovial box 1: "&amp;($A11&amp;H$2),MASTER!$L:$L,0)),"mmddyy"),"")</f>
        <v/>
      </c>
      <c r="I11" s="4" t="str">
        <f>IFERROR(INDEX(MASTER!$A:$A,MATCH("Cryovial box 1: "&amp;($A11&amp;I$2),MASTER!$L:$L,0))&amp;"_ser_"&amp;TEXT(VALUE(SUBSTITUTE(SUBSTITUTE(TRIM(INDEX(MASTER!$M:$M,MATCH("Cryovial box 1: "&amp;($A11&amp;I$2),MASTER!$L:$L,0))),"ml",""),":",".")),"0.00")&amp;"_"&amp;TEXT(INDEX(MASTER!$E:$E,MATCH("Cryovial box 1: "&amp;($A11&amp;I$2),MASTER!$L:$L,0)),"mmddyy"),"")</f>
        <v/>
      </c>
      <c r="J11" s="4" t="str">
        <f>IFERROR(INDEX(MASTER!$A:$A,MATCH("Cryovial box 1: "&amp;($A11&amp;J$2),MASTER!$L:$L,0))&amp;"_ser_"&amp;TEXT(VALUE(SUBSTITUTE(SUBSTITUTE(TRIM(INDEX(MASTER!$M:$M,MATCH("Cryovial box 1: "&amp;($A11&amp;J$2),MASTER!$L:$L,0))),"ml",""),":",".")),"0.00")&amp;"_"&amp;TEXT(INDEX(MASTER!$E:$E,MATCH("Cryovial box 1: "&amp;($A11&amp;J$2),MASTER!$L:$L,0)),"mmddyy"),"")</f>
        <v/>
      </c>
      <c r="K11" s="4" t="str">
        <f>IFERROR(INDEX(MASTER!$A:$A,MATCH("Cryovial box 1: "&amp;($A11&amp;K$2),MASTER!$L:$L,0))&amp;"_ser_"&amp;TEXT(VALUE(SUBSTITUTE(SUBSTITUTE(TRIM(INDEX(MASTER!$M:$M,MATCH("Cryovial box 1: "&amp;($A11&amp;K$2),MASTER!$L:$L,0))),"ml",""),":",".")),"0.00")&amp;"_"&amp;TEXT(INDEX(MASTER!$E:$E,MATCH("Cryovial box 1: "&amp;($A11&amp;K$2),MASTER!$L:$L,0)),"mmddyy"),"")</f>
        <v/>
      </c>
    </row>
    <row r="12" spans="1:11" ht="20.149999999999999" customHeight="1" x14ac:dyDescent="0.3">
      <c r="A12" s="6" t="s">
        <v>101</v>
      </c>
      <c r="B12" s="4" t="str">
        <f>IFERROR(INDEX(MASTER!$A:$A,MATCH("Cryovial box 1: "&amp;($A12&amp;B$2),MASTER!$L:$L,0))&amp;"_ser_"&amp;TEXT(VALUE(SUBSTITUTE(SUBSTITUTE(TRIM(INDEX(MASTER!$M:$M,MATCH("Cryovial box 1: "&amp;($A12&amp;B$2),MASTER!$L:$L,0))),"ml",""),":",".")),"0.00")&amp;"_"&amp;TEXT(INDEX(MASTER!$E:$E,MATCH("Cryovial box 1: "&amp;($A12&amp;B$2),MASTER!$L:$L,0)),"mmddyy"),"")</f>
        <v/>
      </c>
      <c r="C12" s="4" t="str">
        <f>IFERROR(INDEX(MASTER!$A:$A,MATCH("Cryovial box 1: "&amp;($A12&amp;C$2),MASTER!$L:$L,0))&amp;"_ser_"&amp;TEXT(VALUE(SUBSTITUTE(SUBSTITUTE(TRIM(INDEX(MASTER!$M:$M,MATCH("Cryovial box 1: "&amp;($A12&amp;C$2),MASTER!$L:$L,0))),"ml",""),":",".")),"0.00")&amp;"_"&amp;TEXT(INDEX(MASTER!$E:$E,MATCH("Cryovial box 1: "&amp;($A12&amp;C$2),MASTER!$L:$L,0)),"mmddyy"),"")</f>
        <v/>
      </c>
      <c r="D12" s="4" t="str">
        <f>IFERROR(INDEX(MASTER!$A:$A,MATCH("Cryovial box 1: "&amp;($A12&amp;D$2),MASTER!$L:$L,0))&amp;"_ser_"&amp;TEXT(VALUE(SUBSTITUTE(SUBSTITUTE(TRIM(INDEX(MASTER!$M:$M,MATCH("Cryovial box 1: "&amp;($A12&amp;D$2),MASTER!$L:$L,0))),"ml",""),":",".")),"0.00")&amp;"_"&amp;TEXT(INDEX(MASTER!$E:$E,MATCH("Cryovial box 1: "&amp;($A12&amp;D$2),MASTER!$L:$L,0)),"mmddyy"),"")</f>
        <v/>
      </c>
      <c r="E12" s="4" t="str">
        <f>IFERROR(INDEX(MASTER!$A:$A,MATCH("Cryovial box 1: "&amp;($A12&amp;E$2),MASTER!$L:$L,0))&amp;"_ser_"&amp;TEXT(VALUE(SUBSTITUTE(SUBSTITUTE(TRIM(INDEX(MASTER!$M:$M,MATCH("Cryovial box 1: "&amp;($A12&amp;E$2),MASTER!$L:$L,0))),"ml",""),":",".")),"0.00")&amp;"_"&amp;TEXT(INDEX(MASTER!$E:$E,MATCH("Cryovial box 1: "&amp;($A12&amp;E$2),MASTER!$L:$L,0)),"mmddyy"),"")</f>
        <v/>
      </c>
      <c r="F12" s="4" t="str">
        <f>IFERROR(INDEX(MASTER!$A:$A,MATCH("Cryovial box 1: "&amp;($A12&amp;F$2),MASTER!$L:$L,0))&amp;"_ser_"&amp;TEXT(VALUE(SUBSTITUTE(SUBSTITUTE(TRIM(INDEX(MASTER!$M:$M,MATCH("Cryovial box 1: "&amp;($A12&amp;F$2),MASTER!$L:$L,0))),"ml",""),":",".")),"0.00")&amp;"_"&amp;TEXT(INDEX(MASTER!$E:$E,MATCH("Cryovial box 1: "&amp;($A12&amp;F$2),MASTER!$L:$L,0)),"mmddyy"),"")</f>
        <v/>
      </c>
      <c r="G12" s="4" t="str">
        <f>IFERROR(INDEX(MASTER!$A:$A,MATCH("Cryovial box 1: "&amp;($A12&amp;G$2),MASTER!$L:$L,0))&amp;"_ser_"&amp;TEXT(VALUE(SUBSTITUTE(SUBSTITUTE(TRIM(INDEX(MASTER!$M:$M,MATCH("Cryovial box 1: "&amp;($A12&amp;G$2),MASTER!$L:$L,0))),"ml",""),":",".")),"0.00")&amp;"_"&amp;TEXT(INDEX(MASTER!$E:$E,MATCH("Cryovial box 1: "&amp;($A12&amp;G$2),MASTER!$L:$L,0)),"mmddyy"),"")</f>
        <v/>
      </c>
      <c r="H12" s="4" t="str">
        <f>IFERROR(INDEX(MASTER!$A:$A,MATCH("Cryovial box 1: "&amp;($A12&amp;H$2),MASTER!$L:$L,0))&amp;"_ser_"&amp;TEXT(VALUE(SUBSTITUTE(SUBSTITUTE(TRIM(INDEX(MASTER!$M:$M,MATCH("Cryovial box 1: "&amp;($A12&amp;H$2),MASTER!$L:$L,0))),"ml",""),":",".")),"0.00")&amp;"_"&amp;TEXT(INDEX(MASTER!$E:$E,MATCH("Cryovial box 1: "&amp;($A12&amp;H$2),MASTER!$L:$L,0)),"mmddyy"),"")</f>
        <v/>
      </c>
      <c r="I12" s="4" t="str">
        <f>IFERROR(INDEX(MASTER!$A:$A,MATCH("Cryovial box 1: "&amp;($A12&amp;I$2),MASTER!$L:$L,0))&amp;"_ser_"&amp;TEXT(VALUE(SUBSTITUTE(SUBSTITUTE(TRIM(INDEX(MASTER!$M:$M,MATCH("Cryovial box 1: "&amp;($A12&amp;I$2),MASTER!$L:$L,0))),"ml",""),":",".")),"0.00")&amp;"_"&amp;TEXT(INDEX(MASTER!$E:$E,MATCH("Cryovial box 1: "&amp;($A12&amp;I$2),MASTER!$L:$L,0)),"mmddyy"),"")</f>
        <v/>
      </c>
      <c r="J12" s="4" t="str">
        <f>IFERROR(INDEX(MASTER!$A:$A,MATCH("Cryovial box 1: "&amp;($A12&amp;J$2),MASTER!$L:$L,0))&amp;"_ser_"&amp;TEXT(VALUE(SUBSTITUTE(SUBSTITUTE(TRIM(INDEX(MASTER!$M:$M,MATCH("Cryovial box 1: "&amp;($A12&amp;J$2),MASTER!$L:$L,0))),"ml",""),":",".")),"0.00")&amp;"_"&amp;TEXT(INDEX(MASTER!$E:$E,MATCH("Cryovial box 1: "&amp;($A12&amp;J$2),MASTER!$L:$L,0)),"mmddyy"),"")</f>
        <v/>
      </c>
      <c r="K12" s="4" t="str">
        <f>IFERROR(INDEX(MASTER!$A:$A,MATCH("Cryovial box 1: "&amp;($A12&amp;K$2),MASTER!$L:$L,0))&amp;"_ser_"&amp;TEXT(VALUE(SUBSTITUTE(SUBSTITUTE(TRIM(INDEX(MASTER!$M:$M,MATCH("Cryovial box 1: "&amp;($A12&amp;K$2),MASTER!$L:$L,0))),"ml",""),":",".")),"0.00")&amp;"_"&amp;TEXT(INDEX(MASTER!$E:$E,MATCH("Cryovial box 1: "&amp;($A12&amp;K$2),MASTER!$L:$L,0)),"mmddyy"),"")</f>
        <v/>
      </c>
    </row>
    <row r="13" spans="1:11" ht="14.1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4.15" customHeight="1" x14ac:dyDescent="0.3">
      <c r="A14" s="5"/>
      <c r="B14" s="31" t="s">
        <v>102</v>
      </c>
      <c r="C14" s="36"/>
      <c r="D14" s="36"/>
      <c r="E14" s="36"/>
      <c r="F14" s="36"/>
      <c r="G14" s="36"/>
      <c r="H14" s="36"/>
      <c r="I14" s="36"/>
      <c r="J14" s="36"/>
      <c r="K14" s="37"/>
    </row>
    <row r="15" spans="1:11" ht="14.15" customHeight="1" x14ac:dyDescent="0.3">
      <c r="A15" s="5"/>
      <c r="B15" s="6">
        <v>1</v>
      </c>
      <c r="C15" s="6">
        <v>2</v>
      </c>
      <c r="D15" s="6">
        <v>3</v>
      </c>
      <c r="E15" s="6">
        <v>4</v>
      </c>
      <c r="F15" s="6">
        <v>5</v>
      </c>
      <c r="G15" s="6">
        <v>6</v>
      </c>
      <c r="H15" s="6">
        <v>7</v>
      </c>
      <c r="I15" s="6">
        <v>8</v>
      </c>
      <c r="J15" s="6">
        <v>9</v>
      </c>
      <c r="K15" s="6">
        <v>10</v>
      </c>
    </row>
    <row r="16" spans="1:11" ht="20.149999999999999" customHeight="1" x14ac:dyDescent="0.3">
      <c r="A16" s="6" t="s">
        <v>30</v>
      </c>
      <c r="B16" s="4" t="str">
        <f>IFERROR(INDEX(MASTER!$A:$A,MATCH("Cryovial box 2: "&amp;($A16&amp;B$15),MASTER!$L:$L,0))&amp;"_ser_"&amp;TEXT(VALUE(SUBSTITUTE(SUBSTITUTE(TRIM(INDEX(MASTER!$M:$M,MATCH("Cryovial box 2: "&amp;($A16&amp;B$15),MASTER!$L:$L,0))),"ml",""),":",".")),"0.00")&amp;"_"&amp;TEXT(INDEX(MASTER!$E:$E,MATCH("Cryovial box 2: "&amp;($A16&amp;B$15),MASTER!$L:$L,0)),"mmddyy"),"")</f>
        <v/>
      </c>
      <c r="C16" s="4" t="str">
        <f>IFERROR(INDEX(MASTER!$A:$A,MATCH("Cryovial box 2: "&amp;($A16&amp;C$15),MASTER!$L:$L,0))&amp;"_ser_"&amp;TEXT(VALUE(SUBSTITUTE(SUBSTITUTE(TRIM(INDEX(MASTER!$M:$M,MATCH("Cryovial box 2: "&amp;($A16&amp;C$15),MASTER!$L:$L,0))),"ml",""),":",".")),"0.00")&amp;"_"&amp;TEXT(INDEX(MASTER!$E:$E,MATCH("Cryovial box 2: "&amp;($A16&amp;C$15),MASTER!$L:$L,0)),"mmddyy"),"")</f>
        <v/>
      </c>
      <c r="D16" s="4" t="str">
        <f>IFERROR(INDEX(MASTER!$A:$A,MATCH("Cryovial box 2: "&amp;($A16&amp;D$15),MASTER!$L:$L,0))&amp;"_ser_"&amp;TEXT(VALUE(SUBSTITUTE(SUBSTITUTE(TRIM(INDEX(MASTER!$M:$M,MATCH("Cryovial box 2: "&amp;($A16&amp;D$15),MASTER!$L:$L,0))),"ml",""),":",".")),"0.00")&amp;"_"&amp;TEXT(INDEX(MASTER!$E:$E,MATCH("Cryovial box 2: "&amp;($A16&amp;D$15),MASTER!$L:$L,0)),"mmddyy"),"")</f>
        <v/>
      </c>
      <c r="E16" s="4" t="str">
        <f>IFERROR(INDEX(MASTER!$A:$A,MATCH("Cryovial box 2: "&amp;($A16&amp;E$15),MASTER!$L:$L,0))&amp;"_ser_"&amp;TEXT(VALUE(SUBSTITUTE(SUBSTITUTE(TRIM(INDEX(MASTER!$M:$M,MATCH("Cryovial box 2: "&amp;($A16&amp;E$15),MASTER!$L:$L,0))),"ml",""),":",".")),"0.00")&amp;"_"&amp;TEXT(INDEX(MASTER!$E:$E,MATCH("Cryovial box 2: "&amp;($A16&amp;E$15),MASTER!$L:$L,0)),"mmddyy"),"")</f>
        <v/>
      </c>
      <c r="F16" s="4" t="str">
        <f>IFERROR(INDEX(MASTER!$A:$A,MATCH("Cryovial box 2: "&amp;($A16&amp;F$15),MASTER!$L:$L,0))&amp;"_ser_"&amp;TEXT(VALUE(SUBSTITUTE(SUBSTITUTE(TRIM(INDEX(MASTER!$M:$M,MATCH("Cryovial box 2: "&amp;($A16&amp;F$15),MASTER!$L:$L,0))),"ml",""),":",".")),"0.00")&amp;"_"&amp;TEXT(INDEX(MASTER!$E:$E,MATCH("Cryovial box 2: "&amp;($A16&amp;F$15),MASTER!$L:$L,0)),"mmddyy"),"")</f>
        <v/>
      </c>
      <c r="G16" s="4" t="str">
        <f>IFERROR(INDEX(MASTER!$A:$A,MATCH("Cryovial box 2: "&amp;($A16&amp;G$15),MASTER!$L:$L,0))&amp;"_ser_"&amp;TEXT(VALUE(SUBSTITUTE(SUBSTITUTE(TRIM(INDEX(MASTER!$M:$M,MATCH("Cryovial box 2: "&amp;($A16&amp;G$15),MASTER!$L:$L,0))),"ml",""),":",".")),"0.00")&amp;"_"&amp;TEXT(INDEX(MASTER!$E:$E,MATCH("Cryovial box 2: "&amp;($A16&amp;G$15),MASTER!$L:$L,0)),"mmddyy"),"")</f>
        <v/>
      </c>
      <c r="H16" s="4" t="str">
        <f>IFERROR(INDEX(MASTER!$A:$A,MATCH("Cryovial box 2: "&amp;($A16&amp;H$15),MASTER!$L:$L,0))&amp;"_ser_"&amp;TEXT(VALUE(SUBSTITUTE(SUBSTITUTE(TRIM(INDEX(MASTER!$M:$M,MATCH("Cryovial box 2: "&amp;($A16&amp;H$15),MASTER!$L:$L,0))),"ml",""),":",".")),"0.00")&amp;"_"&amp;TEXT(INDEX(MASTER!$E:$E,MATCH("Cryovial box 2: "&amp;($A16&amp;H$15),MASTER!$L:$L,0)),"mmddyy"),"")</f>
        <v/>
      </c>
      <c r="I16" s="4" t="str">
        <f>IFERROR(INDEX(MASTER!$A:$A,MATCH("Cryovial box 2: "&amp;($A16&amp;I$15),MASTER!$L:$L,0))&amp;"_ser_"&amp;TEXT(VALUE(SUBSTITUTE(SUBSTITUTE(TRIM(INDEX(MASTER!$M:$M,MATCH("Cryovial box 2: "&amp;($A16&amp;I$15),MASTER!$L:$L,0))),"ml",""),":",".")),"0.00")&amp;"_"&amp;TEXT(INDEX(MASTER!$E:$E,MATCH("Cryovial box 2: "&amp;($A16&amp;I$15),MASTER!$L:$L,0)),"mmddyy"),"")</f>
        <v/>
      </c>
      <c r="J16" s="4" t="str">
        <f>IFERROR(INDEX(MASTER!$A:$A,MATCH("Cryovial box 2: "&amp;($A16&amp;J$15),MASTER!$L:$L,0))&amp;"_ser_"&amp;TEXT(VALUE(SUBSTITUTE(SUBSTITUTE(TRIM(INDEX(MASTER!$M:$M,MATCH("Cryovial box 2: "&amp;($A16&amp;J$15),MASTER!$L:$L,0))),"ml",""),":",".")),"0.00")&amp;"_"&amp;TEXT(INDEX(MASTER!$E:$E,MATCH("Cryovial box 2: "&amp;($A16&amp;J$15),MASTER!$L:$L,0)),"mmddyy"),"")</f>
        <v/>
      </c>
      <c r="K16" s="4" t="str">
        <f>IFERROR(INDEX(MASTER!$A:$A,MATCH("Cryovial box 2: "&amp;($A16&amp;K$15),MASTER!$L:$L,0))&amp;"_ser_"&amp;TEXT(VALUE(SUBSTITUTE(SUBSTITUTE(TRIM(INDEX(MASTER!$M:$M,MATCH("Cryovial box 2: "&amp;($A16&amp;K$15),MASTER!$L:$L,0))),"ml",""),":",".")),"0.00")&amp;"_"&amp;TEXT(INDEX(MASTER!$E:$E,MATCH("Cryovial box 2: "&amp;($A16&amp;K$15),MASTER!$L:$L,0)),"mmddyy"),"")</f>
        <v/>
      </c>
    </row>
    <row r="17" spans="1:11" ht="20.149999999999999" customHeight="1" x14ac:dyDescent="0.3">
      <c r="A17" s="6" t="s">
        <v>31</v>
      </c>
      <c r="B17" s="4" t="str">
        <f>IFERROR(INDEX(MASTER!$A:$A,MATCH("Cryovial box 2: "&amp;($A17&amp;B$15),MASTER!$L:$L,0))&amp;"_ser_"&amp;TEXT(VALUE(SUBSTITUTE(SUBSTITUTE(TRIM(INDEX(MASTER!$M:$M,MATCH("Cryovial box 2: "&amp;($A17&amp;B$15),MASTER!$L:$L,0))),"ml",""),":",".")),"0.00")&amp;"_"&amp;TEXT(INDEX(MASTER!$E:$E,MATCH("Cryovial box 2: "&amp;($A17&amp;B$15),MASTER!$L:$L,0)),"mmddyy"),"")</f>
        <v/>
      </c>
      <c r="C17" s="4" t="str">
        <f>IFERROR(INDEX(MASTER!$A:$A,MATCH("Cryovial box 2: "&amp;($A17&amp;C$15),MASTER!$L:$L,0))&amp;"_ser_"&amp;TEXT(VALUE(SUBSTITUTE(SUBSTITUTE(TRIM(INDEX(MASTER!$M:$M,MATCH("Cryovial box 2: "&amp;($A17&amp;C$15),MASTER!$L:$L,0))),"ml",""),":",".")),"0.00")&amp;"_"&amp;TEXT(INDEX(MASTER!$E:$E,MATCH("Cryovial box 2: "&amp;($A17&amp;C$15),MASTER!$L:$L,0)),"mmddyy"),"")</f>
        <v/>
      </c>
      <c r="D17" s="4" t="str">
        <f>IFERROR(INDEX(MASTER!$A:$A,MATCH("Cryovial box 2: "&amp;($A17&amp;D$15),MASTER!$L:$L,0))&amp;"_ser_"&amp;TEXT(VALUE(SUBSTITUTE(SUBSTITUTE(TRIM(INDEX(MASTER!$M:$M,MATCH("Cryovial box 2: "&amp;($A17&amp;D$15),MASTER!$L:$L,0))),"ml",""),":",".")),"0.00")&amp;"_"&amp;TEXT(INDEX(MASTER!$E:$E,MATCH("Cryovial box 2: "&amp;($A17&amp;D$15),MASTER!$L:$L,0)),"mmddyy"),"")</f>
        <v/>
      </c>
      <c r="E17" s="4" t="str">
        <f>IFERROR(INDEX(MASTER!$A:$A,MATCH("Cryovial box 2: "&amp;($A17&amp;E$15),MASTER!$L:$L,0))&amp;"_ser_"&amp;TEXT(VALUE(SUBSTITUTE(SUBSTITUTE(TRIM(INDEX(MASTER!$M:$M,MATCH("Cryovial box 2: "&amp;($A17&amp;E$15),MASTER!$L:$L,0))),"ml",""),":",".")),"0.00")&amp;"_"&amp;TEXT(INDEX(MASTER!$E:$E,MATCH("Cryovial box 2: "&amp;($A17&amp;E$15),MASTER!$L:$L,0)),"mmddyy"),"")</f>
        <v/>
      </c>
      <c r="F17" s="4" t="str">
        <f>IFERROR(INDEX(MASTER!$A:$A,MATCH("Cryovial box 2: "&amp;($A17&amp;F$15),MASTER!$L:$L,0))&amp;"_ser_"&amp;TEXT(VALUE(SUBSTITUTE(SUBSTITUTE(TRIM(INDEX(MASTER!$M:$M,MATCH("Cryovial box 2: "&amp;($A17&amp;F$15),MASTER!$L:$L,0))),"ml",""),":",".")),"0.00")&amp;"_"&amp;TEXT(INDEX(MASTER!$E:$E,MATCH("Cryovial box 2: "&amp;($A17&amp;F$15),MASTER!$L:$L,0)),"mmddyy"),"")</f>
        <v/>
      </c>
      <c r="G17" s="4" t="str">
        <f>IFERROR(INDEX(MASTER!$A:$A,MATCH("Cryovial box 2: "&amp;($A17&amp;G$15),MASTER!$L:$L,0))&amp;"_ser_"&amp;TEXT(VALUE(SUBSTITUTE(SUBSTITUTE(TRIM(INDEX(MASTER!$M:$M,MATCH("Cryovial box 2: "&amp;($A17&amp;G$15),MASTER!$L:$L,0))),"ml",""),":",".")),"0.00")&amp;"_"&amp;TEXT(INDEX(MASTER!$E:$E,MATCH("Cryovial box 2: "&amp;($A17&amp;G$15),MASTER!$L:$L,0)),"mmddyy"),"")</f>
        <v/>
      </c>
      <c r="H17" s="4" t="str">
        <f>IFERROR(INDEX(MASTER!$A:$A,MATCH("Cryovial box 2: "&amp;($A17&amp;H$15),MASTER!$L:$L,0))&amp;"_ser_"&amp;TEXT(VALUE(SUBSTITUTE(SUBSTITUTE(TRIM(INDEX(MASTER!$M:$M,MATCH("Cryovial box 2: "&amp;($A17&amp;H$15),MASTER!$L:$L,0))),"ml",""),":",".")),"0.00")&amp;"_"&amp;TEXT(INDEX(MASTER!$E:$E,MATCH("Cryovial box 2: "&amp;($A17&amp;H$15),MASTER!$L:$L,0)),"mmddyy"),"")</f>
        <v/>
      </c>
      <c r="I17" s="4" t="str">
        <f>IFERROR(INDEX(MASTER!$A:$A,MATCH("Cryovial box 2: "&amp;($A17&amp;I$15),MASTER!$L:$L,0))&amp;"_ser_"&amp;TEXT(VALUE(SUBSTITUTE(SUBSTITUTE(TRIM(INDEX(MASTER!$M:$M,MATCH("Cryovial box 2: "&amp;($A17&amp;I$15),MASTER!$L:$L,0))),"ml",""),":",".")),"0.00")&amp;"_"&amp;TEXT(INDEX(MASTER!$E:$E,MATCH("Cryovial box 2: "&amp;($A17&amp;I$15),MASTER!$L:$L,0)),"mmddyy"),"")</f>
        <v/>
      </c>
      <c r="J17" s="4" t="str">
        <f>IFERROR(INDEX(MASTER!$A:$A,MATCH("Cryovial box 2: "&amp;($A17&amp;J$15),MASTER!$L:$L,0))&amp;"_ser_"&amp;TEXT(VALUE(SUBSTITUTE(SUBSTITUTE(TRIM(INDEX(MASTER!$M:$M,MATCH("Cryovial box 2: "&amp;($A17&amp;J$15),MASTER!$L:$L,0))),"ml",""),":",".")),"0.00")&amp;"_"&amp;TEXT(INDEX(MASTER!$E:$E,MATCH("Cryovial box 2: "&amp;($A17&amp;J$15),MASTER!$L:$L,0)),"mmddyy"),"")</f>
        <v/>
      </c>
      <c r="K17" s="4" t="str">
        <f>IFERROR(INDEX(MASTER!$A:$A,MATCH("Cryovial box 2: "&amp;($A17&amp;K$15),MASTER!$L:$L,0))&amp;"_ser_"&amp;TEXT(VALUE(SUBSTITUTE(SUBSTITUTE(TRIM(INDEX(MASTER!$M:$M,MATCH("Cryovial box 2: "&amp;($A17&amp;K$15),MASTER!$L:$L,0))),"ml",""),":",".")),"0.00")&amp;"_"&amp;TEXT(INDEX(MASTER!$E:$E,MATCH("Cryovial box 2: "&amp;($A17&amp;K$15),MASTER!$L:$L,0)),"mmddyy"),"")</f>
        <v/>
      </c>
    </row>
    <row r="18" spans="1:11" ht="20.149999999999999" customHeight="1" x14ac:dyDescent="0.3">
      <c r="A18" s="6" t="s">
        <v>32</v>
      </c>
      <c r="B18" s="4" t="str">
        <f>IFERROR(INDEX(MASTER!$A:$A,MATCH("Cryovial box 2: "&amp;($A18&amp;B$15),MASTER!$L:$L,0))&amp;"_ser_"&amp;TEXT(VALUE(SUBSTITUTE(SUBSTITUTE(TRIM(INDEX(MASTER!$M:$M,MATCH("Cryovial box 2: "&amp;($A18&amp;B$15),MASTER!$L:$L,0))),"ml",""),":",".")),"0.00")&amp;"_"&amp;TEXT(INDEX(MASTER!$E:$E,MATCH("Cryovial box 2: "&amp;($A18&amp;B$15),MASTER!$L:$L,0)),"mmddyy"),"")</f>
        <v/>
      </c>
      <c r="C18" s="4" t="str">
        <f>IFERROR(INDEX(MASTER!$A:$A,MATCH("Cryovial box 2: "&amp;($A18&amp;C$15),MASTER!$L:$L,0))&amp;"_ser_"&amp;TEXT(VALUE(SUBSTITUTE(SUBSTITUTE(TRIM(INDEX(MASTER!$M:$M,MATCH("Cryovial box 2: "&amp;($A18&amp;C$15),MASTER!$L:$L,0))),"ml",""),":",".")),"0.00")&amp;"_"&amp;TEXT(INDEX(MASTER!$E:$E,MATCH("Cryovial box 2: "&amp;($A18&amp;C$15),MASTER!$L:$L,0)),"mmddyy"),"")</f>
        <v/>
      </c>
      <c r="D18" s="4" t="str">
        <f>IFERROR(INDEX(MASTER!$A:$A,MATCH("Cryovial box 2: "&amp;($A18&amp;D$15),MASTER!$L:$L,0))&amp;"_ser_"&amp;TEXT(VALUE(SUBSTITUTE(SUBSTITUTE(TRIM(INDEX(MASTER!$M:$M,MATCH("Cryovial box 2: "&amp;($A18&amp;D$15),MASTER!$L:$L,0))),"ml",""),":",".")),"0.00")&amp;"_"&amp;TEXT(INDEX(MASTER!$E:$E,MATCH("Cryovial box 2: "&amp;($A18&amp;D$15),MASTER!$L:$L,0)),"mmddyy"),"")</f>
        <v/>
      </c>
      <c r="E18" s="4" t="str">
        <f>IFERROR(INDEX(MASTER!$A:$A,MATCH("Cryovial box 2: "&amp;($A18&amp;E$15),MASTER!$L:$L,0))&amp;"_ser_"&amp;TEXT(VALUE(SUBSTITUTE(SUBSTITUTE(TRIM(INDEX(MASTER!$M:$M,MATCH("Cryovial box 2: "&amp;($A18&amp;E$15),MASTER!$L:$L,0))),"ml",""),":",".")),"0.00")&amp;"_"&amp;TEXT(INDEX(MASTER!$E:$E,MATCH("Cryovial box 2: "&amp;($A18&amp;E$15),MASTER!$L:$L,0)),"mmddyy"),"")</f>
        <v/>
      </c>
      <c r="F18" s="4" t="str">
        <f>IFERROR(INDEX(MASTER!$A:$A,MATCH("Cryovial box 2: "&amp;($A18&amp;F$15),MASTER!$L:$L,0))&amp;"_ser_"&amp;TEXT(VALUE(SUBSTITUTE(SUBSTITUTE(TRIM(INDEX(MASTER!$M:$M,MATCH("Cryovial box 2: "&amp;($A18&amp;F$15),MASTER!$L:$L,0))),"ml",""),":",".")),"0.00")&amp;"_"&amp;TEXT(INDEX(MASTER!$E:$E,MATCH("Cryovial box 2: "&amp;($A18&amp;F$15),MASTER!$L:$L,0)),"mmddyy"),"")</f>
        <v/>
      </c>
      <c r="G18" s="4" t="str">
        <f>IFERROR(INDEX(MASTER!$A:$A,MATCH("Cryovial box 2: "&amp;($A18&amp;G$15),MASTER!$L:$L,0))&amp;"_ser_"&amp;TEXT(VALUE(SUBSTITUTE(SUBSTITUTE(TRIM(INDEX(MASTER!$M:$M,MATCH("Cryovial box 2: "&amp;($A18&amp;G$15),MASTER!$L:$L,0))),"ml",""),":",".")),"0.00")&amp;"_"&amp;TEXT(INDEX(MASTER!$E:$E,MATCH("Cryovial box 2: "&amp;($A18&amp;G$15),MASTER!$L:$L,0)),"mmddyy"),"")</f>
        <v/>
      </c>
      <c r="H18" s="4" t="str">
        <f>IFERROR(INDEX(MASTER!$A:$A,MATCH("Cryovial box 2: "&amp;($A18&amp;H$15),MASTER!$L:$L,0))&amp;"_ser_"&amp;TEXT(VALUE(SUBSTITUTE(SUBSTITUTE(TRIM(INDEX(MASTER!$M:$M,MATCH("Cryovial box 2: "&amp;($A18&amp;H$15),MASTER!$L:$L,0))),"ml",""),":",".")),"0.00")&amp;"_"&amp;TEXT(INDEX(MASTER!$E:$E,MATCH("Cryovial box 2: "&amp;($A18&amp;H$15),MASTER!$L:$L,0)),"mmddyy"),"")</f>
        <v/>
      </c>
      <c r="I18" s="4" t="str">
        <f>IFERROR(INDEX(MASTER!$A:$A,MATCH("Cryovial box 2: "&amp;($A18&amp;I$15),MASTER!$L:$L,0))&amp;"_ser_"&amp;TEXT(VALUE(SUBSTITUTE(SUBSTITUTE(TRIM(INDEX(MASTER!$M:$M,MATCH("Cryovial box 2: "&amp;($A18&amp;I$15),MASTER!$L:$L,0))),"ml",""),":",".")),"0.00")&amp;"_"&amp;TEXT(INDEX(MASTER!$E:$E,MATCH("Cryovial box 2: "&amp;($A18&amp;I$15),MASTER!$L:$L,0)),"mmddyy"),"")</f>
        <v/>
      </c>
      <c r="J18" s="4" t="str">
        <f>IFERROR(INDEX(MASTER!$A:$A,MATCH("Cryovial box 2: "&amp;($A18&amp;J$15),MASTER!$L:$L,0))&amp;"_ser_"&amp;TEXT(VALUE(SUBSTITUTE(SUBSTITUTE(TRIM(INDEX(MASTER!$M:$M,MATCH("Cryovial box 2: "&amp;($A18&amp;J$15),MASTER!$L:$L,0))),"ml",""),":",".")),"0.00")&amp;"_"&amp;TEXT(INDEX(MASTER!$E:$E,MATCH("Cryovial box 2: "&amp;($A18&amp;J$15),MASTER!$L:$L,0)),"mmddyy"),"")</f>
        <v/>
      </c>
      <c r="K18" s="4" t="str">
        <f>IFERROR(INDEX(MASTER!$A:$A,MATCH("Cryovial box 2: "&amp;($A18&amp;K$15),MASTER!$L:$L,0))&amp;"_ser_"&amp;TEXT(VALUE(SUBSTITUTE(SUBSTITUTE(TRIM(INDEX(MASTER!$M:$M,MATCH("Cryovial box 2: "&amp;($A18&amp;K$15),MASTER!$L:$L,0))),"ml",""),":",".")),"0.00")&amp;"_"&amp;TEXT(INDEX(MASTER!$E:$E,MATCH("Cryovial box 2: "&amp;($A18&amp;K$15),MASTER!$L:$L,0)),"mmddyy"),"")</f>
        <v/>
      </c>
    </row>
    <row r="19" spans="1:11" ht="20.149999999999999" customHeight="1" x14ac:dyDescent="0.3">
      <c r="A19" s="6" t="s">
        <v>33</v>
      </c>
      <c r="B19" s="4" t="str">
        <f>IFERROR(INDEX(MASTER!$A:$A,MATCH("Cryovial box 2: "&amp;($A19&amp;B$15),MASTER!$L:$L,0))&amp;"_ser_"&amp;TEXT(VALUE(SUBSTITUTE(SUBSTITUTE(TRIM(INDEX(MASTER!$M:$M,MATCH("Cryovial box 2: "&amp;($A19&amp;B$15),MASTER!$L:$L,0))),"ml",""),":",".")),"0.00")&amp;"_"&amp;TEXT(INDEX(MASTER!$E:$E,MATCH("Cryovial box 2: "&amp;($A19&amp;B$15),MASTER!$L:$L,0)),"mmddyy"),"")</f>
        <v/>
      </c>
      <c r="C19" s="4" t="str">
        <f>IFERROR(INDEX(MASTER!$A:$A,MATCH("Cryovial box 2: "&amp;($A19&amp;C$15),MASTER!$L:$L,0))&amp;"_ser_"&amp;TEXT(VALUE(SUBSTITUTE(SUBSTITUTE(TRIM(INDEX(MASTER!$M:$M,MATCH("Cryovial box 2: "&amp;($A19&amp;C$15),MASTER!$L:$L,0))),"ml",""),":",".")),"0.00")&amp;"_"&amp;TEXT(INDEX(MASTER!$E:$E,MATCH("Cryovial box 2: "&amp;($A19&amp;C$15),MASTER!$L:$L,0)),"mmddyy"),"")</f>
        <v/>
      </c>
      <c r="D19" s="4" t="str">
        <f>IFERROR(INDEX(MASTER!$A:$A,MATCH("Cryovial box 2: "&amp;($A19&amp;D$15),MASTER!$L:$L,0))&amp;"_ser_"&amp;TEXT(VALUE(SUBSTITUTE(SUBSTITUTE(TRIM(INDEX(MASTER!$M:$M,MATCH("Cryovial box 2: "&amp;($A19&amp;D$15),MASTER!$L:$L,0))),"ml",""),":",".")),"0.00")&amp;"_"&amp;TEXT(INDEX(MASTER!$E:$E,MATCH("Cryovial box 2: "&amp;($A19&amp;D$15),MASTER!$L:$L,0)),"mmddyy"),"")</f>
        <v/>
      </c>
      <c r="E19" s="4" t="str">
        <f>IFERROR(INDEX(MASTER!$A:$A,MATCH("Cryovial box 2: "&amp;($A19&amp;E$15),MASTER!$L:$L,0))&amp;"_ser_"&amp;TEXT(VALUE(SUBSTITUTE(SUBSTITUTE(TRIM(INDEX(MASTER!$M:$M,MATCH("Cryovial box 2: "&amp;($A19&amp;E$15),MASTER!$L:$L,0))),"ml",""),":",".")),"0.00")&amp;"_"&amp;TEXT(INDEX(MASTER!$E:$E,MATCH("Cryovial box 2: "&amp;($A19&amp;E$15),MASTER!$L:$L,0)),"mmddyy"),"")</f>
        <v/>
      </c>
      <c r="F19" s="4" t="str">
        <f>IFERROR(INDEX(MASTER!$A:$A,MATCH("Cryovial box 2: "&amp;($A19&amp;F$15),MASTER!$L:$L,0))&amp;"_ser_"&amp;TEXT(VALUE(SUBSTITUTE(SUBSTITUTE(TRIM(INDEX(MASTER!$M:$M,MATCH("Cryovial box 2: "&amp;($A19&amp;F$15),MASTER!$L:$L,0))),"ml",""),":",".")),"0.00")&amp;"_"&amp;TEXT(INDEX(MASTER!$E:$E,MATCH("Cryovial box 2: "&amp;($A19&amp;F$15),MASTER!$L:$L,0)),"mmddyy"),"")</f>
        <v/>
      </c>
      <c r="G19" s="4" t="str">
        <f>IFERROR(INDEX(MASTER!$A:$A,MATCH("Cryovial box 2: "&amp;($A19&amp;G$15),MASTER!$L:$L,0))&amp;"_ser_"&amp;TEXT(VALUE(SUBSTITUTE(SUBSTITUTE(TRIM(INDEX(MASTER!$M:$M,MATCH("Cryovial box 2: "&amp;($A19&amp;G$15),MASTER!$L:$L,0))),"ml",""),":",".")),"0.00")&amp;"_"&amp;TEXT(INDEX(MASTER!$E:$E,MATCH("Cryovial box 2: "&amp;($A19&amp;G$15),MASTER!$L:$L,0)),"mmddyy"),"")</f>
        <v/>
      </c>
      <c r="H19" s="4" t="str">
        <f>IFERROR(INDEX(MASTER!$A:$A,MATCH("Cryovial box 2: "&amp;($A19&amp;H$15),MASTER!$L:$L,0))&amp;"_ser_"&amp;TEXT(VALUE(SUBSTITUTE(SUBSTITUTE(TRIM(INDEX(MASTER!$M:$M,MATCH("Cryovial box 2: "&amp;($A19&amp;H$15),MASTER!$L:$L,0))),"ml",""),":",".")),"0.00")&amp;"_"&amp;TEXT(INDEX(MASTER!$E:$E,MATCH("Cryovial box 2: "&amp;($A19&amp;H$15),MASTER!$L:$L,0)),"mmddyy"),"")</f>
        <v/>
      </c>
      <c r="I19" s="4" t="str">
        <f>IFERROR(INDEX(MASTER!$A:$A,MATCH("Cryovial box 2: "&amp;($A19&amp;I$15),MASTER!$L:$L,0))&amp;"_ser_"&amp;TEXT(VALUE(SUBSTITUTE(SUBSTITUTE(TRIM(INDEX(MASTER!$M:$M,MATCH("Cryovial box 2: "&amp;($A19&amp;I$15),MASTER!$L:$L,0))),"ml",""),":",".")),"0.00")&amp;"_"&amp;TEXT(INDEX(MASTER!$E:$E,MATCH("Cryovial box 2: "&amp;($A19&amp;I$15),MASTER!$L:$L,0)),"mmddyy"),"")</f>
        <v/>
      </c>
      <c r="J19" s="4" t="str">
        <f>IFERROR(INDEX(MASTER!$A:$A,MATCH("Cryovial box 2: "&amp;($A19&amp;J$15),MASTER!$L:$L,0))&amp;"_ser_"&amp;TEXT(VALUE(SUBSTITUTE(SUBSTITUTE(TRIM(INDEX(MASTER!$M:$M,MATCH("Cryovial box 2: "&amp;($A19&amp;J$15),MASTER!$L:$L,0))),"ml",""),":",".")),"0.00")&amp;"_"&amp;TEXT(INDEX(MASTER!$E:$E,MATCH("Cryovial box 2: "&amp;($A19&amp;J$15),MASTER!$L:$L,0)),"mmddyy"),"")</f>
        <v/>
      </c>
      <c r="K19" s="4" t="str">
        <f>IFERROR(INDEX(MASTER!$A:$A,MATCH("Cryovial box 2: "&amp;($A19&amp;K$15),MASTER!$L:$L,0))&amp;"_ser_"&amp;TEXT(VALUE(SUBSTITUTE(SUBSTITUTE(TRIM(INDEX(MASTER!$M:$M,MATCH("Cryovial box 2: "&amp;($A19&amp;K$15),MASTER!$L:$L,0))),"ml",""),":",".")),"0.00")&amp;"_"&amp;TEXT(INDEX(MASTER!$E:$E,MATCH("Cryovial box 2: "&amp;($A19&amp;K$15),MASTER!$L:$L,0)),"mmddyy"),"")</f>
        <v/>
      </c>
    </row>
    <row r="20" spans="1:11" ht="20.149999999999999" customHeight="1" x14ac:dyDescent="0.3">
      <c r="A20" s="6" t="s">
        <v>34</v>
      </c>
      <c r="B20" s="4" t="str">
        <f>IFERROR(INDEX(MASTER!$A:$A,MATCH("Cryovial box 2: "&amp;($A20&amp;B$15),MASTER!$L:$L,0))&amp;"_ser_"&amp;TEXT(VALUE(SUBSTITUTE(SUBSTITUTE(TRIM(INDEX(MASTER!$M:$M,MATCH("Cryovial box 2: "&amp;($A20&amp;B$15),MASTER!$L:$L,0))),"ml",""),":",".")),"0.00")&amp;"_"&amp;TEXT(INDEX(MASTER!$E:$E,MATCH("Cryovial box 2: "&amp;($A20&amp;B$15),MASTER!$L:$L,0)),"mmddyy"),"")</f>
        <v/>
      </c>
      <c r="C20" s="4" t="str">
        <f>IFERROR(INDEX(MASTER!$A:$A,MATCH("Cryovial box 2: "&amp;($A20&amp;C$15),MASTER!$L:$L,0))&amp;"_ser_"&amp;TEXT(VALUE(SUBSTITUTE(SUBSTITUTE(TRIM(INDEX(MASTER!$M:$M,MATCH("Cryovial box 2: "&amp;($A20&amp;C$15),MASTER!$L:$L,0))),"ml",""),":",".")),"0.00")&amp;"_"&amp;TEXT(INDEX(MASTER!$E:$E,MATCH("Cryovial box 2: "&amp;($A20&amp;C$15),MASTER!$L:$L,0)),"mmddyy"),"")</f>
        <v/>
      </c>
      <c r="D20" s="4" t="str">
        <f>IFERROR(INDEX(MASTER!$A:$A,MATCH("Cryovial box 2: "&amp;($A20&amp;D$15),MASTER!$L:$L,0))&amp;"_ser_"&amp;TEXT(VALUE(SUBSTITUTE(SUBSTITUTE(TRIM(INDEX(MASTER!$M:$M,MATCH("Cryovial box 2: "&amp;($A20&amp;D$15),MASTER!$L:$L,0))),"ml",""),":",".")),"0.00")&amp;"_"&amp;TEXT(INDEX(MASTER!$E:$E,MATCH("Cryovial box 2: "&amp;($A20&amp;D$15),MASTER!$L:$L,0)),"mmddyy"),"")</f>
        <v/>
      </c>
      <c r="E20" s="4" t="str">
        <f>IFERROR(INDEX(MASTER!$A:$A,MATCH("Cryovial box 2: "&amp;($A20&amp;E$15),MASTER!$L:$L,0))&amp;"_ser_"&amp;TEXT(VALUE(SUBSTITUTE(SUBSTITUTE(TRIM(INDEX(MASTER!$M:$M,MATCH("Cryovial box 2: "&amp;($A20&amp;E$15),MASTER!$L:$L,0))),"ml",""),":",".")),"0.00")&amp;"_"&amp;TEXT(INDEX(MASTER!$E:$E,MATCH("Cryovial box 2: "&amp;($A20&amp;E$15),MASTER!$L:$L,0)),"mmddyy"),"")</f>
        <v/>
      </c>
      <c r="F20" s="4" t="str">
        <f>IFERROR(INDEX(MASTER!$A:$A,MATCH("Cryovial box 2: "&amp;($A20&amp;F$15),MASTER!$L:$L,0))&amp;"_ser_"&amp;TEXT(VALUE(SUBSTITUTE(SUBSTITUTE(TRIM(INDEX(MASTER!$M:$M,MATCH("Cryovial box 2: "&amp;($A20&amp;F$15),MASTER!$L:$L,0))),"ml",""),":",".")),"0.00")&amp;"_"&amp;TEXT(INDEX(MASTER!$E:$E,MATCH("Cryovial box 2: "&amp;($A20&amp;F$15),MASTER!$L:$L,0)),"mmddyy"),"")</f>
        <v/>
      </c>
      <c r="G20" s="4" t="str">
        <f>IFERROR(INDEX(MASTER!$A:$A,MATCH("Cryovial box 2: "&amp;($A20&amp;G$15),MASTER!$L:$L,0))&amp;"_ser_"&amp;TEXT(VALUE(SUBSTITUTE(SUBSTITUTE(TRIM(INDEX(MASTER!$M:$M,MATCH("Cryovial box 2: "&amp;($A20&amp;G$15),MASTER!$L:$L,0))),"ml",""),":",".")),"0.00")&amp;"_"&amp;TEXT(INDEX(MASTER!$E:$E,MATCH("Cryovial box 2: "&amp;($A20&amp;G$15),MASTER!$L:$L,0)),"mmddyy"),"")</f>
        <v/>
      </c>
      <c r="H20" s="4" t="str">
        <f>IFERROR(INDEX(MASTER!$A:$A,MATCH("Cryovial box 2: "&amp;($A20&amp;H$15),MASTER!$L:$L,0))&amp;"_ser_"&amp;TEXT(VALUE(SUBSTITUTE(SUBSTITUTE(TRIM(INDEX(MASTER!$M:$M,MATCH("Cryovial box 2: "&amp;($A20&amp;H$15),MASTER!$L:$L,0))),"ml",""),":",".")),"0.00")&amp;"_"&amp;TEXT(INDEX(MASTER!$E:$E,MATCH("Cryovial box 2: "&amp;($A20&amp;H$15),MASTER!$L:$L,0)),"mmddyy"),"")</f>
        <v/>
      </c>
      <c r="I20" s="4" t="str">
        <f>IFERROR(INDEX(MASTER!$A:$A,MATCH("Cryovial box 2: "&amp;($A20&amp;I$15),MASTER!$L:$L,0))&amp;"_ser_"&amp;TEXT(VALUE(SUBSTITUTE(SUBSTITUTE(TRIM(INDEX(MASTER!$M:$M,MATCH("Cryovial box 2: "&amp;($A20&amp;I$15),MASTER!$L:$L,0))),"ml",""),":",".")),"0.00")&amp;"_"&amp;TEXT(INDEX(MASTER!$E:$E,MATCH("Cryovial box 2: "&amp;($A20&amp;I$15),MASTER!$L:$L,0)),"mmddyy"),"")</f>
        <v/>
      </c>
      <c r="J20" s="4" t="str">
        <f>IFERROR(INDEX(MASTER!$A:$A,MATCH("Cryovial box 2: "&amp;($A20&amp;J$15),MASTER!$L:$L,0))&amp;"_ser_"&amp;TEXT(VALUE(SUBSTITUTE(SUBSTITUTE(TRIM(INDEX(MASTER!$M:$M,MATCH("Cryovial box 2: "&amp;($A20&amp;J$15),MASTER!$L:$L,0))),"ml",""),":",".")),"0.00")&amp;"_"&amp;TEXT(INDEX(MASTER!$E:$E,MATCH("Cryovial box 2: "&amp;($A20&amp;J$15),MASTER!$L:$L,0)),"mmddyy"),"")</f>
        <v/>
      </c>
      <c r="K20" s="4" t="str">
        <f>IFERROR(INDEX(MASTER!$A:$A,MATCH("Cryovial box 2: "&amp;($A20&amp;K$15),MASTER!$L:$L,0))&amp;"_ser_"&amp;TEXT(VALUE(SUBSTITUTE(SUBSTITUTE(TRIM(INDEX(MASTER!$M:$M,MATCH("Cryovial box 2: "&amp;($A20&amp;K$15),MASTER!$L:$L,0))),"ml",""),":",".")),"0.00")&amp;"_"&amp;TEXT(INDEX(MASTER!$E:$E,MATCH("Cryovial box 2: "&amp;($A20&amp;K$15),MASTER!$L:$L,0)),"mmddyy"),"")</f>
        <v/>
      </c>
    </row>
    <row r="21" spans="1:11" ht="20.149999999999999" customHeight="1" x14ac:dyDescent="0.3">
      <c r="A21" s="6" t="s">
        <v>15</v>
      </c>
      <c r="B21" s="4" t="str">
        <f>IFERROR(INDEX(MASTER!$A:$A,MATCH("Cryovial box 2: "&amp;($A21&amp;B$15),MASTER!$L:$L,0))&amp;"_ser_"&amp;TEXT(VALUE(SUBSTITUTE(SUBSTITUTE(TRIM(INDEX(MASTER!$M:$M,MATCH("Cryovial box 2: "&amp;($A21&amp;B$15),MASTER!$L:$L,0))),"ml",""),":",".")),"0.00")&amp;"_"&amp;TEXT(INDEX(MASTER!$E:$E,MATCH("Cryovial box 2: "&amp;($A21&amp;B$15),MASTER!$L:$L,0)),"mmddyy"),"")</f>
        <v/>
      </c>
      <c r="C21" s="4" t="str">
        <f>IFERROR(INDEX(MASTER!$A:$A,MATCH("Cryovial box 2: "&amp;($A21&amp;C$15),MASTER!$L:$L,0))&amp;"_ser_"&amp;TEXT(VALUE(SUBSTITUTE(SUBSTITUTE(TRIM(INDEX(MASTER!$M:$M,MATCH("Cryovial box 2: "&amp;($A21&amp;C$15),MASTER!$L:$L,0))),"ml",""),":",".")),"0.00")&amp;"_"&amp;TEXT(INDEX(MASTER!$E:$E,MATCH("Cryovial box 2: "&amp;($A21&amp;C$15),MASTER!$L:$L,0)),"mmddyy"),"")</f>
        <v/>
      </c>
      <c r="D21" s="4" t="str">
        <f>IFERROR(INDEX(MASTER!$A:$A,MATCH("Cryovial box 2: "&amp;($A21&amp;D$15),MASTER!$L:$L,0))&amp;"_ser_"&amp;TEXT(VALUE(SUBSTITUTE(SUBSTITUTE(TRIM(INDEX(MASTER!$M:$M,MATCH("Cryovial box 2: "&amp;($A21&amp;D$15),MASTER!$L:$L,0))),"ml",""),":",".")),"0.00")&amp;"_"&amp;TEXT(INDEX(MASTER!$E:$E,MATCH("Cryovial box 2: "&amp;($A21&amp;D$15),MASTER!$L:$L,0)),"mmddyy"),"")</f>
        <v/>
      </c>
      <c r="E21" s="4" t="str">
        <f>IFERROR(INDEX(MASTER!$A:$A,MATCH("Cryovial box 2: "&amp;($A21&amp;E$15),MASTER!$L:$L,0))&amp;"_ser_"&amp;TEXT(VALUE(SUBSTITUTE(SUBSTITUTE(TRIM(INDEX(MASTER!$M:$M,MATCH("Cryovial box 2: "&amp;($A21&amp;E$15),MASTER!$L:$L,0))),"ml",""),":",".")),"0.00")&amp;"_"&amp;TEXT(INDEX(MASTER!$E:$E,MATCH("Cryovial box 2: "&amp;($A21&amp;E$15),MASTER!$L:$L,0)),"mmddyy"),"")</f>
        <v/>
      </c>
      <c r="F21" s="4" t="str">
        <f>IFERROR(INDEX(MASTER!$A:$A,MATCH("Cryovial box 2: "&amp;($A21&amp;F$15),MASTER!$L:$L,0))&amp;"_ser_"&amp;TEXT(VALUE(SUBSTITUTE(SUBSTITUTE(TRIM(INDEX(MASTER!$M:$M,MATCH("Cryovial box 2: "&amp;($A21&amp;F$15),MASTER!$L:$L,0))),"ml",""),":",".")),"0.00")&amp;"_"&amp;TEXT(INDEX(MASTER!$E:$E,MATCH("Cryovial box 2: "&amp;($A21&amp;F$15),MASTER!$L:$L,0)),"mmddyy"),"")</f>
        <v/>
      </c>
      <c r="G21" s="4" t="str">
        <f>IFERROR(INDEX(MASTER!$A:$A,MATCH("Cryovial box 2: "&amp;($A21&amp;G$15),MASTER!$L:$L,0))&amp;"_ser_"&amp;TEXT(VALUE(SUBSTITUTE(SUBSTITUTE(TRIM(INDEX(MASTER!$M:$M,MATCH("Cryovial box 2: "&amp;($A21&amp;G$15),MASTER!$L:$L,0))),"ml",""),":",".")),"0.00")&amp;"_"&amp;TEXT(INDEX(MASTER!$E:$E,MATCH("Cryovial box 2: "&amp;($A21&amp;G$15),MASTER!$L:$L,0)),"mmddyy"),"")</f>
        <v/>
      </c>
      <c r="H21" s="4" t="str">
        <f>IFERROR(INDEX(MASTER!$A:$A,MATCH("Cryovial box 2: "&amp;($A21&amp;H$15),MASTER!$L:$L,0))&amp;"_ser_"&amp;TEXT(VALUE(SUBSTITUTE(SUBSTITUTE(TRIM(INDEX(MASTER!$M:$M,MATCH("Cryovial box 2: "&amp;($A21&amp;H$15),MASTER!$L:$L,0))),"ml",""),":",".")),"0.00")&amp;"_"&amp;TEXT(INDEX(MASTER!$E:$E,MATCH("Cryovial box 2: "&amp;($A21&amp;H$15),MASTER!$L:$L,0)),"mmddyy"),"")</f>
        <v/>
      </c>
      <c r="I21" s="4" t="str">
        <f>IFERROR(INDEX(MASTER!$A:$A,MATCH("Cryovial box 2: "&amp;($A21&amp;I$15),MASTER!$L:$L,0))&amp;"_ser_"&amp;TEXT(VALUE(SUBSTITUTE(SUBSTITUTE(TRIM(INDEX(MASTER!$M:$M,MATCH("Cryovial box 2: "&amp;($A21&amp;I$15),MASTER!$L:$L,0))),"ml",""),":",".")),"0.00")&amp;"_"&amp;TEXT(INDEX(MASTER!$E:$E,MATCH("Cryovial box 2: "&amp;($A21&amp;I$15),MASTER!$L:$L,0)),"mmddyy"),"")</f>
        <v/>
      </c>
      <c r="J21" s="4" t="str">
        <f>IFERROR(INDEX(MASTER!$A:$A,MATCH("Cryovial box 2: "&amp;($A21&amp;J$15),MASTER!$L:$L,0))&amp;"_ser_"&amp;TEXT(VALUE(SUBSTITUTE(SUBSTITUTE(TRIM(INDEX(MASTER!$M:$M,MATCH("Cryovial box 2: "&amp;($A21&amp;J$15),MASTER!$L:$L,0))),"ml",""),":",".")),"0.00")&amp;"_"&amp;TEXT(INDEX(MASTER!$E:$E,MATCH("Cryovial box 2: "&amp;($A21&amp;J$15),MASTER!$L:$L,0)),"mmddyy"),"")</f>
        <v/>
      </c>
      <c r="K21" s="4" t="str">
        <f>IFERROR(INDEX(MASTER!$A:$A,MATCH("Cryovial box 2: "&amp;($A21&amp;K$15),MASTER!$L:$L,0))&amp;"_ser_"&amp;TEXT(VALUE(SUBSTITUTE(SUBSTITUTE(TRIM(INDEX(MASTER!$M:$M,MATCH("Cryovial box 2: "&amp;($A21&amp;K$15),MASTER!$L:$L,0))),"ml",""),":",".")),"0.00")&amp;"_"&amp;TEXT(INDEX(MASTER!$E:$E,MATCH("Cryovial box 2: "&amp;($A21&amp;K$15),MASTER!$L:$L,0)),"mmddyy"),"")</f>
        <v/>
      </c>
    </row>
    <row r="22" spans="1:11" ht="20.149999999999999" customHeight="1" x14ac:dyDescent="0.3">
      <c r="A22" s="6" t="s">
        <v>35</v>
      </c>
      <c r="B22" s="4" t="str">
        <f>IFERROR(INDEX(MASTER!$A:$A,MATCH("Cryovial box 2: "&amp;($A22&amp;B$15),MASTER!$L:$L,0))&amp;"_ser_"&amp;TEXT(VALUE(SUBSTITUTE(SUBSTITUTE(TRIM(INDEX(MASTER!$M:$M,MATCH("Cryovial box 2: "&amp;($A22&amp;B$15),MASTER!$L:$L,0))),"ml",""),":",".")),"0.00")&amp;"_"&amp;TEXT(INDEX(MASTER!$E:$E,MATCH("Cryovial box 2: "&amp;($A22&amp;B$15),MASTER!$L:$L,0)),"mmddyy"),"")</f>
        <v/>
      </c>
      <c r="C22" s="4" t="str">
        <f>IFERROR(INDEX(MASTER!$A:$A,MATCH("Cryovial box 2: "&amp;($A22&amp;C$15),MASTER!$L:$L,0))&amp;"_ser_"&amp;TEXT(VALUE(SUBSTITUTE(SUBSTITUTE(TRIM(INDEX(MASTER!$M:$M,MATCH("Cryovial box 2: "&amp;($A22&amp;C$15),MASTER!$L:$L,0))),"ml",""),":",".")),"0.00")&amp;"_"&amp;TEXT(INDEX(MASTER!$E:$E,MATCH("Cryovial box 2: "&amp;($A22&amp;C$15),MASTER!$L:$L,0)),"mmddyy"),"")</f>
        <v/>
      </c>
      <c r="D22" s="4" t="str">
        <f>IFERROR(INDEX(MASTER!$A:$A,MATCH("Cryovial box 2: "&amp;($A22&amp;D$15),MASTER!$L:$L,0))&amp;"_ser_"&amp;TEXT(VALUE(SUBSTITUTE(SUBSTITUTE(TRIM(INDEX(MASTER!$M:$M,MATCH("Cryovial box 2: "&amp;($A22&amp;D$15),MASTER!$L:$L,0))),"ml",""),":",".")),"0.00")&amp;"_"&amp;TEXT(INDEX(MASTER!$E:$E,MATCH("Cryovial box 2: "&amp;($A22&amp;D$15),MASTER!$L:$L,0)),"mmddyy"),"")</f>
        <v/>
      </c>
      <c r="E22" s="4" t="str">
        <f>IFERROR(INDEX(MASTER!$A:$A,MATCH("Cryovial box 2: "&amp;($A22&amp;E$15),MASTER!$L:$L,0))&amp;"_ser_"&amp;TEXT(VALUE(SUBSTITUTE(SUBSTITUTE(TRIM(INDEX(MASTER!$M:$M,MATCH("Cryovial box 2: "&amp;($A22&amp;E$15),MASTER!$L:$L,0))),"ml",""),":",".")),"0.00")&amp;"_"&amp;TEXT(INDEX(MASTER!$E:$E,MATCH("Cryovial box 2: "&amp;($A22&amp;E$15),MASTER!$L:$L,0)),"mmddyy"),"")</f>
        <v/>
      </c>
      <c r="F22" s="4" t="str">
        <f>IFERROR(INDEX(MASTER!$A:$A,MATCH("Cryovial box 2: "&amp;($A22&amp;F$15),MASTER!$L:$L,0))&amp;"_ser_"&amp;TEXT(VALUE(SUBSTITUTE(SUBSTITUTE(TRIM(INDEX(MASTER!$M:$M,MATCH("Cryovial box 2: "&amp;($A22&amp;F$15),MASTER!$L:$L,0))),"ml",""),":",".")),"0.00")&amp;"_"&amp;TEXT(INDEX(MASTER!$E:$E,MATCH("Cryovial box 2: "&amp;($A22&amp;F$15),MASTER!$L:$L,0)),"mmddyy"),"")</f>
        <v/>
      </c>
      <c r="G22" s="4" t="str">
        <f>IFERROR(INDEX(MASTER!$A:$A,MATCH("Cryovial box 2: "&amp;($A22&amp;G$15),MASTER!$L:$L,0))&amp;"_ser_"&amp;TEXT(VALUE(SUBSTITUTE(SUBSTITUTE(TRIM(INDEX(MASTER!$M:$M,MATCH("Cryovial box 2: "&amp;($A22&amp;G$15),MASTER!$L:$L,0))),"ml",""),":",".")),"0.00")&amp;"_"&amp;TEXT(INDEX(MASTER!$E:$E,MATCH("Cryovial box 2: "&amp;($A22&amp;G$15),MASTER!$L:$L,0)),"mmddyy"),"")</f>
        <v/>
      </c>
      <c r="H22" s="4" t="str">
        <f>IFERROR(INDEX(MASTER!$A:$A,MATCH("Cryovial box 2: "&amp;($A22&amp;H$15),MASTER!$L:$L,0))&amp;"_ser_"&amp;TEXT(VALUE(SUBSTITUTE(SUBSTITUTE(TRIM(INDEX(MASTER!$M:$M,MATCH("Cryovial box 2: "&amp;($A22&amp;H$15),MASTER!$L:$L,0))),"ml",""),":",".")),"0.00")&amp;"_"&amp;TEXT(INDEX(MASTER!$E:$E,MATCH("Cryovial box 2: "&amp;($A22&amp;H$15),MASTER!$L:$L,0)),"mmddyy"),"")</f>
        <v/>
      </c>
      <c r="I22" s="4" t="str">
        <f>IFERROR(INDEX(MASTER!$A:$A,MATCH("Cryovial box 2: "&amp;($A22&amp;I$15),MASTER!$L:$L,0))&amp;"_ser_"&amp;TEXT(VALUE(SUBSTITUTE(SUBSTITUTE(TRIM(INDEX(MASTER!$M:$M,MATCH("Cryovial box 2: "&amp;($A22&amp;I$15),MASTER!$L:$L,0))),"ml",""),":",".")),"0.00")&amp;"_"&amp;TEXT(INDEX(MASTER!$E:$E,MATCH("Cryovial box 2: "&amp;($A22&amp;I$15),MASTER!$L:$L,0)),"mmddyy"),"")</f>
        <v/>
      </c>
      <c r="J22" s="4" t="str">
        <f>IFERROR(INDEX(MASTER!$A:$A,MATCH("Cryovial box 2: "&amp;($A22&amp;J$15),MASTER!$L:$L,0))&amp;"_ser_"&amp;TEXT(VALUE(SUBSTITUTE(SUBSTITUTE(TRIM(INDEX(MASTER!$M:$M,MATCH("Cryovial box 2: "&amp;($A22&amp;J$15),MASTER!$L:$L,0))),"ml",""),":",".")),"0.00")&amp;"_"&amp;TEXT(INDEX(MASTER!$E:$E,MATCH("Cryovial box 2: "&amp;($A22&amp;J$15),MASTER!$L:$L,0)),"mmddyy"),"")</f>
        <v/>
      </c>
      <c r="K22" s="4" t="str">
        <f>IFERROR(INDEX(MASTER!$A:$A,MATCH("Cryovial box 2: "&amp;($A22&amp;K$15),MASTER!$L:$L,0))&amp;"_ser_"&amp;TEXT(VALUE(SUBSTITUTE(SUBSTITUTE(TRIM(INDEX(MASTER!$M:$M,MATCH("Cryovial box 2: "&amp;($A22&amp;K$15),MASTER!$L:$L,0))),"ml",""),":",".")),"0.00")&amp;"_"&amp;TEXT(INDEX(MASTER!$E:$E,MATCH("Cryovial box 2: "&amp;($A22&amp;K$15),MASTER!$L:$L,0)),"mmddyy"),"")</f>
        <v/>
      </c>
    </row>
    <row r="23" spans="1:11" ht="20.149999999999999" customHeight="1" x14ac:dyDescent="0.3">
      <c r="A23" s="6" t="s">
        <v>36</v>
      </c>
      <c r="B23" s="4" t="str">
        <f>IFERROR(INDEX(MASTER!$A:$A,MATCH("Cryovial box 2: "&amp;($A23&amp;B$15),MASTER!$L:$L,0))&amp;"_ser_"&amp;TEXT(VALUE(SUBSTITUTE(SUBSTITUTE(TRIM(INDEX(MASTER!$M:$M,MATCH("Cryovial box 2: "&amp;($A23&amp;B$15),MASTER!$L:$L,0))),"ml",""),":",".")),"0.00")&amp;"_"&amp;TEXT(INDEX(MASTER!$E:$E,MATCH("Cryovial box 2: "&amp;($A23&amp;B$15),MASTER!$L:$L,0)),"mmddyy"),"")</f>
        <v/>
      </c>
      <c r="C23" s="4" t="str">
        <f>IFERROR(INDEX(MASTER!$A:$A,MATCH("Cryovial box 2: "&amp;($A23&amp;C$15),MASTER!$L:$L,0))&amp;"_ser_"&amp;TEXT(VALUE(SUBSTITUTE(SUBSTITUTE(TRIM(INDEX(MASTER!$M:$M,MATCH("Cryovial box 2: "&amp;($A23&amp;C$15),MASTER!$L:$L,0))),"ml",""),":",".")),"0.00")&amp;"_"&amp;TEXT(INDEX(MASTER!$E:$E,MATCH("Cryovial box 2: "&amp;($A23&amp;C$15),MASTER!$L:$L,0)),"mmddyy"),"")</f>
        <v/>
      </c>
      <c r="D23" s="4" t="str">
        <f>IFERROR(INDEX(MASTER!$A:$A,MATCH("Cryovial box 2: "&amp;($A23&amp;D$15),MASTER!$L:$L,0))&amp;"_ser_"&amp;TEXT(VALUE(SUBSTITUTE(SUBSTITUTE(TRIM(INDEX(MASTER!$M:$M,MATCH("Cryovial box 2: "&amp;($A23&amp;D$15),MASTER!$L:$L,0))),"ml",""),":",".")),"0.00")&amp;"_"&amp;TEXT(INDEX(MASTER!$E:$E,MATCH("Cryovial box 2: "&amp;($A23&amp;D$15),MASTER!$L:$L,0)),"mmddyy"),"")</f>
        <v/>
      </c>
      <c r="E23" s="4" t="str">
        <f>IFERROR(INDEX(MASTER!$A:$A,MATCH("Cryovial box 2: "&amp;($A23&amp;E$15),MASTER!$L:$L,0))&amp;"_ser_"&amp;TEXT(VALUE(SUBSTITUTE(SUBSTITUTE(TRIM(INDEX(MASTER!$M:$M,MATCH("Cryovial box 2: "&amp;($A23&amp;E$15),MASTER!$L:$L,0))),"ml",""),":",".")),"0.00")&amp;"_"&amp;TEXT(INDEX(MASTER!$E:$E,MATCH("Cryovial box 2: "&amp;($A23&amp;E$15),MASTER!$L:$L,0)),"mmddyy"),"")</f>
        <v/>
      </c>
      <c r="F23" s="4" t="str">
        <f>IFERROR(INDEX(MASTER!$A:$A,MATCH("Cryovial box 2: "&amp;($A23&amp;F$15),MASTER!$L:$L,0))&amp;"_ser_"&amp;TEXT(VALUE(SUBSTITUTE(SUBSTITUTE(TRIM(INDEX(MASTER!$M:$M,MATCH("Cryovial box 2: "&amp;($A23&amp;F$15),MASTER!$L:$L,0))),"ml",""),":",".")),"0.00")&amp;"_"&amp;TEXT(INDEX(MASTER!$E:$E,MATCH("Cryovial box 2: "&amp;($A23&amp;F$15),MASTER!$L:$L,0)),"mmddyy"),"")</f>
        <v/>
      </c>
      <c r="G23" s="4" t="str">
        <f>IFERROR(INDEX(MASTER!$A:$A,MATCH("Cryovial box 2: "&amp;($A23&amp;G$15),MASTER!$L:$L,0))&amp;"_ser_"&amp;TEXT(VALUE(SUBSTITUTE(SUBSTITUTE(TRIM(INDEX(MASTER!$M:$M,MATCH("Cryovial box 2: "&amp;($A23&amp;G$15),MASTER!$L:$L,0))),"ml",""),":",".")),"0.00")&amp;"_"&amp;TEXT(INDEX(MASTER!$E:$E,MATCH("Cryovial box 2: "&amp;($A23&amp;G$15),MASTER!$L:$L,0)),"mmddyy"),"")</f>
        <v/>
      </c>
      <c r="H23" s="4" t="str">
        <f>IFERROR(INDEX(MASTER!$A:$A,MATCH("Cryovial box 2: "&amp;($A23&amp;H$15),MASTER!$L:$L,0))&amp;"_ser_"&amp;TEXT(VALUE(SUBSTITUTE(SUBSTITUTE(TRIM(INDEX(MASTER!$M:$M,MATCH("Cryovial box 2: "&amp;($A23&amp;H$15),MASTER!$L:$L,0))),"ml",""),":",".")),"0.00")&amp;"_"&amp;TEXT(INDEX(MASTER!$E:$E,MATCH("Cryovial box 2: "&amp;($A23&amp;H$15),MASTER!$L:$L,0)),"mmddyy"),"")</f>
        <v/>
      </c>
      <c r="I23" s="4" t="str">
        <f>IFERROR(INDEX(MASTER!$A:$A,MATCH("Cryovial box 2: "&amp;($A23&amp;I$15),MASTER!$L:$L,0))&amp;"_ser_"&amp;TEXT(VALUE(SUBSTITUTE(SUBSTITUTE(TRIM(INDEX(MASTER!$M:$M,MATCH("Cryovial box 2: "&amp;($A23&amp;I$15),MASTER!$L:$L,0))),"ml",""),":",".")),"0.00")&amp;"_"&amp;TEXT(INDEX(MASTER!$E:$E,MATCH("Cryovial box 2: "&amp;($A23&amp;I$15),MASTER!$L:$L,0)),"mmddyy"),"")</f>
        <v/>
      </c>
      <c r="J23" s="4" t="str">
        <f>IFERROR(INDEX(MASTER!$A:$A,MATCH("Cryovial box 2: "&amp;($A23&amp;J$15),MASTER!$L:$L,0))&amp;"_ser_"&amp;TEXT(VALUE(SUBSTITUTE(SUBSTITUTE(TRIM(INDEX(MASTER!$M:$M,MATCH("Cryovial box 2: "&amp;($A23&amp;J$15),MASTER!$L:$L,0))),"ml",""),":",".")),"0.00")&amp;"_"&amp;TEXT(INDEX(MASTER!$E:$E,MATCH("Cryovial box 2: "&amp;($A23&amp;J$15),MASTER!$L:$L,0)),"mmddyy"),"")</f>
        <v/>
      </c>
      <c r="K23" s="4" t="str">
        <f>IFERROR(INDEX(MASTER!$A:$A,MATCH("Cryovial box 2: "&amp;($A23&amp;K$15),MASTER!$L:$L,0))&amp;"_ser_"&amp;TEXT(VALUE(SUBSTITUTE(SUBSTITUTE(TRIM(INDEX(MASTER!$M:$M,MATCH("Cryovial box 2: "&amp;($A23&amp;K$15),MASTER!$L:$L,0))),"ml",""),":",".")),"0.00")&amp;"_"&amp;TEXT(INDEX(MASTER!$E:$E,MATCH("Cryovial box 2: "&amp;($A23&amp;K$15),MASTER!$L:$L,0)),"mmddyy"),"")</f>
        <v/>
      </c>
    </row>
    <row r="24" spans="1:11" ht="20.149999999999999" customHeight="1" x14ac:dyDescent="0.3">
      <c r="A24" s="6" t="s">
        <v>100</v>
      </c>
      <c r="B24" s="4" t="str">
        <f>IFERROR(INDEX(MASTER!$A:$A,MATCH("Cryovial box 2: "&amp;($A24&amp;B$15),MASTER!$L:$L,0))&amp;"_ser_"&amp;TEXT(VALUE(SUBSTITUTE(SUBSTITUTE(TRIM(INDEX(MASTER!$M:$M,MATCH("Cryovial box 2: "&amp;($A24&amp;B$15),MASTER!$L:$L,0))),"ml",""),":",".")),"0.00")&amp;"_"&amp;TEXT(INDEX(MASTER!$E:$E,MATCH("Cryovial box 2: "&amp;($A24&amp;B$15),MASTER!$L:$L,0)),"mmddyy"),"")</f>
        <v/>
      </c>
      <c r="C24" s="4" t="str">
        <f>IFERROR(INDEX(MASTER!$A:$A,MATCH("Cryovial box 2: "&amp;($A24&amp;C$15),MASTER!$L:$L,0))&amp;"_ser_"&amp;TEXT(VALUE(SUBSTITUTE(SUBSTITUTE(TRIM(INDEX(MASTER!$M:$M,MATCH("Cryovial box 2: "&amp;($A24&amp;C$15),MASTER!$L:$L,0))),"ml",""),":",".")),"0.00")&amp;"_"&amp;TEXT(INDEX(MASTER!$E:$E,MATCH("Cryovial box 2: "&amp;($A24&amp;C$15),MASTER!$L:$L,0)),"mmddyy"),"")</f>
        <v/>
      </c>
      <c r="D24" s="4" t="str">
        <f>IFERROR(INDEX(MASTER!$A:$A,MATCH("Cryovial box 2: "&amp;($A24&amp;D$15),MASTER!$L:$L,0))&amp;"_ser_"&amp;TEXT(VALUE(SUBSTITUTE(SUBSTITUTE(TRIM(INDEX(MASTER!$M:$M,MATCH("Cryovial box 2: "&amp;($A24&amp;D$15),MASTER!$L:$L,0))),"ml",""),":",".")),"0.00")&amp;"_"&amp;TEXT(INDEX(MASTER!$E:$E,MATCH("Cryovial box 2: "&amp;($A24&amp;D$15),MASTER!$L:$L,0)),"mmddyy"),"")</f>
        <v/>
      </c>
      <c r="E24" s="4" t="str">
        <f>IFERROR(INDEX(MASTER!$A:$A,MATCH("Cryovial box 2: "&amp;($A24&amp;E$15),MASTER!$L:$L,0))&amp;"_ser_"&amp;TEXT(VALUE(SUBSTITUTE(SUBSTITUTE(TRIM(INDEX(MASTER!$M:$M,MATCH("Cryovial box 2: "&amp;($A24&amp;E$15),MASTER!$L:$L,0))),"ml",""),":",".")),"0.00")&amp;"_"&amp;TEXT(INDEX(MASTER!$E:$E,MATCH("Cryovial box 2: "&amp;($A24&amp;E$15),MASTER!$L:$L,0)),"mmddyy"),"")</f>
        <v/>
      </c>
      <c r="F24" s="4" t="str">
        <f>IFERROR(INDEX(MASTER!$A:$A,MATCH("Cryovial box 2: "&amp;($A24&amp;F$15),MASTER!$L:$L,0))&amp;"_ser_"&amp;TEXT(VALUE(SUBSTITUTE(SUBSTITUTE(TRIM(INDEX(MASTER!$M:$M,MATCH("Cryovial box 2: "&amp;($A24&amp;F$15),MASTER!$L:$L,0))),"ml",""),":",".")),"0.00")&amp;"_"&amp;TEXT(INDEX(MASTER!$E:$E,MATCH("Cryovial box 2: "&amp;($A24&amp;F$15),MASTER!$L:$L,0)),"mmddyy"),"")</f>
        <v/>
      </c>
      <c r="G24" s="4" t="str">
        <f>IFERROR(INDEX(MASTER!$A:$A,MATCH("Cryovial box 2: "&amp;($A24&amp;G$15),MASTER!$L:$L,0))&amp;"_ser_"&amp;TEXT(VALUE(SUBSTITUTE(SUBSTITUTE(TRIM(INDEX(MASTER!$M:$M,MATCH("Cryovial box 2: "&amp;($A24&amp;G$15),MASTER!$L:$L,0))),"ml",""),":",".")),"0.00")&amp;"_"&amp;TEXT(INDEX(MASTER!$E:$E,MATCH("Cryovial box 2: "&amp;($A24&amp;G$15),MASTER!$L:$L,0)),"mmddyy"),"")</f>
        <v/>
      </c>
      <c r="H24" s="4" t="str">
        <f>IFERROR(INDEX(MASTER!$A:$A,MATCH("Cryovial box 2: "&amp;($A24&amp;H$15),MASTER!$L:$L,0))&amp;"_ser_"&amp;TEXT(VALUE(SUBSTITUTE(SUBSTITUTE(TRIM(INDEX(MASTER!$M:$M,MATCH("Cryovial box 2: "&amp;($A24&amp;H$15),MASTER!$L:$L,0))),"ml",""),":",".")),"0.00")&amp;"_"&amp;TEXT(INDEX(MASTER!$E:$E,MATCH("Cryovial box 2: "&amp;($A24&amp;H$15),MASTER!$L:$L,0)),"mmddyy"),"")</f>
        <v/>
      </c>
      <c r="I24" s="4" t="str">
        <f>IFERROR(INDEX(MASTER!$A:$A,MATCH("Cryovial box 2: "&amp;($A24&amp;I$15),MASTER!$L:$L,0))&amp;"_ser_"&amp;TEXT(VALUE(SUBSTITUTE(SUBSTITUTE(TRIM(INDEX(MASTER!$M:$M,MATCH("Cryovial box 2: "&amp;($A24&amp;I$15),MASTER!$L:$L,0))),"ml",""),":",".")),"0.00")&amp;"_"&amp;TEXT(INDEX(MASTER!$E:$E,MATCH("Cryovial box 2: "&amp;($A24&amp;I$15),MASTER!$L:$L,0)),"mmddyy"),"")</f>
        <v/>
      </c>
      <c r="J24" s="4" t="str">
        <f>IFERROR(INDEX(MASTER!$A:$A,MATCH("Cryovial box 2: "&amp;($A24&amp;J$15),MASTER!$L:$L,0))&amp;"_ser_"&amp;TEXT(VALUE(SUBSTITUTE(SUBSTITUTE(TRIM(INDEX(MASTER!$M:$M,MATCH("Cryovial box 2: "&amp;($A24&amp;J$15),MASTER!$L:$L,0))),"ml",""),":",".")),"0.00")&amp;"_"&amp;TEXT(INDEX(MASTER!$E:$E,MATCH("Cryovial box 2: "&amp;($A24&amp;J$15),MASTER!$L:$L,0)),"mmddyy"),"")</f>
        <v/>
      </c>
      <c r="K24" s="4" t="str">
        <f>IFERROR(INDEX(MASTER!$A:$A,MATCH("Cryovial box 2: "&amp;($A24&amp;K$15),MASTER!$L:$L,0))&amp;"_ser_"&amp;TEXT(VALUE(SUBSTITUTE(SUBSTITUTE(TRIM(INDEX(MASTER!$M:$M,MATCH("Cryovial box 2: "&amp;($A24&amp;K$15),MASTER!$L:$L,0))),"ml",""),":",".")),"0.00")&amp;"_"&amp;TEXT(INDEX(MASTER!$E:$E,MATCH("Cryovial box 2: "&amp;($A24&amp;K$15),MASTER!$L:$L,0)),"mmddyy"),"")</f>
        <v/>
      </c>
    </row>
    <row r="25" spans="1:11" ht="20.149999999999999" customHeight="1" x14ac:dyDescent="0.3">
      <c r="A25" s="6" t="s">
        <v>101</v>
      </c>
      <c r="B25" s="4" t="str">
        <f>IFERROR(INDEX(MASTER!$A:$A,MATCH("Cryovial box 2: "&amp;($A25&amp;B$15),MASTER!$L:$L,0))&amp;"_ser_"&amp;TEXT(VALUE(SUBSTITUTE(SUBSTITUTE(TRIM(INDEX(MASTER!$M:$M,MATCH("Cryovial box 2: "&amp;($A25&amp;B$15),MASTER!$L:$L,0))),"ml",""),":",".")),"0.00")&amp;"_"&amp;TEXT(INDEX(MASTER!$E:$E,MATCH("Cryovial box 2: "&amp;($A25&amp;B$15),MASTER!$L:$L,0)),"mmddyy"),"")</f>
        <v/>
      </c>
      <c r="C25" s="4" t="str">
        <f>IFERROR(INDEX(MASTER!$A:$A,MATCH("Cryovial box 2: "&amp;($A25&amp;C$15),MASTER!$L:$L,0))&amp;"_ser_"&amp;TEXT(VALUE(SUBSTITUTE(SUBSTITUTE(TRIM(INDEX(MASTER!$M:$M,MATCH("Cryovial box 2: "&amp;($A25&amp;C$15),MASTER!$L:$L,0))),"ml",""),":",".")),"0.00")&amp;"_"&amp;TEXT(INDEX(MASTER!$E:$E,MATCH("Cryovial box 2: "&amp;($A25&amp;C$15),MASTER!$L:$L,0)),"mmddyy"),"")</f>
        <v/>
      </c>
      <c r="D25" s="4" t="str">
        <f>IFERROR(INDEX(MASTER!$A:$A,MATCH("Cryovial box 2: "&amp;($A25&amp;D$15),MASTER!$L:$L,0))&amp;"_ser_"&amp;TEXT(VALUE(SUBSTITUTE(SUBSTITUTE(TRIM(INDEX(MASTER!$M:$M,MATCH("Cryovial box 2: "&amp;($A25&amp;D$15),MASTER!$L:$L,0))),"ml",""),":",".")),"0.00")&amp;"_"&amp;TEXT(INDEX(MASTER!$E:$E,MATCH("Cryovial box 2: "&amp;($A25&amp;D$15),MASTER!$L:$L,0)),"mmddyy"),"")</f>
        <v/>
      </c>
      <c r="E25" s="4" t="str">
        <f>IFERROR(INDEX(MASTER!$A:$A,MATCH("Cryovial box 2: "&amp;($A25&amp;E$15),MASTER!$L:$L,0))&amp;"_ser_"&amp;TEXT(VALUE(SUBSTITUTE(SUBSTITUTE(TRIM(INDEX(MASTER!$M:$M,MATCH("Cryovial box 2: "&amp;($A25&amp;E$15),MASTER!$L:$L,0))),"ml",""),":",".")),"0.00")&amp;"_"&amp;TEXT(INDEX(MASTER!$E:$E,MATCH("Cryovial box 2: "&amp;($A25&amp;E$15),MASTER!$L:$L,0)),"mmddyy"),"")</f>
        <v/>
      </c>
      <c r="F25" s="4" t="str">
        <f>IFERROR(INDEX(MASTER!$A:$A,MATCH("Cryovial box 2: "&amp;($A25&amp;F$15),MASTER!$L:$L,0))&amp;"_ser_"&amp;TEXT(VALUE(SUBSTITUTE(SUBSTITUTE(TRIM(INDEX(MASTER!$M:$M,MATCH("Cryovial box 2: "&amp;($A25&amp;F$15),MASTER!$L:$L,0))),"ml",""),":",".")),"0.00")&amp;"_"&amp;TEXT(INDEX(MASTER!$E:$E,MATCH("Cryovial box 2: "&amp;($A25&amp;F$15),MASTER!$L:$L,0)),"mmddyy"),"")</f>
        <v/>
      </c>
      <c r="G25" s="4" t="str">
        <f>IFERROR(INDEX(MASTER!$A:$A,MATCH("Cryovial box 2: "&amp;($A25&amp;G$15),MASTER!$L:$L,0))&amp;"_ser_"&amp;TEXT(VALUE(SUBSTITUTE(SUBSTITUTE(TRIM(INDEX(MASTER!$M:$M,MATCH("Cryovial box 2: "&amp;($A25&amp;G$15),MASTER!$L:$L,0))),"ml",""),":",".")),"0.00")&amp;"_"&amp;TEXT(INDEX(MASTER!$E:$E,MATCH("Cryovial box 2: "&amp;($A25&amp;G$15),MASTER!$L:$L,0)),"mmddyy"),"")</f>
        <v/>
      </c>
      <c r="H25" s="4" t="str">
        <f>IFERROR(INDEX(MASTER!$A:$A,MATCH("Cryovial box 2: "&amp;($A25&amp;H$15),MASTER!$L:$L,0))&amp;"_ser_"&amp;TEXT(VALUE(SUBSTITUTE(SUBSTITUTE(TRIM(INDEX(MASTER!$M:$M,MATCH("Cryovial box 2: "&amp;($A25&amp;H$15),MASTER!$L:$L,0))),"ml",""),":",".")),"0.00")&amp;"_"&amp;TEXT(INDEX(MASTER!$E:$E,MATCH("Cryovial box 2: "&amp;($A25&amp;H$15),MASTER!$L:$L,0)),"mmddyy"),"")</f>
        <v/>
      </c>
      <c r="I25" s="4" t="str">
        <f>IFERROR(INDEX(MASTER!$A:$A,MATCH("Cryovial box 2: "&amp;($A25&amp;I$15),MASTER!$L:$L,0))&amp;"_ser_"&amp;TEXT(VALUE(SUBSTITUTE(SUBSTITUTE(TRIM(INDEX(MASTER!$M:$M,MATCH("Cryovial box 2: "&amp;($A25&amp;I$15),MASTER!$L:$L,0))),"ml",""),":",".")),"0.00")&amp;"_"&amp;TEXT(INDEX(MASTER!$E:$E,MATCH("Cryovial box 2: "&amp;($A25&amp;I$15),MASTER!$L:$L,0)),"mmddyy"),"")</f>
        <v/>
      </c>
      <c r="J25" s="4" t="str">
        <f>IFERROR(INDEX(MASTER!$A:$A,MATCH("Cryovial box 2: "&amp;($A25&amp;J$15),MASTER!$L:$L,0))&amp;"_ser_"&amp;TEXT(VALUE(SUBSTITUTE(SUBSTITUTE(TRIM(INDEX(MASTER!$M:$M,MATCH("Cryovial box 2: "&amp;($A25&amp;J$15),MASTER!$L:$L,0))),"ml",""),":",".")),"0.00")&amp;"_"&amp;TEXT(INDEX(MASTER!$E:$E,MATCH("Cryovial box 2: "&amp;($A25&amp;J$15),MASTER!$L:$L,0)),"mmddyy"),"")</f>
        <v/>
      </c>
      <c r="K25" s="4" t="str">
        <f>IFERROR(INDEX(MASTER!$A:$A,MATCH("Cryovial box 2: "&amp;($A25&amp;K$15),MASTER!$L:$L,0))&amp;"_ser_"&amp;TEXT(VALUE(SUBSTITUTE(SUBSTITUTE(TRIM(INDEX(MASTER!$M:$M,MATCH("Cryovial box 2: "&amp;($A25&amp;K$15),MASTER!$L:$L,0))),"ml",""),":",".")),"0.00")&amp;"_"&amp;TEXT(INDEX(MASTER!$E:$E,MATCH("Cryovial box 2: "&amp;($A25&amp;K$15),MASTER!$L:$L,0)),"mmddyy"),"")</f>
        <v/>
      </c>
    </row>
    <row r="26" spans="1:11" ht="20.149999999999999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ht="20.149999999999999" customHeight="1" x14ac:dyDescent="0.3">
      <c r="A27" s="5"/>
      <c r="B27" s="31" t="s">
        <v>103</v>
      </c>
      <c r="C27" s="36"/>
      <c r="D27" s="36"/>
      <c r="E27" s="36"/>
      <c r="F27" s="36"/>
      <c r="G27" s="36"/>
      <c r="H27" s="36"/>
      <c r="I27" s="36"/>
      <c r="J27" s="36"/>
      <c r="K27" s="37"/>
    </row>
    <row r="28" spans="1:11" ht="14.15" customHeight="1" x14ac:dyDescent="0.3">
      <c r="A28" s="5"/>
      <c r="B28" s="6">
        <v>1</v>
      </c>
      <c r="C28" s="6">
        <v>2</v>
      </c>
      <c r="D28" s="6">
        <v>3</v>
      </c>
      <c r="E28" s="6">
        <v>4</v>
      </c>
      <c r="F28" s="6">
        <v>5</v>
      </c>
      <c r="G28" s="6">
        <v>6</v>
      </c>
      <c r="H28" s="6">
        <v>7</v>
      </c>
      <c r="I28" s="6">
        <v>8</v>
      </c>
      <c r="J28" s="6">
        <v>9</v>
      </c>
      <c r="K28" s="6">
        <v>10</v>
      </c>
    </row>
    <row r="29" spans="1:11" ht="14.15" customHeight="1" x14ac:dyDescent="0.3">
      <c r="A29" s="6" t="s">
        <v>30</v>
      </c>
      <c r="B29" s="4" t="str">
        <f>IFERROR(INDEX(MASTER!$A:$A,MATCH("Cryovial box 3: "&amp;($A29&amp;B$28),MASTER!$L:$L,0))&amp;"_ser_"&amp;TEXT(VALUE(SUBSTITUTE(SUBSTITUTE(TRIM(INDEX(MASTER!$M:$M,MATCH("Cryovial box 3: "&amp;($A29&amp;B$28),MASTER!$L:$L,0))),"ml",""),":",".")),"0.00")&amp;"_"&amp;TEXT(INDEX(MASTER!$E:$E,MATCH("Cryovial box 3: "&amp;($A29&amp;B$28),MASTER!$L:$L,0)),"mmddyy"),"")</f>
        <v/>
      </c>
      <c r="C29" s="4" t="str">
        <f>IFERROR(INDEX(MASTER!$A:$A,MATCH("Cryovial box 3: "&amp;($A29&amp;C$28),MASTER!$L:$L,0))&amp;"_ser_"&amp;TEXT(VALUE(SUBSTITUTE(SUBSTITUTE(TRIM(INDEX(MASTER!$M:$M,MATCH("Cryovial box 3: "&amp;($A29&amp;C$28),MASTER!$L:$L,0))),"ml",""),":",".")),"0.00")&amp;"_"&amp;TEXT(INDEX(MASTER!$E:$E,MATCH("Cryovial box 3: "&amp;($A29&amp;C$28),MASTER!$L:$L,0)),"mmddyy"),"")</f>
        <v/>
      </c>
      <c r="D29" s="4" t="str">
        <f>IFERROR(INDEX(MASTER!$A:$A,MATCH("Cryovial box 3: "&amp;($A29&amp;D$28),MASTER!$L:$L,0))&amp;"_ser_"&amp;TEXT(VALUE(SUBSTITUTE(SUBSTITUTE(TRIM(INDEX(MASTER!$M:$M,MATCH("Cryovial box 3: "&amp;($A29&amp;D$28),MASTER!$L:$L,0))),"ml",""),":",".")),"0.00")&amp;"_"&amp;TEXT(INDEX(MASTER!$E:$E,MATCH("Cryovial box 3: "&amp;($A29&amp;D$28),MASTER!$L:$L,0)),"mmddyy"),"")</f>
        <v/>
      </c>
      <c r="E29" s="4" t="str">
        <f>IFERROR(INDEX(MASTER!$A:$A,MATCH("Cryovial box 3: "&amp;($A29&amp;E$28),MASTER!$L:$L,0))&amp;"_ser_"&amp;TEXT(VALUE(SUBSTITUTE(SUBSTITUTE(TRIM(INDEX(MASTER!$M:$M,MATCH("Cryovial box 3: "&amp;($A29&amp;E$28),MASTER!$L:$L,0))),"ml",""),":",".")),"0.00")&amp;"_"&amp;TEXT(INDEX(MASTER!$E:$E,MATCH("Cryovial box 3: "&amp;($A29&amp;E$28),MASTER!$L:$L,0)),"mmddyy"),"")</f>
        <v/>
      </c>
      <c r="F29" s="4" t="str">
        <f>IFERROR(INDEX(MASTER!$A:$A,MATCH("Cryovial box 3: "&amp;($A29&amp;F$28),MASTER!$L:$L,0))&amp;"_ser_"&amp;TEXT(VALUE(SUBSTITUTE(SUBSTITUTE(TRIM(INDEX(MASTER!$M:$M,MATCH("Cryovial box 3: "&amp;($A29&amp;F$28),MASTER!$L:$L,0))),"ml",""),":",".")),"0.00")&amp;"_"&amp;TEXT(INDEX(MASTER!$E:$E,MATCH("Cryovial box 3: "&amp;($A29&amp;F$28),MASTER!$L:$L,0)),"mmddyy"),"")</f>
        <v/>
      </c>
      <c r="G29" s="4" t="str">
        <f>IFERROR(INDEX(MASTER!$A:$A,MATCH("Cryovial box 3: "&amp;($A29&amp;G$28),MASTER!$L:$L,0))&amp;"_ser_"&amp;TEXT(VALUE(SUBSTITUTE(SUBSTITUTE(TRIM(INDEX(MASTER!$M:$M,MATCH("Cryovial box 3: "&amp;($A29&amp;G$28),MASTER!$L:$L,0))),"ml",""),":",".")),"0.00")&amp;"_"&amp;TEXT(INDEX(MASTER!$E:$E,MATCH("Cryovial box 3: "&amp;($A29&amp;G$28),MASTER!$L:$L,0)),"mmddyy"),"")</f>
        <v/>
      </c>
      <c r="H29" s="4" t="str">
        <f>IFERROR(INDEX(MASTER!$A:$A,MATCH("Cryovial box 3: "&amp;($A29&amp;H$28),MASTER!$L:$L,0))&amp;"_ser_"&amp;TEXT(VALUE(SUBSTITUTE(SUBSTITUTE(TRIM(INDEX(MASTER!$M:$M,MATCH("Cryovial box 3: "&amp;($A29&amp;H$28),MASTER!$L:$L,0))),"ml",""),":",".")),"0.00")&amp;"_"&amp;TEXT(INDEX(MASTER!$E:$E,MATCH("Cryovial box 3: "&amp;($A29&amp;H$28),MASTER!$L:$L,0)),"mmddyy"),"")</f>
        <v/>
      </c>
      <c r="I29" s="4" t="str">
        <f>IFERROR(INDEX(MASTER!$A:$A,MATCH("Cryovial box 3: "&amp;($A29&amp;I$28),MASTER!$L:$L,0))&amp;"_ser_"&amp;TEXT(VALUE(SUBSTITUTE(SUBSTITUTE(TRIM(INDEX(MASTER!$M:$M,MATCH("Cryovial box 3: "&amp;($A29&amp;I$28),MASTER!$L:$L,0))),"ml",""),":",".")),"0.00")&amp;"_"&amp;TEXT(INDEX(MASTER!$E:$E,MATCH("Cryovial box 3: "&amp;($A29&amp;I$28),MASTER!$L:$L,0)),"mmddyy"),"")</f>
        <v/>
      </c>
      <c r="J29" s="4" t="str">
        <f>IFERROR(INDEX(MASTER!$A:$A,MATCH("Cryovial box 3: "&amp;($A29&amp;J$28),MASTER!$L:$L,0))&amp;"_ser_"&amp;TEXT(VALUE(SUBSTITUTE(SUBSTITUTE(TRIM(INDEX(MASTER!$M:$M,MATCH("Cryovial box 3: "&amp;($A29&amp;J$28),MASTER!$L:$L,0))),"ml",""),":",".")),"0.00")&amp;"_"&amp;TEXT(INDEX(MASTER!$E:$E,MATCH("Cryovial box 3: "&amp;($A29&amp;J$28),MASTER!$L:$L,0)),"mmddyy"),"")</f>
        <v/>
      </c>
      <c r="K29" s="4" t="str">
        <f>IFERROR(INDEX(MASTER!$A:$A,MATCH("Cryovial box 3: "&amp;($A29&amp;K$28),MASTER!$L:$L,0))&amp;"_ser_"&amp;TEXT(VALUE(SUBSTITUTE(SUBSTITUTE(TRIM(INDEX(MASTER!$M:$M,MATCH("Cryovial box 3: "&amp;($A29&amp;K$28),MASTER!$L:$L,0))),"ml",""),":",".")),"0.00")&amp;"_"&amp;TEXT(INDEX(MASTER!$E:$E,MATCH("Cryovial box 3: "&amp;($A29&amp;K$28),MASTER!$L:$L,0)),"mmddyy"),"")</f>
        <v/>
      </c>
    </row>
    <row r="30" spans="1:11" ht="14.15" customHeight="1" x14ac:dyDescent="0.3">
      <c r="A30" s="6" t="s">
        <v>31</v>
      </c>
      <c r="B30" s="4" t="str">
        <f>IFERROR(INDEX(MASTER!$A:$A,MATCH("Cryovial box 3: "&amp;($A30&amp;B$28),MASTER!$L:$L,0))&amp;"_ser_"&amp;TEXT(VALUE(SUBSTITUTE(SUBSTITUTE(TRIM(INDEX(MASTER!$M:$M,MATCH("Cryovial box 3: "&amp;($A30&amp;B$28),MASTER!$L:$L,0))),"ml",""),":",".")),"0.00")&amp;"_"&amp;TEXT(INDEX(MASTER!$E:$E,MATCH("Cryovial box 3: "&amp;($A30&amp;B$28),MASTER!$L:$L,0)),"mmddyy"),"")</f>
        <v/>
      </c>
      <c r="C30" s="4" t="str">
        <f>IFERROR(INDEX(MASTER!$A:$A,MATCH("Cryovial box 3: "&amp;($A30&amp;C$28),MASTER!$L:$L,0))&amp;"_ser_"&amp;TEXT(VALUE(SUBSTITUTE(SUBSTITUTE(TRIM(INDEX(MASTER!$M:$M,MATCH("Cryovial box 3: "&amp;($A30&amp;C$28),MASTER!$L:$L,0))),"ml",""),":",".")),"0.00")&amp;"_"&amp;TEXT(INDEX(MASTER!$E:$E,MATCH("Cryovial box 3: "&amp;($A30&amp;C$28),MASTER!$L:$L,0)),"mmddyy"),"")</f>
        <v/>
      </c>
      <c r="D30" s="4" t="str">
        <f>IFERROR(INDEX(MASTER!$A:$A,MATCH("Cryovial box 3: "&amp;($A30&amp;D$28),MASTER!$L:$L,0))&amp;"_ser_"&amp;TEXT(VALUE(SUBSTITUTE(SUBSTITUTE(TRIM(INDEX(MASTER!$M:$M,MATCH("Cryovial box 3: "&amp;($A30&amp;D$28),MASTER!$L:$L,0))),"ml",""),":",".")),"0.00")&amp;"_"&amp;TEXT(INDEX(MASTER!$E:$E,MATCH("Cryovial box 3: "&amp;($A30&amp;D$28),MASTER!$L:$L,0)),"mmddyy"),"")</f>
        <v/>
      </c>
      <c r="E30" s="4" t="str">
        <f>IFERROR(INDEX(MASTER!$A:$A,MATCH("Cryovial box 3: "&amp;($A30&amp;E$28),MASTER!$L:$L,0))&amp;"_ser_"&amp;TEXT(VALUE(SUBSTITUTE(SUBSTITUTE(TRIM(INDEX(MASTER!$M:$M,MATCH("Cryovial box 3: "&amp;($A30&amp;E$28),MASTER!$L:$L,0))),"ml",""),":",".")),"0.00")&amp;"_"&amp;TEXT(INDEX(MASTER!$E:$E,MATCH("Cryovial box 3: "&amp;($A30&amp;E$28),MASTER!$L:$L,0)),"mmddyy"),"")</f>
        <v/>
      </c>
      <c r="F30" s="4" t="str">
        <f>IFERROR(INDEX(MASTER!$A:$A,MATCH("Cryovial box 3: "&amp;($A30&amp;F$28),MASTER!$L:$L,0))&amp;"_ser_"&amp;TEXT(VALUE(SUBSTITUTE(SUBSTITUTE(TRIM(INDEX(MASTER!$M:$M,MATCH("Cryovial box 3: "&amp;($A30&amp;F$28),MASTER!$L:$L,0))),"ml",""),":",".")),"0.00")&amp;"_"&amp;TEXT(INDEX(MASTER!$E:$E,MATCH("Cryovial box 3: "&amp;($A30&amp;F$28),MASTER!$L:$L,0)),"mmddyy"),"")</f>
        <v/>
      </c>
      <c r="G30" s="4" t="str">
        <f>IFERROR(INDEX(MASTER!$A:$A,MATCH("Cryovial box 3: "&amp;($A30&amp;G$28),MASTER!$L:$L,0))&amp;"_ser_"&amp;TEXT(VALUE(SUBSTITUTE(SUBSTITUTE(TRIM(INDEX(MASTER!$M:$M,MATCH("Cryovial box 3: "&amp;($A30&amp;G$28),MASTER!$L:$L,0))),"ml",""),":",".")),"0.00")&amp;"_"&amp;TEXT(INDEX(MASTER!$E:$E,MATCH("Cryovial box 3: "&amp;($A30&amp;G$28),MASTER!$L:$L,0)),"mmddyy"),"")</f>
        <v/>
      </c>
      <c r="H30" s="4" t="str">
        <f>IFERROR(INDEX(MASTER!$A:$A,MATCH("Cryovial box 3: "&amp;($A30&amp;H$28),MASTER!$L:$L,0))&amp;"_ser_"&amp;TEXT(VALUE(SUBSTITUTE(SUBSTITUTE(TRIM(INDEX(MASTER!$M:$M,MATCH("Cryovial box 3: "&amp;($A30&amp;H$28),MASTER!$L:$L,0))),"ml",""),":",".")),"0.00")&amp;"_"&amp;TEXT(INDEX(MASTER!$E:$E,MATCH("Cryovial box 3: "&amp;($A30&amp;H$28),MASTER!$L:$L,0)),"mmddyy"),"")</f>
        <v/>
      </c>
      <c r="I30" s="4" t="str">
        <f>IFERROR(INDEX(MASTER!$A:$A,MATCH("Cryovial box 3: "&amp;($A30&amp;I$28),MASTER!$L:$L,0))&amp;"_ser_"&amp;TEXT(VALUE(SUBSTITUTE(SUBSTITUTE(TRIM(INDEX(MASTER!$M:$M,MATCH("Cryovial box 3: "&amp;($A30&amp;I$28),MASTER!$L:$L,0))),"ml",""),":",".")),"0.00")&amp;"_"&amp;TEXT(INDEX(MASTER!$E:$E,MATCH("Cryovial box 3: "&amp;($A30&amp;I$28),MASTER!$L:$L,0)),"mmddyy"),"")</f>
        <v/>
      </c>
      <c r="J30" s="4" t="str">
        <f>IFERROR(INDEX(MASTER!$A:$A,MATCH("Cryovial box 3: "&amp;($A30&amp;J$28),MASTER!$L:$L,0))&amp;"_ser_"&amp;TEXT(VALUE(SUBSTITUTE(SUBSTITUTE(TRIM(INDEX(MASTER!$M:$M,MATCH("Cryovial box 3: "&amp;($A30&amp;J$28),MASTER!$L:$L,0))),"ml",""),":",".")),"0.00")&amp;"_"&amp;TEXT(INDEX(MASTER!$E:$E,MATCH("Cryovial box 3: "&amp;($A30&amp;J$28),MASTER!$L:$L,0)),"mmddyy"),"")</f>
        <v/>
      </c>
      <c r="K30" s="4" t="str">
        <f>IFERROR(INDEX(MASTER!$A:$A,MATCH("Cryovial box 3: "&amp;($A30&amp;K$28),MASTER!$L:$L,0))&amp;"_ser_"&amp;TEXT(VALUE(SUBSTITUTE(SUBSTITUTE(TRIM(INDEX(MASTER!$M:$M,MATCH("Cryovial box 3: "&amp;($A30&amp;K$28),MASTER!$L:$L,0))),"ml",""),":",".")),"0.00")&amp;"_"&amp;TEXT(INDEX(MASTER!$E:$E,MATCH("Cryovial box 3: "&amp;($A30&amp;K$28),MASTER!$L:$L,0)),"mmddyy"),"")</f>
        <v/>
      </c>
    </row>
    <row r="31" spans="1:11" ht="20.149999999999999" customHeight="1" x14ac:dyDescent="0.3">
      <c r="A31" s="6" t="s">
        <v>32</v>
      </c>
      <c r="B31" s="4" t="str">
        <f>IFERROR(INDEX(MASTER!$A:$A,MATCH("Cryovial box 3: "&amp;($A31&amp;B$28),MASTER!$L:$L,0))&amp;"_ser_"&amp;TEXT(VALUE(SUBSTITUTE(SUBSTITUTE(TRIM(INDEX(MASTER!$M:$M,MATCH("Cryovial box 3: "&amp;($A31&amp;B$28),MASTER!$L:$L,0))),"ml",""),":",".")),"0.00")&amp;"_"&amp;TEXT(INDEX(MASTER!$E:$E,MATCH("Cryovial box 3: "&amp;($A31&amp;B$28),MASTER!$L:$L,0)),"mmddyy"),"")</f>
        <v/>
      </c>
      <c r="C31" s="4" t="str">
        <f>IFERROR(INDEX(MASTER!$A:$A,MATCH("Cryovial box 3: "&amp;($A31&amp;C$28),MASTER!$L:$L,0))&amp;"_ser_"&amp;TEXT(VALUE(SUBSTITUTE(SUBSTITUTE(TRIM(INDEX(MASTER!$M:$M,MATCH("Cryovial box 3: "&amp;($A31&amp;C$28),MASTER!$L:$L,0))),"ml",""),":",".")),"0.00")&amp;"_"&amp;TEXT(INDEX(MASTER!$E:$E,MATCH("Cryovial box 3: "&amp;($A31&amp;C$28),MASTER!$L:$L,0)),"mmddyy"),"")</f>
        <v/>
      </c>
      <c r="D31" s="4" t="str">
        <f>IFERROR(INDEX(MASTER!$A:$A,MATCH("Cryovial box 3: "&amp;($A31&amp;D$28),MASTER!$L:$L,0))&amp;"_ser_"&amp;TEXT(VALUE(SUBSTITUTE(SUBSTITUTE(TRIM(INDEX(MASTER!$M:$M,MATCH("Cryovial box 3: "&amp;($A31&amp;D$28),MASTER!$L:$L,0))),"ml",""),":",".")),"0.00")&amp;"_"&amp;TEXT(INDEX(MASTER!$E:$E,MATCH("Cryovial box 3: "&amp;($A31&amp;D$28),MASTER!$L:$L,0)),"mmddyy"),"")</f>
        <v/>
      </c>
      <c r="E31" s="4" t="str">
        <f>IFERROR(INDEX(MASTER!$A:$A,MATCH("Cryovial box 3: "&amp;($A31&amp;E$28),MASTER!$L:$L,0))&amp;"_ser_"&amp;TEXT(VALUE(SUBSTITUTE(SUBSTITUTE(TRIM(INDEX(MASTER!$M:$M,MATCH("Cryovial box 3: "&amp;($A31&amp;E$28),MASTER!$L:$L,0))),"ml",""),":",".")),"0.00")&amp;"_"&amp;TEXT(INDEX(MASTER!$E:$E,MATCH("Cryovial box 3: "&amp;($A31&amp;E$28),MASTER!$L:$L,0)),"mmddyy"),"")</f>
        <v/>
      </c>
      <c r="F31" s="4" t="str">
        <f>IFERROR(INDEX(MASTER!$A:$A,MATCH("Cryovial box 3: "&amp;($A31&amp;F$28),MASTER!$L:$L,0))&amp;"_ser_"&amp;TEXT(VALUE(SUBSTITUTE(SUBSTITUTE(TRIM(INDEX(MASTER!$M:$M,MATCH("Cryovial box 3: "&amp;($A31&amp;F$28),MASTER!$L:$L,0))),"ml",""),":",".")),"0.00")&amp;"_"&amp;TEXT(INDEX(MASTER!$E:$E,MATCH("Cryovial box 3: "&amp;($A31&amp;F$28),MASTER!$L:$L,0)),"mmddyy"),"")</f>
        <v/>
      </c>
      <c r="G31" s="4" t="str">
        <f>IFERROR(INDEX(MASTER!$A:$A,MATCH("Cryovial box 3: "&amp;($A31&amp;G$28),MASTER!$L:$L,0))&amp;"_ser_"&amp;TEXT(VALUE(SUBSTITUTE(SUBSTITUTE(TRIM(INDEX(MASTER!$M:$M,MATCH("Cryovial box 3: "&amp;($A31&amp;G$28),MASTER!$L:$L,0))),"ml",""),":",".")),"0.00")&amp;"_"&amp;TEXT(INDEX(MASTER!$E:$E,MATCH("Cryovial box 3: "&amp;($A31&amp;G$28),MASTER!$L:$L,0)),"mmddyy"),"")</f>
        <v/>
      </c>
      <c r="H31" s="4" t="str">
        <f>IFERROR(INDEX(MASTER!$A:$A,MATCH("Cryovial box 3: "&amp;($A31&amp;H$28),MASTER!$L:$L,0))&amp;"_ser_"&amp;TEXT(VALUE(SUBSTITUTE(SUBSTITUTE(TRIM(INDEX(MASTER!$M:$M,MATCH("Cryovial box 3: "&amp;($A31&amp;H$28),MASTER!$L:$L,0))),"ml",""),":",".")),"0.00")&amp;"_"&amp;TEXT(INDEX(MASTER!$E:$E,MATCH("Cryovial box 3: "&amp;($A31&amp;H$28),MASTER!$L:$L,0)),"mmddyy"),"")</f>
        <v/>
      </c>
      <c r="I31" s="4" t="str">
        <f>IFERROR(INDEX(MASTER!$A:$A,MATCH("Cryovial box 3: "&amp;($A31&amp;I$28),MASTER!$L:$L,0))&amp;"_ser_"&amp;TEXT(VALUE(SUBSTITUTE(SUBSTITUTE(TRIM(INDEX(MASTER!$M:$M,MATCH("Cryovial box 3: "&amp;($A31&amp;I$28),MASTER!$L:$L,0))),"ml",""),":",".")),"0.00")&amp;"_"&amp;TEXT(INDEX(MASTER!$E:$E,MATCH("Cryovial box 3: "&amp;($A31&amp;I$28),MASTER!$L:$L,0)),"mmddyy"),"")</f>
        <v/>
      </c>
      <c r="J31" s="4" t="str">
        <f>IFERROR(INDEX(MASTER!$A:$A,MATCH("Cryovial box 3: "&amp;($A31&amp;J$28),MASTER!$L:$L,0))&amp;"_ser_"&amp;TEXT(VALUE(SUBSTITUTE(SUBSTITUTE(TRIM(INDEX(MASTER!$M:$M,MATCH("Cryovial box 3: "&amp;($A31&amp;J$28),MASTER!$L:$L,0))),"ml",""),":",".")),"0.00")&amp;"_"&amp;TEXT(INDEX(MASTER!$E:$E,MATCH("Cryovial box 3: "&amp;($A31&amp;J$28),MASTER!$L:$L,0)),"mmddyy"),"")</f>
        <v/>
      </c>
      <c r="K31" s="4" t="str">
        <f>IFERROR(INDEX(MASTER!$A:$A,MATCH("Cryovial box 3: "&amp;($A31&amp;K$28),MASTER!$L:$L,0))&amp;"_ser_"&amp;TEXT(VALUE(SUBSTITUTE(SUBSTITUTE(TRIM(INDEX(MASTER!$M:$M,MATCH("Cryovial box 3: "&amp;($A31&amp;K$28),MASTER!$L:$L,0))),"ml",""),":",".")),"0.00")&amp;"_"&amp;TEXT(INDEX(MASTER!$E:$E,MATCH("Cryovial box 3: "&amp;($A31&amp;K$28),MASTER!$L:$L,0)),"mmddyy"),"")</f>
        <v/>
      </c>
    </row>
    <row r="32" spans="1:11" ht="20.149999999999999" customHeight="1" x14ac:dyDescent="0.3">
      <c r="A32" s="6" t="s">
        <v>33</v>
      </c>
      <c r="B32" s="4" t="str">
        <f>IFERROR(INDEX(MASTER!$A:$A,MATCH("Cryovial box 3: "&amp;($A32&amp;B$28),MASTER!$L:$L,0))&amp;"_ser_"&amp;TEXT(VALUE(SUBSTITUTE(SUBSTITUTE(TRIM(INDEX(MASTER!$M:$M,MATCH("Cryovial box 3: "&amp;($A32&amp;B$28),MASTER!$L:$L,0))),"ml",""),":",".")),"0.00")&amp;"_"&amp;TEXT(INDEX(MASTER!$E:$E,MATCH("Cryovial box 3: "&amp;($A32&amp;B$28),MASTER!$L:$L,0)),"mmddyy"),"")</f>
        <v/>
      </c>
      <c r="C32" s="4" t="str">
        <f>IFERROR(INDEX(MASTER!$A:$A,MATCH("Cryovial box 3: "&amp;($A32&amp;C$28),MASTER!$L:$L,0))&amp;"_ser_"&amp;TEXT(VALUE(SUBSTITUTE(SUBSTITUTE(TRIM(INDEX(MASTER!$M:$M,MATCH("Cryovial box 3: "&amp;($A32&amp;C$28),MASTER!$L:$L,0))),"ml",""),":",".")),"0.00")&amp;"_"&amp;TEXT(INDEX(MASTER!$E:$E,MATCH("Cryovial box 3: "&amp;($A32&amp;C$28),MASTER!$L:$L,0)),"mmddyy"),"")</f>
        <v/>
      </c>
      <c r="D32" s="4" t="str">
        <f>IFERROR(INDEX(MASTER!$A:$A,MATCH("Cryovial box 3: "&amp;($A32&amp;D$28),MASTER!$L:$L,0))&amp;"_ser_"&amp;TEXT(VALUE(SUBSTITUTE(SUBSTITUTE(TRIM(INDEX(MASTER!$M:$M,MATCH("Cryovial box 3: "&amp;($A32&amp;D$28),MASTER!$L:$L,0))),"ml",""),":",".")),"0.00")&amp;"_"&amp;TEXT(INDEX(MASTER!$E:$E,MATCH("Cryovial box 3: "&amp;($A32&amp;D$28),MASTER!$L:$L,0)),"mmddyy"),"")</f>
        <v/>
      </c>
      <c r="E32" s="4" t="str">
        <f>IFERROR(INDEX(MASTER!$A:$A,MATCH("Cryovial box 3: "&amp;($A32&amp;E$28),MASTER!$L:$L,0))&amp;"_ser_"&amp;TEXT(VALUE(SUBSTITUTE(SUBSTITUTE(TRIM(INDEX(MASTER!$M:$M,MATCH("Cryovial box 3: "&amp;($A32&amp;E$28),MASTER!$L:$L,0))),"ml",""),":",".")),"0.00")&amp;"_"&amp;TEXT(INDEX(MASTER!$E:$E,MATCH("Cryovial box 3: "&amp;($A32&amp;E$28),MASTER!$L:$L,0)),"mmddyy"),"")</f>
        <v/>
      </c>
      <c r="F32" s="4" t="str">
        <f>IFERROR(INDEX(MASTER!$A:$A,MATCH("Cryovial box 3: "&amp;($A32&amp;F$28),MASTER!$L:$L,0))&amp;"_ser_"&amp;TEXT(VALUE(SUBSTITUTE(SUBSTITUTE(TRIM(INDEX(MASTER!$M:$M,MATCH("Cryovial box 3: "&amp;($A32&amp;F$28),MASTER!$L:$L,0))),"ml",""),":",".")),"0.00")&amp;"_"&amp;TEXT(INDEX(MASTER!$E:$E,MATCH("Cryovial box 3: "&amp;($A32&amp;F$28),MASTER!$L:$L,0)),"mmddyy"),"")</f>
        <v/>
      </c>
      <c r="G32" s="4" t="str">
        <f>IFERROR(INDEX(MASTER!$A:$A,MATCH("Cryovial box 3: "&amp;($A32&amp;G$28),MASTER!$L:$L,0))&amp;"_ser_"&amp;TEXT(VALUE(SUBSTITUTE(SUBSTITUTE(TRIM(INDEX(MASTER!$M:$M,MATCH("Cryovial box 3: "&amp;($A32&amp;G$28),MASTER!$L:$L,0))),"ml",""),":",".")),"0.00")&amp;"_"&amp;TEXT(INDEX(MASTER!$E:$E,MATCH("Cryovial box 3: "&amp;($A32&amp;G$28),MASTER!$L:$L,0)),"mmddyy"),"")</f>
        <v/>
      </c>
      <c r="H32" s="4" t="str">
        <f>IFERROR(INDEX(MASTER!$A:$A,MATCH("Cryovial box 3: "&amp;($A32&amp;H$28),MASTER!$L:$L,0))&amp;"_ser_"&amp;TEXT(VALUE(SUBSTITUTE(SUBSTITUTE(TRIM(INDEX(MASTER!$M:$M,MATCH("Cryovial box 3: "&amp;($A32&amp;H$28),MASTER!$L:$L,0))),"ml",""),":",".")),"0.00")&amp;"_"&amp;TEXT(INDEX(MASTER!$E:$E,MATCH("Cryovial box 3: "&amp;($A32&amp;H$28),MASTER!$L:$L,0)),"mmddyy"),"")</f>
        <v/>
      </c>
      <c r="I32" s="4" t="str">
        <f>IFERROR(INDEX(MASTER!$A:$A,MATCH("Cryovial box 3: "&amp;($A32&amp;I$28),MASTER!$L:$L,0))&amp;"_ser_"&amp;TEXT(VALUE(SUBSTITUTE(SUBSTITUTE(TRIM(INDEX(MASTER!$M:$M,MATCH("Cryovial box 3: "&amp;($A32&amp;I$28),MASTER!$L:$L,0))),"ml",""),":",".")),"0.00")&amp;"_"&amp;TEXT(INDEX(MASTER!$E:$E,MATCH("Cryovial box 3: "&amp;($A32&amp;I$28),MASTER!$L:$L,0)),"mmddyy"),"")</f>
        <v/>
      </c>
      <c r="J32" s="4" t="str">
        <f>IFERROR(INDEX(MASTER!$A:$A,MATCH("Cryovial box 3: "&amp;($A32&amp;J$28),MASTER!$L:$L,0))&amp;"_ser_"&amp;TEXT(VALUE(SUBSTITUTE(SUBSTITUTE(TRIM(INDEX(MASTER!$M:$M,MATCH("Cryovial box 3: "&amp;($A32&amp;J$28),MASTER!$L:$L,0))),"ml",""),":",".")),"0.00")&amp;"_"&amp;TEXT(INDEX(MASTER!$E:$E,MATCH("Cryovial box 3: "&amp;($A32&amp;J$28),MASTER!$L:$L,0)),"mmddyy"),"")</f>
        <v/>
      </c>
      <c r="K32" s="4" t="str">
        <f>IFERROR(INDEX(MASTER!$A:$A,MATCH("Cryovial box 3: "&amp;($A32&amp;K$28),MASTER!$L:$L,0))&amp;"_ser_"&amp;TEXT(VALUE(SUBSTITUTE(SUBSTITUTE(TRIM(INDEX(MASTER!$M:$M,MATCH("Cryovial box 3: "&amp;($A32&amp;K$28),MASTER!$L:$L,0))),"ml",""),":",".")),"0.00")&amp;"_"&amp;TEXT(INDEX(MASTER!$E:$E,MATCH("Cryovial box 3: "&amp;($A32&amp;K$28),MASTER!$L:$L,0)),"mmddyy"),"")</f>
        <v/>
      </c>
    </row>
    <row r="33" spans="1:11" ht="20.149999999999999" customHeight="1" x14ac:dyDescent="0.3">
      <c r="A33" s="6" t="s">
        <v>34</v>
      </c>
      <c r="B33" s="4" t="str">
        <f>IFERROR(INDEX(MASTER!$A:$A,MATCH("Cryovial box 3: "&amp;($A33&amp;B$28),MASTER!$L:$L,0))&amp;"_ser_"&amp;TEXT(VALUE(SUBSTITUTE(SUBSTITUTE(TRIM(INDEX(MASTER!$M:$M,MATCH("Cryovial box 3: "&amp;($A33&amp;B$28),MASTER!$L:$L,0))),"ml",""),":",".")),"0.00")&amp;"_"&amp;TEXT(INDEX(MASTER!$E:$E,MATCH("Cryovial box 3: "&amp;($A33&amp;B$28),MASTER!$L:$L,0)),"mmddyy"),"")</f>
        <v/>
      </c>
      <c r="C33" s="4" t="str">
        <f>IFERROR(INDEX(MASTER!$A:$A,MATCH("Cryovial box 3: "&amp;($A33&amp;C$28),MASTER!$L:$L,0))&amp;"_ser_"&amp;TEXT(VALUE(SUBSTITUTE(SUBSTITUTE(TRIM(INDEX(MASTER!$M:$M,MATCH("Cryovial box 3: "&amp;($A33&amp;C$28),MASTER!$L:$L,0))),"ml",""),":",".")),"0.00")&amp;"_"&amp;TEXT(INDEX(MASTER!$E:$E,MATCH("Cryovial box 3: "&amp;($A33&amp;C$28),MASTER!$L:$L,0)),"mmddyy"),"")</f>
        <v/>
      </c>
      <c r="D33" s="4" t="str">
        <f>IFERROR(INDEX(MASTER!$A:$A,MATCH("Cryovial box 3: "&amp;($A33&amp;D$28),MASTER!$L:$L,0))&amp;"_ser_"&amp;TEXT(VALUE(SUBSTITUTE(SUBSTITUTE(TRIM(INDEX(MASTER!$M:$M,MATCH("Cryovial box 3: "&amp;($A33&amp;D$28),MASTER!$L:$L,0))),"ml",""),":",".")),"0.00")&amp;"_"&amp;TEXT(INDEX(MASTER!$E:$E,MATCH("Cryovial box 3: "&amp;($A33&amp;D$28),MASTER!$L:$L,0)),"mmddyy"),"")</f>
        <v/>
      </c>
      <c r="E33" s="4" t="str">
        <f>IFERROR(INDEX(MASTER!$A:$A,MATCH("Cryovial box 3: "&amp;($A33&amp;E$28),MASTER!$L:$L,0))&amp;"_ser_"&amp;TEXT(VALUE(SUBSTITUTE(SUBSTITUTE(TRIM(INDEX(MASTER!$M:$M,MATCH("Cryovial box 3: "&amp;($A33&amp;E$28),MASTER!$L:$L,0))),"ml",""),":",".")),"0.00")&amp;"_"&amp;TEXT(INDEX(MASTER!$E:$E,MATCH("Cryovial box 3: "&amp;($A33&amp;E$28),MASTER!$L:$L,0)),"mmddyy"),"")</f>
        <v/>
      </c>
      <c r="F33" s="4" t="str">
        <f>IFERROR(INDEX(MASTER!$A:$A,MATCH("Cryovial box 3: "&amp;($A33&amp;F$28),MASTER!$L:$L,0))&amp;"_ser_"&amp;TEXT(VALUE(SUBSTITUTE(SUBSTITUTE(TRIM(INDEX(MASTER!$M:$M,MATCH("Cryovial box 3: "&amp;($A33&amp;F$28),MASTER!$L:$L,0))),"ml",""),":",".")),"0.00")&amp;"_"&amp;TEXT(INDEX(MASTER!$E:$E,MATCH("Cryovial box 3: "&amp;($A33&amp;F$28),MASTER!$L:$L,0)),"mmddyy"),"")</f>
        <v/>
      </c>
      <c r="G33" s="4" t="str">
        <f>IFERROR(INDEX(MASTER!$A:$A,MATCH("Cryovial box 3: "&amp;($A33&amp;G$28),MASTER!$L:$L,0))&amp;"_ser_"&amp;TEXT(VALUE(SUBSTITUTE(SUBSTITUTE(TRIM(INDEX(MASTER!$M:$M,MATCH("Cryovial box 3: "&amp;($A33&amp;G$28),MASTER!$L:$L,0))),"ml",""),":",".")),"0.00")&amp;"_"&amp;TEXT(INDEX(MASTER!$E:$E,MATCH("Cryovial box 3: "&amp;($A33&amp;G$28),MASTER!$L:$L,0)),"mmddyy"),"")</f>
        <v/>
      </c>
      <c r="H33" s="4" t="str">
        <f>IFERROR(INDEX(MASTER!$A:$A,MATCH("Cryovial box 3: "&amp;($A33&amp;H$28),MASTER!$L:$L,0))&amp;"_ser_"&amp;TEXT(VALUE(SUBSTITUTE(SUBSTITUTE(TRIM(INDEX(MASTER!$M:$M,MATCH("Cryovial box 3: "&amp;($A33&amp;H$28),MASTER!$L:$L,0))),"ml",""),":",".")),"0.00")&amp;"_"&amp;TEXT(INDEX(MASTER!$E:$E,MATCH("Cryovial box 3: "&amp;($A33&amp;H$28),MASTER!$L:$L,0)),"mmddyy"),"")</f>
        <v/>
      </c>
      <c r="I33" s="4" t="str">
        <f>IFERROR(INDEX(MASTER!$A:$A,MATCH("Cryovial box 3: "&amp;($A33&amp;I$28),MASTER!$L:$L,0))&amp;"_ser_"&amp;TEXT(VALUE(SUBSTITUTE(SUBSTITUTE(TRIM(INDEX(MASTER!$M:$M,MATCH("Cryovial box 3: "&amp;($A33&amp;I$28),MASTER!$L:$L,0))),"ml",""),":",".")),"0.00")&amp;"_"&amp;TEXT(INDEX(MASTER!$E:$E,MATCH("Cryovial box 3: "&amp;($A33&amp;I$28),MASTER!$L:$L,0)),"mmddyy"),"")</f>
        <v/>
      </c>
      <c r="J33" s="4" t="str">
        <f>IFERROR(INDEX(MASTER!$A:$A,MATCH("Cryovial box 3: "&amp;($A33&amp;J$28),MASTER!$L:$L,0))&amp;"_ser_"&amp;TEXT(VALUE(SUBSTITUTE(SUBSTITUTE(TRIM(INDEX(MASTER!$M:$M,MATCH("Cryovial box 3: "&amp;($A33&amp;J$28),MASTER!$L:$L,0))),"ml",""),":",".")),"0.00")&amp;"_"&amp;TEXT(INDEX(MASTER!$E:$E,MATCH("Cryovial box 3: "&amp;($A33&amp;J$28),MASTER!$L:$L,0)),"mmddyy"),"")</f>
        <v/>
      </c>
      <c r="K33" s="4" t="str">
        <f>IFERROR(INDEX(MASTER!$A:$A,MATCH("Cryovial box 3: "&amp;($A33&amp;K$28),MASTER!$L:$L,0))&amp;"_ser_"&amp;TEXT(VALUE(SUBSTITUTE(SUBSTITUTE(TRIM(INDEX(MASTER!$M:$M,MATCH("Cryovial box 3: "&amp;($A33&amp;K$28),MASTER!$L:$L,0))),"ml",""),":",".")),"0.00")&amp;"_"&amp;TEXT(INDEX(MASTER!$E:$E,MATCH("Cryovial box 3: "&amp;($A33&amp;K$28),MASTER!$L:$L,0)),"mmddyy"),"")</f>
        <v/>
      </c>
    </row>
    <row r="34" spans="1:11" ht="20.149999999999999" customHeight="1" x14ac:dyDescent="0.3">
      <c r="A34" s="6" t="s">
        <v>15</v>
      </c>
      <c r="B34" s="4" t="str">
        <f>IFERROR(INDEX(MASTER!$A:$A,MATCH("Cryovial box 3: "&amp;($A34&amp;B$28),MASTER!$L:$L,0))&amp;"_ser_"&amp;TEXT(VALUE(SUBSTITUTE(SUBSTITUTE(TRIM(INDEX(MASTER!$M:$M,MATCH("Cryovial box 3: "&amp;($A34&amp;B$28),MASTER!$L:$L,0))),"ml",""),":",".")),"0.00")&amp;"_"&amp;TEXT(INDEX(MASTER!$E:$E,MATCH("Cryovial box 3: "&amp;($A34&amp;B$28),MASTER!$L:$L,0)),"mmddyy"),"")</f>
        <v/>
      </c>
      <c r="C34" s="4" t="str">
        <f>IFERROR(INDEX(MASTER!$A:$A,MATCH("Cryovial box 3: "&amp;($A34&amp;C$28),MASTER!$L:$L,0))&amp;"_ser_"&amp;TEXT(VALUE(SUBSTITUTE(SUBSTITUTE(TRIM(INDEX(MASTER!$M:$M,MATCH("Cryovial box 3: "&amp;($A34&amp;C$28),MASTER!$L:$L,0))),"ml",""),":",".")),"0.00")&amp;"_"&amp;TEXT(INDEX(MASTER!$E:$E,MATCH("Cryovial box 3: "&amp;($A34&amp;C$28),MASTER!$L:$L,0)),"mmddyy"),"")</f>
        <v/>
      </c>
      <c r="D34" s="4" t="str">
        <f>IFERROR(INDEX(MASTER!$A:$A,MATCH("Cryovial box 3: "&amp;($A34&amp;D$28),MASTER!$L:$L,0))&amp;"_ser_"&amp;TEXT(VALUE(SUBSTITUTE(SUBSTITUTE(TRIM(INDEX(MASTER!$M:$M,MATCH("Cryovial box 3: "&amp;($A34&amp;D$28),MASTER!$L:$L,0))),"ml",""),":",".")),"0.00")&amp;"_"&amp;TEXT(INDEX(MASTER!$E:$E,MATCH("Cryovial box 3: "&amp;($A34&amp;D$28),MASTER!$L:$L,0)),"mmddyy"),"")</f>
        <v/>
      </c>
      <c r="E34" s="4" t="str">
        <f>IFERROR(INDEX(MASTER!$A:$A,MATCH("Cryovial box 3: "&amp;($A34&amp;E$28),MASTER!$L:$L,0))&amp;"_ser_"&amp;TEXT(VALUE(SUBSTITUTE(SUBSTITUTE(TRIM(INDEX(MASTER!$M:$M,MATCH("Cryovial box 3: "&amp;($A34&amp;E$28),MASTER!$L:$L,0))),"ml",""),":",".")),"0.00")&amp;"_"&amp;TEXT(INDEX(MASTER!$E:$E,MATCH("Cryovial box 3: "&amp;($A34&amp;E$28),MASTER!$L:$L,0)),"mmddyy"),"")</f>
        <v/>
      </c>
      <c r="F34" s="4" t="str">
        <f>IFERROR(INDEX(MASTER!$A:$A,MATCH("Cryovial box 3: "&amp;($A34&amp;F$28),MASTER!$L:$L,0))&amp;"_ser_"&amp;TEXT(VALUE(SUBSTITUTE(SUBSTITUTE(TRIM(INDEX(MASTER!$M:$M,MATCH("Cryovial box 3: "&amp;($A34&amp;F$28),MASTER!$L:$L,0))),"ml",""),":",".")),"0.00")&amp;"_"&amp;TEXT(INDEX(MASTER!$E:$E,MATCH("Cryovial box 3: "&amp;($A34&amp;F$28),MASTER!$L:$L,0)),"mmddyy"),"")</f>
        <v/>
      </c>
      <c r="G34" s="4" t="str">
        <f>IFERROR(INDEX(MASTER!$A:$A,MATCH("Cryovial box 3: "&amp;($A34&amp;G$28),MASTER!$L:$L,0))&amp;"_ser_"&amp;TEXT(VALUE(SUBSTITUTE(SUBSTITUTE(TRIM(INDEX(MASTER!$M:$M,MATCH("Cryovial box 3: "&amp;($A34&amp;G$28),MASTER!$L:$L,0))),"ml",""),":",".")),"0.00")&amp;"_"&amp;TEXT(INDEX(MASTER!$E:$E,MATCH("Cryovial box 3: "&amp;($A34&amp;G$28),MASTER!$L:$L,0)),"mmddyy"),"")</f>
        <v/>
      </c>
      <c r="H34" s="4" t="str">
        <f>IFERROR(INDEX(MASTER!$A:$A,MATCH("Cryovial box 3: "&amp;($A34&amp;H$28),MASTER!$L:$L,0))&amp;"_ser_"&amp;TEXT(VALUE(SUBSTITUTE(SUBSTITUTE(TRIM(INDEX(MASTER!$M:$M,MATCH("Cryovial box 3: "&amp;($A34&amp;H$28),MASTER!$L:$L,0))),"ml",""),":",".")),"0.00")&amp;"_"&amp;TEXT(INDEX(MASTER!$E:$E,MATCH("Cryovial box 3: "&amp;($A34&amp;H$28),MASTER!$L:$L,0)),"mmddyy"),"")</f>
        <v/>
      </c>
      <c r="I34" s="4" t="str">
        <f>IFERROR(INDEX(MASTER!$A:$A,MATCH("Cryovial box 3: "&amp;($A34&amp;I$28),MASTER!$L:$L,0))&amp;"_ser_"&amp;TEXT(VALUE(SUBSTITUTE(SUBSTITUTE(TRIM(INDEX(MASTER!$M:$M,MATCH("Cryovial box 3: "&amp;($A34&amp;I$28),MASTER!$L:$L,0))),"ml",""),":",".")),"0.00")&amp;"_"&amp;TEXT(INDEX(MASTER!$E:$E,MATCH("Cryovial box 3: "&amp;($A34&amp;I$28),MASTER!$L:$L,0)),"mmddyy"),"")</f>
        <v/>
      </c>
      <c r="J34" s="4" t="str">
        <f>IFERROR(INDEX(MASTER!$A:$A,MATCH("Cryovial box 3: "&amp;($A34&amp;J$28),MASTER!$L:$L,0))&amp;"_ser_"&amp;TEXT(VALUE(SUBSTITUTE(SUBSTITUTE(TRIM(INDEX(MASTER!$M:$M,MATCH("Cryovial box 3: "&amp;($A34&amp;J$28),MASTER!$L:$L,0))),"ml",""),":",".")),"0.00")&amp;"_"&amp;TEXT(INDEX(MASTER!$E:$E,MATCH("Cryovial box 3: "&amp;($A34&amp;J$28),MASTER!$L:$L,0)),"mmddyy"),"")</f>
        <v/>
      </c>
      <c r="K34" s="4" t="str">
        <f>IFERROR(INDEX(MASTER!$A:$A,MATCH("Cryovial box 3: "&amp;($A34&amp;K$28),MASTER!$L:$L,0))&amp;"_ser_"&amp;TEXT(VALUE(SUBSTITUTE(SUBSTITUTE(TRIM(INDEX(MASTER!$M:$M,MATCH("Cryovial box 3: "&amp;($A34&amp;K$28),MASTER!$L:$L,0))),"ml",""),":",".")),"0.00")&amp;"_"&amp;TEXT(INDEX(MASTER!$E:$E,MATCH("Cryovial box 3: "&amp;($A34&amp;K$28),MASTER!$L:$L,0)),"mmddyy"),"")</f>
        <v/>
      </c>
    </row>
    <row r="35" spans="1:11" ht="20.149999999999999" customHeight="1" x14ac:dyDescent="0.3">
      <c r="A35" s="6" t="s">
        <v>35</v>
      </c>
      <c r="B35" s="4" t="str">
        <f>IFERROR(INDEX(MASTER!$A:$A,MATCH("Cryovial box 3: "&amp;($A35&amp;B$28),MASTER!$L:$L,0))&amp;"_ser_"&amp;TEXT(VALUE(SUBSTITUTE(SUBSTITUTE(TRIM(INDEX(MASTER!$M:$M,MATCH("Cryovial box 3: "&amp;($A35&amp;B$28),MASTER!$L:$L,0))),"ml",""),":",".")),"0.00")&amp;"_"&amp;TEXT(INDEX(MASTER!$E:$E,MATCH("Cryovial box 3: "&amp;($A35&amp;B$28),MASTER!$L:$L,0)),"mmddyy"),"")</f>
        <v/>
      </c>
      <c r="C35" s="4" t="str">
        <f>IFERROR(INDEX(MASTER!$A:$A,MATCH("Cryovial box 3: "&amp;($A35&amp;C$28),MASTER!$L:$L,0))&amp;"_ser_"&amp;TEXT(VALUE(SUBSTITUTE(SUBSTITUTE(TRIM(INDEX(MASTER!$M:$M,MATCH("Cryovial box 3: "&amp;($A35&amp;C$28),MASTER!$L:$L,0))),"ml",""),":",".")),"0.00")&amp;"_"&amp;TEXT(INDEX(MASTER!$E:$E,MATCH("Cryovial box 3: "&amp;($A35&amp;C$28),MASTER!$L:$L,0)),"mmddyy"),"")</f>
        <v/>
      </c>
      <c r="D35" s="4" t="str">
        <f>IFERROR(INDEX(MASTER!$A:$A,MATCH("Cryovial box 3: "&amp;($A35&amp;D$28),MASTER!$L:$L,0))&amp;"_ser_"&amp;TEXT(VALUE(SUBSTITUTE(SUBSTITUTE(TRIM(INDEX(MASTER!$M:$M,MATCH("Cryovial box 3: "&amp;($A35&amp;D$28),MASTER!$L:$L,0))),"ml",""),":",".")),"0.00")&amp;"_"&amp;TEXT(INDEX(MASTER!$E:$E,MATCH("Cryovial box 3: "&amp;($A35&amp;D$28),MASTER!$L:$L,0)),"mmddyy"),"")</f>
        <v/>
      </c>
      <c r="E35" s="4" t="str">
        <f>IFERROR(INDEX(MASTER!$A:$A,MATCH("Cryovial box 3: "&amp;($A35&amp;E$28),MASTER!$L:$L,0))&amp;"_ser_"&amp;TEXT(VALUE(SUBSTITUTE(SUBSTITUTE(TRIM(INDEX(MASTER!$M:$M,MATCH("Cryovial box 3: "&amp;($A35&amp;E$28),MASTER!$L:$L,0))),"ml",""),":",".")),"0.00")&amp;"_"&amp;TEXT(INDEX(MASTER!$E:$E,MATCH("Cryovial box 3: "&amp;($A35&amp;E$28),MASTER!$L:$L,0)),"mmddyy"),"")</f>
        <v/>
      </c>
      <c r="F35" s="4" t="str">
        <f>IFERROR(INDEX(MASTER!$A:$A,MATCH("Cryovial box 3: "&amp;($A35&amp;F$28),MASTER!$L:$L,0))&amp;"_ser_"&amp;TEXT(VALUE(SUBSTITUTE(SUBSTITUTE(TRIM(INDEX(MASTER!$M:$M,MATCH("Cryovial box 3: "&amp;($A35&amp;F$28),MASTER!$L:$L,0))),"ml",""),":",".")),"0.00")&amp;"_"&amp;TEXT(INDEX(MASTER!$E:$E,MATCH("Cryovial box 3: "&amp;($A35&amp;F$28),MASTER!$L:$L,0)),"mmddyy"),"")</f>
        <v/>
      </c>
      <c r="G35" s="4" t="str">
        <f>IFERROR(INDEX(MASTER!$A:$A,MATCH("Cryovial box 3: "&amp;($A35&amp;G$28),MASTER!$L:$L,0))&amp;"_ser_"&amp;TEXT(VALUE(SUBSTITUTE(SUBSTITUTE(TRIM(INDEX(MASTER!$M:$M,MATCH("Cryovial box 3: "&amp;($A35&amp;G$28),MASTER!$L:$L,0))),"ml",""),":",".")),"0.00")&amp;"_"&amp;TEXT(INDEX(MASTER!$E:$E,MATCH("Cryovial box 3: "&amp;($A35&amp;G$28),MASTER!$L:$L,0)),"mmddyy"),"")</f>
        <v/>
      </c>
      <c r="H35" s="4" t="str">
        <f>IFERROR(INDEX(MASTER!$A:$A,MATCH("Cryovial box 3: "&amp;($A35&amp;H$28),MASTER!$L:$L,0))&amp;"_ser_"&amp;TEXT(VALUE(SUBSTITUTE(SUBSTITUTE(TRIM(INDEX(MASTER!$M:$M,MATCH("Cryovial box 3: "&amp;($A35&amp;H$28),MASTER!$L:$L,0))),"ml",""),":",".")),"0.00")&amp;"_"&amp;TEXT(INDEX(MASTER!$E:$E,MATCH("Cryovial box 3: "&amp;($A35&amp;H$28),MASTER!$L:$L,0)),"mmddyy"),"")</f>
        <v/>
      </c>
      <c r="I35" s="4" t="str">
        <f>IFERROR(INDEX(MASTER!$A:$A,MATCH("Cryovial box 3: "&amp;($A35&amp;I$28),MASTER!$L:$L,0))&amp;"_ser_"&amp;TEXT(VALUE(SUBSTITUTE(SUBSTITUTE(TRIM(INDEX(MASTER!$M:$M,MATCH("Cryovial box 3: "&amp;($A35&amp;I$28),MASTER!$L:$L,0))),"ml",""),":",".")),"0.00")&amp;"_"&amp;TEXT(INDEX(MASTER!$E:$E,MATCH("Cryovial box 3: "&amp;($A35&amp;I$28),MASTER!$L:$L,0)),"mmddyy"),"")</f>
        <v/>
      </c>
      <c r="J35" s="4" t="str">
        <f>IFERROR(INDEX(MASTER!$A:$A,MATCH("Cryovial box 3: "&amp;($A35&amp;J$28),MASTER!$L:$L,0))&amp;"_ser_"&amp;TEXT(VALUE(SUBSTITUTE(SUBSTITUTE(TRIM(INDEX(MASTER!$M:$M,MATCH("Cryovial box 3: "&amp;($A35&amp;J$28),MASTER!$L:$L,0))),"ml",""),":",".")),"0.00")&amp;"_"&amp;TEXT(INDEX(MASTER!$E:$E,MATCH("Cryovial box 3: "&amp;($A35&amp;J$28),MASTER!$L:$L,0)),"mmddyy"),"")</f>
        <v/>
      </c>
      <c r="K35" s="4" t="str">
        <f>IFERROR(INDEX(MASTER!$A:$A,MATCH("Cryovial box 3: "&amp;($A35&amp;K$28),MASTER!$L:$L,0))&amp;"_ser_"&amp;TEXT(VALUE(SUBSTITUTE(SUBSTITUTE(TRIM(INDEX(MASTER!$M:$M,MATCH("Cryovial box 3: "&amp;($A35&amp;K$28),MASTER!$L:$L,0))),"ml",""),":",".")),"0.00")&amp;"_"&amp;TEXT(INDEX(MASTER!$E:$E,MATCH("Cryovial box 3: "&amp;($A35&amp;K$28),MASTER!$L:$L,0)),"mmddyy"),"")</f>
        <v/>
      </c>
    </row>
    <row r="36" spans="1:11" ht="20.149999999999999" customHeight="1" x14ac:dyDescent="0.3">
      <c r="A36" s="6" t="s">
        <v>36</v>
      </c>
      <c r="B36" s="4" t="str">
        <f>IFERROR(INDEX(MASTER!$A:$A,MATCH("Cryovial box 3: "&amp;($A36&amp;B$28),MASTER!$L:$L,0))&amp;"_ser_"&amp;TEXT(VALUE(SUBSTITUTE(SUBSTITUTE(TRIM(INDEX(MASTER!$M:$M,MATCH("Cryovial box 3: "&amp;($A36&amp;B$28),MASTER!$L:$L,0))),"ml",""),":",".")),"0.00")&amp;"_"&amp;TEXT(INDEX(MASTER!$E:$E,MATCH("Cryovial box 3: "&amp;($A36&amp;B$28),MASTER!$L:$L,0)),"mmddyy"),"")</f>
        <v/>
      </c>
      <c r="C36" s="4" t="str">
        <f>IFERROR(INDEX(MASTER!$A:$A,MATCH("Cryovial box 3: "&amp;($A36&amp;C$28),MASTER!$L:$L,0))&amp;"_ser_"&amp;TEXT(VALUE(SUBSTITUTE(SUBSTITUTE(TRIM(INDEX(MASTER!$M:$M,MATCH("Cryovial box 3: "&amp;($A36&amp;C$28),MASTER!$L:$L,0))),"ml",""),":",".")),"0.00")&amp;"_"&amp;TEXT(INDEX(MASTER!$E:$E,MATCH("Cryovial box 3: "&amp;($A36&amp;C$28),MASTER!$L:$L,0)),"mmddyy"),"")</f>
        <v/>
      </c>
      <c r="D36" s="4" t="str">
        <f>IFERROR(INDEX(MASTER!$A:$A,MATCH("Cryovial box 3: "&amp;($A36&amp;D$28),MASTER!$L:$L,0))&amp;"_ser_"&amp;TEXT(VALUE(SUBSTITUTE(SUBSTITUTE(TRIM(INDEX(MASTER!$M:$M,MATCH("Cryovial box 3: "&amp;($A36&amp;D$28),MASTER!$L:$L,0))),"ml",""),":",".")),"0.00")&amp;"_"&amp;TEXT(INDEX(MASTER!$E:$E,MATCH("Cryovial box 3: "&amp;($A36&amp;D$28),MASTER!$L:$L,0)),"mmddyy"),"")</f>
        <v/>
      </c>
      <c r="E36" s="4" t="str">
        <f>IFERROR(INDEX(MASTER!$A:$A,MATCH("Cryovial box 3: "&amp;($A36&amp;E$28),MASTER!$L:$L,0))&amp;"_ser_"&amp;TEXT(VALUE(SUBSTITUTE(SUBSTITUTE(TRIM(INDEX(MASTER!$M:$M,MATCH("Cryovial box 3: "&amp;($A36&amp;E$28),MASTER!$L:$L,0))),"ml",""),":",".")),"0.00")&amp;"_"&amp;TEXT(INDEX(MASTER!$E:$E,MATCH("Cryovial box 3: "&amp;($A36&amp;E$28),MASTER!$L:$L,0)),"mmddyy"),"")</f>
        <v/>
      </c>
      <c r="F36" s="4" t="str">
        <f>IFERROR(INDEX(MASTER!$A:$A,MATCH("Cryovial box 3: "&amp;($A36&amp;F$28),MASTER!$L:$L,0))&amp;"_ser_"&amp;TEXT(VALUE(SUBSTITUTE(SUBSTITUTE(TRIM(INDEX(MASTER!$M:$M,MATCH("Cryovial box 3: "&amp;($A36&amp;F$28),MASTER!$L:$L,0))),"ml",""),":",".")),"0.00")&amp;"_"&amp;TEXT(INDEX(MASTER!$E:$E,MATCH("Cryovial box 3: "&amp;($A36&amp;F$28),MASTER!$L:$L,0)),"mmddyy"),"")</f>
        <v/>
      </c>
      <c r="G36" s="4" t="str">
        <f>IFERROR(INDEX(MASTER!$A:$A,MATCH("Cryovial box 3: "&amp;($A36&amp;G$28),MASTER!$L:$L,0))&amp;"_ser_"&amp;TEXT(VALUE(SUBSTITUTE(SUBSTITUTE(TRIM(INDEX(MASTER!$M:$M,MATCH("Cryovial box 3: "&amp;($A36&amp;G$28),MASTER!$L:$L,0))),"ml",""),":",".")),"0.00")&amp;"_"&amp;TEXT(INDEX(MASTER!$E:$E,MATCH("Cryovial box 3: "&amp;($A36&amp;G$28),MASTER!$L:$L,0)),"mmddyy"),"")</f>
        <v/>
      </c>
      <c r="H36" s="4" t="str">
        <f>IFERROR(INDEX(MASTER!$A:$A,MATCH("Cryovial box 3: "&amp;($A36&amp;H$28),MASTER!$L:$L,0))&amp;"_ser_"&amp;TEXT(VALUE(SUBSTITUTE(SUBSTITUTE(TRIM(INDEX(MASTER!$M:$M,MATCH("Cryovial box 3: "&amp;($A36&amp;H$28),MASTER!$L:$L,0))),"ml",""),":",".")),"0.00")&amp;"_"&amp;TEXT(INDEX(MASTER!$E:$E,MATCH("Cryovial box 3: "&amp;($A36&amp;H$28),MASTER!$L:$L,0)),"mmddyy"),"")</f>
        <v/>
      </c>
      <c r="I36" s="4" t="str">
        <f>IFERROR(INDEX(MASTER!$A:$A,MATCH("Cryovial box 3: "&amp;($A36&amp;I$28),MASTER!$L:$L,0))&amp;"_ser_"&amp;TEXT(VALUE(SUBSTITUTE(SUBSTITUTE(TRIM(INDEX(MASTER!$M:$M,MATCH("Cryovial box 3: "&amp;($A36&amp;I$28),MASTER!$L:$L,0))),"ml",""),":",".")),"0.00")&amp;"_"&amp;TEXT(INDEX(MASTER!$E:$E,MATCH("Cryovial box 3: "&amp;($A36&amp;I$28),MASTER!$L:$L,0)),"mmddyy"),"")</f>
        <v/>
      </c>
      <c r="J36" s="4" t="str">
        <f>IFERROR(INDEX(MASTER!$A:$A,MATCH("Cryovial box 3: "&amp;($A36&amp;J$28),MASTER!$L:$L,0))&amp;"_ser_"&amp;TEXT(VALUE(SUBSTITUTE(SUBSTITUTE(TRIM(INDEX(MASTER!$M:$M,MATCH("Cryovial box 3: "&amp;($A36&amp;J$28),MASTER!$L:$L,0))),"ml",""),":",".")),"0.00")&amp;"_"&amp;TEXT(INDEX(MASTER!$E:$E,MATCH("Cryovial box 3: "&amp;($A36&amp;J$28),MASTER!$L:$L,0)),"mmddyy"),"")</f>
        <v/>
      </c>
      <c r="K36" s="4" t="str">
        <f>IFERROR(INDEX(MASTER!$A:$A,MATCH("Cryovial box 3: "&amp;($A36&amp;K$28),MASTER!$L:$L,0))&amp;"_ser_"&amp;TEXT(VALUE(SUBSTITUTE(SUBSTITUTE(TRIM(INDEX(MASTER!$M:$M,MATCH("Cryovial box 3: "&amp;($A36&amp;K$28),MASTER!$L:$L,0))),"ml",""),":",".")),"0.00")&amp;"_"&amp;TEXT(INDEX(MASTER!$E:$E,MATCH("Cryovial box 3: "&amp;($A36&amp;K$28),MASTER!$L:$L,0)),"mmddyy"),"")</f>
        <v/>
      </c>
    </row>
    <row r="37" spans="1:11" ht="20.149999999999999" customHeight="1" x14ac:dyDescent="0.3">
      <c r="A37" s="6" t="s">
        <v>100</v>
      </c>
      <c r="B37" s="4" t="str">
        <f>IFERROR(INDEX(MASTER!$A:$A,MATCH("Cryovial box 3: "&amp;($A37&amp;B$28),MASTER!$L:$L,0))&amp;"_ser_"&amp;TEXT(VALUE(SUBSTITUTE(SUBSTITUTE(TRIM(INDEX(MASTER!$M:$M,MATCH("Cryovial box 3: "&amp;($A37&amp;B$28),MASTER!$L:$L,0))),"ml",""),":",".")),"0.00")&amp;"_"&amp;TEXT(INDEX(MASTER!$E:$E,MATCH("Cryovial box 3: "&amp;($A37&amp;B$28),MASTER!$L:$L,0)),"mmddyy"),"")</f>
        <v/>
      </c>
      <c r="C37" s="4" t="str">
        <f>IFERROR(INDEX(MASTER!$A:$A,MATCH("Cryovial box 3: "&amp;($A37&amp;C$28),MASTER!$L:$L,0))&amp;"_ser_"&amp;TEXT(VALUE(SUBSTITUTE(SUBSTITUTE(TRIM(INDEX(MASTER!$M:$M,MATCH("Cryovial box 3: "&amp;($A37&amp;C$28),MASTER!$L:$L,0))),"ml",""),":",".")),"0.00")&amp;"_"&amp;TEXT(INDEX(MASTER!$E:$E,MATCH("Cryovial box 3: "&amp;($A37&amp;C$28),MASTER!$L:$L,0)),"mmddyy"),"")</f>
        <v/>
      </c>
      <c r="D37" s="4" t="str">
        <f>IFERROR(INDEX(MASTER!$A:$A,MATCH("Cryovial box 3: "&amp;($A37&amp;D$28),MASTER!$L:$L,0))&amp;"_ser_"&amp;TEXT(VALUE(SUBSTITUTE(SUBSTITUTE(TRIM(INDEX(MASTER!$M:$M,MATCH("Cryovial box 3: "&amp;($A37&amp;D$28),MASTER!$L:$L,0))),"ml",""),":",".")),"0.00")&amp;"_"&amp;TEXT(INDEX(MASTER!$E:$E,MATCH("Cryovial box 3: "&amp;($A37&amp;D$28),MASTER!$L:$L,0)),"mmddyy"),"")</f>
        <v/>
      </c>
      <c r="E37" s="4" t="str">
        <f>IFERROR(INDEX(MASTER!$A:$A,MATCH("Cryovial box 3: "&amp;($A37&amp;E$28),MASTER!$L:$L,0))&amp;"_ser_"&amp;TEXT(VALUE(SUBSTITUTE(SUBSTITUTE(TRIM(INDEX(MASTER!$M:$M,MATCH("Cryovial box 3: "&amp;($A37&amp;E$28),MASTER!$L:$L,0))),"ml",""),":",".")),"0.00")&amp;"_"&amp;TEXT(INDEX(MASTER!$E:$E,MATCH("Cryovial box 3: "&amp;($A37&amp;E$28),MASTER!$L:$L,0)),"mmddyy"),"")</f>
        <v/>
      </c>
      <c r="F37" s="4" t="str">
        <f>IFERROR(INDEX(MASTER!$A:$A,MATCH("Cryovial box 3: "&amp;($A37&amp;F$28),MASTER!$L:$L,0))&amp;"_ser_"&amp;TEXT(VALUE(SUBSTITUTE(SUBSTITUTE(TRIM(INDEX(MASTER!$M:$M,MATCH("Cryovial box 3: "&amp;($A37&amp;F$28),MASTER!$L:$L,0))),"ml",""),":",".")),"0.00")&amp;"_"&amp;TEXT(INDEX(MASTER!$E:$E,MATCH("Cryovial box 3: "&amp;($A37&amp;F$28),MASTER!$L:$L,0)),"mmddyy"),"")</f>
        <v/>
      </c>
      <c r="G37" s="4" t="str">
        <f>IFERROR(INDEX(MASTER!$A:$A,MATCH("Cryovial box 3: "&amp;($A37&amp;G$28),MASTER!$L:$L,0))&amp;"_ser_"&amp;TEXT(VALUE(SUBSTITUTE(SUBSTITUTE(TRIM(INDEX(MASTER!$M:$M,MATCH("Cryovial box 3: "&amp;($A37&amp;G$28),MASTER!$L:$L,0))),"ml",""),":",".")),"0.00")&amp;"_"&amp;TEXT(INDEX(MASTER!$E:$E,MATCH("Cryovial box 3: "&amp;($A37&amp;G$28),MASTER!$L:$L,0)),"mmddyy"),"")</f>
        <v/>
      </c>
      <c r="H37" s="4" t="str">
        <f>IFERROR(INDEX(MASTER!$A:$A,MATCH("Cryovial box 3: "&amp;($A37&amp;H$28),MASTER!$L:$L,0))&amp;"_ser_"&amp;TEXT(VALUE(SUBSTITUTE(SUBSTITUTE(TRIM(INDEX(MASTER!$M:$M,MATCH("Cryovial box 3: "&amp;($A37&amp;H$28),MASTER!$L:$L,0))),"ml",""),":",".")),"0.00")&amp;"_"&amp;TEXT(INDEX(MASTER!$E:$E,MATCH("Cryovial box 3: "&amp;($A37&amp;H$28),MASTER!$L:$L,0)),"mmddyy"),"")</f>
        <v/>
      </c>
      <c r="I37" s="4" t="str">
        <f>IFERROR(INDEX(MASTER!$A:$A,MATCH("Cryovial box 3: "&amp;($A37&amp;I$28),MASTER!$L:$L,0))&amp;"_ser_"&amp;TEXT(VALUE(SUBSTITUTE(SUBSTITUTE(TRIM(INDEX(MASTER!$M:$M,MATCH("Cryovial box 3: "&amp;($A37&amp;I$28),MASTER!$L:$L,0))),"ml",""),":",".")),"0.00")&amp;"_"&amp;TEXT(INDEX(MASTER!$E:$E,MATCH("Cryovial box 3: "&amp;($A37&amp;I$28),MASTER!$L:$L,0)),"mmddyy"),"")</f>
        <v/>
      </c>
      <c r="J37" s="4" t="str">
        <f>IFERROR(INDEX(MASTER!$A:$A,MATCH("Cryovial box 3: "&amp;($A37&amp;J$28),MASTER!$L:$L,0))&amp;"_ser_"&amp;TEXT(VALUE(SUBSTITUTE(SUBSTITUTE(TRIM(INDEX(MASTER!$M:$M,MATCH("Cryovial box 3: "&amp;($A37&amp;J$28),MASTER!$L:$L,0))),"ml",""),":",".")),"0.00")&amp;"_"&amp;TEXT(INDEX(MASTER!$E:$E,MATCH("Cryovial box 3: "&amp;($A37&amp;J$28),MASTER!$L:$L,0)),"mmddyy"),"")</f>
        <v/>
      </c>
      <c r="K37" s="4" t="str">
        <f>IFERROR(INDEX(MASTER!$A:$A,MATCH("Cryovial box 3: "&amp;($A37&amp;K$28),MASTER!$L:$L,0))&amp;"_ser_"&amp;TEXT(VALUE(SUBSTITUTE(SUBSTITUTE(TRIM(INDEX(MASTER!$M:$M,MATCH("Cryovial box 3: "&amp;($A37&amp;K$28),MASTER!$L:$L,0))),"ml",""),":",".")),"0.00")&amp;"_"&amp;TEXT(INDEX(MASTER!$E:$E,MATCH("Cryovial box 3: "&amp;($A37&amp;K$28),MASTER!$L:$L,0)),"mmddyy"),"")</f>
        <v/>
      </c>
    </row>
    <row r="38" spans="1:11" ht="20.149999999999999" customHeight="1" x14ac:dyDescent="0.3">
      <c r="A38" s="6" t="s">
        <v>101</v>
      </c>
      <c r="B38" s="4" t="str">
        <f>IFERROR(INDEX(MASTER!$A:$A,MATCH("Cryovial box 3: "&amp;($A38&amp;B$28),MASTER!$L:$L,0))&amp;"_ser_"&amp;TEXT(VALUE(SUBSTITUTE(SUBSTITUTE(TRIM(INDEX(MASTER!$M:$M,MATCH("Cryovial box 3: "&amp;($A38&amp;B$28),MASTER!$L:$L,0))),"ml",""),":",".")),"0.00")&amp;"_"&amp;TEXT(INDEX(MASTER!$E:$E,MATCH("Cryovial box 3: "&amp;($A38&amp;B$28),MASTER!$L:$L,0)),"mmddyy"),"")</f>
        <v/>
      </c>
      <c r="C38" s="4" t="str">
        <f>IFERROR(INDEX(MASTER!$A:$A,MATCH("Cryovial box 3: "&amp;($A38&amp;C$28),MASTER!$L:$L,0))&amp;"_ser_"&amp;TEXT(VALUE(SUBSTITUTE(SUBSTITUTE(TRIM(INDEX(MASTER!$M:$M,MATCH("Cryovial box 3: "&amp;($A38&amp;C$28),MASTER!$L:$L,0))),"ml",""),":",".")),"0.00")&amp;"_"&amp;TEXT(INDEX(MASTER!$E:$E,MATCH("Cryovial box 3: "&amp;($A38&amp;C$28),MASTER!$L:$L,0)),"mmddyy"),"")</f>
        <v/>
      </c>
      <c r="D38" s="4" t="str">
        <f>IFERROR(INDEX(MASTER!$A:$A,MATCH("Cryovial box 3: "&amp;($A38&amp;D$28),MASTER!$L:$L,0))&amp;"_ser_"&amp;TEXT(VALUE(SUBSTITUTE(SUBSTITUTE(TRIM(INDEX(MASTER!$M:$M,MATCH("Cryovial box 3: "&amp;($A38&amp;D$28),MASTER!$L:$L,0))),"ml",""),":",".")),"0.00")&amp;"_"&amp;TEXT(INDEX(MASTER!$E:$E,MATCH("Cryovial box 3: "&amp;($A38&amp;D$28),MASTER!$L:$L,0)),"mmddyy"),"")</f>
        <v/>
      </c>
      <c r="E38" s="4" t="str">
        <f>IFERROR(INDEX(MASTER!$A:$A,MATCH("Cryovial box 3: "&amp;($A38&amp;E$28),MASTER!$L:$L,0))&amp;"_ser_"&amp;TEXT(VALUE(SUBSTITUTE(SUBSTITUTE(TRIM(INDEX(MASTER!$M:$M,MATCH("Cryovial box 3: "&amp;($A38&amp;E$28),MASTER!$L:$L,0))),"ml",""),":",".")),"0.00")&amp;"_"&amp;TEXT(INDEX(MASTER!$E:$E,MATCH("Cryovial box 3: "&amp;($A38&amp;E$28),MASTER!$L:$L,0)),"mmddyy"),"")</f>
        <v/>
      </c>
      <c r="F38" s="4" t="str">
        <f>IFERROR(INDEX(MASTER!$A:$A,MATCH("Cryovial box 3: "&amp;($A38&amp;F$28),MASTER!$L:$L,0))&amp;"_ser_"&amp;TEXT(VALUE(SUBSTITUTE(SUBSTITUTE(TRIM(INDEX(MASTER!$M:$M,MATCH("Cryovial box 3: "&amp;($A38&amp;F$28),MASTER!$L:$L,0))),"ml",""),":",".")),"0.00")&amp;"_"&amp;TEXT(INDEX(MASTER!$E:$E,MATCH("Cryovial box 3: "&amp;($A38&amp;F$28),MASTER!$L:$L,0)),"mmddyy"),"")</f>
        <v/>
      </c>
      <c r="G38" s="4" t="str">
        <f>IFERROR(INDEX(MASTER!$A:$A,MATCH("Cryovial box 3: "&amp;($A38&amp;G$28),MASTER!$L:$L,0))&amp;"_ser_"&amp;TEXT(VALUE(SUBSTITUTE(SUBSTITUTE(TRIM(INDEX(MASTER!$M:$M,MATCH("Cryovial box 3: "&amp;($A38&amp;G$28),MASTER!$L:$L,0))),"ml",""),":",".")),"0.00")&amp;"_"&amp;TEXT(INDEX(MASTER!$E:$E,MATCH("Cryovial box 3: "&amp;($A38&amp;G$28),MASTER!$L:$L,0)),"mmddyy"),"")</f>
        <v/>
      </c>
      <c r="H38" s="4" t="str">
        <f>IFERROR(INDEX(MASTER!$A:$A,MATCH("Cryovial box 3: "&amp;($A38&amp;H$28),MASTER!$L:$L,0))&amp;"_ser_"&amp;TEXT(VALUE(SUBSTITUTE(SUBSTITUTE(TRIM(INDEX(MASTER!$M:$M,MATCH("Cryovial box 3: "&amp;($A38&amp;H$28),MASTER!$L:$L,0))),"ml",""),":",".")),"0.00")&amp;"_"&amp;TEXT(INDEX(MASTER!$E:$E,MATCH("Cryovial box 3: "&amp;($A38&amp;H$28),MASTER!$L:$L,0)),"mmddyy"),"")</f>
        <v/>
      </c>
      <c r="I38" s="4" t="str">
        <f>IFERROR(INDEX(MASTER!$A:$A,MATCH("Cryovial box 3: "&amp;($A38&amp;I$28),MASTER!$L:$L,0))&amp;"_ser_"&amp;TEXT(VALUE(SUBSTITUTE(SUBSTITUTE(TRIM(INDEX(MASTER!$M:$M,MATCH("Cryovial box 3: "&amp;($A38&amp;I$28),MASTER!$L:$L,0))),"ml",""),":",".")),"0.00")&amp;"_"&amp;TEXT(INDEX(MASTER!$E:$E,MATCH("Cryovial box 3: "&amp;($A38&amp;I$28),MASTER!$L:$L,0)),"mmddyy"),"")</f>
        <v/>
      </c>
      <c r="J38" s="4" t="str">
        <f>IFERROR(INDEX(MASTER!$A:$A,MATCH("Cryovial box 3: "&amp;($A38&amp;J$28),MASTER!$L:$L,0))&amp;"_ser_"&amp;TEXT(VALUE(SUBSTITUTE(SUBSTITUTE(TRIM(INDEX(MASTER!$M:$M,MATCH("Cryovial box 3: "&amp;($A38&amp;J$28),MASTER!$L:$L,0))),"ml",""),":",".")),"0.00")&amp;"_"&amp;TEXT(INDEX(MASTER!$E:$E,MATCH("Cryovial box 3: "&amp;($A38&amp;J$28),MASTER!$L:$L,0)),"mmddyy"),"")</f>
        <v/>
      </c>
      <c r="K38" s="4" t="str">
        <f>IFERROR(INDEX(MASTER!$A:$A,MATCH("Cryovial box 3: "&amp;($A38&amp;K$28),MASTER!$L:$L,0))&amp;"_ser_"&amp;TEXT(VALUE(SUBSTITUTE(SUBSTITUTE(TRIM(INDEX(MASTER!$M:$M,MATCH("Cryovial box 3: "&amp;($A38&amp;K$28),MASTER!$L:$L,0))),"ml",""),":",".")),"0.00")&amp;"_"&amp;TEXT(INDEX(MASTER!$E:$E,MATCH("Cryovial box 3: "&amp;($A38&amp;K$28),MASTER!$L:$L,0)),"mmddyy"),"")</f>
        <v/>
      </c>
    </row>
    <row r="39" spans="1:11" ht="20.149999999999999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0.149999999999999" customHeight="1" x14ac:dyDescent="0.3">
      <c r="A40" s="5"/>
      <c r="B40" s="31" t="s">
        <v>104</v>
      </c>
      <c r="C40" s="36"/>
      <c r="D40" s="36"/>
      <c r="E40" s="36"/>
      <c r="F40" s="36"/>
      <c r="G40" s="36"/>
      <c r="H40" s="36"/>
      <c r="I40" s="36"/>
      <c r="J40" s="36"/>
      <c r="K40" s="37"/>
    </row>
    <row r="41" spans="1:11" ht="20.149999999999999" customHeight="1" x14ac:dyDescent="0.3">
      <c r="A41" s="5"/>
      <c r="B41" s="6">
        <v>1</v>
      </c>
      <c r="C41" s="6">
        <v>2</v>
      </c>
      <c r="D41" s="6">
        <v>3</v>
      </c>
      <c r="E41" s="6">
        <v>4</v>
      </c>
      <c r="F41" s="6">
        <v>5</v>
      </c>
      <c r="G41" s="6">
        <v>6</v>
      </c>
      <c r="H41" s="6">
        <v>7</v>
      </c>
      <c r="I41" s="6">
        <v>8</v>
      </c>
      <c r="J41" s="6">
        <v>9</v>
      </c>
      <c r="K41" s="6">
        <v>10</v>
      </c>
    </row>
    <row r="42" spans="1:11" ht="20.149999999999999" customHeight="1" x14ac:dyDescent="0.3">
      <c r="A42" s="6" t="s">
        <v>30</v>
      </c>
      <c r="B42" s="4" t="str">
        <f>IFERROR(INDEX(MASTER!$A:$A,MATCH("Cryovial box 4: "&amp;($A42&amp;B$41),MASTER!$L:$L,0))&amp;"_ser_"&amp;TEXT(VALUE(SUBSTITUTE(SUBSTITUTE(TRIM(INDEX(MASTER!$M:$M,MATCH("Cryovial box 4: "&amp;($A42&amp;B$41),MASTER!$L:$L,0))),"ml",""),":",".")),"0.00")&amp;"_"&amp;TEXT(INDEX(MASTER!$E:$E,MATCH("Cryovial box 4: "&amp;($A42&amp;B$41),MASTER!$L:$L,0)),"mmddyy"),"")</f>
        <v/>
      </c>
      <c r="C42" s="4" t="str">
        <f>IFERROR(INDEX(MASTER!$A:$A,MATCH("Cryovial box 4: "&amp;($A42&amp;C$41),MASTER!$L:$L,0))&amp;"_ser_"&amp;TEXT(VALUE(SUBSTITUTE(SUBSTITUTE(TRIM(INDEX(MASTER!$M:$M,MATCH("Cryovial box 4: "&amp;($A42&amp;C$41),MASTER!$L:$L,0))),"ml",""),":",".")),"0.00")&amp;"_"&amp;TEXT(INDEX(MASTER!$E:$E,MATCH("Cryovial box 4: "&amp;($A42&amp;C$41),MASTER!$L:$L,0)),"mmddyy"),"")</f>
        <v/>
      </c>
      <c r="D42" s="4" t="str">
        <f>IFERROR(INDEX(MASTER!$A:$A,MATCH("Cryovial box 4: "&amp;($A42&amp;D$41),MASTER!$L:$L,0))&amp;"_ser_"&amp;TEXT(VALUE(SUBSTITUTE(SUBSTITUTE(TRIM(INDEX(MASTER!$M:$M,MATCH("Cryovial box 4: "&amp;($A42&amp;D$41),MASTER!$L:$L,0))),"ml",""),":",".")),"0.00")&amp;"_"&amp;TEXT(INDEX(MASTER!$E:$E,MATCH("Cryovial box 4: "&amp;($A42&amp;D$41),MASTER!$L:$L,0)),"mmddyy"),"")</f>
        <v/>
      </c>
      <c r="E42" s="4" t="str">
        <f>IFERROR(INDEX(MASTER!$A:$A,MATCH("Cryovial box 4: "&amp;($A42&amp;E$41),MASTER!$L:$L,0))&amp;"_ser_"&amp;TEXT(VALUE(SUBSTITUTE(SUBSTITUTE(TRIM(INDEX(MASTER!$M:$M,MATCH("Cryovial box 4: "&amp;($A42&amp;E$41),MASTER!$L:$L,0))),"ml",""),":",".")),"0.00")&amp;"_"&amp;TEXT(INDEX(MASTER!$E:$E,MATCH("Cryovial box 4: "&amp;($A42&amp;E$41),MASTER!$L:$L,0)),"mmddyy"),"")</f>
        <v/>
      </c>
      <c r="F42" s="4" t="str">
        <f>IFERROR(INDEX(MASTER!$A:$A,MATCH("Cryovial box 4: "&amp;($A42&amp;F$41),MASTER!$L:$L,0))&amp;"_ser_"&amp;TEXT(VALUE(SUBSTITUTE(SUBSTITUTE(TRIM(INDEX(MASTER!$M:$M,MATCH("Cryovial box 4: "&amp;($A42&amp;F$41),MASTER!$L:$L,0))),"ml",""),":",".")),"0.00")&amp;"_"&amp;TEXT(INDEX(MASTER!$E:$E,MATCH("Cryovial box 4: "&amp;($A42&amp;F$41),MASTER!$L:$L,0)),"mmddyy"),"")</f>
        <v/>
      </c>
      <c r="G42" s="4" t="str">
        <f>IFERROR(INDEX(MASTER!$A:$A,MATCH("Cryovial box 4: "&amp;($A42&amp;G$41),MASTER!$L:$L,0))&amp;"_ser_"&amp;TEXT(VALUE(SUBSTITUTE(SUBSTITUTE(TRIM(INDEX(MASTER!$M:$M,MATCH("Cryovial box 4: "&amp;($A42&amp;G$41),MASTER!$L:$L,0))),"ml",""),":",".")),"0.00")&amp;"_"&amp;TEXT(INDEX(MASTER!$E:$E,MATCH("Cryovial box 4: "&amp;($A42&amp;G$41),MASTER!$L:$L,0)),"mmddyy"),"")</f>
        <v/>
      </c>
      <c r="H42" s="4" t="str">
        <f>IFERROR(INDEX(MASTER!$A:$A,MATCH("Cryovial box 4: "&amp;($A42&amp;H$41),MASTER!$L:$L,0))&amp;"_ser_"&amp;TEXT(VALUE(SUBSTITUTE(SUBSTITUTE(TRIM(INDEX(MASTER!$M:$M,MATCH("Cryovial box 4: "&amp;($A42&amp;H$41),MASTER!$L:$L,0))),"ml",""),":",".")),"0.00")&amp;"_"&amp;TEXT(INDEX(MASTER!$E:$E,MATCH("Cryovial box 4: "&amp;($A42&amp;H$41),MASTER!$L:$L,0)),"mmddyy"),"")</f>
        <v/>
      </c>
      <c r="I42" s="4" t="str">
        <f>IFERROR(INDEX(MASTER!$A:$A,MATCH("Cryovial box 4: "&amp;($A42&amp;I$41),MASTER!$L:$L,0))&amp;"_ser_"&amp;TEXT(VALUE(SUBSTITUTE(SUBSTITUTE(TRIM(INDEX(MASTER!$M:$M,MATCH("Cryovial box 4: "&amp;($A42&amp;I$41),MASTER!$L:$L,0))),"ml",""),":",".")),"0.00")&amp;"_"&amp;TEXT(INDEX(MASTER!$E:$E,MATCH("Cryovial box 4: "&amp;($A42&amp;I$41),MASTER!$L:$L,0)),"mmddyy"),"")</f>
        <v/>
      </c>
      <c r="J42" s="4" t="str">
        <f>IFERROR(INDEX(MASTER!$A:$A,MATCH("Cryovial box 4: "&amp;($A42&amp;J$41),MASTER!$L:$L,0))&amp;"_ser_"&amp;TEXT(VALUE(SUBSTITUTE(SUBSTITUTE(TRIM(INDEX(MASTER!$M:$M,MATCH("Cryovial box 4: "&amp;($A42&amp;J$41),MASTER!$L:$L,0))),"ml",""),":",".")),"0.00")&amp;"_"&amp;TEXT(INDEX(MASTER!$E:$E,MATCH("Cryovial box 4: "&amp;($A42&amp;J$41),MASTER!$L:$L,0)),"mmddyy"),"")</f>
        <v/>
      </c>
      <c r="K42" s="4" t="str">
        <f>IFERROR(INDEX(MASTER!$A:$A,MATCH("Cryovial box 4: "&amp;($A42&amp;K$41),MASTER!$L:$L,0))&amp;"_ser_"&amp;TEXT(VALUE(SUBSTITUTE(SUBSTITUTE(TRIM(INDEX(MASTER!$M:$M,MATCH("Cryovial box 4: "&amp;($A42&amp;K$41),MASTER!$L:$L,0))),"ml",""),":",".")),"0.00")&amp;"_"&amp;TEXT(INDEX(MASTER!$E:$E,MATCH("Cryovial box 4: "&amp;($A42&amp;K$41),MASTER!$L:$L,0)),"mmddyy"),"")</f>
        <v/>
      </c>
    </row>
    <row r="43" spans="1:11" ht="14.15" customHeight="1" x14ac:dyDescent="0.3">
      <c r="A43" s="6" t="s">
        <v>31</v>
      </c>
      <c r="B43" s="4" t="str">
        <f>IFERROR(INDEX(MASTER!$A:$A,MATCH("Cryovial box 4: "&amp;($A43&amp;B$41),MASTER!$L:$L,0))&amp;"_ser_"&amp;TEXT(VALUE(SUBSTITUTE(SUBSTITUTE(TRIM(INDEX(MASTER!$M:$M,MATCH("Cryovial box 4: "&amp;($A43&amp;B$41),MASTER!$L:$L,0))),"ml",""),":",".")),"0.00")&amp;"_"&amp;TEXT(INDEX(MASTER!$E:$E,MATCH("Cryovial box 4: "&amp;($A43&amp;B$41),MASTER!$L:$L,0)),"mmddyy"),"")</f>
        <v/>
      </c>
      <c r="C43" s="4" t="str">
        <f>IFERROR(INDEX(MASTER!$A:$A,MATCH("Cryovial box 4: "&amp;($A43&amp;C$41),MASTER!$L:$L,0))&amp;"_ser_"&amp;TEXT(VALUE(SUBSTITUTE(SUBSTITUTE(TRIM(INDEX(MASTER!$M:$M,MATCH("Cryovial box 4: "&amp;($A43&amp;C$41),MASTER!$L:$L,0))),"ml",""),":",".")),"0.00")&amp;"_"&amp;TEXT(INDEX(MASTER!$E:$E,MATCH("Cryovial box 4: "&amp;($A43&amp;C$41),MASTER!$L:$L,0)),"mmddyy"),"")</f>
        <v/>
      </c>
      <c r="D43" s="4" t="str">
        <f>IFERROR(INDEX(MASTER!$A:$A,MATCH("Cryovial box 4: "&amp;($A43&amp;D$41),MASTER!$L:$L,0))&amp;"_ser_"&amp;TEXT(VALUE(SUBSTITUTE(SUBSTITUTE(TRIM(INDEX(MASTER!$M:$M,MATCH("Cryovial box 4: "&amp;($A43&amp;D$41),MASTER!$L:$L,0))),"ml",""),":",".")),"0.00")&amp;"_"&amp;TEXT(INDEX(MASTER!$E:$E,MATCH("Cryovial box 4: "&amp;($A43&amp;D$41),MASTER!$L:$L,0)),"mmddyy"),"")</f>
        <v/>
      </c>
      <c r="E43" s="4" t="str">
        <f>IFERROR(INDEX(MASTER!$A:$A,MATCH("Cryovial box 4: "&amp;($A43&amp;E$41),MASTER!$L:$L,0))&amp;"_ser_"&amp;TEXT(VALUE(SUBSTITUTE(SUBSTITUTE(TRIM(INDEX(MASTER!$M:$M,MATCH("Cryovial box 4: "&amp;($A43&amp;E$41),MASTER!$L:$L,0))),"ml",""),":",".")),"0.00")&amp;"_"&amp;TEXT(INDEX(MASTER!$E:$E,MATCH("Cryovial box 4: "&amp;($A43&amp;E$41),MASTER!$L:$L,0)),"mmddyy"),"")</f>
        <v/>
      </c>
      <c r="F43" s="4" t="str">
        <f>IFERROR(INDEX(MASTER!$A:$A,MATCH("Cryovial box 4: "&amp;($A43&amp;F$41),MASTER!$L:$L,0))&amp;"_ser_"&amp;TEXT(VALUE(SUBSTITUTE(SUBSTITUTE(TRIM(INDEX(MASTER!$M:$M,MATCH("Cryovial box 4: "&amp;($A43&amp;F$41),MASTER!$L:$L,0))),"ml",""),":",".")),"0.00")&amp;"_"&amp;TEXT(INDEX(MASTER!$E:$E,MATCH("Cryovial box 4: "&amp;($A43&amp;F$41),MASTER!$L:$L,0)),"mmddyy"),"")</f>
        <v/>
      </c>
      <c r="G43" s="4" t="str">
        <f>IFERROR(INDEX(MASTER!$A:$A,MATCH("Cryovial box 4: "&amp;($A43&amp;G$41),MASTER!$L:$L,0))&amp;"_ser_"&amp;TEXT(VALUE(SUBSTITUTE(SUBSTITUTE(TRIM(INDEX(MASTER!$M:$M,MATCH("Cryovial box 4: "&amp;($A43&amp;G$41),MASTER!$L:$L,0))),"ml",""),":",".")),"0.00")&amp;"_"&amp;TEXT(INDEX(MASTER!$E:$E,MATCH("Cryovial box 4: "&amp;($A43&amp;G$41),MASTER!$L:$L,0)),"mmddyy"),"")</f>
        <v/>
      </c>
      <c r="H43" s="4" t="str">
        <f>IFERROR(INDEX(MASTER!$A:$A,MATCH("Cryovial box 4: "&amp;($A43&amp;H$41),MASTER!$L:$L,0))&amp;"_ser_"&amp;TEXT(VALUE(SUBSTITUTE(SUBSTITUTE(TRIM(INDEX(MASTER!$M:$M,MATCH("Cryovial box 4: "&amp;($A43&amp;H$41),MASTER!$L:$L,0))),"ml",""),":",".")),"0.00")&amp;"_"&amp;TEXT(INDEX(MASTER!$E:$E,MATCH("Cryovial box 4: "&amp;($A43&amp;H$41),MASTER!$L:$L,0)),"mmddyy"),"")</f>
        <v/>
      </c>
      <c r="I43" s="4" t="str">
        <f>IFERROR(INDEX(MASTER!$A:$A,MATCH("Cryovial box 4: "&amp;($A43&amp;I$41),MASTER!$L:$L,0))&amp;"_ser_"&amp;TEXT(VALUE(SUBSTITUTE(SUBSTITUTE(TRIM(INDEX(MASTER!$M:$M,MATCH("Cryovial box 4: "&amp;($A43&amp;I$41),MASTER!$L:$L,0))),"ml",""),":",".")),"0.00")&amp;"_"&amp;TEXT(INDEX(MASTER!$E:$E,MATCH("Cryovial box 4: "&amp;($A43&amp;I$41),MASTER!$L:$L,0)),"mmddyy"),"")</f>
        <v/>
      </c>
      <c r="J43" s="4" t="str">
        <f>IFERROR(INDEX(MASTER!$A:$A,MATCH("Cryovial box 4: "&amp;($A43&amp;J$41),MASTER!$L:$L,0))&amp;"_ser_"&amp;TEXT(VALUE(SUBSTITUTE(SUBSTITUTE(TRIM(INDEX(MASTER!$M:$M,MATCH("Cryovial box 4: "&amp;($A43&amp;J$41),MASTER!$L:$L,0))),"ml",""),":",".")),"0.00")&amp;"_"&amp;TEXT(INDEX(MASTER!$E:$E,MATCH("Cryovial box 4: "&amp;($A43&amp;J$41),MASTER!$L:$L,0)),"mmddyy"),"")</f>
        <v/>
      </c>
      <c r="K43" s="4" t="str">
        <f>IFERROR(INDEX(MASTER!$A:$A,MATCH("Cryovial box 4: "&amp;($A43&amp;K$41),MASTER!$L:$L,0))&amp;"_ser_"&amp;TEXT(VALUE(SUBSTITUTE(SUBSTITUTE(TRIM(INDEX(MASTER!$M:$M,MATCH("Cryovial box 4: "&amp;($A43&amp;K$41),MASTER!$L:$L,0))),"ml",""),":",".")),"0.00")&amp;"_"&amp;TEXT(INDEX(MASTER!$E:$E,MATCH("Cryovial box 4: "&amp;($A43&amp;K$41),MASTER!$L:$L,0)),"mmddyy"),"")</f>
        <v/>
      </c>
    </row>
    <row r="44" spans="1:11" ht="14.15" customHeight="1" x14ac:dyDescent="0.3">
      <c r="A44" s="6" t="s">
        <v>32</v>
      </c>
      <c r="B44" s="4" t="str">
        <f>IFERROR(INDEX(MASTER!$A:$A,MATCH("Cryovial box 4: "&amp;($A44&amp;B$41),MASTER!$L:$L,0))&amp;"_ser_"&amp;TEXT(VALUE(SUBSTITUTE(SUBSTITUTE(TRIM(INDEX(MASTER!$M:$M,MATCH("Cryovial box 4: "&amp;($A44&amp;B$41),MASTER!$L:$L,0))),"ml",""),":",".")),"0.00")&amp;"_"&amp;TEXT(INDEX(MASTER!$E:$E,MATCH("Cryovial box 4: "&amp;($A44&amp;B$41),MASTER!$L:$L,0)),"mmddyy"),"")</f>
        <v/>
      </c>
      <c r="C44" s="4" t="str">
        <f>IFERROR(INDEX(MASTER!$A:$A,MATCH("Cryovial box 4: "&amp;($A44&amp;C$41),MASTER!$L:$L,0))&amp;"_ser_"&amp;TEXT(VALUE(SUBSTITUTE(SUBSTITUTE(TRIM(INDEX(MASTER!$M:$M,MATCH("Cryovial box 4: "&amp;($A44&amp;C$41),MASTER!$L:$L,0))),"ml",""),":",".")),"0.00")&amp;"_"&amp;TEXT(INDEX(MASTER!$E:$E,MATCH("Cryovial box 4: "&amp;($A44&amp;C$41),MASTER!$L:$L,0)),"mmddyy"),"")</f>
        <v/>
      </c>
      <c r="D44" s="4" t="str">
        <f>IFERROR(INDEX(MASTER!$A:$A,MATCH("Cryovial box 4: "&amp;($A44&amp;D$41),MASTER!$L:$L,0))&amp;"_ser_"&amp;TEXT(VALUE(SUBSTITUTE(SUBSTITUTE(TRIM(INDEX(MASTER!$M:$M,MATCH("Cryovial box 4: "&amp;($A44&amp;D$41),MASTER!$L:$L,0))),"ml",""),":",".")),"0.00")&amp;"_"&amp;TEXT(INDEX(MASTER!$E:$E,MATCH("Cryovial box 4: "&amp;($A44&amp;D$41),MASTER!$L:$L,0)),"mmddyy"),"")</f>
        <v/>
      </c>
      <c r="E44" s="4" t="str">
        <f>IFERROR(INDEX(MASTER!$A:$A,MATCH("Cryovial box 4: "&amp;($A44&amp;E$41),MASTER!$L:$L,0))&amp;"_ser_"&amp;TEXT(VALUE(SUBSTITUTE(SUBSTITUTE(TRIM(INDEX(MASTER!$M:$M,MATCH("Cryovial box 4: "&amp;($A44&amp;E$41),MASTER!$L:$L,0))),"ml",""),":",".")),"0.00")&amp;"_"&amp;TEXT(INDEX(MASTER!$E:$E,MATCH("Cryovial box 4: "&amp;($A44&amp;E$41),MASTER!$L:$L,0)),"mmddyy"),"")</f>
        <v/>
      </c>
      <c r="F44" s="4" t="str">
        <f>IFERROR(INDEX(MASTER!$A:$A,MATCH("Cryovial box 4: "&amp;($A44&amp;F$41),MASTER!$L:$L,0))&amp;"_ser_"&amp;TEXT(VALUE(SUBSTITUTE(SUBSTITUTE(TRIM(INDEX(MASTER!$M:$M,MATCH("Cryovial box 4: "&amp;($A44&amp;F$41),MASTER!$L:$L,0))),"ml",""),":",".")),"0.00")&amp;"_"&amp;TEXT(INDEX(MASTER!$E:$E,MATCH("Cryovial box 4: "&amp;($A44&amp;F$41),MASTER!$L:$L,0)),"mmddyy"),"")</f>
        <v/>
      </c>
      <c r="G44" s="4" t="str">
        <f>IFERROR(INDEX(MASTER!$A:$A,MATCH("Cryovial box 4: "&amp;($A44&amp;G$41),MASTER!$L:$L,0))&amp;"_ser_"&amp;TEXT(VALUE(SUBSTITUTE(SUBSTITUTE(TRIM(INDEX(MASTER!$M:$M,MATCH("Cryovial box 4: "&amp;($A44&amp;G$41),MASTER!$L:$L,0))),"ml",""),":",".")),"0.00")&amp;"_"&amp;TEXT(INDEX(MASTER!$E:$E,MATCH("Cryovial box 4: "&amp;($A44&amp;G$41),MASTER!$L:$L,0)),"mmddyy"),"")</f>
        <v/>
      </c>
      <c r="H44" s="4" t="str">
        <f>IFERROR(INDEX(MASTER!$A:$A,MATCH("Cryovial box 4: "&amp;($A44&amp;H$41),MASTER!$L:$L,0))&amp;"_ser_"&amp;TEXT(VALUE(SUBSTITUTE(SUBSTITUTE(TRIM(INDEX(MASTER!$M:$M,MATCH("Cryovial box 4: "&amp;($A44&amp;H$41),MASTER!$L:$L,0))),"ml",""),":",".")),"0.00")&amp;"_"&amp;TEXT(INDEX(MASTER!$E:$E,MATCH("Cryovial box 4: "&amp;($A44&amp;H$41),MASTER!$L:$L,0)),"mmddyy"),"")</f>
        <v/>
      </c>
      <c r="I44" s="4" t="str">
        <f>IFERROR(INDEX(MASTER!$A:$A,MATCH("Cryovial box 4: "&amp;($A44&amp;I$41),MASTER!$L:$L,0))&amp;"_ser_"&amp;TEXT(VALUE(SUBSTITUTE(SUBSTITUTE(TRIM(INDEX(MASTER!$M:$M,MATCH("Cryovial box 4: "&amp;($A44&amp;I$41),MASTER!$L:$L,0))),"ml",""),":",".")),"0.00")&amp;"_"&amp;TEXT(INDEX(MASTER!$E:$E,MATCH("Cryovial box 4: "&amp;($A44&amp;I$41),MASTER!$L:$L,0)),"mmddyy"),"")</f>
        <v/>
      </c>
      <c r="J44" s="4" t="str">
        <f>IFERROR(INDEX(MASTER!$A:$A,MATCH("Cryovial box 4: "&amp;($A44&amp;J$41),MASTER!$L:$L,0))&amp;"_ser_"&amp;TEXT(VALUE(SUBSTITUTE(SUBSTITUTE(TRIM(INDEX(MASTER!$M:$M,MATCH("Cryovial box 4: "&amp;($A44&amp;J$41),MASTER!$L:$L,0))),"ml",""),":",".")),"0.00")&amp;"_"&amp;TEXT(INDEX(MASTER!$E:$E,MATCH("Cryovial box 4: "&amp;($A44&amp;J$41),MASTER!$L:$L,0)),"mmddyy"),"")</f>
        <v/>
      </c>
      <c r="K44" s="4" t="str">
        <f>IFERROR(INDEX(MASTER!$A:$A,MATCH("Cryovial box 4: "&amp;($A44&amp;K$41),MASTER!$L:$L,0))&amp;"_ser_"&amp;TEXT(VALUE(SUBSTITUTE(SUBSTITUTE(TRIM(INDEX(MASTER!$M:$M,MATCH("Cryovial box 4: "&amp;($A44&amp;K$41),MASTER!$L:$L,0))),"ml",""),":",".")),"0.00")&amp;"_"&amp;TEXT(INDEX(MASTER!$E:$E,MATCH("Cryovial box 4: "&amp;($A44&amp;K$41),MASTER!$L:$L,0)),"mmddyy"),"")</f>
        <v/>
      </c>
    </row>
    <row r="45" spans="1:11" ht="14.15" customHeight="1" x14ac:dyDescent="0.3">
      <c r="A45" s="6" t="s">
        <v>33</v>
      </c>
      <c r="B45" s="4" t="str">
        <f>IFERROR(INDEX(MASTER!$A:$A,MATCH("Cryovial box 4: "&amp;($A45&amp;B$41),MASTER!$L:$L,0))&amp;"_ser_"&amp;TEXT(VALUE(SUBSTITUTE(SUBSTITUTE(TRIM(INDEX(MASTER!$M:$M,MATCH("Cryovial box 4: "&amp;($A45&amp;B$41),MASTER!$L:$L,0))),"ml",""),":",".")),"0.00")&amp;"_"&amp;TEXT(INDEX(MASTER!$E:$E,MATCH("Cryovial box 4: "&amp;($A45&amp;B$41),MASTER!$L:$L,0)),"mmddyy"),"")</f>
        <v/>
      </c>
      <c r="C45" s="4" t="str">
        <f>IFERROR(INDEX(MASTER!$A:$A,MATCH("Cryovial box 4: "&amp;($A45&amp;C$41),MASTER!$L:$L,0))&amp;"_ser_"&amp;TEXT(VALUE(SUBSTITUTE(SUBSTITUTE(TRIM(INDEX(MASTER!$M:$M,MATCH("Cryovial box 4: "&amp;($A45&amp;C$41),MASTER!$L:$L,0))),"ml",""),":",".")),"0.00")&amp;"_"&amp;TEXT(INDEX(MASTER!$E:$E,MATCH("Cryovial box 4: "&amp;($A45&amp;C$41),MASTER!$L:$L,0)),"mmddyy"),"")</f>
        <v/>
      </c>
      <c r="D45" s="4" t="str">
        <f>IFERROR(INDEX(MASTER!$A:$A,MATCH("Cryovial box 4: "&amp;($A45&amp;D$41),MASTER!$L:$L,0))&amp;"_ser_"&amp;TEXT(VALUE(SUBSTITUTE(SUBSTITUTE(TRIM(INDEX(MASTER!$M:$M,MATCH("Cryovial box 4: "&amp;($A45&amp;D$41),MASTER!$L:$L,0))),"ml",""),":",".")),"0.00")&amp;"_"&amp;TEXT(INDEX(MASTER!$E:$E,MATCH("Cryovial box 4: "&amp;($A45&amp;D$41),MASTER!$L:$L,0)),"mmddyy"),"")</f>
        <v/>
      </c>
      <c r="E45" s="4" t="str">
        <f>IFERROR(INDEX(MASTER!$A:$A,MATCH("Cryovial box 4: "&amp;($A45&amp;E$41),MASTER!$L:$L,0))&amp;"_ser_"&amp;TEXT(VALUE(SUBSTITUTE(SUBSTITUTE(TRIM(INDEX(MASTER!$M:$M,MATCH("Cryovial box 4: "&amp;($A45&amp;E$41),MASTER!$L:$L,0))),"ml",""),":",".")),"0.00")&amp;"_"&amp;TEXT(INDEX(MASTER!$E:$E,MATCH("Cryovial box 4: "&amp;($A45&amp;E$41),MASTER!$L:$L,0)),"mmddyy"),"")</f>
        <v/>
      </c>
      <c r="F45" s="4" t="str">
        <f>IFERROR(INDEX(MASTER!$A:$A,MATCH("Cryovial box 4: "&amp;($A45&amp;F$41),MASTER!$L:$L,0))&amp;"_ser_"&amp;TEXT(VALUE(SUBSTITUTE(SUBSTITUTE(TRIM(INDEX(MASTER!$M:$M,MATCH("Cryovial box 4: "&amp;($A45&amp;F$41),MASTER!$L:$L,0))),"ml",""),":",".")),"0.00")&amp;"_"&amp;TEXT(INDEX(MASTER!$E:$E,MATCH("Cryovial box 4: "&amp;($A45&amp;F$41),MASTER!$L:$L,0)),"mmddyy"),"")</f>
        <v/>
      </c>
      <c r="G45" s="4" t="str">
        <f>IFERROR(INDEX(MASTER!$A:$A,MATCH("Cryovial box 4: "&amp;($A45&amp;G$41),MASTER!$L:$L,0))&amp;"_ser_"&amp;TEXT(VALUE(SUBSTITUTE(SUBSTITUTE(TRIM(INDEX(MASTER!$M:$M,MATCH("Cryovial box 4: "&amp;($A45&amp;G$41),MASTER!$L:$L,0))),"ml",""),":",".")),"0.00")&amp;"_"&amp;TEXT(INDEX(MASTER!$E:$E,MATCH("Cryovial box 4: "&amp;($A45&amp;G$41),MASTER!$L:$L,0)),"mmddyy"),"")</f>
        <v/>
      </c>
      <c r="H45" s="4" t="str">
        <f>IFERROR(INDEX(MASTER!$A:$A,MATCH("Cryovial box 4: "&amp;($A45&amp;H$41),MASTER!$L:$L,0))&amp;"_ser_"&amp;TEXT(VALUE(SUBSTITUTE(SUBSTITUTE(TRIM(INDEX(MASTER!$M:$M,MATCH("Cryovial box 4: "&amp;($A45&amp;H$41),MASTER!$L:$L,0))),"ml",""),":",".")),"0.00")&amp;"_"&amp;TEXT(INDEX(MASTER!$E:$E,MATCH("Cryovial box 4: "&amp;($A45&amp;H$41),MASTER!$L:$L,0)),"mmddyy"),"")</f>
        <v/>
      </c>
      <c r="I45" s="4" t="str">
        <f>IFERROR(INDEX(MASTER!$A:$A,MATCH("Cryovial box 4: "&amp;($A45&amp;I$41),MASTER!$L:$L,0))&amp;"_ser_"&amp;TEXT(VALUE(SUBSTITUTE(SUBSTITUTE(TRIM(INDEX(MASTER!$M:$M,MATCH("Cryovial box 4: "&amp;($A45&amp;I$41),MASTER!$L:$L,0))),"ml",""),":",".")),"0.00")&amp;"_"&amp;TEXT(INDEX(MASTER!$E:$E,MATCH("Cryovial box 4: "&amp;($A45&amp;I$41),MASTER!$L:$L,0)),"mmddyy"),"")</f>
        <v/>
      </c>
      <c r="J45" s="4" t="str">
        <f>IFERROR(INDEX(MASTER!$A:$A,MATCH("Cryovial box 4: "&amp;($A45&amp;J$41),MASTER!$L:$L,0))&amp;"_ser_"&amp;TEXT(VALUE(SUBSTITUTE(SUBSTITUTE(TRIM(INDEX(MASTER!$M:$M,MATCH("Cryovial box 4: "&amp;($A45&amp;J$41),MASTER!$L:$L,0))),"ml",""),":",".")),"0.00")&amp;"_"&amp;TEXT(INDEX(MASTER!$E:$E,MATCH("Cryovial box 4: "&amp;($A45&amp;J$41),MASTER!$L:$L,0)),"mmddyy"),"")</f>
        <v/>
      </c>
      <c r="K45" s="4" t="str">
        <f>IFERROR(INDEX(MASTER!$A:$A,MATCH("Cryovial box 4: "&amp;($A45&amp;K$41),MASTER!$L:$L,0))&amp;"_ser_"&amp;TEXT(VALUE(SUBSTITUTE(SUBSTITUTE(TRIM(INDEX(MASTER!$M:$M,MATCH("Cryovial box 4: "&amp;($A45&amp;K$41),MASTER!$L:$L,0))),"ml",""),":",".")),"0.00")&amp;"_"&amp;TEXT(INDEX(MASTER!$E:$E,MATCH("Cryovial box 4: "&amp;($A45&amp;K$41),MASTER!$L:$L,0)),"mmddyy"),"")</f>
        <v/>
      </c>
    </row>
    <row r="46" spans="1:11" ht="20.149999999999999" customHeight="1" x14ac:dyDescent="0.3">
      <c r="A46" s="6" t="s">
        <v>34</v>
      </c>
      <c r="B46" s="4" t="str">
        <f>IFERROR(INDEX(MASTER!$A:$A,MATCH("Cryovial box 4: "&amp;($A46&amp;B$41),MASTER!$L:$L,0))&amp;"_ser_"&amp;TEXT(VALUE(SUBSTITUTE(SUBSTITUTE(TRIM(INDEX(MASTER!$M:$M,MATCH("Cryovial box 4: "&amp;($A46&amp;B$41),MASTER!$L:$L,0))),"ml",""),":",".")),"0.00")&amp;"_"&amp;TEXT(INDEX(MASTER!$E:$E,MATCH("Cryovial box 4: "&amp;($A46&amp;B$41),MASTER!$L:$L,0)),"mmddyy"),"")</f>
        <v/>
      </c>
      <c r="C46" s="4" t="str">
        <f>IFERROR(INDEX(MASTER!$A:$A,MATCH("Cryovial box 4: "&amp;($A46&amp;C$41),MASTER!$L:$L,0))&amp;"_ser_"&amp;TEXT(VALUE(SUBSTITUTE(SUBSTITUTE(TRIM(INDEX(MASTER!$M:$M,MATCH("Cryovial box 4: "&amp;($A46&amp;C$41),MASTER!$L:$L,0))),"ml",""),":",".")),"0.00")&amp;"_"&amp;TEXT(INDEX(MASTER!$E:$E,MATCH("Cryovial box 4: "&amp;($A46&amp;C$41),MASTER!$L:$L,0)),"mmddyy"),"")</f>
        <v/>
      </c>
      <c r="D46" s="4" t="str">
        <f>IFERROR(INDEX(MASTER!$A:$A,MATCH("Cryovial box 4: "&amp;($A46&amp;D$41),MASTER!$L:$L,0))&amp;"_ser_"&amp;TEXT(VALUE(SUBSTITUTE(SUBSTITUTE(TRIM(INDEX(MASTER!$M:$M,MATCH("Cryovial box 4: "&amp;($A46&amp;D$41),MASTER!$L:$L,0))),"ml",""),":",".")),"0.00")&amp;"_"&amp;TEXT(INDEX(MASTER!$E:$E,MATCH("Cryovial box 4: "&amp;($A46&amp;D$41),MASTER!$L:$L,0)),"mmddyy"),"")</f>
        <v/>
      </c>
      <c r="E46" s="4" t="str">
        <f>IFERROR(INDEX(MASTER!$A:$A,MATCH("Cryovial box 4: "&amp;($A46&amp;E$41),MASTER!$L:$L,0))&amp;"_ser_"&amp;TEXT(VALUE(SUBSTITUTE(SUBSTITUTE(TRIM(INDEX(MASTER!$M:$M,MATCH("Cryovial box 4: "&amp;($A46&amp;E$41),MASTER!$L:$L,0))),"ml",""),":",".")),"0.00")&amp;"_"&amp;TEXT(INDEX(MASTER!$E:$E,MATCH("Cryovial box 4: "&amp;($A46&amp;E$41),MASTER!$L:$L,0)),"mmddyy"),"")</f>
        <v/>
      </c>
      <c r="F46" s="4" t="str">
        <f>IFERROR(INDEX(MASTER!$A:$A,MATCH("Cryovial box 4: "&amp;($A46&amp;F$41),MASTER!$L:$L,0))&amp;"_ser_"&amp;TEXT(VALUE(SUBSTITUTE(SUBSTITUTE(TRIM(INDEX(MASTER!$M:$M,MATCH("Cryovial box 4: "&amp;($A46&amp;F$41),MASTER!$L:$L,0))),"ml",""),":",".")),"0.00")&amp;"_"&amp;TEXT(INDEX(MASTER!$E:$E,MATCH("Cryovial box 4: "&amp;($A46&amp;F$41),MASTER!$L:$L,0)),"mmddyy"),"")</f>
        <v/>
      </c>
      <c r="G46" s="4" t="str">
        <f>IFERROR(INDEX(MASTER!$A:$A,MATCH("Cryovial box 4: "&amp;($A46&amp;G$41),MASTER!$L:$L,0))&amp;"_ser_"&amp;TEXT(VALUE(SUBSTITUTE(SUBSTITUTE(TRIM(INDEX(MASTER!$M:$M,MATCH("Cryovial box 4: "&amp;($A46&amp;G$41),MASTER!$L:$L,0))),"ml",""),":",".")),"0.00")&amp;"_"&amp;TEXT(INDEX(MASTER!$E:$E,MATCH("Cryovial box 4: "&amp;($A46&amp;G$41),MASTER!$L:$L,0)),"mmddyy"),"")</f>
        <v/>
      </c>
      <c r="H46" s="4" t="str">
        <f>IFERROR(INDEX(MASTER!$A:$A,MATCH("Cryovial box 4: "&amp;($A46&amp;H$41),MASTER!$L:$L,0))&amp;"_ser_"&amp;TEXT(VALUE(SUBSTITUTE(SUBSTITUTE(TRIM(INDEX(MASTER!$M:$M,MATCH("Cryovial box 4: "&amp;($A46&amp;H$41),MASTER!$L:$L,0))),"ml",""),":",".")),"0.00")&amp;"_"&amp;TEXT(INDEX(MASTER!$E:$E,MATCH("Cryovial box 4: "&amp;($A46&amp;H$41),MASTER!$L:$L,0)),"mmddyy"),"")</f>
        <v/>
      </c>
      <c r="I46" s="4" t="str">
        <f>IFERROR(INDEX(MASTER!$A:$A,MATCH("Cryovial box 4: "&amp;($A46&amp;I$41),MASTER!$L:$L,0))&amp;"_ser_"&amp;TEXT(VALUE(SUBSTITUTE(SUBSTITUTE(TRIM(INDEX(MASTER!$M:$M,MATCH("Cryovial box 4: "&amp;($A46&amp;I$41),MASTER!$L:$L,0))),"ml",""),":",".")),"0.00")&amp;"_"&amp;TEXT(INDEX(MASTER!$E:$E,MATCH("Cryovial box 4: "&amp;($A46&amp;I$41),MASTER!$L:$L,0)),"mmddyy"),"")</f>
        <v/>
      </c>
      <c r="J46" s="4" t="str">
        <f>IFERROR(INDEX(MASTER!$A:$A,MATCH("Cryovial box 4: "&amp;($A46&amp;J$41),MASTER!$L:$L,0))&amp;"_ser_"&amp;TEXT(VALUE(SUBSTITUTE(SUBSTITUTE(TRIM(INDEX(MASTER!$M:$M,MATCH("Cryovial box 4: "&amp;($A46&amp;J$41),MASTER!$L:$L,0))),"ml",""),":",".")),"0.00")&amp;"_"&amp;TEXT(INDEX(MASTER!$E:$E,MATCH("Cryovial box 4: "&amp;($A46&amp;J$41),MASTER!$L:$L,0)),"mmddyy"),"")</f>
        <v/>
      </c>
      <c r="K46" s="4" t="str">
        <f>IFERROR(INDEX(MASTER!$A:$A,MATCH("Cryovial box 4: "&amp;($A46&amp;K$41),MASTER!$L:$L,0))&amp;"_ser_"&amp;TEXT(VALUE(SUBSTITUTE(SUBSTITUTE(TRIM(INDEX(MASTER!$M:$M,MATCH("Cryovial box 4: "&amp;($A46&amp;K$41),MASTER!$L:$L,0))),"ml",""),":",".")),"0.00")&amp;"_"&amp;TEXT(INDEX(MASTER!$E:$E,MATCH("Cryovial box 4: "&amp;($A46&amp;K$41),MASTER!$L:$L,0)),"mmddyy"),"")</f>
        <v/>
      </c>
    </row>
    <row r="47" spans="1:11" ht="20.149999999999999" customHeight="1" x14ac:dyDescent="0.3">
      <c r="A47" s="6" t="s">
        <v>15</v>
      </c>
      <c r="B47" s="4" t="str">
        <f>IFERROR(INDEX(MASTER!$A:$A,MATCH("Cryovial box 4: "&amp;($A47&amp;B$41),MASTER!$L:$L,0))&amp;"_ser_"&amp;TEXT(VALUE(SUBSTITUTE(SUBSTITUTE(TRIM(INDEX(MASTER!$M:$M,MATCH("Cryovial box 4: "&amp;($A47&amp;B$41),MASTER!$L:$L,0))),"ml",""),":",".")),"0.00")&amp;"_"&amp;TEXT(INDEX(MASTER!$E:$E,MATCH("Cryovial box 4: "&amp;($A47&amp;B$41),MASTER!$L:$L,0)),"mmddyy"),"")</f>
        <v/>
      </c>
      <c r="C47" s="4" t="str">
        <f>IFERROR(INDEX(MASTER!$A:$A,MATCH("Cryovial box 4: "&amp;($A47&amp;C$41),MASTER!$L:$L,0))&amp;"_ser_"&amp;TEXT(VALUE(SUBSTITUTE(SUBSTITUTE(TRIM(INDEX(MASTER!$M:$M,MATCH("Cryovial box 4: "&amp;($A47&amp;C$41),MASTER!$L:$L,0))),"ml",""),":",".")),"0.00")&amp;"_"&amp;TEXT(INDEX(MASTER!$E:$E,MATCH("Cryovial box 4: "&amp;($A47&amp;C$41),MASTER!$L:$L,0)),"mmddyy"),"")</f>
        <v/>
      </c>
      <c r="D47" s="4" t="str">
        <f>IFERROR(INDEX(MASTER!$A:$A,MATCH("Cryovial box 4: "&amp;($A47&amp;D$41),MASTER!$L:$L,0))&amp;"_ser_"&amp;TEXT(VALUE(SUBSTITUTE(SUBSTITUTE(TRIM(INDEX(MASTER!$M:$M,MATCH("Cryovial box 4: "&amp;($A47&amp;D$41),MASTER!$L:$L,0))),"ml",""),":",".")),"0.00")&amp;"_"&amp;TEXT(INDEX(MASTER!$E:$E,MATCH("Cryovial box 4: "&amp;($A47&amp;D$41),MASTER!$L:$L,0)),"mmddyy"),"")</f>
        <v/>
      </c>
      <c r="E47" s="4" t="str">
        <f>IFERROR(INDEX(MASTER!$A:$A,MATCH("Cryovial box 4: "&amp;($A47&amp;E$41),MASTER!$L:$L,0))&amp;"_ser_"&amp;TEXT(VALUE(SUBSTITUTE(SUBSTITUTE(TRIM(INDEX(MASTER!$M:$M,MATCH("Cryovial box 4: "&amp;($A47&amp;E$41),MASTER!$L:$L,0))),"ml",""),":",".")),"0.00")&amp;"_"&amp;TEXT(INDEX(MASTER!$E:$E,MATCH("Cryovial box 4: "&amp;($A47&amp;E$41),MASTER!$L:$L,0)),"mmddyy"),"")</f>
        <v/>
      </c>
      <c r="F47" s="4" t="str">
        <f>IFERROR(INDEX(MASTER!$A:$A,MATCH("Cryovial box 4: "&amp;($A47&amp;F$41),MASTER!$L:$L,0))&amp;"_ser_"&amp;TEXT(VALUE(SUBSTITUTE(SUBSTITUTE(TRIM(INDEX(MASTER!$M:$M,MATCH("Cryovial box 4: "&amp;($A47&amp;F$41),MASTER!$L:$L,0))),"ml",""),":",".")),"0.00")&amp;"_"&amp;TEXT(INDEX(MASTER!$E:$E,MATCH("Cryovial box 4: "&amp;($A47&amp;F$41),MASTER!$L:$L,0)),"mmddyy"),"")</f>
        <v/>
      </c>
      <c r="G47" s="4" t="str">
        <f>IFERROR(INDEX(MASTER!$A:$A,MATCH("Cryovial box 4: "&amp;($A47&amp;G$41),MASTER!$L:$L,0))&amp;"_ser_"&amp;TEXT(VALUE(SUBSTITUTE(SUBSTITUTE(TRIM(INDEX(MASTER!$M:$M,MATCH("Cryovial box 4: "&amp;($A47&amp;G$41),MASTER!$L:$L,0))),"ml",""),":",".")),"0.00")&amp;"_"&amp;TEXT(INDEX(MASTER!$E:$E,MATCH("Cryovial box 4: "&amp;($A47&amp;G$41),MASTER!$L:$L,0)),"mmddyy"),"")</f>
        <v/>
      </c>
      <c r="H47" s="4" t="str">
        <f>IFERROR(INDEX(MASTER!$A:$A,MATCH("Cryovial box 4: "&amp;($A47&amp;H$41),MASTER!$L:$L,0))&amp;"_ser_"&amp;TEXT(VALUE(SUBSTITUTE(SUBSTITUTE(TRIM(INDEX(MASTER!$M:$M,MATCH("Cryovial box 4: "&amp;($A47&amp;H$41),MASTER!$L:$L,0))),"ml",""),":",".")),"0.00")&amp;"_"&amp;TEXT(INDEX(MASTER!$E:$E,MATCH("Cryovial box 4: "&amp;($A47&amp;H$41),MASTER!$L:$L,0)),"mmddyy"),"")</f>
        <v/>
      </c>
      <c r="I47" s="4" t="str">
        <f>IFERROR(INDEX(MASTER!$A:$A,MATCH("Cryovial box 4: "&amp;($A47&amp;I$41),MASTER!$L:$L,0))&amp;"_ser_"&amp;TEXT(VALUE(SUBSTITUTE(SUBSTITUTE(TRIM(INDEX(MASTER!$M:$M,MATCH("Cryovial box 4: "&amp;($A47&amp;I$41),MASTER!$L:$L,0))),"ml",""),":",".")),"0.00")&amp;"_"&amp;TEXT(INDEX(MASTER!$E:$E,MATCH("Cryovial box 4: "&amp;($A47&amp;I$41),MASTER!$L:$L,0)),"mmddyy"),"")</f>
        <v/>
      </c>
      <c r="J47" s="4" t="str">
        <f>IFERROR(INDEX(MASTER!$A:$A,MATCH("Cryovial box 4: "&amp;($A47&amp;J$41),MASTER!$L:$L,0))&amp;"_ser_"&amp;TEXT(VALUE(SUBSTITUTE(SUBSTITUTE(TRIM(INDEX(MASTER!$M:$M,MATCH("Cryovial box 4: "&amp;($A47&amp;J$41),MASTER!$L:$L,0))),"ml",""),":",".")),"0.00")&amp;"_"&amp;TEXT(INDEX(MASTER!$E:$E,MATCH("Cryovial box 4: "&amp;($A47&amp;J$41),MASTER!$L:$L,0)),"mmddyy"),"")</f>
        <v/>
      </c>
      <c r="K47" s="4" t="str">
        <f>IFERROR(INDEX(MASTER!$A:$A,MATCH("Cryovial box 4: "&amp;($A47&amp;K$41),MASTER!$L:$L,0))&amp;"_ser_"&amp;TEXT(VALUE(SUBSTITUTE(SUBSTITUTE(TRIM(INDEX(MASTER!$M:$M,MATCH("Cryovial box 4: "&amp;($A47&amp;K$41),MASTER!$L:$L,0))),"ml",""),":",".")),"0.00")&amp;"_"&amp;TEXT(INDEX(MASTER!$E:$E,MATCH("Cryovial box 4: "&amp;($A47&amp;K$41),MASTER!$L:$L,0)),"mmddyy"),"")</f>
        <v/>
      </c>
    </row>
    <row r="48" spans="1:11" ht="20.149999999999999" customHeight="1" x14ac:dyDescent="0.3">
      <c r="A48" s="6" t="s">
        <v>35</v>
      </c>
      <c r="B48" s="4" t="str">
        <f>IFERROR(INDEX(MASTER!$A:$A,MATCH("Cryovial box 4: "&amp;($A48&amp;B$41),MASTER!$L:$L,0))&amp;"_ser_"&amp;TEXT(VALUE(SUBSTITUTE(SUBSTITUTE(TRIM(INDEX(MASTER!$M:$M,MATCH("Cryovial box 4: "&amp;($A48&amp;B$41),MASTER!$L:$L,0))),"ml",""),":",".")),"0.00")&amp;"_"&amp;TEXT(INDEX(MASTER!$E:$E,MATCH("Cryovial box 4: "&amp;($A48&amp;B$41),MASTER!$L:$L,0)),"mmddyy"),"")</f>
        <v/>
      </c>
      <c r="C48" s="4" t="str">
        <f>IFERROR(INDEX(MASTER!$A:$A,MATCH("Cryovial box 4: "&amp;($A48&amp;C$41),MASTER!$L:$L,0))&amp;"_ser_"&amp;TEXT(VALUE(SUBSTITUTE(SUBSTITUTE(TRIM(INDEX(MASTER!$M:$M,MATCH("Cryovial box 4: "&amp;($A48&amp;C$41),MASTER!$L:$L,0))),"ml",""),":",".")),"0.00")&amp;"_"&amp;TEXT(INDEX(MASTER!$E:$E,MATCH("Cryovial box 4: "&amp;($A48&amp;C$41),MASTER!$L:$L,0)),"mmddyy"),"")</f>
        <v/>
      </c>
      <c r="D48" s="4" t="str">
        <f>IFERROR(INDEX(MASTER!$A:$A,MATCH("Cryovial box 4: "&amp;($A48&amp;D$41),MASTER!$L:$L,0))&amp;"_ser_"&amp;TEXT(VALUE(SUBSTITUTE(SUBSTITUTE(TRIM(INDEX(MASTER!$M:$M,MATCH("Cryovial box 4: "&amp;($A48&amp;D$41),MASTER!$L:$L,0))),"ml",""),":",".")),"0.00")&amp;"_"&amp;TEXT(INDEX(MASTER!$E:$E,MATCH("Cryovial box 4: "&amp;($A48&amp;D$41),MASTER!$L:$L,0)),"mmddyy"),"")</f>
        <v/>
      </c>
      <c r="E48" s="4" t="str">
        <f>IFERROR(INDEX(MASTER!$A:$A,MATCH("Cryovial box 4: "&amp;($A48&amp;E$41),MASTER!$L:$L,0))&amp;"_ser_"&amp;TEXT(VALUE(SUBSTITUTE(SUBSTITUTE(TRIM(INDEX(MASTER!$M:$M,MATCH("Cryovial box 4: "&amp;($A48&amp;E$41),MASTER!$L:$L,0))),"ml",""),":",".")),"0.00")&amp;"_"&amp;TEXT(INDEX(MASTER!$E:$E,MATCH("Cryovial box 4: "&amp;($A48&amp;E$41),MASTER!$L:$L,0)),"mmddyy"),"")</f>
        <v/>
      </c>
      <c r="F48" s="4" t="str">
        <f>IFERROR(INDEX(MASTER!$A:$A,MATCH("Cryovial box 4: "&amp;($A48&amp;F$41),MASTER!$L:$L,0))&amp;"_ser_"&amp;TEXT(VALUE(SUBSTITUTE(SUBSTITUTE(TRIM(INDEX(MASTER!$M:$M,MATCH("Cryovial box 4: "&amp;($A48&amp;F$41),MASTER!$L:$L,0))),"ml",""),":",".")),"0.00")&amp;"_"&amp;TEXT(INDEX(MASTER!$E:$E,MATCH("Cryovial box 4: "&amp;($A48&amp;F$41),MASTER!$L:$L,0)),"mmddyy"),"")</f>
        <v/>
      </c>
      <c r="G48" s="4" t="str">
        <f>IFERROR(INDEX(MASTER!$A:$A,MATCH("Cryovial box 4: "&amp;($A48&amp;G$41),MASTER!$L:$L,0))&amp;"_ser_"&amp;TEXT(VALUE(SUBSTITUTE(SUBSTITUTE(TRIM(INDEX(MASTER!$M:$M,MATCH("Cryovial box 4: "&amp;($A48&amp;G$41),MASTER!$L:$L,0))),"ml",""),":",".")),"0.00")&amp;"_"&amp;TEXT(INDEX(MASTER!$E:$E,MATCH("Cryovial box 4: "&amp;($A48&amp;G$41),MASTER!$L:$L,0)),"mmddyy"),"")</f>
        <v/>
      </c>
      <c r="H48" s="4" t="str">
        <f>IFERROR(INDEX(MASTER!$A:$A,MATCH("Cryovial box 4: "&amp;($A48&amp;H$41),MASTER!$L:$L,0))&amp;"_ser_"&amp;TEXT(VALUE(SUBSTITUTE(SUBSTITUTE(TRIM(INDEX(MASTER!$M:$M,MATCH("Cryovial box 4: "&amp;($A48&amp;H$41),MASTER!$L:$L,0))),"ml",""),":",".")),"0.00")&amp;"_"&amp;TEXT(INDEX(MASTER!$E:$E,MATCH("Cryovial box 4: "&amp;($A48&amp;H$41),MASTER!$L:$L,0)),"mmddyy"),"")</f>
        <v/>
      </c>
      <c r="I48" s="4" t="str">
        <f>IFERROR(INDEX(MASTER!$A:$A,MATCH("Cryovial box 4: "&amp;($A48&amp;I$41),MASTER!$L:$L,0))&amp;"_ser_"&amp;TEXT(VALUE(SUBSTITUTE(SUBSTITUTE(TRIM(INDEX(MASTER!$M:$M,MATCH("Cryovial box 4: "&amp;($A48&amp;I$41),MASTER!$L:$L,0))),"ml",""),":",".")),"0.00")&amp;"_"&amp;TEXT(INDEX(MASTER!$E:$E,MATCH("Cryovial box 4: "&amp;($A48&amp;I$41),MASTER!$L:$L,0)),"mmddyy"),"")</f>
        <v/>
      </c>
      <c r="J48" s="4" t="str">
        <f>IFERROR(INDEX(MASTER!$A:$A,MATCH("Cryovial box 4: "&amp;($A48&amp;J$41),MASTER!$L:$L,0))&amp;"_ser_"&amp;TEXT(VALUE(SUBSTITUTE(SUBSTITUTE(TRIM(INDEX(MASTER!$M:$M,MATCH("Cryovial box 4: "&amp;($A48&amp;J$41),MASTER!$L:$L,0))),"ml",""),":",".")),"0.00")&amp;"_"&amp;TEXT(INDEX(MASTER!$E:$E,MATCH("Cryovial box 4: "&amp;($A48&amp;J$41),MASTER!$L:$L,0)),"mmddyy"),"")</f>
        <v/>
      </c>
      <c r="K48" s="4" t="str">
        <f>IFERROR(INDEX(MASTER!$A:$A,MATCH("Cryovial box 4: "&amp;($A48&amp;K$41),MASTER!$L:$L,0))&amp;"_ser_"&amp;TEXT(VALUE(SUBSTITUTE(SUBSTITUTE(TRIM(INDEX(MASTER!$M:$M,MATCH("Cryovial box 4: "&amp;($A48&amp;K$41),MASTER!$L:$L,0))),"ml",""),":",".")),"0.00")&amp;"_"&amp;TEXT(INDEX(MASTER!$E:$E,MATCH("Cryovial box 4: "&amp;($A48&amp;K$41),MASTER!$L:$L,0)),"mmddyy"),"")</f>
        <v/>
      </c>
    </row>
    <row r="49" spans="1:11" ht="20.149999999999999" customHeight="1" x14ac:dyDescent="0.3">
      <c r="A49" s="6" t="s">
        <v>36</v>
      </c>
      <c r="B49" s="4" t="str">
        <f>IFERROR(INDEX(MASTER!$A:$A,MATCH("Cryovial box 4: "&amp;($A49&amp;B$41),MASTER!$L:$L,0))&amp;"_ser_"&amp;TEXT(VALUE(SUBSTITUTE(SUBSTITUTE(TRIM(INDEX(MASTER!$M:$M,MATCH("Cryovial box 4: "&amp;($A49&amp;B$41),MASTER!$L:$L,0))),"ml",""),":",".")),"0.00")&amp;"_"&amp;TEXT(INDEX(MASTER!$E:$E,MATCH("Cryovial box 4: "&amp;($A49&amp;B$41),MASTER!$L:$L,0)),"mmddyy"),"")</f>
        <v/>
      </c>
      <c r="C49" s="4" t="str">
        <f>IFERROR(INDEX(MASTER!$A:$A,MATCH("Cryovial box 4: "&amp;($A49&amp;C$41),MASTER!$L:$L,0))&amp;"_ser_"&amp;TEXT(VALUE(SUBSTITUTE(SUBSTITUTE(TRIM(INDEX(MASTER!$M:$M,MATCH("Cryovial box 4: "&amp;($A49&amp;C$41),MASTER!$L:$L,0))),"ml",""),":",".")),"0.00")&amp;"_"&amp;TEXT(INDEX(MASTER!$E:$E,MATCH("Cryovial box 4: "&amp;($A49&amp;C$41),MASTER!$L:$L,0)),"mmddyy"),"")</f>
        <v/>
      </c>
      <c r="D49" s="4" t="str">
        <f>IFERROR(INDEX(MASTER!$A:$A,MATCH("Cryovial box 4: "&amp;($A49&amp;D$41),MASTER!$L:$L,0))&amp;"_ser_"&amp;TEXT(VALUE(SUBSTITUTE(SUBSTITUTE(TRIM(INDEX(MASTER!$M:$M,MATCH("Cryovial box 4: "&amp;($A49&amp;D$41),MASTER!$L:$L,0))),"ml",""),":",".")),"0.00")&amp;"_"&amp;TEXT(INDEX(MASTER!$E:$E,MATCH("Cryovial box 4: "&amp;($A49&amp;D$41),MASTER!$L:$L,0)),"mmddyy"),"")</f>
        <v/>
      </c>
      <c r="E49" s="4" t="str">
        <f>IFERROR(INDEX(MASTER!$A:$A,MATCH("Cryovial box 4: "&amp;($A49&amp;E$41),MASTER!$L:$L,0))&amp;"_ser_"&amp;TEXT(VALUE(SUBSTITUTE(SUBSTITUTE(TRIM(INDEX(MASTER!$M:$M,MATCH("Cryovial box 4: "&amp;($A49&amp;E$41),MASTER!$L:$L,0))),"ml",""),":",".")),"0.00")&amp;"_"&amp;TEXT(INDEX(MASTER!$E:$E,MATCH("Cryovial box 4: "&amp;($A49&amp;E$41),MASTER!$L:$L,0)),"mmddyy"),"")</f>
        <v/>
      </c>
      <c r="F49" s="4" t="str">
        <f>IFERROR(INDEX(MASTER!$A:$A,MATCH("Cryovial box 4: "&amp;($A49&amp;F$41),MASTER!$L:$L,0))&amp;"_ser_"&amp;TEXT(VALUE(SUBSTITUTE(SUBSTITUTE(TRIM(INDEX(MASTER!$M:$M,MATCH("Cryovial box 4: "&amp;($A49&amp;F$41),MASTER!$L:$L,0))),"ml",""),":",".")),"0.00")&amp;"_"&amp;TEXT(INDEX(MASTER!$E:$E,MATCH("Cryovial box 4: "&amp;($A49&amp;F$41),MASTER!$L:$L,0)),"mmddyy"),"")</f>
        <v/>
      </c>
      <c r="G49" s="4" t="str">
        <f>IFERROR(INDEX(MASTER!$A:$A,MATCH("Cryovial box 4: "&amp;($A49&amp;G$41),MASTER!$L:$L,0))&amp;"_ser_"&amp;TEXT(VALUE(SUBSTITUTE(SUBSTITUTE(TRIM(INDEX(MASTER!$M:$M,MATCH("Cryovial box 4: "&amp;($A49&amp;G$41),MASTER!$L:$L,0))),"ml",""),":",".")),"0.00")&amp;"_"&amp;TEXT(INDEX(MASTER!$E:$E,MATCH("Cryovial box 4: "&amp;($A49&amp;G$41),MASTER!$L:$L,0)),"mmddyy"),"")</f>
        <v/>
      </c>
      <c r="H49" s="4" t="str">
        <f>IFERROR(INDEX(MASTER!$A:$A,MATCH("Cryovial box 4: "&amp;($A49&amp;H$41),MASTER!$L:$L,0))&amp;"_ser_"&amp;TEXT(VALUE(SUBSTITUTE(SUBSTITUTE(TRIM(INDEX(MASTER!$M:$M,MATCH("Cryovial box 4: "&amp;($A49&amp;H$41),MASTER!$L:$L,0))),"ml",""),":",".")),"0.00")&amp;"_"&amp;TEXT(INDEX(MASTER!$E:$E,MATCH("Cryovial box 4: "&amp;($A49&amp;H$41),MASTER!$L:$L,0)),"mmddyy"),"")</f>
        <v/>
      </c>
      <c r="I49" s="4" t="str">
        <f>IFERROR(INDEX(MASTER!$A:$A,MATCH("Cryovial box 4: "&amp;($A49&amp;I$41),MASTER!$L:$L,0))&amp;"_ser_"&amp;TEXT(VALUE(SUBSTITUTE(SUBSTITUTE(TRIM(INDEX(MASTER!$M:$M,MATCH("Cryovial box 4: "&amp;($A49&amp;I$41),MASTER!$L:$L,0))),"ml",""),":",".")),"0.00")&amp;"_"&amp;TEXT(INDEX(MASTER!$E:$E,MATCH("Cryovial box 4: "&amp;($A49&amp;I$41),MASTER!$L:$L,0)),"mmddyy"),"")</f>
        <v/>
      </c>
      <c r="J49" s="4" t="str">
        <f>IFERROR(INDEX(MASTER!$A:$A,MATCH("Cryovial box 4: "&amp;($A49&amp;J$41),MASTER!$L:$L,0))&amp;"_ser_"&amp;TEXT(VALUE(SUBSTITUTE(SUBSTITUTE(TRIM(INDEX(MASTER!$M:$M,MATCH("Cryovial box 4: "&amp;($A49&amp;J$41),MASTER!$L:$L,0))),"ml",""),":",".")),"0.00")&amp;"_"&amp;TEXT(INDEX(MASTER!$E:$E,MATCH("Cryovial box 4: "&amp;($A49&amp;J$41),MASTER!$L:$L,0)),"mmddyy"),"")</f>
        <v/>
      </c>
      <c r="K49" s="4" t="str">
        <f>IFERROR(INDEX(MASTER!$A:$A,MATCH("Cryovial box 4: "&amp;($A49&amp;K$41),MASTER!$L:$L,0))&amp;"_ser_"&amp;TEXT(VALUE(SUBSTITUTE(SUBSTITUTE(TRIM(INDEX(MASTER!$M:$M,MATCH("Cryovial box 4: "&amp;($A49&amp;K$41),MASTER!$L:$L,0))),"ml",""),":",".")),"0.00")&amp;"_"&amp;TEXT(INDEX(MASTER!$E:$E,MATCH("Cryovial box 4: "&amp;($A49&amp;K$41),MASTER!$L:$L,0)),"mmddyy"),"")</f>
        <v/>
      </c>
    </row>
    <row r="50" spans="1:11" ht="20.149999999999999" customHeight="1" x14ac:dyDescent="0.3">
      <c r="A50" s="6" t="s">
        <v>100</v>
      </c>
      <c r="B50" s="4" t="str">
        <f>IFERROR(INDEX(MASTER!$A:$A,MATCH("Cryovial box 4: "&amp;($A50&amp;B$41),MASTER!$L:$L,0))&amp;"_ser_"&amp;TEXT(VALUE(SUBSTITUTE(SUBSTITUTE(TRIM(INDEX(MASTER!$M:$M,MATCH("Cryovial box 4: "&amp;($A50&amp;B$41),MASTER!$L:$L,0))),"ml",""),":",".")),"0.00")&amp;"_"&amp;TEXT(INDEX(MASTER!$E:$E,MATCH("Cryovial box 4: "&amp;($A50&amp;B$41),MASTER!$L:$L,0)),"mmddyy"),"")</f>
        <v/>
      </c>
      <c r="C50" s="4" t="str">
        <f>IFERROR(INDEX(MASTER!$A:$A,MATCH("Cryovial box 4: "&amp;($A50&amp;C$41),MASTER!$L:$L,0))&amp;"_ser_"&amp;TEXT(VALUE(SUBSTITUTE(SUBSTITUTE(TRIM(INDEX(MASTER!$M:$M,MATCH("Cryovial box 4: "&amp;($A50&amp;C$41),MASTER!$L:$L,0))),"ml",""),":",".")),"0.00")&amp;"_"&amp;TEXT(INDEX(MASTER!$E:$E,MATCH("Cryovial box 4: "&amp;($A50&amp;C$41),MASTER!$L:$L,0)),"mmddyy"),"")</f>
        <v/>
      </c>
      <c r="D50" s="4" t="str">
        <f>IFERROR(INDEX(MASTER!$A:$A,MATCH("Cryovial box 4: "&amp;($A50&amp;D$41),MASTER!$L:$L,0))&amp;"_ser_"&amp;TEXT(VALUE(SUBSTITUTE(SUBSTITUTE(TRIM(INDEX(MASTER!$M:$M,MATCH("Cryovial box 4: "&amp;($A50&amp;D$41),MASTER!$L:$L,0))),"ml",""),":",".")),"0.00")&amp;"_"&amp;TEXT(INDEX(MASTER!$E:$E,MATCH("Cryovial box 4: "&amp;($A50&amp;D$41),MASTER!$L:$L,0)),"mmddyy"),"")</f>
        <v/>
      </c>
      <c r="E50" s="4" t="str">
        <f>IFERROR(INDEX(MASTER!$A:$A,MATCH("Cryovial box 4: "&amp;($A50&amp;E$41),MASTER!$L:$L,0))&amp;"_ser_"&amp;TEXT(VALUE(SUBSTITUTE(SUBSTITUTE(TRIM(INDEX(MASTER!$M:$M,MATCH("Cryovial box 4: "&amp;($A50&amp;E$41),MASTER!$L:$L,0))),"ml",""),":",".")),"0.00")&amp;"_"&amp;TEXT(INDEX(MASTER!$E:$E,MATCH("Cryovial box 4: "&amp;($A50&amp;E$41),MASTER!$L:$L,0)),"mmddyy"),"")</f>
        <v/>
      </c>
      <c r="F50" s="4" t="str">
        <f>IFERROR(INDEX(MASTER!$A:$A,MATCH("Cryovial box 4: "&amp;($A50&amp;F$41),MASTER!$L:$L,0))&amp;"_ser_"&amp;TEXT(VALUE(SUBSTITUTE(SUBSTITUTE(TRIM(INDEX(MASTER!$M:$M,MATCH("Cryovial box 4: "&amp;($A50&amp;F$41),MASTER!$L:$L,0))),"ml",""),":",".")),"0.00")&amp;"_"&amp;TEXT(INDEX(MASTER!$E:$E,MATCH("Cryovial box 4: "&amp;($A50&amp;F$41),MASTER!$L:$L,0)),"mmddyy"),"")</f>
        <v/>
      </c>
      <c r="G50" s="4" t="str">
        <f>IFERROR(INDEX(MASTER!$A:$A,MATCH("Cryovial box 4: "&amp;($A50&amp;G$41),MASTER!$L:$L,0))&amp;"_ser_"&amp;TEXT(VALUE(SUBSTITUTE(SUBSTITUTE(TRIM(INDEX(MASTER!$M:$M,MATCH("Cryovial box 4: "&amp;($A50&amp;G$41),MASTER!$L:$L,0))),"ml",""),":",".")),"0.00")&amp;"_"&amp;TEXT(INDEX(MASTER!$E:$E,MATCH("Cryovial box 4: "&amp;($A50&amp;G$41),MASTER!$L:$L,0)),"mmddyy"),"")</f>
        <v/>
      </c>
      <c r="H50" s="4" t="str">
        <f>IFERROR(INDEX(MASTER!$A:$A,MATCH("Cryovial box 4: "&amp;($A50&amp;H$41),MASTER!$L:$L,0))&amp;"_ser_"&amp;TEXT(VALUE(SUBSTITUTE(SUBSTITUTE(TRIM(INDEX(MASTER!$M:$M,MATCH("Cryovial box 4: "&amp;($A50&amp;H$41),MASTER!$L:$L,0))),"ml",""),":",".")),"0.00")&amp;"_"&amp;TEXT(INDEX(MASTER!$E:$E,MATCH("Cryovial box 4: "&amp;($A50&amp;H$41),MASTER!$L:$L,0)),"mmddyy"),"")</f>
        <v/>
      </c>
      <c r="I50" s="4" t="str">
        <f>IFERROR(INDEX(MASTER!$A:$A,MATCH("Cryovial box 4: "&amp;($A50&amp;I$41),MASTER!$L:$L,0))&amp;"_ser_"&amp;TEXT(VALUE(SUBSTITUTE(SUBSTITUTE(TRIM(INDEX(MASTER!$M:$M,MATCH("Cryovial box 4: "&amp;($A50&amp;I$41),MASTER!$L:$L,0))),"ml",""),":",".")),"0.00")&amp;"_"&amp;TEXT(INDEX(MASTER!$E:$E,MATCH("Cryovial box 4: "&amp;($A50&amp;I$41),MASTER!$L:$L,0)),"mmddyy"),"")</f>
        <v/>
      </c>
      <c r="J50" s="4" t="str">
        <f>IFERROR(INDEX(MASTER!$A:$A,MATCH("Cryovial box 4: "&amp;($A50&amp;J$41),MASTER!$L:$L,0))&amp;"_ser_"&amp;TEXT(VALUE(SUBSTITUTE(SUBSTITUTE(TRIM(INDEX(MASTER!$M:$M,MATCH("Cryovial box 4: "&amp;($A50&amp;J$41),MASTER!$L:$L,0))),"ml",""),":",".")),"0.00")&amp;"_"&amp;TEXT(INDEX(MASTER!$E:$E,MATCH("Cryovial box 4: "&amp;($A50&amp;J$41),MASTER!$L:$L,0)),"mmddyy"),"")</f>
        <v/>
      </c>
      <c r="K50" s="4" t="str">
        <f>IFERROR(INDEX(MASTER!$A:$A,MATCH("Cryovial box 4: "&amp;($A50&amp;K$41),MASTER!$L:$L,0))&amp;"_ser_"&amp;TEXT(VALUE(SUBSTITUTE(SUBSTITUTE(TRIM(INDEX(MASTER!$M:$M,MATCH("Cryovial box 4: "&amp;($A50&amp;K$41),MASTER!$L:$L,0))),"ml",""),":",".")),"0.00")&amp;"_"&amp;TEXT(INDEX(MASTER!$E:$E,MATCH("Cryovial box 4: "&amp;($A50&amp;K$41),MASTER!$L:$L,0)),"mmddyy"),"")</f>
        <v/>
      </c>
    </row>
    <row r="51" spans="1:11" ht="20.149999999999999" customHeight="1" x14ac:dyDescent="0.3">
      <c r="A51" s="6" t="s">
        <v>101</v>
      </c>
      <c r="B51" s="4" t="str">
        <f>IFERROR(INDEX(MASTER!$A:$A,MATCH("Cryovial box 4: "&amp;($A51&amp;B$41),MASTER!$L:$L,0))&amp;"_ser_"&amp;TEXT(VALUE(SUBSTITUTE(SUBSTITUTE(TRIM(INDEX(MASTER!$M:$M,MATCH("Cryovial box 4: "&amp;($A51&amp;B$41),MASTER!$L:$L,0))),"ml",""),":",".")),"0.00")&amp;"_"&amp;TEXT(INDEX(MASTER!$E:$E,MATCH("Cryovial box 4: "&amp;($A51&amp;B$41),MASTER!$L:$L,0)),"mmddyy"),"")</f>
        <v/>
      </c>
      <c r="C51" s="4" t="str">
        <f>IFERROR(INDEX(MASTER!$A:$A,MATCH("Cryovial box 4: "&amp;($A51&amp;C$41),MASTER!$L:$L,0))&amp;"_ser_"&amp;TEXT(VALUE(SUBSTITUTE(SUBSTITUTE(TRIM(INDEX(MASTER!$M:$M,MATCH("Cryovial box 4: "&amp;($A51&amp;C$41),MASTER!$L:$L,0))),"ml",""),":",".")),"0.00")&amp;"_"&amp;TEXT(INDEX(MASTER!$E:$E,MATCH("Cryovial box 4: "&amp;($A51&amp;C$41),MASTER!$L:$L,0)),"mmddyy"),"")</f>
        <v/>
      </c>
      <c r="D51" s="4" t="str">
        <f>IFERROR(INDEX(MASTER!$A:$A,MATCH("Cryovial box 4: "&amp;($A51&amp;D$41),MASTER!$L:$L,0))&amp;"_ser_"&amp;TEXT(VALUE(SUBSTITUTE(SUBSTITUTE(TRIM(INDEX(MASTER!$M:$M,MATCH("Cryovial box 4: "&amp;($A51&amp;D$41),MASTER!$L:$L,0))),"ml",""),":",".")),"0.00")&amp;"_"&amp;TEXT(INDEX(MASTER!$E:$E,MATCH("Cryovial box 4: "&amp;($A51&amp;D$41),MASTER!$L:$L,0)),"mmddyy"),"")</f>
        <v/>
      </c>
      <c r="E51" s="4" t="str">
        <f>IFERROR(INDEX(MASTER!$A:$A,MATCH("Cryovial box 4: "&amp;($A51&amp;E$41),MASTER!$L:$L,0))&amp;"_ser_"&amp;TEXT(VALUE(SUBSTITUTE(SUBSTITUTE(TRIM(INDEX(MASTER!$M:$M,MATCH("Cryovial box 4: "&amp;($A51&amp;E$41),MASTER!$L:$L,0))),"ml",""),":",".")),"0.00")&amp;"_"&amp;TEXT(INDEX(MASTER!$E:$E,MATCH("Cryovial box 4: "&amp;($A51&amp;E$41),MASTER!$L:$L,0)),"mmddyy"),"")</f>
        <v/>
      </c>
      <c r="F51" s="4" t="str">
        <f>IFERROR(INDEX(MASTER!$A:$A,MATCH("Cryovial box 4: "&amp;($A51&amp;F$41),MASTER!$L:$L,0))&amp;"_ser_"&amp;TEXT(VALUE(SUBSTITUTE(SUBSTITUTE(TRIM(INDEX(MASTER!$M:$M,MATCH("Cryovial box 4: "&amp;($A51&amp;F$41),MASTER!$L:$L,0))),"ml",""),":",".")),"0.00")&amp;"_"&amp;TEXT(INDEX(MASTER!$E:$E,MATCH("Cryovial box 4: "&amp;($A51&amp;F$41),MASTER!$L:$L,0)),"mmddyy"),"")</f>
        <v/>
      </c>
      <c r="G51" s="4" t="str">
        <f>IFERROR(INDEX(MASTER!$A:$A,MATCH("Cryovial box 4: "&amp;($A51&amp;G$41),MASTER!$L:$L,0))&amp;"_ser_"&amp;TEXT(VALUE(SUBSTITUTE(SUBSTITUTE(TRIM(INDEX(MASTER!$M:$M,MATCH("Cryovial box 4: "&amp;($A51&amp;G$41),MASTER!$L:$L,0))),"ml",""),":",".")),"0.00")&amp;"_"&amp;TEXT(INDEX(MASTER!$E:$E,MATCH("Cryovial box 4: "&amp;($A51&amp;G$41),MASTER!$L:$L,0)),"mmddyy"),"")</f>
        <v/>
      </c>
      <c r="H51" s="4" t="str">
        <f>IFERROR(INDEX(MASTER!$A:$A,MATCH("Cryovial box 4: "&amp;($A51&amp;H$41),MASTER!$L:$L,0))&amp;"_ser_"&amp;TEXT(VALUE(SUBSTITUTE(SUBSTITUTE(TRIM(INDEX(MASTER!$M:$M,MATCH("Cryovial box 4: "&amp;($A51&amp;H$41),MASTER!$L:$L,0))),"ml",""),":",".")),"0.00")&amp;"_"&amp;TEXT(INDEX(MASTER!$E:$E,MATCH("Cryovial box 4: "&amp;($A51&amp;H$41),MASTER!$L:$L,0)),"mmddyy"),"")</f>
        <v/>
      </c>
      <c r="I51" s="4" t="str">
        <f>IFERROR(INDEX(MASTER!$A:$A,MATCH("Cryovial box 4: "&amp;($A51&amp;I$41),MASTER!$L:$L,0))&amp;"_ser_"&amp;TEXT(VALUE(SUBSTITUTE(SUBSTITUTE(TRIM(INDEX(MASTER!$M:$M,MATCH("Cryovial box 4: "&amp;($A51&amp;I$41),MASTER!$L:$L,0))),"ml",""),":",".")),"0.00")&amp;"_"&amp;TEXT(INDEX(MASTER!$E:$E,MATCH("Cryovial box 4: "&amp;($A51&amp;I$41),MASTER!$L:$L,0)),"mmddyy"),"")</f>
        <v/>
      </c>
      <c r="J51" s="4" t="str">
        <f>IFERROR(INDEX(MASTER!$A:$A,MATCH("Cryovial box 4: "&amp;($A51&amp;J$41),MASTER!$L:$L,0))&amp;"_ser_"&amp;TEXT(VALUE(SUBSTITUTE(SUBSTITUTE(TRIM(INDEX(MASTER!$M:$M,MATCH("Cryovial box 4: "&amp;($A51&amp;J$41),MASTER!$L:$L,0))),"ml",""),":",".")),"0.00")&amp;"_"&amp;TEXT(INDEX(MASTER!$E:$E,MATCH("Cryovial box 4: "&amp;($A51&amp;J$41),MASTER!$L:$L,0)),"mmddyy"),"")</f>
        <v/>
      </c>
      <c r="K51" s="4" t="str">
        <f>IFERROR(INDEX(MASTER!$A:$A,MATCH("Cryovial box 4: "&amp;($A51&amp;K$41),MASTER!$L:$L,0))&amp;"_ser_"&amp;TEXT(VALUE(SUBSTITUTE(SUBSTITUTE(TRIM(INDEX(MASTER!$M:$M,MATCH("Cryovial box 4: "&amp;($A51&amp;K$41),MASTER!$L:$L,0))),"ml",""),":",".")),"0.00")&amp;"_"&amp;TEXT(INDEX(MASTER!$E:$E,MATCH("Cryovial box 4: "&amp;($A51&amp;K$41),MASTER!$L:$L,0)),"mmddyy"),"")</f>
        <v/>
      </c>
    </row>
    <row r="52" spans="1:11" ht="20.149999999999999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ht="20.149999999999999" customHeight="1" x14ac:dyDescent="0.3">
      <c r="A53" s="5"/>
      <c r="B53" s="31" t="s">
        <v>105</v>
      </c>
      <c r="C53" s="36"/>
      <c r="D53" s="36"/>
      <c r="E53" s="36"/>
      <c r="F53" s="36"/>
      <c r="G53" s="36"/>
      <c r="H53" s="36"/>
      <c r="I53" s="36"/>
      <c r="J53" s="36"/>
      <c r="K53" s="37"/>
    </row>
    <row r="54" spans="1:11" ht="20.149999999999999" customHeight="1" x14ac:dyDescent="0.3">
      <c r="A54" s="5"/>
      <c r="B54" s="6">
        <v>1</v>
      </c>
      <c r="C54" s="6">
        <v>2</v>
      </c>
      <c r="D54" s="6">
        <v>3</v>
      </c>
      <c r="E54" s="6">
        <v>4</v>
      </c>
      <c r="F54" s="6">
        <v>5</v>
      </c>
      <c r="G54" s="6">
        <v>6</v>
      </c>
      <c r="H54" s="6">
        <v>7</v>
      </c>
      <c r="I54" s="6">
        <v>8</v>
      </c>
      <c r="J54" s="6">
        <v>9</v>
      </c>
      <c r="K54" s="6">
        <v>10</v>
      </c>
    </row>
    <row r="55" spans="1:11" ht="20.149999999999999" customHeight="1" x14ac:dyDescent="0.3">
      <c r="A55" s="6" t="s">
        <v>30</v>
      </c>
      <c r="B55" s="4" t="str">
        <f>IFERROR(INDEX(MASTER!$A:$A,MATCH("Cryovial box 5: "&amp;($A55&amp;B$54),MASTER!$L:$L,0))&amp;"_ser_"&amp;TEXT(VALUE(SUBSTITUTE(SUBSTITUTE(TRIM(INDEX(MASTER!$M:$M,MATCH("Cryovial box 5: "&amp;($A55&amp;B$54),MASTER!$L:$L,0))),"ml",""),":",".")),"0.00")&amp;"_"&amp;TEXT(INDEX(MASTER!$E:$E,MATCH("Cryovial box 5: "&amp;($A55&amp;B$54),MASTER!$L:$L,0)),"mmddyy"),"")</f>
        <v/>
      </c>
      <c r="C55" s="4" t="str">
        <f>IFERROR(INDEX(MASTER!$A:$A,MATCH("Cryovial box 5: "&amp;($A55&amp;C$54),MASTER!$L:$L,0))&amp;"_ser_"&amp;TEXT(VALUE(SUBSTITUTE(SUBSTITUTE(TRIM(INDEX(MASTER!$M:$M,MATCH("Cryovial box 5: "&amp;($A55&amp;C$54),MASTER!$L:$L,0))),"ml",""),":",".")),"0.00")&amp;"_"&amp;TEXT(INDEX(MASTER!$E:$E,MATCH("Cryovial box 5: "&amp;($A55&amp;C$54),MASTER!$L:$L,0)),"mmddyy"),"")</f>
        <v/>
      </c>
      <c r="D55" s="4" t="str">
        <f>IFERROR(INDEX(MASTER!$A:$A,MATCH("Cryovial box 5: "&amp;($A55&amp;D$54),MASTER!$L:$L,0))&amp;"_ser_"&amp;TEXT(VALUE(SUBSTITUTE(SUBSTITUTE(TRIM(INDEX(MASTER!$M:$M,MATCH("Cryovial box 5: "&amp;($A55&amp;D$54),MASTER!$L:$L,0))),"ml",""),":",".")),"0.00")&amp;"_"&amp;TEXT(INDEX(MASTER!$E:$E,MATCH("Cryovial box 5: "&amp;($A55&amp;D$54),MASTER!$L:$L,0)),"mmddyy"),"")</f>
        <v/>
      </c>
      <c r="E55" s="4" t="str">
        <f>IFERROR(INDEX(MASTER!$A:$A,MATCH("Cryovial box 5: "&amp;($A55&amp;E$54),MASTER!$L:$L,0))&amp;"_ser_"&amp;TEXT(VALUE(SUBSTITUTE(SUBSTITUTE(TRIM(INDEX(MASTER!$M:$M,MATCH("Cryovial box 5: "&amp;($A55&amp;E$54),MASTER!$L:$L,0))),"ml",""),":",".")),"0.00")&amp;"_"&amp;TEXT(INDEX(MASTER!$E:$E,MATCH("Cryovial box 5: "&amp;($A55&amp;E$54),MASTER!$L:$L,0)),"mmddyy"),"")</f>
        <v/>
      </c>
      <c r="F55" s="4" t="str">
        <f>IFERROR(INDEX(MASTER!$A:$A,MATCH("Cryovial box 5: "&amp;($A55&amp;F$54),MASTER!$L:$L,0))&amp;"_ser_"&amp;TEXT(VALUE(SUBSTITUTE(SUBSTITUTE(TRIM(INDEX(MASTER!$M:$M,MATCH("Cryovial box 5: "&amp;($A55&amp;F$54),MASTER!$L:$L,0))),"ml",""),":",".")),"0.00")&amp;"_"&amp;TEXT(INDEX(MASTER!$E:$E,MATCH("Cryovial box 5: "&amp;($A55&amp;F$54),MASTER!$L:$L,0)),"mmddyy"),"")</f>
        <v/>
      </c>
      <c r="G55" s="4" t="str">
        <f>IFERROR(INDEX(MASTER!$A:$A,MATCH("Cryovial box 5: "&amp;($A55&amp;G$54),MASTER!$L:$L,0))&amp;"_ser_"&amp;TEXT(VALUE(SUBSTITUTE(SUBSTITUTE(TRIM(INDEX(MASTER!$M:$M,MATCH("Cryovial box 5: "&amp;($A55&amp;G$54),MASTER!$L:$L,0))),"ml",""),":",".")),"0.00")&amp;"_"&amp;TEXT(INDEX(MASTER!$E:$E,MATCH("Cryovial box 5: "&amp;($A55&amp;G$54),MASTER!$L:$L,0)),"mmddyy"),"")</f>
        <v/>
      </c>
      <c r="H55" s="4" t="str">
        <f>IFERROR(INDEX(MASTER!$A:$A,MATCH("Cryovial box 5: "&amp;($A55&amp;H$54),MASTER!$L:$L,0))&amp;"_ser_"&amp;TEXT(VALUE(SUBSTITUTE(SUBSTITUTE(TRIM(INDEX(MASTER!$M:$M,MATCH("Cryovial box 5: "&amp;($A55&amp;H$54),MASTER!$L:$L,0))),"ml",""),":",".")),"0.00")&amp;"_"&amp;TEXT(INDEX(MASTER!$E:$E,MATCH("Cryovial box 5: "&amp;($A55&amp;H$54),MASTER!$L:$L,0)),"mmddyy"),"")</f>
        <v/>
      </c>
      <c r="I55" s="4" t="str">
        <f>IFERROR(INDEX(MASTER!$A:$A,MATCH("Cryovial box 5: "&amp;($A55&amp;I$54),MASTER!$L:$L,0))&amp;"_ser_"&amp;TEXT(VALUE(SUBSTITUTE(SUBSTITUTE(TRIM(INDEX(MASTER!$M:$M,MATCH("Cryovial box 5: "&amp;($A55&amp;I$54),MASTER!$L:$L,0))),"ml",""),":",".")),"0.00")&amp;"_"&amp;TEXT(INDEX(MASTER!$E:$E,MATCH("Cryovial box 5: "&amp;($A55&amp;I$54),MASTER!$L:$L,0)),"mmddyy"),"")</f>
        <v/>
      </c>
      <c r="J55" s="4" t="str">
        <f>IFERROR(INDEX(MASTER!$A:$A,MATCH("Cryovial box 5: "&amp;($A55&amp;J$54),MASTER!$L:$L,0))&amp;"_ser_"&amp;TEXT(VALUE(SUBSTITUTE(SUBSTITUTE(TRIM(INDEX(MASTER!$M:$M,MATCH("Cryovial box 5: "&amp;($A55&amp;J$54),MASTER!$L:$L,0))),"ml",""),":",".")),"0.00")&amp;"_"&amp;TEXT(INDEX(MASTER!$E:$E,MATCH("Cryovial box 5: "&amp;($A55&amp;J$54),MASTER!$L:$L,0)),"mmddyy"),"")</f>
        <v/>
      </c>
      <c r="K55" s="4" t="str">
        <f>IFERROR(INDEX(MASTER!$A:$A,MATCH("Cryovial box 5: "&amp;($A55&amp;K$54),MASTER!$L:$L,0))&amp;"_ser_"&amp;TEXT(VALUE(SUBSTITUTE(SUBSTITUTE(TRIM(INDEX(MASTER!$M:$M,MATCH("Cryovial box 5: "&amp;($A55&amp;K$54),MASTER!$L:$L,0))),"ml",""),":",".")),"0.00")&amp;"_"&amp;TEXT(INDEX(MASTER!$E:$E,MATCH("Cryovial box 5: "&amp;($A55&amp;K$54),MASTER!$L:$L,0)),"mmddyy"),"")</f>
        <v/>
      </c>
    </row>
    <row r="56" spans="1:11" ht="20.149999999999999" customHeight="1" x14ac:dyDescent="0.3">
      <c r="A56" s="6" t="s">
        <v>31</v>
      </c>
      <c r="B56" s="4" t="str">
        <f>IFERROR(INDEX(MASTER!$A:$A,MATCH("Cryovial box 5: "&amp;($A56&amp;B$54),MASTER!$L:$L,0))&amp;"_ser_"&amp;TEXT(VALUE(SUBSTITUTE(SUBSTITUTE(TRIM(INDEX(MASTER!$M:$M,MATCH("Cryovial box 5: "&amp;($A56&amp;B$54),MASTER!$L:$L,0))),"ml",""),":",".")),"0.00")&amp;"_"&amp;TEXT(INDEX(MASTER!$E:$E,MATCH("Cryovial box 5: "&amp;($A56&amp;B$54),MASTER!$L:$L,0)),"mmddyy"),"")</f>
        <v/>
      </c>
      <c r="C56" s="4" t="str">
        <f>IFERROR(INDEX(MASTER!$A:$A,MATCH("Cryovial box 5: "&amp;($A56&amp;C$54),MASTER!$L:$L,0))&amp;"_ser_"&amp;TEXT(VALUE(SUBSTITUTE(SUBSTITUTE(TRIM(INDEX(MASTER!$M:$M,MATCH("Cryovial box 5: "&amp;($A56&amp;C$54),MASTER!$L:$L,0))),"ml",""),":",".")),"0.00")&amp;"_"&amp;TEXT(INDEX(MASTER!$E:$E,MATCH("Cryovial box 5: "&amp;($A56&amp;C$54),MASTER!$L:$L,0)),"mmddyy"),"")</f>
        <v/>
      </c>
      <c r="D56" s="4" t="str">
        <f>IFERROR(INDEX(MASTER!$A:$A,MATCH("Cryovial box 5: "&amp;($A56&amp;D$54),MASTER!$L:$L,0))&amp;"_ser_"&amp;TEXT(VALUE(SUBSTITUTE(SUBSTITUTE(TRIM(INDEX(MASTER!$M:$M,MATCH("Cryovial box 5: "&amp;($A56&amp;D$54),MASTER!$L:$L,0))),"ml",""),":",".")),"0.00")&amp;"_"&amp;TEXT(INDEX(MASTER!$E:$E,MATCH("Cryovial box 5: "&amp;($A56&amp;D$54),MASTER!$L:$L,0)),"mmddyy"),"")</f>
        <v/>
      </c>
      <c r="E56" s="4" t="str">
        <f>IFERROR(INDEX(MASTER!$A:$A,MATCH("Cryovial box 5: "&amp;($A56&amp;E$54),MASTER!$L:$L,0))&amp;"_ser_"&amp;TEXT(VALUE(SUBSTITUTE(SUBSTITUTE(TRIM(INDEX(MASTER!$M:$M,MATCH("Cryovial box 5: "&amp;($A56&amp;E$54),MASTER!$L:$L,0))),"ml",""),":",".")),"0.00")&amp;"_"&amp;TEXT(INDEX(MASTER!$E:$E,MATCH("Cryovial box 5: "&amp;($A56&amp;E$54),MASTER!$L:$L,0)),"mmddyy"),"")</f>
        <v/>
      </c>
      <c r="F56" s="4" t="str">
        <f>IFERROR(INDEX(MASTER!$A:$A,MATCH("Cryovial box 5: "&amp;($A56&amp;F$54),MASTER!$L:$L,0))&amp;"_ser_"&amp;TEXT(VALUE(SUBSTITUTE(SUBSTITUTE(TRIM(INDEX(MASTER!$M:$M,MATCH("Cryovial box 5: "&amp;($A56&amp;F$54),MASTER!$L:$L,0))),"ml",""),":",".")),"0.00")&amp;"_"&amp;TEXT(INDEX(MASTER!$E:$E,MATCH("Cryovial box 5: "&amp;($A56&amp;F$54),MASTER!$L:$L,0)),"mmddyy"),"")</f>
        <v/>
      </c>
      <c r="G56" s="4" t="str">
        <f>IFERROR(INDEX(MASTER!$A:$A,MATCH("Cryovial box 5: "&amp;($A56&amp;G$54),MASTER!$L:$L,0))&amp;"_ser_"&amp;TEXT(VALUE(SUBSTITUTE(SUBSTITUTE(TRIM(INDEX(MASTER!$M:$M,MATCH("Cryovial box 5: "&amp;($A56&amp;G$54),MASTER!$L:$L,0))),"ml",""),":",".")),"0.00")&amp;"_"&amp;TEXT(INDEX(MASTER!$E:$E,MATCH("Cryovial box 5: "&amp;($A56&amp;G$54),MASTER!$L:$L,0)),"mmddyy"),"")</f>
        <v/>
      </c>
      <c r="H56" s="4" t="str">
        <f>IFERROR(INDEX(MASTER!$A:$A,MATCH("Cryovial box 5: "&amp;($A56&amp;H$54),MASTER!$L:$L,0))&amp;"_ser_"&amp;TEXT(VALUE(SUBSTITUTE(SUBSTITUTE(TRIM(INDEX(MASTER!$M:$M,MATCH("Cryovial box 5: "&amp;($A56&amp;H$54),MASTER!$L:$L,0))),"ml",""),":",".")),"0.00")&amp;"_"&amp;TEXT(INDEX(MASTER!$E:$E,MATCH("Cryovial box 5: "&amp;($A56&amp;H$54),MASTER!$L:$L,0)),"mmddyy"),"")</f>
        <v/>
      </c>
      <c r="I56" s="4" t="str">
        <f>IFERROR(INDEX(MASTER!$A:$A,MATCH("Cryovial box 5: "&amp;($A56&amp;I$54),MASTER!$L:$L,0))&amp;"_ser_"&amp;TEXT(VALUE(SUBSTITUTE(SUBSTITUTE(TRIM(INDEX(MASTER!$M:$M,MATCH("Cryovial box 5: "&amp;($A56&amp;I$54),MASTER!$L:$L,0))),"ml",""),":",".")),"0.00")&amp;"_"&amp;TEXT(INDEX(MASTER!$E:$E,MATCH("Cryovial box 5: "&amp;($A56&amp;I$54),MASTER!$L:$L,0)),"mmddyy"),"")</f>
        <v/>
      </c>
      <c r="J56" s="4" t="str">
        <f>IFERROR(INDEX(MASTER!$A:$A,MATCH("Cryovial box 5: "&amp;($A56&amp;J$54),MASTER!$L:$L,0))&amp;"_ser_"&amp;TEXT(VALUE(SUBSTITUTE(SUBSTITUTE(TRIM(INDEX(MASTER!$M:$M,MATCH("Cryovial box 5: "&amp;($A56&amp;J$54),MASTER!$L:$L,0))),"ml",""),":",".")),"0.00")&amp;"_"&amp;TEXT(INDEX(MASTER!$E:$E,MATCH("Cryovial box 5: "&amp;($A56&amp;J$54),MASTER!$L:$L,0)),"mmddyy"),"")</f>
        <v/>
      </c>
      <c r="K56" s="4" t="str">
        <f>IFERROR(INDEX(MASTER!$A:$A,MATCH("Cryovial box 5: "&amp;($A56&amp;K$54),MASTER!$L:$L,0))&amp;"_ser_"&amp;TEXT(VALUE(SUBSTITUTE(SUBSTITUTE(TRIM(INDEX(MASTER!$M:$M,MATCH("Cryovial box 5: "&amp;($A56&amp;K$54),MASTER!$L:$L,0))),"ml",""),":",".")),"0.00")&amp;"_"&amp;TEXT(INDEX(MASTER!$E:$E,MATCH("Cryovial box 5: "&amp;($A56&amp;K$54),MASTER!$L:$L,0)),"mmddyy"),"")</f>
        <v/>
      </c>
    </row>
    <row r="57" spans="1:11" ht="20.149999999999999" customHeight="1" x14ac:dyDescent="0.3">
      <c r="A57" s="6" t="s">
        <v>32</v>
      </c>
      <c r="B57" s="4" t="str">
        <f>IFERROR(INDEX(MASTER!$A:$A,MATCH("Cryovial box 5: "&amp;($A57&amp;B$54),MASTER!$L:$L,0))&amp;"_ser_"&amp;TEXT(VALUE(SUBSTITUTE(SUBSTITUTE(TRIM(INDEX(MASTER!$M:$M,MATCH("Cryovial box 5: "&amp;($A57&amp;B$54),MASTER!$L:$L,0))),"ml",""),":",".")),"0.00")&amp;"_"&amp;TEXT(INDEX(MASTER!$E:$E,MATCH("Cryovial box 5: "&amp;($A57&amp;B$54),MASTER!$L:$L,0)),"mmddyy"),"")</f>
        <v/>
      </c>
      <c r="C57" s="4" t="str">
        <f>IFERROR(INDEX(MASTER!$A:$A,MATCH("Cryovial box 5: "&amp;($A57&amp;C$54),MASTER!$L:$L,0))&amp;"_ser_"&amp;TEXT(VALUE(SUBSTITUTE(SUBSTITUTE(TRIM(INDEX(MASTER!$M:$M,MATCH("Cryovial box 5: "&amp;($A57&amp;C$54),MASTER!$L:$L,0))),"ml",""),":",".")),"0.00")&amp;"_"&amp;TEXT(INDEX(MASTER!$E:$E,MATCH("Cryovial box 5: "&amp;($A57&amp;C$54),MASTER!$L:$L,0)),"mmddyy"),"")</f>
        <v/>
      </c>
      <c r="D57" s="4" t="str">
        <f>IFERROR(INDEX(MASTER!$A:$A,MATCH("Cryovial box 5: "&amp;($A57&amp;D$54),MASTER!$L:$L,0))&amp;"_ser_"&amp;TEXT(VALUE(SUBSTITUTE(SUBSTITUTE(TRIM(INDEX(MASTER!$M:$M,MATCH("Cryovial box 5: "&amp;($A57&amp;D$54),MASTER!$L:$L,0))),"ml",""),":",".")),"0.00")&amp;"_"&amp;TEXT(INDEX(MASTER!$E:$E,MATCH("Cryovial box 5: "&amp;($A57&amp;D$54),MASTER!$L:$L,0)),"mmddyy"),"")</f>
        <v/>
      </c>
      <c r="E57" s="4" t="str">
        <f>IFERROR(INDEX(MASTER!$A:$A,MATCH("Cryovial box 5: "&amp;($A57&amp;E$54),MASTER!$L:$L,0))&amp;"_ser_"&amp;TEXT(VALUE(SUBSTITUTE(SUBSTITUTE(TRIM(INDEX(MASTER!$M:$M,MATCH("Cryovial box 5: "&amp;($A57&amp;E$54),MASTER!$L:$L,0))),"ml",""),":",".")),"0.00")&amp;"_"&amp;TEXT(INDEX(MASTER!$E:$E,MATCH("Cryovial box 5: "&amp;($A57&amp;E$54),MASTER!$L:$L,0)),"mmddyy"),"")</f>
        <v/>
      </c>
      <c r="F57" s="4" t="str">
        <f>IFERROR(INDEX(MASTER!$A:$A,MATCH("Cryovial box 5: "&amp;($A57&amp;F$54),MASTER!$L:$L,0))&amp;"_ser_"&amp;TEXT(VALUE(SUBSTITUTE(SUBSTITUTE(TRIM(INDEX(MASTER!$M:$M,MATCH("Cryovial box 5: "&amp;($A57&amp;F$54),MASTER!$L:$L,0))),"ml",""),":",".")),"0.00")&amp;"_"&amp;TEXT(INDEX(MASTER!$E:$E,MATCH("Cryovial box 5: "&amp;($A57&amp;F$54),MASTER!$L:$L,0)),"mmddyy"),"")</f>
        <v/>
      </c>
      <c r="G57" s="4" t="str">
        <f>IFERROR(INDEX(MASTER!$A:$A,MATCH("Cryovial box 5: "&amp;($A57&amp;G$54),MASTER!$L:$L,0))&amp;"_ser_"&amp;TEXT(VALUE(SUBSTITUTE(SUBSTITUTE(TRIM(INDEX(MASTER!$M:$M,MATCH("Cryovial box 5: "&amp;($A57&amp;G$54),MASTER!$L:$L,0))),"ml",""),":",".")),"0.00")&amp;"_"&amp;TEXT(INDEX(MASTER!$E:$E,MATCH("Cryovial box 5: "&amp;($A57&amp;G$54),MASTER!$L:$L,0)),"mmddyy"),"")</f>
        <v/>
      </c>
      <c r="H57" s="4" t="str">
        <f>IFERROR(INDEX(MASTER!$A:$A,MATCH("Cryovial box 5: "&amp;($A57&amp;H$54),MASTER!$L:$L,0))&amp;"_ser_"&amp;TEXT(VALUE(SUBSTITUTE(SUBSTITUTE(TRIM(INDEX(MASTER!$M:$M,MATCH("Cryovial box 5: "&amp;($A57&amp;H$54),MASTER!$L:$L,0))),"ml",""),":",".")),"0.00")&amp;"_"&amp;TEXT(INDEX(MASTER!$E:$E,MATCH("Cryovial box 5: "&amp;($A57&amp;H$54),MASTER!$L:$L,0)),"mmddyy"),"")</f>
        <v/>
      </c>
      <c r="I57" s="4" t="str">
        <f>IFERROR(INDEX(MASTER!$A:$A,MATCH("Cryovial box 5: "&amp;($A57&amp;I$54),MASTER!$L:$L,0))&amp;"_ser_"&amp;TEXT(VALUE(SUBSTITUTE(SUBSTITUTE(TRIM(INDEX(MASTER!$M:$M,MATCH("Cryovial box 5: "&amp;($A57&amp;I$54),MASTER!$L:$L,0))),"ml",""),":",".")),"0.00")&amp;"_"&amp;TEXT(INDEX(MASTER!$E:$E,MATCH("Cryovial box 5: "&amp;($A57&amp;I$54),MASTER!$L:$L,0)),"mmddyy"),"")</f>
        <v/>
      </c>
      <c r="J57" s="4" t="str">
        <f>IFERROR(INDEX(MASTER!$A:$A,MATCH("Cryovial box 5: "&amp;($A57&amp;J$54),MASTER!$L:$L,0))&amp;"_ser_"&amp;TEXT(VALUE(SUBSTITUTE(SUBSTITUTE(TRIM(INDEX(MASTER!$M:$M,MATCH("Cryovial box 5: "&amp;($A57&amp;J$54),MASTER!$L:$L,0))),"ml",""),":",".")),"0.00")&amp;"_"&amp;TEXT(INDEX(MASTER!$E:$E,MATCH("Cryovial box 5: "&amp;($A57&amp;J$54),MASTER!$L:$L,0)),"mmddyy"),"")</f>
        <v/>
      </c>
      <c r="K57" s="4" t="str">
        <f>IFERROR(INDEX(MASTER!$A:$A,MATCH("Cryovial box 5: "&amp;($A57&amp;K$54),MASTER!$L:$L,0))&amp;"_ser_"&amp;TEXT(VALUE(SUBSTITUTE(SUBSTITUTE(TRIM(INDEX(MASTER!$M:$M,MATCH("Cryovial box 5: "&amp;($A57&amp;K$54),MASTER!$L:$L,0))),"ml",""),":",".")),"0.00")&amp;"_"&amp;TEXT(INDEX(MASTER!$E:$E,MATCH("Cryovial box 5: "&amp;($A57&amp;K$54),MASTER!$L:$L,0)),"mmddyy"),"")</f>
        <v/>
      </c>
    </row>
    <row r="58" spans="1:11" ht="14.15" customHeight="1" x14ac:dyDescent="0.3">
      <c r="A58" s="6" t="s">
        <v>33</v>
      </c>
      <c r="B58" s="4" t="str">
        <f>IFERROR(INDEX(MASTER!$A:$A,MATCH("Cryovial box 5: "&amp;($A58&amp;B$54),MASTER!$L:$L,0))&amp;"_ser_"&amp;TEXT(VALUE(SUBSTITUTE(SUBSTITUTE(TRIM(INDEX(MASTER!$M:$M,MATCH("Cryovial box 5: "&amp;($A58&amp;B$54),MASTER!$L:$L,0))),"ml",""),":",".")),"0.00")&amp;"_"&amp;TEXT(INDEX(MASTER!$E:$E,MATCH("Cryovial box 5: "&amp;($A58&amp;B$54),MASTER!$L:$L,0)),"mmddyy"),"")</f>
        <v/>
      </c>
      <c r="C58" s="4" t="str">
        <f>IFERROR(INDEX(MASTER!$A:$A,MATCH("Cryovial box 5: "&amp;($A58&amp;C$54),MASTER!$L:$L,0))&amp;"_ser_"&amp;TEXT(VALUE(SUBSTITUTE(SUBSTITUTE(TRIM(INDEX(MASTER!$M:$M,MATCH("Cryovial box 5: "&amp;($A58&amp;C$54),MASTER!$L:$L,0))),"ml",""),":",".")),"0.00")&amp;"_"&amp;TEXT(INDEX(MASTER!$E:$E,MATCH("Cryovial box 5: "&amp;($A58&amp;C$54),MASTER!$L:$L,0)),"mmddyy"),"")</f>
        <v/>
      </c>
      <c r="D58" s="4" t="str">
        <f>IFERROR(INDEX(MASTER!$A:$A,MATCH("Cryovial box 5: "&amp;($A58&amp;D$54),MASTER!$L:$L,0))&amp;"_ser_"&amp;TEXT(VALUE(SUBSTITUTE(SUBSTITUTE(TRIM(INDEX(MASTER!$M:$M,MATCH("Cryovial box 5: "&amp;($A58&amp;D$54),MASTER!$L:$L,0))),"ml",""),":",".")),"0.00")&amp;"_"&amp;TEXT(INDEX(MASTER!$E:$E,MATCH("Cryovial box 5: "&amp;($A58&amp;D$54),MASTER!$L:$L,0)),"mmddyy"),"")</f>
        <v/>
      </c>
      <c r="E58" s="4" t="str">
        <f>IFERROR(INDEX(MASTER!$A:$A,MATCH("Cryovial box 5: "&amp;($A58&amp;E$54),MASTER!$L:$L,0))&amp;"_ser_"&amp;TEXT(VALUE(SUBSTITUTE(SUBSTITUTE(TRIM(INDEX(MASTER!$M:$M,MATCH("Cryovial box 5: "&amp;($A58&amp;E$54),MASTER!$L:$L,0))),"ml",""),":",".")),"0.00")&amp;"_"&amp;TEXT(INDEX(MASTER!$E:$E,MATCH("Cryovial box 5: "&amp;($A58&amp;E$54),MASTER!$L:$L,0)),"mmddyy"),"")</f>
        <v/>
      </c>
      <c r="F58" s="4" t="str">
        <f>IFERROR(INDEX(MASTER!$A:$A,MATCH("Cryovial box 5: "&amp;($A58&amp;F$54),MASTER!$L:$L,0))&amp;"_ser_"&amp;TEXT(VALUE(SUBSTITUTE(SUBSTITUTE(TRIM(INDEX(MASTER!$M:$M,MATCH("Cryovial box 5: "&amp;($A58&amp;F$54),MASTER!$L:$L,0))),"ml",""),":",".")),"0.00")&amp;"_"&amp;TEXT(INDEX(MASTER!$E:$E,MATCH("Cryovial box 5: "&amp;($A58&amp;F$54),MASTER!$L:$L,0)),"mmddyy"),"")</f>
        <v/>
      </c>
      <c r="G58" s="4" t="str">
        <f>IFERROR(INDEX(MASTER!$A:$A,MATCH("Cryovial box 5: "&amp;($A58&amp;G$54),MASTER!$L:$L,0))&amp;"_ser_"&amp;TEXT(VALUE(SUBSTITUTE(SUBSTITUTE(TRIM(INDEX(MASTER!$M:$M,MATCH("Cryovial box 5: "&amp;($A58&amp;G$54),MASTER!$L:$L,0))),"ml",""),":",".")),"0.00")&amp;"_"&amp;TEXT(INDEX(MASTER!$E:$E,MATCH("Cryovial box 5: "&amp;($A58&amp;G$54),MASTER!$L:$L,0)),"mmddyy"),"")</f>
        <v/>
      </c>
      <c r="H58" s="4" t="str">
        <f>IFERROR(INDEX(MASTER!$A:$A,MATCH("Cryovial box 5: "&amp;($A58&amp;H$54),MASTER!$L:$L,0))&amp;"_ser_"&amp;TEXT(VALUE(SUBSTITUTE(SUBSTITUTE(TRIM(INDEX(MASTER!$M:$M,MATCH("Cryovial box 5: "&amp;($A58&amp;H$54),MASTER!$L:$L,0))),"ml",""),":",".")),"0.00")&amp;"_"&amp;TEXT(INDEX(MASTER!$E:$E,MATCH("Cryovial box 5: "&amp;($A58&amp;H$54),MASTER!$L:$L,0)),"mmddyy"),"")</f>
        <v/>
      </c>
      <c r="I58" s="4" t="str">
        <f>IFERROR(INDEX(MASTER!$A:$A,MATCH("Cryovial box 5: "&amp;($A58&amp;I$54),MASTER!$L:$L,0))&amp;"_ser_"&amp;TEXT(VALUE(SUBSTITUTE(SUBSTITUTE(TRIM(INDEX(MASTER!$M:$M,MATCH("Cryovial box 5: "&amp;($A58&amp;I$54),MASTER!$L:$L,0))),"ml",""),":",".")),"0.00")&amp;"_"&amp;TEXT(INDEX(MASTER!$E:$E,MATCH("Cryovial box 5: "&amp;($A58&amp;I$54),MASTER!$L:$L,0)),"mmddyy"),"")</f>
        <v/>
      </c>
      <c r="J58" s="4" t="str">
        <f>IFERROR(INDEX(MASTER!$A:$A,MATCH("Cryovial box 5: "&amp;($A58&amp;J$54),MASTER!$L:$L,0))&amp;"_ser_"&amp;TEXT(VALUE(SUBSTITUTE(SUBSTITUTE(TRIM(INDEX(MASTER!$M:$M,MATCH("Cryovial box 5: "&amp;($A58&amp;J$54),MASTER!$L:$L,0))),"ml",""),":",".")),"0.00")&amp;"_"&amp;TEXT(INDEX(MASTER!$E:$E,MATCH("Cryovial box 5: "&amp;($A58&amp;J$54),MASTER!$L:$L,0)),"mmddyy"),"")</f>
        <v/>
      </c>
      <c r="K58" s="4" t="str">
        <f>IFERROR(INDEX(MASTER!$A:$A,MATCH("Cryovial box 5: "&amp;($A58&amp;K$54),MASTER!$L:$L,0))&amp;"_ser_"&amp;TEXT(VALUE(SUBSTITUTE(SUBSTITUTE(TRIM(INDEX(MASTER!$M:$M,MATCH("Cryovial box 5: "&amp;($A58&amp;K$54),MASTER!$L:$L,0))),"ml",""),":",".")),"0.00")&amp;"_"&amp;TEXT(INDEX(MASTER!$E:$E,MATCH("Cryovial box 5: "&amp;($A58&amp;K$54),MASTER!$L:$L,0)),"mmddyy"),"")</f>
        <v/>
      </c>
    </row>
    <row r="59" spans="1:11" ht="14.15" customHeight="1" x14ac:dyDescent="0.3">
      <c r="A59" s="6" t="s">
        <v>34</v>
      </c>
      <c r="B59" s="4" t="str">
        <f>IFERROR(INDEX(MASTER!$A:$A,MATCH("Cryovial box 5: "&amp;($A59&amp;B$54),MASTER!$L:$L,0))&amp;"_ser_"&amp;TEXT(VALUE(SUBSTITUTE(SUBSTITUTE(TRIM(INDEX(MASTER!$M:$M,MATCH("Cryovial box 5: "&amp;($A59&amp;B$54),MASTER!$L:$L,0))),"ml",""),":",".")),"0.00")&amp;"_"&amp;TEXT(INDEX(MASTER!$E:$E,MATCH("Cryovial box 5: "&amp;($A59&amp;B$54),MASTER!$L:$L,0)),"mmddyy"),"")</f>
        <v/>
      </c>
      <c r="C59" s="4" t="str">
        <f>IFERROR(INDEX(MASTER!$A:$A,MATCH("Cryovial box 5: "&amp;($A59&amp;C$54),MASTER!$L:$L,0))&amp;"_ser_"&amp;TEXT(VALUE(SUBSTITUTE(SUBSTITUTE(TRIM(INDEX(MASTER!$M:$M,MATCH("Cryovial box 5: "&amp;($A59&amp;C$54),MASTER!$L:$L,0))),"ml",""),":",".")),"0.00")&amp;"_"&amp;TEXT(INDEX(MASTER!$E:$E,MATCH("Cryovial box 5: "&amp;($A59&amp;C$54),MASTER!$L:$L,0)),"mmddyy"),"")</f>
        <v/>
      </c>
      <c r="D59" s="4" t="str">
        <f>IFERROR(INDEX(MASTER!$A:$A,MATCH("Cryovial box 5: "&amp;($A59&amp;D$54),MASTER!$L:$L,0))&amp;"_ser_"&amp;TEXT(VALUE(SUBSTITUTE(SUBSTITUTE(TRIM(INDEX(MASTER!$M:$M,MATCH("Cryovial box 5: "&amp;($A59&amp;D$54),MASTER!$L:$L,0))),"ml",""),":",".")),"0.00")&amp;"_"&amp;TEXT(INDEX(MASTER!$E:$E,MATCH("Cryovial box 5: "&amp;($A59&amp;D$54),MASTER!$L:$L,0)),"mmddyy"),"")</f>
        <v/>
      </c>
      <c r="E59" s="4" t="str">
        <f>IFERROR(INDEX(MASTER!$A:$A,MATCH("Cryovial box 5: "&amp;($A59&amp;E$54),MASTER!$L:$L,0))&amp;"_ser_"&amp;TEXT(VALUE(SUBSTITUTE(SUBSTITUTE(TRIM(INDEX(MASTER!$M:$M,MATCH("Cryovial box 5: "&amp;($A59&amp;E$54),MASTER!$L:$L,0))),"ml",""),":",".")),"0.00")&amp;"_"&amp;TEXT(INDEX(MASTER!$E:$E,MATCH("Cryovial box 5: "&amp;($A59&amp;E$54),MASTER!$L:$L,0)),"mmddyy"),"")</f>
        <v/>
      </c>
      <c r="F59" s="4" t="str">
        <f>IFERROR(INDEX(MASTER!$A:$A,MATCH("Cryovial box 5: "&amp;($A59&amp;F$54),MASTER!$L:$L,0))&amp;"_ser_"&amp;TEXT(VALUE(SUBSTITUTE(SUBSTITUTE(TRIM(INDEX(MASTER!$M:$M,MATCH("Cryovial box 5: "&amp;($A59&amp;F$54),MASTER!$L:$L,0))),"ml",""),":",".")),"0.00")&amp;"_"&amp;TEXT(INDEX(MASTER!$E:$E,MATCH("Cryovial box 5: "&amp;($A59&amp;F$54),MASTER!$L:$L,0)),"mmddyy"),"")</f>
        <v/>
      </c>
      <c r="G59" s="4" t="str">
        <f>IFERROR(INDEX(MASTER!$A:$A,MATCH("Cryovial box 5: "&amp;($A59&amp;G$54),MASTER!$L:$L,0))&amp;"_ser_"&amp;TEXT(VALUE(SUBSTITUTE(SUBSTITUTE(TRIM(INDEX(MASTER!$M:$M,MATCH("Cryovial box 5: "&amp;($A59&amp;G$54),MASTER!$L:$L,0))),"ml",""),":",".")),"0.00")&amp;"_"&amp;TEXT(INDEX(MASTER!$E:$E,MATCH("Cryovial box 5: "&amp;($A59&amp;G$54),MASTER!$L:$L,0)),"mmddyy"),"")</f>
        <v/>
      </c>
      <c r="H59" s="4" t="str">
        <f>IFERROR(INDEX(MASTER!$A:$A,MATCH("Cryovial box 5: "&amp;($A59&amp;H$54),MASTER!$L:$L,0))&amp;"_ser_"&amp;TEXT(VALUE(SUBSTITUTE(SUBSTITUTE(TRIM(INDEX(MASTER!$M:$M,MATCH("Cryovial box 5: "&amp;($A59&amp;H$54),MASTER!$L:$L,0))),"ml",""),":",".")),"0.00")&amp;"_"&amp;TEXT(INDEX(MASTER!$E:$E,MATCH("Cryovial box 5: "&amp;($A59&amp;H$54),MASTER!$L:$L,0)),"mmddyy"),"")</f>
        <v/>
      </c>
      <c r="I59" s="4" t="str">
        <f>IFERROR(INDEX(MASTER!$A:$A,MATCH("Cryovial box 5: "&amp;($A59&amp;I$54),MASTER!$L:$L,0))&amp;"_ser_"&amp;TEXT(VALUE(SUBSTITUTE(SUBSTITUTE(TRIM(INDEX(MASTER!$M:$M,MATCH("Cryovial box 5: "&amp;($A59&amp;I$54),MASTER!$L:$L,0))),"ml",""),":",".")),"0.00")&amp;"_"&amp;TEXT(INDEX(MASTER!$E:$E,MATCH("Cryovial box 5: "&amp;($A59&amp;I$54),MASTER!$L:$L,0)),"mmddyy"),"")</f>
        <v/>
      </c>
      <c r="J59" s="4" t="str">
        <f>IFERROR(INDEX(MASTER!$A:$A,MATCH("Cryovial box 5: "&amp;($A59&amp;J$54),MASTER!$L:$L,0))&amp;"_ser_"&amp;TEXT(VALUE(SUBSTITUTE(SUBSTITUTE(TRIM(INDEX(MASTER!$M:$M,MATCH("Cryovial box 5: "&amp;($A59&amp;J$54),MASTER!$L:$L,0))),"ml",""),":",".")),"0.00")&amp;"_"&amp;TEXT(INDEX(MASTER!$E:$E,MATCH("Cryovial box 5: "&amp;($A59&amp;J$54),MASTER!$L:$L,0)),"mmddyy"),"")</f>
        <v/>
      </c>
      <c r="K59" s="4" t="str">
        <f>IFERROR(INDEX(MASTER!$A:$A,MATCH("Cryovial box 5: "&amp;($A59&amp;K$54),MASTER!$L:$L,0))&amp;"_ser_"&amp;TEXT(VALUE(SUBSTITUTE(SUBSTITUTE(TRIM(INDEX(MASTER!$M:$M,MATCH("Cryovial box 5: "&amp;($A59&amp;K$54),MASTER!$L:$L,0))),"ml",""),":",".")),"0.00")&amp;"_"&amp;TEXT(INDEX(MASTER!$E:$E,MATCH("Cryovial box 5: "&amp;($A59&amp;K$54),MASTER!$L:$L,0)),"mmddyy"),"")</f>
        <v/>
      </c>
    </row>
    <row r="60" spans="1:11" ht="14.15" customHeight="1" x14ac:dyDescent="0.3">
      <c r="A60" s="6" t="s">
        <v>15</v>
      </c>
      <c r="B60" s="4" t="str">
        <f>IFERROR(INDEX(MASTER!$A:$A,MATCH("Cryovial box 5: "&amp;($A60&amp;B$54),MASTER!$L:$L,0))&amp;"_ser_"&amp;TEXT(VALUE(SUBSTITUTE(SUBSTITUTE(TRIM(INDEX(MASTER!$M:$M,MATCH("Cryovial box 5: "&amp;($A60&amp;B$54),MASTER!$L:$L,0))),"ml",""),":",".")),"0.00")&amp;"_"&amp;TEXT(INDEX(MASTER!$E:$E,MATCH("Cryovial box 5: "&amp;($A60&amp;B$54),MASTER!$L:$L,0)),"mmddyy"),"")</f>
        <v/>
      </c>
      <c r="C60" s="4" t="str">
        <f>IFERROR(INDEX(MASTER!$A:$A,MATCH("Cryovial box 5: "&amp;($A60&amp;C$54),MASTER!$L:$L,0))&amp;"_ser_"&amp;TEXT(VALUE(SUBSTITUTE(SUBSTITUTE(TRIM(INDEX(MASTER!$M:$M,MATCH("Cryovial box 5: "&amp;($A60&amp;C$54),MASTER!$L:$L,0))),"ml",""),":",".")),"0.00")&amp;"_"&amp;TEXT(INDEX(MASTER!$E:$E,MATCH("Cryovial box 5: "&amp;($A60&amp;C$54),MASTER!$L:$L,0)),"mmddyy"),"")</f>
        <v/>
      </c>
      <c r="D60" s="4" t="str">
        <f>IFERROR(INDEX(MASTER!$A:$A,MATCH("Cryovial box 5: "&amp;($A60&amp;D$54),MASTER!$L:$L,0))&amp;"_ser_"&amp;TEXT(VALUE(SUBSTITUTE(SUBSTITUTE(TRIM(INDEX(MASTER!$M:$M,MATCH("Cryovial box 5: "&amp;($A60&amp;D$54),MASTER!$L:$L,0))),"ml",""),":",".")),"0.00")&amp;"_"&amp;TEXT(INDEX(MASTER!$E:$E,MATCH("Cryovial box 5: "&amp;($A60&amp;D$54),MASTER!$L:$L,0)),"mmddyy"),"")</f>
        <v/>
      </c>
      <c r="E60" s="4" t="str">
        <f>IFERROR(INDEX(MASTER!$A:$A,MATCH("Cryovial box 5: "&amp;($A60&amp;E$54),MASTER!$L:$L,0))&amp;"_ser_"&amp;TEXT(VALUE(SUBSTITUTE(SUBSTITUTE(TRIM(INDEX(MASTER!$M:$M,MATCH("Cryovial box 5: "&amp;($A60&amp;E$54),MASTER!$L:$L,0))),"ml",""),":",".")),"0.00")&amp;"_"&amp;TEXT(INDEX(MASTER!$E:$E,MATCH("Cryovial box 5: "&amp;($A60&amp;E$54),MASTER!$L:$L,0)),"mmddyy"),"")</f>
        <v/>
      </c>
      <c r="F60" s="4" t="str">
        <f>IFERROR(INDEX(MASTER!$A:$A,MATCH("Cryovial box 5: "&amp;($A60&amp;F$54),MASTER!$L:$L,0))&amp;"_ser_"&amp;TEXT(VALUE(SUBSTITUTE(SUBSTITUTE(TRIM(INDEX(MASTER!$M:$M,MATCH("Cryovial box 5: "&amp;($A60&amp;F$54),MASTER!$L:$L,0))),"ml",""),":",".")),"0.00")&amp;"_"&amp;TEXT(INDEX(MASTER!$E:$E,MATCH("Cryovial box 5: "&amp;($A60&amp;F$54),MASTER!$L:$L,0)),"mmddyy"),"")</f>
        <v/>
      </c>
      <c r="G60" s="4" t="str">
        <f>IFERROR(INDEX(MASTER!$A:$A,MATCH("Cryovial box 5: "&amp;($A60&amp;G$54),MASTER!$L:$L,0))&amp;"_ser_"&amp;TEXT(VALUE(SUBSTITUTE(SUBSTITUTE(TRIM(INDEX(MASTER!$M:$M,MATCH("Cryovial box 5: "&amp;($A60&amp;G$54),MASTER!$L:$L,0))),"ml",""),":",".")),"0.00")&amp;"_"&amp;TEXT(INDEX(MASTER!$E:$E,MATCH("Cryovial box 5: "&amp;($A60&amp;G$54),MASTER!$L:$L,0)),"mmddyy"),"")</f>
        <v/>
      </c>
      <c r="H60" s="4" t="str">
        <f>IFERROR(INDEX(MASTER!$A:$A,MATCH("Cryovial box 5: "&amp;($A60&amp;H$54),MASTER!$L:$L,0))&amp;"_ser_"&amp;TEXT(VALUE(SUBSTITUTE(SUBSTITUTE(TRIM(INDEX(MASTER!$M:$M,MATCH("Cryovial box 5: "&amp;($A60&amp;H$54),MASTER!$L:$L,0))),"ml",""),":",".")),"0.00")&amp;"_"&amp;TEXT(INDEX(MASTER!$E:$E,MATCH("Cryovial box 5: "&amp;($A60&amp;H$54),MASTER!$L:$L,0)),"mmddyy"),"")</f>
        <v/>
      </c>
      <c r="I60" s="4" t="str">
        <f>IFERROR(INDEX(MASTER!$A:$A,MATCH("Cryovial box 5: "&amp;($A60&amp;I$54),MASTER!$L:$L,0))&amp;"_ser_"&amp;TEXT(VALUE(SUBSTITUTE(SUBSTITUTE(TRIM(INDEX(MASTER!$M:$M,MATCH("Cryovial box 5: "&amp;($A60&amp;I$54),MASTER!$L:$L,0))),"ml",""),":",".")),"0.00")&amp;"_"&amp;TEXT(INDEX(MASTER!$E:$E,MATCH("Cryovial box 5: "&amp;($A60&amp;I$54),MASTER!$L:$L,0)),"mmddyy"),"")</f>
        <v/>
      </c>
      <c r="J60" s="4" t="str">
        <f>IFERROR(INDEX(MASTER!$A:$A,MATCH("Cryovial box 5: "&amp;($A60&amp;J$54),MASTER!$L:$L,0))&amp;"_ser_"&amp;TEXT(VALUE(SUBSTITUTE(SUBSTITUTE(TRIM(INDEX(MASTER!$M:$M,MATCH("Cryovial box 5: "&amp;($A60&amp;J$54),MASTER!$L:$L,0))),"ml",""),":",".")),"0.00")&amp;"_"&amp;TEXT(INDEX(MASTER!$E:$E,MATCH("Cryovial box 5: "&amp;($A60&amp;J$54),MASTER!$L:$L,0)),"mmddyy"),"")</f>
        <v/>
      </c>
      <c r="K60" s="4" t="str">
        <f>IFERROR(INDEX(MASTER!$A:$A,MATCH("Cryovial box 5: "&amp;($A60&amp;K$54),MASTER!$L:$L,0))&amp;"_ser_"&amp;TEXT(VALUE(SUBSTITUTE(SUBSTITUTE(TRIM(INDEX(MASTER!$M:$M,MATCH("Cryovial box 5: "&amp;($A60&amp;K$54),MASTER!$L:$L,0))),"ml",""),":",".")),"0.00")&amp;"_"&amp;TEXT(INDEX(MASTER!$E:$E,MATCH("Cryovial box 5: "&amp;($A60&amp;K$54),MASTER!$L:$L,0)),"mmddyy"),"")</f>
        <v/>
      </c>
    </row>
    <row r="61" spans="1:11" ht="15" customHeight="1" x14ac:dyDescent="0.3">
      <c r="A61" s="6" t="s">
        <v>35</v>
      </c>
      <c r="B61" s="4" t="str">
        <f>IFERROR(INDEX(MASTER!$A:$A,MATCH("Cryovial box 5: "&amp;($A61&amp;B$54),MASTER!$L:$L,0))&amp;"_ser_"&amp;TEXT(VALUE(SUBSTITUTE(SUBSTITUTE(TRIM(INDEX(MASTER!$M:$M,MATCH("Cryovial box 5: "&amp;($A61&amp;B$54),MASTER!$L:$L,0))),"ml",""),":",".")),"0.00")&amp;"_"&amp;TEXT(INDEX(MASTER!$E:$E,MATCH("Cryovial box 5: "&amp;($A61&amp;B$54),MASTER!$L:$L,0)),"mmddyy"),"")</f>
        <v/>
      </c>
      <c r="C61" s="4" t="str">
        <f>IFERROR(INDEX(MASTER!$A:$A,MATCH("Cryovial box 5: "&amp;($A61&amp;C$54),MASTER!$L:$L,0))&amp;"_ser_"&amp;TEXT(VALUE(SUBSTITUTE(SUBSTITUTE(TRIM(INDEX(MASTER!$M:$M,MATCH("Cryovial box 5: "&amp;($A61&amp;C$54),MASTER!$L:$L,0))),"ml",""),":",".")),"0.00")&amp;"_"&amp;TEXT(INDEX(MASTER!$E:$E,MATCH("Cryovial box 5: "&amp;($A61&amp;C$54),MASTER!$L:$L,0)),"mmddyy"),"")</f>
        <v/>
      </c>
      <c r="D61" s="4" t="str">
        <f>IFERROR(INDEX(MASTER!$A:$A,MATCH("Cryovial box 5: "&amp;($A61&amp;D$54),MASTER!$L:$L,0))&amp;"_ser_"&amp;TEXT(VALUE(SUBSTITUTE(SUBSTITUTE(TRIM(INDEX(MASTER!$M:$M,MATCH("Cryovial box 5: "&amp;($A61&amp;D$54),MASTER!$L:$L,0))),"ml",""),":",".")),"0.00")&amp;"_"&amp;TEXT(INDEX(MASTER!$E:$E,MATCH("Cryovial box 5: "&amp;($A61&amp;D$54),MASTER!$L:$L,0)),"mmddyy"),"")</f>
        <v/>
      </c>
      <c r="E61" s="4" t="str">
        <f>IFERROR(INDEX(MASTER!$A:$A,MATCH("Cryovial box 5: "&amp;($A61&amp;E$54),MASTER!$L:$L,0))&amp;"_ser_"&amp;TEXT(VALUE(SUBSTITUTE(SUBSTITUTE(TRIM(INDEX(MASTER!$M:$M,MATCH("Cryovial box 5: "&amp;($A61&amp;E$54),MASTER!$L:$L,0))),"ml",""),":",".")),"0.00")&amp;"_"&amp;TEXT(INDEX(MASTER!$E:$E,MATCH("Cryovial box 5: "&amp;($A61&amp;E$54),MASTER!$L:$L,0)),"mmddyy"),"")</f>
        <v/>
      </c>
      <c r="F61" s="4" t="str">
        <f>IFERROR(INDEX(MASTER!$A:$A,MATCH("Cryovial box 5: "&amp;($A61&amp;F$54),MASTER!$L:$L,0))&amp;"_ser_"&amp;TEXT(VALUE(SUBSTITUTE(SUBSTITUTE(TRIM(INDEX(MASTER!$M:$M,MATCH("Cryovial box 5: "&amp;($A61&amp;F$54),MASTER!$L:$L,0))),"ml",""),":",".")),"0.00")&amp;"_"&amp;TEXT(INDEX(MASTER!$E:$E,MATCH("Cryovial box 5: "&amp;($A61&amp;F$54),MASTER!$L:$L,0)),"mmddyy"),"")</f>
        <v/>
      </c>
      <c r="G61" s="4" t="str">
        <f>IFERROR(INDEX(MASTER!$A:$A,MATCH("Cryovial box 5: "&amp;($A61&amp;G$54),MASTER!$L:$L,0))&amp;"_ser_"&amp;TEXT(VALUE(SUBSTITUTE(SUBSTITUTE(TRIM(INDEX(MASTER!$M:$M,MATCH("Cryovial box 5: "&amp;($A61&amp;G$54),MASTER!$L:$L,0))),"ml",""),":",".")),"0.00")&amp;"_"&amp;TEXT(INDEX(MASTER!$E:$E,MATCH("Cryovial box 5: "&amp;($A61&amp;G$54),MASTER!$L:$L,0)),"mmddyy"),"")</f>
        <v/>
      </c>
      <c r="H61" s="4" t="str">
        <f>IFERROR(INDEX(MASTER!$A:$A,MATCH("Cryovial box 5: "&amp;($A61&amp;H$54),MASTER!$L:$L,0))&amp;"_ser_"&amp;TEXT(VALUE(SUBSTITUTE(SUBSTITUTE(TRIM(INDEX(MASTER!$M:$M,MATCH("Cryovial box 5: "&amp;($A61&amp;H$54),MASTER!$L:$L,0))),"ml",""),":",".")),"0.00")&amp;"_"&amp;TEXT(INDEX(MASTER!$E:$E,MATCH("Cryovial box 5: "&amp;($A61&amp;H$54),MASTER!$L:$L,0)),"mmddyy"),"")</f>
        <v/>
      </c>
      <c r="I61" s="4" t="str">
        <f>IFERROR(INDEX(MASTER!$A:$A,MATCH("Cryovial box 5: "&amp;($A61&amp;I$54),MASTER!$L:$L,0))&amp;"_ser_"&amp;TEXT(VALUE(SUBSTITUTE(SUBSTITUTE(TRIM(INDEX(MASTER!$M:$M,MATCH("Cryovial box 5: "&amp;($A61&amp;I$54),MASTER!$L:$L,0))),"ml",""),":",".")),"0.00")&amp;"_"&amp;TEXT(INDEX(MASTER!$E:$E,MATCH("Cryovial box 5: "&amp;($A61&amp;I$54),MASTER!$L:$L,0)),"mmddyy"),"")</f>
        <v/>
      </c>
      <c r="J61" s="4" t="str">
        <f>IFERROR(INDEX(MASTER!$A:$A,MATCH("Cryovial box 5: "&amp;($A61&amp;J$54),MASTER!$L:$L,0))&amp;"_ser_"&amp;TEXT(VALUE(SUBSTITUTE(SUBSTITUTE(TRIM(INDEX(MASTER!$M:$M,MATCH("Cryovial box 5: "&amp;($A61&amp;J$54),MASTER!$L:$L,0))),"ml",""),":",".")),"0.00")&amp;"_"&amp;TEXT(INDEX(MASTER!$E:$E,MATCH("Cryovial box 5: "&amp;($A61&amp;J$54),MASTER!$L:$L,0)),"mmddyy"),"")</f>
        <v/>
      </c>
      <c r="K61" s="4" t="str">
        <f>IFERROR(INDEX(MASTER!$A:$A,MATCH("Cryovial box 5: "&amp;($A61&amp;K$54),MASTER!$L:$L,0))&amp;"_ser_"&amp;TEXT(VALUE(SUBSTITUTE(SUBSTITUTE(TRIM(INDEX(MASTER!$M:$M,MATCH("Cryovial box 5: "&amp;($A61&amp;K$54),MASTER!$L:$L,0))),"ml",""),":",".")),"0.00")&amp;"_"&amp;TEXT(INDEX(MASTER!$E:$E,MATCH("Cryovial box 5: "&amp;($A61&amp;K$54),MASTER!$L:$L,0)),"mmddyy"),"")</f>
        <v/>
      </c>
    </row>
    <row r="62" spans="1:11" ht="15" customHeight="1" x14ac:dyDescent="0.3">
      <c r="A62" s="6" t="s">
        <v>36</v>
      </c>
      <c r="B62" s="4" t="str">
        <f>IFERROR(INDEX(MASTER!$A:$A,MATCH("Cryovial box 5: "&amp;($A62&amp;B$54),MASTER!$L:$L,0))&amp;"_ser_"&amp;TEXT(VALUE(SUBSTITUTE(SUBSTITUTE(TRIM(INDEX(MASTER!$M:$M,MATCH("Cryovial box 5: "&amp;($A62&amp;B$54),MASTER!$L:$L,0))),"ml",""),":",".")),"0.00")&amp;"_"&amp;TEXT(INDEX(MASTER!$E:$E,MATCH("Cryovial box 5: "&amp;($A62&amp;B$54),MASTER!$L:$L,0)),"mmddyy"),"")</f>
        <v/>
      </c>
      <c r="C62" s="4" t="str">
        <f>IFERROR(INDEX(MASTER!$A:$A,MATCH("Cryovial box 5: "&amp;($A62&amp;C$54),MASTER!$L:$L,0))&amp;"_ser_"&amp;TEXT(VALUE(SUBSTITUTE(SUBSTITUTE(TRIM(INDEX(MASTER!$M:$M,MATCH("Cryovial box 5: "&amp;($A62&amp;C$54),MASTER!$L:$L,0))),"ml",""),":",".")),"0.00")&amp;"_"&amp;TEXT(INDEX(MASTER!$E:$E,MATCH("Cryovial box 5: "&amp;($A62&amp;C$54),MASTER!$L:$L,0)),"mmddyy"),"")</f>
        <v/>
      </c>
      <c r="D62" s="4" t="str">
        <f>IFERROR(INDEX(MASTER!$A:$A,MATCH("Cryovial box 5: "&amp;($A62&amp;D$54),MASTER!$L:$L,0))&amp;"_ser_"&amp;TEXT(VALUE(SUBSTITUTE(SUBSTITUTE(TRIM(INDEX(MASTER!$M:$M,MATCH("Cryovial box 5: "&amp;($A62&amp;D$54),MASTER!$L:$L,0))),"ml",""),":",".")),"0.00")&amp;"_"&amp;TEXT(INDEX(MASTER!$E:$E,MATCH("Cryovial box 5: "&amp;($A62&amp;D$54),MASTER!$L:$L,0)),"mmddyy"),"")</f>
        <v/>
      </c>
      <c r="E62" s="4" t="str">
        <f>IFERROR(INDEX(MASTER!$A:$A,MATCH("Cryovial box 5: "&amp;($A62&amp;E$54),MASTER!$L:$L,0))&amp;"_ser_"&amp;TEXT(VALUE(SUBSTITUTE(SUBSTITUTE(TRIM(INDEX(MASTER!$M:$M,MATCH("Cryovial box 5: "&amp;($A62&amp;E$54),MASTER!$L:$L,0))),"ml",""),":",".")),"0.00")&amp;"_"&amp;TEXT(INDEX(MASTER!$E:$E,MATCH("Cryovial box 5: "&amp;($A62&amp;E$54),MASTER!$L:$L,0)),"mmddyy"),"")</f>
        <v/>
      </c>
      <c r="F62" s="4" t="str">
        <f>IFERROR(INDEX(MASTER!$A:$A,MATCH("Cryovial box 5: "&amp;($A62&amp;F$54),MASTER!$L:$L,0))&amp;"_ser_"&amp;TEXT(VALUE(SUBSTITUTE(SUBSTITUTE(TRIM(INDEX(MASTER!$M:$M,MATCH("Cryovial box 5: "&amp;($A62&amp;F$54),MASTER!$L:$L,0))),"ml",""),":",".")),"0.00")&amp;"_"&amp;TEXT(INDEX(MASTER!$E:$E,MATCH("Cryovial box 5: "&amp;($A62&amp;F$54),MASTER!$L:$L,0)),"mmddyy"),"")</f>
        <v/>
      </c>
      <c r="G62" s="4" t="str">
        <f>IFERROR(INDEX(MASTER!$A:$A,MATCH("Cryovial box 5: "&amp;($A62&amp;G$54),MASTER!$L:$L,0))&amp;"_ser_"&amp;TEXT(VALUE(SUBSTITUTE(SUBSTITUTE(TRIM(INDEX(MASTER!$M:$M,MATCH("Cryovial box 5: "&amp;($A62&amp;G$54),MASTER!$L:$L,0))),"ml",""),":",".")),"0.00")&amp;"_"&amp;TEXT(INDEX(MASTER!$E:$E,MATCH("Cryovial box 5: "&amp;($A62&amp;G$54),MASTER!$L:$L,0)),"mmddyy"),"")</f>
        <v/>
      </c>
      <c r="H62" s="4" t="str">
        <f>IFERROR(INDEX(MASTER!$A:$A,MATCH("Cryovial box 5: "&amp;($A62&amp;H$54),MASTER!$L:$L,0))&amp;"_ser_"&amp;TEXT(VALUE(SUBSTITUTE(SUBSTITUTE(TRIM(INDEX(MASTER!$M:$M,MATCH("Cryovial box 5: "&amp;($A62&amp;H$54),MASTER!$L:$L,0))),"ml",""),":",".")),"0.00")&amp;"_"&amp;TEXT(INDEX(MASTER!$E:$E,MATCH("Cryovial box 5: "&amp;($A62&amp;H$54),MASTER!$L:$L,0)),"mmddyy"),"")</f>
        <v/>
      </c>
      <c r="I62" s="4" t="str">
        <f>IFERROR(INDEX(MASTER!$A:$A,MATCH("Cryovial box 5: "&amp;($A62&amp;I$54),MASTER!$L:$L,0))&amp;"_ser_"&amp;TEXT(VALUE(SUBSTITUTE(SUBSTITUTE(TRIM(INDEX(MASTER!$M:$M,MATCH("Cryovial box 5: "&amp;($A62&amp;I$54),MASTER!$L:$L,0))),"ml",""),":",".")),"0.00")&amp;"_"&amp;TEXT(INDEX(MASTER!$E:$E,MATCH("Cryovial box 5: "&amp;($A62&amp;I$54),MASTER!$L:$L,0)),"mmddyy"),"")</f>
        <v/>
      </c>
      <c r="J62" s="4" t="str">
        <f>IFERROR(INDEX(MASTER!$A:$A,MATCH("Cryovial box 5: "&amp;($A62&amp;J$54),MASTER!$L:$L,0))&amp;"_ser_"&amp;TEXT(VALUE(SUBSTITUTE(SUBSTITUTE(TRIM(INDEX(MASTER!$M:$M,MATCH("Cryovial box 5: "&amp;($A62&amp;J$54),MASTER!$L:$L,0))),"ml",""),":",".")),"0.00")&amp;"_"&amp;TEXT(INDEX(MASTER!$E:$E,MATCH("Cryovial box 5: "&amp;($A62&amp;J$54),MASTER!$L:$L,0)),"mmddyy"),"")</f>
        <v/>
      </c>
      <c r="K62" s="4" t="str">
        <f>IFERROR(INDEX(MASTER!$A:$A,MATCH("Cryovial box 5: "&amp;($A62&amp;K$54),MASTER!$L:$L,0))&amp;"_ser_"&amp;TEXT(VALUE(SUBSTITUTE(SUBSTITUTE(TRIM(INDEX(MASTER!$M:$M,MATCH("Cryovial box 5: "&amp;($A62&amp;K$54),MASTER!$L:$L,0))),"ml",""),":",".")),"0.00")&amp;"_"&amp;TEXT(INDEX(MASTER!$E:$E,MATCH("Cryovial box 5: "&amp;($A62&amp;K$54),MASTER!$L:$L,0)),"mmddyy"),"")</f>
        <v/>
      </c>
    </row>
    <row r="63" spans="1:11" ht="15" customHeight="1" x14ac:dyDescent="0.3">
      <c r="A63" s="6" t="s">
        <v>100</v>
      </c>
      <c r="B63" s="4" t="str">
        <f>IFERROR(INDEX(MASTER!$A:$A,MATCH("Cryovial box 5: "&amp;($A63&amp;B$54),MASTER!$L:$L,0))&amp;"_ser_"&amp;TEXT(VALUE(SUBSTITUTE(SUBSTITUTE(TRIM(INDEX(MASTER!$M:$M,MATCH("Cryovial box 5: "&amp;($A63&amp;B$54),MASTER!$L:$L,0))),"ml",""),":",".")),"0.00")&amp;"_"&amp;TEXT(INDEX(MASTER!$E:$E,MATCH("Cryovial box 5: "&amp;($A63&amp;B$54),MASTER!$L:$L,0)),"mmddyy"),"")</f>
        <v/>
      </c>
      <c r="C63" s="4" t="str">
        <f>IFERROR(INDEX(MASTER!$A:$A,MATCH("Cryovial box 5: "&amp;($A63&amp;C$54),MASTER!$L:$L,0))&amp;"_ser_"&amp;TEXT(VALUE(SUBSTITUTE(SUBSTITUTE(TRIM(INDEX(MASTER!$M:$M,MATCH("Cryovial box 5: "&amp;($A63&amp;C$54),MASTER!$L:$L,0))),"ml",""),":",".")),"0.00")&amp;"_"&amp;TEXT(INDEX(MASTER!$E:$E,MATCH("Cryovial box 5: "&amp;($A63&amp;C$54),MASTER!$L:$L,0)),"mmddyy"),"")</f>
        <v/>
      </c>
      <c r="D63" s="4" t="str">
        <f>IFERROR(INDEX(MASTER!$A:$A,MATCH("Cryovial box 5: "&amp;($A63&amp;D$54),MASTER!$L:$L,0))&amp;"_ser_"&amp;TEXT(VALUE(SUBSTITUTE(SUBSTITUTE(TRIM(INDEX(MASTER!$M:$M,MATCH("Cryovial box 5: "&amp;($A63&amp;D$54),MASTER!$L:$L,0))),"ml",""),":",".")),"0.00")&amp;"_"&amp;TEXT(INDEX(MASTER!$E:$E,MATCH("Cryovial box 5: "&amp;($A63&amp;D$54),MASTER!$L:$L,0)),"mmddyy"),"")</f>
        <v/>
      </c>
      <c r="E63" s="4" t="str">
        <f>IFERROR(INDEX(MASTER!$A:$A,MATCH("Cryovial box 5: "&amp;($A63&amp;E$54),MASTER!$L:$L,0))&amp;"_ser_"&amp;TEXT(VALUE(SUBSTITUTE(SUBSTITUTE(TRIM(INDEX(MASTER!$M:$M,MATCH("Cryovial box 5: "&amp;($A63&amp;E$54),MASTER!$L:$L,0))),"ml",""),":",".")),"0.00")&amp;"_"&amp;TEXT(INDEX(MASTER!$E:$E,MATCH("Cryovial box 5: "&amp;($A63&amp;E$54),MASTER!$L:$L,0)),"mmddyy"),"")</f>
        <v/>
      </c>
      <c r="F63" s="4" t="str">
        <f>IFERROR(INDEX(MASTER!$A:$A,MATCH("Cryovial box 5: "&amp;($A63&amp;F$54),MASTER!$L:$L,0))&amp;"_ser_"&amp;TEXT(VALUE(SUBSTITUTE(SUBSTITUTE(TRIM(INDEX(MASTER!$M:$M,MATCH("Cryovial box 5: "&amp;($A63&amp;F$54),MASTER!$L:$L,0))),"ml",""),":",".")),"0.00")&amp;"_"&amp;TEXT(INDEX(MASTER!$E:$E,MATCH("Cryovial box 5: "&amp;($A63&amp;F$54),MASTER!$L:$L,0)),"mmddyy"),"")</f>
        <v/>
      </c>
      <c r="G63" s="4" t="str">
        <f>IFERROR(INDEX(MASTER!$A:$A,MATCH("Cryovial box 5: "&amp;($A63&amp;G$54),MASTER!$L:$L,0))&amp;"_ser_"&amp;TEXT(VALUE(SUBSTITUTE(SUBSTITUTE(TRIM(INDEX(MASTER!$M:$M,MATCH("Cryovial box 5: "&amp;($A63&amp;G$54),MASTER!$L:$L,0))),"ml",""),":",".")),"0.00")&amp;"_"&amp;TEXT(INDEX(MASTER!$E:$E,MATCH("Cryovial box 5: "&amp;($A63&amp;G$54),MASTER!$L:$L,0)),"mmddyy"),"")</f>
        <v/>
      </c>
      <c r="H63" s="4" t="str">
        <f>IFERROR(INDEX(MASTER!$A:$A,MATCH("Cryovial box 5: "&amp;($A63&amp;H$54),MASTER!$L:$L,0))&amp;"_ser_"&amp;TEXT(VALUE(SUBSTITUTE(SUBSTITUTE(TRIM(INDEX(MASTER!$M:$M,MATCH("Cryovial box 5: "&amp;($A63&amp;H$54),MASTER!$L:$L,0))),"ml",""),":",".")),"0.00")&amp;"_"&amp;TEXT(INDEX(MASTER!$E:$E,MATCH("Cryovial box 5: "&amp;($A63&amp;H$54),MASTER!$L:$L,0)),"mmddyy"),"")</f>
        <v/>
      </c>
      <c r="I63" s="4" t="str">
        <f>IFERROR(INDEX(MASTER!$A:$A,MATCH("Cryovial box 5: "&amp;($A63&amp;I$54),MASTER!$L:$L,0))&amp;"_ser_"&amp;TEXT(VALUE(SUBSTITUTE(SUBSTITUTE(TRIM(INDEX(MASTER!$M:$M,MATCH("Cryovial box 5: "&amp;($A63&amp;I$54),MASTER!$L:$L,0))),"ml",""),":",".")),"0.00")&amp;"_"&amp;TEXT(INDEX(MASTER!$E:$E,MATCH("Cryovial box 5: "&amp;($A63&amp;I$54),MASTER!$L:$L,0)),"mmddyy"),"")</f>
        <v/>
      </c>
      <c r="J63" s="4" t="str">
        <f>IFERROR(INDEX(MASTER!$A:$A,MATCH("Cryovial box 5: "&amp;($A63&amp;J$54),MASTER!$L:$L,0))&amp;"_ser_"&amp;TEXT(VALUE(SUBSTITUTE(SUBSTITUTE(TRIM(INDEX(MASTER!$M:$M,MATCH("Cryovial box 5: "&amp;($A63&amp;J$54),MASTER!$L:$L,0))),"ml",""),":",".")),"0.00")&amp;"_"&amp;TEXT(INDEX(MASTER!$E:$E,MATCH("Cryovial box 5: "&amp;($A63&amp;J$54),MASTER!$L:$L,0)),"mmddyy"),"")</f>
        <v/>
      </c>
      <c r="K63" s="4" t="str">
        <f>IFERROR(INDEX(MASTER!$A:$A,MATCH("Cryovial box 5: "&amp;($A63&amp;K$54),MASTER!$L:$L,0))&amp;"_ser_"&amp;TEXT(VALUE(SUBSTITUTE(SUBSTITUTE(TRIM(INDEX(MASTER!$M:$M,MATCH("Cryovial box 5: "&amp;($A63&amp;K$54),MASTER!$L:$L,0))),"ml",""),":",".")),"0.00")&amp;"_"&amp;TEXT(INDEX(MASTER!$E:$E,MATCH("Cryovial box 5: "&amp;($A63&amp;K$54),MASTER!$L:$L,0)),"mmddyy"),"")</f>
        <v/>
      </c>
    </row>
    <row r="64" spans="1:11" ht="15" customHeight="1" x14ac:dyDescent="0.3">
      <c r="A64" s="6" t="s">
        <v>101</v>
      </c>
      <c r="B64" s="4" t="str">
        <f>IFERROR(INDEX(MASTER!$A:$A,MATCH("Cryovial box 5: "&amp;($A64&amp;B$54),MASTER!$L:$L,0))&amp;"_ser_"&amp;TEXT(VALUE(SUBSTITUTE(SUBSTITUTE(TRIM(INDEX(MASTER!$M:$M,MATCH("Cryovial box 5: "&amp;($A64&amp;B$54),MASTER!$L:$L,0))),"ml",""),":",".")),"0.00")&amp;"_"&amp;TEXT(INDEX(MASTER!$E:$E,MATCH("Cryovial box 5: "&amp;($A64&amp;B$54),MASTER!$L:$L,0)),"mmddyy"),"")</f>
        <v/>
      </c>
      <c r="C64" s="4" t="str">
        <f>IFERROR(INDEX(MASTER!$A:$A,MATCH("Cryovial box 5: "&amp;($A64&amp;C$54),MASTER!$L:$L,0))&amp;"_ser_"&amp;TEXT(VALUE(SUBSTITUTE(SUBSTITUTE(TRIM(INDEX(MASTER!$M:$M,MATCH("Cryovial box 5: "&amp;($A64&amp;C$54),MASTER!$L:$L,0))),"ml",""),":",".")),"0.00")&amp;"_"&amp;TEXT(INDEX(MASTER!$E:$E,MATCH("Cryovial box 5: "&amp;($A64&amp;C$54),MASTER!$L:$L,0)),"mmddyy"),"")</f>
        <v/>
      </c>
      <c r="D64" s="4" t="str">
        <f>IFERROR(INDEX(MASTER!$A:$A,MATCH("Cryovial box 5: "&amp;($A64&amp;D$54),MASTER!$L:$L,0))&amp;"_ser_"&amp;TEXT(VALUE(SUBSTITUTE(SUBSTITUTE(TRIM(INDEX(MASTER!$M:$M,MATCH("Cryovial box 5: "&amp;($A64&amp;D$54),MASTER!$L:$L,0))),"ml",""),":",".")),"0.00")&amp;"_"&amp;TEXT(INDEX(MASTER!$E:$E,MATCH("Cryovial box 5: "&amp;($A64&amp;D$54),MASTER!$L:$L,0)),"mmddyy"),"")</f>
        <v/>
      </c>
      <c r="E64" s="4" t="str">
        <f>IFERROR(INDEX(MASTER!$A:$A,MATCH("Cryovial box 5: "&amp;($A64&amp;E$54),MASTER!$L:$L,0))&amp;"_ser_"&amp;TEXT(VALUE(SUBSTITUTE(SUBSTITUTE(TRIM(INDEX(MASTER!$M:$M,MATCH("Cryovial box 5: "&amp;($A64&amp;E$54),MASTER!$L:$L,0))),"ml",""),":",".")),"0.00")&amp;"_"&amp;TEXT(INDEX(MASTER!$E:$E,MATCH("Cryovial box 5: "&amp;($A64&amp;E$54),MASTER!$L:$L,0)),"mmddyy"),"")</f>
        <v/>
      </c>
      <c r="F64" s="4" t="str">
        <f>IFERROR(INDEX(MASTER!$A:$A,MATCH("Cryovial box 5: "&amp;($A64&amp;F$54),MASTER!$L:$L,0))&amp;"_ser_"&amp;TEXT(VALUE(SUBSTITUTE(SUBSTITUTE(TRIM(INDEX(MASTER!$M:$M,MATCH("Cryovial box 5: "&amp;($A64&amp;F$54),MASTER!$L:$L,0))),"ml",""),":",".")),"0.00")&amp;"_"&amp;TEXT(INDEX(MASTER!$E:$E,MATCH("Cryovial box 5: "&amp;($A64&amp;F$54),MASTER!$L:$L,0)),"mmddyy"),"")</f>
        <v/>
      </c>
      <c r="G64" s="4" t="str">
        <f>IFERROR(INDEX(MASTER!$A:$A,MATCH("Cryovial box 5: "&amp;($A64&amp;G$54),MASTER!$L:$L,0))&amp;"_ser_"&amp;TEXT(VALUE(SUBSTITUTE(SUBSTITUTE(TRIM(INDEX(MASTER!$M:$M,MATCH("Cryovial box 5: "&amp;($A64&amp;G$54),MASTER!$L:$L,0))),"ml",""),":",".")),"0.00")&amp;"_"&amp;TEXT(INDEX(MASTER!$E:$E,MATCH("Cryovial box 5: "&amp;($A64&amp;G$54),MASTER!$L:$L,0)),"mmddyy"),"")</f>
        <v/>
      </c>
      <c r="H64" s="4" t="str">
        <f>IFERROR(INDEX(MASTER!$A:$A,MATCH("Cryovial box 5: "&amp;($A64&amp;H$54),MASTER!$L:$L,0))&amp;"_ser_"&amp;TEXT(VALUE(SUBSTITUTE(SUBSTITUTE(TRIM(INDEX(MASTER!$M:$M,MATCH("Cryovial box 5: "&amp;($A64&amp;H$54),MASTER!$L:$L,0))),"ml",""),":",".")),"0.00")&amp;"_"&amp;TEXT(INDEX(MASTER!$E:$E,MATCH("Cryovial box 5: "&amp;($A64&amp;H$54),MASTER!$L:$L,0)),"mmddyy"),"")</f>
        <v/>
      </c>
      <c r="I64" s="4" t="str">
        <f>IFERROR(INDEX(MASTER!$A:$A,MATCH("Cryovial box 5: "&amp;($A64&amp;I$54),MASTER!$L:$L,0))&amp;"_ser_"&amp;TEXT(VALUE(SUBSTITUTE(SUBSTITUTE(TRIM(INDEX(MASTER!$M:$M,MATCH("Cryovial box 5: "&amp;($A64&amp;I$54),MASTER!$L:$L,0))),"ml",""),":",".")),"0.00")&amp;"_"&amp;TEXT(INDEX(MASTER!$E:$E,MATCH("Cryovial box 5: "&amp;($A64&amp;I$54),MASTER!$L:$L,0)),"mmddyy"),"")</f>
        <v/>
      </c>
      <c r="J64" s="4" t="str">
        <f>IFERROR(INDEX(MASTER!$A:$A,MATCH("Cryovial box 5: "&amp;($A64&amp;J$54),MASTER!$L:$L,0))&amp;"_ser_"&amp;TEXT(VALUE(SUBSTITUTE(SUBSTITUTE(TRIM(INDEX(MASTER!$M:$M,MATCH("Cryovial box 5: "&amp;($A64&amp;J$54),MASTER!$L:$L,0))),"ml",""),":",".")),"0.00")&amp;"_"&amp;TEXT(INDEX(MASTER!$E:$E,MATCH("Cryovial box 5: "&amp;($A64&amp;J$54),MASTER!$L:$L,0)),"mmddyy"),"")</f>
        <v/>
      </c>
      <c r="K64" s="4" t="str">
        <f>IFERROR(INDEX(MASTER!$A:$A,MATCH("Cryovial box 5: "&amp;($A64&amp;K$54),MASTER!$L:$L,0))&amp;"_ser_"&amp;TEXT(VALUE(SUBSTITUTE(SUBSTITUTE(TRIM(INDEX(MASTER!$M:$M,MATCH("Cryovial box 5: "&amp;($A64&amp;K$54),MASTER!$L:$L,0))),"ml",""),":",".")),"0.00")&amp;"_"&amp;TEXT(INDEX(MASTER!$E:$E,MATCH("Cryovial box 5: "&amp;($A64&amp;K$54),MASTER!$L:$L,0)),"mmddyy"),"")</f>
        <v/>
      </c>
    </row>
    <row r="66" spans="1:11" ht="20.149999999999999" customHeight="1" x14ac:dyDescent="0.3">
      <c r="A66" s="5"/>
      <c r="B66" s="31" t="s">
        <v>106</v>
      </c>
      <c r="C66" s="36"/>
      <c r="D66" s="36"/>
      <c r="E66" s="36"/>
      <c r="F66" s="36"/>
      <c r="G66" s="36"/>
      <c r="H66" s="36"/>
      <c r="I66" s="36"/>
      <c r="J66" s="36"/>
      <c r="K66" s="37"/>
    </row>
    <row r="67" spans="1:11" ht="20.149999999999999" customHeight="1" x14ac:dyDescent="0.3">
      <c r="A67" s="5"/>
      <c r="B67" s="6">
        <v>1</v>
      </c>
      <c r="C67" s="6">
        <v>2</v>
      </c>
      <c r="D67" s="6">
        <v>3</v>
      </c>
      <c r="E67" s="6">
        <v>4</v>
      </c>
      <c r="F67" s="6">
        <v>5</v>
      </c>
      <c r="G67" s="6">
        <v>6</v>
      </c>
      <c r="H67" s="6">
        <v>7</v>
      </c>
      <c r="I67" s="6">
        <v>8</v>
      </c>
      <c r="J67" s="6">
        <v>9</v>
      </c>
      <c r="K67" s="6">
        <v>10</v>
      </c>
    </row>
    <row r="68" spans="1:11" ht="20.149999999999999" customHeight="1" x14ac:dyDescent="0.3">
      <c r="A68" s="6" t="s">
        <v>30</v>
      </c>
      <c r="B68" s="4" t="str">
        <f>IFERROR(INDEX(MASTER!$A:$A,MATCH("Cryovial box 6: "&amp;($A68&amp;B$67),MASTER!$L:$L,0))&amp;"_ser_"&amp;TEXT(VALUE(SUBSTITUTE(SUBSTITUTE(TRIM(INDEX(MASTER!$M:$M,MATCH("Cryovial box 6: "&amp;($A68&amp;B$67),MASTER!$L:$L,0))),"ml",""),":",".")),"0.00")&amp;"_"&amp;TEXT(INDEX(MASTER!$E:$E,MATCH("Cryovial box 6: "&amp;($A68&amp;B$67),MASTER!$L:$L,0)),"mmddyy"),"")</f>
        <v/>
      </c>
      <c r="C68" s="4" t="str">
        <f>IFERROR(INDEX(MASTER!$A:$A,MATCH("Cryovial box 6: "&amp;($A68&amp;C$67),MASTER!$L:$L,0))&amp;"_ser_"&amp;TEXT(VALUE(SUBSTITUTE(SUBSTITUTE(TRIM(INDEX(MASTER!$M:$M,MATCH("Cryovial box 6: "&amp;($A68&amp;C$67),MASTER!$L:$L,0))),"ml",""),":",".")),"0.00")&amp;"_"&amp;TEXT(INDEX(MASTER!$E:$E,MATCH("Cryovial box 6: "&amp;($A68&amp;C$67),MASTER!$L:$L,0)),"mmddyy"),"")</f>
        <v/>
      </c>
      <c r="D68" s="4" t="str">
        <f>IFERROR(INDEX(MASTER!$A:$A,MATCH("Cryovial box 6: "&amp;($A68&amp;D$67),MASTER!$L:$L,0))&amp;"_ser_"&amp;TEXT(VALUE(SUBSTITUTE(SUBSTITUTE(TRIM(INDEX(MASTER!$M:$M,MATCH("Cryovial box 6: "&amp;($A68&amp;D$67),MASTER!$L:$L,0))),"ml",""),":",".")),"0.00")&amp;"_"&amp;TEXT(INDEX(MASTER!$E:$E,MATCH("Cryovial box 6: "&amp;($A68&amp;D$67),MASTER!$L:$L,0)),"mmddyy"),"")</f>
        <v/>
      </c>
      <c r="E68" s="4" t="str">
        <f>IFERROR(INDEX(MASTER!$A:$A,MATCH("Cryovial box 6: "&amp;($A68&amp;E$67),MASTER!$L:$L,0))&amp;"_ser_"&amp;TEXT(VALUE(SUBSTITUTE(SUBSTITUTE(TRIM(INDEX(MASTER!$M:$M,MATCH("Cryovial box 6: "&amp;($A68&amp;E$67),MASTER!$L:$L,0))),"ml",""),":",".")),"0.00")&amp;"_"&amp;TEXT(INDEX(MASTER!$E:$E,MATCH("Cryovial box 6: "&amp;($A68&amp;E$67),MASTER!$L:$L,0)),"mmddyy"),"")</f>
        <v/>
      </c>
      <c r="F68" s="4" t="str">
        <f>IFERROR(INDEX(MASTER!$A:$A,MATCH("Cryovial box 6: "&amp;($A68&amp;F$67),MASTER!$L:$L,0))&amp;"_ser_"&amp;TEXT(VALUE(SUBSTITUTE(SUBSTITUTE(TRIM(INDEX(MASTER!$M:$M,MATCH("Cryovial box 6: "&amp;($A68&amp;F$67),MASTER!$L:$L,0))),"ml",""),":",".")),"0.00")&amp;"_"&amp;TEXT(INDEX(MASTER!$E:$E,MATCH("Cryovial box 6: "&amp;($A68&amp;F$67),MASTER!$L:$L,0)),"mmddyy"),"")</f>
        <v/>
      </c>
      <c r="G68" s="4" t="str">
        <f>IFERROR(INDEX(MASTER!$A:$A,MATCH("Cryovial box 6: "&amp;($A68&amp;G$67),MASTER!$L:$L,0))&amp;"_ser_"&amp;TEXT(VALUE(SUBSTITUTE(SUBSTITUTE(TRIM(INDEX(MASTER!$M:$M,MATCH("Cryovial box 6: "&amp;($A68&amp;G$67),MASTER!$L:$L,0))),"ml",""),":",".")),"0.00")&amp;"_"&amp;TEXT(INDEX(MASTER!$E:$E,MATCH("Cryovial box 6: "&amp;($A68&amp;G$67),MASTER!$L:$L,0)),"mmddyy"),"")</f>
        <v/>
      </c>
      <c r="H68" s="4" t="str">
        <f>IFERROR(INDEX(MASTER!$A:$A,MATCH("Cryovial box 6: "&amp;($A68&amp;H$67),MASTER!$L:$L,0))&amp;"_ser_"&amp;TEXT(VALUE(SUBSTITUTE(SUBSTITUTE(TRIM(INDEX(MASTER!$M:$M,MATCH("Cryovial box 6: "&amp;($A68&amp;H$67),MASTER!$L:$L,0))),"ml",""),":",".")),"0.00")&amp;"_"&amp;TEXT(INDEX(MASTER!$E:$E,MATCH("Cryovial box 6: "&amp;($A68&amp;H$67),MASTER!$L:$L,0)),"mmddyy"),"")</f>
        <v/>
      </c>
      <c r="I68" s="4" t="str">
        <f>IFERROR(INDEX(MASTER!$A:$A,MATCH("Cryovial box 6: "&amp;($A68&amp;I$67),MASTER!$L:$L,0))&amp;"_ser_"&amp;TEXT(VALUE(SUBSTITUTE(SUBSTITUTE(TRIM(INDEX(MASTER!$M:$M,MATCH("Cryovial box 6: "&amp;($A68&amp;I$67),MASTER!$L:$L,0))),"ml",""),":",".")),"0.00")&amp;"_"&amp;TEXT(INDEX(MASTER!$E:$E,MATCH("Cryovial box 6: "&amp;($A68&amp;I$67),MASTER!$L:$L,0)),"mmddyy"),"")</f>
        <v/>
      </c>
      <c r="J68" s="4" t="str">
        <f>IFERROR(INDEX(MASTER!$A:$A,MATCH("Cryovial box 6: "&amp;($A68&amp;J$67),MASTER!$L:$L,0))&amp;"_ser_"&amp;TEXT(VALUE(SUBSTITUTE(SUBSTITUTE(TRIM(INDEX(MASTER!$M:$M,MATCH("Cryovial box 6: "&amp;($A68&amp;J$67),MASTER!$L:$L,0))),"ml",""),":",".")),"0.00")&amp;"_"&amp;TEXT(INDEX(MASTER!$E:$E,MATCH("Cryovial box 6: "&amp;($A68&amp;J$67),MASTER!$L:$L,0)),"mmddyy"),"")</f>
        <v/>
      </c>
      <c r="K68" s="4" t="str">
        <f>IFERROR(INDEX(MASTER!$A:$A,MATCH("Cryovial box 6: "&amp;($A68&amp;K$67),MASTER!$L:$L,0))&amp;"_ser_"&amp;TEXT(VALUE(SUBSTITUTE(SUBSTITUTE(TRIM(INDEX(MASTER!$M:$M,MATCH("Cryovial box 6: "&amp;($A68&amp;K$67),MASTER!$L:$L,0))),"ml",""),":",".")),"0.00")&amp;"_"&amp;TEXT(INDEX(MASTER!$E:$E,MATCH("Cryovial box 6: "&amp;($A68&amp;K$67),MASTER!$L:$L,0)),"mmddyy"),"")</f>
        <v/>
      </c>
    </row>
    <row r="69" spans="1:11" ht="20.149999999999999" customHeight="1" x14ac:dyDescent="0.3">
      <c r="A69" s="6" t="s">
        <v>31</v>
      </c>
      <c r="B69" s="4" t="str">
        <f>IFERROR(INDEX(MASTER!$A:$A,MATCH("Cryovial box 6: "&amp;($A69&amp;B$67),MASTER!$L:$L,0))&amp;"_ser_"&amp;TEXT(VALUE(SUBSTITUTE(SUBSTITUTE(TRIM(INDEX(MASTER!$M:$M,MATCH("Cryovial box 6: "&amp;($A69&amp;B$67),MASTER!$L:$L,0))),"ml",""),":",".")),"0.00")&amp;"_"&amp;TEXT(INDEX(MASTER!$E:$E,MATCH("Cryovial box 6: "&amp;($A69&amp;B$67),MASTER!$L:$L,0)),"mmddyy"),"")</f>
        <v/>
      </c>
      <c r="C69" s="4" t="str">
        <f>IFERROR(INDEX(MASTER!$A:$A,MATCH("Cryovial box 6: "&amp;($A69&amp;C$67),MASTER!$L:$L,0))&amp;"_ser_"&amp;TEXT(VALUE(SUBSTITUTE(SUBSTITUTE(TRIM(INDEX(MASTER!$M:$M,MATCH("Cryovial box 6: "&amp;($A69&amp;C$67),MASTER!$L:$L,0))),"ml",""),":",".")),"0.00")&amp;"_"&amp;TEXT(INDEX(MASTER!$E:$E,MATCH("Cryovial box 6: "&amp;($A69&amp;C$67),MASTER!$L:$L,0)),"mmddyy"),"")</f>
        <v/>
      </c>
      <c r="D69" s="4" t="str">
        <f>IFERROR(INDEX(MASTER!$A:$A,MATCH("Cryovial box 6: "&amp;($A69&amp;D$67),MASTER!$L:$L,0))&amp;"_ser_"&amp;TEXT(VALUE(SUBSTITUTE(SUBSTITUTE(TRIM(INDEX(MASTER!$M:$M,MATCH("Cryovial box 6: "&amp;($A69&amp;D$67),MASTER!$L:$L,0))),"ml",""),":",".")),"0.00")&amp;"_"&amp;TEXT(INDEX(MASTER!$E:$E,MATCH("Cryovial box 6: "&amp;($A69&amp;D$67),MASTER!$L:$L,0)),"mmddyy"),"")</f>
        <v/>
      </c>
      <c r="E69" s="4" t="str">
        <f>IFERROR(INDEX(MASTER!$A:$A,MATCH("Cryovial box 6: "&amp;($A69&amp;E$67),MASTER!$L:$L,0))&amp;"_ser_"&amp;TEXT(VALUE(SUBSTITUTE(SUBSTITUTE(TRIM(INDEX(MASTER!$M:$M,MATCH("Cryovial box 6: "&amp;($A69&amp;E$67),MASTER!$L:$L,0))),"ml",""),":",".")),"0.00")&amp;"_"&amp;TEXT(INDEX(MASTER!$E:$E,MATCH("Cryovial box 6: "&amp;($A69&amp;E$67),MASTER!$L:$L,0)),"mmddyy"),"")</f>
        <v/>
      </c>
      <c r="F69" s="4" t="str">
        <f>IFERROR(INDEX(MASTER!$A:$A,MATCH("Cryovial box 6: "&amp;($A69&amp;F$67),MASTER!$L:$L,0))&amp;"_ser_"&amp;TEXT(VALUE(SUBSTITUTE(SUBSTITUTE(TRIM(INDEX(MASTER!$M:$M,MATCH("Cryovial box 6: "&amp;($A69&amp;F$67),MASTER!$L:$L,0))),"ml",""),":",".")),"0.00")&amp;"_"&amp;TEXT(INDEX(MASTER!$E:$E,MATCH("Cryovial box 6: "&amp;($A69&amp;F$67),MASTER!$L:$L,0)),"mmddyy"),"")</f>
        <v/>
      </c>
      <c r="G69" s="4" t="str">
        <f>IFERROR(INDEX(MASTER!$A:$A,MATCH("Cryovial box 6: "&amp;($A69&amp;G$67),MASTER!$L:$L,0))&amp;"_ser_"&amp;TEXT(VALUE(SUBSTITUTE(SUBSTITUTE(TRIM(INDEX(MASTER!$M:$M,MATCH("Cryovial box 6: "&amp;($A69&amp;G$67),MASTER!$L:$L,0))),"ml",""),":",".")),"0.00")&amp;"_"&amp;TEXT(INDEX(MASTER!$E:$E,MATCH("Cryovial box 6: "&amp;($A69&amp;G$67),MASTER!$L:$L,0)),"mmddyy"),"")</f>
        <v/>
      </c>
      <c r="H69" s="4" t="str">
        <f>IFERROR(INDEX(MASTER!$A:$A,MATCH("Cryovial box 6: "&amp;($A69&amp;H$67),MASTER!$L:$L,0))&amp;"_ser_"&amp;TEXT(VALUE(SUBSTITUTE(SUBSTITUTE(TRIM(INDEX(MASTER!$M:$M,MATCH("Cryovial box 6: "&amp;($A69&amp;H$67),MASTER!$L:$L,0))),"ml",""),":",".")),"0.00")&amp;"_"&amp;TEXT(INDEX(MASTER!$E:$E,MATCH("Cryovial box 6: "&amp;($A69&amp;H$67),MASTER!$L:$L,0)),"mmddyy"),"")</f>
        <v/>
      </c>
      <c r="I69" s="4" t="str">
        <f>IFERROR(INDEX(MASTER!$A:$A,MATCH("Cryovial box 6: "&amp;($A69&amp;I$67),MASTER!$L:$L,0))&amp;"_ser_"&amp;TEXT(VALUE(SUBSTITUTE(SUBSTITUTE(TRIM(INDEX(MASTER!$M:$M,MATCH("Cryovial box 6: "&amp;($A69&amp;I$67),MASTER!$L:$L,0))),"ml",""),":",".")),"0.00")&amp;"_"&amp;TEXT(INDEX(MASTER!$E:$E,MATCH("Cryovial box 6: "&amp;($A69&amp;I$67),MASTER!$L:$L,0)),"mmddyy"),"")</f>
        <v/>
      </c>
      <c r="J69" s="4" t="str">
        <f>IFERROR(INDEX(MASTER!$A:$A,MATCH("Cryovial box 6: "&amp;($A69&amp;J$67),MASTER!$L:$L,0))&amp;"_ser_"&amp;TEXT(VALUE(SUBSTITUTE(SUBSTITUTE(TRIM(INDEX(MASTER!$M:$M,MATCH("Cryovial box 6: "&amp;($A69&amp;J$67),MASTER!$L:$L,0))),"ml",""),":",".")),"0.00")&amp;"_"&amp;TEXT(INDEX(MASTER!$E:$E,MATCH("Cryovial box 6: "&amp;($A69&amp;J$67),MASTER!$L:$L,0)),"mmddyy"),"")</f>
        <v/>
      </c>
      <c r="K69" s="4" t="str">
        <f>IFERROR(INDEX(MASTER!$A:$A,MATCH("Cryovial box 6: "&amp;($A69&amp;K$67),MASTER!$L:$L,0))&amp;"_ser_"&amp;TEXT(VALUE(SUBSTITUTE(SUBSTITUTE(TRIM(INDEX(MASTER!$M:$M,MATCH("Cryovial box 6: "&amp;($A69&amp;K$67),MASTER!$L:$L,0))),"ml",""),":",".")),"0.00")&amp;"_"&amp;TEXT(INDEX(MASTER!$E:$E,MATCH("Cryovial box 6: "&amp;($A69&amp;K$67),MASTER!$L:$L,0)),"mmddyy"),"")</f>
        <v/>
      </c>
    </row>
    <row r="70" spans="1:11" ht="20.149999999999999" customHeight="1" x14ac:dyDescent="0.3">
      <c r="A70" s="6" t="s">
        <v>32</v>
      </c>
      <c r="B70" s="4" t="str">
        <f>IFERROR(INDEX(MASTER!$A:$A,MATCH("Cryovial box 6: "&amp;($A70&amp;B$67),MASTER!$L:$L,0))&amp;"_ser_"&amp;TEXT(VALUE(SUBSTITUTE(SUBSTITUTE(TRIM(INDEX(MASTER!$M:$M,MATCH("Cryovial box 6: "&amp;($A70&amp;B$67),MASTER!$L:$L,0))),"ml",""),":",".")),"0.00")&amp;"_"&amp;TEXT(INDEX(MASTER!$E:$E,MATCH("Cryovial box 6: "&amp;($A70&amp;B$67),MASTER!$L:$L,0)),"mmddyy"),"")</f>
        <v/>
      </c>
      <c r="C70" s="4" t="str">
        <f>IFERROR(INDEX(MASTER!$A:$A,MATCH("Cryovial box 6: "&amp;($A70&amp;C$67),MASTER!$L:$L,0))&amp;"_ser_"&amp;TEXT(VALUE(SUBSTITUTE(SUBSTITUTE(TRIM(INDEX(MASTER!$M:$M,MATCH("Cryovial box 6: "&amp;($A70&amp;C$67),MASTER!$L:$L,0))),"ml",""),":",".")),"0.00")&amp;"_"&amp;TEXT(INDEX(MASTER!$E:$E,MATCH("Cryovial box 6: "&amp;($A70&amp;C$67),MASTER!$L:$L,0)),"mmddyy"),"")</f>
        <v/>
      </c>
      <c r="D70" s="4" t="str">
        <f>IFERROR(INDEX(MASTER!$A:$A,MATCH("Cryovial box 6: "&amp;($A70&amp;D$67),MASTER!$L:$L,0))&amp;"_ser_"&amp;TEXT(VALUE(SUBSTITUTE(SUBSTITUTE(TRIM(INDEX(MASTER!$M:$M,MATCH("Cryovial box 6: "&amp;($A70&amp;D$67),MASTER!$L:$L,0))),"ml",""),":",".")),"0.00")&amp;"_"&amp;TEXT(INDEX(MASTER!$E:$E,MATCH("Cryovial box 6: "&amp;($A70&amp;D$67),MASTER!$L:$L,0)),"mmddyy"),"")</f>
        <v/>
      </c>
      <c r="E70" s="4" t="str">
        <f>IFERROR(INDEX(MASTER!$A:$A,MATCH("Cryovial box 6: "&amp;($A70&amp;E$67),MASTER!$L:$L,0))&amp;"_ser_"&amp;TEXT(VALUE(SUBSTITUTE(SUBSTITUTE(TRIM(INDEX(MASTER!$M:$M,MATCH("Cryovial box 6: "&amp;($A70&amp;E$67),MASTER!$L:$L,0))),"ml",""),":",".")),"0.00")&amp;"_"&amp;TEXT(INDEX(MASTER!$E:$E,MATCH("Cryovial box 6: "&amp;($A70&amp;E$67),MASTER!$L:$L,0)),"mmddyy"),"")</f>
        <v/>
      </c>
      <c r="F70" s="4" t="str">
        <f>IFERROR(INDEX(MASTER!$A:$A,MATCH("Cryovial box 6: "&amp;($A70&amp;F$67),MASTER!$L:$L,0))&amp;"_ser_"&amp;TEXT(VALUE(SUBSTITUTE(SUBSTITUTE(TRIM(INDEX(MASTER!$M:$M,MATCH("Cryovial box 6: "&amp;($A70&amp;F$67),MASTER!$L:$L,0))),"ml",""),":",".")),"0.00")&amp;"_"&amp;TEXT(INDEX(MASTER!$E:$E,MATCH("Cryovial box 6: "&amp;($A70&amp;F$67),MASTER!$L:$L,0)),"mmddyy"),"")</f>
        <v/>
      </c>
      <c r="G70" s="4" t="str">
        <f>IFERROR(INDEX(MASTER!$A:$A,MATCH("Cryovial box 6: "&amp;($A70&amp;G$67),MASTER!$L:$L,0))&amp;"_ser_"&amp;TEXT(VALUE(SUBSTITUTE(SUBSTITUTE(TRIM(INDEX(MASTER!$M:$M,MATCH("Cryovial box 6: "&amp;($A70&amp;G$67),MASTER!$L:$L,0))),"ml",""),":",".")),"0.00")&amp;"_"&amp;TEXT(INDEX(MASTER!$E:$E,MATCH("Cryovial box 6: "&amp;($A70&amp;G$67),MASTER!$L:$L,0)),"mmddyy"),"")</f>
        <v/>
      </c>
      <c r="H70" s="4" t="str">
        <f>IFERROR(INDEX(MASTER!$A:$A,MATCH("Cryovial box 6: "&amp;($A70&amp;H$67),MASTER!$L:$L,0))&amp;"_ser_"&amp;TEXT(VALUE(SUBSTITUTE(SUBSTITUTE(TRIM(INDEX(MASTER!$M:$M,MATCH("Cryovial box 6: "&amp;($A70&amp;H$67),MASTER!$L:$L,0))),"ml",""),":",".")),"0.00")&amp;"_"&amp;TEXT(INDEX(MASTER!$E:$E,MATCH("Cryovial box 6: "&amp;($A70&amp;H$67),MASTER!$L:$L,0)),"mmddyy"),"")</f>
        <v/>
      </c>
      <c r="I70" s="4" t="str">
        <f>IFERROR(INDEX(MASTER!$A:$A,MATCH("Cryovial box 6: "&amp;($A70&amp;I$67),MASTER!$L:$L,0))&amp;"_ser_"&amp;TEXT(VALUE(SUBSTITUTE(SUBSTITUTE(TRIM(INDEX(MASTER!$M:$M,MATCH("Cryovial box 6: "&amp;($A70&amp;I$67),MASTER!$L:$L,0))),"ml",""),":",".")),"0.00")&amp;"_"&amp;TEXT(INDEX(MASTER!$E:$E,MATCH("Cryovial box 6: "&amp;($A70&amp;I$67),MASTER!$L:$L,0)),"mmddyy"),"")</f>
        <v/>
      </c>
      <c r="J70" s="4" t="str">
        <f>IFERROR(INDEX(MASTER!$A:$A,MATCH("Cryovial box 6: "&amp;($A70&amp;J$67),MASTER!$L:$L,0))&amp;"_ser_"&amp;TEXT(VALUE(SUBSTITUTE(SUBSTITUTE(TRIM(INDEX(MASTER!$M:$M,MATCH("Cryovial box 6: "&amp;($A70&amp;J$67),MASTER!$L:$L,0))),"ml",""),":",".")),"0.00")&amp;"_"&amp;TEXT(INDEX(MASTER!$E:$E,MATCH("Cryovial box 6: "&amp;($A70&amp;J$67),MASTER!$L:$L,0)),"mmddyy"),"")</f>
        <v/>
      </c>
      <c r="K70" s="4" t="str">
        <f>IFERROR(INDEX(MASTER!$A:$A,MATCH("Cryovial box 6: "&amp;($A70&amp;K$67),MASTER!$L:$L,0))&amp;"_ser_"&amp;TEXT(VALUE(SUBSTITUTE(SUBSTITUTE(TRIM(INDEX(MASTER!$M:$M,MATCH("Cryovial box 6: "&amp;($A70&amp;K$67),MASTER!$L:$L,0))),"ml",""),":",".")),"0.00")&amp;"_"&amp;TEXT(INDEX(MASTER!$E:$E,MATCH("Cryovial box 6: "&amp;($A70&amp;K$67),MASTER!$L:$L,0)),"mmddyy"),"")</f>
        <v/>
      </c>
    </row>
    <row r="71" spans="1:11" ht="14.15" customHeight="1" x14ac:dyDescent="0.3">
      <c r="A71" s="6" t="s">
        <v>33</v>
      </c>
      <c r="B71" s="4" t="str">
        <f>IFERROR(INDEX(MASTER!$A:$A,MATCH("Cryovial box 6: "&amp;($A71&amp;B$67),MASTER!$L:$L,0))&amp;"_ser_"&amp;TEXT(VALUE(SUBSTITUTE(SUBSTITUTE(TRIM(INDEX(MASTER!$M:$M,MATCH("Cryovial box 6: "&amp;($A71&amp;B$67),MASTER!$L:$L,0))),"ml",""),":",".")),"0.00")&amp;"_"&amp;TEXT(INDEX(MASTER!$E:$E,MATCH("Cryovial box 6: "&amp;($A71&amp;B$67),MASTER!$L:$L,0)),"mmddyy"),"")</f>
        <v/>
      </c>
      <c r="C71" s="4" t="str">
        <f>IFERROR(INDEX(MASTER!$A:$A,MATCH("Cryovial box 6: "&amp;($A71&amp;C$67),MASTER!$L:$L,0))&amp;"_ser_"&amp;TEXT(VALUE(SUBSTITUTE(SUBSTITUTE(TRIM(INDEX(MASTER!$M:$M,MATCH("Cryovial box 6: "&amp;($A71&amp;C$67),MASTER!$L:$L,0))),"ml",""),":",".")),"0.00")&amp;"_"&amp;TEXT(INDEX(MASTER!$E:$E,MATCH("Cryovial box 6: "&amp;($A71&amp;C$67),MASTER!$L:$L,0)),"mmddyy"),"")</f>
        <v/>
      </c>
      <c r="D71" s="4" t="str">
        <f>IFERROR(INDEX(MASTER!$A:$A,MATCH("Cryovial box 6: "&amp;($A71&amp;D$67),MASTER!$L:$L,0))&amp;"_ser_"&amp;TEXT(VALUE(SUBSTITUTE(SUBSTITUTE(TRIM(INDEX(MASTER!$M:$M,MATCH("Cryovial box 6: "&amp;($A71&amp;D$67),MASTER!$L:$L,0))),"ml",""),":",".")),"0.00")&amp;"_"&amp;TEXT(INDEX(MASTER!$E:$E,MATCH("Cryovial box 6: "&amp;($A71&amp;D$67),MASTER!$L:$L,0)),"mmddyy"),"")</f>
        <v/>
      </c>
      <c r="E71" s="4" t="str">
        <f>IFERROR(INDEX(MASTER!$A:$A,MATCH("Cryovial box 6: "&amp;($A71&amp;E$67),MASTER!$L:$L,0))&amp;"_ser_"&amp;TEXT(VALUE(SUBSTITUTE(SUBSTITUTE(TRIM(INDEX(MASTER!$M:$M,MATCH("Cryovial box 6: "&amp;($A71&amp;E$67),MASTER!$L:$L,0))),"ml",""),":",".")),"0.00")&amp;"_"&amp;TEXT(INDEX(MASTER!$E:$E,MATCH("Cryovial box 6: "&amp;($A71&amp;E$67),MASTER!$L:$L,0)),"mmddyy"),"")</f>
        <v/>
      </c>
      <c r="F71" s="4" t="str">
        <f>IFERROR(INDEX(MASTER!$A:$A,MATCH("Cryovial box 6: "&amp;($A71&amp;F$67),MASTER!$L:$L,0))&amp;"_ser_"&amp;TEXT(VALUE(SUBSTITUTE(SUBSTITUTE(TRIM(INDEX(MASTER!$M:$M,MATCH("Cryovial box 6: "&amp;($A71&amp;F$67),MASTER!$L:$L,0))),"ml",""),":",".")),"0.00")&amp;"_"&amp;TEXT(INDEX(MASTER!$E:$E,MATCH("Cryovial box 6: "&amp;($A71&amp;F$67),MASTER!$L:$L,0)),"mmddyy"),"")</f>
        <v/>
      </c>
      <c r="G71" s="4" t="str">
        <f>IFERROR(INDEX(MASTER!$A:$A,MATCH("Cryovial box 6: "&amp;($A71&amp;G$67),MASTER!$L:$L,0))&amp;"_ser_"&amp;TEXT(VALUE(SUBSTITUTE(SUBSTITUTE(TRIM(INDEX(MASTER!$M:$M,MATCH("Cryovial box 6: "&amp;($A71&amp;G$67),MASTER!$L:$L,0))),"ml",""),":",".")),"0.00")&amp;"_"&amp;TEXT(INDEX(MASTER!$E:$E,MATCH("Cryovial box 6: "&amp;($A71&amp;G$67),MASTER!$L:$L,0)),"mmddyy"),"")</f>
        <v/>
      </c>
      <c r="H71" s="4" t="str">
        <f>IFERROR(INDEX(MASTER!$A:$A,MATCH("Cryovial box 6: "&amp;($A71&amp;H$67),MASTER!$L:$L,0))&amp;"_ser_"&amp;TEXT(VALUE(SUBSTITUTE(SUBSTITUTE(TRIM(INDEX(MASTER!$M:$M,MATCH("Cryovial box 6: "&amp;($A71&amp;H$67),MASTER!$L:$L,0))),"ml",""),":",".")),"0.00")&amp;"_"&amp;TEXT(INDEX(MASTER!$E:$E,MATCH("Cryovial box 6: "&amp;($A71&amp;H$67),MASTER!$L:$L,0)),"mmddyy"),"")</f>
        <v/>
      </c>
      <c r="I71" s="4" t="str">
        <f>IFERROR(INDEX(MASTER!$A:$A,MATCH("Cryovial box 6: "&amp;($A71&amp;I$67),MASTER!$L:$L,0))&amp;"_ser_"&amp;TEXT(VALUE(SUBSTITUTE(SUBSTITUTE(TRIM(INDEX(MASTER!$M:$M,MATCH("Cryovial box 6: "&amp;($A71&amp;I$67),MASTER!$L:$L,0))),"ml",""),":",".")),"0.00")&amp;"_"&amp;TEXT(INDEX(MASTER!$E:$E,MATCH("Cryovial box 6: "&amp;($A71&amp;I$67),MASTER!$L:$L,0)),"mmddyy"),"")</f>
        <v/>
      </c>
      <c r="J71" s="4" t="str">
        <f>IFERROR(INDEX(MASTER!$A:$A,MATCH("Cryovial box 6: "&amp;($A71&amp;J$67),MASTER!$L:$L,0))&amp;"_ser_"&amp;TEXT(VALUE(SUBSTITUTE(SUBSTITUTE(TRIM(INDEX(MASTER!$M:$M,MATCH("Cryovial box 6: "&amp;($A71&amp;J$67),MASTER!$L:$L,0))),"ml",""),":",".")),"0.00")&amp;"_"&amp;TEXT(INDEX(MASTER!$E:$E,MATCH("Cryovial box 6: "&amp;($A71&amp;J$67),MASTER!$L:$L,0)),"mmddyy"),"")</f>
        <v/>
      </c>
      <c r="K71" s="4" t="str">
        <f>IFERROR(INDEX(MASTER!$A:$A,MATCH("Cryovial box 6: "&amp;($A71&amp;K$67),MASTER!$L:$L,0))&amp;"_ser_"&amp;TEXT(VALUE(SUBSTITUTE(SUBSTITUTE(TRIM(INDEX(MASTER!$M:$M,MATCH("Cryovial box 6: "&amp;($A71&amp;K$67),MASTER!$L:$L,0))),"ml",""),":",".")),"0.00")&amp;"_"&amp;TEXT(INDEX(MASTER!$E:$E,MATCH("Cryovial box 6: "&amp;($A71&amp;K$67),MASTER!$L:$L,0)),"mmddyy"),"")</f>
        <v/>
      </c>
    </row>
    <row r="72" spans="1:11" ht="14.15" customHeight="1" x14ac:dyDescent="0.3">
      <c r="A72" s="6" t="s">
        <v>34</v>
      </c>
      <c r="B72" s="4" t="str">
        <f>IFERROR(INDEX(MASTER!$A:$A,MATCH("Cryovial box 6: "&amp;($A72&amp;B$67),MASTER!$L:$L,0))&amp;"_ser_"&amp;TEXT(VALUE(SUBSTITUTE(SUBSTITUTE(TRIM(INDEX(MASTER!$M:$M,MATCH("Cryovial box 6: "&amp;($A72&amp;B$67),MASTER!$L:$L,0))),"ml",""),":",".")),"0.00")&amp;"_"&amp;TEXT(INDEX(MASTER!$E:$E,MATCH("Cryovial box 6: "&amp;($A72&amp;B$67),MASTER!$L:$L,0)),"mmddyy"),"")</f>
        <v/>
      </c>
      <c r="C72" s="4" t="str">
        <f>IFERROR(INDEX(MASTER!$A:$A,MATCH("Cryovial box 6: "&amp;($A72&amp;C$67),MASTER!$L:$L,0))&amp;"_ser_"&amp;TEXT(VALUE(SUBSTITUTE(SUBSTITUTE(TRIM(INDEX(MASTER!$M:$M,MATCH("Cryovial box 6: "&amp;($A72&amp;C$67),MASTER!$L:$L,0))),"ml",""),":",".")),"0.00")&amp;"_"&amp;TEXT(INDEX(MASTER!$E:$E,MATCH("Cryovial box 6: "&amp;($A72&amp;C$67),MASTER!$L:$L,0)),"mmddyy"),"")</f>
        <v/>
      </c>
      <c r="D72" s="4" t="str">
        <f>IFERROR(INDEX(MASTER!$A:$A,MATCH("Cryovial box 6: "&amp;($A72&amp;D$67),MASTER!$L:$L,0))&amp;"_ser_"&amp;TEXT(VALUE(SUBSTITUTE(SUBSTITUTE(TRIM(INDEX(MASTER!$M:$M,MATCH("Cryovial box 6: "&amp;($A72&amp;D$67),MASTER!$L:$L,0))),"ml",""),":",".")),"0.00")&amp;"_"&amp;TEXT(INDEX(MASTER!$E:$E,MATCH("Cryovial box 6: "&amp;($A72&amp;D$67),MASTER!$L:$L,0)),"mmddyy"),"")</f>
        <v/>
      </c>
      <c r="E72" s="4" t="str">
        <f>IFERROR(INDEX(MASTER!$A:$A,MATCH("Cryovial box 6: "&amp;($A72&amp;E$67),MASTER!$L:$L,0))&amp;"_ser_"&amp;TEXT(VALUE(SUBSTITUTE(SUBSTITUTE(TRIM(INDEX(MASTER!$M:$M,MATCH("Cryovial box 6: "&amp;($A72&amp;E$67),MASTER!$L:$L,0))),"ml",""),":",".")),"0.00")&amp;"_"&amp;TEXT(INDEX(MASTER!$E:$E,MATCH("Cryovial box 6: "&amp;($A72&amp;E$67),MASTER!$L:$L,0)),"mmddyy"),"")</f>
        <v/>
      </c>
      <c r="F72" s="4" t="str">
        <f>IFERROR(INDEX(MASTER!$A:$A,MATCH("Cryovial box 6: "&amp;($A72&amp;F$67),MASTER!$L:$L,0))&amp;"_ser_"&amp;TEXT(VALUE(SUBSTITUTE(SUBSTITUTE(TRIM(INDEX(MASTER!$M:$M,MATCH("Cryovial box 6: "&amp;($A72&amp;F$67),MASTER!$L:$L,0))),"ml",""),":",".")),"0.00")&amp;"_"&amp;TEXT(INDEX(MASTER!$E:$E,MATCH("Cryovial box 6: "&amp;($A72&amp;F$67),MASTER!$L:$L,0)),"mmddyy"),"")</f>
        <v/>
      </c>
      <c r="G72" s="4" t="str">
        <f>IFERROR(INDEX(MASTER!$A:$A,MATCH("Cryovial box 6: "&amp;($A72&amp;G$67),MASTER!$L:$L,0))&amp;"_ser_"&amp;TEXT(VALUE(SUBSTITUTE(SUBSTITUTE(TRIM(INDEX(MASTER!$M:$M,MATCH("Cryovial box 6: "&amp;($A72&amp;G$67),MASTER!$L:$L,0))),"ml",""),":",".")),"0.00")&amp;"_"&amp;TEXT(INDEX(MASTER!$E:$E,MATCH("Cryovial box 6: "&amp;($A72&amp;G$67),MASTER!$L:$L,0)),"mmddyy"),"")</f>
        <v/>
      </c>
      <c r="H72" s="4" t="str">
        <f>IFERROR(INDEX(MASTER!$A:$A,MATCH("Cryovial box 6: "&amp;($A72&amp;H$67),MASTER!$L:$L,0))&amp;"_ser_"&amp;TEXT(VALUE(SUBSTITUTE(SUBSTITUTE(TRIM(INDEX(MASTER!$M:$M,MATCH("Cryovial box 6: "&amp;($A72&amp;H$67),MASTER!$L:$L,0))),"ml",""),":",".")),"0.00")&amp;"_"&amp;TEXT(INDEX(MASTER!$E:$E,MATCH("Cryovial box 6: "&amp;($A72&amp;H$67),MASTER!$L:$L,0)),"mmddyy"),"")</f>
        <v/>
      </c>
      <c r="I72" s="4" t="str">
        <f>IFERROR(INDEX(MASTER!$A:$A,MATCH("Cryovial box 6: "&amp;($A72&amp;I$67),MASTER!$L:$L,0))&amp;"_ser_"&amp;TEXT(VALUE(SUBSTITUTE(SUBSTITUTE(TRIM(INDEX(MASTER!$M:$M,MATCH("Cryovial box 6: "&amp;($A72&amp;I$67),MASTER!$L:$L,0))),"ml",""),":",".")),"0.00")&amp;"_"&amp;TEXT(INDEX(MASTER!$E:$E,MATCH("Cryovial box 6: "&amp;($A72&amp;I$67),MASTER!$L:$L,0)),"mmddyy"),"")</f>
        <v/>
      </c>
      <c r="J72" s="4" t="str">
        <f>IFERROR(INDEX(MASTER!$A:$A,MATCH("Cryovial box 6: "&amp;($A72&amp;J$67),MASTER!$L:$L,0))&amp;"_ser_"&amp;TEXT(VALUE(SUBSTITUTE(SUBSTITUTE(TRIM(INDEX(MASTER!$M:$M,MATCH("Cryovial box 6: "&amp;($A72&amp;J$67),MASTER!$L:$L,0))),"ml",""),":",".")),"0.00")&amp;"_"&amp;TEXT(INDEX(MASTER!$E:$E,MATCH("Cryovial box 6: "&amp;($A72&amp;J$67),MASTER!$L:$L,0)),"mmddyy"),"")</f>
        <v/>
      </c>
      <c r="K72" s="4" t="str">
        <f>IFERROR(INDEX(MASTER!$A:$A,MATCH("Cryovial box 6: "&amp;($A72&amp;K$67),MASTER!$L:$L,0))&amp;"_ser_"&amp;TEXT(VALUE(SUBSTITUTE(SUBSTITUTE(TRIM(INDEX(MASTER!$M:$M,MATCH("Cryovial box 6: "&amp;($A72&amp;K$67),MASTER!$L:$L,0))),"ml",""),":",".")),"0.00")&amp;"_"&amp;TEXT(INDEX(MASTER!$E:$E,MATCH("Cryovial box 6: "&amp;($A72&amp;K$67),MASTER!$L:$L,0)),"mmddyy"),"")</f>
        <v/>
      </c>
    </row>
    <row r="73" spans="1:11" ht="14.15" customHeight="1" x14ac:dyDescent="0.3">
      <c r="A73" s="6" t="s">
        <v>15</v>
      </c>
      <c r="B73" s="4" t="str">
        <f>IFERROR(INDEX(MASTER!$A:$A,MATCH("Cryovial box 6: "&amp;($A73&amp;B$67),MASTER!$L:$L,0))&amp;"_ser_"&amp;TEXT(VALUE(SUBSTITUTE(SUBSTITUTE(TRIM(INDEX(MASTER!$M:$M,MATCH("Cryovial box 6: "&amp;($A73&amp;B$67),MASTER!$L:$L,0))),"ml",""),":",".")),"0.00")&amp;"_"&amp;TEXT(INDEX(MASTER!$E:$E,MATCH("Cryovial box 6: "&amp;($A73&amp;B$67),MASTER!$L:$L,0)),"mmddyy"),"")</f>
        <v/>
      </c>
      <c r="C73" s="4" t="str">
        <f>IFERROR(INDEX(MASTER!$A:$A,MATCH("Cryovial box 6: "&amp;($A73&amp;C$67),MASTER!$L:$L,0))&amp;"_ser_"&amp;TEXT(VALUE(SUBSTITUTE(SUBSTITUTE(TRIM(INDEX(MASTER!$M:$M,MATCH("Cryovial box 6: "&amp;($A73&amp;C$67),MASTER!$L:$L,0))),"ml",""),":",".")),"0.00")&amp;"_"&amp;TEXT(INDEX(MASTER!$E:$E,MATCH("Cryovial box 6: "&amp;($A73&amp;C$67),MASTER!$L:$L,0)),"mmddyy"),"")</f>
        <v/>
      </c>
      <c r="D73" s="4" t="str">
        <f>IFERROR(INDEX(MASTER!$A:$A,MATCH("Cryovial box 6: "&amp;($A73&amp;D$67),MASTER!$L:$L,0))&amp;"_ser_"&amp;TEXT(VALUE(SUBSTITUTE(SUBSTITUTE(TRIM(INDEX(MASTER!$M:$M,MATCH("Cryovial box 6: "&amp;($A73&amp;D$67),MASTER!$L:$L,0))),"ml",""),":",".")),"0.00")&amp;"_"&amp;TEXT(INDEX(MASTER!$E:$E,MATCH("Cryovial box 6: "&amp;($A73&amp;D$67),MASTER!$L:$L,0)),"mmddyy"),"")</f>
        <v/>
      </c>
      <c r="E73" s="4" t="str">
        <f>IFERROR(INDEX(MASTER!$A:$A,MATCH("Cryovial box 6: "&amp;($A73&amp;E$67),MASTER!$L:$L,0))&amp;"_ser_"&amp;TEXT(VALUE(SUBSTITUTE(SUBSTITUTE(TRIM(INDEX(MASTER!$M:$M,MATCH("Cryovial box 6: "&amp;($A73&amp;E$67),MASTER!$L:$L,0))),"ml",""),":",".")),"0.00")&amp;"_"&amp;TEXT(INDEX(MASTER!$E:$E,MATCH("Cryovial box 6: "&amp;($A73&amp;E$67),MASTER!$L:$L,0)),"mmddyy"),"")</f>
        <v/>
      </c>
      <c r="F73" s="4" t="str">
        <f>IFERROR(INDEX(MASTER!$A:$A,MATCH("Cryovial box 6: "&amp;($A73&amp;F$67),MASTER!$L:$L,0))&amp;"_ser_"&amp;TEXT(VALUE(SUBSTITUTE(SUBSTITUTE(TRIM(INDEX(MASTER!$M:$M,MATCH("Cryovial box 6: "&amp;($A73&amp;F$67),MASTER!$L:$L,0))),"ml",""),":",".")),"0.00")&amp;"_"&amp;TEXT(INDEX(MASTER!$E:$E,MATCH("Cryovial box 6: "&amp;($A73&amp;F$67),MASTER!$L:$L,0)),"mmddyy"),"")</f>
        <v/>
      </c>
      <c r="G73" s="4" t="str">
        <f>IFERROR(INDEX(MASTER!$A:$A,MATCH("Cryovial box 6: "&amp;($A73&amp;G$67),MASTER!$L:$L,0))&amp;"_ser_"&amp;TEXT(VALUE(SUBSTITUTE(SUBSTITUTE(TRIM(INDEX(MASTER!$M:$M,MATCH("Cryovial box 6: "&amp;($A73&amp;G$67),MASTER!$L:$L,0))),"ml",""),":",".")),"0.00")&amp;"_"&amp;TEXT(INDEX(MASTER!$E:$E,MATCH("Cryovial box 6: "&amp;($A73&amp;G$67),MASTER!$L:$L,0)),"mmddyy"),"")</f>
        <v/>
      </c>
      <c r="H73" s="4" t="str">
        <f>IFERROR(INDEX(MASTER!$A:$A,MATCH("Cryovial box 6: "&amp;($A73&amp;H$67),MASTER!$L:$L,0))&amp;"_ser_"&amp;TEXT(VALUE(SUBSTITUTE(SUBSTITUTE(TRIM(INDEX(MASTER!$M:$M,MATCH("Cryovial box 6: "&amp;($A73&amp;H$67),MASTER!$L:$L,0))),"ml",""),":",".")),"0.00")&amp;"_"&amp;TEXT(INDEX(MASTER!$E:$E,MATCH("Cryovial box 6: "&amp;($A73&amp;H$67),MASTER!$L:$L,0)),"mmddyy"),"")</f>
        <v/>
      </c>
      <c r="I73" s="4" t="str">
        <f>IFERROR(INDEX(MASTER!$A:$A,MATCH("Cryovial box 6: "&amp;($A73&amp;I$67),MASTER!$L:$L,0))&amp;"_ser_"&amp;TEXT(VALUE(SUBSTITUTE(SUBSTITUTE(TRIM(INDEX(MASTER!$M:$M,MATCH("Cryovial box 6: "&amp;($A73&amp;I$67),MASTER!$L:$L,0))),"ml",""),":",".")),"0.00")&amp;"_"&amp;TEXT(INDEX(MASTER!$E:$E,MATCH("Cryovial box 6: "&amp;($A73&amp;I$67),MASTER!$L:$L,0)),"mmddyy"),"")</f>
        <v/>
      </c>
      <c r="J73" s="4" t="str">
        <f>IFERROR(INDEX(MASTER!$A:$A,MATCH("Cryovial box 6: "&amp;($A73&amp;J$67),MASTER!$L:$L,0))&amp;"_ser_"&amp;TEXT(VALUE(SUBSTITUTE(SUBSTITUTE(TRIM(INDEX(MASTER!$M:$M,MATCH("Cryovial box 6: "&amp;($A73&amp;J$67),MASTER!$L:$L,0))),"ml",""),":",".")),"0.00")&amp;"_"&amp;TEXT(INDEX(MASTER!$E:$E,MATCH("Cryovial box 6: "&amp;($A73&amp;J$67),MASTER!$L:$L,0)),"mmddyy"),"")</f>
        <v/>
      </c>
      <c r="K73" s="4" t="str">
        <f>IFERROR(INDEX(MASTER!$A:$A,MATCH("Cryovial box 6: "&amp;($A73&amp;K$67),MASTER!$L:$L,0))&amp;"_ser_"&amp;TEXT(VALUE(SUBSTITUTE(SUBSTITUTE(TRIM(INDEX(MASTER!$M:$M,MATCH("Cryovial box 6: "&amp;($A73&amp;K$67),MASTER!$L:$L,0))),"ml",""),":",".")),"0.00")&amp;"_"&amp;TEXT(INDEX(MASTER!$E:$E,MATCH("Cryovial box 6: "&amp;($A73&amp;K$67),MASTER!$L:$L,0)),"mmddyy"),"")</f>
        <v/>
      </c>
    </row>
    <row r="74" spans="1:11" ht="15" customHeight="1" x14ac:dyDescent="0.3">
      <c r="A74" s="6" t="s">
        <v>35</v>
      </c>
      <c r="B74" s="4" t="str">
        <f>IFERROR(INDEX(MASTER!$A:$A,MATCH("Cryovial box 6: "&amp;($A74&amp;B$67),MASTER!$L:$L,0))&amp;"_ser_"&amp;TEXT(VALUE(SUBSTITUTE(SUBSTITUTE(TRIM(INDEX(MASTER!$M:$M,MATCH("Cryovial box 6: "&amp;($A74&amp;B$67),MASTER!$L:$L,0))),"ml",""),":",".")),"0.00")&amp;"_"&amp;TEXT(INDEX(MASTER!$E:$E,MATCH("Cryovial box 6: "&amp;($A74&amp;B$67),MASTER!$L:$L,0)),"mmddyy"),"")</f>
        <v/>
      </c>
      <c r="C74" s="4" t="str">
        <f>IFERROR(INDEX(MASTER!$A:$A,MATCH("Cryovial box 6: "&amp;($A74&amp;C$67),MASTER!$L:$L,0))&amp;"_ser_"&amp;TEXT(VALUE(SUBSTITUTE(SUBSTITUTE(TRIM(INDEX(MASTER!$M:$M,MATCH("Cryovial box 6: "&amp;($A74&amp;C$67),MASTER!$L:$L,0))),"ml",""),":",".")),"0.00")&amp;"_"&amp;TEXT(INDEX(MASTER!$E:$E,MATCH("Cryovial box 6: "&amp;($A74&amp;C$67),MASTER!$L:$L,0)),"mmddyy"),"")</f>
        <v/>
      </c>
      <c r="D74" s="4" t="str">
        <f>IFERROR(INDEX(MASTER!$A:$A,MATCH("Cryovial box 6: "&amp;($A74&amp;D$67),MASTER!$L:$L,0))&amp;"_ser_"&amp;TEXT(VALUE(SUBSTITUTE(SUBSTITUTE(TRIM(INDEX(MASTER!$M:$M,MATCH("Cryovial box 6: "&amp;($A74&amp;D$67),MASTER!$L:$L,0))),"ml",""),":",".")),"0.00")&amp;"_"&amp;TEXT(INDEX(MASTER!$E:$E,MATCH("Cryovial box 6: "&amp;($A74&amp;D$67),MASTER!$L:$L,0)),"mmddyy"),"")</f>
        <v/>
      </c>
      <c r="E74" s="4" t="str">
        <f>IFERROR(INDEX(MASTER!$A:$A,MATCH("Cryovial box 6: "&amp;($A74&amp;E$67),MASTER!$L:$L,0))&amp;"_ser_"&amp;TEXT(VALUE(SUBSTITUTE(SUBSTITUTE(TRIM(INDEX(MASTER!$M:$M,MATCH("Cryovial box 6: "&amp;($A74&amp;E$67),MASTER!$L:$L,0))),"ml",""),":",".")),"0.00")&amp;"_"&amp;TEXT(INDEX(MASTER!$E:$E,MATCH("Cryovial box 6: "&amp;($A74&amp;E$67),MASTER!$L:$L,0)),"mmddyy"),"")</f>
        <v/>
      </c>
      <c r="F74" s="4" t="str">
        <f>IFERROR(INDEX(MASTER!$A:$A,MATCH("Cryovial box 6: "&amp;($A74&amp;F$67),MASTER!$L:$L,0))&amp;"_ser_"&amp;TEXT(VALUE(SUBSTITUTE(SUBSTITUTE(TRIM(INDEX(MASTER!$M:$M,MATCH("Cryovial box 6: "&amp;($A74&amp;F$67),MASTER!$L:$L,0))),"ml",""),":",".")),"0.00")&amp;"_"&amp;TEXT(INDEX(MASTER!$E:$E,MATCH("Cryovial box 6: "&amp;($A74&amp;F$67),MASTER!$L:$L,0)),"mmddyy"),"")</f>
        <v/>
      </c>
      <c r="G74" s="4" t="str">
        <f>IFERROR(INDEX(MASTER!$A:$A,MATCH("Cryovial box 6: "&amp;($A74&amp;G$67),MASTER!$L:$L,0))&amp;"_ser_"&amp;TEXT(VALUE(SUBSTITUTE(SUBSTITUTE(TRIM(INDEX(MASTER!$M:$M,MATCH("Cryovial box 6: "&amp;($A74&amp;G$67),MASTER!$L:$L,0))),"ml",""),":",".")),"0.00")&amp;"_"&amp;TEXT(INDEX(MASTER!$E:$E,MATCH("Cryovial box 6: "&amp;($A74&amp;G$67),MASTER!$L:$L,0)),"mmddyy"),"")</f>
        <v/>
      </c>
      <c r="H74" s="4" t="str">
        <f>IFERROR(INDEX(MASTER!$A:$A,MATCH("Cryovial box 6: "&amp;($A74&amp;H$67),MASTER!$L:$L,0))&amp;"_ser_"&amp;TEXT(VALUE(SUBSTITUTE(SUBSTITUTE(TRIM(INDEX(MASTER!$M:$M,MATCH("Cryovial box 6: "&amp;($A74&amp;H$67),MASTER!$L:$L,0))),"ml",""),":",".")),"0.00")&amp;"_"&amp;TEXT(INDEX(MASTER!$E:$E,MATCH("Cryovial box 6: "&amp;($A74&amp;H$67),MASTER!$L:$L,0)),"mmddyy"),"")</f>
        <v/>
      </c>
      <c r="I74" s="4" t="str">
        <f>IFERROR(INDEX(MASTER!$A:$A,MATCH("Cryovial box 6: "&amp;($A74&amp;I$67),MASTER!$L:$L,0))&amp;"_ser_"&amp;TEXT(VALUE(SUBSTITUTE(SUBSTITUTE(TRIM(INDEX(MASTER!$M:$M,MATCH("Cryovial box 6: "&amp;($A74&amp;I$67),MASTER!$L:$L,0))),"ml",""),":",".")),"0.00")&amp;"_"&amp;TEXT(INDEX(MASTER!$E:$E,MATCH("Cryovial box 6: "&amp;($A74&amp;I$67),MASTER!$L:$L,0)),"mmddyy"),"")</f>
        <v/>
      </c>
      <c r="J74" s="4" t="str">
        <f>IFERROR(INDEX(MASTER!$A:$A,MATCH("Cryovial box 6: "&amp;($A74&amp;J$67),MASTER!$L:$L,0))&amp;"_ser_"&amp;TEXT(VALUE(SUBSTITUTE(SUBSTITUTE(TRIM(INDEX(MASTER!$M:$M,MATCH("Cryovial box 6: "&amp;($A74&amp;J$67),MASTER!$L:$L,0))),"ml",""),":",".")),"0.00")&amp;"_"&amp;TEXT(INDEX(MASTER!$E:$E,MATCH("Cryovial box 6: "&amp;($A74&amp;J$67),MASTER!$L:$L,0)),"mmddyy"),"")</f>
        <v/>
      </c>
      <c r="K74" s="4" t="str">
        <f>IFERROR(INDEX(MASTER!$A:$A,MATCH("Cryovial box 6: "&amp;($A74&amp;K$67),MASTER!$L:$L,0))&amp;"_ser_"&amp;TEXT(VALUE(SUBSTITUTE(SUBSTITUTE(TRIM(INDEX(MASTER!$M:$M,MATCH("Cryovial box 6: "&amp;($A74&amp;K$67),MASTER!$L:$L,0))),"ml",""),":",".")),"0.00")&amp;"_"&amp;TEXT(INDEX(MASTER!$E:$E,MATCH("Cryovial box 6: "&amp;($A74&amp;K$67),MASTER!$L:$L,0)),"mmddyy"),"")</f>
        <v/>
      </c>
    </row>
    <row r="75" spans="1:11" ht="15" customHeight="1" x14ac:dyDescent="0.3">
      <c r="A75" s="6" t="s">
        <v>36</v>
      </c>
      <c r="B75" s="4" t="str">
        <f>IFERROR(INDEX(MASTER!$A:$A,MATCH("Cryovial box 6: "&amp;($A75&amp;B$67),MASTER!$L:$L,0))&amp;"_ser_"&amp;TEXT(VALUE(SUBSTITUTE(SUBSTITUTE(TRIM(INDEX(MASTER!$M:$M,MATCH("Cryovial box 6: "&amp;($A75&amp;B$67),MASTER!$L:$L,0))),"ml",""),":",".")),"0.00")&amp;"_"&amp;TEXT(INDEX(MASTER!$E:$E,MATCH("Cryovial box 6: "&amp;($A75&amp;B$67),MASTER!$L:$L,0)),"mmddyy"),"")</f>
        <v/>
      </c>
      <c r="C75" s="4" t="str">
        <f>IFERROR(INDEX(MASTER!$A:$A,MATCH("Cryovial box 6: "&amp;($A75&amp;C$67),MASTER!$L:$L,0))&amp;"_ser_"&amp;TEXT(VALUE(SUBSTITUTE(SUBSTITUTE(TRIM(INDEX(MASTER!$M:$M,MATCH("Cryovial box 6: "&amp;($A75&amp;C$67),MASTER!$L:$L,0))),"ml",""),":",".")),"0.00")&amp;"_"&amp;TEXT(INDEX(MASTER!$E:$E,MATCH("Cryovial box 6: "&amp;($A75&amp;C$67),MASTER!$L:$L,0)),"mmddyy"),"")</f>
        <v/>
      </c>
      <c r="D75" s="4" t="str">
        <f>IFERROR(INDEX(MASTER!$A:$A,MATCH("Cryovial box 6: "&amp;($A75&amp;D$67),MASTER!$L:$L,0))&amp;"_ser_"&amp;TEXT(VALUE(SUBSTITUTE(SUBSTITUTE(TRIM(INDEX(MASTER!$M:$M,MATCH("Cryovial box 6: "&amp;($A75&amp;D$67),MASTER!$L:$L,0))),"ml",""),":",".")),"0.00")&amp;"_"&amp;TEXT(INDEX(MASTER!$E:$E,MATCH("Cryovial box 6: "&amp;($A75&amp;D$67),MASTER!$L:$L,0)),"mmddyy"),"")</f>
        <v/>
      </c>
      <c r="E75" s="4" t="str">
        <f>IFERROR(INDEX(MASTER!$A:$A,MATCH("Cryovial box 6: "&amp;($A75&amp;E$67),MASTER!$L:$L,0))&amp;"_ser_"&amp;TEXT(VALUE(SUBSTITUTE(SUBSTITUTE(TRIM(INDEX(MASTER!$M:$M,MATCH("Cryovial box 6: "&amp;($A75&amp;E$67),MASTER!$L:$L,0))),"ml",""),":",".")),"0.00")&amp;"_"&amp;TEXT(INDEX(MASTER!$E:$E,MATCH("Cryovial box 6: "&amp;($A75&amp;E$67),MASTER!$L:$L,0)),"mmddyy"),"")</f>
        <v/>
      </c>
      <c r="F75" s="4" t="str">
        <f>IFERROR(INDEX(MASTER!$A:$A,MATCH("Cryovial box 6: "&amp;($A75&amp;F$67),MASTER!$L:$L,0))&amp;"_ser_"&amp;TEXT(VALUE(SUBSTITUTE(SUBSTITUTE(TRIM(INDEX(MASTER!$M:$M,MATCH("Cryovial box 6: "&amp;($A75&amp;F$67),MASTER!$L:$L,0))),"ml",""),":",".")),"0.00")&amp;"_"&amp;TEXT(INDEX(MASTER!$E:$E,MATCH("Cryovial box 6: "&amp;($A75&amp;F$67),MASTER!$L:$L,0)),"mmddyy"),"")</f>
        <v/>
      </c>
      <c r="G75" s="4" t="str">
        <f>IFERROR(INDEX(MASTER!$A:$A,MATCH("Cryovial box 6: "&amp;($A75&amp;G$67),MASTER!$L:$L,0))&amp;"_ser_"&amp;TEXT(VALUE(SUBSTITUTE(SUBSTITUTE(TRIM(INDEX(MASTER!$M:$M,MATCH("Cryovial box 6: "&amp;($A75&amp;G$67),MASTER!$L:$L,0))),"ml",""),":",".")),"0.00")&amp;"_"&amp;TEXT(INDEX(MASTER!$E:$E,MATCH("Cryovial box 6: "&amp;($A75&amp;G$67),MASTER!$L:$L,0)),"mmddyy"),"")</f>
        <v/>
      </c>
      <c r="H75" s="4" t="str">
        <f>IFERROR(INDEX(MASTER!$A:$A,MATCH("Cryovial box 6: "&amp;($A75&amp;H$67),MASTER!$L:$L,0))&amp;"_ser_"&amp;TEXT(VALUE(SUBSTITUTE(SUBSTITUTE(TRIM(INDEX(MASTER!$M:$M,MATCH("Cryovial box 6: "&amp;($A75&amp;H$67),MASTER!$L:$L,0))),"ml",""),":",".")),"0.00")&amp;"_"&amp;TEXT(INDEX(MASTER!$E:$E,MATCH("Cryovial box 6: "&amp;($A75&amp;H$67),MASTER!$L:$L,0)),"mmddyy"),"")</f>
        <v/>
      </c>
      <c r="I75" s="4" t="str">
        <f>IFERROR(INDEX(MASTER!$A:$A,MATCH("Cryovial box 6: "&amp;($A75&amp;I$67),MASTER!$L:$L,0))&amp;"_ser_"&amp;TEXT(VALUE(SUBSTITUTE(SUBSTITUTE(TRIM(INDEX(MASTER!$M:$M,MATCH("Cryovial box 6: "&amp;($A75&amp;I$67),MASTER!$L:$L,0))),"ml",""),":",".")),"0.00")&amp;"_"&amp;TEXT(INDEX(MASTER!$E:$E,MATCH("Cryovial box 6: "&amp;($A75&amp;I$67),MASTER!$L:$L,0)),"mmddyy"),"")</f>
        <v/>
      </c>
      <c r="J75" s="4" t="str">
        <f>IFERROR(INDEX(MASTER!$A:$A,MATCH("Cryovial box 6: "&amp;($A75&amp;J$67),MASTER!$L:$L,0))&amp;"_ser_"&amp;TEXT(VALUE(SUBSTITUTE(SUBSTITUTE(TRIM(INDEX(MASTER!$M:$M,MATCH("Cryovial box 6: "&amp;($A75&amp;J$67),MASTER!$L:$L,0))),"ml",""),":",".")),"0.00")&amp;"_"&amp;TEXT(INDEX(MASTER!$E:$E,MATCH("Cryovial box 6: "&amp;($A75&amp;J$67),MASTER!$L:$L,0)),"mmddyy"),"")</f>
        <v/>
      </c>
      <c r="K75" s="4" t="str">
        <f>IFERROR(INDEX(MASTER!$A:$A,MATCH("Cryovial box 6: "&amp;($A75&amp;K$67),MASTER!$L:$L,0))&amp;"_ser_"&amp;TEXT(VALUE(SUBSTITUTE(SUBSTITUTE(TRIM(INDEX(MASTER!$M:$M,MATCH("Cryovial box 6: "&amp;($A75&amp;K$67),MASTER!$L:$L,0))),"ml",""),":",".")),"0.00")&amp;"_"&amp;TEXT(INDEX(MASTER!$E:$E,MATCH("Cryovial box 6: "&amp;($A75&amp;K$67),MASTER!$L:$L,0)),"mmddyy"),"")</f>
        <v/>
      </c>
    </row>
    <row r="76" spans="1:11" ht="15" customHeight="1" x14ac:dyDescent="0.3">
      <c r="A76" s="6" t="s">
        <v>100</v>
      </c>
      <c r="B76" s="4" t="str">
        <f>IFERROR(INDEX(MASTER!$A:$A,MATCH("Cryovial box 6: "&amp;($A76&amp;B$67),MASTER!$L:$L,0))&amp;"_ser_"&amp;TEXT(VALUE(SUBSTITUTE(SUBSTITUTE(TRIM(INDEX(MASTER!$M:$M,MATCH("Cryovial box 6: "&amp;($A76&amp;B$67),MASTER!$L:$L,0))),"ml",""),":",".")),"0.00")&amp;"_"&amp;TEXT(INDEX(MASTER!$E:$E,MATCH("Cryovial box 6: "&amp;($A76&amp;B$67),MASTER!$L:$L,0)),"mmddyy"),"")</f>
        <v/>
      </c>
      <c r="C76" s="4" t="str">
        <f>IFERROR(INDEX(MASTER!$A:$A,MATCH("Cryovial box 6: "&amp;($A76&amp;C$67),MASTER!$L:$L,0))&amp;"_ser_"&amp;TEXT(VALUE(SUBSTITUTE(SUBSTITUTE(TRIM(INDEX(MASTER!$M:$M,MATCH("Cryovial box 6: "&amp;($A76&amp;C$67),MASTER!$L:$L,0))),"ml",""),":",".")),"0.00")&amp;"_"&amp;TEXT(INDEX(MASTER!$E:$E,MATCH("Cryovial box 6: "&amp;($A76&amp;C$67),MASTER!$L:$L,0)),"mmddyy"),"")</f>
        <v/>
      </c>
      <c r="D76" s="4" t="str">
        <f>IFERROR(INDEX(MASTER!$A:$A,MATCH("Cryovial box 6: "&amp;($A76&amp;D$67),MASTER!$L:$L,0))&amp;"_ser_"&amp;TEXT(VALUE(SUBSTITUTE(SUBSTITUTE(TRIM(INDEX(MASTER!$M:$M,MATCH("Cryovial box 6: "&amp;($A76&amp;D$67),MASTER!$L:$L,0))),"ml",""),":",".")),"0.00")&amp;"_"&amp;TEXT(INDEX(MASTER!$E:$E,MATCH("Cryovial box 6: "&amp;($A76&amp;D$67),MASTER!$L:$L,0)),"mmddyy"),"")</f>
        <v/>
      </c>
      <c r="E76" s="4" t="str">
        <f>IFERROR(INDEX(MASTER!$A:$A,MATCH("Cryovial box 6: "&amp;($A76&amp;E$67),MASTER!$L:$L,0))&amp;"_ser_"&amp;TEXT(VALUE(SUBSTITUTE(SUBSTITUTE(TRIM(INDEX(MASTER!$M:$M,MATCH("Cryovial box 6: "&amp;($A76&amp;E$67),MASTER!$L:$L,0))),"ml",""),":",".")),"0.00")&amp;"_"&amp;TEXT(INDEX(MASTER!$E:$E,MATCH("Cryovial box 6: "&amp;($A76&amp;E$67),MASTER!$L:$L,0)),"mmddyy"),"")</f>
        <v/>
      </c>
      <c r="F76" s="4" t="str">
        <f>IFERROR(INDEX(MASTER!$A:$A,MATCH("Cryovial box 6: "&amp;($A76&amp;F$67),MASTER!$L:$L,0))&amp;"_ser_"&amp;TEXT(VALUE(SUBSTITUTE(SUBSTITUTE(TRIM(INDEX(MASTER!$M:$M,MATCH("Cryovial box 6: "&amp;($A76&amp;F$67),MASTER!$L:$L,0))),"ml",""),":",".")),"0.00")&amp;"_"&amp;TEXT(INDEX(MASTER!$E:$E,MATCH("Cryovial box 6: "&amp;($A76&amp;F$67),MASTER!$L:$L,0)),"mmddyy"),"")</f>
        <v/>
      </c>
      <c r="G76" s="4" t="str">
        <f>IFERROR(INDEX(MASTER!$A:$A,MATCH("Cryovial box 6: "&amp;($A76&amp;G$67),MASTER!$L:$L,0))&amp;"_ser_"&amp;TEXT(VALUE(SUBSTITUTE(SUBSTITUTE(TRIM(INDEX(MASTER!$M:$M,MATCH("Cryovial box 6: "&amp;($A76&amp;G$67),MASTER!$L:$L,0))),"ml",""),":",".")),"0.00")&amp;"_"&amp;TEXT(INDEX(MASTER!$E:$E,MATCH("Cryovial box 6: "&amp;($A76&amp;G$67),MASTER!$L:$L,0)),"mmddyy"),"")</f>
        <v/>
      </c>
      <c r="H76" s="4" t="str">
        <f>IFERROR(INDEX(MASTER!$A:$A,MATCH("Cryovial box 6: "&amp;($A76&amp;H$67),MASTER!$L:$L,0))&amp;"_ser_"&amp;TEXT(VALUE(SUBSTITUTE(SUBSTITUTE(TRIM(INDEX(MASTER!$M:$M,MATCH("Cryovial box 6: "&amp;($A76&amp;H$67),MASTER!$L:$L,0))),"ml",""),":",".")),"0.00")&amp;"_"&amp;TEXT(INDEX(MASTER!$E:$E,MATCH("Cryovial box 6: "&amp;($A76&amp;H$67),MASTER!$L:$L,0)),"mmddyy"),"")</f>
        <v/>
      </c>
      <c r="I76" s="4" t="str">
        <f>IFERROR(INDEX(MASTER!$A:$A,MATCH("Cryovial box 6: "&amp;($A76&amp;I$67),MASTER!$L:$L,0))&amp;"_ser_"&amp;TEXT(VALUE(SUBSTITUTE(SUBSTITUTE(TRIM(INDEX(MASTER!$M:$M,MATCH("Cryovial box 6: "&amp;($A76&amp;I$67),MASTER!$L:$L,0))),"ml",""),":",".")),"0.00")&amp;"_"&amp;TEXT(INDEX(MASTER!$E:$E,MATCH("Cryovial box 6: "&amp;($A76&amp;I$67),MASTER!$L:$L,0)),"mmddyy"),"")</f>
        <v/>
      </c>
      <c r="J76" s="4" t="str">
        <f>IFERROR(INDEX(MASTER!$A:$A,MATCH("Cryovial box 6: "&amp;($A76&amp;J$67),MASTER!$L:$L,0))&amp;"_ser_"&amp;TEXT(VALUE(SUBSTITUTE(SUBSTITUTE(TRIM(INDEX(MASTER!$M:$M,MATCH("Cryovial box 6: "&amp;($A76&amp;J$67),MASTER!$L:$L,0))),"ml",""),":",".")),"0.00")&amp;"_"&amp;TEXT(INDEX(MASTER!$E:$E,MATCH("Cryovial box 6: "&amp;($A76&amp;J$67),MASTER!$L:$L,0)),"mmddyy"),"")</f>
        <v/>
      </c>
      <c r="K76" s="4" t="str">
        <f>IFERROR(INDEX(MASTER!$A:$A,MATCH("Cryovial box 6: "&amp;($A76&amp;K$67),MASTER!$L:$L,0))&amp;"_ser_"&amp;TEXT(VALUE(SUBSTITUTE(SUBSTITUTE(TRIM(INDEX(MASTER!$M:$M,MATCH("Cryovial box 6: "&amp;($A76&amp;K$67),MASTER!$L:$L,0))),"ml",""),":",".")),"0.00")&amp;"_"&amp;TEXT(INDEX(MASTER!$E:$E,MATCH("Cryovial box 6: "&amp;($A76&amp;K$67),MASTER!$L:$L,0)),"mmddyy"),"")</f>
        <v/>
      </c>
    </row>
    <row r="77" spans="1:11" ht="15" customHeight="1" x14ac:dyDescent="0.3">
      <c r="A77" s="6" t="s">
        <v>101</v>
      </c>
      <c r="B77" s="4" t="str">
        <f>IFERROR(INDEX(MASTER!$A:$A,MATCH("Cryovial box 6: "&amp;($A77&amp;B$67),MASTER!$L:$L,0))&amp;"_ser_"&amp;TEXT(VALUE(SUBSTITUTE(SUBSTITUTE(TRIM(INDEX(MASTER!$M:$M,MATCH("Cryovial box 6: "&amp;($A77&amp;B$67),MASTER!$L:$L,0))),"ml",""),":",".")),"0.00")&amp;"_"&amp;TEXT(INDEX(MASTER!$E:$E,MATCH("Cryovial box 6: "&amp;($A77&amp;B$67),MASTER!$L:$L,0)),"mmddyy"),"")</f>
        <v/>
      </c>
      <c r="C77" s="4" t="str">
        <f>IFERROR(INDEX(MASTER!$A:$A,MATCH("Cryovial box 6: "&amp;($A77&amp;C$67),MASTER!$L:$L,0))&amp;"_ser_"&amp;TEXT(VALUE(SUBSTITUTE(SUBSTITUTE(TRIM(INDEX(MASTER!$M:$M,MATCH("Cryovial box 6: "&amp;($A77&amp;C$67),MASTER!$L:$L,0))),"ml",""),":",".")),"0.00")&amp;"_"&amp;TEXT(INDEX(MASTER!$E:$E,MATCH("Cryovial box 6: "&amp;($A77&amp;C$67),MASTER!$L:$L,0)),"mmddyy"),"")</f>
        <v/>
      </c>
      <c r="D77" s="4" t="str">
        <f>IFERROR(INDEX(MASTER!$A:$A,MATCH("Cryovial box 6: "&amp;($A77&amp;D$67),MASTER!$L:$L,0))&amp;"_ser_"&amp;TEXT(VALUE(SUBSTITUTE(SUBSTITUTE(TRIM(INDEX(MASTER!$M:$M,MATCH("Cryovial box 6: "&amp;($A77&amp;D$67),MASTER!$L:$L,0))),"ml",""),":",".")),"0.00")&amp;"_"&amp;TEXT(INDEX(MASTER!$E:$E,MATCH("Cryovial box 6: "&amp;($A77&amp;D$67),MASTER!$L:$L,0)),"mmddyy"),"")</f>
        <v/>
      </c>
      <c r="E77" s="4" t="str">
        <f>IFERROR(INDEX(MASTER!$A:$A,MATCH("Cryovial box 6: "&amp;($A77&amp;E$67),MASTER!$L:$L,0))&amp;"_ser_"&amp;TEXT(VALUE(SUBSTITUTE(SUBSTITUTE(TRIM(INDEX(MASTER!$M:$M,MATCH("Cryovial box 6: "&amp;($A77&amp;E$67),MASTER!$L:$L,0))),"ml",""),":",".")),"0.00")&amp;"_"&amp;TEXT(INDEX(MASTER!$E:$E,MATCH("Cryovial box 6: "&amp;($A77&amp;E$67),MASTER!$L:$L,0)),"mmddyy"),"")</f>
        <v/>
      </c>
      <c r="F77" s="4" t="str">
        <f>IFERROR(INDEX(MASTER!$A:$A,MATCH("Cryovial box 6: "&amp;($A77&amp;F$67),MASTER!$L:$L,0))&amp;"_ser_"&amp;TEXT(VALUE(SUBSTITUTE(SUBSTITUTE(TRIM(INDEX(MASTER!$M:$M,MATCH("Cryovial box 6: "&amp;($A77&amp;F$67),MASTER!$L:$L,0))),"ml",""),":",".")),"0.00")&amp;"_"&amp;TEXT(INDEX(MASTER!$E:$E,MATCH("Cryovial box 6: "&amp;($A77&amp;F$67),MASTER!$L:$L,0)),"mmddyy"),"")</f>
        <v/>
      </c>
      <c r="G77" s="4" t="str">
        <f>IFERROR(INDEX(MASTER!$A:$A,MATCH("Cryovial box 6: "&amp;($A77&amp;G$67),MASTER!$L:$L,0))&amp;"_ser_"&amp;TEXT(VALUE(SUBSTITUTE(SUBSTITUTE(TRIM(INDEX(MASTER!$M:$M,MATCH("Cryovial box 6: "&amp;($A77&amp;G$67),MASTER!$L:$L,0))),"ml",""),":",".")),"0.00")&amp;"_"&amp;TEXT(INDEX(MASTER!$E:$E,MATCH("Cryovial box 6: "&amp;($A77&amp;G$67),MASTER!$L:$L,0)),"mmddyy"),"")</f>
        <v/>
      </c>
      <c r="H77" s="4" t="str">
        <f>IFERROR(INDEX(MASTER!$A:$A,MATCH("Cryovial box 6: "&amp;($A77&amp;H$67),MASTER!$L:$L,0))&amp;"_ser_"&amp;TEXT(VALUE(SUBSTITUTE(SUBSTITUTE(TRIM(INDEX(MASTER!$M:$M,MATCH("Cryovial box 6: "&amp;($A77&amp;H$67),MASTER!$L:$L,0))),"ml",""),":",".")),"0.00")&amp;"_"&amp;TEXT(INDEX(MASTER!$E:$E,MATCH("Cryovial box 6: "&amp;($A77&amp;H$67),MASTER!$L:$L,0)),"mmddyy"),"")</f>
        <v/>
      </c>
      <c r="I77" s="4" t="str">
        <f>IFERROR(INDEX(MASTER!$A:$A,MATCH("Cryovial box 6: "&amp;($A77&amp;I$67),MASTER!$L:$L,0))&amp;"_ser_"&amp;TEXT(VALUE(SUBSTITUTE(SUBSTITUTE(TRIM(INDEX(MASTER!$M:$M,MATCH("Cryovial box 6: "&amp;($A77&amp;I$67),MASTER!$L:$L,0))),"ml",""),":",".")),"0.00")&amp;"_"&amp;TEXT(INDEX(MASTER!$E:$E,MATCH("Cryovial box 6: "&amp;($A77&amp;I$67),MASTER!$L:$L,0)),"mmddyy"),"")</f>
        <v/>
      </c>
      <c r="J77" s="4" t="str">
        <f>IFERROR(INDEX(MASTER!$A:$A,MATCH("Cryovial box 6: "&amp;($A77&amp;J$67),MASTER!$L:$L,0))&amp;"_ser_"&amp;TEXT(VALUE(SUBSTITUTE(SUBSTITUTE(TRIM(INDEX(MASTER!$M:$M,MATCH("Cryovial box 6: "&amp;($A77&amp;J$67),MASTER!$L:$L,0))),"ml",""),":",".")),"0.00")&amp;"_"&amp;TEXT(INDEX(MASTER!$E:$E,MATCH("Cryovial box 6: "&amp;($A77&amp;J$67),MASTER!$L:$L,0)),"mmddyy"),"")</f>
        <v/>
      </c>
      <c r="K77" s="4" t="str">
        <f>IFERROR(INDEX(MASTER!$A:$A,MATCH("Cryovial box 6: "&amp;($A77&amp;K$67),MASTER!$L:$L,0))&amp;"_ser_"&amp;TEXT(VALUE(SUBSTITUTE(SUBSTITUTE(TRIM(INDEX(MASTER!$M:$M,MATCH("Cryovial box 6: "&amp;($A77&amp;K$67),MASTER!$L:$L,0))),"ml",""),":",".")),"0.00")&amp;"_"&amp;TEXT(INDEX(MASTER!$E:$E,MATCH("Cryovial box 6: "&amp;($A77&amp;K$67),MASTER!$L:$L,0)),"mmddyy"),"")</f>
        <v/>
      </c>
    </row>
    <row r="78" spans="1:11" ht="1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ht="20.149999999999999" customHeight="1" x14ac:dyDescent="0.3">
      <c r="A79" s="5"/>
      <c r="B79" s="31" t="s">
        <v>107</v>
      </c>
      <c r="C79" s="36"/>
      <c r="D79" s="36"/>
      <c r="E79" s="36"/>
      <c r="F79" s="36"/>
      <c r="G79" s="36"/>
      <c r="H79" s="36"/>
      <c r="I79" s="36"/>
      <c r="J79" s="36"/>
      <c r="K79" s="37"/>
    </row>
    <row r="80" spans="1:11" ht="20.149999999999999" customHeight="1" x14ac:dyDescent="0.3">
      <c r="A80" s="5"/>
      <c r="B80" s="6">
        <v>1</v>
      </c>
      <c r="C80" s="6">
        <v>2</v>
      </c>
      <c r="D80" s="6">
        <v>3</v>
      </c>
      <c r="E80" s="6">
        <v>4</v>
      </c>
      <c r="F80" s="6">
        <v>5</v>
      </c>
      <c r="G80" s="6">
        <v>6</v>
      </c>
      <c r="H80" s="6">
        <v>7</v>
      </c>
      <c r="I80" s="6">
        <v>8</v>
      </c>
      <c r="J80" s="6">
        <v>9</v>
      </c>
      <c r="K80" s="6">
        <v>10</v>
      </c>
    </row>
    <row r="81" spans="1:11" ht="20.149999999999999" customHeight="1" x14ac:dyDescent="0.3">
      <c r="A81" s="6" t="s">
        <v>30</v>
      </c>
      <c r="B81" s="4" t="str">
        <f>IFERROR(INDEX(MASTER!$A:$A,MATCH("Cryovial box 7: "&amp;($A81&amp;B$80),MASTER!$L:$L,0))&amp;"_ser_"&amp;TEXT(VALUE(SUBSTITUTE(SUBSTITUTE(TRIM(INDEX(MASTER!$M:$M,MATCH("Cryovial box 7: "&amp;($A81&amp;B$80),MASTER!$L:$L,0))),"ml",""),":",".")),"0.00")&amp;"_"&amp;TEXT(INDEX(MASTER!$E:$E,MATCH("Cryovial box 7: "&amp;($A81&amp;B$80),MASTER!$L:$L,0)),"mmddyy"),"")</f>
        <v/>
      </c>
      <c r="C81" s="4" t="str">
        <f>IFERROR(INDEX(MASTER!$A:$A,MATCH("Cryovial box 7: "&amp;($A81&amp;C$80),MASTER!$L:$L,0))&amp;"_ser_"&amp;TEXT(VALUE(SUBSTITUTE(SUBSTITUTE(TRIM(INDEX(MASTER!$M:$M,MATCH("Cryovial box 7: "&amp;($A81&amp;C$80),MASTER!$L:$L,0))),"ml",""),":",".")),"0.00")&amp;"_"&amp;TEXT(INDEX(MASTER!$E:$E,MATCH("Cryovial box 7: "&amp;($A81&amp;C$80),MASTER!$L:$L,0)),"mmddyy"),"")</f>
        <v/>
      </c>
      <c r="D81" s="4" t="str">
        <f>IFERROR(INDEX(MASTER!$A:$A,MATCH("Cryovial box 7: "&amp;($A81&amp;D$80),MASTER!$L:$L,0))&amp;"_ser_"&amp;TEXT(VALUE(SUBSTITUTE(SUBSTITUTE(TRIM(INDEX(MASTER!$M:$M,MATCH("Cryovial box 7: "&amp;($A81&amp;D$80),MASTER!$L:$L,0))),"ml",""),":",".")),"0.00")&amp;"_"&amp;TEXT(INDEX(MASTER!$E:$E,MATCH("Cryovial box 7: "&amp;($A81&amp;D$80),MASTER!$L:$L,0)),"mmddyy"),"")</f>
        <v/>
      </c>
      <c r="E81" s="4" t="str">
        <f>IFERROR(INDEX(MASTER!$A:$A,MATCH("Cryovial box 7: "&amp;($A81&amp;E$80),MASTER!$L:$L,0))&amp;"_ser_"&amp;TEXT(VALUE(SUBSTITUTE(SUBSTITUTE(TRIM(INDEX(MASTER!$M:$M,MATCH("Cryovial box 7: "&amp;($A81&amp;E$80),MASTER!$L:$L,0))),"ml",""),":",".")),"0.00")&amp;"_"&amp;TEXT(INDEX(MASTER!$E:$E,MATCH("Cryovial box 7: "&amp;($A81&amp;E$80),MASTER!$L:$L,0)),"mmddyy"),"")</f>
        <v/>
      </c>
      <c r="F81" s="4" t="str">
        <f>IFERROR(INDEX(MASTER!$A:$A,MATCH("Cryovial box 7: "&amp;($A81&amp;F$80),MASTER!$L:$L,0))&amp;"_ser_"&amp;TEXT(VALUE(SUBSTITUTE(SUBSTITUTE(TRIM(INDEX(MASTER!$M:$M,MATCH("Cryovial box 7: "&amp;($A81&amp;F$80),MASTER!$L:$L,0))),"ml",""),":",".")),"0.00")&amp;"_"&amp;TEXT(INDEX(MASTER!$E:$E,MATCH("Cryovial box 7: "&amp;($A81&amp;F$80),MASTER!$L:$L,0)),"mmddyy"),"")</f>
        <v/>
      </c>
      <c r="G81" s="4" t="str">
        <f>IFERROR(INDEX(MASTER!$A:$A,MATCH("Cryovial box 7: "&amp;($A81&amp;G$80),MASTER!$L:$L,0))&amp;"_ser_"&amp;TEXT(VALUE(SUBSTITUTE(SUBSTITUTE(TRIM(INDEX(MASTER!$M:$M,MATCH("Cryovial box 7: "&amp;($A81&amp;G$80),MASTER!$L:$L,0))),"ml",""),":",".")),"0.00")&amp;"_"&amp;TEXT(INDEX(MASTER!$E:$E,MATCH("Cryovial box 7: "&amp;($A81&amp;G$80),MASTER!$L:$L,0)),"mmddyy"),"")</f>
        <v/>
      </c>
      <c r="H81" s="4" t="str">
        <f>IFERROR(INDEX(MASTER!$A:$A,MATCH("Cryovial box 7: "&amp;($A81&amp;H$80),MASTER!$L:$L,0))&amp;"_ser_"&amp;TEXT(VALUE(SUBSTITUTE(SUBSTITUTE(TRIM(INDEX(MASTER!$M:$M,MATCH("Cryovial box 7: "&amp;($A81&amp;H$80),MASTER!$L:$L,0))),"ml",""),":",".")),"0.00")&amp;"_"&amp;TEXT(INDEX(MASTER!$E:$E,MATCH("Cryovial box 7: "&amp;($A81&amp;H$80),MASTER!$L:$L,0)),"mmddyy"),"")</f>
        <v/>
      </c>
      <c r="I81" s="4" t="str">
        <f>IFERROR(INDEX(MASTER!$A:$A,MATCH("Cryovial box 7: "&amp;($A81&amp;I$80),MASTER!$L:$L,0))&amp;"_ser_"&amp;TEXT(VALUE(SUBSTITUTE(SUBSTITUTE(TRIM(INDEX(MASTER!$M:$M,MATCH("Cryovial box 7: "&amp;($A81&amp;I$80),MASTER!$L:$L,0))),"ml",""),":",".")),"0.00")&amp;"_"&amp;TEXT(INDEX(MASTER!$E:$E,MATCH("Cryovial box 7: "&amp;($A81&amp;I$80),MASTER!$L:$L,0)),"mmddyy"),"")</f>
        <v/>
      </c>
      <c r="J81" s="4" t="str">
        <f>IFERROR(INDEX(MASTER!$A:$A,MATCH("Cryovial box 7: "&amp;($A81&amp;J$80),MASTER!$L:$L,0))&amp;"_ser_"&amp;TEXT(VALUE(SUBSTITUTE(SUBSTITUTE(TRIM(INDEX(MASTER!$M:$M,MATCH("Cryovial box 7: "&amp;($A81&amp;J$80),MASTER!$L:$L,0))),"ml",""),":",".")),"0.00")&amp;"_"&amp;TEXT(INDEX(MASTER!$E:$E,MATCH("Cryovial box 7: "&amp;($A81&amp;J$80),MASTER!$L:$L,0)),"mmddyy"),"")</f>
        <v/>
      </c>
      <c r="K81" s="4" t="str">
        <f>IFERROR(INDEX(MASTER!$A:$A,MATCH("Cryovial box 7: "&amp;($A81&amp;K$80),MASTER!$L:$L,0))&amp;"_ser_"&amp;TEXT(VALUE(SUBSTITUTE(SUBSTITUTE(TRIM(INDEX(MASTER!$M:$M,MATCH("Cryovial box 7: "&amp;($A81&amp;K$80),MASTER!$L:$L,0))),"ml",""),":",".")),"0.00")&amp;"_"&amp;TEXT(INDEX(MASTER!$E:$E,MATCH("Cryovial box 7: "&amp;($A81&amp;K$80),MASTER!$L:$L,0)),"mmddyy"),"")</f>
        <v/>
      </c>
    </row>
    <row r="82" spans="1:11" ht="20.149999999999999" customHeight="1" x14ac:dyDescent="0.3">
      <c r="A82" s="6" t="s">
        <v>31</v>
      </c>
      <c r="B82" s="4" t="str">
        <f>IFERROR(INDEX(MASTER!$A:$A,MATCH("Cryovial box 7: "&amp;($A82&amp;B$80),MASTER!$L:$L,0))&amp;"_ser_"&amp;TEXT(VALUE(SUBSTITUTE(SUBSTITUTE(TRIM(INDEX(MASTER!$M:$M,MATCH("Cryovial box 7: "&amp;($A82&amp;B$80),MASTER!$L:$L,0))),"ml",""),":",".")),"0.00")&amp;"_"&amp;TEXT(INDEX(MASTER!$E:$E,MATCH("Cryovial box 7: "&amp;($A82&amp;B$80),MASTER!$L:$L,0)),"mmddyy"),"")</f>
        <v/>
      </c>
      <c r="C82" s="4" t="str">
        <f>IFERROR(INDEX(MASTER!$A:$A,MATCH("Cryovial box 7: "&amp;($A82&amp;C$80),MASTER!$L:$L,0))&amp;"_ser_"&amp;TEXT(VALUE(SUBSTITUTE(SUBSTITUTE(TRIM(INDEX(MASTER!$M:$M,MATCH("Cryovial box 7: "&amp;($A82&amp;C$80),MASTER!$L:$L,0))),"ml",""),":",".")),"0.00")&amp;"_"&amp;TEXT(INDEX(MASTER!$E:$E,MATCH("Cryovial box 7: "&amp;($A82&amp;C$80),MASTER!$L:$L,0)),"mmddyy"),"")</f>
        <v/>
      </c>
      <c r="D82" s="4" t="str">
        <f>IFERROR(INDEX(MASTER!$A:$A,MATCH("Cryovial box 7: "&amp;($A82&amp;D$80),MASTER!$L:$L,0))&amp;"_ser_"&amp;TEXT(VALUE(SUBSTITUTE(SUBSTITUTE(TRIM(INDEX(MASTER!$M:$M,MATCH("Cryovial box 7: "&amp;($A82&amp;D$80),MASTER!$L:$L,0))),"ml",""),":",".")),"0.00")&amp;"_"&amp;TEXT(INDEX(MASTER!$E:$E,MATCH("Cryovial box 7: "&amp;($A82&amp;D$80),MASTER!$L:$L,0)),"mmddyy"),"")</f>
        <v/>
      </c>
      <c r="E82" s="4" t="str">
        <f>IFERROR(INDEX(MASTER!$A:$A,MATCH("Cryovial box 7: "&amp;($A82&amp;E$80),MASTER!$L:$L,0))&amp;"_ser_"&amp;TEXT(VALUE(SUBSTITUTE(SUBSTITUTE(TRIM(INDEX(MASTER!$M:$M,MATCH("Cryovial box 7: "&amp;($A82&amp;E$80),MASTER!$L:$L,0))),"ml",""),":",".")),"0.00")&amp;"_"&amp;TEXT(INDEX(MASTER!$E:$E,MATCH("Cryovial box 7: "&amp;($A82&amp;E$80),MASTER!$L:$L,0)),"mmddyy"),"")</f>
        <v/>
      </c>
      <c r="F82" s="4" t="str">
        <f>IFERROR(INDEX(MASTER!$A:$A,MATCH("Cryovial box 7: "&amp;($A82&amp;F$80),MASTER!$L:$L,0))&amp;"_ser_"&amp;TEXT(VALUE(SUBSTITUTE(SUBSTITUTE(TRIM(INDEX(MASTER!$M:$M,MATCH("Cryovial box 7: "&amp;($A82&amp;F$80),MASTER!$L:$L,0))),"ml",""),":",".")),"0.00")&amp;"_"&amp;TEXT(INDEX(MASTER!$E:$E,MATCH("Cryovial box 7: "&amp;($A82&amp;F$80),MASTER!$L:$L,0)),"mmddyy"),"")</f>
        <v/>
      </c>
      <c r="G82" s="4" t="str">
        <f>IFERROR(INDEX(MASTER!$A:$A,MATCH("Cryovial box 7: "&amp;($A82&amp;G$80),MASTER!$L:$L,0))&amp;"_ser_"&amp;TEXT(VALUE(SUBSTITUTE(SUBSTITUTE(TRIM(INDEX(MASTER!$M:$M,MATCH("Cryovial box 7: "&amp;($A82&amp;G$80),MASTER!$L:$L,0))),"ml",""),":",".")),"0.00")&amp;"_"&amp;TEXT(INDEX(MASTER!$E:$E,MATCH("Cryovial box 7: "&amp;($A82&amp;G$80),MASTER!$L:$L,0)),"mmddyy"),"")</f>
        <v/>
      </c>
      <c r="H82" s="4" t="str">
        <f>IFERROR(INDEX(MASTER!$A:$A,MATCH("Cryovial box 7: "&amp;($A82&amp;H$80),MASTER!$L:$L,0))&amp;"_ser_"&amp;TEXT(VALUE(SUBSTITUTE(SUBSTITUTE(TRIM(INDEX(MASTER!$M:$M,MATCH("Cryovial box 7: "&amp;($A82&amp;H$80),MASTER!$L:$L,0))),"ml",""),":",".")),"0.00")&amp;"_"&amp;TEXT(INDEX(MASTER!$E:$E,MATCH("Cryovial box 7: "&amp;($A82&amp;H$80),MASTER!$L:$L,0)),"mmddyy"),"")</f>
        <v/>
      </c>
      <c r="I82" s="4" t="str">
        <f>IFERROR(INDEX(MASTER!$A:$A,MATCH("Cryovial box 7: "&amp;($A82&amp;I$80),MASTER!$L:$L,0))&amp;"_ser_"&amp;TEXT(VALUE(SUBSTITUTE(SUBSTITUTE(TRIM(INDEX(MASTER!$M:$M,MATCH("Cryovial box 7: "&amp;($A82&amp;I$80),MASTER!$L:$L,0))),"ml",""),":",".")),"0.00")&amp;"_"&amp;TEXT(INDEX(MASTER!$E:$E,MATCH("Cryovial box 7: "&amp;($A82&amp;I$80),MASTER!$L:$L,0)),"mmddyy"),"")</f>
        <v/>
      </c>
      <c r="J82" s="4" t="str">
        <f>IFERROR(INDEX(MASTER!$A:$A,MATCH("Cryovial box 7: "&amp;($A82&amp;J$80),MASTER!$L:$L,0))&amp;"_ser_"&amp;TEXT(VALUE(SUBSTITUTE(SUBSTITUTE(TRIM(INDEX(MASTER!$M:$M,MATCH("Cryovial box 7: "&amp;($A82&amp;J$80),MASTER!$L:$L,0))),"ml",""),":",".")),"0.00")&amp;"_"&amp;TEXT(INDEX(MASTER!$E:$E,MATCH("Cryovial box 7: "&amp;($A82&amp;J$80),MASTER!$L:$L,0)),"mmddyy"),"")</f>
        <v/>
      </c>
      <c r="K82" s="4" t="str">
        <f>IFERROR(INDEX(MASTER!$A:$A,MATCH("Cryovial box 7: "&amp;($A82&amp;K$80),MASTER!$L:$L,0))&amp;"_ser_"&amp;TEXT(VALUE(SUBSTITUTE(SUBSTITUTE(TRIM(INDEX(MASTER!$M:$M,MATCH("Cryovial box 7: "&amp;($A82&amp;K$80),MASTER!$L:$L,0))),"ml",""),":",".")),"0.00")&amp;"_"&amp;TEXT(INDEX(MASTER!$E:$E,MATCH("Cryovial box 7: "&amp;($A82&amp;K$80),MASTER!$L:$L,0)),"mmddyy"),"")</f>
        <v/>
      </c>
    </row>
    <row r="83" spans="1:11" ht="20.149999999999999" customHeight="1" x14ac:dyDescent="0.3">
      <c r="A83" s="6" t="s">
        <v>32</v>
      </c>
      <c r="B83" s="4" t="str">
        <f>IFERROR(INDEX(MASTER!$A:$A,MATCH("Cryovial box 7: "&amp;($A83&amp;B$80),MASTER!$L:$L,0))&amp;"_ser_"&amp;TEXT(VALUE(SUBSTITUTE(SUBSTITUTE(TRIM(INDEX(MASTER!$M:$M,MATCH("Cryovial box 7: "&amp;($A83&amp;B$80),MASTER!$L:$L,0))),"ml",""),":",".")),"0.00")&amp;"_"&amp;TEXT(INDEX(MASTER!$E:$E,MATCH("Cryovial box 7: "&amp;($A83&amp;B$80),MASTER!$L:$L,0)),"mmddyy"),"")</f>
        <v/>
      </c>
      <c r="C83" s="4" t="str">
        <f>IFERROR(INDEX(MASTER!$A:$A,MATCH("Cryovial box 7: "&amp;($A83&amp;C$80),MASTER!$L:$L,0))&amp;"_ser_"&amp;TEXT(VALUE(SUBSTITUTE(SUBSTITUTE(TRIM(INDEX(MASTER!$M:$M,MATCH("Cryovial box 7: "&amp;($A83&amp;C$80),MASTER!$L:$L,0))),"ml",""),":",".")),"0.00")&amp;"_"&amp;TEXT(INDEX(MASTER!$E:$E,MATCH("Cryovial box 7: "&amp;($A83&amp;C$80),MASTER!$L:$L,0)),"mmddyy"),"")</f>
        <v/>
      </c>
      <c r="D83" s="4" t="str">
        <f>IFERROR(INDEX(MASTER!$A:$A,MATCH("Cryovial box 7: "&amp;($A83&amp;D$80),MASTER!$L:$L,0))&amp;"_ser_"&amp;TEXT(VALUE(SUBSTITUTE(SUBSTITUTE(TRIM(INDEX(MASTER!$M:$M,MATCH("Cryovial box 7: "&amp;($A83&amp;D$80),MASTER!$L:$L,0))),"ml",""),":",".")),"0.00")&amp;"_"&amp;TEXT(INDEX(MASTER!$E:$E,MATCH("Cryovial box 7: "&amp;($A83&amp;D$80),MASTER!$L:$L,0)),"mmddyy"),"")</f>
        <v/>
      </c>
      <c r="E83" s="4" t="str">
        <f>IFERROR(INDEX(MASTER!$A:$A,MATCH("Cryovial box 7: "&amp;($A83&amp;E$80),MASTER!$L:$L,0))&amp;"_ser_"&amp;TEXT(VALUE(SUBSTITUTE(SUBSTITUTE(TRIM(INDEX(MASTER!$M:$M,MATCH("Cryovial box 7: "&amp;($A83&amp;E$80),MASTER!$L:$L,0))),"ml",""),":",".")),"0.00")&amp;"_"&amp;TEXT(INDEX(MASTER!$E:$E,MATCH("Cryovial box 7: "&amp;($A83&amp;E$80),MASTER!$L:$L,0)),"mmddyy"),"")</f>
        <v/>
      </c>
      <c r="F83" s="4" t="str">
        <f>IFERROR(INDEX(MASTER!$A:$A,MATCH("Cryovial box 7: "&amp;($A83&amp;F$80),MASTER!$L:$L,0))&amp;"_ser_"&amp;TEXT(VALUE(SUBSTITUTE(SUBSTITUTE(TRIM(INDEX(MASTER!$M:$M,MATCH("Cryovial box 7: "&amp;($A83&amp;F$80),MASTER!$L:$L,0))),"ml",""),":",".")),"0.00")&amp;"_"&amp;TEXT(INDEX(MASTER!$E:$E,MATCH("Cryovial box 7: "&amp;($A83&amp;F$80),MASTER!$L:$L,0)),"mmddyy"),"")</f>
        <v/>
      </c>
      <c r="G83" s="4" t="str">
        <f>IFERROR(INDEX(MASTER!$A:$A,MATCH("Cryovial box 7: "&amp;($A83&amp;G$80),MASTER!$L:$L,0))&amp;"_ser_"&amp;TEXT(VALUE(SUBSTITUTE(SUBSTITUTE(TRIM(INDEX(MASTER!$M:$M,MATCH("Cryovial box 7: "&amp;($A83&amp;G$80),MASTER!$L:$L,0))),"ml",""),":",".")),"0.00")&amp;"_"&amp;TEXT(INDEX(MASTER!$E:$E,MATCH("Cryovial box 7: "&amp;($A83&amp;G$80),MASTER!$L:$L,0)),"mmddyy"),"")</f>
        <v/>
      </c>
      <c r="H83" s="4" t="str">
        <f>IFERROR(INDEX(MASTER!$A:$A,MATCH("Cryovial box 7: "&amp;($A83&amp;H$80),MASTER!$L:$L,0))&amp;"_ser_"&amp;TEXT(VALUE(SUBSTITUTE(SUBSTITUTE(TRIM(INDEX(MASTER!$M:$M,MATCH("Cryovial box 7: "&amp;($A83&amp;H$80),MASTER!$L:$L,0))),"ml",""),":",".")),"0.00")&amp;"_"&amp;TEXT(INDEX(MASTER!$E:$E,MATCH("Cryovial box 7: "&amp;($A83&amp;H$80),MASTER!$L:$L,0)),"mmddyy"),"")</f>
        <v/>
      </c>
      <c r="I83" s="4" t="str">
        <f>IFERROR(INDEX(MASTER!$A:$A,MATCH("Cryovial box 7: "&amp;($A83&amp;I$80),MASTER!$L:$L,0))&amp;"_ser_"&amp;TEXT(VALUE(SUBSTITUTE(SUBSTITUTE(TRIM(INDEX(MASTER!$M:$M,MATCH("Cryovial box 7: "&amp;($A83&amp;I$80),MASTER!$L:$L,0))),"ml",""),":",".")),"0.00")&amp;"_"&amp;TEXT(INDEX(MASTER!$E:$E,MATCH("Cryovial box 7: "&amp;($A83&amp;I$80),MASTER!$L:$L,0)),"mmddyy"),"")</f>
        <v/>
      </c>
      <c r="J83" s="4" t="str">
        <f>IFERROR(INDEX(MASTER!$A:$A,MATCH("Cryovial box 7: "&amp;($A83&amp;J$80),MASTER!$L:$L,0))&amp;"_ser_"&amp;TEXT(VALUE(SUBSTITUTE(SUBSTITUTE(TRIM(INDEX(MASTER!$M:$M,MATCH("Cryovial box 7: "&amp;($A83&amp;J$80),MASTER!$L:$L,0))),"ml",""),":",".")),"0.00")&amp;"_"&amp;TEXT(INDEX(MASTER!$E:$E,MATCH("Cryovial box 7: "&amp;($A83&amp;J$80),MASTER!$L:$L,0)),"mmddyy"),"")</f>
        <v/>
      </c>
      <c r="K83" s="4" t="str">
        <f>IFERROR(INDEX(MASTER!$A:$A,MATCH("Cryovial box 7: "&amp;($A83&amp;K$80),MASTER!$L:$L,0))&amp;"_ser_"&amp;TEXT(VALUE(SUBSTITUTE(SUBSTITUTE(TRIM(INDEX(MASTER!$M:$M,MATCH("Cryovial box 7: "&amp;($A83&amp;K$80),MASTER!$L:$L,0))),"ml",""),":",".")),"0.00")&amp;"_"&amp;TEXT(INDEX(MASTER!$E:$E,MATCH("Cryovial box 7: "&amp;($A83&amp;K$80),MASTER!$L:$L,0)),"mmddyy"),"")</f>
        <v/>
      </c>
    </row>
    <row r="84" spans="1:11" ht="14.15" customHeight="1" x14ac:dyDescent="0.3">
      <c r="A84" s="6" t="s">
        <v>33</v>
      </c>
      <c r="B84" s="4" t="str">
        <f>IFERROR(INDEX(MASTER!$A:$A,MATCH("Cryovial box 7: "&amp;($A84&amp;B$80),MASTER!$L:$L,0))&amp;"_ser_"&amp;TEXT(VALUE(SUBSTITUTE(SUBSTITUTE(TRIM(INDEX(MASTER!$M:$M,MATCH("Cryovial box 7: "&amp;($A84&amp;B$80),MASTER!$L:$L,0))),"ml",""),":",".")),"0.00")&amp;"_"&amp;TEXT(INDEX(MASTER!$E:$E,MATCH("Cryovial box 7: "&amp;($A84&amp;B$80),MASTER!$L:$L,0)),"mmddyy"),"")</f>
        <v/>
      </c>
      <c r="C84" s="4" t="str">
        <f>IFERROR(INDEX(MASTER!$A:$A,MATCH("Cryovial box 7: "&amp;($A84&amp;C$80),MASTER!$L:$L,0))&amp;"_ser_"&amp;TEXT(VALUE(SUBSTITUTE(SUBSTITUTE(TRIM(INDEX(MASTER!$M:$M,MATCH("Cryovial box 7: "&amp;($A84&amp;C$80),MASTER!$L:$L,0))),"ml",""),":",".")),"0.00")&amp;"_"&amp;TEXT(INDEX(MASTER!$E:$E,MATCH("Cryovial box 7: "&amp;($A84&amp;C$80),MASTER!$L:$L,0)),"mmddyy"),"")</f>
        <v/>
      </c>
      <c r="D84" s="4" t="str">
        <f>IFERROR(INDEX(MASTER!$A:$A,MATCH("Cryovial box 7: "&amp;($A84&amp;D$80),MASTER!$L:$L,0))&amp;"_ser_"&amp;TEXT(VALUE(SUBSTITUTE(SUBSTITUTE(TRIM(INDEX(MASTER!$M:$M,MATCH("Cryovial box 7: "&amp;($A84&amp;D$80),MASTER!$L:$L,0))),"ml",""),":",".")),"0.00")&amp;"_"&amp;TEXT(INDEX(MASTER!$E:$E,MATCH("Cryovial box 7: "&amp;($A84&amp;D$80),MASTER!$L:$L,0)),"mmddyy"),"")</f>
        <v/>
      </c>
      <c r="E84" s="4" t="str">
        <f>IFERROR(INDEX(MASTER!$A:$A,MATCH("Cryovial box 7: "&amp;($A84&amp;E$80),MASTER!$L:$L,0))&amp;"_ser_"&amp;TEXT(VALUE(SUBSTITUTE(SUBSTITUTE(TRIM(INDEX(MASTER!$M:$M,MATCH("Cryovial box 7: "&amp;($A84&amp;E$80),MASTER!$L:$L,0))),"ml",""),":",".")),"0.00")&amp;"_"&amp;TEXT(INDEX(MASTER!$E:$E,MATCH("Cryovial box 7: "&amp;($A84&amp;E$80),MASTER!$L:$L,0)),"mmddyy"),"")</f>
        <v/>
      </c>
      <c r="F84" s="4" t="str">
        <f>IFERROR(INDEX(MASTER!$A:$A,MATCH("Cryovial box 7: "&amp;($A84&amp;F$80),MASTER!$L:$L,0))&amp;"_ser_"&amp;TEXT(VALUE(SUBSTITUTE(SUBSTITUTE(TRIM(INDEX(MASTER!$M:$M,MATCH("Cryovial box 7: "&amp;($A84&amp;F$80),MASTER!$L:$L,0))),"ml",""),":",".")),"0.00")&amp;"_"&amp;TEXT(INDEX(MASTER!$E:$E,MATCH("Cryovial box 7: "&amp;($A84&amp;F$80),MASTER!$L:$L,0)),"mmddyy"),"")</f>
        <v/>
      </c>
      <c r="G84" s="4" t="str">
        <f>IFERROR(INDEX(MASTER!$A:$A,MATCH("Cryovial box 7: "&amp;($A84&amp;G$80),MASTER!$L:$L,0))&amp;"_ser_"&amp;TEXT(VALUE(SUBSTITUTE(SUBSTITUTE(TRIM(INDEX(MASTER!$M:$M,MATCH("Cryovial box 7: "&amp;($A84&amp;G$80),MASTER!$L:$L,0))),"ml",""),":",".")),"0.00")&amp;"_"&amp;TEXT(INDEX(MASTER!$E:$E,MATCH("Cryovial box 7: "&amp;($A84&amp;G$80),MASTER!$L:$L,0)),"mmddyy"),"")</f>
        <v/>
      </c>
      <c r="H84" s="4" t="str">
        <f>IFERROR(INDEX(MASTER!$A:$A,MATCH("Cryovial box 7: "&amp;($A84&amp;H$80),MASTER!$L:$L,0))&amp;"_ser_"&amp;TEXT(VALUE(SUBSTITUTE(SUBSTITUTE(TRIM(INDEX(MASTER!$M:$M,MATCH("Cryovial box 7: "&amp;($A84&amp;H$80),MASTER!$L:$L,0))),"ml",""),":",".")),"0.00")&amp;"_"&amp;TEXT(INDEX(MASTER!$E:$E,MATCH("Cryovial box 7: "&amp;($A84&amp;H$80),MASTER!$L:$L,0)),"mmddyy"),"")</f>
        <v/>
      </c>
      <c r="I84" s="4" t="str">
        <f>IFERROR(INDEX(MASTER!$A:$A,MATCH("Cryovial box 7: "&amp;($A84&amp;I$80),MASTER!$L:$L,0))&amp;"_ser_"&amp;TEXT(VALUE(SUBSTITUTE(SUBSTITUTE(TRIM(INDEX(MASTER!$M:$M,MATCH("Cryovial box 7: "&amp;($A84&amp;I$80),MASTER!$L:$L,0))),"ml",""),":",".")),"0.00")&amp;"_"&amp;TEXT(INDEX(MASTER!$E:$E,MATCH("Cryovial box 7: "&amp;($A84&amp;I$80),MASTER!$L:$L,0)),"mmddyy"),"")</f>
        <v/>
      </c>
      <c r="J84" s="4" t="str">
        <f>IFERROR(INDEX(MASTER!$A:$A,MATCH("Cryovial box 7: "&amp;($A84&amp;J$80),MASTER!$L:$L,0))&amp;"_ser_"&amp;TEXT(VALUE(SUBSTITUTE(SUBSTITUTE(TRIM(INDEX(MASTER!$M:$M,MATCH("Cryovial box 7: "&amp;($A84&amp;J$80),MASTER!$L:$L,0))),"ml",""),":",".")),"0.00")&amp;"_"&amp;TEXT(INDEX(MASTER!$E:$E,MATCH("Cryovial box 7: "&amp;($A84&amp;J$80),MASTER!$L:$L,0)),"mmddyy"),"")</f>
        <v/>
      </c>
      <c r="K84" s="4" t="str">
        <f>IFERROR(INDEX(MASTER!$A:$A,MATCH("Cryovial box 7: "&amp;($A84&amp;K$80),MASTER!$L:$L,0))&amp;"_ser_"&amp;TEXT(VALUE(SUBSTITUTE(SUBSTITUTE(TRIM(INDEX(MASTER!$M:$M,MATCH("Cryovial box 7: "&amp;($A84&amp;K$80),MASTER!$L:$L,0))),"ml",""),":",".")),"0.00")&amp;"_"&amp;TEXT(INDEX(MASTER!$E:$E,MATCH("Cryovial box 7: "&amp;($A84&amp;K$80),MASTER!$L:$L,0)),"mmddyy"),"")</f>
        <v/>
      </c>
    </row>
    <row r="85" spans="1:11" ht="14.15" customHeight="1" x14ac:dyDescent="0.3">
      <c r="A85" s="6" t="s">
        <v>34</v>
      </c>
      <c r="B85" s="4" t="str">
        <f>IFERROR(INDEX(MASTER!$A:$A,MATCH("Cryovial box 7: "&amp;($A85&amp;B$80),MASTER!$L:$L,0))&amp;"_ser_"&amp;TEXT(VALUE(SUBSTITUTE(SUBSTITUTE(TRIM(INDEX(MASTER!$M:$M,MATCH("Cryovial box 7: "&amp;($A85&amp;B$80),MASTER!$L:$L,0))),"ml",""),":",".")),"0.00")&amp;"_"&amp;TEXT(INDEX(MASTER!$E:$E,MATCH("Cryovial box 7: "&amp;($A85&amp;B$80),MASTER!$L:$L,0)),"mmddyy"),"")</f>
        <v/>
      </c>
      <c r="C85" s="4" t="str">
        <f>IFERROR(INDEX(MASTER!$A:$A,MATCH("Cryovial box 7: "&amp;($A85&amp;C$80),MASTER!$L:$L,0))&amp;"_ser_"&amp;TEXT(VALUE(SUBSTITUTE(SUBSTITUTE(TRIM(INDEX(MASTER!$M:$M,MATCH("Cryovial box 7: "&amp;($A85&amp;C$80),MASTER!$L:$L,0))),"ml",""),":",".")),"0.00")&amp;"_"&amp;TEXT(INDEX(MASTER!$E:$E,MATCH("Cryovial box 7: "&amp;($A85&amp;C$80),MASTER!$L:$L,0)),"mmddyy"),"")</f>
        <v/>
      </c>
      <c r="D85" s="4" t="str">
        <f>IFERROR(INDEX(MASTER!$A:$A,MATCH("Cryovial box 7: "&amp;($A85&amp;D$80),MASTER!$L:$L,0))&amp;"_ser_"&amp;TEXT(VALUE(SUBSTITUTE(SUBSTITUTE(TRIM(INDEX(MASTER!$M:$M,MATCH("Cryovial box 7: "&amp;($A85&amp;D$80),MASTER!$L:$L,0))),"ml",""),":",".")),"0.00")&amp;"_"&amp;TEXT(INDEX(MASTER!$E:$E,MATCH("Cryovial box 7: "&amp;($A85&amp;D$80),MASTER!$L:$L,0)),"mmddyy"),"")</f>
        <v/>
      </c>
      <c r="E85" s="4" t="str">
        <f>IFERROR(INDEX(MASTER!$A:$A,MATCH("Cryovial box 7: "&amp;($A85&amp;E$80),MASTER!$L:$L,0))&amp;"_ser_"&amp;TEXT(VALUE(SUBSTITUTE(SUBSTITUTE(TRIM(INDEX(MASTER!$M:$M,MATCH("Cryovial box 7: "&amp;($A85&amp;E$80),MASTER!$L:$L,0))),"ml",""),":",".")),"0.00")&amp;"_"&amp;TEXT(INDEX(MASTER!$E:$E,MATCH("Cryovial box 7: "&amp;($A85&amp;E$80),MASTER!$L:$L,0)),"mmddyy"),"")</f>
        <v/>
      </c>
      <c r="F85" s="4" t="str">
        <f>IFERROR(INDEX(MASTER!$A:$A,MATCH("Cryovial box 7: "&amp;($A85&amp;F$80),MASTER!$L:$L,0))&amp;"_ser_"&amp;TEXT(VALUE(SUBSTITUTE(SUBSTITUTE(TRIM(INDEX(MASTER!$M:$M,MATCH("Cryovial box 7: "&amp;($A85&amp;F$80),MASTER!$L:$L,0))),"ml",""),":",".")),"0.00")&amp;"_"&amp;TEXT(INDEX(MASTER!$E:$E,MATCH("Cryovial box 7: "&amp;($A85&amp;F$80),MASTER!$L:$L,0)),"mmddyy"),"")</f>
        <v/>
      </c>
      <c r="G85" s="4" t="str">
        <f>IFERROR(INDEX(MASTER!$A:$A,MATCH("Cryovial box 7: "&amp;($A85&amp;G$80),MASTER!$L:$L,0))&amp;"_ser_"&amp;TEXT(VALUE(SUBSTITUTE(SUBSTITUTE(TRIM(INDEX(MASTER!$M:$M,MATCH("Cryovial box 7: "&amp;($A85&amp;G$80),MASTER!$L:$L,0))),"ml",""),":",".")),"0.00")&amp;"_"&amp;TEXT(INDEX(MASTER!$E:$E,MATCH("Cryovial box 7: "&amp;($A85&amp;G$80),MASTER!$L:$L,0)),"mmddyy"),"")</f>
        <v/>
      </c>
      <c r="H85" s="4" t="str">
        <f>IFERROR(INDEX(MASTER!$A:$A,MATCH("Cryovial box 7: "&amp;($A85&amp;H$80),MASTER!$L:$L,0))&amp;"_ser_"&amp;TEXT(VALUE(SUBSTITUTE(SUBSTITUTE(TRIM(INDEX(MASTER!$M:$M,MATCH("Cryovial box 7: "&amp;($A85&amp;H$80),MASTER!$L:$L,0))),"ml",""),":",".")),"0.00")&amp;"_"&amp;TEXT(INDEX(MASTER!$E:$E,MATCH("Cryovial box 7: "&amp;($A85&amp;H$80),MASTER!$L:$L,0)),"mmddyy"),"")</f>
        <v/>
      </c>
      <c r="I85" s="4" t="str">
        <f>IFERROR(INDEX(MASTER!$A:$A,MATCH("Cryovial box 7: "&amp;($A85&amp;I$80),MASTER!$L:$L,0))&amp;"_ser_"&amp;TEXT(VALUE(SUBSTITUTE(SUBSTITUTE(TRIM(INDEX(MASTER!$M:$M,MATCH("Cryovial box 7: "&amp;($A85&amp;I$80),MASTER!$L:$L,0))),"ml",""),":",".")),"0.00")&amp;"_"&amp;TEXT(INDEX(MASTER!$E:$E,MATCH("Cryovial box 7: "&amp;($A85&amp;I$80),MASTER!$L:$L,0)),"mmddyy"),"")</f>
        <v/>
      </c>
      <c r="J85" s="4" t="str">
        <f>IFERROR(INDEX(MASTER!$A:$A,MATCH("Cryovial box 7: "&amp;($A85&amp;J$80),MASTER!$L:$L,0))&amp;"_ser_"&amp;TEXT(VALUE(SUBSTITUTE(SUBSTITUTE(TRIM(INDEX(MASTER!$M:$M,MATCH("Cryovial box 7: "&amp;($A85&amp;J$80),MASTER!$L:$L,0))),"ml",""),":",".")),"0.00")&amp;"_"&amp;TEXT(INDEX(MASTER!$E:$E,MATCH("Cryovial box 7: "&amp;($A85&amp;J$80),MASTER!$L:$L,0)),"mmddyy"),"")</f>
        <v/>
      </c>
      <c r="K85" s="4" t="str">
        <f>IFERROR(INDEX(MASTER!$A:$A,MATCH("Cryovial box 7: "&amp;($A85&amp;K$80),MASTER!$L:$L,0))&amp;"_ser_"&amp;TEXT(VALUE(SUBSTITUTE(SUBSTITUTE(TRIM(INDEX(MASTER!$M:$M,MATCH("Cryovial box 7: "&amp;($A85&amp;K$80),MASTER!$L:$L,0))),"ml",""),":",".")),"0.00")&amp;"_"&amp;TEXT(INDEX(MASTER!$E:$E,MATCH("Cryovial box 7: "&amp;($A85&amp;K$80),MASTER!$L:$L,0)),"mmddyy"),"")</f>
        <v/>
      </c>
    </row>
    <row r="86" spans="1:11" ht="14.15" customHeight="1" x14ac:dyDescent="0.3">
      <c r="A86" s="6" t="s">
        <v>15</v>
      </c>
      <c r="B86" s="4" t="str">
        <f>IFERROR(INDEX(MASTER!$A:$A,MATCH("Cryovial box 7: "&amp;($A86&amp;B$80),MASTER!$L:$L,0))&amp;"_ser_"&amp;TEXT(VALUE(SUBSTITUTE(SUBSTITUTE(TRIM(INDEX(MASTER!$M:$M,MATCH("Cryovial box 7: "&amp;($A86&amp;B$80),MASTER!$L:$L,0))),"ml",""),":",".")),"0.00")&amp;"_"&amp;TEXT(INDEX(MASTER!$E:$E,MATCH("Cryovial box 7: "&amp;($A86&amp;B$80),MASTER!$L:$L,0)),"mmddyy"),"")</f>
        <v/>
      </c>
      <c r="C86" s="4" t="str">
        <f>IFERROR(INDEX(MASTER!$A:$A,MATCH("Cryovial box 7: "&amp;($A86&amp;C$80),MASTER!$L:$L,0))&amp;"_ser_"&amp;TEXT(VALUE(SUBSTITUTE(SUBSTITUTE(TRIM(INDEX(MASTER!$M:$M,MATCH("Cryovial box 7: "&amp;($A86&amp;C$80),MASTER!$L:$L,0))),"ml",""),":",".")),"0.00")&amp;"_"&amp;TEXT(INDEX(MASTER!$E:$E,MATCH("Cryovial box 7: "&amp;($A86&amp;C$80),MASTER!$L:$L,0)),"mmddyy"),"")</f>
        <v/>
      </c>
      <c r="D86" s="4" t="str">
        <f>IFERROR(INDEX(MASTER!$A:$A,MATCH("Cryovial box 7: "&amp;($A86&amp;D$80),MASTER!$L:$L,0))&amp;"_ser_"&amp;TEXT(VALUE(SUBSTITUTE(SUBSTITUTE(TRIM(INDEX(MASTER!$M:$M,MATCH("Cryovial box 7: "&amp;($A86&amp;D$80),MASTER!$L:$L,0))),"ml",""),":",".")),"0.00")&amp;"_"&amp;TEXT(INDEX(MASTER!$E:$E,MATCH("Cryovial box 7: "&amp;($A86&amp;D$80),MASTER!$L:$L,0)),"mmddyy"),"")</f>
        <v/>
      </c>
      <c r="E86" s="4" t="str">
        <f>IFERROR(INDEX(MASTER!$A:$A,MATCH("Cryovial box 7: "&amp;($A86&amp;E$80),MASTER!$L:$L,0))&amp;"_ser_"&amp;TEXT(VALUE(SUBSTITUTE(SUBSTITUTE(TRIM(INDEX(MASTER!$M:$M,MATCH("Cryovial box 7: "&amp;($A86&amp;E$80),MASTER!$L:$L,0))),"ml",""),":",".")),"0.00")&amp;"_"&amp;TEXT(INDEX(MASTER!$E:$E,MATCH("Cryovial box 7: "&amp;($A86&amp;E$80),MASTER!$L:$L,0)),"mmddyy"),"")</f>
        <v/>
      </c>
      <c r="F86" s="4" t="str">
        <f>IFERROR(INDEX(MASTER!$A:$A,MATCH("Cryovial box 7: "&amp;($A86&amp;F$80),MASTER!$L:$L,0))&amp;"_ser_"&amp;TEXT(VALUE(SUBSTITUTE(SUBSTITUTE(TRIM(INDEX(MASTER!$M:$M,MATCH("Cryovial box 7: "&amp;($A86&amp;F$80),MASTER!$L:$L,0))),"ml",""),":",".")),"0.00")&amp;"_"&amp;TEXT(INDEX(MASTER!$E:$E,MATCH("Cryovial box 7: "&amp;($A86&amp;F$80),MASTER!$L:$L,0)),"mmddyy"),"")</f>
        <v/>
      </c>
      <c r="G86" s="4" t="str">
        <f>IFERROR(INDEX(MASTER!$A:$A,MATCH("Cryovial box 7: "&amp;($A86&amp;G$80),MASTER!$L:$L,0))&amp;"_ser_"&amp;TEXT(VALUE(SUBSTITUTE(SUBSTITUTE(TRIM(INDEX(MASTER!$M:$M,MATCH("Cryovial box 7: "&amp;($A86&amp;G$80),MASTER!$L:$L,0))),"ml",""),":",".")),"0.00")&amp;"_"&amp;TEXT(INDEX(MASTER!$E:$E,MATCH("Cryovial box 7: "&amp;($A86&amp;G$80),MASTER!$L:$L,0)),"mmddyy"),"")</f>
        <v/>
      </c>
      <c r="H86" s="4" t="str">
        <f>IFERROR(INDEX(MASTER!$A:$A,MATCH("Cryovial box 7: "&amp;($A86&amp;H$80),MASTER!$L:$L,0))&amp;"_ser_"&amp;TEXT(VALUE(SUBSTITUTE(SUBSTITUTE(TRIM(INDEX(MASTER!$M:$M,MATCH("Cryovial box 7: "&amp;($A86&amp;H$80),MASTER!$L:$L,0))),"ml",""),":",".")),"0.00")&amp;"_"&amp;TEXT(INDEX(MASTER!$E:$E,MATCH("Cryovial box 7: "&amp;($A86&amp;H$80),MASTER!$L:$L,0)),"mmddyy"),"")</f>
        <v/>
      </c>
      <c r="I86" s="4" t="str">
        <f>IFERROR(INDEX(MASTER!$A:$A,MATCH("Cryovial box 7: "&amp;($A86&amp;I$80),MASTER!$L:$L,0))&amp;"_ser_"&amp;TEXT(VALUE(SUBSTITUTE(SUBSTITUTE(TRIM(INDEX(MASTER!$M:$M,MATCH("Cryovial box 7: "&amp;($A86&amp;I$80),MASTER!$L:$L,0))),"ml",""),":",".")),"0.00")&amp;"_"&amp;TEXT(INDEX(MASTER!$E:$E,MATCH("Cryovial box 7: "&amp;($A86&amp;I$80),MASTER!$L:$L,0)),"mmddyy"),"")</f>
        <v/>
      </c>
      <c r="J86" s="4" t="str">
        <f>IFERROR(INDEX(MASTER!$A:$A,MATCH("Cryovial box 7: "&amp;($A86&amp;J$80),MASTER!$L:$L,0))&amp;"_ser_"&amp;TEXT(VALUE(SUBSTITUTE(SUBSTITUTE(TRIM(INDEX(MASTER!$M:$M,MATCH("Cryovial box 7: "&amp;($A86&amp;J$80),MASTER!$L:$L,0))),"ml",""),":",".")),"0.00")&amp;"_"&amp;TEXT(INDEX(MASTER!$E:$E,MATCH("Cryovial box 7: "&amp;($A86&amp;J$80),MASTER!$L:$L,0)),"mmddyy"),"")</f>
        <v/>
      </c>
      <c r="K86" s="4" t="str">
        <f>IFERROR(INDEX(MASTER!$A:$A,MATCH("Cryovial box 7: "&amp;($A86&amp;K$80),MASTER!$L:$L,0))&amp;"_ser_"&amp;TEXT(VALUE(SUBSTITUTE(SUBSTITUTE(TRIM(INDEX(MASTER!$M:$M,MATCH("Cryovial box 7: "&amp;($A86&amp;K$80),MASTER!$L:$L,0))),"ml",""),":",".")),"0.00")&amp;"_"&amp;TEXT(INDEX(MASTER!$E:$E,MATCH("Cryovial box 7: "&amp;($A86&amp;K$80),MASTER!$L:$L,0)),"mmddyy"),"")</f>
        <v/>
      </c>
    </row>
    <row r="87" spans="1:11" ht="15" customHeight="1" x14ac:dyDescent="0.3">
      <c r="A87" s="6" t="s">
        <v>35</v>
      </c>
      <c r="B87" s="4" t="str">
        <f>IFERROR(INDEX(MASTER!$A:$A,MATCH("Cryovial box 7: "&amp;($A87&amp;B$80),MASTER!$L:$L,0))&amp;"_ser_"&amp;TEXT(VALUE(SUBSTITUTE(SUBSTITUTE(TRIM(INDEX(MASTER!$M:$M,MATCH("Cryovial box 7: "&amp;($A87&amp;B$80),MASTER!$L:$L,0))),"ml",""),":",".")),"0.00")&amp;"_"&amp;TEXT(INDEX(MASTER!$E:$E,MATCH("Cryovial box 7: "&amp;($A87&amp;B$80),MASTER!$L:$L,0)),"mmddyy"),"")</f>
        <v/>
      </c>
      <c r="C87" s="4" t="str">
        <f>IFERROR(INDEX(MASTER!$A:$A,MATCH("Cryovial box 7: "&amp;($A87&amp;C$80),MASTER!$L:$L,0))&amp;"_ser_"&amp;TEXT(VALUE(SUBSTITUTE(SUBSTITUTE(TRIM(INDEX(MASTER!$M:$M,MATCH("Cryovial box 7: "&amp;($A87&amp;C$80),MASTER!$L:$L,0))),"ml",""),":",".")),"0.00")&amp;"_"&amp;TEXT(INDEX(MASTER!$E:$E,MATCH("Cryovial box 7: "&amp;($A87&amp;C$80),MASTER!$L:$L,0)),"mmddyy"),"")</f>
        <v/>
      </c>
      <c r="D87" s="4" t="str">
        <f>IFERROR(INDEX(MASTER!$A:$A,MATCH("Cryovial box 7: "&amp;($A87&amp;D$80),MASTER!$L:$L,0))&amp;"_ser_"&amp;TEXT(VALUE(SUBSTITUTE(SUBSTITUTE(TRIM(INDEX(MASTER!$M:$M,MATCH("Cryovial box 7: "&amp;($A87&amp;D$80),MASTER!$L:$L,0))),"ml",""),":",".")),"0.00")&amp;"_"&amp;TEXT(INDEX(MASTER!$E:$E,MATCH("Cryovial box 7: "&amp;($A87&amp;D$80),MASTER!$L:$L,0)),"mmddyy"),"")</f>
        <v/>
      </c>
      <c r="E87" s="4" t="str">
        <f>IFERROR(INDEX(MASTER!$A:$A,MATCH("Cryovial box 7: "&amp;($A87&amp;E$80),MASTER!$L:$L,0))&amp;"_ser_"&amp;TEXT(VALUE(SUBSTITUTE(SUBSTITUTE(TRIM(INDEX(MASTER!$M:$M,MATCH("Cryovial box 7: "&amp;($A87&amp;E$80),MASTER!$L:$L,0))),"ml",""),":",".")),"0.00")&amp;"_"&amp;TEXT(INDEX(MASTER!$E:$E,MATCH("Cryovial box 7: "&amp;($A87&amp;E$80),MASTER!$L:$L,0)),"mmddyy"),"")</f>
        <v/>
      </c>
      <c r="F87" s="4" t="str">
        <f>IFERROR(INDEX(MASTER!$A:$A,MATCH("Cryovial box 7: "&amp;($A87&amp;F$80),MASTER!$L:$L,0))&amp;"_ser_"&amp;TEXT(VALUE(SUBSTITUTE(SUBSTITUTE(TRIM(INDEX(MASTER!$M:$M,MATCH("Cryovial box 7: "&amp;($A87&amp;F$80),MASTER!$L:$L,0))),"ml",""),":",".")),"0.00")&amp;"_"&amp;TEXT(INDEX(MASTER!$E:$E,MATCH("Cryovial box 7: "&amp;($A87&amp;F$80),MASTER!$L:$L,0)),"mmddyy"),"")</f>
        <v/>
      </c>
      <c r="G87" s="4" t="str">
        <f>IFERROR(INDEX(MASTER!$A:$A,MATCH("Cryovial box 7: "&amp;($A87&amp;G$80),MASTER!$L:$L,0))&amp;"_ser_"&amp;TEXT(VALUE(SUBSTITUTE(SUBSTITUTE(TRIM(INDEX(MASTER!$M:$M,MATCH("Cryovial box 7: "&amp;($A87&amp;G$80),MASTER!$L:$L,0))),"ml",""),":",".")),"0.00")&amp;"_"&amp;TEXT(INDEX(MASTER!$E:$E,MATCH("Cryovial box 7: "&amp;($A87&amp;G$80),MASTER!$L:$L,0)),"mmddyy"),"")</f>
        <v/>
      </c>
      <c r="H87" s="4" t="str">
        <f>IFERROR(INDEX(MASTER!$A:$A,MATCH("Cryovial box 7: "&amp;($A87&amp;H$80),MASTER!$L:$L,0))&amp;"_ser_"&amp;TEXT(VALUE(SUBSTITUTE(SUBSTITUTE(TRIM(INDEX(MASTER!$M:$M,MATCH("Cryovial box 7: "&amp;($A87&amp;H$80),MASTER!$L:$L,0))),"ml",""),":",".")),"0.00")&amp;"_"&amp;TEXT(INDEX(MASTER!$E:$E,MATCH("Cryovial box 7: "&amp;($A87&amp;H$80),MASTER!$L:$L,0)),"mmddyy"),"")</f>
        <v/>
      </c>
      <c r="I87" s="4" t="str">
        <f>IFERROR(INDEX(MASTER!$A:$A,MATCH("Cryovial box 7: "&amp;($A87&amp;I$80),MASTER!$L:$L,0))&amp;"_ser_"&amp;TEXT(VALUE(SUBSTITUTE(SUBSTITUTE(TRIM(INDEX(MASTER!$M:$M,MATCH("Cryovial box 7: "&amp;($A87&amp;I$80),MASTER!$L:$L,0))),"ml",""),":",".")),"0.00")&amp;"_"&amp;TEXT(INDEX(MASTER!$E:$E,MATCH("Cryovial box 7: "&amp;($A87&amp;I$80),MASTER!$L:$L,0)),"mmddyy"),"")</f>
        <v/>
      </c>
      <c r="J87" s="4" t="str">
        <f>IFERROR(INDEX(MASTER!$A:$A,MATCH("Cryovial box 7: "&amp;($A87&amp;J$80),MASTER!$L:$L,0))&amp;"_ser_"&amp;TEXT(VALUE(SUBSTITUTE(SUBSTITUTE(TRIM(INDEX(MASTER!$M:$M,MATCH("Cryovial box 7: "&amp;($A87&amp;J$80),MASTER!$L:$L,0))),"ml",""),":",".")),"0.00")&amp;"_"&amp;TEXT(INDEX(MASTER!$E:$E,MATCH("Cryovial box 7: "&amp;($A87&amp;J$80),MASTER!$L:$L,0)),"mmddyy"),"")</f>
        <v/>
      </c>
      <c r="K87" s="4" t="str">
        <f>IFERROR(INDEX(MASTER!$A:$A,MATCH("Cryovial box 7: "&amp;($A87&amp;K$80),MASTER!$L:$L,0))&amp;"_ser_"&amp;TEXT(VALUE(SUBSTITUTE(SUBSTITUTE(TRIM(INDEX(MASTER!$M:$M,MATCH("Cryovial box 7: "&amp;($A87&amp;K$80),MASTER!$L:$L,0))),"ml",""),":",".")),"0.00")&amp;"_"&amp;TEXT(INDEX(MASTER!$E:$E,MATCH("Cryovial box 7: "&amp;($A87&amp;K$80),MASTER!$L:$L,0)),"mmddyy"),"")</f>
        <v/>
      </c>
    </row>
    <row r="88" spans="1:11" ht="15" customHeight="1" x14ac:dyDescent="0.3">
      <c r="A88" s="6" t="s">
        <v>36</v>
      </c>
      <c r="B88" s="4" t="str">
        <f>IFERROR(INDEX(MASTER!$A:$A,MATCH("Cryovial box 7: "&amp;($A88&amp;B$80),MASTER!$L:$L,0))&amp;"_ser_"&amp;TEXT(VALUE(SUBSTITUTE(SUBSTITUTE(TRIM(INDEX(MASTER!$M:$M,MATCH("Cryovial box 7: "&amp;($A88&amp;B$80),MASTER!$L:$L,0))),"ml",""),":",".")),"0.00")&amp;"_"&amp;TEXT(INDEX(MASTER!$E:$E,MATCH("Cryovial box 7: "&amp;($A88&amp;B$80),MASTER!$L:$L,0)),"mmddyy"),"")</f>
        <v/>
      </c>
      <c r="C88" s="4" t="str">
        <f>IFERROR(INDEX(MASTER!$A:$A,MATCH("Cryovial box 7: "&amp;($A88&amp;C$80),MASTER!$L:$L,0))&amp;"_ser_"&amp;TEXT(VALUE(SUBSTITUTE(SUBSTITUTE(TRIM(INDEX(MASTER!$M:$M,MATCH("Cryovial box 7: "&amp;($A88&amp;C$80),MASTER!$L:$L,0))),"ml",""),":",".")),"0.00")&amp;"_"&amp;TEXT(INDEX(MASTER!$E:$E,MATCH("Cryovial box 7: "&amp;($A88&amp;C$80),MASTER!$L:$L,0)),"mmddyy"),"")</f>
        <v/>
      </c>
      <c r="D88" s="4" t="str">
        <f>IFERROR(INDEX(MASTER!$A:$A,MATCH("Cryovial box 7: "&amp;($A88&amp;D$80),MASTER!$L:$L,0))&amp;"_ser_"&amp;TEXT(VALUE(SUBSTITUTE(SUBSTITUTE(TRIM(INDEX(MASTER!$M:$M,MATCH("Cryovial box 7: "&amp;($A88&amp;D$80),MASTER!$L:$L,0))),"ml",""),":",".")),"0.00")&amp;"_"&amp;TEXT(INDEX(MASTER!$E:$E,MATCH("Cryovial box 7: "&amp;($A88&amp;D$80),MASTER!$L:$L,0)),"mmddyy"),"")</f>
        <v/>
      </c>
      <c r="E88" s="4" t="str">
        <f>IFERROR(INDEX(MASTER!$A:$A,MATCH("Cryovial box 7: "&amp;($A88&amp;E$80),MASTER!$L:$L,0))&amp;"_ser_"&amp;TEXT(VALUE(SUBSTITUTE(SUBSTITUTE(TRIM(INDEX(MASTER!$M:$M,MATCH("Cryovial box 7: "&amp;($A88&amp;E$80),MASTER!$L:$L,0))),"ml",""),":",".")),"0.00")&amp;"_"&amp;TEXT(INDEX(MASTER!$E:$E,MATCH("Cryovial box 7: "&amp;($A88&amp;E$80),MASTER!$L:$L,0)),"mmddyy"),"")</f>
        <v/>
      </c>
      <c r="F88" s="4" t="str">
        <f>IFERROR(INDEX(MASTER!$A:$A,MATCH("Cryovial box 7: "&amp;($A88&amp;F$80),MASTER!$L:$L,0))&amp;"_ser_"&amp;TEXT(VALUE(SUBSTITUTE(SUBSTITUTE(TRIM(INDEX(MASTER!$M:$M,MATCH("Cryovial box 7: "&amp;($A88&amp;F$80),MASTER!$L:$L,0))),"ml",""),":",".")),"0.00")&amp;"_"&amp;TEXT(INDEX(MASTER!$E:$E,MATCH("Cryovial box 7: "&amp;($A88&amp;F$80),MASTER!$L:$L,0)),"mmddyy"),"")</f>
        <v/>
      </c>
      <c r="G88" s="4" t="str">
        <f>IFERROR(INDEX(MASTER!$A:$A,MATCH("Cryovial box 7: "&amp;($A88&amp;G$80),MASTER!$L:$L,0))&amp;"_ser_"&amp;TEXT(VALUE(SUBSTITUTE(SUBSTITUTE(TRIM(INDEX(MASTER!$M:$M,MATCH("Cryovial box 7: "&amp;($A88&amp;G$80),MASTER!$L:$L,0))),"ml",""),":",".")),"0.00")&amp;"_"&amp;TEXT(INDEX(MASTER!$E:$E,MATCH("Cryovial box 7: "&amp;($A88&amp;G$80),MASTER!$L:$L,0)),"mmddyy"),"")</f>
        <v/>
      </c>
      <c r="H88" s="4" t="str">
        <f>IFERROR(INDEX(MASTER!$A:$A,MATCH("Cryovial box 7: "&amp;($A88&amp;H$80),MASTER!$L:$L,0))&amp;"_ser_"&amp;TEXT(VALUE(SUBSTITUTE(SUBSTITUTE(TRIM(INDEX(MASTER!$M:$M,MATCH("Cryovial box 7: "&amp;($A88&amp;H$80),MASTER!$L:$L,0))),"ml",""),":",".")),"0.00")&amp;"_"&amp;TEXT(INDEX(MASTER!$E:$E,MATCH("Cryovial box 7: "&amp;($A88&amp;H$80),MASTER!$L:$L,0)),"mmddyy"),"")</f>
        <v/>
      </c>
      <c r="I88" s="4" t="str">
        <f>IFERROR(INDEX(MASTER!$A:$A,MATCH("Cryovial box 7: "&amp;($A88&amp;I$80),MASTER!$L:$L,0))&amp;"_ser_"&amp;TEXT(VALUE(SUBSTITUTE(SUBSTITUTE(TRIM(INDEX(MASTER!$M:$M,MATCH("Cryovial box 7: "&amp;($A88&amp;I$80),MASTER!$L:$L,0))),"ml",""),":",".")),"0.00")&amp;"_"&amp;TEXT(INDEX(MASTER!$E:$E,MATCH("Cryovial box 7: "&amp;($A88&amp;I$80),MASTER!$L:$L,0)),"mmddyy"),"")</f>
        <v/>
      </c>
      <c r="J88" s="4" t="str">
        <f>IFERROR(INDEX(MASTER!$A:$A,MATCH("Cryovial box 7: "&amp;($A88&amp;J$80),MASTER!$L:$L,0))&amp;"_ser_"&amp;TEXT(VALUE(SUBSTITUTE(SUBSTITUTE(TRIM(INDEX(MASTER!$M:$M,MATCH("Cryovial box 7: "&amp;($A88&amp;J$80),MASTER!$L:$L,0))),"ml",""),":",".")),"0.00")&amp;"_"&amp;TEXT(INDEX(MASTER!$E:$E,MATCH("Cryovial box 7: "&amp;($A88&amp;J$80),MASTER!$L:$L,0)),"mmddyy"),"")</f>
        <v/>
      </c>
      <c r="K88" s="4" t="str">
        <f>IFERROR(INDEX(MASTER!$A:$A,MATCH("Cryovial box 7: "&amp;($A88&amp;K$80),MASTER!$L:$L,0))&amp;"_ser_"&amp;TEXT(VALUE(SUBSTITUTE(SUBSTITUTE(TRIM(INDEX(MASTER!$M:$M,MATCH("Cryovial box 7: "&amp;($A88&amp;K$80),MASTER!$L:$L,0))),"ml",""),":",".")),"0.00")&amp;"_"&amp;TEXT(INDEX(MASTER!$E:$E,MATCH("Cryovial box 7: "&amp;($A88&amp;K$80),MASTER!$L:$L,0)),"mmddyy"),"")</f>
        <v/>
      </c>
    </row>
    <row r="89" spans="1:11" ht="15" customHeight="1" x14ac:dyDescent="0.3">
      <c r="A89" s="6" t="s">
        <v>100</v>
      </c>
      <c r="B89" s="4" t="str">
        <f>IFERROR(INDEX(MASTER!$A:$A,MATCH("Cryovial box 7: "&amp;($A89&amp;B$80),MASTER!$L:$L,0))&amp;"_ser_"&amp;TEXT(VALUE(SUBSTITUTE(SUBSTITUTE(TRIM(INDEX(MASTER!$M:$M,MATCH("Cryovial box 7: "&amp;($A89&amp;B$80),MASTER!$L:$L,0))),"ml",""),":",".")),"0.00")&amp;"_"&amp;TEXT(INDEX(MASTER!$E:$E,MATCH("Cryovial box 7: "&amp;($A89&amp;B$80),MASTER!$L:$L,0)),"mmddyy"),"")</f>
        <v/>
      </c>
      <c r="C89" s="4" t="str">
        <f>IFERROR(INDEX(MASTER!$A:$A,MATCH("Cryovial box 7: "&amp;($A89&amp;C$80),MASTER!$L:$L,0))&amp;"_ser_"&amp;TEXT(VALUE(SUBSTITUTE(SUBSTITUTE(TRIM(INDEX(MASTER!$M:$M,MATCH("Cryovial box 7: "&amp;($A89&amp;C$80),MASTER!$L:$L,0))),"ml",""),":",".")),"0.00")&amp;"_"&amp;TEXT(INDEX(MASTER!$E:$E,MATCH("Cryovial box 7: "&amp;($A89&amp;C$80),MASTER!$L:$L,0)),"mmddyy"),"")</f>
        <v/>
      </c>
      <c r="D89" s="4" t="str">
        <f>IFERROR(INDEX(MASTER!$A:$A,MATCH("Cryovial box 7: "&amp;($A89&amp;D$80),MASTER!$L:$L,0))&amp;"_ser_"&amp;TEXT(VALUE(SUBSTITUTE(SUBSTITUTE(TRIM(INDEX(MASTER!$M:$M,MATCH("Cryovial box 7: "&amp;($A89&amp;D$80),MASTER!$L:$L,0))),"ml",""),":",".")),"0.00")&amp;"_"&amp;TEXT(INDEX(MASTER!$E:$E,MATCH("Cryovial box 7: "&amp;($A89&amp;D$80),MASTER!$L:$L,0)),"mmddyy"),"")</f>
        <v/>
      </c>
      <c r="E89" s="4" t="str">
        <f>IFERROR(INDEX(MASTER!$A:$A,MATCH("Cryovial box 7: "&amp;($A89&amp;E$80),MASTER!$L:$L,0))&amp;"_ser_"&amp;TEXT(VALUE(SUBSTITUTE(SUBSTITUTE(TRIM(INDEX(MASTER!$M:$M,MATCH("Cryovial box 7: "&amp;($A89&amp;E$80),MASTER!$L:$L,0))),"ml",""),":",".")),"0.00")&amp;"_"&amp;TEXT(INDEX(MASTER!$E:$E,MATCH("Cryovial box 7: "&amp;($A89&amp;E$80),MASTER!$L:$L,0)),"mmddyy"),"")</f>
        <v/>
      </c>
      <c r="F89" s="4" t="str">
        <f>IFERROR(INDEX(MASTER!$A:$A,MATCH("Cryovial box 7: "&amp;($A89&amp;F$80),MASTER!$L:$L,0))&amp;"_ser_"&amp;TEXT(VALUE(SUBSTITUTE(SUBSTITUTE(TRIM(INDEX(MASTER!$M:$M,MATCH("Cryovial box 7: "&amp;($A89&amp;F$80),MASTER!$L:$L,0))),"ml",""),":",".")),"0.00")&amp;"_"&amp;TEXT(INDEX(MASTER!$E:$E,MATCH("Cryovial box 7: "&amp;($A89&amp;F$80),MASTER!$L:$L,0)),"mmddyy"),"")</f>
        <v/>
      </c>
      <c r="G89" s="4" t="str">
        <f>IFERROR(INDEX(MASTER!$A:$A,MATCH("Cryovial box 7: "&amp;($A89&amp;G$80),MASTER!$L:$L,0))&amp;"_ser_"&amp;TEXT(VALUE(SUBSTITUTE(SUBSTITUTE(TRIM(INDEX(MASTER!$M:$M,MATCH("Cryovial box 7: "&amp;($A89&amp;G$80),MASTER!$L:$L,0))),"ml",""),":",".")),"0.00")&amp;"_"&amp;TEXT(INDEX(MASTER!$E:$E,MATCH("Cryovial box 7: "&amp;($A89&amp;G$80),MASTER!$L:$L,0)),"mmddyy"),"")</f>
        <v/>
      </c>
      <c r="H89" s="4" t="str">
        <f>IFERROR(INDEX(MASTER!$A:$A,MATCH("Cryovial box 7: "&amp;($A89&amp;H$80),MASTER!$L:$L,0))&amp;"_ser_"&amp;TEXT(VALUE(SUBSTITUTE(SUBSTITUTE(TRIM(INDEX(MASTER!$M:$M,MATCH("Cryovial box 7: "&amp;($A89&amp;H$80),MASTER!$L:$L,0))),"ml",""),":",".")),"0.00")&amp;"_"&amp;TEXT(INDEX(MASTER!$E:$E,MATCH("Cryovial box 7: "&amp;($A89&amp;H$80),MASTER!$L:$L,0)),"mmddyy"),"")</f>
        <v/>
      </c>
      <c r="I89" s="4" t="str">
        <f>IFERROR(INDEX(MASTER!$A:$A,MATCH("Cryovial box 7: "&amp;($A89&amp;I$80),MASTER!$L:$L,0))&amp;"_ser_"&amp;TEXT(VALUE(SUBSTITUTE(SUBSTITUTE(TRIM(INDEX(MASTER!$M:$M,MATCH("Cryovial box 7: "&amp;($A89&amp;I$80),MASTER!$L:$L,0))),"ml",""),":",".")),"0.00")&amp;"_"&amp;TEXT(INDEX(MASTER!$E:$E,MATCH("Cryovial box 7: "&amp;($A89&amp;I$80),MASTER!$L:$L,0)),"mmddyy"),"")</f>
        <v/>
      </c>
      <c r="J89" s="4" t="str">
        <f>IFERROR(INDEX(MASTER!$A:$A,MATCH("Cryovial box 7: "&amp;($A89&amp;J$80),MASTER!$L:$L,0))&amp;"_ser_"&amp;TEXT(VALUE(SUBSTITUTE(SUBSTITUTE(TRIM(INDEX(MASTER!$M:$M,MATCH("Cryovial box 7: "&amp;($A89&amp;J$80),MASTER!$L:$L,0))),"ml",""),":",".")),"0.00")&amp;"_"&amp;TEXT(INDEX(MASTER!$E:$E,MATCH("Cryovial box 7: "&amp;($A89&amp;J$80),MASTER!$L:$L,0)),"mmddyy"),"")</f>
        <v/>
      </c>
      <c r="K89" s="4" t="str">
        <f>IFERROR(INDEX(MASTER!$A:$A,MATCH("Cryovial box 7: "&amp;($A89&amp;K$80),MASTER!$L:$L,0))&amp;"_ser_"&amp;TEXT(VALUE(SUBSTITUTE(SUBSTITUTE(TRIM(INDEX(MASTER!$M:$M,MATCH("Cryovial box 7: "&amp;($A89&amp;K$80),MASTER!$L:$L,0))),"ml",""),":",".")),"0.00")&amp;"_"&amp;TEXT(INDEX(MASTER!$E:$E,MATCH("Cryovial box 7: "&amp;($A89&amp;K$80),MASTER!$L:$L,0)),"mmddyy"),"")</f>
        <v/>
      </c>
    </row>
    <row r="90" spans="1:11" ht="15" customHeight="1" x14ac:dyDescent="0.3">
      <c r="A90" s="6" t="s">
        <v>101</v>
      </c>
      <c r="B90" s="4" t="str">
        <f>IFERROR(INDEX(MASTER!$A:$A,MATCH("Cryovial box 7: "&amp;($A90&amp;B$80),MASTER!$L:$L,0))&amp;"_ser_"&amp;TEXT(VALUE(SUBSTITUTE(SUBSTITUTE(TRIM(INDEX(MASTER!$M:$M,MATCH("Cryovial box 7: "&amp;($A90&amp;B$80),MASTER!$L:$L,0))),"ml",""),":",".")),"0.00")&amp;"_"&amp;TEXT(INDEX(MASTER!$E:$E,MATCH("Cryovial box 7: "&amp;($A90&amp;B$80),MASTER!$L:$L,0)),"mmddyy"),"")</f>
        <v/>
      </c>
      <c r="C90" s="4" t="str">
        <f>IFERROR(INDEX(MASTER!$A:$A,MATCH("Cryovial box 7: "&amp;($A90&amp;C$80),MASTER!$L:$L,0))&amp;"_ser_"&amp;TEXT(VALUE(SUBSTITUTE(SUBSTITUTE(TRIM(INDEX(MASTER!$M:$M,MATCH("Cryovial box 7: "&amp;($A90&amp;C$80),MASTER!$L:$L,0))),"ml",""),":",".")),"0.00")&amp;"_"&amp;TEXT(INDEX(MASTER!$E:$E,MATCH("Cryovial box 7: "&amp;($A90&amp;C$80),MASTER!$L:$L,0)),"mmddyy"),"")</f>
        <v/>
      </c>
      <c r="D90" s="4" t="str">
        <f>IFERROR(INDEX(MASTER!$A:$A,MATCH("Cryovial box 7: "&amp;($A90&amp;D$80),MASTER!$L:$L,0))&amp;"_ser_"&amp;TEXT(VALUE(SUBSTITUTE(SUBSTITUTE(TRIM(INDEX(MASTER!$M:$M,MATCH("Cryovial box 7: "&amp;($A90&amp;D$80),MASTER!$L:$L,0))),"ml",""),":",".")),"0.00")&amp;"_"&amp;TEXT(INDEX(MASTER!$E:$E,MATCH("Cryovial box 7: "&amp;($A90&amp;D$80),MASTER!$L:$L,0)),"mmddyy"),"")</f>
        <v/>
      </c>
      <c r="E90" s="4" t="str">
        <f>IFERROR(INDEX(MASTER!$A:$A,MATCH("Cryovial box 7: "&amp;($A90&amp;E$80),MASTER!$L:$L,0))&amp;"_ser_"&amp;TEXT(VALUE(SUBSTITUTE(SUBSTITUTE(TRIM(INDEX(MASTER!$M:$M,MATCH("Cryovial box 7: "&amp;($A90&amp;E$80),MASTER!$L:$L,0))),"ml",""),":",".")),"0.00")&amp;"_"&amp;TEXT(INDEX(MASTER!$E:$E,MATCH("Cryovial box 7: "&amp;($A90&amp;E$80),MASTER!$L:$L,0)),"mmddyy"),"")</f>
        <v/>
      </c>
      <c r="F90" s="4" t="str">
        <f>IFERROR(INDEX(MASTER!$A:$A,MATCH("Cryovial box 7: "&amp;($A90&amp;F$80),MASTER!$L:$L,0))&amp;"_ser_"&amp;TEXT(VALUE(SUBSTITUTE(SUBSTITUTE(TRIM(INDEX(MASTER!$M:$M,MATCH("Cryovial box 7: "&amp;($A90&amp;F$80),MASTER!$L:$L,0))),"ml",""),":",".")),"0.00")&amp;"_"&amp;TEXT(INDEX(MASTER!$E:$E,MATCH("Cryovial box 7: "&amp;($A90&amp;F$80),MASTER!$L:$L,0)),"mmddyy"),"")</f>
        <v/>
      </c>
      <c r="G90" s="4" t="str">
        <f>IFERROR(INDEX(MASTER!$A:$A,MATCH("Cryovial box 7: "&amp;($A90&amp;G$80),MASTER!$L:$L,0))&amp;"_ser_"&amp;TEXT(VALUE(SUBSTITUTE(SUBSTITUTE(TRIM(INDEX(MASTER!$M:$M,MATCH("Cryovial box 7: "&amp;($A90&amp;G$80),MASTER!$L:$L,0))),"ml",""),":",".")),"0.00")&amp;"_"&amp;TEXT(INDEX(MASTER!$E:$E,MATCH("Cryovial box 7: "&amp;($A90&amp;G$80),MASTER!$L:$L,0)),"mmddyy"),"")</f>
        <v/>
      </c>
      <c r="H90" s="4" t="str">
        <f>IFERROR(INDEX(MASTER!$A:$A,MATCH("Cryovial box 7: "&amp;($A90&amp;H$80),MASTER!$L:$L,0))&amp;"_ser_"&amp;TEXT(VALUE(SUBSTITUTE(SUBSTITUTE(TRIM(INDEX(MASTER!$M:$M,MATCH("Cryovial box 7: "&amp;($A90&amp;H$80),MASTER!$L:$L,0))),"ml",""),":",".")),"0.00")&amp;"_"&amp;TEXT(INDEX(MASTER!$E:$E,MATCH("Cryovial box 7: "&amp;($A90&amp;H$80),MASTER!$L:$L,0)),"mmddyy"),"")</f>
        <v/>
      </c>
      <c r="I90" s="4" t="str">
        <f>IFERROR(INDEX(MASTER!$A:$A,MATCH("Cryovial box 7: "&amp;($A90&amp;I$80),MASTER!$L:$L,0))&amp;"_ser_"&amp;TEXT(VALUE(SUBSTITUTE(SUBSTITUTE(TRIM(INDEX(MASTER!$M:$M,MATCH("Cryovial box 7: "&amp;($A90&amp;I$80),MASTER!$L:$L,0))),"ml",""),":",".")),"0.00")&amp;"_"&amp;TEXT(INDEX(MASTER!$E:$E,MATCH("Cryovial box 7: "&amp;($A90&amp;I$80),MASTER!$L:$L,0)),"mmddyy"),"")</f>
        <v/>
      </c>
      <c r="J90" s="4" t="str">
        <f>IFERROR(INDEX(MASTER!$A:$A,MATCH("Cryovial box 7: "&amp;($A90&amp;J$80),MASTER!$L:$L,0))&amp;"_ser_"&amp;TEXT(VALUE(SUBSTITUTE(SUBSTITUTE(TRIM(INDEX(MASTER!$M:$M,MATCH("Cryovial box 7: "&amp;($A90&amp;J$80),MASTER!$L:$L,0))),"ml",""),":",".")),"0.00")&amp;"_"&amp;TEXT(INDEX(MASTER!$E:$E,MATCH("Cryovial box 7: "&amp;($A90&amp;J$80),MASTER!$L:$L,0)),"mmddyy"),"")</f>
        <v/>
      </c>
      <c r="K90" s="4" t="str">
        <f>IFERROR(INDEX(MASTER!$A:$A,MATCH("Cryovial box 7: "&amp;($A90&amp;K$80),MASTER!$L:$L,0))&amp;"_ser_"&amp;TEXT(VALUE(SUBSTITUTE(SUBSTITUTE(TRIM(INDEX(MASTER!$M:$M,MATCH("Cryovial box 7: "&amp;($A90&amp;K$80),MASTER!$L:$L,0))),"ml",""),":",".")),"0.00")&amp;"_"&amp;TEXT(INDEX(MASTER!$E:$E,MATCH("Cryovial box 7: "&amp;($A90&amp;K$80),MASTER!$L:$L,0)),"mmddyy"),"")</f>
        <v/>
      </c>
    </row>
    <row r="91" spans="1:11" ht="1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ht="20.149999999999999" customHeight="1" x14ac:dyDescent="0.3">
      <c r="A92" s="5"/>
      <c r="B92" s="31" t="s">
        <v>108</v>
      </c>
      <c r="C92" s="36"/>
      <c r="D92" s="36"/>
      <c r="E92" s="36"/>
      <c r="F92" s="36"/>
      <c r="G92" s="36"/>
      <c r="H92" s="36"/>
      <c r="I92" s="36"/>
      <c r="J92" s="36"/>
      <c r="K92" s="37"/>
    </row>
    <row r="93" spans="1:11" ht="20.149999999999999" customHeight="1" x14ac:dyDescent="0.3">
      <c r="A93" s="5"/>
      <c r="B93" s="6">
        <v>1</v>
      </c>
      <c r="C93" s="6">
        <v>2</v>
      </c>
      <c r="D93" s="6">
        <v>3</v>
      </c>
      <c r="E93" s="6">
        <v>4</v>
      </c>
      <c r="F93" s="6">
        <v>5</v>
      </c>
      <c r="G93" s="6">
        <v>6</v>
      </c>
      <c r="H93" s="6">
        <v>7</v>
      </c>
      <c r="I93" s="6">
        <v>8</v>
      </c>
      <c r="J93" s="6">
        <v>9</v>
      </c>
      <c r="K93" s="6">
        <v>10</v>
      </c>
    </row>
    <row r="94" spans="1:11" ht="20.149999999999999" customHeight="1" x14ac:dyDescent="0.3">
      <c r="A94" s="6" t="s">
        <v>30</v>
      </c>
      <c r="B94" s="4" t="str">
        <f>IFERROR(INDEX(MASTER!$A:$A,MATCH("Cryovial box 8: "&amp;($A94&amp;B$93),MASTER!$L:$L,0))&amp;"_ser_"&amp;TEXT(VALUE(SUBSTITUTE(SUBSTITUTE(TRIM(INDEX(MASTER!$M:$M,MATCH("Cryovial box 8: "&amp;($A94&amp;B$93),MASTER!$L:$L,0))),"ml",""),":",".")),"0.00")&amp;"_"&amp;TEXT(INDEX(MASTER!$E:$E,MATCH("Cryovial box 8: "&amp;($A94&amp;B$93),MASTER!$L:$L,0)),"mmddyy"),"")</f>
        <v/>
      </c>
      <c r="C94" s="4" t="str">
        <f>IFERROR(INDEX(MASTER!$A:$A,MATCH("Cryovial box 8: "&amp;($A94&amp;C$93),MASTER!$L:$L,0))&amp;"_ser_"&amp;TEXT(VALUE(SUBSTITUTE(SUBSTITUTE(TRIM(INDEX(MASTER!$M:$M,MATCH("Cryovial box 8: "&amp;($A94&amp;C$93),MASTER!$L:$L,0))),"ml",""),":",".")),"0.00")&amp;"_"&amp;TEXT(INDEX(MASTER!$E:$E,MATCH("Cryovial box 8: "&amp;($A94&amp;C$93),MASTER!$L:$L,0)),"mmddyy"),"")</f>
        <v/>
      </c>
      <c r="D94" s="4" t="str">
        <f>IFERROR(INDEX(MASTER!$A:$A,MATCH("Cryovial box 8: "&amp;($A94&amp;D$93),MASTER!$L:$L,0))&amp;"_ser_"&amp;TEXT(VALUE(SUBSTITUTE(SUBSTITUTE(TRIM(INDEX(MASTER!$M:$M,MATCH("Cryovial box 8: "&amp;($A94&amp;D$93),MASTER!$L:$L,0))),"ml",""),":",".")),"0.00")&amp;"_"&amp;TEXT(INDEX(MASTER!$E:$E,MATCH("Cryovial box 8: "&amp;($A94&amp;D$93),MASTER!$L:$L,0)),"mmddyy"),"")</f>
        <v/>
      </c>
      <c r="E94" s="4" t="str">
        <f>IFERROR(INDEX(MASTER!$A:$A,MATCH("Cryovial box 8: "&amp;($A94&amp;E$93),MASTER!$L:$L,0))&amp;"_ser_"&amp;TEXT(VALUE(SUBSTITUTE(SUBSTITUTE(TRIM(INDEX(MASTER!$M:$M,MATCH("Cryovial box 8: "&amp;($A94&amp;E$93),MASTER!$L:$L,0))),"ml",""),":",".")),"0.00")&amp;"_"&amp;TEXT(INDEX(MASTER!$E:$E,MATCH("Cryovial box 8: "&amp;($A94&amp;E$93),MASTER!$L:$L,0)),"mmddyy"),"")</f>
        <v/>
      </c>
      <c r="F94" s="4" t="str">
        <f>IFERROR(INDEX(MASTER!$A:$A,MATCH("Cryovial box 8: "&amp;($A94&amp;F$93),MASTER!$L:$L,0))&amp;"_ser_"&amp;TEXT(VALUE(SUBSTITUTE(SUBSTITUTE(TRIM(INDEX(MASTER!$M:$M,MATCH("Cryovial box 8: "&amp;($A94&amp;F$93),MASTER!$L:$L,0))),"ml",""),":",".")),"0.00")&amp;"_"&amp;TEXT(INDEX(MASTER!$E:$E,MATCH("Cryovial box 8: "&amp;($A94&amp;F$93),MASTER!$L:$L,0)),"mmddyy"),"")</f>
        <v/>
      </c>
      <c r="G94" s="4" t="str">
        <f>IFERROR(INDEX(MASTER!$A:$A,MATCH("Cryovial box 8: "&amp;($A94&amp;G$93),MASTER!$L:$L,0))&amp;"_ser_"&amp;TEXT(VALUE(SUBSTITUTE(SUBSTITUTE(TRIM(INDEX(MASTER!$M:$M,MATCH("Cryovial box 8: "&amp;($A94&amp;G$93),MASTER!$L:$L,0))),"ml",""),":",".")),"0.00")&amp;"_"&amp;TEXT(INDEX(MASTER!$E:$E,MATCH("Cryovial box 8: "&amp;($A94&amp;G$93),MASTER!$L:$L,0)),"mmddyy"),"")</f>
        <v/>
      </c>
      <c r="H94" s="4" t="str">
        <f>IFERROR(INDEX(MASTER!$A:$A,MATCH("Cryovial box 8: "&amp;($A94&amp;H$93),MASTER!$L:$L,0))&amp;"_ser_"&amp;TEXT(VALUE(SUBSTITUTE(SUBSTITUTE(TRIM(INDEX(MASTER!$M:$M,MATCH("Cryovial box 8: "&amp;($A94&amp;H$93),MASTER!$L:$L,0))),"ml",""),":",".")),"0.00")&amp;"_"&amp;TEXT(INDEX(MASTER!$E:$E,MATCH("Cryovial box 8: "&amp;($A94&amp;H$93),MASTER!$L:$L,0)),"mmddyy"),"")</f>
        <v/>
      </c>
      <c r="I94" s="4" t="str">
        <f>IFERROR(INDEX(MASTER!$A:$A,MATCH("Cryovial box 8: "&amp;($A94&amp;I$93),MASTER!$L:$L,0))&amp;"_ser_"&amp;TEXT(VALUE(SUBSTITUTE(SUBSTITUTE(TRIM(INDEX(MASTER!$M:$M,MATCH("Cryovial box 8: "&amp;($A94&amp;I$93),MASTER!$L:$L,0))),"ml",""),":",".")),"0.00")&amp;"_"&amp;TEXT(INDEX(MASTER!$E:$E,MATCH("Cryovial box 8: "&amp;($A94&amp;I$93),MASTER!$L:$L,0)),"mmddyy"),"")</f>
        <v/>
      </c>
      <c r="J94" s="4" t="str">
        <f>IFERROR(INDEX(MASTER!$A:$A,MATCH("Cryovial box 8: "&amp;($A94&amp;J$93),MASTER!$L:$L,0))&amp;"_ser_"&amp;TEXT(VALUE(SUBSTITUTE(SUBSTITUTE(TRIM(INDEX(MASTER!$M:$M,MATCH("Cryovial box 8: "&amp;($A94&amp;J$93),MASTER!$L:$L,0))),"ml",""),":",".")),"0.00")&amp;"_"&amp;TEXT(INDEX(MASTER!$E:$E,MATCH("Cryovial box 8: "&amp;($A94&amp;J$93),MASTER!$L:$L,0)),"mmddyy"),"")</f>
        <v/>
      </c>
      <c r="K94" s="4" t="str">
        <f>IFERROR(INDEX(MASTER!$A:$A,MATCH("Cryovial box 8: "&amp;($A94&amp;K$93),MASTER!$L:$L,0))&amp;"_ser_"&amp;TEXT(VALUE(SUBSTITUTE(SUBSTITUTE(TRIM(INDEX(MASTER!$M:$M,MATCH("Cryovial box 8: "&amp;($A94&amp;K$93),MASTER!$L:$L,0))),"ml",""),":",".")),"0.00")&amp;"_"&amp;TEXT(INDEX(MASTER!$E:$E,MATCH("Cryovial box 8: "&amp;($A94&amp;K$93),MASTER!$L:$L,0)),"mmddyy"),"")</f>
        <v/>
      </c>
    </row>
    <row r="95" spans="1:11" ht="20.149999999999999" customHeight="1" x14ac:dyDescent="0.3">
      <c r="A95" s="6" t="s">
        <v>31</v>
      </c>
      <c r="B95" s="4" t="str">
        <f>IFERROR(INDEX(MASTER!$A:$A,MATCH("Cryovial box 8: "&amp;($A95&amp;B$93),MASTER!$L:$L,0))&amp;"_ser_"&amp;TEXT(VALUE(SUBSTITUTE(SUBSTITUTE(TRIM(INDEX(MASTER!$M:$M,MATCH("Cryovial box 8: "&amp;($A95&amp;B$93),MASTER!$L:$L,0))),"ml",""),":",".")),"0.00")&amp;"_"&amp;TEXT(INDEX(MASTER!$E:$E,MATCH("Cryovial box 8: "&amp;($A95&amp;B$93),MASTER!$L:$L,0)),"mmddyy"),"")</f>
        <v/>
      </c>
      <c r="C95" s="4" t="str">
        <f>IFERROR(INDEX(MASTER!$A:$A,MATCH("Cryovial box 8: "&amp;($A95&amp;C$93),MASTER!$L:$L,0))&amp;"_ser_"&amp;TEXT(VALUE(SUBSTITUTE(SUBSTITUTE(TRIM(INDEX(MASTER!$M:$M,MATCH("Cryovial box 8: "&amp;($A95&amp;C$93),MASTER!$L:$L,0))),"ml",""),":",".")),"0.00")&amp;"_"&amp;TEXT(INDEX(MASTER!$E:$E,MATCH("Cryovial box 8: "&amp;($A95&amp;C$93),MASTER!$L:$L,0)),"mmddyy"),"")</f>
        <v/>
      </c>
      <c r="D95" s="4" t="str">
        <f>IFERROR(INDEX(MASTER!$A:$A,MATCH("Cryovial box 8: "&amp;($A95&amp;D$93),MASTER!$L:$L,0))&amp;"_ser_"&amp;TEXT(VALUE(SUBSTITUTE(SUBSTITUTE(TRIM(INDEX(MASTER!$M:$M,MATCH("Cryovial box 8: "&amp;($A95&amp;D$93),MASTER!$L:$L,0))),"ml",""),":",".")),"0.00")&amp;"_"&amp;TEXT(INDEX(MASTER!$E:$E,MATCH("Cryovial box 8: "&amp;($A95&amp;D$93),MASTER!$L:$L,0)),"mmddyy"),"")</f>
        <v/>
      </c>
      <c r="E95" s="4" t="str">
        <f>IFERROR(INDEX(MASTER!$A:$A,MATCH("Cryovial box 8: "&amp;($A95&amp;E$93),MASTER!$L:$L,0))&amp;"_ser_"&amp;TEXT(VALUE(SUBSTITUTE(SUBSTITUTE(TRIM(INDEX(MASTER!$M:$M,MATCH("Cryovial box 8: "&amp;($A95&amp;E$93),MASTER!$L:$L,0))),"ml",""),":",".")),"0.00")&amp;"_"&amp;TEXT(INDEX(MASTER!$E:$E,MATCH("Cryovial box 8: "&amp;($A95&amp;E$93),MASTER!$L:$L,0)),"mmddyy"),"")</f>
        <v/>
      </c>
      <c r="F95" s="4" t="str">
        <f>IFERROR(INDEX(MASTER!$A:$A,MATCH("Cryovial box 8: "&amp;($A95&amp;F$93),MASTER!$L:$L,0))&amp;"_ser_"&amp;TEXT(VALUE(SUBSTITUTE(SUBSTITUTE(TRIM(INDEX(MASTER!$M:$M,MATCH("Cryovial box 8: "&amp;($A95&amp;F$93),MASTER!$L:$L,0))),"ml",""),":",".")),"0.00")&amp;"_"&amp;TEXT(INDEX(MASTER!$E:$E,MATCH("Cryovial box 8: "&amp;($A95&amp;F$93),MASTER!$L:$L,0)),"mmddyy"),"")</f>
        <v/>
      </c>
      <c r="G95" s="4" t="str">
        <f>IFERROR(INDEX(MASTER!$A:$A,MATCH("Cryovial box 8: "&amp;($A95&amp;G$93),MASTER!$L:$L,0))&amp;"_ser_"&amp;TEXT(VALUE(SUBSTITUTE(SUBSTITUTE(TRIM(INDEX(MASTER!$M:$M,MATCH("Cryovial box 8: "&amp;($A95&amp;G$93),MASTER!$L:$L,0))),"ml",""),":",".")),"0.00")&amp;"_"&amp;TEXT(INDEX(MASTER!$E:$E,MATCH("Cryovial box 8: "&amp;($A95&amp;G$93),MASTER!$L:$L,0)),"mmddyy"),"")</f>
        <v/>
      </c>
      <c r="H95" s="4" t="str">
        <f>IFERROR(INDEX(MASTER!$A:$A,MATCH("Cryovial box 8: "&amp;($A95&amp;H$93),MASTER!$L:$L,0))&amp;"_ser_"&amp;TEXT(VALUE(SUBSTITUTE(SUBSTITUTE(TRIM(INDEX(MASTER!$M:$M,MATCH("Cryovial box 8: "&amp;($A95&amp;H$93),MASTER!$L:$L,0))),"ml",""),":",".")),"0.00")&amp;"_"&amp;TEXT(INDEX(MASTER!$E:$E,MATCH("Cryovial box 8: "&amp;($A95&amp;H$93),MASTER!$L:$L,0)),"mmddyy"),"")</f>
        <v/>
      </c>
      <c r="I95" s="4" t="str">
        <f>IFERROR(INDEX(MASTER!$A:$A,MATCH("Cryovial box 8: "&amp;($A95&amp;I$93),MASTER!$L:$L,0))&amp;"_ser_"&amp;TEXT(VALUE(SUBSTITUTE(SUBSTITUTE(TRIM(INDEX(MASTER!$M:$M,MATCH("Cryovial box 8: "&amp;($A95&amp;I$93),MASTER!$L:$L,0))),"ml",""),":",".")),"0.00")&amp;"_"&amp;TEXT(INDEX(MASTER!$E:$E,MATCH("Cryovial box 8: "&amp;($A95&amp;I$93),MASTER!$L:$L,0)),"mmddyy"),"")</f>
        <v/>
      </c>
      <c r="J95" s="4" t="str">
        <f>IFERROR(INDEX(MASTER!$A:$A,MATCH("Cryovial box 8: "&amp;($A95&amp;J$93),MASTER!$L:$L,0))&amp;"_ser_"&amp;TEXT(VALUE(SUBSTITUTE(SUBSTITUTE(TRIM(INDEX(MASTER!$M:$M,MATCH("Cryovial box 8: "&amp;($A95&amp;J$93),MASTER!$L:$L,0))),"ml",""),":",".")),"0.00")&amp;"_"&amp;TEXT(INDEX(MASTER!$E:$E,MATCH("Cryovial box 8: "&amp;($A95&amp;J$93),MASTER!$L:$L,0)),"mmddyy"),"")</f>
        <v/>
      </c>
      <c r="K95" s="4" t="str">
        <f>IFERROR(INDEX(MASTER!$A:$A,MATCH("Cryovial box 8: "&amp;($A95&amp;K$93),MASTER!$L:$L,0))&amp;"_ser_"&amp;TEXT(VALUE(SUBSTITUTE(SUBSTITUTE(TRIM(INDEX(MASTER!$M:$M,MATCH("Cryovial box 8: "&amp;($A95&amp;K$93),MASTER!$L:$L,0))),"ml",""),":",".")),"0.00")&amp;"_"&amp;TEXT(INDEX(MASTER!$E:$E,MATCH("Cryovial box 8: "&amp;($A95&amp;K$93),MASTER!$L:$L,0)),"mmddyy"),"")</f>
        <v/>
      </c>
    </row>
    <row r="96" spans="1:11" ht="20.149999999999999" customHeight="1" x14ac:dyDescent="0.3">
      <c r="A96" s="6" t="s">
        <v>32</v>
      </c>
      <c r="B96" s="4" t="str">
        <f>IFERROR(INDEX(MASTER!$A:$A,MATCH("Cryovial box 8: "&amp;($A96&amp;B$93),MASTER!$L:$L,0))&amp;"_ser_"&amp;TEXT(VALUE(SUBSTITUTE(SUBSTITUTE(TRIM(INDEX(MASTER!$M:$M,MATCH("Cryovial box 8: "&amp;($A96&amp;B$93),MASTER!$L:$L,0))),"ml",""),":",".")),"0.00")&amp;"_"&amp;TEXT(INDEX(MASTER!$E:$E,MATCH("Cryovial box 8: "&amp;($A96&amp;B$93),MASTER!$L:$L,0)),"mmddyy"),"")</f>
        <v/>
      </c>
      <c r="C96" s="4" t="str">
        <f>IFERROR(INDEX(MASTER!$A:$A,MATCH("Cryovial box 8: "&amp;($A96&amp;C$93),MASTER!$L:$L,0))&amp;"_ser_"&amp;TEXT(VALUE(SUBSTITUTE(SUBSTITUTE(TRIM(INDEX(MASTER!$M:$M,MATCH("Cryovial box 8: "&amp;($A96&amp;C$93),MASTER!$L:$L,0))),"ml",""),":",".")),"0.00")&amp;"_"&amp;TEXT(INDEX(MASTER!$E:$E,MATCH("Cryovial box 8: "&amp;($A96&amp;C$93),MASTER!$L:$L,0)),"mmddyy"),"")</f>
        <v/>
      </c>
      <c r="D96" s="4" t="str">
        <f>IFERROR(INDEX(MASTER!$A:$A,MATCH("Cryovial box 8: "&amp;($A96&amp;D$93),MASTER!$L:$L,0))&amp;"_ser_"&amp;TEXT(VALUE(SUBSTITUTE(SUBSTITUTE(TRIM(INDEX(MASTER!$M:$M,MATCH("Cryovial box 8: "&amp;($A96&amp;D$93),MASTER!$L:$L,0))),"ml",""),":",".")),"0.00")&amp;"_"&amp;TEXT(INDEX(MASTER!$E:$E,MATCH("Cryovial box 8: "&amp;($A96&amp;D$93),MASTER!$L:$L,0)),"mmddyy"),"")</f>
        <v/>
      </c>
      <c r="E96" s="4" t="str">
        <f>IFERROR(INDEX(MASTER!$A:$A,MATCH("Cryovial box 8: "&amp;($A96&amp;E$93),MASTER!$L:$L,0))&amp;"_ser_"&amp;TEXT(VALUE(SUBSTITUTE(SUBSTITUTE(TRIM(INDEX(MASTER!$M:$M,MATCH("Cryovial box 8: "&amp;($A96&amp;E$93),MASTER!$L:$L,0))),"ml",""),":",".")),"0.00")&amp;"_"&amp;TEXT(INDEX(MASTER!$E:$E,MATCH("Cryovial box 8: "&amp;($A96&amp;E$93),MASTER!$L:$L,0)),"mmddyy"),"")</f>
        <v/>
      </c>
      <c r="F96" s="4" t="str">
        <f>IFERROR(INDEX(MASTER!$A:$A,MATCH("Cryovial box 8: "&amp;($A96&amp;F$93),MASTER!$L:$L,0))&amp;"_ser_"&amp;TEXT(VALUE(SUBSTITUTE(SUBSTITUTE(TRIM(INDEX(MASTER!$M:$M,MATCH("Cryovial box 8: "&amp;($A96&amp;F$93),MASTER!$L:$L,0))),"ml",""),":",".")),"0.00")&amp;"_"&amp;TEXT(INDEX(MASTER!$E:$E,MATCH("Cryovial box 8: "&amp;($A96&amp;F$93),MASTER!$L:$L,0)),"mmddyy"),"")</f>
        <v/>
      </c>
      <c r="G96" s="4" t="str">
        <f>IFERROR(INDEX(MASTER!$A:$A,MATCH("Cryovial box 8: "&amp;($A96&amp;G$93),MASTER!$L:$L,0))&amp;"_ser_"&amp;TEXT(VALUE(SUBSTITUTE(SUBSTITUTE(TRIM(INDEX(MASTER!$M:$M,MATCH("Cryovial box 8: "&amp;($A96&amp;G$93),MASTER!$L:$L,0))),"ml",""),":",".")),"0.00")&amp;"_"&amp;TEXT(INDEX(MASTER!$E:$E,MATCH("Cryovial box 8: "&amp;($A96&amp;G$93),MASTER!$L:$L,0)),"mmddyy"),"")</f>
        <v/>
      </c>
      <c r="H96" s="4" t="str">
        <f>IFERROR(INDEX(MASTER!$A:$A,MATCH("Cryovial box 8: "&amp;($A96&amp;H$93),MASTER!$L:$L,0))&amp;"_ser_"&amp;TEXT(VALUE(SUBSTITUTE(SUBSTITUTE(TRIM(INDEX(MASTER!$M:$M,MATCH("Cryovial box 8: "&amp;($A96&amp;H$93),MASTER!$L:$L,0))),"ml",""),":",".")),"0.00")&amp;"_"&amp;TEXT(INDEX(MASTER!$E:$E,MATCH("Cryovial box 8: "&amp;($A96&amp;H$93),MASTER!$L:$L,0)),"mmddyy"),"")</f>
        <v/>
      </c>
      <c r="I96" s="4" t="str">
        <f>IFERROR(INDEX(MASTER!$A:$A,MATCH("Cryovial box 8: "&amp;($A96&amp;I$93),MASTER!$L:$L,0))&amp;"_ser_"&amp;TEXT(VALUE(SUBSTITUTE(SUBSTITUTE(TRIM(INDEX(MASTER!$M:$M,MATCH("Cryovial box 8: "&amp;($A96&amp;I$93),MASTER!$L:$L,0))),"ml",""),":",".")),"0.00")&amp;"_"&amp;TEXT(INDEX(MASTER!$E:$E,MATCH("Cryovial box 8: "&amp;($A96&amp;I$93),MASTER!$L:$L,0)),"mmddyy"),"")</f>
        <v/>
      </c>
      <c r="J96" s="4" t="str">
        <f>IFERROR(INDEX(MASTER!$A:$A,MATCH("Cryovial box 8: "&amp;($A96&amp;J$93),MASTER!$L:$L,0))&amp;"_ser_"&amp;TEXT(VALUE(SUBSTITUTE(SUBSTITUTE(TRIM(INDEX(MASTER!$M:$M,MATCH("Cryovial box 8: "&amp;($A96&amp;J$93),MASTER!$L:$L,0))),"ml",""),":",".")),"0.00")&amp;"_"&amp;TEXT(INDEX(MASTER!$E:$E,MATCH("Cryovial box 8: "&amp;($A96&amp;J$93),MASTER!$L:$L,0)),"mmddyy"),"")</f>
        <v/>
      </c>
      <c r="K96" s="4" t="str">
        <f>IFERROR(INDEX(MASTER!$A:$A,MATCH("Cryovial box 8: "&amp;($A96&amp;K$93),MASTER!$L:$L,0))&amp;"_ser_"&amp;TEXT(VALUE(SUBSTITUTE(SUBSTITUTE(TRIM(INDEX(MASTER!$M:$M,MATCH("Cryovial box 8: "&amp;($A96&amp;K$93),MASTER!$L:$L,0))),"ml",""),":",".")),"0.00")&amp;"_"&amp;TEXT(INDEX(MASTER!$E:$E,MATCH("Cryovial box 8: "&amp;($A96&amp;K$93),MASTER!$L:$L,0)),"mmddyy"),"")</f>
        <v/>
      </c>
    </row>
    <row r="97" spans="1:11" ht="14.15" customHeight="1" x14ac:dyDescent="0.3">
      <c r="A97" s="6" t="s">
        <v>33</v>
      </c>
      <c r="B97" s="4" t="str">
        <f>IFERROR(INDEX(MASTER!$A:$A,MATCH("Cryovial box 8: "&amp;($A97&amp;B$93),MASTER!$L:$L,0))&amp;"_ser_"&amp;TEXT(VALUE(SUBSTITUTE(SUBSTITUTE(TRIM(INDEX(MASTER!$M:$M,MATCH("Cryovial box 8: "&amp;($A97&amp;B$93),MASTER!$L:$L,0))),"ml",""),":",".")),"0.00")&amp;"_"&amp;TEXT(INDEX(MASTER!$E:$E,MATCH("Cryovial box 8: "&amp;($A97&amp;B$93),MASTER!$L:$L,0)),"mmddyy"),"")</f>
        <v/>
      </c>
      <c r="C97" s="4" t="str">
        <f>IFERROR(INDEX(MASTER!$A:$A,MATCH("Cryovial box 8: "&amp;($A97&amp;C$93),MASTER!$L:$L,0))&amp;"_ser_"&amp;TEXT(VALUE(SUBSTITUTE(SUBSTITUTE(TRIM(INDEX(MASTER!$M:$M,MATCH("Cryovial box 8: "&amp;($A97&amp;C$93),MASTER!$L:$L,0))),"ml",""),":",".")),"0.00")&amp;"_"&amp;TEXT(INDEX(MASTER!$E:$E,MATCH("Cryovial box 8: "&amp;($A97&amp;C$93),MASTER!$L:$L,0)),"mmddyy"),"")</f>
        <v/>
      </c>
      <c r="D97" s="4" t="str">
        <f>IFERROR(INDEX(MASTER!$A:$A,MATCH("Cryovial box 8: "&amp;($A97&amp;D$93),MASTER!$L:$L,0))&amp;"_ser_"&amp;TEXT(VALUE(SUBSTITUTE(SUBSTITUTE(TRIM(INDEX(MASTER!$M:$M,MATCH("Cryovial box 8: "&amp;($A97&amp;D$93),MASTER!$L:$L,0))),"ml",""),":",".")),"0.00")&amp;"_"&amp;TEXT(INDEX(MASTER!$E:$E,MATCH("Cryovial box 8: "&amp;($A97&amp;D$93),MASTER!$L:$L,0)),"mmddyy"),"")</f>
        <v/>
      </c>
      <c r="E97" s="4" t="str">
        <f>IFERROR(INDEX(MASTER!$A:$A,MATCH("Cryovial box 8: "&amp;($A97&amp;E$93),MASTER!$L:$L,0))&amp;"_ser_"&amp;TEXT(VALUE(SUBSTITUTE(SUBSTITUTE(TRIM(INDEX(MASTER!$M:$M,MATCH("Cryovial box 8: "&amp;($A97&amp;E$93),MASTER!$L:$L,0))),"ml",""),":",".")),"0.00")&amp;"_"&amp;TEXT(INDEX(MASTER!$E:$E,MATCH("Cryovial box 8: "&amp;($A97&amp;E$93),MASTER!$L:$L,0)),"mmddyy"),"")</f>
        <v/>
      </c>
      <c r="F97" s="4" t="str">
        <f>IFERROR(INDEX(MASTER!$A:$A,MATCH("Cryovial box 8: "&amp;($A97&amp;F$93),MASTER!$L:$L,0))&amp;"_ser_"&amp;TEXT(VALUE(SUBSTITUTE(SUBSTITUTE(TRIM(INDEX(MASTER!$M:$M,MATCH("Cryovial box 8: "&amp;($A97&amp;F$93),MASTER!$L:$L,0))),"ml",""),":",".")),"0.00")&amp;"_"&amp;TEXT(INDEX(MASTER!$E:$E,MATCH("Cryovial box 8: "&amp;($A97&amp;F$93),MASTER!$L:$L,0)),"mmddyy"),"")</f>
        <v/>
      </c>
      <c r="G97" s="4" t="str">
        <f>IFERROR(INDEX(MASTER!$A:$A,MATCH("Cryovial box 8: "&amp;($A97&amp;G$93),MASTER!$L:$L,0))&amp;"_ser_"&amp;TEXT(VALUE(SUBSTITUTE(SUBSTITUTE(TRIM(INDEX(MASTER!$M:$M,MATCH("Cryovial box 8: "&amp;($A97&amp;G$93),MASTER!$L:$L,0))),"ml",""),":",".")),"0.00")&amp;"_"&amp;TEXT(INDEX(MASTER!$E:$E,MATCH("Cryovial box 8: "&amp;($A97&amp;G$93),MASTER!$L:$L,0)),"mmddyy"),"")</f>
        <v/>
      </c>
      <c r="H97" s="4" t="str">
        <f>IFERROR(INDEX(MASTER!$A:$A,MATCH("Cryovial box 8: "&amp;($A97&amp;H$93),MASTER!$L:$L,0))&amp;"_ser_"&amp;TEXT(VALUE(SUBSTITUTE(SUBSTITUTE(TRIM(INDEX(MASTER!$M:$M,MATCH("Cryovial box 8: "&amp;($A97&amp;H$93),MASTER!$L:$L,0))),"ml",""),":",".")),"0.00")&amp;"_"&amp;TEXT(INDEX(MASTER!$E:$E,MATCH("Cryovial box 8: "&amp;($A97&amp;H$93),MASTER!$L:$L,0)),"mmddyy"),"")</f>
        <v/>
      </c>
      <c r="I97" s="4" t="str">
        <f>IFERROR(INDEX(MASTER!$A:$A,MATCH("Cryovial box 8: "&amp;($A97&amp;I$93),MASTER!$L:$L,0))&amp;"_ser_"&amp;TEXT(VALUE(SUBSTITUTE(SUBSTITUTE(TRIM(INDEX(MASTER!$M:$M,MATCH("Cryovial box 8: "&amp;($A97&amp;I$93),MASTER!$L:$L,0))),"ml",""),":",".")),"0.00")&amp;"_"&amp;TEXT(INDEX(MASTER!$E:$E,MATCH("Cryovial box 8: "&amp;($A97&amp;I$93),MASTER!$L:$L,0)),"mmddyy"),"")</f>
        <v/>
      </c>
      <c r="J97" s="4" t="str">
        <f>IFERROR(INDEX(MASTER!$A:$A,MATCH("Cryovial box 8: "&amp;($A97&amp;J$93),MASTER!$L:$L,0))&amp;"_ser_"&amp;TEXT(VALUE(SUBSTITUTE(SUBSTITUTE(TRIM(INDEX(MASTER!$M:$M,MATCH("Cryovial box 8: "&amp;($A97&amp;J$93),MASTER!$L:$L,0))),"ml",""),":",".")),"0.00")&amp;"_"&amp;TEXT(INDEX(MASTER!$E:$E,MATCH("Cryovial box 8: "&amp;($A97&amp;J$93),MASTER!$L:$L,0)),"mmddyy"),"")</f>
        <v/>
      </c>
      <c r="K97" s="4" t="str">
        <f>IFERROR(INDEX(MASTER!$A:$A,MATCH("Cryovial box 8: "&amp;($A97&amp;K$93),MASTER!$L:$L,0))&amp;"_ser_"&amp;TEXT(VALUE(SUBSTITUTE(SUBSTITUTE(TRIM(INDEX(MASTER!$M:$M,MATCH("Cryovial box 8: "&amp;($A97&amp;K$93),MASTER!$L:$L,0))),"ml",""),":",".")),"0.00")&amp;"_"&amp;TEXT(INDEX(MASTER!$E:$E,MATCH("Cryovial box 8: "&amp;($A97&amp;K$93),MASTER!$L:$L,0)),"mmddyy"),"")</f>
        <v/>
      </c>
    </row>
    <row r="98" spans="1:11" ht="14.15" customHeight="1" x14ac:dyDescent="0.3">
      <c r="A98" s="6" t="s">
        <v>34</v>
      </c>
      <c r="B98" s="4" t="str">
        <f>IFERROR(INDEX(MASTER!$A:$A,MATCH("Cryovial box 8: "&amp;($A98&amp;B$93),MASTER!$L:$L,0))&amp;"_ser_"&amp;TEXT(VALUE(SUBSTITUTE(SUBSTITUTE(TRIM(INDEX(MASTER!$M:$M,MATCH("Cryovial box 8: "&amp;($A98&amp;B$93),MASTER!$L:$L,0))),"ml",""),":",".")),"0.00")&amp;"_"&amp;TEXT(INDEX(MASTER!$E:$E,MATCH("Cryovial box 8: "&amp;($A98&amp;B$93),MASTER!$L:$L,0)),"mmddyy"),"")</f>
        <v/>
      </c>
      <c r="C98" s="4" t="str">
        <f>IFERROR(INDEX(MASTER!$A:$A,MATCH("Cryovial box 8: "&amp;($A98&amp;C$93),MASTER!$L:$L,0))&amp;"_ser_"&amp;TEXT(VALUE(SUBSTITUTE(SUBSTITUTE(TRIM(INDEX(MASTER!$M:$M,MATCH("Cryovial box 8: "&amp;($A98&amp;C$93),MASTER!$L:$L,0))),"ml",""),":",".")),"0.00")&amp;"_"&amp;TEXT(INDEX(MASTER!$E:$E,MATCH("Cryovial box 8: "&amp;($A98&amp;C$93),MASTER!$L:$L,0)),"mmddyy"),"")</f>
        <v/>
      </c>
      <c r="D98" s="4" t="str">
        <f>IFERROR(INDEX(MASTER!$A:$A,MATCH("Cryovial box 8: "&amp;($A98&amp;D$93),MASTER!$L:$L,0))&amp;"_ser_"&amp;TEXT(VALUE(SUBSTITUTE(SUBSTITUTE(TRIM(INDEX(MASTER!$M:$M,MATCH("Cryovial box 8: "&amp;($A98&amp;D$93),MASTER!$L:$L,0))),"ml",""),":",".")),"0.00")&amp;"_"&amp;TEXT(INDEX(MASTER!$E:$E,MATCH("Cryovial box 8: "&amp;($A98&amp;D$93),MASTER!$L:$L,0)),"mmddyy"),"")</f>
        <v/>
      </c>
      <c r="E98" s="4" t="str">
        <f>IFERROR(INDEX(MASTER!$A:$A,MATCH("Cryovial box 8: "&amp;($A98&amp;E$93),MASTER!$L:$L,0))&amp;"_ser_"&amp;TEXT(VALUE(SUBSTITUTE(SUBSTITUTE(TRIM(INDEX(MASTER!$M:$M,MATCH("Cryovial box 8: "&amp;($A98&amp;E$93),MASTER!$L:$L,0))),"ml",""),":",".")),"0.00")&amp;"_"&amp;TEXT(INDEX(MASTER!$E:$E,MATCH("Cryovial box 8: "&amp;($A98&amp;E$93),MASTER!$L:$L,0)),"mmddyy"),"")</f>
        <v/>
      </c>
      <c r="F98" s="4" t="str">
        <f>IFERROR(INDEX(MASTER!$A:$A,MATCH("Cryovial box 8: "&amp;($A98&amp;F$93),MASTER!$L:$L,0))&amp;"_ser_"&amp;TEXT(VALUE(SUBSTITUTE(SUBSTITUTE(TRIM(INDEX(MASTER!$M:$M,MATCH("Cryovial box 8: "&amp;($A98&amp;F$93),MASTER!$L:$L,0))),"ml",""),":",".")),"0.00")&amp;"_"&amp;TEXT(INDEX(MASTER!$E:$E,MATCH("Cryovial box 8: "&amp;($A98&amp;F$93),MASTER!$L:$L,0)),"mmddyy"),"")</f>
        <v/>
      </c>
      <c r="G98" s="4" t="str">
        <f>IFERROR(INDEX(MASTER!$A:$A,MATCH("Cryovial box 8: "&amp;($A98&amp;G$93),MASTER!$L:$L,0))&amp;"_ser_"&amp;TEXT(VALUE(SUBSTITUTE(SUBSTITUTE(TRIM(INDEX(MASTER!$M:$M,MATCH("Cryovial box 8: "&amp;($A98&amp;G$93),MASTER!$L:$L,0))),"ml",""),":",".")),"0.00")&amp;"_"&amp;TEXT(INDEX(MASTER!$E:$E,MATCH("Cryovial box 8: "&amp;($A98&amp;G$93),MASTER!$L:$L,0)),"mmddyy"),"")</f>
        <v/>
      </c>
      <c r="H98" s="4" t="str">
        <f>IFERROR(INDEX(MASTER!$A:$A,MATCH("Cryovial box 8: "&amp;($A98&amp;H$93),MASTER!$L:$L,0))&amp;"_ser_"&amp;TEXT(VALUE(SUBSTITUTE(SUBSTITUTE(TRIM(INDEX(MASTER!$M:$M,MATCH("Cryovial box 8: "&amp;($A98&amp;H$93),MASTER!$L:$L,0))),"ml",""),":",".")),"0.00")&amp;"_"&amp;TEXT(INDEX(MASTER!$E:$E,MATCH("Cryovial box 8: "&amp;($A98&amp;H$93),MASTER!$L:$L,0)),"mmddyy"),"")</f>
        <v/>
      </c>
      <c r="I98" s="4" t="str">
        <f>IFERROR(INDEX(MASTER!$A:$A,MATCH("Cryovial box 8: "&amp;($A98&amp;I$93),MASTER!$L:$L,0))&amp;"_ser_"&amp;TEXT(VALUE(SUBSTITUTE(SUBSTITUTE(TRIM(INDEX(MASTER!$M:$M,MATCH("Cryovial box 8: "&amp;($A98&amp;I$93),MASTER!$L:$L,0))),"ml",""),":",".")),"0.00")&amp;"_"&amp;TEXT(INDEX(MASTER!$E:$E,MATCH("Cryovial box 8: "&amp;($A98&amp;I$93),MASTER!$L:$L,0)),"mmddyy"),"")</f>
        <v/>
      </c>
      <c r="J98" s="4" t="str">
        <f>IFERROR(INDEX(MASTER!$A:$A,MATCH("Cryovial box 8: "&amp;($A98&amp;J$93),MASTER!$L:$L,0))&amp;"_ser_"&amp;TEXT(VALUE(SUBSTITUTE(SUBSTITUTE(TRIM(INDEX(MASTER!$M:$M,MATCH("Cryovial box 8: "&amp;($A98&amp;J$93),MASTER!$L:$L,0))),"ml",""),":",".")),"0.00")&amp;"_"&amp;TEXT(INDEX(MASTER!$E:$E,MATCH("Cryovial box 8: "&amp;($A98&amp;J$93),MASTER!$L:$L,0)),"mmddyy"),"")</f>
        <v/>
      </c>
      <c r="K98" s="4" t="str">
        <f>IFERROR(INDEX(MASTER!$A:$A,MATCH("Cryovial box 8: "&amp;($A98&amp;K$93),MASTER!$L:$L,0))&amp;"_ser_"&amp;TEXT(VALUE(SUBSTITUTE(SUBSTITUTE(TRIM(INDEX(MASTER!$M:$M,MATCH("Cryovial box 8: "&amp;($A98&amp;K$93),MASTER!$L:$L,0))),"ml",""),":",".")),"0.00")&amp;"_"&amp;TEXT(INDEX(MASTER!$E:$E,MATCH("Cryovial box 8: "&amp;($A98&amp;K$93),MASTER!$L:$L,0)),"mmddyy"),"")</f>
        <v/>
      </c>
    </row>
    <row r="99" spans="1:11" ht="14.15" customHeight="1" x14ac:dyDescent="0.3">
      <c r="A99" s="6" t="s">
        <v>15</v>
      </c>
      <c r="B99" s="4" t="str">
        <f>IFERROR(INDEX(MASTER!$A:$A,MATCH("Cryovial box 8: "&amp;($A99&amp;B$93),MASTER!$L:$L,0))&amp;"_ser_"&amp;TEXT(VALUE(SUBSTITUTE(SUBSTITUTE(TRIM(INDEX(MASTER!$M:$M,MATCH("Cryovial box 8: "&amp;($A99&amp;B$93),MASTER!$L:$L,0))),"ml",""),":",".")),"0.00")&amp;"_"&amp;TEXT(INDEX(MASTER!$E:$E,MATCH("Cryovial box 8: "&amp;($A99&amp;B$93),MASTER!$L:$L,0)),"mmddyy"),"")</f>
        <v/>
      </c>
      <c r="C99" s="4" t="str">
        <f>IFERROR(INDEX(MASTER!$A:$A,MATCH("Cryovial box 8: "&amp;($A99&amp;C$93),MASTER!$L:$L,0))&amp;"_ser_"&amp;TEXT(VALUE(SUBSTITUTE(SUBSTITUTE(TRIM(INDEX(MASTER!$M:$M,MATCH("Cryovial box 8: "&amp;($A99&amp;C$93),MASTER!$L:$L,0))),"ml",""),":",".")),"0.00")&amp;"_"&amp;TEXT(INDEX(MASTER!$E:$E,MATCH("Cryovial box 8: "&amp;($A99&amp;C$93),MASTER!$L:$L,0)),"mmddyy"),"")</f>
        <v/>
      </c>
      <c r="D99" s="4" t="str">
        <f>IFERROR(INDEX(MASTER!$A:$A,MATCH("Cryovial box 8: "&amp;($A99&amp;D$93),MASTER!$L:$L,0))&amp;"_ser_"&amp;TEXT(VALUE(SUBSTITUTE(SUBSTITUTE(TRIM(INDEX(MASTER!$M:$M,MATCH("Cryovial box 8: "&amp;($A99&amp;D$93),MASTER!$L:$L,0))),"ml",""),":",".")),"0.00")&amp;"_"&amp;TEXT(INDEX(MASTER!$E:$E,MATCH("Cryovial box 8: "&amp;($A99&amp;D$93),MASTER!$L:$L,0)),"mmddyy"),"")</f>
        <v/>
      </c>
      <c r="E99" s="4" t="str">
        <f>IFERROR(INDEX(MASTER!$A:$A,MATCH("Cryovial box 8: "&amp;($A99&amp;E$93),MASTER!$L:$L,0))&amp;"_ser_"&amp;TEXT(VALUE(SUBSTITUTE(SUBSTITUTE(TRIM(INDEX(MASTER!$M:$M,MATCH("Cryovial box 8: "&amp;($A99&amp;E$93),MASTER!$L:$L,0))),"ml",""),":",".")),"0.00")&amp;"_"&amp;TEXT(INDEX(MASTER!$E:$E,MATCH("Cryovial box 8: "&amp;($A99&amp;E$93),MASTER!$L:$L,0)),"mmddyy"),"")</f>
        <v/>
      </c>
      <c r="F99" s="4" t="str">
        <f>IFERROR(INDEX(MASTER!$A:$A,MATCH("Cryovial box 8: "&amp;($A99&amp;F$93),MASTER!$L:$L,0))&amp;"_ser_"&amp;TEXT(VALUE(SUBSTITUTE(SUBSTITUTE(TRIM(INDEX(MASTER!$M:$M,MATCH("Cryovial box 8: "&amp;($A99&amp;F$93),MASTER!$L:$L,0))),"ml",""),":",".")),"0.00")&amp;"_"&amp;TEXT(INDEX(MASTER!$E:$E,MATCH("Cryovial box 8: "&amp;($A99&amp;F$93),MASTER!$L:$L,0)),"mmddyy"),"")</f>
        <v/>
      </c>
      <c r="G99" s="4" t="str">
        <f>IFERROR(INDEX(MASTER!$A:$A,MATCH("Cryovial box 8: "&amp;($A99&amp;G$93),MASTER!$L:$L,0))&amp;"_ser_"&amp;TEXT(VALUE(SUBSTITUTE(SUBSTITUTE(TRIM(INDEX(MASTER!$M:$M,MATCH("Cryovial box 8: "&amp;($A99&amp;G$93),MASTER!$L:$L,0))),"ml",""),":",".")),"0.00")&amp;"_"&amp;TEXT(INDEX(MASTER!$E:$E,MATCH("Cryovial box 8: "&amp;($A99&amp;G$93),MASTER!$L:$L,0)),"mmddyy"),"")</f>
        <v/>
      </c>
      <c r="H99" s="4" t="str">
        <f>IFERROR(INDEX(MASTER!$A:$A,MATCH("Cryovial box 8: "&amp;($A99&amp;H$93),MASTER!$L:$L,0))&amp;"_ser_"&amp;TEXT(VALUE(SUBSTITUTE(SUBSTITUTE(TRIM(INDEX(MASTER!$M:$M,MATCH("Cryovial box 8: "&amp;($A99&amp;H$93),MASTER!$L:$L,0))),"ml",""),":",".")),"0.00")&amp;"_"&amp;TEXT(INDEX(MASTER!$E:$E,MATCH("Cryovial box 8: "&amp;($A99&amp;H$93),MASTER!$L:$L,0)),"mmddyy"),"")</f>
        <v/>
      </c>
      <c r="I99" s="4" t="str">
        <f>IFERROR(INDEX(MASTER!$A:$A,MATCH("Cryovial box 8: "&amp;($A99&amp;I$93),MASTER!$L:$L,0))&amp;"_ser_"&amp;TEXT(VALUE(SUBSTITUTE(SUBSTITUTE(TRIM(INDEX(MASTER!$M:$M,MATCH("Cryovial box 8: "&amp;($A99&amp;I$93),MASTER!$L:$L,0))),"ml",""),":",".")),"0.00")&amp;"_"&amp;TEXT(INDEX(MASTER!$E:$E,MATCH("Cryovial box 8: "&amp;($A99&amp;I$93),MASTER!$L:$L,0)),"mmddyy"),"")</f>
        <v/>
      </c>
      <c r="J99" s="4" t="str">
        <f>IFERROR(INDEX(MASTER!$A:$A,MATCH("Cryovial box 8: "&amp;($A99&amp;J$93),MASTER!$L:$L,0))&amp;"_ser_"&amp;TEXT(VALUE(SUBSTITUTE(SUBSTITUTE(TRIM(INDEX(MASTER!$M:$M,MATCH("Cryovial box 8: "&amp;($A99&amp;J$93),MASTER!$L:$L,0))),"ml",""),":",".")),"0.00")&amp;"_"&amp;TEXT(INDEX(MASTER!$E:$E,MATCH("Cryovial box 8: "&amp;($A99&amp;J$93),MASTER!$L:$L,0)),"mmddyy"),"")</f>
        <v/>
      </c>
      <c r="K99" s="4" t="str">
        <f>IFERROR(INDEX(MASTER!$A:$A,MATCH("Cryovial box 8: "&amp;($A99&amp;K$93),MASTER!$L:$L,0))&amp;"_ser_"&amp;TEXT(VALUE(SUBSTITUTE(SUBSTITUTE(TRIM(INDEX(MASTER!$M:$M,MATCH("Cryovial box 8: "&amp;($A99&amp;K$93),MASTER!$L:$L,0))),"ml",""),":",".")),"0.00")&amp;"_"&amp;TEXT(INDEX(MASTER!$E:$E,MATCH("Cryovial box 8: "&amp;($A99&amp;K$93),MASTER!$L:$L,0)),"mmddyy"),"")</f>
        <v/>
      </c>
    </row>
    <row r="100" spans="1:11" ht="15" customHeight="1" x14ac:dyDescent="0.3">
      <c r="A100" s="6" t="s">
        <v>35</v>
      </c>
      <c r="B100" s="4" t="str">
        <f>IFERROR(INDEX(MASTER!$A:$A,MATCH("Cryovial box 8: "&amp;($A100&amp;B$93),MASTER!$L:$L,0))&amp;"_ser_"&amp;TEXT(VALUE(SUBSTITUTE(SUBSTITUTE(TRIM(INDEX(MASTER!$M:$M,MATCH("Cryovial box 8: "&amp;($A100&amp;B$93),MASTER!$L:$L,0))),"ml",""),":",".")),"0.00")&amp;"_"&amp;TEXT(INDEX(MASTER!$E:$E,MATCH("Cryovial box 8: "&amp;($A100&amp;B$93),MASTER!$L:$L,0)),"mmddyy"),"")</f>
        <v/>
      </c>
      <c r="C100" s="4" t="str">
        <f>IFERROR(INDEX(MASTER!$A:$A,MATCH("Cryovial box 8: "&amp;($A100&amp;C$93),MASTER!$L:$L,0))&amp;"_ser_"&amp;TEXT(VALUE(SUBSTITUTE(SUBSTITUTE(TRIM(INDEX(MASTER!$M:$M,MATCH("Cryovial box 8: "&amp;($A100&amp;C$93),MASTER!$L:$L,0))),"ml",""),":",".")),"0.00")&amp;"_"&amp;TEXT(INDEX(MASTER!$E:$E,MATCH("Cryovial box 8: "&amp;($A100&amp;C$93),MASTER!$L:$L,0)),"mmddyy"),"")</f>
        <v/>
      </c>
      <c r="D100" s="4" t="str">
        <f>IFERROR(INDEX(MASTER!$A:$A,MATCH("Cryovial box 8: "&amp;($A100&amp;D$93),MASTER!$L:$L,0))&amp;"_ser_"&amp;TEXT(VALUE(SUBSTITUTE(SUBSTITUTE(TRIM(INDEX(MASTER!$M:$M,MATCH("Cryovial box 8: "&amp;($A100&amp;D$93),MASTER!$L:$L,0))),"ml",""),":",".")),"0.00")&amp;"_"&amp;TEXT(INDEX(MASTER!$E:$E,MATCH("Cryovial box 8: "&amp;($A100&amp;D$93),MASTER!$L:$L,0)),"mmddyy"),"")</f>
        <v/>
      </c>
      <c r="E100" s="4" t="str">
        <f>IFERROR(INDEX(MASTER!$A:$A,MATCH("Cryovial box 8: "&amp;($A100&amp;E$93),MASTER!$L:$L,0))&amp;"_ser_"&amp;TEXT(VALUE(SUBSTITUTE(SUBSTITUTE(TRIM(INDEX(MASTER!$M:$M,MATCH("Cryovial box 8: "&amp;($A100&amp;E$93),MASTER!$L:$L,0))),"ml",""),":",".")),"0.00")&amp;"_"&amp;TEXT(INDEX(MASTER!$E:$E,MATCH("Cryovial box 8: "&amp;($A100&amp;E$93),MASTER!$L:$L,0)),"mmddyy"),"")</f>
        <v/>
      </c>
      <c r="F100" s="4" t="str">
        <f>IFERROR(INDEX(MASTER!$A:$A,MATCH("Cryovial box 8: "&amp;($A100&amp;F$93),MASTER!$L:$L,0))&amp;"_ser_"&amp;TEXT(VALUE(SUBSTITUTE(SUBSTITUTE(TRIM(INDEX(MASTER!$M:$M,MATCH("Cryovial box 8: "&amp;($A100&amp;F$93),MASTER!$L:$L,0))),"ml",""),":",".")),"0.00")&amp;"_"&amp;TEXT(INDEX(MASTER!$E:$E,MATCH("Cryovial box 8: "&amp;($A100&amp;F$93),MASTER!$L:$L,0)),"mmddyy"),"")</f>
        <v/>
      </c>
      <c r="G100" s="4" t="str">
        <f>IFERROR(INDEX(MASTER!$A:$A,MATCH("Cryovial box 8: "&amp;($A100&amp;G$93),MASTER!$L:$L,0))&amp;"_ser_"&amp;TEXT(VALUE(SUBSTITUTE(SUBSTITUTE(TRIM(INDEX(MASTER!$M:$M,MATCH("Cryovial box 8: "&amp;($A100&amp;G$93),MASTER!$L:$L,0))),"ml",""),":",".")),"0.00")&amp;"_"&amp;TEXT(INDEX(MASTER!$E:$E,MATCH("Cryovial box 8: "&amp;($A100&amp;G$93),MASTER!$L:$L,0)),"mmddyy"),"")</f>
        <v/>
      </c>
      <c r="H100" s="4" t="str">
        <f>IFERROR(INDEX(MASTER!$A:$A,MATCH("Cryovial box 8: "&amp;($A100&amp;H$93),MASTER!$L:$L,0))&amp;"_ser_"&amp;TEXT(VALUE(SUBSTITUTE(SUBSTITUTE(TRIM(INDEX(MASTER!$M:$M,MATCH("Cryovial box 8: "&amp;($A100&amp;H$93),MASTER!$L:$L,0))),"ml",""),":",".")),"0.00")&amp;"_"&amp;TEXT(INDEX(MASTER!$E:$E,MATCH("Cryovial box 8: "&amp;($A100&amp;H$93),MASTER!$L:$L,0)),"mmddyy"),"")</f>
        <v/>
      </c>
      <c r="I100" s="4" t="str">
        <f>IFERROR(INDEX(MASTER!$A:$A,MATCH("Cryovial box 8: "&amp;($A100&amp;I$93),MASTER!$L:$L,0))&amp;"_ser_"&amp;TEXT(VALUE(SUBSTITUTE(SUBSTITUTE(TRIM(INDEX(MASTER!$M:$M,MATCH("Cryovial box 8: "&amp;($A100&amp;I$93),MASTER!$L:$L,0))),"ml",""),":",".")),"0.00")&amp;"_"&amp;TEXT(INDEX(MASTER!$E:$E,MATCH("Cryovial box 8: "&amp;($A100&amp;I$93),MASTER!$L:$L,0)),"mmddyy"),"")</f>
        <v/>
      </c>
      <c r="J100" s="4" t="str">
        <f>IFERROR(INDEX(MASTER!$A:$A,MATCH("Cryovial box 8: "&amp;($A100&amp;J$93),MASTER!$L:$L,0))&amp;"_ser_"&amp;TEXT(VALUE(SUBSTITUTE(SUBSTITUTE(TRIM(INDEX(MASTER!$M:$M,MATCH("Cryovial box 8: "&amp;($A100&amp;J$93),MASTER!$L:$L,0))),"ml",""),":",".")),"0.00")&amp;"_"&amp;TEXT(INDEX(MASTER!$E:$E,MATCH("Cryovial box 8: "&amp;($A100&amp;J$93),MASTER!$L:$L,0)),"mmddyy"),"")</f>
        <v/>
      </c>
      <c r="K100" s="4" t="str">
        <f>IFERROR(INDEX(MASTER!$A:$A,MATCH("Cryovial box 8: "&amp;($A100&amp;K$93),MASTER!$L:$L,0))&amp;"_ser_"&amp;TEXT(VALUE(SUBSTITUTE(SUBSTITUTE(TRIM(INDEX(MASTER!$M:$M,MATCH("Cryovial box 8: "&amp;($A100&amp;K$93),MASTER!$L:$L,0))),"ml",""),":",".")),"0.00")&amp;"_"&amp;TEXT(INDEX(MASTER!$E:$E,MATCH("Cryovial box 8: "&amp;($A100&amp;K$93),MASTER!$L:$L,0)),"mmddyy"),"")</f>
        <v/>
      </c>
    </row>
    <row r="101" spans="1:11" ht="15" customHeight="1" x14ac:dyDescent="0.3">
      <c r="A101" s="6" t="s">
        <v>36</v>
      </c>
      <c r="B101" s="4" t="str">
        <f>IFERROR(INDEX(MASTER!$A:$A,MATCH("Cryovial box 8: "&amp;($A101&amp;B$93),MASTER!$L:$L,0))&amp;"_ser_"&amp;TEXT(VALUE(SUBSTITUTE(SUBSTITUTE(TRIM(INDEX(MASTER!$M:$M,MATCH("Cryovial box 8: "&amp;($A101&amp;B$93),MASTER!$L:$L,0))),"ml",""),":",".")),"0.00")&amp;"_"&amp;TEXT(INDEX(MASTER!$E:$E,MATCH("Cryovial box 8: "&amp;($A101&amp;B$93),MASTER!$L:$L,0)),"mmddyy"),"")</f>
        <v/>
      </c>
      <c r="C101" s="4" t="str">
        <f>IFERROR(INDEX(MASTER!$A:$A,MATCH("Cryovial box 8: "&amp;($A101&amp;C$93),MASTER!$L:$L,0))&amp;"_ser_"&amp;TEXT(VALUE(SUBSTITUTE(SUBSTITUTE(TRIM(INDEX(MASTER!$M:$M,MATCH("Cryovial box 8: "&amp;($A101&amp;C$93),MASTER!$L:$L,0))),"ml",""),":",".")),"0.00")&amp;"_"&amp;TEXT(INDEX(MASTER!$E:$E,MATCH("Cryovial box 8: "&amp;($A101&amp;C$93),MASTER!$L:$L,0)),"mmddyy"),"")</f>
        <v/>
      </c>
      <c r="D101" s="4" t="str">
        <f>IFERROR(INDEX(MASTER!$A:$A,MATCH("Cryovial box 8: "&amp;($A101&amp;D$93),MASTER!$L:$L,0))&amp;"_ser_"&amp;TEXT(VALUE(SUBSTITUTE(SUBSTITUTE(TRIM(INDEX(MASTER!$M:$M,MATCH("Cryovial box 8: "&amp;($A101&amp;D$93),MASTER!$L:$L,0))),"ml",""),":",".")),"0.00")&amp;"_"&amp;TEXT(INDEX(MASTER!$E:$E,MATCH("Cryovial box 8: "&amp;($A101&amp;D$93),MASTER!$L:$L,0)),"mmddyy"),"")</f>
        <v/>
      </c>
      <c r="E101" s="4" t="str">
        <f>IFERROR(INDEX(MASTER!$A:$A,MATCH("Cryovial box 8: "&amp;($A101&amp;E$93),MASTER!$L:$L,0))&amp;"_ser_"&amp;TEXT(VALUE(SUBSTITUTE(SUBSTITUTE(TRIM(INDEX(MASTER!$M:$M,MATCH("Cryovial box 8: "&amp;($A101&amp;E$93),MASTER!$L:$L,0))),"ml",""),":",".")),"0.00")&amp;"_"&amp;TEXT(INDEX(MASTER!$E:$E,MATCH("Cryovial box 8: "&amp;($A101&amp;E$93),MASTER!$L:$L,0)),"mmddyy"),"")</f>
        <v/>
      </c>
      <c r="F101" s="4" t="str">
        <f>IFERROR(INDEX(MASTER!$A:$A,MATCH("Cryovial box 8: "&amp;($A101&amp;F$93),MASTER!$L:$L,0))&amp;"_ser_"&amp;TEXT(VALUE(SUBSTITUTE(SUBSTITUTE(TRIM(INDEX(MASTER!$M:$M,MATCH("Cryovial box 8: "&amp;($A101&amp;F$93),MASTER!$L:$L,0))),"ml",""),":",".")),"0.00")&amp;"_"&amp;TEXT(INDEX(MASTER!$E:$E,MATCH("Cryovial box 8: "&amp;($A101&amp;F$93),MASTER!$L:$L,0)),"mmddyy"),"")</f>
        <v/>
      </c>
      <c r="G101" s="4" t="str">
        <f>IFERROR(INDEX(MASTER!$A:$A,MATCH("Cryovial box 8: "&amp;($A101&amp;G$93),MASTER!$L:$L,0))&amp;"_ser_"&amp;TEXT(VALUE(SUBSTITUTE(SUBSTITUTE(TRIM(INDEX(MASTER!$M:$M,MATCH("Cryovial box 8: "&amp;($A101&amp;G$93),MASTER!$L:$L,0))),"ml",""),":",".")),"0.00")&amp;"_"&amp;TEXT(INDEX(MASTER!$E:$E,MATCH("Cryovial box 8: "&amp;($A101&amp;G$93),MASTER!$L:$L,0)),"mmddyy"),"")</f>
        <v/>
      </c>
      <c r="H101" s="4" t="str">
        <f>IFERROR(INDEX(MASTER!$A:$A,MATCH("Cryovial box 8: "&amp;($A101&amp;H$93),MASTER!$L:$L,0))&amp;"_ser_"&amp;TEXT(VALUE(SUBSTITUTE(SUBSTITUTE(TRIM(INDEX(MASTER!$M:$M,MATCH("Cryovial box 8: "&amp;($A101&amp;H$93),MASTER!$L:$L,0))),"ml",""),":",".")),"0.00")&amp;"_"&amp;TEXT(INDEX(MASTER!$E:$E,MATCH("Cryovial box 8: "&amp;($A101&amp;H$93),MASTER!$L:$L,0)),"mmddyy"),"")</f>
        <v/>
      </c>
      <c r="I101" s="4" t="str">
        <f>IFERROR(INDEX(MASTER!$A:$A,MATCH("Cryovial box 8: "&amp;($A101&amp;I$93),MASTER!$L:$L,0))&amp;"_ser_"&amp;TEXT(VALUE(SUBSTITUTE(SUBSTITUTE(TRIM(INDEX(MASTER!$M:$M,MATCH("Cryovial box 8: "&amp;($A101&amp;I$93),MASTER!$L:$L,0))),"ml",""),":",".")),"0.00")&amp;"_"&amp;TEXT(INDEX(MASTER!$E:$E,MATCH("Cryovial box 8: "&amp;($A101&amp;I$93),MASTER!$L:$L,0)),"mmddyy"),"")</f>
        <v/>
      </c>
      <c r="J101" s="4" t="str">
        <f>IFERROR(INDEX(MASTER!$A:$A,MATCH("Cryovial box 8: "&amp;($A101&amp;J$93),MASTER!$L:$L,0))&amp;"_ser_"&amp;TEXT(VALUE(SUBSTITUTE(SUBSTITUTE(TRIM(INDEX(MASTER!$M:$M,MATCH("Cryovial box 8: "&amp;($A101&amp;J$93),MASTER!$L:$L,0))),"ml",""),":",".")),"0.00")&amp;"_"&amp;TEXT(INDEX(MASTER!$E:$E,MATCH("Cryovial box 8: "&amp;($A101&amp;J$93),MASTER!$L:$L,0)),"mmddyy"),"")</f>
        <v/>
      </c>
      <c r="K101" s="4" t="str">
        <f>IFERROR(INDEX(MASTER!$A:$A,MATCH("Cryovial box 8: "&amp;($A101&amp;K$93),MASTER!$L:$L,0))&amp;"_ser_"&amp;TEXT(VALUE(SUBSTITUTE(SUBSTITUTE(TRIM(INDEX(MASTER!$M:$M,MATCH("Cryovial box 8: "&amp;($A101&amp;K$93),MASTER!$L:$L,0))),"ml",""),":",".")),"0.00")&amp;"_"&amp;TEXT(INDEX(MASTER!$E:$E,MATCH("Cryovial box 8: "&amp;($A101&amp;K$93),MASTER!$L:$L,0)),"mmddyy"),"")</f>
        <v/>
      </c>
    </row>
    <row r="102" spans="1:11" ht="15" customHeight="1" x14ac:dyDescent="0.3">
      <c r="A102" s="6" t="s">
        <v>100</v>
      </c>
      <c r="B102" s="4" t="str">
        <f>IFERROR(INDEX(MASTER!$A:$A,MATCH("Cryovial box 8: "&amp;($A102&amp;B$93),MASTER!$L:$L,0))&amp;"_ser_"&amp;TEXT(VALUE(SUBSTITUTE(SUBSTITUTE(TRIM(INDEX(MASTER!$M:$M,MATCH("Cryovial box 8: "&amp;($A102&amp;B$93),MASTER!$L:$L,0))),"ml",""),":",".")),"0.00")&amp;"_"&amp;TEXT(INDEX(MASTER!$E:$E,MATCH("Cryovial box 8: "&amp;($A102&amp;B$93),MASTER!$L:$L,0)),"mmddyy"),"")</f>
        <v/>
      </c>
      <c r="C102" s="4" t="str">
        <f>IFERROR(INDEX(MASTER!$A:$A,MATCH("Cryovial box 8: "&amp;($A102&amp;C$93),MASTER!$L:$L,0))&amp;"_ser_"&amp;TEXT(VALUE(SUBSTITUTE(SUBSTITUTE(TRIM(INDEX(MASTER!$M:$M,MATCH("Cryovial box 8: "&amp;($A102&amp;C$93),MASTER!$L:$L,0))),"ml",""),":",".")),"0.00")&amp;"_"&amp;TEXT(INDEX(MASTER!$E:$E,MATCH("Cryovial box 8: "&amp;($A102&amp;C$93),MASTER!$L:$L,0)),"mmddyy"),"")</f>
        <v/>
      </c>
      <c r="D102" s="4" t="str">
        <f>IFERROR(INDEX(MASTER!$A:$A,MATCH("Cryovial box 8: "&amp;($A102&amp;D$93),MASTER!$L:$L,0))&amp;"_ser_"&amp;TEXT(VALUE(SUBSTITUTE(SUBSTITUTE(TRIM(INDEX(MASTER!$M:$M,MATCH("Cryovial box 8: "&amp;($A102&amp;D$93),MASTER!$L:$L,0))),"ml",""),":",".")),"0.00")&amp;"_"&amp;TEXT(INDEX(MASTER!$E:$E,MATCH("Cryovial box 8: "&amp;($A102&amp;D$93),MASTER!$L:$L,0)),"mmddyy"),"")</f>
        <v/>
      </c>
      <c r="E102" s="4" t="str">
        <f>IFERROR(INDEX(MASTER!$A:$A,MATCH("Cryovial box 8: "&amp;($A102&amp;E$93),MASTER!$L:$L,0))&amp;"_ser_"&amp;TEXT(VALUE(SUBSTITUTE(SUBSTITUTE(TRIM(INDEX(MASTER!$M:$M,MATCH("Cryovial box 8: "&amp;($A102&amp;E$93),MASTER!$L:$L,0))),"ml",""),":",".")),"0.00")&amp;"_"&amp;TEXT(INDEX(MASTER!$E:$E,MATCH("Cryovial box 8: "&amp;($A102&amp;E$93),MASTER!$L:$L,0)),"mmddyy"),"")</f>
        <v/>
      </c>
      <c r="F102" s="4" t="str">
        <f>IFERROR(INDEX(MASTER!$A:$A,MATCH("Cryovial box 8: "&amp;($A102&amp;F$93),MASTER!$L:$L,0))&amp;"_ser_"&amp;TEXT(VALUE(SUBSTITUTE(SUBSTITUTE(TRIM(INDEX(MASTER!$M:$M,MATCH("Cryovial box 8: "&amp;($A102&amp;F$93),MASTER!$L:$L,0))),"ml",""),":",".")),"0.00")&amp;"_"&amp;TEXT(INDEX(MASTER!$E:$E,MATCH("Cryovial box 8: "&amp;($A102&amp;F$93),MASTER!$L:$L,0)),"mmddyy"),"")</f>
        <v/>
      </c>
      <c r="G102" s="4" t="str">
        <f>IFERROR(INDEX(MASTER!$A:$A,MATCH("Cryovial box 8: "&amp;($A102&amp;G$93),MASTER!$L:$L,0))&amp;"_ser_"&amp;TEXT(VALUE(SUBSTITUTE(SUBSTITUTE(TRIM(INDEX(MASTER!$M:$M,MATCH("Cryovial box 8: "&amp;($A102&amp;G$93),MASTER!$L:$L,0))),"ml",""),":",".")),"0.00")&amp;"_"&amp;TEXT(INDEX(MASTER!$E:$E,MATCH("Cryovial box 8: "&amp;($A102&amp;G$93),MASTER!$L:$L,0)),"mmddyy"),"")</f>
        <v/>
      </c>
      <c r="H102" s="4" t="str">
        <f>IFERROR(INDEX(MASTER!$A:$A,MATCH("Cryovial box 8: "&amp;($A102&amp;H$93),MASTER!$L:$L,0))&amp;"_ser_"&amp;TEXT(VALUE(SUBSTITUTE(SUBSTITUTE(TRIM(INDEX(MASTER!$M:$M,MATCH("Cryovial box 8: "&amp;($A102&amp;H$93),MASTER!$L:$L,0))),"ml",""),":",".")),"0.00")&amp;"_"&amp;TEXT(INDEX(MASTER!$E:$E,MATCH("Cryovial box 8: "&amp;($A102&amp;H$93),MASTER!$L:$L,0)),"mmddyy"),"")</f>
        <v/>
      </c>
      <c r="I102" s="4" t="str">
        <f>IFERROR(INDEX(MASTER!$A:$A,MATCH("Cryovial box 8: "&amp;($A102&amp;I$93),MASTER!$L:$L,0))&amp;"_ser_"&amp;TEXT(VALUE(SUBSTITUTE(SUBSTITUTE(TRIM(INDEX(MASTER!$M:$M,MATCH("Cryovial box 8: "&amp;($A102&amp;I$93),MASTER!$L:$L,0))),"ml",""),":",".")),"0.00")&amp;"_"&amp;TEXT(INDEX(MASTER!$E:$E,MATCH("Cryovial box 8: "&amp;($A102&amp;I$93),MASTER!$L:$L,0)),"mmddyy"),"")</f>
        <v/>
      </c>
      <c r="J102" s="4" t="str">
        <f>IFERROR(INDEX(MASTER!$A:$A,MATCH("Cryovial box 8: "&amp;($A102&amp;J$93),MASTER!$L:$L,0))&amp;"_ser_"&amp;TEXT(VALUE(SUBSTITUTE(SUBSTITUTE(TRIM(INDEX(MASTER!$M:$M,MATCH("Cryovial box 8: "&amp;($A102&amp;J$93),MASTER!$L:$L,0))),"ml",""),":",".")),"0.00")&amp;"_"&amp;TEXT(INDEX(MASTER!$E:$E,MATCH("Cryovial box 8: "&amp;($A102&amp;J$93),MASTER!$L:$L,0)),"mmddyy"),"")</f>
        <v/>
      </c>
      <c r="K102" s="4" t="str">
        <f>IFERROR(INDEX(MASTER!$A:$A,MATCH("Cryovial box 8: "&amp;($A102&amp;K$93),MASTER!$L:$L,0))&amp;"_ser_"&amp;TEXT(VALUE(SUBSTITUTE(SUBSTITUTE(TRIM(INDEX(MASTER!$M:$M,MATCH("Cryovial box 8: "&amp;($A102&amp;K$93),MASTER!$L:$L,0))),"ml",""),":",".")),"0.00")&amp;"_"&amp;TEXT(INDEX(MASTER!$E:$E,MATCH("Cryovial box 8: "&amp;($A102&amp;K$93),MASTER!$L:$L,0)),"mmddyy"),"")</f>
        <v/>
      </c>
    </row>
    <row r="103" spans="1:11" ht="15" customHeight="1" x14ac:dyDescent="0.3">
      <c r="A103" s="6" t="s">
        <v>101</v>
      </c>
      <c r="B103" s="4" t="str">
        <f>IFERROR(INDEX(MASTER!$A:$A,MATCH("Cryovial box 8: "&amp;($A103&amp;B$93),MASTER!$L:$L,0))&amp;"_ser_"&amp;TEXT(VALUE(SUBSTITUTE(SUBSTITUTE(TRIM(INDEX(MASTER!$M:$M,MATCH("Cryovial box 8: "&amp;($A103&amp;B$93),MASTER!$L:$L,0))),"ml",""),":",".")),"0.00")&amp;"_"&amp;TEXT(INDEX(MASTER!$E:$E,MATCH("Cryovial box 8: "&amp;($A103&amp;B$93),MASTER!$L:$L,0)),"mmddyy"),"")</f>
        <v/>
      </c>
      <c r="C103" s="4" t="str">
        <f>IFERROR(INDEX(MASTER!$A:$A,MATCH("Cryovial box 8: "&amp;($A103&amp;C$93),MASTER!$L:$L,0))&amp;"_ser_"&amp;TEXT(VALUE(SUBSTITUTE(SUBSTITUTE(TRIM(INDEX(MASTER!$M:$M,MATCH("Cryovial box 8: "&amp;($A103&amp;C$93),MASTER!$L:$L,0))),"ml",""),":",".")),"0.00")&amp;"_"&amp;TEXT(INDEX(MASTER!$E:$E,MATCH("Cryovial box 8: "&amp;($A103&amp;C$93),MASTER!$L:$L,0)),"mmddyy"),"")</f>
        <v/>
      </c>
      <c r="D103" s="4" t="str">
        <f>IFERROR(INDEX(MASTER!$A:$A,MATCH("Cryovial box 8: "&amp;($A103&amp;D$93),MASTER!$L:$L,0))&amp;"_ser_"&amp;TEXT(VALUE(SUBSTITUTE(SUBSTITUTE(TRIM(INDEX(MASTER!$M:$M,MATCH("Cryovial box 8: "&amp;($A103&amp;D$93),MASTER!$L:$L,0))),"ml",""),":",".")),"0.00")&amp;"_"&amp;TEXT(INDEX(MASTER!$E:$E,MATCH("Cryovial box 8: "&amp;($A103&amp;D$93),MASTER!$L:$L,0)),"mmddyy"),"")</f>
        <v/>
      </c>
      <c r="E103" s="4" t="str">
        <f>IFERROR(INDEX(MASTER!$A:$A,MATCH("Cryovial box 8: "&amp;($A103&amp;E$93),MASTER!$L:$L,0))&amp;"_ser_"&amp;TEXT(VALUE(SUBSTITUTE(SUBSTITUTE(TRIM(INDEX(MASTER!$M:$M,MATCH("Cryovial box 8: "&amp;($A103&amp;E$93),MASTER!$L:$L,0))),"ml",""),":",".")),"0.00")&amp;"_"&amp;TEXT(INDEX(MASTER!$E:$E,MATCH("Cryovial box 8: "&amp;($A103&amp;E$93),MASTER!$L:$L,0)),"mmddyy"),"")</f>
        <v/>
      </c>
      <c r="F103" s="4" t="str">
        <f>IFERROR(INDEX(MASTER!$A:$A,MATCH("Cryovial box 8: "&amp;($A103&amp;F$93),MASTER!$L:$L,0))&amp;"_ser_"&amp;TEXT(VALUE(SUBSTITUTE(SUBSTITUTE(TRIM(INDEX(MASTER!$M:$M,MATCH("Cryovial box 8: "&amp;($A103&amp;F$93),MASTER!$L:$L,0))),"ml",""),":",".")),"0.00")&amp;"_"&amp;TEXT(INDEX(MASTER!$E:$E,MATCH("Cryovial box 8: "&amp;($A103&amp;F$93),MASTER!$L:$L,0)),"mmddyy"),"")</f>
        <v/>
      </c>
      <c r="G103" s="4" t="str">
        <f>IFERROR(INDEX(MASTER!$A:$A,MATCH("Cryovial box 8: "&amp;($A103&amp;G$93),MASTER!$L:$L,0))&amp;"_ser_"&amp;TEXT(VALUE(SUBSTITUTE(SUBSTITUTE(TRIM(INDEX(MASTER!$M:$M,MATCH("Cryovial box 8: "&amp;($A103&amp;G$93),MASTER!$L:$L,0))),"ml",""),":",".")),"0.00")&amp;"_"&amp;TEXT(INDEX(MASTER!$E:$E,MATCH("Cryovial box 8: "&amp;($A103&amp;G$93),MASTER!$L:$L,0)),"mmddyy"),"")</f>
        <v/>
      </c>
      <c r="H103" s="4" t="str">
        <f>IFERROR(INDEX(MASTER!$A:$A,MATCH("Cryovial box 8: "&amp;($A103&amp;H$93),MASTER!$L:$L,0))&amp;"_ser_"&amp;TEXT(VALUE(SUBSTITUTE(SUBSTITUTE(TRIM(INDEX(MASTER!$M:$M,MATCH("Cryovial box 8: "&amp;($A103&amp;H$93),MASTER!$L:$L,0))),"ml",""),":",".")),"0.00")&amp;"_"&amp;TEXT(INDEX(MASTER!$E:$E,MATCH("Cryovial box 8: "&amp;($A103&amp;H$93),MASTER!$L:$L,0)),"mmddyy"),"")</f>
        <v/>
      </c>
      <c r="I103" s="4" t="str">
        <f>IFERROR(INDEX(MASTER!$A:$A,MATCH("Cryovial box 8: "&amp;($A103&amp;I$93),MASTER!$L:$L,0))&amp;"_ser_"&amp;TEXT(VALUE(SUBSTITUTE(SUBSTITUTE(TRIM(INDEX(MASTER!$M:$M,MATCH("Cryovial box 8: "&amp;($A103&amp;I$93),MASTER!$L:$L,0))),"ml",""),":",".")),"0.00")&amp;"_"&amp;TEXT(INDEX(MASTER!$E:$E,MATCH("Cryovial box 8: "&amp;($A103&amp;I$93),MASTER!$L:$L,0)),"mmddyy"),"")</f>
        <v/>
      </c>
      <c r="J103" s="4" t="str">
        <f>IFERROR(INDEX(MASTER!$A:$A,MATCH("Cryovial box 8: "&amp;($A103&amp;J$93),MASTER!$L:$L,0))&amp;"_ser_"&amp;TEXT(VALUE(SUBSTITUTE(SUBSTITUTE(TRIM(INDEX(MASTER!$M:$M,MATCH("Cryovial box 8: "&amp;($A103&amp;J$93),MASTER!$L:$L,0))),"ml",""),":",".")),"0.00")&amp;"_"&amp;TEXT(INDEX(MASTER!$E:$E,MATCH("Cryovial box 8: "&amp;($A103&amp;J$93),MASTER!$L:$L,0)),"mmddyy"),"")</f>
        <v/>
      </c>
      <c r="K103" s="4" t="str">
        <f>IFERROR(INDEX(MASTER!$A:$A,MATCH("Cryovial box 8: "&amp;($A103&amp;K$93),MASTER!$L:$L,0))&amp;"_ser_"&amp;TEXT(VALUE(SUBSTITUTE(SUBSTITUTE(TRIM(INDEX(MASTER!$M:$M,MATCH("Cryovial box 8: "&amp;($A103&amp;K$93),MASTER!$L:$L,0))),"ml",""),":",".")),"0.00")&amp;"_"&amp;TEXT(INDEX(MASTER!$E:$E,MATCH("Cryovial box 8: "&amp;($A103&amp;K$93),MASTER!$L:$L,0)),"mmddyy"),"")</f>
        <v/>
      </c>
    </row>
    <row r="104" spans="1:11" ht="1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ht="20.149999999999999" customHeight="1" x14ac:dyDescent="0.3">
      <c r="A105" s="5"/>
      <c r="B105" s="31" t="s">
        <v>109</v>
      </c>
      <c r="C105" s="36"/>
      <c r="D105" s="36"/>
      <c r="E105" s="36"/>
      <c r="F105" s="36"/>
      <c r="G105" s="36"/>
      <c r="H105" s="36"/>
      <c r="I105" s="36"/>
      <c r="J105" s="36"/>
      <c r="K105" s="37"/>
    </row>
    <row r="106" spans="1:11" ht="20.149999999999999" customHeight="1" x14ac:dyDescent="0.3">
      <c r="A106" s="5"/>
      <c r="B106" s="6">
        <v>1</v>
      </c>
      <c r="C106" s="6">
        <v>2</v>
      </c>
      <c r="D106" s="6">
        <v>3</v>
      </c>
      <c r="E106" s="6">
        <v>4</v>
      </c>
      <c r="F106" s="6">
        <v>5</v>
      </c>
      <c r="G106" s="6">
        <v>6</v>
      </c>
      <c r="H106" s="6">
        <v>7</v>
      </c>
      <c r="I106" s="6">
        <v>8</v>
      </c>
      <c r="J106" s="6">
        <v>9</v>
      </c>
      <c r="K106" s="6">
        <v>10</v>
      </c>
    </row>
    <row r="107" spans="1:11" ht="20.149999999999999" customHeight="1" x14ac:dyDescent="0.3">
      <c r="A107" s="6" t="s">
        <v>30</v>
      </c>
      <c r="B107" s="4" t="str">
        <f>IFERROR(INDEX(MASTER!$A:$A,MATCH("Cryovial box 9: "&amp;($A107&amp;B$106),MASTER!$L:$L,0))&amp;"_ser_"&amp;TEXT(VALUE(SUBSTITUTE(SUBSTITUTE(TRIM(INDEX(MASTER!$M:$M,MATCH("Cryovial box 9: "&amp;($A107&amp;B$106),MASTER!$L:$L,0))),"ml",""),":",".")),"0.00")&amp;"_"&amp;TEXT(INDEX(MASTER!$E:$E,MATCH("Cryovial box 9: "&amp;($A107&amp;B$106),MASTER!$L:$L,0)),"mmddyy"),"")</f>
        <v/>
      </c>
      <c r="C107" s="4" t="str">
        <f>IFERROR(INDEX(MASTER!$A:$A,MATCH("Cryovial box 9: "&amp;($A107&amp;C$106),MASTER!$L:$L,0))&amp;"_ser_"&amp;TEXT(VALUE(SUBSTITUTE(SUBSTITUTE(TRIM(INDEX(MASTER!$M:$M,MATCH("Cryovial box 9: "&amp;($A107&amp;C$106),MASTER!$L:$L,0))),"ml",""),":",".")),"0.00")&amp;"_"&amp;TEXT(INDEX(MASTER!$E:$E,MATCH("Cryovial box 9: "&amp;($A107&amp;C$106),MASTER!$L:$L,0)),"mmddyy"),"")</f>
        <v/>
      </c>
      <c r="D107" s="4" t="str">
        <f>IFERROR(INDEX(MASTER!$A:$A,MATCH("Cryovial box 9: "&amp;($A107&amp;D$106),MASTER!$L:$L,0))&amp;"_ser_"&amp;TEXT(VALUE(SUBSTITUTE(SUBSTITUTE(TRIM(INDEX(MASTER!$M:$M,MATCH("Cryovial box 9: "&amp;($A107&amp;D$106),MASTER!$L:$L,0))),"ml",""),":",".")),"0.00")&amp;"_"&amp;TEXT(INDEX(MASTER!$E:$E,MATCH("Cryovial box 9: "&amp;($A107&amp;D$106),MASTER!$L:$L,0)),"mmddyy"),"")</f>
        <v/>
      </c>
      <c r="E107" s="4" t="str">
        <f>IFERROR(INDEX(MASTER!$A:$A,MATCH("Cryovial box 9: "&amp;($A107&amp;E$106),MASTER!$L:$L,0))&amp;"_ser_"&amp;TEXT(VALUE(SUBSTITUTE(SUBSTITUTE(TRIM(INDEX(MASTER!$M:$M,MATCH("Cryovial box 9: "&amp;($A107&amp;E$106),MASTER!$L:$L,0))),"ml",""),":",".")),"0.00")&amp;"_"&amp;TEXT(INDEX(MASTER!$E:$E,MATCH("Cryovial box 9: "&amp;($A107&amp;E$106),MASTER!$L:$L,0)),"mmddyy"),"")</f>
        <v/>
      </c>
      <c r="F107" s="4" t="str">
        <f>IFERROR(INDEX(MASTER!$A:$A,MATCH("Cryovial box 9: "&amp;($A107&amp;F$106),MASTER!$L:$L,0))&amp;"_ser_"&amp;TEXT(VALUE(SUBSTITUTE(SUBSTITUTE(TRIM(INDEX(MASTER!$M:$M,MATCH("Cryovial box 9: "&amp;($A107&amp;F$106),MASTER!$L:$L,0))),"ml",""),":",".")),"0.00")&amp;"_"&amp;TEXT(INDEX(MASTER!$E:$E,MATCH("Cryovial box 9: "&amp;($A107&amp;F$106),MASTER!$L:$L,0)),"mmddyy"),"")</f>
        <v/>
      </c>
      <c r="G107" s="4" t="str">
        <f>IFERROR(INDEX(MASTER!$A:$A,MATCH("Cryovial box 9: "&amp;($A107&amp;G$106),MASTER!$L:$L,0))&amp;"_ser_"&amp;TEXT(VALUE(SUBSTITUTE(SUBSTITUTE(TRIM(INDEX(MASTER!$M:$M,MATCH("Cryovial box 9: "&amp;($A107&amp;G$106),MASTER!$L:$L,0))),"ml",""),":",".")),"0.00")&amp;"_"&amp;TEXT(INDEX(MASTER!$E:$E,MATCH("Cryovial box 9: "&amp;($A107&amp;G$106),MASTER!$L:$L,0)),"mmddyy"),"")</f>
        <v/>
      </c>
      <c r="H107" s="4" t="str">
        <f>IFERROR(INDEX(MASTER!$A:$A,MATCH("Cryovial box 9: "&amp;($A107&amp;H$106),MASTER!$L:$L,0))&amp;"_ser_"&amp;TEXT(VALUE(SUBSTITUTE(SUBSTITUTE(TRIM(INDEX(MASTER!$M:$M,MATCH("Cryovial box 9: "&amp;($A107&amp;H$106),MASTER!$L:$L,0))),"ml",""),":",".")),"0.00")&amp;"_"&amp;TEXT(INDEX(MASTER!$E:$E,MATCH("Cryovial box 9: "&amp;($A107&amp;H$106),MASTER!$L:$L,0)),"mmddyy"),"")</f>
        <v/>
      </c>
      <c r="I107" s="4" t="str">
        <f>IFERROR(INDEX(MASTER!$A:$A,MATCH("Cryovial box 9: "&amp;($A107&amp;I$106),MASTER!$L:$L,0))&amp;"_ser_"&amp;TEXT(VALUE(SUBSTITUTE(SUBSTITUTE(TRIM(INDEX(MASTER!$M:$M,MATCH("Cryovial box 9: "&amp;($A107&amp;I$106),MASTER!$L:$L,0))),"ml",""),":",".")),"0.00")&amp;"_"&amp;TEXT(INDEX(MASTER!$E:$E,MATCH("Cryovial box 9: "&amp;($A107&amp;I$106),MASTER!$L:$L,0)),"mmddyy"),"")</f>
        <v/>
      </c>
      <c r="J107" s="4" t="str">
        <f>IFERROR(INDEX(MASTER!$A:$A,MATCH("Cryovial box 9: "&amp;($A107&amp;J$106),MASTER!$L:$L,0))&amp;"_ser_"&amp;TEXT(VALUE(SUBSTITUTE(SUBSTITUTE(TRIM(INDEX(MASTER!$M:$M,MATCH("Cryovial box 9: "&amp;($A107&amp;J$106),MASTER!$L:$L,0))),"ml",""),":",".")),"0.00")&amp;"_"&amp;TEXT(INDEX(MASTER!$E:$E,MATCH("Cryovial box 9: "&amp;($A107&amp;J$106),MASTER!$L:$L,0)),"mmddyy"),"")</f>
        <v/>
      </c>
      <c r="K107" s="4" t="str">
        <f>IFERROR(INDEX(MASTER!$A:$A,MATCH("Cryovial box 9: "&amp;($A107&amp;K$106),MASTER!$L:$L,0))&amp;"_ser_"&amp;TEXT(VALUE(SUBSTITUTE(SUBSTITUTE(TRIM(INDEX(MASTER!$M:$M,MATCH("Cryovial box 9: "&amp;($A107&amp;K$106),MASTER!$L:$L,0))),"ml",""),":",".")),"0.00")&amp;"_"&amp;TEXT(INDEX(MASTER!$E:$E,MATCH("Cryovial box 9: "&amp;($A107&amp;K$106),MASTER!$L:$L,0)),"mmddyy"),"")</f>
        <v/>
      </c>
    </row>
    <row r="108" spans="1:11" ht="20.149999999999999" customHeight="1" x14ac:dyDescent="0.3">
      <c r="A108" s="6" t="s">
        <v>31</v>
      </c>
      <c r="B108" s="4" t="str">
        <f>IFERROR(INDEX(MASTER!$A:$A,MATCH("Cryovial box 9: "&amp;($A108&amp;B$106),MASTER!$L:$L,0))&amp;"_ser_"&amp;TEXT(VALUE(SUBSTITUTE(SUBSTITUTE(TRIM(INDEX(MASTER!$M:$M,MATCH("Cryovial box 9: "&amp;($A108&amp;B$106),MASTER!$L:$L,0))),"ml",""),":",".")),"0.00")&amp;"_"&amp;TEXT(INDEX(MASTER!$E:$E,MATCH("Cryovial box 9: "&amp;($A108&amp;B$106),MASTER!$L:$L,0)),"mmddyy"),"")</f>
        <v/>
      </c>
      <c r="C108" s="4" t="str">
        <f>IFERROR(INDEX(MASTER!$A:$A,MATCH("Cryovial box 9: "&amp;($A108&amp;C$106),MASTER!$L:$L,0))&amp;"_ser_"&amp;TEXT(VALUE(SUBSTITUTE(SUBSTITUTE(TRIM(INDEX(MASTER!$M:$M,MATCH("Cryovial box 9: "&amp;($A108&amp;C$106),MASTER!$L:$L,0))),"ml",""),":",".")),"0.00")&amp;"_"&amp;TEXT(INDEX(MASTER!$E:$E,MATCH("Cryovial box 9: "&amp;($A108&amp;C$106),MASTER!$L:$L,0)),"mmddyy"),"")</f>
        <v/>
      </c>
      <c r="D108" s="4" t="str">
        <f>IFERROR(INDEX(MASTER!$A:$A,MATCH("Cryovial box 9: "&amp;($A108&amp;D$106),MASTER!$L:$L,0))&amp;"_ser_"&amp;TEXT(VALUE(SUBSTITUTE(SUBSTITUTE(TRIM(INDEX(MASTER!$M:$M,MATCH("Cryovial box 9: "&amp;($A108&amp;D$106),MASTER!$L:$L,0))),"ml",""),":",".")),"0.00")&amp;"_"&amp;TEXT(INDEX(MASTER!$E:$E,MATCH("Cryovial box 9: "&amp;($A108&amp;D$106),MASTER!$L:$L,0)),"mmddyy"),"")</f>
        <v/>
      </c>
      <c r="E108" s="4" t="str">
        <f>IFERROR(INDEX(MASTER!$A:$A,MATCH("Cryovial box 9: "&amp;($A108&amp;E$106),MASTER!$L:$L,0))&amp;"_ser_"&amp;TEXT(VALUE(SUBSTITUTE(SUBSTITUTE(TRIM(INDEX(MASTER!$M:$M,MATCH("Cryovial box 9: "&amp;($A108&amp;E$106),MASTER!$L:$L,0))),"ml",""),":",".")),"0.00")&amp;"_"&amp;TEXT(INDEX(MASTER!$E:$E,MATCH("Cryovial box 9: "&amp;($A108&amp;E$106),MASTER!$L:$L,0)),"mmddyy"),"")</f>
        <v/>
      </c>
      <c r="F108" s="4" t="str">
        <f>IFERROR(INDEX(MASTER!$A:$A,MATCH("Cryovial box 9: "&amp;($A108&amp;F$106),MASTER!$L:$L,0))&amp;"_ser_"&amp;TEXT(VALUE(SUBSTITUTE(SUBSTITUTE(TRIM(INDEX(MASTER!$M:$M,MATCH("Cryovial box 9: "&amp;($A108&amp;F$106),MASTER!$L:$L,0))),"ml",""),":",".")),"0.00")&amp;"_"&amp;TEXT(INDEX(MASTER!$E:$E,MATCH("Cryovial box 9: "&amp;($A108&amp;F$106),MASTER!$L:$L,0)),"mmddyy"),"")</f>
        <v/>
      </c>
      <c r="G108" s="4" t="str">
        <f>IFERROR(INDEX(MASTER!$A:$A,MATCH("Cryovial box 9: "&amp;($A108&amp;G$106),MASTER!$L:$L,0))&amp;"_ser_"&amp;TEXT(VALUE(SUBSTITUTE(SUBSTITUTE(TRIM(INDEX(MASTER!$M:$M,MATCH("Cryovial box 9: "&amp;($A108&amp;G$106),MASTER!$L:$L,0))),"ml",""),":",".")),"0.00")&amp;"_"&amp;TEXT(INDEX(MASTER!$E:$E,MATCH("Cryovial box 9: "&amp;($A108&amp;G$106),MASTER!$L:$L,0)),"mmddyy"),"")</f>
        <v/>
      </c>
      <c r="H108" s="4" t="str">
        <f>IFERROR(INDEX(MASTER!$A:$A,MATCH("Cryovial box 9: "&amp;($A108&amp;H$106),MASTER!$L:$L,0))&amp;"_ser_"&amp;TEXT(VALUE(SUBSTITUTE(SUBSTITUTE(TRIM(INDEX(MASTER!$M:$M,MATCH("Cryovial box 9: "&amp;($A108&amp;H$106),MASTER!$L:$L,0))),"ml",""),":",".")),"0.00")&amp;"_"&amp;TEXT(INDEX(MASTER!$E:$E,MATCH("Cryovial box 9: "&amp;($A108&amp;H$106),MASTER!$L:$L,0)),"mmddyy"),"")</f>
        <v/>
      </c>
      <c r="I108" s="4" t="str">
        <f>IFERROR(INDEX(MASTER!$A:$A,MATCH("Cryovial box 9: "&amp;($A108&amp;I$106),MASTER!$L:$L,0))&amp;"_ser_"&amp;TEXT(VALUE(SUBSTITUTE(SUBSTITUTE(TRIM(INDEX(MASTER!$M:$M,MATCH("Cryovial box 9: "&amp;($A108&amp;I$106),MASTER!$L:$L,0))),"ml",""),":",".")),"0.00")&amp;"_"&amp;TEXT(INDEX(MASTER!$E:$E,MATCH("Cryovial box 9: "&amp;($A108&amp;I$106),MASTER!$L:$L,0)),"mmddyy"),"")</f>
        <v/>
      </c>
      <c r="J108" s="4" t="str">
        <f>IFERROR(INDEX(MASTER!$A:$A,MATCH("Cryovial box 9: "&amp;($A108&amp;J$106),MASTER!$L:$L,0))&amp;"_ser_"&amp;TEXT(VALUE(SUBSTITUTE(SUBSTITUTE(TRIM(INDEX(MASTER!$M:$M,MATCH("Cryovial box 9: "&amp;($A108&amp;J$106),MASTER!$L:$L,0))),"ml",""),":",".")),"0.00")&amp;"_"&amp;TEXT(INDEX(MASTER!$E:$E,MATCH("Cryovial box 9: "&amp;($A108&amp;J$106),MASTER!$L:$L,0)),"mmddyy"),"")</f>
        <v/>
      </c>
      <c r="K108" s="4" t="str">
        <f>IFERROR(INDEX(MASTER!$A:$A,MATCH("Cryovial box 9: "&amp;($A108&amp;K$106),MASTER!$L:$L,0))&amp;"_ser_"&amp;TEXT(VALUE(SUBSTITUTE(SUBSTITUTE(TRIM(INDEX(MASTER!$M:$M,MATCH("Cryovial box 9: "&amp;($A108&amp;K$106),MASTER!$L:$L,0))),"ml",""),":",".")),"0.00")&amp;"_"&amp;TEXT(INDEX(MASTER!$E:$E,MATCH("Cryovial box 9: "&amp;($A108&amp;K$106),MASTER!$L:$L,0)),"mmddyy"),"")</f>
        <v/>
      </c>
    </row>
    <row r="109" spans="1:11" ht="20.149999999999999" customHeight="1" x14ac:dyDescent="0.3">
      <c r="A109" s="6" t="s">
        <v>32</v>
      </c>
      <c r="B109" s="4" t="str">
        <f>IFERROR(INDEX(MASTER!$A:$A,MATCH("Cryovial box 9: "&amp;($A109&amp;B$106),MASTER!$L:$L,0))&amp;"_ser_"&amp;TEXT(VALUE(SUBSTITUTE(SUBSTITUTE(TRIM(INDEX(MASTER!$M:$M,MATCH("Cryovial box 9: "&amp;($A109&amp;B$106),MASTER!$L:$L,0))),"ml",""),":",".")),"0.00")&amp;"_"&amp;TEXT(INDEX(MASTER!$E:$E,MATCH("Cryovial box 9: "&amp;($A109&amp;B$106),MASTER!$L:$L,0)),"mmddyy"),"")</f>
        <v/>
      </c>
      <c r="C109" s="4" t="str">
        <f>IFERROR(INDEX(MASTER!$A:$A,MATCH("Cryovial box 9: "&amp;($A109&amp;C$106),MASTER!$L:$L,0))&amp;"_ser_"&amp;TEXT(VALUE(SUBSTITUTE(SUBSTITUTE(TRIM(INDEX(MASTER!$M:$M,MATCH("Cryovial box 9: "&amp;($A109&amp;C$106),MASTER!$L:$L,0))),"ml",""),":",".")),"0.00")&amp;"_"&amp;TEXT(INDEX(MASTER!$E:$E,MATCH("Cryovial box 9: "&amp;($A109&amp;C$106),MASTER!$L:$L,0)),"mmddyy"),"")</f>
        <v/>
      </c>
      <c r="D109" s="4" t="str">
        <f>IFERROR(INDEX(MASTER!$A:$A,MATCH("Cryovial box 9: "&amp;($A109&amp;D$106),MASTER!$L:$L,0))&amp;"_ser_"&amp;TEXT(VALUE(SUBSTITUTE(SUBSTITUTE(TRIM(INDEX(MASTER!$M:$M,MATCH("Cryovial box 9: "&amp;($A109&amp;D$106),MASTER!$L:$L,0))),"ml",""),":",".")),"0.00")&amp;"_"&amp;TEXT(INDEX(MASTER!$E:$E,MATCH("Cryovial box 9: "&amp;($A109&amp;D$106),MASTER!$L:$L,0)),"mmddyy"),"")</f>
        <v/>
      </c>
      <c r="E109" s="4" t="str">
        <f>IFERROR(INDEX(MASTER!$A:$A,MATCH("Cryovial box 9: "&amp;($A109&amp;E$106),MASTER!$L:$L,0))&amp;"_ser_"&amp;TEXT(VALUE(SUBSTITUTE(SUBSTITUTE(TRIM(INDEX(MASTER!$M:$M,MATCH("Cryovial box 9: "&amp;($A109&amp;E$106),MASTER!$L:$L,0))),"ml",""),":",".")),"0.00")&amp;"_"&amp;TEXT(INDEX(MASTER!$E:$E,MATCH("Cryovial box 9: "&amp;($A109&amp;E$106),MASTER!$L:$L,0)),"mmddyy"),"")</f>
        <v/>
      </c>
      <c r="F109" s="4" t="str">
        <f>IFERROR(INDEX(MASTER!$A:$A,MATCH("Cryovial box 9: "&amp;($A109&amp;F$106),MASTER!$L:$L,0))&amp;"_ser_"&amp;TEXT(VALUE(SUBSTITUTE(SUBSTITUTE(TRIM(INDEX(MASTER!$M:$M,MATCH("Cryovial box 9: "&amp;($A109&amp;F$106),MASTER!$L:$L,0))),"ml",""),":",".")),"0.00")&amp;"_"&amp;TEXT(INDEX(MASTER!$E:$E,MATCH("Cryovial box 9: "&amp;($A109&amp;F$106),MASTER!$L:$L,0)),"mmddyy"),"")</f>
        <v/>
      </c>
      <c r="G109" s="4" t="str">
        <f>IFERROR(INDEX(MASTER!$A:$A,MATCH("Cryovial box 9: "&amp;($A109&amp;G$106),MASTER!$L:$L,0))&amp;"_ser_"&amp;TEXT(VALUE(SUBSTITUTE(SUBSTITUTE(TRIM(INDEX(MASTER!$M:$M,MATCH("Cryovial box 9: "&amp;($A109&amp;G$106),MASTER!$L:$L,0))),"ml",""),":",".")),"0.00")&amp;"_"&amp;TEXT(INDEX(MASTER!$E:$E,MATCH("Cryovial box 9: "&amp;($A109&amp;G$106),MASTER!$L:$L,0)),"mmddyy"),"")</f>
        <v/>
      </c>
      <c r="H109" s="4" t="str">
        <f>IFERROR(INDEX(MASTER!$A:$A,MATCH("Cryovial box 9: "&amp;($A109&amp;H$106),MASTER!$L:$L,0))&amp;"_ser_"&amp;TEXT(VALUE(SUBSTITUTE(SUBSTITUTE(TRIM(INDEX(MASTER!$M:$M,MATCH("Cryovial box 9: "&amp;($A109&amp;H$106),MASTER!$L:$L,0))),"ml",""),":",".")),"0.00")&amp;"_"&amp;TEXT(INDEX(MASTER!$E:$E,MATCH("Cryovial box 9: "&amp;($A109&amp;H$106),MASTER!$L:$L,0)),"mmddyy"),"")</f>
        <v/>
      </c>
      <c r="I109" s="4" t="str">
        <f>IFERROR(INDEX(MASTER!$A:$A,MATCH("Cryovial box 9: "&amp;($A109&amp;I$106),MASTER!$L:$L,0))&amp;"_ser_"&amp;TEXT(VALUE(SUBSTITUTE(SUBSTITUTE(TRIM(INDEX(MASTER!$M:$M,MATCH("Cryovial box 9: "&amp;($A109&amp;I$106),MASTER!$L:$L,0))),"ml",""),":",".")),"0.00")&amp;"_"&amp;TEXT(INDEX(MASTER!$E:$E,MATCH("Cryovial box 9: "&amp;($A109&amp;I$106),MASTER!$L:$L,0)),"mmddyy"),"")</f>
        <v/>
      </c>
      <c r="J109" s="4" t="str">
        <f>IFERROR(INDEX(MASTER!$A:$A,MATCH("Cryovial box 9: "&amp;($A109&amp;J$106),MASTER!$L:$L,0))&amp;"_ser_"&amp;TEXT(VALUE(SUBSTITUTE(SUBSTITUTE(TRIM(INDEX(MASTER!$M:$M,MATCH("Cryovial box 9: "&amp;($A109&amp;J$106),MASTER!$L:$L,0))),"ml",""),":",".")),"0.00")&amp;"_"&amp;TEXT(INDEX(MASTER!$E:$E,MATCH("Cryovial box 9: "&amp;($A109&amp;J$106),MASTER!$L:$L,0)),"mmddyy"),"")</f>
        <v/>
      </c>
      <c r="K109" s="4" t="str">
        <f>IFERROR(INDEX(MASTER!$A:$A,MATCH("Cryovial box 9: "&amp;($A109&amp;K$106),MASTER!$L:$L,0))&amp;"_ser_"&amp;TEXT(VALUE(SUBSTITUTE(SUBSTITUTE(TRIM(INDEX(MASTER!$M:$M,MATCH("Cryovial box 9: "&amp;($A109&amp;K$106),MASTER!$L:$L,0))),"ml",""),":",".")),"0.00")&amp;"_"&amp;TEXT(INDEX(MASTER!$E:$E,MATCH("Cryovial box 9: "&amp;($A109&amp;K$106),MASTER!$L:$L,0)),"mmddyy"),"")</f>
        <v/>
      </c>
    </row>
    <row r="110" spans="1:11" ht="14.15" customHeight="1" x14ac:dyDescent="0.3">
      <c r="A110" s="6" t="s">
        <v>33</v>
      </c>
      <c r="B110" s="4" t="str">
        <f>IFERROR(INDEX(MASTER!$A:$A,MATCH("Cryovial box 9: "&amp;($A110&amp;B$106),MASTER!$L:$L,0))&amp;"_ser_"&amp;TEXT(VALUE(SUBSTITUTE(SUBSTITUTE(TRIM(INDEX(MASTER!$M:$M,MATCH("Cryovial box 9: "&amp;($A110&amp;B$106),MASTER!$L:$L,0))),"ml",""),":",".")),"0.00")&amp;"_"&amp;TEXT(INDEX(MASTER!$E:$E,MATCH("Cryovial box 9: "&amp;($A110&amp;B$106),MASTER!$L:$L,0)),"mmddyy"),"")</f>
        <v/>
      </c>
      <c r="C110" s="4" t="str">
        <f>IFERROR(INDEX(MASTER!$A:$A,MATCH("Cryovial box 9: "&amp;($A110&amp;C$106),MASTER!$L:$L,0))&amp;"_ser_"&amp;TEXT(VALUE(SUBSTITUTE(SUBSTITUTE(TRIM(INDEX(MASTER!$M:$M,MATCH("Cryovial box 9: "&amp;($A110&amp;C$106),MASTER!$L:$L,0))),"ml",""),":",".")),"0.00")&amp;"_"&amp;TEXT(INDEX(MASTER!$E:$E,MATCH("Cryovial box 9: "&amp;($A110&amp;C$106),MASTER!$L:$L,0)),"mmddyy"),"")</f>
        <v/>
      </c>
      <c r="D110" s="4" t="str">
        <f>IFERROR(INDEX(MASTER!$A:$A,MATCH("Cryovial box 9: "&amp;($A110&amp;D$106),MASTER!$L:$L,0))&amp;"_ser_"&amp;TEXT(VALUE(SUBSTITUTE(SUBSTITUTE(TRIM(INDEX(MASTER!$M:$M,MATCH("Cryovial box 9: "&amp;($A110&amp;D$106),MASTER!$L:$L,0))),"ml",""),":",".")),"0.00")&amp;"_"&amp;TEXT(INDEX(MASTER!$E:$E,MATCH("Cryovial box 9: "&amp;($A110&amp;D$106),MASTER!$L:$L,0)),"mmddyy"),"")</f>
        <v/>
      </c>
      <c r="E110" s="4" t="str">
        <f>IFERROR(INDEX(MASTER!$A:$A,MATCH("Cryovial box 9: "&amp;($A110&amp;E$106),MASTER!$L:$L,0))&amp;"_ser_"&amp;TEXT(VALUE(SUBSTITUTE(SUBSTITUTE(TRIM(INDEX(MASTER!$M:$M,MATCH("Cryovial box 9: "&amp;($A110&amp;E$106),MASTER!$L:$L,0))),"ml",""),":",".")),"0.00")&amp;"_"&amp;TEXT(INDEX(MASTER!$E:$E,MATCH("Cryovial box 9: "&amp;($A110&amp;E$106),MASTER!$L:$L,0)),"mmddyy"),"")</f>
        <v/>
      </c>
      <c r="F110" s="4" t="str">
        <f>IFERROR(INDEX(MASTER!$A:$A,MATCH("Cryovial box 9: "&amp;($A110&amp;F$106),MASTER!$L:$L,0))&amp;"_ser_"&amp;TEXT(VALUE(SUBSTITUTE(SUBSTITUTE(TRIM(INDEX(MASTER!$M:$M,MATCH("Cryovial box 9: "&amp;($A110&amp;F$106),MASTER!$L:$L,0))),"ml",""),":",".")),"0.00")&amp;"_"&amp;TEXT(INDEX(MASTER!$E:$E,MATCH("Cryovial box 9: "&amp;($A110&amp;F$106),MASTER!$L:$L,0)),"mmddyy"),"")</f>
        <v/>
      </c>
      <c r="G110" s="4" t="str">
        <f>IFERROR(INDEX(MASTER!$A:$A,MATCH("Cryovial box 9: "&amp;($A110&amp;G$106),MASTER!$L:$L,0))&amp;"_ser_"&amp;TEXT(VALUE(SUBSTITUTE(SUBSTITUTE(TRIM(INDEX(MASTER!$M:$M,MATCH("Cryovial box 9: "&amp;($A110&amp;G$106),MASTER!$L:$L,0))),"ml",""),":",".")),"0.00")&amp;"_"&amp;TEXT(INDEX(MASTER!$E:$E,MATCH("Cryovial box 9: "&amp;($A110&amp;G$106),MASTER!$L:$L,0)),"mmddyy"),"")</f>
        <v/>
      </c>
      <c r="H110" s="4" t="str">
        <f>IFERROR(INDEX(MASTER!$A:$A,MATCH("Cryovial box 9: "&amp;($A110&amp;H$106),MASTER!$L:$L,0))&amp;"_ser_"&amp;TEXT(VALUE(SUBSTITUTE(SUBSTITUTE(TRIM(INDEX(MASTER!$M:$M,MATCH("Cryovial box 9: "&amp;($A110&amp;H$106),MASTER!$L:$L,0))),"ml",""),":",".")),"0.00")&amp;"_"&amp;TEXT(INDEX(MASTER!$E:$E,MATCH("Cryovial box 9: "&amp;($A110&amp;H$106),MASTER!$L:$L,0)),"mmddyy"),"")</f>
        <v/>
      </c>
      <c r="I110" s="4" t="str">
        <f>IFERROR(INDEX(MASTER!$A:$A,MATCH("Cryovial box 9: "&amp;($A110&amp;I$106),MASTER!$L:$L,0))&amp;"_ser_"&amp;TEXT(VALUE(SUBSTITUTE(SUBSTITUTE(TRIM(INDEX(MASTER!$M:$M,MATCH("Cryovial box 9: "&amp;($A110&amp;I$106),MASTER!$L:$L,0))),"ml",""),":",".")),"0.00")&amp;"_"&amp;TEXT(INDEX(MASTER!$E:$E,MATCH("Cryovial box 9: "&amp;($A110&amp;I$106),MASTER!$L:$L,0)),"mmddyy"),"")</f>
        <v/>
      </c>
      <c r="J110" s="4" t="str">
        <f>IFERROR(INDEX(MASTER!$A:$A,MATCH("Cryovial box 9: "&amp;($A110&amp;J$106),MASTER!$L:$L,0))&amp;"_ser_"&amp;TEXT(VALUE(SUBSTITUTE(SUBSTITUTE(TRIM(INDEX(MASTER!$M:$M,MATCH("Cryovial box 9: "&amp;($A110&amp;J$106),MASTER!$L:$L,0))),"ml",""),":",".")),"0.00")&amp;"_"&amp;TEXT(INDEX(MASTER!$E:$E,MATCH("Cryovial box 9: "&amp;($A110&amp;J$106),MASTER!$L:$L,0)),"mmddyy"),"")</f>
        <v/>
      </c>
      <c r="K110" s="4" t="str">
        <f>IFERROR(INDEX(MASTER!$A:$A,MATCH("Cryovial box 9: "&amp;($A110&amp;K$106),MASTER!$L:$L,0))&amp;"_ser_"&amp;TEXT(VALUE(SUBSTITUTE(SUBSTITUTE(TRIM(INDEX(MASTER!$M:$M,MATCH("Cryovial box 9: "&amp;($A110&amp;K$106),MASTER!$L:$L,0))),"ml",""),":",".")),"0.00")&amp;"_"&amp;TEXT(INDEX(MASTER!$E:$E,MATCH("Cryovial box 9: "&amp;($A110&amp;K$106),MASTER!$L:$L,0)),"mmddyy"),"")</f>
        <v/>
      </c>
    </row>
    <row r="111" spans="1:11" ht="14.15" customHeight="1" x14ac:dyDescent="0.3">
      <c r="A111" s="6" t="s">
        <v>34</v>
      </c>
      <c r="B111" s="4" t="str">
        <f>IFERROR(INDEX(MASTER!$A:$A,MATCH("Cryovial box 9: "&amp;($A111&amp;B$106),MASTER!$L:$L,0))&amp;"_ser_"&amp;TEXT(VALUE(SUBSTITUTE(SUBSTITUTE(TRIM(INDEX(MASTER!$M:$M,MATCH("Cryovial box 9: "&amp;($A111&amp;B$106),MASTER!$L:$L,0))),"ml",""),":",".")),"0.00")&amp;"_"&amp;TEXT(INDEX(MASTER!$E:$E,MATCH("Cryovial box 9: "&amp;($A111&amp;B$106),MASTER!$L:$L,0)),"mmddyy"),"")</f>
        <v/>
      </c>
      <c r="C111" s="4" t="str">
        <f>IFERROR(INDEX(MASTER!$A:$A,MATCH("Cryovial box 9: "&amp;($A111&amp;C$106),MASTER!$L:$L,0))&amp;"_ser_"&amp;TEXT(VALUE(SUBSTITUTE(SUBSTITUTE(TRIM(INDEX(MASTER!$M:$M,MATCH("Cryovial box 9: "&amp;($A111&amp;C$106),MASTER!$L:$L,0))),"ml",""),":",".")),"0.00")&amp;"_"&amp;TEXT(INDEX(MASTER!$E:$E,MATCH("Cryovial box 9: "&amp;($A111&amp;C$106),MASTER!$L:$L,0)),"mmddyy"),"")</f>
        <v/>
      </c>
      <c r="D111" s="4" t="str">
        <f>IFERROR(INDEX(MASTER!$A:$A,MATCH("Cryovial box 9: "&amp;($A111&amp;D$106),MASTER!$L:$L,0))&amp;"_ser_"&amp;TEXT(VALUE(SUBSTITUTE(SUBSTITUTE(TRIM(INDEX(MASTER!$M:$M,MATCH("Cryovial box 9: "&amp;($A111&amp;D$106),MASTER!$L:$L,0))),"ml",""),":",".")),"0.00")&amp;"_"&amp;TEXT(INDEX(MASTER!$E:$E,MATCH("Cryovial box 9: "&amp;($A111&amp;D$106),MASTER!$L:$L,0)),"mmddyy"),"")</f>
        <v/>
      </c>
      <c r="E111" s="4" t="str">
        <f>IFERROR(INDEX(MASTER!$A:$A,MATCH("Cryovial box 9: "&amp;($A111&amp;E$106),MASTER!$L:$L,0))&amp;"_ser_"&amp;TEXT(VALUE(SUBSTITUTE(SUBSTITUTE(TRIM(INDEX(MASTER!$M:$M,MATCH("Cryovial box 9: "&amp;($A111&amp;E$106),MASTER!$L:$L,0))),"ml",""),":",".")),"0.00")&amp;"_"&amp;TEXT(INDEX(MASTER!$E:$E,MATCH("Cryovial box 9: "&amp;($A111&amp;E$106),MASTER!$L:$L,0)),"mmddyy"),"")</f>
        <v/>
      </c>
      <c r="F111" s="4" t="str">
        <f>IFERROR(INDEX(MASTER!$A:$A,MATCH("Cryovial box 9: "&amp;($A111&amp;F$106),MASTER!$L:$L,0))&amp;"_ser_"&amp;TEXT(VALUE(SUBSTITUTE(SUBSTITUTE(TRIM(INDEX(MASTER!$M:$M,MATCH("Cryovial box 9: "&amp;($A111&amp;F$106),MASTER!$L:$L,0))),"ml",""),":",".")),"0.00")&amp;"_"&amp;TEXT(INDEX(MASTER!$E:$E,MATCH("Cryovial box 9: "&amp;($A111&amp;F$106),MASTER!$L:$L,0)),"mmddyy"),"")</f>
        <v/>
      </c>
      <c r="G111" s="4" t="str">
        <f>IFERROR(INDEX(MASTER!$A:$A,MATCH("Cryovial box 9: "&amp;($A111&amp;G$106),MASTER!$L:$L,0))&amp;"_ser_"&amp;TEXT(VALUE(SUBSTITUTE(SUBSTITUTE(TRIM(INDEX(MASTER!$M:$M,MATCH("Cryovial box 9: "&amp;($A111&amp;G$106),MASTER!$L:$L,0))),"ml",""),":",".")),"0.00")&amp;"_"&amp;TEXT(INDEX(MASTER!$E:$E,MATCH("Cryovial box 9: "&amp;($A111&amp;G$106),MASTER!$L:$L,0)),"mmddyy"),"")</f>
        <v/>
      </c>
      <c r="H111" s="4" t="str">
        <f>IFERROR(INDEX(MASTER!$A:$A,MATCH("Cryovial box 9: "&amp;($A111&amp;H$106),MASTER!$L:$L,0))&amp;"_ser_"&amp;TEXT(VALUE(SUBSTITUTE(SUBSTITUTE(TRIM(INDEX(MASTER!$M:$M,MATCH("Cryovial box 9: "&amp;($A111&amp;H$106),MASTER!$L:$L,0))),"ml",""),":",".")),"0.00")&amp;"_"&amp;TEXT(INDEX(MASTER!$E:$E,MATCH("Cryovial box 9: "&amp;($A111&amp;H$106),MASTER!$L:$L,0)),"mmddyy"),"")</f>
        <v/>
      </c>
      <c r="I111" s="4" t="str">
        <f>IFERROR(INDEX(MASTER!$A:$A,MATCH("Cryovial box 9: "&amp;($A111&amp;I$106),MASTER!$L:$L,0))&amp;"_ser_"&amp;TEXT(VALUE(SUBSTITUTE(SUBSTITUTE(TRIM(INDEX(MASTER!$M:$M,MATCH("Cryovial box 9: "&amp;($A111&amp;I$106),MASTER!$L:$L,0))),"ml",""),":",".")),"0.00")&amp;"_"&amp;TEXT(INDEX(MASTER!$E:$E,MATCH("Cryovial box 9: "&amp;($A111&amp;I$106),MASTER!$L:$L,0)),"mmddyy"),"")</f>
        <v/>
      </c>
      <c r="J111" s="4" t="str">
        <f>IFERROR(INDEX(MASTER!$A:$A,MATCH("Cryovial box 9: "&amp;($A111&amp;J$106),MASTER!$L:$L,0))&amp;"_ser_"&amp;TEXT(VALUE(SUBSTITUTE(SUBSTITUTE(TRIM(INDEX(MASTER!$M:$M,MATCH("Cryovial box 9: "&amp;($A111&amp;J$106),MASTER!$L:$L,0))),"ml",""),":",".")),"0.00")&amp;"_"&amp;TEXT(INDEX(MASTER!$E:$E,MATCH("Cryovial box 9: "&amp;($A111&amp;J$106),MASTER!$L:$L,0)),"mmddyy"),"")</f>
        <v/>
      </c>
      <c r="K111" s="4" t="str">
        <f>IFERROR(INDEX(MASTER!$A:$A,MATCH("Cryovial box 9: "&amp;($A111&amp;K$106),MASTER!$L:$L,0))&amp;"_ser_"&amp;TEXT(VALUE(SUBSTITUTE(SUBSTITUTE(TRIM(INDEX(MASTER!$M:$M,MATCH("Cryovial box 9: "&amp;($A111&amp;K$106),MASTER!$L:$L,0))),"ml",""),":",".")),"0.00")&amp;"_"&amp;TEXT(INDEX(MASTER!$E:$E,MATCH("Cryovial box 9: "&amp;($A111&amp;K$106),MASTER!$L:$L,0)),"mmddyy"),"")</f>
        <v/>
      </c>
    </row>
    <row r="112" spans="1:11" ht="14.15" customHeight="1" x14ac:dyDescent="0.3">
      <c r="A112" s="6" t="s">
        <v>15</v>
      </c>
      <c r="B112" s="4" t="str">
        <f>IFERROR(INDEX(MASTER!$A:$A,MATCH("Cryovial box 9: "&amp;($A112&amp;B$106),MASTER!$L:$L,0))&amp;"_ser_"&amp;TEXT(VALUE(SUBSTITUTE(SUBSTITUTE(TRIM(INDEX(MASTER!$M:$M,MATCH("Cryovial box 9: "&amp;($A112&amp;B$106),MASTER!$L:$L,0))),"ml",""),":",".")),"0.00")&amp;"_"&amp;TEXT(INDEX(MASTER!$E:$E,MATCH("Cryovial box 9: "&amp;($A112&amp;B$106),MASTER!$L:$L,0)),"mmddyy"),"")</f>
        <v/>
      </c>
      <c r="C112" s="4" t="str">
        <f>IFERROR(INDEX(MASTER!$A:$A,MATCH("Cryovial box 9: "&amp;($A112&amp;C$106),MASTER!$L:$L,0))&amp;"_ser_"&amp;TEXT(VALUE(SUBSTITUTE(SUBSTITUTE(TRIM(INDEX(MASTER!$M:$M,MATCH("Cryovial box 9: "&amp;($A112&amp;C$106),MASTER!$L:$L,0))),"ml",""),":",".")),"0.00")&amp;"_"&amp;TEXT(INDEX(MASTER!$E:$E,MATCH("Cryovial box 9: "&amp;($A112&amp;C$106),MASTER!$L:$L,0)),"mmddyy"),"")</f>
        <v/>
      </c>
      <c r="D112" s="4" t="str">
        <f>IFERROR(INDEX(MASTER!$A:$A,MATCH("Cryovial box 9: "&amp;($A112&amp;D$106),MASTER!$L:$L,0))&amp;"_ser_"&amp;TEXT(VALUE(SUBSTITUTE(SUBSTITUTE(TRIM(INDEX(MASTER!$M:$M,MATCH("Cryovial box 9: "&amp;($A112&amp;D$106),MASTER!$L:$L,0))),"ml",""),":",".")),"0.00")&amp;"_"&amp;TEXT(INDEX(MASTER!$E:$E,MATCH("Cryovial box 9: "&amp;($A112&amp;D$106),MASTER!$L:$L,0)),"mmddyy"),"")</f>
        <v/>
      </c>
      <c r="E112" s="4" t="str">
        <f>IFERROR(INDEX(MASTER!$A:$A,MATCH("Cryovial box 9: "&amp;($A112&amp;E$106),MASTER!$L:$L,0))&amp;"_ser_"&amp;TEXT(VALUE(SUBSTITUTE(SUBSTITUTE(TRIM(INDEX(MASTER!$M:$M,MATCH("Cryovial box 9: "&amp;($A112&amp;E$106),MASTER!$L:$L,0))),"ml",""),":",".")),"0.00")&amp;"_"&amp;TEXT(INDEX(MASTER!$E:$E,MATCH("Cryovial box 9: "&amp;($A112&amp;E$106),MASTER!$L:$L,0)),"mmddyy"),"")</f>
        <v/>
      </c>
      <c r="F112" s="4" t="str">
        <f>IFERROR(INDEX(MASTER!$A:$A,MATCH("Cryovial box 9: "&amp;($A112&amp;F$106),MASTER!$L:$L,0))&amp;"_ser_"&amp;TEXT(VALUE(SUBSTITUTE(SUBSTITUTE(TRIM(INDEX(MASTER!$M:$M,MATCH("Cryovial box 9: "&amp;($A112&amp;F$106),MASTER!$L:$L,0))),"ml",""),":",".")),"0.00")&amp;"_"&amp;TEXT(INDEX(MASTER!$E:$E,MATCH("Cryovial box 9: "&amp;($A112&amp;F$106),MASTER!$L:$L,0)),"mmddyy"),"")</f>
        <v/>
      </c>
      <c r="G112" s="4" t="str">
        <f>IFERROR(INDEX(MASTER!$A:$A,MATCH("Cryovial box 9: "&amp;($A112&amp;G$106),MASTER!$L:$L,0))&amp;"_ser_"&amp;TEXT(VALUE(SUBSTITUTE(SUBSTITUTE(TRIM(INDEX(MASTER!$M:$M,MATCH("Cryovial box 9: "&amp;($A112&amp;G$106),MASTER!$L:$L,0))),"ml",""),":",".")),"0.00")&amp;"_"&amp;TEXT(INDEX(MASTER!$E:$E,MATCH("Cryovial box 9: "&amp;($A112&amp;G$106),MASTER!$L:$L,0)),"mmddyy"),"")</f>
        <v/>
      </c>
      <c r="H112" s="4" t="str">
        <f>IFERROR(INDEX(MASTER!$A:$A,MATCH("Cryovial box 9: "&amp;($A112&amp;H$106),MASTER!$L:$L,0))&amp;"_ser_"&amp;TEXT(VALUE(SUBSTITUTE(SUBSTITUTE(TRIM(INDEX(MASTER!$M:$M,MATCH("Cryovial box 9: "&amp;($A112&amp;H$106),MASTER!$L:$L,0))),"ml",""),":",".")),"0.00")&amp;"_"&amp;TEXT(INDEX(MASTER!$E:$E,MATCH("Cryovial box 9: "&amp;($A112&amp;H$106),MASTER!$L:$L,0)),"mmddyy"),"")</f>
        <v/>
      </c>
      <c r="I112" s="4" t="str">
        <f>IFERROR(INDEX(MASTER!$A:$A,MATCH("Cryovial box 9: "&amp;($A112&amp;I$106),MASTER!$L:$L,0))&amp;"_ser_"&amp;TEXT(VALUE(SUBSTITUTE(SUBSTITUTE(TRIM(INDEX(MASTER!$M:$M,MATCH("Cryovial box 9: "&amp;($A112&amp;I$106),MASTER!$L:$L,0))),"ml",""),":",".")),"0.00")&amp;"_"&amp;TEXT(INDEX(MASTER!$E:$E,MATCH("Cryovial box 9: "&amp;($A112&amp;I$106),MASTER!$L:$L,0)),"mmddyy"),"")</f>
        <v/>
      </c>
      <c r="J112" s="4" t="str">
        <f>IFERROR(INDEX(MASTER!$A:$A,MATCH("Cryovial box 9: "&amp;($A112&amp;J$106),MASTER!$L:$L,0))&amp;"_ser_"&amp;TEXT(VALUE(SUBSTITUTE(SUBSTITUTE(TRIM(INDEX(MASTER!$M:$M,MATCH("Cryovial box 9: "&amp;($A112&amp;J$106),MASTER!$L:$L,0))),"ml",""),":",".")),"0.00")&amp;"_"&amp;TEXT(INDEX(MASTER!$E:$E,MATCH("Cryovial box 9: "&amp;($A112&amp;J$106),MASTER!$L:$L,0)),"mmddyy"),"")</f>
        <v/>
      </c>
      <c r="K112" s="4" t="str">
        <f>IFERROR(INDEX(MASTER!$A:$A,MATCH("Cryovial box 9: "&amp;($A112&amp;K$106),MASTER!$L:$L,0))&amp;"_ser_"&amp;TEXT(VALUE(SUBSTITUTE(SUBSTITUTE(TRIM(INDEX(MASTER!$M:$M,MATCH("Cryovial box 9: "&amp;($A112&amp;K$106),MASTER!$L:$L,0))),"ml",""),":",".")),"0.00")&amp;"_"&amp;TEXT(INDEX(MASTER!$E:$E,MATCH("Cryovial box 9: "&amp;($A112&amp;K$106),MASTER!$L:$L,0)),"mmddyy"),"")</f>
        <v/>
      </c>
    </row>
    <row r="113" spans="1:11" ht="15" customHeight="1" x14ac:dyDescent="0.3">
      <c r="A113" s="6" t="s">
        <v>35</v>
      </c>
      <c r="B113" s="4" t="str">
        <f>IFERROR(INDEX(MASTER!$A:$A,MATCH("Cryovial box 9: "&amp;($A113&amp;B$106),MASTER!$L:$L,0))&amp;"_ser_"&amp;TEXT(VALUE(SUBSTITUTE(SUBSTITUTE(TRIM(INDEX(MASTER!$M:$M,MATCH("Cryovial box 9: "&amp;($A113&amp;B$106),MASTER!$L:$L,0))),"ml",""),":",".")),"0.00")&amp;"_"&amp;TEXT(INDEX(MASTER!$E:$E,MATCH("Cryovial box 9: "&amp;($A113&amp;B$106),MASTER!$L:$L,0)),"mmddyy"),"")</f>
        <v/>
      </c>
      <c r="C113" s="4" t="str">
        <f>IFERROR(INDEX(MASTER!$A:$A,MATCH("Cryovial box 9: "&amp;($A113&amp;C$106),MASTER!$L:$L,0))&amp;"_ser_"&amp;TEXT(VALUE(SUBSTITUTE(SUBSTITUTE(TRIM(INDEX(MASTER!$M:$M,MATCH("Cryovial box 9: "&amp;($A113&amp;C$106),MASTER!$L:$L,0))),"ml",""),":",".")),"0.00")&amp;"_"&amp;TEXT(INDEX(MASTER!$E:$E,MATCH("Cryovial box 9: "&amp;($A113&amp;C$106),MASTER!$L:$L,0)),"mmddyy"),"")</f>
        <v/>
      </c>
      <c r="D113" s="4" t="str">
        <f>IFERROR(INDEX(MASTER!$A:$A,MATCH("Cryovial box 9: "&amp;($A113&amp;D$106),MASTER!$L:$L,0))&amp;"_ser_"&amp;TEXT(VALUE(SUBSTITUTE(SUBSTITUTE(TRIM(INDEX(MASTER!$M:$M,MATCH("Cryovial box 9: "&amp;($A113&amp;D$106),MASTER!$L:$L,0))),"ml",""),":",".")),"0.00")&amp;"_"&amp;TEXT(INDEX(MASTER!$E:$E,MATCH("Cryovial box 9: "&amp;($A113&amp;D$106),MASTER!$L:$L,0)),"mmddyy"),"")</f>
        <v/>
      </c>
      <c r="E113" s="4" t="str">
        <f>IFERROR(INDEX(MASTER!$A:$A,MATCH("Cryovial box 9: "&amp;($A113&amp;E$106),MASTER!$L:$L,0))&amp;"_ser_"&amp;TEXT(VALUE(SUBSTITUTE(SUBSTITUTE(TRIM(INDEX(MASTER!$M:$M,MATCH("Cryovial box 9: "&amp;($A113&amp;E$106),MASTER!$L:$L,0))),"ml",""),":",".")),"0.00")&amp;"_"&amp;TEXT(INDEX(MASTER!$E:$E,MATCH("Cryovial box 9: "&amp;($A113&amp;E$106),MASTER!$L:$L,0)),"mmddyy"),"")</f>
        <v/>
      </c>
      <c r="F113" s="4" t="str">
        <f>IFERROR(INDEX(MASTER!$A:$A,MATCH("Cryovial box 9: "&amp;($A113&amp;F$106),MASTER!$L:$L,0))&amp;"_ser_"&amp;TEXT(VALUE(SUBSTITUTE(SUBSTITUTE(TRIM(INDEX(MASTER!$M:$M,MATCH("Cryovial box 9: "&amp;($A113&amp;F$106),MASTER!$L:$L,0))),"ml",""),":",".")),"0.00")&amp;"_"&amp;TEXT(INDEX(MASTER!$E:$E,MATCH("Cryovial box 9: "&amp;($A113&amp;F$106),MASTER!$L:$L,0)),"mmddyy"),"")</f>
        <v/>
      </c>
      <c r="G113" s="4" t="str">
        <f>IFERROR(INDEX(MASTER!$A:$A,MATCH("Cryovial box 9: "&amp;($A113&amp;G$106),MASTER!$L:$L,0))&amp;"_ser_"&amp;TEXT(VALUE(SUBSTITUTE(SUBSTITUTE(TRIM(INDEX(MASTER!$M:$M,MATCH("Cryovial box 9: "&amp;($A113&amp;G$106),MASTER!$L:$L,0))),"ml",""),":",".")),"0.00")&amp;"_"&amp;TEXT(INDEX(MASTER!$E:$E,MATCH("Cryovial box 9: "&amp;($A113&amp;G$106),MASTER!$L:$L,0)),"mmddyy"),"")</f>
        <v/>
      </c>
      <c r="H113" s="4" t="str">
        <f>IFERROR(INDEX(MASTER!$A:$A,MATCH("Cryovial box 9: "&amp;($A113&amp;H$106),MASTER!$L:$L,0))&amp;"_ser_"&amp;TEXT(VALUE(SUBSTITUTE(SUBSTITUTE(TRIM(INDEX(MASTER!$M:$M,MATCH("Cryovial box 9: "&amp;($A113&amp;H$106),MASTER!$L:$L,0))),"ml",""),":",".")),"0.00")&amp;"_"&amp;TEXT(INDEX(MASTER!$E:$E,MATCH("Cryovial box 9: "&amp;($A113&amp;H$106),MASTER!$L:$L,0)),"mmddyy"),"")</f>
        <v/>
      </c>
      <c r="I113" s="4" t="str">
        <f>IFERROR(INDEX(MASTER!$A:$A,MATCH("Cryovial box 9: "&amp;($A113&amp;I$106),MASTER!$L:$L,0))&amp;"_ser_"&amp;TEXT(VALUE(SUBSTITUTE(SUBSTITUTE(TRIM(INDEX(MASTER!$M:$M,MATCH("Cryovial box 9: "&amp;($A113&amp;I$106),MASTER!$L:$L,0))),"ml",""),":",".")),"0.00")&amp;"_"&amp;TEXT(INDEX(MASTER!$E:$E,MATCH("Cryovial box 9: "&amp;($A113&amp;I$106),MASTER!$L:$L,0)),"mmddyy"),"")</f>
        <v/>
      </c>
      <c r="J113" s="4" t="str">
        <f>IFERROR(INDEX(MASTER!$A:$A,MATCH("Cryovial box 9: "&amp;($A113&amp;J$106),MASTER!$L:$L,0))&amp;"_ser_"&amp;TEXT(VALUE(SUBSTITUTE(SUBSTITUTE(TRIM(INDEX(MASTER!$M:$M,MATCH("Cryovial box 9: "&amp;($A113&amp;J$106),MASTER!$L:$L,0))),"ml",""),":",".")),"0.00")&amp;"_"&amp;TEXT(INDEX(MASTER!$E:$E,MATCH("Cryovial box 9: "&amp;($A113&amp;J$106),MASTER!$L:$L,0)),"mmddyy"),"")</f>
        <v/>
      </c>
      <c r="K113" s="4" t="str">
        <f>IFERROR(INDEX(MASTER!$A:$A,MATCH("Cryovial box 9: "&amp;($A113&amp;K$106),MASTER!$L:$L,0))&amp;"_ser_"&amp;TEXT(VALUE(SUBSTITUTE(SUBSTITUTE(TRIM(INDEX(MASTER!$M:$M,MATCH("Cryovial box 9: "&amp;($A113&amp;K$106),MASTER!$L:$L,0))),"ml",""),":",".")),"0.00")&amp;"_"&amp;TEXT(INDEX(MASTER!$E:$E,MATCH("Cryovial box 9: "&amp;($A113&amp;K$106),MASTER!$L:$L,0)),"mmddyy"),"")</f>
        <v/>
      </c>
    </row>
    <row r="114" spans="1:11" ht="15" customHeight="1" x14ac:dyDescent="0.3">
      <c r="A114" s="6" t="s">
        <v>36</v>
      </c>
      <c r="B114" s="4" t="str">
        <f>IFERROR(INDEX(MASTER!$A:$A,MATCH("Cryovial box 9: "&amp;($A114&amp;B$106),MASTER!$L:$L,0))&amp;"_ser_"&amp;TEXT(VALUE(SUBSTITUTE(SUBSTITUTE(TRIM(INDEX(MASTER!$M:$M,MATCH("Cryovial box 9: "&amp;($A114&amp;B$106),MASTER!$L:$L,0))),"ml",""),":",".")),"0.00")&amp;"_"&amp;TEXT(INDEX(MASTER!$E:$E,MATCH("Cryovial box 9: "&amp;($A114&amp;B$106),MASTER!$L:$L,0)),"mmddyy"),"")</f>
        <v/>
      </c>
      <c r="C114" s="4" t="str">
        <f>IFERROR(INDEX(MASTER!$A:$A,MATCH("Cryovial box 9: "&amp;($A114&amp;C$106),MASTER!$L:$L,0))&amp;"_ser_"&amp;TEXT(VALUE(SUBSTITUTE(SUBSTITUTE(TRIM(INDEX(MASTER!$M:$M,MATCH("Cryovial box 9: "&amp;($A114&amp;C$106),MASTER!$L:$L,0))),"ml",""),":",".")),"0.00")&amp;"_"&amp;TEXT(INDEX(MASTER!$E:$E,MATCH("Cryovial box 9: "&amp;($A114&amp;C$106),MASTER!$L:$L,0)),"mmddyy"),"")</f>
        <v/>
      </c>
      <c r="D114" s="4" t="str">
        <f>IFERROR(INDEX(MASTER!$A:$A,MATCH("Cryovial box 9: "&amp;($A114&amp;D$106),MASTER!$L:$L,0))&amp;"_ser_"&amp;TEXT(VALUE(SUBSTITUTE(SUBSTITUTE(TRIM(INDEX(MASTER!$M:$M,MATCH("Cryovial box 9: "&amp;($A114&amp;D$106),MASTER!$L:$L,0))),"ml",""),":",".")),"0.00")&amp;"_"&amp;TEXT(INDEX(MASTER!$E:$E,MATCH("Cryovial box 9: "&amp;($A114&amp;D$106),MASTER!$L:$L,0)),"mmddyy"),"")</f>
        <v/>
      </c>
      <c r="E114" s="4" t="str">
        <f>IFERROR(INDEX(MASTER!$A:$A,MATCH("Cryovial box 9: "&amp;($A114&amp;E$106),MASTER!$L:$L,0))&amp;"_ser_"&amp;TEXT(VALUE(SUBSTITUTE(SUBSTITUTE(TRIM(INDEX(MASTER!$M:$M,MATCH("Cryovial box 9: "&amp;($A114&amp;E$106),MASTER!$L:$L,0))),"ml",""),":",".")),"0.00")&amp;"_"&amp;TEXT(INDEX(MASTER!$E:$E,MATCH("Cryovial box 9: "&amp;($A114&amp;E$106),MASTER!$L:$L,0)),"mmddyy"),"")</f>
        <v/>
      </c>
      <c r="F114" s="4" t="str">
        <f>IFERROR(INDEX(MASTER!$A:$A,MATCH("Cryovial box 9: "&amp;($A114&amp;F$106),MASTER!$L:$L,0))&amp;"_ser_"&amp;TEXT(VALUE(SUBSTITUTE(SUBSTITUTE(TRIM(INDEX(MASTER!$M:$M,MATCH("Cryovial box 9: "&amp;($A114&amp;F$106),MASTER!$L:$L,0))),"ml",""),":",".")),"0.00")&amp;"_"&amp;TEXT(INDEX(MASTER!$E:$E,MATCH("Cryovial box 9: "&amp;($A114&amp;F$106),MASTER!$L:$L,0)),"mmddyy"),"")</f>
        <v/>
      </c>
      <c r="G114" s="4" t="str">
        <f>IFERROR(INDEX(MASTER!$A:$A,MATCH("Cryovial box 9: "&amp;($A114&amp;G$106),MASTER!$L:$L,0))&amp;"_ser_"&amp;TEXT(VALUE(SUBSTITUTE(SUBSTITUTE(TRIM(INDEX(MASTER!$M:$M,MATCH("Cryovial box 9: "&amp;($A114&amp;G$106),MASTER!$L:$L,0))),"ml",""),":",".")),"0.00")&amp;"_"&amp;TEXT(INDEX(MASTER!$E:$E,MATCH("Cryovial box 9: "&amp;($A114&amp;G$106),MASTER!$L:$L,0)),"mmddyy"),"")</f>
        <v/>
      </c>
      <c r="H114" s="4" t="str">
        <f>IFERROR(INDEX(MASTER!$A:$A,MATCH("Cryovial box 9: "&amp;($A114&amp;H$106),MASTER!$L:$L,0))&amp;"_ser_"&amp;TEXT(VALUE(SUBSTITUTE(SUBSTITUTE(TRIM(INDEX(MASTER!$M:$M,MATCH("Cryovial box 9: "&amp;($A114&amp;H$106),MASTER!$L:$L,0))),"ml",""),":",".")),"0.00")&amp;"_"&amp;TEXT(INDEX(MASTER!$E:$E,MATCH("Cryovial box 9: "&amp;($A114&amp;H$106),MASTER!$L:$L,0)),"mmddyy"),"")</f>
        <v/>
      </c>
      <c r="I114" s="4" t="str">
        <f>IFERROR(INDEX(MASTER!$A:$A,MATCH("Cryovial box 9: "&amp;($A114&amp;I$106),MASTER!$L:$L,0))&amp;"_ser_"&amp;TEXT(VALUE(SUBSTITUTE(SUBSTITUTE(TRIM(INDEX(MASTER!$M:$M,MATCH("Cryovial box 9: "&amp;($A114&amp;I$106),MASTER!$L:$L,0))),"ml",""),":",".")),"0.00")&amp;"_"&amp;TEXT(INDEX(MASTER!$E:$E,MATCH("Cryovial box 9: "&amp;($A114&amp;I$106),MASTER!$L:$L,0)),"mmddyy"),"")</f>
        <v/>
      </c>
      <c r="J114" s="4" t="str">
        <f>IFERROR(INDEX(MASTER!$A:$A,MATCH("Cryovial box 9: "&amp;($A114&amp;J$106),MASTER!$L:$L,0))&amp;"_ser_"&amp;TEXT(VALUE(SUBSTITUTE(SUBSTITUTE(TRIM(INDEX(MASTER!$M:$M,MATCH("Cryovial box 9: "&amp;($A114&amp;J$106),MASTER!$L:$L,0))),"ml",""),":",".")),"0.00")&amp;"_"&amp;TEXT(INDEX(MASTER!$E:$E,MATCH("Cryovial box 9: "&amp;($A114&amp;J$106),MASTER!$L:$L,0)),"mmddyy"),"")</f>
        <v/>
      </c>
      <c r="K114" s="4" t="str">
        <f>IFERROR(INDEX(MASTER!$A:$A,MATCH("Cryovial box 9: "&amp;($A114&amp;K$106),MASTER!$L:$L,0))&amp;"_ser_"&amp;TEXT(VALUE(SUBSTITUTE(SUBSTITUTE(TRIM(INDEX(MASTER!$M:$M,MATCH("Cryovial box 9: "&amp;($A114&amp;K$106),MASTER!$L:$L,0))),"ml",""),":",".")),"0.00")&amp;"_"&amp;TEXT(INDEX(MASTER!$E:$E,MATCH("Cryovial box 9: "&amp;($A114&amp;K$106),MASTER!$L:$L,0)),"mmddyy"),"")</f>
        <v/>
      </c>
    </row>
    <row r="115" spans="1:11" ht="15" customHeight="1" x14ac:dyDescent="0.3">
      <c r="A115" s="6" t="s">
        <v>100</v>
      </c>
      <c r="B115" s="4" t="str">
        <f>IFERROR(INDEX(MASTER!$A:$A,MATCH("Cryovial box 9: "&amp;($A115&amp;B$106),MASTER!$L:$L,0))&amp;"_ser_"&amp;TEXT(VALUE(SUBSTITUTE(SUBSTITUTE(TRIM(INDEX(MASTER!$M:$M,MATCH("Cryovial box 9: "&amp;($A115&amp;B$106),MASTER!$L:$L,0))),"ml",""),":",".")),"0.00")&amp;"_"&amp;TEXT(INDEX(MASTER!$E:$E,MATCH("Cryovial box 9: "&amp;($A115&amp;B$106),MASTER!$L:$L,0)),"mmddyy"),"")</f>
        <v/>
      </c>
      <c r="C115" s="4" t="str">
        <f>IFERROR(INDEX(MASTER!$A:$A,MATCH("Cryovial box 9: "&amp;($A115&amp;C$106),MASTER!$L:$L,0))&amp;"_ser_"&amp;TEXT(VALUE(SUBSTITUTE(SUBSTITUTE(TRIM(INDEX(MASTER!$M:$M,MATCH("Cryovial box 9: "&amp;($A115&amp;C$106),MASTER!$L:$L,0))),"ml",""),":",".")),"0.00")&amp;"_"&amp;TEXT(INDEX(MASTER!$E:$E,MATCH("Cryovial box 9: "&amp;($A115&amp;C$106),MASTER!$L:$L,0)),"mmddyy"),"")</f>
        <v/>
      </c>
      <c r="D115" s="4" t="str">
        <f>IFERROR(INDEX(MASTER!$A:$A,MATCH("Cryovial box 9: "&amp;($A115&amp;D$106),MASTER!$L:$L,0))&amp;"_ser_"&amp;TEXT(VALUE(SUBSTITUTE(SUBSTITUTE(TRIM(INDEX(MASTER!$M:$M,MATCH("Cryovial box 9: "&amp;($A115&amp;D$106),MASTER!$L:$L,0))),"ml",""),":",".")),"0.00")&amp;"_"&amp;TEXT(INDEX(MASTER!$E:$E,MATCH("Cryovial box 9: "&amp;($A115&amp;D$106),MASTER!$L:$L,0)),"mmddyy"),"")</f>
        <v/>
      </c>
      <c r="E115" s="4" t="str">
        <f>IFERROR(INDEX(MASTER!$A:$A,MATCH("Cryovial box 9: "&amp;($A115&amp;E$106),MASTER!$L:$L,0))&amp;"_ser_"&amp;TEXT(VALUE(SUBSTITUTE(SUBSTITUTE(TRIM(INDEX(MASTER!$M:$M,MATCH("Cryovial box 9: "&amp;($A115&amp;E$106),MASTER!$L:$L,0))),"ml",""),":",".")),"0.00")&amp;"_"&amp;TEXT(INDEX(MASTER!$E:$E,MATCH("Cryovial box 9: "&amp;($A115&amp;E$106),MASTER!$L:$L,0)),"mmddyy"),"")</f>
        <v/>
      </c>
      <c r="F115" s="4" t="str">
        <f>IFERROR(INDEX(MASTER!$A:$A,MATCH("Cryovial box 9: "&amp;($A115&amp;F$106),MASTER!$L:$L,0))&amp;"_ser_"&amp;TEXT(VALUE(SUBSTITUTE(SUBSTITUTE(TRIM(INDEX(MASTER!$M:$M,MATCH("Cryovial box 9: "&amp;($A115&amp;F$106),MASTER!$L:$L,0))),"ml",""),":",".")),"0.00")&amp;"_"&amp;TEXT(INDEX(MASTER!$E:$E,MATCH("Cryovial box 9: "&amp;($A115&amp;F$106),MASTER!$L:$L,0)),"mmddyy"),"")</f>
        <v/>
      </c>
      <c r="G115" s="4" t="str">
        <f>IFERROR(INDEX(MASTER!$A:$A,MATCH("Cryovial box 9: "&amp;($A115&amp;G$106),MASTER!$L:$L,0))&amp;"_ser_"&amp;TEXT(VALUE(SUBSTITUTE(SUBSTITUTE(TRIM(INDEX(MASTER!$M:$M,MATCH("Cryovial box 9: "&amp;($A115&amp;G$106),MASTER!$L:$L,0))),"ml",""),":",".")),"0.00")&amp;"_"&amp;TEXT(INDEX(MASTER!$E:$E,MATCH("Cryovial box 9: "&amp;($A115&amp;G$106),MASTER!$L:$L,0)),"mmddyy"),"")</f>
        <v/>
      </c>
      <c r="H115" s="4" t="str">
        <f>IFERROR(INDEX(MASTER!$A:$A,MATCH("Cryovial box 9: "&amp;($A115&amp;H$106),MASTER!$L:$L,0))&amp;"_ser_"&amp;TEXT(VALUE(SUBSTITUTE(SUBSTITUTE(TRIM(INDEX(MASTER!$M:$M,MATCH("Cryovial box 9: "&amp;($A115&amp;H$106),MASTER!$L:$L,0))),"ml",""),":",".")),"0.00")&amp;"_"&amp;TEXT(INDEX(MASTER!$E:$E,MATCH("Cryovial box 9: "&amp;($A115&amp;H$106),MASTER!$L:$L,0)),"mmddyy"),"")</f>
        <v/>
      </c>
      <c r="I115" s="4" t="str">
        <f>IFERROR(INDEX(MASTER!$A:$A,MATCH("Cryovial box 9: "&amp;($A115&amp;I$106),MASTER!$L:$L,0))&amp;"_ser_"&amp;TEXT(VALUE(SUBSTITUTE(SUBSTITUTE(TRIM(INDEX(MASTER!$M:$M,MATCH("Cryovial box 9: "&amp;($A115&amp;I$106),MASTER!$L:$L,0))),"ml",""),":",".")),"0.00")&amp;"_"&amp;TEXT(INDEX(MASTER!$E:$E,MATCH("Cryovial box 9: "&amp;($A115&amp;I$106),MASTER!$L:$L,0)),"mmddyy"),"")</f>
        <v/>
      </c>
      <c r="J115" s="4" t="str">
        <f>IFERROR(INDEX(MASTER!$A:$A,MATCH("Cryovial box 9: "&amp;($A115&amp;J$106),MASTER!$L:$L,0))&amp;"_ser_"&amp;TEXT(VALUE(SUBSTITUTE(SUBSTITUTE(TRIM(INDEX(MASTER!$M:$M,MATCH("Cryovial box 9: "&amp;($A115&amp;J$106),MASTER!$L:$L,0))),"ml",""),":",".")),"0.00")&amp;"_"&amp;TEXT(INDEX(MASTER!$E:$E,MATCH("Cryovial box 9: "&amp;($A115&amp;J$106),MASTER!$L:$L,0)),"mmddyy"),"")</f>
        <v/>
      </c>
      <c r="K115" s="4" t="str">
        <f>IFERROR(INDEX(MASTER!$A:$A,MATCH("Cryovial box 9: "&amp;($A115&amp;K$106),MASTER!$L:$L,0))&amp;"_ser_"&amp;TEXT(VALUE(SUBSTITUTE(SUBSTITUTE(TRIM(INDEX(MASTER!$M:$M,MATCH("Cryovial box 9: "&amp;($A115&amp;K$106),MASTER!$L:$L,0))),"ml",""),":",".")),"0.00")&amp;"_"&amp;TEXT(INDEX(MASTER!$E:$E,MATCH("Cryovial box 9: "&amp;($A115&amp;K$106),MASTER!$L:$L,0)),"mmddyy"),"")</f>
        <v/>
      </c>
    </row>
    <row r="116" spans="1:11" ht="15" customHeight="1" x14ac:dyDescent="0.3">
      <c r="A116" s="6" t="s">
        <v>101</v>
      </c>
      <c r="B116" s="4" t="str">
        <f>IFERROR(INDEX(MASTER!$A:$A,MATCH("Cryovial box 9: "&amp;($A116&amp;B$106),MASTER!$L:$L,0))&amp;"_ser_"&amp;TEXT(VALUE(SUBSTITUTE(SUBSTITUTE(TRIM(INDEX(MASTER!$M:$M,MATCH("Cryovial box 9: "&amp;($A116&amp;B$106),MASTER!$L:$L,0))),"ml",""),":",".")),"0.00")&amp;"_"&amp;TEXT(INDEX(MASTER!$E:$E,MATCH("Cryovial box 9: "&amp;($A116&amp;B$106),MASTER!$L:$L,0)),"mmddyy"),"")</f>
        <v/>
      </c>
      <c r="C116" s="4" t="str">
        <f>IFERROR(INDEX(MASTER!$A:$A,MATCH("Cryovial box 9: "&amp;($A116&amp;C$106),MASTER!$L:$L,0))&amp;"_ser_"&amp;TEXT(VALUE(SUBSTITUTE(SUBSTITUTE(TRIM(INDEX(MASTER!$M:$M,MATCH("Cryovial box 9: "&amp;($A116&amp;C$106),MASTER!$L:$L,0))),"ml",""),":",".")),"0.00")&amp;"_"&amp;TEXT(INDEX(MASTER!$E:$E,MATCH("Cryovial box 9: "&amp;($A116&amp;C$106),MASTER!$L:$L,0)),"mmddyy"),"")</f>
        <v/>
      </c>
      <c r="D116" s="4" t="str">
        <f>IFERROR(INDEX(MASTER!$A:$A,MATCH("Cryovial box 9: "&amp;($A116&amp;D$106),MASTER!$L:$L,0))&amp;"_ser_"&amp;TEXT(VALUE(SUBSTITUTE(SUBSTITUTE(TRIM(INDEX(MASTER!$M:$M,MATCH("Cryovial box 9: "&amp;($A116&amp;D$106),MASTER!$L:$L,0))),"ml",""),":",".")),"0.00")&amp;"_"&amp;TEXT(INDEX(MASTER!$E:$E,MATCH("Cryovial box 9: "&amp;($A116&amp;D$106),MASTER!$L:$L,0)),"mmddyy"),"")</f>
        <v/>
      </c>
      <c r="E116" s="4" t="str">
        <f>IFERROR(INDEX(MASTER!$A:$A,MATCH("Cryovial box 9: "&amp;($A116&amp;E$106),MASTER!$L:$L,0))&amp;"_ser_"&amp;TEXT(VALUE(SUBSTITUTE(SUBSTITUTE(TRIM(INDEX(MASTER!$M:$M,MATCH("Cryovial box 9: "&amp;($A116&amp;E$106),MASTER!$L:$L,0))),"ml",""),":",".")),"0.00")&amp;"_"&amp;TEXT(INDEX(MASTER!$E:$E,MATCH("Cryovial box 9: "&amp;($A116&amp;E$106),MASTER!$L:$L,0)),"mmddyy"),"")</f>
        <v/>
      </c>
      <c r="F116" s="4" t="str">
        <f>IFERROR(INDEX(MASTER!$A:$A,MATCH("Cryovial box 9: "&amp;($A116&amp;F$106),MASTER!$L:$L,0))&amp;"_ser_"&amp;TEXT(VALUE(SUBSTITUTE(SUBSTITUTE(TRIM(INDEX(MASTER!$M:$M,MATCH("Cryovial box 9: "&amp;($A116&amp;F$106),MASTER!$L:$L,0))),"ml",""),":",".")),"0.00")&amp;"_"&amp;TEXT(INDEX(MASTER!$E:$E,MATCH("Cryovial box 9: "&amp;($A116&amp;F$106),MASTER!$L:$L,0)),"mmddyy"),"")</f>
        <v/>
      </c>
      <c r="G116" s="4" t="str">
        <f>IFERROR(INDEX(MASTER!$A:$A,MATCH("Cryovial box 9: "&amp;($A116&amp;G$106),MASTER!$L:$L,0))&amp;"_ser_"&amp;TEXT(VALUE(SUBSTITUTE(SUBSTITUTE(TRIM(INDEX(MASTER!$M:$M,MATCH("Cryovial box 9: "&amp;($A116&amp;G$106),MASTER!$L:$L,0))),"ml",""),":",".")),"0.00")&amp;"_"&amp;TEXT(INDEX(MASTER!$E:$E,MATCH("Cryovial box 9: "&amp;($A116&amp;G$106),MASTER!$L:$L,0)),"mmddyy"),"")</f>
        <v/>
      </c>
      <c r="H116" s="4" t="str">
        <f>IFERROR(INDEX(MASTER!$A:$A,MATCH("Cryovial box 9: "&amp;($A116&amp;H$106),MASTER!$L:$L,0))&amp;"_ser_"&amp;TEXT(VALUE(SUBSTITUTE(SUBSTITUTE(TRIM(INDEX(MASTER!$M:$M,MATCH("Cryovial box 9: "&amp;($A116&amp;H$106),MASTER!$L:$L,0))),"ml",""),":",".")),"0.00")&amp;"_"&amp;TEXT(INDEX(MASTER!$E:$E,MATCH("Cryovial box 9: "&amp;($A116&amp;H$106),MASTER!$L:$L,0)),"mmddyy"),"")</f>
        <v/>
      </c>
      <c r="I116" s="4" t="str">
        <f>IFERROR(INDEX(MASTER!$A:$A,MATCH("Cryovial box 9: "&amp;($A116&amp;I$106),MASTER!$L:$L,0))&amp;"_ser_"&amp;TEXT(VALUE(SUBSTITUTE(SUBSTITUTE(TRIM(INDEX(MASTER!$M:$M,MATCH("Cryovial box 9: "&amp;($A116&amp;I$106),MASTER!$L:$L,0))),"ml",""),":",".")),"0.00")&amp;"_"&amp;TEXT(INDEX(MASTER!$E:$E,MATCH("Cryovial box 9: "&amp;($A116&amp;I$106),MASTER!$L:$L,0)),"mmddyy"),"")</f>
        <v/>
      </c>
      <c r="J116" s="4" t="str">
        <f>IFERROR(INDEX(MASTER!$A:$A,MATCH("Cryovial box 9: "&amp;($A116&amp;J$106),MASTER!$L:$L,0))&amp;"_ser_"&amp;TEXT(VALUE(SUBSTITUTE(SUBSTITUTE(TRIM(INDEX(MASTER!$M:$M,MATCH("Cryovial box 9: "&amp;($A116&amp;J$106),MASTER!$L:$L,0))),"ml",""),":",".")),"0.00")&amp;"_"&amp;TEXT(INDEX(MASTER!$E:$E,MATCH("Cryovial box 9: "&amp;($A116&amp;J$106),MASTER!$L:$L,0)),"mmddyy"),"")</f>
        <v/>
      </c>
      <c r="K116" s="4" t="str">
        <f>IFERROR(INDEX(MASTER!$A:$A,MATCH("Cryovial box 9: "&amp;($A116&amp;K$106),MASTER!$L:$L,0))&amp;"_ser_"&amp;TEXT(VALUE(SUBSTITUTE(SUBSTITUTE(TRIM(INDEX(MASTER!$M:$M,MATCH("Cryovial box 9: "&amp;($A116&amp;K$106),MASTER!$L:$L,0))),"ml",""),":",".")),"0.00")&amp;"_"&amp;TEXT(INDEX(MASTER!$E:$E,MATCH("Cryovial box 9: "&amp;($A116&amp;K$106),MASTER!$L:$L,0)),"mmddyy"),"")</f>
        <v/>
      </c>
    </row>
    <row r="117" spans="1:11" ht="1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ht="20.149999999999999" customHeight="1" x14ac:dyDescent="0.3">
      <c r="A118" s="5"/>
      <c r="B118" s="31" t="s">
        <v>110</v>
      </c>
      <c r="C118" s="36"/>
      <c r="D118" s="36"/>
      <c r="E118" s="36"/>
      <c r="F118" s="36"/>
      <c r="G118" s="36"/>
      <c r="H118" s="36"/>
      <c r="I118" s="36"/>
      <c r="J118" s="36"/>
      <c r="K118" s="37"/>
    </row>
    <row r="119" spans="1:11" ht="20.149999999999999" customHeight="1" x14ac:dyDescent="0.3">
      <c r="A119" s="5"/>
      <c r="B119" s="6">
        <v>1</v>
      </c>
      <c r="C119" s="6">
        <v>2</v>
      </c>
      <c r="D119" s="6">
        <v>3</v>
      </c>
      <c r="E119" s="6">
        <v>4</v>
      </c>
      <c r="F119" s="6">
        <v>5</v>
      </c>
      <c r="G119" s="6">
        <v>6</v>
      </c>
      <c r="H119" s="6">
        <v>7</v>
      </c>
      <c r="I119" s="6">
        <v>8</v>
      </c>
      <c r="J119" s="6">
        <v>9</v>
      </c>
      <c r="K119" s="6">
        <v>10</v>
      </c>
    </row>
    <row r="120" spans="1:11" ht="20.149999999999999" customHeight="1" x14ac:dyDescent="0.3">
      <c r="A120" s="6" t="s">
        <v>30</v>
      </c>
      <c r="B120" s="4" t="str">
        <f>IFERROR(INDEX(MASTER!$A:$A,MATCH("Cryovial box 10: "&amp;($A120&amp;B$119),MASTER!$L:$L,0))&amp;"_ser_"&amp;TEXT(VALUE(SUBSTITUTE(SUBSTITUTE(TRIM(INDEX(MASTER!$M:$M,MATCH("Cryovial box 10: "&amp;($A120&amp;B$119),MASTER!$L:$L,0))),"ml",""),":",".")),"0.00")&amp;"_"&amp;TEXT(INDEX(MASTER!$E:$E,MATCH("Cryovial box 10: "&amp;($A120&amp;B$119),MASTER!$L:$L,0)),"mmddyy"),"")</f>
        <v/>
      </c>
      <c r="C120" s="4" t="str">
        <f>IFERROR(INDEX(MASTER!$A:$A,MATCH("Cryovial box 10: "&amp;($A120&amp;C$119),MASTER!$L:$L,0))&amp;"_ser_"&amp;TEXT(VALUE(SUBSTITUTE(SUBSTITUTE(TRIM(INDEX(MASTER!$M:$M,MATCH("Cryovial box 10: "&amp;($A120&amp;C$119),MASTER!$L:$L,0))),"ml",""),":",".")),"0.00")&amp;"_"&amp;TEXT(INDEX(MASTER!$E:$E,MATCH("Cryovial box 10: "&amp;($A120&amp;C$119),MASTER!$L:$L,0)),"mmddyy"),"")</f>
        <v/>
      </c>
      <c r="D120" s="4" t="str">
        <f>IFERROR(INDEX(MASTER!$A:$A,MATCH("Cryovial box 10: "&amp;($A120&amp;D$119),MASTER!$L:$L,0))&amp;"_ser_"&amp;TEXT(VALUE(SUBSTITUTE(SUBSTITUTE(TRIM(INDEX(MASTER!$M:$M,MATCH("Cryovial box 10: "&amp;($A120&amp;D$119),MASTER!$L:$L,0))),"ml",""),":",".")),"0.00")&amp;"_"&amp;TEXT(INDEX(MASTER!$E:$E,MATCH("Cryovial box 10: "&amp;($A120&amp;D$119),MASTER!$L:$L,0)),"mmddyy"),"")</f>
        <v/>
      </c>
      <c r="E120" s="4" t="str">
        <f>IFERROR(INDEX(MASTER!$A:$A,MATCH("Cryovial box 10: "&amp;($A120&amp;E$119),MASTER!$L:$L,0))&amp;"_ser_"&amp;TEXT(VALUE(SUBSTITUTE(SUBSTITUTE(TRIM(INDEX(MASTER!$M:$M,MATCH("Cryovial box 10: "&amp;($A120&amp;E$119),MASTER!$L:$L,0))),"ml",""),":",".")),"0.00")&amp;"_"&amp;TEXT(INDEX(MASTER!$E:$E,MATCH("Cryovial box 10: "&amp;($A120&amp;E$119),MASTER!$L:$L,0)),"mmddyy"),"")</f>
        <v/>
      </c>
      <c r="F120" s="4" t="str">
        <f>IFERROR(INDEX(MASTER!$A:$A,MATCH("Cryovial box 10: "&amp;($A120&amp;F$119),MASTER!$L:$L,0))&amp;"_ser_"&amp;TEXT(VALUE(SUBSTITUTE(SUBSTITUTE(TRIM(INDEX(MASTER!$M:$M,MATCH("Cryovial box 10: "&amp;($A120&amp;F$119),MASTER!$L:$L,0))),"ml",""),":",".")),"0.00")&amp;"_"&amp;TEXT(INDEX(MASTER!$E:$E,MATCH("Cryovial box 10: "&amp;($A120&amp;F$119),MASTER!$L:$L,0)),"mmddyy"),"")</f>
        <v/>
      </c>
      <c r="G120" s="4" t="str">
        <f>IFERROR(INDEX(MASTER!$A:$A,MATCH("Cryovial box 10: "&amp;($A120&amp;G$119),MASTER!$L:$L,0))&amp;"_ser_"&amp;TEXT(VALUE(SUBSTITUTE(SUBSTITUTE(TRIM(INDEX(MASTER!$M:$M,MATCH("Cryovial box 10: "&amp;($A120&amp;G$119),MASTER!$L:$L,0))),"ml",""),":",".")),"0.00")&amp;"_"&amp;TEXT(INDEX(MASTER!$E:$E,MATCH("Cryovial box 10: "&amp;($A120&amp;G$119),MASTER!$L:$L,0)),"mmddyy"),"")</f>
        <v/>
      </c>
      <c r="H120" s="4" t="str">
        <f>IFERROR(INDEX(MASTER!$A:$A,MATCH("Cryovial box 10: "&amp;($A120&amp;H$119),MASTER!$L:$L,0))&amp;"_ser_"&amp;TEXT(VALUE(SUBSTITUTE(SUBSTITUTE(TRIM(INDEX(MASTER!$M:$M,MATCH("Cryovial box 10: "&amp;($A120&amp;H$119),MASTER!$L:$L,0))),"ml",""),":",".")),"0.00")&amp;"_"&amp;TEXT(INDEX(MASTER!$E:$E,MATCH("Cryovial box 10: "&amp;($A120&amp;H$119),MASTER!$L:$L,0)),"mmddyy"),"")</f>
        <v/>
      </c>
      <c r="I120" s="4" t="str">
        <f>IFERROR(INDEX(MASTER!$A:$A,MATCH("Cryovial box 10: "&amp;($A120&amp;I$119),MASTER!$L:$L,0))&amp;"_ser_"&amp;TEXT(VALUE(SUBSTITUTE(SUBSTITUTE(TRIM(INDEX(MASTER!$M:$M,MATCH("Cryovial box 10: "&amp;($A120&amp;I$119),MASTER!$L:$L,0))),"ml",""),":",".")),"0.00")&amp;"_"&amp;TEXT(INDEX(MASTER!$E:$E,MATCH("Cryovial box 10: "&amp;($A120&amp;I$119),MASTER!$L:$L,0)),"mmddyy"),"")</f>
        <v/>
      </c>
      <c r="J120" s="4" t="str">
        <f>IFERROR(INDEX(MASTER!$A:$A,MATCH("Cryovial box 10: "&amp;($A120&amp;J$119),MASTER!$L:$L,0))&amp;"_ser_"&amp;TEXT(VALUE(SUBSTITUTE(SUBSTITUTE(TRIM(INDEX(MASTER!$M:$M,MATCH("Cryovial box 10: "&amp;($A120&amp;J$119),MASTER!$L:$L,0))),"ml",""),":",".")),"0.00")&amp;"_"&amp;TEXT(INDEX(MASTER!$E:$E,MATCH("Cryovial box 10: "&amp;($A120&amp;J$119),MASTER!$L:$L,0)),"mmddyy"),"")</f>
        <v/>
      </c>
      <c r="K120" s="4" t="str">
        <f>IFERROR(INDEX(MASTER!$A:$A,MATCH("Cryovial box 10: "&amp;($A120&amp;K$119),MASTER!$L:$L,0))&amp;"_ser_"&amp;TEXT(VALUE(SUBSTITUTE(SUBSTITUTE(TRIM(INDEX(MASTER!$M:$M,MATCH("Cryovial box 10: "&amp;($A120&amp;K$119),MASTER!$L:$L,0))),"ml",""),":",".")),"0.00")&amp;"_"&amp;TEXT(INDEX(MASTER!$E:$E,MATCH("Cryovial box 10: "&amp;($A120&amp;K$119),MASTER!$L:$L,0)),"mmddyy"),"")</f>
        <v/>
      </c>
    </row>
    <row r="121" spans="1:11" ht="20.149999999999999" customHeight="1" x14ac:dyDescent="0.3">
      <c r="A121" s="6" t="s">
        <v>31</v>
      </c>
      <c r="B121" s="4" t="str">
        <f>IFERROR(INDEX(MASTER!$A:$A,MATCH("Cryovial box 10: "&amp;($A121&amp;B$119),MASTER!$L:$L,0))&amp;"_ser_"&amp;TEXT(VALUE(SUBSTITUTE(SUBSTITUTE(TRIM(INDEX(MASTER!$M:$M,MATCH("Cryovial box 10: "&amp;($A121&amp;B$119),MASTER!$L:$L,0))),"ml",""),":",".")),"0.00")&amp;"_"&amp;TEXT(INDEX(MASTER!$E:$E,MATCH("Cryovial box 10: "&amp;($A121&amp;B$119),MASTER!$L:$L,0)),"mmddyy"),"")</f>
        <v/>
      </c>
      <c r="C121" s="4" t="str">
        <f>IFERROR(INDEX(MASTER!$A:$A,MATCH("Cryovial box 10: "&amp;($A121&amp;C$119),MASTER!$L:$L,0))&amp;"_ser_"&amp;TEXT(VALUE(SUBSTITUTE(SUBSTITUTE(TRIM(INDEX(MASTER!$M:$M,MATCH("Cryovial box 10: "&amp;($A121&amp;C$119),MASTER!$L:$L,0))),"ml",""),":",".")),"0.00")&amp;"_"&amp;TEXT(INDEX(MASTER!$E:$E,MATCH("Cryovial box 10: "&amp;($A121&amp;C$119),MASTER!$L:$L,0)),"mmddyy"),"")</f>
        <v/>
      </c>
      <c r="D121" s="4" t="str">
        <f>IFERROR(INDEX(MASTER!$A:$A,MATCH("Cryovial box 10: "&amp;($A121&amp;D$119),MASTER!$L:$L,0))&amp;"_ser_"&amp;TEXT(VALUE(SUBSTITUTE(SUBSTITUTE(TRIM(INDEX(MASTER!$M:$M,MATCH("Cryovial box 10: "&amp;($A121&amp;D$119),MASTER!$L:$L,0))),"ml",""),":",".")),"0.00")&amp;"_"&amp;TEXT(INDEX(MASTER!$E:$E,MATCH("Cryovial box 10: "&amp;($A121&amp;D$119),MASTER!$L:$L,0)),"mmddyy"),"")</f>
        <v/>
      </c>
      <c r="E121" s="4" t="str">
        <f>IFERROR(INDEX(MASTER!$A:$A,MATCH("Cryovial box 10: "&amp;($A121&amp;E$119),MASTER!$L:$L,0))&amp;"_ser_"&amp;TEXT(VALUE(SUBSTITUTE(SUBSTITUTE(TRIM(INDEX(MASTER!$M:$M,MATCH("Cryovial box 10: "&amp;($A121&amp;E$119),MASTER!$L:$L,0))),"ml",""),":",".")),"0.00")&amp;"_"&amp;TEXT(INDEX(MASTER!$E:$E,MATCH("Cryovial box 10: "&amp;($A121&amp;E$119),MASTER!$L:$L,0)),"mmddyy"),"")</f>
        <v/>
      </c>
      <c r="F121" s="4" t="str">
        <f>IFERROR(INDEX(MASTER!$A:$A,MATCH("Cryovial box 10: "&amp;($A121&amp;F$119),MASTER!$L:$L,0))&amp;"_ser_"&amp;TEXT(VALUE(SUBSTITUTE(SUBSTITUTE(TRIM(INDEX(MASTER!$M:$M,MATCH("Cryovial box 10: "&amp;($A121&amp;F$119),MASTER!$L:$L,0))),"ml",""),":",".")),"0.00")&amp;"_"&amp;TEXT(INDEX(MASTER!$E:$E,MATCH("Cryovial box 10: "&amp;($A121&amp;F$119),MASTER!$L:$L,0)),"mmddyy"),"")</f>
        <v/>
      </c>
      <c r="G121" s="4" t="str">
        <f>IFERROR(INDEX(MASTER!$A:$A,MATCH("Cryovial box 10: "&amp;($A121&amp;G$119),MASTER!$L:$L,0))&amp;"_ser_"&amp;TEXT(VALUE(SUBSTITUTE(SUBSTITUTE(TRIM(INDEX(MASTER!$M:$M,MATCH("Cryovial box 10: "&amp;($A121&amp;G$119),MASTER!$L:$L,0))),"ml",""),":",".")),"0.00")&amp;"_"&amp;TEXT(INDEX(MASTER!$E:$E,MATCH("Cryovial box 10: "&amp;($A121&amp;G$119),MASTER!$L:$L,0)),"mmddyy"),"")</f>
        <v/>
      </c>
      <c r="H121" s="4" t="str">
        <f>IFERROR(INDEX(MASTER!$A:$A,MATCH("Cryovial box 10: "&amp;($A121&amp;H$119),MASTER!$L:$L,0))&amp;"_ser_"&amp;TEXT(VALUE(SUBSTITUTE(SUBSTITUTE(TRIM(INDEX(MASTER!$M:$M,MATCH("Cryovial box 10: "&amp;($A121&amp;H$119),MASTER!$L:$L,0))),"ml",""),":",".")),"0.00")&amp;"_"&amp;TEXT(INDEX(MASTER!$E:$E,MATCH("Cryovial box 10: "&amp;($A121&amp;H$119),MASTER!$L:$L,0)),"mmddyy"),"")</f>
        <v/>
      </c>
      <c r="I121" s="4" t="str">
        <f>IFERROR(INDEX(MASTER!$A:$A,MATCH("Cryovial box 10: "&amp;($A121&amp;I$119),MASTER!$L:$L,0))&amp;"_ser_"&amp;TEXT(VALUE(SUBSTITUTE(SUBSTITUTE(TRIM(INDEX(MASTER!$M:$M,MATCH("Cryovial box 10: "&amp;($A121&amp;I$119),MASTER!$L:$L,0))),"ml",""),":",".")),"0.00")&amp;"_"&amp;TEXT(INDEX(MASTER!$E:$E,MATCH("Cryovial box 10: "&amp;($A121&amp;I$119),MASTER!$L:$L,0)),"mmddyy"),"")</f>
        <v/>
      </c>
      <c r="J121" s="4" t="str">
        <f>IFERROR(INDEX(MASTER!$A:$A,MATCH("Cryovial box 10: "&amp;($A121&amp;J$119),MASTER!$L:$L,0))&amp;"_ser_"&amp;TEXT(VALUE(SUBSTITUTE(SUBSTITUTE(TRIM(INDEX(MASTER!$M:$M,MATCH("Cryovial box 10: "&amp;($A121&amp;J$119),MASTER!$L:$L,0))),"ml",""),":",".")),"0.00")&amp;"_"&amp;TEXT(INDEX(MASTER!$E:$E,MATCH("Cryovial box 10: "&amp;($A121&amp;J$119),MASTER!$L:$L,0)),"mmddyy"),"")</f>
        <v/>
      </c>
      <c r="K121" s="4" t="str">
        <f>IFERROR(INDEX(MASTER!$A:$A,MATCH("Cryovial box 10: "&amp;($A121&amp;K$119),MASTER!$L:$L,0))&amp;"_ser_"&amp;TEXT(VALUE(SUBSTITUTE(SUBSTITUTE(TRIM(INDEX(MASTER!$M:$M,MATCH("Cryovial box 10: "&amp;($A121&amp;K$119),MASTER!$L:$L,0))),"ml",""),":",".")),"0.00")&amp;"_"&amp;TEXT(INDEX(MASTER!$E:$E,MATCH("Cryovial box 10: "&amp;($A121&amp;K$119),MASTER!$L:$L,0)),"mmddyy"),"")</f>
        <v/>
      </c>
    </row>
    <row r="122" spans="1:11" ht="20.149999999999999" customHeight="1" x14ac:dyDescent="0.3">
      <c r="A122" s="6" t="s">
        <v>32</v>
      </c>
      <c r="B122" s="4" t="str">
        <f>IFERROR(INDEX(MASTER!$A:$A,MATCH("Cryovial box 10: "&amp;($A122&amp;B$119),MASTER!$L:$L,0))&amp;"_ser_"&amp;TEXT(VALUE(SUBSTITUTE(SUBSTITUTE(TRIM(INDEX(MASTER!$M:$M,MATCH("Cryovial box 10: "&amp;($A122&amp;B$119),MASTER!$L:$L,0))),"ml",""),":",".")),"0.00")&amp;"_"&amp;TEXT(INDEX(MASTER!$E:$E,MATCH("Cryovial box 10: "&amp;($A122&amp;B$119),MASTER!$L:$L,0)),"mmddyy"),"")</f>
        <v/>
      </c>
      <c r="C122" s="4" t="str">
        <f>IFERROR(INDEX(MASTER!$A:$A,MATCH("Cryovial box 10: "&amp;($A122&amp;C$119),MASTER!$L:$L,0))&amp;"_ser_"&amp;TEXT(VALUE(SUBSTITUTE(SUBSTITUTE(TRIM(INDEX(MASTER!$M:$M,MATCH("Cryovial box 10: "&amp;($A122&amp;C$119),MASTER!$L:$L,0))),"ml",""),":",".")),"0.00")&amp;"_"&amp;TEXT(INDEX(MASTER!$E:$E,MATCH("Cryovial box 10: "&amp;($A122&amp;C$119),MASTER!$L:$L,0)),"mmddyy"),"")</f>
        <v/>
      </c>
      <c r="D122" s="4" t="str">
        <f>IFERROR(INDEX(MASTER!$A:$A,MATCH("Cryovial box 10: "&amp;($A122&amp;D$119),MASTER!$L:$L,0))&amp;"_ser_"&amp;TEXT(VALUE(SUBSTITUTE(SUBSTITUTE(TRIM(INDEX(MASTER!$M:$M,MATCH("Cryovial box 10: "&amp;($A122&amp;D$119),MASTER!$L:$L,0))),"ml",""),":",".")),"0.00")&amp;"_"&amp;TEXT(INDEX(MASTER!$E:$E,MATCH("Cryovial box 10: "&amp;($A122&amp;D$119),MASTER!$L:$L,0)),"mmddyy"),"")</f>
        <v/>
      </c>
      <c r="E122" s="4" t="str">
        <f>IFERROR(INDEX(MASTER!$A:$A,MATCH("Cryovial box 10: "&amp;($A122&amp;E$119),MASTER!$L:$L,0))&amp;"_ser_"&amp;TEXT(VALUE(SUBSTITUTE(SUBSTITUTE(TRIM(INDEX(MASTER!$M:$M,MATCH("Cryovial box 10: "&amp;($A122&amp;E$119),MASTER!$L:$L,0))),"ml",""),":",".")),"0.00")&amp;"_"&amp;TEXT(INDEX(MASTER!$E:$E,MATCH("Cryovial box 10: "&amp;($A122&amp;E$119),MASTER!$L:$L,0)),"mmddyy"),"")</f>
        <v/>
      </c>
      <c r="F122" s="4" t="str">
        <f>IFERROR(INDEX(MASTER!$A:$A,MATCH("Cryovial box 10: "&amp;($A122&amp;F$119),MASTER!$L:$L,0))&amp;"_ser_"&amp;TEXT(VALUE(SUBSTITUTE(SUBSTITUTE(TRIM(INDEX(MASTER!$M:$M,MATCH("Cryovial box 10: "&amp;($A122&amp;F$119),MASTER!$L:$L,0))),"ml",""),":",".")),"0.00")&amp;"_"&amp;TEXT(INDEX(MASTER!$E:$E,MATCH("Cryovial box 10: "&amp;($A122&amp;F$119),MASTER!$L:$L,0)),"mmddyy"),"")</f>
        <v/>
      </c>
      <c r="G122" s="4" t="str">
        <f>IFERROR(INDEX(MASTER!$A:$A,MATCH("Cryovial box 10: "&amp;($A122&amp;G$119),MASTER!$L:$L,0))&amp;"_ser_"&amp;TEXT(VALUE(SUBSTITUTE(SUBSTITUTE(TRIM(INDEX(MASTER!$M:$M,MATCH("Cryovial box 10: "&amp;($A122&amp;G$119),MASTER!$L:$L,0))),"ml",""),":",".")),"0.00")&amp;"_"&amp;TEXT(INDEX(MASTER!$E:$E,MATCH("Cryovial box 10: "&amp;($A122&amp;G$119),MASTER!$L:$L,0)),"mmddyy"),"")</f>
        <v/>
      </c>
      <c r="H122" s="4" t="str">
        <f>IFERROR(INDEX(MASTER!$A:$A,MATCH("Cryovial box 10: "&amp;($A122&amp;H$119),MASTER!$L:$L,0))&amp;"_ser_"&amp;TEXT(VALUE(SUBSTITUTE(SUBSTITUTE(TRIM(INDEX(MASTER!$M:$M,MATCH("Cryovial box 10: "&amp;($A122&amp;H$119),MASTER!$L:$L,0))),"ml",""),":",".")),"0.00")&amp;"_"&amp;TEXT(INDEX(MASTER!$E:$E,MATCH("Cryovial box 10: "&amp;($A122&amp;H$119),MASTER!$L:$L,0)),"mmddyy"),"")</f>
        <v/>
      </c>
      <c r="I122" s="4" t="str">
        <f>IFERROR(INDEX(MASTER!$A:$A,MATCH("Cryovial box 10: "&amp;($A122&amp;I$119),MASTER!$L:$L,0))&amp;"_ser_"&amp;TEXT(VALUE(SUBSTITUTE(SUBSTITUTE(TRIM(INDEX(MASTER!$M:$M,MATCH("Cryovial box 10: "&amp;($A122&amp;I$119),MASTER!$L:$L,0))),"ml",""),":",".")),"0.00")&amp;"_"&amp;TEXT(INDEX(MASTER!$E:$E,MATCH("Cryovial box 10: "&amp;($A122&amp;I$119),MASTER!$L:$L,0)),"mmddyy"),"")</f>
        <v/>
      </c>
      <c r="J122" s="4" t="str">
        <f>IFERROR(INDEX(MASTER!$A:$A,MATCH("Cryovial box 10: "&amp;($A122&amp;J$119),MASTER!$L:$L,0))&amp;"_ser_"&amp;TEXT(VALUE(SUBSTITUTE(SUBSTITUTE(TRIM(INDEX(MASTER!$M:$M,MATCH("Cryovial box 10: "&amp;($A122&amp;J$119),MASTER!$L:$L,0))),"ml",""),":",".")),"0.00")&amp;"_"&amp;TEXT(INDEX(MASTER!$E:$E,MATCH("Cryovial box 10: "&amp;($A122&amp;J$119),MASTER!$L:$L,0)),"mmddyy"),"")</f>
        <v/>
      </c>
      <c r="K122" s="4" t="str">
        <f>IFERROR(INDEX(MASTER!$A:$A,MATCH("Cryovial box 10: "&amp;($A122&amp;K$119),MASTER!$L:$L,0))&amp;"_ser_"&amp;TEXT(VALUE(SUBSTITUTE(SUBSTITUTE(TRIM(INDEX(MASTER!$M:$M,MATCH("Cryovial box 10: "&amp;($A122&amp;K$119),MASTER!$L:$L,0))),"ml",""),":",".")),"0.00")&amp;"_"&amp;TEXT(INDEX(MASTER!$E:$E,MATCH("Cryovial box 10: "&amp;($A122&amp;K$119),MASTER!$L:$L,0)),"mmddyy"),"")</f>
        <v/>
      </c>
    </row>
    <row r="123" spans="1:11" ht="14.15" customHeight="1" x14ac:dyDescent="0.3">
      <c r="A123" s="6" t="s">
        <v>33</v>
      </c>
      <c r="B123" s="4" t="str">
        <f>IFERROR(INDEX(MASTER!$A:$A,MATCH("Cryovial box 10: "&amp;($A123&amp;B$119),MASTER!$L:$L,0))&amp;"_ser_"&amp;TEXT(VALUE(SUBSTITUTE(SUBSTITUTE(TRIM(INDEX(MASTER!$M:$M,MATCH("Cryovial box 10: "&amp;($A123&amp;B$119),MASTER!$L:$L,0))),"ml",""),":",".")),"0.00")&amp;"_"&amp;TEXT(INDEX(MASTER!$E:$E,MATCH("Cryovial box 10: "&amp;($A123&amp;B$119),MASTER!$L:$L,0)),"mmddyy"),"")</f>
        <v/>
      </c>
      <c r="C123" s="4" t="str">
        <f>IFERROR(INDEX(MASTER!$A:$A,MATCH("Cryovial box 10: "&amp;($A123&amp;C$119),MASTER!$L:$L,0))&amp;"_ser_"&amp;TEXT(VALUE(SUBSTITUTE(SUBSTITUTE(TRIM(INDEX(MASTER!$M:$M,MATCH("Cryovial box 10: "&amp;($A123&amp;C$119),MASTER!$L:$L,0))),"ml",""),":",".")),"0.00")&amp;"_"&amp;TEXT(INDEX(MASTER!$E:$E,MATCH("Cryovial box 10: "&amp;($A123&amp;C$119),MASTER!$L:$L,0)),"mmddyy"),"")</f>
        <v/>
      </c>
      <c r="D123" s="4" t="str">
        <f>IFERROR(INDEX(MASTER!$A:$A,MATCH("Cryovial box 10: "&amp;($A123&amp;D$119),MASTER!$L:$L,0))&amp;"_ser_"&amp;TEXT(VALUE(SUBSTITUTE(SUBSTITUTE(TRIM(INDEX(MASTER!$M:$M,MATCH("Cryovial box 10: "&amp;($A123&amp;D$119),MASTER!$L:$L,0))),"ml",""),":",".")),"0.00")&amp;"_"&amp;TEXT(INDEX(MASTER!$E:$E,MATCH("Cryovial box 10: "&amp;($A123&amp;D$119),MASTER!$L:$L,0)),"mmddyy"),"")</f>
        <v/>
      </c>
      <c r="E123" s="4" t="str">
        <f>IFERROR(INDEX(MASTER!$A:$A,MATCH("Cryovial box 10: "&amp;($A123&amp;E$119),MASTER!$L:$L,0))&amp;"_ser_"&amp;TEXT(VALUE(SUBSTITUTE(SUBSTITUTE(TRIM(INDEX(MASTER!$M:$M,MATCH("Cryovial box 10: "&amp;($A123&amp;E$119),MASTER!$L:$L,0))),"ml",""),":",".")),"0.00")&amp;"_"&amp;TEXT(INDEX(MASTER!$E:$E,MATCH("Cryovial box 10: "&amp;($A123&amp;E$119),MASTER!$L:$L,0)),"mmddyy"),"")</f>
        <v/>
      </c>
      <c r="F123" s="4" t="str">
        <f>IFERROR(INDEX(MASTER!$A:$A,MATCH("Cryovial box 10: "&amp;($A123&amp;F$119),MASTER!$L:$L,0))&amp;"_ser_"&amp;TEXT(VALUE(SUBSTITUTE(SUBSTITUTE(TRIM(INDEX(MASTER!$M:$M,MATCH("Cryovial box 10: "&amp;($A123&amp;F$119),MASTER!$L:$L,0))),"ml",""),":",".")),"0.00")&amp;"_"&amp;TEXT(INDEX(MASTER!$E:$E,MATCH("Cryovial box 10: "&amp;($A123&amp;F$119),MASTER!$L:$L,0)),"mmddyy"),"")</f>
        <v/>
      </c>
      <c r="G123" s="4" t="str">
        <f>IFERROR(INDEX(MASTER!$A:$A,MATCH("Cryovial box 10: "&amp;($A123&amp;G$119),MASTER!$L:$L,0))&amp;"_ser_"&amp;TEXT(VALUE(SUBSTITUTE(SUBSTITUTE(TRIM(INDEX(MASTER!$M:$M,MATCH("Cryovial box 10: "&amp;($A123&amp;G$119),MASTER!$L:$L,0))),"ml",""),":",".")),"0.00")&amp;"_"&amp;TEXT(INDEX(MASTER!$E:$E,MATCH("Cryovial box 10: "&amp;($A123&amp;G$119),MASTER!$L:$L,0)),"mmddyy"),"")</f>
        <v/>
      </c>
      <c r="H123" s="4" t="str">
        <f>IFERROR(INDEX(MASTER!$A:$A,MATCH("Cryovial box 10: "&amp;($A123&amp;H$119),MASTER!$L:$L,0))&amp;"_ser_"&amp;TEXT(VALUE(SUBSTITUTE(SUBSTITUTE(TRIM(INDEX(MASTER!$M:$M,MATCH("Cryovial box 10: "&amp;($A123&amp;H$119),MASTER!$L:$L,0))),"ml",""),":",".")),"0.00")&amp;"_"&amp;TEXT(INDEX(MASTER!$E:$E,MATCH("Cryovial box 10: "&amp;($A123&amp;H$119),MASTER!$L:$L,0)),"mmddyy"),"")</f>
        <v/>
      </c>
      <c r="I123" s="4" t="str">
        <f>IFERROR(INDEX(MASTER!$A:$A,MATCH("Cryovial box 10: "&amp;($A123&amp;I$119),MASTER!$L:$L,0))&amp;"_ser_"&amp;TEXT(VALUE(SUBSTITUTE(SUBSTITUTE(TRIM(INDEX(MASTER!$M:$M,MATCH("Cryovial box 10: "&amp;($A123&amp;I$119),MASTER!$L:$L,0))),"ml",""),":",".")),"0.00")&amp;"_"&amp;TEXT(INDEX(MASTER!$E:$E,MATCH("Cryovial box 10: "&amp;($A123&amp;I$119),MASTER!$L:$L,0)),"mmddyy"),"")</f>
        <v/>
      </c>
      <c r="J123" s="4" t="str">
        <f>IFERROR(INDEX(MASTER!$A:$A,MATCH("Cryovial box 10: "&amp;($A123&amp;J$119),MASTER!$L:$L,0))&amp;"_ser_"&amp;TEXT(VALUE(SUBSTITUTE(SUBSTITUTE(TRIM(INDEX(MASTER!$M:$M,MATCH("Cryovial box 10: "&amp;($A123&amp;J$119),MASTER!$L:$L,0))),"ml",""),":",".")),"0.00")&amp;"_"&amp;TEXT(INDEX(MASTER!$E:$E,MATCH("Cryovial box 10: "&amp;($A123&amp;J$119),MASTER!$L:$L,0)),"mmddyy"),"")</f>
        <v/>
      </c>
      <c r="K123" s="4" t="str">
        <f>IFERROR(INDEX(MASTER!$A:$A,MATCH("Cryovial box 10: "&amp;($A123&amp;K$119),MASTER!$L:$L,0))&amp;"_ser_"&amp;TEXT(VALUE(SUBSTITUTE(SUBSTITUTE(TRIM(INDEX(MASTER!$M:$M,MATCH("Cryovial box 10: "&amp;($A123&amp;K$119),MASTER!$L:$L,0))),"ml",""),":",".")),"0.00")&amp;"_"&amp;TEXT(INDEX(MASTER!$E:$E,MATCH("Cryovial box 10: "&amp;($A123&amp;K$119),MASTER!$L:$L,0)),"mmddyy"),"")</f>
        <v/>
      </c>
    </row>
    <row r="124" spans="1:11" ht="14.15" customHeight="1" x14ac:dyDescent="0.3">
      <c r="A124" s="6" t="s">
        <v>34</v>
      </c>
      <c r="B124" s="4" t="str">
        <f>IFERROR(INDEX(MASTER!$A:$A,MATCH("Cryovial box 10: "&amp;($A124&amp;B$119),MASTER!$L:$L,0))&amp;"_ser_"&amp;TEXT(VALUE(SUBSTITUTE(SUBSTITUTE(TRIM(INDEX(MASTER!$M:$M,MATCH("Cryovial box 10: "&amp;($A124&amp;B$119),MASTER!$L:$L,0))),"ml",""),":",".")),"0.00")&amp;"_"&amp;TEXT(INDEX(MASTER!$E:$E,MATCH("Cryovial box 10: "&amp;($A124&amp;B$119),MASTER!$L:$L,0)),"mmddyy"),"")</f>
        <v/>
      </c>
      <c r="C124" s="4" t="str">
        <f>IFERROR(INDEX(MASTER!$A:$A,MATCH("Cryovial box 10: "&amp;($A124&amp;C$119),MASTER!$L:$L,0))&amp;"_ser_"&amp;TEXT(VALUE(SUBSTITUTE(SUBSTITUTE(TRIM(INDEX(MASTER!$M:$M,MATCH("Cryovial box 10: "&amp;($A124&amp;C$119),MASTER!$L:$L,0))),"ml",""),":",".")),"0.00")&amp;"_"&amp;TEXT(INDEX(MASTER!$E:$E,MATCH("Cryovial box 10: "&amp;($A124&amp;C$119),MASTER!$L:$L,0)),"mmddyy"),"")</f>
        <v/>
      </c>
      <c r="D124" s="4" t="str">
        <f>IFERROR(INDEX(MASTER!$A:$A,MATCH("Cryovial box 10: "&amp;($A124&amp;D$119),MASTER!$L:$L,0))&amp;"_ser_"&amp;TEXT(VALUE(SUBSTITUTE(SUBSTITUTE(TRIM(INDEX(MASTER!$M:$M,MATCH("Cryovial box 10: "&amp;($A124&amp;D$119),MASTER!$L:$L,0))),"ml",""),":",".")),"0.00")&amp;"_"&amp;TEXT(INDEX(MASTER!$E:$E,MATCH("Cryovial box 10: "&amp;($A124&amp;D$119),MASTER!$L:$L,0)),"mmddyy"),"")</f>
        <v/>
      </c>
      <c r="E124" s="4" t="str">
        <f>IFERROR(INDEX(MASTER!$A:$A,MATCH("Cryovial box 10: "&amp;($A124&amp;E$119),MASTER!$L:$L,0))&amp;"_ser_"&amp;TEXT(VALUE(SUBSTITUTE(SUBSTITUTE(TRIM(INDEX(MASTER!$M:$M,MATCH("Cryovial box 10: "&amp;($A124&amp;E$119),MASTER!$L:$L,0))),"ml",""),":",".")),"0.00")&amp;"_"&amp;TEXT(INDEX(MASTER!$E:$E,MATCH("Cryovial box 10: "&amp;($A124&amp;E$119),MASTER!$L:$L,0)),"mmddyy"),"")</f>
        <v/>
      </c>
      <c r="F124" s="4" t="str">
        <f>IFERROR(INDEX(MASTER!$A:$A,MATCH("Cryovial box 10: "&amp;($A124&amp;F$119),MASTER!$L:$L,0))&amp;"_ser_"&amp;TEXT(VALUE(SUBSTITUTE(SUBSTITUTE(TRIM(INDEX(MASTER!$M:$M,MATCH("Cryovial box 10: "&amp;($A124&amp;F$119),MASTER!$L:$L,0))),"ml",""),":",".")),"0.00")&amp;"_"&amp;TEXT(INDEX(MASTER!$E:$E,MATCH("Cryovial box 10: "&amp;($A124&amp;F$119),MASTER!$L:$L,0)),"mmddyy"),"")</f>
        <v/>
      </c>
      <c r="G124" s="4" t="str">
        <f>IFERROR(INDEX(MASTER!$A:$A,MATCH("Cryovial box 10: "&amp;($A124&amp;G$119),MASTER!$L:$L,0))&amp;"_ser_"&amp;TEXT(VALUE(SUBSTITUTE(SUBSTITUTE(TRIM(INDEX(MASTER!$M:$M,MATCH("Cryovial box 10: "&amp;($A124&amp;G$119),MASTER!$L:$L,0))),"ml",""),":",".")),"0.00")&amp;"_"&amp;TEXT(INDEX(MASTER!$E:$E,MATCH("Cryovial box 10: "&amp;($A124&amp;G$119),MASTER!$L:$L,0)),"mmddyy"),"")</f>
        <v/>
      </c>
      <c r="H124" s="4" t="str">
        <f>IFERROR(INDEX(MASTER!$A:$A,MATCH("Cryovial box 10: "&amp;($A124&amp;H$119),MASTER!$L:$L,0))&amp;"_ser_"&amp;TEXT(VALUE(SUBSTITUTE(SUBSTITUTE(TRIM(INDEX(MASTER!$M:$M,MATCH("Cryovial box 10: "&amp;($A124&amp;H$119),MASTER!$L:$L,0))),"ml",""),":",".")),"0.00")&amp;"_"&amp;TEXT(INDEX(MASTER!$E:$E,MATCH("Cryovial box 10: "&amp;($A124&amp;H$119),MASTER!$L:$L,0)),"mmddyy"),"")</f>
        <v/>
      </c>
      <c r="I124" s="4" t="str">
        <f>IFERROR(INDEX(MASTER!$A:$A,MATCH("Cryovial box 10: "&amp;($A124&amp;I$119),MASTER!$L:$L,0))&amp;"_ser_"&amp;TEXT(VALUE(SUBSTITUTE(SUBSTITUTE(TRIM(INDEX(MASTER!$M:$M,MATCH("Cryovial box 10: "&amp;($A124&amp;I$119),MASTER!$L:$L,0))),"ml",""),":",".")),"0.00")&amp;"_"&amp;TEXT(INDEX(MASTER!$E:$E,MATCH("Cryovial box 10: "&amp;($A124&amp;I$119),MASTER!$L:$L,0)),"mmddyy"),"")</f>
        <v/>
      </c>
      <c r="J124" s="4" t="str">
        <f>IFERROR(INDEX(MASTER!$A:$A,MATCH("Cryovial box 10: "&amp;($A124&amp;J$119),MASTER!$L:$L,0))&amp;"_ser_"&amp;TEXT(VALUE(SUBSTITUTE(SUBSTITUTE(TRIM(INDEX(MASTER!$M:$M,MATCH("Cryovial box 10: "&amp;($A124&amp;J$119),MASTER!$L:$L,0))),"ml",""),":",".")),"0.00")&amp;"_"&amp;TEXT(INDEX(MASTER!$E:$E,MATCH("Cryovial box 10: "&amp;($A124&amp;J$119),MASTER!$L:$L,0)),"mmddyy"),"")</f>
        <v/>
      </c>
      <c r="K124" s="4" t="str">
        <f>IFERROR(INDEX(MASTER!$A:$A,MATCH("Cryovial box 10: "&amp;($A124&amp;K$119),MASTER!$L:$L,0))&amp;"_ser_"&amp;TEXT(VALUE(SUBSTITUTE(SUBSTITUTE(TRIM(INDEX(MASTER!$M:$M,MATCH("Cryovial box 10: "&amp;($A124&amp;K$119),MASTER!$L:$L,0))),"ml",""),":",".")),"0.00")&amp;"_"&amp;TEXT(INDEX(MASTER!$E:$E,MATCH("Cryovial box 10: "&amp;($A124&amp;K$119),MASTER!$L:$L,0)),"mmddyy"),"")</f>
        <v/>
      </c>
    </row>
    <row r="125" spans="1:11" ht="14.15" customHeight="1" x14ac:dyDescent="0.3">
      <c r="A125" s="6" t="s">
        <v>15</v>
      </c>
      <c r="B125" s="4" t="str">
        <f>IFERROR(INDEX(MASTER!$A:$A,MATCH("Cryovial box 10: "&amp;($A125&amp;B$119),MASTER!$L:$L,0))&amp;"_ser_"&amp;TEXT(VALUE(SUBSTITUTE(SUBSTITUTE(TRIM(INDEX(MASTER!$M:$M,MATCH("Cryovial box 10: "&amp;($A125&amp;B$119),MASTER!$L:$L,0))),"ml",""),":",".")),"0.00")&amp;"_"&amp;TEXT(INDEX(MASTER!$E:$E,MATCH("Cryovial box 10: "&amp;($A125&amp;B$119),MASTER!$L:$L,0)),"mmddyy"),"")</f>
        <v/>
      </c>
      <c r="C125" s="4" t="str">
        <f>IFERROR(INDEX(MASTER!$A:$A,MATCH("Cryovial box 10: "&amp;($A125&amp;C$119),MASTER!$L:$L,0))&amp;"_ser_"&amp;TEXT(VALUE(SUBSTITUTE(SUBSTITUTE(TRIM(INDEX(MASTER!$M:$M,MATCH("Cryovial box 10: "&amp;($A125&amp;C$119),MASTER!$L:$L,0))),"ml",""),":",".")),"0.00")&amp;"_"&amp;TEXT(INDEX(MASTER!$E:$E,MATCH("Cryovial box 10: "&amp;($A125&amp;C$119),MASTER!$L:$L,0)),"mmddyy"),"")</f>
        <v/>
      </c>
      <c r="D125" s="4" t="str">
        <f>IFERROR(INDEX(MASTER!$A:$A,MATCH("Cryovial box 10: "&amp;($A125&amp;D$119),MASTER!$L:$L,0))&amp;"_ser_"&amp;TEXT(VALUE(SUBSTITUTE(SUBSTITUTE(TRIM(INDEX(MASTER!$M:$M,MATCH("Cryovial box 10: "&amp;($A125&amp;D$119),MASTER!$L:$L,0))),"ml",""),":",".")),"0.00")&amp;"_"&amp;TEXT(INDEX(MASTER!$E:$E,MATCH("Cryovial box 10: "&amp;($A125&amp;D$119),MASTER!$L:$L,0)),"mmddyy"),"")</f>
        <v/>
      </c>
      <c r="E125" s="4" t="str">
        <f>IFERROR(INDEX(MASTER!$A:$A,MATCH("Cryovial box 10: "&amp;($A125&amp;E$119),MASTER!$L:$L,0))&amp;"_ser_"&amp;TEXT(VALUE(SUBSTITUTE(SUBSTITUTE(TRIM(INDEX(MASTER!$M:$M,MATCH("Cryovial box 10: "&amp;($A125&amp;E$119),MASTER!$L:$L,0))),"ml",""),":",".")),"0.00")&amp;"_"&amp;TEXT(INDEX(MASTER!$E:$E,MATCH("Cryovial box 10: "&amp;($A125&amp;E$119),MASTER!$L:$L,0)),"mmddyy"),"")</f>
        <v/>
      </c>
      <c r="F125" s="4" t="str">
        <f>IFERROR(INDEX(MASTER!$A:$A,MATCH("Cryovial box 10: "&amp;($A125&amp;F$119),MASTER!$L:$L,0))&amp;"_ser_"&amp;TEXT(VALUE(SUBSTITUTE(SUBSTITUTE(TRIM(INDEX(MASTER!$M:$M,MATCH("Cryovial box 10: "&amp;($A125&amp;F$119),MASTER!$L:$L,0))),"ml",""),":",".")),"0.00")&amp;"_"&amp;TEXT(INDEX(MASTER!$E:$E,MATCH("Cryovial box 10: "&amp;($A125&amp;F$119),MASTER!$L:$L,0)),"mmddyy"),"")</f>
        <v/>
      </c>
      <c r="G125" s="4" t="str">
        <f>IFERROR(INDEX(MASTER!$A:$A,MATCH("Cryovial box 10: "&amp;($A125&amp;G$119),MASTER!$L:$L,0))&amp;"_ser_"&amp;TEXT(VALUE(SUBSTITUTE(SUBSTITUTE(TRIM(INDEX(MASTER!$M:$M,MATCH("Cryovial box 10: "&amp;($A125&amp;G$119),MASTER!$L:$L,0))),"ml",""),":",".")),"0.00")&amp;"_"&amp;TEXT(INDEX(MASTER!$E:$E,MATCH("Cryovial box 10: "&amp;($A125&amp;G$119),MASTER!$L:$L,0)),"mmddyy"),"")</f>
        <v/>
      </c>
      <c r="H125" s="4" t="str">
        <f>IFERROR(INDEX(MASTER!$A:$A,MATCH("Cryovial box 10: "&amp;($A125&amp;H$119),MASTER!$L:$L,0))&amp;"_ser_"&amp;TEXT(VALUE(SUBSTITUTE(SUBSTITUTE(TRIM(INDEX(MASTER!$M:$M,MATCH("Cryovial box 10: "&amp;($A125&amp;H$119),MASTER!$L:$L,0))),"ml",""),":",".")),"0.00")&amp;"_"&amp;TEXT(INDEX(MASTER!$E:$E,MATCH("Cryovial box 10: "&amp;($A125&amp;H$119),MASTER!$L:$L,0)),"mmddyy"),"")</f>
        <v/>
      </c>
      <c r="I125" s="4" t="str">
        <f>IFERROR(INDEX(MASTER!$A:$A,MATCH("Cryovial box 10: "&amp;($A125&amp;I$119),MASTER!$L:$L,0))&amp;"_ser_"&amp;TEXT(VALUE(SUBSTITUTE(SUBSTITUTE(TRIM(INDEX(MASTER!$M:$M,MATCH("Cryovial box 10: "&amp;($A125&amp;I$119),MASTER!$L:$L,0))),"ml",""),":",".")),"0.00")&amp;"_"&amp;TEXT(INDEX(MASTER!$E:$E,MATCH("Cryovial box 10: "&amp;($A125&amp;I$119),MASTER!$L:$L,0)),"mmddyy"),"")</f>
        <v/>
      </c>
      <c r="J125" s="4" t="str">
        <f>IFERROR(INDEX(MASTER!$A:$A,MATCH("Cryovial box 10: "&amp;($A125&amp;J$119),MASTER!$L:$L,0))&amp;"_ser_"&amp;TEXT(VALUE(SUBSTITUTE(SUBSTITUTE(TRIM(INDEX(MASTER!$M:$M,MATCH("Cryovial box 10: "&amp;($A125&amp;J$119),MASTER!$L:$L,0))),"ml",""),":",".")),"0.00")&amp;"_"&amp;TEXT(INDEX(MASTER!$E:$E,MATCH("Cryovial box 10: "&amp;($A125&amp;J$119),MASTER!$L:$L,0)),"mmddyy"),"")</f>
        <v/>
      </c>
      <c r="K125" s="4" t="str">
        <f>IFERROR(INDEX(MASTER!$A:$A,MATCH("Cryovial box 10: "&amp;($A125&amp;K$119),MASTER!$L:$L,0))&amp;"_ser_"&amp;TEXT(VALUE(SUBSTITUTE(SUBSTITUTE(TRIM(INDEX(MASTER!$M:$M,MATCH("Cryovial box 10: "&amp;($A125&amp;K$119),MASTER!$L:$L,0))),"ml",""),":",".")),"0.00")&amp;"_"&amp;TEXT(INDEX(MASTER!$E:$E,MATCH("Cryovial box 10: "&amp;($A125&amp;K$119),MASTER!$L:$L,0)),"mmddyy"),"")</f>
        <v/>
      </c>
    </row>
    <row r="126" spans="1:11" ht="15" customHeight="1" x14ac:dyDescent="0.3">
      <c r="A126" s="6" t="s">
        <v>35</v>
      </c>
      <c r="B126" s="4" t="str">
        <f>IFERROR(INDEX(MASTER!$A:$A,MATCH("Cryovial box 10: "&amp;($A126&amp;B$119),MASTER!$L:$L,0))&amp;"_ser_"&amp;TEXT(VALUE(SUBSTITUTE(SUBSTITUTE(TRIM(INDEX(MASTER!$M:$M,MATCH("Cryovial box 10: "&amp;($A126&amp;B$119),MASTER!$L:$L,0))),"ml",""),":",".")),"0.00")&amp;"_"&amp;TEXT(INDEX(MASTER!$E:$E,MATCH("Cryovial box 10: "&amp;($A126&amp;B$119),MASTER!$L:$L,0)),"mmddyy"),"")</f>
        <v/>
      </c>
      <c r="C126" s="4" t="str">
        <f>IFERROR(INDEX(MASTER!$A:$A,MATCH("Cryovial box 10: "&amp;($A126&amp;C$119),MASTER!$L:$L,0))&amp;"_ser_"&amp;TEXT(VALUE(SUBSTITUTE(SUBSTITUTE(TRIM(INDEX(MASTER!$M:$M,MATCH("Cryovial box 10: "&amp;($A126&amp;C$119),MASTER!$L:$L,0))),"ml",""),":",".")),"0.00")&amp;"_"&amp;TEXT(INDEX(MASTER!$E:$E,MATCH("Cryovial box 10: "&amp;($A126&amp;C$119),MASTER!$L:$L,0)),"mmddyy"),"")</f>
        <v/>
      </c>
      <c r="D126" s="4" t="str">
        <f>IFERROR(INDEX(MASTER!$A:$A,MATCH("Cryovial box 10: "&amp;($A126&amp;D$119),MASTER!$L:$L,0))&amp;"_ser_"&amp;TEXT(VALUE(SUBSTITUTE(SUBSTITUTE(TRIM(INDEX(MASTER!$M:$M,MATCH("Cryovial box 10: "&amp;($A126&amp;D$119),MASTER!$L:$L,0))),"ml",""),":",".")),"0.00")&amp;"_"&amp;TEXT(INDEX(MASTER!$E:$E,MATCH("Cryovial box 10: "&amp;($A126&amp;D$119),MASTER!$L:$L,0)),"mmddyy"),"")</f>
        <v/>
      </c>
      <c r="E126" s="4" t="str">
        <f>IFERROR(INDEX(MASTER!$A:$A,MATCH("Cryovial box 10: "&amp;($A126&amp;E$119),MASTER!$L:$L,0))&amp;"_ser_"&amp;TEXT(VALUE(SUBSTITUTE(SUBSTITUTE(TRIM(INDEX(MASTER!$M:$M,MATCH("Cryovial box 10: "&amp;($A126&amp;E$119),MASTER!$L:$L,0))),"ml",""),":",".")),"0.00")&amp;"_"&amp;TEXT(INDEX(MASTER!$E:$E,MATCH("Cryovial box 10: "&amp;($A126&amp;E$119),MASTER!$L:$L,0)),"mmddyy"),"")</f>
        <v/>
      </c>
      <c r="F126" s="4" t="str">
        <f>IFERROR(INDEX(MASTER!$A:$A,MATCH("Cryovial box 10: "&amp;($A126&amp;F$119),MASTER!$L:$L,0))&amp;"_ser_"&amp;TEXT(VALUE(SUBSTITUTE(SUBSTITUTE(TRIM(INDEX(MASTER!$M:$M,MATCH("Cryovial box 10: "&amp;($A126&amp;F$119),MASTER!$L:$L,0))),"ml",""),":",".")),"0.00")&amp;"_"&amp;TEXT(INDEX(MASTER!$E:$E,MATCH("Cryovial box 10: "&amp;($A126&amp;F$119),MASTER!$L:$L,0)),"mmddyy"),"")</f>
        <v/>
      </c>
      <c r="G126" s="4" t="str">
        <f>IFERROR(INDEX(MASTER!$A:$A,MATCH("Cryovial box 10: "&amp;($A126&amp;G$119),MASTER!$L:$L,0))&amp;"_ser_"&amp;TEXT(VALUE(SUBSTITUTE(SUBSTITUTE(TRIM(INDEX(MASTER!$M:$M,MATCH("Cryovial box 10: "&amp;($A126&amp;G$119),MASTER!$L:$L,0))),"ml",""),":",".")),"0.00")&amp;"_"&amp;TEXT(INDEX(MASTER!$E:$E,MATCH("Cryovial box 10: "&amp;($A126&amp;G$119),MASTER!$L:$L,0)),"mmddyy"),"")</f>
        <v/>
      </c>
      <c r="H126" s="4" t="str">
        <f>IFERROR(INDEX(MASTER!$A:$A,MATCH("Cryovial box 10: "&amp;($A126&amp;H$119),MASTER!$L:$L,0))&amp;"_ser_"&amp;TEXT(VALUE(SUBSTITUTE(SUBSTITUTE(TRIM(INDEX(MASTER!$M:$M,MATCH("Cryovial box 10: "&amp;($A126&amp;H$119),MASTER!$L:$L,0))),"ml",""),":",".")),"0.00")&amp;"_"&amp;TEXT(INDEX(MASTER!$E:$E,MATCH("Cryovial box 10: "&amp;($A126&amp;H$119),MASTER!$L:$L,0)),"mmddyy"),"")</f>
        <v/>
      </c>
      <c r="I126" s="4" t="str">
        <f>IFERROR(INDEX(MASTER!$A:$A,MATCH("Cryovial box 10: "&amp;($A126&amp;I$119),MASTER!$L:$L,0))&amp;"_ser_"&amp;TEXT(VALUE(SUBSTITUTE(SUBSTITUTE(TRIM(INDEX(MASTER!$M:$M,MATCH("Cryovial box 10: "&amp;($A126&amp;I$119),MASTER!$L:$L,0))),"ml",""),":",".")),"0.00")&amp;"_"&amp;TEXT(INDEX(MASTER!$E:$E,MATCH("Cryovial box 10: "&amp;($A126&amp;I$119),MASTER!$L:$L,0)),"mmddyy"),"")</f>
        <v/>
      </c>
      <c r="J126" s="4" t="str">
        <f>IFERROR(INDEX(MASTER!$A:$A,MATCH("Cryovial box 10: "&amp;($A126&amp;J$119),MASTER!$L:$L,0))&amp;"_ser_"&amp;TEXT(VALUE(SUBSTITUTE(SUBSTITUTE(TRIM(INDEX(MASTER!$M:$M,MATCH("Cryovial box 10: "&amp;($A126&amp;J$119),MASTER!$L:$L,0))),"ml",""),":",".")),"0.00")&amp;"_"&amp;TEXT(INDEX(MASTER!$E:$E,MATCH("Cryovial box 10: "&amp;($A126&amp;J$119),MASTER!$L:$L,0)),"mmddyy"),"")</f>
        <v/>
      </c>
      <c r="K126" s="4" t="str">
        <f>IFERROR(INDEX(MASTER!$A:$A,MATCH("Cryovial box 10: "&amp;($A126&amp;K$119),MASTER!$L:$L,0))&amp;"_ser_"&amp;TEXT(VALUE(SUBSTITUTE(SUBSTITUTE(TRIM(INDEX(MASTER!$M:$M,MATCH("Cryovial box 10: "&amp;($A126&amp;K$119),MASTER!$L:$L,0))),"ml",""),":",".")),"0.00")&amp;"_"&amp;TEXT(INDEX(MASTER!$E:$E,MATCH("Cryovial box 10: "&amp;($A126&amp;K$119),MASTER!$L:$L,0)),"mmddyy"),"")</f>
        <v/>
      </c>
    </row>
    <row r="127" spans="1:11" ht="15" customHeight="1" x14ac:dyDescent="0.3">
      <c r="A127" s="6" t="s">
        <v>36</v>
      </c>
      <c r="B127" s="4" t="str">
        <f>IFERROR(INDEX(MASTER!$A:$A,MATCH("Cryovial box 10: "&amp;($A127&amp;B$119),MASTER!$L:$L,0))&amp;"_ser_"&amp;TEXT(VALUE(SUBSTITUTE(SUBSTITUTE(TRIM(INDEX(MASTER!$M:$M,MATCH("Cryovial box 10: "&amp;($A127&amp;B$119),MASTER!$L:$L,0))),"ml",""),":",".")),"0.00")&amp;"_"&amp;TEXT(INDEX(MASTER!$E:$E,MATCH("Cryovial box 10: "&amp;($A127&amp;B$119),MASTER!$L:$L,0)),"mmddyy"),"")</f>
        <v/>
      </c>
      <c r="C127" s="4" t="str">
        <f>IFERROR(INDEX(MASTER!$A:$A,MATCH("Cryovial box 10: "&amp;($A127&amp;C$119),MASTER!$L:$L,0))&amp;"_ser_"&amp;TEXT(VALUE(SUBSTITUTE(SUBSTITUTE(TRIM(INDEX(MASTER!$M:$M,MATCH("Cryovial box 10: "&amp;($A127&amp;C$119),MASTER!$L:$L,0))),"ml",""),":",".")),"0.00")&amp;"_"&amp;TEXT(INDEX(MASTER!$E:$E,MATCH("Cryovial box 10: "&amp;($A127&amp;C$119),MASTER!$L:$L,0)),"mmddyy"),"")</f>
        <v/>
      </c>
      <c r="D127" s="4" t="str">
        <f>IFERROR(INDEX(MASTER!$A:$A,MATCH("Cryovial box 10: "&amp;($A127&amp;D$119),MASTER!$L:$L,0))&amp;"_ser_"&amp;TEXT(VALUE(SUBSTITUTE(SUBSTITUTE(TRIM(INDEX(MASTER!$M:$M,MATCH("Cryovial box 10: "&amp;($A127&amp;D$119),MASTER!$L:$L,0))),"ml",""),":",".")),"0.00")&amp;"_"&amp;TEXT(INDEX(MASTER!$E:$E,MATCH("Cryovial box 10: "&amp;($A127&amp;D$119),MASTER!$L:$L,0)),"mmddyy"),"")</f>
        <v/>
      </c>
      <c r="E127" s="4" t="str">
        <f>IFERROR(INDEX(MASTER!$A:$A,MATCH("Cryovial box 10: "&amp;($A127&amp;E$119),MASTER!$L:$L,0))&amp;"_ser_"&amp;TEXT(VALUE(SUBSTITUTE(SUBSTITUTE(TRIM(INDEX(MASTER!$M:$M,MATCH("Cryovial box 10: "&amp;($A127&amp;E$119),MASTER!$L:$L,0))),"ml",""),":",".")),"0.00")&amp;"_"&amp;TEXT(INDEX(MASTER!$E:$E,MATCH("Cryovial box 10: "&amp;($A127&amp;E$119),MASTER!$L:$L,0)),"mmddyy"),"")</f>
        <v/>
      </c>
      <c r="F127" s="4" t="str">
        <f>IFERROR(INDEX(MASTER!$A:$A,MATCH("Cryovial box 10: "&amp;($A127&amp;F$119),MASTER!$L:$L,0))&amp;"_ser_"&amp;TEXT(VALUE(SUBSTITUTE(SUBSTITUTE(TRIM(INDEX(MASTER!$M:$M,MATCH("Cryovial box 10: "&amp;($A127&amp;F$119),MASTER!$L:$L,0))),"ml",""),":",".")),"0.00")&amp;"_"&amp;TEXT(INDEX(MASTER!$E:$E,MATCH("Cryovial box 10: "&amp;($A127&amp;F$119),MASTER!$L:$L,0)),"mmddyy"),"")</f>
        <v/>
      </c>
      <c r="G127" s="4" t="str">
        <f>IFERROR(INDEX(MASTER!$A:$A,MATCH("Cryovial box 10: "&amp;($A127&amp;G$119),MASTER!$L:$L,0))&amp;"_ser_"&amp;TEXT(VALUE(SUBSTITUTE(SUBSTITUTE(TRIM(INDEX(MASTER!$M:$M,MATCH("Cryovial box 10: "&amp;($A127&amp;G$119),MASTER!$L:$L,0))),"ml",""),":",".")),"0.00")&amp;"_"&amp;TEXT(INDEX(MASTER!$E:$E,MATCH("Cryovial box 10: "&amp;($A127&amp;G$119),MASTER!$L:$L,0)),"mmddyy"),"")</f>
        <v/>
      </c>
      <c r="H127" s="4" t="str">
        <f>IFERROR(INDEX(MASTER!$A:$A,MATCH("Cryovial box 10: "&amp;($A127&amp;H$119),MASTER!$L:$L,0))&amp;"_ser_"&amp;TEXT(VALUE(SUBSTITUTE(SUBSTITUTE(TRIM(INDEX(MASTER!$M:$M,MATCH("Cryovial box 10: "&amp;($A127&amp;H$119),MASTER!$L:$L,0))),"ml",""),":",".")),"0.00")&amp;"_"&amp;TEXT(INDEX(MASTER!$E:$E,MATCH("Cryovial box 10: "&amp;($A127&amp;H$119),MASTER!$L:$L,0)),"mmddyy"),"")</f>
        <v/>
      </c>
      <c r="I127" s="4" t="str">
        <f>IFERROR(INDEX(MASTER!$A:$A,MATCH("Cryovial box 10: "&amp;($A127&amp;I$119),MASTER!$L:$L,0))&amp;"_ser_"&amp;TEXT(VALUE(SUBSTITUTE(SUBSTITUTE(TRIM(INDEX(MASTER!$M:$M,MATCH("Cryovial box 10: "&amp;($A127&amp;I$119),MASTER!$L:$L,0))),"ml",""),":",".")),"0.00")&amp;"_"&amp;TEXT(INDEX(MASTER!$E:$E,MATCH("Cryovial box 10: "&amp;($A127&amp;I$119),MASTER!$L:$L,0)),"mmddyy"),"")</f>
        <v/>
      </c>
      <c r="J127" s="4" t="str">
        <f>IFERROR(INDEX(MASTER!$A:$A,MATCH("Cryovial box 10: "&amp;($A127&amp;J$119),MASTER!$L:$L,0))&amp;"_ser_"&amp;TEXT(VALUE(SUBSTITUTE(SUBSTITUTE(TRIM(INDEX(MASTER!$M:$M,MATCH("Cryovial box 10: "&amp;($A127&amp;J$119),MASTER!$L:$L,0))),"ml",""),":",".")),"0.00")&amp;"_"&amp;TEXT(INDEX(MASTER!$E:$E,MATCH("Cryovial box 10: "&amp;($A127&amp;J$119),MASTER!$L:$L,0)),"mmddyy"),"")</f>
        <v/>
      </c>
      <c r="K127" s="4" t="str">
        <f>IFERROR(INDEX(MASTER!$A:$A,MATCH("Cryovial box 10: "&amp;($A127&amp;K$119),MASTER!$L:$L,0))&amp;"_ser_"&amp;TEXT(VALUE(SUBSTITUTE(SUBSTITUTE(TRIM(INDEX(MASTER!$M:$M,MATCH("Cryovial box 10: "&amp;($A127&amp;K$119),MASTER!$L:$L,0))),"ml",""),":",".")),"0.00")&amp;"_"&amp;TEXT(INDEX(MASTER!$E:$E,MATCH("Cryovial box 10: "&amp;($A127&amp;K$119),MASTER!$L:$L,0)),"mmddyy"),"")</f>
        <v/>
      </c>
    </row>
    <row r="128" spans="1:11" ht="15" customHeight="1" x14ac:dyDescent="0.3">
      <c r="A128" s="6" t="s">
        <v>100</v>
      </c>
      <c r="B128" s="4" t="str">
        <f>IFERROR(INDEX(MASTER!$A:$A,MATCH("Cryovial box 10: "&amp;($A128&amp;B$119),MASTER!$L:$L,0))&amp;"_ser_"&amp;TEXT(VALUE(SUBSTITUTE(SUBSTITUTE(TRIM(INDEX(MASTER!$M:$M,MATCH("Cryovial box 10: "&amp;($A128&amp;B$119),MASTER!$L:$L,0))),"ml",""),":",".")),"0.00")&amp;"_"&amp;TEXT(INDEX(MASTER!$E:$E,MATCH("Cryovial box 10: "&amp;($A128&amp;B$119),MASTER!$L:$L,0)),"mmddyy"),"")</f>
        <v/>
      </c>
      <c r="C128" s="4" t="str">
        <f>IFERROR(INDEX(MASTER!$A:$A,MATCH("Cryovial box 10: "&amp;($A128&amp;C$119),MASTER!$L:$L,0))&amp;"_ser_"&amp;TEXT(VALUE(SUBSTITUTE(SUBSTITUTE(TRIM(INDEX(MASTER!$M:$M,MATCH("Cryovial box 10: "&amp;($A128&amp;C$119),MASTER!$L:$L,0))),"ml",""),":",".")),"0.00")&amp;"_"&amp;TEXT(INDEX(MASTER!$E:$E,MATCH("Cryovial box 10: "&amp;($A128&amp;C$119),MASTER!$L:$L,0)),"mmddyy"),"")</f>
        <v/>
      </c>
      <c r="D128" s="4" t="str">
        <f>IFERROR(INDEX(MASTER!$A:$A,MATCH("Cryovial box 10: "&amp;($A128&amp;D$119),MASTER!$L:$L,0))&amp;"_ser_"&amp;TEXT(VALUE(SUBSTITUTE(SUBSTITUTE(TRIM(INDEX(MASTER!$M:$M,MATCH("Cryovial box 10: "&amp;($A128&amp;D$119),MASTER!$L:$L,0))),"ml",""),":",".")),"0.00")&amp;"_"&amp;TEXT(INDEX(MASTER!$E:$E,MATCH("Cryovial box 10: "&amp;($A128&amp;D$119),MASTER!$L:$L,0)),"mmddyy"),"")</f>
        <v/>
      </c>
      <c r="E128" s="4" t="str">
        <f>IFERROR(INDEX(MASTER!$A:$A,MATCH("Cryovial box 10: "&amp;($A128&amp;E$119),MASTER!$L:$L,0))&amp;"_ser_"&amp;TEXT(VALUE(SUBSTITUTE(SUBSTITUTE(TRIM(INDEX(MASTER!$M:$M,MATCH("Cryovial box 10: "&amp;($A128&amp;E$119),MASTER!$L:$L,0))),"ml",""),":",".")),"0.00")&amp;"_"&amp;TEXT(INDEX(MASTER!$E:$E,MATCH("Cryovial box 10: "&amp;($A128&amp;E$119),MASTER!$L:$L,0)),"mmddyy"),"")</f>
        <v/>
      </c>
      <c r="F128" s="4" t="str">
        <f>IFERROR(INDEX(MASTER!$A:$A,MATCH("Cryovial box 10: "&amp;($A128&amp;F$119),MASTER!$L:$L,0))&amp;"_ser_"&amp;TEXT(VALUE(SUBSTITUTE(SUBSTITUTE(TRIM(INDEX(MASTER!$M:$M,MATCH("Cryovial box 10: "&amp;($A128&amp;F$119),MASTER!$L:$L,0))),"ml",""),":",".")),"0.00")&amp;"_"&amp;TEXT(INDEX(MASTER!$E:$E,MATCH("Cryovial box 10: "&amp;($A128&amp;F$119),MASTER!$L:$L,0)),"mmddyy"),"")</f>
        <v/>
      </c>
      <c r="G128" s="4" t="str">
        <f>IFERROR(INDEX(MASTER!$A:$A,MATCH("Cryovial box 10: "&amp;($A128&amp;G$119),MASTER!$L:$L,0))&amp;"_ser_"&amp;TEXT(VALUE(SUBSTITUTE(SUBSTITUTE(TRIM(INDEX(MASTER!$M:$M,MATCH("Cryovial box 10: "&amp;($A128&amp;G$119),MASTER!$L:$L,0))),"ml",""),":",".")),"0.00")&amp;"_"&amp;TEXT(INDEX(MASTER!$E:$E,MATCH("Cryovial box 10: "&amp;($A128&amp;G$119),MASTER!$L:$L,0)),"mmddyy"),"")</f>
        <v/>
      </c>
      <c r="H128" s="4" t="str">
        <f>IFERROR(INDEX(MASTER!$A:$A,MATCH("Cryovial box 10: "&amp;($A128&amp;H$119),MASTER!$L:$L,0))&amp;"_ser_"&amp;TEXT(VALUE(SUBSTITUTE(SUBSTITUTE(TRIM(INDEX(MASTER!$M:$M,MATCH("Cryovial box 10: "&amp;($A128&amp;H$119),MASTER!$L:$L,0))),"ml",""),":",".")),"0.00")&amp;"_"&amp;TEXT(INDEX(MASTER!$E:$E,MATCH("Cryovial box 10: "&amp;($A128&amp;H$119),MASTER!$L:$L,0)),"mmddyy"),"")</f>
        <v/>
      </c>
      <c r="I128" s="4" t="str">
        <f>IFERROR(INDEX(MASTER!$A:$A,MATCH("Cryovial box 10: "&amp;($A128&amp;I$119),MASTER!$L:$L,0))&amp;"_ser_"&amp;TEXT(VALUE(SUBSTITUTE(SUBSTITUTE(TRIM(INDEX(MASTER!$M:$M,MATCH("Cryovial box 10: "&amp;($A128&amp;I$119),MASTER!$L:$L,0))),"ml",""),":",".")),"0.00")&amp;"_"&amp;TEXT(INDEX(MASTER!$E:$E,MATCH("Cryovial box 10: "&amp;($A128&amp;I$119),MASTER!$L:$L,0)),"mmddyy"),"")</f>
        <v/>
      </c>
      <c r="J128" s="4" t="str">
        <f>IFERROR(INDEX(MASTER!$A:$A,MATCH("Cryovial box 10: "&amp;($A128&amp;J$119),MASTER!$L:$L,0))&amp;"_ser_"&amp;TEXT(VALUE(SUBSTITUTE(SUBSTITUTE(TRIM(INDEX(MASTER!$M:$M,MATCH("Cryovial box 10: "&amp;($A128&amp;J$119),MASTER!$L:$L,0))),"ml",""),":",".")),"0.00")&amp;"_"&amp;TEXT(INDEX(MASTER!$E:$E,MATCH("Cryovial box 10: "&amp;($A128&amp;J$119),MASTER!$L:$L,0)),"mmddyy"),"")</f>
        <v/>
      </c>
      <c r="K128" s="4" t="str">
        <f>IFERROR(INDEX(MASTER!$A:$A,MATCH("Cryovial box 10: "&amp;($A128&amp;K$119),MASTER!$L:$L,0))&amp;"_ser_"&amp;TEXT(VALUE(SUBSTITUTE(SUBSTITUTE(TRIM(INDEX(MASTER!$M:$M,MATCH("Cryovial box 10: "&amp;($A128&amp;K$119),MASTER!$L:$L,0))),"ml",""),":",".")),"0.00")&amp;"_"&amp;TEXT(INDEX(MASTER!$E:$E,MATCH("Cryovial box 10: "&amp;($A128&amp;K$119),MASTER!$L:$L,0)),"mmddyy"),"")</f>
        <v/>
      </c>
    </row>
    <row r="129" spans="1:11" ht="15" customHeight="1" x14ac:dyDescent="0.3">
      <c r="A129" s="6" t="s">
        <v>101</v>
      </c>
      <c r="B129" s="4" t="str">
        <f>IFERROR(INDEX(MASTER!$A:$A,MATCH("Cryovial box 10: "&amp;($A129&amp;B$119),MASTER!$L:$L,0))&amp;"_ser_"&amp;TEXT(VALUE(SUBSTITUTE(SUBSTITUTE(TRIM(INDEX(MASTER!$M:$M,MATCH("Cryovial box 10: "&amp;($A129&amp;B$119),MASTER!$L:$L,0))),"ml",""),":",".")),"0.00")&amp;"_"&amp;TEXT(INDEX(MASTER!$E:$E,MATCH("Cryovial box 10: "&amp;($A129&amp;B$119),MASTER!$L:$L,0)),"mmddyy"),"")</f>
        <v/>
      </c>
      <c r="C129" s="4" t="str">
        <f>IFERROR(INDEX(MASTER!$A:$A,MATCH("Cryovial box 10: "&amp;($A129&amp;C$119),MASTER!$L:$L,0))&amp;"_ser_"&amp;TEXT(VALUE(SUBSTITUTE(SUBSTITUTE(TRIM(INDEX(MASTER!$M:$M,MATCH("Cryovial box 10: "&amp;($A129&amp;C$119),MASTER!$L:$L,0))),"ml",""),":",".")),"0.00")&amp;"_"&amp;TEXT(INDEX(MASTER!$E:$E,MATCH("Cryovial box 10: "&amp;($A129&amp;C$119),MASTER!$L:$L,0)),"mmddyy"),"")</f>
        <v/>
      </c>
      <c r="D129" s="4" t="str">
        <f>IFERROR(INDEX(MASTER!$A:$A,MATCH("Cryovial box 10: "&amp;($A129&amp;D$119),MASTER!$L:$L,0))&amp;"_ser_"&amp;TEXT(VALUE(SUBSTITUTE(SUBSTITUTE(TRIM(INDEX(MASTER!$M:$M,MATCH("Cryovial box 10: "&amp;($A129&amp;D$119),MASTER!$L:$L,0))),"ml",""),":",".")),"0.00")&amp;"_"&amp;TEXT(INDEX(MASTER!$E:$E,MATCH("Cryovial box 10: "&amp;($A129&amp;D$119),MASTER!$L:$L,0)),"mmddyy"),"")</f>
        <v/>
      </c>
      <c r="E129" s="4" t="str">
        <f>IFERROR(INDEX(MASTER!$A:$A,MATCH("Cryovial box 10: "&amp;($A129&amp;E$119),MASTER!$L:$L,0))&amp;"_ser_"&amp;TEXT(VALUE(SUBSTITUTE(SUBSTITUTE(TRIM(INDEX(MASTER!$M:$M,MATCH("Cryovial box 10: "&amp;($A129&amp;E$119),MASTER!$L:$L,0))),"ml",""),":",".")),"0.00")&amp;"_"&amp;TEXT(INDEX(MASTER!$E:$E,MATCH("Cryovial box 10: "&amp;($A129&amp;E$119),MASTER!$L:$L,0)),"mmddyy"),"")</f>
        <v/>
      </c>
      <c r="F129" s="4" t="str">
        <f>IFERROR(INDEX(MASTER!$A:$A,MATCH("Cryovial box 10: "&amp;($A129&amp;F$119),MASTER!$L:$L,0))&amp;"_ser_"&amp;TEXT(VALUE(SUBSTITUTE(SUBSTITUTE(TRIM(INDEX(MASTER!$M:$M,MATCH("Cryovial box 10: "&amp;($A129&amp;F$119),MASTER!$L:$L,0))),"ml",""),":",".")),"0.00")&amp;"_"&amp;TEXT(INDEX(MASTER!$E:$E,MATCH("Cryovial box 10: "&amp;($A129&amp;F$119),MASTER!$L:$L,0)),"mmddyy"),"")</f>
        <v/>
      </c>
      <c r="G129" s="4" t="str">
        <f>IFERROR(INDEX(MASTER!$A:$A,MATCH("Cryovial box 10: "&amp;($A129&amp;G$119),MASTER!$L:$L,0))&amp;"_ser_"&amp;TEXT(VALUE(SUBSTITUTE(SUBSTITUTE(TRIM(INDEX(MASTER!$M:$M,MATCH("Cryovial box 10: "&amp;($A129&amp;G$119),MASTER!$L:$L,0))),"ml",""),":",".")),"0.00")&amp;"_"&amp;TEXT(INDEX(MASTER!$E:$E,MATCH("Cryovial box 10: "&amp;($A129&amp;G$119),MASTER!$L:$L,0)),"mmddyy"),"")</f>
        <v/>
      </c>
      <c r="H129" s="4" t="str">
        <f>IFERROR(INDEX(MASTER!$A:$A,MATCH("Cryovial box 10: "&amp;($A129&amp;H$119),MASTER!$L:$L,0))&amp;"_ser_"&amp;TEXT(VALUE(SUBSTITUTE(SUBSTITUTE(TRIM(INDEX(MASTER!$M:$M,MATCH("Cryovial box 10: "&amp;($A129&amp;H$119),MASTER!$L:$L,0))),"ml",""),":",".")),"0.00")&amp;"_"&amp;TEXT(INDEX(MASTER!$E:$E,MATCH("Cryovial box 10: "&amp;($A129&amp;H$119),MASTER!$L:$L,0)),"mmddyy"),"")</f>
        <v/>
      </c>
      <c r="I129" s="4" t="str">
        <f>IFERROR(INDEX(MASTER!$A:$A,MATCH("Cryovial box 10: "&amp;($A129&amp;I$119),MASTER!$L:$L,0))&amp;"_ser_"&amp;TEXT(VALUE(SUBSTITUTE(SUBSTITUTE(TRIM(INDEX(MASTER!$M:$M,MATCH("Cryovial box 10: "&amp;($A129&amp;I$119),MASTER!$L:$L,0))),"ml",""),":",".")),"0.00")&amp;"_"&amp;TEXT(INDEX(MASTER!$E:$E,MATCH("Cryovial box 10: "&amp;($A129&amp;I$119),MASTER!$L:$L,0)),"mmddyy"),"")</f>
        <v/>
      </c>
      <c r="J129" s="4" t="str">
        <f>IFERROR(INDEX(MASTER!$A:$A,MATCH("Cryovial box 10: "&amp;($A129&amp;J$119),MASTER!$L:$L,0))&amp;"_ser_"&amp;TEXT(VALUE(SUBSTITUTE(SUBSTITUTE(TRIM(INDEX(MASTER!$M:$M,MATCH("Cryovial box 10: "&amp;($A129&amp;J$119),MASTER!$L:$L,0))),"ml",""),":",".")),"0.00")&amp;"_"&amp;TEXT(INDEX(MASTER!$E:$E,MATCH("Cryovial box 10: "&amp;($A129&amp;J$119),MASTER!$L:$L,0)),"mmddyy"),"")</f>
        <v/>
      </c>
      <c r="K129" s="4" t="str">
        <f>IFERROR(INDEX(MASTER!$A:$A,MATCH("Cryovial box 10: "&amp;($A129&amp;K$119),MASTER!$L:$L,0))&amp;"_ser_"&amp;TEXT(VALUE(SUBSTITUTE(SUBSTITUTE(TRIM(INDEX(MASTER!$M:$M,MATCH("Cryovial box 10: "&amp;($A129&amp;K$119),MASTER!$L:$L,0))),"ml",""),":",".")),"0.00")&amp;"_"&amp;TEXT(INDEX(MASTER!$E:$E,MATCH("Cryovial box 10: "&amp;($A129&amp;K$119),MASTER!$L:$L,0)),"mmddyy"),"")</f>
        <v/>
      </c>
    </row>
    <row r="130" spans="1:11" ht="1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 ht="20.149999999999999" customHeight="1" x14ac:dyDescent="0.3">
      <c r="A131" s="5"/>
      <c r="B131" s="31" t="s">
        <v>111</v>
      </c>
      <c r="C131" s="36"/>
      <c r="D131" s="36"/>
      <c r="E131" s="36"/>
      <c r="F131" s="36"/>
      <c r="G131" s="36"/>
      <c r="H131" s="36"/>
      <c r="I131" s="36"/>
      <c r="J131" s="36"/>
      <c r="K131" s="37"/>
    </row>
    <row r="132" spans="1:11" ht="20.149999999999999" customHeight="1" x14ac:dyDescent="0.3">
      <c r="A132" s="5"/>
      <c r="B132" s="6">
        <v>1</v>
      </c>
      <c r="C132" s="6">
        <v>2</v>
      </c>
      <c r="D132" s="6">
        <v>3</v>
      </c>
      <c r="E132" s="6">
        <v>4</v>
      </c>
      <c r="F132" s="6">
        <v>5</v>
      </c>
      <c r="G132" s="6">
        <v>6</v>
      </c>
      <c r="H132" s="6">
        <v>7</v>
      </c>
      <c r="I132" s="6">
        <v>8</v>
      </c>
      <c r="J132" s="6">
        <v>9</v>
      </c>
      <c r="K132" s="6">
        <v>10</v>
      </c>
    </row>
    <row r="133" spans="1:11" ht="20.149999999999999" customHeight="1" x14ac:dyDescent="0.3">
      <c r="A133" s="6" t="s">
        <v>30</v>
      </c>
      <c r="B133" s="4" t="str">
        <f>IFERROR(INDEX(MASTER!$A:$A,MATCH("Cryovial box 11: "&amp;($A133&amp;B$132),MASTER!$L:$L,0))&amp;"_ser_"&amp;TEXT(VALUE(SUBSTITUTE(SUBSTITUTE(TRIM(INDEX(MASTER!$M:$M,MATCH("Cryovial box 11: "&amp;($A133&amp;B$132),MASTER!$L:$L,0))),"ml",""),":",".")),"0.00")&amp;"_"&amp;TEXT(INDEX(MASTER!$E:$E,MATCH("Cryovial box 11: "&amp;($A133&amp;B$132),MASTER!$L:$L,0)),"mmddyy"),"")</f>
        <v/>
      </c>
      <c r="C133" s="4" t="str">
        <f>IFERROR(INDEX(MASTER!$A:$A,MATCH("Cryovial box 11: "&amp;($A133&amp;C$132),MASTER!$L:$L,0))&amp;"_ser_"&amp;TEXT(VALUE(SUBSTITUTE(SUBSTITUTE(TRIM(INDEX(MASTER!$M:$M,MATCH("Cryovial box 11: "&amp;($A133&amp;C$132),MASTER!$L:$L,0))),"ml",""),":",".")),"0.00")&amp;"_"&amp;TEXT(INDEX(MASTER!$E:$E,MATCH("Cryovial box 11: "&amp;($A133&amp;C$132),MASTER!$L:$L,0)),"mmddyy"),"")</f>
        <v/>
      </c>
      <c r="D133" s="4" t="str">
        <f>IFERROR(INDEX(MASTER!$A:$A,MATCH("Cryovial box 11: "&amp;($A133&amp;D$132),MASTER!$L:$L,0))&amp;"_ser_"&amp;TEXT(VALUE(SUBSTITUTE(SUBSTITUTE(TRIM(INDEX(MASTER!$M:$M,MATCH("Cryovial box 11: "&amp;($A133&amp;D$132),MASTER!$L:$L,0))),"ml",""),":",".")),"0.00")&amp;"_"&amp;TEXT(INDEX(MASTER!$E:$E,MATCH("Cryovial box 11: "&amp;($A133&amp;D$132),MASTER!$L:$L,0)),"mmddyy"),"")</f>
        <v/>
      </c>
      <c r="E133" s="4" t="str">
        <f>IFERROR(INDEX(MASTER!$A:$A,MATCH("Cryovial box 11: "&amp;($A133&amp;E$132),MASTER!$L:$L,0))&amp;"_ser_"&amp;TEXT(VALUE(SUBSTITUTE(SUBSTITUTE(TRIM(INDEX(MASTER!$M:$M,MATCH("Cryovial box 11: "&amp;($A133&amp;E$132),MASTER!$L:$L,0))),"ml",""),":",".")),"0.00")&amp;"_"&amp;TEXT(INDEX(MASTER!$E:$E,MATCH("Cryovial box 11: "&amp;($A133&amp;E$132),MASTER!$L:$L,0)),"mmddyy"),"")</f>
        <v/>
      </c>
      <c r="F133" s="4" t="str">
        <f>IFERROR(INDEX(MASTER!$A:$A,MATCH("Cryovial box 11: "&amp;($A133&amp;F$132),MASTER!$L:$L,0))&amp;"_ser_"&amp;TEXT(VALUE(SUBSTITUTE(SUBSTITUTE(TRIM(INDEX(MASTER!$M:$M,MATCH("Cryovial box 11: "&amp;($A133&amp;F$132),MASTER!$L:$L,0))),"ml",""),":",".")),"0.00")&amp;"_"&amp;TEXT(INDEX(MASTER!$E:$E,MATCH("Cryovial box 11: "&amp;($A133&amp;F$132),MASTER!$L:$L,0)),"mmddyy"),"")</f>
        <v/>
      </c>
      <c r="G133" s="4" t="str">
        <f>IFERROR(INDEX(MASTER!$A:$A,MATCH("Cryovial box 11: "&amp;($A133&amp;G$132),MASTER!$L:$L,0))&amp;"_ser_"&amp;TEXT(VALUE(SUBSTITUTE(SUBSTITUTE(TRIM(INDEX(MASTER!$M:$M,MATCH("Cryovial box 11: "&amp;($A133&amp;G$132),MASTER!$L:$L,0))),"ml",""),":",".")),"0.00")&amp;"_"&amp;TEXT(INDEX(MASTER!$E:$E,MATCH("Cryovial box 11: "&amp;($A133&amp;G$132),MASTER!$L:$L,0)),"mmddyy"),"")</f>
        <v/>
      </c>
      <c r="H133" s="4" t="str">
        <f>IFERROR(INDEX(MASTER!$A:$A,MATCH("Cryovial box 11: "&amp;($A133&amp;H$132),MASTER!$L:$L,0))&amp;"_ser_"&amp;TEXT(VALUE(SUBSTITUTE(SUBSTITUTE(TRIM(INDEX(MASTER!$M:$M,MATCH("Cryovial box 11: "&amp;($A133&amp;H$132),MASTER!$L:$L,0))),"ml",""),":",".")),"0.00")&amp;"_"&amp;TEXT(INDEX(MASTER!$E:$E,MATCH("Cryovial box 11: "&amp;($A133&amp;H$132),MASTER!$L:$L,0)),"mmddyy"),"")</f>
        <v/>
      </c>
      <c r="I133" s="4" t="str">
        <f>IFERROR(INDEX(MASTER!$A:$A,MATCH("Cryovial box 11: "&amp;($A133&amp;I$132),MASTER!$L:$L,0))&amp;"_ser_"&amp;TEXT(VALUE(SUBSTITUTE(SUBSTITUTE(TRIM(INDEX(MASTER!$M:$M,MATCH("Cryovial box 11: "&amp;($A133&amp;I$132),MASTER!$L:$L,0))),"ml",""),":",".")),"0.00")&amp;"_"&amp;TEXT(INDEX(MASTER!$E:$E,MATCH("Cryovial box 11: "&amp;($A133&amp;I$132),MASTER!$L:$L,0)),"mmddyy"),"")</f>
        <v/>
      </c>
      <c r="J133" s="4" t="str">
        <f>IFERROR(INDEX(MASTER!$A:$A,MATCH("Cryovial box 11: "&amp;($A133&amp;J$132),MASTER!$L:$L,0))&amp;"_ser_"&amp;TEXT(VALUE(SUBSTITUTE(SUBSTITUTE(TRIM(INDEX(MASTER!$M:$M,MATCH("Cryovial box 11: "&amp;($A133&amp;J$132),MASTER!$L:$L,0))),"ml",""),":",".")),"0.00")&amp;"_"&amp;TEXT(INDEX(MASTER!$E:$E,MATCH("Cryovial box 11: "&amp;($A133&amp;J$132),MASTER!$L:$L,0)),"mmddyy"),"")</f>
        <v/>
      </c>
      <c r="K133" s="4" t="str">
        <f>IFERROR(INDEX(MASTER!$A:$A,MATCH("Cryovial box 11: "&amp;($A133&amp;K$132),MASTER!$L:$L,0))&amp;"_ser_"&amp;TEXT(VALUE(SUBSTITUTE(SUBSTITUTE(TRIM(INDEX(MASTER!$M:$M,MATCH("Cryovial box 11: "&amp;($A133&amp;K$132),MASTER!$L:$L,0))),"ml",""),":",".")),"0.00")&amp;"_"&amp;TEXT(INDEX(MASTER!$E:$E,MATCH("Cryovial box 11: "&amp;($A133&amp;K$132),MASTER!$L:$L,0)),"mmddyy"),"")</f>
        <v/>
      </c>
    </row>
    <row r="134" spans="1:11" ht="20.149999999999999" customHeight="1" x14ac:dyDescent="0.3">
      <c r="A134" s="6" t="s">
        <v>31</v>
      </c>
      <c r="B134" s="4" t="str">
        <f>IFERROR(INDEX(MASTER!$A:$A,MATCH("Cryovial box 11: "&amp;($A134&amp;B$132),MASTER!$L:$L,0))&amp;"_ser_"&amp;TEXT(VALUE(SUBSTITUTE(SUBSTITUTE(TRIM(INDEX(MASTER!$M:$M,MATCH("Cryovial box 11: "&amp;($A134&amp;B$132),MASTER!$L:$L,0))),"ml",""),":",".")),"0.00")&amp;"_"&amp;TEXT(INDEX(MASTER!$E:$E,MATCH("Cryovial box 11: "&amp;($A134&amp;B$132),MASTER!$L:$L,0)),"mmddyy"),"")</f>
        <v/>
      </c>
      <c r="C134" s="4" t="str">
        <f>IFERROR(INDEX(MASTER!$A:$A,MATCH("Cryovial box 11: "&amp;($A134&amp;C$132),MASTER!$L:$L,0))&amp;"_ser_"&amp;TEXT(VALUE(SUBSTITUTE(SUBSTITUTE(TRIM(INDEX(MASTER!$M:$M,MATCH("Cryovial box 11: "&amp;($A134&amp;C$132),MASTER!$L:$L,0))),"ml",""),":",".")),"0.00")&amp;"_"&amp;TEXT(INDEX(MASTER!$E:$E,MATCH("Cryovial box 11: "&amp;($A134&amp;C$132),MASTER!$L:$L,0)),"mmddyy"),"")</f>
        <v/>
      </c>
      <c r="D134" s="4" t="str">
        <f>IFERROR(INDEX(MASTER!$A:$A,MATCH("Cryovial box 11: "&amp;($A134&amp;D$132),MASTER!$L:$L,0))&amp;"_ser_"&amp;TEXT(VALUE(SUBSTITUTE(SUBSTITUTE(TRIM(INDEX(MASTER!$M:$M,MATCH("Cryovial box 11: "&amp;($A134&amp;D$132),MASTER!$L:$L,0))),"ml",""),":",".")),"0.00")&amp;"_"&amp;TEXT(INDEX(MASTER!$E:$E,MATCH("Cryovial box 11: "&amp;($A134&amp;D$132),MASTER!$L:$L,0)),"mmddyy"),"")</f>
        <v/>
      </c>
      <c r="E134" s="4" t="str">
        <f>IFERROR(INDEX(MASTER!$A:$A,MATCH("Cryovial box 11: "&amp;($A134&amp;E$132),MASTER!$L:$L,0))&amp;"_ser_"&amp;TEXT(VALUE(SUBSTITUTE(SUBSTITUTE(TRIM(INDEX(MASTER!$M:$M,MATCH("Cryovial box 11: "&amp;($A134&amp;E$132),MASTER!$L:$L,0))),"ml",""),":",".")),"0.00")&amp;"_"&amp;TEXT(INDEX(MASTER!$E:$E,MATCH("Cryovial box 11: "&amp;($A134&amp;E$132),MASTER!$L:$L,0)),"mmddyy"),"")</f>
        <v/>
      </c>
      <c r="F134" s="4" t="str">
        <f>IFERROR(INDEX(MASTER!$A:$A,MATCH("Cryovial box 11: "&amp;($A134&amp;F$132),MASTER!$L:$L,0))&amp;"_ser_"&amp;TEXT(VALUE(SUBSTITUTE(SUBSTITUTE(TRIM(INDEX(MASTER!$M:$M,MATCH("Cryovial box 11: "&amp;($A134&amp;F$132),MASTER!$L:$L,0))),"ml",""),":",".")),"0.00")&amp;"_"&amp;TEXT(INDEX(MASTER!$E:$E,MATCH("Cryovial box 11: "&amp;($A134&amp;F$132),MASTER!$L:$L,0)),"mmddyy"),"")</f>
        <v/>
      </c>
      <c r="G134" s="4" t="str">
        <f>IFERROR(INDEX(MASTER!$A:$A,MATCH("Cryovial box 11: "&amp;($A134&amp;G$132),MASTER!$L:$L,0))&amp;"_ser_"&amp;TEXT(VALUE(SUBSTITUTE(SUBSTITUTE(TRIM(INDEX(MASTER!$M:$M,MATCH("Cryovial box 11: "&amp;($A134&amp;G$132),MASTER!$L:$L,0))),"ml",""),":",".")),"0.00")&amp;"_"&amp;TEXT(INDEX(MASTER!$E:$E,MATCH("Cryovial box 11: "&amp;($A134&amp;G$132),MASTER!$L:$L,0)),"mmddyy"),"")</f>
        <v/>
      </c>
      <c r="H134" s="4" t="str">
        <f>IFERROR(INDEX(MASTER!$A:$A,MATCH("Cryovial box 11: "&amp;($A134&amp;H$132),MASTER!$L:$L,0))&amp;"_ser_"&amp;TEXT(VALUE(SUBSTITUTE(SUBSTITUTE(TRIM(INDEX(MASTER!$M:$M,MATCH("Cryovial box 11: "&amp;($A134&amp;H$132),MASTER!$L:$L,0))),"ml",""),":",".")),"0.00")&amp;"_"&amp;TEXT(INDEX(MASTER!$E:$E,MATCH("Cryovial box 11: "&amp;($A134&amp;H$132),MASTER!$L:$L,0)),"mmddyy"),"")</f>
        <v/>
      </c>
      <c r="I134" s="4" t="str">
        <f>IFERROR(INDEX(MASTER!$A:$A,MATCH("Cryovial box 11: "&amp;($A134&amp;I$132),MASTER!$L:$L,0))&amp;"_ser_"&amp;TEXT(VALUE(SUBSTITUTE(SUBSTITUTE(TRIM(INDEX(MASTER!$M:$M,MATCH("Cryovial box 11: "&amp;($A134&amp;I$132),MASTER!$L:$L,0))),"ml",""),":",".")),"0.00")&amp;"_"&amp;TEXT(INDEX(MASTER!$E:$E,MATCH("Cryovial box 11: "&amp;($A134&amp;I$132),MASTER!$L:$L,0)),"mmddyy"),"")</f>
        <v/>
      </c>
      <c r="J134" s="4" t="str">
        <f>IFERROR(INDEX(MASTER!$A:$A,MATCH("Cryovial box 11: "&amp;($A134&amp;J$132),MASTER!$L:$L,0))&amp;"_ser_"&amp;TEXT(VALUE(SUBSTITUTE(SUBSTITUTE(TRIM(INDEX(MASTER!$M:$M,MATCH("Cryovial box 11: "&amp;($A134&amp;J$132),MASTER!$L:$L,0))),"ml",""),":",".")),"0.00")&amp;"_"&amp;TEXT(INDEX(MASTER!$E:$E,MATCH("Cryovial box 11: "&amp;($A134&amp;J$132),MASTER!$L:$L,0)),"mmddyy"),"")</f>
        <v/>
      </c>
      <c r="K134" s="4" t="str">
        <f>IFERROR(INDEX(MASTER!$A:$A,MATCH("Cryovial box 11: "&amp;($A134&amp;K$132),MASTER!$L:$L,0))&amp;"_ser_"&amp;TEXT(VALUE(SUBSTITUTE(SUBSTITUTE(TRIM(INDEX(MASTER!$M:$M,MATCH("Cryovial box 11: "&amp;($A134&amp;K$132),MASTER!$L:$L,0))),"ml",""),":",".")),"0.00")&amp;"_"&amp;TEXT(INDEX(MASTER!$E:$E,MATCH("Cryovial box 11: "&amp;($A134&amp;K$132),MASTER!$L:$L,0)),"mmddyy"),"")</f>
        <v/>
      </c>
    </row>
    <row r="135" spans="1:11" ht="20.149999999999999" customHeight="1" x14ac:dyDescent="0.3">
      <c r="A135" s="6" t="s">
        <v>32</v>
      </c>
      <c r="B135" s="4" t="str">
        <f>IFERROR(INDEX(MASTER!$A:$A,MATCH("Cryovial box 11: "&amp;($A135&amp;B$132),MASTER!$L:$L,0))&amp;"_ser_"&amp;TEXT(VALUE(SUBSTITUTE(SUBSTITUTE(TRIM(INDEX(MASTER!$M:$M,MATCH("Cryovial box 11: "&amp;($A135&amp;B$132),MASTER!$L:$L,0))),"ml",""),":",".")),"0.00")&amp;"_"&amp;TEXT(INDEX(MASTER!$E:$E,MATCH("Cryovial box 11: "&amp;($A135&amp;B$132),MASTER!$L:$L,0)),"mmddyy"),"")</f>
        <v/>
      </c>
      <c r="C135" s="4" t="str">
        <f>IFERROR(INDEX(MASTER!$A:$A,MATCH("Cryovial box 11: "&amp;($A135&amp;C$132),MASTER!$L:$L,0))&amp;"_ser_"&amp;TEXT(VALUE(SUBSTITUTE(SUBSTITUTE(TRIM(INDEX(MASTER!$M:$M,MATCH("Cryovial box 11: "&amp;($A135&amp;C$132),MASTER!$L:$L,0))),"ml",""),":",".")),"0.00")&amp;"_"&amp;TEXT(INDEX(MASTER!$E:$E,MATCH("Cryovial box 11: "&amp;($A135&amp;C$132),MASTER!$L:$L,0)),"mmddyy"),"")</f>
        <v/>
      </c>
      <c r="D135" s="4" t="str">
        <f>IFERROR(INDEX(MASTER!$A:$A,MATCH("Cryovial box 11: "&amp;($A135&amp;D$132),MASTER!$L:$L,0))&amp;"_ser_"&amp;TEXT(VALUE(SUBSTITUTE(SUBSTITUTE(TRIM(INDEX(MASTER!$M:$M,MATCH("Cryovial box 11: "&amp;($A135&amp;D$132),MASTER!$L:$L,0))),"ml",""),":",".")),"0.00")&amp;"_"&amp;TEXT(INDEX(MASTER!$E:$E,MATCH("Cryovial box 11: "&amp;($A135&amp;D$132),MASTER!$L:$L,0)),"mmddyy"),"")</f>
        <v/>
      </c>
      <c r="E135" s="4" t="str">
        <f>IFERROR(INDEX(MASTER!$A:$A,MATCH("Cryovial box 11: "&amp;($A135&amp;E$132),MASTER!$L:$L,0))&amp;"_ser_"&amp;TEXT(VALUE(SUBSTITUTE(SUBSTITUTE(TRIM(INDEX(MASTER!$M:$M,MATCH("Cryovial box 11: "&amp;($A135&amp;E$132),MASTER!$L:$L,0))),"ml",""),":",".")),"0.00")&amp;"_"&amp;TEXT(INDEX(MASTER!$E:$E,MATCH("Cryovial box 11: "&amp;($A135&amp;E$132),MASTER!$L:$L,0)),"mmddyy"),"")</f>
        <v/>
      </c>
      <c r="F135" s="4" t="str">
        <f>IFERROR(INDEX(MASTER!$A:$A,MATCH("Cryovial box 11: "&amp;($A135&amp;F$132),MASTER!$L:$L,0))&amp;"_ser_"&amp;TEXT(VALUE(SUBSTITUTE(SUBSTITUTE(TRIM(INDEX(MASTER!$M:$M,MATCH("Cryovial box 11: "&amp;($A135&amp;F$132),MASTER!$L:$L,0))),"ml",""),":",".")),"0.00")&amp;"_"&amp;TEXT(INDEX(MASTER!$E:$E,MATCH("Cryovial box 11: "&amp;($A135&amp;F$132),MASTER!$L:$L,0)),"mmddyy"),"")</f>
        <v/>
      </c>
      <c r="G135" s="4" t="str">
        <f>IFERROR(INDEX(MASTER!$A:$A,MATCH("Cryovial box 11: "&amp;($A135&amp;G$132),MASTER!$L:$L,0))&amp;"_ser_"&amp;TEXT(VALUE(SUBSTITUTE(SUBSTITUTE(TRIM(INDEX(MASTER!$M:$M,MATCH("Cryovial box 11: "&amp;($A135&amp;G$132),MASTER!$L:$L,0))),"ml",""),":",".")),"0.00")&amp;"_"&amp;TEXT(INDEX(MASTER!$E:$E,MATCH("Cryovial box 11: "&amp;($A135&amp;G$132),MASTER!$L:$L,0)),"mmddyy"),"")</f>
        <v/>
      </c>
      <c r="H135" s="4" t="str">
        <f>IFERROR(INDEX(MASTER!$A:$A,MATCH("Cryovial box 11: "&amp;($A135&amp;H$132),MASTER!$L:$L,0))&amp;"_ser_"&amp;TEXT(VALUE(SUBSTITUTE(SUBSTITUTE(TRIM(INDEX(MASTER!$M:$M,MATCH("Cryovial box 11: "&amp;($A135&amp;H$132),MASTER!$L:$L,0))),"ml",""),":",".")),"0.00")&amp;"_"&amp;TEXT(INDEX(MASTER!$E:$E,MATCH("Cryovial box 11: "&amp;($A135&amp;H$132),MASTER!$L:$L,0)),"mmddyy"),"")</f>
        <v/>
      </c>
      <c r="I135" s="4" t="str">
        <f>IFERROR(INDEX(MASTER!$A:$A,MATCH("Cryovial box 11: "&amp;($A135&amp;I$132),MASTER!$L:$L,0))&amp;"_ser_"&amp;TEXT(VALUE(SUBSTITUTE(SUBSTITUTE(TRIM(INDEX(MASTER!$M:$M,MATCH("Cryovial box 11: "&amp;($A135&amp;I$132),MASTER!$L:$L,0))),"ml",""),":",".")),"0.00")&amp;"_"&amp;TEXT(INDEX(MASTER!$E:$E,MATCH("Cryovial box 11: "&amp;($A135&amp;I$132),MASTER!$L:$L,0)),"mmddyy"),"")</f>
        <v/>
      </c>
      <c r="J135" s="4" t="str">
        <f>IFERROR(INDEX(MASTER!$A:$A,MATCH("Cryovial box 11: "&amp;($A135&amp;J$132),MASTER!$L:$L,0))&amp;"_ser_"&amp;TEXT(VALUE(SUBSTITUTE(SUBSTITUTE(TRIM(INDEX(MASTER!$M:$M,MATCH("Cryovial box 11: "&amp;($A135&amp;J$132),MASTER!$L:$L,0))),"ml",""),":",".")),"0.00")&amp;"_"&amp;TEXT(INDEX(MASTER!$E:$E,MATCH("Cryovial box 11: "&amp;($A135&amp;J$132),MASTER!$L:$L,0)),"mmddyy"),"")</f>
        <v/>
      </c>
      <c r="K135" s="4" t="str">
        <f>IFERROR(INDEX(MASTER!$A:$A,MATCH("Cryovial box 11: "&amp;($A135&amp;K$132),MASTER!$L:$L,0))&amp;"_ser_"&amp;TEXT(VALUE(SUBSTITUTE(SUBSTITUTE(TRIM(INDEX(MASTER!$M:$M,MATCH("Cryovial box 11: "&amp;($A135&amp;K$132),MASTER!$L:$L,0))),"ml",""),":",".")),"0.00")&amp;"_"&amp;TEXT(INDEX(MASTER!$E:$E,MATCH("Cryovial box 11: "&amp;($A135&amp;K$132),MASTER!$L:$L,0)),"mmddyy"),"")</f>
        <v/>
      </c>
    </row>
    <row r="136" spans="1:11" ht="20.149999999999999" customHeight="1" x14ac:dyDescent="0.3">
      <c r="A136" s="6" t="s">
        <v>33</v>
      </c>
      <c r="B136" s="4" t="str">
        <f>IFERROR(INDEX(MASTER!$A:$A,MATCH("Cryovial box 11: "&amp;($A136&amp;B$132),MASTER!$L:$L,0))&amp;"_ser_"&amp;TEXT(VALUE(SUBSTITUTE(SUBSTITUTE(TRIM(INDEX(MASTER!$M:$M,MATCH("Cryovial box 11: "&amp;($A136&amp;B$132),MASTER!$L:$L,0))),"ml",""),":",".")),"0.00")&amp;"_"&amp;TEXT(INDEX(MASTER!$E:$E,MATCH("Cryovial box 11: "&amp;($A136&amp;B$132),MASTER!$L:$L,0)),"mmddyy"),"")</f>
        <v/>
      </c>
      <c r="C136" s="4" t="str">
        <f>IFERROR(INDEX(MASTER!$A:$A,MATCH("Cryovial box 11: "&amp;($A136&amp;C$132),MASTER!$L:$L,0))&amp;"_ser_"&amp;TEXT(VALUE(SUBSTITUTE(SUBSTITUTE(TRIM(INDEX(MASTER!$M:$M,MATCH("Cryovial box 11: "&amp;($A136&amp;C$132),MASTER!$L:$L,0))),"ml",""),":",".")),"0.00")&amp;"_"&amp;TEXT(INDEX(MASTER!$E:$E,MATCH("Cryovial box 11: "&amp;($A136&amp;C$132),MASTER!$L:$L,0)),"mmddyy"),"")</f>
        <v/>
      </c>
      <c r="D136" s="4" t="str">
        <f>IFERROR(INDEX(MASTER!$A:$A,MATCH("Cryovial box 11: "&amp;($A136&amp;D$132),MASTER!$L:$L,0))&amp;"_ser_"&amp;TEXT(VALUE(SUBSTITUTE(SUBSTITUTE(TRIM(INDEX(MASTER!$M:$M,MATCH("Cryovial box 11: "&amp;($A136&amp;D$132),MASTER!$L:$L,0))),"ml",""),":",".")),"0.00")&amp;"_"&amp;TEXT(INDEX(MASTER!$E:$E,MATCH("Cryovial box 11: "&amp;($A136&amp;D$132),MASTER!$L:$L,0)),"mmddyy"),"")</f>
        <v/>
      </c>
      <c r="E136" s="4" t="str">
        <f>IFERROR(INDEX(MASTER!$A:$A,MATCH("Cryovial box 11: "&amp;($A136&amp;E$132),MASTER!$L:$L,0))&amp;"_ser_"&amp;TEXT(VALUE(SUBSTITUTE(SUBSTITUTE(TRIM(INDEX(MASTER!$M:$M,MATCH("Cryovial box 11: "&amp;($A136&amp;E$132),MASTER!$L:$L,0))),"ml",""),":",".")),"0.00")&amp;"_"&amp;TEXT(INDEX(MASTER!$E:$E,MATCH("Cryovial box 11: "&amp;($A136&amp;E$132),MASTER!$L:$L,0)),"mmddyy"),"")</f>
        <v/>
      </c>
      <c r="F136" s="4" t="str">
        <f>IFERROR(INDEX(MASTER!$A:$A,MATCH("Cryovial box 11: "&amp;($A136&amp;F$132),MASTER!$L:$L,0))&amp;"_ser_"&amp;TEXT(VALUE(SUBSTITUTE(SUBSTITUTE(TRIM(INDEX(MASTER!$M:$M,MATCH("Cryovial box 11: "&amp;($A136&amp;F$132),MASTER!$L:$L,0))),"ml",""),":",".")),"0.00")&amp;"_"&amp;TEXT(INDEX(MASTER!$E:$E,MATCH("Cryovial box 11: "&amp;($A136&amp;F$132),MASTER!$L:$L,0)),"mmddyy"),"")</f>
        <v/>
      </c>
      <c r="G136" s="4" t="str">
        <f>IFERROR(INDEX(MASTER!$A:$A,MATCH("Cryovial box 11: "&amp;($A136&amp;G$132),MASTER!$L:$L,0))&amp;"_ser_"&amp;TEXT(VALUE(SUBSTITUTE(SUBSTITUTE(TRIM(INDEX(MASTER!$M:$M,MATCH("Cryovial box 11: "&amp;($A136&amp;G$132),MASTER!$L:$L,0))),"ml",""),":",".")),"0.00")&amp;"_"&amp;TEXT(INDEX(MASTER!$E:$E,MATCH("Cryovial box 11: "&amp;($A136&amp;G$132),MASTER!$L:$L,0)),"mmddyy"),"")</f>
        <v/>
      </c>
      <c r="H136" s="4" t="str">
        <f>IFERROR(INDEX(MASTER!$A:$A,MATCH("Cryovial box 11: "&amp;($A136&amp;H$132),MASTER!$L:$L,0))&amp;"_ser_"&amp;TEXT(VALUE(SUBSTITUTE(SUBSTITUTE(TRIM(INDEX(MASTER!$M:$M,MATCH("Cryovial box 11: "&amp;($A136&amp;H$132),MASTER!$L:$L,0))),"ml",""),":",".")),"0.00")&amp;"_"&amp;TEXT(INDEX(MASTER!$E:$E,MATCH("Cryovial box 11: "&amp;($A136&amp;H$132),MASTER!$L:$L,0)),"mmddyy"),"")</f>
        <v/>
      </c>
      <c r="I136" s="4" t="str">
        <f>IFERROR(INDEX(MASTER!$A:$A,MATCH("Cryovial box 11: "&amp;($A136&amp;I$132),MASTER!$L:$L,0))&amp;"_ser_"&amp;TEXT(VALUE(SUBSTITUTE(SUBSTITUTE(TRIM(INDEX(MASTER!$M:$M,MATCH("Cryovial box 11: "&amp;($A136&amp;I$132),MASTER!$L:$L,0))),"ml",""),":",".")),"0.00")&amp;"_"&amp;TEXT(INDEX(MASTER!$E:$E,MATCH("Cryovial box 11: "&amp;($A136&amp;I$132),MASTER!$L:$L,0)),"mmddyy"),"")</f>
        <v/>
      </c>
      <c r="J136" s="4" t="str">
        <f>IFERROR(INDEX(MASTER!$A:$A,MATCH("Cryovial box 11: "&amp;($A136&amp;J$132),MASTER!$L:$L,0))&amp;"_ser_"&amp;TEXT(VALUE(SUBSTITUTE(SUBSTITUTE(TRIM(INDEX(MASTER!$M:$M,MATCH("Cryovial box 11: "&amp;($A136&amp;J$132),MASTER!$L:$L,0))),"ml",""),":",".")),"0.00")&amp;"_"&amp;TEXT(INDEX(MASTER!$E:$E,MATCH("Cryovial box 11: "&amp;($A136&amp;J$132),MASTER!$L:$L,0)),"mmddyy"),"")</f>
        <v/>
      </c>
      <c r="K136" s="4" t="str">
        <f>IFERROR(INDEX(MASTER!$A:$A,MATCH("Cryovial box 11: "&amp;($A136&amp;K$132),MASTER!$L:$L,0))&amp;"_ser_"&amp;TEXT(VALUE(SUBSTITUTE(SUBSTITUTE(TRIM(INDEX(MASTER!$M:$M,MATCH("Cryovial box 11: "&amp;($A136&amp;K$132),MASTER!$L:$L,0))),"ml",""),":",".")),"0.00")&amp;"_"&amp;TEXT(INDEX(MASTER!$E:$E,MATCH("Cryovial box 11: "&amp;($A136&amp;K$132),MASTER!$L:$L,0)),"mmddyy"),"")</f>
        <v/>
      </c>
    </row>
    <row r="137" spans="1:11" ht="20.149999999999999" customHeight="1" x14ac:dyDescent="0.3">
      <c r="A137" s="6" t="s">
        <v>34</v>
      </c>
      <c r="B137" s="4" t="str">
        <f>IFERROR(INDEX(MASTER!$A:$A,MATCH("Cryovial box 11: "&amp;($A137&amp;B$132),MASTER!$L:$L,0))&amp;"_ser_"&amp;TEXT(VALUE(SUBSTITUTE(SUBSTITUTE(TRIM(INDEX(MASTER!$M:$M,MATCH("Cryovial box 11: "&amp;($A137&amp;B$132),MASTER!$L:$L,0))),"ml",""),":",".")),"0.00")&amp;"_"&amp;TEXT(INDEX(MASTER!$E:$E,MATCH("Cryovial box 11: "&amp;($A137&amp;B$132),MASTER!$L:$L,0)),"mmddyy"),"")</f>
        <v/>
      </c>
      <c r="C137" s="4" t="str">
        <f>IFERROR(INDEX(MASTER!$A:$A,MATCH("Cryovial box 11: "&amp;($A137&amp;C$132),MASTER!$L:$L,0))&amp;"_ser_"&amp;TEXT(VALUE(SUBSTITUTE(SUBSTITUTE(TRIM(INDEX(MASTER!$M:$M,MATCH("Cryovial box 11: "&amp;($A137&amp;C$132),MASTER!$L:$L,0))),"ml",""),":",".")),"0.00")&amp;"_"&amp;TEXT(INDEX(MASTER!$E:$E,MATCH("Cryovial box 11: "&amp;($A137&amp;C$132),MASTER!$L:$L,0)),"mmddyy"),"")</f>
        <v/>
      </c>
      <c r="D137" s="4" t="str">
        <f>IFERROR(INDEX(MASTER!$A:$A,MATCH("Cryovial box 11: "&amp;($A137&amp;D$132),MASTER!$L:$L,0))&amp;"_ser_"&amp;TEXT(VALUE(SUBSTITUTE(SUBSTITUTE(TRIM(INDEX(MASTER!$M:$M,MATCH("Cryovial box 11: "&amp;($A137&amp;D$132),MASTER!$L:$L,0))),"ml",""),":",".")),"0.00")&amp;"_"&amp;TEXT(INDEX(MASTER!$E:$E,MATCH("Cryovial box 11: "&amp;($A137&amp;D$132),MASTER!$L:$L,0)),"mmddyy"),"")</f>
        <v/>
      </c>
      <c r="E137" s="4" t="str">
        <f>IFERROR(INDEX(MASTER!$A:$A,MATCH("Cryovial box 11: "&amp;($A137&amp;E$132),MASTER!$L:$L,0))&amp;"_ser_"&amp;TEXT(VALUE(SUBSTITUTE(SUBSTITUTE(TRIM(INDEX(MASTER!$M:$M,MATCH("Cryovial box 11: "&amp;($A137&amp;E$132),MASTER!$L:$L,0))),"ml",""),":",".")),"0.00")&amp;"_"&amp;TEXT(INDEX(MASTER!$E:$E,MATCH("Cryovial box 11: "&amp;($A137&amp;E$132),MASTER!$L:$L,0)),"mmddyy"),"")</f>
        <v/>
      </c>
      <c r="F137" s="4" t="str">
        <f>IFERROR(INDEX(MASTER!$A:$A,MATCH("Cryovial box 11: "&amp;($A137&amp;F$132),MASTER!$L:$L,0))&amp;"_ser_"&amp;TEXT(VALUE(SUBSTITUTE(SUBSTITUTE(TRIM(INDEX(MASTER!$M:$M,MATCH("Cryovial box 11: "&amp;($A137&amp;F$132),MASTER!$L:$L,0))),"ml",""),":",".")),"0.00")&amp;"_"&amp;TEXT(INDEX(MASTER!$E:$E,MATCH("Cryovial box 11: "&amp;($A137&amp;F$132),MASTER!$L:$L,0)),"mmddyy"),"")</f>
        <v/>
      </c>
      <c r="G137" s="4" t="str">
        <f>IFERROR(INDEX(MASTER!$A:$A,MATCH("Cryovial box 11: "&amp;($A137&amp;G$132),MASTER!$L:$L,0))&amp;"_ser_"&amp;TEXT(VALUE(SUBSTITUTE(SUBSTITUTE(TRIM(INDEX(MASTER!$M:$M,MATCH("Cryovial box 11: "&amp;($A137&amp;G$132),MASTER!$L:$L,0))),"ml",""),":",".")),"0.00")&amp;"_"&amp;TEXT(INDEX(MASTER!$E:$E,MATCH("Cryovial box 11: "&amp;($A137&amp;G$132),MASTER!$L:$L,0)),"mmddyy"),"")</f>
        <v/>
      </c>
      <c r="H137" s="4" t="str">
        <f>IFERROR(INDEX(MASTER!$A:$A,MATCH("Cryovial box 11: "&amp;($A137&amp;H$132),MASTER!$L:$L,0))&amp;"_ser_"&amp;TEXT(VALUE(SUBSTITUTE(SUBSTITUTE(TRIM(INDEX(MASTER!$M:$M,MATCH("Cryovial box 11: "&amp;($A137&amp;H$132),MASTER!$L:$L,0))),"ml",""),":",".")),"0.00")&amp;"_"&amp;TEXT(INDEX(MASTER!$E:$E,MATCH("Cryovial box 11: "&amp;($A137&amp;H$132),MASTER!$L:$L,0)),"mmddyy"),"")</f>
        <v/>
      </c>
      <c r="I137" s="4" t="str">
        <f>IFERROR(INDEX(MASTER!$A:$A,MATCH("Cryovial box 11: "&amp;($A137&amp;I$132),MASTER!$L:$L,0))&amp;"_ser_"&amp;TEXT(VALUE(SUBSTITUTE(SUBSTITUTE(TRIM(INDEX(MASTER!$M:$M,MATCH("Cryovial box 11: "&amp;($A137&amp;I$132),MASTER!$L:$L,0))),"ml",""),":",".")),"0.00")&amp;"_"&amp;TEXT(INDEX(MASTER!$E:$E,MATCH("Cryovial box 11: "&amp;($A137&amp;I$132),MASTER!$L:$L,0)),"mmddyy"),"")</f>
        <v/>
      </c>
      <c r="J137" s="4" t="str">
        <f>IFERROR(INDEX(MASTER!$A:$A,MATCH("Cryovial box 11: "&amp;($A137&amp;J$132),MASTER!$L:$L,0))&amp;"_ser_"&amp;TEXT(VALUE(SUBSTITUTE(SUBSTITUTE(TRIM(INDEX(MASTER!$M:$M,MATCH("Cryovial box 11: "&amp;($A137&amp;J$132),MASTER!$L:$L,0))),"ml",""),":",".")),"0.00")&amp;"_"&amp;TEXT(INDEX(MASTER!$E:$E,MATCH("Cryovial box 11: "&amp;($A137&amp;J$132),MASTER!$L:$L,0)),"mmddyy"),"")</f>
        <v/>
      </c>
      <c r="K137" s="4" t="str">
        <f>IFERROR(INDEX(MASTER!$A:$A,MATCH("Cryovial box 11: "&amp;($A137&amp;K$132),MASTER!$L:$L,0))&amp;"_ser_"&amp;TEXT(VALUE(SUBSTITUTE(SUBSTITUTE(TRIM(INDEX(MASTER!$M:$M,MATCH("Cryovial box 11: "&amp;($A137&amp;K$132),MASTER!$L:$L,0))),"ml",""),":",".")),"0.00")&amp;"_"&amp;TEXT(INDEX(MASTER!$E:$E,MATCH("Cryovial box 11: "&amp;($A137&amp;K$132),MASTER!$L:$L,0)),"mmddyy"),"")</f>
        <v/>
      </c>
    </row>
    <row r="138" spans="1:11" ht="20.149999999999999" customHeight="1" x14ac:dyDescent="0.3">
      <c r="A138" s="6" t="s">
        <v>15</v>
      </c>
      <c r="B138" s="4" t="str">
        <f>IFERROR(INDEX(MASTER!$A:$A,MATCH("Cryovial box 11: "&amp;($A138&amp;B$132),MASTER!$L:$L,0))&amp;"_ser_"&amp;TEXT(VALUE(SUBSTITUTE(SUBSTITUTE(TRIM(INDEX(MASTER!$M:$M,MATCH("Cryovial box 11: "&amp;($A138&amp;B$132),MASTER!$L:$L,0))),"ml",""),":",".")),"0.00")&amp;"_"&amp;TEXT(INDEX(MASTER!$E:$E,MATCH("Cryovial box 11: "&amp;($A138&amp;B$132),MASTER!$L:$L,0)),"mmddyy"),"")</f>
        <v/>
      </c>
      <c r="C138" s="4" t="str">
        <f>IFERROR(INDEX(MASTER!$A:$A,MATCH("Cryovial box 11: "&amp;($A138&amp;C$132),MASTER!$L:$L,0))&amp;"_ser_"&amp;TEXT(VALUE(SUBSTITUTE(SUBSTITUTE(TRIM(INDEX(MASTER!$M:$M,MATCH("Cryovial box 11: "&amp;($A138&amp;C$132),MASTER!$L:$L,0))),"ml",""),":",".")),"0.00")&amp;"_"&amp;TEXT(INDEX(MASTER!$E:$E,MATCH("Cryovial box 11: "&amp;($A138&amp;C$132),MASTER!$L:$L,0)),"mmddyy"),"")</f>
        <v/>
      </c>
      <c r="D138" s="4" t="str">
        <f>IFERROR(INDEX(MASTER!$A:$A,MATCH("Cryovial box 11: "&amp;($A138&amp;D$132),MASTER!$L:$L,0))&amp;"_ser_"&amp;TEXT(VALUE(SUBSTITUTE(SUBSTITUTE(TRIM(INDEX(MASTER!$M:$M,MATCH("Cryovial box 11: "&amp;($A138&amp;D$132),MASTER!$L:$L,0))),"ml",""),":",".")),"0.00")&amp;"_"&amp;TEXT(INDEX(MASTER!$E:$E,MATCH("Cryovial box 11: "&amp;($A138&amp;D$132),MASTER!$L:$L,0)),"mmddyy"),"")</f>
        <v/>
      </c>
      <c r="E138" s="4" t="str">
        <f>IFERROR(INDEX(MASTER!$A:$A,MATCH("Cryovial box 11: "&amp;($A138&amp;E$132),MASTER!$L:$L,0))&amp;"_ser_"&amp;TEXT(VALUE(SUBSTITUTE(SUBSTITUTE(TRIM(INDEX(MASTER!$M:$M,MATCH("Cryovial box 11: "&amp;($A138&amp;E$132),MASTER!$L:$L,0))),"ml",""),":",".")),"0.00")&amp;"_"&amp;TEXT(INDEX(MASTER!$E:$E,MATCH("Cryovial box 11: "&amp;($A138&amp;E$132),MASTER!$L:$L,0)),"mmddyy"),"")</f>
        <v/>
      </c>
      <c r="F138" s="4" t="str">
        <f>IFERROR(INDEX(MASTER!$A:$A,MATCH("Cryovial box 11: "&amp;($A138&amp;F$132),MASTER!$L:$L,0))&amp;"_ser_"&amp;TEXT(VALUE(SUBSTITUTE(SUBSTITUTE(TRIM(INDEX(MASTER!$M:$M,MATCH("Cryovial box 11: "&amp;($A138&amp;F$132),MASTER!$L:$L,0))),"ml",""),":",".")),"0.00")&amp;"_"&amp;TEXT(INDEX(MASTER!$E:$E,MATCH("Cryovial box 11: "&amp;($A138&amp;F$132),MASTER!$L:$L,0)),"mmddyy"),"")</f>
        <v/>
      </c>
      <c r="G138" s="4" t="str">
        <f>IFERROR(INDEX(MASTER!$A:$A,MATCH("Cryovial box 11: "&amp;($A138&amp;G$132),MASTER!$L:$L,0))&amp;"_ser_"&amp;TEXT(VALUE(SUBSTITUTE(SUBSTITUTE(TRIM(INDEX(MASTER!$M:$M,MATCH("Cryovial box 11: "&amp;($A138&amp;G$132),MASTER!$L:$L,0))),"ml",""),":",".")),"0.00")&amp;"_"&amp;TEXT(INDEX(MASTER!$E:$E,MATCH("Cryovial box 11: "&amp;($A138&amp;G$132),MASTER!$L:$L,0)),"mmddyy"),"")</f>
        <v/>
      </c>
      <c r="H138" s="4" t="str">
        <f>IFERROR(INDEX(MASTER!$A:$A,MATCH("Cryovial box 11: "&amp;($A138&amp;H$132),MASTER!$L:$L,0))&amp;"_ser_"&amp;TEXT(VALUE(SUBSTITUTE(SUBSTITUTE(TRIM(INDEX(MASTER!$M:$M,MATCH("Cryovial box 11: "&amp;($A138&amp;H$132),MASTER!$L:$L,0))),"ml",""),":",".")),"0.00")&amp;"_"&amp;TEXT(INDEX(MASTER!$E:$E,MATCH("Cryovial box 11: "&amp;($A138&amp;H$132),MASTER!$L:$L,0)),"mmddyy"),"")</f>
        <v/>
      </c>
      <c r="I138" s="4" t="str">
        <f>IFERROR(INDEX(MASTER!$A:$A,MATCH("Cryovial box 11: "&amp;($A138&amp;I$132),MASTER!$L:$L,0))&amp;"_ser_"&amp;TEXT(VALUE(SUBSTITUTE(SUBSTITUTE(TRIM(INDEX(MASTER!$M:$M,MATCH("Cryovial box 11: "&amp;($A138&amp;I$132),MASTER!$L:$L,0))),"ml",""),":",".")),"0.00")&amp;"_"&amp;TEXT(INDEX(MASTER!$E:$E,MATCH("Cryovial box 11: "&amp;($A138&amp;I$132),MASTER!$L:$L,0)),"mmddyy"),"")</f>
        <v/>
      </c>
      <c r="J138" s="4" t="str">
        <f>IFERROR(INDEX(MASTER!$A:$A,MATCH("Cryovial box 11: "&amp;($A138&amp;J$132),MASTER!$L:$L,0))&amp;"_ser_"&amp;TEXT(VALUE(SUBSTITUTE(SUBSTITUTE(TRIM(INDEX(MASTER!$M:$M,MATCH("Cryovial box 11: "&amp;($A138&amp;J$132),MASTER!$L:$L,0))),"ml",""),":",".")),"0.00")&amp;"_"&amp;TEXT(INDEX(MASTER!$E:$E,MATCH("Cryovial box 11: "&amp;($A138&amp;J$132),MASTER!$L:$L,0)),"mmddyy"),"")</f>
        <v/>
      </c>
      <c r="K138" s="4" t="str">
        <f>IFERROR(INDEX(MASTER!$A:$A,MATCH("Cryovial box 11: "&amp;($A138&amp;K$132),MASTER!$L:$L,0))&amp;"_ser_"&amp;TEXT(VALUE(SUBSTITUTE(SUBSTITUTE(TRIM(INDEX(MASTER!$M:$M,MATCH("Cryovial box 11: "&amp;($A138&amp;K$132),MASTER!$L:$L,0))),"ml",""),":",".")),"0.00")&amp;"_"&amp;TEXT(INDEX(MASTER!$E:$E,MATCH("Cryovial box 11: "&amp;($A138&amp;K$132),MASTER!$L:$L,0)),"mmddyy"),"")</f>
        <v/>
      </c>
    </row>
    <row r="139" spans="1:11" ht="20.149999999999999" customHeight="1" x14ac:dyDescent="0.3">
      <c r="A139" s="6" t="s">
        <v>35</v>
      </c>
      <c r="B139" s="4" t="str">
        <f>IFERROR(INDEX(MASTER!$A:$A,MATCH("Cryovial box 11: "&amp;($A139&amp;B$132),MASTER!$L:$L,0))&amp;"_ser_"&amp;TEXT(VALUE(SUBSTITUTE(SUBSTITUTE(TRIM(INDEX(MASTER!$M:$M,MATCH("Cryovial box 11: "&amp;($A139&amp;B$132),MASTER!$L:$L,0))),"ml",""),":",".")),"0.00")&amp;"_"&amp;TEXT(INDEX(MASTER!$E:$E,MATCH("Cryovial box 11: "&amp;($A139&amp;B$132),MASTER!$L:$L,0)),"mmddyy"),"")</f>
        <v/>
      </c>
      <c r="C139" s="4" t="str">
        <f>IFERROR(INDEX(MASTER!$A:$A,MATCH("Cryovial box 11: "&amp;($A139&amp;C$132),MASTER!$L:$L,0))&amp;"_ser_"&amp;TEXT(VALUE(SUBSTITUTE(SUBSTITUTE(TRIM(INDEX(MASTER!$M:$M,MATCH("Cryovial box 11: "&amp;($A139&amp;C$132),MASTER!$L:$L,0))),"ml",""),":",".")),"0.00")&amp;"_"&amp;TEXT(INDEX(MASTER!$E:$E,MATCH("Cryovial box 11: "&amp;($A139&amp;C$132),MASTER!$L:$L,0)),"mmddyy"),"")</f>
        <v/>
      </c>
      <c r="D139" s="4" t="str">
        <f>IFERROR(INDEX(MASTER!$A:$A,MATCH("Cryovial box 11: "&amp;($A139&amp;D$132),MASTER!$L:$L,0))&amp;"_ser_"&amp;TEXT(VALUE(SUBSTITUTE(SUBSTITUTE(TRIM(INDEX(MASTER!$M:$M,MATCH("Cryovial box 11: "&amp;($A139&amp;D$132),MASTER!$L:$L,0))),"ml",""),":",".")),"0.00")&amp;"_"&amp;TEXT(INDEX(MASTER!$E:$E,MATCH("Cryovial box 11: "&amp;($A139&amp;D$132),MASTER!$L:$L,0)),"mmddyy"),"")</f>
        <v/>
      </c>
      <c r="E139" s="4" t="str">
        <f>IFERROR(INDEX(MASTER!$A:$A,MATCH("Cryovial box 11: "&amp;($A139&amp;E$132),MASTER!$L:$L,0))&amp;"_ser_"&amp;TEXT(VALUE(SUBSTITUTE(SUBSTITUTE(TRIM(INDEX(MASTER!$M:$M,MATCH("Cryovial box 11: "&amp;($A139&amp;E$132),MASTER!$L:$L,0))),"ml",""),":",".")),"0.00")&amp;"_"&amp;TEXT(INDEX(MASTER!$E:$E,MATCH("Cryovial box 11: "&amp;($A139&amp;E$132),MASTER!$L:$L,0)),"mmddyy"),"")</f>
        <v/>
      </c>
      <c r="F139" s="4" t="str">
        <f>IFERROR(INDEX(MASTER!$A:$A,MATCH("Cryovial box 11: "&amp;($A139&amp;F$132),MASTER!$L:$L,0))&amp;"_ser_"&amp;TEXT(VALUE(SUBSTITUTE(SUBSTITUTE(TRIM(INDEX(MASTER!$M:$M,MATCH("Cryovial box 11: "&amp;($A139&amp;F$132),MASTER!$L:$L,0))),"ml",""),":",".")),"0.00")&amp;"_"&amp;TEXT(INDEX(MASTER!$E:$E,MATCH("Cryovial box 11: "&amp;($A139&amp;F$132),MASTER!$L:$L,0)),"mmddyy"),"")</f>
        <v/>
      </c>
      <c r="G139" s="4" t="str">
        <f>IFERROR(INDEX(MASTER!$A:$A,MATCH("Cryovial box 11: "&amp;($A139&amp;G$132),MASTER!$L:$L,0))&amp;"_ser_"&amp;TEXT(VALUE(SUBSTITUTE(SUBSTITUTE(TRIM(INDEX(MASTER!$M:$M,MATCH("Cryovial box 11: "&amp;($A139&amp;G$132),MASTER!$L:$L,0))),"ml",""),":",".")),"0.00")&amp;"_"&amp;TEXT(INDEX(MASTER!$E:$E,MATCH("Cryovial box 11: "&amp;($A139&amp;G$132),MASTER!$L:$L,0)),"mmddyy"),"")</f>
        <v/>
      </c>
      <c r="H139" s="4" t="str">
        <f>IFERROR(INDEX(MASTER!$A:$A,MATCH("Cryovial box 11: "&amp;($A139&amp;H$132),MASTER!$L:$L,0))&amp;"_ser_"&amp;TEXT(VALUE(SUBSTITUTE(SUBSTITUTE(TRIM(INDEX(MASTER!$M:$M,MATCH("Cryovial box 11: "&amp;($A139&amp;H$132),MASTER!$L:$L,0))),"ml",""),":",".")),"0.00")&amp;"_"&amp;TEXT(INDEX(MASTER!$E:$E,MATCH("Cryovial box 11: "&amp;($A139&amp;H$132),MASTER!$L:$L,0)),"mmddyy"),"")</f>
        <v/>
      </c>
      <c r="I139" s="4" t="str">
        <f>IFERROR(INDEX(MASTER!$A:$A,MATCH("Cryovial box 11: "&amp;($A139&amp;I$132),MASTER!$L:$L,0))&amp;"_ser_"&amp;TEXT(VALUE(SUBSTITUTE(SUBSTITUTE(TRIM(INDEX(MASTER!$M:$M,MATCH("Cryovial box 11: "&amp;($A139&amp;I$132),MASTER!$L:$L,0))),"ml",""),":",".")),"0.00")&amp;"_"&amp;TEXT(INDEX(MASTER!$E:$E,MATCH("Cryovial box 11: "&amp;($A139&amp;I$132),MASTER!$L:$L,0)),"mmddyy"),"")</f>
        <v/>
      </c>
      <c r="J139" s="4" t="str">
        <f>IFERROR(INDEX(MASTER!$A:$A,MATCH("Cryovial box 11: "&amp;($A139&amp;J$132),MASTER!$L:$L,0))&amp;"_ser_"&amp;TEXT(VALUE(SUBSTITUTE(SUBSTITUTE(TRIM(INDEX(MASTER!$M:$M,MATCH("Cryovial box 11: "&amp;($A139&amp;J$132),MASTER!$L:$L,0))),"ml",""),":",".")),"0.00")&amp;"_"&amp;TEXT(INDEX(MASTER!$E:$E,MATCH("Cryovial box 11: "&amp;($A139&amp;J$132),MASTER!$L:$L,0)),"mmddyy"),"")</f>
        <v/>
      </c>
      <c r="K139" s="4" t="str">
        <f>IFERROR(INDEX(MASTER!$A:$A,MATCH("Cryovial box 11: "&amp;($A139&amp;K$132),MASTER!$L:$L,0))&amp;"_ser_"&amp;TEXT(VALUE(SUBSTITUTE(SUBSTITUTE(TRIM(INDEX(MASTER!$M:$M,MATCH("Cryovial box 11: "&amp;($A139&amp;K$132),MASTER!$L:$L,0))),"ml",""),":",".")),"0.00")&amp;"_"&amp;TEXT(INDEX(MASTER!$E:$E,MATCH("Cryovial box 11: "&amp;($A139&amp;K$132),MASTER!$L:$L,0)),"mmddyy"),"")</f>
        <v/>
      </c>
    </row>
    <row r="140" spans="1:11" ht="20.149999999999999" customHeight="1" x14ac:dyDescent="0.3">
      <c r="A140" s="6" t="s">
        <v>36</v>
      </c>
      <c r="B140" s="4" t="str">
        <f>IFERROR(INDEX(MASTER!$A:$A,MATCH("Cryovial box 11: "&amp;($A140&amp;B$132),MASTER!$L:$L,0))&amp;"_ser_"&amp;TEXT(VALUE(SUBSTITUTE(SUBSTITUTE(TRIM(INDEX(MASTER!$M:$M,MATCH("Cryovial box 11: "&amp;($A140&amp;B$132),MASTER!$L:$L,0))),"ml",""),":",".")),"0.00")&amp;"_"&amp;TEXT(INDEX(MASTER!$E:$E,MATCH("Cryovial box 11: "&amp;($A140&amp;B$132),MASTER!$L:$L,0)),"mmddyy"),"")</f>
        <v/>
      </c>
      <c r="C140" s="4" t="str">
        <f>IFERROR(INDEX(MASTER!$A:$A,MATCH("Cryovial box 11: "&amp;($A140&amp;C$132),MASTER!$L:$L,0))&amp;"_ser_"&amp;TEXT(VALUE(SUBSTITUTE(SUBSTITUTE(TRIM(INDEX(MASTER!$M:$M,MATCH("Cryovial box 11: "&amp;($A140&amp;C$132),MASTER!$L:$L,0))),"ml",""),":",".")),"0.00")&amp;"_"&amp;TEXT(INDEX(MASTER!$E:$E,MATCH("Cryovial box 11: "&amp;($A140&amp;C$132),MASTER!$L:$L,0)),"mmddyy"),"")</f>
        <v/>
      </c>
      <c r="D140" s="4" t="str">
        <f>IFERROR(INDEX(MASTER!$A:$A,MATCH("Cryovial box 11: "&amp;($A140&amp;D$132),MASTER!$L:$L,0))&amp;"_ser_"&amp;TEXT(VALUE(SUBSTITUTE(SUBSTITUTE(TRIM(INDEX(MASTER!$M:$M,MATCH("Cryovial box 11: "&amp;($A140&amp;D$132),MASTER!$L:$L,0))),"ml",""),":",".")),"0.00")&amp;"_"&amp;TEXT(INDEX(MASTER!$E:$E,MATCH("Cryovial box 11: "&amp;($A140&amp;D$132),MASTER!$L:$L,0)),"mmddyy"),"")</f>
        <v/>
      </c>
      <c r="E140" s="4" t="str">
        <f>IFERROR(INDEX(MASTER!$A:$A,MATCH("Cryovial box 11: "&amp;($A140&amp;E$132),MASTER!$L:$L,0))&amp;"_ser_"&amp;TEXT(VALUE(SUBSTITUTE(SUBSTITUTE(TRIM(INDEX(MASTER!$M:$M,MATCH("Cryovial box 11: "&amp;($A140&amp;E$132),MASTER!$L:$L,0))),"ml",""),":",".")),"0.00")&amp;"_"&amp;TEXT(INDEX(MASTER!$E:$E,MATCH("Cryovial box 11: "&amp;($A140&amp;E$132),MASTER!$L:$L,0)),"mmddyy"),"")</f>
        <v/>
      </c>
      <c r="F140" s="4" t="str">
        <f>IFERROR(INDEX(MASTER!$A:$A,MATCH("Cryovial box 11: "&amp;($A140&amp;F$132),MASTER!$L:$L,0))&amp;"_ser_"&amp;TEXT(VALUE(SUBSTITUTE(SUBSTITUTE(TRIM(INDEX(MASTER!$M:$M,MATCH("Cryovial box 11: "&amp;($A140&amp;F$132),MASTER!$L:$L,0))),"ml",""),":",".")),"0.00")&amp;"_"&amp;TEXT(INDEX(MASTER!$E:$E,MATCH("Cryovial box 11: "&amp;($A140&amp;F$132),MASTER!$L:$L,0)),"mmddyy"),"")</f>
        <v/>
      </c>
      <c r="G140" s="4" t="str">
        <f>IFERROR(INDEX(MASTER!$A:$A,MATCH("Cryovial box 11: "&amp;($A140&amp;G$132),MASTER!$L:$L,0))&amp;"_ser_"&amp;TEXT(VALUE(SUBSTITUTE(SUBSTITUTE(TRIM(INDEX(MASTER!$M:$M,MATCH("Cryovial box 11: "&amp;($A140&amp;G$132),MASTER!$L:$L,0))),"ml",""),":",".")),"0.00")&amp;"_"&amp;TEXT(INDEX(MASTER!$E:$E,MATCH("Cryovial box 11: "&amp;($A140&amp;G$132),MASTER!$L:$L,0)),"mmddyy"),"")</f>
        <v/>
      </c>
      <c r="H140" s="4" t="str">
        <f>IFERROR(INDEX(MASTER!$A:$A,MATCH("Cryovial box 11: "&amp;($A140&amp;H$132),MASTER!$L:$L,0))&amp;"_ser_"&amp;TEXT(VALUE(SUBSTITUTE(SUBSTITUTE(TRIM(INDEX(MASTER!$M:$M,MATCH("Cryovial box 11: "&amp;($A140&amp;H$132),MASTER!$L:$L,0))),"ml",""),":",".")),"0.00")&amp;"_"&amp;TEXT(INDEX(MASTER!$E:$E,MATCH("Cryovial box 11: "&amp;($A140&amp;H$132),MASTER!$L:$L,0)),"mmddyy"),"")</f>
        <v/>
      </c>
      <c r="I140" s="4" t="str">
        <f>IFERROR(INDEX(MASTER!$A:$A,MATCH("Cryovial box 11: "&amp;($A140&amp;I$132),MASTER!$L:$L,0))&amp;"_ser_"&amp;TEXT(VALUE(SUBSTITUTE(SUBSTITUTE(TRIM(INDEX(MASTER!$M:$M,MATCH("Cryovial box 11: "&amp;($A140&amp;I$132),MASTER!$L:$L,0))),"ml",""),":",".")),"0.00")&amp;"_"&amp;TEXT(INDEX(MASTER!$E:$E,MATCH("Cryovial box 11: "&amp;($A140&amp;I$132),MASTER!$L:$L,0)),"mmddyy"),"")</f>
        <v/>
      </c>
      <c r="J140" s="4" t="str">
        <f>IFERROR(INDEX(MASTER!$A:$A,MATCH("Cryovial box 11: "&amp;($A140&amp;J$132),MASTER!$L:$L,0))&amp;"_ser_"&amp;TEXT(VALUE(SUBSTITUTE(SUBSTITUTE(TRIM(INDEX(MASTER!$M:$M,MATCH("Cryovial box 11: "&amp;($A140&amp;J$132),MASTER!$L:$L,0))),"ml",""),":",".")),"0.00")&amp;"_"&amp;TEXT(INDEX(MASTER!$E:$E,MATCH("Cryovial box 11: "&amp;($A140&amp;J$132),MASTER!$L:$L,0)),"mmddyy"),"")</f>
        <v/>
      </c>
      <c r="K140" s="4" t="str">
        <f>IFERROR(INDEX(MASTER!$A:$A,MATCH("Cryovial box 11: "&amp;($A140&amp;K$132),MASTER!$L:$L,0))&amp;"_ser_"&amp;TEXT(VALUE(SUBSTITUTE(SUBSTITUTE(TRIM(INDEX(MASTER!$M:$M,MATCH("Cryovial box 11: "&amp;($A140&amp;K$132),MASTER!$L:$L,0))),"ml",""),":",".")),"0.00")&amp;"_"&amp;TEXT(INDEX(MASTER!$E:$E,MATCH("Cryovial box 11: "&amp;($A140&amp;K$132),MASTER!$L:$L,0)),"mmddyy"),"")</f>
        <v/>
      </c>
    </row>
    <row r="141" spans="1:11" ht="20.149999999999999" customHeight="1" x14ac:dyDescent="0.3">
      <c r="A141" s="6" t="s">
        <v>100</v>
      </c>
      <c r="B141" s="4" t="str">
        <f>IFERROR(INDEX(MASTER!$A:$A,MATCH("Cryovial box 11: "&amp;($A141&amp;B$132),MASTER!$L:$L,0))&amp;"_ser_"&amp;TEXT(VALUE(SUBSTITUTE(SUBSTITUTE(TRIM(INDEX(MASTER!$M:$M,MATCH("Cryovial box 11: "&amp;($A141&amp;B$132),MASTER!$L:$L,0))),"ml",""),":",".")),"0.00")&amp;"_"&amp;TEXT(INDEX(MASTER!$E:$E,MATCH("Cryovial box 11: "&amp;($A141&amp;B$132),MASTER!$L:$L,0)),"mmddyy"),"")</f>
        <v/>
      </c>
      <c r="C141" s="4" t="str">
        <f>IFERROR(INDEX(MASTER!$A:$A,MATCH("Cryovial box 11: "&amp;($A141&amp;C$132),MASTER!$L:$L,0))&amp;"_ser_"&amp;TEXT(VALUE(SUBSTITUTE(SUBSTITUTE(TRIM(INDEX(MASTER!$M:$M,MATCH("Cryovial box 11: "&amp;($A141&amp;C$132),MASTER!$L:$L,0))),"ml",""),":",".")),"0.00")&amp;"_"&amp;TEXT(INDEX(MASTER!$E:$E,MATCH("Cryovial box 11: "&amp;($A141&amp;C$132),MASTER!$L:$L,0)),"mmddyy"),"")</f>
        <v/>
      </c>
      <c r="D141" s="4" t="str">
        <f>IFERROR(INDEX(MASTER!$A:$A,MATCH("Cryovial box 11: "&amp;($A141&amp;D$132),MASTER!$L:$L,0))&amp;"_ser_"&amp;TEXT(VALUE(SUBSTITUTE(SUBSTITUTE(TRIM(INDEX(MASTER!$M:$M,MATCH("Cryovial box 11: "&amp;($A141&amp;D$132),MASTER!$L:$L,0))),"ml",""),":",".")),"0.00")&amp;"_"&amp;TEXT(INDEX(MASTER!$E:$E,MATCH("Cryovial box 11: "&amp;($A141&amp;D$132),MASTER!$L:$L,0)),"mmddyy"),"")</f>
        <v/>
      </c>
      <c r="E141" s="4" t="str">
        <f>IFERROR(INDEX(MASTER!$A:$A,MATCH("Cryovial box 11: "&amp;($A141&amp;E$132),MASTER!$L:$L,0))&amp;"_ser_"&amp;TEXT(VALUE(SUBSTITUTE(SUBSTITUTE(TRIM(INDEX(MASTER!$M:$M,MATCH("Cryovial box 11: "&amp;($A141&amp;E$132),MASTER!$L:$L,0))),"ml",""),":",".")),"0.00")&amp;"_"&amp;TEXT(INDEX(MASTER!$E:$E,MATCH("Cryovial box 11: "&amp;($A141&amp;E$132),MASTER!$L:$L,0)),"mmddyy"),"")</f>
        <v/>
      </c>
      <c r="F141" s="4" t="str">
        <f>IFERROR(INDEX(MASTER!$A:$A,MATCH("Cryovial box 11: "&amp;($A141&amp;F$132),MASTER!$L:$L,0))&amp;"_ser_"&amp;TEXT(VALUE(SUBSTITUTE(SUBSTITUTE(TRIM(INDEX(MASTER!$M:$M,MATCH("Cryovial box 11: "&amp;($A141&amp;F$132),MASTER!$L:$L,0))),"ml",""),":",".")),"0.00")&amp;"_"&amp;TEXT(INDEX(MASTER!$E:$E,MATCH("Cryovial box 11: "&amp;($A141&amp;F$132),MASTER!$L:$L,0)),"mmddyy"),"")</f>
        <v/>
      </c>
      <c r="G141" s="4" t="str">
        <f>IFERROR(INDEX(MASTER!$A:$A,MATCH("Cryovial box 11: "&amp;($A141&amp;G$132),MASTER!$L:$L,0))&amp;"_ser_"&amp;TEXT(VALUE(SUBSTITUTE(SUBSTITUTE(TRIM(INDEX(MASTER!$M:$M,MATCH("Cryovial box 11: "&amp;($A141&amp;G$132),MASTER!$L:$L,0))),"ml",""),":",".")),"0.00")&amp;"_"&amp;TEXT(INDEX(MASTER!$E:$E,MATCH("Cryovial box 11: "&amp;($A141&amp;G$132),MASTER!$L:$L,0)),"mmddyy"),"")</f>
        <v/>
      </c>
      <c r="H141" s="4" t="str">
        <f>IFERROR(INDEX(MASTER!$A:$A,MATCH("Cryovial box 11: "&amp;($A141&amp;H$132),MASTER!$L:$L,0))&amp;"_ser_"&amp;TEXT(VALUE(SUBSTITUTE(SUBSTITUTE(TRIM(INDEX(MASTER!$M:$M,MATCH("Cryovial box 11: "&amp;($A141&amp;H$132),MASTER!$L:$L,0))),"ml",""),":",".")),"0.00")&amp;"_"&amp;TEXT(INDEX(MASTER!$E:$E,MATCH("Cryovial box 11: "&amp;($A141&amp;H$132),MASTER!$L:$L,0)),"mmddyy"),"")</f>
        <v/>
      </c>
      <c r="I141" s="4" t="str">
        <f>IFERROR(INDEX(MASTER!$A:$A,MATCH("Cryovial box 11: "&amp;($A141&amp;I$132),MASTER!$L:$L,0))&amp;"_ser_"&amp;TEXT(VALUE(SUBSTITUTE(SUBSTITUTE(TRIM(INDEX(MASTER!$M:$M,MATCH("Cryovial box 11: "&amp;($A141&amp;I$132),MASTER!$L:$L,0))),"ml",""),":",".")),"0.00")&amp;"_"&amp;TEXT(INDEX(MASTER!$E:$E,MATCH("Cryovial box 11: "&amp;($A141&amp;I$132),MASTER!$L:$L,0)),"mmddyy"),"")</f>
        <v/>
      </c>
      <c r="J141" s="4" t="str">
        <f>IFERROR(INDEX(MASTER!$A:$A,MATCH("Cryovial box 11: "&amp;($A141&amp;J$132),MASTER!$L:$L,0))&amp;"_ser_"&amp;TEXT(VALUE(SUBSTITUTE(SUBSTITUTE(TRIM(INDEX(MASTER!$M:$M,MATCH("Cryovial box 11: "&amp;($A141&amp;J$132),MASTER!$L:$L,0))),"ml",""),":",".")),"0.00")&amp;"_"&amp;TEXT(INDEX(MASTER!$E:$E,MATCH("Cryovial box 11: "&amp;($A141&amp;J$132),MASTER!$L:$L,0)),"mmddyy"),"")</f>
        <v/>
      </c>
      <c r="K141" s="4" t="str">
        <f>IFERROR(INDEX(MASTER!$A:$A,MATCH("Cryovial box 11: "&amp;($A141&amp;K$132),MASTER!$L:$L,0))&amp;"_ser_"&amp;TEXT(VALUE(SUBSTITUTE(SUBSTITUTE(TRIM(INDEX(MASTER!$M:$M,MATCH("Cryovial box 11: "&amp;($A141&amp;K$132),MASTER!$L:$L,0))),"ml",""),":",".")),"0.00")&amp;"_"&amp;TEXT(INDEX(MASTER!$E:$E,MATCH("Cryovial box 11: "&amp;($A141&amp;K$132),MASTER!$L:$L,0)),"mmddyy"),"")</f>
        <v/>
      </c>
    </row>
    <row r="142" spans="1:11" ht="20.149999999999999" customHeight="1" x14ac:dyDescent="0.3">
      <c r="A142" s="6" t="s">
        <v>101</v>
      </c>
      <c r="B142" s="4" t="str">
        <f>IFERROR(INDEX(MASTER!$A:$A,MATCH("Cryovial box 11: "&amp;($A142&amp;B$132),MASTER!$L:$L,0))&amp;"_ser_"&amp;TEXT(VALUE(SUBSTITUTE(SUBSTITUTE(TRIM(INDEX(MASTER!$M:$M,MATCH("Cryovial box 11: "&amp;($A142&amp;B$132),MASTER!$L:$L,0))),"ml",""),":",".")),"0.00")&amp;"_"&amp;TEXT(INDEX(MASTER!$E:$E,MATCH("Cryovial box 11: "&amp;($A142&amp;B$132),MASTER!$L:$L,0)),"mmddyy"),"")</f>
        <v/>
      </c>
      <c r="C142" s="4" t="str">
        <f>IFERROR(INDEX(MASTER!$A:$A,MATCH("Cryovial box 11: "&amp;($A142&amp;C$132),MASTER!$L:$L,0))&amp;"_ser_"&amp;TEXT(VALUE(SUBSTITUTE(SUBSTITUTE(TRIM(INDEX(MASTER!$M:$M,MATCH("Cryovial box 11: "&amp;($A142&amp;C$132),MASTER!$L:$L,0))),"ml",""),":",".")),"0.00")&amp;"_"&amp;TEXT(INDEX(MASTER!$E:$E,MATCH("Cryovial box 11: "&amp;($A142&amp;C$132),MASTER!$L:$L,0)),"mmddyy"),"")</f>
        <v/>
      </c>
      <c r="D142" s="4" t="str">
        <f>IFERROR(INDEX(MASTER!$A:$A,MATCH("Cryovial box 11: "&amp;($A142&amp;D$132),MASTER!$L:$L,0))&amp;"_ser_"&amp;TEXT(VALUE(SUBSTITUTE(SUBSTITUTE(TRIM(INDEX(MASTER!$M:$M,MATCH("Cryovial box 11: "&amp;($A142&amp;D$132),MASTER!$L:$L,0))),"ml",""),":",".")),"0.00")&amp;"_"&amp;TEXT(INDEX(MASTER!$E:$E,MATCH("Cryovial box 11: "&amp;($A142&amp;D$132),MASTER!$L:$L,0)),"mmddyy"),"")</f>
        <v/>
      </c>
      <c r="E142" s="4" t="str">
        <f>IFERROR(INDEX(MASTER!$A:$A,MATCH("Cryovial box 11: "&amp;($A142&amp;E$132),MASTER!$L:$L,0))&amp;"_ser_"&amp;TEXT(VALUE(SUBSTITUTE(SUBSTITUTE(TRIM(INDEX(MASTER!$M:$M,MATCH("Cryovial box 11: "&amp;($A142&amp;E$132),MASTER!$L:$L,0))),"ml",""),":",".")),"0.00")&amp;"_"&amp;TEXT(INDEX(MASTER!$E:$E,MATCH("Cryovial box 11: "&amp;($A142&amp;E$132),MASTER!$L:$L,0)),"mmddyy"),"")</f>
        <v/>
      </c>
      <c r="F142" s="4" t="str">
        <f>IFERROR(INDEX(MASTER!$A:$A,MATCH("Cryovial box 11: "&amp;($A142&amp;F$132),MASTER!$L:$L,0))&amp;"_ser_"&amp;TEXT(VALUE(SUBSTITUTE(SUBSTITUTE(TRIM(INDEX(MASTER!$M:$M,MATCH("Cryovial box 11: "&amp;($A142&amp;F$132),MASTER!$L:$L,0))),"ml",""),":",".")),"0.00")&amp;"_"&amp;TEXT(INDEX(MASTER!$E:$E,MATCH("Cryovial box 11: "&amp;($A142&amp;F$132),MASTER!$L:$L,0)),"mmddyy"),"")</f>
        <v/>
      </c>
      <c r="G142" s="4" t="str">
        <f>IFERROR(INDEX(MASTER!$A:$A,MATCH("Cryovial box 11: "&amp;($A142&amp;G$132),MASTER!$L:$L,0))&amp;"_ser_"&amp;TEXT(VALUE(SUBSTITUTE(SUBSTITUTE(TRIM(INDEX(MASTER!$M:$M,MATCH("Cryovial box 11: "&amp;($A142&amp;G$132),MASTER!$L:$L,0))),"ml",""),":",".")),"0.00")&amp;"_"&amp;TEXT(INDEX(MASTER!$E:$E,MATCH("Cryovial box 11: "&amp;($A142&amp;G$132),MASTER!$L:$L,0)),"mmddyy"),"")</f>
        <v/>
      </c>
      <c r="H142" s="4" t="str">
        <f>IFERROR(INDEX(MASTER!$A:$A,MATCH("Cryovial box 11: "&amp;($A142&amp;H$132),MASTER!$L:$L,0))&amp;"_ser_"&amp;TEXT(VALUE(SUBSTITUTE(SUBSTITUTE(TRIM(INDEX(MASTER!$M:$M,MATCH("Cryovial box 11: "&amp;($A142&amp;H$132),MASTER!$L:$L,0))),"ml",""),":",".")),"0.00")&amp;"_"&amp;TEXT(INDEX(MASTER!$E:$E,MATCH("Cryovial box 11: "&amp;($A142&amp;H$132),MASTER!$L:$L,0)),"mmddyy"),"")</f>
        <v/>
      </c>
      <c r="I142" s="4" t="str">
        <f>IFERROR(INDEX(MASTER!$A:$A,MATCH("Cryovial box 11: "&amp;($A142&amp;I$132),MASTER!$L:$L,0))&amp;"_ser_"&amp;TEXT(VALUE(SUBSTITUTE(SUBSTITUTE(TRIM(INDEX(MASTER!$M:$M,MATCH("Cryovial box 11: "&amp;($A142&amp;I$132),MASTER!$L:$L,0))),"ml",""),":",".")),"0.00")&amp;"_"&amp;TEXT(INDEX(MASTER!$E:$E,MATCH("Cryovial box 11: "&amp;($A142&amp;I$132),MASTER!$L:$L,0)),"mmddyy"),"")</f>
        <v/>
      </c>
      <c r="J142" s="4" t="str">
        <f>IFERROR(INDEX(MASTER!$A:$A,MATCH("Cryovial box 11: "&amp;($A142&amp;J$132),MASTER!$L:$L,0))&amp;"_ser_"&amp;TEXT(VALUE(SUBSTITUTE(SUBSTITUTE(TRIM(INDEX(MASTER!$M:$M,MATCH("Cryovial box 11: "&amp;($A142&amp;J$132),MASTER!$L:$L,0))),"ml",""),":",".")),"0.00")&amp;"_"&amp;TEXT(INDEX(MASTER!$E:$E,MATCH("Cryovial box 11: "&amp;($A142&amp;J$132),MASTER!$L:$L,0)),"mmddyy"),"")</f>
        <v/>
      </c>
      <c r="K142" s="4" t="str">
        <f>IFERROR(INDEX(MASTER!$A:$A,MATCH("Cryovial box 11: "&amp;($A142&amp;K$132),MASTER!$L:$L,0))&amp;"_ser_"&amp;TEXT(VALUE(SUBSTITUTE(SUBSTITUTE(TRIM(INDEX(MASTER!$M:$M,MATCH("Cryovial box 11: "&amp;($A142&amp;K$132),MASTER!$L:$L,0))),"ml",""),":",".")),"0.00")&amp;"_"&amp;TEXT(INDEX(MASTER!$E:$E,MATCH("Cryovial box 11: "&amp;($A142&amp;K$132),MASTER!$L:$L,0)),"mmddyy"),"")</f>
        <v/>
      </c>
    </row>
    <row r="143" spans="1:11" ht="14.1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 ht="14.15" customHeight="1" x14ac:dyDescent="0.3">
      <c r="A144" s="5"/>
      <c r="B144" s="31" t="s">
        <v>112</v>
      </c>
      <c r="C144" s="36"/>
      <c r="D144" s="36"/>
      <c r="E144" s="36"/>
      <c r="F144" s="36"/>
      <c r="G144" s="36"/>
      <c r="H144" s="36"/>
      <c r="I144" s="36"/>
      <c r="J144" s="36"/>
      <c r="K144" s="37"/>
    </row>
    <row r="145" spans="1:11" ht="14.15" customHeight="1" x14ac:dyDescent="0.3">
      <c r="A145" s="5"/>
      <c r="B145" s="6">
        <v>1</v>
      </c>
      <c r="C145" s="6">
        <v>2</v>
      </c>
      <c r="D145" s="6">
        <v>3</v>
      </c>
      <c r="E145" s="6">
        <v>4</v>
      </c>
      <c r="F145" s="6">
        <v>5</v>
      </c>
      <c r="G145" s="6">
        <v>6</v>
      </c>
      <c r="H145" s="6">
        <v>7</v>
      </c>
      <c r="I145" s="6">
        <v>8</v>
      </c>
      <c r="J145" s="6">
        <v>9</v>
      </c>
      <c r="K145" s="6">
        <v>10</v>
      </c>
    </row>
    <row r="146" spans="1:11" ht="20.149999999999999" customHeight="1" x14ac:dyDescent="0.3">
      <c r="A146" s="6" t="s">
        <v>30</v>
      </c>
      <c r="B146" s="4" t="str">
        <f>IFERROR(INDEX(MASTER!$A:$A,MATCH("Cryovial box 12: "&amp;($A146&amp;B$145),MASTER!$L:$L,0))&amp;"_ser_"&amp;TEXT(VALUE(SUBSTITUTE(SUBSTITUTE(TRIM(INDEX(MASTER!$M:$M,MATCH("Cryovial box 12: "&amp;($A146&amp;B$145),MASTER!$L:$L,0))),"ml",""),":",".")),"0.00")&amp;"_"&amp;TEXT(INDEX(MASTER!$E:$E,MATCH("Cryovial box 12: "&amp;($A146&amp;B$145),MASTER!$L:$L,0)),"mmddyy"),"")</f>
        <v/>
      </c>
      <c r="C146" s="4" t="str">
        <f>IFERROR(INDEX(MASTER!$A:$A,MATCH("Cryovial box 12: "&amp;($A146&amp;C$145),MASTER!$L:$L,0))&amp;"_ser_"&amp;TEXT(VALUE(SUBSTITUTE(SUBSTITUTE(TRIM(INDEX(MASTER!$M:$M,MATCH("Cryovial box 12: "&amp;($A146&amp;C$145),MASTER!$L:$L,0))),"ml",""),":",".")),"0.00")&amp;"_"&amp;TEXT(INDEX(MASTER!$E:$E,MATCH("Cryovial box 12: "&amp;($A146&amp;C$145),MASTER!$L:$L,0)),"mmddyy"),"")</f>
        <v/>
      </c>
      <c r="D146" s="4" t="str">
        <f>IFERROR(INDEX(MASTER!$A:$A,MATCH("Cryovial box 12: "&amp;($A146&amp;D$145),MASTER!$L:$L,0))&amp;"_ser_"&amp;TEXT(VALUE(SUBSTITUTE(SUBSTITUTE(TRIM(INDEX(MASTER!$M:$M,MATCH("Cryovial box 12: "&amp;($A146&amp;D$145),MASTER!$L:$L,0))),"ml",""),":",".")),"0.00")&amp;"_"&amp;TEXT(INDEX(MASTER!$E:$E,MATCH("Cryovial box 12: "&amp;($A146&amp;D$145),MASTER!$L:$L,0)),"mmddyy"),"")</f>
        <v/>
      </c>
      <c r="E146" s="4" t="str">
        <f>IFERROR(INDEX(MASTER!$A:$A,MATCH("Cryovial box 12: "&amp;($A146&amp;E$145),MASTER!$L:$L,0))&amp;"_ser_"&amp;TEXT(VALUE(SUBSTITUTE(SUBSTITUTE(TRIM(INDEX(MASTER!$M:$M,MATCH("Cryovial box 12: "&amp;($A146&amp;E$145),MASTER!$L:$L,0))),"ml",""),":",".")),"0.00")&amp;"_"&amp;TEXT(INDEX(MASTER!$E:$E,MATCH("Cryovial box 12: "&amp;($A146&amp;E$145),MASTER!$L:$L,0)),"mmddyy"),"")</f>
        <v/>
      </c>
      <c r="F146" s="4" t="str">
        <f>IFERROR(INDEX(MASTER!$A:$A,MATCH("Cryovial box 12: "&amp;($A146&amp;F$145),MASTER!$L:$L,0))&amp;"_ser_"&amp;TEXT(VALUE(SUBSTITUTE(SUBSTITUTE(TRIM(INDEX(MASTER!$M:$M,MATCH("Cryovial box 12: "&amp;($A146&amp;F$145),MASTER!$L:$L,0))),"ml",""),":",".")),"0.00")&amp;"_"&amp;TEXT(INDEX(MASTER!$E:$E,MATCH("Cryovial box 12: "&amp;($A146&amp;F$145),MASTER!$L:$L,0)),"mmddyy"),"")</f>
        <v/>
      </c>
      <c r="G146" s="4" t="str">
        <f>IFERROR(INDEX(MASTER!$A:$A,MATCH("Cryovial box 12: "&amp;($A146&amp;G$145),MASTER!$L:$L,0))&amp;"_ser_"&amp;TEXT(VALUE(SUBSTITUTE(SUBSTITUTE(TRIM(INDEX(MASTER!$M:$M,MATCH("Cryovial box 12: "&amp;($A146&amp;G$145),MASTER!$L:$L,0))),"ml",""),":",".")),"0.00")&amp;"_"&amp;TEXT(INDEX(MASTER!$E:$E,MATCH("Cryovial box 12: "&amp;($A146&amp;G$145),MASTER!$L:$L,0)),"mmddyy"),"")</f>
        <v/>
      </c>
      <c r="H146" s="4" t="str">
        <f>IFERROR(INDEX(MASTER!$A:$A,MATCH("Cryovial box 12: "&amp;($A146&amp;H$145),MASTER!$L:$L,0))&amp;"_ser_"&amp;TEXT(VALUE(SUBSTITUTE(SUBSTITUTE(TRIM(INDEX(MASTER!$M:$M,MATCH("Cryovial box 12: "&amp;($A146&amp;H$145),MASTER!$L:$L,0))),"ml",""),":",".")),"0.00")&amp;"_"&amp;TEXT(INDEX(MASTER!$E:$E,MATCH("Cryovial box 12: "&amp;($A146&amp;H$145),MASTER!$L:$L,0)),"mmddyy"),"")</f>
        <v/>
      </c>
      <c r="I146" s="4" t="str">
        <f>IFERROR(INDEX(MASTER!$A:$A,MATCH("Cryovial box 12: "&amp;($A146&amp;I$145),MASTER!$L:$L,0))&amp;"_ser_"&amp;TEXT(VALUE(SUBSTITUTE(SUBSTITUTE(TRIM(INDEX(MASTER!$M:$M,MATCH("Cryovial box 12: "&amp;($A146&amp;I$145),MASTER!$L:$L,0))),"ml",""),":",".")),"0.00")&amp;"_"&amp;TEXT(INDEX(MASTER!$E:$E,MATCH("Cryovial box 12: "&amp;($A146&amp;I$145),MASTER!$L:$L,0)),"mmddyy"),"")</f>
        <v/>
      </c>
      <c r="J146" s="4" t="str">
        <f>IFERROR(INDEX(MASTER!$A:$A,MATCH("Cryovial box 12: "&amp;($A146&amp;J$145),MASTER!$L:$L,0))&amp;"_ser_"&amp;TEXT(VALUE(SUBSTITUTE(SUBSTITUTE(TRIM(INDEX(MASTER!$M:$M,MATCH("Cryovial box 12: "&amp;($A146&amp;J$145),MASTER!$L:$L,0))),"ml",""),":",".")),"0.00")&amp;"_"&amp;TEXT(INDEX(MASTER!$E:$E,MATCH("Cryovial box 12: "&amp;($A146&amp;J$145),MASTER!$L:$L,0)),"mmddyy"),"")</f>
        <v/>
      </c>
      <c r="K146" s="4" t="str">
        <f>IFERROR(INDEX(MASTER!$A:$A,MATCH("Cryovial box 12: "&amp;($A146&amp;K$145),MASTER!$L:$L,0))&amp;"_ser_"&amp;TEXT(VALUE(SUBSTITUTE(SUBSTITUTE(TRIM(INDEX(MASTER!$M:$M,MATCH("Cryovial box 12: "&amp;($A146&amp;K$145),MASTER!$L:$L,0))),"ml",""),":",".")),"0.00")&amp;"_"&amp;TEXT(INDEX(MASTER!$E:$E,MATCH("Cryovial box 12: "&amp;($A146&amp;K$145),MASTER!$L:$L,0)),"mmddyy"),"")</f>
        <v/>
      </c>
    </row>
    <row r="147" spans="1:11" ht="20.149999999999999" customHeight="1" x14ac:dyDescent="0.3">
      <c r="A147" s="6" t="s">
        <v>31</v>
      </c>
      <c r="B147" s="4" t="str">
        <f>IFERROR(INDEX(MASTER!$A:$A,MATCH("Cryovial box 12: "&amp;($A147&amp;B$145),MASTER!$L:$L,0))&amp;"_ser_"&amp;TEXT(VALUE(SUBSTITUTE(SUBSTITUTE(TRIM(INDEX(MASTER!$M:$M,MATCH("Cryovial box 12: "&amp;($A147&amp;B$145),MASTER!$L:$L,0))),"ml",""),":",".")),"0.00")&amp;"_"&amp;TEXT(INDEX(MASTER!$E:$E,MATCH("Cryovial box 12: "&amp;($A147&amp;B$145),MASTER!$L:$L,0)),"mmddyy"),"")</f>
        <v/>
      </c>
      <c r="C147" s="4" t="str">
        <f>IFERROR(INDEX(MASTER!$A:$A,MATCH("Cryovial box 12: "&amp;($A147&amp;C$145),MASTER!$L:$L,0))&amp;"_ser_"&amp;TEXT(VALUE(SUBSTITUTE(SUBSTITUTE(TRIM(INDEX(MASTER!$M:$M,MATCH("Cryovial box 12: "&amp;($A147&amp;C$145),MASTER!$L:$L,0))),"ml",""),":",".")),"0.00")&amp;"_"&amp;TEXT(INDEX(MASTER!$E:$E,MATCH("Cryovial box 12: "&amp;($A147&amp;C$145),MASTER!$L:$L,0)),"mmddyy"),"")</f>
        <v/>
      </c>
      <c r="D147" s="4" t="str">
        <f>IFERROR(INDEX(MASTER!$A:$A,MATCH("Cryovial box 12: "&amp;($A147&amp;D$145),MASTER!$L:$L,0))&amp;"_ser_"&amp;TEXT(VALUE(SUBSTITUTE(SUBSTITUTE(TRIM(INDEX(MASTER!$M:$M,MATCH("Cryovial box 12: "&amp;($A147&amp;D$145),MASTER!$L:$L,0))),"ml",""),":",".")),"0.00")&amp;"_"&amp;TEXT(INDEX(MASTER!$E:$E,MATCH("Cryovial box 12: "&amp;($A147&amp;D$145),MASTER!$L:$L,0)),"mmddyy"),"")</f>
        <v/>
      </c>
      <c r="E147" s="4" t="str">
        <f>IFERROR(INDEX(MASTER!$A:$A,MATCH("Cryovial box 12: "&amp;($A147&amp;E$145),MASTER!$L:$L,0))&amp;"_ser_"&amp;TEXT(VALUE(SUBSTITUTE(SUBSTITUTE(TRIM(INDEX(MASTER!$M:$M,MATCH("Cryovial box 12: "&amp;($A147&amp;E$145),MASTER!$L:$L,0))),"ml",""),":",".")),"0.00")&amp;"_"&amp;TEXT(INDEX(MASTER!$E:$E,MATCH("Cryovial box 12: "&amp;($A147&amp;E$145),MASTER!$L:$L,0)),"mmddyy"),"")</f>
        <v/>
      </c>
      <c r="F147" s="4" t="str">
        <f>IFERROR(INDEX(MASTER!$A:$A,MATCH("Cryovial box 12: "&amp;($A147&amp;F$145),MASTER!$L:$L,0))&amp;"_ser_"&amp;TEXT(VALUE(SUBSTITUTE(SUBSTITUTE(TRIM(INDEX(MASTER!$M:$M,MATCH("Cryovial box 12: "&amp;($A147&amp;F$145),MASTER!$L:$L,0))),"ml",""),":",".")),"0.00")&amp;"_"&amp;TEXT(INDEX(MASTER!$E:$E,MATCH("Cryovial box 12: "&amp;($A147&amp;F$145),MASTER!$L:$L,0)),"mmddyy"),"")</f>
        <v/>
      </c>
      <c r="G147" s="4" t="str">
        <f>IFERROR(INDEX(MASTER!$A:$A,MATCH("Cryovial box 12: "&amp;($A147&amp;G$145),MASTER!$L:$L,0))&amp;"_ser_"&amp;TEXT(VALUE(SUBSTITUTE(SUBSTITUTE(TRIM(INDEX(MASTER!$M:$M,MATCH("Cryovial box 12: "&amp;($A147&amp;G$145),MASTER!$L:$L,0))),"ml",""),":",".")),"0.00")&amp;"_"&amp;TEXT(INDEX(MASTER!$E:$E,MATCH("Cryovial box 12: "&amp;($A147&amp;G$145),MASTER!$L:$L,0)),"mmddyy"),"")</f>
        <v/>
      </c>
      <c r="H147" s="4" t="str">
        <f>IFERROR(INDEX(MASTER!$A:$A,MATCH("Cryovial box 12: "&amp;($A147&amp;H$145),MASTER!$L:$L,0))&amp;"_ser_"&amp;TEXT(VALUE(SUBSTITUTE(SUBSTITUTE(TRIM(INDEX(MASTER!$M:$M,MATCH("Cryovial box 12: "&amp;($A147&amp;H$145),MASTER!$L:$L,0))),"ml",""),":",".")),"0.00")&amp;"_"&amp;TEXT(INDEX(MASTER!$E:$E,MATCH("Cryovial box 12: "&amp;($A147&amp;H$145),MASTER!$L:$L,0)),"mmddyy"),"")</f>
        <v/>
      </c>
      <c r="I147" s="4" t="str">
        <f>IFERROR(INDEX(MASTER!$A:$A,MATCH("Cryovial box 12: "&amp;($A147&amp;I$145),MASTER!$L:$L,0))&amp;"_ser_"&amp;TEXT(VALUE(SUBSTITUTE(SUBSTITUTE(TRIM(INDEX(MASTER!$M:$M,MATCH("Cryovial box 12: "&amp;($A147&amp;I$145),MASTER!$L:$L,0))),"ml",""),":",".")),"0.00")&amp;"_"&amp;TEXT(INDEX(MASTER!$E:$E,MATCH("Cryovial box 12: "&amp;($A147&amp;I$145),MASTER!$L:$L,0)),"mmddyy"),"")</f>
        <v/>
      </c>
      <c r="J147" s="4" t="str">
        <f>IFERROR(INDEX(MASTER!$A:$A,MATCH("Cryovial box 12: "&amp;($A147&amp;J$145),MASTER!$L:$L,0))&amp;"_ser_"&amp;TEXT(VALUE(SUBSTITUTE(SUBSTITUTE(TRIM(INDEX(MASTER!$M:$M,MATCH("Cryovial box 12: "&amp;($A147&amp;J$145),MASTER!$L:$L,0))),"ml",""),":",".")),"0.00")&amp;"_"&amp;TEXT(INDEX(MASTER!$E:$E,MATCH("Cryovial box 12: "&amp;($A147&amp;J$145),MASTER!$L:$L,0)),"mmddyy"),"")</f>
        <v/>
      </c>
      <c r="K147" s="4" t="str">
        <f>IFERROR(INDEX(MASTER!$A:$A,MATCH("Cryovial box 12: "&amp;($A147&amp;K$145),MASTER!$L:$L,0))&amp;"_ser_"&amp;TEXT(VALUE(SUBSTITUTE(SUBSTITUTE(TRIM(INDEX(MASTER!$M:$M,MATCH("Cryovial box 12: "&amp;($A147&amp;K$145),MASTER!$L:$L,0))),"ml",""),":",".")),"0.00")&amp;"_"&amp;TEXT(INDEX(MASTER!$E:$E,MATCH("Cryovial box 12: "&amp;($A147&amp;K$145),MASTER!$L:$L,0)),"mmddyy"),"")</f>
        <v/>
      </c>
    </row>
    <row r="148" spans="1:11" ht="20.149999999999999" customHeight="1" x14ac:dyDescent="0.3">
      <c r="A148" s="6" t="s">
        <v>32</v>
      </c>
      <c r="B148" s="4" t="str">
        <f>IFERROR(INDEX(MASTER!$A:$A,MATCH("Cryovial box 12: "&amp;($A148&amp;B$145),MASTER!$L:$L,0))&amp;"_ser_"&amp;TEXT(VALUE(SUBSTITUTE(SUBSTITUTE(TRIM(INDEX(MASTER!$M:$M,MATCH("Cryovial box 12: "&amp;($A148&amp;B$145),MASTER!$L:$L,0))),"ml",""),":",".")),"0.00")&amp;"_"&amp;TEXT(INDEX(MASTER!$E:$E,MATCH("Cryovial box 12: "&amp;($A148&amp;B$145),MASTER!$L:$L,0)),"mmddyy"),"")</f>
        <v/>
      </c>
      <c r="C148" s="4" t="str">
        <f>IFERROR(INDEX(MASTER!$A:$A,MATCH("Cryovial box 12: "&amp;($A148&amp;C$145),MASTER!$L:$L,0))&amp;"_ser_"&amp;TEXT(VALUE(SUBSTITUTE(SUBSTITUTE(TRIM(INDEX(MASTER!$M:$M,MATCH("Cryovial box 12: "&amp;($A148&amp;C$145),MASTER!$L:$L,0))),"ml",""),":",".")),"0.00")&amp;"_"&amp;TEXT(INDEX(MASTER!$E:$E,MATCH("Cryovial box 12: "&amp;($A148&amp;C$145),MASTER!$L:$L,0)),"mmddyy"),"")</f>
        <v/>
      </c>
      <c r="D148" s="4" t="str">
        <f>IFERROR(INDEX(MASTER!$A:$A,MATCH("Cryovial box 12: "&amp;($A148&amp;D$145),MASTER!$L:$L,0))&amp;"_ser_"&amp;TEXT(VALUE(SUBSTITUTE(SUBSTITUTE(TRIM(INDEX(MASTER!$M:$M,MATCH("Cryovial box 12: "&amp;($A148&amp;D$145),MASTER!$L:$L,0))),"ml",""),":",".")),"0.00")&amp;"_"&amp;TEXT(INDEX(MASTER!$E:$E,MATCH("Cryovial box 12: "&amp;($A148&amp;D$145),MASTER!$L:$L,0)),"mmddyy"),"")</f>
        <v/>
      </c>
      <c r="E148" s="4" t="str">
        <f>IFERROR(INDEX(MASTER!$A:$A,MATCH("Cryovial box 12: "&amp;($A148&amp;E$145),MASTER!$L:$L,0))&amp;"_ser_"&amp;TEXT(VALUE(SUBSTITUTE(SUBSTITUTE(TRIM(INDEX(MASTER!$M:$M,MATCH("Cryovial box 12: "&amp;($A148&amp;E$145),MASTER!$L:$L,0))),"ml",""),":",".")),"0.00")&amp;"_"&amp;TEXT(INDEX(MASTER!$E:$E,MATCH("Cryovial box 12: "&amp;($A148&amp;E$145),MASTER!$L:$L,0)),"mmddyy"),"")</f>
        <v/>
      </c>
      <c r="F148" s="4" t="str">
        <f>IFERROR(INDEX(MASTER!$A:$A,MATCH("Cryovial box 12: "&amp;($A148&amp;F$145),MASTER!$L:$L,0))&amp;"_ser_"&amp;TEXT(VALUE(SUBSTITUTE(SUBSTITUTE(TRIM(INDEX(MASTER!$M:$M,MATCH("Cryovial box 12: "&amp;($A148&amp;F$145),MASTER!$L:$L,0))),"ml",""),":",".")),"0.00")&amp;"_"&amp;TEXT(INDEX(MASTER!$E:$E,MATCH("Cryovial box 12: "&amp;($A148&amp;F$145),MASTER!$L:$L,0)),"mmddyy"),"")</f>
        <v/>
      </c>
      <c r="G148" s="4" t="str">
        <f>IFERROR(INDEX(MASTER!$A:$A,MATCH("Cryovial box 12: "&amp;($A148&amp;G$145),MASTER!$L:$L,0))&amp;"_ser_"&amp;TEXT(VALUE(SUBSTITUTE(SUBSTITUTE(TRIM(INDEX(MASTER!$M:$M,MATCH("Cryovial box 12: "&amp;($A148&amp;G$145),MASTER!$L:$L,0))),"ml",""),":",".")),"0.00")&amp;"_"&amp;TEXT(INDEX(MASTER!$E:$E,MATCH("Cryovial box 12: "&amp;($A148&amp;G$145),MASTER!$L:$L,0)),"mmddyy"),"")</f>
        <v/>
      </c>
      <c r="H148" s="4" t="str">
        <f>IFERROR(INDEX(MASTER!$A:$A,MATCH("Cryovial box 12: "&amp;($A148&amp;H$145),MASTER!$L:$L,0))&amp;"_ser_"&amp;TEXT(VALUE(SUBSTITUTE(SUBSTITUTE(TRIM(INDEX(MASTER!$M:$M,MATCH("Cryovial box 12: "&amp;($A148&amp;H$145),MASTER!$L:$L,0))),"ml",""),":",".")),"0.00")&amp;"_"&amp;TEXT(INDEX(MASTER!$E:$E,MATCH("Cryovial box 12: "&amp;($A148&amp;H$145),MASTER!$L:$L,0)),"mmddyy"),"")</f>
        <v/>
      </c>
      <c r="I148" s="4" t="str">
        <f>IFERROR(INDEX(MASTER!$A:$A,MATCH("Cryovial box 12: "&amp;($A148&amp;I$145),MASTER!$L:$L,0))&amp;"_ser_"&amp;TEXT(VALUE(SUBSTITUTE(SUBSTITUTE(TRIM(INDEX(MASTER!$M:$M,MATCH("Cryovial box 12: "&amp;($A148&amp;I$145),MASTER!$L:$L,0))),"ml",""),":",".")),"0.00")&amp;"_"&amp;TEXT(INDEX(MASTER!$E:$E,MATCH("Cryovial box 12: "&amp;($A148&amp;I$145),MASTER!$L:$L,0)),"mmddyy"),"")</f>
        <v/>
      </c>
      <c r="J148" s="4" t="str">
        <f>IFERROR(INDEX(MASTER!$A:$A,MATCH("Cryovial box 12: "&amp;($A148&amp;J$145),MASTER!$L:$L,0))&amp;"_ser_"&amp;TEXT(VALUE(SUBSTITUTE(SUBSTITUTE(TRIM(INDEX(MASTER!$M:$M,MATCH("Cryovial box 12: "&amp;($A148&amp;J$145),MASTER!$L:$L,0))),"ml",""),":",".")),"0.00")&amp;"_"&amp;TEXT(INDEX(MASTER!$E:$E,MATCH("Cryovial box 12: "&amp;($A148&amp;J$145),MASTER!$L:$L,0)),"mmddyy"),"")</f>
        <v/>
      </c>
      <c r="K148" s="4" t="str">
        <f>IFERROR(INDEX(MASTER!$A:$A,MATCH("Cryovial box 12: "&amp;($A148&amp;K$145),MASTER!$L:$L,0))&amp;"_ser_"&amp;TEXT(VALUE(SUBSTITUTE(SUBSTITUTE(TRIM(INDEX(MASTER!$M:$M,MATCH("Cryovial box 12: "&amp;($A148&amp;K$145),MASTER!$L:$L,0))),"ml",""),":",".")),"0.00")&amp;"_"&amp;TEXT(INDEX(MASTER!$E:$E,MATCH("Cryovial box 12: "&amp;($A148&amp;K$145),MASTER!$L:$L,0)),"mmddyy"),"")</f>
        <v/>
      </c>
    </row>
    <row r="149" spans="1:11" ht="20.149999999999999" customHeight="1" x14ac:dyDescent="0.3">
      <c r="A149" s="6" t="s">
        <v>33</v>
      </c>
      <c r="B149" s="4" t="str">
        <f>IFERROR(INDEX(MASTER!$A:$A,MATCH("Cryovial box 12: "&amp;($A149&amp;B$145),MASTER!$L:$L,0))&amp;"_ser_"&amp;TEXT(VALUE(SUBSTITUTE(SUBSTITUTE(TRIM(INDEX(MASTER!$M:$M,MATCH("Cryovial box 12: "&amp;($A149&amp;B$145),MASTER!$L:$L,0))),"ml",""),":",".")),"0.00")&amp;"_"&amp;TEXT(INDEX(MASTER!$E:$E,MATCH("Cryovial box 12: "&amp;($A149&amp;B$145),MASTER!$L:$L,0)),"mmddyy"),"")</f>
        <v/>
      </c>
      <c r="C149" s="4" t="str">
        <f>IFERROR(INDEX(MASTER!$A:$A,MATCH("Cryovial box 12: "&amp;($A149&amp;C$145),MASTER!$L:$L,0))&amp;"_ser_"&amp;TEXT(VALUE(SUBSTITUTE(SUBSTITUTE(TRIM(INDEX(MASTER!$M:$M,MATCH("Cryovial box 12: "&amp;($A149&amp;C$145),MASTER!$L:$L,0))),"ml",""),":",".")),"0.00")&amp;"_"&amp;TEXT(INDEX(MASTER!$E:$E,MATCH("Cryovial box 12: "&amp;($A149&amp;C$145),MASTER!$L:$L,0)),"mmddyy"),"")</f>
        <v/>
      </c>
      <c r="D149" s="4" t="str">
        <f>IFERROR(INDEX(MASTER!$A:$A,MATCH("Cryovial box 12: "&amp;($A149&amp;D$145),MASTER!$L:$L,0))&amp;"_ser_"&amp;TEXT(VALUE(SUBSTITUTE(SUBSTITUTE(TRIM(INDEX(MASTER!$M:$M,MATCH("Cryovial box 12: "&amp;($A149&amp;D$145),MASTER!$L:$L,0))),"ml",""),":",".")),"0.00")&amp;"_"&amp;TEXT(INDEX(MASTER!$E:$E,MATCH("Cryovial box 12: "&amp;($A149&amp;D$145),MASTER!$L:$L,0)),"mmddyy"),"")</f>
        <v/>
      </c>
      <c r="E149" s="4" t="str">
        <f>IFERROR(INDEX(MASTER!$A:$A,MATCH("Cryovial box 12: "&amp;($A149&amp;E$145),MASTER!$L:$L,0))&amp;"_ser_"&amp;TEXT(VALUE(SUBSTITUTE(SUBSTITUTE(TRIM(INDEX(MASTER!$M:$M,MATCH("Cryovial box 12: "&amp;($A149&amp;E$145),MASTER!$L:$L,0))),"ml",""),":",".")),"0.00")&amp;"_"&amp;TEXT(INDEX(MASTER!$E:$E,MATCH("Cryovial box 12: "&amp;($A149&amp;E$145),MASTER!$L:$L,0)),"mmddyy"),"")</f>
        <v/>
      </c>
      <c r="F149" s="4" t="str">
        <f>IFERROR(INDEX(MASTER!$A:$A,MATCH("Cryovial box 12: "&amp;($A149&amp;F$145),MASTER!$L:$L,0))&amp;"_ser_"&amp;TEXT(VALUE(SUBSTITUTE(SUBSTITUTE(TRIM(INDEX(MASTER!$M:$M,MATCH("Cryovial box 12: "&amp;($A149&amp;F$145),MASTER!$L:$L,0))),"ml",""),":",".")),"0.00")&amp;"_"&amp;TEXT(INDEX(MASTER!$E:$E,MATCH("Cryovial box 12: "&amp;($A149&amp;F$145),MASTER!$L:$L,0)),"mmddyy"),"")</f>
        <v/>
      </c>
      <c r="G149" s="4" t="str">
        <f>IFERROR(INDEX(MASTER!$A:$A,MATCH("Cryovial box 12: "&amp;($A149&amp;G$145),MASTER!$L:$L,0))&amp;"_ser_"&amp;TEXT(VALUE(SUBSTITUTE(SUBSTITUTE(TRIM(INDEX(MASTER!$M:$M,MATCH("Cryovial box 12: "&amp;($A149&amp;G$145),MASTER!$L:$L,0))),"ml",""),":",".")),"0.00")&amp;"_"&amp;TEXT(INDEX(MASTER!$E:$E,MATCH("Cryovial box 12: "&amp;($A149&amp;G$145),MASTER!$L:$L,0)),"mmddyy"),"")</f>
        <v/>
      </c>
      <c r="H149" s="4" t="str">
        <f>IFERROR(INDEX(MASTER!$A:$A,MATCH("Cryovial box 12: "&amp;($A149&amp;H$145),MASTER!$L:$L,0))&amp;"_ser_"&amp;TEXT(VALUE(SUBSTITUTE(SUBSTITUTE(TRIM(INDEX(MASTER!$M:$M,MATCH("Cryovial box 12: "&amp;($A149&amp;H$145),MASTER!$L:$L,0))),"ml",""),":",".")),"0.00")&amp;"_"&amp;TEXT(INDEX(MASTER!$E:$E,MATCH("Cryovial box 12: "&amp;($A149&amp;H$145),MASTER!$L:$L,0)),"mmddyy"),"")</f>
        <v/>
      </c>
      <c r="I149" s="4" t="str">
        <f>IFERROR(INDEX(MASTER!$A:$A,MATCH("Cryovial box 12: "&amp;($A149&amp;I$145),MASTER!$L:$L,0))&amp;"_ser_"&amp;TEXT(VALUE(SUBSTITUTE(SUBSTITUTE(TRIM(INDEX(MASTER!$M:$M,MATCH("Cryovial box 12: "&amp;($A149&amp;I$145),MASTER!$L:$L,0))),"ml",""),":",".")),"0.00")&amp;"_"&amp;TEXT(INDEX(MASTER!$E:$E,MATCH("Cryovial box 12: "&amp;($A149&amp;I$145),MASTER!$L:$L,0)),"mmddyy"),"")</f>
        <v/>
      </c>
      <c r="J149" s="4" t="str">
        <f>IFERROR(INDEX(MASTER!$A:$A,MATCH("Cryovial box 12: "&amp;($A149&amp;J$145),MASTER!$L:$L,0))&amp;"_ser_"&amp;TEXT(VALUE(SUBSTITUTE(SUBSTITUTE(TRIM(INDEX(MASTER!$M:$M,MATCH("Cryovial box 12: "&amp;($A149&amp;J$145),MASTER!$L:$L,0))),"ml",""),":",".")),"0.00")&amp;"_"&amp;TEXT(INDEX(MASTER!$E:$E,MATCH("Cryovial box 12: "&amp;($A149&amp;J$145),MASTER!$L:$L,0)),"mmddyy"),"")</f>
        <v/>
      </c>
      <c r="K149" s="4" t="str">
        <f>IFERROR(INDEX(MASTER!$A:$A,MATCH("Cryovial box 12: "&amp;($A149&amp;K$145),MASTER!$L:$L,0))&amp;"_ser_"&amp;TEXT(VALUE(SUBSTITUTE(SUBSTITUTE(TRIM(INDEX(MASTER!$M:$M,MATCH("Cryovial box 12: "&amp;($A149&amp;K$145),MASTER!$L:$L,0))),"ml",""),":",".")),"0.00")&amp;"_"&amp;TEXT(INDEX(MASTER!$E:$E,MATCH("Cryovial box 12: "&amp;($A149&amp;K$145),MASTER!$L:$L,0)),"mmddyy"),"")</f>
        <v/>
      </c>
    </row>
    <row r="150" spans="1:11" ht="20.149999999999999" customHeight="1" x14ac:dyDescent="0.3">
      <c r="A150" s="6" t="s">
        <v>34</v>
      </c>
      <c r="B150" s="4" t="str">
        <f>IFERROR(INDEX(MASTER!$A:$A,MATCH("Cryovial box 12: "&amp;($A150&amp;B$145),MASTER!$L:$L,0))&amp;"_ser_"&amp;TEXT(VALUE(SUBSTITUTE(SUBSTITUTE(TRIM(INDEX(MASTER!$M:$M,MATCH("Cryovial box 12: "&amp;($A150&amp;B$145),MASTER!$L:$L,0))),"ml",""),":",".")),"0.00")&amp;"_"&amp;TEXT(INDEX(MASTER!$E:$E,MATCH("Cryovial box 12: "&amp;($A150&amp;B$145),MASTER!$L:$L,0)),"mmddyy"),"")</f>
        <v/>
      </c>
      <c r="C150" s="4" t="str">
        <f>IFERROR(INDEX(MASTER!$A:$A,MATCH("Cryovial box 12: "&amp;($A150&amp;C$145),MASTER!$L:$L,0))&amp;"_ser_"&amp;TEXT(VALUE(SUBSTITUTE(SUBSTITUTE(TRIM(INDEX(MASTER!$M:$M,MATCH("Cryovial box 12: "&amp;($A150&amp;C$145),MASTER!$L:$L,0))),"ml",""),":",".")),"0.00")&amp;"_"&amp;TEXT(INDEX(MASTER!$E:$E,MATCH("Cryovial box 12: "&amp;($A150&amp;C$145),MASTER!$L:$L,0)),"mmddyy"),"")</f>
        <v/>
      </c>
      <c r="D150" s="4" t="str">
        <f>IFERROR(INDEX(MASTER!$A:$A,MATCH("Cryovial box 12: "&amp;($A150&amp;D$145),MASTER!$L:$L,0))&amp;"_ser_"&amp;TEXT(VALUE(SUBSTITUTE(SUBSTITUTE(TRIM(INDEX(MASTER!$M:$M,MATCH("Cryovial box 12: "&amp;($A150&amp;D$145),MASTER!$L:$L,0))),"ml",""),":",".")),"0.00")&amp;"_"&amp;TEXT(INDEX(MASTER!$E:$E,MATCH("Cryovial box 12: "&amp;($A150&amp;D$145),MASTER!$L:$L,0)),"mmddyy"),"")</f>
        <v/>
      </c>
      <c r="E150" s="4" t="str">
        <f>IFERROR(INDEX(MASTER!$A:$A,MATCH("Cryovial box 12: "&amp;($A150&amp;E$145),MASTER!$L:$L,0))&amp;"_ser_"&amp;TEXT(VALUE(SUBSTITUTE(SUBSTITUTE(TRIM(INDEX(MASTER!$M:$M,MATCH("Cryovial box 12: "&amp;($A150&amp;E$145),MASTER!$L:$L,0))),"ml",""),":",".")),"0.00")&amp;"_"&amp;TEXT(INDEX(MASTER!$E:$E,MATCH("Cryovial box 12: "&amp;($A150&amp;E$145),MASTER!$L:$L,0)),"mmddyy"),"")</f>
        <v/>
      </c>
      <c r="F150" s="4" t="str">
        <f>IFERROR(INDEX(MASTER!$A:$A,MATCH("Cryovial box 12: "&amp;($A150&amp;F$145),MASTER!$L:$L,0))&amp;"_ser_"&amp;TEXT(VALUE(SUBSTITUTE(SUBSTITUTE(TRIM(INDEX(MASTER!$M:$M,MATCH("Cryovial box 12: "&amp;($A150&amp;F$145),MASTER!$L:$L,0))),"ml",""),":",".")),"0.00")&amp;"_"&amp;TEXT(INDEX(MASTER!$E:$E,MATCH("Cryovial box 12: "&amp;($A150&amp;F$145),MASTER!$L:$L,0)),"mmddyy"),"")</f>
        <v/>
      </c>
      <c r="G150" s="4" t="str">
        <f>IFERROR(INDEX(MASTER!$A:$A,MATCH("Cryovial box 12: "&amp;($A150&amp;G$145),MASTER!$L:$L,0))&amp;"_ser_"&amp;TEXT(VALUE(SUBSTITUTE(SUBSTITUTE(TRIM(INDEX(MASTER!$M:$M,MATCH("Cryovial box 12: "&amp;($A150&amp;G$145),MASTER!$L:$L,0))),"ml",""),":",".")),"0.00")&amp;"_"&amp;TEXT(INDEX(MASTER!$E:$E,MATCH("Cryovial box 12: "&amp;($A150&amp;G$145),MASTER!$L:$L,0)),"mmddyy"),"")</f>
        <v/>
      </c>
      <c r="H150" s="4" t="str">
        <f>IFERROR(INDEX(MASTER!$A:$A,MATCH("Cryovial box 12: "&amp;($A150&amp;H$145),MASTER!$L:$L,0))&amp;"_ser_"&amp;TEXT(VALUE(SUBSTITUTE(SUBSTITUTE(TRIM(INDEX(MASTER!$M:$M,MATCH("Cryovial box 12: "&amp;($A150&amp;H$145),MASTER!$L:$L,0))),"ml",""),":",".")),"0.00")&amp;"_"&amp;TEXT(INDEX(MASTER!$E:$E,MATCH("Cryovial box 12: "&amp;($A150&amp;H$145),MASTER!$L:$L,0)),"mmddyy"),"")</f>
        <v/>
      </c>
      <c r="I150" s="4" t="str">
        <f>IFERROR(INDEX(MASTER!$A:$A,MATCH("Cryovial box 12: "&amp;($A150&amp;I$145),MASTER!$L:$L,0))&amp;"_ser_"&amp;TEXT(VALUE(SUBSTITUTE(SUBSTITUTE(TRIM(INDEX(MASTER!$M:$M,MATCH("Cryovial box 12: "&amp;($A150&amp;I$145),MASTER!$L:$L,0))),"ml",""),":",".")),"0.00")&amp;"_"&amp;TEXT(INDEX(MASTER!$E:$E,MATCH("Cryovial box 12: "&amp;($A150&amp;I$145),MASTER!$L:$L,0)),"mmddyy"),"")</f>
        <v/>
      </c>
      <c r="J150" s="4" t="str">
        <f>IFERROR(INDEX(MASTER!$A:$A,MATCH("Cryovial box 12: "&amp;($A150&amp;J$145),MASTER!$L:$L,0))&amp;"_ser_"&amp;TEXT(VALUE(SUBSTITUTE(SUBSTITUTE(TRIM(INDEX(MASTER!$M:$M,MATCH("Cryovial box 12: "&amp;($A150&amp;J$145),MASTER!$L:$L,0))),"ml",""),":",".")),"0.00")&amp;"_"&amp;TEXT(INDEX(MASTER!$E:$E,MATCH("Cryovial box 12: "&amp;($A150&amp;J$145),MASTER!$L:$L,0)),"mmddyy"),"")</f>
        <v/>
      </c>
      <c r="K150" s="4" t="str">
        <f>IFERROR(INDEX(MASTER!$A:$A,MATCH("Cryovial box 12: "&amp;($A150&amp;K$145),MASTER!$L:$L,0))&amp;"_ser_"&amp;TEXT(VALUE(SUBSTITUTE(SUBSTITUTE(TRIM(INDEX(MASTER!$M:$M,MATCH("Cryovial box 12: "&amp;($A150&amp;K$145),MASTER!$L:$L,0))),"ml",""),":",".")),"0.00")&amp;"_"&amp;TEXT(INDEX(MASTER!$E:$E,MATCH("Cryovial box 12: "&amp;($A150&amp;K$145),MASTER!$L:$L,0)),"mmddyy"),"")</f>
        <v/>
      </c>
    </row>
    <row r="151" spans="1:11" ht="20.149999999999999" customHeight="1" x14ac:dyDescent="0.3">
      <c r="A151" s="6" t="s">
        <v>15</v>
      </c>
      <c r="B151" s="4" t="str">
        <f>IFERROR(INDEX(MASTER!$A:$A,MATCH("Cryovial box 12: "&amp;($A151&amp;B$145),MASTER!$L:$L,0))&amp;"_ser_"&amp;TEXT(VALUE(SUBSTITUTE(SUBSTITUTE(TRIM(INDEX(MASTER!$M:$M,MATCH("Cryovial box 12: "&amp;($A151&amp;B$145),MASTER!$L:$L,0))),"ml",""),":",".")),"0.00")&amp;"_"&amp;TEXT(INDEX(MASTER!$E:$E,MATCH("Cryovial box 12: "&amp;($A151&amp;B$145),MASTER!$L:$L,0)),"mmddyy"),"")</f>
        <v/>
      </c>
      <c r="C151" s="4" t="str">
        <f>IFERROR(INDEX(MASTER!$A:$A,MATCH("Cryovial box 12: "&amp;($A151&amp;C$145),MASTER!$L:$L,0))&amp;"_ser_"&amp;TEXT(VALUE(SUBSTITUTE(SUBSTITUTE(TRIM(INDEX(MASTER!$M:$M,MATCH("Cryovial box 12: "&amp;($A151&amp;C$145),MASTER!$L:$L,0))),"ml",""),":",".")),"0.00")&amp;"_"&amp;TEXT(INDEX(MASTER!$E:$E,MATCH("Cryovial box 12: "&amp;($A151&amp;C$145),MASTER!$L:$L,0)),"mmddyy"),"")</f>
        <v/>
      </c>
      <c r="D151" s="4" t="str">
        <f>IFERROR(INDEX(MASTER!$A:$A,MATCH("Cryovial box 12: "&amp;($A151&amp;D$145),MASTER!$L:$L,0))&amp;"_ser_"&amp;TEXT(VALUE(SUBSTITUTE(SUBSTITUTE(TRIM(INDEX(MASTER!$M:$M,MATCH("Cryovial box 12: "&amp;($A151&amp;D$145),MASTER!$L:$L,0))),"ml",""),":",".")),"0.00")&amp;"_"&amp;TEXT(INDEX(MASTER!$E:$E,MATCH("Cryovial box 12: "&amp;($A151&amp;D$145),MASTER!$L:$L,0)),"mmddyy"),"")</f>
        <v/>
      </c>
      <c r="E151" s="4" t="str">
        <f>IFERROR(INDEX(MASTER!$A:$A,MATCH("Cryovial box 12: "&amp;($A151&amp;E$145),MASTER!$L:$L,0))&amp;"_ser_"&amp;TEXT(VALUE(SUBSTITUTE(SUBSTITUTE(TRIM(INDEX(MASTER!$M:$M,MATCH("Cryovial box 12: "&amp;($A151&amp;E$145),MASTER!$L:$L,0))),"ml",""),":",".")),"0.00")&amp;"_"&amp;TEXT(INDEX(MASTER!$E:$E,MATCH("Cryovial box 12: "&amp;($A151&amp;E$145),MASTER!$L:$L,0)),"mmddyy"),"")</f>
        <v/>
      </c>
      <c r="F151" s="4" t="str">
        <f>IFERROR(INDEX(MASTER!$A:$A,MATCH("Cryovial box 12: "&amp;($A151&amp;F$145),MASTER!$L:$L,0))&amp;"_ser_"&amp;TEXT(VALUE(SUBSTITUTE(SUBSTITUTE(TRIM(INDEX(MASTER!$M:$M,MATCH("Cryovial box 12: "&amp;($A151&amp;F$145),MASTER!$L:$L,0))),"ml",""),":",".")),"0.00")&amp;"_"&amp;TEXT(INDEX(MASTER!$E:$E,MATCH("Cryovial box 12: "&amp;($A151&amp;F$145),MASTER!$L:$L,0)),"mmddyy"),"")</f>
        <v/>
      </c>
      <c r="G151" s="4" t="str">
        <f>IFERROR(INDEX(MASTER!$A:$A,MATCH("Cryovial box 12: "&amp;($A151&amp;G$145),MASTER!$L:$L,0))&amp;"_ser_"&amp;TEXT(VALUE(SUBSTITUTE(SUBSTITUTE(TRIM(INDEX(MASTER!$M:$M,MATCH("Cryovial box 12: "&amp;($A151&amp;G$145),MASTER!$L:$L,0))),"ml",""),":",".")),"0.00")&amp;"_"&amp;TEXT(INDEX(MASTER!$E:$E,MATCH("Cryovial box 12: "&amp;($A151&amp;G$145),MASTER!$L:$L,0)),"mmddyy"),"")</f>
        <v/>
      </c>
      <c r="H151" s="4" t="str">
        <f>IFERROR(INDEX(MASTER!$A:$A,MATCH("Cryovial box 12: "&amp;($A151&amp;H$145),MASTER!$L:$L,0))&amp;"_ser_"&amp;TEXT(VALUE(SUBSTITUTE(SUBSTITUTE(TRIM(INDEX(MASTER!$M:$M,MATCH("Cryovial box 12: "&amp;($A151&amp;H$145),MASTER!$L:$L,0))),"ml",""),":",".")),"0.00")&amp;"_"&amp;TEXT(INDEX(MASTER!$E:$E,MATCH("Cryovial box 12: "&amp;($A151&amp;H$145),MASTER!$L:$L,0)),"mmddyy"),"")</f>
        <v/>
      </c>
      <c r="I151" s="4" t="str">
        <f>IFERROR(INDEX(MASTER!$A:$A,MATCH("Cryovial box 12: "&amp;($A151&amp;I$145),MASTER!$L:$L,0))&amp;"_ser_"&amp;TEXT(VALUE(SUBSTITUTE(SUBSTITUTE(TRIM(INDEX(MASTER!$M:$M,MATCH("Cryovial box 12: "&amp;($A151&amp;I$145),MASTER!$L:$L,0))),"ml",""),":",".")),"0.00")&amp;"_"&amp;TEXT(INDEX(MASTER!$E:$E,MATCH("Cryovial box 12: "&amp;($A151&amp;I$145),MASTER!$L:$L,0)),"mmddyy"),"")</f>
        <v/>
      </c>
      <c r="J151" s="4" t="str">
        <f>IFERROR(INDEX(MASTER!$A:$A,MATCH("Cryovial box 12: "&amp;($A151&amp;J$145),MASTER!$L:$L,0))&amp;"_ser_"&amp;TEXT(VALUE(SUBSTITUTE(SUBSTITUTE(TRIM(INDEX(MASTER!$M:$M,MATCH("Cryovial box 12: "&amp;($A151&amp;J$145),MASTER!$L:$L,0))),"ml",""),":",".")),"0.00")&amp;"_"&amp;TEXT(INDEX(MASTER!$E:$E,MATCH("Cryovial box 12: "&amp;($A151&amp;J$145),MASTER!$L:$L,0)),"mmddyy"),"")</f>
        <v/>
      </c>
      <c r="K151" s="4" t="str">
        <f>IFERROR(INDEX(MASTER!$A:$A,MATCH("Cryovial box 12: "&amp;($A151&amp;K$145),MASTER!$L:$L,0))&amp;"_ser_"&amp;TEXT(VALUE(SUBSTITUTE(SUBSTITUTE(TRIM(INDEX(MASTER!$M:$M,MATCH("Cryovial box 12: "&amp;($A151&amp;K$145),MASTER!$L:$L,0))),"ml",""),":",".")),"0.00")&amp;"_"&amp;TEXT(INDEX(MASTER!$E:$E,MATCH("Cryovial box 12: "&amp;($A151&amp;K$145),MASTER!$L:$L,0)),"mmddyy"),"")</f>
        <v/>
      </c>
    </row>
    <row r="152" spans="1:11" ht="20.149999999999999" customHeight="1" x14ac:dyDescent="0.3">
      <c r="A152" s="6" t="s">
        <v>35</v>
      </c>
      <c r="B152" s="4" t="str">
        <f>IFERROR(INDEX(MASTER!$A:$A,MATCH("Cryovial box 12: "&amp;($A152&amp;B$145),MASTER!$L:$L,0))&amp;"_ser_"&amp;TEXT(VALUE(SUBSTITUTE(SUBSTITUTE(TRIM(INDEX(MASTER!$M:$M,MATCH("Cryovial box 12: "&amp;($A152&amp;B$145),MASTER!$L:$L,0))),"ml",""),":",".")),"0.00")&amp;"_"&amp;TEXT(INDEX(MASTER!$E:$E,MATCH("Cryovial box 12: "&amp;($A152&amp;B$145),MASTER!$L:$L,0)),"mmddyy"),"")</f>
        <v/>
      </c>
      <c r="C152" s="4" t="str">
        <f>IFERROR(INDEX(MASTER!$A:$A,MATCH("Cryovial box 12: "&amp;($A152&amp;C$145),MASTER!$L:$L,0))&amp;"_ser_"&amp;TEXT(VALUE(SUBSTITUTE(SUBSTITUTE(TRIM(INDEX(MASTER!$M:$M,MATCH("Cryovial box 12: "&amp;($A152&amp;C$145),MASTER!$L:$L,0))),"ml",""),":",".")),"0.00")&amp;"_"&amp;TEXT(INDEX(MASTER!$E:$E,MATCH("Cryovial box 12: "&amp;($A152&amp;C$145),MASTER!$L:$L,0)),"mmddyy"),"")</f>
        <v/>
      </c>
      <c r="D152" s="4" t="str">
        <f>IFERROR(INDEX(MASTER!$A:$A,MATCH("Cryovial box 12: "&amp;($A152&amp;D$145),MASTER!$L:$L,0))&amp;"_ser_"&amp;TEXT(VALUE(SUBSTITUTE(SUBSTITUTE(TRIM(INDEX(MASTER!$M:$M,MATCH("Cryovial box 12: "&amp;($A152&amp;D$145),MASTER!$L:$L,0))),"ml",""),":",".")),"0.00")&amp;"_"&amp;TEXT(INDEX(MASTER!$E:$E,MATCH("Cryovial box 12: "&amp;($A152&amp;D$145),MASTER!$L:$L,0)),"mmddyy"),"")</f>
        <v/>
      </c>
      <c r="E152" s="4" t="str">
        <f>IFERROR(INDEX(MASTER!$A:$A,MATCH("Cryovial box 12: "&amp;($A152&amp;E$145),MASTER!$L:$L,0))&amp;"_ser_"&amp;TEXT(VALUE(SUBSTITUTE(SUBSTITUTE(TRIM(INDEX(MASTER!$M:$M,MATCH("Cryovial box 12: "&amp;($A152&amp;E$145),MASTER!$L:$L,0))),"ml",""),":",".")),"0.00")&amp;"_"&amp;TEXT(INDEX(MASTER!$E:$E,MATCH("Cryovial box 12: "&amp;($A152&amp;E$145),MASTER!$L:$L,0)),"mmddyy"),"")</f>
        <v/>
      </c>
      <c r="F152" s="4" t="str">
        <f>IFERROR(INDEX(MASTER!$A:$A,MATCH("Cryovial box 12: "&amp;($A152&amp;F$145),MASTER!$L:$L,0))&amp;"_ser_"&amp;TEXT(VALUE(SUBSTITUTE(SUBSTITUTE(TRIM(INDEX(MASTER!$M:$M,MATCH("Cryovial box 12: "&amp;($A152&amp;F$145),MASTER!$L:$L,0))),"ml",""),":",".")),"0.00")&amp;"_"&amp;TEXT(INDEX(MASTER!$E:$E,MATCH("Cryovial box 12: "&amp;($A152&amp;F$145),MASTER!$L:$L,0)),"mmddyy"),"")</f>
        <v/>
      </c>
      <c r="G152" s="4" t="str">
        <f>IFERROR(INDEX(MASTER!$A:$A,MATCH("Cryovial box 12: "&amp;($A152&amp;G$145),MASTER!$L:$L,0))&amp;"_ser_"&amp;TEXT(VALUE(SUBSTITUTE(SUBSTITUTE(TRIM(INDEX(MASTER!$M:$M,MATCH("Cryovial box 12: "&amp;($A152&amp;G$145),MASTER!$L:$L,0))),"ml",""),":",".")),"0.00")&amp;"_"&amp;TEXT(INDEX(MASTER!$E:$E,MATCH("Cryovial box 12: "&amp;($A152&amp;G$145),MASTER!$L:$L,0)),"mmddyy"),"")</f>
        <v/>
      </c>
      <c r="H152" s="4" t="str">
        <f>IFERROR(INDEX(MASTER!$A:$A,MATCH("Cryovial box 12: "&amp;($A152&amp;H$145),MASTER!$L:$L,0))&amp;"_ser_"&amp;TEXT(VALUE(SUBSTITUTE(SUBSTITUTE(TRIM(INDEX(MASTER!$M:$M,MATCH("Cryovial box 12: "&amp;($A152&amp;H$145),MASTER!$L:$L,0))),"ml",""),":",".")),"0.00")&amp;"_"&amp;TEXT(INDEX(MASTER!$E:$E,MATCH("Cryovial box 12: "&amp;($A152&amp;H$145),MASTER!$L:$L,0)),"mmddyy"),"")</f>
        <v/>
      </c>
      <c r="I152" s="4" t="str">
        <f>IFERROR(INDEX(MASTER!$A:$A,MATCH("Cryovial box 12: "&amp;($A152&amp;I$145),MASTER!$L:$L,0))&amp;"_ser_"&amp;TEXT(VALUE(SUBSTITUTE(SUBSTITUTE(TRIM(INDEX(MASTER!$M:$M,MATCH("Cryovial box 12: "&amp;($A152&amp;I$145),MASTER!$L:$L,0))),"ml",""),":",".")),"0.00")&amp;"_"&amp;TEXT(INDEX(MASTER!$E:$E,MATCH("Cryovial box 12: "&amp;($A152&amp;I$145),MASTER!$L:$L,0)),"mmddyy"),"")</f>
        <v/>
      </c>
      <c r="J152" s="4" t="str">
        <f>IFERROR(INDEX(MASTER!$A:$A,MATCH("Cryovial box 12: "&amp;($A152&amp;J$145),MASTER!$L:$L,0))&amp;"_ser_"&amp;TEXT(VALUE(SUBSTITUTE(SUBSTITUTE(TRIM(INDEX(MASTER!$M:$M,MATCH("Cryovial box 12: "&amp;($A152&amp;J$145),MASTER!$L:$L,0))),"ml",""),":",".")),"0.00")&amp;"_"&amp;TEXT(INDEX(MASTER!$E:$E,MATCH("Cryovial box 12: "&amp;($A152&amp;J$145),MASTER!$L:$L,0)),"mmddyy"),"")</f>
        <v/>
      </c>
      <c r="K152" s="4" t="str">
        <f>IFERROR(INDEX(MASTER!$A:$A,MATCH("Cryovial box 12: "&amp;($A152&amp;K$145),MASTER!$L:$L,0))&amp;"_ser_"&amp;TEXT(VALUE(SUBSTITUTE(SUBSTITUTE(TRIM(INDEX(MASTER!$M:$M,MATCH("Cryovial box 12: "&amp;($A152&amp;K$145),MASTER!$L:$L,0))),"ml",""),":",".")),"0.00")&amp;"_"&amp;TEXT(INDEX(MASTER!$E:$E,MATCH("Cryovial box 12: "&amp;($A152&amp;K$145),MASTER!$L:$L,0)),"mmddyy"),"")</f>
        <v/>
      </c>
    </row>
    <row r="153" spans="1:11" ht="20.149999999999999" customHeight="1" x14ac:dyDescent="0.3">
      <c r="A153" s="6" t="s">
        <v>36</v>
      </c>
      <c r="B153" s="4" t="str">
        <f>IFERROR(INDEX(MASTER!$A:$A,MATCH("Cryovial box 12: "&amp;($A153&amp;B$145),MASTER!$L:$L,0))&amp;"_ser_"&amp;TEXT(VALUE(SUBSTITUTE(SUBSTITUTE(TRIM(INDEX(MASTER!$M:$M,MATCH("Cryovial box 12: "&amp;($A153&amp;B$145),MASTER!$L:$L,0))),"ml",""),":",".")),"0.00")&amp;"_"&amp;TEXT(INDEX(MASTER!$E:$E,MATCH("Cryovial box 12: "&amp;($A153&amp;B$145),MASTER!$L:$L,0)),"mmddyy"),"")</f>
        <v/>
      </c>
      <c r="C153" s="4" t="str">
        <f>IFERROR(INDEX(MASTER!$A:$A,MATCH("Cryovial box 12: "&amp;($A153&amp;C$145),MASTER!$L:$L,0))&amp;"_ser_"&amp;TEXT(VALUE(SUBSTITUTE(SUBSTITUTE(TRIM(INDEX(MASTER!$M:$M,MATCH("Cryovial box 12: "&amp;($A153&amp;C$145),MASTER!$L:$L,0))),"ml",""),":",".")),"0.00")&amp;"_"&amp;TEXT(INDEX(MASTER!$E:$E,MATCH("Cryovial box 12: "&amp;($A153&amp;C$145),MASTER!$L:$L,0)),"mmddyy"),"")</f>
        <v/>
      </c>
      <c r="D153" s="4" t="str">
        <f>IFERROR(INDEX(MASTER!$A:$A,MATCH("Cryovial box 12: "&amp;($A153&amp;D$145),MASTER!$L:$L,0))&amp;"_ser_"&amp;TEXT(VALUE(SUBSTITUTE(SUBSTITUTE(TRIM(INDEX(MASTER!$M:$M,MATCH("Cryovial box 12: "&amp;($A153&amp;D$145),MASTER!$L:$L,0))),"ml",""),":",".")),"0.00")&amp;"_"&amp;TEXT(INDEX(MASTER!$E:$E,MATCH("Cryovial box 12: "&amp;($A153&amp;D$145),MASTER!$L:$L,0)),"mmddyy"),"")</f>
        <v/>
      </c>
      <c r="E153" s="4" t="str">
        <f>IFERROR(INDEX(MASTER!$A:$A,MATCH("Cryovial box 12: "&amp;($A153&amp;E$145),MASTER!$L:$L,0))&amp;"_ser_"&amp;TEXT(VALUE(SUBSTITUTE(SUBSTITUTE(TRIM(INDEX(MASTER!$M:$M,MATCH("Cryovial box 12: "&amp;($A153&amp;E$145),MASTER!$L:$L,0))),"ml",""),":",".")),"0.00")&amp;"_"&amp;TEXT(INDEX(MASTER!$E:$E,MATCH("Cryovial box 12: "&amp;($A153&amp;E$145),MASTER!$L:$L,0)),"mmddyy"),"")</f>
        <v/>
      </c>
      <c r="F153" s="4" t="str">
        <f>IFERROR(INDEX(MASTER!$A:$A,MATCH("Cryovial box 12: "&amp;($A153&amp;F$145),MASTER!$L:$L,0))&amp;"_ser_"&amp;TEXT(VALUE(SUBSTITUTE(SUBSTITUTE(TRIM(INDEX(MASTER!$M:$M,MATCH("Cryovial box 12: "&amp;($A153&amp;F$145),MASTER!$L:$L,0))),"ml",""),":",".")),"0.00")&amp;"_"&amp;TEXT(INDEX(MASTER!$E:$E,MATCH("Cryovial box 12: "&amp;($A153&amp;F$145),MASTER!$L:$L,0)),"mmddyy"),"")</f>
        <v/>
      </c>
      <c r="G153" s="4" t="str">
        <f>IFERROR(INDEX(MASTER!$A:$A,MATCH("Cryovial box 12: "&amp;($A153&amp;G$145),MASTER!$L:$L,0))&amp;"_ser_"&amp;TEXT(VALUE(SUBSTITUTE(SUBSTITUTE(TRIM(INDEX(MASTER!$M:$M,MATCH("Cryovial box 12: "&amp;($A153&amp;G$145),MASTER!$L:$L,0))),"ml",""),":",".")),"0.00")&amp;"_"&amp;TEXT(INDEX(MASTER!$E:$E,MATCH("Cryovial box 12: "&amp;($A153&amp;G$145),MASTER!$L:$L,0)),"mmddyy"),"")</f>
        <v/>
      </c>
      <c r="H153" s="4" t="str">
        <f>IFERROR(INDEX(MASTER!$A:$A,MATCH("Cryovial box 12: "&amp;($A153&amp;H$145),MASTER!$L:$L,0))&amp;"_ser_"&amp;TEXT(VALUE(SUBSTITUTE(SUBSTITUTE(TRIM(INDEX(MASTER!$M:$M,MATCH("Cryovial box 12: "&amp;($A153&amp;H$145),MASTER!$L:$L,0))),"ml",""),":",".")),"0.00")&amp;"_"&amp;TEXT(INDEX(MASTER!$E:$E,MATCH("Cryovial box 12: "&amp;($A153&amp;H$145),MASTER!$L:$L,0)),"mmddyy"),"")</f>
        <v/>
      </c>
      <c r="I153" s="4" t="str">
        <f>IFERROR(INDEX(MASTER!$A:$A,MATCH("Cryovial box 12: "&amp;($A153&amp;I$145),MASTER!$L:$L,0))&amp;"_ser_"&amp;TEXT(VALUE(SUBSTITUTE(SUBSTITUTE(TRIM(INDEX(MASTER!$M:$M,MATCH("Cryovial box 12: "&amp;($A153&amp;I$145),MASTER!$L:$L,0))),"ml",""),":",".")),"0.00")&amp;"_"&amp;TEXT(INDEX(MASTER!$E:$E,MATCH("Cryovial box 12: "&amp;($A153&amp;I$145),MASTER!$L:$L,0)),"mmddyy"),"")</f>
        <v/>
      </c>
      <c r="J153" s="4" t="str">
        <f>IFERROR(INDEX(MASTER!$A:$A,MATCH("Cryovial box 12: "&amp;($A153&amp;J$145),MASTER!$L:$L,0))&amp;"_ser_"&amp;TEXT(VALUE(SUBSTITUTE(SUBSTITUTE(TRIM(INDEX(MASTER!$M:$M,MATCH("Cryovial box 12: "&amp;($A153&amp;J$145),MASTER!$L:$L,0))),"ml",""),":",".")),"0.00")&amp;"_"&amp;TEXT(INDEX(MASTER!$E:$E,MATCH("Cryovial box 12: "&amp;($A153&amp;J$145),MASTER!$L:$L,0)),"mmddyy"),"")</f>
        <v/>
      </c>
      <c r="K153" s="4" t="str">
        <f>IFERROR(INDEX(MASTER!$A:$A,MATCH("Cryovial box 12: "&amp;($A153&amp;K$145),MASTER!$L:$L,0))&amp;"_ser_"&amp;TEXT(VALUE(SUBSTITUTE(SUBSTITUTE(TRIM(INDEX(MASTER!$M:$M,MATCH("Cryovial box 12: "&amp;($A153&amp;K$145),MASTER!$L:$L,0))),"ml",""),":",".")),"0.00")&amp;"_"&amp;TEXT(INDEX(MASTER!$E:$E,MATCH("Cryovial box 12: "&amp;($A153&amp;K$145),MASTER!$L:$L,0)),"mmddyy"),"")</f>
        <v/>
      </c>
    </row>
    <row r="154" spans="1:11" ht="20.149999999999999" customHeight="1" x14ac:dyDescent="0.3">
      <c r="A154" s="6" t="s">
        <v>100</v>
      </c>
      <c r="B154" s="4" t="str">
        <f>IFERROR(INDEX(MASTER!$A:$A,MATCH("Cryovial box 12: "&amp;($A154&amp;B$145),MASTER!$L:$L,0))&amp;"_ser_"&amp;TEXT(VALUE(SUBSTITUTE(SUBSTITUTE(TRIM(INDEX(MASTER!$M:$M,MATCH("Cryovial box 12: "&amp;($A154&amp;B$145),MASTER!$L:$L,0))),"ml",""),":",".")),"0.00")&amp;"_"&amp;TEXT(INDEX(MASTER!$E:$E,MATCH("Cryovial box 12: "&amp;($A154&amp;B$145),MASTER!$L:$L,0)),"mmddyy"),"")</f>
        <v/>
      </c>
      <c r="C154" s="4" t="str">
        <f>IFERROR(INDEX(MASTER!$A:$A,MATCH("Cryovial box 12: "&amp;($A154&amp;C$145),MASTER!$L:$L,0))&amp;"_ser_"&amp;TEXT(VALUE(SUBSTITUTE(SUBSTITUTE(TRIM(INDEX(MASTER!$M:$M,MATCH("Cryovial box 12: "&amp;($A154&amp;C$145),MASTER!$L:$L,0))),"ml",""),":",".")),"0.00")&amp;"_"&amp;TEXT(INDEX(MASTER!$E:$E,MATCH("Cryovial box 12: "&amp;($A154&amp;C$145),MASTER!$L:$L,0)),"mmddyy"),"")</f>
        <v/>
      </c>
      <c r="D154" s="4" t="str">
        <f>IFERROR(INDEX(MASTER!$A:$A,MATCH("Cryovial box 12: "&amp;($A154&amp;D$145),MASTER!$L:$L,0))&amp;"_ser_"&amp;TEXT(VALUE(SUBSTITUTE(SUBSTITUTE(TRIM(INDEX(MASTER!$M:$M,MATCH("Cryovial box 12: "&amp;($A154&amp;D$145),MASTER!$L:$L,0))),"ml",""),":",".")),"0.00")&amp;"_"&amp;TEXT(INDEX(MASTER!$E:$E,MATCH("Cryovial box 12: "&amp;($A154&amp;D$145),MASTER!$L:$L,0)),"mmddyy"),"")</f>
        <v/>
      </c>
      <c r="E154" s="4" t="str">
        <f>IFERROR(INDEX(MASTER!$A:$A,MATCH("Cryovial box 12: "&amp;($A154&amp;E$145),MASTER!$L:$L,0))&amp;"_ser_"&amp;TEXT(VALUE(SUBSTITUTE(SUBSTITUTE(TRIM(INDEX(MASTER!$M:$M,MATCH("Cryovial box 12: "&amp;($A154&amp;E$145),MASTER!$L:$L,0))),"ml",""),":",".")),"0.00")&amp;"_"&amp;TEXT(INDEX(MASTER!$E:$E,MATCH("Cryovial box 12: "&amp;($A154&amp;E$145),MASTER!$L:$L,0)),"mmddyy"),"")</f>
        <v/>
      </c>
      <c r="F154" s="4" t="str">
        <f>IFERROR(INDEX(MASTER!$A:$A,MATCH("Cryovial box 12: "&amp;($A154&amp;F$145),MASTER!$L:$L,0))&amp;"_ser_"&amp;TEXT(VALUE(SUBSTITUTE(SUBSTITUTE(TRIM(INDEX(MASTER!$M:$M,MATCH("Cryovial box 12: "&amp;($A154&amp;F$145),MASTER!$L:$L,0))),"ml",""),":",".")),"0.00")&amp;"_"&amp;TEXT(INDEX(MASTER!$E:$E,MATCH("Cryovial box 12: "&amp;($A154&amp;F$145),MASTER!$L:$L,0)),"mmddyy"),"")</f>
        <v/>
      </c>
      <c r="G154" s="4" t="str">
        <f>IFERROR(INDEX(MASTER!$A:$A,MATCH("Cryovial box 12: "&amp;($A154&amp;G$145),MASTER!$L:$L,0))&amp;"_ser_"&amp;TEXT(VALUE(SUBSTITUTE(SUBSTITUTE(TRIM(INDEX(MASTER!$M:$M,MATCH("Cryovial box 12: "&amp;($A154&amp;G$145),MASTER!$L:$L,0))),"ml",""),":",".")),"0.00")&amp;"_"&amp;TEXT(INDEX(MASTER!$E:$E,MATCH("Cryovial box 12: "&amp;($A154&amp;G$145),MASTER!$L:$L,0)),"mmddyy"),"")</f>
        <v/>
      </c>
      <c r="H154" s="4" t="str">
        <f>IFERROR(INDEX(MASTER!$A:$A,MATCH("Cryovial box 12: "&amp;($A154&amp;H$145),MASTER!$L:$L,0))&amp;"_ser_"&amp;TEXT(VALUE(SUBSTITUTE(SUBSTITUTE(TRIM(INDEX(MASTER!$M:$M,MATCH("Cryovial box 12: "&amp;($A154&amp;H$145),MASTER!$L:$L,0))),"ml",""),":",".")),"0.00")&amp;"_"&amp;TEXT(INDEX(MASTER!$E:$E,MATCH("Cryovial box 12: "&amp;($A154&amp;H$145),MASTER!$L:$L,0)),"mmddyy"),"")</f>
        <v/>
      </c>
      <c r="I154" s="4" t="str">
        <f>IFERROR(INDEX(MASTER!$A:$A,MATCH("Cryovial box 12: "&amp;($A154&amp;I$145),MASTER!$L:$L,0))&amp;"_ser_"&amp;TEXT(VALUE(SUBSTITUTE(SUBSTITUTE(TRIM(INDEX(MASTER!$M:$M,MATCH("Cryovial box 12: "&amp;($A154&amp;I$145),MASTER!$L:$L,0))),"ml",""),":",".")),"0.00")&amp;"_"&amp;TEXT(INDEX(MASTER!$E:$E,MATCH("Cryovial box 12: "&amp;($A154&amp;I$145),MASTER!$L:$L,0)),"mmddyy"),"")</f>
        <v/>
      </c>
      <c r="J154" s="4" t="str">
        <f>IFERROR(INDEX(MASTER!$A:$A,MATCH("Cryovial box 12: "&amp;($A154&amp;J$145),MASTER!$L:$L,0))&amp;"_ser_"&amp;TEXT(VALUE(SUBSTITUTE(SUBSTITUTE(TRIM(INDEX(MASTER!$M:$M,MATCH("Cryovial box 12: "&amp;($A154&amp;J$145),MASTER!$L:$L,0))),"ml",""),":",".")),"0.00")&amp;"_"&amp;TEXT(INDEX(MASTER!$E:$E,MATCH("Cryovial box 12: "&amp;($A154&amp;J$145),MASTER!$L:$L,0)),"mmddyy"),"")</f>
        <v/>
      </c>
      <c r="K154" s="4" t="str">
        <f>IFERROR(INDEX(MASTER!$A:$A,MATCH("Cryovial box 12: "&amp;($A154&amp;K$145),MASTER!$L:$L,0))&amp;"_ser_"&amp;TEXT(VALUE(SUBSTITUTE(SUBSTITUTE(TRIM(INDEX(MASTER!$M:$M,MATCH("Cryovial box 12: "&amp;($A154&amp;K$145),MASTER!$L:$L,0))),"ml",""),":",".")),"0.00")&amp;"_"&amp;TEXT(INDEX(MASTER!$E:$E,MATCH("Cryovial box 12: "&amp;($A154&amp;K$145),MASTER!$L:$L,0)),"mmddyy"),"")</f>
        <v/>
      </c>
    </row>
    <row r="155" spans="1:11" ht="20.149999999999999" customHeight="1" x14ac:dyDescent="0.3">
      <c r="A155" s="6" t="s">
        <v>101</v>
      </c>
      <c r="B155" s="4" t="str">
        <f>IFERROR(INDEX(MASTER!$A:$A,MATCH("Cryovial box 12: "&amp;($A155&amp;B$145),MASTER!$L:$L,0))&amp;"_ser_"&amp;TEXT(VALUE(SUBSTITUTE(SUBSTITUTE(TRIM(INDEX(MASTER!$M:$M,MATCH("Cryovial box 12: "&amp;($A155&amp;B$145),MASTER!$L:$L,0))),"ml",""),":",".")),"0.00")&amp;"_"&amp;TEXT(INDEX(MASTER!$E:$E,MATCH("Cryovial box 12: "&amp;($A155&amp;B$145),MASTER!$L:$L,0)),"mmddyy"),"")</f>
        <v/>
      </c>
      <c r="C155" s="4" t="str">
        <f>IFERROR(INDEX(MASTER!$A:$A,MATCH("Cryovial box 12: "&amp;($A155&amp;C$145),MASTER!$L:$L,0))&amp;"_ser_"&amp;TEXT(VALUE(SUBSTITUTE(SUBSTITUTE(TRIM(INDEX(MASTER!$M:$M,MATCH("Cryovial box 12: "&amp;($A155&amp;C$145),MASTER!$L:$L,0))),"ml",""),":",".")),"0.00")&amp;"_"&amp;TEXT(INDEX(MASTER!$E:$E,MATCH("Cryovial box 12: "&amp;($A155&amp;C$145),MASTER!$L:$L,0)),"mmddyy"),"")</f>
        <v/>
      </c>
      <c r="D155" s="4" t="str">
        <f>IFERROR(INDEX(MASTER!$A:$A,MATCH("Cryovial box 12: "&amp;($A155&amp;D$145),MASTER!$L:$L,0))&amp;"_ser_"&amp;TEXT(VALUE(SUBSTITUTE(SUBSTITUTE(TRIM(INDEX(MASTER!$M:$M,MATCH("Cryovial box 12: "&amp;($A155&amp;D$145),MASTER!$L:$L,0))),"ml",""),":",".")),"0.00")&amp;"_"&amp;TEXT(INDEX(MASTER!$E:$E,MATCH("Cryovial box 12: "&amp;($A155&amp;D$145),MASTER!$L:$L,0)),"mmddyy"),"")</f>
        <v/>
      </c>
      <c r="E155" s="4" t="str">
        <f>IFERROR(INDEX(MASTER!$A:$A,MATCH("Cryovial box 12: "&amp;($A155&amp;E$145),MASTER!$L:$L,0))&amp;"_ser_"&amp;TEXT(VALUE(SUBSTITUTE(SUBSTITUTE(TRIM(INDEX(MASTER!$M:$M,MATCH("Cryovial box 12: "&amp;($A155&amp;E$145),MASTER!$L:$L,0))),"ml",""),":",".")),"0.00")&amp;"_"&amp;TEXT(INDEX(MASTER!$E:$E,MATCH("Cryovial box 12: "&amp;($A155&amp;E$145),MASTER!$L:$L,0)),"mmddyy"),"")</f>
        <v/>
      </c>
      <c r="F155" s="4" t="str">
        <f>IFERROR(INDEX(MASTER!$A:$A,MATCH("Cryovial box 12: "&amp;($A155&amp;F$145),MASTER!$L:$L,0))&amp;"_ser_"&amp;TEXT(VALUE(SUBSTITUTE(SUBSTITUTE(TRIM(INDEX(MASTER!$M:$M,MATCH("Cryovial box 12: "&amp;($A155&amp;F$145),MASTER!$L:$L,0))),"ml",""),":",".")),"0.00")&amp;"_"&amp;TEXT(INDEX(MASTER!$E:$E,MATCH("Cryovial box 12: "&amp;($A155&amp;F$145),MASTER!$L:$L,0)),"mmddyy"),"")</f>
        <v/>
      </c>
      <c r="G155" s="4" t="str">
        <f>IFERROR(INDEX(MASTER!$A:$A,MATCH("Cryovial box 12: "&amp;($A155&amp;G$145),MASTER!$L:$L,0))&amp;"_ser_"&amp;TEXT(VALUE(SUBSTITUTE(SUBSTITUTE(TRIM(INDEX(MASTER!$M:$M,MATCH("Cryovial box 12: "&amp;($A155&amp;G$145),MASTER!$L:$L,0))),"ml",""),":",".")),"0.00")&amp;"_"&amp;TEXT(INDEX(MASTER!$E:$E,MATCH("Cryovial box 12: "&amp;($A155&amp;G$145),MASTER!$L:$L,0)),"mmddyy"),"")</f>
        <v/>
      </c>
      <c r="H155" s="4" t="str">
        <f>IFERROR(INDEX(MASTER!$A:$A,MATCH("Cryovial box 12: "&amp;($A155&amp;H$145),MASTER!$L:$L,0))&amp;"_ser_"&amp;TEXT(VALUE(SUBSTITUTE(SUBSTITUTE(TRIM(INDEX(MASTER!$M:$M,MATCH("Cryovial box 12: "&amp;($A155&amp;H$145),MASTER!$L:$L,0))),"ml",""),":",".")),"0.00")&amp;"_"&amp;TEXT(INDEX(MASTER!$E:$E,MATCH("Cryovial box 12: "&amp;($A155&amp;H$145),MASTER!$L:$L,0)),"mmddyy"),"")</f>
        <v/>
      </c>
      <c r="I155" s="4" t="str">
        <f>IFERROR(INDEX(MASTER!$A:$A,MATCH("Cryovial box 12: "&amp;($A155&amp;I$145),MASTER!$L:$L,0))&amp;"_ser_"&amp;TEXT(VALUE(SUBSTITUTE(SUBSTITUTE(TRIM(INDEX(MASTER!$M:$M,MATCH("Cryovial box 12: "&amp;($A155&amp;I$145),MASTER!$L:$L,0))),"ml",""),":",".")),"0.00")&amp;"_"&amp;TEXT(INDEX(MASTER!$E:$E,MATCH("Cryovial box 12: "&amp;($A155&amp;I$145),MASTER!$L:$L,0)),"mmddyy"),"")</f>
        <v/>
      </c>
      <c r="J155" s="4" t="str">
        <f>IFERROR(INDEX(MASTER!$A:$A,MATCH("Cryovial box 12: "&amp;($A155&amp;J$145),MASTER!$L:$L,0))&amp;"_ser_"&amp;TEXT(VALUE(SUBSTITUTE(SUBSTITUTE(TRIM(INDEX(MASTER!$M:$M,MATCH("Cryovial box 12: "&amp;($A155&amp;J$145),MASTER!$L:$L,0))),"ml",""),":",".")),"0.00")&amp;"_"&amp;TEXT(INDEX(MASTER!$E:$E,MATCH("Cryovial box 12: "&amp;($A155&amp;J$145),MASTER!$L:$L,0)),"mmddyy"),"")</f>
        <v/>
      </c>
      <c r="K155" s="4" t="str">
        <f>IFERROR(INDEX(MASTER!$A:$A,MATCH("Cryovial box 12: "&amp;($A155&amp;K$145),MASTER!$L:$L,0))&amp;"_ser_"&amp;TEXT(VALUE(SUBSTITUTE(SUBSTITUTE(TRIM(INDEX(MASTER!$M:$M,MATCH("Cryovial box 12: "&amp;($A155&amp;K$145),MASTER!$L:$L,0))),"ml",""),":",".")),"0.00")&amp;"_"&amp;TEXT(INDEX(MASTER!$E:$E,MATCH("Cryovial box 12: "&amp;($A155&amp;K$145),MASTER!$L:$L,0)),"mmddyy"),"")</f>
        <v/>
      </c>
    </row>
    <row r="156" spans="1:11" ht="20.149999999999999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 ht="20.149999999999999" customHeight="1" x14ac:dyDescent="0.3">
      <c r="A157" s="5"/>
      <c r="B157" s="31" t="s">
        <v>113</v>
      </c>
      <c r="C157" s="36"/>
      <c r="D157" s="36"/>
      <c r="E157" s="36"/>
      <c r="F157" s="36"/>
      <c r="G157" s="36"/>
      <c r="H157" s="36"/>
      <c r="I157" s="36"/>
      <c r="J157" s="36"/>
      <c r="K157" s="37"/>
    </row>
    <row r="158" spans="1:11" ht="14.15" customHeight="1" x14ac:dyDescent="0.3">
      <c r="A158" s="5"/>
      <c r="B158" s="6">
        <v>1</v>
      </c>
      <c r="C158" s="6">
        <v>2</v>
      </c>
      <c r="D158" s="6">
        <v>3</v>
      </c>
      <c r="E158" s="6">
        <v>4</v>
      </c>
      <c r="F158" s="6">
        <v>5</v>
      </c>
      <c r="G158" s="6">
        <v>6</v>
      </c>
      <c r="H158" s="6">
        <v>7</v>
      </c>
      <c r="I158" s="6">
        <v>8</v>
      </c>
      <c r="J158" s="6">
        <v>9</v>
      </c>
      <c r="K158" s="6">
        <v>10</v>
      </c>
    </row>
    <row r="159" spans="1:11" ht="14.15" customHeight="1" x14ac:dyDescent="0.3">
      <c r="A159" s="6" t="s">
        <v>30</v>
      </c>
      <c r="B159" s="4" t="str">
        <f>IFERROR(INDEX(MASTER!$A:$A,MATCH("Cryovial box 13: "&amp;($A159&amp;B$158),MASTER!$L:$L,0))&amp;"_ser_"&amp;TEXT(VALUE(SUBSTITUTE(SUBSTITUTE(TRIM(INDEX(MASTER!$M:$M,MATCH("Cryovial box 13: "&amp;($A159&amp;B$158),MASTER!$L:$L,0))),"ml",""),":",".")),"0.00")&amp;"_"&amp;TEXT(INDEX(MASTER!$E:$E,MATCH("Cryovial box 13: "&amp;($A159&amp;B$158),MASTER!$L:$L,0)),"mmddyy"),"")</f>
        <v/>
      </c>
      <c r="C159" s="4" t="str">
        <f>IFERROR(INDEX(MASTER!$A:$A,MATCH("Cryovial box 13: "&amp;($A159&amp;C$158),MASTER!$L:$L,0))&amp;"_ser_"&amp;TEXT(VALUE(SUBSTITUTE(SUBSTITUTE(TRIM(INDEX(MASTER!$M:$M,MATCH("Cryovial box 13: "&amp;($A159&amp;C$158),MASTER!$L:$L,0))),"ml",""),":",".")),"0.00")&amp;"_"&amp;TEXT(INDEX(MASTER!$E:$E,MATCH("Cryovial box 13: "&amp;($A159&amp;C$158),MASTER!$L:$L,0)),"mmddyy"),"")</f>
        <v/>
      </c>
      <c r="D159" s="4" t="str">
        <f>IFERROR(INDEX(MASTER!$A:$A,MATCH("Cryovial box 13: "&amp;($A159&amp;D$158),MASTER!$L:$L,0))&amp;"_ser_"&amp;TEXT(VALUE(SUBSTITUTE(SUBSTITUTE(TRIM(INDEX(MASTER!$M:$M,MATCH("Cryovial box 13: "&amp;($A159&amp;D$158),MASTER!$L:$L,0))),"ml",""),":",".")),"0.00")&amp;"_"&amp;TEXT(INDEX(MASTER!$E:$E,MATCH("Cryovial box 13: "&amp;($A159&amp;D$158),MASTER!$L:$L,0)),"mmddyy"),"")</f>
        <v/>
      </c>
      <c r="E159" s="4" t="str">
        <f>IFERROR(INDEX(MASTER!$A:$A,MATCH("Cryovial box 13: "&amp;($A159&amp;E$158),MASTER!$L:$L,0))&amp;"_ser_"&amp;TEXT(VALUE(SUBSTITUTE(SUBSTITUTE(TRIM(INDEX(MASTER!$M:$M,MATCH("Cryovial box 13: "&amp;($A159&amp;E$158),MASTER!$L:$L,0))),"ml",""),":",".")),"0.00")&amp;"_"&amp;TEXT(INDEX(MASTER!$E:$E,MATCH("Cryovial box 13: "&amp;($A159&amp;E$158),MASTER!$L:$L,0)),"mmddyy"),"")</f>
        <v/>
      </c>
      <c r="F159" s="4" t="str">
        <f>IFERROR(INDEX(MASTER!$A:$A,MATCH("Cryovial box 13: "&amp;($A159&amp;F$158),MASTER!$L:$L,0))&amp;"_ser_"&amp;TEXT(VALUE(SUBSTITUTE(SUBSTITUTE(TRIM(INDEX(MASTER!$M:$M,MATCH("Cryovial box 13: "&amp;($A159&amp;F$158),MASTER!$L:$L,0))),"ml",""),":",".")),"0.00")&amp;"_"&amp;TEXT(INDEX(MASTER!$E:$E,MATCH("Cryovial box 13: "&amp;($A159&amp;F$158),MASTER!$L:$L,0)),"mmddyy"),"")</f>
        <v/>
      </c>
      <c r="G159" s="4" t="str">
        <f>IFERROR(INDEX(MASTER!$A:$A,MATCH("Cryovial box 13: "&amp;($A159&amp;G$158),MASTER!$L:$L,0))&amp;"_ser_"&amp;TEXT(VALUE(SUBSTITUTE(SUBSTITUTE(TRIM(INDEX(MASTER!$M:$M,MATCH("Cryovial box 13: "&amp;($A159&amp;G$158),MASTER!$L:$L,0))),"ml",""),":",".")),"0.00")&amp;"_"&amp;TEXT(INDEX(MASTER!$E:$E,MATCH("Cryovial box 13: "&amp;($A159&amp;G$158),MASTER!$L:$L,0)),"mmddyy"),"")</f>
        <v/>
      </c>
      <c r="H159" s="4" t="str">
        <f>IFERROR(INDEX(MASTER!$A:$A,MATCH("Cryovial box 13: "&amp;($A159&amp;H$158),MASTER!$L:$L,0))&amp;"_ser_"&amp;TEXT(VALUE(SUBSTITUTE(SUBSTITUTE(TRIM(INDEX(MASTER!$M:$M,MATCH("Cryovial box 13: "&amp;($A159&amp;H$158),MASTER!$L:$L,0))),"ml",""),":",".")),"0.00")&amp;"_"&amp;TEXT(INDEX(MASTER!$E:$E,MATCH("Cryovial box 13: "&amp;($A159&amp;H$158),MASTER!$L:$L,0)),"mmddyy"),"")</f>
        <v/>
      </c>
      <c r="I159" s="4" t="str">
        <f>IFERROR(INDEX(MASTER!$A:$A,MATCH("Cryovial box 13: "&amp;($A159&amp;I$158),MASTER!$L:$L,0))&amp;"_ser_"&amp;TEXT(VALUE(SUBSTITUTE(SUBSTITUTE(TRIM(INDEX(MASTER!$M:$M,MATCH("Cryovial box 13: "&amp;($A159&amp;I$158),MASTER!$L:$L,0))),"ml",""),":",".")),"0.00")&amp;"_"&amp;TEXT(INDEX(MASTER!$E:$E,MATCH("Cryovial box 13: "&amp;($A159&amp;I$158),MASTER!$L:$L,0)),"mmddyy"),"")</f>
        <v/>
      </c>
      <c r="J159" s="4" t="str">
        <f>IFERROR(INDEX(MASTER!$A:$A,MATCH("Cryovial box 13: "&amp;($A159&amp;J$158),MASTER!$L:$L,0))&amp;"_ser_"&amp;TEXT(VALUE(SUBSTITUTE(SUBSTITUTE(TRIM(INDEX(MASTER!$M:$M,MATCH("Cryovial box 13: "&amp;($A159&amp;J$158),MASTER!$L:$L,0))),"ml",""),":",".")),"0.00")&amp;"_"&amp;TEXT(INDEX(MASTER!$E:$E,MATCH("Cryovial box 13: "&amp;($A159&amp;J$158),MASTER!$L:$L,0)),"mmddyy"),"")</f>
        <v/>
      </c>
      <c r="K159" s="4" t="str">
        <f>IFERROR(INDEX(MASTER!$A:$A,MATCH("Cryovial box 13: "&amp;($A159&amp;K$158),MASTER!$L:$L,0))&amp;"_ser_"&amp;TEXT(VALUE(SUBSTITUTE(SUBSTITUTE(TRIM(INDEX(MASTER!$M:$M,MATCH("Cryovial box 13: "&amp;($A159&amp;K$158),MASTER!$L:$L,0))),"ml",""),":",".")),"0.00")&amp;"_"&amp;TEXT(INDEX(MASTER!$E:$E,MATCH("Cryovial box 13: "&amp;($A159&amp;K$158),MASTER!$L:$L,0)),"mmddyy"),"")</f>
        <v/>
      </c>
    </row>
    <row r="160" spans="1:11" ht="14.15" customHeight="1" x14ac:dyDescent="0.3">
      <c r="A160" s="6" t="s">
        <v>31</v>
      </c>
      <c r="B160" s="4" t="str">
        <f>IFERROR(INDEX(MASTER!$A:$A,MATCH("Cryovial box 13: "&amp;($A160&amp;B$158),MASTER!$L:$L,0))&amp;"_ser_"&amp;TEXT(VALUE(SUBSTITUTE(SUBSTITUTE(TRIM(INDEX(MASTER!$M:$M,MATCH("Cryovial box 13: "&amp;($A160&amp;B$158),MASTER!$L:$L,0))),"ml",""),":",".")),"0.00")&amp;"_"&amp;TEXT(INDEX(MASTER!$E:$E,MATCH("Cryovial box 13: "&amp;($A160&amp;B$158),MASTER!$L:$L,0)),"mmddyy"),"")</f>
        <v/>
      </c>
      <c r="C160" s="4" t="str">
        <f>IFERROR(INDEX(MASTER!$A:$A,MATCH("Cryovial box 13: "&amp;($A160&amp;C$158),MASTER!$L:$L,0))&amp;"_ser_"&amp;TEXT(VALUE(SUBSTITUTE(SUBSTITUTE(TRIM(INDEX(MASTER!$M:$M,MATCH("Cryovial box 13: "&amp;($A160&amp;C$158),MASTER!$L:$L,0))),"ml",""),":",".")),"0.00")&amp;"_"&amp;TEXT(INDEX(MASTER!$E:$E,MATCH("Cryovial box 13: "&amp;($A160&amp;C$158),MASTER!$L:$L,0)),"mmddyy"),"")</f>
        <v/>
      </c>
      <c r="D160" s="4" t="str">
        <f>IFERROR(INDEX(MASTER!$A:$A,MATCH("Cryovial box 13: "&amp;($A160&amp;D$158),MASTER!$L:$L,0))&amp;"_ser_"&amp;TEXT(VALUE(SUBSTITUTE(SUBSTITUTE(TRIM(INDEX(MASTER!$M:$M,MATCH("Cryovial box 13: "&amp;($A160&amp;D$158),MASTER!$L:$L,0))),"ml",""),":",".")),"0.00")&amp;"_"&amp;TEXT(INDEX(MASTER!$E:$E,MATCH("Cryovial box 13: "&amp;($A160&amp;D$158),MASTER!$L:$L,0)),"mmddyy"),"")</f>
        <v/>
      </c>
      <c r="E160" s="4" t="str">
        <f>IFERROR(INDEX(MASTER!$A:$A,MATCH("Cryovial box 13: "&amp;($A160&amp;E$158),MASTER!$L:$L,0))&amp;"_ser_"&amp;TEXT(VALUE(SUBSTITUTE(SUBSTITUTE(TRIM(INDEX(MASTER!$M:$M,MATCH("Cryovial box 13: "&amp;($A160&amp;E$158),MASTER!$L:$L,0))),"ml",""),":",".")),"0.00")&amp;"_"&amp;TEXT(INDEX(MASTER!$E:$E,MATCH("Cryovial box 13: "&amp;($A160&amp;E$158),MASTER!$L:$L,0)),"mmddyy"),"")</f>
        <v/>
      </c>
      <c r="F160" s="4" t="str">
        <f>IFERROR(INDEX(MASTER!$A:$A,MATCH("Cryovial box 13: "&amp;($A160&amp;F$158),MASTER!$L:$L,0))&amp;"_ser_"&amp;TEXT(VALUE(SUBSTITUTE(SUBSTITUTE(TRIM(INDEX(MASTER!$M:$M,MATCH("Cryovial box 13: "&amp;($A160&amp;F$158),MASTER!$L:$L,0))),"ml",""),":",".")),"0.00")&amp;"_"&amp;TEXT(INDEX(MASTER!$E:$E,MATCH("Cryovial box 13: "&amp;($A160&amp;F$158),MASTER!$L:$L,0)),"mmddyy"),"")</f>
        <v/>
      </c>
      <c r="G160" s="4" t="str">
        <f>IFERROR(INDEX(MASTER!$A:$A,MATCH("Cryovial box 13: "&amp;($A160&amp;G$158),MASTER!$L:$L,0))&amp;"_ser_"&amp;TEXT(VALUE(SUBSTITUTE(SUBSTITUTE(TRIM(INDEX(MASTER!$M:$M,MATCH("Cryovial box 13: "&amp;($A160&amp;G$158),MASTER!$L:$L,0))),"ml",""),":",".")),"0.00")&amp;"_"&amp;TEXT(INDEX(MASTER!$E:$E,MATCH("Cryovial box 13: "&amp;($A160&amp;G$158),MASTER!$L:$L,0)),"mmddyy"),"")</f>
        <v/>
      </c>
      <c r="H160" s="4" t="str">
        <f>IFERROR(INDEX(MASTER!$A:$A,MATCH("Cryovial box 13: "&amp;($A160&amp;H$158),MASTER!$L:$L,0))&amp;"_ser_"&amp;TEXT(VALUE(SUBSTITUTE(SUBSTITUTE(TRIM(INDEX(MASTER!$M:$M,MATCH("Cryovial box 13: "&amp;($A160&amp;H$158),MASTER!$L:$L,0))),"ml",""),":",".")),"0.00")&amp;"_"&amp;TEXT(INDEX(MASTER!$E:$E,MATCH("Cryovial box 13: "&amp;($A160&amp;H$158),MASTER!$L:$L,0)),"mmddyy"),"")</f>
        <v/>
      </c>
      <c r="I160" s="4" t="str">
        <f>IFERROR(INDEX(MASTER!$A:$A,MATCH("Cryovial box 13: "&amp;($A160&amp;I$158),MASTER!$L:$L,0))&amp;"_ser_"&amp;TEXT(VALUE(SUBSTITUTE(SUBSTITUTE(TRIM(INDEX(MASTER!$M:$M,MATCH("Cryovial box 13: "&amp;($A160&amp;I$158),MASTER!$L:$L,0))),"ml",""),":",".")),"0.00")&amp;"_"&amp;TEXT(INDEX(MASTER!$E:$E,MATCH("Cryovial box 13: "&amp;($A160&amp;I$158),MASTER!$L:$L,0)),"mmddyy"),"")</f>
        <v/>
      </c>
      <c r="J160" s="4" t="str">
        <f>IFERROR(INDEX(MASTER!$A:$A,MATCH("Cryovial box 13: "&amp;($A160&amp;J$158),MASTER!$L:$L,0))&amp;"_ser_"&amp;TEXT(VALUE(SUBSTITUTE(SUBSTITUTE(TRIM(INDEX(MASTER!$M:$M,MATCH("Cryovial box 13: "&amp;($A160&amp;J$158),MASTER!$L:$L,0))),"ml",""),":",".")),"0.00")&amp;"_"&amp;TEXT(INDEX(MASTER!$E:$E,MATCH("Cryovial box 13: "&amp;($A160&amp;J$158),MASTER!$L:$L,0)),"mmddyy"),"")</f>
        <v/>
      </c>
      <c r="K160" s="4" t="str">
        <f>IFERROR(INDEX(MASTER!$A:$A,MATCH("Cryovial box 13: "&amp;($A160&amp;K$158),MASTER!$L:$L,0))&amp;"_ser_"&amp;TEXT(VALUE(SUBSTITUTE(SUBSTITUTE(TRIM(INDEX(MASTER!$M:$M,MATCH("Cryovial box 13: "&amp;($A160&amp;K$158),MASTER!$L:$L,0))),"ml",""),":",".")),"0.00")&amp;"_"&amp;TEXT(INDEX(MASTER!$E:$E,MATCH("Cryovial box 13: "&amp;($A160&amp;K$158),MASTER!$L:$L,0)),"mmddyy"),"")</f>
        <v/>
      </c>
    </row>
    <row r="161" spans="1:11" ht="20.149999999999999" customHeight="1" x14ac:dyDescent="0.3">
      <c r="A161" s="6" t="s">
        <v>32</v>
      </c>
      <c r="B161" s="4" t="str">
        <f>IFERROR(INDEX(MASTER!$A:$A,MATCH("Cryovial box 13: "&amp;($A161&amp;B$158),MASTER!$L:$L,0))&amp;"_ser_"&amp;TEXT(VALUE(SUBSTITUTE(SUBSTITUTE(TRIM(INDEX(MASTER!$M:$M,MATCH("Cryovial box 13: "&amp;($A161&amp;B$158),MASTER!$L:$L,0))),"ml",""),":",".")),"0.00")&amp;"_"&amp;TEXT(INDEX(MASTER!$E:$E,MATCH("Cryovial box 13: "&amp;($A161&amp;B$158),MASTER!$L:$L,0)),"mmddyy"),"")</f>
        <v/>
      </c>
      <c r="C161" s="4" t="str">
        <f>IFERROR(INDEX(MASTER!$A:$A,MATCH("Cryovial box 13: "&amp;($A161&amp;C$158),MASTER!$L:$L,0))&amp;"_ser_"&amp;TEXT(VALUE(SUBSTITUTE(SUBSTITUTE(TRIM(INDEX(MASTER!$M:$M,MATCH("Cryovial box 13: "&amp;($A161&amp;C$158),MASTER!$L:$L,0))),"ml",""),":",".")),"0.00")&amp;"_"&amp;TEXT(INDEX(MASTER!$E:$E,MATCH("Cryovial box 13: "&amp;($A161&amp;C$158),MASTER!$L:$L,0)),"mmddyy"),"")</f>
        <v/>
      </c>
      <c r="D161" s="4" t="str">
        <f>IFERROR(INDEX(MASTER!$A:$A,MATCH("Cryovial box 13: "&amp;($A161&amp;D$158),MASTER!$L:$L,0))&amp;"_ser_"&amp;TEXT(VALUE(SUBSTITUTE(SUBSTITUTE(TRIM(INDEX(MASTER!$M:$M,MATCH("Cryovial box 13: "&amp;($A161&amp;D$158),MASTER!$L:$L,0))),"ml",""),":",".")),"0.00")&amp;"_"&amp;TEXT(INDEX(MASTER!$E:$E,MATCH("Cryovial box 13: "&amp;($A161&amp;D$158),MASTER!$L:$L,0)),"mmddyy"),"")</f>
        <v/>
      </c>
      <c r="E161" s="4" t="str">
        <f>IFERROR(INDEX(MASTER!$A:$A,MATCH("Cryovial box 13: "&amp;($A161&amp;E$158),MASTER!$L:$L,0))&amp;"_ser_"&amp;TEXT(VALUE(SUBSTITUTE(SUBSTITUTE(TRIM(INDEX(MASTER!$M:$M,MATCH("Cryovial box 13: "&amp;($A161&amp;E$158),MASTER!$L:$L,0))),"ml",""),":",".")),"0.00")&amp;"_"&amp;TEXT(INDEX(MASTER!$E:$E,MATCH("Cryovial box 13: "&amp;($A161&amp;E$158),MASTER!$L:$L,0)),"mmddyy"),"")</f>
        <v/>
      </c>
      <c r="F161" s="4" t="str">
        <f>IFERROR(INDEX(MASTER!$A:$A,MATCH("Cryovial box 13: "&amp;($A161&amp;F$158),MASTER!$L:$L,0))&amp;"_ser_"&amp;TEXT(VALUE(SUBSTITUTE(SUBSTITUTE(TRIM(INDEX(MASTER!$M:$M,MATCH("Cryovial box 13: "&amp;($A161&amp;F$158),MASTER!$L:$L,0))),"ml",""),":",".")),"0.00")&amp;"_"&amp;TEXT(INDEX(MASTER!$E:$E,MATCH("Cryovial box 13: "&amp;($A161&amp;F$158),MASTER!$L:$L,0)),"mmddyy"),"")</f>
        <v/>
      </c>
      <c r="G161" s="4" t="str">
        <f>IFERROR(INDEX(MASTER!$A:$A,MATCH("Cryovial box 13: "&amp;($A161&amp;G$158),MASTER!$L:$L,0))&amp;"_ser_"&amp;TEXT(VALUE(SUBSTITUTE(SUBSTITUTE(TRIM(INDEX(MASTER!$M:$M,MATCH("Cryovial box 13: "&amp;($A161&amp;G$158),MASTER!$L:$L,0))),"ml",""),":",".")),"0.00")&amp;"_"&amp;TEXT(INDEX(MASTER!$E:$E,MATCH("Cryovial box 13: "&amp;($A161&amp;G$158),MASTER!$L:$L,0)),"mmddyy"),"")</f>
        <v/>
      </c>
      <c r="H161" s="4" t="str">
        <f>IFERROR(INDEX(MASTER!$A:$A,MATCH("Cryovial box 13: "&amp;($A161&amp;H$158),MASTER!$L:$L,0))&amp;"_ser_"&amp;TEXT(VALUE(SUBSTITUTE(SUBSTITUTE(TRIM(INDEX(MASTER!$M:$M,MATCH("Cryovial box 13: "&amp;($A161&amp;H$158),MASTER!$L:$L,0))),"ml",""),":",".")),"0.00")&amp;"_"&amp;TEXT(INDEX(MASTER!$E:$E,MATCH("Cryovial box 13: "&amp;($A161&amp;H$158),MASTER!$L:$L,0)),"mmddyy"),"")</f>
        <v/>
      </c>
      <c r="I161" s="4" t="str">
        <f>IFERROR(INDEX(MASTER!$A:$A,MATCH("Cryovial box 13: "&amp;($A161&amp;I$158),MASTER!$L:$L,0))&amp;"_ser_"&amp;TEXT(VALUE(SUBSTITUTE(SUBSTITUTE(TRIM(INDEX(MASTER!$M:$M,MATCH("Cryovial box 13: "&amp;($A161&amp;I$158),MASTER!$L:$L,0))),"ml",""),":",".")),"0.00")&amp;"_"&amp;TEXT(INDEX(MASTER!$E:$E,MATCH("Cryovial box 13: "&amp;($A161&amp;I$158),MASTER!$L:$L,0)),"mmddyy"),"")</f>
        <v/>
      </c>
      <c r="J161" s="4" t="str">
        <f>IFERROR(INDEX(MASTER!$A:$A,MATCH("Cryovial box 13: "&amp;($A161&amp;J$158),MASTER!$L:$L,0))&amp;"_ser_"&amp;TEXT(VALUE(SUBSTITUTE(SUBSTITUTE(TRIM(INDEX(MASTER!$M:$M,MATCH("Cryovial box 13: "&amp;($A161&amp;J$158),MASTER!$L:$L,0))),"ml",""),":",".")),"0.00")&amp;"_"&amp;TEXT(INDEX(MASTER!$E:$E,MATCH("Cryovial box 13: "&amp;($A161&amp;J$158),MASTER!$L:$L,0)),"mmddyy"),"")</f>
        <v/>
      </c>
      <c r="K161" s="4" t="str">
        <f>IFERROR(INDEX(MASTER!$A:$A,MATCH("Cryovial box 13: "&amp;($A161&amp;K$158),MASTER!$L:$L,0))&amp;"_ser_"&amp;TEXT(VALUE(SUBSTITUTE(SUBSTITUTE(TRIM(INDEX(MASTER!$M:$M,MATCH("Cryovial box 13: "&amp;($A161&amp;K$158),MASTER!$L:$L,0))),"ml",""),":",".")),"0.00")&amp;"_"&amp;TEXT(INDEX(MASTER!$E:$E,MATCH("Cryovial box 13: "&amp;($A161&amp;K$158),MASTER!$L:$L,0)),"mmddyy"),"")</f>
        <v/>
      </c>
    </row>
    <row r="162" spans="1:11" ht="20.149999999999999" customHeight="1" x14ac:dyDescent="0.3">
      <c r="A162" s="6" t="s">
        <v>33</v>
      </c>
      <c r="B162" s="4" t="str">
        <f>IFERROR(INDEX(MASTER!$A:$A,MATCH("Cryovial box 13: "&amp;($A162&amp;B$158),MASTER!$L:$L,0))&amp;"_ser_"&amp;TEXT(VALUE(SUBSTITUTE(SUBSTITUTE(TRIM(INDEX(MASTER!$M:$M,MATCH("Cryovial box 13: "&amp;($A162&amp;B$158),MASTER!$L:$L,0))),"ml",""),":",".")),"0.00")&amp;"_"&amp;TEXT(INDEX(MASTER!$E:$E,MATCH("Cryovial box 13: "&amp;($A162&amp;B$158),MASTER!$L:$L,0)),"mmddyy"),"")</f>
        <v/>
      </c>
      <c r="C162" s="4" t="str">
        <f>IFERROR(INDEX(MASTER!$A:$A,MATCH("Cryovial box 13: "&amp;($A162&amp;C$158),MASTER!$L:$L,0))&amp;"_ser_"&amp;TEXT(VALUE(SUBSTITUTE(SUBSTITUTE(TRIM(INDEX(MASTER!$M:$M,MATCH("Cryovial box 13: "&amp;($A162&amp;C$158),MASTER!$L:$L,0))),"ml",""),":",".")),"0.00")&amp;"_"&amp;TEXT(INDEX(MASTER!$E:$E,MATCH("Cryovial box 13: "&amp;($A162&amp;C$158),MASTER!$L:$L,0)),"mmddyy"),"")</f>
        <v/>
      </c>
      <c r="D162" s="4" t="str">
        <f>IFERROR(INDEX(MASTER!$A:$A,MATCH("Cryovial box 13: "&amp;($A162&amp;D$158),MASTER!$L:$L,0))&amp;"_ser_"&amp;TEXT(VALUE(SUBSTITUTE(SUBSTITUTE(TRIM(INDEX(MASTER!$M:$M,MATCH("Cryovial box 13: "&amp;($A162&amp;D$158),MASTER!$L:$L,0))),"ml",""),":",".")),"0.00")&amp;"_"&amp;TEXT(INDEX(MASTER!$E:$E,MATCH("Cryovial box 13: "&amp;($A162&amp;D$158),MASTER!$L:$L,0)),"mmddyy"),"")</f>
        <v/>
      </c>
      <c r="E162" s="4" t="str">
        <f>IFERROR(INDEX(MASTER!$A:$A,MATCH("Cryovial box 13: "&amp;($A162&amp;E$158),MASTER!$L:$L,0))&amp;"_ser_"&amp;TEXT(VALUE(SUBSTITUTE(SUBSTITUTE(TRIM(INDEX(MASTER!$M:$M,MATCH("Cryovial box 13: "&amp;($A162&amp;E$158),MASTER!$L:$L,0))),"ml",""),":",".")),"0.00")&amp;"_"&amp;TEXT(INDEX(MASTER!$E:$E,MATCH("Cryovial box 13: "&amp;($A162&amp;E$158),MASTER!$L:$L,0)),"mmddyy"),"")</f>
        <v/>
      </c>
      <c r="F162" s="4" t="str">
        <f>IFERROR(INDEX(MASTER!$A:$A,MATCH("Cryovial box 13: "&amp;($A162&amp;F$158),MASTER!$L:$L,0))&amp;"_ser_"&amp;TEXT(VALUE(SUBSTITUTE(SUBSTITUTE(TRIM(INDEX(MASTER!$M:$M,MATCH("Cryovial box 13: "&amp;($A162&amp;F$158),MASTER!$L:$L,0))),"ml",""),":",".")),"0.00")&amp;"_"&amp;TEXT(INDEX(MASTER!$E:$E,MATCH("Cryovial box 13: "&amp;($A162&amp;F$158),MASTER!$L:$L,0)),"mmddyy"),"")</f>
        <v/>
      </c>
      <c r="G162" s="4" t="str">
        <f>IFERROR(INDEX(MASTER!$A:$A,MATCH("Cryovial box 13: "&amp;($A162&amp;G$158),MASTER!$L:$L,0))&amp;"_ser_"&amp;TEXT(VALUE(SUBSTITUTE(SUBSTITUTE(TRIM(INDEX(MASTER!$M:$M,MATCH("Cryovial box 13: "&amp;($A162&amp;G$158),MASTER!$L:$L,0))),"ml",""),":",".")),"0.00")&amp;"_"&amp;TEXT(INDEX(MASTER!$E:$E,MATCH("Cryovial box 13: "&amp;($A162&amp;G$158),MASTER!$L:$L,0)),"mmddyy"),"")</f>
        <v/>
      </c>
      <c r="H162" s="4" t="str">
        <f>IFERROR(INDEX(MASTER!$A:$A,MATCH("Cryovial box 13: "&amp;($A162&amp;H$158),MASTER!$L:$L,0))&amp;"_ser_"&amp;TEXT(VALUE(SUBSTITUTE(SUBSTITUTE(TRIM(INDEX(MASTER!$M:$M,MATCH("Cryovial box 13: "&amp;($A162&amp;H$158),MASTER!$L:$L,0))),"ml",""),":",".")),"0.00")&amp;"_"&amp;TEXT(INDEX(MASTER!$E:$E,MATCH("Cryovial box 13: "&amp;($A162&amp;H$158),MASTER!$L:$L,0)),"mmddyy"),"")</f>
        <v/>
      </c>
      <c r="I162" s="4" t="str">
        <f>IFERROR(INDEX(MASTER!$A:$A,MATCH("Cryovial box 13: "&amp;($A162&amp;I$158),MASTER!$L:$L,0))&amp;"_ser_"&amp;TEXT(VALUE(SUBSTITUTE(SUBSTITUTE(TRIM(INDEX(MASTER!$M:$M,MATCH("Cryovial box 13: "&amp;($A162&amp;I$158),MASTER!$L:$L,0))),"ml",""),":",".")),"0.00")&amp;"_"&amp;TEXT(INDEX(MASTER!$E:$E,MATCH("Cryovial box 13: "&amp;($A162&amp;I$158),MASTER!$L:$L,0)),"mmddyy"),"")</f>
        <v/>
      </c>
      <c r="J162" s="4" t="str">
        <f>IFERROR(INDEX(MASTER!$A:$A,MATCH("Cryovial box 13: "&amp;($A162&amp;J$158),MASTER!$L:$L,0))&amp;"_ser_"&amp;TEXT(VALUE(SUBSTITUTE(SUBSTITUTE(TRIM(INDEX(MASTER!$M:$M,MATCH("Cryovial box 13: "&amp;($A162&amp;J$158),MASTER!$L:$L,0))),"ml",""),":",".")),"0.00")&amp;"_"&amp;TEXT(INDEX(MASTER!$E:$E,MATCH("Cryovial box 13: "&amp;($A162&amp;J$158),MASTER!$L:$L,0)),"mmddyy"),"")</f>
        <v/>
      </c>
      <c r="K162" s="4" t="str">
        <f>IFERROR(INDEX(MASTER!$A:$A,MATCH("Cryovial box 13: "&amp;($A162&amp;K$158),MASTER!$L:$L,0))&amp;"_ser_"&amp;TEXT(VALUE(SUBSTITUTE(SUBSTITUTE(TRIM(INDEX(MASTER!$M:$M,MATCH("Cryovial box 13: "&amp;($A162&amp;K$158),MASTER!$L:$L,0))),"ml",""),":",".")),"0.00")&amp;"_"&amp;TEXT(INDEX(MASTER!$E:$E,MATCH("Cryovial box 13: "&amp;($A162&amp;K$158),MASTER!$L:$L,0)),"mmddyy"),"")</f>
        <v/>
      </c>
    </row>
    <row r="163" spans="1:11" ht="20.149999999999999" customHeight="1" x14ac:dyDescent="0.3">
      <c r="A163" s="6" t="s">
        <v>34</v>
      </c>
      <c r="B163" s="4" t="str">
        <f>IFERROR(INDEX(MASTER!$A:$A,MATCH("Cryovial box 13: "&amp;($A163&amp;B$158),MASTER!$L:$L,0))&amp;"_ser_"&amp;TEXT(VALUE(SUBSTITUTE(SUBSTITUTE(TRIM(INDEX(MASTER!$M:$M,MATCH("Cryovial box 13: "&amp;($A163&amp;B$158),MASTER!$L:$L,0))),"ml",""),":",".")),"0.00")&amp;"_"&amp;TEXT(INDEX(MASTER!$E:$E,MATCH("Cryovial box 13: "&amp;($A163&amp;B$158),MASTER!$L:$L,0)),"mmddyy"),"")</f>
        <v/>
      </c>
      <c r="C163" s="4" t="str">
        <f>IFERROR(INDEX(MASTER!$A:$A,MATCH("Cryovial box 13: "&amp;($A163&amp;C$158),MASTER!$L:$L,0))&amp;"_ser_"&amp;TEXT(VALUE(SUBSTITUTE(SUBSTITUTE(TRIM(INDEX(MASTER!$M:$M,MATCH("Cryovial box 13: "&amp;($A163&amp;C$158),MASTER!$L:$L,0))),"ml",""),":",".")),"0.00")&amp;"_"&amp;TEXT(INDEX(MASTER!$E:$E,MATCH("Cryovial box 13: "&amp;($A163&amp;C$158),MASTER!$L:$L,0)),"mmddyy"),"")</f>
        <v/>
      </c>
      <c r="D163" s="4" t="str">
        <f>IFERROR(INDEX(MASTER!$A:$A,MATCH("Cryovial box 13: "&amp;($A163&amp;D$158),MASTER!$L:$L,0))&amp;"_ser_"&amp;TEXT(VALUE(SUBSTITUTE(SUBSTITUTE(TRIM(INDEX(MASTER!$M:$M,MATCH("Cryovial box 13: "&amp;($A163&amp;D$158),MASTER!$L:$L,0))),"ml",""),":",".")),"0.00")&amp;"_"&amp;TEXT(INDEX(MASTER!$E:$E,MATCH("Cryovial box 13: "&amp;($A163&amp;D$158),MASTER!$L:$L,0)),"mmddyy"),"")</f>
        <v/>
      </c>
      <c r="E163" s="4" t="str">
        <f>IFERROR(INDEX(MASTER!$A:$A,MATCH("Cryovial box 13: "&amp;($A163&amp;E$158),MASTER!$L:$L,0))&amp;"_ser_"&amp;TEXT(VALUE(SUBSTITUTE(SUBSTITUTE(TRIM(INDEX(MASTER!$M:$M,MATCH("Cryovial box 13: "&amp;($A163&amp;E$158),MASTER!$L:$L,0))),"ml",""),":",".")),"0.00")&amp;"_"&amp;TEXT(INDEX(MASTER!$E:$E,MATCH("Cryovial box 13: "&amp;($A163&amp;E$158),MASTER!$L:$L,0)),"mmddyy"),"")</f>
        <v/>
      </c>
      <c r="F163" s="4" t="str">
        <f>IFERROR(INDEX(MASTER!$A:$A,MATCH("Cryovial box 13: "&amp;($A163&amp;F$158),MASTER!$L:$L,0))&amp;"_ser_"&amp;TEXT(VALUE(SUBSTITUTE(SUBSTITUTE(TRIM(INDEX(MASTER!$M:$M,MATCH("Cryovial box 13: "&amp;($A163&amp;F$158),MASTER!$L:$L,0))),"ml",""),":",".")),"0.00")&amp;"_"&amp;TEXT(INDEX(MASTER!$E:$E,MATCH("Cryovial box 13: "&amp;($A163&amp;F$158),MASTER!$L:$L,0)),"mmddyy"),"")</f>
        <v/>
      </c>
      <c r="G163" s="4" t="str">
        <f>IFERROR(INDEX(MASTER!$A:$A,MATCH("Cryovial box 13: "&amp;($A163&amp;G$158),MASTER!$L:$L,0))&amp;"_ser_"&amp;TEXT(VALUE(SUBSTITUTE(SUBSTITUTE(TRIM(INDEX(MASTER!$M:$M,MATCH("Cryovial box 13: "&amp;($A163&amp;G$158),MASTER!$L:$L,0))),"ml",""),":",".")),"0.00")&amp;"_"&amp;TEXT(INDEX(MASTER!$E:$E,MATCH("Cryovial box 13: "&amp;($A163&amp;G$158),MASTER!$L:$L,0)),"mmddyy"),"")</f>
        <v/>
      </c>
      <c r="H163" s="4" t="str">
        <f>IFERROR(INDEX(MASTER!$A:$A,MATCH("Cryovial box 13: "&amp;($A163&amp;H$158),MASTER!$L:$L,0))&amp;"_ser_"&amp;TEXT(VALUE(SUBSTITUTE(SUBSTITUTE(TRIM(INDEX(MASTER!$M:$M,MATCH("Cryovial box 13: "&amp;($A163&amp;H$158),MASTER!$L:$L,0))),"ml",""),":",".")),"0.00")&amp;"_"&amp;TEXT(INDEX(MASTER!$E:$E,MATCH("Cryovial box 13: "&amp;($A163&amp;H$158),MASTER!$L:$L,0)),"mmddyy"),"")</f>
        <v/>
      </c>
      <c r="I163" s="4" t="str">
        <f>IFERROR(INDEX(MASTER!$A:$A,MATCH("Cryovial box 13: "&amp;($A163&amp;I$158),MASTER!$L:$L,0))&amp;"_ser_"&amp;TEXT(VALUE(SUBSTITUTE(SUBSTITUTE(TRIM(INDEX(MASTER!$M:$M,MATCH("Cryovial box 13: "&amp;($A163&amp;I$158),MASTER!$L:$L,0))),"ml",""),":",".")),"0.00")&amp;"_"&amp;TEXT(INDEX(MASTER!$E:$E,MATCH("Cryovial box 13: "&amp;($A163&amp;I$158),MASTER!$L:$L,0)),"mmddyy"),"")</f>
        <v/>
      </c>
      <c r="J163" s="4" t="str">
        <f>IFERROR(INDEX(MASTER!$A:$A,MATCH("Cryovial box 13: "&amp;($A163&amp;J$158),MASTER!$L:$L,0))&amp;"_ser_"&amp;TEXT(VALUE(SUBSTITUTE(SUBSTITUTE(TRIM(INDEX(MASTER!$M:$M,MATCH("Cryovial box 13: "&amp;($A163&amp;J$158),MASTER!$L:$L,0))),"ml",""),":",".")),"0.00")&amp;"_"&amp;TEXT(INDEX(MASTER!$E:$E,MATCH("Cryovial box 13: "&amp;($A163&amp;J$158),MASTER!$L:$L,0)),"mmddyy"),"")</f>
        <v/>
      </c>
      <c r="K163" s="4" t="str">
        <f>IFERROR(INDEX(MASTER!$A:$A,MATCH("Cryovial box 13: "&amp;($A163&amp;K$158),MASTER!$L:$L,0))&amp;"_ser_"&amp;TEXT(VALUE(SUBSTITUTE(SUBSTITUTE(TRIM(INDEX(MASTER!$M:$M,MATCH("Cryovial box 13: "&amp;($A163&amp;K$158),MASTER!$L:$L,0))),"ml",""),":",".")),"0.00")&amp;"_"&amp;TEXT(INDEX(MASTER!$E:$E,MATCH("Cryovial box 13: "&amp;($A163&amp;K$158),MASTER!$L:$L,0)),"mmddyy"),"")</f>
        <v/>
      </c>
    </row>
    <row r="164" spans="1:11" ht="20.149999999999999" customHeight="1" x14ac:dyDescent="0.3">
      <c r="A164" s="6" t="s">
        <v>15</v>
      </c>
      <c r="B164" s="4" t="str">
        <f>IFERROR(INDEX(MASTER!$A:$A,MATCH("Cryovial box 13: "&amp;($A164&amp;B$158),MASTER!$L:$L,0))&amp;"_ser_"&amp;TEXT(VALUE(SUBSTITUTE(SUBSTITUTE(TRIM(INDEX(MASTER!$M:$M,MATCH("Cryovial box 13: "&amp;($A164&amp;B$158),MASTER!$L:$L,0))),"ml",""),":",".")),"0.00")&amp;"_"&amp;TEXT(INDEX(MASTER!$E:$E,MATCH("Cryovial box 13: "&amp;($A164&amp;B$158),MASTER!$L:$L,0)),"mmddyy"),"")</f>
        <v/>
      </c>
      <c r="C164" s="4" t="str">
        <f>IFERROR(INDEX(MASTER!$A:$A,MATCH("Cryovial box 13: "&amp;($A164&amp;C$158),MASTER!$L:$L,0))&amp;"_ser_"&amp;TEXT(VALUE(SUBSTITUTE(SUBSTITUTE(TRIM(INDEX(MASTER!$M:$M,MATCH("Cryovial box 13: "&amp;($A164&amp;C$158),MASTER!$L:$L,0))),"ml",""),":",".")),"0.00")&amp;"_"&amp;TEXT(INDEX(MASTER!$E:$E,MATCH("Cryovial box 13: "&amp;($A164&amp;C$158),MASTER!$L:$L,0)),"mmddyy"),"")</f>
        <v/>
      </c>
      <c r="D164" s="4" t="str">
        <f>IFERROR(INDEX(MASTER!$A:$A,MATCH("Cryovial box 13: "&amp;($A164&amp;D$158),MASTER!$L:$L,0))&amp;"_ser_"&amp;TEXT(VALUE(SUBSTITUTE(SUBSTITUTE(TRIM(INDEX(MASTER!$M:$M,MATCH("Cryovial box 13: "&amp;($A164&amp;D$158),MASTER!$L:$L,0))),"ml",""),":",".")),"0.00")&amp;"_"&amp;TEXT(INDEX(MASTER!$E:$E,MATCH("Cryovial box 13: "&amp;($A164&amp;D$158),MASTER!$L:$L,0)),"mmddyy"),"")</f>
        <v/>
      </c>
      <c r="E164" s="4" t="str">
        <f>IFERROR(INDEX(MASTER!$A:$A,MATCH("Cryovial box 13: "&amp;($A164&amp;E$158),MASTER!$L:$L,0))&amp;"_ser_"&amp;TEXT(VALUE(SUBSTITUTE(SUBSTITUTE(TRIM(INDEX(MASTER!$M:$M,MATCH("Cryovial box 13: "&amp;($A164&amp;E$158),MASTER!$L:$L,0))),"ml",""),":",".")),"0.00")&amp;"_"&amp;TEXT(INDEX(MASTER!$E:$E,MATCH("Cryovial box 13: "&amp;($A164&amp;E$158),MASTER!$L:$L,0)),"mmddyy"),"")</f>
        <v/>
      </c>
      <c r="F164" s="4" t="str">
        <f>IFERROR(INDEX(MASTER!$A:$A,MATCH("Cryovial box 13: "&amp;($A164&amp;F$158),MASTER!$L:$L,0))&amp;"_ser_"&amp;TEXT(VALUE(SUBSTITUTE(SUBSTITUTE(TRIM(INDEX(MASTER!$M:$M,MATCH("Cryovial box 13: "&amp;($A164&amp;F$158),MASTER!$L:$L,0))),"ml",""),":",".")),"0.00")&amp;"_"&amp;TEXT(INDEX(MASTER!$E:$E,MATCH("Cryovial box 13: "&amp;($A164&amp;F$158),MASTER!$L:$L,0)),"mmddyy"),"")</f>
        <v/>
      </c>
      <c r="G164" s="4" t="str">
        <f>IFERROR(INDEX(MASTER!$A:$A,MATCH("Cryovial box 13: "&amp;($A164&amp;G$158),MASTER!$L:$L,0))&amp;"_ser_"&amp;TEXT(VALUE(SUBSTITUTE(SUBSTITUTE(TRIM(INDEX(MASTER!$M:$M,MATCH("Cryovial box 13: "&amp;($A164&amp;G$158),MASTER!$L:$L,0))),"ml",""),":",".")),"0.00")&amp;"_"&amp;TEXT(INDEX(MASTER!$E:$E,MATCH("Cryovial box 13: "&amp;($A164&amp;G$158),MASTER!$L:$L,0)),"mmddyy"),"")</f>
        <v/>
      </c>
      <c r="H164" s="4" t="str">
        <f>IFERROR(INDEX(MASTER!$A:$A,MATCH("Cryovial box 13: "&amp;($A164&amp;H$158),MASTER!$L:$L,0))&amp;"_ser_"&amp;TEXT(VALUE(SUBSTITUTE(SUBSTITUTE(TRIM(INDEX(MASTER!$M:$M,MATCH("Cryovial box 13: "&amp;($A164&amp;H$158),MASTER!$L:$L,0))),"ml",""),":",".")),"0.00")&amp;"_"&amp;TEXT(INDEX(MASTER!$E:$E,MATCH("Cryovial box 13: "&amp;($A164&amp;H$158),MASTER!$L:$L,0)),"mmddyy"),"")</f>
        <v/>
      </c>
      <c r="I164" s="4" t="str">
        <f>IFERROR(INDEX(MASTER!$A:$A,MATCH("Cryovial box 13: "&amp;($A164&amp;I$158),MASTER!$L:$L,0))&amp;"_ser_"&amp;TEXT(VALUE(SUBSTITUTE(SUBSTITUTE(TRIM(INDEX(MASTER!$M:$M,MATCH("Cryovial box 13: "&amp;($A164&amp;I$158),MASTER!$L:$L,0))),"ml",""),":",".")),"0.00")&amp;"_"&amp;TEXT(INDEX(MASTER!$E:$E,MATCH("Cryovial box 13: "&amp;($A164&amp;I$158),MASTER!$L:$L,0)),"mmddyy"),"")</f>
        <v/>
      </c>
      <c r="J164" s="4" t="str">
        <f>IFERROR(INDEX(MASTER!$A:$A,MATCH("Cryovial box 13: "&amp;($A164&amp;J$158),MASTER!$L:$L,0))&amp;"_ser_"&amp;TEXT(VALUE(SUBSTITUTE(SUBSTITUTE(TRIM(INDEX(MASTER!$M:$M,MATCH("Cryovial box 13: "&amp;($A164&amp;J$158),MASTER!$L:$L,0))),"ml",""),":",".")),"0.00")&amp;"_"&amp;TEXT(INDEX(MASTER!$E:$E,MATCH("Cryovial box 13: "&amp;($A164&amp;J$158),MASTER!$L:$L,0)),"mmddyy"),"")</f>
        <v/>
      </c>
      <c r="K164" s="4" t="str">
        <f>IFERROR(INDEX(MASTER!$A:$A,MATCH("Cryovial box 13: "&amp;($A164&amp;K$158),MASTER!$L:$L,0))&amp;"_ser_"&amp;TEXT(VALUE(SUBSTITUTE(SUBSTITUTE(TRIM(INDEX(MASTER!$M:$M,MATCH("Cryovial box 13: "&amp;($A164&amp;K$158),MASTER!$L:$L,0))),"ml",""),":",".")),"0.00")&amp;"_"&amp;TEXT(INDEX(MASTER!$E:$E,MATCH("Cryovial box 13: "&amp;($A164&amp;K$158),MASTER!$L:$L,0)),"mmddyy"),"")</f>
        <v/>
      </c>
    </row>
    <row r="165" spans="1:11" ht="20.149999999999999" customHeight="1" x14ac:dyDescent="0.3">
      <c r="A165" s="6" t="s">
        <v>35</v>
      </c>
      <c r="B165" s="4" t="str">
        <f>IFERROR(INDEX(MASTER!$A:$A,MATCH("Cryovial box 13: "&amp;($A165&amp;B$158),MASTER!$L:$L,0))&amp;"_ser_"&amp;TEXT(VALUE(SUBSTITUTE(SUBSTITUTE(TRIM(INDEX(MASTER!$M:$M,MATCH("Cryovial box 13: "&amp;($A165&amp;B$158),MASTER!$L:$L,0))),"ml",""),":",".")),"0.00")&amp;"_"&amp;TEXT(INDEX(MASTER!$E:$E,MATCH("Cryovial box 13: "&amp;($A165&amp;B$158),MASTER!$L:$L,0)),"mmddyy"),"")</f>
        <v/>
      </c>
      <c r="C165" s="4" t="str">
        <f>IFERROR(INDEX(MASTER!$A:$A,MATCH("Cryovial box 13: "&amp;($A165&amp;C$158),MASTER!$L:$L,0))&amp;"_ser_"&amp;TEXT(VALUE(SUBSTITUTE(SUBSTITUTE(TRIM(INDEX(MASTER!$M:$M,MATCH("Cryovial box 13: "&amp;($A165&amp;C$158),MASTER!$L:$L,0))),"ml",""),":",".")),"0.00")&amp;"_"&amp;TEXT(INDEX(MASTER!$E:$E,MATCH("Cryovial box 13: "&amp;($A165&amp;C$158),MASTER!$L:$L,0)),"mmddyy"),"")</f>
        <v/>
      </c>
      <c r="D165" s="4" t="str">
        <f>IFERROR(INDEX(MASTER!$A:$A,MATCH("Cryovial box 13: "&amp;($A165&amp;D$158),MASTER!$L:$L,0))&amp;"_ser_"&amp;TEXT(VALUE(SUBSTITUTE(SUBSTITUTE(TRIM(INDEX(MASTER!$M:$M,MATCH("Cryovial box 13: "&amp;($A165&amp;D$158),MASTER!$L:$L,0))),"ml",""),":",".")),"0.00")&amp;"_"&amp;TEXT(INDEX(MASTER!$E:$E,MATCH("Cryovial box 13: "&amp;($A165&amp;D$158),MASTER!$L:$L,0)),"mmddyy"),"")</f>
        <v/>
      </c>
      <c r="E165" s="4" t="str">
        <f>IFERROR(INDEX(MASTER!$A:$A,MATCH("Cryovial box 13: "&amp;($A165&amp;E$158),MASTER!$L:$L,0))&amp;"_ser_"&amp;TEXT(VALUE(SUBSTITUTE(SUBSTITUTE(TRIM(INDEX(MASTER!$M:$M,MATCH("Cryovial box 13: "&amp;($A165&amp;E$158),MASTER!$L:$L,0))),"ml",""),":",".")),"0.00")&amp;"_"&amp;TEXT(INDEX(MASTER!$E:$E,MATCH("Cryovial box 13: "&amp;($A165&amp;E$158),MASTER!$L:$L,0)),"mmddyy"),"")</f>
        <v/>
      </c>
      <c r="F165" s="4" t="str">
        <f>IFERROR(INDEX(MASTER!$A:$A,MATCH("Cryovial box 13: "&amp;($A165&amp;F$158),MASTER!$L:$L,0))&amp;"_ser_"&amp;TEXT(VALUE(SUBSTITUTE(SUBSTITUTE(TRIM(INDEX(MASTER!$M:$M,MATCH("Cryovial box 13: "&amp;($A165&amp;F$158),MASTER!$L:$L,0))),"ml",""),":",".")),"0.00")&amp;"_"&amp;TEXT(INDEX(MASTER!$E:$E,MATCH("Cryovial box 13: "&amp;($A165&amp;F$158),MASTER!$L:$L,0)),"mmddyy"),"")</f>
        <v/>
      </c>
      <c r="G165" s="4" t="str">
        <f>IFERROR(INDEX(MASTER!$A:$A,MATCH("Cryovial box 13: "&amp;($A165&amp;G$158),MASTER!$L:$L,0))&amp;"_ser_"&amp;TEXT(VALUE(SUBSTITUTE(SUBSTITUTE(TRIM(INDEX(MASTER!$M:$M,MATCH("Cryovial box 13: "&amp;($A165&amp;G$158),MASTER!$L:$L,0))),"ml",""),":",".")),"0.00")&amp;"_"&amp;TEXT(INDEX(MASTER!$E:$E,MATCH("Cryovial box 13: "&amp;($A165&amp;G$158),MASTER!$L:$L,0)),"mmddyy"),"")</f>
        <v/>
      </c>
      <c r="H165" s="4" t="str">
        <f>IFERROR(INDEX(MASTER!$A:$A,MATCH("Cryovial box 13: "&amp;($A165&amp;H$158),MASTER!$L:$L,0))&amp;"_ser_"&amp;TEXT(VALUE(SUBSTITUTE(SUBSTITUTE(TRIM(INDEX(MASTER!$M:$M,MATCH("Cryovial box 13: "&amp;($A165&amp;H$158),MASTER!$L:$L,0))),"ml",""),":",".")),"0.00")&amp;"_"&amp;TEXT(INDEX(MASTER!$E:$E,MATCH("Cryovial box 13: "&amp;($A165&amp;H$158),MASTER!$L:$L,0)),"mmddyy"),"")</f>
        <v/>
      </c>
      <c r="I165" s="4" t="str">
        <f>IFERROR(INDEX(MASTER!$A:$A,MATCH("Cryovial box 13: "&amp;($A165&amp;I$158),MASTER!$L:$L,0))&amp;"_ser_"&amp;TEXT(VALUE(SUBSTITUTE(SUBSTITUTE(TRIM(INDEX(MASTER!$M:$M,MATCH("Cryovial box 13: "&amp;($A165&amp;I$158),MASTER!$L:$L,0))),"ml",""),":",".")),"0.00")&amp;"_"&amp;TEXT(INDEX(MASTER!$E:$E,MATCH("Cryovial box 13: "&amp;($A165&amp;I$158),MASTER!$L:$L,0)),"mmddyy"),"")</f>
        <v/>
      </c>
      <c r="J165" s="4" t="str">
        <f>IFERROR(INDEX(MASTER!$A:$A,MATCH("Cryovial box 13: "&amp;($A165&amp;J$158),MASTER!$L:$L,0))&amp;"_ser_"&amp;TEXT(VALUE(SUBSTITUTE(SUBSTITUTE(TRIM(INDEX(MASTER!$M:$M,MATCH("Cryovial box 13: "&amp;($A165&amp;J$158),MASTER!$L:$L,0))),"ml",""),":",".")),"0.00")&amp;"_"&amp;TEXT(INDEX(MASTER!$E:$E,MATCH("Cryovial box 13: "&amp;($A165&amp;J$158),MASTER!$L:$L,0)),"mmddyy"),"")</f>
        <v/>
      </c>
      <c r="K165" s="4" t="str">
        <f>IFERROR(INDEX(MASTER!$A:$A,MATCH("Cryovial box 13: "&amp;($A165&amp;K$158),MASTER!$L:$L,0))&amp;"_ser_"&amp;TEXT(VALUE(SUBSTITUTE(SUBSTITUTE(TRIM(INDEX(MASTER!$M:$M,MATCH("Cryovial box 13: "&amp;($A165&amp;K$158),MASTER!$L:$L,0))),"ml",""),":",".")),"0.00")&amp;"_"&amp;TEXT(INDEX(MASTER!$E:$E,MATCH("Cryovial box 13: "&amp;($A165&amp;K$158),MASTER!$L:$L,0)),"mmddyy"),"")</f>
        <v/>
      </c>
    </row>
    <row r="166" spans="1:11" ht="20.149999999999999" customHeight="1" x14ac:dyDescent="0.3">
      <c r="A166" s="6" t="s">
        <v>36</v>
      </c>
      <c r="B166" s="4" t="str">
        <f>IFERROR(INDEX(MASTER!$A:$A,MATCH("Cryovial box 13: "&amp;($A166&amp;B$158),MASTER!$L:$L,0))&amp;"_ser_"&amp;TEXT(VALUE(SUBSTITUTE(SUBSTITUTE(TRIM(INDEX(MASTER!$M:$M,MATCH("Cryovial box 13: "&amp;($A166&amp;B$158),MASTER!$L:$L,0))),"ml",""),":",".")),"0.00")&amp;"_"&amp;TEXT(INDEX(MASTER!$E:$E,MATCH("Cryovial box 13: "&amp;($A166&amp;B$158),MASTER!$L:$L,0)),"mmddyy"),"")</f>
        <v/>
      </c>
      <c r="C166" s="4" t="str">
        <f>IFERROR(INDEX(MASTER!$A:$A,MATCH("Cryovial box 13: "&amp;($A166&amp;C$158),MASTER!$L:$L,0))&amp;"_ser_"&amp;TEXT(VALUE(SUBSTITUTE(SUBSTITUTE(TRIM(INDEX(MASTER!$M:$M,MATCH("Cryovial box 13: "&amp;($A166&amp;C$158),MASTER!$L:$L,0))),"ml",""),":",".")),"0.00")&amp;"_"&amp;TEXT(INDEX(MASTER!$E:$E,MATCH("Cryovial box 13: "&amp;($A166&amp;C$158),MASTER!$L:$L,0)),"mmddyy"),"")</f>
        <v/>
      </c>
      <c r="D166" s="4" t="str">
        <f>IFERROR(INDEX(MASTER!$A:$A,MATCH("Cryovial box 13: "&amp;($A166&amp;D$158),MASTER!$L:$L,0))&amp;"_ser_"&amp;TEXT(VALUE(SUBSTITUTE(SUBSTITUTE(TRIM(INDEX(MASTER!$M:$M,MATCH("Cryovial box 13: "&amp;($A166&amp;D$158),MASTER!$L:$L,0))),"ml",""),":",".")),"0.00")&amp;"_"&amp;TEXT(INDEX(MASTER!$E:$E,MATCH("Cryovial box 13: "&amp;($A166&amp;D$158),MASTER!$L:$L,0)),"mmddyy"),"")</f>
        <v/>
      </c>
      <c r="E166" s="4" t="str">
        <f>IFERROR(INDEX(MASTER!$A:$A,MATCH("Cryovial box 13: "&amp;($A166&amp;E$158),MASTER!$L:$L,0))&amp;"_ser_"&amp;TEXT(VALUE(SUBSTITUTE(SUBSTITUTE(TRIM(INDEX(MASTER!$M:$M,MATCH("Cryovial box 13: "&amp;($A166&amp;E$158),MASTER!$L:$L,0))),"ml",""),":",".")),"0.00")&amp;"_"&amp;TEXT(INDEX(MASTER!$E:$E,MATCH("Cryovial box 13: "&amp;($A166&amp;E$158),MASTER!$L:$L,0)),"mmddyy"),"")</f>
        <v/>
      </c>
      <c r="F166" s="4" t="str">
        <f>IFERROR(INDEX(MASTER!$A:$A,MATCH("Cryovial box 13: "&amp;($A166&amp;F$158),MASTER!$L:$L,0))&amp;"_ser_"&amp;TEXT(VALUE(SUBSTITUTE(SUBSTITUTE(TRIM(INDEX(MASTER!$M:$M,MATCH("Cryovial box 13: "&amp;($A166&amp;F$158),MASTER!$L:$L,0))),"ml",""),":",".")),"0.00")&amp;"_"&amp;TEXT(INDEX(MASTER!$E:$E,MATCH("Cryovial box 13: "&amp;($A166&amp;F$158),MASTER!$L:$L,0)),"mmddyy"),"")</f>
        <v/>
      </c>
      <c r="G166" s="4" t="str">
        <f>IFERROR(INDEX(MASTER!$A:$A,MATCH("Cryovial box 13: "&amp;($A166&amp;G$158),MASTER!$L:$L,0))&amp;"_ser_"&amp;TEXT(VALUE(SUBSTITUTE(SUBSTITUTE(TRIM(INDEX(MASTER!$M:$M,MATCH("Cryovial box 13: "&amp;($A166&amp;G$158),MASTER!$L:$L,0))),"ml",""),":",".")),"0.00")&amp;"_"&amp;TEXT(INDEX(MASTER!$E:$E,MATCH("Cryovial box 13: "&amp;($A166&amp;G$158),MASTER!$L:$L,0)),"mmddyy"),"")</f>
        <v/>
      </c>
      <c r="H166" s="4" t="str">
        <f>IFERROR(INDEX(MASTER!$A:$A,MATCH("Cryovial box 13: "&amp;($A166&amp;H$158),MASTER!$L:$L,0))&amp;"_ser_"&amp;TEXT(VALUE(SUBSTITUTE(SUBSTITUTE(TRIM(INDEX(MASTER!$M:$M,MATCH("Cryovial box 13: "&amp;($A166&amp;H$158),MASTER!$L:$L,0))),"ml",""),":",".")),"0.00")&amp;"_"&amp;TEXT(INDEX(MASTER!$E:$E,MATCH("Cryovial box 13: "&amp;($A166&amp;H$158),MASTER!$L:$L,0)),"mmddyy"),"")</f>
        <v/>
      </c>
      <c r="I166" s="4" t="str">
        <f>IFERROR(INDEX(MASTER!$A:$A,MATCH("Cryovial box 13: "&amp;($A166&amp;I$158),MASTER!$L:$L,0))&amp;"_ser_"&amp;TEXT(VALUE(SUBSTITUTE(SUBSTITUTE(TRIM(INDEX(MASTER!$M:$M,MATCH("Cryovial box 13: "&amp;($A166&amp;I$158),MASTER!$L:$L,0))),"ml",""),":",".")),"0.00")&amp;"_"&amp;TEXT(INDEX(MASTER!$E:$E,MATCH("Cryovial box 13: "&amp;($A166&amp;I$158),MASTER!$L:$L,0)),"mmddyy"),"")</f>
        <v/>
      </c>
      <c r="J166" s="4" t="str">
        <f>IFERROR(INDEX(MASTER!$A:$A,MATCH("Cryovial box 13: "&amp;($A166&amp;J$158),MASTER!$L:$L,0))&amp;"_ser_"&amp;TEXT(VALUE(SUBSTITUTE(SUBSTITUTE(TRIM(INDEX(MASTER!$M:$M,MATCH("Cryovial box 13: "&amp;($A166&amp;J$158),MASTER!$L:$L,0))),"ml",""),":",".")),"0.00")&amp;"_"&amp;TEXT(INDEX(MASTER!$E:$E,MATCH("Cryovial box 13: "&amp;($A166&amp;J$158),MASTER!$L:$L,0)),"mmddyy"),"")</f>
        <v/>
      </c>
      <c r="K166" s="4" t="str">
        <f>IFERROR(INDEX(MASTER!$A:$A,MATCH("Cryovial box 13: "&amp;($A166&amp;K$158),MASTER!$L:$L,0))&amp;"_ser_"&amp;TEXT(VALUE(SUBSTITUTE(SUBSTITUTE(TRIM(INDEX(MASTER!$M:$M,MATCH("Cryovial box 13: "&amp;($A166&amp;K$158),MASTER!$L:$L,0))),"ml",""),":",".")),"0.00")&amp;"_"&amp;TEXT(INDEX(MASTER!$E:$E,MATCH("Cryovial box 13: "&amp;($A166&amp;K$158),MASTER!$L:$L,0)),"mmddyy"),"")</f>
        <v/>
      </c>
    </row>
    <row r="167" spans="1:11" ht="20.149999999999999" customHeight="1" x14ac:dyDescent="0.3">
      <c r="A167" s="6" t="s">
        <v>100</v>
      </c>
      <c r="B167" s="4" t="str">
        <f>IFERROR(INDEX(MASTER!$A:$A,MATCH("Cryovial box 13: "&amp;($A167&amp;B$158),MASTER!$L:$L,0))&amp;"_ser_"&amp;TEXT(VALUE(SUBSTITUTE(SUBSTITUTE(TRIM(INDEX(MASTER!$M:$M,MATCH("Cryovial box 13: "&amp;($A167&amp;B$158),MASTER!$L:$L,0))),"ml",""),":",".")),"0.00")&amp;"_"&amp;TEXT(INDEX(MASTER!$E:$E,MATCH("Cryovial box 13: "&amp;($A167&amp;B$158),MASTER!$L:$L,0)),"mmddyy"),"")</f>
        <v/>
      </c>
      <c r="C167" s="4" t="str">
        <f>IFERROR(INDEX(MASTER!$A:$A,MATCH("Cryovial box 13: "&amp;($A167&amp;C$158),MASTER!$L:$L,0))&amp;"_ser_"&amp;TEXT(VALUE(SUBSTITUTE(SUBSTITUTE(TRIM(INDEX(MASTER!$M:$M,MATCH("Cryovial box 13: "&amp;($A167&amp;C$158),MASTER!$L:$L,0))),"ml",""),":",".")),"0.00")&amp;"_"&amp;TEXT(INDEX(MASTER!$E:$E,MATCH("Cryovial box 13: "&amp;($A167&amp;C$158),MASTER!$L:$L,0)),"mmddyy"),"")</f>
        <v/>
      </c>
      <c r="D167" s="4" t="str">
        <f>IFERROR(INDEX(MASTER!$A:$A,MATCH("Cryovial box 13: "&amp;($A167&amp;D$158),MASTER!$L:$L,0))&amp;"_ser_"&amp;TEXT(VALUE(SUBSTITUTE(SUBSTITUTE(TRIM(INDEX(MASTER!$M:$M,MATCH("Cryovial box 13: "&amp;($A167&amp;D$158),MASTER!$L:$L,0))),"ml",""),":",".")),"0.00")&amp;"_"&amp;TEXT(INDEX(MASTER!$E:$E,MATCH("Cryovial box 13: "&amp;($A167&amp;D$158),MASTER!$L:$L,0)),"mmddyy"),"")</f>
        <v/>
      </c>
      <c r="E167" s="4" t="str">
        <f>IFERROR(INDEX(MASTER!$A:$A,MATCH("Cryovial box 13: "&amp;($A167&amp;E$158),MASTER!$L:$L,0))&amp;"_ser_"&amp;TEXT(VALUE(SUBSTITUTE(SUBSTITUTE(TRIM(INDEX(MASTER!$M:$M,MATCH("Cryovial box 13: "&amp;($A167&amp;E$158),MASTER!$L:$L,0))),"ml",""),":",".")),"0.00")&amp;"_"&amp;TEXT(INDEX(MASTER!$E:$E,MATCH("Cryovial box 13: "&amp;($A167&amp;E$158),MASTER!$L:$L,0)),"mmddyy"),"")</f>
        <v/>
      </c>
      <c r="F167" s="4" t="str">
        <f>IFERROR(INDEX(MASTER!$A:$A,MATCH("Cryovial box 13: "&amp;($A167&amp;F$158),MASTER!$L:$L,0))&amp;"_ser_"&amp;TEXT(VALUE(SUBSTITUTE(SUBSTITUTE(TRIM(INDEX(MASTER!$M:$M,MATCH("Cryovial box 13: "&amp;($A167&amp;F$158),MASTER!$L:$L,0))),"ml",""),":",".")),"0.00")&amp;"_"&amp;TEXT(INDEX(MASTER!$E:$E,MATCH("Cryovial box 13: "&amp;($A167&amp;F$158),MASTER!$L:$L,0)),"mmddyy"),"")</f>
        <v/>
      </c>
      <c r="G167" s="4" t="str">
        <f>IFERROR(INDEX(MASTER!$A:$A,MATCH("Cryovial box 13: "&amp;($A167&amp;G$158),MASTER!$L:$L,0))&amp;"_ser_"&amp;TEXT(VALUE(SUBSTITUTE(SUBSTITUTE(TRIM(INDEX(MASTER!$M:$M,MATCH("Cryovial box 13: "&amp;($A167&amp;G$158),MASTER!$L:$L,0))),"ml",""),":",".")),"0.00")&amp;"_"&amp;TEXT(INDEX(MASTER!$E:$E,MATCH("Cryovial box 13: "&amp;($A167&amp;G$158),MASTER!$L:$L,0)),"mmddyy"),"")</f>
        <v/>
      </c>
      <c r="H167" s="4" t="str">
        <f>IFERROR(INDEX(MASTER!$A:$A,MATCH("Cryovial box 13: "&amp;($A167&amp;H$158),MASTER!$L:$L,0))&amp;"_ser_"&amp;TEXT(VALUE(SUBSTITUTE(SUBSTITUTE(TRIM(INDEX(MASTER!$M:$M,MATCH("Cryovial box 13: "&amp;($A167&amp;H$158),MASTER!$L:$L,0))),"ml",""),":",".")),"0.00")&amp;"_"&amp;TEXT(INDEX(MASTER!$E:$E,MATCH("Cryovial box 13: "&amp;($A167&amp;H$158),MASTER!$L:$L,0)),"mmddyy"),"")</f>
        <v/>
      </c>
      <c r="I167" s="4" t="str">
        <f>IFERROR(INDEX(MASTER!$A:$A,MATCH("Cryovial box 13: "&amp;($A167&amp;I$158),MASTER!$L:$L,0))&amp;"_ser_"&amp;TEXT(VALUE(SUBSTITUTE(SUBSTITUTE(TRIM(INDEX(MASTER!$M:$M,MATCH("Cryovial box 13: "&amp;($A167&amp;I$158),MASTER!$L:$L,0))),"ml",""),":",".")),"0.00")&amp;"_"&amp;TEXT(INDEX(MASTER!$E:$E,MATCH("Cryovial box 13: "&amp;($A167&amp;I$158),MASTER!$L:$L,0)),"mmddyy"),"")</f>
        <v/>
      </c>
      <c r="J167" s="4" t="str">
        <f>IFERROR(INDEX(MASTER!$A:$A,MATCH("Cryovial box 13: "&amp;($A167&amp;J$158),MASTER!$L:$L,0))&amp;"_ser_"&amp;TEXT(VALUE(SUBSTITUTE(SUBSTITUTE(TRIM(INDEX(MASTER!$M:$M,MATCH("Cryovial box 13: "&amp;($A167&amp;J$158),MASTER!$L:$L,0))),"ml",""),":",".")),"0.00")&amp;"_"&amp;TEXT(INDEX(MASTER!$E:$E,MATCH("Cryovial box 13: "&amp;($A167&amp;J$158),MASTER!$L:$L,0)),"mmddyy"),"")</f>
        <v/>
      </c>
      <c r="K167" s="4" t="str">
        <f>IFERROR(INDEX(MASTER!$A:$A,MATCH("Cryovial box 13: "&amp;($A167&amp;K$158),MASTER!$L:$L,0))&amp;"_ser_"&amp;TEXT(VALUE(SUBSTITUTE(SUBSTITUTE(TRIM(INDEX(MASTER!$M:$M,MATCH("Cryovial box 13: "&amp;($A167&amp;K$158),MASTER!$L:$L,0))),"ml",""),":",".")),"0.00")&amp;"_"&amp;TEXT(INDEX(MASTER!$E:$E,MATCH("Cryovial box 13: "&amp;($A167&amp;K$158),MASTER!$L:$L,0)),"mmddyy"),"")</f>
        <v/>
      </c>
    </row>
    <row r="168" spans="1:11" ht="20.149999999999999" customHeight="1" x14ac:dyDescent="0.3">
      <c r="A168" s="6" t="s">
        <v>101</v>
      </c>
      <c r="B168" s="4" t="str">
        <f>IFERROR(INDEX(MASTER!$A:$A,MATCH("Cryovial box 13: "&amp;($A168&amp;B$158),MASTER!$L:$L,0))&amp;"_ser_"&amp;TEXT(VALUE(SUBSTITUTE(SUBSTITUTE(TRIM(INDEX(MASTER!$M:$M,MATCH("Cryovial box 13: "&amp;($A168&amp;B$158),MASTER!$L:$L,0))),"ml",""),":",".")),"0.00")&amp;"_"&amp;TEXT(INDEX(MASTER!$E:$E,MATCH("Cryovial box 13: "&amp;($A168&amp;B$158),MASTER!$L:$L,0)),"mmddyy"),"")</f>
        <v/>
      </c>
      <c r="C168" s="4" t="str">
        <f>IFERROR(INDEX(MASTER!$A:$A,MATCH("Cryovial box 13: "&amp;($A168&amp;C$158),MASTER!$L:$L,0))&amp;"_ser_"&amp;TEXT(VALUE(SUBSTITUTE(SUBSTITUTE(TRIM(INDEX(MASTER!$M:$M,MATCH("Cryovial box 13: "&amp;($A168&amp;C$158),MASTER!$L:$L,0))),"ml",""),":",".")),"0.00")&amp;"_"&amp;TEXT(INDEX(MASTER!$E:$E,MATCH("Cryovial box 13: "&amp;($A168&amp;C$158),MASTER!$L:$L,0)),"mmddyy"),"")</f>
        <v/>
      </c>
      <c r="D168" s="4" t="str">
        <f>IFERROR(INDEX(MASTER!$A:$A,MATCH("Cryovial box 13: "&amp;($A168&amp;D$158),MASTER!$L:$L,0))&amp;"_ser_"&amp;TEXT(VALUE(SUBSTITUTE(SUBSTITUTE(TRIM(INDEX(MASTER!$M:$M,MATCH("Cryovial box 13: "&amp;($A168&amp;D$158),MASTER!$L:$L,0))),"ml",""),":",".")),"0.00")&amp;"_"&amp;TEXT(INDEX(MASTER!$E:$E,MATCH("Cryovial box 13: "&amp;($A168&amp;D$158),MASTER!$L:$L,0)),"mmddyy"),"")</f>
        <v/>
      </c>
      <c r="E168" s="4" t="str">
        <f>IFERROR(INDEX(MASTER!$A:$A,MATCH("Cryovial box 13: "&amp;($A168&amp;E$158),MASTER!$L:$L,0))&amp;"_ser_"&amp;TEXT(VALUE(SUBSTITUTE(SUBSTITUTE(TRIM(INDEX(MASTER!$M:$M,MATCH("Cryovial box 13: "&amp;($A168&amp;E$158),MASTER!$L:$L,0))),"ml",""),":",".")),"0.00")&amp;"_"&amp;TEXT(INDEX(MASTER!$E:$E,MATCH("Cryovial box 13: "&amp;($A168&amp;E$158),MASTER!$L:$L,0)),"mmddyy"),"")</f>
        <v/>
      </c>
      <c r="F168" s="4" t="str">
        <f>IFERROR(INDEX(MASTER!$A:$A,MATCH("Cryovial box 13: "&amp;($A168&amp;F$158),MASTER!$L:$L,0))&amp;"_ser_"&amp;TEXT(VALUE(SUBSTITUTE(SUBSTITUTE(TRIM(INDEX(MASTER!$M:$M,MATCH("Cryovial box 13: "&amp;($A168&amp;F$158),MASTER!$L:$L,0))),"ml",""),":",".")),"0.00")&amp;"_"&amp;TEXT(INDEX(MASTER!$E:$E,MATCH("Cryovial box 13: "&amp;($A168&amp;F$158),MASTER!$L:$L,0)),"mmddyy"),"")</f>
        <v/>
      </c>
      <c r="G168" s="4" t="str">
        <f>IFERROR(INDEX(MASTER!$A:$A,MATCH("Cryovial box 13: "&amp;($A168&amp;G$158),MASTER!$L:$L,0))&amp;"_ser_"&amp;TEXT(VALUE(SUBSTITUTE(SUBSTITUTE(TRIM(INDEX(MASTER!$M:$M,MATCH("Cryovial box 13: "&amp;($A168&amp;G$158),MASTER!$L:$L,0))),"ml",""),":",".")),"0.00")&amp;"_"&amp;TEXT(INDEX(MASTER!$E:$E,MATCH("Cryovial box 13: "&amp;($A168&amp;G$158),MASTER!$L:$L,0)),"mmddyy"),"")</f>
        <v/>
      </c>
      <c r="H168" s="4" t="str">
        <f>IFERROR(INDEX(MASTER!$A:$A,MATCH("Cryovial box 13: "&amp;($A168&amp;H$158),MASTER!$L:$L,0))&amp;"_ser_"&amp;TEXT(VALUE(SUBSTITUTE(SUBSTITUTE(TRIM(INDEX(MASTER!$M:$M,MATCH("Cryovial box 13: "&amp;($A168&amp;H$158),MASTER!$L:$L,0))),"ml",""),":",".")),"0.00")&amp;"_"&amp;TEXT(INDEX(MASTER!$E:$E,MATCH("Cryovial box 13: "&amp;($A168&amp;H$158),MASTER!$L:$L,0)),"mmddyy"),"")</f>
        <v/>
      </c>
      <c r="I168" s="4" t="str">
        <f>IFERROR(INDEX(MASTER!$A:$A,MATCH("Cryovial box 13: "&amp;($A168&amp;I$158),MASTER!$L:$L,0))&amp;"_ser_"&amp;TEXT(VALUE(SUBSTITUTE(SUBSTITUTE(TRIM(INDEX(MASTER!$M:$M,MATCH("Cryovial box 13: "&amp;($A168&amp;I$158),MASTER!$L:$L,0))),"ml",""),":",".")),"0.00")&amp;"_"&amp;TEXT(INDEX(MASTER!$E:$E,MATCH("Cryovial box 13: "&amp;($A168&amp;I$158),MASTER!$L:$L,0)),"mmddyy"),"")</f>
        <v/>
      </c>
      <c r="J168" s="4" t="str">
        <f>IFERROR(INDEX(MASTER!$A:$A,MATCH("Cryovial box 13: "&amp;($A168&amp;J$158),MASTER!$L:$L,0))&amp;"_ser_"&amp;TEXT(VALUE(SUBSTITUTE(SUBSTITUTE(TRIM(INDEX(MASTER!$M:$M,MATCH("Cryovial box 13: "&amp;($A168&amp;J$158),MASTER!$L:$L,0))),"ml",""),":",".")),"0.00")&amp;"_"&amp;TEXT(INDEX(MASTER!$E:$E,MATCH("Cryovial box 13: "&amp;($A168&amp;J$158),MASTER!$L:$L,0)),"mmddyy"),"")</f>
        <v/>
      </c>
      <c r="K168" s="4" t="str">
        <f>IFERROR(INDEX(MASTER!$A:$A,MATCH("Cryovial box 13: "&amp;($A168&amp;K$158),MASTER!$L:$L,0))&amp;"_ser_"&amp;TEXT(VALUE(SUBSTITUTE(SUBSTITUTE(TRIM(INDEX(MASTER!$M:$M,MATCH("Cryovial box 13: "&amp;($A168&amp;K$158),MASTER!$L:$L,0))),"ml",""),":",".")),"0.00")&amp;"_"&amp;TEXT(INDEX(MASTER!$E:$E,MATCH("Cryovial box 13: "&amp;($A168&amp;K$158),MASTER!$L:$L,0)),"mmddyy"),"")</f>
        <v/>
      </c>
    </row>
    <row r="169" spans="1:11" ht="20.149999999999999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spans="1:11" ht="20.149999999999999" customHeight="1" x14ac:dyDescent="0.3">
      <c r="A170" s="5"/>
      <c r="B170" s="31" t="s">
        <v>114</v>
      </c>
      <c r="C170" s="36"/>
      <c r="D170" s="36"/>
      <c r="E170" s="36"/>
      <c r="F170" s="36"/>
      <c r="G170" s="36"/>
      <c r="H170" s="36"/>
      <c r="I170" s="36"/>
      <c r="J170" s="36"/>
      <c r="K170" s="37"/>
    </row>
    <row r="171" spans="1:11" ht="20.149999999999999" customHeight="1" x14ac:dyDescent="0.3">
      <c r="A171" s="5"/>
      <c r="B171" s="6">
        <v>1</v>
      </c>
      <c r="C171" s="6">
        <v>2</v>
      </c>
      <c r="D171" s="6">
        <v>3</v>
      </c>
      <c r="E171" s="6">
        <v>4</v>
      </c>
      <c r="F171" s="6">
        <v>5</v>
      </c>
      <c r="G171" s="6">
        <v>6</v>
      </c>
      <c r="H171" s="6">
        <v>7</v>
      </c>
      <c r="I171" s="6">
        <v>8</v>
      </c>
      <c r="J171" s="6">
        <v>9</v>
      </c>
      <c r="K171" s="6">
        <v>10</v>
      </c>
    </row>
    <row r="172" spans="1:11" ht="20.149999999999999" customHeight="1" x14ac:dyDescent="0.3">
      <c r="A172" s="6" t="s">
        <v>30</v>
      </c>
      <c r="B172" s="4" t="str">
        <f>IFERROR(INDEX(MASTER!$A:$A,MATCH("Cryovial box 14: "&amp;($A172&amp;B$171),MASTER!$L:$L,0))&amp;"_ser_"&amp;TEXT(VALUE(SUBSTITUTE(SUBSTITUTE(TRIM(INDEX(MASTER!$M:$M,MATCH("Cryovial box 14: "&amp;($A172&amp;B$171),MASTER!$L:$L,0))),"ml",""),":",".")),"0.00")&amp;"_"&amp;TEXT(INDEX(MASTER!$E:$E,MATCH("Cryovial box 14: "&amp;($A172&amp;B$171),MASTER!$L:$L,0)),"mmddyy"),"")</f>
        <v/>
      </c>
      <c r="C172" s="4" t="str">
        <f>IFERROR(INDEX(MASTER!$A:$A,MATCH("Cryovial box 14: "&amp;($A172&amp;C$171),MASTER!$L:$L,0))&amp;"_ser_"&amp;TEXT(VALUE(SUBSTITUTE(SUBSTITUTE(TRIM(INDEX(MASTER!$M:$M,MATCH("Cryovial box 14: "&amp;($A172&amp;C$171),MASTER!$L:$L,0))),"ml",""),":",".")),"0.00")&amp;"_"&amp;TEXT(INDEX(MASTER!$E:$E,MATCH("Cryovial box 14: "&amp;($A172&amp;C$171),MASTER!$L:$L,0)),"mmddyy"),"")</f>
        <v/>
      </c>
      <c r="D172" s="4" t="str">
        <f>IFERROR(INDEX(MASTER!$A:$A,MATCH("Cryovial box 14: "&amp;($A172&amp;D$171),MASTER!$L:$L,0))&amp;"_ser_"&amp;TEXT(VALUE(SUBSTITUTE(SUBSTITUTE(TRIM(INDEX(MASTER!$M:$M,MATCH("Cryovial box 14: "&amp;($A172&amp;D$171),MASTER!$L:$L,0))),"ml",""),":",".")),"0.00")&amp;"_"&amp;TEXT(INDEX(MASTER!$E:$E,MATCH("Cryovial box 14: "&amp;($A172&amp;D$171),MASTER!$L:$L,0)),"mmddyy"),"")</f>
        <v/>
      </c>
      <c r="E172" s="4" t="str">
        <f>IFERROR(INDEX(MASTER!$A:$A,MATCH("Cryovial box 14: "&amp;($A172&amp;E$171),MASTER!$L:$L,0))&amp;"_ser_"&amp;TEXT(VALUE(SUBSTITUTE(SUBSTITUTE(TRIM(INDEX(MASTER!$M:$M,MATCH("Cryovial box 14: "&amp;($A172&amp;E$171),MASTER!$L:$L,0))),"ml",""),":",".")),"0.00")&amp;"_"&amp;TEXT(INDEX(MASTER!$E:$E,MATCH("Cryovial box 14: "&amp;($A172&amp;E$171),MASTER!$L:$L,0)),"mmddyy"),"")</f>
        <v/>
      </c>
      <c r="F172" s="4" t="str">
        <f>IFERROR(INDEX(MASTER!$A:$A,MATCH("Cryovial box 14: "&amp;($A172&amp;F$171),MASTER!$L:$L,0))&amp;"_ser_"&amp;TEXT(VALUE(SUBSTITUTE(SUBSTITUTE(TRIM(INDEX(MASTER!$M:$M,MATCH("Cryovial box 14: "&amp;($A172&amp;F$171),MASTER!$L:$L,0))),"ml",""),":",".")),"0.00")&amp;"_"&amp;TEXT(INDEX(MASTER!$E:$E,MATCH("Cryovial box 14: "&amp;($A172&amp;F$171),MASTER!$L:$L,0)),"mmddyy"),"")</f>
        <v/>
      </c>
      <c r="G172" s="4" t="str">
        <f>IFERROR(INDEX(MASTER!$A:$A,MATCH("Cryovial box 14: "&amp;($A172&amp;G$171),MASTER!$L:$L,0))&amp;"_ser_"&amp;TEXT(VALUE(SUBSTITUTE(SUBSTITUTE(TRIM(INDEX(MASTER!$M:$M,MATCH("Cryovial box 14: "&amp;($A172&amp;G$171),MASTER!$L:$L,0))),"ml",""),":",".")),"0.00")&amp;"_"&amp;TEXT(INDEX(MASTER!$E:$E,MATCH("Cryovial box 14: "&amp;($A172&amp;G$171),MASTER!$L:$L,0)),"mmddyy"),"")</f>
        <v/>
      </c>
      <c r="H172" s="4" t="str">
        <f>IFERROR(INDEX(MASTER!$A:$A,MATCH("Cryovial box 14: "&amp;($A172&amp;H$171),MASTER!$L:$L,0))&amp;"_ser_"&amp;TEXT(VALUE(SUBSTITUTE(SUBSTITUTE(TRIM(INDEX(MASTER!$M:$M,MATCH("Cryovial box 14: "&amp;($A172&amp;H$171),MASTER!$L:$L,0))),"ml",""),":",".")),"0.00")&amp;"_"&amp;TEXT(INDEX(MASTER!$E:$E,MATCH("Cryovial box 14: "&amp;($A172&amp;H$171),MASTER!$L:$L,0)),"mmddyy"),"")</f>
        <v/>
      </c>
      <c r="I172" s="4" t="str">
        <f>IFERROR(INDEX(MASTER!$A:$A,MATCH("Cryovial box 14: "&amp;($A172&amp;I$171),MASTER!$L:$L,0))&amp;"_ser_"&amp;TEXT(VALUE(SUBSTITUTE(SUBSTITUTE(TRIM(INDEX(MASTER!$M:$M,MATCH("Cryovial box 14: "&amp;($A172&amp;I$171),MASTER!$L:$L,0))),"ml",""),":",".")),"0.00")&amp;"_"&amp;TEXT(INDEX(MASTER!$E:$E,MATCH("Cryovial box 14: "&amp;($A172&amp;I$171),MASTER!$L:$L,0)),"mmddyy"),"")</f>
        <v/>
      </c>
      <c r="J172" s="4" t="str">
        <f>IFERROR(INDEX(MASTER!$A:$A,MATCH("Cryovial box 14: "&amp;($A172&amp;J$171),MASTER!$L:$L,0))&amp;"_ser_"&amp;TEXT(VALUE(SUBSTITUTE(SUBSTITUTE(TRIM(INDEX(MASTER!$M:$M,MATCH("Cryovial box 14: "&amp;($A172&amp;J$171),MASTER!$L:$L,0))),"ml",""),":",".")),"0.00")&amp;"_"&amp;TEXT(INDEX(MASTER!$E:$E,MATCH("Cryovial box 14: "&amp;($A172&amp;J$171),MASTER!$L:$L,0)),"mmddyy"),"")</f>
        <v/>
      </c>
      <c r="K172" s="4" t="str">
        <f>IFERROR(INDEX(MASTER!$A:$A,MATCH("Cryovial box 14: "&amp;($A172&amp;K$171),MASTER!$L:$L,0))&amp;"_ser_"&amp;TEXT(VALUE(SUBSTITUTE(SUBSTITUTE(TRIM(INDEX(MASTER!$M:$M,MATCH("Cryovial box 14: "&amp;($A172&amp;K$171),MASTER!$L:$L,0))),"ml",""),":",".")),"0.00")&amp;"_"&amp;TEXT(INDEX(MASTER!$E:$E,MATCH("Cryovial box 14: "&amp;($A172&amp;K$171),MASTER!$L:$L,0)),"mmddyy"),"")</f>
        <v/>
      </c>
    </row>
    <row r="173" spans="1:11" ht="14.15" customHeight="1" x14ac:dyDescent="0.3">
      <c r="A173" s="6" t="s">
        <v>31</v>
      </c>
      <c r="B173" s="4" t="str">
        <f>IFERROR(INDEX(MASTER!$A:$A,MATCH("Cryovial box 14: "&amp;($A173&amp;B$171),MASTER!$L:$L,0))&amp;"_ser_"&amp;TEXT(VALUE(SUBSTITUTE(SUBSTITUTE(TRIM(INDEX(MASTER!$M:$M,MATCH("Cryovial box 14: "&amp;($A173&amp;B$171),MASTER!$L:$L,0))),"ml",""),":",".")),"0.00")&amp;"_"&amp;TEXT(INDEX(MASTER!$E:$E,MATCH("Cryovial box 14: "&amp;($A173&amp;B$171),MASTER!$L:$L,0)),"mmddyy"),"")</f>
        <v/>
      </c>
      <c r="C173" s="4" t="str">
        <f>IFERROR(INDEX(MASTER!$A:$A,MATCH("Cryovial box 14: "&amp;($A173&amp;C$171),MASTER!$L:$L,0))&amp;"_ser_"&amp;TEXT(VALUE(SUBSTITUTE(SUBSTITUTE(TRIM(INDEX(MASTER!$M:$M,MATCH("Cryovial box 14: "&amp;($A173&amp;C$171),MASTER!$L:$L,0))),"ml",""),":",".")),"0.00")&amp;"_"&amp;TEXT(INDEX(MASTER!$E:$E,MATCH("Cryovial box 14: "&amp;($A173&amp;C$171),MASTER!$L:$L,0)),"mmddyy"),"")</f>
        <v/>
      </c>
      <c r="D173" s="4" t="str">
        <f>IFERROR(INDEX(MASTER!$A:$A,MATCH("Cryovial box 14: "&amp;($A173&amp;D$171),MASTER!$L:$L,0))&amp;"_ser_"&amp;TEXT(VALUE(SUBSTITUTE(SUBSTITUTE(TRIM(INDEX(MASTER!$M:$M,MATCH("Cryovial box 14: "&amp;($A173&amp;D$171),MASTER!$L:$L,0))),"ml",""),":",".")),"0.00")&amp;"_"&amp;TEXT(INDEX(MASTER!$E:$E,MATCH("Cryovial box 14: "&amp;($A173&amp;D$171),MASTER!$L:$L,0)),"mmddyy"),"")</f>
        <v/>
      </c>
      <c r="E173" s="4" t="str">
        <f>IFERROR(INDEX(MASTER!$A:$A,MATCH("Cryovial box 14: "&amp;($A173&amp;E$171),MASTER!$L:$L,0))&amp;"_ser_"&amp;TEXT(VALUE(SUBSTITUTE(SUBSTITUTE(TRIM(INDEX(MASTER!$M:$M,MATCH("Cryovial box 14: "&amp;($A173&amp;E$171),MASTER!$L:$L,0))),"ml",""),":",".")),"0.00")&amp;"_"&amp;TEXT(INDEX(MASTER!$E:$E,MATCH("Cryovial box 14: "&amp;($A173&amp;E$171),MASTER!$L:$L,0)),"mmddyy"),"")</f>
        <v/>
      </c>
      <c r="F173" s="4" t="str">
        <f>IFERROR(INDEX(MASTER!$A:$A,MATCH("Cryovial box 14: "&amp;($A173&amp;F$171),MASTER!$L:$L,0))&amp;"_ser_"&amp;TEXT(VALUE(SUBSTITUTE(SUBSTITUTE(TRIM(INDEX(MASTER!$M:$M,MATCH("Cryovial box 14: "&amp;($A173&amp;F$171),MASTER!$L:$L,0))),"ml",""),":",".")),"0.00")&amp;"_"&amp;TEXT(INDEX(MASTER!$E:$E,MATCH("Cryovial box 14: "&amp;($A173&amp;F$171),MASTER!$L:$L,0)),"mmddyy"),"")</f>
        <v/>
      </c>
      <c r="G173" s="4" t="str">
        <f>IFERROR(INDEX(MASTER!$A:$A,MATCH("Cryovial box 14: "&amp;($A173&amp;G$171),MASTER!$L:$L,0))&amp;"_ser_"&amp;TEXT(VALUE(SUBSTITUTE(SUBSTITUTE(TRIM(INDEX(MASTER!$M:$M,MATCH("Cryovial box 14: "&amp;($A173&amp;G$171),MASTER!$L:$L,0))),"ml",""),":",".")),"0.00")&amp;"_"&amp;TEXT(INDEX(MASTER!$E:$E,MATCH("Cryovial box 14: "&amp;($A173&amp;G$171),MASTER!$L:$L,0)),"mmddyy"),"")</f>
        <v/>
      </c>
      <c r="H173" s="4" t="str">
        <f>IFERROR(INDEX(MASTER!$A:$A,MATCH("Cryovial box 14: "&amp;($A173&amp;H$171),MASTER!$L:$L,0))&amp;"_ser_"&amp;TEXT(VALUE(SUBSTITUTE(SUBSTITUTE(TRIM(INDEX(MASTER!$M:$M,MATCH("Cryovial box 14: "&amp;($A173&amp;H$171),MASTER!$L:$L,0))),"ml",""),":",".")),"0.00")&amp;"_"&amp;TEXT(INDEX(MASTER!$E:$E,MATCH("Cryovial box 14: "&amp;($A173&amp;H$171),MASTER!$L:$L,0)),"mmddyy"),"")</f>
        <v/>
      </c>
      <c r="I173" s="4" t="str">
        <f>IFERROR(INDEX(MASTER!$A:$A,MATCH("Cryovial box 14: "&amp;($A173&amp;I$171),MASTER!$L:$L,0))&amp;"_ser_"&amp;TEXT(VALUE(SUBSTITUTE(SUBSTITUTE(TRIM(INDEX(MASTER!$M:$M,MATCH("Cryovial box 14: "&amp;($A173&amp;I$171),MASTER!$L:$L,0))),"ml",""),":",".")),"0.00")&amp;"_"&amp;TEXT(INDEX(MASTER!$E:$E,MATCH("Cryovial box 14: "&amp;($A173&amp;I$171),MASTER!$L:$L,0)),"mmddyy"),"")</f>
        <v/>
      </c>
      <c r="J173" s="4" t="str">
        <f>IFERROR(INDEX(MASTER!$A:$A,MATCH("Cryovial box 14: "&amp;($A173&amp;J$171),MASTER!$L:$L,0))&amp;"_ser_"&amp;TEXT(VALUE(SUBSTITUTE(SUBSTITUTE(TRIM(INDEX(MASTER!$M:$M,MATCH("Cryovial box 14: "&amp;($A173&amp;J$171),MASTER!$L:$L,0))),"ml",""),":",".")),"0.00")&amp;"_"&amp;TEXT(INDEX(MASTER!$E:$E,MATCH("Cryovial box 14: "&amp;($A173&amp;J$171),MASTER!$L:$L,0)),"mmddyy"),"")</f>
        <v/>
      </c>
      <c r="K173" s="4" t="str">
        <f>IFERROR(INDEX(MASTER!$A:$A,MATCH("Cryovial box 14: "&amp;($A173&amp;K$171),MASTER!$L:$L,0))&amp;"_ser_"&amp;TEXT(VALUE(SUBSTITUTE(SUBSTITUTE(TRIM(INDEX(MASTER!$M:$M,MATCH("Cryovial box 14: "&amp;($A173&amp;K$171),MASTER!$L:$L,0))),"ml",""),":",".")),"0.00")&amp;"_"&amp;TEXT(INDEX(MASTER!$E:$E,MATCH("Cryovial box 14: "&amp;($A173&amp;K$171),MASTER!$L:$L,0)),"mmddyy"),"")</f>
        <v/>
      </c>
    </row>
    <row r="174" spans="1:11" ht="14.15" customHeight="1" x14ac:dyDescent="0.3">
      <c r="A174" s="6" t="s">
        <v>32</v>
      </c>
      <c r="B174" s="4" t="str">
        <f>IFERROR(INDEX(MASTER!$A:$A,MATCH("Cryovial box 14: "&amp;($A174&amp;B$171),MASTER!$L:$L,0))&amp;"_ser_"&amp;TEXT(VALUE(SUBSTITUTE(SUBSTITUTE(TRIM(INDEX(MASTER!$M:$M,MATCH("Cryovial box 14: "&amp;($A174&amp;B$171),MASTER!$L:$L,0))),"ml",""),":",".")),"0.00")&amp;"_"&amp;TEXT(INDEX(MASTER!$E:$E,MATCH("Cryovial box 14: "&amp;($A174&amp;B$171),MASTER!$L:$L,0)),"mmddyy"),"")</f>
        <v/>
      </c>
      <c r="C174" s="4" t="str">
        <f>IFERROR(INDEX(MASTER!$A:$A,MATCH("Cryovial box 14: "&amp;($A174&amp;C$171),MASTER!$L:$L,0))&amp;"_ser_"&amp;TEXT(VALUE(SUBSTITUTE(SUBSTITUTE(TRIM(INDEX(MASTER!$M:$M,MATCH("Cryovial box 14: "&amp;($A174&amp;C$171),MASTER!$L:$L,0))),"ml",""),":",".")),"0.00")&amp;"_"&amp;TEXT(INDEX(MASTER!$E:$E,MATCH("Cryovial box 14: "&amp;($A174&amp;C$171),MASTER!$L:$L,0)),"mmddyy"),"")</f>
        <v/>
      </c>
      <c r="D174" s="4" t="str">
        <f>IFERROR(INDEX(MASTER!$A:$A,MATCH("Cryovial box 14: "&amp;($A174&amp;D$171),MASTER!$L:$L,0))&amp;"_ser_"&amp;TEXT(VALUE(SUBSTITUTE(SUBSTITUTE(TRIM(INDEX(MASTER!$M:$M,MATCH("Cryovial box 14: "&amp;($A174&amp;D$171),MASTER!$L:$L,0))),"ml",""),":",".")),"0.00")&amp;"_"&amp;TEXT(INDEX(MASTER!$E:$E,MATCH("Cryovial box 14: "&amp;($A174&amp;D$171),MASTER!$L:$L,0)),"mmddyy"),"")</f>
        <v/>
      </c>
      <c r="E174" s="4" t="str">
        <f>IFERROR(INDEX(MASTER!$A:$A,MATCH("Cryovial box 14: "&amp;($A174&amp;E$171),MASTER!$L:$L,0))&amp;"_ser_"&amp;TEXT(VALUE(SUBSTITUTE(SUBSTITUTE(TRIM(INDEX(MASTER!$M:$M,MATCH("Cryovial box 14: "&amp;($A174&amp;E$171),MASTER!$L:$L,0))),"ml",""),":",".")),"0.00")&amp;"_"&amp;TEXT(INDEX(MASTER!$E:$E,MATCH("Cryovial box 14: "&amp;($A174&amp;E$171),MASTER!$L:$L,0)),"mmddyy"),"")</f>
        <v/>
      </c>
      <c r="F174" s="4" t="str">
        <f>IFERROR(INDEX(MASTER!$A:$A,MATCH("Cryovial box 14: "&amp;($A174&amp;F$171),MASTER!$L:$L,0))&amp;"_ser_"&amp;TEXT(VALUE(SUBSTITUTE(SUBSTITUTE(TRIM(INDEX(MASTER!$M:$M,MATCH("Cryovial box 14: "&amp;($A174&amp;F$171),MASTER!$L:$L,0))),"ml",""),":",".")),"0.00")&amp;"_"&amp;TEXT(INDEX(MASTER!$E:$E,MATCH("Cryovial box 14: "&amp;($A174&amp;F$171),MASTER!$L:$L,0)),"mmddyy"),"")</f>
        <v/>
      </c>
      <c r="G174" s="4" t="str">
        <f>IFERROR(INDEX(MASTER!$A:$A,MATCH("Cryovial box 14: "&amp;($A174&amp;G$171),MASTER!$L:$L,0))&amp;"_ser_"&amp;TEXT(VALUE(SUBSTITUTE(SUBSTITUTE(TRIM(INDEX(MASTER!$M:$M,MATCH("Cryovial box 14: "&amp;($A174&amp;G$171),MASTER!$L:$L,0))),"ml",""),":",".")),"0.00")&amp;"_"&amp;TEXT(INDEX(MASTER!$E:$E,MATCH("Cryovial box 14: "&amp;($A174&amp;G$171),MASTER!$L:$L,0)),"mmddyy"),"")</f>
        <v/>
      </c>
      <c r="H174" s="4" t="str">
        <f>IFERROR(INDEX(MASTER!$A:$A,MATCH("Cryovial box 14: "&amp;($A174&amp;H$171),MASTER!$L:$L,0))&amp;"_ser_"&amp;TEXT(VALUE(SUBSTITUTE(SUBSTITUTE(TRIM(INDEX(MASTER!$M:$M,MATCH("Cryovial box 14: "&amp;($A174&amp;H$171),MASTER!$L:$L,0))),"ml",""),":",".")),"0.00")&amp;"_"&amp;TEXT(INDEX(MASTER!$E:$E,MATCH("Cryovial box 14: "&amp;($A174&amp;H$171),MASTER!$L:$L,0)),"mmddyy"),"")</f>
        <v/>
      </c>
      <c r="I174" s="4" t="str">
        <f>IFERROR(INDEX(MASTER!$A:$A,MATCH("Cryovial box 14: "&amp;($A174&amp;I$171),MASTER!$L:$L,0))&amp;"_ser_"&amp;TEXT(VALUE(SUBSTITUTE(SUBSTITUTE(TRIM(INDEX(MASTER!$M:$M,MATCH("Cryovial box 14: "&amp;($A174&amp;I$171),MASTER!$L:$L,0))),"ml",""),":",".")),"0.00")&amp;"_"&amp;TEXT(INDEX(MASTER!$E:$E,MATCH("Cryovial box 14: "&amp;($A174&amp;I$171),MASTER!$L:$L,0)),"mmddyy"),"")</f>
        <v/>
      </c>
      <c r="J174" s="4" t="str">
        <f>IFERROR(INDEX(MASTER!$A:$A,MATCH("Cryovial box 14: "&amp;($A174&amp;J$171),MASTER!$L:$L,0))&amp;"_ser_"&amp;TEXT(VALUE(SUBSTITUTE(SUBSTITUTE(TRIM(INDEX(MASTER!$M:$M,MATCH("Cryovial box 14: "&amp;($A174&amp;J$171),MASTER!$L:$L,0))),"ml",""),":",".")),"0.00")&amp;"_"&amp;TEXT(INDEX(MASTER!$E:$E,MATCH("Cryovial box 14: "&amp;($A174&amp;J$171),MASTER!$L:$L,0)),"mmddyy"),"")</f>
        <v/>
      </c>
      <c r="K174" s="4" t="str">
        <f>IFERROR(INDEX(MASTER!$A:$A,MATCH("Cryovial box 14: "&amp;($A174&amp;K$171),MASTER!$L:$L,0))&amp;"_ser_"&amp;TEXT(VALUE(SUBSTITUTE(SUBSTITUTE(TRIM(INDEX(MASTER!$M:$M,MATCH("Cryovial box 14: "&amp;($A174&amp;K$171),MASTER!$L:$L,0))),"ml",""),":",".")),"0.00")&amp;"_"&amp;TEXT(INDEX(MASTER!$E:$E,MATCH("Cryovial box 14: "&amp;($A174&amp;K$171),MASTER!$L:$L,0)),"mmddyy"),"")</f>
        <v/>
      </c>
    </row>
    <row r="175" spans="1:11" ht="14.15" customHeight="1" x14ac:dyDescent="0.3">
      <c r="A175" s="6" t="s">
        <v>33</v>
      </c>
      <c r="B175" s="4" t="str">
        <f>IFERROR(INDEX(MASTER!$A:$A,MATCH("Cryovial box 14: "&amp;($A175&amp;B$171),MASTER!$L:$L,0))&amp;"_ser_"&amp;TEXT(VALUE(SUBSTITUTE(SUBSTITUTE(TRIM(INDEX(MASTER!$M:$M,MATCH("Cryovial box 14: "&amp;($A175&amp;B$171),MASTER!$L:$L,0))),"ml",""),":",".")),"0.00")&amp;"_"&amp;TEXT(INDEX(MASTER!$E:$E,MATCH("Cryovial box 14: "&amp;($A175&amp;B$171),MASTER!$L:$L,0)),"mmddyy"),"")</f>
        <v/>
      </c>
      <c r="C175" s="4" t="str">
        <f>IFERROR(INDEX(MASTER!$A:$A,MATCH("Cryovial box 14: "&amp;($A175&amp;C$171),MASTER!$L:$L,0))&amp;"_ser_"&amp;TEXT(VALUE(SUBSTITUTE(SUBSTITUTE(TRIM(INDEX(MASTER!$M:$M,MATCH("Cryovial box 14: "&amp;($A175&amp;C$171),MASTER!$L:$L,0))),"ml",""),":",".")),"0.00")&amp;"_"&amp;TEXT(INDEX(MASTER!$E:$E,MATCH("Cryovial box 14: "&amp;($A175&amp;C$171),MASTER!$L:$L,0)),"mmddyy"),"")</f>
        <v/>
      </c>
      <c r="D175" s="4" t="str">
        <f>IFERROR(INDEX(MASTER!$A:$A,MATCH("Cryovial box 14: "&amp;($A175&amp;D$171),MASTER!$L:$L,0))&amp;"_ser_"&amp;TEXT(VALUE(SUBSTITUTE(SUBSTITUTE(TRIM(INDEX(MASTER!$M:$M,MATCH("Cryovial box 14: "&amp;($A175&amp;D$171),MASTER!$L:$L,0))),"ml",""),":",".")),"0.00")&amp;"_"&amp;TEXT(INDEX(MASTER!$E:$E,MATCH("Cryovial box 14: "&amp;($A175&amp;D$171),MASTER!$L:$L,0)),"mmddyy"),"")</f>
        <v/>
      </c>
      <c r="E175" s="4" t="str">
        <f>IFERROR(INDEX(MASTER!$A:$A,MATCH("Cryovial box 14: "&amp;($A175&amp;E$171),MASTER!$L:$L,0))&amp;"_ser_"&amp;TEXT(VALUE(SUBSTITUTE(SUBSTITUTE(TRIM(INDEX(MASTER!$M:$M,MATCH("Cryovial box 14: "&amp;($A175&amp;E$171),MASTER!$L:$L,0))),"ml",""),":",".")),"0.00")&amp;"_"&amp;TEXT(INDEX(MASTER!$E:$E,MATCH("Cryovial box 14: "&amp;($A175&amp;E$171),MASTER!$L:$L,0)),"mmddyy"),"")</f>
        <v/>
      </c>
      <c r="F175" s="4" t="str">
        <f>IFERROR(INDEX(MASTER!$A:$A,MATCH("Cryovial box 14: "&amp;($A175&amp;F$171),MASTER!$L:$L,0))&amp;"_ser_"&amp;TEXT(VALUE(SUBSTITUTE(SUBSTITUTE(TRIM(INDEX(MASTER!$M:$M,MATCH("Cryovial box 14: "&amp;($A175&amp;F$171),MASTER!$L:$L,0))),"ml",""),":",".")),"0.00")&amp;"_"&amp;TEXT(INDEX(MASTER!$E:$E,MATCH("Cryovial box 14: "&amp;($A175&amp;F$171),MASTER!$L:$L,0)),"mmddyy"),"")</f>
        <v/>
      </c>
      <c r="G175" s="4" t="str">
        <f>IFERROR(INDEX(MASTER!$A:$A,MATCH("Cryovial box 14: "&amp;($A175&amp;G$171),MASTER!$L:$L,0))&amp;"_ser_"&amp;TEXT(VALUE(SUBSTITUTE(SUBSTITUTE(TRIM(INDEX(MASTER!$M:$M,MATCH("Cryovial box 14: "&amp;($A175&amp;G$171),MASTER!$L:$L,0))),"ml",""),":",".")),"0.00")&amp;"_"&amp;TEXT(INDEX(MASTER!$E:$E,MATCH("Cryovial box 14: "&amp;($A175&amp;G$171),MASTER!$L:$L,0)),"mmddyy"),"")</f>
        <v/>
      </c>
      <c r="H175" s="4" t="str">
        <f>IFERROR(INDEX(MASTER!$A:$A,MATCH("Cryovial box 14: "&amp;($A175&amp;H$171),MASTER!$L:$L,0))&amp;"_ser_"&amp;TEXT(VALUE(SUBSTITUTE(SUBSTITUTE(TRIM(INDEX(MASTER!$M:$M,MATCH("Cryovial box 14: "&amp;($A175&amp;H$171),MASTER!$L:$L,0))),"ml",""),":",".")),"0.00")&amp;"_"&amp;TEXT(INDEX(MASTER!$E:$E,MATCH("Cryovial box 14: "&amp;($A175&amp;H$171),MASTER!$L:$L,0)),"mmddyy"),"")</f>
        <v/>
      </c>
      <c r="I175" s="4" t="str">
        <f>IFERROR(INDEX(MASTER!$A:$A,MATCH("Cryovial box 14: "&amp;($A175&amp;I$171),MASTER!$L:$L,0))&amp;"_ser_"&amp;TEXT(VALUE(SUBSTITUTE(SUBSTITUTE(TRIM(INDEX(MASTER!$M:$M,MATCH("Cryovial box 14: "&amp;($A175&amp;I$171),MASTER!$L:$L,0))),"ml",""),":",".")),"0.00")&amp;"_"&amp;TEXT(INDEX(MASTER!$E:$E,MATCH("Cryovial box 14: "&amp;($A175&amp;I$171),MASTER!$L:$L,0)),"mmddyy"),"")</f>
        <v/>
      </c>
      <c r="J175" s="4" t="str">
        <f>IFERROR(INDEX(MASTER!$A:$A,MATCH("Cryovial box 14: "&amp;($A175&amp;J$171),MASTER!$L:$L,0))&amp;"_ser_"&amp;TEXT(VALUE(SUBSTITUTE(SUBSTITUTE(TRIM(INDEX(MASTER!$M:$M,MATCH("Cryovial box 14: "&amp;($A175&amp;J$171),MASTER!$L:$L,0))),"ml",""),":",".")),"0.00")&amp;"_"&amp;TEXT(INDEX(MASTER!$E:$E,MATCH("Cryovial box 14: "&amp;($A175&amp;J$171),MASTER!$L:$L,0)),"mmddyy"),"")</f>
        <v/>
      </c>
      <c r="K175" s="4" t="str">
        <f>IFERROR(INDEX(MASTER!$A:$A,MATCH("Cryovial box 14: "&amp;($A175&amp;K$171),MASTER!$L:$L,0))&amp;"_ser_"&amp;TEXT(VALUE(SUBSTITUTE(SUBSTITUTE(TRIM(INDEX(MASTER!$M:$M,MATCH("Cryovial box 14: "&amp;($A175&amp;K$171),MASTER!$L:$L,0))),"ml",""),":",".")),"0.00")&amp;"_"&amp;TEXT(INDEX(MASTER!$E:$E,MATCH("Cryovial box 14: "&amp;($A175&amp;K$171),MASTER!$L:$L,0)),"mmddyy"),"")</f>
        <v/>
      </c>
    </row>
    <row r="176" spans="1:11" ht="20.149999999999999" customHeight="1" x14ac:dyDescent="0.3">
      <c r="A176" s="6" t="s">
        <v>34</v>
      </c>
      <c r="B176" s="4" t="str">
        <f>IFERROR(INDEX(MASTER!$A:$A,MATCH("Cryovial box 14: "&amp;($A176&amp;B$171),MASTER!$L:$L,0))&amp;"_ser_"&amp;TEXT(VALUE(SUBSTITUTE(SUBSTITUTE(TRIM(INDEX(MASTER!$M:$M,MATCH("Cryovial box 14: "&amp;($A176&amp;B$171),MASTER!$L:$L,0))),"ml",""),":",".")),"0.00")&amp;"_"&amp;TEXT(INDEX(MASTER!$E:$E,MATCH("Cryovial box 14: "&amp;($A176&amp;B$171),MASTER!$L:$L,0)),"mmddyy"),"")</f>
        <v/>
      </c>
      <c r="C176" s="4" t="str">
        <f>IFERROR(INDEX(MASTER!$A:$A,MATCH("Cryovial box 14: "&amp;($A176&amp;C$171),MASTER!$L:$L,0))&amp;"_ser_"&amp;TEXT(VALUE(SUBSTITUTE(SUBSTITUTE(TRIM(INDEX(MASTER!$M:$M,MATCH("Cryovial box 14: "&amp;($A176&amp;C$171),MASTER!$L:$L,0))),"ml",""),":",".")),"0.00")&amp;"_"&amp;TEXT(INDEX(MASTER!$E:$E,MATCH("Cryovial box 14: "&amp;($A176&amp;C$171),MASTER!$L:$L,0)),"mmddyy"),"")</f>
        <v/>
      </c>
      <c r="D176" s="4" t="str">
        <f>IFERROR(INDEX(MASTER!$A:$A,MATCH("Cryovial box 14: "&amp;($A176&amp;D$171),MASTER!$L:$L,0))&amp;"_ser_"&amp;TEXT(VALUE(SUBSTITUTE(SUBSTITUTE(TRIM(INDEX(MASTER!$M:$M,MATCH("Cryovial box 14: "&amp;($A176&amp;D$171),MASTER!$L:$L,0))),"ml",""),":",".")),"0.00")&amp;"_"&amp;TEXT(INDEX(MASTER!$E:$E,MATCH("Cryovial box 14: "&amp;($A176&amp;D$171),MASTER!$L:$L,0)),"mmddyy"),"")</f>
        <v/>
      </c>
      <c r="E176" s="4" t="str">
        <f>IFERROR(INDEX(MASTER!$A:$A,MATCH("Cryovial box 14: "&amp;($A176&amp;E$171),MASTER!$L:$L,0))&amp;"_ser_"&amp;TEXT(VALUE(SUBSTITUTE(SUBSTITUTE(TRIM(INDEX(MASTER!$M:$M,MATCH("Cryovial box 14: "&amp;($A176&amp;E$171),MASTER!$L:$L,0))),"ml",""),":",".")),"0.00")&amp;"_"&amp;TEXT(INDEX(MASTER!$E:$E,MATCH("Cryovial box 14: "&amp;($A176&amp;E$171),MASTER!$L:$L,0)),"mmddyy"),"")</f>
        <v/>
      </c>
      <c r="F176" s="4" t="str">
        <f>IFERROR(INDEX(MASTER!$A:$A,MATCH("Cryovial box 14: "&amp;($A176&amp;F$171),MASTER!$L:$L,0))&amp;"_ser_"&amp;TEXT(VALUE(SUBSTITUTE(SUBSTITUTE(TRIM(INDEX(MASTER!$M:$M,MATCH("Cryovial box 14: "&amp;($A176&amp;F$171),MASTER!$L:$L,0))),"ml",""),":",".")),"0.00")&amp;"_"&amp;TEXT(INDEX(MASTER!$E:$E,MATCH("Cryovial box 14: "&amp;($A176&amp;F$171),MASTER!$L:$L,0)),"mmddyy"),"")</f>
        <v/>
      </c>
      <c r="G176" s="4" t="str">
        <f>IFERROR(INDEX(MASTER!$A:$A,MATCH("Cryovial box 14: "&amp;($A176&amp;G$171),MASTER!$L:$L,0))&amp;"_ser_"&amp;TEXT(VALUE(SUBSTITUTE(SUBSTITUTE(TRIM(INDEX(MASTER!$M:$M,MATCH("Cryovial box 14: "&amp;($A176&amp;G$171),MASTER!$L:$L,0))),"ml",""),":",".")),"0.00")&amp;"_"&amp;TEXT(INDEX(MASTER!$E:$E,MATCH("Cryovial box 14: "&amp;($A176&amp;G$171),MASTER!$L:$L,0)),"mmddyy"),"")</f>
        <v/>
      </c>
      <c r="H176" s="4" t="str">
        <f>IFERROR(INDEX(MASTER!$A:$A,MATCH("Cryovial box 14: "&amp;($A176&amp;H$171),MASTER!$L:$L,0))&amp;"_ser_"&amp;TEXT(VALUE(SUBSTITUTE(SUBSTITUTE(TRIM(INDEX(MASTER!$M:$M,MATCH("Cryovial box 14: "&amp;($A176&amp;H$171),MASTER!$L:$L,0))),"ml",""),":",".")),"0.00")&amp;"_"&amp;TEXT(INDEX(MASTER!$E:$E,MATCH("Cryovial box 14: "&amp;($A176&amp;H$171),MASTER!$L:$L,0)),"mmddyy"),"")</f>
        <v/>
      </c>
      <c r="I176" s="4" t="str">
        <f>IFERROR(INDEX(MASTER!$A:$A,MATCH("Cryovial box 14: "&amp;($A176&amp;I$171),MASTER!$L:$L,0))&amp;"_ser_"&amp;TEXT(VALUE(SUBSTITUTE(SUBSTITUTE(TRIM(INDEX(MASTER!$M:$M,MATCH("Cryovial box 14: "&amp;($A176&amp;I$171),MASTER!$L:$L,0))),"ml",""),":",".")),"0.00")&amp;"_"&amp;TEXT(INDEX(MASTER!$E:$E,MATCH("Cryovial box 14: "&amp;($A176&amp;I$171),MASTER!$L:$L,0)),"mmddyy"),"")</f>
        <v/>
      </c>
      <c r="J176" s="4" t="str">
        <f>IFERROR(INDEX(MASTER!$A:$A,MATCH("Cryovial box 14: "&amp;($A176&amp;J$171),MASTER!$L:$L,0))&amp;"_ser_"&amp;TEXT(VALUE(SUBSTITUTE(SUBSTITUTE(TRIM(INDEX(MASTER!$M:$M,MATCH("Cryovial box 14: "&amp;($A176&amp;J$171),MASTER!$L:$L,0))),"ml",""),":",".")),"0.00")&amp;"_"&amp;TEXT(INDEX(MASTER!$E:$E,MATCH("Cryovial box 14: "&amp;($A176&amp;J$171),MASTER!$L:$L,0)),"mmddyy"),"")</f>
        <v/>
      </c>
      <c r="K176" s="4" t="str">
        <f>IFERROR(INDEX(MASTER!$A:$A,MATCH("Cryovial box 14: "&amp;($A176&amp;K$171),MASTER!$L:$L,0))&amp;"_ser_"&amp;TEXT(VALUE(SUBSTITUTE(SUBSTITUTE(TRIM(INDEX(MASTER!$M:$M,MATCH("Cryovial box 14: "&amp;($A176&amp;K$171),MASTER!$L:$L,0))),"ml",""),":",".")),"0.00")&amp;"_"&amp;TEXT(INDEX(MASTER!$E:$E,MATCH("Cryovial box 14: "&amp;($A176&amp;K$171),MASTER!$L:$L,0)),"mmddyy"),"")</f>
        <v/>
      </c>
    </row>
    <row r="177" spans="1:11" ht="20.149999999999999" customHeight="1" x14ac:dyDescent="0.3">
      <c r="A177" s="6" t="s">
        <v>15</v>
      </c>
      <c r="B177" s="4" t="str">
        <f>IFERROR(INDEX(MASTER!$A:$A,MATCH("Cryovial box 14: "&amp;($A177&amp;B$171),MASTER!$L:$L,0))&amp;"_ser_"&amp;TEXT(VALUE(SUBSTITUTE(SUBSTITUTE(TRIM(INDEX(MASTER!$M:$M,MATCH("Cryovial box 14: "&amp;($A177&amp;B$171),MASTER!$L:$L,0))),"ml",""),":",".")),"0.00")&amp;"_"&amp;TEXT(INDEX(MASTER!$E:$E,MATCH("Cryovial box 14: "&amp;($A177&amp;B$171),MASTER!$L:$L,0)),"mmddyy"),"")</f>
        <v/>
      </c>
      <c r="C177" s="4" t="str">
        <f>IFERROR(INDEX(MASTER!$A:$A,MATCH("Cryovial box 14: "&amp;($A177&amp;C$171),MASTER!$L:$L,0))&amp;"_ser_"&amp;TEXT(VALUE(SUBSTITUTE(SUBSTITUTE(TRIM(INDEX(MASTER!$M:$M,MATCH("Cryovial box 14: "&amp;($A177&amp;C$171),MASTER!$L:$L,0))),"ml",""),":",".")),"0.00")&amp;"_"&amp;TEXT(INDEX(MASTER!$E:$E,MATCH("Cryovial box 14: "&amp;($A177&amp;C$171),MASTER!$L:$L,0)),"mmddyy"),"")</f>
        <v/>
      </c>
      <c r="D177" s="4" t="str">
        <f>IFERROR(INDEX(MASTER!$A:$A,MATCH("Cryovial box 14: "&amp;($A177&amp;D$171),MASTER!$L:$L,0))&amp;"_ser_"&amp;TEXT(VALUE(SUBSTITUTE(SUBSTITUTE(TRIM(INDEX(MASTER!$M:$M,MATCH("Cryovial box 14: "&amp;($A177&amp;D$171),MASTER!$L:$L,0))),"ml",""),":",".")),"0.00")&amp;"_"&amp;TEXT(INDEX(MASTER!$E:$E,MATCH("Cryovial box 14: "&amp;($A177&amp;D$171),MASTER!$L:$L,0)),"mmddyy"),"")</f>
        <v/>
      </c>
      <c r="E177" s="4" t="str">
        <f>IFERROR(INDEX(MASTER!$A:$A,MATCH("Cryovial box 14: "&amp;($A177&amp;E$171),MASTER!$L:$L,0))&amp;"_ser_"&amp;TEXT(VALUE(SUBSTITUTE(SUBSTITUTE(TRIM(INDEX(MASTER!$M:$M,MATCH("Cryovial box 14: "&amp;($A177&amp;E$171),MASTER!$L:$L,0))),"ml",""),":",".")),"0.00")&amp;"_"&amp;TEXT(INDEX(MASTER!$E:$E,MATCH("Cryovial box 14: "&amp;($A177&amp;E$171),MASTER!$L:$L,0)),"mmddyy"),"")</f>
        <v/>
      </c>
      <c r="F177" s="4" t="str">
        <f>IFERROR(INDEX(MASTER!$A:$A,MATCH("Cryovial box 14: "&amp;($A177&amp;F$171),MASTER!$L:$L,0))&amp;"_ser_"&amp;TEXT(VALUE(SUBSTITUTE(SUBSTITUTE(TRIM(INDEX(MASTER!$M:$M,MATCH("Cryovial box 14: "&amp;($A177&amp;F$171),MASTER!$L:$L,0))),"ml",""),":",".")),"0.00")&amp;"_"&amp;TEXT(INDEX(MASTER!$E:$E,MATCH("Cryovial box 14: "&amp;($A177&amp;F$171),MASTER!$L:$L,0)),"mmddyy"),"")</f>
        <v/>
      </c>
      <c r="G177" s="4" t="str">
        <f>IFERROR(INDEX(MASTER!$A:$A,MATCH("Cryovial box 14: "&amp;($A177&amp;G$171),MASTER!$L:$L,0))&amp;"_ser_"&amp;TEXT(VALUE(SUBSTITUTE(SUBSTITUTE(TRIM(INDEX(MASTER!$M:$M,MATCH("Cryovial box 14: "&amp;($A177&amp;G$171),MASTER!$L:$L,0))),"ml",""),":",".")),"0.00")&amp;"_"&amp;TEXT(INDEX(MASTER!$E:$E,MATCH("Cryovial box 14: "&amp;($A177&amp;G$171),MASTER!$L:$L,0)),"mmddyy"),"")</f>
        <v/>
      </c>
      <c r="H177" s="4" t="str">
        <f>IFERROR(INDEX(MASTER!$A:$A,MATCH("Cryovial box 14: "&amp;($A177&amp;H$171),MASTER!$L:$L,0))&amp;"_ser_"&amp;TEXT(VALUE(SUBSTITUTE(SUBSTITUTE(TRIM(INDEX(MASTER!$M:$M,MATCH("Cryovial box 14: "&amp;($A177&amp;H$171),MASTER!$L:$L,0))),"ml",""),":",".")),"0.00")&amp;"_"&amp;TEXT(INDEX(MASTER!$E:$E,MATCH("Cryovial box 14: "&amp;($A177&amp;H$171),MASTER!$L:$L,0)),"mmddyy"),"")</f>
        <v/>
      </c>
      <c r="I177" s="4" t="str">
        <f>IFERROR(INDEX(MASTER!$A:$A,MATCH("Cryovial box 14: "&amp;($A177&amp;I$171),MASTER!$L:$L,0))&amp;"_ser_"&amp;TEXT(VALUE(SUBSTITUTE(SUBSTITUTE(TRIM(INDEX(MASTER!$M:$M,MATCH("Cryovial box 14: "&amp;($A177&amp;I$171),MASTER!$L:$L,0))),"ml",""),":",".")),"0.00")&amp;"_"&amp;TEXT(INDEX(MASTER!$E:$E,MATCH("Cryovial box 14: "&amp;($A177&amp;I$171),MASTER!$L:$L,0)),"mmddyy"),"")</f>
        <v/>
      </c>
      <c r="J177" s="4" t="str">
        <f>IFERROR(INDEX(MASTER!$A:$A,MATCH("Cryovial box 14: "&amp;($A177&amp;J$171),MASTER!$L:$L,0))&amp;"_ser_"&amp;TEXT(VALUE(SUBSTITUTE(SUBSTITUTE(TRIM(INDEX(MASTER!$M:$M,MATCH("Cryovial box 14: "&amp;($A177&amp;J$171),MASTER!$L:$L,0))),"ml",""),":",".")),"0.00")&amp;"_"&amp;TEXT(INDEX(MASTER!$E:$E,MATCH("Cryovial box 14: "&amp;($A177&amp;J$171),MASTER!$L:$L,0)),"mmddyy"),"")</f>
        <v/>
      </c>
      <c r="K177" s="4" t="str">
        <f>IFERROR(INDEX(MASTER!$A:$A,MATCH("Cryovial box 14: "&amp;($A177&amp;K$171),MASTER!$L:$L,0))&amp;"_ser_"&amp;TEXT(VALUE(SUBSTITUTE(SUBSTITUTE(TRIM(INDEX(MASTER!$M:$M,MATCH("Cryovial box 14: "&amp;($A177&amp;K$171),MASTER!$L:$L,0))),"ml",""),":",".")),"0.00")&amp;"_"&amp;TEXT(INDEX(MASTER!$E:$E,MATCH("Cryovial box 14: "&amp;($A177&amp;K$171),MASTER!$L:$L,0)),"mmddyy"),"")</f>
        <v/>
      </c>
    </row>
    <row r="178" spans="1:11" ht="20.149999999999999" customHeight="1" x14ac:dyDescent="0.3">
      <c r="A178" s="6" t="s">
        <v>35</v>
      </c>
      <c r="B178" s="4" t="str">
        <f>IFERROR(INDEX(MASTER!$A:$A,MATCH("Cryovial box 14: "&amp;($A178&amp;B$171),MASTER!$L:$L,0))&amp;"_ser_"&amp;TEXT(VALUE(SUBSTITUTE(SUBSTITUTE(TRIM(INDEX(MASTER!$M:$M,MATCH("Cryovial box 14: "&amp;($A178&amp;B$171),MASTER!$L:$L,0))),"ml",""),":",".")),"0.00")&amp;"_"&amp;TEXT(INDEX(MASTER!$E:$E,MATCH("Cryovial box 14: "&amp;($A178&amp;B$171),MASTER!$L:$L,0)),"mmddyy"),"")</f>
        <v/>
      </c>
      <c r="C178" s="4" t="str">
        <f>IFERROR(INDEX(MASTER!$A:$A,MATCH("Cryovial box 14: "&amp;($A178&amp;C$171),MASTER!$L:$L,0))&amp;"_ser_"&amp;TEXT(VALUE(SUBSTITUTE(SUBSTITUTE(TRIM(INDEX(MASTER!$M:$M,MATCH("Cryovial box 14: "&amp;($A178&amp;C$171),MASTER!$L:$L,0))),"ml",""),":",".")),"0.00")&amp;"_"&amp;TEXT(INDEX(MASTER!$E:$E,MATCH("Cryovial box 14: "&amp;($A178&amp;C$171),MASTER!$L:$L,0)),"mmddyy"),"")</f>
        <v/>
      </c>
      <c r="D178" s="4" t="str">
        <f>IFERROR(INDEX(MASTER!$A:$A,MATCH("Cryovial box 14: "&amp;($A178&amp;D$171),MASTER!$L:$L,0))&amp;"_ser_"&amp;TEXT(VALUE(SUBSTITUTE(SUBSTITUTE(TRIM(INDEX(MASTER!$M:$M,MATCH("Cryovial box 14: "&amp;($A178&amp;D$171),MASTER!$L:$L,0))),"ml",""),":",".")),"0.00")&amp;"_"&amp;TEXT(INDEX(MASTER!$E:$E,MATCH("Cryovial box 14: "&amp;($A178&amp;D$171),MASTER!$L:$L,0)),"mmddyy"),"")</f>
        <v/>
      </c>
      <c r="E178" s="4" t="str">
        <f>IFERROR(INDEX(MASTER!$A:$A,MATCH("Cryovial box 14: "&amp;($A178&amp;E$171),MASTER!$L:$L,0))&amp;"_ser_"&amp;TEXT(VALUE(SUBSTITUTE(SUBSTITUTE(TRIM(INDEX(MASTER!$M:$M,MATCH("Cryovial box 14: "&amp;($A178&amp;E$171),MASTER!$L:$L,0))),"ml",""),":",".")),"0.00")&amp;"_"&amp;TEXT(INDEX(MASTER!$E:$E,MATCH("Cryovial box 14: "&amp;($A178&amp;E$171),MASTER!$L:$L,0)),"mmddyy"),"")</f>
        <v/>
      </c>
      <c r="F178" s="4" t="str">
        <f>IFERROR(INDEX(MASTER!$A:$A,MATCH("Cryovial box 14: "&amp;($A178&amp;F$171),MASTER!$L:$L,0))&amp;"_ser_"&amp;TEXT(VALUE(SUBSTITUTE(SUBSTITUTE(TRIM(INDEX(MASTER!$M:$M,MATCH("Cryovial box 14: "&amp;($A178&amp;F$171),MASTER!$L:$L,0))),"ml",""),":",".")),"0.00")&amp;"_"&amp;TEXT(INDEX(MASTER!$E:$E,MATCH("Cryovial box 14: "&amp;($A178&amp;F$171),MASTER!$L:$L,0)),"mmddyy"),"")</f>
        <v/>
      </c>
      <c r="G178" s="4" t="str">
        <f>IFERROR(INDEX(MASTER!$A:$A,MATCH("Cryovial box 14: "&amp;($A178&amp;G$171),MASTER!$L:$L,0))&amp;"_ser_"&amp;TEXT(VALUE(SUBSTITUTE(SUBSTITUTE(TRIM(INDEX(MASTER!$M:$M,MATCH("Cryovial box 14: "&amp;($A178&amp;G$171),MASTER!$L:$L,0))),"ml",""),":",".")),"0.00")&amp;"_"&amp;TEXT(INDEX(MASTER!$E:$E,MATCH("Cryovial box 14: "&amp;($A178&amp;G$171),MASTER!$L:$L,0)),"mmddyy"),"")</f>
        <v/>
      </c>
      <c r="H178" s="4" t="str">
        <f>IFERROR(INDEX(MASTER!$A:$A,MATCH("Cryovial box 14: "&amp;($A178&amp;H$171),MASTER!$L:$L,0))&amp;"_ser_"&amp;TEXT(VALUE(SUBSTITUTE(SUBSTITUTE(TRIM(INDEX(MASTER!$M:$M,MATCH("Cryovial box 14: "&amp;($A178&amp;H$171),MASTER!$L:$L,0))),"ml",""),":",".")),"0.00")&amp;"_"&amp;TEXT(INDEX(MASTER!$E:$E,MATCH("Cryovial box 14: "&amp;($A178&amp;H$171),MASTER!$L:$L,0)),"mmddyy"),"")</f>
        <v/>
      </c>
      <c r="I178" s="4" t="str">
        <f>IFERROR(INDEX(MASTER!$A:$A,MATCH("Cryovial box 14: "&amp;($A178&amp;I$171),MASTER!$L:$L,0))&amp;"_ser_"&amp;TEXT(VALUE(SUBSTITUTE(SUBSTITUTE(TRIM(INDEX(MASTER!$M:$M,MATCH("Cryovial box 14: "&amp;($A178&amp;I$171),MASTER!$L:$L,0))),"ml",""),":",".")),"0.00")&amp;"_"&amp;TEXT(INDEX(MASTER!$E:$E,MATCH("Cryovial box 14: "&amp;($A178&amp;I$171),MASTER!$L:$L,0)),"mmddyy"),"")</f>
        <v/>
      </c>
      <c r="J178" s="4" t="str">
        <f>IFERROR(INDEX(MASTER!$A:$A,MATCH("Cryovial box 14: "&amp;($A178&amp;J$171),MASTER!$L:$L,0))&amp;"_ser_"&amp;TEXT(VALUE(SUBSTITUTE(SUBSTITUTE(TRIM(INDEX(MASTER!$M:$M,MATCH("Cryovial box 14: "&amp;($A178&amp;J$171),MASTER!$L:$L,0))),"ml",""),":",".")),"0.00")&amp;"_"&amp;TEXT(INDEX(MASTER!$E:$E,MATCH("Cryovial box 14: "&amp;($A178&amp;J$171),MASTER!$L:$L,0)),"mmddyy"),"")</f>
        <v/>
      </c>
      <c r="K178" s="4" t="str">
        <f>IFERROR(INDEX(MASTER!$A:$A,MATCH("Cryovial box 14: "&amp;($A178&amp;K$171),MASTER!$L:$L,0))&amp;"_ser_"&amp;TEXT(VALUE(SUBSTITUTE(SUBSTITUTE(TRIM(INDEX(MASTER!$M:$M,MATCH("Cryovial box 14: "&amp;($A178&amp;K$171),MASTER!$L:$L,0))),"ml",""),":",".")),"0.00")&amp;"_"&amp;TEXT(INDEX(MASTER!$E:$E,MATCH("Cryovial box 14: "&amp;($A178&amp;K$171),MASTER!$L:$L,0)),"mmddyy"),"")</f>
        <v/>
      </c>
    </row>
    <row r="179" spans="1:11" ht="20.149999999999999" customHeight="1" x14ac:dyDescent="0.3">
      <c r="A179" s="6" t="s">
        <v>36</v>
      </c>
      <c r="B179" s="4" t="str">
        <f>IFERROR(INDEX(MASTER!$A:$A,MATCH("Cryovial box 14: "&amp;($A179&amp;B$171),MASTER!$L:$L,0))&amp;"_ser_"&amp;TEXT(VALUE(SUBSTITUTE(SUBSTITUTE(TRIM(INDEX(MASTER!$M:$M,MATCH("Cryovial box 14: "&amp;($A179&amp;B$171),MASTER!$L:$L,0))),"ml",""),":",".")),"0.00")&amp;"_"&amp;TEXT(INDEX(MASTER!$E:$E,MATCH("Cryovial box 14: "&amp;($A179&amp;B$171),MASTER!$L:$L,0)),"mmddyy"),"")</f>
        <v/>
      </c>
      <c r="C179" s="4" t="str">
        <f>IFERROR(INDEX(MASTER!$A:$A,MATCH("Cryovial box 14: "&amp;($A179&amp;C$171),MASTER!$L:$L,0))&amp;"_ser_"&amp;TEXT(VALUE(SUBSTITUTE(SUBSTITUTE(TRIM(INDEX(MASTER!$M:$M,MATCH("Cryovial box 14: "&amp;($A179&amp;C$171),MASTER!$L:$L,0))),"ml",""),":",".")),"0.00")&amp;"_"&amp;TEXT(INDEX(MASTER!$E:$E,MATCH("Cryovial box 14: "&amp;($A179&amp;C$171),MASTER!$L:$L,0)),"mmddyy"),"")</f>
        <v/>
      </c>
      <c r="D179" s="4" t="str">
        <f>IFERROR(INDEX(MASTER!$A:$A,MATCH("Cryovial box 14: "&amp;($A179&amp;D$171),MASTER!$L:$L,0))&amp;"_ser_"&amp;TEXT(VALUE(SUBSTITUTE(SUBSTITUTE(TRIM(INDEX(MASTER!$M:$M,MATCH("Cryovial box 14: "&amp;($A179&amp;D$171),MASTER!$L:$L,0))),"ml",""),":",".")),"0.00")&amp;"_"&amp;TEXT(INDEX(MASTER!$E:$E,MATCH("Cryovial box 14: "&amp;($A179&amp;D$171),MASTER!$L:$L,0)),"mmddyy"),"")</f>
        <v/>
      </c>
      <c r="E179" s="4" t="str">
        <f>IFERROR(INDEX(MASTER!$A:$A,MATCH("Cryovial box 14: "&amp;($A179&amp;E$171),MASTER!$L:$L,0))&amp;"_ser_"&amp;TEXT(VALUE(SUBSTITUTE(SUBSTITUTE(TRIM(INDEX(MASTER!$M:$M,MATCH("Cryovial box 14: "&amp;($A179&amp;E$171),MASTER!$L:$L,0))),"ml",""),":",".")),"0.00")&amp;"_"&amp;TEXT(INDEX(MASTER!$E:$E,MATCH("Cryovial box 14: "&amp;($A179&amp;E$171),MASTER!$L:$L,0)),"mmddyy"),"")</f>
        <v/>
      </c>
      <c r="F179" s="4" t="str">
        <f>IFERROR(INDEX(MASTER!$A:$A,MATCH("Cryovial box 14: "&amp;($A179&amp;F$171),MASTER!$L:$L,0))&amp;"_ser_"&amp;TEXT(VALUE(SUBSTITUTE(SUBSTITUTE(TRIM(INDEX(MASTER!$M:$M,MATCH("Cryovial box 14: "&amp;($A179&amp;F$171),MASTER!$L:$L,0))),"ml",""),":",".")),"0.00")&amp;"_"&amp;TEXT(INDEX(MASTER!$E:$E,MATCH("Cryovial box 14: "&amp;($A179&amp;F$171),MASTER!$L:$L,0)),"mmddyy"),"")</f>
        <v/>
      </c>
      <c r="G179" s="4" t="str">
        <f>IFERROR(INDEX(MASTER!$A:$A,MATCH("Cryovial box 14: "&amp;($A179&amp;G$171),MASTER!$L:$L,0))&amp;"_ser_"&amp;TEXT(VALUE(SUBSTITUTE(SUBSTITUTE(TRIM(INDEX(MASTER!$M:$M,MATCH("Cryovial box 14: "&amp;($A179&amp;G$171),MASTER!$L:$L,0))),"ml",""),":",".")),"0.00")&amp;"_"&amp;TEXT(INDEX(MASTER!$E:$E,MATCH("Cryovial box 14: "&amp;($A179&amp;G$171),MASTER!$L:$L,0)),"mmddyy"),"")</f>
        <v/>
      </c>
      <c r="H179" s="4" t="str">
        <f>IFERROR(INDEX(MASTER!$A:$A,MATCH("Cryovial box 14: "&amp;($A179&amp;H$171),MASTER!$L:$L,0))&amp;"_ser_"&amp;TEXT(VALUE(SUBSTITUTE(SUBSTITUTE(TRIM(INDEX(MASTER!$M:$M,MATCH("Cryovial box 14: "&amp;($A179&amp;H$171),MASTER!$L:$L,0))),"ml",""),":",".")),"0.00")&amp;"_"&amp;TEXT(INDEX(MASTER!$E:$E,MATCH("Cryovial box 14: "&amp;($A179&amp;H$171),MASTER!$L:$L,0)),"mmddyy"),"")</f>
        <v/>
      </c>
      <c r="I179" s="4" t="str">
        <f>IFERROR(INDEX(MASTER!$A:$A,MATCH("Cryovial box 14: "&amp;($A179&amp;I$171),MASTER!$L:$L,0))&amp;"_ser_"&amp;TEXT(VALUE(SUBSTITUTE(SUBSTITUTE(TRIM(INDEX(MASTER!$M:$M,MATCH("Cryovial box 14: "&amp;($A179&amp;I$171),MASTER!$L:$L,0))),"ml",""),":",".")),"0.00")&amp;"_"&amp;TEXT(INDEX(MASTER!$E:$E,MATCH("Cryovial box 14: "&amp;($A179&amp;I$171),MASTER!$L:$L,0)),"mmddyy"),"")</f>
        <v/>
      </c>
      <c r="J179" s="4" t="str">
        <f>IFERROR(INDEX(MASTER!$A:$A,MATCH("Cryovial box 14: "&amp;($A179&amp;J$171),MASTER!$L:$L,0))&amp;"_ser_"&amp;TEXT(VALUE(SUBSTITUTE(SUBSTITUTE(TRIM(INDEX(MASTER!$M:$M,MATCH("Cryovial box 14: "&amp;($A179&amp;J$171),MASTER!$L:$L,0))),"ml",""),":",".")),"0.00")&amp;"_"&amp;TEXT(INDEX(MASTER!$E:$E,MATCH("Cryovial box 14: "&amp;($A179&amp;J$171),MASTER!$L:$L,0)),"mmddyy"),"")</f>
        <v/>
      </c>
      <c r="K179" s="4" t="str">
        <f>IFERROR(INDEX(MASTER!$A:$A,MATCH("Cryovial box 14: "&amp;($A179&amp;K$171),MASTER!$L:$L,0))&amp;"_ser_"&amp;TEXT(VALUE(SUBSTITUTE(SUBSTITUTE(TRIM(INDEX(MASTER!$M:$M,MATCH("Cryovial box 14: "&amp;($A179&amp;K$171),MASTER!$L:$L,0))),"ml",""),":",".")),"0.00")&amp;"_"&amp;TEXT(INDEX(MASTER!$E:$E,MATCH("Cryovial box 14: "&amp;($A179&amp;K$171),MASTER!$L:$L,0)),"mmddyy"),"")</f>
        <v/>
      </c>
    </row>
    <row r="180" spans="1:11" ht="20.149999999999999" customHeight="1" x14ac:dyDescent="0.3">
      <c r="A180" s="6" t="s">
        <v>100</v>
      </c>
      <c r="B180" s="4" t="str">
        <f>IFERROR(INDEX(MASTER!$A:$A,MATCH("Cryovial box 14: "&amp;($A180&amp;B$171),MASTER!$L:$L,0))&amp;"_ser_"&amp;TEXT(VALUE(SUBSTITUTE(SUBSTITUTE(TRIM(INDEX(MASTER!$M:$M,MATCH("Cryovial box 14: "&amp;($A180&amp;B$171),MASTER!$L:$L,0))),"ml",""),":",".")),"0.00")&amp;"_"&amp;TEXT(INDEX(MASTER!$E:$E,MATCH("Cryovial box 14: "&amp;($A180&amp;B$171),MASTER!$L:$L,0)),"mmddyy"),"")</f>
        <v/>
      </c>
      <c r="C180" s="4" t="str">
        <f>IFERROR(INDEX(MASTER!$A:$A,MATCH("Cryovial box 14: "&amp;($A180&amp;C$171),MASTER!$L:$L,0))&amp;"_ser_"&amp;TEXT(VALUE(SUBSTITUTE(SUBSTITUTE(TRIM(INDEX(MASTER!$M:$M,MATCH("Cryovial box 14: "&amp;($A180&amp;C$171),MASTER!$L:$L,0))),"ml",""),":",".")),"0.00")&amp;"_"&amp;TEXT(INDEX(MASTER!$E:$E,MATCH("Cryovial box 14: "&amp;($A180&amp;C$171),MASTER!$L:$L,0)),"mmddyy"),"")</f>
        <v/>
      </c>
      <c r="D180" s="4" t="str">
        <f>IFERROR(INDEX(MASTER!$A:$A,MATCH("Cryovial box 14: "&amp;($A180&amp;D$171),MASTER!$L:$L,0))&amp;"_ser_"&amp;TEXT(VALUE(SUBSTITUTE(SUBSTITUTE(TRIM(INDEX(MASTER!$M:$M,MATCH("Cryovial box 14: "&amp;($A180&amp;D$171),MASTER!$L:$L,0))),"ml",""),":",".")),"0.00")&amp;"_"&amp;TEXT(INDEX(MASTER!$E:$E,MATCH("Cryovial box 14: "&amp;($A180&amp;D$171),MASTER!$L:$L,0)),"mmddyy"),"")</f>
        <v/>
      </c>
      <c r="E180" s="4" t="str">
        <f>IFERROR(INDEX(MASTER!$A:$A,MATCH("Cryovial box 14: "&amp;($A180&amp;E$171),MASTER!$L:$L,0))&amp;"_ser_"&amp;TEXT(VALUE(SUBSTITUTE(SUBSTITUTE(TRIM(INDEX(MASTER!$M:$M,MATCH("Cryovial box 14: "&amp;($A180&amp;E$171),MASTER!$L:$L,0))),"ml",""),":",".")),"0.00")&amp;"_"&amp;TEXT(INDEX(MASTER!$E:$E,MATCH("Cryovial box 14: "&amp;($A180&amp;E$171),MASTER!$L:$L,0)),"mmddyy"),"")</f>
        <v/>
      </c>
      <c r="F180" s="4" t="str">
        <f>IFERROR(INDEX(MASTER!$A:$A,MATCH("Cryovial box 14: "&amp;($A180&amp;F$171),MASTER!$L:$L,0))&amp;"_ser_"&amp;TEXT(VALUE(SUBSTITUTE(SUBSTITUTE(TRIM(INDEX(MASTER!$M:$M,MATCH("Cryovial box 14: "&amp;($A180&amp;F$171),MASTER!$L:$L,0))),"ml",""),":",".")),"0.00")&amp;"_"&amp;TEXT(INDEX(MASTER!$E:$E,MATCH("Cryovial box 14: "&amp;($A180&amp;F$171),MASTER!$L:$L,0)),"mmddyy"),"")</f>
        <v/>
      </c>
      <c r="G180" s="4" t="str">
        <f>IFERROR(INDEX(MASTER!$A:$A,MATCH("Cryovial box 14: "&amp;($A180&amp;G$171),MASTER!$L:$L,0))&amp;"_ser_"&amp;TEXT(VALUE(SUBSTITUTE(SUBSTITUTE(TRIM(INDEX(MASTER!$M:$M,MATCH("Cryovial box 14: "&amp;($A180&amp;G$171),MASTER!$L:$L,0))),"ml",""),":",".")),"0.00")&amp;"_"&amp;TEXT(INDEX(MASTER!$E:$E,MATCH("Cryovial box 14: "&amp;($A180&amp;G$171),MASTER!$L:$L,0)),"mmddyy"),"")</f>
        <v/>
      </c>
      <c r="H180" s="4" t="str">
        <f>IFERROR(INDEX(MASTER!$A:$A,MATCH("Cryovial box 14: "&amp;($A180&amp;H$171),MASTER!$L:$L,0))&amp;"_ser_"&amp;TEXT(VALUE(SUBSTITUTE(SUBSTITUTE(TRIM(INDEX(MASTER!$M:$M,MATCH("Cryovial box 14: "&amp;($A180&amp;H$171),MASTER!$L:$L,0))),"ml",""),":",".")),"0.00")&amp;"_"&amp;TEXT(INDEX(MASTER!$E:$E,MATCH("Cryovial box 14: "&amp;($A180&amp;H$171),MASTER!$L:$L,0)),"mmddyy"),"")</f>
        <v/>
      </c>
      <c r="I180" s="4" t="str">
        <f>IFERROR(INDEX(MASTER!$A:$A,MATCH("Cryovial box 14: "&amp;($A180&amp;I$171),MASTER!$L:$L,0))&amp;"_ser_"&amp;TEXT(VALUE(SUBSTITUTE(SUBSTITUTE(TRIM(INDEX(MASTER!$M:$M,MATCH("Cryovial box 14: "&amp;($A180&amp;I$171),MASTER!$L:$L,0))),"ml",""),":",".")),"0.00")&amp;"_"&amp;TEXT(INDEX(MASTER!$E:$E,MATCH("Cryovial box 14: "&amp;($A180&amp;I$171),MASTER!$L:$L,0)),"mmddyy"),"")</f>
        <v/>
      </c>
      <c r="J180" s="4" t="str">
        <f>IFERROR(INDEX(MASTER!$A:$A,MATCH("Cryovial box 14: "&amp;($A180&amp;J$171),MASTER!$L:$L,0))&amp;"_ser_"&amp;TEXT(VALUE(SUBSTITUTE(SUBSTITUTE(TRIM(INDEX(MASTER!$M:$M,MATCH("Cryovial box 14: "&amp;($A180&amp;J$171),MASTER!$L:$L,0))),"ml",""),":",".")),"0.00")&amp;"_"&amp;TEXT(INDEX(MASTER!$E:$E,MATCH("Cryovial box 14: "&amp;($A180&amp;J$171),MASTER!$L:$L,0)),"mmddyy"),"")</f>
        <v/>
      </c>
      <c r="K180" s="4" t="str">
        <f>IFERROR(INDEX(MASTER!$A:$A,MATCH("Cryovial box 14: "&amp;($A180&amp;K$171),MASTER!$L:$L,0))&amp;"_ser_"&amp;TEXT(VALUE(SUBSTITUTE(SUBSTITUTE(TRIM(INDEX(MASTER!$M:$M,MATCH("Cryovial box 14: "&amp;($A180&amp;K$171),MASTER!$L:$L,0))),"ml",""),":",".")),"0.00")&amp;"_"&amp;TEXT(INDEX(MASTER!$E:$E,MATCH("Cryovial box 14: "&amp;($A180&amp;K$171),MASTER!$L:$L,0)),"mmddyy"),"")</f>
        <v/>
      </c>
    </row>
    <row r="181" spans="1:11" ht="20.149999999999999" customHeight="1" x14ac:dyDescent="0.3">
      <c r="A181" s="6" t="s">
        <v>101</v>
      </c>
      <c r="B181" s="4" t="str">
        <f>IFERROR(INDEX(MASTER!$A:$A,MATCH("Cryovial box 14: "&amp;($A181&amp;B$171),MASTER!$L:$L,0))&amp;"_ser_"&amp;TEXT(VALUE(SUBSTITUTE(SUBSTITUTE(TRIM(INDEX(MASTER!$M:$M,MATCH("Cryovial box 14: "&amp;($A181&amp;B$171),MASTER!$L:$L,0))),"ml",""),":",".")),"0.00")&amp;"_"&amp;TEXT(INDEX(MASTER!$E:$E,MATCH("Cryovial box 14: "&amp;($A181&amp;B$171),MASTER!$L:$L,0)),"mmddyy"),"")</f>
        <v/>
      </c>
      <c r="C181" s="4" t="str">
        <f>IFERROR(INDEX(MASTER!$A:$A,MATCH("Cryovial box 14: "&amp;($A181&amp;C$171),MASTER!$L:$L,0))&amp;"_ser_"&amp;TEXT(VALUE(SUBSTITUTE(SUBSTITUTE(TRIM(INDEX(MASTER!$M:$M,MATCH("Cryovial box 14: "&amp;($A181&amp;C$171),MASTER!$L:$L,0))),"ml",""),":",".")),"0.00")&amp;"_"&amp;TEXT(INDEX(MASTER!$E:$E,MATCH("Cryovial box 14: "&amp;($A181&amp;C$171),MASTER!$L:$L,0)),"mmddyy"),"")</f>
        <v/>
      </c>
      <c r="D181" s="4" t="str">
        <f>IFERROR(INDEX(MASTER!$A:$A,MATCH("Cryovial box 14: "&amp;($A181&amp;D$171),MASTER!$L:$L,0))&amp;"_ser_"&amp;TEXT(VALUE(SUBSTITUTE(SUBSTITUTE(TRIM(INDEX(MASTER!$M:$M,MATCH("Cryovial box 14: "&amp;($A181&amp;D$171),MASTER!$L:$L,0))),"ml",""),":",".")),"0.00")&amp;"_"&amp;TEXT(INDEX(MASTER!$E:$E,MATCH("Cryovial box 14: "&amp;($A181&amp;D$171),MASTER!$L:$L,0)),"mmddyy"),"")</f>
        <v/>
      </c>
      <c r="E181" s="4" t="str">
        <f>IFERROR(INDEX(MASTER!$A:$A,MATCH("Cryovial box 14: "&amp;($A181&amp;E$171),MASTER!$L:$L,0))&amp;"_ser_"&amp;TEXT(VALUE(SUBSTITUTE(SUBSTITUTE(TRIM(INDEX(MASTER!$M:$M,MATCH("Cryovial box 14: "&amp;($A181&amp;E$171),MASTER!$L:$L,0))),"ml",""),":",".")),"0.00")&amp;"_"&amp;TEXT(INDEX(MASTER!$E:$E,MATCH("Cryovial box 14: "&amp;($A181&amp;E$171),MASTER!$L:$L,0)),"mmddyy"),"")</f>
        <v/>
      </c>
      <c r="F181" s="4" t="str">
        <f>IFERROR(INDEX(MASTER!$A:$A,MATCH("Cryovial box 14: "&amp;($A181&amp;F$171),MASTER!$L:$L,0))&amp;"_ser_"&amp;TEXT(VALUE(SUBSTITUTE(SUBSTITUTE(TRIM(INDEX(MASTER!$M:$M,MATCH("Cryovial box 14: "&amp;($A181&amp;F$171),MASTER!$L:$L,0))),"ml",""),":",".")),"0.00")&amp;"_"&amp;TEXT(INDEX(MASTER!$E:$E,MATCH("Cryovial box 14: "&amp;($A181&amp;F$171),MASTER!$L:$L,0)),"mmddyy"),"")</f>
        <v/>
      </c>
      <c r="G181" s="4" t="str">
        <f>IFERROR(INDEX(MASTER!$A:$A,MATCH("Cryovial box 14: "&amp;($A181&amp;G$171),MASTER!$L:$L,0))&amp;"_ser_"&amp;TEXT(VALUE(SUBSTITUTE(SUBSTITUTE(TRIM(INDEX(MASTER!$M:$M,MATCH("Cryovial box 14: "&amp;($A181&amp;G$171),MASTER!$L:$L,0))),"ml",""),":",".")),"0.00")&amp;"_"&amp;TEXT(INDEX(MASTER!$E:$E,MATCH("Cryovial box 14: "&amp;($A181&amp;G$171),MASTER!$L:$L,0)),"mmddyy"),"")</f>
        <v/>
      </c>
      <c r="H181" s="4" t="str">
        <f>IFERROR(INDEX(MASTER!$A:$A,MATCH("Cryovial box 14: "&amp;($A181&amp;H$171),MASTER!$L:$L,0))&amp;"_ser_"&amp;TEXT(VALUE(SUBSTITUTE(SUBSTITUTE(TRIM(INDEX(MASTER!$M:$M,MATCH("Cryovial box 14: "&amp;($A181&amp;H$171),MASTER!$L:$L,0))),"ml",""),":",".")),"0.00")&amp;"_"&amp;TEXT(INDEX(MASTER!$E:$E,MATCH("Cryovial box 14: "&amp;($A181&amp;H$171),MASTER!$L:$L,0)),"mmddyy"),"")</f>
        <v/>
      </c>
      <c r="I181" s="4" t="str">
        <f>IFERROR(INDEX(MASTER!$A:$A,MATCH("Cryovial box 14: "&amp;($A181&amp;I$171),MASTER!$L:$L,0))&amp;"_ser_"&amp;TEXT(VALUE(SUBSTITUTE(SUBSTITUTE(TRIM(INDEX(MASTER!$M:$M,MATCH("Cryovial box 14: "&amp;($A181&amp;I$171),MASTER!$L:$L,0))),"ml",""),":",".")),"0.00")&amp;"_"&amp;TEXT(INDEX(MASTER!$E:$E,MATCH("Cryovial box 14: "&amp;($A181&amp;I$171),MASTER!$L:$L,0)),"mmddyy"),"")</f>
        <v/>
      </c>
      <c r="J181" s="4" t="str">
        <f>IFERROR(INDEX(MASTER!$A:$A,MATCH("Cryovial box 14: "&amp;($A181&amp;J$171),MASTER!$L:$L,0))&amp;"_ser_"&amp;TEXT(VALUE(SUBSTITUTE(SUBSTITUTE(TRIM(INDEX(MASTER!$M:$M,MATCH("Cryovial box 14: "&amp;($A181&amp;J$171),MASTER!$L:$L,0))),"ml",""),":",".")),"0.00")&amp;"_"&amp;TEXT(INDEX(MASTER!$E:$E,MATCH("Cryovial box 14: "&amp;($A181&amp;J$171),MASTER!$L:$L,0)),"mmddyy"),"")</f>
        <v/>
      </c>
      <c r="K181" s="4" t="str">
        <f>IFERROR(INDEX(MASTER!$A:$A,MATCH("Cryovial box 14: "&amp;($A181&amp;K$171),MASTER!$L:$L,0))&amp;"_ser_"&amp;TEXT(VALUE(SUBSTITUTE(SUBSTITUTE(TRIM(INDEX(MASTER!$M:$M,MATCH("Cryovial box 14: "&amp;($A181&amp;K$171),MASTER!$L:$L,0))),"ml",""),":",".")),"0.00")&amp;"_"&amp;TEXT(INDEX(MASTER!$E:$E,MATCH("Cryovial box 14: "&amp;($A181&amp;K$171),MASTER!$L:$L,0)),"mmddyy"),"")</f>
        <v/>
      </c>
    </row>
    <row r="182" spans="1:11" ht="20.149999999999999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spans="1:11" ht="20.149999999999999" customHeight="1" x14ac:dyDescent="0.3">
      <c r="A183" s="5"/>
      <c r="B183" s="31" t="s">
        <v>115</v>
      </c>
      <c r="C183" s="36"/>
      <c r="D183" s="36"/>
      <c r="E183" s="36"/>
      <c r="F183" s="36"/>
      <c r="G183" s="36"/>
      <c r="H183" s="36"/>
      <c r="I183" s="36"/>
      <c r="J183" s="36"/>
      <c r="K183" s="37"/>
    </row>
    <row r="184" spans="1:11" ht="20.149999999999999" customHeight="1" x14ac:dyDescent="0.3">
      <c r="A184" s="5"/>
      <c r="B184" s="6">
        <v>1</v>
      </c>
      <c r="C184" s="6">
        <v>2</v>
      </c>
      <c r="D184" s="6">
        <v>3</v>
      </c>
      <c r="E184" s="6">
        <v>4</v>
      </c>
      <c r="F184" s="6">
        <v>5</v>
      </c>
      <c r="G184" s="6">
        <v>6</v>
      </c>
      <c r="H184" s="6">
        <v>7</v>
      </c>
      <c r="I184" s="6">
        <v>8</v>
      </c>
      <c r="J184" s="6">
        <v>9</v>
      </c>
      <c r="K184" s="6">
        <v>10</v>
      </c>
    </row>
    <row r="185" spans="1:11" ht="20.149999999999999" customHeight="1" x14ac:dyDescent="0.3">
      <c r="A185" s="6" t="s">
        <v>30</v>
      </c>
      <c r="B185" s="4" t="str">
        <f>IFERROR(INDEX(MASTER!$A:$A,MATCH("Cryovial box 15: "&amp;($A185&amp;B$184),MASTER!$L:$L,0))&amp;"_ser_"&amp;TEXT(VALUE(SUBSTITUTE(SUBSTITUTE(TRIM(INDEX(MASTER!$M:$M,MATCH("Cryovial box 15: "&amp;($A185&amp;B$184),MASTER!$L:$L,0))),"ml",""),":",".")),"0.00")&amp;"_"&amp;TEXT(INDEX(MASTER!$E:$E,MATCH("Cryovial box 15: "&amp;($A185&amp;B$184),MASTER!$L:$L,0)),"mmddyy"),"")</f>
        <v/>
      </c>
      <c r="C185" s="4" t="str">
        <f>IFERROR(INDEX(MASTER!$A:$A,MATCH("Cryovial box 15: "&amp;($A185&amp;C$184),MASTER!$L:$L,0))&amp;"_ser_"&amp;TEXT(VALUE(SUBSTITUTE(SUBSTITUTE(TRIM(INDEX(MASTER!$M:$M,MATCH("Cryovial box 15: "&amp;($A185&amp;C$184),MASTER!$L:$L,0))),"ml",""),":",".")),"0.00")&amp;"_"&amp;TEXT(INDEX(MASTER!$E:$E,MATCH("Cryovial box 15: "&amp;($A185&amp;C$184),MASTER!$L:$L,0)),"mmddyy"),"")</f>
        <v/>
      </c>
      <c r="D185" s="4" t="str">
        <f>IFERROR(INDEX(MASTER!$A:$A,MATCH("Cryovial box 15: "&amp;($A185&amp;D$184),MASTER!$L:$L,0))&amp;"_ser_"&amp;TEXT(VALUE(SUBSTITUTE(SUBSTITUTE(TRIM(INDEX(MASTER!$M:$M,MATCH("Cryovial box 15: "&amp;($A185&amp;D$184),MASTER!$L:$L,0))),"ml",""),":",".")),"0.00")&amp;"_"&amp;TEXT(INDEX(MASTER!$E:$E,MATCH("Cryovial box 15: "&amp;($A185&amp;D$184),MASTER!$L:$L,0)),"mmddyy"),"")</f>
        <v/>
      </c>
      <c r="E185" s="4" t="str">
        <f>IFERROR(INDEX(MASTER!$A:$A,MATCH("Cryovial box 15: "&amp;($A185&amp;E$184),MASTER!$L:$L,0))&amp;"_ser_"&amp;TEXT(VALUE(SUBSTITUTE(SUBSTITUTE(TRIM(INDEX(MASTER!$M:$M,MATCH("Cryovial box 15: "&amp;($A185&amp;E$184),MASTER!$L:$L,0))),"ml",""),":",".")),"0.00")&amp;"_"&amp;TEXT(INDEX(MASTER!$E:$E,MATCH("Cryovial box 15: "&amp;($A185&amp;E$184),MASTER!$L:$L,0)),"mmddyy"),"")</f>
        <v/>
      </c>
      <c r="F185" s="4" t="str">
        <f>IFERROR(INDEX(MASTER!$A:$A,MATCH("Cryovial box 15: "&amp;($A185&amp;F$184),MASTER!$L:$L,0))&amp;"_ser_"&amp;TEXT(VALUE(SUBSTITUTE(SUBSTITUTE(TRIM(INDEX(MASTER!$M:$M,MATCH("Cryovial box 15: "&amp;($A185&amp;F$184),MASTER!$L:$L,0))),"ml",""),":",".")),"0.00")&amp;"_"&amp;TEXT(INDEX(MASTER!$E:$E,MATCH("Cryovial box 15: "&amp;($A185&amp;F$184),MASTER!$L:$L,0)),"mmddyy"),"")</f>
        <v/>
      </c>
      <c r="G185" s="4" t="str">
        <f>IFERROR(INDEX(MASTER!$A:$A,MATCH("Cryovial box 15: "&amp;($A185&amp;G$184),MASTER!$L:$L,0))&amp;"_ser_"&amp;TEXT(VALUE(SUBSTITUTE(SUBSTITUTE(TRIM(INDEX(MASTER!$M:$M,MATCH("Cryovial box 15: "&amp;($A185&amp;G$184),MASTER!$L:$L,0))),"ml",""),":",".")),"0.00")&amp;"_"&amp;TEXT(INDEX(MASTER!$E:$E,MATCH("Cryovial box 15: "&amp;($A185&amp;G$184),MASTER!$L:$L,0)),"mmddyy"),"")</f>
        <v/>
      </c>
      <c r="H185" s="4" t="str">
        <f>IFERROR(INDEX(MASTER!$A:$A,MATCH("Cryovial box 15: "&amp;($A185&amp;H$184),MASTER!$L:$L,0))&amp;"_ser_"&amp;TEXT(VALUE(SUBSTITUTE(SUBSTITUTE(TRIM(INDEX(MASTER!$M:$M,MATCH("Cryovial box 15: "&amp;($A185&amp;H$184),MASTER!$L:$L,0))),"ml",""),":",".")),"0.00")&amp;"_"&amp;TEXT(INDEX(MASTER!$E:$E,MATCH("Cryovial box 15: "&amp;($A185&amp;H$184),MASTER!$L:$L,0)),"mmddyy"),"")</f>
        <v/>
      </c>
      <c r="I185" s="4" t="str">
        <f>IFERROR(INDEX(MASTER!$A:$A,MATCH("Cryovial box 15: "&amp;($A185&amp;I$184),MASTER!$L:$L,0))&amp;"_ser_"&amp;TEXT(VALUE(SUBSTITUTE(SUBSTITUTE(TRIM(INDEX(MASTER!$M:$M,MATCH("Cryovial box 15: "&amp;($A185&amp;I$184),MASTER!$L:$L,0))),"ml",""),":",".")),"0.00")&amp;"_"&amp;TEXT(INDEX(MASTER!$E:$E,MATCH("Cryovial box 15: "&amp;($A185&amp;I$184),MASTER!$L:$L,0)),"mmddyy"),"")</f>
        <v/>
      </c>
      <c r="J185" s="4" t="str">
        <f>IFERROR(INDEX(MASTER!$A:$A,MATCH("Cryovial box 15: "&amp;($A185&amp;J$184),MASTER!$L:$L,0))&amp;"_ser_"&amp;TEXT(VALUE(SUBSTITUTE(SUBSTITUTE(TRIM(INDEX(MASTER!$M:$M,MATCH("Cryovial box 15: "&amp;($A185&amp;J$184),MASTER!$L:$L,0))),"ml",""),":",".")),"0.00")&amp;"_"&amp;TEXT(INDEX(MASTER!$E:$E,MATCH("Cryovial box 15: "&amp;($A185&amp;J$184),MASTER!$L:$L,0)),"mmddyy"),"")</f>
        <v/>
      </c>
      <c r="K185" s="4" t="str">
        <f>IFERROR(INDEX(MASTER!$A:$A,MATCH("Cryovial box 15: "&amp;($A185&amp;K$184),MASTER!$L:$L,0))&amp;"_ser_"&amp;TEXT(VALUE(SUBSTITUTE(SUBSTITUTE(TRIM(INDEX(MASTER!$M:$M,MATCH("Cryovial box 15: "&amp;($A185&amp;K$184),MASTER!$L:$L,0))),"ml",""),":",".")),"0.00")&amp;"_"&amp;TEXT(INDEX(MASTER!$E:$E,MATCH("Cryovial box 15: "&amp;($A185&amp;K$184),MASTER!$L:$L,0)),"mmddyy"),"")</f>
        <v/>
      </c>
    </row>
    <row r="186" spans="1:11" ht="20.149999999999999" customHeight="1" x14ac:dyDescent="0.3">
      <c r="A186" s="6" t="s">
        <v>31</v>
      </c>
      <c r="B186" s="4" t="str">
        <f>IFERROR(INDEX(MASTER!$A:$A,MATCH("Cryovial box 15: "&amp;($A186&amp;B$184),MASTER!$L:$L,0))&amp;"_ser_"&amp;TEXT(VALUE(SUBSTITUTE(SUBSTITUTE(TRIM(INDEX(MASTER!$M:$M,MATCH("Cryovial box 15: "&amp;($A186&amp;B$184),MASTER!$L:$L,0))),"ml",""),":",".")),"0.00")&amp;"_"&amp;TEXT(INDEX(MASTER!$E:$E,MATCH("Cryovial box 15: "&amp;($A186&amp;B$184),MASTER!$L:$L,0)),"mmddyy"),"")</f>
        <v/>
      </c>
      <c r="C186" s="4" t="str">
        <f>IFERROR(INDEX(MASTER!$A:$A,MATCH("Cryovial box 15: "&amp;($A186&amp;C$184),MASTER!$L:$L,0))&amp;"_ser_"&amp;TEXT(VALUE(SUBSTITUTE(SUBSTITUTE(TRIM(INDEX(MASTER!$M:$M,MATCH("Cryovial box 15: "&amp;($A186&amp;C$184),MASTER!$L:$L,0))),"ml",""),":",".")),"0.00")&amp;"_"&amp;TEXT(INDEX(MASTER!$E:$E,MATCH("Cryovial box 15: "&amp;($A186&amp;C$184),MASTER!$L:$L,0)),"mmddyy"),"")</f>
        <v/>
      </c>
      <c r="D186" s="4" t="str">
        <f>IFERROR(INDEX(MASTER!$A:$A,MATCH("Cryovial box 15: "&amp;($A186&amp;D$184),MASTER!$L:$L,0))&amp;"_ser_"&amp;TEXT(VALUE(SUBSTITUTE(SUBSTITUTE(TRIM(INDEX(MASTER!$M:$M,MATCH("Cryovial box 15: "&amp;($A186&amp;D$184),MASTER!$L:$L,0))),"ml",""),":",".")),"0.00")&amp;"_"&amp;TEXT(INDEX(MASTER!$E:$E,MATCH("Cryovial box 15: "&amp;($A186&amp;D$184),MASTER!$L:$L,0)),"mmddyy"),"")</f>
        <v/>
      </c>
      <c r="E186" s="4" t="str">
        <f>IFERROR(INDEX(MASTER!$A:$A,MATCH("Cryovial box 15: "&amp;($A186&amp;E$184),MASTER!$L:$L,0))&amp;"_ser_"&amp;TEXT(VALUE(SUBSTITUTE(SUBSTITUTE(TRIM(INDEX(MASTER!$M:$M,MATCH("Cryovial box 15: "&amp;($A186&amp;E$184),MASTER!$L:$L,0))),"ml",""),":",".")),"0.00")&amp;"_"&amp;TEXT(INDEX(MASTER!$E:$E,MATCH("Cryovial box 15: "&amp;($A186&amp;E$184),MASTER!$L:$L,0)),"mmddyy"),"")</f>
        <v/>
      </c>
      <c r="F186" s="4" t="str">
        <f>IFERROR(INDEX(MASTER!$A:$A,MATCH("Cryovial box 15: "&amp;($A186&amp;F$184),MASTER!$L:$L,0))&amp;"_ser_"&amp;TEXT(VALUE(SUBSTITUTE(SUBSTITUTE(TRIM(INDEX(MASTER!$M:$M,MATCH("Cryovial box 15: "&amp;($A186&amp;F$184),MASTER!$L:$L,0))),"ml",""),":",".")),"0.00")&amp;"_"&amp;TEXT(INDEX(MASTER!$E:$E,MATCH("Cryovial box 15: "&amp;($A186&amp;F$184),MASTER!$L:$L,0)),"mmddyy"),"")</f>
        <v/>
      </c>
      <c r="G186" s="4" t="str">
        <f>IFERROR(INDEX(MASTER!$A:$A,MATCH("Cryovial box 15: "&amp;($A186&amp;G$184),MASTER!$L:$L,0))&amp;"_ser_"&amp;TEXT(VALUE(SUBSTITUTE(SUBSTITUTE(TRIM(INDEX(MASTER!$M:$M,MATCH("Cryovial box 15: "&amp;($A186&amp;G$184),MASTER!$L:$L,0))),"ml",""),":",".")),"0.00")&amp;"_"&amp;TEXT(INDEX(MASTER!$E:$E,MATCH("Cryovial box 15: "&amp;($A186&amp;G$184),MASTER!$L:$L,0)),"mmddyy"),"")</f>
        <v/>
      </c>
      <c r="H186" s="4" t="str">
        <f>IFERROR(INDEX(MASTER!$A:$A,MATCH("Cryovial box 15: "&amp;($A186&amp;H$184),MASTER!$L:$L,0))&amp;"_ser_"&amp;TEXT(VALUE(SUBSTITUTE(SUBSTITUTE(TRIM(INDEX(MASTER!$M:$M,MATCH("Cryovial box 15: "&amp;($A186&amp;H$184),MASTER!$L:$L,0))),"ml",""),":",".")),"0.00")&amp;"_"&amp;TEXT(INDEX(MASTER!$E:$E,MATCH("Cryovial box 15: "&amp;($A186&amp;H$184),MASTER!$L:$L,0)),"mmddyy"),"")</f>
        <v/>
      </c>
      <c r="I186" s="4" t="str">
        <f>IFERROR(INDEX(MASTER!$A:$A,MATCH("Cryovial box 15: "&amp;($A186&amp;I$184),MASTER!$L:$L,0))&amp;"_ser_"&amp;TEXT(VALUE(SUBSTITUTE(SUBSTITUTE(TRIM(INDEX(MASTER!$M:$M,MATCH("Cryovial box 15: "&amp;($A186&amp;I$184),MASTER!$L:$L,0))),"ml",""),":",".")),"0.00")&amp;"_"&amp;TEXT(INDEX(MASTER!$E:$E,MATCH("Cryovial box 15: "&amp;($A186&amp;I$184),MASTER!$L:$L,0)),"mmddyy"),"")</f>
        <v/>
      </c>
      <c r="J186" s="4" t="str">
        <f>IFERROR(INDEX(MASTER!$A:$A,MATCH("Cryovial box 15: "&amp;($A186&amp;J$184),MASTER!$L:$L,0))&amp;"_ser_"&amp;TEXT(VALUE(SUBSTITUTE(SUBSTITUTE(TRIM(INDEX(MASTER!$M:$M,MATCH("Cryovial box 15: "&amp;($A186&amp;J$184),MASTER!$L:$L,0))),"ml",""),":",".")),"0.00")&amp;"_"&amp;TEXT(INDEX(MASTER!$E:$E,MATCH("Cryovial box 15: "&amp;($A186&amp;J$184),MASTER!$L:$L,0)),"mmddyy"),"")</f>
        <v/>
      </c>
      <c r="K186" s="4" t="str">
        <f>IFERROR(INDEX(MASTER!$A:$A,MATCH("Cryovial box 15: "&amp;($A186&amp;K$184),MASTER!$L:$L,0))&amp;"_ser_"&amp;TEXT(VALUE(SUBSTITUTE(SUBSTITUTE(TRIM(INDEX(MASTER!$M:$M,MATCH("Cryovial box 15: "&amp;($A186&amp;K$184),MASTER!$L:$L,0))),"ml",""),":",".")),"0.00")&amp;"_"&amp;TEXT(INDEX(MASTER!$E:$E,MATCH("Cryovial box 15: "&amp;($A186&amp;K$184),MASTER!$L:$L,0)),"mmddyy"),"")</f>
        <v/>
      </c>
    </row>
    <row r="187" spans="1:11" ht="20.149999999999999" customHeight="1" x14ac:dyDescent="0.3">
      <c r="A187" s="6" t="s">
        <v>32</v>
      </c>
      <c r="B187" s="4" t="str">
        <f>IFERROR(INDEX(MASTER!$A:$A,MATCH("Cryovial box 15: "&amp;($A187&amp;B$184),MASTER!$L:$L,0))&amp;"_ser_"&amp;TEXT(VALUE(SUBSTITUTE(SUBSTITUTE(TRIM(INDEX(MASTER!$M:$M,MATCH("Cryovial box 15: "&amp;($A187&amp;B$184),MASTER!$L:$L,0))),"ml",""),":",".")),"0.00")&amp;"_"&amp;TEXT(INDEX(MASTER!$E:$E,MATCH("Cryovial box 15: "&amp;($A187&amp;B$184),MASTER!$L:$L,0)),"mmddyy"),"")</f>
        <v/>
      </c>
      <c r="C187" s="4" t="str">
        <f>IFERROR(INDEX(MASTER!$A:$A,MATCH("Cryovial box 15: "&amp;($A187&amp;C$184),MASTER!$L:$L,0))&amp;"_ser_"&amp;TEXT(VALUE(SUBSTITUTE(SUBSTITUTE(TRIM(INDEX(MASTER!$M:$M,MATCH("Cryovial box 15: "&amp;($A187&amp;C$184),MASTER!$L:$L,0))),"ml",""),":",".")),"0.00")&amp;"_"&amp;TEXT(INDEX(MASTER!$E:$E,MATCH("Cryovial box 15: "&amp;($A187&amp;C$184),MASTER!$L:$L,0)),"mmddyy"),"")</f>
        <v/>
      </c>
      <c r="D187" s="4" t="str">
        <f>IFERROR(INDEX(MASTER!$A:$A,MATCH("Cryovial box 15: "&amp;($A187&amp;D$184),MASTER!$L:$L,0))&amp;"_ser_"&amp;TEXT(VALUE(SUBSTITUTE(SUBSTITUTE(TRIM(INDEX(MASTER!$M:$M,MATCH("Cryovial box 15: "&amp;($A187&amp;D$184),MASTER!$L:$L,0))),"ml",""),":",".")),"0.00")&amp;"_"&amp;TEXT(INDEX(MASTER!$E:$E,MATCH("Cryovial box 15: "&amp;($A187&amp;D$184),MASTER!$L:$L,0)),"mmddyy"),"")</f>
        <v/>
      </c>
      <c r="E187" s="4" t="str">
        <f>IFERROR(INDEX(MASTER!$A:$A,MATCH("Cryovial box 15: "&amp;($A187&amp;E$184),MASTER!$L:$L,0))&amp;"_ser_"&amp;TEXT(VALUE(SUBSTITUTE(SUBSTITUTE(TRIM(INDEX(MASTER!$M:$M,MATCH("Cryovial box 15: "&amp;($A187&amp;E$184),MASTER!$L:$L,0))),"ml",""),":",".")),"0.00")&amp;"_"&amp;TEXT(INDEX(MASTER!$E:$E,MATCH("Cryovial box 15: "&amp;($A187&amp;E$184),MASTER!$L:$L,0)),"mmddyy"),"")</f>
        <v/>
      </c>
      <c r="F187" s="4" t="str">
        <f>IFERROR(INDEX(MASTER!$A:$A,MATCH("Cryovial box 15: "&amp;($A187&amp;F$184),MASTER!$L:$L,0))&amp;"_ser_"&amp;TEXT(VALUE(SUBSTITUTE(SUBSTITUTE(TRIM(INDEX(MASTER!$M:$M,MATCH("Cryovial box 15: "&amp;($A187&amp;F$184),MASTER!$L:$L,0))),"ml",""),":",".")),"0.00")&amp;"_"&amp;TEXT(INDEX(MASTER!$E:$E,MATCH("Cryovial box 15: "&amp;($A187&amp;F$184),MASTER!$L:$L,0)),"mmddyy"),"")</f>
        <v/>
      </c>
      <c r="G187" s="4" t="str">
        <f>IFERROR(INDEX(MASTER!$A:$A,MATCH("Cryovial box 15: "&amp;($A187&amp;G$184),MASTER!$L:$L,0))&amp;"_ser_"&amp;TEXT(VALUE(SUBSTITUTE(SUBSTITUTE(TRIM(INDEX(MASTER!$M:$M,MATCH("Cryovial box 15: "&amp;($A187&amp;G$184),MASTER!$L:$L,0))),"ml",""),":",".")),"0.00")&amp;"_"&amp;TEXT(INDEX(MASTER!$E:$E,MATCH("Cryovial box 15: "&amp;($A187&amp;G$184),MASTER!$L:$L,0)),"mmddyy"),"")</f>
        <v/>
      </c>
      <c r="H187" s="4" t="str">
        <f>IFERROR(INDEX(MASTER!$A:$A,MATCH("Cryovial box 15: "&amp;($A187&amp;H$184),MASTER!$L:$L,0))&amp;"_ser_"&amp;TEXT(VALUE(SUBSTITUTE(SUBSTITUTE(TRIM(INDEX(MASTER!$M:$M,MATCH("Cryovial box 15: "&amp;($A187&amp;H$184),MASTER!$L:$L,0))),"ml",""),":",".")),"0.00")&amp;"_"&amp;TEXT(INDEX(MASTER!$E:$E,MATCH("Cryovial box 15: "&amp;($A187&amp;H$184),MASTER!$L:$L,0)),"mmddyy"),"")</f>
        <v/>
      </c>
      <c r="I187" s="4" t="str">
        <f>IFERROR(INDEX(MASTER!$A:$A,MATCH("Cryovial box 15: "&amp;($A187&amp;I$184),MASTER!$L:$L,0))&amp;"_ser_"&amp;TEXT(VALUE(SUBSTITUTE(SUBSTITUTE(TRIM(INDEX(MASTER!$M:$M,MATCH("Cryovial box 15: "&amp;($A187&amp;I$184),MASTER!$L:$L,0))),"ml",""),":",".")),"0.00")&amp;"_"&amp;TEXT(INDEX(MASTER!$E:$E,MATCH("Cryovial box 15: "&amp;($A187&amp;I$184),MASTER!$L:$L,0)),"mmddyy"),"")</f>
        <v/>
      </c>
      <c r="J187" s="4" t="str">
        <f>IFERROR(INDEX(MASTER!$A:$A,MATCH("Cryovial box 15: "&amp;($A187&amp;J$184),MASTER!$L:$L,0))&amp;"_ser_"&amp;TEXT(VALUE(SUBSTITUTE(SUBSTITUTE(TRIM(INDEX(MASTER!$M:$M,MATCH("Cryovial box 15: "&amp;($A187&amp;J$184),MASTER!$L:$L,0))),"ml",""),":",".")),"0.00")&amp;"_"&amp;TEXT(INDEX(MASTER!$E:$E,MATCH("Cryovial box 15: "&amp;($A187&amp;J$184),MASTER!$L:$L,0)),"mmddyy"),"")</f>
        <v/>
      </c>
      <c r="K187" s="4" t="str">
        <f>IFERROR(INDEX(MASTER!$A:$A,MATCH("Cryovial box 15: "&amp;($A187&amp;K$184),MASTER!$L:$L,0))&amp;"_ser_"&amp;TEXT(VALUE(SUBSTITUTE(SUBSTITUTE(TRIM(INDEX(MASTER!$M:$M,MATCH("Cryovial box 15: "&amp;($A187&amp;K$184),MASTER!$L:$L,0))),"ml",""),":",".")),"0.00")&amp;"_"&amp;TEXT(INDEX(MASTER!$E:$E,MATCH("Cryovial box 15: "&amp;($A187&amp;K$184),MASTER!$L:$L,0)),"mmddyy"),"")</f>
        <v/>
      </c>
    </row>
    <row r="188" spans="1:11" ht="14.15" customHeight="1" x14ac:dyDescent="0.3">
      <c r="A188" s="6" t="s">
        <v>33</v>
      </c>
      <c r="B188" s="4" t="str">
        <f>IFERROR(INDEX(MASTER!$A:$A,MATCH("Cryovial box 15: "&amp;($A188&amp;B$184),MASTER!$L:$L,0))&amp;"_ser_"&amp;TEXT(VALUE(SUBSTITUTE(SUBSTITUTE(TRIM(INDEX(MASTER!$M:$M,MATCH("Cryovial box 15: "&amp;($A188&amp;B$184),MASTER!$L:$L,0))),"ml",""),":",".")),"0.00")&amp;"_"&amp;TEXT(INDEX(MASTER!$E:$E,MATCH("Cryovial box 15: "&amp;($A188&amp;B$184),MASTER!$L:$L,0)),"mmddyy"),"")</f>
        <v/>
      </c>
      <c r="C188" s="4" t="str">
        <f>IFERROR(INDEX(MASTER!$A:$A,MATCH("Cryovial box 15: "&amp;($A188&amp;C$184),MASTER!$L:$L,0))&amp;"_ser_"&amp;TEXT(VALUE(SUBSTITUTE(SUBSTITUTE(TRIM(INDEX(MASTER!$M:$M,MATCH("Cryovial box 15: "&amp;($A188&amp;C$184),MASTER!$L:$L,0))),"ml",""),":",".")),"0.00")&amp;"_"&amp;TEXT(INDEX(MASTER!$E:$E,MATCH("Cryovial box 15: "&amp;($A188&amp;C$184),MASTER!$L:$L,0)),"mmddyy"),"")</f>
        <v/>
      </c>
      <c r="D188" s="4" t="str">
        <f>IFERROR(INDEX(MASTER!$A:$A,MATCH("Cryovial box 15: "&amp;($A188&amp;D$184),MASTER!$L:$L,0))&amp;"_ser_"&amp;TEXT(VALUE(SUBSTITUTE(SUBSTITUTE(TRIM(INDEX(MASTER!$M:$M,MATCH("Cryovial box 15: "&amp;($A188&amp;D$184),MASTER!$L:$L,0))),"ml",""),":",".")),"0.00")&amp;"_"&amp;TEXT(INDEX(MASTER!$E:$E,MATCH("Cryovial box 15: "&amp;($A188&amp;D$184),MASTER!$L:$L,0)),"mmddyy"),"")</f>
        <v/>
      </c>
      <c r="E188" s="4" t="str">
        <f>IFERROR(INDEX(MASTER!$A:$A,MATCH("Cryovial box 15: "&amp;($A188&amp;E$184),MASTER!$L:$L,0))&amp;"_ser_"&amp;TEXT(VALUE(SUBSTITUTE(SUBSTITUTE(TRIM(INDEX(MASTER!$M:$M,MATCH("Cryovial box 15: "&amp;($A188&amp;E$184),MASTER!$L:$L,0))),"ml",""),":",".")),"0.00")&amp;"_"&amp;TEXT(INDEX(MASTER!$E:$E,MATCH("Cryovial box 15: "&amp;($A188&amp;E$184),MASTER!$L:$L,0)),"mmddyy"),"")</f>
        <v/>
      </c>
      <c r="F188" s="4" t="str">
        <f>IFERROR(INDEX(MASTER!$A:$A,MATCH("Cryovial box 15: "&amp;($A188&amp;F$184),MASTER!$L:$L,0))&amp;"_ser_"&amp;TEXT(VALUE(SUBSTITUTE(SUBSTITUTE(TRIM(INDEX(MASTER!$M:$M,MATCH("Cryovial box 15: "&amp;($A188&amp;F$184),MASTER!$L:$L,0))),"ml",""),":",".")),"0.00")&amp;"_"&amp;TEXT(INDEX(MASTER!$E:$E,MATCH("Cryovial box 15: "&amp;($A188&amp;F$184),MASTER!$L:$L,0)),"mmddyy"),"")</f>
        <v/>
      </c>
      <c r="G188" s="4" t="str">
        <f>IFERROR(INDEX(MASTER!$A:$A,MATCH("Cryovial box 15: "&amp;($A188&amp;G$184),MASTER!$L:$L,0))&amp;"_ser_"&amp;TEXT(VALUE(SUBSTITUTE(SUBSTITUTE(TRIM(INDEX(MASTER!$M:$M,MATCH("Cryovial box 15: "&amp;($A188&amp;G$184),MASTER!$L:$L,0))),"ml",""),":",".")),"0.00")&amp;"_"&amp;TEXT(INDEX(MASTER!$E:$E,MATCH("Cryovial box 15: "&amp;($A188&amp;G$184),MASTER!$L:$L,0)),"mmddyy"),"")</f>
        <v/>
      </c>
      <c r="H188" s="4" t="str">
        <f>IFERROR(INDEX(MASTER!$A:$A,MATCH("Cryovial box 15: "&amp;($A188&amp;H$184),MASTER!$L:$L,0))&amp;"_ser_"&amp;TEXT(VALUE(SUBSTITUTE(SUBSTITUTE(TRIM(INDEX(MASTER!$M:$M,MATCH("Cryovial box 15: "&amp;($A188&amp;H$184),MASTER!$L:$L,0))),"ml",""),":",".")),"0.00")&amp;"_"&amp;TEXT(INDEX(MASTER!$E:$E,MATCH("Cryovial box 15: "&amp;($A188&amp;H$184),MASTER!$L:$L,0)),"mmddyy"),"")</f>
        <v/>
      </c>
      <c r="I188" s="4" t="str">
        <f>IFERROR(INDEX(MASTER!$A:$A,MATCH("Cryovial box 15: "&amp;($A188&amp;I$184),MASTER!$L:$L,0))&amp;"_ser_"&amp;TEXT(VALUE(SUBSTITUTE(SUBSTITUTE(TRIM(INDEX(MASTER!$M:$M,MATCH("Cryovial box 15: "&amp;($A188&amp;I$184),MASTER!$L:$L,0))),"ml",""),":",".")),"0.00")&amp;"_"&amp;TEXT(INDEX(MASTER!$E:$E,MATCH("Cryovial box 15: "&amp;($A188&amp;I$184),MASTER!$L:$L,0)),"mmddyy"),"")</f>
        <v/>
      </c>
      <c r="J188" s="4" t="str">
        <f>IFERROR(INDEX(MASTER!$A:$A,MATCH("Cryovial box 15: "&amp;($A188&amp;J$184),MASTER!$L:$L,0))&amp;"_ser_"&amp;TEXT(VALUE(SUBSTITUTE(SUBSTITUTE(TRIM(INDEX(MASTER!$M:$M,MATCH("Cryovial box 15: "&amp;($A188&amp;J$184),MASTER!$L:$L,0))),"ml",""),":",".")),"0.00")&amp;"_"&amp;TEXT(INDEX(MASTER!$E:$E,MATCH("Cryovial box 15: "&amp;($A188&amp;J$184),MASTER!$L:$L,0)),"mmddyy"),"")</f>
        <v/>
      </c>
      <c r="K188" s="4" t="str">
        <f>IFERROR(INDEX(MASTER!$A:$A,MATCH("Cryovial box 15: "&amp;($A188&amp;K$184),MASTER!$L:$L,0))&amp;"_ser_"&amp;TEXT(VALUE(SUBSTITUTE(SUBSTITUTE(TRIM(INDEX(MASTER!$M:$M,MATCH("Cryovial box 15: "&amp;($A188&amp;K$184),MASTER!$L:$L,0))),"ml",""),":",".")),"0.00")&amp;"_"&amp;TEXT(INDEX(MASTER!$E:$E,MATCH("Cryovial box 15: "&amp;($A188&amp;K$184),MASTER!$L:$L,0)),"mmddyy"),"")</f>
        <v/>
      </c>
    </row>
    <row r="189" spans="1:11" ht="14.15" customHeight="1" x14ac:dyDescent="0.3">
      <c r="A189" s="6" t="s">
        <v>34</v>
      </c>
      <c r="B189" s="4" t="str">
        <f>IFERROR(INDEX(MASTER!$A:$A,MATCH("Cryovial box 15: "&amp;($A189&amp;B$184),MASTER!$L:$L,0))&amp;"_ser_"&amp;TEXT(VALUE(SUBSTITUTE(SUBSTITUTE(TRIM(INDEX(MASTER!$M:$M,MATCH("Cryovial box 15: "&amp;($A189&amp;B$184),MASTER!$L:$L,0))),"ml",""),":",".")),"0.00")&amp;"_"&amp;TEXT(INDEX(MASTER!$E:$E,MATCH("Cryovial box 15: "&amp;($A189&amp;B$184),MASTER!$L:$L,0)),"mmddyy"),"")</f>
        <v/>
      </c>
      <c r="C189" s="4" t="str">
        <f>IFERROR(INDEX(MASTER!$A:$A,MATCH("Cryovial box 15: "&amp;($A189&amp;C$184),MASTER!$L:$L,0))&amp;"_ser_"&amp;TEXT(VALUE(SUBSTITUTE(SUBSTITUTE(TRIM(INDEX(MASTER!$M:$M,MATCH("Cryovial box 15: "&amp;($A189&amp;C$184),MASTER!$L:$L,0))),"ml",""),":",".")),"0.00")&amp;"_"&amp;TEXT(INDEX(MASTER!$E:$E,MATCH("Cryovial box 15: "&amp;($A189&amp;C$184),MASTER!$L:$L,0)),"mmddyy"),"")</f>
        <v/>
      </c>
      <c r="D189" s="4" t="str">
        <f>IFERROR(INDEX(MASTER!$A:$A,MATCH("Cryovial box 15: "&amp;($A189&amp;D$184),MASTER!$L:$L,0))&amp;"_ser_"&amp;TEXT(VALUE(SUBSTITUTE(SUBSTITUTE(TRIM(INDEX(MASTER!$M:$M,MATCH("Cryovial box 15: "&amp;($A189&amp;D$184),MASTER!$L:$L,0))),"ml",""),":",".")),"0.00")&amp;"_"&amp;TEXT(INDEX(MASTER!$E:$E,MATCH("Cryovial box 15: "&amp;($A189&amp;D$184),MASTER!$L:$L,0)),"mmddyy"),"")</f>
        <v/>
      </c>
      <c r="E189" s="4" t="str">
        <f>IFERROR(INDEX(MASTER!$A:$A,MATCH("Cryovial box 15: "&amp;($A189&amp;E$184),MASTER!$L:$L,0))&amp;"_ser_"&amp;TEXT(VALUE(SUBSTITUTE(SUBSTITUTE(TRIM(INDEX(MASTER!$M:$M,MATCH("Cryovial box 15: "&amp;($A189&amp;E$184),MASTER!$L:$L,0))),"ml",""),":",".")),"0.00")&amp;"_"&amp;TEXT(INDEX(MASTER!$E:$E,MATCH("Cryovial box 15: "&amp;($A189&amp;E$184),MASTER!$L:$L,0)),"mmddyy"),"")</f>
        <v/>
      </c>
      <c r="F189" s="4" t="str">
        <f>IFERROR(INDEX(MASTER!$A:$A,MATCH("Cryovial box 15: "&amp;($A189&amp;F$184),MASTER!$L:$L,0))&amp;"_ser_"&amp;TEXT(VALUE(SUBSTITUTE(SUBSTITUTE(TRIM(INDEX(MASTER!$M:$M,MATCH("Cryovial box 15: "&amp;($A189&amp;F$184),MASTER!$L:$L,0))),"ml",""),":",".")),"0.00")&amp;"_"&amp;TEXT(INDEX(MASTER!$E:$E,MATCH("Cryovial box 15: "&amp;($A189&amp;F$184),MASTER!$L:$L,0)),"mmddyy"),"")</f>
        <v/>
      </c>
      <c r="G189" s="4" t="str">
        <f>IFERROR(INDEX(MASTER!$A:$A,MATCH("Cryovial box 15: "&amp;($A189&amp;G$184),MASTER!$L:$L,0))&amp;"_ser_"&amp;TEXT(VALUE(SUBSTITUTE(SUBSTITUTE(TRIM(INDEX(MASTER!$M:$M,MATCH("Cryovial box 15: "&amp;($A189&amp;G$184),MASTER!$L:$L,0))),"ml",""),":",".")),"0.00")&amp;"_"&amp;TEXT(INDEX(MASTER!$E:$E,MATCH("Cryovial box 15: "&amp;($A189&amp;G$184),MASTER!$L:$L,0)),"mmddyy"),"")</f>
        <v/>
      </c>
      <c r="H189" s="4" t="str">
        <f>IFERROR(INDEX(MASTER!$A:$A,MATCH("Cryovial box 15: "&amp;($A189&amp;H$184),MASTER!$L:$L,0))&amp;"_ser_"&amp;TEXT(VALUE(SUBSTITUTE(SUBSTITUTE(TRIM(INDEX(MASTER!$M:$M,MATCH("Cryovial box 15: "&amp;($A189&amp;H$184),MASTER!$L:$L,0))),"ml",""),":",".")),"0.00")&amp;"_"&amp;TEXT(INDEX(MASTER!$E:$E,MATCH("Cryovial box 15: "&amp;($A189&amp;H$184),MASTER!$L:$L,0)),"mmddyy"),"")</f>
        <v/>
      </c>
      <c r="I189" s="4" t="str">
        <f>IFERROR(INDEX(MASTER!$A:$A,MATCH("Cryovial box 15: "&amp;($A189&amp;I$184),MASTER!$L:$L,0))&amp;"_ser_"&amp;TEXT(VALUE(SUBSTITUTE(SUBSTITUTE(TRIM(INDEX(MASTER!$M:$M,MATCH("Cryovial box 15: "&amp;($A189&amp;I$184),MASTER!$L:$L,0))),"ml",""),":",".")),"0.00")&amp;"_"&amp;TEXT(INDEX(MASTER!$E:$E,MATCH("Cryovial box 15: "&amp;($A189&amp;I$184),MASTER!$L:$L,0)),"mmddyy"),"")</f>
        <v/>
      </c>
      <c r="J189" s="4" t="str">
        <f>IFERROR(INDEX(MASTER!$A:$A,MATCH("Cryovial box 15: "&amp;($A189&amp;J$184),MASTER!$L:$L,0))&amp;"_ser_"&amp;TEXT(VALUE(SUBSTITUTE(SUBSTITUTE(TRIM(INDEX(MASTER!$M:$M,MATCH("Cryovial box 15: "&amp;($A189&amp;J$184),MASTER!$L:$L,0))),"ml",""),":",".")),"0.00")&amp;"_"&amp;TEXT(INDEX(MASTER!$E:$E,MATCH("Cryovial box 15: "&amp;($A189&amp;J$184),MASTER!$L:$L,0)),"mmddyy"),"")</f>
        <v/>
      </c>
      <c r="K189" s="4" t="str">
        <f>IFERROR(INDEX(MASTER!$A:$A,MATCH("Cryovial box 15: "&amp;($A189&amp;K$184),MASTER!$L:$L,0))&amp;"_ser_"&amp;TEXT(VALUE(SUBSTITUTE(SUBSTITUTE(TRIM(INDEX(MASTER!$M:$M,MATCH("Cryovial box 15: "&amp;($A189&amp;K$184),MASTER!$L:$L,0))),"ml",""),":",".")),"0.00")&amp;"_"&amp;TEXT(INDEX(MASTER!$E:$E,MATCH("Cryovial box 15: "&amp;($A189&amp;K$184),MASTER!$L:$L,0)),"mmddyy"),"")</f>
        <v/>
      </c>
    </row>
    <row r="190" spans="1:11" ht="14.15" customHeight="1" x14ac:dyDescent="0.3">
      <c r="A190" s="6" t="s">
        <v>15</v>
      </c>
      <c r="B190" s="4" t="str">
        <f>IFERROR(INDEX(MASTER!$A:$A,MATCH("Cryovial box 15: "&amp;($A190&amp;B$184),MASTER!$L:$L,0))&amp;"_ser_"&amp;TEXT(VALUE(SUBSTITUTE(SUBSTITUTE(TRIM(INDEX(MASTER!$M:$M,MATCH("Cryovial box 15: "&amp;($A190&amp;B$184),MASTER!$L:$L,0))),"ml",""),":",".")),"0.00")&amp;"_"&amp;TEXT(INDEX(MASTER!$E:$E,MATCH("Cryovial box 15: "&amp;($A190&amp;B$184),MASTER!$L:$L,0)),"mmddyy"),"")</f>
        <v/>
      </c>
      <c r="C190" s="4" t="str">
        <f>IFERROR(INDEX(MASTER!$A:$A,MATCH("Cryovial box 15: "&amp;($A190&amp;C$184),MASTER!$L:$L,0))&amp;"_ser_"&amp;TEXT(VALUE(SUBSTITUTE(SUBSTITUTE(TRIM(INDEX(MASTER!$M:$M,MATCH("Cryovial box 15: "&amp;($A190&amp;C$184),MASTER!$L:$L,0))),"ml",""),":",".")),"0.00")&amp;"_"&amp;TEXT(INDEX(MASTER!$E:$E,MATCH("Cryovial box 15: "&amp;($A190&amp;C$184),MASTER!$L:$L,0)),"mmddyy"),"")</f>
        <v/>
      </c>
      <c r="D190" s="4" t="str">
        <f>IFERROR(INDEX(MASTER!$A:$A,MATCH("Cryovial box 15: "&amp;($A190&amp;D$184),MASTER!$L:$L,0))&amp;"_ser_"&amp;TEXT(VALUE(SUBSTITUTE(SUBSTITUTE(TRIM(INDEX(MASTER!$M:$M,MATCH("Cryovial box 15: "&amp;($A190&amp;D$184),MASTER!$L:$L,0))),"ml",""),":",".")),"0.00")&amp;"_"&amp;TEXT(INDEX(MASTER!$E:$E,MATCH("Cryovial box 15: "&amp;($A190&amp;D$184),MASTER!$L:$L,0)),"mmddyy"),"")</f>
        <v/>
      </c>
      <c r="E190" s="4" t="str">
        <f>IFERROR(INDEX(MASTER!$A:$A,MATCH("Cryovial box 15: "&amp;($A190&amp;E$184),MASTER!$L:$L,0))&amp;"_ser_"&amp;TEXT(VALUE(SUBSTITUTE(SUBSTITUTE(TRIM(INDEX(MASTER!$M:$M,MATCH("Cryovial box 15: "&amp;($A190&amp;E$184),MASTER!$L:$L,0))),"ml",""),":",".")),"0.00")&amp;"_"&amp;TEXT(INDEX(MASTER!$E:$E,MATCH("Cryovial box 15: "&amp;($A190&amp;E$184),MASTER!$L:$L,0)),"mmddyy"),"")</f>
        <v/>
      </c>
      <c r="F190" s="4" t="str">
        <f>IFERROR(INDEX(MASTER!$A:$A,MATCH("Cryovial box 15: "&amp;($A190&amp;F$184),MASTER!$L:$L,0))&amp;"_ser_"&amp;TEXT(VALUE(SUBSTITUTE(SUBSTITUTE(TRIM(INDEX(MASTER!$M:$M,MATCH("Cryovial box 15: "&amp;($A190&amp;F$184),MASTER!$L:$L,0))),"ml",""),":",".")),"0.00")&amp;"_"&amp;TEXT(INDEX(MASTER!$E:$E,MATCH("Cryovial box 15: "&amp;($A190&amp;F$184),MASTER!$L:$L,0)),"mmddyy"),"")</f>
        <v/>
      </c>
      <c r="G190" s="4" t="str">
        <f>IFERROR(INDEX(MASTER!$A:$A,MATCH("Cryovial box 15: "&amp;($A190&amp;G$184),MASTER!$L:$L,0))&amp;"_ser_"&amp;TEXT(VALUE(SUBSTITUTE(SUBSTITUTE(TRIM(INDEX(MASTER!$M:$M,MATCH("Cryovial box 15: "&amp;($A190&amp;G$184),MASTER!$L:$L,0))),"ml",""),":",".")),"0.00")&amp;"_"&amp;TEXT(INDEX(MASTER!$E:$E,MATCH("Cryovial box 15: "&amp;($A190&amp;G$184),MASTER!$L:$L,0)),"mmddyy"),"")</f>
        <v/>
      </c>
      <c r="H190" s="4" t="str">
        <f>IFERROR(INDEX(MASTER!$A:$A,MATCH("Cryovial box 15: "&amp;($A190&amp;H$184),MASTER!$L:$L,0))&amp;"_ser_"&amp;TEXT(VALUE(SUBSTITUTE(SUBSTITUTE(TRIM(INDEX(MASTER!$M:$M,MATCH("Cryovial box 15: "&amp;($A190&amp;H$184),MASTER!$L:$L,0))),"ml",""),":",".")),"0.00")&amp;"_"&amp;TEXT(INDEX(MASTER!$E:$E,MATCH("Cryovial box 15: "&amp;($A190&amp;H$184),MASTER!$L:$L,0)),"mmddyy"),"")</f>
        <v/>
      </c>
      <c r="I190" s="4" t="str">
        <f>IFERROR(INDEX(MASTER!$A:$A,MATCH("Cryovial box 15: "&amp;($A190&amp;I$184),MASTER!$L:$L,0))&amp;"_ser_"&amp;TEXT(VALUE(SUBSTITUTE(SUBSTITUTE(TRIM(INDEX(MASTER!$M:$M,MATCH("Cryovial box 15: "&amp;($A190&amp;I$184),MASTER!$L:$L,0))),"ml",""),":",".")),"0.00")&amp;"_"&amp;TEXT(INDEX(MASTER!$E:$E,MATCH("Cryovial box 15: "&amp;($A190&amp;I$184),MASTER!$L:$L,0)),"mmddyy"),"")</f>
        <v/>
      </c>
      <c r="J190" s="4" t="str">
        <f>IFERROR(INDEX(MASTER!$A:$A,MATCH("Cryovial box 15: "&amp;($A190&amp;J$184),MASTER!$L:$L,0))&amp;"_ser_"&amp;TEXT(VALUE(SUBSTITUTE(SUBSTITUTE(TRIM(INDEX(MASTER!$M:$M,MATCH("Cryovial box 15: "&amp;($A190&amp;J$184),MASTER!$L:$L,0))),"ml",""),":",".")),"0.00")&amp;"_"&amp;TEXT(INDEX(MASTER!$E:$E,MATCH("Cryovial box 15: "&amp;($A190&amp;J$184),MASTER!$L:$L,0)),"mmddyy"),"")</f>
        <v/>
      </c>
      <c r="K190" s="4" t="str">
        <f>IFERROR(INDEX(MASTER!$A:$A,MATCH("Cryovial box 15: "&amp;($A190&amp;K$184),MASTER!$L:$L,0))&amp;"_ser_"&amp;TEXT(VALUE(SUBSTITUTE(SUBSTITUTE(TRIM(INDEX(MASTER!$M:$M,MATCH("Cryovial box 15: "&amp;($A190&amp;K$184),MASTER!$L:$L,0))),"ml",""),":",".")),"0.00")&amp;"_"&amp;TEXT(INDEX(MASTER!$E:$E,MATCH("Cryovial box 15: "&amp;($A190&amp;K$184),MASTER!$L:$L,0)),"mmddyy"),"")</f>
        <v/>
      </c>
    </row>
    <row r="191" spans="1:11" ht="15" customHeight="1" x14ac:dyDescent="0.3">
      <c r="A191" s="6" t="s">
        <v>35</v>
      </c>
      <c r="B191" s="4" t="str">
        <f>IFERROR(INDEX(MASTER!$A:$A,MATCH("Cryovial box 15: "&amp;($A191&amp;B$184),MASTER!$L:$L,0))&amp;"_ser_"&amp;TEXT(VALUE(SUBSTITUTE(SUBSTITUTE(TRIM(INDEX(MASTER!$M:$M,MATCH("Cryovial box 15: "&amp;($A191&amp;B$184),MASTER!$L:$L,0))),"ml",""),":",".")),"0.00")&amp;"_"&amp;TEXT(INDEX(MASTER!$E:$E,MATCH("Cryovial box 15: "&amp;($A191&amp;B$184),MASTER!$L:$L,0)),"mmddyy"),"")</f>
        <v/>
      </c>
      <c r="C191" s="4" t="str">
        <f>IFERROR(INDEX(MASTER!$A:$A,MATCH("Cryovial box 15: "&amp;($A191&amp;C$184),MASTER!$L:$L,0))&amp;"_ser_"&amp;TEXT(VALUE(SUBSTITUTE(SUBSTITUTE(TRIM(INDEX(MASTER!$M:$M,MATCH("Cryovial box 15: "&amp;($A191&amp;C$184),MASTER!$L:$L,0))),"ml",""),":",".")),"0.00")&amp;"_"&amp;TEXT(INDEX(MASTER!$E:$E,MATCH("Cryovial box 15: "&amp;($A191&amp;C$184),MASTER!$L:$L,0)),"mmddyy"),"")</f>
        <v/>
      </c>
      <c r="D191" s="4" t="str">
        <f>IFERROR(INDEX(MASTER!$A:$A,MATCH("Cryovial box 15: "&amp;($A191&amp;D$184),MASTER!$L:$L,0))&amp;"_ser_"&amp;TEXT(VALUE(SUBSTITUTE(SUBSTITUTE(TRIM(INDEX(MASTER!$M:$M,MATCH("Cryovial box 15: "&amp;($A191&amp;D$184),MASTER!$L:$L,0))),"ml",""),":",".")),"0.00")&amp;"_"&amp;TEXT(INDEX(MASTER!$E:$E,MATCH("Cryovial box 15: "&amp;($A191&amp;D$184),MASTER!$L:$L,0)),"mmddyy"),"")</f>
        <v/>
      </c>
      <c r="E191" s="4" t="str">
        <f>IFERROR(INDEX(MASTER!$A:$A,MATCH("Cryovial box 15: "&amp;($A191&amp;E$184),MASTER!$L:$L,0))&amp;"_ser_"&amp;TEXT(VALUE(SUBSTITUTE(SUBSTITUTE(TRIM(INDEX(MASTER!$M:$M,MATCH("Cryovial box 15: "&amp;($A191&amp;E$184),MASTER!$L:$L,0))),"ml",""),":",".")),"0.00")&amp;"_"&amp;TEXT(INDEX(MASTER!$E:$E,MATCH("Cryovial box 15: "&amp;($A191&amp;E$184),MASTER!$L:$L,0)),"mmddyy"),"")</f>
        <v/>
      </c>
      <c r="F191" s="4" t="str">
        <f>IFERROR(INDEX(MASTER!$A:$A,MATCH("Cryovial box 15: "&amp;($A191&amp;F$184),MASTER!$L:$L,0))&amp;"_ser_"&amp;TEXT(VALUE(SUBSTITUTE(SUBSTITUTE(TRIM(INDEX(MASTER!$M:$M,MATCH("Cryovial box 15: "&amp;($A191&amp;F$184),MASTER!$L:$L,0))),"ml",""),":",".")),"0.00")&amp;"_"&amp;TEXT(INDEX(MASTER!$E:$E,MATCH("Cryovial box 15: "&amp;($A191&amp;F$184),MASTER!$L:$L,0)),"mmddyy"),"")</f>
        <v/>
      </c>
      <c r="G191" s="4" t="str">
        <f>IFERROR(INDEX(MASTER!$A:$A,MATCH("Cryovial box 15: "&amp;($A191&amp;G$184),MASTER!$L:$L,0))&amp;"_ser_"&amp;TEXT(VALUE(SUBSTITUTE(SUBSTITUTE(TRIM(INDEX(MASTER!$M:$M,MATCH("Cryovial box 15: "&amp;($A191&amp;G$184),MASTER!$L:$L,0))),"ml",""),":",".")),"0.00")&amp;"_"&amp;TEXT(INDEX(MASTER!$E:$E,MATCH("Cryovial box 15: "&amp;($A191&amp;G$184),MASTER!$L:$L,0)),"mmddyy"),"")</f>
        <v/>
      </c>
      <c r="H191" s="4" t="str">
        <f>IFERROR(INDEX(MASTER!$A:$A,MATCH("Cryovial box 15: "&amp;($A191&amp;H$184),MASTER!$L:$L,0))&amp;"_ser_"&amp;TEXT(VALUE(SUBSTITUTE(SUBSTITUTE(TRIM(INDEX(MASTER!$M:$M,MATCH("Cryovial box 15: "&amp;($A191&amp;H$184),MASTER!$L:$L,0))),"ml",""),":",".")),"0.00")&amp;"_"&amp;TEXT(INDEX(MASTER!$E:$E,MATCH("Cryovial box 15: "&amp;($A191&amp;H$184),MASTER!$L:$L,0)),"mmddyy"),"")</f>
        <v/>
      </c>
      <c r="I191" s="4" t="str">
        <f>IFERROR(INDEX(MASTER!$A:$A,MATCH("Cryovial box 15: "&amp;($A191&amp;I$184),MASTER!$L:$L,0))&amp;"_ser_"&amp;TEXT(VALUE(SUBSTITUTE(SUBSTITUTE(TRIM(INDEX(MASTER!$M:$M,MATCH("Cryovial box 15: "&amp;($A191&amp;I$184),MASTER!$L:$L,0))),"ml",""),":",".")),"0.00")&amp;"_"&amp;TEXT(INDEX(MASTER!$E:$E,MATCH("Cryovial box 15: "&amp;($A191&amp;I$184),MASTER!$L:$L,0)),"mmddyy"),"")</f>
        <v/>
      </c>
      <c r="J191" s="4" t="str">
        <f>IFERROR(INDEX(MASTER!$A:$A,MATCH("Cryovial box 15: "&amp;($A191&amp;J$184),MASTER!$L:$L,0))&amp;"_ser_"&amp;TEXT(VALUE(SUBSTITUTE(SUBSTITUTE(TRIM(INDEX(MASTER!$M:$M,MATCH("Cryovial box 15: "&amp;($A191&amp;J$184),MASTER!$L:$L,0))),"ml",""),":",".")),"0.00")&amp;"_"&amp;TEXT(INDEX(MASTER!$E:$E,MATCH("Cryovial box 15: "&amp;($A191&amp;J$184),MASTER!$L:$L,0)),"mmddyy"),"")</f>
        <v/>
      </c>
      <c r="K191" s="4" t="str">
        <f>IFERROR(INDEX(MASTER!$A:$A,MATCH("Cryovial box 15: "&amp;($A191&amp;K$184),MASTER!$L:$L,0))&amp;"_ser_"&amp;TEXT(VALUE(SUBSTITUTE(SUBSTITUTE(TRIM(INDEX(MASTER!$M:$M,MATCH("Cryovial box 15: "&amp;($A191&amp;K$184),MASTER!$L:$L,0))),"ml",""),":",".")),"0.00")&amp;"_"&amp;TEXT(INDEX(MASTER!$E:$E,MATCH("Cryovial box 15: "&amp;($A191&amp;K$184),MASTER!$L:$L,0)),"mmddyy"),"")</f>
        <v/>
      </c>
    </row>
    <row r="192" spans="1:11" ht="15" customHeight="1" x14ac:dyDescent="0.3">
      <c r="A192" s="6" t="s">
        <v>36</v>
      </c>
      <c r="B192" s="4" t="str">
        <f>IFERROR(INDEX(MASTER!$A:$A,MATCH("Cryovial box 15: "&amp;($A192&amp;B$184),MASTER!$L:$L,0))&amp;"_ser_"&amp;TEXT(VALUE(SUBSTITUTE(SUBSTITUTE(TRIM(INDEX(MASTER!$M:$M,MATCH("Cryovial box 15: "&amp;($A192&amp;B$184),MASTER!$L:$L,0))),"ml",""),":",".")),"0.00")&amp;"_"&amp;TEXT(INDEX(MASTER!$E:$E,MATCH("Cryovial box 15: "&amp;($A192&amp;B$184),MASTER!$L:$L,0)),"mmddyy"),"")</f>
        <v/>
      </c>
      <c r="C192" s="4" t="str">
        <f>IFERROR(INDEX(MASTER!$A:$A,MATCH("Cryovial box 15: "&amp;($A192&amp;C$184),MASTER!$L:$L,0))&amp;"_ser_"&amp;TEXT(VALUE(SUBSTITUTE(SUBSTITUTE(TRIM(INDEX(MASTER!$M:$M,MATCH("Cryovial box 15: "&amp;($A192&amp;C$184),MASTER!$L:$L,0))),"ml",""),":",".")),"0.00")&amp;"_"&amp;TEXT(INDEX(MASTER!$E:$E,MATCH("Cryovial box 15: "&amp;($A192&amp;C$184),MASTER!$L:$L,0)),"mmddyy"),"")</f>
        <v/>
      </c>
      <c r="D192" s="4" t="str">
        <f>IFERROR(INDEX(MASTER!$A:$A,MATCH("Cryovial box 15: "&amp;($A192&amp;D$184),MASTER!$L:$L,0))&amp;"_ser_"&amp;TEXT(VALUE(SUBSTITUTE(SUBSTITUTE(TRIM(INDEX(MASTER!$M:$M,MATCH("Cryovial box 15: "&amp;($A192&amp;D$184),MASTER!$L:$L,0))),"ml",""),":",".")),"0.00")&amp;"_"&amp;TEXT(INDEX(MASTER!$E:$E,MATCH("Cryovial box 15: "&amp;($A192&amp;D$184),MASTER!$L:$L,0)),"mmddyy"),"")</f>
        <v/>
      </c>
      <c r="E192" s="4" t="str">
        <f>IFERROR(INDEX(MASTER!$A:$A,MATCH("Cryovial box 15: "&amp;($A192&amp;E$184),MASTER!$L:$L,0))&amp;"_ser_"&amp;TEXT(VALUE(SUBSTITUTE(SUBSTITUTE(TRIM(INDEX(MASTER!$M:$M,MATCH("Cryovial box 15: "&amp;($A192&amp;E$184),MASTER!$L:$L,0))),"ml",""),":",".")),"0.00")&amp;"_"&amp;TEXT(INDEX(MASTER!$E:$E,MATCH("Cryovial box 15: "&amp;($A192&amp;E$184),MASTER!$L:$L,0)),"mmddyy"),"")</f>
        <v/>
      </c>
      <c r="F192" s="4" t="str">
        <f>IFERROR(INDEX(MASTER!$A:$A,MATCH("Cryovial box 15: "&amp;($A192&amp;F$184),MASTER!$L:$L,0))&amp;"_ser_"&amp;TEXT(VALUE(SUBSTITUTE(SUBSTITUTE(TRIM(INDEX(MASTER!$M:$M,MATCH("Cryovial box 15: "&amp;($A192&amp;F$184),MASTER!$L:$L,0))),"ml",""),":",".")),"0.00")&amp;"_"&amp;TEXT(INDEX(MASTER!$E:$E,MATCH("Cryovial box 15: "&amp;($A192&amp;F$184),MASTER!$L:$L,0)),"mmddyy"),"")</f>
        <v/>
      </c>
      <c r="G192" s="4" t="str">
        <f>IFERROR(INDEX(MASTER!$A:$A,MATCH("Cryovial box 15: "&amp;($A192&amp;G$184),MASTER!$L:$L,0))&amp;"_ser_"&amp;TEXT(VALUE(SUBSTITUTE(SUBSTITUTE(TRIM(INDEX(MASTER!$M:$M,MATCH("Cryovial box 15: "&amp;($A192&amp;G$184),MASTER!$L:$L,0))),"ml",""),":",".")),"0.00")&amp;"_"&amp;TEXT(INDEX(MASTER!$E:$E,MATCH("Cryovial box 15: "&amp;($A192&amp;G$184),MASTER!$L:$L,0)),"mmddyy"),"")</f>
        <v/>
      </c>
      <c r="H192" s="4" t="str">
        <f>IFERROR(INDEX(MASTER!$A:$A,MATCH("Cryovial box 15: "&amp;($A192&amp;H$184),MASTER!$L:$L,0))&amp;"_ser_"&amp;TEXT(VALUE(SUBSTITUTE(SUBSTITUTE(TRIM(INDEX(MASTER!$M:$M,MATCH("Cryovial box 15: "&amp;($A192&amp;H$184),MASTER!$L:$L,0))),"ml",""),":",".")),"0.00")&amp;"_"&amp;TEXT(INDEX(MASTER!$E:$E,MATCH("Cryovial box 15: "&amp;($A192&amp;H$184),MASTER!$L:$L,0)),"mmddyy"),"")</f>
        <v/>
      </c>
      <c r="I192" s="4" t="str">
        <f>IFERROR(INDEX(MASTER!$A:$A,MATCH("Cryovial box 15: "&amp;($A192&amp;I$184),MASTER!$L:$L,0))&amp;"_ser_"&amp;TEXT(VALUE(SUBSTITUTE(SUBSTITUTE(TRIM(INDEX(MASTER!$M:$M,MATCH("Cryovial box 15: "&amp;($A192&amp;I$184),MASTER!$L:$L,0))),"ml",""),":",".")),"0.00")&amp;"_"&amp;TEXT(INDEX(MASTER!$E:$E,MATCH("Cryovial box 15: "&amp;($A192&amp;I$184),MASTER!$L:$L,0)),"mmddyy"),"")</f>
        <v/>
      </c>
      <c r="J192" s="4" t="str">
        <f>IFERROR(INDEX(MASTER!$A:$A,MATCH("Cryovial box 15: "&amp;($A192&amp;J$184),MASTER!$L:$L,0))&amp;"_ser_"&amp;TEXT(VALUE(SUBSTITUTE(SUBSTITUTE(TRIM(INDEX(MASTER!$M:$M,MATCH("Cryovial box 15: "&amp;($A192&amp;J$184),MASTER!$L:$L,0))),"ml",""),":",".")),"0.00")&amp;"_"&amp;TEXT(INDEX(MASTER!$E:$E,MATCH("Cryovial box 15: "&amp;($A192&amp;J$184),MASTER!$L:$L,0)),"mmddyy"),"")</f>
        <v/>
      </c>
      <c r="K192" s="4" t="str">
        <f>IFERROR(INDEX(MASTER!$A:$A,MATCH("Cryovial box 15: "&amp;($A192&amp;K$184),MASTER!$L:$L,0))&amp;"_ser_"&amp;TEXT(VALUE(SUBSTITUTE(SUBSTITUTE(TRIM(INDEX(MASTER!$M:$M,MATCH("Cryovial box 15: "&amp;($A192&amp;K$184),MASTER!$L:$L,0))),"ml",""),":",".")),"0.00")&amp;"_"&amp;TEXT(INDEX(MASTER!$E:$E,MATCH("Cryovial box 15: "&amp;($A192&amp;K$184),MASTER!$L:$L,0)),"mmddyy"),"")</f>
        <v/>
      </c>
    </row>
    <row r="193" spans="1:11" ht="15" customHeight="1" x14ac:dyDescent="0.3">
      <c r="A193" s="6" t="s">
        <v>100</v>
      </c>
      <c r="B193" s="4" t="str">
        <f>IFERROR(INDEX(MASTER!$A:$A,MATCH("Cryovial box 15: "&amp;($A193&amp;B$184),MASTER!$L:$L,0))&amp;"_ser_"&amp;TEXT(VALUE(SUBSTITUTE(SUBSTITUTE(TRIM(INDEX(MASTER!$M:$M,MATCH("Cryovial box 15: "&amp;($A193&amp;B$184),MASTER!$L:$L,0))),"ml",""),":",".")),"0.00")&amp;"_"&amp;TEXT(INDEX(MASTER!$E:$E,MATCH("Cryovial box 15: "&amp;($A193&amp;B$184),MASTER!$L:$L,0)),"mmddyy"),"")</f>
        <v/>
      </c>
      <c r="C193" s="4" t="str">
        <f>IFERROR(INDEX(MASTER!$A:$A,MATCH("Cryovial box 15: "&amp;($A193&amp;C$184),MASTER!$L:$L,0))&amp;"_ser_"&amp;TEXT(VALUE(SUBSTITUTE(SUBSTITUTE(TRIM(INDEX(MASTER!$M:$M,MATCH("Cryovial box 15: "&amp;($A193&amp;C$184),MASTER!$L:$L,0))),"ml",""),":",".")),"0.00")&amp;"_"&amp;TEXT(INDEX(MASTER!$E:$E,MATCH("Cryovial box 15: "&amp;($A193&amp;C$184),MASTER!$L:$L,0)),"mmddyy"),"")</f>
        <v/>
      </c>
      <c r="D193" s="4" t="str">
        <f>IFERROR(INDEX(MASTER!$A:$A,MATCH("Cryovial box 15: "&amp;($A193&amp;D$184),MASTER!$L:$L,0))&amp;"_ser_"&amp;TEXT(VALUE(SUBSTITUTE(SUBSTITUTE(TRIM(INDEX(MASTER!$M:$M,MATCH("Cryovial box 15: "&amp;($A193&amp;D$184),MASTER!$L:$L,0))),"ml",""),":",".")),"0.00")&amp;"_"&amp;TEXT(INDEX(MASTER!$E:$E,MATCH("Cryovial box 15: "&amp;($A193&amp;D$184),MASTER!$L:$L,0)),"mmddyy"),"")</f>
        <v/>
      </c>
      <c r="E193" s="4" t="str">
        <f>IFERROR(INDEX(MASTER!$A:$A,MATCH("Cryovial box 15: "&amp;($A193&amp;E$184),MASTER!$L:$L,0))&amp;"_ser_"&amp;TEXT(VALUE(SUBSTITUTE(SUBSTITUTE(TRIM(INDEX(MASTER!$M:$M,MATCH("Cryovial box 15: "&amp;($A193&amp;E$184),MASTER!$L:$L,0))),"ml",""),":",".")),"0.00")&amp;"_"&amp;TEXT(INDEX(MASTER!$E:$E,MATCH("Cryovial box 15: "&amp;($A193&amp;E$184),MASTER!$L:$L,0)),"mmddyy"),"")</f>
        <v/>
      </c>
      <c r="F193" s="4" t="str">
        <f>IFERROR(INDEX(MASTER!$A:$A,MATCH("Cryovial box 15: "&amp;($A193&amp;F$184),MASTER!$L:$L,0))&amp;"_ser_"&amp;TEXT(VALUE(SUBSTITUTE(SUBSTITUTE(TRIM(INDEX(MASTER!$M:$M,MATCH("Cryovial box 15: "&amp;($A193&amp;F$184),MASTER!$L:$L,0))),"ml",""),":",".")),"0.00")&amp;"_"&amp;TEXT(INDEX(MASTER!$E:$E,MATCH("Cryovial box 15: "&amp;($A193&amp;F$184),MASTER!$L:$L,0)),"mmddyy"),"")</f>
        <v/>
      </c>
      <c r="G193" s="4" t="str">
        <f>IFERROR(INDEX(MASTER!$A:$A,MATCH("Cryovial box 15: "&amp;($A193&amp;G$184),MASTER!$L:$L,0))&amp;"_ser_"&amp;TEXT(VALUE(SUBSTITUTE(SUBSTITUTE(TRIM(INDEX(MASTER!$M:$M,MATCH("Cryovial box 15: "&amp;($A193&amp;G$184),MASTER!$L:$L,0))),"ml",""),":",".")),"0.00")&amp;"_"&amp;TEXT(INDEX(MASTER!$E:$E,MATCH("Cryovial box 15: "&amp;($A193&amp;G$184),MASTER!$L:$L,0)),"mmddyy"),"")</f>
        <v/>
      </c>
      <c r="H193" s="4" t="str">
        <f>IFERROR(INDEX(MASTER!$A:$A,MATCH("Cryovial box 15: "&amp;($A193&amp;H$184),MASTER!$L:$L,0))&amp;"_ser_"&amp;TEXT(VALUE(SUBSTITUTE(SUBSTITUTE(TRIM(INDEX(MASTER!$M:$M,MATCH("Cryovial box 15: "&amp;($A193&amp;H$184),MASTER!$L:$L,0))),"ml",""),":",".")),"0.00")&amp;"_"&amp;TEXT(INDEX(MASTER!$E:$E,MATCH("Cryovial box 15: "&amp;($A193&amp;H$184),MASTER!$L:$L,0)),"mmddyy"),"")</f>
        <v/>
      </c>
      <c r="I193" s="4" t="str">
        <f>IFERROR(INDEX(MASTER!$A:$A,MATCH("Cryovial box 15: "&amp;($A193&amp;I$184),MASTER!$L:$L,0))&amp;"_ser_"&amp;TEXT(VALUE(SUBSTITUTE(SUBSTITUTE(TRIM(INDEX(MASTER!$M:$M,MATCH("Cryovial box 15: "&amp;($A193&amp;I$184),MASTER!$L:$L,0))),"ml",""),":",".")),"0.00")&amp;"_"&amp;TEXT(INDEX(MASTER!$E:$E,MATCH("Cryovial box 15: "&amp;($A193&amp;I$184),MASTER!$L:$L,0)),"mmddyy"),"")</f>
        <v/>
      </c>
      <c r="J193" s="4" t="str">
        <f>IFERROR(INDEX(MASTER!$A:$A,MATCH("Cryovial box 15: "&amp;($A193&amp;J$184),MASTER!$L:$L,0))&amp;"_ser_"&amp;TEXT(VALUE(SUBSTITUTE(SUBSTITUTE(TRIM(INDEX(MASTER!$M:$M,MATCH("Cryovial box 15: "&amp;($A193&amp;J$184),MASTER!$L:$L,0))),"ml",""),":",".")),"0.00")&amp;"_"&amp;TEXT(INDEX(MASTER!$E:$E,MATCH("Cryovial box 15: "&amp;($A193&amp;J$184),MASTER!$L:$L,0)),"mmddyy"),"")</f>
        <v/>
      </c>
      <c r="K193" s="4" t="str">
        <f>IFERROR(INDEX(MASTER!$A:$A,MATCH("Cryovial box 15: "&amp;($A193&amp;K$184),MASTER!$L:$L,0))&amp;"_ser_"&amp;TEXT(VALUE(SUBSTITUTE(SUBSTITUTE(TRIM(INDEX(MASTER!$M:$M,MATCH("Cryovial box 15: "&amp;($A193&amp;K$184),MASTER!$L:$L,0))),"ml",""),":",".")),"0.00")&amp;"_"&amp;TEXT(INDEX(MASTER!$E:$E,MATCH("Cryovial box 15: "&amp;($A193&amp;K$184),MASTER!$L:$L,0)),"mmddyy"),"")</f>
        <v/>
      </c>
    </row>
    <row r="194" spans="1:11" ht="15" customHeight="1" x14ac:dyDescent="0.3">
      <c r="A194" s="6" t="s">
        <v>101</v>
      </c>
      <c r="B194" s="4" t="str">
        <f>IFERROR(INDEX(MASTER!$A:$A,MATCH("Cryovial box 15: "&amp;($A194&amp;B$184),MASTER!$L:$L,0))&amp;"_ser_"&amp;TEXT(VALUE(SUBSTITUTE(SUBSTITUTE(TRIM(INDEX(MASTER!$M:$M,MATCH("Cryovial box 15: "&amp;($A194&amp;B$184),MASTER!$L:$L,0))),"ml",""),":",".")),"0.00")&amp;"_"&amp;TEXT(INDEX(MASTER!$E:$E,MATCH("Cryovial box 15: "&amp;($A194&amp;B$184),MASTER!$L:$L,0)),"mmddyy"),"")</f>
        <v/>
      </c>
      <c r="C194" s="4" t="str">
        <f>IFERROR(INDEX(MASTER!$A:$A,MATCH("Cryovial box 15: "&amp;($A194&amp;C$184),MASTER!$L:$L,0))&amp;"_ser_"&amp;TEXT(VALUE(SUBSTITUTE(SUBSTITUTE(TRIM(INDEX(MASTER!$M:$M,MATCH("Cryovial box 15: "&amp;($A194&amp;C$184),MASTER!$L:$L,0))),"ml",""),":",".")),"0.00")&amp;"_"&amp;TEXT(INDEX(MASTER!$E:$E,MATCH("Cryovial box 15: "&amp;($A194&amp;C$184),MASTER!$L:$L,0)),"mmddyy"),"")</f>
        <v/>
      </c>
      <c r="D194" s="4" t="str">
        <f>IFERROR(INDEX(MASTER!$A:$A,MATCH("Cryovial box 15: "&amp;($A194&amp;D$184),MASTER!$L:$L,0))&amp;"_ser_"&amp;TEXT(VALUE(SUBSTITUTE(SUBSTITUTE(TRIM(INDEX(MASTER!$M:$M,MATCH("Cryovial box 15: "&amp;($A194&amp;D$184),MASTER!$L:$L,0))),"ml",""),":",".")),"0.00")&amp;"_"&amp;TEXT(INDEX(MASTER!$E:$E,MATCH("Cryovial box 15: "&amp;($A194&amp;D$184),MASTER!$L:$L,0)),"mmddyy"),"")</f>
        <v/>
      </c>
      <c r="E194" s="4" t="str">
        <f>IFERROR(INDEX(MASTER!$A:$A,MATCH("Cryovial box 15: "&amp;($A194&amp;E$184),MASTER!$L:$L,0))&amp;"_ser_"&amp;TEXT(VALUE(SUBSTITUTE(SUBSTITUTE(TRIM(INDEX(MASTER!$M:$M,MATCH("Cryovial box 15: "&amp;($A194&amp;E$184),MASTER!$L:$L,0))),"ml",""),":",".")),"0.00")&amp;"_"&amp;TEXT(INDEX(MASTER!$E:$E,MATCH("Cryovial box 15: "&amp;($A194&amp;E$184),MASTER!$L:$L,0)),"mmddyy"),"")</f>
        <v/>
      </c>
      <c r="F194" s="4" t="str">
        <f>IFERROR(INDEX(MASTER!$A:$A,MATCH("Cryovial box 15: "&amp;($A194&amp;F$184),MASTER!$L:$L,0))&amp;"_ser_"&amp;TEXT(VALUE(SUBSTITUTE(SUBSTITUTE(TRIM(INDEX(MASTER!$M:$M,MATCH("Cryovial box 15: "&amp;($A194&amp;F$184),MASTER!$L:$L,0))),"ml",""),":",".")),"0.00")&amp;"_"&amp;TEXT(INDEX(MASTER!$E:$E,MATCH("Cryovial box 15: "&amp;($A194&amp;F$184),MASTER!$L:$L,0)),"mmddyy"),"")</f>
        <v/>
      </c>
      <c r="G194" s="4" t="str">
        <f>IFERROR(INDEX(MASTER!$A:$A,MATCH("Cryovial box 15: "&amp;($A194&amp;G$184),MASTER!$L:$L,0))&amp;"_ser_"&amp;TEXT(VALUE(SUBSTITUTE(SUBSTITUTE(TRIM(INDEX(MASTER!$M:$M,MATCH("Cryovial box 15: "&amp;($A194&amp;G$184),MASTER!$L:$L,0))),"ml",""),":",".")),"0.00")&amp;"_"&amp;TEXT(INDEX(MASTER!$E:$E,MATCH("Cryovial box 15: "&amp;($A194&amp;G$184),MASTER!$L:$L,0)),"mmddyy"),"")</f>
        <v/>
      </c>
      <c r="H194" s="4" t="str">
        <f>IFERROR(INDEX(MASTER!$A:$A,MATCH("Cryovial box 15: "&amp;($A194&amp;H$184),MASTER!$L:$L,0))&amp;"_ser_"&amp;TEXT(VALUE(SUBSTITUTE(SUBSTITUTE(TRIM(INDEX(MASTER!$M:$M,MATCH("Cryovial box 15: "&amp;($A194&amp;H$184),MASTER!$L:$L,0))),"ml",""),":",".")),"0.00")&amp;"_"&amp;TEXT(INDEX(MASTER!$E:$E,MATCH("Cryovial box 15: "&amp;($A194&amp;H$184),MASTER!$L:$L,0)),"mmddyy"),"")</f>
        <v/>
      </c>
      <c r="I194" s="4" t="str">
        <f>IFERROR(INDEX(MASTER!$A:$A,MATCH("Cryovial box 15: "&amp;($A194&amp;I$184),MASTER!$L:$L,0))&amp;"_ser_"&amp;TEXT(VALUE(SUBSTITUTE(SUBSTITUTE(TRIM(INDEX(MASTER!$M:$M,MATCH("Cryovial box 15: "&amp;($A194&amp;I$184),MASTER!$L:$L,0))),"ml",""),":",".")),"0.00")&amp;"_"&amp;TEXT(INDEX(MASTER!$E:$E,MATCH("Cryovial box 15: "&amp;($A194&amp;I$184),MASTER!$L:$L,0)),"mmddyy"),"")</f>
        <v/>
      </c>
      <c r="J194" s="4" t="str">
        <f>IFERROR(INDEX(MASTER!$A:$A,MATCH("Cryovial box 15: "&amp;($A194&amp;J$184),MASTER!$L:$L,0))&amp;"_ser_"&amp;TEXT(VALUE(SUBSTITUTE(SUBSTITUTE(TRIM(INDEX(MASTER!$M:$M,MATCH("Cryovial box 15: "&amp;($A194&amp;J$184),MASTER!$L:$L,0))),"ml",""),":",".")),"0.00")&amp;"_"&amp;TEXT(INDEX(MASTER!$E:$E,MATCH("Cryovial box 15: "&amp;($A194&amp;J$184),MASTER!$L:$L,0)),"mmddyy"),"")</f>
        <v/>
      </c>
      <c r="K194" s="4" t="str">
        <f>IFERROR(INDEX(MASTER!$A:$A,MATCH("Cryovial box 15: "&amp;($A194&amp;K$184),MASTER!$L:$L,0))&amp;"_ser_"&amp;TEXT(VALUE(SUBSTITUTE(SUBSTITUTE(TRIM(INDEX(MASTER!$M:$M,MATCH("Cryovial box 15: "&amp;($A194&amp;K$184),MASTER!$L:$L,0))),"ml",""),":",".")),"0.00")&amp;"_"&amp;TEXT(INDEX(MASTER!$E:$E,MATCH("Cryovial box 15: "&amp;($A194&amp;K$184),MASTER!$L:$L,0)),"mmddyy"),"")</f>
        <v/>
      </c>
    </row>
    <row r="195" spans="1:11" ht="1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1" ht="20.149999999999999" customHeight="1" x14ac:dyDescent="0.3">
      <c r="A196" s="5"/>
      <c r="B196" s="31" t="s">
        <v>116</v>
      </c>
      <c r="C196" s="36"/>
      <c r="D196" s="36"/>
      <c r="E196" s="36"/>
      <c r="F196" s="36"/>
      <c r="G196" s="36"/>
      <c r="H196" s="36"/>
      <c r="I196" s="36"/>
      <c r="J196" s="36"/>
      <c r="K196" s="37"/>
    </row>
    <row r="197" spans="1:11" ht="20.149999999999999" customHeight="1" x14ac:dyDescent="0.3">
      <c r="A197" s="5"/>
      <c r="B197" s="6">
        <v>1</v>
      </c>
      <c r="C197" s="6">
        <v>2</v>
      </c>
      <c r="D197" s="6">
        <v>3</v>
      </c>
      <c r="E197" s="6">
        <v>4</v>
      </c>
      <c r="F197" s="6">
        <v>5</v>
      </c>
      <c r="G197" s="6">
        <v>6</v>
      </c>
      <c r="H197" s="6">
        <v>7</v>
      </c>
      <c r="I197" s="6">
        <v>8</v>
      </c>
      <c r="J197" s="6">
        <v>9</v>
      </c>
      <c r="K197" s="6">
        <v>10</v>
      </c>
    </row>
    <row r="198" spans="1:11" ht="20.149999999999999" customHeight="1" x14ac:dyDescent="0.3">
      <c r="A198" s="6" t="s">
        <v>30</v>
      </c>
      <c r="B198" s="4" t="str">
        <f>IFERROR(INDEX(MASTER!$A:$A,MATCH("Cryovial box 16: "&amp;($A198&amp;B$197),MASTER!$L:$L,0))&amp;"_ser_"&amp;TEXT(VALUE(SUBSTITUTE(SUBSTITUTE(TRIM(INDEX(MASTER!$M:$M,MATCH("Cryovial box 16: "&amp;($A198&amp;B$197),MASTER!$L:$L,0))),"ml",""),":",".")),"0.00")&amp;"_"&amp;TEXT(INDEX(MASTER!$E:$E,MATCH("Cryovial box 16: "&amp;($A198&amp;B$197),MASTER!$L:$L,0)),"mmddyy"),"")</f>
        <v/>
      </c>
      <c r="C198" s="4" t="str">
        <f>IFERROR(INDEX(MASTER!$A:$A,MATCH("Cryovial box 16: "&amp;($A198&amp;C$197),MASTER!$L:$L,0))&amp;"_ser_"&amp;TEXT(VALUE(SUBSTITUTE(SUBSTITUTE(TRIM(INDEX(MASTER!$M:$M,MATCH("Cryovial box 16: "&amp;($A198&amp;C$197),MASTER!$L:$L,0))),"ml",""),":",".")),"0.00")&amp;"_"&amp;TEXT(INDEX(MASTER!$E:$E,MATCH("Cryovial box 16: "&amp;($A198&amp;C$197),MASTER!$L:$L,0)),"mmddyy"),"")</f>
        <v/>
      </c>
      <c r="D198" s="4" t="str">
        <f>IFERROR(INDEX(MASTER!$A:$A,MATCH("Cryovial box 16: "&amp;($A198&amp;D$197),MASTER!$L:$L,0))&amp;"_ser_"&amp;TEXT(VALUE(SUBSTITUTE(SUBSTITUTE(TRIM(INDEX(MASTER!$M:$M,MATCH("Cryovial box 16: "&amp;($A198&amp;D$197),MASTER!$L:$L,0))),"ml",""),":",".")),"0.00")&amp;"_"&amp;TEXT(INDEX(MASTER!$E:$E,MATCH("Cryovial box 16: "&amp;($A198&amp;D$197),MASTER!$L:$L,0)),"mmddyy"),"")</f>
        <v/>
      </c>
      <c r="E198" s="4" t="str">
        <f>IFERROR(INDEX(MASTER!$A:$A,MATCH("Cryovial box 16: "&amp;($A198&amp;E$197),MASTER!$L:$L,0))&amp;"_ser_"&amp;TEXT(VALUE(SUBSTITUTE(SUBSTITUTE(TRIM(INDEX(MASTER!$M:$M,MATCH("Cryovial box 16: "&amp;($A198&amp;E$197),MASTER!$L:$L,0))),"ml",""),":",".")),"0.00")&amp;"_"&amp;TEXT(INDEX(MASTER!$E:$E,MATCH("Cryovial box 16: "&amp;($A198&amp;E$197),MASTER!$L:$L,0)),"mmddyy"),"")</f>
        <v/>
      </c>
      <c r="F198" s="4" t="str">
        <f>IFERROR(INDEX(MASTER!$A:$A,MATCH("Cryovial box 16: "&amp;($A198&amp;F$197),MASTER!$L:$L,0))&amp;"_ser_"&amp;TEXT(VALUE(SUBSTITUTE(SUBSTITUTE(TRIM(INDEX(MASTER!$M:$M,MATCH("Cryovial box 16: "&amp;($A198&amp;F$197),MASTER!$L:$L,0))),"ml",""),":",".")),"0.00")&amp;"_"&amp;TEXT(INDEX(MASTER!$E:$E,MATCH("Cryovial box 16: "&amp;($A198&amp;F$197),MASTER!$L:$L,0)),"mmddyy"),"")</f>
        <v/>
      </c>
      <c r="G198" s="4" t="str">
        <f>IFERROR(INDEX(MASTER!$A:$A,MATCH("Cryovial box 16: "&amp;($A198&amp;G$197),MASTER!$L:$L,0))&amp;"_ser_"&amp;TEXT(VALUE(SUBSTITUTE(SUBSTITUTE(TRIM(INDEX(MASTER!$M:$M,MATCH("Cryovial box 16: "&amp;($A198&amp;G$197),MASTER!$L:$L,0))),"ml",""),":",".")),"0.00")&amp;"_"&amp;TEXT(INDEX(MASTER!$E:$E,MATCH("Cryovial box 16: "&amp;($A198&amp;G$197),MASTER!$L:$L,0)),"mmddyy"),"")</f>
        <v/>
      </c>
      <c r="H198" s="4" t="str">
        <f>IFERROR(INDEX(MASTER!$A:$A,MATCH("Cryovial box 16: "&amp;($A198&amp;H$197),MASTER!$L:$L,0))&amp;"_ser_"&amp;TEXT(VALUE(SUBSTITUTE(SUBSTITUTE(TRIM(INDEX(MASTER!$M:$M,MATCH("Cryovial box 16: "&amp;($A198&amp;H$197),MASTER!$L:$L,0))),"ml",""),":",".")),"0.00")&amp;"_"&amp;TEXT(INDEX(MASTER!$E:$E,MATCH("Cryovial box 16: "&amp;($A198&amp;H$197),MASTER!$L:$L,0)),"mmddyy"),"")</f>
        <v/>
      </c>
      <c r="I198" s="4" t="str">
        <f>IFERROR(INDEX(MASTER!$A:$A,MATCH("Cryovial box 16: "&amp;($A198&amp;I$197),MASTER!$L:$L,0))&amp;"_ser_"&amp;TEXT(VALUE(SUBSTITUTE(SUBSTITUTE(TRIM(INDEX(MASTER!$M:$M,MATCH("Cryovial box 16: "&amp;($A198&amp;I$197),MASTER!$L:$L,0))),"ml",""),":",".")),"0.00")&amp;"_"&amp;TEXT(INDEX(MASTER!$E:$E,MATCH("Cryovial box 16: "&amp;($A198&amp;I$197),MASTER!$L:$L,0)),"mmddyy"),"")</f>
        <v/>
      </c>
      <c r="J198" s="4" t="str">
        <f>IFERROR(INDEX(MASTER!$A:$A,MATCH("Cryovial box 16: "&amp;($A198&amp;J$197),MASTER!$L:$L,0))&amp;"_ser_"&amp;TEXT(VALUE(SUBSTITUTE(SUBSTITUTE(TRIM(INDEX(MASTER!$M:$M,MATCH("Cryovial box 16: "&amp;($A198&amp;J$197),MASTER!$L:$L,0))),"ml",""),":",".")),"0.00")&amp;"_"&amp;TEXT(INDEX(MASTER!$E:$E,MATCH("Cryovial box 16: "&amp;($A198&amp;J$197),MASTER!$L:$L,0)),"mmddyy"),"")</f>
        <v/>
      </c>
      <c r="K198" s="4" t="str">
        <f>IFERROR(INDEX(MASTER!$A:$A,MATCH("Cryovial box 16: "&amp;($A198&amp;K$197),MASTER!$L:$L,0))&amp;"_ser_"&amp;TEXT(VALUE(SUBSTITUTE(SUBSTITUTE(TRIM(INDEX(MASTER!$M:$M,MATCH("Cryovial box 16: "&amp;($A198&amp;K$197),MASTER!$L:$L,0))),"ml",""),":",".")),"0.00")&amp;"_"&amp;TEXT(INDEX(MASTER!$E:$E,MATCH("Cryovial box 16: "&amp;($A198&amp;K$197),MASTER!$L:$L,0)),"mmddyy"),"")</f>
        <v/>
      </c>
    </row>
    <row r="199" spans="1:11" ht="20.149999999999999" customHeight="1" x14ac:dyDescent="0.3">
      <c r="A199" s="6" t="s">
        <v>31</v>
      </c>
      <c r="B199" s="4" t="str">
        <f>IFERROR(INDEX(MASTER!$A:$A,MATCH("Cryovial box 16: "&amp;($A199&amp;B$197),MASTER!$L:$L,0))&amp;"_ser_"&amp;TEXT(VALUE(SUBSTITUTE(SUBSTITUTE(TRIM(INDEX(MASTER!$M:$M,MATCH("Cryovial box 16: "&amp;($A199&amp;B$197),MASTER!$L:$L,0))),"ml",""),":",".")),"0.00")&amp;"_"&amp;TEXT(INDEX(MASTER!$E:$E,MATCH("Cryovial box 16: "&amp;($A199&amp;B$197),MASTER!$L:$L,0)),"mmddyy"),"")</f>
        <v/>
      </c>
      <c r="C199" s="4" t="str">
        <f>IFERROR(INDEX(MASTER!$A:$A,MATCH("Cryovial box 16: "&amp;($A199&amp;C$197),MASTER!$L:$L,0))&amp;"_ser_"&amp;TEXT(VALUE(SUBSTITUTE(SUBSTITUTE(TRIM(INDEX(MASTER!$M:$M,MATCH("Cryovial box 16: "&amp;($A199&amp;C$197),MASTER!$L:$L,0))),"ml",""),":",".")),"0.00")&amp;"_"&amp;TEXT(INDEX(MASTER!$E:$E,MATCH("Cryovial box 16: "&amp;($A199&amp;C$197),MASTER!$L:$L,0)),"mmddyy"),"")</f>
        <v/>
      </c>
      <c r="D199" s="4" t="str">
        <f>IFERROR(INDEX(MASTER!$A:$A,MATCH("Cryovial box 16: "&amp;($A199&amp;D$197),MASTER!$L:$L,0))&amp;"_ser_"&amp;TEXT(VALUE(SUBSTITUTE(SUBSTITUTE(TRIM(INDEX(MASTER!$M:$M,MATCH("Cryovial box 16: "&amp;($A199&amp;D$197),MASTER!$L:$L,0))),"ml",""),":",".")),"0.00")&amp;"_"&amp;TEXT(INDEX(MASTER!$E:$E,MATCH("Cryovial box 16: "&amp;($A199&amp;D$197),MASTER!$L:$L,0)),"mmddyy"),"")</f>
        <v/>
      </c>
      <c r="E199" s="4" t="str">
        <f>IFERROR(INDEX(MASTER!$A:$A,MATCH("Cryovial box 16: "&amp;($A199&amp;E$197),MASTER!$L:$L,0))&amp;"_ser_"&amp;TEXT(VALUE(SUBSTITUTE(SUBSTITUTE(TRIM(INDEX(MASTER!$M:$M,MATCH("Cryovial box 16: "&amp;($A199&amp;E$197),MASTER!$L:$L,0))),"ml",""),":",".")),"0.00")&amp;"_"&amp;TEXT(INDEX(MASTER!$E:$E,MATCH("Cryovial box 16: "&amp;($A199&amp;E$197),MASTER!$L:$L,0)),"mmddyy"),"")</f>
        <v/>
      </c>
      <c r="F199" s="4" t="str">
        <f>IFERROR(INDEX(MASTER!$A:$A,MATCH("Cryovial box 16: "&amp;($A199&amp;F$197),MASTER!$L:$L,0))&amp;"_ser_"&amp;TEXT(VALUE(SUBSTITUTE(SUBSTITUTE(TRIM(INDEX(MASTER!$M:$M,MATCH("Cryovial box 16: "&amp;($A199&amp;F$197),MASTER!$L:$L,0))),"ml",""),":",".")),"0.00")&amp;"_"&amp;TEXT(INDEX(MASTER!$E:$E,MATCH("Cryovial box 16: "&amp;($A199&amp;F$197),MASTER!$L:$L,0)),"mmddyy"),"")</f>
        <v/>
      </c>
      <c r="G199" s="4" t="str">
        <f>IFERROR(INDEX(MASTER!$A:$A,MATCH("Cryovial box 16: "&amp;($A199&amp;G$197),MASTER!$L:$L,0))&amp;"_ser_"&amp;TEXT(VALUE(SUBSTITUTE(SUBSTITUTE(TRIM(INDEX(MASTER!$M:$M,MATCH("Cryovial box 16: "&amp;($A199&amp;G$197),MASTER!$L:$L,0))),"ml",""),":",".")),"0.00")&amp;"_"&amp;TEXT(INDEX(MASTER!$E:$E,MATCH("Cryovial box 16: "&amp;($A199&amp;G$197),MASTER!$L:$L,0)),"mmddyy"),"")</f>
        <v/>
      </c>
      <c r="H199" s="4" t="str">
        <f>IFERROR(INDEX(MASTER!$A:$A,MATCH("Cryovial box 16: "&amp;($A199&amp;H$197),MASTER!$L:$L,0))&amp;"_ser_"&amp;TEXT(VALUE(SUBSTITUTE(SUBSTITUTE(TRIM(INDEX(MASTER!$M:$M,MATCH("Cryovial box 16: "&amp;($A199&amp;H$197),MASTER!$L:$L,0))),"ml",""),":",".")),"0.00")&amp;"_"&amp;TEXT(INDEX(MASTER!$E:$E,MATCH("Cryovial box 16: "&amp;($A199&amp;H$197),MASTER!$L:$L,0)),"mmddyy"),"")</f>
        <v/>
      </c>
      <c r="I199" s="4" t="str">
        <f>IFERROR(INDEX(MASTER!$A:$A,MATCH("Cryovial box 16: "&amp;($A199&amp;I$197),MASTER!$L:$L,0))&amp;"_ser_"&amp;TEXT(VALUE(SUBSTITUTE(SUBSTITUTE(TRIM(INDEX(MASTER!$M:$M,MATCH("Cryovial box 16: "&amp;($A199&amp;I$197),MASTER!$L:$L,0))),"ml",""),":",".")),"0.00")&amp;"_"&amp;TEXT(INDEX(MASTER!$E:$E,MATCH("Cryovial box 16: "&amp;($A199&amp;I$197),MASTER!$L:$L,0)),"mmddyy"),"")</f>
        <v/>
      </c>
      <c r="J199" s="4" t="str">
        <f>IFERROR(INDEX(MASTER!$A:$A,MATCH("Cryovial box 16: "&amp;($A199&amp;J$197),MASTER!$L:$L,0))&amp;"_ser_"&amp;TEXT(VALUE(SUBSTITUTE(SUBSTITUTE(TRIM(INDEX(MASTER!$M:$M,MATCH("Cryovial box 16: "&amp;($A199&amp;J$197),MASTER!$L:$L,0))),"ml",""),":",".")),"0.00")&amp;"_"&amp;TEXT(INDEX(MASTER!$E:$E,MATCH("Cryovial box 16: "&amp;($A199&amp;J$197),MASTER!$L:$L,0)),"mmddyy"),"")</f>
        <v/>
      </c>
      <c r="K199" s="4" t="str">
        <f>IFERROR(INDEX(MASTER!$A:$A,MATCH("Cryovial box 16: "&amp;($A199&amp;K$197),MASTER!$L:$L,0))&amp;"_ser_"&amp;TEXT(VALUE(SUBSTITUTE(SUBSTITUTE(TRIM(INDEX(MASTER!$M:$M,MATCH("Cryovial box 16: "&amp;($A199&amp;K$197),MASTER!$L:$L,0))),"ml",""),":",".")),"0.00")&amp;"_"&amp;TEXT(INDEX(MASTER!$E:$E,MATCH("Cryovial box 16: "&amp;($A199&amp;K$197),MASTER!$L:$L,0)),"mmddyy"),"")</f>
        <v/>
      </c>
    </row>
    <row r="200" spans="1:11" ht="20.149999999999999" customHeight="1" x14ac:dyDescent="0.3">
      <c r="A200" s="6" t="s">
        <v>32</v>
      </c>
      <c r="B200" s="4" t="str">
        <f>IFERROR(INDEX(MASTER!$A:$A,MATCH("Cryovial box 16: "&amp;($A200&amp;B$197),MASTER!$L:$L,0))&amp;"_ser_"&amp;TEXT(VALUE(SUBSTITUTE(SUBSTITUTE(TRIM(INDEX(MASTER!$M:$M,MATCH("Cryovial box 16: "&amp;($A200&amp;B$197),MASTER!$L:$L,0))),"ml",""),":",".")),"0.00")&amp;"_"&amp;TEXT(INDEX(MASTER!$E:$E,MATCH("Cryovial box 16: "&amp;($A200&amp;B$197),MASTER!$L:$L,0)),"mmddyy"),"")</f>
        <v/>
      </c>
      <c r="C200" s="4" t="str">
        <f>IFERROR(INDEX(MASTER!$A:$A,MATCH("Cryovial box 16: "&amp;($A200&amp;C$197),MASTER!$L:$L,0))&amp;"_ser_"&amp;TEXT(VALUE(SUBSTITUTE(SUBSTITUTE(TRIM(INDEX(MASTER!$M:$M,MATCH("Cryovial box 16: "&amp;($A200&amp;C$197),MASTER!$L:$L,0))),"ml",""),":",".")),"0.00")&amp;"_"&amp;TEXT(INDEX(MASTER!$E:$E,MATCH("Cryovial box 16: "&amp;($A200&amp;C$197),MASTER!$L:$L,0)),"mmddyy"),"")</f>
        <v/>
      </c>
      <c r="D200" s="4" t="str">
        <f>IFERROR(INDEX(MASTER!$A:$A,MATCH("Cryovial box 16: "&amp;($A200&amp;D$197),MASTER!$L:$L,0))&amp;"_ser_"&amp;TEXT(VALUE(SUBSTITUTE(SUBSTITUTE(TRIM(INDEX(MASTER!$M:$M,MATCH("Cryovial box 16: "&amp;($A200&amp;D$197),MASTER!$L:$L,0))),"ml",""),":",".")),"0.00")&amp;"_"&amp;TEXT(INDEX(MASTER!$E:$E,MATCH("Cryovial box 16: "&amp;($A200&amp;D$197),MASTER!$L:$L,0)),"mmddyy"),"")</f>
        <v/>
      </c>
      <c r="E200" s="4" t="str">
        <f>IFERROR(INDEX(MASTER!$A:$A,MATCH("Cryovial box 16: "&amp;($A200&amp;E$197),MASTER!$L:$L,0))&amp;"_ser_"&amp;TEXT(VALUE(SUBSTITUTE(SUBSTITUTE(TRIM(INDEX(MASTER!$M:$M,MATCH("Cryovial box 16: "&amp;($A200&amp;E$197),MASTER!$L:$L,0))),"ml",""),":",".")),"0.00")&amp;"_"&amp;TEXT(INDEX(MASTER!$E:$E,MATCH("Cryovial box 16: "&amp;($A200&amp;E$197),MASTER!$L:$L,0)),"mmddyy"),"")</f>
        <v/>
      </c>
      <c r="F200" s="4" t="str">
        <f>IFERROR(INDEX(MASTER!$A:$A,MATCH("Cryovial box 16: "&amp;($A200&amp;F$197),MASTER!$L:$L,0))&amp;"_ser_"&amp;TEXT(VALUE(SUBSTITUTE(SUBSTITUTE(TRIM(INDEX(MASTER!$M:$M,MATCH("Cryovial box 16: "&amp;($A200&amp;F$197),MASTER!$L:$L,0))),"ml",""),":",".")),"0.00")&amp;"_"&amp;TEXT(INDEX(MASTER!$E:$E,MATCH("Cryovial box 16: "&amp;($A200&amp;F$197),MASTER!$L:$L,0)),"mmddyy"),"")</f>
        <v/>
      </c>
      <c r="G200" s="4" t="str">
        <f>IFERROR(INDEX(MASTER!$A:$A,MATCH("Cryovial box 16: "&amp;($A200&amp;G$197),MASTER!$L:$L,0))&amp;"_ser_"&amp;TEXT(VALUE(SUBSTITUTE(SUBSTITUTE(TRIM(INDEX(MASTER!$M:$M,MATCH("Cryovial box 16: "&amp;($A200&amp;G$197),MASTER!$L:$L,0))),"ml",""),":",".")),"0.00")&amp;"_"&amp;TEXT(INDEX(MASTER!$E:$E,MATCH("Cryovial box 16: "&amp;($A200&amp;G$197),MASTER!$L:$L,0)),"mmddyy"),"")</f>
        <v/>
      </c>
      <c r="H200" s="4" t="str">
        <f>IFERROR(INDEX(MASTER!$A:$A,MATCH("Cryovial box 16: "&amp;($A200&amp;H$197),MASTER!$L:$L,0))&amp;"_ser_"&amp;TEXT(VALUE(SUBSTITUTE(SUBSTITUTE(TRIM(INDEX(MASTER!$M:$M,MATCH("Cryovial box 16: "&amp;($A200&amp;H$197),MASTER!$L:$L,0))),"ml",""),":",".")),"0.00")&amp;"_"&amp;TEXT(INDEX(MASTER!$E:$E,MATCH("Cryovial box 16: "&amp;($A200&amp;H$197),MASTER!$L:$L,0)),"mmddyy"),"")</f>
        <v/>
      </c>
      <c r="I200" s="4" t="str">
        <f>IFERROR(INDEX(MASTER!$A:$A,MATCH("Cryovial box 16: "&amp;($A200&amp;I$197),MASTER!$L:$L,0))&amp;"_ser_"&amp;TEXT(VALUE(SUBSTITUTE(SUBSTITUTE(TRIM(INDEX(MASTER!$M:$M,MATCH("Cryovial box 16: "&amp;($A200&amp;I$197),MASTER!$L:$L,0))),"ml",""),":",".")),"0.00")&amp;"_"&amp;TEXT(INDEX(MASTER!$E:$E,MATCH("Cryovial box 16: "&amp;($A200&amp;I$197),MASTER!$L:$L,0)),"mmddyy"),"")</f>
        <v/>
      </c>
      <c r="J200" s="4" t="str">
        <f>IFERROR(INDEX(MASTER!$A:$A,MATCH("Cryovial box 16: "&amp;($A200&amp;J$197),MASTER!$L:$L,0))&amp;"_ser_"&amp;TEXT(VALUE(SUBSTITUTE(SUBSTITUTE(TRIM(INDEX(MASTER!$M:$M,MATCH("Cryovial box 16: "&amp;($A200&amp;J$197),MASTER!$L:$L,0))),"ml",""),":",".")),"0.00")&amp;"_"&amp;TEXT(INDEX(MASTER!$E:$E,MATCH("Cryovial box 16: "&amp;($A200&amp;J$197),MASTER!$L:$L,0)),"mmddyy"),"")</f>
        <v/>
      </c>
      <c r="K200" s="4" t="str">
        <f>IFERROR(INDEX(MASTER!$A:$A,MATCH("Cryovial box 16: "&amp;($A200&amp;K$197),MASTER!$L:$L,0))&amp;"_ser_"&amp;TEXT(VALUE(SUBSTITUTE(SUBSTITUTE(TRIM(INDEX(MASTER!$M:$M,MATCH("Cryovial box 16: "&amp;($A200&amp;K$197),MASTER!$L:$L,0))),"ml",""),":",".")),"0.00")&amp;"_"&amp;TEXT(INDEX(MASTER!$E:$E,MATCH("Cryovial box 16: "&amp;($A200&amp;K$197),MASTER!$L:$L,0)),"mmddyy"),"")</f>
        <v/>
      </c>
    </row>
    <row r="201" spans="1:11" ht="14.15" customHeight="1" x14ac:dyDescent="0.3">
      <c r="A201" s="6" t="s">
        <v>33</v>
      </c>
      <c r="B201" s="4" t="str">
        <f>IFERROR(INDEX(MASTER!$A:$A,MATCH("Cryovial box 16: "&amp;($A201&amp;B$197),MASTER!$L:$L,0))&amp;"_ser_"&amp;TEXT(VALUE(SUBSTITUTE(SUBSTITUTE(TRIM(INDEX(MASTER!$M:$M,MATCH("Cryovial box 16: "&amp;($A201&amp;B$197),MASTER!$L:$L,0))),"ml",""),":",".")),"0.00")&amp;"_"&amp;TEXT(INDEX(MASTER!$E:$E,MATCH("Cryovial box 16: "&amp;($A201&amp;B$197),MASTER!$L:$L,0)),"mmddyy"),"")</f>
        <v/>
      </c>
      <c r="C201" s="4" t="str">
        <f>IFERROR(INDEX(MASTER!$A:$A,MATCH("Cryovial box 16: "&amp;($A201&amp;C$197),MASTER!$L:$L,0))&amp;"_ser_"&amp;TEXT(VALUE(SUBSTITUTE(SUBSTITUTE(TRIM(INDEX(MASTER!$M:$M,MATCH("Cryovial box 16: "&amp;($A201&amp;C$197),MASTER!$L:$L,0))),"ml",""),":",".")),"0.00")&amp;"_"&amp;TEXT(INDEX(MASTER!$E:$E,MATCH("Cryovial box 16: "&amp;($A201&amp;C$197),MASTER!$L:$L,0)),"mmddyy"),"")</f>
        <v/>
      </c>
      <c r="D201" s="4" t="str">
        <f>IFERROR(INDEX(MASTER!$A:$A,MATCH("Cryovial box 16: "&amp;($A201&amp;D$197),MASTER!$L:$L,0))&amp;"_ser_"&amp;TEXT(VALUE(SUBSTITUTE(SUBSTITUTE(TRIM(INDEX(MASTER!$M:$M,MATCH("Cryovial box 16: "&amp;($A201&amp;D$197),MASTER!$L:$L,0))),"ml",""),":",".")),"0.00")&amp;"_"&amp;TEXT(INDEX(MASTER!$E:$E,MATCH("Cryovial box 16: "&amp;($A201&amp;D$197),MASTER!$L:$L,0)),"mmddyy"),"")</f>
        <v/>
      </c>
      <c r="E201" s="4" t="str">
        <f>IFERROR(INDEX(MASTER!$A:$A,MATCH("Cryovial box 16: "&amp;($A201&amp;E$197),MASTER!$L:$L,0))&amp;"_ser_"&amp;TEXT(VALUE(SUBSTITUTE(SUBSTITUTE(TRIM(INDEX(MASTER!$M:$M,MATCH("Cryovial box 16: "&amp;($A201&amp;E$197),MASTER!$L:$L,0))),"ml",""),":",".")),"0.00")&amp;"_"&amp;TEXT(INDEX(MASTER!$E:$E,MATCH("Cryovial box 16: "&amp;($A201&amp;E$197),MASTER!$L:$L,0)),"mmddyy"),"")</f>
        <v/>
      </c>
      <c r="F201" s="4" t="str">
        <f>IFERROR(INDEX(MASTER!$A:$A,MATCH("Cryovial box 16: "&amp;($A201&amp;F$197),MASTER!$L:$L,0))&amp;"_ser_"&amp;TEXT(VALUE(SUBSTITUTE(SUBSTITUTE(TRIM(INDEX(MASTER!$M:$M,MATCH("Cryovial box 16: "&amp;($A201&amp;F$197),MASTER!$L:$L,0))),"ml",""),":",".")),"0.00")&amp;"_"&amp;TEXT(INDEX(MASTER!$E:$E,MATCH("Cryovial box 16: "&amp;($A201&amp;F$197),MASTER!$L:$L,0)),"mmddyy"),"")</f>
        <v/>
      </c>
      <c r="G201" s="4" t="str">
        <f>IFERROR(INDEX(MASTER!$A:$A,MATCH("Cryovial box 16: "&amp;($A201&amp;G$197),MASTER!$L:$L,0))&amp;"_ser_"&amp;TEXT(VALUE(SUBSTITUTE(SUBSTITUTE(TRIM(INDEX(MASTER!$M:$M,MATCH("Cryovial box 16: "&amp;($A201&amp;G$197),MASTER!$L:$L,0))),"ml",""),":",".")),"0.00")&amp;"_"&amp;TEXT(INDEX(MASTER!$E:$E,MATCH("Cryovial box 16: "&amp;($A201&amp;G$197),MASTER!$L:$L,0)),"mmddyy"),"")</f>
        <v/>
      </c>
      <c r="H201" s="4" t="str">
        <f>IFERROR(INDEX(MASTER!$A:$A,MATCH("Cryovial box 16: "&amp;($A201&amp;H$197),MASTER!$L:$L,0))&amp;"_ser_"&amp;TEXT(VALUE(SUBSTITUTE(SUBSTITUTE(TRIM(INDEX(MASTER!$M:$M,MATCH("Cryovial box 16: "&amp;($A201&amp;H$197),MASTER!$L:$L,0))),"ml",""),":",".")),"0.00")&amp;"_"&amp;TEXT(INDEX(MASTER!$E:$E,MATCH("Cryovial box 16: "&amp;($A201&amp;H$197),MASTER!$L:$L,0)),"mmddyy"),"")</f>
        <v/>
      </c>
      <c r="I201" s="4" t="str">
        <f>IFERROR(INDEX(MASTER!$A:$A,MATCH("Cryovial box 16: "&amp;($A201&amp;I$197),MASTER!$L:$L,0))&amp;"_ser_"&amp;TEXT(VALUE(SUBSTITUTE(SUBSTITUTE(TRIM(INDEX(MASTER!$M:$M,MATCH("Cryovial box 16: "&amp;($A201&amp;I$197),MASTER!$L:$L,0))),"ml",""),":",".")),"0.00")&amp;"_"&amp;TEXT(INDEX(MASTER!$E:$E,MATCH("Cryovial box 16: "&amp;($A201&amp;I$197),MASTER!$L:$L,0)),"mmddyy"),"")</f>
        <v/>
      </c>
      <c r="J201" s="4" t="str">
        <f>IFERROR(INDEX(MASTER!$A:$A,MATCH("Cryovial box 16: "&amp;($A201&amp;J$197),MASTER!$L:$L,0))&amp;"_ser_"&amp;TEXT(VALUE(SUBSTITUTE(SUBSTITUTE(TRIM(INDEX(MASTER!$M:$M,MATCH("Cryovial box 16: "&amp;($A201&amp;J$197),MASTER!$L:$L,0))),"ml",""),":",".")),"0.00")&amp;"_"&amp;TEXT(INDEX(MASTER!$E:$E,MATCH("Cryovial box 16: "&amp;($A201&amp;J$197),MASTER!$L:$L,0)),"mmddyy"),"")</f>
        <v/>
      </c>
      <c r="K201" s="4" t="str">
        <f>IFERROR(INDEX(MASTER!$A:$A,MATCH("Cryovial box 16: "&amp;($A201&amp;K$197),MASTER!$L:$L,0))&amp;"_ser_"&amp;TEXT(VALUE(SUBSTITUTE(SUBSTITUTE(TRIM(INDEX(MASTER!$M:$M,MATCH("Cryovial box 16: "&amp;($A201&amp;K$197),MASTER!$L:$L,0))),"ml",""),":",".")),"0.00")&amp;"_"&amp;TEXT(INDEX(MASTER!$E:$E,MATCH("Cryovial box 16: "&amp;($A201&amp;K$197),MASTER!$L:$L,0)),"mmddyy"),"")</f>
        <v/>
      </c>
    </row>
    <row r="202" spans="1:11" ht="14.15" customHeight="1" x14ac:dyDescent="0.3">
      <c r="A202" s="6" t="s">
        <v>34</v>
      </c>
      <c r="B202" s="4" t="str">
        <f>IFERROR(INDEX(MASTER!$A:$A,MATCH("Cryovial box 16: "&amp;($A202&amp;B$197),MASTER!$L:$L,0))&amp;"_ser_"&amp;TEXT(VALUE(SUBSTITUTE(SUBSTITUTE(TRIM(INDEX(MASTER!$M:$M,MATCH("Cryovial box 16: "&amp;($A202&amp;B$197),MASTER!$L:$L,0))),"ml",""),":",".")),"0.00")&amp;"_"&amp;TEXT(INDEX(MASTER!$E:$E,MATCH("Cryovial box 16: "&amp;($A202&amp;B$197),MASTER!$L:$L,0)),"mmddyy"),"")</f>
        <v/>
      </c>
      <c r="C202" s="4" t="str">
        <f>IFERROR(INDEX(MASTER!$A:$A,MATCH("Cryovial box 16: "&amp;($A202&amp;C$197),MASTER!$L:$L,0))&amp;"_ser_"&amp;TEXT(VALUE(SUBSTITUTE(SUBSTITUTE(TRIM(INDEX(MASTER!$M:$M,MATCH("Cryovial box 16: "&amp;($A202&amp;C$197),MASTER!$L:$L,0))),"ml",""),":",".")),"0.00")&amp;"_"&amp;TEXT(INDEX(MASTER!$E:$E,MATCH("Cryovial box 16: "&amp;($A202&amp;C$197),MASTER!$L:$L,0)),"mmddyy"),"")</f>
        <v/>
      </c>
      <c r="D202" s="4" t="str">
        <f>IFERROR(INDEX(MASTER!$A:$A,MATCH("Cryovial box 16: "&amp;($A202&amp;D$197),MASTER!$L:$L,0))&amp;"_ser_"&amp;TEXT(VALUE(SUBSTITUTE(SUBSTITUTE(TRIM(INDEX(MASTER!$M:$M,MATCH("Cryovial box 16: "&amp;($A202&amp;D$197),MASTER!$L:$L,0))),"ml",""),":",".")),"0.00")&amp;"_"&amp;TEXT(INDEX(MASTER!$E:$E,MATCH("Cryovial box 16: "&amp;($A202&amp;D$197),MASTER!$L:$L,0)),"mmddyy"),"")</f>
        <v/>
      </c>
      <c r="E202" s="4" t="str">
        <f>IFERROR(INDEX(MASTER!$A:$A,MATCH("Cryovial box 16: "&amp;($A202&amp;E$197),MASTER!$L:$L,0))&amp;"_ser_"&amp;TEXT(VALUE(SUBSTITUTE(SUBSTITUTE(TRIM(INDEX(MASTER!$M:$M,MATCH("Cryovial box 16: "&amp;($A202&amp;E$197),MASTER!$L:$L,0))),"ml",""),":",".")),"0.00")&amp;"_"&amp;TEXT(INDEX(MASTER!$E:$E,MATCH("Cryovial box 16: "&amp;($A202&amp;E$197),MASTER!$L:$L,0)),"mmddyy"),"")</f>
        <v/>
      </c>
      <c r="F202" s="4" t="str">
        <f>IFERROR(INDEX(MASTER!$A:$A,MATCH("Cryovial box 16: "&amp;($A202&amp;F$197),MASTER!$L:$L,0))&amp;"_ser_"&amp;TEXT(VALUE(SUBSTITUTE(SUBSTITUTE(TRIM(INDEX(MASTER!$M:$M,MATCH("Cryovial box 16: "&amp;($A202&amp;F$197),MASTER!$L:$L,0))),"ml",""),":",".")),"0.00")&amp;"_"&amp;TEXT(INDEX(MASTER!$E:$E,MATCH("Cryovial box 16: "&amp;($A202&amp;F$197),MASTER!$L:$L,0)),"mmddyy"),"")</f>
        <v/>
      </c>
      <c r="G202" s="4" t="str">
        <f>IFERROR(INDEX(MASTER!$A:$A,MATCH("Cryovial box 16: "&amp;($A202&amp;G$197),MASTER!$L:$L,0))&amp;"_ser_"&amp;TEXT(VALUE(SUBSTITUTE(SUBSTITUTE(TRIM(INDEX(MASTER!$M:$M,MATCH("Cryovial box 16: "&amp;($A202&amp;G$197),MASTER!$L:$L,0))),"ml",""),":",".")),"0.00")&amp;"_"&amp;TEXT(INDEX(MASTER!$E:$E,MATCH("Cryovial box 16: "&amp;($A202&amp;G$197),MASTER!$L:$L,0)),"mmddyy"),"")</f>
        <v/>
      </c>
      <c r="H202" s="4" t="str">
        <f>IFERROR(INDEX(MASTER!$A:$A,MATCH("Cryovial box 16: "&amp;($A202&amp;H$197),MASTER!$L:$L,0))&amp;"_ser_"&amp;TEXT(VALUE(SUBSTITUTE(SUBSTITUTE(TRIM(INDEX(MASTER!$M:$M,MATCH("Cryovial box 16: "&amp;($A202&amp;H$197),MASTER!$L:$L,0))),"ml",""),":",".")),"0.00")&amp;"_"&amp;TEXT(INDEX(MASTER!$E:$E,MATCH("Cryovial box 16: "&amp;($A202&amp;H$197),MASTER!$L:$L,0)),"mmddyy"),"")</f>
        <v/>
      </c>
      <c r="I202" s="4" t="str">
        <f>IFERROR(INDEX(MASTER!$A:$A,MATCH("Cryovial box 16: "&amp;($A202&amp;I$197),MASTER!$L:$L,0))&amp;"_ser_"&amp;TEXT(VALUE(SUBSTITUTE(SUBSTITUTE(TRIM(INDEX(MASTER!$M:$M,MATCH("Cryovial box 16: "&amp;($A202&amp;I$197),MASTER!$L:$L,0))),"ml",""),":",".")),"0.00")&amp;"_"&amp;TEXT(INDEX(MASTER!$E:$E,MATCH("Cryovial box 16: "&amp;($A202&amp;I$197),MASTER!$L:$L,0)),"mmddyy"),"")</f>
        <v/>
      </c>
      <c r="J202" s="4" t="str">
        <f>IFERROR(INDEX(MASTER!$A:$A,MATCH("Cryovial box 16: "&amp;($A202&amp;J$197),MASTER!$L:$L,0))&amp;"_ser_"&amp;TEXT(VALUE(SUBSTITUTE(SUBSTITUTE(TRIM(INDEX(MASTER!$M:$M,MATCH("Cryovial box 16: "&amp;($A202&amp;J$197),MASTER!$L:$L,0))),"ml",""),":",".")),"0.00")&amp;"_"&amp;TEXT(INDEX(MASTER!$E:$E,MATCH("Cryovial box 16: "&amp;($A202&amp;J$197),MASTER!$L:$L,0)),"mmddyy"),"")</f>
        <v/>
      </c>
      <c r="K202" s="4" t="str">
        <f>IFERROR(INDEX(MASTER!$A:$A,MATCH("Cryovial box 16: "&amp;($A202&amp;K$197),MASTER!$L:$L,0))&amp;"_ser_"&amp;TEXT(VALUE(SUBSTITUTE(SUBSTITUTE(TRIM(INDEX(MASTER!$M:$M,MATCH("Cryovial box 16: "&amp;($A202&amp;K$197),MASTER!$L:$L,0))),"ml",""),":",".")),"0.00")&amp;"_"&amp;TEXT(INDEX(MASTER!$E:$E,MATCH("Cryovial box 16: "&amp;($A202&amp;K$197),MASTER!$L:$L,0)),"mmddyy"),"")</f>
        <v/>
      </c>
    </row>
    <row r="203" spans="1:11" ht="14.15" customHeight="1" x14ac:dyDescent="0.3">
      <c r="A203" s="6" t="s">
        <v>15</v>
      </c>
      <c r="B203" s="4" t="str">
        <f>IFERROR(INDEX(MASTER!$A:$A,MATCH("Cryovial box 16: "&amp;($A203&amp;B$197),MASTER!$L:$L,0))&amp;"_ser_"&amp;TEXT(VALUE(SUBSTITUTE(SUBSTITUTE(TRIM(INDEX(MASTER!$M:$M,MATCH("Cryovial box 16: "&amp;($A203&amp;B$197),MASTER!$L:$L,0))),"ml",""),":",".")),"0.00")&amp;"_"&amp;TEXT(INDEX(MASTER!$E:$E,MATCH("Cryovial box 16: "&amp;($A203&amp;B$197),MASTER!$L:$L,0)),"mmddyy"),"")</f>
        <v/>
      </c>
      <c r="C203" s="4" t="str">
        <f>IFERROR(INDEX(MASTER!$A:$A,MATCH("Cryovial box 16: "&amp;($A203&amp;C$197),MASTER!$L:$L,0))&amp;"_ser_"&amp;TEXT(VALUE(SUBSTITUTE(SUBSTITUTE(TRIM(INDEX(MASTER!$M:$M,MATCH("Cryovial box 16: "&amp;($A203&amp;C$197),MASTER!$L:$L,0))),"ml",""),":",".")),"0.00")&amp;"_"&amp;TEXT(INDEX(MASTER!$E:$E,MATCH("Cryovial box 16: "&amp;($A203&amp;C$197),MASTER!$L:$L,0)),"mmddyy"),"")</f>
        <v/>
      </c>
      <c r="D203" s="4" t="str">
        <f>IFERROR(INDEX(MASTER!$A:$A,MATCH("Cryovial box 16: "&amp;($A203&amp;D$197),MASTER!$L:$L,0))&amp;"_ser_"&amp;TEXT(VALUE(SUBSTITUTE(SUBSTITUTE(TRIM(INDEX(MASTER!$M:$M,MATCH("Cryovial box 16: "&amp;($A203&amp;D$197),MASTER!$L:$L,0))),"ml",""),":",".")),"0.00")&amp;"_"&amp;TEXT(INDEX(MASTER!$E:$E,MATCH("Cryovial box 16: "&amp;($A203&amp;D$197),MASTER!$L:$L,0)),"mmddyy"),"")</f>
        <v/>
      </c>
      <c r="E203" s="4" t="str">
        <f>IFERROR(INDEX(MASTER!$A:$A,MATCH("Cryovial box 16: "&amp;($A203&amp;E$197),MASTER!$L:$L,0))&amp;"_ser_"&amp;TEXT(VALUE(SUBSTITUTE(SUBSTITUTE(TRIM(INDEX(MASTER!$M:$M,MATCH("Cryovial box 16: "&amp;($A203&amp;E$197),MASTER!$L:$L,0))),"ml",""),":",".")),"0.00")&amp;"_"&amp;TEXT(INDEX(MASTER!$E:$E,MATCH("Cryovial box 16: "&amp;($A203&amp;E$197),MASTER!$L:$L,0)),"mmddyy"),"")</f>
        <v/>
      </c>
      <c r="F203" s="4" t="str">
        <f>IFERROR(INDEX(MASTER!$A:$A,MATCH("Cryovial box 16: "&amp;($A203&amp;F$197),MASTER!$L:$L,0))&amp;"_ser_"&amp;TEXT(VALUE(SUBSTITUTE(SUBSTITUTE(TRIM(INDEX(MASTER!$M:$M,MATCH("Cryovial box 16: "&amp;($A203&amp;F$197),MASTER!$L:$L,0))),"ml",""),":",".")),"0.00")&amp;"_"&amp;TEXT(INDEX(MASTER!$E:$E,MATCH("Cryovial box 16: "&amp;($A203&amp;F$197),MASTER!$L:$L,0)),"mmddyy"),"")</f>
        <v/>
      </c>
      <c r="G203" s="4" t="str">
        <f>IFERROR(INDEX(MASTER!$A:$A,MATCH("Cryovial box 16: "&amp;($A203&amp;G$197),MASTER!$L:$L,0))&amp;"_ser_"&amp;TEXT(VALUE(SUBSTITUTE(SUBSTITUTE(TRIM(INDEX(MASTER!$M:$M,MATCH("Cryovial box 16: "&amp;($A203&amp;G$197),MASTER!$L:$L,0))),"ml",""),":",".")),"0.00")&amp;"_"&amp;TEXT(INDEX(MASTER!$E:$E,MATCH("Cryovial box 16: "&amp;($A203&amp;G$197),MASTER!$L:$L,0)),"mmddyy"),"")</f>
        <v/>
      </c>
      <c r="H203" s="4" t="str">
        <f>IFERROR(INDEX(MASTER!$A:$A,MATCH("Cryovial box 16: "&amp;($A203&amp;H$197),MASTER!$L:$L,0))&amp;"_ser_"&amp;TEXT(VALUE(SUBSTITUTE(SUBSTITUTE(TRIM(INDEX(MASTER!$M:$M,MATCH("Cryovial box 16: "&amp;($A203&amp;H$197),MASTER!$L:$L,0))),"ml",""),":",".")),"0.00")&amp;"_"&amp;TEXT(INDEX(MASTER!$E:$E,MATCH("Cryovial box 16: "&amp;($A203&amp;H$197),MASTER!$L:$L,0)),"mmddyy"),"")</f>
        <v/>
      </c>
      <c r="I203" s="4" t="str">
        <f>IFERROR(INDEX(MASTER!$A:$A,MATCH("Cryovial box 16: "&amp;($A203&amp;I$197),MASTER!$L:$L,0))&amp;"_ser_"&amp;TEXT(VALUE(SUBSTITUTE(SUBSTITUTE(TRIM(INDEX(MASTER!$M:$M,MATCH("Cryovial box 16: "&amp;($A203&amp;I$197),MASTER!$L:$L,0))),"ml",""),":",".")),"0.00")&amp;"_"&amp;TEXT(INDEX(MASTER!$E:$E,MATCH("Cryovial box 16: "&amp;($A203&amp;I$197),MASTER!$L:$L,0)),"mmddyy"),"")</f>
        <v/>
      </c>
      <c r="J203" s="4" t="str">
        <f>IFERROR(INDEX(MASTER!$A:$A,MATCH("Cryovial box 16: "&amp;($A203&amp;J$197),MASTER!$L:$L,0))&amp;"_ser_"&amp;TEXT(VALUE(SUBSTITUTE(SUBSTITUTE(TRIM(INDEX(MASTER!$M:$M,MATCH("Cryovial box 16: "&amp;($A203&amp;J$197),MASTER!$L:$L,0))),"ml",""),":",".")),"0.00")&amp;"_"&amp;TEXT(INDEX(MASTER!$E:$E,MATCH("Cryovial box 16: "&amp;($A203&amp;J$197),MASTER!$L:$L,0)),"mmddyy"),"")</f>
        <v/>
      </c>
      <c r="K203" s="4" t="str">
        <f>IFERROR(INDEX(MASTER!$A:$A,MATCH("Cryovial box 16: "&amp;($A203&amp;K$197),MASTER!$L:$L,0))&amp;"_ser_"&amp;TEXT(VALUE(SUBSTITUTE(SUBSTITUTE(TRIM(INDEX(MASTER!$M:$M,MATCH("Cryovial box 16: "&amp;($A203&amp;K$197),MASTER!$L:$L,0))),"ml",""),":",".")),"0.00")&amp;"_"&amp;TEXT(INDEX(MASTER!$E:$E,MATCH("Cryovial box 16: "&amp;($A203&amp;K$197),MASTER!$L:$L,0)),"mmddyy"),"")</f>
        <v/>
      </c>
    </row>
    <row r="204" spans="1:11" ht="15" customHeight="1" x14ac:dyDescent="0.3">
      <c r="A204" s="6" t="s">
        <v>35</v>
      </c>
      <c r="B204" s="4" t="str">
        <f>IFERROR(INDEX(MASTER!$A:$A,MATCH("Cryovial box 16: "&amp;($A204&amp;B$197),MASTER!$L:$L,0))&amp;"_ser_"&amp;TEXT(VALUE(SUBSTITUTE(SUBSTITUTE(TRIM(INDEX(MASTER!$M:$M,MATCH("Cryovial box 16: "&amp;($A204&amp;B$197),MASTER!$L:$L,0))),"ml",""),":",".")),"0.00")&amp;"_"&amp;TEXT(INDEX(MASTER!$E:$E,MATCH("Cryovial box 16: "&amp;($A204&amp;B$197),MASTER!$L:$L,0)),"mmddyy"),"")</f>
        <v/>
      </c>
      <c r="C204" s="4" t="str">
        <f>IFERROR(INDEX(MASTER!$A:$A,MATCH("Cryovial box 16: "&amp;($A204&amp;C$197),MASTER!$L:$L,0))&amp;"_ser_"&amp;TEXT(VALUE(SUBSTITUTE(SUBSTITUTE(TRIM(INDEX(MASTER!$M:$M,MATCH("Cryovial box 16: "&amp;($A204&amp;C$197),MASTER!$L:$L,0))),"ml",""),":",".")),"0.00")&amp;"_"&amp;TEXT(INDEX(MASTER!$E:$E,MATCH("Cryovial box 16: "&amp;($A204&amp;C$197),MASTER!$L:$L,0)),"mmddyy"),"")</f>
        <v/>
      </c>
      <c r="D204" s="4" t="str">
        <f>IFERROR(INDEX(MASTER!$A:$A,MATCH("Cryovial box 16: "&amp;($A204&amp;D$197),MASTER!$L:$L,0))&amp;"_ser_"&amp;TEXT(VALUE(SUBSTITUTE(SUBSTITUTE(TRIM(INDEX(MASTER!$M:$M,MATCH("Cryovial box 16: "&amp;($A204&amp;D$197),MASTER!$L:$L,0))),"ml",""),":",".")),"0.00")&amp;"_"&amp;TEXT(INDEX(MASTER!$E:$E,MATCH("Cryovial box 16: "&amp;($A204&amp;D$197),MASTER!$L:$L,0)),"mmddyy"),"")</f>
        <v/>
      </c>
      <c r="E204" s="4" t="str">
        <f>IFERROR(INDEX(MASTER!$A:$A,MATCH("Cryovial box 16: "&amp;($A204&amp;E$197),MASTER!$L:$L,0))&amp;"_ser_"&amp;TEXT(VALUE(SUBSTITUTE(SUBSTITUTE(TRIM(INDEX(MASTER!$M:$M,MATCH("Cryovial box 16: "&amp;($A204&amp;E$197),MASTER!$L:$L,0))),"ml",""),":",".")),"0.00")&amp;"_"&amp;TEXT(INDEX(MASTER!$E:$E,MATCH("Cryovial box 16: "&amp;($A204&amp;E$197),MASTER!$L:$L,0)),"mmddyy"),"")</f>
        <v/>
      </c>
      <c r="F204" s="4" t="str">
        <f>IFERROR(INDEX(MASTER!$A:$A,MATCH("Cryovial box 16: "&amp;($A204&amp;F$197),MASTER!$L:$L,0))&amp;"_ser_"&amp;TEXT(VALUE(SUBSTITUTE(SUBSTITUTE(TRIM(INDEX(MASTER!$M:$M,MATCH("Cryovial box 16: "&amp;($A204&amp;F$197),MASTER!$L:$L,0))),"ml",""),":",".")),"0.00")&amp;"_"&amp;TEXT(INDEX(MASTER!$E:$E,MATCH("Cryovial box 16: "&amp;($A204&amp;F$197),MASTER!$L:$L,0)),"mmddyy"),"")</f>
        <v/>
      </c>
      <c r="G204" s="4" t="str">
        <f>IFERROR(INDEX(MASTER!$A:$A,MATCH("Cryovial box 16: "&amp;($A204&amp;G$197),MASTER!$L:$L,0))&amp;"_ser_"&amp;TEXT(VALUE(SUBSTITUTE(SUBSTITUTE(TRIM(INDEX(MASTER!$M:$M,MATCH("Cryovial box 16: "&amp;($A204&amp;G$197),MASTER!$L:$L,0))),"ml",""),":",".")),"0.00")&amp;"_"&amp;TEXT(INDEX(MASTER!$E:$E,MATCH("Cryovial box 16: "&amp;($A204&amp;G$197),MASTER!$L:$L,0)),"mmddyy"),"")</f>
        <v/>
      </c>
      <c r="H204" s="4" t="str">
        <f>IFERROR(INDEX(MASTER!$A:$A,MATCH("Cryovial box 16: "&amp;($A204&amp;H$197),MASTER!$L:$L,0))&amp;"_ser_"&amp;TEXT(VALUE(SUBSTITUTE(SUBSTITUTE(TRIM(INDEX(MASTER!$M:$M,MATCH("Cryovial box 16: "&amp;($A204&amp;H$197),MASTER!$L:$L,0))),"ml",""),":",".")),"0.00")&amp;"_"&amp;TEXT(INDEX(MASTER!$E:$E,MATCH("Cryovial box 16: "&amp;($A204&amp;H$197),MASTER!$L:$L,0)),"mmddyy"),"")</f>
        <v/>
      </c>
      <c r="I204" s="4" t="str">
        <f>IFERROR(INDEX(MASTER!$A:$A,MATCH("Cryovial box 16: "&amp;($A204&amp;I$197),MASTER!$L:$L,0))&amp;"_ser_"&amp;TEXT(VALUE(SUBSTITUTE(SUBSTITUTE(TRIM(INDEX(MASTER!$M:$M,MATCH("Cryovial box 16: "&amp;($A204&amp;I$197),MASTER!$L:$L,0))),"ml",""),":",".")),"0.00")&amp;"_"&amp;TEXT(INDEX(MASTER!$E:$E,MATCH("Cryovial box 16: "&amp;($A204&amp;I$197),MASTER!$L:$L,0)),"mmddyy"),"")</f>
        <v/>
      </c>
      <c r="J204" s="4" t="str">
        <f>IFERROR(INDEX(MASTER!$A:$A,MATCH("Cryovial box 16: "&amp;($A204&amp;J$197),MASTER!$L:$L,0))&amp;"_ser_"&amp;TEXT(VALUE(SUBSTITUTE(SUBSTITUTE(TRIM(INDEX(MASTER!$M:$M,MATCH("Cryovial box 16: "&amp;($A204&amp;J$197),MASTER!$L:$L,0))),"ml",""),":",".")),"0.00")&amp;"_"&amp;TEXT(INDEX(MASTER!$E:$E,MATCH("Cryovial box 16: "&amp;($A204&amp;J$197),MASTER!$L:$L,0)),"mmddyy"),"")</f>
        <v/>
      </c>
      <c r="K204" s="4" t="str">
        <f>IFERROR(INDEX(MASTER!$A:$A,MATCH("Cryovial box 16: "&amp;($A204&amp;K$197),MASTER!$L:$L,0))&amp;"_ser_"&amp;TEXT(VALUE(SUBSTITUTE(SUBSTITUTE(TRIM(INDEX(MASTER!$M:$M,MATCH("Cryovial box 16: "&amp;($A204&amp;K$197),MASTER!$L:$L,0))),"ml",""),":",".")),"0.00")&amp;"_"&amp;TEXT(INDEX(MASTER!$E:$E,MATCH("Cryovial box 16: "&amp;($A204&amp;K$197),MASTER!$L:$L,0)),"mmddyy"),"")</f>
        <v/>
      </c>
    </row>
    <row r="205" spans="1:11" ht="15" customHeight="1" x14ac:dyDescent="0.3">
      <c r="A205" s="6" t="s">
        <v>36</v>
      </c>
      <c r="B205" s="4" t="str">
        <f>IFERROR(INDEX(MASTER!$A:$A,MATCH("Cryovial box 16: "&amp;($A205&amp;B$197),MASTER!$L:$L,0))&amp;"_ser_"&amp;TEXT(VALUE(SUBSTITUTE(SUBSTITUTE(TRIM(INDEX(MASTER!$M:$M,MATCH("Cryovial box 16: "&amp;($A205&amp;B$197),MASTER!$L:$L,0))),"ml",""),":",".")),"0.00")&amp;"_"&amp;TEXT(INDEX(MASTER!$E:$E,MATCH("Cryovial box 16: "&amp;($A205&amp;B$197),MASTER!$L:$L,0)),"mmddyy"),"")</f>
        <v/>
      </c>
      <c r="C205" s="4" t="str">
        <f>IFERROR(INDEX(MASTER!$A:$A,MATCH("Cryovial box 16: "&amp;($A205&amp;C$197),MASTER!$L:$L,0))&amp;"_ser_"&amp;TEXT(VALUE(SUBSTITUTE(SUBSTITUTE(TRIM(INDEX(MASTER!$M:$M,MATCH("Cryovial box 16: "&amp;($A205&amp;C$197),MASTER!$L:$L,0))),"ml",""),":",".")),"0.00")&amp;"_"&amp;TEXT(INDEX(MASTER!$E:$E,MATCH("Cryovial box 16: "&amp;($A205&amp;C$197),MASTER!$L:$L,0)),"mmddyy"),"")</f>
        <v/>
      </c>
      <c r="D205" s="4" t="str">
        <f>IFERROR(INDEX(MASTER!$A:$A,MATCH("Cryovial box 16: "&amp;($A205&amp;D$197),MASTER!$L:$L,0))&amp;"_ser_"&amp;TEXT(VALUE(SUBSTITUTE(SUBSTITUTE(TRIM(INDEX(MASTER!$M:$M,MATCH("Cryovial box 16: "&amp;($A205&amp;D$197),MASTER!$L:$L,0))),"ml",""),":",".")),"0.00")&amp;"_"&amp;TEXT(INDEX(MASTER!$E:$E,MATCH("Cryovial box 16: "&amp;($A205&amp;D$197),MASTER!$L:$L,0)),"mmddyy"),"")</f>
        <v/>
      </c>
      <c r="E205" s="4" t="str">
        <f>IFERROR(INDEX(MASTER!$A:$A,MATCH("Cryovial box 16: "&amp;($A205&amp;E$197),MASTER!$L:$L,0))&amp;"_ser_"&amp;TEXT(VALUE(SUBSTITUTE(SUBSTITUTE(TRIM(INDEX(MASTER!$M:$M,MATCH("Cryovial box 16: "&amp;($A205&amp;E$197),MASTER!$L:$L,0))),"ml",""),":",".")),"0.00")&amp;"_"&amp;TEXT(INDEX(MASTER!$E:$E,MATCH("Cryovial box 16: "&amp;($A205&amp;E$197),MASTER!$L:$L,0)),"mmddyy"),"")</f>
        <v/>
      </c>
      <c r="F205" s="4" t="str">
        <f>IFERROR(INDEX(MASTER!$A:$A,MATCH("Cryovial box 16: "&amp;($A205&amp;F$197),MASTER!$L:$L,0))&amp;"_ser_"&amp;TEXT(VALUE(SUBSTITUTE(SUBSTITUTE(TRIM(INDEX(MASTER!$M:$M,MATCH("Cryovial box 16: "&amp;($A205&amp;F$197),MASTER!$L:$L,0))),"ml",""),":",".")),"0.00")&amp;"_"&amp;TEXT(INDEX(MASTER!$E:$E,MATCH("Cryovial box 16: "&amp;($A205&amp;F$197),MASTER!$L:$L,0)),"mmddyy"),"")</f>
        <v/>
      </c>
      <c r="G205" s="4" t="str">
        <f>IFERROR(INDEX(MASTER!$A:$A,MATCH("Cryovial box 16: "&amp;($A205&amp;G$197),MASTER!$L:$L,0))&amp;"_ser_"&amp;TEXT(VALUE(SUBSTITUTE(SUBSTITUTE(TRIM(INDEX(MASTER!$M:$M,MATCH("Cryovial box 16: "&amp;($A205&amp;G$197),MASTER!$L:$L,0))),"ml",""),":",".")),"0.00")&amp;"_"&amp;TEXT(INDEX(MASTER!$E:$E,MATCH("Cryovial box 16: "&amp;($A205&amp;G$197),MASTER!$L:$L,0)),"mmddyy"),"")</f>
        <v/>
      </c>
      <c r="H205" s="4" t="str">
        <f>IFERROR(INDEX(MASTER!$A:$A,MATCH("Cryovial box 16: "&amp;($A205&amp;H$197),MASTER!$L:$L,0))&amp;"_ser_"&amp;TEXT(VALUE(SUBSTITUTE(SUBSTITUTE(TRIM(INDEX(MASTER!$M:$M,MATCH("Cryovial box 16: "&amp;($A205&amp;H$197),MASTER!$L:$L,0))),"ml",""),":",".")),"0.00")&amp;"_"&amp;TEXT(INDEX(MASTER!$E:$E,MATCH("Cryovial box 16: "&amp;($A205&amp;H$197),MASTER!$L:$L,0)),"mmddyy"),"")</f>
        <v/>
      </c>
      <c r="I205" s="4" t="str">
        <f>IFERROR(INDEX(MASTER!$A:$A,MATCH("Cryovial box 16: "&amp;($A205&amp;I$197),MASTER!$L:$L,0))&amp;"_ser_"&amp;TEXT(VALUE(SUBSTITUTE(SUBSTITUTE(TRIM(INDEX(MASTER!$M:$M,MATCH("Cryovial box 16: "&amp;($A205&amp;I$197),MASTER!$L:$L,0))),"ml",""),":",".")),"0.00")&amp;"_"&amp;TEXT(INDEX(MASTER!$E:$E,MATCH("Cryovial box 16: "&amp;($A205&amp;I$197),MASTER!$L:$L,0)),"mmddyy"),"")</f>
        <v/>
      </c>
      <c r="J205" s="4" t="str">
        <f>IFERROR(INDEX(MASTER!$A:$A,MATCH("Cryovial box 16: "&amp;($A205&amp;J$197),MASTER!$L:$L,0))&amp;"_ser_"&amp;TEXT(VALUE(SUBSTITUTE(SUBSTITUTE(TRIM(INDEX(MASTER!$M:$M,MATCH("Cryovial box 16: "&amp;($A205&amp;J$197),MASTER!$L:$L,0))),"ml",""),":",".")),"0.00")&amp;"_"&amp;TEXT(INDEX(MASTER!$E:$E,MATCH("Cryovial box 16: "&amp;($A205&amp;J$197),MASTER!$L:$L,0)),"mmddyy"),"")</f>
        <v/>
      </c>
      <c r="K205" s="4" t="str">
        <f>IFERROR(INDEX(MASTER!$A:$A,MATCH("Cryovial box 16: "&amp;($A205&amp;K$197),MASTER!$L:$L,0))&amp;"_ser_"&amp;TEXT(VALUE(SUBSTITUTE(SUBSTITUTE(TRIM(INDEX(MASTER!$M:$M,MATCH("Cryovial box 16: "&amp;($A205&amp;K$197),MASTER!$L:$L,0))),"ml",""),":",".")),"0.00")&amp;"_"&amp;TEXT(INDEX(MASTER!$E:$E,MATCH("Cryovial box 16: "&amp;($A205&amp;K$197),MASTER!$L:$L,0)),"mmddyy"),"")</f>
        <v/>
      </c>
    </row>
    <row r="206" spans="1:11" ht="15" customHeight="1" x14ac:dyDescent="0.3">
      <c r="A206" s="6" t="s">
        <v>100</v>
      </c>
      <c r="B206" s="4" t="str">
        <f>IFERROR(INDEX(MASTER!$A:$A,MATCH("Cryovial box 16: "&amp;($A206&amp;B$197),MASTER!$L:$L,0))&amp;"_ser_"&amp;TEXT(VALUE(SUBSTITUTE(SUBSTITUTE(TRIM(INDEX(MASTER!$M:$M,MATCH("Cryovial box 16: "&amp;($A206&amp;B$197),MASTER!$L:$L,0))),"ml",""),":",".")),"0.00")&amp;"_"&amp;TEXT(INDEX(MASTER!$E:$E,MATCH("Cryovial box 16: "&amp;($A206&amp;B$197),MASTER!$L:$L,0)),"mmddyy"),"")</f>
        <v/>
      </c>
      <c r="C206" s="4" t="str">
        <f>IFERROR(INDEX(MASTER!$A:$A,MATCH("Cryovial box 16: "&amp;($A206&amp;C$197),MASTER!$L:$L,0))&amp;"_ser_"&amp;TEXT(VALUE(SUBSTITUTE(SUBSTITUTE(TRIM(INDEX(MASTER!$M:$M,MATCH("Cryovial box 16: "&amp;($A206&amp;C$197),MASTER!$L:$L,0))),"ml",""),":",".")),"0.00")&amp;"_"&amp;TEXT(INDEX(MASTER!$E:$E,MATCH("Cryovial box 16: "&amp;($A206&amp;C$197),MASTER!$L:$L,0)),"mmddyy"),"")</f>
        <v/>
      </c>
      <c r="D206" s="4" t="str">
        <f>IFERROR(INDEX(MASTER!$A:$A,MATCH("Cryovial box 16: "&amp;($A206&amp;D$197),MASTER!$L:$L,0))&amp;"_ser_"&amp;TEXT(VALUE(SUBSTITUTE(SUBSTITUTE(TRIM(INDEX(MASTER!$M:$M,MATCH("Cryovial box 16: "&amp;($A206&amp;D$197),MASTER!$L:$L,0))),"ml",""),":",".")),"0.00")&amp;"_"&amp;TEXT(INDEX(MASTER!$E:$E,MATCH("Cryovial box 16: "&amp;($A206&amp;D$197),MASTER!$L:$L,0)),"mmddyy"),"")</f>
        <v/>
      </c>
      <c r="E206" s="4" t="str">
        <f>IFERROR(INDEX(MASTER!$A:$A,MATCH("Cryovial box 16: "&amp;($A206&amp;E$197),MASTER!$L:$L,0))&amp;"_ser_"&amp;TEXT(VALUE(SUBSTITUTE(SUBSTITUTE(TRIM(INDEX(MASTER!$M:$M,MATCH("Cryovial box 16: "&amp;($A206&amp;E$197),MASTER!$L:$L,0))),"ml",""),":",".")),"0.00")&amp;"_"&amp;TEXT(INDEX(MASTER!$E:$E,MATCH("Cryovial box 16: "&amp;($A206&amp;E$197),MASTER!$L:$L,0)),"mmddyy"),"")</f>
        <v/>
      </c>
      <c r="F206" s="4" t="str">
        <f>IFERROR(INDEX(MASTER!$A:$A,MATCH("Cryovial box 16: "&amp;($A206&amp;F$197),MASTER!$L:$L,0))&amp;"_ser_"&amp;TEXT(VALUE(SUBSTITUTE(SUBSTITUTE(TRIM(INDEX(MASTER!$M:$M,MATCH("Cryovial box 16: "&amp;($A206&amp;F$197),MASTER!$L:$L,0))),"ml",""),":",".")),"0.00")&amp;"_"&amp;TEXT(INDEX(MASTER!$E:$E,MATCH("Cryovial box 16: "&amp;($A206&amp;F$197),MASTER!$L:$L,0)),"mmddyy"),"")</f>
        <v/>
      </c>
      <c r="G206" s="4" t="str">
        <f>IFERROR(INDEX(MASTER!$A:$A,MATCH("Cryovial box 16: "&amp;($A206&amp;G$197),MASTER!$L:$L,0))&amp;"_ser_"&amp;TEXT(VALUE(SUBSTITUTE(SUBSTITUTE(TRIM(INDEX(MASTER!$M:$M,MATCH("Cryovial box 16: "&amp;($A206&amp;G$197),MASTER!$L:$L,0))),"ml",""),":",".")),"0.00")&amp;"_"&amp;TEXT(INDEX(MASTER!$E:$E,MATCH("Cryovial box 16: "&amp;($A206&amp;G$197),MASTER!$L:$L,0)),"mmddyy"),"")</f>
        <v/>
      </c>
      <c r="H206" s="4" t="str">
        <f>IFERROR(INDEX(MASTER!$A:$A,MATCH("Cryovial box 16: "&amp;($A206&amp;H$197),MASTER!$L:$L,0))&amp;"_ser_"&amp;TEXT(VALUE(SUBSTITUTE(SUBSTITUTE(TRIM(INDEX(MASTER!$M:$M,MATCH("Cryovial box 16: "&amp;($A206&amp;H$197),MASTER!$L:$L,0))),"ml",""),":",".")),"0.00")&amp;"_"&amp;TEXT(INDEX(MASTER!$E:$E,MATCH("Cryovial box 16: "&amp;($A206&amp;H$197),MASTER!$L:$L,0)),"mmddyy"),"")</f>
        <v/>
      </c>
      <c r="I206" s="4" t="str">
        <f>IFERROR(INDEX(MASTER!$A:$A,MATCH("Cryovial box 16: "&amp;($A206&amp;I$197),MASTER!$L:$L,0))&amp;"_ser_"&amp;TEXT(VALUE(SUBSTITUTE(SUBSTITUTE(TRIM(INDEX(MASTER!$M:$M,MATCH("Cryovial box 16: "&amp;($A206&amp;I$197),MASTER!$L:$L,0))),"ml",""),":",".")),"0.00")&amp;"_"&amp;TEXT(INDEX(MASTER!$E:$E,MATCH("Cryovial box 16: "&amp;($A206&amp;I$197),MASTER!$L:$L,0)),"mmddyy"),"")</f>
        <v/>
      </c>
      <c r="J206" s="4" t="str">
        <f>IFERROR(INDEX(MASTER!$A:$A,MATCH("Cryovial box 16: "&amp;($A206&amp;J$197),MASTER!$L:$L,0))&amp;"_ser_"&amp;TEXT(VALUE(SUBSTITUTE(SUBSTITUTE(TRIM(INDEX(MASTER!$M:$M,MATCH("Cryovial box 16: "&amp;($A206&amp;J$197),MASTER!$L:$L,0))),"ml",""),":",".")),"0.00")&amp;"_"&amp;TEXT(INDEX(MASTER!$E:$E,MATCH("Cryovial box 16: "&amp;($A206&amp;J$197),MASTER!$L:$L,0)),"mmddyy"),"")</f>
        <v/>
      </c>
      <c r="K206" s="4" t="str">
        <f>IFERROR(INDEX(MASTER!$A:$A,MATCH("Cryovial box 16: "&amp;($A206&amp;K$197),MASTER!$L:$L,0))&amp;"_ser_"&amp;TEXT(VALUE(SUBSTITUTE(SUBSTITUTE(TRIM(INDEX(MASTER!$M:$M,MATCH("Cryovial box 16: "&amp;($A206&amp;K$197),MASTER!$L:$L,0))),"ml",""),":",".")),"0.00")&amp;"_"&amp;TEXT(INDEX(MASTER!$E:$E,MATCH("Cryovial box 16: "&amp;($A206&amp;K$197),MASTER!$L:$L,0)),"mmddyy"),"")</f>
        <v/>
      </c>
    </row>
    <row r="207" spans="1:11" ht="15" customHeight="1" x14ac:dyDescent="0.3">
      <c r="A207" s="6" t="s">
        <v>101</v>
      </c>
      <c r="B207" s="4" t="str">
        <f>IFERROR(INDEX(MASTER!$A:$A,MATCH("Cryovial box 16: "&amp;($A207&amp;B$197),MASTER!$L:$L,0))&amp;"_ser_"&amp;TEXT(VALUE(SUBSTITUTE(SUBSTITUTE(TRIM(INDEX(MASTER!$M:$M,MATCH("Cryovial box 16: "&amp;($A207&amp;B$197),MASTER!$L:$L,0))),"ml",""),":",".")),"0.00")&amp;"_"&amp;TEXT(INDEX(MASTER!$E:$E,MATCH("Cryovial box 16: "&amp;($A207&amp;B$197),MASTER!$L:$L,0)),"mmddyy"),"")</f>
        <v/>
      </c>
      <c r="C207" s="4" t="str">
        <f>IFERROR(INDEX(MASTER!$A:$A,MATCH("Cryovial box 16: "&amp;($A207&amp;C$197),MASTER!$L:$L,0))&amp;"_ser_"&amp;TEXT(VALUE(SUBSTITUTE(SUBSTITUTE(TRIM(INDEX(MASTER!$M:$M,MATCH("Cryovial box 16: "&amp;($A207&amp;C$197),MASTER!$L:$L,0))),"ml",""),":",".")),"0.00")&amp;"_"&amp;TEXT(INDEX(MASTER!$E:$E,MATCH("Cryovial box 16: "&amp;($A207&amp;C$197),MASTER!$L:$L,0)),"mmddyy"),"")</f>
        <v/>
      </c>
      <c r="D207" s="4" t="str">
        <f>IFERROR(INDEX(MASTER!$A:$A,MATCH("Cryovial box 16: "&amp;($A207&amp;D$197),MASTER!$L:$L,0))&amp;"_ser_"&amp;TEXT(VALUE(SUBSTITUTE(SUBSTITUTE(TRIM(INDEX(MASTER!$M:$M,MATCH("Cryovial box 16: "&amp;($A207&amp;D$197),MASTER!$L:$L,0))),"ml",""),":",".")),"0.00")&amp;"_"&amp;TEXT(INDEX(MASTER!$E:$E,MATCH("Cryovial box 16: "&amp;($A207&amp;D$197),MASTER!$L:$L,0)),"mmddyy"),"")</f>
        <v/>
      </c>
      <c r="E207" s="4" t="str">
        <f>IFERROR(INDEX(MASTER!$A:$A,MATCH("Cryovial box 16: "&amp;($A207&amp;E$197),MASTER!$L:$L,0))&amp;"_ser_"&amp;TEXT(VALUE(SUBSTITUTE(SUBSTITUTE(TRIM(INDEX(MASTER!$M:$M,MATCH("Cryovial box 16: "&amp;($A207&amp;E$197),MASTER!$L:$L,0))),"ml",""),":",".")),"0.00")&amp;"_"&amp;TEXT(INDEX(MASTER!$E:$E,MATCH("Cryovial box 16: "&amp;($A207&amp;E$197),MASTER!$L:$L,0)),"mmddyy"),"")</f>
        <v/>
      </c>
      <c r="F207" s="4" t="str">
        <f>IFERROR(INDEX(MASTER!$A:$A,MATCH("Cryovial box 16: "&amp;($A207&amp;F$197),MASTER!$L:$L,0))&amp;"_ser_"&amp;TEXT(VALUE(SUBSTITUTE(SUBSTITUTE(TRIM(INDEX(MASTER!$M:$M,MATCH("Cryovial box 16: "&amp;($A207&amp;F$197),MASTER!$L:$L,0))),"ml",""),":",".")),"0.00")&amp;"_"&amp;TEXT(INDEX(MASTER!$E:$E,MATCH("Cryovial box 16: "&amp;($A207&amp;F$197),MASTER!$L:$L,0)),"mmddyy"),"")</f>
        <v/>
      </c>
      <c r="G207" s="4" t="str">
        <f>IFERROR(INDEX(MASTER!$A:$A,MATCH("Cryovial box 16: "&amp;($A207&amp;G$197),MASTER!$L:$L,0))&amp;"_ser_"&amp;TEXT(VALUE(SUBSTITUTE(SUBSTITUTE(TRIM(INDEX(MASTER!$M:$M,MATCH("Cryovial box 16: "&amp;($A207&amp;G$197),MASTER!$L:$L,0))),"ml",""),":",".")),"0.00")&amp;"_"&amp;TEXT(INDEX(MASTER!$E:$E,MATCH("Cryovial box 16: "&amp;($A207&amp;G$197),MASTER!$L:$L,0)),"mmddyy"),"")</f>
        <v/>
      </c>
      <c r="H207" s="4" t="str">
        <f>IFERROR(INDEX(MASTER!$A:$A,MATCH("Cryovial box 16: "&amp;($A207&amp;H$197),MASTER!$L:$L,0))&amp;"_ser_"&amp;TEXT(VALUE(SUBSTITUTE(SUBSTITUTE(TRIM(INDEX(MASTER!$M:$M,MATCH("Cryovial box 16: "&amp;($A207&amp;H$197),MASTER!$L:$L,0))),"ml",""),":",".")),"0.00")&amp;"_"&amp;TEXT(INDEX(MASTER!$E:$E,MATCH("Cryovial box 16: "&amp;($A207&amp;H$197),MASTER!$L:$L,0)),"mmddyy"),"")</f>
        <v/>
      </c>
      <c r="I207" s="4" t="str">
        <f>IFERROR(INDEX(MASTER!$A:$A,MATCH("Cryovial box 16: "&amp;($A207&amp;I$197),MASTER!$L:$L,0))&amp;"_ser_"&amp;TEXT(VALUE(SUBSTITUTE(SUBSTITUTE(TRIM(INDEX(MASTER!$M:$M,MATCH("Cryovial box 16: "&amp;($A207&amp;I$197),MASTER!$L:$L,0))),"ml",""),":",".")),"0.00")&amp;"_"&amp;TEXT(INDEX(MASTER!$E:$E,MATCH("Cryovial box 16: "&amp;($A207&amp;I$197),MASTER!$L:$L,0)),"mmddyy"),"")</f>
        <v/>
      </c>
      <c r="J207" s="4" t="str">
        <f>IFERROR(INDEX(MASTER!$A:$A,MATCH("Cryovial box 16: "&amp;($A207&amp;J$197),MASTER!$L:$L,0))&amp;"_ser_"&amp;TEXT(VALUE(SUBSTITUTE(SUBSTITUTE(TRIM(INDEX(MASTER!$M:$M,MATCH("Cryovial box 16: "&amp;($A207&amp;J$197),MASTER!$L:$L,0))),"ml",""),":",".")),"0.00")&amp;"_"&amp;TEXT(INDEX(MASTER!$E:$E,MATCH("Cryovial box 16: "&amp;($A207&amp;J$197),MASTER!$L:$L,0)),"mmddyy"),"")</f>
        <v/>
      </c>
      <c r="K207" s="4" t="str">
        <f>IFERROR(INDEX(MASTER!$A:$A,MATCH("Cryovial box 16: "&amp;($A207&amp;K$197),MASTER!$L:$L,0))&amp;"_ser_"&amp;TEXT(VALUE(SUBSTITUTE(SUBSTITUTE(TRIM(INDEX(MASTER!$M:$M,MATCH("Cryovial box 16: "&amp;($A207&amp;K$197),MASTER!$L:$L,0))),"ml",""),":",".")),"0.00")&amp;"_"&amp;TEXT(INDEX(MASTER!$E:$E,MATCH("Cryovial box 16: "&amp;($A207&amp;K$197),MASTER!$L:$L,0)),"mmddyy"),"")</f>
        <v/>
      </c>
    </row>
    <row r="209" spans="1:11" ht="20.149999999999999" customHeight="1" x14ac:dyDescent="0.3">
      <c r="A209" s="5"/>
      <c r="B209" s="31" t="s">
        <v>117</v>
      </c>
      <c r="C209" s="36"/>
      <c r="D209" s="36"/>
      <c r="E209" s="36"/>
      <c r="F209" s="36"/>
      <c r="G209" s="36"/>
      <c r="H209" s="36"/>
      <c r="I209" s="36"/>
      <c r="J209" s="36"/>
      <c r="K209" s="37"/>
    </row>
    <row r="210" spans="1:11" ht="20.149999999999999" customHeight="1" x14ac:dyDescent="0.3">
      <c r="A210" s="5"/>
      <c r="B210" s="6">
        <v>1</v>
      </c>
      <c r="C210" s="6">
        <v>2</v>
      </c>
      <c r="D210" s="6">
        <v>3</v>
      </c>
      <c r="E210" s="6">
        <v>4</v>
      </c>
      <c r="F210" s="6">
        <v>5</v>
      </c>
      <c r="G210" s="6">
        <v>6</v>
      </c>
      <c r="H210" s="6">
        <v>7</v>
      </c>
      <c r="I210" s="6">
        <v>8</v>
      </c>
      <c r="J210" s="6">
        <v>9</v>
      </c>
      <c r="K210" s="6">
        <v>10</v>
      </c>
    </row>
    <row r="211" spans="1:11" ht="20.149999999999999" customHeight="1" x14ac:dyDescent="0.3">
      <c r="A211" s="6" t="s">
        <v>30</v>
      </c>
      <c r="B211" s="4" t="str">
        <f>IFERROR(INDEX(MASTER!$A:$A,MATCH("Cryovial box 17: "&amp;($A211&amp;B$210),MASTER!$L:$L,0))&amp;"_ser_"&amp;TEXT(VALUE(SUBSTITUTE(SUBSTITUTE(TRIM(INDEX(MASTER!$M:$M,MATCH("Cryovial box 17: "&amp;($A211&amp;B$210),MASTER!$L:$L,0))),"ml",""),":",".")),"0.00")&amp;"_"&amp;TEXT(INDEX(MASTER!$E:$E,MATCH("Cryovial box 17: "&amp;($A211&amp;B$210),MASTER!$L:$L,0)),"mmddyy"),"")</f>
        <v/>
      </c>
      <c r="C211" s="4" t="str">
        <f>IFERROR(INDEX(MASTER!$A:$A,MATCH("Cryovial box 17: "&amp;($A211&amp;C$210),MASTER!$L:$L,0))&amp;"_ser_"&amp;TEXT(VALUE(SUBSTITUTE(SUBSTITUTE(TRIM(INDEX(MASTER!$M:$M,MATCH("Cryovial box 17: "&amp;($A211&amp;C$210),MASTER!$L:$L,0))),"ml",""),":",".")),"0.00")&amp;"_"&amp;TEXT(INDEX(MASTER!$E:$E,MATCH("Cryovial box 17: "&amp;($A211&amp;C$210),MASTER!$L:$L,0)),"mmddyy"),"")</f>
        <v/>
      </c>
      <c r="D211" s="4" t="str">
        <f>IFERROR(INDEX(MASTER!$A:$A,MATCH("Cryovial box 17: "&amp;($A211&amp;D$210),MASTER!$L:$L,0))&amp;"_ser_"&amp;TEXT(VALUE(SUBSTITUTE(SUBSTITUTE(TRIM(INDEX(MASTER!$M:$M,MATCH("Cryovial box 17: "&amp;($A211&amp;D$210),MASTER!$L:$L,0))),"ml",""),":",".")),"0.00")&amp;"_"&amp;TEXT(INDEX(MASTER!$E:$E,MATCH("Cryovial box 17: "&amp;($A211&amp;D$210),MASTER!$L:$L,0)),"mmddyy"),"")</f>
        <v/>
      </c>
      <c r="E211" s="4" t="str">
        <f>IFERROR(INDEX(MASTER!$A:$A,MATCH("Cryovial box 17: "&amp;($A211&amp;E$210),MASTER!$L:$L,0))&amp;"_ser_"&amp;TEXT(VALUE(SUBSTITUTE(SUBSTITUTE(TRIM(INDEX(MASTER!$M:$M,MATCH("Cryovial box 17: "&amp;($A211&amp;E$210),MASTER!$L:$L,0))),"ml",""),":",".")),"0.00")&amp;"_"&amp;TEXT(INDEX(MASTER!$E:$E,MATCH("Cryovial box 17: "&amp;($A211&amp;E$210),MASTER!$L:$L,0)),"mmddyy"),"")</f>
        <v/>
      </c>
      <c r="F211" s="4" t="str">
        <f>IFERROR(INDEX(MASTER!$A:$A,MATCH("Cryovial box 17: "&amp;($A211&amp;F$210),MASTER!$L:$L,0))&amp;"_ser_"&amp;TEXT(VALUE(SUBSTITUTE(SUBSTITUTE(TRIM(INDEX(MASTER!$M:$M,MATCH("Cryovial box 17: "&amp;($A211&amp;F$210),MASTER!$L:$L,0))),"ml",""),":",".")),"0.00")&amp;"_"&amp;TEXT(INDEX(MASTER!$E:$E,MATCH("Cryovial box 17: "&amp;($A211&amp;F$210),MASTER!$L:$L,0)),"mmddyy"),"")</f>
        <v/>
      </c>
      <c r="G211" s="4" t="str">
        <f>IFERROR(INDEX(MASTER!$A:$A,MATCH("Cryovial box 17: "&amp;($A211&amp;G$210),MASTER!$L:$L,0))&amp;"_ser_"&amp;TEXT(VALUE(SUBSTITUTE(SUBSTITUTE(TRIM(INDEX(MASTER!$M:$M,MATCH("Cryovial box 17: "&amp;($A211&amp;G$210),MASTER!$L:$L,0))),"ml",""),":",".")),"0.00")&amp;"_"&amp;TEXT(INDEX(MASTER!$E:$E,MATCH("Cryovial box 17: "&amp;($A211&amp;G$210),MASTER!$L:$L,0)),"mmddyy"),"")</f>
        <v/>
      </c>
      <c r="H211" s="4" t="str">
        <f>IFERROR(INDEX(MASTER!$A:$A,MATCH("Cryovial box 17: "&amp;($A211&amp;H$210),MASTER!$L:$L,0))&amp;"_ser_"&amp;TEXT(VALUE(SUBSTITUTE(SUBSTITUTE(TRIM(INDEX(MASTER!$M:$M,MATCH("Cryovial box 17: "&amp;($A211&amp;H$210),MASTER!$L:$L,0))),"ml",""),":",".")),"0.00")&amp;"_"&amp;TEXT(INDEX(MASTER!$E:$E,MATCH("Cryovial box 17: "&amp;($A211&amp;H$210),MASTER!$L:$L,0)),"mmddyy"),"")</f>
        <v/>
      </c>
      <c r="I211" s="4" t="str">
        <f>IFERROR(INDEX(MASTER!$A:$A,MATCH("Cryovial box 17: "&amp;($A211&amp;I$210),MASTER!$L:$L,0))&amp;"_ser_"&amp;TEXT(VALUE(SUBSTITUTE(SUBSTITUTE(TRIM(INDEX(MASTER!$M:$M,MATCH("Cryovial box 17: "&amp;($A211&amp;I$210),MASTER!$L:$L,0))),"ml",""),":",".")),"0.00")&amp;"_"&amp;TEXT(INDEX(MASTER!$E:$E,MATCH("Cryovial box 17: "&amp;($A211&amp;I$210),MASTER!$L:$L,0)),"mmddyy"),"")</f>
        <v/>
      </c>
      <c r="J211" s="4" t="str">
        <f>IFERROR(INDEX(MASTER!$A:$A,MATCH("Cryovial box 17: "&amp;($A211&amp;J$210),MASTER!$L:$L,0))&amp;"_ser_"&amp;TEXT(VALUE(SUBSTITUTE(SUBSTITUTE(TRIM(INDEX(MASTER!$M:$M,MATCH("Cryovial box 17: "&amp;($A211&amp;J$210),MASTER!$L:$L,0))),"ml",""),":",".")),"0.00")&amp;"_"&amp;TEXT(INDEX(MASTER!$E:$E,MATCH("Cryovial box 17: "&amp;($A211&amp;J$210),MASTER!$L:$L,0)),"mmddyy"),"")</f>
        <v/>
      </c>
      <c r="K211" s="4" t="str">
        <f>IFERROR(INDEX(MASTER!$A:$A,MATCH("Cryovial box 17: "&amp;($A211&amp;K$210),MASTER!$L:$L,0))&amp;"_ser_"&amp;TEXT(VALUE(SUBSTITUTE(SUBSTITUTE(TRIM(INDEX(MASTER!$M:$M,MATCH("Cryovial box 17: "&amp;($A211&amp;K$210),MASTER!$L:$L,0))),"ml",""),":",".")),"0.00")&amp;"_"&amp;TEXT(INDEX(MASTER!$E:$E,MATCH("Cryovial box 17: "&amp;($A211&amp;K$210),MASTER!$L:$L,0)),"mmddyy"),"")</f>
        <v/>
      </c>
    </row>
    <row r="212" spans="1:11" ht="20.149999999999999" customHeight="1" x14ac:dyDescent="0.3">
      <c r="A212" s="6" t="s">
        <v>31</v>
      </c>
      <c r="B212" s="4" t="str">
        <f>IFERROR(INDEX(MASTER!$A:$A,MATCH("Cryovial box 17: "&amp;($A212&amp;B$210),MASTER!$L:$L,0))&amp;"_ser_"&amp;TEXT(VALUE(SUBSTITUTE(SUBSTITUTE(TRIM(INDEX(MASTER!$M:$M,MATCH("Cryovial box 17: "&amp;($A212&amp;B$210),MASTER!$L:$L,0))),"ml",""),":",".")),"0.00")&amp;"_"&amp;TEXT(INDEX(MASTER!$E:$E,MATCH("Cryovial box 17: "&amp;($A212&amp;B$210),MASTER!$L:$L,0)),"mmddyy"),"")</f>
        <v/>
      </c>
      <c r="C212" s="4" t="str">
        <f>IFERROR(INDEX(MASTER!$A:$A,MATCH("Cryovial box 17: "&amp;($A212&amp;C$210),MASTER!$L:$L,0))&amp;"_ser_"&amp;TEXT(VALUE(SUBSTITUTE(SUBSTITUTE(TRIM(INDEX(MASTER!$M:$M,MATCH("Cryovial box 17: "&amp;($A212&amp;C$210),MASTER!$L:$L,0))),"ml",""),":",".")),"0.00")&amp;"_"&amp;TEXT(INDEX(MASTER!$E:$E,MATCH("Cryovial box 17: "&amp;($A212&amp;C$210),MASTER!$L:$L,0)),"mmddyy"),"")</f>
        <v/>
      </c>
      <c r="D212" s="4" t="str">
        <f>IFERROR(INDEX(MASTER!$A:$A,MATCH("Cryovial box 17: "&amp;($A212&amp;D$210),MASTER!$L:$L,0))&amp;"_ser_"&amp;TEXT(VALUE(SUBSTITUTE(SUBSTITUTE(TRIM(INDEX(MASTER!$M:$M,MATCH("Cryovial box 17: "&amp;($A212&amp;D$210),MASTER!$L:$L,0))),"ml",""),":",".")),"0.00")&amp;"_"&amp;TEXT(INDEX(MASTER!$E:$E,MATCH("Cryovial box 17: "&amp;($A212&amp;D$210),MASTER!$L:$L,0)),"mmddyy"),"")</f>
        <v/>
      </c>
      <c r="E212" s="4" t="str">
        <f>IFERROR(INDEX(MASTER!$A:$A,MATCH("Cryovial box 17: "&amp;($A212&amp;E$210),MASTER!$L:$L,0))&amp;"_ser_"&amp;TEXT(VALUE(SUBSTITUTE(SUBSTITUTE(TRIM(INDEX(MASTER!$M:$M,MATCH("Cryovial box 17: "&amp;($A212&amp;E$210),MASTER!$L:$L,0))),"ml",""),":",".")),"0.00")&amp;"_"&amp;TEXT(INDEX(MASTER!$E:$E,MATCH("Cryovial box 17: "&amp;($A212&amp;E$210),MASTER!$L:$L,0)),"mmddyy"),"")</f>
        <v/>
      </c>
      <c r="F212" s="4" t="str">
        <f>IFERROR(INDEX(MASTER!$A:$A,MATCH("Cryovial box 17: "&amp;($A212&amp;F$210),MASTER!$L:$L,0))&amp;"_ser_"&amp;TEXT(VALUE(SUBSTITUTE(SUBSTITUTE(TRIM(INDEX(MASTER!$M:$M,MATCH("Cryovial box 17: "&amp;($A212&amp;F$210),MASTER!$L:$L,0))),"ml",""),":",".")),"0.00")&amp;"_"&amp;TEXT(INDEX(MASTER!$E:$E,MATCH("Cryovial box 17: "&amp;($A212&amp;F$210),MASTER!$L:$L,0)),"mmddyy"),"")</f>
        <v/>
      </c>
      <c r="G212" s="4" t="str">
        <f>IFERROR(INDEX(MASTER!$A:$A,MATCH("Cryovial box 17: "&amp;($A212&amp;G$210),MASTER!$L:$L,0))&amp;"_ser_"&amp;TEXT(VALUE(SUBSTITUTE(SUBSTITUTE(TRIM(INDEX(MASTER!$M:$M,MATCH("Cryovial box 17: "&amp;($A212&amp;G$210),MASTER!$L:$L,0))),"ml",""),":",".")),"0.00")&amp;"_"&amp;TEXT(INDEX(MASTER!$E:$E,MATCH("Cryovial box 17: "&amp;($A212&amp;G$210),MASTER!$L:$L,0)),"mmddyy"),"")</f>
        <v/>
      </c>
      <c r="H212" s="4" t="str">
        <f>IFERROR(INDEX(MASTER!$A:$A,MATCH("Cryovial box 17: "&amp;($A212&amp;H$210),MASTER!$L:$L,0))&amp;"_ser_"&amp;TEXT(VALUE(SUBSTITUTE(SUBSTITUTE(TRIM(INDEX(MASTER!$M:$M,MATCH("Cryovial box 17: "&amp;($A212&amp;H$210),MASTER!$L:$L,0))),"ml",""),":",".")),"0.00")&amp;"_"&amp;TEXT(INDEX(MASTER!$E:$E,MATCH("Cryovial box 17: "&amp;($A212&amp;H$210),MASTER!$L:$L,0)),"mmddyy"),"")</f>
        <v/>
      </c>
      <c r="I212" s="4" t="str">
        <f>IFERROR(INDEX(MASTER!$A:$A,MATCH("Cryovial box 17: "&amp;($A212&amp;I$210),MASTER!$L:$L,0))&amp;"_ser_"&amp;TEXT(VALUE(SUBSTITUTE(SUBSTITUTE(TRIM(INDEX(MASTER!$M:$M,MATCH("Cryovial box 17: "&amp;($A212&amp;I$210),MASTER!$L:$L,0))),"ml",""),":",".")),"0.00")&amp;"_"&amp;TEXT(INDEX(MASTER!$E:$E,MATCH("Cryovial box 17: "&amp;($A212&amp;I$210),MASTER!$L:$L,0)),"mmddyy"),"")</f>
        <v/>
      </c>
      <c r="J212" s="4" t="str">
        <f>IFERROR(INDEX(MASTER!$A:$A,MATCH("Cryovial box 17: "&amp;($A212&amp;J$210),MASTER!$L:$L,0))&amp;"_ser_"&amp;TEXT(VALUE(SUBSTITUTE(SUBSTITUTE(TRIM(INDEX(MASTER!$M:$M,MATCH("Cryovial box 17: "&amp;($A212&amp;J$210),MASTER!$L:$L,0))),"ml",""),":",".")),"0.00")&amp;"_"&amp;TEXT(INDEX(MASTER!$E:$E,MATCH("Cryovial box 17: "&amp;($A212&amp;J$210),MASTER!$L:$L,0)),"mmddyy"),"")</f>
        <v/>
      </c>
      <c r="K212" s="4" t="str">
        <f>IFERROR(INDEX(MASTER!$A:$A,MATCH("Cryovial box 17: "&amp;($A212&amp;K$210),MASTER!$L:$L,0))&amp;"_ser_"&amp;TEXT(VALUE(SUBSTITUTE(SUBSTITUTE(TRIM(INDEX(MASTER!$M:$M,MATCH("Cryovial box 17: "&amp;($A212&amp;K$210),MASTER!$L:$L,0))),"ml",""),":",".")),"0.00")&amp;"_"&amp;TEXT(INDEX(MASTER!$E:$E,MATCH("Cryovial box 17: "&amp;($A212&amp;K$210),MASTER!$L:$L,0)),"mmddyy"),"")</f>
        <v/>
      </c>
    </row>
    <row r="213" spans="1:11" ht="20.149999999999999" customHeight="1" x14ac:dyDescent="0.3">
      <c r="A213" s="6" t="s">
        <v>32</v>
      </c>
      <c r="B213" s="4" t="str">
        <f>IFERROR(INDEX(MASTER!$A:$A,MATCH("Cryovial box 17: "&amp;($A213&amp;B$210),MASTER!$L:$L,0))&amp;"_ser_"&amp;TEXT(VALUE(SUBSTITUTE(SUBSTITUTE(TRIM(INDEX(MASTER!$M:$M,MATCH("Cryovial box 17: "&amp;($A213&amp;B$210),MASTER!$L:$L,0))),"ml",""),":",".")),"0.00")&amp;"_"&amp;TEXT(INDEX(MASTER!$E:$E,MATCH("Cryovial box 17: "&amp;($A213&amp;B$210),MASTER!$L:$L,0)),"mmddyy"),"")</f>
        <v/>
      </c>
      <c r="C213" s="4" t="str">
        <f>IFERROR(INDEX(MASTER!$A:$A,MATCH("Cryovial box 17: "&amp;($A213&amp;C$210),MASTER!$L:$L,0))&amp;"_ser_"&amp;TEXT(VALUE(SUBSTITUTE(SUBSTITUTE(TRIM(INDEX(MASTER!$M:$M,MATCH("Cryovial box 17: "&amp;($A213&amp;C$210),MASTER!$L:$L,0))),"ml",""),":",".")),"0.00")&amp;"_"&amp;TEXT(INDEX(MASTER!$E:$E,MATCH("Cryovial box 17: "&amp;($A213&amp;C$210),MASTER!$L:$L,0)),"mmddyy"),"")</f>
        <v/>
      </c>
      <c r="D213" s="4" t="str">
        <f>IFERROR(INDEX(MASTER!$A:$A,MATCH("Cryovial box 17: "&amp;($A213&amp;D$210),MASTER!$L:$L,0))&amp;"_ser_"&amp;TEXT(VALUE(SUBSTITUTE(SUBSTITUTE(TRIM(INDEX(MASTER!$M:$M,MATCH("Cryovial box 17: "&amp;($A213&amp;D$210),MASTER!$L:$L,0))),"ml",""),":",".")),"0.00")&amp;"_"&amp;TEXT(INDEX(MASTER!$E:$E,MATCH("Cryovial box 17: "&amp;($A213&amp;D$210),MASTER!$L:$L,0)),"mmddyy"),"")</f>
        <v/>
      </c>
      <c r="E213" s="4" t="str">
        <f>IFERROR(INDEX(MASTER!$A:$A,MATCH("Cryovial box 17: "&amp;($A213&amp;E$210),MASTER!$L:$L,0))&amp;"_ser_"&amp;TEXT(VALUE(SUBSTITUTE(SUBSTITUTE(TRIM(INDEX(MASTER!$M:$M,MATCH("Cryovial box 17: "&amp;($A213&amp;E$210),MASTER!$L:$L,0))),"ml",""),":",".")),"0.00")&amp;"_"&amp;TEXT(INDEX(MASTER!$E:$E,MATCH("Cryovial box 17: "&amp;($A213&amp;E$210),MASTER!$L:$L,0)),"mmddyy"),"")</f>
        <v/>
      </c>
      <c r="F213" s="4" t="str">
        <f>IFERROR(INDEX(MASTER!$A:$A,MATCH("Cryovial box 17: "&amp;($A213&amp;F$210),MASTER!$L:$L,0))&amp;"_ser_"&amp;TEXT(VALUE(SUBSTITUTE(SUBSTITUTE(TRIM(INDEX(MASTER!$M:$M,MATCH("Cryovial box 17: "&amp;($A213&amp;F$210),MASTER!$L:$L,0))),"ml",""),":",".")),"0.00")&amp;"_"&amp;TEXT(INDEX(MASTER!$E:$E,MATCH("Cryovial box 17: "&amp;($A213&amp;F$210),MASTER!$L:$L,0)),"mmddyy"),"")</f>
        <v/>
      </c>
      <c r="G213" s="4" t="str">
        <f>IFERROR(INDEX(MASTER!$A:$A,MATCH("Cryovial box 17: "&amp;($A213&amp;G$210),MASTER!$L:$L,0))&amp;"_ser_"&amp;TEXT(VALUE(SUBSTITUTE(SUBSTITUTE(TRIM(INDEX(MASTER!$M:$M,MATCH("Cryovial box 17: "&amp;($A213&amp;G$210),MASTER!$L:$L,0))),"ml",""),":",".")),"0.00")&amp;"_"&amp;TEXT(INDEX(MASTER!$E:$E,MATCH("Cryovial box 17: "&amp;($A213&amp;G$210),MASTER!$L:$L,0)),"mmddyy"),"")</f>
        <v/>
      </c>
      <c r="H213" s="4" t="str">
        <f>IFERROR(INDEX(MASTER!$A:$A,MATCH("Cryovial box 17: "&amp;($A213&amp;H$210),MASTER!$L:$L,0))&amp;"_ser_"&amp;TEXT(VALUE(SUBSTITUTE(SUBSTITUTE(TRIM(INDEX(MASTER!$M:$M,MATCH("Cryovial box 17: "&amp;($A213&amp;H$210),MASTER!$L:$L,0))),"ml",""),":",".")),"0.00")&amp;"_"&amp;TEXT(INDEX(MASTER!$E:$E,MATCH("Cryovial box 17: "&amp;($A213&amp;H$210),MASTER!$L:$L,0)),"mmddyy"),"")</f>
        <v/>
      </c>
      <c r="I213" s="4" t="str">
        <f>IFERROR(INDEX(MASTER!$A:$A,MATCH("Cryovial box 17: "&amp;($A213&amp;I$210),MASTER!$L:$L,0))&amp;"_ser_"&amp;TEXT(VALUE(SUBSTITUTE(SUBSTITUTE(TRIM(INDEX(MASTER!$M:$M,MATCH("Cryovial box 17: "&amp;($A213&amp;I$210),MASTER!$L:$L,0))),"ml",""),":",".")),"0.00")&amp;"_"&amp;TEXT(INDEX(MASTER!$E:$E,MATCH("Cryovial box 17: "&amp;($A213&amp;I$210),MASTER!$L:$L,0)),"mmddyy"),"")</f>
        <v/>
      </c>
      <c r="J213" s="4" t="str">
        <f>IFERROR(INDEX(MASTER!$A:$A,MATCH("Cryovial box 17: "&amp;($A213&amp;J$210),MASTER!$L:$L,0))&amp;"_ser_"&amp;TEXT(VALUE(SUBSTITUTE(SUBSTITUTE(TRIM(INDEX(MASTER!$M:$M,MATCH("Cryovial box 17: "&amp;($A213&amp;J$210),MASTER!$L:$L,0))),"ml",""),":",".")),"0.00")&amp;"_"&amp;TEXT(INDEX(MASTER!$E:$E,MATCH("Cryovial box 17: "&amp;($A213&amp;J$210),MASTER!$L:$L,0)),"mmddyy"),"")</f>
        <v/>
      </c>
      <c r="K213" s="4" t="str">
        <f>IFERROR(INDEX(MASTER!$A:$A,MATCH("Cryovial box 17: "&amp;($A213&amp;K$210),MASTER!$L:$L,0))&amp;"_ser_"&amp;TEXT(VALUE(SUBSTITUTE(SUBSTITUTE(TRIM(INDEX(MASTER!$M:$M,MATCH("Cryovial box 17: "&amp;($A213&amp;K$210),MASTER!$L:$L,0))),"ml",""),":",".")),"0.00")&amp;"_"&amp;TEXT(INDEX(MASTER!$E:$E,MATCH("Cryovial box 17: "&amp;($A213&amp;K$210),MASTER!$L:$L,0)),"mmddyy"),"")</f>
        <v/>
      </c>
    </row>
    <row r="214" spans="1:11" ht="14.15" customHeight="1" x14ac:dyDescent="0.3">
      <c r="A214" s="6" t="s">
        <v>33</v>
      </c>
      <c r="B214" s="4" t="str">
        <f>IFERROR(INDEX(MASTER!$A:$A,MATCH("Cryovial box 17: "&amp;($A214&amp;B$210),MASTER!$L:$L,0))&amp;"_ser_"&amp;TEXT(VALUE(SUBSTITUTE(SUBSTITUTE(TRIM(INDEX(MASTER!$M:$M,MATCH("Cryovial box 17: "&amp;($A214&amp;B$210),MASTER!$L:$L,0))),"ml",""),":",".")),"0.00")&amp;"_"&amp;TEXT(INDEX(MASTER!$E:$E,MATCH("Cryovial box 17: "&amp;($A214&amp;B$210),MASTER!$L:$L,0)),"mmddyy"),"")</f>
        <v/>
      </c>
      <c r="C214" s="4" t="str">
        <f>IFERROR(INDEX(MASTER!$A:$A,MATCH("Cryovial box 17: "&amp;($A214&amp;C$210),MASTER!$L:$L,0))&amp;"_ser_"&amp;TEXT(VALUE(SUBSTITUTE(SUBSTITUTE(TRIM(INDEX(MASTER!$M:$M,MATCH("Cryovial box 17: "&amp;($A214&amp;C$210),MASTER!$L:$L,0))),"ml",""),":",".")),"0.00")&amp;"_"&amp;TEXT(INDEX(MASTER!$E:$E,MATCH("Cryovial box 17: "&amp;($A214&amp;C$210),MASTER!$L:$L,0)),"mmddyy"),"")</f>
        <v/>
      </c>
      <c r="D214" s="4" t="str">
        <f>IFERROR(INDEX(MASTER!$A:$A,MATCH("Cryovial box 17: "&amp;($A214&amp;D$210),MASTER!$L:$L,0))&amp;"_ser_"&amp;TEXT(VALUE(SUBSTITUTE(SUBSTITUTE(TRIM(INDEX(MASTER!$M:$M,MATCH("Cryovial box 17: "&amp;($A214&amp;D$210),MASTER!$L:$L,0))),"ml",""),":",".")),"0.00")&amp;"_"&amp;TEXT(INDEX(MASTER!$E:$E,MATCH("Cryovial box 17: "&amp;($A214&amp;D$210),MASTER!$L:$L,0)),"mmddyy"),"")</f>
        <v/>
      </c>
      <c r="E214" s="4" t="str">
        <f>IFERROR(INDEX(MASTER!$A:$A,MATCH("Cryovial box 17: "&amp;($A214&amp;E$210),MASTER!$L:$L,0))&amp;"_ser_"&amp;TEXT(VALUE(SUBSTITUTE(SUBSTITUTE(TRIM(INDEX(MASTER!$M:$M,MATCH("Cryovial box 17: "&amp;($A214&amp;E$210),MASTER!$L:$L,0))),"ml",""),":",".")),"0.00")&amp;"_"&amp;TEXT(INDEX(MASTER!$E:$E,MATCH("Cryovial box 17: "&amp;($A214&amp;E$210),MASTER!$L:$L,0)),"mmddyy"),"")</f>
        <v/>
      </c>
      <c r="F214" s="4" t="str">
        <f>IFERROR(INDEX(MASTER!$A:$A,MATCH("Cryovial box 17: "&amp;($A214&amp;F$210),MASTER!$L:$L,0))&amp;"_ser_"&amp;TEXT(VALUE(SUBSTITUTE(SUBSTITUTE(TRIM(INDEX(MASTER!$M:$M,MATCH("Cryovial box 17: "&amp;($A214&amp;F$210),MASTER!$L:$L,0))),"ml",""),":",".")),"0.00")&amp;"_"&amp;TEXT(INDEX(MASTER!$E:$E,MATCH("Cryovial box 17: "&amp;($A214&amp;F$210),MASTER!$L:$L,0)),"mmddyy"),"")</f>
        <v/>
      </c>
      <c r="G214" s="4" t="str">
        <f>IFERROR(INDEX(MASTER!$A:$A,MATCH("Cryovial box 17: "&amp;($A214&amp;G$210),MASTER!$L:$L,0))&amp;"_ser_"&amp;TEXT(VALUE(SUBSTITUTE(SUBSTITUTE(TRIM(INDEX(MASTER!$M:$M,MATCH("Cryovial box 17: "&amp;($A214&amp;G$210),MASTER!$L:$L,0))),"ml",""),":",".")),"0.00")&amp;"_"&amp;TEXT(INDEX(MASTER!$E:$E,MATCH("Cryovial box 17: "&amp;($A214&amp;G$210),MASTER!$L:$L,0)),"mmddyy"),"")</f>
        <v/>
      </c>
      <c r="H214" s="4" t="str">
        <f>IFERROR(INDEX(MASTER!$A:$A,MATCH("Cryovial box 17: "&amp;($A214&amp;H$210),MASTER!$L:$L,0))&amp;"_ser_"&amp;TEXT(VALUE(SUBSTITUTE(SUBSTITUTE(TRIM(INDEX(MASTER!$M:$M,MATCH("Cryovial box 17: "&amp;($A214&amp;H$210),MASTER!$L:$L,0))),"ml",""),":",".")),"0.00")&amp;"_"&amp;TEXT(INDEX(MASTER!$E:$E,MATCH("Cryovial box 17: "&amp;($A214&amp;H$210),MASTER!$L:$L,0)),"mmddyy"),"")</f>
        <v/>
      </c>
      <c r="I214" s="4" t="str">
        <f>IFERROR(INDEX(MASTER!$A:$A,MATCH("Cryovial box 17: "&amp;($A214&amp;I$210),MASTER!$L:$L,0))&amp;"_ser_"&amp;TEXT(VALUE(SUBSTITUTE(SUBSTITUTE(TRIM(INDEX(MASTER!$M:$M,MATCH("Cryovial box 17: "&amp;($A214&amp;I$210),MASTER!$L:$L,0))),"ml",""),":",".")),"0.00")&amp;"_"&amp;TEXT(INDEX(MASTER!$E:$E,MATCH("Cryovial box 17: "&amp;($A214&amp;I$210),MASTER!$L:$L,0)),"mmddyy"),"")</f>
        <v/>
      </c>
      <c r="J214" s="4" t="str">
        <f>IFERROR(INDEX(MASTER!$A:$A,MATCH("Cryovial box 17: "&amp;($A214&amp;J$210),MASTER!$L:$L,0))&amp;"_ser_"&amp;TEXT(VALUE(SUBSTITUTE(SUBSTITUTE(TRIM(INDEX(MASTER!$M:$M,MATCH("Cryovial box 17: "&amp;($A214&amp;J$210),MASTER!$L:$L,0))),"ml",""),":",".")),"0.00")&amp;"_"&amp;TEXT(INDEX(MASTER!$E:$E,MATCH("Cryovial box 17: "&amp;($A214&amp;J$210),MASTER!$L:$L,0)),"mmddyy"),"")</f>
        <v/>
      </c>
      <c r="K214" s="4" t="str">
        <f>IFERROR(INDEX(MASTER!$A:$A,MATCH("Cryovial box 17: "&amp;($A214&amp;K$210),MASTER!$L:$L,0))&amp;"_ser_"&amp;TEXT(VALUE(SUBSTITUTE(SUBSTITUTE(TRIM(INDEX(MASTER!$M:$M,MATCH("Cryovial box 17: "&amp;($A214&amp;K$210),MASTER!$L:$L,0))),"ml",""),":",".")),"0.00")&amp;"_"&amp;TEXT(INDEX(MASTER!$E:$E,MATCH("Cryovial box 17: "&amp;($A214&amp;K$210),MASTER!$L:$L,0)),"mmddyy"),"")</f>
        <v/>
      </c>
    </row>
    <row r="215" spans="1:11" ht="14.15" customHeight="1" x14ac:dyDescent="0.3">
      <c r="A215" s="6" t="s">
        <v>34</v>
      </c>
      <c r="B215" s="4" t="str">
        <f>IFERROR(INDEX(MASTER!$A:$A,MATCH("Cryovial box 17: "&amp;($A215&amp;B$210),MASTER!$L:$L,0))&amp;"_ser_"&amp;TEXT(VALUE(SUBSTITUTE(SUBSTITUTE(TRIM(INDEX(MASTER!$M:$M,MATCH("Cryovial box 17: "&amp;($A215&amp;B$210),MASTER!$L:$L,0))),"ml",""),":",".")),"0.00")&amp;"_"&amp;TEXT(INDEX(MASTER!$E:$E,MATCH("Cryovial box 17: "&amp;($A215&amp;B$210),MASTER!$L:$L,0)),"mmddyy"),"")</f>
        <v/>
      </c>
      <c r="C215" s="4" t="str">
        <f>IFERROR(INDEX(MASTER!$A:$A,MATCH("Cryovial box 17: "&amp;($A215&amp;C$210),MASTER!$L:$L,0))&amp;"_ser_"&amp;TEXT(VALUE(SUBSTITUTE(SUBSTITUTE(TRIM(INDEX(MASTER!$M:$M,MATCH("Cryovial box 17: "&amp;($A215&amp;C$210),MASTER!$L:$L,0))),"ml",""),":",".")),"0.00")&amp;"_"&amp;TEXT(INDEX(MASTER!$E:$E,MATCH("Cryovial box 17: "&amp;($A215&amp;C$210),MASTER!$L:$L,0)),"mmddyy"),"")</f>
        <v/>
      </c>
      <c r="D215" s="4" t="str">
        <f>IFERROR(INDEX(MASTER!$A:$A,MATCH("Cryovial box 17: "&amp;($A215&amp;D$210),MASTER!$L:$L,0))&amp;"_ser_"&amp;TEXT(VALUE(SUBSTITUTE(SUBSTITUTE(TRIM(INDEX(MASTER!$M:$M,MATCH("Cryovial box 17: "&amp;($A215&amp;D$210),MASTER!$L:$L,0))),"ml",""),":",".")),"0.00")&amp;"_"&amp;TEXT(INDEX(MASTER!$E:$E,MATCH("Cryovial box 17: "&amp;($A215&amp;D$210),MASTER!$L:$L,0)),"mmddyy"),"")</f>
        <v/>
      </c>
      <c r="E215" s="4" t="str">
        <f>IFERROR(INDEX(MASTER!$A:$A,MATCH("Cryovial box 17: "&amp;($A215&amp;E$210),MASTER!$L:$L,0))&amp;"_ser_"&amp;TEXT(VALUE(SUBSTITUTE(SUBSTITUTE(TRIM(INDEX(MASTER!$M:$M,MATCH("Cryovial box 17: "&amp;($A215&amp;E$210),MASTER!$L:$L,0))),"ml",""),":",".")),"0.00")&amp;"_"&amp;TEXT(INDEX(MASTER!$E:$E,MATCH("Cryovial box 17: "&amp;($A215&amp;E$210),MASTER!$L:$L,0)),"mmddyy"),"")</f>
        <v/>
      </c>
      <c r="F215" s="4" t="str">
        <f>IFERROR(INDEX(MASTER!$A:$A,MATCH("Cryovial box 17: "&amp;($A215&amp;F$210),MASTER!$L:$L,0))&amp;"_ser_"&amp;TEXT(VALUE(SUBSTITUTE(SUBSTITUTE(TRIM(INDEX(MASTER!$M:$M,MATCH("Cryovial box 17: "&amp;($A215&amp;F$210),MASTER!$L:$L,0))),"ml",""),":",".")),"0.00")&amp;"_"&amp;TEXT(INDEX(MASTER!$E:$E,MATCH("Cryovial box 17: "&amp;($A215&amp;F$210),MASTER!$L:$L,0)),"mmddyy"),"")</f>
        <v/>
      </c>
      <c r="G215" s="4" t="str">
        <f>IFERROR(INDEX(MASTER!$A:$A,MATCH("Cryovial box 17: "&amp;($A215&amp;G$210),MASTER!$L:$L,0))&amp;"_ser_"&amp;TEXT(VALUE(SUBSTITUTE(SUBSTITUTE(TRIM(INDEX(MASTER!$M:$M,MATCH("Cryovial box 17: "&amp;($A215&amp;G$210),MASTER!$L:$L,0))),"ml",""),":",".")),"0.00")&amp;"_"&amp;TEXT(INDEX(MASTER!$E:$E,MATCH("Cryovial box 17: "&amp;($A215&amp;G$210),MASTER!$L:$L,0)),"mmddyy"),"")</f>
        <v/>
      </c>
      <c r="H215" s="4" t="str">
        <f>IFERROR(INDEX(MASTER!$A:$A,MATCH("Cryovial box 17: "&amp;($A215&amp;H$210),MASTER!$L:$L,0))&amp;"_ser_"&amp;TEXT(VALUE(SUBSTITUTE(SUBSTITUTE(TRIM(INDEX(MASTER!$M:$M,MATCH("Cryovial box 17: "&amp;($A215&amp;H$210),MASTER!$L:$L,0))),"ml",""),":",".")),"0.00")&amp;"_"&amp;TEXT(INDEX(MASTER!$E:$E,MATCH("Cryovial box 17: "&amp;($A215&amp;H$210),MASTER!$L:$L,0)),"mmddyy"),"")</f>
        <v/>
      </c>
      <c r="I215" s="4" t="str">
        <f>IFERROR(INDEX(MASTER!$A:$A,MATCH("Cryovial box 17: "&amp;($A215&amp;I$210),MASTER!$L:$L,0))&amp;"_ser_"&amp;TEXT(VALUE(SUBSTITUTE(SUBSTITUTE(TRIM(INDEX(MASTER!$M:$M,MATCH("Cryovial box 17: "&amp;($A215&amp;I$210),MASTER!$L:$L,0))),"ml",""),":",".")),"0.00")&amp;"_"&amp;TEXT(INDEX(MASTER!$E:$E,MATCH("Cryovial box 17: "&amp;($A215&amp;I$210),MASTER!$L:$L,0)),"mmddyy"),"")</f>
        <v/>
      </c>
      <c r="J215" s="4" t="str">
        <f>IFERROR(INDEX(MASTER!$A:$A,MATCH("Cryovial box 17: "&amp;($A215&amp;J$210),MASTER!$L:$L,0))&amp;"_ser_"&amp;TEXT(VALUE(SUBSTITUTE(SUBSTITUTE(TRIM(INDEX(MASTER!$M:$M,MATCH("Cryovial box 17: "&amp;($A215&amp;J$210),MASTER!$L:$L,0))),"ml",""),":",".")),"0.00")&amp;"_"&amp;TEXT(INDEX(MASTER!$E:$E,MATCH("Cryovial box 17: "&amp;($A215&amp;J$210),MASTER!$L:$L,0)),"mmddyy"),"")</f>
        <v/>
      </c>
      <c r="K215" s="4" t="str">
        <f>IFERROR(INDEX(MASTER!$A:$A,MATCH("Cryovial box 17: "&amp;($A215&amp;K$210),MASTER!$L:$L,0))&amp;"_ser_"&amp;TEXT(VALUE(SUBSTITUTE(SUBSTITUTE(TRIM(INDEX(MASTER!$M:$M,MATCH("Cryovial box 17: "&amp;($A215&amp;K$210),MASTER!$L:$L,0))),"ml",""),":",".")),"0.00")&amp;"_"&amp;TEXT(INDEX(MASTER!$E:$E,MATCH("Cryovial box 17: "&amp;($A215&amp;K$210),MASTER!$L:$L,0)),"mmddyy"),"")</f>
        <v/>
      </c>
    </row>
    <row r="216" spans="1:11" ht="14.15" customHeight="1" x14ac:dyDescent="0.3">
      <c r="A216" s="6" t="s">
        <v>15</v>
      </c>
      <c r="B216" s="4" t="str">
        <f>IFERROR(INDEX(MASTER!$A:$A,MATCH("Cryovial box 17: "&amp;($A216&amp;B$210),MASTER!$L:$L,0))&amp;"_ser_"&amp;TEXT(VALUE(SUBSTITUTE(SUBSTITUTE(TRIM(INDEX(MASTER!$M:$M,MATCH("Cryovial box 17: "&amp;($A216&amp;B$210),MASTER!$L:$L,0))),"ml",""),":",".")),"0.00")&amp;"_"&amp;TEXT(INDEX(MASTER!$E:$E,MATCH("Cryovial box 17: "&amp;($A216&amp;B$210),MASTER!$L:$L,0)),"mmddyy"),"")</f>
        <v/>
      </c>
      <c r="C216" s="4" t="str">
        <f>IFERROR(INDEX(MASTER!$A:$A,MATCH("Cryovial box 17: "&amp;($A216&amp;C$210),MASTER!$L:$L,0))&amp;"_ser_"&amp;TEXT(VALUE(SUBSTITUTE(SUBSTITUTE(TRIM(INDEX(MASTER!$M:$M,MATCH("Cryovial box 17: "&amp;($A216&amp;C$210),MASTER!$L:$L,0))),"ml",""),":",".")),"0.00")&amp;"_"&amp;TEXT(INDEX(MASTER!$E:$E,MATCH("Cryovial box 17: "&amp;($A216&amp;C$210),MASTER!$L:$L,0)),"mmddyy"),"")</f>
        <v/>
      </c>
      <c r="D216" s="4" t="str">
        <f>IFERROR(INDEX(MASTER!$A:$A,MATCH("Cryovial box 17: "&amp;($A216&amp;D$210),MASTER!$L:$L,0))&amp;"_ser_"&amp;TEXT(VALUE(SUBSTITUTE(SUBSTITUTE(TRIM(INDEX(MASTER!$M:$M,MATCH("Cryovial box 17: "&amp;($A216&amp;D$210),MASTER!$L:$L,0))),"ml",""),":",".")),"0.00")&amp;"_"&amp;TEXT(INDEX(MASTER!$E:$E,MATCH("Cryovial box 17: "&amp;($A216&amp;D$210),MASTER!$L:$L,0)),"mmddyy"),"")</f>
        <v/>
      </c>
      <c r="E216" s="4" t="str">
        <f>IFERROR(INDEX(MASTER!$A:$A,MATCH("Cryovial box 17: "&amp;($A216&amp;E$210),MASTER!$L:$L,0))&amp;"_ser_"&amp;TEXT(VALUE(SUBSTITUTE(SUBSTITUTE(TRIM(INDEX(MASTER!$M:$M,MATCH("Cryovial box 17: "&amp;($A216&amp;E$210),MASTER!$L:$L,0))),"ml",""),":",".")),"0.00")&amp;"_"&amp;TEXT(INDEX(MASTER!$E:$E,MATCH("Cryovial box 17: "&amp;($A216&amp;E$210),MASTER!$L:$L,0)),"mmddyy"),"")</f>
        <v/>
      </c>
      <c r="F216" s="4" t="str">
        <f>IFERROR(INDEX(MASTER!$A:$A,MATCH("Cryovial box 17: "&amp;($A216&amp;F$210),MASTER!$L:$L,0))&amp;"_ser_"&amp;TEXT(VALUE(SUBSTITUTE(SUBSTITUTE(TRIM(INDEX(MASTER!$M:$M,MATCH("Cryovial box 17: "&amp;($A216&amp;F$210),MASTER!$L:$L,0))),"ml",""),":",".")),"0.00")&amp;"_"&amp;TEXT(INDEX(MASTER!$E:$E,MATCH("Cryovial box 17: "&amp;($A216&amp;F$210),MASTER!$L:$L,0)),"mmddyy"),"")</f>
        <v/>
      </c>
      <c r="G216" s="4" t="str">
        <f>IFERROR(INDEX(MASTER!$A:$A,MATCH("Cryovial box 17: "&amp;($A216&amp;G$210),MASTER!$L:$L,0))&amp;"_ser_"&amp;TEXT(VALUE(SUBSTITUTE(SUBSTITUTE(TRIM(INDEX(MASTER!$M:$M,MATCH("Cryovial box 17: "&amp;($A216&amp;G$210),MASTER!$L:$L,0))),"ml",""),":",".")),"0.00")&amp;"_"&amp;TEXT(INDEX(MASTER!$E:$E,MATCH("Cryovial box 17: "&amp;($A216&amp;G$210),MASTER!$L:$L,0)),"mmddyy"),"")</f>
        <v/>
      </c>
      <c r="H216" s="4" t="str">
        <f>IFERROR(INDEX(MASTER!$A:$A,MATCH("Cryovial box 17: "&amp;($A216&amp;H$210),MASTER!$L:$L,0))&amp;"_ser_"&amp;TEXT(VALUE(SUBSTITUTE(SUBSTITUTE(TRIM(INDEX(MASTER!$M:$M,MATCH("Cryovial box 17: "&amp;($A216&amp;H$210),MASTER!$L:$L,0))),"ml",""),":",".")),"0.00")&amp;"_"&amp;TEXT(INDEX(MASTER!$E:$E,MATCH("Cryovial box 17: "&amp;($A216&amp;H$210),MASTER!$L:$L,0)),"mmddyy"),"")</f>
        <v/>
      </c>
      <c r="I216" s="4" t="str">
        <f>IFERROR(INDEX(MASTER!$A:$A,MATCH("Cryovial box 17: "&amp;($A216&amp;I$210),MASTER!$L:$L,0))&amp;"_ser_"&amp;TEXT(VALUE(SUBSTITUTE(SUBSTITUTE(TRIM(INDEX(MASTER!$M:$M,MATCH("Cryovial box 17: "&amp;($A216&amp;I$210),MASTER!$L:$L,0))),"ml",""),":",".")),"0.00")&amp;"_"&amp;TEXT(INDEX(MASTER!$E:$E,MATCH("Cryovial box 17: "&amp;($A216&amp;I$210),MASTER!$L:$L,0)),"mmddyy"),"")</f>
        <v/>
      </c>
      <c r="J216" s="4" t="str">
        <f>IFERROR(INDEX(MASTER!$A:$A,MATCH("Cryovial box 17: "&amp;($A216&amp;J$210),MASTER!$L:$L,0))&amp;"_ser_"&amp;TEXT(VALUE(SUBSTITUTE(SUBSTITUTE(TRIM(INDEX(MASTER!$M:$M,MATCH("Cryovial box 17: "&amp;($A216&amp;J$210),MASTER!$L:$L,0))),"ml",""),":",".")),"0.00")&amp;"_"&amp;TEXT(INDEX(MASTER!$E:$E,MATCH("Cryovial box 17: "&amp;($A216&amp;J$210),MASTER!$L:$L,0)),"mmddyy"),"")</f>
        <v/>
      </c>
      <c r="K216" s="4" t="str">
        <f>IFERROR(INDEX(MASTER!$A:$A,MATCH("Cryovial box 17: "&amp;($A216&amp;K$210),MASTER!$L:$L,0))&amp;"_ser_"&amp;TEXT(VALUE(SUBSTITUTE(SUBSTITUTE(TRIM(INDEX(MASTER!$M:$M,MATCH("Cryovial box 17: "&amp;($A216&amp;K$210),MASTER!$L:$L,0))),"ml",""),":",".")),"0.00")&amp;"_"&amp;TEXT(INDEX(MASTER!$E:$E,MATCH("Cryovial box 17: "&amp;($A216&amp;K$210),MASTER!$L:$L,0)),"mmddyy"),"")</f>
        <v/>
      </c>
    </row>
    <row r="217" spans="1:11" ht="15" customHeight="1" x14ac:dyDescent="0.3">
      <c r="A217" s="6" t="s">
        <v>35</v>
      </c>
      <c r="B217" s="4" t="str">
        <f>IFERROR(INDEX(MASTER!$A:$A,MATCH("Cryovial box 17: "&amp;($A217&amp;B$210),MASTER!$L:$L,0))&amp;"_ser_"&amp;TEXT(VALUE(SUBSTITUTE(SUBSTITUTE(TRIM(INDEX(MASTER!$M:$M,MATCH("Cryovial box 17: "&amp;($A217&amp;B$210),MASTER!$L:$L,0))),"ml",""),":",".")),"0.00")&amp;"_"&amp;TEXT(INDEX(MASTER!$E:$E,MATCH("Cryovial box 17: "&amp;($A217&amp;B$210),MASTER!$L:$L,0)),"mmddyy"),"")</f>
        <v/>
      </c>
      <c r="C217" s="4" t="str">
        <f>IFERROR(INDEX(MASTER!$A:$A,MATCH("Cryovial box 17: "&amp;($A217&amp;C$210),MASTER!$L:$L,0))&amp;"_ser_"&amp;TEXT(VALUE(SUBSTITUTE(SUBSTITUTE(TRIM(INDEX(MASTER!$M:$M,MATCH("Cryovial box 17: "&amp;($A217&amp;C$210),MASTER!$L:$L,0))),"ml",""),":",".")),"0.00")&amp;"_"&amp;TEXT(INDEX(MASTER!$E:$E,MATCH("Cryovial box 17: "&amp;($A217&amp;C$210),MASTER!$L:$L,0)),"mmddyy"),"")</f>
        <v/>
      </c>
      <c r="D217" s="4" t="str">
        <f>IFERROR(INDEX(MASTER!$A:$A,MATCH("Cryovial box 17: "&amp;($A217&amp;D$210),MASTER!$L:$L,0))&amp;"_ser_"&amp;TEXT(VALUE(SUBSTITUTE(SUBSTITUTE(TRIM(INDEX(MASTER!$M:$M,MATCH("Cryovial box 17: "&amp;($A217&amp;D$210),MASTER!$L:$L,0))),"ml",""),":",".")),"0.00")&amp;"_"&amp;TEXT(INDEX(MASTER!$E:$E,MATCH("Cryovial box 17: "&amp;($A217&amp;D$210),MASTER!$L:$L,0)),"mmddyy"),"")</f>
        <v/>
      </c>
      <c r="E217" s="4" t="str">
        <f>IFERROR(INDEX(MASTER!$A:$A,MATCH("Cryovial box 17: "&amp;($A217&amp;E$210),MASTER!$L:$L,0))&amp;"_ser_"&amp;TEXT(VALUE(SUBSTITUTE(SUBSTITUTE(TRIM(INDEX(MASTER!$M:$M,MATCH("Cryovial box 17: "&amp;($A217&amp;E$210),MASTER!$L:$L,0))),"ml",""),":",".")),"0.00")&amp;"_"&amp;TEXT(INDEX(MASTER!$E:$E,MATCH("Cryovial box 17: "&amp;($A217&amp;E$210),MASTER!$L:$L,0)),"mmddyy"),"")</f>
        <v/>
      </c>
      <c r="F217" s="4" t="str">
        <f>IFERROR(INDEX(MASTER!$A:$A,MATCH("Cryovial box 17: "&amp;($A217&amp;F$210),MASTER!$L:$L,0))&amp;"_ser_"&amp;TEXT(VALUE(SUBSTITUTE(SUBSTITUTE(TRIM(INDEX(MASTER!$M:$M,MATCH("Cryovial box 17: "&amp;($A217&amp;F$210),MASTER!$L:$L,0))),"ml",""),":",".")),"0.00")&amp;"_"&amp;TEXT(INDEX(MASTER!$E:$E,MATCH("Cryovial box 17: "&amp;($A217&amp;F$210),MASTER!$L:$L,0)),"mmddyy"),"")</f>
        <v/>
      </c>
      <c r="G217" s="4" t="str">
        <f>IFERROR(INDEX(MASTER!$A:$A,MATCH("Cryovial box 17: "&amp;($A217&amp;G$210),MASTER!$L:$L,0))&amp;"_ser_"&amp;TEXT(VALUE(SUBSTITUTE(SUBSTITUTE(TRIM(INDEX(MASTER!$M:$M,MATCH("Cryovial box 17: "&amp;($A217&amp;G$210),MASTER!$L:$L,0))),"ml",""),":",".")),"0.00")&amp;"_"&amp;TEXT(INDEX(MASTER!$E:$E,MATCH("Cryovial box 17: "&amp;($A217&amp;G$210),MASTER!$L:$L,0)),"mmddyy"),"")</f>
        <v/>
      </c>
      <c r="H217" s="4" t="str">
        <f>IFERROR(INDEX(MASTER!$A:$A,MATCH("Cryovial box 17: "&amp;($A217&amp;H$210),MASTER!$L:$L,0))&amp;"_ser_"&amp;TEXT(VALUE(SUBSTITUTE(SUBSTITUTE(TRIM(INDEX(MASTER!$M:$M,MATCH("Cryovial box 17: "&amp;($A217&amp;H$210),MASTER!$L:$L,0))),"ml",""),":",".")),"0.00")&amp;"_"&amp;TEXT(INDEX(MASTER!$E:$E,MATCH("Cryovial box 17: "&amp;($A217&amp;H$210),MASTER!$L:$L,0)),"mmddyy"),"")</f>
        <v/>
      </c>
      <c r="I217" s="4" t="str">
        <f>IFERROR(INDEX(MASTER!$A:$A,MATCH("Cryovial box 17: "&amp;($A217&amp;I$210),MASTER!$L:$L,0))&amp;"_ser_"&amp;TEXT(VALUE(SUBSTITUTE(SUBSTITUTE(TRIM(INDEX(MASTER!$M:$M,MATCH("Cryovial box 17: "&amp;($A217&amp;I$210),MASTER!$L:$L,0))),"ml",""),":",".")),"0.00")&amp;"_"&amp;TEXT(INDEX(MASTER!$E:$E,MATCH("Cryovial box 17: "&amp;($A217&amp;I$210),MASTER!$L:$L,0)),"mmddyy"),"")</f>
        <v/>
      </c>
      <c r="J217" s="4" t="str">
        <f>IFERROR(INDEX(MASTER!$A:$A,MATCH("Cryovial box 17: "&amp;($A217&amp;J$210),MASTER!$L:$L,0))&amp;"_ser_"&amp;TEXT(VALUE(SUBSTITUTE(SUBSTITUTE(TRIM(INDEX(MASTER!$M:$M,MATCH("Cryovial box 17: "&amp;($A217&amp;J$210),MASTER!$L:$L,0))),"ml",""),":",".")),"0.00")&amp;"_"&amp;TEXT(INDEX(MASTER!$E:$E,MATCH("Cryovial box 17: "&amp;($A217&amp;J$210),MASTER!$L:$L,0)),"mmddyy"),"")</f>
        <v/>
      </c>
      <c r="K217" s="4" t="str">
        <f>IFERROR(INDEX(MASTER!$A:$A,MATCH("Cryovial box 17: "&amp;($A217&amp;K$210),MASTER!$L:$L,0))&amp;"_ser_"&amp;TEXT(VALUE(SUBSTITUTE(SUBSTITUTE(TRIM(INDEX(MASTER!$M:$M,MATCH("Cryovial box 17: "&amp;($A217&amp;K$210),MASTER!$L:$L,0))),"ml",""),":",".")),"0.00")&amp;"_"&amp;TEXT(INDEX(MASTER!$E:$E,MATCH("Cryovial box 17: "&amp;($A217&amp;K$210),MASTER!$L:$L,0)),"mmddyy"),"")</f>
        <v/>
      </c>
    </row>
    <row r="218" spans="1:11" ht="15" customHeight="1" x14ac:dyDescent="0.3">
      <c r="A218" s="6" t="s">
        <v>36</v>
      </c>
      <c r="B218" s="4" t="str">
        <f>IFERROR(INDEX(MASTER!$A:$A,MATCH("Cryovial box 17: "&amp;($A218&amp;B$210),MASTER!$L:$L,0))&amp;"_ser_"&amp;TEXT(VALUE(SUBSTITUTE(SUBSTITUTE(TRIM(INDEX(MASTER!$M:$M,MATCH("Cryovial box 17: "&amp;($A218&amp;B$210),MASTER!$L:$L,0))),"ml",""),":",".")),"0.00")&amp;"_"&amp;TEXT(INDEX(MASTER!$E:$E,MATCH("Cryovial box 17: "&amp;($A218&amp;B$210),MASTER!$L:$L,0)),"mmddyy"),"")</f>
        <v/>
      </c>
      <c r="C218" s="4" t="str">
        <f>IFERROR(INDEX(MASTER!$A:$A,MATCH("Cryovial box 17: "&amp;($A218&amp;C$210),MASTER!$L:$L,0))&amp;"_ser_"&amp;TEXT(VALUE(SUBSTITUTE(SUBSTITUTE(TRIM(INDEX(MASTER!$M:$M,MATCH("Cryovial box 17: "&amp;($A218&amp;C$210),MASTER!$L:$L,0))),"ml",""),":",".")),"0.00")&amp;"_"&amp;TEXT(INDEX(MASTER!$E:$E,MATCH("Cryovial box 17: "&amp;($A218&amp;C$210),MASTER!$L:$L,0)),"mmddyy"),"")</f>
        <v/>
      </c>
      <c r="D218" s="4" t="str">
        <f>IFERROR(INDEX(MASTER!$A:$A,MATCH("Cryovial box 17: "&amp;($A218&amp;D$210),MASTER!$L:$L,0))&amp;"_ser_"&amp;TEXT(VALUE(SUBSTITUTE(SUBSTITUTE(TRIM(INDEX(MASTER!$M:$M,MATCH("Cryovial box 17: "&amp;($A218&amp;D$210),MASTER!$L:$L,0))),"ml",""),":",".")),"0.00")&amp;"_"&amp;TEXT(INDEX(MASTER!$E:$E,MATCH("Cryovial box 17: "&amp;($A218&amp;D$210),MASTER!$L:$L,0)),"mmddyy"),"")</f>
        <v/>
      </c>
      <c r="E218" s="4" t="str">
        <f>IFERROR(INDEX(MASTER!$A:$A,MATCH("Cryovial box 17: "&amp;($A218&amp;E$210),MASTER!$L:$L,0))&amp;"_ser_"&amp;TEXT(VALUE(SUBSTITUTE(SUBSTITUTE(TRIM(INDEX(MASTER!$M:$M,MATCH("Cryovial box 17: "&amp;($A218&amp;E$210),MASTER!$L:$L,0))),"ml",""),":",".")),"0.00")&amp;"_"&amp;TEXT(INDEX(MASTER!$E:$E,MATCH("Cryovial box 17: "&amp;($A218&amp;E$210),MASTER!$L:$L,0)),"mmddyy"),"")</f>
        <v/>
      </c>
      <c r="F218" s="4" t="str">
        <f>IFERROR(INDEX(MASTER!$A:$A,MATCH("Cryovial box 17: "&amp;($A218&amp;F$210),MASTER!$L:$L,0))&amp;"_ser_"&amp;TEXT(VALUE(SUBSTITUTE(SUBSTITUTE(TRIM(INDEX(MASTER!$M:$M,MATCH("Cryovial box 17: "&amp;($A218&amp;F$210),MASTER!$L:$L,0))),"ml",""),":",".")),"0.00")&amp;"_"&amp;TEXT(INDEX(MASTER!$E:$E,MATCH("Cryovial box 17: "&amp;($A218&amp;F$210),MASTER!$L:$L,0)),"mmddyy"),"")</f>
        <v/>
      </c>
      <c r="G218" s="4" t="str">
        <f>IFERROR(INDEX(MASTER!$A:$A,MATCH("Cryovial box 17: "&amp;($A218&amp;G$210),MASTER!$L:$L,0))&amp;"_ser_"&amp;TEXT(VALUE(SUBSTITUTE(SUBSTITUTE(TRIM(INDEX(MASTER!$M:$M,MATCH("Cryovial box 17: "&amp;($A218&amp;G$210),MASTER!$L:$L,0))),"ml",""),":",".")),"0.00")&amp;"_"&amp;TEXT(INDEX(MASTER!$E:$E,MATCH("Cryovial box 17: "&amp;($A218&amp;G$210),MASTER!$L:$L,0)),"mmddyy"),"")</f>
        <v/>
      </c>
      <c r="H218" s="4" t="str">
        <f>IFERROR(INDEX(MASTER!$A:$A,MATCH("Cryovial box 17: "&amp;($A218&amp;H$210),MASTER!$L:$L,0))&amp;"_ser_"&amp;TEXT(VALUE(SUBSTITUTE(SUBSTITUTE(TRIM(INDEX(MASTER!$M:$M,MATCH("Cryovial box 17: "&amp;($A218&amp;H$210),MASTER!$L:$L,0))),"ml",""),":",".")),"0.00")&amp;"_"&amp;TEXT(INDEX(MASTER!$E:$E,MATCH("Cryovial box 17: "&amp;($A218&amp;H$210),MASTER!$L:$L,0)),"mmddyy"),"")</f>
        <v/>
      </c>
      <c r="I218" s="4" t="str">
        <f>IFERROR(INDEX(MASTER!$A:$A,MATCH("Cryovial box 17: "&amp;($A218&amp;I$210),MASTER!$L:$L,0))&amp;"_ser_"&amp;TEXT(VALUE(SUBSTITUTE(SUBSTITUTE(TRIM(INDEX(MASTER!$M:$M,MATCH("Cryovial box 17: "&amp;($A218&amp;I$210),MASTER!$L:$L,0))),"ml",""),":",".")),"0.00")&amp;"_"&amp;TEXT(INDEX(MASTER!$E:$E,MATCH("Cryovial box 17: "&amp;($A218&amp;I$210),MASTER!$L:$L,0)),"mmddyy"),"")</f>
        <v/>
      </c>
      <c r="J218" s="4" t="str">
        <f>IFERROR(INDEX(MASTER!$A:$A,MATCH("Cryovial box 17: "&amp;($A218&amp;J$210),MASTER!$L:$L,0))&amp;"_ser_"&amp;TEXT(VALUE(SUBSTITUTE(SUBSTITUTE(TRIM(INDEX(MASTER!$M:$M,MATCH("Cryovial box 17: "&amp;($A218&amp;J$210),MASTER!$L:$L,0))),"ml",""),":",".")),"0.00")&amp;"_"&amp;TEXT(INDEX(MASTER!$E:$E,MATCH("Cryovial box 17: "&amp;($A218&amp;J$210),MASTER!$L:$L,0)),"mmddyy"),"")</f>
        <v/>
      </c>
      <c r="K218" s="4" t="str">
        <f>IFERROR(INDEX(MASTER!$A:$A,MATCH("Cryovial box 17: "&amp;($A218&amp;K$210),MASTER!$L:$L,0))&amp;"_ser_"&amp;TEXT(VALUE(SUBSTITUTE(SUBSTITUTE(TRIM(INDEX(MASTER!$M:$M,MATCH("Cryovial box 17: "&amp;($A218&amp;K$210),MASTER!$L:$L,0))),"ml",""),":",".")),"0.00")&amp;"_"&amp;TEXT(INDEX(MASTER!$E:$E,MATCH("Cryovial box 17: "&amp;($A218&amp;K$210),MASTER!$L:$L,0)),"mmddyy"),"")</f>
        <v/>
      </c>
    </row>
    <row r="219" spans="1:11" ht="15" customHeight="1" x14ac:dyDescent="0.3">
      <c r="A219" s="6" t="s">
        <v>100</v>
      </c>
      <c r="B219" s="4" t="str">
        <f>IFERROR(INDEX(MASTER!$A:$A,MATCH("Cryovial box 17: "&amp;($A219&amp;B$210),MASTER!$L:$L,0))&amp;"_ser_"&amp;TEXT(VALUE(SUBSTITUTE(SUBSTITUTE(TRIM(INDEX(MASTER!$M:$M,MATCH("Cryovial box 17: "&amp;($A219&amp;B$210),MASTER!$L:$L,0))),"ml",""),":",".")),"0.00")&amp;"_"&amp;TEXT(INDEX(MASTER!$E:$E,MATCH("Cryovial box 17: "&amp;($A219&amp;B$210),MASTER!$L:$L,0)),"mmddyy"),"")</f>
        <v/>
      </c>
      <c r="C219" s="4" t="str">
        <f>IFERROR(INDEX(MASTER!$A:$A,MATCH("Cryovial box 17: "&amp;($A219&amp;C$210),MASTER!$L:$L,0))&amp;"_ser_"&amp;TEXT(VALUE(SUBSTITUTE(SUBSTITUTE(TRIM(INDEX(MASTER!$M:$M,MATCH("Cryovial box 17: "&amp;($A219&amp;C$210),MASTER!$L:$L,0))),"ml",""),":",".")),"0.00")&amp;"_"&amp;TEXT(INDEX(MASTER!$E:$E,MATCH("Cryovial box 17: "&amp;($A219&amp;C$210),MASTER!$L:$L,0)),"mmddyy"),"")</f>
        <v/>
      </c>
      <c r="D219" s="4" t="str">
        <f>IFERROR(INDEX(MASTER!$A:$A,MATCH("Cryovial box 17: "&amp;($A219&amp;D$210),MASTER!$L:$L,0))&amp;"_ser_"&amp;TEXT(VALUE(SUBSTITUTE(SUBSTITUTE(TRIM(INDEX(MASTER!$M:$M,MATCH("Cryovial box 17: "&amp;($A219&amp;D$210),MASTER!$L:$L,0))),"ml",""),":",".")),"0.00")&amp;"_"&amp;TEXT(INDEX(MASTER!$E:$E,MATCH("Cryovial box 17: "&amp;($A219&amp;D$210),MASTER!$L:$L,0)),"mmddyy"),"")</f>
        <v/>
      </c>
      <c r="E219" s="4" t="str">
        <f>IFERROR(INDEX(MASTER!$A:$A,MATCH("Cryovial box 17: "&amp;($A219&amp;E$210),MASTER!$L:$L,0))&amp;"_ser_"&amp;TEXT(VALUE(SUBSTITUTE(SUBSTITUTE(TRIM(INDEX(MASTER!$M:$M,MATCH("Cryovial box 17: "&amp;($A219&amp;E$210),MASTER!$L:$L,0))),"ml",""),":",".")),"0.00")&amp;"_"&amp;TEXT(INDEX(MASTER!$E:$E,MATCH("Cryovial box 17: "&amp;($A219&amp;E$210),MASTER!$L:$L,0)),"mmddyy"),"")</f>
        <v/>
      </c>
      <c r="F219" s="4" t="str">
        <f>IFERROR(INDEX(MASTER!$A:$A,MATCH("Cryovial box 17: "&amp;($A219&amp;F$210),MASTER!$L:$L,0))&amp;"_ser_"&amp;TEXT(VALUE(SUBSTITUTE(SUBSTITUTE(TRIM(INDEX(MASTER!$M:$M,MATCH("Cryovial box 17: "&amp;($A219&amp;F$210),MASTER!$L:$L,0))),"ml",""),":",".")),"0.00")&amp;"_"&amp;TEXT(INDEX(MASTER!$E:$E,MATCH("Cryovial box 17: "&amp;($A219&amp;F$210),MASTER!$L:$L,0)),"mmddyy"),"")</f>
        <v/>
      </c>
      <c r="G219" s="4" t="str">
        <f>IFERROR(INDEX(MASTER!$A:$A,MATCH("Cryovial box 17: "&amp;($A219&amp;G$210),MASTER!$L:$L,0))&amp;"_ser_"&amp;TEXT(VALUE(SUBSTITUTE(SUBSTITUTE(TRIM(INDEX(MASTER!$M:$M,MATCH("Cryovial box 17: "&amp;($A219&amp;G$210),MASTER!$L:$L,0))),"ml",""),":",".")),"0.00")&amp;"_"&amp;TEXT(INDEX(MASTER!$E:$E,MATCH("Cryovial box 17: "&amp;($A219&amp;G$210),MASTER!$L:$L,0)),"mmddyy"),"")</f>
        <v/>
      </c>
      <c r="H219" s="4" t="str">
        <f>IFERROR(INDEX(MASTER!$A:$A,MATCH("Cryovial box 17: "&amp;($A219&amp;H$210),MASTER!$L:$L,0))&amp;"_ser_"&amp;TEXT(VALUE(SUBSTITUTE(SUBSTITUTE(TRIM(INDEX(MASTER!$M:$M,MATCH("Cryovial box 17: "&amp;($A219&amp;H$210),MASTER!$L:$L,0))),"ml",""),":",".")),"0.00")&amp;"_"&amp;TEXT(INDEX(MASTER!$E:$E,MATCH("Cryovial box 17: "&amp;($A219&amp;H$210),MASTER!$L:$L,0)),"mmddyy"),"")</f>
        <v/>
      </c>
      <c r="I219" s="4" t="str">
        <f>IFERROR(INDEX(MASTER!$A:$A,MATCH("Cryovial box 17: "&amp;($A219&amp;I$210),MASTER!$L:$L,0))&amp;"_ser_"&amp;TEXT(VALUE(SUBSTITUTE(SUBSTITUTE(TRIM(INDEX(MASTER!$M:$M,MATCH("Cryovial box 17: "&amp;($A219&amp;I$210),MASTER!$L:$L,0))),"ml",""),":",".")),"0.00")&amp;"_"&amp;TEXT(INDEX(MASTER!$E:$E,MATCH("Cryovial box 17: "&amp;($A219&amp;I$210),MASTER!$L:$L,0)),"mmddyy"),"")</f>
        <v/>
      </c>
      <c r="J219" s="4" t="str">
        <f>IFERROR(INDEX(MASTER!$A:$A,MATCH("Cryovial box 17: "&amp;($A219&amp;J$210),MASTER!$L:$L,0))&amp;"_ser_"&amp;TEXT(VALUE(SUBSTITUTE(SUBSTITUTE(TRIM(INDEX(MASTER!$M:$M,MATCH("Cryovial box 17: "&amp;($A219&amp;J$210),MASTER!$L:$L,0))),"ml",""),":",".")),"0.00")&amp;"_"&amp;TEXT(INDEX(MASTER!$E:$E,MATCH("Cryovial box 17: "&amp;($A219&amp;J$210),MASTER!$L:$L,0)),"mmddyy"),"")</f>
        <v/>
      </c>
      <c r="K219" s="4" t="str">
        <f>IFERROR(INDEX(MASTER!$A:$A,MATCH("Cryovial box 17: "&amp;($A219&amp;K$210),MASTER!$L:$L,0))&amp;"_ser_"&amp;TEXT(VALUE(SUBSTITUTE(SUBSTITUTE(TRIM(INDEX(MASTER!$M:$M,MATCH("Cryovial box 17: "&amp;($A219&amp;K$210),MASTER!$L:$L,0))),"ml",""),":",".")),"0.00")&amp;"_"&amp;TEXT(INDEX(MASTER!$E:$E,MATCH("Cryovial box 17: "&amp;($A219&amp;K$210),MASTER!$L:$L,0)),"mmddyy"),"")</f>
        <v/>
      </c>
    </row>
    <row r="220" spans="1:11" ht="15" customHeight="1" x14ac:dyDescent="0.3">
      <c r="A220" s="6" t="s">
        <v>101</v>
      </c>
      <c r="B220" s="4" t="str">
        <f>IFERROR(INDEX(MASTER!$A:$A,MATCH("Cryovial box 17: "&amp;($A220&amp;B$210),MASTER!$L:$L,0))&amp;"_ser_"&amp;TEXT(VALUE(SUBSTITUTE(SUBSTITUTE(TRIM(INDEX(MASTER!$M:$M,MATCH("Cryovial box 17: "&amp;($A220&amp;B$210),MASTER!$L:$L,0))),"ml",""),":",".")),"0.00")&amp;"_"&amp;TEXT(INDEX(MASTER!$E:$E,MATCH("Cryovial box 17: "&amp;($A220&amp;B$210),MASTER!$L:$L,0)),"mmddyy"),"")</f>
        <v/>
      </c>
      <c r="C220" s="4" t="str">
        <f>IFERROR(INDEX(MASTER!$A:$A,MATCH("Cryovial box 17: "&amp;($A220&amp;C$210),MASTER!$L:$L,0))&amp;"_ser_"&amp;TEXT(VALUE(SUBSTITUTE(SUBSTITUTE(TRIM(INDEX(MASTER!$M:$M,MATCH("Cryovial box 17: "&amp;($A220&amp;C$210),MASTER!$L:$L,0))),"ml",""),":",".")),"0.00")&amp;"_"&amp;TEXT(INDEX(MASTER!$E:$E,MATCH("Cryovial box 17: "&amp;($A220&amp;C$210),MASTER!$L:$L,0)),"mmddyy"),"")</f>
        <v/>
      </c>
      <c r="D220" s="4" t="str">
        <f>IFERROR(INDEX(MASTER!$A:$A,MATCH("Cryovial box 17: "&amp;($A220&amp;D$210),MASTER!$L:$L,0))&amp;"_ser_"&amp;TEXT(VALUE(SUBSTITUTE(SUBSTITUTE(TRIM(INDEX(MASTER!$M:$M,MATCH("Cryovial box 17: "&amp;($A220&amp;D$210),MASTER!$L:$L,0))),"ml",""),":",".")),"0.00")&amp;"_"&amp;TEXT(INDEX(MASTER!$E:$E,MATCH("Cryovial box 17: "&amp;($A220&amp;D$210),MASTER!$L:$L,0)),"mmddyy"),"")</f>
        <v/>
      </c>
      <c r="E220" s="4" t="str">
        <f>IFERROR(INDEX(MASTER!$A:$A,MATCH("Cryovial box 17: "&amp;($A220&amp;E$210),MASTER!$L:$L,0))&amp;"_ser_"&amp;TEXT(VALUE(SUBSTITUTE(SUBSTITUTE(TRIM(INDEX(MASTER!$M:$M,MATCH("Cryovial box 17: "&amp;($A220&amp;E$210),MASTER!$L:$L,0))),"ml",""),":",".")),"0.00")&amp;"_"&amp;TEXT(INDEX(MASTER!$E:$E,MATCH("Cryovial box 17: "&amp;($A220&amp;E$210),MASTER!$L:$L,0)),"mmddyy"),"")</f>
        <v/>
      </c>
      <c r="F220" s="4" t="str">
        <f>IFERROR(INDEX(MASTER!$A:$A,MATCH("Cryovial box 17: "&amp;($A220&amp;F$210),MASTER!$L:$L,0))&amp;"_ser_"&amp;TEXT(VALUE(SUBSTITUTE(SUBSTITUTE(TRIM(INDEX(MASTER!$M:$M,MATCH("Cryovial box 17: "&amp;($A220&amp;F$210),MASTER!$L:$L,0))),"ml",""),":",".")),"0.00")&amp;"_"&amp;TEXT(INDEX(MASTER!$E:$E,MATCH("Cryovial box 17: "&amp;($A220&amp;F$210),MASTER!$L:$L,0)),"mmddyy"),"")</f>
        <v/>
      </c>
      <c r="G220" s="4" t="str">
        <f>IFERROR(INDEX(MASTER!$A:$A,MATCH("Cryovial box 17: "&amp;($A220&amp;G$210),MASTER!$L:$L,0))&amp;"_ser_"&amp;TEXT(VALUE(SUBSTITUTE(SUBSTITUTE(TRIM(INDEX(MASTER!$M:$M,MATCH("Cryovial box 17: "&amp;($A220&amp;G$210),MASTER!$L:$L,0))),"ml",""),":",".")),"0.00")&amp;"_"&amp;TEXT(INDEX(MASTER!$E:$E,MATCH("Cryovial box 17: "&amp;($A220&amp;G$210),MASTER!$L:$L,0)),"mmddyy"),"")</f>
        <v/>
      </c>
      <c r="H220" s="4" t="str">
        <f>IFERROR(INDEX(MASTER!$A:$A,MATCH("Cryovial box 17: "&amp;($A220&amp;H$210),MASTER!$L:$L,0))&amp;"_ser_"&amp;TEXT(VALUE(SUBSTITUTE(SUBSTITUTE(TRIM(INDEX(MASTER!$M:$M,MATCH("Cryovial box 17: "&amp;($A220&amp;H$210),MASTER!$L:$L,0))),"ml",""),":",".")),"0.00")&amp;"_"&amp;TEXT(INDEX(MASTER!$E:$E,MATCH("Cryovial box 17: "&amp;($A220&amp;H$210),MASTER!$L:$L,0)),"mmddyy"),"")</f>
        <v/>
      </c>
      <c r="I220" s="4" t="str">
        <f>IFERROR(INDEX(MASTER!$A:$A,MATCH("Cryovial box 17: "&amp;($A220&amp;I$210),MASTER!$L:$L,0))&amp;"_ser_"&amp;TEXT(VALUE(SUBSTITUTE(SUBSTITUTE(TRIM(INDEX(MASTER!$M:$M,MATCH("Cryovial box 17: "&amp;($A220&amp;I$210),MASTER!$L:$L,0))),"ml",""),":",".")),"0.00")&amp;"_"&amp;TEXT(INDEX(MASTER!$E:$E,MATCH("Cryovial box 17: "&amp;($A220&amp;I$210),MASTER!$L:$L,0)),"mmddyy"),"")</f>
        <v/>
      </c>
      <c r="J220" s="4" t="str">
        <f>IFERROR(INDEX(MASTER!$A:$A,MATCH("Cryovial box 17: "&amp;($A220&amp;J$210),MASTER!$L:$L,0))&amp;"_ser_"&amp;TEXT(VALUE(SUBSTITUTE(SUBSTITUTE(TRIM(INDEX(MASTER!$M:$M,MATCH("Cryovial box 17: "&amp;($A220&amp;J$210),MASTER!$L:$L,0))),"ml",""),":",".")),"0.00")&amp;"_"&amp;TEXT(INDEX(MASTER!$E:$E,MATCH("Cryovial box 17: "&amp;($A220&amp;J$210),MASTER!$L:$L,0)),"mmddyy"),"")</f>
        <v/>
      </c>
      <c r="K220" s="4" t="str">
        <f>IFERROR(INDEX(MASTER!$A:$A,MATCH("Cryovial box 17: "&amp;($A220&amp;K$210),MASTER!$L:$L,0))&amp;"_ser_"&amp;TEXT(VALUE(SUBSTITUTE(SUBSTITUTE(TRIM(INDEX(MASTER!$M:$M,MATCH("Cryovial box 17: "&amp;($A220&amp;K$210),MASTER!$L:$L,0))),"ml",""),":",".")),"0.00")&amp;"_"&amp;TEXT(INDEX(MASTER!$E:$E,MATCH("Cryovial box 17: "&amp;($A220&amp;K$210),MASTER!$L:$L,0)),"mmddyy"),"")</f>
        <v/>
      </c>
    </row>
    <row r="221" spans="1:11" ht="1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 spans="1:11" ht="20.149999999999999" customHeight="1" x14ac:dyDescent="0.3">
      <c r="A222" s="5"/>
      <c r="B222" s="31" t="s">
        <v>118</v>
      </c>
      <c r="C222" s="36"/>
      <c r="D222" s="36"/>
      <c r="E222" s="36"/>
      <c r="F222" s="36"/>
      <c r="G222" s="36"/>
      <c r="H222" s="36"/>
      <c r="I222" s="36"/>
      <c r="J222" s="36"/>
      <c r="K222" s="37"/>
    </row>
    <row r="223" spans="1:11" ht="20.149999999999999" customHeight="1" x14ac:dyDescent="0.3">
      <c r="A223" s="5"/>
      <c r="B223" s="6">
        <v>1</v>
      </c>
      <c r="C223" s="6">
        <v>2</v>
      </c>
      <c r="D223" s="6">
        <v>3</v>
      </c>
      <c r="E223" s="6">
        <v>4</v>
      </c>
      <c r="F223" s="6">
        <v>5</v>
      </c>
      <c r="G223" s="6">
        <v>6</v>
      </c>
      <c r="H223" s="6">
        <v>7</v>
      </c>
      <c r="I223" s="6">
        <v>8</v>
      </c>
      <c r="J223" s="6">
        <v>9</v>
      </c>
      <c r="K223" s="6">
        <v>10</v>
      </c>
    </row>
    <row r="224" spans="1:11" ht="20.149999999999999" customHeight="1" x14ac:dyDescent="0.3">
      <c r="A224" s="6" t="s">
        <v>30</v>
      </c>
      <c r="B224" s="4" t="str">
        <f>IFERROR(INDEX(MASTER!$A:$A,MATCH("Cryovial box 18: "&amp;($A224&amp;B$223),MASTER!$L:$L,0))&amp;"_ser_"&amp;TEXT(VALUE(SUBSTITUTE(SUBSTITUTE(TRIM(INDEX(MASTER!$M:$M,MATCH("Cryovial box 18: "&amp;($A224&amp;B$223),MASTER!$L:$L,0))),"ml",""),":",".")),"0.00")&amp;"_"&amp;TEXT(INDEX(MASTER!$E:$E,MATCH("Cryovial box 18: "&amp;($A224&amp;B$223),MASTER!$L:$L,0)),"mmddyy"),"")</f>
        <v/>
      </c>
      <c r="C224" s="4" t="str">
        <f>IFERROR(INDEX(MASTER!$A:$A,MATCH("Cryovial box 18: "&amp;($A224&amp;C$223),MASTER!$L:$L,0))&amp;"_ser_"&amp;TEXT(VALUE(SUBSTITUTE(SUBSTITUTE(TRIM(INDEX(MASTER!$M:$M,MATCH("Cryovial box 18: "&amp;($A224&amp;C$223),MASTER!$L:$L,0))),"ml",""),":",".")),"0.00")&amp;"_"&amp;TEXT(INDEX(MASTER!$E:$E,MATCH("Cryovial box 18: "&amp;($A224&amp;C$223),MASTER!$L:$L,0)),"mmddyy"),"")</f>
        <v/>
      </c>
      <c r="D224" s="4" t="str">
        <f>IFERROR(INDEX(MASTER!$A:$A,MATCH("Cryovial box 18: "&amp;($A224&amp;D$223),MASTER!$L:$L,0))&amp;"_ser_"&amp;TEXT(VALUE(SUBSTITUTE(SUBSTITUTE(TRIM(INDEX(MASTER!$M:$M,MATCH("Cryovial box 18: "&amp;($A224&amp;D$223),MASTER!$L:$L,0))),"ml",""),":",".")),"0.00")&amp;"_"&amp;TEXT(INDEX(MASTER!$E:$E,MATCH("Cryovial box 18: "&amp;($A224&amp;D$223),MASTER!$L:$L,0)),"mmddyy"),"")</f>
        <v/>
      </c>
      <c r="E224" s="4" t="str">
        <f>IFERROR(INDEX(MASTER!$A:$A,MATCH("Cryovial box 18: "&amp;($A224&amp;E$223),MASTER!$L:$L,0))&amp;"_ser_"&amp;TEXT(VALUE(SUBSTITUTE(SUBSTITUTE(TRIM(INDEX(MASTER!$M:$M,MATCH("Cryovial box 18: "&amp;($A224&amp;E$223),MASTER!$L:$L,0))),"ml",""),":",".")),"0.00")&amp;"_"&amp;TEXT(INDEX(MASTER!$E:$E,MATCH("Cryovial box 18: "&amp;($A224&amp;E$223),MASTER!$L:$L,0)),"mmddyy"),"")</f>
        <v/>
      </c>
      <c r="F224" s="4" t="str">
        <f>IFERROR(INDEX(MASTER!$A:$A,MATCH("Cryovial box 18: "&amp;($A224&amp;F$223),MASTER!$L:$L,0))&amp;"_ser_"&amp;TEXT(VALUE(SUBSTITUTE(SUBSTITUTE(TRIM(INDEX(MASTER!$M:$M,MATCH("Cryovial box 18: "&amp;($A224&amp;F$223),MASTER!$L:$L,0))),"ml",""),":",".")),"0.00")&amp;"_"&amp;TEXT(INDEX(MASTER!$E:$E,MATCH("Cryovial box 18: "&amp;($A224&amp;F$223),MASTER!$L:$L,0)),"mmddyy"),"")</f>
        <v/>
      </c>
      <c r="G224" s="4" t="str">
        <f>IFERROR(INDEX(MASTER!$A:$A,MATCH("Cryovial box 18: "&amp;($A224&amp;G$223),MASTER!$L:$L,0))&amp;"_ser_"&amp;TEXT(VALUE(SUBSTITUTE(SUBSTITUTE(TRIM(INDEX(MASTER!$M:$M,MATCH("Cryovial box 18: "&amp;($A224&amp;G$223),MASTER!$L:$L,0))),"ml",""),":",".")),"0.00")&amp;"_"&amp;TEXT(INDEX(MASTER!$E:$E,MATCH("Cryovial box 18: "&amp;($A224&amp;G$223),MASTER!$L:$L,0)),"mmddyy"),"")</f>
        <v/>
      </c>
      <c r="H224" s="4" t="str">
        <f>IFERROR(INDEX(MASTER!$A:$A,MATCH("Cryovial box 18: "&amp;($A224&amp;H$223),MASTER!$L:$L,0))&amp;"_ser_"&amp;TEXT(VALUE(SUBSTITUTE(SUBSTITUTE(TRIM(INDEX(MASTER!$M:$M,MATCH("Cryovial box 18: "&amp;($A224&amp;H$223),MASTER!$L:$L,0))),"ml",""),":",".")),"0.00")&amp;"_"&amp;TEXT(INDEX(MASTER!$E:$E,MATCH("Cryovial box 18: "&amp;($A224&amp;H$223),MASTER!$L:$L,0)),"mmddyy"),"")</f>
        <v/>
      </c>
      <c r="I224" s="4" t="str">
        <f>IFERROR(INDEX(MASTER!$A:$A,MATCH("Cryovial box 18: "&amp;($A224&amp;I$223),MASTER!$L:$L,0))&amp;"_ser_"&amp;TEXT(VALUE(SUBSTITUTE(SUBSTITUTE(TRIM(INDEX(MASTER!$M:$M,MATCH("Cryovial box 18: "&amp;($A224&amp;I$223),MASTER!$L:$L,0))),"ml",""),":",".")),"0.00")&amp;"_"&amp;TEXT(INDEX(MASTER!$E:$E,MATCH("Cryovial box 18: "&amp;($A224&amp;I$223),MASTER!$L:$L,0)),"mmddyy"),"")</f>
        <v/>
      </c>
      <c r="J224" s="4" t="str">
        <f>IFERROR(INDEX(MASTER!$A:$A,MATCH("Cryovial box 18: "&amp;($A224&amp;J$223),MASTER!$L:$L,0))&amp;"_ser_"&amp;TEXT(VALUE(SUBSTITUTE(SUBSTITUTE(TRIM(INDEX(MASTER!$M:$M,MATCH("Cryovial box 18: "&amp;($A224&amp;J$223),MASTER!$L:$L,0))),"ml",""),":",".")),"0.00")&amp;"_"&amp;TEXT(INDEX(MASTER!$E:$E,MATCH("Cryovial box 18: "&amp;($A224&amp;J$223),MASTER!$L:$L,0)),"mmddyy"),"")</f>
        <v/>
      </c>
      <c r="K224" s="4" t="str">
        <f>IFERROR(INDEX(MASTER!$A:$A,MATCH("Cryovial box 18: "&amp;($A224&amp;K$223),MASTER!$L:$L,0))&amp;"_ser_"&amp;TEXT(VALUE(SUBSTITUTE(SUBSTITUTE(TRIM(INDEX(MASTER!$M:$M,MATCH("Cryovial box 18: "&amp;($A224&amp;K$223),MASTER!$L:$L,0))),"ml",""),":",".")),"0.00")&amp;"_"&amp;TEXT(INDEX(MASTER!$E:$E,MATCH("Cryovial box 18: "&amp;($A224&amp;K$223),MASTER!$L:$L,0)),"mmddyy"),"")</f>
        <v/>
      </c>
    </row>
    <row r="225" spans="1:11" ht="20.149999999999999" customHeight="1" x14ac:dyDescent="0.3">
      <c r="A225" s="6" t="s">
        <v>31</v>
      </c>
      <c r="B225" s="4" t="str">
        <f>IFERROR(INDEX(MASTER!$A:$A,MATCH("Cryovial box 18: "&amp;($A225&amp;B$223),MASTER!$L:$L,0))&amp;"_ser_"&amp;TEXT(VALUE(SUBSTITUTE(SUBSTITUTE(TRIM(INDEX(MASTER!$M:$M,MATCH("Cryovial box 18: "&amp;($A225&amp;B$223),MASTER!$L:$L,0))),"ml",""),":",".")),"0.00")&amp;"_"&amp;TEXT(INDEX(MASTER!$E:$E,MATCH("Cryovial box 18: "&amp;($A225&amp;B$223),MASTER!$L:$L,0)),"mmddyy"),"")</f>
        <v/>
      </c>
      <c r="C225" s="4" t="str">
        <f>IFERROR(INDEX(MASTER!$A:$A,MATCH("Cryovial box 18: "&amp;($A225&amp;C$223),MASTER!$L:$L,0))&amp;"_ser_"&amp;TEXT(VALUE(SUBSTITUTE(SUBSTITUTE(TRIM(INDEX(MASTER!$M:$M,MATCH("Cryovial box 18: "&amp;($A225&amp;C$223),MASTER!$L:$L,0))),"ml",""),":",".")),"0.00")&amp;"_"&amp;TEXT(INDEX(MASTER!$E:$E,MATCH("Cryovial box 18: "&amp;($A225&amp;C$223),MASTER!$L:$L,0)),"mmddyy"),"")</f>
        <v/>
      </c>
      <c r="D225" s="4" t="str">
        <f>IFERROR(INDEX(MASTER!$A:$A,MATCH("Cryovial box 18: "&amp;($A225&amp;D$223),MASTER!$L:$L,0))&amp;"_ser_"&amp;TEXT(VALUE(SUBSTITUTE(SUBSTITUTE(TRIM(INDEX(MASTER!$M:$M,MATCH("Cryovial box 18: "&amp;($A225&amp;D$223),MASTER!$L:$L,0))),"ml",""),":",".")),"0.00")&amp;"_"&amp;TEXT(INDEX(MASTER!$E:$E,MATCH("Cryovial box 18: "&amp;($A225&amp;D$223),MASTER!$L:$L,0)),"mmddyy"),"")</f>
        <v/>
      </c>
      <c r="E225" s="4" t="str">
        <f>IFERROR(INDEX(MASTER!$A:$A,MATCH("Cryovial box 18: "&amp;($A225&amp;E$223),MASTER!$L:$L,0))&amp;"_ser_"&amp;TEXT(VALUE(SUBSTITUTE(SUBSTITUTE(TRIM(INDEX(MASTER!$M:$M,MATCH("Cryovial box 18: "&amp;($A225&amp;E$223),MASTER!$L:$L,0))),"ml",""),":",".")),"0.00")&amp;"_"&amp;TEXT(INDEX(MASTER!$E:$E,MATCH("Cryovial box 18: "&amp;($A225&amp;E$223),MASTER!$L:$L,0)),"mmddyy"),"")</f>
        <v/>
      </c>
      <c r="F225" s="4" t="str">
        <f>IFERROR(INDEX(MASTER!$A:$A,MATCH("Cryovial box 18: "&amp;($A225&amp;F$223),MASTER!$L:$L,0))&amp;"_ser_"&amp;TEXT(VALUE(SUBSTITUTE(SUBSTITUTE(TRIM(INDEX(MASTER!$M:$M,MATCH("Cryovial box 18: "&amp;($A225&amp;F$223),MASTER!$L:$L,0))),"ml",""),":",".")),"0.00")&amp;"_"&amp;TEXT(INDEX(MASTER!$E:$E,MATCH("Cryovial box 18: "&amp;($A225&amp;F$223),MASTER!$L:$L,0)),"mmddyy"),"")</f>
        <v/>
      </c>
      <c r="G225" s="4" t="str">
        <f>IFERROR(INDEX(MASTER!$A:$A,MATCH("Cryovial box 18: "&amp;($A225&amp;G$223),MASTER!$L:$L,0))&amp;"_ser_"&amp;TEXT(VALUE(SUBSTITUTE(SUBSTITUTE(TRIM(INDEX(MASTER!$M:$M,MATCH("Cryovial box 18: "&amp;($A225&amp;G$223),MASTER!$L:$L,0))),"ml",""),":",".")),"0.00")&amp;"_"&amp;TEXT(INDEX(MASTER!$E:$E,MATCH("Cryovial box 18: "&amp;($A225&amp;G$223),MASTER!$L:$L,0)),"mmddyy"),"")</f>
        <v/>
      </c>
      <c r="H225" s="4" t="str">
        <f>IFERROR(INDEX(MASTER!$A:$A,MATCH("Cryovial box 18: "&amp;($A225&amp;H$223),MASTER!$L:$L,0))&amp;"_ser_"&amp;TEXT(VALUE(SUBSTITUTE(SUBSTITUTE(TRIM(INDEX(MASTER!$M:$M,MATCH("Cryovial box 18: "&amp;($A225&amp;H$223),MASTER!$L:$L,0))),"ml",""),":",".")),"0.00")&amp;"_"&amp;TEXT(INDEX(MASTER!$E:$E,MATCH("Cryovial box 18: "&amp;($A225&amp;H$223),MASTER!$L:$L,0)),"mmddyy"),"")</f>
        <v/>
      </c>
      <c r="I225" s="4" t="str">
        <f>IFERROR(INDEX(MASTER!$A:$A,MATCH("Cryovial box 18: "&amp;($A225&amp;I$223),MASTER!$L:$L,0))&amp;"_ser_"&amp;TEXT(VALUE(SUBSTITUTE(SUBSTITUTE(TRIM(INDEX(MASTER!$M:$M,MATCH("Cryovial box 18: "&amp;($A225&amp;I$223),MASTER!$L:$L,0))),"ml",""),":",".")),"0.00")&amp;"_"&amp;TEXT(INDEX(MASTER!$E:$E,MATCH("Cryovial box 18: "&amp;($A225&amp;I$223),MASTER!$L:$L,0)),"mmddyy"),"")</f>
        <v/>
      </c>
      <c r="J225" s="4" t="str">
        <f>IFERROR(INDEX(MASTER!$A:$A,MATCH("Cryovial box 18: "&amp;($A225&amp;J$223),MASTER!$L:$L,0))&amp;"_ser_"&amp;TEXT(VALUE(SUBSTITUTE(SUBSTITUTE(TRIM(INDEX(MASTER!$M:$M,MATCH("Cryovial box 18: "&amp;($A225&amp;J$223),MASTER!$L:$L,0))),"ml",""),":",".")),"0.00")&amp;"_"&amp;TEXT(INDEX(MASTER!$E:$E,MATCH("Cryovial box 18: "&amp;($A225&amp;J$223),MASTER!$L:$L,0)),"mmddyy"),"")</f>
        <v/>
      </c>
      <c r="K225" s="4" t="str">
        <f>IFERROR(INDEX(MASTER!$A:$A,MATCH("Cryovial box 18: "&amp;($A225&amp;K$223),MASTER!$L:$L,0))&amp;"_ser_"&amp;TEXT(VALUE(SUBSTITUTE(SUBSTITUTE(TRIM(INDEX(MASTER!$M:$M,MATCH("Cryovial box 18: "&amp;($A225&amp;K$223),MASTER!$L:$L,0))),"ml",""),":",".")),"0.00")&amp;"_"&amp;TEXT(INDEX(MASTER!$E:$E,MATCH("Cryovial box 18: "&amp;($A225&amp;K$223),MASTER!$L:$L,0)),"mmddyy"),"")</f>
        <v/>
      </c>
    </row>
    <row r="226" spans="1:11" ht="20.149999999999999" customHeight="1" x14ac:dyDescent="0.3">
      <c r="A226" s="6" t="s">
        <v>32</v>
      </c>
      <c r="B226" s="4" t="str">
        <f>IFERROR(INDEX(MASTER!$A:$A,MATCH("Cryovial box 18: "&amp;($A226&amp;B$223),MASTER!$L:$L,0))&amp;"_ser_"&amp;TEXT(VALUE(SUBSTITUTE(SUBSTITUTE(TRIM(INDEX(MASTER!$M:$M,MATCH("Cryovial box 18: "&amp;($A226&amp;B$223),MASTER!$L:$L,0))),"ml",""),":",".")),"0.00")&amp;"_"&amp;TEXT(INDEX(MASTER!$E:$E,MATCH("Cryovial box 18: "&amp;($A226&amp;B$223),MASTER!$L:$L,0)),"mmddyy"),"")</f>
        <v/>
      </c>
      <c r="C226" s="4" t="str">
        <f>IFERROR(INDEX(MASTER!$A:$A,MATCH("Cryovial box 18: "&amp;($A226&amp;C$223),MASTER!$L:$L,0))&amp;"_ser_"&amp;TEXT(VALUE(SUBSTITUTE(SUBSTITUTE(TRIM(INDEX(MASTER!$M:$M,MATCH("Cryovial box 18: "&amp;($A226&amp;C$223),MASTER!$L:$L,0))),"ml",""),":",".")),"0.00")&amp;"_"&amp;TEXT(INDEX(MASTER!$E:$E,MATCH("Cryovial box 18: "&amp;($A226&amp;C$223),MASTER!$L:$L,0)),"mmddyy"),"")</f>
        <v/>
      </c>
      <c r="D226" s="4" t="str">
        <f>IFERROR(INDEX(MASTER!$A:$A,MATCH("Cryovial box 18: "&amp;($A226&amp;D$223),MASTER!$L:$L,0))&amp;"_ser_"&amp;TEXT(VALUE(SUBSTITUTE(SUBSTITUTE(TRIM(INDEX(MASTER!$M:$M,MATCH("Cryovial box 18: "&amp;($A226&amp;D$223),MASTER!$L:$L,0))),"ml",""),":",".")),"0.00")&amp;"_"&amp;TEXT(INDEX(MASTER!$E:$E,MATCH("Cryovial box 18: "&amp;($A226&amp;D$223),MASTER!$L:$L,0)),"mmddyy"),"")</f>
        <v/>
      </c>
      <c r="E226" s="4" t="str">
        <f>IFERROR(INDEX(MASTER!$A:$A,MATCH("Cryovial box 18: "&amp;($A226&amp;E$223),MASTER!$L:$L,0))&amp;"_ser_"&amp;TEXT(VALUE(SUBSTITUTE(SUBSTITUTE(TRIM(INDEX(MASTER!$M:$M,MATCH("Cryovial box 18: "&amp;($A226&amp;E$223),MASTER!$L:$L,0))),"ml",""),":",".")),"0.00")&amp;"_"&amp;TEXT(INDEX(MASTER!$E:$E,MATCH("Cryovial box 18: "&amp;($A226&amp;E$223),MASTER!$L:$L,0)),"mmddyy"),"")</f>
        <v/>
      </c>
      <c r="F226" s="4" t="str">
        <f>IFERROR(INDEX(MASTER!$A:$A,MATCH("Cryovial box 18: "&amp;($A226&amp;F$223),MASTER!$L:$L,0))&amp;"_ser_"&amp;TEXT(VALUE(SUBSTITUTE(SUBSTITUTE(TRIM(INDEX(MASTER!$M:$M,MATCH("Cryovial box 18: "&amp;($A226&amp;F$223),MASTER!$L:$L,0))),"ml",""),":",".")),"0.00")&amp;"_"&amp;TEXT(INDEX(MASTER!$E:$E,MATCH("Cryovial box 18: "&amp;($A226&amp;F$223),MASTER!$L:$L,0)),"mmddyy"),"")</f>
        <v/>
      </c>
      <c r="G226" s="4" t="str">
        <f>IFERROR(INDEX(MASTER!$A:$A,MATCH("Cryovial box 18: "&amp;($A226&amp;G$223),MASTER!$L:$L,0))&amp;"_ser_"&amp;TEXT(VALUE(SUBSTITUTE(SUBSTITUTE(TRIM(INDEX(MASTER!$M:$M,MATCH("Cryovial box 18: "&amp;($A226&amp;G$223),MASTER!$L:$L,0))),"ml",""),":",".")),"0.00")&amp;"_"&amp;TEXT(INDEX(MASTER!$E:$E,MATCH("Cryovial box 18: "&amp;($A226&amp;G$223),MASTER!$L:$L,0)),"mmddyy"),"")</f>
        <v/>
      </c>
      <c r="H226" s="4" t="str">
        <f>IFERROR(INDEX(MASTER!$A:$A,MATCH("Cryovial box 18: "&amp;($A226&amp;H$223),MASTER!$L:$L,0))&amp;"_ser_"&amp;TEXT(VALUE(SUBSTITUTE(SUBSTITUTE(TRIM(INDEX(MASTER!$M:$M,MATCH("Cryovial box 18: "&amp;($A226&amp;H$223),MASTER!$L:$L,0))),"ml",""),":",".")),"0.00")&amp;"_"&amp;TEXT(INDEX(MASTER!$E:$E,MATCH("Cryovial box 18: "&amp;($A226&amp;H$223),MASTER!$L:$L,0)),"mmddyy"),"")</f>
        <v/>
      </c>
      <c r="I226" s="4" t="str">
        <f>IFERROR(INDEX(MASTER!$A:$A,MATCH("Cryovial box 18: "&amp;($A226&amp;I$223),MASTER!$L:$L,0))&amp;"_ser_"&amp;TEXT(VALUE(SUBSTITUTE(SUBSTITUTE(TRIM(INDEX(MASTER!$M:$M,MATCH("Cryovial box 18: "&amp;($A226&amp;I$223),MASTER!$L:$L,0))),"ml",""),":",".")),"0.00")&amp;"_"&amp;TEXT(INDEX(MASTER!$E:$E,MATCH("Cryovial box 18: "&amp;($A226&amp;I$223),MASTER!$L:$L,0)),"mmddyy"),"")</f>
        <v/>
      </c>
      <c r="J226" s="4" t="str">
        <f>IFERROR(INDEX(MASTER!$A:$A,MATCH("Cryovial box 18: "&amp;($A226&amp;J$223),MASTER!$L:$L,0))&amp;"_ser_"&amp;TEXT(VALUE(SUBSTITUTE(SUBSTITUTE(TRIM(INDEX(MASTER!$M:$M,MATCH("Cryovial box 18: "&amp;($A226&amp;J$223),MASTER!$L:$L,0))),"ml",""),":",".")),"0.00")&amp;"_"&amp;TEXT(INDEX(MASTER!$E:$E,MATCH("Cryovial box 18: "&amp;($A226&amp;J$223),MASTER!$L:$L,0)),"mmddyy"),"")</f>
        <v/>
      </c>
      <c r="K226" s="4" t="str">
        <f>IFERROR(INDEX(MASTER!$A:$A,MATCH("Cryovial box 18: "&amp;($A226&amp;K$223),MASTER!$L:$L,0))&amp;"_ser_"&amp;TEXT(VALUE(SUBSTITUTE(SUBSTITUTE(TRIM(INDEX(MASTER!$M:$M,MATCH("Cryovial box 18: "&amp;($A226&amp;K$223),MASTER!$L:$L,0))),"ml",""),":",".")),"0.00")&amp;"_"&amp;TEXT(INDEX(MASTER!$E:$E,MATCH("Cryovial box 18: "&amp;($A226&amp;K$223),MASTER!$L:$L,0)),"mmddyy"),"")</f>
        <v/>
      </c>
    </row>
    <row r="227" spans="1:11" ht="14.15" customHeight="1" x14ac:dyDescent="0.3">
      <c r="A227" s="6" t="s">
        <v>33</v>
      </c>
      <c r="B227" s="4" t="str">
        <f>IFERROR(INDEX(MASTER!$A:$A,MATCH("Cryovial box 18: "&amp;($A227&amp;B$223),MASTER!$L:$L,0))&amp;"_ser_"&amp;TEXT(VALUE(SUBSTITUTE(SUBSTITUTE(TRIM(INDEX(MASTER!$M:$M,MATCH("Cryovial box 18: "&amp;($A227&amp;B$223),MASTER!$L:$L,0))),"ml",""),":",".")),"0.00")&amp;"_"&amp;TEXT(INDEX(MASTER!$E:$E,MATCH("Cryovial box 18: "&amp;($A227&amp;B$223),MASTER!$L:$L,0)),"mmddyy"),"")</f>
        <v/>
      </c>
      <c r="C227" s="4" t="str">
        <f>IFERROR(INDEX(MASTER!$A:$A,MATCH("Cryovial box 18: "&amp;($A227&amp;C$223),MASTER!$L:$L,0))&amp;"_ser_"&amp;TEXT(VALUE(SUBSTITUTE(SUBSTITUTE(TRIM(INDEX(MASTER!$M:$M,MATCH("Cryovial box 18: "&amp;($A227&amp;C$223),MASTER!$L:$L,0))),"ml",""),":",".")),"0.00")&amp;"_"&amp;TEXT(INDEX(MASTER!$E:$E,MATCH("Cryovial box 18: "&amp;($A227&amp;C$223),MASTER!$L:$L,0)),"mmddyy"),"")</f>
        <v/>
      </c>
      <c r="D227" s="4" t="str">
        <f>IFERROR(INDEX(MASTER!$A:$A,MATCH("Cryovial box 18: "&amp;($A227&amp;D$223),MASTER!$L:$L,0))&amp;"_ser_"&amp;TEXT(VALUE(SUBSTITUTE(SUBSTITUTE(TRIM(INDEX(MASTER!$M:$M,MATCH("Cryovial box 18: "&amp;($A227&amp;D$223),MASTER!$L:$L,0))),"ml",""),":",".")),"0.00")&amp;"_"&amp;TEXT(INDEX(MASTER!$E:$E,MATCH("Cryovial box 18: "&amp;($A227&amp;D$223),MASTER!$L:$L,0)),"mmddyy"),"")</f>
        <v/>
      </c>
      <c r="E227" s="4" t="str">
        <f>IFERROR(INDEX(MASTER!$A:$A,MATCH("Cryovial box 18: "&amp;($A227&amp;E$223),MASTER!$L:$L,0))&amp;"_ser_"&amp;TEXT(VALUE(SUBSTITUTE(SUBSTITUTE(TRIM(INDEX(MASTER!$M:$M,MATCH("Cryovial box 18: "&amp;($A227&amp;E$223),MASTER!$L:$L,0))),"ml",""),":",".")),"0.00")&amp;"_"&amp;TEXT(INDEX(MASTER!$E:$E,MATCH("Cryovial box 18: "&amp;($A227&amp;E$223),MASTER!$L:$L,0)),"mmddyy"),"")</f>
        <v/>
      </c>
      <c r="F227" s="4" t="str">
        <f>IFERROR(INDEX(MASTER!$A:$A,MATCH("Cryovial box 18: "&amp;($A227&amp;F$223),MASTER!$L:$L,0))&amp;"_ser_"&amp;TEXT(VALUE(SUBSTITUTE(SUBSTITUTE(TRIM(INDEX(MASTER!$M:$M,MATCH("Cryovial box 18: "&amp;($A227&amp;F$223),MASTER!$L:$L,0))),"ml",""),":",".")),"0.00")&amp;"_"&amp;TEXT(INDEX(MASTER!$E:$E,MATCH("Cryovial box 18: "&amp;($A227&amp;F$223),MASTER!$L:$L,0)),"mmddyy"),"")</f>
        <v/>
      </c>
      <c r="G227" s="4" t="str">
        <f>IFERROR(INDEX(MASTER!$A:$A,MATCH("Cryovial box 18: "&amp;($A227&amp;G$223),MASTER!$L:$L,0))&amp;"_ser_"&amp;TEXT(VALUE(SUBSTITUTE(SUBSTITUTE(TRIM(INDEX(MASTER!$M:$M,MATCH("Cryovial box 18: "&amp;($A227&amp;G$223),MASTER!$L:$L,0))),"ml",""),":",".")),"0.00")&amp;"_"&amp;TEXT(INDEX(MASTER!$E:$E,MATCH("Cryovial box 18: "&amp;($A227&amp;G$223),MASTER!$L:$L,0)),"mmddyy"),"")</f>
        <v/>
      </c>
      <c r="H227" s="4" t="str">
        <f>IFERROR(INDEX(MASTER!$A:$A,MATCH("Cryovial box 18: "&amp;($A227&amp;H$223),MASTER!$L:$L,0))&amp;"_ser_"&amp;TEXT(VALUE(SUBSTITUTE(SUBSTITUTE(TRIM(INDEX(MASTER!$M:$M,MATCH("Cryovial box 18: "&amp;($A227&amp;H$223),MASTER!$L:$L,0))),"ml",""),":",".")),"0.00")&amp;"_"&amp;TEXT(INDEX(MASTER!$E:$E,MATCH("Cryovial box 18: "&amp;($A227&amp;H$223),MASTER!$L:$L,0)),"mmddyy"),"")</f>
        <v/>
      </c>
      <c r="I227" s="4" t="str">
        <f>IFERROR(INDEX(MASTER!$A:$A,MATCH("Cryovial box 18: "&amp;($A227&amp;I$223),MASTER!$L:$L,0))&amp;"_ser_"&amp;TEXT(VALUE(SUBSTITUTE(SUBSTITUTE(TRIM(INDEX(MASTER!$M:$M,MATCH("Cryovial box 18: "&amp;($A227&amp;I$223),MASTER!$L:$L,0))),"ml",""),":",".")),"0.00")&amp;"_"&amp;TEXT(INDEX(MASTER!$E:$E,MATCH("Cryovial box 18: "&amp;($A227&amp;I$223),MASTER!$L:$L,0)),"mmddyy"),"")</f>
        <v/>
      </c>
      <c r="J227" s="4" t="str">
        <f>IFERROR(INDEX(MASTER!$A:$A,MATCH("Cryovial box 18: "&amp;($A227&amp;J$223),MASTER!$L:$L,0))&amp;"_ser_"&amp;TEXT(VALUE(SUBSTITUTE(SUBSTITUTE(TRIM(INDEX(MASTER!$M:$M,MATCH("Cryovial box 18: "&amp;($A227&amp;J$223),MASTER!$L:$L,0))),"ml",""),":",".")),"0.00")&amp;"_"&amp;TEXT(INDEX(MASTER!$E:$E,MATCH("Cryovial box 18: "&amp;($A227&amp;J$223),MASTER!$L:$L,0)),"mmddyy"),"")</f>
        <v/>
      </c>
      <c r="K227" s="4" t="str">
        <f>IFERROR(INDEX(MASTER!$A:$A,MATCH("Cryovial box 18: "&amp;($A227&amp;K$223),MASTER!$L:$L,0))&amp;"_ser_"&amp;TEXT(VALUE(SUBSTITUTE(SUBSTITUTE(TRIM(INDEX(MASTER!$M:$M,MATCH("Cryovial box 18: "&amp;($A227&amp;K$223),MASTER!$L:$L,0))),"ml",""),":",".")),"0.00")&amp;"_"&amp;TEXT(INDEX(MASTER!$E:$E,MATCH("Cryovial box 18: "&amp;($A227&amp;K$223),MASTER!$L:$L,0)),"mmddyy"),"")</f>
        <v/>
      </c>
    </row>
    <row r="228" spans="1:11" ht="14.15" customHeight="1" x14ac:dyDescent="0.3">
      <c r="A228" s="6" t="s">
        <v>34</v>
      </c>
      <c r="B228" s="4" t="str">
        <f>IFERROR(INDEX(MASTER!$A:$A,MATCH("Cryovial box 18: "&amp;($A228&amp;B$223),MASTER!$L:$L,0))&amp;"_ser_"&amp;TEXT(VALUE(SUBSTITUTE(SUBSTITUTE(TRIM(INDEX(MASTER!$M:$M,MATCH("Cryovial box 18: "&amp;($A228&amp;B$223),MASTER!$L:$L,0))),"ml",""),":",".")),"0.00")&amp;"_"&amp;TEXT(INDEX(MASTER!$E:$E,MATCH("Cryovial box 18: "&amp;($A228&amp;B$223),MASTER!$L:$L,0)),"mmddyy"),"")</f>
        <v/>
      </c>
      <c r="C228" s="4" t="str">
        <f>IFERROR(INDEX(MASTER!$A:$A,MATCH("Cryovial box 18: "&amp;($A228&amp;C$223),MASTER!$L:$L,0))&amp;"_ser_"&amp;TEXT(VALUE(SUBSTITUTE(SUBSTITUTE(TRIM(INDEX(MASTER!$M:$M,MATCH("Cryovial box 18: "&amp;($A228&amp;C$223),MASTER!$L:$L,0))),"ml",""),":",".")),"0.00")&amp;"_"&amp;TEXT(INDEX(MASTER!$E:$E,MATCH("Cryovial box 18: "&amp;($A228&amp;C$223),MASTER!$L:$L,0)),"mmddyy"),"")</f>
        <v/>
      </c>
      <c r="D228" s="4" t="str">
        <f>IFERROR(INDEX(MASTER!$A:$A,MATCH("Cryovial box 18: "&amp;($A228&amp;D$223),MASTER!$L:$L,0))&amp;"_ser_"&amp;TEXT(VALUE(SUBSTITUTE(SUBSTITUTE(TRIM(INDEX(MASTER!$M:$M,MATCH("Cryovial box 18: "&amp;($A228&amp;D$223),MASTER!$L:$L,0))),"ml",""),":",".")),"0.00")&amp;"_"&amp;TEXT(INDEX(MASTER!$E:$E,MATCH("Cryovial box 18: "&amp;($A228&amp;D$223),MASTER!$L:$L,0)),"mmddyy"),"")</f>
        <v/>
      </c>
      <c r="E228" s="4" t="str">
        <f>IFERROR(INDEX(MASTER!$A:$A,MATCH("Cryovial box 18: "&amp;($A228&amp;E$223),MASTER!$L:$L,0))&amp;"_ser_"&amp;TEXT(VALUE(SUBSTITUTE(SUBSTITUTE(TRIM(INDEX(MASTER!$M:$M,MATCH("Cryovial box 18: "&amp;($A228&amp;E$223),MASTER!$L:$L,0))),"ml",""),":",".")),"0.00")&amp;"_"&amp;TEXT(INDEX(MASTER!$E:$E,MATCH("Cryovial box 18: "&amp;($A228&amp;E$223),MASTER!$L:$L,0)),"mmddyy"),"")</f>
        <v/>
      </c>
      <c r="F228" s="4" t="str">
        <f>IFERROR(INDEX(MASTER!$A:$A,MATCH("Cryovial box 18: "&amp;($A228&amp;F$223),MASTER!$L:$L,0))&amp;"_ser_"&amp;TEXT(VALUE(SUBSTITUTE(SUBSTITUTE(TRIM(INDEX(MASTER!$M:$M,MATCH("Cryovial box 18: "&amp;($A228&amp;F$223),MASTER!$L:$L,0))),"ml",""),":",".")),"0.00")&amp;"_"&amp;TEXT(INDEX(MASTER!$E:$E,MATCH("Cryovial box 18: "&amp;($A228&amp;F$223),MASTER!$L:$L,0)),"mmddyy"),"")</f>
        <v/>
      </c>
      <c r="G228" s="4" t="str">
        <f>IFERROR(INDEX(MASTER!$A:$A,MATCH("Cryovial box 18: "&amp;($A228&amp;G$223),MASTER!$L:$L,0))&amp;"_ser_"&amp;TEXT(VALUE(SUBSTITUTE(SUBSTITUTE(TRIM(INDEX(MASTER!$M:$M,MATCH("Cryovial box 18: "&amp;($A228&amp;G$223),MASTER!$L:$L,0))),"ml",""),":",".")),"0.00")&amp;"_"&amp;TEXT(INDEX(MASTER!$E:$E,MATCH("Cryovial box 18: "&amp;($A228&amp;G$223),MASTER!$L:$L,0)),"mmddyy"),"")</f>
        <v/>
      </c>
      <c r="H228" s="4" t="str">
        <f>IFERROR(INDEX(MASTER!$A:$A,MATCH("Cryovial box 18: "&amp;($A228&amp;H$223),MASTER!$L:$L,0))&amp;"_ser_"&amp;TEXT(VALUE(SUBSTITUTE(SUBSTITUTE(TRIM(INDEX(MASTER!$M:$M,MATCH("Cryovial box 18: "&amp;($A228&amp;H$223),MASTER!$L:$L,0))),"ml",""),":",".")),"0.00")&amp;"_"&amp;TEXT(INDEX(MASTER!$E:$E,MATCH("Cryovial box 18: "&amp;($A228&amp;H$223),MASTER!$L:$L,0)),"mmddyy"),"")</f>
        <v/>
      </c>
      <c r="I228" s="4" t="str">
        <f>IFERROR(INDEX(MASTER!$A:$A,MATCH("Cryovial box 18: "&amp;($A228&amp;I$223),MASTER!$L:$L,0))&amp;"_ser_"&amp;TEXT(VALUE(SUBSTITUTE(SUBSTITUTE(TRIM(INDEX(MASTER!$M:$M,MATCH("Cryovial box 18: "&amp;($A228&amp;I$223),MASTER!$L:$L,0))),"ml",""),":",".")),"0.00")&amp;"_"&amp;TEXT(INDEX(MASTER!$E:$E,MATCH("Cryovial box 18: "&amp;($A228&amp;I$223),MASTER!$L:$L,0)),"mmddyy"),"")</f>
        <v/>
      </c>
      <c r="J228" s="4" t="str">
        <f>IFERROR(INDEX(MASTER!$A:$A,MATCH("Cryovial box 18: "&amp;($A228&amp;J$223),MASTER!$L:$L,0))&amp;"_ser_"&amp;TEXT(VALUE(SUBSTITUTE(SUBSTITUTE(TRIM(INDEX(MASTER!$M:$M,MATCH("Cryovial box 18: "&amp;($A228&amp;J$223),MASTER!$L:$L,0))),"ml",""),":",".")),"0.00")&amp;"_"&amp;TEXT(INDEX(MASTER!$E:$E,MATCH("Cryovial box 18: "&amp;($A228&amp;J$223),MASTER!$L:$L,0)),"mmddyy"),"")</f>
        <v/>
      </c>
      <c r="K228" s="4" t="str">
        <f>IFERROR(INDEX(MASTER!$A:$A,MATCH("Cryovial box 18: "&amp;($A228&amp;K$223),MASTER!$L:$L,0))&amp;"_ser_"&amp;TEXT(VALUE(SUBSTITUTE(SUBSTITUTE(TRIM(INDEX(MASTER!$M:$M,MATCH("Cryovial box 18: "&amp;($A228&amp;K$223),MASTER!$L:$L,0))),"ml",""),":",".")),"0.00")&amp;"_"&amp;TEXT(INDEX(MASTER!$E:$E,MATCH("Cryovial box 18: "&amp;($A228&amp;K$223),MASTER!$L:$L,0)),"mmddyy"),"")</f>
        <v/>
      </c>
    </row>
    <row r="229" spans="1:11" ht="14.15" customHeight="1" x14ac:dyDescent="0.3">
      <c r="A229" s="6" t="s">
        <v>15</v>
      </c>
      <c r="B229" s="4" t="str">
        <f>IFERROR(INDEX(MASTER!$A:$A,MATCH("Cryovial box 18: "&amp;($A229&amp;B$223),MASTER!$L:$L,0))&amp;"_ser_"&amp;TEXT(VALUE(SUBSTITUTE(SUBSTITUTE(TRIM(INDEX(MASTER!$M:$M,MATCH("Cryovial box 18: "&amp;($A229&amp;B$223),MASTER!$L:$L,0))),"ml",""),":",".")),"0.00")&amp;"_"&amp;TEXT(INDEX(MASTER!$E:$E,MATCH("Cryovial box 18: "&amp;($A229&amp;B$223),MASTER!$L:$L,0)),"mmddyy"),"")</f>
        <v/>
      </c>
      <c r="C229" s="4" t="str">
        <f>IFERROR(INDEX(MASTER!$A:$A,MATCH("Cryovial box 18: "&amp;($A229&amp;C$223),MASTER!$L:$L,0))&amp;"_ser_"&amp;TEXT(VALUE(SUBSTITUTE(SUBSTITUTE(TRIM(INDEX(MASTER!$M:$M,MATCH("Cryovial box 18: "&amp;($A229&amp;C$223),MASTER!$L:$L,0))),"ml",""),":",".")),"0.00")&amp;"_"&amp;TEXT(INDEX(MASTER!$E:$E,MATCH("Cryovial box 18: "&amp;($A229&amp;C$223),MASTER!$L:$L,0)),"mmddyy"),"")</f>
        <v/>
      </c>
      <c r="D229" s="4" t="str">
        <f>IFERROR(INDEX(MASTER!$A:$A,MATCH("Cryovial box 18: "&amp;($A229&amp;D$223),MASTER!$L:$L,0))&amp;"_ser_"&amp;TEXT(VALUE(SUBSTITUTE(SUBSTITUTE(TRIM(INDEX(MASTER!$M:$M,MATCH("Cryovial box 18: "&amp;($A229&amp;D$223),MASTER!$L:$L,0))),"ml",""),":",".")),"0.00")&amp;"_"&amp;TEXT(INDEX(MASTER!$E:$E,MATCH("Cryovial box 18: "&amp;($A229&amp;D$223),MASTER!$L:$L,0)),"mmddyy"),"")</f>
        <v/>
      </c>
      <c r="E229" s="4" t="str">
        <f>IFERROR(INDEX(MASTER!$A:$A,MATCH("Cryovial box 18: "&amp;($A229&amp;E$223),MASTER!$L:$L,0))&amp;"_ser_"&amp;TEXT(VALUE(SUBSTITUTE(SUBSTITUTE(TRIM(INDEX(MASTER!$M:$M,MATCH("Cryovial box 18: "&amp;($A229&amp;E$223),MASTER!$L:$L,0))),"ml",""),":",".")),"0.00")&amp;"_"&amp;TEXT(INDEX(MASTER!$E:$E,MATCH("Cryovial box 18: "&amp;($A229&amp;E$223),MASTER!$L:$L,0)),"mmddyy"),"")</f>
        <v/>
      </c>
      <c r="F229" s="4" t="str">
        <f>IFERROR(INDEX(MASTER!$A:$A,MATCH("Cryovial box 18: "&amp;($A229&amp;F$223),MASTER!$L:$L,0))&amp;"_ser_"&amp;TEXT(VALUE(SUBSTITUTE(SUBSTITUTE(TRIM(INDEX(MASTER!$M:$M,MATCH("Cryovial box 18: "&amp;($A229&amp;F$223),MASTER!$L:$L,0))),"ml",""),":",".")),"0.00")&amp;"_"&amp;TEXT(INDEX(MASTER!$E:$E,MATCH("Cryovial box 18: "&amp;($A229&amp;F$223),MASTER!$L:$L,0)),"mmddyy"),"")</f>
        <v/>
      </c>
      <c r="G229" s="4" t="str">
        <f>IFERROR(INDEX(MASTER!$A:$A,MATCH("Cryovial box 18: "&amp;($A229&amp;G$223),MASTER!$L:$L,0))&amp;"_ser_"&amp;TEXT(VALUE(SUBSTITUTE(SUBSTITUTE(TRIM(INDEX(MASTER!$M:$M,MATCH("Cryovial box 18: "&amp;($A229&amp;G$223),MASTER!$L:$L,0))),"ml",""),":",".")),"0.00")&amp;"_"&amp;TEXT(INDEX(MASTER!$E:$E,MATCH("Cryovial box 18: "&amp;($A229&amp;G$223),MASTER!$L:$L,0)),"mmddyy"),"")</f>
        <v/>
      </c>
      <c r="H229" s="4" t="str">
        <f>IFERROR(INDEX(MASTER!$A:$A,MATCH("Cryovial box 18: "&amp;($A229&amp;H$223),MASTER!$L:$L,0))&amp;"_ser_"&amp;TEXT(VALUE(SUBSTITUTE(SUBSTITUTE(TRIM(INDEX(MASTER!$M:$M,MATCH("Cryovial box 18: "&amp;($A229&amp;H$223),MASTER!$L:$L,0))),"ml",""),":",".")),"0.00")&amp;"_"&amp;TEXT(INDEX(MASTER!$E:$E,MATCH("Cryovial box 18: "&amp;($A229&amp;H$223),MASTER!$L:$L,0)),"mmddyy"),"")</f>
        <v/>
      </c>
      <c r="I229" s="4" t="str">
        <f>IFERROR(INDEX(MASTER!$A:$A,MATCH("Cryovial box 18: "&amp;($A229&amp;I$223),MASTER!$L:$L,0))&amp;"_ser_"&amp;TEXT(VALUE(SUBSTITUTE(SUBSTITUTE(TRIM(INDEX(MASTER!$M:$M,MATCH("Cryovial box 18: "&amp;($A229&amp;I$223),MASTER!$L:$L,0))),"ml",""),":",".")),"0.00")&amp;"_"&amp;TEXT(INDEX(MASTER!$E:$E,MATCH("Cryovial box 18: "&amp;($A229&amp;I$223),MASTER!$L:$L,0)),"mmddyy"),"")</f>
        <v/>
      </c>
      <c r="J229" s="4" t="str">
        <f>IFERROR(INDEX(MASTER!$A:$A,MATCH("Cryovial box 18: "&amp;($A229&amp;J$223),MASTER!$L:$L,0))&amp;"_ser_"&amp;TEXT(VALUE(SUBSTITUTE(SUBSTITUTE(TRIM(INDEX(MASTER!$M:$M,MATCH("Cryovial box 18: "&amp;($A229&amp;J$223),MASTER!$L:$L,0))),"ml",""),":",".")),"0.00")&amp;"_"&amp;TEXT(INDEX(MASTER!$E:$E,MATCH("Cryovial box 18: "&amp;($A229&amp;J$223),MASTER!$L:$L,0)),"mmddyy"),"")</f>
        <v/>
      </c>
      <c r="K229" s="4" t="str">
        <f>IFERROR(INDEX(MASTER!$A:$A,MATCH("Cryovial box 18: "&amp;($A229&amp;K$223),MASTER!$L:$L,0))&amp;"_ser_"&amp;TEXT(VALUE(SUBSTITUTE(SUBSTITUTE(TRIM(INDEX(MASTER!$M:$M,MATCH("Cryovial box 18: "&amp;($A229&amp;K$223),MASTER!$L:$L,0))),"ml",""),":",".")),"0.00")&amp;"_"&amp;TEXT(INDEX(MASTER!$E:$E,MATCH("Cryovial box 18: "&amp;($A229&amp;K$223),MASTER!$L:$L,0)),"mmddyy"),"")</f>
        <v/>
      </c>
    </row>
    <row r="230" spans="1:11" ht="15" customHeight="1" x14ac:dyDescent="0.3">
      <c r="A230" s="6" t="s">
        <v>35</v>
      </c>
      <c r="B230" s="4" t="str">
        <f>IFERROR(INDEX(MASTER!$A:$A,MATCH("Cryovial box 18: "&amp;($A230&amp;B$223),MASTER!$L:$L,0))&amp;"_ser_"&amp;TEXT(VALUE(SUBSTITUTE(SUBSTITUTE(TRIM(INDEX(MASTER!$M:$M,MATCH("Cryovial box 18: "&amp;($A230&amp;B$223),MASTER!$L:$L,0))),"ml",""),":",".")),"0.00")&amp;"_"&amp;TEXT(INDEX(MASTER!$E:$E,MATCH("Cryovial box 18: "&amp;($A230&amp;B$223),MASTER!$L:$L,0)),"mmddyy"),"")</f>
        <v/>
      </c>
      <c r="C230" s="4" t="str">
        <f>IFERROR(INDEX(MASTER!$A:$A,MATCH("Cryovial box 18: "&amp;($A230&amp;C$223),MASTER!$L:$L,0))&amp;"_ser_"&amp;TEXT(VALUE(SUBSTITUTE(SUBSTITUTE(TRIM(INDEX(MASTER!$M:$M,MATCH("Cryovial box 18: "&amp;($A230&amp;C$223),MASTER!$L:$L,0))),"ml",""),":",".")),"0.00")&amp;"_"&amp;TEXT(INDEX(MASTER!$E:$E,MATCH("Cryovial box 18: "&amp;($A230&amp;C$223),MASTER!$L:$L,0)),"mmddyy"),"")</f>
        <v/>
      </c>
      <c r="D230" s="4" t="str">
        <f>IFERROR(INDEX(MASTER!$A:$A,MATCH("Cryovial box 18: "&amp;($A230&amp;D$223),MASTER!$L:$L,0))&amp;"_ser_"&amp;TEXT(VALUE(SUBSTITUTE(SUBSTITUTE(TRIM(INDEX(MASTER!$M:$M,MATCH("Cryovial box 18: "&amp;($A230&amp;D$223),MASTER!$L:$L,0))),"ml",""),":",".")),"0.00")&amp;"_"&amp;TEXT(INDEX(MASTER!$E:$E,MATCH("Cryovial box 18: "&amp;($A230&amp;D$223),MASTER!$L:$L,0)),"mmddyy"),"")</f>
        <v/>
      </c>
      <c r="E230" s="4" t="str">
        <f>IFERROR(INDEX(MASTER!$A:$A,MATCH("Cryovial box 18: "&amp;($A230&amp;E$223),MASTER!$L:$L,0))&amp;"_ser_"&amp;TEXT(VALUE(SUBSTITUTE(SUBSTITUTE(TRIM(INDEX(MASTER!$M:$M,MATCH("Cryovial box 18: "&amp;($A230&amp;E$223),MASTER!$L:$L,0))),"ml",""),":",".")),"0.00")&amp;"_"&amp;TEXT(INDEX(MASTER!$E:$E,MATCH("Cryovial box 18: "&amp;($A230&amp;E$223),MASTER!$L:$L,0)),"mmddyy"),"")</f>
        <v/>
      </c>
      <c r="F230" s="4" t="str">
        <f>IFERROR(INDEX(MASTER!$A:$A,MATCH("Cryovial box 18: "&amp;($A230&amp;F$223),MASTER!$L:$L,0))&amp;"_ser_"&amp;TEXT(VALUE(SUBSTITUTE(SUBSTITUTE(TRIM(INDEX(MASTER!$M:$M,MATCH("Cryovial box 18: "&amp;($A230&amp;F$223),MASTER!$L:$L,0))),"ml",""),":",".")),"0.00")&amp;"_"&amp;TEXT(INDEX(MASTER!$E:$E,MATCH("Cryovial box 18: "&amp;($A230&amp;F$223),MASTER!$L:$L,0)),"mmddyy"),"")</f>
        <v/>
      </c>
      <c r="G230" s="4" t="str">
        <f>IFERROR(INDEX(MASTER!$A:$A,MATCH("Cryovial box 18: "&amp;($A230&amp;G$223),MASTER!$L:$L,0))&amp;"_ser_"&amp;TEXT(VALUE(SUBSTITUTE(SUBSTITUTE(TRIM(INDEX(MASTER!$M:$M,MATCH("Cryovial box 18: "&amp;($A230&amp;G$223),MASTER!$L:$L,0))),"ml",""),":",".")),"0.00")&amp;"_"&amp;TEXT(INDEX(MASTER!$E:$E,MATCH("Cryovial box 18: "&amp;($A230&amp;G$223),MASTER!$L:$L,0)),"mmddyy"),"")</f>
        <v/>
      </c>
      <c r="H230" s="4" t="str">
        <f>IFERROR(INDEX(MASTER!$A:$A,MATCH("Cryovial box 18: "&amp;($A230&amp;H$223),MASTER!$L:$L,0))&amp;"_ser_"&amp;TEXT(VALUE(SUBSTITUTE(SUBSTITUTE(TRIM(INDEX(MASTER!$M:$M,MATCH("Cryovial box 18: "&amp;($A230&amp;H$223),MASTER!$L:$L,0))),"ml",""),":",".")),"0.00")&amp;"_"&amp;TEXT(INDEX(MASTER!$E:$E,MATCH("Cryovial box 18: "&amp;($A230&amp;H$223),MASTER!$L:$L,0)),"mmddyy"),"")</f>
        <v/>
      </c>
      <c r="I230" s="4" t="str">
        <f>IFERROR(INDEX(MASTER!$A:$A,MATCH("Cryovial box 18: "&amp;($A230&amp;I$223),MASTER!$L:$L,0))&amp;"_ser_"&amp;TEXT(VALUE(SUBSTITUTE(SUBSTITUTE(TRIM(INDEX(MASTER!$M:$M,MATCH("Cryovial box 18: "&amp;($A230&amp;I$223),MASTER!$L:$L,0))),"ml",""),":",".")),"0.00")&amp;"_"&amp;TEXT(INDEX(MASTER!$E:$E,MATCH("Cryovial box 18: "&amp;($A230&amp;I$223),MASTER!$L:$L,0)),"mmddyy"),"")</f>
        <v/>
      </c>
      <c r="J230" s="4" t="str">
        <f>IFERROR(INDEX(MASTER!$A:$A,MATCH("Cryovial box 18: "&amp;($A230&amp;J$223),MASTER!$L:$L,0))&amp;"_ser_"&amp;TEXT(VALUE(SUBSTITUTE(SUBSTITUTE(TRIM(INDEX(MASTER!$M:$M,MATCH("Cryovial box 18: "&amp;($A230&amp;J$223),MASTER!$L:$L,0))),"ml",""),":",".")),"0.00")&amp;"_"&amp;TEXT(INDEX(MASTER!$E:$E,MATCH("Cryovial box 18: "&amp;($A230&amp;J$223),MASTER!$L:$L,0)),"mmddyy"),"")</f>
        <v/>
      </c>
      <c r="K230" s="4" t="str">
        <f>IFERROR(INDEX(MASTER!$A:$A,MATCH("Cryovial box 18: "&amp;($A230&amp;K$223),MASTER!$L:$L,0))&amp;"_ser_"&amp;TEXT(VALUE(SUBSTITUTE(SUBSTITUTE(TRIM(INDEX(MASTER!$M:$M,MATCH("Cryovial box 18: "&amp;($A230&amp;K$223),MASTER!$L:$L,0))),"ml",""),":",".")),"0.00")&amp;"_"&amp;TEXT(INDEX(MASTER!$E:$E,MATCH("Cryovial box 18: "&amp;($A230&amp;K$223),MASTER!$L:$L,0)),"mmddyy"),"")</f>
        <v/>
      </c>
    </row>
    <row r="231" spans="1:11" ht="15" customHeight="1" x14ac:dyDescent="0.3">
      <c r="A231" s="6" t="s">
        <v>36</v>
      </c>
      <c r="B231" s="4" t="str">
        <f>IFERROR(INDEX(MASTER!$A:$A,MATCH("Cryovial box 18: "&amp;($A231&amp;B$223),MASTER!$L:$L,0))&amp;"_ser_"&amp;TEXT(VALUE(SUBSTITUTE(SUBSTITUTE(TRIM(INDEX(MASTER!$M:$M,MATCH("Cryovial box 18: "&amp;($A231&amp;B$223),MASTER!$L:$L,0))),"ml",""),":",".")),"0.00")&amp;"_"&amp;TEXT(INDEX(MASTER!$E:$E,MATCH("Cryovial box 18: "&amp;($A231&amp;B$223),MASTER!$L:$L,0)),"mmddyy"),"")</f>
        <v/>
      </c>
      <c r="C231" s="4" t="str">
        <f>IFERROR(INDEX(MASTER!$A:$A,MATCH("Cryovial box 18: "&amp;($A231&amp;C$223),MASTER!$L:$L,0))&amp;"_ser_"&amp;TEXT(VALUE(SUBSTITUTE(SUBSTITUTE(TRIM(INDEX(MASTER!$M:$M,MATCH("Cryovial box 18: "&amp;($A231&amp;C$223),MASTER!$L:$L,0))),"ml",""),":",".")),"0.00")&amp;"_"&amp;TEXT(INDEX(MASTER!$E:$E,MATCH("Cryovial box 18: "&amp;($A231&amp;C$223),MASTER!$L:$L,0)),"mmddyy"),"")</f>
        <v/>
      </c>
      <c r="D231" s="4" t="str">
        <f>IFERROR(INDEX(MASTER!$A:$A,MATCH("Cryovial box 18: "&amp;($A231&amp;D$223),MASTER!$L:$L,0))&amp;"_ser_"&amp;TEXT(VALUE(SUBSTITUTE(SUBSTITUTE(TRIM(INDEX(MASTER!$M:$M,MATCH("Cryovial box 18: "&amp;($A231&amp;D$223),MASTER!$L:$L,0))),"ml",""),":",".")),"0.00")&amp;"_"&amp;TEXT(INDEX(MASTER!$E:$E,MATCH("Cryovial box 18: "&amp;($A231&amp;D$223),MASTER!$L:$L,0)),"mmddyy"),"")</f>
        <v/>
      </c>
      <c r="E231" s="4" t="str">
        <f>IFERROR(INDEX(MASTER!$A:$A,MATCH("Cryovial box 18: "&amp;($A231&amp;E$223),MASTER!$L:$L,0))&amp;"_ser_"&amp;TEXT(VALUE(SUBSTITUTE(SUBSTITUTE(TRIM(INDEX(MASTER!$M:$M,MATCH("Cryovial box 18: "&amp;($A231&amp;E$223),MASTER!$L:$L,0))),"ml",""),":",".")),"0.00")&amp;"_"&amp;TEXT(INDEX(MASTER!$E:$E,MATCH("Cryovial box 18: "&amp;($A231&amp;E$223),MASTER!$L:$L,0)),"mmddyy"),"")</f>
        <v/>
      </c>
      <c r="F231" s="4" t="str">
        <f>IFERROR(INDEX(MASTER!$A:$A,MATCH("Cryovial box 18: "&amp;($A231&amp;F$223),MASTER!$L:$L,0))&amp;"_ser_"&amp;TEXT(VALUE(SUBSTITUTE(SUBSTITUTE(TRIM(INDEX(MASTER!$M:$M,MATCH("Cryovial box 18: "&amp;($A231&amp;F$223),MASTER!$L:$L,0))),"ml",""),":",".")),"0.00")&amp;"_"&amp;TEXT(INDEX(MASTER!$E:$E,MATCH("Cryovial box 18: "&amp;($A231&amp;F$223),MASTER!$L:$L,0)),"mmddyy"),"")</f>
        <v/>
      </c>
      <c r="G231" s="4" t="str">
        <f>IFERROR(INDEX(MASTER!$A:$A,MATCH("Cryovial box 18: "&amp;($A231&amp;G$223),MASTER!$L:$L,0))&amp;"_ser_"&amp;TEXT(VALUE(SUBSTITUTE(SUBSTITUTE(TRIM(INDEX(MASTER!$M:$M,MATCH("Cryovial box 18: "&amp;($A231&amp;G$223),MASTER!$L:$L,0))),"ml",""),":",".")),"0.00")&amp;"_"&amp;TEXT(INDEX(MASTER!$E:$E,MATCH("Cryovial box 18: "&amp;($A231&amp;G$223),MASTER!$L:$L,0)),"mmddyy"),"")</f>
        <v/>
      </c>
      <c r="H231" s="4" t="str">
        <f>IFERROR(INDEX(MASTER!$A:$A,MATCH("Cryovial box 18: "&amp;($A231&amp;H$223),MASTER!$L:$L,0))&amp;"_ser_"&amp;TEXT(VALUE(SUBSTITUTE(SUBSTITUTE(TRIM(INDEX(MASTER!$M:$M,MATCH("Cryovial box 18: "&amp;($A231&amp;H$223),MASTER!$L:$L,0))),"ml",""),":",".")),"0.00")&amp;"_"&amp;TEXT(INDEX(MASTER!$E:$E,MATCH("Cryovial box 18: "&amp;($A231&amp;H$223),MASTER!$L:$L,0)),"mmddyy"),"")</f>
        <v/>
      </c>
      <c r="I231" s="4" t="str">
        <f>IFERROR(INDEX(MASTER!$A:$A,MATCH("Cryovial box 18: "&amp;($A231&amp;I$223),MASTER!$L:$L,0))&amp;"_ser_"&amp;TEXT(VALUE(SUBSTITUTE(SUBSTITUTE(TRIM(INDEX(MASTER!$M:$M,MATCH("Cryovial box 18: "&amp;($A231&amp;I$223),MASTER!$L:$L,0))),"ml",""),":",".")),"0.00")&amp;"_"&amp;TEXT(INDEX(MASTER!$E:$E,MATCH("Cryovial box 18: "&amp;($A231&amp;I$223),MASTER!$L:$L,0)),"mmddyy"),"")</f>
        <v/>
      </c>
      <c r="J231" s="4" t="str">
        <f>IFERROR(INDEX(MASTER!$A:$A,MATCH("Cryovial box 18: "&amp;($A231&amp;J$223),MASTER!$L:$L,0))&amp;"_ser_"&amp;TEXT(VALUE(SUBSTITUTE(SUBSTITUTE(TRIM(INDEX(MASTER!$M:$M,MATCH("Cryovial box 18: "&amp;($A231&amp;J$223),MASTER!$L:$L,0))),"ml",""),":",".")),"0.00")&amp;"_"&amp;TEXT(INDEX(MASTER!$E:$E,MATCH("Cryovial box 18: "&amp;($A231&amp;J$223),MASTER!$L:$L,0)),"mmddyy"),"")</f>
        <v/>
      </c>
      <c r="K231" s="4" t="str">
        <f>IFERROR(INDEX(MASTER!$A:$A,MATCH("Cryovial box 18: "&amp;($A231&amp;K$223),MASTER!$L:$L,0))&amp;"_ser_"&amp;TEXT(VALUE(SUBSTITUTE(SUBSTITUTE(TRIM(INDEX(MASTER!$M:$M,MATCH("Cryovial box 18: "&amp;($A231&amp;K$223),MASTER!$L:$L,0))),"ml",""),":",".")),"0.00")&amp;"_"&amp;TEXT(INDEX(MASTER!$E:$E,MATCH("Cryovial box 18: "&amp;($A231&amp;K$223),MASTER!$L:$L,0)),"mmddyy"),"")</f>
        <v/>
      </c>
    </row>
    <row r="232" spans="1:11" ht="15" customHeight="1" x14ac:dyDescent="0.3">
      <c r="A232" s="6" t="s">
        <v>100</v>
      </c>
      <c r="B232" s="4" t="str">
        <f>IFERROR(INDEX(MASTER!$A:$A,MATCH("Cryovial box 18: "&amp;($A232&amp;B$223),MASTER!$L:$L,0))&amp;"_ser_"&amp;TEXT(VALUE(SUBSTITUTE(SUBSTITUTE(TRIM(INDEX(MASTER!$M:$M,MATCH("Cryovial box 18: "&amp;($A232&amp;B$223),MASTER!$L:$L,0))),"ml",""),":",".")),"0.00")&amp;"_"&amp;TEXT(INDEX(MASTER!$E:$E,MATCH("Cryovial box 18: "&amp;($A232&amp;B$223),MASTER!$L:$L,0)),"mmddyy"),"")</f>
        <v/>
      </c>
      <c r="C232" s="4" t="str">
        <f>IFERROR(INDEX(MASTER!$A:$A,MATCH("Cryovial box 18: "&amp;($A232&amp;C$223),MASTER!$L:$L,0))&amp;"_ser_"&amp;TEXT(VALUE(SUBSTITUTE(SUBSTITUTE(TRIM(INDEX(MASTER!$M:$M,MATCH("Cryovial box 18: "&amp;($A232&amp;C$223),MASTER!$L:$L,0))),"ml",""),":",".")),"0.00")&amp;"_"&amp;TEXT(INDEX(MASTER!$E:$E,MATCH("Cryovial box 18: "&amp;($A232&amp;C$223),MASTER!$L:$L,0)),"mmddyy"),"")</f>
        <v/>
      </c>
      <c r="D232" s="4" t="str">
        <f>IFERROR(INDEX(MASTER!$A:$A,MATCH("Cryovial box 18: "&amp;($A232&amp;D$223),MASTER!$L:$L,0))&amp;"_ser_"&amp;TEXT(VALUE(SUBSTITUTE(SUBSTITUTE(TRIM(INDEX(MASTER!$M:$M,MATCH("Cryovial box 18: "&amp;($A232&amp;D$223),MASTER!$L:$L,0))),"ml",""),":",".")),"0.00")&amp;"_"&amp;TEXT(INDEX(MASTER!$E:$E,MATCH("Cryovial box 18: "&amp;($A232&amp;D$223),MASTER!$L:$L,0)),"mmddyy"),"")</f>
        <v/>
      </c>
      <c r="E232" s="4" t="str">
        <f>IFERROR(INDEX(MASTER!$A:$A,MATCH("Cryovial box 18: "&amp;($A232&amp;E$223),MASTER!$L:$L,0))&amp;"_ser_"&amp;TEXT(VALUE(SUBSTITUTE(SUBSTITUTE(TRIM(INDEX(MASTER!$M:$M,MATCH("Cryovial box 18: "&amp;($A232&amp;E$223),MASTER!$L:$L,0))),"ml",""),":",".")),"0.00")&amp;"_"&amp;TEXT(INDEX(MASTER!$E:$E,MATCH("Cryovial box 18: "&amp;($A232&amp;E$223),MASTER!$L:$L,0)),"mmddyy"),"")</f>
        <v/>
      </c>
      <c r="F232" s="4" t="str">
        <f>IFERROR(INDEX(MASTER!$A:$A,MATCH("Cryovial box 18: "&amp;($A232&amp;F$223),MASTER!$L:$L,0))&amp;"_ser_"&amp;TEXT(VALUE(SUBSTITUTE(SUBSTITUTE(TRIM(INDEX(MASTER!$M:$M,MATCH("Cryovial box 18: "&amp;($A232&amp;F$223),MASTER!$L:$L,0))),"ml",""),":",".")),"0.00")&amp;"_"&amp;TEXT(INDEX(MASTER!$E:$E,MATCH("Cryovial box 18: "&amp;($A232&amp;F$223),MASTER!$L:$L,0)),"mmddyy"),"")</f>
        <v/>
      </c>
      <c r="G232" s="4" t="str">
        <f>IFERROR(INDEX(MASTER!$A:$A,MATCH("Cryovial box 18: "&amp;($A232&amp;G$223),MASTER!$L:$L,0))&amp;"_ser_"&amp;TEXT(VALUE(SUBSTITUTE(SUBSTITUTE(TRIM(INDEX(MASTER!$M:$M,MATCH("Cryovial box 18: "&amp;($A232&amp;G$223),MASTER!$L:$L,0))),"ml",""),":",".")),"0.00")&amp;"_"&amp;TEXT(INDEX(MASTER!$E:$E,MATCH("Cryovial box 18: "&amp;($A232&amp;G$223),MASTER!$L:$L,0)),"mmddyy"),"")</f>
        <v/>
      </c>
      <c r="H232" s="4" t="str">
        <f>IFERROR(INDEX(MASTER!$A:$A,MATCH("Cryovial box 18: "&amp;($A232&amp;H$223),MASTER!$L:$L,0))&amp;"_ser_"&amp;TEXT(VALUE(SUBSTITUTE(SUBSTITUTE(TRIM(INDEX(MASTER!$M:$M,MATCH("Cryovial box 18: "&amp;($A232&amp;H$223),MASTER!$L:$L,0))),"ml",""),":",".")),"0.00")&amp;"_"&amp;TEXT(INDEX(MASTER!$E:$E,MATCH("Cryovial box 18: "&amp;($A232&amp;H$223),MASTER!$L:$L,0)),"mmddyy"),"")</f>
        <v/>
      </c>
      <c r="I232" s="4" t="str">
        <f>IFERROR(INDEX(MASTER!$A:$A,MATCH("Cryovial box 18: "&amp;($A232&amp;I$223),MASTER!$L:$L,0))&amp;"_ser_"&amp;TEXT(VALUE(SUBSTITUTE(SUBSTITUTE(TRIM(INDEX(MASTER!$M:$M,MATCH("Cryovial box 18: "&amp;($A232&amp;I$223),MASTER!$L:$L,0))),"ml",""),":",".")),"0.00")&amp;"_"&amp;TEXT(INDEX(MASTER!$E:$E,MATCH("Cryovial box 18: "&amp;($A232&amp;I$223),MASTER!$L:$L,0)),"mmddyy"),"")</f>
        <v/>
      </c>
      <c r="J232" s="4" t="str">
        <f>IFERROR(INDEX(MASTER!$A:$A,MATCH("Cryovial box 18: "&amp;($A232&amp;J$223),MASTER!$L:$L,0))&amp;"_ser_"&amp;TEXT(VALUE(SUBSTITUTE(SUBSTITUTE(TRIM(INDEX(MASTER!$M:$M,MATCH("Cryovial box 18: "&amp;($A232&amp;J$223),MASTER!$L:$L,0))),"ml",""),":",".")),"0.00")&amp;"_"&amp;TEXT(INDEX(MASTER!$E:$E,MATCH("Cryovial box 18: "&amp;($A232&amp;J$223),MASTER!$L:$L,0)),"mmddyy"),"")</f>
        <v/>
      </c>
      <c r="K232" s="4" t="str">
        <f>IFERROR(INDEX(MASTER!$A:$A,MATCH("Cryovial box 18: "&amp;($A232&amp;K$223),MASTER!$L:$L,0))&amp;"_ser_"&amp;TEXT(VALUE(SUBSTITUTE(SUBSTITUTE(TRIM(INDEX(MASTER!$M:$M,MATCH("Cryovial box 18: "&amp;($A232&amp;K$223),MASTER!$L:$L,0))),"ml",""),":",".")),"0.00")&amp;"_"&amp;TEXT(INDEX(MASTER!$E:$E,MATCH("Cryovial box 18: "&amp;($A232&amp;K$223),MASTER!$L:$L,0)),"mmddyy"),"")</f>
        <v/>
      </c>
    </row>
    <row r="233" spans="1:11" ht="15" customHeight="1" x14ac:dyDescent="0.3">
      <c r="A233" s="6" t="s">
        <v>101</v>
      </c>
      <c r="B233" s="4" t="str">
        <f>IFERROR(INDEX(MASTER!$A:$A,MATCH("Cryovial box 18: "&amp;($A233&amp;B$223),MASTER!$L:$L,0))&amp;"_ser_"&amp;TEXT(VALUE(SUBSTITUTE(SUBSTITUTE(TRIM(INDEX(MASTER!$M:$M,MATCH("Cryovial box 18: "&amp;($A233&amp;B$223),MASTER!$L:$L,0))),"ml",""),":",".")),"0.00")&amp;"_"&amp;TEXT(INDEX(MASTER!$E:$E,MATCH("Cryovial box 18: "&amp;($A233&amp;B$223),MASTER!$L:$L,0)),"mmddyy"),"")</f>
        <v/>
      </c>
      <c r="C233" s="4" t="str">
        <f>IFERROR(INDEX(MASTER!$A:$A,MATCH("Cryovial box 18: "&amp;($A233&amp;C$223),MASTER!$L:$L,0))&amp;"_ser_"&amp;TEXT(VALUE(SUBSTITUTE(SUBSTITUTE(TRIM(INDEX(MASTER!$M:$M,MATCH("Cryovial box 18: "&amp;($A233&amp;C$223),MASTER!$L:$L,0))),"ml",""),":",".")),"0.00")&amp;"_"&amp;TEXT(INDEX(MASTER!$E:$E,MATCH("Cryovial box 18: "&amp;($A233&amp;C$223),MASTER!$L:$L,0)),"mmddyy"),"")</f>
        <v/>
      </c>
      <c r="D233" s="4" t="str">
        <f>IFERROR(INDEX(MASTER!$A:$A,MATCH("Cryovial box 18: "&amp;($A233&amp;D$223),MASTER!$L:$L,0))&amp;"_ser_"&amp;TEXT(VALUE(SUBSTITUTE(SUBSTITUTE(TRIM(INDEX(MASTER!$M:$M,MATCH("Cryovial box 18: "&amp;($A233&amp;D$223),MASTER!$L:$L,0))),"ml",""),":",".")),"0.00")&amp;"_"&amp;TEXT(INDEX(MASTER!$E:$E,MATCH("Cryovial box 18: "&amp;($A233&amp;D$223),MASTER!$L:$L,0)),"mmddyy"),"")</f>
        <v/>
      </c>
      <c r="E233" s="4" t="str">
        <f>IFERROR(INDEX(MASTER!$A:$A,MATCH("Cryovial box 18: "&amp;($A233&amp;E$223),MASTER!$L:$L,0))&amp;"_ser_"&amp;TEXT(VALUE(SUBSTITUTE(SUBSTITUTE(TRIM(INDEX(MASTER!$M:$M,MATCH("Cryovial box 18: "&amp;($A233&amp;E$223),MASTER!$L:$L,0))),"ml",""),":",".")),"0.00")&amp;"_"&amp;TEXT(INDEX(MASTER!$E:$E,MATCH("Cryovial box 18: "&amp;($A233&amp;E$223),MASTER!$L:$L,0)),"mmddyy"),"")</f>
        <v/>
      </c>
      <c r="F233" s="4" t="str">
        <f>IFERROR(INDEX(MASTER!$A:$A,MATCH("Cryovial box 18: "&amp;($A233&amp;F$223),MASTER!$L:$L,0))&amp;"_ser_"&amp;TEXT(VALUE(SUBSTITUTE(SUBSTITUTE(TRIM(INDEX(MASTER!$M:$M,MATCH("Cryovial box 18: "&amp;($A233&amp;F$223),MASTER!$L:$L,0))),"ml",""),":",".")),"0.00")&amp;"_"&amp;TEXT(INDEX(MASTER!$E:$E,MATCH("Cryovial box 18: "&amp;($A233&amp;F$223),MASTER!$L:$L,0)),"mmddyy"),"")</f>
        <v/>
      </c>
      <c r="G233" s="4" t="str">
        <f>IFERROR(INDEX(MASTER!$A:$A,MATCH("Cryovial box 18: "&amp;($A233&amp;G$223),MASTER!$L:$L,0))&amp;"_ser_"&amp;TEXT(VALUE(SUBSTITUTE(SUBSTITUTE(TRIM(INDEX(MASTER!$M:$M,MATCH("Cryovial box 18: "&amp;($A233&amp;G$223),MASTER!$L:$L,0))),"ml",""),":",".")),"0.00")&amp;"_"&amp;TEXT(INDEX(MASTER!$E:$E,MATCH("Cryovial box 18: "&amp;($A233&amp;G$223),MASTER!$L:$L,0)),"mmddyy"),"")</f>
        <v/>
      </c>
      <c r="H233" s="4" t="str">
        <f>IFERROR(INDEX(MASTER!$A:$A,MATCH("Cryovial box 18: "&amp;($A233&amp;H$223),MASTER!$L:$L,0))&amp;"_ser_"&amp;TEXT(VALUE(SUBSTITUTE(SUBSTITUTE(TRIM(INDEX(MASTER!$M:$M,MATCH("Cryovial box 18: "&amp;($A233&amp;H$223),MASTER!$L:$L,0))),"ml",""),":",".")),"0.00")&amp;"_"&amp;TEXT(INDEX(MASTER!$E:$E,MATCH("Cryovial box 18: "&amp;($A233&amp;H$223),MASTER!$L:$L,0)),"mmddyy"),"")</f>
        <v/>
      </c>
      <c r="I233" s="4" t="str">
        <f>IFERROR(INDEX(MASTER!$A:$A,MATCH("Cryovial box 18: "&amp;($A233&amp;I$223),MASTER!$L:$L,0))&amp;"_ser_"&amp;TEXT(VALUE(SUBSTITUTE(SUBSTITUTE(TRIM(INDEX(MASTER!$M:$M,MATCH("Cryovial box 18: "&amp;($A233&amp;I$223),MASTER!$L:$L,0))),"ml",""),":",".")),"0.00")&amp;"_"&amp;TEXT(INDEX(MASTER!$E:$E,MATCH("Cryovial box 18: "&amp;($A233&amp;I$223),MASTER!$L:$L,0)),"mmddyy"),"")</f>
        <v/>
      </c>
      <c r="J233" s="4" t="str">
        <f>IFERROR(INDEX(MASTER!$A:$A,MATCH("Cryovial box 18: "&amp;($A233&amp;J$223),MASTER!$L:$L,0))&amp;"_ser_"&amp;TEXT(VALUE(SUBSTITUTE(SUBSTITUTE(TRIM(INDEX(MASTER!$M:$M,MATCH("Cryovial box 18: "&amp;($A233&amp;J$223),MASTER!$L:$L,0))),"ml",""),":",".")),"0.00")&amp;"_"&amp;TEXT(INDEX(MASTER!$E:$E,MATCH("Cryovial box 18: "&amp;($A233&amp;J$223),MASTER!$L:$L,0)),"mmddyy"),"")</f>
        <v/>
      </c>
      <c r="K233" s="4" t="str">
        <f>IFERROR(INDEX(MASTER!$A:$A,MATCH("Cryovial box 18: "&amp;($A233&amp;K$223),MASTER!$L:$L,0))&amp;"_ser_"&amp;TEXT(VALUE(SUBSTITUTE(SUBSTITUTE(TRIM(INDEX(MASTER!$M:$M,MATCH("Cryovial box 18: "&amp;($A233&amp;K$223),MASTER!$L:$L,0))),"ml",""),":",".")),"0.00")&amp;"_"&amp;TEXT(INDEX(MASTER!$E:$E,MATCH("Cryovial box 18: "&amp;($A233&amp;K$223),MASTER!$L:$L,0)),"mmddyy"),"")</f>
        <v/>
      </c>
    </row>
    <row r="234" spans="1:11" ht="1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 spans="1:11" ht="20.149999999999999" customHeight="1" x14ac:dyDescent="0.3">
      <c r="A235" s="5"/>
      <c r="B235" s="31" t="s">
        <v>119</v>
      </c>
      <c r="C235" s="36"/>
      <c r="D235" s="36"/>
      <c r="E235" s="36"/>
      <c r="F235" s="36"/>
      <c r="G235" s="36"/>
      <c r="H235" s="36"/>
      <c r="I235" s="36"/>
      <c r="J235" s="36"/>
      <c r="K235" s="37"/>
    </row>
    <row r="236" spans="1:11" ht="20.149999999999999" customHeight="1" x14ac:dyDescent="0.3">
      <c r="A236" s="5"/>
      <c r="B236" s="6">
        <v>1</v>
      </c>
      <c r="C236" s="6">
        <v>2</v>
      </c>
      <c r="D236" s="6">
        <v>3</v>
      </c>
      <c r="E236" s="6">
        <v>4</v>
      </c>
      <c r="F236" s="6">
        <v>5</v>
      </c>
      <c r="G236" s="6">
        <v>6</v>
      </c>
      <c r="H236" s="6">
        <v>7</v>
      </c>
      <c r="I236" s="6">
        <v>8</v>
      </c>
      <c r="J236" s="6">
        <v>9</v>
      </c>
      <c r="K236" s="6">
        <v>10</v>
      </c>
    </row>
    <row r="237" spans="1:11" ht="20.149999999999999" customHeight="1" x14ac:dyDescent="0.3">
      <c r="A237" s="6" t="s">
        <v>30</v>
      </c>
      <c r="B237" s="4" t="str">
        <f>IFERROR(INDEX(MASTER!$A:$A,MATCH("Cryovial box 19: "&amp;($A237&amp;B$236),MASTER!$L:$L,0))&amp;"_ser_"&amp;TEXT(VALUE(SUBSTITUTE(SUBSTITUTE(TRIM(INDEX(MASTER!$M:$M,MATCH("Cryovial box 19: "&amp;($A237&amp;B$236),MASTER!$L:$L,0))),"ml",""),":",".")),"0.00")&amp;"_"&amp;TEXT(INDEX(MASTER!$E:$E,MATCH("Cryovial box 19: "&amp;($A237&amp;B$236),MASTER!$L:$L,0)),"mmddyy"),"")</f>
        <v/>
      </c>
      <c r="C237" s="4" t="str">
        <f>IFERROR(INDEX(MASTER!$A:$A,MATCH("Cryovial box 19: "&amp;($A237&amp;C$236),MASTER!$L:$L,0))&amp;"_ser_"&amp;TEXT(VALUE(SUBSTITUTE(SUBSTITUTE(TRIM(INDEX(MASTER!$M:$M,MATCH("Cryovial box 19: "&amp;($A237&amp;C$236),MASTER!$L:$L,0))),"ml",""),":",".")),"0.00")&amp;"_"&amp;TEXT(INDEX(MASTER!$E:$E,MATCH("Cryovial box 19: "&amp;($A237&amp;C$236),MASTER!$L:$L,0)),"mmddyy"),"")</f>
        <v/>
      </c>
      <c r="D237" s="4" t="str">
        <f>IFERROR(INDEX(MASTER!$A:$A,MATCH("Cryovial box 19: "&amp;($A237&amp;D$236),MASTER!$L:$L,0))&amp;"_ser_"&amp;TEXT(VALUE(SUBSTITUTE(SUBSTITUTE(TRIM(INDEX(MASTER!$M:$M,MATCH("Cryovial box 19: "&amp;($A237&amp;D$236),MASTER!$L:$L,0))),"ml",""),":",".")),"0.00")&amp;"_"&amp;TEXT(INDEX(MASTER!$E:$E,MATCH("Cryovial box 19: "&amp;($A237&amp;D$236),MASTER!$L:$L,0)),"mmddyy"),"")</f>
        <v/>
      </c>
      <c r="E237" s="4" t="str">
        <f>IFERROR(INDEX(MASTER!$A:$A,MATCH("Cryovial box 19: "&amp;($A237&amp;E$236),MASTER!$L:$L,0))&amp;"_ser_"&amp;TEXT(VALUE(SUBSTITUTE(SUBSTITUTE(TRIM(INDEX(MASTER!$M:$M,MATCH("Cryovial box 19: "&amp;($A237&amp;E$236),MASTER!$L:$L,0))),"ml",""),":",".")),"0.00")&amp;"_"&amp;TEXT(INDEX(MASTER!$E:$E,MATCH("Cryovial box 19: "&amp;($A237&amp;E$236),MASTER!$L:$L,0)),"mmddyy"),"")</f>
        <v/>
      </c>
      <c r="F237" s="4" t="str">
        <f>IFERROR(INDEX(MASTER!$A:$A,MATCH("Cryovial box 19: "&amp;($A237&amp;F$236),MASTER!$L:$L,0))&amp;"_ser_"&amp;TEXT(VALUE(SUBSTITUTE(SUBSTITUTE(TRIM(INDEX(MASTER!$M:$M,MATCH("Cryovial box 19: "&amp;($A237&amp;F$236),MASTER!$L:$L,0))),"ml",""),":",".")),"0.00")&amp;"_"&amp;TEXT(INDEX(MASTER!$E:$E,MATCH("Cryovial box 19: "&amp;($A237&amp;F$236),MASTER!$L:$L,0)),"mmddyy"),"")</f>
        <v/>
      </c>
      <c r="G237" s="4" t="str">
        <f>IFERROR(INDEX(MASTER!$A:$A,MATCH("Cryovial box 19: "&amp;($A237&amp;G$236),MASTER!$L:$L,0))&amp;"_ser_"&amp;TEXT(VALUE(SUBSTITUTE(SUBSTITUTE(TRIM(INDEX(MASTER!$M:$M,MATCH("Cryovial box 19: "&amp;($A237&amp;G$236),MASTER!$L:$L,0))),"ml",""),":",".")),"0.00")&amp;"_"&amp;TEXT(INDEX(MASTER!$E:$E,MATCH("Cryovial box 19: "&amp;($A237&amp;G$236),MASTER!$L:$L,0)),"mmddyy"),"")</f>
        <v/>
      </c>
      <c r="H237" s="4" t="str">
        <f>IFERROR(INDEX(MASTER!$A:$A,MATCH("Cryovial box 19: "&amp;($A237&amp;H$236),MASTER!$L:$L,0))&amp;"_ser_"&amp;TEXT(VALUE(SUBSTITUTE(SUBSTITUTE(TRIM(INDEX(MASTER!$M:$M,MATCH("Cryovial box 19: "&amp;($A237&amp;H$236),MASTER!$L:$L,0))),"ml",""),":",".")),"0.00")&amp;"_"&amp;TEXT(INDEX(MASTER!$E:$E,MATCH("Cryovial box 19: "&amp;($A237&amp;H$236),MASTER!$L:$L,0)),"mmddyy"),"")</f>
        <v/>
      </c>
      <c r="I237" s="4" t="str">
        <f>IFERROR(INDEX(MASTER!$A:$A,MATCH("Cryovial box 19: "&amp;($A237&amp;I$236),MASTER!$L:$L,0))&amp;"_ser_"&amp;TEXT(VALUE(SUBSTITUTE(SUBSTITUTE(TRIM(INDEX(MASTER!$M:$M,MATCH("Cryovial box 19: "&amp;($A237&amp;I$236),MASTER!$L:$L,0))),"ml",""),":",".")),"0.00")&amp;"_"&amp;TEXT(INDEX(MASTER!$E:$E,MATCH("Cryovial box 19: "&amp;($A237&amp;I$236),MASTER!$L:$L,0)),"mmddyy"),"")</f>
        <v/>
      </c>
      <c r="J237" s="4" t="str">
        <f>IFERROR(INDEX(MASTER!$A:$A,MATCH("Cryovial box 19: "&amp;($A237&amp;J$236),MASTER!$L:$L,0))&amp;"_ser_"&amp;TEXT(VALUE(SUBSTITUTE(SUBSTITUTE(TRIM(INDEX(MASTER!$M:$M,MATCH("Cryovial box 19: "&amp;($A237&amp;J$236),MASTER!$L:$L,0))),"ml",""),":",".")),"0.00")&amp;"_"&amp;TEXT(INDEX(MASTER!$E:$E,MATCH("Cryovial box 19: "&amp;($A237&amp;J$236),MASTER!$L:$L,0)),"mmddyy"),"")</f>
        <v/>
      </c>
      <c r="K237" s="4" t="str">
        <f>IFERROR(INDEX(MASTER!$A:$A,MATCH("Cryovial box 19: "&amp;($A237&amp;K$236),MASTER!$L:$L,0))&amp;"_ser_"&amp;TEXT(VALUE(SUBSTITUTE(SUBSTITUTE(TRIM(INDEX(MASTER!$M:$M,MATCH("Cryovial box 19: "&amp;($A237&amp;K$236),MASTER!$L:$L,0))),"ml",""),":",".")),"0.00")&amp;"_"&amp;TEXT(INDEX(MASTER!$E:$E,MATCH("Cryovial box 19: "&amp;($A237&amp;K$236),MASTER!$L:$L,0)),"mmddyy"),"")</f>
        <v/>
      </c>
    </row>
    <row r="238" spans="1:11" ht="20.149999999999999" customHeight="1" x14ac:dyDescent="0.3">
      <c r="A238" s="6" t="s">
        <v>31</v>
      </c>
      <c r="B238" s="4" t="str">
        <f>IFERROR(INDEX(MASTER!$A:$A,MATCH("Cryovial box 19: "&amp;($A238&amp;B$236),MASTER!$L:$L,0))&amp;"_ser_"&amp;TEXT(VALUE(SUBSTITUTE(SUBSTITUTE(TRIM(INDEX(MASTER!$M:$M,MATCH("Cryovial box 19: "&amp;($A238&amp;B$236),MASTER!$L:$L,0))),"ml",""),":",".")),"0.00")&amp;"_"&amp;TEXT(INDEX(MASTER!$E:$E,MATCH("Cryovial box 19: "&amp;($A238&amp;B$236),MASTER!$L:$L,0)),"mmddyy"),"")</f>
        <v/>
      </c>
      <c r="C238" s="4" t="str">
        <f>IFERROR(INDEX(MASTER!$A:$A,MATCH("Cryovial box 19: "&amp;($A238&amp;C$236),MASTER!$L:$L,0))&amp;"_ser_"&amp;TEXT(VALUE(SUBSTITUTE(SUBSTITUTE(TRIM(INDEX(MASTER!$M:$M,MATCH("Cryovial box 19: "&amp;($A238&amp;C$236),MASTER!$L:$L,0))),"ml",""),":",".")),"0.00")&amp;"_"&amp;TEXT(INDEX(MASTER!$E:$E,MATCH("Cryovial box 19: "&amp;($A238&amp;C$236),MASTER!$L:$L,0)),"mmddyy"),"")</f>
        <v/>
      </c>
      <c r="D238" s="4" t="str">
        <f>IFERROR(INDEX(MASTER!$A:$A,MATCH("Cryovial box 19: "&amp;($A238&amp;D$236),MASTER!$L:$L,0))&amp;"_ser_"&amp;TEXT(VALUE(SUBSTITUTE(SUBSTITUTE(TRIM(INDEX(MASTER!$M:$M,MATCH("Cryovial box 19: "&amp;($A238&amp;D$236),MASTER!$L:$L,0))),"ml",""),":",".")),"0.00")&amp;"_"&amp;TEXT(INDEX(MASTER!$E:$E,MATCH("Cryovial box 19: "&amp;($A238&amp;D$236),MASTER!$L:$L,0)),"mmddyy"),"")</f>
        <v/>
      </c>
      <c r="E238" s="4" t="str">
        <f>IFERROR(INDEX(MASTER!$A:$A,MATCH("Cryovial box 19: "&amp;($A238&amp;E$236),MASTER!$L:$L,0))&amp;"_ser_"&amp;TEXT(VALUE(SUBSTITUTE(SUBSTITUTE(TRIM(INDEX(MASTER!$M:$M,MATCH("Cryovial box 19: "&amp;($A238&amp;E$236),MASTER!$L:$L,0))),"ml",""),":",".")),"0.00")&amp;"_"&amp;TEXT(INDEX(MASTER!$E:$E,MATCH("Cryovial box 19: "&amp;($A238&amp;E$236),MASTER!$L:$L,0)),"mmddyy"),"")</f>
        <v/>
      </c>
      <c r="F238" s="4" t="str">
        <f>IFERROR(INDEX(MASTER!$A:$A,MATCH("Cryovial box 19: "&amp;($A238&amp;F$236),MASTER!$L:$L,0))&amp;"_ser_"&amp;TEXT(VALUE(SUBSTITUTE(SUBSTITUTE(TRIM(INDEX(MASTER!$M:$M,MATCH("Cryovial box 19: "&amp;($A238&amp;F$236),MASTER!$L:$L,0))),"ml",""),":",".")),"0.00")&amp;"_"&amp;TEXT(INDEX(MASTER!$E:$E,MATCH("Cryovial box 19: "&amp;($A238&amp;F$236),MASTER!$L:$L,0)),"mmddyy"),"")</f>
        <v/>
      </c>
      <c r="G238" s="4" t="str">
        <f>IFERROR(INDEX(MASTER!$A:$A,MATCH("Cryovial box 19: "&amp;($A238&amp;G$236),MASTER!$L:$L,0))&amp;"_ser_"&amp;TEXT(VALUE(SUBSTITUTE(SUBSTITUTE(TRIM(INDEX(MASTER!$M:$M,MATCH("Cryovial box 19: "&amp;($A238&amp;G$236),MASTER!$L:$L,0))),"ml",""),":",".")),"0.00")&amp;"_"&amp;TEXT(INDEX(MASTER!$E:$E,MATCH("Cryovial box 19: "&amp;($A238&amp;G$236),MASTER!$L:$L,0)),"mmddyy"),"")</f>
        <v/>
      </c>
      <c r="H238" s="4" t="str">
        <f>IFERROR(INDEX(MASTER!$A:$A,MATCH("Cryovial box 19: "&amp;($A238&amp;H$236),MASTER!$L:$L,0))&amp;"_ser_"&amp;TEXT(VALUE(SUBSTITUTE(SUBSTITUTE(TRIM(INDEX(MASTER!$M:$M,MATCH("Cryovial box 19: "&amp;($A238&amp;H$236),MASTER!$L:$L,0))),"ml",""),":",".")),"0.00")&amp;"_"&amp;TEXT(INDEX(MASTER!$E:$E,MATCH("Cryovial box 19: "&amp;($A238&amp;H$236),MASTER!$L:$L,0)),"mmddyy"),"")</f>
        <v/>
      </c>
      <c r="I238" s="4" t="str">
        <f>IFERROR(INDEX(MASTER!$A:$A,MATCH("Cryovial box 19: "&amp;($A238&amp;I$236),MASTER!$L:$L,0))&amp;"_ser_"&amp;TEXT(VALUE(SUBSTITUTE(SUBSTITUTE(TRIM(INDEX(MASTER!$M:$M,MATCH("Cryovial box 19: "&amp;($A238&amp;I$236),MASTER!$L:$L,0))),"ml",""),":",".")),"0.00")&amp;"_"&amp;TEXT(INDEX(MASTER!$E:$E,MATCH("Cryovial box 19: "&amp;($A238&amp;I$236),MASTER!$L:$L,0)),"mmddyy"),"")</f>
        <v/>
      </c>
      <c r="J238" s="4" t="str">
        <f>IFERROR(INDEX(MASTER!$A:$A,MATCH("Cryovial box 19: "&amp;($A238&amp;J$236),MASTER!$L:$L,0))&amp;"_ser_"&amp;TEXT(VALUE(SUBSTITUTE(SUBSTITUTE(TRIM(INDEX(MASTER!$M:$M,MATCH("Cryovial box 19: "&amp;($A238&amp;J$236),MASTER!$L:$L,0))),"ml",""),":",".")),"0.00")&amp;"_"&amp;TEXT(INDEX(MASTER!$E:$E,MATCH("Cryovial box 19: "&amp;($A238&amp;J$236),MASTER!$L:$L,0)),"mmddyy"),"")</f>
        <v/>
      </c>
      <c r="K238" s="4" t="str">
        <f>IFERROR(INDEX(MASTER!$A:$A,MATCH("Cryovial box 19: "&amp;($A238&amp;K$236),MASTER!$L:$L,0))&amp;"_ser_"&amp;TEXT(VALUE(SUBSTITUTE(SUBSTITUTE(TRIM(INDEX(MASTER!$M:$M,MATCH("Cryovial box 19: "&amp;($A238&amp;K$236),MASTER!$L:$L,0))),"ml",""),":",".")),"0.00")&amp;"_"&amp;TEXT(INDEX(MASTER!$E:$E,MATCH("Cryovial box 19: "&amp;($A238&amp;K$236),MASTER!$L:$L,0)),"mmddyy"),"")</f>
        <v/>
      </c>
    </row>
    <row r="239" spans="1:11" ht="20.149999999999999" customHeight="1" x14ac:dyDescent="0.3">
      <c r="A239" s="6" t="s">
        <v>32</v>
      </c>
      <c r="B239" s="4" t="str">
        <f>IFERROR(INDEX(MASTER!$A:$A,MATCH("Cryovial box 19: "&amp;($A239&amp;B$236),MASTER!$L:$L,0))&amp;"_ser_"&amp;TEXT(VALUE(SUBSTITUTE(SUBSTITUTE(TRIM(INDEX(MASTER!$M:$M,MATCH("Cryovial box 19: "&amp;($A239&amp;B$236),MASTER!$L:$L,0))),"ml",""),":",".")),"0.00")&amp;"_"&amp;TEXT(INDEX(MASTER!$E:$E,MATCH("Cryovial box 19: "&amp;($A239&amp;B$236),MASTER!$L:$L,0)),"mmddyy"),"")</f>
        <v/>
      </c>
      <c r="C239" s="4" t="str">
        <f>IFERROR(INDEX(MASTER!$A:$A,MATCH("Cryovial box 19: "&amp;($A239&amp;C$236),MASTER!$L:$L,0))&amp;"_ser_"&amp;TEXT(VALUE(SUBSTITUTE(SUBSTITUTE(TRIM(INDEX(MASTER!$M:$M,MATCH("Cryovial box 19: "&amp;($A239&amp;C$236),MASTER!$L:$L,0))),"ml",""),":",".")),"0.00")&amp;"_"&amp;TEXT(INDEX(MASTER!$E:$E,MATCH("Cryovial box 19: "&amp;($A239&amp;C$236),MASTER!$L:$L,0)),"mmddyy"),"")</f>
        <v/>
      </c>
      <c r="D239" s="4" t="str">
        <f>IFERROR(INDEX(MASTER!$A:$A,MATCH("Cryovial box 19: "&amp;($A239&amp;D$236),MASTER!$L:$L,0))&amp;"_ser_"&amp;TEXT(VALUE(SUBSTITUTE(SUBSTITUTE(TRIM(INDEX(MASTER!$M:$M,MATCH("Cryovial box 19: "&amp;($A239&amp;D$236),MASTER!$L:$L,0))),"ml",""),":",".")),"0.00")&amp;"_"&amp;TEXT(INDEX(MASTER!$E:$E,MATCH("Cryovial box 19: "&amp;($A239&amp;D$236),MASTER!$L:$L,0)),"mmddyy"),"")</f>
        <v/>
      </c>
      <c r="E239" s="4" t="str">
        <f>IFERROR(INDEX(MASTER!$A:$A,MATCH("Cryovial box 19: "&amp;($A239&amp;E$236),MASTER!$L:$L,0))&amp;"_ser_"&amp;TEXT(VALUE(SUBSTITUTE(SUBSTITUTE(TRIM(INDEX(MASTER!$M:$M,MATCH("Cryovial box 19: "&amp;($A239&amp;E$236),MASTER!$L:$L,0))),"ml",""),":",".")),"0.00")&amp;"_"&amp;TEXT(INDEX(MASTER!$E:$E,MATCH("Cryovial box 19: "&amp;($A239&amp;E$236),MASTER!$L:$L,0)),"mmddyy"),"")</f>
        <v/>
      </c>
      <c r="F239" s="4" t="str">
        <f>IFERROR(INDEX(MASTER!$A:$A,MATCH("Cryovial box 19: "&amp;($A239&amp;F$236),MASTER!$L:$L,0))&amp;"_ser_"&amp;TEXT(VALUE(SUBSTITUTE(SUBSTITUTE(TRIM(INDEX(MASTER!$M:$M,MATCH("Cryovial box 19: "&amp;($A239&amp;F$236),MASTER!$L:$L,0))),"ml",""),":",".")),"0.00")&amp;"_"&amp;TEXT(INDEX(MASTER!$E:$E,MATCH("Cryovial box 19: "&amp;($A239&amp;F$236),MASTER!$L:$L,0)),"mmddyy"),"")</f>
        <v/>
      </c>
      <c r="G239" s="4" t="str">
        <f>IFERROR(INDEX(MASTER!$A:$A,MATCH("Cryovial box 19: "&amp;($A239&amp;G$236),MASTER!$L:$L,0))&amp;"_ser_"&amp;TEXT(VALUE(SUBSTITUTE(SUBSTITUTE(TRIM(INDEX(MASTER!$M:$M,MATCH("Cryovial box 19: "&amp;($A239&amp;G$236),MASTER!$L:$L,0))),"ml",""),":",".")),"0.00")&amp;"_"&amp;TEXT(INDEX(MASTER!$E:$E,MATCH("Cryovial box 19: "&amp;($A239&amp;G$236),MASTER!$L:$L,0)),"mmddyy"),"")</f>
        <v/>
      </c>
      <c r="H239" s="4" t="str">
        <f>IFERROR(INDEX(MASTER!$A:$A,MATCH("Cryovial box 19: "&amp;($A239&amp;H$236),MASTER!$L:$L,0))&amp;"_ser_"&amp;TEXT(VALUE(SUBSTITUTE(SUBSTITUTE(TRIM(INDEX(MASTER!$M:$M,MATCH("Cryovial box 19: "&amp;($A239&amp;H$236),MASTER!$L:$L,0))),"ml",""),":",".")),"0.00")&amp;"_"&amp;TEXT(INDEX(MASTER!$E:$E,MATCH("Cryovial box 19: "&amp;($A239&amp;H$236),MASTER!$L:$L,0)),"mmddyy"),"")</f>
        <v/>
      </c>
      <c r="I239" s="4" t="str">
        <f>IFERROR(INDEX(MASTER!$A:$A,MATCH("Cryovial box 19: "&amp;($A239&amp;I$236),MASTER!$L:$L,0))&amp;"_ser_"&amp;TEXT(VALUE(SUBSTITUTE(SUBSTITUTE(TRIM(INDEX(MASTER!$M:$M,MATCH("Cryovial box 19: "&amp;($A239&amp;I$236),MASTER!$L:$L,0))),"ml",""),":",".")),"0.00")&amp;"_"&amp;TEXT(INDEX(MASTER!$E:$E,MATCH("Cryovial box 19: "&amp;($A239&amp;I$236),MASTER!$L:$L,0)),"mmddyy"),"")</f>
        <v/>
      </c>
      <c r="J239" s="4" t="str">
        <f>IFERROR(INDEX(MASTER!$A:$A,MATCH("Cryovial box 19: "&amp;($A239&amp;J$236),MASTER!$L:$L,0))&amp;"_ser_"&amp;TEXT(VALUE(SUBSTITUTE(SUBSTITUTE(TRIM(INDEX(MASTER!$M:$M,MATCH("Cryovial box 19: "&amp;($A239&amp;J$236),MASTER!$L:$L,0))),"ml",""),":",".")),"0.00")&amp;"_"&amp;TEXT(INDEX(MASTER!$E:$E,MATCH("Cryovial box 19: "&amp;($A239&amp;J$236),MASTER!$L:$L,0)),"mmddyy"),"")</f>
        <v/>
      </c>
      <c r="K239" s="4" t="str">
        <f>IFERROR(INDEX(MASTER!$A:$A,MATCH("Cryovial box 19: "&amp;($A239&amp;K$236),MASTER!$L:$L,0))&amp;"_ser_"&amp;TEXT(VALUE(SUBSTITUTE(SUBSTITUTE(TRIM(INDEX(MASTER!$M:$M,MATCH("Cryovial box 19: "&amp;($A239&amp;K$236),MASTER!$L:$L,0))),"ml",""),":",".")),"0.00")&amp;"_"&amp;TEXT(INDEX(MASTER!$E:$E,MATCH("Cryovial box 19: "&amp;($A239&amp;K$236),MASTER!$L:$L,0)),"mmddyy"),"")</f>
        <v/>
      </c>
    </row>
    <row r="240" spans="1:11" ht="14.15" customHeight="1" x14ac:dyDescent="0.3">
      <c r="A240" s="6" t="s">
        <v>33</v>
      </c>
      <c r="B240" s="4" t="str">
        <f>IFERROR(INDEX(MASTER!$A:$A,MATCH("Cryovial box 19: "&amp;($A240&amp;B$236),MASTER!$L:$L,0))&amp;"_ser_"&amp;TEXT(VALUE(SUBSTITUTE(SUBSTITUTE(TRIM(INDEX(MASTER!$M:$M,MATCH("Cryovial box 19: "&amp;($A240&amp;B$236),MASTER!$L:$L,0))),"ml",""),":",".")),"0.00")&amp;"_"&amp;TEXT(INDEX(MASTER!$E:$E,MATCH("Cryovial box 19: "&amp;($A240&amp;B$236),MASTER!$L:$L,0)),"mmddyy"),"")</f>
        <v/>
      </c>
      <c r="C240" s="4" t="str">
        <f>IFERROR(INDEX(MASTER!$A:$A,MATCH("Cryovial box 19: "&amp;($A240&amp;C$236),MASTER!$L:$L,0))&amp;"_ser_"&amp;TEXT(VALUE(SUBSTITUTE(SUBSTITUTE(TRIM(INDEX(MASTER!$M:$M,MATCH("Cryovial box 19: "&amp;($A240&amp;C$236),MASTER!$L:$L,0))),"ml",""),":",".")),"0.00")&amp;"_"&amp;TEXT(INDEX(MASTER!$E:$E,MATCH("Cryovial box 19: "&amp;($A240&amp;C$236),MASTER!$L:$L,0)),"mmddyy"),"")</f>
        <v/>
      </c>
      <c r="D240" s="4" t="str">
        <f>IFERROR(INDEX(MASTER!$A:$A,MATCH("Cryovial box 19: "&amp;($A240&amp;D$236),MASTER!$L:$L,0))&amp;"_ser_"&amp;TEXT(VALUE(SUBSTITUTE(SUBSTITUTE(TRIM(INDEX(MASTER!$M:$M,MATCH("Cryovial box 19: "&amp;($A240&amp;D$236),MASTER!$L:$L,0))),"ml",""),":",".")),"0.00")&amp;"_"&amp;TEXT(INDEX(MASTER!$E:$E,MATCH("Cryovial box 19: "&amp;($A240&amp;D$236),MASTER!$L:$L,0)),"mmddyy"),"")</f>
        <v/>
      </c>
      <c r="E240" s="4" t="str">
        <f>IFERROR(INDEX(MASTER!$A:$A,MATCH("Cryovial box 19: "&amp;($A240&amp;E$236),MASTER!$L:$L,0))&amp;"_ser_"&amp;TEXT(VALUE(SUBSTITUTE(SUBSTITUTE(TRIM(INDEX(MASTER!$M:$M,MATCH("Cryovial box 19: "&amp;($A240&amp;E$236),MASTER!$L:$L,0))),"ml",""),":",".")),"0.00")&amp;"_"&amp;TEXT(INDEX(MASTER!$E:$E,MATCH("Cryovial box 19: "&amp;($A240&amp;E$236),MASTER!$L:$L,0)),"mmddyy"),"")</f>
        <v/>
      </c>
      <c r="F240" s="4" t="str">
        <f>IFERROR(INDEX(MASTER!$A:$A,MATCH("Cryovial box 19: "&amp;($A240&amp;F$236),MASTER!$L:$L,0))&amp;"_ser_"&amp;TEXT(VALUE(SUBSTITUTE(SUBSTITUTE(TRIM(INDEX(MASTER!$M:$M,MATCH("Cryovial box 19: "&amp;($A240&amp;F$236),MASTER!$L:$L,0))),"ml",""),":",".")),"0.00")&amp;"_"&amp;TEXT(INDEX(MASTER!$E:$E,MATCH("Cryovial box 19: "&amp;($A240&amp;F$236),MASTER!$L:$L,0)),"mmddyy"),"")</f>
        <v/>
      </c>
      <c r="G240" s="4" t="str">
        <f>IFERROR(INDEX(MASTER!$A:$A,MATCH("Cryovial box 19: "&amp;($A240&amp;G$236),MASTER!$L:$L,0))&amp;"_ser_"&amp;TEXT(VALUE(SUBSTITUTE(SUBSTITUTE(TRIM(INDEX(MASTER!$M:$M,MATCH("Cryovial box 19: "&amp;($A240&amp;G$236),MASTER!$L:$L,0))),"ml",""),":",".")),"0.00")&amp;"_"&amp;TEXT(INDEX(MASTER!$E:$E,MATCH("Cryovial box 19: "&amp;($A240&amp;G$236),MASTER!$L:$L,0)),"mmddyy"),"")</f>
        <v/>
      </c>
      <c r="H240" s="4" t="str">
        <f>IFERROR(INDEX(MASTER!$A:$A,MATCH("Cryovial box 19: "&amp;($A240&amp;H$236),MASTER!$L:$L,0))&amp;"_ser_"&amp;TEXT(VALUE(SUBSTITUTE(SUBSTITUTE(TRIM(INDEX(MASTER!$M:$M,MATCH("Cryovial box 19: "&amp;($A240&amp;H$236),MASTER!$L:$L,0))),"ml",""),":",".")),"0.00")&amp;"_"&amp;TEXT(INDEX(MASTER!$E:$E,MATCH("Cryovial box 19: "&amp;($A240&amp;H$236),MASTER!$L:$L,0)),"mmddyy"),"")</f>
        <v/>
      </c>
      <c r="I240" s="4" t="str">
        <f>IFERROR(INDEX(MASTER!$A:$A,MATCH("Cryovial box 19: "&amp;($A240&amp;I$236),MASTER!$L:$L,0))&amp;"_ser_"&amp;TEXT(VALUE(SUBSTITUTE(SUBSTITUTE(TRIM(INDEX(MASTER!$M:$M,MATCH("Cryovial box 19: "&amp;($A240&amp;I$236),MASTER!$L:$L,0))),"ml",""),":",".")),"0.00")&amp;"_"&amp;TEXT(INDEX(MASTER!$E:$E,MATCH("Cryovial box 19: "&amp;($A240&amp;I$236),MASTER!$L:$L,0)),"mmddyy"),"")</f>
        <v/>
      </c>
      <c r="J240" s="4" t="str">
        <f>IFERROR(INDEX(MASTER!$A:$A,MATCH("Cryovial box 19: "&amp;($A240&amp;J$236),MASTER!$L:$L,0))&amp;"_ser_"&amp;TEXT(VALUE(SUBSTITUTE(SUBSTITUTE(TRIM(INDEX(MASTER!$M:$M,MATCH("Cryovial box 19: "&amp;($A240&amp;J$236),MASTER!$L:$L,0))),"ml",""),":",".")),"0.00")&amp;"_"&amp;TEXT(INDEX(MASTER!$E:$E,MATCH("Cryovial box 19: "&amp;($A240&amp;J$236),MASTER!$L:$L,0)),"mmddyy"),"")</f>
        <v/>
      </c>
      <c r="K240" s="4" t="str">
        <f>IFERROR(INDEX(MASTER!$A:$A,MATCH("Cryovial box 19: "&amp;($A240&amp;K$236),MASTER!$L:$L,0))&amp;"_ser_"&amp;TEXT(VALUE(SUBSTITUTE(SUBSTITUTE(TRIM(INDEX(MASTER!$M:$M,MATCH("Cryovial box 19: "&amp;($A240&amp;K$236),MASTER!$L:$L,0))),"ml",""),":",".")),"0.00")&amp;"_"&amp;TEXT(INDEX(MASTER!$E:$E,MATCH("Cryovial box 19: "&amp;($A240&amp;K$236),MASTER!$L:$L,0)),"mmddyy"),"")</f>
        <v/>
      </c>
    </row>
    <row r="241" spans="1:11" ht="14.15" customHeight="1" x14ac:dyDescent="0.3">
      <c r="A241" s="6" t="s">
        <v>34</v>
      </c>
      <c r="B241" s="4" t="str">
        <f>IFERROR(INDEX(MASTER!$A:$A,MATCH("Cryovial box 19: "&amp;($A241&amp;B$236),MASTER!$L:$L,0))&amp;"_ser_"&amp;TEXT(VALUE(SUBSTITUTE(SUBSTITUTE(TRIM(INDEX(MASTER!$M:$M,MATCH("Cryovial box 19: "&amp;($A241&amp;B$236),MASTER!$L:$L,0))),"ml",""),":",".")),"0.00")&amp;"_"&amp;TEXT(INDEX(MASTER!$E:$E,MATCH("Cryovial box 19: "&amp;($A241&amp;B$236),MASTER!$L:$L,0)),"mmddyy"),"")</f>
        <v/>
      </c>
      <c r="C241" s="4" t="str">
        <f>IFERROR(INDEX(MASTER!$A:$A,MATCH("Cryovial box 19: "&amp;($A241&amp;C$236),MASTER!$L:$L,0))&amp;"_ser_"&amp;TEXT(VALUE(SUBSTITUTE(SUBSTITUTE(TRIM(INDEX(MASTER!$M:$M,MATCH("Cryovial box 19: "&amp;($A241&amp;C$236),MASTER!$L:$L,0))),"ml",""),":",".")),"0.00")&amp;"_"&amp;TEXT(INDEX(MASTER!$E:$E,MATCH("Cryovial box 19: "&amp;($A241&amp;C$236),MASTER!$L:$L,0)),"mmddyy"),"")</f>
        <v/>
      </c>
      <c r="D241" s="4" t="str">
        <f>IFERROR(INDEX(MASTER!$A:$A,MATCH("Cryovial box 19: "&amp;($A241&amp;D$236),MASTER!$L:$L,0))&amp;"_ser_"&amp;TEXT(VALUE(SUBSTITUTE(SUBSTITUTE(TRIM(INDEX(MASTER!$M:$M,MATCH("Cryovial box 19: "&amp;($A241&amp;D$236),MASTER!$L:$L,0))),"ml",""),":",".")),"0.00")&amp;"_"&amp;TEXT(INDEX(MASTER!$E:$E,MATCH("Cryovial box 19: "&amp;($A241&amp;D$236),MASTER!$L:$L,0)),"mmddyy"),"")</f>
        <v/>
      </c>
      <c r="E241" s="4" t="str">
        <f>IFERROR(INDEX(MASTER!$A:$A,MATCH("Cryovial box 19: "&amp;($A241&amp;E$236),MASTER!$L:$L,0))&amp;"_ser_"&amp;TEXT(VALUE(SUBSTITUTE(SUBSTITUTE(TRIM(INDEX(MASTER!$M:$M,MATCH("Cryovial box 19: "&amp;($A241&amp;E$236),MASTER!$L:$L,0))),"ml",""),":",".")),"0.00")&amp;"_"&amp;TEXT(INDEX(MASTER!$E:$E,MATCH("Cryovial box 19: "&amp;($A241&amp;E$236),MASTER!$L:$L,0)),"mmddyy"),"")</f>
        <v/>
      </c>
      <c r="F241" s="4" t="str">
        <f>IFERROR(INDEX(MASTER!$A:$A,MATCH("Cryovial box 19: "&amp;($A241&amp;F$236),MASTER!$L:$L,0))&amp;"_ser_"&amp;TEXT(VALUE(SUBSTITUTE(SUBSTITUTE(TRIM(INDEX(MASTER!$M:$M,MATCH("Cryovial box 19: "&amp;($A241&amp;F$236),MASTER!$L:$L,0))),"ml",""),":",".")),"0.00")&amp;"_"&amp;TEXT(INDEX(MASTER!$E:$E,MATCH("Cryovial box 19: "&amp;($A241&amp;F$236),MASTER!$L:$L,0)),"mmddyy"),"")</f>
        <v/>
      </c>
      <c r="G241" s="4" t="str">
        <f>IFERROR(INDEX(MASTER!$A:$A,MATCH("Cryovial box 19: "&amp;($A241&amp;G$236),MASTER!$L:$L,0))&amp;"_ser_"&amp;TEXT(VALUE(SUBSTITUTE(SUBSTITUTE(TRIM(INDEX(MASTER!$M:$M,MATCH("Cryovial box 19: "&amp;($A241&amp;G$236),MASTER!$L:$L,0))),"ml",""),":",".")),"0.00")&amp;"_"&amp;TEXT(INDEX(MASTER!$E:$E,MATCH("Cryovial box 19: "&amp;($A241&amp;G$236),MASTER!$L:$L,0)),"mmddyy"),"")</f>
        <v/>
      </c>
      <c r="H241" s="4" t="str">
        <f>IFERROR(INDEX(MASTER!$A:$A,MATCH("Cryovial box 19: "&amp;($A241&amp;H$236),MASTER!$L:$L,0))&amp;"_ser_"&amp;TEXT(VALUE(SUBSTITUTE(SUBSTITUTE(TRIM(INDEX(MASTER!$M:$M,MATCH("Cryovial box 19: "&amp;($A241&amp;H$236),MASTER!$L:$L,0))),"ml",""),":",".")),"0.00")&amp;"_"&amp;TEXT(INDEX(MASTER!$E:$E,MATCH("Cryovial box 19: "&amp;($A241&amp;H$236),MASTER!$L:$L,0)),"mmddyy"),"")</f>
        <v/>
      </c>
      <c r="I241" s="4" t="str">
        <f>IFERROR(INDEX(MASTER!$A:$A,MATCH("Cryovial box 19: "&amp;($A241&amp;I$236),MASTER!$L:$L,0))&amp;"_ser_"&amp;TEXT(VALUE(SUBSTITUTE(SUBSTITUTE(TRIM(INDEX(MASTER!$M:$M,MATCH("Cryovial box 19: "&amp;($A241&amp;I$236),MASTER!$L:$L,0))),"ml",""),":",".")),"0.00")&amp;"_"&amp;TEXT(INDEX(MASTER!$E:$E,MATCH("Cryovial box 19: "&amp;($A241&amp;I$236),MASTER!$L:$L,0)),"mmddyy"),"")</f>
        <v/>
      </c>
      <c r="J241" s="4" t="str">
        <f>IFERROR(INDEX(MASTER!$A:$A,MATCH("Cryovial box 19: "&amp;($A241&amp;J$236),MASTER!$L:$L,0))&amp;"_ser_"&amp;TEXT(VALUE(SUBSTITUTE(SUBSTITUTE(TRIM(INDEX(MASTER!$M:$M,MATCH("Cryovial box 19: "&amp;($A241&amp;J$236),MASTER!$L:$L,0))),"ml",""),":",".")),"0.00")&amp;"_"&amp;TEXT(INDEX(MASTER!$E:$E,MATCH("Cryovial box 19: "&amp;($A241&amp;J$236),MASTER!$L:$L,0)),"mmddyy"),"")</f>
        <v/>
      </c>
      <c r="K241" s="4" t="str">
        <f>IFERROR(INDEX(MASTER!$A:$A,MATCH("Cryovial box 19: "&amp;($A241&amp;K$236),MASTER!$L:$L,0))&amp;"_ser_"&amp;TEXT(VALUE(SUBSTITUTE(SUBSTITUTE(TRIM(INDEX(MASTER!$M:$M,MATCH("Cryovial box 19: "&amp;($A241&amp;K$236),MASTER!$L:$L,0))),"ml",""),":",".")),"0.00")&amp;"_"&amp;TEXT(INDEX(MASTER!$E:$E,MATCH("Cryovial box 19: "&amp;($A241&amp;K$236),MASTER!$L:$L,0)),"mmddyy"),"")</f>
        <v/>
      </c>
    </row>
    <row r="242" spans="1:11" ht="14.15" customHeight="1" x14ac:dyDescent="0.3">
      <c r="A242" s="6" t="s">
        <v>15</v>
      </c>
      <c r="B242" s="4" t="str">
        <f>IFERROR(INDEX(MASTER!$A:$A,MATCH("Cryovial box 19: "&amp;($A242&amp;B$236),MASTER!$L:$L,0))&amp;"_ser_"&amp;TEXT(VALUE(SUBSTITUTE(SUBSTITUTE(TRIM(INDEX(MASTER!$M:$M,MATCH("Cryovial box 19: "&amp;($A242&amp;B$236),MASTER!$L:$L,0))),"ml",""),":",".")),"0.00")&amp;"_"&amp;TEXT(INDEX(MASTER!$E:$E,MATCH("Cryovial box 19: "&amp;($A242&amp;B$236),MASTER!$L:$L,0)),"mmddyy"),"")</f>
        <v/>
      </c>
      <c r="C242" s="4" t="str">
        <f>IFERROR(INDEX(MASTER!$A:$A,MATCH("Cryovial box 19: "&amp;($A242&amp;C$236),MASTER!$L:$L,0))&amp;"_ser_"&amp;TEXT(VALUE(SUBSTITUTE(SUBSTITUTE(TRIM(INDEX(MASTER!$M:$M,MATCH("Cryovial box 19: "&amp;($A242&amp;C$236),MASTER!$L:$L,0))),"ml",""),":",".")),"0.00")&amp;"_"&amp;TEXT(INDEX(MASTER!$E:$E,MATCH("Cryovial box 19: "&amp;($A242&amp;C$236),MASTER!$L:$L,0)),"mmddyy"),"")</f>
        <v/>
      </c>
      <c r="D242" s="4" t="str">
        <f>IFERROR(INDEX(MASTER!$A:$A,MATCH("Cryovial box 19: "&amp;($A242&amp;D$236),MASTER!$L:$L,0))&amp;"_ser_"&amp;TEXT(VALUE(SUBSTITUTE(SUBSTITUTE(TRIM(INDEX(MASTER!$M:$M,MATCH("Cryovial box 19: "&amp;($A242&amp;D$236),MASTER!$L:$L,0))),"ml",""),":",".")),"0.00")&amp;"_"&amp;TEXT(INDEX(MASTER!$E:$E,MATCH("Cryovial box 19: "&amp;($A242&amp;D$236),MASTER!$L:$L,0)),"mmddyy"),"")</f>
        <v/>
      </c>
      <c r="E242" s="4" t="str">
        <f>IFERROR(INDEX(MASTER!$A:$A,MATCH("Cryovial box 19: "&amp;($A242&amp;E$236),MASTER!$L:$L,0))&amp;"_ser_"&amp;TEXT(VALUE(SUBSTITUTE(SUBSTITUTE(TRIM(INDEX(MASTER!$M:$M,MATCH("Cryovial box 19: "&amp;($A242&amp;E$236),MASTER!$L:$L,0))),"ml",""),":",".")),"0.00")&amp;"_"&amp;TEXT(INDEX(MASTER!$E:$E,MATCH("Cryovial box 19: "&amp;($A242&amp;E$236),MASTER!$L:$L,0)),"mmddyy"),"")</f>
        <v/>
      </c>
      <c r="F242" s="4" t="str">
        <f>IFERROR(INDEX(MASTER!$A:$A,MATCH("Cryovial box 19: "&amp;($A242&amp;F$236),MASTER!$L:$L,0))&amp;"_ser_"&amp;TEXT(VALUE(SUBSTITUTE(SUBSTITUTE(TRIM(INDEX(MASTER!$M:$M,MATCH("Cryovial box 19: "&amp;($A242&amp;F$236),MASTER!$L:$L,0))),"ml",""),":",".")),"0.00")&amp;"_"&amp;TEXT(INDEX(MASTER!$E:$E,MATCH("Cryovial box 19: "&amp;($A242&amp;F$236),MASTER!$L:$L,0)),"mmddyy"),"")</f>
        <v/>
      </c>
      <c r="G242" s="4" t="str">
        <f>IFERROR(INDEX(MASTER!$A:$A,MATCH("Cryovial box 19: "&amp;($A242&amp;G$236),MASTER!$L:$L,0))&amp;"_ser_"&amp;TEXT(VALUE(SUBSTITUTE(SUBSTITUTE(TRIM(INDEX(MASTER!$M:$M,MATCH("Cryovial box 19: "&amp;($A242&amp;G$236),MASTER!$L:$L,0))),"ml",""),":",".")),"0.00")&amp;"_"&amp;TEXT(INDEX(MASTER!$E:$E,MATCH("Cryovial box 19: "&amp;($A242&amp;G$236),MASTER!$L:$L,0)),"mmddyy"),"")</f>
        <v/>
      </c>
      <c r="H242" s="4" t="str">
        <f>IFERROR(INDEX(MASTER!$A:$A,MATCH("Cryovial box 19: "&amp;($A242&amp;H$236),MASTER!$L:$L,0))&amp;"_ser_"&amp;TEXT(VALUE(SUBSTITUTE(SUBSTITUTE(TRIM(INDEX(MASTER!$M:$M,MATCH("Cryovial box 19: "&amp;($A242&amp;H$236),MASTER!$L:$L,0))),"ml",""),":",".")),"0.00")&amp;"_"&amp;TEXT(INDEX(MASTER!$E:$E,MATCH("Cryovial box 19: "&amp;($A242&amp;H$236),MASTER!$L:$L,0)),"mmddyy"),"")</f>
        <v/>
      </c>
      <c r="I242" s="4" t="str">
        <f>IFERROR(INDEX(MASTER!$A:$A,MATCH("Cryovial box 19: "&amp;($A242&amp;I$236),MASTER!$L:$L,0))&amp;"_ser_"&amp;TEXT(VALUE(SUBSTITUTE(SUBSTITUTE(TRIM(INDEX(MASTER!$M:$M,MATCH("Cryovial box 19: "&amp;($A242&amp;I$236),MASTER!$L:$L,0))),"ml",""),":",".")),"0.00")&amp;"_"&amp;TEXT(INDEX(MASTER!$E:$E,MATCH("Cryovial box 19: "&amp;($A242&amp;I$236),MASTER!$L:$L,0)),"mmddyy"),"")</f>
        <v/>
      </c>
      <c r="J242" s="4" t="str">
        <f>IFERROR(INDEX(MASTER!$A:$A,MATCH("Cryovial box 19: "&amp;($A242&amp;J$236),MASTER!$L:$L,0))&amp;"_ser_"&amp;TEXT(VALUE(SUBSTITUTE(SUBSTITUTE(TRIM(INDEX(MASTER!$M:$M,MATCH("Cryovial box 19: "&amp;($A242&amp;J$236),MASTER!$L:$L,0))),"ml",""),":",".")),"0.00")&amp;"_"&amp;TEXT(INDEX(MASTER!$E:$E,MATCH("Cryovial box 19: "&amp;($A242&amp;J$236),MASTER!$L:$L,0)),"mmddyy"),"")</f>
        <v/>
      </c>
      <c r="K242" s="4" t="str">
        <f>IFERROR(INDEX(MASTER!$A:$A,MATCH("Cryovial box 19: "&amp;($A242&amp;K$236),MASTER!$L:$L,0))&amp;"_ser_"&amp;TEXT(VALUE(SUBSTITUTE(SUBSTITUTE(TRIM(INDEX(MASTER!$M:$M,MATCH("Cryovial box 19: "&amp;($A242&amp;K$236),MASTER!$L:$L,0))),"ml",""),":",".")),"0.00")&amp;"_"&amp;TEXT(INDEX(MASTER!$E:$E,MATCH("Cryovial box 19: "&amp;($A242&amp;K$236),MASTER!$L:$L,0)),"mmddyy"),"")</f>
        <v/>
      </c>
    </row>
    <row r="243" spans="1:11" ht="15" customHeight="1" x14ac:dyDescent="0.3">
      <c r="A243" s="6" t="s">
        <v>35</v>
      </c>
      <c r="B243" s="4" t="str">
        <f>IFERROR(INDEX(MASTER!$A:$A,MATCH("Cryovial box 19: "&amp;($A243&amp;B$236),MASTER!$L:$L,0))&amp;"_ser_"&amp;TEXT(VALUE(SUBSTITUTE(SUBSTITUTE(TRIM(INDEX(MASTER!$M:$M,MATCH("Cryovial box 19: "&amp;($A243&amp;B$236),MASTER!$L:$L,0))),"ml",""),":",".")),"0.00")&amp;"_"&amp;TEXT(INDEX(MASTER!$E:$E,MATCH("Cryovial box 19: "&amp;($A243&amp;B$236),MASTER!$L:$L,0)),"mmddyy"),"")</f>
        <v/>
      </c>
      <c r="C243" s="4" t="str">
        <f>IFERROR(INDEX(MASTER!$A:$A,MATCH("Cryovial box 19: "&amp;($A243&amp;C$236),MASTER!$L:$L,0))&amp;"_ser_"&amp;TEXT(VALUE(SUBSTITUTE(SUBSTITUTE(TRIM(INDEX(MASTER!$M:$M,MATCH("Cryovial box 19: "&amp;($A243&amp;C$236),MASTER!$L:$L,0))),"ml",""),":",".")),"0.00")&amp;"_"&amp;TEXT(INDEX(MASTER!$E:$E,MATCH("Cryovial box 19: "&amp;($A243&amp;C$236),MASTER!$L:$L,0)),"mmddyy"),"")</f>
        <v/>
      </c>
      <c r="D243" s="4" t="str">
        <f>IFERROR(INDEX(MASTER!$A:$A,MATCH("Cryovial box 19: "&amp;($A243&amp;D$236),MASTER!$L:$L,0))&amp;"_ser_"&amp;TEXT(VALUE(SUBSTITUTE(SUBSTITUTE(TRIM(INDEX(MASTER!$M:$M,MATCH("Cryovial box 19: "&amp;($A243&amp;D$236),MASTER!$L:$L,0))),"ml",""),":",".")),"0.00")&amp;"_"&amp;TEXT(INDEX(MASTER!$E:$E,MATCH("Cryovial box 19: "&amp;($A243&amp;D$236),MASTER!$L:$L,0)),"mmddyy"),"")</f>
        <v/>
      </c>
      <c r="E243" s="4" t="str">
        <f>IFERROR(INDEX(MASTER!$A:$A,MATCH("Cryovial box 19: "&amp;($A243&amp;E$236),MASTER!$L:$L,0))&amp;"_ser_"&amp;TEXT(VALUE(SUBSTITUTE(SUBSTITUTE(TRIM(INDEX(MASTER!$M:$M,MATCH("Cryovial box 19: "&amp;($A243&amp;E$236),MASTER!$L:$L,0))),"ml",""),":",".")),"0.00")&amp;"_"&amp;TEXT(INDEX(MASTER!$E:$E,MATCH("Cryovial box 19: "&amp;($A243&amp;E$236),MASTER!$L:$L,0)),"mmddyy"),"")</f>
        <v/>
      </c>
      <c r="F243" s="4" t="str">
        <f>IFERROR(INDEX(MASTER!$A:$A,MATCH("Cryovial box 19: "&amp;($A243&amp;F$236),MASTER!$L:$L,0))&amp;"_ser_"&amp;TEXT(VALUE(SUBSTITUTE(SUBSTITUTE(TRIM(INDEX(MASTER!$M:$M,MATCH("Cryovial box 19: "&amp;($A243&amp;F$236),MASTER!$L:$L,0))),"ml",""),":",".")),"0.00")&amp;"_"&amp;TEXT(INDEX(MASTER!$E:$E,MATCH("Cryovial box 19: "&amp;($A243&amp;F$236),MASTER!$L:$L,0)),"mmddyy"),"")</f>
        <v/>
      </c>
      <c r="G243" s="4" t="str">
        <f>IFERROR(INDEX(MASTER!$A:$A,MATCH("Cryovial box 19: "&amp;($A243&amp;G$236),MASTER!$L:$L,0))&amp;"_ser_"&amp;TEXT(VALUE(SUBSTITUTE(SUBSTITUTE(TRIM(INDEX(MASTER!$M:$M,MATCH("Cryovial box 19: "&amp;($A243&amp;G$236),MASTER!$L:$L,0))),"ml",""),":",".")),"0.00")&amp;"_"&amp;TEXT(INDEX(MASTER!$E:$E,MATCH("Cryovial box 19: "&amp;($A243&amp;G$236),MASTER!$L:$L,0)),"mmddyy"),"")</f>
        <v/>
      </c>
      <c r="H243" s="4" t="str">
        <f>IFERROR(INDEX(MASTER!$A:$A,MATCH("Cryovial box 19: "&amp;($A243&amp;H$236),MASTER!$L:$L,0))&amp;"_ser_"&amp;TEXT(VALUE(SUBSTITUTE(SUBSTITUTE(TRIM(INDEX(MASTER!$M:$M,MATCH("Cryovial box 19: "&amp;($A243&amp;H$236),MASTER!$L:$L,0))),"ml",""),":",".")),"0.00")&amp;"_"&amp;TEXT(INDEX(MASTER!$E:$E,MATCH("Cryovial box 19: "&amp;($A243&amp;H$236),MASTER!$L:$L,0)),"mmddyy"),"")</f>
        <v/>
      </c>
      <c r="I243" s="4" t="str">
        <f>IFERROR(INDEX(MASTER!$A:$A,MATCH("Cryovial box 19: "&amp;($A243&amp;I$236),MASTER!$L:$L,0))&amp;"_ser_"&amp;TEXT(VALUE(SUBSTITUTE(SUBSTITUTE(TRIM(INDEX(MASTER!$M:$M,MATCH("Cryovial box 19: "&amp;($A243&amp;I$236),MASTER!$L:$L,0))),"ml",""),":",".")),"0.00")&amp;"_"&amp;TEXT(INDEX(MASTER!$E:$E,MATCH("Cryovial box 19: "&amp;($A243&amp;I$236),MASTER!$L:$L,0)),"mmddyy"),"")</f>
        <v/>
      </c>
      <c r="J243" s="4" t="str">
        <f>IFERROR(INDEX(MASTER!$A:$A,MATCH("Cryovial box 19: "&amp;($A243&amp;J$236),MASTER!$L:$L,0))&amp;"_ser_"&amp;TEXT(VALUE(SUBSTITUTE(SUBSTITUTE(TRIM(INDEX(MASTER!$M:$M,MATCH("Cryovial box 19: "&amp;($A243&amp;J$236),MASTER!$L:$L,0))),"ml",""),":",".")),"0.00")&amp;"_"&amp;TEXT(INDEX(MASTER!$E:$E,MATCH("Cryovial box 19: "&amp;($A243&amp;J$236),MASTER!$L:$L,0)),"mmddyy"),"")</f>
        <v/>
      </c>
      <c r="K243" s="4" t="str">
        <f>IFERROR(INDEX(MASTER!$A:$A,MATCH("Cryovial box 19: "&amp;($A243&amp;K$236),MASTER!$L:$L,0))&amp;"_ser_"&amp;TEXT(VALUE(SUBSTITUTE(SUBSTITUTE(TRIM(INDEX(MASTER!$M:$M,MATCH("Cryovial box 19: "&amp;($A243&amp;K$236),MASTER!$L:$L,0))),"ml",""),":",".")),"0.00")&amp;"_"&amp;TEXT(INDEX(MASTER!$E:$E,MATCH("Cryovial box 19: "&amp;($A243&amp;K$236),MASTER!$L:$L,0)),"mmddyy"),"")</f>
        <v/>
      </c>
    </row>
    <row r="244" spans="1:11" ht="15" customHeight="1" x14ac:dyDescent="0.3">
      <c r="A244" s="6" t="s">
        <v>36</v>
      </c>
      <c r="B244" s="4" t="str">
        <f>IFERROR(INDEX(MASTER!$A:$A,MATCH("Cryovial box 19: "&amp;($A244&amp;B$236),MASTER!$L:$L,0))&amp;"_ser_"&amp;TEXT(VALUE(SUBSTITUTE(SUBSTITUTE(TRIM(INDEX(MASTER!$M:$M,MATCH("Cryovial box 19: "&amp;($A244&amp;B$236),MASTER!$L:$L,0))),"ml",""),":",".")),"0.00")&amp;"_"&amp;TEXT(INDEX(MASTER!$E:$E,MATCH("Cryovial box 19: "&amp;($A244&amp;B$236),MASTER!$L:$L,0)),"mmddyy"),"")</f>
        <v/>
      </c>
      <c r="C244" s="4" t="str">
        <f>IFERROR(INDEX(MASTER!$A:$A,MATCH("Cryovial box 19: "&amp;($A244&amp;C$236),MASTER!$L:$L,0))&amp;"_ser_"&amp;TEXT(VALUE(SUBSTITUTE(SUBSTITUTE(TRIM(INDEX(MASTER!$M:$M,MATCH("Cryovial box 19: "&amp;($A244&amp;C$236),MASTER!$L:$L,0))),"ml",""),":",".")),"0.00")&amp;"_"&amp;TEXT(INDEX(MASTER!$E:$E,MATCH("Cryovial box 19: "&amp;($A244&amp;C$236),MASTER!$L:$L,0)),"mmddyy"),"")</f>
        <v/>
      </c>
      <c r="D244" s="4" t="str">
        <f>IFERROR(INDEX(MASTER!$A:$A,MATCH("Cryovial box 19: "&amp;($A244&amp;D$236),MASTER!$L:$L,0))&amp;"_ser_"&amp;TEXT(VALUE(SUBSTITUTE(SUBSTITUTE(TRIM(INDEX(MASTER!$M:$M,MATCH("Cryovial box 19: "&amp;($A244&amp;D$236),MASTER!$L:$L,0))),"ml",""),":",".")),"0.00")&amp;"_"&amp;TEXT(INDEX(MASTER!$E:$E,MATCH("Cryovial box 19: "&amp;($A244&amp;D$236),MASTER!$L:$L,0)),"mmddyy"),"")</f>
        <v/>
      </c>
      <c r="E244" s="4" t="str">
        <f>IFERROR(INDEX(MASTER!$A:$A,MATCH("Cryovial box 19: "&amp;($A244&amp;E$236),MASTER!$L:$L,0))&amp;"_ser_"&amp;TEXT(VALUE(SUBSTITUTE(SUBSTITUTE(TRIM(INDEX(MASTER!$M:$M,MATCH("Cryovial box 19: "&amp;($A244&amp;E$236),MASTER!$L:$L,0))),"ml",""),":",".")),"0.00")&amp;"_"&amp;TEXT(INDEX(MASTER!$E:$E,MATCH("Cryovial box 19: "&amp;($A244&amp;E$236),MASTER!$L:$L,0)),"mmddyy"),"")</f>
        <v/>
      </c>
      <c r="F244" s="4" t="str">
        <f>IFERROR(INDEX(MASTER!$A:$A,MATCH("Cryovial box 19: "&amp;($A244&amp;F$236),MASTER!$L:$L,0))&amp;"_ser_"&amp;TEXT(VALUE(SUBSTITUTE(SUBSTITUTE(TRIM(INDEX(MASTER!$M:$M,MATCH("Cryovial box 19: "&amp;($A244&amp;F$236),MASTER!$L:$L,0))),"ml",""),":",".")),"0.00")&amp;"_"&amp;TEXT(INDEX(MASTER!$E:$E,MATCH("Cryovial box 19: "&amp;($A244&amp;F$236),MASTER!$L:$L,0)),"mmddyy"),"")</f>
        <v/>
      </c>
      <c r="G244" s="4" t="str">
        <f>IFERROR(INDEX(MASTER!$A:$A,MATCH("Cryovial box 19: "&amp;($A244&amp;G$236),MASTER!$L:$L,0))&amp;"_ser_"&amp;TEXT(VALUE(SUBSTITUTE(SUBSTITUTE(TRIM(INDEX(MASTER!$M:$M,MATCH("Cryovial box 19: "&amp;($A244&amp;G$236),MASTER!$L:$L,0))),"ml",""),":",".")),"0.00")&amp;"_"&amp;TEXT(INDEX(MASTER!$E:$E,MATCH("Cryovial box 19: "&amp;($A244&amp;G$236),MASTER!$L:$L,0)),"mmddyy"),"")</f>
        <v/>
      </c>
      <c r="H244" s="4" t="str">
        <f>IFERROR(INDEX(MASTER!$A:$A,MATCH("Cryovial box 19: "&amp;($A244&amp;H$236),MASTER!$L:$L,0))&amp;"_ser_"&amp;TEXT(VALUE(SUBSTITUTE(SUBSTITUTE(TRIM(INDEX(MASTER!$M:$M,MATCH("Cryovial box 19: "&amp;($A244&amp;H$236),MASTER!$L:$L,0))),"ml",""),":",".")),"0.00")&amp;"_"&amp;TEXT(INDEX(MASTER!$E:$E,MATCH("Cryovial box 19: "&amp;($A244&amp;H$236),MASTER!$L:$L,0)),"mmddyy"),"")</f>
        <v/>
      </c>
      <c r="I244" s="4" t="str">
        <f>IFERROR(INDEX(MASTER!$A:$A,MATCH("Cryovial box 19: "&amp;($A244&amp;I$236),MASTER!$L:$L,0))&amp;"_ser_"&amp;TEXT(VALUE(SUBSTITUTE(SUBSTITUTE(TRIM(INDEX(MASTER!$M:$M,MATCH("Cryovial box 19: "&amp;($A244&amp;I$236),MASTER!$L:$L,0))),"ml",""),":",".")),"0.00")&amp;"_"&amp;TEXT(INDEX(MASTER!$E:$E,MATCH("Cryovial box 19: "&amp;($A244&amp;I$236),MASTER!$L:$L,0)),"mmddyy"),"")</f>
        <v/>
      </c>
      <c r="J244" s="4" t="str">
        <f>IFERROR(INDEX(MASTER!$A:$A,MATCH("Cryovial box 19: "&amp;($A244&amp;J$236),MASTER!$L:$L,0))&amp;"_ser_"&amp;TEXT(VALUE(SUBSTITUTE(SUBSTITUTE(TRIM(INDEX(MASTER!$M:$M,MATCH("Cryovial box 19: "&amp;($A244&amp;J$236),MASTER!$L:$L,0))),"ml",""),":",".")),"0.00")&amp;"_"&amp;TEXT(INDEX(MASTER!$E:$E,MATCH("Cryovial box 19: "&amp;($A244&amp;J$236),MASTER!$L:$L,0)),"mmddyy"),"")</f>
        <v/>
      </c>
      <c r="K244" s="4" t="str">
        <f>IFERROR(INDEX(MASTER!$A:$A,MATCH("Cryovial box 19: "&amp;($A244&amp;K$236),MASTER!$L:$L,0))&amp;"_ser_"&amp;TEXT(VALUE(SUBSTITUTE(SUBSTITUTE(TRIM(INDEX(MASTER!$M:$M,MATCH("Cryovial box 19: "&amp;($A244&amp;K$236),MASTER!$L:$L,0))),"ml",""),":",".")),"0.00")&amp;"_"&amp;TEXT(INDEX(MASTER!$E:$E,MATCH("Cryovial box 19: "&amp;($A244&amp;K$236),MASTER!$L:$L,0)),"mmddyy"),"")</f>
        <v/>
      </c>
    </row>
    <row r="245" spans="1:11" ht="15" customHeight="1" x14ac:dyDescent="0.3">
      <c r="A245" s="6" t="s">
        <v>100</v>
      </c>
      <c r="B245" s="4" t="str">
        <f>IFERROR(INDEX(MASTER!$A:$A,MATCH("Cryovial box 19: "&amp;($A245&amp;B$236),MASTER!$L:$L,0))&amp;"_ser_"&amp;TEXT(VALUE(SUBSTITUTE(SUBSTITUTE(TRIM(INDEX(MASTER!$M:$M,MATCH("Cryovial box 19: "&amp;($A245&amp;B$236),MASTER!$L:$L,0))),"ml",""),":",".")),"0.00")&amp;"_"&amp;TEXT(INDEX(MASTER!$E:$E,MATCH("Cryovial box 19: "&amp;($A245&amp;B$236),MASTER!$L:$L,0)),"mmddyy"),"")</f>
        <v/>
      </c>
      <c r="C245" s="4" t="str">
        <f>IFERROR(INDEX(MASTER!$A:$A,MATCH("Cryovial box 19: "&amp;($A245&amp;C$236),MASTER!$L:$L,0))&amp;"_ser_"&amp;TEXT(VALUE(SUBSTITUTE(SUBSTITUTE(TRIM(INDEX(MASTER!$M:$M,MATCH("Cryovial box 19: "&amp;($A245&amp;C$236),MASTER!$L:$L,0))),"ml",""),":",".")),"0.00")&amp;"_"&amp;TEXT(INDEX(MASTER!$E:$E,MATCH("Cryovial box 19: "&amp;($A245&amp;C$236),MASTER!$L:$L,0)),"mmddyy"),"")</f>
        <v/>
      </c>
      <c r="D245" s="4" t="str">
        <f>IFERROR(INDEX(MASTER!$A:$A,MATCH("Cryovial box 19: "&amp;($A245&amp;D$236),MASTER!$L:$L,0))&amp;"_ser_"&amp;TEXT(VALUE(SUBSTITUTE(SUBSTITUTE(TRIM(INDEX(MASTER!$M:$M,MATCH("Cryovial box 19: "&amp;($A245&amp;D$236),MASTER!$L:$L,0))),"ml",""),":",".")),"0.00")&amp;"_"&amp;TEXT(INDEX(MASTER!$E:$E,MATCH("Cryovial box 19: "&amp;($A245&amp;D$236),MASTER!$L:$L,0)),"mmddyy"),"")</f>
        <v/>
      </c>
      <c r="E245" s="4" t="str">
        <f>IFERROR(INDEX(MASTER!$A:$A,MATCH("Cryovial box 19: "&amp;($A245&amp;E$236),MASTER!$L:$L,0))&amp;"_ser_"&amp;TEXT(VALUE(SUBSTITUTE(SUBSTITUTE(TRIM(INDEX(MASTER!$M:$M,MATCH("Cryovial box 19: "&amp;($A245&amp;E$236),MASTER!$L:$L,0))),"ml",""),":",".")),"0.00")&amp;"_"&amp;TEXT(INDEX(MASTER!$E:$E,MATCH("Cryovial box 19: "&amp;($A245&amp;E$236),MASTER!$L:$L,0)),"mmddyy"),"")</f>
        <v/>
      </c>
      <c r="F245" s="4" t="str">
        <f>IFERROR(INDEX(MASTER!$A:$A,MATCH("Cryovial box 19: "&amp;($A245&amp;F$236),MASTER!$L:$L,0))&amp;"_ser_"&amp;TEXT(VALUE(SUBSTITUTE(SUBSTITUTE(TRIM(INDEX(MASTER!$M:$M,MATCH("Cryovial box 19: "&amp;($A245&amp;F$236),MASTER!$L:$L,0))),"ml",""),":",".")),"0.00")&amp;"_"&amp;TEXT(INDEX(MASTER!$E:$E,MATCH("Cryovial box 19: "&amp;($A245&amp;F$236),MASTER!$L:$L,0)),"mmddyy"),"")</f>
        <v/>
      </c>
      <c r="G245" s="4" t="str">
        <f>IFERROR(INDEX(MASTER!$A:$A,MATCH("Cryovial box 19: "&amp;($A245&amp;G$236),MASTER!$L:$L,0))&amp;"_ser_"&amp;TEXT(VALUE(SUBSTITUTE(SUBSTITUTE(TRIM(INDEX(MASTER!$M:$M,MATCH("Cryovial box 19: "&amp;($A245&amp;G$236),MASTER!$L:$L,0))),"ml",""),":",".")),"0.00")&amp;"_"&amp;TEXT(INDEX(MASTER!$E:$E,MATCH("Cryovial box 19: "&amp;($A245&amp;G$236),MASTER!$L:$L,0)),"mmddyy"),"")</f>
        <v/>
      </c>
      <c r="H245" s="4" t="str">
        <f>IFERROR(INDEX(MASTER!$A:$A,MATCH("Cryovial box 19: "&amp;($A245&amp;H$236),MASTER!$L:$L,0))&amp;"_ser_"&amp;TEXT(VALUE(SUBSTITUTE(SUBSTITUTE(TRIM(INDEX(MASTER!$M:$M,MATCH("Cryovial box 19: "&amp;($A245&amp;H$236),MASTER!$L:$L,0))),"ml",""),":",".")),"0.00")&amp;"_"&amp;TEXT(INDEX(MASTER!$E:$E,MATCH("Cryovial box 19: "&amp;($A245&amp;H$236),MASTER!$L:$L,0)),"mmddyy"),"")</f>
        <v/>
      </c>
      <c r="I245" s="4" t="str">
        <f>IFERROR(INDEX(MASTER!$A:$A,MATCH("Cryovial box 19: "&amp;($A245&amp;I$236),MASTER!$L:$L,0))&amp;"_ser_"&amp;TEXT(VALUE(SUBSTITUTE(SUBSTITUTE(TRIM(INDEX(MASTER!$M:$M,MATCH("Cryovial box 19: "&amp;($A245&amp;I$236),MASTER!$L:$L,0))),"ml",""),":",".")),"0.00")&amp;"_"&amp;TEXT(INDEX(MASTER!$E:$E,MATCH("Cryovial box 19: "&amp;($A245&amp;I$236),MASTER!$L:$L,0)),"mmddyy"),"")</f>
        <v/>
      </c>
      <c r="J245" s="4" t="str">
        <f>IFERROR(INDEX(MASTER!$A:$A,MATCH("Cryovial box 19: "&amp;($A245&amp;J$236),MASTER!$L:$L,0))&amp;"_ser_"&amp;TEXT(VALUE(SUBSTITUTE(SUBSTITUTE(TRIM(INDEX(MASTER!$M:$M,MATCH("Cryovial box 19: "&amp;($A245&amp;J$236),MASTER!$L:$L,0))),"ml",""),":",".")),"0.00")&amp;"_"&amp;TEXT(INDEX(MASTER!$E:$E,MATCH("Cryovial box 19: "&amp;($A245&amp;J$236),MASTER!$L:$L,0)),"mmddyy"),"")</f>
        <v/>
      </c>
      <c r="K245" s="4" t="str">
        <f>IFERROR(INDEX(MASTER!$A:$A,MATCH("Cryovial box 19: "&amp;($A245&amp;K$236),MASTER!$L:$L,0))&amp;"_ser_"&amp;TEXT(VALUE(SUBSTITUTE(SUBSTITUTE(TRIM(INDEX(MASTER!$M:$M,MATCH("Cryovial box 19: "&amp;($A245&amp;K$236),MASTER!$L:$L,0))),"ml",""),":",".")),"0.00")&amp;"_"&amp;TEXT(INDEX(MASTER!$E:$E,MATCH("Cryovial box 19: "&amp;($A245&amp;K$236),MASTER!$L:$L,0)),"mmddyy"),"")</f>
        <v/>
      </c>
    </row>
    <row r="246" spans="1:11" ht="15" customHeight="1" x14ac:dyDescent="0.3">
      <c r="A246" s="6" t="s">
        <v>101</v>
      </c>
      <c r="B246" s="4" t="str">
        <f>IFERROR(INDEX(MASTER!$A:$A,MATCH("Cryovial box 19: "&amp;($A246&amp;B$236),MASTER!$L:$L,0))&amp;"_ser_"&amp;TEXT(VALUE(SUBSTITUTE(SUBSTITUTE(TRIM(INDEX(MASTER!$M:$M,MATCH("Cryovial box 19: "&amp;($A246&amp;B$236),MASTER!$L:$L,0))),"ml",""),":",".")),"0.00")&amp;"_"&amp;TEXT(INDEX(MASTER!$E:$E,MATCH("Cryovial box 19: "&amp;($A246&amp;B$236),MASTER!$L:$L,0)),"mmddyy"),"")</f>
        <v/>
      </c>
      <c r="C246" s="4" t="str">
        <f>IFERROR(INDEX(MASTER!$A:$A,MATCH("Cryovial box 19: "&amp;($A246&amp;C$236),MASTER!$L:$L,0))&amp;"_ser_"&amp;TEXT(VALUE(SUBSTITUTE(SUBSTITUTE(TRIM(INDEX(MASTER!$M:$M,MATCH("Cryovial box 19: "&amp;($A246&amp;C$236),MASTER!$L:$L,0))),"ml",""),":",".")),"0.00")&amp;"_"&amp;TEXT(INDEX(MASTER!$E:$E,MATCH("Cryovial box 19: "&amp;($A246&amp;C$236),MASTER!$L:$L,0)),"mmddyy"),"")</f>
        <v/>
      </c>
      <c r="D246" s="4" t="str">
        <f>IFERROR(INDEX(MASTER!$A:$A,MATCH("Cryovial box 19: "&amp;($A246&amp;D$236),MASTER!$L:$L,0))&amp;"_ser_"&amp;TEXT(VALUE(SUBSTITUTE(SUBSTITUTE(TRIM(INDEX(MASTER!$M:$M,MATCH("Cryovial box 19: "&amp;($A246&amp;D$236),MASTER!$L:$L,0))),"ml",""),":",".")),"0.00")&amp;"_"&amp;TEXT(INDEX(MASTER!$E:$E,MATCH("Cryovial box 19: "&amp;($A246&amp;D$236),MASTER!$L:$L,0)),"mmddyy"),"")</f>
        <v/>
      </c>
      <c r="E246" s="4" t="str">
        <f>IFERROR(INDEX(MASTER!$A:$A,MATCH("Cryovial box 19: "&amp;($A246&amp;E$236),MASTER!$L:$L,0))&amp;"_ser_"&amp;TEXT(VALUE(SUBSTITUTE(SUBSTITUTE(TRIM(INDEX(MASTER!$M:$M,MATCH("Cryovial box 19: "&amp;($A246&amp;E$236),MASTER!$L:$L,0))),"ml",""),":",".")),"0.00")&amp;"_"&amp;TEXT(INDEX(MASTER!$E:$E,MATCH("Cryovial box 19: "&amp;($A246&amp;E$236),MASTER!$L:$L,0)),"mmddyy"),"")</f>
        <v/>
      </c>
      <c r="F246" s="4" t="str">
        <f>IFERROR(INDEX(MASTER!$A:$A,MATCH("Cryovial box 19: "&amp;($A246&amp;F$236),MASTER!$L:$L,0))&amp;"_ser_"&amp;TEXT(VALUE(SUBSTITUTE(SUBSTITUTE(TRIM(INDEX(MASTER!$M:$M,MATCH("Cryovial box 19: "&amp;($A246&amp;F$236),MASTER!$L:$L,0))),"ml",""),":",".")),"0.00")&amp;"_"&amp;TEXT(INDEX(MASTER!$E:$E,MATCH("Cryovial box 19: "&amp;($A246&amp;F$236),MASTER!$L:$L,0)),"mmddyy"),"")</f>
        <v/>
      </c>
      <c r="G246" s="4" t="str">
        <f>IFERROR(INDEX(MASTER!$A:$A,MATCH("Cryovial box 19: "&amp;($A246&amp;G$236),MASTER!$L:$L,0))&amp;"_ser_"&amp;TEXT(VALUE(SUBSTITUTE(SUBSTITUTE(TRIM(INDEX(MASTER!$M:$M,MATCH("Cryovial box 19: "&amp;($A246&amp;G$236),MASTER!$L:$L,0))),"ml",""),":",".")),"0.00")&amp;"_"&amp;TEXT(INDEX(MASTER!$E:$E,MATCH("Cryovial box 19: "&amp;($A246&amp;G$236),MASTER!$L:$L,0)),"mmddyy"),"")</f>
        <v/>
      </c>
      <c r="H246" s="4" t="str">
        <f>IFERROR(INDEX(MASTER!$A:$A,MATCH("Cryovial box 19: "&amp;($A246&amp;H$236),MASTER!$L:$L,0))&amp;"_ser_"&amp;TEXT(VALUE(SUBSTITUTE(SUBSTITUTE(TRIM(INDEX(MASTER!$M:$M,MATCH("Cryovial box 19: "&amp;($A246&amp;H$236),MASTER!$L:$L,0))),"ml",""),":",".")),"0.00")&amp;"_"&amp;TEXT(INDEX(MASTER!$E:$E,MATCH("Cryovial box 19: "&amp;($A246&amp;H$236),MASTER!$L:$L,0)),"mmddyy"),"")</f>
        <v/>
      </c>
      <c r="I246" s="4" t="str">
        <f>IFERROR(INDEX(MASTER!$A:$A,MATCH("Cryovial box 19: "&amp;($A246&amp;I$236),MASTER!$L:$L,0))&amp;"_ser_"&amp;TEXT(VALUE(SUBSTITUTE(SUBSTITUTE(TRIM(INDEX(MASTER!$M:$M,MATCH("Cryovial box 19: "&amp;($A246&amp;I$236),MASTER!$L:$L,0))),"ml",""),":",".")),"0.00")&amp;"_"&amp;TEXT(INDEX(MASTER!$E:$E,MATCH("Cryovial box 19: "&amp;($A246&amp;I$236),MASTER!$L:$L,0)),"mmddyy"),"")</f>
        <v/>
      </c>
      <c r="J246" s="4" t="str">
        <f>IFERROR(INDEX(MASTER!$A:$A,MATCH("Cryovial box 19: "&amp;($A246&amp;J$236),MASTER!$L:$L,0))&amp;"_ser_"&amp;TEXT(VALUE(SUBSTITUTE(SUBSTITUTE(TRIM(INDEX(MASTER!$M:$M,MATCH("Cryovial box 19: "&amp;($A246&amp;J$236),MASTER!$L:$L,0))),"ml",""),":",".")),"0.00")&amp;"_"&amp;TEXT(INDEX(MASTER!$E:$E,MATCH("Cryovial box 19: "&amp;($A246&amp;J$236),MASTER!$L:$L,0)),"mmddyy"),"")</f>
        <v/>
      </c>
      <c r="K246" s="4" t="str">
        <f>IFERROR(INDEX(MASTER!$A:$A,MATCH("Cryovial box 19: "&amp;($A246&amp;K$236),MASTER!$L:$L,0))&amp;"_ser_"&amp;TEXT(VALUE(SUBSTITUTE(SUBSTITUTE(TRIM(INDEX(MASTER!$M:$M,MATCH("Cryovial box 19: "&amp;($A246&amp;K$236),MASTER!$L:$L,0))),"ml",""),":",".")),"0.00")&amp;"_"&amp;TEXT(INDEX(MASTER!$E:$E,MATCH("Cryovial box 19: "&amp;($A246&amp;K$236),MASTER!$L:$L,0)),"mmddyy"),"")</f>
        <v/>
      </c>
    </row>
    <row r="247" spans="1:11" ht="1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spans="1:11" ht="20.149999999999999" customHeight="1" x14ac:dyDescent="0.3">
      <c r="A248" s="5"/>
      <c r="B248" s="31" t="s">
        <v>120</v>
      </c>
      <c r="C248" s="36"/>
      <c r="D248" s="36"/>
      <c r="E248" s="36"/>
      <c r="F248" s="36"/>
      <c r="G248" s="36"/>
      <c r="H248" s="36"/>
      <c r="I248" s="36"/>
      <c r="J248" s="36"/>
      <c r="K248" s="37"/>
    </row>
    <row r="249" spans="1:11" ht="20.149999999999999" customHeight="1" x14ac:dyDescent="0.3">
      <c r="A249" s="5"/>
      <c r="B249" s="6">
        <v>1</v>
      </c>
      <c r="C249" s="6">
        <v>2</v>
      </c>
      <c r="D249" s="6">
        <v>3</v>
      </c>
      <c r="E249" s="6">
        <v>4</v>
      </c>
      <c r="F249" s="6">
        <v>5</v>
      </c>
      <c r="G249" s="6">
        <v>6</v>
      </c>
      <c r="H249" s="6">
        <v>7</v>
      </c>
      <c r="I249" s="6">
        <v>8</v>
      </c>
      <c r="J249" s="6">
        <v>9</v>
      </c>
      <c r="K249" s="6">
        <v>10</v>
      </c>
    </row>
    <row r="250" spans="1:11" ht="20.149999999999999" customHeight="1" x14ac:dyDescent="0.3">
      <c r="A250" s="6" t="s">
        <v>30</v>
      </c>
      <c r="B250" s="4" t="str">
        <f>IFERROR(INDEX(MASTER!$A:$A,MATCH("Cryovial box 20: "&amp;($A250&amp;B$249),MASTER!$L:$L,0))&amp;"_ser_"&amp;TEXT(VALUE(SUBSTITUTE(SUBSTITUTE(TRIM(INDEX(MASTER!$M:$M,MATCH("Cryovial box 20: "&amp;($A250&amp;B$249),MASTER!$L:$L,0))),"ml",""),":",".")),"0.00")&amp;"_"&amp;TEXT(INDEX(MASTER!$E:$E,MATCH("Cryovial box 20: "&amp;($A250&amp;B$249),MASTER!$L:$L,0)),"mmddyy"),"")</f>
        <v/>
      </c>
      <c r="C250" s="4" t="str">
        <f>IFERROR(INDEX(MASTER!$A:$A,MATCH("Cryovial box 20: "&amp;($A250&amp;C$249),MASTER!$L:$L,0))&amp;"_ser_"&amp;TEXT(VALUE(SUBSTITUTE(SUBSTITUTE(TRIM(INDEX(MASTER!$M:$M,MATCH("Cryovial box 20: "&amp;($A250&amp;C$249),MASTER!$L:$L,0))),"ml",""),":",".")),"0.00")&amp;"_"&amp;TEXT(INDEX(MASTER!$E:$E,MATCH("Cryovial box 20: "&amp;($A250&amp;C$249),MASTER!$L:$L,0)),"mmddyy"),"")</f>
        <v/>
      </c>
      <c r="D250" s="4" t="str">
        <f>IFERROR(INDEX(MASTER!$A:$A,MATCH("Cryovial box 20: "&amp;($A250&amp;D$249),MASTER!$L:$L,0))&amp;"_ser_"&amp;TEXT(VALUE(SUBSTITUTE(SUBSTITUTE(TRIM(INDEX(MASTER!$M:$M,MATCH("Cryovial box 20: "&amp;($A250&amp;D$249),MASTER!$L:$L,0))),"ml",""),":",".")),"0.00")&amp;"_"&amp;TEXT(INDEX(MASTER!$E:$E,MATCH("Cryovial box 20: "&amp;($A250&amp;D$249),MASTER!$L:$L,0)),"mmddyy"),"")</f>
        <v/>
      </c>
      <c r="E250" s="4" t="str">
        <f>IFERROR(INDEX(MASTER!$A:$A,MATCH("Cryovial box 20: "&amp;($A250&amp;E$249),MASTER!$L:$L,0))&amp;"_ser_"&amp;TEXT(VALUE(SUBSTITUTE(SUBSTITUTE(TRIM(INDEX(MASTER!$M:$M,MATCH("Cryovial box 20: "&amp;($A250&amp;E$249),MASTER!$L:$L,0))),"ml",""),":",".")),"0.00")&amp;"_"&amp;TEXT(INDEX(MASTER!$E:$E,MATCH("Cryovial box 20: "&amp;($A250&amp;E$249),MASTER!$L:$L,0)),"mmddyy"),"")</f>
        <v/>
      </c>
      <c r="F250" s="4" t="str">
        <f>IFERROR(INDEX(MASTER!$A:$A,MATCH("Cryovial box 20: "&amp;($A250&amp;F$249),MASTER!$L:$L,0))&amp;"_ser_"&amp;TEXT(VALUE(SUBSTITUTE(SUBSTITUTE(TRIM(INDEX(MASTER!$M:$M,MATCH("Cryovial box 20: "&amp;($A250&amp;F$249),MASTER!$L:$L,0))),"ml",""),":",".")),"0.00")&amp;"_"&amp;TEXT(INDEX(MASTER!$E:$E,MATCH("Cryovial box 20: "&amp;($A250&amp;F$249),MASTER!$L:$L,0)),"mmddyy"),"")</f>
        <v/>
      </c>
      <c r="G250" s="4" t="str">
        <f>IFERROR(INDEX(MASTER!$A:$A,MATCH("Cryovial box 20: "&amp;($A250&amp;G$249),MASTER!$L:$L,0))&amp;"_ser_"&amp;TEXT(VALUE(SUBSTITUTE(SUBSTITUTE(TRIM(INDEX(MASTER!$M:$M,MATCH("Cryovial box 20: "&amp;($A250&amp;G$249),MASTER!$L:$L,0))),"ml",""),":",".")),"0.00")&amp;"_"&amp;TEXT(INDEX(MASTER!$E:$E,MATCH("Cryovial box 20: "&amp;($A250&amp;G$249),MASTER!$L:$L,0)),"mmddyy"),"")</f>
        <v/>
      </c>
      <c r="H250" s="4" t="str">
        <f>IFERROR(INDEX(MASTER!$A:$A,MATCH("Cryovial box 20: "&amp;($A250&amp;H$249),MASTER!$L:$L,0))&amp;"_ser_"&amp;TEXT(VALUE(SUBSTITUTE(SUBSTITUTE(TRIM(INDEX(MASTER!$M:$M,MATCH("Cryovial box 20: "&amp;($A250&amp;H$249),MASTER!$L:$L,0))),"ml",""),":",".")),"0.00")&amp;"_"&amp;TEXT(INDEX(MASTER!$E:$E,MATCH("Cryovial box 20: "&amp;($A250&amp;H$249),MASTER!$L:$L,0)),"mmddyy"),"")</f>
        <v/>
      </c>
      <c r="I250" s="4" t="str">
        <f>IFERROR(INDEX(MASTER!$A:$A,MATCH("Cryovial box 20: "&amp;($A250&amp;I$249),MASTER!$L:$L,0))&amp;"_ser_"&amp;TEXT(VALUE(SUBSTITUTE(SUBSTITUTE(TRIM(INDEX(MASTER!$M:$M,MATCH("Cryovial box 20: "&amp;($A250&amp;I$249),MASTER!$L:$L,0))),"ml",""),":",".")),"0.00")&amp;"_"&amp;TEXT(INDEX(MASTER!$E:$E,MATCH("Cryovial box 20: "&amp;($A250&amp;I$249),MASTER!$L:$L,0)),"mmddyy"),"")</f>
        <v/>
      </c>
      <c r="J250" s="4" t="str">
        <f>IFERROR(INDEX(MASTER!$A:$A,MATCH("Cryovial box 20: "&amp;($A250&amp;J$249),MASTER!$L:$L,0))&amp;"_ser_"&amp;TEXT(VALUE(SUBSTITUTE(SUBSTITUTE(TRIM(INDEX(MASTER!$M:$M,MATCH("Cryovial box 20: "&amp;($A250&amp;J$249),MASTER!$L:$L,0))),"ml",""),":",".")),"0.00")&amp;"_"&amp;TEXT(INDEX(MASTER!$E:$E,MATCH("Cryovial box 20: "&amp;($A250&amp;J$249),MASTER!$L:$L,0)),"mmddyy"),"")</f>
        <v/>
      </c>
      <c r="K250" s="4" t="str">
        <f>IFERROR(INDEX(MASTER!$A:$A,MATCH("Cryovial box 20: "&amp;($A250&amp;K$249),MASTER!$L:$L,0))&amp;"_ser_"&amp;TEXT(VALUE(SUBSTITUTE(SUBSTITUTE(TRIM(INDEX(MASTER!$M:$M,MATCH("Cryovial box 20: "&amp;($A250&amp;K$249),MASTER!$L:$L,0))),"ml",""),":",".")),"0.00")&amp;"_"&amp;TEXT(INDEX(MASTER!$E:$E,MATCH("Cryovial box 20: "&amp;($A250&amp;K$249),MASTER!$L:$L,0)),"mmddyy"),"")</f>
        <v/>
      </c>
    </row>
    <row r="251" spans="1:11" ht="20.149999999999999" customHeight="1" x14ac:dyDescent="0.3">
      <c r="A251" s="6" t="s">
        <v>31</v>
      </c>
      <c r="B251" s="4" t="str">
        <f>IFERROR(INDEX(MASTER!$A:$A,MATCH("Cryovial box 20: "&amp;($A251&amp;B$249),MASTER!$L:$L,0))&amp;"_ser_"&amp;TEXT(VALUE(SUBSTITUTE(SUBSTITUTE(TRIM(INDEX(MASTER!$M:$M,MATCH("Cryovial box 20: "&amp;($A251&amp;B$249),MASTER!$L:$L,0))),"ml",""),":",".")),"0.00")&amp;"_"&amp;TEXT(INDEX(MASTER!$E:$E,MATCH("Cryovial box 20: "&amp;($A251&amp;B$249),MASTER!$L:$L,0)),"mmddyy"),"")</f>
        <v/>
      </c>
      <c r="C251" s="4" t="str">
        <f>IFERROR(INDEX(MASTER!$A:$A,MATCH("Cryovial box 20: "&amp;($A251&amp;C$249),MASTER!$L:$L,0))&amp;"_ser_"&amp;TEXT(VALUE(SUBSTITUTE(SUBSTITUTE(TRIM(INDEX(MASTER!$M:$M,MATCH("Cryovial box 20: "&amp;($A251&amp;C$249),MASTER!$L:$L,0))),"ml",""),":",".")),"0.00")&amp;"_"&amp;TEXT(INDEX(MASTER!$E:$E,MATCH("Cryovial box 20: "&amp;($A251&amp;C$249),MASTER!$L:$L,0)),"mmddyy"),"")</f>
        <v/>
      </c>
      <c r="D251" s="4" t="str">
        <f>IFERROR(INDEX(MASTER!$A:$A,MATCH("Cryovial box 20: "&amp;($A251&amp;D$249),MASTER!$L:$L,0))&amp;"_ser_"&amp;TEXT(VALUE(SUBSTITUTE(SUBSTITUTE(TRIM(INDEX(MASTER!$M:$M,MATCH("Cryovial box 20: "&amp;($A251&amp;D$249),MASTER!$L:$L,0))),"ml",""),":",".")),"0.00")&amp;"_"&amp;TEXT(INDEX(MASTER!$E:$E,MATCH("Cryovial box 20: "&amp;($A251&amp;D$249),MASTER!$L:$L,0)),"mmddyy"),"")</f>
        <v/>
      </c>
      <c r="E251" s="4" t="str">
        <f>IFERROR(INDEX(MASTER!$A:$A,MATCH("Cryovial box 20: "&amp;($A251&amp;E$249),MASTER!$L:$L,0))&amp;"_ser_"&amp;TEXT(VALUE(SUBSTITUTE(SUBSTITUTE(TRIM(INDEX(MASTER!$M:$M,MATCH("Cryovial box 20: "&amp;($A251&amp;E$249),MASTER!$L:$L,0))),"ml",""),":",".")),"0.00")&amp;"_"&amp;TEXT(INDEX(MASTER!$E:$E,MATCH("Cryovial box 20: "&amp;($A251&amp;E$249),MASTER!$L:$L,0)),"mmddyy"),"")</f>
        <v/>
      </c>
      <c r="F251" s="4" t="str">
        <f>IFERROR(INDEX(MASTER!$A:$A,MATCH("Cryovial box 20: "&amp;($A251&amp;F$249),MASTER!$L:$L,0))&amp;"_ser_"&amp;TEXT(VALUE(SUBSTITUTE(SUBSTITUTE(TRIM(INDEX(MASTER!$M:$M,MATCH("Cryovial box 20: "&amp;($A251&amp;F$249),MASTER!$L:$L,0))),"ml",""),":",".")),"0.00")&amp;"_"&amp;TEXT(INDEX(MASTER!$E:$E,MATCH("Cryovial box 20: "&amp;($A251&amp;F$249),MASTER!$L:$L,0)),"mmddyy"),"")</f>
        <v/>
      </c>
      <c r="G251" s="4" t="str">
        <f>IFERROR(INDEX(MASTER!$A:$A,MATCH("Cryovial box 20: "&amp;($A251&amp;G$249),MASTER!$L:$L,0))&amp;"_ser_"&amp;TEXT(VALUE(SUBSTITUTE(SUBSTITUTE(TRIM(INDEX(MASTER!$M:$M,MATCH("Cryovial box 20: "&amp;($A251&amp;G$249),MASTER!$L:$L,0))),"ml",""),":",".")),"0.00")&amp;"_"&amp;TEXT(INDEX(MASTER!$E:$E,MATCH("Cryovial box 20: "&amp;($A251&amp;G$249),MASTER!$L:$L,0)),"mmddyy"),"")</f>
        <v/>
      </c>
      <c r="H251" s="4" t="str">
        <f>IFERROR(INDEX(MASTER!$A:$A,MATCH("Cryovial box 20: "&amp;($A251&amp;H$249),MASTER!$L:$L,0))&amp;"_ser_"&amp;TEXT(VALUE(SUBSTITUTE(SUBSTITUTE(TRIM(INDEX(MASTER!$M:$M,MATCH("Cryovial box 20: "&amp;($A251&amp;H$249),MASTER!$L:$L,0))),"ml",""),":",".")),"0.00")&amp;"_"&amp;TEXT(INDEX(MASTER!$E:$E,MATCH("Cryovial box 20: "&amp;($A251&amp;H$249),MASTER!$L:$L,0)),"mmddyy"),"")</f>
        <v/>
      </c>
      <c r="I251" s="4" t="str">
        <f>IFERROR(INDEX(MASTER!$A:$A,MATCH("Cryovial box 20: "&amp;($A251&amp;I$249),MASTER!$L:$L,0))&amp;"_ser_"&amp;TEXT(VALUE(SUBSTITUTE(SUBSTITUTE(TRIM(INDEX(MASTER!$M:$M,MATCH("Cryovial box 20: "&amp;($A251&amp;I$249),MASTER!$L:$L,0))),"ml",""),":",".")),"0.00")&amp;"_"&amp;TEXT(INDEX(MASTER!$E:$E,MATCH("Cryovial box 20: "&amp;($A251&amp;I$249),MASTER!$L:$L,0)),"mmddyy"),"")</f>
        <v/>
      </c>
      <c r="J251" s="4" t="str">
        <f>IFERROR(INDEX(MASTER!$A:$A,MATCH("Cryovial box 20: "&amp;($A251&amp;J$249),MASTER!$L:$L,0))&amp;"_ser_"&amp;TEXT(VALUE(SUBSTITUTE(SUBSTITUTE(TRIM(INDEX(MASTER!$M:$M,MATCH("Cryovial box 20: "&amp;($A251&amp;J$249),MASTER!$L:$L,0))),"ml",""),":",".")),"0.00")&amp;"_"&amp;TEXT(INDEX(MASTER!$E:$E,MATCH("Cryovial box 20: "&amp;($A251&amp;J$249),MASTER!$L:$L,0)),"mmddyy"),"")</f>
        <v/>
      </c>
      <c r="K251" s="4" t="str">
        <f>IFERROR(INDEX(MASTER!$A:$A,MATCH("Cryovial box 20: "&amp;($A251&amp;K$249),MASTER!$L:$L,0))&amp;"_ser_"&amp;TEXT(VALUE(SUBSTITUTE(SUBSTITUTE(TRIM(INDEX(MASTER!$M:$M,MATCH("Cryovial box 20: "&amp;($A251&amp;K$249),MASTER!$L:$L,0))),"ml",""),":",".")),"0.00")&amp;"_"&amp;TEXT(INDEX(MASTER!$E:$E,MATCH("Cryovial box 20: "&amp;($A251&amp;K$249),MASTER!$L:$L,0)),"mmddyy"),"")</f>
        <v/>
      </c>
    </row>
    <row r="252" spans="1:11" ht="20.149999999999999" customHeight="1" x14ac:dyDescent="0.3">
      <c r="A252" s="6" t="s">
        <v>32</v>
      </c>
      <c r="B252" s="4" t="str">
        <f>IFERROR(INDEX(MASTER!$A:$A,MATCH("Cryovial box 20: "&amp;($A252&amp;B$249),MASTER!$L:$L,0))&amp;"_ser_"&amp;TEXT(VALUE(SUBSTITUTE(SUBSTITUTE(TRIM(INDEX(MASTER!$M:$M,MATCH("Cryovial box 20: "&amp;($A252&amp;B$249),MASTER!$L:$L,0))),"ml",""),":",".")),"0.00")&amp;"_"&amp;TEXT(INDEX(MASTER!$E:$E,MATCH("Cryovial box 20: "&amp;($A252&amp;B$249),MASTER!$L:$L,0)),"mmddyy"),"")</f>
        <v/>
      </c>
      <c r="C252" s="4" t="str">
        <f>IFERROR(INDEX(MASTER!$A:$A,MATCH("Cryovial box 20: "&amp;($A252&amp;C$249),MASTER!$L:$L,0))&amp;"_ser_"&amp;TEXT(VALUE(SUBSTITUTE(SUBSTITUTE(TRIM(INDEX(MASTER!$M:$M,MATCH("Cryovial box 20: "&amp;($A252&amp;C$249),MASTER!$L:$L,0))),"ml",""),":",".")),"0.00")&amp;"_"&amp;TEXT(INDEX(MASTER!$E:$E,MATCH("Cryovial box 20: "&amp;($A252&amp;C$249),MASTER!$L:$L,0)),"mmddyy"),"")</f>
        <v/>
      </c>
      <c r="D252" s="4" t="str">
        <f>IFERROR(INDEX(MASTER!$A:$A,MATCH("Cryovial box 20: "&amp;($A252&amp;D$249),MASTER!$L:$L,0))&amp;"_ser_"&amp;TEXT(VALUE(SUBSTITUTE(SUBSTITUTE(TRIM(INDEX(MASTER!$M:$M,MATCH("Cryovial box 20: "&amp;($A252&amp;D$249),MASTER!$L:$L,0))),"ml",""),":",".")),"0.00")&amp;"_"&amp;TEXT(INDEX(MASTER!$E:$E,MATCH("Cryovial box 20: "&amp;($A252&amp;D$249),MASTER!$L:$L,0)),"mmddyy"),"")</f>
        <v/>
      </c>
      <c r="E252" s="4" t="str">
        <f>IFERROR(INDEX(MASTER!$A:$A,MATCH("Cryovial box 20: "&amp;($A252&amp;E$249),MASTER!$L:$L,0))&amp;"_ser_"&amp;TEXT(VALUE(SUBSTITUTE(SUBSTITUTE(TRIM(INDEX(MASTER!$M:$M,MATCH("Cryovial box 20: "&amp;($A252&amp;E$249),MASTER!$L:$L,0))),"ml",""),":",".")),"0.00")&amp;"_"&amp;TEXT(INDEX(MASTER!$E:$E,MATCH("Cryovial box 20: "&amp;($A252&amp;E$249),MASTER!$L:$L,0)),"mmddyy"),"")</f>
        <v/>
      </c>
      <c r="F252" s="4" t="str">
        <f>IFERROR(INDEX(MASTER!$A:$A,MATCH("Cryovial box 20: "&amp;($A252&amp;F$249),MASTER!$L:$L,0))&amp;"_ser_"&amp;TEXT(VALUE(SUBSTITUTE(SUBSTITUTE(TRIM(INDEX(MASTER!$M:$M,MATCH("Cryovial box 20: "&amp;($A252&amp;F$249),MASTER!$L:$L,0))),"ml",""),":",".")),"0.00")&amp;"_"&amp;TEXT(INDEX(MASTER!$E:$E,MATCH("Cryovial box 20: "&amp;($A252&amp;F$249),MASTER!$L:$L,0)),"mmddyy"),"")</f>
        <v/>
      </c>
      <c r="G252" s="4" t="str">
        <f>IFERROR(INDEX(MASTER!$A:$A,MATCH("Cryovial box 20: "&amp;($A252&amp;G$249),MASTER!$L:$L,0))&amp;"_ser_"&amp;TEXT(VALUE(SUBSTITUTE(SUBSTITUTE(TRIM(INDEX(MASTER!$M:$M,MATCH("Cryovial box 20: "&amp;($A252&amp;G$249),MASTER!$L:$L,0))),"ml",""),":",".")),"0.00")&amp;"_"&amp;TEXT(INDEX(MASTER!$E:$E,MATCH("Cryovial box 20: "&amp;($A252&amp;G$249),MASTER!$L:$L,0)),"mmddyy"),"")</f>
        <v/>
      </c>
      <c r="H252" s="4" t="str">
        <f>IFERROR(INDEX(MASTER!$A:$A,MATCH("Cryovial box 20: "&amp;($A252&amp;H$249),MASTER!$L:$L,0))&amp;"_ser_"&amp;TEXT(VALUE(SUBSTITUTE(SUBSTITUTE(TRIM(INDEX(MASTER!$M:$M,MATCH("Cryovial box 20: "&amp;($A252&amp;H$249),MASTER!$L:$L,0))),"ml",""),":",".")),"0.00")&amp;"_"&amp;TEXT(INDEX(MASTER!$E:$E,MATCH("Cryovial box 20: "&amp;($A252&amp;H$249),MASTER!$L:$L,0)),"mmddyy"),"")</f>
        <v/>
      </c>
      <c r="I252" s="4" t="str">
        <f>IFERROR(INDEX(MASTER!$A:$A,MATCH("Cryovial box 20: "&amp;($A252&amp;I$249),MASTER!$L:$L,0))&amp;"_ser_"&amp;TEXT(VALUE(SUBSTITUTE(SUBSTITUTE(TRIM(INDEX(MASTER!$M:$M,MATCH("Cryovial box 20: "&amp;($A252&amp;I$249),MASTER!$L:$L,0))),"ml",""),":",".")),"0.00")&amp;"_"&amp;TEXT(INDEX(MASTER!$E:$E,MATCH("Cryovial box 20: "&amp;($A252&amp;I$249),MASTER!$L:$L,0)),"mmddyy"),"")</f>
        <v/>
      </c>
      <c r="J252" s="4" t="str">
        <f>IFERROR(INDEX(MASTER!$A:$A,MATCH("Cryovial box 20: "&amp;($A252&amp;J$249),MASTER!$L:$L,0))&amp;"_ser_"&amp;TEXT(VALUE(SUBSTITUTE(SUBSTITUTE(TRIM(INDEX(MASTER!$M:$M,MATCH("Cryovial box 20: "&amp;($A252&amp;J$249),MASTER!$L:$L,0))),"ml",""),":",".")),"0.00")&amp;"_"&amp;TEXT(INDEX(MASTER!$E:$E,MATCH("Cryovial box 20: "&amp;($A252&amp;J$249),MASTER!$L:$L,0)),"mmddyy"),"")</f>
        <v/>
      </c>
      <c r="K252" s="4" t="str">
        <f>IFERROR(INDEX(MASTER!$A:$A,MATCH("Cryovial box 20: "&amp;($A252&amp;K$249),MASTER!$L:$L,0))&amp;"_ser_"&amp;TEXT(VALUE(SUBSTITUTE(SUBSTITUTE(TRIM(INDEX(MASTER!$M:$M,MATCH("Cryovial box 20: "&amp;($A252&amp;K$249),MASTER!$L:$L,0))),"ml",""),":",".")),"0.00")&amp;"_"&amp;TEXT(INDEX(MASTER!$E:$E,MATCH("Cryovial box 20: "&amp;($A252&amp;K$249),MASTER!$L:$L,0)),"mmddyy"),"")</f>
        <v/>
      </c>
    </row>
    <row r="253" spans="1:11" ht="14.15" customHeight="1" x14ac:dyDescent="0.3">
      <c r="A253" s="6" t="s">
        <v>33</v>
      </c>
      <c r="B253" s="4" t="str">
        <f>IFERROR(INDEX(MASTER!$A:$A,MATCH("Cryovial box 20: "&amp;($A253&amp;B$249),MASTER!$L:$L,0))&amp;"_ser_"&amp;TEXT(VALUE(SUBSTITUTE(SUBSTITUTE(TRIM(INDEX(MASTER!$M:$M,MATCH("Cryovial box 20: "&amp;($A253&amp;B$249),MASTER!$L:$L,0))),"ml",""),":",".")),"0.00")&amp;"_"&amp;TEXT(INDEX(MASTER!$E:$E,MATCH("Cryovial box 20: "&amp;($A253&amp;B$249),MASTER!$L:$L,0)),"mmddyy"),"")</f>
        <v/>
      </c>
      <c r="C253" s="4" t="str">
        <f>IFERROR(INDEX(MASTER!$A:$A,MATCH("Cryovial box 20: "&amp;($A253&amp;C$249),MASTER!$L:$L,0))&amp;"_ser_"&amp;TEXT(VALUE(SUBSTITUTE(SUBSTITUTE(TRIM(INDEX(MASTER!$M:$M,MATCH("Cryovial box 20: "&amp;($A253&amp;C$249),MASTER!$L:$L,0))),"ml",""),":",".")),"0.00")&amp;"_"&amp;TEXT(INDEX(MASTER!$E:$E,MATCH("Cryovial box 20: "&amp;($A253&amp;C$249),MASTER!$L:$L,0)),"mmddyy"),"")</f>
        <v/>
      </c>
      <c r="D253" s="4" t="str">
        <f>IFERROR(INDEX(MASTER!$A:$A,MATCH("Cryovial box 20: "&amp;($A253&amp;D$249),MASTER!$L:$L,0))&amp;"_ser_"&amp;TEXT(VALUE(SUBSTITUTE(SUBSTITUTE(TRIM(INDEX(MASTER!$M:$M,MATCH("Cryovial box 20: "&amp;($A253&amp;D$249),MASTER!$L:$L,0))),"ml",""),":",".")),"0.00")&amp;"_"&amp;TEXT(INDEX(MASTER!$E:$E,MATCH("Cryovial box 20: "&amp;($A253&amp;D$249),MASTER!$L:$L,0)),"mmddyy"),"")</f>
        <v/>
      </c>
      <c r="E253" s="4" t="str">
        <f>IFERROR(INDEX(MASTER!$A:$A,MATCH("Cryovial box 20: "&amp;($A253&amp;E$249),MASTER!$L:$L,0))&amp;"_ser_"&amp;TEXT(VALUE(SUBSTITUTE(SUBSTITUTE(TRIM(INDEX(MASTER!$M:$M,MATCH("Cryovial box 20: "&amp;($A253&amp;E$249),MASTER!$L:$L,0))),"ml",""),":",".")),"0.00")&amp;"_"&amp;TEXT(INDEX(MASTER!$E:$E,MATCH("Cryovial box 20: "&amp;($A253&amp;E$249),MASTER!$L:$L,0)),"mmddyy"),"")</f>
        <v/>
      </c>
      <c r="F253" s="4" t="str">
        <f>IFERROR(INDEX(MASTER!$A:$A,MATCH("Cryovial box 20: "&amp;($A253&amp;F$249),MASTER!$L:$L,0))&amp;"_ser_"&amp;TEXT(VALUE(SUBSTITUTE(SUBSTITUTE(TRIM(INDEX(MASTER!$M:$M,MATCH("Cryovial box 20: "&amp;($A253&amp;F$249),MASTER!$L:$L,0))),"ml",""),":",".")),"0.00")&amp;"_"&amp;TEXT(INDEX(MASTER!$E:$E,MATCH("Cryovial box 20: "&amp;($A253&amp;F$249),MASTER!$L:$L,0)),"mmddyy"),"")</f>
        <v/>
      </c>
      <c r="G253" s="4" t="str">
        <f>IFERROR(INDEX(MASTER!$A:$A,MATCH("Cryovial box 20: "&amp;($A253&amp;G$249),MASTER!$L:$L,0))&amp;"_ser_"&amp;TEXT(VALUE(SUBSTITUTE(SUBSTITUTE(TRIM(INDEX(MASTER!$M:$M,MATCH("Cryovial box 20: "&amp;($A253&amp;G$249),MASTER!$L:$L,0))),"ml",""),":",".")),"0.00")&amp;"_"&amp;TEXT(INDEX(MASTER!$E:$E,MATCH("Cryovial box 20: "&amp;($A253&amp;G$249),MASTER!$L:$L,0)),"mmddyy"),"")</f>
        <v/>
      </c>
      <c r="H253" s="4" t="str">
        <f>IFERROR(INDEX(MASTER!$A:$A,MATCH("Cryovial box 20: "&amp;($A253&amp;H$249),MASTER!$L:$L,0))&amp;"_ser_"&amp;TEXT(VALUE(SUBSTITUTE(SUBSTITUTE(TRIM(INDEX(MASTER!$M:$M,MATCH("Cryovial box 20: "&amp;($A253&amp;H$249),MASTER!$L:$L,0))),"ml",""),":",".")),"0.00")&amp;"_"&amp;TEXT(INDEX(MASTER!$E:$E,MATCH("Cryovial box 20: "&amp;($A253&amp;H$249),MASTER!$L:$L,0)),"mmddyy"),"")</f>
        <v/>
      </c>
      <c r="I253" s="4" t="str">
        <f>IFERROR(INDEX(MASTER!$A:$A,MATCH("Cryovial box 20: "&amp;($A253&amp;I$249),MASTER!$L:$L,0))&amp;"_ser_"&amp;TEXT(VALUE(SUBSTITUTE(SUBSTITUTE(TRIM(INDEX(MASTER!$M:$M,MATCH("Cryovial box 20: "&amp;($A253&amp;I$249),MASTER!$L:$L,0))),"ml",""),":",".")),"0.00")&amp;"_"&amp;TEXT(INDEX(MASTER!$E:$E,MATCH("Cryovial box 20: "&amp;($A253&amp;I$249),MASTER!$L:$L,0)),"mmddyy"),"")</f>
        <v/>
      </c>
      <c r="J253" s="4" t="str">
        <f>IFERROR(INDEX(MASTER!$A:$A,MATCH("Cryovial box 20: "&amp;($A253&amp;J$249),MASTER!$L:$L,0))&amp;"_ser_"&amp;TEXT(VALUE(SUBSTITUTE(SUBSTITUTE(TRIM(INDEX(MASTER!$M:$M,MATCH("Cryovial box 20: "&amp;($A253&amp;J$249),MASTER!$L:$L,0))),"ml",""),":",".")),"0.00")&amp;"_"&amp;TEXT(INDEX(MASTER!$E:$E,MATCH("Cryovial box 20: "&amp;($A253&amp;J$249),MASTER!$L:$L,0)),"mmddyy"),"")</f>
        <v/>
      </c>
      <c r="K253" s="4" t="str">
        <f>IFERROR(INDEX(MASTER!$A:$A,MATCH("Cryovial box 20: "&amp;($A253&amp;K$249),MASTER!$L:$L,0))&amp;"_ser_"&amp;TEXT(VALUE(SUBSTITUTE(SUBSTITUTE(TRIM(INDEX(MASTER!$M:$M,MATCH("Cryovial box 20: "&amp;($A253&amp;K$249),MASTER!$L:$L,0))),"ml",""),":",".")),"0.00")&amp;"_"&amp;TEXT(INDEX(MASTER!$E:$E,MATCH("Cryovial box 20: "&amp;($A253&amp;K$249),MASTER!$L:$L,0)),"mmddyy"),"")</f>
        <v/>
      </c>
    </row>
    <row r="254" spans="1:11" ht="14.15" customHeight="1" x14ac:dyDescent="0.3">
      <c r="A254" s="6" t="s">
        <v>34</v>
      </c>
      <c r="B254" s="4" t="str">
        <f>IFERROR(INDEX(MASTER!$A:$A,MATCH("Cryovial box 20: "&amp;($A254&amp;B$249),MASTER!$L:$L,0))&amp;"_ser_"&amp;TEXT(VALUE(SUBSTITUTE(SUBSTITUTE(TRIM(INDEX(MASTER!$M:$M,MATCH("Cryovial box 20: "&amp;($A254&amp;B$249),MASTER!$L:$L,0))),"ml",""),":",".")),"0.00")&amp;"_"&amp;TEXT(INDEX(MASTER!$E:$E,MATCH("Cryovial box 20: "&amp;($A254&amp;B$249),MASTER!$L:$L,0)),"mmddyy"),"")</f>
        <v/>
      </c>
      <c r="C254" s="4" t="str">
        <f>IFERROR(INDEX(MASTER!$A:$A,MATCH("Cryovial box 20: "&amp;($A254&amp;C$249),MASTER!$L:$L,0))&amp;"_ser_"&amp;TEXT(VALUE(SUBSTITUTE(SUBSTITUTE(TRIM(INDEX(MASTER!$M:$M,MATCH("Cryovial box 20: "&amp;($A254&amp;C$249),MASTER!$L:$L,0))),"ml",""),":",".")),"0.00")&amp;"_"&amp;TEXT(INDEX(MASTER!$E:$E,MATCH("Cryovial box 20: "&amp;($A254&amp;C$249),MASTER!$L:$L,0)),"mmddyy"),"")</f>
        <v/>
      </c>
      <c r="D254" s="4" t="str">
        <f>IFERROR(INDEX(MASTER!$A:$A,MATCH("Cryovial box 20: "&amp;($A254&amp;D$249),MASTER!$L:$L,0))&amp;"_ser_"&amp;TEXT(VALUE(SUBSTITUTE(SUBSTITUTE(TRIM(INDEX(MASTER!$M:$M,MATCH("Cryovial box 20: "&amp;($A254&amp;D$249),MASTER!$L:$L,0))),"ml",""),":",".")),"0.00")&amp;"_"&amp;TEXT(INDEX(MASTER!$E:$E,MATCH("Cryovial box 20: "&amp;($A254&amp;D$249),MASTER!$L:$L,0)),"mmddyy"),"")</f>
        <v/>
      </c>
      <c r="E254" s="4" t="str">
        <f>IFERROR(INDEX(MASTER!$A:$A,MATCH("Cryovial box 20: "&amp;($A254&amp;E$249),MASTER!$L:$L,0))&amp;"_ser_"&amp;TEXT(VALUE(SUBSTITUTE(SUBSTITUTE(TRIM(INDEX(MASTER!$M:$M,MATCH("Cryovial box 20: "&amp;($A254&amp;E$249),MASTER!$L:$L,0))),"ml",""),":",".")),"0.00")&amp;"_"&amp;TEXT(INDEX(MASTER!$E:$E,MATCH("Cryovial box 20: "&amp;($A254&amp;E$249),MASTER!$L:$L,0)),"mmddyy"),"")</f>
        <v/>
      </c>
      <c r="F254" s="4" t="str">
        <f>IFERROR(INDEX(MASTER!$A:$A,MATCH("Cryovial box 20: "&amp;($A254&amp;F$249),MASTER!$L:$L,0))&amp;"_ser_"&amp;TEXT(VALUE(SUBSTITUTE(SUBSTITUTE(TRIM(INDEX(MASTER!$M:$M,MATCH("Cryovial box 20: "&amp;($A254&amp;F$249),MASTER!$L:$L,0))),"ml",""),":",".")),"0.00")&amp;"_"&amp;TEXT(INDEX(MASTER!$E:$E,MATCH("Cryovial box 20: "&amp;($A254&amp;F$249),MASTER!$L:$L,0)),"mmddyy"),"")</f>
        <v/>
      </c>
      <c r="G254" s="4" t="str">
        <f>IFERROR(INDEX(MASTER!$A:$A,MATCH("Cryovial box 20: "&amp;($A254&amp;G$249),MASTER!$L:$L,0))&amp;"_ser_"&amp;TEXT(VALUE(SUBSTITUTE(SUBSTITUTE(TRIM(INDEX(MASTER!$M:$M,MATCH("Cryovial box 20: "&amp;($A254&amp;G$249),MASTER!$L:$L,0))),"ml",""),":",".")),"0.00")&amp;"_"&amp;TEXT(INDEX(MASTER!$E:$E,MATCH("Cryovial box 20: "&amp;($A254&amp;G$249),MASTER!$L:$L,0)),"mmddyy"),"")</f>
        <v/>
      </c>
      <c r="H254" s="4" t="str">
        <f>IFERROR(INDEX(MASTER!$A:$A,MATCH("Cryovial box 20: "&amp;($A254&amp;H$249),MASTER!$L:$L,0))&amp;"_ser_"&amp;TEXT(VALUE(SUBSTITUTE(SUBSTITUTE(TRIM(INDEX(MASTER!$M:$M,MATCH("Cryovial box 20: "&amp;($A254&amp;H$249),MASTER!$L:$L,0))),"ml",""),":",".")),"0.00")&amp;"_"&amp;TEXT(INDEX(MASTER!$E:$E,MATCH("Cryovial box 20: "&amp;($A254&amp;H$249),MASTER!$L:$L,0)),"mmddyy"),"")</f>
        <v/>
      </c>
      <c r="I254" s="4" t="str">
        <f>IFERROR(INDEX(MASTER!$A:$A,MATCH("Cryovial box 20: "&amp;($A254&amp;I$249),MASTER!$L:$L,0))&amp;"_ser_"&amp;TEXT(VALUE(SUBSTITUTE(SUBSTITUTE(TRIM(INDEX(MASTER!$M:$M,MATCH("Cryovial box 20: "&amp;($A254&amp;I$249),MASTER!$L:$L,0))),"ml",""),":",".")),"0.00")&amp;"_"&amp;TEXT(INDEX(MASTER!$E:$E,MATCH("Cryovial box 20: "&amp;($A254&amp;I$249),MASTER!$L:$L,0)),"mmddyy"),"")</f>
        <v/>
      </c>
      <c r="J254" s="4" t="str">
        <f>IFERROR(INDEX(MASTER!$A:$A,MATCH("Cryovial box 20: "&amp;($A254&amp;J$249),MASTER!$L:$L,0))&amp;"_ser_"&amp;TEXT(VALUE(SUBSTITUTE(SUBSTITUTE(TRIM(INDEX(MASTER!$M:$M,MATCH("Cryovial box 20: "&amp;($A254&amp;J$249),MASTER!$L:$L,0))),"ml",""),":",".")),"0.00")&amp;"_"&amp;TEXT(INDEX(MASTER!$E:$E,MATCH("Cryovial box 20: "&amp;($A254&amp;J$249),MASTER!$L:$L,0)),"mmddyy"),"")</f>
        <v/>
      </c>
      <c r="K254" s="4" t="str">
        <f>IFERROR(INDEX(MASTER!$A:$A,MATCH("Cryovial box 20: "&amp;($A254&amp;K$249),MASTER!$L:$L,0))&amp;"_ser_"&amp;TEXT(VALUE(SUBSTITUTE(SUBSTITUTE(TRIM(INDEX(MASTER!$M:$M,MATCH("Cryovial box 20: "&amp;($A254&amp;K$249),MASTER!$L:$L,0))),"ml",""),":",".")),"0.00")&amp;"_"&amp;TEXT(INDEX(MASTER!$E:$E,MATCH("Cryovial box 20: "&amp;($A254&amp;K$249),MASTER!$L:$L,0)),"mmddyy"),"")</f>
        <v/>
      </c>
    </row>
    <row r="255" spans="1:11" ht="14.15" customHeight="1" x14ac:dyDescent="0.3">
      <c r="A255" s="6" t="s">
        <v>15</v>
      </c>
      <c r="B255" s="4" t="str">
        <f>IFERROR(INDEX(MASTER!$A:$A,MATCH("Cryovial box 20: "&amp;($A255&amp;B$249),MASTER!$L:$L,0))&amp;"_ser_"&amp;TEXT(VALUE(SUBSTITUTE(SUBSTITUTE(TRIM(INDEX(MASTER!$M:$M,MATCH("Cryovial box 20: "&amp;($A255&amp;B$249),MASTER!$L:$L,0))),"ml",""),":",".")),"0.00")&amp;"_"&amp;TEXT(INDEX(MASTER!$E:$E,MATCH("Cryovial box 20: "&amp;($A255&amp;B$249),MASTER!$L:$L,0)),"mmddyy"),"")</f>
        <v/>
      </c>
      <c r="C255" s="4" t="str">
        <f>IFERROR(INDEX(MASTER!$A:$A,MATCH("Cryovial box 20: "&amp;($A255&amp;C$249),MASTER!$L:$L,0))&amp;"_ser_"&amp;TEXT(VALUE(SUBSTITUTE(SUBSTITUTE(TRIM(INDEX(MASTER!$M:$M,MATCH("Cryovial box 20: "&amp;($A255&amp;C$249),MASTER!$L:$L,0))),"ml",""),":",".")),"0.00")&amp;"_"&amp;TEXT(INDEX(MASTER!$E:$E,MATCH("Cryovial box 20: "&amp;($A255&amp;C$249),MASTER!$L:$L,0)),"mmddyy"),"")</f>
        <v/>
      </c>
      <c r="D255" s="4" t="str">
        <f>IFERROR(INDEX(MASTER!$A:$A,MATCH("Cryovial box 20: "&amp;($A255&amp;D$249),MASTER!$L:$L,0))&amp;"_ser_"&amp;TEXT(VALUE(SUBSTITUTE(SUBSTITUTE(TRIM(INDEX(MASTER!$M:$M,MATCH("Cryovial box 20: "&amp;($A255&amp;D$249),MASTER!$L:$L,0))),"ml",""),":",".")),"0.00")&amp;"_"&amp;TEXT(INDEX(MASTER!$E:$E,MATCH("Cryovial box 20: "&amp;($A255&amp;D$249),MASTER!$L:$L,0)),"mmddyy"),"")</f>
        <v/>
      </c>
      <c r="E255" s="4" t="str">
        <f>IFERROR(INDEX(MASTER!$A:$A,MATCH("Cryovial box 20: "&amp;($A255&amp;E$249),MASTER!$L:$L,0))&amp;"_ser_"&amp;TEXT(VALUE(SUBSTITUTE(SUBSTITUTE(TRIM(INDEX(MASTER!$M:$M,MATCH("Cryovial box 20: "&amp;($A255&amp;E$249),MASTER!$L:$L,0))),"ml",""),":",".")),"0.00")&amp;"_"&amp;TEXT(INDEX(MASTER!$E:$E,MATCH("Cryovial box 20: "&amp;($A255&amp;E$249),MASTER!$L:$L,0)),"mmddyy"),"")</f>
        <v/>
      </c>
      <c r="F255" s="4" t="str">
        <f>IFERROR(INDEX(MASTER!$A:$A,MATCH("Cryovial box 20: "&amp;($A255&amp;F$249),MASTER!$L:$L,0))&amp;"_ser_"&amp;TEXT(VALUE(SUBSTITUTE(SUBSTITUTE(TRIM(INDEX(MASTER!$M:$M,MATCH("Cryovial box 20: "&amp;($A255&amp;F$249),MASTER!$L:$L,0))),"ml",""),":",".")),"0.00")&amp;"_"&amp;TEXT(INDEX(MASTER!$E:$E,MATCH("Cryovial box 20: "&amp;($A255&amp;F$249),MASTER!$L:$L,0)),"mmddyy"),"")</f>
        <v/>
      </c>
      <c r="G255" s="4" t="str">
        <f>IFERROR(INDEX(MASTER!$A:$A,MATCH("Cryovial box 20: "&amp;($A255&amp;G$249),MASTER!$L:$L,0))&amp;"_ser_"&amp;TEXT(VALUE(SUBSTITUTE(SUBSTITUTE(TRIM(INDEX(MASTER!$M:$M,MATCH("Cryovial box 20: "&amp;($A255&amp;G$249),MASTER!$L:$L,0))),"ml",""),":",".")),"0.00")&amp;"_"&amp;TEXT(INDEX(MASTER!$E:$E,MATCH("Cryovial box 20: "&amp;($A255&amp;G$249),MASTER!$L:$L,0)),"mmddyy"),"")</f>
        <v/>
      </c>
      <c r="H255" s="4" t="str">
        <f>IFERROR(INDEX(MASTER!$A:$A,MATCH("Cryovial box 20: "&amp;($A255&amp;H$249),MASTER!$L:$L,0))&amp;"_ser_"&amp;TEXT(VALUE(SUBSTITUTE(SUBSTITUTE(TRIM(INDEX(MASTER!$M:$M,MATCH("Cryovial box 20: "&amp;($A255&amp;H$249),MASTER!$L:$L,0))),"ml",""),":",".")),"0.00")&amp;"_"&amp;TEXT(INDEX(MASTER!$E:$E,MATCH("Cryovial box 20: "&amp;($A255&amp;H$249),MASTER!$L:$L,0)),"mmddyy"),"")</f>
        <v/>
      </c>
      <c r="I255" s="4" t="str">
        <f>IFERROR(INDEX(MASTER!$A:$A,MATCH("Cryovial box 20: "&amp;($A255&amp;I$249),MASTER!$L:$L,0))&amp;"_ser_"&amp;TEXT(VALUE(SUBSTITUTE(SUBSTITUTE(TRIM(INDEX(MASTER!$M:$M,MATCH("Cryovial box 20: "&amp;($A255&amp;I$249),MASTER!$L:$L,0))),"ml",""),":",".")),"0.00")&amp;"_"&amp;TEXT(INDEX(MASTER!$E:$E,MATCH("Cryovial box 20: "&amp;($A255&amp;I$249),MASTER!$L:$L,0)),"mmddyy"),"")</f>
        <v/>
      </c>
      <c r="J255" s="4" t="str">
        <f>IFERROR(INDEX(MASTER!$A:$A,MATCH("Cryovial box 20: "&amp;($A255&amp;J$249),MASTER!$L:$L,0))&amp;"_ser_"&amp;TEXT(VALUE(SUBSTITUTE(SUBSTITUTE(TRIM(INDEX(MASTER!$M:$M,MATCH("Cryovial box 20: "&amp;($A255&amp;J$249),MASTER!$L:$L,0))),"ml",""),":",".")),"0.00")&amp;"_"&amp;TEXT(INDEX(MASTER!$E:$E,MATCH("Cryovial box 20: "&amp;($A255&amp;J$249),MASTER!$L:$L,0)),"mmddyy"),"")</f>
        <v/>
      </c>
      <c r="K255" s="4" t="str">
        <f>IFERROR(INDEX(MASTER!$A:$A,MATCH("Cryovial box 20: "&amp;($A255&amp;K$249),MASTER!$L:$L,0))&amp;"_ser_"&amp;TEXT(VALUE(SUBSTITUTE(SUBSTITUTE(TRIM(INDEX(MASTER!$M:$M,MATCH("Cryovial box 20: "&amp;($A255&amp;K$249),MASTER!$L:$L,0))),"ml",""),":",".")),"0.00")&amp;"_"&amp;TEXT(INDEX(MASTER!$E:$E,MATCH("Cryovial box 20: "&amp;($A255&amp;K$249),MASTER!$L:$L,0)),"mmddyy"),"")</f>
        <v/>
      </c>
    </row>
    <row r="256" spans="1:11" ht="15" customHeight="1" x14ac:dyDescent="0.3">
      <c r="A256" s="6" t="s">
        <v>35</v>
      </c>
      <c r="B256" s="4" t="str">
        <f>IFERROR(INDEX(MASTER!$A:$A,MATCH("Cryovial box 20: "&amp;($A256&amp;B$249),MASTER!$L:$L,0))&amp;"_ser_"&amp;TEXT(VALUE(SUBSTITUTE(SUBSTITUTE(TRIM(INDEX(MASTER!$M:$M,MATCH("Cryovial box 20: "&amp;($A256&amp;B$249),MASTER!$L:$L,0))),"ml",""),":",".")),"0.00")&amp;"_"&amp;TEXT(INDEX(MASTER!$E:$E,MATCH("Cryovial box 20: "&amp;($A256&amp;B$249),MASTER!$L:$L,0)),"mmddyy"),"")</f>
        <v/>
      </c>
      <c r="C256" s="4" t="str">
        <f>IFERROR(INDEX(MASTER!$A:$A,MATCH("Cryovial box 20: "&amp;($A256&amp;C$249),MASTER!$L:$L,0))&amp;"_ser_"&amp;TEXT(VALUE(SUBSTITUTE(SUBSTITUTE(TRIM(INDEX(MASTER!$M:$M,MATCH("Cryovial box 20: "&amp;($A256&amp;C$249),MASTER!$L:$L,0))),"ml",""),":",".")),"0.00")&amp;"_"&amp;TEXT(INDEX(MASTER!$E:$E,MATCH("Cryovial box 20: "&amp;($A256&amp;C$249),MASTER!$L:$L,0)),"mmddyy"),"")</f>
        <v/>
      </c>
      <c r="D256" s="4" t="str">
        <f>IFERROR(INDEX(MASTER!$A:$A,MATCH("Cryovial box 20: "&amp;($A256&amp;D$249),MASTER!$L:$L,0))&amp;"_ser_"&amp;TEXT(VALUE(SUBSTITUTE(SUBSTITUTE(TRIM(INDEX(MASTER!$M:$M,MATCH("Cryovial box 20: "&amp;($A256&amp;D$249),MASTER!$L:$L,0))),"ml",""),":",".")),"0.00")&amp;"_"&amp;TEXT(INDEX(MASTER!$E:$E,MATCH("Cryovial box 20: "&amp;($A256&amp;D$249),MASTER!$L:$L,0)),"mmddyy"),"")</f>
        <v/>
      </c>
      <c r="E256" s="4" t="str">
        <f>IFERROR(INDEX(MASTER!$A:$A,MATCH("Cryovial box 20: "&amp;($A256&amp;E$249),MASTER!$L:$L,0))&amp;"_ser_"&amp;TEXT(VALUE(SUBSTITUTE(SUBSTITUTE(TRIM(INDEX(MASTER!$M:$M,MATCH("Cryovial box 20: "&amp;($A256&amp;E$249),MASTER!$L:$L,0))),"ml",""),":",".")),"0.00")&amp;"_"&amp;TEXT(INDEX(MASTER!$E:$E,MATCH("Cryovial box 20: "&amp;($A256&amp;E$249),MASTER!$L:$L,0)),"mmddyy"),"")</f>
        <v/>
      </c>
      <c r="F256" s="4" t="str">
        <f>IFERROR(INDEX(MASTER!$A:$A,MATCH("Cryovial box 20: "&amp;($A256&amp;F$249),MASTER!$L:$L,0))&amp;"_ser_"&amp;TEXT(VALUE(SUBSTITUTE(SUBSTITUTE(TRIM(INDEX(MASTER!$M:$M,MATCH("Cryovial box 20: "&amp;($A256&amp;F$249),MASTER!$L:$L,0))),"ml",""),":",".")),"0.00")&amp;"_"&amp;TEXT(INDEX(MASTER!$E:$E,MATCH("Cryovial box 20: "&amp;($A256&amp;F$249),MASTER!$L:$L,0)),"mmddyy"),"")</f>
        <v/>
      </c>
      <c r="G256" s="4" t="str">
        <f>IFERROR(INDEX(MASTER!$A:$A,MATCH("Cryovial box 20: "&amp;($A256&amp;G$249),MASTER!$L:$L,0))&amp;"_ser_"&amp;TEXT(VALUE(SUBSTITUTE(SUBSTITUTE(TRIM(INDEX(MASTER!$M:$M,MATCH("Cryovial box 20: "&amp;($A256&amp;G$249),MASTER!$L:$L,0))),"ml",""),":",".")),"0.00")&amp;"_"&amp;TEXT(INDEX(MASTER!$E:$E,MATCH("Cryovial box 20: "&amp;($A256&amp;G$249),MASTER!$L:$L,0)),"mmddyy"),"")</f>
        <v/>
      </c>
      <c r="H256" s="4" t="str">
        <f>IFERROR(INDEX(MASTER!$A:$A,MATCH("Cryovial box 20: "&amp;($A256&amp;H$249),MASTER!$L:$L,0))&amp;"_ser_"&amp;TEXT(VALUE(SUBSTITUTE(SUBSTITUTE(TRIM(INDEX(MASTER!$M:$M,MATCH("Cryovial box 20: "&amp;($A256&amp;H$249),MASTER!$L:$L,0))),"ml",""),":",".")),"0.00")&amp;"_"&amp;TEXT(INDEX(MASTER!$E:$E,MATCH("Cryovial box 20: "&amp;($A256&amp;H$249),MASTER!$L:$L,0)),"mmddyy"),"")</f>
        <v/>
      </c>
      <c r="I256" s="4" t="str">
        <f>IFERROR(INDEX(MASTER!$A:$A,MATCH("Cryovial box 20: "&amp;($A256&amp;I$249),MASTER!$L:$L,0))&amp;"_ser_"&amp;TEXT(VALUE(SUBSTITUTE(SUBSTITUTE(TRIM(INDEX(MASTER!$M:$M,MATCH("Cryovial box 20: "&amp;($A256&amp;I$249),MASTER!$L:$L,0))),"ml",""),":",".")),"0.00")&amp;"_"&amp;TEXT(INDEX(MASTER!$E:$E,MATCH("Cryovial box 20: "&amp;($A256&amp;I$249),MASTER!$L:$L,0)),"mmddyy"),"")</f>
        <v/>
      </c>
      <c r="J256" s="4" t="str">
        <f>IFERROR(INDEX(MASTER!$A:$A,MATCH("Cryovial box 20: "&amp;($A256&amp;J$249),MASTER!$L:$L,0))&amp;"_ser_"&amp;TEXT(VALUE(SUBSTITUTE(SUBSTITUTE(TRIM(INDEX(MASTER!$M:$M,MATCH("Cryovial box 20: "&amp;($A256&amp;J$249),MASTER!$L:$L,0))),"ml",""),":",".")),"0.00")&amp;"_"&amp;TEXT(INDEX(MASTER!$E:$E,MATCH("Cryovial box 20: "&amp;($A256&amp;J$249),MASTER!$L:$L,0)),"mmddyy"),"")</f>
        <v/>
      </c>
      <c r="K256" s="4" t="str">
        <f>IFERROR(INDEX(MASTER!$A:$A,MATCH("Cryovial box 20: "&amp;($A256&amp;K$249),MASTER!$L:$L,0))&amp;"_ser_"&amp;TEXT(VALUE(SUBSTITUTE(SUBSTITUTE(TRIM(INDEX(MASTER!$M:$M,MATCH("Cryovial box 20: "&amp;($A256&amp;K$249),MASTER!$L:$L,0))),"ml",""),":",".")),"0.00")&amp;"_"&amp;TEXT(INDEX(MASTER!$E:$E,MATCH("Cryovial box 20: "&amp;($A256&amp;K$249),MASTER!$L:$L,0)),"mmddyy"),"")</f>
        <v/>
      </c>
    </row>
    <row r="257" spans="1:11" ht="15" customHeight="1" x14ac:dyDescent="0.3">
      <c r="A257" s="6" t="s">
        <v>36</v>
      </c>
      <c r="B257" s="4" t="str">
        <f>IFERROR(INDEX(MASTER!$A:$A,MATCH("Cryovial box 20: "&amp;($A257&amp;B$249),MASTER!$L:$L,0))&amp;"_ser_"&amp;TEXT(VALUE(SUBSTITUTE(SUBSTITUTE(TRIM(INDEX(MASTER!$M:$M,MATCH("Cryovial box 20: "&amp;($A257&amp;B$249),MASTER!$L:$L,0))),"ml",""),":",".")),"0.00")&amp;"_"&amp;TEXT(INDEX(MASTER!$E:$E,MATCH("Cryovial box 20: "&amp;($A257&amp;B$249),MASTER!$L:$L,0)),"mmddyy"),"")</f>
        <v/>
      </c>
      <c r="C257" s="4" t="str">
        <f>IFERROR(INDEX(MASTER!$A:$A,MATCH("Cryovial box 20: "&amp;($A257&amp;C$249),MASTER!$L:$L,0))&amp;"_ser_"&amp;TEXT(VALUE(SUBSTITUTE(SUBSTITUTE(TRIM(INDEX(MASTER!$M:$M,MATCH("Cryovial box 20: "&amp;($A257&amp;C$249),MASTER!$L:$L,0))),"ml",""),":",".")),"0.00")&amp;"_"&amp;TEXT(INDEX(MASTER!$E:$E,MATCH("Cryovial box 20: "&amp;($A257&amp;C$249),MASTER!$L:$L,0)),"mmddyy"),"")</f>
        <v/>
      </c>
      <c r="D257" s="4" t="str">
        <f>IFERROR(INDEX(MASTER!$A:$A,MATCH("Cryovial box 20: "&amp;($A257&amp;D$249),MASTER!$L:$L,0))&amp;"_ser_"&amp;TEXT(VALUE(SUBSTITUTE(SUBSTITUTE(TRIM(INDEX(MASTER!$M:$M,MATCH("Cryovial box 20: "&amp;($A257&amp;D$249),MASTER!$L:$L,0))),"ml",""),":",".")),"0.00")&amp;"_"&amp;TEXT(INDEX(MASTER!$E:$E,MATCH("Cryovial box 20: "&amp;($A257&amp;D$249),MASTER!$L:$L,0)),"mmddyy"),"")</f>
        <v/>
      </c>
      <c r="E257" s="4" t="str">
        <f>IFERROR(INDEX(MASTER!$A:$A,MATCH("Cryovial box 20: "&amp;($A257&amp;E$249),MASTER!$L:$L,0))&amp;"_ser_"&amp;TEXT(VALUE(SUBSTITUTE(SUBSTITUTE(TRIM(INDEX(MASTER!$M:$M,MATCH("Cryovial box 20: "&amp;($A257&amp;E$249),MASTER!$L:$L,0))),"ml",""),":",".")),"0.00")&amp;"_"&amp;TEXT(INDEX(MASTER!$E:$E,MATCH("Cryovial box 20: "&amp;($A257&amp;E$249),MASTER!$L:$L,0)),"mmddyy"),"")</f>
        <v/>
      </c>
      <c r="F257" s="4" t="str">
        <f>IFERROR(INDEX(MASTER!$A:$A,MATCH("Cryovial box 20: "&amp;($A257&amp;F$249),MASTER!$L:$L,0))&amp;"_ser_"&amp;TEXT(VALUE(SUBSTITUTE(SUBSTITUTE(TRIM(INDEX(MASTER!$M:$M,MATCH("Cryovial box 20: "&amp;($A257&amp;F$249),MASTER!$L:$L,0))),"ml",""),":",".")),"0.00")&amp;"_"&amp;TEXT(INDEX(MASTER!$E:$E,MATCH("Cryovial box 20: "&amp;($A257&amp;F$249),MASTER!$L:$L,0)),"mmddyy"),"")</f>
        <v/>
      </c>
      <c r="G257" s="4" t="str">
        <f>IFERROR(INDEX(MASTER!$A:$A,MATCH("Cryovial box 20: "&amp;($A257&amp;G$249),MASTER!$L:$L,0))&amp;"_ser_"&amp;TEXT(VALUE(SUBSTITUTE(SUBSTITUTE(TRIM(INDEX(MASTER!$M:$M,MATCH("Cryovial box 20: "&amp;($A257&amp;G$249),MASTER!$L:$L,0))),"ml",""),":",".")),"0.00")&amp;"_"&amp;TEXT(INDEX(MASTER!$E:$E,MATCH("Cryovial box 20: "&amp;($A257&amp;G$249),MASTER!$L:$L,0)),"mmddyy"),"")</f>
        <v/>
      </c>
      <c r="H257" s="4" t="str">
        <f>IFERROR(INDEX(MASTER!$A:$A,MATCH("Cryovial box 20: "&amp;($A257&amp;H$249),MASTER!$L:$L,0))&amp;"_ser_"&amp;TEXT(VALUE(SUBSTITUTE(SUBSTITUTE(TRIM(INDEX(MASTER!$M:$M,MATCH("Cryovial box 20: "&amp;($A257&amp;H$249),MASTER!$L:$L,0))),"ml",""),":",".")),"0.00")&amp;"_"&amp;TEXT(INDEX(MASTER!$E:$E,MATCH("Cryovial box 20: "&amp;($A257&amp;H$249),MASTER!$L:$L,0)),"mmddyy"),"")</f>
        <v/>
      </c>
      <c r="I257" s="4" t="str">
        <f>IFERROR(INDEX(MASTER!$A:$A,MATCH("Cryovial box 20: "&amp;($A257&amp;I$249),MASTER!$L:$L,0))&amp;"_ser_"&amp;TEXT(VALUE(SUBSTITUTE(SUBSTITUTE(TRIM(INDEX(MASTER!$M:$M,MATCH("Cryovial box 20: "&amp;($A257&amp;I$249),MASTER!$L:$L,0))),"ml",""),":",".")),"0.00")&amp;"_"&amp;TEXT(INDEX(MASTER!$E:$E,MATCH("Cryovial box 20: "&amp;($A257&amp;I$249),MASTER!$L:$L,0)),"mmddyy"),"")</f>
        <v/>
      </c>
      <c r="J257" s="4" t="str">
        <f>IFERROR(INDEX(MASTER!$A:$A,MATCH("Cryovial box 20: "&amp;($A257&amp;J$249),MASTER!$L:$L,0))&amp;"_ser_"&amp;TEXT(VALUE(SUBSTITUTE(SUBSTITUTE(TRIM(INDEX(MASTER!$M:$M,MATCH("Cryovial box 20: "&amp;($A257&amp;J$249),MASTER!$L:$L,0))),"ml",""),":",".")),"0.00")&amp;"_"&amp;TEXT(INDEX(MASTER!$E:$E,MATCH("Cryovial box 20: "&amp;($A257&amp;J$249),MASTER!$L:$L,0)),"mmddyy"),"")</f>
        <v/>
      </c>
      <c r="K257" s="4" t="str">
        <f>IFERROR(INDEX(MASTER!$A:$A,MATCH("Cryovial box 20: "&amp;($A257&amp;K$249),MASTER!$L:$L,0))&amp;"_ser_"&amp;TEXT(VALUE(SUBSTITUTE(SUBSTITUTE(TRIM(INDEX(MASTER!$M:$M,MATCH("Cryovial box 20: "&amp;($A257&amp;K$249),MASTER!$L:$L,0))),"ml",""),":",".")),"0.00")&amp;"_"&amp;TEXT(INDEX(MASTER!$E:$E,MATCH("Cryovial box 20: "&amp;($A257&amp;K$249),MASTER!$L:$L,0)),"mmddyy"),"")</f>
        <v/>
      </c>
    </row>
    <row r="258" spans="1:11" ht="15" customHeight="1" x14ac:dyDescent="0.3">
      <c r="A258" s="6" t="s">
        <v>100</v>
      </c>
      <c r="B258" s="4" t="str">
        <f>IFERROR(INDEX(MASTER!$A:$A,MATCH("Cryovial box 20: "&amp;($A258&amp;B$249),MASTER!$L:$L,0))&amp;"_ser_"&amp;TEXT(VALUE(SUBSTITUTE(SUBSTITUTE(TRIM(INDEX(MASTER!$M:$M,MATCH("Cryovial box 20: "&amp;($A258&amp;B$249),MASTER!$L:$L,0))),"ml",""),":",".")),"0.00")&amp;"_"&amp;TEXT(INDEX(MASTER!$E:$E,MATCH("Cryovial box 20: "&amp;($A258&amp;B$249),MASTER!$L:$L,0)),"mmddyy"),"")</f>
        <v/>
      </c>
      <c r="C258" s="4" t="str">
        <f>IFERROR(INDEX(MASTER!$A:$A,MATCH("Cryovial box 20: "&amp;($A258&amp;C$249),MASTER!$L:$L,0))&amp;"_ser_"&amp;TEXT(VALUE(SUBSTITUTE(SUBSTITUTE(TRIM(INDEX(MASTER!$M:$M,MATCH("Cryovial box 20: "&amp;($A258&amp;C$249),MASTER!$L:$L,0))),"ml",""),":",".")),"0.00")&amp;"_"&amp;TEXT(INDEX(MASTER!$E:$E,MATCH("Cryovial box 20: "&amp;($A258&amp;C$249),MASTER!$L:$L,0)),"mmddyy"),"")</f>
        <v/>
      </c>
      <c r="D258" s="4" t="str">
        <f>IFERROR(INDEX(MASTER!$A:$A,MATCH("Cryovial box 20: "&amp;($A258&amp;D$249),MASTER!$L:$L,0))&amp;"_ser_"&amp;TEXT(VALUE(SUBSTITUTE(SUBSTITUTE(TRIM(INDEX(MASTER!$M:$M,MATCH("Cryovial box 20: "&amp;($A258&amp;D$249),MASTER!$L:$L,0))),"ml",""),":",".")),"0.00")&amp;"_"&amp;TEXT(INDEX(MASTER!$E:$E,MATCH("Cryovial box 20: "&amp;($A258&amp;D$249),MASTER!$L:$L,0)),"mmddyy"),"")</f>
        <v/>
      </c>
      <c r="E258" s="4" t="str">
        <f>IFERROR(INDEX(MASTER!$A:$A,MATCH("Cryovial box 20: "&amp;($A258&amp;E$249),MASTER!$L:$L,0))&amp;"_ser_"&amp;TEXT(VALUE(SUBSTITUTE(SUBSTITUTE(TRIM(INDEX(MASTER!$M:$M,MATCH("Cryovial box 20: "&amp;($A258&amp;E$249),MASTER!$L:$L,0))),"ml",""),":",".")),"0.00")&amp;"_"&amp;TEXT(INDEX(MASTER!$E:$E,MATCH("Cryovial box 20: "&amp;($A258&amp;E$249),MASTER!$L:$L,0)),"mmddyy"),"")</f>
        <v/>
      </c>
      <c r="F258" s="4" t="str">
        <f>IFERROR(INDEX(MASTER!$A:$A,MATCH("Cryovial box 20: "&amp;($A258&amp;F$249),MASTER!$L:$L,0))&amp;"_ser_"&amp;TEXT(VALUE(SUBSTITUTE(SUBSTITUTE(TRIM(INDEX(MASTER!$M:$M,MATCH("Cryovial box 20: "&amp;($A258&amp;F$249),MASTER!$L:$L,0))),"ml",""),":",".")),"0.00")&amp;"_"&amp;TEXT(INDEX(MASTER!$E:$E,MATCH("Cryovial box 20: "&amp;($A258&amp;F$249),MASTER!$L:$L,0)),"mmddyy"),"")</f>
        <v/>
      </c>
      <c r="G258" s="4" t="str">
        <f>IFERROR(INDEX(MASTER!$A:$A,MATCH("Cryovial box 20: "&amp;($A258&amp;G$249),MASTER!$L:$L,0))&amp;"_ser_"&amp;TEXT(VALUE(SUBSTITUTE(SUBSTITUTE(TRIM(INDEX(MASTER!$M:$M,MATCH("Cryovial box 20: "&amp;($A258&amp;G$249),MASTER!$L:$L,0))),"ml",""),":",".")),"0.00")&amp;"_"&amp;TEXT(INDEX(MASTER!$E:$E,MATCH("Cryovial box 20: "&amp;($A258&amp;G$249),MASTER!$L:$L,0)),"mmddyy"),"")</f>
        <v/>
      </c>
      <c r="H258" s="4" t="str">
        <f>IFERROR(INDEX(MASTER!$A:$A,MATCH("Cryovial box 20: "&amp;($A258&amp;H$249),MASTER!$L:$L,0))&amp;"_ser_"&amp;TEXT(VALUE(SUBSTITUTE(SUBSTITUTE(TRIM(INDEX(MASTER!$M:$M,MATCH("Cryovial box 20: "&amp;($A258&amp;H$249),MASTER!$L:$L,0))),"ml",""),":",".")),"0.00")&amp;"_"&amp;TEXT(INDEX(MASTER!$E:$E,MATCH("Cryovial box 20: "&amp;($A258&amp;H$249),MASTER!$L:$L,0)),"mmddyy"),"")</f>
        <v/>
      </c>
      <c r="I258" s="4" t="str">
        <f>IFERROR(INDEX(MASTER!$A:$A,MATCH("Cryovial box 20: "&amp;($A258&amp;I$249),MASTER!$L:$L,0))&amp;"_ser_"&amp;TEXT(VALUE(SUBSTITUTE(SUBSTITUTE(TRIM(INDEX(MASTER!$M:$M,MATCH("Cryovial box 20: "&amp;($A258&amp;I$249),MASTER!$L:$L,0))),"ml",""),":",".")),"0.00")&amp;"_"&amp;TEXT(INDEX(MASTER!$E:$E,MATCH("Cryovial box 20: "&amp;($A258&amp;I$249),MASTER!$L:$L,0)),"mmddyy"),"")</f>
        <v/>
      </c>
      <c r="J258" s="4" t="str">
        <f>IFERROR(INDEX(MASTER!$A:$A,MATCH("Cryovial box 20: "&amp;($A258&amp;J$249),MASTER!$L:$L,0))&amp;"_ser_"&amp;TEXT(VALUE(SUBSTITUTE(SUBSTITUTE(TRIM(INDEX(MASTER!$M:$M,MATCH("Cryovial box 20: "&amp;($A258&amp;J$249),MASTER!$L:$L,0))),"ml",""),":",".")),"0.00")&amp;"_"&amp;TEXT(INDEX(MASTER!$E:$E,MATCH("Cryovial box 20: "&amp;($A258&amp;J$249),MASTER!$L:$L,0)),"mmddyy"),"")</f>
        <v/>
      </c>
      <c r="K258" s="4" t="str">
        <f>IFERROR(INDEX(MASTER!$A:$A,MATCH("Cryovial box 20: "&amp;($A258&amp;K$249),MASTER!$L:$L,0))&amp;"_ser_"&amp;TEXT(VALUE(SUBSTITUTE(SUBSTITUTE(TRIM(INDEX(MASTER!$M:$M,MATCH("Cryovial box 20: "&amp;($A258&amp;K$249),MASTER!$L:$L,0))),"ml",""),":",".")),"0.00")&amp;"_"&amp;TEXT(INDEX(MASTER!$E:$E,MATCH("Cryovial box 20: "&amp;($A258&amp;K$249),MASTER!$L:$L,0)),"mmddyy"),"")</f>
        <v/>
      </c>
    </row>
    <row r="259" spans="1:11" ht="15" customHeight="1" x14ac:dyDescent="0.3">
      <c r="A259" s="6" t="s">
        <v>101</v>
      </c>
      <c r="B259" s="4" t="str">
        <f>IFERROR(INDEX(MASTER!$A:$A,MATCH("Cryovial box 20: "&amp;($A259&amp;B$249),MASTER!$L:$L,0))&amp;"_ser_"&amp;TEXT(VALUE(SUBSTITUTE(SUBSTITUTE(TRIM(INDEX(MASTER!$M:$M,MATCH("Cryovial box 20: "&amp;($A259&amp;B$249),MASTER!$L:$L,0))),"ml",""),":",".")),"0.00")&amp;"_"&amp;TEXT(INDEX(MASTER!$E:$E,MATCH("Cryovial box 20: "&amp;($A259&amp;B$249),MASTER!$L:$L,0)),"mmddyy"),"")</f>
        <v/>
      </c>
      <c r="C259" s="4" t="str">
        <f>IFERROR(INDEX(MASTER!$A:$A,MATCH("Cryovial box 20: "&amp;($A259&amp;C$249),MASTER!$L:$L,0))&amp;"_ser_"&amp;TEXT(VALUE(SUBSTITUTE(SUBSTITUTE(TRIM(INDEX(MASTER!$M:$M,MATCH("Cryovial box 20: "&amp;($A259&amp;C$249),MASTER!$L:$L,0))),"ml",""),":",".")),"0.00")&amp;"_"&amp;TEXT(INDEX(MASTER!$E:$E,MATCH("Cryovial box 20: "&amp;($A259&amp;C$249),MASTER!$L:$L,0)),"mmddyy"),"")</f>
        <v/>
      </c>
      <c r="D259" s="4" t="str">
        <f>IFERROR(INDEX(MASTER!$A:$A,MATCH("Cryovial box 20: "&amp;($A259&amp;D$249),MASTER!$L:$L,0))&amp;"_ser_"&amp;TEXT(VALUE(SUBSTITUTE(SUBSTITUTE(TRIM(INDEX(MASTER!$M:$M,MATCH("Cryovial box 20: "&amp;($A259&amp;D$249),MASTER!$L:$L,0))),"ml",""),":",".")),"0.00")&amp;"_"&amp;TEXT(INDEX(MASTER!$E:$E,MATCH("Cryovial box 20: "&amp;($A259&amp;D$249),MASTER!$L:$L,0)),"mmddyy"),"")</f>
        <v/>
      </c>
      <c r="E259" s="4" t="str">
        <f>IFERROR(INDEX(MASTER!$A:$A,MATCH("Cryovial box 20: "&amp;($A259&amp;E$249),MASTER!$L:$L,0))&amp;"_ser_"&amp;TEXT(VALUE(SUBSTITUTE(SUBSTITUTE(TRIM(INDEX(MASTER!$M:$M,MATCH("Cryovial box 20: "&amp;($A259&amp;E$249),MASTER!$L:$L,0))),"ml",""),":",".")),"0.00")&amp;"_"&amp;TEXT(INDEX(MASTER!$E:$E,MATCH("Cryovial box 20: "&amp;($A259&amp;E$249),MASTER!$L:$L,0)),"mmddyy"),"")</f>
        <v/>
      </c>
      <c r="F259" s="4" t="str">
        <f>IFERROR(INDEX(MASTER!$A:$A,MATCH("Cryovial box 20: "&amp;($A259&amp;F$249),MASTER!$L:$L,0))&amp;"_ser_"&amp;TEXT(VALUE(SUBSTITUTE(SUBSTITUTE(TRIM(INDEX(MASTER!$M:$M,MATCH("Cryovial box 20: "&amp;($A259&amp;F$249),MASTER!$L:$L,0))),"ml",""),":",".")),"0.00")&amp;"_"&amp;TEXT(INDEX(MASTER!$E:$E,MATCH("Cryovial box 20: "&amp;($A259&amp;F$249),MASTER!$L:$L,0)),"mmddyy"),"")</f>
        <v/>
      </c>
      <c r="G259" s="4" t="str">
        <f>IFERROR(INDEX(MASTER!$A:$A,MATCH("Cryovial box 20: "&amp;($A259&amp;G$249),MASTER!$L:$L,0))&amp;"_ser_"&amp;TEXT(VALUE(SUBSTITUTE(SUBSTITUTE(TRIM(INDEX(MASTER!$M:$M,MATCH("Cryovial box 20: "&amp;($A259&amp;G$249),MASTER!$L:$L,0))),"ml",""),":",".")),"0.00")&amp;"_"&amp;TEXT(INDEX(MASTER!$E:$E,MATCH("Cryovial box 20: "&amp;($A259&amp;G$249),MASTER!$L:$L,0)),"mmddyy"),"")</f>
        <v/>
      </c>
      <c r="H259" s="4" t="str">
        <f>IFERROR(INDEX(MASTER!$A:$A,MATCH("Cryovial box 20: "&amp;($A259&amp;H$249),MASTER!$L:$L,0))&amp;"_ser_"&amp;TEXT(VALUE(SUBSTITUTE(SUBSTITUTE(TRIM(INDEX(MASTER!$M:$M,MATCH("Cryovial box 20: "&amp;($A259&amp;H$249),MASTER!$L:$L,0))),"ml",""),":",".")),"0.00")&amp;"_"&amp;TEXT(INDEX(MASTER!$E:$E,MATCH("Cryovial box 20: "&amp;($A259&amp;H$249),MASTER!$L:$L,0)),"mmddyy"),"")</f>
        <v/>
      </c>
      <c r="I259" s="4" t="str">
        <f>IFERROR(INDEX(MASTER!$A:$A,MATCH("Cryovial box 20: "&amp;($A259&amp;I$249),MASTER!$L:$L,0))&amp;"_ser_"&amp;TEXT(VALUE(SUBSTITUTE(SUBSTITUTE(TRIM(INDEX(MASTER!$M:$M,MATCH("Cryovial box 20: "&amp;($A259&amp;I$249),MASTER!$L:$L,0))),"ml",""),":",".")),"0.00")&amp;"_"&amp;TEXT(INDEX(MASTER!$E:$E,MATCH("Cryovial box 20: "&amp;($A259&amp;I$249),MASTER!$L:$L,0)),"mmddyy"),"")</f>
        <v/>
      </c>
      <c r="J259" s="4" t="str">
        <f>IFERROR(INDEX(MASTER!$A:$A,MATCH("Cryovial box 20: "&amp;($A259&amp;J$249),MASTER!$L:$L,0))&amp;"_ser_"&amp;TEXT(VALUE(SUBSTITUTE(SUBSTITUTE(TRIM(INDEX(MASTER!$M:$M,MATCH("Cryovial box 20: "&amp;($A259&amp;J$249),MASTER!$L:$L,0))),"ml",""),":",".")),"0.00")&amp;"_"&amp;TEXT(INDEX(MASTER!$E:$E,MATCH("Cryovial box 20: "&amp;($A259&amp;J$249),MASTER!$L:$L,0)),"mmddyy"),"")</f>
        <v/>
      </c>
      <c r="K259" s="4" t="str">
        <f>IFERROR(INDEX(MASTER!$A:$A,MATCH("Cryovial box 20: "&amp;($A259&amp;K$249),MASTER!$L:$L,0))&amp;"_ser_"&amp;TEXT(VALUE(SUBSTITUTE(SUBSTITUTE(TRIM(INDEX(MASTER!$M:$M,MATCH("Cryovial box 20: "&amp;($A259&amp;K$249),MASTER!$L:$L,0))),"ml",""),":",".")),"0.00")&amp;"_"&amp;TEXT(INDEX(MASTER!$E:$E,MATCH("Cryovial box 20: "&amp;($A259&amp;K$249),MASTER!$L:$L,0)),"mmddyy"),"")</f>
        <v/>
      </c>
    </row>
  </sheetData>
  <mergeCells count="20">
    <mergeCell ref="B1:K1"/>
    <mergeCell ref="B14:K14"/>
    <mergeCell ref="B170:K170"/>
    <mergeCell ref="B157:K157"/>
    <mergeCell ref="B53:K53"/>
    <mergeCell ref="B118:K118"/>
    <mergeCell ref="B40:K40"/>
    <mergeCell ref="B92:K92"/>
    <mergeCell ref="B79:K79"/>
    <mergeCell ref="B144:K144"/>
    <mergeCell ref="B66:K66"/>
    <mergeCell ref="B131:K131"/>
    <mergeCell ref="B27:K27"/>
    <mergeCell ref="B105:K105"/>
    <mergeCell ref="B235:K235"/>
    <mergeCell ref="B248:K248"/>
    <mergeCell ref="B196:K196"/>
    <mergeCell ref="B183:K183"/>
    <mergeCell ref="B222:K222"/>
    <mergeCell ref="B209:K20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00"/>
  <sheetViews>
    <sheetView workbookViewId="0"/>
  </sheetViews>
  <sheetFormatPr defaultColWidth="8.81640625" defaultRowHeight="14.5" x14ac:dyDescent="0.35"/>
  <sheetData>
    <row r="1" spans="1:10" x14ac:dyDescent="0.35">
      <c r="A1" s="2" t="s">
        <v>121</v>
      </c>
      <c r="B1" s="2" t="s">
        <v>19</v>
      </c>
      <c r="C1" s="2" t="s">
        <v>20</v>
      </c>
      <c r="D1" s="2" t="s">
        <v>17</v>
      </c>
      <c r="E1" s="2"/>
      <c r="F1" s="2" t="s">
        <v>122</v>
      </c>
      <c r="G1" s="2" t="b">
        <f>COUNTIF(MASTER!$A$2:$A$1944,F1)=0</f>
        <v>1</v>
      </c>
      <c r="H1" s="2"/>
      <c r="I1" s="2" t="s">
        <v>123</v>
      </c>
      <c r="J1" s="2" t="b">
        <f>COUNTIF(MASTER!$L$2:$L$1944,I1)=0</f>
        <v>1</v>
      </c>
    </row>
    <row r="2" spans="1:10" x14ac:dyDescent="0.35">
      <c r="A2" s="2" t="s">
        <v>18</v>
      </c>
      <c r="B2" s="2" t="s">
        <v>15</v>
      </c>
      <c r="C2" s="2" t="s">
        <v>16</v>
      </c>
      <c r="D2" s="2" t="s">
        <v>28</v>
      </c>
      <c r="E2" s="2"/>
      <c r="F2" s="2" t="s">
        <v>124</v>
      </c>
      <c r="G2" s="2" t="b">
        <f>COUNTIF(MASTER!$A$2:$A$1944,F2)=0</f>
        <v>1</v>
      </c>
      <c r="H2" s="2"/>
      <c r="I2" s="2" t="s">
        <v>125</v>
      </c>
      <c r="J2" s="2" t="b">
        <f>COUNTIF(MASTER!$L$2:$L$1944,I2)=0</f>
        <v>1</v>
      </c>
    </row>
    <row r="3" spans="1:10" x14ac:dyDescent="0.35">
      <c r="A3" s="2" t="s">
        <v>25</v>
      </c>
      <c r="B3" s="2"/>
      <c r="C3" s="2" t="s">
        <v>24</v>
      </c>
      <c r="D3" s="2"/>
      <c r="E3" s="2"/>
      <c r="F3" s="2" t="s">
        <v>126</v>
      </c>
      <c r="G3" s="2" t="b">
        <f>COUNTIF(MASTER!$A$2:$A$1944,F3)=0</f>
        <v>1</v>
      </c>
      <c r="H3" s="2"/>
      <c r="I3" s="2" t="s">
        <v>127</v>
      </c>
      <c r="J3" s="2" t="b">
        <f>COUNTIF(MASTER!$L$2:$L$1944,I3)=0</f>
        <v>1</v>
      </c>
    </row>
    <row r="4" spans="1:10" x14ac:dyDescent="0.35">
      <c r="A4" s="2" t="s">
        <v>128</v>
      </c>
      <c r="B4" s="2"/>
      <c r="C4" s="2" t="s">
        <v>22</v>
      </c>
      <c r="D4" s="2"/>
      <c r="E4" s="2"/>
      <c r="F4" s="2" t="s">
        <v>129</v>
      </c>
      <c r="G4" s="2" t="b">
        <f>COUNTIF(MASTER!$A$2:$A$1944,F4)=0</f>
        <v>1</v>
      </c>
      <c r="H4" s="2"/>
      <c r="I4" s="2" t="s">
        <v>130</v>
      </c>
      <c r="J4" s="2" t="b">
        <f>COUNTIF(MASTER!$L$2:$L$1944,I4)=0</f>
        <v>1</v>
      </c>
    </row>
    <row r="5" spans="1:10" x14ac:dyDescent="0.35">
      <c r="A5" s="2" t="s">
        <v>14</v>
      </c>
      <c r="B5" s="2"/>
      <c r="C5" s="2" t="s">
        <v>131</v>
      </c>
      <c r="D5" s="2"/>
      <c r="E5" s="2"/>
      <c r="F5" s="2" t="s">
        <v>132</v>
      </c>
      <c r="G5" s="2" t="b">
        <f>COUNTIF(MASTER!$A$2:$A$1944,F5)=0</f>
        <v>1</v>
      </c>
      <c r="H5" s="2"/>
      <c r="I5" s="2" t="s">
        <v>133</v>
      </c>
      <c r="J5" s="2" t="b">
        <f>COUNTIF(MASTER!$L$2:$L$1944,I5)=0</f>
        <v>1</v>
      </c>
    </row>
    <row r="6" spans="1:10" x14ac:dyDescent="0.35">
      <c r="A6" s="2" t="s">
        <v>134</v>
      </c>
      <c r="B6" s="2"/>
      <c r="C6" s="2" t="s">
        <v>26</v>
      </c>
      <c r="D6" s="2"/>
      <c r="E6" s="2"/>
      <c r="F6" s="2" t="s">
        <v>135</v>
      </c>
      <c r="G6" s="2" t="b">
        <f>COUNTIF(MASTER!$A$2:$A$1944,F6)=0</f>
        <v>1</v>
      </c>
      <c r="H6" s="2"/>
      <c r="I6" s="2" t="s">
        <v>136</v>
      </c>
      <c r="J6" s="2" t="b">
        <f>COUNTIF(MASTER!$L$2:$L$1944,I6)=0</f>
        <v>1</v>
      </c>
    </row>
    <row r="7" spans="1:10" x14ac:dyDescent="0.35">
      <c r="A7" s="2" t="s">
        <v>21</v>
      </c>
      <c r="B7" s="2"/>
      <c r="C7" s="2"/>
      <c r="D7" s="2"/>
      <c r="E7" s="2"/>
      <c r="F7" s="2" t="s">
        <v>137</v>
      </c>
      <c r="G7" s="2" t="b">
        <f>COUNTIF(MASTER!$A$2:$A$1944,F7)=0</f>
        <v>1</v>
      </c>
      <c r="H7" s="2"/>
      <c r="I7" s="2" t="s">
        <v>138</v>
      </c>
      <c r="J7" s="2" t="b">
        <f>COUNTIF(MASTER!$L$2:$L$1944,I7)=0</f>
        <v>1</v>
      </c>
    </row>
    <row r="8" spans="1:10" x14ac:dyDescent="0.35">
      <c r="A8" s="2" t="s">
        <v>23</v>
      </c>
      <c r="B8" s="2"/>
      <c r="C8" s="2"/>
      <c r="D8" s="2"/>
      <c r="E8" s="2"/>
      <c r="F8" s="2" t="s">
        <v>139</v>
      </c>
      <c r="G8" s="2" t="b">
        <f>COUNTIF(MASTER!$A$2:$A$1944,F8)=0</f>
        <v>1</v>
      </c>
      <c r="H8" s="2"/>
      <c r="I8" s="2" t="s">
        <v>140</v>
      </c>
      <c r="J8" s="2" t="b">
        <f>COUNTIF(MASTER!$L$2:$L$1944,I8)=0</f>
        <v>1</v>
      </c>
    </row>
    <row r="9" spans="1:10" x14ac:dyDescent="0.35">
      <c r="A9" s="2" t="s">
        <v>27</v>
      </c>
      <c r="B9" s="2"/>
      <c r="C9" s="2"/>
      <c r="D9" s="2"/>
      <c r="E9" s="2"/>
      <c r="F9" s="2" t="s">
        <v>141</v>
      </c>
      <c r="G9" s="2" t="b">
        <f>COUNTIF(MASTER!$A$2:$A$1944,F9)=0</f>
        <v>1</v>
      </c>
      <c r="H9" s="2"/>
      <c r="I9" s="2" t="s">
        <v>142</v>
      </c>
      <c r="J9" s="2" t="b">
        <f>COUNTIF(MASTER!$L$2:$L$1944,I9)=0</f>
        <v>1</v>
      </c>
    </row>
    <row r="10" spans="1:10" x14ac:dyDescent="0.35">
      <c r="A10" s="2"/>
      <c r="B10" s="2"/>
      <c r="C10" s="2"/>
      <c r="D10" s="2"/>
      <c r="E10" s="2"/>
      <c r="F10" s="2" t="s">
        <v>143</v>
      </c>
      <c r="G10" s="2" t="b">
        <f>COUNTIF(MASTER!$A$2:$A$1944,F10)=0</f>
        <v>1</v>
      </c>
      <c r="H10" s="2"/>
      <c r="I10" s="2" t="s">
        <v>144</v>
      </c>
      <c r="J10" s="2" t="b">
        <f>COUNTIF(MASTER!$L$2:$L$1944,I10)=0</f>
        <v>1</v>
      </c>
    </row>
    <row r="11" spans="1:10" x14ac:dyDescent="0.35">
      <c r="A11" s="2"/>
      <c r="B11" s="2"/>
      <c r="C11" s="2"/>
      <c r="D11" s="2"/>
      <c r="E11" s="2"/>
      <c r="F11" s="2" t="s">
        <v>145</v>
      </c>
      <c r="G11" s="2" t="b">
        <f>COUNTIF(MASTER!$A$2:$A$1944,F11)=0</f>
        <v>1</v>
      </c>
      <c r="H11" s="2"/>
      <c r="I11" s="2" t="s">
        <v>146</v>
      </c>
      <c r="J11" s="2" t="b">
        <f>COUNTIF(MASTER!$L$2:$L$1944,I11)=0</f>
        <v>1</v>
      </c>
    </row>
    <row r="12" spans="1:10" x14ac:dyDescent="0.35">
      <c r="A12" s="2"/>
      <c r="B12" s="2"/>
      <c r="C12" s="2"/>
      <c r="D12" s="2"/>
      <c r="E12" s="2"/>
      <c r="F12" s="2" t="s">
        <v>147</v>
      </c>
      <c r="G12" s="2" t="b">
        <f>COUNTIF(MASTER!$A$2:$A$1944,F12)=0</f>
        <v>1</v>
      </c>
      <c r="H12" s="2"/>
      <c r="I12" s="2" t="s">
        <v>148</v>
      </c>
      <c r="J12" s="2" t="b">
        <f>COUNTIF(MASTER!$L$2:$L$1944,I12)=0</f>
        <v>1</v>
      </c>
    </row>
    <row r="13" spans="1:10" x14ac:dyDescent="0.35">
      <c r="A13" s="2"/>
      <c r="B13" s="2"/>
      <c r="C13" s="2"/>
      <c r="D13" s="2"/>
      <c r="E13" s="2"/>
      <c r="F13" s="2" t="s">
        <v>149</v>
      </c>
      <c r="G13" s="2" t="b">
        <f>COUNTIF(MASTER!$A$2:$A$1944,F13)=0</f>
        <v>1</v>
      </c>
      <c r="H13" s="2"/>
      <c r="I13" s="2" t="s">
        <v>150</v>
      </c>
      <c r="J13" s="2" t="b">
        <f>COUNTIF(MASTER!$L$2:$L$1944,I13)=0</f>
        <v>1</v>
      </c>
    </row>
    <row r="14" spans="1:10" x14ac:dyDescent="0.35">
      <c r="A14" s="2"/>
      <c r="B14" s="2"/>
      <c r="C14" s="2"/>
      <c r="D14" s="2"/>
      <c r="E14" s="2"/>
      <c r="F14" s="2" t="s">
        <v>151</v>
      </c>
      <c r="G14" s="2" t="b">
        <f>COUNTIF(MASTER!$A$2:$A$1944,F14)=0</f>
        <v>1</v>
      </c>
      <c r="H14" s="2"/>
      <c r="I14" s="2" t="s">
        <v>152</v>
      </c>
      <c r="J14" s="2" t="b">
        <f>COUNTIF(MASTER!$L$2:$L$1944,I14)=0</f>
        <v>1</v>
      </c>
    </row>
    <row r="15" spans="1:10" x14ac:dyDescent="0.35">
      <c r="A15" s="2"/>
      <c r="B15" s="2"/>
      <c r="C15" s="2"/>
      <c r="D15" s="2"/>
      <c r="E15" s="2"/>
      <c r="F15" s="2" t="s">
        <v>153</v>
      </c>
      <c r="G15" s="2" t="b">
        <f>COUNTIF(MASTER!$A$2:$A$1944,F15)=0</f>
        <v>1</v>
      </c>
      <c r="H15" s="2"/>
      <c r="I15" s="2" t="s">
        <v>154</v>
      </c>
      <c r="J15" s="2" t="b">
        <f>COUNTIF(MASTER!$L$2:$L$1944,I15)=0</f>
        <v>1</v>
      </c>
    </row>
    <row r="16" spans="1:10" x14ac:dyDescent="0.35">
      <c r="A16" s="2"/>
      <c r="B16" s="2"/>
      <c r="C16" s="2"/>
      <c r="D16" s="2"/>
      <c r="E16" s="2"/>
      <c r="F16" s="2" t="s">
        <v>155</v>
      </c>
      <c r="G16" s="2" t="b">
        <f>COUNTIF(MASTER!$A$2:$A$1944,F16)=0</f>
        <v>1</v>
      </c>
      <c r="H16" s="2"/>
      <c r="I16" s="2" t="s">
        <v>156</v>
      </c>
      <c r="J16" s="2" t="b">
        <f>COUNTIF(MASTER!$L$2:$L$1944,I16)=0</f>
        <v>1</v>
      </c>
    </row>
    <row r="17" spans="6:10" x14ac:dyDescent="0.35">
      <c r="F17" s="2" t="s">
        <v>157</v>
      </c>
      <c r="G17" s="2" t="b">
        <f>COUNTIF(MASTER!$A$2:$A$1944,F17)=0</f>
        <v>1</v>
      </c>
      <c r="H17" s="2"/>
      <c r="I17" s="2" t="s">
        <v>158</v>
      </c>
      <c r="J17" s="2" t="b">
        <f>COUNTIF(MASTER!$L$2:$L$1944,I17)=0</f>
        <v>1</v>
      </c>
    </row>
    <row r="18" spans="6:10" x14ac:dyDescent="0.35">
      <c r="F18" s="2" t="s">
        <v>159</v>
      </c>
      <c r="G18" s="2" t="b">
        <f>COUNTIF(MASTER!$A$2:$A$1944,F18)=0</f>
        <v>1</v>
      </c>
      <c r="H18" s="2"/>
      <c r="I18" s="2" t="s">
        <v>160</v>
      </c>
      <c r="J18" s="2" t="b">
        <f>COUNTIF(MASTER!$L$2:$L$1944,I18)=0</f>
        <v>1</v>
      </c>
    </row>
    <row r="19" spans="6:10" x14ac:dyDescent="0.35">
      <c r="F19" s="2" t="s">
        <v>161</v>
      </c>
      <c r="G19" s="2" t="b">
        <f>COUNTIF(MASTER!$A$2:$A$1944,F19)=0</f>
        <v>1</v>
      </c>
      <c r="H19" s="2"/>
      <c r="I19" s="2" t="s">
        <v>162</v>
      </c>
      <c r="J19" s="2" t="b">
        <f>COUNTIF(MASTER!$L$2:$L$1944,I19)=0</f>
        <v>1</v>
      </c>
    </row>
    <row r="20" spans="6:10" x14ac:dyDescent="0.35">
      <c r="F20" s="2" t="s">
        <v>163</v>
      </c>
      <c r="G20" s="2" t="b">
        <f>COUNTIF(MASTER!$A$2:$A$1944,F20)=0</f>
        <v>1</v>
      </c>
      <c r="H20" s="2"/>
      <c r="I20" s="2" t="s">
        <v>164</v>
      </c>
      <c r="J20" s="2" t="b">
        <f>COUNTIF(MASTER!$L$2:$L$1944,I20)=0</f>
        <v>1</v>
      </c>
    </row>
    <row r="21" spans="6:10" x14ac:dyDescent="0.35">
      <c r="F21" s="2" t="s">
        <v>165</v>
      </c>
      <c r="G21" s="2" t="b">
        <f>COUNTIF(MASTER!$A$2:$A$1944,F21)=0</f>
        <v>1</v>
      </c>
      <c r="H21" s="2"/>
      <c r="I21" s="2" t="s">
        <v>166</v>
      </c>
      <c r="J21" s="2" t="b">
        <f>COUNTIF(MASTER!$L$2:$L$1944,I21)=0</f>
        <v>1</v>
      </c>
    </row>
    <row r="22" spans="6:10" x14ac:dyDescent="0.35">
      <c r="F22" s="2" t="s">
        <v>167</v>
      </c>
      <c r="G22" s="2" t="b">
        <f>COUNTIF(MASTER!$A$2:$A$1944,F22)=0</f>
        <v>1</v>
      </c>
      <c r="H22" s="2"/>
      <c r="I22" s="2" t="s">
        <v>168</v>
      </c>
      <c r="J22" s="2" t="b">
        <f>COUNTIF(MASTER!$L$2:$L$1944,I22)=0</f>
        <v>1</v>
      </c>
    </row>
    <row r="23" spans="6:10" x14ac:dyDescent="0.35">
      <c r="F23" s="2" t="s">
        <v>169</v>
      </c>
      <c r="G23" s="2" t="b">
        <f>COUNTIF(MASTER!$A$2:$A$1944,F23)=0</f>
        <v>1</v>
      </c>
      <c r="H23" s="2"/>
      <c r="I23" s="2" t="s">
        <v>170</v>
      </c>
      <c r="J23" s="2" t="b">
        <f>COUNTIF(MASTER!$L$2:$L$1944,I23)=0</f>
        <v>1</v>
      </c>
    </row>
    <row r="24" spans="6:10" x14ac:dyDescent="0.35">
      <c r="F24" s="2" t="s">
        <v>171</v>
      </c>
      <c r="G24" s="2" t="b">
        <f>COUNTIF(MASTER!$A$2:$A$1944,F24)=0</f>
        <v>1</v>
      </c>
      <c r="H24" s="2"/>
      <c r="I24" s="2" t="s">
        <v>172</v>
      </c>
      <c r="J24" s="2" t="b">
        <f>COUNTIF(MASTER!$L$2:$L$1944,I24)=0</f>
        <v>1</v>
      </c>
    </row>
    <row r="25" spans="6:10" x14ac:dyDescent="0.35">
      <c r="F25" s="2" t="s">
        <v>173</v>
      </c>
      <c r="G25" s="2" t="b">
        <f>COUNTIF(MASTER!$A$2:$A$1944,F25)=0</f>
        <v>1</v>
      </c>
      <c r="H25" s="2"/>
      <c r="I25" s="2" t="s">
        <v>174</v>
      </c>
      <c r="J25" s="2" t="b">
        <f>COUNTIF(MASTER!$L$2:$L$1944,I25)=0</f>
        <v>1</v>
      </c>
    </row>
    <row r="26" spans="6:10" x14ac:dyDescent="0.35">
      <c r="F26" s="2" t="s">
        <v>175</v>
      </c>
      <c r="G26" s="2" t="b">
        <f>COUNTIF(MASTER!$A$2:$A$1944,F26)=0</f>
        <v>1</v>
      </c>
      <c r="H26" s="2"/>
      <c r="I26" s="2" t="s">
        <v>176</v>
      </c>
      <c r="J26" s="2" t="b">
        <f>COUNTIF(MASTER!$L$2:$L$1944,I26)=0</f>
        <v>1</v>
      </c>
    </row>
    <row r="27" spans="6:10" x14ac:dyDescent="0.35">
      <c r="F27" s="2" t="s">
        <v>177</v>
      </c>
      <c r="G27" s="2" t="b">
        <f>COUNTIF(MASTER!$A$2:$A$1944,F27)=0</f>
        <v>1</v>
      </c>
      <c r="H27" s="2"/>
      <c r="I27" s="2" t="s">
        <v>178</v>
      </c>
      <c r="J27" s="2" t="b">
        <f>COUNTIF(MASTER!$L$2:$L$1944,I27)=0</f>
        <v>1</v>
      </c>
    </row>
    <row r="28" spans="6:10" x14ac:dyDescent="0.35">
      <c r="F28" s="2" t="s">
        <v>179</v>
      </c>
      <c r="G28" s="2" t="b">
        <f>COUNTIF(MASTER!$A$2:$A$1944,F28)=0</f>
        <v>1</v>
      </c>
      <c r="H28" s="2"/>
      <c r="I28" s="2" t="s">
        <v>180</v>
      </c>
      <c r="J28" s="2" t="b">
        <f>COUNTIF(MASTER!$L$2:$L$1944,I28)=0</f>
        <v>1</v>
      </c>
    </row>
    <row r="29" spans="6:10" x14ac:dyDescent="0.35">
      <c r="F29" s="2" t="s">
        <v>181</v>
      </c>
      <c r="G29" s="2" t="b">
        <f>COUNTIF(MASTER!$A$2:$A$1944,F29)=0</f>
        <v>1</v>
      </c>
      <c r="H29" s="2"/>
      <c r="I29" s="2" t="s">
        <v>182</v>
      </c>
      <c r="J29" s="2" t="b">
        <f>COUNTIF(MASTER!$L$2:$L$1944,I29)=0</f>
        <v>1</v>
      </c>
    </row>
    <row r="30" spans="6:10" x14ac:dyDescent="0.35">
      <c r="F30" s="2" t="s">
        <v>183</v>
      </c>
      <c r="G30" s="2" t="b">
        <f>COUNTIF(MASTER!$A$2:$A$1944,F30)=0</f>
        <v>1</v>
      </c>
      <c r="H30" s="2"/>
      <c r="I30" s="2" t="s">
        <v>184</v>
      </c>
      <c r="J30" s="2" t="b">
        <f>COUNTIF(MASTER!$L$2:$L$1944,I30)=0</f>
        <v>1</v>
      </c>
    </row>
    <row r="31" spans="6:10" x14ac:dyDescent="0.35">
      <c r="F31" s="2" t="s">
        <v>185</v>
      </c>
      <c r="G31" s="2" t="b">
        <f>COUNTIF(MASTER!$A$2:$A$1944,F31)=0</f>
        <v>1</v>
      </c>
      <c r="H31" s="2"/>
      <c r="I31" s="2" t="s">
        <v>186</v>
      </c>
      <c r="J31" s="2" t="b">
        <f>COUNTIF(MASTER!$L$2:$L$1944,I31)=0</f>
        <v>1</v>
      </c>
    </row>
    <row r="32" spans="6:10" x14ac:dyDescent="0.35">
      <c r="F32" s="2" t="s">
        <v>187</v>
      </c>
      <c r="G32" s="2" t="b">
        <f>COUNTIF(MASTER!$A$2:$A$1944,F32)=0</f>
        <v>1</v>
      </c>
      <c r="H32" s="2"/>
      <c r="I32" s="2" t="s">
        <v>188</v>
      </c>
      <c r="J32" s="2" t="b">
        <f>COUNTIF(MASTER!$L$2:$L$1944,I32)=0</f>
        <v>1</v>
      </c>
    </row>
    <row r="33" spans="6:10" x14ac:dyDescent="0.35">
      <c r="F33" s="2" t="s">
        <v>189</v>
      </c>
      <c r="G33" s="2" t="b">
        <f>COUNTIF(MASTER!$A$2:$A$1944,F33)=0</f>
        <v>1</v>
      </c>
      <c r="H33" s="2"/>
      <c r="I33" s="2" t="s">
        <v>190</v>
      </c>
      <c r="J33" s="2" t="b">
        <f>COUNTIF(MASTER!$L$2:$L$1944,I33)=0</f>
        <v>1</v>
      </c>
    </row>
    <row r="34" spans="6:10" x14ac:dyDescent="0.35">
      <c r="F34" s="2" t="s">
        <v>191</v>
      </c>
      <c r="G34" s="2" t="b">
        <f>COUNTIF(MASTER!$A$2:$A$1944,F34)=0</f>
        <v>1</v>
      </c>
      <c r="H34" s="2"/>
      <c r="I34" s="2" t="s">
        <v>192</v>
      </c>
      <c r="J34" s="2" t="b">
        <f>COUNTIF(MASTER!$L$2:$L$1944,I34)=0</f>
        <v>1</v>
      </c>
    </row>
    <row r="35" spans="6:10" x14ac:dyDescent="0.35">
      <c r="F35" s="2" t="s">
        <v>193</v>
      </c>
      <c r="G35" s="2" t="b">
        <f>COUNTIF(MASTER!$A$2:$A$1944,F35)=0</f>
        <v>1</v>
      </c>
      <c r="H35" s="2"/>
      <c r="I35" s="2" t="s">
        <v>194</v>
      </c>
      <c r="J35" s="2" t="b">
        <f>COUNTIF(MASTER!$L$2:$L$1944,I35)=0</f>
        <v>1</v>
      </c>
    </row>
    <row r="36" spans="6:10" x14ac:dyDescent="0.35">
      <c r="F36" s="2" t="s">
        <v>195</v>
      </c>
      <c r="G36" s="2" t="b">
        <f>COUNTIF(MASTER!$A$2:$A$1944,F36)=0</f>
        <v>1</v>
      </c>
      <c r="H36" s="2"/>
      <c r="I36" s="2" t="s">
        <v>196</v>
      </c>
      <c r="J36" s="2" t="b">
        <f>COUNTIF(MASTER!$L$2:$L$1944,I36)=0</f>
        <v>1</v>
      </c>
    </row>
    <row r="37" spans="6:10" x14ac:dyDescent="0.35">
      <c r="F37" s="2" t="s">
        <v>197</v>
      </c>
      <c r="G37" s="2" t="b">
        <f>COUNTIF(MASTER!$A$2:$A$1944,F37)=0</f>
        <v>1</v>
      </c>
      <c r="H37" s="2"/>
      <c r="I37" s="2" t="s">
        <v>198</v>
      </c>
      <c r="J37" s="2" t="b">
        <f>COUNTIF(MASTER!$L$2:$L$1944,I37)=0</f>
        <v>1</v>
      </c>
    </row>
    <row r="38" spans="6:10" x14ac:dyDescent="0.35">
      <c r="F38" s="2" t="s">
        <v>199</v>
      </c>
      <c r="G38" s="2" t="b">
        <f>COUNTIF(MASTER!$A$2:$A$1944,F38)=0</f>
        <v>1</v>
      </c>
      <c r="H38" s="2"/>
      <c r="I38" s="2" t="s">
        <v>200</v>
      </c>
      <c r="J38" s="2" t="b">
        <f>COUNTIF(MASTER!$L$2:$L$1944,I38)=0</f>
        <v>1</v>
      </c>
    </row>
    <row r="39" spans="6:10" x14ac:dyDescent="0.35">
      <c r="F39" s="2" t="s">
        <v>201</v>
      </c>
      <c r="G39" s="2" t="b">
        <f>COUNTIF(MASTER!$A$2:$A$1944,F39)=0</f>
        <v>1</v>
      </c>
      <c r="H39" s="2"/>
      <c r="I39" s="2" t="s">
        <v>202</v>
      </c>
      <c r="J39" s="2" t="b">
        <f>COUNTIF(MASTER!$L$2:$L$1944,I39)=0</f>
        <v>1</v>
      </c>
    </row>
    <row r="40" spans="6:10" x14ac:dyDescent="0.35">
      <c r="F40" s="2" t="s">
        <v>203</v>
      </c>
      <c r="G40" s="2" t="b">
        <f>COUNTIF(MASTER!$A$2:$A$1944,F40)=0</f>
        <v>1</v>
      </c>
      <c r="H40" s="2"/>
      <c r="I40" s="2" t="s">
        <v>204</v>
      </c>
      <c r="J40" s="2" t="b">
        <f>COUNTIF(MASTER!$L$2:$L$1944,I40)=0</f>
        <v>1</v>
      </c>
    </row>
    <row r="41" spans="6:10" x14ac:dyDescent="0.35">
      <c r="F41" s="2" t="s">
        <v>205</v>
      </c>
      <c r="G41" s="2" t="b">
        <f>COUNTIF(MASTER!$A$2:$A$1944,F41)=0</f>
        <v>1</v>
      </c>
      <c r="H41" s="2"/>
      <c r="I41" s="2" t="s">
        <v>206</v>
      </c>
      <c r="J41" s="2" t="b">
        <f>COUNTIF(MASTER!$L$2:$L$1944,I41)=0</f>
        <v>1</v>
      </c>
    </row>
    <row r="42" spans="6:10" x14ac:dyDescent="0.35">
      <c r="F42" s="2" t="s">
        <v>207</v>
      </c>
      <c r="G42" s="2" t="b">
        <f>COUNTIF(MASTER!$A$2:$A$1944,F42)=0</f>
        <v>1</v>
      </c>
      <c r="H42" s="2"/>
      <c r="I42" s="2" t="s">
        <v>208</v>
      </c>
      <c r="J42" s="2" t="b">
        <f>COUNTIF(MASTER!$L$2:$L$1944,I42)=0</f>
        <v>1</v>
      </c>
    </row>
    <row r="43" spans="6:10" x14ac:dyDescent="0.35">
      <c r="F43" s="2" t="s">
        <v>209</v>
      </c>
      <c r="G43" s="2" t="b">
        <f>COUNTIF(MASTER!$A$2:$A$1944,F43)=0</f>
        <v>1</v>
      </c>
      <c r="H43" s="2"/>
      <c r="I43" s="2" t="s">
        <v>210</v>
      </c>
      <c r="J43" s="2" t="b">
        <f>COUNTIF(MASTER!$L$2:$L$1944,I43)=0</f>
        <v>1</v>
      </c>
    </row>
    <row r="44" spans="6:10" x14ac:dyDescent="0.35">
      <c r="F44" s="2" t="s">
        <v>211</v>
      </c>
      <c r="G44" s="2" t="b">
        <f>COUNTIF(MASTER!$A$2:$A$1944,F44)=0</f>
        <v>1</v>
      </c>
      <c r="H44" s="2"/>
      <c r="I44" s="2" t="s">
        <v>212</v>
      </c>
      <c r="J44" s="2" t="b">
        <f>COUNTIF(MASTER!$L$2:$L$1944,I44)=0</f>
        <v>1</v>
      </c>
    </row>
    <row r="45" spans="6:10" x14ac:dyDescent="0.35">
      <c r="F45" s="2" t="s">
        <v>213</v>
      </c>
      <c r="G45" s="2" t="b">
        <f>COUNTIF(MASTER!$A$2:$A$1944,F45)=0</f>
        <v>1</v>
      </c>
      <c r="H45" s="2"/>
      <c r="I45" s="2" t="s">
        <v>214</v>
      </c>
      <c r="J45" s="2" t="b">
        <f>COUNTIF(MASTER!$L$2:$L$1944,I45)=0</f>
        <v>1</v>
      </c>
    </row>
    <row r="46" spans="6:10" x14ac:dyDescent="0.35">
      <c r="F46" s="2" t="s">
        <v>215</v>
      </c>
      <c r="G46" s="2" t="b">
        <f>COUNTIF(MASTER!$A$2:$A$1944,F46)=0</f>
        <v>1</v>
      </c>
      <c r="H46" s="2"/>
      <c r="I46" s="2" t="s">
        <v>216</v>
      </c>
      <c r="J46" s="2" t="b">
        <f>COUNTIF(MASTER!$L$2:$L$1944,I46)=0</f>
        <v>1</v>
      </c>
    </row>
    <row r="47" spans="6:10" x14ac:dyDescent="0.35">
      <c r="F47" s="2" t="s">
        <v>217</v>
      </c>
      <c r="G47" s="2" t="b">
        <f>COUNTIF(MASTER!$A$2:$A$1944,F47)=0</f>
        <v>1</v>
      </c>
      <c r="H47" s="2"/>
      <c r="I47" s="2" t="s">
        <v>218</v>
      </c>
      <c r="J47" s="2" t="b">
        <f>COUNTIF(MASTER!$L$2:$L$1944,I47)=0</f>
        <v>1</v>
      </c>
    </row>
    <row r="48" spans="6:10" x14ac:dyDescent="0.35">
      <c r="F48" s="2" t="s">
        <v>219</v>
      </c>
      <c r="G48" s="2" t="b">
        <f>COUNTIF(MASTER!$A$2:$A$1944,F48)=0</f>
        <v>1</v>
      </c>
      <c r="H48" s="2"/>
      <c r="I48" s="2" t="s">
        <v>220</v>
      </c>
      <c r="J48" s="2" t="b">
        <f>COUNTIF(MASTER!$L$2:$L$1944,I48)=0</f>
        <v>1</v>
      </c>
    </row>
    <row r="49" spans="6:10" x14ac:dyDescent="0.35">
      <c r="F49" s="2" t="s">
        <v>221</v>
      </c>
      <c r="G49" s="2" t="b">
        <f>COUNTIF(MASTER!$A$2:$A$1944,F49)=0</f>
        <v>1</v>
      </c>
      <c r="H49" s="2"/>
      <c r="I49" s="2" t="s">
        <v>222</v>
      </c>
      <c r="J49" s="2" t="b">
        <f>COUNTIF(MASTER!$L$2:$L$1944,I49)=0</f>
        <v>1</v>
      </c>
    </row>
    <row r="50" spans="6:10" x14ac:dyDescent="0.35">
      <c r="F50" s="2" t="s">
        <v>223</v>
      </c>
      <c r="G50" s="2" t="b">
        <f>COUNTIF(MASTER!$A$2:$A$1944,F50)=0</f>
        <v>1</v>
      </c>
      <c r="H50" s="2"/>
      <c r="I50" s="2" t="s">
        <v>224</v>
      </c>
      <c r="J50" s="2" t="b">
        <f>COUNTIF(MASTER!$L$2:$L$1944,I50)=0</f>
        <v>1</v>
      </c>
    </row>
    <row r="51" spans="6:10" x14ac:dyDescent="0.35">
      <c r="F51" s="2" t="s">
        <v>225</v>
      </c>
      <c r="G51" s="2" t="b">
        <f>COUNTIF(MASTER!$A$2:$A$1944,F51)=0</f>
        <v>1</v>
      </c>
      <c r="H51" s="2"/>
      <c r="I51" s="2" t="s">
        <v>226</v>
      </c>
      <c r="J51" s="2" t="b">
        <f>COUNTIF(MASTER!$L$2:$L$1944,I51)=0</f>
        <v>1</v>
      </c>
    </row>
    <row r="52" spans="6:10" x14ac:dyDescent="0.35">
      <c r="F52" s="2" t="s">
        <v>227</v>
      </c>
      <c r="G52" s="2" t="b">
        <f>COUNTIF(MASTER!$A$2:$A$1944,F52)=0</f>
        <v>1</v>
      </c>
      <c r="H52" s="2"/>
      <c r="I52" s="2" t="s">
        <v>228</v>
      </c>
      <c r="J52" s="2" t="b">
        <f>COUNTIF(MASTER!$L$2:$L$1944,I52)=0</f>
        <v>1</v>
      </c>
    </row>
    <row r="53" spans="6:10" x14ac:dyDescent="0.35">
      <c r="F53" s="2" t="s">
        <v>229</v>
      </c>
      <c r="G53" s="2" t="b">
        <f>COUNTIF(MASTER!$A$2:$A$1944,F53)=0</f>
        <v>1</v>
      </c>
      <c r="H53" s="2"/>
      <c r="I53" s="2" t="s">
        <v>230</v>
      </c>
      <c r="J53" s="2" t="b">
        <f>COUNTIF(MASTER!$L$2:$L$1944,I53)=0</f>
        <v>1</v>
      </c>
    </row>
    <row r="54" spans="6:10" x14ac:dyDescent="0.35">
      <c r="F54" s="2" t="s">
        <v>231</v>
      </c>
      <c r="G54" s="2" t="b">
        <f>COUNTIF(MASTER!$A$2:$A$1944,F54)=0</f>
        <v>1</v>
      </c>
      <c r="H54" s="2"/>
      <c r="I54" s="2" t="s">
        <v>232</v>
      </c>
      <c r="J54" s="2" t="b">
        <f>COUNTIF(MASTER!$L$2:$L$1944,I54)=0</f>
        <v>1</v>
      </c>
    </row>
    <row r="55" spans="6:10" x14ac:dyDescent="0.35">
      <c r="F55" s="2" t="s">
        <v>233</v>
      </c>
      <c r="G55" s="2" t="b">
        <f>COUNTIF(MASTER!$A$2:$A$1944,F55)=0</f>
        <v>1</v>
      </c>
      <c r="H55" s="2"/>
      <c r="I55" s="2" t="s">
        <v>234</v>
      </c>
      <c r="J55" s="2" t="b">
        <f>COUNTIF(MASTER!$L$2:$L$1944,I55)=0</f>
        <v>1</v>
      </c>
    </row>
    <row r="56" spans="6:10" x14ac:dyDescent="0.35">
      <c r="F56" s="2" t="s">
        <v>235</v>
      </c>
      <c r="G56" s="2" t="b">
        <f>COUNTIF(MASTER!$A$2:$A$1944,F56)=0</f>
        <v>1</v>
      </c>
      <c r="H56" s="2"/>
      <c r="I56" s="2" t="s">
        <v>236</v>
      </c>
      <c r="J56" s="2" t="b">
        <f>COUNTIF(MASTER!$L$2:$L$1944,I56)=0</f>
        <v>1</v>
      </c>
    </row>
    <row r="57" spans="6:10" x14ac:dyDescent="0.35">
      <c r="F57" s="2" t="s">
        <v>237</v>
      </c>
      <c r="G57" s="2" t="b">
        <f>COUNTIF(MASTER!$A$2:$A$1944,F57)=0</f>
        <v>1</v>
      </c>
      <c r="H57" s="2"/>
      <c r="I57" s="2" t="s">
        <v>238</v>
      </c>
      <c r="J57" s="2" t="b">
        <f>COUNTIF(MASTER!$L$2:$L$1944,I57)=0</f>
        <v>1</v>
      </c>
    </row>
    <row r="58" spans="6:10" x14ac:dyDescent="0.35">
      <c r="F58" s="2" t="s">
        <v>239</v>
      </c>
      <c r="G58" s="2" t="b">
        <f>COUNTIF(MASTER!$A$2:$A$1944,F58)=0</f>
        <v>1</v>
      </c>
      <c r="H58" s="2"/>
      <c r="I58" s="2" t="s">
        <v>240</v>
      </c>
      <c r="J58" s="2" t="b">
        <f>COUNTIF(MASTER!$L$2:$L$1944,I58)=0</f>
        <v>1</v>
      </c>
    </row>
    <row r="59" spans="6:10" x14ac:dyDescent="0.35">
      <c r="F59" s="2" t="s">
        <v>241</v>
      </c>
      <c r="G59" s="2" t="b">
        <f>COUNTIF(MASTER!$A$2:$A$1944,F59)=0</f>
        <v>1</v>
      </c>
      <c r="H59" s="2"/>
      <c r="I59" s="2" t="s">
        <v>242</v>
      </c>
      <c r="J59" s="2" t="b">
        <f>COUNTIF(MASTER!$L$2:$L$1944,I59)=0</f>
        <v>1</v>
      </c>
    </row>
    <row r="60" spans="6:10" x14ac:dyDescent="0.35">
      <c r="F60" s="2" t="s">
        <v>243</v>
      </c>
      <c r="G60" s="2" t="b">
        <f>COUNTIF(MASTER!$A$2:$A$1944,F60)=0</f>
        <v>1</v>
      </c>
      <c r="H60" s="2"/>
      <c r="I60" s="2" t="s">
        <v>244</v>
      </c>
      <c r="J60" s="2" t="b">
        <f>COUNTIF(MASTER!$L$2:$L$1944,I60)=0</f>
        <v>1</v>
      </c>
    </row>
    <row r="61" spans="6:10" x14ac:dyDescent="0.35">
      <c r="F61" s="2" t="s">
        <v>245</v>
      </c>
      <c r="G61" s="2" t="b">
        <f>COUNTIF(MASTER!$A$2:$A$1944,F61)=0</f>
        <v>1</v>
      </c>
      <c r="H61" s="2"/>
      <c r="I61" s="2" t="s">
        <v>246</v>
      </c>
      <c r="J61" s="2" t="b">
        <f>COUNTIF(MASTER!$L$2:$L$1944,I61)=0</f>
        <v>1</v>
      </c>
    </row>
    <row r="62" spans="6:10" x14ac:dyDescent="0.35">
      <c r="F62" s="2" t="s">
        <v>247</v>
      </c>
      <c r="G62" s="2" t="b">
        <f>COUNTIF(MASTER!$A$2:$A$1944,F62)=0</f>
        <v>1</v>
      </c>
      <c r="H62" s="2"/>
      <c r="I62" s="2" t="s">
        <v>248</v>
      </c>
      <c r="J62" s="2" t="b">
        <f>COUNTIF(MASTER!$L$2:$L$1944,I62)=0</f>
        <v>1</v>
      </c>
    </row>
    <row r="63" spans="6:10" x14ac:dyDescent="0.35">
      <c r="F63" s="2" t="s">
        <v>249</v>
      </c>
      <c r="G63" s="2" t="b">
        <f>COUNTIF(MASTER!$A$2:$A$1944,F63)=0</f>
        <v>1</v>
      </c>
      <c r="H63" s="2"/>
      <c r="I63" s="2" t="s">
        <v>250</v>
      </c>
      <c r="J63" s="2" t="b">
        <f>COUNTIF(MASTER!$L$2:$L$1944,I63)=0</f>
        <v>1</v>
      </c>
    </row>
    <row r="64" spans="6:10" x14ac:dyDescent="0.35">
      <c r="F64" s="2" t="s">
        <v>251</v>
      </c>
      <c r="G64" s="2" t="b">
        <f>COUNTIF(MASTER!$A$2:$A$1944,F64)=0</f>
        <v>1</v>
      </c>
      <c r="H64" s="2"/>
      <c r="I64" s="2" t="s">
        <v>252</v>
      </c>
      <c r="J64" s="2" t="b">
        <f>COUNTIF(MASTER!$L$2:$L$1944,I64)=0</f>
        <v>1</v>
      </c>
    </row>
    <row r="65" spans="6:10" x14ac:dyDescent="0.35">
      <c r="F65" s="2" t="s">
        <v>253</v>
      </c>
      <c r="G65" s="2" t="b">
        <f>COUNTIF(MASTER!$A$2:$A$1944,F65)=0</f>
        <v>1</v>
      </c>
      <c r="H65" s="2"/>
      <c r="I65" s="2" t="s">
        <v>254</v>
      </c>
      <c r="J65" s="2" t="b">
        <f>COUNTIF(MASTER!$L$2:$L$1944,I65)=0</f>
        <v>1</v>
      </c>
    </row>
    <row r="66" spans="6:10" x14ac:dyDescent="0.35">
      <c r="F66" s="2" t="s">
        <v>255</v>
      </c>
      <c r="G66" s="2" t="b">
        <f>COUNTIF(MASTER!$A$2:$A$1944,F66)=0</f>
        <v>1</v>
      </c>
      <c r="H66" s="2"/>
      <c r="I66" s="2" t="s">
        <v>256</v>
      </c>
      <c r="J66" s="2" t="b">
        <f>COUNTIF(MASTER!$L$2:$L$1944,I66)=0</f>
        <v>1</v>
      </c>
    </row>
    <row r="67" spans="6:10" x14ac:dyDescent="0.35">
      <c r="F67" s="2" t="s">
        <v>257</v>
      </c>
      <c r="G67" s="2" t="b">
        <f>COUNTIF(MASTER!$A$2:$A$1944,F67)=0</f>
        <v>1</v>
      </c>
      <c r="H67" s="2"/>
      <c r="I67" s="2" t="s">
        <v>258</v>
      </c>
      <c r="J67" s="2" t="b">
        <f>COUNTIF(MASTER!$L$2:$L$1944,I67)=0</f>
        <v>1</v>
      </c>
    </row>
    <row r="68" spans="6:10" x14ac:dyDescent="0.35">
      <c r="F68" s="2" t="s">
        <v>259</v>
      </c>
      <c r="G68" s="2" t="b">
        <f>COUNTIF(MASTER!$A$2:$A$1944,F68)=0</f>
        <v>1</v>
      </c>
      <c r="H68" s="2"/>
      <c r="I68" s="2" t="s">
        <v>260</v>
      </c>
      <c r="J68" s="2" t="b">
        <f>COUNTIF(MASTER!$L$2:$L$1944,I68)=0</f>
        <v>1</v>
      </c>
    </row>
    <row r="69" spans="6:10" x14ac:dyDescent="0.35">
      <c r="F69" s="2" t="s">
        <v>261</v>
      </c>
      <c r="G69" s="2" t="b">
        <f>COUNTIF(MASTER!$A$2:$A$1944,F69)=0</f>
        <v>1</v>
      </c>
      <c r="H69" s="2"/>
      <c r="I69" s="2" t="s">
        <v>262</v>
      </c>
      <c r="J69" s="2" t="b">
        <f>COUNTIF(MASTER!$L$2:$L$1944,I69)=0</f>
        <v>1</v>
      </c>
    </row>
    <row r="70" spans="6:10" x14ac:dyDescent="0.35">
      <c r="F70" s="2" t="s">
        <v>263</v>
      </c>
      <c r="G70" s="2" t="b">
        <f>COUNTIF(MASTER!$A$2:$A$1944,F70)=0</f>
        <v>1</v>
      </c>
      <c r="H70" s="2"/>
      <c r="I70" s="2" t="s">
        <v>264</v>
      </c>
      <c r="J70" s="2" t="b">
        <f>COUNTIF(MASTER!$L$2:$L$1944,I70)=0</f>
        <v>1</v>
      </c>
    </row>
    <row r="71" spans="6:10" x14ac:dyDescent="0.35">
      <c r="F71" s="2" t="s">
        <v>265</v>
      </c>
      <c r="G71" s="2" t="b">
        <f>COUNTIF(MASTER!$A$2:$A$1944,F71)=0</f>
        <v>1</v>
      </c>
      <c r="H71" s="2"/>
      <c r="I71" s="2" t="s">
        <v>266</v>
      </c>
      <c r="J71" s="2" t="b">
        <f>COUNTIF(MASTER!$L$2:$L$1944,I71)=0</f>
        <v>1</v>
      </c>
    </row>
    <row r="72" spans="6:10" x14ac:dyDescent="0.35">
      <c r="F72" s="2" t="s">
        <v>267</v>
      </c>
      <c r="G72" s="2" t="b">
        <f>COUNTIF(MASTER!$A$2:$A$1944,F72)=0</f>
        <v>1</v>
      </c>
      <c r="H72" s="2"/>
      <c r="I72" s="2" t="s">
        <v>268</v>
      </c>
      <c r="J72" s="2" t="b">
        <f>COUNTIF(MASTER!$L$2:$L$1944,I72)=0</f>
        <v>1</v>
      </c>
    </row>
    <row r="73" spans="6:10" x14ac:dyDescent="0.35">
      <c r="F73" s="2" t="s">
        <v>269</v>
      </c>
      <c r="G73" s="2" t="b">
        <f>COUNTIF(MASTER!$A$2:$A$1944,F73)=0</f>
        <v>1</v>
      </c>
      <c r="H73" s="2"/>
      <c r="I73" s="2" t="s">
        <v>270</v>
      </c>
      <c r="J73" s="2" t="b">
        <f>COUNTIF(MASTER!$L$2:$L$1944,I73)=0</f>
        <v>1</v>
      </c>
    </row>
    <row r="74" spans="6:10" x14ac:dyDescent="0.35">
      <c r="F74" s="2" t="s">
        <v>271</v>
      </c>
      <c r="G74" s="2" t="b">
        <f>COUNTIF(MASTER!$A$2:$A$1944,F74)=0</f>
        <v>1</v>
      </c>
      <c r="H74" s="2"/>
      <c r="I74" s="2" t="s">
        <v>272</v>
      </c>
      <c r="J74" s="2" t="b">
        <f>COUNTIF(MASTER!$L$2:$L$1944,I74)=0</f>
        <v>1</v>
      </c>
    </row>
    <row r="75" spans="6:10" x14ac:dyDescent="0.35">
      <c r="F75" s="2" t="s">
        <v>273</v>
      </c>
      <c r="G75" s="2" t="b">
        <f>COUNTIF(MASTER!$A$2:$A$1944,F75)=0</f>
        <v>1</v>
      </c>
      <c r="H75" s="2"/>
      <c r="I75" s="2" t="s">
        <v>274</v>
      </c>
      <c r="J75" s="2" t="b">
        <f>COUNTIF(MASTER!$L$2:$L$1944,I75)=0</f>
        <v>1</v>
      </c>
    </row>
    <row r="76" spans="6:10" x14ac:dyDescent="0.35">
      <c r="F76" s="2" t="s">
        <v>275</v>
      </c>
      <c r="G76" s="2" t="b">
        <f>COUNTIF(MASTER!$A$2:$A$1944,F76)=0</f>
        <v>1</v>
      </c>
      <c r="H76" s="2"/>
      <c r="I76" s="2" t="s">
        <v>276</v>
      </c>
      <c r="J76" s="2" t="b">
        <f>COUNTIF(MASTER!$L$2:$L$1944,I76)=0</f>
        <v>1</v>
      </c>
    </row>
    <row r="77" spans="6:10" x14ac:dyDescent="0.35">
      <c r="F77" s="2" t="s">
        <v>277</v>
      </c>
      <c r="G77" s="2" t="b">
        <f>COUNTIF(MASTER!$A$2:$A$1944,F77)=0</f>
        <v>1</v>
      </c>
      <c r="H77" s="2"/>
      <c r="I77" s="2" t="s">
        <v>278</v>
      </c>
      <c r="J77" s="2" t="b">
        <f>COUNTIF(MASTER!$L$2:$L$1944,I77)=0</f>
        <v>1</v>
      </c>
    </row>
    <row r="78" spans="6:10" x14ac:dyDescent="0.35">
      <c r="F78" s="2" t="s">
        <v>279</v>
      </c>
      <c r="G78" s="2" t="b">
        <f>COUNTIF(MASTER!$A$2:$A$1944,F78)=0</f>
        <v>1</v>
      </c>
      <c r="H78" s="2"/>
      <c r="I78" s="2" t="s">
        <v>280</v>
      </c>
      <c r="J78" s="2" t="b">
        <f>COUNTIF(MASTER!$L$2:$L$1944,I78)=0</f>
        <v>1</v>
      </c>
    </row>
    <row r="79" spans="6:10" x14ac:dyDescent="0.35">
      <c r="F79" s="2" t="s">
        <v>281</v>
      </c>
      <c r="G79" s="2" t="b">
        <f>COUNTIF(MASTER!$A$2:$A$1944,F79)=0</f>
        <v>1</v>
      </c>
      <c r="H79" s="2"/>
      <c r="I79" s="2" t="s">
        <v>282</v>
      </c>
      <c r="J79" s="2" t="b">
        <f>COUNTIF(MASTER!$L$2:$L$1944,I79)=0</f>
        <v>1</v>
      </c>
    </row>
    <row r="80" spans="6:10" x14ac:dyDescent="0.35">
      <c r="F80" s="2" t="s">
        <v>283</v>
      </c>
      <c r="G80" s="2" t="b">
        <f>COUNTIF(MASTER!$A$2:$A$1944,F80)=0</f>
        <v>1</v>
      </c>
      <c r="H80" s="2"/>
      <c r="I80" s="2" t="s">
        <v>284</v>
      </c>
      <c r="J80" s="2" t="b">
        <f>COUNTIF(MASTER!$L$2:$L$1944,I80)=0</f>
        <v>1</v>
      </c>
    </row>
    <row r="81" spans="6:10" x14ac:dyDescent="0.35">
      <c r="F81" s="2" t="s">
        <v>285</v>
      </c>
      <c r="G81" s="2" t="b">
        <f>COUNTIF(MASTER!$A$2:$A$1944,F81)=0</f>
        <v>1</v>
      </c>
      <c r="H81" s="2"/>
      <c r="I81" s="2" t="s">
        <v>286</v>
      </c>
      <c r="J81" s="2" t="b">
        <f>COUNTIF(MASTER!$L$2:$L$1944,I81)=0</f>
        <v>1</v>
      </c>
    </row>
    <row r="82" spans="6:10" x14ac:dyDescent="0.35">
      <c r="F82" s="2" t="s">
        <v>287</v>
      </c>
      <c r="G82" s="2" t="b">
        <f>COUNTIF(MASTER!$A$2:$A$1944,F82)=0</f>
        <v>1</v>
      </c>
      <c r="H82" s="2"/>
      <c r="I82" s="2" t="s">
        <v>288</v>
      </c>
      <c r="J82" s="2" t="b">
        <f>COUNTIF(MASTER!$L$2:$L$1944,I82)=0</f>
        <v>1</v>
      </c>
    </row>
    <row r="83" spans="6:10" x14ac:dyDescent="0.35">
      <c r="F83" s="2" t="s">
        <v>289</v>
      </c>
      <c r="G83" s="2" t="b">
        <f>COUNTIF(MASTER!$A$2:$A$1944,F83)=0</f>
        <v>1</v>
      </c>
      <c r="H83" s="2"/>
      <c r="I83" s="2" t="s">
        <v>290</v>
      </c>
      <c r="J83" s="2" t="b">
        <f>COUNTIF(MASTER!$L$2:$L$1944,I83)=0</f>
        <v>1</v>
      </c>
    </row>
    <row r="84" spans="6:10" x14ac:dyDescent="0.35">
      <c r="F84" s="2" t="s">
        <v>291</v>
      </c>
      <c r="G84" s="2" t="b">
        <f>COUNTIF(MASTER!$A$2:$A$1944,F84)=0</f>
        <v>1</v>
      </c>
      <c r="H84" s="2"/>
      <c r="I84" s="2" t="s">
        <v>292</v>
      </c>
      <c r="J84" s="2" t="b">
        <f>COUNTIF(MASTER!$L$2:$L$1944,I84)=0</f>
        <v>1</v>
      </c>
    </row>
    <row r="85" spans="6:10" x14ac:dyDescent="0.35">
      <c r="F85" s="2" t="s">
        <v>293</v>
      </c>
      <c r="G85" s="2" t="b">
        <f>COUNTIF(MASTER!$A$2:$A$1944,F85)=0</f>
        <v>1</v>
      </c>
      <c r="H85" s="2"/>
      <c r="I85" s="2" t="s">
        <v>294</v>
      </c>
      <c r="J85" s="2" t="b">
        <f>COUNTIF(MASTER!$L$2:$L$1944,I85)=0</f>
        <v>1</v>
      </c>
    </row>
    <row r="86" spans="6:10" x14ac:dyDescent="0.35">
      <c r="F86" s="2" t="s">
        <v>295</v>
      </c>
      <c r="G86" s="2" t="b">
        <f>COUNTIF(MASTER!$A$2:$A$1944,F86)=0</f>
        <v>1</v>
      </c>
      <c r="H86" s="2"/>
      <c r="I86" s="2" t="s">
        <v>296</v>
      </c>
      <c r="J86" s="2" t="b">
        <f>COUNTIF(MASTER!$L$2:$L$1944,I86)=0</f>
        <v>1</v>
      </c>
    </row>
    <row r="87" spans="6:10" x14ac:dyDescent="0.35">
      <c r="F87" s="2" t="s">
        <v>297</v>
      </c>
      <c r="G87" s="2" t="b">
        <f>COUNTIF(MASTER!$A$2:$A$1944,F87)=0</f>
        <v>1</v>
      </c>
      <c r="H87" s="2"/>
      <c r="I87" s="2" t="s">
        <v>298</v>
      </c>
      <c r="J87" s="2" t="b">
        <f>COUNTIF(MASTER!$L$2:$L$1944,I87)=0</f>
        <v>1</v>
      </c>
    </row>
    <row r="88" spans="6:10" x14ac:dyDescent="0.35">
      <c r="F88" s="2" t="s">
        <v>299</v>
      </c>
      <c r="G88" s="2" t="b">
        <f>COUNTIF(MASTER!$A$2:$A$1944,F88)=0</f>
        <v>1</v>
      </c>
      <c r="H88" s="2"/>
      <c r="I88" s="2" t="s">
        <v>300</v>
      </c>
      <c r="J88" s="2" t="b">
        <f>COUNTIF(MASTER!$L$2:$L$1944,I88)=0</f>
        <v>1</v>
      </c>
    </row>
    <row r="89" spans="6:10" x14ac:dyDescent="0.35">
      <c r="F89" s="2" t="s">
        <v>301</v>
      </c>
      <c r="G89" s="2" t="b">
        <f>COUNTIF(MASTER!$A$2:$A$1944,F89)=0</f>
        <v>1</v>
      </c>
      <c r="H89" s="2"/>
      <c r="I89" s="2" t="s">
        <v>302</v>
      </c>
      <c r="J89" s="2" t="b">
        <f>COUNTIF(MASTER!$L$2:$L$1944,I89)=0</f>
        <v>1</v>
      </c>
    </row>
    <row r="90" spans="6:10" x14ac:dyDescent="0.35">
      <c r="F90" s="2" t="s">
        <v>303</v>
      </c>
      <c r="G90" s="2" t="b">
        <f>COUNTIF(MASTER!$A$2:$A$1944,F90)=0</f>
        <v>1</v>
      </c>
      <c r="H90" s="2"/>
      <c r="I90" s="2" t="s">
        <v>304</v>
      </c>
      <c r="J90" s="2" t="b">
        <f>COUNTIF(MASTER!$L$2:$L$1944,I90)=0</f>
        <v>1</v>
      </c>
    </row>
    <row r="91" spans="6:10" x14ac:dyDescent="0.35">
      <c r="F91" s="2" t="s">
        <v>305</v>
      </c>
      <c r="G91" s="2" t="b">
        <f>COUNTIF(MASTER!$A$2:$A$1944,F91)=0</f>
        <v>1</v>
      </c>
      <c r="H91" s="2"/>
      <c r="I91" s="2" t="s">
        <v>306</v>
      </c>
      <c r="J91" s="2" t="b">
        <f>COUNTIF(MASTER!$L$2:$L$1944,I91)=0</f>
        <v>1</v>
      </c>
    </row>
    <row r="92" spans="6:10" x14ac:dyDescent="0.35">
      <c r="F92" s="2" t="s">
        <v>307</v>
      </c>
      <c r="G92" s="2" t="b">
        <f>COUNTIF(MASTER!$A$2:$A$1944,F92)=0</f>
        <v>1</v>
      </c>
      <c r="H92" s="2"/>
      <c r="I92" s="2" t="s">
        <v>308</v>
      </c>
      <c r="J92" s="2" t="b">
        <f>COUNTIF(MASTER!$L$2:$L$1944,I92)=0</f>
        <v>1</v>
      </c>
    </row>
    <row r="93" spans="6:10" x14ac:dyDescent="0.35">
      <c r="F93" s="2" t="s">
        <v>309</v>
      </c>
      <c r="G93" s="2" t="b">
        <f>COUNTIF(MASTER!$A$2:$A$1944,F93)=0</f>
        <v>1</v>
      </c>
      <c r="H93" s="2"/>
      <c r="I93" s="2" t="s">
        <v>310</v>
      </c>
      <c r="J93" s="2" t="b">
        <f>COUNTIF(MASTER!$L$2:$L$1944,I93)=0</f>
        <v>1</v>
      </c>
    </row>
    <row r="94" spans="6:10" x14ac:dyDescent="0.35">
      <c r="F94" s="2" t="s">
        <v>311</v>
      </c>
      <c r="G94" s="2" t="b">
        <f>COUNTIF(MASTER!$A$2:$A$1944,F94)=0</f>
        <v>1</v>
      </c>
      <c r="H94" s="2"/>
      <c r="I94" s="2" t="s">
        <v>312</v>
      </c>
      <c r="J94" s="2" t="b">
        <f>COUNTIF(MASTER!$L$2:$L$1944,I94)=0</f>
        <v>1</v>
      </c>
    </row>
    <row r="95" spans="6:10" x14ac:dyDescent="0.35">
      <c r="F95" s="2" t="s">
        <v>313</v>
      </c>
      <c r="G95" s="2" t="b">
        <f>COUNTIF(MASTER!$A$2:$A$1944,F95)=0</f>
        <v>1</v>
      </c>
      <c r="H95" s="2"/>
      <c r="I95" s="2" t="s">
        <v>314</v>
      </c>
      <c r="J95" s="2" t="b">
        <f>COUNTIF(MASTER!$L$2:$L$1944,I95)=0</f>
        <v>1</v>
      </c>
    </row>
    <row r="96" spans="6:10" x14ac:dyDescent="0.35">
      <c r="F96" s="2" t="s">
        <v>315</v>
      </c>
      <c r="G96" s="2" t="b">
        <f>COUNTIF(MASTER!$A$2:$A$1944,F96)=0</f>
        <v>1</v>
      </c>
      <c r="H96" s="2"/>
      <c r="I96" s="2" t="s">
        <v>316</v>
      </c>
      <c r="J96" s="2" t="b">
        <f>COUNTIF(MASTER!$L$2:$L$1944,I96)=0</f>
        <v>1</v>
      </c>
    </row>
    <row r="97" spans="6:10" x14ac:dyDescent="0.35">
      <c r="F97" s="2" t="s">
        <v>317</v>
      </c>
      <c r="G97" s="2" t="b">
        <f>COUNTIF(MASTER!$A$2:$A$1944,F97)=0</f>
        <v>1</v>
      </c>
      <c r="H97" s="2"/>
      <c r="I97" s="2" t="s">
        <v>318</v>
      </c>
      <c r="J97" s="2" t="b">
        <f>COUNTIF(MASTER!$L$2:$L$1944,I97)=0</f>
        <v>1</v>
      </c>
    </row>
    <row r="98" spans="6:10" x14ac:dyDescent="0.35">
      <c r="F98" s="2" t="s">
        <v>319</v>
      </c>
      <c r="G98" s="2" t="b">
        <f>COUNTIF(MASTER!$A$2:$A$1944,F98)=0</f>
        <v>1</v>
      </c>
      <c r="H98" s="2"/>
      <c r="I98" s="2" t="s">
        <v>320</v>
      </c>
      <c r="J98" s="2" t="b">
        <f>COUNTIF(MASTER!$L$2:$L$1944,I98)=0</f>
        <v>1</v>
      </c>
    </row>
    <row r="99" spans="6:10" x14ac:dyDescent="0.35">
      <c r="F99" s="2" t="s">
        <v>321</v>
      </c>
      <c r="G99" s="2" t="b">
        <f>COUNTIF(MASTER!$A$2:$A$1944,F99)=0</f>
        <v>1</v>
      </c>
      <c r="H99" s="2"/>
      <c r="I99" s="2" t="s">
        <v>322</v>
      </c>
      <c r="J99" s="2" t="b">
        <f>COUNTIF(MASTER!$L$2:$L$1944,I99)=0</f>
        <v>1</v>
      </c>
    </row>
    <row r="100" spans="6:10" x14ac:dyDescent="0.35">
      <c r="F100" s="2" t="s">
        <v>323</v>
      </c>
      <c r="G100" s="2" t="b">
        <f>COUNTIF(MASTER!$A$2:$A$1944,F100)=0</f>
        <v>1</v>
      </c>
      <c r="H100" s="2"/>
      <c r="I100" s="2" t="s">
        <v>324</v>
      </c>
      <c r="J100" s="2" t="b">
        <f>COUNTIF(MASTER!$L$2:$L$1944,I100)=0</f>
        <v>1</v>
      </c>
    </row>
    <row r="101" spans="6:10" x14ac:dyDescent="0.35">
      <c r="F101" s="2" t="s">
        <v>325</v>
      </c>
      <c r="G101" s="2" t="b">
        <f>COUNTIF(MASTER!$A$2:$A$1944,F101)=0</f>
        <v>1</v>
      </c>
      <c r="H101" s="2"/>
      <c r="I101" s="2" t="s">
        <v>326</v>
      </c>
      <c r="J101" s="2" t="b">
        <f>COUNTIF(MASTER!$L$2:$L$1944,I101)=0</f>
        <v>1</v>
      </c>
    </row>
    <row r="102" spans="6:10" x14ac:dyDescent="0.35">
      <c r="F102" s="2" t="s">
        <v>327</v>
      </c>
      <c r="G102" s="2" t="b">
        <f>COUNTIF(MASTER!$A$2:$A$1944,F102)=0</f>
        <v>1</v>
      </c>
      <c r="H102" s="2"/>
      <c r="I102" s="2" t="s">
        <v>328</v>
      </c>
      <c r="J102" s="2" t="b">
        <f>COUNTIF(MASTER!$L$2:$L$1944,I102)=0</f>
        <v>1</v>
      </c>
    </row>
    <row r="103" spans="6:10" x14ac:dyDescent="0.35">
      <c r="F103" s="2" t="s">
        <v>329</v>
      </c>
      <c r="G103" s="2" t="b">
        <f>COUNTIF(MASTER!$A$2:$A$1944,F103)=0</f>
        <v>1</v>
      </c>
      <c r="H103" s="2"/>
      <c r="I103" s="2" t="s">
        <v>330</v>
      </c>
      <c r="J103" s="2" t="b">
        <f>COUNTIF(MASTER!$L$2:$L$1944,I103)=0</f>
        <v>1</v>
      </c>
    </row>
    <row r="104" spans="6:10" x14ac:dyDescent="0.35">
      <c r="F104" s="2" t="s">
        <v>331</v>
      </c>
      <c r="G104" s="2" t="b">
        <f>COUNTIF(MASTER!$A$2:$A$1944,F104)=0</f>
        <v>1</v>
      </c>
      <c r="H104" s="2"/>
      <c r="I104" s="2" t="s">
        <v>332</v>
      </c>
      <c r="J104" s="2" t="b">
        <f>COUNTIF(MASTER!$L$2:$L$1944,I104)=0</f>
        <v>1</v>
      </c>
    </row>
    <row r="105" spans="6:10" x14ac:dyDescent="0.35">
      <c r="F105" s="2" t="s">
        <v>333</v>
      </c>
      <c r="G105" s="2" t="b">
        <f>COUNTIF(MASTER!$A$2:$A$1944,F105)=0</f>
        <v>1</v>
      </c>
      <c r="H105" s="2"/>
      <c r="I105" s="2" t="s">
        <v>334</v>
      </c>
      <c r="J105" s="2" t="b">
        <f>COUNTIF(MASTER!$L$2:$L$1944,I105)=0</f>
        <v>1</v>
      </c>
    </row>
    <row r="106" spans="6:10" x14ac:dyDescent="0.35">
      <c r="F106" s="2" t="s">
        <v>335</v>
      </c>
      <c r="G106" s="2" t="b">
        <f>COUNTIF(MASTER!$A$2:$A$1944,F106)=0</f>
        <v>1</v>
      </c>
      <c r="H106" s="2"/>
      <c r="I106" s="2" t="s">
        <v>336</v>
      </c>
      <c r="J106" s="2" t="b">
        <f>COUNTIF(MASTER!$L$2:$L$1944,I106)=0</f>
        <v>1</v>
      </c>
    </row>
    <row r="107" spans="6:10" x14ac:dyDescent="0.35">
      <c r="F107" s="2" t="s">
        <v>337</v>
      </c>
      <c r="G107" s="2" t="b">
        <f>COUNTIF(MASTER!$A$2:$A$1944,F107)=0</f>
        <v>1</v>
      </c>
      <c r="H107" s="2"/>
      <c r="I107" s="2" t="s">
        <v>338</v>
      </c>
      <c r="J107" s="2" t="b">
        <f>COUNTIF(MASTER!$L$2:$L$1944,I107)=0</f>
        <v>1</v>
      </c>
    </row>
    <row r="108" spans="6:10" x14ac:dyDescent="0.35">
      <c r="F108" s="2" t="s">
        <v>339</v>
      </c>
      <c r="G108" s="2" t="b">
        <f>COUNTIF(MASTER!$A$2:$A$1944,F108)=0</f>
        <v>1</v>
      </c>
      <c r="H108" s="2"/>
      <c r="I108" s="2" t="s">
        <v>340</v>
      </c>
      <c r="J108" s="2" t="b">
        <f>COUNTIF(MASTER!$L$2:$L$1944,I108)=0</f>
        <v>1</v>
      </c>
    </row>
    <row r="109" spans="6:10" x14ac:dyDescent="0.35">
      <c r="F109" s="2" t="s">
        <v>341</v>
      </c>
      <c r="G109" s="2" t="b">
        <f>COUNTIF(MASTER!$A$2:$A$1944,F109)=0</f>
        <v>1</v>
      </c>
      <c r="H109" s="2"/>
      <c r="I109" s="2" t="s">
        <v>342</v>
      </c>
      <c r="J109" s="2" t="b">
        <f>COUNTIF(MASTER!$L$2:$L$1944,I109)=0</f>
        <v>1</v>
      </c>
    </row>
    <row r="110" spans="6:10" x14ac:dyDescent="0.35">
      <c r="F110" s="2" t="s">
        <v>343</v>
      </c>
      <c r="G110" s="2" t="b">
        <f>COUNTIF(MASTER!$A$2:$A$1944,F110)=0</f>
        <v>1</v>
      </c>
      <c r="H110" s="2"/>
      <c r="I110" s="2" t="s">
        <v>344</v>
      </c>
      <c r="J110" s="2" t="b">
        <f>COUNTIF(MASTER!$L$2:$L$1944,I110)=0</f>
        <v>1</v>
      </c>
    </row>
    <row r="111" spans="6:10" x14ac:dyDescent="0.35">
      <c r="F111" s="2" t="s">
        <v>345</v>
      </c>
      <c r="G111" s="2" t="b">
        <f>COUNTIF(MASTER!$A$2:$A$1944,F111)=0</f>
        <v>1</v>
      </c>
      <c r="H111" s="2"/>
      <c r="I111" s="2" t="s">
        <v>346</v>
      </c>
      <c r="J111" s="2" t="b">
        <f>COUNTIF(MASTER!$L$2:$L$1944,I111)=0</f>
        <v>1</v>
      </c>
    </row>
    <row r="112" spans="6:10" x14ac:dyDescent="0.35">
      <c r="F112" s="2" t="s">
        <v>347</v>
      </c>
      <c r="G112" s="2" t="b">
        <f>COUNTIF(MASTER!$A$2:$A$1944,F112)=0</f>
        <v>1</v>
      </c>
      <c r="H112" s="2"/>
      <c r="I112" s="2" t="s">
        <v>348</v>
      </c>
      <c r="J112" s="2" t="b">
        <f>COUNTIF(MASTER!$L$2:$L$1944,I112)=0</f>
        <v>1</v>
      </c>
    </row>
    <row r="113" spans="6:10" x14ac:dyDescent="0.35">
      <c r="F113" s="2" t="s">
        <v>349</v>
      </c>
      <c r="G113" s="2" t="b">
        <f>COUNTIF(MASTER!$A$2:$A$1944,F113)=0</f>
        <v>1</v>
      </c>
      <c r="H113" s="2"/>
      <c r="I113" s="2" t="s">
        <v>350</v>
      </c>
      <c r="J113" s="2" t="b">
        <f>COUNTIF(MASTER!$L$2:$L$1944,I113)=0</f>
        <v>1</v>
      </c>
    </row>
    <row r="114" spans="6:10" x14ac:dyDescent="0.35">
      <c r="F114" s="2" t="s">
        <v>351</v>
      </c>
      <c r="G114" s="2" t="b">
        <f>COUNTIF(MASTER!$A$2:$A$1944,F114)=0</f>
        <v>1</v>
      </c>
      <c r="H114" s="2"/>
      <c r="I114" s="2" t="s">
        <v>352</v>
      </c>
      <c r="J114" s="2" t="b">
        <f>COUNTIF(MASTER!$L$2:$L$1944,I114)=0</f>
        <v>1</v>
      </c>
    </row>
    <row r="115" spans="6:10" x14ac:dyDescent="0.35">
      <c r="F115" s="2" t="s">
        <v>353</v>
      </c>
      <c r="G115" s="2" t="b">
        <f>COUNTIF(MASTER!$A$2:$A$1944,F115)=0</f>
        <v>1</v>
      </c>
      <c r="H115" s="2"/>
      <c r="I115" s="2" t="s">
        <v>354</v>
      </c>
      <c r="J115" s="2" t="b">
        <f>COUNTIF(MASTER!$L$2:$L$1944,I115)=0</f>
        <v>1</v>
      </c>
    </row>
    <row r="116" spans="6:10" x14ac:dyDescent="0.35">
      <c r="F116" s="2" t="s">
        <v>355</v>
      </c>
      <c r="G116" s="2" t="b">
        <f>COUNTIF(MASTER!$A$2:$A$1944,F116)=0</f>
        <v>1</v>
      </c>
      <c r="H116" s="2"/>
      <c r="I116" s="2" t="s">
        <v>356</v>
      </c>
      <c r="J116" s="2" t="b">
        <f>COUNTIF(MASTER!$L$2:$L$1944,I116)=0</f>
        <v>1</v>
      </c>
    </row>
    <row r="117" spans="6:10" x14ac:dyDescent="0.35">
      <c r="F117" s="2" t="s">
        <v>357</v>
      </c>
      <c r="G117" s="2" t="b">
        <f>COUNTIF(MASTER!$A$2:$A$1944,F117)=0</f>
        <v>1</v>
      </c>
      <c r="H117" s="2"/>
      <c r="I117" s="2" t="s">
        <v>358</v>
      </c>
      <c r="J117" s="2" t="b">
        <f>COUNTIF(MASTER!$L$2:$L$1944,I117)=0</f>
        <v>1</v>
      </c>
    </row>
    <row r="118" spans="6:10" x14ac:dyDescent="0.35">
      <c r="F118" s="2" t="s">
        <v>359</v>
      </c>
      <c r="G118" s="2" t="b">
        <f>COUNTIF(MASTER!$A$2:$A$1944,F118)=0</f>
        <v>1</v>
      </c>
      <c r="H118" s="2"/>
      <c r="I118" s="2" t="s">
        <v>360</v>
      </c>
      <c r="J118" s="2" t="b">
        <f>COUNTIF(MASTER!$L$2:$L$1944,I118)=0</f>
        <v>1</v>
      </c>
    </row>
    <row r="119" spans="6:10" x14ac:dyDescent="0.35">
      <c r="F119" s="2" t="s">
        <v>361</v>
      </c>
      <c r="G119" s="2" t="b">
        <f>COUNTIF(MASTER!$A$2:$A$1944,F119)=0</f>
        <v>1</v>
      </c>
      <c r="H119" s="2"/>
      <c r="I119" s="2" t="s">
        <v>362</v>
      </c>
      <c r="J119" s="2" t="b">
        <f>COUNTIF(MASTER!$L$2:$L$1944,I119)=0</f>
        <v>1</v>
      </c>
    </row>
    <row r="120" spans="6:10" x14ac:dyDescent="0.35">
      <c r="F120" s="2" t="s">
        <v>363</v>
      </c>
      <c r="G120" s="2" t="b">
        <f>COUNTIF(MASTER!$A$2:$A$1944,F120)=0</f>
        <v>1</v>
      </c>
      <c r="H120" s="2"/>
      <c r="I120" s="2" t="s">
        <v>364</v>
      </c>
      <c r="J120" s="2" t="b">
        <f>COUNTIF(MASTER!$L$2:$L$1944,I120)=0</f>
        <v>1</v>
      </c>
    </row>
    <row r="121" spans="6:10" x14ac:dyDescent="0.35">
      <c r="F121" s="2" t="s">
        <v>365</v>
      </c>
      <c r="G121" s="2" t="b">
        <f>COUNTIF(MASTER!$A$2:$A$1944,F121)=0</f>
        <v>1</v>
      </c>
      <c r="H121" s="2"/>
      <c r="I121" s="2" t="s">
        <v>366</v>
      </c>
      <c r="J121" s="2" t="b">
        <f>COUNTIF(MASTER!$L$2:$L$1944,I121)=0</f>
        <v>1</v>
      </c>
    </row>
    <row r="122" spans="6:10" x14ac:dyDescent="0.35">
      <c r="F122" s="2" t="s">
        <v>367</v>
      </c>
      <c r="G122" s="2" t="b">
        <f>COUNTIF(MASTER!$A$2:$A$1944,F122)=0</f>
        <v>1</v>
      </c>
      <c r="H122" s="2"/>
      <c r="I122" s="2" t="s">
        <v>368</v>
      </c>
      <c r="J122" s="2" t="b">
        <f>COUNTIF(MASTER!$L$2:$L$1944,I122)=0</f>
        <v>1</v>
      </c>
    </row>
    <row r="123" spans="6:10" x14ac:dyDescent="0.35">
      <c r="F123" s="2" t="s">
        <v>369</v>
      </c>
      <c r="G123" s="2" t="b">
        <f>COUNTIF(MASTER!$A$2:$A$1944,F123)=0</f>
        <v>1</v>
      </c>
      <c r="H123" s="2"/>
      <c r="I123" s="2" t="s">
        <v>370</v>
      </c>
      <c r="J123" s="2" t="b">
        <f>COUNTIF(MASTER!$L$2:$L$1944,I123)=0</f>
        <v>1</v>
      </c>
    </row>
    <row r="124" spans="6:10" x14ac:dyDescent="0.35">
      <c r="F124" s="2" t="s">
        <v>371</v>
      </c>
      <c r="G124" s="2" t="b">
        <f>COUNTIF(MASTER!$A$2:$A$1944,F124)=0</f>
        <v>1</v>
      </c>
      <c r="H124" s="2"/>
      <c r="I124" s="2" t="s">
        <v>372</v>
      </c>
      <c r="J124" s="2" t="b">
        <f>COUNTIF(MASTER!$L$2:$L$1944,I124)=0</f>
        <v>1</v>
      </c>
    </row>
    <row r="125" spans="6:10" x14ac:dyDescent="0.35">
      <c r="F125" s="2" t="s">
        <v>373</v>
      </c>
      <c r="G125" s="2" t="b">
        <f>COUNTIF(MASTER!$A$2:$A$1944,F125)=0</f>
        <v>1</v>
      </c>
      <c r="H125" s="2"/>
      <c r="I125" s="2" t="s">
        <v>374</v>
      </c>
      <c r="J125" s="2" t="b">
        <f>COUNTIF(MASTER!$L$2:$L$1944,I125)=0</f>
        <v>1</v>
      </c>
    </row>
    <row r="126" spans="6:10" x14ac:dyDescent="0.35">
      <c r="F126" s="2" t="s">
        <v>375</v>
      </c>
      <c r="G126" s="2" t="b">
        <f>COUNTIF(MASTER!$A$2:$A$1944,F126)=0</f>
        <v>1</v>
      </c>
      <c r="H126" s="2"/>
      <c r="I126" s="2" t="s">
        <v>376</v>
      </c>
      <c r="J126" s="2" t="b">
        <f>COUNTIF(MASTER!$L$2:$L$1944,I126)=0</f>
        <v>1</v>
      </c>
    </row>
    <row r="127" spans="6:10" x14ac:dyDescent="0.35">
      <c r="F127" s="2" t="s">
        <v>377</v>
      </c>
      <c r="G127" s="2" t="b">
        <f>COUNTIF(MASTER!$A$2:$A$1944,F127)=0</f>
        <v>1</v>
      </c>
      <c r="H127" s="2"/>
      <c r="I127" s="2" t="s">
        <v>378</v>
      </c>
      <c r="J127" s="2" t="b">
        <f>COUNTIF(MASTER!$L$2:$L$1944,I127)=0</f>
        <v>1</v>
      </c>
    </row>
    <row r="128" spans="6:10" x14ac:dyDescent="0.35">
      <c r="F128" s="2" t="s">
        <v>379</v>
      </c>
      <c r="G128" s="2" t="b">
        <f>COUNTIF(MASTER!$A$2:$A$1944,F128)=0</f>
        <v>1</v>
      </c>
      <c r="H128" s="2"/>
      <c r="I128" s="2" t="s">
        <v>380</v>
      </c>
      <c r="J128" s="2" t="b">
        <f>COUNTIF(MASTER!$L$2:$L$1944,I128)=0</f>
        <v>1</v>
      </c>
    </row>
    <row r="129" spans="6:10" x14ac:dyDescent="0.35">
      <c r="F129" s="2" t="s">
        <v>381</v>
      </c>
      <c r="G129" s="2" t="b">
        <f>COUNTIF(MASTER!$A$2:$A$1944,F129)=0</f>
        <v>1</v>
      </c>
      <c r="H129" s="2"/>
      <c r="I129" s="2" t="s">
        <v>382</v>
      </c>
      <c r="J129" s="2" t="b">
        <f>COUNTIF(MASTER!$L$2:$L$1944,I129)=0</f>
        <v>1</v>
      </c>
    </row>
    <row r="130" spans="6:10" x14ac:dyDescent="0.35">
      <c r="F130" s="2" t="s">
        <v>383</v>
      </c>
      <c r="G130" s="2" t="b">
        <f>COUNTIF(MASTER!$A$2:$A$1944,F130)=0</f>
        <v>1</v>
      </c>
      <c r="H130" s="2"/>
      <c r="I130" s="2" t="s">
        <v>384</v>
      </c>
      <c r="J130" s="2" t="b">
        <f>COUNTIF(MASTER!$L$2:$L$1944,I130)=0</f>
        <v>1</v>
      </c>
    </row>
    <row r="131" spans="6:10" x14ac:dyDescent="0.35">
      <c r="F131" s="2" t="s">
        <v>385</v>
      </c>
      <c r="G131" s="2" t="b">
        <f>COUNTIF(MASTER!$A$2:$A$1944,F131)=0</f>
        <v>1</v>
      </c>
      <c r="H131" s="2"/>
      <c r="I131" s="2" t="s">
        <v>386</v>
      </c>
      <c r="J131" s="2" t="b">
        <f>COUNTIF(MASTER!$L$2:$L$1944,I131)=0</f>
        <v>1</v>
      </c>
    </row>
    <row r="132" spans="6:10" x14ac:dyDescent="0.35">
      <c r="F132" s="2" t="s">
        <v>387</v>
      </c>
      <c r="G132" s="2" t="b">
        <f>COUNTIF(MASTER!$A$2:$A$1944,F132)=0</f>
        <v>1</v>
      </c>
      <c r="H132" s="2"/>
      <c r="I132" s="2" t="s">
        <v>388</v>
      </c>
      <c r="J132" s="2" t="b">
        <f>COUNTIF(MASTER!$L$2:$L$1944,I132)=0</f>
        <v>1</v>
      </c>
    </row>
    <row r="133" spans="6:10" x14ac:dyDescent="0.35">
      <c r="F133" s="2" t="s">
        <v>389</v>
      </c>
      <c r="G133" s="2" t="b">
        <f>COUNTIF(MASTER!$A$2:$A$1944,F133)=0</f>
        <v>1</v>
      </c>
      <c r="H133" s="2"/>
      <c r="I133" s="2" t="s">
        <v>390</v>
      </c>
      <c r="J133" s="2" t="b">
        <f>COUNTIF(MASTER!$L$2:$L$1944,I133)=0</f>
        <v>1</v>
      </c>
    </row>
    <row r="134" spans="6:10" x14ac:dyDescent="0.35">
      <c r="F134" s="2" t="s">
        <v>391</v>
      </c>
      <c r="G134" s="2" t="b">
        <f>COUNTIF(MASTER!$A$2:$A$1944,F134)=0</f>
        <v>1</v>
      </c>
      <c r="H134" s="2"/>
      <c r="I134" s="2" t="s">
        <v>392</v>
      </c>
      <c r="J134" s="2" t="b">
        <f>COUNTIF(MASTER!$L$2:$L$1944,I134)=0</f>
        <v>1</v>
      </c>
    </row>
    <row r="135" spans="6:10" x14ac:dyDescent="0.35">
      <c r="F135" s="2" t="s">
        <v>393</v>
      </c>
      <c r="G135" s="2" t="b">
        <f>COUNTIF(MASTER!$A$2:$A$1944,F135)=0</f>
        <v>1</v>
      </c>
      <c r="H135" s="2"/>
      <c r="I135" s="2" t="s">
        <v>394</v>
      </c>
      <c r="J135" s="2" t="b">
        <f>COUNTIF(MASTER!$L$2:$L$1944,I135)=0</f>
        <v>1</v>
      </c>
    </row>
    <row r="136" spans="6:10" x14ac:dyDescent="0.35">
      <c r="F136" s="2" t="s">
        <v>395</v>
      </c>
      <c r="G136" s="2" t="b">
        <f>COUNTIF(MASTER!$A$2:$A$1944,F136)=0</f>
        <v>1</v>
      </c>
      <c r="H136" s="2"/>
      <c r="I136" s="2" t="s">
        <v>396</v>
      </c>
      <c r="J136" s="2" t="b">
        <f>COUNTIF(MASTER!$L$2:$L$1944,I136)=0</f>
        <v>1</v>
      </c>
    </row>
    <row r="137" spans="6:10" x14ac:dyDescent="0.35">
      <c r="F137" s="2" t="s">
        <v>397</v>
      </c>
      <c r="G137" s="2" t="b">
        <f>COUNTIF(MASTER!$A$2:$A$1944,F137)=0</f>
        <v>1</v>
      </c>
      <c r="H137" s="2"/>
      <c r="I137" s="2" t="s">
        <v>398</v>
      </c>
      <c r="J137" s="2" t="b">
        <f>COUNTIF(MASTER!$L$2:$L$1944,I137)=0</f>
        <v>1</v>
      </c>
    </row>
    <row r="138" spans="6:10" x14ac:dyDescent="0.35">
      <c r="F138" s="2" t="s">
        <v>399</v>
      </c>
      <c r="G138" s="2" t="b">
        <f>COUNTIF(MASTER!$A$2:$A$1944,F138)=0</f>
        <v>1</v>
      </c>
      <c r="H138" s="2"/>
      <c r="I138" s="2" t="s">
        <v>400</v>
      </c>
      <c r="J138" s="2" t="b">
        <f>COUNTIF(MASTER!$L$2:$L$1944,I138)=0</f>
        <v>1</v>
      </c>
    </row>
    <row r="139" spans="6:10" x14ac:dyDescent="0.35">
      <c r="F139" s="2" t="s">
        <v>401</v>
      </c>
      <c r="G139" s="2" t="b">
        <f>COUNTIF(MASTER!$A$2:$A$1944,F139)=0</f>
        <v>1</v>
      </c>
      <c r="H139" s="2"/>
      <c r="I139" s="2" t="s">
        <v>402</v>
      </c>
      <c r="J139" s="2" t="b">
        <f>COUNTIF(MASTER!$L$2:$L$1944,I139)=0</f>
        <v>1</v>
      </c>
    </row>
    <row r="140" spans="6:10" x14ac:dyDescent="0.35">
      <c r="F140" s="2" t="s">
        <v>403</v>
      </c>
      <c r="G140" s="2" t="b">
        <f>COUNTIF(MASTER!$A$2:$A$1944,F140)=0</f>
        <v>1</v>
      </c>
      <c r="H140" s="2"/>
      <c r="I140" s="2" t="s">
        <v>404</v>
      </c>
      <c r="J140" s="2" t="b">
        <f>COUNTIF(MASTER!$L$2:$L$1944,I140)=0</f>
        <v>1</v>
      </c>
    </row>
    <row r="141" spans="6:10" x14ac:dyDescent="0.35">
      <c r="F141" s="2" t="s">
        <v>405</v>
      </c>
      <c r="G141" s="2" t="b">
        <f>COUNTIF(MASTER!$A$2:$A$1944,F141)=0</f>
        <v>1</v>
      </c>
      <c r="H141" s="2"/>
      <c r="I141" s="2" t="s">
        <v>406</v>
      </c>
      <c r="J141" s="2" t="b">
        <f>COUNTIF(MASTER!$L$2:$L$1944,I141)=0</f>
        <v>1</v>
      </c>
    </row>
    <row r="142" spans="6:10" x14ac:dyDescent="0.35">
      <c r="F142" s="2" t="s">
        <v>407</v>
      </c>
      <c r="G142" s="2" t="b">
        <f>COUNTIF(MASTER!$A$2:$A$1944,F142)=0</f>
        <v>1</v>
      </c>
      <c r="H142" s="2"/>
      <c r="I142" s="2" t="s">
        <v>408</v>
      </c>
      <c r="J142" s="2" t="b">
        <f>COUNTIF(MASTER!$L$2:$L$1944,I142)=0</f>
        <v>1</v>
      </c>
    </row>
    <row r="143" spans="6:10" x14ac:dyDescent="0.35">
      <c r="F143" s="2" t="s">
        <v>409</v>
      </c>
      <c r="G143" s="2" t="b">
        <f>COUNTIF(MASTER!$A$2:$A$1944,F143)=0</f>
        <v>1</v>
      </c>
      <c r="H143" s="2"/>
      <c r="I143" s="2" t="s">
        <v>410</v>
      </c>
      <c r="J143" s="2" t="b">
        <f>COUNTIF(MASTER!$L$2:$L$1944,I143)=0</f>
        <v>1</v>
      </c>
    </row>
    <row r="144" spans="6:10" x14ac:dyDescent="0.35">
      <c r="F144" s="2" t="s">
        <v>411</v>
      </c>
      <c r="G144" s="2" t="b">
        <f>COUNTIF(MASTER!$A$2:$A$1944,F144)=0</f>
        <v>1</v>
      </c>
      <c r="H144" s="2"/>
      <c r="I144" s="2" t="s">
        <v>412</v>
      </c>
      <c r="J144" s="2" t="b">
        <f>COUNTIF(MASTER!$L$2:$L$1944,I144)=0</f>
        <v>1</v>
      </c>
    </row>
    <row r="145" spans="6:10" x14ac:dyDescent="0.35">
      <c r="F145" s="2" t="s">
        <v>413</v>
      </c>
      <c r="G145" s="2" t="b">
        <f>COUNTIF(MASTER!$A$2:$A$1944,F145)=0</f>
        <v>1</v>
      </c>
      <c r="H145" s="2"/>
      <c r="I145" s="2" t="s">
        <v>414</v>
      </c>
      <c r="J145" s="2" t="b">
        <f>COUNTIF(MASTER!$L$2:$L$1944,I145)=0</f>
        <v>1</v>
      </c>
    </row>
    <row r="146" spans="6:10" x14ac:dyDescent="0.35">
      <c r="F146" s="2" t="s">
        <v>415</v>
      </c>
      <c r="G146" s="2" t="b">
        <f>COUNTIF(MASTER!$A$2:$A$1944,F146)=0</f>
        <v>1</v>
      </c>
      <c r="H146" s="2"/>
      <c r="I146" s="2" t="s">
        <v>416</v>
      </c>
      <c r="J146" s="2" t="b">
        <f>COUNTIF(MASTER!$L$2:$L$1944,I146)=0</f>
        <v>1</v>
      </c>
    </row>
    <row r="147" spans="6:10" x14ac:dyDescent="0.35">
      <c r="F147" s="2" t="s">
        <v>417</v>
      </c>
      <c r="G147" s="2" t="b">
        <f>COUNTIF(MASTER!$A$2:$A$1944,F147)=0</f>
        <v>1</v>
      </c>
      <c r="H147" s="2"/>
      <c r="I147" s="2" t="s">
        <v>418</v>
      </c>
      <c r="J147" s="2" t="b">
        <f>COUNTIF(MASTER!$L$2:$L$1944,I147)=0</f>
        <v>1</v>
      </c>
    </row>
    <row r="148" spans="6:10" x14ac:dyDescent="0.35">
      <c r="F148" s="2" t="s">
        <v>419</v>
      </c>
      <c r="G148" s="2" t="b">
        <f>COUNTIF(MASTER!$A$2:$A$1944,F148)=0</f>
        <v>1</v>
      </c>
      <c r="H148" s="2"/>
      <c r="I148" s="2" t="s">
        <v>420</v>
      </c>
      <c r="J148" s="2" t="b">
        <f>COUNTIF(MASTER!$L$2:$L$1944,I148)=0</f>
        <v>1</v>
      </c>
    </row>
    <row r="149" spans="6:10" x14ac:dyDescent="0.35">
      <c r="F149" s="2" t="s">
        <v>421</v>
      </c>
      <c r="G149" s="2" t="b">
        <f>COUNTIF(MASTER!$A$2:$A$1944,F149)=0</f>
        <v>1</v>
      </c>
      <c r="H149" s="2"/>
      <c r="I149" s="2" t="s">
        <v>422</v>
      </c>
      <c r="J149" s="2" t="b">
        <f>COUNTIF(MASTER!$L$2:$L$1944,I149)=0</f>
        <v>1</v>
      </c>
    </row>
    <row r="150" spans="6:10" x14ac:dyDescent="0.35">
      <c r="F150" s="2" t="s">
        <v>423</v>
      </c>
      <c r="G150" s="2" t="b">
        <f>COUNTIF(MASTER!$A$2:$A$1944,F150)=0</f>
        <v>1</v>
      </c>
      <c r="H150" s="2"/>
      <c r="I150" s="2" t="s">
        <v>424</v>
      </c>
      <c r="J150" s="2" t="b">
        <f>COUNTIF(MASTER!$L$2:$L$1944,I150)=0</f>
        <v>1</v>
      </c>
    </row>
    <row r="151" spans="6:10" x14ac:dyDescent="0.35">
      <c r="F151" s="2" t="s">
        <v>425</v>
      </c>
      <c r="G151" s="2" t="b">
        <f>COUNTIF(MASTER!$A$2:$A$1944,F151)=0</f>
        <v>1</v>
      </c>
      <c r="H151" s="2"/>
      <c r="I151" s="2" t="s">
        <v>426</v>
      </c>
      <c r="J151" s="2" t="b">
        <f>COUNTIF(MASTER!$L$2:$L$1944,I151)=0</f>
        <v>1</v>
      </c>
    </row>
    <row r="152" spans="6:10" x14ac:dyDescent="0.35">
      <c r="F152" s="2" t="s">
        <v>427</v>
      </c>
      <c r="G152" s="2" t="b">
        <f>COUNTIF(MASTER!$A$2:$A$1944,F152)=0</f>
        <v>1</v>
      </c>
      <c r="H152" s="2"/>
      <c r="I152" s="2" t="s">
        <v>428</v>
      </c>
      <c r="J152" s="2" t="b">
        <f>COUNTIF(MASTER!$L$2:$L$1944,I152)=0</f>
        <v>1</v>
      </c>
    </row>
    <row r="153" spans="6:10" x14ac:dyDescent="0.35">
      <c r="F153" s="2" t="s">
        <v>429</v>
      </c>
      <c r="G153" s="2" t="b">
        <f>COUNTIF(MASTER!$A$2:$A$1944,F153)=0</f>
        <v>1</v>
      </c>
      <c r="H153" s="2"/>
      <c r="I153" s="2" t="s">
        <v>430</v>
      </c>
      <c r="J153" s="2" t="b">
        <f>COUNTIF(MASTER!$L$2:$L$1944,I153)=0</f>
        <v>1</v>
      </c>
    </row>
    <row r="154" spans="6:10" x14ac:dyDescent="0.35">
      <c r="F154" s="2" t="s">
        <v>431</v>
      </c>
      <c r="G154" s="2" t="b">
        <f>COUNTIF(MASTER!$A$2:$A$1944,F154)=0</f>
        <v>1</v>
      </c>
      <c r="H154" s="2"/>
      <c r="I154" s="2" t="s">
        <v>432</v>
      </c>
      <c r="J154" s="2" t="b">
        <f>COUNTIF(MASTER!$L$2:$L$1944,I154)=0</f>
        <v>1</v>
      </c>
    </row>
    <row r="155" spans="6:10" x14ac:dyDescent="0.35">
      <c r="F155" s="2" t="s">
        <v>433</v>
      </c>
      <c r="G155" s="2" t="b">
        <f>COUNTIF(MASTER!$A$2:$A$1944,F155)=0</f>
        <v>1</v>
      </c>
      <c r="H155" s="2"/>
      <c r="I155" s="2" t="s">
        <v>434</v>
      </c>
      <c r="J155" s="2" t="b">
        <f>COUNTIF(MASTER!$L$2:$L$1944,I155)=0</f>
        <v>1</v>
      </c>
    </row>
    <row r="156" spans="6:10" x14ac:dyDescent="0.35">
      <c r="F156" s="2" t="s">
        <v>435</v>
      </c>
      <c r="G156" s="2" t="b">
        <f>COUNTIF(MASTER!$A$2:$A$1944,F156)=0</f>
        <v>1</v>
      </c>
      <c r="H156" s="2"/>
      <c r="I156" s="2" t="s">
        <v>436</v>
      </c>
      <c r="J156" s="2" t="b">
        <f>COUNTIF(MASTER!$L$2:$L$1944,I156)=0</f>
        <v>1</v>
      </c>
    </row>
    <row r="157" spans="6:10" x14ac:dyDescent="0.35">
      <c r="F157" s="2" t="s">
        <v>437</v>
      </c>
      <c r="G157" s="2" t="b">
        <f>COUNTIF(MASTER!$A$2:$A$1944,F157)=0</f>
        <v>1</v>
      </c>
      <c r="H157" s="2"/>
      <c r="I157" s="2" t="s">
        <v>438</v>
      </c>
      <c r="J157" s="2" t="b">
        <f>COUNTIF(MASTER!$L$2:$L$1944,I157)=0</f>
        <v>1</v>
      </c>
    </row>
    <row r="158" spans="6:10" x14ac:dyDescent="0.35">
      <c r="F158" s="2" t="s">
        <v>439</v>
      </c>
      <c r="G158" s="2" t="b">
        <f>COUNTIF(MASTER!$A$2:$A$1944,F158)=0</f>
        <v>1</v>
      </c>
      <c r="H158" s="2"/>
      <c r="I158" s="2" t="s">
        <v>440</v>
      </c>
      <c r="J158" s="2" t="b">
        <f>COUNTIF(MASTER!$L$2:$L$1944,I158)=0</f>
        <v>1</v>
      </c>
    </row>
    <row r="159" spans="6:10" x14ac:dyDescent="0.35">
      <c r="F159" s="2" t="s">
        <v>441</v>
      </c>
      <c r="G159" s="2" t="b">
        <f>COUNTIF(MASTER!$A$2:$A$1944,F159)=0</f>
        <v>1</v>
      </c>
      <c r="H159" s="2"/>
      <c r="I159" s="2" t="s">
        <v>442</v>
      </c>
      <c r="J159" s="2" t="b">
        <f>COUNTIF(MASTER!$L$2:$L$1944,I159)=0</f>
        <v>1</v>
      </c>
    </row>
    <row r="160" spans="6:10" x14ac:dyDescent="0.35">
      <c r="F160" s="2" t="s">
        <v>443</v>
      </c>
      <c r="G160" s="2" t="b">
        <f>COUNTIF(MASTER!$A$2:$A$1944,F160)=0</f>
        <v>1</v>
      </c>
      <c r="H160" s="2"/>
      <c r="I160" s="2" t="s">
        <v>444</v>
      </c>
      <c r="J160" s="2" t="b">
        <f>COUNTIF(MASTER!$L$2:$L$1944,I160)=0</f>
        <v>1</v>
      </c>
    </row>
    <row r="161" spans="6:10" x14ac:dyDescent="0.35">
      <c r="F161" s="2" t="s">
        <v>445</v>
      </c>
      <c r="G161" s="2" t="b">
        <f>COUNTIF(MASTER!$A$2:$A$1944,F161)=0</f>
        <v>1</v>
      </c>
      <c r="H161" s="2"/>
      <c r="I161" s="2" t="s">
        <v>446</v>
      </c>
      <c r="J161" s="2" t="b">
        <f>COUNTIF(MASTER!$L$2:$L$1944,I161)=0</f>
        <v>1</v>
      </c>
    </row>
    <row r="162" spans="6:10" x14ac:dyDescent="0.35">
      <c r="F162" s="2" t="s">
        <v>447</v>
      </c>
      <c r="G162" s="2" t="b">
        <f>COUNTIF(MASTER!$A$2:$A$1944,F162)=0</f>
        <v>1</v>
      </c>
      <c r="H162" s="2"/>
      <c r="I162" s="2" t="s">
        <v>448</v>
      </c>
      <c r="J162" s="2" t="b">
        <f>COUNTIF(MASTER!$L$2:$L$1944,I162)=0</f>
        <v>1</v>
      </c>
    </row>
    <row r="163" spans="6:10" x14ac:dyDescent="0.35">
      <c r="F163" s="2" t="s">
        <v>449</v>
      </c>
      <c r="G163" s="2" t="b">
        <f>COUNTIF(MASTER!$A$2:$A$1944,F163)=0</f>
        <v>1</v>
      </c>
      <c r="H163" s="2"/>
      <c r="I163" s="2" t="s">
        <v>450</v>
      </c>
      <c r="J163" s="2" t="b">
        <f>COUNTIF(MASTER!$L$2:$L$1944,I163)=0</f>
        <v>1</v>
      </c>
    </row>
    <row r="164" spans="6:10" x14ac:dyDescent="0.35">
      <c r="F164" s="2" t="s">
        <v>451</v>
      </c>
      <c r="G164" s="2" t="b">
        <f>COUNTIF(MASTER!$A$2:$A$1944,F164)=0</f>
        <v>1</v>
      </c>
      <c r="H164" s="2"/>
      <c r="I164" s="2" t="s">
        <v>452</v>
      </c>
      <c r="J164" s="2" t="b">
        <f>COUNTIF(MASTER!$L$2:$L$1944,I164)=0</f>
        <v>1</v>
      </c>
    </row>
    <row r="165" spans="6:10" x14ac:dyDescent="0.35">
      <c r="F165" s="2" t="s">
        <v>453</v>
      </c>
      <c r="G165" s="2" t="b">
        <f>COUNTIF(MASTER!$A$2:$A$1944,F165)=0</f>
        <v>1</v>
      </c>
      <c r="H165" s="2"/>
      <c r="I165" s="2" t="s">
        <v>454</v>
      </c>
      <c r="J165" s="2" t="b">
        <f>COUNTIF(MASTER!$L$2:$L$1944,I165)=0</f>
        <v>1</v>
      </c>
    </row>
    <row r="166" spans="6:10" x14ac:dyDescent="0.35">
      <c r="F166" s="2" t="s">
        <v>455</v>
      </c>
      <c r="G166" s="2" t="b">
        <f>COUNTIF(MASTER!$A$2:$A$1944,F166)=0</f>
        <v>1</v>
      </c>
      <c r="H166" s="2"/>
      <c r="I166" s="2" t="s">
        <v>456</v>
      </c>
      <c r="J166" s="2" t="b">
        <f>COUNTIF(MASTER!$L$2:$L$1944,I166)=0</f>
        <v>1</v>
      </c>
    </row>
    <row r="167" spans="6:10" x14ac:dyDescent="0.35">
      <c r="F167" s="2" t="s">
        <v>457</v>
      </c>
      <c r="G167" s="2" t="b">
        <f>COUNTIF(MASTER!$A$2:$A$1944,F167)=0</f>
        <v>1</v>
      </c>
      <c r="H167" s="2"/>
      <c r="I167" s="2" t="s">
        <v>458</v>
      </c>
      <c r="J167" s="2" t="b">
        <f>COUNTIF(MASTER!$L$2:$L$1944,I167)=0</f>
        <v>1</v>
      </c>
    </row>
    <row r="168" spans="6:10" x14ac:dyDescent="0.35">
      <c r="F168" s="2" t="s">
        <v>459</v>
      </c>
      <c r="G168" s="2" t="b">
        <f>COUNTIF(MASTER!$A$2:$A$1944,F168)=0</f>
        <v>1</v>
      </c>
      <c r="H168" s="2"/>
      <c r="I168" s="2" t="s">
        <v>460</v>
      </c>
      <c r="J168" s="2" t="b">
        <f>COUNTIF(MASTER!$L$2:$L$1944,I168)=0</f>
        <v>1</v>
      </c>
    </row>
    <row r="169" spans="6:10" x14ac:dyDescent="0.35">
      <c r="F169" s="2" t="s">
        <v>461</v>
      </c>
      <c r="G169" s="2" t="b">
        <f>COUNTIF(MASTER!$A$2:$A$1944,F169)=0</f>
        <v>1</v>
      </c>
      <c r="H169" s="2"/>
      <c r="I169" s="2" t="s">
        <v>462</v>
      </c>
      <c r="J169" s="2" t="b">
        <f>COUNTIF(MASTER!$L$2:$L$1944,I169)=0</f>
        <v>1</v>
      </c>
    </row>
    <row r="170" spans="6:10" x14ac:dyDescent="0.35">
      <c r="F170" s="2" t="s">
        <v>463</v>
      </c>
      <c r="G170" s="2" t="b">
        <f>COUNTIF(MASTER!$A$2:$A$1944,F170)=0</f>
        <v>1</v>
      </c>
      <c r="H170" s="2"/>
      <c r="I170" s="2" t="s">
        <v>464</v>
      </c>
      <c r="J170" s="2" t="b">
        <f>COUNTIF(MASTER!$L$2:$L$1944,I170)=0</f>
        <v>1</v>
      </c>
    </row>
    <row r="171" spans="6:10" x14ac:dyDescent="0.35">
      <c r="F171" s="2" t="s">
        <v>465</v>
      </c>
      <c r="G171" s="2" t="b">
        <f>COUNTIF(MASTER!$A$2:$A$1944,F171)=0</f>
        <v>1</v>
      </c>
      <c r="H171" s="2"/>
      <c r="I171" s="2" t="s">
        <v>466</v>
      </c>
      <c r="J171" s="2" t="b">
        <f>COUNTIF(MASTER!$L$2:$L$1944,I171)=0</f>
        <v>1</v>
      </c>
    </row>
    <row r="172" spans="6:10" x14ac:dyDescent="0.35">
      <c r="F172" s="2" t="s">
        <v>467</v>
      </c>
      <c r="G172" s="2" t="b">
        <f>COUNTIF(MASTER!$A$2:$A$1944,F172)=0</f>
        <v>1</v>
      </c>
      <c r="H172" s="2"/>
      <c r="I172" s="2" t="s">
        <v>468</v>
      </c>
      <c r="J172" s="2" t="b">
        <f>COUNTIF(MASTER!$L$2:$L$1944,I172)=0</f>
        <v>1</v>
      </c>
    </row>
    <row r="173" spans="6:10" x14ac:dyDescent="0.35">
      <c r="F173" s="2" t="s">
        <v>469</v>
      </c>
      <c r="G173" s="2" t="b">
        <f>COUNTIF(MASTER!$A$2:$A$1944,F173)=0</f>
        <v>1</v>
      </c>
      <c r="H173" s="2"/>
      <c r="I173" s="2" t="s">
        <v>470</v>
      </c>
      <c r="J173" s="2" t="b">
        <f>COUNTIF(MASTER!$L$2:$L$1944,I173)=0</f>
        <v>1</v>
      </c>
    </row>
    <row r="174" spans="6:10" x14ac:dyDescent="0.35">
      <c r="F174" s="2" t="s">
        <v>471</v>
      </c>
      <c r="G174" s="2" t="b">
        <f>COUNTIF(MASTER!$A$2:$A$1944,F174)=0</f>
        <v>1</v>
      </c>
      <c r="H174" s="2"/>
      <c r="I174" s="2" t="s">
        <v>472</v>
      </c>
      <c r="J174" s="2" t="b">
        <f>COUNTIF(MASTER!$L$2:$L$1944,I174)=0</f>
        <v>1</v>
      </c>
    </row>
    <row r="175" spans="6:10" x14ac:dyDescent="0.35">
      <c r="F175" s="2" t="s">
        <v>473</v>
      </c>
      <c r="G175" s="2" t="b">
        <f>COUNTIF(MASTER!$A$2:$A$1944,F175)=0</f>
        <v>1</v>
      </c>
      <c r="H175" s="2"/>
      <c r="I175" s="2" t="s">
        <v>474</v>
      </c>
      <c r="J175" s="2" t="b">
        <f>COUNTIF(MASTER!$L$2:$L$1944,I175)=0</f>
        <v>1</v>
      </c>
    </row>
    <row r="176" spans="6:10" x14ac:dyDescent="0.35">
      <c r="F176" s="2" t="s">
        <v>475</v>
      </c>
      <c r="G176" s="2" t="b">
        <f>COUNTIF(MASTER!$A$2:$A$1944,F176)=0</f>
        <v>1</v>
      </c>
      <c r="H176" s="2"/>
      <c r="I176" s="2" t="s">
        <v>476</v>
      </c>
      <c r="J176" s="2" t="b">
        <f>COUNTIF(MASTER!$L$2:$L$1944,I176)=0</f>
        <v>1</v>
      </c>
    </row>
    <row r="177" spans="6:10" x14ac:dyDescent="0.35">
      <c r="F177" s="2" t="s">
        <v>477</v>
      </c>
      <c r="G177" s="2" t="b">
        <f>COUNTIF(MASTER!$A$2:$A$1944,F177)=0</f>
        <v>1</v>
      </c>
      <c r="H177" s="2"/>
      <c r="I177" s="2" t="s">
        <v>478</v>
      </c>
      <c r="J177" s="2" t="b">
        <f>COUNTIF(MASTER!$L$2:$L$1944,I177)=0</f>
        <v>1</v>
      </c>
    </row>
    <row r="178" spans="6:10" x14ac:dyDescent="0.35">
      <c r="F178" s="2" t="s">
        <v>479</v>
      </c>
      <c r="G178" s="2" t="b">
        <f>COUNTIF(MASTER!$A$2:$A$1944,F178)=0</f>
        <v>1</v>
      </c>
      <c r="H178" s="2"/>
      <c r="I178" s="2" t="s">
        <v>480</v>
      </c>
      <c r="J178" s="2" t="b">
        <f>COUNTIF(MASTER!$L$2:$L$1944,I178)=0</f>
        <v>1</v>
      </c>
    </row>
    <row r="179" spans="6:10" x14ac:dyDescent="0.35">
      <c r="F179" s="2" t="s">
        <v>481</v>
      </c>
      <c r="G179" s="2" t="b">
        <f>COUNTIF(MASTER!$A$2:$A$1944,F179)=0</f>
        <v>1</v>
      </c>
      <c r="H179" s="2"/>
      <c r="I179" s="2" t="s">
        <v>482</v>
      </c>
      <c r="J179" s="2" t="b">
        <f>COUNTIF(MASTER!$L$2:$L$1944,I179)=0</f>
        <v>1</v>
      </c>
    </row>
    <row r="180" spans="6:10" x14ac:dyDescent="0.35">
      <c r="F180" s="2" t="s">
        <v>483</v>
      </c>
      <c r="G180" s="2" t="b">
        <f>COUNTIF(MASTER!$A$2:$A$1944,F180)=0</f>
        <v>1</v>
      </c>
      <c r="H180" s="2"/>
      <c r="I180" s="2" t="s">
        <v>484</v>
      </c>
      <c r="J180" s="2" t="b">
        <f>COUNTIF(MASTER!$L$2:$L$1944,I180)=0</f>
        <v>1</v>
      </c>
    </row>
    <row r="181" spans="6:10" x14ac:dyDescent="0.35">
      <c r="F181" s="2" t="s">
        <v>485</v>
      </c>
      <c r="G181" s="2" t="b">
        <f>COUNTIF(MASTER!$A$2:$A$1944,F181)=0</f>
        <v>1</v>
      </c>
      <c r="H181" s="2"/>
      <c r="I181" s="2" t="s">
        <v>486</v>
      </c>
      <c r="J181" s="2" t="b">
        <f>COUNTIF(MASTER!$L$2:$L$1944,I181)=0</f>
        <v>1</v>
      </c>
    </row>
    <row r="182" spans="6:10" x14ac:dyDescent="0.35">
      <c r="F182" s="2" t="s">
        <v>487</v>
      </c>
      <c r="G182" s="2" t="b">
        <f>COUNTIF(MASTER!$A$2:$A$1944,F182)=0</f>
        <v>1</v>
      </c>
      <c r="H182" s="2"/>
      <c r="I182" s="2" t="s">
        <v>488</v>
      </c>
      <c r="J182" s="2" t="b">
        <f>COUNTIF(MASTER!$L$2:$L$1944,I182)=0</f>
        <v>1</v>
      </c>
    </row>
    <row r="183" spans="6:10" x14ac:dyDescent="0.35">
      <c r="F183" s="2" t="s">
        <v>489</v>
      </c>
      <c r="G183" s="2" t="b">
        <f>COUNTIF(MASTER!$A$2:$A$1944,F183)=0</f>
        <v>1</v>
      </c>
      <c r="H183" s="2"/>
      <c r="I183" s="2" t="s">
        <v>490</v>
      </c>
      <c r="J183" s="2" t="b">
        <f>COUNTIF(MASTER!$L$2:$L$1944,I183)=0</f>
        <v>1</v>
      </c>
    </row>
    <row r="184" spans="6:10" x14ac:dyDescent="0.35">
      <c r="F184" s="2" t="s">
        <v>491</v>
      </c>
      <c r="G184" s="2" t="b">
        <f>COUNTIF(MASTER!$A$2:$A$1944,F184)=0</f>
        <v>1</v>
      </c>
      <c r="H184" s="2"/>
      <c r="I184" s="2" t="s">
        <v>492</v>
      </c>
      <c r="J184" s="2" t="b">
        <f>COUNTIF(MASTER!$L$2:$L$1944,I184)=0</f>
        <v>1</v>
      </c>
    </row>
    <row r="185" spans="6:10" x14ac:dyDescent="0.35">
      <c r="F185" s="2" t="s">
        <v>493</v>
      </c>
      <c r="G185" s="2" t="b">
        <f>COUNTIF(MASTER!$A$2:$A$1944,F185)=0</f>
        <v>1</v>
      </c>
      <c r="H185" s="2"/>
      <c r="I185" s="2" t="s">
        <v>494</v>
      </c>
      <c r="J185" s="2" t="b">
        <f>COUNTIF(MASTER!$L$2:$L$1944,I185)=0</f>
        <v>1</v>
      </c>
    </row>
    <row r="186" spans="6:10" x14ac:dyDescent="0.35">
      <c r="F186" s="2" t="s">
        <v>495</v>
      </c>
      <c r="G186" s="2" t="b">
        <f>COUNTIF(MASTER!$A$2:$A$1944,F186)=0</f>
        <v>1</v>
      </c>
      <c r="H186" s="2"/>
      <c r="I186" s="2" t="s">
        <v>496</v>
      </c>
      <c r="J186" s="2" t="b">
        <f>COUNTIF(MASTER!$L$2:$L$1944,I186)=0</f>
        <v>1</v>
      </c>
    </row>
    <row r="187" spans="6:10" x14ac:dyDescent="0.35">
      <c r="F187" s="2" t="s">
        <v>497</v>
      </c>
      <c r="G187" s="2" t="b">
        <f>COUNTIF(MASTER!$A$2:$A$1944,F187)=0</f>
        <v>1</v>
      </c>
      <c r="H187" s="2"/>
      <c r="I187" s="2" t="s">
        <v>498</v>
      </c>
      <c r="J187" s="2" t="b">
        <f>COUNTIF(MASTER!$L$2:$L$1944,I187)=0</f>
        <v>1</v>
      </c>
    </row>
    <row r="188" spans="6:10" x14ac:dyDescent="0.35">
      <c r="F188" s="2" t="s">
        <v>499</v>
      </c>
      <c r="G188" s="2" t="b">
        <f>COUNTIF(MASTER!$A$2:$A$1944,F188)=0</f>
        <v>1</v>
      </c>
      <c r="H188" s="2"/>
      <c r="I188" s="2" t="s">
        <v>500</v>
      </c>
      <c r="J188" s="2" t="b">
        <f>COUNTIF(MASTER!$L$2:$L$1944,I188)=0</f>
        <v>1</v>
      </c>
    </row>
    <row r="189" spans="6:10" x14ac:dyDescent="0.35">
      <c r="F189" s="2" t="s">
        <v>501</v>
      </c>
      <c r="G189" s="2" t="b">
        <f>COUNTIF(MASTER!$A$2:$A$1944,F189)=0</f>
        <v>1</v>
      </c>
      <c r="H189" s="2"/>
      <c r="I189" s="2" t="s">
        <v>502</v>
      </c>
      <c r="J189" s="2" t="b">
        <f>COUNTIF(MASTER!$L$2:$L$1944,I189)=0</f>
        <v>1</v>
      </c>
    </row>
    <row r="190" spans="6:10" x14ac:dyDescent="0.35">
      <c r="F190" s="2" t="s">
        <v>503</v>
      </c>
      <c r="G190" s="2" t="b">
        <f>COUNTIF(MASTER!$A$2:$A$1944,F190)=0</f>
        <v>1</v>
      </c>
      <c r="H190" s="2"/>
      <c r="I190" s="2" t="s">
        <v>504</v>
      </c>
      <c r="J190" s="2" t="b">
        <f>COUNTIF(MASTER!$L$2:$L$1944,I190)=0</f>
        <v>1</v>
      </c>
    </row>
    <row r="191" spans="6:10" x14ac:dyDescent="0.35">
      <c r="F191" s="2" t="s">
        <v>505</v>
      </c>
      <c r="G191" s="2" t="b">
        <f>COUNTIF(MASTER!$A$2:$A$1944,F191)=0</f>
        <v>1</v>
      </c>
      <c r="H191" s="2"/>
      <c r="I191" s="2" t="s">
        <v>506</v>
      </c>
      <c r="J191" s="2" t="b">
        <f>COUNTIF(MASTER!$L$2:$L$1944,I191)=0</f>
        <v>1</v>
      </c>
    </row>
    <row r="192" spans="6:10" x14ac:dyDescent="0.35">
      <c r="F192" s="2" t="s">
        <v>507</v>
      </c>
      <c r="G192" s="2" t="b">
        <f>COUNTIF(MASTER!$A$2:$A$1944,F192)=0</f>
        <v>1</v>
      </c>
      <c r="H192" s="2"/>
      <c r="I192" s="2" t="s">
        <v>508</v>
      </c>
      <c r="J192" s="2" t="b">
        <f>COUNTIF(MASTER!$L$2:$L$1944,I192)=0</f>
        <v>1</v>
      </c>
    </row>
    <row r="193" spans="6:10" x14ac:dyDescent="0.35">
      <c r="F193" s="2" t="s">
        <v>509</v>
      </c>
      <c r="G193" s="2" t="b">
        <f>COUNTIF(MASTER!$A$2:$A$1944,F193)=0</f>
        <v>1</v>
      </c>
      <c r="H193" s="2"/>
      <c r="I193" s="2" t="s">
        <v>510</v>
      </c>
      <c r="J193" s="2" t="b">
        <f>COUNTIF(MASTER!$L$2:$L$1944,I193)=0</f>
        <v>1</v>
      </c>
    </row>
    <row r="194" spans="6:10" x14ac:dyDescent="0.35">
      <c r="F194" s="2" t="s">
        <v>511</v>
      </c>
      <c r="G194" s="2" t="b">
        <f>COUNTIF(MASTER!$A$2:$A$1944,F194)=0</f>
        <v>1</v>
      </c>
      <c r="H194" s="2"/>
      <c r="I194" s="2" t="s">
        <v>512</v>
      </c>
      <c r="J194" s="2" t="b">
        <f>COUNTIF(MASTER!$L$2:$L$1944,I194)=0</f>
        <v>1</v>
      </c>
    </row>
    <row r="195" spans="6:10" x14ac:dyDescent="0.35">
      <c r="F195" s="2" t="s">
        <v>513</v>
      </c>
      <c r="G195" s="2" t="b">
        <f>COUNTIF(MASTER!$A$2:$A$1944,F195)=0</f>
        <v>1</v>
      </c>
      <c r="H195" s="2"/>
      <c r="I195" s="2" t="s">
        <v>514</v>
      </c>
      <c r="J195" s="2" t="b">
        <f>COUNTIF(MASTER!$L$2:$L$1944,I195)=0</f>
        <v>1</v>
      </c>
    </row>
    <row r="196" spans="6:10" x14ac:dyDescent="0.35">
      <c r="F196" s="2" t="s">
        <v>515</v>
      </c>
      <c r="G196" s="2" t="b">
        <f>COUNTIF(MASTER!$A$2:$A$1944,F196)=0</f>
        <v>1</v>
      </c>
      <c r="H196" s="2"/>
      <c r="I196" s="2" t="s">
        <v>516</v>
      </c>
      <c r="J196" s="2" t="b">
        <f>COUNTIF(MASTER!$L$2:$L$1944,I196)=0</f>
        <v>1</v>
      </c>
    </row>
    <row r="197" spans="6:10" x14ac:dyDescent="0.35">
      <c r="F197" s="2" t="s">
        <v>517</v>
      </c>
      <c r="G197" s="2" t="b">
        <f>COUNTIF(MASTER!$A$2:$A$1944,F197)=0</f>
        <v>1</v>
      </c>
      <c r="H197" s="2"/>
      <c r="I197" s="2" t="s">
        <v>518</v>
      </c>
      <c r="J197" s="2" t="b">
        <f>COUNTIF(MASTER!$L$2:$L$1944,I197)=0</f>
        <v>1</v>
      </c>
    </row>
    <row r="198" spans="6:10" x14ac:dyDescent="0.35">
      <c r="F198" s="2" t="s">
        <v>519</v>
      </c>
      <c r="G198" s="2" t="b">
        <f>COUNTIF(MASTER!$A$2:$A$1944,F198)=0</f>
        <v>1</v>
      </c>
      <c r="H198" s="2"/>
      <c r="I198" s="2" t="s">
        <v>520</v>
      </c>
      <c r="J198" s="2" t="b">
        <f>COUNTIF(MASTER!$L$2:$L$1944,I198)=0</f>
        <v>1</v>
      </c>
    </row>
    <row r="199" spans="6:10" x14ac:dyDescent="0.35">
      <c r="F199" s="2" t="s">
        <v>521</v>
      </c>
      <c r="G199" s="2" t="b">
        <f>COUNTIF(MASTER!$A$2:$A$1944,F199)=0</f>
        <v>1</v>
      </c>
      <c r="H199" s="2"/>
      <c r="I199" s="2" t="s">
        <v>522</v>
      </c>
      <c r="J199" s="2" t="b">
        <f>COUNTIF(MASTER!$L$2:$L$1944,I199)=0</f>
        <v>1</v>
      </c>
    </row>
    <row r="200" spans="6:10" x14ac:dyDescent="0.35">
      <c r="F200" s="2" t="s">
        <v>523</v>
      </c>
      <c r="G200" s="2" t="b">
        <f>COUNTIF(MASTER!$A$2:$A$1944,F200)=0</f>
        <v>1</v>
      </c>
      <c r="H200" s="2"/>
      <c r="I200" s="2" t="s">
        <v>524</v>
      </c>
      <c r="J200" s="2" t="b">
        <f>COUNTIF(MASTER!$L$2:$L$1944,I200)=0</f>
        <v>1</v>
      </c>
    </row>
    <row r="201" spans="6:10" x14ac:dyDescent="0.35">
      <c r="F201" s="2" t="s">
        <v>525</v>
      </c>
      <c r="G201" s="2" t="b">
        <f>COUNTIF(MASTER!$A$2:$A$1944,F201)=0</f>
        <v>1</v>
      </c>
      <c r="H201" s="2"/>
      <c r="I201" s="2" t="s">
        <v>526</v>
      </c>
      <c r="J201" s="2" t="b">
        <f>COUNTIF(MASTER!$L$2:$L$1944,I201)=0</f>
        <v>1</v>
      </c>
    </row>
    <row r="202" spans="6:10" x14ac:dyDescent="0.35">
      <c r="F202" s="2" t="s">
        <v>527</v>
      </c>
      <c r="G202" s="2" t="b">
        <f>COUNTIF(MASTER!$A$2:$A$1944,F202)=0</f>
        <v>1</v>
      </c>
      <c r="H202" s="2"/>
      <c r="I202" s="2" t="s">
        <v>528</v>
      </c>
      <c r="J202" s="2" t="b">
        <f>COUNTIF(MASTER!$L$2:$L$1944,I202)=0</f>
        <v>1</v>
      </c>
    </row>
    <row r="203" spans="6:10" x14ac:dyDescent="0.35">
      <c r="F203" s="2" t="s">
        <v>529</v>
      </c>
      <c r="G203" s="2" t="b">
        <f>COUNTIF(MASTER!$A$2:$A$1944,F203)=0</f>
        <v>1</v>
      </c>
      <c r="H203" s="2"/>
      <c r="I203" s="2" t="s">
        <v>530</v>
      </c>
      <c r="J203" s="2" t="b">
        <f>COUNTIF(MASTER!$L$2:$L$1944,I203)=0</f>
        <v>1</v>
      </c>
    </row>
    <row r="204" spans="6:10" x14ac:dyDescent="0.35">
      <c r="F204" s="2" t="s">
        <v>531</v>
      </c>
      <c r="G204" s="2" t="b">
        <f>COUNTIF(MASTER!$A$2:$A$1944,F204)=0</f>
        <v>1</v>
      </c>
      <c r="H204" s="2"/>
      <c r="I204" s="2" t="s">
        <v>532</v>
      </c>
      <c r="J204" s="2" t="b">
        <f>COUNTIF(MASTER!$L$2:$L$1944,I204)=0</f>
        <v>1</v>
      </c>
    </row>
    <row r="205" spans="6:10" x14ac:dyDescent="0.35">
      <c r="F205" s="2" t="s">
        <v>533</v>
      </c>
      <c r="G205" s="2" t="b">
        <f>COUNTIF(MASTER!$A$2:$A$1944,F205)=0</f>
        <v>1</v>
      </c>
      <c r="H205" s="2"/>
      <c r="I205" s="2" t="s">
        <v>534</v>
      </c>
      <c r="J205" s="2" t="b">
        <f>COUNTIF(MASTER!$L$2:$L$1944,I205)=0</f>
        <v>1</v>
      </c>
    </row>
    <row r="206" spans="6:10" x14ac:dyDescent="0.35">
      <c r="F206" s="2" t="s">
        <v>535</v>
      </c>
      <c r="G206" s="2" t="b">
        <f>COUNTIF(MASTER!$A$2:$A$1944,F206)=0</f>
        <v>1</v>
      </c>
      <c r="H206" s="2"/>
      <c r="I206" s="2" t="s">
        <v>536</v>
      </c>
      <c r="J206" s="2" t="b">
        <f>COUNTIF(MASTER!$L$2:$L$1944,I206)=0</f>
        <v>1</v>
      </c>
    </row>
    <row r="207" spans="6:10" x14ac:dyDescent="0.35">
      <c r="F207" s="2" t="s">
        <v>537</v>
      </c>
      <c r="G207" s="2" t="b">
        <f>COUNTIF(MASTER!$A$2:$A$1944,F207)=0</f>
        <v>1</v>
      </c>
      <c r="H207" s="2"/>
      <c r="I207" s="2" t="s">
        <v>538</v>
      </c>
      <c r="J207" s="2" t="b">
        <f>COUNTIF(MASTER!$L$2:$L$1944,I207)=0</f>
        <v>1</v>
      </c>
    </row>
    <row r="208" spans="6:10" x14ac:dyDescent="0.35">
      <c r="F208" s="2" t="s">
        <v>539</v>
      </c>
      <c r="G208" s="2" t="b">
        <f>COUNTIF(MASTER!$A$2:$A$1944,F208)=0</f>
        <v>1</v>
      </c>
      <c r="H208" s="2"/>
      <c r="I208" s="2" t="s">
        <v>540</v>
      </c>
      <c r="J208" s="2" t="b">
        <f>COUNTIF(MASTER!$L$2:$L$1944,I208)=0</f>
        <v>1</v>
      </c>
    </row>
    <row r="209" spans="6:10" x14ac:dyDescent="0.35">
      <c r="F209" s="2" t="s">
        <v>541</v>
      </c>
      <c r="G209" s="2" t="b">
        <f>COUNTIF(MASTER!$A$2:$A$1944,F209)=0</f>
        <v>1</v>
      </c>
      <c r="H209" s="2"/>
      <c r="I209" s="2" t="s">
        <v>542</v>
      </c>
      <c r="J209" s="2" t="b">
        <f>COUNTIF(MASTER!$L$2:$L$1944,I209)=0</f>
        <v>1</v>
      </c>
    </row>
    <row r="210" spans="6:10" x14ac:dyDescent="0.35">
      <c r="F210" s="2" t="s">
        <v>543</v>
      </c>
      <c r="G210" s="2" t="b">
        <f>COUNTIF(MASTER!$A$2:$A$1944,F210)=0</f>
        <v>1</v>
      </c>
      <c r="H210" s="2"/>
      <c r="I210" s="2" t="s">
        <v>544</v>
      </c>
      <c r="J210" s="2" t="b">
        <f>COUNTIF(MASTER!$L$2:$L$1944,I210)=0</f>
        <v>1</v>
      </c>
    </row>
    <row r="211" spans="6:10" x14ac:dyDescent="0.35">
      <c r="F211" s="2" t="s">
        <v>545</v>
      </c>
      <c r="G211" s="2" t="b">
        <f>COUNTIF(MASTER!$A$2:$A$1944,F211)=0</f>
        <v>1</v>
      </c>
      <c r="H211" s="2"/>
      <c r="I211" s="2" t="s">
        <v>546</v>
      </c>
      <c r="J211" s="2" t="b">
        <f>COUNTIF(MASTER!$L$2:$L$1944,I211)=0</f>
        <v>1</v>
      </c>
    </row>
    <row r="212" spans="6:10" x14ac:dyDescent="0.35">
      <c r="F212" s="2" t="s">
        <v>547</v>
      </c>
      <c r="G212" s="2" t="b">
        <f>COUNTIF(MASTER!$A$2:$A$1944,F212)=0</f>
        <v>1</v>
      </c>
      <c r="H212" s="2"/>
      <c r="I212" s="2" t="s">
        <v>548</v>
      </c>
      <c r="J212" s="2" t="b">
        <f>COUNTIF(MASTER!$L$2:$L$1944,I212)=0</f>
        <v>1</v>
      </c>
    </row>
    <row r="213" spans="6:10" x14ac:dyDescent="0.35">
      <c r="F213" s="2" t="s">
        <v>549</v>
      </c>
      <c r="G213" s="2" t="b">
        <f>COUNTIF(MASTER!$A$2:$A$1944,F213)=0</f>
        <v>1</v>
      </c>
      <c r="H213" s="2"/>
      <c r="I213" s="2" t="s">
        <v>550</v>
      </c>
      <c r="J213" s="2" t="b">
        <f>COUNTIF(MASTER!$L$2:$L$1944,I213)=0</f>
        <v>1</v>
      </c>
    </row>
    <row r="214" spans="6:10" x14ac:dyDescent="0.35">
      <c r="F214" s="2" t="s">
        <v>551</v>
      </c>
      <c r="G214" s="2" t="b">
        <f>COUNTIF(MASTER!$A$2:$A$1944,F214)=0</f>
        <v>1</v>
      </c>
      <c r="H214" s="2"/>
      <c r="I214" s="2" t="s">
        <v>552</v>
      </c>
      <c r="J214" s="2" t="b">
        <f>COUNTIF(MASTER!$L$2:$L$1944,I214)=0</f>
        <v>1</v>
      </c>
    </row>
    <row r="215" spans="6:10" x14ac:dyDescent="0.35">
      <c r="F215" s="2" t="s">
        <v>553</v>
      </c>
      <c r="G215" s="2" t="b">
        <f>COUNTIF(MASTER!$A$2:$A$1944,F215)=0</f>
        <v>1</v>
      </c>
      <c r="H215" s="2"/>
      <c r="I215" s="2" t="s">
        <v>554</v>
      </c>
      <c r="J215" s="2" t="b">
        <f>COUNTIF(MASTER!$L$2:$L$1944,I215)=0</f>
        <v>1</v>
      </c>
    </row>
    <row r="216" spans="6:10" x14ac:dyDescent="0.35">
      <c r="F216" s="2" t="s">
        <v>555</v>
      </c>
      <c r="G216" s="2" t="b">
        <f>COUNTIF(MASTER!$A$2:$A$1944,F216)=0</f>
        <v>1</v>
      </c>
      <c r="H216" s="2"/>
      <c r="I216" s="2" t="s">
        <v>556</v>
      </c>
      <c r="J216" s="2" t="b">
        <f>COUNTIF(MASTER!$L$2:$L$1944,I216)=0</f>
        <v>1</v>
      </c>
    </row>
    <row r="217" spans="6:10" x14ac:dyDescent="0.35">
      <c r="F217" s="2" t="s">
        <v>557</v>
      </c>
      <c r="G217" s="2" t="b">
        <f>COUNTIF(MASTER!$A$2:$A$1944,F217)=0</f>
        <v>1</v>
      </c>
      <c r="H217" s="2"/>
      <c r="I217" s="2" t="s">
        <v>558</v>
      </c>
      <c r="J217" s="2" t="b">
        <f>COUNTIF(MASTER!$L$2:$L$1944,I217)=0</f>
        <v>1</v>
      </c>
    </row>
    <row r="218" spans="6:10" x14ac:dyDescent="0.35">
      <c r="F218" s="2" t="s">
        <v>559</v>
      </c>
      <c r="G218" s="2" t="b">
        <f>COUNTIF(MASTER!$A$2:$A$1944,F218)=0</f>
        <v>1</v>
      </c>
      <c r="H218" s="2"/>
      <c r="I218" s="2" t="s">
        <v>560</v>
      </c>
      <c r="J218" s="2" t="b">
        <f>COUNTIF(MASTER!$L$2:$L$1944,I218)=0</f>
        <v>1</v>
      </c>
    </row>
    <row r="219" spans="6:10" x14ac:dyDescent="0.35">
      <c r="F219" s="2" t="s">
        <v>561</v>
      </c>
      <c r="G219" s="2" t="b">
        <f>COUNTIF(MASTER!$A$2:$A$1944,F219)=0</f>
        <v>1</v>
      </c>
      <c r="H219" s="2"/>
      <c r="I219" s="2" t="s">
        <v>562</v>
      </c>
      <c r="J219" s="2" t="b">
        <f>COUNTIF(MASTER!$L$2:$L$1944,I219)=0</f>
        <v>1</v>
      </c>
    </row>
    <row r="220" spans="6:10" x14ac:dyDescent="0.35">
      <c r="F220" s="2" t="s">
        <v>563</v>
      </c>
      <c r="G220" s="2" t="b">
        <f>COUNTIF(MASTER!$A$2:$A$1944,F220)=0</f>
        <v>1</v>
      </c>
      <c r="H220" s="2"/>
      <c r="I220" s="2" t="s">
        <v>564</v>
      </c>
      <c r="J220" s="2" t="b">
        <f>COUNTIF(MASTER!$L$2:$L$1944,I220)=0</f>
        <v>1</v>
      </c>
    </row>
    <row r="221" spans="6:10" x14ac:dyDescent="0.35">
      <c r="F221" s="2" t="s">
        <v>565</v>
      </c>
      <c r="G221" s="2" t="b">
        <f>COUNTIF(MASTER!$A$2:$A$1944,F221)=0</f>
        <v>1</v>
      </c>
      <c r="H221" s="2"/>
      <c r="I221" s="2" t="s">
        <v>566</v>
      </c>
      <c r="J221" s="2" t="b">
        <f>COUNTIF(MASTER!$L$2:$L$1944,I221)=0</f>
        <v>1</v>
      </c>
    </row>
    <row r="222" spans="6:10" x14ac:dyDescent="0.35">
      <c r="F222" s="2" t="s">
        <v>567</v>
      </c>
      <c r="G222" s="2" t="b">
        <f>COUNTIF(MASTER!$A$2:$A$1944,F222)=0</f>
        <v>1</v>
      </c>
      <c r="H222" s="2"/>
      <c r="I222" s="2" t="s">
        <v>568</v>
      </c>
      <c r="J222" s="2" t="b">
        <f>COUNTIF(MASTER!$L$2:$L$1944,I222)=0</f>
        <v>1</v>
      </c>
    </row>
    <row r="223" spans="6:10" x14ac:dyDescent="0.35">
      <c r="F223" s="2" t="s">
        <v>569</v>
      </c>
      <c r="G223" s="2" t="b">
        <f>COUNTIF(MASTER!$A$2:$A$1944,F223)=0</f>
        <v>1</v>
      </c>
      <c r="H223" s="2"/>
      <c r="I223" s="2" t="s">
        <v>570</v>
      </c>
      <c r="J223" s="2" t="b">
        <f>COUNTIF(MASTER!$L$2:$L$1944,I223)=0</f>
        <v>1</v>
      </c>
    </row>
    <row r="224" spans="6:10" x14ac:dyDescent="0.35">
      <c r="F224" s="2" t="s">
        <v>571</v>
      </c>
      <c r="G224" s="2" t="b">
        <f>COUNTIF(MASTER!$A$2:$A$1944,F224)=0</f>
        <v>1</v>
      </c>
      <c r="H224" s="2"/>
      <c r="I224" s="2" t="s">
        <v>572</v>
      </c>
      <c r="J224" s="2" t="b">
        <f>COUNTIF(MASTER!$L$2:$L$1944,I224)=0</f>
        <v>1</v>
      </c>
    </row>
    <row r="225" spans="6:10" x14ac:dyDescent="0.35">
      <c r="F225" s="2" t="s">
        <v>573</v>
      </c>
      <c r="G225" s="2" t="b">
        <f>COUNTIF(MASTER!$A$2:$A$1944,F225)=0</f>
        <v>1</v>
      </c>
      <c r="H225" s="2"/>
      <c r="I225" s="2" t="s">
        <v>574</v>
      </c>
      <c r="J225" s="2" t="b">
        <f>COUNTIF(MASTER!$L$2:$L$1944,I225)=0</f>
        <v>1</v>
      </c>
    </row>
    <row r="226" spans="6:10" x14ac:dyDescent="0.35">
      <c r="F226" s="2" t="s">
        <v>575</v>
      </c>
      <c r="G226" s="2" t="b">
        <f>COUNTIF(MASTER!$A$2:$A$1944,F226)=0</f>
        <v>1</v>
      </c>
      <c r="H226" s="2"/>
      <c r="I226" s="2" t="s">
        <v>576</v>
      </c>
      <c r="J226" s="2" t="b">
        <f>COUNTIF(MASTER!$L$2:$L$1944,I226)=0</f>
        <v>1</v>
      </c>
    </row>
    <row r="227" spans="6:10" x14ac:dyDescent="0.35">
      <c r="F227" s="2" t="s">
        <v>577</v>
      </c>
      <c r="G227" s="2" t="b">
        <f>COUNTIF(MASTER!$A$2:$A$1944,F227)=0</f>
        <v>1</v>
      </c>
      <c r="H227" s="2"/>
      <c r="I227" s="2" t="s">
        <v>578</v>
      </c>
      <c r="J227" s="2" t="b">
        <f>COUNTIF(MASTER!$L$2:$L$1944,I227)=0</f>
        <v>1</v>
      </c>
    </row>
    <row r="228" spans="6:10" x14ac:dyDescent="0.35">
      <c r="F228" s="2" t="s">
        <v>579</v>
      </c>
      <c r="G228" s="2" t="b">
        <f>COUNTIF(MASTER!$A$2:$A$1944,F228)=0</f>
        <v>1</v>
      </c>
      <c r="H228" s="2"/>
      <c r="I228" s="2" t="s">
        <v>580</v>
      </c>
      <c r="J228" s="2" t="b">
        <f>COUNTIF(MASTER!$L$2:$L$1944,I228)=0</f>
        <v>1</v>
      </c>
    </row>
    <row r="229" spans="6:10" x14ac:dyDescent="0.35">
      <c r="F229" s="2" t="s">
        <v>581</v>
      </c>
      <c r="G229" s="2" t="b">
        <f>COUNTIF(MASTER!$A$2:$A$1944,F229)=0</f>
        <v>1</v>
      </c>
      <c r="H229" s="2"/>
      <c r="I229" s="2" t="s">
        <v>582</v>
      </c>
      <c r="J229" s="2" t="b">
        <f>COUNTIF(MASTER!$L$2:$L$1944,I229)=0</f>
        <v>1</v>
      </c>
    </row>
    <row r="230" spans="6:10" x14ac:dyDescent="0.35">
      <c r="F230" s="2" t="s">
        <v>583</v>
      </c>
      <c r="G230" s="2" t="b">
        <f>COUNTIF(MASTER!$A$2:$A$1944,F230)=0</f>
        <v>1</v>
      </c>
      <c r="H230" s="2"/>
      <c r="I230" s="2" t="s">
        <v>584</v>
      </c>
      <c r="J230" s="2" t="b">
        <f>COUNTIF(MASTER!$L$2:$L$1944,I230)=0</f>
        <v>1</v>
      </c>
    </row>
    <row r="231" spans="6:10" x14ac:dyDescent="0.35">
      <c r="F231" s="2" t="s">
        <v>585</v>
      </c>
      <c r="G231" s="2" t="b">
        <f>COUNTIF(MASTER!$A$2:$A$1944,F231)=0</f>
        <v>1</v>
      </c>
      <c r="H231" s="2"/>
      <c r="I231" s="2" t="s">
        <v>586</v>
      </c>
      <c r="J231" s="2" t="b">
        <f>COUNTIF(MASTER!$L$2:$L$1944,I231)=0</f>
        <v>1</v>
      </c>
    </row>
    <row r="232" spans="6:10" x14ac:dyDescent="0.35">
      <c r="F232" s="2" t="s">
        <v>587</v>
      </c>
      <c r="G232" s="2" t="b">
        <f>COUNTIF(MASTER!$A$2:$A$1944,F232)=0</f>
        <v>1</v>
      </c>
      <c r="H232" s="2"/>
      <c r="I232" s="2" t="s">
        <v>588</v>
      </c>
      <c r="J232" s="2" t="b">
        <f>COUNTIF(MASTER!$L$2:$L$1944,I232)=0</f>
        <v>1</v>
      </c>
    </row>
    <row r="233" spans="6:10" x14ac:dyDescent="0.35">
      <c r="F233" s="2" t="s">
        <v>589</v>
      </c>
      <c r="G233" s="2" t="b">
        <f>COUNTIF(MASTER!$A$2:$A$1944,F233)=0</f>
        <v>1</v>
      </c>
      <c r="H233" s="2"/>
      <c r="I233" s="2" t="s">
        <v>590</v>
      </c>
      <c r="J233" s="2" t="b">
        <f>COUNTIF(MASTER!$L$2:$L$1944,I233)=0</f>
        <v>1</v>
      </c>
    </row>
    <row r="234" spans="6:10" x14ac:dyDescent="0.35">
      <c r="F234" s="2" t="s">
        <v>591</v>
      </c>
      <c r="G234" s="2" t="b">
        <f>COUNTIF(MASTER!$A$2:$A$1944,F234)=0</f>
        <v>1</v>
      </c>
      <c r="H234" s="2"/>
      <c r="I234" s="2" t="s">
        <v>592</v>
      </c>
      <c r="J234" s="2" t="b">
        <f>COUNTIF(MASTER!$L$2:$L$1944,I234)=0</f>
        <v>1</v>
      </c>
    </row>
    <row r="235" spans="6:10" x14ac:dyDescent="0.35">
      <c r="F235" s="2" t="s">
        <v>593</v>
      </c>
      <c r="G235" s="2" t="b">
        <f>COUNTIF(MASTER!$A$2:$A$1944,F235)=0</f>
        <v>1</v>
      </c>
      <c r="H235" s="2"/>
      <c r="I235" s="2" t="s">
        <v>594</v>
      </c>
      <c r="J235" s="2" t="b">
        <f>COUNTIF(MASTER!$L$2:$L$1944,I235)=0</f>
        <v>1</v>
      </c>
    </row>
    <row r="236" spans="6:10" x14ac:dyDescent="0.35">
      <c r="F236" s="2" t="s">
        <v>595</v>
      </c>
      <c r="G236" s="2" t="b">
        <f>COUNTIF(MASTER!$A$2:$A$1944,F236)=0</f>
        <v>1</v>
      </c>
      <c r="H236" s="2"/>
      <c r="I236" s="2" t="s">
        <v>596</v>
      </c>
      <c r="J236" s="2" t="b">
        <f>COUNTIF(MASTER!$L$2:$L$1944,I236)=0</f>
        <v>1</v>
      </c>
    </row>
    <row r="237" spans="6:10" x14ac:dyDescent="0.35">
      <c r="F237" s="2" t="s">
        <v>597</v>
      </c>
      <c r="G237" s="2" t="b">
        <f>COUNTIF(MASTER!$A$2:$A$1944,F237)=0</f>
        <v>1</v>
      </c>
      <c r="H237" s="2"/>
      <c r="I237" s="2" t="s">
        <v>598</v>
      </c>
      <c r="J237" s="2" t="b">
        <f>COUNTIF(MASTER!$L$2:$L$1944,I237)=0</f>
        <v>1</v>
      </c>
    </row>
    <row r="238" spans="6:10" x14ac:dyDescent="0.35">
      <c r="F238" s="2" t="s">
        <v>599</v>
      </c>
      <c r="G238" s="2" t="b">
        <f>COUNTIF(MASTER!$A$2:$A$1944,F238)=0</f>
        <v>1</v>
      </c>
      <c r="H238" s="2"/>
      <c r="I238" s="2" t="s">
        <v>600</v>
      </c>
      <c r="J238" s="2" t="b">
        <f>COUNTIF(MASTER!$L$2:$L$1944,I238)=0</f>
        <v>1</v>
      </c>
    </row>
    <row r="239" spans="6:10" x14ac:dyDescent="0.35">
      <c r="F239" s="2" t="s">
        <v>601</v>
      </c>
      <c r="G239" s="2" t="b">
        <f>COUNTIF(MASTER!$A$2:$A$1944,F239)=0</f>
        <v>1</v>
      </c>
      <c r="H239" s="2"/>
      <c r="I239" s="2" t="s">
        <v>602</v>
      </c>
      <c r="J239" s="2" t="b">
        <f>COUNTIF(MASTER!$L$2:$L$1944,I239)=0</f>
        <v>1</v>
      </c>
    </row>
    <row r="240" spans="6:10" x14ac:dyDescent="0.35">
      <c r="F240" s="2" t="s">
        <v>603</v>
      </c>
      <c r="G240" s="2" t="b">
        <f>COUNTIF(MASTER!$A$2:$A$1944,F240)=0</f>
        <v>1</v>
      </c>
      <c r="H240" s="2"/>
      <c r="I240" s="2" t="s">
        <v>604</v>
      </c>
      <c r="J240" s="2" t="b">
        <f>COUNTIF(MASTER!$L$2:$L$1944,I240)=0</f>
        <v>1</v>
      </c>
    </row>
    <row r="241" spans="6:10" x14ac:dyDescent="0.35">
      <c r="F241" s="2" t="s">
        <v>605</v>
      </c>
      <c r="G241" s="2" t="b">
        <f>COUNTIF(MASTER!$A$2:$A$1944,F241)=0</f>
        <v>1</v>
      </c>
      <c r="H241" s="2"/>
      <c r="I241" s="2" t="s">
        <v>606</v>
      </c>
      <c r="J241" s="2" t="b">
        <f>COUNTIF(MASTER!$L$2:$L$1944,I241)=0</f>
        <v>1</v>
      </c>
    </row>
    <row r="242" spans="6:10" x14ac:dyDescent="0.35">
      <c r="F242" s="2" t="s">
        <v>607</v>
      </c>
      <c r="G242" s="2" t="b">
        <f>COUNTIF(MASTER!$A$2:$A$1944,F242)=0</f>
        <v>1</v>
      </c>
      <c r="H242" s="2"/>
      <c r="I242" s="2" t="s">
        <v>608</v>
      </c>
      <c r="J242" s="2" t="b">
        <f>COUNTIF(MASTER!$L$2:$L$1944,I242)=0</f>
        <v>1</v>
      </c>
    </row>
    <row r="243" spans="6:10" x14ac:dyDescent="0.35">
      <c r="F243" s="2" t="s">
        <v>609</v>
      </c>
      <c r="G243" s="2" t="b">
        <f>COUNTIF(MASTER!$A$2:$A$1944,F243)=0</f>
        <v>1</v>
      </c>
      <c r="H243" s="2"/>
      <c r="I243" s="2" t="s">
        <v>610</v>
      </c>
      <c r="J243" s="2" t="b">
        <f>COUNTIF(MASTER!$L$2:$L$1944,I243)=0</f>
        <v>1</v>
      </c>
    </row>
    <row r="244" spans="6:10" x14ac:dyDescent="0.35">
      <c r="F244" s="2" t="s">
        <v>611</v>
      </c>
      <c r="G244" s="2" t="b">
        <f>COUNTIF(MASTER!$A$2:$A$1944,F244)=0</f>
        <v>1</v>
      </c>
      <c r="H244" s="2"/>
      <c r="I244" s="2" t="s">
        <v>612</v>
      </c>
      <c r="J244" s="2" t="b">
        <f>COUNTIF(MASTER!$L$2:$L$1944,I244)=0</f>
        <v>1</v>
      </c>
    </row>
    <row r="245" spans="6:10" x14ac:dyDescent="0.35">
      <c r="F245" s="2" t="s">
        <v>613</v>
      </c>
      <c r="G245" s="2" t="b">
        <f>COUNTIF(MASTER!$A$2:$A$1944,F245)=0</f>
        <v>1</v>
      </c>
      <c r="H245" s="2"/>
      <c r="I245" s="2" t="s">
        <v>614</v>
      </c>
      <c r="J245" s="2" t="b">
        <f>COUNTIF(MASTER!$L$2:$L$1944,I245)=0</f>
        <v>1</v>
      </c>
    </row>
    <row r="246" spans="6:10" x14ac:dyDescent="0.35">
      <c r="F246" s="2" t="s">
        <v>615</v>
      </c>
      <c r="G246" s="2" t="b">
        <f>COUNTIF(MASTER!$A$2:$A$1944,F246)=0</f>
        <v>1</v>
      </c>
      <c r="H246" s="2"/>
      <c r="I246" s="2" t="s">
        <v>616</v>
      </c>
      <c r="J246" s="2" t="b">
        <f>COUNTIF(MASTER!$L$2:$L$1944,I246)=0</f>
        <v>1</v>
      </c>
    </row>
    <row r="247" spans="6:10" x14ac:dyDescent="0.35">
      <c r="F247" s="2" t="s">
        <v>617</v>
      </c>
      <c r="G247" s="2" t="b">
        <f>COUNTIF(MASTER!$A$2:$A$1944,F247)=0</f>
        <v>1</v>
      </c>
      <c r="H247" s="2"/>
      <c r="I247" s="2" t="s">
        <v>618</v>
      </c>
      <c r="J247" s="2" t="b">
        <f>COUNTIF(MASTER!$L$2:$L$1944,I247)=0</f>
        <v>1</v>
      </c>
    </row>
    <row r="248" spans="6:10" x14ac:dyDescent="0.35">
      <c r="F248" s="2" t="s">
        <v>619</v>
      </c>
      <c r="G248" s="2" t="b">
        <f>COUNTIF(MASTER!$A$2:$A$1944,F248)=0</f>
        <v>1</v>
      </c>
      <c r="H248" s="2"/>
      <c r="I248" s="2" t="s">
        <v>620</v>
      </c>
      <c r="J248" s="2" t="b">
        <f>COUNTIF(MASTER!$L$2:$L$1944,I248)=0</f>
        <v>1</v>
      </c>
    </row>
    <row r="249" spans="6:10" x14ac:dyDescent="0.35">
      <c r="F249" s="2" t="s">
        <v>621</v>
      </c>
      <c r="G249" s="2" t="b">
        <f>COUNTIF(MASTER!$A$2:$A$1944,F249)=0</f>
        <v>1</v>
      </c>
      <c r="H249" s="2"/>
      <c r="I249" s="2" t="s">
        <v>622</v>
      </c>
      <c r="J249" s="2" t="b">
        <f>COUNTIF(MASTER!$L$2:$L$1944,I249)=0</f>
        <v>1</v>
      </c>
    </row>
    <row r="250" spans="6:10" x14ac:dyDescent="0.35">
      <c r="F250" s="2" t="s">
        <v>623</v>
      </c>
      <c r="G250" s="2" t="b">
        <f>COUNTIF(MASTER!$A$2:$A$1944,F250)=0</f>
        <v>1</v>
      </c>
      <c r="H250" s="2"/>
      <c r="I250" s="2" t="s">
        <v>624</v>
      </c>
      <c r="J250" s="2" t="b">
        <f>COUNTIF(MASTER!$L$2:$L$1944,I250)=0</f>
        <v>1</v>
      </c>
    </row>
    <row r="251" spans="6:10" x14ac:dyDescent="0.35">
      <c r="F251" s="2" t="s">
        <v>625</v>
      </c>
      <c r="G251" s="2" t="b">
        <f>COUNTIF(MASTER!$A$2:$A$1944,F251)=0</f>
        <v>1</v>
      </c>
      <c r="H251" s="2"/>
      <c r="I251" s="2" t="s">
        <v>626</v>
      </c>
      <c r="J251" s="2" t="b">
        <f>COUNTIF(MASTER!$L$2:$L$1944,I251)=0</f>
        <v>1</v>
      </c>
    </row>
    <row r="252" spans="6:10" x14ac:dyDescent="0.35">
      <c r="F252" s="2" t="s">
        <v>627</v>
      </c>
      <c r="G252" s="2" t="b">
        <f>COUNTIF(MASTER!$A$2:$A$1944,F252)=0</f>
        <v>1</v>
      </c>
      <c r="H252" s="2"/>
      <c r="I252" s="2" t="s">
        <v>628</v>
      </c>
      <c r="J252" s="2" t="b">
        <f>COUNTIF(MASTER!$L$2:$L$1944,I252)=0</f>
        <v>1</v>
      </c>
    </row>
    <row r="253" spans="6:10" x14ac:dyDescent="0.35">
      <c r="F253" s="2" t="s">
        <v>629</v>
      </c>
      <c r="G253" s="2" t="b">
        <f>COUNTIF(MASTER!$A$2:$A$1944,F253)=0</f>
        <v>1</v>
      </c>
      <c r="H253" s="2"/>
      <c r="I253" s="2" t="s">
        <v>630</v>
      </c>
      <c r="J253" s="2" t="b">
        <f>COUNTIF(MASTER!$L$2:$L$1944,I253)=0</f>
        <v>1</v>
      </c>
    </row>
    <row r="254" spans="6:10" x14ac:dyDescent="0.35">
      <c r="F254" s="2" t="s">
        <v>631</v>
      </c>
      <c r="G254" s="2" t="b">
        <f>COUNTIF(MASTER!$A$2:$A$1944,F254)=0</f>
        <v>1</v>
      </c>
      <c r="H254" s="2"/>
      <c r="I254" s="2" t="s">
        <v>632</v>
      </c>
      <c r="J254" s="2" t="b">
        <f>COUNTIF(MASTER!$L$2:$L$1944,I254)=0</f>
        <v>1</v>
      </c>
    </row>
    <row r="255" spans="6:10" x14ac:dyDescent="0.35">
      <c r="F255" s="2" t="s">
        <v>633</v>
      </c>
      <c r="G255" s="2" t="b">
        <f>COUNTIF(MASTER!$A$2:$A$1944,F255)=0</f>
        <v>1</v>
      </c>
      <c r="H255" s="2"/>
      <c r="I255" s="2" t="s">
        <v>634</v>
      </c>
      <c r="J255" s="2" t="b">
        <f>COUNTIF(MASTER!$L$2:$L$1944,I255)=0</f>
        <v>1</v>
      </c>
    </row>
    <row r="256" spans="6:10" x14ac:dyDescent="0.35">
      <c r="F256" s="2" t="s">
        <v>635</v>
      </c>
      <c r="G256" s="2" t="b">
        <f>COUNTIF(MASTER!$A$2:$A$1944,F256)=0</f>
        <v>1</v>
      </c>
      <c r="H256" s="2"/>
      <c r="I256" s="2" t="s">
        <v>636</v>
      </c>
      <c r="J256" s="2" t="b">
        <f>COUNTIF(MASTER!$L$2:$L$1944,I256)=0</f>
        <v>1</v>
      </c>
    </row>
    <row r="257" spans="6:10" x14ac:dyDescent="0.35">
      <c r="F257" s="2" t="s">
        <v>637</v>
      </c>
      <c r="G257" s="2" t="b">
        <f>COUNTIF(MASTER!$A$2:$A$1944,F257)=0</f>
        <v>1</v>
      </c>
      <c r="H257" s="2"/>
      <c r="I257" s="2" t="s">
        <v>638</v>
      </c>
      <c r="J257" s="2" t="b">
        <f>COUNTIF(MASTER!$L$2:$L$1944,I257)=0</f>
        <v>1</v>
      </c>
    </row>
    <row r="258" spans="6:10" x14ac:dyDescent="0.35">
      <c r="F258" s="2" t="s">
        <v>639</v>
      </c>
      <c r="G258" s="2" t="b">
        <f>COUNTIF(MASTER!$A$2:$A$1944,F258)=0</f>
        <v>1</v>
      </c>
      <c r="H258" s="2"/>
      <c r="I258" s="2" t="s">
        <v>640</v>
      </c>
      <c r="J258" s="2" t="b">
        <f>COUNTIF(MASTER!$L$2:$L$1944,I258)=0</f>
        <v>1</v>
      </c>
    </row>
    <row r="259" spans="6:10" x14ac:dyDescent="0.35">
      <c r="F259" s="2" t="s">
        <v>641</v>
      </c>
      <c r="G259" s="2" t="b">
        <f>COUNTIF(MASTER!$A$2:$A$1944,F259)=0</f>
        <v>1</v>
      </c>
      <c r="H259" s="2"/>
      <c r="I259" s="2" t="s">
        <v>642</v>
      </c>
      <c r="J259" s="2" t="b">
        <f>COUNTIF(MASTER!$L$2:$L$1944,I259)=0</f>
        <v>1</v>
      </c>
    </row>
    <row r="260" spans="6:10" x14ac:dyDescent="0.35">
      <c r="F260" s="2" t="s">
        <v>643</v>
      </c>
      <c r="G260" s="2" t="b">
        <f>COUNTIF(MASTER!$A$2:$A$1944,F260)=0</f>
        <v>1</v>
      </c>
      <c r="H260" s="2"/>
      <c r="I260" s="2" t="s">
        <v>644</v>
      </c>
      <c r="J260" s="2" t="b">
        <f>COUNTIF(MASTER!$L$2:$L$1944,I260)=0</f>
        <v>1</v>
      </c>
    </row>
    <row r="261" spans="6:10" x14ac:dyDescent="0.35">
      <c r="F261" s="2" t="s">
        <v>645</v>
      </c>
      <c r="G261" s="2" t="b">
        <f>COUNTIF(MASTER!$A$2:$A$1944,F261)=0</f>
        <v>1</v>
      </c>
      <c r="H261" s="2"/>
      <c r="I261" s="2" t="s">
        <v>646</v>
      </c>
      <c r="J261" s="2" t="b">
        <f>COUNTIF(MASTER!$L$2:$L$1944,I261)=0</f>
        <v>1</v>
      </c>
    </row>
    <row r="262" spans="6:10" x14ac:dyDescent="0.35">
      <c r="F262" s="2" t="s">
        <v>647</v>
      </c>
      <c r="G262" s="2" t="b">
        <f>COUNTIF(MASTER!$A$2:$A$1944,F262)=0</f>
        <v>1</v>
      </c>
      <c r="H262" s="2"/>
      <c r="I262" s="2" t="s">
        <v>648</v>
      </c>
      <c r="J262" s="2" t="b">
        <f>COUNTIF(MASTER!$L$2:$L$1944,I262)=0</f>
        <v>1</v>
      </c>
    </row>
    <row r="263" spans="6:10" x14ac:dyDescent="0.35">
      <c r="F263" s="2" t="s">
        <v>649</v>
      </c>
      <c r="G263" s="2" t="b">
        <f>COUNTIF(MASTER!$A$2:$A$1944,F263)=0</f>
        <v>1</v>
      </c>
      <c r="H263" s="2"/>
      <c r="I263" s="2" t="s">
        <v>650</v>
      </c>
      <c r="J263" s="2" t="b">
        <f>COUNTIF(MASTER!$L$2:$L$1944,I263)=0</f>
        <v>1</v>
      </c>
    </row>
    <row r="264" spans="6:10" x14ac:dyDescent="0.35">
      <c r="F264" s="2" t="s">
        <v>651</v>
      </c>
      <c r="G264" s="2" t="b">
        <f>COUNTIF(MASTER!$A$2:$A$1944,F264)=0</f>
        <v>1</v>
      </c>
      <c r="H264" s="2"/>
      <c r="I264" s="2" t="s">
        <v>652</v>
      </c>
      <c r="J264" s="2" t="b">
        <f>COUNTIF(MASTER!$L$2:$L$1944,I264)=0</f>
        <v>1</v>
      </c>
    </row>
    <row r="265" spans="6:10" x14ac:dyDescent="0.35">
      <c r="F265" s="2" t="s">
        <v>653</v>
      </c>
      <c r="G265" s="2" t="b">
        <f>COUNTIF(MASTER!$A$2:$A$1944,F265)=0</f>
        <v>1</v>
      </c>
      <c r="H265" s="2"/>
      <c r="I265" s="2" t="s">
        <v>654</v>
      </c>
      <c r="J265" s="2" t="b">
        <f>COUNTIF(MASTER!$L$2:$L$1944,I265)=0</f>
        <v>1</v>
      </c>
    </row>
    <row r="266" spans="6:10" x14ac:dyDescent="0.35">
      <c r="F266" s="2" t="s">
        <v>655</v>
      </c>
      <c r="G266" s="2" t="b">
        <f>COUNTIF(MASTER!$A$2:$A$1944,F266)=0</f>
        <v>1</v>
      </c>
      <c r="H266" s="2"/>
      <c r="I266" s="2" t="s">
        <v>656</v>
      </c>
      <c r="J266" s="2" t="b">
        <f>COUNTIF(MASTER!$L$2:$L$1944,I266)=0</f>
        <v>1</v>
      </c>
    </row>
    <row r="267" spans="6:10" x14ac:dyDescent="0.35">
      <c r="F267" s="2" t="s">
        <v>657</v>
      </c>
      <c r="G267" s="2" t="b">
        <f>COUNTIF(MASTER!$A$2:$A$1944,F267)=0</f>
        <v>1</v>
      </c>
      <c r="H267" s="2"/>
      <c r="I267" s="2" t="s">
        <v>658</v>
      </c>
      <c r="J267" s="2" t="b">
        <f>COUNTIF(MASTER!$L$2:$L$1944,I267)=0</f>
        <v>1</v>
      </c>
    </row>
    <row r="268" spans="6:10" x14ac:dyDescent="0.35">
      <c r="F268" s="2" t="s">
        <v>659</v>
      </c>
      <c r="G268" s="2" t="b">
        <f>COUNTIF(MASTER!$A$2:$A$1944,F268)=0</f>
        <v>1</v>
      </c>
      <c r="H268" s="2"/>
      <c r="I268" s="2" t="s">
        <v>660</v>
      </c>
      <c r="J268" s="2" t="b">
        <f>COUNTIF(MASTER!$L$2:$L$1944,I268)=0</f>
        <v>1</v>
      </c>
    </row>
    <row r="269" spans="6:10" x14ac:dyDescent="0.35">
      <c r="F269" s="2" t="s">
        <v>661</v>
      </c>
      <c r="G269" s="2" t="b">
        <f>COUNTIF(MASTER!$A$2:$A$1944,F269)=0</f>
        <v>1</v>
      </c>
      <c r="H269" s="2"/>
      <c r="I269" s="2" t="s">
        <v>662</v>
      </c>
      <c r="J269" s="2" t="b">
        <f>COUNTIF(MASTER!$L$2:$L$1944,I269)=0</f>
        <v>1</v>
      </c>
    </row>
    <row r="270" spans="6:10" x14ac:dyDescent="0.35">
      <c r="F270" s="2" t="s">
        <v>663</v>
      </c>
      <c r="G270" s="2" t="b">
        <f>COUNTIF(MASTER!$A$2:$A$1944,F270)=0</f>
        <v>1</v>
      </c>
      <c r="H270" s="2"/>
      <c r="I270" s="2" t="s">
        <v>664</v>
      </c>
      <c r="J270" s="2" t="b">
        <f>COUNTIF(MASTER!$L$2:$L$1944,I270)=0</f>
        <v>1</v>
      </c>
    </row>
    <row r="271" spans="6:10" x14ac:dyDescent="0.35">
      <c r="F271" s="2" t="s">
        <v>665</v>
      </c>
      <c r="G271" s="2" t="b">
        <f>COUNTIF(MASTER!$A$2:$A$1944,F271)=0</f>
        <v>1</v>
      </c>
      <c r="H271" s="2"/>
      <c r="I271" s="2" t="s">
        <v>666</v>
      </c>
      <c r="J271" s="2" t="b">
        <f>COUNTIF(MASTER!$L$2:$L$1944,I271)=0</f>
        <v>1</v>
      </c>
    </row>
    <row r="272" spans="6:10" x14ac:dyDescent="0.35">
      <c r="F272" s="2" t="s">
        <v>667</v>
      </c>
      <c r="G272" s="2" t="b">
        <f>COUNTIF(MASTER!$A$2:$A$1944,F272)=0</f>
        <v>1</v>
      </c>
      <c r="H272" s="2"/>
      <c r="I272" s="2" t="s">
        <v>668</v>
      </c>
      <c r="J272" s="2" t="b">
        <f>COUNTIF(MASTER!$L$2:$L$1944,I272)=0</f>
        <v>1</v>
      </c>
    </row>
    <row r="273" spans="6:10" x14ac:dyDescent="0.35">
      <c r="F273" s="2" t="s">
        <v>669</v>
      </c>
      <c r="G273" s="2" t="b">
        <f>COUNTIF(MASTER!$A$2:$A$1944,F273)=0</f>
        <v>1</v>
      </c>
      <c r="H273" s="2"/>
      <c r="I273" s="2" t="s">
        <v>670</v>
      </c>
      <c r="J273" s="2" t="b">
        <f>COUNTIF(MASTER!$L$2:$L$1944,I273)=0</f>
        <v>1</v>
      </c>
    </row>
    <row r="274" spans="6:10" x14ac:dyDescent="0.35">
      <c r="F274" s="2" t="s">
        <v>671</v>
      </c>
      <c r="G274" s="2" t="b">
        <f>COUNTIF(MASTER!$A$2:$A$1944,F274)=0</f>
        <v>1</v>
      </c>
      <c r="H274" s="2"/>
      <c r="I274" s="2" t="s">
        <v>672</v>
      </c>
      <c r="J274" s="2" t="b">
        <f>COUNTIF(MASTER!$L$2:$L$1944,I274)=0</f>
        <v>1</v>
      </c>
    </row>
    <row r="275" spans="6:10" x14ac:dyDescent="0.35">
      <c r="F275" s="2" t="s">
        <v>673</v>
      </c>
      <c r="G275" s="2" t="b">
        <f>COUNTIF(MASTER!$A$2:$A$1944,F275)=0</f>
        <v>1</v>
      </c>
      <c r="H275" s="2"/>
      <c r="I275" s="2" t="s">
        <v>674</v>
      </c>
      <c r="J275" s="2" t="b">
        <f>COUNTIF(MASTER!$L$2:$L$1944,I275)=0</f>
        <v>1</v>
      </c>
    </row>
    <row r="276" spans="6:10" x14ac:dyDescent="0.35">
      <c r="F276" s="2" t="s">
        <v>675</v>
      </c>
      <c r="G276" s="2" t="b">
        <f>COUNTIF(MASTER!$A$2:$A$1944,F276)=0</f>
        <v>1</v>
      </c>
      <c r="H276" s="2"/>
      <c r="I276" s="2" t="s">
        <v>676</v>
      </c>
      <c r="J276" s="2" t="b">
        <f>COUNTIF(MASTER!$L$2:$L$1944,I276)=0</f>
        <v>1</v>
      </c>
    </row>
    <row r="277" spans="6:10" x14ac:dyDescent="0.35">
      <c r="F277" s="2" t="s">
        <v>677</v>
      </c>
      <c r="G277" s="2" t="b">
        <f>COUNTIF(MASTER!$A$2:$A$1944,F277)=0</f>
        <v>1</v>
      </c>
      <c r="H277" s="2"/>
      <c r="I277" s="2" t="s">
        <v>678</v>
      </c>
      <c r="J277" s="2" t="b">
        <f>COUNTIF(MASTER!$L$2:$L$1944,I277)=0</f>
        <v>1</v>
      </c>
    </row>
    <row r="278" spans="6:10" x14ac:dyDescent="0.35">
      <c r="F278" s="2" t="s">
        <v>679</v>
      </c>
      <c r="G278" s="2" t="b">
        <f>COUNTIF(MASTER!$A$2:$A$1944,F278)=0</f>
        <v>1</v>
      </c>
      <c r="H278" s="2"/>
      <c r="I278" s="2" t="s">
        <v>680</v>
      </c>
      <c r="J278" s="2" t="b">
        <f>COUNTIF(MASTER!$L$2:$L$1944,I278)=0</f>
        <v>1</v>
      </c>
    </row>
    <row r="279" spans="6:10" x14ac:dyDescent="0.35">
      <c r="F279" s="2" t="s">
        <v>681</v>
      </c>
      <c r="G279" s="2" t="b">
        <f>COUNTIF(MASTER!$A$2:$A$1944,F279)=0</f>
        <v>1</v>
      </c>
      <c r="H279" s="2"/>
      <c r="I279" s="2" t="s">
        <v>682</v>
      </c>
      <c r="J279" s="2" t="b">
        <f>COUNTIF(MASTER!$L$2:$L$1944,I279)=0</f>
        <v>1</v>
      </c>
    </row>
    <row r="280" spans="6:10" x14ac:dyDescent="0.35">
      <c r="F280" s="2" t="s">
        <v>683</v>
      </c>
      <c r="G280" s="2" t="b">
        <f>COUNTIF(MASTER!$A$2:$A$1944,F280)=0</f>
        <v>1</v>
      </c>
      <c r="H280" s="2"/>
      <c r="I280" s="2" t="s">
        <v>684</v>
      </c>
      <c r="J280" s="2" t="b">
        <f>COUNTIF(MASTER!$L$2:$L$1944,I280)=0</f>
        <v>1</v>
      </c>
    </row>
    <row r="281" spans="6:10" x14ac:dyDescent="0.35">
      <c r="F281" s="2" t="s">
        <v>685</v>
      </c>
      <c r="G281" s="2" t="b">
        <f>COUNTIF(MASTER!$A$2:$A$1944,F281)=0</f>
        <v>1</v>
      </c>
      <c r="H281" s="2"/>
      <c r="I281" s="2" t="s">
        <v>686</v>
      </c>
      <c r="J281" s="2" t="b">
        <f>COUNTIF(MASTER!$L$2:$L$1944,I281)=0</f>
        <v>1</v>
      </c>
    </row>
    <row r="282" spans="6:10" x14ac:dyDescent="0.35">
      <c r="F282" s="2" t="s">
        <v>687</v>
      </c>
      <c r="G282" s="2" t="b">
        <f>COUNTIF(MASTER!$A$2:$A$1944,F282)=0</f>
        <v>1</v>
      </c>
      <c r="H282" s="2"/>
      <c r="I282" s="2" t="s">
        <v>688</v>
      </c>
      <c r="J282" s="2" t="b">
        <f>COUNTIF(MASTER!$L$2:$L$1944,I282)=0</f>
        <v>1</v>
      </c>
    </row>
    <row r="283" spans="6:10" x14ac:dyDescent="0.35">
      <c r="F283" s="2" t="s">
        <v>689</v>
      </c>
      <c r="G283" s="2" t="b">
        <f>COUNTIF(MASTER!$A$2:$A$1944,F283)=0</f>
        <v>1</v>
      </c>
      <c r="H283" s="2"/>
      <c r="I283" s="2" t="s">
        <v>690</v>
      </c>
      <c r="J283" s="2" t="b">
        <f>COUNTIF(MASTER!$L$2:$L$1944,I283)=0</f>
        <v>1</v>
      </c>
    </row>
    <row r="284" spans="6:10" x14ac:dyDescent="0.35">
      <c r="F284" s="2" t="s">
        <v>691</v>
      </c>
      <c r="G284" s="2" t="b">
        <f>COUNTIF(MASTER!$A$2:$A$1944,F284)=0</f>
        <v>1</v>
      </c>
      <c r="H284" s="2"/>
      <c r="I284" s="2" t="s">
        <v>692</v>
      </c>
      <c r="J284" s="2" t="b">
        <f>COUNTIF(MASTER!$L$2:$L$1944,I284)=0</f>
        <v>1</v>
      </c>
    </row>
    <row r="285" spans="6:10" x14ac:dyDescent="0.35">
      <c r="F285" s="2" t="s">
        <v>693</v>
      </c>
      <c r="G285" s="2" t="b">
        <f>COUNTIF(MASTER!$A$2:$A$1944,F285)=0</f>
        <v>1</v>
      </c>
      <c r="H285" s="2"/>
      <c r="I285" s="2" t="s">
        <v>694</v>
      </c>
      <c r="J285" s="2" t="b">
        <f>COUNTIF(MASTER!$L$2:$L$1944,I285)=0</f>
        <v>1</v>
      </c>
    </row>
    <row r="286" spans="6:10" x14ac:dyDescent="0.35">
      <c r="F286" s="2" t="s">
        <v>695</v>
      </c>
      <c r="G286" s="2" t="b">
        <f>COUNTIF(MASTER!$A$2:$A$1944,F286)=0</f>
        <v>1</v>
      </c>
      <c r="H286" s="2"/>
      <c r="I286" s="2" t="s">
        <v>696</v>
      </c>
      <c r="J286" s="2" t="b">
        <f>COUNTIF(MASTER!$L$2:$L$1944,I286)=0</f>
        <v>1</v>
      </c>
    </row>
    <row r="287" spans="6:10" x14ac:dyDescent="0.35">
      <c r="F287" s="2" t="s">
        <v>697</v>
      </c>
      <c r="G287" s="2" t="b">
        <f>COUNTIF(MASTER!$A$2:$A$1944,F287)=0</f>
        <v>1</v>
      </c>
      <c r="H287" s="2"/>
      <c r="I287" s="2" t="s">
        <v>698</v>
      </c>
      <c r="J287" s="2" t="b">
        <f>COUNTIF(MASTER!$L$2:$L$1944,I287)=0</f>
        <v>1</v>
      </c>
    </row>
    <row r="288" spans="6:10" x14ac:dyDescent="0.35">
      <c r="F288" s="2" t="s">
        <v>699</v>
      </c>
      <c r="G288" s="2" t="b">
        <f>COUNTIF(MASTER!$A$2:$A$1944,F288)=0</f>
        <v>1</v>
      </c>
      <c r="H288" s="2"/>
      <c r="I288" s="2" t="s">
        <v>700</v>
      </c>
      <c r="J288" s="2" t="b">
        <f>COUNTIF(MASTER!$L$2:$L$1944,I288)=0</f>
        <v>1</v>
      </c>
    </row>
    <row r="289" spans="6:10" x14ac:dyDescent="0.35">
      <c r="F289" s="2" t="s">
        <v>701</v>
      </c>
      <c r="G289" s="2" t="b">
        <f>COUNTIF(MASTER!$A$2:$A$1944,F289)=0</f>
        <v>1</v>
      </c>
      <c r="H289" s="2"/>
      <c r="I289" s="2" t="s">
        <v>702</v>
      </c>
      <c r="J289" s="2" t="b">
        <f>COUNTIF(MASTER!$L$2:$L$1944,I289)=0</f>
        <v>1</v>
      </c>
    </row>
    <row r="290" spans="6:10" x14ac:dyDescent="0.35">
      <c r="F290" s="2" t="s">
        <v>703</v>
      </c>
      <c r="G290" s="2" t="b">
        <f>COUNTIF(MASTER!$A$2:$A$1944,F290)=0</f>
        <v>1</v>
      </c>
      <c r="H290" s="2"/>
      <c r="I290" s="2" t="s">
        <v>704</v>
      </c>
      <c r="J290" s="2" t="b">
        <f>COUNTIF(MASTER!$L$2:$L$1944,I290)=0</f>
        <v>1</v>
      </c>
    </row>
    <row r="291" spans="6:10" x14ac:dyDescent="0.35">
      <c r="F291" s="2" t="s">
        <v>705</v>
      </c>
      <c r="G291" s="2" t="b">
        <f>COUNTIF(MASTER!$A$2:$A$1944,F291)=0</f>
        <v>1</v>
      </c>
      <c r="H291" s="2"/>
      <c r="I291" s="2" t="s">
        <v>706</v>
      </c>
      <c r="J291" s="2" t="b">
        <f>COUNTIF(MASTER!$L$2:$L$1944,I291)=0</f>
        <v>1</v>
      </c>
    </row>
    <row r="292" spans="6:10" x14ac:dyDescent="0.35">
      <c r="F292" s="2" t="s">
        <v>707</v>
      </c>
      <c r="G292" s="2" t="b">
        <f>COUNTIF(MASTER!$A$2:$A$1944,F292)=0</f>
        <v>1</v>
      </c>
      <c r="H292" s="2"/>
      <c r="I292" s="2" t="s">
        <v>708</v>
      </c>
      <c r="J292" s="2" t="b">
        <f>COUNTIF(MASTER!$L$2:$L$1944,I292)=0</f>
        <v>1</v>
      </c>
    </row>
    <row r="293" spans="6:10" x14ac:dyDescent="0.35">
      <c r="F293" s="2" t="s">
        <v>709</v>
      </c>
      <c r="G293" s="2" t="b">
        <f>COUNTIF(MASTER!$A$2:$A$1944,F293)=0</f>
        <v>1</v>
      </c>
      <c r="H293" s="2"/>
      <c r="I293" s="2" t="s">
        <v>710</v>
      </c>
      <c r="J293" s="2" t="b">
        <f>COUNTIF(MASTER!$L$2:$L$1944,I293)=0</f>
        <v>1</v>
      </c>
    </row>
    <row r="294" spans="6:10" x14ac:dyDescent="0.35">
      <c r="F294" s="2" t="s">
        <v>711</v>
      </c>
      <c r="G294" s="2" t="b">
        <f>COUNTIF(MASTER!$A$2:$A$1944,F294)=0</f>
        <v>1</v>
      </c>
      <c r="H294" s="2"/>
      <c r="I294" s="2" t="s">
        <v>712</v>
      </c>
      <c r="J294" s="2" t="b">
        <f>COUNTIF(MASTER!$L$2:$L$1944,I294)=0</f>
        <v>1</v>
      </c>
    </row>
    <row r="295" spans="6:10" x14ac:dyDescent="0.35">
      <c r="F295" s="2" t="s">
        <v>713</v>
      </c>
      <c r="G295" s="2" t="b">
        <f>COUNTIF(MASTER!$A$2:$A$1944,F295)=0</f>
        <v>1</v>
      </c>
      <c r="H295" s="2"/>
      <c r="I295" s="2" t="s">
        <v>714</v>
      </c>
      <c r="J295" s="2" t="b">
        <f>COUNTIF(MASTER!$L$2:$L$1944,I295)=0</f>
        <v>1</v>
      </c>
    </row>
    <row r="296" spans="6:10" x14ac:dyDescent="0.35">
      <c r="F296" s="2" t="s">
        <v>715</v>
      </c>
      <c r="G296" s="2" t="b">
        <f>COUNTIF(MASTER!$A$2:$A$1944,F296)=0</f>
        <v>1</v>
      </c>
      <c r="H296" s="2"/>
      <c r="I296" s="2" t="s">
        <v>716</v>
      </c>
      <c r="J296" s="2" t="b">
        <f>COUNTIF(MASTER!$L$2:$L$1944,I296)=0</f>
        <v>1</v>
      </c>
    </row>
    <row r="297" spans="6:10" x14ac:dyDescent="0.35">
      <c r="F297" s="2" t="s">
        <v>717</v>
      </c>
      <c r="G297" s="2" t="b">
        <f>COUNTIF(MASTER!$A$2:$A$1944,F297)=0</f>
        <v>1</v>
      </c>
      <c r="H297" s="2"/>
      <c r="I297" s="2" t="s">
        <v>718</v>
      </c>
      <c r="J297" s="2" t="b">
        <f>COUNTIF(MASTER!$L$2:$L$1944,I297)=0</f>
        <v>1</v>
      </c>
    </row>
    <row r="298" spans="6:10" x14ac:dyDescent="0.35">
      <c r="F298" s="2" t="s">
        <v>719</v>
      </c>
      <c r="G298" s="2" t="b">
        <f>COUNTIF(MASTER!$A$2:$A$1944,F298)=0</f>
        <v>1</v>
      </c>
      <c r="H298" s="2"/>
      <c r="I298" s="2" t="s">
        <v>720</v>
      </c>
      <c r="J298" s="2" t="b">
        <f>COUNTIF(MASTER!$L$2:$L$1944,I298)=0</f>
        <v>1</v>
      </c>
    </row>
    <row r="299" spans="6:10" x14ac:dyDescent="0.35">
      <c r="F299" s="2" t="s">
        <v>721</v>
      </c>
      <c r="G299" s="2" t="b">
        <f>COUNTIF(MASTER!$A$2:$A$1944,F299)=0</f>
        <v>1</v>
      </c>
      <c r="H299" s="2"/>
      <c r="I299" s="2" t="s">
        <v>722</v>
      </c>
      <c r="J299" s="2" t="b">
        <f>COUNTIF(MASTER!$L$2:$L$1944,I299)=0</f>
        <v>1</v>
      </c>
    </row>
    <row r="300" spans="6:10" x14ac:dyDescent="0.35">
      <c r="F300" s="2" t="s">
        <v>723</v>
      </c>
      <c r="G300" s="2" t="b">
        <f>COUNTIF(MASTER!$A$2:$A$1944,F300)=0</f>
        <v>1</v>
      </c>
      <c r="H300" s="2"/>
      <c r="I300" s="2" t="s">
        <v>724</v>
      </c>
      <c r="J300" s="2" t="b">
        <f>COUNTIF(MASTER!$L$2:$L$1944,I300)=0</f>
        <v>1</v>
      </c>
    </row>
    <row r="301" spans="6:10" x14ac:dyDescent="0.35">
      <c r="F301" s="2" t="s">
        <v>725</v>
      </c>
      <c r="G301" s="2" t="b">
        <f>COUNTIF(MASTER!$A$2:$A$1944,F301)=0</f>
        <v>1</v>
      </c>
      <c r="H301" s="2"/>
      <c r="I301" s="2" t="s">
        <v>726</v>
      </c>
      <c r="J301" s="2" t="b">
        <f>COUNTIF(MASTER!$L$2:$L$1944,I301)=0</f>
        <v>1</v>
      </c>
    </row>
    <row r="302" spans="6:10" x14ac:dyDescent="0.35">
      <c r="F302" s="2" t="s">
        <v>727</v>
      </c>
      <c r="G302" s="2" t="b">
        <f>COUNTIF(MASTER!$A$2:$A$1944,F302)=0</f>
        <v>1</v>
      </c>
      <c r="H302" s="2"/>
      <c r="I302" s="2" t="s">
        <v>728</v>
      </c>
      <c r="J302" s="2" t="b">
        <f>COUNTIF(MASTER!$L$2:$L$1944,I302)=0</f>
        <v>1</v>
      </c>
    </row>
    <row r="303" spans="6:10" x14ac:dyDescent="0.35">
      <c r="F303" s="2" t="s">
        <v>729</v>
      </c>
      <c r="G303" s="2" t="b">
        <f>COUNTIF(MASTER!$A$2:$A$1944,F303)=0</f>
        <v>1</v>
      </c>
      <c r="H303" s="2"/>
      <c r="I303" s="2" t="s">
        <v>730</v>
      </c>
      <c r="J303" s="2" t="b">
        <f>COUNTIF(MASTER!$L$2:$L$1944,I303)=0</f>
        <v>1</v>
      </c>
    </row>
    <row r="304" spans="6:10" x14ac:dyDescent="0.35">
      <c r="F304" s="2" t="s">
        <v>731</v>
      </c>
      <c r="G304" s="2" t="b">
        <f>COUNTIF(MASTER!$A$2:$A$1944,F304)=0</f>
        <v>1</v>
      </c>
      <c r="H304" s="2"/>
      <c r="I304" s="2" t="s">
        <v>732</v>
      </c>
      <c r="J304" s="2" t="b">
        <f>COUNTIF(MASTER!$L$2:$L$1944,I304)=0</f>
        <v>1</v>
      </c>
    </row>
    <row r="305" spans="6:10" x14ac:dyDescent="0.35">
      <c r="F305" s="2" t="s">
        <v>733</v>
      </c>
      <c r="G305" s="2" t="b">
        <f>COUNTIF(MASTER!$A$2:$A$1944,F305)=0</f>
        <v>1</v>
      </c>
      <c r="H305" s="2"/>
      <c r="I305" s="2" t="s">
        <v>734</v>
      </c>
      <c r="J305" s="2" t="b">
        <f>COUNTIF(MASTER!$L$2:$L$1944,I305)=0</f>
        <v>1</v>
      </c>
    </row>
    <row r="306" spans="6:10" x14ac:dyDescent="0.35">
      <c r="F306" s="2" t="s">
        <v>735</v>
      </c>
      <c r="G306" s="2" t="b">
        <f>COUNTIF(MASTER!$A$2:$A$1944,F306)=0</f>
        <v>1</v>
      </c>
      <c r="H306" s="2"/>
      <c r="I306" s="2" t="s">
        <v>736</v>
      </c>
      <c r="J306" s="2" t="b">
        <f>COUNTIF(MASTER!$L$2:$L$1944,I306)=0</f>
        <v>1</v>
      </c>
    </row>
    <row r="307" spans="6:10" x14ac:dyDescent="0.35">
      <c r="F307" s="2" t="s">
        <v>737</v>
      </c>
      <c r="G307" s="2" t="b">
        <f>COUNTIF(MASTER!$A$2:$A$1944,F307)=0</f>
        <v>1</v>
      </c>
      <c r="H307" s="2"/>
      <c r="I307" s="2" t="s">
        <v>738</v>
      </c>
      <c r="J307" s="2" t="b">
        <f>COUNTIF(MASTER!$L$2:$L$1944,I307)=0</f>
        <v>1</v>
      </c>
    </row>
    <row r="308" spans="6:10" x14ac:dyDescent="0.35">
      <c r="F308" s="2" t="s">
        <v>739</v>
      </c>
      <c r="G308" s="2" t="b">
        <f>COUNTIF(MASTER!$A$2:$A$1944,F308)=0</f>
        <v>1</v>
      </c>
      <c r="H308" s="2"/>
      <c r="I308" s="2" t="s">
        <v>740</v>
      </c>
      <c r="J308" s="2" t="b">
        <f>COUNTIF(MASTER!$L$2:$L$1944,I308)=0</f>
        <v>1</v>
      </c>
    </row>
    <row r="309" spans="6:10" x14ac:dyDescent="0.35">
      <c r="F309" s="2" t="s">
        <v>741</v>
      </c>
      <c r="G309" s="2" t="b">
        <f>COUNTIF(MASTER!$A$2:$A$1944,F309)=0</f>
        <v>1</v>
      </c>
      <c r="H309" s="2"/>
      <c r="I309" s="2" t="s">
        <v>742</v>
      </c>
      <c r="J309" s="2" t="b">
        <f>COUNTIF(MASTER!$L$2:$L$1944,I309)=0</f>
        <v>1</v>
      </c>
    </row>
    <row r="310" spans="6:10" x14ac:dyDescent="0.35">
      <c r="F310" s="2" t="s">
        <v>743</v>
      </c>
      <c r="G310" s="2" t="b">
        <f>COUNTIF(MASTER!$A$2:$A$1944,F310)=0</f>
        <v>1</v>
      </c>
      <c r="H310" s="2"/>
      <c r="I310" s="2" t="s">
        <v>744</v>
      </c>
      <c r="J310" s="2" t="b">
        <f>COUNTIF(MASTER!$L$2:$L$1944,I310)=0</f>
        <v>1</v>
      </c>
    </row>
    <row r="311" spans="6:10" x14ac:dyDescent="0.35">
      <c r="F311" s="2" t="s">
        <v>745</v>
      </c>
      <c r="G311" s="2" t="b">
        <f>COUNTIF(MASTER!$A$2:$A$1944,F311)=0</f>
        <v>1</v>
      </c>
      <c r="H311" s="2"/>
      <c r="I311" s="2" t="s">
        <v>746</v>
      </c>
      <c r="J311" s="2" t="b">
        <f>COUNTIF(MASTER!$L$2:$L$1944,I311)=0</f>
        <v>1</v>
      </c>
    </row>
    <row r="312" spans="6:10" x14ac:dyDescent="0.35">
      <c r="F312" s="2" t="s">
        <v>747</v>
      </c>
      <c r="G312" s="2" t="b">
        <f>COUNTIF(MASTER!$A$2:$A$1944,F312)=0</f>
        <v>1</v>
      </c>
      <c r="H312" s="2"/>
      <c r="I312" s="2" t="s">
        <v>748</v>
      </c>
      <c r="J312" s="2" t="b">
        <f>COUNTIF(MASTER!$L$2:$L$1944,I312)=0</f>
        <v>1</v>
      </c>
    </row>
    <row r="313" spans="6:10" x14ac:dyDescent="0.35">
      <c r="F313" s="2" t="s">
        <v>749</v>
      </c>
      <c r="G313" s="2" t="b">
        <f>COUNTIF(MASTER!$A$2:$A$1944,F313)=0</f>
        <v>1</v>
      </c>
      <c r="H313" s="2"/>
      <c r="I313" s="2" t="s">
        <v>750</v>
      </c>
      <c r="J313" s="2" t="b">
        <f>COUNTIF(MASTER!$L$2:$L$1944,I313)=0</f>
        <v>1</v>
      </c>
    </row>
    <row r="314" spans="6:10" x14ac:dyDescent="0.35">
      <c r="F314" s="2" t="s">
        <v>751</v>
      </c>
      <c r="G314" s="2" t="b">
        <f>COUNTIF(MASTER!$A$2:$A$1944,F314)=0</f>
        <v>1</v>
      </c>
      <c r="H314" s="2"/>
      <c r="I314" s="2" t="s">
        <v>752</v>
      </c>
      <c r="J314" s="2" t="b">
        <f>COUNTIF(MASTER!$L$2:$L$1944,I314)=0</f>
        <v>1</v>
      </c>
    </row>
    <row r="315" spans="6:10" x14ac:dyDescent="0.35">
      <c r="F315" s="2" t="s">
        <v>753</v>
      </c>
      <c r="G315" s="2" t="b">
        <f>COUNTIF(MASTER!$A$2:$A$1944,F315)=0</f>
        <v>1</v>
      </c>
      <c r="H315" s="2"/>
      <c r="I315" s="2" t="s">
        <v>754</v>
      </c>
      <c r="J315" s="2" t="b">
        <f>COUNTIF(MASTER!$L$2:$L$1944,I315)=0</f>
        <v>1</v>
      </c>
    </row>
    <row r="316" spans="6:10" x14ac:dyDescent="0.35">
      <c r="F316" s="2" t="s">
        <v>755</v>
      </c>
      <c r="G316" s="2" t="b">
        <f>COUNTIF(MASTER!$A$2:$A$1944,F316)=0</f>
        <v>1</v>
      </c>
      <c r="H316" s="2"/>
      <c r="I316" s="2" t="s">
        <v>756</v>
      </c>
      <c r="J316" s="2" t="b">
        <f>COUNTIF(MASTER!$L$2:$L$1944,I316)=0</f>
        <v>1</v>
      </c>
    </row>
    <row r="317" spans="6:10" x14ac:dyDescent="0.35">
      <c r="F317" s="2" t="s">
        <v>757</v>
      </c>
      <c r="G317" s="2" t="b">
        <f>COUNTIF(MASTER!$A$2:$A$1944,F317)=0</f>
        <v>1</v>
      </c>
      <c r="H317" s="2"/>
      <c r="I317" s="2" t="s">
        <v>758</v>
      </c>
      <c r="J317" s="2" t="b">
        <f>COUNTIF(MASTER!$L$2:$L$1944,I317)=0</f>
        <v>1</v>
      </c>
    </row>
    <row r="318" spans="6:10" x14ac:dyDescent="0.35">
      <c r="F318" s="2" t="s">
        <v>759</v>
      </c>
      <c r="G318" s="2" t="b">
        <f>COUNTIF(MASTER!$A$2:$A$1944,F318)=0</f>
        <v>1</v>
      </c>
      <c r="H318" s="2"/>
      <c r="I318" s="2" t="s">
        <v>760</v>
      </c>
      <c r="J318" s="2" t="b">
        <f>COUNTIF(MASTER!$L$2:$L$1944,I318)=0</f>
        <v>1</v>
      </c>
    </row>
    <row r="319" spans="6:10" x14ac:dyDescent="0.35">
      <c r="F319" s="2" t="s">
        <v>761</v>
      </c>
      <c r="G319" s="2" t="b">
        <f>COUNTIF(MASTER!$A$2:$A$1944,F319)=0</f>
        <v>1</v>
      </c>
      <c r="H319" s="2"/>
      <c r="I319" s="2" t="s">
        <v>762</v>
      </c>
      <c r="J319" s="2" t="b">
        <f>COUNTIF(MASTER!$L$2:$L$1944,I319)=0</f>
        <v>1</v>
      </c>
    </row>
    <row r="320" spans="6:10" x14ac:dyDescent="0.35">
      <c r="F320" s="2" t="s">
        <v>763</v>
      </c>
      <c r="G320" s="2" t="b">
        <f>COUNTIF(MASTER!$A$2:$A$1944,F320)=0</f>
        <v>1</v>
      </c>
      <c r="H320" s="2"/>
      <c r="I320" s="2" t="s">
        <v>764</v>
      </c>
      <c r="J320" s="2" t="b">
        <f>COUNTIF(MASTER!$L$2:$L$1944,I320)=0</f>
        <v>1</v>
      </c>
    </row>
    <row r="321" spans="6:10" x14ac:dyDescent="0.35">
      <c r="F321" s="2" t="s">
        <v>765</v>
      </c>
      <c r="G321" s="2" t="b">
        <f>COUNTIF(MASTER!$A$2:$A$1944,F321)=0</f>
        <v>1</v>
      </c>
      <c r="H321" s="2"/>
      <c r="I321" s="2" t="s">
        <v>766</v>
      </c>
      <c r="J321" s="2" t="b">
        <f>COUNTIF(MASTER!$L$2:$L$1944,I321)=0</f>
        <v>1</v>
      </c>
    </row>
    <row r="322" spans="6:10" x14ac:dyDescent="0.35">
      <c r="F322" s="2" t="s">
        <v>767</v>
      </c>
      <c r="G322" s="2" t="b">
        <f>COUNTIF(MASTER!$A$2:$A$1944,F322)=0</f>
        <v>1</v>
      </c>
      <c r="H322" s="2"/>
      <c r="I322" s="2" t="s">
        <v>768</v>
      </c>
      <c r="J322" s="2" t="b">
        <f>COUNTIF(MASTER!$L$2:$L$1944,I322)=0</f>
        <v>1</v>
      </c>
    </row>
    <row r="323" spans="6:10" x14ac:dyDescent="0.35">
      <c r="F323" s="2" t="s">
        <v>769</v>
      </c>
      <c r="G323" s="2" t="b">
        <f>COUNTIF(MASTER!$A$2:$A$1944,F323)=0</f>
        <v>1</v>
      </c>
      <c r="H323" s="2"/>
      <c r="I323" s="2" t="s">
        <v>770</v>
      </c>
      <c r="J323" s="2" t="b">
        <f>COUNTIF(MASTER!$L$2:$L$1944,I323)=0</f>
        <v>1</v>
      </c>
    </row>
    <row r="324" spans="6:10" x14ac:dyDescent="0.35">
      <c r="F324" s="2" t="s">
        <v>771</v>
      </c>
      <c r="G324" s="2" t="b">
        <f>COUNTIF(MASTER!$A$2:$A$1944,F324)=0</f>
        <v>1</v>
      </c>
      <c r="H324" s="2"/>
      <c r="I324" s="2" t="s">
        <v>772</v>
      </c>
      <c r="J324" s="2" t="b">
        <f>COUNTIF(MASTER!$L$2:$L$1944,I324)=0</f>
        <v>1</v>
      </c>
    </row>
    <row r="325" spans="6:10" x14ac:dyDescent="0.35">
      <c r="F325" s="2" t="s">
        <v>773</v>
      </c>
      <c r="G325" s="2" t="b">
        <f>COUNTIF(MASTER!$A$2:$A$1944,F325)=0</f>
        <v>1</v>
      </c>
      <c r="H325" s="2"/>
      <c r="I325" s="2" t="s">
        <v>774</v>
      </c>
      <c r="J325" s="2" t="b">
        <f>COUNTIF(MASTER!$L$2:$L$1944,I325)=0</f>
        <v>1</v>
      </c>
    </row>
    <row r="326" spans="6:10" x14ac:dyDescent="0.35">
      <c r="F326" s="2" t="s">
        <v>775</v>
      </c>
      <c r="G326" s="2" t="b">
        <f>COUNTIF(MASTER!$A$2:$A$1944,F326)=0</f>
        <v>1</v>
      </c>
      <c r="H326" s="2"/>
      <c r="I326" s="2" t="s">
        <v>776</v>
      </c>
      <c r="J326" s="2" t="b">
        <f>COUNTIF(MASTER!$L$2:$L$1944,I326)=0</f>
        <v>1</v>
      </c>
    </row>
    <row r="327" spans="6:10" x14ac:dyDescent="0.35">
      <c r="F327" s="2" t="s">
        <v>777</v>
      </c>
      <c r="G327" s="2" t="b">
        <f>COUNTIF(MASTER!$A$2:$A$1944,F327)=0</f>
        <v>1</v>
      </c>
      <c r="H327" s="2"/>
      <c r="I327" s="2" t="s">
        <v>778</v>
      </c>
      <c r="J327" s="2" t="b">
        <f>COUNTIF(MASTER!$L$2:$L$1944,I327)=0</f>
        <v>1</v>
      </c>
    </row>
    <row r="328" spans="6:10" x14ac:dyDescent="0.35">
      <c r="F328" s="2" t="s">
        <v>779</v>
      </c>
      <c r="G328" s="2" t="b">
        <f>COUNTIF(MASTER!$A$2:$A$1944,F328)=0</f>
        <v>1</v>
      </c>
      <c r="H328" s="2"/>
      <c r="I328" s="2" t="s">
        <v>780</v>
      </c>
      <c r="J328" s="2" t="b">
        <f>COUNTIF(MASTER!$L$2:$L$1944,I328)=0</f>
        <v>1</v>
      </c>
    </row>
    <row r="329" spans="6:10" x14ac:dyDescent="0.35">
      <c r="F329" s="2" t="s">
        <v>781</v>
      </c>
      <c r="G329" s="2" t="b">
        <f>COUNTIF(MASTER!$A$2:$A$1944,F329)=0</f>
        <v>1</v>
      </c>
      <c r="H329" s="2"/>
      <c r="I329" s="2" t="s">
        <v>782</v>
      </c>
      <c r="J329" s="2" t="b">
        <f>COUNTIF(MASTER!$L$2:$L$1944,I329)=0</f>
        <v>1</v>
      </c>
    </row>
    <row r="330" spans="6:10" x14ac:dyDescent="0.35">
      <c r="F330" s="2" t="s">
        <v>783</v>
      </c>
      <c r="G330" s="2" t="b">
        <f>COUNTIF(MASTER!$A$2:$A$1944,F330)=0</f>
        <v>1</v>
      </c>
      <c r="H330" s="2"/>
      <c r="I330" s="2" t="s">
        <v>784</v>
      </c>
      <c r="J330" s="2" t="b">
        <f>COUNTIF(MASTER!$L$2:$L$1944,I330)=0</f>
        <v>1</v>
      </c>
    </row>
    <row r="331" spans="6:10" x14ac:dyDescent="0.35">
      <c r="F331" s="2" t="s">
        <v>785</v>
      </c>
      <c r="G331" s="2" t="b">
        <f>COUNTIF(MASTER!$A$2:$A$1944,F331)=0</f>
        <v>1</v>
      </c>
      <c r="H331" s="2"/>
      <c r="I331" s="2" t="s">
        <v>786</v>
      </c>
      <c r="J331" s="2" t="b">
        <f>COUNTIF(MASTER!$L$2:$L$1944,I331)=0</f>
        <v>1</v>
      </c>
    </row>
    <row r="332" spans="6:10" x14ac:dyDescent="0.35">
      <c r="F332" s="2" t="s">
        <v>787</v>
      </c>
      <c r="G332" s="2" t="b">
        <f>COUNTIF(MASTER!$A$2:$A$1944,F332)=0</f>
        <v>1</v>
      </c>
      <c r="H332" s="2"/>
      <c r="I332" s="2" t="s">
        <v>788</v>
      </c>
      <c r="J332" s="2" t="b">
        <f>COUNTIF(MASTER!$L$2:$L$1944,I332)=0</f>
        <v>1</v>
      </c>
    </row>
    <row r="333" spans="6:10" x14ac:dyDescent="0.35">
      <c r="F333" s="2" t="s">
        <v>789</v>
      </c>
      <c r="G333" s="2" t="b">
        <f>COUNTIF(MASTER!$A$2:$A$1944,F333)=0</f>
        <v>1</v>
      </c>
      <c r="H333" s="2"/>
      <c r="I333" s="2" t="s">
        <v>790</v>
      </c>
      <c r="J333" s="2" t="b">
        <f>COUNTIF(MASTER!$L$2:$L$1944,I333)=0</f>
        <v>1</v>
      </c>
    </row>
    <row r="334" spans="6:10" x14ac:dyDescent="0.35">
      <c r="F334" s="2" t="s">
        <v>791</v>
      </c>
      <c r="G334" s="2" t="b">
        <f>COUNTIF(MASTER!$A$2:$A$1944,F334)=0</f>
        <v>1</v>
      </c>
      <c r="H334" s="2"/>
      <c r="I334" s="2" t="s">
        <v>792</v>
      </c>
      <c r="J334" s="2" t="b">
        <f>COUNTIF(MASTER!$L$2:$L$1944,I334)=0</f>
        <v>1</v>
      </c>
    </row>
    <row r="335" spans="6:10" x14ac:dyDescent="0.35">
      <c r="F335" s="2" t="s">
        <v>793</v>
      </c>
      <c r="G335" s="2" t="b">
        <f>COUNTIF(MASTER!$A$2:$A$1944,F335)=0</f>
        <v>1</v>
      </c>
      <c r="H335" s="2"/>
      <c r="I335" s="2" t="s">
        <v>794</v>
      </c>
      <c r="J335" s="2" t="b">
        <f>COUNTIF(MASTER!$L$2:$L$1944,I335)=0</f>
        <v>1</v>
      </c>
    </row>
    <row r="336" spans="6:10" x14ac:dyDescent="0.35">
      <c r="F336" s="2" t="s">
        <v>795</v>
      </c>
      <c r="G336" s="2" t="b">
        <f>COUNTIF(MASTER!$A$2:$A$1944,F336)=0</f>
        <v>1</v>
      </c>
      <c r="H336" s="2"/>
      <c r="I336" s="2" t="s">
        <v>796</v>
      </c>
      <c r="J336" s="2" t="b">
        <f>COUNTIF(MASTER!$L$2:$L$1944,I336)=0</f>
        <v>1</v>
      </c>
    </row>
    <row r="337" spans="6:10" x14ac:dyDescent="0.35">
      <c r="F337" s="2" t="s">
        <v>797</v>
      </c>
      <c r="G337" s="2" t="b">
        <f>COUNTIF(MASTER!$A$2:$A$1944,F337)=0</f>
        <v>1</v>
      </c>
      <c r="H337" s="2"/>
      <c r="I337" s="2" t="s">
        <v>798</v>
      </c>
      <c r="J337" s="2" t="b">
        <f>COUNTIF(MASTER!$L$2:$L$1944,I337)=0</f>
        <v>1</v>
      </c>
    </row>
    <row r="338" spans="6:10" x14ac:dyDescent="0.35">
      <c r="F338" s="2" t="s">
        <v>799</v>
      </c>
      <c r="G338" s="2" t="b">
        <f>COUNTIF(MASTER!$A$2:$A$1944,F338)=0</f>
        <v>1</v>
      </c>
      <c r="H338" s="2"/>
      <c r="I338" s="2" t="s">
        <v>800</v>
      </c>
      <c r="J338" s="2" t="b">
        <f>COUNTIF(MASTER!$L$2:$L$1944,I338)=0</f>
        <v>1</v>
      </c>
    </row>
    <row r="339" spans="6:10" x14ac:dyDescent="0.35">
      <c r="F339" s="2" t="s">
        <v>801</v>
      </c>
      <c r="G339" s="2" t="b">
        <f>COUNTIF(MASTER!$A$2:$A$1944,F339)=0</f>
        <v>1</v>
      </c>
      <c r="H339" s="2"/>
      <c r="I339" s="2" t="s">
        <v>802</v>
      </c>
      <c r="J339" s="2" t="b">
        <f>COUNTIF(MASTER!$L$2:$L$1944,I339)=0</f>
        <v>1</v>
      </c>
    </row>
    <row r="340" spans="6:10" x14ac:dyDescent="0.35">
      <c r="F340" s="2" t="s">
        <v>803</v>
      </c>
      <c r="G340" s="2" t="b">
        <f>COUNTIF(MASTER!$A$2:$A$1944,F340)=0</f>
        <v>1</v>
      </c>
      <c r="H340" s="2"/>
      <c r="I340" s="2" t="s">
        <v>804</v>
      </c>
      <c r="J340" s="2" t="b">
        <f>COUNTIF(MASTER!$L$2:$L$1944,I340)=0</f>
        <v>1</v>
      </c>
    </row>
    <row r="341" spans="6:10" x14ac:dyDescent="0.35">
      <c r="F341" s="2" t="s">
        <v>805</v>
      </c>
      <c r="G341" s="2" t="b">
        <f>COUNTIF(MASTER!$A$2:$A$1944,F341)=0</f>
        <v>1</v>
      </c>
      <c r="H341" s="2"/>
      <c r="I341" s="2" t="s">
        <v>806</v>
      </c>
      <c r="J341" s="2" t="b">
        <f>COUNTIF(MASTER!$L$2:$L$1944,I341)=0</f>
        <v>1</v>
      </c>
    </row>
    <row r="342" spans="6:10" x14ac:dyDescent="0.35">
      <c r="F342" s="2" t="s">
        <v>807</v>
      </c>
      <c r="G342" s="2" t="b">
        <f>COUNTIF(MASTER!$A$2:$A$1944,F342)=0</f>
        <v>1</v>
      </c>
      <c r="H342" s="2"/>
      <c r="I342" s="2" t="s">
        <v>808</v>
      </c>
      <c r="J342" s="2" t="b">
        <f>COUNTIF(MASTER!$L$2:$L$1944,I342)=0</f>
        <v>1</v>
      </c>
    </row>
    <row r="343" spans="6:10" x14ac:dyDescent="0.35">
      <c r="F343" s="2" t="s">
        <v>809</v>
      </c>
      <c r="G343" s="2" t="b">
        <f>COUNTIF(MASTER!$A$2:$A$1944,F343)=0</f>
        <v>1</v>
      </c>
      <c r="H343" s="2"/>
      <c r="I343" s="2" t="s">
        <v>810</v>
      </c>
      <c r="J343" s="2" t="b">
        <f>COUNTIF(MASTER!$L$2:$L$1944,I343)=0</f>
        <v>1</v>
      </c>
    </row>
    <row r="344" spans="6:10" x14ac:dyDescent="0.35">
      <c r="F344" s="2" t="s">
        <v>811</v>
      </c>
      <c r="G344" s="2" t="b">
        <f>COUNTIF(MASTER!$A$2:$A$1944,F344)=0</f>
        <v>1</v>
      </c>
      <c r="H344" s="2"/>
      <c r="I344" s="2" t="s">
        <v>812</v>
      </c>
      <c r="J344" s="2" t="b">
        <f>COUNTIF(MASTER!$L$2:$L$1944,I344)=0</f>
        <v>1</v>
      </c>
    </row>
    <row r="345" spans="6:10" x14ac:dyDescent="0.35">
      <c r="F345" s="2" t="s">
        <v>813</v>
      </c>
      <c r="G345" s="2" t="b">
        <f>COUNTIF(MASTER!$A$2:$A$1944,F345)=0</f>
        <v>1</v>
      </c>
      <c r="H345" s="2"/>
      <c r="I345" s="2" t="s">
        <v>814</v>
      </c>
      <c r="J345" s="2" t="b">
        <f>COUNTIF(MASTER!$L$2:$L$1944,I345)=0</f>
        <v>1</v>
      </c>
    </row>
    <row r="346" spans="6:10" x14ac:dyDescent="0.35">
      <c r="F346" s="2" t="s">
        <v>815</v>
      </c>
      <c r="G346" s="2" t="b">
        <f>COUNTIF(MASTER!$A$2:$A$1944,F346)=0</f>
        <v>1</v>
      </c>
      <c r="H346" s="2"/>
      <c r="I346" s="2" t="s">
        <v>816</v>
      </c>
      <c r="J346" s="2" t="b">
        <f>COUNTIF(MASTER!$L$2:$L$1944,I346)=0</f>
        <v>1</v>
      </c>
    </row>
    <row r="347" spans="6:10" x14ac:dyDescent="0.35">
      <c r="F347" s="2" t="s">
        <v>817</v>
      </c>
      <c r="G347" s="2" t="b">
        <f>COUNTIF(MASTER!$A$2:$A$1944,F347)=0</f>
        <v>1</v>
      </c>
      <c r="H347" s="2"/>
      <c r="I347" s="2" t="s">
        <v>818</v>
      </c>
      <c r="J347" s="2" t="b">
        <f>COUNTIF(MASTER!$L$2:$L$1944,I347)=0</f>
        <v>1</v>
      </c>
    </row>
    <row r="348" spans="6:10" x14ac:dyDescent="0.35">
      <c r="F348" s="2" t="s">
        <v>819</v>
      </c>
      <c r="G348" s="2" t="b">
        <f>COUNTIF(MASTER!$A$2:$A$1944,F348)=0</f>
        <v>1</v>
      </c>
      <c r="H348" s="2"/>
      <c r="I348" s="2" t="s">
        <v>820</v>
      </c>
      <c r="J348" s="2" t="b">
        <f>COUNTIF(MASTER!$L$2:$L$1944,I348)=0</f>
        <v>1</v>
      </c>
    </row>
    <row r="349" spans="6:10" x14ac:dyDescent="0.35">
      <c r="F349" s="2" t="s">
        <v>821</v>
      </c>
      <c r="G349" s="2" t="b">
        <f>COUNTIF(MASTER!$A$2:$A$1944,F349)=0</f>
        <v>1</v>
      </c>
      <c r="H349" s="2"/>
      <c r="I349" s="2" t="s">
        <v>822</v>
      </c>
      <c r="J349" s="2" t="b">
        <f>COUNTIF(MASTER!$L$2:$L$1944,I349)=0</f>
        <v>1</v>
      </c>
    </row>
    <row r="350" spans="6:10" x14ac:dyDescent="0.35">
      <c r="F350" s="2" t="s">
        <v>823</v>
      </c>
      <c r="G350" s="2" t="b">
        <f>COUNTIF(MASTER!$A$2:$A$1944,F350)=0</f>
        <v>1</v>
      </c>
      <c r="H350" s="2"/>
      <c r="I350" s="2" t="s">
        <v>824</v>
      </c>
      <c r="J350" s="2" t="b">
        <f>COUNTIF(MASTER!$L$2:$L$1944,I350)=0</f>
        <v>1</v>
      </c>
    </row>
    <row r="351" spans="6:10" x14ac:dyDescent="0.35">
      <c r="F351" s="2" t="s">
        <v>825</v>
      </c>
      <c r="G351" s="2" t="b">
        <f>COUNTIF(MASTER!$A$2:$A$1944,F351)=0</f>
        <v>1</v>
      </c>
      <c r="H351" s="2"/>
      <c r="I351" s="2" t="s">
        <v>826</v>
      </c>
      <c r="J351" s="2" t="b">
        <f>COUNTIF(MASTER!$L$2:$L$1944,I351)=0</f>
        <v>1</v>
      </c>
    </row>
    <row r="352" spans="6:10" x14ac:dyDescent="0.35">
      <c r="F352" s="2" t="s">
        <v>827</v>
      </c>
      <c r="G352" s="2" t="b">
        <f>COUNTIF(MASTER!$A$2:$A$1944,F352)=0</f>
        <v>1</v>
      </c>
      <c r="H352" s="2"/>
      <c r="I352" s="2" t="s">
        <v>828</v>
      </c>
      <c r="J352" s="2" t="b">
        <f>COUNTIF(MASTER!$L$2:$L$1944,I352)=0</f>
        <v>1</v>
      </c>
    </row>
    <row r="353" spans="6:10" x14ac:dyDescent="0.35">
      <c r="F353" s="2" t="s">
        <v>829</v>
      </c>
      <c r="G353" s="2" t="b">
        <f>COUNTIF(MASTER!$A$2:$A$1944,F353)=0</f>
        <v>1</v>
      </c>
      <c r="H353" s="2"/>
      <c r="I353" s="2" t="s">
        <v>830</v>
      </c>
      <c r="J353" s="2" t="b">
        <f>COUNTIF(MASTER!$L$2:$L$1944,I353)=0</f>
        <v>1</v>
      </c>
    </row>
    <row r="354" spans="6:10" x14ac:dyDescent="0.35">
      <c r="F354" s="2" t="s">
        <v>831</v>
      </c>
      <c r="G354" s="2" t="b">
        <f>COUNTIF(MASTER!$A$2:$A$1944,F354)=0</f>
        <v>1</v>
      </c>
      <c r="H354" s="2"/>
      <c r="I354" s="2" t="s">
        <v>832</v>
      </c>
      <c r="J354" s="2" t="b">
        <f>COUNTIF(MASTER!$L$2:$L$1944,I354)=0</f>
        <v>1</v>
      </c>
    </row>
    <row r="355" spans="6:10" x14ac:dyDescent="0.35">
      <c r="F355" s="2" t="s">
        <v>833</v>
      </c>
      <c r="G355" s="2" t="b">
        <f>COUNTIF(MASTER!$A$2:$A$1944,F355)=0</f>
        <v>1</v>
      </c>
      <c r="H355" s="2"/>
      <c r="I355" s="2" t="s">
        <v>834</v>
      </c>
      <c r="J355" s="2" t="b">
        <f>COUNTIF(MASTER!$L$2:$L$1944,I355)=0</f>
        <v>1</v>
      </c>
    </row>
    <row r="356" spans="6:10" x14ac:dyDescent="0.35">
      <c r="F356" s="2" t="s">
        <v>835</v>
      </c>
      <c r="G356" s="2" t="b">
        <f>COUNTIF(MASTER!$A$2:$A$1944,F356)=0</f>
        <v>1</v>
      </c>
      <c r="H356" s="2"/>
      <c r="I356" s="2" t="s">
        <v>836</v>
      </c>
      <c r="J356" s="2" t="b">
        <f>COUNTIF(MASTER!$L$2:$L$1944,I356)=0</f>
        <v>1</v>
      </c>
    </row>
    <row r="357" spans="6:10" x14ac:dyDescent="0.35">
      <c r="F357" s="2" t="s">
        <v>837</v>
      </c>
      <c r="G357" s="2" t="b">
        <f>COUNTIF(MASTER!$A$2:$A$1944,F357)=0</f>
        <v>1</v>
      </c>
      <c r="H357" s="2"/>
      <c r="I357" s="2" t="s">
        <v>838</v>
      </c>
      <c r="J357" s="2" t="b">
        <f>COUNTIF(MASTER!$L$2:$L$1944,I357)=0</f>
        <v>1</v>
      </c>
    </row>
    <row r="358" spans="6:10" x14ac:dyDescent="0.35">
      <c r="F358" s="2" t="s">
        <v>839</v>
      </c>
      <c r="G358" s="2" t="b">
        <f>COUNTIF(MASTER!$A$2:$A$1944,F358)=0</f>
        <v>1</v>
      </c>
      <c r="H358" s="2"/>
      <c r="I358" s="2" t="s">
        <v>840</v>
      </c>
      <c r="J358" s="2" t="b">
        <f>COUNTIF(MASTER!$L$2:$L$1944,I358)=0</f>
        <v>1</v>
      </c>
    </row>
    <row r="359" spans="6:10" x14ac:dyDescent="0.35">
      <c r="F359" s="2" t="s">
        <v>841</v>
      </c>
      <c r="G359" s="2" t="b">
        <f>COUNTIF(MASTER!$A$2:$A$1944,F359)=0</f>
        <v>1</v>
      </c>
      <c r="H359" s="2"/>
      <c r="I359" s="2" t="s">
        <v>842</v>
      </c>
      <c r="J359" s="2" t="b">
        <f>COUNTIF(MASTER!$L$2:$L$1944,I359)=0</f>
        <v>1</v>
      </c>
    </row>
    <row r="360" spans="6:10" x14ac:dyDescent="0.35">
      <c r="F360" s="2" t="s">
        <v>843</v>
      </c>
      <c r="G360" s="2" t="b">
        <f>COUNTIF(MASTER!$A$2:$A$1944,F360)=0</f>
        <v>1</v>
      </c>
      <c r="H360" s="2"/>
      <c r="I360" s="2" t="s">
        <v>844</v>
      </c>
      <c r="J360" s="2" t="b">
        <f>COUNTIF(MASTER!$L$2:$L$1944,I360)=0</f>
        <v>1</v>
      </c>
    </row>
    <row r="361" spans="6:10" x14ac:dyDescent="0.35">
      <c r="F361" s="2" t="s">
        <v>845</v>
      </c>
      <c r="G361" s="2" t="b">
        <f>COUNTIF(MASTER!$A$2:$A$1944,F361)=0</f>
        <v>1</v>
      </c>
      <c r="H361" s="2"/>
      <c r="I361" s="2" t="s">
        <v>846</v>
      </c>
      <c r="J361" s="2" t="b">
        <f>COUNTIF(MASTER!$L$2:$L$1944,I361)=0</f>
        <v>1</v>
      </c>
    </row>
    <row r="362" spans="6:10" x14ac:dyDescent="0.35">
      <c r="F362" s="2" t="s">
        <v>847</v>
      </c>
      <c r="G362" s="2" t="b">
        <f>COUNTIF(MASTER!$A$2:$A$1944,F362)=0</f>
        <v>1</v>
      </c>
      <c r="H362" s="2"/>
      <c r="I362" s="2" t="s">
        <v>848</v>
      </c>
      <c r="J362" s="2" t="b">
        <f>COUNTIF(MASTER!$L$2:$L$1944,I362)=0</f>
        <v>1</v>
      </c>
    </row>
    <row r="363" spans="6:10" x14ac:dyDescent="0.35">
      <c r="F363" s="2" t="s">
        <v>849</v>
      </c>
      <c r="G363" s="2" t="b">
        <f>COUNTIF(MASTER!$A$2:$A$1944,F363)=0</f>
        <v>1</v>
      </c>
      <c r="H363" s="2"/>
      <c r="I363" s="2" t="s">
        <v>850</v>
      </c>
      <c r="J363" s="2" t="b">
        <f>COUNTIF(MASTER!$L$2:$L$1944,I363)=0</f>
        <v>1</v>
      </c>
    </row>
    <row r="364" spans="6:10" x14ac:dyDescent="0.35">
      <c r="F364" s="2" t="s">
        <v>851</v>
      </c>
      <c r="G364" s="2" t="b">
        <f>COUNTIF(MASTER!$A$2:$A$1944,F364)=0</f>
        <v>1</v>
      </c>
      <c r="H364" s="2"/>
      <c r="I364" s="2" t="s">
        <v>852</v>
      </c>
      <c r="J364" s="2" t="b">
        <f>COUNTIF(MASTER!$L$2:$L$1944,I364)=0</f>
        <v>1</v>
      </c>
    </row>
    <row r="365" spans="6:10" x14ac:dyDescent="0.35">
      <c r="F365" s="2" t="s">
        <v>853</v>
      </c>
      <c r="G365" s="2" t="b">
        <f>COUNTIF(MASTER!$A$2:$A$1944,F365)=0</f>
        <v>1</v>
      </c>
      <c r="H365" s="2"/>
      <c r="I365" s="2" t="s">
        <v>854</v>
      </c>
      <c r="J365" s="2" t="b">
        <f>COUNTIF(MASTER!$L$2:$L$1944,I365)=0</f>
        <v>1</v>
      </c>
    </row>
    <row r="366" spans="6:10" x14ac:dyDescent="0.35">
      <c r="F366" s="2" t="s">
        <v>855</v>
      </c>
      <c r="G366" s="2" t="b">
        <f>COUNTIF(MASTER!$A$2:$A$1944,F366)=0</f>
        <v>1</v>
      </c>
      <c r="H366" s="2"/>
      <c r="I366" s="2" t="s">
        <v>856</v>
      </c>
      <c r="J366" s="2" t="b">
        <f>COUNTIF(MASTER!$L$2:$L$1944,I366)=0</f>
        <v>1</v>
      </c>
    </row>
    <row r="367" spans="6:10" x14ac:dyDescent="0.35">
      <c r="F367" s="2" t="s">
        <v>857</v>
      </c>
      <c r="G367" s="2" t="b">
        <f>COUNTIF(MASTER!$A$2:$A$1944,F367)=0</f>
        <v>1</v>
      </c>
      <c r="H367" s="2"/>
      <c r="I367" s="2" t="s">
        <v>858</v>
      </c>
      <c r="J367" s="2" t="b">
        <f>COUNTIF(MASTER!$L$2:$L$1944,I367)=0</f>
        <v>1</v>
      </c>
    </row>
    <row r="368" spans="6:10" x14ac:dyDescent="0.35">
      <c r="F368" s="2" t="s">
        <v>859</v>
      </c>
      <c r="G368" s="2" t="b">
        <f>COUNTIF(MASTER!$A$2:$A$1944,F368)=0</f>
        <v>1</v>
      </c>
      <c r="H368" s="2"/>
      <c r="I368" s="2" t="s">
        <v>860</v>
      </c>
      <c r="J368" s="2" t="b">
        <f>COUNTIF(MASTER!$L$2:$L$1944,I368)=0</f>
        <v>1</v>
      </c>
    </row>
    <row r="369" spans="6:10" x14ac:dyDescent="0.35">
      <c r="F369" s="2" t="s">
        <v>861</v>
      </c>
      <c r="G369" s="2" t="b">
        <f>COUNTIF(MASTER!$A$2:$A$1944,F369)=0</f>
        <v>1</v>
      </c>
      <c r="H369" s="2"/>
      <c r="I369" s="2" t="s">
        <v>862</v>
      </c>
      <c r="J369" s="2" t="b">
        <f>COUNTIF(MASTER!$L$2:$L$1944,I369)=0</f>
        <v>1</v>
      </c>
    </row>
    <row r="370" spans="6:10" x14ac:dyDescent="0.35">
      <c r="F370" s="2" t="s">
        <v>863</v>
      </c>
      <c r="G370" s="2" t="b">
        <f>COUNTIF(MASTER!$A$2:$A$1944,F370)=0</f>
        <v>1</v>
      </c>
      <c r="H370" s="2"/>
      <c r="I370" s="2" t="s">
        <v>864</v>
      </c>
      <c r="J370" s="2" t="b">
        <f>COUNTIF(MASTER!$L$2:$L$1944,I370)=0</f>
        <v>1</v>
      </c>
    </row>
    <row r="371" spans="6:10" x14ac:dyDescent="0.35">
      <c r="F371" s="2" t="s">
        <v>865</v>
      </c>
      <c r="G371" s="2" t="b">
        <f>COUNTIF(MASTER!$A$2:$A$1944,F371)=0</f>
        <v>1</v>
      </c>
      <c r="H371" s="2"/>
      <c r="I371" s="2" t="s">
        <v>866</v>
      </c>
      <c r="J371" s="2" t="b">
        <f>COUNTIF(MASTER!$L$2:$L$1944,I371)=0</f>
        <v>1</v>
      </c>
    </row>
    <row r="372" spans="6:10" x14ac:dyDescent="0.35">
      <c r="F372" s="2" t="s">
        <v>867</v>
      </c>
      <c r="G372" s="2" t="b">
        <f>COUNTIF(MASTER!$A$2:$A$1944,F372)=0</f>
        <v>1</v>
      </c>
      <c r="H372" s="2"/>
      <c r="I372" s="2" t="s">
        <v>868</v>
      </c>
      <c r="J372" s="2" t="b">
        <f>COUNTIF(MASTER!$L$2:$L$1944,I372)=0</f>
        <v>1</v>
      </c>
    </row>
    <row r="373" spans="6:10" x14ac:dyDescent="0.35">
      <c r="F373" s="2" t="s">
        <v>869</v>
      </c>
      <c r="G373" s="2" t="b">
        <f>COUNTIF(MASTER!$A$2:$A$1944,F373)=0</f>
        <v>1</v>
      </c>
      <c r="H373" s="2"/>
      <c r="I373" s="2" t="s">
        <v>870</v>
      </c>
      <c r="J373" s="2" t="b">
        <f>COUNTIF(MASTER!$L$2:$L$1944,I373)=0</f>
        <v>1</v>
      </c>
    </row>
    <row r="374" spans="6:10" x14ac:dyDescent="0.35">
      <c r="F374" s="2" t="s">
        <v>871</v>
      </c>
      <c r="G374" s="2" t="b">
        <f>COUNTIF(MASTER!$A$2:$A$1944,F374)=0</f>
        <v>1</v>
      </c>
      <c r="H374" s="2"/>
      <c r="I374" s="2" t="s">
        <v>872</v>
      </c>
      <c r="J374" s="2" t="b">
        <f>COUNTIF(MASTER!$L$2:$L$1944,I374)=0</f>
        <v>1</v>
      </c>
    </row>
    <row r="375" spans="6:10" x14ac:dyDescent="0.35">
      <c r="F375" s="2" t="s">
        <v>873</v>
      </c>
      <c r="G375" s="2" t="b">
        <f>COUNTIF(MASTER!$A$2:$A$1944,F375)=0</f>
        <v>1</v>
      </c>
      <c r="H375" s="2"/>
      <c r="I375" s="2" t="s">
        <v>874</v>
      </c>
      <c r="J375" s="2" t="b">
        <f>COUNTIF(MASTER!$L$2:$L$1944,I375)=0</f>
        <v>1</v>
      </c>
    </row>
    <row r="376" spans="6:10" x14ac:dyDescent="0.35">
      <c r="F376" s="2" t="s">
        <v>875</v>
      </c>
      <c r="G376" s="2" t="b">
        <f>COUNTIF(MASTER!$A$2:$A$1944,F376)=0</f>
        <v>1</v>
      </c>
      <c r="H376" s="2"/>
      <c r="I376" s="2" t="s">
        <v>876</v>
      </c>
      <c r="J376" s="2" t="b">
        <f>COUNTIF(MASTER!$L$2:$L$1944,I376)=0</f>
        <v>1</v>
      </c>
    </row>
    <row r="377" spans="6:10" x14ac:dyDescent="0.35">
      <c r="F377" s="2" t="s">
        <v>877</v>
      </c>
      <c r="G377" s="2" t="b">
        <f>COUNTIF(MASTER!$A$2:$A$1944,F377)=0</f>
        <v>1</v>
      </c>
      <c r="H377" s="2"/>
      <c r="I377" s="2" t="s">
        <v>878</v>
      </c>
      <c r="J377" s="2" t="b">
        <f>COUNTIF(MASTER!$L$2:$L$1944,I377)=0</f>
        <v>1</v>
      </c>
    </row>
    <row r="378" spans="6:10" x14ac:dyDescent="0.35">
      <c r="F378" s="2" t="s">
        <v>879</v>
      </c>
      <c r="G378" s="2" t="b">
        <f>COUNTIF(MASTER!$A$2:$A$1944,F378)=0</f>
        <v>1</v>
      </c>
      <c r="H378" s="2"/>
      <c r="I378" s="2" t="s">
        <v>880</v>
      </c>
      <c r="J378" s="2" t="b">
        <f>COUNTIF(MASTER!$L$2:$L$1944,I378)=0</f>
        <v>1</v>
      </c>
    </row>
    <row r="379" spans="6:10" x14ac:dyDescent="0.35">
      <c r="F379" s="2" t="s">
        <v>881</v>
      </c>
      <c r="G379" s="2" t="b">
        <f>COUNTIF(MASTER!$A$2:$A$1944,F379)=0</f>
        <v>1</v>
      </c>
      <c r="H379" s="2"/>
      <c r="I379" s="2" t="s">
        <v>882</v>
      </c>
      <c r="J379" s="2" t="b">
        <f>COUNTIF(MASTER!$L$2:$L$1944,I379)=0</f>
        <v>1</v>
      </c>
    </row>
    <row r="380" spans="6:10" x14ac:dyDescent="0.35">
      <c r="F380" s="2" t="s">
        <v>883</v>
      </c>
      <c r="G380" s="2" t="b">
        <f>COUNTIF(MASTER!$A$2:$A$1944,F380)=0</f>
        <v>1</v>
      </c>
      <c r="H380" s="2"/>
      <c r="I380" s="2" t="s">
        <v>884</v>
      </c>
      <c r="J380" s="2" t="b">
        <f>COUNTIF(MASTER!$L$2:$L$1944,I380)=0</f>
        <v>1</v>
      </c>
    </row>
    <row r="381" spans="6:10" x14ac:dyDescent="0.35">
      <c r="F381" s="2" t="s">
        <v>885</v>
      </c>
      <c r="G381" s="2" t="b">
        <f>COUNTIF(MASTER!$A$2:$A$1944,F381)=0</f>
        <v>1</v>
      </c>
      <c r="H381" s="2"/>
      <c r="I381" s="2" t="s">
        <v>886</v>
      </c>
      <c r="J381" s="2" t="b">
        <f>COUNTIF(MASTER!$L$2:$L$1944,I381)=0</f>
        <v>1</v>
      </c>
    </row>
    <row r="382" spans="6:10" x14ac:dyDescent="0.35">
      <c r="F382" s="2" t="s">
        <v>887</v>
      </c>
      <c r="G382" s="2" t="b">
        <f>COUNTIF(MASTER!$A$2:$A$1944,F382)=0</f>
        <v>1</v>
      </c>
      <c r="H382" s="2"/>
      <c r="I382" s="2" t="s">
        <v>888</v>
      </c>
      <c r="J382" s="2" t="b">
        <f>COUNTIF(MASTER!$L$2:$L$1944,I382)=0</f>
        <v>1</v>
      </c>
    </row>
    <row r="383" spans="6:10" x14ac:dyDescent="0.35">
      <c r="F383" s="2" t="s">
        <v>889</v>
      </c>
      <c r="G383" s="2" t="b">
        <f>COUNTIF(MASTER!$A$2:$A$1944,F383)=0</f>
        <v>1</v>
      </c>
      <c r="H383" s="2"/>
      <c r="I383" s="2" t="s">
        <v>890</v>
      </c>
      <c r="J383" s="2" t="b">
        <f>COUNTIF(MASTER!$L$2:$L$1944,I383)=0</f>
        <v>1</v>
      </c>
    </row>
    <row r="384" spans="6:10" x14ac:dyDescent="0.35">
      <c r="F384" s="2" t="s">
        <v>891</v>
      </c>
      <c r="G384" s="2" t="b">
        <f>COUNTIF(MASTER!$A$2:$A$1944,F384)=0</f>
        <v>1</v>
      </c>
      <c r="H384" s="2"/>
      <c r="I384" s="2" t="s">
        <v>892</v>
      </c>
      <c r="J384" s="2" t="b">
        <f>COUNTIF(MASTER!$L$2:$L$1944,I384)=0</f>
        <v>1</v>
      </c>
    </row>
    <row r="385" spans="6:10" x14ac:dyDescent="0.35">
      <c r="F385" s="2" t="s">
        <v>893</v>
      </c>
      <c r="G385" s="2" t="b">
        <f>COUNTIF(MASTER!$A$2:$A$1944,F385)=0</f>
        <v>1</v>
      </c>
      <c r="H385" s="2"/>
      <c r="I385" s="2" t="s">
        <v>894</v>
      </c>
      <c r="J385" s="2" t="b">
        <f>COUNTIF(MASTER!$L$2:$L$1944,I385)=0</f>
        <v>1</v>
      </c>
    </row>
    <row r="386" spans="6:10" x14ac:dyDescent="0.35">
      <c r="F386" s="2" t="s">
        <v>895</v>
      </c>
      <c r="G386" s="2" t="b">
        <f>COUNTIF(MASTER!$A$2:$A$1944,F386)=0</f>
        <v>1</v>
      </c>
      <c r="H386" s="2"/>
      <c r="I386" s="2" t="s">
        <v>896</v>
      </c>
      <c r="J386" s="2" t="b">
        <f>COUNTIF(MASTER!$L$2:$L$1944,I386)=0</f>
        <v>1</v>
      </c>
    </row>
    <row r="387" spans="6:10" x14ac:dyDescent="0.35">
      <c r="F387" s="2" t="s">
        <v>897</v>
      </c>
      <c r="G387" s="2" t="b">
        <f>COUNTIF(MASTER!$A$2:$A$1944,F387)=0</f>
        <v>1</v>
      </c>
      <c r="H387" s="2"/>
      <c r="I387" s="2" t="s">
        <v>898</v>
      </c>
      <c r="J387" s="2" t="b">
        <f>COUNTIF(MASTER!$L$2:$L$1944,I387)=0</f>
        <v>1</v>
      </c>
    </row>
    <row r="388" spans="6:10" x14ac:dyDescent="0.35">
      <c r="F388" s="2" t="s">
        <v>899</v>
      </c>
      <c r="G388" s="2" t="b">
        <f>COUNTIF(MASTER!$A$2:$A$1944,F388)=0</f>
        <v>1</v>
      </c>
      <c r="H388" s="2"/>
      <c r="I388" s="2" t="s">
        <v>900</v>
      </c>
      <c r="J388" s="2" t="b">
        <f>COUNTIF(MASTER!$L$2:$L$1944,I388)=0</f>
        <v>1</v>
      </c>
    </row>
    <row r="389" spans="6:10" x14ac:dyDescent="0.35">
      <c r="F389" s="2" t="s">
        <v>901</v>
      </c>
      <c r="G389" s="2" t="b">
        <f>COUNTIF(MASTER!$A$2:$A$1944,F389)=0</f>
        <v>1</v>
      </c>
      <c r="H389" s="2"/>
      <c r="I389" s="2" t="s">
        <v>902</v>
      </c>
      <c r="J389" s="2" t="b">
        <f>COUNTIF(MASTER!$L$2:$L$1944,I389)=0</f>
        <v>1</v>
      </c>
    </row>
    <row r="390" spans="6:10" x14ac:dyDescent="0.35">
      <c r="F390" s="2" t="s">
        <v>903</v>
      </c>
      <c r="G390" s="2" t="b">
        <f>COUNTIF(MASTER!$A$2:$A$1944,F390)=0</f>
        <v>1</v>
      </c>
      <c r="H390" s="2"/>
      <c r="I390" s="2" t="s">
        <v>904</v>
      </c>
      <c r="J390" s="2" t="b">
        <f>COUNTIF(MASTER!$L$2:$L$1944,I390)=0</f>
        <v>1</v>
      </c>
    </row>
    <row r="391" spans="6:10" x14ac:dyDescent="0.35">
      <c r="F391" s="2" t="s">
        <v>905</v>
      </c>
      <c r="G391" s="2" t="b">
        <f>COUNTIF(MASTER!$A$2:$A$1944,F391)=0</f>
        <v>1</v>
      </c>
      <c r="H391" s="2"/>
      <c r="I391" s="2" t="s">
        <v>906</v>
      </c>
      <c r="J391" s="2" t="b">
        <f>COUNTIF(MASTER!$L$2:$L$1944,I391)=0</f>
        <v>1</v>
      </c>
    </row>
    <row r="392" spans="6:10" x14ac:dyDescent="0.35">
      <c r="F392" s="2" t="s">
        <v>907</v>
      </c>
      <c r="G392" s="2" t="b">
        <f>COUNTIF(MASTER!$A$2:$A$1944,F392)=0</f>
        <v>1</v>
      </c>
      <c r="H392" s="2"/>
      <c r="I392" s="2" t="s">
        <v>908</v>
      </c>
      <c r="J392" s="2" t="b">
        <f>COUNTIF(MASTER!$L$2:$L$1944,I392)=0</f>
        <v>1</v>
      </c>
    </row>
    <row r="393" spans="6:10" x14ac:dyDescent="0.35">
      <c r="F393" s="2" t="s">
        <v>909</v>
      </c>
      <c r="G393" s="2" t="b">
        <f>COUNTIF(MASTER!$A$2:$A$1944,F393)=0</f>
        <v>1</v>
      </c>
      <c r="H393" s="2"/>
      <c r="I393" s="2" t="s">
        <v>910</v>
      </c>
      <c r="J393" s="2" t="b">
        <f>COUNTIF(MASTER!$L$2:$L$1944,I393)=0</f>
        <v>1</v>
      </c>
    </row>
    <row r="394" spans="6:10" x14ac:dyDescent="0.35">
      <c r="F394" s="2" t="s">
        <v>911</v>
      </c>
      <c r="G394" s="2" t="b">
        <f>COUNTIF(MASTER!$A$2:$A$1944,F394)=0</f>
        <v>1</v>
      </c>
      <c r="H394" s="2"/>
      <c r="I394" s="2" t="s">
        <v>912</v>
      </c>
      <c r="J394" s="2" t="b">
        <f>COUNTIF(MASTER!$L$2:$L$1944,I394)=0</f>
        <v>1</v>
      </c>
    </row>
    <row r="395" spans="6:10" x14ac:dyDescent="0.35">
      <c r="F395" s="2" t="s">
        <v>913</v>
      </c>
      <c r="G395" s="2" t="b">
        <f>COUNTIF(MASTER!$A$2:$A$1944,F395)=0</f>
        <v>1</v>
      </c>
      <c r="H395" s="2"/>
      <c r="I395" s="2" t="s">
        <v>914</v>
      </c>
      <c r="J395" s="2" t="b">
        <f>COUNTIF(MASTER!$L$2:$L$1944,I395)=0</f>
        <v>1</v>
      </c>
    </row>
    <row r="396" spans="6:10" x14ac:dyDescent="0.35">
      <c r="F396" s="2" t="s">
        <v>915</v>
      </c>
      <c r="G396" s="2" t="b">
        <f>COUNTIF(MASTER!$A$2:$A$1944,F396)=0</f>
        <v>1</v>
      </c>
      <c r="H396" s="2"/>
      <c r="I396" s="2" t="s">
        <v>916</v>
      </c>
      <c r="J396" s="2" t="b">
        <f>COUNTIF(MASTER!$L$2:$L$1944,I396)=0</f>
        <v>1</v>
      </c>
    </row>
    <row r="397" spans="6:10" x14ac:dyDescent="0.35">
      <c r="F397" s="2" t="s">
        <v>917</v>
      </c>
      <c r="G397" s="2" t="b">
        <f>COUNTIF(MASTER!$A$2:$A$1944,F397)=0</f>
        <v>1</v>
      </c>
      <c r="H397" s="2"/>
      <c r="I397" s="2" t="s">
        <v>918</v>
      </c>
      <c r="J397" s="2" t="b">
        <f>COUNTIF(MASTER!$L$2:$L$1944,I397)=0</f>
        <v>1</v>
      </c>
    </row>
    <row r="398" spans="6:10" x14ac:dyDescent="0.35">
      <c r="F398" s="2" t="s">
        <v>919</v>
      </c>
      <c r="G398" s="2" t="b">
        <f>COUNTIF(MASTER!$A$2:$A$1944,F398)=0</f>
        <v>1</v>
      </c>
      <c r="H398" s="2"/>
      <c r="I398" s="2" t="s">
        <v>920</v>
      </c>
      <c r="J398" s="2" t="b">
        <f>COUNTIF(MASTER!$L$2:$L$1944,I398)=0</f>
        <v>1</v>
      </c>
    </row>
    <row r="399" spans="6:10" x14ac:dyDescent="0.35">
      <c r="F399" s="2" t="s">
        <v>921</v>
      </c>
      <c r="G399" s="2" t="b">
        <f>COUNTIF(MASTER!$A$2:$A$1944,F399)=0</f>
        <v>1</v>
      </c>
      <c r="H399" s="2"/>
      <c r="I399" s="2" t="s">
        <v>922</v>
      </c>
      <c r="J399" s="2" t="b">
        <f>COUNTIF(MASTER!$L$2:$L$1944,I399)=0</f>
        <v>1</v>
      </c>
    </row>
    <row r="400" spans="6:10" x14ac:dyDescent="0.35">
      <c r="F400" s="2" t="s">
        <v>923</v>
      </c>
      <c r="G400" s="2" t="b">
        <f>COUNTIF(MASTER!$A$2:$A$1944,F400)=0</f>
        <v>1</v>
      </c>
      <c r="H400" s="2"/>
      <c r="I400" s="2" t="s">
        <v>924</v>
      </c>
      <c r="J400" s="2" t="b">
        <f>COUNTIF(MASTER!$L$2:$L$1944,I400)=0</f>
        <v>1</v>
      </c>
    </row>
    <row r="401" spans="6:10" x14ac:dyDescent="0.35">
      <c r="F401" s="2" t="s">
        <v>925</v>
      </c>
      <c r="G401" s="2" t="b">
        <f>COUNTIF(MASTER!$A$2:$A$1944,F401)=0</f>
        <v>1</v>
      </c>
      <c r="H401" s="2"/>
      <c r="I401" s="2" t="s">
        <v>926</v>
      </c>
      <c r="J401" s="2" t="b">
        <f>COUNTIF(MASTER!$L$2:$L$1944,I401)=0</f>
        <v>1</v>
      </c>
    </row>
    <row r="402" spans="6:10" x14ac:dyDescent="0.35">
      <c r="F402" s="2" t="s">
        <v>927</v>
      </c>
      <c r="G402" s="2" t="b">
        <f>COUNTIF(MASTER!$A$2:$A$1944,F402)=0</f>
        <v>1</v>
      </c>
      <c r="H402" s="2"/>
      <c r="I402" s="2" t="s">
        <v>928</v>
      </c>
      <c r="J402" s="2" t="b">
        <f>COUNTIF(MASTER!$L$2:$L$1944,I402)=0</f>
        <v>1</v>
      </c>
    </row>
    <row r="403" spans="6:10" x14ac:dyDescent="0.35">
      <c r="F403" s="2" t="s">
        <v>929</v>
      </c>
      <c r="G403" s="2" t="b">
        <f>COUNTIF(MASTER!$A$2:$A$1944,F403)=0</f>
        <v>1</v>
      </c>
      <c r="H403" s="2"/>
      <c r="I403" s="2" t="s">
        <v>930</v>
      </c>
      <c r="J403" s="2" t="b">
        <f>COUNTIF(MASTER!$L$2:$L$1944,I403)=0</f>
        <v>1</v>
      </c>
    </row>
    <row r="404" spans="6:10" x14ac:dyDescent="0.35">
      <c r="F404" s="2" t="s">
        <v>931</v>
      </c>
      <c r="G404" s="2" t="b">
        <f>COUNTIF(MASTER!$A$2:$A$1944,F404)=0</f>
        <v>1</v>
      </c>
      <c r="H404" s="2"/>
      <c r="I404" s="2" t="s">
        <v>932</v>
      </c>
      <c r="J404" s="2" t="b">
        <f>COUNTIF(MASTER!$L$2:$L$1944,I404)=0</f>
        <v>1</v>
      </c>
    </row>
    <row r="405" spans="6:10" x14ac:dyDescent="0.35">
      <c r="F405" s="2" t="s">
        <v>933</v>
      </c>
      <c r="G405" s="2" t="b">
        <f>COUNTIF(MASTER!$A$2:$A$1944,F405)=0</f>
        <v>1</v>
      </c>
      <c r="H405" s="2"/>
      <c r="I405" s="2" t="s">
        <v>934</v>
      </c>
      <c r="J405" s="2" t="b">
        <f>COUNTIF(MASTER!$L$2:$L$1944,I405)=0</f>
        <v>1</v>
      </c>
    </row>
    <row r="406" spans="6:10" x14ac:dyDescent="0.35">
      <c r="F406" s="2" t="s">
        <v>935</v>
      </c>
      <c r="G406" s="2" t="b">
        <f>COUNTIF(MASTER!$A$2:$A$1944,F406)=0</f>
        <v>1</v>
      </c>
      <c r="H406" s="2"/>
      <c r="I406" s="2" t="s">
        <v>936</v>
      </c>
      <c r="J406" s="2" t="b">
        <f>COUNTIF(MASTER!$L$2:$L$1944,I406)=0</f>
        <v>1</v>
      </c>
    </row>
    <row r="407" spans="6:10" x14ac:dyDescent="0.35">
      <c r="F407" s="2" t="s">
        <v>937</v>
      </c>
      <c r="G407" s="2" t="b">
        <f>COUNTIF(MASTER!$A$2:$A$1944,F407)=0</f>
        <v>1</v>
      </c>
      <c r="H407" s="2"/>
      <c r="I407" s="2" t="s">
        <v>938</v>
      </c>
      <c r="J407" s="2" t="b">
        <f>COUNTIF(MASTER!$L$2:$L$1944,I407)=0</f>
        <v>1</v>
      </c>
    </row>
    <row r="408" spans="6:10" x14ac:dyDescent="0.35">
      <c r="F408" s="2" t="s">
        <v>939</v>
      </c>
      <c r="G408" s="2" t="b">
        <f>COUNTIF(MASTER!$A$2:$A$1944,F408)=0</f>
        <v>1</v>
      </c>
      <c r="H408" s="2"/>
      <c r="I408" s="2" t="s">
        <v>940</v>
      </c>
      <c r="J408" s="2" t="b">
        <f>COUNTIF(MASTER!$L$2:$L$1944,I408)=0</f>
        <v>1</v>
      </c>
    </row>
    <row r="409" spans="6:10" x14ac:dyDescent="0.35">
      <c r="F409" s="2" t="s">
        <v>941</v>
      </c>
      <c r="G409" s="2" t="b">
        <f>COUNTIF(MASTER!$A$2:$A$1944,F409)=0</f>
        <v>1</v>
      </c>
      <c r="H409" s="2"/>
      <c r="I409" s="2" t="s">
        <v>942</v>
      </c>
      <c r="J409" s="2" t="b">
        <f>COUNTIF(MASTER!$L$2:$L$1944,I409)=0</f>
        <v>1</v>
      </c>
    </row>
    <row r="410" spans="6:10" x14ac:dyDescent="0.35">
      <c r="F410" s="2" t="s">
        <v>943</v>
      </c>
      <c r="G410" s="2" t="b">
        <f>COUNTIF(MASTER!$A$2:$A$1944,F410)=0</f>
        <v>1</v>
      </c>
      <c r="H410" s="2"/>
      <c r="I410" s="2" t="s">
        <v>944</v>
      </c>
      <c r="J410" s="2" t="b">
        <f>COUNTIF(MASTER!$L$2:$L$1944,I410)=0</f>
        <v>1</v>
      </c>
    </row>
    <row r="411" spans="6:10" x14ac:dyDescent="0.35">
      <c r="F411" s="2" t="s">
        <v>945</v>
      </c>
      <c r="G411" s="2" t="b">
        <f>COUNTIF(MASTER!$A$2:$A$1944,F411)=0</f>
        <v>1</v>
      </c>
      <c r="H411" s="2"/>
      <c r="I411" s="2" t="s">
        <v>946</v>
      </c>
      <c r="J411" s="2" t="b">
        <f>COUNTIF(MASTER!$L$2:$L$1944,I411)=0</f>
        <v>1</v>
      </c>
    </row>
    <row r="412" spans="6:10" x14ac:dyDescent="0.35">
      <c r="F412" s="2" t="s">
        <v>947</v>
      </c>
      <c r="G412" s="2" t="b">
        <f>COUNTIF(MASTER!$A$2:$A$1944,F412)=0</f>
        <v>1</v>
      </c>
      <c r="H412" s="2"/>
      <c r="I412" s="2" t="s">
        <v>948</v>
      </c>
      <c r="J412" s="2" t="b">
        <f>COUNTIF(MASTER!$L$2:$L$1944,I412)=0</f>
        <v>1</v>
      </c>
    </row>
    <row r="413" spans="6:10" x14ac:dyDescent="0.35">
      <c r="F413" s="2" t="s">
        <v>949</v>
      </c>
      <c r="G413" s="2" t="b">
        <f>COUNTIF(MASTER!$A$2:$A$1944,F413)=0</f>
        <v>1</v>
      </c>
      <c r="H413" s="2"/>
      <c r="I413" s="2" t="s">
        <v>950</v>
      </c>
      <c r="J413" s="2" t="b">
        <f>COUNTIF(MASTER!$L$2:$L$1944,I413)=0</f>
        <v>1</v>
      </c>
    </row>
    <row r="414" spans="6:10" x14ac:dyDescent="0.35">
      <c r="F414" s="2" t="s">
        <v>951</v>
      </c>
      <c r="G414" s="2" t="b">
        <f>COUNTIF(MASTER!$A$2:$A$1944,F414)=0</f>
        <v>1</v>
      </c>
      <c r="H414" s="2"/>
      <c r="I414" s="2" t="s">
        <v>952</v>
      </c>
      <c r="J414" s="2" t="b">
        <f>COUNTIF(MASTER!$L$2:$L$1944,I414)=0</f>
        <v>1</v>
      </c>
    </row>
    <row r="415" spans="6:10" x14ac:dyDescent="0.35">
      <c r="F415" s="2" t="s">
        <v>953</v>
      </c>
      <c r="G415" s="2" t="b">
        <f>COUNTIF(MASTER!$A$2:$A$1944,F415)=0</f>
        <v>1</v>
      </c>
      <c r="H415" s="2"/>
      <c r="I415" s="2" t="s">
        <v>954</v>
      </c>
      <c r="J415" s="2" t="b">
        <f>COUNTIF(MASTER!$L$2:$L$1944,I415)=0</f>
        <v>1</v>
      </c>
    </row>
    <row r="416" spans="6:10" x14ac:dyDescent="0.35">
      <c r="F416" s="2" t="s">
        <v>955</v>
      </c>
      <c r="G416" s="2" t="b">
        <f>COUNTIF(MASTER!$A$2:$A$1944,F416)=0</f>
        <v>1</v>
      </c>
      <c r="H416" s="2"/>
      <c r="I416" s="2" t="s">
        <v>956</v>
      </c>
      <c r="J416" s="2" t="b">
        <f>COUNTIF(MASTER!$L$2:$L$1944,I416)=0</f>
        <v>1</v>
      </c>
    </row>
    <row r="417" spans="6:10" x14ac:dyDescent="0.35">
      <c r="F417" s="2" t="s">
        <v>957</v>
      </c>
      <c r="G417" s="2" t="b">
        <f>COUNTIF(MASTER!$A$2:$A$1944,F417)=0</f>
        <v>1</v>
      </c>
      <c r="H417" s="2"/>
      <c r="I417" s="2" t="s">
        <v>958</v>
      </c>
      <c r="J417" s="2" t="b">
        <f>COUNTIF(MASTER!$L$2:$L$1944,I417)=0</f>
        <v>1</v>
      </c>
    </row>
    <row r="418" spans="6:10" x14ac:dyDescent="0.35">
      <c r="F418" s="2" t="s">
        <v>959</v>
      </c>
      <c r="G418" s="2" t="b">
        <f>COUNTIF(MASTER!$A$2:$A$1944,F418)=0</f>
        <v>1</v>
      </c>
      <c r="H418" s="2"/>
      <c r="I418" s="2" t="s">
        <v>960</v>
      </c>
      <c r="J418" s="2" t="b">
        <f>COUNTIF(MASTER!$L$2:$L$1944,I418)=0</f>
        <v>1</v>
      </c>
    </row>
    <row r="419" spans="6:10" x14ac:dyDescent="0.35">
      <c r="F419" s="2" t="s">
        <v>961</v>
      </c>
      <c r="G419" s="2" t="b">
        <f>COUNTIF(MASTER!$A$2:$A$1944,F419)=0</f>
        <v>1</v>
      </c>
      <c r="H419" s="2"/>
      <c r="I419" s="2" t="s">
        <v>962</v>
      </c>
      <c r="J419" s="2" t="b">
        <f>COUNTIF(MASTER!$L$2:$L$1944,I419)=0</f>
        <v>1</v>
      </c>
    </row>
    <row r="420" spans="6:10" x14ac:dyDescent="0.35">
      <c r="F420" s="2" t="s">
        <v>963</v>
      </c>
      <c r="G420" s="2" t="b">
        <f>COUNTIF(MASTER!$A$2:$A$1944,F420)=0</f>
        <v>1</v>
      </c>
      <c r="H420" s="2"/>
      <c r="I420" s="2" t="s">
        <v>964</v>
      </c>
      <c r="J420" s="2" t="b">
        <f>COUNTIF(MASTER!$L$2:$L$1944,I420)=0</f>
        <v>1</v>
      </c>
    </row>
    <row r="421" spans="6:10" x14ac:dyDescent="0.35">
      <c r="F421" s="2" t="s">
        <v>965</v>
      </c>
      <c r="G421" s="2" t="b">
        <f>COUNTIF(MASTER!$A$2:$A$1944,F421)=0</f>
        <v>1</v>
      </c>
      <c r="H421" s="2"/>
      <c r="I421" s="2" t="s">
        <v>966</v>
      </c>
      <c r="J421" s="2" t="b">
        <f>COUNTIF(MASTER!$L$2:$L$1944,I421)=0</f>
        <v>1</v>
      </c>
    </row>
    <row r="422" spans="6:10" x14ac:dyDescent="0.35">
      <c r="F422" s="2" t="s">
        <v>967</v>
      </c>
      <c r="G422" s="2" t="b">
        <f>COUNTIF(MASTER!$A$2:$A$1944,F422)=0</f>
        <v>1</v>
      </c>
      <c r="H422" s="2"/>
      <c r="I422" s="2" t="s">
        <v>968</v>
      </c>
      <c r="J422" s="2" t="b">
        <f>COUNTIF(MASTER!$L$2:$L$1944,I422)=0</f>
        <v>1</v>
      </c>
    </row>
    <row r="423" spans="6:10" x14ac:dyDescent="0.35">
      <c r="F423" s="2" t="s">
        <v>969</v>
      </c>
      <c r="G423" s="2" t="b">
        <f>COUNTIF(MASTER!$A$2:$A$1944,F423)=0</f>
        <v>1</v>
      </c>
      <c r="H423" s="2"/>
      <c r="I423" s="2" t="s">
        <v>970</v>
      </c>
      <c r="J423" s="2" t="b">
        <f>COUNTIF(MASTER!$L$2:$L$1944,I423)=0</f>
        <v>1</v>
      </c>
    </row>
    <row r="424" spans="6:10" x14ac:dyDescent="0.35">
      <c r="F424" s="2" t="s">
        <v>971</v>
      </c>
      <c r="G424" s="2" t="b">
        <f>COUNTIF(MASTER!$A$2:$A$1944,F424)=0</f>
        <v>1</v>
      </c>
      <c r="H424" s="2"/>
      <c r="I424" s="2" t="s">
        <v>972</v>
      </c>
      <c r="J424" s="2" t="b">
        <f>COUNTIF(MASTER!$L$2:$L$1944,I424)=0</f>
        <v>1</v>
      </c>
    </row>
    <row r="425" spans="6:10" x14ac:dyDescent="0.35">
      <c r="F425" s="2" t="s">
        <v>973</v>
      </c>
      <c r="G425" s="2" t="b">
        <f>COUNTIF(MASTER!$A$2:$A$1944,F425)=0</f>
        <v>1</v>
      </c>
      <c r="H425" s="2"/>
      <c r="I425" s="2" t="s">
        <v>974</v>
      </c>
      <c r="J425" s="2" t="b">
        <f>COUNTIF(MASTER!$L$2:$L$1944,I425)=0</f>
        <v>1</v>
      </c>
    </row>
    <row r="426" spans="6:10" x14ac:dyDescent="0.35">
      <c r="F426" s="2" t="s">
        <v>975</v>
      </c>
      <c r="G426" s="2" t="b">
        <f>COUNTIF(MASTER!$A$2:$A$1944,F426)=0</f>
        <v>1</v>
      </c>
      <c r="H426" s="2"/>
      <c r="I426" s="2" t="s">
        <v>976</v>
      </c>
      <c r="J426" s="2" t="b">
        <f>COUNTIF(MASTER!$L$2:$L$1944,I426)=0</f>
        <v>1</v>
      </c>
    </row>
    <row r="427" spans="6:10" x14ac:dyDescent="0.35">
      <c r="F427" s="2" t="s">
        <v>977</v>
      </c>
      <c r="G427" s="2" t="b">
        <f>COUNTIF(MASTER!$A$2:$A$1944,F427)=0</f>
        <v>1</v>
      </c>
      <c r="H427" s="2"/>
      <c r="I427" s="2" t="s">
        <v>978</v>
      </c>
      <c r="J427" s="2" t="b">
        <f>COUNTIF(MASTER!$L$2:$L$1944,I427)=0</f>
        <v>1</v>
      </c>
    </row>
    <row r="428" spans="6:10" x14ac:dyDescent="0.35">
      <c r="F428" s="2" t="s">
        <v>979</v>
      </c>
      <c r="G428" s="2" t="b">
        <f>COUNTIF(MASTER!$A$2:$A$1944,F428)=0</f>
        <v>1</v>
      </c>
      <c r="H428" s="2"/>
      <c r="I428" s="2" t="s">
        <v>980</v>
      </c>
      <c r="J428" s="2" t="b">
        <f>COUNTIF(MASTER!$L$2:$L$1944,I428)=0</f>
        <v>1</v>
      </c>
    </row>
    <row r="429" spans="6:10" x14ac:dyDescent="0.35">
      <c r="F429" s="2" t="s">
        <v>981</v>
      </c>
      <c r="G429" s="2" t="b">
        <f>COUNTIF(MASTER!$A$2:$A$1944,F429)=0</f>
        <v>1</v>
      </c>
      <c r="H429" s="2"/>
      <c r="I429" s="2" t="s">
        <v>982</v>
      </c>
      <c r="J429" s="2" t="b">
        <f>COUNTIF(MASTER!$L$2:$L$1944,I429)=0</f>
        <v>1</v>
      </c>
    </row>
    <row r="430" spans="6:10" x14ac:dyDescent="0.35">
      <c r="F430" s="2" t="s">
        <v>983</v>
      </c>
      <c r="G430" s="2" t="b">
        <f>COUNTIF(MASTER!$A$2:$A$1944,F430)=0</f>
        <v>1</v>
      </c>
      <c r="H430" s="2"/>
      <c r="I430" s="2" t="s">
        <v>984</v>
      </c>
      <c r="J430" s="2" t="b">
        <f>COUNTIF(MASTER!$L$2:$L$1944,I430)=0</f>
        <v>1</v>
      </c>
    </row>
    <row r="431" spans="6:10" x14ac:dyDescent="0.35">
      <c r="F431" s="2" t="s">
        <v>985</v>
      </c>
      <c r="G431" s="2" t="b">
        <f>COUNTIF(MASTER!$A$2:$A$1944,F431)=0</f>
        <v>1</v>
      </c>
      <c r="H431" s="2"/>
      <c r="I431" s="2" t="s">
        <v>986</v>
      </c>
      <c r="J431" s="2" t="b">
        <f>COUNTIF(MASTER!$L$2:$L$1944,I431)=0</f>
        <v>1</v>
      </c>
    </row>
    <row r="432" spans="6:10" x14ac:dyDescent="0.35">
      <c r="F432" s="2" t="s">
        <v>987</v>
      </c>
      <c r="G432" s="2" t="b">
        <f>COUNTIF(MASTER!$A$2:$A$1944,F432)=0</f>
        <v>1</v>
      </c>
      <c r="H432" s="2"/>
      <c r="I432" s="2" t="s">
        <v>988</v>
      </c>
      <c r="J432" s="2" t="b">
        <f>COUNTIF(MASTER!$L$2:$L$1944,I432)=0</f>
        <v>1</v>
      </c>
    </row>
    <row r="433" spans="6:10" x14ac:dyDescent="0.35">
      <c r="F433" s="2" t="s">
        <v>989</v>
      </c>
      <c r="G433" s="2" t="b">
        <f>COUNTIF(MASTER!$A$2:$A$1944,F433)=0</f>
        <v>1</v>
      </c>
      <c r="H433" s="2"/>
      <c r="I433" s="2" t="s">
        <v>990</v>
      </c>
      <c r="J433" s="2" t="b">
        <f>COUNTIF(MASTER!$L$2:$L$1944,I433)=0</f>
        <v>1</v>
      </c>
    </row>
    <row r="434" spans="6:10" x14ac:dyDescent="0.35">
      <c r="F434" s="2" t="s">
        <v>991</v>
      </c>
      <c r="G434" s="2" t="b">
        <f>COUNTIF(MASTER!$A$2:$A$1944,F434)=0</f>
        <v>1</v>
      </c>
      <c r="H434" s="2"/>
      <c r="I434" s="2" t="s">
        <v>992</v>
      </c>
      <c r="J434" s="2" t="b">
        <f>COUNTIF(MASTER!$L$2:$L$1944,I434)=0</f>
        <v>1</v>
      </c>
    </row>
    <row r="435" spans="6:10" x14ac:dyDescent="0.35">
      <c r="F435" s="2" t="s">
        <v>993</v>
      </c>
      <c r="G435" s="2" t="b">
        <f>COUNTIF(MASTER!$A$2:$A$1944,F435)=0</f>
        <v>1</v>
      </c>
      <c r="H435" s="2"/>
      <c r="I435" s="2" t="s">
        <v>994</v>
      </c>
      <c r="J435" s="2" t="b">
        <f>COUNTIF(MASTER!$L$2:$L$1944,I435)=0</f>
        <v>1</v>
      </c>
    </row>
    <row r="436" spans="6:10" x14ac:dyDescent="0.35">
      <c r="F436" s="2" t="s">
        <v>995</v>
      </c>
      <c r="G436" s="2" t="b">
        <f>COUNTIF(MASTER!$A$2:$A$1944,F436)=0</f>
        <v>1</v>
      </c>
      <c r="H436" s="2"/>
      <c r="I436" s="2" t="s">
        <v>996</v>
      </c>
      <c r="J436" s="2" t="b">
        <f>COUNTIF(MASTER!$L$2:$L$1944,I436)=0</f>
        <v>1</v>
      </c>
    </row>
    <row r="437" spans="6:10" x14ac:dyDescent="0.35">
      <c r="F437" s="2" t="s">
        <v>997</v>
      </c>
      <c r="G437" s="2" t="b">
        <f>COUNTIF(MASTER!$A$2:$A$1944,F437)=0</f>
        <v>1</v>
      </c>
      <c r="H437" s="2"/>
      <c r="I437" s="2" t="s">
        <v>998</v>
      </c>
      <c r="J437" s="2" t="b">
        <f>COUNTIF(MASTER!$L$2:$L$1944,I437)=0</f>
        <v>1</v>
      </c>
    </row>
    <row r="438" spans="6:10" x14ac:dyDescent="0.35">
      <c r="F438" s="2" t="s">
        <v>999</v>
      </c>
      <c r="G438" s="2" t="b">
        <f>COUNTIF(MASTER!$A$2:$A$1944,F438)=0</f>
        <v>1</v>
      </c>
      <c r="H438" s="2"/>
      <c r="I438" s="2" t="s">
        <v>1000</v>
      </c>
      <c r="J438" s="2" t="b">
        <f>COUNTIF(MASTER!$L$2:$L$1944,I438)=0</f>
        <v>1</v>
      </c>
    </row>
    <row r="439" spans="6:10" x14ac:dyDescent="0.35">
      <c r="F439" s="2" t="s">
        <v>1001</v>
      </c>
      <c r="G439" s="2" t="b">
        <f>COUNTIF(MASTER!$A$2:$A$1944,F439)=0</f>
        <v>1</v>
      </c>
      <c r="H439" s="2"/>
      <c r="I439" s="2" t="s">
        <v>1002</v>
      </c>
      <c r="J439" s="2" t="b">
        <f>COUNTIF(MASTER!$L$2:$L$1944,I439)=0</f>
        <v>1</v>
      </c>
    </row>
    <row r="440" spans="6:10" x14ac:dyDescent="0.35">
      <c r="F440" s="2" t="s">
        <v>1003</v>
      </c>
      <c r="G440" s="2" t="b">
        <f>COUNTIF(MASTER!$A$2:$A$1944,F440)=0</f>
        <v>1</v>
      </c>
      <c r="H440" s="2"/>
      <c r="I440" s="2" t="s">
        <v>1004</v>
      </c>
      <c r="J440" s="2" t="b">
        <f>COUNTIF(MASTER!$L$2:$L$1944,I440)=0</f>
        <v>1</v>
      </c>
    </row>
    <row r="441" spans="6:10" x14ac:dyDescent="0.35">
      <c r="F441" s="2" t="s">
        <v>1005</v>
      </c>
      <c r="G441" s="2" t="b">
        <f>COUNTIF(MASTER!$A$2:$A$1944,F441)=0</f>
        <v>1</v>
      </c>
      <c r="H441" s="2"/>
      <c r="I441" s="2" t="s">
        <v>1006</v>
      </c>
      <c r="J441" s="2" t="b">
        <f>COUNTIF(MASTER!$L$2:$L$1944,I441)=0</f>
        <v>1</v>
      </c>
    </row>
    <row r="442" spans="6:10" x14ac:dyDescent="0.35">
      <c r="F442" s="2" t="s">
        <v>1007</v>
      </c>
      <c r="G442" s="2" t="b">
        <f>COUNTIF(MASTER!$A$2:$A$1944,F442)=0</f>
        <v>1</v>
      </c>
      <c r="H442" s="2"/>
      <c r="I442" s="2" t="s">
        <v>1008</v>
      </c>
      <c r="J442" s="2" t="b">
        <f>COUNTIF(MASTER!$L$2:$L$1944,I442)=0</f>
        <v>1</v>
      </c>
    </row>
    <row r="443" spans="6:10" x14ac:dyDescent="0.35">
      <c r="F443" s="2" t="s">
        <v>1009</v>
      </c>
      <c r="G443" s="2" t="b">
        <f>COUNTIF(MASTER!$A$2:$A$1944,F443)=0</f>
        <v>1</v>
      </c>
      <c r="H443" s="2"/>
      <c r="I443" s="2" t="s">
        <v>1010</v>
      </c>
      <c r="J443" s="2" t="b">
        <f>COUNTIF(MASTER!$L$2:$L$1944,I443)=0</f>
        <v>1</v>
      </c>
    </row>
    <row r="444" spans="6:10" x14ac:dyDescent="0.35">
      <c r="F444" s="2" t="s">
        <v>1011</v>
      </c>
      <c r="G444" s="2" t="b">
        <f>COUNTIF(MASTER!$A$2:$A$1944,F444)=0</f>
        <v>1</v>
      </c>
      <c r="H444" s="2"/>
      <c r="I444" s="2" t="s">
        <v>1012</v>
      </c>
      <c r="J444" s="2" t="b">
        <f>COUNTIF(MASTER!$L$2:$L$1944,I444)=0</f>
        <v>1</v>
      </c>
    </row>
    <row r="445" spans="6:10" x14ac:dyDescent="0.35">
      <c r="F445" s="2" t="s">
        <v>1013</v>
      </c>
      <c r="G445" s="2" t="b">
        <f>COUNTIF(MASTER!$A$2:$A$1944,F445)=0</f>
        <v>1</v>
      </c>
      <c r="H445" s="2"/>
      <c r="I445" s="2" t="s">
        <v>1014</v>
      </c>
      <c r="J445" s="2" t="b">
        <f>COUNTIF(MASTER!$L$2:$L$1944,I445)=0</f>
        <v>1</v>
      </c>
    </row>
    <row r="446" spans="6:10" x14ac:dyDescent="0.35">
      <c r="F446" s="2" t="s">
        <v>1015</v>
      </c>
      <c r="G446" s="2" t="b">
        <f>COUNTIF(MASTER!$A$2:$A$1944,F446)=0</f>
        <v>1</v>
      </c>
      <c r="H446" s="2"/>
      <c r="I446" s="2" t="s">
        <v>1016</v>
      </c>
      <c r="J446" s="2" t="b">
        <f>COUNTIF(MASTER!$L$2:$L$1944,I446)=0</f>
        <v>1</v>
      </c>
    </row>
    <row r="447" spans="6:10" x14ac:dyDescent="0.35">
      <c r="F447" s="2" t="s">
        <v>1017</v>
      </c>
      <c r="G447" s="2" t="b">
        <f>COUNTIF(MASTER!$A$2:$A$1944,F447)=0</f>
        <v>1</v>
      </c>
      <c r="H447" s="2"/>
      <c r="I447" s="2" t="s">
        <v>1018</v>
      </c>
      <c r="J447" s="2" t="b">
        <f>COUNTIF(MASTER!$L$2:$L$1944,I447)=0</f>
        <v>1</v>
      </c>
    </row>
    <row r="448" spans="6:10" x14ac:dyDescent="0.35">
      <c r="F448" s="2" t="s">
        <v>1019</v>
      </c>
      <c r="G448" s="2" t="b">
        <f>COUNTIF(MASTER!$A$2:$A$1944,F448)=0</f>
        <v>1</v>
      </c>
      <c r="H448" s="2"/>
      <c r="I448" s="2" t="s">
        <v>1020</v>
      </c>
      <c r="J448" s="2" t="b">
        <f>COUNTIF(MASTER!$L$2:$L$1944,I448)=0</f>
        <v>1</v>
      </c>
    </row>
    <row r="449" spans="6:10" x14ac:dyDescent="0.35">
      <c r="F449" s="2" t="s">
        <v>1021</v>
      </c>
      <c r="G449" s="2" t="b">
        <f>COUNTIF(MASTER!$A$2:$A$1944,F449)=0</f>
        <v>1</v>
      </c>
      <c r="H449" s="2"/>
      <c r="I449" s="2" t="s">
        <v>1022</v>
      </c>
      <c r="J449" s="2" t="b">
        <f>COUNTIF(MASTER!$L$2:$L$1944,I449)=0</f>
        <v>1</v>
      </c>
    </row>
    <row r="450" spans="6:10" x14ac:dyDescent="0.35">
      <c r="F450" s="2" t="s">
        <v>1023</v>
      </c>
      <c r="G450" s="2" t="b">
        <f>COUNTIF(MASTER!$A$2:$A$1944,F450)=0</f>
        <v>1</v>
      </c>
      <c r="H450" s="2"/>
      <c r="I450" s="2" t="s">
        <v>1024</v>
      </c>
      <c r="J450" s="2" t="b">
        <f>COUNTIF(MASTER!$L$2:$L$1944,I450)=0</f>
        <v>1</v>
      </c>
    </row>
    <row r="451" spans="6:10" x14ac:dyDescent="0.35">
      <c r="F451" s="2" t="s">
        <v>1025</v>
      </c>
      <c r="G451" s="2" t="b">
        <f>COUNTIF(MASTER!$A$2:$A$1944,F451)=0</f>
        <v>1</v>
      </c>
      <c r="H451" s="2"/>
      <c r="I451" s="2" t="s">
        <v>1026</v>
      </c>
      <c r="J451" s="2" t="b">
        <f>COUNTIF(MASTER!$L$2:$L$1944,I451)=0</f>
        <v>1</v>
      </c>
    </row>
    <row r="452" spans="6:10" x14ac:dyDescent="0.35">
      <c r="F452" s="2" t="s">
        <v>1027</v>
      </c>
      <c r="G452" s="2" t="b">
        <f>COUNTIF(MASTER!$A$2:$A$1944,F452)=0</f>
        <v>1</v>
      </c>
      <c r="H452" s="2"/>
      <c r="I452" s="2" t="s">
        <v>1028</v>
      </c>
      <c r="J452" s="2" t="b">
        <f>COUNTIF(MASTER!$L$2:$L$1944,I452)=0</f>
        <v>1</v>
      </c>
    </row>
    <row r="453" spans="6:10" x14ac:dyDescent="0.35">
      <c r="F453" s="2" t="s">
        <v>1029</v>
      </c>
      <c r="G453" s="2" t="b">
        <f>COUNTIF(MASTER!$A$2:$A$1944,F453)=0</f>
        <v>1</v>
      </c>
      <c r="H453" s="2"/>
      <c r="I453" s="2" t="s">
        <v>1030</v>
      </c>
      <c r="J453" s="2" t="b">
        <f>COUNTIF(MASTER!$L$2:$L$1944,I453)=0</f>
        <v>1</v>
      </c>
    </row>
    <row r="454" spans="6:10" x14ac:dyDescent="0.35">
      <c r="F454" s="2" t="s">
        <v>1031</v>
      </c>
      <c r="G454" s="2" t="b">
        <f>COUNTIF(MASTER!$A$2:$A$1944,F454)=0</f>
        <v>1</v>
      </c>
      <c r="H454" s="2"/>
      <c r="I454" s="2" t="s">
        <v>1032</v>
      </c>
      <c r="J454" s="2" t="b">
        <f>COUNTIF(MASTER!$L$2:$L$1944,I454)=0</f>
        <v>1</v>
      </c>
    </row>
    <row r="455" spans="6:10" x14ac:dyDescent="0.35">
      <c r="F455" s="2" t="s">
        <v>1033</v>
      </c>
      <c r="G455" s="2" t="b">
        <f>COUNTIF(MASTER!$A$2:$A$1944,F455)=0</f>
        <v>1</v>
      </c>
      <c r="H455" s="2"/>
      <c r="I455" s="2" t="s">
        <v>1034</v>
      </c>
      <c r="J455" s="2" t="b">
        <f>COUNTIF(MASTER!$L$2:$L$1944,I455)=0</f>
        <v>1</v>
      </c>
    </row>
    <row r="456" spans="6:10" x14ac:dyDescent="0.35">
      <c r="F456" s="2" t="s">
        <v>1035</v>
      </c>
      <c r="G456" s="2" t="b">
        <f>COUNTIF(MASTER!$A$2:$A$1944,F456)=0</f>
        <v>1</v>
      </c>
      <c r="H456" s="2"/>
      <c r="I456" s="2" t="s">
        <v>1036</v>
      </c>
      <c r="J456" s="2" t="b">
        <f>COUNTIF(MASTER!$L$2:$L$1944,I456)=0</f>
        <v>1</v>
      </c>
    </row>
    <row r="457" spans="6:10" x14ac:dyDescent="0.35">
      <c r="F457" s="2" t="s">
        <v>1037</v>
      </c>
      <c r="G457" s="2" t="b">
        <f>COUNTIF(MASTER!$A$2:$A$1944,F457)=0</f>
        <v>1</v>
      </c>
      <c r="H457" s="2"/>
      <c r="I457" s="2" t="s">
        <v>1038</v>
      </c>
      <c r="J457" s="2" t="b">
        <f>COUNTIF(MASTER!$L$2:$L$1944,I457)=0</f>
        <v>1</v>
      </c>
    </row>
    <row r="458" spans="6:10" x14ac:dyDescent="0.35">
      <c r="F458" s="2" t="s">
        <v>1039</v>
      </c>
      <c r="G458" s="2" t="b">
        <f>COUNTIF(MASTER!$A$2:$A$1944,F458)=0</f>
        <v>1</v>
      </c>
      <c r="H458" s="2"/>
      <c r="I458" s="2" t="s">
        <v>1040</v>
      </c>
      <c r="J458" s="2" t="b">
        <f>COUNTIF(MASTER!$L$2:$L$1944,I458)=0</f>
        <v>1</v>
      </c>
    </row>
    <row r="459" spans="6:10" x14ac:dyDescent="0.35">
      <c r="F459" s="2" t="s">
        <v>1041</v>
      </c>
      <c r="G459" s="2" t="b">
        <f>COUNTIF(MASTER!$A$2:$A$1944,F459)=0</f>
        <v>1</v>
      </c>
      <c r="H459" s="2"/>
      <c r="I459" s="2" t="s">
        <v>1042</v>
      </c>
      <c r="J459" s="2" t="b">
        <f>COUNTIF(MASTER!$L$2:$L$1944,I459)=0</f>
        <v>1</v>
      </c>
    </row>
    <row r="460" spans="6:10" x14ac:dyDescent="0.35">
      <c r="F460" s="2" t="s">
        <v>1043</v>
      </c>
      <c r="G460" s="2" t="b">
        <f>COUNTIF(MASTER!$A$2:$A$1944,F460)=0</f>
        <v>1</v>
      </c>
      <c r="H460" s="2"/>
      <c r="I460" s="2" t="s">
        <v>1044</v>
      </c>
      <c r="J460" s="2" t="b">
        <f>COUNTIF(MASTER!$L$2:$L$1944,I460)=0</f>
        <v>1</v>
      </c>
    </row>
    <row r="461" spans="6:10" x14ac:dyDescent="0.35">
      <c r="F461" s="2" t="s">
        <v>1045</v>
      </c>
      <c r="G461" s="2" t="b">
        <f>COUNTIF(MASTER!$A$2:$A$1944,F461)=0</f>
        <v>1</v>
      </c>
      <c r="H461" s="2"/>
      <c r="I461" s="2" t="s">
        <v>1046</v>
      </c>
      <c r="J461" s="2" t="b">
        <f>COUNTIF(MASTER!$L$2:$L$1944,I461)=0</f>
        <v>1</v>
      </c>
    </row>
    <row r="462" spans="6:10" x14ac:dyDescent="0.35">
      <c r="F462" s="2" t="s">
        <v>1047</v>
      </c>
      <c r="G462" s="2" t="b">
        <f>COUNTIF(MASTER!$A$2:$A$1944,F462)=0</f>
        <v>1</v>
      </c>
      <c r="H462" s="2"/>
      <c r="I462" s="2" t="s">
        <v>1048</v>
      </c>
      <c r="J462" s="2" t="b">
        <f>COUNTIF(MASTER!$L$2:$L$1944,I462)=0</f>
        <v>1</v>
      </c>
    </row>
    <row r="463" spans="6:10" x14ac:dyDescent="0.35">
      <c r="F463" s="2" t="s">
        <v>1049</v>
      </c>
      <c r="G463" s="2" t="b">
        <f>COUNTIF(MASTER!$A$2:$A$1944,F463)=0</f>
        <v>1</v>
      </c>
      <c r="H463" s="2"/>
      <c r="I463" s="2" t="s">
        <v>1050</v>
      </c>
      <c r="J463" s="2" t="b">
        <f>COUNTIF(MASTER!$L$2:$L$1944,I463)=0</f>
        <v>1</v>
      </c>
    </row>
    <row r="464" spans="6:10" x14ac:dyDescent="0.35">
      <c r="F464" s="2" t="s">
        <v>1051</v>
      </c>
      <c r="G464" s="2" t="b">
        <f>COUNTIF(MASTER!$A$2:$A$1944,F464)=0</f>
        <v>1</v>
      </c>
      <c r="H464" s="2"/>
      <c r="I464" s="2" t="s">
        <v>1052</v>
      </c>
      <c r="J464" s="2" t="b">
        <f>COUNTIF(MASTER!$L$2:$L$1944,I464)=0</f>
        <v>1</v>
      </c>
    </row>
    <row r="465" spans="6:10" x14ac:dyDescent="0.35">
      <c r="F465" s="2" t="s">
        <v>1053</v>
      </c>
      <c r="G465" s="2" t="b">
        <f>COUNTIF(MASTER!$A$2:$A$1944,F465)=0</f>
        <v>1</v>
      </c>
      <c r="H465" s="2"/>
      <c r="I465" s="2" t="s">
        <v>1054</v>
      </c>
      <c r="J465" s="2" t="b">
        <f>COUNTIF(MASTER!$L$2:$L$1944,I465)=0</f>
        <v>1</v>
      </c>
    </row>
    <row r="466" spans="6:10" x14ac:dyDescent="0.35">
      <c r="F466" s="2" t="s">
        <v>1055</v>
      </c>
      <c r="G466" s="2" t="b">
        <f>COUNTIF(MASTER!$A$2:$A$1944,F466)=0</f>
        <v>1</v>
      </c>
      <c r="H466" s="2"/>
      <c r="I466" s="2" t="s">
        <v>1056</v>
      </c>
      <c r="J466" s="2" t="b">
        <f>COUNTIF(MASTER!$L$2:$L$1944,I466)=0</f>
        <v>1</v>
      </c>
    </row>
    <row r="467" spans="6:10" x14ac:dyDescent="0.35">
      <c r="F467" s="2" t="s">
        <v>1057</v>
      </c>
      <c r="G467" s="2" t="b">
        <f>COUNTIF(MASTER!$A$2:$A$1944,F467)=0</f>
        <v>1</v>
      </c>
      <c r="H467" s="2"/>
      <c r="I467" s="2" t="s">
        <v>1058</v>
      </c>
      <c r="J467" s="2" t="b">
        <f>COUNTIF(MASTER!$L$2:$L$1944,I467)=0</f>
        <v>1</v>
      </c>
    </row>
    <row r="468" spans="6:10" x14ac:dyDescent="0.35">
      <c r="F468" s="2" t="s">
        <v>1059</v>
      </c>
      <c r="G468" s="2" t="b">
        <f>COUNTIF(MASTER!$A$2:$A$1944,F468)=0</f>
        <v>1</v>
      </c>
      <c r="H468" s="2"/>
      <c r="I468" s="2" t="s">
        <v>1060</v>
      </c>
      <c r="J468" s="2" t="b">
        <f>COUNTIF(MASTER!$L$2:$L$1944,I468)=0</f>
        <v>1</v>
      </c>
    </row>
    <row r="469" spans="6:10" x14ac:dyDescent="0.35">
      <c r="F469" s="2" t="s">
        <v>1061</v>
      </c>
      <c r="G469" s="2" t="b">
        <f>COUNTIF(MASTER!$A$2:$A$1944,F469)=0</f>
        <v>1</v>
      </c>
      <c r="H469" s="2"/>
      <c r="I469" s="2" t="s">
        <v>1062</v>
      </c>
      <c r="J469" s="2" t="b">
        <f>COUNTIF(MASTER!$L$2:$L$1944,I469)=0</f>
        <v>1</v>
      </c>
    </row>
    <row r="470" spans="6:10" x14ac:dyDescent="0.35">
      <c r="F470" s="2" t="s">
        <v>1063</v>
      </c>
      <c r="G470" s="2" t="b">
        <f>COUNTIF(MASTER!$A$2:$A$1944,F470)=0</f>
        <v>1</v>
      </c>
      <c r="H470" s="2"/>
      <c r="I470" s="2" t="s">
        <v>1064</v>
      </c>
      <c r="J470" s="2" t="b">
        <f>COUNTIF(MASTER!$L$2:$L$1944,I470)=0</f>
        <v>1</v>
      </c>
    </row>
    <row r="471" spans="6:10" x14ac:dyDescent="0.35">
      <c r="F471" s="2" t="s">
        <v>1065</v>
      </c>
      <c r="G471" s="2" t="b">
        <f>COUNTIF(MASTER!$A$2:$A$1944,F471)=0</f>
        <v>1</v>
      </c>
      <c r="H471" s="2"/>
      <c r="I471" s="2" t="s">
        <v>1066</v>
      </c>
      <c r="J471" s="2" t="b">
        <f>COUNTIF(MASTER!$L$2:$L$1944,I471)=0</f>
        <v>1</v>
      </c>
    </row>
    <row r="472" spans="6:10" x14ac:dyDescent="0.35">
      <c r="F472" s="2" t="s">
        <v>1067</v>
      </c>
      <c r="G472" s="2" t="b">
        <f>COUNTIF(MASTER!$A$2:$A$1944,F472)=0</f>
        <v>1</v>
      </c>
      <c r="H472" s="2"/>
      <c r="I472" s="2" t="s">
        <v>1068</v>
      </c>
      <c r="J472" s="2" t="b">
        <f>COUNTIF(MASTER!$L$2:$L$1944,I472)=0</f>
        <v>1</v>
      </c>
    </row>
    <row r="473" spans="6:10" x14ac:dyDescent="0.35">
      <c r="F473" s="2" t="s">
        <v>1069</v>
      </c>
      <c r="G473" s="2" t="b">
        <f>COUNTIF(MASTER!$A$2:$A$1944,F473)=0</f>
        <v>1</v>
      </c>
      <c r="H473" s="2"/>
      <c r="I473" s="2" t="s">
        <v>1070</v>
      </c>
      <c r="J473" s="2" t="b">
        <f>COUNTIF(MASTER!$L$2:$L$1944,I473)=0</f>
        <v>1</v>
      </c>
    </row>
    <row r="474" spans="6:10" x14ac:dyDescent="0.35">
      <c r="F474" s="2" t="s">
        <v>1071</v>
      </c>
      <c r="G474" s="2" t="b">
        <f>COUNTIF(MASTER!$A$2:$A$1944,F474)=0</f>
        <v>1</v>
      </c>
      <c r="H474" s="2"/>
      <c r="I474" s="2" t="s">
        <v>1072</v>
      </c>
      <c r="J474" s="2" t="b">
        <f>COUNTIF(MASTER!$L$2:$L$1944,I474)=0</f>
        <v>1</v>
      </c>
    </row>
    <row r="475" spans="6:10" x14ac:dyDescent="0.35">
      <c r="F475" s="2" t="s">
        <v>1073</v>
      </c>
      <c r="G475" s="2" t="b">
        <f>COUNTIF(MASTER!$A$2:$A$1944,F475)=0</f>
        <v>1</v>
      </c>
      <c r="H475" s="2"/>
      <c r="I475" s="2" t="s">
        <v>1074</v>
      </c>
      <c r="J475" s="2" t="b">
        <f>COUNTIF(MASTER!$L$2:$L$1944,I475)=0</f>
        <v>1</v>
      </c>
    </row>
    <row r="476" spans="6:10" x14ac:dyDescent="0.35">
      <c r="F476" s="2" t="s">
        <v>1075</v>
      </c>
      <c r="G476" s="2" t="b">
        <f>COUNTIF(MASTER!$A$2:$A$1944,F476)=0</f>
        <v>1</v>
      </c>
      <c r="H476" s="2"/>
      <c r="I476" s="2" t="s">
        <v>1076</v>
      </c>
      <c r="J476" s="2" t="b">
        <f>COUNTIF(MASTER!$L$2:$L$1944,I476)=0</f>
        <v>1</v>
      </c>
    </row>
    <row r="477" spans="6:10" x14ac:dyDescent="0.35">
      <c r="F477" s="2" t="s">
        <v>1077</v>
      </c>
      <c r="G477" s="2" t="b">
        <f>COUNTIF(MASTER!$A$2:$A$1944,F477)=0</f>
        <v>1</v>
      </c>
      <c r="H477" s="2"/>
      <c r="I477" s="2" t="s">
        <v>1078</v>
      </c>
      <c r="J477" s="2" t="b">
        <f>COUNTIF(MASTER!$L$2:$L$1944,I477)=0</f>
        <v>1</v>
      </c>
    </row>
    <row r="478" spans="6:10" x14ac:dyDescent="0.35">
      <c r="F478" s="2" t="s">
        <v>1079</v>
      </c>
      <c r="G478" s="2" t="b">
        <f>COUNTIF(MASTER!$A$2:$A$1944,F478)=0</f>
        <v>1</v>
      </c>
      <c r="H478" s="2"/>
      <c r="I478" s="2" t="s">
        <v>1080</v>
      </c>
      <c r="J478" s="2" t="b">
        <f>COUNTIF(MASTER!$L$2:$L$1944,I478)=0</f>
        <v>1</v>
      </c>
    </row>
    <row r="479" spans="6:10" x14ac:dyDescent="0.35">
      <c r="F479" s="2" t="s">
        <v>1081</v>
      </c>
      <c r="G479" s="2" t="b">
        <f>COUNTIF(MASTER!$A$2:$A$1944,F479)=0</f>
        <v>1</v>
      </c>
      <c r="H479" s="2"/>
      <c r="I479" s="2" t="s">
        <v>1082</v>
      </c>
      <c r="J479" s="2" t="b">
        <f>COUNTIF(MASTER!$L$2:$L$1944,I479)=0</f>
        <v>1</v>
      </c>
    </row>
    <row r="480" spans="6:10" x14ac:dyDescent="0.35">
      <c r="F480" s="2" t="s">
        <v>1083</v>
      </c>
      <c r="G480" s="2" t="b">
        <f>COUNTIF(MASTER!$A$2:$A$1944,F480)=0</f>
        <v>1</v>
      </c>
      <c r="H480" s="2"/>
      <c r="I480" s="2" t="s">
        <v>1084</v>
      </c>
      <c r="J480" s="2" t="b">
        <f>COUNTIF(MASTER!$L$2:$L$1944,I480)=0</f>
        <v>1</v>
      </c>
    </row>
    <row r="481" spans="6:10" x14ac:dyDescent="0.35">
      <c r="F481" s="2" t="s">
        <v>1085</v>
      </c>
      <c r="G481" s="2" t="b">
        <f>COUNTIF(MASTER!$A$2:$A$1944,F481)=0</f>
        <v>1</v>
      </c>
      <c r="H481" s="2"/>
      <c r="I481" s="2" t="s">
        <v>1086</v>
      </c>
      <c r="J481" s="2" t="b">
        <f>COUNTIF(MASTER!$L$2:$L$1944,I481)=0</f>
        <v>1</v>
      </c>
    </row>
    <row r="482" spans="6:10" x14ac:dyDescent="0.35">
      <c r="F482" s="2" t="s">
        <v>1087</v>
      </c>
      <c r="G482" s="2" t="b">
        <f>COUNTIF(MASTER!$A$2:$A$1944,F482)=0</f>
        <v>1</v>
      </c>
      <c r="H482" s="2"/>
      <c r="I482" s="2" t="s">
        <v>1088</v>
      </c>
      <c r="J482" s="2" t="b">
        <f>COUNTIF(MASTER!$L$2:$L$1944,I482)=0</f>
        <v>1</v>
      </c>
    </row>
    <row r="483" spans="6:10" x14ac:dyDescent="0.35">
      <c r="F483" s="2" t="s">
        <v>1089</v>
      </c>
      <c r="G483" s="2" t="b">
        <f>COUNTIF(MASTER!$A$2:$A$1944,F483)=0</f>
        <v>1</v>
      </c>
      <c r="H483" s="2"/>
      <c r="I483" s="2" t="s">
        <v>1090</v>
      </c>
      <c r="J483" s="2" t="b">
        <f>COUNTIF(MASTER!$L$2:$L$1944,I483)=0</f>
        <v>1</v>
      </c>
    </row>
    <row r="484" spans="6:10" x14ac:dyDescent="0.35">
      <c r="F484" s="2" t="s">
        <v>1091</v>
      </c>
      <c r="G484" s="2" t="b">
        <f>COUNTIF(MASTER!$A$2:$A$1944,F484)=0</f>
        <v>1</v>
      </c>
      <c r="H484" s="2"/>
      <c r="I484" s="2" t="s">
        <v>1092</v>
      </c>
      <c r="J484" s="2" t="b">
        <f>COUNTIF(MASTER!$L$2:$L$1944,I484)=0</f>
        <v>1</v>
      </c>
    </row>
    <row r="485" spans="6:10" x14ac:dyDescent="0.35">
      <c r="F485" s="2" t="s">
        <v>1093</v>
      </c>
      <c r="G485" s="2" t="b">
        <f>COUNTIF(MASTER!$A$2:$A$1944,F485)=0</f>
        <v>1</v>
      </c>
      <c r="H485" s="2"/>
      <c r="I485" s="2" t="s">
        <v>1094</v>
      </c>
      <c r="J485" s="2" t="b">
        <f>COUNTIF(MASTER!$L$2:$L$1944,I485)=0</f>
        <v>1</v>
      </c>
    </row>
    <row r="486" spans="6:10" x14ac:dyDescent="0.35">
      <c r="F486" s="2" t="s">
        <v>1095</v>
      </c>
      <c r="G486" s="2" t="b">
        <f>COUNTIF(MASTER!$A$2:$A$1944,F486)=0</f>
        <v>1</v>
      </c>
      <c r="H486" s="2"/>
      <c r="I486" s="2" t="s">
        <v>1096</v>
      </c>
      <c r="J486" s="2" t="b">
        <f>COUNTIF(MASTER!$L$2:$L$1944,I486)=0</f>
        <v>1</v>
      </c>
    </row>
    <row r="487" spans="6:10" x14ac:dyDescent="0.35">
      <c r="F487" s="2" t="s">
        <v>1097</v>
      </c>
      <c r="G487" s="2" t="b">
        <f>COUNTIF(MASTER!$A$2:$A$1944,F487)=0</f>
        <v>1</v>
      </c>
      <c r="H487" s="2"/>
      <c r="I487" s="2" t="s">
        <v>1098</v>
      </c>
      <c r="J487" s="2" t="b">
        <f>COUNTIF(MASTER!$L$2:$L$1944,I487)=0</f>
        <v>1</v>
      </c>
    </row>
    <row r="488" spans="6:10" x14ac:dyDescent="0.35">
      <c r="F488" s="2" t="s">
        <v>1099</v>
      </c>
      <c r="G488" s="2" t="b">
        <f>COUNTIF(MASTER!$A$2:$A$1944,F488)=0</f>
        <v>1</v>
      </c>
      <c r="H488" s="2"/>
      <c r="I488" s="2" t="s">
        <v>1100</v>
      </c>
      <c r="J488" s="2" t="b">
        <f>COUNTIF(MASTER!$L$2:$L$1944,I488)=0</f>
        <v>1</v>
      </c>
    </row>
    <row r="489" spans="6:10" x14ac:dyDescent="0.35">
      <c r="F489" s="2" t="s">
        <v>1101</v>
      </c>
      <c r="G489" s="2" t="b">
        <f>COUNTIF(MASTER!$A$2:$A$1944,F489)=0</f>
        <v>1</v>
      </c>
      <c r="H489" s="2"/>
      <c r="I489" s="2" t="s">
        <v>1102</v>
      </c>
      <c r="J489" s="2" t="b">
        <f>COUNTIF(MASTER!$L$2:$L$1944,I489)=0</f>
        <v>1</v>
      </c>
    </row>
    <row r="490" spans="6:10" x14ac:dyDescent="0.35">
      <c r="F490" s="2" t="s">
        <v>1103</v>
      </c>
      <c r="G490" s="2" t="b">
        <f>COUNTIF(MASTER!$A$2:$A$1944,F490)=0</f>
        <v>1</v>
      </c>
      <c r="H490" s="2"/>
      <c r="I490" s="2" t="s">
        <v>1104</v>
      </c>
      <c r="J490" s="2" t="b">
        <f>COUNTIF(MASTER!$L$2:$L$1944,I490)=0</f>
        <v>1</v>
      </c>
    </row>
    <row r="491" spans="6:10" x14ac:dyDescent="0.35">
      <c r="F491" s="2" t="s">
        <v>1105</v>
      </c>
      <c r="G491" s="2" t="b">
        <f>COUNTIF(MASTER!$A$2:$A$1944,F491)=0</f>
        <v>1</v>
      </c>
      <c r="H491" s="2"/>
      <c r="I491" s="2" t="s">
        <v>1106</v>
      </c>
      <c r="J491" s="2" t="b">
        <f>COUNTIF(MASTER!$L$2:$L$1944,I491)=0</f>
        <v>1</v>
      </c>
    </row>
    <row r="492" spans="6:10" x14ac:dyDescent="0.35">
      <c r="F492" s="2" t="s">
        <v>1107</v>
      </c>
      <c r="G492" s="2" t="b">
        <f>COUNTIF(MASTER!$A$2:$A$1944,F492)=0</f>
        <v>1</v>
      </c>
      <c r="H492" s="2"/>
      <c r="I492" s="2" t="s">
        <v>1108</v>
      </c>
      <c r="J492" s="2" t="b">
        <f>COUNTIF(MASTER!$L$2:$L$1944,I492)=0</f>
        <v>1</v>
      </c>
    </row>
    <row r="493" spans="6:10" x14ac:dyDescent="0.35">
      <c r="F493" s="2" t="s">
        <v>1109</v>
      </c>
      <c r="G493" s="2" t="b">
        <f>COUNTIF(MASTER!$A$2:$A$1944,F493)=0</f>
        <v>1</v>
      </c>
      <c r="H493" s="2"/>
      <c r="I493" s="2" t="s">
        <v>1110</v>
      </c>
      <c r="J493" s="2" t="b">
        <f>COUNTIF(MASTER!$L$2:$L$1944,I493)=0</f>
        <v>1</v>
      </c>
    </row>
    <row r="494" spans="6:10" x14ac:dyDescent="0.35">
      <c r="F494" s="2" t="s">
        <v>1111</v>
      </c>
      <c r="G494" s="2" t="b">
        <f>COUNTIF(MASTER!$A$2:$A$1944,F494)=0</f>
        <v>1</v>
      </c>
      <c r="H494" s="2"/>
      <c r="I494" s="2" t="s">
        <v>1112</v>
      </c>
      <c r="J494" s="2" t="b">
        <f>COUNTIF(MASTER!$L$2:$L$1944,I494)=0</f>
        <v>1</v>
      </c>
    </row>
    <row r="495" spans="6:10" x14ac:dyDescent="0.35">
      <c r="F495" s="2" t="s">
        <v>1113</v>
      </c>
      <c r="G495" s="2" t="b">
        <f>COUNTIF(MASTER!$A$2:$A$1944,F495)=0</f>
        <v>1</v>
      </c>
      <c r="H495" s="2"/>
      <c r="I495" s="2" t="s">
        <v>1114</v>
      </c>
      <c r="J495" s="2" t="b">
        <f>COUNTIF(MASTER!$L$2:$L$1944,I495)=0</f>
        <v>1</v>
      </c>
    </row>
    <row r="496" spans="6:10" x14ac:dyDescent="0.35">
      <c r="F496" s="2" t="s">
        <v>1115</v>
      </c>
      <c r="G496" s="2" t="b">
        <f>COUNTIF(MASTER!$A$2:$A$1944,F496)=0</f>
        <v>1</v>
      </c>
      <c r="H496" s="2"/>
      <c r="I496" s="2" t="s">
        <v>1116</v>
      </c>
      <c r="J496" s="2" t="b">
        <f>COUNTIF(MASTER!$L$2:$L$1944,I496)=0</f>
        <v>1</v>
      </c>
    </row>
    <row r="497" spans="6:10" x14ac:dyDescent="0.35">
      <c r="F497" s="2" t="s">
        <v>1117</v>
      </c>
      <c r="G497" s="2" t="b">
        <f>COUNTIF(MASTER!$A$2:$A$1944,F497)=0</f>
        <v>1</v>
      </c>
      <c r="H497" s="2"/>
      <c r="I497" s="2" t="s">
        <v>1118</v>
      </c>
      <c r="J497" s="2" t="b">
        <f>COUNTIF(MASTER!$L$2:$L$1944,I497)=0</f>
        <v>1</v>
      </c>
    </row>
    <row r="498" spans="6:10" x14ac:dyDescent="0.35">
      <c r="F498" s="2" t="s">
        <v>1119</v>
      </c>
      <c r="G498" s="2" t="b">
        <f>COUNTIF(MASTER!$A$2:$A$1944,F498)=0</f>
        <v>1</v>
      </c>
      <c r="H498" s="2"/>
      <c r="I498" s="2" t="s">
        <v>1120</v>
      </c>
      <c r="J498" s="2" t="b">
        <f>COUNTIF(MASTER!$L$2:$L$1944,I498)=0</f>
        <v>1</v>
      </c>
    </row>
    <row r="499" spans="6:10" x14ac:dyDescent="0.35">
      <c r="F499" s="2" t="s">
        <v>1121</v>
      </c>
      <c r="G499" s="2" t="b">
        <f>COUNTIF(MASTER!$A$2:$A$1944,F499)=0</f>
        <v>1</v>
      </c>
      <c r="H499" s="2"/>
      <c r="I499" s="2" t="s">
        <v>1122</v>
      </c>
      <c r="J499" s="2" t="b">
        <f>COUNTIF(MASTER!$L$2:$L$1944,I499)=0</f>
        <v>1</v>
      </c>
    </row>
    <row r="500" spans="6:10" x14ac:dyDescent="0.35">
      <c r="F500" s="2" t="s">
        <v>1123</v>
      </c>
      <c r="G500" s="2" t="b">
        <f>COUNTIF(MASTER!$A$2:$A$1944,F500)=0</f>
        <v>1</v>
      </c>
      <c r="H500" s="2"/>
      <c r="I500" s="2" t="s">
        <v>1124</v>
      </c>
      <c r="J500" s="2" t="b">
        <f>COUNTIF(MASTER!$L$2:$L$1944,I500)=0</f>
        <v>1</v>
      </c>
    </row>
    <row r="501" spans="6:10" x14ac:dyDescent="0.35">
      <c r="F501" s="2" t="s">
        <v>1125</v>
      </c>
      <c r="G501" s="2" t="b">
        <f>COUNTIF(MASTER!$A$2:$A$1944,F501)=0</f>
        <v>1</v>
      </c>
      <c r="H501" s="2"/>
      <c r="I501" s="2" t="s">
        <v>1126</v>
      </c>
      <c r="J501" s="2" t="b">
        <f>COUNTIF(MASTER!$L$2:$L$1944,I501)=0</f>
        <v>1</v>
      </c>
    </row>
    <row r="502" spans="6:10" x14ac:dyDescent="0.35">
      <c r="F502" s="2" t="s">
        <v>1127</v>
      </c>
      <c r="G502" s="2" t="b">
        <f>COUNTIF(MASTER!$A$2:$A$1944,F502)=0</f>
        <v>1</v>
      </c>
      <c r="H502" s="2"/>
      <c r="I502" s="2" t="s">
        <v>1128</v>
      </c>
      <c r="J502" s="2" t="b">
        <f>COUNTIF(MASTER!$L$2:$L$1944,I502)=0</f>
        <v>1</v>
      </c>
    </row>
    <row r="503" spans="6:10" x14ac:dyDescent="0.35">
      <c r="F503" s="2" t="s">
        <v>1129</v>
      </c>
      <c r="G503" s="2" t="b">
        <f>COUNTIF(MASTER!$A$2:$A$1944,F503)=0</f>
        <v>1</v>
      </c>
      <c r="H503" s="2"/>
      <c r="I503" s="2" t="s">
        <v>1130</v>
      </c>
      <c r="J503" s="2" t="b">
        <f>COUNTIF(MASTER!$L$2:$L$1944,I503)=0</f>
        <v>1</v>
      </c>
    </row>
    <row r="504" spans="6:10" x14ac:dyDescent="0.35">
      <c r="F504" s="2" t="s">
        <v>1131</v>
      </c>
      <c r="G504" s="2" t="b">
        <f>COUNTIF(MASTER!$A$2:$A$1944,F504)=0</f>
        <v>1</v>
      </c>
      <c r="H504" s="2"/>
      <c r="I504" s="2" t="s">
        <v>1132</v>
      </c>
      <c r="J504" s="2" t="b">
        <f>COUNTIF(MASTER!$L$2:$L$1944,I504)=0</f>
        <v>1</v>
      </c>
    </row>
    <row r="505" spans="6:10" x14ac:dyDescent="0.35">
      <c r="F505" s="2" t="s">
        <v>1133</v>
      </c>
      <c r="G505" s="2" t="b">
        <f>COUNTIF(MASTER!$A$2:$A$1944,F505)=0</f>
        <v>1</v>
      </c>
      <c r="H505" s="2"/>
      <c r="I505" s="2" t="s">
        <v>1134</v>
      </c>
      <c r="J505" s="2" t="b">
        <f>COUNTIF(MASTER!$L$2:$L$1944,I505)=0</f>
        <v>1</v>
      </c>
    </row>
    <row r="506" spans="6:10" x14ac:dyDescent="0.35">
      <c r="F506" s="2" t="s">
        <v>1135</v>
      </c>
      <c r="G506" s="2" t="b">
        <f>COUNTIF(MASTER!$A$2:$A$1944,F506)=0</f>
        <v>1</v>
      </c>
      <c r="H506" s="2"/>
      <c r="I506" s="2" t="s">
        <v>1136</v>
      </c>
      <c r="J506" s="2" t="b">
        <f>COUNTIF(MASTER!$L$2:$L$1944,I506)=0</f>
        <v>1</v>
      </c>
    </row>
    <row r="507" spans="6:10" x14ac:dyDescent="0.35">
      <c r="F507" s="2" t="s">
        <v>1137</v>
      </c>
      <c r="G507" s="2" t="b">
        <f>COUNTIF(MASTER!$A$2:$A$1944,F507)=0</f>
        <v>1</v>
      </c>
      <c r="H507" s="2"/>
      <c r="I507" s="2" t="s">
        <v>1138</v>
      </c>
      <c r="J507" s="2" t="b">
        <f>COUNTIF(MASTER!$L$2:$L$1944,I507)=0</f>
        <v>1</v>
      </c>
    </row>
    <row r="508" spans="6:10" x14ac:dyDescent="0.35">
      <c r="F508" s="2" t="s">
        <v>1139</v>
      </c>
      <c r="G508" s="2" t="b">
        <f>COUNTIF(MASTER!$A$2:$A$1944,F508)=0</f>
        <v>1</v>
      </c>
      <c r="H508" s="2"/>
      <c r="I508" s="2" t="s">
        <v>1140</v>
      </c>
      <c r="J508" s="2" t="b">
        <f>COUNTIF(MASTER!$L$2:$L$1944,I508)=0</f>
        <v>1</v>
      </c>
    </row>
    <row r="509" spans="6:10" x14ac:dyDescent="0.35">
      <c r="F509" s="2" t="s">
        <v>1141</v>
      </c>
      <c r="G509" s="2" t="b">
        <f>COUNTIF(MASTER!$A$2:$A$1944,F509)=0</f>
        <v>1</v>
      </c>
      <c r="H509" s="2"/>
      <c r="I509" s="2" t="s">
        <v>1142</v>
      </c>
      <c r="J509" s="2" t="b">
        <f>COUNTIF(MASTER!$L$2:$L$1944,I509)=0</f>
        <v>1</v>
      </c>
    </row>
    <row r="510" spans="6:10" x14ac:dyDescent="0.35">
      <c r="F510" s="2" t="s">
        <v>1143</v>
      </c>
      <c r="G510" s="2" t="b">
        <f>COUNTIF(MASTER!$A$2:$A$1944,F510)=0</f>
        <v>1</v>
      </c>
      <c r="H510" s="2"/>
      <c r="I510" s="2" t="s">
        <v>1144</v>
      </c>
      <c r="J510" s="2" t="b">
        <f>COUNTIF(MASTER!$L$2:$L$1944,I510)=0</f>
        <v>1</v>
      </c>
    </row>
    <row r="511" spans="6:10" x14ac:dyDescent="0.35">
      <c r="F511" s="2" t="s">
        <v>1145</v>
      </c>
      <c r="G511" s="2" t="b">
        <f>COUNTIF(MASTER!$A$2:$A$1944,F511)=0</f>
        <v>1</v>
      </c>
      <c r="H511" s="2"/>
      <c r="I511" s="2" t="s">
        <v>1146</v>
      </c>
      <c r="J511" s="2" t="b">
        <f>COUNTIF(MASTER!$L$2:$L$1944,I511)=0</f>
        <v>1</v>
      </c>
    </row>
    <row r="512" spans="6:10" x14ac:dyDescent="0.35">
      <c r="F512" s="2" t="s">
        <v>1147</v>
      </c>
      <c r="G512" s="2" t="b">
        <f>COUNTIF(MASTER!$A$2:$A$1944,F512)=0</f>
        <v>1</v>
      </c>
      <c r="H512" s="2"/>
      <c r="I512" s="2" t="s">
        <v>1148</v>
      </c>
      <c r="J512" s="2" t="b">
        <f>COUNTIF(MASTER!$L$2:$L$1944,I512)=0</f>
        <v>1</v>
      </c>
    </row>
    <row r="513" spans="6:10" x14ac:dyDescent="0.35">
      <c r="F513" s="2" t="s">
        <v>1149</v>
      </c>
      <c r="G513" s="2" t="b">
        <f>COUNTIF(MASTER!$A$2:$A$1944,F513)=0</f>
        <v>1</v>
      </c>
      <c r="H513" s="2"/>
      <c r="I513" s="2" t="s">
        <v>1150</v>
      </c>
      <c r="J513" s="2" t="b">
        <f>COUNTIF(MASTER!$L$2:$L$1944,I513)=0</f>
        <v>1</v>
      </c>
    </row>
    <row r="514" spans="6:10" x14ac:dyDescent="0.35">
      <c r="F514" s="2" t="s">
        <v>1151</v>
      </c>
      <c r="G514" s="2" t="b">
        <f>COUNTIF(MASTER!$A$2:$A$1944,F514)=0</f>
        <v>1</v>
      </c>
      <c r="H514" s="2"/>
      <c r="I514" s="2" t="s">
        <v>1152</v>
      </c>
      <c r="J514" s="2" t="b">
        <f>COUNTIF(MASTER!$L$2:$L$1944,I514)=0</f>
        <v>1</v>
      </c>
    </row>
    <row r="515" spans="6:10" x14ac:dyDescent="0.35">
      <c r="F515" s="2" t="s">
        <v>1153</v>
      </c>
      <c r="G515" s="2" t="b">
        <f>COUNTIF(MASTER!$A$2:$A$1944,F515)=0</f>
        <v>1</v>
      </c>
      <c r="H515" s="2"/>
      <c r="I515" s="2" t="s">
        <v>1154</v>
      </c>
      <c r="J515" s="2" t="b">
        <f>COUNTIF(MASTER!$L$2:$L$1944,I515)=0</f>
        <v>1</v>
      </c>
    </row>
    <row r="516" spans="6:10" x14ac:dyDescent="0.35">
      <c r="F516" s="2" t="s">
        <v>1155</v>
      </c>
      <c r="G516" s="2" t="b">
        <f>COUNTIF(MASTER!$A$2:$A$1944,F516)=0</f>
        <v>1</v>
      </c>
      <c r="H516" s="2"/>
      <c r="I516" s="2" t="s">
        <v>1156</v>
      </c>
      <c r="J516" s="2" t="b">
        <f>COUNTIF(MASTER!$L$2:$L$1944,I516)=0</f>
        <v>1</v>
      </c>
    </row>
    <row r="517" spans="6:10" x14ac:dyDescent="0.35">
      <c r="F517" s="2" t="s">
        <v>1157</v>
      </c>
      <c r="G517" s="2" t="b">
        <f>COUNTIF(MASTER!$A$2:$A$1944,F517)=0</f>
        <v>1</v>
      </c>
      <c r="H517" s="2"/>
      <c r="I517" s="2" t="s">
        <v>1158</v>
      </c>
      <c r="J517" s="2" t="b">
        <f>COUNTIF(MASTER!$L$2:$L$1944,I517)=0</f>
        <v>1</v>
      </c>
    </row>
    <row r="518" spans="6:10" x14ac:dyDescent="0.35">
      <c r="F518" s="2" t="s">
        <v>1159</v>
      </c>
      <c r="G518" s="2" t="b">
        <f>COUNTIF(MASTER!$A$2:$A$1944,F518)=0</f>
        <v>1</v>
      </c>
      <c r="H518" s="2"/>
      <c r="I518" s="2" t="s">
        <v>1160</v>
      </c>
      <c r="J518" s="2" t="b">
        <f>COUNTIF(MASTER!$L$2:$L$1944,I518)=0</f>
        <v>1</v>
      </c>
    </row>
    <row r="519" spans="6:10" x14ac:dyDescent="0.35">
      <c r="F519" s="2" t="s">
        <v>1161</v>
      </c>
      <c r="G519" s="2" t="b">
        <f>COUNTIF(MASTER!$A$2:$A$1944,F519)=0</f>
        <v>1</v>
      </c>
      <c r="H519" s="2"/>
      <c r="I519" s="2" t="s">
        <v>1162</v>
      </c>
      <c r="J519" s="2" t="b">
        <f>COUNTIF(MASTER!$L$2:$L$1944,I519)=0</f>
        <v>1</v>
      </c>
    </row>
    <row r="520" spans="6:10" x14ac:dyDescent="0.35">
      <c r="F520" s="2" t="s">
        <v>1163</v>
      </c>
      <c r="G520" s="2" t="b">
        <f>COUNTIF(MASTER!$A$2:$A$1944,F520)=0</f>
        <v>1</v>
      </c>
      <c r="H520" s="2"/>
      <c r="I520" s="2" t="s">
        <v>1164</v>
      </c>
      <c r="J520" s="2" t="b">
        <f>COUNTIF(MASTER!$L$2:$L$1944,I520)=0</f>
        <v>1</v>
      </c>
    </row>
    <row r="521" spans="6:10" x14ac:dyDescent="0.35">
      <c r="F521" s="2" t="s">
        <v>1165</v>
      </c>
      <c r="G521" s="2" t="b">
        <f>COUNTIF(MASTER!$A$2:$A$1944,F521)=0</f>
        <v>1</v>
      </c>
      <c r="H521" s="2"/>
      <c r="I521" s="2" t="s">
        <v>1166</v>
      </c>
      <c r="J521" s="2" t="b">
        <f>COUNTIF(MASTER!$L$2:$L$1944,I521)=0</f>
        <v>1</v>
      </c>
    </row>
    <row r="522" spans="6:10" x14ac:dyDescent="0.35">
      <c r="F522" s="2" t="s">
        <v>1167</v>
      </c>
      <c r="G522" s="2" t="b">
        <f>COUNTIF(MASTER!$A$2:$A$1944,F522)=0</f>
        <v>1</v>
      </c>
      <c r="H522" s="2"/>
      <c r="I522" s="2" t="s">
        <v>1168</v>
      </c>
      <c r="J522" s="2" t="b">
        <f>COUNTIF(MASTER!$L$2:$L$1944,I522)=0</f>
        <v>1</v>
      </c>
    </row>
    <row r="523" spans="6:10" x14ac:dyDescent="0.35">
      <c r="F523" s="2" t="s">
        <v>1169</v>
      </c>
      <c r="G523" s="2" t="b">
        <f>COUNTIF(MASTER!$A$2:$A$1944,F523)=0</f>
        <v>1</v>
      </c>
      <c r="H523" s="2"/>
      <c r="I523" s="2" t="s">
        <v>1170</v>
      </c>
      <c r="J523" s="2" t="b">
        <f>COUNTIF(MASTER!$L$2:$L$1944,I523)=0</f>
        <v>1</v>
      </c>
    </row>
    <row r="524" spans="6:10" x14ac:dyDescent="0.35">
      <c r="F524" s="2" t="s">
        <v>1171</v>
      </c>
      <c r="G524" s="2" t="b">
        <f>COUNTIF(MASTER!$A$2:$A$1944,F524)=0</f>
        <v>1</v>
      </c>
      <c r="H524" s="2"/>
      <c r="I524" s="2" t="s">
        <v>1172</v>
      </c>
      <c r="J524" s="2" t="b">
        <f>COUNTIF(MASTER!$L$2:$L$1944,I524)=0</f>
        <v>1</v>
      </c>
    </row>
    <row r="525" spans="6:10" x14ac:dyDescent="0.35">
      <c r="F525" s="2" t="s">
        <v>1173</v>
      </c>
      <c r="G525" s="2" t="b">
        <f>COUNTIF(MASTER!$A$2:$A$1944,F525)=0</f>
        <v>1</v>
      </c>
      <c r="H525" s="2"/>
      <c r="I525" s="2" t="s">
        <v>1174</v>
      </c>
      <c r="J525" s="2" t="b">
        <f>COUNTIF(MASTER!$L$2:$L$1944,I525)=0</f>
        <v>1</v>
      </c>
    </row>
    <row r="526" spans="6:10" x14ac:dyDescent="0.35">
      <c r="F526" s="2" t="s">
        <v>1175</v>
      </c>
      <c r="G526" s="2" t="b">
        <f>COUNTIF(MASTER!$A$2:$A$1944,F526)=0</f>
        <v>1</v>
      </c>
      <c r="H526" s="2"/>
      <c r="I526" s="2" t="s">
        <v>1176</v>
      </c>
      <c r="J526" s="2" t="b">
        <f>COUNTIF(MASTER!$L$2:$L$1944,I526)=0</f>
        <v>1</v>
      </c>
    </row>
    <row r="527" spans="6:10" x14ac:dyDescent="0.35">
      <c r="F527" s="2" t="s">
        <v>1177</v>
      </c>
      <c r="G527" s="2" t="b">
        <f>COUNTIF(MASTER!$A$2:$A$1944,F527)=0</f>
        <v>1</v>
      </c>
      <c r="H527" s="2"/>
      <c r="I527" s="2" t="s">
        <v>1178</v>
      </c>
      <c r="J527" s="2" t="b">
        <f>COUNTIF(MASTER!$L$2:$L$1944,I527)=0</f>
        <v>1</v>
      </c>
    </row>
    <row r="528" spans="6:10" x14ac:dyDescent="0.35">
      <c r="F528" s="2" t="s">
        <v>1179</v>
      </c>
      <c r="G528" s="2" t="b">
        <f>COUNTIF(MASTER!$A$2:$A$1944,F528)=0</f>
        <v>1</v>
      </c>
      <c r="H528" s="2"/>
      <c r="I528" s="2" t="s">
        <v>1180</v>
      </c>
      <c r="J528" s="2" t="b">
        <f>COUNTIF(MASTER!$L$2:$L$1944,I528)=0</f>
        <v>1</v>
      </c>
    </row>
    <row r="529" spans="6:10" x14ac:dyDescent="0.35">
      <c r="F529" s="2" t="s">
        <v>1181</v>
      </c>
      <c r="G529" s="2" t="b">
        <f>COUNTIF(MASTER!$A$2:$A$1944,F529)=0</f>
        <v>1</v>
      </c>
      <c r="H529" s="2"/>
      <c r="I529" s="2" t="s">
        <v>1182</v>
      </c>
      <c r="J529" s="2" t="b">
        <f>COUNTIF(MASTER!$L$2:$L$1944,I529)=0</f>
        <v>1</v>
      </c>
    </row>
    <row r="530" spans="6:10" x14ac:dyDescent="0.35">
      <c r="F530" s="2" t="s">
        <v>1183</v>
      </c>
      <c r="G530" s="2" t="b">
        <f>COUNTIF(MASTER!$A$2:$A$1944,F530)=0</f>
        <v>1</v>
      </c>
      <c r="H530" s="2"/>
      <c r="I530" s="2" t="s">
        <v>1184</v>
      </c>
      <c r="J530" s="2" t="b">
        <f>COUNTIF(MASTER!$L$2:$L$1944,I530)=0</f>
        <v>1</v>
      </c>
    </row>
    <row r="531" spans="6:10" x14ac:dyDescent="0.35">
      <c r="F531" s="2" t="s">
        <v>1185</v>
      </c>
      <c r="G531" s="2" t="b">
        <f>COUNTIF(MASTER!$A$2:$A$1944,F531)=0</f>
        <v>1</v>
      </c>
      <c r="H531" s="2"/>
      <c r="I531" s="2" t="s">
        <v>1186</v>
      </c>
      <c r="J531" s="2" t="b">
        <f>COUNTIF(MASTER!$L$2:$L$1944,I531)=0</f>
        <v>1</v>
      </c>
    </row>
    <row r="532" spans="6:10" x14ac:dyDescent="0.35">
      <c r="F532" s="2" t="s">
        <v>1187</v>
      </c>
      <c r="G532" s="2" t="b">
        <f>COUNTIF(MASTER!$A$2:$A$1944,F532)=0</f>
        <v>1</v>
      </c>
      <c r="H532" s="2"/>
      <c r="I532" s="2" t="s">
        <v>1188</v>
      </c>
      <c r="J532" s="2" t="b">
        <f>COUNTIF(MASTER!$L$2:$L$1944,I532)=0</f>
        <v>1</v>
      </c>
    </row>
    <row r="533" spans="6:10" x14ac:dyDescent="0.35">
      <c r="F533" s="2" t="s">
        <v>1189</v>
      </c>
      <c r="G533" s="2" t="b">
        <f>COUNTIF(MASTER!$A$2:$A$1944,F533)=0</f>
        <v>1</v>
      </c>
      <c r="H533" s="2"/>
      <c r="I533" s="2" t="s">
        <v>1190</v>
      </c>
      <c r="J533" s="2" t="b">
        <f>COUNTIF(MASTER!$L$2:$L$1944,I533)=0</f>
        <v>1</v>
      </c>
    </row>
    <row r="534" spans="6:10" x14ac:dyDescent="0.35">
      <c r="F534" s="2" t="s">
        <v>1191</v>
      </c>
      <c r="G534" s="2" t="b">
        <f>COUNTIF(MASTER!$A$2:$A$1944,F534)=0</f>
        <v>1</v>
      </c>
      <c r="H534" s="2"/>
      <c r="I534" s="2" t="s">
        <v>1192</v>
      </c>
      <c r="J534" s="2" t="b">
        <f>COUNTIF(MASTER!$L$2:$L$1944,I534)=0</f>
        <v>1</v>
      </c>
    </row>
    <row r="535" spans="6:10" x14ac:dyDescent="0.35">
      <c r="F535" s="2" t="s">
        <v>1193</v>
      </c>
      <c r="G535" s="2" t="b">
        <f>COUNTIF(MASTER!$A$2:$A$1944,F535)=0</f>
        <v>1</v>
      </c>
      <c r="H535" s="2"/>
      <c r="I535" s="2" t="s">
        <v>1194</v>
      </c>
      <c r="J535" s="2" t="b">
        <f>COUNTIF(MASTER!$L$2:$L$1944,I535)=0</f>
        <v>1</v>
      </c>
    </row>
    <row r="536" spans="6:10" x14ac:dyDescent="0.35">
      <c r="F536" s="2" t="s">
        <v>1195</v>
      </c>
      <c r="G536" s="2" t="b">
        <f>COUNTIF(MASTER!$A$2:$A$1944,F536)=0</f>
        <v>1</v>
      </c>
      <c r="H536" s="2"/>
      <c r="I536" s="2" t="s">
        <v>1196</v>
      </c>
      <c r="J536" s="2" t="b">
        <f>COUNTIF(MASTER!$L$2:$L$1944,I536)=0</f>
        <v>1</v>
      </c>
    </row>
    <row r="537" spans="6:10" x14ac:dyDescent="0.35">
      <c r="F537" s="2" t="s">
        <v>1197</v>
      </c>
      <c r="G537" s="2" t="b">
        <f>COUNTIF(MASTER!$A$2:$A$1944,F537)=0</f>
        <v>1</v>
      </c>
      <c r="H537" s="2"/>
      <c r="I537" s="2" t="s">
        <v>1198</v>
      </c>
      <c r="J537" s="2" t="b">
        <f>COUNTIF(MASTER!$L$2:$L$1944,I537)=0</f>
        <v>1</v>
      </c>
    </row>
    <row r="538" spans="6:10" x14ac:dyDescent="0.35">
      <c r="F538" s="2" t="s">
        <v>1199</v>
      </c>
      <c r="G538" s="2" t="b">
        <f>COUNTIF(MASTER!$A$2:$A$1944,F538)=0</f>
        <v>1</v>
      </c>
      <c r="H538" s="2"/>
      <c r="I538" s="2" t="s">
        <v>1200</v>
      </c>
      <c r="J538" s="2" t="b">
        <f>COUNTIF(MASTER!$L$2:$L$1944,I538)=0</f>
        <v>1</v>
      </c>
    </row>
    <row r="539" spans="6:10" x14ac:dyDescent="0.35">
      <c r="F539" s="2" t="s">
        <v>1201</v>
      </c>
      <c r="G539" s="2" t="b">
        <f>COUNTIF(MASTER!$A$2:$A$1944,F539)=0</f>
        <v>1</v>
      </c>
      <c r="H539" s="2"/>
      <c r="I539" s="2" t="s">
        <v>1202</v>
      </c>
      <c r="J539" s="2" t="b">
        <f>COUNTIF(MASTER!$L$2:$L$1944,I539)=0</f>
        <v>1</v>
      </c>
    </row>
    <row r="540" spans="6:10" x14ac:dyDescent="0.35">
      <c r="F540" s="2" t="s">
        <v>1203</v>
      </c>
      <c r="G540" s="2" t="b">
        <f>COUNTIF(MASTER!$A$2:$A$1944,F540)=0</f>
        <v>1</v>
      </c>
      <c r="H540" s="2"/>
      <c r="I540" s="2" t="s">
        <v>1204</v>
      </c>
      <c r="J540" s="2" t="b">
        <f>COUNTIF(MASTER!$L$2:$L$1944,I540)=0</f>
        <v>1</v>
      </c>
    </row>
    <row r="541" spans="6:10" x14ac:dyDescent="0.35">
      <c r="F541" s="2" t="s">
        <v>1205</v>
      </c>
      <c r="G541" s="2" t="b">
        <f>COUNTIF(MASTER!$A$2:$A$1944,F541)=0</f>
        <v>1</v>
      </c>
      <c r="H541" s="2"/>
      <c r="I541" s="2" t="s">
        <v>1206</v>
      </c>
      <c r="J541" s="2" t="b">
        <f>COUNTIF(MASTER!$L$2:$L$1944,I541)=0</f>
        <v>1</v>
      </c>
    </row>
    <row r="542" spans="6:10" x14ac:dyDescent="0.35">
      <c r="F542" s="2" t="s">
        <v>1207</v>
      </c>
      <c r="G542" s="2" t="b">
        <f>COUNTIF(MASTER!$A$2:$A$1944,F542)=0</f>
        <v>1</v>
      </c>
      <c r="H542" s="2"/>
      <c r="I542" s="2" t="s">
        <v>1208</v>
      </c>
      <c r="J542" s="2" t="b">
        <f>COUNTIF(MASTER!$L$2:$L$1944,I542)=0</f>
        <v>1</v>
      </c>
    </row>
    <row r="543" spans="6:10" x14ac:dyDescent="0.35">
      <c r="F543" s="2" t="s">
        <v>1209</v>
      </c>
      <c r="G543" s="2" t="b">
        <f>COUNTIF(MASTER!$A$2:$A$1944,F543)=0</f>
        <v>1</v>
      </c>
      <c r="H543" s="2"/>
      <c r="I543" s="2" t="s">
        <v>1210</v>
      </c>
      <c r="J543" s="2" t="b">
        <f>COUNTIF(MASTER!$L$2:$L$1944,I543)=0</f>
        <v>1</v>
      </c>
    </row>
    <row r="544" spans="6:10" x14ac:dyDescent="0.35">
      <c r="F544" s="2" t="s">
        <v>1211</v>
      </c>
      <c r="G544" s="2" t="b">
        <f>COUNTIF(MASTER!$A$2:$A$1944,F544)=0</f>
        <v>1</v>
      </c>
      <c r="H544" s="2"/>
      <c r="I544" s="2" t="s">
        <v>1212</v>
      </c>
      <c r="J544" s="2" t="b">
        <f>COUNTIF(MASTER!$L$2:$L$1944,I544)=0</f>
        <v>1</v>
      </c>
    </row>
    <row r="545" spans="6:10" x14ac:dyDescent="0.35">
      <c r="F545" s="2" t="s">
        <v>1213</v>
      </c>
      <c r="G545" s="2" t="b">
        <f>COUNTIF(MASTER!$A$2:$A$1944,F545)=0</f>
        <v>1</v>
      </c>
      <c r="H545" s="2"/>
      <c r="I545" s="2" t="s">
        <v>1214</v>
      </c>
      <c r="J545" s="2" t="b">
        <f>COUNTIF(MASTER!$L$2:$L$1944,I545)=0</f>
        <v>1</v>
      </c>
    </row>
    <row r="546" spans="6:10" x14ac:dyDescent="0.35">
      <c r="F546" s="2" t="s">
        <v>1215</v>
      </c>
      <c r="G546" s="2" t="b">
        <f>COUNTIF(MASTER!$A$2:$A$1944,F546)=0</f>
        <v>1</v>
      </c>
      <c r="H546" s="2"/>
      <c r="I546" s="2" t="s">
        <v>1216</v>
      </c>
      <c r="J546" s="2" t="b">
        <f>COUNTIF(MASTER!$L$2:$L$1944,I546)=0</f>
        <v>1</v>
      </c>
    </row>
    <row r="547" spans="6:10" x14ac:dyDescent="0.35">
      <c r="F547" s="2" t="s">
        <v>1217</v>
      </c>
      <c r="G547" s="2" t="b">
        <f>COUNTIF(MASTER!$A$2:$A$1944,F547)=0</f>
        <v>1</v>
      </c>
      <c r="H547" s="2"/>
      <c r="I547" s="2" t="s">
        <v>1218</v>
      </c>
      <c r="J547" s="2" t="b">
        <f>COUNTIF(MASTER!$L$2:$L$1944,I547)=0</f>
        <v>1</v>
      </c>
    </row>
    <row r="548" spans="6:10" x14ac:dyDescent="0.35">
      <c r="F548" s="2" t="s">
        <v>1219</v>
      </c>
      <c r="G548" s="2" t="b">
        <f>COUNTIF(MASTER!$A$2:$A$1944,F548)=0</f>
        <v>1</v>
      </c>
      <c r="H548" s="2"/>
      <c r="I548" s="2" t="s">
        <v>1220</v>
      </c>
      <c r="J548" s="2" t="b">
        <f>COUNTIF(MASTER!$L$2:$L$1944,I548)=0</f>
        <v>1</v>
      </c>
    </row>
    <row r="549" spans="6:10" x14ac:dyDescent="0.35">
      <c r="F549" s="2" t="s">
        <v>1221</v>
      </c>
      <c r="G549" s="2" t="b">
        <f>COUNTIF(MASTER!$A$2:$A$1944,F549)=0</f>
        <v>1</v>
      </c>
      <c r="H549" s="2"/>
      <c r="I549" s="2" t="s">
        <v>1222</v>
      </c>
      <c r="J549" s="2" t="b">
        <f>COUNTIF(MASTER!$L$2:$L$1944,I549)=0</f>
        <v>1</v>
      </c>
    </row>
    <row r="550" spans="6:10" x14ac:dyDescent="0.35">
      <c r="F550" s="2" t="s">
        <v>1223</v>
      </c>
      <c r="G550" s="2" t="b">
        <f>COUNTIF(MASTER!$A$2:$A$1944,F550)=0</f>
        <v>1</v>
      </c>
      <c r="H550" s="2"/>
      <c r="I550" s="2" t="s">
        <v>1224</v>
      </c>
      <c r="J550" s="2" t="b">
        <f>COUNTIF(MASTER!$L$2:$L$1944,I550)=0</f>
        <v>1</v>
      </c>
    </row>
    <row r="551" spans="6:10" x14ac:dyDescent="0.35">
      <c r="F551" s="2" t="s">
        <v>1225</v>
      </c>
      <c r="G551" s="2" t="b">
        <f>COUNTIF(MASTER!$A$2:$A$1944,F551)=0</f>
        <v>1</v>
      </c>
      <c r="H551" s="2"/>
      <c r="I551" s="2" t="s">
        <v>1226</v>
      </c>
      <c r="J551" s="2" t="b">
        <f>COUNTIF(MASTER!$L$2:$L$1944,I551)=0</f>
        <v>1</v>
      </c>
    </row>
    <row r="552" spans="6:10" x14ac:dyDescent="0.35">
      <c r="F552" s="2" t="s">
        <v>1227</v>
      </c>
      <c r="G552" s="2" t="b">
        <f>COUNTIF(MASTER!$A$2:$A$1944,F552)=0</f>
        <v>1</v>
      </c>
      <c r="H552" s="2"/>
      <c r="I552" s="2" t="s">
        <v>1228</v>
      </c>
      <c r="J552" s="2" t="b">
        <f>COUNTIF(MASTER!$L$2:$L$1944,I552)=0</f>
        <v>1</v>
      </c>
    </row>
    <row r="553" spans="6:10" x14ac:dyDescent="0.35">
      <c r="F553" s="2" t="s">
        <v>1229</v>
      </c>
      <c r="G553" s="2" t="b">
        <f>COUNTIF(MASTER!$A$2:$A$1944,F553)=0</f>
        <v>1</v>
      </c>
      <c r="H553" s="2"/>
      <c r="I553" s="2" t="s">
        <v>1230</v>
      </c>
      <c r="J553" s="2" t="b">
        <f>COUNTIF(MASTER!$L$2:$L$1944,I553)=0</f>
        <v>1</v>
      </c>
    </row>
    <row r="554" spans="6:10" x14ac:dyDescent="0.35">
      <c r="F554" s="2" t="s">
        <v>1231</v>
      </c>
      <c r="G554" s="2" t="b">
        <f>COUNTIF(MASTER!$A$2:$A$1944,F554)=0</f>
        <v>1</v>
      </c>
      <c r="H554" s="2"/>
      <c r="I554" s="2" t="s">
        <v>1232</v>
      </c>
      <c r="J554" s="2" t="b">
        <f>COUNTIF(MASTER!$L$2:$L$1944,I554)=0</f>
        <v>1</v>
      </c>
    </row>
    <row r="555" spans="6:10" x14ac:dyDescent="0.35">
      <c r="F555" s="2" t="s">
        <v>1233</v>
      </c>
      <c r="G555" s="2" t="b">
        <f>COUNTIF(MASTER!$A$2:$A$1944,F555)=0</f>
        <v>1</v>
      </c>
      <c r="H555" s="2"/>
      <c r="I555" s="2" t="s">
        <v>1234</v>
      </c>
      <c r="J555" s="2" t="b">
        <f>COUNTIF(MASTER!$L$2:$L$1944,I555)=0</f>
        <v>1</v>
      </c>
    </row>
    <row r="556" spans="6:10" x14ac:dyDescent="0.35">
      <c r="F556" s="2" t="s">
        <v>1235</v>
      </c>
      <c r="G556" s="2" t="b">
        <f>COUNTIF(MASTER!$A$2:$A$1944,F556)=0</f>
        <v>1</v>
      </c>
      <c r="H556" s="2"/>
      <c r="I556" s="2" t="s">
        <v>1236</v>
      </c>
      <c r="J556" s="2" t="b">
        <f>COUNTIF(MASTER!$L$2:$L$1944,I556)=0</f>
        <v>1</v>
      </c>
    </row>
    <row r="557" spans="6:10" x14ac:dyDescent="0.35">
      <c r="F557" s="2" t="s">
        <v>1237</v>
      </c>
      <c r="G557" s="2" t="b">
        <f>COUNTIF(MASTER!$A$2:$A$1944,F557)=0</f>
        <v>1</v>
      </c>
      <c r="H557" s="2"/>
      <c r="I557" s="2" t="s">
        <v>1238</v>
      </c>
      <c r="J557" s="2" t="b">
        <f>COUNTIF(MASTER!$L$2:$L$1944,I557)=0</f>
        <v>1</v>
      </c>
    </row>
    <row r="558" spans="6:10" x14ac:dyDescent="0.35">
      <c r="F558" s="2" t="s">
        <v>1239</v>
      </c>
      <c r="G558" s="2" t="b">
        <f>COUNTIF(MASTER!$A$2:$A$1944,F558)=0</f>
        <v>1</v>
      </c>
      <c r="H558" s="2"/>
      <c r="I558" s="2" t="s">
        <v>1240</v>
      </c>
      <c r="J558" s="2" t="b">
        <f>COUNTIF(MASTER!$L$2:$L$1944,I558)=0</f>
        <v>1</v>
      </c>
    </row>
    <row r="559" spans="6:10" x14ac:dyDescent="0.35">
      <c r="F559" s="2" t="s">
        <v>1241</v>
      </c>
      <c r="G559" s="2" t="b">
        <f>COUNTIF(MASTER!$A$2:$A$1944,F559)=0</f>
        <v>1</v>
      </c>
      <c r="H559" s="2"/>
      <c r="I559" s="2" t="s">
        <v>1242</v>
      </c>
      <c r="J559" s="2" t="b">
        <f>COUNTIF(MASTER!$L$2:$L$1944,I559)=0</f>
        <v>1</v>
      </c>
    </row>
    <row r="560" spans="6:10" x14ac:dyDescent="0.35">
      <c r="F560" s="2" t="s">
        <v>1243</v>
      </c>
      <c r="G560" s="2" t="b">
        <f>COUNTIF(MASTER!$A$2:$A$1944,F560)=0</f>
        <v>1</v>
      </c>
      <c r="H560" s="2"/>
      <c r="I560" s="2" t="s">
        <v>1244</v>
      </c>
      <c r="J560" s="2" t="b">
        <f>COUNTIF(MASTER!$L$2:$L$1944,I560)=0</f>
        <v>1</v>
      </c>
    </row>
    <row r="561" spans="6:10" x14ac:dyDescent="0.35">
      <c r="F561" s="2" t="s">
        <v>1245</v>
      </c>
      <c r="G561" s="2" t="b">
        <f>COUNTIF(MASTER!$A$2:$A$1944,F561)=0</f>
        <v>1</v>
      </c>
      <c r="H561" s="2"/>
      <c r="I561" s="2" t="s">
        <v>1246</v>
      </c>
      <c r="J561" s="2" t="b">
        <f>COUNTIF(MASTER!$L$2:$L$1944,I561)=0</f>
        <v>1</v>
      </c>
    </row>
    <row r="562" spans="6:10" x14ac:dyDescent="0.35">
      <c r="F562" s="2" t="s">
        <v>1247</v>
      </c>
      <c r="G562" s="2" t="b">
        <f>COUNTIF(MASTER!$A$2:$A$1944,F562)=0</f>
        <v>1</v>
      </c>
      <c r="H562" s="2"/>
      <c r="I562" s="2" t="s">
        <v>1248</v>
      </c>
      <c r="J562" s="2" t="b">
        <f>COUNTIF(MASTER!$L$2:$L$1944,I562)=0</f>
        <v>1</v>
      </c>
    </row>
    <row r="563" spans="6:10" x14ac:dyDescent="0.35">
      <c r="F563" s="2" t="s">
        <v>1249</v>
      </c>
      <c r="G563" s="2" t="b">
        <f>COUNTIF(MASTER!$A$2:$A$1944,F563)=0</f>
        <v>1</v>
      </c>
      <c r="H563" s="2"/>
      <c r="I563" s="2" t="s">
        <v>1250</v>
      </c>
      <c r="J563" s="2" t="b">
        <f>COUNTIF(MASTER!$L$2:$L$1944,I563)=0</f>
        <v>1</v>
      </c>
    </row>
    <row r="564" spans="6:10" x14ac:dyDescent="0.35">
      <c r="F564" s="2" t="s">
        <v>1251</v>
      </c>
      <c r="G564" s="2" t="b">
        <f>COUNTIF(MASTER!$A$2:$A$1944,F564)=0</f>
        <v>1</v>
      </c>
      <c r="H564" s="2"/>
      <c r="I564" s="2" t="s">
        <v>1252</v>
      </c>
      <c r="J564" s="2" t="b">
        <f>COUNTIF(MASTER!$L$2:$L$1944,I564)=0</f>
        <v>1</v>
      </c>
    </row>
    <row r="565" spans="6:10" x14ac:dyDescent="0.35">
      <c r="F565" s="2" t="s">
        <v>1253</v>
      </c>
      <c r="G565" s="2" t="b">
        <f>COUNTIF(MASTER!$A$2:$A$1944,F565)=0</f>
        <v>1</v>
      </c>
      <c r="H565" s="2"/>
      <c r="I565" s="2" t="s">
        <v>1254</v>
      </c>
      <c r="J565" s="2" t="b">
        <f>COUNTIF(MASTER!$L$2:$L$1944,I565)=0</f>
        <v>1</v>
      </c>
    </row>
    <row r="566" spans="6:10" x14ac:dyDescent="0.35">
      <c r="F566" s="2" t="s">
        <v>1255</v>
      </c>
      <c r="G566" s="2" t="b">
        <f>COUNTIF(MASTER!$A$2:$A$1944,F566)=0</f>
        <v>1</v>
      </c>
      <c r="H566" s="2"/>
      <c r="I566" s="2" t="s">
        <v>1256</v>
      </c>
      <c r="J566" s="2" t="b">
        <f>COUNTIF(MASTER!$L$2:$L$1944,I566)=0</f>
        <v>1</v>
      </c>
    </row>
    <row r="567" spans="6:10" x14ac:dyDescent="0.35">
      <c r="F567" s="2" t="s">
        <v>1257</v>
      </c>
      <c r="G567" s="2" t="b">
        <f>COUNTIF(MASTER!$A$2:$A$1944,F567)=0</f>
        <v>1</v>
      </c>
      <c r="H567" s="2"/>
      <c r="I567" s="2" t="s">
        <v>1258</v>
      </c>
      <c r="J567" s="2" t="b">
        <f>COUNTIF(MASTER!$L$2:$L$1944,I567)=0</f>
        <v>1</v>
      </c>
    </row>
    <row r="568" spans="6:10" x14ac:dyDescent="0.35">
      <c r="F568" s="2" t="s">
        <v>1259</v>
      </c>
      <c r="G568" s="2" t="b">
        <f>COUNTIF(MASTER!$A$2:$A$1944,F568)=0</f>
        <v>1</v>
      </c>
      <c r="H568" s="2"/>
      <c r="I568" s="2" t="s">
        <v>1260</v>
      </c>
      <c r="J568" s="2" t="b">
        <f>COUNTIF(MASTER!$L$2:$L$1944,I568)=0</f>
        <v>1</v>
      </c>
    </row>
    <row r="569" spans="6:10" x14ac:dyDescent="0.35">
      <c r="F569" s="2" t="s">
        <v>1261</v>
      </c>
      <c r="G569" s="2" t="b">
        <f>COUNTIF(MASTER!$A$2:$A$1944,F569)=0</f>
        <v>1</v>
      </c>
      <c r="H569" s="2"/>
      <c r="I569" s="2" t="s">
        <v>1262</v>
      </c>
      <c r="J569" s="2" t="b">
        <f>COUNTIF(MASTER!$L$2:$L$1944,I569)=0</f>
        <v>1</v>
      </c>
    </row>
    <row r="570" spans="6:10" x14ac:dyDescent="0.35">
      <c r="F570" s="2" t="s">
        <v>1263</v>
      </c>
      <c r="G570" s="2" t="b">
        <f>COUNTIF(MASTER!$A$2:$A$1944,F570)=0</f>
        <v>1</v>
      </c>
      <c r="H570" s="2"/>
      <c r="I570" s="2" t="s">
        <v>1264</v>
      </c>
      <c r="J570" s="2" t="b">
        <f>COUNTIF(MASTER!$L$2:$L$1944,I570)=0</f>
        <v>1</v>
      </c>
    </row>
    <row r="571" spans="6:10" x14ac:dyDescent="0.35">
      <c r="F571" s="2" t="s">
        <v>1265</v>
      </c>
      <c r="G571" s="2" t="b">
        <f>COUNTIF(MASTER!$A$2:$A$1944,F571)=0</f>
        <v>1</v>
      </c>
      <c r="H571" s="2"/>
      <c r="I571" s="2" t="s">
        <v>1266</v>
      </c>
      <c r="J571" s="2" t="b">
        <f>COUNTIF(MASTER!$L$2:$L$1944,I571)=0</f>
        <v>1</v>
      </c>
    </row>
    <row r="572" spans="6:10" x14ac:dyDescent="0.35">
      <c r="F572" s="2" t="s">
        <v>1267</v>
      </c>
      <c r="G572" s="2" t="b">
        <f>COUNTIF(MASTER!$A$2:$A$1944,F572)=0</f>
        <v>1</v>
      </c>
      <c r="H572" s="2"/>
      <c r="I572" s="2" t="s">
        <v>1268</v>
      </c>
      <c r="J572" s="2" t="b">
        <f>COUNTIF(MASTER!$L$2:$L$1944,I572)=0</f>
        <v>1</v>
      </c>
    </row>
    <row r="573" spans="6:10" x14ac:dyDescent="0.35">
      <c r="F573" s="2" t="s">
        <v>1269</v>
      </c>
      <c r="G573" s="2" t="b">
        <f>COUNTIF(MASTER!$A$2:$A$1944,F573)=0</f>
        <v>1</v>
      </c>
      <c r="H573" s="2"/>
      <c r="I573" s="2" t="s">
        <v>1270</v>
      </c>
      <c r="J573" s="2" t="b">
        <f>COUNTIF(MASTER!$L$2:$L$1944,I573)=0</f>
        <v>1</v>
      </c>
    </row>
    <row r="574" spans="6:10" x14ac:dyDescent="0.35">
      <c r="F574" s="2" t="s">
        <v>1271</v>
      </c>
      <c r="G574" s="2" t="b">
        <f>COUNTIF(MASTER!$A$2:$A$1944,F574)=0</f>
        <v>1</v>
      </c>
      <c r="H574" s="2"/>
      <c r="I574" s="2" t="s">
        <v>1272</v>
      </c>
      <c r="J574" s="2" t="b">
        <f>COUNTIF(MASTER!$L$2:$L$1944,I574)=0</f>
        <v>1</v>
      </c>
    </row>
    <row r="575" spans="6:10" x14ac:dyDescent="0.35">
      <c r="F575" s="2" t="s">
        <v>1273</v>
      </c>
      <c r="G575" s="2" t="b">
        <f>COUNTIF(MASTER!$A$2:$A$1944,F575)=0</f>
        <v>1</v>
      </c>
      <c r="H575" s="2"/>
      <c r="I575" s="2" t="s">
        <v>1274</v>
      </c>
      <c r="J575" s="2" t="b">
        <f>COUNTIF(MASTER!$L$2:$L$1944,I575)=0</f>
        <v>1</v>
      </c>
    </row>
    <row r="576" spans="6:10" x14ac:dyDescent="0.35">
      <c r="F576" s="2" t="s">
        <v>1275</v>
      </c>
      <c r="G576" s="2" t="b">
        <f>COUNTIF(MASTER!$A$2:$A$1944,F576)=0</f>
        <v>1</v>
      </c>
      <c r="H576" s="2"/>
      <c r="I576" s="2" t="s">
        <v>1276</v>
      </c>
      <c r="J576" s="2" t="b">
        <f>COUNTIF(MASTER!$L$2:$L$1944,I576)=0</f>
        <v>1</v>
      </c>
    </row>
    <row r="577" spans="6:10" x14ac:dyDescent="0.35">
      <c r="F577" s="2" t="s">
        <v>1277</v>
      </c>
      <c r="G577" s="2" t="b">
        <f>COUNTIF(MASTER!$A$2:$A$1944,F577)=0</f>
        <v>1</v>
      </c>
      <c r="H577" s="2"/>
      <c r="I577" s="2" t="s">
        <v>1278</v>
      </c>
      <c r="J577" s="2" t="b">
        <f>COUNTIF(MASTER!$L$2:$L$1944,I577)=0</f>
        <v>1</v>
      </c>
    </row>
    <row r="578" spans="6:10" x14ac:dyDescent="0.35">
      <c r="F578" s="2" t="s">
        <v>1279</v>
      </c>
      <c r="G578" s="2" t="b">
        <f>COUNTIF(MASTER!$A$2:$A$1944,F578)=0</f>
        <v>1</v>
      </c>
      <c r="H578" s="2"/>
      <c r="I578" s="2" t="s">
        <v>1280</v>
      </c>
      <c r="J578" s="2" t="b">
        <f>COUNTIF(MASTER!$L$2:$L$1944,I578)=0</f>
        <v>1</v>
      </c>
    </row>
    <row r="579" spans="6:10" x14ac:dyDescent="0.35">
      <c r="F579" s="2" t="s">
        <v>1281</v>
      </c>
      <c r="G579" s="2" t="b">
        <f>COUNTIF(MASTER!$A$2:$A$1944,F579)=0</f>
        <v>1</v>
      </c>
      <c r="H579" s="2"/>
      <c r="I579" s="2" t="s">
        <v>1282</v>
      </c>
      <c r="J579" s="2" t="b">
        <f>COUNTIF(MASTER!$L$2:$L$1944,I579)=0</f>
        <v>1</v>
      </c>
    </row>
    <row r="580" spans="6:10" x14ac:dyDescent="0.35">
      <c r="F580" s="2" t="s">
        <v>1283</v>
      </c>
      <c r="G580" s="2" t="b">
        <f>COUNTIF(MASTER!$A$2:$A$1944,F580)=0</f>
        <v>1</v>
      </c>
      <c r="H580" s="2"/>
      <c r="I580" s="2" t="s">
        <v>1284</v>
      </c>
      <c r="J580" s="2" t="b">
        <f>COUNTIF(MASTER!$L$2:$L$1944,I580)=0</f>
        <v>1</v>
      </c>
    </row>
    <row r="581" spans="6:10" x14ac:dyDescent="0.35">
      <c r="F581" s="2" t="s">
        <v>1285</v>
      </c>
      <c r="G581" s="2" t="b">
        <f>COUNTIF(MASTER!$A$2:$A$1944,F581)=0</f>
        <v>1</v>
      </c>
      <c r="H581" s="2"/>
      <c r="I581" s="2" t="s">
        <v>1286</v>
      </c>
      <c r="J581" s="2" t="b">
        <f>COUNTIF(MASTER!$L$2:$L$1944,I581)=0</f>
        <v>1</v>
      </c>
    </row>
    <row r="582" spans="6:10" x14ac:dyDescent="0.35">
      <c r="F582" s="2" t="s">
        <v>1287</v>
      </c>
      <c r="G582" s="2" t="b">
        <f>COUNTIF(MASTER!$A$2:$A$1944,F582)=0</f>
        <v>1</v>
      </c>
      <c r="H582" s="2"/>
      <c r="I582" s="2" t="s">
        <v>1288</v>
      </c>
      <c r="J582" s="2" t="b">
        <f>COUNTIF(MASTER!$L$2:$L$1944,I582)=0</f>
        <v>1</v>
      </c>
    </row>
    <row r="583" spans="6:10" x14ac:dyDescent="0.35">
      <c r="F583" s="2" t="s">
        <v>1289</v>
      </c>
      <c r="G583" s="2" t="b">
        <f>COUNTIF(MASTER!$A$2:$A$1944,F583)=0</f>
        <v>1</v>
      </c>
      <c r="H583" s="2"/>
      <c r="I583" s="2" t="s">
        <v>1290</v>
      </c>
      <c r="J583" s="2" t="b">
        <f>COUNTIF(MASTER!$L$2:$L$1944,I583)=0</f>
        <v>1</v>
      </c>
    </row>
    <row r="584" spans="6:10" x14ac:dyDescent="0.35">
      <c r="F584" s="2" t="s">
        <v>1291</v>
      </c>
      <c r="G584" s="2" t="b">
        <f>COUNTIF(MASTER!$A$2:$A$1944,F584)=0</f>
        <v>1</v>
      </c>
      <c r="H584" s="2"/>
      <c r="I584" s="2" t="s">
        <v>1292</v>
      </c>
      <c r="J584" s="2" t="b">
        <f>COUNTIF(MASTER!$L$2:$L$1944,I584)=0</f>
        <v>1</v>
      </c>
    </row>
    <row r="585" spans="6:10" x14ac:dyDescent="0.35">
      <c r="F585" s="2" t="s">
        <v>1293</v>
      </c>
      <c r="G585" s="2" t="b">
        <f>COUNTIF(MASTER!$A$2:$A$1944,F585)=0</f>
        <v>1</v>
      </c>
      <c r="H585" s="2"/>
      <c r="I585" s="2" t="s">
        <v>1294</v>
      </c>
      <c r="J585" s="2" t="b">
        <f>COUNTIF(MASTER!$L$2:$L$1944,I585)=0</f>
        <v>1</v>
      </c>
    </row>
    <row r="586" spans="6:10" x14ac:dyDescent="0.35">
      <c r="F586" s="2" t="s">
        <v>1295</v>
      </c>
      <c r="G586" s="2" t="b">
        <f>COUNTIF(MASTER!$A$2:$A$1944,F586)=0</f>
        <v>1</v>
      </c>
      <c r="H586" s="2"/>
      <c r="I586" s="2" t="s">
        <v>1296</v>
      </c>
      <c r="J586" s="2" t="b">
        <f>COUNTIF(MASTER!$L$2:$L$1944,I586)=0</f>
        <v>1</v>
      </c>
    </row>
    <row r="587" spans="6:10" x14ac:dyDescent="0.35">
      <c r="F587" s="2" t="s">
        <v>1297</v>
      </c>
      <c r="G587" s="2" t="b">
        <f>COUNTIF(MASTER!$A$2:$A$1944,F587)=0</f>
        <v>1</v>
      </c>
      <c r="H587" s="2"/>
      <c r="I587" s="2" t="s">
        <v>1298</v>
      </c>
      <c r="J587" s="2" t="b">
        <f>COUNTIF(MASTER!$L$2:$L$1944,I587)=0</f>
        <v>1</v>
      </c>
    </row>
    <row r="588" spans="6:10" x14ac:dyDescent="0.35">
      <c r="F588" s="2" t="s">
        <v>1299</v>
      </c>
      <c r="G588" s="2" t="b">
        <f>COUNTIF(MASTER!$A$2:$A$1944,F588)=0</f>
        <v>1</v>
      </c>
      <c r="H588" s="2"/>
      <c r="I588" s="2" t="s">
        <v>1300</v>
      </c>
      <c r="J588" s="2" t="b">
        <f>COUNTIF(MASTER!$L$2:$L$1944,I588)=0</f>
        <v>1</v>
      </c>
    </row>
    <row r="589" spans="6:10" x14ac:dyDescent="0.35">
      <c r="F589" s="2" t="s">
        <v>1301</v>
      </c>
      <c r="G589" s="2" t="b">
        <f>COUNTIF(MASTER!$A$2:$A$1944,F589)=0</f>
        <v>1</v>
      </c>
      <c r="H589" s="2"/>
      <c r="I589" s="2" t="s">
        <v>1302</v>
      </c>
      <c r="J589" s="2" t="b">
        <f>COUNTIF(MASTER!$L$2:$L$1944,I589)=0</f>
        <v>1</v>
      </c>
    </row>
    <row r="590" spans="6:10" x14ac:dyDescent="0.35">
      <c r="F590" s="2" t="s">
        <v>1303</v>
      </c>
      <c r="G590" s="2" t="b">
        <f>COUNTIF(MASTER!$A$2:$A$1944,F590)=0</f>
        <v>1</v>
      </c>
      <c r="H590" s="2"/>
      <c r="I590" s="2" t="s">
        <v>1304</v>
      </c>
      <c r="J590" s="2" t="b">
        <f>COUNTIF(MASTER!$L$2:$L$1944,I590)=0</f>
        <v>1</v>
      </c>
    </row>
    <row r="591" spans="6:10" x14ac:dyDescent="0.35">
      <c r="F591" s="2" t="s">
        <v>1305</v>
      </c>
      <c r="G591" s="2" t="b">
        <f>COUNTIF(MASTER!$A$2:$A$1944,F591)=0</f>
        <v>1</v>
      </c>
      <c r="H591" s="2"/>
      <c r="I591" s="2" t="s">
        <v>1306</v>
      </c>
      <c r="J591" s="2" t="b">
        <f>COUNTIF(MASTER!$L$2:$L$1944,I591)=0</f>
        <v>1</v>
      </c>
    </row>
    <row r="592" spans="6:10" x14ac:dyDescent="0.35">
      <c r="F592" s="2" t="s">
        <v>1307</v>
      </c>
      <c r="G592" s="2" t="b">
        <f>COUNTIF(MASTER!$A$2:$A$1944,F592)=0</f>
        <v>1</v>
      </c>
      <c r="H592" s="2"/>
      <c r="I592" s="2" t="s">
        <v>1308</v>
      </c>
      <c r="J592" s="2" t="b">
        <f>COUNTIF(MASTER!$L$2:$L$1944,I592)=0</f>
        <v>1</v>
      </c>
    </row>
    <row r="593" spans="6:10" x14ac:dyDescent="0.35">
      <c r="F593" s="2" t="s">
        <v>1309</v>
      </c>
      <c r="G593" s="2" t="b">
        <f>COUNTIF(MASTER!$A$2:$A$1944,F593)=0</f>
        <v>1</v>
      </c>
      <c r="H593" s="2"/>
      <c r="I593" s="2" t="s">
        <v>1310</v>
      </c>
      <c r="J593" s="2" t="b">
        <f>COUNTIF(MASTER!$L$2:$L$1944,I593)=0</f>
        <v>1</v>
      </c>
    </row>
    <row r="594" spans="6:10" x14ac:dyDescent="0.35">
      <c r="F594" s="2" t="s">
        <v>1311</v>
      </c>
      <c r="G594" s="2" t="b">
        <f>COUNTIF(MASTER!$A$2:$A$1944,F594)=0</f>
        <v>1</v>
      </c>
      <c r="H594" s="2"/>
      <c r="I594" s="2" t="s">
        <v>1312</v>
      </c>
      <c r="J594" s="2" t="b">
        <f>COUNTIF(MASTER!$L$2:$L$1944,I594)=0</f>
        <v>1</v>
      </c>
    </row>
    <row r="595" spans="6:10" x14ac:dyDescent="0.35">
      <c r="F595" s="2" t="s">
        <v>1313</v>
      </c>
      <c r="G595" s="2" t="b">
        <f>COUNTIF(MASTER!$A$2:$A$1944,F595)=0</f>
        <v>1</v>
      </c>
      <c r="H595" s="2"/>
      <c r="I595" s="2" t="s">
        <v>1314</v>
      </c>
      <c r="J595" s="2" t="b">
        <f>COUNTIF(MASTER!$L$2:$L$1944,I595)=0</f>
        <v>1</v>
      </c>
    </row>
    <row r="596" spans="6:10" x14ac:dyDescent="0.35">
      <c r="F596" s="2" t="s">
        <v>1315</v>
      </c>
      <c r="G596" s="2" t="b">
        <f>COUNTIF(MASTER!$A$2:$A$1944,F596)=0</f>
        <v>1</v>
      </c>
      <c r="H596" s="2"/>
      <c r="I596" s="2" t="s">
        <v>1316</v>
      </c>
      <c r="J596" s="2" t="b">
        <f>COUNTIF(MASTER!$L$2:$L$1944,I596)=0</f>
        <v>1</v>
      </c>
    </row>
    <row r="597" spans="6:10" x14ac:dyDescent="0.35">
      <c r="F597" s="2" t="s">
        <v>1317</v>
      </c>
      <c r="G597" s="2" t="b">
        <f>COUNTIF(MASTER!$A$2:$A$1944,F597)=0</f>
        <v>1</v>
      </c>
      <c r="H597" s="2"/>
      <c r="I597" s="2" t="s">
        <v>1318</v>
      </c>
      <c r="J597" s="2" t="b">
        <f>COUNTIF(MASTER!$L$2:$L$1944,I597)=0</f>
        <v>1</v>
      </c>
    </row>
    <row r="598" spans="6:10" x14ac:dyDescent="0.35">
      <c r="F598" s="2" t="s">
        <v>1319</v>
      </c>
      <c r="G598" s="2" t="b">
        <f>COUNTIF(MASTER!$A$2:$A$1944,F598)=0</f>
        <v>1</v>
      </c>
      <c r="H598" s="2"/>
      <c r="I598" s="2" t="s">
        <v>1320</v>
      </c>
      <c r="J598" s="2" t="b">
        <f>COUNTIF(MASTER!$L$2:$L$1944,I598)=0</f>
        <v>1</v>
      </c>
    </row>
    <row r="599" spans="6:10" x14ac:dyDescent="0.35">
      <c r="F599" s="2" t="s">
        <v>1321</v>
      </c>
      <c r="G599" s="2" t="b">
        <f>COUNTIF(MASTER!$A$2:$A$1944,F599)=0</f>
        <v>1</v>
      </c>
      <c r="H599" s="2"/>
      <c r="I599" s="2" t="s">
        <v>1322</v>
      </c>
      <c r="J599" s="2" t="b">
        <f>COUNTIF(MASTER!$L$2:$L$1944,I599)=0</f>
        <v>1</v>
      </c>
    </row>
    <row r="600" spans="6:10" x14ac:dyDescent="0.35">
      <c r="F600" s="2" t="s">
        <v>1323</v>
      </c>
      <c r="G600" s="2" t="b">
        <f>COUNTIF(MASTER!$A$2:$A$1944,F600)=0</f>
        <v>1</v>
      </c>
      <c r="H600" s="2"/>
      <c r="I600" s="2" t="s">
        <v>1324</v>
      </c>
      <c r="J600" s="2" t="b">
        <f>COUNTIF(MASTER!$L$2:$L$1944,I600)=0</f>
        <v>1</v>
      </c>
    </row>
    <row r="601" spans="6:10" x14ac:dyDescent="0.35">
      <c r="F601" s="2" t="s">
        <v>1325</v>
      </c>
      <c r="G601" s="2" t="b">
        <f>COUNTIF(MASTER!$A$2:$A$1944,F601)=0</f>
        <v>1</v>
      </c>
      <c r="H601" s="2"/>
      <c r="I601" s="2" t="s">
        <v>1326</v>
      </c>
      <c r="J601" s="2" t="b">
        <f>COUNTIF(MASTER!$L$2:$L$1944,I601)=0</f>
        <v>1</v>
      </c>
    </row>
    <row r="602" spans="6:10" x14ac:dyDescent="0.35">
      <c r="F602" s="2" t="s">
        <v>1327</v>
      </c>
      <c r="G602" s="2" t="b">
        <f>COUNTIF(MASTER!$A$2:$A$1944,F602)=0</f>
        <v>1</v>
      </c>
      <c r="H602" s="2"/>
      <c r="I602" s="2" t="s">
        <v>1328</v>
      </c>
      <c r="J602" s="2" t="b">
        <f>COUNTIF(MASTER!$L$2:$L$1944,I602)=0</f>
        <v>1</v>
      </c>
    </row>
    <row r="603" spans="6:10" x14ac:dyDescent="0.35">
      <c r="F603" s="2" t="s">
        <v>1329</v>
      </c>
      <c r="G603" s="2" t="b">
        <f>COUNTIF(MASTER!$A$2:$A$1944,F603)=0</f>
        <v>1</v>
      </c>
      <c r="H603" s="2"/>
      <c r="I603" s="2" t="s">
        <v>1330</v>
      </c>
      <c r="J603" s="2" t="b">
        <f>COUNTIF(MASTER!$L$2:$L$1944,I603)=0</f>
        <v>1</v>
      </c>
    </row>
    <row r="604" spans="6:10" x14ac:dyDescent="0.35">
      <c r="F604" s="2" t="s">
        <v>1331</v>
      </c>
      <c r="G604" s="2" t="b">
        <f>COUNTIF(MASTER!$A$2:$A$1944,F604)=0</f>
        <v>1</v>
      </c>
      <c r="H604" s="2"/>
      <c r="I604" s="2" t="s">
        <v>1332</v>
      </c>
      <c r="J604" s="2" t="b">
        <f>COUNTIF(MASTER!$L$2:$L$1944,I604)=0</f>
        <v>1</v>
      </c>
    </row>
    <row r="605" spans="6:10" x14ac:dyDescent="0.35">
      <c r="F605" s="2" t="s">
        <v>1333</v>
      </c>
      <c r="G605" s="2" t="b">
        <f>COUNTIF(MASTER!$A$2:$A$1944,F605)=0</f>
        <v>1</v>
      </c>
      <c r="H605" s="2"/>
      <c r="I605" s="2" t="s">
        <v>1334</v>
      </c>
      <c r="J605" s="2" t="b">
        <f>COUNTIF(MASTER!$L$2:$L$1944,I605)=0</f>
        <v>1</v>
      </c>
    </row>
    <row r="606" spans="6:10" x14ac:dyDescent="0.35">
      <c r="F606" s="2" t="s">
        <v>1335</v>
      </c>
      <c r="G606" s="2" t="b">
        <f>COUNTIF(MASTER!$A$2:$A$1944,F606)=0</f>
        <v>1</v>
      </c>
      <c r="H606" s="2"/>
      <c r="I606" s="2" t="s">
        <v>1336</v>
      </c>
      <c r="J606" s="2" t="b">
        <f>COUNTIF(MASTER!$L$2:$L$1944,I606)=0</f>
        <v>1</v>
      </c>
    </row>
    <row r="607" spans="6:10" x14ac:dyDescent="0.35">
      <c r="F607" s="2" t="s">
        <v>1337</v>
      </c>
      <c r="G607" s="2" t="b">
        <f>COUNTIF(MASTER!$A$2:$A$1944,F607)=0</f>
        <v>1</v>
      </c>
      <c r="H607" s="2"/>
      <c r="I607" s="2" t="s">
        <v>1338</v>
      </c>
      <c r="J607" s="2" t="b">
        <f>COUNTIF(MASTER!$L$2:$L$1944,I607)=0</f>
        <v>1</v>
      </c>
    </row>
    <row r="608" spans="6:10" x14ac:dyDescent="0.35">
      <c r="F608" s="2" t="s">
        <v>1339</v>
      </c>
      <c r="G608" s="2" t="b">
        <f>COUNTIF(MASTER!$A$2:$A$1944,F608)=0</f>
        <v>1</v>
      </c>
      <c r="H608" s="2"/>
      <c r="I608" s="2" t="s">
        <v>1340</v>
      </c>
      <c r="J608" s="2" t="b">
        <f>COUNTIF(MASTER!$L$2:$L$1944,I608)=0</f>
        <v>1</v>
      </c>
    </row>
    <row r="609" spans="6:10" x14ac:dyDescent="0.35">
      <c r="F609" s="2" t="s">
        <v>1341</v>
      </c>
      <c r="G609" s="2" t="b">
        <f>COUNTIF(MASTER!$A$2:$A$1944,F609)=0</f>
        <v>1</v>
      </c>
      <c r="H609" s="2"/>
      <c r="I609" s="2" t="s">
        <v>1342</v>
      </c>
      <c r="J609" s="2" t="b">
        <f>COUNTIF(MASTER!$L$2:$L$1944,I609)=0</f>
        <v>1</v>
      </c>
    </row>
    <row r="610" spans="6:10" x14ac:dyDescent="0.35">
      <c r="F610" s="2" t="s">
        <v>1343</v>
      </c>
      <c r="G610" s="2" t="b">
        <f>COUNTIF(MASTER!$A$2:$A$1944,F610)=0</f>
        <v>1</v>
      </c>
      <c r="H610" s="2"/>
      <c r="I610" s="2" t="s">
        <v>1344</v>
      </c>
      <c r="J610" s="2" t="b">
        <f>COUNTIF(MASTER!$L$2:$L$1944,I610)=0</f>
        <v>1</v>
      </c>
    </row>
    <row r="611" spans="6:10" x14ac:dyDescent="0.35">
      <c r="F611" s="2" t="s">
        <v>1345</v>
      </c>
      <c r="G611" s="2" t="b">
        <f>COUNTIF(MASTER!$A$2:$A$1944,F611)=0</f>
        <v>1</v>
      </c>
      <c r="H611" s="2"/>
      <c r="I611" s="2" t="s">
        <v>1346</v>
      </c>
      <c r="J611" s="2" t="b">
        <f>COUNTIF(MASTER!$L$2:$L$1944,I611)=0</f>
        <v>1</v>
      </c>
    </row>
    <row r="612" spans="6:10" x14ac:dyDescent="0.35">
      <c r="F612" s="2" t="s">
        <v>1347</v>
      </c>
      <c r="G612" s="2" t="b">
        <f>COUNTIF(MASTER!$A$2:$A$1944,F612)=0</f>
        <v>1</v>
      </c>
      <c r="H612" s="2"/>
      <c r="I612" s="2" t="s">
        <v>1348</v>
      </c>
      <c r="J612" s="2" t="b">
        <f>COUNTIF(MASTER!$L$2:$L$1944,I612)=0</f>
        <v>1</v>
      </c>
    </row>
    <row r="613" spans="6:10" x14ac:dyDescent="0.35">
      <c r="F613" s="2" t="s">
        <v>1349</v>
      </c>
      <c r="G613" s="2" t="b">
        <f>COUNTIF(MASTER!$A$2:$A$1944,F613)=0</f>
        <v>1</v>
      </c>
      <c r="H613" s="2"/>
      <c r="I613" s="2" t="s">
        <v>1350</v>
      </c>
      <c r="J613" s="2" t="b">
        <f>COUNTIF(MASTER!$L$2:$L$1944,I613)=0</f>
        <v>1</v>
      </c>
    </row>
    <row r="614" spans="6:10" x14ac:dyDescent="0.35">
      <c r="F614" s="2" t="s">
        <v>1351</v>
      </c>
      <c r="G614" s="2" t="b">
        <f>COUNTIF(MASTER!$A$2:$A$1944,F614)=0</f>
        <v>1</v>
      </c>
      <c r="H614" s="2"/>
      <c r="I614" s="2" t="s">
        <v>1352</v>
      </c>
      <c r="J614" s="2" t="b">
        <f>COUNTIF(MASTER!$L$2:$L$1944,I614)=0</f>
        <v>1</v>
      </c>
    </row>
    <row r="615" spans="6:10" x14ac:dyDescent="0.35">
      <c r="F615" s="2" t="s">
        <v>1353</v>
      </c>
      <c r="G615" s="2" t="b">
        <f>COUNTIF(MASTER!$A$2:$A$1944,F615)=0</f>
        <v>1</v>
      </c>
      <c r="H615" s="2"/>
      <c r="I615" s="2" t="s">
        <v>1354</v>
      </c>
      <c r="J615" s="2" t="b">
        <f>COUNTIF(MASTER!$L$2:$L$1944,I615)=0</f>
        <v>1</v>
      </c>
    </row>
    <row r="616" spans="6:10" x14ac:dyDescent="0.35">
      <c r="F616" s="2" t="s">
        <v>1355</v>
      </c>
      <c r="G616" s="2" t="b">
        <f>COUNTIF(MASTER!$A$2:$A$1944,F616)=0</f>
        <v>1</v>
      </c>
      <c r="H616" s="2"/>
      <c r="I616" s="2" t="s">
        <v>1356</v>
      </c>
      <c r="J616" s="2" t="b">
        <f>COUNTIF(MASTER!$L$2:$L$1944,I616)=0</f>
        <v>1</v>
      </c>
    </row>
    <row r="617" spans="6:10" x14ac:dyDescent="0.35">
      <c r="F617" s="2" t="s">
        <v>1357</v>
      </c>
      <c r="G617" s="2" t="b">
        <f>COUNTIF(MASTER!$A$2:$A$1944,F617)=0</f>
        <v>1</v>
      </c>
      <c r="H617" s="2"/>
      <c r="I617" s="2" t="s">
        <v>1358</v>
      </c>
      <c r="J617" s="2" t="b">
        <f>COUNTIF(MASTER!$L$2:$L$1944,I617)=0</f>
        <v>1</v>
      </c>
    </row>
    <row r="618" spans="6:10" x14ac:dyDescent="0.35">
      <c r="F618" s="2" t="s">
        <v>1359</v>
      </c>
      <c r="G618" s="2" t="b">
        <f>COUNTIF(MASTER!$A$2:$A$1944,F618)=0</f>
        <v>1</v>
      </c>
      <c r="H618" s="2"/>
      <c r="I618" s="2" t="s">
        <v>1360</v>
      </c>
      <c r="J618" s="2" t="b">
        <f>COUNTIF(MASTER!$L$2:$L$1944,I618)=0</f>
        <v>1</v>
      </c>
    </row>
    <row r="619" spans="6:10" x14ac:dyDescent="0.35">
      <c r="F619" s="2" t="s">
        <v>1361</v>
      </c>
      <c r="G619" s="2" t="b">
        <f>COUNTIF(MASTER!$A$2:$A$1944,F619)=0</f>
        <v>1</v>
      </c>
      <c r="H619" s="2"/>
      <c r="I619" s="2" t="s">
        <v>1362</v>
      </c>
      <c r="J619" s="2" t="b">
        <f>COUNTIF(MASTER!$L$2:$L$1944,I619)=0</f>
        <v>1</v>
      </c>
    </row>
    <row r="620" spans="6:10" x14ac:dyDescent="0.35">
      <c r="F620" s="2" t="s">
        <v>1363</v>
      </c>
      <c r="G620" s="2" t="b">
        <f>COUNTIF(MASTER!$A$2:$A$1944,F620)=0</f>
        <v>1</v>
      </c>
      <c r="H620" s="2"/>
      <c r="I620" s="2" t="s">
        <v>1364</v>
      </c>
      <c r="J620" s="2" t="b">
        <f>COUNTIF(MASTER!$L$2:$L$1944,I620)=0</f>
        <v>1</v>
      </c>
    </row>
    <row r="621" spans="6:10" x14ac:dyDescent="0.35">
      <c r="F621" s="2" t="s">
        <v>1365</v>
      </c>
      <c r="G621" s="2" t="b">
        <f>COUNTIF(MASTER!$A$2:$A$1944,F621)=0</f>
        <v>1</v>
      </c>
      <c r="H621" s="2"/>
      <c r="I621" s="2" t="s">
        <v>1366</v>
      </c>
      <c r="J621" s="2" t="b">
        <f>COUNTIF(MASTER!$L$2:$L$1944,I621)=0</f>
        <v>1</v>
      </c>
    </row>
    <row r="622" spans="6:10" x14ac:dyDescent="0.35">
      <c r="F622" s="2" t="s">
        <v>1367</v>
      </c>
      <c r="G622" s="2" t="b">
        <f>COUNTIF(MASTER!$A$2:$A$1944,F622)=0</f>
        <v>1</v>
      </c>
      <c r="H622" s="2"/>
      <c r="I622" s="2" t="s">
        <v>1368</v>
      </c>
      <c r="J622" s="2" t="b">
        <f>COUNTIF(MASTER!$L$2:$L$1944,I622)=0</f>
        <v>1</v>
      </c>
    </row>
    <row r="623" spans="6:10" x14ac:dyDescent="0.35">
      <c r="F623" s="2" t="s">
        <v>1369</v>
      </c>
      <c r="G623" s="2" t="b">
        <f>COUNTIF(MASTER!$A$2:$A$1944,F623)=0</f>
        <v>1</v>
      </c>
      <c r="H623" s="2"/>
      <c r="I623" s="2" t="s">
        <v>1370</v>
      </c>
      <c r="J623" s="2" t="b">
        <f>COUNTIF(MASTER!$L$2:$L$1944,I623)=0</f>
        <v>1</v>
      </c>
    </row>
    <row r="624" spans="6:10" x14ac:dyDescent="0.35">
      <c r="F624" s="2" t="s">
        <v>1371</v>
      </c>
      <c r="G624" s="2" t="b">
        <f>COUNTIF(MASTER!$A$2:$A$1944,F624)=0</f>
        <v>1</v>
      </c>
      <c r="H624" s="2"/>
      <c r="I624" s="2" t="s">
        <v>1372</v>
      </c>
      <c r="J624" s="2" t="b">
        <f>COUNTIF(MASTER!$L$2:$L$1944,I624)=0</f>
        <v>1</v>
      </c>
    </row>
    <row r="625" spans="6:10" x14ac:dyDescent="0.35">
      <c r="F625" s="2" t="s">
        <v>1373</v>
      </c>
      <c r="G625" s="2" t="b">
        <f>COUNTIF(MASTER!$A$2:$A$1944,F625)=0</f>
        <v>1</v>
      </c>
      <c r="H625" s="2"/>
      <c r="I625" s="2" t="s">
        <v>1374</v>
      </c>
      <c r="J625" s="2" t="b">
        <f>COUNTIF(MASTER!$L$2:$L$1944,I625)=0</f>
        <v>1</v>
      </c>
    </row>
    <row r="626" spans="6:10" x14ac:dyDescent="0.35">
      <c r="F626" s="2" t="s">
        <v>1375</v>
      </c>
      <c r="G626" s="2" t="b">
        <f>COUNTIF(MASTER!$A$2:$A$1944,F626)=0</f>
        <v>1</v>
      </c>
      <c r="H626" s="2"/>
      <c r="I626" s="2" t="s">
        <v>1376</v>
      </c>
      <c r="J626" s="2" t="b">
        <f>COUNTIF(MASTER!$L$2:$L$1944,I626)=0</f>
        <v>1</v>
      </c>
    </row>
    <row r="627" spans="6:10" x14ac:dyDescent="0.35">
      <c r="F627" s="2" t="s">
        <v>1377</v>
      </c>
      <c r="G627" s="2" t="b">
        <f>COUNTIF(MASTER!$A$2:$A$1944,F627)=0</f>
        <v>1</v>
      </c>
      <c r="H627" s="2"/>
      <c r="I627" s="2" t="s">
        <v>1378</v>
      </c>
      <c r="J627" s="2" t="b">
        <f>COUNTIF(MASTER!$L$2:$L$1944,I627)=0</f>
        <v>1</v>
      </c>
    </row>
    <row r="628" spans="6:10" x14ac:dyDescent="0.35">
      <c r="F628" s="2" t="s">
        <v>1379</v>
      </c>
      <c r="G628" s="2" t="b">
        <f>COUNTIF(MASTER!$A$2:$A$1944,F628)=0</f>
        <v>1</v>
      </c>
      <c r="H628" s="2"/>
      <c r="I628" s="2" t="s">
        <v>1380</v>
      </c>
      <c r="J628" s="2" t="b">
        <f>COUNTIF(MASTER!$L$2:$L$1944,I628)=0</f>
        <v>1</v>
      </c>
    </row>
    <row r="629" spans="6:10" x14ac:dyDescent="0.35">
      <c r="F629" s="2" t="s">
        <v>1381</v>
      </c>
      <c r="G629" s="2" t="b">
        <f>COUNTIF(MASTER!$A$2:$A$1944,F629)=0</f>
        <v>1</v>
      </c>
      <c r="H629" s="2"/>
      <c r="I629" s="2" t="s">
        <v>1382</v>
      </c>
      <c r="J629" s="2" t="b">
        <f>COUNTIF(MASTER!$L$2:$L$1944,I629)=0</f>
        <v>1</v>
      </c>
    </row>
    <row r="630" spans="6:10" x14ac:dyDescent="0.35">
      <c r="F630" s="2" t="s">
        <v>1383</v>
      </c>
      <c r="G630" s="2" t="b">
        <f>COUNTIF(MASTER!$A$2:$A$1944,F630)=0</f>
        <v>1</v>
      </c>
      <c r="H630" s="2"/>
      <c r="I630" s="2" t="s">
        <v>1384</v>
      </c>
      <c r="J630" s="2" t="b">
        <f>COUNTIF(MASTER!$L$2:$L$1944,I630)=0</f>
        <v>1</v>
      </c>
    </row>
    <row r="631" spans="6:10" x14ac:dyDescent="0.35">
      <c r="F631" s="2" t="s">
        <v>1385</v>
      </c>
      <c r="G631" s="2" t="b">
        <f>COUNTIF(MASTER!$A$2:$A$1944,F631)=0</f>
        <v>1</v>
      </c>
      <c r="H631" s="2"/>
      <c r="I631" s="2" t="s">
        <v>1386</v>
      </c>
      <c r="J631" s="2" t="b">
        <f>COUNTIF(MASTER!$L$2:$L$1944,I631)=0</f>
        <v>1</v>
      </c>
    </row>
    <row r="632" spans="6:10" x14ac:dyDescent="0.35">
      <c r="F632" s="2" t="s">
        <v>1387</v>
      </c>
      <c r="G632" s="2" t="b">
        <f>COUNTIF(MASTER!$A$2:$A$1944,F632)=0</f>
        <v>1</v>
      </c>
      <c r="H632" s="2"/>
      <c r="I632" s="2" t="s">
        <v>1388</v>
      </c>
      <c r="J632" s="2" t="b">
        <f>COUNTIF(MASTER!$L$2:$L$1944,I632)=0</f>
        <v>1</v>
      </c>
    </row>
    <row r="633" spans="6:10" x14ac:dyDescent="0.35">
      <c r="F633" s="2" t="s">
        <v>1389</v>
      </c>
      <c r="G633" s="2" t="b">
        <f>COUNTIF(MASTER!$A$2:$A$1944,F633)=0</f>
        <v>1</v>
      </c>
      <c r="H633" s="2"/>
      <c r="I633" s="2" t="s">
        <v>1390</v>
      </c>
      <c r="J633" s="2" t="b">
        <f>COUNTIF(MASTER!$L$2:$L$1944,I633)=0</f>
        <v>1</v>
      </c>
    </row>
    <row r="634" spans="6:10" x14ac:dyDescent="0.35">
      <c r="F634" s="2" t="s">
        <v>1391</v>
      </c>
      <c r="G634" s="2" t="b">
        <f>COUNTIF(MASTER!$A$2:$A$1944,F634)=0</f>
        <v>1</v>
      </c>
      <c r="H634" s="2"/>
      <c r="I634" s="2" t="s">
        <v>1392</v>
      </c>
      <c r="J634" s="2" t="b">
        <f>COUNTIF(MASTER!$L$2:$L$1944,I634)=0</f>
        <v>1</v>
      </c>
    </row>
    <row r="635" spans="6:10" x14ac:dyDescent="0.35">
      <c r="F635" s="2" t="s">
        <v>1393</v>
      </c>
      <c r="G635" s="2" t="b">
        <f>COUNTIF(MASTER!$A$2:$A$1944,F635)=0</f>
        <v>1</v>
      </c>
      <c r="H635" s="2"/>
      <c r="I635" s="2" t="s">
        <v>1394</v>
      </c>
      <c r="J635" s="2" t="b">
        <f>COUNTIF(MASTER!$L$2:$L$1944,I635)=0</f>
        <v>1</v>
      </c>
    </row>
    <row r="636" spans="6:10" x14ac:dyDescent="0.35">
      <c r="F636" s="2" t="s">
        <v>1395</v>
      </c>
      <c r="G636" s="2" t="b">
        <f>COUNTIF(MASTER!$A$2:$A$1944,F636)=0</f>
        <v>1</v>
      </c>
      <c r="H636" s="2"/>
      <c r="I636" s="2" t="s">
        <v>1396</v>
      </c>
      <c r="J636" s="2" t="b">
        <f>COUNTIF(MASTER!$L$2:$L$1944,I636)=0</f>
        <v>1</v>
      </c>
    </row>
    <row r="637" spans="6:10" x14ac:dyDescent="0.35">
      <c r="F637" s="2" t="s">
        <v>1397</v>
      </c>
      <c r="G637" s="2" t="b">
        <f>COUNTIF(MASTER!$A$2:$A$1944,F637)=0</f>
        <v>1</v>
      </c>
      <c r="H637" s="2"/>
      <c r="I637" s="2" t="s">
        <v>1398</v>
      </c>
      <c r="J637" s="2" t="b">
        <f>COUNTIF(MASTER!$L$2:$L$1944,I637)=0</f>
        <v>1</v>
      </c>
    </row>
    <row r="638" spans="6:10" x14ac:dyDescent="0.35">
      <c r="F638" s="2" t="s">
        <v>1399</v>
      </c>
      <c r="G638" s="2" t="b">
        <f>COUNTIF(MASTER!$A$2:$A$1944,F638)=0</f>
        <v>1</v>
      </c>
      <c r="H638" s="2"/>
      <c r="I638" s="2" t="s">
        <v>1400</v>
      </c>
      <c r="J638" s="2" t="b">
        <f>COUNTIF(MASTER!$L$2:$L$1944,I638)=0</f>
        <v>1</v>
      </c>
    </row>
    <row r="639" spans="6:10" x14ac:dyDescent="0.35">
      <c r="F639" s="2" t="s">
        <v>1401</v>
      </c>
      <c r="G639" s="2" t="b">
        <f>COUNTIF(MASTER!$A$2:$A$1944,F639)=0</f>
        <v>1</v>
      </c>
      <c r="H639" s="2"/>
      <c r="I639" s="2" t="s">
        <v>1402</v>
      </c>
      <c r="J639" s="2" t="b">
        <f>COUNTIF(MASTER!$L$2:$L$1944,I639)=0</f>
        <v>1</v>
      </c>
    </row>
    <row r="640" spans="6:10" x14ac:dyDescent="0.35">
      <c r="F640" s="2" t="s">
        <v>1403</v>
      </c>
      <c r="G640" s="2" t="b">
        <f>COUNTIF(MASTER!$A$2:$A$1944,F640)=0</f>
        <v>1</v>
      </c>
      <c r="H640" s="2"/>
      <c r="I640" s="2" t="s">
        <v>1404</v>
      </c>
      <c r="J640" s="2" t="b">
        <f>COUNTIF(MASTER!$L$2:$L$1944,I640)=0</f>
        <v>1</v>
      </c>
    </row>
    <row r="641" spans="6:10" x14ac:dyDescent="0.35">
      <c r="F641" s="2" t="s">
        <v>1405</v>
      </c>
      <c r="G641" s="2" t="b">
        <f>COUNTIF(MASTER!$A$2:$A$1944,F641)=0</f>
        <v>1</v>
      </c>
      <c r="H641" s="2"/>
      <c r="I641" s="2" t="s">
        <v>1406</v>
      </c>
      <c r="J641" s="2" t="b">
        <f>COUNTIF(MASTER!$L$2:$L$1944,I641)=0</f>
        <v>1</v>
      </c>
    </row>
    <row r="642" spans="6:10" x14ac:dyDescent="0.35">
      <c r="F642" s="2" t="s">
        <v>1407</v>
      </c>
      <c r="G642" s="2" t="b">
        <f>COUNTIF(MASTER!$A$2:$A$1944,F642)=0</f>
        <v>1</v>
      </c>
      <c r="H642" s="2"/>
      <c r="I642" s="2" t="s">
        <v>1408</v>
      </c>
      <c r="J642" s="2" t="b">
        <f>COUNTIF(MASTER!$L$2:$L$1944,I642)=0</f>
        <v>1</v>
      </c>
    </row>
    <row r="643" spans="6:10" x14ac:dyDescent="0.35">
      <c r="F643" s="2" t="s">
        <v>1409</v>
      </c>
      <c r="G643" s="2" t="b">
        <f>COUNTIF(MASTER!$A$2:$A$1944,F643)=0</f>
        <v>1</v>
      </c>
      <c r="H643" s="2"/>
      <c r="I643" s="2" t="s">
        <v>1410</v>
      </c>
      <c r="J643" s="2" t="b">
        <f>COUNTIF(MASTER!$L$2:$L$1944,I643)=0</f>
        <v>1</v>
      </c>
    </row>
    <row r="644" spans="6:10" x14ac:dyDescent="0.35">
      <c r="F644" s="2" t="s">
        <v>1411</v>
      </c>
      <c r="G644" s="2" t="b">
        <f>COUNTIF(MASTER!$A$2:$A$1944,F644)=0</f>
        <v>1</v>
      </c>
      <c r="H644" s="2"/>
      <c r="I644" s="2" t="s">
        <v>1412</v>
      </c>
      <c r="J644" s="2" t="b">
        <f>COUNTIF(MASTER!$L$2:$L$1944,I644)=0</f>
        <v>1</v>
      </c>
    </row>
    <row r="645" spans="6:10" x14ac:dyDescent="0.35">
      <c r="F645" s="2" t="s">
        <v>1413</v>
      </c>
      <c r="G645" s="2" t="b">
        <f>COUNTIF(MASTER!$A$2:$A$1944,F645)=0</f>
        <v>1</v>
      </c>
      <c r="H645" s="2"/>
      <c r="I645" s="2" t="s">
        <v>1414</v>
      </c>
      <c r="J645" s="2" t="b">
        <f>COUNTIF(MASTER!$L$2:$L$1944,I645)=0</f>
        <v>1</v>
      </c>
    </row>
    <row r="646" spans="6:10" x14ac:dyDescent="0.35">
      <c r="F646" s="2" t="s">
        <v>1415</v>
      </c>
      <c r="G646" s="2" t="b">
        <f>COUNTIF(MASTER!$A$2:$A$1944,F646)=0</f>
        <v>1</v>
      </c>
      <c r="H646" s="2"/>
      <c r="I646" s="2" t="s">
        <v>1416</v>
      </c>
      <c r="J646" s="2" t="b">
        <f>COUNTIF(MASTER!$L$2:$L$1944,I646)=0</f>
        <v>1</v>
      </c>
    </row>
    <row r="647" spans="6:10" x14ac:dyDescent="0.35">
      <c r="F647" s="2" t="s">
        <v>1417</v>
      </c>
      <c r="G647" s="2" t="b">
        <f>COUNTIF(MASTER!$A$2:$A$1944,F647)=0</f>
        <v>1</v>
      </c>
      <c r="H647" s="2"/>
      <c r="I647" s="2" t="s">
        <v>1418</v>
      </c>
      <c r="J647" s="2" t="b">
        <f>COUNTIF(MASTER!$L$2:$L$1944,I647)=0</f>
        <v>1</v>
      </c>
    </row>
    <row r="648" spans="6:10" x14ac:dyDescent="0.35">
      <c r="F648" s="2" t="s">
        <v>1419</v>
      </c>
      <c r="G648" s="2" t="b">
        <f>COUNTIF(MASTER!$A$2:$A$1944,F648)=0</f>
        <v>1</v>
      </c>
      <c r="H648" s="2"/>
      <c r="I648" s="2" t="s">
        <v>1420</v>
      </c>
      <c r="J648" s="2" t="b">
        <f>COUNTIF(MASTER!$L$2:$L$1944,I648)=0</f>
        <v>1</v>
      </c>
    </row>
    <row r="649" spans="6:10" x14ac:dyDescent="0.35">
      <c r="F649" s="2" t="s">
        <v>1421</v>
      </c>
      <c r="G649" s="2" t="b">
        <f>COUNTIF(MASTER!$A$2:$A$1944,F649)=0</f>
        <v>1</v>
      </c>
      <c r="H649" s="2"/>
      <c r="I649" s="2" t="s">
        <v>1422</v>
      </c>
      <c r="J649" s="2" t="b">
        <f>COUNTIF(MASTER!$L$2:$L$1944,I649)=0</f>
        <v>1</v>
      </c>
    </row>
    <row r="650" spans="6:10" x14ac:dyDescent="0.35">
      <c r="F650" s="2" t="s">
        <v>1423</v>
      </c>
      <c r="G650" s="2" t="b">
        <f>COUNTIF(MASTER!$A$2:$A$1944,F650)=0</f>
        <v>1</v>
      </c>
      <c r="H650" s="2"/>
      <c r="I650" s="2" t="s">
        <v>1424</v>
      </c>
      <c r="J650" s="2" t="b">
        <f>COUNTIF(MASTER!$L$2:$L$1944,I650)=0</f>
        <v>1</v>
      </c>
    </row>
    <row r="651" spans="6:10" x14ac:dyDescent="0.35">
      <c r="F651" s="2" t="s">
        <v>1425</v>
      </c>
      <c r="G651" s="2" t="b">
        <f>COUNTIF(MASTER!$A$2:$A$1944,F651)=0</f>
        <v>1</v>
      </c>
      <c r="H651" s="2"/>
      <c r="I651" s="2" t="s">
        <v>1426</v>
      </c>
      <c r="J651" s="2" t="b">
        <f>COUNTIF(MASTER!$L$2:$L$1944,I651)=0</f>
        <v>1</v>
      </c>
    </row>
    <row r="652" spans="6:10" x14ac:dyDescent="0.35">
      <c r="F652" s="2" t="s">
        <v>1427</v>
      </c>
      <c r="G652" s="2" t="b">
        <f>COUNTIF(MASTER!$A$2:$A$1944,F652)=0</f>
        <v>1</v>
      </c>
      <c r="H652" s="2"/>
      <c r="I652" s="2" t="s">
        <v>1428</v>
      </c>
      <c r="J652" s="2" t="b">
        <f>COUNTIF(MASTER!$L$2:$L$1944,I652)=0</f>
        <v>1</v>
      </c>
    </row>
    <row r="653" spans="6:10" x14ac:dyDescent="0.35">
      <c r="F653" s="2" t="s">
        <v>1429</v>
      </c>
      <c r="G653" s="2" t="b">
        <f>COUNTIF(MASTER!$A$2:$A$1944,F653)=0</f>
        <v>1</v>
      </c>
      <c r="H653" s="2"/>
      <c r="I653" s="2" t="s">
        <v>1430</v>
      </c>
      <c r="J653" s="2" t="b">
        <f>COUNTIF(MASTER!$L$2:$L$1944,I653)=0</f>
        <v>1</v>
      </c>
    </row>
    <row r="654" spans="6:10" x14ac:dyDescent="0.35">
      <c r="F654" s="2" t="s">
        <v>1431</v>
      </c>
      <c r="G654" s="2" t="b">
        <f>COUNTIF(MASTER!$A$2:$A$1944,F654)=0</f>
        <v>1</v>
      </c>
      <c r="H654" s="2"/>
      <c r="I654" s="2" t="s">
        <v>1432</v>
      </c>
      <c r="J654" s="2" t="b">
        <f>COUNTIF(MASTER!$L$2:$L$1944,I654)=0</f>
        <v>1</v>
      </c>
    </row>
    <row r="655" spans="6:10" x14ac:dyDescent="0.35">
      <c r="F655" s="2" t="s">
        <v>1433</v>
      </c>
      <c r="G655" s="2" t="b">
        <f>COUNTIF(MASTER!$A$2:$A$1944,F655)=0</f>
        <v>1</v>
      </c>
      <c r="H655" s="2"/>
      <c r="I655" s="2" t="s">
        <v>1434</v>
      </c>
      <c r="J655" s="2" t="b">
        <f>COUNTIF(MASTER!$L$2:$L$1944,I655)=0</f>
        <v>1</v>
      </c>
    </row>
    <row r="656" spans="6:10" x14ac:dyDescent="0.35">
      <c r="F656" s="2" t="s">
        <v>1435</v>
      </c>
      <c r="G656" s="2" t="b">
        <f>COUNTIF(MASTER!$A$2:$A$1944,F656)=0</f>
        <v>1</v>
      </c>
      <c r="H656" s="2"/>
      <c r="I656" s="2" t="s">
        <v>1436</v>
      </c>
      <c r="J656" s="2" t="b">
        <f>COUNTIF(MASTER!$L$2:$L$1944,I656)=0</f>
        <v>1</v>
      </c>
    </row>
    <row r="657" spans="6:10" x14ac:dyDescent="0.35">
      <c r="F657" s="2" t="s">
        <v>1437</v>
      </c>
      <c r="G657" s="2" t="b">
        <f>COUNTIF(MASTER!$A$2:$A$1944,F657)=0</f>
        <v>1</v>
      </c>
      <c r="H657" s="2"/>
      <c r="I657" s="2" t="s">
        <v>1438</v>
      </c>
      <c r="J657" s="2" t="b">
        <f>COUNTIF(MASTER!$L$2:$L$1944,I657)=0</f>
        <v>1</v>
      </c>
    </row>
    <row r="658" spans="6:10" x14ac:dyDescent="0.35">
      <c r="F658" s="2" t="s">
        <v>1439</v>
      </c>
      <c r="G658" s="2" t="b">
        <f>COUNTIF(MASTER!$A$2:$A$1944,F658)=0</f>
        <v>1</v>
      </c>
      <c r="H658" s="2"/>
      <c r="I658" s="2" t="s">
        <v>1440</v>
      </c>
      <c r="J658" s="2" t="b">
        <f>COUNTIF(MASTER!$L$2:$L$1944,I658)=0</f>
        <v>1</v>
      </c>
    </row>
    <row r="659" spans="6:10" x14ac:dyDescent="0.35">
      <c r="F659" s="2" t="s">
        <v>1441</v>
      </c>
      <c r="G659" s="2" t="b">
        <f>COUNTIF(MASTER!$A$2:$A$1944,F659)=0</f>
        <v>1</v>
      </c>
      <c r="H659" s="2"/>
      <c r="I659" s="2" t="s">
        <v>1442</v>
      </c>
      <c r="J659" s="2" t="b">
        <f>COUNTIF(MASTER!$L$2:$L$1944,I659)=0</f>
        <v>1</v>
      </c>
    </row>
    <row r="660" spans="6:10" x14ac:dyDescent="0.35">
      <c r="F660" s="2" t="s">
        <v>1443</v>
      </c>
      <c r="G660" s="2" t="b">
        <f>COUNTIF(MASTER!$A$2:$A$1944,F660)=0</f>
        <v>1</v>
      </c>
      <c r="H660" s="2"/>
      <c r="I660" s="2" t="s">
        <v>1444</v>
      </c>
      <c r="J660" s="2" t="b">
        <f>COUNTIF(MASTER!$L$2:$L$1944,I660)=0</f>
        <v>1</v>
      </c>
    </row>
    <row r="661" spans="6:10" x14ac:dyDescent="0.35">
      <c r="F661" s="2" t="s">
        <v>1445</v>
      </c>
      <c r="G661" s="2" t="b">
        <f>COUNTIF(MASTER!$A$2:$A$1944,F661)=0</f>
        <v>1</v>
      </c>
      <c r="H661" s="2"/>
      <c r="I661" s="2" t="s">
        <v>1446</v>
      </c>
      <c r="J661" s="2" t="b">
        <f>COUNTIF(MASTER!$L$2:$L$1944,I661)=0</f>
        <v>1</v>
      </c>
    </row>
    <row r="662" spans="6:10" x14ac:dyDescent="0.35">
      <c r="F662" s="2" t="s">
        <v>1447</v>
      </c>
      <c r="G662" s="2" t="b">
        <f>COUNTIF(MASTER!$A$2:$A$1944,F662)=0</f>
        <v>1</v>
      </c>
      <c r="H662" s="2"/>
      <c r="I662" s="2" t="s">
        <v>1448</v>
      </c>
      <c r="J662" s="2" t="b">
        <f>COUNTIF(MASTER!$L$2:$L$1944,I662)=0</f>
        <v>1</v>
      </c>
    </row>
    <row r="663" spans="6:10" x14ac:dyDescent="0.35">
      <c r="F663" s="2" t="s">
        <v>1449</v>
      </c>
      <c r="G663" s="2" t="b">
        <f>COUNTIF(MASTER!$A$2:$A$1944,F663)=0</f>
        <v>1</v>
      </c>
      <c r="H663" s="2"/>
      <c r="I663" s="2" t="s">
        <v>1450</v>
      </c>
      <c r="J663" s="2" t="b">
        <f>COUNTIF(MASTER!$L$2:$L$1944,I663)=0</f>
        <v>1</v>
      </c>
    </row>
    <row r="664" spans="6:10" x14ac:dyDescent="0.35">
      <c r="F664" s="2" t="s">
        <v>1451</v>
      </c>
      <c r="G664" s="2" t="b">
        <f>COUNTIF(MASTER!$A$2:$A$1944,F664)=0</f>
        <v>1</v>
      </c>
      <c r="H664" s="2"/>
      <c r="I664" s="2" t="s">
        <v>1452</v>
      </c>
      <c r="J664" s="2" t="b">
        <f>COUNTIF(MASTER!$L$2:$L$1944,I664)=0</f>
        <v>1</v>
      </c>
    </row>
    <row r="665" spans="6:10" x14ac:dyDescent="0.35">
      <c r="F665" s="2" t="s">
        <v>1453</v>
      </c>
      <c r="G665" s="2" t="b">
        <f>COUNTIF(MASTER!$A$2:$A$1944,F665)=0</f>
        <v>1</v>
      </c>
      <c r="H665" s="2"/>
      <c r="I665" s="2" t="s">
        <v>1454</v>
      </c>
      <c r="J665" s="2" t="b">
        <f>COUNTIF(MASTER!$L$2:$L$1944,I665)=0</f>
        <v>1</v>
      </c>
    </row>
    <row r="666" spans="6:10" x14ac:dyDescent="0.35">
      <c r="F666" s="2" t="s">
        <v>1455</v>
      </c>
      <c r="G666" s="2" t="b">
        <f>COUNTIF(MASTER!$A$2:$A$1944,F666)=0</f>
        <v>1</v>
      </c>
      <c r="H666" s="2"/>
      <c r="I666" s="2" t="s">
        <v>1456</v>
      </c>
      <c r="J666" s="2" t="b">
        <f>COUNTIF(MASTER!$L$2:$L$1944,I666)=0</f>
        <v>1</v>
      </c>
    </row>
    <row r="667" spans="6:10" x14ac:dyDescent="0.35">
      <c r="F667" s="2" t="s">
        <v>1457</v>
      </c>
      <c r="G667" s="2" t="b">
        <f>COUNTIF(MASTER!$A$2:$A$1944,F667)=0</f>
        <v>1</v>
      </c>
      <c r="H667" s="2"/>
      <c r="I667" s="2" t="s">
        <v>1458</v>
      </c>
      <c r="J667" s="2" t="b">
        <f>COUNTIF(MASTER!$L$2:$L$1944,I667)=0</f>
        <v>1</v>
      </c>
    </row>
    <row r="668" spans="6:10" x14ac:dyDescent="0.35">
      <c r="F668" s="2" t="s">
        <v>1459</v>
      </c>
      <c r="G668" s="2" t="b">
        <f>COUNTIF(MASTER!$A$2:$A$1944,F668)=0</f>
        <v>1</v>
      </c>
      <c r="H668" s="2"/>
      <c r="I668" s="2" t="s">
        <v>1460</v>
      </c>
      <c r="J668" s="2" t="b">
        <f>COUNTIF(MASTER!$L$2:$L$1944,I668)=0</f>
        <v>1</v>
      </c>
    </row>
    <row r="669" spans="6:10" x14ac:dyDescent="0.35">
      <c r="F669" s="2" t="s">
        <v>1461</v>
      </c>
      <c r="G669" s="2" t="b">
        <f>COUNTIF(MASTER!$A$2:$A$1944,F669)=0</f>
        <v>1</v>
      </c>
      <c r="H669" s="2"/>
      <c r="I669" s="2" t="s">
        <v>1462</v>
      </c>
      <c r="J669" s="2" t="b">
        <f>COUNTIF(MASTER!$L$2:$L$1944,I669)=0</f>
        <v>1</v>
      </c>
    </row>
    <row r="670" spans="6:10" x14ac:dyDescent="0.35">
      <c r="F670" s="2" t="s">
        <v>1463</v>
      </c>
      <c r="G670" s="2" t="b">
        <f>COUNTIF(MASTER!$A$2:$A$1944,F670)=0</f>
        <v>1</v>
      </c>
      <c r="H670" s="2"/>
      <c r="I670" s="2" t="s">
        <v>1464</v>
      </c>
      <c r="J670" s="2" t="b">
        <f>COUNTIF(MASTER!$L$2:$L$1944,I670)=0</f>
        <v>1</v>
      </c>
    </row>
    <row r="671" spans="6:10" x14ac:dyDescent="0.35">
      <c r="F671" s="2" t="s">
        <v>1465</v>
      </c>
      <c r="G671" s="2" t="b">
        <f>COUNTIF(MASTER!$A$2:$A$1944,F671)=0</f>
        <v>1</v>
      </c>
      <c r="H671" s="2"/>
      <c r="I671" s="2" t="s">
        <v>1466</v>
      </c>
      <c r="J671" s="2" t="b">
        <f>COUNTIF(MASTER!$L$2:$L$1944,I671)=0</f>
        <v>1</v>
      </c>
    </row>
    <row r="672" spans="6:10" x14ac:dyDescent="0.35">
      <c r="F672" s="2" t="s">
        <v>1467</v>
      </c>
      <c r="G672" s="2" t="b">
        <f>COUNTIF(MASTER!$A$2:$A$1944,F672)=0</f>
        <v>1</v>
      </c>
      <c r="H672" s="2"/>
      <c r="I672" s="2" t="s">
        <v>1468</v>
      </c>
      <c r="J672" s="2" t="b">
        <f>COUNTIF(MASTER!$L$2:$L$1944,I672)=0</f>
        <v>1</v>
      </c>
    </row>
    <row r="673" spans="6:10" x14ac:dyDescent="0.35">
      <c r="F673" s="2" t="s">
        <v>1469</v>
      </c>
      <c r="G673" s="2" t="b">
        <f>COUNTIF(MASTER!$A$2:$A$1944,F673)=0</f>
        <v>1</v>
      </c>
      <c r="H673" s="2"/>
      <c r="I673" s="2" t="s">
        <v>1470</v>
      </c>
      <c r="J673" s="2" t="b">
        <f>COUNTIF(MASTER!$L$2:$L$1944,I673)=0</f>
        <v>1</v>
      </c>
    </row>
    <row r="674" spans="6:10" x14ac:dyDescent="0.35">
      <c r="F674" s="2" t="s">
        <v>1471</v>
      </c>
      <c r="G674" s="2" t="b">
        <f>COUNTIF(MASTER!$A$2:$A$1944,F674)=0</f>
        <v>1</v>
      </c>
      <c r="H674" s="2"/>
      <c r="I674" s="2" t="s">
        <v>1472</v>
      </c>
      <c r="J674" s="2" t="b">
        <f>COUNTIF(MASTER!$L$2:$L$1944,I674)=0</f>
        <v>1</v>
      </c>
    </row>
    <row r="675" spans="6:10" x14ac:dyDescent="0.35">
      <c r="F675" s="2" t="s">
        <v>1473</v>
      </c>
      <c r="G675" s="2" t="b">
        <f>COUNTIF(MASTER!$A$2:$A$1944,F675)=0</f>
        <v>1</v>
      </c>
      <c r="H675" s="2"/>
      <c r="I675" s="2" t="s">
        <v>1474</v>
      </c>
      <c r="J675" s="2" t="b">
        <f>COUNTIF(MASTER!$L$2:$L$1944,I675)=0</f>
        <v>1</v>
      </c>
    </row>
    <row r="676" spans="6:10" x14ac:dyDescent="0.35">
      <c r="F676" s="2" t="s">
        <v>1475</v>
      </c>
      <c r="G676" s="2" t="b">
        <f>COUNTIF(MASTER!$A$2:$A$1944,F676)=0</f>
        <v>1</v>
      </c>
      <c r="H676" s="2"/>
      <c r="I676" s="2" t="s">
        <v>1476</v>
      </c>
      <c r="J676" s="2" t="b">
        <f>COUNTIF(MASTER!$L$2:$L$1944,I676)=0</f>
        <v>1</v>
      </c>
    </row>
    <row r="677" spans="6:10" x14ac:dyDescent="0.35">
      <c r="F677" s="2" t="s">
        <v>1477</v>
      </c>
      <c r="G677" s="2" t="b">
        <f>COUNTIF(MASTER!$A$2:$A$1944,F677)=0</f>
        <v>1</v>
      </c>
      <c r="H677" s="2"/>
      <c r="I677" s="2" t="s">
        <v>1478</v>
      </c>
      <c r="J677" s="2" t="b">
        <f>COUNTIF(MASTER!$L$2:$L$1944,I677)=0</f>
        <v>1</v>
      </c>
    </row>
    <row r="678" spans="6:10" x14ac:dyDescent="0.35">
      <c r="F678" s="2" t="s">
        <v>1479</v>
      </c>
      <c r="G678" s="2" t="b">
        <f>COUNTIF(MASTER!$A$2:$A$1944,F678)=0</f>
        <v>1</v>
      </c>
      <c r="H678" s="2"/>
      <c r="I678" s="2" t="s">
        <v>1480</v>
      </c>
      <c r="J678" s="2" t="b">
        <f>COUNTIF(MASTER!$L$2:$L$1944,I678)=0</f>
        <v>1</v>
      </c>
    </row>
    <row r="679" spans="6:10" x14ac:dyDescent="0.35">
      <c r="F679" s="2" t="s">
        <v>1481</v>
      </c>
      <c r="G679" s="2" t="b">
        <f>COUNTIF(MASTER!$A$2:$A$1944,F679)=0</f>
        <v>1</v>
      </c>
      <c r="H679" s="2"/>
      <c r="I679" s="2" t="s">
        <v>1482</v>
      </c>
      <c r="J679" s="2" t="b">
        <f>COUNTIF(MASTER!$L$2:$L$1944,I679)=0</f>
        <v>1</v>
      </c>
    </row>
    <row r="680" spans="6:10" x14ac:dyDescent="0.35">
      <c r="F680" s="2" t="s">
        <v>1483</v>
      </c>
      <c r="G680" s="2" t="b">
        <f>COUNTIF(MASTER!$A$2:$A$1944,F680)=0</f>
        <v>1</v>
      </c>
      <c r="H680" s="2"/>
      <c r="I680" s="2" t="s">
        <v>1484</v>
      </c>
      <c r="J680" s="2" t="b">
        <f>COUNTIF(MASTER!$L$2:$L$1944,I680)=0</f>
        <v>1</v>
      </c>
    </row>
    <row r="681" spans="6:10" x14ac:dyDescent="0.35">
      <c r="F681" s="2" t="s">
        <v>1485</v>
      </c>
      <c r="G681" s="2" t="b">
        <f>COUNTIF(MASTER!$A$2:$A$1944,F681)=0</f>
        <v>1</v>
      </c>
      <c r="H681" s="2"/>
      <c r="I681" s="2" t="s">
        <v>1486</v>
      </c>
      <c r="J681" s="2" t="b">
        <f>COUNTIF(MASTER!$L$2:$L$1944,I681)=0</f>
        <v>1</v>
      </c>
    </row>
    <row r="682" spans="6:10" x14ac:dyDescent="0.35">
      <c r="F682" s="2" t="s">
        <v>1487</v>
      </c>
      <c r="G682" s="2" t="b">
        <f>COUNTIF(MASTER!$A$2:$A$1944,F682)=0</f>
        <v>1</v>
      </c>
      <c r="H682" s="2"/>
      <c r="I682" s="2" t="s">
        <v>1488</v>
      </c>
      <c r="J682" s="2" t="b">
        <f>COUNTIF(MASTER!$L$2:$L$1944,I682)=0</f>
        <v>1</v>
      </c>
    </row>
    <row r="683" spans="6:10" x14ac:dyDescent="0.35">
      <c r="F683" s="2" t="s">
        <v>1489</v>
      </c>
      <c r="G683" s="2" t="b">
        <f>COUNTIF(MASTER!$A$2:$A$1944,F683)=0</f>
        <v>1</v>
      </c>
      <c r="H683" s="2"/>
      <c r="I683" s="2" t="s">
        <v>1490</v>
      </c>
      <c r="J683" s="2" t="b">
        <f>COUNTIF(MASTER!$L$2:$L$1944,I683)=0</f>
        <v>1</v>
      </c>
    </row>
    <row r="684" spans="6:10" x14ac:dyDescent="0.35">
      <c r="F684" s="2" t="s">
        <v>1491</v>
      </c>
      <c r="G684" s="2" t="b">
        <f>COUNTIF(MASTER!$A$2:$A$1944,F684)=0</f>
        <v>1</v>
      </c>
      <c r="H684" s="2"/>
      <c r="I684" s="2" t="s">
        <v>1492</v>
      </c>
      <c r="J684" s="2" t="b">
        <f>COUNTIF(MASTER!$L$2:$L$1944,I684)=0</f>
        <v>1</v>
      </c>
    </row>
    <row r="685" spans="6:10" x14ac:dyDescent="0.35">
      <c r="F685" s="2" t="s">
        <v>1493</v>
      </c>
      <c r="G685" s="2" t="b">
        <f>COUNTIF(MASTER!$A$2:$A$1944,F685)=0</f>
        <v>1</v>
      </c>
      <c r="H685" s="2"/>
      <c r="I685" s="2" t="s">
        <v>1494</v>
      </c>
      <c r="J685" s="2" t="b">
        <f>COUNTIF(MASTER!$L$2:$L$1944,I685)=0</f>
        <v>1</v>
      </c>
    </row>
    <row r="686" spans="6:10" x14ac:dyDescent="0.35">
      <c r="F686" s="2" t="s">
        <v>1495</v>
      </c>
      <c r="G686" s="2" t="b">
        <f>COUNTIF(MASTER!$A$2:$A$1944,F686)=0</f>
        <v>1</v>
      </c>
      <c r="H686" s="2"/>
      <c r="I686" s="2" t="s">
        <v>1496</v>
      </c>
      <c r="J686" s="2" t="b">
        <f>COUNTIF(MASTER!$L$2:$L$1944,I686)=0</f>
        <v>1</v>
      </c>
    </row>
    <row r="687" spans="6:10" x14ac:dyDescent="0.35">
      <c r="F687" s="2" t="s">
        <v>1497</v>
      </c>
      <c r="G687" s="2" t="b">
        <f>COUNTIF(MASTER!$A$2:$A$1944,F687)=0</f>
        <v>1</v>
      </c>
      <c r="H687" s="2"/>
      <c r="I687" s="2" t="s">
        <v>1498</v>
      </c>
      <c r="J687" s="2" t="b">
        <f>COUNTIF(MASTER!$L$2:$L$1944,I687)=0</f>
        <v>1</v>
      </c>
    </row>
    <row r="688" spans="6:10" x14ac:dyDescent="0.35">
      <c r="F688" s="2" t="s">
        <v>1499</v>
      </c>
      <c r="G688" s="2" t="b">
        <f>COUNTIF(MASTER!$A$2:$A$1944,F688)=0</f>
        <v>1</v>
      </c>
      <c r="H688" s="2"/>
      <c r="I688" s="2" t="s">
        <v>1500</v>
      </c>
      <c r="J688" s="2" t="b">
        <f>COUNTIF(MASTER!$L$2:$L$1944,I688)=0</f>
        <v>1</v>
      </c>
    </row>
    <row r="689" spans="6:10" x14ac:dyDescent="0.35">
      <c r="F689" s="2" t="s">
        <v>1501</v>
      </c>
      <c r="G689" s="2" t="b">
        <f>COUNTIF(MASTER!$A$2:$A$1944,F689)=0</f>
        <v>1</v>
      </c>
      <c r="H689" s="2"/>
      <c r="I689" s="2" t="s">
        <v>1502</v>
      </c>
      <c r="J689" s="2" t="b">
        <f>COUNTIF(MASTER!$L$2:$L$1944,I689)=0</f>
        <v>1</v>
      </c>
    </row>
    <row r="690" spans="6:10" x14ac:dyDescent="0.35">
      <c r="F690" s="2" t="s">
        <v>1503</v>
      </c>
      <c r="G690" s="2" t="b">
        <f>COUNTIF(MASTER!$A$2:$A$1944,F690)=0</f>
        <v>1</v>
      </c>
      <c r="H690" s="2"/>
      <c r="I690" s="2" t="s">
        <v>1504</v>
      </c>
      <c r="J690" s="2" t="b">
        <f>COUNTIF(MASTER!$L$2:$L$1944,I690)=0</f>
        <v>1</v>
      </c>
    </row>
    <row r="691" spans="6:10" x14ac:dyDescent="0.35">
      <c r="F691" s="2" t="s">
        <v>1505</v>
      </c>
      <c r="G691" s="2" t="b">
        <f>COUNTIF(MASTER!$A$2:$A$1944,F691)=0</f>
        <v>1</v>
      </c>
      <c r="H691" s="2"/>
      <c r="I691" s="2" t="s">
        <v>1506</v>
      </c>
      <c r="J691" s="2" t="b">
        <f>COUNTIF(MASTER!$L$2:$L$1944,I691)=0</f>
        <v>1</v>
      </c>
    </row>
    <row r="692" spans="6:10" x14ac:dyDescent="0.35">
      <c r="F692" s="2" t="s">
        <v>1507</v>
      </c>
      <c r="G692" s="2" t="b">
        <f>COUNTIF(MASTER!$A$2:$A$1944,F692)=0</f>
        <v>1</v>
      </c>
      <c r="H692" s="2"/>
      <c r="I692" s="2" t="s">
        <v>1508</v>
      </c>
      <c r="J692" s="2" t="b">
        <f>COUNTIF(MASTER!$L$2:$L$1944,I692)=0</f>
        <v>1</v>
      </c>
    </row>
    <row r="693" spans="6:10" x14ac:dyDescent="0.35">
      <c r="F693" s="2" t="s">
        <v>1509</v>
      </c>
      <c r="G693" s="2" t="b">
        <f>COUNTIF(MASTER!$A$2:$A$1944,F693)=0</f>
        <v>1</v>
      </c>
      <c r="H693" s="2"/>
      <c r="I693" s="2" t="s">
        <v>1510</v>
      </c>
      <c r="J693" s="2" t="b">
        <f>COUNTIF(MASTER!$L$2:$L$1944,I693)=0</f>
        <v>1</v>
      </c>
    </row>
    <row r="694" spans="6:10" x14ac:dyDescent="0.35">
      <c r="F694" s="2" t="s">
        <v>1511</v>
      </c>
      <c r="G694" s="2" t="b">
        <f>COUNTIF(MASTER!$A$2:$A$1944,F694)=0</f>
        <v>1</v>
      </c>
      <c r="H694" s="2"/>
      <c r="I694" s="2" t="s">
        <v>1512</v>
      </c>
      <c r="J694" s="2" t="b">
        <f>COUNTIF(MASTER!$L$2:$L$1944,I694)=0</f>
        <v>1</v>
      </c>
    </row>
    <row r="695" spans="6:10" x14ac:dyDescent="0.35">
      <c r="F695" s="2" t="s">
        <v>1513</v>
      </c>
      <c r="G695" s="2" t="b">
        <f>COUNTIF(MASTER!$A$2:$A$1944,F695)=0</f>
        <v>1</v>
      </c>
      <c r="H695" s="2"/>
      <c r="I695" s="2" t="s">
        <v>1514</v>
      </c>
      <c r="J695" s="2" t="b">
        <f>COUNTIF(MASTER!$L$2:$L$1944,I695)=0</f>
        <v>1</v>
      </c>
    </row>
    <row r="696" spans="6:10" x14ac:dyDescent="0.35">
      <c r="F696" s="2" t="s">
        <v>1515</v>
      </c>
      <c r="G696" s="2" t="b">
        <f>COUNTIF(MASTER!$A$2:$A$1944,F696)=0</f>
        <v>1</v>
      </c>
      <c r="H696" s="2"/>
      <c r="I696" s="2" t="s">
        <v>1516</v>
      </c>
      <c r="J696" s="2" t="b">
        <f>COUNTIF(MASTER!$L$2:$L$1944,I696)=0</f>
        <v>1</v>
      </c>
    </row>
    <row r="697" spans="6:10" x14ac:dyDescent="0.35">
      <c r="F697" s="2" t="s">
        <v>1517</v>
      </c>
      <c r="G697" s="2" t="b">
        <f>COUNTIF(MASTER!$A$2:$A$1944,F697)=0</f>
        <v>1</v>
      </c>
      <c r="H697" s="2"/>
      <c r="I697" s="2" t="s">
        <v>1518</v>
      </c>
      <c r="J697" s="2" t="b">
        <f>COUNTIF(MASTER!$L$2:$L$1944,I697)=0</f>
        <v>1</v>
      </c>
    </row>
    <row r="698" spans="6:10" x14ac:dyDescent="0.35">
      <c r="F698" s="2" t="s">
        <v>1519</v>
      </c>
      <c r="G698" s="2" t="b">
        <f>COUNTIF(MASTER!$A$2:$A$1944,F698)=0</f>
        <v>1</v>
      </c>
      <c r="H698" s="2"/>
      <c r="I698" s="2" t="s">
        <v>1520</v>
      </c>
      <c r="J698" s="2" t="b">
        <f>COUNTIF(MASTER!$L$2:$L$1944,I698)=0</f>
        <v>1</v>
      </c>
    </row>
    <row r="699" spans="6:10" x14ac:dyDescent="0.35">
      <c r="F699" s="2" t="s">
        <v>1521</v>
      </c>
      <c r="G699" s="2" t="b">
        <f>COUNTIF(MASTER!$A$2:$A$1944,F699)=0</f>
        <v>1</v>
      </c>
      <c r="H699" s="2"/>
      <c r="I699" s="2" t="s">
        <v>1522</v>
      </c>
      <c r="J699" s="2" t="b">
        <f>COUNTIF(MASTER!$L$2:$L$1944,I699)=0</f>
        <v>1</v>
      </c>
    </row>
    <row r="700" spans="6:10" x14ac:dyDescent="0.35">
      <c r="F700" s="2" t="s">
        <v>1523</v>
      </c>
      <c r="G700" s="2" t="b">
        <f>COUNTIF(MASTER!$A$2:$A$1944,F700)=0</f>
        <v>1</v>
      </c>
      <c r="H700" s="2"/>
      <c r="I700" s="2" t="s">
        <v>1524</v>
      </c>
      <c r="J700" s="2" t="b">
        <f>COUNTIF(MASTER!$L$2:$L$1944,I700)=0</f>
        <v>1</v>
      </c>
    </row>
    <row r="701" spans="6:10" x14ac:dyDescent="0.35">
      <c r="F701" s="2" t="s">
        <v>1525</v>
      </c>
      <c r="G701" s="2" t="b">
        <f>COUNTIF(MASTER!$A$2:$A$1944,F701)=0</f>
        <v>1</v>
      </c>
      <c r="H701" s="2"/>
      <c r="I701" s="2" t="s">
        <v>1526</v>
      </c>
      <c r="J701" s="2" t="b">
        <f>COUNTIF(MASTER!$L$2:$L$1944,I701)=0</f>
        <v>1</v>
      </c>
    </row>
    <row r="702" spans="6:10" x14ac:dyDescent="0.35">
      <c r="F702" s="2" t="s">
        <v>1527</v>
      </c>
      <c r="G702" s="2" t="b">
        <f>COUNTIF(MASTER!$A$2:$A$1944,F702)=0</f>
        <v>1</v>
      </c>
      <c r="H702" s="2"/>
      <c r="I702" s="2" t="s">
        <v>1528</v>
      </c>
      <c r="J702" s="2" t="b">
        <f>COUNTIF(MASTER!$L$2:$L$1944,I702)=0</f>
        <v>1</v>
      </c>
    </row>
    <row r="703" spans="6:10" x14ac:dyDescent="0.35">
      <c r="F703" s="2" t="s">
        <v>1529</v>
      </c>
      <c r="G703" s="2" t="b">
        <f>COUNTIF(MASTER!$A$2:$A$1944,F703)=0</f>
        <v>1</v>
      </c>
      <c r="H703" s="2"/>
      <c r="I703" s="2" t="s">
        <v>1530</v>
      </c>
      <c r="J703" s="2" t="b">
        <f>COUNTIF(MASTER!$L$2:$L$1944,I703)=0</f>
        <v>1</v>
      </c>
    </row>
    <row r="704" spans="6:10" x14ac:dyDescent="0.35">
      <c r="F704" s="2" t="s">
        <v>1531</v>
      </c>
      <c r="G704" s="2" t="b">
        <f>COUNTIF(MASTER!$A$2:$A$1944,F704)=0</f>
        <v>1</v>
      </c>
      <c r="H704" s="2"/>
      <c r="I704" s="2" t="s">
        <v>1532</v>
      </c>
      <c r="J704" s="2" t="b">
        <f>COUNTIF(MASTER!$L$2:$L$1944,I704)=0</f>
        <v>1</v>
      </c>
    </row>
    <row r="705" spans="6:10" x14ac:dyDescent="0.35">
      <c r="F705" s="2" t="s">
        <v>1533</v>
      </c>
      <c r="G705" s="2" t="b">
        <f>COUNTIF(MASTER!$A$2:$A$1944,F705)=0</f>
        <v>1</v>
      </c>
      <c r="H705" s="2"/>
      <c r="I705" s="2" t="s">
        <v>1534</v>
      </c>
      <c r="J705" s="2" t="b">
        <f>COUNTIF(MASTER!$L$2:$L$1944,I705)=0</f>
        <v>1</v>
      </c>
    </row>
    <row r="706" spans="6:10" x14ac:dyDescent="0.35">
      <c r="F706" s="2" t="s">
        <v>1535</v>
      </c>
      <c r="G706" s="2" t="b">
        <f>COUNTIF(MASTER!$A$2:$A$1944,F706)=0</f>
        <v>1</v>
      </c>
      <c r="H706" s="2"/>
      <c r="I706" s="2" t="s">
        <v>1536</v>
      </c>
      <c r="J706" s="2" t="b">
        <f>COUNTIF(MASTER!$L$2:$L$1944,I706)=0</f>
        <v>1</v>
      </c>
    </row>
    <row r="707" spans="6:10" x14ac:dyDescent="0.35">
      <c r="F707" s="2" t="s">
        <v>1537</v>
      </c>
      <c r="G707" s="2" t="b">
        <f>COUNTIF(MASTER!$A$2:$A$1944,F707)=0</f>
        <v>1</v>
      </c>
      <c r="H707" s="2"/>
      <c r="I707" s="2" t="s">
        <v>1538</v>
      </c>
      <c r="J707" s="2" t="b">
        <f>COUNTIF(MASTER!$L$2:$L$1944,I707)=0</f>
        <v>1</v>
      </c>
    </row>
    <row r="708" spans="6:10" x14ac:dyDescent="0.35">
      <c r="F708" s="2" t="s">
        <v>1539</v>
      </c>
      <c r="G708" s="2" t="b">
        <f>COUNTIF(MASTER!$A$2:$A$1944,F708)=0</f>
        <v>1</v>
      </c>
      <c r="H708" s="2"/>
      <c r="I708" s="2" t="s">
        <v>1540</v>
      </c>
      <c r="J708" s="2" t="b">
        <f>COUNTIF(MASTER!$L$2:$L$1944,I708)=0</f>
        <v>1</v>
      </c>
    </row>
    <row r="709" spans="6:10" x14ac:dyDescent="0.35">
      <c r="F709" s="2" t="s">
        <v>1541</v>
      </c>
      <c r="G709" s="2" t="b">
        <f>COUNTIF(MASTER!$A$2:$A$1944,F709)=0</f>
        <v>1</v>
      </c>
      <c r="H709" s="2"/>
      <c r="I709" s="2" t="s">
        <v>1542</v>
      </c>
      <c r="J709" s="2" t="b">
        <f>COUNTIF(MASTER!$L$2:$L$1944,I709)=0</f>
        <v>1</v>
      </c>
    </row>
    <row r="710" spans="6:10" x14ac:dyDescent="0.35">
      <c r="F710" s="2" t="s">
        <v>1543</v>
      </c>
      <c r="G710" s="2" t="b">
        <f>COUNTIF(MASTER!$A$2:$A$1944,F710)=0</f>
        <v>1</v>
      </c>
      <c r="H710" s="2"/>
      <c r="I710" s="2" t="s">
        <v>1544</v>
      </c>
      <c r="J710" s="2" t="b">
        <f>COUNTIF(MASTER!$L$2:$L$1944,I710)=0</f>
        <v>1</v>
      </c>
    </row>
    <row r="711" spans="6:10" x14ac:dyDescent="0.35">
      <c r="F711" s="2" t="s">
        <v>1545</v>
      </c>
      <c r="G711" s="2" t="b">
        <f>COUNTIF(MASTER!$A$2:$A$1944,F711)=0</f>
        <v>1</v>
      </c>
      <c r="H711" s="2"/>
      <c r="I711" s="2" t="s">
        <v>1546</v>
      </c>
      <c r="J711" s="2" t="b">
        <f>COUNTIF(MASTER!$L$2:$L$1944,I711)=0</f>
        <v>1</v>
      </c>
    </row>
    <row r="712" spans="6:10" x14ac:dyDescent="0.35">
      <c r="F712" s="2" t="s">
        <v>1547</v>
      </c>
      <c r="G712" s="2" t="b">
        <f>COUNTIF(MASTER!$A$2:$A$1944,F712)=0</f>
        <v>1</v>
      </c>
      <c r="H712" s="2"/>
      <c r="I712" s="2" t="s">
        <v>1548</v>
      </c>
      <c r="J712" s="2" t="b">
        <f>COUNTIF(MASTER!$L$2:$L$1944,I712)=0</f>
        <v>1</v>
      </c>
    </row>
    <row r="713" spans="6:10" x14ac:dyDescent="0.35">
      <c r="F713" s="2" t="s">
        <v>1549</v>
      </c>
      <c r="G713" s="2" t="b">
        <f>COUNTIF(MASTER!$A$2:$A$1944,F713)=0</f>
        <v>1</v>
      </c>
      <c r="H713" s="2"/>
      <c r="I713" s="2" t="s">
        <v>1550</v>
      </c>
      <c r="J713" s="2" t="b">
        <f>COUNTIF(MASTER!$L$2:$L$1944,I713)=0</f>
        <v>1</v>
      </c>
    </row>
    <row r="714" spans="6:10" x14ac:dyDescent="0.35">
      <c r="F714" s="2" t="s">
        <v>1551</v>
      </c>
      <c r="G714" s="2" t="b">
        <f>COUNTIF(MASTER!$A$2:$A$1944,F714)=0</f>
        <v>1</v>
      </c>
      <c r="H714" s="2"/>
      <c r="I714" s="2" t="s">
        <v>1552</v>
      </c>
      <c r="J714" s="2" t="b">
        <f>COUNTIF(MASTER!$L$2:$L$1944,I714)=0</f>
        <v>1</v>
      </c>
    </row>
    <row r="715" spans="6:10" x14ac:dyDescent="0.35">
      <c r="F715" s="2" t="s">
        <v>1553</v>
      </c>
      <c r="G715" s="2" t="b">
        <f>COUNTIF(MASTER!$A$2:$A$1944,F715)=0</f>
        <v>1</v>
      </c>
      <c r="H715" s="2"/>
      <c r="I715" s="2" t="s">
        <v>1554</v>
      </c>
      <c r="J715" s="2" t="b">
        <f>COUNTIF(MASTER!$L$2:$L$1944,I715)=0</f>
        <v>1</v>
      </c>
    </row>
    <row r="716" spans="6:10" x14ac:dyDescent="0.35">
      <c r="F716" s="2" t="s">
        <v>1555</v>
      </c>
      <c r="G716" s="2" t="b">
        <f>COUNTIF(MASTER!$A$2:$A$1944,F716)=0</f>
        <v>1</v>
      </c>
      <c r="H716" s="2"/>
      <c r="I716" s="2" t="s">
        <v>1556</v>
      </c>
      <c r="J716" s="2" t="b">
        <f>COUNTIF(MASTER!$L$2:$L$1944,I716)=0</f>
        <v>1</v>
      </c>
    </row>
    <row r="717" spans="6:10" x14ac:dyDescent="0.35">
      <c r="F717" s="2" t="s">
        <v>1557</v>
      </c>
      <c r="G717" s="2" t="b">
        <f>COUNTIF(MASTER!$A$2:$A$1944,F717)=0</f>
        <v>1</v>
      </c>
      <c r="H717" s="2"/>
      <c r="I717" s="2" t="s">
        <v>1558</v>
      </c>
      <c r="J717" s="2" t="b">
        <f>COUNTIF(MASTER!$L$2:$L$1944,I717)=0</f>
        <v>1</v>
      </c>
    </row>
    <row r="718" spans="6:10" x14ac:dyDescent="0.35">
      <c r="F718" s="2" t="s">
        <v>1559</v>
      </c>
      <c r="G718" s="2" t="b">
        <f>COUNTIF(MASTER!$A$2:$A$1944,F718)=0</f>
        <v>1</v>
      </c>
      <c r="H718" s="2"/>
      <c r="I718" s="2" t="s">
        <v>1560</v>
      </c>
      <c r="J718" s="2" t="b">
        <f>COUNTIF(MASTER!$L$2:$L$1944,I718)=0</f>
        <v>1</v>
      </c>
    </row>
    <row r="719" spans="6:10" x14ac:dyDescent="0.35">
      <c r="F719" s="2" t="s">
        <v>1561</v>
      </c>
      <c r="G719" s="2" t="b">
        <f>COUNTIF(MASTER!$A$2:$A$1944,F719)=0</f>
        <v>1</v>
      </c>
      <c r="H719" s="2"/>
      <c r="I719" s="2" t="s">
        <v>1562</v>
      </c>
      <c r="J719" s="2" t="b">
        <f>COUNTIF(MASTER!$L$2:$L$1944,I719)=0</f>
        <v>1</v>
      </c>
    </row>
    <row r="720" spans="6:10" x14ac:dyDescent="0.35">
      <c r="F720" s="2" t="s">
        <v>1563</v>
      </c>
      <c r="G720" s="2" t="b">
        <f>COUNTIF(MASTER!$A$2:$A$1944,F720)=0</f>
        <v>1</v>
      </c>
      <c r="H720" s="2"/>
      <c r="I720" s="2" t="s">
        <v>1564</v>
      </c>
      <c r="J720" s="2" t="b">
        <f>COUNTIF(MASTER!$L$2:$L$1944,I720)=0</f>
        <v>1</v>
      </c>
    </row>
    <row r="721" spans="6:10" x14ac:dyDescent="0.35">
      <c r="F721" s="2" t="s">
        <v>1565</v>
      </c>
      <c r="G721" s="2" t="b">
        <f>COUNTIF(MASTER!$A$2:$A$1944,F721)=0</f>
        <v>1</v>
      </c>
      <c r="H721" s="2"/>
      <c r="I721" s="2" t="s">
        <v>1566</v>
      </c>
      <c r="J721" s="2" t="b">
        <f>COUNTIF(MASTER!$L$2:$L$1944,I721)=0</f>
        <v>1</v>
      </c>
    </row>
    <row r="722" spans="6:10" x14ac:dyDescent="0.35">
      <c r="F722" s="2" t="s">
        <v>1567</v>
      </c>
      <c r="G722" s="2" t="b">
        <f>COUNTIF(MASTER!$A$2:$A$1944,F722)=0</f>
        <v>1</v>
      </c>
      <c r="H722" s="2"/>
      <c r="I722" s="2" t="s">
        <v>1568</v>
      </c>
      <c r="J722" s="2" t="b">
        <f>COUNTIF(MASTER!$L$2:$L$1944,I722)=0</f>
        <v>1</v>
      </c>
    </row>
    <row r="723" spans="6:10" x14ac:dyDescent="0.35">
      <c r="F723" s="2" t="s">
        <v>1569</v>
      </c>
      <c r="G723" s="2" t="b">
        <f>COUNTIF(MASTER!$A$2:$A$1944,F723)=0</f>
        <v>1</v>
      </c>
      <c r="H723" s="2"/>
      <c r="I723" s="2" t="s">
        <v>1570</v>
      </c>
      <c r="J723" s="2" t="b">
        <f>COUNTIF(MASTER!$L$2:$L$1944,I723)=0</f>
        <v>1</v>
      </c>
    </row>
    <row r="724" spans="6:10" x14ac:dyDescent="0.35">
      <c r="F724" s="2" t="s">
        <v>1571</v>
      </c>
      <c r="G724" s="2" t="b">
        <f>COUNTIF(MASTER!$A$2:$A$1944,F724)=0</f>
        <v>1</v>
      </c>
      <c r="H724" s="2"/>
      <c r="I724" s="2" t="s">
        <v>1572</v>
      </c>
      <c r="J724" s="2" t="b">
        <f>COUNTIF(MASTER!$L$2:$L$1944,I724)=0</f>
        <v>1</v>
      </c>
    </row>
    <row r="725" spans="6:10" x14ac:dyDescent="0.35">
      <c r="F725" s="2" t="s">
        <v>1573</v>
      </c>
      <c r="G725" s="2" t="b">
        <f>COUNTIF(MASTER!$A$2:$A$1944,F725)=0</f>
        <v>1</v>
      </c>
      <c r="H725" s="2"/>
      <c r="I725" s="2" t="s">
        <v>1574</v>
      </c>
      <c r="J725" s="2" t="b">
        <f>COUNTIF(MASTER!$L$2:$L$1944,I725)=0</f>
        <v>1</v>
      </c>
    </row>
    <row r="726" spans="6:10" x14ac:dyDescent="0.35">
      <c r="F726" s="2" t="s">
        <v>1575</v>
      </c>
      <c r="G726" s="2" t="b">
        <f>COUNTIF(MASTER!$A$2:$A$1944,F726)=0</f>
        <v>1</v>
      </c>
      <c r="H726" s="2"/>
      <c r="I726" s="2" t="s">
        <v>1576</v>
      </c>
      <c r="J726" s="2" t="b">
        <f>COUNTIF(MASTER!$L$2:$L$1944,I726)=0</f>
        <v>1</v>
      </c>
    </row>
    <row r="727" spans="6:10" x14ac:dyDescent="0.35">
      <c r="F727" s="2" t="s">
        <v>1577</v>
      </c>
      <c r="G727" s="2" t="b">
        <f>COUNTIF(MASTER!$A$2:$A$1944,F727)=0</f>
        <v>1</v>
      </c>
      <c r="H727" s="2"/>
      <c r="I727" s="2" t="s">
        <v>1578</v>
      </c>
      <c r="J727" s="2" t="b">
        <f>COUNTIF(MASTER!$L$2:$L$1944,I727)=0</f>
        <v>1</v>
      </c>
    </row>
    <row r="728" spans="6:10" x14ac:dyDescent="0.35">
      <c r="F728" s="2" t="s">
        <v>1579</v>
      </c>
      <c r="G728" s="2" t="b">
        <f>COUNTIF(MASTER!$A$2:$A$1944,F728)=0</f>
        <v>1</v>
      </c>
      <c r="H728" s="2"/>
      <c r="I728" s="2" t="s">
        <v>1580</v>
      </c>
      <c r="J728" s="2" t="b">
        <f>COUNTIF(MASTER!$L$2:$L$1944,I728)=0</f>
        <v>1</v>
      </c>
    </row>
    <row r="729" spans="6:10" x14ac:dyDescent="0.35">
      <c r="F729" s="2" t="s">
        <v>1581</v>
      </c>
      <c r="G729" s="2" t="b">
        <f>COUNTIF(MASTER!$A$2:$A$1944,F729)=0</f>
        <v>1</v>
      </c>
      <c r="H729" s="2"/>
      <c r="I729" s="2" t="s">
        <v>1582</v>
      </c>
      <c r="J729" s="2" t="b">
        <f>COUNTIF(MASTER!$L$2:$L$1944,I729)=0</f>
        <v>1</v>
      </c>
    </row>
    <row r="730" spans="6:10" x14ac:dyDescent="0.35">
      <c r="F730" s="2" t="s">
        <v>1583</v>
      </c>
      <c r="G730" s="2" t="b">
        <f>COUNTIF(MASTER!$A$2:$A$1944,F730)=0</f>
        <v>1</v>
      </c>
      <c r="H730" s="2"/>
      <c r="I730" s="2" t="s">
        <v>1584</v>
      </c>
      <c r="J730" s="2" t="b">
        <f>COUNTIF(MASTER!$L$2:$L$1944,I730)=0</f>
        <v>1</v>
      </c>
    </row>
    <row r="731" spans="6:10" x14ac:dyDescent="0.35">
      <c r="F731" s="2" t="s">
        <v>1585</v>
      </c>
      <c r="G731" s="2" t="b">
        <f>COUNTIF(MASTER!$A$2:$A$1944,F731)=0</f>
        <v>1</v>
      </c>
      <c r="H731" s="2"/>
      <c r="I731" s="2" t="s">
        <v>1586</v>
      </c>
      <c r="J731" s="2" t="b">
        <f>COUNTIF(MASTER!$L$2:$L$1944,I731)=0</f>
        <v>1</v>
      </c>
    </row>
    <row r="732" spans="6:10" x14ac:dyDescent="0.35">
      <c r="F732" s="2" t="s">
        <v>1587</v>
      </c>
      <c r="G732" s="2" t="b">
        <f>COUNTIF(MASTER!$A$2:$A$1944,F732)=0</f>
        <v>1</v>
      </c>
      <c r="H732" s="2"/>
      <c r="I732" s="2" t="s">
        <v>1588</v>
      </c>
      <c r="J732" s="2" t="b">
        <f>COUNTIF(MASTER!$L$2:$L$1944,I732)=0</f>
        <v>1</v>
      </c>
    </row>
    <row r="733" spans="6:10" x14ac:dyDescent="0.35">
      <c r="F733" s="2" t="s">
        <v>1589</v>
      </c>
      <c r="G733" s="2" t="b">
        <f>COUNTIF(MASTER!$A$2:$A$1944,F733)=0</f>
        <v>1</v>
      </c>
      <c r="H733" s="2"/>
      <c r="I733" s="2" t="s">
        <v>1590</v>
      </c>
      <c r="J733" s="2" t="b">
        <f>COUNTIF(MASTER!$L$2:$L$1944,I733)=0</f>
        <v>1</v>
      </c>
    </row>
    <row r="734" spans="6:10" x14ac:dyDescent="0.35">
      <c r="F734" s="2" t="s">
        <v>1591</v>
      </c>
      <c r="G734" s="2" t="b">
        <f>COUNTIF(MASTER!$A$2:$A$1944,F734)=0</f>
        <v>1</v>
      </c>
      <c r="H734" s="2"/>
      <c r="I734" s="2" t="s">
        <v>1592</v>
      </c>
      <c r="J734" s="2" t="b">
        <f>COUNTIF(MASTER!$L$2:$L$1944,I734)=0</f>
        <v>1</v>
      </c>
    </row>
    <row r="735" spans="6:10" x14ac:dyDescent="0.35">
      <c r="F735" s="2" t="s">
        <v>1593</v>
      </c>
      <c r="G735" s="2" t="b">
        <f>COUNTIF(MASTER!$A$2:$A$1944,F735)=0</f>
        <v>1</v>
      </c>
      <c r="H735" s="2"/>
      <c r="I735" s="2" t="s">
        <v>1594</v>
      </c>
      <c r="J735" s="2" t="b">
        <f>COUNTIF(MASTER!$L$2:$L$1944,I735)=0</f>
        <v>1</v>
      </c>
    </row>
    <row r="736" spans="6:10" x14ac:dyDescent="0.35">
      <c r="F736" s="2" t="s">
        <v>1595</v>
      </c>
      <c r="G736" s="2" t="b">
        <f>COUNTIF(MASTER!$A$2:$A$1944,F736)=0</f>
        <v>1</v>
      </c>
      <c r="H736" s="2"/>
      <c r="I736" s="2" t="s">
        <v>1596</v>
      </c>
      <c r="J736" s="2" t="b">
        <f>COUNTIF(MASTER!$L$2:$L$1944,I736)=0</f>
        <v>1</v>
      </c>
    </row>
    <row r="737" spans="6:10" x14ac:dyDescent="0.35">
      <c r="F737" s="2" t="s">
        <v>1597</v>
      </c>
      <c r="G737" s="2" t="b">
        <f>COUNTIF(MASTER!$A$2:$A$1944,F737)=0</f>
        <v>1</v>
      </c>
      <c r="H737" s="2"/>
      <c r="I737" s="2" t="s">
        <v>1598</v>
      </c>
      <c r="J737" s="2" t="b">
        <f>COUNTIF(MASTER!$L$2:$L$1944,I737)=0</f>
        <v>1</v>
      </c>
    </row>
    <row r="738" spans="6:10" x14ac:dyDescent="0.35">
      <c r="F738" s="2" t="s">
        <v>1599</v>
      </c>
      <c r="G738" s="2" t="b">
        <f>COUNTIF(MASTER!$A$2:$A$1944,F738)=0</f>
        <v>1</v>
      </c>
      <c r="H738" s="2"/>
      <c r="I738" s="2" t="s">
        <v>1600</v>
      </c>
      <c r="J738" s="2" t="b">
        <f>COUNTIF(MASTER!$L$2:$L$1944,I738)=0</f>
        <v>1</v>
      </c>
    </row>
    <row r="739" spans="6:10" x14ac:dyDescent="0.35">
      <c r="F739" s="2" t="s">
        <v>1601</v>
      </c>
      <c r="G739" s="2" t="b">
        <f>COUNTIF(MASTER!$A$2:$A$1944,F739)=0</f>
        <v>1</v>
      </c>
      <c r="H739" s="2"/>
      <c r="I739" s="2" t="s">
        <v>1602</v>
      </c>
      <c r="J739" s="2" t="b">
        <f>COUNTIF(MASTER!$L$2:$L$1944,I739)=0</f>
        <v>1</v>
      </c>
    </row>
    <row r="740" spans="6:10" x14ac:dyDescent="0.35">
      <c r="F740" s="2" t="s">
        <v>1603</v>
      </c>
      <c r="G740" s="2" t="b">
        <f>COUNTIF(MASTER!$A$2:$A$1944,F740)=0</f>
        <v>1</v>
      </c>
      <c r="H740" s="2"/>
      <c r="I740" s="2" t="s">
        <v>1604</v>
      </c>
      <c r="J740" s="2" t="b">
        <f>COUNTIF(MASTER!$L$2:$L$1944,I740)=0</f>
        <v>1</v>
      </c>
    </row>
    <row r="741" spans="6:10" x14ac:dyDescent="0.35">
      <c r="F741" s="2" t="s">
        <v>1605</v>
      </c>
      <c r="G741" s="2" t="b">
        <f>COUNTIF(MASTER!$A$2:$A$1944,F741)=0</f>
        <v>1</v>
      </c>
      <c r="H741" s="2"/>
      <c r="I741" s="2" t="s">
        <v>1606</v>
      </c>
      <c r="J741" s="2" t="b">
        <f>COUNTIF(MASTER!$L$2:$L$1944,I741)=0</f>
        <v>1</v>
      </c>
    </row>
    <row r="742" spans="6:10" x14ac:dyDescent="0.35">
      <c r="F742" s="2" t="s">
        <v>1607</v>
      </c>
      <c r="G742" s="2" t="b">
        <f>COUNTIF(MASTER!$A$2:$A$1944,F742)=0</f>
        <v>1</v>
      </c>
      <c r="H742" s="2"/>
      <c r="I742" s="2" t="s">
        <v>1608</v>
      </c>
      <c r="J742" s="2" t="b">
        <f>COUNTIF(MASTER!$L$2:$L$1944,I742)=0</f>
        <v>1</v>
      </c>
    </row>
    <row r="743" spans="6:10" x14ac:dyDescent="0.35">
      <c r="F743" s="2" t="s">
        <v>1609</v>
      </c>
      <c r="G743" s="2" t="b">
        <f>COUNTIF(MASTER!$A$2:$A$1944,F743)=0</f>
        <v>1</v>
      </c>
      <c r="H743" s="2"/>
      <c r="I743" s="2" t="s">
        <v>1610</v>
      </c>
      <c r="J743" s="2" t="b">
        <f>COUNTIF(MASTER!$L$2:$L$1944,I743)=0</f>
        <v>1</v>
      </c>
    </row>
    <row r="744" spans="6:10" x14ac:dyDescent="0.35">
      <c r="F744" s="2" t="s">
        <v>1611</v>
      </c>
      <c r="G744" s="2" t="b">
        <f>COUNTIF(MASTER!$A$2:$A$1944,F744)=0</f>
        <v>1</v>
      </c>
      <c r="H744" s="2"/>
      <c r="I744" s="2" t="s">
        <v>1612</v>
      </c>
      <c r="J744" s="2" t="b">
        <f>COUNTIF(MASTER!$L$2:$L$1944,I744)=0</f>
        <v>1</v>
      </c>
    </row>
    <row r="745" spans="6:10" x14ac:dyDescent="0.35">
      <c r="F745" s="2" t="s">
        <v>1613</v>
      </c>
      <c r="G745" s="2" t="b">
        <f>COUNTIF(MASTER!$A$2:$A$1944,F745)=0</f>
        <v>1</v>
      </c>
      <c r="H745" s="2"/>
      <c r="I745" s="2" t="s">
        <v>1614</v>
      </c>
      <c r="J745" s="2" t="b">
        <f>COUNTIF(MASTER!$L$2:$L$1944,I745)=0</f>
        <v>1</v>
      </c>
    </row>
    <row r="746" spans="6:10" x14ac:dyDescent="0.35">
      <c r="F746" s="2" t="s">
        <v>1615</v>
      </c>
      <c r="G746" s="2" t="b">
        <f>COUNTIF(MASTER!$A$2:$A$1944,F746)=0</f>
        <v>1</v>
      </c>
      <c r="H746" s="2"/>
      <c r="I746" s="2" t="s">
        <v>1616</v>
      </c>
      <c r="J746" s="2" t="b">
        <f>COUNTIF(MASTER!$L$2:$L$1944,I746)=0</f>
        <v>1</v>
      </c>
    </row>
    <row r="747" spans="6:10" x14ac:dyDescent="0.35">
      <c r="F747" s="2" t="s">
        <v>1617</v>
      </c>
      <c r="G747" s="2" t="b">
        <f>COUNTIF(MASTER!$A$2:$A$1944,F747)=0</f>
        <v>1</v>
      </c>
      <c r="H747" s="2"/>
      <c r="I747" s="2" t="s">
        <v>1618</v>
      </c>
      <c r="J747" s="2" t="b">
        <f>COUNTIF(MASTER!$L$2:$L$1944,I747)=0</f>
        <v>1</v>
      </c>
    </row>
    <row r="748" spans="6:10" x14ac:dyDescent="0.35">
      <c r="F748" s="2" t="s">
        <v>1619</v>
      </c>
      <c r="G748" s="2" t="b">
        <f>COUNTIF(MASTER!$A$2:$A$1944,F748)=0</f>
        <v>1</v>
      </c>
      <c r="H748" s="2"/>
      <c r="I748" s="2" t="s">
        <v>1620</v>
      </c>
      <c r="J748" s="2" t="b">
        <f>COUNTIF(MASTER!$L$2:$L$1944,I748)=0</f>
        <v>1</v>
      </c>
    </row>
    <row r="749" spans="6:10" x14ac:dyDescent="0.35">
      <c r="F749" s="2" t="s">
        <v>1621</v>
      </c>
      <c r="G749" s="2" t="b">
        <f>COUNTIF(MASTER!$A$2:$A$1944,F749)=0</f>
        <v>1</v>
      </c>
      <c r="H749" s="2"/>
      <c r="I749" s="2" t="s">
        <v>1622</v>
      </c>
      <c r="J749" s="2" t="b">
        <f>COUNTIF(MASTER!$L$2:$L$1944,I749)=0</f>
        <v>1</v>
      </c>
    </row>
    <row r="750" spans="6:10" x14ac:dyDescent="0.35">
      <c r="F750" s="2" t="s">
        <v>1623</v>
      </c>
      <c r="G750" s="2" t="b">
        <f>COUNTIF(MASTER!$A$2:$A$1944,F750)=0</f>
        <v>1</v>
      </c>
      <c r="H750" s="2"/>
      <c r="I750" s="2" t="s">
        <v>1624</v>
      </c>
      <c r="J750" s="2" t="b">
        <f>COUNTIF(MASTER!$L$2:$L$1944,I750)=0</f>
        <v>1</v>
      </c>
    </row>
    <row r="751" spans="6:10" x14ac:dyDescent="0.35">
      <c r="F751" s="2" t="s">
        <v>1625</v>
      </c>
      <c r="G751" s="2" t="b">
        <f>COUNTIF(MASTER!$A$2:$A$1944,F751)=0</f>
        <v>1</v>
      </c>
      <c r="H751" s="2"/>
      <c r="I751" s="2" t="s">
        <v>1626</v>
      </c>
      <c r="J751" s="2" t="b">
        <f>COUNTIF(MASTER!$L$2:$L$1944,I751)=0</f>
        <v>1</v>
      </c>
    </row>
    <row r="752" spans="6:10" x14ac:dyDescent="0.35">
      <c r="F752" s="2" t="s">
        <v>1627</v>
      </c>
      <c r="G752" s="2" t="b">
        <f>COUNTIF(MASTER!$A$2:$A$1944,F752)=0</f>
        <v>1</v>
      </c>
      <c r="H752" s="2"/>
      <c r="I752" s="2" t="s">
        <v>1628</v>
      </c>
      <c r="J752" s="2" t="b">
        <f>COUNTIF(MASTER!$L$2:$L$1944,I752)=0</f>
        <v>1</v>
      </c>
    </row>
    <row r="753" spans="6:10" x14ac:dyDescent="0.35">
      <c r="F753" s="2" t="s">
        <v>1629</v>
      </c>
      <c r="G753" s="2" t="b">
        <f>COUNTIF(MASTER!$A$2:$A$1944,F753)=0</f>
        <v>1</v>
      </c>
      <c r="H753" s="2"/>
      <c r="I753" s="2" t="s">
        <v>1630</v>
      </c>
      <c r="J753" s="2" t="b">
        <f>COUNTIF(MASTER!$L$2:$L$1944,I753)=0</f>
        <v>1</v>
      </c>
    </row>
    <row r="754" spans="6:10" x14ac:dyDescent="0.35">
      <c r="F754" s="2" t="s">
        <v>1631</v>
      </c>
      <c r="G754" s="2" t="b">
        <f>COUNTIF(MASTER!$A$2:$A$1944,F754)=0</f>
        <v>1</v>
      </c>
      <c r="H754" s="2"/>
      <c r="I754" s="2" t="s">
        <v>1632</v>
      </c>
      <c r="J754" s="2" t="b">
        <f>COUNTIF(MASTER!$L$2:$L$1944,I754)=0</f>
        <v>1</v>
      </c>
    </row>
    <row r="755" spans="6:10" x14ac:dyDescent="0.35">
      <c r="F755" s="2" t="s">
        <v>1633</v>
      </c>
      <c r="G755" s="2" t="b">
        <f>COUNTIF(MASTER!$A$2:$A$1944,F755)=0</f>
        <v>1</v>
      </c>
      <c r="H755" s="2"/>
      <c r="I755" s="2" t="s">
        <v>1634</v>
      </c>
      <c r="J755" s="2" t="b">
        <f>COUNTIF(MASTER!$L$2:$L$1944,I755)=0</f>
        <v>1</v>
      </c>
    </row>
    <row r="756" spans="6:10" x14ac:dyDescent="0.35">
      <c r="F756" s="2" t="s">
        <v>1635</v>
      </c>
      <c r="G756" s="2" t="b">
        <f>COUNTIF(MASTER!$A$2:$A$1944,F756)=0</f>
        <v>1</v>
      </c>
      <c r="H756" s="2"/>
      <c r="I756" s="2" t="s">
        <v>1636</v>
      </c>
      <c r="J756" s="2" t="b">
        <f>COUNTIF(MASTER!$L$2:$L$1944,I756)=0</f>
        <v>1</v>
      </c>
    </row>
    <row r="757" spans="6:10" x14ac:dyDescent="0.35">
      <c r="F757" s="2" t="s">
        <v>1637</v>
      </c>
      <c r="G757" s="2" t="b">
        <f>COUNTIF(MASTER!$A$2:$A$1944,F757)=0</f>
        <v>1</v>
      </c>
      <c r="H757" s="2"/>
      <c r="I757" s="2" t="s">
        <v>1638</v>
      </c>
      <c r="J757" s="2" t="b">
        <f>COUNTIF(MASTER!$L$2:$L$1944,I757)=0</f>
        <v>1</v>
      </c>
    </row>
    <row r="758" spans="6:10" x14ac:dyDescent="0.35">
      <c r="F758" s="2" t="s">
        <v>1639</v>
      </c>
      <c r="G758" s="2" t="b">
        <f>COUNTIF(MASTER!$A$2:$A$1944,F758)=0</f>
        <v>1</v>
      </c>
      <c r="H758" s="2"/>
      <c r="I758" s="2" t="s">
        <v>1640</v>
      </c>
      <c r="J758" s="2" t="b">
        <f>COUNTIF(MASTER!$L$2:$L$1944,I758)=0</f>
        <v>1</v>
      </c>
    </row>
    <row r="759" spans="6:10" x14ac:dyDescent="0.35">
      <c r="F759" s="2" t="s">
        <v>1641</v>
      </c>
      <c r="G759" s="2" t="b">
        <f>COUNTIF(MASTER!$A$2:$A$1944,F759)=0</f>
        <v>1</v>
      </c>
      <c r="H759" s="2"/>
      <c r="I759" s="2" t="s">
        <v>1642</v>
      </c>
      <c r="J759" s="2" t="b">
        <f>COUNTIF(MASTER!$L$2:$L$1944,I759)=0</f>
        <v>1</v>
      </c>
    </row>
    <row r="760" spans="6:10" x14ac:dyDescent="0.35">
      <c r="F760" s="2" t="s">
        <v>1643</v>
      </c>
      <c r="G760" s="2" t="b">
        <f>COUNTIF(MASTER!$A$2:$A$1944,F760)=0</f>
        <v>1</v>
      </c>
      <c r="H760" s="2"/>
      <c r="I760" s="2" t="s">
        <v>1644</v>
      </c>
      <c r="J760" s="2" t="b">
        <f>COUNTIF(MASTER!$L$2:$L$1944,I760)=0</f>
        <v>1</v>
      </c>
    </row>
    <row r="761" spans="6:10" x14ac:dyDescent="0.35">
      <c r="F761" s="2" t="s">
        <v>1645</v>
      </c>
      <c r="G761" s="2" t="b">
        <f>COUNTIF(MASTER!$A$2:$A$1944,F761)=0</f>
        <v>1</v>
      </c>
      <c r="H761" s="2"/>
      <c r="I761" s="2" t="s">
        <v>1646</v>
      </c>
      <c r="J761" s="2" t="b">
        <f>COUNTIF(MASTER!$L$2:$L$1944,I761)=0</f>
        <v>1</v>
      </c>
    </row>
    <row r="762" spans="6:10" x14ac:dyDescent="0.35">
      <c r="F762" s="2" t="s">
        <v>1647</v>
      </c>
      <c r="G762" s="2" t="b">
        <f>COUNTIF(MASTER!$A$2:$A$1944,F762)=0</f>
        <v>1</v>
      </c>
      <c r="H762" s="2"/>
      <c r="I762" s="2" t="s">
        <v>1648</v>
      </c>
      <c r="J762" s="2" t="b">
        <f>COUNTIF(MASTER!$L$2:$L$1944,I762)=0</f>
        <v>1</v>
      </c>
    </row>
    <row r="763" spans="6:10" x14ac:dyDescent="0.35">
      <c r="F763" s="2" t="s">
        <v>1649</v>
      </c>
      <c r="G763" s="2" t="b">
        <f>COUNTIF(MASTER!$A$2:$A$1944,F763)=0</f>
        <v>1</v>
      </c>
      <c r="H763" s="2"/>
      <c r="I763" s="2" t="s">
        <v>1650</v>
      </c>
      <c r="J763" s="2" t="b">
        <f>COUNTIF(MASTER!$L$2:$L$1944,I763)=0</f>
        <v>1</v>
      </c>
    </row>
    <row r="764" spans="6:10" x14ac:dyDescent="0.35">
      <c r="F764" s="2" t="s">
        <v>1651</v>
      </c>
      <c r="G764" s="2" t="b">
        <f>COUNTIF(MASTER!$A$2:$A$1944,F764)=0</f>
        <v>1</v>
      </c>
      <c r="H764" s="2"/>
      <c r="I764" s="2" t="s">
        <v>1652</v>
      </c>
      <c r="J764" s="2" t="b">
        <f>COUNTIF(MASTER!$L$2:$L$1944,I764)=0</f>
        <v>1</v>
      </c>
    </row>
    <row r="765" spans="6:10" x14ac:dyDescent="0.35">
      <c r="F765" s="2" t="s">
        <v>1653</v>
      </c>
      <c r="G765" s="2" t="b">
        <f>COUNTIF(MASTER!$A$2:$A$1944,F765)=0</f>
        <v>1</v>
      </c>
      <c r="H765" s="2"/>
      <c r="I765" s="2" t="s">
        <v>1654</v>
      </c>
      <c r="J765" s="2" t="b">
        <f>COUNTIF(MASTER!$L$2:$L$1944,I765)=0</f>
        <v>1</v>
      </c>
    </row>
    <row r="766" spans="6:10" x14ac:dyDescent="0.35">
      <c r="F766" s="2" t="s">
        <v>1655</v>
      </c>
      <c r="G766" s="2" t="b">
        <f>COUNTIF(MASTER!$A$2:$A$1944,F766)=0</f>
        <v>1</v>
      </c>
      <c r="H766" s="2"/>
      <c r="I766" s="2" t="s">
        <v>1656</v>
      </c>
      <c r="J766" s="2" t="b">
        <f>COUNTIF(MASTER!$L$2:$L$1944,I766)=0</f>
        <v>1</v>
      </c>
    </row>
    <row r="767" spans="6:10" x14ac:dyDescent="0.35">
      <c r="F767" s="2" t="s">
        <v>1657</v>
      </c>
      <c r="G767" s="2" t="b">
        <f>COUNTIF(MASTER!$A$2:$A$1944,F767)=0</f>
        <v>1</v>
      </c>
      <c r="H767" s="2"/>
      <c r="I767" s="2" t="s">
        <v>1658</v>
      </c>
      <c r="J767" s="2" t="b">
        <f>COUNTIF(MASTER!$L$2:$L$1944,I767)=0</f>
        <v>1</v>
      </c>
    </row>
    <row r="768" spans="6:10" x14ac:dyDescent="0.35">
      <c r="F768" s="2" t="s">
        <v>1659</v>
      </c>
      <c r="G768" s="2" t="b">
        <f>COUNTIF(MASTER!$A$2:$A$1944,F768)=0</f>
        <v>1</v>
      </c>
      <c r="H768" s="2"/>
      <c r="I768" s="2" t="s">
        <v>1660</v>
      </c>
      <c r="J768" s="2" t="b">
        <f>COUNTIF(MASTER!$L$2:$L$1944,I768)=0</f>
        <v>1</v>
      </c>
    </row>
    <row r="769" spans="6:10" x14ac:dyDescent="0.35">
      <c r="F769" s="2" t="s">
        <v>1661</v>
      </c>
      <c r="G769" s="2" t="b">
        <f>COUNTIF(MASTER!$A$2:$A$1944,F769)=0</f>
        <v>1</v>
      </c>
      <c r="H769" s="2"/>
      <c r="I769" s="2" t="s">
        <v>1662</v>
      </c>
      <c r="J769" s="2" t="b">
        <f>COUNTIF(MASTER!$L$2:$L$1944,I769)=0</f>
        <v>1</v>
      </c>
    </row>
    <row r="770" spans="6:10" x14ac:dyDescent="0.35">
      <c r="F770" s="2" t="s">
        <v>1663</v>
      </c>
      <c r="G770" s="2" t="b">
        <f>COUNTIF(MASTER!$A$2:$A$1944,F770)=0</f>
        <v>1</v>
      </c>
      <c r="H770" s="2"/>
      <c r="I770" s="2" t="s">
        <v>1664</v>
      </c>
      <c r="J770" s="2" t="b">
        <f>COUNTIF(MASTER!$L$2:$L$1944,I770)=0</f>
        <v>1</v>
      </c>
    </row>
    <row r="771" spans="6:10" x14ac:dyDescent="0.35">
      <c r="F771" s="2" t="s">
        <v>1665</v>
      </c>
      <c r="G771" s="2" t="b">
        <f>COUNTIF(MASTER!$A$2:$A$1944,F771)=0</f>
        <v>1</v>
      </c>
      <c r="H771" s="2"/>
      <c r="I771" s="2" t="s">
        <v>1666</v>
      </c>
      <c r="J771" s="2" t="b">
        <f>COUNTIF(MASTER!$L$2:$L$1944,I771)=0</f>
        <v>1</v>
      </c>
    </row>
    <row r="772" spans="6:10" x14ac:dyDescent="0.35">
      <c r="F772" s="2" t="s">
        <v>1667</v>
      </c>
      <c r="G772" s="2" t="b">
        <f>COUNTIF(MASTER!$A$2:$A$1944,F772)=0</f>
        <v>1</v>
      </c>
      <c r="H772" s="2"/>
      <c r="I772" s="2" t="s">
        <v>1668</v>
      </c>
      <c r="J772" s="2" t="b">
        <f>COUNTIF(MASTER!$L$2:$L$1944,I772)=0</f>
        <v>1</v>
      </c>
    </row>
    <row r="773" spans="6:10" x14ac:dyDescent="0.35">
      <c r="F773" s="2" t="s">
        <v>1669</v>
      </c>
      <c r="G773" s="2" t="b">
        <f>COUNTIF(MASTER!$A$2:$A$1944,F773)=0</f>
        <v>1</v>
      </c>
      <c r="H773" s="2"/>
      <c r="I773" s="2" t="s">
        <v>1670</v>
      </c>
      <c r="J773" s="2" t="b">
        <f>COUNTIF(MASTER!$L$2:$L$1944,I773)=0</f>
        <v>1</v>
      </c>
    </row>
    <row r="774" spans="6:10" x14ac:dyDescent="0.35">
      <c r="F774" s="2" t="s">
        <v>1671</v>
      </c>
      <c r="G774" s="2" t="b">
        <f>COUNTIF(MASTER!$A$2:$A$1944,F774)=0</f>
        <v>1</v>
      </c>
      <c r="H774" s="2"/>
      <c r="I774" s="2" t="s">
        <v>1672</v>
      </c>
      <c r="J774" s="2" t="b">
        <f>COUNTIF(MASTER!$L$2:$L$1944,I774)=0</f>
        <v>1</v>
      </c>
    </row>
    <row r="775" spans="6:10" x14ac:dyDescent="0.35">
      <c r="F775" s="2" t="s">
        <v>1673</v>
      </c>
      <c r="G775" s="2" t="b">
        <f>COUNTIF(MASTER!$A$2:$A$1944,F775)=0</f>
        <v>1</v>
      </c>
      <c r="H775" s="2"/>
      <c r="I775" s="2" t="s">
        <v>1674</v>
      </c>
      <c r="J775" s="2" t="b">
        <f>COUNTIF(MASTER!$L$2:$L$1944,I775)=0</f>
        <v>1</v>
      </c>
    </row>
    <row r="776" spans="6:10" x14ac:dyDescent="0.35">
      <c r="F776" s="2" t="s">
        <v>1675</v>
      </c>
      <c r="G776" s="2" t="b">
        <f>COUNTIF(MASTER!$A$2:$A$1944,F776)=0</f>
        <v>1</v>
      </c>
      <c r="H776" s="2"/>
      <c r="I776" s="2" t="s">
        <v>1676</v>
      </c>
      <c r="J776" s="2" t="b">
        <f>COUNTIF(MASTER!$L$2:$L$1944,I776)=0</f>
        <v>1</v>
      </c>
    </row>
    <row r="777" spans="6:10" x14ac:dyDescent="0.35">
      <c r="F777" s="2" t="s">
        <v>1677</v>
      </c>
      <c r="G777" s="2" t="b">
        <f>COUNTIF(MASTER!$A$2:$A$1944,F777)=0</f>
        <v>1</v>
      </c>
      <c r="H777" s="2"/>
      <c r="I777" s="2" t="s">
        <v>1678</v>
      </c>
      <c r="J777" s="2" t="b">
        <f>COUNTIF(MASTER!$L$2:$L$1944,I777)=0</f>
        <v>1</v>
      </c>
    </row>
    <row r="778" spans="6:10" x14ac:dyDescent="0.35">
      <c r="F778" s="2" t="s">
        <v>1679</v>
      </c>
      <c r="G778" s="2" t="b">
        <f>COUNTIF(MASTER!$A$2:$A$1944,F778)=0</f>
        <v>1</v>
      </c>
      <c r="H778" s="2"/>
      <c r="I778" s="2" t="s">
        <v>1680</v>
      </c>
      <c r="J778" s="2" t="b">
        <f>COUNTIF(MASTER!$L$2:$L$1944,I778)=0</f>
        <v>1</v>
      </c>
    </row>
    <row r="779" spans="6:10" x14ac:dyDescent="0.35">
      <c r="F779" s="2" t="s">
        <v>1681</v>
      </c>
      <c r="G779" s="2" t="b">
        <f>COUNTIF(MASTER!$A$2:$A$1944,F779)=0</f>
        <v>1</v>
      </c>
      <c r="H779" s="2"/>
      <c r="I779" s="2" t="s">
        <v>1682</v>
      </c>
      <c r="J779" s="2" t="b">
        <f>COUNTIF(MASTER!$L$2:$L$1944,I779)=0</f>
        <v>1</v>
      </c>
    </row>
    <row r="780" spans="6:10" x14ac:dyDescent="0.35">
      <c r="F780" s="2" t="s">
        <v>1683</v>
      </c>
      <c r="G780" s="2" t="b">
        <f>COUNTIF(MASTER!$A$2:$A$1944,F780)=0</f>
        <v>1</v>
      </c>
      <c r="H780" s="2"/>
      <c r="I780" s="2" t="s">
        <v>1684</v>
      </c>
      <c r="J780" s="2" t="b">
        <f>COUNTIF(MASTER!$L$2:$L$1944,I780)=0</f>
        <v>1</v>
      </c>
    </row>
    <row r="781" spans="6:10" x14ac:dyDescent="0.35">
      <c r="F781" s="2" t="s">
        <v>1685</v>
      </c>
      <c r="G781" s="2" t="b">
        <f>COUNTIF(MASTER!$A$2:$A$1944,F781)=0</f>
        <v>1</v>
      </c>
      <c r="H781" s="2"/>
      <c r="I781" s="2" t="s">
        <v>1686</v>
      </c>
      <c r="J781" s="2" t="b">
        <f>COUNTIF(MASTER!$L$2:$L$1944,I781)=0</f>
        <v>1</v>
      </c>
    </row>
    <row r="782" spans="6:10" x14ac:dyDescent="0.35">
      <c r="F782" s="2" t="s">
        <v>1687</v>
      </c>
      <c r="G782" s="2" t="b">
        <f>COUNTIF(MASTER!$A$2:$A$1944,F782)=0</f>
        <v>1</v>
      </c>
      <c r="H782" s="2"/>
      <c r="I782" s="2" t="s">
        <v>1688</v>
      </c>
      <c r="J782" s="2" t="b">
        <f>COUNTIF(MASTER!$L$2:$L$1944,I782)=0</f>
        <v>1</v>
      </c>
    </row>
    <row r="783" spans="6:10" x14ac:dyDescent="0.35">
      <c r="F783" s="2" t="s">
        <v>1689</v>
      </c>
      <c r="G783" s="2" t="b">
        <f>COUNTIF(MASTER!$A$2:$A$1944,F783)=0</f>
        <v>1</v>
      </c>
      <c r="H783" s="2"/>
      <c r="I783" s="2" t="s">
        <v>1690</v>
      </c>
      <c r="J783" s="2" t="b">
        <f>COUNTIF(MASTER!$L$2:$L$1944,I783)=0</f>
        <v>1</v>
      </c>
    </row>
    <row r="784" spans="6:10" x14ac:dyDescent="0.35">
      <c r="F784" s="2" t="s">
        <v>1691</v>
      </c>
      <c r="G784" s="2" t="b">
        <f>COUNTIF(MASTER!$A$2:$A$1944,F784)=0</f>
        <v>1</v>
      </c>
      <c r="H784" s="2"/>
      <c r="I784" s="2" t="s">
        <v>1692</v>
      </c>
      <c r="J784" s="2" t="b">
        <f>COUNTIF(MASTER!$L$2:$L$1944,I784)=0</f>
        <v>1</v>
      </c>
    </row>
    <row r="785" spans="6:10" x14ac:dyDescent="0.35">
      <c r="F785" s="2" t="s">
        <v>1693</v>
      </c>
      <c r="G785" s="2" t="b">
        <f>COUNTIF(MASTER!$A$2:$A$1944,F785)=0</f>
        <v>1</v>
      </c>
      <c r="H785" s="2"/>
      <c r="I785" s="2" t="s">
        <v>1694</v>
      </c>
      <c r="J785" s="2" t="b">
        <f>COUNTIF(MASTER!$L$2:$L$1944,I785)=0</f>
        <v>1</v>
      </c>
    </row>
    <row r="786" spans="6:10" x14ac:dyDescent="0.35">
      <c r="F786" s="2" t="s">
        <v>1695</v>
      </c>
      <c r="G786" s="2" t="b">
        <f>COUNTIF(MASTER!$A$2:$A$1944,F786)=0</f>
        <v>1</v>
      </c>
      <c r="H786" s="2"/>
      <c r="I786" s="2" t="s">
        <v>1696</v>
      </c>
      <c r="J786" s="2" t="b">
        <f>COUNTIF(MASTER!$L$2:$L$1944,I786)=0</f>
        <v>1</v>
      </c>
    </row>
    <row r="787" spans="6:10" x14ac:dyDescent="0.35">
      <c r="F787" s="2" t="s">
        <v>1697</v>
      </c>
      <c r="G787" s="2" t="b">
        <f>COUNTIF(MASTER!$A$2:$A$1944,F787)=0</f>
        <v>1</v>
      </c>
      <c r="H787" s="2"/>
      <c r="I787" s="2" t="s">
        <v>1698</v>
      </c>
      <c r="J787" s="2" t="b">
        <f>COUNTIF(MASTER!$L$2:$L$1944,I787)=0</f>
        <v>1</v>
      </c>
    </row>
    <row r="788" spans="6:10" x14ac:dyDescent="0.35">
      <c r="F788" s="2" t="s">
        <v>1699</v>
      </c>
      <c r="G788" s="2" t="b">
        <f>COUNTIF(MASTER!$A$2:$A$1944,F788)=0</f>
        <v>1</v>
      </c>
      <c r="H788" s="2"/>
      <c r="I788" s="2" t="s">
        <v>1700</v>
      </c>
      <c r="J788" s="2" t="b">
        <f>COUNTIF(MASTER!$L$2:$L$1944,I788)=0</f>
        <v>1</v>
      </c>
    </row>
    <row r="789" spans="6:10" x14ac:dyDescent="0.35">
      <c r="F789" s="2" t="s">
        <v>1701</v>
      </c>
      <c r="G789" s="2" t="b">
        <f>COUNTIF(MASTER!$A$2:$A$1944,F789)=0</f>
        <v>1</v>
      </c>
      <c r="H789" s="2"/>
      <c r="I789" s="2" t="s">
        <v>1702</v>
      </c>
      <c r="J789" s="2" t="b">
        <f>COUNTIF(MASTER!$L$2:$L$1944,I789)=0</f>
        <v>1</v>
      </c>
    </row>
    <row r="790" spans="6:10" x14ac:dyDescent="0.35">
      <c r="F790" s="2" t="s">
        <v>1703</v>
      </c>
      <c r="G790" s="2" t="b">
        <f>COUNTIF(MASTER!$A$2:$A$1944,F790)=0</f>
        <v>1</v>
      </c>
      <c r="H790" s="2"/>
      <c r="I790" s="2" t="s">
        <v>1704</v>
      </c>
      <c r="J790" s="2" t="b">
        <f>COUNTIF(MASTER!$L$2:$L$1944,I790)=0</f>
        <v>1</v>
      </c>
    </row>
    <row r="791" spans="6:10" x14ac:dyDescent="0.35">
      <c r="F791" s="2" t="s">
        <v>1705</v>
      </c>
      <c r="G791" s="2" t="b">
        <f>COUNTIF(MASTER!$A$2:$A$1944,F791)=0</f>
        <v>1</v>
      </c>
      <c r="H791" s="2"/>
      <c r="I791" s="2" t="s">
        <v>1706</v>
      </c>
      <c r="J791" s="2" t="b">
        <f>COUNTIF(MASTER!$L$2:$L$1944,I791)=0</f>
        <v>1</v>
      </c>
    </row>
    <row r="792" spans="6:10" x14ac:dyDescent="0.35">
      <c r="F792" s="2" t="s">
        <v>1707</v>
      </c>
      <c r="G792" s="2" t="b">
        <f>COUNTIF(MASTER!$A$2:$A$1944,F792)=0</f>
        <v>1</v>
      </c>
      <c r="H792" s="2"/>
      <c r="I792" s="2" t="s">
        <v>1708</v>
      </c>
      <c r="J792" s="2" t="b">
        <f>COUNTIF(MASTER!$L$2:$L$1944,I792)=0</f>
        <v>1</v>
      </c>
    </row>
    <row r="793" spans="6:10" x14ac:dyDescent="0.35">
      <c r="F793" s="2" t="s">
        <v>1709</v>
      </c>
      <c r="G793" s="2" t="b">
        <f>COUNTIF(MASTER!$A$2:$A$1944,F793)=0</f>
        <v>1</v>
      </c>
      <c r="H793" s="2"/>
      <c r="I793" s="2" t="s">
        <v>1710</v>
      </c>
      <c r="J793" s="2" t="b">
        <f>COUNTIF(MASTER!$L$2:$L$1944,I793)=0</f>
        <v>1</v>
      </c>
    </row>
    <row r="794" spans="6:10" x14ac:dyDescent="0.35">
      <c r="F794" s="2" t="s">
        <v>1711</v>
      </c>
      <c r="G794" s="2" t="b">
        <f>COUNTIF(MASTER!$A$2:$A$1944,F794)=0</f>
        <v>1</v>
      </c>
      <c r="H794" s="2"/>
      <c r="I794" s="2" t="s">
        <v>1712</v>
      </c>
      <c r="J794" s="2" t="b">
        <f>COUNTIF(MASTER!$L$2:$L$1944,I794)=0</f>
        <v>1</v>
      </c>
    </row>
    <row r="795" spans="6:10" x14ac:dyDescent="0.35">
      <c r="F795" s="2" t="s">
        <v>1713</v>
      </c>
      <c r="G795" s="2" t="b">
        <f>COUNTIF(MASTER!$A$2:$A$1944,F795)=0</f>
        <v>1</v>
      </c>
      <c r="H795" s="2"/>
      <c r="I795" s="2" t="s">
        <v>1714</v>
      </c>
      <c r="J795" s="2" t="b">
        <f>COUNTIF(MASTER!$L$2:$L$1944,I795)=0</f>
        <v>1</v>
      </c>
    </row>
    <row r="796" spans="6:10" x14ac:dyDescent="0.35">
      <c r="F796" s="2" t="s">
        <v>1715</v>
      </c>
      <c r="G796" s="2" t="b">
        <f>COUNTIF(MASTER!$A$2:$A$1944,F796)=0</f>
        <v>1</v>
      </c>
      <c r="H796" s="2"/>
      <c r="I796" s="2" t="s">
        <v>1716</v>
      </c>
      <c r="J796" s="2" t="b">
        <f>COUNTIF(MASTER!$L$2:$L$1944,I796)=0</f>
        <v>1</v>
      </c>
    </row>
    <row r="797" spans="6:10" x14ac:dyDescent="0.35">
      <c r="F797" s="2" t="s">
        <v>1717</v>
      </c>
      <c r="G797" s="2" t="b">
        <f>COUNTIF(MASTER!$A$2:$A$1944,F797)=0</f>
        <v>1</v>
      </c>
      <c r="H797" s="2"/>
      <c r="I797" s="2" t="s">
        <v>1718</v>
      </c>
      <c r="J797" s="2" t="b">
        <f>COUNTIF(MASTER!$L$2:$L$1944,I797)=0</f>
        <v>1</v>
      </c>
    </row>
    <row r="798" spans="6:10" x14ac:dyDescent="0.35">
      <c r="F798" s="2" t="s">
        <v>1719</v>
      </c>
      <c r="G798" s="2" t="b">
        <f>COUNTIF(MASTER!$A$2:$A$1944,F798)=0</f>
        <v>1</v>
      </c>
      <c r="H798" s="2"/>
      <c r="I798" s="2" t="s">
        <v>1720</v>
      </c>
      <c r="J798" s="2" t="b">
        <f>COUNTIF(MASTER!$L$2:$L$1944,I798)=0</f>
        <v>1</v>
      </c>
    </row>
    <row r="799" spans="6:10" x14ac:dyDescent="0.35">
      <c r="F799" s="2" t="s">
        <v>1721</v>
      </c>
      <c r="G799" s="2" t="b">
        <f>COUNTIF(MASTER!$A$2:$A$1944,F799)=0</f>
        <v>1</v>
      </c>
      <c r="H799" s="2"/>
      <c r="I799" s="2" t="s">
        <v>1722</v>
      </c>
      <c r="J799" s="2" t="b">
        <f>COUNTIF(MASTER!$L$2:$L$1944,I799)=0</f>
        <v>1</v>
      </c>
    </row>
    <row r="800" spans="6:10" x14ac:dyDescent="0.35">
      <c r="F800" s="2" t="s">
        <v>1723</v>
      </c>
      <c r="G800" s="2" t="b">
        <f>COUNTIF(MASTER!$A$2:$A$1944,F800)=0</f>
        <v>1</v>
      </c>
      <c r="H800" s="2"/>
      <c r="I800" s="2" t="s">
        <v>1724</v>
      </c>
      <c r="J800" s="2" t="b">
        <f>COUNTIF(MASTER!$L$2:$L$1944,I800)=0</f>
        <v>1</v>
      </c>
    </row>
    <row r="801" spans="6:10" x14ac:dyDescent="0.35">
      <c r="F801" s="2" t="s">
        <v>1725</v>
      </c>
      <c r="G801" s="2" t="b">
        <f>COUNTIF(MASTER!$A$2:$A$1944,F801)=0</f>
        <v>1</v>
      </c>
      <c r="H801" s="2"/>
      <c r="I801" s="2" t="s">
        <v>1726</v>
      </c>
      <c r="J801" s="2" t="b">
        <f>COUNTIF(MASTER!$L$2:$L$1944,I801)=0</f>
        <v>1</v>
      </c>
    </row>
    <row r="802" spans="6:10" x14ac:dyDescent="0.35">
      <c r="F802" s="2" t="s">
        <v>1727</v>
      </c>
      <c r="G802" s="2" t="b">
        <f>COUNTIF(MASTER!$A$2:$A$1944,F802)=0</f>
        <v>1</v>
      </c>
      <c r="H802" s="2"/>
      <c r="I802" s="2" t="s">
        <v>1728</v>
      </c>
      <c r="J802" s="2" t="b">
        <f>COUNTIF(MASTER!$L$2:$L$1944,I802)=0</f>
        <v>1</v>
      </c>
    </row>
    <row r="803" spans="6:10" x14ac:dyDescent="0.35">
      <c r="F803" s="2" t="s">
        <v>1729</v>
      </c>
      <c r="G803" s="2" t="b">
        <f>COUNTIF(MASTER!$A$2:$A$1944,F803)=0</f>
        <v>1</v>
      </c>
      <c r="H803" s="2"/>
      <c r="I803" s="2" t="s">
        <v>1730</v>
      </c>
      <c r="J803" s="2" t="b">
        <f>COUNTIF(MASTER!$L$2:$L$1944,I803)=0</f>
        <v>1</v>
      </c>
    </row>
    <row r="804" spans="6:10" x14ac:dyDescent="0.35">
      <c r="F804" s="2" t="s">
        <v>1731</v>
      </c>
      <c r="G804" s="2" t="b">
        <f>COUNTIF(MASTER!$A$2:$A$1944,F804)=0</f>
        <v>1</v>
      </c>
      <c r="H804" s="2"/>
      <c r="I804" s="2" t="s">
        <v>1732</v>
      </c>
      <c r="J804" s="2" t="b">
        <f>COUNTIF(MASTER!$L$2:$L$1944,I804)=0</f>
        <v>1</v>
      </c>
    </row>
    <row r="805" spans="6:10" x14ac:dyDescent="0.35">
      <c r="F805" s="2" t="s">
        <v>1733</v>
      </c>
      <c r="G805" s="2" t="b">
        <f>COUNTIF(MASTER!$A$2:$A$1944,F805)=0</f>
        <v>1</v>
      </c>
      <c r="H805" s="2"/>
      <c r="I805" s="2" t="s">
        <v>1734</v>
      </c>
      <c r="J805" s="2" t="b">
        <f>COUNTIF(MASTER!$L$2:$L$1944,I805)=0</f>
        <v>1</v>
      </c>
    </row>
    <row r="806" spans="6:10" x14ac:dyDescent="0.35">
      <c r="F806" s="2" t="s">
        <v>1735</v>
      </c>
      <c r="G806" s="2" t="b">
        <f>COUNTIF(MASTER!$A$2:$A$1944,F806)=0</f>
        <v>1</v>
      </c>
      <c r="H806" s="2"/>
      <c r="I806" s="2" t="s">
        <v>1736</v>
      </c>
      <c r="J806" s="2" t="b">
        <f>COUNTIF(MASTER!$L$2:$L$1944,I806)=0</f>
        <v>1</v>
      </c>
    </row>
    <row r="807" spans="6:10" x14ac:dyDescent="0.35">
      <c r="F807" s="2" t="s">
        <v>1737</v>
      </c>
      <c r="G807" s="2" t="b">
        <f>COUNTIF(MASTER!$A$2:$A$1944,F807)=0</f>
        <v>1</v>
      </c>
      <c r="H807" s="2"/>
      <c r="I807" s="2" t="s">
        <v>1738</v>
      </c>
      <c r="J807" s="2" t="b">
        <f>COUNTIF(MASTER!$L$2:$L$1944,I807)=0</f>
        <v>1</v>
      </c>
    </row>
    <row r="808" spans="6:10" x14ac:dyDescent="0.35">
      <c r="F808" s="2" t="s">
        <v>1739</v>
      </c>
      <c r="G808" s="2" t="b">
        <f>COUNTIF(MASTER!$A$2:$A$1944,F808)=0</f>
        <v>1</v>
      </c>
      <c r="H808" s="2"/>
      <c r="I808" s="2" t="s">
        <v>1740</v>
      </c>
      <c r="J808" s="2" t="b">
        <f>COUNTIF(MASTER!$L$2:$L$1944,I808)=0</f>
        <v>1</v>
      </c>
    </row>
    <row r="809" spans="6:10" x14ac:dyDescent="0.35">
      <c r="F809" s="2" t="s">
        <v>1741</v>
      </c>
      <c r="G809" s="2" t="b">
        <f>COUNTIF(MASTER!$A$2:$A$1944,F809)=0</f>
        <v>1</v>
      </c>
      <c r="H809" s="2"/>
      <c r="I809" s="2" t="s">
        <v>1742</v>
      </c>
      <c r="J809" s="2" t="b">
        <f>COUNTIF(MASTER!$L$2:$L$1944,I809)=0</f>
        <v>1</v>
      </c>
    </row>
    <row r="810" spans="6:10" x14ac:dyDescent="0.35">
      <c r="F810" s="2" t="s">
        <v>1743</v>
      </c>
      <c r="G810" s="2" t="b">
        <f>COUNTIF(MASTER!$A$2:$A$1944,F810)=0</f>
        <v>1</v>
      </c>
      <c r="H810" s="2"/>
      <c r="I810" s="2" t="s">
        <v>1744</v>
      </c>
      <c r="J810" s="2" t="b">
        <f>COUNTIF(MASTER!$L$2:$L$1944,I810)=0</f>
        <v>1</v>
      </c>
    </row>
    <row r="811" spans="6:10" x14ac:dyDescent="0.35">
      <c r="F811" s="2" t="s">
        <v>1745</v>
      </c>
      <c r="G811" s="2" t="b">
        <f>COUNTIF(MASTER!$A$2:$A$1944,F811)=0</f>
        <v>1</v>
      </c>
      <c r="H811" s="2"/>
      <c r="I811" s="2" t="s">
        <v>1746</v>
      </c>
      <c r="J811" s="2" t="b">
        <f>COUNTIF(MASTER!$L$2:$L$1944,I811)=0</f>
        <v>1</v>
      </c>
    </row>
    <row r="812" spans="6:10" x14ac:dyDescent="0.35">
      <c r="F812" s="2" t="s">
        <v>1747</v>
      </c>
      <c r="G812" s="2" t="b">
        <f>COUNTIF(MASTER!$A$2:$A$1944,F812)=0</f>
        <v>1</v>
      </c>
      <c r="H812" s="2"/>
      <c r="I812" s="2" t="s">
        <v>1748</v>
      </c>
      <c r="J812" s="2" t="b">
        <f>COUNTIF(MASTER!$L$2:$L$1944,I812)=0</f>
        <v>1</v>
      </c>
    </row>
    <row r="813" spans="6:10" x14ac:dyDescent="0.35">
      <c r="F813" s="2" t="s">
        <v>1749</v>
      </c>
      <c r="G813" s="2" t="b">
        <f>COUNTIF(MASTER!$A$2:$A$1944,F813)=0</f>
        <v>1</v>
      </c>
      <c r="H813" s="2"/>
      <c r="I813" s="2" t="s">
        <v>1750</v>
      </c>
      <c r="J813" s="2" t="b">
        <f>COUNTIF(MASTER!$L$2:$L$1944,I813)=0</f>
        <v>1</v>
      </c>
    </row>
    <row r="814" spans="6:10" x14ac:dyDescent="0.35">
      <c r="F814" s="2" t="s">
        <v>1751</v>
      </c>
      <c r="G814" s="2" t="b">
        <f>COUNTIF(MASTER!$A$2:$A$1944,F814)=0</f>
        <v>1</v>
      </c>
      <c r="H814" s="2"/>
      <c r="I814" s="2" t="s">
        <v>1752</v>
      </c>
      <c r="J814" s="2" t="b">
        <f>COUNTIF(MASTER!$L$2:$L$1944,I814)=0</f>
        <v>1</v>
      </c>
    </row>
    <row r="815" spans="6:10" x14ac:dyDescent="0.35">
      <c r="F815" s="2" t="s">
        <v>1753</v>
      </c>
      <c r="G815" s="2" t="b">
        <f>COUNTIF(MASTER!$A$2:$A$1944,F815)=0</f>
        <v>1</v>
      </c>
      <c r="H815" s="2"/>
      <c r="I815" s="2" t="s">
        <v>1754</v>
      </c>
      <c r="J815" s="2" t="b">
        <f>COUNTIF(MASTER!$L$2:$L$1944,I815)=0</f>
        <v>1</v>
      </c>
    </row>
    <row r="816" spans="6:10" x14ac:dyDescent="0.35">
      <c r="F816" s="2" t="s">
        <v>1755</v>
      </c>
      <c r="G816" s="2" t="b">
        <f>COUNTIF(MASTER!$A$2:$A$1944,F816)=0</f>
        <v>1</v>
      </c>
      <c r="H816" s="2"/>
      <c r="I816" s="2" t="s">
        <v>1756</v>
      </c>
      <c r="J816" s="2" t="b">
        <f>COUNTIF(MASTER!$L$2:$L$1944,I816)=0</f>
        <v>1</v>
      </c>
    </row>
    <row r="817" spans="6:10" x14ac:dyDescent="0.35">
      <c r="F817" s="2" t="s">
        <v>1757</v>
      </c>
      <c r="G817" s="2" t="b">
        <f>COUNTIF(MASTER!$A$2:$A$1944,F817)=0</f>
        <v>1</v>
      </c>
      <c r="H817" s="2"/>
      <c r="I817" s="2" t="s">
        <v>1758</v>
      </c>
      <c r="J817" s="2" t="b">
        <f>COUNTIF(MASTER!$L$2:$L$1944,I817)=0</f>
        <v>1</v>
      </c>
    </row>
    <row r="818" spans="6:10" x14ac:dyDescent="0.35">
      <c r="F818" s="2" t="s">
        <v>1759</v>
      </c>
      <c r="G818" s="2" t="b">
        <f>COUNTIF(MASTER!$A$2:$A$1944,F818)=0</f>
        <v>1</v>
      </c>
      <c r="H818" s="2"/>
      <c r="I818" s="2" t="s">
        <v>1760</v>
      </c>
      <c r="J818" s="2" t="b">
        <f>COUNTIF(MASTER!$L$2:$L$1944,I818)=0</f>
        <v>1</v>
      </c>
    </row>
    <row r="819" spans="6:10" x14ac:dyDescent="0.35">
      <c r="F819" s="2" t="s">
        <v>1761</v>
      </c>
      <c r="G819" s="2" t="b">
        <f>COUNTIF(MASTER!$A$2:$A$1944,F819)=0</f>
        <v>1</v>
      </c>
      <c r="H819" s="2"/>
      <c r="I819" s="2" t="s">
        <v>1762</v>
      </c>
      <c r="J819" s="2" t="b">
        <f>COUNTIF(MASTER!$L$2:$L$1944,I819)=0</f>
        <v>1</v>
      </c>
    </row>
    <row r="820" spans="6:10" x14ac:dyDescent="0.35">
      <c r="F820" s="2" t="s">
        <v>1763</v>
      </c>
      <c r="G820" s="2" t="b">
        <f>COUNTIF(MASTER!$A$2:$A$1944,F820)=0</f>
        <v>1</v>
      </c>
      <c r="H820" s="2"/>
      <c r="I820" s="2" t="s">
        <v>1764</v>
      </c>
      <c r="J820" s="2" t="b">
        <f>COUNTIF(MASTER!$L$2:$L$1944,I820)=0</f>
        <v>1</v>
      </c>
    </row>
    <row r="821" spans="6:10" x14ac:dyDescent="0.35">
      <c r="F821" s="2" t="s">
        <v>1765</v>
      </c>
      <c r="G821" s="2" t="b">
        <f>COUNTIF(MASTER!$A$2:$A$1944,F821)=0</f>
        <v>1</v>
      </c>
      <c r="H821" s="2"/>
      <c r="I821" s="2" t="s">
        <v>1766</v>
      </c>
      <c r="J821" s="2" t="b">
        <f>COUNTIF(MASTER!$L$2:$L$1944,I821)=0</f>
        <v>1</v>
      </c>
    </row>
    <row r="822" spans="6:10" x14ac:dyDescent="0.35">
      <c r="F822" s="2" t="s">
        <v>1767</v>
      </c>
      <c r="G822" s="2" t="b">
        <f>COUNTIF(MASTER!$A$2:$A$1944,F822)=0</f>
        <v>1</v>
      </c>
      <c r="H822" s="2"/>
      <c r="I822" s="2" t="s">
        <v>1768</v>
      </c>
      <c r="J822" s="2" t="b">
        <f>COUNTIF(MASTER!$L$2:$L$1944,I822)=0</f>
        <v>1</v>
      </c>
    </row>
    <row r="823" spans="6:10" x14ac:dyDescent="0.35">
      <c r="F823" s="2" t="s">
        <v>1769</v>
      </c>
      <c r="G823" s="2" t="b">
        <f>COUNTIF(MASTER!$A$2:$A$1944,F823)=0</f>
        <v>1</v>
      </c>
      <c r="H823" s="2"/>
      <c r="I823" s="2" t="s">
        <v>1770</v>
      </c>
      <c r="J823" s="2" t="b">
        <f>COUNTIF(MASTER!$L$2:$L$1944,I823)=0</f>
        <v>1</v>
      </c>
    </row>
    <row r="824" spans="6:10" x14ac:dyDescent="0.35">
      <c r="F824" s="2" t="s">
        <v>1771</v>
      </c>
      <c r="G824" s="2" t="b">
        <f>COUNTIF(MASTER!$A$2:$A$1944,F824)=0</f>
        <v>1</v>
      </c>
      <c r="H824" s="2"/>
      <c r="I824" s="2" t="s">
        <v>1772</v>
      </c>
      <c r="J824" s="2" t="b">
        <f>COUNTIF(MASTER!$L$2:$L$1944,I824)=0</f>
        <v>1</v>
      </c>
    </row>
    <row r="825" spans="6:10" x14ac:dyDescent="0.35">
      <c r="F825" s="2" t="s">
        <v>1773</v>
      </c>
      <c r="G825" s="2" t="b">
        <f>COUNTIF(MASTER!$A$2:$A$1944,F825)=0</f>
        <v>1</v>
      </c>
      <c r="H825" s="2"/>
      <c r="I825" s="2" t="s">
        <v>1774</v>
      </c>
      <c r="J825" s="2" t="b">
        <f>COUNTIF(MASTER!$L$2:$L$1944,I825)=0</f>
        <v>1</v>
      </c>
    </row>
    <row r="826" spans="6:10" x14ac:dyDescent="0.35">
      <c r="F826" s="2" t="s">
        <v>1775</v>
      </c>
      <c r="G826" s="2" t="b">
        <f>COUNTIF(MASTER!$A$2:$A$1944,F826)=0</f>
        <v>1</v>
      </c>
      <c r="H826" s="2"/>
      <c r="I826" s="2" t="s">
        <v>1776</v>
      </c>
      <c r="J826" s="2" t="b">
        <f>COUNTIF(MASTER!$L$2:$L$1944,I826)=0</f>
        <v>1</v>
      </c>
    </row>
    <row r="827" spans="6:10" x14ac:dyDescent="0.35">
      <c r="F827" s="2" t="s">
        <v>1777</v>
      </c>
      <c r="G827" s="2" t="b">
        <f>COUNTIF(MASTER!$A$2:$A$1944,F827)=0</f>
        <v>1</v>
      </c>
      <c r="H827" s="2"/>
      <c r="I827" s="2" t="s">
        <v>1778</v>
      </c>
      <c r="J827" s="2" t="b">
        <f>COUNTIF(MASTER!$L$2:$L$1944,I827)=0</f>
        <v>1</v>
      </c>
    </row>
    <row r="828" spans="6:10" x14ac:dyDescent="0.35">
      <c r="F828" s="2" t="s">
        <v>1779</v>
      </c>
      <c r="G828" s="2" t="b">
        <f>COUNTIF(MASTER!$A$2:$A$1944,F828)=0</f>
        <v>1</v>
      </c>
      <c r="H828" s="2"/>
      <c r="I828" s="2" t="s">
        <v>1780</v>
      </c>
      <c r="J828" s="2" t="b">
        <f>COUNTIF(MASTER!$L$2:$L$1944,I828)=0</f>
        <v>1</v>
      </c>
    </row>
    <row r="829" spans="6:10" x14ac:dyDescent="0.35">
      <c r="F829" s="2" t="s">
        <v>1781</v>
      </c>
      <c r="G829" s="2" t="b">
        <f>COUNTIF(MASTER!$A$2:$A$1944,F829)=0</f>
        <v>1</v>
      </c>
      <c r="H829" s="2"/>
      <c r="I829" s="2" t="s">
        <v>1782</v>
      </c>
      <c r="J829" s="2" t="b">
        <f>COUNTIF(MASTER!$L$2:$L$1944,I829)=0</f>
        <v>1</v>
      </c>
    </row>
    <row r="830" spans="6:10" x14ac:dyDescent="0.35">
      <c r="F830" s="2" t="s">
        <v>1783</v>
      </c>
      <c r="G830" s="2" t="b">
        <f>COUNTIF(MASTER!$A$2:$A$1944,F830)=0</f>
        <v>1</v>
      </c>
      <c r="H830" s="2"/>
      <c r="I830" s="2" t="s">
        <v>1784</v>
      </c>
      <c r="J830" s="2" t="b">
        <f>COUNTIF(MASTER!$L$2:$L$1944,I830)=0</f>
        <v>1</v>
      </c>
    </row>
    <row r="831" spans="6:10" x14ac:dyDescent="0.35">
      <c r="F831" s="2" t="s">
        <v>1785</v>
      </c>
      <c r="G831" s="2" t="b">
        <f>COUNTIF(MASTER!$A$2:$A$1944,F831)=0</f>
        <v>1</v>
      </c>
      <c r="H831" s="2"/>
      <c r="I831" s="2" t="s">
        <v>1786</v>
      </c>
      <c r="J831" s="2" t="b">
        <f>COUNTIF(MASTER!$L$2:$L$1944,I831)=0</f>
        <v>1</v>
      </c>
    </row>
    <row r="832" spans="6:10" x14ac:dyDescent="0.35">
      <c r="F832" s="2" t="s">
        <v>1787</v>
      </c>
      <c r="G832" s="2" t="b">
        <f>COUNTIF(MASTER!$A$2:$A$1944,F832)=0</f>
        <v>1</v>
      </c>
      <c r="H832" s="2"/>
      <c r="I832" s="2" t="s">
        <v>1788</v>
      </c>
      <c r="J832" s="2" t="b">
        <f>COUNTIF(MASTER!$L$2:$L$1944,I832)=0</f>
        <v>1</v>
      </c>
    </row>
    <row r="833" spans="6:10" x14ac:dyDescent="0.35">
      <c r="F833" s="2" t="s">
        <v>1789</v>
      </c>
      <c r="G833" s="2" t="b">
        <f>COUNTIF(MASTER!$A$2:$A$1944,F833)=0</f>
        <v>1</v>
      </c>
      <c r="H833" s="2"/>
      <c r="I833" s="2" t="s">
        <v>1790</v>
      </c>
      <c r="J833" s="2" t="b">
        <f>COUNTIF(MASTER!$L$2:$L$1944,I833)=0</f>
        <v>1</v>
      </c>
    </row>
    <row r="834" spans="6:10" x14ac:dyDescent="0.35">
      <c r="F834" s="2" t="s">
        <v>1791</v>
      </c>
      <c r="G834" s="2" t="b">
        <f>COUNTIF(MASTER!$A$2:$A$1944,F834)=0</f>
        <v>1</v>
      </c>
      <c r="H834" s="2"/>
      <c r="I834" s="2" t="s">
        <v>1792</v>
      </c>
      <c r="J834" s="2" t="b">
        <f>COUNTIF(MASTER!$L$2:$L$1944,I834)=0</f>
        <v>1</v>
      </c>
    </row>
    <row r="835" spans="6:10" x14ac:dyDescent="0.35">
      <c r="F835" s="2" t="s">
        <v>1793</v>
      </c>
      <c r="G835" s="2" t="b">
        <f>COUNTIF(MASTER!$A$2:$A$1944,F835)=0</f>
        <v>1</v>
      </c>
      <c r="H835" s="2"/>
      <c r="I835" s="2" t="s">
        <v>1794</v>
      </c>
      <c r="J835" s="2" t="b">
        <f>COUNTIF(MASTER!$L$2:$L$1944,I835)=0</f>
        <v>1</v>
      </c>
    </row>
    <row r="836" spans="6:10" x14ac:dyDescent="0.35">
      <c r="F836" s="2" t="s">
        <v>1795</v>
      </c>
      <c r="G836" s="2" t="b">
        <f>COUNTIF(MASTER!$A$2:$A$1944,F836)=0</f>
        <v>1</v>
      </c>
      <c r="H836" s="2"/>
      <c r="I836" s="2" t="s">
        <v>1796</v>
      </c>
      <c r="J836" s="2" t="b">
        <f>COUNTIF(MASTER!$L$2:$L$1944,I836)=0</f>
        <v>1</v>
      </c>
    </row>
    <row r="837" spans="6:10" x14ac:dyDescent="0.35">
      <c r="F837" s="2" t="s">
        <v>1797</v>
      </c>
      <c r="G837" s="2" t="b">
        <f>COUNTIF(MASTER!$A$2:$A$1944,F837)=0</f>
        <v>1</v>
      </c>
      <c r="H837" s="2"/>
      <c r="I837" s="2" t="s">
        <v>1798</v>
      </c>
      <c r="J837" s="2" t="b">
        <f>COUNTIF(MASTER!$L$2:$L$1944,I837)=0</f>
        <v>1</v>
      </c>
    </row>
    <row r="838" spans="6:10" x14ac:dyDescent="0.35">
      <c r="F838" s="2" t="s">
        <v>1799</v>
      </c>
      <c r="G838" s="2" t="b">
        <f>COUNTIF(MASTER!$A$2:$A$1944,F838)=0</f>
        <v>1</v>
      </c>
      <c r="H838" s="2"/>
      <c r="I838" s="2" t="s">
        <v>1800</v>
      </c>
      <c r="J838" s="2" t="b">
        <f>COUNTIF(MASTER!$L$2:$L$1944,I838)=0</f>
        <v>1</v>
      </c>
    </row>
    <row r="839" spans="6:10" x14ac:dyDescent="0.35">
      <c r="F839" s="2" t="s">
        <v>1801</v>
      </c>
      <c r="G839" s="2" t="b">
        <f>COUNTIF(MASTER!$A$2:$A$1944,F839)=0</f>
        <v>1</v>
      </c>
      <c r="H839" s="2"/>
      <c r="I839" s="2" t="s">
        <v>1802</v>
      </c>
      <c r="J839" s="2" t="b">
        <f>COUNTIF(MASTER!$L$2:$L$1944,I839)=0</f>
        <v>1</v>
      </c>
    </row>
    <row r="840" spans="6:10" x14ac:dyDescent="0.35">
      <c r="F840" s="2" t="s">
        <v>1803</v>
      </c>
      <c r="G840" s="2" t="b">
        <f>COUNTIF(MASTER!$A$2:$A$1944,F840)=0</f>
        <v>1</v>
      </c>
      <c r="H840" s="2"/>
      <c r="I840" s="2" t="s">
        <v>1804</v>
      </c>
      <c r="J840" s="2" t="b">
        <f>COUNTIF(MASTER!$L$2:$L$1944,I840)=0</f>
        <v>1</v>
      </c>
    </row>
    <row r="841" spans="6:10" x14ac:dyDescent="0.35">
      <c r="F841" s="2" t="s">
        <v>1805</v>
      </c>
      <c r="G841" s="2" t="b">
        <f>COUNTIF(MASTER!$A$2:$A$1944,F841)=0</f>
        <v>1</v>
      </c>
      <c r="H841" s="2"/>
      <c r="I841" s="2" t="s">
        <v>1806</v>
      </c>
      <c r="J841" s="2" t="b">
        <f>COUNTIF(MASTER!$L$2:$L$1944,I841)=0</f>
        <v>1</v>
      </c>
    </row>
    <row r="842" spans="6:10" x14ac:dyDescent="0.35">
      <c r="F842" s="2" t="s">
        <v>1807</v>
      </c>
      <c r="G842" s="2" t="b">
        <f>COUNTIF(MASTER!$A$2:$A$1944,F842)=0</f>
        <v>1</v>
      </c>
      <c r="H842" s="2"/>
      <c r="I842" s="2" t="s">
        <v>1808</v>
      </c>
      <c r="J842" s="2" t="b">
        <f>COUNTIF(MASTER!$L$2:$L$1944,I842)=0</f>
        <v>1</v>
      </c>
    </row>
    <row r="843" spans="6:10" x14ac:dyDescent="0.35">
      <c r="F843" s="2" t="s">
        <v>1809</v>
      </c>
      <c r="G843" s="2" t="b">
        <f>COUNTIF(MASTER!$A$2:$A$1944,F843)=0</f>
        <v>1</v>
      </c>
      <c r="H843" s="2"/>
      <c r="I843" s="2" t="s">
        <v>1810</v>
      </c>
      <c r="J843" s="2" t="b">
        <f>COUNTIF(MASTER!$L$2:$L$1944,I843)=0</f>
        <v>1</v>
      </c>
    </row>
    <row r="844" spans="6:10" x14ac:dyDescent="0.35">
      <c r="F844" s="2" t="s">
        <v>1811</v>
      </c>
      <c r="G844" s="2" t="b">
        <f>COUNTIF(MASTER!$A$2:$A$1944,F844)=0</f>
        <v>1</v>
      </c>
      <c r="H844" s="2"/>
      <c r="I844" s="2" t="s">
        <v>1812</v>
      </c>
      <c r="J844" s="2" t="b">
        <f>COUNTIF(MASTER!$L$2:$L$1944,I844)=0</f>
        <v>1</v>
      </c>
    </row>
    <row r="845" spans="6:10" x14ac:dyDescent="0.35">
      <c r="F845" s="2" t="s">
        <v>1813</v>
      </c>
      <c r="G845" s="2" t="b">
        <f>COUNTIF(MASTER!$A$2:$A$1944,F845)=0</f>
        <v>1</v>
      </c>
      <c r="H845" s="2"/>
      <c r="I845" s="2" t="s">
        <v>1814</v>
      </c>
      <c r="J845" s="2" t="b">
        <f>COUNTIF(MASTER!$L$2:$L$1944,I845)=0</f>
        <v>1</v>
      </c>
    </row>
    <row r="846" spans="6:10" x14ac:dyDescent="0.35">
      <c r="F846" s="2" t="s">
        <v>1815</v>
      </c>
      <c r="G846" s="2" t="b">
        <f>COUNTIF(MASTER!$A$2:$A$1944,F846)=0</f>
        <v>1</v>
      </c>
      <c r="H846" s="2"/>
      <c r="I846" s="2" t="s">
        <v>1816</v>
      </c>
      <c r="J846" s="2" t="b">
        <f>COUNTIF(MASTER!$L$2:$L$1944,I846)=0</f>
        <v>1</v>
      </c>
    </row>
    <row r="847" spans="6:10" x14ac:dyDescent="0.35">
      <c r="F847" s="2" t="s">
        <v>1817</v>
      </c>
      <c r="G847" s="2" t="b">
        <f>COUNTIF(MASTER!$A$2:$A$1944,F847)=0</f>
        <v>1</v>
      </c>
      <c r="H847" s="2"/>
      <c r="I847" s="2" t="s">
        <v>1818</v>
      </c>
      <c r="J847" s="2" t="b">
        <f>COUNTIF(MASTER!$L$2:$L$1944,I847)=0</f>
        <v>1</v>
      </c>
    </row>
    <row r="848" spans="6:10" x14ac:dyDescent="0.35">
      <c r="F848" s="2" t="s">
        <v>1819</v>
      </c>
      <c r="G848" s="2" t="b">
        <f>COUNTIF(MASTER!$A$2:$A$1944,F848)=0</f>
        <v>1</v>
      </c>
      <c r="H848" s="2"/>
      <c r="I848" s="2" t="s">
        <v>1820</v>
      </c>
      <c r="J848" s="2" t="b">
        <f>COUNTIF(MASTER!$L$2:$L$1944,I848)=0</f>
        <v>1</v>
      </c>
    </row>
    <row r="849" spans="6:10" x14ac:dyDescent="0.35">
      <c r="F849" s="2" t="s">
        <v>1821</v>
      </c>
      <c r="G849" s="2" t="b">
        <f>COUNTIF(MASTER!$A$2:$A$1944,F849)=0</f>
        <v>1</v>
      </c>
      <c r="H849" s="2"/>
      <c r="I849" s="2" t="s">
        <v>1822</v>
      </c>
      <c r="J849" s="2" t="b">
        <f>COUNTIF(MASTER!$L$2:$L$1944,I849)=0</f>
        <v>1</v>
      </c>
    </row>
    <row r="850" spans="6:10" x14ac:dyDescent="0.35">
      <c r="F850" s="2" t="s">
        <v>1823</v>
      </c>
      <c r="G850" s="2" t="b">
        <f>COUNTIF(MASTER!$A$2:$A$1944,F850)=0</f>
        <v>1</v>
      </c>
      <c r="H850" s="2"/>
      <c r="I850" s="2" t="s">
        <v>1824</v>
      </c>
      <c r="J850" s="2" t="b">
        <f>COUNTIF(MASTER!$L$2:$L$1944,I850)=0</f>
        <v>1</v>
      </c>
    </row>
    <row r="851" spans="6:10" x14ac:dyDescent="0.35">
      <c r="F851" s="2" t="s">
        <v>1825</v>
      </c>
      <c r="G851" s="2" t="b">
        <f>COUNTIF(MASTER!$A$2:$A$1944,F851)=0</f>
        <v>1</v>
      </c>
      <c r="H851" s="2"/>
      <c r="I851" s="2" t="s">
        <v>1826</v>
      </c>
      <c r="J851" s="2" t="b">
        <f>COUNTIF(MASTER!$L$2:$L$1944,I851)=0</f>
        <v>1</v>
      </c>
    </row>
    <row r="852" spans="6:10" x14ac:dyDescent="0.35">
      <c r="F852" s="2" t="s">
        <v>1827</v>
      </c>
      <c r="G852" s="2" t="b">
        <f>COUNTIF(MASTER!$A$2:$A$1944,F852)=0</f>
        <v>1</v>
      </c>
      <c r="H852" s="2"/>
      <c r="I852" s="2" t="s">
        <v>1828</v>
      </c>
      <c r="J852" s="2" t="b">
        <f>COUNTIF(MASTER!$L$2:$L$1944,I852)=0</f>
        <v>1</v>
      </c>
    </row>
    <row r="853" spans="6:10" x14ac:dyDescent="0.35">
      <c r="F853" s="2" t="s">
        <v>1829</v>
      </c>
      <c r="G853" s="2" t="b">
        <f>COUNTIF(MASTER!$A$2:$A$1944,F853)=0</f>
        <v>1</v>
      </c>
      <c r="H853" s="2"/>
      <c r="I853" s="2" t="s">
        <v>1830</v>
      </c>
      <c r="J853" s="2" t="b">
        <f>COUNTIF(MASTER!$L$2:$L$1944,I853)=0</f>
        <v>1</v>
      </c>
    </row>
    <row r="854" spans="6:10" x14ac:dyDescent="0.35">
      <c r="F854" s="2" t="s">
        <v>1831</v>
      </c>
      <c r="G854" s="2" t="b">
        <f>COUNTIF(MASTER!$A$2:$A$1944,F854)=0</f>
        <v>1</v>
      </c>
      <c r="H854" s="2"/>
      <c r="I854" s="2" t="s">
        <v>1832</v>
      </c>
      <c r="J854" s="2" t="b">
        <f>COUNTIF(MASTER!$L$2:$L$1944,I854)=0</f>
        <v>1</v>
      </c>
    </row>
    <row r="855" spans="6:10" x14ac:dyDescent="0.35">
      <c r="F855" s="2" t="s">
        <v>1833</v>
      </c>
      <c r="G855" s="2" t="b">
        <f>COUNTIF(MASTER!$A$2:$A$1944,F855)=0</f>
        <v>1</v>
      </c>
      <c r="H855" s="2"/>
      <c r="I855" s="2" t="s">
        <v>1834</v>
      </c>
      <c r="J855" s="2" t="b">
        <f>COUNTIF(MASTER!$L$2:$L$1944,I855)=0</f>
        <v>1</v>
      </c>
    </row>
    <row r="856" spans="6:10" x14ac:dyDescent="0.35">
      <c r="F856" s="2" t="s">
        <v>1835</v>
      </c>
      <c r="G856" s="2" t="b">
        <f>COUNTIF(MASTER!$A$2:$A$1944,F856)=0</f>
        <v>1</v>
      </c>
      <c r="H856" s="2"/>
      <c r="I856" s="2" t="s">
        <v>1836</v>
      </c>
      <c r="J856" s="2" t="b">
        <f>COUNTIF(MASTER!$L$2:$L$1944,I856)=0</f>
        <v>1</v>
      </c>
    </row>
    <row r="857" spans="6:10" x14ac:dyDescent="0.35">
      <c r="F857" s="2" t="s">
        <v>1837</v>
      </c>
      <c r="G857" s="2" t="b">
        <f>COUNTIF(MASTER!$A$2:$A$1944,F857)=0</f>
        <v>1</v>
      </c>
      <c r="H857" s="2"/>
      <c r="I857" s="2" t="s">
        <v>1838</v>
      </c>
      <c r="J857" s="2" t="b">
        <f>COUNTIF(MASTER!$L$2:$L$1944,I857)=0</f>
        <v>1</v>
      </c>
    </row>
    <row r="858" spans="6:10" x14ac:dyDescent="0.35">
      <c r="F858" s="2" t="s">
        <v>1839</v>
      </c>
      <c r="G858" s="2" t="b">
        <f>COUNTIF(MASTER!$A$2:$A$1944,F858)=0</f>
        <v>1</v>
      </c>
      <c r="H858" s="2"/>
      <c r="I858" s="2" t="s">
        <v>1840</v>
      </c>
      <c r="J858" s="2" t="b">
        <f>COUNTIF(MASTER!$L$2:$L$1944,I858)=0</f>
        <v>1</v>
      </c>
    </row>
    <row r="859" spans="6:10" x14ac:dyDescent="0.35">
      <c r="F859" s="2" t="s">
        <v>1841</v>
      </c>
      <c r="G859" s="2" t="b">
        <f>COUNTIF(MASTER!$A$2:$A$1944,F859)=0</f>
        <v>1</v>
      </c>
      <c r="H859" s="2"/>
      <c r="I859" s="2" t="s">
        <v>1842</v>
      </c>
      <c r="J859" s="2" t="b">
        <f>COUNTIF(MASTER!$L$2:$L$1944,I859)=0</f>
        <v>1</v>
      </c>
    </row>
    <row r="860" spans="6:10" x14ac:dyDescent="0.35">
      <c r="F860" s="2" t="s">
        <v>1843</v>
      </c>
      <c r="G860" s="2" t="b">
        <f>COUNTIF(MASTER!$A$2:$A$1944,F860)=0</f>
        <v>1</v>
      </c>
      <c r="H860" s="2"/>
      <c r="I860" s="2" t="s">
        <v>1844</v>
      </c>
      <c r="J860" s="2" t="b">
        <f>COUNTIF(MASTER!$L$2:$L$1944,I860)=0</f>
        <v>1</v>
      </c>
    </row>
    <row r="861" spans="6:10" x14ac:dyDescent="0.35">
      <c r="F861" s="2" t="s">
        <v>1845</v>
      </c>
      <c r="G861" s="2" t="b">
        <f>COUNTIF(MASTER!$A$2:$A$1944,F861)=0</f>
        <v>1</v>
      </c>
      <c r="H861" s="2"/>
      <c r="I861" s="2" t="s">
        <v>1846</v>
      </c>
      <c r="J861" s="2" t="b">
        <f>COUNTIF(MASTER!$L$2:$L$1944,I861)=0</f>
        <v>1</v>
      </c>
    </row>
    <row r="862" spans="6:10" x14ac:dyDescent="0.35">
      <c r="F862" s="2" t="s">
        <v>1847</v>
      </c>
      <c r="G862" s="2" t="b">
        <f>COUNTIF(MASTER!$A$2:$A$1944,F862)=0</f>
        <v>1</v>
      </c>
      <c r="H862" s="2"/>
      <c r="I862" s="2" t="s">
        <v>1848</v>
      </c>
      <c r="J862" s="2" t="b">
        <f>COUNTIF(MASTER!$L$2:$L$1944,I862)=0</f>
        <v>1</v>
      </c>
    </row>
    <row r="863" spans="6:10" x14ac:dyDescent="0.35">
      <c r="F863" s="2" t="s">
        <v>1849</v>
      </c>
      <c r="G863" s="2" t="b">
        <f>COUNTIF(MASTER!$A$2:$A$1944,F863)=0</f>
        <v>1</v>
      </c>
      <c r="H863" s="2"/>
      <c r="I863" s="2" t="s">
        <v>1850</v>
      </c>
      <c r="J863" s="2" t="b">
        <f>COUNTIF(MASTER!$L$2:$L$1944,I863)=0</f>
        <v>1</v>
      </c>
    </row>
    <row r="864" spans="6:10" x14ac:dyDescent="0.35">
      <c r="F864" s="2" t="s">
        <v>1851</v>
      </c>
      <c r="G864" s="2" t="b">
        <f>COUNTIF(MASTER!$A$2:$A$1944,F864)=0</f>
        <v>1</v>
      </c>
      <c r="H864" s="2"/>
      <c r="I864" s="2" t="s">
        <v>1852</v>
      </c>
      <c r="J864" s="2" t="b">
        <f>COUNTIF(MASTER!$L$2:$L$1944,I864)=0</f>
        <v>1</v>
      </c>
    </row>
    <row r="865" spans="6:10" x14ac:dyDescent="0.35">
      <c r="F865" s="2" t="s">
        <v>1853</v>
      </c>
      <c r="G865" s="2" t="b">
        <f>COUNTIF(MASTER!$A$2:$A$1944,F865)=0</f>
        <v>1</v>
      </c>
      <c r="H865" s="2"/>
      <c r="I865" s="2" t="s">
        <v>1854</v>
      </c>
      <c r="J865" s="2" t="b">
        <f>COUNTIF(MASTER!$L$2:$L$1944,I865)=0</f>
        <v>1</v>
      </c>
    </row>
    <row r="866" spans="6:10" x14ac:dyDescent="0.35">
      <c r="F866" s="2" t="s">
        <v>1855</v>
      </c>
      <c r="G866" s="2" t="b">
        <f>COUNTIF(MASTER!$A$2:$A$1944,F866)=0</f>
        <v>1</v>
      </c>
      <c r="H866" s="2"/>
      <c r="I866" s="2" t="s">
        <v>1856</v>
      </c>
      <c r="J866" s="2" t="b">
        <f>COUNTIF(MASTER!$L$2:$L$1944,I866)=0</f>
        <v>1</v>
      </c>
    </row>
    <row r="867" spans="6:10" x14ac:dyDescent="0.35">
      <c r="F867" s="2" t="s">
        <v>1857</v>
      </c>
      <c r="G867" s="2" t="b">
        <f>COUNTIF(MASTER!$A$2:$A$1944,F867)=0</f>
        <v>1</v>
      </c>
      <c r="H867" s="2"/>
      <c r="I867" s="2" t="s">
        <v>1858</v>
      </c>
      <c r="J867" s="2" t="b">
        <f>COUNTIF(MASTER!$L$2:$L$1944,I867)=0</f>
        <v>1</v>
      </c>
    </row>
    <row r="868" spans="6:10" x14ac:dyDescent="0.35">
      <c r="F868" s="2" t="s">
        <v>1859</v>
      </c>
      <c r="G868" s="2" t="b">
        <f>COUNTIF(MASTER!$A$2:$A$1944,F868)=0</f>
        <v>1</v>
      </c>
      <c r="H868" s="2"/>
      <c r="I868" s="2" t="s">
        <v>1860</v>
      </c>
      <c r="J868" s="2" t="b">
        <f>COUNTIF(MASTER!$L$2:$L$1944,I868)=0</f>
        <v>1</v>
      </c>
    </row>
    <row r="869" spans="6:10" x14ac:dyDescent="0.35">
      <c r="F869" s="2" t="s">
        <v>1861</v>
      </c>
      <c r="G869" s="2" t="b">
        <f>COUNTIF(MASTER!$A$2:$A$1944,F869)=0</f>
        <v>1</v>
      </c>
      <c r="H869" s="2"/>
      <c r="I869" s="2" t="s">
        <v>1862</v>
      </c>
      <c r="J869" s="2" t="b">
        <f>COUNTIF(MASTER!$L$2:$L$1944,I869)=0</f>
        <v>1</v>
      </c>
    </row>
    <row r="870" spans="6:10" x14ac:dyDescent="0.35">
      <c r="F870" s="2" t="s">
        <v>1863</v>
      </c>
      <c r="G870" s="2" t="b">
        <f>COUNTIF(MASTER!$A$2:$A$1944,F870)=0</f>
        <v>1</v>
      </c>
      <c r="H870" s="2"/>
      <c r="I870" s="2" t="s">
        <v>1864</v>
      </c>
      <c r="J870" s="2" t="b">
        <f>COUNTIF(MASTER!$L$2:$L$1944,I870)=0</f>
        <v>1</v>
      </c>
    </row>
    <row r="871" spans="6:10" x14ac:dyDescent="0.35">
      <c r="F871" s="2" t="s">
        <v>1865</v>
      </c>
      <c r="G871" s="2" t="b">
        <f>COUNTIF(MASTER!$A$2:$A$1944,F871)=0</f>
        <v>1</v>
      </c>
      <c r="H871" s="2"/>
      <c r="I871" s="2" t="s">
        <v>1866</v>
      </c>
      <c r="J871" s="2" t="b">
        <f>COUNTIF(MASTER!$L$2:$L$1944,I871)=0</f>
        <v>1</v>
      </c>
    </row>
    <row r="872" spans="6:10" x14ac:dyDescent="0.35">
      <c r="F872" s="2" t="s">
        <v>1867</v>
      </c>
      <c r="G872" s="2" t="b">
        <f>COUNTIF(MASTER!$A$2:$A$1944,F872)=0</f>
        <v>1</v>
      </c>
      <c r="H872" s="2"/>
      <c r="I872" s="2" t="s">
        <v>1868</v>
      </c>
      <c r="J872" s="2" t="b">
        <f>COUNTIF(MASTER!$L$2:$L$1944,I872)=0</f>
        <v>1</v>
      </c>
    </row>
    <row r="873" spans="6:10" x14ac:dyDescent="0.35">
      <c r="F873" s="2" t="s">
        <v>1869</v>
      </c>
      <c r="G873" s="2" t="b">
        <f>COUNTIF(MASTER!$A$2:$A$1944,F873)=0</f>
        <v>1</v>
      </c>
      <c r="H873" s="2"/>
      <c r="I873" s="2" t="s">
        <v>1870</v>
      </c>
      <c r="J873" s="2" t="b">
        <f>COUNTIF(MASTER!$L$2:$L$1944,I873)=0</f>
        <v>1</v>
      </c>
    </row>
    <row r="874" spans="6:10" x14ac:dyDescent="0.35">
      <c r="F874" s="2" t="s">
        <v>1871</v>
      </c>
      <c r="G874" s="2" t="b">
        <f>COUNTIF(MASTER!$A$2:$A$1944,F874)=0</f>
        <v>1</v>
      </c>
      <c r="H874" s="2"/>
      <c r="I874" s="2" t="s">
        <v>1872</v>
      </c>
      <c r="J874" s="2" t="b">
        <f>COUNTIF(MASTER!$L$2:$L$1944,I874)=0</f>
        <v>1</v>
      </c>
    </row>
    <row r="875" spans="6:10" x14ac:dyDescent="0.35">
      <c r="F875" s="2" t="s">
        <v>1873</v>
      </c>
      <c r="G875" s="2" t="b">
        <f>COUNTIF(MASTER!$A$2:$A$1944,F875)=0</f>
        <v>1</v>
      </c>
      <c r="H875" s="2"/>
      <c r="I875" s="2" t="s">
        <v>1874</v>
      </c>
      <c r="J875" s="2" t="b">
        <f>COUNTIF(MASTER!$L$2:$L$1944,I875)=0</f>
        <v>1</v>
      </c>
    </row>
    <row r="876" spans="6:10" x14ac:dyDescent="0.35">
      <c r="F876" s="2" t="s">
        <v>1875</v>
      </c>
      <c r="G876" s="2" t="b">
        <f>COUNTIF(MASTER!$A$2:$A$1944,F876)=0</f>
        <v>1</v>
      </c>
      <c r="H876" s="2"/>
      <c r="I876" s="2" t="s">
        <v>1876</v>
      </c>
      <c r="J876" s="2" t="b">
        <f>COUNTIF(MASTER!$L$2:$L$1944,I876)=0</f>
        <v>1</v>
      </c>
    </row>
    <row r="877" spans="6:10" x14ac:dyDescent="0.35">
      <c r="F877" s="2" t="s">
        <v>1877</v>
      </c>
      <c r="G877" s="2" t="b">
        <f>COUNTIF(MASTER!$A$2:$A$1944,F877)=0</f>
        <v>1</v>
      </c>
      <c r="H877" s="2"/>
      <c r="I877" s="2" t="s">
        <v>1878</v>
      </c>
      <c r="J877" s="2" t="b">
        <f>COUNTIF(MASTER!$L$2:$L$1944,I877)=0</f>
        <v>1</v>
      </c>
    </row>
    <row r="878" spans="6:10" x14ac:dyDescent="0.35">
      <c r="F878" s="2" t="s">
        <v>1879</v>
      </c>
      <c r="G878" s="2" t="b">
        <f>COUNTIF(MASTER!$A$2:$A$1944,F878)=0</f>
        <v>1</v>
      </c>
      <c r="H878" s="2"/>
      <c r="I878" s="2" t="s">
        <v>1880</v>
      </c>
      <c r="J878" s="2" t="b">
        <f>COUNTIF(MASTER!$L$2:$L$1944,I878)=0</f>
        <v>1</v>
      </c>
    </row>
    <row r="879" spans="6:10" x14ac:dyDescent="0.35">
      <c r="F879" s="2" t="s">
        <v>1881</v>
      </c>
      <c r="G879" s="2" t="b">
        <f>COUNTIF(MASTER!$A$2:$A$1944,F879)=0</f>
        <v>1</v>
      </c>
      <c r="H879" s="2"/>
      <c r="I879" s="2" t="s">
        <v>1882</v>
      </c>
      <c r="J879" s="2" t="b">
        <f>COUNTIF(MASTER!$L$2:$L$1944,I879)=0</f>
        <v>1</v>
      </c>
    </row>
    <row r="880" spans="6:10" x14ac:dyDescent="0.35">
      <c r="F880" s="2" t="s">
        <v>1883</v>
      </c>
      <c r="G880" s="2" t="b">
        <f>COUNTIF(MASTER!$A$2:$A$1944,F880)=0</f>
        <v>1</v>
      </c>
      <c r="H880" s="2"/>
      <c r="I880" s="2" t="s">
        <v>1884</v>
      </c>
      <c r="J880" s="2" t="b">
        <f>COUNTIF(MASTER!$L$2:$L$1944,I880)=0</f>
        <v>1</v>
      </c>
    </row>
    <row r="881" spans="6:10" x14ac:dyDescent="0.35">
      <c r="F881" s="2" t="s">
        <v>1885</v>
      </c>
      <c r="G881" s="2" t="b">
        <f>COUNTIF(MASTER!$A$2:$A$1944,F881)=0</f>
        <v>1</v>
      </c>
      <c r="H881" s="2"/>
      <c r="I881" s="2" t="s">
        <v>1886</v>
      </c>
      <c r="J881" s="2" t="b">
        <f>COUNTIF(MASTER!$L$2:$L$1944,I881)=0</f>
        <v>1</v>
      </c>
    </row>
    <row r="882" spans="6:10" x14ac:dyDescent="0.35">
      <c r="F882" s="2" t="s">
        <v>1887</v>
      </c>
      <c r="G882" s="2" t="b">
        <f>COUNTIF(MASTER!$A$2:$A$1944,F882)=0</f>
        <v>1</v>
      </c>
      <c r="H882" s="2"/>
      <c r="I882" s="2" t="s">
        <v>1888</v>
      </c>
      <c r="J882" s="2" t="b">
        <f>COUNTIF(MASTER!$L$2:$L$1944,I882)=0</f>
        <v>1</v>
      </c>
    </row>
    <row r="883" spans="6:10" x14ac:dyDescent="0.35">
      <c r="F883" s="2" t="s">
        <v>1889</v>
      </c>
      <c r="G883" s="2" t="b">
        <f>COUNTIF(MASTER!$A$2:$A$1944,F883)=0</f>
        <v>1</v>
      </c>
      <c r="H883" s="2"/>
      <c r="I883" s="2" t="s">
        <v>1890</v>
      </c>
      <c r="J883" s="2" t="b">
        <f>COUNTIF(MASTER!$L$2:$L$1944,I883)=0</f>
        <v>1</v>
      </c>
    </row>
    <row r="884" spans="6:10" x14ac:dyDescent="0.35">
      <c r="F884" s="2" t="s">
        <v>1891</v>
      </c>
      <c r="G884" s="2" t="b">
        <f>COUNTIF(MASTER!$A$2:$A$1944,F884)=0</f>
        <v>1</v>
      </c>
      <c r="H884" s="2"/>
      <c r="I884" s="2" t="s">
        <v>1892</v>
      </c>
      <c r="J884" s="2" t="b">
        <f>COUNTIF(MASTER!$L$2:$L$1944,I884)=0</f>
        <v>1</v>
      </c>
    </row>
    <row r="885" spans="6:10" x14ac:dyDescent="0.35">
      <c r="F885" s="2" t="s">
        <v>1893</v>
      </c>
      <c r="G885" s="2" t="b">
        <f>COUNTIF(MASTER!$A$2:$A$1944,F885)=0</f>
        <v>1</v>
      </c>
      <c r="H885" s="2"/>
      <c r="I885" s="2" t="s">
        <v>1894</v>
      </c>
      <c r="J885" s="2" t="b">
        <f>COUNTIF(MASTER!$L$2:$L$1944,I885)=0</f>
        <v>1</v>
      </c>
    </row>
    <row r="886" spans="6:10" x14ac:dyDescent="0.35">
      <c r="F886" s="2" t="s">
        <v>1895</v>
      </c>
      <c r="G886" s="2" t="b">
        <f>COUNTIF(MASTER!$A$2:$A$1944,F886)=0</f>
        <v>1</v>
      </c>
      <c r="H886" s="2"/>
      <c r="I886" s="2" t="s">
        <v>1896</v>
      </c>
      <c r="J886" s="2" t="b">
        <f>COUNTIF(MASTER!$L$2:$L$1944,I886)=0</f>
        <v>1</v>
      </c>
    </row>
    <row r="887" spans="6:10" x14ac:dyDescent="0.35">
      <c r="F887" s="2" t="s">
        <v>1897</v>
      </c>
      <c r="G887" s="2" t="b">
        <f>COUNTIF(MASTER!$A$2:$A$1944,F887)=0</f>
        <v>1</v>
      </c>
      <c r="H887" s="2"/>
      <c r="I887" s="2" t="s">
        <v>1898</v>
      </c>
      <c r="J887" s="2" t="b">
        <f>COUNTIF(MASTER!$L$2:$L$1944,I887)=0</f>
        <v>1</v>
      </c>
    </row>
    <row r="888" spans="6:10" x14ac:dyDescent="0.35">
      <c r="F888" s="2" t="s">
        <v>1899</v>
      </c>
      <c r="G888" s="2" t="b">
        <f>COUNTIF(MASTER!$A$2:$A$1944,F888)=0</f>
        <v>1</v>
      </c>
      <c r="H888" s="2"/>
      <c r="I888" s="2" t="s">
        <v>1900</v>
      </c>
      <c r="J888" s="2" t="b">
        <f>COUNTIF(MASTER!$L$2:$L$1944,I888)=0</f>
        <v>1</v>
      </c>
    </row>
    <row r="889" spans="6:10" x14ac:dyDescent="0.35">
      <c r="F889" s="2" t="s">
        <v>1901</v>
      </c>
      <c r="G889" s="2" t="b">
        <f>COUNTIF(MASTER!$A$2:$A$1944,F889)=0</f>
        <v>1</v>
      </c>
      <c r="H889" s="2"/>
      <c r="I889" s="2" t="s">
        <v>1902</v>
      </c>
      <c r="J889" s="2" t="b">
        <f>COUNTIF(MASTER!$L$2:$L$1944,I889)=0</f>
        <v>1</v>
      </c>
    </row>
    <row r="890" spans="6:10" x14ac:dyDescent="0.35">
      <c r="F890" s="2" t="s">
        <v>1903</v>
      </c>
      <c r="G890" s="2" t="b">
        <f>COUNTIF(MASTER!$A$2:$A$1944,F890)=0</f>
        <v>1</v>
      </c>
      <c r="H890" s="2"/>
      <c r="I890" s="2" t="s">
        <v>1904</v>
      </c>
      <c r="J890" s="2" t="b">
        <f>COUNTIF(MASTER!$L$2:$L$1944,I890)=0</f>
        <v>1</v>
      </c>
    </row>
    <row r="891" spans="6:10" x14ac:dyDescent="0.35">
      <c r="F891" s="2" t="s">
        <v>1905</v>
      </c>
      <c r="G891" s="2" t="b">
        <f>COUNTIF(MASTER!$A$2:$A$1944,F891)=0</f>
        <v>1</v>
      </c>
      <c r="H891" s="2"/>
      <c r="I891" s="2" t="s">
        <v>1906</v>
      </c>
      <c r="J891" s="2" t="b">
        <f>COUNTIF(MASTER!$L$2:$L$1944,I891)=0</f>
        <v>1</v>
      </c>
    </row>
    <row r="892" spans="6:10" x14ac:dyDescent="0.35">
      <c r="F892" s="2" t="s">
        <v>1907</v>
      </c>
      <c r="G892" s="2" t="b">
        <f>COUNTIF(MASTER!$A$2:$A$1944,F892)=0</f>
        <v>1</v>
      </c>
      <c r="H892" s="2"/>
      <c r="I892" s="2" t="s">
        <v>1908</v>
      </c>
      <c r="J892" s="2" t="b">
        <f>COUNTIF(MASTER!$L$2:$L$1944,I892)=0</f>
        <v>1</v>
      </c>
    </row>
    <row r="893" spans="6:10" x14ac:dyDescent="0.35">
      <c r="F893" s="2" t="s">
        <v>1909</v>
      </c>
      <c r="G893" s="2" t="b">
        <f>COUNTIF(MASTER!$A$2:$A$1944,F893)=0</f>
        <v>1</v>
      </c>
      <c r="H893" s="2"/>
      <c r="I893" s="2" t="s">
        <v>1910</v>
      </c>
      <c r="J893" s="2" t="b">
        <f>COUNTIF(MASTER!$L$2:$L$1944,I893)=0</f>
        <v>1</v>
      </c>
    </row>
    <row r="894" spans="6:10" x14ac:dyDescent="0.35">
      <c r="F894" s="2" t="s">
        <v>1911</v>
      </c>
      <c r="G894" s="2" t="b">
        <f>COUNTIF(MASTER!$A$2:$A$1944,F894)=0</f>
        <v>1</v>
      </c>
      <c r="H894" s="2"/>
      <c r="I894" s="2" t="s">
        <v>1912</v>
      </c>
      <c r="J894" s="2" t="b">
        <f>COUNTIF(MASTER!$L$2:$L$1944,I894)=0</f>
        <v>1</v>
      </c>
    </row>
    <row r="895" spans="6:10" x14ac:dyDescent="0.35">
      <c r="F895" s="2" t="s">
        <v>1913</v>
      </c>
      <c r="G895" s="2" t="b">
        <f>COUNTIF(MASTER!$A$2:$A$1944,F895)=0</f>
        <v>1</v>
      </c>
      <c r="H895" s="2"/>
      <c r="I895" s="2" t="s">
        <v>1914</v>
      </c>
      <c r="J895" s="2" t="b">
        <f>COUNTIF(MASTER!$L$2:$L$1944,I895)=0</f>
        <v>1</v>
      </c>
    </row>
    <row r="896" spans="6:10" x14ac:dyDescent="0.35">
      <c r="F896" s="2" t="s">
        <v>1915</v>
      </c>
      <c r="G896" s="2" t="b">
        <f>COUNTIF(MASTER!$A$2:$A$1944,F896)=0</f>
        <v>1</v>
      </c>
      <c r="H896" s="2"/>
      <c r="I896" s="2" t="s">
        <v>1916</v>
      </c>
      <c r="J896" s="2" t="b">
        <f>COUNTIF(MASTER!$L$2:$L$1944,I896)=0</f>
        <v>1</v>
      </c>
    </row>
    <row r="897" spans="6:10" x14ac:dyDescent="0.35">
      <c r="F897" s="2" t="s">
        <v>1917</v>
      </c>
      <c r="G897" s="2" t="b">
        <f>COUNTIF(MASTER!$A$2:$A$1944,F897)=0</f>
        <v>1</v>
      </c>
      <c r="H897" s="2"/>
      <c r="I897" s="2" t="s">
        <v>1918</v>
      </c>
      <c r="J897" s="2" t="b">
        <f>COUNTIF(MASTER!$L$2:$L$1944,I897)=0</f>
        <v>1</v>
      </c>
    </row>
    <row r="898" spans="6:10" x14ac:dyDescent="0.35">
      <c r="F898" s="2" t="s">
        <v>1919</v>
      </c>
      <c r="G898" s="2" t="b">
        <f>COUNTIF(MASTER!$A$2:$A$1944,F898)=0</f>
        <v>1</v>
      </c>
      <c r="H898" s="2"/>
      <c r="I898" s="2" t="s">
        <v>1920</v>
      </c>
      <c r="J898" s="2" t="b">
        <f>COUNTIF(MASTER!$L$2:$L$1944,I898)=0</f>
        <v>1</v>
      </c>
    </row>
    <row r="899" spans="6:10" x14ac:dyDescent="0.35">
      <c r="F899" s="2" t="s">
        <v>1921</v>
      </c>
      <c r="G899" s="2" t="b">
        <f>COUNTIF(MASTER!$A$2:$A$1944,F899)=0</f>
        <v>1</v>
      </c>
      <c r="H899" s="2"/>
      <c r="I899" s="2" t="s">
        <v>1922</v>
      </c>
      <c r="J899" s="2" t="b">
        <f>COUNTIF(MASTER!$L$2:$L$1944,I899)=0</f>
        <v>1</v>
      </c>
    </row>
    <row r="900" spans="6:10" x14ac:dyDescent="0.35">
      <c r="F900" s="2" t="s">
        <v>1923</v>
      </c>
      <c r="G900" s="2" t="b">
        <f>COUNTIF(MASTER!$A$2:$A$1944,F900)=0</f>
        <v>1</v>
      </c>
      <c r="H900" s="2"/>
      <c r="I900" s="2" t="s">
        <v>1924</v>
      </c>
      <c r="J900" s="2" t="b">
        <f>COUNTIF(MASTER!$L$2:$L$1944,I900)=0</f>
        <v>1</v>
      </c>
    </row>
    <row r="901" spans="6:10" x14ac:dyDescent="0.35">
      <c r="F901" s="2" t="s">
        <v>1925</v>
      </c>
      <c r="G901" s="2" t="b">
        <f>COUNTIF(MASTER!$A$2:$A$1944,F901)=0</f>
        <v>1</v>
      </c>
      <c r="H901" s="2"/>
      <c r="I901" s="2" t="s">
        <v>1926</v>
      </c>
      <c r="J901" s="2" t="b">
        <f>COUNTIF(MASTER!$L$2:$L$1944,I901)=0</f>
        <v>1</v>
      </c>
    </row>
    <row r="902" spans="6:10" x14ac:dyDescent="0.35">
      <c r="F902" s="2" t="s">
        <v>1927</v>
      </c>
      <c r="G902" s="2" t="b">
        <f>COUNTIF(MASTER!$A$2:$A$1944,F902)=0</f>
        <v>1</v>
      </c>
      <c r="H902" s="2"/>
      <c r="I902" s="2" t="s">
        <v>1928</v>
      </c>
      <c r="J902" s="2" t="b">
        <f>COUNTIF(MASTER!$L$2:$L$1944,I902)=0</f>
        <v>1</v>
      </c>
    </row>
    <row r="903" spans="6:10" x14ac:dyDescent="0.35">
      <c r="F903" s="2" t="s">
        <v>1929</v>
      </c>
      <c r="G903" s="2" t="b">
        <f>COUNTIF(MASTER!$A$2:$A$1944,F903)=0</f>
        <v>1</v>
      </c>
      <c r="H903" s="2"/>
      <c r="I903" s="2" t="s">
        <v>1930</v>
      </c>
      <c r="J903" s="2" t="b">
        <f>COUNTIF(MASTER!$L$2:$L$1944,I903)=0</f>
        <v>1</v>
      </c>
    </row>
    <row r="904" spans="6:10" x14ac:dyDescent="0.35">
      <c r="F904" s="2" t="s">
        <v>1931</v>
      </c>
      <c r="G904" s="2" t="b">
        <f>COUNTIF(MASTER!$A$2:$A$1944,F904)=0</f>
        <v>1</v>
      </c>
      <c r="H904" s="2"/>
      <c r="I904" s="2" t="s">
        <v>1932</v>
      </c>
      <c r="J904" s="2" t="b">
        <f>COUNTIF(MASTER!$L$2:$L$1944,I904)=0</f>
        <v>1</v>
      </c>
    </row>
    <row r="905" spans="6:10" x14ac:dyDescent="0.35">
      <c r="F905" s="2" t="s">
        <v>1933</v>
      </c>
      <c r="G905" s="2" t="b">
        <f>COUNTIF(MASTER!$A$2:$A$1944,F905)=0</f>
        <v>1</v>
      </c>
      <c r="H905" s="2"/>
      <c r="I905" s="2" t="s">
        <v>1934</v>
      </c>
      <c r="J905" s="2" t="b">
        <f>COUNTIF(MASTER!$L$2:$L$1944,I905)=0</f>
        <v>1</v>
      </c>
    </row>
    <row r="906" spans="6:10" x14ac:dyDescent="0.35">
      <c r="F906" s="2" t="s">
        <v>1935</v>
      </c>
      <c r="G906" s="2" t="b">
        <f>COUNTIF(MASTER!$A$2:$A$1944,F906)=0</f>
        <v>1</v>
      </c>
      <c r="H906" s="2"/>
      <c r="I906" s="2" t="s">
        <v>1936</v>
      </c>
      <c r="J906" s="2" t="b">
        <f>COUNTIF(MASTER!$L$2:$L$1944,I906)=0</f>
        <v>1</v>
      </c>
    </row>
    <row r="907" spans="6:10" x14ac:dyDescent="0.35">
      <c r="F907" s="2" t="s">
        <v>1937</v>
      </c>
      <c r="G907" s="2" t="b">
        <f>COUNTIF(MASTER!$A$2:$A$1944,F907)=0</f>
        <v>1</v>
      </c>
      <c r="H907" s="2"/>
      <c r="I907" s="2" t="s">
        <v>1938</v>
      </c>
      <c r="J907" s="2" t="b">
        <f>COUNTIF(MASTER!$L$2:$L$1944,I907)=0</f>
        <v>1</v>
      </c>
    </row>
    <row r="908" spans="6:10" x14ac:dyDescent="0.35">
      <c r="F908" s="2" t="s">
        <v>1939</v>
      </c>
      <c r="G908" s="2" t="b">
        <f>COUNTIF(MASTER!$A$2:$A$1944,F908)=0</f>
        <v>1</v>
      </c>
      <c r="H908" s="2"/>
      <c r="I908" s="2" t="s">
        <v>1940</v>
      </c>
      <c r="J908" s="2" t="b">
        <f>COUNTIF(MASTER!$L$2:$L$1944,I908)=0</f>
        <v>1</v>
      </c>
    </row>
    <row r="909" spans="6:10" x14ac:dyDescent="0.35">
      <c r="F909" s="2" t="s">
        <v>1941</v>
      </c>
      <c r="G909" s="2" t="b">
        <f>COUNTIF(MASTER!$A$2:$A$1944,F909)=0</f>
        <v>1</v>
      </c>
      <c r="H909" s="2"/>
      <c r="I909" s="2" t="s">
        <v>1942</v>
      </c>
      <c r="J909" s="2" t="b">
        <f>COUNTIF(MASTER!$L$2:$L$1944,I909)=0</f>
        <v>1</v>
      </c>
    </row>
    <row r="910" spans="6:10" x14ac:dyDescent="0.35">
      <c r="F910" s="2" t="s">
        <v>1943</v>
      </c>
      <c r="G910" s="2" t="b">
        <f>COUNTIF(MASTER!$A$2:$A$1944,F910)=0</f>
        <v>1</v>
      </c>
      <c r="H910" s="2"/>
      <c r="I910" s="2" t="s">
        <v>1944</v>
      </c>
      <c r="J910" s="2" t="b">
        <f>COUNTIF(MASTER!$L$2:$L$1944,I910)=0</f>
        <v>1</v>
      </c>
    </row>
    <row r="911" spans="6:10" x14ac:dyDescent="0.35">
      <c r="F911" s="2" t="s">
        <v>1945</v>
      </c>
      <c r="G911" s="2" t="b">
        <f>COUNTIF(MASTER!$A$2:$A$1944,F911)=0</f>
        <v>1</v>
      </c>
      <c r="H911" s="2"/>
      <c r="I911" s="2" t="s">
        <v>1946</v>
      </c>
      <c r="J911" s="2" t="b">
        <f>COUNTIF(MASTER!$L$2:$L$1944,I911)=0</f>
        <v>1</v>
      </c>
    </row>
    <row r="912" spans="6:10" x14ac:dyDescent="0.35">
      <c r="F912" s="2" t="s">
        <v>1947</v>
      </c>
      <c r="G912" s="2" t="b">
        <f>COUNTIF(MASTER!$A$2:$A$1944,F912)=0</f>
        <v>1</v>
      </c>
      <c r="H912" s="2"/>
      <c r="I912" s="2" t="s">
        <v>1948</v>
      </c>
      <c r="J912" s="2" t="b">
        <f>COUNTIF(MASTER!$L$2:$L$1944,I912)=0</f>
        <v>1</v>
      </c>
    </row>
    <row r="913" spans="6:10" x14ac:dyDescent="0.35">
      <c r="F913" s="2" t="s">
        <v>1949</v>
      </c>
      <c r="G913" s="2" t="b">
        <f>COUNTIF(MASTER!$A$2:$A$1944,F913)=0</f>
        <v>1</v>
      </c>
      <c r="H913" s="2"/>
      <c r="I913" s="2" t="s">
        <v>1950</v>
      </c>
      <c r="J913" s="2" t="b">
        <f>COUNTIF(MASTER!$L$2:$L$1944,I913)=0</f>
        <v>1</v>
      </c>
    </row>
    <row r="914" spans="6:10" x14ac:dyDescent="0.35">
      <c r="F914" s="2" t="s">
        <v>1951</v>
      </c>
      <c r="G914" s="2" t="b">
        <f>COUNTIF(MASTER!$A$2:$A$1944,F914)=0</f>
        <v>1</v>
      </c>
      <c r="H914" s="2"/>
      <c r="I914" s="2" t="s">
        <v>1952</v>
      </c>
      <c r="J914" s="2" t="b">
        <f>COUNTIF(MASTER!$L$2:$L$1944,I914)=0</f>
        <v>1</v>
      </c>
    </row>
    <row r="915" spans="6:10" x14ac:dyDescent="0.35">
      <c r="F915" s="2" t="s">
        <v>1953</v>
      </c>
      <c r="G915" s="2" t="b">
        <f>COUNTIF(MASTER!$A$2:$A$1944,F915)=0</f>
        <v>1</v>
      </c>
      <c r="H915" s="2"/>
      <c r="I915" s="2" t="s">
        <v>1954</v>
      </c>
      <c r="J915" s="2" t="b">
        <f>COUNTIF(MASTER!$L$2:$L$1944,I915)=0</f>
        <v>1</v>
      </c>
    </row>
    <row r="916" spans="6:10" x14ac:dyDescent="0.35">
      <c r="F916" s="2" t="s">
        <v>1955</v>
      </c>
      <c r="G916" s="2" t="b">
        <f>COUNTIF(MASTER!$A$2:$A$1944,F916)=0</f>
        <v>1</v>
      </c>
      <c r="H916" s="2"/>
      <c r="I916" s="2" t="s">
        <v>1956</v>
      </c>
      <c r="J916" s="2" t="b">
        <f>COUNTIF(MASTER!$L$2:$L$1944,I916)=0</f>
        <v>1</v>
      </c>
    </row>
    <row r="917" spans="6:10" x14ac:dyDescent="0.35">
      <c r="F917" s="2" t="s">
        <v>1957</v>
      </c>
      <c r="G917" s="2" t="b">
        <f>COUNTIF(MASTER!$A$2:$A$1944,F917)=0</f>
        <v>1</v>
      </c>
      <c r="H917" s="2"/>
      <c r="I917" s="2" t="s">
        <v>1958</v>
      </c>
      <c r="J917" s="2" t="b">
        <f>COUNTIF(MASTER!$L$2:$L$1944,I917)=0</f>
        <v>1</v>
      </c>
    </row>
    <row r="918" spans="6:10" x14ac:dyDescent="0.35">
      <c r="F918" s="2" t="s">
        <v>1959</v>
      </c>
      <c r="G918" s="2" t="b">
        <f>COUNTIF(MASTER!$A$2:$A$1944,F918)=0</f>
        <v>1</v>
      </c>
      <c r="H918" s="2"/>
      <c r="I918" s="2" t="s">
        <v>1960</v>
      </c>
      <c r="J918" s="2" t="b">
        <f>COUNTIF(MASTER!$L$2:$L$1944,I918)=0</f>
        <v>1</v>
      </c>
    </row>
    <row r="919" spans="6:10" x14ac:dyDescent="0.35">
      <c r="F919" s="2" t="s">
        <v>1961</v>
      </c>
      <c r="G919" s="2" t="b">
        <f>COUNTIF(MASTER!$A$2:$A$1944,F919)=0</f>
        <v>1</v>
      </c>
      <c r="H919" s="2"/>
      <c r="I919" s="2" t="s">
        <v>1962</v>
      </c>
      <c r="J919" s="2" t="b">
        <f>COUNTIF(MASTER!$L$2:$L$1944,I919)=0</f>
        <v>1</v>
      </c>
    </row>
    <row r="920" spans="6:10" x14ac:dyDescent="0.35">
      <c r="F920" s="2" t="s">
        <v>1963</v>
      </c>
      <c r="G920" s="2" t="b">
        <f>COUNTIF(MASTER!$A$2:$A$1944,F920)=0</f>
        <v>1</v>
      </c>
      <c r="H920" s="2"/>
      <c r="I920" s="2" t="s">
        <v>1964</v>
      </c>
      <c r="J920" s="2" t="b">
        <f>COUNTIF(MASTER!$L$2:$L$1944,I920)=0</f>
        <v>1</v>
      </c>
    </row>
    <row r="921" spans="6:10" x14ac:dyDescent="0.35">
      <c r="F921" s="2" t="s">
        <v>1965</v>
      </c>
      <c r="G921" s="2" t="b">
        <f>COUNTIF(MASTER!$A$2:$A$1944,F921)=0</f>
        <v>1</v>
      </c>
      <c r="H921" s="2"/>
      <c r="I921" s="2" t="s">
        <v>1966</v>
      </c>
      <c r="J921" s="2" t="b">
        <f>COUNTIF(MASTER!$L$2:$L$1944,I921)=0</f>
        <v>1</v>
      </c>
    </row>
    <row r="922" spans="6:10" x14ac:dyDescent="0.35">
      <c r="F922" s="2" t="s">
        <v>1967</v>
      </c>
      <c r="G922" s="2" t="b">
        <f>COUNTIF(MASTER!$A$2:$A$1944,F922)=0</f>
        <v>1</v>
      </c>
      <c r="H922" s="2"/>
      <c r="I922" s="2" t="s">
        <v>1968</v>
      </c>
      <c r="J922" s="2" t="b">
        <f>COUNTIF(MASTER!$L$2:$L$1944,I922)=0</f>
        <v>1</v>
      </c>
    </row>
    <row r="923" spans="6:10" x14ac:dyDescent="0.35">
      <c r="F923" s="2" t="s">
        <v>1969</v>
      </c>
      <c r="G923" s="2" t="b">
        <f>COUNTIF(MASTER!$A$2:$A$1944,F923)=0</f>
        <v>1</v>
      </c>
      <c r="H923" s="2"/>
      <c r="I923" s="2" t="s">
        <v>1970</v>
      </c>
      <c r="J923" s="2" t="b">
        <f>COUNTIF(MASTER!$L$2:$L$1944,I923)=0</f>
        <v>1</v>
      </c>
    </row>
    <row r="924" spans="6:10" x14ac:dyDescent="0.35">
      <c r="F924" s="2" t="s">
        <v>1971</v>
      </c>
      <c r="G924" s="2" t="b">
        <f>COUNTIF(MASTER!$A$2:$A$1944,F924)=0</f>
        <v>1</v>
      </c>
      <c r="H924" s="2"/>
      <c r="I924" s="2" t="s">
        <v>1972</v>
      </c>
      <c r="J924" s="2" t="b">
        <f>COUNTIF(MASTER!$L$2:$L$1944,I924)=0</f>
        <v>1</v>
      </c>
    </row>
    <row r="925" spans="6:10" x14ac:dyDescent="0.35">
      <c r="F925" s="2" t="s">
        <v>1973</v>
      </c>
      <c r="G925" s="2" t="b">
        <f>COUNTIF(MASTER!$A$2:$A$1944,F925)=0</f>
        <v>1</v>
      </c>
      <c r="H925" s="2"/>
      <c r="I925" s="2" t="s">
        <v>1974</v>
      </c>
      <c r="J925" s="2" t="b">
        <f>COUNTIF(MASTER!$L$2:$L$1944,I925)=0</f>
        <v>1</v>
      </c>
    </row>
    <row r="926" spans="6:10" x14ac:dyDescent="0.35">
      <c r="F926" s="2" t="s">
        <v>1975</v>
      </c>
      <c r="G926" s="2" t="b">
        <f>COUNTIF(MASTER!$A$2:$A$1944,F926)=0</f>
        <v>1</v>
      </c>
      <c r="H926" s="2"/>
      <c r="I926" s="2" t="s">
        <v>1976</v>
      </c>
      <c r="J926" s="2" t="b">
        <f>COUNTIF(MASTER!$L$2:$L$1944,I926)=0</f>
        <v>1</v>
      </c>
    </row>
    <row r="927" spans="6:10" x14ac:dyDescent="0.35">
      <c r="F927" s="2" t="s">
        <v>1977</v>
      </c>
      <c r="G927" s="2" t="b">
        <f>COUNTIF(MASTER!$A$2:$A$1944,F927)=0</f>
        <v>1</v>
      </c>
      <c r="H927" s="2"/>
      <c r="I927" s="2" t="s">
        <v>1978</v>
      </c>
      <c r="J927" s="2" t="b">
        <f>COUNTIF(MASTER!$L$2:$L$1944,I927)=0</f>
        <v>1</v>
      </c>
    </row>
    <row r="928" spans="6:10" x14ac:dyDescent="0.35">
      <c r="F928" s="2" t="s">
        <v>1979</v>
      </c>
      <c r="G928" s="2" t="b">
        <f>COUNTIF(MASTER!$A$2:$A$1944,F928)=0</f>
        <v>1</v>
      </c>
      <c r="H928" s="2"/>
      <c r="I928" s="2" t="s">
        <v>1980</v>
      </c>
      <c r="J928" s="2" t="b">
        <f>COUNTIF(MASTER!$L$2:$L$1944,I928)=0</f>
        <v>1</v>
      </c>
    </row>
    <row r="929" spans="6:10" x14ac:dyDescent="0.35">
      <c r="F929" s="2" t="s">
        <v>1981</v>
      </c>
      <c r="G929" s="2" t="b">
        <f>COUNTIF(MASTER!$A$2:$A$1944,F929)=0</f>
        <v>1</v>
      </c>
      <c r="H929" s="2"/>
      <c r="I929" s="2" t="s">
        <v>1982</v>
      </c>
      <c r="J929" s="2" t="b">
        <f>COUNTIF(MASTER!$L$2:$L$1944,I929)=0</f>
        <v>1</v>
      </c>
    </row>
    <row r="930" spans="6:10" x14ac:dyDescent="0.35">
      <c r="F930" s="2" t="s">
        <v>1983</v>
      </c>
      <c r="G930" s="2" t="b">
        <f>COUNTIF(MASTER!$A$2:$A$1944,F930)=0</f>
        <v>1</v>
      </c>
      <c r="H930" s="2"/>
      <c r="I930" s="2" t="s">
        <v>1984</v>
      </c>
      <c r="J930" s="2" t="b">
        <f>COUNTIF(MASTER!$L$2:$L$1944,I930)=0</f>
        <v>1</v>
      </c>
    </row>
    <row r="931" spans="6:10" x14ac:dyDescent="0.35">
      <c r="F931" s="2" t="s">
        <v>1985</v>
      </c>
      <c r="G931" s="2" t="b">
        <f>COUNTIF(MASTER!$A$2:$A$1944,F931)=0</f>
        <v>1</v>
      </c>
      <c r="H931" s="2"/>
      <c r="I931" s="2" t="s">
        <v>1986</v>
      </c>
      <c r="J931" s="2" t="b">
        <f>COUNTIF(MASTER!$L$2:$L$1944,I931)=0</f>
        <v>1</v>
      </c>
    </row>
    <row r="932" spans="6:10" x14ac:dyDescent="0.35">
      <c r="F932" s="2" t="s">
        <v>1987</v>
      </c>
      <c r="G932" s="2" t="b">
        <f>COUNTIF(MASTER!$A$2:$A$1944,F932)=0</f>
        <v>1</v>
      </c>
      <c r="H932" s="2"/>
      <c r="I932" s="2" t="s">
        <v>1988</v>
      </c>
      <c r="J932" s="2" t="b">
        <f>COUNTIF(MASTER!$L$2:$L$1944,I932)=0</f>
        <v>1</v>
      </c>
    </row>
    <row r="933" spans="6:10" x14ac:dyDescent="0.35">
      <c r="F933" s="2" t="s">
        <v>1989</v>
      </c>
      <c r="G933" s="2" t="b">
        <f>COUNTIF(MASTER!$A$2:$A$1944,F933)=0</f>
        <v>1</v>
      </c>
      <c r="H933" s="2"/>
      <c r="I933" s="2" t="s">
        <v>1990</v>
      </c>
      <c r="J933" s="2" t="b">
        <f>COUNTIF(MASTER!$L$2:$L$1944,I933)=0</f>
        <v>1</v>
      </c>
    </row>
    <row r="934" spans="6:10" x14ac:dyDescent="0.35">
      <c r="F934" s="2" t="s">
        <v>1991</v>
      </c>
      <c r="G934" s="2" t="b">
        <f>COUNTIF(MASTER!$A$2:$A$1944,F934)=0</f>
        <v>1</v>
      </c>
      <c r="H934" s="2"/>
      <c r="I934" s="2" t="s">
        <v>1992</v>
      </c>
      <c r="J934" s="2" t="b">
        <f>COUNTIF(MASTER!$L$2:$L$1944,I934)=0</f>
        <v>1</v>
      </c>
    </row>
    <row r="935" spans="6:10" x14ac:dyDescent="0.35">
      <c r="F935" s="2" t="s">
        <v>1993</v>
      </c>
      <c r="G935" s="2" t="b">
        <f>COUNTIF(MASTER!$A$2:$A$1944,F935)=0</f>
        <v>1</v>
      </c>
      <c r="H935" s="2"/>
      <c r="I935" s="2" t="s">
        <v>1994</v>
      </c>
      <c r="J935" s="2" t="b">
        <f>COUNTIF(MASTER!$L$2:$L$1944,I935)=0</f>
        <v>1</v>
      </c>
    </row>
    <row r="936" spans="6:10" x14ac:dyDescent="0.35">
      <c r="F936" s="2" t="s">
        <v>1995</v>
      </c>
      <c r="G936" s="2" t="b">
        <f>COUNTIF(MASTER!$A$2:$A$1944,F936)=0</f>
        <v>1</v>
      </c>
      <c r="H936" s="2"/>
      <c r="I936" s="2" t="s">
        <v>1996</v>
      </c>
      <c r="J936" s="2" t="b">
        <f>COUNTIF(MASTER!$L$2:$L$1944,I936)=0</f>
        <v>1</v>
      </c>
    </row>
    <row r="937" spans="6:10" x14ac:dyDescent="0.35">
      <c r="F937" s="2" t="s">
        <v>1997</v>
      </c>
      <c r="G937" s="2" t="b">
        <f>COUNTIF(MASTER!$A$2:$A$1944,F937)=0</f>
        <v>1</v>
      </c>
      <c r="H937" s="2"/>
      <c r="I937" s="2" t="s">
        <v>1998</v>
      </c>
      <c r="J937" s="2" t="b">
        <f>COUNTIF(MASTER!$L$2:$L$1944,I937)=0</f>
        <v>1</v>
      </c>
    </row>
    <row r="938" spans="6:10" x14ac:dyDescent="0.35">
      <c r="F938" s="2" t="s">
        <v>1999</v>
      </c>
      <c r="G938" s="2" t="b">
        <f>COUNTIF(MASTER!$A$2:$A$1944,F938)=0</f>
        <v>1</v>
      </c>
      <c r="H938" s="2"/>
      <c r="I938" s="2" t="s">
        <v>2000</v>
      </c>
      <c r="J938" s="2" t="b">
        <f>COUNTIF(MASTER!$L$2:$L$1944,I938)=0</f>
        <v>1</v>
      </c>
    </row>
    <row r="939" spans="6:10" x14ac:dyDescent="0.35">
      <c r="F939" s="2" t="s">
        <v>2001</v>
      </c>
      <c r="G939" s="2" t="b">
        <f>COUNTIF(MASTER!$A$2:$A$1944,F939)=0</f>
        <v>1</v>
      </c>
      <c r="H939" s="2"/>
      <c r="I939" s="2" t="s">
        <v>2002</v>
      </c>
      <c r="J939" s="2" t="b">
        <f>COUNTIF(MASTER!$L$2:$L$1944,I939)=0</f>
        <v>1</v>
      </c>
    </row>
    <row r="940" spans="6:10" x14ac:dyDescent="0.35">
      <c r="F940" s="2" t="s">
        <v>2003</v>
      </c>
      <c r="G940" s="2" t="b">
        <f>COUNTIF(MASTER!$A$2:$A$1944,F940)=0</f>
        <v>1</v>
      </c>
      <c r="H940" s="2"/>
      <c r="I940" s="2" t="s">
        <v>2004</v>
      </c>
      <c r="J940" s="2" t="b">
        <f>COUNTIF(MASTER!$L$2:$L$1944,I940)=0</f>
        <v>1</v>
      </c>
    </row>
    <row r="941" spans="6:10" x14ac:dyDescent="0.35">
      <c r="F941" s="2" t="s">
        <v>2005</v>
      </c>
      <c r="G941" s="2" t="b">
        <f>COUNTIF(MASTER!$A$2:$A$1944,F941)=0</f>
        <v>1</v>
      </c>
      <c r="H941" s="2"/>
      <c r="I941" s="2" t="s">
        <v>2006</v>
      </c>
      <c r="J941" s="2" t="b">
        <f>COUNTIF(MASTER!$L$2:$L$1944,I941)=0</f>
        <v>1</v>
      </c>
    </row>
    <row r="942" spans="6:10" x14ac:dyDescent="0.35">
      <c r="F942" s="2" t="s">
        <v>2007</v>
      </c>
      <c r="G942" s="2" t="b">
        <f>COUNTIF(MASTER!$A$2:$A$1944,F942)=0</f>
        <v>1</v>
      </c>
      <c r="H942" s="2"/>
      <c r="I942" s="2" t="s">
        <v>2008</v>
      </c>
      <c r="J942" s="2" t="b">
        <f>COUNTIF(MASTER!$L$2:$L$1944,I942)=0</f>
        <v>1</v>
      </c>
    </row>
    <row r="943" spans="6:10" x14ac:dyDescent="0.35">
      <c r="F943" s="2" t="s">
        <v>2009</v>
      </c>
      <c r="G943" s="2" t="b">
        <f>COUNTIF(MASTER!$A$2:$A$1944,F943)=0</f>
        <v>1</v>
      </c>
      <c r="H943" s="2"/>
      <c r="I943" s="2" t="s">
        <v>2010</v>
      </c>
      <c r="J943" s="2" t="b">
        <f>COUNTIF(MASTER!$L$2:$L$1944,I943)=0</f>
        <v>1</v>
      </c>
    </row>
    <row r="944" spans="6:10" x14ac:dyDescent="0.35">
      <c r="F944" s="2" t="s">
        <v>2011</v>
      </c>
      <c r="G944" s="2" t="b">
        <f>COUNTIF(MASTER!$A$2:$A$1944,F944)=0</f>
        <v>1</v>
      </c>
      <c r="H944" s="2"/>
      <c r="I944" s="2" t="s">
        <v>2012</v>
      </c>
      <c r="J944" s="2" t="b">
        <f>COUNTIF(MASTER!$L$2:$L$1944,I944)=0</f>
        <v>1</v>
      </c>
    </row>
    <row r="945" spans="6:10" x14ac:dyDescent="0.35">
      <c r="F945" s="2" t="s">
        <v>2013</v>
      </c>
      <c r="G945" s="2" t="b">
        <f>COUNTIF(MASTER!$A$2:$A$1944,F945)=0</f>
        <v>1</v>
      </c>
      <c r="H945" s="2"/>
      <c r="I945" s="2" t="s">
        <v>2014</v>
      </c>
      <c r="J945" s="2" t="b">
        <f>COUNTIF(MASTER!$L$2:$L$1944,I945)=0</f>
        <v>1</v>
      </c>
    </row>
    <row r="946" spans="6:10" x14ac:dyDescent="0.35">
      <c r="F946" s="2" t="s">
        <v>2015</v>
      </c>
      <c r="G946" s="2" t="b">
        <f>COUNTIF(MASTER!$A$2:$A$1944,F946)=0</f>
        <v>1</v>
      </c>
      <c r="H946" s="2"/>
      <c r="I946" s="2" t="s">
        <v>2016</v>
      </c>
      <c r="J946" s="2" t="b">
        <f>COUNTIF(MASTER!$L$2:$L$1944,I946)=0</f>
        <v>1</v>
      </c>
    </row>
    <row r="947" spans="6:10" x14ac:dyDescent="0.35">
      <c r="F947" s="2" t="s">
        <v>2017</v>
      </c>
      <c r="G947" s="2" t="b">
        <f>COUNTIF(MASTER!$A$2:$A$1944,F947)=0</f>
        <v>1</v>
      </c>
      <c r="H947" s="2"/>
      <c r="I947" s="2" t="s">
        <v>2018</v>
      </c>
      <c r="J947" s="2" t="b">
        <f>COUNTIF(MASTER!$L$2:$L$1944,I947)=0</f>
        <v>1</v>
      </c>
    </row>
    <row r="948" spans="6:10" x14ac:dyDescent="0.35">
      <c r="F948" s="2" t="s">
        <v>2019</v>
      </c>
      <c r="G948" s="2" t="b">
        <f>COUNTIF(MASTER!$A$2:$A$1944,F948)=0</f>
        <v>1</v>
      </c>
      <c r="H948" s="2"/>
      <c r="I948" s="2" t="s">
        <v>2020</v>
      </c>
      <c r="J948" s="2" t="b">
        <f>COUNTIF(MASTER!$L$2:$L$1944,I948)=0</f>
        <v>1</v>
      </c>
    </row>
    <row r="949" spans="6:10" x14ac:dyDescent="0.35">
      <c r="F949" s="2" t="s">
        <v>2021</v>
      </c>
      <c r="G949" s="2" t="b">
        <f>COUNTIF(MASTER!$A$2:$A$1944,F949)=0</f>
        <v>1</v>
      </c>
      <c r="H949" s="2"/>
      <c r="I949" s="2" t="s">
        <v>2022</v>
      </c>
      <c r="J949" s="2" t="b">
        <f>COUNTIF(MASTER!$L$2:$L$1944,I949)=0</f>
        <v>1</v>
      </c>
    </row>
    <row r="950" spans="6:10" x14ac:dyDescent="0.35">
      <c r="F950" s="2" t="s">
        <v>2023</v>
      </c>
      <c r="G950" s="2" t="b">
        <f>COUNTIF(MASTER!$A$2:$A$1944,F950)=0</f>
        <v>1</v>
      </c>
      <c r="H950" s="2"/>
      <c r="I950" s="2" t="s">
        <v>2024</v>
      </c>
      <c r="J950" s="2" t="b">
        <f>COUNTIF(MASTER!$L$2:$L$1944,I950)=0</f>
        <v>1</v>
      </c>
    </row>
    <row r="951" spans="6:10" x14ac:dyDescent="0.35">
      <c r="F951" s="2" t="s">
        <v>2025</v>
      </c>
      <c r="G951" s="2" t="b">
        <f>COUNTIF(MASTER!$A$2:$A$1944,F951)=0</f>
        <v>1</v>
      </c>
      <c r="H951" s="2"/>
      <c r="I951" s="2" t="s">
        <v>2026</v>
      </c>
      <c r="J951" s="2" t="b">
        <f>COUNTIF(MASTER!$L$2:$L$1944,I951)=0</f>
        <v>1</v>
      </c>
    </row>
    <row r="952" spans="6:10" x14ac:dyDescent="0.35">
      <c r="F952" s="2" t="s">
        <v>2027</v>
      </c>
      <c r="G952" s="2" t="b">
        <f>COUNTIF(MASTER!$A$2:$A$1944,F952)=0</f>
        <v>1</v>
      </c>
      <c r="H952" s="2"/>
      <c r="I952" s="2" t="s">
        <v>2028</v>
      </c>
      <c r="J952" s="2" t="b">
        <f>COUNTIF(MASTER!$L$2:$L$1944,I952)=0</f>
        <v>1</v>
      </c>
    </row>
    <row r="953" spans="6:10" x14ac:dyDescent="0.35">
      <c r="F953" s="2" t="s">
        <v>2029</v>
      </c>
      <c r="G953" s="2" t="b">
        <f>COUNTIF(MASTER!$A$2:$A$1944,F953)=0</f>
        <v>1</v>
      </c>
      <c r="H953" s="2"/>
      <c r="I953" s="2" t="s">
        <v>2030</v>
      </c>
      <c r="J953" s="2" t="b">
        <f>COUNTIF(MASTER!$L$2:$L$1944,I953)=0</f>
        <v>1</v>
      </c>
    </row>
    <row r="954" spans="6:10" x14ac:dyDescent="0.35">
      <c r="F954" s="2" t="s">
        <v>2031</v>
      </c>
      <c r="G954" s="2" t="b">
        <f>COUNTIF(MASTER!$A$2:$A$1944,F954)=0</f>
        <v>1</v>
      </c>
      <c r="H954" s="2"/>
      <c r="I954" s="2" t="s">
        <v>2032</v>
      </c>
      <c r="J954" s="2" t="b">
        <f>COUNTIF(MASTER!$L$2:$L$1944,I954)=0</f>
        <v>1</v>
      </c>
    </row>
    <row r="955" spans="6:10" x14ac:dyDescent="0.35">
      <c r="F955" s="2" t="s">
        <v>2033</v>
      </c>
      <c r="G955" s="2" t="b">
        <f>COUNTIF(MASTER!$A$2:$A$1944,F955)=0</f>
        <v>1</v>
      </c>
      <c r="H955" s="2"/>
      <c r="I955" s="2" t="s">
        <v>2034</v>
      </c>
      <c r="J955" s="2" t="b">
        <f>COUNTIF(MASTER!$L$2:$L$1944,I955)=0</f>
        <v>1</v>
      </c>
    </row>
    <row r="956" spans="6:10" x14ac:dyDescent="0.35">
      <c r="F956" s="2" t="s">
        <v>2035</v>
      </c>
      <c r="G956" s="2" t="b">
        <f>COUNTIF(MASTER!$A$2:$A$1944,F956)=0</f>
        <v>1</v>
      </c>
      <c r="H956" s="2"/>
      <c r="I956" s="2" t="s">
        <v>2036</v>
      </c>
      <c r="J956" s="2" t="b">
        <f>COUNTIF(MASTER!$L$2:$L$1944,I956)=0</f>
        <v>1</v>
      </c>
    </row>
    <row r="957" spans="6:10" x14ac:dyDescent="0.35">
      <c r="F957" s="2" t="s">
        <v>2037</v>
      </c>
      <c r="G957" s="2" t="b">
        <f>COUNTIF(MASTER!$A$2:$A$1944,F957)=0</f>
        <v>1</v>
      </c>
      <c r="H957" s="2"/>
      <c r="I957" s="2" t="s">
        <v>2038</v>
      </c>
      <c r="J957" s="2" t="b">
        <f>COUNTIF(MASTER!$L$2:$L$1944,I957)=0</f>
        <v>1</v>
      </c>
    </row>
    <row r="958" spans="6:10" x14ac:dyDescent="0.35">
      <c r="F958" s="2" t="s">
        <v>2039</v>
      </c>
      <c r="G958" s="2" t="b">
        <f>COUNTIF(MASTER!$A$2:$A$1944,F958)=0</f>
        <v>1</v>
      </c>
      <c r="H958" s="2"/>
      <c r="I958" s="2" t="s">
        <v>2040</v>
      </c>
      <c r="J958" s="2" t="b">
        <f>COUNTIF(MASTER!$L$2:$L$1944,I958)=0</f>
        <v>1</v>
      </c>
    </row>
    <row r="959" spans="6:10" x14ac:dyDescent="0.35">
      <c r="F959" s="2" t="s">
        <v>2041</v>
      </c>
      <c r="G959" s="2" t="b">
        <f>COUNTIF(MASTER!$A$2:$A$1944,F959)=0</f>
        <v>1</v>
      </c>
      <c r="H959" s="2"/>
      <c r="I959" s="2" t="s">
        <v>2042</v>
      </c>
      <c r="J959" s="2" t="b">
        <f>COUNTIF(MASTER!$L$2:$L$1944,I959)=0</f>
        <v>1</v>
      </c>
    </row>
    <row r="960" spans="6:10" x14ac:dyDescent="0.35">
      <c r="F960" s="2" t="s">
        <v>2043</v>
      </c>
      <c r="G960" s="2" t="b">
        <f>COUNTIF(MASTER!$A$2:$A$1944,F960)=0</f>
        <v>1</v>
      </c>
      <c r="H960" s="2"/>
      <c r="I960" s="2" t="s">
        <v>2044</v>
      </c>
      <c r="J960" s="2" t="b">
        <f>COUNTIF(MASTER!$L$2:$L$1944,I960)=0</f>
        <v>1</v>
      </c>
    </row>
    <row r="961" spans="6:10" x14ac:dyDescent="0.35">
      <c r="F961" s="2" t="s">
        <v>2045</v>
      </c>
      <c r="G961" s="2" t="b">
        <f>COUNTIF(MASTER!$A$2:$A$1944,F961)=0</f>
        <v>1</v>
      </c>
      <c r="H961" s="2"/>
      <c r="I961" s="2" t="s">
        <v>2046</v>
      </c>
      <c r="J961" s="2" t="b">
        <f>COUNTIF(MASTER!$L$2:$L$1944,I961)=0</f>
        <v>1</v>
      </c>
    </row>
    <row r="962" spans="6:10" x14ac:dyDescent="0.35">
      <c r="F962" s="2" t="s">
        <v>2047</v>
      </c>
      <c r="G962" s="2" t="b">
        <f>COUNTIF(MASTER!$A$2:$A$1944,F962)=0</f>
        <v>1</v>
      </c>
      <c r="H962" s="2"/>
      <c r="I962" s="2" t="s">
        <v>2048</v>
      </c>
      <c r="J962" s="2" t="b">
        <f>COUNTIF(MASTER!$L$2:$L$1944,I962)=0</f>
        <v>1</v>
      </c>
    </row>
    <row r="963" spans="6:10" x14ac:dyDescent="0.35">
      <c r="F963" s="2" t="s">
        <v>2049</v>
      </c>
      <c r="G963" s="2" t="b">
        <f>COUNTIF(MASTER!$A$2:$A$1944,F963)=0</f>
        <v>1</v>
      </c>
      <c r="H963" s="2"/>
      <c r="I963" s="2" t="s">
        <v>2050</v>
      </c>
      <c r="J963" s="2" t="b">
        <f>COUNTIF(MASTER!$L$2:$L$1944,I963)=0</f>
        <v>1</v>
      </c>
    </row>
    <row r="964" spans="6:10" x14ac:dyDescent="0.35">
      <c r="F964" s="2" t="s">
        <v>2051</v>
      </c>
      <c r="G964" s="2" t="b">
        <f>COUNTIF(MASTER!$A$2:$A$1944,F964)=0</f>
        <v>1</v>
      </c>
      <c r="H964" s="2"/>
      <c r="I964" s="2" t="s">
        <v>2052</v>
      </c>
      <c r="J964" s="2" t="b">
        <f>COUNTIF(MASTER!$L$2:$L$1944,I964)=0</f>
        <v>1</v>
      </c>
    </row>
    <row r="965" spans="6:10" x14ac:dyDescent="0.35">
      <c r="F965" s="2" t="s">
        <v>2053</v>
      </c>
      <c r="G965" s="2" t="b">
        <f>COUNTIF(MASTER!$A$2:$A$1944,F965)=0</f>
        <v>1</v>
      </c>
      <c r="H965" s="2"/>
      <c r="I965" s="2" t="s">
        <v>2054</v>
      </c>
      <c r="J965" s="2" t="b">
        <f>COUNTIF(MASTER!$L$2:$L$1944,I965)=0</f>
        <v>1</v>
      </c>
    </row>
    <row r="966" spans="6:10" x14ac:dyDescent="0.35">
      <c r="F966" s="2" t="s">
        <v>2055</v>
      </c>
      <c r="G966" s="2" t="b">
        <f>COUNTIF(MASTER!$A$2:$A$1944,F966)=0</f>
        <v>1</v>
      </c>
      <c r="H966" s="2"/>
      <c r="I966" s="2" t="s">
        <v>2056</v>
      </c>
      <c r="J966" s="2" t="b">
        <f>COUNTIF(MASTER!$L$2:$L$1944,I966)=0</f>
        <v>1</v>
      </c>
    </row>
    <row r="967" spans="6:10" x14ac:dyDescent="0.35">
      <c r="F967" s="2" t="s">
        <v>2057</v>
      </c>
      <c r="G967" s="2" t="b">
        <f>COUNTIF(MASTER!$A$2:$A$1944,F967)=0</f>
        <v>1</v>
      </c>
      <c r="H967" s="2"/>
      <c r="I967" s="2" t="s">
        <v>2058</v>
      </c>
      <c r="J967" s="2" t="b">
        <f>COUNTIF(MASTER!$L$2:$L$1944,I967)=0</f>
        <v>1</v>
      </c>
    </row>
    <row r="968" spans="6:10" x14ac:dyDescent="0.35">
      <c r="F968" s="2" t="s">
        <v>2059</v>
      </c>
      <c r="G968" s="2" t="b">
        <f>COUNTIF(MASTER!$A$2:$A$1944,F968)=0</f>
        <v>1</v>
      </c>
      <c r="H968" s="2"/>
      <c r="I968" s="2" t="s">
        <v>2060</v>
      </c>
      <c r="J968" s="2" t="b">
        <f>COUNTIF(MASTER!$L$2:$L$1944,I968)=0</f>
        <v>1</v>
      </c>
    </row>
    <row r="969" spans="6:10" x14ac:dyDescent="0.35">
      <c r="F969" s="2" t="s">
        <v>2061</v>
      </c>
      <c r="G969" s="2" t="b">
        <f>COUNTIF(MASTER!$A$2:$A$1944,F969)=0</f>
        <v>1</v>
      </c>
      <c r="H969" s="2"/>
      <c r="I969" s="2" t="s">
        <v>2062</v>
      </c>
      <c r="J969" s="2" t="b">
        <f>COUNTIF(MASTER!$L$2:$L$1944,I969)=0</f>
        <v>1</v>
      </c>
    </row>
    <row r="970" spans="6:10" x14ac:dyDescent="0.35">
      <c r="F970" s="2" t="s">
        <v>2063</v>
      </c>
      <c r="G970" s="2" t="b">
        <f>COUNTIF(MASTER!$A$2:$A$1944,F970)=0</f>
        <v>1</v>
      </c>
      <c r="H970" s="2"/>
      <c r="I970" s="2" t="s">
        <v>2064</v>
      </c>
      <c r="J970" s="2" t="b">
        <f>COUNTIF(MASTER!$L$2:$L$1944,I970)=0</f>
        <v>1</v>
      </c>
    </row>
    <row r="971" spans="6:10" x14ac:dyDescent="0.35">
      <c r="F971" s="2" t="s">
        <v>2065</v>
      </c>
      <c r="G971" s="2" t="b">
        <f>COUNTIF(MASTER!$A$2:$A$1944,F971)=0</f>
        <v>1</v>
      </c>
      <c r="H971" s="2"/>
      <c r="I971" s="2" t="s">
        <v>2066</v>
      </c>
      <c r="J971" s="2" t="b">
        <f>COUNTIF(MASTER!$L$2:$L$1944,I971)=0</f>
        <v>1</v>
      </c>
    </row>
    <row r="972" spans="6:10" x14ac:dyDescent="0.35">
      <c r="F972" s="2" t="s">
        <v>2067</v>
      </c>
      <c r="G972" s="2" t="b">
        <f>COUNTIF(MASTER!$A$2:$A$1944,F972)=0</f>
        <v>1</v>
      </c>
      <c r="H972" s="2"/>
      <c r="I972" s="2" t="s">
        <v>2068</v>
      </c>
      <c r="J972" s="2" t="b">
        <f>COUNTIF(MASTER!$L$2:$L$1944,I972)=0</f>
        <v>1</v>
      </c>
    </row>
    <row r="973" spans="6:10" x14ac:dyDescent="0.35">
      <c r="F973" s="2" t="s">
        <v>2069</v>
      </c>
      <c r="G973" s="2" t="b">
        <f>COUNTIF(MASTER!$A$2:$A$1944,F973)=0</f>
        <v>1</v>
      </c>
      <c r="H973" s="2"/>
      <c r="I973" s="2" t="s">
        <v>2070</v>
      </c>
      <c r="J973" s="2" t="b">
        <f>COUNTIF(MASTER!$L$2:$L$1944,I973)=0</f>
        <v>1</v>
      </c>
    </row>
    <row r="974" spans="6:10" x14ac:dyDescent="0.35">
      <c r="F974" s="2" t="s">
        <v>2071</v>
      </c>
      <c r="G974" s="2" t="b">
        <f>COUNTIF(MASTER!$A$2:$A$1944,F974)=0</f>
        <v>1</v>
      </c>
      <c r="H974" s="2"/>
      <c r="I974" s="2" t="s">
        <v>2072</v>
      </c>
      <c r="J974" s="2" t="b">
        <f>COUNTIF(MASTER!$L$2:$L$1944,I974)=0</f>
        <v>1</v>
      </c>
    </row>
    <row r="975" spans="6:10" x14ac:dyDescent="0.35">
      <c r="F975" s="2" t="s">
        <v>2073</v>
      </c>
      <c r="G975" s="2" t="b">
        <f>COUNTIF(MASTER!$A$2:$A$1944,F975)=0</f>
        <v>1</v>
      </c>
      <c r="H975" s="2"/>
      <c r="I975" s="2" t="s">
        <v>2074</v>
      </c>
      <c r="J975" s="2" t="b">
        <f>COUNTIF(MASTER!$L$2:$L$1944,I975)=0</f>
        <v>1</v>
      </c>
    </row>
    <row r="976" spans="6:10" x14ac:dyDescent="0.35">
      <c r="F976" s="2" t="s">
        <v>2075</v>
      </c>
      <c r="G976" s="2" t="b">
        <f>COUNTIF(MASTER!$A$2:$A$1944,F976)=0</f>
        <v>1</v>
      </c>
      <c r="H976" s="2"/>
      <c r="I976" s="2" t="s">
        <v>2076</v>
      </c>
      <c r="J976" s="2" t="b">
        <f>COUNTIF(MASTER!$L$2:$L$1944,I976)=0</f>
        <v>1</v>
      </c>
    </row>
    <row r="977" spans="6:10" x14ac:dyDescent="0.35">
      <c r="F977" s="2" t="s">
        <v>2077</v>
      </c>
      <c r="G977" s="2" t="b">
        <f>COUNTIF(MASTER!$A$2:$A$1944,F977)=0</f>
        <v>1</v>
      </c>
      <c r="H977" s="2"/>
      <c r="I977" s="2" t="s">
        <v>2078</v>
      </c>
      <c r="J977" s="2" t="b">
        <f>COUNTIF(MASTER!$L$2:$L$1944,I977)=0</f>
        <v>1</v>
      </c>
    </row>
    <row r="978" spans="6:10" x14ac:dyDescent="0.35">
      <c r="F978" s="2" t="s">
        <v>2079</v>
      </c>
      <c r="G978" s="2" t="b">
        <f>COUNTIF(MASTER!$A$2:$A$1944,F978)=0</f>
        <v>1</v>
      </c>
      <c r="H978" s="2"/>
      <c r="I978" s="2" t="s">
        <v>2080</v>
      </c>
      <c r="J978" s="2" t="b">
        <f>COUNTIF(MASTER!$L$2:$L$1944,I978)=0</f>
        <v>1</v>
      </c>
    </row>
    <row r="979" spans="6:10" x14ac:dyDescent="0.35">
      <c r="F979" s="2" t="s">
        <v>2081</v>
      </c>
      <c r="G979" s="2" t="b">
        <f>COUNTIF(MASTER!$A$2:$A$1944,F979)=0</f>
        <v>1</v>
      </c>
      <c r="H979" s="2"/>
      <c r="I979" s="2" t="s">
        <v>2082</v>
      </c>
      <c r="J979" s="2" t="b">
        <f>COUNTIF(MASTER!$L$2:$L$1944,I979)=0</f>
        <v>1</v>
      </c>
    </row>
    <row r="980" spans="6:10" x14ac:dyDescent="0.35">
      <c r="F980" s="2" t="s">
        <v>2083</v>
      </c>
      <c r="G980" s="2" t="b">
        <f>COUNTIF(MASTER!$A$2:$A$1944,F980)=0</f>
        <v>1</v>
      </c>
      <c r="H980" s="2"/>
      <c r="I980" s="2" t="s">
        <v>2084</v>
      </c>
      <c r="J980" s="2" t="b">
        <f>COUNTIF(MASTER!$L$2:$L$1944,I980)=0</f>
        <v>1</v>
      </c>
    </row>
    <row r="981" spans="6:10" x14ac:dyDescent="0.35">
      <c r="F981" s="2" t="s">
        <v>2085</v>
      </c>
      <c r="G981" s="2" t="b">
        <f>COUNTIF(MASTER!$A$2:$A$1944,F981)=0</f>
        <v>1</v>
      </c>
      <c r="H981" s="2"/>
      <c r="I981" s="2" t="s">
        <v>2086</v>
      </c>
      <c r="J981" s="2" t="b">
        <f>COUNTIF(MASTER!$L$2:$L$1944,I981)=0</f>
        <v>1</v>
      </c>
    </row>
    <row r="982" spans="6:10" x14ac:dyDescent="0.35">
      <c r="F982" s="2" t="s">
        <v>2087</v>
      </c>
      <c r="G982" s="2" t="b">
        <f>COUNTIF(MASTER!$A$2:$A$1944,F982)=0</f>
        <v>1</v>
      </c>
      <c r="H982" s="2"/>
      <c r="I982" s="2" t="s">
        <v>2088</v>
      </c>
      <c r="J982" s="2" t="b">
        <f>COUNTIF(MASTER!$L$2:$L$1944,I982)=0</f>
        <v>1</v>
      </c>
    </row>
    <row r="983" spans="6:10" x14ac:dyDescent="0.35">
      <c r="F983" s="2" t="s">
        <v>2089</v>
      </c>
      <c r="G983" s="2" t="b">
        <f>COUNTIF(MASTER!$A$2:$A$1944,F983)=0</f>
        <v>1</v>
      </c>
      <c r="H983" s="2"/>
      <c r="I983" s="2" t="s">
        <v>2090</v>
      </c>
      <c r="J983" s="2" t="b">
        <f>COUNTIF(MASTER!$L$2:$L$1944,I983)=0</f>
        <v>1</v>
      </c>
    </row>
    <row r="984" spans="6:10" x14ac:dyDescent="0.35">
      <c r="F984" s="2" t="s">
        <v>2091</v>
      </c>
      <c r="G984" s="2" t="b">
        <f>COUNTIF(MASTER!$A$2:$A$1944,F984)=0</f>
        <v>1</v>
      </c>
      <c r="H984" s="2"/>
      <c r="I984" s="2" t="s">
        <v>2092</v>
      </c>
      <c r="J984" s="2" t="b">
        <f>COUNTIF(MASTER!$L$2:$L$1944,I984)=0</f>
        <v>1</v>
      </c>
    </row>
    <row r="985" spans="6:10" x14ac:dyDescent="0.35">
      <c r="F985" s="2" t="s">
        <v>2093</v>
      </c>
      <c r="G985" s="2" t="b">
        <f>COUNTIF(MASTER!$A$2:$A$1944,F985)=0</f>
        <v>1</v>
      </c>
      <c r="H985" s="2"/>
      <c r="I985" s="2" t="s">
        <v>2094</v>
      </c>
      <c r="J985" s="2" t="b">
        <f>COUNTIF(MASTER!$L$2:$L$1944,I985)=0</f>
        <v>1</v>
      </c>
    </row>
    <row r="986" spans="6:10" x14ac:dyDescent="0.35">
      <c r="F986" s="2" t="s">
        <v>2095</v>
      </c>
      <c r="G986" s="2" t="b">
        <f>COUNTIF(MASTER!$A$2:$A$1944,F986)=0</f>
        <v>1</v>
      </c>
      <c r="H986" s="2"/>
      <c r="I986" s="2" t="s">
        <v>2096</v>
      </c>
      <c r="J986" s="2" t="b">
        <f>COUNTIF(MASTER!$L$2:$L$1944,I986)=0</f>
        <v>1</v>
      </c>
    </row>
    <row r="987" spans="6:10" x14ac:dyDescent="0.35">
      <c r="F987" s="2" t="s">
        <v>2097</v>
      </c>
      <c r="G987" s="2" t="b">
        <f>COUNTIF(MASTER!$A$2:$A$1944,F987)=0</f>
        <v>1</v>
      </c>
      <c r="H987" s="2"/>
      <c r="I987" s="2" t="s">
        <v>2098</v>
      </c>
      <c r="J987" s="2" t="b">
        <f>COUNTIF(MASTER!$L$2:$L$1944,I987)=0</f>
        <v>1</v>
      </c>
    </row>
    <row r="988" spans="6:10" x14ac:dyDescent="0.35">
      <c r="F988" s="2" t="s">
        <v>2099</v>
      </c>
      <c r="G988" s="2" t="b">
        <f>COUNTIF(MASTER!$A$2:$A$1944,F988)=0</f>
        <v>1</v>
      </c>
      <c r="H988" s="2"/>
      <c r="I988" s="2" t="s">
        <v>2100</v>
      </c>
      <c r="J988" s="2" t="b">
        <f>COUNTIF(MASTER!$L$2:$L$1944,I988)=0</f>
        <v>1</v>
      </c>
    </row>
    <row r="989" spans="6:10" x14ac:dyDescent="0.35">
      <c r="F989" s="2" t="s">
        <v>2101</v>
      </c>
      <c r="G989" s="2" t="b">
        <f>COUNTIF(MASTER!$A$2:$A$1944,F989)=0</f>
        <v>1</v>
      </c>
      <c r="H989" s="2"/>
      <c r="I989" s="2" t="s">
        <v>2102</v>
      </c>
      <c r="J989" s="2" t="b">
        <f>COUNTIF(MASTER!$L$2:$L$1944,I989)=0</f>
        <v>1</v>
      </c>
    </row>
    <row r="990" spans="6:10" x14ac:dyDescent="0.35">
      <c r="F990" s="2" t="s">
        <v>2103</v>
      </c>
      <c r="G990" s="2" t="b">
        <f>COUNTIF(MASTER!$A$2:$A$1944,F990)=0</f>
        <v>1</v>
      </c>
      <c r="H990" s="2"/>
      <c r="I990" s="2" t="s">
        <v>2104</v>
      </c>
      <c r="J990" s="2" t="b">
        <f>COUNTIF(MASTER!$L$2:$L$1944,I990)=0</f>
        <v>1</v>
      </c>
    </row>
    <row r="991" spans="6:10" x14ac:dyDescent="0.35">
      <c r="F991" s="2" t="s">
        <v>2105</v>
      </c>
      <c r="G991" s="2" t="b">
        <f>COUNTIF(MASTER!$A$2:$A$1944,F991)=0</f>
        <v>1</v>
      </c>
      <c r="H991" s="2"/>
      <c r="I991" s="2" t="s">
        <v>2106</v>
      </c>
      <c r="J991" s="2" t="b">
        <f>COUNTIF(MASTER!$L$2:$L$1944,I991)=0</f>
        <v>1</v>
      </c>
    </row>
    <row r="992" spans="6:10" x14ac:dyDescent="0.35">
      <c r="F992" s="2" t="s">
        <v>2107</v>
      </c>
      <c r="G992" s="2" t="b">
        <f>COUNTIF(MASTER!$A$2:$A$1944,F992)=0</f>
        <v>1</v>
      </c>
      <c r="H992" s="2"/>
      <c r="I992" s="2" t="s">
        <v>2108</v>
      </c>
      <c r="J992" s="2" t="b">
        <f>COUNTIF(MASTER!$L$2:$L$1944,I992)=0</f>
        <v>1</v>
      </c>
    </row>
    <row r="993" spans="6:10" x14ac:dyDescent="0.35">
      <c r="F993" s="2" t="s">
        <v>2109</v>
      </c>
      <c r="G993" s="2" t="b">
        <f>COUNTIF(MASTER!$A$2:$A$1944,F993)=0</f>
        <v>1</v>
      </c>
      <c r="H993" s="2"/>
      <c r="I993" s="2" t="s">
        <v>2110</v>
      </c>
      <c r="J993" s="2" t="b">
        <f>COUNTIF(MASTER!$L$2:$L$1944,I993)=0</f>
        <v>1</v>
      </c>
    </row>
    <row r="994" spans="6:10" x14ac:dyDescent="0.35">
      <c r="F994" s="2" t="s">
        <v>2111</v>
      </c>
      <c r="G994" s="2" t="b">
        <f>COUNTIF(MASTER!$A$2:$A$1944,F994)=0</f>
        <v>1</v>
      </c>
      <c r="H994" s="2"/>
      <c r="I994" s="2" t="s">
        <v>2112</v>
      </c>
      <c r="J994" s="2" t="b">
        <f>COUNTIF(MASTER!$L$2:$L$1944,I994)=0</f>
        <v>1</v>
      </c>
    </row>
    <row r="995" spans="6:10" x14ac:dyDescent="0.35">
      <c r="F995" s="2" t="s">
        <v>2113</v>
      </c>
      <c r="G995" s="2" t="b">
        <f>COUNTIF(MASTER!$A$2:$A$1944,F995)=0</f>
        <v>1</v>
      </c>
      <c r="H995" s="2"/>
      <c r="I995" s="2" t="s">
        <v>2114</v>
      </c>
      <c r="J995" s="2" t="b">
        <f>COUNTIF(MASTER!$L$2:$L$1944,I995)=0</f>
        <v>1</v>
      </c>
    </row>
    <row r="996" spans="6:10" x14ac:dyDescent="0.35">
      <c r="F996" s="2" t="s">
        <v>2115</v>
      </c>
      <c r="G996" s="2" t="b">
        <f>COUNTIF(MASTER!$A$2:$A$1944,F996)=0</f>
        <v>1</v>
      </c>
      <c r="H996" s="2"/>
      <c r="I996" s="2" t="s">
        <v>2116</v>
      </c>
      <c r="J996" s="2" t="b">
        <f>COUNTIF(MASTER!$L$2:$L$1944,I996)=0</f>
        <v>1</v>
      </c>
    </row>
    <row r="997" spans="6:10" x14ac:dyDescent="0.35">
      <c r="F997" s="2" t="s">
        <v>2117</v>
      </c>
      <c r="G997" s="2" t="b">
        <f>COUNTIF(MASTER!$A$2:$A$1944,F997)=0</f>
        <v>1</v>
      </c>
      <c r="H997" s="2"/>
      <c r="I997" s="2" t="s">
        <v>2118</v>
      </c>
      <c r="J997" s="2" t="b">
        <f>COUNTIF(MASTER!$L$2:$L$1944,I997)=0</f>
        <v>1</v>
      </c>
    </row>
    <row r="998" spans="6:10" x14ac:dyDescent="0.35">
      <c r="F998" s="2" t="s">
        <v>2119</v>
      </c>
      <c r="G998" s="2" t="b">
        <f>COUNTIF(MASTER!$A$2:$A$1944,F998)=0</f>
        <v>1</v>
      </c>
      <c r="H998" s="2"/>
      <c r="I998" s="2" t="s">
        <v>2120</v>
      </c>
      <c r="J998" s="2" t="b">
        <f>COUNTIF(MASTER!$L$2:$L$1944,I998)=0</f>
        <v>1</v>
      </c>
    </row>
    <row r="999" spans="6:10" x14ac:dyDescent="0.35">
      <c r="F999" s="2" t="s">
        <v>2121</v>
      </c>
      <c r="G999" s="2" t="b">
        <f>COUNTIF(MASTER!$A$2:$A$1944,F999)=0</f>
        <v>1</v>
      </c>
      <c r="H999" s="2"/>
      <c r="I999" s="2" t="s">
        <v>2122</v>
      </c>
      <c r="J999" s="2" t="b">
        <f>COUNTIF(MASTER!$L$2:$L$1944,I999)=0</f>
        <v>1</v>
      </c>
    </row>
    <row r="1000" spans="6:10" x14ac:dyDescent="0.35">
      <c r="F1000" s="2" t="s">
        <v>2123</v>
      </c>
      <c r="G1000" s="2" t="b">
        <f>COUNTIF(MASTER!$A$2:$A$1944,F1000)=0</f>
        <v>1</v>
      </c>
      <c r="H1000" s="2"/>
      <c r="I1000" s="2" t="s">
        <v>2124</v>
      </c>
      <c r="J1000" s="2" t="b">
        <f>COUNTIF(MASTER!$L$2:$L$1944,I1000)=0</f>
        <v>1</v>
      </c>
    </row>
    <row r="1001" spans="6:10" x14ac:dyDescent="0.35">
      <c r="F1001" s="2" t="s">
        <v>2125</v>
      </c>
      <c r="G1001" s="2" t="b">
        <f>COUNTIF(MASTER!$A$2:$A$1944,F1001)=0</f>
        <v>1</v>
      </c>
      <c r="H1001" s="2"/>
      <c r="I1001" s="2" t="s">
        <v>2126</v>
      </c>
      <c r="J1001" s="2" t="b">
        <f>COUNTIF(MASTER!$L$2:$L$1944,I1001)=0</f>
        <v>1</v>
      </c>
    </row>
    <row r="1002" spans="6:10" x14ac:dyDescent="0.35">
      <c r="F1002" s="2" t="s">
        <v>2127</v>
      </c>
      <c r="G1002" s="2" t="b">
        <f>COUNTIF(MASTER!$A$2:$A$1944,F1002)=0</f>
        <v>1</v>
      </c>
      <c r="H1002" s="2"/>
      <c r="I1002" s="2" t="s">
        <v>2128</v>
      </c>
      <c r="J1002" s="2" t="b">
        <f>COUNTIF(MASTER!$L$2:$L$1944,I1002)=0</f>
        <v>1</v>
      </c>
    </row>
    <row r="1003" spans="6:10" x14ac:dyDescent="0.35">
      <c r="F1003" s="2" t="s">
        <v>2129</v>
      </c>
      <c r="G1003" s="2" t="b">
        <f>COUNTIF(MASTER!$A$2:$A$1944,F1003)=0</f>
        <v>1</v>
      </c>
      <c r="H1003" s="2"/>
      <c r="I1003" s="2" t="s">
        <v>2130</v>
      </c>
      <c r="J1003" s="2" t="b">
        <f>COUNTIF(MASTER!$L$2:$L$1944,I1003)=0</f>
        <v>1</v>
      </c>
    </row>
    <row r="1004" spans="6:10" x14ac:dyDescent="0.35">
      <c r="F1004" s="2" t="s">
        <v>2131</v>
      </c>
      <c r="G1004" s="2" t="b">
        <f>COUNTIF(MASTER!$A$2:$A$1944,F1004)=0</f>
        <v>1</v>
      </c>
      <c r="H1004" s="2"/>
      <c r="I1004" s="2" t="s">
        <v>2132</v>
      </c>
      <c r="J1004" s="2" t="b">
        <f>COUNTIF(MASTER!$L$2:$L$1944,I1004)=0</f>
        <v>1</v>
      </c>
    </row>
    <row r="1005" spans="6:10" x14ac:dyDescent="0.35">
      <c r="F1005" s="2" t="s">
        <v>2133</v>
      </c>
      <c r="G1005" s="2" t="b">
        <f>COUNTIF(MASTER!$A$2:$A$1944,F1005)=0</f>
        <v>1</v>
      </c>
      <c r="H1005" s="2"/>
      <c r="I1005" s="2" t="s">
        <v>2134</v>
      </c>
      <c r="J1005" s="2" t="b">
        <f>COUNTIF(MASTER!$L$2:$L$1944,I1005)=0</f>
        <v>1</v>
      </c>
    </row>
    <row r="1006" spans="6:10" x14ac:dyDescent="0.35">
      <c r="F1006" s="2" t="s">
        <v>2135</v>
      </c>
      <c r="G1006" s="2" t="b">
        <f>COUNTIF(MASTER!$A$2:$A$1944,F1006)=0</f>
        <v>1</v>
      </c>
      <c r="H1006" s="2"/>
      <c r="I1006" s="2" t="s">
        <v>2136</v>
      </c>
      <c r="J1006" s="2" t="b">
        <f>COUNTIF(MASTER!$L$2:$L$1944,I1006)=0</f>
        <v>1</v>
      </c>
    </row>
    <row r="1007" spans="6:10" x14ac:dyDescent="0.35">
      <c r="F1007" s="2" t="s">
        <v>2137</v>
      </c>
      <c r="G1007" s="2" t="b">
        <f>COUNTIF(MASTER!$A$2:$A$1944,F1007)=0</f>
        <v>1</v>
      </c>
      <c r="H1007" s="2"/>
      <c r="I1007" s="2" t="s">
        <v>2138</v>
      </c>
      <c r="J1007" s="2" t="b">
        <f>COUNTIF(MASTER!$L$2:$L$1944,I1007)=0</f>
        <v>1</v>
      </c>
    </row>
    <row r="1008" spans="6:10" x14ac:dyDescent="0.35">
      <c r="F1008" s="2" t="s">
        <v>2139</v>
      </c>
      <c r="G1008" s="2" t="b">
        <f>COUNTIF(MASTER!$A$2:$A$1944,F1008)=0</f>
        <v>1</v>
      </c>
      <c r="H1008" s="2"/>
      <c r="I1008" s="2" t="s">
        <v>2140</v>
      </c>
      <c r="J1008" s="2" t="b">
        <f>COUNTIF(MASTER!$L$2:$L$1944,I1008)=0</f>
        <v>1</v>
      </c>
    </row>
    <row r="1009" spans="6:10" x14ac:dyDescent="0.35">
      <c r="F1009" s="2" t="s">
        <v>2141</v>
      </c>
      <c r="G1009" s="2" t="b">
        <f>COUNTIF(MASTER!$A$2:$A$1944,F1009)=0</f>
        <v>1</v>
      </c>
      <c r="H1009" s="2"/>
      <c r="I1009" s="2" t="s">
        <v>2142</v>
      </c>
      <c r="J1009" s="2" t="b">
        <f>COUNTIF(MASTER!$L$2:$L$1944,I1009)=0</f>
        <v>1</v>
      </c>
    </row>
    <row r="1010" spans="6:10" x14ac:dyDescent="0.35">
      <c r="F1010" s="2" t="s">
        <v>2143</v>
      </c>
      <c r="G1010" s="2" t="b">
        <f>COUNTIF(MASTER!$A$2:$A$1944,F1010)=0</f>
        <v>1</v>
      </c>
      <c r="H1010" s="2"/>
      <c r="I1010" s="2" t="s">
        <v>2144</v>
      </c>
      <c r="J1010" s="2" t="b">
        <f>COUNTIF(MASTER!$L$2:$L$1944,I1010)=0</f>
        <v>1</v>
      </c>
    </row>
    <row r="1011" spans="6:10" x14ac:dyDescent="0.35">
      <c r="F1011" s="2" t="s">
        <v>2145</v>
      </c>
      <c r="G1011" s="2" t="b">
        <f>COUNTIF(MASTER!$A$2:$A$1944,F1011)=0</f>
        <v>1</v>
      </c>
      <c r="H1011" s="2"/>
      <c r="I1011" s="2" t="s">
        <v>2146</v>
      </c>
      <c r="J1011" s="2" t="b">
        <f>COUNTIF(MASTER!$L$2:$L$1944,I1011)=0</f>
        <v>1</v>
      </c>
    </row>
    <row r="1012" spans="6:10" x14ac:dyDescent="0.35">
      <c r="F1012" s="2" t="s">
        <v>2147</v>
      </c>
      <c r="G1012" s="2" t="b">
        <f>COUNTIF(MASTER!$A$2:$A$1944,F1012)=0</f>
        <v>1</v>
      </c>
      <c r="H1012" s="2"/>
      <c r="I1012" s="2" t="s">
        <v>2148</v>
      </c>
      <c r="J1012" s="2" t="b">
        <f>COUNTIF(MASTER!$L$2:$L$1944,I1012)=0</f>
        <v>1</v>
      </c>
    </row>
    <row r="1013" spans="6:10" x14ac:dyDescent="0.35">
      <c r="F1013" s="2" t="s">
        <v>2149</v>
      </c>
      <c r="G1013" s="2" t="b">
        <f>COUNTIF(MASTER!$A$2:$A$1944,F1013)=0</f>
        <v>1</v>
      </c>
      <c r="H1013" s="2"/>
      <c r="I1013" s="2" t="s">
        <v>2150</v>
      </c>
      <c r="J1013" s="2" t="b">
        <f>COUNTIF(MASTER!$L$2:$L$1944,I1013)=0</f>
        <v>1</v>
      </c>
    </row>
    <row r="1014" spans="6:10" x14ac:dyDescent="0.35">
      <c r="F1014" s="2" t="s">
        <v>2151</v>
      </c>
      <c r="G1014" s="2" t="b">
        <f>COUNTIF(MASTER!$A$2:$A$1944,F1014)=0</f>
        <v>1</v>
      </c>
      <c r="H1014" s="2"/>
      <c r="I1014" s="2" t="s">
        <v>2152</v>
      </c>
      <c r="J1014" s="2" t="b">
        <f>COUNTIF(MASTER!$L$2:$L$1944,I1014)=0</f>
        <v>1</v>
      </c>
    </row>
    <row r="1015" spans="6:10" x14ac:dyDescent="0.35">
      <c r="F1015" s="2" t="s">
        <v>2153</v>
      </c>
      <c r="G1015" s="2" t="b">
        <f>COUNTIF(MASTER!$A$2:$A$1944,F1015)=0</f>
        <v>1</v>
      </c>
      <c r="H1015" s="2"/>
      <c r="I1015" s="2" t="s">
        <v>2154</v>
      </c>
      <c r="J1015" s="2" t="b">
        <f>COUNTIF(MASTER!$L$2:$L$1944,I1015)=0</f>
        <v>1</v>
      </c>
    </row>
    <row r="1016" spans="6:10" x14ac:dyDescent="0.35">
      <c r="F1016" s="2" t="s">
        <v>2155</v>
      </c>
      <c r="G1016" s="2" t="b">
        <f>COUNTIF(MASTER!$A$2:$A$1944,F1016)=0</f>
        <v>1</v>
      </c>
      <c r="H1016" s="2"/>
      <c r="I1016" s="2" t="s">
        <v>2156</v>
      </c>
      <c r="J1016" s="2" t="b">
        <f>COUNTIF(MASTER!$L$2:$L$1944,I1016)=0</f>
        <v>1</v>
      </c>
    </row>
    <row r="1017" spans="6:10" x14ac:dyDescent="0.35">
      <c r="F1017" s="2" t="s">
        <v>2157</v>
      </c>
      <c r="G1017" s="2" t="b">
        <f>COUNTIF(MASTER!$A$2:$A$1944,F1017)=0</f>
        <v>1</v>
      </c>
      <c r="H1017" s="2"/>
      <c r="I1017" s="2" t="s">
        <v>2158</v>
      </c>
      <c r="J1017" s="2" t="b">
        <f>COUNTIF(MASTER!$L$2:$L$1944,I1017)=0</f>
        <v>1</v>
      </c>
    </row>
    <row r="1018" spans="6:10" x14ac:dyDescent="0.35">
      <c r="F1018" s="2" t="s">
        <v>2159</v>
      </c>
      <c r="G1018" s="2" t="b">
        <f>COUNTIF(MASTER!$A$2:$A$1944,F1018)=0</f>
        <v>1</v>
      </c>
      <c r="H1018" s="2"/>
      <c r="I1018" s="2" t="s">
        <v>2160</v>
      </c>
      <c r="J1018" s="2" t="b">
        <f>COUNTIF(MASTER!$L$2:$L$1944,I1018)=0</f>
        <v>1</v>
      </c>
    </row>
    <row r="1019" spans="6:10" x14ac:dyDescent="0.35">
      <c r="F1019" s="2" t="s">
        <v>2161</v>
      </c>
      <c r="G1019" s="2" t="b">
        <f>COUNTIF(MASTER!$A$2:$A$1944,F1019)=0</f>
        <v>1</v>
      </c>
      <c r="H1019" s="2"/>
      <c r="I1019" s="2" t="s">
        <v>2162</v>
      </c>
      <c r="J1019" s="2" t="b">
        <f>COUNTIF(MASTER!$L$2:$L$1944,I1019)=0</f>
        <v>1</v>
      </c>
    </row>
    <row r="1020" spans="6:10" x14ac:dyDescent="0.35">
      <c r="F1020" s="2" t="s">
        <v>2163</v>
      </c>
      <c r="G1020" s="2" t="b">
        <f>COUNTIF(MASTER!$A$2:$A$1944,F1020)=0</f>
        <v>1</v>
      </c>
      <c r="H1020" s="2"/>
      <c r="I1020" s="2" t="s">
        <v>2164</v>
      </c>
      <c r="J1020" s="2" t="b">
        <f>COUNTIF(MASTER!$L$2:$L$1944,I1020)=0</f>
        <v>1</v>
      </c>
    </row>
    <row r="1021" spans="6:10" x14ac:dyDescent="0.35">
      <c r="F1021" s="2" t="s">
        <v>2165</v>
      </c>
      <c r="G1021" s="2" t="b">
        <f>COUNTIF(MASTER!$A$2:$A$1944,F1021)=0</f>
        <v>1</v>
      </c>
      <c r="H1021" s="2"/>
      <c r="I1021" s="2" t="s">
        <v>2166</v>
      </c>
      <c r="J1021" s="2" t="b">
        <f>COUNTIF(MASTER!$L$2:$L$1944,I1021)=0</f>
        <v>1</v>
      </c>
    </row>
    <row r="1022" spans="6:10" x14ac:dyDescent="0.35">
      <c r="F1022" s="2" t="s">
        <v>2167</v>
      </c>
      <c r="G1022" s="2" t="b">
        <f>COUNTIF(MASTER!$A$2:$A$1944,F1022)=0</f>
        <v>1</v>
      </c>
      <c r="H1022" s="2"/>
      <c r="I1022" s="2" t="s">
        <v>2168</v>
      </c>
      <c r="J1022" s="2" t="b">
        <f>COUNTIF(MASTER!$L$2:$L$1944,I1022)=0</f>
        <v>1</v>
      </c>
    </row>
    <row r="1023" spans="6:10" x14ac:dyDescent="0.35">
      <c r="F1023" s="2" t="s">
        <v>2169</v>
      </c>
      <c r="G1023" s="2" t="b">
        <f>COUNTIF(MASTER!$A$2:$A$1944,F1023)=0</f>
        <v>1</v>
      </c>
      <c r="H1023" s="2"/>
      <c r="I1023" s="2" t="s">
        <v>2170</v>
      </c>
      <c r="J1023" s="2" t="b">
        <f>COUNTIF(MASTER!$L$2:$L$1944,I1023)=0</f>
        <v>1</v>
      </c>
    </row>
    <row r="1024" spans="6:10" x14ac:dyDescent="0.35">
      <c r="F1024" s="2" t="s">
        <v>2171</v>
      </c>
      <c r="G1024" s="2" t="b">
        <f>COUNTIF(MASTER!$A$2:$A$1944,F1024)=0</f>
        <v>1</v>
      </c>
      <c r="H1024" s="2"/>
      <c r="I1024" s="2" t="s">
        <v>2172</v>
      </c>
      <c r="J1024" s="2" t="b">
        <f>COUNTIF(MASTER!$L$2:$L$1944,I1024)=0</f>
        <v>1</v>
      </c>
    </row>
    <row r="1025" spans="6:10" x14ac:dyDescent="0.35">
      <c r="F1025" s="2" t="s">
        <v>2173</v>
      </c>
      <c r="G1025" s="2" t="b">
        <f>COUNTIF(MASTER!$A$2:$A$1944,F1025)=0</f>
        <v>1</v>
      </c>
      <c r="H1025" s="2"/>
      <c r="I1025" s="2" t="s">
        <v>2174</v>
      </c>
      <c r="J1025" s="2" t="b">
        <f>COUNTIF(MASTER!$L$2:$L$1944,I1025)=0</f>
        <v>1</v>
      </c>
    </row>
    <row r="1026" spans="6:10" x14ac:dyDescent="0.35">
      <c r="F1026" s="2" t="s">
        <v>2175</v>
      </c>
      <c r="G1026" s="2" t="b">
        <f>COUNTIF(MASTER!$A$2:$A$1944,F1026)=0</f>
        <v>1</v>
      </c>
      <c r="H1026" s="2"/>
      <c r="I1026" s="2" t="s">
        <v>2176</v>
      </c>
      <c r="J1026" s="2" t="b">
        <f>COUNTIF(MASTER!$L$2:$L$1944,I1026)=0</f>
        <v>1</v>
      </c>
    </row>
    <row r="1027" spans="6:10" x14ac:dyDescent="0.35">
      <c r="F1027" s="2" t="s">
        <v>2177</v>
      </c>
      <c r="G1027" s="2" t="b">
        <f>COUNTIF(MASTER!$A$2:$A$1944,F1027)=0</f>
        <v>1</v>
      </c>
      <c r="H1027" s="2"/>
      <c r="I1027" s="2" t="s">
        <v>2178</v>
      </c>
      <c r="J1027" s="2" t="b">
        <f>COUNTIF(MASTER!$L$2:$L$1944,I1027)=0</f>
        <v>1</v>
      </c>
    </row>
    <row r="1028" spans="6:10" x14ac:dyDescent="0.35">
      <c r="F1028" s="2" t="s">
        <v>2179</v>
      </c>
      <c r="G1028" s="2" t="b">
        <f>COUNTIF(MASTER!$A$2:$A$1944,F1028)=0</f>
        <v>1</v>
      </c>
      <c r="H1028" s="2"/>
      <c r="I1028" s="2" t="s">
        <v>2180</v>
      </c>
      <c r="J1028" s="2" t="b">
        <f>COUNTIF(MASTER!$L$2:$L$1944,I1028)=0</f>
        <v>1</v>
      </c>
    </row>
    <row r="1029" spans="6:10" x14ac:dyDescent="0.35">
      <c r="F1029" s="2" t="s">
        <v>2181</v>
      </c>
      <c r="G1029" s="2" t="b">
        <f>COUNTIF(MASTER!$A$2:$A$1944,F1029)=0</f>
        <v>1</v>
      </c>
      <c r="H1029" s="2"/>
      <c r="I1029" s="2" t="s">
        <v>2182</v>
      </c>
      <c r="J1029" s="2" t="b">
        <f>COUNTIF(MASTER!$L$2:$L$1944,I1029)=0</f>
        <v>1</v>
      </c>
    </row>
    <row r="1030" spans="6:10" x14ac:dyDescent="0.35">
      <c r="F1030" s="2" t="s">
        <v>2183</v>
      </c>
      <c r="G1030" s="2" t="b">
        <f>COUNTIF(MASTER!$A$2:$A$1944,F1030)=0</f>
        <v>1</v>
      </c>
      <c r="H1030" s="2"/>
      <c r="I1030" s="2" t="s">
        <v>2184</v>
      </c>
      <c r="J1030" s="2" t="b">
        <f>COUNTIF(MASTER!$L$2:$L$1944,I1030)=0</f>
        <v>1</v>
      </c>
    </row>
    <row r="1031" spans="6:10" x14ac:dyDescent="0.35">
      <c r="F1031" s="2" t="s">
        <v>2185</v>
      </c>
      <c r="G1031" s="2" t="b">
        <f>COUNTIF(MASTER!$A$2:$A$1944,F1031)=0</f>
        <v>1</v>
      </c>
      <c r="H1031" s="2"/>
      <c r="I1031" s="2" t="s">
        <v>2186</v>
      </c>
      <c r="J1031" s="2" t="b">
        <f>COUNTIF(MASTER!$L$2:$L$1944,I1031)=0</f>
        <v>1</v>
      </c>
    </row>
    <row r="1032" spans="6:10" x14ac:dyDescent="0.35">
      <c r="F1032" s="2" t="s">
        <v>2187</v>
      </c>
      <c r="G1032" s="2" t="b">
        <f>COUNTIF(MASTER!$A$2:$A$1944,F1032)=0</f>
        <v>1</v>
      </c>
      <c r="H1032" s="2"/>
      <c r="I1032" s="2" t="s">
        <v>2188</v>
      </c>
      <c r="J1032" s="2" t="b">
        <f>COUNTIF(MASTER!$L$2:$L$1944,I1032)=0</f>
        <v>1</v>
      </c>
    </row>
    <row r="1033" spans="6:10" x14ac:dyDescent="0.35">
      <c r="F1033" s="2" t="s">
        <v>2189</v>
      </c>
      <c r="G1033" s="2" t="b">
        <f>COUNTIF(MASTER!$A$2:$A$1944,F1033)=0</f>
        <v>1</v>
      </c>
      <c r="H1033" s="2"/>
      <c r="I1033" s="2" t="s">
        <v>2190</v>
      </c>
      <c r="J1033" s="2" t="b">
        <f>COUNTIF(MASTER!$L$2:$L$1944,I1033)=0</f>
        <v>1</v>
      </c>
    </row>
    <row r="1034" spans="6:10" x14ac:dyDescent="0.35">
      <c r="F1034" s="2" t="s">
        <v>2191</v>
      </c>
      <c r="G1034" s="2" t="b">
        <f>COUNTIF(MASTER!$A$2:$A$1944,F1034)=0</f>
        <v>1</v>
      </c>
      <c r="H1034" s="2"/>
      <c r="I1034" s="2" t="s">
        <v>2192</v>
      </c>
      <c r="J1034" s="2" t="b">
        <f>COUNTIF(MASTER!$L$2:$L$1944,I1034)=0</f>
        <v>1</v>
      </c>
    </row>
    <row r="1035" spans="6:10" x14ac:dyDescent="0.35">
      <c r="F1035" s="2" t="s">
        <v>2193</v>
      </c>
      <c r="G1035" s="2" t="b">
        <f>COUNTIF(MASTER!$A$2:$A$1944,F1035)=0</f>
        <v>1</v>
      </c>
      <c r="H1035" s="2"/>
      <c r="I1035" s="2" t="s">
        <v>2194</v>
      </c>
      <c r="J1035" s="2" t="b">
        <f>COUNTIF(MASTER!$L$2:$L$1944,I1035)=0</f>
        <v>1</v>
      </c>
    </row>
    <row r="1036" spans="6:10" x14ac:dyDescent="0.35">
      <c r="F1036" s="2" t="s">
        <v>2195</v>
      </c>
      <c r="G1036" s="2" t="b">
        <f>COUNTIF(MASTER!$A$2:$A$1944,F1036)=0</f>
        <v>1</v>
      </c>
      <c r="H1036" s="2"/>
      <c r="I1036" s="2" t="s">
        <v>2196</v>
      </c>
      <c r="J1036" s="2" t="b">
        <f>COUNTIF(MASTER!$L$2:$L$1944,I1036)=0</f>
        <v>1</v>
      </c>
    </row>
    <row r="1037" spans="6:10" x14ac:dyDescent="0.35">
      <c r="F1037" s="2" t="s">
        <v>2197</v>
      </c>
      <c r="G1037" s="2" t="b">
        <f>COUNTIF(MASTER!$A$2:$A$1944,F1037)=0</f>
        <v>1</v>
      </c>
      <c r="H1037" s="2"/>
      <c r="I1037" s="2" t="s">
        <v>2198</v>
      </c>
      <c r="J1037" s="2" t="b">
        <f>COUNTIF(MASTER!$L$2:$L$1944,I1037)=0</f>
        <v>1</v>
      </c>
    </row>
    <row r="1038" spans="6:10" x14ac:dyDescent="0.35">
      <c r="F1038" s="2" t="s">
        <v>2199</v>
      </c>
      <c r="G1038" s="2" t="b">
        <f>COUNTIF(MASTER!$A$2:$A$1944,F1038)=0</f>
        <v>1</v>
      </c>
      <c r="H1038" s="2"/>
      <c r="I1038" s="2" t="s">
        <v>2200</v>
      </c>
      <c r="J1038" s="2" t="b">
        <f>COUNTIF(MASTER!$L$2:$L$1944,I1038)=0</f>
        <v>1</v>
      </c>
    </row>
    <row r="1039" spans="6:10" x14ac:dyDescent="0.35">
      <c r="F1039" s="2" t="s">
        <v>2201</v>
      </c>
      <c r="G1039" s="2" t="b">
        <f>COUNTIF(MASTER!$A$2:$A$1944,F1039)=0</f>
        <v>1</v>
      </c>
      <c r="H1039" s="2"/>
      <c r="I1039" s="2" t="s">
        <v>2202</v>
      </c>
      <c r="J1039" s="2" t="b">
        <f>COUNTIF(MASTER!$L$2:$L$1944,I1039)=0</f>
        <v>1</v>
      </c>
    </row>
    <row r="1040" spans="6:10" x14ac:dyDescent="0.35">
      <c r="F1040" s="2" t="s">
        <v>2203</v>
      </c>
      <c r="G1040" s="2" t="b">
        <f>COUNTIF(MASTER!$A$2:$A$1944,F1040)=0</f>
        <v>1</v>
      </c>
      <c r="H1040" s="2"/>
      <c r="I1040" s="2" t="s">
        <v>2204</v>
      </c>
      <c r="J1040" s="2" t="b">
        <f>COUNTIF(MASTER!$L$2:$L$1944,I1040)=0</f>
        <v>1</v>
      </c>
    </row>
    <row r="1041" spans="6:10" x14ac:dyDescent="0.35">
      <c r="F1041" s="2" t="s">
        <v>2205</v>
      </c>
      <c r="G1041" s="2" t="b">
        <f>COUNTIF(MASTER!$A$2:$A$1944,F1041)=0</f>
        <v>1</v>
      </c>
      <c r="H1041" s="2"/>
      <c r="I1041" s="2" t="s">
        <v>2206</v>
      </c>
      <c r="J1041" s="2" t="b">
        <f>COUNTIF(MASTER!$L$2:$L$1944,I1041)=0</f>
        <v>1</v>
      </c>
    </row>
    <row r="1042" spans="6:10" x14ac:dyDescent="0.35">
      <c r="F1042" s="2" t="s">
        <v>2207</v>
      </c>
      <c r="G1042" s="2" t="b">
        <f>COUNTIF(MASTER!$A$2:$A$1944,F1042)=0</f>
        <v>1</v>
      </c>
      <c r="H1042" s="2"/>
      <c r="I1042" s="2" t="s">
        <v>2208</v>
      </c>
      <c r="J1042" s="2" t="b">
        <f>COUNTIF(MASTER!$L$2:$L$1944,I1042)=0</f>
        <v>1</v>
      </c>
    </row>
    <row r="1043" spans="6:10" x14ac:dyDescent="0.35">
      <c r="F1043" s="2" t="s">
        <v>2209</v>
      </c>
      <c r="G1043" s="2" t="b">
        <f>COUNTIF(MASTER!$A$2:$A$1944,F1043)=0</f>
        <v>1</v>
      </c>
      <c r="H1043" s="2"/>
      <c r="I1043" s="2" t="s">
        <v>2210</v>
      </c>
      <c r="J1043" s="2" t="b">
        <f>COUNTIF(MASTER!$L$2:$L$1944,I1043)=0</f>
        <v>1</v>
      </c>
    </row>
    <row r="1044" spans="6:10" x14ac:dyDescent="0.35">
      <c r="F1044" s="2" t="s">
        <v>2211</v>
      </c>
      <c r="G1044" s="2" t="b">
        <f>COUNTIF(MASTER!$A$2:$A$1944,F1044)=0</f>
        <v>1</v>
      </c>
      <c r="H1044" s="2"/>
      <c r="I1044" s="2" t="s">
        <v>2212</v>
      </c>
      <c r="J1044" s="2" t="b">
        <f>COUNTIF(MASTER!$L$2:$L$1944,I1044)=0</f>
        <v>1</v>
      </c>
    </row>
    <row r="1045" spans="6:10" x14ac:dyDescent="0.35">
      <c r="F1045" s="2" t="s">
        <v>2213</v>
      </c>
      <c r="G1045" s="2" t="b">
        <f>COUNTIF(MASTER!$A$2:$A$1944,F1045)=0</f>
        <v>1</v>
      </c>
      <c r="H1045" s="2"/>
      <c r="I1045" s="2" t="s">
        <v>2214</v>
      </c>
      <c r="J1045" s="2" t="b">
        <f>COUNTIF(MASTER!$L$2:$L$1944,I1045)=0</f>
        <v>1</v>
      </c>
    </row>
    <row r="1046" spans="6:10" x14ac:dyDescent="0.35">
      <c r="F1046" s="2" t="s">
        <v>2215</v>
      </c>
      <c r="G1046" s="2" t="b">
        <f>COUNTIF(MASTER!$A$2:$A$1944,F1046)=0</f>
        <v>1</v>
      </c>
      <c r="H1046" s="2"/>
      <c r="I1046" s="2" t="s">
        <v>2216</v>
      </c>
      <c r="J1046" s="2" t="b">
        <f>COUNTIF(MASTER!$L$2:$L$1944,I1046)=0</f>
        <v>1</v>
      </c>
    </row>
    <row r="1047" spans="6:10" x14ac:dyDescent="0.35">
      <c r="F1047" s="2" t="s">
        <v>2217</v>
      </c>
      <c r="G1047" s="2" t="b">
        <f>COUNTIF(MASTER!$A$2:$A$1944,F1047)=0</f>
        <v>1</v>
      </c>
      <c r="H1047" s="2"/>
      <c r="I1047" s="2" t="s">
        <v>2218</v>
      </c>
      <c r="J1047" s="2" t="b">
        <f>COUNTIF(MASTER!$L$2:$L$1944,I1047)=0</f>
        <v>1</v>
      </c>
    </row>
    <row r="1048" spans="6:10" x14ac:dyDescent="0.35">
      <c r="F1048" s="2" t="s">
        <v>2219</v>
      </c>
      <c r="G1048" s="2" t="b">
        <f>COUNTIF(MASTER!$A$2:$A$1944,F1048)=0</f>
        <v>1</v>
      </c>
      <c r="H1048" s="2"/>
      <c r="I1048" s="2" t="s">
        <v>2220</v>
      </c>
      <c r="J1048" s="2" t="b">
        <f>COUNTIF(MASTER!$L$2:$L$1944,I1048)=0</f>
        <v>1</v>
      </c>
    </row>
    <row r="1049" spans="6:10" x14ac:dyDescent="0.35">
      <c r="F1049" s="2" t="s">
        <v>2221</v>
      </c>
      <c r="G1049" s="2" t="b">
        <f>COUNTIF(MASTER!$A$2:$A$1944,F1049)=0</f>
        <v>1</v>
      </c>
      <c r="H1049" s="2"/>
      <c r="I1049" s="2" t="s">
        <v>2222</v>
      </c>
      <c r="J1049" s="2" t="b">
        <f>COUNTIF(MASTER!$L$2:$L$1944,I1049)=0</f>
        <v>1</v>
      </c>
    </row>
    <row r="1050" spans="6:10" x14ac:dyDescent="0.35">
      <c r="F1050" s="2" t="s">
        <v>2223</v>
      </c>
      <c r="G1050" s="2" t="b">
        <f>COUNTIF(MASTER!$A$2:$A$1944,F1050)=0</f>
        <v>1</v>
      </c>
      <c r="H1050" s="2"/>
      <c r="I1050" s="2" t="s">
        <v>2224</v>
      </c>
      <c r="J1050" s="2" t="b">
        <f>COUNTIF(MASTER!$L$2:$L$1944,I1050)=0</f>
        <v>1</v>
      </c>
    </row>
    <row r="1051" spans="6:10" x14ac:dyDescent="0.35">
      <c r="F1051" s="2" t="s">
        <v>2225</v>
      </c>
      <c r="G1051" s="2" t="b">
        <f>COUNTIF(MASTER!$A$2:$A$1944,F1051)=0</f>
        <v>1</v>
      </c>
      <c r="H1051" s="2"/>
      <c r="I1051" s="2" t="s">
        <v>2226</v>
      </c>
      <c r="J1051" s="2" t="b">
        <f>COUNTIF(MASTER!$L$2:$L$1944,I1051)=0</f>
        <v>1</v>
      </c>
    </row>
    <row r="1052" spans="6:10" x14ac:dyDescent="0.35">
      <c r="F1052" s="2" t="s">
        <v>2227</v>
      </c>
      <c r="G1052" s="2" t="b">
        <f>COUNTIF(MASTER!$A$2:$A$1944,F1052)=0</f>
        <v>1</v>
      </c>
      <c r="H1052" s="2"/>
      <c r="I1052" s="2" t="s">
        <v>2228</v>
      </c>
      <c r="J1052" s="2" t="b">
        <f>COUNTIF(MASTER!$L$2:$L$1944,I1052)=0</f>
        <v>1</v>
      </c>
    </row>
    <row r="1053" spans="6:10" x14ac:dyDescent="0.35">
      <c r="F1053" s="2" t="s">
        <v>2229</v>
      </c>
      <c r="G1053" s="2" t="b">
        <f>COUNTIF(MASTER!$A$2:$A$1944,F1053)=0</f>
        <v>1</v>
      </c>
      <c r="H1053" s="2"/>
      <c r="I1053" s="2" t="s">
        <v>2230</v>
      </c>
      <c r="J1053" s="2" t="b">
        <f>COUNTIF(MASTER!$L$2:$L$1944,I1053)=0</f>
        <v>1</v>
      </c>
    </row>
    <row r="1054" spans="6:10" x14ac:dyDescent="0.35">
      <c r="F1054" s="2" t="s">
        <v>2231</v>
      </c>
      <c r="G1054" s="2" t="b">
        <f>COUNTIF(MASTER!$A$2:$A$1944,F1054)=0</f>
        <v>1</v>
      </c>
      <c r="H1054" s="2"/>
      <c r="I1054" s="2" t="s">
        <v>2232</v>
      </c>
      <c r="J1054" s="2" t="b">
        <f>COUNTIF(MASTER!$L$2:$L$1944,I1054)=0</f>
        <v>1</v>
      </c>
    </row>
    <row r="1055" spans="6:10" x14ac:dyDescent="0.35">
      <c r="F1055" s="2" t="s">
        <v>2233</v>
      </c>
      <c r="G1055" s="2" t="b">
        <f>COUNTIF(MASTER!$A$2:$A$1944,F1055)=0</f>
        <v>1</v>
      </c>
      <c r="H1055" s="2"/>
      <c r="I1055" s="2" t="s">
        <v>2234</v>
      </c>
      <c r="J1055" s="2" t="b">
        <f>COUNTIF(MASTER!$L$2:$L$1944,I1055)=0</f>
        <v>1</v>
      </c>
    </row>
    <row r="1056" spans="6:10" x14ac:dyDescent="0.35">
      <c r="F1056" s="2" t="s">
        <v>2235</v>
      </c>
      <c r="G1056" s="2" t="b">
        <f>COUNTIF(MASTER!$A$2:$A$1944,F1056)=0</f>
        <v>1</v>
      </c>
      <c r="H1056" s="2"/>
      <c r="I1056" s="2" t="s">
        <v>2236</v>
      </c>
      <c r="J1056" s="2" t="b">
        <f>COUNTIF(MASTER!$L$2:$L$1944,I1056)=0</f>
        <v>1</v>
      </c>
    </row>
    <row r="1057" spans="6:10" x14ac:dyDescent="0.35">
      <c r="F1057" s="2" t="s">
        <v>2237</v>
      </c>
      <c r="G1057" s="2" t="b">
        <f>COUNTIF(MASTER!$A$2:$A$1944,F1057)=0</f>
        <v>1</v>
      </c>
      <c r="H1057" s="2"/>
      <c r="I1057" s="2" t="s">
        <v>2238</v>
      </c>
      <c r="J1057" s="2" t="b">
        <f>COUNTIF(MASTER!$L$2:$L$1944,I1057)=0</f>
        <v>1</v>
      </c>
    </row>
    <row r="1058" spans="6:10" x14ac:dyDescent="0.35">
      <c r="F1058" s="2" t="s">
        <v>2239</v>
      </c>
      <c r="G1058" s="2" t="b">
        <f>COUNTIF(MASTER!$A$2:$A$1944,F1058)=0</f>
        <v>1</v>
      </c>
      <c r="H1058" s="2"/>
      <c r="I1058" s="2" t="s">
        <v>2240</v>
      </c>
      <c r="J1058" s="2" t="b">
        <f>COUNTIF(MASTER!$L$2:$L$1944,I1058)=0</f>
        <v>1</v>
      </c>
    </row>
    <row r="1059" spans="6:10" x14ac:dyDescent="0.35">
      <c r="F1059" s="2" t="s">
        <v>2241</v>
      </c>
      <c r="G1059" s="2" t="b">
        <f>COUNTIF(MASTER!$A$2:$A$1944,F1059)=0</f>
        <v>1</v>
      </c>
      <c r="H1059" s="2"/>
      <c r="I1059" s="2" t="s">
        <v>2242</v>
      </c>
      <c r="J1059" s="2" t="b">
        <f>COUNTIF(MASTER!$L$2:$L$1944,I1059)=0</f>
        <v>1</v>
      </c>
    </row>
    <row r="1060" spans="6:10" x14ac:dyDescent="0.35">
      <c r="F1060" s="2" t="s">
        <v>2243</v>
      </c>
      <c r="G1060" s="2" t="b">
        <f>COUNTIF(MASTER!$A$2:$A$1944,F1060)=0</f>
        <v>1</v>
      </c>
      <c r="H1060" s="2"/>
      <c r="I1060" s="2" t="s">
        <v>2244</v>
      </c>
      <c r="J1060" s="2" t="b">
        <f>COUNTIF(MASTER!$L$2:$L$1944,I1060)=0</f>
        <v>1</v>
      </c>
    </row>
    <row r="1061" spans="6:10" x14ac:dyDescent="0.35">
      <c r="F1061" s="2" t="s">
        <v>2245</v>
      </c>
      <c r="G1061" s="2" t="b">
        <f>COUNTIF(MASTER!$A$2:$A$1944,F1061)=0</f>
        <v>1</v>
      </c>
      <c r="H1061" s="2"/>
      <c r="I1061" s="2" t="s">
        <v>2246</v>
      </c>
      <c r="J1061" s="2" t="b">
        <f>COUNTIF(MASTER!$L$2:$L$1944,I1061)=0</f>
        <v>1</v>
      </c>
    </row>
    <row r="1062" spans="6:10" x14ac:dyDescent="0.35">
      <c r="F1062" s="2" t="s">
        <v>2247</v>
      </c>
      <c r="G1062" s="2" t="b">
        <f>COUNTIF(MASTER!$A$2:$A$1944,F1062)=0</f>
        <v>1</v>
      </c>
      <c r="H1062" s="2"/>
      <c r="I1062" s="2" t="s">
        <v>2248</v>
      </c>
      <c r="J1062" s="2" t="b">
        <f>COUNTIF(MASTER!$L$2:$L$1944,I1062)=0</f>
        <v>1</v>
      </c>
    </row>
    <row r="1063" spans="6:10" x14ac:dyDescent="0.35">
      <c r="F1063" s="2" t="s">
        <v>2249</v>
      </c>
      <c r="G1063" s="2" t="b">
        <f>COUNTIF(MASTER!$A$2:$A$1944,F1063)=0</f>
        <v>1</v>
      </c>
      <c r="H1063" s="2"/>
      <c r="I1063" s="2" t="s">
        <v>2250</v>
      </c>
      <c r="J1063" s="2" t="b">
        <f>COUNTIF(MASTER!$L$2:$L$1944,I1063)=0</f>
        <v>1</v>
      </c>
    </row>
    <row r="1064" spans="6:10" x14ac:dyDescent="0.35">
      <c r="F1064" s="2" t="s">
        <v>2251</v>
      </c>
      <c r="G1064" s="2" t="b">
        <f>COUNTIF(MASTER!$A$2:$A$1944,F1064)=0</f>
        <v>1</v>
      </c>
      <c r="H1064" s="2"/>
      <c r="I1064" s="2" t="s">
        <v>2252</v>
      </c>
      <c r="J1064" s="2" t="b">
        <f>COUNTIF(MASTER!$L$2:$L$1944,I1064)=0</f>
        <v>1</v>
      </c>
    </row>
    <row r="1065" spans="6:10" x14ac:dyDescent="0.35">
      <c r="F1065" s="2" t="s">
        <v>2253</v>
      </c>
      <c r="G1065" s="2" t="b">
        <f>COUNTIF(MASTER!$A$2:$A$1944,F1065)=0</f>
        <v>1</v>
      </c>
      <c r="H1065" s="2"/>
      <c r="I1065" s="2" t="s">
        <v>2254</v>
      </c>
      <c r="J1065" s="2" t="b">
        <f>COUNTIF(MASTER!$L$2:$L$1944,I1065)=0</f>
        <v>1</v>
      </c>
    </row>
    <row r="1066" spans="6:10" x14ac:dyDescent="0.35">
      <c r="F1066" s="2" t="s">
        <v>2255</v>
      </c>
      <c r="G1066" s="2" t="b">
        <f>COUNTIF(MASTER!$A$2:$A$1944,F1066)=0</f>
        <v>1</v>
      </c>
      <c r="H1066" s="2"/>
      <c r="I1066" s="2" t="s">
        <v>2256</v>
      </c>
      <c r="J1066" s="2" t="b">
        <f>COUNTIF(MASTER!$L$2:$L$1944,I1066)=0</f>
        <v>1</v>
      </c>
    </row>
    <row r="1067" spans="6:10" x14ac:dyDescent="0.35">
      <c r="F1067" s="2" t="s">
        <v>2257</v>
      </c>
      <c r="G1067" s="2" t="b">
        <f>COUNTIF(MASTER!$A$2:$A$1944,F1067)=0</f>
        <v>1</v>
      </c>
      <c r="H1067" s="2"/>
      <c r="I1067" s="2" t="s">
        <v>2258</v>
      </c>
      <c r="J1067" s="2" t="b">
        <f>COUNTIF(MASTER!$L$2:$L$1944,I1067)=0</f>
        <v>1</v>
      </c>
    </row>
    <row r="1068" spans="6:10" x14ac:dyDescent="0.35">
      <c r="F1068" s="2" t="s">
        <v>2259</v>
      </c>
      <c r="G1068" s="2" t="b">
        <f>COUNTIF(MASTER!$A$2:$A$1944,F1068)=0</f>
        <v>1</v>
      </c>
      <c r="H1068" s="2"/>
      <c r="I1068" s="2" t="s">
        <v>2260</v>
      </c>
      <c r="J1068" s="2" t="b">
        <f>COUNTIF(MASTER!$L$2:$L$1944,I1068)=0</f>
        <v>1</v>
      </c>
    </row>
    <row r="1069" spans="6:10" x14ac:dyDescent="0.35">
      <c r="F1069" s="2" t="s">
        <v>2261</v>
      </c>
      <c r="G1069" s="2" t="b">
        <f>COUNTIF(MASTER!$A$2:$A$1944,F1069)=0</f>
        <v>1</v>
      </c>
      <c r="H1069" s="2"/>
      <c r="I1069" s="2" t="s">
        <v>2262</v>
      </c>
      <c r="J1069" s="2" t="b">
        <f>COUNTIF(MASTER!$L$2:$L$1944,I1069)=0</f>
        <v>1</v>
      </c>
    </row>
    <row r="1070" spans="6:10" x14ac:dyDescent="0.35">
      <c r="F1070" s="2" t="s">
        <v>2263</v>
      </c>
      <c r="G1070" s="2" t="b">
        <f>COUNTIF(MASTER!$A$2:$A$1944,F1070)=0</f>
        <v>1</v>
      </c>
      <c r="H1070" s="2"/>
      <c r="I1070" s="2" t="s">
        <v>2264</v>
      </c>
      <c r="J1070" s="2" t="b">
        <f>COUNTIF(MASTER!$L$2:$L$1944,I1070)=0</f>
        <v>1</v>
      </c>
    </row>
    <row r="1071" spans="6:10" x14ac:dyDescent="0.35">
      <c r="F1071" s="2" t="s">
        <v>2265</v>
      </c>
      <c r="G1071" s="2" t="b">
        <f>COUNTIF(MASTER!$A$2:$A$1944,F1071)=0</f>
        <v>1</v>
      </c>
      <c r="H1071" s="2"/>
      <c r="I1071" s="2" t="s">
        <v>2266</v>
      </c>
      <c r="J1071" s="2" t="b">
        <f>COUNTIF(MASTER!$L$2:$L$1944,I1071)=0</f>
        <v>1</v>
      </c>
    </row>
    <row r="1072" spans="6:10" x14ac:dyDescent="0.35">
      <c r="F1072" s="2" t="s">
        <v>2267</v>
      </c>
      <c r="G1072" s="2" t="b">
        <f>COUNTIF(MASTER!$A$2:$A$1944,F1072)=0</f>
        <v>1</v>
      </c>
      <c r="H1072" s="2"/>
      <c r="I1072" s="2" t="s">
        <v>2268</v>
      </c>
      <c r="J1072" s="2" t="b">
        <f>COUNTIF(MASTER!$L$2:$L$1944,I1072)=0</f>
        <v>1</v>
      </c>
    </row>
    <row r="1073" spans="6:10" x14ac:dyDescent="0.35">
      <c r="F1073" s="2" t="s">
        <v>2269</v>
      </c>
      <c r="G1073" s="2" t="b">
        <f>COUNTIF(MASTER!$A$2:$A$1944,F1073)=0</f>
        <v>1</v>
      </c>
      <c r="H1073" s="2"/>
      <c r="I1073" s="2" t="s">
        <v>2270</v>
      </c>
      <c r="J1073" s="2" t="b">
        <f>COUNTIF(MASTER!$L$2:$L$1944,I1073)=0</f>
        <v>1</v>
      </c>
    </row>
    <row r="1074" spans="6:10" x14ac:dyDescent="0.35">
      <c r="F1074" s="2" t="s">
        <v>2271</v>
      </c>
      <c r="G1074" s="2" t="b">
        <f>COUNTIF(MASTER!$A$2:$A$1944,F1074)=0</f>
        <v>1</v>
      </c>
      <c r="H1074" s="2"/>
      <c r="I1074" s="2" t="s">
        <v>2272</v>
      </c>
      <c r="J1074" s="2" t="b">
        <f>COUNTIF(MASTER!$L$2:$L$1944,I1074)=0</f>
        <v>1</v>
      </c>
    </row>
    <row r="1075" spans="6:10" x14ac:dyDescent="0.35">
      <c r="F1075" s="2" t="s">
        <v>2273</v>
      </c>
      <c r="G1075" s="2" t="b">
        <f>COUNTIF(MASTER!$A$2:$A$1944,F1075)=0</f>
        <v>1</v>
      </c>
      <c r="H1075" s="2"/>
      <c r="I1075" s="2" t="s">
        <v>2274</v>
      </c>
      <c r="J1075" s="2" t="b">
        <f>COUNTIF(MASTER!$L$2:$L$1944,I1075)=0</f>
        <v>1</v>
      </c>
    </row>
    <row r="1076" spans="6:10" x14ac:dyDescent="0.35">
      <c r="F1076" s="2" t="s">
        <v>2275</v>
      </c>
      <c r="G1076" s="2" t="b">
        <f>COUNTIF(MASTER!$A$2:$A$1944,F1076)=0</f>
        <v>1</v>
      </c>
      <c r="H1076" s="2"/>
      <c r="I1076" s="2" t="s">
        <v>2276</v>
      </c>
      <c r="J1076" s="2" t="b">
        <f>COUNTIF(MASTER!$L$2:$L$1944,I1076)=0</f>
        <v>1</v>
      </c>
    </row>
    <row r="1077" spans="6:10" x14ac:dyDescent="0.35">
      <c r="F1077" s="2" t="s">
        <v>2277</v>
      </c>
      <c r="G1077" s="2" t="b">
        <f>COUNTIF(MASTER!$A$2:$A$1944,F1077)=0</f>
        <v>1</v>
      </c>
      <c r="H1077" s="2"/>
      <c r="I1077" s="2" t="s">
        <v>2278</v>
      </c>
      <c r="J1077" s="2" t="b">
        <f>COUNTIF(MASTER!$L$2:$L$1944,I1077)=0</f>
        <v>1</v>
      </c>
    </row>
    <row r="1078" spans="6:10" x14ac:dyDescent="0.35">
      <c r="F1078" s="2" t="s">
        <v>2279</v>
      </c>
      <c r="G1078" s="2" t="b">
        <f>COUNTIF(MASTER!$A$2:$A$1944,F1078)=0</f>
        <v>1</v>
      </c>
      <c r="H1078" s="2"/>
      <c r="I1078" s="2" t="s">
        <v>2280</v>
      </c>
      <c r="J1078" s="2" t="b">
        <f>COUNTIF(MASTER!$L$2:$L$1944,I1078)=0</f>
        <v>1</v>
      </c>
    </row>
    <row r="1079" spans="6:10" x14ac:dyDescent="0.35">
      <c r="F1079" s="2" t="s">
        <v>2281</v>
      </c>
      <c r="G1079" s="2" t="b">
        <f>COUNTIF(MASTER!$A$2:$A$1944,F1079)=0</f>
        <v>1</v>
      </c>
      <c r="H1079" s="2"/>
      <c r="I1079" s="2" t="s">
        <v>2282</v>
      </c>
      <c r="J1079" s="2" t="b">
        <f>COUNTIF(MASTER!$L$2:$L$1944,I1079)=0</f>
        <v>1</v>
      </c>
    </row>
    <row r="1080" spans="6:10" x14ac:dyDescent="0.35">
      <c r="F1080" s="2" t="s">
        <v>2283</v>
      </c>
      <c r="G1080" s="2" t="b">
        <f>COUNTIF(MASTER!$A$2:$A$1944,F1080)=0</f>
        <v>1</v>
      </c>
      <c r="H1080" s="2"/>
      <c r="I1080" s="2" t="s">
        <v>2284</v>
      </c>
      <c r="J1080" s="2" t="b">
        <f>COUNTIF(MASTER!$L$2:$L$1944,I1080)=0</f>
        <v>1</v>
      </c>
    </row>
    <row r="1081" spans="6:10" x14ac:dyDescent="0.35">
      <c r="F1081" s="2" t="s">
        <v>2285</v>
      </c>
      <c r="G1081" s="2" t="b">
        <f>COUNTIF(MASTER!$A$2:$A$1944,F1081)=0</f>
        <v>1</v>
      </c>
      <c r="H1081" s="2"/>
      <c r="I1081" s="2" t="s">
        <v>2286</v>
      </c>
      <c r="J1081" s="2" t="b">
        <f>COUNTIF(MASTER!$L$2:$L$1944,I1081)=0</f>
        <v>1</v>
      </c>
    </row>
    <row r="1082" spans="6:10" x14ac:dyDescent="0.35">
      <c r="F1082" s="2" t="s">
        <v>2287</v>
      </c>
      <c r="G1082" s="2" t="b">
        <f>COUNTIF(MASTER!$A$2:$A$1944,F1082)=0</f>
        <v>1</v>
      </c>
      <c r="H1082" s="2"/>
      <c r="I1082" s="2" t="s">
        <v>2288</v>
      </c>
      <c r="J1082" s="2" t="b">
        <f>COUNTIF(MASTER!$L$2:$L$1944,I1082)=0</f>
        <v>1</v>
      </c>
    </row>
    <row r="1083" spans="6:10" x14ac:dyDescent="0.35">
      <c r="F1083" s="2" t="s">
        <v>2289</v>
      </c>
      <c r="G1083" s="2" t="b">
        <f>COUNTIF(MASTER!$A$2:$A$1944,F1083)=0</f>
        <v>1</v>
      </c>
      <c r="H1083" s="2"/>
      <c r="I1083" s="2" t="s">
        <v>2290</v>
      </c>
      <c r="J1083" s="2" t="b">
        <f>COUNTIF(MASTER!$L$2:$L$1944,I1083)=0</f>
        <v>1</v>
      </c>
    </row>
    <row r="1084" spans="6:10" x14ac:dyDescent="0.35">
      <c r="F1084" s="2" t="s">
        <v>2291</v>
      </c>
      <c r="G1084" s="2" t="b">
        <f>COUNTIF(MASTER!$A$2:$A$1944,F1084)=0</f>
        <v>1</v>
      </c>
      <c r="H1084" s="2"/>
      <c r="I1084" s="2" t="s">
        <v>2292</v>
      </c>
      <c r="J1084" s="2" t="b">
        <f>COUNTIF(MASTER!$L$2:$L$1944,I1084)=0</f>
        <v>1</v>
      </c>
    </row>
    <row r="1085" spans="6:10" x14ac:dyDescent="0.35">
      <c r="F1085" s="2" t="s">
        <v>2293</v>
      </c>
      <c r="G1085" s="2" t="b">
        <f>COUNTIF(MASTER!$A$2:$A$1944,F1085)=0</f>
        <v>1</v>
      </c>
      <c r="H1085" s="2"/>
      <c r="I1085" s="2" t="s">
        <v>2294</v>
      </c>
      <c r="J1085" s="2" t="b">
        <f>COUNTIF(MASTER!$L$2:$L$1944,I1085)=0</f>
        <v>1</v>
      </c>
    </row>
    <row r="1086" spans="6:10" x14ac:dyDescent="0.35">
      <c r="F1086" s="2" t="s">
        <v>2295</v>
      </c>
      <c r="G1086" s="2" t="b">
        <f>COUNTIF(MASTER!$A$2:$A$1944,F1086)=0</f>
        <v>1</v>
      </c>
      <c r="H1086" s="2"/>
      <c r="I1086" s="2" t="s">
        <v>2296</v>
      </c>
      <c r="J1086" s="2" t="b">
        <f>COUNTIF(MASTER!$L$2:$L$1944,I1086)=0</f>
        <v>1</v>
      </c>
    </row>
    <row r="1087" spans="6:10" x14ac:dyDescent="0.35">
      <c r="F1087" s="2" t="s">
        <v>2297</v>
      </c>
      <c r="G1087" s="2" t="b">
        <f>COUNTIF(MASTER!$A$2:$A$1944,F1087)=0</f>
        <v>1</v>
      </c>
      <c r="H1087" s="2"/>
      <c r="I1087" s="2" t="s">
        <v>2298</v>
      </c>
      <c r="J1087" s="2" t="b">
        <f>COUNTIF(MASTER!$L$2:$L$1944,I1087)=0</f>
        <v>1</v>
      </c>
    </row>
    <row r="1088" spans="6:10" x14ac:dyDescent="0.35">
      <c r="F1088" s="2" t="s">
        <v>2299</v>
      </c>
      <c r="G1088" s="2" t="b">
        <f>COUNTIF(MASTER!$A$2:$A$1944,F1088)=0</f>
        <v>1</v>
      </c>
      <c r="H1088" s="2"/>
      <c r="I1088" s="2" t="s">
        <v>2300</v>
      </c>
      <c r="J1088" s="2" t="b">
        <f>COUNTIF(MASTER!$L$2:$L$1944,I1088)=0</f>
        <v>1</v>
      </c>
    </row>
    <row r="1089" spans="6:10" x14ac:dyDescent="0.35">
      <c r="F1089" s="2" t="s">
        <v>2301</v>
      </c>
      <c r="G1089" s="2" t="b">
        <f>COUNTIF(MASTER!$A$2:$A$1944,F1089)=0</f>
        <v>1</v>
      </c>
      <c r="H1089" s="2"/>
      <c r="I1089" s="2" t="s">
        <v>2302</v>
      </c>
      <c r="J1089" s="2" t="b">
        <f>COUNTIF(MASTER!$L$2:$L$1944,I1089)=0</f>
        <v>1</v>
      </c>
    </row>
    <row r="1090" spans="6:10" x14ac:dyDescent="0.35">
      <c r="F1090" s="2" t="s">
        <v>2303</v>
      </c>
      <c r="G1090" s="2" t="b">
        <f>COUNTIF(MASTER!$A$2:$A$1944,F1090)=0</f>
        <v>1</v>
      </c>
      <c r="H1090" s="2"/>
      <c r="I1090" s="2" t="s">
        <v>2304</v>
      </c>
      <c r="J1090" s="2" t="b">
        <f>COUNTIF(MASTER!$L$2:$L$1944,I1090)=0</f>
        <v>1</v>
      </c>
    </row>
    <row r="1091" spans="6:10" x14ac:dyDescent="0.35">
      <c r="F1091" s="2" t="s">
        <v>2305</v>
      </c>
      <c r="G1091" s="2" t="b">
        <f>COUNTIF(MASTER!$A$2:$A$1944,F1091)=0</f>
        <v>1</v>
      </c>
      <c r="H1091" s="2"/>
      <c r="I1091" s="2" t="s">
        <v>2306</v>
      </c>
      <c r="J1091" s="2" t="b">
        <f>COUNTIF(MASTER!$L$2:$L$1944,I1091)=0</f>
        <v>1</v>
      </c>
    </row>
    <row r="1092" spans="6:10" x14ac:dyDescent="0.35">
      <c r="F1092" s="2" t="s">
        <v>2307</v>
      </c>
      <c r="G1092" s="2" t="b">
        <f>COUNTIF(MASTER!$A$2:$A$1944,F1092)=0</f>
        <v>1</v>
      </c>
      <c r="H1092" s="2"/>
      <c r="I1092" s="2" t="s">
        <v>2308</v>
      </c>
      <c r="J1092" s="2" t="b">
        <f>COUNTIF(MASTER!$L$2:$L$1944,I1092)=0</f>
        <v>1</v>
      </c>
    </row>
    <row r="1093" spans="6:10" x14ac:dyDescent="0.35">
      <c r="F1093" s="2" t="s">
        <v>2309</v>
      </c>
      <c r="G1093" s="2" t="b">
        <f>COUNTIF(MASTER!$A$2:$A$1944,F1093)=0</f>
        <v>1</v>
      </c>
      <c r="H1093" s="2"/>
      <c r="I1093" s="2" t="s">
        <v>2310</v>
      </c>
      <c r="J1093" s="2" t="b">
        <f>COUNTIF(MASTER!$L$2:$L$1944,I1093)=0</f>
        <v>1</v>
      </c>
    </row>
    <row r="1094" spans="6:10" x14ac:dyDescent="0.35">
      <c r="F1094" s="2" t="s">
        <v>2311</v>
      </c>
      <c r="G1094" s="2" t="b">
        <f>COUNTIF(MASTER!$A$2:$A$1944,F1094)=0</f>
        <v>1</v>
      </c>
      <c r="H1094" s="2"/>
      <c r="I1094" s="2" t="s">
        <v>2312</v>
      </c>
      <c r="J1094" s="2" t="b">
        <f>COUNTIF(MASTER!$L$2:$L$1944,I1094)=0</f>
        <v>1</v>
      </c>
    </row>
    <row r="1095" spans="6:10" x14ac:dyDescent="0.35">
      <c r="F1095" s="2" t="s">
        <v>2313</v>
      </c>
      <c r="G1095" s="2" t="b">
        <f>COUNTIF(MASTER!$A$2:$A$1944,F1095)=0</f>
        <v>1</v>
      </c>
      <c r="H1095" s="2"/>
      <c r="I1095" s="2" t="s">
        <v>2314</v>
      </c>
      <c r="J1095" s="2" t="b">
        <f>COUNTIF(MASTER!$L$2:$L$1944,I1095)=0</f>
        <v>1</v>
      </c>
    </row>
    <row r="1096" spans="6:10" x14ac:dyDescent="0.35">
      <c r="F1096" s="2" t="s">
        <v>2315</v>
      </c>
      <c r="G1096" s="2" t="b">
        <f>COUNTIF(MASTER!$A$2:$A$1944,F1096)=0</f>
        <v>1</v>
      </c>
      <c r="H1096" s="2"/>
      <c r="I1096" s="2" t="s">
        <v>2316</v>
      </c>
      <c r="J1096" s="2" t="b">
        <f>COUNTIF(MASTER!$L$2:$L$1944,I1096)=0</f>
        <v>1</v>
      </c>
    </row>
    <row r="1097" spans="6:10" x14ac:dyDescent="0.35">
      <c r="F1097" s="2" t="s">
        <v>2317</v>
      </c>
      <c r="G1097" s="2" t="b">
        <f>COUNTIF(MASTER!$A$2:$A$1944,F1097)=0</f>
        <v>1</v>
      </c>
      <c r="H1097" s="2"/>
      <c r="I1097" s="2" t="s">
        <v>2318</v>
      </c>
      <c r="J1097" s="2" t="b">
        <f>COUNTIF(MASTER!$L$2:$L$1944,I1097)=0</f>
        <v>1</v>
      </c>
    </row>
    <row r="1098" spans="6:10" x14ac:dyDescent="0.35">
      <c r="F1098" s="2" t="s">
        <v>2319</v>
      </c>
      <c r="G1098" s="2" t="b">
        <f>COUNTIF(MASTER!$A$2:$A$1944,F1098)=0</f>
        <v>1</v>
      </c>
      <c r="H1098" s="2"/>
      <c r="I1098" s="2" t="s">
        <v>2320</v>
      </c>
      <c r="J1098" s="2" t="b">
        <f>COUNTIF(MASTER!$L$2:$L$1944,I1098)=0</f>
        <v>1</v>
      </c>
    </row>
    <row r="1099" spans="6:10" x14ac:dyDescent="0.35">
      <c r="F1099" s="2" t="s">
        <v>2321</v>
      </c>
      <c r="G1099" s="2" t="b">
        <f>COUNTIF(MASTER!$A$2:$A$1944,F1099)=0</f>
        <v>1</v>
      </c>
      <c r="H1099" s="2"/>
      <c r="I1099" s="2" t="s">
        <v>2322</v>
      </c>
      <c r="J1099" s="2" t="b">
        <f>COUNTIF(MASTER!$L$2:$L$1944,I1099)=0</f>
        <v>1</v>
      </c>
    </row>
    <row r="1100" spans="6:10" x14ac:dyDescent="0.35">
      <c r="F1100" s="2" t="s">
        <v>2323</v>
      </c>
      <c r="G1100" s="2" t="b">
        <f>COUNTIF(MASTER!$A$2:$A$1944,F1100)=0</f>
        <v>1</v>
      </c>
      <c r="H1100" s="2"/>
      <c r="I1100" s="2" t="s">
        <v>2324</v>
      </c>
      <c r="J1100" s="2" t="b">
        <f>COUNTIF(MASTER!$L$2:$L$1944,I1100)=0</f>
        <v>1</v>
      </c>
    </row>
    <row r="1101" spans="6:10" x14ac:dyDescent="0.35">
      <c r="F1101" s="2" t="s">
        <v>2325</v>
      </c>
      <c r="G1101" s="2" t="b">
        <f>COUNTIF(MASTER!$A$2:$A$1944,F1101)=0</f>
        <v>1</v>
      </c>
      <c r="H1101" s="2"/>
      <c r="I1101" s="2" t="s">
        <v>2326</v>
      </c>
      <c r="J1101" s="2" t="b">
        <f>COUNTIF(MASTER!$L$2:$L$1944,I1101)=0</f>
        <v>1</v>
      </c>
    </row>
    <row r="1102" spans="6:10" x14ac:dyDescent="0.35">
      <c r="F1102" s="2" t="s">
        <v>2327</v>
      </c>
      <c r="G1102" s="2" t="b">
        <f>COUNTIF(MASTER!$A$2:$A$1944,F1102)=0</f>
        <v>1</v>
      </c>
      <c r="H1102" s="2"/>
      <c r="I1102" s="2" t="s">
        <v>2328</v>
      </c>
      <c r="J1102" s="2" t="b">
        <f>COUNTIF(MASTER!$L$2:$L$1944,I1102)=0</f>
        <v>1</v>
      </c>
    </row>
    <row r="1103" spans="6:10" x14ac:dyDescent="0.35">
      <c r="F1103" s="2" t="s">
        <v>2329</v>
      </c>
      <c r="G1103" s="2" t="b">
        <f>COUNTIF(MASTER!$A$2:$A$1944,F1103)=0</f>
        <v>1</v>
      </c>
      <c r="H1103" s="2"/>
      <c r="I1103" s="2" t="s">
        <v>2330</v>
      </c>
      <c r="J1103" s="2" t="b">
        <f>COUNTIF(MASTER!$L$2:$L$1944,I1103)=0</f>
        <v>1</v>
      </c>
    </row>
    <row r="1104" spans="6:10" x14ac:dyDescent="0.35">
      <c r="F1104" s="2" t="s">
        <v>2331</v>
      </c>
      <c r="G1104" s="2" t="b">
        <f>COUNTIF(MASTER!$A$2:$A$1944,F1104)=0</f>
        <v>1</v>
      </c>
      <c r="H1104" s="2"/>
      <c r="I1104" s="2" t="s">
        <v>2332</v>
      </c>
      <c r="J1104" s="2" t="b">
        <f>COUNTIF(MASTER!$L$2:$L$1944,I1104)=0</f>
        <v>1</v>
      </c>
    </row>
    <row r="1105" spans="6:10" x14ac:dyDescent="0.35">
      <c r="F1105" s="2" t="s">
        <v>2333</v>
      </c>
      <c r="G1105" s="2" t="b">
        <f>COUNTIF(MASTER!$A$2:$A$1944,F1105)=0</f>
        <v>1</v>
      </c>
      <c r="H1105" s="2"/>
      <c r="I1105" s="2" t="s">
        <v>2334</v>
      </c>
      <c r="J1105" s="2" t="b">
        <f>COUNTIF(MASTER!$L$2:$L$1944,I1105)=0</f>
        <v>1</v>
      </c>
    </row>
    <row r="1106" spans="6:10" x14ac:dyDescent="0.35">
      <c r="F1106" s="2" t="s">
        <v>2335</v>
      </c>
      <c r="G1106" s="2" t="b">
        <f>COUNTIF(MASTER!$A$2:$A$1944,F1106)=0</f>
        <v>1</v>
      </c>
      <c r="H1106" s="2"/>
      <c r="I1106" s="2" t="s">
        <v>2336</v>
      </c>
      <c r="J1106" s="2" t="b">
        <f>COUNTIF(MASTER!$L$2:$L$1944,I1106)=0</f>
        <v>1</v>
      </c>
    </row>
    <row r="1107" spans="6:10" x14ac:dyDescent="0.35">
      <c r="F1107" s="2" t="s">
        <v>2337</v>
      </c>
      <c r="G1107" s="2" t="b">
        <f>COUNTIF(MASTER!$A$2:$A$1944,F1107)=0</f>
        <v>1</v>
      </c>
      <c r="H1107" s="2"/>
      <c r="I1107" s="2" t="s">
        <v>2338</v>
      </c>
      <c r="J1107" s="2" t="b">
        <f>COUNTIF(MASTER!$L$2:$L$1944,I1107)=0</f>
        <v>1</v>
      </c>
    </row>
    <row r="1108" spans="6:10" x14ac:dyDescent="0.35">
      <c r="F1108" s="2" t="s">
        <v>2339</v>
      </c>
      <c r="G1108" s="2" t="b">
        <f>COUNTIF(MASTER!$A$2:$A$1944,F1108)=0</f>
        <v>1</v>
      </c>
      <c r="H1108" s="2"/>
      <c r="I1108" s="2" t="s">
        <v>2340</v>
      </c>
      <c r="J1108" s="2" t="b">
        <f>COUNTIF(MASTER!$L$2:$L$1944,I1108)=0</f>
        <v>1</v>
      </c>
    </row>
    <row r="1109" spans="6:10" x14ac:dyDescent="0.35">
      <c r="F1109" s="2" t="s">
        <v>2341</v>
      </c>
      <c r="G1109" s="2" t="b">
        <f>COUNTIF(MASTER!$A$2:$A$1944,F1109)=0</f>
        <v>1</v>
      </c>
      <c r="H1109" s="2"/>
      <c r="I1109" s="2" t="s">
        <v>2342</v>
      </c>
      <c r="J1109" s="2" t="b">
        <f>COUNTIF(MASTER!$L$2:$L$1944,I1109)=0</f>
        <v>1</v>
      </c>
    </row>
    <row r="1110" spans="6:10" x14ac:dyDescent="0.35">
      <c r="F1110" s="2" t="s">
        <v>2343</v>
      </c>
      <c r="G1110" s="2" t="b">
        <f>COUNTIF(MASTER!$A$2:$A$1944,F1110)=0</f>
        <v>1</v>
      </c>
      <c r="H1110" s="2"/>
      <c r="I1110" s="2" t="s">
        <v>2344</v>
      </c>
      <c r="J1110" s="2" t="b">
        <f>COUNTIF(MASTER!$L$2:$L$1944,I1110)=0</f>
        <v>1</v>
      </c>
    </row>
    <row r="1111" spans="6:10" x14ac:dyDescent="0.35">
      <c r="F1111" s="2" t="s">
        <v>2345</v>
      </c>
      <c r="G1111" s="2" t="b">
        <f>COUNTIF(MASTER!$A$2:$A$1944,F1111)=0</f>
        <v>1</v>
      </c>
      <c r="H1111" s="2"/>
      <c r="I1111" s="2" t="s">
        <v>2346</v>
      </c>
      <c r="J1111" s="2" t="b">
        <f>COUNTIF(MASTER!$L$2:$L$1944,I1111)=0</f>
        <v>1</v>
      </c>
    </row>
    <row r="1112" spans="6:10" x14ac:dyDescent="0.35">
      <c r="F1112" s="2" t="s">
        <v>2347</v>
      </c>
      <c r="G1112" s="2" t="b">
        <f>COUNTIF(MASTER!$A$2:$A$1944,F1112)=0</f>
        <v>1</v>
      </c>
      <c r="H1112" s="2"/>
      <c r="I1112" s="2" t="s">
        <v>2348</v>
      </c>
      <c r="J1112" s="2" t="b">
        <f>COUNTIF(MASTER!$L$2:$L$1944,I1112)=0</f>
        <v>1</v>
      </c>
    </row>
    <row r="1113" spans="6:10" x14ac:dyDescent="0.35">
      <c r="F1113" s="2" t="s">
        <v>2349</v>
      </c>
      <c r="G1113" s="2" t="b">
        <f>COUNTIF(MASTER!$A$2:$A$1944,F1113)=0</f>
        <v>1</v>
      </c>
      <c r="H1113" s="2"/>
      <c r="I1113" s="2" t="s">
        <v>2350</v>
      </c>
      <c r="J1113" s="2" t="b">
        <f>COUNTIF(MASTER!$L$2:$L$1944,I1113)=0</f>
        <v>1</v>
      </c>
    </row>
    <row r="1114" spans="6:10" x14ac:dyDescent="0.35">
      <c r="F1114" s="2" t="s">
        <v>2351</v>
      </c>
      <c r="G1114" s="2" t="b">
        <f>COUNTIF(MASTER!$A$2:$A$1944,F1114)=0</f>
        <v>1</v>
      </c>
      <c r="H1114" s="2"/>
      <c r="I1114" s="2" t="s">
        <v>2352</v>
      </c>
      <c r="J1114" s="2" t="b">
        <f>COUNTIF(MASTER!$L$2:$L$1944,I1114)=0</f>
        <v>1</v>
      </c>
    </row>
    <row r="1115" spans="6:10" x14ac:dyDescent="0.35">
      <c r="F1115" s="2" t="s">
        <v>2353</v>
      </c>
      <c r="G1115" s="2" t="b">
        <f>COUNTIF(MASTER!$A$2:$A$1944,F1115)=0</f>
        <v>1</v>
      </c>
      <c r="H1115" s="2"/>
      <c r="I1115" s="2" t="s">
        <v>2354</v>
      </c>
      <c r="J1115" s="2" t="b">
        <f>COUNTIF(MASTER!$L$2:$L$1944,I1115)=0</f>
        <v>1</v>
      </c>
    </row>
    <row r="1116" spans="6:10" x14ac:dyDescent="0.35">
      <c r="F1116" s="2" t="s">
        <v>2355</v>
      </c>
      <c r="G1116" s="2" t="b">
        <f>COUNTIF(MASTER!$A$2:$A$1944,F1116)=0</f>
        <v>1</v>
      </c>
      <c r="H1116" s="2"/>
      <c r="I1116" s="2" t="s">
        <v>2356</v>
      </c>
      <c r="J1116" s="2" t="b">
        <f>COUNTIF(MASTER!$L$2:$L$1944,I1116)=0</f>
        <v>1</v>
      </c>
    </row>
    <row r="1117" spans="6:10" x14ac:dyDescent="0.35">
      <c r="F1117" s="2" t="s">
        <v>2357</v>
      </c>
      <c r="G1117" s="2" t="b">
        <f>COUNTIF(MASTER!$A$2:$A$1944,F1117)=0</f>
        <v>1</v>
      </c>
      <c r="H1117" s="2"/>
      <c r="I1117" s="2" t="s">
        <v>2358</v>
      </c>
      <c r="J1117" s="2" t="b">
        <f>COUNTIF(MASTER!$L$2:$L$1944,I1117)=0</f>
        <v>1</v>
      </c>
    </row>
    <row r="1118" spans="6:10" x14ac:dyDescent="0.35">
      <c r="F1118" s="2" t="s">
        <v>2359</v>
      </c>
      <c r="G1118" s="2" t="b">
        <f>COUNTIF(MASTER!$A$2:$A$1944,F1118)=0</f>
        <v>1</v>
      </c>
      <c r="H1118" s="2"/>
      <c r="I1118" s="2" t="s">
        <v>2360</v>
      </c>
      <c r="J1118" s="2" t="b">
        <f>COUNTIF(MASTER!$L$2:$L$1944,I1118)=0</f>
        <v>1</v>
      </c>
    </row>
    <row r="1119" spans="6:10" x14ac:dyDescent="0.35">
      <c r="F1119" s="2" t="s">
        <v>2361</v>
      </c>
      <c r="G1119" s="2" t="b">
        <f>COUNTIF(MASTER!$A$2:$A$1944,F1119)=0</f>
        <v>1</v>
      </c>
      <c r="H1119" s="2"/>
      <c r="I1119" s="2" t="s">
        <v>2362</v>
      </c>
      <c r="J1119" s="2" t="b">
        <f>COUNTIF(MASTER!$L$2:$L$1944,I1119)=0</f>
        <v>1</v>
      </c>
    </row>
    <row r="1120" spans="6:10" x14ac:dyDescent="0.35">
      <c r="F1120" s="2" t="s">
        <v>2363</v>
      </c>
      <c r="G1120" s="2" t="b">
        <f>COUNTIF(MASTER!$A$2:$A$1944,F1120)=0</f>
        <v>1</v>
      </c>
      <c r="H1120" s="2"/>
      <c r="I1120" s="2" t="s">
        <v>2364</v>
      </c>
      <c r="J1120" s="2" t="b">
        <f>COUNTIF(MASTER!$L$2:$L$1944,I1120)=0</f>
        <v>1</v>
      </c>
    </row>
    <row r="1121" spans="6:10" x14ac:dyDescent="0.35">
      <c r="F1121" s="2" t="s">
        <v>2365</v>
      </c>
      <c r="G1121" s="2" t="b">
        <f>COUNTIF(MASTER!$A$2:$A$1944,F1121)=0</f>
        <v>1</v>
      </c>
      <c r="H1121" s="2"/>
      <c r="I1121" s="2" t="s">
        <v>2366</v>
      </c>
      <c r="J1121" s="2" t="b">
        <f>COUNTIF(MASTER!$L$2:$L$1944,I1121)=0</f>
        <v>1</v>
      </c>
    </row>
    <row r="1122" spans="6:10" x14ac:dyDescent="0.35">
      <c r="F1122" s="2" t="s">
        <v>2367</v>
      </c>
      <c r="G1122" s="2" t="b">
        <f>COUNTIF(MASTER!$A$2:$A$1944,F1122)=0</f>
        <v>1</v>
      </c>
      <c r="H1122" s="2"/>
      <c r="I1122" s="2" t="s">
        <v>2368</v>
      </c>
      <c r="J1122" s="2" t="b">
        <f>COUNTIF(MASTER!$L$2:$L$1944,I1122)=0</f>
        <v>1</v>
      </c>
    </row>
    <row r="1123" spans="6:10" x14ac:dyDescent="0.35">
      <c r="F1123" s="2" t="s">
        <v>2369</v>
      </c>
      <c r="G1123" s="2" t="b">
        <f>COUNTIF(MASTER!$A$2:$A$1944,F1123)=0</f>
        <v>1</v>
      </c>
      <c r="H1123" s="2"/>
      <c r="I1123" s="2" t="s">
        <v>2370</v>
      </c>
      <c r="J1123" s="2" t="b">
        <f>COUNTIF(MASTER!$L$2:$L$1944,I1123)=0</f>
        <v>1</v>
      </c>
    </row>
    <row r="1124" spans="6:10" x14ac:dyDescent="0.35">
      <c r="F1124" s="2" t="s">
        <v>2371</v>
      </c>
      <c r="G1124" s="2" t="b">
        <f>COUNTIF(MASTER!$A$2:$A$1944,F1124)=0</f>
        <v>1</v>
      </c>
      <c r="H1124" s="2"/>
      <c r="I1124" s="2" t="s">
        <v>2372</v>
      </c>
      <c r="J1124" s="2" t="b">
        <f>COUNTIF(MASTER!$L$2:$L$1944,I1124)=0</f>
        <v>1</v>
      </c>
    </row>
    <row r="1125" spans="6:10" x14ac:dyDescent="0.35">
      <c r="F1125" s="2" t="s">
        <v>2373</v>
      </c>
      <c r="G1125" s="2" t="b">
        <f>COUNTIF(MASTER!$A$2:$A$1944,F1125)=0</f>
        <v>1</v>
      </c>
      <c r="H1125" s="2"/>
      <c r="I1125" s="2" t="s">
        <v>2374</v>
      </c>
      <c r="J1125" s="2" t="b">
        <f>COUNTIF(MASTER!$L$2:$L$1944,I1125)=0</f>
        <v>1</v>
      </c>
    </row>
    <row r="1126" spans="6:10" x14ac:dyDescent="0.35">
      <c r="F1126" s="2" t="s">
        <v>2375</v>
      </c>
      <c r="G1126" s="2" t="b">
        <f>COUNTIF(MASTER!$A$2:$A$1944,F1126)=0</f>
        <v>1</v>
      </c>
      <c r="H1126" s="2"/>
      <c r="I1126" s="2" t="s">
        <v>2376</v>
      </c>
      <c r="J1126" s="2" t="b">
        <f>COUNTIF(MASTER!$L$2:$L$1944,I1126)=0</f>
        <v>1</v>
      </c>
    </row>
    <row r="1127" spans="6:10" x14ac:dyDescent="0.35">
      <c r="F1127" s="2" t="s">
        <v>2377</v>
      </c>
      <c r="G1127" s="2" t="b">
        <f>COUNTIF(MASTER!$A$2:$A$1944,F1127)=0</f>
        <v>1</v>
      </c>
      <c r="H1127" s="2"/>
      <c r="I1127" s="2" t="s">
        <v>2378</v>
      </c>
      <c r="J1127" s="2" t="b">
        <f>COUNTIF(MASTER!$L$2:$L$1944,I1127)=0</f>
        <v>1</v>
      </c>
    </row>
    <row r="1128" spans="6:10" x14ac:dyDescent="0.35">
      <c r="F1128" s="2" t="s">
        <v>2379</v>
      </c>
      <c r="G1128" s="2" t="b">
        <f>COUNTIF(MASTER!$A$2:$A$1944,F1128)=0</f>
        <v>1</v>
      </c>
      <c r="H1128" s="2"/>
      <c r="I1128" s="2" t="s">
        <v>2380</v>
      </c>
      <c r="J1128" s="2" t="b">
        <f>COUNTIF(MASTER!$L$2:$L$1944,I1128)=0</f>
        <v>1</v>
      </c>
    </row>
    <row r="1129" spans="6:10" x14ac:dyDescent="0.35">
      <c r="F1129" s="2" t="s">
        <v>2381</v>
      </c>
      <c r="G1129" s="2" t="b">
        <f>COUNTIF(MASTER!$A$2:$A$1944,F1129)=0</f>
        <v>1</v>
      </c>
      <c r="H1129" s="2"/>
      <c r="I1129" s="2" t="s">
        <v>2382</v>
      </c>
      <c r="J1129" s="2" t="b">
        <f>COUNTIF(MASTER!$L$2:$L$1944,I1129)=0</f>
        <v>1</v>
      </c>
    </row>
    <row r="1130" spans="6:10" x14ac:dyDescent="0.35">
      <c r="F1130" s="2" t="s">
        <v>2383</v>
      </c>
      <c r="G1130" s="2" t="b">
        <f>COUNTIF(MASTER!$A$2:$A$1944,F1130)=0</f>
        <v>1</v>
      </c>
      <c r="H1130" s="2"/>
      <c r="I1130" s="2" t="s">
        <v>2384</v>
      </c>
      <c r="J1130" s="2" t="b">
        <f>COUNTIF(MASTER!$L$2:$L$1944,I1130)=0</f>
        <v>1</v>
      </c>
    </row>
    <row r="1131" spans="6:10" x14ac:dyDescent="0.35">
      <c r="F1131" s="2" t="s">
        <v>2385</v>
      </c>
      <c r="G1131" s="2" t="b">
        <f>COUNTIF(MASTER!$A$2:$A$1944,F1131)=0</f>
        <v>1</v>
      </c>
      <c r="H1131" s="2"/>
      <c r="I1131" s="2" t="s">
        <v>2386</v>
      </c>
      <c r="J1131" s="2" t="b">
        <f>COUNTIF(MASTER!$L$2:$L$1944,I1131)=0</f>
        <v>1</v>
      </c>
    </row>
    <row r="1132" spans="6:10" x14ac:dyDescent="0.35">
      <c r="F1132" s="2" t="s">
        <v>2387</v>
      </c>
      <c r="G1132" s="2" t="b">
        <f>COUNTIF(MASTER!$A$2:$A$1944,F1132)=0</f>
        <v>1</v>
      </c>
      <c r="H1132" s="2"/>
      <c r="I1132" s="2" t="s">
        <v>2388</v>
      </c>
      <c r="J1132" s="2" t="b">
        <f>COUNTIF(MASTER!$L$2:$L$1944,I1132)=0</f>
        <v>1</v>
      </c>
    </row>
    <row r="1133" spans="6:10" x14ac:dyDescent="0.35">
      <c r="F1133" s="2" t="s">
        <v>2389</v>
      </c>
      <c r="G1133" s="2" t="b">
        <f>COUNTIF(MASTER!$A$2:$A$1944,F1133)=0</f>
        <v>1</v>
      </c>
      <c r="H1133" s="2"/>
      <c r="I1133" s="2" t="s">
        <v>2390</v>
      </c>
      <c r="J1133" s="2" t="b">
        <f>COUNTIF(MASTER!$L$2:$L$1944,I1133)=0</f>
        <v>1</v>
      </c>
    </row>
    <row r="1134" spans="6:10" x14ac:dyDescent="0.35">
      <c r="F1134" s="2" t="s">
        <v>2391</v>
      </c>
      <c r="G1134" s="2" t="b">
        <f>COUNTIF(MASTER!$A$2:$A$1944,F1134)=0</f>
        <v>1</v>
      </c>
      <c r="H1134" s="2"/>
      <c r="I1134" s="2" t="s">
        <v>2392</v>
      </c>
      <c r="J1134" s="2" t="b">
        <f>COUNTIF(MASTER!$L$2:$L$1944,I1134)=0</f>
        <v>1</v>
      </c>
    </row>
    <row r="1135" spans="6:10" x14ac:dyDescent="0.35">
      <c r="F1135" s="2" t="s">
        <v>2393</v>
      </c>
      <c r="G1135" s="2" t="b">
        <f>COUNTIF(MASTER!$A$2:$A$1944,F1135)=0</f>
        <v>1</v>
      </c>
      <c r="H1135" s="2"/>
      <c r="I1135" s="2" t="s">
        <v>2394</v>
      </c>
      <c r="J1135" s="2" t="b">
        <f>COUNTIF(MASTER!$L$2:$L$1944,I1135)=0</f>
        <v>1</v>
      </c>
    </row>
    <row r="1136" spans="6:10" x14ac:dyDescent="0.35">
      <c r="F1136" s="2" t="s">
        <v>2395</v>
      </c>
      <c r="G1136" s="2" t="b">
        <f>COUNTIF(MASTER!$A$2:$A$1944,F1136)=0</f>
        <v>1</v>
      </c>
      <c r="H1136" s="2"/>
      <c r="I1136" s="2" t="s">
        <v>2396</v>
      </c>
      <c r="J1136" s="2" t="b">
        <f>COUNTIF(MASTER!$L$2:$L$1944,I1136)=0</f>
        <v>1</v>
      </c>
    </row>
    <row r="1137" spans="6:10" x14ac:dyDescent="0.35">
      <c r="F1137" s="2" t="s">
        <v>2397</v>
      </c>
      <c r="G1137" s="2" t="b">
        <f>COUNTIF(MASTER!$A$2:$A$1944,F1137)=0</f>
        <v>1</v>
      </c>
      <c r="H1137" s="2"/>
      <c r="I1137" s="2" t="s">
        <v>2398</v>
      </c>
      <c r="J1137" s="2" t="b">
        <f>COUNTIF(MASTER!$L$2:$L$1944,I1137)=0</f>
        <v>1</v>
      </c>
    </row>
    <row r="1138" spans="6:10" x14ac:dyDescent="0.35">
      <c r="F1138" s="2" t="s">
        <v>2399</v>
      </c>
      <c r="G1138" s="2" t="b">
        <f>COUNTIF(MASTER!$A$2:$A$1944,F1138)=0</f>
        <v>1</v>
      </c>
      <c r="H1138" s="2"/>
      <c r="I1138" s="2" t="s">
        <v>2400</v>
      </c>
      <c r="J1138" s="2" t="b">
        <f>COUNTIF(MASTER!$L$2:$L$1944,I1138)=0</f>
        <v>1</v>
      </c>
    </row>
    <row r="1139" spans="6:10" x14ac:dyDescent="0.35">
      <c r="F1139" s="2" t="s">
        <v>2401</v>
      </c>
      <c r="G1139" s="2" t="b">
        <f>COUNTIF(MASTER!$A$2:$A$1944,F1139)=0</f>
        <v>1</v>
      </c>
      <c r="H1139" s="2"/>
      <c r="I1139" s="2" t="s">
        <v>2402</v>
      </c>
      <c r="J1139" s="2" t="b">
        <f>COUNTIF(MASTER!$L$2:$L$1944,I1139)=0</f>
        <v>1</v>
      </c>
    </row>
    <row r="1140" spans="6:10" x14ac:dyDescent="0.35">
      <c r="F1140" s="2" t="s">
        <v>2403</v>
      </c>
      <c r="G1140" s="2" t="b">
        <f>COUNTIF(MASTER!$A$2:$A$1944,F1140)=0</f>
        <v>1</v>
      </c>
      <c r="H1140" s="2"/>
      <c r="I1140" s="2" t="s">
        <v>2404</v>
      </c>
      <c r="J1140" s="2" t="b">
        <f>COUNTIF(MASTER!$L$2:$L$1944,I1140)=0</f>
        <v>1</v>
      </c>
    </row>
    <row r="1141" spans="6:10" x14ac:dyDescent="0.35">
      <c r="F1141" s="2" t="s">
        <v>2405</v>
      </c>
      <c r="G1141" s="2" t="b">
        <f>COUNTIF(MASTER!$A$2:$A$1944,F1141)=0</f>
        <v>1</v>
      </c>
      <c r="H1141" s="2"/>
      <c r="I1141" s="2" t="s">
        <v>2406</v>
      </c>
      <c r="J1141" s="2" t="b">
        <f>COUNTIF(MASTER!$L$2:$L$1944,I1141)=0</f>
        <v>1</v>
      </c>
    </row>
    <row r="1142" spans="6:10" x14ac:dyDescent="0.35">
      <c r="F1142" s="2" t="s">
        <v>2407</v>
      </c>
      <c r="G1142" s="2" t="b">
        <f>COUNTIF(MASTER!$A$2:$A$1944,F1142)=0</f>
        <v>1</v>
      </c>
      <c r="H1142" s="2"/>
      <c r="I1142" s="2" t="s">
        <v>2408</v>
      </c>
      <c r="J1142" s="2" t="b">
        <f>COUNTIF(MASTER!$L$2:$L$1944,I1142)=0</f>
        <v>1</v>
      </c>
    </row>
    <row r="1143" spans="6:10" x14ac:dyDescent="0.35">
      <c r="F1143" s="2" t="s">
        <v>2409</v>
      </c>
      <c r="G1143" s="2" t="b">
        <f>COUNTIF(MASTER!$A$2:$A$1944,F1143)=0</f>
        <v>1</v>
      </c>
      <c r="H1143" s="2"/>
      <c r="I1143" s="2" t="s">
        <v>2410</v>
      </c>
      <c r="J1143" s="2" t="b">
        <f>COUNTIF(MASTER!$L$2:$L$1944,I1143)=0</f>
        <v>1</v>
      </c>
    </row>
    <row r="1144" spans="6:10" x14ac:dyDescent="0.35">
      <c r="F1144" s="2" t="s">
        <v>2411</v>
      </c>
      <c r="G1144" s="2" t="b">
        <f>COUNTIF(MASTER!$A$2:$A$1944,F1144)=0</f>
        <v>1</v>
      </c>
      <c r="H1144" s="2"/>
      <c r="I1144" s="2" t="s">
        <v>2412</v>
      </c>
      <c r="J1144" s="2" t="b">
        <f>COUNTIF(MASTER!$L$2:$L$1944,I1144)=0</f>
        <v>1</v>
      </c>
    </row>
    <row r="1145" spans="6:10" x14ac:dyDescent="0.35">
      <c r="F1145" s="2" t="s">
        <v>2413</v>
      </c>
      <c r="G1145" s="2" t="b">
        <f>COUNTIF(MASTER!$A$2:$A$1944,F1145)=0</f>
        <v>1</v>
      </c>
      <c r="H1145" s="2"/>
      <c r="I1145" s="2" t="s">
        <v>2414</v>
      </c>
      <c r="J1145" s="2" t="b">
        <f>COUNTIF(MASTER!$L$2:$L$1944,I1145)=0</f>
        <v>1</v>
      </c>
    </row>
    <row r="1146" spans="6:10" x14ac:dyDescent="0.35">
      <c r="F1146" s="2" t="s">
        <v>2415</v>
      </c>
      <c r="G1146" s="2" t="b">
        <f>COUNTIF(MASTER!$A$2:$A$1944,F1146)=0</f>
        <v>1</v>
      </c>
      <c r="H1146" s="2"/>
      <c r="I1146" s="2" t="s">
        <v>2416</v>
      </c>
      <c r="J1146" s="2" t="b">
        <f>COUNTIF(MASTER!$L$2:$L$1944,I1146)=0</f>
        <v>1</v>
      </c>
    </row>
    <row r="1147" spans="6:10" x14ac:dyDescent="0.35">
      <c r="F1147" s="2" t="s">
        <v>2417</v>
      </c>
      <c r="G1147" s="2" t="b">
        <f>COUNTIF(MASTER!$A$2:$A$1944,F1147)=0</f>
        <v>1</v>
      </c>
      <c r="H1147" s="2"/>
      <c r="I1147" s="2" t="s">
        <v>2418</v>
      </c>
      <c r="J1147" s="2" t="b">
        <f>COUNTIF(MASTER!$L$2:$L$1944,I1147)=0</f>
        <v>1</v>
      </c>
    </row>
    <row r="1148" spans="6:10" x14ac:dyDescent="0.35">
      <c r="F1148" s="2" t="s">
        <v>2419</v>
      </c>
      <c r="G1148" s="2" t="b">
        <f>COUNTIF(MASTER!$A$2:$A$1944,F1148)=0</f>
        <v>1</v>
      </c>
      <c r="H1148" s="2"/>
      <c r="I1148" s="2" t="s">
        <v>2420</v>
      </c>
      <c r="J1148" s="2" t="b">
        <f>COUNTIF(MASTER!$L$2:$L$1944,I1148)=0</f>
        <v>1</v>
      </c>
    </row>
    <row r="1149" spans="6:10" x14ac:dyDescent="0.35">
      <c r="F1149" s="2" t="s">
        <v>2421</v>
      </c>
      <c r="G1149" s="2" t="b">
        <f>COUNTIF(MASTER!$A$2:$A$1944,F1149)=0</f>
        <v>1</v>
      </c>
      <c r="H1149" s="2"/>
      <c r="I1149" s="2" t="s">
        <v>2422</v>
      </c>
      <c r="J1149" s="2" t="b">
        <f>COUNTIF(MASTER!$L$2:$L$1944,I1149)=0</f>
        <v>1</v>
      </c>
    </row>
    <row r="1150" spans="6:10" x14ac:dyDescent="0.35">
      <c r="F1150" s="2" t="s">
        <v>2423</v>
      </c>
      <c r="G1150" s="2" t="b">
        <f>COUNTIF(MASTER!$A$2:$A$1944,F1150)=0</f>
        <v>1</v>
      </c>
      <c r="H1150" s="2"/>
      <c r="I1150" s="2" t="s">
        <v>2424</v>
      </c>
      <c r="J1150" s="2" t="b">
        <f>COUNTIF(MASTER!$L$2:$L$1944,I1150)=0</f>
        <v>1</v>
      </c>
    </row>
    <row r="1151" spans="6:10" x14ac:dyDescent="0.35">
      <c r="F1151" s="2" t="s">
        <v>2425</v>
      </c>
      <c r="G1151" s="2" t="b">
        <f>COUNTIF(MASTER!$A$2:$A$1944,F1151)=0</f>
        <v>1</v>
      </c>
      <c r="H1151" s="2"/>
      <c r="I1151" s="2" t="s">
        <v>2426</v>
      </c>
      <c r="J1151" s="2" t="b">
        <f>COUNTIF(MASTER!$L$2:$L$1944,I1151)=0</f>
        <v>1</v>
      </c>
    </row>
    <row r="1152" spans="6:10" x14ac:dyDescent="0.35">
      <c r="F1152" s="2" t="s">
        <v>2427</v>
      </c>
      <c r="G1152" s="2" t="b">
        <f>COUNTIF(MASTER!$A$2:$A$1944,F1152)=0</f>
        <v>1</v>
      </c>
      <c r="H1152" s="2"/>
      <c r="I1152" s="2" t="s">
        <v>2428</v>
      </c>
      <c r="J1152" s="2" t="b">
        <f>COUNTIF(MASTER!$L$2:$L$1944,I1152)=0</f>
        <v>1</v>
      </c>
    </row>
    <row r="1153" spans="6:10" x14ac:dyDescent="0.35">
      <c r="F1153" s="2" t="s">
        <v>2429</v>
      </c>
      <c r="G1153" s="2" t="b">
        <f>COUNTIF(MASTER!$A$2:$A$1944,F1153)=0</f>
        <v>1</v>
      </c>
      <c r="H1153" s="2"/>
      <c r="I1153" s="2" t="s">
        <v>2430</v>
      </c>
      <c r="J1153" s="2" t="b">
        <f>COUNTIF(MASTER!$L$2:$L$1944,I1153)=0</f>
        <v>1</v>
      </c>
    </row>
    <row r="1154" spans="6:10" x14ac:dyDescent="0.35">
      <c r="F1154" s="2" t="s">
        <v>2431</v>
      </c>
      <c r="G1154" s="2" t="b">
        <f>COUNTIF(MASTER!$A$2:$A$1944,F1154)=0</f>
        <v>1</v>
      </c>
      <c r="H1154" s="2"/>
      <c r="I1154" s="2" t="s">
        <v>2432</v>
      </c>
      <c r="J1154" s="2" t="b">
        <f>COUNTIF(MASTER!$L$2:$L$1944,I1154)=0</f>
        <v>1</v>
      </c>
    </row>
    <row r="1155" spans="6:10" x14ac:dyDescent="0.35">
      <c r="F1155" s="2" t="s">
        <v>2433</v>
      </c>
      <c r="G1155" s="2" t="b">
        <f>COUNTIF(MASTER!$A$2:$A$1944,F1155)=0</f>
        <v>1</v>
      </c>
      <c r="H1155" s="2"/>
      <c r="I1155" s="2" t="s">
        <v>2434</v>
      </c>
      <c r="J1155" s="2" t="b">
        <f>COUNTIF(MASTER!$L$2:$L$1944,I1155)=0</f>
        <v>1</v>
      </c>
    </row>
    <row r="1156" spans="6:10" x14ac:dyDescent="0.35">
      <c r="F1156" s="2" t="s">
        <v>2435</v>
      </c>
      <c r="G1156" s="2" t="b">
        <f>COUNTIF(MASTER!$A$2:$A$1944,F1156)=0</f>
        <v>1</v>
      </c>
      <c r="H1156" s="2"/>
      <c r="I1156" s="2" t="s">
        <v>2436</v>
      </c>
      <c r="J1156" s="2" t="b">
        <f>COUNTIF(MASTER!$L$2:$L$1944,I1156)=0</f>
        <v>1</v>
      </c>
    </row>
    <row r="1157" spans="6:10" x14ac:dyDescent="0.35">
      <c r="F1157" s="2" t="s">
        <v>2437</v>
      </c>
      <c r="G1157" s="2" t="b">
        <f>COUNTIF(MASTER!$A$2:$A$1944,F1157)=0</f>
        <v>1</v>
      </c>
      <c r="H1157" s="2"/>
      <c r="I1157" s="2" t="s">
        <v>2438</v>
      </c>
      <c r="J1157" s="2" t="b">
        <f>COUNTIF(MASTER!$L$2:$L$1944,I1157)=0</f>
        <v>1</v>
      </c>
    </row>
    <row r="1158" spans="6:10" x14ac:dyDescent="0.35">
      <c r="F1158" s="2" t="s">
        <v>2439</v>
      </c>
      <c r="G1158" s="2" t="b">
        <f>COUNTIF(MASTER!$A$2:$A$1944,F1158)=0</f>
        <v>1</v>
      </c>
      <c r="H1158" s="2"/>
      <c r="I1158" s="2" t="s">
        <v>2440</v>
      </c>
      <c r="J1158" s="2" t="b">
        <f>COUNTIF(MASTER!$L$2:$L$1944,I1158)=0</f>
        <v>1</v>
      </c>
    </row>
    <row r="1159" spans="6:10" x14ac:dyDescent="0.35">
      <c r="F1159" s="2" t="s">
        <v>2441</v>
      </c>
      <c r="G1159" s="2" t="b">
        <f>COUNTIF(MASTER!$A$2:$A$1944,F1159)=0</f>
        <v>1</v>
      </c>
      <c r="H1159" s="2"/>
      <c r="I1159" s="2" t="s">
        <v>2442</v>
      </c>
      <c r="J1159" s="2" t="b">
        <f>COUNTIF(MASTER!$L$2:$L$1944,I1159)=0</f>
        <v>1</v>
      </c>
    </row>
    <row r="1160" spans="6:10" x14ac:dyDescent="0.35">
      <c r="F1160" s="2" t="s">
        <v>2443</v>
      </c>
      <c r="G1160" s="2" t="b">
        <f>COUNTIF(MASTER!$A$2:$A$1944,F1160)=0</f>
        <v>1</v>
      </c>
      <c r="H1160" s="2"/>
      <c r="I1160" s="2" t="s">
        <v>2444</v>
      </c>
      <c r="J1160" s="2" t="b">
        <f>COUNTIF(MASTER!$L$2:$L$1944,I1160)=0</f>
        <v>1</v>
      </c>
    </row>
    <row r="1161" spans="6:10" x14ac:dyDescent="0.35">
      <c r="F1161" s="2" t="s">
        <v>2445</v>
      </c>
      <c r="G1161" s="2" t="b">
        <f>COUNTIF(MASTER!$A$2:$A$1944,F1161)=0</f>
        <v>1</v>
      </c>
      <c r="H1161" s="2"/>
      <c r="I1161" s="2" t="s">
        <v>2446</v>
      </c>
      <c r="J1161" s="2" t="b">
        <f>COUNTIF(MASTER!$L$2:$L$1944,I1161)=0</f>
        <v>1</v>
      </c>
    </row>
    <row r="1162" spans="6:10" x14ac:dyDescent="0.35">
      <c r="F1162" s="2" t="s">
        <v>2447</v>
      </c>
      <c r="G1162" s="2" t="b">
        <f>COUNTIF(MASTER!$A$2:$A$1944,F1162)=0</f>
        <v>1</v>
      </c>
      <c r="H1162" s="2"/>
      <c r="I1162" s="2" t="s">
        <v>2448</v>
      </c>
      <c r="J1162" s="2" t="b">
        <f>COUNTIF(MASTER!$L$2:$L$1944,I1162)=0</f>
        <v>1</v>
      </c>
    </row>
    <row r="1163" spans="6:10" x14ac:dyDescent="0.35">
      <c r="F1163" s="2" t="s">
        <v>2449</v>
      </c>
      <c r="G1163" s="2" t="b">
        <f>COUNTIF(MASTER!$A$2:$A$1944,F1163)=0</f>
        <v>1</v>
      </c>
      <c r="H1163" s="2"/>
      <c r="I1163" s="2" t="s">
        <v>2450</v>
      </c>
      <c r="J1163" s="2" t="b">
        <f>COUNTIF(MASTER!$L$2:$L$1944,I1163)=0</f>
        <v>1</v>
      </c>
    </row>
    <row r="1164" spans="6:10" x14ac:dyDescent="0.35">
      <c r="F1164" s="2" t="s">
        <v>2451</v>
      </c>
      <c r="G1164" s="2" t="b">
        <f>COUNTIF(MASTER!$A$2:$A$1944,F1164)=0</f>
        <v>1</v>
      </c>
      <c r="H1164" s="2"/>
      <c r="I1164" s="2" t="s">
        <v>2452</v>
      </c>
      <c r="J1164" s="2" t="b">
        <f>COUNTIF(MASTER!$L$2:$L$1944,I1164)=0</f>
        <v>1</v>
      </c>
    </row>
    <row r="1165" spans="6:10" x14ac:dyDescent="0.35">
      <c r="F1165" s="2" t="s">
        <v>2453</v>
      </c>
      <c r="G1165" s="2" t="b">
        <f>COUNTIF(MASTER!$A$2:$A$1944,F1165)=0</f>
        <v>1</v>
      </c>
      <c r="H1165" s="2"/>
      <c r="I1165" s="2" t="s">
        <v>2454</v>
      </c>
      <c r="J1165" s="2" t="b">
        <f>COUNTIF(MASTER!$L$2:$L$1944,I1165)=0</f>
        <v>1</v>
      </c>
    </row>
    <row r="1166" spans="6:10" x14ac:dyDescent="0.35">
      <c r="F1166" s="2" t="s">
        <v>2455</v>
      </c>
      <c r="G1166" s="2" t="b">
        <f>COUNTIF(MASTER!$A$2:$A$1944,F1166)=0</f>
        <v>1</v>
      </c>
      <c r="H1166" s="2"/>
      <c r="I1166" s="2" t="s">
        <v>2456</v>
      </c>
      <c r="J1166" s="2" t="b">
        <f>COUNTIF(MASTER!$L$2:$L$1944,I1166)=0</f>
        <v>1</v>
      </c>
    </row>
    <row r="1167" spans="6:10" x14ac:dyDescent="0.35">
      <c r="F1167" s="2" t="s">
        <v>2457</v>
      </c>
      <c r="G1167" s="2" t="b">
        <f>COUNTIF(MASTER!$A$2:$A$1944,F1167)=0</f>
        <v>1</v>
      </c>
      <c r="H1167" s="2"/>
      <c r="I1167" s="2" t="s">
        <v>2458</v>
      </c>
      <c r="J1167" s="2" t="b">
        <f>COUNTIF(MASTER!$L$2:$L$1944,I1167)=0</f>
        <v>1</v>
      </c>
    </row>
    <row r="1168" spans="6:10" x14ac:dyDescent="0.35">
      <c r="F1168" s="2" t="s">
        <v>2459</v>
      </c>
      <c r="G1168" s="2" t="b">
        <f>COUNTIF(MASTER!$A$2:$A$1944,F1168)=0</f>
        <v>1</v>
      </c>
      <c r="H1168" s="2"/>
      <c r="I1168" s="2" t="s">
        <v>2460</v>
      </c>
      <c r="J1168" s="2" t="b">
        <f>COUNTIF(MASTER!$L$2:$L$1944,I1168)=0</f>
        <v>1</v>
      </c>
    </row>
    <row r="1169" spans="6:10" x14ac:dyDescent="0.35">
      <c r="F1169" s="2" t="s">
        <v>2461</v>
      </c>
      <c r="G1169" s="2" t="b">
        <f>COUNTIF(MASTER!$A$2:$A$1944,F1169)=0</f>
        <v>1</v>
      </c>
      <c r="H1169" s="2"/>
      <c r="I1169" s="2" t="s">
        <v>2462</v>
      </c>
      <c r="J1169" s="2" t="b">
        <f>COUNTIF(MASTER!$L$2:$L$1944,I1169)=0</f>
        <v>1</v>
      </c>
    </row>
    <row r="1170" spans="6:10" x14ac:dyDescent="0.35">
      <c r="F1170" s="2" t="s">
        <v>2463</v>
      </c>
      <c r="G1170" s="2" t="b">
        <f>COUNTIF(MASTER!$A$2:$A$1944,F1170)=0</f>
        <v>1</v>
      </c>
      <c r="H1170" s="2"/>
      <c r="I1170" s="2" t="s">
        <v>2464</v>
      </c>
      <c r="J1170" s="2" t="b">
        <f>COUNTIF(MASTER!$L$2:$L$1944,I1170)=0</f>
        <v>1</v>
      </c>
    </row>
    <row r="1171" spans="6:10" x14ac:dyDescent="0.35">
      <c r="F1171" s="2" t="s">
        <v>2465</v>
      </c>
      <c r="G1171" s="2" t="b">
        <f>COUNTIF(MASTER!$A$2:$A$1944,F1171)=0</f>
        <v>1</v>
      </c>
      <c r="H1171" s="2"/>
      <c r="I1171" s="2" t="s">
        <v>2466</v>
      </c>
      <c r="J1171" s="2" t="b">
        <f>COUNTIF(MASTER!$L$2:$L$1944,I1171)=0</f>
        <v>1</v>
      </c>
    </row>
    <row r="1172" spans="6:10" x14ac:dyDescent="0.35">
      <c r="F1172" s="2" t="s">
        <v>2467</v>
      </c>
      <c r="G1172" s="2" t="b">
        <f>COUNTIF(MASTER!$A$2:$A$1944,F1172)=0</f>
        <v>1</v>
      </c>
      <c r="H1172" s="2"/>
      <c r="I1172" s="2" t="s">
        <v>2468</v>
      </c>
      <c r="J1172" s="2" t="b">
        <f>COUNTIF(MASTER!$L$2:$L$1944,I1172)=0</f>
        <v>1</v>
      </c>
    </row>
    <row r="1173" spans="6:10" x14ac:dyDescent="0.35">
      <c r="F1173" s="2" t="s">
        <v>2469</v>
      </c>
      <c r="G1173" s="2" t="b">
        <f>COUNTIF(MASTER!$A$2:$A$1944,F1173)=0</f>
        <v>1</v>
      </c>
      <c r="H1173" s="2"/>
      <c r="I1173" s="2" t="s">
        <v>2470</v>
      </c>
      <c r="J1173" s="2" t="b">
        <f>COUNTIF(MASTER!$L$2:$L$1944,I1173)=0</f>
        <v>1</v>
      </c>
    </row>
    <row r="1174" spans="6:10" x14ac:dyDescent="0.35">
      <c r="F1174" s="2" t="s">
        <v>2471</v>
      </c>
      <c r="G1174" s="2" t="b">
        <f>COUNTIF(MASTER!$A$2:$A$1944,F1174)=0</f>
        <v>1</v>
      </c>
      <c r="H1174" s="2"/>
      <c r="I1174" s="2" t="s">
        <v>2472</v>
      </c>
      <c r="J1174" s="2" t="b">
        <f>COUNTIF(MASTER!$L$2:$L$1944,I1174)=0</f>
        <v>1</v>
      </c>
    </row>
    <row r="1175" spans="6:10" x14ac:dyDescent="0.35">
      <c r="F1175" s="2" t="s">
        <v>2473</v>
      </c>
      <c r="G1175" s="2" t="b">
        <f>COUNTIF(MASTER!$A$2:$A$1944,F1175)=0</f>
        <v>1</v>
      </c>
      <c r="H1175" s="2"/>
      <c r="I1175" s="2" t="s">
        <v>2474</v>
      </c>
      <c r="J1175" s="2" t="b">
        <f>COUNTIF(MASTER!$L$2:$L$1944,I1175)=0</f>
        <v>1</v>
      </c>
    </row>
    <row r="1176" spans="6:10" x14ac:dyDescent="0.35">
      <c r="F1176" s="2" t="s">
        <v>2475</v>
      </c>
      <c r="G1176" s="2" t="b">
        <f>COUNTIF(MASTER!$A$2:$A$1944,F1176)=0</f>
        <v>1</v>
      </c>
      <c r="H1176" s="2"/>
      <c r="I1176" s="2" t="s">
        <v>2476</v>
      </c>
      <c r="J1176" s="2" t="b">
        <f>COUNTIF(MASTER!$L$2:$L$1944,I1176)=0</f>
        <v>1</v>
      </c>
    </row>
    <row r="1177" spans="6:10" x14ac:dyDescent="0.35">
      <c r="F1177" s="2" t="s">
        <v>2477</v>
      </c>
      <c r="G1177" s="2" t="b">
        <f>COUNTIF(MASTER!$A$2:$A$1944,F1177)=0</f>
        <v>1</v>
      </c>
      <c r="H1177" s="2"/>
      <c r="I1177" s="2" t="s">
        <v>2478</v>
      </c>
      <c r="J1177" s="2" t="b">
        <f>COUNTIF(MASTER!$L$2:$L$1944,I1177)=0</f>
        <v>1</v>
      </c>
    </row>
    <row r="1178" spans="6:10" x14ac:dyDescent="0.35">
      <c r="F1178" s="2" t="s">
        <v>2479</v>
      </c>
      <c r="G1178" s="2" t="b">
        <f>COUNTIF(MASTER!$A$2:$A$1944,F1178)=0</f>
        <v>1</v>
      </c>
      <c r="H1178" s="2"/>
      <c r="I1178" s="2" t="s">
        <v>2480</v>
      </c>
      <c r="J1178" s="2" t="b">
        <f>COUNTIF(MASTER!$L$2:$L$1944,I1178)=0</f>
        <v>1</v>
      </c>
    </row>
    <row r="1179" spans="6:10" x14ac:dyDescent="0.35">
      <c r="F1179" s="2" t="s">
        <v>2481</v>
      </c>
      <c r="G1179" s="2" t="b">
        <f>COUNTIF(MASTER!$A$2:$A$1944,F1179)=0</f>
        <v>1</v>
      </c>
      <c r="H1179" s="2"/>
      <c r="I1179" s="2" t="s">
        <v>2482</v>
      </c>
      <c r="J1179" s="2" t="b">
        <f>COUNTIF(MASTER!$L$2:$L$1944,I1179)=0</f>
        <v>1</v>
      </c>
    </row>
    <row r="1180" spans="6:10" x14ac:dyDescent="0.35">
      <c r="F1180" s="2" t="s">
        <v>2483</v>
      </c>
      <c r="G1180" s="2" t="b">
        <f>COUNTIF(MASTER!$A$2:$A$1944,F1180)=0</f>
        <v>1</v>
      </c>
      <c r="H1180" s="2"/>
      <c r="I1180" s="2" t="s">
        <v>2484</v>
      </c>
      <c r="J1180" s="2" t="b">
        <f>COUNTIF(MASTER!$L$2:$L$1944,I1180)=0</f>
        <v>1</v>
      </c>
    </row>
    <row r="1181" spans="6:10" x14ac:dyDescent="0.35">
      <c r="F1181" s="2" t="s">
        <v>2485</v>
      </c>
      <c r="G1181" s="2" t="b">
        <f>COUNTIF(MASTER!$A$2:$A$1944,F1181)=0</f>
        <v>1</v>
      </c>
      <c r="H1181" s="2"/>
      <c r="I1181" s="2" t="s">
        <v>2486</v>
      </c>
      <c r="J1181" s="2" t="b">
        <f>COUNTIF(MASTER!$L$2:$L$1944,I1181)=0</f>
        <v>1</v>
      </c>
    </row>
    <row r="1182" spans="6:10" x14ac:dyDescent="0.35">
      <c r="F1182" s="2" t="s">
        <v>2487</v>
      </c>
      <c r="G1182" s="2" t="b">
        <f>COUNTIF(MASTER!$A$2:$A$1944,F1182)=0</f>
        <v>1</v>
      </c>
      <c r="H1182" s="2"/>
      <c r="I1182" s="2" t="s">
        <v>2488</v>
      </c>
      <c r="J1182" s="2" t="b">
        <f>COUNTIF(MASTER!$L$2:$L$1944,I1182)=0</f>
        <v>1</v>
      </c>
    </row>
    <row r="1183" spans="6:10" x14ac:dyDescent="0.35">
      <c r="F1183" s="2" t="s">
        <v>2489</v>
      </c>
      <c r="G1183" s="2" t="b">
        <f>COUNTIF(MASTER!$A$2:$A$1944,F1183)=0</f>
        <v>1</v>
      </c>
      <c r="H1183" s="2"/>
      <c r="I1183" s="2" t="s">
        <v>2490</v>
      </c>
      <c r="J1183" s="2" t="b">
        <f>COUNTIF(MASTER!$L$2:$L$1944,I1183)=0</f>
        <v>1</v>
      </c>
    </row>
    <row r="1184" spans="6:10" x14ac:dyDescent="0.35">
      <c r="F1184" s="2" t="s">
        <v>2491</v>
      </c>
      <c r="G1184" s="2" t="b">
        <f>COUNTIF(MASTER!$A$2:$A$1944,F1184)=0</f>
        <v>1</v>
      </c>
      <c r="H1184" s="2"/>
      <c r="I1184" s="2" t="s">
        <v>2492</v>
      </c>
      <c r="J1184" s="2" t="b">
        <f>COUNTIF(MASTER!$L$2:$L$1944,I1184)=0</f>
        <v>1</v>
      </c>
    </row>
    <row r="1185" spans="6:10" x14ac:dyDescent="0.35">
      <c r="F1185" s="2" t="s">
        <v>2493</v>
      </c>
      <c r="G1185" s="2" t="b">
        <f>COUNTIF(MASTER!$A$2:$A$1944,F1185)=0</f>
        <v>1</v>
      </c>
      <c r="H1185" s="2"/>
      <c r="I1185" s="2" t="s">
        <v>2494</v>
      </c>
      <c r="J1185" s="2" t="b">
        <f>COUNTIF(MASTER!$L$2:$L$1944,I1185)=0</f>
        <v>1</v>
      </c>
    </row>
    <row r="1186" spans="6:10" x14ac:dyDescent="0.35">
      <c r="F1186" s="2" t="s">
        <v>2495</v>
      </c>
      <c r="G1186" s="2" t="b">
        <f>COUNTIF(MASTER!$A$2:$A$1944,F1186)=0</f>
        <v>1</v>
      </c>
      <c r="H1186" s="2"/>
      <c r="I1186" s="2" t="s">
        <v>2496</v>
      </c>
      <c r="J1186" s="2" t="b">
        <f>COUNTIF(MASTER!$L$2:$L$1944,I1186)=0</f>
        <v>1</v>
      </c>
    </row>
    <row r="1187" spans="6:10" x14ac:dyDescent="0.35">
      <c r="F1187" s="2" t="s">
        <v>2497</v>
      </c>
      <c r="G1187" s="2" t="b">
        <f>COUNTIF(MASTER!$A$2:$A$1944,F1187)=0</f>
        <v>1</v>
      </c>
      <c r="H1187" s="2"/>
      <c r="I1187" s="2" t="s">
        <v>2498</v>
      </c>
      <c r="J1187" s="2" t="b">
        <f>COUNTIF(MASTER!$L$2:$L$1944,I1187)=0</f>
        <v>1</v>
      </c>
    </row>
    <row r="1188" spans="6:10" x14ac:dyDescent="0.35">
      <c r="F1188" s="2" t="s">
        <v>2499</v>
      </c>
      <c r="G1188" s="2" t="b">
        <f>COUNTIF(MASTER!$A$2:$A$1944,F1188)=0</f>
        <v>1</v>
      </c>
      <c r="H1188" s="2"/>
      <c r="I1188" s="2" t="s">
        <v>2500</v>
      </c>
      <c r="J1188" s="2" t="b">
        <f>COUNTIF(MASTER!$L$2:$L$1944,I1188)=0</f>
        <v>1</v>
      </c>
    </row>
    <row r="1189" spans="6:10" x14ac:dyDescent="0.35">
      <c r="F1189" s="2" t="s">
        <v>2501</v>
      </c>
      <c r="G1189" s="2" t="b">
        <f>COUNTIF(MASTER!$A$2:$A$1944,F1189)=0</f>
        <v>1</v>
      </c>
      <c r="H1189" s="2"/>
      <c r="I1189" s="2" t="s">
        <v>2502</v>
      </c>
      <c r="J1189" s="2" t="b">
        <f>COUNTIF(MASTER!$L$2:$L$1944,I1189)=0</f>
        <v>1</v>
      </c>
    </row>
    <row r="1190" spans="6:10" x14ac:dyDescent="0.35">
      <c r="F1190" s="2" t="s">
        <v>2503</v>
      </c>
      <c r="G1190" s="2" t="b">
        <f>COUNTIF(MASTER!$A$2:$A$1944,F1190)=0</f>
        <v>1</v>
      </c>
      <c r="H1190" s="2"/>
      <c r="I1190" s="2" t="s">
        <v>2504</v>
      </c>
      <c r="J1190" s="2" t="b">
        <f>COUNTIF(MASTER!$L$2:$L$1944,I1190)=0</f>
        <v>1</v>
      </c>
    </row>
    <row r="1191" spans="6:10" x14ac:dyDescent="0.35">
      <c r="F1191" s="2" t="s">
        <v>2505</v>
      </c>
      <c r="G1191" s="2" t="b">
        <f>COUNTIF(MASTER!$A$2:$A$1944,F1191)=0</f>
        <v>1</v>
      </c>
      <c r="H1191" s="2"/>
      <c r="I1191" s="2" t="s">
        <v>2506</v>
      </c>
      <c r="J1191" s="2" t="b">
        <f>COUNTIF(MASTER!$L$2:$L$1944,I1191)=0</f>
        <v>1</v>
      </c>
    </row>
    <row r="1192" spans="6:10" x14ac:dyDescent="0.35">
      <c r="F1192" s="2" t="s">
        <v>2507</v>
      </c>
      <c r="G1192" s="2" t="b">
        <f>COUNTIF(MASTER!$A$2:$A$1944,F1192)=0</f>
        <v>1</v>
      </c>
      <c r="H1192" s="2"/>
      <c r="I1192" s="2" t="s">
        <v>2508</v>
      </c>
      <c r="J1192" s="2" t="b">
        <f>COUNTIF(MASTER!$L$2:$L$1944,I1192)=0</f>
        <v>1</v>
      </c>
    </row>
    <row r="1193" spans="6:10" x14ac:dyDescent="0.35">
      <c r="F1193" s="2" t="s">
        <v>2509</v>
      </c>
      <c r="G1193" s="2" t="b">
        <f>COUNTIF(MASTER!$A$2:$A$1944,F1193)=0</f>
        <v>1</v>
      </c>
      <c r="H1193" s="2"/>
      <c r="I1193" s="2" t="s">
        <v>2510</v>
      </c>
      <c r="J1193" s="2" t="b">
        <f>COUNTIF(MASTER!$L$2:$L$1944,I1193)=0</f>
        <v>1</v>
      </c>
    </row>
    <row r="1194" spans="6:10" x14ac:dyDescent="0.35">
      <c r="F1194" s="2" t="s">
        <v>2511</v>
      </c>
      <c r="G1194" s="2" t="b">
        <f>COUNTIF(MASTER!$A$2:$A$1944,F1194)=0</f>
        <v>1</v>
      </c>
      <c r="H1194" s="2"/>
      <c r="I1194" s="2" t="s">
        <v>2512</v>
      </c>
      <c r="J1194" s="2" t="b">
        <f>COUNTIF(MASTER!$L$2:$L$1944,I1194)=0</f>
        <v>1</v>
      </c>
    </row>
    <row r="1195" spans="6:10" x14ac:dyDescent="0.35">
      <c r="F1195" s="2" t="s">
        <v>2513</v>
      </c>
      <c r="G1195" s="2" t="b">
        <f>COUNTIF(MASTER!$A$2:$A$1944,F1195)=0</f>
        <v>1</v>
      </c>
      <c r="H1195" s="2"/>
      <c r="I1195" s="2" t="s">
        <v>2514</v>
      </c>
      <c r="J1195" s="2" t="b">
        <f>COUNTIF(MASTER!$L$2:$L$1944,I1195)=0</f>
        <v>1</v>
      </c>
    </row>
    <row r="1196" spans="6:10" x14ac:dyDescent="0.35">
      <c r="F1196" s="2" t="s">
        <v>2515</v>
      </c>
      <c r="G1196" s="2" t="b">
        <f>COUNTIF(MASTER!$A$2:$A$1944,F1196)=0</f>
        <v>1</v>
      </c>
      <c r="H1196" s="2"/>
      <c r="I1196" s="2" t="s">
        <v>2516</v>
      </c>
      <c r="J1196" s="2" t="b">
        <f>COUNTIF(MASTER!$L$2:$L$1944,I1196)=0</f>
        <v>1</v>
      </c>
    </row>
    <row r="1197" spans="6:10" x14ac:dyDescent="0.35">
      <c r="F1197" s="2" t="s">
        <v>2517</v>
      </c>
      <c r="G1197" s="2" t="b">
        <f>COUNTIF(MASTER!$A$2:$A$1944,F1197)=0</f>
        <v>1</v>
      </c>
      <c r="H1197" s="2"/>
      <c r="I1197" s="2" t="s">
        <v>2518</v>
      </c>
      <c r="J1197" s="2" t="b">
        <f>COUNTIF(MASTER!$L$2:$L$1944,I1197)=0</f>
        <v>1</v>
      </c>
    </row>
    <row r="1198" spans="6:10" x14ac:dyDescent="0.35">
      <c r="F1198" s="2" t="s">
        <v>2519</v>
      </c>
      <c r="G1198" s="2" t="b">
        <f>COUNTIF(MASTER!$A$2:$A$1944,F1198)=0</f>
        <v>1</v>
      </c>
      <c r="H1198" s="2"/>
      <c r="I1198" s="2" t="s">
        <v>2520</v>
      </c>
      <c r="J1198" s="2" t="b">
        <f>COUNTIF(MASTER!$L$2:$L$1944,I1198)=0</f>
        <v>1</v>
      </c>
    </row>
    <row r="1199" spans="6:10" x14ac:dyDescent="0.35">
      <c r="F1199" s="2" t="s">
        <v>2521</v>
      </c>
      <c r="G1199" s="2" t="b">
        <f>COUNTIF(MASTER!$A$2:$A$1944,F1199)=0</f>
        <v>1</v>
      </c>
      <c r="H1199" s="2"/>
      <c r="I1199" s="2" t="s">
        <v>2522</v>
      </c>
      <c r="J1199" s="2" t="b">
        <f>COUNTIF(MASTER!$L$2:$L$1944,I1199)=0</f>
        <v>1</v>
      </c>
    </row>
    <row r="1200" spans="6:10" x14ac:dyDescent="0.35">
      <c r="F1200" s="2" t="s">
        <v>2523</v>
      </c>
      <c r="G1200" s="2" t="b">
        <f>COUNTIF(MASTER!$A$2:$A$1944,F1200)=0</f>
        <v>1</v>
      </c>
      <c r="H1200" s="2"/>
      <c r="I1200" s="2" t="s">
        <v>2524</v>
      </c>
      <c r="J1200" s="2" t="b">
        <f>COUNTIF(MASTER!$L$2:$L$1944,I1200)=0</f>
        <v>1</v>
      </c>
    </row>
    <row r="1201" spans="6:10" x14ac:dyDescent="0.35">
      <c r="F1201" s="2" t="s">
        <v>2525</v>
      </c>
      <c r="G1201" s="2" t="b">
        <f>COUNTIF(MASTER!$A$2:$A$1944,F1201)=0</f>
        <v>1</v>
      </c>
      <c r="H1201" s="2"/>
      <c r="I1201" s="2" t="s">
        <v>2526</v>
      </c>
      <c r="J1201" s="2" t="b">
        <f>COUNTIF(MASTER!$L$2:$L$1944,I1201)=0</f>
        <v>1</v>
      </c>
    </row>
    <row r="1202" spans="6:10" x14ac:dyDescent="0.35">
      <c r="F1202" s="2" t="s">
        <v>2527</v>
      </c>
      <c r="G1202" s="2" t="b">
        <f>COUNTIF(MASTER!$A$2:$A$1944,F1202)=0</f>
        <v>1</v>
      </c>
      <c r="H1202" s="2"/>
      <c r="I1202" s="2" t="s">
        <v>2528</v>
      </c>
      <c r="J1202" s="2" t="b">
        <f>COUNTIF(MASTER!$L$2:$L$1944,I1202)=0</f>
        <v>1</v>
      </c>
    </row>
    <row r="1203" spans="6:10" x14ac:dyDescent="0.35">
      <c r="F1203" s="2" t="s">
        <v>2529</v>
      </c>
      <c r="G1203" s="2" t="b">
        <f>COUNTIF(MASTER!$A$2:$A$1944,F1203)=0</f>
        <v>1</v>
      </c>
      <c r="H1203" s="2"/>
      <c r="I1203" s="2" t="s">
        <v>2530</v>
      </c>
      <c r="J1203" s="2" t="b">
        <f>COUNTIF(MASTER!$L$2:$L$1944,I1203)=0</f>
        <v>1</v>
      </c>
    </row>
    <row r="1204" spans="6:10" x14ac:dyDescent="0.35">
      <c r="F1204" s="2" t="s">
        <v>2531</v>
      </c>
      <c r="G1204" s="2" t="b">
        <f>COUNTIF(MASTER!$A$2:$A$1944,F1204)=0</f>
        <v>1</v>
      </c>
      <c r="H1204" s="2"/>
      <c r="I1204" s="2" t="s">
        <v>2532</v>
      </c>
      <c r="J1204" s="2" t="b">
        <f>COUNTIF(MASTER!$L$2:$L$1944,I1204)=0</f>
        <v>1</v>
      </c>
    </row>
    <row r="1205" spans="6:10" x14ac:dyDescent="0.35">
      <c r="F1205" s="2" t="s">
        <v>2533</v>
      </c>
      <c r="G1205" s="2" t="b">
        <f>COUNTIF(MASTER!$A$2:$A$1944,F1205)=0</f>
        <v>1</v>
      </c>
      <c r="H1205" s="2"/>
      <c r="I1205" s="2" t="s">
        <v>2534</v>
      </c>
      <c r="J1205" s="2" t="b">
        <f>COUNTIF(MASTER!$L$2:$L$1944,I1205)=0</f>
        <v>1</v>
      </c>
    </row>
    <row r="1206" spans="6:10" x14ac:dyDescent="0.35">
      <c r="F1206" s="2" t="s">
        <v>2535</v>
      </c>
      <c r="G1206" s="2" t="b">
        <f>COUNTIF(MASTER!$A$2:$A$1944,F1206)=0</f>
        <v>1</v>
      </c>
      <c r="H1206" s="2"/>
      <c r="I1206" s="2" t="s">
        <v>2536</v>
      </c>
      <c r="J1206" s="2" t="b">
        <f>COUNTIF(MASTER!$L$2:$L$1944,I1206)=0</f>
        <v>1</v>
      </c>
    </row>
    <row r="1207" spans="6:10" x14ac:dyDescent="0.35">
      <c r="F1207" s="2" t="s">
        <v>2537</v>
      </c>
      <c r="G1207" s="2" t="b">
        <f>COUNTIF(MASTER!$A$2:$A$1944,F1207)=0</f>
        <v>1</v>
      </c>
      <c r="H1207" s="2"/>
      <c r="I1207" s="2" t="s">
        <v>2538</v>
      </c>
      <c r="J1207" s="2" t="b">
        <f>COUNTIF(MASTER!$L$2:$L$1944,I1207)=0</f>
        <v>1</v>
      </c>
    </row>
    <row r="1208" spans="6:10" x14ac:dyDescent="0.35">
      <c r="F1208" s="2" t="s">
        <v>2539</v>
      </c>
      <c r="G1208" s="2" t="b">
        <f>COUNTIF(MASTER!$A$2:$A$1944,F1208)=0</f>
        <v>1</v>
      </c>
      <c r="H1208" s="2"/>
      <c r="I1208" s="2" t="s">
        <v>2540</v>
      </c>
      <c r="J1208" s="2" t="b">
        <f>COUNTIF(MASTER!$L$2:$L$1944,I1208)=0</f>
        <v>1</v>
      </c>
    </row>
    <row r="1209" spans="6:10" x14ac:dyDescent="0.35">
      <c r="F1209" s="2" t="s">
        <v>2541</v>
      </c>
      <c r="G1209" s="2" t="b">
        <f>COUNTIF(MASTER!$A$2:$A$1944,F1209)=0</f>
        <v>1</v>
      </c>
      <c r="H1209" s="2"/>
      <c r="I1209" s="2" t="s">
        <v>2542</v>
      </c>
      <c r="J1209" s="2" t="b">
        <f>COUNTIF(MASTER!$L$2:$L$1944,I1209)=0</f>
        <v>1</v>
      </c>
    </row>
    <row r="1210" spans="6:10" x14ac:dyDescent="0.35">
      <c r="F1210" s="2" t="s">
        <v>2543</v>
      </c>
      <c r="G1210" s="2" t="b">
        <f>COUNTIF(MASTER!$A$2:$A$1944,F1210)=0</f>
        <v>1</v>
      </c>
      <c r="H1210" s="2"/>
      <c r="I1210" s="2" t="s">
        <v>2544</v>
      </c>
      <c r="J1210" s="2" t="b">
        <f>COUNTIF(MASTER!$L$2:$L$1944,I1210)=0</f>
        <v>1</v>
      </c>
    </row>
    <row r="1211" spans="6:10" x14ac:dyDescent="0.35">
      <c r="F1211" s="2" t="s">
        <v>2545</v>
      </c>
      <c r="G1211" s="2" t="b">
        <f>COUNTIF(MASTER!$A$2:$A$1944,F1211)=0</f>
        <v>1</v>
      </c>
      <c r="H1211" s="2"/>
      <c r="I1211" s="2" t="s">
        <v>2546</v>
      </c>
      <c r="J1211" s="2" t="b">
        <f>COUNTIF(MASTER!$L$2:$L$1944,I1211)=0</f>
        <v>1</v>
      </c>
    </row>
    <row r="1212" spans="6:10" x14ac:dyDescent="0.35">
      <c r="F1212" s="2" t="s">
        <v>2547</v>
      </c>
      <c r="G1212" s="2" t="b">
        <f>COUNTIF(MASTER!$A$2:$A$1944,F1212)=0</f>
        <v>1</v>
      </c>
      <c r="H1212" s="2"/>
      <c r="I1212" s="2" t="s">
        <v>2548</v>
      </c>
      <c r="J1212" s="2" t="b">
        <f>COUNTIF(MASTER!$L$2:$L$1944,I1212)=0</f>
        <v>1</v>
      </c>
    </row>
    <row r="1213" spans="6:10" x14ac:dyDescent="0.35">
      <c r="F1213" s="2" t="s">
        <v>2549</v>
      </c>
      <c r="G1213" s="2" t="b">
        <f>COUNTIF(MASTER!$A$2:$A$1944,F1213)=0</f>
        <v>1</v>
      </c>
      <c r="H1213" s="2"/>
      <c r="I1213" s="2" t="s">
        <v>2550</v>
      </c>
      <c r="J1213" s="2" t="b">
        <f>COUNTIF(MASTER!$L$2:$L$1944,I1213)=0</f>
        <v>1</v>
      </c>
    </row>
    <row r="1214" spans="6:10" x14ac:dyDescent="0.35">
      <c r="F1214" s="2" t="s">
        <v>2551</v>
      </c>
      <c r="G1214" s="2" t="b">
        <f>COUNTIF(MASTER!$A$2:$A$1944,F1214)=0</f>
        <v>1</v>
      </c>
      <c r="H1214" s="2"/>
      <c r="I1214" s="2" t="s">
        <v>2552</v>
      </c>
      <c r="J1214" s="2" t="b">
        <f>COUNTIF(MASTER!$L$2:$L$1944,I1214)=0</f>
        <v>1</v>
      </c>
    </row>
    <row r="1215" spans="6:10" x14ac:dyDescent="0.35">
      <c r="F1215" s="2" t="s">
        <v>2553</v>
      </c>
      <c r="G1215" s="2" t="b">
        <f>COUNTIF(MASTER!$A$2:$A$1944,F1215)=0</f>
        <v>1</v>
      </c>
      <c r="H1215" s="2"/>
      <c r="I1215" s="2" t="s">
        <v>2554</v>
      </c>
      <c r="J1215" s="2" t="b">
        <f>COUNTIF(MASTER!$L$2:$L$1944,I1215)=0</f>
        <v>1</v>
      </c>
    </row>
    <row r="1216" spans="6:10" x14ac:dyDescent="0.35">
      <c r="F1216" s="2" t="s">
        <v>2555</v>
      </c>
      <c r="G1216" s="2" t="b">
        <f>COUNTIF(MASTER!$A$2:$A$1944,F1216)=0</f>
        <v>1</v>
      </c>
      <c r="H1216" s="2"/>
      <c r="I1216" s="2" t="s">
        <v>2556</v>
      </c>
      <c r="J1216" s="2" t="b">
        <f>COUNTIF(MASTER!$L$2:$L$1944,I1216)=0</f>
        <v>1</v>
      </c>
    </row>
    <row r="1217" spans="6:10" x14ac:dyDescent="0.35">
      <c r="F1217" s="2" t="s">
        <v>2557</v>
      </c>
      <c r="G1217" s="2" t="b">
        <f>COUNTIF(MASTER!$A$2:$A$1944,F1217)=0</f>
        <v>1</v>
      </c>
      <c r="H1217" s="2"/>
      <c r="I1217" s="2" t="s">
        <v>2558</v>
      </c>
      <c r="J1217" s="2" t="b">
        <f>COUNTIF(MASTER!$L$2:$L$1944,I1217)=0</f>
        <v>1</v>
      </c>
    </row>
    <row r="1218" spans="6:10" x14ac:dyDescent="0.35">
      <c r="F1218" s="2" t="s">
        <v>2559</v>
      </c>
      <c r="G1218" s="2" t="b">
        <f>COUNTIF(MASTER!$A$2:$A$1944,F1218)=0</f>
        <v>1</v>
      </c>
      <c r="H1218" s="2"/>
      <c r="I1218" s="2" t="s">
        <v>2560</v>
      </c>
      <c r="J1218" s="2" t="b">
        <f>COUNTIF(MASTER!$L$2:$L$1944,I1218)=0</f>
        <v>1</v>
      </c>
    </row>
    <row r="1219" spans="6:10" x14ac:dyDescent="0.35">
      <c r="F1219" s="2" t="s">
        <v>2561</v>
      </c>
      <c r="G1219" s="2" t="b">
        <f>COUNTIF(MASTER!$A$2:$A$1944,F1219)=0</f>
        <v>1</v>
      </c>
      <c r="H1219" s="2"/>
      <c r="I1219" s="2" t="s">
        <v>2562</v>
      </c>
      <c r="J1219" s="2" t="b">
        <f>COUNTIF(MASTER!$L$2:$L$1944,I1219)=0</f>
        <v>1</v>
      </c>
    </row>
    <row r="1220" spans="6:10" x14ac:dyDescent="0.35">
      <c r="F1220" s="2" t="s">
        <v>2563</v>
      </c>
      <c r="G1220" s="2" t="b">
        <f>COUNTIF(MASTER!$A$2:$A$1944,F1220)=0</f>
        <v>1</v>
      </c>
      <c r="H1220" s="2"/>
      <c r="I1220" s="2" t="s">
        <v>2564</v>
      </c>
      <c r="J1220" s="2" t="b">
        <f>COUNTIF(MASTER!$L$2:$L$1944,I1220)=0</f>
        <v>1</v>
      </c>
    </row>
    <row r="1221" spans="6:10" x14ac:dyDescent="0.35">
      <c r="F1221" s="2" t="s">
        <v>2565</v>
      </c>
      <c r="G1221" s="2" t="b">
        <f>COUNTIF(MASTER!$A$2:$A$1944,F1221)=0</f>
        <v>1</v>
      </c>
      <c r="H1221" s="2"/>
      <c r="I1221" s="2" t="s">
        <v>2566</v>
      </c>
      <c r="J1221" s="2" t="b">
        <f>COUNTIF(MASTER!$L$2:$L$1944,I1221)=0</f>
        <v>1</v>
      </c>
    </row>
    <row r="1222" spans="6:10" x14ac:dyDescent="0.35">
      <c r="F1222" s="2" t="s">
        <v>2567</v>
      </c>
      <c r="G1222" s="2" t="b">
        <f>COUNTIF(MASTER!$A$2:$A$1944,F1222)=0</f>
        <v>1</v>
      </c>
      <c r="H1222" s="2"/>
      <c r="I1222" s="2" t="s">
        <v>2568</v>
      </c>
      <c r="J1222" s="2" t="b">
        <f>COUNTIF(MASTER!$L$2:$L$1944,I1222)=0</f>
        <v>1</v>
      </c>
    </row>
    <row r="1223" spans="6:10" x14ac:dyDescent="0.35">
      <c r="F1223" s="2" t="s">
        <v>2569</v>
      </c>
      <c r="G1223" s="2" t="b">
        <f>COUNTIF(MASTER!$A$2:$A$1944,F1223)=0</f>
        <v>1</v>
      </c>
      <c r="H1223" s="2"/>
      <c r="I1223" s="2" t="s">
        <v>2570</v>
      </c>
      <c r="J1223" s="2" t="b">
        <f>COUNTIF(MASTER!$L$2:$L$1944,I1223)=0</f>
        <v>1</v>
      </c>
    </row>
    <row r="1224" spans="6:10" x14ac:dyDescent="0.35">
      <c r="F1224" s="2" t="s">
        <v>2571</v>
      </c>
      <c r="G1224" s="2" t="b">
        <f>COUNTIF(MASTER!$A$2:$A$1944,F1224)=0</f>
        <v>1</v>
      </c>
      <c r="H1224" s="2"/>
      <c r="I1224" s="2" t="s">
        <v>2572</v>
      </c>
      <c r="J1224" s="2" t="b">
        <f>COUNTIF(MASTER!$L$2:$L$1944,I1224)=0</f>
        <v>1</v>
      </c>
    </row>
    <row r="1225" spans="6:10" x14ac:dyDescent="0.35">
      <c r="F1225" s="2" t="s">
        <v>2573</v>
      </c>
      <c r="G1225" s="2" t="b">
        <f>COUNTIF(MASTER!$A$2:$A$1944,F1225)=0</f>
        <v>1</v>
      </c>
      <c r="H1225" s="2"/>
      <c r="I1225" s="2" t="s">
        <v>2574</v>
      </c>
      <c r="J1225" s="2" t="b">
        <f>COUNTIF(MASTER!$L$2:$L$1944,I1225)=0</f>
        <v>1</v>
      </c>
    </row>
    <row r="1226" spans="6:10" x14ac:dyDescent="0.35">
      <c r="F1226" s="2" t="s">
        <v>2575</v>
      </c>
      <c r="G1226" s="2" t="b">
        <f>COUNTIF(MASTER!$A$2:$A$1944,F1226)=0</f>
        <v>1</v>
      </c>
      <c r="H1226" s="2"/>
      <c r="I1226" s="2" t="s">
        <v>2576</v>
      </c>
      <c r="J1226" s="2" t="b">
        <f>COUNTIF(MASTER!$L$2:$L$1944,I1226)=0</f>
        <v>1</v>
      </c>
    </row>
    <row r="1227" spans="6:10" x14ac:dyDescent="0.35">
      <c r="F1227" s="2" t="s">
        <v>2577</v>
      </c>
      <c r="G1227" s="2" t="b">
        <f>COUNTIF(MASTER!$A$2:$A$1944,F1227)=0</f>
        <v>1</v>
      </c>
      <c r="H1227" s="2"/>
      <c r="I1227" s="2" t="s">
        <v>2578</v>
      </c>
      <c r="J1227" s="2" t="b">
        <f>COUNTIF(MASTER!$L$2:$L$1944,I1227)=0</f>
        <v>1</v>
      </c>
    </row>
    <row r="1228" spans="6:10" x14ac:dyDescent="0.35">
      <c r="F1228" s="2" t="s">
        <v>2579</v>
      </c>
      <c r="G1228" s="2" t="b">
        <f>COUNTIF(MASTER!$A$2:$A$1944,F1228)=0</f>
        <v>1</v>
      </c>
      <c r="H1228" s="2"/>
      <c r="I1228" s="2" t="s">
        <v>2580</v>
      </c>
      <c r="J1228" s="2" t="b">
        <f>COUNTIF(MASTER!$L$2:$L$1944,I1228)=0</f>
        <v>1</v>
      </c>
    </row>
    <row r="1229" spans="6:10" x14ac:dyDescent="0.35">
      <c r="F1229" s="2" t="s">
        <v>2581</v>
      </c>
      <c r="G1229" s="2" t="b">
        <f>COUNTIF(MASTER!$A$2:$A$1944,F1229)=0</f>
        <v>1</v>
      </c>
      <c r="H1229" s="2"/>
      <c r="I1229" s="2" t="s">
        <v>2582</v>
      </c>
      <c r="J1229" s="2" t="b">
        <f>COUNTIF(MASTER!$L$2:$L$1944,I1229)=0</f>
        <v>1</v>
      </c>
    </row>
    <row r="1230" spans="6:10" x14ac:dyDescent="0.35">
      <c r="F1230" s="2" t="s">
        <v>2583</v>
      </c>
      <c r="G1230" s="2" t="b">
        <f>COUNTIF(MASTER!$A$2:$A$1944,F1230)=0</f>
        <v>1</v>
      </c>
      <c r="H1230" s="2"/>
      <c r="I1230" s="2" t="s">
        <v>2584</v>
      </c>
      <c r="J1230" s="2" t="b">
        <f>COUNTIF(MASTER!$L$2:$L$1944,I1230)=0</f>
        <v>1</v>
      </c>
    </row>
    <row r="1231" spans="6:10" x14ac:dyDescent="0.35">
      <c r="F1231" s="2" t="s">
        <v>2585</v>
      </c>
      <c r="G1231" s="2" t="b">
        <f>COUNTIF(MASTER!$A$2:$A$1944,F1231)=0</f>
        <v>1</v>
      </c>
      <c r="H1231" s="2"/>
      <c r="I1231" s="2" t="s">
        <v>2586</v>
      </c>
      <c r="J1231" s="2" t="b">
        <f>COUNTIF(MASTER!$L$2:$L$1944,I1231)=0</f>
        <v>1</v>
      </c>
    </row>
    <row r="1232" spans="6:10" x14ac:dyDescent="0.35">
      <c r="F1232" s="2" t="s">
        <v>2587</v>
      </c>
      <c r="G1232" s="2" t="b">
        <f>COUNTIF(MASTER!$A$2:$A$1944,F1232)=0</f>
        <v>1</v>
      </c>
      <c r="H1232" s="2"/>
      <c r="I1232" s="2" t="s">
        <v>2588</v>
      </c>
      <c r="J1232" s="2" t="b">
        <f>COUNTIF(MASTER!$L$2:$L$1944,I1232)=0</f>
        <v>1</v>
      </c>
    </row>
    <row r="1233" spans="6:10" x14ac:dyDescent="0.35">
      <c r="F1233" s="2" t="s">
        <v>2589</v>
      </c>
      <c r="G1233" s="2" t="b">
        <f>COUNTIF(MASTER!$A$2:$A$1944,F1233)=0</f>
        <v>1</v>
      </c>
      <c r="H1233" s="2"/>
      <c r="I1233" s="2" t="s">
        <v>2590</v>
      </c>
      <c r="J1233" s="2" t="b">
        <f>COUNTIF(MASTER!$L$2:$L$1944,I1233)=0</f>
        <v>1</v>
      </c>
    </row>
    <row r="1234" spans="6:10" x14ac:dyDescent="0.35">
      <c r="F1234" s="2" t="s">
        <v>2591</v>
      </c>
      <c r="G1234" s="2" t="b">
        <f>COUNTIF(MASTER!$A$2:$A$1944,F1234)=0</f>
        <v>1</v>
      </c>
      <c r="H1234" s="2"/>
      <c r="I1234" s="2" t="s">
        <v>2592</v>
      </c>
      <c r="J1234" s="2" t="b">
        <f>COUNTIF(MASTER!$L$2:$L$1944,I1234)=0</f>
        <v>1</v>
      </c>
    </row>
    <row r="1235" spans="6:10" x14ac:dyDescent="0.35">
      <c r="F1235" s="2" t="s">
        <v>2593</v>
      </c>
      <c r="G1235" s="2" t="b">
        <f>COUNTIF(MASTER!$A$2:$A$1944,F1235)=0</f>
        <v>1</v>
      </c>
      <c r="H1235" s="2"/>
      <c r="I1235" s="2" t="s">
        <v>2594</v>
      </c>
      <c r="J1235" s="2" t="b">
        <f>COUNTIF(MASTER!$L$2:$L$1944,I1235)=0</f>
        <v>1</v>
      </c>
    </row>
    <row r="1236" spans="6:10" x14ac:dyDescent="0.35">
      <c r="F1236" s="2" t="s">
        <v>2595</v>
      </c>
      <c r="G1236" s="2" t="b">
        <f>COUNTIF(MASTER!$A$2:$A$1944,F1236)=0</f>
        <v>1</v>
      </c>
      <c r="H1236" s="2"/>
      <c r="I1236" s="2" t="s">
        <v>2596</v>
      </c>
      <c r="J1236" s="2" t="b">
        <f>COUNTIF(MASTER!$L$2:$L$1944,I1236)=0</f>
        <v>1</v>
      </c>
    </row>
    <row r="1237" spans="6:10" x14ac:dyDescent="0.35">
      <c r="F1237" s="2" t="s">
        <v>2597</v>
      </c>
      <c r="G1237" s="2" t="b">
        <f>COUNTIF(MASTER!$A$2:$A$1944,F1237)=0</f>
        <v>1</v>
      </c>
      <c r="H1237" s="2"/>
      <c r="I1237" s="2" t="s">
        <v>2598</v>
      </c>
      <c r="J1237" s="2" t="b">
        <f>COUNTIF(MASTER!$L$2:$L$1944,I1237)=0</f>
        <v>1</v>
      </c>
    </row>
    <row r="1238" spans="6:10" x14ac:dyDescent="0.35">
      <c r="F1238" s="2" t="s">
        <v>2599</v>
      </c>
      <c r="G1238" s="2" t="b">
        <f>COUNTIF(MASTER!$A$2:$A$1944,F1238)=0</f>
        <v>1</v>
      </c>
      <c r="H1238" s="2"/>
      <c r="I1238" s="2" t="s">
        <v>2600</v>
      </c>
      <c r="J1238" s="2" t="b">
        <f>COUNTIF(MASTER!$L$2:$L$1944,I1238)=0</f>
        <v>1</v>
      </c>
    </row>
    <row r="1239" spans="6:10" x14ac:dyDescent="0.35">
      <c r="F1239" s="2" t="s">
        <v>2601</v>
      </c>
      <c r="G1239" s="2" t="b">
        <f>COUNTIF(MASTER!$A$2:$A$1944,F1239)=0</f>
        <v>1</v>
      </c>
      <c r="H1239" s="2"/>
      <c r="I1239" s="2" t="s">
        <v>2602</v>
      </c>
      <c r="J1239" s="2" t="b">
        <f>COUNTIF(MASTER!$L$2:$L$1944,I1239)=0</f>
        <v>1</v>
      </c>
    </row>
    <row r="1240" spans="6:10" x14ac:dyDescent="0.35">
      <c r="F1240" s="2" t="s">
        <v>2603</v>
      </c>
      <c r="G1240" s="2" t="b">
        <f>COUNTIF(MASTER!$A$2:$A$1944,F1240)=0</f>
        <v>1</v>
      </c>
      <c r="H1240" s="2"/>
      <c r="I1240" s="2" t="s">
        <v>2604</v>
      </c>
      <c r="J1240" s="2" t="b">
        <f>COUNTIF(MASTER!$L$2:$L$1944,I1240)=0</f>
        <v>1</v>
      </c>
    </row>
    <row r="1241" spans="6:10" x14ac:dyDescent="0.35">
      <c r="F1241" s="2" t="s">
        <v>2605</v>
      </c>
      <c r="G1241" s="2" t="b">
        <f>COUNTIF(MASTER!$A$2:$A$1944,F1241)=0</f>
        <v>1</v>
      </c>
      <c r="H1241" s="2"/>
      <c r="I1241" s="2" t="s">
        <v>2606</v>
      </c>
      <c r="J1241" s="2" t="b">
        <f>COUNTIF(MASTER!$L$2:$L$1944,I1241)=0</f>
        <v>1</v>
      </c>
    </row>
    <row r="1242" spans="6:10" x14ac:dyDescent="0.35">
      <c r="F1242" s="2" t="s">
        <v>2607</v>
      </c>
      <c r="G1242" s="2" t="b">
        <f>COUNTIF(MASTER!$A$2:$A$1944,F1242)=0</f>
        <v>1</v>
      </c>
      <c r="H1242" s="2"/>
      <c r="I1242" s="2" t="s">
        <v>2608</v>
      </c>
      <c r="J1242" s="2" t="b">
        <f>COUNTIF(MASTER!$L$2:$L$1944,I1242)=0</f>
        <v>1</v>
      </c>
    </row>
    <row r="1243" spans="6:10" x14ac:dyDescent="0.35">
      <c r="F1243" s="2" t="s">
        <v>2609</v>
      </c>
      <c r="G1243" s="2" t="b">
        <f>COUNTIF(MASTER!$A$2:$A$1944,F1243)=0</f>
        <v>1</v>
      </c>
      <c r="H1243" s="2"/>
      <c r="I1243" s="2" t="s">
        <v>2610</v>
      </c>
      <c r="J1243" s="2" t="b">
        <f>COUNTIF(MASTER!$L$2:$L$1944,I1243)=0</f>
        <v>1</v>
      </c>
    </row>
    <row r="1244" spans="6:10" x14ac:dyDescent="0.35">
      <c r="F1244" s="2" t="s">
        <v>2611</v>
      </c>
      <c r="G1244" s="2" t="b">
        <f>COUNTIF(MASTER!$A$2:$A$1944,F1244)=0</f>
        <v>1</v>
      </c>
      <c r="H1244" s="2"/>
      <c r="I1244" s="2" t="s">
        <v>2612</v>
      </c>
      <c r="J1244" s="2" t="b">
        <f>COUNTIF(MASTER!$L$2:$L$1944,I1244)=0</f>
        <v>1</v>
      </c>
    </row>
    <row r="1245" spans="6:10" x14ac:dyDescent="0.35">
      <c r="F1245" s="2" t="s">
        <v>2613</v>
      </c>
      <c r="G1245" s="2" t="b">
        <f>COUNTIF(MASTER!$A$2:$A$1944,F1245)=0</f>
        <v>1</v>
      </c>
      <c r="H1245" s="2"/>
      <c r="I1245" s="2" t="s">
        <v>2614</v>
      </c>
      <c r="J1245" s="2" t="b">
        <f>COUNTIF(MASTER!$L$2:$L$1944,I1245)=0</f>
        <v>1</v>
      </c>
    </row>
    <row r="1246" spans="6:10" x14ac:dyDescent="0.35">
      <c r="F1246" s="2" t="s">
        <v>2615</v>
      </c>
      <c r="G1246" s="2" t="b">
        <f>COUNTIF(MASTER!$A$2:$A$1944,F1246)=0</f>
        <v>1</v>
      </c>
      <c r="H1246" s="2"/>
      <c r="I1246" s="2" t="s">
        <v>2616</v>
      </c>
      <c r="J1246" s="2" t="b">
        <f>COUNTIF(MASTER!$L$2:$L$1944,I1246)=0</f>
        <v>1</v>
      </c>
    </row>
    <row r="1247" spans="6:10" x14ac:dyDescent="0.35">
      <c r="F1247" s="2" t="s">
        <v>2617</v>
      </c>
      <c r="G1247" s="2" t="b">
        <f>COUNTIF(MASTER!$A$2:$A$1944,F1247)=0</f>
        <v>1</v>
      </c>
      <c r="H1247" s="2"/>
      <c r="I1247" s="2" t="s">
        <v>2618</v>
      </c>
      <c r="J1247" s="2" t="b">
        <f>COUNTIF(MASTER!$L$2:$L$1944,I1247)=0</f>
        <v>1</v>
      </c>
    </row>
    <row r="1248" spans="6:10" x14ac:dyDescent="0.35">
      <c r="F1248" s="2" t="s">
        <v>2619</v>
      </c>
      <c r="G1248" s="2" t="b">
        <f>COUNTIF(MASTER!$A$2:$A$1944,F1248)=0</f>
        <v>1</v>
      </c>
      <c r="H1248" s="2"/>
      <c r="I1248" s="2" t="s">
        <v>2620</v>
      </c>
      <c r="J1248" s="2" t="b">
        <f>COUNTIF(MASTER!$L$2:$L$1944,I1248)=0</f>
        <v>1</v>
      </c>
    </row>
    <row r="1249" spans="6:10" x14ac:dyDescent="0.35">
      <c r="F1249" s="2" t="s">
        <v>2621</v>
      </c>
      <c r="G1249" s="2" t="b">
        <f>COUNTIF(MASTER!$A$2:$A$1944,F1249)=0</f>
        <v>1</v>
      </c>
      <c r="H1249" s="2"/>
      <c r="I1249" s="2" t="s">
        <v>2622</v>
      </c>
      <c r="J1249" s="2" t="b">
        <f>COUNTIF(MASTER!$L$2:$L$1944,I1249)=0</f>
        <v>1</v>
      </c>
    </row>
    <row r="1250" spans="6:10" x14ac:dyDescent="0.35">
      <c r="F1250" s="2" t="s">
        <v>2623</v>
      </c>
      <c r="G1250" s="2" t="b">
        <f>COUNTIF(MASTER!$A$2:$A$1944,F1250)=0</f>
        <v>1</v>
      </c>
      <c r="H1250" s="2"/>
      <c r="I1250" s="2" t="s">
        <v>2624</v>
      </c>
      <c r="J1250" s="2" t="b">
        <f>COUNTIF(MASTER!$L$2:$L$1944,I1250)=0</f>
        <v>1</v>
      </c>
    </row>
    <row r="1251" spans="6:10" x14ac:dyDescent="0.35">
      <c r="F1251" s="2" t="s">
        <v>2625</v>
      </c>
      <c r="G1251" s="2" t="b">
        <f>COUNTIF(MASTER!$A$2:$A$1944,F1251)=0</f>
        <v>1</v>
      </c>
      <c r="H1251" s="2"/>
      <c r="I1251" s="2" t="s">
        <v>2626</v>
      </c>
      <c r="J1251" s="2" t="b">
        <f>COUNTIF(MASTER!$L$2:$L$1944,I1251)=0</f>
        <v>1</v>
      </c>
    </row>
    <row r="1252" spans="6:10" x14ac:dyDescent="0.35">
      <c r="F1252" s="2" t="s">
        <v>2627</v>
      </c>
      <c r="G1252" s="2" t="b">
        <f>COUNTIF(MASTER!$A$2:$A$1944,F1252)=0</f>
        <v>1</v>
      </c>
      <c r="H1252" s="2"/>
      <c r="I1252" s="2" t="s">
        <v>2628</v>
      </c>
      <c r="J1252" s="2" t="b">
        <f>COUNTIF(MASTER!$L$2:$L$1944,I1252)=0</f>
        <v>1</v>
      </c>
    </row>
    <row r="1253" spans="6:10" x14ac:dyDescent="0.35">
      <c r="F1253" s="2" t="s">
        <v>2629</v>
      </c>
      <c r="G1253" s="2" t="b">
        <f>COUNTIF(MASTER!$A$2:$A$1944,F1253)=0</f>
        <v>1</v>
      </c>
      <c r="H1253" s="2"/>
      <c r="I1253" s="2" t="s">
        <v>2630</v>
      </c>
      <c r="J1253" s="2" t="b">
        <f>COUNTIF(MASTER!$L$2:$L$1944,I1253)=0</f>
        <v>1</v>
      </c>
    </row>
    <row r="1254" spans="6:10" x14ac:dyDescent="0.35">
      <c r="F1254" s="2" t="s">
        <v>2631</v>
      </c>
      <c r="G1254" s="2" t="b">
        <f>COUNTIF(MASTER!$A$2:$A$1944,F1254)=0</f>
        <v>1</v>
      </c>
      <c r="H1254" s="2"/>
      <c r="I1254" s="2" t="s">
        <v>2632</v>
      </c>
      <c r="J1254" s="2" t="b">
        <f>COUNTIF(MASTER!$L$2:$L$1944,I1254)=0</f>
        <v>1</v>
      </c>
    </row>
    <row r="1255" spans="6:10" x14ac:dyDescent="0.35">
      <c r="F1255" s="2" t="s">
        <v>2633</v>
      </c>
      <c r="G1255" s="2" t="b">
        <f>COUNTIF(MASTER!$A$2:$A$1944,F1255)=0</f>
        <v>1</v>
      </c>
      <c r="H1255" s="2"/>
      <c r="I1255" s="2" t="s">
        <v>2634</v>
      </c>
      <c r="J1255" s="2" t="b">
        <f>COUNTIF(MASTER!$L$2:$L$1944,I1255)=0</f>
        <v>1</v>
      </c>
    </row>
    <row r="1256" spans="6:10" x14ac:dyDescent="0.35">
      <c r="F1256" s="2" t="s">
        <v>2635</v>
      </c>
      <c r="G1256" s="2" t="b">
        <f>COUNTIF(MASTER!$A$2:$A$1944,F1256)=0</f>
        <v>1</v>
      </c>
      <c r="H1256" s="2"/>
      <c r="I1256" s="2" t="s">
        <v>2636</v>
      </c>
      <c r="J1256" s="2" t="b">
        <f>COUNTIF(MASTER!$L$2:$L$1944,I1256)=0</f>
        <v>1</v>
      </c>
    </row>
    <row r="1257" spans="6:10" x14ac:dyDescent="0.35">
      <c r="F1257" s="2" t="s">
        <v>2637</v>
      </c>
      <c r="G1257" s="2" t="b">
        <f>COUNTIF(MASTER!$A$2:$A$1944,F1257)=0</f>
        <v>1</v>
      </c>
      <c r="H1257" s="2"/>
      <c r="I1257" s="2" t="s">
        <v>2638</v>
      </c>
      <c r="J1257" s="2" t="b">
        <f>COUNTIF(MASTER!$L$2:$L$1944,I1257)=0</f>
        <v>1</v>
      </c>
    </row>
    <row r="1258" spans="6:10" x14ac:dyDescent="0.35">
      <c r="F1258" s="2" t="s">
        <v>2639</v>
      </c>
      <c r="G1258" s="2" t="b">
        <f>COUNTIF(MASTER!$A$2:$A$1944,F1258)=0</f>
        <v>1</v>
      </c>
      <c r="H1258" s="2"/>
      <c r="I1258" s="2" t="s">
        <v>2640</v>
      </c>
      <c r="J1258" s="2" t="b">
        <f>COUNTIF(MASTER!$L$2:$L$1944,I1258)=0</f>
        <v>1</v>
      </c>
    </row>
    <row r="1259" spans="6:10" x14ac:dyDescent="0.35">
      <c r="F1259" s="2" t="s">
        <v>2641</v>
      </c>
      <c r="G1259" s="2" t="b">
        <f>COUNTIF(MASTER!$A$2:$A$1944,F1259)=0</f>
        <v>1</v>
      </c>
      <c r="H1259" s="2"/>
      <c r="I1259" s="2" t="s">
        <v>2642</v>
      </c>
      <c r="J1259" s="2" t="b">
        <f>COUNTIF(MASTER!$L$2:$L$1944,I1259)=0</f>
        <v>1</v>
      </c>
    </row>
    <row r="1260" spans="6:10" x14ac:dyDescent="0.35">
      <c r="F1260" s="2" t="s">
        <v>2643</v>
      </c>
      <c r="G1260" s="2" t="b">
        <f>COUNTIF(MASTER!$A$2:$A$1944,F1260)=0</f>
        <v>1</v>
      </c>
      <c r="H1260" s="2"/>
      <c r="I1260" s="2" t="s">
        <v>2644</v>
      </c>
      <c r="J1260" s="2" t="b">
        <f>COUNTIF(MASTER!$L$2:$L$1944,I1260)=0</f>
        <v>1</v>
      </c>
    </row>
    <row r="1261" spans="6:10" x14ac:dyDescent="0.35">
      <c r="F1261" s="2" t="s">
        <v>2645</v>
      </c>
      <c r="G1261" s="2" t="b">
        <f>COUNTIF(MASTER!$A$2:$A$1944,F1261)=0</f>
        <v>1</v>
      </c>
      <c r="H1261" s="2"/>
      <c r="I1261" s="2" t="s">
        <v>2646</v>
      </c>
      <c r="J1261" s="2" t="b">
        <f>COUNTIF(MASTER!$L$2:$L$1944,I1261)=0</f>
        <v>1</v>
      </c>
    </row>
    <row r="1262" spans="6:10" x14ac:dyDescent="0.35">
      <c r="F1262" s="2" t="s">
        <v>2647</v>
      </c>
      <c r="G1262" s="2" t="b">
        <f>COUNTIF(MASTER!$A$2:$A$1944,F1262)=0</f>
        <v>1</v>
      </c>
      <c r="H1262" s="2"/>
      <c r="I1262" s="2" t="s">
        <v>2648</v>
      </c>
      <c r="J1262" s="2" t="b">
        <f>COUNTIF(MASTER!$L$2:$L$1944,I1262)=0</f>
        <v>1</v>
      </c>
    </row>
    <row r="1263" spans="6:10" x14ac:dyDescent="0.35">
      <c r="F1263" s="2" t="s">
        <v>2649</v>
      </c>
      <c r="G1263" s="2" t="b">
        <f>COUNTIF(MASTER!$A$2:$A$1944,F1263)=0</f>
        <v>1</v>
      </c>
      <c r="H1263" s="2"/>
      <c r="I1263" s="2" t="s">
        <v>2650</v>
      </c>
      <c r="J1263" s="2" t="b">
        <f>COUNTIF(MASTER!$L$2:$L$1944,I1263)=0</f>
        <v>1</v>
      </c>
    </row>
    <row r="1264" spans="6:10" x14ac:dyDescent="0.35">
      <c r="F1264" s="2" t="s">
        <v>2651</v>
      </c>
      <c r="G1264" s="2" t="b">
        <f>COUNTIF(MASTER!$A$2:$A$1944,F1264)=0</f>
        <v>1</v>
      </c>
      <c r="H1264" s="2"/>
      <c r="I1264" s="2" t="s">
        <v>2652</v>
      </c>
      <c r="J1264" s="2" t="b">
        <f>COUNTIF(MASTER!$L$2:$L$1944,I1264)=0</f>
        <v>1</v>
      </c>
    </row>
    <row r="1265" spans="6:10" x14ac:dyDescent="0.35">
      <c r="F1265" s="2" t="s">
        <v>2653</v>
      </c>
      <c r="G1265" s="2" t="b">
        <f>COUNTIF(MASTER!$A$2:$A$1944,F1265)=0</f>
        <v>1</v>
      </c>
      <c r="H1265" s="2"/>
      <c r="I1265" s="2" t="s">
        <v>2654</v>
      </c>
      <c r="J1265" s="2" t="b">
        <f>COUNTIF(MASTER!$L$2:$L$1944,I1265)=0</f>
        <v>1</v>
      </c>
    </row>
    <row r="1266" spans="6:10" x14ac:dyDescent="0.35">
      <c r="F1266" s="2" t="s">
        <v>2655</v>
      </c>
      <c r="G1266" s="2" t="b">
        <f>COUNTIF(MASTER!$A$2:$A$1944,F1266)=0</f>
        <v>1</v>
      </c>
      <c r="H1266" s="2"/>
      <c r="I1266" s="2" t="s">
        <v>2656</v>
      </c>
      <c r="J1266" s="2" t="b">
        <f>COUNTIF(MASTER!$L$2:$L$1944,I1266)=0</f>
        <v>1</v>
      </c>
    </row>
    <row r="1267" spans="6:10" x14ac:dyDescent="0.35">
      <c r="F1267" s="2" t="s">
        <v>2657</v>
      </c>
      <c r="G1267" s="2" t="b">
        <f>COUNTIF(MASTER!$A$2:$A$1944,F1267)=0</f>
        <v>1</v>
      </c>
      <c r="H1267" s="2"/>
      <c r="I1267" s="2" t="s">
        <v>2658</v>
      </c>
      <c r="J1267" s="2" t="b">
        <f>COUNTIF(MASTER!$L$2:$L$1944,I1267)=0</f>
        <v>1</v>
      </c>
    </row>
    <row r="1268" spans="6:10" x14ac:dyDescent="0.35">
      <c r="F1268" s="2" t="s">
        <v>2659</v>
      </c>
      <c r="G1268" s="2" t="b">
        <f>COUNTIF(MASTER!$A$2:$A$1944,F1268)=0</f>
        <v>1</v>
      </c>
      <c r="H1268" s="2"/>
      <c r="I1268" s="2" t="s">
        <v>2660</v>
      </c>
      <c r="J1268" s="2" t="b">
        <f>COUNTIF(MASTER!$L$2:$L$1944,I1268)=0</f>
        <v>1</v>
      </c>
    </row>
    <row r="1269" spans="6:10" x14ac:dyDescent="0.35">
      <c r="F1269" s="2" t="s">
        <v>2661</v>
      </c>
      <c r="G1269" s="2" t="b">
        <f>COUNTIF(MASTER!$A$2:$A$1944,F1269)=0</f>
        <v>1</v>
      </c>
      <c r="H1269" s="2"/>
      <c r="I1269" s="2" t="s">
        <v>2662</v>
      </c>
      <c r="J1269" s="2" t="b">
        <f>COUNTIF(MASTER!$L$2:$L$1944,I1269)=0</f>
        <v>1</v>
      </c>
    </row>
    <row r="1270" spans="6:10" x14ac:dyDescent="0.35">
      <c r="F1270" s="2" t="s">
        <v>2663</v>
      </c>
      <c r="G1270" s="2" t="b">
        <f>COUNTIF(MASTER!$A$2:$A$1944,F1270)=0</f>
        <v>1</v>
      </c>
      <c r="H1270" s="2"/>
      <c r="I1270" s="2" t="s">
        <v>2664</v>
      </c>
      <c r="J1270" s="2" t="b">
        <f>COUNTIF(MASTER!$L$2:$L$1944,I1270)=0</f>
        <v>1</v>
      </c>
    </row>
    <row r="1271" spans="6:10" x14ac:dyDescent="0.35">
      <c r="F1271" s="2" t="s">
        <v>2665</v>
      </c>
      <c r="G1271" s="2" t="b">
        <f>COUNTIF(MASTER!$A$2:$A$1944,F1271)=0</f>
        <v>1</v>
      </c>
      <c r="H1271" s="2"/>
      <c r="I1271" s="2" t="s">
        <v>2666</v>
      </c>
      <c r="J1271" s="2" t="b">
        <f>COUNTIF(MASTER!$L$2:$L$1944,I1271)=0</f>
        <v>1</v>
      </c>
    </row>
    <row r="1272" spans="6:10" x14ac:dyDescent="0.35">
      <c r="F1272" s="2" t="s">
        <v>2667</v>
      </c>
      <c r="G1272" s="2" t="b">
        <f>COUNTIF(MASTER!$A$2:$A$1944,F1272)=0</f>
        <v>1</v>
      </c>
      <c r="H1272" s="2"/>
      <c r="I1272" s="2" t="s">
        <v>2668</v>
      </c>
      <c r="J1272" s="2" t="b">
        <f>COUNTIF(MASTER!$L$2:$L$1944,I1272)=0</f>
        <v>1</v>
      </c>
    </row>
    <row r="1273" spans="6:10" x14ac:dyDescent="0.35">
      <c r="F1273" s="2" t="s">
        <v>2669</v>
      </c>
      <c r="G1273" s="2" t="b">
        <f>COUNTIF(MASTER!$A$2:$A$1944,F1273)=0</f>
        <v>1</v>
      </c>
      <c r="H1273" s="2"/>
      <c r="I1273" s="2" t="s">
        <v>2670</v>
      </c>
      <c r="J1273" s="2" t="b">
        <f>COUNTIF(MASTER!$L$2:$L$1944,I1273)=0</f>
        <v>1</v>
      </c>
    </row>
    <row r="1274" spans="6:10" x14ac:dyDescent="0.35">
      <c r="F1274" s="2" t="s">
        <v>2671</v>
      </c>
      <c r="G1274" s="2" t="b">
        <f>COUNTIF(MASTER!$A$2:$A$1944,F1274)=0</f>
        <v>1</v>
      </c>
      <c r="H1274" s="2"/>
      <c r="I1274" s="2" t="s">
        <v>2672</v>
      </c>
      <c r="J1274" s="2" t="b">
        <f>COUNTIF(MASTER!$L$2:$L$1944,I1274)=0</f>
        <v>1</v>
      </c>
    </row>
    <row r="1275" spans="6:10" x14ac:dyDescent="0.35">
      <c r="F1275" s="2" t="s">
        <v>2673</v>
      </c>
      <c r="G1275" s="2" t="b">
        <f>COUNTIF(MASTER!$A$2:$A$1944,F1275)=0</f>
        <v>1</v>
      </c>
      <c r="H1275" s="2"/>
      <c r="I1275" s="2" t="s">
        <v>2674</v>
      </c>
      <c r="J1275" s="2" t="b">
        <f>COUNTIF(MASTER!$L$2:$L$1944,I1275)=0</f>
        <v>1</v>
      </c>
    </row>
    <row r="1276" spans="6:10" x14ac:dyDescent="0.35">
      <c r="F1276" s="2" t="s">
        <v>2675</v>
      </c>
      <c r="G1276" s="2" t="b">
        <f>COUNTIF(MASTER!$A$2:$A$1944,F1276)=0</f>
        <v>1</v>
      </c>
      <c r="H1276" s="2"/>
      <c r="I1276" s="2" t="s">
        <v>2676</v>
      </c>
      <c r="J1276" s="2" t="b">
        <f>COUNTIF(MASTER!$L$2:$L$1944,I1276)=0</f>
        <v>1</v>
      </c>
    </row>
    <row r="1277" spans="6:10" x14ac:dyDescent="0.35">
      <c r="F1277" s="2" t="s">
        <v>2677</v>
      </c>
      <c r="G1277" s="2" t="b">
        <f>COUNTIF(MASTER!$A$2:$A$1944,F1277)=0</f>
        <v>1</v>
      </c>
      <c r="H1277" s="2"/>
      <c r="I1277" s="2" t="s">
        <v>2678</v>
      </c>
      <c r="J1277" s="2" t="b">
        <f>COUNTIF(MASTER!$L$2:$L$1944,I1277)=0</f>
        <v>1</v>
      </c>
    </row>
    <row r="1278" spans="6:10" x14ac:dyDescent="0.35">
      <c r="F1278" s="2" t="s">
        <v>2679</v>
      </c>
      <c r="G1278" s="2" t="b">
        <f>COUNTIF(MASTER!$A$2:$A$1944,F1278)=0</f>
        <v>1</v>
      </c>
      <c r="H1278" s="2"/>
      <c r="I1278" s="2" t="s">
        <v>2680</v>
      </c>
      <c r="J1278" s="2" t="b">
        <f>COUNTIF(MASTER!$L$2:$L$1944,I1278)=0</f>
        <v>1</v>
      </c>
    </row>
    <row r="1279" spans="6:10" x14ac:dyDescent="0.35">
      <c r="F1279" s="2" t="s">
        <v>2681</v>
      </c>
      <c r="G1279" s="2" t="b">
        <f>COUNTIF(MASTER!$A$2:$A$1944,F1279)=0</f>
        <v>1</v>
      </c>
      <c r="H1279" s="2"/>
      <c r="I1279" s="2" t="s">
        <v>2682</v>
      </c>
      <c r="J1279" s="2" t="b">
        <f>COUNTIF(MASTER!$L$2:$L$1944,I1279)=0</f>
        <v>1</v>
      </c>
    </row>
    <row r="1280" spans="6:10" x14ac:dyDescent="0.35">
      <c r="F1280" s="2" t="s">
        <v>2683</v>
      </c>
      <c r="G1280" s="2" t="b">
        <f>COUNTIF(MASTER!$A$2:$A$1944,F1280)=0</f>
        <v>1</v>
      </c>
      <c r="H1280" s="2"/>
      <c r="I1280" s="2" t="s">
        <v>2684</v>
      </c>
      <c r="J1280" s="2" t="b">
        <f>COUNTIF(MASTER!$L$2:$L$1944,I1280)=0</f>
        <v>1</v>
      </c>
    </row>
    <row r="1281" spans="6:10" x14ac:dyDescent="0.35">
      <c r="F1281" s="2" t="s">
        <v>2685</v>
      </c>
      <c r="G1281" s="2" t="b">
        <f>COUNTIF(MASTER!$A$2:$A$1944,F1281)=0</f>
        <v>1</v>
      </c>
      <c r="H1281" s="2"/>
      <c r="I1281" s="2" t="s">
        <v>2686</v>
      </c>
      <c r="J1281" s="2" t="b">
        <f>COUNTIF(MASTER!$L$2:$L$1944,I1281)=0</f>
        <v>1</v>
      </c>
    </row>
    <row r="1282" spans="6:10" x14ac:dyDescent="0.35">
      <c r="F1282" s="2" t="s">
        <v>2687</v>
      </c>
      <c r="G1282" s="2" t="b">
        <f>COUNTIF(MASTER!$A$2:$A$1944,F1282)=0</f>
        <v>1</v>
      </c>
      <c r="H1282" s="2"/>
      <c r="I1282" s="2" t="s">
        <v>2688</v>
      </c>
      <c r="J1282" s="2" t="b">
        <f>COUNTIF(MASTER!$L$2:$L$1944,I1282)=0</f>
        <v>1</v>
      </c>
    </row>
    <row r="1283" spans="6:10" x14ac:dyDescent="0.35">
      <c r="F1283" s="2" t="s">
        <v>2689</v>
      </c>
      <c r="G1283" s="2" t="b">
        <f>COUNTIF(MASTER!$A$2:$A$1944,F1283)=0</f>
        <v>1</v>
      </c>
      <c r="H1283" s="2"/>
      <c r="I1283" s="2" t="s">
        <v>2690</v>
      </c>
      <c r="J1283" s="2" t="b">
        <f>COUNTIF(MASTER!$L$2:$L$1944,I1283)=0</f>
        <v>1</v>
      </c>
    </row>
    <row r="1284" spans="6:10" x14ac:dyDescent="0.35">
      <c r="F1284" s="2" t="s">
        <v>2691</v>
      </c>
      <c r="G1284" s="2" t="b">
        <f>COUNTIF(MASTER!$A$2:$A$1944,F1284)=0</f>
        <v>1</v>
      </c>
      <c r="H1284" s="2"/>
      <c r="I1284" s="2" t="s">
        <v>2692</v>
      </c>
      <c r="J1284" s="2" t="b">
        <f>COUNTIF(MASTER!$L$2:$L$1944,I1284)=0</f>
        <v>1</v>
      </c>
    </row>
    <row r="1285" spans="6:10" x14ac:dyDescent="0.35">
      <c r="F1285" s="2" t="s">
        <v>2693</v>
      </c>
      <c r="G1285" s="2" t="b">
        <f>COUNTIF(MASTER!$A$2:$A$1944,F1285)=0</f>
        <v>1</v>
      </c>
      <c r="H1285" s="2"/>
      <c r="I1285" s="2" t="s">
        <v>2694</v>
      </c>
      <c r="J1285" s="2" t="b">
        <f>COUNTIF(MASTER!$L$2:$L$1944,I1285)=0</f>
        <v>1</v>
      </c>
    </row>
    <row r="1286" spans="6:10" x14ac:dyDescent="0.35">
      <c r="F1286" s="2" t="s">
        <v>2695</v>
      </c>
      <c r="G1286" s="2" t="b">
        <f>COUNTIF(MASTER!$A$2:$A$1944,F1286)=0</f>
        <v>1</v>
      </c>
      <c r="H1286" s="2"/>
      <c r="I1286" s="2" t="s">
        <v>2696</v>
      </c>
      <c r="J1286" s="2" t="b">
        <f>COUNTIF(MASTER!$L$2:$L$1944,I1286)=0</f>
        <v>1</v>
      </c>
    </row>
    <row r="1287" spans="6:10" x14ac:dyDescent="0.35">
      <c r="F1287" s="2" t="s">
        <v>2697</v>
      </c>
      <c r="G1287" s="2" t="b">
        <f>COUNTIF(MASTER!$A$2:$A$1944,F1287)=0</f>
        <v>1</v>
      </c>
      <c r="H1287" s="2"/>
      <c r="I1287" s="2" t="s">
        <v>2698</v>
      </c>
      <c r="J1287" s="2" t="b">
        <f>COUNTIF(MASTER!$L$2:$L$1944,I1287)=0</f>
        <v>1</v>
      </c>
    </row>
    <row r="1288" spans="6:10" x14ac:dyDescent="0.35">
      <c r="F1288" s="2" t="s">
        <v>2699</v>
      </c>
      <c r="G1288" s="2" t="b">
        <f>COUNTIF(MASTER!$A$2:$A$1944,F1288)=0</f>
        <v>1</v>
      </c>
      <c r="H1288" s="2"/>
      <c r="I1288" s="2" t="s">
        <v>2700</v>
      </c>
      <c r="J1288" s="2" t="b">
        <f>COUNTIF(MASTER!$L$2:$L$1944,I1288)=0</f>
        <v>1</v>
      </c>
    </row>
    <row r="1289" spans="6:10" x14ac:dyDescent="0.35">
      <c r="F1289" s="2" t="s">
        <v>2701</v>
      </c>
      <c r="G1289" s="2" t="b">
        <f>COUNTIF(MASTER!$A$2:$A$1944,F1289)=0</f>
        <v>1</v>
      </c>
      <c r="H1289" s="2"/>
      <c r="I1289" s="2" t="s">
        <v>2702</v>
      </c>
      <c r="J1289" s="2" t="b">
        <f>COUNTIF(MASTER!$L$2:$L$1944,I1289)=0</f>
        <v>1</v>
      </c>
    </row>
    <row r="1290" spans="6:10" x14ac:dyDescent="0.35">
      <c r="F1290" s="2" t="s">
        <v>2703</v>
      </c>
      <c r="G1290" s="2" t="b">
        <f>COUNTIF(MASTER!$A$2:$A$1944,F1290)=0</f>
        <v>1</v>
      </c>
      <c r="H1290" s="2"/>
      <c r="I1290" s="2" t="s">
        <v>2704</v>
      </c>
      <c r="J1290" s="2" t="b">
        <f>COUNTIF(MASTER!$L$2:$L$1944,I1290)=0</f>
        <v>1</v>
      </c>
    </row>
    <row r="1291" spans="6:10" x14ac:dyDescent="0.35">
      <c r="F1291" s="2" t="s">
        <v>2705</v>
      </c>
      <c r="G1291" s="2" t="b">
        <f>COUNTIF(MASTER!$A$2:$A$1944,F1291)=0</f>
        <v>1</v>
      </c>
      <c r="H1291" s="2"/>
      <c r="I1291" s="2" t="s">
        <v>2706</v>
      </c>
      <c r="J1291" s="2" t="b">
        <f>COUNTIF(MASTER!$L$2:$L$1944,I1291)=0</f>
        <v>1</v>
      </c>
    </row>
    <row r="1292" spans="6:10" x14ac:dyDescent="0.35">
      <c r="F1292" s="2" t="s">
        <v>2707</v>
      </c>
      <c r="G1292" s="2" t="b">
        <f>COUNTIF(MASTER!$A$2:$A$1944,F1292)=0</f>
        <v>1</v>
      </c>
      <c r="H1292" s="2"/>
      <c r="I1292" s="2" t="s">
        <v>2708</v>
      </c>
      <c r="J1292" s="2" t="b">
        <f>COUNTIF(MASTER!$L$2:$L$1944,I1292)=0</f>
        <v>1</v>
      </c>
    </row>
    <row r="1293" spans="6:10" x14ac:dyDescent="0.35">
      <c r="F1293" s="2" t="s">
        <v>2709</v>
      </c>
      <c r="G1293" s="2" t="b">
        <f>COUNTIF(MASTER!$A$2:$A$1944,F1293)=0</f>
        <v>1</v>
      </c>
      <c r="H1293" s="2"/>
      <c r="I1293" s="2" t="s">
        <v>2710</v>
      </c>
      <c r="J1293" s="2" t="b">
        <f>COUNTIF(MASTER!$L$2:$L$1944,I1293)=0</f>
        <v>1</v>
      </c>
    </row>
    <row r="1294" spans="6:10" x14ac:dyDescent="0.35">
      <c r="F1294" s="2" t="s">
        <v>2711</v>
      </c>
      <c r="G1294" s="2" t="b">
        <f>COUNTIF(MASTER!$A$2:$A$1944,F1294)=0</f>
        <v>1</v>
      </c>
      <c r="H1294" s="2"/>
      <c r="I1294" s="2" t="s">
        <v>2712</v>
      </c>
      <c r="J1294" s="2" t="b">
        <f>COUNTIF(MASTER!$L$2:$L$1944,I1294)=0</f>
        <v>1</v>
      </c>
    </row>
    <row r="1295" spans="6:10" x14ac:dyDescent="0.35">
      <c r="F1295" s="2" t="s">
        <v>2713</v>
      </c>
      <c r="G1295" s="2" t="b">
        <f>COUNTIF(MASTER!$A$2:$A$1944,F1295)=0</f>
        <v>1</v>
      </c>
      <c r="H1295" s="2"/>
      <c r="I1295" s="2" t="s">
        <v>2714</v>
      </c>
      <c r="J1295" s="2" t="b">
        <f>COUNTIF(MASTER!$L$2:$L$1944,I1295)=0</f>
        <v>1</v>
      </c>
    </row>
    <row r="1296" spans="6:10" x14ac:dyDescent="0.35">
      <c r="F1296" s="2" t="s">
        <v>2715</v>
      </c>
      <c r="G1296" s="2" t="b">
        <f>COUNTIF(MASTER!$A$2:$A$1944,F1296)=0</f>
        <v>1</v>
      </c>
      <c r="H1296" s="2"/>
      <c r="I1296" s="2" t="s">
        <v>2716</v>
      </c>
      <c r="J1296" s="2" t="b">
        <f>COUNTIF(MASTER!$L$2:$L$1944,I1296)=0</f>
        <v>1</v>
      </c>
    </row>
    <row r="1297" spans="6:10" x14ac:dyDescent="0.35">
      <c r="F1297" s="2" t="s">
        <v>2717</v>
      </c>
      <c r="G1297" s="2" t="b">
        <f>COUNTIF(MASTER!$A$2:$A$1944,F1297)=0</f>
        <v>1</v>
      </c>
      <c r="H1297" s="2"/>
      <c r="I1297" s="2" t="s">
        <v>2718</v>
      </c>
      <c r="J1297" s="2" t="b">
        <f>COUNTIF(MASTER!$L$2:$L$1944,I1297)=0</f>
        <v>1</v>
      </c>
    </row>
    <row r="1298" spans="6:10" x14ac:dyDescent="0.35">
      <c r="F1298" s="2" t="s">
        <v>2719</v>
      </c>
      <c r="G1298" s="2" t="b">
        <f>COUNTIF(MASTER!$A$2:$A$1944,F1298)=0</f>
        <v>1</v>
      </c>
      <c r="H1298" s="2"/>
      <c r="I1298" s="2" t="s">
        <v>2720</v>
      </c>
      <c r="J1298" s="2" t="b">
        <f>COUNTIF(MASTER!$L$2:$L$1944,I1298)=0</f>
        <v>1</v>
      </c>
    </row>
    <row r="1299" spans="6:10" x14ac:dyDescent="0.35">
      <c r="F1299" s="2" t="s">
        <v>2721</v>
      </c>
      <c r="G1299" s="2" t="b">
        <f>COUNTIF(MASTER!$A$2:$A$1944,F1299)=0</f>
        <v>1</v>
      </c>
      <c r="H1299" s="2"/>
      <c r="I1299" s="2" t="s">
        <v>2722</v>
      </c>
      <c r="J1299" s="2" t="b">
        <f>COUNTIF(MASTER!$L$2:$L$1944,I1299)=0</f>
        <v>1</v>
      </c>
    </row>
    <row r="1300" spans="6:10" x14ac:dyDescent="0.35">
      <c r="F1300" s="2" t="s">
        <v>2723</v>
      </c>
      <c r="G1300" s="2" t="b">
        <f>COUNTIF(MASTER!$A$2:$A$1944,F1300)=0</f>
        <v>1</v>
      </c>
      <c r="H1300" s="2"/>
      <c r="I1300" s="2" t="s">
        <v>2724</v>
      </c>
      <c r="J1300" s="2" t="b">
        <f>COUNTIF(MASTER!$L$2:$L$1944,I1300)=0</f>
        <v>1</v>
      </c>
    </row>
    <row r="1301" spans="6:10" x14ac:dyDescent="0.35">
      <c r="F1301" s="2" t="s">
        <v>2725</v>
      </c>
      <c r="G1301" s="2" t="b">
        <f>COUNTIF(MASTER!$A$2:$A$1944,F1301)=0</f>
        <v>1</v>
      </c>
      <c r="H1301" s="2"/>
      <c r="I1301" s="2" t="s">
        <v>2726</v>
      </c>
      <c r="J1301" s="2" t="b">
        <f>COUNTIF(MASTER!$L$2:$L$1944,I1301)=0</f>
        <v>1</v>
      </c>
    </row>
    <row r="1302" spans="6:10" x14ac:dyDescent="0.35">
      <c r="F1302" s="2" t="s">
        <v>2727</v>
      </c>
      <c r="G1302" s="2" t="b">
        <f>COUNTIF(MASTER!$A$2:$A$1944,F1302)=0</f>
        <v>1</v>
      </c>
      <c r="H1302" s="2"/>
      <c r="I1302" s="2" t="s">
        <v>2728</v>
      </c>
      <c r="J1302" s="2" t="b">
        <f>COUNTIF(MASTER!$L$2:$L$1944,I1302)=0</f>
        <v>1</v>
      </c>
    </row>
    <row r="1303" spans="6:10" x14ac:dyDescent="0.35">
      <c r="F1303" s="2" t="s">
        <v>2729</v>
      </c>
      <c r="G1303" s="2" t="b">
        <f>COUNTIF(MASTER!$A$2:$A$1944,F1303)=0</f>
        <v>1</v>
      </c>
      <c r="H1303" s="2"/>
      <c r="I1303" s="2" t="s">
        <v>2730</v>
      </c>
      <c r="J1303" s="2" t="b">
        <f>COUNTIF(MASTER!$L$2:$L$1944,I1303)=0</f>
        <v>1</v>
      </c>
    </row>
    <row r="1304" spans="6:10" x14ac:dyDescent="0.35">
      <c r="F1304" s="2" t="s">
        <v>2731</v>
      </c>
      <c r="G1304" s="2" t="b">
        <f>COUNTIF(MASTER!$A$2:$A$1944,F1304)=0</f>
        <v>1</v>
      </c>
      <c r="H1304" s="2"/>
      <c r="I1304" s="2" t="s">
        <v>2732</v>
      </c>
      <c r="J1304" s="2" t="b">
        <f>COUNTIF(MASTER!$L$2:$L$1944,I1304)=0</f>
        <v>1</v>
      </c>
    </row>
    <row r="1305" spans="6:10" x14ac:dyDescent="0.35">
      <c r="F1305" s="2" t="s">
        <v>2733</v>
      </c>
      <c r="G1305" s="2" t="b">
        <f>COUNTIF(MASTER!$A$2:$A$1944,F1305)=0</f>
        <v>1</v>
      </c>
      <c r="H1305" s="2"/>
      <c r="I1305" s="2" t="s">
        <v>2734</v>
      </c>
      <c r="J1305" s="2" t="b">
        <f>COUNTIF(MASTER!$L$2:$L$1944,I1305)=0</f>
        <v>1</v>
      </c>
    </row>
    <row r="1306" spans="6:10" x14ac:dyDescent="0.35">
      <c r="F1306" s="2" t="s">
        <v>2735</v>
      </c>
      <c r="G1306" s="2" t="b">
        <f>COUNTIF(MASTER!$A$2:$A$1944,F1306)=0</f>
        <v>1</v>
      </c>
      <c r="H1306" s="2"/>
      <c r="I1306" s="2" t="s">
        <v>2736</v>
      </c>
      <c r="J1306" s="2" t="b">
        <f>COUNTIF(MASTER!$L$2:$L$1944,I1306)=0</f>
        <v>1</v>
      </c>
    </row>
    <row r="1307" spans="6:10" x14ac:dyDescent="0.35">
      <c r="F1307" s="2" t="s">
        <v>2737</v>
      </c>
      <c r="G1307" s="2" t="b">
        <f>COUNTIF(MASTER!$A$2:$A$1944,F1307)=0</f>
        <v>1</v>
      </c>
      <c r="H1307" s="2"/>
      <c r="I1307" s="2" t="s">
        <v>2738</v>
      </c>
      <c r="J1307" s="2" t="b">
        <f>COUNTIF(MASTER!$L$2:$L$1944,I1307)=0</f>
        <v>1</v>
      </c>
    </row>
    <row r="1308" spans="6:10" x14ac:dyDescent="0.35">
      <c r="F1308" s="2" t="s">
        <v>2739</v>
      </c>
      <c r="G1308" s="2" t="b">
        <f>COUNTIF(MASTER!$A$2:$A$1944,F1308)=0</f>
        <v>1</v>
      </c>
      <c r="H1308" s="2"/>
      <c r="I1308" s="2" t="s">
        <v>2740</v>
      </c>
      <c r="J1308" s="2" t="b">
        <f>COUNTIF(MASTER!$L$2:$L$1944,I1308)=0</f>
        <v>1</v>
      </c>
    </row>
    <row r="1309" spans="6:10" x14ac:dyDescent="0.35">
      <c r="F1309" s="2" t="s">
        <v>2741</v>
      </c>
      <c r="G1309" s="2" t="b">
        <f>COUNTIF(MASTER!$A$2:$A$1944,F1309)=0</f>
        <v>1</v>
      </c>
      <c r="H1309" s="2"/>
      <c r="I1309" s="2" t="s">
        <v>2742</v>
      </c>
      <c r="J1309" s="2" t="b">
        <f>COUNTIF(MASTER!$L$2:$L$1944,I1309)=0</f>
        <v>1</v>
      </c>
    </row>
    <row r="1310" spans="6:10" x14ac:dyDescent="0.35">
      <c r="F1310" s="2" t="s">
        <v>2743</v>
      </c>
      <c r="G1310" s="2" t="b">
        <f>COUNTIF(MASTER!$A$2:$A$1944,F1310)=0</f>
        <v>1</v>
      </c>
      <c r="H1310" s="2"/>
      <c r="I1310" s="2" t="s">
        <v>2744</v>
      </c>
      <c r="J1310" s="2" t="b">
        <f>COUNTIF(MASTER!$L$2:$L$1944,I1310)=0</f>
        <v>1</v>
      </c>
    </row>
    <row r="1311" spans="6:10" x14ac:dyDescent="0.35">
      <c r="F1311" s="2" t="s">
        <v>2745</v>
      </c>
      <c r="G1311" s="2" t="b">
        <f>COUNTIF(MASTER!$A$2:$A$1944,F1311)=0</f>
        <v>1</v>
      </c>
      <c r="H1311" s="2"/>
      <c r="I1311" s="2" t="s">
        <v>2746</v>
      </c>
      <c r="J1311" s="2" t="b">
        <f>COUNTIF(MASTER!$L$2:$L$1944,I1311)=0</f>
        <v>1</v>
      </c>
    </row>
    <row r="1312" spans="6:10" x14ac:dyDescent="0.35">
      <c r="F1312" s="2" t="s">
        <v>2747</v>
      </c>
      <c r="G1312" s="2" t="b">
        <f>COUNTIF(MASTER!$A$2:$A$1944,F1312)=0</f>
        <v>1</v>
      </c>
      <c r="H1312" s="2"/>
      <c r="I1312" s="2" t="s">
        <v>2748</v>
      </c>
      <c r="J1312" s="2" t="b">
        <f>COUNTIF(MASTER!$L$2:$L$1944,I1312)=0</f>
        <v>1</v>
      </c>
    </row>
    <row r="1313" spans="6:10" x14ac:dyDescent="0.35">
      <c r="F1313" s="2" t="s">
        <v>2749</v>
      </c>
      <c r="G1313" s="2" t="b">
        <f>COUNTIF(MASTER!$A$2:$A$1944,F1313)=0</f>
        <v>1</v>
      </c>
      <c r="H1313" s="2"/>
      <c r="I1313" s="2" t="s">
        <v>2750</v>
      </c>
      <c r="J1313" s="2" t="b">
        <f>COUNTIF(MASTER!$L$2:$L$1944,I1313)=0</f>
        <v>1</v>
      </c>
    </row>
    <row r="1314" spans="6:10" x14ac:dyDescent="0.35">
      <c r="F1314" s="2" t="s">
        <v>2751</v>
      </c>
      <c r="G1314" s="2" t="b">
        <f>COUNTIF(MASTER!$A$2:$A$1944,F1314)=0</f>
        <v>1</v>
      </c>
      <c r="H1314" s="2"/>
      <c r="I1314" s="2" t="s">
        <v>2752</v>
      </c>
      <c r="J1314" s="2" t="b">
        <f>COUNTIF(MASTER!$L$2:$L$1944,I1314)=0</f>
        <v>1</v>
      </c>
    </row>
    <row r="1315" spans="6:10" x14ac:dyDescent="0.35">
      <c r="F1315" s="2" t="s">
        <v>2753</v>
      </c>
      <c r="G1315" s="2" t="b">
        <f>COUNTIF(MASTER!$A$2:$A$1944,F1315)=0</f>
        <v>1</v>
      </c>
      <c r="H1315" s="2"/>
      <c r="I1315" s="2" t="s">
        <v>2754</v>
      </c>
      <c r="J1315" s="2" t="b">
        <f>COUNTIF(MASTER!$L$2:$L$1944,I1315)=0</f>
        <v>1</v>
      </c>
    </row>
    <row r="1316" spans="6:10" x14ac:dyDescent="0.35">
      <c r="F1316" s="2" t="s">
        <v>2755</v>
      </c>
      <c r="G1316" s="2" t="b">
        <f>COUNTIF(MASTER!$A$2:$A$1944,F1316)=0</f>
        <v>1</v>
      </c>
      <c r="H1316" s="2"/>
      <c r="I1316" s="2" t="s">
        <v>2756</v>
      </c>
      <c r="J1316" s="2" t="b">
        <f>COUNTIF(MASTER!$L$2:$L$1944,I1316)=0</f>
        <v>1</v>
      </c>
    </row>
    <row r="1317" spans="6:10" x14ac:dyDescent="0.35">
      <c r="F1317" s="2" t="s">
        <v>2757</v>
      </c>
      <c r="G1317" s="2" t="b">
        <f>COUNTIF(MASTER!$A$2:$A$1944,F1317)=0</f>
        <v>1</v>
      </c>
      <c r="H1317" s="2"/>
      <c r="I1317" s="2" t="s">
        <v>2758</v>
      </c>
      <c r="J1317" s="2" t="b">
        <f>COUNTIF(MASTER!$L$2:$L$1944,I1317)=0</f>
        <v>1</v>
      </c>
    </row>
    <row r="1318" spans="6:10" x14ac:dyDescent="0.35">
      <c r="F1318" s="2" t="s">
        <v>2759</v>
      </c>
      <c r="G1318" s="2" t="b">
        <f>COUNTIF(MASTER!$A$2:$A$1944,F1318)=0</f>
        <v>1</v>
      </c>
      <c r="H1318" s="2"/>
      <c r="I1318" s="2" t="s">
        <v>2760</v>
      </c>
      <c r="J1318" s="2" t="b">
        <f>COUNTIF(MASTER!$L$2:$L$1944,I1318)=0</f>
        <v>1</v>
      </c>
    </row>
    <row r="1319" spans="6:10" x14ac:dyDescent="0.35">
      <c r="F1319" s="2" t="s">
        <v>2761</v>
      </c>
      <c r="G1319" s="2" t="b">
        <f>COUNTIF(MASTER!$A$2:$A$1944,F1319)=0</f>
        <v>1</v>
      </c>
      <c r="H1319" s="2"/>
      <c r="I1319" s="2" t="s">
        <v>2762</v>
      </c>
      <c r="J1319" s="2" t="b">
        <f>COUNTIF(MASTER!$L$2:$L$1944,I1319)=0</f>
        <v>1</v>
      </c>
    </row>
    <row r="1320" spans="6:10" x14ac:dyDescent="0.35">
      <c r="F1320" s="2" t="s">
        <v>2763</v>
      </c>
      <c r="G1320" s="2" t="b">
        <f>COUNTIF(MASTER!$A$2:$A$1944,F1320)=0</f>
        <v>1</v>
      </c>
      <c r="H1320" s="2"/>
      <c r="I1320" s="2" t="s">
        <v>2764</v>
      </c>
      <c r="J1320" s="2" t="b">
        <f>COUNTIF(MASTER!$L$2:$L$1944,I1320)=0</f>
        <v>1</v>
      </c>
    </row>
    <row r="1321" spans="6:10" x14ac:dyDescent="0.35">
      <c r="F1321" s="2" t="s">
        <v>2765</v>
      </c>
      <c r="G1321" s="2" t="b">
        <f>COUNTIF(MASTER!$A$2:$A$1944,F1321)=0</f>
        <v>1</v>
      </c>
      <c r="H1321" s="2"/>
      <c r="I1321" s="2" t="s">
        <v>2766</v>
      </c>
      <c r="J1321" s="2" t="b">
        <f>COUNTIF(MASTER!$L$2:$L$1944,I1321)=0</f>
        <v>1</v>
      </c>
    </row>
    <row r="1322" spans="6:10" x14ac:dyDescent="0.35">
      <c r="F1322" s="2" t="s">
        <v>2767</v>
      </c>
      <c r="G1322" s="2" t="b">
        <f>COUNTIF(MASTER!$A$2:$A$1944,F1322)=0</f>
        <v>1</v>
      </c>
      <c r="H1322" s="2"/>
      <c r="I1322" s="2" t="s">
        <v>2768</v>
      </c>
      <c r="J1322" s="2" t="b">
        <f>COUNTIF(MASTER!$L$2:$L$1944,I1322)=0</f>
        <v>1</v>
      </c>
    </row>
    <row r="1323" spans="6:10" x14ac:dyDescent="0.35">
      <c r="F1323" s="2" t="s">
        <v>2769</v>
      </c>
      <c r="G1323" s="2" t="b">
        <f>COUNTIF(MASTER!$A$2:$A$1944,F1323)=0</f>
        <v>1</v>
      </c>
      <c r="H1323" s="2"/>
      <c r="I1323" s="2" t="s">
        <v>2770</v>
      </c>
      <c r="J1323" s="2" t="b">
        <f>COUNTIF(MASTER!$L$2:$L$1944,I1323)=0</f>
        <v>1</v>
      </c>
    </row>
    <row r="1324" spans="6:10" x14ac:dyDescent="0.35">
      <c r="F1324" s="2" t="s">
        <v>2771</v>
      </c>
      <c r="G1324" s="2" t="b">
        <f>COUNTIF(MASTER!$A$2:$A$1944,F1324)=0</f>
        <v>1</v>
      </c>
      <c r="H1324" s="2"/>
      <c r="I1324" s="2" t="s">
        <v>2772</v>
      </c>
      <c r="J1324" s="2" t="b">
        <f>COUNTIF(MASTER!$L$2:$L$1944,I1324)=0</f>
        <v>1</v>
      </c>
    </row>
    <row r="1325" spans="6:10" x14ac:dyDescent="0.35">
      <c r="F1325" s="2" t="s">
        <v>2773</v>
      </c>
      <c r="G1325" s="2" t="b">
        <f>COUNTIF(MASTER!$A$2:$A$1944,F1325)=0</f>
        <v>1</v>
      </c>
      <c r="H1325" s="2"/>
      <c r="I1325" s="2" t="s">
        <v>2774</v>
      </c>
      <c r="J1325" s="2" t="b">
        <f>COUNTIF(MASTER!$L$2:$L$1944,I1325)=0</f>
        <v>1</v>
      </c>
    </row>
    <row r="1326" spans="6:10" x14ac:dyDescent="0.35">
      <c r="F1326" s="2" t="s">
        <v>2775</v>
      </c>
      <c r="G1326" s="2" t="b">
        <f>COUNTIF(MASTER!$A$2:$A$1944,F1326)=0</f>
        <v>1</v>
      </c>
      <c r="H1326" s="2"/>
      <c r="I1326" s="2" t="s">
        <v>2776</v>
      </c>
      <c r="J1326" s="2" t="b">
        <f>COUNTIF(MASTER!$L$2:$L$1944,I1326)=0</f>
        <v>1</v>
      </c>
    </row>
    <row r="1327" spans="6:10" x14ac:dyDescent="0.35">
      <c r="F1327" s="2" t="s">
        <v>2777</v>
      </c>
      <c r="G1327" s="2" t="b">
        <f>COUNTIF(MASTER!$A$2:$A$1944,F1327)=0</f>
        <v>1</v>
      </c>
      <c r="H1327" s="2"/>
      <c r="I1327" s="2" t="s">
        <v>2778</v>
      </c>
      <c r="J1327" s="2" t="b">
        <f>COUNTIF(MASTER!$L$2:$L$1944,I1327)=0</f>
        <v>1</v>
      </c>
    </row>
    <row r="1328" spans="6:10" x14ac:dyDescent="0.35">
      <c r="F1328" s="2" t="s">
        <v>2779</v>
      </c>
      <c r="G1328" s="2" t="b">
        <f>COUNTIF(MASTER!$A$2:$A$1944,F1328)=0</f>
        <v>1</v>
      </c>
      <c r="H1328" s="2"/>
      <c r="I1328" s="2" t="s">
        <v>2780</v>
      </c>
      <c r="J1328" s="2" t="b">
        <f>COUNTIF(MASTER!$L$2:$L$1944,I1328)=0</f>
        <v>1</v>
      </c>
    </row>
    <row r="1329" spans="6:10" x14ac:dyDescent="0.35">
      <c r="F1329" s="2" t="s">
        <v>2781</v>
      </c>
      <c r="G1329" s="2" t="b">
        <f>COUNTIF(MASTER!$A$2:$A$1944,F1329)=0</f>
        <v>1</v>
      </c>
      <c r="H1329" s="2"/>
      <c r="I1329" s="2" t="s">
        <v>2782</v>
      </c>
      <c r="J1329" s="2" t="b">
        <f>COUNTIF(MASTER!$L$2:$L$1944,I1329)=0</f>
        <v>1</v>
      </c>
    </row>
    <row r="1330" spans="6:10" x14ac:dyDescent="0.35">
      <c r="F1330" s="2" t="s">
        <v>2783</v>
      </c>
      <c r="G1330" s="2" t="b">
        <f>COUNTIF(MASTER!$A$2:$A$1944,F1330)=0</f>
        <v>1</v>
      </c>
      <c r="H1330" s="2"/>
      <c r="I1330" s="2" t="s">
        <v>2784</v>
      </c>
      <c r="J1330" s="2" t="b">
        <f>COUNTIF(MASTER!$L$2:$L$1944,I1330)=0</f>
        <v>1</v>
      </c>
    </row>
    <row r="1331" spans="6:10" x14ac:dyDescent="0.35">
      <c r="F1331" s="2" t="s">
        <v>2785</v>
      </c>
      <c r="G1331" s="2" t="b">
        <f>COUNTIF(MASTER!$A$2:$A$1944,F1331)=0</f>
        <v>1</v>
      </c>
      <c r="H1331" s="2"/>
      <c r="I1331" s="2" t="s">
        <v>2786</v>
      </c>
      <c r="J1331" s="2" t="b">
        <f>COUNTIF(MASTER!$L$2:$L$1944,I1331)=0</f>
        <v>1</v>
      </c>
    </row>
    <row r="1332" spans="6:10" x14ac:dyDescent="0.35">
      <c r="F1332" s="2" t="s">
        <v>2787</v>
      </c>
      <c r="G1332" s="2" t="b">
        <f>COUNTIF(MASTER!$A$2:$A$1944,F1332)=0</f>
        <v>1</v>
      </c>
      <c r="H1332" s="2"/>
      <c r="I1332" s="2" t="s">
        <v>2788</v>
      </c>
      <c r="J1332" s="2" t="b">
        <f>COUNTIF(MASTER!$L$2:$L$1944,I1332)=0</f>
        <v>1</v>
      </c>
    </row>
    <row r="1333" spans="6:10" x14ac:dyDescent="0.35">
      <c r="F1333" s="2" t="s">
        <v>2789</v>
      </c>
      <c r="G1333" s="2" t="b">
        <f>COUNTIF(MASTER!$A$2:$A$1944,F1333)=0</f>
        <v>1</v>
      </c>
      <c r="H1333" s="2"/>
      <c r="I1333" s="2" t="s">
        <v>2790</v>
      </c>
      <c r="J1333" s="2" t="b">
        <f>COUNTIF(MASTER!$L$2:$L$1944,I1333)=0</f>
        <v>1</v>
      </c>
    </row>
    <row r="1334" spans="6:10" x14ac:dyDescent="0.35">
      <c r="F1334" s="2" t="s">
        <v>2791</v>
      </c>
      <c r="G1334" s="2" t="b">
        <f>COUNTIF(MASTER!$A$2:$A$1944,F1334)=0</f>
        <v>1</v>
      </c>
      <c r="H1334" s="2"/>
      <c r="I1334" s="2" t="s">
        <v>2792</v>
      </c>
      <c r="J1334" s="2" t="b">
        <f>COUNTIF(MASTER!$L$2:$L$1944,I1334)=0</f>
        <v>1</v>
      </c>
    </row>
    <row r="1335" spans="6:10" x14ac:dyDescent="0.35">
      <c r="F1335" s="2" t="s">
        <v>2793</v>
      </c>
      <c r="G1335" s="2" t="b">
        <f>COUNTIF(MASTER!$A$2:$A$1944,F1335)=0</f>
        <v>1</v>
      </c>
      <c r="H1335" s="2"/>
      <c r="I1335" s="2" t="s">
        <v>2794</v>
      </c>
      <c r="J1335" s="2" t="b">
        <f>COUNTIF(MASTER!$L$2:$L$1944,I1335)=0</f>
        <v>1</v>
      </c>
    </row>
    <row r="1336" spans="6:10" x14ac:dyDescent="0.35">
      <c r="F1336" s="2" t="s">
        <v>2795</v>
      </c>
      <c r="G1336" s="2" t="b">
        <f>COUNTIF(MASTER!$A$2:$A$1944,F1336)=0</f>
        <v>1</v>
      </c>
      <c r="H1336" s="2"/>
      <c r="I1336" s="2" t="s">
        <v>2796</v>
      </c>
      <c r="J1336" s="2" t="b">
        <f>COUNTIF(MASTER!$L$2:$L$1944,I1336)=0</f>
        <v>1</v>
      </c>
    </row>
    <row r="1337" spans="6:10" x14ac:dyDescent="0.35">
      <c r="F1337" s="2" t="s">
        <v>2797</v>
      </c>
      <c r="G1337" s="2" t="b">
        <f>COUNTIF(MASTER!$A$2:$A$1944,F1337)=0</f>
        <v>1</v>
      </c>
      <c r="H1337" s="2"/>
      <c r="I1337" s="2" t="s">
        <v>2798</v>
      </c>
      <c r="J1337" s="2" t="b">
        <f>COUNTIF(MASTER!$L$2:$L$1944,I1337)=0</f>
        <v>1</v>
      </c>
    </row>
    <row r="1338" spans="6:10" x14ac:dyDescent="0.35">
      <c r="F1338" s="2" t="s">
        <v>2799</v>
      </c>
      <c r="G1338" s="2" t="b">
        <f>COUNTIF(MASTER!$A$2:$A$1944,F1338)=0</f>
        <v>1</v>
      </c>
      <c r="H1338" s="2"/>
      <c r="I1338" s="2" t="s">
        <v>2800</v>
      </c>
      <c r="J1338" s="2" t="b">
        <f>COUNTIF(MASTER!$L$2:$L$1944,I1338)=0</f>
        <v>1</v>
      </c>
    </row>
    <row r="1339" spans="6:10" x14ac:dyDescent="0.35">
      <c r="F1339" s="2" t="s">
        <v>2801</v>
      </c>
      <c r="G1339" s="2" t="b">
        <f>COUNTIF(MASTER!$A$2:$A$1944,F1339)=0</f>
        <v>1</v>
      </c>
      <c r="H1339" s="2"/>
      <c r="I1339" s="2" t="s">
        <v>2802</v>
      </c>
      <c r="J1339" s="2" t="b">
        <f>COUNTIF(MASTER!$L$2:$L$1944,I1339)=0</f>
        <v>1</v>
      </c>
    </row>
    <row r="1340" spans="6:10" x14ac:dyDescent="0.35">
      <c r="F1340" s="2" t="s">
        <v>2803</v>
      </c>
      <c r="G1340" s="2" t="b">
        <f>COUNTIF(MASTER!$A$2:$A$1944,F1340)=0</f>
        <v>1</v>
      </c>
      <c r="H1340" s="2"/>
      <c r="I1340" s="2" t="s">
        <v>2804</v>
      </c>
      <c r="J1340" s="2" t="b">
        <f>COUNTIF(MASTER!$L$2:$L$1944,I1340)=0</f>
        <v>1</v>
      </c>
    </row>
    <row r="1341" spans="6:10" x14ac:dyDescent="0.35">
      <c r="F1341" s="2" t="s">
        <v>2805</v>
      </c>
      <c r="G1341" s="2" t="b">
        <f>COUNTIF(MASTER!$A$2:$A$1944,F1341)=0</f>
        <v>1</v>
      </c>
      <c r="H1341" s="2"/>
      <c r="I1341" s="2" t="s">
        <v>2806</v>
      </c>
      <c r="J1341" s="2" t="b">
        <f>COUNTIF(MASTER!$L$2:$L$1944,I1341)=0</f>
        <v>1</v>
      </c>
    </row>
    <row r="1342" spans="6:10" x14ac:dyDescent="0.35">
      <c r="F1342" s="2" t="s">
        <v>2807</v>
      </c>
      <c r="G1342" s="2" t="b">
        <f>COUNTIF(MASTER!$A$2:$A$1944,F1342)=0</f>
        <v>1</v>
      </c>
      <c r="H1342" s="2"/>
      <c r="I1342" s="2" t="s">
        <v>2808</v>
      </c>
      <c r="J1342" s="2" t="b">
        <f>COUNTIF(MASTER!$L$2:$L$1944,I1342)=0</f>
        <v>1</v>
      </c>
    </row>
    <row r="1343" spans="6:10" x14ac:dyDescent="0.35">
      <c r="F1343" s="2" t="s">
        <v>2809</v>
      </c>
      <c r="G1343" s="2" t="b">
        <f>COUNTIF(MASTER!$A$2:$A$1944,F1343)=0</f>
        <v>1</v>
      </c>
      <c r="H1343" s="2"/>
      <c r="I1343" s="2" t="s">
        <v>2810</v>
      </c>
      <c r="J1343" s="2" t="b">
        <f>COUNTIF(MASTER!$L$2:$L$1944,I1343)=0</f>
        <v>1</v>
      </c>
    </row>
    <row r="1344" spans="6:10" x14ac:dyDescent="0.35">
      <c r="F1344" s="2" t="s">
        <v>2811</v>
      </c>
      <c r="G1344" s="2" t="b">
        <f>COUNTIF(MASTER!$A$2:$A$1944,F1344)=0</f>
        <v>1</v>
      </c>
      <c r="H1344" s="2"/>
      <c r="I1344" s="2" t="s">
        <v>2812</v>
      </c>
      <c r="J1344" s="2" t="b">
        <f>COUNTIF(MASTER!$L$2:$L$1944,I1344)=0</f>
        <v>1</v>
      </c>
    </row>
    <row r="1345" spans="6:10" x14ac:dyDescent="0.35">
      <c r="F1345" s="2" t="s">
        <v>2813</v>
      </c>
      <c r="G1345" s="2" t="b">
        <f>COUNTIF(MASTER!$A$2:$A$1944,F1345)=0</f>
        <v>1</v>
      </c>
      <c r="H1345" s="2"/>
      <c r="I1345" s="2" t="s">
        <v>2814</v>
      </c>
      <c r="J1345" s="2" t="b">
        <f>COUNTIF(MASTER!$L$2:$L$1944,I1345)=0</f>
        <v>1</v>
      </c>
    </row>
    <row r="1346" spans="6:10" x14ac:dyDescent="0.35">
      <c r="F1346" s="2" t="s">
        <v>2815</v>
      </c>
      <c r="G1346" s="2" t="b">
        <f>COUNTIF(MASTER!$A$2:$A$1944,F1346)=0</f>
        <v>1</v>
      </c>
      <c r="H1346" s="2"/>
      <c r="I1346" s="2" t="s">
        <v>2816</v>
      </c>
      <c r="J1346" s="2" t="b">
        <f>COUNTIF(MASTER!$L$2:$L$1944,I1346)=0</f>
        <v>1</v>
      </c>
    </row>
    <row r="1347" spans="6:10" x14ac:dyDescent="0.35">
      <c r="F1347" s="2" t="s">
        <v>2817</v>
      </c>
      <c r="G1347" s="2" t="b">
        <f>COUNTIF(MASTER!$A$2:$A$1944,F1347)=0</f>
        <v>1</v>
      </c>
      <c r="H1347" s="2"/>
      <c r="I1347" s="2" t="s">
        <v>2818</v>
      </c>
      <c r="J1347" s="2" t="b">
        <f>COUNTIF(MASTER!$L$2:$L$1944,I1347)=0</f>
        <v>1</v>
      </c>
    </row>
    <row r="1348" spans="6:10" x14ac:dyDescent="0.35">
      <c r="F1348" s="2" t="s">
        <v>2819</v>
      </c>
      <c r="G1348" s="2" t="b">
        <f>COUNTIF(MASTER!$A$2:$A$1944,F1348)=0</f>
        <v>1</v>
      </c>
      <c r="H1348" s="2"/>
      <c r="I1348" s="2" t="s">
        <v>2820</v>
      </c>
      <c r="J1348" s="2" t="b">
        <f>COUNTIF(MASTER!$L$2:$L$1944,I1348)=0</f>
        <v>1</v>
      </c>
    </row>
    <row r="1349" spans="6:10" x14ac:dyDescent="0.35">
      <c r="F1349" s="2" t="s">
        <v>2821</v>
      </c>
      <c r="G1349" s="2" t="b">
        <f>COUNTIF(MASTER!$A$2:$A$1944,F1349)=0</f>
        <v>1</v>
      </c>
      <c r="H1349" s="2"/>
      <c r="I1349" s="2" t="s">
        <v>2822</v>
      </c>
      <c r="J1349" s="2" t="b">
        <f>COUNTIF(MASTER!$L$2:$L$1944,I1349)=0</f>
        <v>1</v>
      </c>
    </row>
    <row r="1350" spans="6:10" x14ac:dyDescent="0.35">
      <c r="F1350" s="2" t="s">
        <v>2823</v>
      </c>
      <c r="G1350" s="2" t="b">
        <f>COUNTIF(MASTER!$A$2:$A$1944,F1350)=0</f>
        <v>1</v>
      </c>
      <c r="H1350" s="2"/>
      <c r="I1350" s="2" t="s">
        <v>2824</v>
      </c>
      <c r="J1350" s="2" t="b">
        <f>COUNTIF(MASTER!$L$2:$L$1944,I1350)=0</f>
        <v>1</v>
      </c>
    </row>
    <row r="1351" spans="6:10" x14ac:dyDescent="0.35">
      <c r="F1351" s="2" t="s">
        <v>2825</v>
      </c>
      <c r="G1351" s="2" t="b">
        <f>COUNTIF(MASTER!$A$2:$A$1944,F1351)=0</f>
        <v>1</v>
      </c>
      <c r="H1351" s="2"/>
      <c r="I1351" s="2" t="s">
        <v>2826</v>
      </c>
      <c r="J1351" s="2" t="b">
        <f>COUNTIF(MASTER!$L$2:$L$1944,I1351)=0</f>
        <v>1</v>
      </c>
    </row>
    <row r="1352" spans="6:10" x14ac:dyDescent="0.35">
      <c r="F1352" s="2" t="s">
        <v>2827</v>
      </c>
      <c r="G1352" s="2" t="b">
        <f>COUNTIF(MASTER!$A$2:$A$1944,F1352)=0</f>
        <v>1</v>
      </c>
      <c r="H1352" s="2"/>
      <c r="I1352" s="2" t="s">
        <v>2828</v>
      </c>
      <c r="J1352" s="2" t="b">
        <f>COUNTIF(MASTER!$L$2:$L$1944,I1352)=0</f>
        <v>1</v>
      </c>
    </row>
    <row r="1353" spans="6:10" x14ac:dyDescent="0.35">
      <c r="F1353" s="2" t="s">
        <v>2829</v>
      </c>
      <c r="G1353" s="2" t="b">
        <f>COUNTIF(MASTER!$A$2:$A$1944,F1353)=0</f>
        <v>1</v>
      </c>
      <c r="H1353" s="2"/>
      <c r="I1353" s="2" t="s">
        <v>2830</v>
      </c>
      <c r="J1353" s="2" t="b">
        <f>COUNTIF(MASTER!$L$2:$L$1944,I1353)=0</f>
        <v>1</v>
      </c>
    </row>
    <row r="1354" spans="6:10" x14ac:dyDescent="0.35">
      <c r="F1354" s="2" t="s">
        <v>2831</v>
      </c>
      <c r="G1354" s="2" t="b">
        <f>COUNTIF(MASTER!$A$2:$A$1944,F1354)=0</f>
        <v>1</v>
      </c>
      <c r="H1354" s="2"/>
      <c r="I1354" s="2" t="s">
        <v>2832</v>
      </c>
      <c r="J1354" s="2" t="b">
        <f>COUNTIF(MASTER!$L$2:$L$1944,I1354)=0</f>
        <v>1</v>
      </c>
    </row>
    <row r="1355" spans="6:10" x14ac:dyDescent="0.35">
      <c r="F1355" s="2" t="s">
        <v>2833</v>
      </c>
      <c r="G1355" s="2" t="b">
        <f>COUNTIF(MASTER!$A$2:$A$1944,F1355)=0</f>
        <v>1</v>
      </c>
      <c r="H1355" s="2"/>
      <c r="I1355" s="2" t="s">
        <v>2834</v>
      </c>
      <c r="J1355" s="2" t="b">
        <f>COUNTIF(MASTER!$L$2:$L$1944,I1355)=0</f>
        <v>1</v>
      </c>
    </row>
    <row r="1356" spans="6:10" x14ac:dyDescent="0.35">
      <c r="F1356" s="2" t="s">
        <v>2835</v>
      </c>
      <c r="G1356" s="2" t="b">
        <f>COUNTIF(MASTER!$A$2:$A$1944,F1356)=0</f>
        <v>1</v>
      </c>
      <c r="H1356" s="2"/>
      <c r="I1356" s="2" t="s">
        <v>2836</v>
      </c>
      <c r="J1356" s="2" t="b">
        <f>COUNTIF(MASTER!$L$2:$L$1944,I1356)=0</f>
        <v>1</v>
      </c>
    </row>
    <row r="1357" spans="6:10" x14ac:dyDescent="0.35">
      <c r="F1357" s="2" t="s">
        <v>2837</v>
      </c>
      <c r="G1357" s="2" t="b">
        <f>COUNTIF(MASTER!$A$2:$A$1944,F1357)=0</f>
        <v>1</v>
      </c>
      <c r="H1357" s="2"/>
      <c r="I1357" s="2" t="s">
        <v>2838</v>
      </c>
      <c r="J1357" s="2" t="b">
        <f>COUNTIF(MASTER!$L$2:$L$1944,I1357)=0</f>
        <v>1</v>
      </c>
    </row>
    <row r="1358" spans="6:10" x14ac:dyDescent="0.35">
      <c r="F1358" s="2" t="s">
        <v>2839</v>
      </c>
      <c r="G1358" s="2" t="b">
        <f>COUNTIF(MASTER!$A$2:$A$1944,F1358)=0</f>
        <v>1</v>
      </c>
      <c r="H1358" s="2"/>
      <c r="I1358" s="2" t="s">
        <v>2840</v>
      </c>
      <c r="J1358" s="2" t="b">
        <f>COUNTIF(MASTER!$L$2:$L$1944,I1358)=0</f>
        <v>1</v>
      </c>
    </row>
    <row r="1359" spans="6:10" x14ac:dyDescent="0.35">
      <c r="F1359" s="2" t="s">
        <v>2841</v>
      </c>
      <c r="G1359" s="2" t="b">
        <f>COUNTIF(MASTER!$A$2:$A$1944,F1359)=0</f>
        <v>1</v>
      </c>
      <c r="H1359" s="2"/>
      <c r="I1359" s="2" t="s">
        <v>2842</v>
      </c>
      <c r="J1359" s="2" t="b">
        <f>COUNTIF(MASTER!$L$2:$L$1944,I1359)=0</f>
        <v>1</v>
      </c>
    </row>
    <row r="1360" spans="6:10" x14ac:dyDescent="0.35">
      <c r="F1360" s="2" t="s">
        <v>2843</v>
      </c>
      <c r="G1360" s="2" t="b">
        <f>COUNTIF(MASTER!$A$2:$A$1944,F1360)=0</f>
        <v>1</v>
      </c>
      <c r="H1360" s="2"/>
      <c r="I1360" s="2" t="s">
        <v>2844</v>
      </c>
      <c r="J1360" s="2" t="b">
        <f>COUNTIF(MASTER!$L$2:$L$1944,I1360)=0</f>
        <v>1</v>
      </c>
    </row>
    <row r="1361" spans="6:10" x14ac:dyDescent="0.35">
      <c r="F1361" s="2" t="s">
        <v>2845</v>
      </c>
      <c r="G1361" s="2" t="b">
        <f>COUNTIF(MASTER!$A$2:$A$1944,F1361)=0</f>
        <v>1</v>
      </c>
      <c r="H1361" s="2"/>
      <c r="I1361" s="2" t="s">
        <v>2846</v>
      </c>
      <c r="J1361" s="2" t="b">
        <f>COUNTIF(MASTER!$L$2:$L$1944,I1361)=0</f>
        <v>1</v>
      </c>
    </row>
    <row r="1362" spans="6:10" x14ac:dyDescent="0.35">
      <c r="F1362" s="2" t="s">
        <v>2847</v>
      </c>
      <c r="G1362" s="2" t="b">
        <f>COUNTIF(MASTER!$A$2:$A$1944,F1362)=0</f>
        <v>1</v>
      </c>
      <c r="H1362" s="2"/>
      <c r="I1362" s="2" t="s">
        <v>2848</v>
      </c>
      <c r="J1362" s="2" t="b">
        <f>COUNTIF(MASTER!$L$2:$L$1944,I1362)=0</f>
        <v>1</v>
      </c>
    </row>
    <row r="1363" spans="6:10" x14ac:dyDescent="0.35">
      <c r="F1363" s="2" t="s">
        <v>2849</v>
      </c>
      <c r="G1363" s="2" t="b">
        <f>COUNTIF(MASTER!$A$2:$A$1944,F1363)=0</f>
        <v>1</v>
      </c>
      <c r="H1363" s="2"/>
      <c r="I1363" s="2" t="s">
        <v>2850</v>
      </c>
      <c r="J1363" s="2" t="b">
        <f>COUNTIF(MASTER!$L$2:$L$1944,I1363)=0</f>
        <v>1</v>
      </c>
    </row>
    <row r="1364" spans="6:10" x14ac:dyDescent="0.35">
      <c r="F1364" s="2" t="s">
        <v>2851</v>
      </c>
      <c r="G1364" s="2" t="b">
        <f>COUNTIF(MASTER!$A$2:$A$1944,F1364)=0</f>
        <v>1</v>
      </c>
      <c r="H1364" s="2"/>
      <c r="I1364" s="2" t="s">
        <v>2852</v>
      </c>
      <c r="J1364" s="2" t="b">
        <f>COUNTIF(MASTER!$L$2:$L$1944,I1364)=0</f>
        <v>1</v>
      </c>
    </row>
    <row r="1365" spans="6:10" x14ac:dyDescent="0.35">
      <c r="F1365" s="2" t="s">
        <v>2853</v>
      </c>
      <c r="G1365" s="2" t="b">
        <f>COUNTIF(MASTER!$A$2:$A$1944,F1365)=0</f>
        <v>1</v>
      </c>
      <c r="H1365" s="2"/>
      <c r="I1365" s="2" t="s">
        <v>2854</v>
      </c>
      <c r="J1365" s="2" t="b">
        <f>COUNTIF(MASTER!$L$2:$L$1944,I1365)=0</f>
        <v>1</v>
      </c>
    </row>
    <row r="1366" spans="6:10" x14ac:dyDescent="0.35">
      <c r="F1366" s="2" t="s">
        <v>2855</v>
      </c>
      <c r="G1366" s="2" t="b">
        <f>COUNTIF(MASTER!$A$2:$A$1944,F1366)=0</f>
        <v>1</v>
      </c>
      <c r="H1366" s="2"/>
      <c r="I1366" s="2" t="s">
        <v>2856</v>
      </c>
      <c r="J1366" s="2" t="b">
        <f>COUNTIF(MASTER!$L$2:$L$1944,I1366)=0</f>
        <v>1</v>
      </c>
    </row>
    <row r="1367" spans="6:10" x14ac:dyDescent="0.35">
      <c r="F1367" s="2" t="s">
        <v>2857</v>
      </c>
      <c r="G1367" s="2" t="b">
        <f>COUNTIF(MASTER!$A$2:$A$1944,F1367)=0</f>
        <v>1</v>
      </c>
      <c r="H1367" s="2"/>
      <c r="I1367" s="2" t="s">
        <v>2858</v>
      </c>
      <c r="J1367" s="2" t="b">
        <f>COUNTIF(MASTER!$L$2:$L$1944,I1367)=0</f>
        <v>1</v>
      </c>
    </row>
    <row r="1368" spans="6:10" x14ac:dyDescent="0.35">
      <c r="F1368" s="2" t="s">
        <v>2859</v>
      </c>
      <c r="G1368" s="2" t="b">
        <f>COUNTIF(MASTER!$A$2:$A$1944,F1368)=0</f>
        <v>1</v>
      </c>
      <c r="H1368" s="2"/>
      <c r="I1368" s="2" t="s">
        <v>2860</v>
      </c>
      <c r="J1368" s="2" t="b">
        <f>COUNTIF(MASTER!$L$2:$L$1944,I1368)=0</f>
        <v>1</v>
      </c>
    </row>
    <row r="1369" spans="6:10" x14ac:dyDescent="0.35">
      <c r="F1369" s="2" t="s">
        <v>2861</v>
      </c>
      <c r="G1369" s="2" t="b">
        <f>COUNTIF(MASTER!$A$2:$A$1944,F1369)=0</f>
        <v>1</v>
      </c>
      <c r="H1369" s="2"/>
      <c r="I1369" s="2" t="s">
        <v>2862</v>
      </c>
      <c r="J1369" s="2" t="b">
        <f>COUNTIF(MASTER!$L$2:$L$1944,I1369)=0</f>
        <v>1</v>
      </c>
    </row>
    <row r="1370" spans="6:10" x14ac:dyDescent="0.35">
      <c r="F1370" s="2" t="s">
        <v>2863</v>
      </c>
      <c r="G1370" s="2" t="b">
        <f>COUNTIF(MASTER!$A$2:$A$1944,F1370)=0</f>
        <v>1</v>
      </c>
      <c r="H1370" s="2"/>
      <c r="I1370" s="2" t="s">
        <v>2864</v>
      </c>
      <c r="J1370" s="2" t="b">
        <f>COUNTIF(MASTER!$L$2:$L$1944,I1370)=0</f>
        <v>1</v>
      </c>
    </row>
    <row r="1371" spans="6:10" x14ac:dyDescent="0.35">
      <c r="F1371" s="2" t="s">
        <v>2865</v>
      </c>
      <c r="G1371" s="2" t="b">
        <f>COUNTIF(MASTER!$A$2:$A$1944,F1371)=0</f>
        <v>1</v>
      </c>
      <c r="H1371" s="2"/>
      <c r="I1371" s="2" t="s">
        <v>2866</v>
      </c>
      <c r="J1371" s="2" t="b">
        <f>COUNTIF(MASTER!$L$2:$L$1944,I1371)=0</f>
        <v>1</v>
      </c>
    </row>
    <row r="1372" spans="6:10" x14ac:dyDescent="0.35">
      <c r="F1372" s="2" t="s">
        <v>2867</v>
      </c>
      <c r="G1372" s="2" t="b">
        <f>COUNTIF(MASTER!$A$2:$A$1944,F1372)=0</f>
        <v>1</v>
      </c>
      <c r="H1372" s="2"/>
      <c r="I1372" s="2" t="s">
        <v>2868</v>
      </c>
      <c r="J1372" s="2" t="b">
        <f>COUNTIF(MASTER!$L$2:$L$1944,I1372)=0</f>
        <v>1</v>
      </c>
    </row>
    <row r="1373" spans="6:10" x14ac:dyDescent="0.35">
      <c r="F1373" s="2" t="s">
        <v>2869</v>
      </c>
      <c r="G1373" s="2" t="b">
        <f>COUNTIF(MASTER!$A$2:$A$1944,F1373)=0</f>
        <v>1</v>
      </c>
      <c r="H1373" s="2"/>
      <c r="I1373" s="2" t="s">
        <v>2870</v>
      </c>
      <c r="J1373" s="2" t="b">
        <f>COUNTIF(MASTER!$L$2:$L$1944,I1373)=0</f>
        <v>1</v>
      </c>
    </row>
    <row r="1374" spans="6:10" x14ac:dyDescent="0.35">
      <c r="F1374" s="2" t="s">
        <v>2871</v>
      </c>
      <c r="G1374" s="2" t="b">
        <f>COUNTIF(MASTER!$A$2:$A$1944,F1374)=0</f>
        <v>1</v>
      </c>
      <c r="H1374" s="2"/>
      <c r="I1374" s="2" t="s">
        <v>2872</v>
      </c>
      <c r="J1374" s="2" t="b">
        <f>COUNTIF(MASTER!$L$2:$L$1944,I1374)=0</f>
        <v>1</v>
      </c>
    </row>
    <row r="1375" spans="6:10" x14ac:dyDescent="0.35">
      <c r="F1375" s="2" t="s">
        <v>2873</v>
      </c>
      <c r="G1375" s="2" t="b">
        <f>COUNTIF(MASTER!$A$2:$A$1944,F1375)=0</f>
        <v>1</v>
      </c>
      <c r="H1375" s="2"/>
      <c r="I1375" s="2" t="s">
        <v>2874</v>
      </c>
      <c r="J1375" s="2" t="b">
        <f>COUNTIF(MASTER!$L$2:$L$1944,I1375)=0</f>
        <v>1</v>
      </c>
    </row>
    <row r="1376" spans="6:10" x14ac:dyDescent="0.35">
      <c r="F1376" s="2" t="s">
        <v>2875</v>
      </c>
      <c r="G1376" s="2" t="b">
        <f>COUNTIF(MASTER!$A$2:$A$1944,F1376)=0</f>
        <v>1</v>
      </c>
      <c r="H1376" s="2"/>
      <c r="I1376" s="2" t="s">
        <v>2876</v>
      </c>
      <c r="J1376" s="2" t="b">
        <f>COUNTIF(MASTER!$L$2:$L$1944,I1376)=0</f>
        <v>1</v>
      </c>
    </row>
    <row r="1377" spans="6:10" x14ac:dyDescent="0.35">
      <c r="F1377" s="2" t="s">
        <v>2877</v>
      </c>
      <c r="G1377" s="2" t="b">
        <f>COUNTIF(MASTER!$A$2:$A$1944,F1377)=0</f>
        <v>1</v>
      </c>
      <c r="H1377" s="2"/>
      <c r="I1377" s="2" t="s">
        <v>2878</v>
      </c>
      <c r="J1377" s="2" t="b">
        <f>COUNTIF(MASTER!$L$2:$L$1944,I1377)=0</f>
        <v>1</v>
      </c>
    </row>
    <row r="1378" spans="6:10" x14ac:dyDescent="0.35">
      <c r="F1378" s="2" t="s">
        <v>2879</v>
      </c>
      <c r="G1378" s="2" t="b">
        <f>COUNTIF(MASTER!$A$2:$A$1944,F1378)=0</f>
        <v>1</v>
      </c>
      <c r="H1378" s="2"/>
      <c r="I1378" s="2" t="s">
        <v>2880</v>
      </c>
      <c r="J1378" s="2" t="b">
        <f>COUNTIF(MASTER!$L$2:$L$1944,I1378)=0</f>
        <v>1</v>
      </c>
    </row>
    <row r="1379" spans="6:10" x14ac:dyDescent="0.35">
      <c r="F1379" s="2" t="s">
        <v>2881</v>
      </c>
      <c r="G1379" s="2" t="b">
        <f>COUNTIF(MASTER!$A$2:$A$1944,F1379)=0</f>
        <v>1</v>
      </c>
      <c r="H1379" s="2"/>
      <c r="I1379" s="2" t="s">
        <v>2882</v>
      </c>
      <c r="J1379" s="2" t="b">
        <f>COUNTIF(MASTER!$L$2:$L$1944,I1379)=0</f>
        <v>1</v>
      </c>
    </row>
    <row r="1380" spans="6:10" x14ac:dyDescent="0.35">
      <c r="F1380" s="2" t="s">
        <v>2883</v>
      </c>
      <c r="G1380" s="2" t="b">
        <f>COUNTIF(MASTER!$A$2:$A$1944,F1380)=0</f>
        <v>1</v>
      </c>
      <c r="H1380" s="2"/>
      <c r="I1380" s="2" t="s">
        <v>2884</v>
      </c>
      <c r="J1380" s="2" t="b">
        <f>COUNTIF(MASTER!$L$2:$L$1944,I1380)=0</f>
        <v>1</v>
      </c>
    </row>
    <row r="1381" spans="6:10" x14ac:dyDescent="0.35">
      <c r="F1381" s="2" t="s">
        <v>2885</v>
      </c>
      <c r="G1381" s="2" t="b">
        <f>COUNTIF(MASTER!$A$2:$A$1944,F1381)=0</f>
        <v>1</v>
      </c>
      <c r="H1381" s="2"/>
      <c r="I1381" s="2" t="s">
        <v>2886</v>
      </c>
      <c r="J1381" s="2" t="b">
        <f>COUNTIF(MASTER!$L$2:$L$1944,I1381)=0</f>
        <v>1</v>
      </c>
    </row>
    <row r="1382" spans="6:10" x14ac:dyDescent="0.35">
      <c r="F1382" s="2" t="s">
        <v>2887</v>
      </c>
      <c r="G1382" s="2" t="b">
        <f>COUNTIF(MASTER!$A$2:$A$1944,F1382)=0</f>
        <v>1</v>
      </c>
      <c r="H1382" s="2"/>
      <c r="I1382" s="2" t="s">
        <v>2888</v>
      </c>
      <c r="J1382" s="2" t="b">
        <f>COUNTIF(MASTER!$L$2:$L$1944,I1382)=0</f>
        <v>1</v>
      </c>
    </row>
    <row r="1383" spans="6:10" x14ac:dyDescent="0.35">
      <c r="F1383" s="2" t="s">
        <v>2889</v>
      </c>
      <c r="G1383" s="2" t="b">
        <f>COUNTIF(MASTER!$A$2:$A$1944,F1383)=0</f>
        <v>1</v>
      </c>
      <c r="H1383" s="2"/>
      <c r="I1383" s="2" t="s">
        <v>2890</v>
      </c>
      <c r="J1383" s="2" t="b">
        <f>COUNTIF(MASTER!$L$2:$L$1944,I1383)=0</f>
        <v>1</v>
      </c>
    </row>
    <row r="1384" spans="6:10" x14ac:dyDescent="0.35">
      <c r="F1384" s="2" t="s">
        <v>2891</v>
      </c>
      <c r="G1384" s="2" t="b">
        <f>COUNTIF(MASTER!$A$2:$A$1944,F1384)=0</f>
        <v>1</v>
      </c>
      <c r="H1384" s="2"/>
      <c r="I1384" s="2" t="s">
        <v>2892</v>
      </c>
      <c r="J1384" s="2" t="b">
        <f>COUNTIF(MASTER!$L$2:$L$1944,I1384)=0</f>
        <v>1</v>
      </c>
    </row>
    <row r="1385" spans="6:10" x14ac:dyDescent="0.35">
      <c r="F1385" s="2" t="s">
        <v>2893</v>
      </c>
      <c r="G1385" s="2" t="b">
        <f>COUNTIF(MASTER!$A$2:$A$1944,F1385)=0</f>
        <v>1</v>
      </c>
      <c r="H1385" s="2"/>
      <c r="I1385" s="2" t="s">
        <v>2894</v>
      </c>
      <c r="J1385" s="2" t="b">
        <f>COUNTIF(MASTER!$L$2:$L$1944,I1385)=0</f>
        <v>1</v>
      </c>
    </row>
    <row r="1386" spans="6:10" x14ac:dyDescent="0.35">
      <c r="F1386" s="2" t="s">
        <v>2895</v>
      </c>
      <c r="G1386" s="2" t="b">
        <f>COUNTIF(MASTER!$A$2:$A$1944,F1386)=0</f>
        <v>1</v>
      </c>
      <c r="H1386" s="2"/>
      <c r="I1386" s="2" t="s">
        <v>2896</v>
      </c>
      <c r="J1386" s="2" t="b">
        <f>COUNTIF(MASTER!$L$2:$L$1944,I1386)=0</f>
        <v>1</v>
      </c>
    </row>
    <row r="1387" spans="6:10" x14ac:dyDescent="0.35">
      <c r="F1387" s="2" t="s">
        <v>2897</v>
      </c>
      <c r="G1387" s="2" t="b">
        <f>COUNTIF(MASTER!$A$2:$A$1944,F1387)=0</f>
        <v>1</v>
      </c>
      <c r="H1387" s="2"/>
      <c r="I1387" s="2" t="s">
        <v>2898</v>
      </c>
      <c r="J1387" s="2" t="b">
        <f>COUNTIF(MASTER!$L$2:$L$1944,I1387)=0</f>
        <v>1</v>
      </c>
    </row>
    <row r="1388" spans="6:10" x14ac:dyDescent="0.35">
      <c r="F1388" s="2" t="s">
        <v>2899</v>
      </c>
      <c r="G1388" s="2" t="b">
        <f>COUNTIF(MASTER!$A$2:$A$1944,F1388)=0</f>
        <v>1</v>
      </c>
      <c r="H1388" s="2"/>
      <c r="I1388" s="2" t="s">
        <v>2900</v>
      </c>
      <c r="J1388" s="2" t="b">
        <f>COUNTIF(MASTER!$L$2:$L$1944,I1388)=0</f>
        <v>1</v>
      </c>
    </row>
    <row r="1389" spans="6:10" x14ac:dyDescent="0.35">
      <c r="F1389" s="2" t="s">
        <v>2901</v>
      </c>
      <c r="G1389" s="2" t="b">
        <f>COUNTIF(MASTER!$A$2:$A$1944,F1389)=0</f>
        <v>1</v>
      </c>
      <c r="H1389" s="2"/>
      <c r="I1389" s="2" t="s">
        <v>2902</v>
      </c>
      <c r="J1389" s="2" t="b">
        <f>COUNTIF(MASTER!$L$2:$L$1944,I1389)=0</f>
        <v>1</v>
      </c>
    </row>
    <row r="1390" spans="6:10" x14ac:dyDescent="0.35">
      <c r="F1390" s="2" t="s">
        <v>2903</v>
      </c>
      <c r="G1390" s="2" t="b">
        <f>COUNTIF(MASTER!$A$2:$A$1944,F1390)=0</f>
        <v>1</v>
      </c>
      <c r="H1390" s="2"/>
      <c r="I1390" s="2" t="s">
        <v>2904</v>
      </c>
      <c r="J1390" s="2" t="b">
        <f>COUNTIF(MASTER!$L$2:$L$1944,I1390)=0</f>
        <v>1</v>
      </c>
    </row>
    <row r="1391" spans="6:10" x14ac:dyDescent="0.35">
      <c r="F1391" s="2" t="s">
        <v>2905</v>
      </c>
      <c r="G1391" s="2" t="b">
        <f>COUNTIF(MASTER!$A$2:$A$1944,F1391)=0</f>
        <v>1</v>
      </c>
      <c r="H1391" s="2"/>
      <c r="I1391" s="2" t="s">
        <v>2906</v>
      </c>
      <c r="J1391" s="2" t="b">
        <f>COUNTIF(MASTER!$L$2:$L$1944,I1391)=0</f>
        <v>1</v>
      </c>
    </row>
    <row r="1392" spans="6:10" x14ac:dyDescent="0.35">
      <c r="F1392" s="2" t="s">
        <v>2907</v>
      </c>
      <c r="G1392" s="2" t="b">
        <f>COUNTIF(MASTER!$A$2:$A$1944,F1392)=0</f>
        <v>1</v>
      </c>
      <c r="H1392" s="2"/>
      <c r="I1392" s="2" t="s">
        <v>2908</v>
      </c>
      <c r="J1392" s="2" t="b">
        <f>COUNTIF(MASTER!$L$2:$L$1944,I1392)=0</f>
        <v>1</v>
      </c>
    </row>
    <row r="1393" spans="6:10" x14ac:dyDescent="0.35">
      <c r="F1393" s="2" t="s">
        <v>2909</v>
      </c>
      <c r="G1393" s="2" t="b">
        <f>COUNTIF(MASTER!$A$2:$A$1944,F1393)=0</f>
        <v>1</v>
      </c>
      <c r="H1393" s="2"/>
      <c r="I1393" s="2" t="s">
        <v>2910</v>
      </c>
      <c r="J1393" s="2" t="b">
        <f>COUNTIF(MASTER!$L$2:$L$1944,I1393)=0</f>
        <v>1</v>
      </c>
    </row>
    <row r="1394" spans="6:10" x14ac:dyDescent="0.35">
      <c r="F1394" s="2" t="s">
        <v>2911</v>
      </c>
      <c r="G1394" s="2" t="b">
        <f>COUNTIF(MASTER!$A$2:$A$1944,F1394)=0</f>
        <v>1</v>
      </c>
      <c r="H1394" s="2"/>
      <c r="I1394" s="2" t="s">
        <v>2912</v>
      </c>
      <c r="J1394" s="2" t="b">
        <f>COUNTIF(MASTER!$L$2:$L$1944,I1394)=0</f>
        <v>1</v>
      </c>
    </row>
    <row r="1395" spans="6:10" x14ac:dyDescent="0.35">
      <c r="F1395" s="2" t="s">
        <v>2913</v>
      </c>
      <c r="G1395" s="2" t="b">
        <f>COUNTIF(MASTER!$A$2:$A$1944,F1395)=0</f>
        <v>1</v>
      </c>
      <c r="H1395" s="2"/>
      <c r="I1395" s="2" t="s">
        <v>2914</v>
      </c>
      <c r="J1395" s="2" t="b">
        <f>COUNTIF(MASTER!$L$2:$L$1944,I1395)=0</f>
        <v>1</v>
      </c>
    </row>
    <row r="1396" spans="6:10" x14ac:dyDescent="0.35">
      <c r="F1396" s="2" t="s">
        <v>2915</v>
      </c>
      <c r="G1396" s="2" t="b">
        <f>COUNTIF(MASTER!$A$2:$A$1944,F1396)=0</f>
        <v>1</v>
      </c>
      <c r="H1396" s="2"/>
      <c r="I1396" s="2" t="s">
        <v>2916</v>
      </c>
      <c r="J1396" s="2" t="b">
        <f>COUNTIF(MASTER!$L$2:$L$1944,I1396)=0</f>
        <v>1</v>
      </c>
    </row>
    <row r="1397" spans="6:10" x14ac:dyDescent="0.35">
      <c r="F1397" s="2" t="s">
        <v>2917</v>
      </c>
      <c r="G1397" s="2" t="b">
        <f>COUNTIF(MASTER!$A$2:$A$1944,F1397)=0</f>
        <v>1</v>
      </c>
      <c r="H1397" s="2"/>
      <c r="I1397" s="2" t="s">
        <v>2918</v>
      </c>
      <c r="J1397" s="2" t="b">
        <f>COUNTIF(MASTER!$L$2:$L$1944,I1397)=0</f>
        <v>1</v>
      </c>
    </row>
    <row r="1398" spans="6:10" x14ac:dyDescent="0.35">
      <c r="F1398" s="2" t="s">
        <v>2919</v>
      </c>
      <c r="G1398" s="2" t="b">
        <f>COUNTIF(MASTER!$A$2:$A$1944,F1398)=0</f>
        <v>1</v>
      </c>
      <c r="H1398" s="2"/>
      <c r="I1398" s="2" t="s">
        <v>2920</v>
      </c>
      <c r="J1398" s="2" t="b">
        <f>COUNTIF(MASTER!$L$2:$L$1944,I1398)=0</f>
        <v>1</v>
      </c>
    </row>
    <row r="1399" spans="6:10" x14ac:dyDescent="0.35">
      <c r="F1399" s="2" t="s">
        <v>2921</v>
      </c>
      <c r="G1399" s="2" t="b">
        <f>COUNTIF(MASTER!$A$2:$A$1944,F1399)=0</f>
        <v>1</v>
      </c>
      <c r="H1399" s="2"/>
      <c r="I1399" s="2" t="s">
        <v>2922</v>
      </c>
      <c r="J1399" s="2" t="b">
        <f>COUNTIF(MASTER!$L$2:$L$1944,I1399)=0</f>
        <v>1</v>
      </c>
    </row>
    <row r="1400" spans="6:10" x14ac:dyDescent="0.35">
      <c r="F1400" s="2" t="s">
        <v>2923</v>
      </c>
      <c r="G1400" s="2" t="b">
        <f>COUNTIF(MASTER!$A$2:$A$1944,F1400)=0</f>
        <v>1</v>
      </c>
      <c r="H1400" s="2"/>
      <c r="I1400" s="2" t="s">
        <v>2924</v>
      </c>
      <c r="J1400" s="2" t="b">
        <f>COUNTIF(MASTER!$L$2:$L$1944,I1400)=0</f>
        <v>1</v>
      </c>
    </row>
    <row r="1401" spans="6:10" x14ac:dyDescent="0.35">
      <c r="F1401" s="2" t="s">
        <v>2925</v>
      </c>
      <c r="G1401" s="2" t="b">
        <f>COUNTIF(MASTER!$A$2:$A$1944,F1401)=0</f>
        <v>1</v>
      </c>
      <c r="H1401" s="2"/>
      <c r="I1401" s="2" t="s">
        <v>2926</v>
      </c>
      <c r="J1401" s="2" t="b">
        <f>COUNTIF(MASTER!$L$2:$L$1944,I1401)=0</f>
        <v>1</v>
      </c>
    </row>
    <row r="1402" spans="6:10" x14ac:dyDescent="0.35">
      <c r="F1402" s="2" t="s">
        <v>2927</v>
      </c>
      <c r="G1402" s="2" t="b">
        <f>COUNTIF(MASTER!$A$2:$A$1944,F1402)=0</f>
        <v>1</v>
      </c>
      <c r="H1402" s="2"/>
      <c r="I1402" s="2" t="s">
        <v>2928</v>
      </c>
      <c r="J1402" s="2" t="b">
        <f>COUNTIF(MASTER!$L$2:$L$1944,I1402)=0</f>
        <v>1</v>
      </c>
    </row>
    <row r="1403" spans="6:10" x14ac:dyDescent="0.35">
      <c r="F1403" s="2" t="s">
        <v>2929</v>
      </c>
      <c r="G1403" s="2" t="b">
        <f>COUNTIF(MASTER!$A$2:$A$1944,F1403)=0</f>
        <v>1</v>
      </c>
      <c r="H1403" s="2"/>
      <c r="I1403" s="2" t="s">
        <v>2930</v>
      </c>
      <c r="J1403" s="2" t="b">
        <f>COUNTIF(MASTER!$L$2:$L$1944,I1403)=0</f>
        <v>1</v>
      </c>
    </row>
    <row r="1404" spans="6:10" x14ac:dyDescent="0.35">
      <c r="F1404" s="2" t="s">
        <v>2931</v>
      </c>
      <c r="G1404" s="2" t="b">
        <f>COUNTIF(MASTER!$A$2:$A$1944,F1404)=0</f>
        <v>1</v>
      </c>
      <c r="H1404" s="2"/>
      <c r="I1404" s="2" t="s">
        <v>2932</v>
      </c>
      <c r="J1404" s="2" t="b">
        <f>COUNTIF(MASTER!$L$2:$L$1944,I1404)=0</f>
        <v>1</v>
      </c>
    </row>
    <row r="1405" spans="6:10" x14ac:dyDescent="0.35">
      <c r="F1405" s="2" t="s">
        <v>2933</v>
      </c>
      <c r="G1405" s="2" t="b">
        <f>COUNTIF(MASTER!$A$2:$A$1944,F1405)=0</f>
        <v>1</v>
      </c>
      <c r="H1405" s="2"/>
      <c r="I1405" s="2" t="s">
        <v>2934</v>
      </c>
      <c r="J1405" s="2" t="b">
        <f>COUNTIF(MASTER!$L$2:$L$1944,I1405)=0</f>
        <v>1</v>
      </c>
    </row>
    <row r="1406" spans="6:10" x14ac:dyDescent="0.35">
      <c r="F1406" s="2" t="s">
        <v>2935</v>
      </c>
      <c r="G1406" s="2" t="b">
        <f>COUNTIF(MASTER!$A$2:$A$1944,F1406)=0</f>
        <v>1</v>
      </c>
      <c r="H1406" s="2"/>
      <c r="I1406" s="2" t="s">
        <v>2936</v>
      </c>
      <c r="J1406" s="2" t="b">
        <f>COUNTIF(MASTER!$L$2:$L$1944,I1406)=0</f>
        <v>1</v>
      </c>
    </row>
    <row r="1407" spans="6:10" x14ac:dyDescent="0.35">
      <c r="F1407" s="2" t="s">
        <v>2937</v>
      </c>
      <c r="G1407" s="2" t="b">
        <f>COUNTIF(MASTER!$A$2:$A$1944,F1407)=0</f>
        <v>1</v>
      </c>
      <c r="H1407" s="2"/>
      <c r="I1407" s="2" t="s">
        <v>2938</v>
      </c>
      <c r="J1407" s="2" t="b">
        <f>COUNTIF(MASTER!$L$2:$L$1944,I1407)=0</f>
        <v>1</v>
      </c>
    </row>
    <row r="1408" spans="6:10" x14ac:dyDescent="0.35">
      <c r="F1408" s="2" t="s">
        <v>2939</v>
      </c>
      <c r="G1408" s="2" t="b">
        <f>COUNTIF(MASTER!$A$2:$A$1944,F1408)=0</f>
        <v>1</v>
      </c>
      <c r="H1408" s="2"/>
      <c r="I1408" s="2" t="s">
        <v>2940</v>
      </c>
      <c r="J1408" s="2" t="b">
        <f>COUNTIF(MASTER!$L$2:$L$1944,I1408)=0</f>
        <v>1</v>
      </c>
    </row>
    <row r="1409" spans="6:10" x14ac:dyDescent="0.35">
      <c r="F1409" s="2" t="s">
        <v>2941</v>
      </c>
      <c r="G1409" s="2" t="b">
        <f>COUNTIF(MASTER!$A$2:$A$1944,F1409)=0</f>
        <v>1</v>
      </c>
      <c r="H1409" s="2"/>
      <c r="I1409" s="2" t="s">
        <v>2942</v>
      </c>
      <c r="J1409" s="2" t="b">
        <f>COUNTIF(MASTER!$L$2:$L$1944,I1409)=0</f>
        <v>1</v>
      </c>
    </row>
    <row r="1410" spans="6:10" x14ac:dyDescent="0.35">
      <c r="F1410" s="2" t="s">
        <v>2943</v>
      </c>
      <c r="G1410" s="2" t="b">
        <f>COUNTIF(MASTER!$A$2:$A$1944,F1410)=0</f>
        <v>1</v>
      </c>
      <c r="H1410" s="2"/>
      <c r="I1410" s="2" t="s">
        <v>2944</v>
      </c>
      <c r="J1410" s="2" t="b">
        <f>COUNTIF(MASTER!$L$2:$L$1944,I1410)=0</f>
        <v>1</v>
      </c>
    </row>
    <row r="1411" spans="6:10" x14ac:dyDescent="0.35">
      <c r="F1411" s="2" t="s">
        <v>2945</v>
      </c>
      <c r="G1411" s="2" t="b">
        <f>COUNTIF(MASTER!$A$2:$A$1944,F1411)=0</f>
        <v>1</v>
      </c>
      <c r="H1411" s="2"/>
      <c r="I1411" s="2" t="s">
        <v>2946</v>
      </c>
      <c r="J1411" s="2" t="b">
        <f>COUNTIF(MASTER!$L$2:$L$1944,I1411)=0</f>
        <v>1</v>
      </c>
    </row>
    <row r="1412" spans="6:10" x14ac:dyDescent="0.35">
      <c r="F1412" s="2" t="s">
        <v>2947</v>
      </c>
      <c r="G1412" s="2" t="b">
        <f>COUNTIF(MASTER!$A$2:$A$1944,F1412)=0</f>
        <v>1</v>
      </c>
      <c r="H1412" s="2"/>
      <c r="I1412" s="2" t="s">
        <v>2948</v>
      </c>
      <c r="J1412" s="2" t="b">
        <f>COUNTIF(MASTER!$L$2:$L$1944,I1412)=0</f>
        <v>1</v>
      </c>
    </row>
    <row r="1413" spans="6:10" x14ac:dyDescent="0.35">
      <c r="F1413" s="2" t="s">
        <v>2949</v>
      </c>
      <c r="G1413" s="2" t="b">
        <f>COUNTIF(MASTER!$A$2:$A$1944,F1413)=0</f>
        <v>1</v>
      </c>
      <c r="H1413" s="2"/>
      <c r="I1413" s="2" t="s">
        <v>2950</v>
      </c>
      <c r="J1413" s="2" t="b">
        <f>COUNTIF(MASTER!$L$2:$L$1944,I1413)=0</f>
        <v>1</v>
      </c>
    </row>
    <row r="1414" spans="6:10" x14ac:dyDescent="0.35">
      <c r="F1414" s="2" t="s">
        <v>2951</v>
      </c>
      <c r="G1414" s="2" t="b">
        <f>COUNTIF(MASTER!$A$2:$A$1944,F1414)=0</f>
        <v>1</v>
      </c>
      <c r="H1414" s="2"/>
      <c r="I1414" s="2" t="s">
        <v>2952</v>
      </c>
      <c r="J1414" s="2" t="b">
        <f>COUNTIF(MASTER!$L$2:$L$1944,I1414)=0</f>
        <v>1</v>
      </c>
    </row>
    <row r="1415" spans="6:10" x14ac:dyDescent="0.35">
      <c r="F1415" s="2" t="s">
        <v>2953</v>
      </c>
      <c r="G1415" s="2" t="b">
        <f>COUNTIF(MASTER!$A$2:$A$1944,F1415)=0</f>
        <v>1</v>
      </c>
      <c r="H1415" s="2"/>
      <c r="I1415" s="2" t="s">
        <v>2954</v>
      </c>
      <c r="J1415" s="2" t="b">
        <f>COUNTIF(MASTER!$L$2:$L$1944,I1415)=0</f>
        <v>1</v>
      </c>
    </row>
    <row r="1416" spans="6:10" x14ac:dyDescent="0.35">
      <c r="F1416" s="2" t="s">
        <v>2955</v>
      </c>
      <c r="G1416" s="2" t="b">
        <f>COUNTIF(MASTER!$A$2:$A$1944,F1416)=0</f>
        <v>1</v>
      </c>
      <c r="H1416" s="2"/>
      <c r="I1416" s="2" t="s">
        <v>2956</v>
      </c>
      <c r="J1416" s="2" t="b">
        <f>COUNTIF(MASTER!$L$2:$L$1944,I1416)=0</f>
        <v>1</v>
      </c>
    </row>
    <row r="1417" spans="6:10" x14ac:dyDescent="0.35">
      <c r="F1417" s="2" t="s">
        <v>2957</v>
      </c>
      <c r="G1417" s="2" t="b">
        <f>COUNTIF(MASTER!$A$2:$A$1944,F1417)=0</f>
        <v>1</v>
      </c>
      <c r="H1417" s="2"/>
      <c r="I1417" s="2" t="s">
        <v>2958</v>
      </c>
      <c r="J1417" s="2" t="b">
        <f>COUNTIF(MASTER!$L$2:$L$1944,I1417)=0</f>
        <v>1</v>
      </c>
    </row>
    <row r="1418" spans="6:10" x14ac:dyDescent="0.35">
      <c r="F1418" s="2" t="s">
        <v>2959</v>
      </c>
      <c r="G1418" s="2" t="b">
        <f>COUNTIF(MASTER!$A$2:$A$1944,F1418)=0</f>
        <v>1</v>
      </c>
      <c r="H1418" s="2"/>
      <c r="I1418" s="2" t="s">
        <v>2960</v>
      </c>
      <c r="J1418" s="2" t="b">
        <f>COUNTIF(MASTER!$L$2:$L$1944,I1418)=0</f>
        <v>1</v>
      </c>
    </row>
    <row r="1419" spans="6:10" x14ac:dyDescent="0.35">
      <c r="F1419" s="2" t="s">
        <v>2961</v>
      </c>
      <c r="G1419" s="2" t="b">
        <f>COUNTIF(MASTER!$A$2:$A$1944,F1419)=0</f>
        <v>1</v>
      </c>
      <c r="H1419" s="2"/>
      <c r="I1419" s="2" t="s">
        <v>2962</v>
      </c>
      <c r="J1419" s="2" t="b">
        <f>COUNTIF(MASTER!$L$2:$L$1944,I1419)=0</f>
        <v>1</v>
      </c>
    </row>
    <row r="1420" spans="6:10" x14ac:dyDescent="0.35">
      <c r="F1420" s="2" t="s">
        <v>2963</v>
      </c>
      <c r="G1420" s="2" t="b">
        <f>COUNTIF(MASTER!$A$2:$A$1944,F1420)=0</f>
        <v>1</v>
      </c>
      <c r="H1420" s="2"/>
      <c r="I1420" s="2" t="s">
        <v>2964</v>
      </c>
      <c r="J1420" s="2" t="b">
        <f>COUNTIF(MASTER!$L$2:$L$1944,I1420)=0</f>
        <v>1</v>
      </c>
    </row>
    <row r="1421" spans="6:10" x14ac:dyDescent="0.35">
      <c r="F1421" s="2" t="s">
        <v>2965</v>
      </c>
      <c r="G1421" s="2" t="b">
        <f>COUNTIF(MASTER!$A$2:$A$1944,F1421)=0</f>
        <v>1</v>
      </c>
      <c r="H1421" s="2"/>
      <c r="I1421" s="2" t="s">
        <v>2966</v>
      </c>
      <c r="J1421" s="2" t="b">
        <f>COUNTIF(MASTER!$L$2:$L$1944,I1421)=0</f>
        <v>1</v>
      </c>
    </row>
    <row r="1422" spans="6:10" x14ac:dyDescent="0.35">
      <c r="F1422" s="2" t="s">
        <v>2967</v>
      </c>
      <c r="G1422" s="2" t="b">
        <f>COUNTIF(MASTER!$A$2:$A$1944,F1422)=0</f>
        <v>1</v>
      </c>
      <c r="H1422" s="2"/>
      <c r="I1422" s="2" t="s">
        <v>2968</v>
      </c>
      <c r="J1422" s="2" t="b">
        <f>COUNTIF(MASTER!$L$2:$L$1944,I1422)=0</f>
        <v>1</v>
      </c>
    </row>
    <row r="1423" spans="6:10" x14ac:dyDescent="0.35">
      <c r="F1423" s="2" t="s">
        <v>2969</v>
      </c>
      <c r="G1423" s="2" t="b">
        <f>COUNTIF(MASTER!$A$2:$A$1944,F1423)=0</f>
        <v>1</v>
      </c>
      <c r="H1423" s="2"/>
      <c r="I1423" s="2" t="s">
        <v>2970</v>
      </c>
      <c r="J1423" s="2" t="b">
        <f>COUNTIF(MASTER!$L$2:$L$1944,I1423)=0</f>
        <v>1</v>
      </c>
    </row>
    <row r="1424" spans="6:10" x14ac:dyDescent="0.35">
      <c r="F1424" s="2" t="s">
        <v>2971</v>
      </c>
      <c r="G1424" s="2" t="b">
        <f>COUNTIF(MASTER!$A$2:$A$1944,F1424)=0</f>
        <v>1</v>
      </c>
      <c r="H1424" s="2"/>
      <c r="I1424" s="2" t="s">
        <v>2972</v>
      </c>
      <c r="J1424" s="2" t="b">
        <f>COUNTIF(MASTER!$L$2:$L$1944,I1424)=0</f>
        <v>1</v>
      </c>
    </row>
    <row r="1425" spans="6:10" x14ac:dyDescent="0.35">
      <c r="F1425" s="2" t="s">
        <v>2973</v>
      </c>
      <c r="G1425" s="2" t="b">
        <f>COUNTIF(MASTER!$A$2:$A$1944,F1425)=0</f>
        <v>1</v>
      </c>
      <c r="H1425" s="2"/>
      <c r="I1425" s="2" t="s">
        <v>2974</v>
      </c>
      <c r="J1425" s="2" t="b">
        <f>COUNTIF(MASTER!$L$2:$L$1944,I1425)=0</f>
        <v>1</v>
      </c>
    </row>
    <row r="1426" spans="6:10" x14ac:dyDescent="0.35">
      <c r="F1426" s="2" t="s">
        <v>2975</v>
      </c>
      <c r="G1426" s="2" t="b">
        <f>COUNTIF(MASTER!$A$2:$A$1944,F1426)=0</f>
        <v>1</v>
      </c>
      <c r="H1426" s="2"/>
      <c r="I1426" s="2" t="s">
        <v>2976</v>
      </c>
      <c r="J1426" s="2" t="b">
        <f>COUNTIF(MASTER!$L$2:$L$1944,I1426)=0</f>
        <v>1</v>
      </c>
    </row>
    <row r="1427" spans="6:10" x14ac:dyDescent="0.35">
      <c r="F1427" s="2" t="s">
        <v>2977</v>
      </c>
      <c r="G1427" s="2" t="b">
        <f>COUNTIF(MASTER!$A$2:$A$1944,F1427)=0</f>
        <v>1</v>
      </c>
      <c r="H1427" s="2"/>
      <c r="I1427" s="2" t="s">
        <v>2978</v>
      </c>
      <c r="J1427" s="2" t="b">
        <f>COUNTIF(MASTER!$L$2:$L$1944,I1427)=0</f>
        <v>1</v>
      </c>
    </row>
    <row r="1428" spans="6:10" x14ac:dyDescent="0.35">
      <c r="F1428" s="2" t="s">
        <v>2979</v>
      </c>
      <c r="G1428" s="2" t="b">
        <f>COUNTIF(MASTER!$A$2:$A$1944,F1428)=0</f>
        <v>1</v>
      </c>
      <c r="H1428" s="2"/>
      <c r="I1428" s="2" t="s">
        <v>2980</v>
      </c>
      <c r="J1428" s="2" t="b">
        <f>COUNTIF(MASTER!$L$2:$L$1944,I1428)=0</f>
        <v>1</v>
      </c>
    </row>
    <row r="1429" spans="6:10" x14ac:dyDescent="0.35">
      <c r="F1429" s="2" t="s">
        <v>2981</v>
      </c>
      <c r="G1429" s="2" t="b">
        <f>COUNTIF(MASTER!$A$2:$A$1944,F1429)=0</f>
        <v>1</v>
      </c>
      <c r="H1429" s="2"/>
      <c r="I1429" s="2" t="s">
        <v>2982</v>
      </c>
      <c r="J1429" s="2" t="b">
        <f>COUNTIF(MASTER!$L$2:$L$1944,I1429)=0</f>
        <v>1</v>
      </c>
    </row>
    <row r="1430" spans="6:10" x14ac:dyDescent="0.35">
      <c r="F1430" s="2" t="s">
        <v>2983</v>
      </c>
      <c r="G1430" s="2" t="b">
        <f>COUNTIF(MASTER!$A$2:$A$1944,F1430)=0</f>
        <v>1</v>
      </c>
      <c r="H1430" s="2"/>
      <c r="I1430" s="2" t="s">
        <v>2984</v>
      </c>
      <c r="J1430" s="2" t="b">
        <f>COUNTIF(MASTER!$L$2:$L$1944,I1430)=0</f>
        <v>1</v>
      </c>
    </row>
    <row r="1431" spans="6:10" x14ac:dyDescent="0.35">
      <c r="F1431" s="2" t="s">
        <v>2985</v>
      </c>
      <c r="G1431" s="2" t="b">
        <f>COUNTIF(MASTER!$A$2:$A$1944,F1431)=0</f>
        <v>1</v>
      </c>
      <c r="H1431" s="2"/>
      <c r="I1431" s="2" t="s">
        <v>2986</v>
      </c>
      <c r="J1431" s="2" t="b">
        <f>COUNTIF(MASTER!$L$2:$L$1944,I1431)=0</f>
        <v>1</v>
      </c>
    </row>
    <row r="1432" spans="6:10" x14ac:dyDescent="0.35">
      <c r="F1432" s="2" t="s">
        <v>2987</v>
      </c>
      <c r="G1432" s="2" t="b">
        <f>COUNTIF(MASTER!$A$2:$A$1944,F1432)=0</f>
        <v>1</v>
      </c>
      <c r="H1432" s="2"/>
      <c r="I1432" s="2" t="s">
        <v>2988</v>
      </c>
      <c r="J1432" s="2" t="b">
        <f>COUNTIF(MASTER!$L$2:$L$1944,I1432)=0</f>
        <v>1</v>
      </c>
    </row>
    <row r="1433" spans="6:10" x14ac:dyDescent="0.35">
      <c r="F1433" s="2" t="s">
        <v>2989</v>
      </c>
      <c r="G1433" s="2" t="b">
        <f>COUNTIF(MASTER!$A$2:$A$1944,F1433)=0</f>
        <v>1</v>
      </c>
      <c r="H1433" s="2"/>
      <c r="I1433" s="2" t="s">
        <v>2990</v>
      </c>
      <c r="J1433" s="2" t="b">
        <f>COUNTIF(MASTER!$L$2:$L$1944,I1433)=0</f>
        <v>1</v>
      </c>
    </row>
    <row r="1434" spans="6:10" x14ac:dyDescent="0.35">
      <c r="F1434" s="2" t="s">
        <v>2991</v>
      </c>
      <c r="G1434" s="2" t="b">
        <f>COUNTIF(MASTER!$A$2:$A$1944,F1434)=0</f>
        <v>1</v>
      </c>
      <c r="H1434" s="2"/>
      <c r="I1434" s="2" t="s">
        <v>2992</v>
      </c>
      <c r="J1434" s="2" t="b">
        <f>COUNTIF(MASTER!$L$2:$L$1944,I1434)=0</f>
        <v>1</v>
      </c>
    </row>
    <row r="1435" spans="6:10" x14ac:dyDescent="0.35">
      <c r="F1435" s="2" t="s">
        <v>2993</v>
      </c>
      <c r="G1435" s="2" t="b">
        <f>COUNTIF(MASTER!$A$2:$A$1944,F1435)=0</f>
        <v>1</v>
      </c>
      <c r="H1435" s="2"/>
      <c r="I1435" s="2" t="s">
        <v>2994</v>
      </c>
      <c r="J1435" s="2" t="b">
        <f>COUNTIF(MASTER!$L$2:$L$1944,I1435)=0</f>
        <v>1</v>
      </c>
    </row>
    <row r="1436" spans="6:10" x14ac:dyDescent="0.35">
      <c r="F1436" s="2" t="s">
        <v>2995</v>
      </c>
      <c r="G1436" s="2" t="b">
        <f>COUNTIF(MASTER!$A$2:$A$1944,F1436)=0</f>
        <v>1</v>
      </c>
      <c r="H1436" s="2"/>
      <c r="I1436" s="2" t="s">
        <v>2996</v>
      </c>
      <c r="J1436" s="2" t="b">
        <f>COUNTIF(MASTER!$L$2:$L$1944,I1436)=0</f>
        <v>1</v>
      </c>
    </row>
    <row r="1437" spans="6:10" x14ac:dyDescent="0.35">
      <c r="F1437" s="2" t="s">
        <v>2997</v>
      </c>
      <c r="G1437" s="2" t="b">
        <f>COUNTIF(MASTER!$A$2:$A$1944,F1437)=0</f>
        <v>1</v>
      </c>
      <c r="H1437" s="2"/>
      <c r="I1437" s="2" t="s">
        <v>2998</v>
      </c>
      <c r="J1437" s="2" t="b">
        <f>COUNTIF(MASTER!$L$2:$L$1944,I1437)=0</f>
        <v>1</v>
      </c>
    </row>
    <row r="1438" spans="6:10" x14ac:dyDescent="0.35">
      <c r="F1438" s="2" t="s">
        <v>2999</v>
      </c>
      <c r="G1438" s="2" t="b">
        <f>COUNTIF(MASTER!$A$2:$A$1944,F1438)=0</f>
        <v>1</v>
      </c>
      <c r="H1438" s="2"/>
      <c r="I1438" s="2" t="s">
        <v>3000</v>
      </c>
      <c r="J1438" s="2" t="b">
        <f>COUNTIF(MASTER!$L$2:$L$1944,I1438)=0</f>
        <v>1</v>
      </c>
    </row>
    <row r="1439" spans="6:10" x14ac:dyDescent="0.35">
      <c r="F1439" s="2" t="s">
        <v>3001</v>
      </c>
      <c r="G1439" s="2" t="b">
        <f>COUNTIF(MASTER!$A$2:$A$1944,F1439)=0</f>
        <v>1</v>
      </c>
      <c r="H1439" s="2"/>
      <c r="I1439" s="2" t="s">
        <v>3002</v>
      </c>
      <c r="J1439" s="2" t="b">
        <f>COUNTIF(MASTER!$L$2:$L$1944,I1439)=0</f>
        <v>1</v>
      </c>
    </row>
    <row r="1440" spans="6:10" x14ac:dyDescent="0.35">
      <c r="F1440" s="2" t="s">
        <v>3003</v>
      </c>
      <c r="G1440" s="2" t="b">
        <f>COUNTIF(MASTER!$A$2:$A$1944,F1440)=0</f>
        <v>1</v>
      </c>
      <c r="H1440" s="2"/>
      <c r="I1440" s="2" t="s">
        <v>3004</v>
      </c>
      <c r="J1440" s="2" t="b">
        <f>COUNTIF(MASTER!$L$2:$L$1944,I1440)=0</f>
        <v>1</v>
      </c>
    </row>
    <row r="1441" spans="6:10" x14ac:dyDescent="0.35">
      <c r="F1441" s="2" t="s">
        <v>3005</v>
      </c>
      <c r="G1441" s="2" t="b">
        <f>COUNTIF(MASTER!$A$2:$A$1944,F1441)=0</f>
        <v>1</v>
      </c>
      <c r="H1441" s="2"/>
      <c r="I1441" s="2" t="s">
        <v>3006</v>
      </c>
      <c r="J1441" s="2" t="b">
        <f>COUNTIF(MASTER!$L$2:$L$1944,I1441)=0</f>
        <v>1</v>
      </c>
    </row>
    <row r="1442" spans="6:10" x14ac:dyDescent="0.35">
      <c r="F1442" s="2" t="s">
        <v>3007</v>
      </c>
      <c r="G1442" s="2" t="b">
        <f>COUNTIF(MASTER!$A$2:$A$1944,F1442)=0</f>
        <v>1</v>
      </c>
      <c r="H1442" s="2"/>
      <c r="I1442" s="2" t="s">
        <v>3008</v>
      </c>
      <c r="J1442" s="2" t="b">
        <f>COUNTIF(MASTER!$L$2:$L$1944,I1442)=0</f>
        <v>1</v>
      </c>
    </row>
    <row r="1443" spans="6:10" x14ac:dyDescent="0.35">
      <c r="F1443" s="2" t="s">
        <v>3009</v>
      </c>
      <c r="G1443" s="2" t="b">
        <f>COUNTIF(MASTER!$A$2:$A$1944,F1443)=0</f>
        <v>1</v>
      </c>
      <c r="H1443" s="2"/>
      <c r="I1443" s="2" t="s">
        <v>3010</v>
      </c>
      <c r="J1443" s="2" t="b">
        <f>COUNTIF(MASTER!$L$2:$L$1944,I1443)=0</f>
        <v>1</v>
      </c>
    </row>
    <row r="1444" spans="6:10" x14ac:dyDescent="0.35">
      <c r="F1444" s="2" t="s">
        <v>3011</v>
      </c>
      <c r="G1444" s="2" t="b">
        <f>COUNTIF(MASTER!$A$2:$A$1944,F1444)=0</f>
        <v>1</v>
      </c>
      <c r="H1444" s="2"/>
      <c r="I1444" s="2" t="s">
        <v>3012</v>
      </c>
      <c r="J1444" s="2" t="b">
        <f>COUNTIF(MASTER!$L$2:$L$1944,I1444)=0</f>
        <v>1</v>
      </c>
    </row>
    <row r="1445" spans="6:10" x14ac:dyDescent="0.35">
      <c r="F1445" s="2" t="s">
        <v>3013</v>
      </c>
      <c r="G1445" s="2" t="b">
        <f>COUNTIF(MASTER!$A$2:$A$1944,F1445)=0</f>
        <v>1</v>
      </c>
      <c r="H1445" s="2"/>
      <c r="I1445" s="2" t="s">
        <v>3014</v>
      </c>
      <c r="J1445" s="2" t="b">
        <f>COUNTIF(MASTER!$L$2:$L$1944,I1445)=0</f>
        <v>1</v>
      </c>
    </row>
    <row r="1446" spans="6:10" x14ac:dyDescent="0.35">
      <c r="F1446" s="2" t="s">
        <v>3015</v>
      </c>
      <c r="G1446" s="2" t="b">
        <f>COUNTIF(MASTER!$A$2:$A$1944,F1446)=0</f>
        <v>1</v>
      </c>
      <c r="H1446" s="2"/>
      <c r="I1446" s="2" t="s">
        <v>3016</v>
      </c>
      <c r="J1446" s="2" t="b">
        <f>COUNTIF(MASTER!$L$2:$L$1944,I1446)=0</f>
        <v>1</v>
      </c>
    </row>
    <row r="1447" spans="6:10" x14ac:dyDescent="0.35">
      <c r="F1447" s="2" t="s">
        <v>3017</v>
      </c>
      <c r="G1447" s="2" t="b">
        <f>COUNTIF(MASTER!$A$2:$A$1944,F1447)=0</f>
        <v>1</v>
      </c>
      <c r="H1447" s="2"/>
      <c r="I1447" s="2" t="s">
        <v>3018</v>
      </c>
      <c r="J1447" s="2" t="b">
        <f>COUNTIF(MASTER!$L$2:$L$1944,I1447)=0</f>
        <v>1</v>
      </c>
    </row>
    <row r="1448" spans="6:10" x14ac:dyDescent="0.35">
      <c r="F1448" s="2" t="s">
        <v>3019</v>
      </c>
      <c r="G1448" s="2" t="b">
        <f>COUNTIF(MASTER!$A$2:$A$1944,F1448)=0</f>
        <v>1</v>
      </c>
      <c r="H1448" s="2"/>
      <c r="I1448" s="2" t="s">
        <v>3020</v>
      </c>
      <c r="J1448" s="2" t="b">
        <f>COUNTIF(MASTER!$L$2:$L$1944,I1448)=0</f>
        <v>1</v>
      </c>
    </row>
    <row r="1449" spans="6:10" x14ac:dyDescent="0.35">
      <c r="F1449" s="2" t="s">
        <v>3021</v>
      </c>
      <c r="G1449" s="2" t="b">
        <f>COUNTIF(MASTER!$A$2:$A$1944,F1449)=0</f>
        <v>1</v>
      </c>
      <c r="H1449" s="2"/>
      <c r="I1449" s="2" t="s">
        <v>3022</v>
      </c>
      <c r="J1449" s="2" t="b">
        <f>COUNTIF(MASTER!$L$2:$L$1944,I1449)=0</f>
        <v>1</v>
      </c>
    </row>
    <row r="1450" spans="6:10" x14ac:dyDescent="0.35">
      <c r="F1450" s="2" t="s">
        <v>3023</v>
      </c>
      <c r="G1450" s="2" t="b">
        <f>COUNTIF(MASTER!$A$2:$A$1944,F1450)=0</f>
        <v>1</v>
      </c>
      <c r="H1450" s="2"/>
      <c r="I1450" s="2" t="s">
        <v>3024</v>
      </c>
      <c r="J1450" s="2" t="b">
        <f>COUNTIF(MASTER!$L$2:$L$1944,I1450)=0</f>
        <v>1</v>
      </c>
    </row>
    <row r="1451" spans="6:10" x14ac:dyDescent="0.35">
      <c r="F1451" s="2" t="s">
        <v>3025</v>
      </c>
      <c r="G1451" s="2" t="b">
        <f>COUNTIF(MASTER!$A$2:$A$1944,F1451)=0</f>
        <v>1</v>
      </c>
      <c r="H1451" s="2"/>
      <c r="I1451" s="2" t="s">
        <v>3026</v>
      </c>
      <c r="J1451" s="2" t="b">
        <f>COUNTIF(MASTER!$L$2:$L$1944,I1451)=0</f>
        <v>1</v>
      </c>
    </row>
    <row r="1452" spans="6:10" x14ac:dyDescent="0.35">
      <c r="F1452" s="2" t="s">
        <v>3027</v>
      </c>
      <c r="G1452" s="2" t="b">
        <f>COUNTIF(MASTER!$A$2:$A$1944,F1452)=0</f>
        <v>1</v>
      </c>
      <c r="H1452" s="2"/>
      <c r="I1452" s="2" t="s">
        <v>3028</v>
      </c>
      <c r="J1452" s="2" t="b">
        <f>COUNTIF(MASTER!$L$2:$L$1944,I1452)=0</f>
        <v>1</v>
      </c>
    </row>
    <row r="1453" spans="6:10" x14ac:dyDescent="0.35">
      <c r="F1453" s="2" t="s">
        <v>3029</v>
      </c>
      <c r="G1453" s="2" t="b">
        <f>COUNTIF(MASTER!$A$2:$A$1944,F1453)=0</f>
        <v>1</v>
      </c>
      <c r="H1453" s="2"/>
      <c r="I1453" s="2" t="s">
        <v>3030</v>
      </c>
      <c r="J1453" s="2" t="b">
        <f>COUNTIF(MASTER!$L$2:$L$1944,I1453)=0</f>
        <v>1</v>
      </c>
    </row>
    <row r="1454" spans="6:10" x14ac:dyDescent="0.35">
      <c r="F1454" s="2" t="s">
        <v>3031</v>
      </c>
      <c r="G1454" s="2" t="b">
        <f>COUNTIF(MASTER!$A$2:$A$1944,F1454)=0</f>
        <v>1</v>
      </c>
      <c r="H1454" s="2"/>
      <c r="I1454" s="2" t="s">
        <v>3032</v>
      </c>
      <c r="J1454" s="2" t="b">
        <f>COUNTIF(MASTER!$L$2:$L$1944,I1454)=0</f>
        <v>1</v>
      </c>
    </row>
    <row r="1455" spans="6:10" x14ac:dyDescent="0.35">
      <c r="F1455" s="2" t="s">
        <v>3033</v>
      </c>
      <c r="G1455" s="2" t="b">
        <f>COUNTIF(MASTER!$A$2:$A$1944,F1455)=0</f>
        <v>1</v>
      </c>
      <c r="H1455" s="2"/>
      <c r="I1455" s="2" t="s">
        <v>3034</v>
      </c>
      <c r="J1455" s="2" t="b">
        <f>COUNTIF(MASTER!$L$2:$L$1944,I1455)=0</f>
        <v>1</v>
      </c>
    </row>
    <row r="1456" spans="6:10" x14ac:dyDescent="0.35">
      <c r="F1456" s="2" t="s">
        <v>3035</v>
      </c>
      <c r="G1456" s="2" t="b">
        <f>COUNTIF(MASTER!$A$2:$A$1944,F1456)=0</f>
        <v>1</v>
      </c>
      <c r="H1456" s="2"/>
      <c r="I1456" s="2" t="s">
        <v>3036</v>
      </c>
      <c r="J1456" s="2" t="b">
        <f>COUNTIF(MASTER!$L$2:$L$1944,I1456)=0</f>
        <v>1</v>
      </c>
    </row>
    <row r="1457" spans="6:10" x14ac:dyDescent="0.35">
      <c r="F1457" s="2" t="s">
        <v>3037</v>
      </c>
      <c r="G1457" s="2" t="b">
        <f>COUNTIF(MASTER!$A$2:$A$1944,F1457)=0</f>
        <v>1</v>
      </c>
      <c r="H1457" s="2"/>
      <c r="I1457" s="2" t="s">
        <v>3038</v>
      </c>
      <c r="J1457" s="2" t="b">
        <f>COUNTIF(MASTER!$L$2:$L$1944,I1457)=0</f>
        <v>1</v>
      </c>
    </row>
    <row r="1458" spans="6:10" x14ac:dyDescent="0.35">
      <c r="F1458" s="2" t="s">
        <v>3039</v>
      </c>
      <c r="G1458" s="2" t="b">
        <f>COUNTIF(MASTER!$A$2:$A$1944,F1458)=0</f>
        <v>1</v>
      </c>
      <c r="H1458" s="2"/>
      <c r="I1458" s="2" t="s">
        <v>3040</v>
      </c>
      <c r="J1458" s="2" t="b">
        <f>COUNTIF(MASTER!$L$2:$L$1944,I1458)=0</f>
        <v>1</v>
      </c>
    </row>
    <row r="1459" spans="6:10" x14ac:dyDescent="0.35">
      <c r="F1459" s="2" t="s">
        <v>3041</v>
      </c>
      <c r="G1459" s="2" t="b">
        <f>COUNTIF(MASTER!$A$2:$A$1944,F1459)=0</f>
        <v>1</v>
      </c>
      <c r="H1459" s="2"/>
      <c r="I1459" s="2" t="s">
        <v>3042</v>
      </c>
      <c r="J1459" s="2" t="b">
        <f>COUNTIF(MASTER!$L$2:$L$1944,I1459)=0</f>
        <v>1</v>
      </c>
    </row>
    <row r="1460" spans="6:10" x14ac:dyDescent="0.35">
      <c r="F1460" s="2" t="s">
        <v>3043</v>
      </c>
      <c r="G1460" s="2" t="b">
        <f>COUNTIF(MASTER!$A$2:$A$1944,F1460)=0</f>
        <v>1</v>
      </c>
      <c r="H1460" s="2"/>
      <c r="I1460" s="2" t="s">
        <v>3044</v>
      </c>
      <c r="J1460" s="2" t="b">
        <f>COUNTIF(MASTER!$L$2:$L$1944,I1460)=0</f>
        <v>1</v>
      </c>
    </row>
    <row r="1461" spans="6:10" x14ac:dyDescent="0.35">
      <c r="F1461" s="2" t="s">
        <v>3045</v>
      </c>
      <c r="G1461" s="2" t="b">
        <f>COUNTIF(MASTER!$A$2:$A$1944,F1461)=0</f>
        <v>1</v>
      </c>
      <c r="H1461" s="2"/>
      <c r="I1461" s="2" t="s">
        <v>3046</v>
      </c>
      <c r="J1461" s="2" t="b">
        <f>COUNTIF(MASTER!$L$2:$L$1944,I1461)=0</f>
        <v>1</v>
      </c>
    </row>
    <row r="1462" spans="6:10" x14ac:dyDescent="0.35">
      <c r="F1462" s="2" t="s">
        <v>3047</v>
      </c>
      <c r="G1462" s="2" t="b">
        <f>COUNTIF(MASTER!$A$2:$A$1944,F1462)=0</f>
        <v>1</v>
      </c>
      <c r="H1462" s="2"/>
      <c r="I1462" s="2" t="s">
        <v>3048</v>
      </c>
      <c r="J1462" s="2" t="b">
        <f>COUNTIF(MASTER!$L$2:$L$1944,I1462)=0</f>
        <v>1</v>
      </c>
    </row>
    <row r="1463" spans="6:10" x14ac:dyDescent="0.35">
      <c r="F1463" s="2" t="s">
        <v>3049</v>
      </c>
      <c r="G1463" s="2" t="b">
        <f>COUNTIF(MASTER!$A$2:$A$1944,F1463)=0</f>
        <v>1</v>
      </c>
      <c r="H1463" s="2"/>
      <c r="I1463" s="2" t="s">
        <v>3050</v>
      </c>
      <c r="J1463" s="2" t="b">
        <f>COUNTIF(MASTER!$L$2:$L$1944,I1463)=0</f>
        <v>1</v>
      </c>
    </row>
    <row r="1464" spans="6:10" x14ac:dyDescent="0.35">
      <c r="F1464" s="2" t="s">
        <v>3051</v>
      </c>
      <c r="G1464" s="2" t="b">
        <f>COUNTIF(MASTER!$A$2:$A$1944,F1464)=0</f>
        <v>1</v>
      </c>
      <c r="H1464" s="2"/>
      <c r="I1464" s="2" t="s">
        <v>3052</v>
      </c>
      <c r="J1464" s="2" t="b">
        <f>COUNTIF(MASTER!$L$2:$L$1944,I1464)=0</f>
        <v>1</v>
      </c>
    </row>
    <row r="1465" spans="6:10" x14ac:dyDescent="0.35">
      <c r="F1465" s="2" t="s">
        <v>3053</v>
      </c>
      <c r="G1465" s="2" t="b">
        <f>COUNTIF(MASTER!$A$2:$A$1944,F1465)=0</f>
        <v>1</v>
      </c>
      <c r="H1465" s="2"/>
      <c r="I1465" s="2" t="s">
        <v>3054</v>
      </c>
      <c r="J1465" s="2" t="b">
        <f>COUNTIF(MASTER!$L$2:$L$1944,I1465)=0</f>
        <v>1</v>
      </c>
    </row>
    <row r="1466" spans="6:10" x14ac:dyDescent="0.35">
      <c r="F1466" s="2" t="s">
        <v>3055</v>
      </c>
      <c r="G1466" s="2" t="b">
        <f>COUNTIF(MASTER!$A$2:$A$1944,F1466)=0</f>
        <v>1</v>
      </c>
      <c r="H1466" s="2"/>
      <c r="I1466" s="2" t="s">
        <v>3056</v>
      </c>
      <c r="J1466" s="2" t="b">
        <f>COUNTIF(MASTER!$L$2:$L$1944,I1466)=0</f>
        <v>1</v>
      </c>
    </row>
    <row r="1467" spans="6:10" x14ac:dyDescent="0.35">
      <c r="F1467" s="2" t="s">
        <v>3057</v>
      </c>
      <c r="G1467" s="2" t="b">
        <f>COUNTIF(MASTER!$A$2:$A$1944,F1467)=0</f>
        <v>1</v>
      </c>
      <c r="H1467" s="2"/>
      <c r="I1467" s="2" t="s">
        <v>3058</v>
      </c>
      <c r="J1467" s="2" t="b">
        <f>COUNTIF(MASTER!$L$2:$L$1944,I1467)=0</f>
        <v>1</v>
      </c>
    </row>
    <row r="1468" spans="6:10" x14ac:dyDescent="0.35">
      <c r="F1468" s="2" t="s">
        <v>3059</v>
      </c>
      <c r="G1468" s="2" t="b">
        <f>COUNTIF(MASTER!$A$2:$A$1944,F1468)=0</f>
        <v>1</v>
      </c>
      <c r="H1468" s="2"/>
      <c r="I1468" s="2" t="s">
        <v>3060</v>
      </c>
      <c r="J1468" s="2" t="b">
        <f>COUNTIF(MASTER!$L$2:$L$1944,I1468)=0</f>
        <v>1</v>
      </c>
    </row>
    <row r="1469" spans="6:10" x14ac:dyDescent="0.35">
      <c r="F1469" s="2" t="s">
        <v>3061</v>
      </c>
      <c r="G1469" s="2" t="b">
        <f>COUNTIF(MASTER!$A$2:$A$1944,F1469)=0</f>
        <v>1</v>
      </c>
      <c r="H1469" s="2"/>
      <c r="I1469" s="2" t="s">
        <v>3062</v>
      </c>
      <c r="J1469" s="2" t="b">
        <f>COUNTIF(MASTER!$L$2:$L$1944,I1469)=0</f>
        <v>1</v>
      </c>
    </row>
    <row r="1470" spans="6:10" x14ac:dyDescent="0.35">
      <c r="F1470" s="2" t="s">
        <v>3063</v>
      </c>
      <c r="G1470" s="2" t="b">
        <f>COUNTIF(MASTER!$A$2:$A$1944,F1470)=0</f>
        <v>1</v>
      </c>
      <c r="H1470" s="2"/>
      <c r="I1470" s="2" t="s">
        <v>3064</v>
      </c>
      <c r="J1470" s="2" t="b">
        <f>COUNTIF(MASTER!$L$2:$L$1944,I1470)=0</f>
        <v>1</v>
      </c>
    </row>
    <row r="1471" spans="6:10" x14ac:dyDescent="0.35">
      <c r="F1471" s="2" t="s">
        <v>3065</v>
      </c>
      <c r="G1471" s="2" t="b">
        <f>COUNTIF(MASTER!$A$2:$A$1944,F1471)=0</f>
        <v>1</v>
      </c>
      <c r="H1471" s="2"/>
      <c r="I1471" s="2" t="s">
        <v>3066</v>
      </c>
      <c r="J1471" s="2" t="b">
        <f>COUNTIF(MASTER!$L$2:$L$1944,I1471)=0</f>
        <v>1</v>
      </c>
    </row>
    <row r="1472" spans="6:10" x14ac:dyDescent="0.35">
      <c r="F1472" s="2" t="s">
        <v>3067</v>
      </c>
      <c r="G1472" s="2" t="b">
        <f>COUNTIF(MASTER!$A$2:$A$1944,F1472)=0</f>
        <v>1</v>
      </c>
      <c r="H1472" s="2"/>
      <c r="I1472" s="2" t="s">
        <v>3068</v>
      </c>
      <c r="J1472" s="2" t="b">
        <f>COUNTIF(MASTER!$L$2:$L$1944,I1472)=0</f>
        <v>1</v>
      </c>
    </row>
    <row r="1473" spans="6:10" x14ac:dyDescent="0.35">
      <c r="F1473" s="2" t="s">
        <v>3069</v>
      </c>
      <c r="G1473" s="2" t="b">
        <f>COUNTIF(MASTER!$A$2:$A$1944,F1473)=0</f>
        <v>1</v>
      </c>
      <c r="H1473" s="2"/>
      <c r="I1473" s="2" t="s">
        <v>3070</v>
      </c>
      <c r="J1473" s="2" t="b">
        <f>COUNTIF(MASTER!$L$2:$L$1944,I1473)=0</f>
        <v>1</v>
      </c>
    </row>
    <row r="1474" spans="6:10" x14ac:dyDescent="0.35">
      <c r="F1474" s="2" t="s">
        <v>3071</v>
      </c>
      <c r="G1474" s="2" t="b">
        <f>COUNTIF(MASTER!$A$2:$A$1944,F1474)=0</f>
        <v>1</v>
      </c>
      <c r="H1474" s="2"/>
      <c r="I1474" s="2" t="s">
        <v>3072</v>
      </c>
      <c r="J1474" s="2" t="b">
        <f>COUNTIF(MASTER!$L$2:$L$1944,I1474)=0</f>
        <v>1</v>
      </c>
    </row>
    <row r="1475" spans="6:10" x14ac:dyDescent="0.35">
      <c r="F1475" s="2" t="s">
        <v>3073</v>
      </c>
      <c r="G1475" s="2" t="b">
        <f>COUNTIF(MASTER!$A$2:$A$1944,F1475)=0</f>
        <v>1</v>
      </c>
      <c r="H1475" s="2"/>
      <c r="I1475" s="2" t="s">
        <v>3074</v>
      </c>
      <c r="J1475" s="2" t="b">
        <f>COUNTIF(MASTER!$L$2:$L$1944,I1475)=0</f>
        <v>1</v>
      </c>
    </row>
    <row r="1476" spans="6:10" x14ac:dyDescent="0.35">
      <c r="F1476" s="2" t="s">
        <v>3075</v>
      </c>
      <c r="G1476" s="2" t="b">
        <f>COUNTIF(MASTER!$A$2:$A$1944,F1476)=0</f>
        <v>1</v>
      </c>
      <c r="H1476" s="2"/>
      <c r="I1476" s="2" t="s">
        <v>3076</v>
      </c>
      <c r="J1476" s="2" t="b">
        <f>COUNTIF(MASTER!$L$2:$L$1944,I1476)=0</f>
        <v>1</v>
      </c>
    </row>
    <row r="1477" spans="6:10" x14ac:dyDescent="0.35">
      <c r="F1477" s="2" t="s">
        <v>3077</v>
      </c>
      <c r="G1477" s="2" t="b">
        <f>COUNTIF(MASTER!$A$2:$A$1944,F1477)=0</f>
        <v>1</v>
      </c>
      <c r="H1477" s="2"/>
      <c r="I1477" s="2" t="s">
        <v>3078</v>
      </c>
      <c r="J1477" s="2" t="b">
        <f>COUNTIF(MASTER!$L$2:$L$1944,I1477)=0</f>
        <v>1</v>
      </c>
    </row>
    <row r="1478" spans="6:10" x14ac:dyDescent="0.35">
      <c r="F1478" s="2" t="s">
        <v>3079</v>
      </c>
      <c r="G1478" s="2" t="b">
        <f>COUNTIF(MASTER!$A$2:$A$1944,F1478)=0</f>
        <v>1</v>
      </c>
      <c r="H1478" s="2"/>
      <c r="I1478" s="2" t="s">
        <v>3080</v>
      </c>
      <c r="J1478" s="2" t="b">
        <f>COUNTIF(MASTER!$L$2:$L$1944,I1478)=0</f>
        <v>1</v>
      </c>
    </row>
    <row r="1479" spans="6:10" x14ac:dyDescent="0.35">
      <c r="F1479" s="2" t="s">
        <v>3081</v>
      </c>
      <c r="G1479" s="2" t="b">
        <f>COUNTIF(MASTER!$A$2:$A$1944,F1479)=0</f>
        <v>1</v>
      </c>
      <c r="H1479" s="2"/>
      <c r="I1479" s="2" t="s">
        <v>3082</v>
      </c>
      <c r="J1479" s="2" t="b">
        <f>COUNTIF(MASTER!$L$2:$L$1944,I1479)=0</f>
        <v>1</v>
      </c>
    </row>
    <row r="1480" spans="6:10" x14ac:dyDescent="0.35">
      <c r="F1480" s="2" t="s">
        <v>3083</v>
      </c>
      <c r="G1480" s="2" t="b">
        <f>COUNTIF(MASTER!$A$2:$A$1944,F1480)=0</f>
        <v>1</v>
      </c>
      <c r="H1480" s="2"/>
      <c r="I1480" s="2" t="s">
        <v>3084</v>
      </c>
      <c r="J1480" s="2" t="b">
        <f>COUNTIF(MASTER!$L$2:$L$1944,I1480)=0</f>
        <v>1</v>
      </c>
    </row>
    <row r="1481" spans="6:10" x14ac:dyDescent="0.35">
      <c r="F1481" s="2" t="s">
        <v>3085</v>
      </c>
      <c r="G1481" s="2" t="b">
        <f>COUNTIF(MASTER!$A$2:$A$1944,F1481)=0</f>
        <v>1</v>
      </c>
      <c r="H1481" s="2"/>
      <c r="I1481" s="2" t="s">
        <v>3086</v>
      </c>
      <c r="J1481" s="2" t="b">
        <f>COUNTIF(MASTER!$L$2:$L$1944,I1481)=0</f>
        <v>1</v>
      </c>
    </row>
    <row r="1482" spans="6:10" x14ac:dyDescent="0.35">
      <c r="F1482" s="2" t="s">
        <v>3087</v>
      </c>
      <c r="G1482" s="2" t="b">
        <f>COUNTIF(MASTER!$A$2:$A$1944,F1482)=0</f>
        <v>1</v>
      </c>
      <c r="H1482" s="2"/>
      <c r="I1482" s="2" t="s">
        <v>3088</v>
      </c>
      <c r="J1482" s="2" t="b">
        <f>COUNTIF(MASTER!$L$2:$L$1944,I1482)=0</f>
        <v>1</v>
      </c>
    </row>
    <row r="1483" spans="6:10" x14ac:dyDescent="0.35">
      <c r="F1483" s="2" t="s">
        <v>3089</v>
      </c>
      <c r="G1483" s="2" t="b">
        <f>COUNTIF(MASTER!$A$2:$A$1944,F1483)=0</f>
        <v>1</v>
      </c>
      <c r="H1483" s="2"/>
      <c r="I1483" s="2" t="s">
        <v>3090</v>
      </c>
      <c r="J1483" s="2" t="b">
        <f>COUNTIF(MASTER!$L$2:$L$1944,I1483)=0</f>
        <v>1</v>
      </c>
    </row>
    <row r="1484" spans="6:10" x14ac:dyDescent="0.35">
      <c r="F1484" s="2" t="s">
        <v>3091</v>
      </c>
      <c r="G1484" s="2" t="b">
        <f>COUNTIF(MASTER!$A$2:$A$1944,F1484)=0</f>
        <v>1</v>
      </c>
      <c r="H1484" s="2"/>
      <c r="I1484" s="2" t="s">
        <v>3092</v>
      </c>
      <c r="J1484" s="2" t="b">
        <f>COUNTIF(MASTER!$L$2:$L$1944,I1484)=0</f>
        <v>1</v>
      </c>
    </row>
    <row r="1485" spans="6:10" x14ac:dyDescent="0.35">
      <c r="F1485" s="2" t="s">
        <v>3093</v>
      </c>
      <c r="G1485" s="2" t="b">
        <f>COUNTIF(MASTER!$A$2:$A$1944,F1485)=0</f>
        <v>1</v>
      </c>
      <c r="H1485" s="2"/>
      <c r="I1485" s="2" t="s">
        <v>3094</v>
      </c>
      <c r="J1485" s="2" t="b">
        <f>COUNTIF(MASTER!$L$2:$L$1944,I1485)=0</f>
        <v>1</v>
      </c>
    </row>
    <row r="1486" spans="6:10" x14ac:dyDescent="0.35">
      <c r="F1486" s="2" t="s">
        <v>3095</v>
      </c>
      <c r="G1486" s="2" t="b">
        <f>COUNTIF(MASTER!$A$2:$A$1944,F1486)=0</f>
        <v>1</v>
      </c>
      <c r="H1486" s="2"/>
      <c r="I1486" s="2" t="s">
        <v>3096</v>
      </c>
      <c r="J1486" s="2" t="b">
        <f>COUNTIF(MASTER!$L$2:$L$1944,I1486)=0</f>
        <v>1</v>
      </c>
    </row>
    <row r="1487" spans="6:10" x14ac:dyDescent="0.35">
      <c r="F1487" s="2" t="s">
        <v>3097</v>
      </c>
      <c r="G1487" s="2" t="b">
        <f>COUNTIF(MASTER!$A$2:$A$1944,F1487)=0</f>
        <v>1</v>
      </c>
      <c r="H1487" s="2"/>
      <c r="I1487" s="2" t="s">
        <v>3098</v>
      </c>
      <c r="J1487" s="2" t="b">
        <f>COUNTIF(MASTER!$L$2:$L$1944,I1487)=0</f>
        <v>1</v>
      </c>
    </row>
    <row r="1488" spans="6:10" x14ac:dyDescent="0.35">
      <c r="F1488" s="2" t="s">
        <v>3099</v>
      </c>
      <c r="G1488" s="2" t="b">
        <f>COUNTIF(MASTER!$A$2:$A$1944,F1488)=0</f>
        <v>1</v>
      </c>
      <c r="H1488" s="2"/>
      <c r="I1488" s="2" t="s">
        <v>3100</v>
      </c>
      <c r="J1488" s="2" t="b">
        <f>COUNTIF(MASTER!$L$2:$L$1944,I1488)=0</f>
        <v>1</v>
      </c>
    </row>
    <row r="1489" spans="6:10" x14ac:dyDescent="0.35">
      <c r="F1489" s="2" t="s">
        <v>3101</v>
      </c>
      <c r="G1489" s="2" t="b">
        <f>COUNTIF(MASTER!$A$2:$A$1944,F1489)=0</f>
        <v>1</v>
      </c>
      <c r="H1489" s="2"/>
      <c r="I1489" s="2" t="s">
        <v>3102</v>
      </c>
      <c r="J1489" s="2" t="b">
        <f>COUNTIF(MASTER!$L$2:$L$1944,I1489)=0</f>
        <v>1</v>
      </c>
    </row>
    <row r="1490" spans="6:10" x14ac:dyDescent="0.35">
      <c r="F1490" s="2" t="s">
        <v>3103</v>
      </c>
      <c r="G1490" s="2" t="b">
        <f>COUNTIF(MASTER!$A$2:$A$1944,F1490)=0</f>
        <v>1</v>
      </c>
      <c r="H1490" s="2"/>
      <c r="I1490" s="2" t="s">
        <v>3104</v>
      </c>
      <c r="J1490" s="2" t="b">
        <f>COUNTIF(MASTER!$L$2:$L$1944,I1490)=0</f>
        <v>1</v>
      </c>
    </row>
    <row r="1491" spans="6:10" x14ac:dyDescent="0.35">
      <c r="F1491" s="2" t="s">
        <v>3105</v>
      </c>
      <c r="G1491" s="2" t="b">
        <f>COUNTIF(MASTER!$A$2:$A$1944,F1491)=0</f>
        <v>1</v>
      </c>
      <c r="H1491" s="2"/>
      <c r="I1491" s="2" t="s">
        <v>3106</v>
      </c>
      <c r="J1491" s="2" t="b">
        <f>COUNTIF(MASTER!$L$2:$L$1944,I1491)=0</f>
        <v>1</v>
      </c>
    </row>
    <row r="1492" spans="6:10" x14ac:dyDescent="0.35">
      <c r="F1492" s="2" t="s">
        <v>3107</v>
      </c>
      <c r="G1492" s="2" t="b">
        <f>COUNTIF(MASTER!$A$2:$A$1944,F1492)=0</f>
        <v>1</v>
      </c>
      <c r="H1492" s="2"/>
      <c r="I1492" s="2" t="s">
        <v>3108</v>
      </c>
      <c r="J1492" s="2" t="b">
        <f>COUNTIF(MASTER!$L$2:$L$1944,I1492)=0</f>
        <v>1</v>
      </c>
    </row>
    <row r="1493" spans="6:10" x14ac:dyDescent="0.35">
      <c r="F1493" s="2" t="s">
        <v>3109</v>
      </c>
      <c r="G1493" s="2" t="b">
        <f>COUNTIF(MASTER!$A$2:$A$1944,F1493)=0</f>
        <v>1</v>
      </c>
      <c r="H1493" s="2"/>
      <c r="I1493" s="2" t="s">
        <v>3110</v>
      </c>
      <c r="J1493" s="2" t="b">
        <f>COUNTIF(MASTER!$L$2:$L$1944,I1493)=0</f>
        <v>1</v>
      </c>
    </row>
    <row r="1494" spans="6:10" x14ac:dyDescent="0.35">
      <c r="F1494" s="2" t="s">
        <v>3111</v>
      </c>
      <c r="G1494" s="2" t="b">
        <f>COUNTIF(MASTER!$A$2:$A$1944,F1494)=0</f>
        <v>1</v>
      </c>
      <c r="H1494" s="2"/>
      <c r="I1494" s="2" t="s">
        <v>3112</v>
      </c>
      <c r="J1494" s="2" t="b">
        <f>COUNTIF(MASTER!$L$2:$L$1944,I1494)=0</f>
        <v>1</v>
      </c>
    </row>
    <row r="1495" spans="6:10" x14ac:dyDescent="0.35">
      <c r="F1495" s="2" t="s">
        <v>3113</v>
      </c>
      <c r="G1495" s="2" t="b">
        <f>COUNTIF(MASTER!$A$2:$A$1944,F1495)=0</f>
        <v>1</v>
      </c>
      <c r="H1495" s="2"/>
      <c r="I1495" s="2" t="s">
        <v>3114</v>
      </c>
      <c r="J1495" s="2" t="b">
        <f>COUNTIF(MASTER!$L$2:$L$1944,I1495)=0</f>
        <v>1</v>
      </c>
    </row>
    <row r="1496" spans="6:10" x14ac:dyDescent="0.35">
      <c r="F1496" s="2" t="s">
        <v>3115</v>
      </c>
      <c r="G1496" s="2" t="b">
        <f>COUNTIF(MASTER!$A$2:$A$1944,F1496)=0</f>
        <v>1</v>
      </c>
      <c r="H1496" s="2"/>
      <c r="I1496" s="2" t="s">
        <v>3116</v>
      </c>
      <c r="J1496" s="2" t="b">
        <f>COUNTIF(MASTER!$L$2:$L$1944,I1496)=0</f>
        <v>1</v>
      </c>
    </row>
    <row r="1497" spans="6:10" x14ac:dyDescent="0.35">
      <c r="F1497" s="2" t="s">
        <v>3117</v>
      </c>
      <c r="G1497" s="2" t="b">
        <f>COUNTIF(MASTER!$A$2:$A$1944,F1497)=0</f>
        <v>1</v>
      </c>
      <c r="H1497" s="2"/>
      <c r="I1497" s="2" t="s">
        <v>3118</v>
      </c>
      <c r="J1497" s="2" t="b">
        <f>COUNTIF(MASTER!$L$2:$L$1944,I1497)=0</f>
        <v>1</v>
      </c>
    </row>
    <row r="1498" spans="6:10" x14ac:dyDescent="0.35">
      <c r="F1498" s="2" t="s">
        <v>3119</v>
      </c>
      <c r="G1498" s="2" t="b">
        <f>COUNTIF(MASTER!$A$2:$A$1944,F1498)=0</f>
        <v>1</v>
      </c>
      <c r="H1498" s="2"/>
      <c r="I1498" s="2" t="s">
        <v>3120</v>
      </c>
      <c r="J1498" s="2" t="b">
        <f>COUNTIF(MASTER!$L$2:$L$1944,I1498)=0</f>
        <v>1</v>
      </c>
    </row>
    <row r="1499" spans="6:10" x14ac:dyDescent="0.35">
      <c r="F1499" s="2" t="s">
        <v>3121</v>
      </c>
      <c r="G1499" s="2" t="b">
        <f>COUNTIF(MASTER!$A$2:$A$1944,F1499)=0</f>
        <v>1</v>
      </c>
      <c r="H1499" s="2"/>
      <c r="I1499" s="2" t="s">
        <v>3122</v>
      </c>
      <c r="J1499" s="2" t="b">
        <f>COUNTIF(MASTER!$L$2:$L$1944,I1499)=0</f>
        <v>1</v>
      </c>
    </row>
    <row r="1500" spans="6:10" x14ac:dyDescent="0.35">
      <c r="F1500" s="2" t="s">
        <v>3123</v>
      </c>
      <c r="G1500" s="2" t="b">
        <f>COUNTIF(MASTER!$A$2:$A$1944,F1500)=0</f>
        <v>1</v>
      </c>
      <c r="H1500" s="2"/>
      <c r="I1500" s="2" t="s">
        <v>3124</v>
      </c>
      <c r="J1500" s="2" t="b">
        <f>COUNTIF(MASTER!$L$2:$L$1944,I1500)=0</f>
        <v>1</v>
      </c>
    </row>
    <row r="1501" spans="6:10" x14ac:dyDescent="0.35">
      <c r="F1501" s="2" t="s">
        <v>3125</v>
      </c>
      <c r="G1501" s="2" t="b">
        <f>COUNTIF(MASTER!$A$2:$A$1944,F1501)=0</f>
        <v>1</v>
      </c>
      <c r="H1501" s="2"/>
      <c r="I1501" s="2" t="s">
        <v>3126</v>
      </c>
      <c r="J1501" s="2" t="b">
        <f>COUNTIF(MASTER!$L$2:$L$1944,I1501)=0</f>
        <v>1</v>
      </c>
    </row>
    <row r="1502" spans="6:10" x14ac:dyDescent="0.35">
      <c r="F1502" s="2" t="s">
        <v>3127</v>
      </c>
      <c r="G1502" s="2" t="b">
        <f>COUNTIF(MASTER!$A$2:$A$1944,F1502)=0</f>
        <v>1</v>
      </c>
      <c r="H1502" s="2"/>
      <c r="I1502" s="2" t="s">
        <v>3128</v>
      </c>
      <c r="J1502" s="2" t="b">
        <f>COUNTIF(MASTER!$L$2:$L$1944,I1502)=0</f>
        <v>1</v>
      </c>
    </row>
    <row r="1503" spans="6:10" x14ac:dyDescent="0.35">
      <c r="F1503" s="2" t="s">
        <v>3129</v>
      </c>
      <c r="G1503" s="2" t="b">
        <f>COUNTIF(MASTER!$A$2:$A$1944,F1503)=0</f>
        <v>1</v>
      </c>
      <c r="H1503" s="2"/>
      <c r="I1503" s="2" t="s">
        <v>3130</v>
      </c>
      <c r="J1503" s="2" t="b">
        <f>COUNTIF(MASTER!$L$2:$L$1944,I1503)=0</f>
        <v>1</v>
      </c>
    </row>
    <row r="1504" spans="6:10" x14ac:dyDescent="0.35">
      <c r="F1504" s="2" t="s">
        <v>3131</v>
      </c>
      <c r="G1504" s="2" t="b">
        <f>COUNTIF(MASTER!$A$2:$A$1944,F1504)=0</f>
        <v>1</v>
      </c>
      <c r="H1504" s="2"/>
      <c r="I1504" s="2" t="s">
        <v>3132</v>
      </c>
      <c r="J1504" s="2" t="b">
        <f>COUNTIF(MASTER!$L$2:$L$1944,I1504)=0</f>
        <v>1</v>
      </c>
    </row>
    <row r="1505" spans="6:10" x14ac:dyDescent="0.35">
      <c r="F1505" s="2" t="s">
        <v>3133</v>
      </c>
      <c r="G1505" s="2" t="b">
        <f>COUNTIF(MASTER!$A$2:$A$1944,F1505)=0</f>
        <v>1</v>
      </c>
      <c r="H1505" s="2"/>
      <c r="I1505" s="2" t="s">
        <v>3134</v>
      </c>
      <c r="J1505" s="2" t="b">
        <f>COUNTIF(MASTER!$L$2:$L$1944,I1505)=0</f>
        <v>1</v>
      </c>
    </row>
    <row r="1506" spans="6:10" x14ac:dyDescent="0.35">
      <c r="F1506" s="2" t="s">
        <v>3135</v>
      </c>
      <c r="G1506" s="2" t="b">
        <f>COUNTIF(MASTER!$A$2:$A$1944,F1506)=0</f>
        <v>1</v>
      </c>
      <c r="H1506" s="2"/>
      <c r="I1506" s="2" t="s">
        <v>3136</v>
      </c>
      <c r="J1506" s="2" t="b">
        <f>COUNTIF(MASTER!$L$2:$L$1944,I1506)=0</f>
        <v>1</v>
      </c>
    </row>
    <row r="1507" spans="6:10" x14ac:dyDescent="0.35">
      <c r="F1507" s="2" t="s">
        <v>3137</v>
      </c>
      <c r="G1507" s="2" t="b">
        <f>COUNTIF(MASTER!$A$2:$A$1944,F1507)=0</f>
        <v>1</v>
      </c>
      <c r="H1507" s="2"/>
      <c r="I1507" s="2" t="s">
        <v>3138</v>
      </c>
      <c r="J1507" s="2" t="b">
        <f>COUNTIF(MASTER!$L$2:$L$1944,I1507)=0</f>
        <v>1</v>
      </c>
    </row>
    <row r="1508" spans="6:10" x14ac:dyDescent="0.35">
      <c r="F1508" s="2" t="s">
        <v>3139</v>
      </c>
      <c r="G1508" s="2" t="b">
        <f>COUNTIF(MASTER!$A$2:$A$1944,F1508)=0</f>
        <v>1</v>
      </c>
      <c r="H1508" s="2"/>
      <c r="I1508" s="2" t="s">
        <v>3140</v>
      </c>
      <c r="J1508" s="2" t="b">
        <f>COUNTIF(MASTER!$L$2:$L$1944,I1508)=0</f>
        <v>1</v>
      </c>
    </row>
    <row r="1509" spans="6:10" x14ac:dyDescent="0.35">
      <c r="F1509" s="2" t="s">
        <v>3141</v>
      </c>
      <c r="G1509" s="2" t="b">
        <f>COUNTIF(MASTER!$A$2:$A$1944,F1509)=0</f>
        <v>1</v>
      </c>
      <c r="H1509" s="2"/>
      <c r="I1509" s="2" t="s">
        <v>3142</v>
      </c>
      <c r="J1509" s="2" t="b">
        <f>COUNTIF(MASTER!$L$2:$L$1944,I1509)=0</f>
        <v>1</v>
      </c>
    </row>
    <row r="1510" spans="6:10" x14ac:dyDescent="0.35">
      <c r="F1510" s="2" t="s">
        <v>3143</v>
      </c>
      <c r="G1510" s="2" t="b">
        <f>COUNTIF(MASTER!$A$2:$A$1944,F1510)=0</f>
        <v>1</v>
      </c>
      <c r="H1510" s="2"/>
      <c r="I1510" s="2" t="s">
        <v>3144</v>
      </c>
      <c r="J1510" s="2" t="b">
        <f>COUNTIF(MASTER!$L$2:$L$1944,I1510)=0</f>
        <v>1</v>
      </c>
    </row>
    <row r="1511" spans="6:10" x14ac:dyDescent="0.35">
      <c r="F1511" s="2" t="s">
        <v>3145</v>
      </c>
      <c r="G1511" s="2" t="b">
        <f>COUNTIF(MASTER!$A$2:$A$1944,F1511)=0</f>
        <v>1</v>
      </c>
      <c r="H1511" s="2"/>
      <c r="I1511" s="2" t="s">
        <v>3146</v>
      </c>
      <c r="J1511" s="2" t="b">
        <f>COUNTIF(MASTER!$L$2:$L$1944,I1511)=0</f>
        <v>1</v>
      </c>
    </row>
    <row r="1512" spans="6:10" x14ac:dyDescent="0.35">
      <c r="F1512" s="2" t="s">
        <v>3147</v>
      </c>
      <c r="G1512" s="2" t="b">
        <f>COUNTIF(MASTER!$A$2:$A$1944,F1512)=0</f>
        <v>1</v>
      </c>
      <c r="H1512" s="2"/>
      <c r="I1512" s="2" t="s">
        <v>3148</v>
      </c>
      <c r="J1512" s="2" t="b">
        <f>COUNTIF(MASTER!$L$2:$L$1944,I1512)=0</f>
        <v>1</v>
      </c>
    </row>
    <row r="1513" spans="6:10" x14ac:dyDescent="0.35">
      <c r="F1513" s="2" t="s">
        <v>3149</v>
      </c>
      <c r="G1513" s="2" t="b">
        <f>COUNTIF(MASTER!$A$2:$A$1944,F1513)=0</f>
        <v>1</v>
      </c>
      <c r="H1513" s="2"/>
      <c r="I1513" s="2" t="s">
        <v>3150</v>
      </c>
      <c r="J1513" s="2" t="b">
        <f>COUNTIF(MASTER!$L$2:$L$1944,I1513)=0</f>
        <v>1</v>
      </c>
    </row>
    <row r="1514" spans="6:10" x14ac:dyDescent="0.35">
      <c r="F1514" s="2" t="s">
        <v>3151</v>
      </c>
      <c r="G1514" s="2" t="b">
        <f>COUNTIF(MASTER!$A$2:$A$1944,F1514)=0</f>
        <v>1</v>
      </c>
      <c r="H1514" s="2"/>
      <c r="I1514" s="2" t="s">
        <v>3152</v>
      </c>
      <c r="J1514" s="2" t="b">
        <f>COUNTIF(MASTER!$L$2:$L$1944,I1514)=0</f>
        <v>1</v>
      </c>
    </row>
    <row r="1515" spans="6:10" x14ac:dyDescent="0.35">
      <c r="F1515" s="2" t="s">
        <v>3153</v>
      </c>
      <c r="G1515" s="2" t="b">
        <f>COUNTIF(MASTER!$A$2:$A$1944,F1515)=0</f>
        <v>1</v>
      </c>
      <c r="H1515" s="2"/>
      <c r="I1515" s="2" t="s">
        <v>3154</v>
      </c>
      <c r="J1515" s="2" t="b">
        <f>COUNTIF(MASTER!$L$2:$L$1944,I1515)=0</f>
        <v>1</v>
      </c>
    </row>
    <row r="1516" spans="6:10" x14ac:dyDescent="0.35">
      <c r="F1516" s="2" t="s">
        <v>3155</v>
      </c>
      <c r="G1516" s="2" t="b">
        <f>COUNTIF(MASTER!$A$2:$A$1944,F1516)=0</f>
        <v>1</v>
      </c>
      <c r="H1516" s="2"/>
      <c r="I1516" s="2" t="s">
        <v>3156</v>
      </c>
      <c r="J1516" s="2" t="b">
        <f>COUNTIF(MASTER!$L$2:$L$1944,I1516)=0</f>
        <v>1</v>
      </c>
    </row>
    <row r="1517" spans="6:10" x14ac:dyDescent="0.35">
      <c r="F1517" s="2" t="s">
        <v>3157</v>
      </c>
      <c r="G1517" s="2" t="b">
        <f>COUNTIF(MASTER!$A$2:$A$1944,F1517)=0</f>
        <v>1</v>
      </c>
      <c r="H1517" s="2"/>
      <c r="I1517" s="2" t="s">
        <v>3158</v>
      </c>
      <c r="J1517" s="2" t="b">
        <f>COUNTIF(MASTER!$L$2:$L$1944,I1517)=0</f>
        <v>1</v>
      </c>
    </row>
    <row r="1518" spans="6:10" x14ac:dyDescent="0.35">
      <c r="F1518" s="2" t="s">
        <v>3159</v>
      </c>
      <c r="G1518" s="2" t="b">
        <f>COUNTIF(MASTER!$A$2:$A$1944,F1518)=0</f>
        <v>1</v>
      </c>
      <c r="H1518" s="2"/>
      <c r="I1518" s="2" t="s">
        <v>3160</v>
      </c>
      <c r="J1518" s="2" t="b">
        <f>COUNTIF(MASTER!$L$2:$L$1944,I1518)=0</f>
        <v>1</v>
      </c>
    </row>
    <row r="1519" spans="6:10" x14ac:dyDescent="0.35">
      <c r="F1519" s="2" t="s">
        <v>3161</v>
      </c>
      <c r="G1519" s="2" t="b">
        <f>COUNTIF(MASTER!$A$2:$A$1944,F1519)=0</f>
        <v>1</v>
      </c>
      <c r="H1519" s="2"/>
      <c r="I1519" s="2" t="s">
        <v>3162</v>
      </c>
      <c r="J1519" s="2" t="b">
        <f>COUNTIF(MASTER!$L$2:$L$1944,I1519)=0</f>
        <v>1</v>
      </c>
    </row>
    <row r="1520" spans="6:10" x14ac:dyDescent="0.35">
      <c r="F1520" s="2" t="s">
        <v>3163</v>
      </c>
      <c r="G1520" s="2" t="b">
        <f>COUNTIF(MASTER!$A$2:$A$1944,F1520)=0</f>
        <v>1</v>
      </c>
      <c r="H1520" s="2"/>
      <c r="I1520" s="2" t="s">
        <v>3164</v>
      </c>
      <c r="J1520" s="2" t="b">
        <f>COUNTIF(MASTER!$L$2:$L$1944,I1520)=0</f>
        <v>1</v>
      </c>
    </row>
    <row r="1521" spans="6:10" x14ac:dyDescent="0.35">
      <c r="F1521" s="2" t="s">
        <v>3165</v>
      </c>
      <c r="G1521" s="2" t="b">
        <f>COUNTIF(MASTER!$A$2:$A$1944,F1521)=0</f>
        <v>1</v>
      </c>
      <c r="H1521" s="2"/>
      <c r="I1521" s="2" t="s">
        <v>3166</v>
      </c>
      <c r="J1521" s="2" t="b">
        <f>COUNTIF(MASTER!$L$2:$L$1944,I1521)=0</f>
        <v>1</v>
      </c>
    </row>
    <row r="1522" spans="6:10" x14ac:dyDescent="0.35">
      <c r="F1522" s="2" t="s">
        <v>3167</v>
      </c>
      <c r="G1522" s="2" t="b">
        <f>COUNTIF(MASTER!$A$2:$A$1944,F1522)=0</f>
        <v>1</v>
      </c>
      <c r="H1522" s="2"/>
      <c r="I1522" s="2" t="s">
        <v>3168</v>
      </c>
      <c r="J1522" s="2" t="b">
        <f>COUNTIF(MASTER!$L$2:$L$1944,I1522)=0</f>
        <v>1</v>
      </c>
    </row>
    <row r="1523" spans="6:10" x14ac:dyDescent="0.35">
      <c r="F1523" s="2" t="s">
        <v>3169</v>
      </c>
      <c r="G1523" s="2" t="b">
        <f>COUNTIF(MASTER!$A$2:$A$1944,F1523)=0</f>
        <v>1</v>
      </c>
      <c r="H1523" s="2"/>
      <c r="I1523" s="2" t="s">
        <v>3170</v>
      </c>
      <c r="J1523" s="2" t="b">
        <f>COUNTIF(MASTER!$L$2:$L$1944,I1523)=0</f>
        <v>1</v>
      </c>
    </row>
    <row r="1524" spans="6:10" x14ac:dyDescent="0.35">
      <c r="F1524" s="2" t="s">
        <v>3171</v>
      </c>
      <c r="G1524" s="2" t="b">
        <f>COUNTIF(MASTER!$A$2:$A$1944,F1524)=0</f>
        <v>1</v>
      </c>
      <c r="H1524" s="2"/>
      <c r="I1524" s="2" t="s">
        <v>3172</v>
      </c>
      <c r="J1524" s="2" t="b">
        <f>COUNTIF(MASTER!$L$2:$L$1944,I1524)=0</f>
        <v>1</v>
      </c>
    </row>
    <row r="1525" spans="6:10" x14ac:dyDescent="0.35">
      <c r="F1525" s="2" t="s">
        <v>3173</v>
      </c>
      <c r="G1525" s="2" t="b">
        <f>COUNTIF(MASTER!$A$2:$A$1944,F1525)=0</f>
        <v>1</v>
      </c>
      <c r="H1525" s="2"/>
      <c r="I1525" s="2" t="s">
        <v>3174</v>
      </c>
      <c r="J1525" s="2" t="b">
        <f>COUNTIF(MASTER!$L$2:$L$1944,I1525)=0</f>
        <v>1</v>
      </c>
    </row>
    <row r="1526" spans="6:10" x14ac:dyDescent="0.35">
      <c r="F1526" s="2" t="s">
        <v>3175</v>
      </c>
      <c r="G1526" s="2" t="b">
        <f>COUNTIF(MASTER!$A$2:$A$1944,F1526)=0</f>
        <v>1</v>
      </c>
      <c r="H1526" s="2"/>
      <c r="I1526" s="2" t="s">
        <v>3176</v>
      </c>
      <c r="J1526" s="2" t="b">
        <f>COUNTIF(MASTER!$L$2:$L$1944,I1526)=0</f>
        <v>1</v>
      </c>
    </row>
    <row r="1527" spans="6:10" x14ac:dyDescent="0.35">
      <c r="F1527" s="2" t="s">
        <v>3177</v>
      </c>
      <c r="G1527" s="2" t="b">
        <f>COUNTIF(MASTER!$A$2:$A$1944,F1527)=0</f>
        <v>1</v>
      </c>
      <c r="H1527" s="2"/>
      <c r="I1527" s="2" t="s">
        <v>3178</v>
      </c>
      <c r="J1527" s="2" t="b">
        <f>COUNTIF(MASTER!$L$2:$L$1944,I1527)=0</f>
        <v>1</v>
      </c>
    </row>
    <row r="1528" spans="6:10" x14ac:dyDescent="0.35">
      <c r="F1528" s="2" t="s">
        <v>3179</v>
      </c>
      <c r="G1528" s="2" t="b">
        <f>COUNTIF(MASTER!$A$2:$A$1944,F1528)=0</f>
        <v>1</v>
      </c>
      <c r="H1528" s="2"/>
      <c r="I1528" s="2" t="s">
        <v>3180</v>
      </c>
      <c r="J1528" s="2" t="b">
        <f>COUNTIF(MASTER!$L$2:$L$1944,I1528)=0</f>
        <v>1</v>
      </c>
    </row>
    <row r="1529" spans="6:10" x14ac:dyDescent="0.35">
      <c r="F1529" s="2" t="s">
        <v>3181</v>
      </c>
      <c r="G1529" s="2" t="b">
        <f>COUNTIF(MASTER!$A$2:$A$1944,F1529)=0</f>
        <v>1</v>
      </c>
      <c r="H1529" s="2"/>
      <c r="I1529" s="2" t="s">
        <v>3182</v>
      </c>
      <c r="J1529" s="2" t="b">
        <f>COUNTIF(MASTER!$L$2:$L$1944,I1529)=0</f>
        <v>1</v>
      </c>
    </row>
    <row r="1530" spans="6:10" x14ac:dyDescent="0.35">
      <c r="F1530" s="2" t="s">
        <v>3183</v>
      </c>
      <c r="G1530" s="2" t="b">
        <f>COUNTIF(MASTER!$A$2:$A$1944,F1530)=0</f>
        <v>1</v>
      </c>
      <c r="H1530" s="2"/>
      <c r="I1530" s="2" t="s">
        <v>3184</v>
      </c>
      <c r="J1530" s="2" t="b">
        <f>COUNTIF(MASTER!$L$2:$L$1944,I1530)=0</f>
        <v>1</v>
      </c>
    </row>
    <row r="1531" spans="6:10" x14ac:dyDescent="0.35">
      <c r="F1531" s="2" t="s">
        <v>3185</v>
      </c>
      <c r="G1531" s="2" t="b">
        <f>COUNTIF(MASTER!$A$2:$A$1944,F1531)=0</f>
        <v>1</v>
      </c>
      <c r="H1531" s="2"/>
      <c r="I1531" s="2" t="s">
        <v>3186</v>
      </c>
      <c r="J1531" s="2" t="b">
        <f>COUNTIF(MASTER!$L$2:$L$1944,I1531)=0</f>
        <v>1</v>
      </c>
    </row>
    <row r="1532" spans="6:10" x14ac:dyDescent="0.35">
      <c r="F1532" s="2" t="s">
        <v>3187</v>
      </c>
      <c r="G1532" s="2" t="b">
        <f>COUNTIF(MASTER!$A$2:$A$1944,F1532)=0</f>
        <v>1</v>
      </c>
      <c r="H1532" s="2"/>
      <c r="I1532" s="2" t="s">
        <v>3188</v>
      </c>
      <c r="J1532" s="2" t="b">
        <f>COUNTIF(MASTER!$L$2:$L$1944,I1532)=0</f>
        <v>1</v>
      </c>
    </row>
    <row r="1533" spans="6:10" x14ac:dyDescent="0.35">
      <c r="F1533" s="2" t="s">
        <v>3189</v>
      </c>
      <c r="G1533" s="2" t="b">
        <f>COUNTIF(MASTER!$A$2:$A$1944,F1533)=0</f>
        <v>1</v>
      </c>
      <c r="H1533" s="2"/>
      <c r="I1533" s="2" t="s">
        <v>3190</v>
      </c>
      <c r="J1533" s="2" t="b">
        <f>COUNTIF(MASTER!$L$2:$L$1944,I1533)=0</f>
        <v>1</v>
      </c>
    </row>
    <row r="1534" spans="6:10" x14ac:dyDescent="0.35">
      <c r="F1534" s="2" t="s">
        <v>3191</v>
      </c>
      <c r="G1534" s="2" t="b">
        <f>COUNTIF(MASTER!$A$2:$A$1944,F1534)=0</f>
        <v>1</v>
      </c>
      <c r="H1534" s="2"/>
      <c r="I1534" s="2" t="s">
        <v>3192</v>
      </c>
      <c r="J1534" s="2" t="b">
        <f>COUNTIF(MASTER!$L$2:$L$1944,I1534)=0</f>
        <v>1</v>
      </c>
    </row>
    <row r="1535" spans="6:10" x14ac:dyDescent="0.35">
      <c r="F1535" s="2" t="s">
        <v>3193</v>
      </c>
      <c r="G1535" s="2" t="b">
        <f>COUNTIF(MASTER!$A$2:$A$1944,F1535)=0</f>
        <v>1</v>
      </c>
      <c r="H1535" s="2"/>
      <c r="I1535" s="2" t="s">
        <v>3194</v>
      </c>
      <c r="J1535" s="2" t="b">
        <f>COUNTIF(MASTER!$L$2:$L$1944,I1535)=0</f>
        <v>1</v>
      </c>
    </row>
    <row r="1536" spans="6:10" x14ac:dyDescent="0.35">
      <c r="F1536" s="2" t="s">
        <v>3195</v>
      </c>
      <c r="G1536" s="2" t="b">
        <f>COUNTIF(MASTER!$A$2:$A$1944,F1536)=0</f>
        <v>1</v>
      </c>
      <c r="H1536" s="2"/>
      <c r="I1536" s="2" t="s">
        <v>3196</v>
      </c>
      <c r="J1536" s="2" t="b">
        <f>COUNTIF(MASTER!$L$2:$L$1944,I1536)=0</f>
        <v>1</v>
      </c>
    </row>
    <row r="1537" spans="6:10" x14ac:dyDescent="0.35">
      <c r="F1537" s="2" t="s">
        <v>3197</v>
      </c>
      <c r="G1537" s="2" t="b">
        <f>COUNTIF(MASTER!$A$2:$A$1944,F1537)=0</f>
        <v>1</v>
      </c>
      <c r="H1537" s="2"/>
      <c r="I1537" s="2" t="s">
        <v>3198</v>
      </c>
      <c r="J1537" s="2" t="b">
        <f>COUNTIF(MASTER!$L$2:$L$1944,I1537)=0</f>
        <v>1</v>
      </c>
    </row>
    <row r="1538" spans="6:10" x14ac:dyDescent="0.35">
      <c r="F1538" s="2" t="s">
        <v>3199</v>
      </c>
      <c r="G1538" s="2" t="b">
        <f>COUNTIF(MASTER!$A$2:$A$1944,F1538)=0</f>
        <v>1</v>
      </c>
      <c r="H1538" s="2"/>
      <c r="I1538" s="2" t="s">
        <v>3200</v>
      </c>
      <c r="J1538" s="2" t="b">
        <f>COUNTIF(MASTER!$L$2:$L$1944,I1538)=0</f>
        <v>1</v>
      </c>
    </row>
    <row r="1539" spans="6:10" x14ac:dyDescent="0.35">
      <c r="F1539" s="2" t="s">
        <v>3201</v>
      </c>
      <c r="G1539" s="2" t="b">
        <f>COUNTIF(MASTER!$A$2:$A$1944,F1539)=0</f>
        <v>1</v>
      </c>
      <c r="H1539" s="2"/>
      <c r="I1539" s="2" t="s">
        <v>3202</v>
      </c>
      <c r="J1539" s="2" t="b">
        <f>COUNTIF(MASTER!$L$2:$L$1944,I1539)=0</f>
        <v>1</v>
      </c>
    </row>
    <row r="1540" spans="6:10" x14ac:dyDescent="0.35">
      <c r="F1540" s="2" t="s">
        <v>3203</v>
      </c>
      <c r="G1540" s="2" t="b">
        <f>COUNTIF(MASTER!$A$2:$A$1944,F1540)=0</f>
        <v>1</v>
      </c>
      <c r="H1540" s="2"/>
      <c r="I1540" s="2" t="s">
        <v>3204</v>
      </c>
      <c r="J1540" s="2" t="b">
        <f>COUNTIF(MASTER!$L$2:$L$1944,I1540)=0</f>
        <v>1</v>
      </c>
    </row>
    <row r="1541" spans="6:10" x14ac:dyDescent="0.35">
      <c r="F1541" s="2" t="s">
        <v>3205</v>
      </c>
      <c r="G1541" s="2" t="b">
        <f>COUNTIF(MASTER!$A$2:$A$1944,F1541)=0</f>
        <v>1</v>
      </c>
      <c r="H1541" s="2"/>
      <c r="I1541" s="2" t="s">
        <v>3206</v>
      </c>
      <c r="J1541" s="2" t="b">
        <f>COUNTIF(MASTER!$L$2:$L$1944,I1541)=0</f>
        <v>1</v>
      </c>
    </row>
    <row r="1542" spans="6:10" x14ac:dyDescent="0.35">
      <c r="F1542" s="2" t="s">
        <v>3207</v>
      </c>
      <c r="G1542" s="2" t="b">
        <f>COUNTIF(MASTER!$A$2:$A$1944,F1542)=0</f>
        <v>1</v>
      </c>
      <c r="H1542" s="2"/>
      <c r="I1542" s="2" t="s">
        <v>3208</v>
      </c>
      <c r="J1542" s="2" t="b">
        <f>COUNTIF(MASTER!$L$2:$L$1944,I1542)=0</f>
        <v>1</v>
      </c>
    </row>
    <row r="1543" spans="6:10" x14ac:dyDescent="0.35">
      <c r="F1543" s="2" t="s">
        <v>3209</v>
      </c>
      <c r="G1543" s="2" t="b">
        <f>COUNTIF(MASTER!$A$2:$A$1944,F1543)=0</f>
        <v>1</v>
      </c>
      <c r="H1543" s="2"/>
      <c r="I1543" s="2" t="s">
        <v>3210</v>
      </c>
      <c r="J1543" s="2" t="b">
        <f>COUNTIF(MASTER!$L$2:$L$1944,I1543)=0</f>
        <v>1</v>
      </c>
    </row>
    <row r="1544" spans="6:10" x14ac:dyDescent="0.35">
      <c r="F1544" s="2" t="s">
        <v>3211</v>
      </c>
      <c r="G1544" s="2" t="b">
        <f>COUNTIF(MASTER!$A$2:$A$1944,F1544)=0</f>
        <v>1</v>
      </c>
      <c r="H1544" s="2"/>
      <c r="I1544" s="2" t="s">
        <v>3212</v>
      </c>
      <c r="J1544" s="2" t="b">
        <f>COUNTIF(MASTER!$L$2:$L$1944,I1544)=0</f>
        <v>1</v>
      </c>
    </row>
    <row r="1545" spans="6:10" x14ac:dyDescent="0.35">
      <c r="F1545" s="2" t="s">
        <v>3213</v>
      </c>
      <c r="G1545" s="2" t="b">
        <f>COUNTIF(MASTER!$A$2:$A$1944,F1545)=0</f>
        <v>1</v>
      </c>
      <c r="H1545" s="2"/>
      <c r="I1545" s="2" t="s">
        <v>3214</v>
      </c>
      <c r="J1545" s="2" t="b">
        <f>COUNTIF(MASTER!$L$2:$L$1944,I1545)=0</f>
        <v>1</v>
      </c>
    </row>
    <row r="1546" spans="6:10" x14ac:dyDescent="0.35">
      <c r="F1546" s="2" t="s">
        <v>3215</v>
      </c>
      <c r="G1546" s="2" t="b">
        <f>COUNTIF(MASTER!$A$2:$A$1944,F1546)=0</f>
        <v>1</v>
      </c>
      <c r="H1546" s="2"/>
      <c r="I1546" s="2" t="s">
        <v>3216</v>
      </c>
      <c r="J1546" s="2" t="b">
        <f>COUNTIF(MASTER!$L$2:$L$1944,I1546)=0</f>
        <v>1</v>
      </c>
    </row>
    <row r="1547" spans="6:10" x14ac:dyDescent="0.35">
      <c r="F1547" s="2" t="s">
        <v>3217</v>
      </c>
      <c r="G1547" s="2" t="b">
        <f>COUNTIF(MASTER!$A$2:$A$1944,F1547)=0</f>
        <v>1</v>
      </c>
      <c r="H1547" s="2"/>
      <c r="I1547" s="2" t="s">
        <v>3218</v>
      </c>
      <c r="J1547" s="2" t="b">
        <f>COUNTIF(MASTER!$L$2:$L$1944,I1547)=0</f>
        <v>1</v>
      </c>
    </row>
    <row r="1548" spans="6:10" x14ac:dyDescent="0.35">
      <c r="F1548" s="2" t="s">
        <v>3219</v>
      </c>
      <c r="G1548" s="2" t="b">
        <f>COUNTIF(MASTER!$A$2:$A$1944,F1548)=0</f>
        <v>1</v>
      </c>
      <c r="H1548" s="2"/>
      <c r="I1548" s="2" t="s">
        <v>3220</v>
      </c>
      <c r="J1548" s="2" t="b">
        <f>COUNTIF(MASTER!$L$2:$L$1944,I1548)=0</f>
        <v>1</v>
      </c>
    </row>
    <row r="1549" spans="6:10" x14ac:dyDescent="0.35">
      <c r="F1549" s="2" t="s">
        <v>3221</v>
      </c>
      <c r="G1549" s="2" t="b">
        <f>COUNTIF(MASTER!$A$2:$A$1944,F1549)=0</f>
        <v>1</v>
      </c>
      <c r="H1549" s="2"/>
      <c r="I1549" s="2" t="s">
        <v>3222</v>
      </c>
      <c r="J1549" s="2" t="b">
        <f>COUNTIF(MASTER!$L$2:$L$1944,I1549)=0</f>
        <v>1</v>
      </c>
    </row>
    <row r="1550" spans="6:10" x14ac:dyDescent="0.35">
      <c r="F1550" s="2" t="s">
        <v>3223</v>
      </c>
      <c r="G1550" s="2" t="b">
        <f>COUNTIF(MASTER!$A$2:$A$1944,F1550)=0</f>
        <v>1</v>
      </c>
      <c r="H1550" s="2"/>
      <c r="I1550" s="2" t="s">
        <v>3224</v>
      </c>
      <c r="J1550" s="2" t="b">
        <f>COUNTIF(MASTER!$L$2:$L$1944,I1550)=0</f>
        <v>1</v>
      </c>
    </row>
    <row r="1551" spans="6:10" x14ac:dyDescent="0.35">
      <c r="F1551" s="2" t="s">
        <v>3225</v>
      </c>
      <c r="G1551" s="2" t="b">
        <f>COUNTIF(MASTER!$A$2:$A$1944,F1551)=0</f>
        <v>1</v>
      </c>
      <c r="H1551" s="2"/>
      <c r="I1551" s="2" t="s">
        <v>3226</v>
      </c>
      <c r="J1551" s="2" t="b">
        <f>COUNTIF(MASTER!$L$2:$L$1944,I1551)=0</f>
        <v>1</v>
      </c>
    </row>
    <row r="1552" spans="6:10" x14ac:dyDescent="0.35">
      <c r="F1552" s="2" t="s">
        <v>3227</v>
      </c>
      <c r="G1552" s="2" t="b">
        <f>COUNTIF(MASTER!$A$2:$A$1944,F1552)=0</f>
        <v>1</v>
      </c>
      <c r="H1552" s="2"/>
      <c r="I1552" s="2" t="s">
        <v>3228</v>
      </c>
      <c r="J1552" s="2" t="b">
        <f>COUNTIF(MASTER!$L$2:$L$1944,I1552)=0</f>
        <v>1</v>
      </c>
    </row>
    <row r="1553" spans="6:10" x14ac:dyDescent="0.35">
      <c r="F1553" s="2" t="s">
        <v>3229</v>
      </c>
      <c r="G1553" s="2" t="b">
        <f>COUNTIF(MASTER!$A$2:$A$1944,F1553)=0</f>
        <v>1</v>
      </c>
      <c r="H1553" s="2"/>
      <c r="I1553" s="2" t="s">
        <v>3230</v>
      </c>
      <c r="J1553" s="2" t="b">
        <f>COUNTIF(MASTER!$L$2:$L$1944,I1553)=0</f>
        <v>1</v>
      </c>
    </row>
    <row r="1554" spans="6:10" x14ac:dyDescent="0.35">
      <c r="F1554" s="2" t="s">
        <v>3231</v>
      </c>
      <c r="G1554" s="2" t="b">
        <f>COUNTIF(MASTER!$A$2:$A$1944,F1554)=0</f>
        <v>1</v>
      </c>
      <c r="H1554" s="2"/>
      <c r="I1554" s="2" t="s">
        <v>3232</v>
      </c>
      <c r="J1554" s="2" t="b">
        <f>COUNTIF(MASTER!$L$2:$L$1944,I1554)=0</f>
        <v>1</v>
      </c>
    </row>
    <row r="1555" spans="6:10" x14ac:dyDescent="0.35">
      <c r="F1555" s="2" t="s">
        <v>3233</v>
      </c>
      <c r="G1555" s="2" t="b">
        <f>COUNTIF(MASTER!$A$2:$A$1944,F1555)=0</f>
        <v>1</v>
      </c>
      <c r="H1555" s="2"/>
      <c r="I1555" s="2" t="s">
        <v>3234</v>
      </c>
      <c r="J1555" s="2" t="b">
        <f>COUNTIF(MASTER!$L$2:$L$1944,I1555)=0</f>
        <v>1</v>
      </c>
    </row>
    <row r="1556" spans="6:10" x14ac:dyDescent="0.35">
      <c r="F1556" s="2" t="s">
        <v>3235</v>
      </c>
      <c r="G1556" s="2" t="b">
        <f>COUNTIF(MASTER!$A$2:$A$1944,F1556)=0</f>
        <v>1</v>
      </c>
      <c r="H1556" s="2"/>
      <c r="I1556" s="2" t="s">
        <v>3236</v>
      </c>
      <c r="J1556" s="2" t="b">
        <f>COUNTIF(MASTER!$L$2:$L$1944,I1556)=0</f>
        <v>1</v>
      </c>
    </row>
    <row r="1557" spans="6:10" x14ac:dyDescent="0.35">
      <c r="F1557" s="2" t="s">
        <v>3237</v>
      </c>
      <c r="G1557" s="2" t="b">
        <f>COUNTIF(MASTER!$A$2:$A$1944,F1557)=0</f>
        <v>1</v>
      </c>
      <c r="H1557" s="2"/>
      <c r="I1557" s="2" t="s">
        <v>3238</v>
      </c>
      <c r="J1557" s="2" t="b">
        <f>COUNTIF(MASTER!$L$2:$L$1944,I1557)=0</f>
        <v>1</v>
      </c>
    </row>
    <row r="1558" spans="6:10" x14ac:dyDescent="0.35">
      <c r="F1558" s="2" t="s">
        <v>3239</v>
      </c>
      <c r="G1558" s="2" t="b">
        <f>COUNTIF(MASTER!$A$2:$A$1944,F1558)=0</f>
        <v>1</v>
      </c>
      <c r="H1558" s="2"/>
      <c r="I1558" s="2" t="s">
        <v>3240</v>
      </c>
      <c r="J1558" s="2" t="b">
        <f>COUNTIF(MASTER!$L$2:$L$1944,I1558)=0</f>
        <v>1</v>
      </c>
    </row>
    <row r="1559" spans="6:10" x14ac:dyDescent="0.35">
      <c r="F1559" s="2" t="s">
        <v>3241</v>
      </c>
      <c r="G1559" s="2" t="b">
        <f>COUNTIF(MASTER!$A$2:$A$1944,F1559)=0</f>
        <v>1</v>
      </c>
      <c r="H1559" s="2"/>
      <c r="I1559" s="2" t="s">
        <v>3242</v>
      </c>
      <c r="J1559" s="2" t="b">
        <f>COUNTIF(MASTER!$L$2:$L$1944,I1559)=0</f>
        <v>1</v>
      </c>
    </row>
    <row r="1560" spans="6:10" x14ac:dyDescent="0.35">
      <c r="F1560" s="2" t="s">
        <v>3243</v>
      </c>
      <c r="G1560" s="2" t="b">
        <f>COUNTIF(MASTER!$A$2:$A$1944,F1560)=0</f>
        <v>1</v>
      </c>
      <c r="H1560" s="2"/>
      <c r="I1560" s="2" t="s">
        <v>3244</v>
      </c>
      <c r="J1560" s="2" t="b">
        <f>COUNTIF(MASTER!$L$2:$L$1944,I1560)=0</f>
        <v>1</v>
      </c>
    </row>
    <row r="1561" spans="6:10" x14ac:dyDescent="0.35">
      <c r="F1561" s="2" t="s">
        <v>3245</v>
      </c>
      <c r="G1561" s="2" t="b">
        <f>COUNTIF(MASTER!$A$2:$A$1944,F1561)=0</f>
        <v>1</v>
      </c>
      <c r="H1561" s="2"/>
      <c r="I1561" s="2" t="s">
        <v>3246</v>
      </c>
      <c r="J1561" s="2" t="b">
        <f>COUNTIF(MASTER!$L$2:$L$1944,I1561)=0</f>
        <v>1</v>
      </c>
    </row>
    <row r="1562" spans="6:10" x14ac:dyDescent="0.35">
      <c r="F1562" s="2" t="s">
        <v>3247</v>
      </c>
      <c r="G1562" s="2" t="b">
        <f>COUNTIF(MASTER!$A$2:$A$1944,F1562)=0</f>
        <v>1</v>
      </c>
      <c r="H1562" s="2"/>
      <c r="I1562" s="2" t="s">
        <v>3248</v>
      </c>
      <c r="J1562" s="2" t="b">
        <f>COUNTIF(MASTER!$L$2:$L$1944,I1562)=0</f>
        <v>1</v>
      </c>
    </row>
    <row r="1563" spans="6:10" x14ac:dyDescent="0.35">
      <c r="F1563" s="2" t="s">
        <v>3249</v>
      </c>
      <c r="G1563" s="2" t="b">
        <f>COUNTIF(MASTER!$A$2:$A$1944,F1563)=0</f>
        <v>1</v>
      </c>
      <c r="H1563" s="2"/>
      <c r="I1563" s="2" t="s">
        <v>3250</v>
      </c>
      <c r="J1563" s="2" t="b">
        <f>COUNTIF(MASTER!$L$2:$L$1944,I1563)=0</f>
        <v>1</v>
      </c>
    </row>
    <row r="1564" spans="6:10" x14ac:dyDescent="0.35">
      <c r="F1564" s="2" t="s">
        <v>3251</v>
      </c>
      <c r="G1564" s="2" t="b">
        <f>COUNTIF(MASTER!$A$2:$A$1944,F1564)=0</f>
        <v>1</v>
      </c>
      <c r="H1564" s="2"/>
      <c r="I1564" s="2" t="s">
        <v>3252</v>
      </c>
      <c r="J1564" s="2" t="b">
        <f>COUNTIF(MASTER!$L$2:$L$1944,I1564)=0</f>
        <v>1</v>
      </c>
    </row>
    <row r="1565" spans="6:10" x14ac:dyDescent="0.35">
      <c r="F1565" s="2" t="s">
        <v>3253</v>
      </c>
      <c r="G1565" s="2" t="b">
        <f>COUNTIF(MASTER!$A$2:$A$1944,F1565)=0</f>
        <v>1</v>
      </c>
      <c r="H1565" s="2"/>
      <c r="I1565" s="2" t="s">
        <v>3254</v>
      </c>
      <c r="J1565" s="2" t="b">
        <f>COUNTIF(MASTER!$L$2:$L$1944,I1565)=0</f>
        <v>1</v>
      </c>
    </row>
    <row r="1566" spans="6:10" x14ac:dyDescent="0.35">
      <c r="F1566" s="2" t="s">
        <v>3255</v>
      </c>
      <c r="G1566" s="2" t="b">
        <f>COUNTIF(MASTER!$A$2:$A$1944,F1566)=0</f>
        <v>1</v>
      </c>
      <c r="H1566" s="2"/>
      <c r="I1566" s="2" t="s">
        <v>3256</v>
      </c>
      <c r="J1566" s="2" t="b">
        <f>COUNTIF(MASTER!$L$2:$L$1944,I1566)=0</f>
        <v>1</v>
      </c>
    </row>
    <row r="1567" spans="6:10" x14ac:dyDescent="0.35">
      <c r="F1567" s="2" t="s">
        <v>3257</v>
      </c>
      <c r="G1567" s="2" t="b">
        <f>COUNTIF(MASTER!$A$2:$A$1944,F1567)=0</f>
        <v>1</v>
      </c>
      <c r="H1567" s="2"/>
      <c r="I1567" s="2" t="s">
        <v>3258</v>
      </c>
      <c r="J1567" s="2" t="b">
        <f>COUNTIF(MASTER!$L$2:$L$1944,I1567)=0</f>
        <v>1</v>
      </c>
    </row>
    <row r="1568" spans="6:10" x14ac:dyDescent="0.35">
      <c r="F1568" s="2" t="s">
        <v>3259</v>
      </c>
      <c r="G1568" s="2" t="b">
        <f>COUNTIF(MASTER!$A$2:$A$1944,F1568)=0</f>
        <v>1</v>
      </c>
      <c r="H1568" s="2"/>
      <c r="I1568" s="2" t="s">
        <v>3260</v>
      </c>
      <c r="J1568" s="2" t="b">
        <f>COUNTIF(MASTER!$L$2:$L$1944,I1568)=0</f>
        <v>1</v>
      </c>
    </row>
    <row r="1569" spans="6:10" x14ac:dyDescent="0.35">
      <c r="F1569" s="2" t="s">
        <v>3261</v>
      </c>
      <c r="G1569" s="2" t="b">
        <f>COUNTIF(MASTER!$A$2:$A$1944,F1569)=0</f>
        <v>1</v>
      </c>
      <c r="H1569" s="2"/>
      <c r="I1569" s="2" t="s">
        <v>3262</v>
      </c>
      <c r="J1569" s="2" t="b">
        <f>COUNTIF(MASTER!$L$2:$L$1944,I1569)=0</f>
        <v>1</v>
      </c>
    </row>
    <row r="1570" spans="6:10" x14ac:dyDescent="0.35">
      <c r="F1570" s="2" t="s">
        <v>3263</v>
      </c>
      <c r="G1570" s="2" t="b">
        <f>COUNTIF(MASTER!$A$2:$A$1944,F1570)=0</f>
        <v>1</v>
      </c>
      <c r="H1570" s="2"/>
      <c r="I1570" s="2" t="s">
        <v>3264</v>
      </c>
      <c r="J1570" s="2" t="b">
        <f>COUNTIF(MASTER!$L$2:$L$1944,I1570)=0</f>
        <v>1</v>
      </c>
    </row>
    <row r="1571" spans="6:10" x14ac:dyDescent="0.35">
      <c r="F1571" s="2" t="s">
        <v>3265</v>
      </c>
      <c r="G1571" s="2" t="b">
        <f>COUNTIF(MASTER!$A$2:$A$1944,F1571)=0</f>
        <v>1</v>
      </c>
      <c r="H1571" s="2"/>
      <c r="I1571" s="2" t="s">
        <v>3266</v>
      </c>
      <c r="J1571" s="2" t="b">
        <f>COUNTIF(MASTER!$L$2:$L$1944,I1571)=0</f>
        <v>1</v>
      </c>
    </row>
    <row r="1572" spans="6:10" x14ac:dyDescent="0.35">
      <c r="F1572" s="2" t="s">
        <v>3267</v>
      </c>
      <c r="G1572" s="2" t="b">
        <f>COUNTIF(MASTER!$A$2:$A$1944,F1572)=0</f>
        <v>1</v>
      </c>
      <c r="H1572" s="2"/>
      <c r="I1572" s="2" t="s">
        <v>3268</v>
      </c>
      <c r="J1572" s="2" t="b">
        <f>COUNTIF(MASTER!$L$2:$L$1944,I1572)=0</f>
        <v>1</v>
      </c>
    </row>
    <row r="1573" spans="6:10" x14ac:dyDescent="0.35">
      <c r="F1573" s="2" t="s">
        <v>3269</v>
      </c>
      <c r="G1573" s="2" t="b">
        <f>COUNTIF(MASTER!$A$2:$A$1944,F1573)=0</f>
        <v>1</v>
      </c>
      <c r="H1573" s="2"/>
      <c r="I1573" s="2" t="s">
        <v>3270</v>
      </c>
      <c r="J1573" s="2" t="b">
        <f>COUNTIF(MASTER!$L$2:$L$1944,I1573)=0</f>
        <v>1</v>
      </c>
    </row>
    <row r="1574" spans="6:10" x14ac:dyDescent="0.35">
      <c r="F1574" s="2" t="s">
        <v>3271</v>
      </c>
      <c r="G1574" s="2" t="b">
        <f>COUNTIF(MASTER!$A$2:$A$1944,F1574)=0</f>
        <v>1</v>
      </c>
      <c r="H1574" s="2"/>
      <c r="I1574" s="2" t="s">
        <v>3272</v>
      </c>
      <c r="J1574" s="2" t="b">
        <f>COUNTIF(MASTER!$L$2:$L$1944,I1574)=0</f>
        <v>1</v>
      </c>
    </row>
    <row r="1575" spans="6:10" x14ac:dyDescent="0.35">
      <c r="F1575" s="2" t="s">
        <v>3273</v>
      </c>
      <c r="G1575" s="2" t="b">
        <f>COUNTIF(MASTER!$A$2:$A$1944,F1575)=0</f>
        <v>1</v>
      </c>
      <c r="H1575" s="2"/>
      <c r="I1575" s="2" t="s">
        <v>3274</v>
      </c>
      <c r="J1575" s="2" t="b">
        <f>COUNTIF(MASTER!$L$2:$L$1944,I1575)=0</f>
        <v>1</v>
      </c>
    </row>
    <row r="1576" spans="6:10" x14ac:dyDescent="0.35">
      <c r="F1576" s="2" t="s">
        <v>3275</v>
      </c>
      <c r="G1576" s="2" t="b">
        <f>COUNTIF(MASTER!$A$2:$A$1944,F1576)=0</f>
        <v>1</v>
      </c>
      <c r="H1576" s="2"/>
      <c r="I1576" s="2" t="s">
        <v>3276</v>
      </c>
      <c r="J1576" s="2" t="b">
        <f>COUNTIF(MASTER!$L$2:$L$1944,I1576)=0</f>
        <v>1</v>
      </c>
    </row>
    <row r="1577" spans="6:10" x14ac:dyDescent="0.35">
      <c r="F1577" s="2" t="s">
        <v>3277</v>
      </c>
      <c r="G1577" s="2" t="b">
        <f>COUNTIF(MASTER!$A$2:$A$1944,F1577)=0</f>
        <v>1</v>
      </c>
      <c r="H1577" s="2"/>
      <c r="I1577" s="2" t="s">
        <v>3278</v>
      </c>
      <c r="J1577" s="2" t="b">
        <f>COUNTIF(MASTER!$L$2:$L$1944,I1577)=0</f>
        <v>1</v>
      </c>
    </row>
    <row r="1578" spans="6:10" x14ac:dyDescent="0.35">
      <c r="F1578" s="2" t="s">
        <v>3279</v>
      </c>
      <c r="G1578" s="2" t="b">
        <f>COUNTIF(MASTER!$A$2:$A$1944,F1578)=0</f>
        <v>1</v>
      </c>
      <c r="H1578" s="2"/>
      <c r="I1578" s="2" t="s">
        <v>3280</v>
      </c>
      <c r="J1578" s="2" t="b">
        <f>COUNTIF(MASTER!$L$2:$L$1944,I1578)=0</f>
        <v>1</v>
      </c>
    </row>
    <row r="1579" spans="6:10" x14ac:dyDescent="0.35">
      <c r="F1579" s="2" t="s">
        <v>3281</v>
      </c>
      <c r="G1579" s="2" t="b">
        <f>COUNTIF(MASTER!$A$2:$A$1944,F1579)=0</f>
        <v>1</v>
      </c>
      <c r="H1579" s="2"/>
      <c r="I1579" s="2" t="s">
        <v>3282</v>
      </c>
      <c r="J1579" s="2" t="b">
        <f>COUNTIF(MASTER!$L$2:$L$1944,I1579)=0</f>
        <v>1</v>
      </c>
    </row>
    <row r="1580" spans="6:10" x14ac:dyDescent="0.35">
      <c r="F1580" s="2" t="s">
        <v>3283</v>
      </c>
      <c r="G1580" s="2" t="b">
        <f>COUNTIF(MASTER!$A$2:$A$1944,F1580)=0</f>
        <v>1</v>
      </c>
      <c r="H1580" s="2"/>
      <c r="I1580" s="2" t="s">
        <v>3284</v>
      </c>
      <c r="J1580" s="2" t="b">
        <f>COUNTIF(MASTER!$L$2:$L$1944,I1580)=0</f>
        <v>1</v>
      </c>
    </row>
    <row r="1581" spans="6:10" x14ac:dyDescent="0.35">
      <c r="F1581" s="2" t="s">
        <v>3285</v>
      </c>
      <c r="G1581" s="2" t="b">
        <f>COUNTIF(MASTER!$A$2:$A$1944,F1581)=0</f>
        <v>1</v>
      </c>
      <c r="H1581" s="2"/>
      <c r="I1581" s="2" t="s">
        <v>3286</v>
      </c>
      <c r="J1581" s="2" t="b">
        <f>COUNTIF(MASTER!$L$2:$L$1944,I1581)=0</f>
        <v>1</v>
      </c>
    </row>
    <row r="1582" spans="6:10" x14ac:dyDescent="0.35">
      <c r="F1582" s="2" t="s">
        <v>3287</v>
      </c>
      <c r="G1582" s="2" t="b">
        <f>COUNTIF(MASTER!$A$2:$A$1944,F1582)=0</f>
        <v>1</v>
      </c>
      <c r="H1582" s="2"/>
      <c r="I1582" s="2" t="s">
        <v>3288</v>
      </c>
      <c r="J1582" s="2" t="b">
        <f>COUNTIF(MASTER!$L$2:$L$1944,I1582)=0</f>
        <v>1</v>
      </c>
    </row>
    <row r="1583" spans="6:10" x14ac:dyDescent="0.35">
      <c r="F1583" s="2" t="s">
        <v>3289</v>
      </c>
      <c r="G1583" s="2" t="b">
        <f>COUNTIF(MASTER!$A$2:$A$1944,F1583)=0</f>
        <v>1</v>
      </c>
      <c r="H1583" s="2"/>
      <c r="I1583" s="2" t="s">
        <v>3290</v>
      </c>
      <c r="J1583" s="2" t="b">
        <f>COUNTIF(MASTER!$L$2:$L$1944,I1583)=0</f>
        <v>1</v>
      </c>
    </row>
    <row r="1584" spans="6:10" x14ac:dyDescent="0.35">
      <c r="F1584" s="2" t="s">
        <v>3291</v>
      </c>
      <c r="G1584" s="2" t="b">
        <f>COUNTIF(MASTER!$A$2:$A$1944,F1584)=0</f>
        <v>1</v>
      </c>
      <c r="H1584" s="2"/>
      <c r="I1584" s="2" t="s">
        <v>3292</v>
      </c>
      <c r="J1584" s="2" t="b">
        <f>COUNTIF(MASTER!$L$2:$L$1944,I1584)=0</f>
        <v>1</v>
      </c>
    </row>
    <row r="1585" spans="6:10" x14ac:dyDescent="0.35">
      <c r="F1585" s="2" t="s">
        <v>3293</v>
      </c>
      <c r="G1585" s="2" t="b">
        <f>COUNTIF(MASTER!$A$2:$A$1944,F1585)=0</f>
        <v>1</v>
      </c>
      <c r="H1585" s="2"/>
      <c r="I1585" s="2" t="s">
        <v>3294</v>
      </c>
      <c r="J1585" s="2" t="b">
        <f>COUNTIF(MASTER!$L$2:$L$1944,I1585)=0</f>
        <v>1</v>
      </c>
    </row>
    <row r="1586" spans="6:10" x14ac:dyDescent="0.35">
      <c r="F1586" s="2" t="s">
        <v>3295</v>
      </c>
      <c r="G1586" s="2" t="b">
        <f>COUNTIF(MASTER!$A$2:$A$1944,F1586)=0</f>
        <v>1</v>
      </c>
      <c r="H1586" s="2"/>
      <c r="I1586" s="2" t="s">
        <v>3296</v>
      </c>
      <c r="J1586" s="2" t="b">
        <f>COUNTIF(MASTER!$L$2:$L$1944,I1586)=0</f>
        <v>1</v>
      </c>
    </row>
    <row r="1587" spans="6:10" x14ac:dyDescent="0.35">
      <c r="F1587" s="2" t="s">
        <v>3297</v>
      </c>
      <c r="G1587" s="2" t="b">
        <f>COUNTIF(MASTER!$A$2:$A$1944,F1587)=0</f>
        <v>1</v>
      </c>
      <c r="H1587" s="2"/>
      <c r="I1587" s="2" t="s">
        <v>3298</v>
      </c>
      <c r="J1587" s="2" t="b">
        <f>COUNTIF(MASTER!$L$2:$L$1944,I1587)=0</f>
        <v>1</v>
      </c>
    </row>
    <row r="1588" spans="6:10" x14ac:dyDescent="0.35">
      <c r="F1588" s="2" t="s">
        <v>3299</v>
      </c>
      <c r="G1588" s="2" t="b">
        <f>COUNTIF(MASTER!$A$2:$A$1944,F1588)=0</f>
        <v>1</v>
      </c>
      <c r="H1588" s="2"/>
      <c r="I1588" s="2" t="s">
        <v>3300</v>
      </c>
      <c r="J1588" s="2" t="b">
        <f>COUNTIF(MASTER!$L$2:$L$1944,I1588)=0</f>
        <v>1</v>
      </c>
    </row>
    <row r="1589" spans="6:10" x14ac:dyDescent="0.35">
      <c r="F1589" s="2" t="s">
        <v>3301</v>
      </c>
      <c r="G1589" s="2" t="b">
        <f>COUNTIF(MASTER!$A$2:$A$1944,F1589)=0</f>
        <v>1</v>
      </c>
      <c r="H1589" s="2"/>
      <c r="I1589" s="2" t="s">
        <v>3302</v>
      </c>
      <c r="J1589" s="2" t="b">
        <f>COUNTIF(MASTER!$L$2:$L$1944,I1589)=0</f>
        <v>1</v>
      </c>
    </row>
    <row r="1590" spans="6:10" x14ac:dyDescent="0.35">
      <c r="F1590" s="2" t="s">
        <v>3303</v>
      </c>
      <c r="G1590" s="2" t="b">
        <f>COUNTIF(MASTER!$A$2:$A$1944,F1590)=0</f>
        <v>1</v>
      </c>
      <c r="H1590" s="2"/>
      <c r="I1590" s="2" t="s">
        <v>3304</v>
      </c>
      <c r="J1590" s="2" t="b">
        <f>COUNTIF(MASTER!$L$2:$L$1944,I1590)=0</f>
        <v>1</v>
      </c>
    </row>
    <row r="1591" spans="6:10" x14ac:dyDescent="0.35">
      <c r="F1591" s="2" t="s">
        <v>3305</v>
      </c>
      <c r="G1591" s="2" t="b">
        <f>COUNTIF(MASTER!$A$2:$A$1944,F1591)=0</f>
        <v>1</v>
      </c>
      <c r="H1591" s="2"/>
      <c r="I1591" s="2" t="s">
        <v>3306</v>
      </c>
      <c r="J1591" s="2" t="b">
        <f>COUNTIF(MASTER!$L$2:$L$1944,I1591)=0</f>
        <v>1</v>
      </c>
    </row>
    <row r="1592" spans="6:10" x14ac:dyDescent="0.35">
      <c r="F1592" s="2" t="s">
        <v>3307</v>
      </c>
      <c r="G1592" s="2" t="b">
        <f>COUNTIF(MASTER!$A$2:$A$1944,F1592)=0</f>
        <v>1</v>
      </c>
      <c r="H1592" s="2"/>
      <c r="I1592" s="2" t="s">
        <v>3308</v>
      </c>
      <c r="J1592" s="2" t="b">
        <f>COUNTIF(MASTER!$L$2:$L$1944,I1592)=0</f>
        <v>1</v>
      </c>
    </row>
    <row r="1593" spans="6:10" x14ac:dyDescent="0.35">
      <c r="F1593" s="2" t="s">
        <v>3309</v>
      </c>
      <c r="G1593" s="2" t="b">
        <f>COUNTIF(MASTER!$A$2:$A$1944,F1593)=0</f>
        <v>1</v>
      </c>
      <c r="H1593" s="2"/>
      <c r="I1593" s="2" t="s">
        <v>3310</v>
      </c>
      <c r="J1593" s="2" t="b">
        <f>COUNTIF(MASTER!$L$2:$L$1944,I1593)=0</f>
        <v>1</v>
      </c>
    </row>
    <row r="1594" spans="6:10" x14ac:dyDescent="0.35">
      <c r="F1594" s="2" t="s">
        <v>3311</v>
      </c>
      <c r="G1594" s="2" t="b">
        <f>COUNTIF(MASTER!$A$2:$A$1944,F1594)=0</f>
        <v>1</v>
      </c>
      <c r="H1594" s="2"/>
      <c r="I1594" s="2" t="s">
        <v>3312</v>
      </c>
      <c r="J1594" s="2" t="b">
        <f>COUNTIF(MASTER!$L$2:$L$1944,I1594)=0</f>
        <v>1</v>
      </c>
    </row>
    <row r="1595" spans="6:10" x14ac:dyDescent="0.35">
      <c r="F1595" s="2" t="s">
        <v>3313</v>
      </c>
      <c r="G1595" s="2" t="b">
        <f>COUNTIF(MASTER!$A$2:$A$1944,F1595)=0</f>
        <v>1</v>
      </c>
      <c r="H1595" s="2"/>
      <c r="I1595" s="2" t="s">
        <v>3314</v>
      </c>
      <c r="J1595" s="2" t="b">
        <f>COUNTIF(MASTER!$L$2:$L$1944,I1595)=0</f>
        <v>1</v>
      </c>
    </row>
    <row r="1596" spans="6:10" x14ac:dyDescent="0.35">
      <c r="F1596" s="2" t="s">
        <v>3315</v>
      </c>
      <c r="G1596" s="2" t="b">
        <f>COUNTIF(MASTER!$A$2:$A$1944,F1596)=0</f>
        <v>1</v>
      </c>
      <c r="H1596" s="2"/>
      <c r="I1596" s="2" t="s">
        <v>3316</v>
      </c>
      <c r="J1596" s="2" t="b">
        <f>COUNTIF(MASTER!$L$2:$L$1944,I1596)=0</f>
        <v>1</v>
      </c>
    </row>
    <row r="1597" spans="6:10" x14ac:dyDescent="0.35">
      <c r="F1597" s="2" t="s">
        <v>3317</v>
      </c>
      <c r="G1597" s="2" t="b">
        <f>COUNTIF(MASTER!$A$2:$A$1944,F1597)=0</f>
        <v>1</v>
      </c>
      <c r="H1597" s="2"/>
      <c r="I1597" s="2" t="s">
        <v>3318</v>
      </c>
      <c r="J1597" s="2" t="b">
        <f>COUNTIF(MASTER!$L$2:$L$1944,I1597)=0</f>
        <v>1</v>
      </c>
    </row>
    <row r="1598" spans="6:10" x14ac:dyDescent="0.35">
      <c r="F1598" s="2" t="s">
        <v>3319</v>
      </c>
      <c r="G1598" s="2" t="b">
        <f>COUNTIF(MASTER!$A$2:$A$1944,F1598)=0</f>
        <v>1</v>
      </c>
      <c r="H1598" s="2"/>
      <c r="I1598" s="2" t="s">
        <v>3320</v>
      </c>
      <c r="J1598" s="2" t="b">
        <f>COUNTIF(MASTER!$L$2:$L$1944,I1598)=0</f>
        <v>1</v>
      </c>
    </row>
    <row r="1599" spans="6:10" x14ac:dyDescent="0.35">
      <c r="F1599" s="2" t="s">
        <v>3321</v>
      </c>
      <c r="G1599" s="2" t="b">
        <f>COUNTIF(MASTER!$A$2:$A$1944,F1599)=0</f>
        <v>1</v>
      </c>
      <c r="H1599" s="2"/>
      <c r="I1599" s="2" t="s">
        <v>3322</v>
      </c>
      <c r="J1599" s="2" t="b">
        <f>COUNTIF(MASTER!$L$2:$L$1944,I1599)=0</f>
        <v>1</v>
      </c>
    </row>
    <row r="1600" spans="6:10" x14ac:dyDescent="0.35">
      <c r="F1600" s="2" t="s">
        <v>3323</v>
      </c>
      <c r="G1600" s="2" t="b">
        <f>COUNTIF(MASTER!$A$2:$A$1944,F1600)=0</f>
        <v>1</v>
      </c>
      <c r="H1600" s="2"/>
      <c r="I1600" s="2" t="s">
        <v>3324</v>
      </c>
      <c r="J1600" s="2" t="b">
        <f>COUNTIF(MASTER!$L$2:$L$1944,I1600)=0</f>
        <v>1</v>
      </c>
    </row>
    <row r="1601" spans="6:10" x14ac:dyDescent="0.35">
      <c r="F1601" s="2" t="s">
        <v>3325</v>
      </c>
      <c r="G1601" s="2" t="b">
        <f>COUNTIF(MASTER!$A$2:$A$1944,F1601)=0</f>
        <v>1</v>
      </c>
      <c r="H1601" s="2"/>
      <c r="I1601" s="2" t="s">
        <v>3326</v>
      </c>
      <c r="J1601" s="2" t="b">
        <f>COUNTIF(MASTER!$L$2:$L$1944,I1601)=0</f>
        <v>1</v>
      </c>
    </row>
    <row r="1602" spans="6:10" x14ac:dyDescent="0.35">
      <c r="F1602" s="2" t="s">
        <v>3327</v>
      </c>
      <c r="G1602" s="2" t="b">
        <f>COUNTIF(MASTER!$A$2:$A$1944,F1602)=0</f>
        <v>1</v>
      </c>
      <c r="H1602" s="2"/>
      <c r="I1602" s="2" t="s">
        <v>3328</v>
      </c>
      <c r="J1602" s="2" t="b">
        <f>COUNTIF(MASTER!$L$2:$L$1944,I1602)=0</f>
        <v>1</v>
      </c>
    </row>
    <row r="1603" spans="6:10" x14ac:dyDescent="0.35">
      <c r="F1603" s="2" t="s">
        <v>3329</v>
      </c>
      <c r="G1603" s="2" t="b">
        <f>COUNTIF(MASTER!$A$2:$A$1944,F1603)=0</f>
        <v>1</v>
      </c>
      <c r="H1603" s="2"/>
      <c r="I1603" s="2" t="s">
        <v>3330</v>
      </c>
      <c r="J1603" s="2" t="b">
        <f>COUNTIF(MASTER!$L$2:$L$1944,I1603)=0</f>
        <v>1</v>
      </c>
    </row>
    <row r="1604" spans="6:10" x14ac:dyDescent="0.35">
      <c r="F1604" s="2" t="s">
        <v>3331</v>
      </c>
      <c r="G1604" s="2" t="b">
        <f>COUNTIF(MASTER!$A$2:$A$1944,F1604)=0</f>
        <v>1</v>
      </c>
      <c r="H1604" s="2"/>
      <c r="I1604" s="2" t="s">
        <v>3332</v>
      </c>
      <c r="J1604" s="2" t="b">
        <f>COUNTIF(MASTER!$L$2:$L$1944,I1604)=0</f>
        <v>1</v>
      </c>
    </row>
    <row r="1605" spans="6:10" x14ac:dyDescent="0.35">
      <c r="F1605" s="2" t="s">
        <v>3333</v>
      </c>
      <c r="G1605" s="2" t="b">
        <f>COUNTIF(MASTER!$A$2:$A$1944,F1605)=0</f>
        <v>1</v>
      </c>
      <c r="H1605" s="2"/>
      <c r="I1605" s="2" t="s">
        <v>3334</v>
      </c>
      <c r="J1605" s="2" t="b">
        <f>COUNTIF(MASTER!$L$2:$L$1944,I1605)=0</f>
        <v>1</v>
      </c>
    </row>
    <row r="1606" spans="6:10" x14ac:dyDescent="0.35">
      <c r="F1606" s="2" t="s">
        <v>3335</v>
      </c>
      <c r="G1606" s="2" t="b">
        <f>COUNTIF(MASTER!$A$2:$A$1944,F1606)=0</f>
        <v>1</v>
      </c>
      <c r="H1606" s="2"/>
      <c r="I1606" s="2" t="s">
        <v>3336</v>
      </c>
      <c r="J1606" s="2" t="b">
        <f>COUNTIF(MASTER!$L$2:$L$1944,I1606)=0</f>
        <v>1</v>
      </c>
    </row>
    <row r="1607" spans="6:10" x14ac:dyDescent="0.35">
      <c r="F1607" s="2" t="s">
        <v>3337</v>
      </c>
      <c r="G1607" s="2" t="b">
        <f>COUNTIF(MASTER!$A$2:$A$1944,F1607)=0</f>
        <v>1</v>
      </c>
      <c r="H1607" s="2"/>
      <c r="I1607" s="2" t="s">
        <v>3338</v>
      </c>
      <c r="J1607" s="2" t="b">
        <f>COUNTIF(MASTER!$L$2:$L$1944,I1607)=0</f>
        <v>1</v>
      </c>
    </row>
    <row r="1608" spans="6:10" x14ac:dyDescent="0.35">
      <c r="F1608" s="2" t="s">
        <v>3339</v>
      </c>
      <c r="G1608" s="2" t="b">
        <f>COUNTIF(MASTER!$A$2:$A$1944,F1608)=0</f>
        <v>1</v>
      </c>
      <c r="H1608" s="2"/>
      <c r="I1608" s="2" t="s">
        <v>3340</v>
      </c>
      <c r="J1608" s="2" t="b">
        <f>COUNTIF(MASTER!$L$2:$L$1944,I1608)=0</f>
        <v>1</v>
      </c>
    </row>
    <row r="1609" spans="6:10" x14ac:dyDescent="0.35">
      <c r="F1609" s="2" t="s">
        <v>3341</v>
      </c>
      <c r="G1609" s="2" t="b">
        <f>COUNTIF(MASTER!$A$2:$A$1944,F1609)=0</f>
        <v>1</v>
      </c>
      <c r="H1609" s="2"/>
      <c r="I1609" s="2" t="s">
        <v>3342</v>
      </c>
      <c r="J1609" s="2" t="b">
        <f>COUNTIF(MASTER!$L$2:$L$1944,I1609)=0</f>
        <v>1</v>
      </c>
    </row>
    <row r="1610" spans="6:10" x14ac:dyDescent="0.35">
      <c r="F1610" s="2" t="s">
        <v>3343</v>
      </c>
      <c r="G1610" s="2" t="b">
        <f>COUNTIF(MASTER!$A$2:$A$1944,F1610)=0</f>
        <v>1</v>
      </c>
      <c r="H1610" s="2"/>
      <c r="I1610" s="2" t="s">
        <v>3344</v>
      </c>
      <c r="J1610" s="2" t="b">
        <f>COUNTIF(MASTER!$L$2:$L$1944,I1610)=0</f>
        <v>1</v>
      </c>
    </row>
    <row r="1611" spans="6:10" x14ac:dyDescent="0.35">
      <c r="F1611" s="2" t="s">
        <v>3345</v>
      </c>
      <c r="G1611" s="2" t="b">
        <f>COUNTIF(MASTER!$A$2:$A$1944,F1611)=0</f>
        <v>1</v>
      </c>
      <c r="H1611" s="2"/>
      <c r="I1611" s="2" t="s">
        <v>3346</v>
      </c>
      <c r="J1611" s="2" t="b">
        <f>COUNTIF(MASTER!$L$2:$L$1944,I1611)=0</f>
        <v>1</v>
      </c>
    </row>
    <row r="1612" spans="6:10" x14ac:dyDescent="0.35">
      <c r="F1612" s="2" t="s">
        <v>3347</v>
      </c>
      <c r="G1612" s="2" t="b">
        <f>COUNTIF(MASTER!$A$2:$A$1944,F1612)=0</f>
        <v>1</v>
      </c>
      <c r="H1612" s="2"/>
      <c r="I1612" s="2" t="s">
        <v>3348</v>
      </c>
      <c r="J1612" s="2" t="b">
        <f>COUNTIF(MASTER!$L$2:$L$1944,I1612)=0</f>
        <v>1</v>
      </c>
    </row>
    <row r="1613" spans="6:10" x14ac:dyDescent="0.35">
      <c r="F1613" s="2" t="s">
        <v>3349</v>
      </c>
      <c r="G1613" s="2" t="b">
        <f>COUNTIF(MASTER!$A$2:$A$1944,F1613)=0</f>
        <v>1</v>
      </c>
      <c r="H1613" s="2"/>
      <c r="I1613" s="2" t="s">
        <v>3350</v>
      </c>
      <c r="J1613" s="2" t="b">
        <f>COUNTIF(MASTER!$L$2:$L$1944,I1613)=0</f>
        <v>1</v>
      </c>
    </row>
    <row r="1614" spans="6:10" x14ac:dyDescent="0.35">
      <c r="F1614" s="2" t="s">
        <v>3351</v>
      </c>
      <c r="G1614" s="2" t="b">
        <f>COUNTIF(MASTER!$A$2:$A$1944,F1614)=0</f>
        <v>1</v>
      </c>
      <c r="H1614" s="2"/>
      <c r="I1614" s="2" t="s">
        <v>3352</v>
      </c>
      <c r="J1614" s="2" t="b">
        <f>COUNTIF(MASTER!$L$2:$L$1944,I1614)=0</f>
        <v>1</v>
      </c>
    </row>
    <row r="1615" spans="6:10" x14ac:dyDescent="0.35">
      <c r="F1615" s="2" t="s">
        <v>3353</v>
      </c>
      <c r="G1615" s="2" t="b">
        <f>COUNTIF(MASTER!$A$2:$A$1944,F1615)=0</f>
        <v>1</v>
      </c>
      <c r="H1615" s="2"/>
      <c r="I1615" s="2" t="s">
        <v>3354</v>
      </c>
      <c r="J1615" s="2" t="b">
        <f>COUNTIF(MASTER!$L$2:$L$1944,I1615)=0</f>
        <v>1</v>
      </c>
    </row>
    <row r="1616" spans="6:10" x14ac:dyDescent="0.35">
      <c r="F1616" s="2" t="s">
        <v>3355</v>
      </c>
      <c r="G1616" s="2" t="b">
        <f>COUNTIF(MASTER!$A$2:$A$1944,F1616)=0</f>
        <v>1</v>
      </c>
      <c r="H1616" s="2"/>
      <c r="I1616" s="2" t="s">
        <v>3356</v>
      </c>
      <c r="J1616" s="2" t="b">
        <f>COUNTIF(MASTER!$L$2:$L$1944,I1616)=0</f>
        <v>1</v>
      </c>
    </row>
    <row r="1617" spans="6:10" x14ac:dyDescent="0.35">
      <c r="F1617" s="2" t="s">
        <v>3357</v>
      </c>
      <c r="G1617" s="2" t="b">
        <f>COUNTIF(MASTER!$A$2:$A$1944,F1617)=0</f>
        <v>1</v>
      </c>
      <c r="H1617" s="2"/>
      <c r="I1617" s="2" t="s">
        <v>3358</v>
      </c>
      <c r="J1617" s="2" t="b">
        <f>COUNTIF(MASTER!$L$2:$L$1944,I1617)=0</f>
        <v>1</v>
      </c>
    </row>
    <row r="1618" spans="6:10" x14ac:dyDescent="0.35">
      <c r="F1618" s="2" t="s">
        <v>3359</v>
      </c>
      <c r="G1618" s="2" t="b">
        <f>COUNTIF(MASTER!$A$2:$A$1944,F1618)=0</f>
        <v>1</v>
      </c>
      <c r="H1618" s="2"/>
      <c r="I1618" s="2" t="s">
        <v>3360</v>
      </c>
      <c r="J1618" s="2" t="b">
        <f>COUNTIF(MASTER!$L$2:$L$1944,I1618)=0</f>
        <v>1</v>
      </c>
    </row>
    <row r="1619" spans="6:10" x14ac:dyDescent="0.35">
      <c r="F1619" s="2" t="s">
        <v>3361</v>
      </c>
      <c r="G1619" s="2" t="b">
        <f>COUNTIF(MASTER!$A$2:$A$1944,F1619)=0</f>
        <v>1</v>
      </c>
      <c r="H1619" s="2"/>
      <c r="I1619" s="2" t="s">
        <v>3362</v>
      </c>
      <c r="J1619" s="2" t="b">
        <f>COUNTIF(MASTER!$L$2:$L$1944,I1619)=0</f>
        <v>1</v>
      </c>
    </row>
    <row r="1620" spans="6:10" x14ac:dyDescent="0.35">
      <c r="F1620" s="2" t="s">
        <v>3363</v>
      </c>
      <c r="G1620" s="2" t="b">
        <f>COUNTIF(MASTER!$A$2:$A$1944,F1620)=0</f>
        <v>1</v>
      </c>
      <c r="H1620" s="2"/>
      <c r="I1620" s="2" t="s">
        <v>3364</v>
      </c>
      <c r="J1620" s="2" t="b">
        <f>COUNTIF(MASTER!$L$2:$L$1944,I1620)=0</f>
        <v>1</v>
      </c>
    </row>
    <row r="1621" spans="6:10" x14ac:dyDescent="0.35">
      <c r="F1621" s="2" t="s">
        <v>3365</v>
      </c>
      <c r="G1621" s="2" t="b">
        <f>COUNTIF(MASTER!$A$2:$A$1944,F1621)=0</f>
        <v>1</v>
      </c>
      <c r="H1621" s="2"/>
      <c r="I1621" s="2" t="s">
        <v>3366</v>
      </c>
      <c r="J1621" s="2" t="b">
        <f>COUNTIF(MASTER!$L$2:$L$1944,I1621)=0</f>
        <v>1</v>
      </c>
    </row>
    <row r="1622" spans="6:10" x14ac:dyDescent="0.35">
      <c r="F1622" s="2" t="s">
        <v>3367</v>
      </c>
      <c r="G1622" s="2" t="b">
        <f>COUNTIF(MASTER!$A$2:$A$1944,F1622)=0</f>
        <v>1</v>
      </c>
      <c r="H1622" s="2"/>
      <c r="I1622" s="2" t="s">
        <v>3368</v>
      </c>
      <c r="J1622" s="2" t="b">
        <f>COUNTIF(MASTER!$L$2:$L$1944,I1622)=0</f>
        <v>1</v>
      </c>
    </row>
    <row r="1623" spans="6:10" x14ac:dyDescent="0.35">
      <c r="F1623" s="2" t="s">
        <v>3369</v>
      </c>
      <c r="G1623" s="2" t="b">
        <f>COUNTIF(MASTER!$A$2:$A$1944,F1623)=0</f>
        <v>1</v>
      </c>
      <c r="H1623" s="2"/>
      <c r="I1623" s="2" t="s">
        <v>3370</v>
      </c>
      <c r="J1623" s="2" t="b">
        <f>COUNTIF(MASTER!$L$2:$L$1944,I1623)=0</f>
        <v>1</v>
      </c>
    </row>
    <row r="1624" spans="6:10" x14ac:dyDescent="0.35">
      <c r="F1624" s="2" t="s">
        <v>3371</v>
      </c>
      <c r="G1624" s="2" t="b">
        <f>COUNTIF(MASTER!$A$2:$A$1944,F1624)=0</f>
        <v>1</v>
      </c>
      <c r="H1624" s="2"/>
      <c r="I1624" s="2" t="s">
        <v>3372</v>
      </c>
      <c r="J1624" s="2" t="b">
        <f>COUNTIF(MASTER!$L$2:$L$1944,I1624)=0</f>
        <v>1</v>
      </c>
    </row>
    <row r="1625" spans="6:10" x14ac:dyDescent="0.35">
      <c r="F1625" s="2" t="s">
        <v>3373</v>
      </c>
      <c r="G1625" s="2" t="b">
        <f>COUNTIF(MASTER!$A$2:$A$1944,F1625)=0</f>
        <v>1</v>
      </c>
      <c r="H1625" s="2"/>
      <c r="I1625" s="2" t="s">
        <v>3374</v>
      </c>
      <c r="J1625" s="2" t="b">
        <f>COUNTIF(MASTER!$L$2:$L$1944,I1625)=0</f>
        <v>1</v>
      </c>
    </row>
    <row r="1626" spans="6:10" x14ac:dyDescent="0.35">
      <c r="F1626" s="2" t="s">
        <v>3375</v>
      </c>
      <c r="G1626" s="2" t="b">
        <f>COUNTIF(MASTER!$A$2:$A$1944,F1626)=0</f>
        <v>1</v>
      </c>
      <c r="H1626" s="2"/>
      <c r="I1626" s="2" t="s">
        <v>3376</v>
      </c>
      <c r="J1626" s="2" t="b">
        <f>COUNTIF(MASTER!$L$2:$L$1944,I1626)=0</f>
        <v>1</v>
      </c>
    </row>
    <row r="1627" spans="6:10" x14ac:dyDescent="0.35">
      <c r="F1627" s="2" t="s">
        <v>3377</v>
      </c>
      <c r="G1627" s="2" t="b">
        <f>COUNTIF(MASTER!$A$2:$A$1944,F1627)=0</f>
        <v>1</v>
      </c>
      <c r="H1627" s="2"/>
      <c r="I1627" s="2" t="s">
        <v>3378</v>
      </c>
      <c r="J1627" s="2" t="b">
        <f>COUNTIF(MASTER!$L$2:$L$1944,I1627)=0</f>
        <v>1</v>
      </c>
    </row>
    <row r="1628" spans="6:10" x14ac:dyDescent="0.35">
      <c r="F1628" s="2" t="s">
        <v>3379</v>
      </c>
      <c r="G1628" s="2" t="b">
        <f>COUNTIF(MASTER!$A$2:$A$1944,F1628)=0</f>
        <v>1</v>
      </c>
      <c r="H1628" s="2"/>
      <c r="I1628" s="2" t="s">
        <v>3380</v>
      </c>
      <c r="J1628" s="2" t="b">
        <f>COUNTIF(MASTER!$L$2:$L$1944,I1628)=0</f>
        <v>1</v>
      </c>
    </row>
    <row r="1629" spans="6:10" x14ac:dyDescent="0.35">
      <c r="F1629" s="2" t="s">
        <v>3381</v>
      </c>
      <c r="G1629" s="2" t="b">
        <f>COUNTIF(MASTER!$A$2:$A$1944,F1629)=0</f>
        <v>1</v>
      </c>
      <c r="H1629" s="2"/>
      <c r="I1629" s="2" t="s">
        <v>3382</v>
      </c>
      <c r="J1629" s="2" t="b">
        <f>COUNTIF(MASTER!$L$2:$L$1944,I1629)=0</f>
        <v>1</v>
      </c>
    </row>
    <row r="1630" spans="6:10" x14ac:dyDescent="0.35">
      <c r="F1630" s="2" t="s">
        <v>3383</v>
      </c>
      <c r="G1630" s="2" t="b">
        <f>COUNTIF(MASTER!$A$2:$A$1944,F1630)=0</f>
        <v>1</v>
      </c>
      <c r="H1630" s="2"/>
      <c r="I1630" s="2" t="s">
        <v>3384</v>
      </c>
      <c r="J1630" s="2" t="b">
        <f>COUNTIF(MASTER!$L$2:$L$1944,I1630)=0</f>
        <v>1</v>
      </c>
    </row>
    <row r="1631" spans="6:10" x14ac:dyDescent="0.35">
      <c r="F1631" s="2" t="s">
        <v>3385</v>
      </c>
      <c r="G1631" s="2" t="b">
        <f>COUNTIF(MASTER!$A$2:$A$1944,F1631)=0</f>
        <v>1</v>
      </c>
      <c r="H1631" s="2"/>
      <c r="I1631" s="2" t="s">
        <v>3386</v>
      </c>
      <c r="J1631" s="2" t="b">
        <f>COUNTIF(MASTER!$L$2:$L$1944,I1631)=0</f>
        <v>1</v>
      </c>
    </row>
    <row r="1632" spans="6:10" x14ac:dyDescent="0.35">
      <c r="F1632" s="2" t="s">
        <v>3387</v>
      </c>
      <c r="G1632" s="2" t="b">
        <f>COUNTIF(MASTER!$A$2:$A$1944,F1632)=0</f>
        <v>1</v>
      </c>
      <c r="H1632" s="2"/>
      <c r="I1632" s="2" t="s">
        <v>3388</v>
      </c>
      <c r="J1632" s="2" t="b">
        <f>COUNTIF(MASTER!$L$2:$L$1944,I1632)=0</f>
        <v>1</v>
      </c>
    </row>
    <row r="1633" spans="6:10" x14ac:dyDescent="0.35">
      <c r="F1633" s="2" t="s">
        <v>3389</v>
      </c>
      <c r="G1633" s="2" t="b">
        <f>COUNTIF(MASTER!$A$2:$A$1944,F1633)=0</f>
        <v>1</v>
      </c>
      <c r="H1633" s="2"/>
      <c r="I1633" s="2" t="s">
        <v>3390</v>
      </c>
      <c r="J1633" s="2" t="b">
        <f>COUNTIF(MASTER!$L$2:$L$1944,I1633)=0</f>
        <v>1</v>
      </c>
    </row>
    <row r="1634" spans="6:10" x14ac:dyDescent="0.35">
      <c r="F1634" s="2" t="s">
        <v>3391</v>
      </c>
      <c r="G1634" s="2" t="b">
        <f>COUNTIF(MASTER!$A$2:$A$1944,F1634)=0</f>
        <v>1</v>
      </c>
      <c r="H1634" s="2"/>
      <c r="I1634" s="2" t="s">
        <v>3392</v>
      </c>
      <c r="J1634" s="2" t="b">
        <f>COUNTIF(MASTER!$L$2:$L$1944,I1634)=0</f>
        <v>1</v>
      </c>
    </row>
    <row r="1635" spans="6:10" x14ac:dyDescent="0.35">
      <c r="F1635" s="2" t="s">
        <v>3393</v>
      </c>
      <c r="G1635" s="2" t="b">
        <f>COUNTIF(MASTER!$A$2:$A$1944,F1635)=0</f>
        <v>1</v>
      </c>
      <c r="H1635" s="2"/>
      <c r="I1635" s="2" t="s">
        <v>3394</v>
      </c>
      <c r="J1635" s="2" t="b">
        <f>COUNTIF(MASTER!$L$2:$L$1944,I1635)=0</f>
        <v>1</v>
      </c>
    </row>
    <row r="1636" spans="6:10" x14ac:dyDescent="0.35">
      <c r="F1636" s="2" t="s">
        <v>3395</v>
      </c>
      <c r="G1636" s="2" t="b">
        <f>COUNTIF(MASTER!$A$2:$A$1944,F1636)=0</f>
        <v>1</v>
      </c>
      <c r="H1636" s="2"/>
      <c r="I1636" s="2" t="s">
        <v>3396</v>
      </c>
      <c r="J1636" s="2" t="b">
        <f>COUNTIF(MASTER!$L$2:$L$1944,I1636)=0</f>
        <v>1</v>
      </c>
    </row>
    <row r="1637" spans="6:10" x14ac:dyDescent="0.35">
      <c r="F1637" s="2" t="s">
        <v>3397</v>
      </c>
      <c r="G1637" s="2" t="b">
        <f>COUNTIF(MASTER!$A$2:$A$1944,F1637)=0</f>
        <v>1</v>
      </c>
      <c r="H1637" s="2"/>
      <c r="I1637" s="2" t="s">
        <v>3398</v>
      </c>
      <c r="J1637" s="2" t="b">
        <f>COUNTIF(MASTER!$L$2:$L$1944,I1637)=0</f>
        <v>1</v>
      </c>
    </row>
    <row r="1638" spans="6:10" x14ac:dyDescent="0.35">
      <c r="F1638" s="2" t="s">
        <v>3399</v>
      </c>
      <c r="G1638" s="2" t="b">
        <f>COUNTIF(MASTER!$A$2:$A$1944,F1638)=0</f>
        <v>1</v>
      </c>
      <c r="H1638" s="2"/>
      <c r="I1638" s="2" t="s">
        <v>3400</v>
      </c>
      <c r="J1638" s="2" t="b">
        <f>COUNTIF(MASTER!$L$2:$L$1944,I1638)=0</f>
        <v>1</v>
      </c>
    </row>
    <row r="1639" spans="6:10" x14ac:dyDescent="0.35">
      <c r="F1639" s="2" t="s">
        <v>3401</v>
      </c>
      <c r="G1639" s="2" t="b">
        <f>COUNTIF(MASTER!$A$2:$A$1944,F1639)=0</f>
        <v>1</v>
      </c>
      <c r="H1639" s="2"/>
      <c r="I1639" s="2" t="s">
        <v>3402</v>
      </c>
      <c r="J1639" s="2" t="b">
        <f>COUNTIF(MASTER!$L$2:$L$1944,I1639)=0</f>
        <v>1</v>
      </c>
    </row>
    <row r="1640" spans="6:10" x14ac:dyDescent="0.35">
      <c r="F1640" s="2" t="s">
        <v>3403</v>
      </c>
      <c r="G1640" s="2" t="b">
        <f>COUNTIF(MASTER!$A$2:$A$1944,F1640)=0</f>
        <v>1</v>
      </c>
      <c r="H1640" s="2"/>
      <c r="I1640" s="2" t="s">
        <v>3404</v>
      </c>
      <c r="J1640" s="2" t="b">
        <f>COUNTIF(MASTER!$L$2:$L$1944,I1640)=0</f>
        <v>1</v>
      </c>
    </row>
    <row r="1641" spans="6:10" x14ac:dyDescent="0.35">
      <c r="F1641" s="2" t="s">
        <v>3405</v>
      </c>
      <c r="G1641" s="2" t="b">
        <f>COUNTIF(MASTER!$A$2:$A$1944,F1641)=0</f>
        <v>1</v>
      </c>
      <c r="H1641" s="2"/>
      <c r="I1641" s="2" t="s">
        <v>3406</v>
      </c>
      <c r="J1641" s="2" t="b">
        <f>COUNTIF(MASTER!$L$2:$L$1944,I1641)=0</f>
        <v>1</v>
      </c>
    </row>
    <row r="1642" spans="6:10" x14ac:dyDescent="0.35">
      <c r="F1642" s="2" t="s">
        <v>3407</v>
      </c>
      <c r="G1642" s="2" t="b">
        <f>COUNTIF(MASTER!$A$2:$A$1944,F1642)=0</f>
        <v>1</v>
      </c>
      <c r="H1642" s="2"/>
      <c r="I1642" s="2" t="s">
        <v>3408</v>
      </c>
      <c r="J1642" s="2" t="b">
        <f>COUNTIF(MASTER!$L$2:$L$1944,I1642)=0</f>
        <v>1</v>
      </c>
    </row>
    <row r="1643" spans="6:10" x14ac:dyDescent="0.35">
      <c r="F1643" s="2" t="s">
        <v>3409</v>
      </c>
      <c r="G1643" s="2" t="b">
        <f>COUNTIF(MASTER!$A$2:$A$1944,F1643)=0</f>
        <v>1</v>
      </c>
      <c r="H1643" s="2"/>
      <c r="I1643" s="2" t="s">
        <v>3410</v>
      </c>
      <c r="J1643" s="2" t="b">
        <f>COUNTIF(MASTER!$L$2:$L$1944,I1643)=0</f>
        <v>1</v>
      </c>
    </row>
    <row r="1644" spans="6:10" x14ac:dyDescent="0.35">
      <c r="F1644" s="2" t="s">
        <v>3411</v>
      </c>
      <c r="G1644" s="2" t="b">
        <f>COUNTIF(MASTER!$A$2:$A$1944,F1644)=0</f>
        <v>1</v>
      </c>
      <c r="H1644" s="2"/>
      <c r="I1644" s="2" t="s">
        <v>3412</v>
      </c>
      <c r="J1644" s="2" t="b">
        <f>COUNTIF(MASTER!$L$2:$L$1944,I1644)=0</f>
        <v>1</v>
      </c>
    </row>
    <row r="1645" spans="6:10" x14ac:dyDescent="0.35">
      <c r="F1645" s="2" t="s">
        <v>3413</v>
      </c>
      <c r="G1645" s="2" t="b">
        <f>COUNTIF(MASTER!$A$2:$A$1944,F1645)=0</f>
        <v>1</v>
      </c>
      <c r="H1645" s="2"/>
      <c r="I1645" s="2" t="s">
        <v>3414</v>
      </c>
      <c r="J1645" s="2" t="b">
        <f>COUNTIF(MASTER!$L$2:$L$1944,I1645)=0</f>
        <v>1</v>
      </c>
    </row>
    <row r="1646" spans="6:10" x14ac:dyDescent="0.35">
      <c r="F1646" s="2" t="s">
        <v>3415</v>
      </c>
      <c r="G1646" s="2" t="b">
        <f>COUNTIF(MASTER!$A$2:$A$1944,F1646)=0</f>
        <v>1</v>
      </c>
      <c r="H1646" s="2"/>
      <c r="I1646" s="2" t="s">
        <v>3416</v>
      </c>
      <c r="J1646" s="2" t="b">
        <f>COUNTIF(MASTER!$L$2:$L$1944,I1646)=0</f>
        <v>1</v>
      </c>
    </row>
    <row r="1647" spans="6:10" x14ac:dyDescent="0.35">
      <c r="F1647" s="2" t="s">
        <v>3417</v>
      </c>
      <c r="G1647" s="2" t="b">
        <f>COUNTIF(MASTER!$A$2:$A$1944,F1647)=0</f>
        <v>1</v>
      </c>
      <c r="H1647" s="2"/>
      <c r="I1647" s="2" t="s">
        <v>3418</v>
      </c>
      <c r="J1647" s="2" t="b">
        <f>COUNTIF(MASTER!$L$2:$L$1944,I1647)=0</f>
        <v>1</v>
      </c>
    </row>
    <row r="1648" spans="6:10" x14ac:dyDescent="0.35">
      <c r="F1648" s="2" t="s">
        <v>3419</v>
      </c>
      <c r="G1648" s="2" t="b">
        <f>COUNTIF(MASTER!$A$2:$A$1944,F1648)=0</f>
        <v>1</v>
      </c>
      <c r="H1648" s="2"/>
      <c r="I1648" s="2" t="s">
        <v>3420</v>
      </c>
      <c r="J1648" s="2" t="b">
        <f>COUNTIF(MASTER!$L$2:$L$1944,I1648)=0</f>
        <v>1</v>
      </c>
    </row>
    <row r="1649" spans="6:10" x14ac:dyDescent="0.35">
      <c r="F1649" s="2" t="s">
        <v>3421</v>
      </c>
      <c r="G1649" s="2" t="b">
        <f>COUNTIF(MASTER!$A$2:$A$1944,F1649)=0</f>
        <v>1</v>
      </c>
      <c r="H1649" s="2"/>
      <c r="I1649" s="2" t="s">
        <v>3422</v>
      </c>
      <c r="J1649" s="2" t="b">
        <f>COUNTIF(MASTER!$L$2:$L$1944,I1649)=0</f>
        <v>1</v>
      </c>
    </row>
    <row r="1650" spans="6:10" x14ac:dyDescent="0.35">
      <c r="F1650" s="2" t="s">
        <v>3423</v>
      </c>
      <c r="G1650" s="2" t="b">
        <f>COUNTIF(MASTER!$A$2:$A$1944,F1650)=0</f>
        <v>1</v>
      </c>
      <c r="H1650" s="2"/>
      <c r="I1650" s="2" t="s">
        <v>3424</v>
      </c>
      <c r="J1650" s="2" t="b">
        <f>COUNTIF(MASTER!$L$2:$L$1944,I1650)=0</f>
        <v>1</v>
      </c>
    </row>
    <row r="1651" spans="6:10" x14ac:dyDescent="0.35">
      <c r="F1651" s="2" t="s">
        <v>3425</v>
      </c>
      <c r="G1651" s="2" t="b">
        <f>COUNTIF(MASTER!$A$2:$A$1944,F1651)=0</f>
        <v>1</v>
      </c>
      <c r="H1651" s="2"/>
      <c r="I1651" s="2" t="s">
        <v>3426</v>
      </c>
      <c r="J1651" s="2" t="b">
        <f>COUNTIF(MASTER!$L$2:$L$1944,I1651)=0</f>
        <v>1</v>
      </c>
    </row>
    <row r="1652" spans="6:10" x14ac:dyDescent="0.35">
      <c r="F1652" s="2" t="s">
        <v>3427</v>
      </c>
      <c r="G1652" s="2" t="b">
        <f>COUNTIF(MASTER!$A$2:$A$1944,F1652)=0</f>
        <v>1</v>
      </c>
      <c r="H1652" s="2"/>
      <c r="I1652" s="2" t="s">
        <v>3428</v>
      </c>
      <c r="J1652" s="2" t="b">
        <f>COUNTIF(MASTER!$L$2:$L$1944,I1652)=0</f>
        <v>1</v>
      </c>
    </row>
    <row r="1653" spans="6:10" x14ac:dyDescent="0.35">
      <c r="F1653" s="2" t="s">
        <v>3429</v>
      </c>
      <c r="G1653" s="2" t="b">
        <f>COUNTIF(MASTER!$A$2:$A$1944,F1653)=0</f>
        <v>1</v>
      </c>
      <c r="H1653" s="2"/>
      <c r="I1653" s="2" t="s">
        <v>3430</v>
      </c>
      <c r="J1653" s="2" t="b">
        <f>COUNTIF(MASTER!$L$2:$L$1944,I1653)=0</f>
        <v>1</v>
      </c>
    </row>
    <row r="1654" spans="6:10" x14ac:dyDescent="0.35">
      <c r="F1654" s="2" t="s">
        <v>3431</v>
      </c>
      <c r="G1654" s="2" t="b">
        <f>COUNTIF(MASTER!$A$2:$A$1944,F1654)=0</f>
        <v>1</v>
      </c>
      <c r="H1654" s="2"/>
      <c r="I1654" s="2" t="s">
        <v>3432</v>
      </c>
      <c r="J1654" s="2" t="b">
        <f>COUNTIF(MASTER!$L$2:$L$1944,I1654)=0</f>
        <v>1</v>
      </c>
    </row>
    <row r="1655" spans="6:10" x14ac:dyDescent="0.35">
      <c r="F1655" s="2" t="s">
        <v>3433</v>
      </c>
      <c r="G1655" s="2" t="b">
        <f>COUNTIF(MASTER!$A$2:$A$1944,F1655)=0</f>
        <v>1</v>
      </c>
      <c r="H1655" s="2"/>
      <c r="I1655" s="2" t="s">
        <v>3434</v>
      </c>
      <c r="J1655" s="2" t="b">
        <f>COUNTIF(MASTER!$L$2:$L$1944,I1655)=0</f>
        <v>1</v>
      </c>
    </row>
    <row r="1656" spans="6:10" x14ac:dyDescent="0.35">
      <c r="F1656" s="2" t="s">
        <v>3435</v>
      </c>
      <c r="G1656" s="2" t="b">
        <f>COUNTIF(MASTER!$A$2:$A$1944,F1656)=0</f>
        <v>1</v>
      </c>
      <c r="H1656" s="2"/>
      <c r="I1656" s="2" t="s">
        <v>3436</v>
      </c>
      <c r="J1656" s="2" t="b">
        <f>COUNTIF(MASTER!$L$2:$L$1944,I1656)=0</f>
        <v>1</v>
      </c>
    </row>
    <row r="1657" spans="6:10" x14ac:dyDescent="0.35">
      <c r="F1657" s="2" t="s">
        <v>3437</v>
      </c>
      <c r="G1657" s="2" t="b">
        <f>COUNTIF(MASTER!$A$2:$A$1944,F1657)=0</f>
        <v>1</v>
      </c>
      <c r="H1657" s="2"/>
      <c r="I1657" s="2" t="s">
        <v>3438</v>
      </c>
      <c r="J1657" s="2" t="b">
        <f>COUNTIF(MASTER!$L$2:$L$1944,I1657)=0</f>
        <v>1</v>
      </c>
    </row>
    <row r="1658" spans="6:10" x14ac:dyDescent="0.35">
      <c r="F1658" s="2" t="s">
        <v>3439</v>
      </c>
      <c r="G1658" s="2" t="b">
        <f>COUNTIF(MASTER!$A$2:$A$1944,F1658)=0</f>
        <v>1</v>
      </c>
      <c r="H1658" s="2"/>
      <c r="I1658" s="2" t="s">
        <v>3440</v>
      </c>
      <c r="J1658" s="2" t="b">
        <f>COUNTIF(MASTER!$L$2:$L$1944,I1658)=0</f>
        <v>1</v>
      </c>
    </row>
    <row r="1659" spans="6:10" x14ac:dyDescent="0.35">
      <c r="F1659" s="2" t="s">
        <v>3441</v>
      </c>
      <c r="G1659" s="2" t="b">
        <f>COUNTIF(MASTER!$A$2:$A$1944,F1659)=0</f>
        <v>1</v>
      </c>
      <c r="H1659" s="2"/>
      <c r="I1659" s="2" t="s">
        <v>3442</v>
      </c>
      <c r="J1659" s="2" t="b">
        <f>COUNTIF(MASTER!$L$2:$L$1944,I1659)=0</f>
        <v>1</v>
      </c>
    </row>
    <row r="1660" spans="6:10" x14ac:dyDescent="0.35">
      <c r="F1660" s="2" t="s">
        <v>3443</v>
      </c>
      <c r="G1660" s="2" t="b">
        <f>COUNTIF(MASTER!$A$2:$A$1944,F1660)=0</f>
        <v>1</v>
      </c>
      <c r="H1660" s="2"/>
      <c r="I1660" s="2" t="s">
        <v>3444</v>
      </c>
      <c r="J1660" s="2" t="b">
        <f>COUNTIF(MASTER!$L$2:$L$1944,I1660)=0</f>
        <v>1</v>
      </c>
    </row>
    <row r="1661" spans="6:10" x14ac:dyDescent="0.35">
      <c r="F1661" s="2" t="s">
        <v>3445</v>
      </c>
      <c r="G1661" s="2" t="b">
        <f>COUNTIF(MASTER!$A$2:$A$1944,F1661)=0</f>
        <v>1</v>
      </c>
      <c r="H1661" s="2"/>
      <c r="I1661" s="2" t="s">
        <v>3446</v>
      </c>
      <c r="J1661" s="2" t="b">
        <f>COUNTIF(MASTER!$L$2:$L$1944,I1661)=0</f>
        <v>1</v>
      </c>
    </row>
    <row r="1662" spans="6:10" x14ac:dyDescent="0.35">
      <c r="F1662" s="2" t="s">
        <v>3447</v>
      </c>
      <c r="G1662" s="2" t="b">
        <f>COUNTIF(MASTER!$A$2:$A$1944,F1662)=0</f>
        <v>1</v>
      </c>
      <c r="H1662" s="2"/>
      <c r="I1662" s="2" t="s">
        <v>3448</v>
      </c>
      <c r="J1662" s="2" t="b">
        <f>COUNTIF(MASTER!$L$2:$L$1944,I1662)=0</f>
        <v>1</v>
      </c>
    </row>
    <row r="1663" spans="6:10" x14ac:dyDescent="0.35">
      <c r="F1663" s="2" t="s">
        <v>3449</v>
      </c>
      <c r="G1663" s="2" t="b">
        <f>COUNTIF(MASTER!$A$2:$A$1944,F1663)=0</f>
        <v>1</v>
      </c>
      <c r="H1663" s="2"/>
      <c r="I1663" s="2" t="s">
        <v>3450</v>
      </c>
      <c r="J1663" s="2" t="b">
        <f>COUNTIF(MASTER!$L$2:$L$1944,I1663)=0</f>
        <v>1</v>
      </c>
    </row>
    <row r="1664" spans="6:10" x14ac:dyDescent="0.35">
      <c r="F1664" s="2" t="s">
        <v>3451</v>
      </c>
      <c r="G1664" s="2" t="b">
        <f>COUNTIF(MASTER!$A$2:$A$1944,F1664)=0</f>
        <v>1</v>
      </c>
      <c r="H1664" s="2"/>
      <c r="I1664" s="2" t="s">
        <v>3452</v>
      </c>
      <c r="J1664" s="2" t="b">
        <f>COUNTIF(MASTER!$L$2:$L$1944,I1664)=0</f>
        <v>1</v>
      </c>
    </row>
    <row r="1665" spans="6:10" x14ac:dyDescent="0.35">
      <c r="F1665" s="2" t="s">
        <v>3453</v>
      </c>
      <c r="G1665" s="2" t="b">
        <f>COUNTIF(MASTER!$A$2:$A$1944,F1665)=0</f>
        <v>1</v>
      </c>
      <c r="H1665" s="2"/>
      <c r="I1665" s="2" t="s">
        <v>3454</v>
      </c>
      <c r="J1665" s="2" t="b">
        <f>COUNTIF(MASTER!$L$2:$L$1944,I1665)=0</f>
        <v>1</v>
      </c>
    </row>
    <row r="1666" spans="6:10" x14ac:dyDescent="0.35">
      <c r="F1666" s="2" t="s">
        <v>3455</v>
      </c>
      <c r="G1666" s="2" t="b">
        <f>COUNTIF(MASTER!$A$2:$A$1944,F1666)=0</f>
        <v>1</v>
      </c>
      <c r="H1666" s="2"/>
      <c r="I1666" s="2" t="s">
        <v>3456</v>
      </c>
      <c r="J1666" s="2" t="b">
        <f>COUNTIF(MASTER!$L$2:$L$1944,I1666)=0</f>
        <v>1</v>
      </c>
    </row>
    <row r="1667" spans="6:10" x14ac:dyDescent="0.35">
      <c r="F1667" s="2" t="s">
        <v>3457</v>
      </c>
      <c r="G1667" s="2" t="b">
        <f>COUNTIF(MASTER!$A$2:$A$1944,F1667)=0</f>
        <v>1</v>
      </c>
      <c r="H1667" s="2"/>
      <c r="I1667" s="2" t="s">
        <v>3458</v>
      </c>
      <c r="J1667" s="2" t="b">
        <f>COUNTIF(MASTER!$L$2:$L$1944,I1667)=0</f>
        <v>1</v>
      </c>
    </row>
    <row r="1668" spans="6:10" x14ac:dyDescent="0.35">
      <c r="F1668" s="2" t="s">
        <v>3459</v>
      </c>
      <c r="G1668" s="2" t="b">
        <f>COUNTIF(MASTER!$A$2:$A$1944,F1668)=0</f>
        <v>1</v>
      </c>
      <c r="H1668" s="2"/>
      <c r="I1668" s="2" t="s">
        <v>3460</v>
      </c>
      <c r="J1668" s="2" t="b">
        <f>COUNTIF(MASTER!$L$2:$L$1944,I1668)=0</f>
        <v>1</v>
      </c>
    </row>
    <row r="1669" spans="6:10" x14ac:dyDescent="0.35">
      <c r="F1669" s="2" t="s">
        <v>3461</v>
      </c>
      <c r="G1669" s="2" t="b">
        <f>COUNTIF(MASTER!$A$2:$A$1944,F1669)=0</f>
        <v>1</v>
      </c>
      <c r="H1669" s="2"/>
      <c r="I1669" s="2" t="s">
        <v>3462</v>
      </c>
      <c r="J1669" s="2" t="b">
        <f>COUNTIF(MASTER!$L$2:$L$1944,I1669)=0</f>
        <v>1</v>
      </c>
    </row>
    <row r="1670" spans="6:10" x14ac:dyDescent="0.35">
      <c r="F1670" s="2" t="s">
        <v>3463</v>
      </c>
      <c r="G1670" s="2" t="b">
        <f>COUNTIF(MASTER!$A$2:$A$1944,F1670)=0</f>
        <v>1</v>
      </c>
      <c r="H1670" s="2"/>
      <c r="I1670" s="2" t="s">
        <v>3464</v>
      </c>
      <c r="J1670" s="2" t="b">
        <f>COUNTIF(MASTER!$L$2:$L$1944,I1670)=0</f>
        <v>1</v>
      </c>
    </row>
    <row r="1671" spans="6:10" x14ac:dyDescent="0.35">
      <c r="F1671" s="2" t="s">
        <v>3465</v>
      </c>
      <c r="G1671" s="2" t="b">
        <f>COUNTIF(MASTER!$A$2:$A$1944,F1671)=0</f>
        <v>1</v>
      </c>
      <c r="H1671" s="2"/>
      <c r="I1671" s="2" t="s">
        <v>3466</v>
      </c>
      <c r="J1671" s="2" t="b">
        <f>COUNTIF(MASTER!$L$2:$L$1944,I1671)=0</f>
        <v>1</v>
      </c>
    </row>
    <row r="1672" spans="6:10" x14ac:dyDescent="0.35">
      <c r="F1672" s="2" t="s">
        <v>3467</v>
      </c>
      <c r="G1672" s="2" t="b">
        <f>COUNTIF(MASTER!$A$2:$A$1944,F1672)=0</f>
        <v>1</v>
      </c>
      <c r="H1672" s="2"/>
      <c r="I1672" s="2" t="s">
        <v>3468</v>
      </c>
      <c r="J1672" s="2" t="b">
        <f>COUNTIF(MASTER!$L$2:$L$1944,I1672)=0</f>
        <v>1</v>
      </c>
    </row>
    <row r="1673" spans="6:10" x14ac:dyDescent="0.35">
      <c r="F1673" s="2" t="s">
        <v>3469</v>
      </c>
      <c r="G1673" s="2" t="b">
        <f>COUNTIF(MASTER!$A$2:$A$1944,F1673)=0</f>
        <v>1</v>
      </c>
      <c r="H1673" s="2"/>
      <c r="I1673" s="2" t="s">
        <v>3470</v>
      </c>
      <c r="J1673" s="2" t="b">
        <f>COUNTIF(MASTER!$L$2:$L$1944,I1673)=0</f>
        <v>1</v>
      </c>
    </row>
    <row r="1674" spans="6:10" x14ac:dyDescent="0.35">
      <c r="F1674" s="2" t="s">
        <v>3471</v>
      </c>
      <c r="G1674" s="2" t="b">
        <f>COUNTIF(MASTER!$A$2:$A$1944,F1674)=0</f>
        <v>1</v>
      </c>
      <c r="H1674" s="2"/>
      <c r="I1674" s="2" t="s">
        <v>3472</v>
      </c>
      <c r="J1674" s="2" t="b">
        <f>COUNTIF(MASTER!$L$2:$L$1944,I1674)=0</f>
        <v>1</v>
      </c>
    </row>
    <row r="1675" spans="6:10" x14ac:dyDescent="0.35">
      <c r="F1675" s="2" t="s">
        <v>3473</v>
      </c>
      <c r="G1675" s="2" t="b">
        <f>COUNTIF(MASTER!$A$2:$A$1944,F1675)=0</f>
        <v>1</v>
      </c>
      <c r="H1675" s="2"/>
      <c r="I1675" s="2" t="s">
        <v>3474</v>
      </c>
      <c r="J1675" s="2" t="b">
        <f>COUNTIF(MASTER!$L$2:$L$1944,I1675)=0</f>
        <v>1</v>
      </c>
    </row>
    <row r="1676" spans="6:10" x14ac:dyDescent="0.35">
      <c r="F1676" s="2" t="s">
        <v>3475</v>
      </c>
      <c r="G1676" s="2" t="b">
        <f>COUNTIF(MASTER!$A$2:$A$1944,F1676)=0</f>
        <v>1</v>
      </c>
      <c r="H1676" s="2"/>
      <c r="I1676" s="2" t="s">
        <v>3476</v>
      </c>
      <c r="J1676" s="2" t="b">
        <f>COUNTIF(MASTER!$L$2:$L$1944,I1676)=0</f>
        <v>1</v>
      </c>
    </row>
    <row r="1677" spans="6:10" x14ac:dyDescent="0.35">
      <c r="F1677" s="2" t="s">
        <v>3477</v>
      </c>
      <c r="G1677" s="2" t="b">
        <f>COUNTIF(MASTER!$A$2:$A$1944,F1677)=0</f>
        <v>1</v>
      </c>
      <c r="H1677" s="2"/>
      <c r="I1677" s="2" t="s">
        <v>3478</v>
      </c>
      <c r="J1677" s="2" t="b">
        <f>COUNTIF(MASTER!$L$2:$L$1944,I1677)=0</f>
        <v>1</v>
      </c>
    </row>
    <row r="1678" spans="6:10" x14ac:dyDescent="0.35">
      <c r="F1678" s="2" t="s">
        <v>3479</v>
      </c>
      <c r="G1678" s="2" t="b">
        <f>COUNTIF(MASTER!$A$2:$A$1944,F1678)=0</f>
        <v>1</v>
      </c>
      <c r="H1678" s="2"/>
      <c r="I1678" s="2" t="s">
        <v>3480</v>
      </c>
      <c r="J1678" s="2" t="b">
        <f>COUNTIF(MASTER!$L$2:$L$1944,I1678)=0</f>
        <v>1</v>
      </c>
    </row>
    <row r="1679" spans="6:10" x14ac:dyDescent="0.35">
      <c r="F1679" s="2" t="s">
        <v>3481</v>
      </c>
      <c r="G1679" s="2" t="b">
        <f>COUNTIF(MASTER!$A$2:$A$1944,F1679)=0</f>
        <v>1</v>
      </c>
      <c r="H1679" s="2"/>
      <c r="I1679" s="2" t="s">
        <v>3482</v>
      </c>
      <c r="J1679" s="2" t="b">
        <f>COUNTIF(MASTER!$L$2:$L$1944,I1679)=0</f>
        <v>1</v>
      </c>
    </row>
    <row r="1680" spans="6:10" x14ac:dyDescent="0.35">
      <c r="F1680" s="2" t="s">
        <v>3483</v>
      </c>
      <c r="G1680" s="2" t="b">
        <f>COUNTIF(MASTER!$A$2:$A$1944,F1680)=0</f>
        <v>1</v>
      </c>
      <c r="H1680" s="2"/>
      <c r="I1680" s="2" t="s">
        <v>3484</v>
      </c>
      <c r="J1680" s="2" t="b">
        <f>COUNTIF(MASTER!$L$2:$L$1944,I1680)=0</f>
        <v>1</v>
      </c>
    </row>
    <row r="1681" spans="6:10" x14ac:dyDescent="0.35">
      <c r="F1681" s="2" t="s">
        <v>3485</v>
      </c>
      <c r="G1681" s="2" t="b">
        <f>COUNTIF(MASTER!$A$2:$A$1944,F1681)=0</f>
        <v>1</v>
      </c>
      <c r="H1681" s="2"/>
      <c r="I1681" s="2" t="s">
        <v>3486</v>
      </c>
      <c r="J1681" s="2" t="b">
        <f>COUNTIF(MASTER!$L$2:$L$1944,I1681)=0</f>
        <v>1</v>
      </c>
    </row>
    <row r="1682" spans="6:10" x14ac:dyDescent="0.35">
      <c r="F1682" s="2" t="s">
        <v>3487</v>
      </c>
      <c r="G1682" s="2" t="b">
        <f>COUNTIF(MASTER!$A$2:$A$1944,F1682)=0</f>
        <v>1</v>
      </c>
      <c r="H1682" s="2"/>
      <c r="I1682" s="2" t="s">
        <v>3488</v>
      </c>
      <c r="J1682" s="2" t="b">
        <f>COUNTIF(MASTER!$L$2:$L$1944,I1682)=0</f>
        <v>1</v>
      </c>
    </row>
    <row r="1683" spans="6:10" x14ac:dyDescent="0.35">
      <c r="F1683" s="2" t="s">
        <v>3489</v>
      </c>
      <c r="G1683" s="2" t="b">
        <f>COUNTIF(MASTER!$A$2:$A$1944,F1683)=0</f>
        <v>1</v>
      </c>
      <c r="H1683" s="2"/>
      <c r="I1683" s="2" t="s">
        <v>3490</v>
      </c>
      <c r="J1683" s="2" t="b">
        <f>COUNTIF(MASTER!$L$2:$L$1944,I1683)=0</f>
        <v>1</v>
      </c>
    </row>
    <row r="1684" spans="6:10" x14ac:dyDescent="0.35">
      <c r="F1684" s="2" t="s">
        <v>3491</v>
      </c>
      <c r="G1684" s="2" t="b">
        <f>COUNTIF(MASTER!$A$2:$A$1944,F1684)=0</f>
        <v>1</v>
      </c>
      <c r="H1684" s="2"/>
      <c r="I1684" s="2" t="s">
        <v>3492</v>
      </c>
      <c r="J1684" s="2" t="b">
        <f>COUNTIF(MASTER!$L$2:$L$1944,I1684)=0</f>
        <v>1</v>
      </c>
    </row>
    <row r="1685" spans="6:10" x14ac:dyDescent="0.35">
      <c r="F1685" s="2" t="s">
        <v>3493</v>
      </c>
      <c r="G1685" s="2" t="b">
        <f>COUNTIF(MASTER!$A$2:$A$1944,F1685)=0</f>
        <v>1</v>
      </c>
      <c r="H1685" s="2"/>
      <c r="I1685" s="2" t="s">
        <v>3494</v>
      </c>
      <c r="J1685" s="2" t="b">
        <f>COUNTIF(MASTER!$L$2:$L$1944,I1685)=0</f>
        <v>1</v>
      </c>
    </row>
    <row r="1686" spans="6:10" x14ac:dyDescent="0.35">
      <c r="F1686" s="2" t="s">
        <v>3495</v>
      </c>
      <c r="G1686" s="2" t="b">
        <f>COUNTIF(MASTER!$A$2:$A$1944,F1686)=0</f>
        <v>1</v>
      </c>
      <c r="H1686" s="2"/>
      <c r="I1686" s="2" t="s">
        <v>3496</v>
      </c>
      <c r="J1686" s="2" t="b">
        <f>COUNTIF(MASTER!$L$2:$L$1944,I1686)=0</f>
        <v>1</v>
      </c>
    </row>
    <row r="1687" spans="6:10" x14ac:dyDescent="0.35">
      <c r="F1687" s="2" t="s">
        <v>3497</v>
      </c>
      <c r="G1687" s="2" t="b">
        <f>COUNTIF(MASTER!$A$2:$A$1944,F1687)=0</f>
        <v>1</v>
      </c>
      <c r="H1687" s="2"/>
      <c r="I1687" s="2" t="s">
        <v>3498</v>
      </c>
      <c r="J1687" s="2" t="b">
        <f>COUNTIF(MASTER!$L$2:$L$1944,I1687)=0</f>
        <v>1</v>
      </c>
    </row>
    <row r="1688" spans="6:10" x14ac:dyDescent="0.35">
      <c r="F1688" s="2" t="s">
        <v>3499</v>
      </c>
      <c r="G1688" s="2" t="b">
        <f>COUNTIF(MASTER!$A$2:$A$1944,F1688)=0</f>
        <v>1</v>
      </c>
      <c r="H1688" s="2"/>
      <c r="I1688" s="2" t="s">
        <v>3500</v>
      </c>
      <c r="J1688" s="2" t="b">
        <f>COUNTIF(MASTER!$L$2:$L$1944,I1688)=0</f>
        <v>1</v>
      </c>
    </row>
    <row r="1689" spans="6:10" x14ac:dyDescent="0.35">
      <c r="F1689" s="2" t="s">
        <v>3501</v>
      </c>
      <c r="G1689" s="2" t="b">
        <f>COUNTIF(MASTER!$A$2:$A$1944,F1689)=0</f>
        <v>1</v>
      </c>
      <c r="H1689" s="2"/>
      <c r="I1689" s="2" t="s">
        <v>3502</v>
      </c>
      <c r="J1689" s="2" t="b">
        <f>COUNTIF(MASTER!$L$2:$L$1944,I1689)=0</f>
        <v>1</v>
      </c>
    </row>
    <row r="1690" spans="6:10" x14ac:dyDescent="0.35">
      <c r="F1690" s="2" t="s">
        <v>3503</v>
      </c>
      <c r="G1690" s="2" t="b">
        <f>COUNTIF(MASTER!$A$2:$A$1944,F1690)=0</f>
        <v>1</v>
      </c>
      <c r="H1690" s="2"/>
      <c r="I1690" s="2" t="s">
        <v>3504</v>
      </c>
      <c r="J1690" s="2" t="b">
        <f>COUNTIF(MASTER!$L$2:$L$1944,I1690)=0</f>
        <v>1</v>
      </c>
    </row>
    <row r="1691" spans="6:10" x14ac:dyDescent="0.35">
      <c r="F1691" s="2" t="s">
        <v>3505</v>
      </c>
      <c r="G1691" s="2" t="b">
        <f>COUNTIF(MASTER!$A$2:$A$1944,F1691)=0</f>
        <v>1</v>
      </c>
      <c r="H1691" s="2"/>
      <c r="I1691" s="2" t="s">
        <v>3506</v>
      </c>
      <c r="J1691" s="2" t="b">
        <f>COUNTIF(MASTER!$L$2:$L$1944,I1691)=0</f>
        <v>1</v>
      </c>
    </row>
    <row r="1692" spans="6:10" x14ac:dyDescent="0.35">
      <c r="F1692" s="2" t="s">
        <v>3507</v>
      </c>
      <c r="G1692" s="2" t="b">
        <f>COUNTIF(MASTER!$A$2:$A$1944,F1692)=0</f>
        <v>1</v>
      </c>
      <c r="H1692" s="2"/>
      <c r="I1692" s="2" t="s">
        <v>3508</v>
      </c>
      <c r="J1692" s="2" t="b">
        <f>COUNTIF(MASTER!$L$2:$L$1944,I1692)=0</f>
        <v>1</v>
      </c>
    </row>
    <row r="1693" spans="6:10" x14ac:dyDescent="0.35">
      <c r="F1693" s="2" t="s">
        <v>3509</v>
      </c>
      <c r="G1693" s="2" t="b">
        <f>COUNTIF(MASTER!$A$2:$A$1944,F1693)=0</f>
        <v>1</v>
      </c>
      <c r="H1693" s="2"/>
      <c r="I1693" s="2" t="s">
        <v>3510</v>
      </c>
      <c r="J1693" s="2" t="b">
        <f>COUNTIF(MASTER!$L$2:$L$1944,I1693)=0</f>
        <v>1</v>
      </c>
    </row>
    <row r="1694" spans="6:10" x14ac:dyDescent="0.35">
      <c r="F1694" s="2" t="s">
        <v>3511</v>
      </c>
      <c r="G1694" s="2" t="b">
        <f>COUNTIF(MASTER!$A$2:$A$1944,F1694)=0</f>
        <v>1</v>
      </c>
      <c r="H1694" s="2"/>
      <c r="I1694" s="2" t="s">
        <v>3512</v>
      </c>
      <c r="J1694" s="2" t="b">
        <f>COUNTIF(MASTER!$L$2:$L$1944,I1694)=0</f>
        <v>1</v>
      </c>
    </row>
    <row r="1695" spans="6:10" x14ac:dyDescent="0.35">
      <c r="F1695" s="2" t="s">
        <v>3513</v>
      </c>
      <c r="G1695" s="2" t="b">
        <f>COUNTIF(MASTER!$A$2:$A$1944,F1695)=0</f>
        <v>1</v>
      </c>
      <c r="H1695" s="2"/>
      <c r="I1695" s="2" t="s">
        <v>3514</v>
      </c>
      <c r="J1695" s="2" t="b">
        <f>COUNTIF(MASTER!$L$2:$L$1944,I1695)=0</f>
        <v>1</v>
      </c>
    </row>
    <row r="1696" spans="6:10" x14ac:dyDescent="0.35">
      <c r="F1696" s="2" t="s">
        <v>3515</v>
      </c>
      <c r="G1696" s="2" t="b">
        <f>COUNTIF(MASTER!$A$2:$A$1944,F1696)=0</f>
        <v>1</v>
      </c>
      <c r="H1696" s="2"/>
      <c r="I1696" s="2" t="s">
        <v>3516</v>
      </c>
      <c r="J1696" s="2" t="b">
        <f>COUNTIF(MASTER!$L$2:$L$1944,I1696)=0</f>
        <v>1</v>
      </c>
    </row>
    <row r="1697" spans="6:10" x14ac:dyDescent="0.35">
      <c r="F1697" s="2" t="s">
        <v>3517</v>
      </c>
      <c r="G1697" s="2" t="b">
        <f>COUNTIF(MASTER!$A$2:$A$1944,F1697)=0</f>
        <v>1</v>
      </c>
      <c r="H1697" s="2"/>
      <c r="I1697" s="2" t="s">
        <v>3518</v>
      </c>
      <c r="J1697" s="2" t="b">
        <f>COUNTIF(MASTER!$L$2:$L$1944,I1697)=0</f>
        <v>1</v>
      </c>
    </row>
    <row r="1698" spans="6:10" x14ac:dyDescent="0.35">
      <c r="F1698" s="2" t="s">
        <v>3519</v>
      </c>
      <c r="G1698" s="2" t="b">
        <f>COUNTIF(MASTER!$A$2:$A$1944,F1698)=0</f>
        <v>1</v>
      </c>
      <c r="H1698" s="2"/>
      <c r="I1698" s="2" t="s">
        <v>3520</v>
      </c>
      <c r="J1698" s="2" t="b">
        <f>COUNTIF(MASTER!$L$2:$L$1944,I1698)=0</f>
        <v>1</v>
      </c>
    </row>
    <row r="1699" spans="6:10" x14ac:dyDescent="0.35">
      <c r="F1699" s="2" t="s">
        <v>3521</v>
      </c>
      <c r="G1699" s="2" t="b">
        <f>COUNTIF(MASTER!$A$2:$A$1944,F1699)=0</f>
        <v>1</v>
      </c>
      <c r="H1699" s="2"/>
      <c r="I1699" s="2" t="s">
        <v>3522</v>
      </c>
      <c r="J1699" s="2" t="b">
        <f>COUNTIF(MASTER!$L$2:$L$1944,I1699)=0</f>
        <v>1</v>
      </c>
    </row>
    <row r="1700" spans="6:10" x14ac:dyDescent="0.35">
      <c r="F1700" s="2" t="s">
        <v>3523</v>
      </c>
      <c r="G1700" s="2" t="b">
        <f>COUNTIF(MASTER!$A$2:$A$1944,F1700)=0</f>
        <v>1</v>
      </c>
      <c r="H1700" s="2"/>
      <c r="I1700" s="2" t="s">
        <v>3524</v>
      </c>
      <c r="J1700" s="2" t="b">
        <f>COUNTIF(MASTER!$L$2:$L$1944,I1700)=0</f>
        <v>1</v>
      </c>
    </row>
    <row r="1701" spans="6:10" x14ac:dyDescent="0.35">
      <c r="F1701" s="2" t="s">
        <v>3525</v>
      </c>
      <c r="G1701" s="2" t="b">
        <f>COUNTIF(MASTER!$A$2:$A$1944,F1701)=0</f>
        <v>1</v>
      </c>
      <c r="H1701" s="2"/>
      <c r="I1701" s="2" t="s">
        <v>3526</v>
      </c>
      <c r="J1701" s="2" t="b">
        <f>COUNTIF(MASTER!$L$2:$L$1944,I1701)=0</f>
        <v>1</v>
      </c>
    </row>
    <row r="1702" spans="6:10" x14ac:dyDescent="0.35">
      <c r="F1702" s="2" t="s">
        <v>3527</v>
      </c>
      <c r="G1702" s="2" t="b">
        <f>COUNTIF(MASTER!$A$2:$A$1944,F1702)=0</f>
        <v>1</v>
      </c>
      <c r="H1702" s="2"/>
      <c r="I1702" s="2" t="s">
        <v>3528</v>
      </c>
      <c r="J1702" s="2" t="b">
        <f>COUNTIF(MASTER!$L$2:$L$1944,I1702)=0</f>
        <v>1</v>
      </c>
    </row>
    <row r="1703" spans="6:10" x14ac:dyDescent="0.35">
      <c r="F1703" s="2" t="s">
        <v>3529</v>
      </c>
      <c r="G1703" s="2" t="b">
        <f>COUNTIF(MASTER!$A$2:$A$1944,F1703)=0</f>
        <v>1</v>
      </c>
      <c r="H1703" s="2"/>
      <c r="I1703" s="2" t="s">
        <v>3530</v>
      </c>
      <c r="J1703" s="2" t="b">
        <f>COUNTIF(MASTER!$L$2:$L$1944,I1703)=0</f>
        <v>1</v>
      </c>
    </row>
    <row r="1704" spans="6:10" x14ac:dyDescent="0.35">
      <c r="F1704" s="2" t="s">
        <v>3531</v>
      </c>
      <c r="G1704" s="2" t="b">
        <f>COUNTIF(MASTER!$A$2:$A$1944,F1704)=0</f>
        <v>1</v>
      </c>
      <c r="H1704" s="2"/>
      <c r="I1704" s="2" t="s">
        <v>3532</v>
      </c>
      <c r="J1704" s="2" t="b">
        <f>COUNTIF(MASTER!$L$2:$L$1944,I1704)=0</f>
        <v>1</v>
      </c>
    </row>
    <row r="1705" spans="6:10" x14ac:dyDescent="0.35">
      <c r="F1705" s="2" t="s">
        <v>3533</v>
      </c>
      <c r="G1705" s="2" t="b">
        <f>COUNTIF(MASTER!$A$2:$A$1944,F1705)=0</f>
        <v>1</v>
      </c>
      <c r="H1705" s="2"/>
      <c r="I1705" s="2" t="s">
        <v>3534</v>
      </c>
      <c r="J1705" s="2" t="b">
        <f>COUNTIF(MASTER!$L$2:$L$1944,I1705)=0</f>
        <v>1</v>
      </c>
    </row>
    <row r="1706" spans="6:10" x14ac:dyDescent="0.35">
      <c r="F1706" s="2" t="s">
        <v>3535</v>
      </c>
      <c r="G1706" s="2" t="b">
        <f>COUNTIF(MASTER!$A$2:$A$1944,F1706)=0</f>
        <v>1</v>
      </c>
      <c r="H1706" s="2"/>
      <c r="I1706" s="2" t="s">
        <v>3536</v>
      </c>
      <c r="J1706" s="2" t="b">
        <f>COUNTIF(MASTER!$L$2:$L$1944,I1706)=0</f>
        <v>1</v>
      </c>
    </row>
    <row r="1707" spans="6:10" x14ac:dyDescent="0.35">
      <c r="F1707" s="2" t="s">
        <v>3537</v>
      </c>
      <c r="G1707" s="2" t="b">
        <f>COUNTIF(MASTER!$A$2:$A$1944,F1707)=0</f>
        <v>1</v>
      </c>
      <c r="H1707" s="2"/>
      <c r="I1707" s="2" t="s">
        <v>3538</v>
      </c>
      <c r="J1707" s="2" t="b">
        <f>COUNTIF(MASTER!$L$2:$L$1944,I1707)=0</f>
        <v>1</v>
      </c>
    </row>
    <row r="1708" spans="6:10" x14ac:dyDescent="0.35">
      <c r="F1708" s="2" t="s">
        <v>3539</v>
      </c>
      <c r="G1708" s="2" t="b">
        <f>COUNTIF(MASTER!$A$2:$A$1944,F1708)=0</f>
        <v>1</v>
      </c>
      <c r="H1708" s="2"/>
      <c r="I1708" s="2" t="s">
        <v>3540</v>
      </c>
      <c r="J1708" s="2" t="b">
        <f>COUNTIF(MASTER!$L$2:$L$1944,I1708)=0</f>
        <v>1</v>
      </c>
    </row>
    <row r="1709" spans="6:10" x14ac:dyDescent="0.35">
      <c r="F1709" s="2" t="s">
        <v>3541</v>
      </c>
      <c r="G1709" s="2" t="b">
        <f>COUNTIF(MASTER!$A$2:$A$1944,F1709)=0</f>
        <v>1</v>
      </c>
      <c r="H1709" s="2"/>
      <c r="I1709" s="2" t="s">
        <v>3542</v>
      </c>
      <c r="J1709" s="2" t="b">
        <f>COUNTIF(MASTER!$L$2:$L$1944,I1709)=0</f>
        <v>1</v>
      </c>
    </row>
    <row r="1710" spans="6:10" x14ac:dyDescent="0.35">
      <c r="F1710" s="2" t="s">
        <v>3543</v>
      </c>
      <c r="G1710" s="2" t="b">
        <f>COUNTIF(MASTER!$A$2:$A$1944,F1710)=0</f>
        <v>1</v>
      </c>
      <c r="H1710" s="2"/>
      <c r="I1710" s="2" t="s">
        <v>3544</v>
      </c>
      <c r="J1710" s="2" t="b">
        <f>COUNTIF(MASTER!$L$2:$L$1944,I1710)=0</f>
        <v>1</v>
      </c>
    </row>
    <row r="1711" spans="6:10" x14ac:dyDescent="0.35">
      <c r="F1711" s="2" t="s">
        <v>3545</v>
      </c>
      <c r="G1711" s="2" t="b">
        <f>COUNTIF(MASTER!$A$2:$A$1944,F1711)=0</f>
        <v>1</v>
      </c>
      <c r="H1711" s="2"/>
      <c r="I1711" s="2" t="s">
        <v>3546</v>
      </c>
      <c r="J1711" s="2" t="b">
        <f>COUNTIF(MASTER!$L$2:$L$1944,I1711)=0</f>
        <v>1</v>
      </c>
    </row>
    <row r="1712" spans="6:10" x14ac:dyDescent="0.35">
      <c r="F1712" s="2" t="s">
        <v>3547</v>
      </c>
      <c r="G1712" s="2" t="b">
        <f>COUNTIF(MASTER!$A$2:$A$1944,F1712)=0</f>
        <v>1</v>
      </c>
      <c r="H1712" s="2"/>
      <c r="I1712" s="2" t="s">
        <v>3548</v>
      </c>
      <c r="J1712" s="2" t="b">
        <f>COUNTIF(MASTER!$L$2:$L$1944,I1712)=0</f>
        <v>1</v>
      </c>
    </row>
    <row r="1713" spans="6:10" x14ac:dyDescent="0.35">
      <c r="F1713" s="2" t="s">
        <v>3549</v>
      </c>
      <c r="G1713" s="2" t="b">
        <f>COUNTIF(MASTER!$A$2:$A$1944,F1713)=0</f>
        <v>1</v>
      </c>
      <c r="H1713" s="2"/>
      <c r="I1713" s="2" t="s">
        <v>3550</v>
      </c>
      <c r="J1713" s="2" t="b">
        <f>COUNTIF(MASTER!$L$2:$L$1944,I1713)=0</f>
        <v>1</v>
      </c>
    </row>
    <row r="1714" spans="6:10" x14ac:dyDescent="0.35">
      <c r="F1714" s="2" t="s">
        <v>3551</v>
      </c>
      <c r="G1714" s="2" t="b">
        <f>COUNTIF(MASTER!$A$2:$A$1944,F1714)=0</f>
        <v>1</v>
      </c>
      <c r="H1714" s="2"/>
      <c r="I1714" s="2" t="s">
        <v>3552</v>
      </c>
      <c r="J1714" s="2" t="b">
        <f>COUNTIF(MASTER!$L$2:$L$1944,I1714)=0</f>
        <v>1</v>
      </c>
    </row>
    <row r="1715" spans="6:10" x14ac:dyDescent="0.35">
      <c r="F1715" s="2" t="s">
        <v>3553</v>
      </c>
      <c r="G1715" s="2" t="b">
        <f>COUNTIF(MASTER!$A$2:$A$1944,F1715)=0</f>
        <v>1</v>
      </c>
      <c r="H1715" s="2"/>
      <c r="I1715" s="2" t="s">
        <v>3554</v>
      </c>
      <c r="J1715" s="2" t="b">
        <f>COUNTIF(MASTER!$L$2:$L$1944,I1715)=0</f>
        <v>1</v>
      </c>
    </row>
    <row r="1716" spans="6:10" x14ac:dyDescent="0.35">
      <c r="F1716" s="2" t="s">
        <v>3555</v>
      </c>
      <c r="G1716" s="2" t="b">
        <f>COUNTIF(MASTER!$A$2:$A$1944,F1716)=0</f>
        <v>1</v>
      </c>
      <c r="H1716" s="2"/>
      <c r="I1716" s="2" t="s">
        <v>3556</v>
      </c>
      <c r="J1716" s="2" t="b">
        <f>COUNTIF(MASTER!$L$2:$L$1944,I1716)=0</f>
        <v>1</v>
      </c>
    </row>
    <row r="1717" spans="6:10" x14ac:dyDescent="0.35">
      <c r="F1717" s="2" t="s">
        <v>3557</v>
      </c>
      <c r="G1717" s="2" t="b">
        <f>COUNTIF(MASTER!$A$2:$A$1944,F1717)=0</f>
        <v>1</v>
      </c>
      <c r="H1717" s="2"/>
      <c r="I1717" s="2" t="s">
        <v>3558</v>
      </c>
      <c r="J1717" s="2" t="b">
        <f>COUNTIF(MASTER!$L$2:$L$1944,I1717)=0</f>
        <v>1</v>
      </c>
    </row>
    <row r="1718" spans="6:10" x14ac:dyDescent="0.35">
      <c r="F1718" s="2" t="s">
        <v>3559</v>
      </c>
      <c r="G1718" s="2" t="b">
        <f>COUNTIF(MASTER!$A$2:$A$1944,F1718)=0</f>
        <v>1</v>
      </c>
      <c r="H1718" s="2"/>
      <c r="I1718" s="2" t="s">
        <v>3560</v>
      </c>
      <c r="J1718" s="2" t="b">
        <f>COUNTIF(MASTER!$L$2:$L$1944,I1718)=0</f>
        <v>1</v>
      </c>
    </row>
    <row r="1719" spans="6:10" x14ac:dyDescent="0.35">
      <c r="F1719" s="2" t="s">
        <v>3561</v>
      </c>
      <c r="G1719" s="2" t="b">
        <f>COUNTIF(MASTER!$A$2:$A$1944,F1719)=0</f>
        <v>1</v>
      </c>
      <c r="H1719" s="2"/>
      <c r="I1719" s="2" t="s">
        <v>3562</v>
      </c>
      <c r="J1719" s="2" t="b">
        <f>COUNTIF(MASTER!$L$2:$L$1944,I1719)=0</f>
        <v>1</v>
      </c>
    </row>
    <row r="1720" spans="6:10" x14ac:dyDescent="0.35">
      <c r="F1720" s="2" t="s">
        <v>3563</v>
      </c>
      <c r="G1720" s="2" t="b">
        <f>COUNTIF(MASTER!$A$2:$A$1944,F1720)=0</f>
        <v>1</v>
      </c>
      <c r="H1720" s="2"/>
      <c r="I1720" s="2" t="s">
        <v>3564</v>
      </c>
      <c r="J1720" s="2" t="b">
        <f>COUNTIF(MASTER!$L$2:$L$1944,I1720)=0</f>
        <v>1</v>
      </c>
    </row>
    <row r="1721" spans="6:10" x14ac:dyDescent="0.35">
      <c r="F1721" s="2" t="s">
        <v>3565</v>
      </c>
      <c r="G1721" s="2" t="b">
        <f>COUNTIF(MASTER!$A$2:$A$1944,F1721)=0</f>
        <v>1</v>
      </c>
      <c r="H1721" s="2"/>
      <c r="I1721" s="2" t="s">
        <v>3566</v>
      </c>
      <c r="J1721" s="2" t="b">
        <f>COUNTIF(MASTER!$L$2:$L$1944,I1721)=0</f>
        <v>1</v>
      </c>
    </row>
    <row r="1722" spans="6:10" x14ac:dyDescent="0.35">
      <c r="F1722" s="2" t="s">
        <v>3567</v>
      </c>
      <c r="G1722" s="2" t="b">
        <f>COUNTIF(MASTER!$A$2:$A$1944,F1722)=0</f>
        <v>1</v>
      </c>
      <c r="H1722" s="2"/>
      <c r="I1722" s="2" t="s">
        <v>3568</v>
      </c>
      <c r="J1722" s="2" t="b">
        <f>COUNTIF(MASTER!$L$2:$L$1944,I1722)=0</f>
        <v>1</v>
      </c>
    </row>
    <row r="1723" spans="6:10" x14ac:dyDescent="0.35">
      <c r="F1723" s="2" t="s">
        <v>3569</v>
      </c>
      <c r="G1723" s="2" t="b">
        <f>COUNTIF(MASTER!$A$2:$A$1944,F1723)=0</f>
        <v>1</v>
      </c>
      <c r="H1723" s="2"/>
      <c r="I1723" s="2" t="s">
        <v>3570</v>
      </c>
      <c r="J1723" s="2" t="b">
        <f>COUNTIF(MASTER!$L$2:$L$1944,I1723)=0</f>
        <v>1</v>
      </c>
    </row>
    <row r="1724" spans="6:10" x14ac:dyDescent="0.35">
      <c r="F1724" s="2" t="s">
        <v>3571</v>
      </c>
      <c r="G1724" s="2" t="b">
        <f>COUNTIF(MASTER!$A$2:$A$1944,F1724)=0</f>
        <v>1</v>
      </c>
      <c r="H1724" s="2"/>
      <c r="I1724" s="2" t="s">
        <v>3572</v>
      </c>
      <c r="J1724" s="2" t="b">
        <f>COUNTIF(MASTER!$L$2:$L$1944,I1724)=0</f>
        <v>1</v>
      </c>
    </row>
    <row r="1725" spans="6:10" x14ac:dyDescent="0.35">
      <c r="F1725" s="2" t="s">
        <v>3573</v>
      </c>
      <c r="G1725" s="2" t="b">
        <f>COUNTIF(MASTER!$A$2:$A$1944,F1725)=0</f>
        <v>1</v>
      </c>
      <c r="H1725" s="2"/>
      <c r="I1725" s="2" t="s">
        <v>3574</v>
      </c>
      <c r="J1725" s="2" t="b">
        <f>COUNTIF(MASTER!$L$2:$L$1944,I1725)=0</f>
        <v>1</v>
      </c>
    </row>
    <row r="1726" spans="6:10" x14ac:dyDescent="0.35">
      <c r="F1726" s="2" t="s">
        <v>3575</v>
      </c>
      <c r="G1726" s="2" t="b">
        <f>COUNTIF(MASTER!$A$2:$A$1944,F1726)=0</f>
        <v>1</v>
      </c>
      <c r="H1726" s="2"/>
      <c r="I1726" s="2" t="s">
        <v>3576</v>
      </c>
      <c r="J1726" s="2" t="b">
        <f>COUNTIF(MASTER!$L$2:$L$1944,I1726)=0</f>
        <v>1</v>
      </c>
    </row>
    <row r="1727" spans="6:10" x14ac:dyDescent="0.35">
      <c r="F1727" s="2" t="s">
        <v>3577</v>
      </c>
      <c r="G1727" s="2" t="b">
        <f>COUNTIF(MASTER!$A$2:$A$1944,F1727)=0</f>
        <v>1</v>
      </c>
      <c r="H1727" s="2"/>
      <c r="I1727" s="2" t="s">
        <v>3578</v>
      </c>
      <c r="J1727" s="2" t="b">
        <f>COUNTIF(MASTER!$L$2:$L$1944,I1727)=0</f>
        <v>1</v>
      </c>
    </row>
    <row r="1728" spans="6:10" x14ac:dyDescent="0.35">
      <c r="F1728" s="2" t="s">
        <v>3579</v>
      </c>
      <c r="G1728" s="2" t="b">
        <f>COUNTIF(MASTER!$A$2:$A$1944,F1728)=0</f>
        <v>1</v>
      </c>
      <c r="H1728" s="2"/>
      <c r="I1728" s="2" t="s">
        <v>3580</v>
      </c>
      <c r="J1728" s="2" t="b">
        <f>COUNTIF(MASTER!$L$2:$L$1944,I1728)=0</f>
        <v>1</v>
      </c>
    </row>
    <row r="1729" spans="6:10" x14ac:dyDescent="0.35">
      <c r="F1729" s="2" t="s">
        <v>3581</v>
      </c>
      <c r="G1729" s="2" t="b">
        <f>COUNTIF(MASTER!$A$2:$A$1944,F1729)=0</f>
        <v>1</v>
      </c>
      <c r="H1729" s="2"/>
      <c r="I1729" s="2" t="s">
        <v>3582</v>
      </c>
      <c r="J1729" s="2" t="b">
        <f>COUNTIF(MASTER!$L$2:$L$1944,I1729)=0</f>
        <v>1</v>
      </c>
    </row>
    <row r="1730" spans="6:10" x14ac:dyDescent="0.35">
      <c r="F1730" s="2" t="s">
        <v>3583</v>
      </c>
      <c r="G1730" s="2" t="b">
        <f>COUNTIF(MASTER!$A$2:$A$1944,F1730)=0</f>
        <v>1</v>
      </c>
      <c r="H1730" s="2"/>
      <c r="I1730" s="2" t="s">
        <v>3584</v>
      </c>
      <c r="J1730" s="2" t="b">
        <f>COUNTIF(MASTER!$L$2:$L$1944,I1730)=0</f>
        <v>1</v>
      </c>
    </row>
    <row r="1731" spans="6:10" x14ac:dyDescent="0.35">
      <c r="F1731" s="2" t="s">
        <v>3585</v>
      </c>
      <c r="G1731" s="2" t="b">
        <f>COUNTIF(MASTER!$A$2:$A$1944,F1731)=0</f>
        <v>1</v>
      </c>
      <c r="H1731" s="2"/>
      <c r="I1731" s="2" t="s">
        <v>3586</v>
      </c>
      <c r="J1731" s="2" t="b">
        <f>COUNTIF(MASTER!$L$2:$L$1944,I1731)=0</f>
        <v>1</v>
      </c>
    </row>
    <row r="1732" spans="6:10" x14ac:dyDescent="0.35">
      <c r="F1732" s="2" t="s">
        <v>3587</v>
      </c>
      <c r="G1732" s="2" t="b">
        <f>COUNTIF(MASTER!$A$2:$A$1944,F1732)=0</f>
        <v>1</v>
      </c>
      <c r="H1732" s="2"/>
      <c r="I1732" s="2" t="s">
        <v>3588</v>
      </c>
      <c r="J1732" s="2" t="b">
        <f>COUNTIF(MASTER!$L$2:$L$1944,I1732)=0</f>
        <v>1</v>
      </c>
    </row>
    <row r="1733" spans="6:10" x14ac:dyDescent="0.35">
      <c r="F1733" s="2" t="s">
        <v>3589</v>
      </c>
      <c r="G1733" s="2" t="b">
        <f>COUNTIF(MASTER!$A$2:$A$1944,F1733)=0</f>
        <v>1</v>
      </c>
      <c r="H1733" s="2"/>
      <c r="I1733" s="2" t="s">
        <v>3590</v>
      </c>
      <c r="J1733" s="2" t="b">
        <f>COUNTIF(MASTER!$L$2:$L$1944,I1733)=0</f>
        <v>1</v>
      </c>
    </row>
    <row r="1734" spans="6:10" x14ac:dyDescent="0.35">
      <c r="F1734" s="2" t="s">
        <v>3591</v>
      </c>
      <c r="G1734" s="2" t="b">
        <f>COUNTIF(MASTER!$A$2:$A$1944,F1734)=0</f>
        <v>1</v>
      </c>
      <c r="H1734" s="2"/>
      <c r="I1734" s="2" t="s">
        <v>3592</v>
      </c>
      <c r="J1734" s="2" t="b">
        <f>COUNTIF(MASTER!$L$2:$L$1944,I1734)=0</f>
        <v>1</v>
      </c>
    </row>
    <row r="1735" spans="6:10" x14ac:dyDescent="0.35">
      <c r="F1735" s="2" t="s">
        <v>3593</v>
      </c>
      <c r="G1735" s="2" t="b">
        <f>COUNTIF(MASTER!$A$2:$A$1944,F1735)=0</f>
        <v>1</v>
      </c>
      <c r="H1735" s="2"/>
      <c r="I1735" s="2" t="s">
        <v>3594</v>
      </c>
      <c r="J1735" s="2" t="b">
        <f>COUNTIF(MASTER!$L$2:$L$1944,I1735)=0</f>
        <v>1</v>
      </c>
    </row>
    <row r="1736" spans="6:10" x14ac:dyDescent="0.35">
      <c r="F1736" s="2" t="s">
        <v>3595</v>
      </c>
      <c r="G1736" s="2" t="b">
        <f>COUNTIF(MASTER!$A$2:$A$1944,F1736)=0</f>
        <v>1</v>
      </c>
      <c r="H1736" s="2"/>
      <c r="I1736" s="2" t="s">
        <v>3596</v>
      </c>
      <c r="J1736" s="2" t="b">
        <f>COUNTIF(MASTER!$L$2:$L$1944,I1736)=0</f>
        <v>1</v>
      </c>
    </row>
    <row r="1737" spans="6:10" x14ac:dyDescent="0.35">
      <c r="F1737" s="2" t="s">
        <v>3597</v>
      </c>
      <c r="G1737" s="2" t="b">
        <f>COUNTIF(MASTER!$A$2:$A$1944,F1737)=0</f>
        <v>1</v>
      </c>
      <c r="H1737" s="2"/>
      <c r="I1737" s="2" t="s">
        <v>3598</v>
      </c>
      <c r="J1737" s="2" t="b">
        <f>COUNTIF(MASTER!$L$2:$L$1944,I1737)=0</f>
        <v>1</v>
      </c>
    </row>
    <row r="1738" spans="6:10" x14ac:dyDescent="0.35">
      <c r="F1738" s="2" t="s">
        <v>3599</v>
      </c>
      <c r="G1738" s="2" t="b">
        <f>COUNTIF(MASTER!$A$2:$A$1944,F1738)=0</f>
        <v>1</v>
      </c>
      <c r="H1738" s="2"/>
      <c r="I1738" s="2" t="s">
        <v>3600</v>
      </c>
      <c r="J1738" s="2" t="b">
        <f>COUNTIF(MASTER!$L$2:$L$1944,I1738)=0</f>
        <v>1</v>
      </c>
    </row>
    <row r="1739" spans="6:10" x14ac:dyDescent="0.35">
      <c r="F1739" s="2" t="s">
        <v>3601</v>
      </c>
      <c r="G1739" s="2" t="b">
        <f>COUNTIF(MASTER!$A$2:$A$1944,F1739)=0</f>
        <v>1</v>
      </c>
      <c r="H1739" s="2"/>
      <c r="I1739" s="2" t="s">
        <v>3602</v>
      </c>
      <c r="J1739" s="2" t="b">
        <f>COUNTIF(MASTER!$L$2:$L$1944,I1739)=0</f>
        <v>1</v>
      </c>
    </row>
    <row r="1740" spans="6:10" x14ac:dyDescent="0.35">
      <c r="F1740" s="2" t="s">
        <v>3603</v>
      </c>
      <c r="G1740" s="2" t="b">
        <f>COUNTIF(MASTER!$A$2:$A$1944,F1740)=0</f>
        <v>1</v>
      </c>
      <c r="H1740" s="2"/>
      <c r="I1740" s="2" t="s">
        <v>3604</v>
      </c>
      <c r="J1740" s="2" t="b">
        <f>COUNTIF(MASTER!$L$2:$L$1944,I1740)=0</f>
        <v>1</v>
      </c>
    </row>
    <row r="1741" spans="6:10" x14ac:dyDescent="0.35">
      <c r="F1741" s="2" t="s">
        <v>3605</v>
      </c>
      <c r="G1741" s="2" t="b">
        <f>COUNTIF(MASTER!$A$2:$A$1944,F1741)=0</f>
        <v>1</v>
      </c>
      <c r="H1741" s="2"/>
      <c r="I1741" s="2" t="s">
        <v>3606</v>
      </c>
      <c r="J1741" s="2" t="b">
        <f>COUNTIF(MASTER!$L$2:$L$1944,I1741)=0</f>
        <v>1</v>
      </c>
    </row>
    <row r="1742" spans="6:10" x14ac:dyDescent="0.35">
      <c r="F1742" s="2" t="s">
        <v>3607</v>
      </c>
      <c r="G1742" s="2" t="b">
        <f>COUNTIF(MASTER!$A$2:$A$1944,F1742)=0</f>
        <v>1</v>
      </c>
      <c r="H1742" s="2"/>
      <c r="I1742" s="2" t="s">
        <v>3608</v>
      </c>
      <c r="J1742" s="2" t="b">
        <f>COUNTIF(MASTER!$L$2:$L$1944,I1742)=0</f>
        <v>1</v>
      </c>
    </row>
    <row r="1743" spans="6:10" x14ac:dyDescent="0.35">
      <c r="F1743" s="2" t="s">
        <v>3609</v>
      </c>
      <c r="G1743" s="2" t="b">
        <f>COUNTIF(MASTER!$A$2:$A$1944,F1743)=0</f>
        <v>1</v>
      </c>
      <c r="H1743" s="2"/>
      <c r="I1743" s="2" t="s">
        <v>3610</v>
      </c>
      <c r="J1743" s="2" t="b">
        <f>COUNTIF(MASTER!$L$2:$L$1944,I1743)=0</f>
        <v>1</v>
      </c>
    </row>
    <row r="1744" spans="6:10" x14ac:dyDescent="0.35">
      <c r="F1744" s="2" t="s">
        <v>3611</v>
      </c>
      <c r="G1744" s="2" t="b">
        <f>COUNTIF(MASTER!$A$2:$A$1944,F1744)=0</f>
        <v>1</v>
      </c>
      <c r="H1744" s="2"/>
      <c r="I1744" s="2" t="s">
        <v>3612</v>
      </c>
      <c r="J1744" s="2" t="b">
        <f>COUNTIF(MASTER!$L$2:$L$1944,I1744)=0</f>
        <v>1</v>
      </c>
    </row>
    <row r="1745" spans="6:10" x14ac:dyDescent="0.35">
      <c r="F1745" s="2" t="s">
        <v>3613</v>
      </c>
      <c r="G1745" s="2" t="b">
        <f>COUNTIF(MASTER!$A$2:$A$1944,F1745)=0</f>
        <v>1</v>
      </c>
      <c r="H1745" s="2"/>
      <c r="I1745" s="2" t="s">
        <v>3614</v>
      </c>
      <c r="J1745" s="2" t="b">
        <f>COUNTIF(MASTER!$L$2:$L$1944,I1745)=0</f>
        <v>1</v>
      </c>
    </row>
    <row r="1746" spans="6:10" x14ac:dyDescent="0.35">
      <c r="F1746" s="2" t="s">
        <v>3615</v>
      </c>
      <c r="G1746" s="2" t="b">
        <f>COUNTIF(MASTER!$A$2:$A$1944,F1746)=0</f>
        <v>1</v>
      </c>
      <c r="H1746" s="2"/>
      <c r="I1746" s="2" t="s">
        <v>3616</v>
      </c>
      <c r="J1746" s="2" t="b">
        <f>COUNTIF(MASTER!$L$2:$L$1944,I1746)=0</f>
        <v>1</v>
      </c>
    </row>
    <row r="1747" spans="6:10" x14ac:dyDescent="0.35">
      <c r="F1747" s="2" t="s">
        <v>3617</v>
      </c>
      <c r="G1747" s="2" t="b">
        <f>COUNTIF(MASTER!$A$2:$A$1944,F1747)=0</f>
        <v>1</v>
      </c>
      <c r="H1747" s="2"/>
      <c r="I1747" s="2" t="s">
        <v>3618</v>
      </c>
      <c r="J1747" s="2" t="b">
        <f>COUNTIF(MASTER!$L$2:$L$1944,I1747)=0</f>
        <v>1</v>
      </c>
    </row>
    <row r="1748" spans="6:10" x14ac:dyDescent="0.35">
      <c r="F1748" s="2" t="s">
        <v>3619</v>
      </c>
      <c r="G1748" s="2" t="b">
        <f>COUNTIF(MASTER!$A$2:$A$1944,F1748)=0</f>
        <v>1</v>
      </c>
      <c r="H1748" s="2"/>
      <c r="I1748" s="2" t="s">
        <v>3620</v>
      </c>
      <c r="J1748" s="2" t="b">
        <f>COUNTIF(MASTER!$L$2:$L$1944,I1748)=0</f>
        <v>1</v>
      </c>
    </row>
    <row r="1749" spans="6:10" x14ac:dyDescent="0.35">
      <c r="F1749" s="2" t="s">
        <v>3621</v>
      </c>
      <c r="G1749" s="2" t="b">
        <f>COUNTIF(MASTER!$A$2:$A$1944,F1749)=0</f>
        <v>1</v>
      </c>
      <c r="H1749" s="2"/>
      <c r="I1749" s="2" t="s">
        <v>3622</v>
      </c>
      <c r="J1749" s="2" t="b">
        <f>COUNTIF(MASTER!$L$2:$L$1944,I1749)=0</f>
        <v>1</v>
      </c>
    </row>
    <row r="1750" spans="6:10" x14ac:dyDescent="0.35">
      <c r="F1750" s="2" t="s">
        <v>3623</v>
      </c>
      <c r="G1750" s="2" t="b">
        <f>COUNTIF(MASTER!$A$2:$A$1944,F1750)=0</f>
        <v>1</v>
      </c>
      <c r="H1750" s="2"/>
      <c r="I1750" s="2" t="s">
        <v>3624</v>
      </c>
      <c r="J1750" s="2" t="b">
        <f>COUNTIF(MASTER!$L$2:$L$1944,I1750)=0</f>
        <v>1</v>
      </c>
    </row>
    <row r="1751" spans="6:10" x14ac:dyDescent="0.35">
      <c r="F1751" s="2" t="s">
        <v>3625</v>
      </c>
      <c r="G1751" s="2" t="b">
        <f>COUNTIF(MASTER!$A$2:$A$1944,F1751)=0</f>
        <v>1</v>
      </c>
      <c r="H1751" s="2"/>
      <c r="I1751" s="2" t="s">
        <v>3626</v>
      </c>
      <c r="J1751" s="2" t="b">
        <f>COUNTIF(MASTER!$L$2:$L$1944,I1751)=0</f>
        <v>1</v>
      </c>
    </row>
    <row r="1752" spans="6:10" x14ac:dyDescent="0.35">
      <c r="F1752" s="2" t="s">
        <v>3627</v>
      </c>
      <c r="G1752" s="2" t="b">
        <f>COUNTIF(MASTER!$A$2:$A$1944,F1752)=0</f>
        <v>1</v>
      </c>
      <c r="H1752" s="2"/>
      <c r="I1752" s="2" t="s">
        <v>3628</v>
      </c>
      <c r="J1752" s="2" t="b">
        <f>COUNTIF(MASTER!$L$2:$L$1944,I1752)=0</f>
        <v>1</v>
      </c>
    </row>
    <row r="1753" spans="6:10" x14ac:dyDescent="0.35">
      <c r="F1753" s="2" t="s">
        <v>3629</v>
      </c>
      <c r="G1753" s="2" t="b">
        <f>COUNTIF(MASTER!$A$2:$A$1944,F1753)=0</f>
        <v>1</v>
      </c>
      <c r="H1753" s="2"/>
      <c r="I1753" s="2" t="s">
        <v>3630</v>
      </c>
      <c r="J1753" s="2" t="b">
        <f>COUNTIF(MASTER!$L$2:$L$1944,I1753)=0</f>
        <v>1</v>
      </c>
    </row>
    <row r="1754" spans="6:10" x14ac:dyDescent="0.35">
      <c r="F1754" s="2" t="s">
        <v>3631</v>
      </c>
      <c r="G1754" s="2" t="b">
        <f>COUNTIF(MASTER!$A$2:$A$1944,F1754)=0</f>
        <v>1</v>
      </c>
      <c r="H1754" s="2"/>
      <c r="I1754" s="2" t="s">
        <v>3632</v>
      </c>
      <c r="J1754" s="2" t="b">
        <f>COUNTIF(MASTER!$L$2:$L$1944,I1754)=0</f>
        <v>1</v>
      </c>
    </row>
    <row r="1755" spans="6:10" x14ac:dyDescent="0.35">
      <c r="F1755" s="2" t="s">
        <v>3633</v>
      </c>
      <c r="G1755" s="2" t="b">
        <f>COUNTIF(MASTER!$A$2:$A$1944,F1755)=0</f>
        <v>1</v>
      </c>
      <c r="H1755" s="2"/>
      <c r="I1755" s="2" t="s">
        <v>3634</v>
      </c>
      <c r="J1755" s="2" t="b">
        <f>COUNTIF(MASTER!$L$2:$L$1944,I1755)=0</f>
        <v>1</v>
      </c>
    </row>
    <row r="1756" spans="6:10" x14ac:dyDescent="0.35">
      <c r="F1756" s="2" t="s">
        <v>3635</v>
      </c>
      <c r="G1756" s="2" t="b">
        <f>COUNTIF(MASTER!$A$2:$A$1944,F1756)=0</f>
        <v>1</v>
      </c>
      <c r="H1756" s="2"/>
      <c r="I1756" s="2" t="s">
        <v>3636</v>
      </c>
      <c r="J1756" s="2" t="b">
        <f>COUNTIF(MASTER!$L$2:$L$1944,I1756)=0</f>
        <v>1</v>
      </c>
    </row>
    <row r="1757" spans="6:10" x14ac:dyDescent="0.35">
      <c r="F1757" s="2" t="s">
        <v>3637</v>
      </c>
      <c r="G1757" s="2" t="b">
        <f>COUNTIF(MASTER!$A$2:$A$1944,F1757)=0</f>
        <v>1</v>
      </c>
      <c r="H1757" s="2"/>
      <c r="I1757" s="2" t="s">
        <v>3638</v>
      </c>
      <c r="J1757" s="2" t="b">
        <f>COUNTIF(MASTER!$L$2:$L$1944,I1757)=0</f>
        <v>1</v>
      </c>
    </row>
    <row r="1758" spans="6:10" x14ac:dyDescent="0.35">
      <c r="F1758" s="2" t="s">
        <v>3639</v>
      </c>
      <c r="G1758" s="2" t="b">
        <f>COUNTIF(MASTER!$A$2:$A$1944,F1758)=0</f>
        <v>1</v>
      </c>
      <c r="H1758" s="2"/>
      <c r="I1758" s="2" t="s">
        <v>3640</v>
      </c>
      <c r="J1758" s="2" t="b">
        <f>COUNTIF(MASTER!$L$2:$L$1944,I1758)=0</f>
        <v>1</v>
      </c>
    </row>
    <row r="1759" spans="6:10" x14ac:dyDescent="0.35">
      <c r="F1759" s="2" t="s">
        <v>3641</v>
      </c>
      <c r="G1759" s="2" t="b">
        <f>COUNTIF(MASTER!$A$2:$A$1944,F1759)=0</f>
        <v>1</v>
      </c>
      <c r="H1759" s="2"/>
      <c r="I1759" s="2" t="s">
        <v>3642</v>
      </c>
      <c r="J1759" s="2" t="b">
        <f>COUNTIF(MASTER!$L$2:$L$1944,I1759)=0</f>
        <v>1</v>
      </c>
    </row>
    <row r="1760" spans="6:10" x14ac:dyDescent="0.35">
      <c r="F1760" s="2" t="s">
        <v>3643</v>
      </c>
      <c r="G1760" s="2" t="b">
        <f>COUNTIF(MASTER!$A$2:$A$1944,F1760)=0</f>
        <v>1</v>
      </c>
      <c r="H1760" s="2"/>
      <c r="I1760" s="2" t="s">
        <v>3644</v>
      </c>
      <c r="J1760" s="2" t="b">
        <f>COUNTIF(MASTER!$L$2:$L$1944,I1760)=0</f>
        <v>1</v>
      </c>
    </row>
    <row r="1761" spans="6:10" x14ac:dyDescent="0.35">
      <c r="F1761" s="2" t="s">
        <v>3645</v>
      </c>
      <c r="G1761" s="2" t="b">
        <f>COUNTIF(MASTER!$A$2:$A$1944,F1761)=0</f>
        <v>1</v>
      </c>
      <c r="H1761" s="2"/>
      <c r="I1761" s="2" t="s">
        <v>3646</v>
      </c>
      <c r="J1761" s="2" t="b">
        <f>COUNTIF(MASTER!$L$2:$L$1944,I1761)=0</f>
        <v>1</v>
      </c>
    </row>
    <row r="1762" spans="6:10" x14ac:dyDescent="0.35">
      <c r="F1762" s="2" t="s">
        <v>3647</v>
      </c>
      <c r="G1762" s="2" t="b">
        <f>COUNTIF(MASTER!$A$2:$A$1944,F1762)=0</f>
        <v>1</v>
      </c>
      <c r="H1762" s="2"/>
      <c r="I1762" s="2" t="s">
        <v>3648</v>
      </c>
      <c r="J1762" s="2" t="b">
        <f>COUNTIF(MASTER!$L$2:$L$1944,I1762)=0</f>
        <v>1</v>
      </c>
    </row>
    <row r="1763" spans="6:10" x14ac:dyDescent="0.35">
      <c r="F1763" s="2" t="s">
        <v>3649</v>
      </c>
      <c r="G1763" s="2" t="b">
        <f>COUNTIF(MASTER!$A$2:$A$1944,F1763)=0</f>
        <v>1</v>
      </c>
      <c r="H1763" s="2"/>
      <c r="I1763" s="2" t="s">
        <v>3650</v>
      </c>
      <c r="J1763" s="2" t="b">
        <f>COUNTIF(MASTER!$L$2:$L$1944,I1763)=0</f>
        <v>1</v>
      </c>
    </row>
    <row r="1764" spans="6:10" x14ac:dyDescent="0.35">
      <c r="F1764" s="2" t="s">
        <v>3651</v>
      </c>
      <c r="G1764" s="2" t="b">
        <f>COUNTIF(MASTER!$A$2:$A$1944,F1764)=0</f>
        <v>1</v>
      </c>
      <c r="H1764" s="2"/>
      <c r="I1764" s="2" t="s">
        <v>3652</v>
      </c>
      <c r="J1764" s="2" t="b">
        <f>COUNTIF(MASTER!$L$2:$L$1944,I1764)=0</f>
        <v>1</v>
      </c>
    </row>
    <row r="1765" spans="6:10" x14ac:dyDescent="0.35">
      <c r="F1765" s="2" t="s">
        <v>3653</v>
      </c>
      <c r="G1765" s="2" t="b">
        <f>COUNTIF(MASTER!$A$2:$A$1944,F1765)=0</f>
        <v>1</v>
      </c>
      <c r="H1765" s="2"/>
      <c r="I1765" s="2" t="s">
        <v>3654</v>
      </c>
      <c r="J1765" s="2" t="b">
        <f>COUNTIF(MASTER!$L$2:$L$1944,I1765)=0</f>
        <v>1</v>
      </c>
    </row>
    <row r="1766" spans="6:10" x14ac:dyDescent="0.35">
      <c r="F1766" s="2" t="s">
        <v>3655</v>
      </c>
      <c r="G1766" s="2" t="b">
        <f>COUNTIF(MASTER!$A$2:$A$1944,F1766)=0</f>
        <v>1</v>
      </c>
      <c r="H1766" s="2"/>
      <c r="I1766" s="2" t="s">
        <v>3656</v>
      </c>
      <c r="J1766" s="2" t="b">
        <f>COUNTIF(MASTER!$L$2:$L$1944,I1766)=0</f>
        <v>1</v>
      </c>
    </row>
    <row r="1767" spans="6:10" x14ac:dyDescent="0.35">
      <c r="F1767" s="2" t="s">
        <v>3657</v>
      </c>
      <c r="G1767" s="2" t="b">
        <f>COUNTIF(MASTER!$A$2:$A$1944,F1767)=0</f>
        <v>1</v>
      </c>
      <c r="H1767" s="2"/>
      <c r="I1767" s="2" t="s">
        <v>3658</v>
      </c>
      <c r="J1767" s="2" t="b">
        <f>COUNTIF(MASTER!$L$2:$L$1944,I1767)=0</f>
        <v>1</v>
      </c>
    </row>
    <row r="1768" spans="6:10" x14ac:dyDescent="0.35">
      <c r="F1768" s="2" t="s">
        <v>3659</v>
      </c>
      <c r="G1768" s="2" t="b">
        <f>COUNTIF(MASTER!$A$2:$A$1944,F1768)=0</f>
        <v>1</v>
      </c>
      <c r="H1768" s="2"/>
      <c r="I1768" s="2" t="s">
        <v>3660</v>
      </c>
      <c r="J1768" s="2" t="b">
        <f>COUNTIF(MASTER!$L$2:$L$1944,I1768)=0</f>
        <v>1</v>
      </c>
    </row>
    <row r="1769" spans="6:10" x14ac:dyDescent="0.35">
      <c r="F1769" s="2" t="s">
        <v>3661</v>
      </c>
      <c r="G1769" s="2" t="b">
        <f>COUNTIF(MASTER!$A$2:$A$1944,F1769)=0</f>
        <v>1</v>
      </c>
      <c r="H1769" s="2"/>
      <c r="I1769" s="2" t="s">
        <v>3662</v>
      </c>
      <c r="J1769" s="2" t="b">
        <f>COUNTIF(MASTER!$L$2:$L$1944,I1769)=0</f>
        <v>1</v>
      </c>
    </row>
    <row r="1770" spans="6:10" x14ac:dyDescent="0.35">
      <c r="F1770" s="2" t="s">
        <v>3663</v>
      </c>
      <c r="G1770" s="2" t="b">
        <f>COUNTIF(MASTER!$A$2:$A$1944,F1770)=0</f>
        <v>1</v>
      </c>
      <c r="H1770" s="2"/>
      <c r="I1770" s="2" t="s">
        <v>3664</v>
      </c>
      <c r="J1770" s="2" t="b">
        <f>COUNTIF(MASTER!$L$2:$L$1944,I1770)=0</f>
        <v>1</v>
      </c>
    </row>
    <row r="1771" spans="6:10" x14ac:dyDescent="0.35">
      <c r="F1771" s="2" t="s">
        <v>3665</v>
      </c>
      <c r="G1771" s="2" t="b">
        <f>COUNTIF(MASTER!$A$2:$A$1944,F1771)=0</f>
        <v>1</v>
      </c>
      <c r="H1771" s="2"/>
      <c r="I1771" s="2" t="s">
        <v>3666</v>
      </c>
      <c r="J1771" s="2" t="b">
        <f>COUNTIF(MASTER!$L$2:$L$1944,I1771)=0</f>
        <v>1</v>
      </c>
    </row>
    <row r="1772" spans="6:10" x14ac:dyDescent="0.35">
      <c r="F1772" s="2" t="s">
        <v>3667</v>
      </c>
      <c r="G1772" s="2" t="b">
        <f>COUNTIF(MASTER!$A$2:$A$1944,F1772)=0</f>
        <v>1</v>
      </c>
      <c r="H1772" s="2"/>
      <c r="I1772" s="2" t="s">
        <v>3668</v>
      </c>
      <c r="J1772" s="2" t="b">
        <f>COUNTIF(MASTER!$L$2:$L$1944,I1772)=0</f>
        <v>1</v>
      </c>
    </row>
    <row r="1773" spans="6:10" x14ac:dyDescent="0.35">
      <c r="F1773" s="2" t="s">
        <v>3669</v>
      </c>
      <c r="G1773" s="2" t="b">
        <f>COUNTIF(MASTER!$A$2:$A$1944,F1773)=0</f>
        <v>1</v>
      </c>
      <c r="H1773" s="2"/>
      <c r="I1773" s="2" t="s">
        <v>3670</v>
      </c>
      <c r="J1773" s="2" t="b">
        <f>COUNTIF(MASTER!$L$2:$L$1944,I1773)=0</f>
        <v>1</v>
      </c>
    </row>
    <row r="1774" spans="6:10" x14ac:dyDescent="0.35">
      <c r="F1774" s="2" t="s">
        <v>3671</v>
      </c>
      <c r="G1774" s="2" t="b">
        <f>COUNTIF(MASTER!$A$2:$A$1944,F1774)=0</f>
        <v>1</v>
      </c>
      <c r="H1774" s="2"/>
      <c r="I1774" s="2" t="s">
        <v>3672</v>
      </c>
      <c r="J1774" s="2" t="b">
        <f>COUNTIF(MASTER!$L$2:$L$1944,I1774)=0</f>
        <v>1</v>
      </c>
    </row>
    <row r="1775" spans="6:10" x14ac:dyDescent="0.35">
      <c r="F1775" s="2" t="s">
        <v>3673</v>
      </c>
      <c r="G1775" s="2" t="b">
        <f>COUNTIF(MASTER!$A$2:$A$1944,F1775)=0</f>
        <v>1</v>
      </c>
      <c r="H1775" s="2"/>
      <c r="I1775" s="2" t="s">
        <v>3674</v>
      </c>
      <c r="J1775" s="2" t="b">
        <f>COUNTIF(MASTER!$L$2:$L$1944,I1775)=0</f>
        <v>1</v>
      </c>
    </row>
    <row r="1776" spans="6:10" x14ac:dyDescent="0.35">
      <c r="F1776" s="2" t="s">
        <v>3675</v>
      </c>
      <c r="G1776" s="2" t="b">
        <f>COUNTIF(MASTER!$A$2:$A$1944,F1776)=0</f>
        <v>1</v>
      </c>
      <c r="H1776" s="2"/>
      <c r="I1776" s="2" t="s">
        <v>3676</v>
      </c>
      <c r="J1776" s="2" t="b">
        <f>COUNTIF(MASTER!$L$2:$L$1944,I1776)=0</f>
        <v>1</v>
      </c>
    </row>
    <row r="1777" spans="6:10" x14ac:dyDescent="0.35">
      <c r="F1777" s="2" t="s">
        <v>3677</v>
      </c>
      <c r="G1777" s="2" t="b">
        <f>COUNTIF(MASTER!$A$2:$A$1944,F1777)=0</f>
        <v>1</v>
      </c>
      <c r="H1777" s="2"/>
      <c r="I1777" s="2" t="s">
        <v>3678</v>
      </c>
      <c r="J1777" s="2" t="b">
        <f>COUNTIF(MASTER!$L$2:$L$1944,I1777)=0</f>
        <v>1</v>
      </c>
    </row>
    <row r="1778" spans="6:10" x14ac:dyDescent="0.35">
      <c r="F1778" s="2" t="s">
        <v>3679</v>
      </c>
      <c r="G1778" s="2" t="b">
        <f>COUNTIF(MASTER!$A$2:$A$1944,F1778)=0</f>
        <v>1</v>
      </c>
      <c r="H1778" s="2"/>
      <c r="I1778" s="2" t="s">
        <v>3680</v>
      </c>
      <c r="J1778" s="2" t="b">
        <f>COUNTIF(MASTER!$L$2:$L$1944,I1778)=0</f>
        <v>1</v>
      </c>
    </row>
    <row r="1779" spans="6:10" x14ac:dyDescent="0.35">
      <c r="F1779" s="2" t="s">
        <v>3681</v>
      </c>
      <c r="G1779" s="2" t="b">
        <f>COUNTIF(MASTER!$A$2:$A$1944,F1779)=0</f>
        <v>1</v>
      </c>
      <c r="H1779" s="2"/>
      <c r="I1779" s="2" t="s">
        <v>3682</v>
      </c>
      <c r="J1779" s="2" t="b">
        <f>COUNTIF(MASTER!$L$2:$L$1944,I1779)=0</f>
        <v>1</v>
      </c>
    </row>
    <row r="1780" spans="6:10" x14ac:dyDescent="0.35">
      <c r="F1780" s="2" t="s">
        <v>3683</v>
      </c>
      <c r="G1780" s="2" t="b">
        <f>COUNTIF(MASTER!$A$2:$A$1944,F1780)=0</f>
        <v>1</v>
      </c>
      <c r="H1780" s="2"/>
      <c r="I1780" s="2" t="s">
        <v>3684</v>
      </c>
      <c r="J1780" s="2" t="b">
        <f>COUNTIF(MASTER!$L$2:$L$1944,I1780)=0</f>
        <v>1</v>
      </c>
    </row>
    <row r="1781" spans="6:10" x14ac:dyDescent="0.35">
      <c r="F1781" s="2" t="s">
        <v>3685</v>
      </c>
      <c r="G1781" s="2" t="b">
        <f>COUNTIF(MASTER!$A$2:$A$1944,F1781)=0</f>
        <v>1</v>
      </c>
      <c r="H1781" s="2"/>
      <c r="I1781" s="2" t="s">
        <v>3686</v>
      </c>
      <c r="J1781" s="2" t="b">
        <f>COUNTIF(MASTER!$L$2:$L$1944,I1781)=0</f>
        <v>1</v>
      </c>
    </row>
    <row r="1782" spans="6:10" x14ac:dyDescent="0.35">
      <c r="F1782" s="2" t="s">
        <v>3687</v>
      </c>
      <c r="G1782" s="2" t="b">
        <f>COUNTIF(MASTER!$A$2:$A$1944,F1782)=0</f>
        <v>1</v>
      </c>
      <c r="H1782" s="2"/>
      <c r="I1782" s="2" t="s">
        <v>3688</v>
      </c>
      <c r="J1782" s="2" t="b">
        <f>COUNTIF(MASTER!$L$2:$L$1944,I1782)=0</f>
        <v>1</v>
      </c>
    </row>
    <row r="1783" spans="6:10" x14ac:dyDescent="0.35">
      <c r="F1783" s="2" t="s">
        <v>3689</v>
      </c>
      <c r="G1783" s="2" t="b">
        <f>COUNTIF(MASTER!$A$2:$A$1944,F1783)=0</f>
        <v>1</v>
      </c>
      <c r="H1783" s="2"/>
      <c r="I1783" s="2" t="s">
        <v>3690</v>
      </c>
      <c r="J1783" s="2" t="b">
        <f>COUNTIF(MASTER!$L$2:$L$1944,I1783)=0</f>
        <v>1</v>
      </c>
    </row>
    <row r="1784" spans="6:10" x14ac:dyDescent="0.35">
      <c r="F1784" s="2" t="s">
        <v>3691</v>
      </c>
      <c r="G1784" s="2" t="b">
        <f>COUNTIF(MASTER!$A$2:$A$1944,F1784)=0</f>
        <v>1</v>
      </c>
      <c r="H1784" s="2"/>
      <c r="I1784" s="2" t="s">
        <v>3692</v>
      </c>
      <c r="J1784" s="2" t="b">
        <f>COUNTIF(MASTER!$L$2:$L$1944,I1784)=0</f>
        <v>1</v>
      </c>
    </row>
    <row r="1785" spans="6:10" x14ac:dyDescent="0.35">
      <c r="F1785" s="2" t="s">
        <v>3693</v>
      </c>
      <c r="G1785" s="2" t="b">
        <f>COUNTIF(MASTER!$A$2:$A$1944,F1785)=0</f>
        <v>1</v>
      </c>
      <c r="H1785" s="2"/>
      <c r="I1785" s="2" t="s">
        <v>3694</v>
      </c>
      <c r="J1785" s="2" t="b">
        <f>COUNTIF(MASTER!$L$2:$L$1944,I1785)=0</f>
        <v>1</v>
      </c>
    </row>
    <row r="1786" spans="6:10" x14ac:dyDescent="0.35">
      <c r="F1786" s="2" t="s">
        <v>3695</v>
      </c>
      <c r="G1786" s="2" t="b">
        <f>COUNTIF(MASTER!$A$2:$A$1944,F1786)=0</f>
        <v>1</v>
      </c>
      <c r="H1786" s="2"/>
      <c r="I1786" s="2" t="s">
        <v>3696</v>
      </c>
      <c r="J1786" s="2" t="b">
        <f>COUNTIF(MASTER!$L$2:$L$1944,I1786)=0</f>
        <v>1</v>
      </c>
    </row>
    <row r="1787" spans="6:10" x14ac:dyDescent="0.35">
      <c r="F1787" s="2" t="s">
        <v>3697</v>
      </c>
      <c r="G1787" s="2" t="b">
        <f>COUNTIF(MASTER!$A$2:$A$1944,F1787)=0</f>
        <v>1</v>
      </c>
      <c r="H1787" s="2"/>
      <c r="I1787" s="2" t="s">
        <v>3698</v>
      </c>
      <c r="J1787" s="2" t="b">
        <f>COUNTIF(MASTER!$L$2:$L$1944,I1787)=0</f>
        <v>1</v>
      </c>
    </row>
    <row r="1788" spans="6:10" x14ac:dyDescent="0.35">
      <c r="F1788" s="2" t="s">
        <v>3699</v>
      </c>
      <c r="G1788" s="2" t="b">
        <f>COUNTIF(MASTER!$A$2:$A$1944,F1788)=0</f>
        <v>1</v>
      </c>
      <c r="H1788" s="2"/>
      <c r="I1788" s="2" t="s">
        <v>3700</v>
      </c>
      <c r="J1788" s="2" t="b">
        <f>COUNTIF(MASTER!$L$2:$L$1944,I1788)=0</f>
        <v>1</v>
      </c>
    </row>
    <row r="1789" spans="6:10" x14ac:dyDescent="0.35">
      <c r="F1789" s="2" t="s">
        <v>3701</v>
      </c>
      <c r="G1789" s="2" t="b">
        <f>COUNTIF(MASTER!$A$2:$A$1944,F1789)=0</f>
        <v>1</v>
      </c>
      <c r="H1789" s="2"/>
      <c r="I1789" s="2" t="s">
        <v>3702</v>
      </c>
      <c r="J1789" s="2" t="b">
        <f>COUNTIF(MASTER!$L$2:$L$1944,I1789)=0</f>
        <v>1</v>
      </c>
    </row>
    <row r="1790" spans="6:10" x14ac:dyDescent="0.35">
      <c r="F1790" s="2" t="s">
        <v>3703</v>
      </c>
      <c r="G1790" s="2" t="b">
        <f>COUNTIF(MASTER!$A$2:$A$1944,F1790)=0</f>
        <v>1</v>
      </c>
      <c r="H1790" s="2"/>
      <c r="I1790" s="2" t="s">
        <v>3704</v>
      </c>
      <c r="J1790" s="2" t="b">
        <f>COUNTIF(MASTER!$L$2:$L$1944,I1790)=0</f>
        <v>1</v>
      </c>
    </row>
    <row r="1791" spans="6:10" x14ac:dyDescent="0.35">
      <c r="F1791" s="2" t="s">
        <v>3705</v>
      </c>
      <c r="G1791" s="2" t="b">
        <f>COUNTIF(MASTER!$A$2:$A$1944,F1791)=0</f>
        <v>1</v>
      </c>
      <c r="H1791" s="2"/>
      <c r="I1791" s="2" t="s">
        <v>3706</v>
      </c>
      <c r="J1791" s="2" t="b">
        <f>COUNTIF(MASTER!$L$2:$L$1944,I1791)=0</f>
        <v>1</v>
      </c>
    </row>
    <row r="1792" spans="6:10" x14ac:dyDescent="0.35">
      <c r="F1792" s="2" t="s">
        <v>3707</v>
      </c>
      <c r="G1792" s="2" t="b">
        <f>COUNTIF(MASTER!$A$2:$A$1944,F1792)=0</f>
        <v>1</v>
      </c>
      <c r="H1792" s="2"/>
      <c r="I1792" s="2" t="s">
        <v>3708</v>
      </c>
      <c r="J1792" s="2" t="b">
        <f>COUNTIF(MASTER!$L$2:$L$1944,I1792)=0</f>
        <v>1</v>
      </c>
    </row>
    <row r="1793" spans="6:10" x14ac:dyDescent="0.35">
      <c r="F1793" s="2" t="s">
        <v>3709</v>
      </c>
      <c r="G1793" s="2" t="b">
        <f>COUNTIF(MASTER!$A$2:$A$1944,F1793)=0</f>
        <v>1</v>
      </c>
      <c r="H1793" s="2"/>
      <c r="I1793" s="2" t="s">
        <v>3710</v>
      </c>
      <c r="J1793" s="2" t="b">
        <f>COUNTIF(MASTER!$L$2:$L$1944,I1793)=0</f>
        <v>1</v>
      </c>
    </row>
    <row r="1794" spans="6:10" x14ac:dyDescent="0.35">
      <c r="F1794" s="2" t="s">
        <v>3711</v>
      </c>
      <c r="G1794" s="2" t="b">
        <f>COUNTIF(MASTER!$A$2:$A$1944,F1794)=0</f>
        <v>1</v>
      </c>
      <c r="H1794" s="2"/>
      <c r="I1794" s="2" t="s">
        <v>3712</v>
      </c>
      <c r="J1794" s="2" t="b">
        <f>COUNTIF(MASTER!$L$2:$L$1944,I1794)=0</f>
        <v>1</v>
      </c>
    </row>
    <row r="1795" spans="6:10" x14ac:dyDescent="0.35">
      <c r="F1795" s="2" t="s">
        <v>3713</v>
      </c>
      <c r="G1795" s="2" t="b">
        <f>COUNTIF(MASTER!$A$2:$A$1944,F1795)=0</f>
        <v>1</v>
      </c>
      <c r="H1795" s="2"/>
      <c r="I1795" s="2" t="s">
        <v>3714</v>
      </c>
      <c r="J1795" s="2" t="b">
        <f>COUNTIF(MASTER!$L$2:$L$1944,I1795)=0</f>
        <v>1</v>
      </c>
    </row>
    <row r="1796" spans="6:10" x14ac:dyDescent="0.35">
      <c r="F1796" s="2" t="s">
        <v>3715</v>
      </c>
      <c r="G1796" s="2" t="b">
        <f>COUNTIF(MASTER!$A$2:$A$1944,F1796)=0</f>
        <v>1</v>
      </c>
      <c r="H1796" s="2"/>
      <c r="I1796" s="2" t="s">
        <v>3716</v>
      </c>
      <c r="J1796" s="2" t="b">
        <f>COUNTIF(MASTER!$L$2:$L$1944,I1796)=0</f>
        <v>1</v>
      </c>
    </row>
    <row r="1797" spans="6:10" x14ac:dyDescent="0.35">
      <c r="F1797" s="2" t="s">
        <v>3717</v>
      </c>
      <c r="G1797" s="2" t="b">
        <f>COUNTIF(MASTER!$A$2:$A$1944,F1797)=0</f>
        <v>1</v>
      </c>
      <c r="H1797" s="2"/>
      <c r="I1797" s="2" t="s">
        <v>3718</v>
      </c>
      <c r="J1797" s="2" t="b">
        <f>COUNTIF(MASTER!$L$2:$L$1944,I1797)=0</f>
        <v>1</v>
      </c>
    </row>
    <row r="1798" spans="6:10" x14ac:dyDescent="0.35">
      <c r="F1798" s="2" t="s">
        <v>3719</v>
      </c>
      <c r="G1798" s="2" t="b">
        <f>COUNTIF(MASTER!$A$2:$A$1944,F1798)=0</f>
        <v>1</v>
      </c>
      <c r="H1798" s="2"/>
      <c r="I1798" s="2" t="s">
        <v>3720</v>
      </c>
      <c r="J1798" s="2" t="b">
        <f>COUNTIF(MASTER!$L$2:$L$1944,I1798)=0</f>
        <v>1</v>
      </c>
    </row>
    <row r="1799" spans="6:10" x14ac:dyDescent="0.35">
      <c r="F1799" s="2" t="s">
        <v>3721</v>
      </c>
      <c r="G1799" s="2" t="b">
        <f>COUNTIF(MASTER!$A$2:$A$1944,F1799)=0</f>
        <v>1</v>
      </c>
      <c r="H1799" s="2"/>
      <c r="I1799" s="2" t="s">
        <v>3722</v>
      </c>
      <c r="J1799" s="2" t="b">
        <f>COUNTIF(MASTER!$L$2:$L$1944,I1799)=0</f>
        <v>1</v>
      </c>
    </row>
    <row r="1800" spans="6:10" x14ac:dyDescent="0.35">
      <c r="F1800" s="2" t="s">
        <v>3723</v>
      </c>
      <c r="G1800" s="2" t="b">
        <f>COUNTIF(MASTER!$A$2:$A$1944,F1800)=0</f>
        <v>1</v>
      </c>
      <c r="H1800" s="2"/>
      <c r="I1800" s="2" t="s">
        <v>3724</v>
      </c>
      <c r="J1800" s="2" t="b">
        <f>COUNTIF(MASTER!$L$2:$L$1944,I1800)=0</f>
        <v>1</v>
      </c>
    </row>
    <row r="1801" spans="6:10" x14ac:dyDescent="0.35">
      <c r="F1801" s="2" t="s">
        <v>3725</v>
      </c>
      <c r="G1801" s="2" t="b">
        <f>COUNTIF(MASTER!$A$2:$A$1944,F1801)=0</f>
        <v>1</v>
      </c>
      <c r="H1801" s="2"/>
      <c r="I1801" s="2" t="s">
        <v>3726</v>
      </c>
      <c r="J1801" s="2" t="b">
        <f>COUNTIF(MASTER!$L$2:$L$1944,I1801)=0</f>
        <v>1</v>
      </c>
    </row>
    <row r="1802" spans="6:10" x14ac:dyDescent="0.35">
      <c r="F1802" s="2" t="s">
        <v>3727</v>
      </c>
      <c r="G1802" s="2" t="b">
        <f>COUNTIF(MASTER!$A$2:$A$1944,F1802)=0</f>
        <v>1</v>
      </c>
      <c r="H1802" s="2"/>
      <c r="I1802" s="2" t="s">
        <v>3728</v>
      </c>
      <c r="J1802" s="2" t="b">
        <f>COUNTIF(MASTER!$L$2:$L$1944,I1802)=0</f>
        <v>1</v>
      </c>
    </row>
    <row r="1803" spans="6:10" x14ac:dyDescent="0.35">
      <c r="F1803" s="2" t="s">
        <v>3729</v>
      </c>
      <c r="G1803" s="2" t="b">
        <f>COUNTIF(MASTER!$A$2:$A$1944,F1803)=0</f>
        <v>1</v>
      </c>
      <c r="H1803" s="2"/>
      <c r="I1803" s="2" t="s">
        <v>3730</v>
      </c>
      <c r="J1803" s="2" t="b">
        <f>COUNTIF(MASTER!$L$2:$L$1944,I1803)=0</f>
        <v>1</v>
      </c>
    </row>
    <row r="1804" spans="6:10" x14ac:dyDescent="0.35">
      <c r="F1804" s="2" t="s">
        <v>3731</v>
      </c>
      <c r="G1804" s="2" t="b">
        <f>COUNTIF(MASTER!$A$2:$A$1944,F1804)=0</f>
        <v>1</v>
      </c>
      <c r="H1804" s="2"/>
      <c r="I1804" s="2" t="s">
        <v>3732</v>
      </c>
      <c r="J1804" s="2" t="b">
        <f>COUNTIF(MASTER!$L$2:$L$1944,I1804)=0</f>
        <v>1</v>
      </c>
    </row>
    <row r="1805" spans="6:10" x14ac:dyDescent="0.35">
      <c r="F1805" s="2" t="s">
        <v>3733</v>
      </c>
      <c r="G1805" s="2" t="b">
        <f>COUNTIF(MASTER!$A$2:$A$1944,F1805)=0</f>
        <v>1</v>
      </c>
      <c r="H1805" s="2"/>
      <c r="I1805" s="2" t="s">
        <v>3734</v>
      </c>
      <c r="J1805" s="2" t="b">
        <f>COUNTIF(MASTER!$L$2:$L$1944,I1805)=0</f>
        <v>1</v>
      </c>
    </row>
    <row r="1806" spans="6:10" x14ac:dyDescent="0.35">
      <c r="F1806" s="2" t="s">
        <v>3735</v>
      </c>
      <c r="G1806" s="2" t="b">
        <f>COUNTIF(MASTER!$A$2:$A$1944,F1806)=0</f>
        <v>1</v>
      </c>
      <c r="H1806" s="2"/>
      <c r="I1806" s="2" t="s">
        <v>3736</v>
      </c>
      <c r="J1806" s="2" t="b">
        <f>COUNTIF(MASTER!$L$2:$L$1944,I1806)=0</f>
        <v>1</v>
      </c>
    </row>
    <row r="1807" spans="6:10" x14ac:dyDescent="0.35">
      <c r="F1807" s="2" t="s">
        <v>3737</v>
      </c>
      <c r="G1807" s="2" t="b">
        <f>COUNTIF(MASTER!$A$2:$A$1944,F1807)=0</f>
        <v>1</v>
      </c>
      <c r="H1807" s="2"/>
      <c r="I1807" s="2" t="s">
        <v>3738</v>
      </c>
      <c r="J1807" s="2" t="b">
        <f>COUNTIF(MASTER!$L$2:$L$1944,I1807)=0</f>
        <v>1</v>
      </c>
    </row>
    <row r="1808" spans="6:10" x14ac:dyDescent="0.35">
      <c r="F1808" s="2" t="s">
        <v>3739</v>
      </c>
      <c r="G1808" s="2" t="b">
        <f>COUNTIF(MASTER!$A$2:$A$1944,F1808)=0</f>
        <v>1</v>
      </c>
      <c r="H1808" s="2"/>
      <c r="I1808" s="2" t="s">
        <v>3740</v>
      </c>
      <c r="J1808" s="2" t="b">
        <f>COUNTIF(MASTER!$L$2:$L$1944,I1808)=0</f>
        <v>1</v>
      </c>
    </row>
    <row r="1809" spans="6:10" x14ac:dyDescent="0.35">
      <c r="F1809" s="2" t="s">
        <v>3741</v>
      </c>
      <c r="G1809" s="2" t="b">
        <f>COUNTIF(MASTER!$A$2:$A$1944,F1809)=0</f>
        <v>1</v>
      </c>
      <c r="H1809" s="2"/>
      <c r="I1809" s="2" t="s">
        <v>3742</v>
      </c>
      <c r="J1809" s="2" t="b">
        <f>COUNTIF(MASTER!$L$2:$L$1944,I1809)=0</f>
        <v>1</v>
      </c>
    </row>
    <row r="1810" spans="6:10" x14ac:dyDescent="0.35">
      <c r="F1810" s="2" t="s">
        <v>3743</v>
      </c>
      <c r="G1810" s="2" t="b">
        <f>COUNTIF(MASTER!$A$2:$A$1944,F1810)=0</f>
        <v>1</v>
      </c>
      <c r="H1810" s="2"/>
      <c r="I1810" s="2" t="s">
        <v>3744</v>
      </c>
      <c r="J1810" s="2" t="b">
        <f>COUNTIF(MASTER!$L$2:$L$1944,I1810)=0</f>
        <v>1</v>
      </c>
    </row>
    <row r="1811" spans="6:10" x14ac:dyDescent="0.35">
      <c r="F1811" s="2" t="s">
        <v>3745</v>
      </c>
      <c r="G1811" s="2" t="b">
        <f>COUNTIF(MASTER!$A$2:$A$1944,F1811)=0</f>
        <v>1</v>
      </c>
      <c r="H1811" s="2"/>
      <c r="I1811" s="2" t="s">
        <v>3746</v>
      </c>
      <c r="J1811" s="2" t="b">
        <f>COUNTIF(MASTER!$L$2:$L$1944,I1811)=0</f>
        <v>1</v>
      </c>
    </row>
    <row r="1812" spans="6:10" x14ac:dyDescent="0.35">
      <c r="F1812" s="2" t="s">
        <v>3747</v>
      </c>
      <c r="G1812" s="2" t="b">
        <f>COUNTIF(MASTER!$A$2:$A$1944,F1812)=0</f>
        <v>1</v>
      </c>
      <c r="H1812" s="2"/>
      <c r="I1812" s="2" t="s">
        <v>3748</v>
      </c>
      <c r="J1812" s="2" t="b">
        <f>COUNTIF(MASTER!$L$2:$L$1944,I1812)=0</f>
        <v>1</v>
      </c>
    </row>
    <row r="1813" spans="6:10" x14ac:dyDescent="0.35">
      <c r="F1813" s="2" t="s">
        <v>3749</v>
      </c>
      <c r="G1813" s="2" t="b">
        <f>COUNTIF(MASTER!$A$2:$A$1944,F1813)=0</f>
        <v>1</v>
      </c>
      <c r="H1813" s="2"/>
      <c r="I1813" s="2" t="s">
        <v>3750</v>
      </c>
      <c r="J1813" s="2" t="b">
        <f>COUNTIF(MASTER!$L$2:$L$1944,I1813)=0</f>
        <v>1</v>
      </c>
    </row>
    <row r="1814" spans="6:10" x14ac:dyDescent="0.35">
      <c r="F1814" s="2" t="s">
        <v>3751</v>
      </c>
      <c r="G1814" s="2" t="b">
        <f>COUNTIF(MASTER!$A$2:$A$1944,F1814)=0</f>
        <v>1</v>
      </c>
      <c r="H1814" s="2"/>
      <c r="I1814" s="2" t="s">
        <v>3752</v>
      </c>
      <c r="J1814" s="2" t="b">
        <f>COUNTIF(MASTER!$L$2:$L$1944,I1814)=0</f>
        <v>1</v>
      </c>
    </row>
    <row r="1815" spans="6:10" x14ac:dyDescent="0.35">
      <c r="F1815" s="2" t="s">
        <v>3753</v>
      </c>
      <c r="G1815" s="2" t="b">
        <f>COUNTIF(MASTER!$A$2:$A$1944,F1815)=0</f>
        <v>1</v>
      </c>
      <c r="H1815" s="2"/>
      <c r="I1815" s="2" t="s">
        <v>3754</v>
      </c>
      <c r="J1815" s="2" t="b">
        <f>COUNTIF(MASTER!$L$2:$L$1944,I1815)=0</f>
        <v>1</v>
      </c>
    </row>
    <row r="1816" spans="6:10" x14ac:dyDescent="0.35">
      <c r="F1816" s="2" t="s">
        <v>3755</v>
      </c>
      <c r="G1816" s="2" t="b">
        <f>COUNTIF(MASTER!$A$2:$A$1944,F1816)=0</f>
        <v>1</v>
      </c>
      <c r="H1816" s="2"/>
      <c r="I1816" s="2" t="s">
        <v>3756</v>
      </c>
      <c r="J1816" s="2" t="b">
        <f>COUNTIF(MASTER!$L$2:$L$1944,I1816)=0</f>
        <v>1</v>
      </c>
    </row>
    <row r="1817" spans="6:10" x14ac:dyDescent="0.35">
      <c r="F1817" s="2" t="s">
        <v>3757</v>
      </c>
      <c r="G1817" s="2" t="b">
        <f>COUNTIF(MASTER!$A$2:$A$1944,F1817)=0</f>
        <v>1</v>
      </c>
      <c r="H1817" s="2"/>
      <c r="I1817" s="2" t="s">
        <v>3758</v>
      </c>
      <c r="J1817" s="2" t="b">
        <f>COUNTIF(MASTER!$L$2:$L$1944,I1817)=0</f>
        <v>1</v>
      </c>
    </row>
    <row r="1818" spans="6:10" x14ac:dyDescent="0.35">
      <c r="F1818" s="2" t="s">
        <v>3759</v>
      </c>
      <c r="G1818" s="2" t="b">
        <f>COUNTIF(MASTER!$A$2:$A$1944,F1818)=0</f>
        <v>1</v>
      </c>
      <c r="H1818" s="2"/>
      <c r="I1818" s="2" t="s">
        <v>3760</v>
      </c>
      <c r="J1818" s="2" t="b">
        <f>COUNTIF(MASTER!$L$2:$L$1944,I1818)=0</f>
        <v>1</v>
      </c>
    </row>
    <row r="1819" spans="6:10" x14ac:dyDescent="0.35">
      <c r="F1819" s="2" t="s">
        <v>3761</v>
      </c>
      <c r="G1819" s="2" t="b">
        <f>COUNTIF(MASTER!$A$2:$A$1944,F1819)=0</f>
        <v>1</v>
      </c>
      <c r="H1819" s="2"/>
      <c r="I1819" s="2" t="s">
        <v>3762</v>
      </c>
      <c r="J1819" s="2" t="b">
        <f>COUNTIF(MASTER!$L$2:$L$1944,I1819)=0</f>
        <v>1</v>
      </c>
    </row>
    <row r="1820" spans="6:10" x14ac:dyDescent="0.35">
      <c r="F1820" s="2" t="s">
        <v>3763</v>
      </c>
      <c r="G1820" s="2" t="b">
        <f>COUNTIF(MASTER!$A$2:$A$1944,F1820)=0</f>
        <v>1</v>
      </c>
      <c r="H1820" s="2"/>
      <c r="I1820" s="2" t="s">
        <v>3764</v>
      </c>
      <c r="J1820" s="2" t="b">
        <f>COUNTIF(MASTER!$L$2:$L$1944,I1820)=0</f>
        <v>1</v>
      </c>
    </row>
    <row r="1821" spans="6:10" x14ac:dyDescent="0.35">
      <c r="F1821" s="2" t="s">
        <v>3765</v>
      </c>
      <c r="G1821" s="2" t="b">
        <f>COUNTIF(MASTER!$A$2:$A$1944,F1821)=0</f>
        <v>1</v>
      </c>
      <c r="H1821" s="2"/>
      <c r="I1821" s="2" t="s">
        <v>3766</v>
      </c>
      <c r="J1821" s="2" t="b">
        <f>COUNTIF(MASTER!$L$2:$L$1944,I1821)=0</f>
        <v>1</v>
      </c>
    </row>
    <row r="1822" spans="6:10" x14ac:dyDescent="0.35">
      <c r="F1822" s="2" t="s">
        <v>3767</v>
      </c>
      <c r="G1822" s="2" t="b">
        <f>COUNTIF(MASTER!$A$2:$A$1944,F1822)=0</f>
        <v>1</v>
      </c>
      <c r="H1822" s="2"/>
      <c r="I1822" s="2" t="s">
        <v>3768</v>
      </c>
      <c r="J1822" s="2" t="b">
        <f>COUNTIF(MASTER!$L$2:$L$1944,I1822)=0</f>
        <v>1</v>
      </c>
    </row>
    <row r="1823" spans="6:10" x14ac:dyDescent="0.35">
      <c r="F1823" s="2" t="s">
        <v>3769</v>
      </c>
      <c r="G1823" s="2" t="b">
        <f>COUNTIF(MASTER!$A$2:$A$1944,F1823)=0</f>
        <v>1</v>
      </c>
      <c r="H1823" s="2"/>
      <c r="I1823" s="2" t="s">
        <v>3770</v>
      </c>
      <c r="J1823" s="2" t="b">
        <f>COUNTIF(MASTER!$L$2:$L$1944,I1823)=0</f>
        <v>1</v>
      </c>
    </row>
    <row r="1824" spans="6:10" x14ac:dyDescent="0.35">
      <c r="F1824" s="2" t="s">
        <v>3771</v>
      </c>
      <c r="G1824" s="2" t="b">
        <f>COUNTIF(MASTER!$A$2:$A$1944,F1824)=0</f>
        <v>1</v>
      </c>
      <c r="H1824" s="2"/>
      <c r="I1824" s="2" t="s">
        <v>3772</v>
      </c>
      <c r="J1824" s="2" t="b">
        <f>COUNTIF(MASTER!$L$2:$L$1944,I1824)=0</f>
        <v>1</v>
      </c>
    </row>
    <row r="1825" spans="6:10" x14ac:dyDescent="0.35">
      <c r="F1825" s="2" t="s">
        <v>3773</v>
      </c>
      <c r="G1825" s="2" t="b">
        <f>COUNTIF(MASTER!$A$2:$A$1944,F1825)=0</f>
        <v>1</v>
      </c>
      <c r="H1825" s="2"/>
      <c r="I1825" s="2" t="s">
        <v>3774</v>
      </c>
      <c r="J1825" s="2" t="b">
        <f>COUNTIF(MASTER!$L$2:$L$1944,I1825)=0</f>
        <v>1</v>
      </c>
    </row>
    <row r="1826" spans="6:10" x14ac:dyDescent="0.35">
      <c r="F1826" s="2" t="s">
        <v>3775</v>
      </c>
      <c r="G1826" s="2" t="b">
        <f>COUNTIF(MASTER!$A$2:$A$1944,F1826)=0</f>
        <v>1</v>
      </c>
      <c r="H1826" s="2"/>
      <c r="I1826" s="2" t="s">
        <v>3776</v>
      </c>
      <c r="J1826" s="2" t="b">
        <f>COUNTIF(MASTER!$L$2:$L$1944,I1826)=0</f>
        <v>1</v>
      </c>
    </row>
    <row r="1827" spans="6:10" x14ac:dyDescent="0.35">
      <c r="F1827" s="2" t="s">
        <v>3777</v>
      </c>
      <c r="G1827" s="2" t="b">
        <f>COUNTIF(MASTER!$A$2:$A$1944,F1827)=0</f>
        <v>1</v>
      </c>
      <c r="H1827" s="2"/>
      <c r="I1827" s="2" t="s">
        <v>3778</v>
      </c>
      <c r="J1827" s="2" t="b">
        <f>COUNTIF(MASTER!$L$2:$L$1944,I1827)=0</f>
        <v>1</v>
      </c>
    </row>
    <row r="1828" spans="6:10" x14ac:dyDescent="0.35">
      <c r="F1828" s="2" t="s">
        <v>3779</v>
      </c>
      <c r="G1828" s="2" t="b">
        <f>COUNTIF(MASTER!$A$2:$A$1944,F1828)=0</f>
        <v>1</v>
      </c>
      <c r="H1828" s="2"/>
      <c r="I1828" s="2" t="s">
        <v>3780</v>
      </c>
      <c r="J1828" s="2" t="b">
        <f>COUNTIF(MASTER!$L$2:$L$1944,I1828)=0</f>
        <v>1</v>
      </c>
    </row>
    <row r="1829" spans="6:10" x14ac:dyDescent="0.35">
      <c r="F1829" s="2" t="s">
        <v>3781</v>
      </c>
      <c r="G1829" s="2" t="b">
        <f>COUNTIF(MASTER!$A$2:$A$1944,F1829)=0</f>
        <v>1</v>
      </c>
      <c r="H1829" s="2"/>
      <c r="I1829" s="2" t="s">
        <v>3782</v>
      </c>
      <c r="J1829" s="2" t="b">
        <f>COUNTIF(MASTER!$L$2:$L$1944,I1829)=0</f>
        <v>1</v>
      </c>
    </row>
    <row r="1830" spans="6:10" x14ac:dyDescent="0.35">
      <c r="F1830" s="2" t="s">
        <v>3783</v>
      </c>
      <c r="G1830" s="2" t="b">
        <f>COUNTIF(MASTER!$A$2:$A$1944,F1830)=0</f>
        <v>1</v>
      </c>
      <c r="H1830" s="2"/>
      <c r="I1830" s="2" t="s">
        <v>3784</v>
      </c>
      <c r="J1830" s="2" t="b">
        <f>COUNTIF(MASTER!$L$2:$L$1944,I1830)=0</f>
        <v>1</v>
      </c>
    </row>
    <row r="1831" spans="6:10" x14ac:dyDescent="0.35">
      <c r="F1831" s="2" t="s">
        <v>3785</v>
      </c>
      <c r="G1831" s="2" t="b">
        <f>COUNTIF(MASTER!$A$2:$A$1944,F1831)=0</f>
        <v>1</v>
      </c>
      <c r="H1831" s="2"/>
      <c r="I1831" s="2" t="s">
        <v>3786</v>
      </c>
      <c r="J1831" s="2" t="b">
        <f>COUNTIF(MASTER!$L$2:$L$1944,I1831)=0</f>
        <v>1</v>
      </c>
    </row>
    <row r="1832" spans="6:10" x14ac:dyDescent="0.35">
      <c r="F1832" s="2" t="s">
        <v>3787</v>
      </c>
      <c r="G1832" s="2" t="b">
        <f>COUNTIF(MASTER!$A$2:$A$1944,F1832)=0</f>
        <v>1</v>
      </c>
      <c r="H1832" s="2"/>
      <c r="I1832" s="2" t="s">
        <v>3788</v>
      </c>
      <c r="J1832" s="2" t="b">
        <f>COUNTIF(MASTER!$L$2:$L$1944,I1832)=0</f>
        <v>1</v>
      </c>
    </row>
    <row r="1833" spans="6:10" x14ac:dyDescent="0.35">
      <c r="F1833" s="2" t="s">
        <v>3789</v>
      </c>
      <c r="G1833" s="2" t="b">
        <f>COUNTIF(MASTER!$A$2:$A$1944,F1833)=0</f>
        <v>1</v>
      </c>
      <c r="H1833" s="2"/>
      <c r="I1833" s="2" t="s">
        <v>3790</v>
      </c>
      <c r="J1833" s="2" t="b">
        <f>COUNTIF(MASTER!$L$2:$L$1944,I1833)=0</f>
        <v>1</v>
      </c>
    </row>
    <row r="1834" spans="6:10" x14ac:dyDescent="0.35">
      <c r="F1834" s="2" t="s">
        <v>3791</v>
      </c>
      <c r="G1834" s="2" t="b">
        <f>COUNTIF(MASTER!$A$2:$A$1944,F1834)=0</f>
        <v>1</v>
      </c>
      <c r="H1834" s="2"/>
      <c r="I1834" s="2" t="s">
        <v>3792</v>
      </c>
      <c r="J1834" s="2" t="b">
        <f>COUNTIF(MASTER!$L$2:$L$1944,I1834)=0</f>
        <v>1</v>
      </c>
    </row>
    <row r="1835" spans="6:10" x14ac:dyDescent="0.35">
      <c r="F1835" s="2" t="s">
        <v>3793</v>
      </c>
      <c r="G1835" s="2" t="b">
        <f>COUNTIF(MASTER!$A$2:$A$1944,F1835)=0</f>
        <v>1</v>
      </c>
      <c r="H1835" s="2"/>
      <c r="I1835" s="2" t="s">
        <v>3794</v>
      </c>
      <c r="J1835" s="2" t="b">
        <f>COUNTIF(MASTER!$L$2:$L$1944,I1835)=0</f>
        <v>1</v>
      </c>
    </row>
    <row r="1836" spans="6:10" x14ac:dyDescent="0.35">
      <c r="F1836" s="2" t="s">
        <v>3795</v>
      </c>
      <c r="G1836" s="2" t="b">
        <f>COUNTIF(MASTER!$A$2:$A$1944,F1836)=0</f>
        <v>1</v>
      </c>
      <c r="H1836" s="2"/>
      <c r="I1836" s="2" t="s">
        <v>3796</v>
      </c>
      <c r="J1836" s="2" t="b">
        <f>COUNTIF(MASTER!$L$2:$L$1944,I1836)=0</f>
        <v>1</v>
      </c>
    </row>
    <row r="1837" spans="6:10" x14ac:dyDescent="0.35">
      <c r="F1837" s="2" t="s">
        <v>3797</v>
      </c>
      <c r="G1837" s="2" t="b">
        <f>COUNTIF(MASTER!$A$2:$A$1944,F1837)=0</f>
        <v>1</v>
      </c>
      <c r="H1837" s="2"/>
      <c r="I1837" s="2" t="s">
        <v>3798</v>
      </c>
      <c r="J1837" s="2" t="b">
        <f>COUNTIF(MASTER!$L$2:$L$1944,I1837)=0</f>
        <v>1</v>
      </c>
    </row>
    <row r="1838" spans="6:10" x14ac:dyDescent="0.35">
      <c r="F1838" s="2" t="s">
        <v>3799</v>
      </c>
      <c r="G1838" s="2" t="b">
        <f>COUNTIF(MASTER!$A$2:$A$1944,F1838)=0</f>
        <v>1</v>
      </c>
      <c r="H1838" s="2"/>
      <c r="I1838" s="2" t="s">
        <v>3800</v>
      </c>
      <c r="J1838" s="2" t="b">
        <f>COUNTIF(MASTER!$L$2:$L$1944,I1838)=0</f>
        <v>1</v>
      </c>
    </row>
    <row r="1839" spans="6:10" x14ac:dyDescent="0.35">
      <c r="F1839" s="2" t="s">
        <v>3801</v>
      </c>
      <c r="G1839" s="2" t="b">
        <f>COUNTIF(MASTER!$A$2:$A$1944,F1839)=0</f>
        <v>1</v>
      </c>
      <c r="H1839" s="2"/>
      <c r="I1839" s="2" t="s">
        <v>3802</v>
      </c>
      <c r="J1839" s="2" t="b">
        <f>COUNTIF(MASTER!$L$2:$L$1944,I1839)=0</f>
        <v>1</v>
      </c>
    </row>
    <row r="1840" spans="6:10" x14ac:dyDescent="0.35">
      <c r="F1840" s="2" t="s">
        <v>3803</v>
      </c>
      <c r="G1840" s="2" t="b">
        <f>COUNTIF(MASTER!$A$2:$A$1944,F1840)=0</f>
        <v>1</v>
      </c>
      <c r="H1840" s="2"/>
      <c r="I1840" s="2" t="s">
        <v>3804</v>
      </c>
      <c r="J1840" s="2" t="b">
        <f>COUNTIF(MASTER!$L$2:$L$1944,I1840)=0</f>
        <v>1</v>
      </c>
    </row>
    <row r="1841" spans="6:10" x14ac:dyDescent="0.35">
      <c r="F1841" s="2" t="s">
        <v>3805</v>
      </c>
      <c r="G1841" s="2" t="b">
        <f>COUNTIF(MASTER!$A$2:$A$1944,F1841)=0</f>
        <v>1</v>
      </c>
      <c r="H1841" s="2"/>
      <c r="I1841" s="2" t="s">
        <v>3806</v>
      </c>
      <c r="J1841" s="2" t="b">
        <f>COUNTIF(MASTER!$L$2:$L$1944,I1841)=0</f>
        <v>1</v>
      </c>
    </row>
    <row r="1842" spans="6:10" x14ac:dyDescent="0.35">
      <c r="F1842" s="2" t="s">
        <v>3807</v>
      </c>
      <c r="G1842" s="2" t="b">
        <f>COUNTIF(MASTER!$A$2:$A$1944,F1842)=0</f>
        <v>1</v>
      </c>
      <c r="H1842" s="2"/>
      <c r="I1842" s="2" t="s">
        <v>3808</v>
      </c>
      <c r="J1842" s="2" t="b">
        <f>COUNTIF(MASTER!$L$2:$L$1944,I1842)=0</f>
        <v>1</v>
      </c>
    </row>
    <row r="1843" spans="6:10" x14ac:dyDescent="0.35">
      <c r="F1843" s="2" t="s">
        <v>3809</v>
      </c>
      <c r="G1843" s="2" t="b">
        <f>COUNTIF(MASTER!$A$2:$A$1944,F1843)=0</f>
        <v>1</v>
      </c>
      <c r="H1843" s="2"/>
      <c r="I1843" s="2" t="s">
        <v>3810</v>
      </c>
      <c r="J1843" s="2" t="b">
        <f>COUNTIF(MASTER!$L$2:$L$1944,I1843)=0</f>
        <v>1</v>
      </c>
    </row>
    <row r="1844" spans="6:10" x14ac:dyDescent="0.35">
      <c r="F1844" s="2" t="s">
        <v>3811</v>
      </c>
      <c r="G1844" s="2" t="b">
        <f>COUNTIF(MASTER!$A$2:$A$1944,F1844)=0</f>
        <v>1</v>
      </c>
      <c r="H1844" s="2"/>
      <c r="I1844" s="2" t="s">
        <v>3812</v>
      </c>
      <c r="J1844" s="2" t="b">
        <f>COUNTIF(MASTER!$L$2:$L$1944,I1844)=0</f>
        <v>1</v>
      </c>
    </row>
    <row r="1845" spans="6:10" x14ac:dyDescent="0.35">
      <c r="F1845" s="2" t="s">
        <v>3813</v>
      </c>
      <c r="G1845" s="2" t="b">
        <f>COUNTIF(MASTER!$A$2:$A$1944,F1845)=0</f>
        <v>1</v>
      </c>
      <c r="H1845" s="2"/>
      <c r="I1845" s="2" t="s">
        <v>3814</v>
      </c>
      <c r="J1845" s="2" t="b">
        <f>COUNTIF(MASTER!$L$2:$L$1944,I1845)=0</f>
        <v>1</v>
      </c>
    </row>
    <row r="1846" spans="6:10" x14ac:dyDescent="0.35">
      <c r="F1846" s="2" t="s">
        <v>3815</v>
      </c>
      <c r="G1846" s="2" t="b">
        <f>COUNTIF(MASTER!$A$2:$A$1944,F1846)=0</f>
        <v>1</v>
      </c>
      <c r="H1846" s="2"/>
      <c r="I1846" s="2" t="s">
        <v>3816</v>
      </c>
      <c r="J1846" s="2" t="b">
        <f>COUNTIF(MASTER!$L$2:$L$1944,I1846)=0</f>
        <v>1</v>
      </c>
    </row>
    <row r="1847" spans="6:10" x14ac:dyDescent="0.35">
      <c r="F1847" s="2" t="s">
        <v>3817</v>
      </c>
      <c r="G1847" s="2" t="b">
        <f>COUNTIF(MASTER!$A$2:$A$1944,F1847)=0</f>
        <v>1</v>
      </c>
      <c r="H1847" s="2"/>
      <c r="I1847" s="2" t="s">
        <v>3818</v>
      </c>
      <c r="J1847" s="2" t="b">
        <f>COUNTIF(MASTER!$L$2:$L$1944,I1847)=0</f>
        <v>1</v>
      </c>
    </row>
    <row r="1848" spans="6:10" x14ac:dyDescent="0.35">
      <c r="F1848" s="2" t="s">
        <v>3819</v>
      </c>
      <c r="G1848" s="2" t="b">
        <f>COUNTIF(MASTER!$A$2:$A$1944,F1848)=0</f>
        <v>1</v>
      </c>
      <c r="H1848" s="2"/>
      <c r="I1848" s="2" t="s">
        <v>3820</v>
      </c>
      <c r="J1848" s="2" t="b">
        <f>COUNTIF(MASTER!$L$2:$L$1944,I1848)=0</f>
        <v>1</v>
      </c>
    </row>
    <row r="1849" spans="6:10" x14ac:dyDescent="0.35">
      <c r="F1849" s="2" t="s">
        <v>3821</v>
      </c>
      <c r="G1849" s="2" t="b">
        <f>COUNTIF(MASTER!$A$2:$A$1944,F1849)=0</f>
        <v>1</v>
      </c>
      <c r="H1849" s="2"/>
      <c r="I1849" s="2" t="s">
        <v>3822</v>
      </c>
      <c r="J1849" s="2" t="b">
        <f>COUNTIF(MASTER!$L$2:$L$1944,I1849)=0</f>
        <v>1</v>
      </c>
    </row>
    <row r="1850" spans="6:10" x14ac:dyDescent="0.35">
      <c r="F1850" s="2" t="s">
        <v>3823</v>
      </c>
      <c r="G1850" s="2" t="b">
        <f>COUNTIF(MASTER!$A$2:$A$1944,F1850)=0</f>
        <v>1</v>
      </c>
      <c r="H1850" s="2"/>
      <c r="I1850" s="2" t="s">
        <v>3824</v>
      </c>
      <c r="J1850" s="2" t="b">
        <f>COUNTIF(MASTER!$L$2:$L$1944,I1850)=0</f>
        <v>1</v>
      </c>
    </row>
    <row r="1851" spans="6:10" x14ac:dyDescent="0.35">
      <c r="F1851" s="2" t="s">
        <v>3825</v>
      </c>
      <c r="G1851" s="2" t="b">
        <f>COUNTIF(MASTER!$A$2:$A$1944,F1851)=0</f>
        <v>1</v>
      </c>
      <c r="H1851" s="2"/>
      <c r="I1851" s="2" t="s">
        <v>3826</v>
      </c>
      <c r="J1851" s="2" t="b">
        <f>COUNTIF(MASTER!$L$2:$L$1944,I1851)=0</f>
        <v>1</v>
      </c>
    </row>
    <row r="1852" spans="6:10" x14ac:dyDescent="0.35">
      <c r="F1852" s="2" t="s">
        <v>3827</v>
      </c>
      <c r="G1852" s="2" t="b">
        <f>COUNTIF(MASTER!$A$2:$A$1944,F1852)=0</f>
        <v>1</v>
      </c>
      <c r="H1852" s="2"/>
      <c r="I1852" s="2" t="s">
        <v>3828</v>
      </c>
      <c r="J1852" s="2" t="b">
        <f>COUNTIF(MASTER!$L$2:$L$1944,I1852)=0</f>
        <v>1</v>
      </c>
    </row>
    <row r="1853" spans="6:10" x14ac:dyDescent="0.35">
      <c r="F1853" s="2" t="s">
        <v>3829</v>
      </c>
      <c r="G1853" s="2" t="b">
        <f>COUNTIF(MASTER!$A$2:$A$1944,F1853)=0</f>
        <v>1</v>
      </c>
      <c r="H1853" s="2"/>
      <c r="I1853" s="2" t="s">
        <v>3830</v>
      </c>
      <c r="J1853" s="2" t="b">
        <f>COUNTIF(MASTER!$L$2:$L$1944,I1853)=0</f>
        <v>1</v>
      </c>
    </row>
    <row r="1854" spans="6:10" x14ac:dyDescent="0.35">
      <c r="F1854" s="2" t="s">
        <v>3831</v>
      </c>
      <c r="G1854" s="2" t="b">
        <f>COUNTIF(MASTER!$A$2:$A$1944,F1854)=0</f>
        <v>1</v>
      </c>
      <c r="H1854" s="2"/>
      <c r="I1854" s="2" t="s">
        <v>3832</v>
      </c>
      <c r="J1854" s="2" t="b">
        <f>COUNTIF(MASTER!$L$2:$L$1944,I1854)=0</f>
        <v>1</v>
      </c>
    </row>
    <row r="1855" spans="6:10" x14ac:dyDescent="0.35">
      <c r="F1855" s="2" t="s">
        <v>3833</v>
      </c>
      <c r="G1855" s="2" t="b">
        <f>COUNTIF(MASTER!$A$2:$A$1944,F1855)=0</f>
        <v>1</v>
      </c>
      <c r="H1855" s="2"/>
      <c r="I1855" s="2" t="s">
        <v>3834</v>
      </c>
      <c r="J1855" s="2" t="b">
        <f>COUNTIF(MASTER!$L$2:$L$1944,I1855)=0</f>
        <v>1</v>
      </c>
    </row>
    <row r="1856" spans="6:10" x14ac:dyDescent="0.35">
      <c r="F1856" s="2" t="s">
        <v>3835</v>
      </c>
      <c r="G1856" s="2" t="b">
        <f>COUNTIF(MASTER!$A$2:$A$1944,F1856)=0</f>
        <v>1</v>
      </c>
      <c r="H1856" s="2"/>
      <c r="I1856" s="2" t="s">
        <v>3836</v>
      </c>
      <c r="J1856" s="2" t="b">
        <f>COUNTIF(MASTER!$L$2:$L$1944,I1856)=0</f>
        <v>1</v>
      </c>
    </row>
    <row r="1857" spans="6:10" x14ac:dyDescent="0.35">
      <c r="F1857" s="2" t="s">
        <v>3837</v>
      </c>
      <c r="G1857" s="2" t="b">
        <f>COUNTIF(MASTER!$A$2:$A$1944,F1857)=0</f>
        <v>1</v>
      </c>
      <c r="H1857" s="2"/>
      <c r="I1857" s="2" t="s">
        <v>3838</v>
      </c>
      <c r="J1857" s="2" t="b">
        <f>COUNTIF(MASTER!$L$2:$L$1944,I1857)=0</f>
        <v>1</v>
      </c>
    </row>
    <row r="1858" spans="6:10" x14ac:dyDescent="0.35">
      <c r="F1858" s="2" t="s">
        <v>3839</v>
      </c>
      <c r="G1858" s="2" t="b">
        <f>COUNTIF(MASTER!$A$2:$A$1944,F1858)=0</f>
        <v>1</v>
      </c>
      <c r="H1858" s="2"/>
      <c r="I1858" s="2" t="s">
        <v>3840</v>
      </c>
      <c r="J1858" s="2" t="b">
        <f>COUNTIF(MASTER!$L$2:$L$1944,I1858)=0</f>
        <v>1</v>
      </c>
    </row>
    <row r="1859" spans="6:10" x14ac:dyDescent="0.35">
      <c r="F1859" s="2" t="s">
        <v>3841</v>
      </c>
      <c r="G1859" s="2" t="b">
        <f>COUNTIF(MASTER!$A$2:$A$1944,F1859)=0</f>
        <v>1</v>
      </c>
      <c r="H1859" s="2"/>
      <c r="I1859" s="2" t="s">
        <v>3842</v>
      </c>
      <c r="J1859" s="2" t="b">
        <f>COUNTIF(MASTER!$L$2:$L$1944,I1859)=0</f>
        <v>1</v>
      </c>
    </row>
    <row r="1860" spans="6:10" x14ac:dyDescent="0.35">
      <c r="F1860" s="2" t="s">
        <v>3843</v>
      </c>
      <c r="G1860" s="2" t="b">
        <f>COUNTIF(MASTER!$A$2:$A$1944,F1860)=0</f>
        <v>1</v>
      </c>
      <c r="H1860" s="2"/>
      <c r="I1860" s="2" t="s">
        <v>3844</v>
      </c>
      <c r="J1860" s="2" t="b">
        <f>COUNTIF(MASTER!$L$2:$L$1944,I1860)=0</f>
        <v>1</v>
      </c>
    </row>
    <row r="1861" spans="6:10" x14ac:dyDescent="0.35">
      <c r="F1861" s="2" t="s">
        <v>3845</v>
      </c>
      <c r="G1861" s="2" t="b">
        <f>COUNTIF(MASTER!$A$2:$A$1944,F1861)=0</f>
        <v>1</v>
      </c>
      <c r="H1861" s="2"/>
      <c r="I1861" s="2" t="s">
        <v>3846</v>
      </c>
      <c r="J1861" s="2" t="b">
        <f>COUNTIF(MASTER!$L$2:$L$1944,I1861)=0</f>
        <v>1</v>
      </c>
    </row>
    <row r="1862" spans="6:10" x14ac:dyDescent="0.35">
      <c r="F1862" s="2" t="s">
        <v>3847</v>
      </c>
      <c r="G1862" s="2" t="b">
        <f>COUNTIF(MASTER!$A$2:$A$1944,F1862)=0</f>
        <v>1</v>
      </c>
      <c r="H1862" s="2"/>
      <c r="I1862" s="2" t="s">
        <v>3848</v>
      </c>
      <c r="J1862" s="2" t="b">
        <f>COUNTIF(MASTER!$L$2:$L$1944,I1862)=0</f>
        <v>1</v>
      </c>
    </row>
    <row r="1863" spans="6:10" x14ac:dyDescent="0.35">
      <c r="F1863" s="2" t="s">
        <v>3849</v>
      </c>
      <c r="G1863" s="2" t="b">
        <f>COUNTIF(MASTER!$A$2:$A$1944,F1863)=0</f>
        <v>1</v>
      </c>
      <c r="H1863" s="2"/>
      <c r="I1863" s="2" t="s">
        <v>3850</v>
      </c>
      <c r="J1863" s="2" t="b">
        <f>COUNTIF(MASTER!$L$2:$L$1944,I1863)=0</f>
        <v>1</v>
      </c>
    </row>
    <row r="1864" spans="6:10" x14ac:dyDescent="0.35">
      <c r="F1864" s="2" t="s">
        <v>3851</v>
      </c>
      <c r="G1864" s="2" t="b">
        <f>COUNTIF(MASTER!$A$2:$A$1944,F1864)=0</f>
        <v>1</v>
      </c>
      <c r="H1864" s="2"/>
      <c r="I1864" s="2" t="s">
        <v>3852</v>
      </c>
      <c r="J1864" s="2" t="b">
        <f>COUNTIF(MASTER!$L$2:$L$1944,I1864)=0</f>
        <v>1</v>
      </c>
    </row>
    <row r="1865" spans="6:10" x14ac:dyDescent="0.35">
      <c r="F1865" s="2" t="s">
        <v>3853</v>
      </c>
      <c r="G1865" s="2" t="b">
        <f>COUNTIF(MASTER!$A$2:$A$1944,F1865)=0</f>
        <v>1</v>
      </c>
      <c r="H1865" s="2"/>
      <c r="I1865" s="2" t="s">
        <v>3854</v>
      </c>
      <c r="J1865" s="2" t="b">
        <f>COUNTIF(MASTER!$L$2:$L$1944,I1865)=0</f>
        <v>1</v>
      </c>
    </row>
    <row r="1866" spans="6:10" x14ac:dyDescent="0.35">
      <c r="F1866" s="2" t="s">
        <v>3855</v>
      </c>
      <c r="G1866" s="2" t="b">
        <f>COUNTIF(MASTER!$A$2:$A$1944,F1866)=0</f>
        <v>1</v>
      </c>
      <c r="H1866" s="2"/>
      <c r="I1866" s="2" t="s">
        <v>3856</v>
      </c>
      <c r="J1866" s="2" t="b">
        <f>COUNTIF(MASTER!$L$2:$L$1944,I1866)=0</f>
        <v>1</v>
      </c>
    </row>
    <row r="1867" spans="6:10" x14ac:dyDescent="0.35">
      <c r="F1867" s="2" t="s">
        <v>3857</v>
      </c>
      <c r="G1867" s="2" t="b">
        <f>COUNTIF(MASTER!$A$2:$A$1944,F1867)=0</f>
        <v>1</v>
      </c>
      <c r="H1867" s="2"/>
      <c r="I1867" s="2" t="s">
        <v>3858</v>
      </c>
      <c r="J1867" s="2" t="b">
        <f>COUNTIF(MASTER!$L$2:$L$1944,I1867)=0</f>
        <v>1</v>
      </c>
    </row>
    <row r="1868" spans="6:10" x14ac:dyDescent="0.35">
      <c r="F1868" s="2" t="s">
        <v>3859</v>
      </c>
      <c r="G1868" s="2" t="b">
        <f>COUNTIF(MASTER!$A$2:$A$1944,F1868)=0</f>
        <v>1</v>
      </c>
      <c r="H1868" s="2"/>
      <c r="I1868" s="2" t="s">
        <v>3860</v>
      </c>
      <c r="J1868" s="2" t="b">
        <f>COUNTIF(MASTER!$L$2:$L$1944,I1868)=0</f>
        <v>1</v>
      </c>
    </row>
    <row r="1869" spans="6:10" x14ac:dyDescent="0.35">
      <c r="F1869" s="2" t="s">
        <v>3861</v>
      </c>
      <c r="G1869" s="2" t="b">
        <f>COUNTIF(MASTER!$A$2:$A$1944,F1869)=0</f>
        <v>1</v>
      </c>
      <c r="H1869" s="2"/>
      <c r="I1869" s="2" t="s">
        <v>3862</v>
      </c>
      <c r="J1869" s="2" t="b">
        <f>COUNTIF(MASTER!$L$2:$L$1944,I1869)=0</f>
        <v>1</v>
      </c>
    </row>
    <row r="1870" spans="6:10" x14ac:dyDescent="0.35">
      <c r="F1870" s="2" t="s">
        <v>3863</v>
      </c>
      <c r="G1870" s="2" t="b">
        <f>COUNTIF(MASTER!$A$2:$A$1944,F1870)=0</f>
        <v>1</v>
      </c>
      <c r="H1870" s="2"/>
      <c r="I1870" s="2" t="s">
        <v>3864</v>
      </c>
      <c r="J1870" s="2" t="b">
        <f>COUNTIF(MASTER!$L$2:$L$1944,I1870)=0</f>
        <v>1</v>
      </c>
    </row>
    <row r="1871" spans="6:10" x14ac:dyDescent="0.35">
      <c r="F1871" s="2" t="s">
        <v>3865</v>
      </c>
      <c r="G1871" s="2" t="b">
        <f>COUNTIF(MASTER!$A$2:$A$1944,F1871)=0</f>
        <v>1</v>
      </c>
      <c r="H1871" s="2"/>
      <c r="I1871" s="2" t="s">
        <v>3866</v>
      </c>
      <c r="J1871" s="2" t="b">
        <f>COUNTIF(MASTER!$L$2:$L$1944,I1871)=0</f>
        <v>1</v>
      </c>
    </row>
    <row r="1872" spans="6:10" x14ac:dyDescent="0.35">
      <c r="F1872" s="2" t="s">
        <v>3867</v>
      </c>
      <c r="G1872" s="2" t="b">
        <f>COUNTIF(MASTER!$A$2:$A$1944,F1872)=0</f>
        <v>1</v>
      </c>
      <c r="H1872" s="2"/>
      <c r="I1872" s="2" t="s">
        <v>3868</v>
      </c>
      <c r="J1872" s="2" t="b">
        <f>COUNTIF(MASTER!$L$2:$L$1944,I1872)=0</f>
        <v>1</v>
      </c>
    </row>
    <row r="1873" spans="6:10" x14ac:dyDescent="0.35">
      <c r="F1873" s="2" t="s">
        <v>3869</v>
      </c>
      <c r="G1873" s="2" t="b">
        <f>COUNTIF(MASTER!$A$2:$A$1944,F1873)=0</f>
        <v>1</v>
      </c>
      <c r="H1873" s="2"/>
      <c r="I1873" s="2" t="s">
        <v>3870</v>
      </c>
      <c r="J1873" s="2" t="b">
        <f>COUNTIF(MASTER!$L$2:$L$1944,I1873)=0</f>
        <v>1</v>
      </c>
    </row>
    <row r="1874" spans="6:10" x14ac:dyDescent="0.35">
      <c r="F1874" s="2" t="s">
        <v>3871</v>
      </c>
      <c r="G1874" s="2" t="b">
        <f>COUNTIF(MASTER!$A$2:$A$1944,F1874)=0</f>
        <v>1</v>
      </c>
      <c r="H1874" s="2"/>
      <c r="I1874" s="2" t="s">
        <v>3872</v>
      </c>
      <c r="J1874" s="2" t="b">
        <f>COUNTIF(MASTER!$L$2:$L$1944,I1874)=0</f>
        <v>1</v>
      </c>
    </row>
    <row r="1875" spans="6:10" x14ac:dyDescent="0.35">
      <c r="F1875" s="2" t="s">
        <v>3873</v>
      </c>
      <c r="G1875" s="2" t="b">
        <f>COUNTIF(MASTER!$A$2:$A$1944,F1875)=0</f>
        <v>1</v>
      </c>
      <c r="H1875" s="2"/>
      <c r="I1875" s="2" t="s">
        <v>3874</v>
      </c>
      <c r="J1875" s="2" t="b">
        <f>COUNTIF(MASTER!$L$2:$L$1944,I1875)=0</f>
        <v>1</v>
      </c>
    </row>
    <row r="1876" spans="6:10" x14ac:dyDescent="0.35">
      <c r="F1876" s="2" t="s">
        <v>3875</v>
      </c>
      <c r="G1876" s="2" t="b">
        <f>COUNTIF(MASTER!$A$2:$A$1944,F1876)=0</f>
        <v>1</v>
      </c>
      <c r="H1876" s="2"/>
      <c r="I1876" s="2" t="s">
        <v>3876</v>
      </c>
      <c r="J1876" s="2" t="b">
        <f>COUNTIF(MASTER!$L$2:$L$1944,I1876)=0</f>
        <v>1</v>
      </c>
    </row>
    <row r="1877" spans="6:10" x14ac:dyDescent="0.35">
      <c r="F1877" s="2" t="s">
        <v>3877</v>
      </c>
      <c r="G1877" s="2" t="b">
        <f>COUNTIF(MASTER!$A$2:$A$1944,F1877)=0</f>
        <v>1</v>
      </c>
      <c r="H1877" s="2"/>
      <c r="I1877" s="2" t="s">
        <v>3878</v>
      </c>
      <c r="J1877" s="2" t="b">
        <f>COUNTIF(MASTER!$L$2:$L$1944,I1877)=0</f>
        <v>1</v>
      </c>
    </row>
    <row r="1878" spans="6:10" x14ac:dyDescent="0.35">
      <c r="F1878" s="2" t="s">
        <v>3879</v>
      </c>
      <c r="G1878" s="2" t="b">
        <f>COUNTIF(MASTER!$A$2:$A$1944,F1878)=0</f>
        <v>1</v>
      </c>
      <c r="H1878" s="2"/>
      <c r="I1878" s="2" t="s">
        <v>3880</v>
      </c>
      <c r="J1878" s="2" t="b">
        <f>COUNTIF(MASTER!$L$2:$L$1944,I1878)=0</f>
        <v>1</v>
      </c>
    </row>
    <row r="1879" spans="6:10" x14ac:dyDescent="0.35">
      <c r="F1879" s="2" t="s">
        <v>3881</v>
      </c>
      <c r="G1879" s="2" t="b">
        <f>COUNTIF(MASTER!$A$2:$A$1944,F1879)=0</f>
        <v>1</v>
      </c>
      <c r="H1879" s="2"/>
      <c r="I1879" s="2" t="s">
        <v>3882</v>
      </c>
      <c r="J1879" s="2" t="b">
        <f>COUNTIF(MASTER!$L$2:$L$1944,I1879)=0</f>
        <v>1</v>
      </c>
    </row>
    <row r="1880" spans="6:10" x14ac:dyDescent="0.35">
      <c r="F1880" s="2" t="s">
        <v>3883</v>
      </c>
      <c r="G1880" s="2" t="b">
        <f>COUNTIF(MASTER!$A$2:$A$1944,F1880)=0</f>
        <v>1</v>
      </c>
      <c r="H1880" s="2"/>
      <c r="I1880" s="2" t="s">
        <v>3884</v>
      </c>
      <c r="J1880" s="2" t="b">
        <f>COUNTIF(MASTER!$L$2:$L$1944,I1880)=0</f>
        <v>1</v>
      </c>
    </row>
    <row r="1881" spans="6:10" x14ac:dyDescent="0.35">
      <c r="F1881" s="2" t="s">
        <v>3885</v>
      </c>
      <c r="G1881" s="2" t="b">
        <f>COUNTIF(MASTER!$A$2:$A$1944,F1881)=0</f>
        <v>1</v>
      </c>
      <c r="H1881" s="2"/>
      <c r="I1881" s="2" t="s">
        <v>3886</v>
      </c>
      <c r="J1881" s="2" t="b">
        <f>COUNTIF(MASTER!$L$2:$L$1944,I1881)=0</f>
        <v>1</v>
      </c>
    </row>
    <row r="1882" spans="6:10" x14ac:dyDescent="0.35">
      <c r="F1882" s="2" t="s">
        <v>3887</v>
      </c>
      <c r="G1882" s="2" t="b">
        <f>COUNTIF(MASTER!$A$2:$A$1944,F1882)=0</f>
        <v>1</v>
      </c>
      <c r="H1882" s="2"/>
      <c r="I1882" s="2" t="s">
        <v>3888</v>
      </c>
      <c r="J1882" s="2" t="b">
        <f>COUNTIF(MASTER!$L$2:$L$1944,I1882)=0</f>
        <v>1</v>
      </c>
    </row>
    <row r="1883" spans="6:10" x14ac:dyDescent="0.35">
      <c r="F1883" s="2" t="s">
        <v>3889</v>
      </c>
      <c r="G1883" s="2" t="b">
        <f>COUNTIF(MASTER!$A$2:$A$1944,F1883)=0</f>
        <v>1</v>
      </c>
      <c r="H1883" s="2"/>
      <c r="I1883" s="2" t="s">
        <v>3890</v>
      </c>
      <c r="J1883" s="2" t="b">
        <f>COUNTIF(MASTER!$L$2:$L$1944,I1883)=0</f>
        <v>1</v>
      </c>
    </row>
    <row r="1884" spans="6:10" x14ac:dyDescent="0.35">
      <c r="F1884" s="2" t="s">
        <v>3891</v>
      </c>
      <c r="G1884" s="2" t="b">
        <f>COUNTIF(MASTER!$A$2:$A$1944,F1884)=0</f>
        <v>1</v>
      </c>
      <c r="H1884" s="2"/>
      <c r="I1884" s="2" t="s">
        <v>3892</v>
      </c>
      <c r="J1884" s="2" t="b">
        <f>COUNTIF(MASTER!$L$2:$L$1944,I1884)=0</f>
        <v>1</v>
      </c>
    </row>
    <row r="1885" spans="6:10" x14ac:dyDescent="0.35">
      <c r="F1885" s="2" t="s">
        <v>3893</v>
      </c>
      <c r="G1885" s="2" t="b">
        <f>COUNTIF(MASTER!$A$2:$A$1944,F1885)=0</f>
        <v>1</v>
      </c>
      <c r="H1885" s="2"/>
      <c r="I1885" s="2" t="s">
        <v>3894</v>
      </c>
      <c r="J1885" s="2" t="b">
        <f>COUNTIF(MASTER!$L$2:$L$1944,I1885)=0</f>
        <v>1</v>
      </c>
    </row>
    <row r="1886" spans="6:10" x14ac:dyDescent="0.35">
      <c r="F1886" s="2" t="s">
        <v>3895</v>
      </c>
      <c r="G1886" s="2" t="b">
        <f>COUNTIF(MASTER!$A$2:$A$1944,F1886)=0</f>
        <v>1</v>
      </c>
      <c r="H1886" s="2"/>
      <c r="I1886" s="2" t="s">
        <v>3896</v>
      </c>
      <c r="J1886" s="2" t="b">
        <f>COUNTIF(MASTER!$L$2:$L$1944,I1886)=0</f>
        <v>1</v>
      </c>
    </row>
    <row r="1887" spans="6:10" x14ac:dyDescent="0.35">
      <c r="F1887" s="2" t="s">
        <v>3897</v>
      </c>
      <c r="G1887" s="2" t="b">
        <f>COUNTIF(MASTER!$A$2:$A$1944,F1887)=0</f>
        <v>1</v>
      </c>
      <c r="H1887" s="2"/>
      <c r="I1887" s="2" t="s">
        <v>3898</v>
      </c>
      <c r="J1887" s="2" t="b">
        <f>COUNTIF(MASTER!$L$2:$L$1944,I1887)=0</f>
        <v>1</v>
      </c>
    </row>
    <row r="1888" spans="6:10" x14ac:dyDescent="0.35">
      <c r="F1888" s="2" t="s">
        <v>3899</v>
      </c>
      <c r="G1888" s="2" t="b">
        <f>COUNTIF(MASTER!$A$2:$A$1944,F1888)=0</f>
        <v>1</v>
      </c>
      <c r="H1888" s="2"/>
      <c r="I1888" s="2" t="s">
        <v>3900</v>
      </c>
      <c r="J1888" s="2" t="b">
        <f>COUNTIF(MASTER!$L$2:$L$1944,I1888)=0</f>
        <v>1</v>
      </c>
    </row>
    <row r="1889" spans="6:10" x14ac:dyDescent="0.35">
      <c r="F1889" s="2" t="s">
        <v>3901</v>
      </c>
      <c r="G1889" s="2" t="b">
        <f>COUNTIF(MASTER!$A$2:$A$1944,F1889)=0</f>
        <v>1</v>
      </c>
      <c r="H1889" s="2"/>
      <c r="I1889" s="2" t="s">
        <v>3902</v>
      </c>
      <c r="J1889" s="2" t="b">
        <f>COUNTIF(MASTER!$L$2:$L$1944,I1889)=0</f>
        <v>1</v>
      </c>
    </row>
    <row r="1890" spans="6:10" x14ac:dyDescent="0.35">
      <c r="F1890" s="2" t="s">
        <v>3903</v>
      </c>
      <c r="G1890" s="2" t="b">
        <f>COUNTIF(MASTER!$A$2:$A$1944,F1890)=0</f>
        <v>1</v>
      </c>
      <c r="H1890" s="2"/>
      <c r="I1890" s="2" t="s">
        <v>3904</v>
      </c>
      <c r="J1890" s="2" t="b">
        <f>COUNTIF(MASTER!$L$2:$L$1944,I1890)=0</f>
        <v>1</v>
      </c>
    </row>
    <row r="1891" spans="6:10" x14ac:dyDescent="0.35">
      <c r="F1891" s="2" t="s">
        <v>3905</v>
      </c>
      <c r="G1891" s="2" t="b">
        <f>COUNTIF(MASTER!$A$2:$A$1944,F1891)=0</f>
        <v>1</v>
      </c>
      <c r="H1891" s="2"/>
      <c r="I1891" s="2" t="s">
        <v>3906</v>
      </c>
      <c r="J1891" s="2" t="b">
        <f>COUNTIF(MASTER!$L$2:$L$1944,I1891)=0</f>
        <v>1</v>
      </c>
    </row>
    <row r="1892" spans="6:10" x14ac:dyDescent="0.35">
      <c r="F1892" s="2" t="s">
        <v>3907</v>
      </c>
      <c r="G1892" s="2" t="b">
        <f>COUNTIF(MASTER!$A$2:$A$1944,F1892)=0</f>
        <v>1</v>
      </c>
      <c r="H1892" s="2"/>
      <c r="I1892" s="2" t="s">
        <v>3908</v>
      </c>
      <c r="J1892" s="2" t="b">
        <f>COUNTIF(MASTER!$L$2:$L$1944,I1892)=0</f>
        <v>1</v>
      </c>
    </row>
    <row r="1893" spans="6:10" x14ac:dyDescent="0.35">
      <c r="F1893" s="2" t="s">
        <v>3909</v>
      </c>
      <c r="G1893" s="2" t="b">
        <f>COUNTIF(MASTER!$A$2:$A$1944,F1893)=0</f>
        <v>1</v>
      </c>
      <c r="H1893" s="2"/>
      <c r="I1893" s="2" t="s">
        <v>3910</v>
      </c>
      <c r="J1893" s="2" t="b">
        <f>COUNTIF(MASTER!$L$2:$L$1944,I1893)=0</f>
        <v>1</v>
      </c>
    </row>
    <row r="1894" spans="6:10" x14ac:dyDescent="0.35">
      <c r="F1894" s="2" t="s">
        <v>3911</v>
      </c>
      <c r="G1894" s="2" t="b">
        <f>COUNTIF(MASTER!$A$2:$A$1944,F1894)=0</f>
        <v>1</v>
      </c>
      <c r="H1894" s="2"/>
      <c r="I1894" s="2" t="s">
        <v>3912</v>
      </c>
      <c r="J1894" s="2" t="b">
        <f>COUNTIF(MASTER!$L$2:$L$1944,I1894)=0</f>
        <v>1</v>
      </c>
    </row>
    <row r="1895" spans="6:10" x14ac:dyDescent="0.35">
      <c r="F1895" s="2" t="s">
        <v>3913</v>
      </c>
      <c r="G1895" s="2" t="b">
        <f>COUNTIF(MASTER!$A$2:$A$1944,F1895)=0</f>
        <v>1</v>
      </c>
      <c r="H1895" s="2"/>
      <c r="I1895" s="2" t="s">
        <v>3914</v>
      </c>
      <c r="J1895" s="2" t="b">
        <f>COUNTIF(MASTER!$L$2:$L$1944,I1895)=0</f>
        <v>1</v>
      </c>
    </row>
    <row r="1896" spans="6:10" x14ac:dyDescent="0.35">
      <c r="F1896" s="2" t="s">
        <v>3915</v>
      </c>
      <c r="G1896" s="2" t="b">
        <f>COUNTIF(MASTER!$A$2:$A$1944,F1896)=0</f>
        <v>1</v>
      </c>
      <c r="H1896" s="2"/>
      <c r="I1896" s="2" t="s">
        <v>3916</v>
      </c>
      <c r="J1896" s="2" t="b">
        <f>COUNTIF(MASTER!$L$2:$L$1944,I1896)=0</f>
        <v>1</v>
      </c>
    </row>
    <row r="1897" spans="6:10" x14ac:dyDescent="0.35">
      <c r="F1897" s="2" t="s">
        <v>3917</v>
      </c>
      <c r="G1897" s="2" t="b">
        <f>COUNTIF(MASTER!$A$2:$A$1944,F1897)=0</f>
        <v>1</v>
      </c>
      <c r="H1897" s="2"/>
      <c r="I1897" s="2" t="s">
        <v>3918</v>
      </c>
      <c r="J1897" s="2" t="b">
        <f>COUNTIF(MASTER!$L$2:$L$1944,I1897)=0</f>
        <v>1</v>
      </c>
    </row>
    <row r="1898" spans="6:10" x14ac:dyDescent="0.35">
      <c r="F1898" s="2" t="s">
        <v>3919</v>
      </c>
      <c r="G1898" s="2" t="b">
        <f>COUNTIF(MASTER!$A$2:$A$1944,F1898)=0</f>
        <v>1</v>
      </c>
      <c r="H1898" s="2"/>
      <c r="I1898" s="2" t="s">
        <v>3920</v>
      </c>
      <c r="J1898" s="2" t="b">
        <f>COUNTIF(MASTER!$L$2:$L$1944,I1898)=0</f>
        <v>1</v>
      </c>
    </row>
    <row r="1899" spans="6:10" x14ac:dyDescent="0.35">
      <c r="F1899" s="2" t="s">
        <v>3921</v>
      </c>
      <c r="G1899" s="2" t="b">
        <f>COUNTIF(MASTER!$A$2:$A$1944,F1899)=0</f>
        <v>1</v>
      </c>
      <c r="H1899" s="2"/>
      <c r="I1899" s="2" t="s">
        <v>3922</v>
      </c>
      <c r="J1899" s="2" t="b">
        <f>COUNTIF(MASTER!$L$2:$L$1944,I1899)=0</f>
        <v>1</v>
      </c>
    </row>
    <row r="1900" spans="6:10" x14ac:dyDescent="0.35">
      <c r="F1900" s="2" t="s">
        <v>3923</v>
      </c>
      <c r="G1900" s="2" t="b">
        <f>COUNTIF(MASTER!$A$2:$A$1944,F1900)=0</f>
        <v>1</v>
      </c>
      <c r="H1900" s="2"/>
      <c r="I1900" s="2" t="s">
        <v>3924</v>
      </c>
      <c r="J1900" s="2" t="b">
        <f>COUNTIF(MASTER!$L$2:$L$1944,I1900)=0</f>
        <v>1</v>
      </c>
    </row>
    <row r="1901" spans="6:10" x14ac:dyDescent="0.35">
      <c r="F1901" s="2" t="s">
        <v>3925</v>
      </c>
      <c r="G1901" s="2" t="b">
        <f>COUNTIF(MASTER!$A$2:$A$1944,F1901)=0</f>
        <v>1</v>
      </c>
      <c r="H1901" s="2"/>
      <c r="I1901" s="2" t="s">
        <v>3926</v>
      </c>
      <c r="J1901" s="2" t="b">
        <f>COUNTIF(MASTER!$L$2:$L$1944,I1901)=0</f>
        <v>1</v>
      </c>
    </row>
    <row r="1902" spans="6:10" x14ac:dyDescent="0.35">
      <c r="F1902" s="2" t="s">
        <v>3927</v>
      </c>
      <c r="G1902" s="2" t="b">
        <f>COUNTIF(MASTER!$A$2:$A$1944,F1902)=0</f>
        <v>1</v>
      </c>
      <c r="H1902" s="2"/>
      <c r="I1902" s="2" t="s">
        <v>3928</v>
      </c>
      <c r="J1902" s="2" t="b">
        <f>COUNTIF(MASTER!$L$2:$L$1944,I1902)=0</f>
        <v>1</v>
      </c>
    </row>
    <row r="1903" spans="6:10" x14ac:dyDescent="0.35">
      <c r="F1903" s="2" t="s">
        <v>3929</v>
      </c>
      <c r="G1903" s="2" t="b">
        <f>COUNTIF(MASTER!$A$2:$A$1944,F1903)=0</f>
        <v>1</v>
      </c>
      <c r="H1903" s="2"/>
      <c r="I1903" s="2" t="s">
        <v>3930</v>
      </c>
      <c r="J1903" s="2" t="b">
        <f>COUNTIF(MASTER!$L$2:$L$1944,I1903)=0</f>
        <v>1</v>
      </c>
    </row>
    <row r="1904" spans="6:10" x14ac:dyDescent="0.35">
      <c r="F1904" s="2" t="s">
        <v>3931</v>
      </c>
      <c r="G1904" s="2" t="b">
        <f>COUNTIF(MASTER!$A$2:$A$1944,F1904)=0</f>
        <v>1</v>
      </c>
      <c r="H1904" s="2"/>
      <c r="I1904" s="2" t="s">
        <v>3932</v>
      </c>
      <c r="J1904" s="2" t="b">
        <f>COUNTIF(MASTER!$L$2:$L$1944,I1904)=0</f>
        <v>1</v>
      </c>
    </row>
    <row r="1905" spans="6:10" x14ac:dyDescent="0.35">
      <c r="F1905" s="2" t="s">
        <v>3933</v>
      </c>
      <c r="G1905" s="2" t="b">
        <f>COUNTIF(MASTER!$A$2:$A$1944,F1905)=0</f>
        <v>1</v>
      </c>
      <c r="H1905" s="2"/>
      <c r="I1905" s="2" t="s">
        <v>3934</v>
      </c>
      <c r="J1905" s="2" t="b">
        <f>COUNTIF(MASTER!$L$2:$L$1944,I1905)=0</f>
        <v>1</v>
      </c>
    </row>
    <row r="1906" spans="6:10" x14ac:dyDescent="0.35">
      <c r="F1906" s="2" t="s">
        <v>3935</v>
      </c>
      <c r="G1906" s="2" t="b">
        <f>COUNTIF(MASTER!$A$2:$A$1944,F1906)=0</f>
        <v>1</v>
      </c>
      <c r="H1906" s="2"/>
      <c r="I1906" s="2" t="s">
        <v>3936</v>
      </c>
      <c r="J1906" s="2" t="b">
        <f>COUNTIF(MASTER!$L$2:$L$1944,I1906)=0</f>
        <v>1</v>
      </c>
    </row>
    <row r="1907" spans="6:10" x14ac:dyDescent="0.35">
      <c r="F1907" s="2" t="s">
        <v>3937</v>
      </c>
      <c r="G1907" s="2" t="b">
        <f>COUNTIF(MASTER!$A$2:$A$1944,F1907)=0</f>
        <v>1</v>
      </c>
      <c r="H1907" s="2"/>
      <c r="I1907" s="2" t="s">
        <v>3938</v>
      </c>
      <c r="J1907" s="2" t="b">
        <f>COUNTIF(MASTER!$L$2:$L$1944,I1907)=0</f>
        <v>1</v>
      </c>
    </row>
    <row r="1908" spans="6:10" x14ac:dyDescent="0.35">
      <c r="F1908" s="2" t="s">
        <v>3939</v>
      </c>
      <c r="G1908" s="2" t="b">
        <f>COUNTIF(MASTER!$A$2:$A$1944,F1908)=0</f>
        <v>1</v>
      </c>
      <c r="H1908" s="2"/>
      <c r="I1908" s="2" t="s">
        <v>3940</v>
      </c>
      <c r="J1908" s="2" t="b">
        <f>COUNTIF(MASTER!$L$2:$L$1944,I1908)=0</f>
        <v>1</v>
      </c>
    </row>
    <row r="1909" spans="6:10" x14ac:dyDescent="0.35">
      <c r="F1909" s="2" t="s">
        <v>3941</v>
      </c>
      <c r="G1909" s="2" t="b">
        <f>COUNTIF(MASTER!$A$2:$A$1944,F1909)=0</f>
        <v>1</v>
      </c>
      <c r="H1909" s="2"/>
      <c r="I1909" s="2" t="s">
        <v>3942</v>
      </c>
      <c r="J1909" s="2" t="b">
        <f>COUNTIF(MASTER!$L$2:$L$1944,I1909)=0</f>
        <v>1</v>
      </c>
    </row>
    <row r="1910" spans="6:10" x14ac:dyDescent="0.35">
      <c r="F1910" s="2" t="s">
        <v>3943</v>
      </c>
      <c r="G1910" s="2" t="b">
        <f>COUNTIF(MASTER!$A$2:$A$1944,F1910)=0</f>
        <v>1</v>
      </c>
      <c r="H1910" s="2"/>
      <c r="I1910" s="2" t="s">
        <v>3944</v>
      </c>
      <c r="J1910" s="2" t="b">
        <f>COUNTIF(MASTER!$L$2:$L$1944,I1910)=0</f>
        <v>1</v>
      </c>
    </row>
    <row r="1911" spans="6:10" x14ac:dyDescent="0.35">
      <c r="F1911" s="2" t="s">
        <v>3945</v>
      </c>
      <c r="G1911" s="2" t="b">
        <f>COUNTIF(MASTER!$A$2:$A$1944,F1911)=0</f>
        <v>1</v>
      </c>
      <c r="H1911" s="2"/>
      <c r="I1911" s="2" t="s">
        <v>3946</v>
      </c>
      <c r="J1911" s="2" t="b">
        <f>COUNTIF(MASTER!$L$2:$L$1944,I1911)=0</f>
        <v>1</v>
      </c>
    </row>
    <row r="1912" spans="6:10" x14ac:dyDescent="0.35">
      <c r="F1912" s="2" t="s">
        <v>3947</v>
      </c>
      <c r="G1912" s="2" t="b">
        <f>COUNTIF(MASTER!$A$2:$A$1944,F1912)=0</f>
        <v>1</v>
      </c>
      <c r="H1912" s="2"/>
      <c r="I1912" s="2" t="s">
        <v>3948</v>
      </c>
      <c r="J1912" s="2" t="b">
        <f>COUNTIF(MASTER!$L$2:$L$1944,I1912)=0</f>
        <v>1</v>
      </c>
    </row>
    <row r="1913" spans="6:10" x14ac:dyDescent="0.35">
      <c r="F1913" s="2" t="s">
        <v>3949</v>
      </c>
      <c r="G1913" s="2" t="b">
        <f>COUNTIF(MASTER!$A$2:$A$1944,F1913)=0</f>
        <v>1</v>
      </c>
      <c r="H1913" s="2"/>
      <c r="I1913" s="2" t="s">
        <v>3950</v>
      </c>
      <c r="J1913" s="2" t="b">
        <f>COUNTIF(MASTER!$L$2:$L$1944,I1913)=0</f>
        <v>1</v>
      </c>
    </row>
    <row r="1914" spans="6:10" x14ac:dyDescent="0.35">
      <c r="F1914" s="2" t="s">
        <v>3951</v>
      </c>
      <c r="G1914" s="2" t="b">
        <f>COUNTIF(MASTER!$A$2:$A$1944,F1914)=0</f>
        <v>1</v>
      </c>
      <c r="H1914" s="2"/>
      <c r="I1914" s="2" t="s">
        <v>3952</v>
      </c>
      <c r="J1914" s="2" t="b">
        <f>COUNTIF(MASTER!$L$2:$L$1944,I1914)=0</f>
        <v>1</v>
      </c>
    </row>
    <row r="1915" spans="6:10" x14ac:dyDescent="0.35">
      <c r="F1915" s="2" t="s">
        <v>3953</v>
      </c>
      <c r="G1915" s="2" t="b">
        <f>COUNTIF(MASTER!$A$2:$A$1944,F1915)=0</f>
        <v>1</v>
      </c>
      <c r="H1915" s="2"/>
      <c r="I1915" s="2" t="s">
        <v>3954</v>
      </c>
      <c r="J1915" s="2" t="b">
        <f>COUNTIF(MASTER!$L$2:$L$1944,I1915)=0</f>
        <v>1</v>
      </c>
    </row>
    <row r="1916" spans="6:10" x14ac:dyDescent="0.35">
      <c r="F1916" s="2" t="s">
        <v>3955</v>
      </c>
      <c r="G1916" s="2" t="b">
        <f>COUNTIF(MASTER!$A$2:$A$1944,F1916)=0</f>
        <v>1</v>
      </c>
      <c r="H1916" s="2"/>
      <c r="I1916" s="2" t="s">
        <v>3956</v>
      </c>
      <c r="J1916" s="2" t="b">
        <f>COUNTIF(MASTER!$L$2:$L$1944,I1916)=0</f>
        <v>1</v>
      </c>
    </row>
    <row r="1917" spans="6:10" x14ac:dyDescent="0.35">
      <c r="F1917" s="2" t="s">
        <v>3957</v>
      </c>
      <c r="G1917" s="2" t="b">
        <f>COUNTIF(MASTER!$A$2:$A$1944,F1917)=0</f>
        <v>1</v>
      </c>
      <c r="H1917" s="2"/>
      <c r="I1917" s="2" t="s">
        <v>3958</v>
      </c>
      <c r="J1917" s="2" t="b">
        <f>COUNTIF(MASTER!$L$2:$L$1944,I1917)=0</f>
        <v>1</v>
      </c>
    </row>
    <row r="1918" spans="6:10" x14ac:dyDescent="0.35">
      <c r="F1918" s="2" t="s">
        <v>3959</v>
      </c>
      <c r="G1918" s="2" t="b">
        <f>COUNTIF(MASTER!$A$2:$A$1944,F1918)=0</f>
        <v>1</v>
      </c>
      <c r="H1918" s="2"/>
      <c r="I1918" s="2" t="s">
        <v>3960</v>
      </c>
      <c r="J1918" s="2" t="b">
        <f>COUNTIF(MASTER!$L$2:$L$1944,I1918)=0</f>
        <v>1</v>
      </c>
    </row>
    <row r="1919" spans="6:10" x14ac:dyDescent="0.35">
      <c r="F1919" s="2" t="s">
        <v>3961</v>
      </c>
      <c r="G1919" s="2" t="b">
        <f>COUNTIF(MASTER!$A$2:$A$1944,F1919)=0</f>
        <v>1</v>
      </c>
      <c r="H1919" s="2"/>
      <c r="I1919" s="2" t="s">
        <v>3962</v>
      </c>
      <c r="J1919" s="2" t="b">
        <f>COUNTIF(MASTER!$L$2:$L$1944,I1919)=0</f>
        <v>1</v>
      </c>
    </row>
    <row r="1920" spans="6:10" x14ac:dyDescent="0.35">
      <c r="F1920" s="2" t="s">
        <v>3963</v>
      </c>
      <c r="G1920" s="2" t="b">
        <f>COUNTIF(MASTER!$A$2:$A$1944,F1920)=0</f>
        <v>1</v>
      </c>
      <c r="H1920" s="2"/>
      <c r="I1920" s="2" t="s">
        <v>3964</v>
      </c>
      <c r="J1920" s="2" t="b">
        <f>COUNTIF(MASTER!$L$2:$L$1944,I1920)=0</f>
        <v>1</v>
      </c>
    </row>
    <row r="1921" spans="6:10" x14ac:dyDescent="0.35">
      <c r="F1921" s="2" t="s">
        <v>3965</v>
      </c>
      <c r="G1921" s="2" t="b">
        <f>COUNTIF(MASTER!$A$2:$A$1944,F1921)=0</f>
        <v>1</v>
      </c>
      <c r="H1921" s="2"/>
      <c r="I1921" s="2" t="s">
        <v>3966</v>
      </c>
      <c r="J1921" s="2" t="b">
        <f>COUNTIF(MASTER!$L$2:$L$1944,I1921)=0</f>
        <v>1</v>
      </c>
    </row>
    <row r="1922" spans="6:10" x14ac:dyDescent="0.35">
      <c r="F1922" s="2" t="s">
        <v>3967</v>
      </c>
      <c r="G1922" s="2" t="b">
        <f>COUNTIF(MASTER!$A$2:$A$1944,F1922)=0</f>
        <v>1</v>
      </c>
      <c r="H1922" s="2"/>
      <c r="I1922" s="2" t="s">
        <v>3968</v>
      </c>
      <c r="J1922" s="2" t="b">
        <f>COUNTIF(MASTER!$L$2:$L$1944,I1922)=0</f>
        <v>1</v>
      </c>
    </row>
    <row r="1923" spans="6:10" x14ac:dyDescent="0.35">
      <c r="F1923" s="2" t="s">
        <v>3969</v>
      </c>
      <c r="G1923" s="2" t="b">
        <f>COUNTIF(MASTER!$A$2:$A$1944,F1923)=0</f>
        <v>1</v>
      </c>
      <c r="H1923" s="2"/>
      <c r="I1923" s="2" t="s">
        <v>3970</v>
      </c>
      <c r="J1923" s="2" t="b">
        <f>COUNTIF(MASTER!$L$2:$L$1944,I1923)=0</f>
        <v>1</v>
      </c>
    </row>
    <row r="1924" spans="6:10" x14ac:dyDescent="0.35">
      <c r="F1924" s="2" t="s">
        <v>3971</v>
      </c>
      <c r="G1924" s="2" t="b">
        <f>COUNTIF(MASTER!$A$2:$A$1944,F1924)=0</f>
        <v>1</v>
      </c>
      <c r="H1924" s="2"/>
      <c r="I1924" s="2" t="s">
        <v>3972</v>
      </c>
      <c r="J1924" s="2" t="b">
        <f>COUNTIF(MASTER!$L$2:$L$1944,I1924)=0</f>
        <v>1</v>
      </c>
    </row>
    <row r="1925" spans="6:10" x14ac:dyDescent="0.35">
      <c r="F1925" s="2" t="s">
        <v>3973</v>
      </c>
      <c r="G1925" s="2" t="b">
        <f>COUNTIF(MASTER!$A$2:$A$1944,F1925)=0</f>
        <v>1</v>
      </c>
      <c r="H1925" s="2"/>
      <c r="I1925" s="2" t="s">
        <v>3974</v>
      </c>
      <c r="J1925" s="2" t="b">
        <f>COUNTIF(MASTER!$L$2:$L$1944,I1925)=0</f>
        <v>1</v>
      </c>
    </row>
    <row r="1926" spans="6:10" x14ac:dyDescent="0.35">
      <c r="F1926" s="2" t="s">
        <v>3975</v>
      </c>
      <c r="G1926" s="2" t="b">
        <f>COUNTIF(MASTER!$A$2:$A$1944,F1926)=0</f>
        <v>1</v>
      </c>
      <c r="H1926" s="2"/>
      <c r="I1926" s="2" t="s">
        <v>3976</v>
      </c>
      <c r="J1926" s="2" t="b">
        <f>COUNTIF(MASTER!$L$2:$L$1944,I1926)=0</f>
        <v>1</v>
      </c>
    </row>
    <row r="1927" spans="6:10" x14ac:dyDescent="0.35">
      <c r="F1927" s="2" t="s">
        <v>3977</v>
      </c>
      <c r="G1927" s="2" t="b">
        <f>COUNTIF(MASTER!$A$2:$A$1944,F1927)=0</f>
        <v>1</v>
      </c>
      <c r="H1927" s="2"/>
      <c r="I1927" s="2" t="s">
        <v>3978</v>
      </c>
      <c r="J1927" s="2" t="b">
        <f>COUNTIF(MASTER!$L$2:$L$1944,I1927)=0</f>
        <v>1</v>
      </c>
    </row>
    <row r="1928" spans="6:10" x14ac:dyDescent="0.35">
      <c r="F1928" s="2" t="s">
        <v>3979</v>
      </c>
      <c r="G1928" s="2" t="b">
        <f>COUNTIF(MASTER!$A$2:$A$1944,F1928)=0</f>
        <v>1</v>
      </c>
      <c r="H1928" s="2"/>
      <c r="I1928" s="2" t="s">
        <v>3980</v>
      </c>
      <c r="J1928" s="2" t="b">
        <f>COUNTIF(MASTER!$L$2:$L$1944,I1928)=0</f>
        <v>1</v>
      </c>
    </row>
    <row r="1929" spans="6:10" x14ac:dyDescent="0.35">
      <c r="F1929" s="2" t="s">
        <v>3981</v>
      </c>
      <c r="G1929" s="2" t="b">
        <f>COUNTIF(MASTER!$A$2:$A$1944,F1929)=0</f>
        <v>1</v>
      </c>
      <c r="H1929" s="2"/>
      <c r="I1929" s="2" t="s">
        <v>3982</v>
      </c>
      <c r="J1929" s="2" t="b">
        <f>COUNTIF(MASTER!$L$2:$L$1944,I1929)=0</f>
        <v>1</v>
      </c>
    </row>
    <row r="1930" spans="6:10" x14ac:dyDescent="0.35">
      <c r="F1930" s="2" t="s">
        <v>3983</v>
      </c>
      <c r="G1930" s="2" t="b">
        <f>COUNTIF(MASTER!$A$2:$A$1944,F1930)=0</f>
        <v>1</v>
      </c>
      <c r="H1930" s="2"/>
      <c r="I1930" s="2" t="s">
        <v>3984</v>
      </c>
      <c r="J1930" s="2" t="b">
        <f>COUNTIF(MASTER!$L$2:$L$1944,I1930)=0</f>
        <v>1</v>
      </c>
    </row>
    <row r="1931" spans="6:10" x14ac:dyDescent="0.35">
      <c r="F1931" s="2" t="s">
        <v>3985</v>
      </c>
      <c r="G1931" s="2" t="b">
        <f>COUNTIF(MASTER!$A$2:$A$1944,F1931)=0</f>
        <v>1</v>
      </c>
      <c r="H1931" s="2"/>
      <c r="I1931" s="2" t="s">
        <v>3986</v>
      </c>
      <c r="J1931" s="2" t="b">
        <f>COUNTIF(MASTER!$L$2:$L$1944,I1931)=0</f>
        <v>1</v>
      </c>
    </row>
    <row r="1932" spans="6:10" x14ac:dyDescent="0.35">
      <c r="F1932" s="2" t="s">
        <v>3987</v>
      </c>
      <c r="G1932" s="2" t="b">
        <f>COUNTIF(MASTER!$A$2:$A$1944,F1932)=0</f>
        <v>1</v>
      </c>
      <c r="H1932" s="2"/>
      <c r="I1932" s="2" t="s">
        <v>3988</v>
      </c>
      <c r="J1932" s="2" t="b">
        <f>COUNTIF(MASTER!$L$2:$L$1944,I1932)=0</f>
        <v>1</v>
      </c>
    </row>
    <row r="1933" spans="6:10" x14ac:dyDescent="0.35">
      <c r="F1933" s="2" t="s">
        <v>3989</v>
      </c>
      <c r="G1933" s="2" t="b">
        <f>COUNTIF(MASTER!$A$2:$A$1944,F1933)=0</f>
        <v>1</v>
      </c>
      <c r="H1933" s="2"/>
      <c r="I1933" s="2" t="s">
        <v>3990</v>
      </c>
      <c r="J1933" s="2" t="b">
        <f>COUNTIF(MASTER!$L$2:$L$1944,I1933)=0</f>
        <v>1</v>
      </c>
    </row>
    <row r="1934" spans="6:10" x14ac:dyDescent="0.35">
      <c r="F1934" s="2" t="s">
        <v>3991</v>
      </c>
      <c r="G1934" s="2" t="b">
        <f>COUNTIF(MASTER!$A$2:$A$1944,F1934)=0</f>
        <v>1</v>
      </c>
      <c r="H1934" s="2"/>
      <c r="I1934" s="2" t="s">
        <v>3992</v>
      </c>
      <c r="J1934" s="2" t="b">
        <f>COUNTIF(MASTER!$L$2:$L$1944,I1934)=0</f>
        <v>1</v>
      </c>
    </row>
    <row r="1935" spans="6:10" x14ac:dyDescent="0.35">
      <c r="F1935" s="2" t="s">
        <v>3993</v>
      </c>
      <c r="G1935" s="2" t="b">
        <f>COUNTIF(MASTER!$A$2:$A$1944,F1935)=0</f>
        <v>1</v>
      </c>
      <c r="H1935" s="2"/>
      <c r="I1935" s="2" t="s">
        <v>3994</v>
      </c>
      <c r="J1935" s="2" t="b">
        <f>COUNTIF(MASTER!$L$2:$L$1944,I1935)=0</f>
        <v>1</v>
      </c>
    </row>
    <row r="1936" spans="6:10" x14ac:dyDescent="0.35">
      <c r="F1936" s="2" t="s">
        <v>3995</v>
      </c>
      <c r="G1936" s="2" t="b">
        <f>COUNTIF(MASTER!$A$2:$A$1944,F1936)=0</f>
        <v>1</v>
      </c>
      <c r="H1936" s="2"/>
      <c r="I1936" s="2" t="s">
        <v>3996</v>
      </c>
      <c r="J1936" s="2" t="b">
        <f>COUNTIF(MASTER!$L$2:$L$1944,I1936)=0</f>
        <v>1</v>
      </c>
    </row>
    <row r="1937" spans="6:10" x14ac:dyDescent="0.35">
      <c r="F1937" s="2" t="s">
        <v>3997</v>
      </c>
      <c r="G1937" s="2" t="b">
        <f>COUNTIF(MASTER!$A$2:$A$1944,F1937)=0</f>
        <v>1</v>
      </c>
      <c r="H1937" s="2"/>
      <c r="I1937" s="2" t="s">
        <v>3998</v>
      </c>
      <c r="J1937" s="2" t="b">
        <f>COUNTIF(MASTER!$L$2:$L$1944,I1937)=0</f>
        <v>1</v>
      </c>
    </row>
    <row r="1938" spans="6:10" x14ac:dyDescent="0.35">
      <c r="F1938" s="2" t="s">
        <v>3999</v>
      </c>
      <c r="G1938" s="2" t="b">
        <f>COUNTIF(MASTER!$A$2:$A$1944,F1938)=0</f>
        <v>1</v>
      </c>
      <c r="H1938" s="2"/>
      <c r="I1938" s="2" t="s">
        <v>4000</v>
      </c>
      <c r="J1938" s="2" t="b">
        <f>COUNTIF(MASTER!$L$2:$L$1944,I1938)=0</f>
        <v>1</v>
      </c>
    </row>
    <row r="1939" spans="6:10" x14ac:dyDescent="0.35">
      <c r="F1939" s="2" t="s">
        <v>4001</v>
      </c>
      <c r="G1939" s="2" t="b">
        <f>COUNTIF(MASTER!$A$2:$A$1944,F1939)=0</f>
        <v>1</v>
      </c>
      <c r="H1939" s="2"/>
      <c r="I1939" s="2" t="s">
        <v>4002</v>
      </c>
      <c r="J1939" s="2" t="b">
        <f>COUNTIF(MASTER!$L$2:$L$1944,I1939)=0</f>
        <v>1</v>
      </c>
    </row>
    <row r="1940" spans="6:10" x14ac:dyDescent="0.35">
      <c r="F1940" s="2" t="s">
        <v>4003</v>
      </c>
      <c r="G1940" s="2" t="b">
        <f>COUNTIF(MASTER!$A$2:$A$1944,F1940)=0</f>
        <v>1</v>
      </c>
      <c r="H1940" s="2"/>
      <c r="I1940" s="2" t="s">
        <v>4004</v>
      </c>
      <c r="J1940" s="2" t="b">
        <f>COUNTIF(MASTER!$L$2:$L$1944,I1940)=0</f>
        <v>1</v>
      </c>
    </row>
    <row r="1941" spans="6:10" x14ac:dyDescent="0.35">
      <c r="F1941" s="2" t="s">
        <v>4005</v>
      </c>
      <c r="G1941" s="2" t="b">
        <f>COUNTIF(MASTER!$A$2:$A$1944,F1941)=0</f>
        <v>1</v>
      </c>
      <c r="H1941" s="2"/>
      <c r="I1941" s="2" t="s">
        <v>4006</v>
      </c>
      <c r="J1941" s="2" t="b">
        <f>COUNTIF(MASTER!$L$2:$L$1944,I1941)=0</f>
        <v>1</v>
      </c>
    </row>
    <row r="1942" spans="6:10" x14ac:dyDescent="0.35">
      <c r="F1942" s="2" t="s">
        <v>4007</v>
      </c>
      <c r="G1942" s="2" t="b">
        <f>COUNTIF(MASTER!$A$2:$A$1944,F1942)=0</f>
        <v>1</v>
      </c>
      <c r="H1942" s="2"/>
      <c r="I1942" s="2" t="s">
        <v>4008</v>
      </c>
      <c r="J1942" s="2" t="b">
        <f>COUNTIF(MASTER!$L$2:$L$1944,I1942)=0</f>
        <v>1</v>
      </c>
    </row>
    <row r="1943" spans="6:10" x14ac:dyDescent="0.35">
      <c r="F1943" s="2" t="s">
        <v>4009</v>
      </c>
      <c r="G1943" s="2" t="b">
        <f>COUNTIF(MASTER!$A$2:$A$1944,F1943)=0</f>
        <v>1</v>
      </c>
      <c r="H1943" s="2"/>
      <c r="I1943" s="2" t="s">
        <v>4010</v>
      </c>
      <c r="J1943" s="2" t="b">
        <f>COUNTIF(MASTER!$L$2:$L$1944,I1943)=0</f>
        <v>1</v>
      </c>
    </row>
    <row r="1944" spans="6:10" x14ac:dyDescent="0.35">
      <c r="F1944" s="2" t="s">
        <v>4011</v>
      </c>
      <c r="G1944" s="2" t="b">
        <f>COUNTIF(MASTER!$A$2:$A$1944,F1944)=0</f>
        <v>1</v>
      </c>
      <c r="H1944" s="2"/>
      <c r="I1944" s="2" t="s">
        <v>4012</v>
      </c>
      <c r="J1944" s="2" t="b">
        <f>COUNTIF(MASTER!$L$2:$L$1944,I1944)=0</f>
        <v>1</v>
      </c>
    </row>
    <row r="1945" spans="6:10" x14ac:dyDescent="0.35">
      <c r="F1945" s="2" t="s">
        <v>4013</v>
      </c>
      <c r="G1945" s="2" t="b">
        <f>COUNTIF(MASTER!$A$2:$A$1944,F1945)=0</f>
        <v>1</v>
      </c>
      <c r="H1945" s="2"/>
      <c r="I1945" s="2" t="s">
        <v>4014</v>
      </c>
      <c r="J1945" s="2" t="b">
        <f>COUNTIF(MASTER!$L$2:$L$1944,I1945)=0</f>
        <v>1</v>
      </c>
    </row>
    <row r="1946" spans="6:10" x14ac:dyDescent="0.35">
      <c r="F1946" s="2" t="s">
        <v>4015</v>
      </c>
      <c r="G1946" s="2" t="b">
        <f>COUNTIF(MASTER!$A$2:$A$1944,F1946)=0</f>
        <v>1</v>
      </c>
      <c r="H1946" s="2"/>
      <c r="I1946" s="2" t="s">
        <v>4016</v>
      </c>
      <c r="J1946" s="2" t="b">
        <f>COUNTIF(MASTER!$L$2:$L$1944,I1946)=0</f>
        <v>1</v>
      </c>
    </row>
    <row r="1947" spans="6:10" x14ac:dyDescent="0.35">
      <c r="F1947" s="2" t="s">
        <v>4017</v>
      </c>
      <c r="G1947" s="2" t="b">
        <f>COUNTIF(MASTER!$A$2:$A$1944,F1947)=0</f>
        <v>1</v>
      </c>
      <c r="H1947" s="2"/>
      <c r="I1947" s="2" t="s">
        <v>4018</v>
      </c>
      <c r="J1947" s="2" t="b">
        <f>COUNTIF(MASTER!$L$2:$L$1944,I1947)=0</f>
        <v>1</v>
      </c>
    </row>
    <row r="1948" spans="6:10" x14ac:dyDescent="0.35">
      <c r="F1948" s="2" t="s">
        <v>4019</v>
      </c>
      <c r="G1948" s="2" t="b">
        <f>COUNTIF(MASTER!$A$2:$A$1944,F1948)=0</f>
        <v>1</v>
      </c>
      <c r="H1948" s="2"/>
      <c r="I1948" s="2" t="s">
        <v>4020</v>
      </c>
      <c r="J1948" s="2" t="b">
        <f>COUNTIF(MASTER!$L$2:$L$1944,I1948)=0</f>
        <v>1</v>
      </c>
    </row>
    <row r="1949" spans="6:10" x14ac:dyDescent="0.35">
      <c r="F1949" s="2" t="s">
        <v>4021</v>
      </c>
      <c r="G1949" s="2" t="b">
        <f>COUNTIF(MASTER!$A$2:$A$1944,F1949)=0</f>
        <v>1</v>
      </c>
      <c r="H1949" s="2"/>
      <c r="I1949" s="2" t="s">
        <v>4022</v>
      </c>
      <c r="J1949" s="2" t="b">
        <f>COUNTIF(MASTER!$L$2:$L$1944,I1949)=0</f>
        <v>1</v>
      </c>
    </row>
    <row r="1950" spans="6:10" x14ac:dyDescent="0.35">
      <c r="F1950" s="2" t="s">
        <v>4023</v>
      </c>
      <c r="G1950" s="2" t="b">
        <f>COUNTIF(MASTER!$A$2:$A$1944,F1950)=0</f>
        <v>1</v>
      </c>
      <c r="H1950" s="2"/>
      <c r="I1950" s="2" t="s">
        <v>4024</v>
      </c>
      <c r="J1950" s="2" t="b">
        <f>COUNTIF(MASTER!$L$2:$L$1944,I1950)=0</f>
        <v>1</v>
      </c>
    </row>
    <row r="1951" spans="6:10" x14ac:dyDescent="0.35">
      <c r="F1951" s="2" t="s">
        <v>4025</v>
      </c>
      <c r="G1951" s="2" t="b">
        <f>COUNTIF(MASTER!$A$2:$A$1944,F1951)=0</f>
        <v>1</v>
      </c>
      <c r="H1951" s="2"/>
      <c r="I1951" s="2" t="s">
        <v>4026</v>
      </c>
      <c r="J1951" s="2" t="b">
        <f>COUNTIF(MASTER!$L$2:$L$1944,I1951)=0</f>
        <v>1</v>
      </c>
    </row>
    <row r="1952" spans="6:10" x14ac:dyDescent="0.35">
      <c r="F1952" s="2" t="s">
        <v>4027</v>
      </c>
      <c r="G1952" s="2" t="b">
        <f>COUNTIF(MASTER!$A$2:$A$1944,F1952)=0</f>
        <v>1</v>
      </c>
      <c r="H1952" s="2"/>
      <c r="I1952" s="2" t="s">
        <v>4028</v>
      </c>
      <c r="J1952" s="2" t="b">
        <f>COUNTIF(MASTER!$L$2:$L$1944,I1952)=0</f>
        <v>1</v>
      </c>
    </row>
    <row r="1953" spans="6:10" x14ac:dyDescent="0.35">
      <c r="F1953" s="2" t="s">
        <v>4029</v>
      </c>
      <c r="G1953" s="2" t="b">
        <f>COUNTIF(MASTER!$A$2:$A$1944,F1953)=0</f>
        <v>1</v>
      </c>
      <c r="H1953" s="2"/>
      <c r="I1953" s="2" t="s">
        <v>4030</v>
      </c>
      <c r="J1953" s="2" t="b">
        <f>COUNTIF(MASTER!$L$2:$L$1944,I1953)=0</f>
        <v>1</v>
      </c>
    </row>
    <row r="1954" spans="6:10" x14ac:dyDescent="0.35">
      <c r="F1954" s="2" t="s">
        <v>4031</v>
      </c>
      <c r="G1954" s="2" t="b">
        <f>COUNTIF(MASTER!$A$2:$A$1944,F1954)=0</f>
        <v>1</v>
      </c>
      <c r="H1954" s="2"/>
      <c r="I1954" s="2" t="s">
        <v>4032</v>
      </c>
      <c r="J1954" s="2" t="b">
        <f>COUNTIF(MASTER!$L$2:$L$1944,I1954)=0</f>
        <v>1</v>
      </c>
    </row>
    <row r="1955" spans="6:10" x14ac:dyDescent="0.35">
      <c r="F1955" s="2" t="s">
        <v>4033</v>
      </c>
      <c r="G1955" s="2" t="b">
        <f>COUNTIF(MASTER!$A$2:$A$1944,F1955)=0</f>
        <v>1</v>
      </c>
      <c r="H1955" s="2"/>
      <c r="I1955" s="2" t="s">
        <v>4034</v>
      </c>
      <c r="J1955" s="2" t="b">
        <f>COUNTIF(MASTER!$L$2:$L$1944,I1955)=0</f>
        <v>1</v>
      </c>
    </row>
    <row r="1956" spans="6:10" x14ac:dyDescent="0.35">
      <c r="F1956" s="2" t="s">
        <v>4035</v>
      </c>
      <c r="G1956" s="2" t="b">
        <f>COUNTIF(MASTER!$A$2:$A$1944,F1956)=0</f>
        <v>1</v>
      </c>
      <c r="H1956" s="2"/>
      <c r="I1956" s="2" t="s">
        <v>4036</v>
      </c>
      <c r="J1956" s="2" t="b">
        <f>COUNTIF(MASTER!$L$2:$L$1944,I1956)=0</f>
        <v>1</v>
      </c>
    </row>
    <row r="1957" spans="6:10" x14ac:dyDescent="0.35">
      <c r="F1957" s="2" t="s">
        <v>4037</v>
      </c>
      <c r="G1957" s="2" t="b">
        <f>COUNTIF(MASTER!$A$2:$A$1944,F1957)=0</f>
        <v>1</v>
      </c>
      <c r="H1957" s="2"/>
      <c r="I1957" s="2" t="s">
        <v>4038</v>
      </c>
      <c r="J1957" s="2" t="b">
        <f>COUNTIF(MASTER!$L$2:$L$1944,I1957)=0</f>
        <v>1</v>
      </c>
    </row>
    <row r="1958" spans="6:10" x14ac:dyDescent="0.35">
      <c r="F1958" s="2" t="s">
        <v>4039</v>
      </c>
      <c r="G1958" s="2" t="b">
        <f>COUNTIF(MASTER!$A$2:$A$1944,F1958)=0</f>
        <v>1</v>
      </c>
      <c r="H1958" s="2"/>
      <c r="I1958" s="2" t="s">
        <v>4040</v>
      </c>
      <c r="J1958" s="2" t="b">
        <f>COUNTIF(MASTER!$L$2:$L$1944,I1958)=0</f>
        <v>1</v>
      </c>
    </row>
    <row r="1959" spans="6:10" x14ac:dyDescent="0.35">
      <c r="F1959" s="2" t="s">
        <v>4041</v>
      </c>
      <c r="G1959" s="2" t="b">
        <f>COUNTIF(MASTER!$A$2:$A$1944,F1959)=0</f>
        <v>1</v>
      </c>
      <c r="H1959" s="2"/>
      <c r="I1959" s="2" t="s">
        <v>4042</v>
      </c>
      <c r="J1959" s="2" t="b">
        <f>COUNTIF(MASTER!$L$2:$L$1944,I1959)=0</f>
        <v>1</v>
      </c>
    </row>
    <row r="1960" spans="6:10" x14ac:dyDescent="0.35">
      <c r="F1960" s="2" t="s">
        <v>4043</v>
      </c>
      <c r="G1960" s="2" t="b">
        <f>COUNTIF(MASTER!$A$2:$A$1944,F1960)=0</f>
        <v>1</v>
      </c>
      <c r="H1960" s="2"/>
      <c r="I1960" s="2" t="s">
        <v>4044</v>
      </c>
      <c r="J1960" s="2" t="b">
        <f>COUNTIF(MASTER!$L$2:$L$1944,I1960)=0</f>
        <v>1</v>
      </c>
    </row>
    <row r="1961" spans="6:10" x14ac:dyDescent="0.35">
      <c r="F1961" s="2" t="s">
        <v>4045</v>
      </c>
      <c r="G1961" s="2" t="b">
        <f>COUNTIF(MASTER!$A$2:$A$1944,F1961)=0</f>
        <v>1</v>
      </c>
      <c r="H1961" s="2"/>
      <c r="I1961" s="2" t="s">
        <v>4046</v>
      </c>
      <c r="J1961" s="2" t="b">
        <f>COUNTIF(MASTER!$L$2:$L$1944,I1961)=0</f>
        <v>1</v>
      </c>
    </row>
    <row r="1962" spans="6:10" x14ac:dyDescent="0.35">
      <c r="F1962" s="2" t="s">
        <v>4047</v>
      </c>
      <c r="G1962" s="2" t="b">
        <f>COUNTIF(MASTER!$A$2:$A$1944,F1962)=0</f>
        <v>1</v>
      </c>
      <c r="H1962" s="2"/>
      <c r="I1962" s="2" t="s">
        <v>4048</v>
      </c>
      <c r="J1962" s="2" t="b">
        <f>COUNTIF(MASTER!$L$2:$L$1944,I1962)=0</f>
        <v>1</v>
      </c>
    </row>
    <row r="1963" spans="6:10" x14ac:dyDescent="0.35">
      <c r="F1963" s="2" t="s">
        <v>4049</v>
      </c>
      <c r="G1963" s="2" t="b">
        <f>COUNTIF(MASTER!$A$2:$A$1944,F1963)=0</f>
        <v>1</v>
      </c>
      <c r="H1963" s="2"/>
      <c r="I1963" s="2" t="s">
        <v>4050</v>
      </c>
      <c r="J1963" s="2" t="b">
        <f>COUNTIF(MASTER!$L$2:$L$1944,I1963)=0</f>
        <v>1</v>
      </c>
    </row>
    <row r="1964" spans="6:10" x14ac:dyDescent="0.35">
      <c r="F1964" s="2" t="s">
        <v>4051</v>
      </c>
      <c r="G1964" s="2" t="b">
        <f>COUNTIF(MASTER!$A$2:$A$1944,F1964)=0</f>
        <v>1</v>
      </c>
      <c r="H1964" s="2"/>
      <c r="I1964" s="2" t="s">
        <v>4052</v>
      </c>
      <c r="J1964" s="2" t="b">
        <f>COUNTIF(MASTER!$L$2:$L$1944,I1964)=0</f>
        <v>1</v>
      </c>
    </row>
    <row r="1965" spans="6:10" x14ac:dyDescent="0.35">
      <c r="F1965" s="2" t="s">
        <v>4053</v>
      </c>
      <c r="G1965" s="2" t="b">
        <f>COUNTIF(MASTER!$A$2:$A$1944,F1965)=0</f>
        <v>1</v>
      </c>
      <c r="H1965" s="2"/>
      <c r="I1965" s="2" t="s">
        <v>4054</v>
      </c>
      <c r="J1965" s="2" t="b">
        <f>COUNTIF(MASTER!$L$2:$L$1944,I1965)=0</f>
        <v>1</v>
      </c>
    </row>
    <row r="1966" spans="6:10" x14ac:dyDescent="0.35">
      <c r="F1966" s="2" t="s">
        <v>4055</v>
      </c>
      <c r="G1966" s="2" t="b">
        <f>COUNTIF(MASTER!$A$2:$A$1944,F1966)=0</f>
        <v>1</v>
      </c>
      <c r="H1966" s="2"/>
      <c r="I1966" s="2" t="s">
        <v>4056</v>
      </c>
      <c r="J1966" s="2" t="b">
        <f>COUNTIF(MASTER!$L$2:$L$1944,I1966)=0</f>
        <v>1</v>
      </c>
    </row>
    <row r="1967" spans="6:10" x14ac:dyDescent="0.35">
      <c r="F1967" s="2" t="s">
        <v>4057</v>
      </c>
      <c r="G1967" s="2" t="b">
        <f>COUNTIF(MASTER!$A$2:$A$1944,F1967)=0</f>
        <v>1</v>
      </c>
      <c r="H1967" s="2"/>
      <c r="I1967" s="2" t="s">
        <v>4058</v>
      </c>
      <c r="J1967" s="2" t="b">
        <f>COUNTIF(MASTER!$L$2:$L$1944,I1967)=0</f>
        <v>1</v>
      </c>
    </row>
    <row r="1968" spans="6:10" x14ac:dyDescent="0.35">
      <c r="F1968" s="2" t="s">
        <v>4059</v>
      </c>
      <c r="G1968" s="2" t="b">
        <f>COUNTIF(MASTER!$A$2:$A$1944,F1968)=0</f>
        <v>1</v>
      </c>
      <c r="H1968" s="2"/>
      <c r="I1968" s="2" t="s">
        <v>4060</v>
      </c>
      <c r="J1968" s="2" t="b">
        <f>COUNTIF(MASTER!$L$2:$L$1944,I1968)=0</f>
        <v>1</v>
      </c>
    </row>
    <row r="1969" spans="6:10" x14ac:dyDescent="0.35">
      <c r="F1969" s="2" t="s">
        <v>4061</v>
      </c>
      <c r="G1969" s="2" t="b">
        <f>COUNTIF(MASTER!$A$2:$A$1944,F1969)=0</f>
        <v>1</v>
      </c>
      <c r="H1969" s="2"/>
      <c r="I1969" s="2" t="s">
        <v>4062</v>
      </c>
      <c r="J1969" s="2" t="b">
        <f>COUNTIF(MASTER!$L$2:$L$1944,I1969)=0</f>
        <v>1</v>
      </c>
    </row>
    <row r="1970" spans="6:10" x14ac:dyDescent="0.35">
      <c r="F1970" s="2" t="s">
        <v>4063</v>
      </c>
      <c r="G1970" s="2" t="b">
        <f>COUNTIF(MASTER!$A$2:$A$1944,F1970)=0</f>
        <v>1</v>
      </c>
      <c r="H1970" s="2"/>
      <c r="I1970" s="2" t="s">
        <v>4064</v>
      </c>
      <c r="J1970" s="2" t="b">
        <f>COUNTIF(MASTER!$L$2:$L$1944,I1970)=0</f>
        <v>1</v>
      </c>
    </row>
    <row r="1971" spans="6:10" x14ac:dyDescent="0.35">
      <c r="F1971" s="2" t="s">
        <v>4065</v>
      </c>
      <c r="G1971" s="2" t="b">
        <f>COUNTIF(MASTER!$A$2:$A$1944,F1971)=0</f>
        <v>1</v>
      </c>
      <c r="H1971" s="2"/>
      <c r="I1971" s="2" t="s">
        <v>4066</v>
      </c>
      <c r="J1971" s="2" t="b">
        <f>COUNTIF(MASTER!$L$2:$L$1944,I1971)=0</f>
        <v>1</v>
      </c>
    </row>
    <row r="1972" spans="6:10" x14ac:dyDescent="0.35">
      <c r="F1972" s="2" t="s">
        <v>4067</v>
      </c>
      <c r="G1972" s="2" t="b">
        <f>COUNTIF(MASTER!$A$2:$A$1944,F1972)=0</f>
        <v>1</v>
      </c>
      <c r="H1972" s="2"/>
      <c r="I1972" s="2" t="s">
        <v>4068</v>
      </c>
      <c r="J1972" s="2" t="b">
        <f>COUNTIF(MASTER!$L$2:$L$1944,I1972)=0</f>
        <v>1</v>
      </c>
    </row>
    <row r="1973" spans="6:10" x14ac:dyDescent="0.35">
      <c r="F1973" s="2" t="s">
        <v>4069</v>
      </c>
      <c r="G1973" s="2" t="b">
        <f>COUNTIF(MASTER!$A$2:$A$1944,F1973)=0</f>
        <v>1</v>
      </c>
      <c r="H1973" s="2"/>
      <c r="I1973" s="2" t="s">
        <v>4070</v>
      </c>
      <c r="J1973" s="2" t="b">
        <f>COUNTIF(MASTER!$L$2:$L$1944,I1973)=0</f>
        <v>1</v>
      </c>
    </row>
    <row r="1974" spans="6:10" x14ac:dyDescent="0.35">
      <c r="F1974" s="2" t="s">
        <v>4071</v>
      </c>
      <c r="G1974" s="2" t="b">
        <f>COUNTIF(MASTER!$A$2:$A$1944,F1974)=0</f>
        <v>1</v>
      </c>
      <c r="H1974" s="2"/>
      <c r="I1974" s="2" t="s">
        <v>4072</v>
      </c>
      <c r="J1974" s="2" t="b">
        <f>COUNTIF(MASTER!$L$2:$L$1944,I1974)=0</f>
        <v>1</v>
      </c>
    </row>
    <row r="1975" spans="6:10" x14ac:dyDescent="0.35">
      <c r="F1975" s="2" t="s">
        <v>4073</v>
      </c>
      <c r="G1975" s="2" t="b">
        <f>COUNTIF(MASTER!$A$2:$A$1944,F1975)=0</f>
        <v>1</v>
      </c>
      <c r="H1975" s="2"/>
      <c r="I1975" s="2" t="s">
        <v>4074</v>
      </c>
      <c r="J1975" s="2" t="b">
        <f>COUNTIF(MASTER!$L$2:$L$1944,I1975)=0</f>
        <v>1</v>
      </c>
    </row>
    <row r="1976" spans="6:10" x14ac:dyDescent="0.35">
      <c r="F1976" s="2" t="s">
        <v>4075</v>
      </c>
      <c r="G1976" s="2" t="b">
        <f>COUNTIF(MASTER!$A$2:$A$1944,F1976)=0</f>
        <v>1</v>
      </c>
      <c r="H1976" s="2"/>
      <c r="I1976" s="2" t="s">
        <v>4076</v>
      </c>
      <c r="J1976" s="2" t="b">
        <f>COUNTIF(MASTER!$L$2:$L$1944,I1976)=0</f>
        <v>1</v>
      </c>
    </row>
    <row r="1977" spans="6:10" x14ac:dyDescent="0.35">
      <c r="F1977" s="2" t="s">
        <v>4077</v>
      </c>
      <c r="G1977" s="2" t="b">
        <f>COUNTIF(MASTER!$A$2:$A$1944,F1977)=0</f>
        <v>1</v>
      </c>
      <c r="H1977" s="2"/>
      <c r="I1977" s="2" t="s">
        <v>4078</v>
      </c>
      <c r="J1977" s="2" t="b">
        <f>COUNTIF(MASTER!$L$2:$L$1944,I1977)=0</f>
        <v>1</v>
      </c>
    </row>
    <row r="1978" spans="6:10" x14ac:dyDescent="0.35">
      <c r="F1978" s="2" t="s">
        <v>4079</v>
      </c>
      <c r="G1978" s="2" t="b">
        <f>COUNTIF(MASTER!$A$2:$A$1944,F1978)=0</f>
        <v>1</v>
      </c>
      <c r="H1978" s="2"/>
      <c r="I1978" s="2" t="s">
        <v>4080</v>
      </c>
      <c r="J1978" s="2" t="b">
        <f>COUNTIF(MASTER!$L$2:$L$1944,I1978)=0</f>
        <v>1</v>
      </c>
    </row>
    <row r="1979" spans="6:10" x14ac:dyDescent="0.35">
      <c r="F1979" s="2" t="s">
        <v>4081</v>
      </c>
      <c r="G1979" s="2" t="b">
        <f>COUNTIF(MASTER!$A$2:$A$1944,F1979)=0</f>
        <v>1</v>
      </c>
      <c r="H1979" s="2"/>
      <c r="I1979" s="2" t="s">
        <v>4082</v>
      </c>
      <c r="J1979" s="2" t="b">
        <f>COUNTIF(MASTER!$L$2:$L$1944,I1979)=0</f>
        <v>1</v>
      </c>
    </row>
    <row r="1980" spans="6:10" x14ac:dyDescent="0.35">
      <c r="F1980" s="2" t="s">
        <v>4083</v>
      </c>
      <c r="G1980" s="2" t="b">
        <f>COUNTIF(MASTER!$A$2:$A$1944,F1980)=0</f>
        <v>1</v>
      </c>
      <c r="H1980" s="2"/>
      <c r="I1980" s="2" t="s">
        <v>4084</v>
      </c>
      <c r="J1980" s="2" t="b">
        <f>COUNTIF(MASTER!$L$2:$L$1944,I1980)=0</f>
        <v>1</v>
      </c>
    </row>
    <row r="1981" spans="6:10" x14ac:dyDescent="0.35">
      <c r="F1981" s="2" t="s">
        <v>4085</v>
      </c>
      <c r="G1981" s="2" t="b">
        <f>COUNTIF(MASTER!$A$2:$A$1944,F1981)=0</f>
        <v>1</v>
      </c>
      <c r="H1981" s="2"/>
      <c r="I1981" s="2" t="s">
        <v>4086</v>
      </c>
      <c r="J1981" s="2" t="b">
        <f>COUNTIF(MASTER!$L$2:$L$1944,I1981)=0</f>
        <v>1</v>
      </c>
    </row>
    <row r="1982" spans="6:10" x14ac:dyDescent="0.35">
      <c r="F1982" s="2" t="s">
        <v>4087</v>
      </c>
      <c r="G1982" s="2" t="b">
        <f>COUNTIF(MASTER!$A$2:$A$1944,F1982)=0</f>
        <v>1</v>
      </c>
      <c r="H1982" s="2"/>
      <c r="I1982" s="2" t="s">
        <v>4088</v>
      </c>
      <c r="J1982" s="2" t="b">
        <f>COUNTIF(MASTER!$L$2:$L$1944,I1982)=0</f>
        <v>1</v>
      </c>
    </row>
    <row r="1983" spans="6:10" x14ac:dyDescent="0.35">
      <c r="F1983" s="2" t="s">
        <v>4089</v>
      </c>
      <c r="G1983" s="2" t="b">
        <f>COUNTIF(MASTER!$A$2:$A$1944,F1983)=0</f>
        <v>1</v>
      </c>
      <c r="H1983" s="2"/>
      <c r="I1983" s="2" t="s">
        <v>4090</v>
      </c>
      <c r="J1983" s="2" t="b">
        <f>COUNTIF(MASTER!$L$2:$L$1944,I1983)=0</f>
        <v>1</v>
      </c>
    </row>
    <row r="1984" spans="6:10" x14ac:dyDescent="0.35">
      <c r="F1984" s="2" t="s">
        <v>4091</v>
      </c>
      <c r="G1984" s="2" t="b">
        <f>COUNTIF(MASTER!$A$2:$A$1944,F1984)=0</f>
        <v>1</v>
      </c>
      <c r="H1984" s="2"/>
      <c r="I1984" s="2" t="s">
        <v>4092</v>
      </c>
      <c r="J1984" s="2" t="b">
        <f>COUNTIF(MASTER!$L$2:$L$1944,I1984)=0</f>
        <v>1</v>
      </c>
    </row>
    <row r="1985" spans="6:10" x14ac:dyDescent="0.35">
      <c r="F1985" s="2" t="s">
        <v>4093</v>
      </c>
      <c r="G1985" s="2" t="b">
        <f>COUNTIF(MASTER!$A$2:$A$1944,F1985)=0</f>
        <v>1</v>
      </c>
      <c r="H1985" s="2"/>
      <c r="I1985" s="2" t="s">
        <v>4094</v>
      </c>
      <c r="J1985" s="2" t="b">
        <f>COUNTIF(MASTER!$L$2:$L$1944,I1985)=0</f>
        <v>1</v>
      </c>
    </row>
    <row r="1986" spans="6:10" x14ac:dyDescent="0.35">
      <c r="F1986" s="2" t="s">
        <v>4095</v>
      </c>
      <c r="G1986" s="2" t="b">
        <f>COUNTIF(MASTER!$A$2:$A$1944,F1986)=0</f>
        <v>1</v>
      </c>
      <c r="H1986" s="2"/>
      <c r="I1986" s="2" t="s">
        <v>4096</v>
      </c>
      <c r="J1986" s="2" t="b">
        <f>COUNTIF(MASTER!$L$2:$L$1944,I1986)=0</f>
        <v>1</v>
      </c>
    </row>
    <row r="1987" spans="6:10" x14ac:dyDescent="0.35">
      <c r="F1987" s="2" t="s">
        <v>4097</v>
      </c>
      <c r="G1987" s="2" t="b">
        <f>COUNTIF(MASTER!$A$2:$A$1944,F1987)=0</f>
        <v>1</v>
      </c>
      <c r="H1987" s="2"/>
      <c r="I1987" s="2" t="s">
        <v>4098</v>
      </c>
      <c r="J1987" s="2" t="b">
        <f>COUNTIF(MASTER!$L$2:$L$1944,I1987)=0</f>
        <v>1</v>
      </c>
    </row>
    <row r="1988" spans="6:10" x14ac:dyDescent="0.35">
      <c r="F1988" s="2" t="s">
        <v>4099</v>
      </c>
      <c r="G1988" s="2" t="b">
        <f>COUNTIF(MASTER!$A$2:$A$1944,F1988)=0</f>
        <v>1</v>
      </c>
      <c r="H1988" s="2"/>
      <c r="I1988" s="2" t="s">
        <v>4100</v>
      </c>
      <c r="J1988" s="2" t="b">
        <f>COUNTIF(MASTER!$L$2:$L$1944,I1988)=0</f>
        <v>1</v>
      </c>
    </row>
    <row r="1989" spans="6:10" x14ac:dyDescent="0.35">
      <c r="F1989" s="2" t="s">
        <v>4101</v>
      </c>
      <c r="G1989" s="2" t="b">
        <f>COUNTIF(MASTER!$A$2:$A$1944,F1989)=0</f>
        <v>1</v>
      </c>
      <c r="H1989" s="2"/>
      <c r="I1989" s="2" t="s">
        <v>4102</v>
      </c>
      <c r="J1989" s="2" t="b">
        <f>COUNTIF(MASTER!$L$2:$L$1944,I1989)=0</f>
        <v>1</v>
      </c>
    </row>
    <row r="1990" spans="6:10" x14ac:dyDescent="0.35">
      <c r="F1990" s="2" t="s">
        <v>4103</v>
      </c>
      <c r="G1990" s="2" t="b">
        <f>COUNTIF(MASTER!$A$2:$A$1944,F1990)=0</f>
        <v>1</v>
      </c>
      <c r="H1990" s="2"/>
      <c r="I1990" s="2" t="s">
        <v>4104</v>
      </c>
      <c r="J1990" s="2" t="b">
        <f>COUNTIF(MASTER!$L$2:$L$1944,I1990)=0</f>
        <v>1</v>
      </c>
    </row>
    <row r="1991" spans="6:10" x14ac:dyDescent="0.35">
      <c r="F1991" s="2" t="s">
        <v>4105</v>
      </c>
      <c r="G1991" s="2" t="b">
        <f>COUNTIF(MASTER!$A$2:$A$1944,F1991)=0</f>
        <v>1</v>
      </c>
      <c r="H1991" s="2"/>
      <c r="I1991" s="2" t="s">
        <v>4106</v>
      </c>
      <c r="J1991" s="2" t="b">
        <f>COUNTIF(MASTER!$L$2:$L$1944,I1991)=0</f>
        <v>1</v>
      </c>
    </row>
    <row r="1992" spans="6:10" x14ac:dyDescent="0.35">
      <c r="F1992" s="2" t="s">
        <v>4107</v>
      </c>
      <c r="G1992" s="2" t="b">
        <f>COUNTIF(MASTER!$A$2:$A$1944,F1992)=0</f>
        <v>1</v>
      </c>
      <c r="H1992" s="2"/>
      <c r="I1992" s="2" t="s">
        <v>4108</v>
      </c>
      <c r="J1992" s="2" t="b">
        <f>COUNTIF(MASTER!$L$2:$L$1944,I1992)=0</f>
        <v>1</v>
      </c>
    </row>
    <row r="1993" spans="6:10" x14ac:dyDescent="0.35">
      <c r="F1993" s="2" t="s">
        <v>4109</v>
      </c>
      <c r="G1993" s="2" t="b">
        <f>COUNTIF(MASTER!$A$2:$A$1944,F1993)=0</f>
        <v>1</v>
      </c>
      <c r="H1993" s="2"/>
      <c r="I1993" s="2" t="s">
        <v>4110</v>
      </c>
      <c r="J1993" s="2" t="b">
        <f>COUNTIF(MASTER!$L$2:$L$1944,I1993)=0</f>
        <v>1</v>
      </c>
    </row>
    <row r="1994" spans="6:10" x14ac:dyDescent="0.35">
      <c r="F1994" s="2" t="s">
        <v>4111</v>
      </c>
      <c r="G1994" s="2" t="b">
        <f>COUNTIF(MASTER!$A$2:$A$1944,F1994)=0</f>
        <v>1</v>
      </c>
      <c r="H1994" s="2"/>
      <c r="I1994" s="2" t="s">
        <v>4112</v>
      </c>
      <c r="J1994" s="2" t="b">
        <f>COUNTIF(MASTER!$L$2:$L$1944,I1994)=0</f>
        <v>1</v>
      </c>
    </row>
    <row r="1995" spans="6:10" x14ac:dyDescent="0.35">
      <c r="F1995" s="2" t="s">
        <v>4113</v>
      </c>
      <c r="G1995" s="2" t="b">
        <f>COUNTIF(MASTER!$A$2:$A$1944,F1995)=0</f>
        <v>1</v>
      </c>
      <c r="H1995" s="2"/>
      <c r="I1995" s="2" t="s">
        <v>4114</v>
      </c>
      <c r="J1995" s="2" t="b">
        <f>COUNTIF(MASTER!$L$2:$L$1944,I1995)=0</f>
        <v>1</v>
      </c>
    </row>
    <row r="1996" spans="6:10" x14ac:dyDescent="0.35">
      <c r="F1996" s="2" t="s">
        <v>4115</v>
      </c>
      <c r="G1996" s="2" t="b">
        <f>COUNTIF(MASTER!$A$2:$A$1944,F1996)=0</f>
        <v>1</v>
      </c>
      <c r="H1996" s="2"/>
      <c r="I1996" s="2" t="s">
        <v>4116</v>
      </c>
      <c r="J1996" s="2" t="b">
        <f>COUNTIF(MASTER!$L$2:$L$1944,I1996)=0</f>
        <v>1</v>
      </c>
    </row>
    <row r="1997" spans="6:10" x14ac:dyDescent="0.35">
      <c r="F1997" s="2" t="s">
        <v>4117</v>
      </c>
      <c r="G1997" s="2" t="b">
        <f>COUNTIF(MASTER!$A$2:$A$1944,F1997)=0</f>
        <v>1</v>
      </c>
      <c r="H1997" s="2"/>
      <c r="I1997" s="2" t="s">
        <v>4118</v>
      </c>
      <c r="J1997" s="2" t="b">
        <f>COUNTIF(MASTER!$L$2:$L$1944,I1997)=0</f>
        <v>1</v>
      </c>
    </row>
    <row r="1998" spans="6:10" x14ac:dyDescent="0.35">
      <c r="F1998" s="2" t="s">
        <v>4119</v>
      </c>
      <c r="G1998" s="2" t="b">
        <f>COUNTIF(MASTER!$A$2:$A$1944,F1998)=0</f>
        <v>1</v>
      </c>
      <c r="H1998" s="2"/>
      <c r="I1998" s="2" t="s">
        <v>4120</v>
      </c>
      <c r="J1998" s="2" t="b">
        <f>COUNTIF(MASTER!$L$2:$L$1944,I1998)=0</f>
        <v>1</v>
      </c>
    </row>
    <row r="1999" spans="6:10" x14ac:dyDescent="0.35">
      <c r="F1999" s="2" t="s">
        <v>4121</v>
      </c>
      <c r="G1999" s="2" t="b">
        <f>COUNTIF(MASTER!$A$2:$A$1944,F1999)=0</f>
        <v>1</v>
      </c>
      <c r="H1999" s="2"/>
      <c r="I1999" s="2" t="s">
        <v>4122</v>
      </c>
      <c r="J1999" s="2" t="b">
        <f>COUNTIF(MASTER!$L$2:$L$1944,I1999)=0</f>
        <v>1</v>
      </c>
    </row>
    <row r="2000" spans="6:10" x14ac:dyDescent="0.35">
      <c r="F2000" s="2"/>
      <c r="G2000" s="2"/>
      <c r="H2000" s="2"/>
      <c r="I2000" s="2" t="s">
        <v>4123</v>
      </c>
      <c r="J2000" s="2" t="b">
        <f>COUNTIF(MASTER!$L$2:$L$1944,I2000)=0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CDI</vt:lpstr>
      <vt:lpstr>NIH</vt:lpstr>
      <vt:lpstr>Max Planck</vt:lpstr>
      <vt:lpstr>CRYOVIAL</vt:lpstr>
      <vt:lpstr>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Sowmya</dc:creator>
  <cp:keywords/>
  <dc:description/>
  <cp:lastModifiedBy>Vemula, Sowmya</cp:lastModifiedBy>
  <cp:revision/>
  <dcterms:created xsi:type="dcterms:W3CDTF">2026-02-13T05:30:43Z</dcterms:created>
  <dcterms:modified xsi:type="dcterms:W3CDTF">2026-06-01T19:11:16Z</dcterms:modified>
  <cp:category/>
  <cp:contentStatus/>
</cp:coreProperties>
</file>